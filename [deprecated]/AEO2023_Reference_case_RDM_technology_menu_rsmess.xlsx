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codeName="ThisWorkbook"/>
  <mc:AlternateContent xmlns:mc="http://schemas.openxmlformats.org/markup-compatibility/2006">
    <mc:Choice Requires="x15">
      <x15ac:absPath xmlns:x15ac="http://schemas.microsoft.com/office/spreadsheetml/2010/11/ac" url="https://utoronto-my.sharepoint.com/personal/daniel_posen_utoronto_ca/Documents/Academia/File Sharing/Alliance Mission - TEMOA/Full team - TEMOA/TEMOA model and data/Data sources/Buildings/"/>
    </mc:Choice>
  </mc:AlternateContent>
  <xr:revisionPtr revIDLastSave="2" documentId="13_ncr:1_{B1044ED0-F3A1-4AD0-A970-13354C85A136}" xr6:coauthVersionLast="47" xr6:coauthVersionMax="47" xr10:uidLastSave="{2E5B4409-1F51-49B1-883E-75274D37BB74}"/>
  <bookViews>
    <workbookView xWindow="-120" yWindow="-120" windowWidth="29040" windowHeight="15840" firstSheet="2" activeTab="5" xr2:uid="{00000000-000D-0000-FFFF-FFFF00000000}"/>
  </bookViews>
  <sheets>
    <sheet name="READ_ME" sheetId="4" r:id="rId1"/>
    <sheet name="RSCLASS" sheetId="2" r:id="rId2"/>
    <sheet name="RSMEQP" sheetId="1" r:id="rId3"/>
    <sheet name="RSMSHL" sheetId="3" r:id="rId4"/>
    <sheet name="TaxCred&amp;Subs" sheetId="5" r:id="rId5"/>
    <sheet name="Average of weibull life" sheetId="6" r:id="rId6"/>
  </sheets>
  <definedNames>
    <definedName name="_xlnm._FilterDatabase" localSheetId="2" hidden="1">RSMEQP!$A$24:$AC$1107</definedName>
    <definedName name="_xlnm._FilterDatabase" localSheetId="3" hidden="1">RSMSHL!$B$24:$T$2560</definedName>
    <definedName name="ClsRecords">RSCLASS!$B$16</definedName>
    <definedName name="EqpRecords">RSMEQP!$B$17</definedName>
    <definedName name="MNUMRTTY">RSMEQP!$B$19</definedName>
    <definedName name="nClDryClasses">RSCLASS!$H$57</definedName>
    <definedName name="nClDryTypes">RSMEQP!$H$1113</definedName>
    <definedName name="nClWashClasses">RSCLASS!$D$57</definedName>
    <definedName name="nClWashTypes">RSMEQP!$D$1113</definedName>
    <definedName name="nCookClasses">RSCLASS!$G$57</definedName>
    <definedName name="nCookTypes">RSMEQP!$G$1113</definedName>
    <definedName name="nCoolClasses">RSCLASS!$C$57</definedName>
    <definedName name="nCoolTypes">RSMEQP!$C$1113</definedName>
    <definedName name="nDishClasses">RSCLASS!$E$57</definedName>
    <definedName name="nDishTypes">RSMEQP!$E$1113</definedName>
    <definedName name="nFrezClasses">RSCLASS!$J$57</definedName>
    <definedName name="nFrezTypes">RSMEQP!$J$1113</definedName>
    <definedName name="nHeatClasses">RSCLASS!$B$57</definedName>
    <definedName name="nHeatTypes">RSMEQP!$B$1113</definedName>
    <definedName name="nRefrClasses">RSCLASS!$I$57</definedName>
    <definedName name="nRefrTypes">RSMEQP!$I$1113</definedName>
    <definedName name="nShellTypes">RSMSHL!$B$14</definedName>
    <definedName name="nWatHtClasses">RSCLASS!$F$57</definedName>
    <definedName name="nWatHtTypes">RSMEQP!$F$1113</definedName>
    <definedName name="RSHLDOLLARYR">RSMSHL!$B$16</definedName>
    <definedName name="RTEKDOLLARYR">RSMEQP!$B$18</definedName>
    <definedName name="ShlRecords">RSMSHL!$B$15</definedName>
    <definedName name="xlCLSHBASE">RSMSHL!$O$25:$O$2551</definedName>
    <definedName name="xlCLSHEFF">RSMSHL!$M$25:$M$2551</definedName>
    <definedName name="xlCWMEF">RSMEQP!$J$25:$J$1106</definedName>
    <definedName name="xlHTSHBASE">RSMSHL!$N$25:$N$2551</definedName>
    <definedName name="xlHTSHEFF">RSMSHL!$L$25:$L$2551</definedName>
    <definedName name="xlHVACPNTR">RSMEQP!$H$25:$H$1106</definedName>
    <definedName name="xlHVCLEQCL">RSMSHL!$F$25:$F$2551</definedName>
    <definedName name="xlHVCLEQTY">RSMSHL!$G$25:$G$2551</definedName>
    <definedName name="xlHVCOOLFACTOR">RSMSHL!$K$25:$K$2551</definedName>
    <definedName name="xlHVFYEAR">RSMSHL!$H$25:$H$2551</definedName>
    <definedName name="xlHVHEATFACTOR">RSMSHL!$J$25:$J$2551</definedName>
    <definedName name="xlHVHTEQCL">RSMSHL!$D$25:$D$2551</definedName>
    <definedName name="xlHVHTEQTY">RSMSHL!$E$25:$E$2551</definedName>
    <definedName name="xlHVLYEAR">RSMSHL!$I$25:$I$2551</definedName>
    <definedName name="xlHVPACKG">RSMSHL!$S$25:$S$2551</definedName>
    <definedName name="xlHVPGNAME">RSMSHL!$T$25:$T$2551</definedName>
    <definedName name="xlLOADADJ">RSMEQP!$K$25:$K$1106</definedName>
    <definedName name="xlRSBTYPE">RSMSHL!$C$25:$C$2551</definedName>
    <definedName name="xlRSCENDIV">RSMSHL!$B$25:$B$2551</definedName>
    <definedName name="xlRTALPHA">RSCLASS!$L$21:$L$50</definedName>
    <definedName name="xlRTBASEFF">RSCLASS!$J$21:$J$50</definedName>
    <definedName name="xlRTCENDIV">RSMEQP!$G$25:$G$1106</definedName>
    <definedName name="xlRTCLENDU">RSCLASS!$C$21:$C$50</definedName>
    <definedName name="xlRTCLEQCL">RSCLASS!$D$21:$D$50</definedName>
    <definedName name="xlRTCLNAME">RSCLASS!$U$21:$U$50</definedName>
    <definedName name="xlRTCLPNTR">RSCLASS!$F$21:$F$50</definedName>
    <definedName name="xlRTCLREPL">RSCLASS!$G$21:$G$50</definedName>
    <definedName name="xlRTCLTYPT">RSCLASS!$E$21:$E$50</definedName>
    <definedName name="xlRTCOSTP1">RSMEQP!$V$25:$V$1106</definedName>
    <definedName name="xlRTCOSTP2">RSMEQP!$W$25:$W$1106</definedName>
    <definedName name="xlRTCOSTP3">RSMEQP!$X$25:$X$1106</definedName>
    <definedName name="xlRTECBIAS">RSMEQP!$AB$25:$AB$1106</definedName>
    <definedName name="xlRTECBTA1">RSMEQP!$Y$25:$Y$1106</definedName>
    <definedName name="xlRTECBTA2">RSMEQP!$Z$25:$Z$1106</definedName>
    <definedName name="xlRTECBTA3">RSMEQP!$AA$25:$AA$1106</definedName>
    <definedName name="xlRTEQCOST">RSMEQP!$M$25:$M$1106</definedName>
    <definedName name="xlRTEQEFF">RSMEQP!$L$25:$L$1106</definedName>
    <definedName name="xlRTEQSUB">RSMEQP!$O$25:$O$1106</definedName>
    <definedName name="xlRTEQSUB111D">RSMEQP!$S$25:$S$1106</definedName>
    <definedName name="xlRTEQSUBN">RSMEQP!$Q$25:$Q$1106</definedName>
    <definedName name="xlRTEQTYPE">RSMEQP!$D$25:$D$1106</definedName>
    <definedName name="xlRTFCBETA">RSCLASS!$Q$21:$Q$50</definedName>
    <definedName name="xlRTFFAN">RSCLASS!$I$21:$I$50</definedName>
    <definedName name="xlRTFUEL">RSCLASS!$H$21:$H$50</definedName>
    <definedName name="xlRTINITYR">RSMEQP!$E$25:$E$1106</definedName>
    <definedName name="xlRTK">RSCLASS!$O$21:$O$50</definedName>
    <definedName name="xlRTLAMBDA">RSCLASS!$P$21:$P$50</definedName>
    <definedName name="xlRTLASTYR">RSMEQP!$F$25:$F$1106</definedName>
    <definedName name="xlRTMATURE">RSMEQP!$U$25:$U$1106</definedName>
    <definedName name="xlRTMAXLIF">RSCLASS!$N$21:$N$50</definedName>
    <definedName name="xlRTMINLIF">RSCLASS!$M$21:$M$50</definedName>
    <definedName name="xlRTRECOST">RSMEQP!$N$25:$N$1106</definedName>
    <definedName name="xlRTRESUB">RSMEQP!$P$25:$P$1106</definedName>
    <definedName name="xlRTRESUB111D">RSMEQP!$T$25:$T$1106</definedName>
    <definedName name="xlRTRESUBN">RSMEQP!$R$25:$R$1106</definedName>
    <definedName name="xlRTSWBETA">RSCLASS!$S$21:$S$50</definedName>
    <definedName name="xlRTSWBIAS">RSCLASS!$T$21:$T$50</definedName>
    <definedName name="xlRTSWFACT">RSCLASS!$R$21:$R$50</definedName>
    <definedName name="xlRTTYENDU">RSMEQP!$B$25:$B$1106</definedName>
    <definedName name="xlRTTYEQCL">RSMEQP!$C$25:$C$1106</definedName>
    <definedName name="xlRTTYNAME">RSMEQP!$AC$25:$AC$1106</definedName>
    <definedName name="xlRTTYPNTR">RSMEQP!$I$25:$I$1106</definedName>
    <definedName name="xlSHELCOST">RSMSHL!$P$25:$P$2551</definedName>
    <definedName name="xlSHELSUB">RSMSHL!$Q$25:$Q$2551</definedName>
    <definedName name="xlSHELSUB111D">RSMSHL!$R$25:$R$2551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7" i="6" l="1"/>
  <c r="I8" i="6"/>
  <c r="I9" i="6"/>
  <c r="I10" i="6"/>
  <c r="I11" i="6"/>
  <c r="I12" i="6"/>
  <c r="I13" i="6" s="1"/>
  <c r="I14" i="6" s="1"/>
  <c r="I15" i="6" s="1"/>
  <c r="I16" i="6" s="1"/>
  <c r="I17" i="6" s="1"/>
  <c r="I18" i="6" s="1"/>
  <c r="I19" i="6" s="1"/>
  <c r="I20" i="6" s="1"/>
  <c r="I21" i="6" s="1"/>
  <c r="I22" i="6"/>
  <c r="I23" i="6" s="1"/>
  <c r="I24" i="6" s="1"/>
  <c r="I25" i="6" s="1"/>
  <c r="I26" i="6" s="1"/>
  <c r="I27" i="6" s="1"/>
  <c r="I28" i="6" s="1"/>
  <c r="I29" i="6" s="1"/>
  <c r="I30" i="6" s="1"/>
  <c r="I31" i="6" s="1"/>
  <c r="I32" i="6" s="1"/>
  <c r="I33" i="6" s="1"/>
  <c r="I34" i="6" s="1"/>
  <c r="I35" i="6" s="1"/>
  <c r="I36" i="6" s="1"/>
  <c r="I37" i="6" s="1"/>
  <c r="I38" i="6" s="1"/>
  <c r="I39" i="6" s="1"/>
  <c r="I40" i="6" s="1"/>
  <c r="I41" i="6" s="1"/>
  <c r="I42" i="6" s="1"/>
  <c r="I43" i="6" s="1"/>
  <c r="I44" i="6" s="1"/>
  <c r="I45" i="6" s="1"/>
  <c r="I46" i="6" s="1"/>
  <c r="I47" i="6" s="1"/>
  <c r="I48" i="6" s="1"/>
  <c r="I49" i="6" s="1"/>
  <c r="I50" i="6" s="1"/>
  <c r="I51" i="6" s="1"/>
  <c r="I52" i="6" s="1"/>
  <c r="I53" i="6" s="1"/>
  <c r="I54" i="6" s="1"/>
  <c r="I55" i="6" s="1"/>
  <c r="I56" i="6" s="1"/>
  <c r="I57" i="6" s="1"/>
  <c r="I58" i="6" s="1"/>
  <c r="I59" i="6" s="1"/>
  <c r="I60" i="6" s="1"/>
  <c r="I61" i="6" s="1"/>
  <c r="I62" i="6" s="1"/>
  <c r="I63" i="6" s="1"/>
  <c r="I64" i="6" s="1"/>
  <c r="I65" i="6" s="1"/>
  <c r="I66" i="6" s="1"/>
  <c r="I67" i="6" s="1"/>
  <c r="I68" i="6" s="1"/>
  <c r="I69" i="6" s="1"/>
  <c r="I70" i="6" s="1"/>
  <c r="I71" i="6" s="1"/>
  <c r="I72" i="6" s="1"/>
  <c r="I73" i="6" s="1"/>
  <c r="I74" i="6" s="1"/>
  <c r="I75" i="6" s="1"/>
  <c r="I76" i="6" s="1"/>
  <c r="I77" i="6" s="1"/>
  <c r="I78" i="6" s="1"/>
  <c r="I79" i="6" s="1"/>
  <c r="I80" i="6" s="1"/>
  <c r="I81" i="6" s="1"/>
  <c r="I82" i="6" s="1"/>
  <c r="I83" i="6" s="1"/>
  <c r="I84" i="6" s="1"/>
  <c r="I85" i="6" s="1"/>
  <c r="I86" i="6" s="1"/>
  <c r="I87" i="6" s="1"/>
  <c r="I88" i="6" s="1"/>
  <c r="I89" i="6" s="1"/>
  <c r="I90" i="6" s="1"/>
  <c r="I91" i="6" s="1"/>
  <c r="I92" i="6" s="1"/>
  <c r="I93" i="6" s="1"/>
  <c r="I94" i="6" s="1"/>
  <c r="I95" i="6" s="1"/>
  <c r="I96" i="6" s="1"/>
  <c r="I97" i="6" s="1"/>
  <c r="I98" i="6" s="1"/>
  <c r="I99" i="6" s="1"/>
  <c r="I100" i="6" s="1"/>
  <c r="I101" i="6" s="1"/>
  <c r="I102" i="6" s="1"/>
  <c r="I103" i="6" s="1"/>
  <c r="I104" i="6" s="1"/>
  <c r="I105" i="6" s="1"/>
  <c r="I106" i="6" s="1"/>
  <c r="I107" i="6" s="1"/>
  <c r="I108" i="6" s="1"/>
  <c r="I109" i="6" s="1"/>
  <c r="I110" i="6" s="1"/>
  <c r="I111" i="6" s="1"/>
  <c r="I112" i="6" s="1"/>
  <c r="I113" i="6" s="1"/>
  <c r="I114" i="6" s="1"/>
  <c r="I115" i="6" s="1"/>
  <c r="I116" i="6" s="1"/>
  <c r="I117" i="6" s="1"/>
  <c r="I118" i="6" s="1"/>
  <c r="I119" i="6" s="1"/>
  <c r="I120" i="6" s="1"/>
  <c r="I121" i="6" s="1"/>
  <c r="I122" i="6" s="1"/>
  <c r="I123" i="6" s="1"/>
  <c r="I124" i="6" s="1"/>
  <c r="I125" i="6" s="1"/>
  <c r="I126" i="6" s="1"/>
  <c r="I127" i="6" s="1"/>
  <c r="I128" i="6" s="1"/>
  <c r="I129" i="6" s="1"/>
  <c r="I130" i="6" s="1"/>
  <c r="I131" i="6" s="1"/>
  <c r="I132" i="6" s="1"/>
  <c r="I133" i="6" s="1"/>
  <c r="I134" i="6" s="1"/>
  <c r="I135" i="6" s="1"/>
  <c r="I136" i="6" s="1"/>
  <c r="I137" i="6" s="1"/>
  <c r="I138" i="6" s="1"/>
  <c r="I139" i="6" s="1"/>
  <c r="I140" i="6" s="1"/>
  <c r="I141" i="6" s="1"/>
  <c r="I142" i="6" s="1"/>
  <c r="I143" i="6" s="1"/>
  <c r="I144" i="6" s="1"/>
  <c r="I145" i="6" s="1"/>
  <c r="I146" i="6" s="1"/>
  <c r="I147" i="6" s="1"/>
  <c r="I148" i="6" s="1"/>
  <c r="I149" i="6" s="1"/>
  <c r="I150" i="6" s="1"/>
  <c r="I151" i="6" s="1"/>
  <c r="I152" i="6" s="1"/>
  <c r="I153" i="6" s="1"/>
  <c r="I154" i="6" s="1"/>
  <c r="I155" i="6" s="1"/>
  <c r="I156" i="6" s="1"/>
  <c r="I157" i="6" s="1"/>
  <c r="I158" i="6" s="1"/>
  <c r="I159" i="6" s="1"/>
  <c r="I160" i="6" s="1"/>
  <c r="I161" i="6" s="1"/>
  <c r="I162" i="6" s="1"/>
  <c r="I163" i="6" s="1"/>
  <c r="I164" i="6" s="1"/>
  <c r="I165" i="6" s="1"/>
  <c r="I166" i="6" s="1"/>
  <c r="I167" i="6" s="1"/>
  <c r="I168" i="6" s="1"/>
  <c r="I169" i="6" s="1"/>
  <c r="I170" i="6" s="1"/>
  <c r="I171" i="6" s="1"/>
  <c r="I172" i="6" s="1"/>
  <c r="I173" i="6" s="1"/>
  <c r="I174" i="6" s="1"/>
  <c r="I175" i="6" s="1"/>
  <c r="I176" i="6" s="1"/>
  <c r="I177" i="6" s="1"/>
  <c r="I178" i="6" s="1"/>
  <c r="I179" i="6" s="1"/>
  <c r="I180" i="6" s="1"/>
  <c r="I181" i="6" s="1"/>
  <c r="I182" i="6" s="1"/>
  <c r="I183" i="6" s="1"/>
  <c r="I184" i="6" s="1"/>
  <c r="I185" i="6" s="1"/>
  <c r="I186" i="6" s="1"/>
  <c r="I187" i="6" s="1"/>
  <c r="I188" i="6" s="1"/>
  <c r="I189" i="6" s="1"/>
  <c r="I190" i="6" s="1"/>
  <c r="I191" i="6" s="1"/>
  <c r="I192" i="6" s="1"/>
  <c r="I193" i="6" s="1"/>
  <c r="I194" i="6" s="1"/>
  <c r="I195" i="6" s="1"/>
  <c r="I196" i="6" s="1"/>
  <c r="I197" i="6" s="1"/>
  <c r="I198" i="6" s="1"/>
  <c r="I199" i="6" s="1"/>
  <c r="I200" i="6" s="1"/>
  <c r="I201" i="6" s="1"/>
  <c r="I202" i="6" s="1"/>
  <c r="I203" i="6" s="1"/>
  <c r="I204" i="6" s="1"/>
  <c r="I205" i="6" s="1"/>
  <c r="I206" i="6" s="1"/>
  <c r="I207" i="6" s="1"/>
  <c r="I208" i="6" s="1"/>
  <c r="I209" i="6" s="1"/>
  <c r="I210" i="6" s="1"/>
  <c r="I211" i="6" s="1"/>
  <c r="I212" i="6" s="1"/>
  <c r="I213" i="6" s="1"/>
  <c r="I214" i="6" s="1"/>
  <c r="I215" i="6" s="1"/>
  <c r="I216" i="6" s="1"/>
  <c r="I217" i="6" s="1"/>
  <c r="I218" i="6" s="1"/>
  <c r="I219" i="6" s="1"/>
  <c r="I220" i="6" s="1"/>
  <c r="I221" i="6" s="1"/>
  <c r="I222" i="6" s="1"/>
  <c r="I223" i="6" s="1"/>
  <c r="I224" i="6" s="1"/>
  <c r="I225" i="6" s="1"/>
  <c r="I226" i="6" s="1"/>
  <c r="I227" i="6" s="1"/>
  <c r="I228" i="6" s="1"/>
  <c r="I229" i="6" s="1"/>
  <c r="I230" i="6" s="1"/>
  <c r="I231" i="6" s="1"/>
  <c r="I232" i="6" s="1"/>
  <c r="I233" i="6" s="1"/>
  <c r="I234" i="6" s="1"/>
  <c r="I235" i="6" s="1"/>
  <c r="I236" i="6" s="1"/>
  <c r="I237" i="6" s="1"/>
  <c r="I238" i="6" s="1"/>
  <c r="I239" i="6" s="1"/>
  <c r="I240" i="6" s="1"/>
  <c r="I241" i="6" s="1"/>
  <c r="I242" i="6" s="1"/>
  <c r="I243" i="6" s="1"/>
  <c r="I244" i="6" s="1"/>
  <c r="I245" i="6" s="1"/>
  <c r="I6" i="6"/>
  <c r="S5" i="6"/>
  <c r="T5" i="6"/>
  <c r="U5" i="6"/>
  <c r="V5" i="6"/>
  <c r="W5" i="6"/>
  <c r="X5" i="6"/>
  <c r="P5" i="6"/>
  <c r="Q5" i="6"/>
  <c r="R5" i="6"/>
  <c r="O5" i="6"/>
  <c r="J5" i="6"/>
  <c r="K5" i="6"/>
  <c r="L5" i="6" s="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2" i="6"/>
  <c r="A2" i="6" a="1"/>
  <c r="A2" i="6" s="1"/>
  <c r="J6" i="6" l="1"/>
  <c r="K6" i="6" s="1"/>
  <c r="E92" i="5"/>
  <c r="D92" i="5"/>
  <c r="E91" i="5"/>
  <c r="D91" i="5"/>
  <c r="E90" i="5"/>
  <c r="D90" i="5"/>
  <c r="E70" i="5"/>
  <c r="D70" i="5"/>
  <c r="E69" i="5"/>
  <c r="D69" i="5"/>
  <c r="E68" i="5"/>
  <c r="D68" i="5"/>
  <c r="E25" i="5"/>
  <c r="D25" i="5"/>
  <c r="E20" i="5"/>
  <c r="D20" i="5"/>
  <c r="E17" i="5"/>
  <c r="D17" i="5"/>
  <c r="N37" i="5"/>
  <c r="L37" i="5"/>
  <c r="H37" i="5"/>
  <c r="E37" i="5"/>
  <c r="D37" i="5"/>
  <c r="L35" i="5"/>
  <c r="L34" i="5"/>
  <c r="L33" i="5"/>
  <c r="E34" i="5"/>
  <c r="D34" i="5"/>
  <c r="J7" i="6" l="1"/>
  <c r="L6" i="6"/>
  <c r="E40" i="5"/>
  <c r="D40" i="5"/>
  <c r="E43" i="5"/>
  <c r="D43" i="5"/>
  <c r="K7" i="6" l="1"/>
  <c r="J8" i="6"/>
  <c r="E104" i="5"/>
  <c r="D104" i="5"/>
  <c r="E103" i="5"/>
  <c r="D103" i="5"/>
  <c r="E102" i="5"/>
  <c r="D102" i="5"/>
  <c r="E101" i="5"/>
  <c r="D101" i="5"/>
  <c r="E100" i="5"/>
  <c r="D100" i="5"/>
  <c r="E99" i="5"/>
  <c r="D99" i="5"/>
  <c r="E98" i="5"/>
  <c r="D98" i="5"/>
  <c r="E97" i="5"/>
  <c r="D97" i="5"/>
  <c r="E96" i="5"/>
  <c r="D96" i="5"/>
  <c r="E95" i="5"/>
  <c r="D95" i="5"/>
  <c r="E82" i="5"/>
  <c r="D82" i="5"/>
  <c r="E81" i="5"/>
  <c r="D81" i="5"/>
  <c r="E80" i="5"/>
  <c r="D80" i="5"/>
  <c r="E79" i="5"/>
  <c r="D79" i="5"/>
  <c r="E78" i="5"/>
  <c r="D78" i="5"/>
  <c r="E77" i="5"/>
  <c r="D77" i="5"/>
  <c r="E76" i="5"/>
  <c r="D76" i="5"/>
  <c r="E75" i="5"/>
  <c r="D75" i="5"/>
  <c r="E74" i="5"/>
  <c r="D74" i="5"/>
  <c r="E73" i="5"/>
  <c r="D73" i="5"/>
  <c r="E93" i="5"/>
  <c r="D93" i="5"/>
  <c r="E71" i="5"/>
  <c r="D71" i="5"/>
  <c r="E31" i="5"/>
  <c r="D31" i="5"/>
  <c r="E28" i="5"/>
  <c r="D28" i="5"/>
  <c r="E30" i="5"/>
  <c r="D30" i="5"/>
  <c r="E29" i="5"/>
  <c r="D29" i="5"/>
  <c r="Q26" i="3" a="1"/>
  <c r="Q26" i="3" s="1"/>
  <c r="Q27" i="3" a="1"/>
  <c r="Q27" i="3" s="1"/>
  <c r="Q28" i="3" a="1"/>
  <c r="Q28" i="3" s="1"/>
  <c r="Q29" i="3" a="1"/>
  <c r="Q29" i="3" s="1"/>
  <c r="Q30" i="3" a="1"/>
  <c r="Q30" i="3" s="1"/>
  <c r="Q31" i="3" a="1"/>
  <c r="Q31" i="3" s="1"/>
  <c r="Q32" i="3" a="1"/>
  <c r="Q32" i="3" s="1"/>
  <c r="Q33" i="3" a="1"/>
  <c r="Q33" i="3" s="1"/>
  <c r="Q34" i="3" a="1"/>
  <c r="Q34" i="3" s="1"/>
  <c r="Q35" i="3" a="1"/>
  <c r="Q35" i="3" s="1"/>
  <c r="Q36" i="3" a="1"/>
  <c r="Q36" i="3" s="1"/>
  <c r="Q37" i="3" a="1"/>
  <c r="Q37" i="3" s="1"/>
  <c r="Q38" i="3" a="1"/>
  <c r="Q38" i="3" s="1"/>
  <c r="Q39" i="3" a="1"/>
  <c r="Q39" i="3" s="1"/>
  <c r="Q40" i="3" a="1"/>
  <c r="Q40" i="3" s="1"/>
  <c r="Q41" i="3" a="1"/>
  <c r="Q41" i="3" s="1"/>
  <c r="Q42" i="3" a="1"/>
  <c r="Q42" i="3" s="1"/>
  <c r="Q43" i="3" a="1"/>
  <c r="Q43" i="3" s="1"/>
  <c r="Q44" i="3" a="1"/>
  <c r="Q44" i="3" s="1"/>
  <c r="Q45" i="3" a="1"/>
  <c r="Q45" i="3" s="1"/>
  <c r="Q46" i="3" a="1"/>
  <c r="Q46" i="3" s="1"/>
  <c r="Q47" i="3" a="1"/>
  <c r="Q47" i="3" s="1"/>
  <c r="Q48" i="3" a="1"/>
  <c r="Q48" i="3" s="1"/>
  <c r="Q49" i="3" a="1"/>
  <c r="Q49" i="3" s="1"/>
  <c r="Q50" i="3" a="1"/>
  <c r="Q50" i="3" s="1"/>
  <c r="Q51" i="3" a="1"/>
  <c r="Q51" i="3" s="1"/>
  <c r="Q52" i="3" a="1"/>
  <c r="Q52" i="3" s="1"/>
  <c r="Q53" i="3" a="1"/>
  <c r="Q53" i="3" s="1"/>
  <c r="Q54" i="3" a="1"/>
  <c r="Q54" i="3" s="1"/>
  <c r="Q55" i="3" a="1"/>
  <c r="Q55" i="3" s="1"/>
  <c r="Q56" i="3" a="1"/>
  <c r="Q56" i="3" s="1"/>
  <c r="Q57" i="3" a="1"/>
  <c r="Q57" i="3" s="1"/>
  <c r="Q58" i="3" a="1"/>
  <c r="Q58" i="3" s="1"/>
  <c r="Q59" i="3" a="1"/>
  <c r="Q59" i="3" s="1"/>
  <c r="Q60" i="3" a="1"/>
  <c r="Q60" i="3" s="1"/>
  <c r="Q61" i="3" a="1"/>
  <c r="Q61" i="3" s="1"/>
  <c r="Q62" i="3" a="1"/>
  <c r="Q62" i="3" s="1"/>
  <c r="Q63" i="3" a="1"/>
  <c r="Q63" i="3" s="1"/>
  <c r="Q64" i="3" a="1"/>
  <c r="Q64" i="3" s="1"/>
  <c r="Q65" i="3" a="1"/>
  <c r="Q65" i="3" s="1"/>
  <c r="Q66" i="3" a="1"/>
  <c r="Q66" i="3" s="1"/>
  <c r="Q67" i="3" a="1"/>
  <c r="Q67" i="3" s="1"/>
  <c r="Q68" i="3" a="1"/>
  <c r="Q68" i="3" s="1"/>
  <c r="Q69" i="3" a="1"/>
  <c r="Q69" i="3" s="1"/>
  <c r="Q70" i="3" a="1"/>
  <c r="Q70" i="3" s="1"/>
  <c r="Q71" i="3" a="1"/>
  <c r="Q71" i="3" s="1"/>
  <c r="Q72" i="3" a="1"/>
  <c r="Q72" i="3" s="1"/>
  <c r="Q73" i="3" a="1"/>
  <c r="Q73" i="3" s="1"/>
  <c r="Q74" i="3" a="1"/>
  <c r="Q74" i="3" s="1"/>
  <c r="Q75" i="3" a="1"/>
  <c r="Q75" i="3" s="1"/>
  <c r="Q76" i="3" a="1"/>
  <c r="Q76" i="3" s="1"/>
  <c r="Q77" i="3" a="1"/>
  <c r="Q77" i="3" s="1"/>
  <c r="Q78" i="3" a="1"/>
  <c r="Q78" i="3" s="1"/>
  <c r="Q79" i="3" a="1"/>
  <c r="Q79" i="3" s="1"/>
  <c r="Q80" i="3" a="1"/>
  <c r="Q80" i="3" s="1"/>
  <c r="Q81" i="3" a="1"/>
  <c r="Q81" i="3" s="1"/>
  <c r="Q82" i="3" a="1"/>
  <c r="Q82" i="3" s="1"/>
  <c r="Q83" i="3" a="1"/>
  <c r="Q83" i="3" s="1"/>
  <c r="Q84" i="3" a="1"/>
  <c r="Q84" i="3" s="1"/>
  <c r="Q85" i="3" a="1"/>
  <c r="Q85" i="3" s="1"/>
  <c r="Q86" i="3" a="1"/>
  <c r="Q86" i="3" s="1"/>
  <c r="Q87" i="3" a="1"/>
  <c r="Q87" i="3" s="1"/>
  <c r="Q88" i="3" a="1"/>
  <c r="Q88" i="3" s="1"/>
  <c r="Q89" i="3" a="1"/>
  <c r="Q89" i="3" s="1"/>
  <c r="Q90" i="3" a="1"/>
  <c r="Q90" i="3" s="1"/>
  <c r="Q91" i="3" a="1"/>
  <c r="Q91" i="3" s="1"/>
  <c r="Q92" i="3" a="1"/>
  <c r="Q92" i="3" s="1"/>
  <c r="Q93" i="3" a="1"/>
  <c r="Q93" i="3" s="1"/>
  <c r="Q94" i="3" a="1"/>
  <c r="Q94" i="3" s="1"/>
  <c r="Q95" i="3" a="1"/>
  <c r="Q95" i="3" s="1"/>
  <c r="Q96" i="3" a="1"/>
  <c r="Q96" i="3" s="1"/>
  <c r="Q97" i="3" a="1"/>
  <c r="Q97" i="3" s="1"/>
  <c r="Q98" i="3" a="1"/>
  <c r="Q98" i="3" s="1"/>
  <c r="Q99" i="3" a="1"/>
  <c r="Q99" i="3" s="1"/>
  <c r="Q100" i="3" a="1"/>
  <c r="Q100" i="3" s="1"/>
  <c r="Q101" i="3" a="1"/>
  <c r="Q101" i="3" s="1"/>
  <c r="Q102" i="3" a="1"/>
  <c r="Q102" i="3" s="1"/>
  <c r="Q103" i="3" a="1"/>
  <c r="Q103" i="3" s="1"/>
  <c r="Q104" i="3" a="1"/>
  <c r="Q104" i="3" s="1"/>
  <c r="Q105" i="3" a="1"/>
  <c r="Q105" i="3" s="1"/>
  <c r="Q106" i="3" a="1"/>
  <c r="Q106" i="3" s="1"/>
  <c r="Q107" i="3" a="1"/>
  <c r="Q107" i="3" s="1"/>
  <c r="Q108" i="3" a="1"/>
  <c r="Q108" i="3" s="1"/>
  <c r="Q109" i="3" a="1"/>
  <c r="Q109" i="3" s="1"/>
  <c r="Q110" i="3" a="1"/>
  <c r="Q110" i="3" s="1"/>
  <c r="Q111" i="3" a="1"/>
  <c r="Q111" i="3" s="1"/>
  <c r="Q112" i="3" a="1"/>
  <c r="Q112" i="3" s="1"/>
  <c r="Q113" i="3" a="1"/>
  <c r="Q113" i="3" s="1"/>
  <c r="Q114" i="3" a="1"/>
  <c r="Q114" i="3" s="1"/>
  <c r="Q115" i="3" a="1"/>
  <c r="Q115" i="3" s="1"/>
  <c r="Q116" i="3" a="1"/>
  <c r="Q116" i="3" s="1"/>
  <c r="Q117" i="3" a="1"/>
  <c r="Q117" i="3" s="1"/>
  <c r="Q118" i="3" a="1"/>
  <c r="Q118" i="3" s="1"/>
  <c r="Q119" i="3" a="1"/>
  <c r="Q119" i="3" s="1"/>
  <c r="Q120" i="3" a="1"/>
  <c r="Q120" i="3" s="1"/>
  <c r="Q121" i="3" a="1"/>
  <c r="Q121" i="3" s="1"/>
  <c r="Q122" i="3" a="1"/>
  <c r="Q122" i="3" s="1"/>
  <c r="Q123" i="3" a="1"/>
  <c r="Q123" i="3" s="1"/>
  <c r="Q124" i="3" a="1"/>
  <c r="Q124" i="3" s="1"/>
  <c r="Q125" i="3" a="1"/>
  <c r="Q125" i="3" s="1"/>
  <c r="Q126" i="3" a="1"/>
  <c r="Q126" i="3" s="1"/>
  <c r="Q127" i="3" a="1"/>
  <c r="Q127" i="3" s="1"/>
  <c r="Q128" i="3" a="1"/>
  <c r="Q128" i="3" s="1"/>
  <c r="Q129" i="3" a="1"/>
  <c r="Q129" i="3" s="1"/>
  <c r="Q130" i="3" a="1"/>
  <c r="Q130" i="3" s="1"/>
  <c r="Q131" i="3" a="1"/>
  <c r="Q131" i="3" s="1"/>
  <c r="Q132" i="3" a="1"/>
  <c r="Q132" i="3" s="1"/>
  <c r="Q133" i="3" a="1"/>
  <c r="Q133" i="3" s="1"/>
  <c r="Q134" i="3" a="1"/>
  <c r="Q134" i="3" s="1"/>
  <c r="Q135" i="3" a="1"/>
  <c r="Q135" i="3" s="1"/>
  <c r="Q136" i="3" a="1"/>
  <c r="Q136" i="3" s="1"/>
  <c r="Q137" i="3" a="1"/>
  <c r="Q137" i="3" s="1"/>
  <c r="Q138" i="3" a="1"/>
  <c r="Q138" i="3" s="1"/>
  <c r="Q139" i="3" a="1"/>
  <c r="Q139" i="3" s="1"/>
  <c r="Q140" i="3" a="1"/>
  <c r="Q140" i="3" s="1"/>
  <c r="Q141" i="3" a="1"/>
  <c r="Q141" i="3" s="1"/>
  <c r="Q142" i="3" a="1"/>
  <c r="Q142" i="3" s="1"/>
  <c r="Q143" i="3" a="1"/>
  <c r="Q143" i="3" s="1"/>
  <c r="Q144" i="3" a="1"/>
  <c r="Q144" i="3" s="1"/>
  <c r="Q145" i="3" a="1"/>
  <c r="Q145" i="3" s="1"/>
  <c r="Q146" i="3" a="1"/>
  <c r="Q146" i="3" s="1"/>
  <c r="Q147" i="3" a="1"/>
  <c r="Q147" i="3" s="1"/>
  <c r="Q148" i="3" a="1"/>
  <c r="Q148" i="3" s="1"/>
  <c r="Q149" i="3" a="1"/>
  <c r="Q149" i="3" s="1"/>
  <c r="Q150" i="3" a="1"/>
  <c r="Q150" i="3" s="1"/>
  <c r="Q151" i="3" a="1"/>
  <c r="Q151" i="3" s="1"/>
  <c r="Q152" i="3" a="1"/>
  <c r="Q152" i="3" s="1"/>
  <c r="Q153" i="3" a="1"/>
  <c r="Q153" i="3" s="1"/>
  <c r="Q154" i="3" a="1"/>
  <c r="Q154" i="3" s="1"/>
  <c r="Q155" i="3" a="1"/>
  <c r="Q155" i="3" s="1"/>
  <c r="Q156" i="3" a="1"/>
  <c r="Q156" i="3" s="1"/>
  <c r="Q157" i="3" a="1"/>
  <c r="Q157" i="3" s="1"/>
  <c r="Q158" i="3" a="1"/>
  <c r="Q158" i="3" s="1"/>
  <c r="Q159" i="3" a="1"/>
  <c r="Q159" i="3" s="1"/>
  <c r="Q160" i="3" a="1"/>
  <c r="Q160" i="3" s="1"/>
  <c r="Q161" i="3" a="1"/>
  <c r="Q161" i="3" s="1"/>
  <c r="Q162" i="3" a="1"/>
  <c r="Q162" i="3" s="1"/>
  <c r="Q163" i="3" a="1"/>
  <c r="Q163" i="3" s="1"/>
  <c r="Q164" i="3" a="1"/>
  <c r="Q164" i="3" s="1"/>
  <c r="Q165" i="3" a="1"/>
  <c r="Q165" i="3" s="1"/>
  <c r="Q166" i="3" a="1"/>
  <c r="Q166" i="3" s="1"/>
  <c r="Q167" i="3" a="1"/>
  <c r="Q167" i="3" s="1"/>
  <c r="Q168" i="3" a="1"/>
  <c r="Q168" i="3" s="1"/>
  <c r="Q169" i="3" a="1"/>
  <c r="Q169" i="3" s="1"/>
  <c r="Q170" i="3" a="1"/>
  <c r="Q170" i="3" s="1"/>
  <c r="Q171" i="3" a="1"/>
  <c r="Q171" i="3" s="1"/>
  <c r="Q172" i="3" a="1"/>
  <c r="Q172" i="3" s="1"/>
  <c r="Q173" i="3" a="1"/>
  <c r="Q173" i="3" s="1"/>
  <c r="Q174" i="3" a="1"/>
  <c r="Q174" i="3" s="1"/>
  <c r="Q175" i="3" a="1"/>
  <c r="Q175" i="3" s="1"/>
  <c r="Q176" i="3" a="1"/>
  <c r="Q176" i="3" s="1"/>
  <c r="Q177" i="3" a="1"/>
  <c r="Q177" i="3" s="1"/>
  <c r="Q178" i="3" a="1"/>
  <c r="Q178" i="3" s="1"/>
  <c r="Q179" i="3" a="1"/>
  <c r="Q179" i="3" s="1"/>
  <c r="Q180" i="3" a="1"/>
  <c r="Q180" i="3" s="1"/>
  <c r="Q181" i="3" a="1"/>
  <c r="Q181" i="3" s="1"/>
  <c r="Q182" i="3" a="1"/>
  <c r="Q182" i="3" s="1"/>
  <c r="Q183" i="3" a="1"/>
  <c r="Q183" i="3" s="1"/>
  <c r="Q184" i="3" a="1"/>
  <c r="Q184" i="3" s="1"/>
  <c r="Q185" i="3" a="1"/>
  <c r="Q185" i="3" s="1"/>
  <c r="Q186" i="3" a="1"/>
  <c r="Q186" i="3" s="1"/>
  <c r="Q187" i="3" a="1"/>
  <c r="Q187" i="3" s="1"/>
  <c r="Q188" i="3" a="1"/>
  <c r="Q188" i="3" s="1"/>
  <c r="Q189" i="3" a="1"/>
  <c r="Q189" i="3" s="1"/>
  <c r="Q190" i="3" a="1"/>
  <c r="Q190" i="3" s="1"/>
  <c r="Q191" i="3" a="1"/>
  <c r="Q191" i="3" s="1"/>
  <c r="Q192" i="3" a="1"/>
  <c r="Q192" i="3" s="1"/>
  <c r="Q193" i="3" a="1"/>
  <c r="Q193" i="3" s="1"/>
  <c r="Q194" i="3" a="1"/>
  <c r="Q194" i="3" s="1"/>
  <c r="Q195" i="3" a="1"/>
  <c r="Q195" i="3" s="1"/>
  <c r="Q196" i="3" a="1"/>
  <c r="Q196" i="3" s="1"/>
  <c r="Q197" i="3" a="1"/>
  <c r="Q197" i="3" s="1"/>
  <c r="Q198" i="3" a="1"/>
  <c r="Q198" i="3" s="1"/>
  <c r="Q199" i="3" a="1"/>
  <c r="Q199" i="3" s="1"/>
  <c r="Q200" i="3" a="1"/>
  <c r="Q200" i="3" s="1"/>
  <c r="Q201" i="3" a="1"/>
  <c r="Q201" i="3" s="1"/>
  <c r="Q202" i="3" a="1"/>
  <c r="Q202" i="3" s="1"/>
  <c r="Q203" i="3" a="1"/>
  <c r="Q203" i="3" s="1"/>
  <c r="Q204" i="3" a="1"/>
  <c r="Q204" i="3" s="1"/>
  <c r="Q205" i="3" a="1"/>
  <c r="Q205" i="3" s="1"/>
  <c r="Q206" i="3" a="1"/>
  <c r="Q206" i="3" s="1"/>
  <c r="Q207" i="3" a="1"/>
  <c r="Q207" i="3" s="1"/>
  <c r="Q208" i="3" a="1"/>
  <c r="Q208" i="3" s="1"/>
  <c r="Q209" i="3" a="1"/>
  <c r="Q209" i="3" s="1"/>
  <c r="Q210" i="3" a="1"/>
  <c r="Q210" i="3" s="1"/>
  <c r="Q211" i="3" a="1"/>
  <c r="Q211" i="3" s="1"/>
  <c r="Q212" i="3" a="1"/>
  <c r="Q212" i="3" s="1"/>
  <c r="Q213" i="3" a="1"/>
  <c r="Q213" i="3" s="1"/>
  <c r="Q214" i="3" a="1"/>
  <c r="Q214" i="3" s="1"/>
  <c r="Q215" i="3" a="1"/>
  <c r="Q215" i="3" s="1"/>
  <c r="Q216" i="3" a="1"/>
  <c r="Q216" i="3" s="1"/>
  <c r="Q217" i="3" a="1"/>
  <c r="Q217" i="3" s="1"/>
  <c r="Q218" i="3" a="1"/>
  <c r="Q218" i="3" s="1"/>
  <c r="Q219" i="3" a="1"/>
  <c r="Q219" i="3" s="1"/>
  <c r="Q220" i="3" a="1"/>
  <c r="Q220" i="3" s="1"/>
  <c r="Q221" i="3" a="1"/>
  <c r="Q221" i="3" s="1"/>
  <c r="Q222" i="3" a="1"/>
  <c r="Q222" i="3" s="1"/>
  <c r="Q223" i="3" a="1"/>
  <c r="Q223" i="3" s="1"/>
  <c r="Q224" i="3" a="1"/>
  <c r="Q224" i="3" s="1"/>
  <c r="Q225" i="3" a="1"/>
  <c r="Q225" i="3" s="1"/>
  <c r="Q226" i="3" a="1"/>
  <c r="Q226" i="3" s="1"/>
  <c r="Q227" i="3" a="1"/>
  <c r="Q227" i="3" s="1"/>
  <c r="Q228" i="3" a="1"/>
  <c r="Q228" i="3" s="1"/>
  <c r="Q229" i="3" a="1"/>
  <c r="Q229" i="3" s="1"/>
  <c r="Q230" i="3" a="1"/>
  <c r="Q230" i="3" s="1"/>
  <c r="Q231" i="3" a="1"/>
  <c r="Q231" i="3" s="1"/>
  <c r="Q232" i="3" a="1"/>
  <c r="Q232" i="3" s="1"/>
  <c r="Q233" i="3" a="1"/>
  <c r="Q233" i="3" s="1"/>
  <c r="Q234" i="3" a="1"/>
  <c r="Q234" i="3" s="1"/>
  <c r="Q235" i="3" a="1"/>
  <c r="Q235" i="3" s="1"/>
  <c r="Q236" i="3" a="1"/>
  <c r="Q236" i="3" s="1"/>
  <c r="Q237" i="3" a="1"/>
  <c r="Q237" i="3" s="1"/>
  <c r="Q238" i="3" a="1"/>
  <c r="Q238" i="3" s="1"/>
  <c r="Q239" i="3" a="1"/>
  <c r="Q239" i="3" s="1"/>
  <c r="Q240" i="3" a="1"/>
  <c r="Q240" i="3" s="1"/>
  <c r="Q241" i="3" a="1"/>
  <c r="Q241" i="3" s="1"/>
  <c r="Q242" i="3" a="1"/>
  <c r="Q242" i="3" s="1"/>
  <c r="Q243" i="3" a="1"/>
  <c r="Q243" i="3" s="1"/>
  <c r="Q244" i="3" a="1"/>
  <c r="Q244" i="3" s="1"/>
  <c r="Q245" i="3" a="1"/>
  <c r="Q245" i="3" s="1"/>
  <c r="Q246" i="3" a="1"/>
  <c r="Q246" i="3" s="1"/>
  <c r="Q247" i="3" a="1"/>
  <c r="Q247" i="3" s="1"/>
  <c r="Q248" i="3" a="1"/>
  <c r="Q248" i="3" s="1"/>
  <c r="Q249" i="3" a="1"/>
  <c r="Q249" i="3" s="1"/>
  <c r="Q250" i="3" a="1"/>
  <c r="Q250" i="3" s="1"/>
  <c r="Q251" i="3" a="1"/>
  <c r="Q251" i="3" s="1"/>
  <c r="Q252" i="3" a="1"/>
  <c r="Q252" i="3" s="1"/>
  <c r="Q253" i="3" a="1"/>
  <c r="Q253" i="3" s="1"/>
  <c r="Q254" i="3" a="1"/>
  <c r="Q254" i="3" s="1"/>
  <c r="Q255" i="3" a="1"/>
  <c r="Q255" i="3" s="1"/>
  <c r="Q256" i="3" a="1"/>
  <c r="Q256" i="3" s="1"/>
  <c r="Q257" i="3" a="1"/>
  <c r="Q257" i="3" s="1"/>
  <c r="Q258" i="3" a="1"/>
  <c r="Q258" i="3" s="1"/>
  <c r="Q259" i="3" a="1"/>
  <c r="Q259" i="3" s="1"/>
  <c r="Q260" i="3" a="1"/>
  <c r="Q260" i="3" s="1"/>
  <c r="Q261" i="3" a="1"/>
  <c r="Q261" i="3" s="1"/>
  <c r="Q262" i="3" a="1"/>
  <c r="Q262" i="3" s="1"/>
  <c r="Q263" i="3" a="1"/>
  <c r="Q263" i="3" s="1"/>
  <c r="Q264" i="3" a="1"/>
  <c r="Q264" i="3" s="1"/>
  <c r="Q265" i="3" a="1"/>
  <c r="Q265" i="3" s="1"/>
  <c r="Q266" i="3" a="1"/>
  <c r="Q266" i="3" s="1"/>
  <c r="Q267" i="3" a="1"/>
  <c r="Q267" i="3" s="1"/>
  <c r="Q268" i="3" a="1"/>
  <c r="Q268" i="3" s="1"/>
  <c r="Q269" i="3" a="1"/>
  <c r="Q269" i="3" s="1"/>
  <c r="Q270" i="3" a="1"/>
  <c r="Q270" i="3" s="1"/>
  <c r="Q271" i="3" a="1"/>
  <c r="Q271" i="3" s="1"/>
  <c r="Q272" i="3" a="1"/>
  <c r="Q272" i="3" s="1"/>
  <c r="Q273" i="3" a="1"/>
  <c r="Q273" i="3" s="1"/>
  <c r="Q274" i="3" a="1"/>
  <c r="Q274" i="3" s="1"/>
  <c r="Q275" i="3" a="1"/>
  <c r="Q275" i="3" s="1"/>
  <c r="Q276" i="3" a="1"/>
  <c r="Q276" i="3" s="1"/>
  <c r="Q277" i="3" a="1"/>
  <c r="Q277" i="3" s="1"/>
  <c r="Q278" i="3" a="1"/>
  <c r="Q278" i="3" s="1"/>
  <c r="Q279" i="3" a="1"/>
  <c r="Q279" i="3" s="1"/>
  <c r="Q280" i="3" a="1"/>
  <c r="Q280" i="3" s="1"/>
  <c r="Q281" i="3" a="1"/>
  <c r="Q281" i="3" s="1"/>
  <c r="Q282" i="3" a="1"/>
  <c r="Q282" i="3" s="1"/>
  <c r="Q283" i="3" a="1"/>
  <c r="Q283" i="3" s="1"/>
  <c r="Q284" i="3" a="1"/>
  <c r="Q284" i="3" s="1"/>
  <c r="Q285" i="3" a="1"/>
  <c r="Q285" i="3" s="1"/>
  <c r="Q286" i="3" a="1"/>
  <c r="Q286" i="3" s="1"/>
  <c r="Q287" i="3" a="1"/>
  <c r="Q287" i="3" s="1"/>
  <c r="Q288" i="3" a="1"/>
  <c r="Q288" i="3" s="1"/>
  <c r="Q289" i="3" a="1"/>
  <c r="Q289" i="3" s="1"/>
  <c r="Q290" i="3" a="1"/>
  <c r="Q290" i="3" s="1"/>
  <c r="Q291" i="3" a="1"/>
  <c r="Q291" i="3" s="1"/>
  <c r="Q292" i="3" a="1"/>
  <c r="Q292" i="3" s="1"/>
  <c r="Q293" i="3" a="1"/>
  <c r="Q293" i="3" s="1"/>
  <c r="Q294" i="3" a="1"/>
  <c r="Q294" i="3" s="1"/>
  <c r="Q295" i="3" a="1"/>
  <c r="Q295" i="3" s="1"/>
  <c r="Q296" i="3" a="1"/>
  <c r="Q296" i="3" s="1"/>
  <c r="Q297" i="3" a="1"/>
  <c r="Q297" i="3" s="1"/>
  <c r="Q298" i="3" a="1"/>
  <c r="Q298" i="3" s="1"/>
  <c r="Q299" i="3" a="1"/>
  <c r="Q299" i="3" s="1"/>
  <c r="Q300" i="3" a="1"/>
  <c r="Q300" i="3" s="1"/>
  <c r="Q301" i="3" a="1"/>
  <c r="Q301" i="3" s="1"/>
  <c r="Q302" i="3" a="1"/>
  <c r="Q302" i="3" s="1"/>
  <c r="Q303" i="3" a="1"/>
  <c r="Q303" i="3" s="1"/>
  <c r="Q304" i="3" a="1"/>
  <c r="Q304" i="3" s="1"/>
  <c r="Q305" i="3" a="1"/>
  <c r="Q305" i="3" s="1"/>
  <c r="Q306" i="3" a="1"/>
  <c r="Q306" i="3" s="1"/>
  <c r="Q307" i="3" a="1"/>
  <c r="Q307" i="3" s="1"/>
  <c r="Q308" i="3" a="1"/>
  <c r="Q308" i="3" s="1"/>
  <c r="Q309" i="3" a="1"/>
  <c r="Q309" i="3" s="1"/>
  <c r="Q310" i="3" a="1"/>
  <c r="Q310" i="3" s="1"/>
  <c r="Q311" i="3" a="1"/>
  <c r="Q311" i="3" s="1"/>
  <c r="Q312" i="3" a="1"/>
  <c r="Q312" i="3" s="1"/>
  <c r="Q313" i="3" a="1"/>
  <c r="Q313" i="3" s="1"/>
  <c r="Q314" i="3" a="1"/>
  <c r="Q314" i="3" s="1"/>
  <c r="Q315" i="3" a="1"/>
  <c r="Q315" i="3" s="1"/>
  <c r="Q316" i="3" a="1"/>
  <c r="Q316" i="3" s="1"/>
  <c r="Q317" i="3" a="1"/>
  <c r="Q317" i="3" s="1"/>
  <c r="Q318" i="3" a="1"/>
  <c r="Q318" i="3" s="1"/>
  <c r="Q319" i="3" a="1"/>
  <c r="Q319" i="3" s="1"/>
  <c r="Q320" i="3" a="1"/>
  <c r="Q320" i="3" s="1"/>
  <c r="Q321" i="3" a="1"/>
  <c r="Q321" i="3" s="1"/>
  <c r="Q322" i="3" a="1"/>
  <c r="Q322" i="3" s="1"/>
  <c r="Q323" i="3" a="1"/>
  <c r="Q323" i="3" s="1"/>
  <c r="Q324" i="3" a="1"/>
  <c r="Q324" i="3" s="1"/>
  <c r="Q325" i="3" a="1"/>
  <c r="Q325" i="3" s="1"/>
  <c r="Q326" i="3" a="1"/>
  <c r="Q326" i="3" s="1"/>
  <c r="Q327" i="3" a="1"/>
  <c r="Q327" i="3" s="1"/>
  <c r="Q328" i="3" a="1"/>
  <c r="Q328" i="3" s="1"/>
  <c r="Q329" i="3" a="1"/>
  <c r="Q329" i="3" s="1"/>
  <c r="Q330" i="3" a="1"/>
  <c r="Q330" i="3" s="1"/>
  <c r="Q331" i="3" a="1"/>
  <c r="Q331" i="3" s="1"/>
  <c r="Q332" i="3" a="1"/>
  <c r="Q332" i="3" s="1"/>
  <c r="Q333" i="3" a="1"/>
  <c r="Q333" i="3" s="1"/>
  <c r="Q334" i="3" a="1"/>
  <c r="Q334" i="3" s="1"/>
  <c r="Q335" i="3" a="1"/>
  <c r="Q335" i="3" s="1"/>
  <c r="Q336" i="3" a="1"/>
  <c r="Q336" i="3" s="1"/>
  <c r="Q337" i="3" a="1"/>
  <c r="Q337" i="3" s="1"/>
  <c r="Q338" i="3" a="1"/>
  <c r="Q338" i="3" s="1"/>
  <c r="Q339" i="3" a="1"/>
  <c r="Q339" i="3" s="1"/>
  <c r="Q340" i="3" a="1"/>
  <c r="Q340" i="3" s="1"/>
  <c r="Q341" i="3" a="1"/>
  <c r="Q341" i="3" s="1"/>
  <c r="Q342" i="3" a="1"/>
  <c r="Q342" i="3" s="1"/>
  <c r="Q343" i="3" a="1"/>
  <c r="Q343" i="3" s="1"/>
  <c r="Q344" i="3" a="1"/>
  <c r="Q344" i="3" s="1"/>
  <c r="Q345" i="3" a="1"/>
  <c r="Q345" i="3" s="1"/>
  <c r="Q346" i="3" a="1"/>
  <c r="Q346" i="3" s="1"/>
  <c r="Q347" i="3" a="1"/>
  <c r="Q347" i="3" s="1"/>
  <c r="Q348" i="3" a="1"/>
  <c r="Q348" i="3" s="1"/>
  <c r="Q349" i="3" a="1"/>
  <c r="Q349" i="3" s="1"/>
  <c r="Q350" i="3" a="1"/>
  <c r="Q350" i="3" s="1"/>
  <c r="Q351" i="3" a="1"/>
  <c r="Q351" i="3" s="1"/>
  <c r="Q352" i="3" a="1"/>
  <c r="Q352" i="3" s="1"/>
  <c r="Q353" i="3" a="1"/>
  <c r="Q353" i="3" s="1"/>
  <c r="Q354" i="3" a="1"/>
  <c r="Q354" i="3" s="1"/>
  <c r="Q355" i="3" a="1"/>
  <c r="Q355" i="3" s="1"/>
  <c r="Q356" i="3" a="1"/>
  <c r="Q356" i="3" s="1"/>
  <c r="Q357" i="3" a="1"/>
  <c r="Q357" i="3" s="1"/>
  <c r="Q358" i="3" a="1"/>
  <c r="Q358" i="3" s="1"/>
  <c r="Q359" i="3" a="1"/>
  <c r="Q359" i="3" s="1"/>
  <c r="Q360" i="3" a="1"/>
  <c r="Q360" i="3" s="1"/>
  <c r="Q361" i="3" a="1"/>
  <c r="Q361" i="3" s="1"/>
  <c r="Q362" i="3" a="1"/>
  <c r="Q362" i="3" s="1"/>
  <c r="Q363" i="3" a="1"/>
  <c r="Q363" i="3" s="1"/>
  <c r="Q364" i="3" a="1"/>
  <c r="Q364" i="3" s="1"/>
  <c r="Q365" i="3" a="1"/>
  <c r="Q365" i="3" s="1"/>
  <c r="Q366" i="3" a="1"/>
  <c r="Q366" i="3" s="1"/>
  <c r="Q367" i="3" a="1"/>
  <c r="Q367" i="3" s="1"/>
  <c r="Q368" i="3" a="1"/>
  <c r="Q368" i="3" s="1"/>
  <c r="Q369" i="3" a="1"/>
  <c r="Q369" i="3" s="1"/>
  <c r="Q370" i="3" a="1"/>
  <c r="Q370" i="3" s="1"/>
  <c r="Q371" i="3" a="1"/>
  <c r="Q371" i="3" s="1"/>
  <c r="Q372" i="3" a="1"/>
  <c r="Q372" i="3" s="1"/>
  <c r="Q373" i="3" a="1"/>
  <c r="Q373" i="3" s="1"/>
  <c r="Q374" i="3" a="1"/>
  <c r="Q374" i="3" s="1"/>
  <c r="Q375" i="3" a="1"/>
  <c r="Q375" i="3" s="1"/>
  <c r="Q376" i="3" a="1"/>
  <c r="Q376" i="3" s="1"/>
  <c r="Q377" i="3" a="1"/>
  <c r="Q377" i="3" s="1"/>
  <c r="Q378" i="3" a="1"/>
  <c r="Q378" i="3" s="1"/>
  <c r="Q379" i="3" a="1"/>
  <c r="Q379" i="3" s="1"/>
  <c r="Q380" i="3" a="1"/>
  <c r="Q380" i="3" s="1"/>
  <c r="Q381" i="3" a="1"/>
  <c r="Q381" i="3" s="1"/>
  <c r="Q382" i="3" a="1"/>
  <c r="Q382" i="3" s="1"/>
  <c r="Q383" i="3" a="1"/>
  <c r="Q383" i="3" s="1"/>
  <c r="Q384" i="3" a="1"/>
  <c r="Q384" i="3" s="1"/>
  <c r="Q385" i="3" a="1"/>
  <c r="Q385" i="3" s="1"/>
  <c r="Q386" i="3" a="1"/>
  <c r="Q386" i="3" s="1"/>
  <c r="Q387" i="3" a="1"/>
  <c r="Q387" i="3" s="1"/>
  <c r="Q388" i="3" a="1"/>
  <c r="Q388" i="3" s="1"/>
  <c r="Q389" i="3" a="1"/>
  <c r="Q389" i="3" s="1"/>
  <c r="Q390" i="3" a="1"/>
  <c r="Q390" i="3" s="1"/>
  <c r="Q391" i="3" a="1"/>
  <c r="Q391" i="3" s="1"/>
  <c r="Q392" i="3" a="1"/>
  <c r="Q392" i="3" s="1"/>
  <c r="Q393" i="3" a="1"/>
  <c r="Q393" i="3" s="1"/>
  <c r="Q394" i="3" a="1"/>
  <c r="Q394" i="3" s="1"/>
  <c r="Q395" i="3" a="1"/>
  <c r="Q395" i="3" s="1"/>
  <c r="Q396" i="3" a="1"/>
  <c r="Q396" i="3" s="1"/>
  <c r="Q397" i="3" a="1"/>
  <c r="Q397" i="3" s="1"/>
  <c r="Q398" i="3" a="1"/>
  <c r="Q398" i="3" s="1"/>
  <c r="Q399" i="3" a="1"/>
  <c r="Q399" i="3" s="1"/>
  <c r="Q400" i="3" a="1"/>
  <c r="Q400" i="3" s="1"/>
  <c r="Q401" i="3" a="1"/>
  <c r="Q401" i="3" s="1"/>
  <c r="Q402" i="3" a="1"/>
  <c r="Q402" i="3" s="1"/>
  <c r="Q403" i="3" a="1"/>
  <c r="Q403" i="3" s="1"/>
  <c r="Q404" i="3" a="1"/>
  <c r="Q404" i="3" s="1"/>
  <c r="Q405" i="3" a="1"/>
  <c r="Q405" i="3" s="1"/>
  <c r="Q406" i="3" a="1"/>
  <c r="Q406" i="3" s="1"/>
  <c r="Q407" i="3" a="1"/>
  <c r="Q407" i="3" s="1"/>
  <c r="Q408" i="3" a="1"/>
  <c r="Q408" i="3" s="1"/>
  <c r="Q409" i="3" a="1"/>
  <c r="Q409" i="3" s="1"/>
  <c r="Q410" i="3" a="1"/>
  <c r="Q410" i="3" s="1"/>
  <c r="Q411" i="3" a="1"/>
  <c r="Q411" i="3" s="1"/>
  <c r="Q412" i="3" a="1"/>
  <c r="Q412" i="3" s="1"/>
  <c r="Q413" i="3" a="1"/>
  <c r="Q413" i="3" s="1"/>
  <c r="Q414" i="3" a="1"/>
  <c r="Q414" i="3" s="1"/>
  <c r="Q415" i="3" a="1"/>
  <c r="Q415" i="3" s="1"/>
  <c r="Q416" i="3" a="1"/>
  <c r="Q416" i="3" s="1"/>
  <c r="Q417" i="3" a="1"/>
  <c r="Q417" i="3" s="1"/>
  <c r="Q418" i="3" a="1"/>
  <c r="Q418" i="3" s="1"/>
  <c r="Q419" i="3" a="1"/>
  <c r="Q419" i="3" s="1"/>
  <c r="Q420" i="3" a="1"/>
  <c r="Q420" i="3" s="1"/>
  <c r="Q421" i="3" a="1"/>
  <c r="Q421" i="3" s="1"/>
  <c r="Q422" i="3" a="1"/>
  <c r="Q422" i="3" s="1"/>
  <c r="Q423" i="3" a="1"/>
  <c r="Q423" i="3" s="1"/>
  <c r="Q424" i="3" a="1"/>
  <c r="Q424" i="3" s="1"/>
  <c r="Q425" i="3" a="1"/>
  <c r="Q425" i="3" s="1"/>
  <c r="Q426" i="3" a="1"/>
  <c r="Q426" i="3" s="1"/>
  <c r="Q427" i="3" a="1"/>
  <c r="Q427" i="3" s="1"/>
  <c r="Q428" i="3" a="1"/>
  <c r="Q428" i="3" s="1"/>
  <c r="Q429" i="3" a="1"/>
  <c r="Q429" i="3" s="1"/>
  <c r="Q430" i="3" a="1"/>
  <c r="Q430" i="3" s="1"/>
  <c r="Q431" i="3" a="1"/>
  <c r="Q431" i="3" s="1"/>
  <c r="Q432" i="3" a="1"/>
  <c r="Q432" i="3" s="1"/>
  <c r="Q433" i="3" a="1"/>
  <c r="Q433" i="3" s="1"/>
  <c r="Q434" i="3" a="1"/>
  <c r="Q434" i="3" s="1"/>
  <c r="Q435" i="3" a="1"/>
  <c r="Q435" i="3" s="1"/>
  <c r="Q436" i="3" a="1"/>
  <c r="Q436" i="3" s="1"/>
  <c r="Q437" i="3" a="1"/>
  <c r="Q437" i="3" s="1"/>
  <c r="Q438" i="3" a="1"/>
  <c r="Q438" i="3" s="1"/>
  <c r="Q439" i="3" a="1"/>
  <c r="Q439" i="3" s="1"/>
  <c r="Q440" i="3" a="1"/>
  <c r="Q440" i="3" s="1"/>
  <c r="Q441" i="3" a="1"/>
  <c r="Q441" i="3" s="1"/>
  <c r="Q442" i="3" a="1"/>
  <c r="Q442" i="3" s="1"/>
  <c r="Q443" i="3" a="1"/>
  <c r="Q443" i="3" s="1"/>
  <c r="Q444" i="3" a="1"/>
  <c r="Q444" i="3" s="1"/>
  <c r="Q445" i="3" a="1"/>
  <c r="Q445" i="3" s="1"/>
  <c r="Q446" i="3" a="1"/>
  <c r="Q446" i="3" s="1"/>
  <c r="Q447" i="3" a="1"/>
  <c r="Q447" i="3" s="1"/>
  <c r="Q448" i="3" a="1"/>
  <c r="Q448" i="3" s="1"/>
  <c r="Q449" i="3" a="1"/>
  <c r="Q449" i="3" s="1"/>
  <c r="Q450" i="3" a="1"/>
  <c r="Q450" i="3" s="1"/>
  <c r="Q451" i="3" a="1"/>
  <c r="Q451" i="3" s="1"/>
  <c r="Q452" i="3" a="1"/>
  <c r="Q452" i="3" s="1"/>
  <c r="Q453" i="3" a="1"/>
  <c r="Q453" i="3" s="1"/>
  <c r="Q454" i="3" a="1"/>
  <c r="Q454" i="3" s="1"/>
  <c r="Q455" i="3" a="1"/>
  <c r="Q455" i="3" s="1"/>
  <c r="Q456" i="3" a="1"/>
  <c r="Q456" i="3" s="1"/>
  <c r="Q457" i="3" a="1"/>
  <c r="Q457" i="3" s="1"/>
  <c r="Q458" i="3" a="1"/>
  <c r="Q458" i="3" s="1"/>
  <c r="Q459" i="3" a="1"/>
  <c r="Q459" i="3" s="1"/>
  <c r="Q460" i="3" a="1"/>
  <c r="Q460" i="3" s="1"/>
  <c r="Q461" i="3" a="1"/>
  <c r="Q461" i="3" s="1"/>
  <c r="Q462" i="3" a="1"/>
  <c r="Q462" i="3" s="1"/>
  <c r="Q463" i="3" a="1"/>
  <c r="Q463" i="3" s="1"/>
  <c r="Q464" i="3" a="1"/>
  <c r="Q464" i="3" s="1"/>
  <c r="Q465" i="3" a="1"/>
  <c r="Q465" i="3" s="1"/>
  <c r="Q466" i="3" a="1"/>
  <c r="Q466" i="3" s="1"/>
  <c r="Q467" i="3" a="1"/>
  <c r="Q467" i="3" s="1"/>
  <c r="Q468" i="3" a="1"/>
  <c r="Q468" i="3" s="1"/>
  <c r="Q469" i="3" a="1"/>
  <c r="Q469" i="3" s="1"/>
  <c r="Q470" i="3" a="1"/>
  <c r="Q470" i="3" s="1"/>
  <c r="Q471" i="3" a="1"/>
  <c r="Q471" i="3" s="1"/>
  <c r="Q472" i="3" a="1"/>
  <c r="Q472" i="3" s="1"/>
  <c r="Q473" i="3" a="1"/>
  <c r="Q473" i="3" s="1"/>
  <c r="Q474" i="3" a="1"/>
  <c r="Q474" i="3" s="1"/>
  <c r="Q475" i="3" a="1"/>
  <c r="Q475" i="3" s="1"/>
  <c r="Q476" i="3" a="1"/>
  <c r="Q476" i="3" s="1"/>
  <c r="Q477" i="3" a="1"/>
  <c r="Q477" i="3" s="1"/>
  <c r="Q478" i="3" a="1"/>
  <c r="Q478" i="3" s="1"/>
  <c r="Q479" i="3" a="1"/>
  <c r="Q479" i="3" s="1"/>
  <c r="Q480" i="3" a="1"/>
  <c r="Q480" i="3" s="1"/>
  <c r="Q481" i="3" a="1"/>
  <c r="Q481" i="3" s="1"/>
  <c r="Q482" i="3" a="1"/>
  <c r="Q482" i="3" s="1"/>
  <c r="Q483" i="3" a="1"/>
  <c r="Q483" i="3" s="1"/>
  <c r="Q484" i="3" a="1"/>
  <c r="Q484" i="3" s="1"/>
  <c r="Q485" i="3" a="1"/>
  <c r="Q485" i="3" s="1"/>
  <c r="Q486" i="3" a="1"/>
  <c r="Q486" i="3" s="1"/>
  <c r="Q487" i="3" a="1"/>
  <c r="Q487" i="3" s="1"/>
  <c r="Q488" i="3" a="1"/>
  <c r="Q488" i="3" s="1"/>
  <c r="Q489" i="3" a="1"/>
  <c r="Q489" i="3" s="1"/>
  <c r="Q490" i="3" a="1"/>
  <c r="Q490" i="3" s="1"/>
  <c r="Q491" i="3" a="1"/>
  <c r="Q491" i="3" s="1"/>
  <c r="Q492" i="3" a="1"/>
  <c r="Q492" i="3" s="1"/>
  <c r="Q493" i="3" a="1"/>
  <c r="Q493" i="3" s="1"/>
  <c r="Q494" i="3" a="1"/>
  <c r="Q494" i="3" s="1"/>
  <c r="Q495" i="3" a="1"/>
  <c r="Q495" i="3" s="1"/>
  <c r="Q496" i="3" a="1"/>
  <c r="Q496" i="3" s="1"/>
  <c r="Q497" i="3" a="1"/>
  <c r="Q497" i="3" s="1"/>
  <c r="Q498" i="3" a="1"/>
  <c r="Q498" i="3" s="1"/>
  <c r="Q499" i="3" a="1"/>
  <c r="Q499" i="3" s="1"/>
  <c r="Q500" i="3" a="1"/>
  <c r="Q500" i="3" s="1"/>
  <c r="Q501" i="3" a="1"/>
  <c r="Q501" i="3" s="1"/>
  <c r="Q502" i="3" a="1"/>
  <c r="Q502" i="3" s="1"/>
  <c r="Q503" i="3" a="1"/>
  <c r="Q503" i="3" s="1"/>
  <c r="Q504" i="3" a="1"/>
  <c r="Q504" i="3" s="1"/>
  <c r="Q505" i="3" a="1"/>
  <c r="Q505" i="3" s="1"/>
  <c r="Q506" i="3" a="1"/>
  <c r="Q506" i="3" s="1"/>
  <c r="Q507" i="3" a="1"/>
  <c r="Q507" i="3" s="1"/>
  <c r="Q508" i="3" a="1"/>
  <c r="Q508" i="3" s="1"/>
  <c r="Q509" i="3" a="1"/>
  <c r="Q509" i="3" s="1"/>
  <c r="Q510" i="3" a="1"/>
  <c r="Q510" i="3" s="1"/>
  <c r="Q511" i="3" a="1"/>
  <c r="Q511" i="3" s="1"/>
  <c r="Q512" i="3" a="1"/>
  <c r="Q512" i="3" s="1"/>
  <c r="Q513" i="3" a="1"/>
  <c r="Q513" i="3" s="1"/>
  <c r="Q514" i="3" a="1"/>
  <c r="Q514" i="3" s="1"/>
  <c r="Q515" i="3" a="1"/>
  <c r="Q515" i="3" s="1"/>
  <c r="Q516" i="3" a="1"/>
  <c r="Q516" i="3" s="1"/>
  <c r="Q517" i="3" a="1"/>
  <c r="Q517" i="3" s="1"/>
  <c r="Q518" i="3" a="1"/>
  <c r="Q518" i="3" s="1"/>
  <c r="Q519" i="3" a="1"/>
  <c r="Q519" i="3" s="1"/>
  <c r="Q520" i="3" a="1"/>
  <c r="Q520" i="3" s="1"/>
  <c r="Q521" i="3" a="1"/>
  <c r="Q521" i="3" s="1"/>
  <c r="Q522" i="3" a="1"/>
  <c r="Q522" i="3" s="1"/>
  <c r="Q523" i="3" a="1"/>
  <c r="Q523" i="3" s="1"/>
  <c r="Q524" i="3" a="1"/>
  <c r="Q524" i="3" s="1"/>
  <c r="Q525" i="3" a="1"/>
  <c r="Q525" i="3" s="1"/>
  <c r="Q526" i="3" a="1"/>
  <c r="Q526" i="3" s="1"/>
  <c r="Q527" i="3" a="1"/>
  <c r="Q527" i="3" s="1"/>
  <c r="Q528" i="3" a="1"/>
  <c r="Q528" i="3" s="1"/>
  <c r="Q529" i="3" a="1"/>
  <c r="Q529" i="3" s="1"/>
  <c r="Q530" i="3" a="1"/>
  <c r="Q530" i="3" s="1"/>
  <c r="Q531" i="3" a="1"/>
  <c r="Q531" i="3" s="1"/>
  <c r="Q532" i="3" a="1"/>
  <c r="Q532" i="3" s="1"/>
  <c r="Q533" i="3" a="1"/>
  <c r="Q533" i="3" s="1"/>
  <c r="Q534" i="3" a="1"/>
  <c r="Q534" i="3" s="1"/>
  <c r="Q535" i="3" a="1"/>
  <c r="Q535" i="3" s="1"/>
  <c r="Q536" i="3" a="1"/>
  <c r="Q536" i="3" s="1"/>
  <c r="Q537" i="3" a="1"/>
  <c r="Q537" i="3" s="1"/>
  <c r="Q538" i="3" a="1"/>
  <c r="Q538" i="3" s="1"/>
  <c r="Q539" i="3" a="1"/>
  <c r="Q539" i="3" s="1"/>
  <c r="Q540" i="3" a="1"/>
  <c r="Q540" i="3" s="1"/>
  <c r="Q541" i="3" a="1"/>
  <c r="Q541" i="3" s="1"/>
  <c r="Q542" i="3" a="1"/>
  <c r="Q542" i="3" s="1"/>
  <c r="Q543" i="3" a="1"/>
  <c r="Q543" i="3" s="1"/>
  <c r="Q544" i="3" a="1"/>
  <c r="Q544" i="3" s="1"/>
  <c r="Q545" i="3" a="1"/>
  <c r="Q545" i="3" s="1"/>
  <c r="Q546" i="3" a="1"/>
  <c r="Q546" i="3" s="1"/>
  <c r="Q547" i="3" a="1"/>
  <c r="Q547" i="3" s="1"/>
  <c r="Q548" i="3" a="1"/>
  <c r="Q548" i="3" s="1"/>
  <c r="Q549" i="3" a="1"/>
  <c r="Q549" i="3" s="1"/>
  <c r="Q550" i="3" a="1"/>
  <c r="Q550" i="3" s="1"/>
  <c r="Q551" i="3" a="1"/>
  <c r="Q551" i="3" s="1"/>
  <c r="Q552" i="3" a="1"/>
  <c r="Q552" i="3" s="1"/>
  <c r="Q553" i="3" a="1"/>
  <c r="Q553" i="3" s="1"/>
  <c r="Q554" i="3" a="1"/>
  <c r="Q554" i="3" s="1"/>
  <c r="Q555" i="3" a="1"/>
  <c r="Q555" i="3" s="1"/>
  <c r="Q556" i="3" a="1"/>
  <c r="Q556" i="3" s="1"/>
  <c r="Q557" i="3" a="1"/>
  <c r="Q557" i="3" s="1"/>
  <c r="Q558" i="3" a="1"/>
  <c r="Q558" i="3" s="1"/>
  <c r="Q559" i="3" a="1"/>
  <c r="Q559" i="3" s="1"/>
  <c r="Q560" i="3" a="1"/>
  <c r="Q560" i="3" s="1"/>
  <c r="Q561" i="3" a="1"/>
  <c r="Q561" i="3" s="1"/>
  <c r="Q562" i="3" a="1"/>
  <c r="Q562" i="3" s="1"/>
  <c r="Q563" i="3" a="1"/>
  <c r="Q563" i="3" s="1"/>
  <c r="Q564" i="3" a="1"/>
  <c r="Q564" i="3" s="1"/>
  <c r="Q565" i="3" a="1"/>
  <c r="Q565" i="3" s="1"/>
  <c r="Q566" i="3" a="1"/>
  <c r="Q566" i="3" s="1"/>
  <c r="Q567" i="3" a="1"/>
  <c r="Q567" i="3" s="1"/>
  <c r="Q568" i="3" a="1"/>
  <c r="Q568" i="3" s="1"/>
  <c r="Q569" i="3" a="1"/>
  <c r="Q569" i="3" s="1"/>
  <c r="Q570" i="3" a="1"/>
  <c r="Q570" i="3" s="1"/>
  <c r="Q571" i="3" a="1"/>
  <c r="Q571" i="3" s="1"/>
  <c r="Q572" i="3" a="1"/>
  <c r="Q572" i="3" s="1"/>
  <c r="Q573" i="3" a="1"/>
  <c r="Q573" i="3" s="1"/>
  <c r="Q574" i="3" a="1"/>
  <c r="Q574" i="3" s="1"/>
  <c r="Q575" i="3" a="1"/>
  <c r="Q575" i="3" s="1"/>
  <c r="Q576" i="3" a="1"/>
  <c r="Q576" i="3" s="1"/>
  <c r="Q577" i="3" a="1"/>
  <c r="Q577" i="3" s="1"/>
  <c r="Q578" i="3" a="1"/>
  <c r="Q578" i="3" s="1"/>
  <c r="Q579" i="3" a="1"/>
  <c r="Q579" i="3" s="1"/>
  <c r="Q580" i="3" a="1"/>
  <c r="Q580" i="3" s="1"/>
  <c r="Q581" i="3" a="1"/>
  <c r="Q581" i="3" s="1"/>
  <c r="Q582" i="3" a="1"/>
  <c r="Q582" i="3" s="1"/>
  <c r="Q583" i="3" a="1"/>
  <c r="Q583" i="3" s="1"/>
  <c r="Q584" i="3" a="1"/>
  <c r="Q584" i="3" s="1"/>
  <c r="Q585" i="3" a="1"/>
  <c r="Q585" i="3" s="1"/>
  <c r="Q586" i="3" a="1"/>
  <c r="Q586" i="3" s="1"/>
  <c r="Q587" i="3" a="1"/>
  <c r="Q587" i="3" s="1"/>
  <c r="Q588" i="3" a="1"/>
  <c r="Q588" i="3" s="1"/>
  <c r="Q589" i="3" a="1"/>
  <c r="Q589" i="3" s="1"/>
  <c r="Q590" i="3" a="1"/>
  <c r="Q590" i="3" s="1"/>
  <c r="Q591" i="3" a="1"/>
  <c r="Q591" i="3" s="1"/>
  <c r="Q592" i="3" a="1"/>
  <c r="Q592" i="3" s="1"/>
  <c r="Q593" i="3" a="1"/>
  <c r="Q593" i="3" s="1"/>
  <c r="Q594" i="3" a="1"/>
  <c r="Q594" i="3" s="1"/>
  <c r="Q595" i="3" a="1"/>
  <c r="Q595" i="3" s="1"/>
  <c r="Q596" i="3" a="1"/>
  <c r="Q596" i="3" s="1"/>
  <c r="Q597" i="3" a="1"/>
  <c r="Q597" i="3" s="1"/>
  <c r="Q598" i="3" a="1"/>
  <c r="Q598" i="3" s="1"/>
  <c r="Q599" i="3" a="1"/>
  <c r="Q599" i="3" s="1"/>
  <c r="Q600" i="3" a="1"/>
  <c r="Q600" i="3" s="1"/>
  <c r="Q601" i="3" a="1"/>
  <c r="Q601" i="3" s="1"/>
  <c r="Q602" i="3" a="1"/>
  <c r="Q602" i="3" s="1"/>
  <c r="Q603" i="3" a="1"/>
  <c r="Q603" i="3" s="1"/>
  <c r="Q604" i="3" a="1"/>
  <c r="Q604" i="3" s="1"/>
  <c r="Q605" i="3" a="1"/>
  <c r="Q605" i="3" s="1"/>
  <c r="Q606" i="3" a="1"/>
  <c r="Q606" i="3" s="1"/>
  <c r="Q607" i="3" a="1"/>
  <c r="Q607" i="3" s="1"/>
  <c r="Q608" i="3" a="1"/>
  <c r="Q608" i="3" s="1"/>
  <c r="Q609" i="3" a="1"/>
  <c r="Q609" i="3" s="1"/>
  <c r="Q610" i="3" a="1"/>
  <c r="Q610" i="3" s="1"/>
  <c r="Q611" i="3" a="1"/>
  <c r="Q611" i="3" s="1"/>
  <c r="Q612" i="3" a="1"/>
  <c r="Q612" i="3" s="1"/>
  <c r="Q613" i="3" a="1"/>
  <c r="Q613" i="3" s="1"/>
  <c r="Q614" i="3" a="1"/>
  <c r="Q614" i="3" s="1"/>
  <c r="Q615" i="3" a="1"/>
  <c r="Q615" i="3" s="1"/>
  <c r="Q616" i="3" a="1"/>
  <c r="Q616" i="3" s="1"/>
  <c r="Q617" i="3" a="1"/>
  <c r="Q617" i="3" s="1"/>
  <c r="Q618" i="3" a="1"/>
  <c r="Q618" i="3" s="1"/>
  <c r="Q619" i="3" a="1"/>
  <c r="Q619" i="3" s="1"/>
  <c r="Q620" i="3" a="1"/>
  <c r="Q620" i="3" s="1"/>
  <c r="Q621" i="3" a="1"/>
  <c r="Q621" i="3" s="1"/>
  <c r="Q622" i="3" a="1"/>
  <c r="Q622" i="3" s="1"/>
  <c r="Q623" i="3" a="1"/>
  <c r="Q623" i="3" s="1"/>
  <c r="Q624" i="3" a="1"/>
  <c r="Q624" i="3" s="1"/>
  <c r="Q625" i="3" a="1"/>
  <c r="Q625" i="3" s="1"/>
  <c r="Q626" i="3" a="1"/>
  <c r="Q626" i="3" s="1"/>
  <c r="Q627" i="3" a="1"/>
  <c r="Q627" i="3" s="1"/>
  <c r="Q628" i="3" a="1"/>
  <c r="Q628" i="3" s="1"/>
  <c r="Q629" i="3" a="1"/>
  <c r="Q629" i="3" s="1"/>
  <c r="Q630" i="3" a="1"/>
  <c r="Q630" i="3" s="1"/>
  <c r="Q631" i="3" a="1"/>
  <c r="Q631" i="3" s="1"/>
  <c r="Q632" i="3" a="1"/>
  <c r="Q632" i="3" s="1"/>
  <c r="Q633" i="3" a="1"/>
  <c r="Q633" i="3" s="1"/>
  <c r="Q634" i="3" a="1"/>
  <c r="Q634" i="3" s="1"/>
  <c r="Q635" i="3" a="1"/>
  <c r="Q635" i="3" s="1"/>
  <c r="Q636" i="3" a="1"/>
  <c r="Q636" i="3" s="1"/>
  <c r="Q637" i="3" a="1"/>
  <c r="Q637" i="3" s="1"/>
  <c r="Q638" i="3" a="1"/>
  <c r="Q638" i="3" s="1"/>
  <c r="Q639" i="3" a="1"/>
  <c r="Q639" i="3" s="1"/>
  <c r="Q640" i="3" a="1"/>
  <c r="Q640" i="3" s="1"/>
  <c r="Q641" i="3" a="1"/>
  <c r="Q641" i="3" s="1"/>
  <c r="Q642" i="3" a="1"/>
  <c r="Q642" i="3" s="1"/>
  <c r="Q643" i="3" a="1"/>
  <c r="Q643" i="3" s="1"/>
  <c r="Q644" i="3" a="1"/>
  <c r="Q644" i="3" s="1"/>
  <c r="Q645" i="3" a="1"/>
  <c r="Q645" i="3" s="1"/>
  <c r="Q646" i="3" a="1"/>
  <c r="Q646" i="3" s="1"/>
  <c r="Q647" i="3" a="1"/>
  <c r="Q647" i="3" s="1"/>
  <c r="Q648" i="3" a="1"/>
  <c r="Q648" i="3" s="1"/>
  <c r="Q649" i="3" a="1"/>
  <c r="Q649" i="3" s="1"/>
  <c r="Q650" i="3" a="1"/>
  <c r="Q650" i="3" s="1"/>
  <c r="Q651" i="3" a="1"/>
  <c r="Q651" i="3" s="1"/>
  <c r="Q652" i="3" a="1"/>
  <c r="Q652" i="3" s="1"/>
  <c r="Q653" i="3" a="1"/>
  <c r="Q653" i="3" s="1"/>
  <c r="Q654" i="3" a="1"/>
  <c r="Q654" i="3" s="1"/>
  <c r="Q655" i="3" a="1"/>
  <c r="Q655" i="3" s="1"/>
  <c r="Q656" i="3" a="1"/>
  <c r="Q656" i="3" s="1"/>
  <c r="Q657" i="3" a="1"/>
  <c r="Q657" i="3" s="1"/>
  <c r="Q658" i="3" a="1"/>
  <c r="Q658" i="3" s="1"/>
  <c r="Q659" i="3" a="1"/>
  <c r="Q659" i="3" s="1"/>
  <c r="Q660" i="3" a="1"/>
  <c r="Q660" i="3" s="1"/>
  <c r="Q661" i="3" a="1"/>
  <c r="Q661" i="3" s="1"/>
  <c r="Q662" i="3" a="1"/>
  <c r="Q662" i="3" s="1"/>
  <c r="Q663" i="3" a="1"/>
  <c r="Q663" i="3" s="1"/>
  <c r="Q664" i="3" a="1"/>
  <c r="Q664" i="3" s="1"/>
  <c r="Q665" i="3" a="1"/>
  <c r="Q665" i="3" s="1"/>
  <c r="Q666" i="3" a="1"/>
  <c r="Q666" i="3" s="1"/>
  <c r="Q667" i="3" a="1"/>
  <c r="Q667" i="3" s="1"/>
  <c r="Q668" i="3" a="1"/>
  <c r="Q668" i="3" s="1"/>
  <c r="Q669" i="3" a="1"/>
  <c r="Q669" i="3" s="1"/>
  <c r="Q670" i="3" a="1"/>
  <c r="Q670" i="3" s="1"/>
  <c r="Q671" i="3" a="1"/>
  <c r="Q671" i="3" s="1"/>
  <c r="Q672" i="3" a="1"/>
  <c r="Q672" i="3" s="1"/>
  <c r="Q673" i="3" a="1"/>
  <c r="Q673" i="3" s="1"/>
  <c r="Q674" i="3" a="1"/>
  <c r="Q674" i="3" s="1"/>
  <c r="Q675" i="3" a="1"/>
  <c r="Q675" i="3" s="1"/>
  <c r="Q676" i="3" a="1"/>
  <c r="Q676" i="3" s="1"/>
  <c r="Q677" i="3" a="1"/>
  <c r="Q677" i="3" s="1"/>
  <c r="Q678" i="3" a="1"/>
  <c r="Q678" i="3" s="1"/>
  <c r="Q679" i="3" a="1"/>
  <c r="Q679" i="3" s="1"/>
  <c r="Q680" i="3" a="1"/>
  <c r="Q680" i="3" s="1"/>
  <c r="Q681" i="3" a="1"/>
  <c r="Q681" i="3" s="1"/>
  <c r="Q682" i="3" a="1"/>
  <c r="Q682" i="3" s="1"/>
  <c r="Q683" i="3" a="1"/>
  <c r="Q683" i="3" s="1"/>
  <c r="Q684" i="3" a="1"/>
  <c r="Q684" i="3" s="1"/>
  <c r="Q685" i="3" a="1"/>
  <c r="Q685" i="3" s="1"/>
  <c r="Q686" i="3" a="1"/>
  <c r="Q686" i="3" s="1"/>
  <c r="Q687" i="3" a="1"/>
  <c r="Q687" i="3" s="1"/>
  <c r="Q688" i="3" a="1"/>
  <c r="Q688" i="3" s="1"/>
  <c r="Q689" i="3" a="1"/>
  <c r="Q689" i="3" s="1"/>
  <c r="Q690" i="3" a="1"/>
  <c r="Q690" i="3" s="1"/>
  <c r="Q691" i="3" a="1"/>
  <c r="Q691" i="3" s="1"/>
  <c r="Q692" i="3" a="1"/>
  <c r="Q692" i="3" s="1"/>
  <c r="Q693" i="3" a="1"/>
  <c r="Q693" i="3" s="1"/>
  <c r="Q694" i="3" a="1"/>
  <c r="Q694" i="3" s="1"/>
  <c r="Q695" i="3" a="1"/>
  <c r="Q695" i="3" s="1"/>
  <c r="Q696" i="3" a="1"/>
  <c r="Q696" i="3" s="1"/>
  <c r="Q697" i="3" a="1"/>
  <c r="Q697" i="3" s="1"/>
  <c r="Q698" i="3" a="1"/>
  <c r="Q698" i="3" s="1"/>
  <c r="Q699" i="3" a="1"/>
  <c r="Q699" i="3" s="1"/>
  <c r="Q700" i="3" a="1"/>
  <c r="Q700" i="3" s="1"/>
  <c r="Q701" i="3" a="1"/>
  <c r="Q701" i="3" s="1"/>
  <c r="Q702" i="3" a="1"/>
  <c r="Q702" i="3" s="1"/>
  <c r="Q703" i="3" a="1"/>
  <c r="Q703" i="3" s="1"/>
  <c r="Q704" i="3" a="1"/>
  <c r="Q704" i="3" s="1"/>
  <c r="Q705" i="3" a="1"/>
  <c r="Q705" i="3" s="1"/>
  <c r="Q706" i="3" a="1"/>
  <c r="Q706" i="3" s="1"/>
  <c r="Q707" i="3" a="1"/>
  <c r="Q707" i="3" s="1"/>
  <c r="Q708" i="3" a="1"/>
  <c r="Q708" i="3" s="1"/>
  <c r="Q709" i="3" a="1"/>
  <c r="Q709" i="3" s="1"/>
  <c r="Q710" i="3" a="1"/>
  <c r="Q710" i="3" s="1"/>
  <c r="Q711" i="3" a="1"/>
  <c r="Q711" i="3" s="1"/>
  <c r="Q712" i="3" a="1"/>
  <c r="Q712" i="3" s="1"/>
  <c r="Q713" i="3" a="1"/>
  <c r="Q713" i="3" s="1"/>
  <c r="Q714" i="3" a="1"/>
  <c r="Q714" i="3" s="1"/>
  <c r="Q715" i="3" a="1"/>
  <c r="Q715" i="3" s="1"/>
  <c r="Q716" i="3" a="1"/>
  <c r="Q716" i="3" s="1"/>
  <c r="Q717" i="3" a="1"/>
  <c r="Q717" i="3" s="1"/>
  <c r="Q718" i="3" a="1"/>
  <c r="Q718" i="3" s="1"/>
  <c r="Q719" i="3" a="1"/>
  <c r="Q719" i="3" s="1"/>
  <c r="Q720" i="3" a="1"/>
  <c r="Q720" i="3" s="1"/>
  <c r="Q721" i="3" a="1"/>
  <c r="Q721" i="3" s="1"/>
  <c r="Q722" i="3" a="1"/>
  <c r="Q722" i="3" s="1"/>
  <c r="Q723" i="3" a="1"/>
  <c r="Q723" i="3" s="1"/>
  <c r="Q724" i="3" a="1"/>
  <c r="Q724" i="3" s="1"/>
  <c r="Q725" i="3" a="1"/>
  <c r="Q725" i="3" s="1"/>
  <c r="Q726" i="3" a="1"/>
  <c r="Q726" i="3" s="1"/>
  <c r="Q727" i="3" a="1"/>
  <c r="Q727" i="3" s="1"/>
  <c r="Q728" i="3" a="1"/>
  <c r="Q728" i="3" s="1"/>
  <c r="Q729" i="3" a="1"/>
  <c r="Q729" i="3" s="1"/>
  <c r="Q730" i="3" a="1"/>
  <c r="Q730" i="3" s="1"/>
  <c r="Q731" i="3" a="1"/>
  <c r="Q731" i="3" s="1"/>
  <c r="Q732" i="3" a="1"/>
  <c r="Q732" i="3" s="1"/>
  <c r="Q733" i="3" a="1"/>
  <c r="Q733" i="3" s="1"/>
  <c r="Q734" i="3" a="1"/>
  <c r="Q734" i="3" s="1"/>
  <c r="Q735" i="3" a="1"/>
  <c r="Q735" i="3" s="1"/>
  <c r="Q736" i="3" a="1"/>
  <c r="Q736" i="3" s="1"/>
  <c r="Q737" i="3" a="1"/>
  <c r="Q737" i="3" s="1"/>
  <c r="Q738" i="3" a="1"/>
  <c r="Q738" i="3" s="1"/>
  <c r="Q739" i="3" a="1"/>
  <c r="Q739" i="3" s="1"/>
  <c r="Q740" i="3" a="1"/>
  <c r="Q740" i="3" s="1"/>
  <c r="Q741" i="3" a="1"/>
  <c r="Q741" i="3" s="1"/>
  <c r="Q742" i="3" a="1"/>
  <c r="Q742" i="3" s="1"/>
  <c r="Q743" i="3" a="1"/>
  <c r="Q743" i="3" s="1"/>
  <c r="Q744" i="3" a="1"/>
  <c r="Q744" i="3" s="1"/>
  <c r="Q745" i="3" a="1"/>
  <c r="Q745" i="3" s="1"/>
  <c r="Q746" i="3" a="1"/>
  <c r="Q746" i="3" s="1"/>
  <c r="Q747" i="3" a="1"/>
  <c r="Q747" i="3" s="1"/>
  <c r="Q748" i="3" a="1"/>
  <c r="Q748" i="3" s="1"/>
  <c r="Q749" i="3" a="1"/>
  <c r="Q749" i="3" s="1"/>
  <c r="Q750" i="3" a="1"/>
  <c r="Q750" i="3" s="1"/>
  <c r="Q751" i="3" a="1"/>
  <c r="Q751" i="3" s="1"/>
  <c r="Q752" i="3" a="1"/>
  <c r="Q752" i="3" s="1"/>
  <c r="Q753" i="3" a="1"/>
  <c r="Q753" i="3" s="1"/>
  <c r="Q754" i="3" a="1"/>
  <c r="Q754" i="3" s="1"/>
  <c r="Q755" i="3" a="1"/>
  <c r="Q755" i="3" s="1"/>
  <c r="Q756" i="3" a="1"/>
  <c r="Q756" i="3" s="1"/>
  <c r="Q757" i="3" a="1"/>
  <c r="Q757" i="3" s="1"/>
  <c r="Q758" i="3" a="1"/>
  <c r="Q758" i="3" s="1"/>
  <c r="Q759" i="3" a="1"/>
  <c r="Q759" i="3" s="1"/>
  <c r="Q760" i="3" a="1"/>
  <c r="Q760" i="3" s="1"/>
  <c r="Q761" i="3" a="1"/>
  <c r="Q761" i="3" s="1"/>
  <c r="Q762" i="3" a="1"/>
  <c r="Q762" i="3" s="1"/>
  <c r="Q763" i="3" a="1"/>
  <c r="Q763" i="3" s="1"/>
  <c r="Q764" i="3" a="1"/>
  <c r="Q764" i="3" s="1"/>
  <c r="Q765" i="3" a="1"/>
  <c r="Q765" i="3" s="1"/>
  <c r="Q766" i="3" a="1"/>
  <c r="Q766" i="3" s="1"/>
  <c r="Q767" i="3" a="1"/>
  <c r="Q767" i="3" s="1"/>
  <c r="Q768" i="3" a="1"/>
  <c r="Q768" i="3" s="1"/>
  <c r="Q769" i="3" a="1"/>
  <c r="Q769" i="3" s="1"/>
  <c r="Q770" i="3" a="1"/>
  <c r="Q770" i="3" s="1"/>
  <c r="Q771" i="3" a="1"/>
  <c r="Q771" i="3" s="1"/>
  <c r="Q772" i="3" a="1"/>
  <c r="Q772" i="3" s="1"/>
  <c r="Q773" i="3" a="1"/>
  <c r="Q773" i="3" s="1"/>
  <c r="Q774" i="3" a="1"/>
  <c r="Q774" i="3" s="1"/>
  <c r="Q775" i="3" a="1"/>
  <c r="Q775" i="3" s="1"/>
  <c r="Q776" i="3" a="1"/>
  <c r="Q776" i="3" s="1"/>
  <c r="Q777" i="3" a="1"/>
  <c r="Q777" i="3" s="1"/>
  <c r="Q778" i="3" a="1"/>
  <c r="Q778" i="3" s="1"/>
  <c r="Q779" i="3" a="1"/>
  <c r="Q779" i="3" s="1"/>
  <c r="Q780" i="3" a="1"/>
  <c r="Q780" i="3" s="1"/>
  <c r="Q781" i="3" a="1"/>
  <c r="Q781" i="3" s="1"/>
  <c r="Q782" i="3" a="1"/>
  <c r="Q782" i="3" s="1"/>
  <c r="Q783" i="3" a="1"/>
  <c r="Q783" i="3" s="1"/>
  <c r="Q784" i="3" a="1"/>
  <c r="Q784" i="3" s="1"/>
  <c r="Q785" i="3" a="1"/>
  <c r="Q785" i="3" s="1"/>
  <c r="Q786" i="3" a="1"/>
  <c r="Q786" i="3" s="1"/>
  <c r="Q787" i="3" a="1"/>
  <c r="Q787" i="3" s="1"/>
  <c r="Q788" i="3" a="1"/>
  <c r="Q788" i="3" s="1"/>
  <c r="Q789" i="3" a="1"/>
  <c r="Q789" i="3" s="1"/>
  <c r="Q790" i="3" a="1"/>
  <c r="Q790" i="3" s="1"/>
  <c r="Q791" i="3" a="1"/>
  <c r="Q791" i="3" s="1"/>
  <c r="Q792" i="3" a="1"/>
  <c r="Q792" i="3" s="1"/>
  <c r="Q793" i="3" a="1"/>
  <c r="Q793" i="3" s="1"/>
  <c r="Q794" i="3" a="1"/>
  <c r="Q794" i="3" s="1"/>
  <c r="Q795" i="3" a="1"/>
  <c r="Q795" i="3" s="1"/>
  <c r="Q796" i="3" a="1"/>
  <c r="Q796" i="3" s="1"/>
  <c r="Q797" i="3" a="1"/>
  <c r="Q797" i="3" s="1"/>
  <c r="Q798" i="3" a="1"/>
  <c r="Q798" i="3" s="1"/>
  <c r="Q799" i="3" a="1"/>
  <c r="Q799" i="3" s="1"/>
  <c r="Q800" i="3" a="1"/>
  <c r="Q800" i="3" s="1"/>
  <c r="Q801" i="3" a="1"/>
  <c r="Q801" i="3" s="1"/>
  <c r="Q802" i="3" a="1"/>
  <c r="Q802" i="3" s="1"/>
  <c r="Q803" i="3" a="1"/>
  <c r="Q803" i="3" s="1"/>
  <c r="Q804" i="3" a="1"/>
  <c r="Q804" i="3" s="1"/>
  <c r="Q805" i="3" a="1"/>
  <c r="Q805" i="3" s="1"/>
  <c r="Q806" i="3" a="1"/>
  <c r="Q806" i="3" s="1"/>
  <c r="Q807" i="3" a="1"/>
  <c r="Q807" i="3" s="1"/>
  <c r="Q808" i="3" a="1"/>
  <c r="Q808" i="3" s="1"/>
  <c r="Q809" i="3" a="1"/>
  <c r="Q809" i="3" s="1"/>
  <c r="Q810" i="3" a="1"/>
  <c r="Q810" i="3" s="1"/>
  <c r="Q811" i="3" a="1"/>
  <c r="Q811" i="3" s="1"/>
  <c r="Q812" i="3" a="1"/>
  <c r="Q812" i="3" s="1"/>
  <c r="Q813" i="3" a="1"/>
  <c r="Q813" i="3" s="1"/>
  <c r="Q814" i="3" a="1"/>
  <c r="Q814" i="3" s="1"/>
  <c r="Q815" i="3" a="1"/>
  <c r="Q815" i="3" s="1"/>
  <c r="Q816" i="3" a="1"/>
  <c r="Q816" i="3" s="1"/>
  <c r="Q817" i="3" a="1"/>
  <c r="Q817" i="3" s="1"/>
  <c r="Q818" i="3" a="1"/>
  <c r="Q818" i="3" s="1"/>
  <c r="Q819" i="3" a="1"/>
  <c r="Q819" i="3" s="1"/>
  <c r="Q820" i="3" a="1"/>
  <c r="Q820" i="3" s="1"/>
  <c r="Q821" i="3" a="1"/>
  <c r="Q821" i="3" s="1"/>
  <c r="Q822" i="3" a="1"/>
  <c r="Q822" i="3" s="1"/>
  <c r="Q823" i="3" a="1"/>
  <c r="Q823" i="3" s="1"/>
  <c r="Q824" i="3" a="1"/>
  <c r="Q824" i="3" s="1"/>
  <c r="Q825" i="3" a="1"/>
  <c r="Q825" i="3" s="1"/>
  <c r="Q826" i="3" a="1"/>
  <c r="Q826" i="3" s="1"/>
  <c r="Q827" i="3" a="1"/>
  <c r="Q827" i="3" s="1"/>
  <c r="Q828" i="3" a="1"/>
  <c r="Q828" i="3" s="1"/>
  <c r="Q829" i="3" a="1"/>
  <c r="Q829" i="3" s="1"/>
  <c r="Q830" i="3" a="1"/>
  <c r="Q830" i="3" s="1"/>
  <c r="Q831" i="3" a="1"/>
  <c r="Q831" i="3" s="1"/>
  <c r="Q832" i="3" a="1"/>
  <c r="Q832" i="3" s="1"/>
  <c r="Q833" i="3" a="1"/>
  <c r="Q833" i="3" s="1"/>
  <c r="Q834" i="3" a="1"/>
  <c r="Q834" i="3" s="1"/>
  <c r="Q835" i="3" a="1"/>
  <c r="Q835" i="3" s="1"/>
  <c r="Q836" i="3" a="1"/>
  <c r="Q836" i="3" s="1"/>
  <c r="Q837" i="3" a="1"/>
  <c r="Q837" i="3" s="1"/>
  <c r="Q838" i="3" a="1"/>
  <c r="Q838" i="3" s="1"/>
  <c r="Q839" i="3" a="1"/>
  <c r="Q839" i="3" s="1"/>
  <c r="Q840" i="3" a="1"/>
  <c r="Q840" i="3" s="1"/>
  <c r="Q841" i="3" a="1"/>
  <c r="Q841" i="3" s="1"/>
  <c r="Q842" i="3" a="1"/>
  <c r="Q842" i="3" s="1"/>
  <c r="Q843" i="3" a="1"/>
  <c r="Q843" i="3" s="1"/>
  <c r="Q844" i="3" a="1"/>
  <c r="Q844" i="3" s="1"/>
  <c r="Q845" i="3" a="1"/>
  <c r="Q845" i="3" s="1"/>
  <c r="Q846" i="3" a="1"/>
  <c r="Q846" i="3" s="1"/>
  <c r="Q847" i="3" a="1"/>
  <c r="Q847" i="3" s="1"/>
  <c r="Q848" i="3" a="1"/>
  <c r="Q848" i="3" s="1"/>
  <c r="Q849" i="3" a="1"/>
  <c r="Q849" i="3" s="1"/>
  <c r="Q850" i="3" a="1"/>
  <c r="Q850" i="3" s="1"/>
  <c r="Q851" i="3" a="1"/>
  <c r="Q851" i="3" s="1"/>
  <c r="Q852" i="3" a="1"/>
  <c r="Q852" i="3" s="1"/>
  <c r="Q853" i="3" a="1"/>
  <c r="Q853" i="3" s="1"/>
  <c r="Q854" i="3" a="1"/>
  <c r="Q854" i="3" s="1"/>
  <c r="Q855" i="3" a="1"/>
  <c r="Q855" i="3" s="1"/>
  <c r="Q856" i="3" a="1"/>
  <c r="Q856" i="3" s="1"/>
  <c r="Q857" i="3" a="1"/>
  <c r="Q857" i="3" s="1"/>
  <c r="Q858" i="3" a="1"/>
  <c r="Q858" i="3" s="1"/>
  <c r="Q859" i="3" a="1"/>
  <c r="Q859" i="3" s="1"/>
  <c r="Q860" i="3" a="1"/>
  <c r="Q860" i="3" s="1"/>
  <c r="Q861" i="3" a="1"/>
  <c r="Q861" i="3" s="1"/>
  <c r="Q862" i="3" a="1"/>
  <c r="Q862" i="3" s="1"/>
  <c r="Q863" i="3" a="1"/>
  <c r="Q863" i="3" s="1"/>
  <c r="Q864" i="3" a="1"/>
  <c r="Q864" i="3" s="1"/>
  <c r="Q865" i="3" a="1"/>
  <c r="Q865" i="3" s="1"/>
  <c r="Q866" i="3" a="1"/>
  <c r="Q866" i="3" s="1"/>
  <c r="Q867" i="3" a="1"/>
  <c r="Q867" i="3" s="1"/>
  <c r="Q868" i="3" a="1"/>
  <c r="Q868" i="3" s="1"/>
  <c r="Q869" i="3" a="1"/>
  <c r="Q869" i="3" s="1"/>
  <c r="Q870" i="3" a="1"/>
  <c r="Q870" i="3" s="1"/>
  <c r="Q871" i="3" a="1"/>
  <c r="Q871" i="3" s="1"/>
  <c r="Q872" i="3" a="1"/>
  <c r="Q872" i="3" s="1"/>
  <c r="Q873" i="3" a="1"/>
  <c r="Q873" i="3" s="1"/>
  <c r="Q874" i="3" a="1"/>
  <c r="Q874" i="3" s="1"/>
  <c r="Q875" i="3" a="1"/>
  <c r="Q875" i="3" s="1"/>
  <c r="Q876" i="3" a="1"/>
  <c r="Q876" i="3" s="1"/>
  <c r="Q877" i="3" a="1"/>
  <c r="Q877" i="3" s="1"/>
  <c r="Q878" i="3" a="1"/>
  <c r="Q878" i="3" s="1"/>
  <c r="Q879" i="3" a="1"/>
  <c r="Q879" i="3" s="1"/>
  <c r="Q880" i="3" a="1"/>
  <c r="Q880" i="3" s="1"/>
  <c r="Q881" i="3" a="1"/>
  <c r="Q881" i="3" s="1"/>
  <c r="Q882" i="3" a="1"/>
  <c r="Q882" i="3" s="1"/>
  <c r="Q883" i="3" a="1"/>
  <c r="Q883" i="3" s="1"/>
  <c r="Q884" i="3" a="1"/>
  <c r="Q884" i="3" s="1"/>
  <c r="Q885" i="3" a="1"/>
  <c r="Q885" i="3" s="1"/>
  <c r="Q886" i="3" a="1"/>
  <c r="Q886" i="3" s="1"/>
  <c r="Q887" i="3" a="1"/>
  <c r="Q887" i="3" s="1"/>
  <c r="Q888" i="3" a="1"/>
  <c r="Q888" i="3" s="1"/>
  <c r="Q889" i="3" a="1"/>
  <c r="Q889" i="3" s="1"/>
  <c r="Q890" i="3" a="1"/>
  <c r="Q890" i="3" s="1"/>
  <c r="Q891" i="3" a="1"/>
  <c r="Q891" i="3" s="1"/>
  <c r="Q892" i="3" a="1"/>
  <c r="Q892" i="3" s="1"/>
  <c r="Q893" i="3" a="1"/>
  <c r="Q893" i="3" s="1"/>
  <c r="Q894" i="3" a="1"/>
  <c r="Q894" i="3" s="1"/>
  <c r="Q895" i="3" a="1"/>
  <c r="Q895" i="3" s="1"/>
  <c r="Q896" i="3" a="1"/>
  <c r="Q896" i="3" s="1"/>
  <c r="Q897" i="3" a="1"/>
  <c r="Q897" i="3" s="1"/>
  <c r="Q898" i="3" a="1"/>
  <c r="Q898" i="3" s="1"/>
  <c r="Q899" i="3" a="1"/>
  <c r="Q899" i="3" s="1"/>
  <c r="Q900" i="3" a="1"/>
  <c r="Q900" i="3" s="1"/>
  <c r="Q901" i="3" a="1"/>
  <c r="Q901" i="3" s="1"/>
  <c r="Q902" i="3" a="1"/>
  <c r="Q902" i="3" s="1"/>
  <c r="Q903" i="3" a="1"/>
  <c r="Q903" i="3" s="1"/>
  <c r="Q904" i="3" a="1"/>
  <c r="Q904" i="3" s="1"/>
  <c r="Q905" i="3" a="1"/>
  <c r="Q905" i="3" s="1"/>
  <c r="Q906" i="3" a="1"/>
  <c r="Q906" i="3" s="1"/>
  <c r="Q907" i="3" a="1"/>
  <c r="Q907" i="3" s="1"/>
  <c r="Q908" i="3" a="1"/>
  <c r="Q908" i="3" s="1"/>
  <c r="Q909" i="3" a="1"/>
  <c r="Q909" i="3" s="1"/>
  <c r="Q910" i="3" a="1"/>
  <c r="Q910" i="3" s="1"/>
  <c r="Q911" i="3" a="1"/>
  <c r="Q911" i="3" s="1"/>
  <c r="Q912" i="3" a="1"/>
  <c r="Q912" i="3" s="1"/>
  <c r="Q913" i="3" a="1"/>
  <c r="Q913" i="3" s="1"/>
  <c r="Q914" i="3" a="1"/>
  <c r="Q914" i="3" s="1"/>
  <c r="Q915" i="3" a="1"/>
  <c r="Q915" i="3" s="1"/>
  <c r="Q916" i="3" a="1"/>
  <c r="Q916" i="3" s="1"/>
  <c r="Q917" i="3" a="1"/>
  <c r="Q917" i="3" s="1"/>
  <c r="Q918" i="3" a="1"/>
  <c r="Q918" i="3" s="1"/>
  <c r="Q919" i="3" a="1"/>
  <c r="Q919" i="3" s="1"/>
  <c r="Q920" i="3" a="1"/>
  <c r="Q920" i="3" s="1"/>
  <c r="Q921" i="3" a="1"/>
  <c r="Q921" i="3" s="1"/>
  <c r="Q922" i="3" a="1"/>
  <c r="Q922" i="3" s="1"/>
  <c r="Q923" i="3" a="1"/>
  <c r="Q923" i="3" s="1"/>
  <c r="Q924" i="3" a="1"/>
  <c r="Q924" i="3" s="1"/>
  <c r="Q925" i="3" a="1"/>
  <c r="Q925" i="3" s="1"/>
  <c r="Q926" i="3" a="1"/>
  <c r="Q926" i="3" s="1"/>
  <c r="Q927" i="3" a="1"/>
  <c r="Q927" i="3" s="1"/>
  <c r="Q928" i="3" a="1"/>
  <c r="Q928" i="3" s="1"/>
  <c r="Q929" i="3" a="1"/>
  <c r="Q929" i="3" s="1"/>
  <c r="Q930" i="3" a="1"/>
  <c r="Q930" i="3" s="1"/>
  <c r="Q931" i="3" a="1"/>
  <c r="Q931" i="3" s="1"/>
  <c r="Q932" i="3" a="1"/>
  <c r="Q932" i="3" s="1"/>
  <c r="Q933" i="3" a="1"/>
  <c r="Q933" i="3" s="1"/>
  <c r="Q934" i="3" a="1"/>
  <c r="Q934" i="3" s="1"/>
  <c r="Q935" i="3" a="1"/>
  <c r="Q935" i="3" s="1"/>
  <c r="Q936" i="3" a="1"/>
  <c r="Q936" i="3" s="1"/>
  <c r="Q937" i="3" a="1"/>
  <c r="Q937" i="3" s="1"/>
  <c r="Q938" i="3" a="1"/>
  <c r="Q938" i="3" s="1"/>
  <c r="Q939" i="3" a="1"/>
  <c r="Q939" i="3" s="1"/>
  <c r="Q940" i="3" a="1"/>
  <c r="Q940" i="3" s="1"/>
  <c r="Q941" i="3" a="1"/>
  <c r="Q941" i="3" s="1"/>
  <c r="Q942" i="3" a="1"/>
  <c r="Q942" i="3" s="1"/>
  <c r="Q943" i="3" a="1"/>
  <c r="Q943" i="3" s="1"/>
  <c r="Q944" i="3" a="1"/>
  <c r="Q944" i="3" s="1"/>
  <c r="Q945" i="3" a="1"/>
  <c r="Q945" i="3" s="1"/>
  <c r="Q946" i="3" a="1"/>
  <c r="Q946" i="3" s="1"/>
  <c r="Q947" i="3" a="1"/>
  <c r="Q947" i="3" s="1"/>
  <c r="Q948" i="3" a="1"/>
  <c r="Q948" i="3" s="1"/>
  <c r="Q949" i="3" a="1"/>
  <c r="Q949" i="3" s="1"/>
  <c r="Q950" i="3" a="1"/>
  <c r="Q950" i="3" s="1"/>
  <c r="Q951" i="3" a="1"/>
  <c r="Q951" i="3" s="1"/>
  <c r="Q952" i="3" a="1"/>
  <c r="Q952" i="3" s="1"/>
  <c r="Q953" i="3" a="1"/>
  <c r="Q953" i="3" s="1"/>
  <c r="Q954" i="3" a="1"/>
  <c r="Q954" i="3" s="1"/>
  <c r="Q955" i="3" a="1"/>
  <c r="Q955" i="3" s="1"/>
  <c r="Q956" i="3" a="1"/>
  <c r="Q956" i="3" s="1"/>
  <c r="Q957" i="3" a="1"/>
  <c r="Q957" i="3" s="1"/>
  <c r="Q958" i="3" a="1"/>
  <c r="Q958" i="3" s="1"/>
  <c r="Q959" i="3" a="1"/>
  <c r="Q959" i="3" s="1"/>
  <c r="Q960" i="3" a="1"/>
  <c r="Q960" i="3" s="1"/>
  <c r="Q961" i="3" a="1"/>
  <c r="Q961" i="3" s="1"/>
  <c r="Q962" i="3" a="1"/>
  <c r="Q962" i="3" s="1"/>
  <c r="Q963" i="3" a="1"/>
  <c r="Q963" i="3" s="1"/>
  <c r="Q964" i="3" a="1"/>
  <c r="Q964" i="3" s="1"/>
  <c r="Q965" i="3" a="1"/>
  <c r="Q965" i="3" s="1"/>
  <c r="Q966" i="3" a="1"/>
  <c r="Q966" i="3" s="1"/>
  <c r="Q967" i="3" a="1"/>
  <c r="Q967" i="3" s="1"/>
  <c r="Q968" i="3" a="1"/>
  <c r="Q968" i="3" s="1"/>
  <c r="Q969" i="3" a="1"/>
  <c r="Q969" i="3" s="1"/>
  <c r="Q970" i="3" a="1"/>
  <c r="Q970" i="3" s="1"/>
  <c r="Q971" i="3" a="1"/>
  <c r="Q971" i="3" s="1"/>
  <c r="Q972" i="3" a="1"/>
  <c r="Q972" i="3" s="1"/>
  <c r="Q973" i="3" a="1"/>
  <c r="Q973" i="3" s="1"/>
  <c r="Q974" i="3" a="1"/>
  <c r="Q974" i="3" s="1"/>
  <c r="Q975" i="3" a="1"/>
  <c r="Q975" i="3" s="1"/>
  <c r="Q976" i="3" a="1"/>
  <c r="Q976" i="3" s="1"/>
  <c r="Q977" i="3" a="1"/>
  <c r="Q977" i="3" s="1"/>
  <c r="Q978" i="3" a="1"/>
  <c r="Q978" i="3" s="1"/>
  <c r="Q979" i="3" a="1"/>
  <c r="Q979" i="3" s="1"/>
  <c r="Q980" i="3" a="1"/>
  <c r="Q980" i="3" s="1"/>
  <c r="Q981" i="3" a="1"/>
  <c r="Q981" i="3" s="1"/>
  <c r="Q982" i="3" a="1"/>
  <c r="Q982" i="3" s="1"/>
  <c r="Q983" i="3" a="1"/>
  <c r="Q983" i="3" s="1"/>
  <c r="Q984" i="3" a="1"/>
  <c r="Q984" i="3" s="1"/>
  <c r="Q985" i="3" a="1"/>
  <c r="Q985" i="3" s="1"/>
  <c r="Q986" i="3" a="1"/>
  <c r="Q986" i="3" s="1"/>
  <c r="Q987" i="3" a="1"/>
  <c r="Q987" i="3" s="1"/>
  <c r="Q988" i="3" a="1"/>
  <c r="Q988" i="3" s="1"/>
  <c r="Q989" i="3" a="1"/>
  <c r="Q989" i="3" s="1"/>
  <c r="Q990" i="3" a="1"/>
  <c r="Q990" i="3" s="1"/>
  <c r="Q991" i="3" a="1"/>
  <c r="Q991" i="3" s="1"/>
  <c r="Q992" i="3" a="1"/>
  <c r="Q992" i="3" s="1"/>
  <c r="Q993" i="3" a="1"/>
  <c r="Q993" i="3" s="1"/>
  <c r="Q994" i="3" a="1"/>
  <c r="Q994" i="3" s="1"/>
  <c r="Q995" i="3" a="1"/>
  <c r="Q995" i="3" s="1"/>
  <c r="Q996" i="3" a="1"/>
  <c r="Q996" i="3" s="1"/>
  <c r="Q997" i="3" a="1"/>
  <c r="Q997" i="3" s="1"/>
  <c r="Q998" i="3" a="1"/>
  <c r="Q998" i="3" s="1"/>
  <c r="Q999" i="3" a="1"/>
  <c r="Q999" i="3" s="1"/>
  <c r="Q1000" i="3" a="1"/>
  <c r="Q1000" i="3" s="1"/>
  <c r="Q1001" i="3" a="1"/>
  <c r="Q1001" i="3" s="1"/>
  <c r="Q1002" i="3" a="1"/>
  <c r="Q1002" i="3" s="1"/>
  <c r="Q1003" i="3" a="1"/>
  <c r="Q1003" i="3" s="1"/>
  <c r="Q1004" i="3" a="1"/>
  <c r="Q1004" i="3" s="1"/>
  <c r="Q1005" i="3" a="1"/>
  <c r="Q1005" i="3" s="1"/>
  <c r="Q1006" i="3" a="1"/>
  <c r="Q1006" i="3" s="1"/>
  <c r="Q1007" i="3" a="1"/>
  <c r="Q1007" i="3" s="1"/>
  <c r="Q1008" i="3" a="1"/>
  <c r="Q1008" i="3" s="1"/>
  <c r="Q1009" i="3" a="1"/>
  <c r="Q1009" i="3" s="1"/>
  <c r="Q1010" i="3" a="1"/>
  <c r="Q1010" i="3" s="1"/>
  <c r="Q1011" i="3" a="1"/>
  <c r="Q1011" i="3" s="1"/>
  <c r="Q1012" i="3" a="1"/>
  <c r="Q1012" i="3" s="1"/>
  <c r="Q1013" i="3" a="1"/>
  <c r="Q1013" i="3" s="1"/>
  <c r="Q1014" i="3" a="1"/>
  <c r="Q1014" i="3" s="1"/>
  <c r="Q1015" i="3" a="1"/>
  <c r="Q1015" i="3" s="1"/>
  <c r="Q1016" i="3" a="1"/>
  <c r="Q1016" i="3" s="1"/>
  <c r="Q1017" i="3" a="1"/>
  <c r="Q1017" i="3" s="1"/>
  <c r="Q1018" i="3" a="1"/>
  <c r="Q1018" i="3" s="1"/>
  <c r="Q1019" i="3" a="1"/>
  <c r="Q1019" i="3" s="1"/>
  <c r="Q1020" i="3" a="1"/>
  <c r="Q1020" i="3" s="1"/>
  <c r="Q1021" i="3" a="1"/>
  <c r="Q1021" i="3" s="1"/>
  <c r="Q1022" i="3" a="1"/>
  <c r="Q1022" i="3" s="1"/>
  <c r="Q1023" i="3" a="1"/>
  <c r="Q1023" i="3" s="1"/>
  <c r="Q1024" i="3" a="1"/>
  <c r="Q1024" i="3" s="1"/>
  <c r="Q1025" i="3" a="1"/>
  <c r="Q1025" i="3" s="1"/>
  <c r="Q1026" i="3" a="1"/>
  <c r="Q1026" i="3" s="1"/>
  <c r="Q1027" i="3" a="1"/>
  <c r="Q1027" i="3" s="1"/>
  <c r="Q1028" i="3" a="1"/>
  <c r="Q1028" i="3" s="1"/>
  <c r="Q1029" i="3" a="1"/>
  <c r="Q1029" i="3" s="1"/>
  <c r="Q1030" i="3" a="1"/>
  <c r="Q1030" i="3" s="1"/>
  <c r="Q1031" i="3" a="1"/>
  <c r="Q1031" i="3" s="1"/>
  <c r="Q1032" i="3" a="1"/>
  <c r="Q1032" i="3" s="1"/>
  <c r="Q1033" i="3" a="1"/>
  <c r="Q1033" i="3" s="1"/>
  <c r="Q1034" i="3" a="1"/>
  <c r="Q1034" i="3" s="1"/>
  <c r="Q1035" i="3" a="1"/>
  <c r="Q1035" i="3" s="1"/>
  <c r="Q1036" i="3" a="1"/>
  <c r="Q1036" i="3" s="1"/>
  <c r="Q1037" i="3" a="1"/>
  <c r="Q1037" i="3" s="1"/>
  <c r="Q1038" i="3" a="1"/>
  <c r="Q1038" i="3" s="1"/>
  <c r="Q1039" i="3" a="1"/>
  <c r="Q1039" i="3" s="1"/>
  <c r="Q1040" i="3" a="1"/>
  <c r="Q1040" i="3" s="1"/>
  <c r="Q1041" i="3" a="1"/>
  <c r="Q1041" i="3" s="1"/>
  <c r="Q1042" i="3" a="1"/>
  <c r="Q1042" i="3" s="1"/>
  <c r="Q1043" i="3" a="1"/>
  <c r="Q1043" i="3" s="1"/>
  <c r="Q1044" i="3" a="1"/>
  <c r="Q1044" i="3" s="1"/>
  <c r="Q1045" i="3" a="1"/>
  <c r="Q1045" i="3" s="1"/>
  <c r="Q1046" i="3" a="1"/>
  <c r="Q1046" i="3" s="1"/>
  <c r="Q1047" i="3" a="1"/>
  <c r="Q1047" i="3" s="1"/>
  <c r="Q1048" i="3" a="1"/>
  <c r="Q1048" i="3" s="1"/>
  <c r="Q1049" i="3" a="1"/>
  <c r="Q1049" i="3" s="1"/>
  <c r="Q1050" i="3" a="1"/>
  <c r="Q1050" i="3" s="1"/>
  <c r="Q1051" i="3" a="1"/>
  <c r="Q1051" i="3" s="1"/>
  <c r="Q1052" i="3" a="1"/>
  <c r="Q1052" i="3" s="1"/>
  <c r="Q1053" i="3" a="1"/>
  <c r="Q1053" i="3" s="1"/>
  <c r="Q1054" i="3" a="1"/>
  <c r="Q1054" i="3" s="1"/>
  <c r="Q1055" i="3" a="1"/>
  <c r="Q1055" i="3" s="1"/>
  <c r="Q1056" i="3" a="1"/>
  <c r="Q1056" i="3" s="1"/>
  <c r="Q1057" i="3" a="1"/>
  <c r="Q1057" i="3" s="1"/>
  <c r="Q1058" i="3" a="1"/>
  <c r="Q1058" i="3" s="1"/>
  <c r="Q1059" i="3" a="1"/>
  <c r="Q1059" i="3" s="1"/>
  <c r="Q1060" i="3" a="1"/>
  <c r="Q1060" i="3" s="1"/>
  <c r="Q1061" i="3" a="1"/>
  <c r="Q1061" i="3" s="1"/>
  <c r="Q1062" i="3" a="1"/>
  <c r="Q1062" i="3" s="1"/>
  <c r="Q1063" i="3" a="1"/>
  <c r="Q1063" i="3" s="1"/>
  <c r="Q1064" i="3" a="1"/>
  <c r="Q1064" i="3" s="1"/>
  <c r="Q1065" i="3" a="1"/>
  <c r="Q1065" i="3" s="1"/>
  <c r="Q1066" i="3" a="1"/>
  <c r="Q1066" i="3" s="1"/>
  <c r="Q1067" i="3" a="1"/>
  <c r="Q1067" i="3" s="1"/>
  <c r="Q1068" i="3" a="1"/>
  <c r="Q1068" i="3" s="1"/>
  <c r="Q1069" i="3" a="1"/>
  <c r="Q1069" i="3" s="1"/>
  <c r="Q1070" i="3" a="1"/>
  <c r="Q1070" i="3" s="1"/>
  <c r="Q1071" i="3" a="1"/>
  <c r="Q1071" i="3" s="1"/>
  <c r="Q1072" i="3" a="1"/>
  <c r="Q1072" i="3" s="1"/>
  <c r="Q1073" i="3" a="1"/>
  <c r="Q1073" i="3" s="1"/>
  <c r="Q1074" i="3" a="1"/>
  <c r="Q1074" i="3" s="1"/>
  <c r="Q1075" i="3" a="1"/>
  <c r="Q1075" i="3" s="1"/>
  <c r="Q1076" i="3" a="1"/>
  <c r="Q1076" i="3" s="1"/>
  <c r="Q1077" i="3" a="1"/>
  <c r="Q1077" i="3" s="1"/>
  <c r="Q1078" i="3" a="1"/>
  <c r="Q1078" i="3" s="1"/>
  <c r="Q1079" i="3" a="1"/>
  <c r="Q1079" i="3" s="1"/>
  <c r="Q1080" i="3" a="1"/>
  <c r="Q1080" i="3" s="1"/>
  <c r="Q1081" i="3" a="1"/>
  <c r="Q1081" i="3" s="1"/>
  <c r="Q1082" i="3" a="1"/>
  <c r="Q1082" i="3" s="1"/>
  <c r="Q1083" i="3" a="1"/>
  <c r="Q1083" i="3" s="1"/>
  <c r="Q1084" i="3" a="1"/>
  <c r="Q1084" i="3" s="1"/>
  <c r="Q1085" i="3" a="1"/>
  <c r="Q1085" i="3" s="1"/>
  <c r="Q1086" i="3" a="1"/>
  <c r="Q1086" i="3" s="1"/>
  <c r="Q1087" i="3" a="1"/>
  <c r="Q1087" i="3" s="1"/>
  <c r="Q1088" i="3" a="1"/>
  <c r="Q1088" i="3" s="1"/>
  <c r="Q1089" i="3" a="1"/>
  <c r="Q1089" i="3" s="1"/>
  <c r="Q1090" i="3" a="1"/>
  <c r="Q1090" i="3" s="1"/>
  <c r="Q1091" i="3" a="1"/>
  <c r="Q1091" i="3" s="1"/>
  <c r="Q1092" i="3" a="1"/>
  <c r="Q1092" i="3" s="1"/>
  <c r="Q1093" i="3" a="1"/>
  <c r="Q1093" i="3" s="1"/>
  <c r="Q1094" i="3" a="1"/>
  <c r="Q1094" i="3" s="1"/>
  <c r="Q1095" i="3" a="1"/>
  <c r="Q1095" i="3" s="1"/>
  <c r="Q1096" i="3" a="1"/>
  <c r="Q1096" i="3" s="1"/>
  <c r="Q1097" i="3" a="1"/>
  <c r="Q1097" i="3" s="1"/>
  <c r="Q1098" i="3" a="1"/>
  <c r="Q1098" i="3" s="1"/>
  <c r="Q1099" i="3" a="1"/>
  <c r="Q1099" i="3" s="1"/>
  <c r="Q1100" i="3" a="1"/>
  <c r="Q1100" i="3" s="1"/>
  <c r="Q1101" i="3" a="1"/>
  <c r="Q1101" i="3" s="1"/>
  <c r="Q1102" i="3" a="1"/>
  <c r="Q1102" i="3" s="1"/>
  <c r="Q1103" i="3" a="1"/>
  <c r="Q1103" i="3" s="1"/>
  <c r="Q1104" i="3" a="1"/>
  <c r="Q1104" i="3" s="1"/>
  <c r="Q1105" i="3" a="1"/>
  <c r="Q1105" i="3" s="1"/>
  <c r="Q1106" i="3" a="1"/>
  <c r="Q1106" i="3" s="1"/>
  <c r="Q1107" i="3" a="1"/>
  <c r="Q1107" i="3" s="1"/>
  <c r="Q1108" i="3" a="1"/>
  <c r="Q1108" i="3" s="1"/>
  <c r="Q1109" i="3" a="1"/>
  <c r="Q1109" i="3" s="1"/>
  <c r="Q1110" i="3" a="1"/>
  <c r="Q1110" i="3" s="1"/>
  <c r="Q1111" i="3" a="1"/>
  <c r="Q1111" i="3" s="1"/>
  <c r="Q1112" i="3" a="1"/>
  <c r="Q1112" i="3" s="1"/>
  <c r="Q1113" i="3" a="1"/>
  <c r="Q1113" i="3" s="1"/>
  <c r="Q1114" i="3" a="1"/>
  <c r="Q1114" i="3" s="1"/>
  <c r="Q1115" i="3" a="1"/>
  <c r="Q1115" i="3" s="1"/>
  <c r="Q1116" i="3" a="1"/>
  <c r="Q1116" i="3" s="1"/>
  <c r="Q1117" i="3" a="1"/>
  <c r="Q1117" i="3" s="1"/>
  <c r="Q1118" i="3" a="1"/>
  <c r="Q1118" i="3" s="1"/>
  <c r="Q1119" i="3" a="1"/>
  <c r="Q1119" i="3" s="1"/>
  <c r="Q1120" i="3" a="1"/>
  <c r="Q1120" i="3" s="1"/>
  <c r="Q1121" i="3" a="1"/>
  <c r="Q1121" i="3" s="1"/>
  <c r="Q1122" i="3" a="1"/>
  <c r="Q1122" i="3" s="1"/>
  <c r="Q1123" i="3" a="1"/>
  <c r="Q1123" i="3" s="1"/>
  <c r="Q1124" i="3" a="1"/>
  <c r="Q1124" i="3" s="1"/>
  <c r="Q1125" i="3" a="1"/>
  <c r="Q1125" i="3" s="1"/>
  <c r="Q1126" i="3" a="1"/>
  <c r="Q1126" i="3" s="1"/>
  <c r="Q1127" i="3" a="1"/>
  <c r="Q1127" i="3" s="1"/>
  <c r="Q1128" i="3" a="1"/>
  <c r="Q1128" i="3" s="1"/>
  <c r="Q1129" i="3" a="1"/>
  <c r="Q1129" i="3" s="1"/>
  <c r="Q1130" i="3" a="1"/>
  <c r="Q1130" i="3" s="1"/>
  <c r="Q1131" i="3" a="1"/>
  <c r="Q1131" i="3" s="1"/>
  <c r="Q1132" i="3" a="1"/>
  <c r="Q1132" i="3" s="1"/>
  <c r="Q1133" i="3" a="1"/>
  <c r="Q1133" i="3" s="1"/>
  <c r="Q1134" i="3" a="1"/>
  <c r="Q1134" i="3" s="1"/>
  <c r="Q1135" i="3" a="1"/>
  <c r="Q1135" i="3" s="1"/>
  <c r="Q1136" i="3" a="1"/>
  <c r="Q1136" i="3" s="1"/>
  <c r="Q1137" i="3" a="1"/>
  <c r="Q1137" i="3" s="1"/>
  <c r="Q1138" i="3" a="1"/>
  <c r="Q1138" i="3" s="1"/>
  <c r="Q1139" i="3" a="1"/>
  <c r="Q1139" i="3" s="1"/>
  <c r="Q1140" i="3" a="1"/>
  <c r="Q1140" i="3" s="1"/>
  <c r="Q1141" i="3" a="1"/>
  <c r="Q1141" i="3" s="1"/>
  <c r="Q1142" i="3" a="1"/>
  <c r="Q1142" i="3" s="1"/>
  <c r="Q1143" i="3" a="1"/>
  <c r="Q1143" i="3" s="1"/>
  <c r="Q1144" i="3" a="1"/>
  <c r="Q1144" i="3" s="1"/>
  <c r="Q1145" i="3" a="1"/>
  <c r="Q1145" i="3" s="1"/>
  <c r="Q1146" i="3" a="1"/>
  <c r="Q1146" i="3" s="1"/>
  <c r="Q1147" i="3" a="1"/>
  <c r="Q1147" i="3" s="1"/>
  <c r="Q1148" i="3" a="1"/>
  <c r="Q1148" i="3" s="1"/>
  <c r="Q1149" i="3" a="1"/>
  <c r="Q1149" i="3" s="1"/>
  <c r="Q1150" i="3" a="1"/>
  <c r="Q1150" i="3" s="1"/>
  <c r="Q1151" i="3" a="1"/>
  <c r="Q1151" i="3" s="1"/>
  <c r="Q1152" i="3" a="1"/>
  <c r="Q1152" i="3" s="1"/>
  <c r="Q1153" i="3" a="1"/>
  <c r="Q1153" i="3" s="1"/>
  <c r="Q1154" i="3" a="1"/>
  <c r="Q1154" i="3" s="1"/>
  <c r="Q1155" i="3" a="1"/>
  <c r="Q1155" i="3" s="1"/>
  <c r="Q1156" i="3" a="1"/>
  <c r="Q1156" i="3" s="1"/>
  <c r="Q1157" i="3" a="1"/>
  <c r="Q1157" i="3" s="1"/>
  <c r="Q1158" i="3" a="1"/>
  <c r="Q1158" i="3" s="1"/>
  <c r="Q1159" i="3" a="1"/>
  <c r="Q1159" i="3" s="1"/>
  <c r="Q1160" i="3" a="1"/>
  <c r="Q1160" i="3" s="1"/>
  <c r="Q1161" i="3" a="1"/>
  <c r="Q1161" i="3" s="1"/>
  <c r="Q1162" i="3" a="1"/>
  <c r="Q1162" i="3" s="1"/>
  <c r="Q1163" i="3" a="1"/>
  <c r="Q1163" i="3" s="1"/>
  <c r="Q1164" i="3" a="1"/>
  <c r="Q1164" i="3" s="1"/>
  <c r="Q1165" i="3" a="1"/>
  <c r="Q1165" i="3" s="1"/>
  <c r="Q1166" i="3" a="1"/>
  <c r="Q1166" i="3" s="1"/>
  <c r="Q1167" i="3" a="1"/>
  <c r="Q1167" i="3" s="1"/>
  <c r="Q1168" i="3" a="1"/>
  <c r="Q1168" i="3" s="1"/>
  <c r="Q1169" i="3" a="1"/>
  <c r="Q1169" i="3" s="1"/>
  <c r="Q1170" i="3" a="1"/>
  <c r="Q1170" i="3" s="1"/>
  <c r="Q1171" i="3" a="1"/>
  <c r="Q1171" i="3" s="1"/>
  <c r="Q1172" i="3" a="1"/>
  <c r="Q1172" i="3" s="1"/>
  <c r="Q1173" i="3" a="1"/>
  <c r="Q1173" i="3" s="1"/>
  <c r="Q1174" i="3" a="1"/>
  <c r="Q1174" i="3" s="1"/>
  <c r="Q1175" i="3" a="1"/>
  <c r="Q1175" i="3" s="1"/>
  <c r="Q1176" i="3" a="1"/>
  <c r="Q1176" i="3" s="1"/>
  <c r="Q1177" i="3" a="1"/>
  <c r="Q1177" i="3" s="1"/>
  <c r="Q1178" i="3" a="1"/>
  <c r="Q1178" i="3" s="1"/>
  <c r="Q1179" i="3" a="1"/>
  <c r="Q1179" i="3" s="1"/>
  <c r="Q1180" i="3" a="1"/>
  <c r="Q1180" i="3" s="1"/>
  <c r="Q1181" i="3" a="1"/>
  <c r="Q1181" i="3" s="1"/>
  <c r="Q1182" i="3" a="1"/>
  <c r="Q1182" i="3" s="1"/>
  <c r="Q1183" i="3" a="1"/>
  <c r="Q1183" i="3" s="1"/>
  <c r="Q1184" i="3" a="1"/>
  <c r="Q1184" i="3" s="1"/>
  <c r="Q1185" i="3" a="1"/>
  <c r="Q1185" i="3" s="1"/>
  <c r="Q1186" i="3" a="1"/>
  <c r="Q1186" i="3" s="1"/>
  <c r="Q1187" i="3" a="1"/>
  <c r="Q1187" i="3" s="1"/>
  <c r="Q1188" i="3" a="1"/>
  <c r="Q1188" i="3" s="1"/>
  <c r="Q1189" i="3" a="1"/>
  <c r="Q1189" i="3" s="1"/>
  <c r="Q1190" i="3" a="1"/>
  <c r="Q1190" i="3" s="1"/>
  <c r="Q1191" i="3" a="1"/>
  <c r="Q1191" i="3" s="1"/>
  <c r="Q1192" i="3" a="1"/>
  <c r="Q1192" i="3" s="1"/>
  <c r="Q1193" i="3" a="1"/>
  <c r="Q1193" i="3" s="1"/>
  <c r="Q1194" i="3" a="1"/>
  <c r="Q1194" i="3" s="1"/>
  <c r="Q1195" i="3" a="1"/>
  <c r="Q1195" i="3" s="1"/>
  <c r="Q1196" i="3" a="1"/>
  <c r="Q1196" i="3" s="1"/>
  <c r="Q1197" i="3" a="1"/>
  <c r="Q1197" i="3" s="1"/>
  <c r="Q1198" i="3" a="1"/>
  <c r="Q1198" i="3" s="1"/>
  <c r="Q1199" i="3" a="1"/>
  <c r="Q1199" i="3" s="1"/>
  <c r="Q1200" i="3" a="1"/>
  <c r="Q1200" i="3" s="1"/>
  <c r="Q1201" i="3" a="1"/>
  <c r="Q1201" i="3" s="1"/>
  <c r="Q1202" i="3" a="1"/>
  <c r="Q1202" i="3" s="1"/>
  <c r="Q1203" i="3" a="1"/>
  <c r="Q1203" i="3" s="1"/>
  <c r="Q1204" i="3" a="1"/>
  <c r="Q1204" i="3" s="1"/>
  <c r="Q1205" i="3" a="1"/>
  <c r="Q1205" i="3" s="1"/>
  <c r="Q1206" i="3" a="1"/>
  <c r="Q1206" i="3" s="1"/>
  <c r="Q1207" i="3" a="1"/>
  <c r="Q1207" i="3" s="1"/>
  <c r="Q1208" i="3" a="1"/>
  <c r="Q1208" i="3" s="1"/>
  <c r="Q1209" i="3" a="1"/>
  <c r="Q1209" i="3" s="1"/>
  <c r="Q1210" i="3" a="1"/>
  <c r="Q1210" i="3" s="1"/>
  <c r="Q1211" i="3" a="1"/>
  <c r="Q1211" i="3" s="1"/>
  <c r="Q1212" i="3" a="1"/>
  <c r="Q1212" i="3" s="1"/>
  <c r="Q1213" i="3" a="1"/>
  <c r="Q1213" i="3" s="1"/>
  <c r="Q1214" i="3" a="1"/>
  <c r="Q1214" i="3" s="1"/>
  <c r="Q1215" i="3" a="1"/>
  <c r="Q1215" i="3" s="1"/>
  <c r="Q1216" i="3" a="1"/>
  <c r="Q1216" i="3" s="1"/>
  <c r="Q1217" i="3" a="1"/>
  <c r="Q1217" i="3" s="1"/>
  <c r="Q1218" i="3" a="1"/>
  <c r="Q1218" i="3" s="1"/>
  <c r="Q1219" i="3" a="1"/>
  <c r="Q1219" i="3" s="1"/>
  <c r="Q1220" i="3" a="1"/>
  <c r="Q1220" i="3" s="1"/>
  <c r="Q1221" i="3" a="1"/>
  <c r="Q1221" i="3" s="1"/>
  <c r="Q1222" i="3" a="1"/>
  <c r="Q1222" i="3" s="1"/>
  <c r="Q1223" i="3" a="1"/>
  <c r="Q1223" i="3" s="1"/>
  <c r="Q1224" i="3" a="1"/>
  <c r="Q1224" i="3" s="1"/>
  <c r="Q1225" i="3" a="1"/>
  <c r="Q1225" i="3" s="1"/>
  <c r="Q1226" i="3" a="1"/>
  <c r="Q1226" i="3" s="1"/>
  <c r="Q1227" i="3" a="1"/>
  <c r="Q1227" i="3" s="1"/>
  <c r="Q1228" i="3" a="1"/>
  <c r="Q1228" i="3" s="1"/>
  <c r="Q1229" i="3" a="1"/>
  <c r="Q1229" i="3" s="1"/>
  <c r="Q1230" i="3" a="1"/>
  <c r="Q1230" i="3" s="1"/>
  <c r="Q1231" i="3" a="1"/>
  <c r="Q1231" i="3" s="1"/>
  <c r="Q1232" i="3" a="1"/>
  <c r="Q1232" i="3" s="1"/>
  <c r="Q1233" i="3" a="1"/>
  <c r="Q1233" i="3" s="1"/>
  <c r="Q1234" i="3" a="1"/>
  <c r="Q1234" i="3" s="1"/>
  <c r="Q1235" i="3" a="1"/>
  <c r="Q1235" i="3" s="1"/>
  <c r="Q1236" i="3" a="1"/>
  <c r="Q1236" i="3" s="1"/>
  <c r="Q1237" i="3" a="1"/>
  <c r="Q1237" i="3" s="1"/>
  <c r="Q1238" i="3" a="1"/>
  <c r="Q1238" i="3" s="1"/>
  <c r="Q1239" i="3" a="1"/>
  <c r="Q1239" i="3" s="1"/>
  <c r="Q1240" i="3" a="1"/>
  <c r="Q1240" i="3" s="1"/>
  <c r="Q1241" i="3" a="1"/>
  <c r="Q1241" i="3" s="1"/>
  <c r="Q1242" i="3" a="1"/>
  <c r="Q1242" i="3" s="1"/>
  <c r="Q1243" i="3" a="1"/>
  <c r="Q1243" i="3" s="1"/>
  <c r="Q1244" i="3" a="1"/>
  <c r="Q1244" i="3" s="1"/>
  <c r="Q1245" i="3" a="1"/>
  <c r="Q1245" i="3" s="1"/>
  <c r="Q1246" i="3" a="1"/>
  <c r="Q1246" i="3" s="1"/>
  <c r="Q1247" i="3" a="1"/>
  <c r="Q1247" i="3" s="1"/>
  <c r="Q1248" i="3" a="1"/>
  <c r="Q1248" i="3" s="1"/>
  <c r="Q1249" i="3" a="1"/>
  <c r="Q1249" i="3" s="1"/>
  <c r="Q1250" i="3" a="1"/>
  <c r="Q1250" i="3" s="1"/>
  <c r="Q1251" i="3" a="1"/>
  <c r="Q1251" i="3" s="1"/>
  <c r="Q1252" i="3" a="1"/>
  <c r="Q1252" i="3" s="1"/>
  <c r="Q1253" i="3" a="1"/>
  <c r="Q1253" i="3" s="1"/>
  <c r="Q1254" i="3" a="1"/>
  <c r="Q1254" i="3" s="1"/>
  <c r="Q1255" i="3" a="1"/>
  <c r="Q1255" i="3" s="1"/>
  <c r="Q1256" i="3" a="1"/>
  <c r="Q1256" i="3" s="1"/>
  <c r="Q1257" i="3" a="1"/>
  <c r="Q1257" i="3" s="1"/>
  <c r="Q1258" i="3" a="1"/>
  <c r="Q1258" i="3" s="1"/>
  <c r="Q1259" i="3" a="1"/>
  <c r="Q1259" i="3" s="1"/>
  <c r="Q1260" i="3" a="1"/>
  <c r="Q1260" i="3" s="1"/>
  <c r="Q1261" i="3" a="1"/>
  <c r="Q1261" i="3" s="1"/>
  <c r="Q1262" i="3" a="1"/>
  <c r="Q1262" i="3" s="1"/>
  <c r="Q1263" i="3" a="1"/>
  <c r="Q1263" i="3" s="1"/>
  <c r="Q1264" i="3" a="1"/>
  <c r="Q1264" i="3" s="1"/>
  <c r="Q1265" i="3" a="1"/>
  <c r="Q1265" i="3" s="1"/>
  <c r="Q1266" i="3" a="1"/>
  <c r="Q1266" i="3" s="1"/>
  <c r="Q1267" i="3" a="1"/>
  <c r="Q1267" i="3" s="1"/>
  <c r="Q1268" i="3" a="1"/>
  <c r="Q1268" i="3" s="1"/>
  <c r="Q1269" i="3" a="1"/>
  <c r="Q1269" i="3" s="1"/>
  <c r="Q1270" i="3" a="1"/>
  <c r="Q1270" i="3" s="1"/>
  <c r="Q1271" i="3" a="1"/>
  <c r="Q1271" i="3" s="1"/>
  <c r="Q1272" i="3" a="1"/>
  <c r="Q1272" i="3" s="1"/>
  <c r="Q1273" i="3" a="1"/>
  <c r="Q1273" i="3" s="1"/>
  <c r="Q1274" i="3" a="1"/>
  <c r="Q1274" i="3" s="1"/>
  <c r="Q1275" i="3" a="1"/>
  <c r="Q1275" i="3" s="1"/>
  <c r="Q1276" i="3" a="1"/>
  <c r="Q1276" i="3" s="1"/>
  <c r="Q1277" i="3" a="1"/>
  <c r="Q1277" i="3" s="1"/>
  <c r="Q1278" i="3" a="1"/>
  <c r="Q1278" i="3" s="1"/>
  <c r="Q1279" i="3" a="1"/>
  <c r="Q1279" i="3" s="1"/>
  <c r="Q1280" i="3" a="1"/>
  <c r="Q1280" i="3" s="1"/>
  <c r="Q1281" i="3" a="1"/>
  <c r="Q1281" i="3" s="1"/>
  <c r="Q1282" i="3" a="1"/>
  <c r="Q1282" i="3" s="1"/>
  <c r="Q1283" i="3" a="1"/>
  <c r="Q1283" i="3" s="1"/>
  <c r="Q1284" i="3" a="1"/>
  <c r="Q1284" i="3" s="1"/>
  <c r="Q1285" i="3" a="1"/>
  <c r="Q1285" i="3" s="1"/>
  <c r="Q1286" i="3" a="1"/>
  <c r="Q1286" i="3" s="1"/>
  <c r="Q1287" i="3" a="1"/>
  <c r="Q1287" i="3" s="1"/>
  <c r="Q1288" i="3" a="1"/>
  <c r="Q1288" i="3" s="1"/>
  <c r="Q1289" i="3" a="1"/>
  <c r="Q1289" i="3" s="1"/>
  <c r="Q1290" i="3" a="1"/>
  <c r="Q1290" i="3" s="1"/>
  <c r="Q1291" i="3" a="1"/>
  <c r="Q1291" i="3" s="1"/>
  <c r="Q1292" i="3" a="1"/>
  <c r="Q1292" i="3" s="1"/>
  <c r="Q1293" i="3" a="1"/>
  <c r="Q1293" i="3" s="1"/>
  <c r="Q1294" i="3" a="1"/>
  <c r="Q1294" i="3" s="1"/>
  <c r="Q1295" i="3" a="1"/>
  <c r="Q1295" i="3" s="1"/>
  <c r="Q1296" i="3" a="1"/>
  <c r="Q1296" i="3" s="1"/>
  <c r="Q1297" i="3" a="1"/>
  <c r="Q1297" i="3" s="1"/>
  <c r="Q1298" i="3" a="1"/>
  <c r="Q1298" i="3" s="1"/>
  <c r="Q1299" i="3" a="1"/>
  <c r="Q1299" i="3" s="1"/>
  <c r="Q1300" i="3" a="1"/>
  <c r="Q1300" i="3" s="1"/>
  <c r="Q1301" i="3" a="1"/>
  <c r="Q1301" i="3" s="1"/>
  <c r="Q1302" i="3" a="1"/>
  <c r="Q1302" i="3" s="1"/>
  <c r="Q1303" i="3" a="1"/>
  <c r="Q1303" i="3" s="1"/>
  <c r="Q1304" i="3" a="1"/>
  <c r="Q1304" i="3" s="1"/>
  <c r="Q1305" i="3" a="1"/>
  <c r="Q1305" i="3" s="1"/>
  <c r="Q1306" i="3" a="1"/>
  <c r="Q1306" i="3" s="1"/>
  <c r="Q1307" i="3" a="1"/>
  <c r="Q1307" i="3" s="1"/>
  <c r="Q1308" i="3" a="1"/>
  <c r="Q1308" i="3" s="1"/>
  <c r="Q1309" i="3" a="1"/>
  <c r="Q1309" i="3" s="1"/>
  <c r="Q1310" i="3" a="1"/>
  <c r="Q1310" i="3" s="1"/>
  <c r="Q1311" i="3" a="1"/>
  <c r="Q1311" i="3" s="1"/>
  <c r="Q1312" i="3" a="1"/>
  <c r="Q1312" i="3" s="1"/>
  <c r="Q1313" i="3" a="1"/>
  <c r="Q1313" i="3" s="1"/>
  <c r="Q1314" i="3" a="1"/>
  <c r="Q1314" i="3" s="1"/>
  <c r="Q1315" i="3" a="1"/>
  <c r="Q1315" i="3" s="1"/>
  <c r="Q1316" i="3" a="1"/>
  <c r="Q1316" i="3" s="1"/>
  <c r="Q1317" i="3" a="1"/>
  <c r="Q1317" i="3" s="1"/>
  <c r="Q1318" i="3" a="1"/>
  <c r="Q1318" i="3" s="1"/>
  <c r="Q1319" i="3" a="1"/>
  <c r="Q1319" i="3" s="1"/>
  <c r="Q1320" i="3" a="1"/>
  <c r="Q1320" i="3" s="1"/>
  <c r="Q1321" i="3" a="1"/>
  <c r="Q1321" i="3" s="1"/>
  <c r="Q1322" i="3" a="1"/>
  <c r="Q1322" i="3" s="1"/>
  <c r="Q1323" i="3" a="1"/>
  <c r="Q1323" i="3" s="1"/>
  <c r="Q1324" i="3" a="1"/>
  <c r="Q1324" i="3" s="1"/>
  <c r="Q1325" i="3" a="1"/>
  <c r="Q1325" i="3" s="1"/>
  <c r="Q1326" i="3" a="1"/>
  <c r="Q1326" i="3" s="1"/>
  <c r="Q1327" i="3" a="1"/>
  <c r="Q1327" i="3" s="1"/>
  <c r="Q1328" i="3" a="1"/>
  <c r="Q1328" i="3" s="1"/>
  <c r="Q1329" i="3" a="1"/>
  <c r="Q1329" i="3" s="1"/>
  <c r="Q1330" i="3" a="1"/>
  <c r="Q1330" i="3" s="1"/>
  <c r="Q1331" i="3" a="1"/>
  <c r="Q1331" i="3" s="1"/>
  <c r="Q1332" i="3" a="1"/>
  <c r="Q1332" i="3" s="1"/>
  <c r="Q1333" i="3" a="1"/>
  <c r="Q1333" i="3" s="1"/>
  <c r="Q1334" i="3" a="1"/>
  <c r="Q1334" i="3" s="1"/>
  <c r="Q1335" i="3" a="1"/>
  <c r="Q1335" i="3" s="1"/>
  <c r="Q1336" i="3" a="1"/>
  <c r="Q1336" i="3" s="1"/>
  <c r="Q1337" i="3" a="1"/>
  <c r="Q1337" i="3" s="1"/>
  <c r="Q1338" i="3" a="1"/>
  <c r="Q1338" i="3" s="1"/>
  <c r="Q1339" i="3" a="1"/>
  <c r="Q1339" i="3" s="1"/>
  <c r="Q1340" i="3" a="1"/>
  <c r="Q1340" i="3" s="1"/>
  <c r="Q1341" i="3" a="1"/>
  <c r="Q1341" i="3" s="1"/>
  <c r="Q1342" i="3" a="1"/>
  <c r="Q1342" i="3" s="1"/>
  <c r="Q1343" i="3" a="1"/>
  <c r="Q1343" i="3" s="1"/>
  <c r="Q1344" i="3" a="1"/>
  <c r="Q1344" i="3" s="1"/>
  <c r="Q1345" i="3" a="1"/>
  <c r="Q1345" i="3" s="1"/>
  <c r="Q1346" i="3" a="1"/>
  <c r="Q1346" i="3" s="1"/>
  <c r="Q1347" i="3" a="1"/>
  <c r="Q1347" i="3" s="1"/>
  <c r="Q1348" i="3" a="1"/>
  <c r="Q1348" i="3" s="1"/>
  <c r="Q1349" i="3" a="1"/>
  <c r="Q1349" i="3" s="1"/>
  <c r="Q1350" i="3" a="1"/>
  <c r="Q1350" i="3" s="1"/>
  <c r="Q1351" i="3" a="1"/>
  <c r="Q1351" i="3" s="1"/>
  <c r="Q1352" i="3" a="1"/>
  <c r="Q1352" i="3" s="1"/>
  <c r="Q1353" i="3" a="1"/>
  <c r="Q1353" i="3" s="1"/>
  <c r="Q1354" i="3" a="1"/>
  <c r="Q1354" i="3" s="1"/>
  <c r="Q1355" i="3" a="1"/>
  <c r="Q1355" i="3" s="1"/>
  <c r="Q1356" i="3" a="1"/>
  <c r="Q1356" i="3" s="1"/>
  <c r="Q1357" i="3" a="1"/>
  <c r="Q1357" i="3" s="1"/>
  <c r="Q1358" i="3" a="1"/>
  <c r="Q1358" i="3" s="1"/>
  <c r="Q1359" i="3" a="1"/>
  <c r="Q1359" i="3" s="1"/>
  <c r="Q1360" i="3" a="1"/>
  <c r="Q1360" i="3" s="1"/>
  <c r="Q1361" i="3" a="1"/>
  <c r="Q1361" i="3" s="1"/>
  <c r="Q1362" i="3" a="1"/>
  <c r="Q1362" i="3" s="1"/>
  <c r="Q1363" i="3" a="1"/>
  <c r="Q1363" i="3" s="1"/>
  <c r="Q1364" i="3" a="1"/>
  <c r="Q1364" i="3" s="1"/>
  <c r="Q1365" i="3" a="1"/>
  <c r="Q1365" i="3" s="1"/>
  <c r="Q1366" i="3" a="1"/>
  <c r="Q1366" i="3" s="1"/>
  <c r="Q1367" i="3" a="1"/>
  <c r="Q1367" i="3" s="1"/>
  <c r="Q1368" i="3" a="1"/>
  <c r="Q1368" i="3" s="1"/>
  <c r="Q1369" i="3" a="1"/>
  <c r="Q1369" i="3" s="1"/>
  <c r="Q1370" i="3" a="1"/>
  <c r="Q1370" i="3" s="1"/>
  <c r="Q1371" i="3" a="1"/>
  <c r="Q1371" i="3" s="1"/>
  <c r="Q1372" i="3" a="1"/>
  <c r="Q1372" i="3" s="1"/>
  <c r="Q1373" i="3" a="1"/>
  <c r="Q1373" i="3" s="1"/>
  <c r="Q1374" i="3" a="1"/>
  <c r="Q1374" i="3" s="1"/>
  <c r="Q1375" i="3" a="1"/>
  <c r="Q1375" i="3" s="1"/>
  <c r="Q1376" i="3" a="1"/>
  <c r="Q1376" i="3" s="1"/>
  <c r="Q1377" i="3" a="1"/>
  <c r="Q1377" i="3" s="1"/>
  <c r="Q1378" i="3" a="1"/>
  <c r="Q1378" i="3" s="1"/>
  <c r="Q1379" i="3" a="1"/>
  <c r="Q1379" i="3" s="1"/>
  <c r="Q1380" i="3" a="1"/>
  <c r="Q1380" i="3" s="1"/>
  <c r="Q1381" i="3" a="1"/>
  <c r="Q1381" i="3" s="1"/>
  <c r="Q1382" i="3" a="1"/>
  <c r="Q1382" i="3" s="1"/>
  <c r="Q1383" i="3" a="1"/>
  <c r="Q1383" i="3" s="1"/>
  <c r="Q1384" i="3" a="1"/>
  <c r="Q1384" i="3" s="1"/>
  <c r="Q1385" i="3" a="1"/>
  <c r="Q1385" i="3" s="1"/>
  <c r="Q1386" i="3" a="1"/>
  <c r="Q1386" i="3" s="1"/>
  <c r="Q1387" i="3" a="1"/>
  <c r="Q1387" i="3" s="1"/>
  <c r="Q1388" i="3" a="1"/>
  <c r="Q1388" i="3" s="1"/>
  <c r="Q1389" i="3" a="1"/>
  <c r="Q1389" i="3" s="1"/>
  <c r="Q1390" i="3" a="1"/>
  <c r="Q1390" i="3" s="1"/>
  <c r="Q1391" i="3" a="1"/>
  <c r="Q1391" i="3" s="1"/>
  <c r="Q1392" i="3" a="1"/>
  <c r="Q1392" i="3" s="1"/>
  <c r="Q1393" i="3" a="1"/>
  <c r="Q1393" i="3" s="1"/>
  <c r="Q1394" i="3" a="1"/>
  <c r="Q1394" i="3" s="1"/>
  <c r="Q1395" i="3" a="1"/>
  <c r="Q1395" i="3" s="1"/>
  <c r="Q1396" i="3" a="1"/>
  <c r="Q1396" i="3" s="1"/>
  <c r="Q1397" i="3" a="1"/>
  <c r="Q1397" i="3" s="1"/>
  <c r="Q1398" i="3" a="1"/>
  <c r="Q1398" i="3" s="1"/>
  <c r="Q1399" i="3" a="1"/>
  <c r="Q1399" i="3" s="1"/>
  <c r="Q1400" i="3" a="1"/>
  <c r="Q1400" i="3" s="1"/>
  <c r="Q1401" i="3" a="1"/>
  <c r="Q1401" i="3" s="1"/>
  <c r="Q1402" i="3" a="1"/>
  <c r="Q1402" i="3" s="1"/>
  <c r="Q1403" i="3" a="1"/>
  <c r="Q1403" i="3" s="1"/>
  <c r="Q1404" i="3" a="1"/>
  <c r="Q1404" i="3" s="1"/>
  <c r="Q1405" i="3" a="1"/>
  <c r="Q1405" i="3" s="1"/>
  <c r="Q1406" i="3" a="1"/>
  <c r="Q1406" i="3" s="1"/>
  <c r="Q1407" i="3" a="1"/>
  <c r="Q1407" i="3" s="1"/>
  <c r="Q1408" i="3" a="1"/>
  <c r="Q1408" i="3" s="1"/>
  <c r="Q1409" i="3" a="1"/>
  <c r="Q1409" i="3" s="1"/>
  <c r="Q1410" i="3" a="1"/>
  <c r="Q1410" i="3" s="1"/>
  <c r="Q1411" i="3" a="1"/>
  <c r="Q1411" i="3" s="1"/>
  <c r="Q1412" i="3" a="1"/>
  <c r="Q1412" i="3" s="1"/>
  <c r="Q1413" i="3" a="1"/>
  <c r="Q1413" i="3" s="1"/>
  <c r="Q1414" i="3" a="1"/>
  <c r="Q1414" i="3" s="1"/>
  <c r="Q1415" i="3" a="1"/>
  <c r="Q1415" i="3" s="1"/>
  <c r="Q1416" i="3" a="1"/>
  <c r="Q1416" i="3" s="1"/>
  <c r="Q1417" i="3" a="1"/>
  <c r="Q1417" i="3" s="1"/>
  <c r="Q1418" i="3" a="1"/>
  <c r="Q1418" i="3" s="1"/>
  <c r="Q1419" i="3" a="1"/>
  <c r="Q1419" i="3" s="1"/>
  <c r="Q1420" i="3" a="1"/>
  <c r="Q1420" i="3" s="1"/>
  <c r="Q1421" i="3" a="1"/>
  <c r="Q1421" i="3" s="1"/>
  <c r="Q1422" i="3" a="1"/>
  <c r="Q1422" i="3" s="1"/>
  <c r="Q1423" i="3" a="1"/>
  <c r="Q1423" i="3" s="1"/>
  <c r="Q1424" i="3" a="1"/>
  <c r="Q1424" i="3" s="1"/>
  <c r="Q1425" i="3" a="1"/>
  <c r="Q1425" i="3" s="1"/>
  <c r="Q1426" i="3" a="1"/>
  <c r="Q1426" i="3" s="1"/>
  <c r="Q1427" i="3" a="1"/>
  <c r="Q1427" i="3" s="1"/>
  <c r="Q1428" i="3" a="1"/>
  <c r="Q1428" i="3" s="1"/>
  <c r="Q1429" i="3" a="1"/>
  <c r="Q1429" i="3" s="1"/>
  <c r="Q1430" i="3" a="1"/>
  <c r="Q1430" i="3" s="1"/>
  <c r="Q1431" i="3" a="1"/>
  <c r="Q1431" i="3" s="1"/>
  <c r="Q1432" i="3" a="1"/>
  <c r="Q1432" i="3" s="1"/>
  <c r="Q1433" i="3" a="1"/>
  <c r="Q1433" i="3" s="1"/>
  <c r="Q1434" i="3" a="1"/>
  <c r="Q1434" i="3" s="1"/>
  <c r="Q1435" i="3" a="1"/>
  <c r="Q1435" i="3" s="1"/>
  <c r="Q1436" i="3" a="1"/>
  <c r="Q1436" i="3" s="1"/>
  <c r="Q1437" i="3" a="1"/>
  <c r="Q1437" i="3" s="1"/>
  <c r="Q1438" i="3" a="1"/>
  <c r="Q1438" i="3" s="1"/>
  <c r="Q1439" i="3" a="1"/>
  <c r="Q1439" i="3" s="1"/>
  <c r="Q1440" i="3" a="1"/>
  <c r="Q1440" i="3" s="1"/>
  <c r="Q1441" i="3" a="1"/>
  <c r="Q1441" i="3" s="1"/>
  <c r="Q1442" i="3" a="1"/>
  <c r="Q1442" i="3" s="1"/>
  <c r="Q1443" i="3" a="1"/>
  <c r="Q1443" i="3" s="1"/>
  <c r="Q1444" i="3" a="1"/>
  <c r="Q1444" i="3" s="1"/>
  <c r="Q1445" i="3" a="1"/>
  <c r="Q1445" i="3" s="1"/>
  <c r="Q1446" i="3" a="1"/>
  <c r="Q1446" i="3" s="1"/>
  <c r="Q1447" i="3" a="1"/>
  <c r="Q1447" i="3" s="1"/>
  <c r="Q1448" i="3" a="1"/>
  <c r="Q1448" i="3" s="1"/>
  <c r="Q1449" i="3" a="1"/>
  <c r="Q1449" i="3" s="1"/>
  <c r="Q1450" i="3" a="1"/>
  <c r="Q1450" i="3" s="1"/>
  <c r="Q1451" i="3" a="1"/>
  <c r="Q1451" i="3" s="1"/>
  <c r="Q1452" i="3" a="1"/>
  <c r="Q1452" i="3" s="1"/>
  <c r="Q1453" i="3" a="1"/>
  <c r="Q1453" i="3" s="1"/>
  <c r="Q1454" i="3" a="1"/>
  <c r="Q1454" i="3" s="1"/>
  <c r="Q1455" i="3" a="1"/>
  <c r="Q1455" i="3" s="1"/>
  <c r="Q1456" i="3" a="1"/>
  <c r="Q1456" i="3" s="1"/>
  <c r="Q1457" i="3" a="1"/>
  <c r="Q1457" i="3" s="1"/>
  <c r="Q1458" i="3" a="1"/>
  <c r="Q1458" i="3" s="1"/>
  <c r="Q1459" i="3" a="1"/>
  <c r="Q1459" i="3" s="1"/>
  <c r="Q1460" i="3" a="1"/>
  <c r="Q1460" i="3" s="1"/>
  <c r="Q1461" i="3" a="1"/>
  <c r="Q1461" i="3" s="1"/>
  <c r="Q1462" i="3" a="1"/>
  <c r="Q1462" i="3" s="1"/>
  <c r="Q1463" i="3" a="1"/>
  <c r="Q1463" i="3" s="1"/>
  <c r="Q1464" i="3" a="1"/>
  <c r="Q1464" i="3" s="1"/>
  <c r="Q1465" i="3" a="1"/>
  <c r="Q1465" i="3" s="1"/>
  <c r="Q1466" i="3" a="1"/>
  <c r="Q1466" i="3" s="1"/>
  <c r="Q1467" i="3" a="1"/>
  <c r="Q1467" i="3" s="1"/>
  <c r="Q1468" i="3" a="1"/>
  <c r="Q1468" i="3" s="1"/>
  <c r="Q1469" i="3" a="1"/>
  <c r="Q1469" i="3" s="1"/>
  <c r="Q1470" i="3" a="1"/>
  <c r="Q1470" i="3" s="1"/>
  <c r="Q1471" i="3" a="1"/>
  <c r="Q1471" i="3" s="1"/>
  <c r="Q1472" i="3" a="1"/>
  <c r="Q1472" i="3" s="1"/>
  <c r="Q1473" i="3" a="1"/>
  <c r="Q1473" i="3" s="1"/>
  <c r="Q1474" i="3" a="1"/>
  <c r="Q1474" i="3" s="1"/>
  <c r="Q1475" i="3" a="1"/>
  <c r="Q1475" i="3" s="1"/>
  <c r="Q1476" i="3" a="1"/>
  <c r="Q1476" i="3" s="1"/>
  <c r="Q1477" i="3" a="1"/>
  <c r="Q1477" i="3" s="1"/>
  <c r="Q1478" i="3" a="1"/>
  <c r="Q1478" i="3" s="1"/>
  <c r="Q1479" i="3" a="1"/>
  <c r="Q1479" i="3" s="1"/>
  <c r="Q1480" i="3" a="1"/>
  <c r="Q1480" i="3" s="1"/>
  <c r="Q1481" i="3" a="1"/>
  <c r="Q1481" i="3" s="1"/>
  <c r="Q1482" i="3" a="1"/>
  <c r="Q1482" i="3" s="1"/>
  <c r="Q1483" i="3" a="1"/>
  <c r="Q1483" i="3" s="1"/>
  <c r="Q1484" i="3" a="1"/>
  <c r="Q1484" i="3" s="1"/>
  <c r="Q1485" i="3" a="1"/>
  <c r="Q1485" i="3" s="1"/>
  <c r="Q1486" i="3" a="1"/>
  <c r="Q1486" i="3" s="1"/>
  <c r="Q1487" i="3" a="1"/>
  <c r="Q1487" i="3" s="1"/>
  <c r="Q1488" i="3" a="1"/>
  <c r="Q1488" i="3" s="1"/>
  <c r="Q1489" i="3" a="1"/>
  <c r="Q1489" i="3" s="1"/>
  <c r="Q1490" i="3" a="1"/>
  <c r="Q1490" i="3" s="1"/>
  <c r="Q1491" i="3" a="1"/>
  <c r="Q1491" i="3" s="1"/>
  <c r="Q1492" i="3" a="1"/>
  <c r="Q1492" i="3" s="1"/>
  <c r="Q1493" i="3" a="1"/>
  <c r="Q1493" i="3" s="1"/>
  <c r="Q1494" i="3" a="1"/>
  <c r="Q1494" i="3" s="1"/>
  <c r="Q1495" i="3" a="1"/>
  <c r="Q1495" i="3" s="1"/>
  <c r="Q1496" i="3" a="1"/>
  <c r="Q1496" i="3" s="1"/>
  <c r="Q1497" i="3" a="1"/>
  <c r="Q1497" i="3" s="1"/>
  <c r="Q1498" i="3" a="1"/>
  <c r="Q1498" i="3" s="1"/>
  <c r="Q1499" i="3" a="1"/>
  <c r="Q1499" i="3" s="1"/>
  <c r="Q1500" i="3" a="1"/>
  <c r="Q1500" i="3" s="1"/>
  <c r="Q1501" i="3" a="1"/>
  <c r="Q1501" i="3" s="1"/>
  <c r="Q1502" i="3" a="1"/>
  <c r="Q1502" i="3" s="1"/>
  <c r="Q1503" i="3" a="1"/>
  <c r="Q1503" i="3" s="1"/>
  <c r="Q1504" i="3" a="1"/>
  <c r="Q1504" i="3" s="1"/>
  <c r="Q1505" i="3" a="1"/>
  <c r="Q1505" i="3" s="1"/>
  <c r="Q1506" i="3" a="1"/>
  <c r="Q1506" i="3" s="1"/>
  <c r="Q1507" i="3" a="1"/>
  <c r="Q1507" i="3" s="1"/>
  <c r="Q1508" i="3" a="1"/>
  <c r="Q1508" i="3" s="1"/>
  <c r="Q1509" i="3" a="1"/>
  <c r="Q1509" i="3" s="1"/>
  <c r="Q1510" i="3" a="1"/>
  <c r="Q1510" i="3" s="1"/>
  <c r="Q1511" i="3" a="1"/>
  <c r="Q1511" i="3" s="1"/>
  <c r="Q1512" i="3" a="1"/>
  <c r="Q1512" i="3" s="1"/>
  <c r="Q1513" i="3" a="1"/>
  <c r="Q1513" i="3" s="1"/>
  <c r="Q1514" i="3" a="1"/>
  <c r="Q1514" i="3" s="1"/>
  <c r="Q1515" i="3" a="1"/>
  <c r="Q1515" i="3" s="1"/>
  <c r="Q1516" i="3" a="1"/>
  <c r="Q1516" i="3" s="1"/>
  <c r="Q1517" i="3" a="1"/>
  <c r="Q1517" i="3" s="1"/>
  <c r="Q1518" i="3" a="1"/>
  <c r="Q1518" i="3" s="1"/>
  <c r="Q1519" i="3" a="1"/>
  <c r="Q1519" i="3" s="1"/>
  <c r="Q1520" i="3" a="1"/>
  <c r="Q1520" i="3" s="1"/>
  <c r="Q1521" i="3" a="1"/>
  <c r="Q1521" i="3" s="1"/>
  <c r="Q1522" i="3" a="1"/>
  <c r="Q1522" i="3" s="1"/>
  <c r="Q1523" i="3" a="1"/>
  <c r="Q1523" i="3" s="1"/>
  <c r="Q1524" i="3" a="1"/>
  <c r="Q1524" i="3" s="1"/>
  <c r="Q1525" i="3" a="1"/>
  <c r="Q1525" i="3" s="1"/>
  <c r="Q1526" i="3" a="1"/>
  <c r="Q1526" i="3" s="1"/>
  <c r="Q1527" i="3" a="1"/>
  <c r="Q1527" i="3" s="1"/>
  <c r="Q1528" i="3" a="1"/>
  <c r="Q1528" i="3" s="1"/>
  <c r="Q1529" i="3" a="1"/>
  <c r="Q1529" i="3" s="1"/>
  <c r="Q1530" i="3" a="1"/>
  <c r="Q1530" i="3" s="1"/>
  <c r="Q1531" i="3" a="1"/>
  <c r="Q1531" i="3" s="1"/>
  <c r="Q1532" i="3" a="1"/>
  <c r="Q1532" i="3" s="1"/>
  <c r="Q1533" i="3" a="1"/>
  <c r="Q1533" i="3" s="1"/>
  <c r="Q1534" i="3" a="1"/>
  <c r="Q1534" i="3" s="1"/>
  <c r="Q1535" i="3" a="1"/>
  <c r="Q1535" i="3" s="1"/>
  <c r="Q1536" i="3" a="1"/>
  <c r="Q1536" i="3" s="1"/>
  <c r="Q1537" i="3" a="1"/>
  <c r="Q1537" i="3" s="1"/>
  <c r="Q1538" i="3" a="1"/>
  <c r="Q1538" i="3" s="1"/>
  <c r="Q1539" i="3" a="1"/>
  <c r="Q1539" i="3" s="1"/>
  <c r="Q1540" i="3" a="1"/>
  <c r="Q1540" i="3" s="1"/>
  <c r="Q1541" i="3" a="1"/>
  <c r="Q1541" i="3" s="1"/>
  <c r="Q1542" i="3" a="1"/>
  <c r="Q1542" i="3" s="1"/>
  <c r="Q1543" i="3" a="1"/>
  <c r="Q1543" i="3" s="1"/>
  <c r="Q1544" i="3" a="1"/>
  <c r="Q1544" i="3" s="1"/>
  <c r="Q1545" i="3" a="1"/>
  <c r="Q1545" i="3" s="1"/>
  <c r="Q1546" i="3" a="1"/>
  <c r="Q1546" i="3" s="1"/>
  <c r="Q1547" i="3" a="1"/>
  <c r="Q1547" i="3" s="1"/>
  <c r="Q1548" i="3" a="1"/>
  <c r="Q1548" i="3" s="1"/>
  <c r="Q1549" i="3" a="1"/>
  <c r="Q1549" i="3" s="1"/>
  <c r="Q1550" i="3" a="1"/>
  <c r="Q1550" i="3" s="1"/>
  <c r="Q1551" i="3" a="1"/>
  <c r="Q1551" i="3" s="1"/>
  <c r="Q1552" i="3" a="1"/>
  <c r="Q1552" i="3" s="1"/>
  <c r="Q1553" i="3" a="1"/>
  <c r="Q1553" i="3" s="1"/>
  <c r="Q1554" i="3" a="1"/>
  <c r="Q1554" i="3" s="1"/>
  <c r="Q1555" i="3" a="1"/>
  <c r="Q1555" i="3" s="1"/>
  <c r="Q1556" i="3" a="1"/>
  <c r="Q1556" i="3" s="1"/>
  <c r="Q1557" i="3" a="1"/>
  <c r="Q1557" i="3" s="1"/>
  <c r="Q1558" i="3" a="1"/>
  <c r="Q1558" i="3" s="1"/>
  <c r="Q1559" i="3" a="1"/>
  <c r="Q1559" i="3" s="1"/>
  <c r="Q1560" i="3" a="1"/>
  <c r="Q1560" i="3" s="1"/>
  <c r="Q1561" i="3" a="1"/>
  <c r="Q1561" i="3" s="1"/>
  <c r="Q1562" i="3" a="1"/>
  <c r="Q1562" i="3" s="1"/>
  <c r="Q1563" i="3" a="1"/>
  <c r="Q1563" i="3" s="1"/>
  <c r="Q1564" i="3" a="1"/>
  <c r="Q1564" i="3" s="1"/>
  <c r="Q1565" i="3" a="1"/>
  <c r="Q1565" i="3" s="1"/>
  <c r="Q1566" i="3" a="1"/>
  <c r="Q1566" i="3" s="1"/>
  <c r="Q1567" i="3" a="1"/>
  <c r="Q1567" i="3" s="1"/>
  <c r="Q1568" i="3" a="1"/>
  <c r="Q1568" i="3" s="1"/>
  <c r="Q1569" i="3" a="1"/>
  <c r="Q1569" i="3" s="1"/>
  <c r="Q1570" i="3" a="1"/>
  <c r="Q1570" i="3" s="1"/>
  <c r="Q1571" i="3" a="1"/>
  <c r="Q1571" i="3" s="1"/>
  <c r="Q1572" i="3" a="1"/>
  <c r="Q1572" i="3" s="1"/>
  <c r="Q1573" i="3" a="1"/>
  <c r="Q1573" i="3" s="1"/>
  <c r="Q1574" i="3" a="1"/>
  <c r="Q1574" i="3" s="1"/>
  <c r="Q1575" i="3" a="1"/>
  <c r="Q1575" i="3" s="1"/>
  <c r="Q1576" i="3" a="1"/>
  <c r="Q1576" i="3" s="1"/>
  <c r="Q1577" i="3" a="1"/>
  <c r="Q1577" i="3" s="1"/>
  <c r="Q1578" i="3" a="1"/>
  <c r="Q1578" i="3" s="1"/>
  <c r="Q1579" i="3" a="1"/>
  <c r="Q1579" i="3" s="1"/>
  <c r="Q1580" i="3" a="1"/>
  <c r="Q1580" i="3" s="1"/>
  <c r="Q1581" i="3" a="1"/>
  <c r="Q1581" i="3" s="1"/>
  <c r="Q1582" i="3" a="1"/>
  <c r="Q1582" i="3" s="1"/>
  <c r="Q1583" i="3" a="1"/>
  <c r="Q1583" i="3" s="1"/>
  <c r="Q1584" i="3" a="1"/>
  <c r="Q1584" i="3" s="1"/>
  <c r="Q1585" i="3" a="1"/>
  <c r="Q1585" i="3" s="1"/>
  <c r="Q1586" i="3" a="1"/>
  <c r="Q1586" i="3" s="1"/>
  <c r="Q1587" i="3" a="1"/>
  <c r="Q1587" i="3" s="1"/>
  <c r="Q1588" i="3" a="1"/>
  <c r="Q1588" i="3" s="1"/>
  <c r="Q1589" i="3" a="1"/>
  <c r="Q1589" i="3" s="1"/>
  <c r="Q1590" i="3" a="1"/>
  <c r="Q1590" i="3" s="1"/>
  <c r="Q1591" i="3" a="1"/>
  <c r="Q1591" i="3" s="1"/>
  <c r="Q1592" i="3" a="1"/>
  <c r="Q1592" i="3" s="1"/>
  <c r="Q1593" i="3" a="1"/>
  <c r="Q1593" i="3" s="1"/>
  <c r="Q1594" i="3" a="1"/>
  <c r="Q1594" i="3" s="1"/>
  <c r="Q1595" i="3" a="1"/>
  <c r="Q1595" i="3" s="1"/>
  <c r="Q1596" i="3" a="1"/>
  <c r="Q1596" i="3" s="1"/>
  <c r="Q1597" i="3" a="1"/>
  <c r="Q1597" i="3" s="1"/>
  <c r="Q1598" i="3" a="1"/>
  <c r="Q1598" i="3" s="1"/>
  <c r="Q1599" i="3" a="1"/>
  <c r="Q1599" i="3" s="1"/>
  <c r="Q1600" i="3" a="1"/>
  <c r="Q1600" i="3" s="1"/>
  <c r="Q1601" i="3" a="1"/>
  <c r="Q1601" i="3" s="1"/>
  <c r="Q1602" i="3" a="1"/>
  <c r="Q1602" i="3" s="1"/>
  <c r="Q1603" i="3" a="1"/>
  <c r="Q1603" i="3" s="1"/>
  <c r="Q1604" i="3" a="1"/>
  <c r="Q1604" i="3" s="1"/>
  <c r="Q1605" i="3" a="1"/>
  <c r="Q1605" i="3" s="1"/>
  <c r="Q1606" i="3" a="1"/>
  <c r="Q1606" i="3" s="1"/>
  <c r="Q1607" i="3" a="1"/>
  <c r="Q1607" i="3" s="1"/>
  <c r="Q1608" i="3" a="1"/>
  <c r="Q1608" i="3" s="1"/>
  <c r="Q1609" i="3" a="1"/>
  <c r="Q1609" i="3" s="1"/>
  <c r="Q1610" i="3" a="1"/>
  <c r="Q1610" i="3" s="1"/>
  <c r="Q1611" i="3" a="1"/>
  <c r="Q1611" i="3" s="1"/>
  <c r="Q1612" i="3" a="1"/>
  <c r="Q1612" i="3" s="1"/>
  <c r="Q1613" i="3" a="1"/>
  <c r="Q1613" i="3" s="1"/>
  <c r="Q1614" i="3" a="1"/>
  <c r="Q1614" i="3" s="1"/>
  <c r="Q1615" i="3" a="1"/>
  <c r="Q1615" i="3" s="1"/>
  <c r="Q1616" i="3" a="1"/>
  <c r="Q1616" i="3" s="1"/>
  <c r="Q1617" i="3" a="1"/>
  <c r="Q1617" i="3" s="1"/>
  <c r="Q1618" i="3" a="1"/>
  <c r="Q1618" i="3" s="1"/>
  <c r="Q1619" i="3" a="1"/>
  <c r="Q1619" i="3" s="1"/>
  <c r="Q1620" i="3" a="1"/>
  <c r="Q1620" i="3" s="1"/>
  <c r="Q1621" i="3" a="1"/>
  <c r="Q1621" i="3" s="1"/>
  <c r="Q1622" i="3" a="1"/>
  <c r="Q1622" i="3" s="1"/>
  <c r="Q1623" i="3" a="1"/>
  <c r="Q1623" i="3" s="1"/>
  <c r="Q1624" i="3" a="1"/>
  <c r="Q1624" i="3" s="1"/>
  <c r="Q1625" i="3" a="1"/>
  <c r="Q1625" i="3" s="1"/>
  <c r="Q1626" i="3" a="1"/>
  <c r="Q1626" i="3" s="1"/>
  <c r="Q1627" i="3" a="1"/>
  <c r="Q1627" i="3" s="1"/>
  <c r="Q1628" i="3" a="1"/>
  <c r="Q1628" i="3" s="1"/>
  <c r="Q1629" i="3" a="1"/>
  <c r="Q1629" i="3" s="1"/>
  <c r="Q1630" i="3" a="1"/>
  <c r="Q1630" i="3" s="1"/>
  <c r="Q1631" i="3" a="1"/>
  <c r="Q1631" i="3" s="1"/>
  <c r="Q1632" i="3" a="1"/>
  <c r="Q1632" i="3" s="1"/>
  <c r="Q1633" i="3" a="1"/>
  <c r="Q1633" i="3" s="1"/>
  <c r="Q1634" i="3" a="1"/>
  <c r="Q1634" i="3" s="1"/>
  <c r="Q1635" i="3" a="1"/>
  <c r="Q1635" i="3" s="1"/>
  <c r="Q1636" i="3" a="1"/>
  <c r="Q1636" i="3" s="1"/>
  <c r="Q1637" i="3" a="1"/>
  <c r="Q1637" i="3" s="1"/>
  <c r="Q1638" i="3" a="1"/>
  <c r="Q1638" i="3" s="1"/>
  <c r="Q1639" i="3" a="1"/>
  <c r="Q1639" i="3" s="1"/>
  <c r="Q1640" i="3" a="1"/>
  <c r="Q1640" i="3" s="1"/>
  <c r="Q1641" i="3" a="1"/>
  <c r="Q1641" i="3" s="1"/>
  <c r="Q1642" i="3" a="1"/>
  <c r="Q1642" i="3" s="1"/>
  <c r="Q1643" i="3" a="1"/>
  <c r="Q1643" i="3" s="1"/>
  <c r="Q1644" i="3" a="1"/>
  <c r="Q1644" i="3" s="1"/>
  <c r="Q1645" i="3" a="1"/>
  <c r="Q1645" i="3" s="1"/>
  <c r="Q1646" i="3" a="1"/>
  <c r="Q1646" i="3" s="1"/>
  <c r="Q1647" i="3" a="1"/>
  <c r="Q1647" i="3" s="1"/>
  <c r="Q1648" i="3" a="1"/>
  <c r="Q1648" i="3" s="1"/>
  <c r="Q1649" i="3" a="1"/>
  <c r="Q1649" i="3" s="1"/>
  <c r="Q1650" i="3" a="1"/>
  <c r="Q1650" i="3" s="1"/>
  <c r="Q1651" i="3" a="1"/>
  <c r="Q1651" i="3" s="1"/>
  <c r="Q1652" i="3" a="1"/>
  <c r="Q1652" i="3" s="1"/>
  <c r="Q1653" i="3" a="1"/>
  <c r="Q1653" i="3" s="1"/>
  <c r="Q1654" i="3" a="1"/>
  <c r="Q1654" i="3" s="1"/>
  <c r="Q1655" i="3" a="1"/>
  <c r="Q1655" i="3" s="1"/>
  <c r="Q1656" i="3" a="1"/>
  <c r="Q1656" i="3" s="1"/>
  <c r="Q1657" i="3" a="1"/>
  <c r="Q1657" i="3" s="1"/>
  <c r="Q1658" i="3" a="1"/>
  <c r="Q1658" i="3" s="1"/>
  <c r="Q1659" i="3" a="1"/>
  <c r="Q1659" i="3" s="1"/>
  <c r="Q1660" i="3" a="1"/>
  <c r="Q1660" i="3" s="1"/>
  <c r="Q1661" i="3" a="1"/>
  <c r="Q1661" i="3" s="1"/>
  <c r="Q1662" i="3" a="1"/>
  <c r="Q1662" i="3" s="1"/>
  <c r="Q1663" i="3" a="1"/>
  <c r="Q1663" i="3" s="1"/>
  <c r="Q1664" i="3" a="1"/>
  <c r="Q1664" i="3" s="1"/>
  <c r="Q1665" i="3" a="1"/>
  <c r="Q1665" i="3" s="1"/>
  <c r="Q1666" i="3" a="1"/>
  <c r="Q1666" i="3" s="1"/>
  <c r="Q1667" i="3" a="1"/>
  <c r="Q1667" i="3" s="1"/>
  <c r="Q1668" i="3" a="1"/>
  <c r="Q1668" i="3" s="1"/>
  <c r="Q1669" i="3" a="1"/>
  <c r="Q1669" i="3" s="1"/>
  <c r="Q1670" i="3" a="1"/>
  <c r="Q1670" i="3" s="1"/>
  <c r="Q1671" i="3" a="1"/>
  <c r="Q1671" i="3" s="1"/>
  <c r="Q1672" i="3" a="1"/>
  <c r="Q1672" i="3" s="1"/>
  <c r="Q1673" i="3" a="1"/>
  <c r="Q1673" i="3" s="1"/>
  <c r="Q1674" i="3" a="1"/>
  <c r="Q1674" i="3" s="1"/>
  <c r="Q1675" i="3" a="1"/>
  <c r="Q1675" i="3" s="1"/>
  <c r="Q1676" i="3" a="1"/>
  <c r="Q1676" i="3" s="1"/>
  <c r="Q1677" i="3" a="1"/>
  <c r="Q1677" i="3" s="1"/>
  <c r="Q1678" i="3" a="1"/>
  <c r="Q1678" i="3" s="1"/>
  <c r="Q1679" i="3" a="1"/>
  <c r="Q1679" i="3" s="1"/>
  <c r="Q1680" i="3" a="1"/>
  <c r="Q1680" i="3" s="1"/>
  <c r="Q1681" i="3" a="1"/>
  <c r="Q1681" i="3" s="1"/>
  <c r="Q1682" i="3" a="1"/>
  <c r="Q1682" i="3" s="1"/>
  <c r="Q1683" i="3" a="1"/>
  <c r="Q1683" i="3" s="1"/>
  <c r="Q1684" i="3" a="1"/>
  <c r="Q1684" i="3" s="1"/>
  <c r="Q1685" i="3" a="1"/>
  <c r="Q1685" i="3" s="1"/>
  <c r="Q1686" i="3" a="1"/>
  <c r="Q1686" i="3" s="1"/>
  <c r="Q1687" i="3" a="1"/>
  <c r="Q1687" i="3" s="1"/>
  <c r="Q1688" i="3" a="1"/>
  <c r="Q1688" i="3" s="1"/>
  <c r="Q1689" i="3" a="1"/>
  <c r="Q1689" i="3" s="1"/>
  <c r="Q1690" i="3" a="1"/>
  <c r="Q1690" i="3" s="1"/>
  <c r="Q1691" i="3" a="1"/>
  <c r="Q1691" i="3" s="1"/>
  <c r="Q1692" i="3" a="1"/>
  <c r="Q1692" i="3" s="1"/>
  <c r="Q1693" i="3" a="1"/>
  <c r="Q1693" i="3" s="1"/>
  <c r="Q1694" i="3" a="1"/>
  <c r="Q1694" i="3" s="1"/>
  <c r="Q1695" i="3" a="1"/>
  <c r="Q1695" i="3" s="1"/>
  <c r="Q1696" i="3" a="1"/>
  <c r="Q1696" i="3" s="1"/>
  <c r="Q1697" i="3" a="1"/>
  <c r="Q1697" i="3" s="1"/>
  <c r="Q1698" i="3" a="1"/>
  <c r="Q1698" i="3" s="1"/>
  <c r="Q1699" i="3" a="1"/>
  <c r="Q1699" i="3" s="1"/>
  <c r="Q1700" i="3" a="1"/>
  <c r="Q1700" i="3" s="1"/>
  <c r="Q1701" i="3" a="1"/>
  <c r="Q1701" i="3" s="1"/>
  <c r="Q1702" i="3" a="1"/>
  <c r="Q1702" i="3" s="1"/>
  <c r="Q1703" i="3" a="1"/>
  <c r="Q1703" i="3" s="1"/>
  <c r="Q1704" i="3" a="1"/>
  <c r="Q1704" i="3" s="1"/>
  <c r="Q1705" i="3" a="1"/>
  <c r="Q1705" i="3" s="1"/>
  <c r="Q1706" i="3" a="1"/>
  <c r="Q1706" i="3" s="1"/>
  <c r="Q1707" i="3" a="1"/>
  <c r="Q1707" i="3" s="1"/>
  <c r="Q1708" i="3" a="1"/>
  <c r="Q1708" i="3" s="1"/>
  <c r="Q1709" i="3" a="1"/>
  <c r="Q1709" i="3" s="1"/>
  <c r="Q1710" i="3" a="1"/>
  <c r="Q1710" i="3" s="1"/>
  <c r="Q1711" i="3" a="1"/>
  <c r="Q1711" i="3" s="1"/>
  <c r="Q1712" i="3" a="1"/>
  <c r="Q1712" i="3" s="1"/>
  <c r="Q1713" i="3" a="1"/>
  <c r="Q1713" i="3" s="1"/>
  <c r="Q1714" i="3" a="1"/>
  <c r="Q1714" i="3" s="1"/>
  <c r="Q1715" i="3" a="1"/>
  <c r="Q1715" i="3" s="1"/>
  <c r="Q1716" i="3" a="1"/>
  <c r="Q1716" i="3" s="1"/>
  <c r="Q1717" i="3" a="1"/>
  <c r="Q1717" i="3" s="1"/>
  <c r="Q1718" i="3" a="1"/>
  <c r="Q1718" i="3" s="1"/>
  <c r="Q1719" i="3" a="1"/>
  <c r="Q1719" i="3" s="1"/>
  <c r="Q1720" i="3" a="1"/>
  <c r="Q1720" i="3" s="1"/>
  <c r="Q1721" i="3" a="1"/>
  <c r="Q1721" i="3" s="1"/>
  <c r="Q1722" i="3" a="1"/>
  <c r="Q1722" i="3" s="1"/>
  <c r="Q1723" i="3" a="1"/>
  <c r="Q1723" i="3" s="1"/>
  <c r="Q1724" i="3" a="1"/>
  <c r="Q1724" i="3" s="1"/>
  <c r="Q1725" i="3" a="1"/>
  <c r="Q1725" i="3" s="1"/>
  <c r="Q1726" i="3" a="1"/>
  <c r="Q1726" i="3" s="1"/>
  <c r="Q1727" i="3" a="1"/>
  <c r="Q1727" i="3" s="1"/>
  <c r="Q1728" i="3" a="1"/>
  <c r="Q1728" i="3" s="1"/>
  <c r="Q1729" i="3" a="1"/>
  <c r="Q1729" i="3" s="1"/>
  <c r="Q1730" i="3" a="1"/>
  <c r="Q1730" i="3" s="1"/>
  <c r="Q1731" i="3" a="1"/>
  <c r="Q1731" i="3" s="1"/>
  <c r="Q1732" i="3" a="1"/>
  <c r="Q1732" i="3" s="1"/>
  <c r="Q1733" i="3" a="1"/>
  <c r="Q1733" i="3" s="1"/>
  <c r="Q1734" i="3" a="1"/>
  <c r="Q1734" i="3" s="1"/>
  <c r="Q1735" i="3" a="1"/>
  <c r="Q1735" i="3" s="1"/>
  <c r="Q1736" i="3" a="1"/>
  <c r="Q1736" i="3" s="1"/>
  <c r="Q1737" i="3" a="1"/>
  <c r="Q1737" i="3" s="1"/>
  <c r="Q1738" i="3" a="1"/>
  <c r="Q1738" i="3" s="1"/>
  <c r="Q1739" i="3" a="1"/>
  <c r="Q1739" i="3" s="1"/>
  <c r="Q1740" i="3" a="1"/>
  <c r="Q1740" i="3" s="1"/>
  <c r="Q1741" i="3" a="1"/>
  <c r="Q1741" i="3" s="1"/>
  <c r="Q1742" i="3" a="1"/>
  <c r="Q1742" i="3" s="1"/>
  <c r="Q1743" i="3" a="1"/>
  <c r="Q1743" i="3" s="1"/>
  <c r="Q1744" i="3" a="1"/>
  <c r="Q1744" i="3" s="1"/>
  <c r="Q1745" i="3" a="1"/>
  <c r="Q1745" i="3" s="1"/>
  <c r="Q1746" i="3" a="1"/>
  <c r="Q1746" i="3" s="1"/>
  <c r="Q1747" i="3" a="1"/>
  <c r="Q1747" i="3" s="1"/>
  <c r="Q1748" i="3" a="1"/>
  <c r="Q1748" i="3" s="1"/>
  <c r="Q1749" i="3" a="1"/>
  <c r="Q1749" i="3" s="1"/>
  <c r="Q1750" i="3" a="1"/>
  <c r="Q1750" i="3" s="1"/>
  <c r="Q1751" i="3" a="1"/>
  <c r="Q1751" i="3" s="1"/>
  <c r="Q1752" i="3" a="1"/>
  <c r="Q1752" i="3" s="1"/>
  <c r="Q1753" i="3" a="1"/>
  <c r="Q1753" i="3" s="1"/>
  <c r="Q1754" i="3" a="1"/>
  <c r="Q1754" i="3" s="1"/>
  <c r="Q1755" i="3" a="1"/>
  <c r="Q1755" i="3" s="1"/>
  <c r="Q1756" i="3" a="1"/>
  <c r="Q1756" i="3" s="1"/>
  <c r="Q1757" i="3" a="1"/>
  <c r="Q1757" i="3" s="1"/>
  <c r="Q1758" i="3" a="1"/>
  <c r="Q1758" i="3" s="1"/>
  <c r="Q1759" i="3" a="1"/>
  <c r="Q1759" i="3" s="1"/>
  <c r="Q1760" i="3" a="1"/>
  <c r="Q1760" i="3" s="1"/>
  <c r="Q1761" i="3" a="1"/>
  <c r="Q1761" i="3" s="1"/>
  <c r="Q1762" i="3" a="1"/>
  <c r="Q1762" i="3" s="1"/>
  <c r="Q1763" i="3" a="1"/>
  <c r="Q1763" i="3" s="1"/>
  <c r="Q1764" i="3" a="1"/>
  <c r="Q1764" i="3" s="1"/>
  <c r="Q1765" i="3" a="1"/>
  <c r="Q1765" i="3" s="1"/>
  <c r="Q1766" i="3" a="1"/>
  <c r="Q1766" i="3" s="1"/>
  <c r="Q1767" i="3" a="1"/>
  <c r="Q1767" i="3" s="1"/>
  <c r="Q1768" i="3" a="1"/>
  <c r="Q1768" i="3" s="1"/>
  <c r="Q1769" i="3" a="1"/>
  <c r="Q1769" i="3" s="1"/>
  <c r="Q1770" i="3" a="1"/>
  <c r="Q1770" i="3" s="1"/>
  <c r="Q1771" i="3" a="1"/>
  <c r="Q1771" i="3" s="1"/>
  <c r="Q1772" i="3" a="1"/>
  <c r="Q1772" i="3" s="1"/>
  <c r="Q1773" i="3" a="1"/>
  <c r="Q1773" i="3" s="1"/>
  <c r="Q1774" i="3" a="1"/>
  <c r="Q1774" i="3" s="1"/>
  <c r="Q1775" i="3" a="1"/>
  <c r="Q1775" i="3" s="1"/>
  <c r="Q1776" i="3" a="1"/>
  <c r="Q1776" i="3" s="1"/>
  <c r="Q1777" i="3" a="1"/>
  <c r="Q1777" i="3" s="1"/>
  <c r="Q1778" i="3" a="1"/>
  <c r="Q1778" i="3" s="1"/>
  <c r="Q1779" i="3" a="1"/>
  <c r="Q1779" i="3" s="1"/>
  <c r="Q1780" i="3" a="1"/>
  <c r="Q1780" i="3" s="1"/>
  <c r="Q1781" i="3" a="1"/>
  <c r="Q1781" i="3" s="1"/>
  <c r="Q1782" i="3" a="1"/>
  <c r="Q1782" i="3" s="1"/>
  <c r="Q1783" i="3" a="1"/>
  <c r="Q1783" i="3" s="1"/>
  <c r="Q1784" i="3" a="1"/>
  <c r="Q1784" i="3" s="1"/>
  <c r="Q1785" i="3" a="1"/>
  <c r="Q1785" i="3" s="1"/>
  <c r="Q1786" i="3" a="1"/>
  <c r="Q1786" i="3" s="1"/>
  <c r="Q1787" i="3" a="1"/>
  <c r="Q1787" i="3" s="1"/>
  <c r="Q1788" i="3" a="1"/>
  <c r="Q1788" i="3" s="1"/>
  <c r="Q1789" i="3" a="1"/>
  <c r="Q1789" i="3" s="1"/>
  <c r="Q1790" i="3" a="1"/>
  <c r="Q1790" i="3" s="1"/>
  <c r="Q1791" i="3" a="1"/>
  <c r="Q1791" i="3" s="1"/>
  <c r="Q1792" i="3" a="1"/>
  <c r="Q1792" i="3" s="1"/>
  <c r="Q1793" i="3" a="1"/>
  <c r="Q1793" i="3" s="1"/>
  <c r="Q1794" i="3" a="1"/>
  <c r="Q1794" i="3" s="1"/>
  <c r="Q1795" i="3" a="1"/>
  <c r="Q1795" i="3" s="1"/>
  <c r="Q1796" i="3" a="1"/>
  <c r="Q1796" i="3" s="1"/>
  <c r="Q1797" i="3" a="1"/>
  <c r="Q1797" i="3" s="1"/>
  <c r="Q1798" i="3" a="1"/>
  <c r="Q1798" i="3" s="1"/>
  <c r="Q1799" i="3" a="1"/>
  <c r="Q1799" i="3" s="1"/>
  <c r="Q1800" i="3" a="1"/>
  <c r="Q1800" i="3" s="1"/>
  <c r="Q1801" i="3" a="1"/>
  <c r="Q1801" i="3" s="1"/>
  <c r="Q1802" i="3" a="1"/>
  <c r="Q1802" i="3" s="1"/>
  <c r="Q1803" i="3" a="1"/>
  <c r="Q1803" i="3" s="1"/>
  <c r="Q1804" i="3" a="1"/>
  <c r="Q1804" i="3" s="1"/>
  <c r="Q1805" i="3" a="1"/>
  <c r="Q1805" i="3" s="1"/>
  <c r="Q1806" i="3" a="1"/>
  <c r="Q1806" i="3" s="1"/>
  <c r="Q1807" i="3" a="1"/>
  <c r="Q1807" i="3" s="1"/>
  <c r="Q1808" i="3" a="1"/>
  <c r="Q1808" i="3" s="1"/>
  <c r="Q1809" i="3" a="1"/>
  <c r="Q1809" i="3" s="1"/>
  <c r="Q1810" i="3" a="1"/>
  <c r="Q1810" i="3" s="1"/>
  <c r="Q1811" i="3" a="1"/>
  <c r="Q1811" i="3" s="1"/>
  <c r="Q1812" i="3" a="1"/>
  <c r="Q1812" i="3" s="1"/>
  <c r="Q1813" i="3" a="1"/>
  <c r="Q1813" i="3" s="1"/>
  <c r="Q1814" i="3" a="1"/>
  <c r="Q1814" i="3" s="1"/>
  <c r="Q1815" i="3" a="1"/>
  <c r="Q1815" i="3" s="1"/>
  <c r="Q1816" i="3" a="1"/>
  <c r="Q1816" i="3" s="1"/>
  <c r="Q1817" i="3" a="1"/>
  <c r="Q1817" i="3" s="1"/>
  <c r="Q1818" i="3" a="1"/>
  <c r="Q1818" i="3" s="1"/>
  <c r="Q1819" i="3" a="1"/>
  <c r="Q1819" i="3" s="1"/>
  <c r="Q1820" i="3" a="1"/>
  <c r="Q1820" i="3" s="1"/>
  <c r="Q1821" i="3" a="1"/>
  <c r="Q1821" i="3" s="1"/>
  <c r="Q1822" i="3" a="1"/>
  <c r="Q1822" i="3" s="1"/>
  <c r="Q1823" i="3" a="1"/>
  <c r="Q1823" i="3" s="1"/>
  <c r="Q1824" i="3" a="1"/>
  <c r="Q1824" i="3" s="1"/>
  <c r="Q1825" i="3" a="1"/>
  <c r="Q1825" i="3" s="1"/>
  <c r="Q1826" i="3" a="1"/>
  <c r="Q1826" i="3" s="1"/>
  <c r="Q1827" i="3" a="1"/>
  <c r="Q1827" i="3" s="1"/>
  <c r="Q1828" i="3" a="1"/>
  <c r="Q1828" i="3" s="1"/>
  <c r="Q1829" i="3" a="1"/>
  <c r="Q1829" i="3" s="1"/>
  <c r="Q1830" i="3" a="1"/>
  <c r="Q1830" i="3" s="1"/>
  <c r="Q1831" i="3" a="1"/>
  <c r="Q1831" i="3" s="1"/>
  <c r="Q1832" i="3" a="1"/>
  <c r="Q1832" i="3" s="1"/>
  <c r="Q1833" i="3" a="1"/>
  <c r="Q1833" i="3" s="1"/>
  <c r="Q1834" i="3" a="1"/>
  <c r="Q1834" i="3" s="1"/>
  <c r="Q1835" i="3" a="1"/>
  <c r="Q1835" i="3" s="1"/>
  <c r="Q1836" i="3" a="1"/>
  <c r="Q1836" i="3" s="1"/>
  <c r="Q1837" i="3" a="1"/>
  <c r="Q1837" i="3" s="1"/>
  <c r="Q1838" i="3" a="1"/>
  <c r="Q1838" i="3" s="1"/>
  <c r="Q1839" i="3" a="1"/>
  <c r="Q1839" i="3" s="1"/>
  <c r="Q1840" i="3" a="1"/>
  <c r="Q1840" i="3" s="1"/>
  <c r="Q1841" i="3" a="1"/>
  <c r="Q1841" i="3" s="1"/>
  <c r="Q1842" i="3" a="1"/>
  <c r="Q1842" i="3" s="1"/>
  <c r="Q1843" i="3" a="1"/>
  <c r="Q1843" i="3" s="1"/>
  <c r="Q1844" i="3" a="1"/>
  <c r="Q1844" i="3" s="1"/>
  <c r="Q1845" i="3" a="1"/>
  <c r="Q1845" i="3" s="1"/>
  <c r="Q1846" i="3" a="1"/>
  <c r="Q1846" i="3" s="1"/>
  <c r="Q1847" i="3" a="1"/>
  <c r="Q1847" i="3" s="1"/>
  <c r="Q1848" i="3" a="1"/>
  <c r="Q1848" i="3" s="1"/>
  <c r="Q1849" i="3" a="1"/>
  <c r="Q1849" i="3" s="1"/>
  <c r="Q1850" i="3" a="1"/>
  <c r="Q1850" i="3" s="1"/>
  <c r="Q1851" i="3" a="1"/>
  <c r="Q1851" i="3" s="1"/>
  <c r="Q1852" i="3" a="1"/>
  <c r="Q1852" i="3" s="1"/>
  <c r="Q1853" i="3" a="1"/>
  <c r="Q1853" i="3" s="1"/>
  <c r="Q1854" i="3" a="1"/>
  <c r="Q1854" i="3" s="1"/>
  <c r="Q1855" i="3" a="1"/>
  <c r="Q1855" i="3" s="1"/>
  <c r="Q1856" i="3" a="1"/>
  <c r="Q1856" i="3" s="1"/>
  <c r="Q1857" i="3" a="1"/>
  <c r="Q1857" i="3" s="1"/>
  <c r="Q1858" i="3" a="1"/>
  <c r="Q1858" i="3" s="1"/>
  <c r="Q1859" i="3" a="1"/>
  <c r="Q1859" i="3" s="1"/>
  <c r="Q1860" i="3" a="1"/>
  <c r="Q1860" i="3" s="1"/>
  <c r="Q1861" i="3" a="1"/>
  <c r="Q1861" i="3" s="1"/>
  <c r="Q1862" i="3" a="1"/>
  <c r="Q1862" i="3" s="1"/>
  <c r="Q1863" i="3" a="1"/>
  <c r="Q1863" i="3" s="1"/>
  <c r="Q1864" i="3" a="1"/>
  <c r="Q1864" i="3" s="1"/>
  <c r="Q1865" i="3" a="1"/>
  <c r="Q1865" i="3" s="1"/>
  <c r="Q1866" i="3" a="1"/>
  <c r="Q1866" i="3" s="1"/>
  <c r="Q1867" i="3" a="1"/>
  <c r="Q1867" i="3" s="1"/>
  <c r="Q1868" i="3" a="1"/>
  <c r="Q1868" i="3" s="1"/>
  <c r="Q1869" i="3" a="1"/>
  <c r="Q1869" i="3" s="1"/>
  <c r="Q1870" i="3" a="1"/>
  <c r="Q1870" i="3" s="1"/>
  <c r="Q1871" i="3" a="1"/>
  <c r="Q1871" i="3" s="1"/>
  <c r="Q1872" i="3" a="1"/>
  <c r="Q1872" i="3" s="1"/>
  <c r="Q1873" i="3" a="1"/>
  <c r="Q1873" i="3" s="1"/>
  <c r="Q1874" i="3" a="1"/>
  <c r="Q1874" i="3" s="1"/>
  <c r="Q1875" i="3" a="1"/>
  <c r="Q1875" i="3" s="1"/>
  <c r="Q1876" i="3" a="1"/>
  <c r="Q1876" i="3" s="1"/>
  <c r="Q1877" i="3" a="1"/>
  <c r="Q1877" i="3" s="1"/>
  <c r="Q1878" i="3" a="1"/>
  <c r="Q1878" i="3" s="1"/>
  <c r="Q1879" i="3" a="1"/>
  <c r="Q1879" i="3" s="1"/>
  <c r="Q1880" i="3" a="1"/>
  <c r="Q1880" i="3" s="1"/>
  <c r="Q1881" i="3" a="1"/>
  <c r="Q1881" i="3" s="1"/>
  <c r="Q1882" i="3" a="1"/>
  <c r="Q1882" i="3" s="1"/>
  <c r="Q1883" i="3" a="1"/>
  <c r="Q1883" i="3" s="1"/>
  <c r="Q1884" i="3" a="1"/>
  <c r="Q1884" i="3" s="1"/>
  <c r="Q1885" i="3" a="1"/>
  <c r="Q1885" i="3" s="1"/>
  <c r="Q1886" i="3" a="1"/>
  <c r="Q1886" i="3" s="1"/>
  <c r="Q1887" i="3" a="1"/>
  <c r="Q1887" i="3" s="1"/>
  <c r="Q1888" i="3" a="1"/>
  <c r="Q1888" i="3" s="1"/>
  <c r="Q1889" i="3" a="1"/>
  <c r="Q1889" i="3" s="1"/>
  <c r="Q1890" i="3" a="1"/>
  <c r="Q1890" i="3" s="1"/>
  <c r="Q1891" i="3" a="1"/>
  <c r="Q1891" i="3" s="1"/>
  <c r="Q1892" i="3" a="1"/>
  <c r="Q1892" i="3" s="1"/>
  <c r="Q1893" i="3" a="1"/>
  <c r="Q1893" i="3" s="1"/>
  <c r="Q1894" i="3" a="1"/>
  <c r="Q1894" i="3" s="1"/>
  <c r="Q1895" i="3" a="1"/>
  <c r="Q1895" i="3" s="1"/>
  <c r="Q1896" i="3" a="1"/>
  <c r="Q1896" i="3" s="1"/>
  <c r="Q1897" i="3" a="1"/>
  <c r="Q1897" i="3" s="1"/>
  <c r="Q1898" i="3" a="1"/>
  <c r="Q1898" i="3" s="1"/>
  <c r="Q1899" i="3" a="1"/>
  <c r="Q1899" i="3" s="1"/>
  <c r="Q1900" i="3" a="1"/>
  <c r="Q1900" i="3" s="1"/>
  <c r="Q1901" i="3" a="1"/>
  <c r="Q1901" i="3" s="1"/>
  <c r="Q1902" i="3" a="1"/>
  <c r="Q1902" i="3" s="1"/>
  <c r="Q1903" i="3" a="1"/>
  <c r="Q1903" i="3" s="1"/>
  <c r="Q1904" i="3" a="1"/>
  <c r="Q1904" i="3" s="1"/>
  <c r="Q1905" i="3" a="1"/>
  <c r="Q1905" i="3" s="1"/>
  <c r="Q1906" i="3" a="1"/>
  <c r="Q1906" i="3" s="1"/>
  <c r="Q1907" i="3" a="1"/>
  <c r="Q1907" i="3" s="1"/>
  <c r="Q1908" i="3" a="1"/>
  <c r="Q1908" i="3" s="1"/>
  <c r="Q1909" i="3" a="1"/>
  <c r="Q1909" i="3" s="1"/>
  <c r="Q1910" i="3" a="1"/>
  <c r="Q1910" i="3" s="1"/>
  <c r="Q1911" i="3" a="1"/>
  <c r="Q1911" i="3" s="1"/>
  <c r="Q1912" i="3" a="1"/>
  <c r="Q1912" i="3" s="1"/>
  <c r="Q1913" i="3" a="1"/>
  <c r="Q1913" i="3" s="1"/>
  <c r="Q1914" i="3" a="1"/>
  <c r="Q1914" i="3" s="1"/>
  <c r="Q1915" i="3" a="1"/>
  <c r="Q1915" i="3" s="1"/>
  <c r="Q1916" i="3" a="1"/>
  <c r="Q1916" i="3" s="1"/>
  <c r="Q1917" i="3" a="1"/>
  <c r="Q1917" i="3" s="1"/>
  <c r="Q1918" i="3" a="1"/>
  <c r="Q1918" i="3" s="1"/>
  <c r="Q1919" i="3" a="1"/>
  <c r="Q1919" i="3" s="1"/>
  <c r="Q1920" i="3" a="1"/>
  <c r="Q1920" i="3" s="1"/>
  <c r="Q1921" i="3" a="1"/>
  <c r="Q1921" i="3" s="1"/>
  <c r="Q1922" i="3" a="1"/>
  <c r="Q1922" i="3" s="1"/>
  <c r="Q1923" i="3" a="1"/>
  <c r="Q1923" i="3" s="1"/>
  <c r="Q1924" i="3" a="1"/>
  <c r="Q1924" i="3" s="1"/>
  <c r="Q1925" i="3" a="1"/>
  <c r="Q1925" i="3" s="1"/>
  <c r="Q1926" i="3" a="1"/>
  <c r="Q1926" i="3" s="1"/>
  <c r="Q1927" i="3" a="1"/>
  <c r="Q1927" i="3" s="1"/>
  <c r="Q1928" i="3" a="1"/>
  <c r="Q1928" i="3" s="1"/>
  <c r="Q1929" i="3" a="1"/>
  <c r="Q1929" i="3" s="1"/>
  <c r="Q1930" i="3" a="1"/>
  <c r="Q1930" i="3" s="1"/>
  <c r="Q1931" i="3" a="1"/>
  <c r="Q1931" i="3" s="1"/>
  <c r="Q1932" i="3" a="1"/>
  <c r="Q1932" i="3" s="1"/>
  <c r="Q1933" i="3" a="1"/>
  <c r="Q1933" i="3" s="1"/>
  <c r="Q1934" i="3" a="1"/>
  <c r="Q1934" i="3" s="1"/>
  <c r="Q1935" i="3" a="1"/>
  <c r="Q1935" i="3" s="1"/>
  <c r="Q1936" i="3" a="1"/>
  <c r="Q1936" i="3" s="1"/>
  <c r="Q1937" i="3" a="1"/>
  <c r="Q1937" i="3" s="1"/>
  <c r="Q1938" i="3" a="1"/>
  <c r="Q1938" i="3" s="1"/>
  <c r="Q1939" i="3" a="1"/>
  <c r="Q1939" i="3" s="1"/>
  <c r="Q1940" i="3" a="1"/>
  <c r="Q1940" i="3" s="1"/>
  <c r="Q1941" i="3" a="1"/>
  <c r="Q1941" i="3" s="1"/>
  <c r="Q1942" i="3" a="1"/>
  <c r="Q1942" i="3" s="1"/>
  <c r="Q1943" i="3" a="1"/>
  <c r="Q1943" i="3" s="1"/>
  <c r="Q1944" i="3" a="1"/>
  <c r="Q1944" i="3" s="1"/>
  <c r="Q1945" i="3" a="1"/>
  <c r="Q1945" i="3" s="1"/>
  <c r="Q1946" i="3" a="1"/>
  <c r="Q1946" i="3" s="1"/>
  <c r="Q1947" i="3" a="1"/>
  <c r="Q1947" i="3" s="1"/>
  <c r="Q1948" i="3" a="1"/>
  <c r="Q1948" i="3" s="1"/>
  <c r="Q1949" i="3" a="1"/>
  <c r="Q1949" i="3" s="1"/>
  <c r="Q1950" i="3" a="1"/>
  <c r="Q1950" i="3" s="1"/>
  <c r="Q1951" i="3" a="1"/>
  <c r="Q1951" i="3" s="1"/>
  <c r="Q1952" i="3" a="1"/>
  <c r="Q1952" i="3" s="1"/>
  <c r="Q1953" i="3" a="1"/>
  <c r="Q1953" i="3" s="1"/>
  <c r="Q1954" i="3" a="1"/>
  <c r="Q1954" i="3" s="1"/>
  <c r="Q1955" i="3" a="1"/>
  <c r="Q1955" i="3" s="1"/>
  <c r="Q1956" i="3" a="1"/>
  <c r="Q1956" i="3" s="1"/>
  <c r="Q1957" i="3" a="1"/>
  <c r="Q1957" i="3" s="1"/>
  <c r="Q1958" i="3" a="1"/>
  <c r="Q1958" i="3" s="1"/>
  <c r="Q1959" i="3" a="1"/>
  <c r="Q1959" i="3" s="1"/>
  <c r="Q1960" i="3" a="1"/>
  <c r="Q1960" i="3" s="1"/>
  <c r="Q1961" i="3" a="1"/>
  <c r="Q1961" i="3" s="1"/>
  <c r="Q1962" i="3" a="1"/>
  <c r="Q1962" i="3" s="1"/>
  <c r="Q1963" i="3" a="1"/>
  <c r="Q1963" i="3" s="1"/>
  <c r="Q1964" i="3" a="1"/>
  <c r="Q1964" i="3" s="1"/>
  <c r="Q1965" i="3" a="1"/>
  <c r="Q1965" i="3" s="1"/>
  <c r="Q1966" i="3" a="1"/>
  <c r="Q1966" i="3" s="1"/>
  <c r="Q1967" i="3" a="1"/>
  <c r="Q1967" i="3" s="1"/>
  <c r="Q1968" i="3" a="1"/>
  <c r="Q1968" i="3" s="1"/>
  <c r="Q1969" i="3" a="1"/>
  <c r="Q1969" i="3" s="1"/>
  <c r="Q1970" i="3" a="1"/>
  <c r="Q1970" i="3" s="1"/>
  <c r="Q1971" i="3" a="1"/>
  <c r="Q1971" i="3" s="1"/>
  <c r="Q1972" i="3" a="1"/>
  <c r="Q1972" i="3" s="1"/>
  <c r="Q1973" i="3" a="1"/>
  <c r="Q1973" i="3" s="1"/>
  <c r="Q1974" i="3" a="1"/>
  <c r="Q1974" i="3" s="1"/>
  <c r="Q1975" i="3" a="1"/>
  <c r="Q1975" i="3" s="1"/>
  <c r="Q1976" i="3" a="1"/>
  <c r="Q1976" i="3" s="1"/>
  <c r="Q1977" i="3" a="1"/>
  <c r="Q1977" i="3" s="1"/>
  <c r="Q1978" i="3" a="1"/>
  <c r="Q1978" i="3" s="1"/>
  <c r="Q1979" i="3" a="1"/>
  <c r="Q1979" i="3" s="1"/>
  <c r="Q1980" i="3" a="1"/>
  <c r="Q1980" i="3" s="1"/>
  <c r="Q1981" i="3" a="1"/>
  <c r="Q1981" i="3" s="1"/>
  <c r="Q1982" i="3" a="1"/>
  <c r="Q1982" i="3" s="1"/>
  <c r="Q1983" i="3" a="1"/>
  <c r="Q1983" i="3" s="1"/>
  <c r="Q1984" i="3" a="1"/>
  <c r="Q1984" i="3" s="1"/>
  <c r="Q1985" i="3" a="1"/>
  <c r="Q1985" i="3" s="1"/>
  <c r="Q1986" i="3" a="1"/>
  <c r="Q1986" i="3" s="1"/>
  <c r="Q1987" i="3" a="1"/>
  <c r="Q1987" i="3" s="1"/>
  <c r="Q1988" i="3" a="1"/>
  <c r="Q1988" i="3" s="1"/>
  <c r="Q1989" i="3" a="1"/>
  <c r="Q1989" i="3" s="1"/>
  <c r="Q1990" i="3" a="1"/>
  <c r="Q1990" i="3" s="1"/>
  <c r="Q1991" i="3" a="1"/>
  <c r="Q1991" i="3" s="1"/>
  <c r="Q1992" i="3" a="1"/>
  <c r="Q1992" i="3" s="1"/>
  <c r="Q1993" i="3" a="1"/>
  <c r="Q1993" i="3" s="1"/>
  <c r="Q1994" i="3" a="1"/>
  <c r="Q1994" i="3" s="1"/>
  <c r="Q1995" i="3" a="1"/>
  <c r="Q1995" i="3" s="1"/>
  <c r="Q1996" i="3" a="1"/>
  <c r="Q1996" i="3" s="1"/>
  <c r="Q1997" i="3" a="1"/>
  <c r="Q1997" i="3" s="1"/>
  <c r="Q1998" i="3" a="1"/>
  <c r="Q1998" i="3" s="1"/>
  <c r="Q1999" i="3" a="1"/>
  <c r="Q1999" i="3" s="1"/>
  <c r="Q2000" i="3" a="1"/>
  <c r="Q2000" i="3" s="1"/>
  <c r="Q2001" i="3" a="1"/>
  <c r="Q2001" i="3" s="1"/>
  <c r="Q2002" i="3" a="1"/>
  <c r="Q2002" i="3" s="1"/>
  <c r="Q2003" i="3" a="1"/>
  <c r="Q2003" i="3" s="1"/>
  <c r="Q2004" i="3" a="1"/>
  <c r="Q2004" i="3" s="1"/>
  <c r="Q2005" i="3" a="1"/>
  <c r="Q2005" i="3" s="1"/>
  <c r="Q2006" i="3" a="1"/>
  <c r="Q2006" i="3" s="1"/>
  <c r="Q2007" i="3" a="1"/>
  <c r="Q2007" i="3" s="1"/>
  <c r="Q2008" i="3" a="1"/>
  <c r="Q2008" i="3" s="1"/>
  <c r="Q2009" i="3" a="1"/>
  <c r="Q2009" i="3" s="1"/>
  <c r="Q2010" i="3" a="1"/>
  <c r="Q2010" i="3" s="1"/>
  <c r="Q2011" i="3" a="1"/>
  <c r="Q2011" i="3" s="1"/>
  <c r="Q2012" i="3" a="1"/>
  <c r="Q2012" i="3" s="1"/>
  <c r="Q2013" i="3" a="1"/>
  <c r="Q2013" i="3" s="1"/>
  <c r="Q2014" i="3" a="1"/>
  <c r="Q2014" i="3" s="1"/>
  <c r="Q2015" i="3" a="1"/>
  <c r="Q2015" i="3" s="1"/>
  <c r="Q2016" i="3" a="1"/>
  <c r="Q2016" i="3" s="1"/>
  <c r="Q2017" i="3" a="1"/>
  <c r="Q2017" i="3" s="1"/>
  <c r="Q2018" i="3" a="1"/>
  <c r="Q2018" i="3" s="1"/>
  <c r="Q2019" i="3" a="1"/>
  <c r="Q2019" i="3" s="1"/>
  <c r="Q2020" i="3" a="1"/>
  <c r="Q2020" i="3" s="1"/>
  <c r="Q2021" i="3" a="1"/>
  <c r="Q2021" i="3" s="1"/>
  <c r="Q2022" i="3" a="1"/>
  <c r="Q2022" i="3" s="1"/>
  <c r="Q2023" i="3" a="1"/>
  <c r="Q2023" i="3" s="1"/>
  <c r="Q2024" i="3" a="1"/>
  <c r="Q2024" i="3" s="1"/>
  <c r="Q2025" i="3" a="1"/>
  <c r="Q2025" i="3" s="1"/>
  <c r="Q2026" i="3" a="1"/>
  <c r="Q2026" i="3" s="1"/>
  <c r="Q2027" i="3" a="1"/>
  <c r="Q2027" i="3" s="1"/>
  <c r="Q2028" i="3" a="1"/>
  <c r="Q2028" i="3" s="1"/>
  <c r="Q2029" i="3" a="1"/>
  <c r="Q2029" i="3" s="1"/>
  <c r="Q2030" i="3" a="1"/>
  <c r="Q2030" i="3" s="1"/>
  <c r="Q2031" i="3" a="1"/>
  <c r="Q2031" i="3" s="1"/>
  <c r="Q2032" i="3" a="1"/>
  <c r="Q2032" i="3" s="1"/>
  <c r="Q2033" i="3" a="1"/>
  <c r="Q2033" i="3" s="1"/>
  <c r="Q2034" i="3" a="1"/>
  <c r="Q2034" i="3" s="1"/>
  <c r="Q2035" i="3" a="1"/>
  <c r="Q2035" i="3" s="1"/>
  <c r="Q2036" i="3" a="1"/>
  <c r="Q2036" i="3" s="1"/>
  <c r="Q2037" i="3" a="1"/>
  <c r="Q2037" i="3" s="1"/>
  <c r="Q2038" i="3" a="1"/>
  <c r="Q2038" i="3" s="1"/>
  <c r="Q2039" i="3" a="1"/>
  <c r="Q2039" i="3" s="1"/>
  <c r="Q2040" i="3" a="1"/>
  <c r="Q2040" i="3" s="1"/>
  <c r="Q2041" i="3" a="1"/>
  <c r="Q2041" i="3" s="1"/>
  <c r="Q2042" i="3" a="1"/>
  <c r="Q2042" i="3" s="1"/>
  <c r="Q2043" i="3" a="1"/>
  <c r="Q2043" i="3" s="1"/>
  <c r="Q2044" i="3" a="1"/>
  <c r="Q2044" i="3" s="1"/>
  <c r="Q2045" i="3" a="1"/>
  <c r="Q2045" i="3" s="1"/>
  <c r="Q2046" i="3" a="1"/>
  <c r="Q2046" i="3" s="1"/>
  <c r="Q2047" i="3" a="1"/>
  <c r="Q2047" i="3" s="1"/>
  <c r="Q2048" i="3" a="1"/>
  <c r="Q2048" i="3" s="1"/>
  <c r="Q2049" i="3" a="1"/>
  <c r="Q2049" i="3" s="1"/>
  <c r="Q2050" i="3" a="1"/>
  <c r="Q2050" i="3" s="1"/>
  <c r="Q2051" i="3" a="1"/>
  <c r="Q2051" i="3" s="1"/>
  <c r="Q2052" i="3" a="1"/>
  <c r="Q2052" i="3" s="1"/>
  <c r="Q2053" i="3" a="1"/>
  <c r="Q2053" i="3" s="1"/>
  <c r="Q2054" i="3" a="1"/>
  <c r="Q2054" i="3" s="1"/>
  <c r="Q2055" i="3" a="1"/>
  <c r="Q2055" i="3" s="1"/>
  <c r="Q2056" i="3" a="1"/>
  <c r="Q2056" i="3" s="1"/>
  <c r="Q2057" i="3" a="1"/>
  <c r="Q2057" i="3" s="1"/>
  <c r="Q2058" i="3" a="1"/>
  <c r="Q2058" i="3" s="1"/>
  <c r="Q2059" i="3" a="1"/>
  <c r="Q2059" i="3" s="1"/>
  <c r="Q2060" i="3" a="1"/>
  <c r="Q2060" i="3" s="1"/>
  <c r="Q2061" i="3" a="1"/>
  <c r="Q2061" i="3" s="1"/>
  <c r="Q2062" i="3" a="1"/>
  <c r="Q2062" i="3" s="1"/>
  <c r="Q2063" i="3" a="1"/>
  <c r="Q2063" i="3" s="1"/>
  <c r="Q2064" i="3" a="1"/>
  <c r="Q2064" i="3" s="1"/>
  <c r="Q2065" i="3" a="1"/>
  <c r="Q2065" i="3" s="1"/>
  <c r="Q2066" i="3" a="1"/>
  <c r="Q2066" i="3" s="1"/>
  <c r="Q2067" i="3" a="1"/>
  <c r="Q2067" i="3" s="1"/>
  <c r="Q2068" i="3" a="1"/>
  <c r="Q2068" i="3" s="1"/>
  <c r="Q2069" i="3" a="1"/>
  <c r="Q2069" i="3" s="1"/>
  <c r="Q2070" i="3" a="1"/>
  <c r="Q2070" i="3" s="1"/>
  <c r="Q2071" i="3" a="1"/>
  <c r="Q2071" i="3" s="1"/>
  <c r="Q2072" i="3" a="1"/>
  <c r="Q2072" i="3" s="1"/>
  <c r="Q2073" i="3" a="1"/>
  <c r="Q2073" i="3" s="1"/>
  <c r="Q2074" i="3" a="1"/>
  <c r="Q2074" i="3" s="1"/>
  <c r="Q2075" i="3" a="1"/>
  <c r="Q2075" i="3" s="1"/>
  <c r="Q2076" i="3" a="1"/>
  <c r="Q2076" i="3" s="1"/>
  <c r="Q2077" i="3" a="1"/>
  <c r="Q2077" i="3" s="1"/>
  <c r="Q2078" i="3" a="1"/>
  <c r="Q2078" i="3" s="1"/>
  <c r="Q2079" i="3" a="1"/>
  <c r="Q2079" i="3" s="1"/>
  <c r="Q2080" i="3" a="1"/>
  <c r="Q2080" i="3" s="1"/>
  <c r="Q2081" i="3" a="1"/>
  <c r="Q2081" i="3" s="1"/>
  <c r="Q2082" i="3" a="1"/>
  <c r="Q2082" i="3" s="1"/>
  <c r="Q2083" i="3" a="1"/>
  <c r="Q2083" i="3" s="1"/>
  <c r="Q2084" i="3" a="1"/>
  <c r="Q2084" i="3" s="1"/>
  <c r="Q2085" i="3" a="1"/>
  <c r="Q2085" i="3" s="1"/>
  <c r="Q2086" i="3" a="1"/>
  <c r="Q2086" i="3" s="1"/>
  <c r="Q2087" i="3" a="1"/>
  <c r="Q2087" i="3" s="1"/>
  <c r="Q2088" i="3" a="1"/>
  <c r="Q2088" i="3" s="1"/>
  <c r="Q2089" i="3" a="1"/>
  <c r="Q2089" i="3" s="1"/>
  <c r="Q2090" i="3" a="1"/>
  <c r="Q2090" i="3" s="1"/>
  <c r="Q2091" i="3" a="1"/>
  <c r="Q2091" i="3" s="1"/>
  <c r="Q2092" i="3" a="1"/>
  <c r="Q2092" i="3" s="1"/>
  <c r="Q2093" i="3" a="1"/>
  <c r="Q2093" i="3" s="1"/>
  <c r="Q2094" i="3" a="1"/>
  <c r="Q2094" i="3" s="1"/>
  <c r="Q2095" i="3" a="1"/>
  <c r="Q2095" i="3" s="1"/>
  <c r="Q2096" i="3" a="1"/>
  <c r="Q2096" i="3" s="1"/>
  <c r="Q2097" i="3" a="1"/>
  <c r="Q2097" i="3" s="1"/>
  <c r="Q2098" i="3" a="1"/>
  <c r="Q2098" i="3" s="1"/>
  <c r="Q2099" i="3" a="1"/>
  <c r="Q2099" i="3" s="1"/>
  <c r="Q2100" i="3" a="1"/>
  <c r="Q2100" i="3" s="1"/>
  <c r="Q2101" i="3" a="1"/>
  <c r="Q2101" i="3" s="1"/>
  <c r="Q2102" i="3" a="1"/>
  <c r="Q2102" i="3" s="1"/>
  <c r="Q2103" i="3" a="1"/>
  <c r="Q2103" i="3" s="1"/>
  <c r="Q2104" i="3" a="1"/>
  <c r="Q2104" i="3" s="1"/>
  <c r="Q2105" i="3" a="1"/>
  <c r="Q2105" i="3" s="1"/>
  <c r="Q2106" i="3" a="1"/>
  <c r="Q2106" i="3" s="1"/>
  <c r="Q2107" i="3" a="1"/>
  <c r="Q2107" i="3" s="1"/>
  <c r="Q2108" i="3" a="1"/>
  <c r="Q2108" i="3" s="1"/>
  <c r="Q2109" i="3" a="1"/>
  <c r="Q2109" i="3" s="1"/>
  <c r="Q2110" i="3" a="1"/>
  <c r="Q2110" i="3" s="1"/>
  <c r="Q2111" i="3" a="1"/>
  <c r="Q2111" i="3" s="1"/>
  <c r="Q2112" i="3" a="1"/>
  <c r="Q2112" i="3" s="1"/>
  <c r="Q2113" i="3" a="1"/>
  <c r="Q2113" i="3" s="1"/>
  <c r="Q2114" i="3" a="1"/>
  <c r="Q2114" i="3" s="1"/>
  <c r="Q2115" i="3" a="1"/>
  <c r="Q2115" i="3" s="1"/>
  <c r="Q2116" i="3" a="1"/>
  <c r="Q2116" i="3" s="1"/>
  <c r="Q2117" i="3" a="1"/>
  <c r="Q2117" i="3" s="1"/>
  <c r="Q2118" i="3" a="1"/>
  <c r="Q2118" i="3" s="1"/>
  <c r="Q2119" i="3" a="1"/>
  <c r="Q2119" i="3" s="1"/>
  <c r="Q2120" i="3" a="1"/>
  <c r="Q2120" i="3" s="1"/>
  <c r="Q2121" i="3" a="1"/>
  <c r="Q2121" i="3" s="1"/>
  <c r="Q2122" i="3" a="1"/>
  <c r="Q2122" i="3" s="1"/>
  <c r="Q2123" i="3" a="1"/>
  <c r="Q2123" i="3" s="1"/>
  <c r="Q2124" i="3" a="1"/>
  <c r="Q2124" i="3" s="1"/>
  <c r="Q2125" i="3" a="1"/>
  <c r="Q2125" i="3" s="1"/>
  <c r="Q2126" i="3" a="1"/>
  <c r="Q2126" i="3" s="1"/>
  <c r="Q2127" i="3" a="1"/>
  <c r="Q2127" i="3" s="1"/>
  <c r="Q2128" i="3" a="1"/>
  <c r="Q2128" i="3" s="1"/>
  <c r="Q2129" i="3" a="1"/>
  <c r="Q2129" i="3" s="1"/>
  <c r="Q2130" i="3" a="1"/>
  <c r="Q2130" i="3" s="1"/>
  <c r="Q2131" i="3" a="1"/>
  <c r="Q2131" i="3" s="1"/>
  <c r="Q2132" i="3" a="1"/>
  <c r="Q2132" i="3" s="1"/>
  <c r="Q2133" i="3" a="1"/>
  <c r="Q2133" i="3" s="1"/>
  <c r="Q2134" i="3" a="1"/>
  <c r="Q2134" i="3" s="1"/>
  <c r="Q2135" i="3" a="1"/>
  <c r="Q2135" i="3" s="1"/>
  <c r="Q2136" i="3" a="1"/>
  <c r="Q2136" i="3" s="1"/>
  <c r="Q2137" i="3" a="1"/>
  <c r="Q2137" i="3" s="1"/>
  <c r="Q2138" i="3" a="1"/>
  <c r="Q2138" i="3" s="1"/>
  <c r="Q2139" i="3" a="1"/>
  <c r="Q2139" i="3" s="1"/>
  <c r="Q2140" i="3" a="1"/>
  <c r="Q2140" i="3" s="1"/>
  <c r="Q2141" i="3" a="1"/>
  <c r="Q2141" i="3" s="1"/>
  <c r="Q2142" i="3" a="1"/>
  <c r="Q2142" i="3" s="1"/>
  <c r="Q2143" i="3" a="1"/>
  <c r="Q2143" i="3" s="1"/>
  <c r="Q2144" i="3" a="1"/>
  <c r="Q2144" i="3" s="1"/>
  <c r="Q2145" i="3" a="1"/>
  <c r="Q2145" i="3" s="1"/>
  <c r="Q2146" i="3" a="1"/>
  <c r="Q2146" i="3" s="1"/>
  <c r="Q2147" i="3" a="1"/>
  <c r="Q2147" i="3" s="1"/>
  <c r="Q2148" i="3" a="1"/>
  <c r="Q2148" i="3" s="1"/>
  <c r="Q2149" i="3" a="1"/>
  <c r="Q2149" i="3" s="1"/>
  <c r="Q2150" i="3" a="1"/>
  <c r="Q2150" i="3" s="1"/>
  <c r="Q2151" i="3" a="1"/>
  <c r="Q2151" i="3" s="1"/>
  <c r="Q2152" i="3" a="1"/>
  <c r="Q2152" i="3" s="1"/>
  <c r="Q2153" i="3" a="1"/>
  <c r="Q2153" i="3" s="1"/>
  <c r="Q2154" i="3" a="1"/>
  <c r="Q2154" i="3" s="1"/>
  <c r="Q2155" i="3" a="1"/>
  <c r="Q2155" i="3" s="1"/>
  <c r="Q2156" i="3" a="1"/>
  <c r="Q2156" i="3" s="1"/>
  <c r="Q2157" i="3" a="1"/>
  <c r="Q2157" i="3" s="1"/>
  <c r="Q2158" i="3" a="1"/>
  <c r="Q2158" i="3" s="1"/>
  <c r="Q2159" i="3" a="1"/>
  <c r="Q2159" i="3" s="1"/>
  <c r="Q2160" i="3" a="1"/>
  <c r="Q2160" i="3" s="1"/>
  <c r="Q2161" i="3" a="1"/>
  <c r="Q2161" i="3" s="1"/>
  <c r="Q2162" i="3" a="1"/>
  <c r="Q2162" i="3" s="1"/>
  <c r="Q2163" i="3" a="1"/>
  <c r="Q2163" i="3" s="1"/>
  <c r="Q2164" i="3" a="1"/>
  <c r="Q2164" i="3" s="1"/>
  <c r="Q2165" i="3" a="1"/>
  <c r="Q2165" i="3" s="1"/>
  <c r="Q2166" i="3" a="1"/>
  <c r="Q2166" i="3" s="1"/>
  <c r="Q2167" i="3" a="1"/>
  <c r="Q2167" i="3" s="1"/>
  <c r="Q2168" i="3" a="1"/>
  <c r="Q2168" i="3" s="1"/>
  <c r="Q2169" i="3" a="1"/>
  <c r="Q2169" i="3" s="1"/>
  <c r="Q2170" i="3" a="1"/>
  <c r="Q2170" i="3" s="1"/>
  <c r="Q2171" i="3" a="1"/>
  <c r="Q2171" i="3" s="1"/>
  <c r="Q2172" i="3" a="1"/>
  <c r="Q2172" i="3" s="1"/>
  <c r="Q2173" i="3" a="1"/>
  <c r="Q2173" i="3" s="1"/>
  <c r="Q2174" i="3" a="1"/>
  <c r="Q2174" i="3" s="1"/>
  <c r="Q2175" i="3" a="1"/>
  <c r="Q2175" i="3" s="1"/>
  <c r="Q2176" i="3" a="1"/>
  <c r="Q2176" i="3" s="1"/>
  <c r="Q2177" i="3" a="1"/>
  <c r="Q2177" i="3" s="1"/>
  <c r="Q2178" i="3" a="1"/>
  <c r="Q2178" i="3" s="1"/>
  <c r="Q2179" i="3" a="1"/>
  <c r="Q2179" i="3" s="1"/>
  <c r="Q2180" i="3" a="1"/>
  <c r="Q2180" i="3" s="1"/>
  <c r="Q2181" i="3" a="1"/>
  <c r="Q2181" i="3" s="1"/>
  <c r="Q2182" i="3" a="1"/>
  <c r="Q2182" i="3" s="1"/>
  <c r="Q2183" i="3" a="1"/>
  <c r="Q2183" i="3" s="1"/>
  <c r="Q2184" i="3" a="1"/>
  <c r="Q2184" i="3" s="1"/>
  <c r="Q2185" i="3" a="1"/>
  <c r="Q2185" i="3" s="1"/>
  <c r="Q2186" i="3" a="1"/>
  <c r="Q2186" i="3" s="1"/>
  <c r="Q2187" i="3" a="1"/>
  <c r="Q2187" i="3" s="1"/>
  <c r="Q2188" i="3" a="1"/>
  <c r="Q2188" i="3" s="1"/>
  <c r="Q2189" i="3" a="1"/>
  <c r="Q2189" i="3" s="1"/>
  <c r="Q2190" i="3" a="1"/>
  <c r="Q2190" i="3" s="1"/>
  <c r="Q2191" i="3" a="1"/>
  <c r="Q2191" i="3" s="1"/>
  <c r="Q2192" i="3" a="1"/>
  <c r="Q2192" i="3" s="1"/>
  <c r="Q2193" i="3" a="1"/>
  <c r="Q2193" i="3" s="1"/>
  <c r="Q2194" i="3" a="1"/>
  <c r="Q2194" i="3" s="1"/>
  <c r="Q2195" i="3" a="1"/>
  <c r="Q2195" i="3" s="1"/>
  <c r="Q2196" i="3" a="1"/>
  <c r="Q2196" i="3" s="1"/>
  <c r="Q2197" i="3" a="1"/>
  <c r="Q2197" i="3" s="1"/>
  <c r="Q2198" i="3" a="1"/>
  <c r="Q2198" i="3" s="1"/>
  <c r="Q2199" i="3" a="1"/>
  <c r="Q2199" i="3" s="1"/>
  <c r="Q2200" i="3" a="1"/>
  <c r="Q2200" i="3" s="1"/>
  <c r="Q2201" i="3" a="1"/>
  <c r="Q2201" i="3" s="1"/>
  <c r="Q2202" i="3" a="1"/>
  <c r="Q2202" i="3" s="1"/>
  <c r="Q2203" i="3" a="1"/>
  <c r="Q2203" i="3" s="1"/>
  <c r="Q2204" i="3" a="1"/>
  <c r="Q2204" i="3" s="1"/>
  <c r="Q2205" i="3" a="1"/>
  <c r="Q2205" i="3" s="1"/>
  <c r="Q2206" i="3" a="1"/>
  <c r="Q2206" i="3" s="1"/>
  <c r="Q2207" i="3" a="1"/>
  <c r="Q2207" i="3" s="1"/>
  <c r="Q2208" i="3" a="1"/>
  <c r="Q2208" i="3" s="1"/>
  <c r="Q2209" i="3" a="1"/>
  <c r="Q2209" i="3" s="1"/>
  <c r="Q2210" i="3" a="1"/>
  <c r="Q2210" i="3" s="1"/>
  <c r="Q2211" i="3" a="1"/>
  <c r="Q2211" i="3" s="1"/>
  <c r="Q2212" i="3" a="1"/>
  <c r="Q2212" i="3" s="1"/>
  <c r="Q2213" i="3" a="1"/>
  <c r="Q2213" i="3" s="1"/>
  <c r="Q2214" i="3" a="1"/>
  <c r="Q2214" i="3" s="1"/>
  <c r="Q2215" i="3" a="1"/>
  <c r="Q2215" i="3" s="1"/>
  <c r="Q2216" i="3" a="1"/>
  <c r="Q2216" i="3" s="1"/>
  <c r="Q2217" i="3" a="1"/>
  <c r="Q2217" i="3" s="1"/>
  <c r="Q2218" i="3" a="1"/>
  <c r="Q2218" i="3" s="1"/>
  <c r="Q2219" i="3" a="1"/>
  <c r="Q2219" i="3" s="1"/>
  <c r="Q2220" i="3" a="1"/>
  <c r="Q2220" i="3" s="1"/>
  <c r="Q2221" i="3" a="1"/>
  <c r="Q2221" i="3" s="1"/>
  <c r="Q2222" i="3" a="1"/>
  <c r="Q2222" i="3" s="1"/>
  <c r="Q2223" i="3" a="1"/>
  <c r="Q2223" i="3" s="1"/>
  <c r="Q2224" i="3" a="1"/>
  <c r="Q2224" i="3" s="1"/>
  <c r="Q2225" i="3" a="1"/>
  <c r="Q2225" i="3" s="1"/>
  <c r="Q2226" i="3" a="1"/>
  <c r="Q2226" i="3" s="1"/>
  <c r="Q2227" i="3" a="1"/>
  <c r="Q2227" i="3" s="1"/>
  <c r="Q2228" i="3" a="1"/>
  <c r="Q2228" i="3" s="1"/>
  <c r="Q2229" i="3" a="1"/>
  <c r="Q2229" i="3" s="1"/>
  <c r="Q2230" i="3" a="1"/>
  <c r="Q2230" i="3" s="1"/>
  <c r="Q2231" i="3" a="1"/>
  <c r="Q2231" i="3" s="1"/>
  <c r="Q2232" i="3" a="1"/>
  <c r="Q2232" i="3" s="1"/>
  <c r="Q2233" i="3" a="1"/>
  <c r="Q2233" i="3" s="1"/>
  <c r="Q2234" i="3" a="1"/>
  <c r="Q2234" i="3" s="1"/>
  <c r="Q2235" i="3" a="1"/>
  <c r="Q2235" i="3" s="1"/>
  <c r="Q2236" i="3" a="1"/>
  <c r="Q2236" i="3" s="1"/>
  <c r="Q2237" i="3" a="1"/>
  <c r="Q2237" i="3" s="1"/>
  <c r="Q2238" i="3" a="1"/>
  <c r="Q2238" i="3" s="1"/>
  <c r="Q2239" i="3" a="1"/>
  <c r="Q2239" i="3" s="1"/>
  <c r="Q2240" i="3" a="1"/>
  <c r="Q2240" i="3" s="1"/>
  <c r="Q2241" i="3" a="1"/>
  <c r="Q2241" i="3" s="1"/>
  <c r="Q2242" i="3" a="1"/>
  <c r="Q2242" i="3" s="1"/>
  <c r="Q2243" i="3" a="1"/>
  <c r="Q2243" i="3" s="1"/>
  <c r="Q2244" i="3" a="1"/>
  <c r="Q2244" i="3" s="1"/>
  <c r="Q2245" i="3" a="1"/>
  <c r="Q2245" i="3" s="1"/>
  <c r="Q2246" i="3" a="1"/>
  <c r="Q2246" i="3" s="1"/>
  <c r="Q2247" i="3" a="1"/>
  <c r="Q2247" i="3" s="1"/>
  <c r="Q2248" i="3" a="1"/>
  <c r="Q2248" i="3" s="1"/>
  <c r="Q2249" i="3" a="1"/>
  <c r="Q2249" i="3" s="1"/>
  <c r="Q2250" i="3" a="1"/>
  <c r="Q2250" i="3" s="1"/>
  <c r="Q2251" i="3" a="1"/>
  <c r="Q2251" i="3" s="1"/>
  <c r="Q2252" i="3" a="1"/>
  <c r="Q2252" i="3" s="1"/>
  <c r="Q2253" i="3" a="1"/>
  <c r="Q2253" i="3" s="1"/>
  <c r="Q2254" i="3" a="1"/>
  <c r="Q2254" i="3" s="1"/>
  <c r="Q2255" i="3" a="1"/>
  <c r="Q2255" i="3" s="1"/>
  <c r="Q2256" i="3" a="1"/>
  <c r="Q2256" i="3" s="1"/>
  <c r="Q2257" i="3" a="1"/>
  <c r="Q2257" i="3" s="1"/>
  <c r="Q2258" i="3" a="1"/>
  <c r="Q2258" i="3" s="1"/>
  <c r="Q2259" i="3" a="1"/>
  <c r="Q2259" i="3" s="1"/>
  <c r="Q2260" i="3" a="1"/>
  <c r="Q2260" i="3" s="1"/>
  <c r="Q2261" i="3" a="1"/>
  <c r="Q2261" i="3" s="1"/>
  <c r="Q2262" i="3" a="1"/>
  <c r="Q2262" i="3" s="1"/>
  <c r="Q2263" i="3" a="1"/>
  <c r="Q2263" i="3" s="1"/>
  <c r="Q2264" i="3" a="1"/>
  <c r="Q2264" i="3" s="1"/>
  <c r="Q2265" i="3" a="1"/>
  <c r="Q2265" i="3" s="1"/>
  <c r="Q2266" i="3" a="1"/>
  <c r="Q2266" i="3" s="1"/>
  <c r="Q2267" i="3" a="1"/>
  <c r="Q2267" i="3" s="1"/>
  <c r="Q2268" i="3" a="1"/>
  <c r="Q2268" i="3" s="1"/>
  <c r="Q2269" i="3" a="1"/>
  <c r="Q2269" i="3" s="1"/>
  <c r="Q2270" i="3" a="1"/>
  <c r="Q2270" i="3" s="1"/>
  <c r="Q2271" i="3" a="1"/>
  <c r="Q2271" i="3" s="1"/>
  <c r="Q2272" i="3" a="1"/>
  <c r="Q2272" i="3" s="1"/>
  <c r="Q2273" i="3" a="1"/>
  <c r="Q2273" i="3" s="1"/>
  <c r="Q2274" i="3" a="1"/>
  <c r="Q2274" i="3" s="1"/>
  <c r="Q2275" i="3" a="1"/>
  <c r="Q2275" i="3" s="1"/>
  <c r="Q2276" i="3" a="1"/>
  <c r="Q2276" i="3" s="1"/>
  <c r="Q2277" i="3" a="1"/>
  <c r="Q2277" i="3" s="1"/>
  <c r="Q2278" i="3" a="1"/>
  <c r="Q2278" i="3" s="1"/>
  <c r="Q2279" i="3" a="1"/>
  <c r="Q2279" i="3" s="1"/>
  <c r="Q2280" i="3" a="1"/>
  <c r="Q2280" i="3" s="1"/>
  <c r="Q2281" i="3" a="1"/>
  <c r="Q2281" i="3" s="1"/>
  <c r="Q2282" i="3" a="1"/>
  <c r="Q2282" i="3" s="1"/>
  <c r="Q2283" i="3" a="1"/>
  <c r="Q2283" i="3" s="1"/>
  <c r="Q2284" i="3" a="1"/>
  <c r="Q2284" i="3" s="1"/>
  <c r="Q2285" i="3" a="1"/>
  <c r="Q2285" i="3" s="1"/>
  <c r="Q2286" i="3" a="1"/>
  <c r="Q2286" i="3" s="1"/>
  <c r="Q2287" i="3" a="1"/>
  <c r="Q2287" i="3" s="1"/>
  <c r="Q2288" i="3" a="1"/>
  <c r="Q2288" i="3" s="1"/>
  <c r="Q2289" i="3" a="1"/>
  <c r="Q2289" i="3" s="1"/>
  <c r="Q2290" i="3" a="1"/>
  <c r="Q2290" i="3" s="1"/>
  <c r="Q2291" i="3" a="1"/>
  <c r="Q2291" i="3" s="1"/>
  <c r="Q2292" i="3" a="1"/>
  <c r="Q2292" i="3" s="1"/>
  <c r="Q2293" i="3" a="1"/>
  <c r="Q2293" i="3" s="1"/>
  <c r="Q2294" i="3" a="1"/>
  <c r="Q2294" i="3" s="1"/>
  <c r="Q2295" i="3" a="1"/>
  <c r="Q2295" i="3" s="1"/>
  <c r="Q2296" i="3" a="1"/>
  <c r="Q2296" i="3" s="1"/>
  <c r="Q2297" i="3" a="1"/>
  <c r="Q2297" i="3" s="1"/>
  <c r="Q2298" i="3" a="1"/>
  <c r="Q2298" i="3" s="1"/>
  <c r="Q2299" i="3" a="1"/>
  <c r="Q2299" i="3" s="1"/>
  <c r="Q2300" i="3" a="1"/>
  <c r="Q2300" i="3" s="1"/>
  <c r="Q2301" i="3" a="1"/>
  <c r="Q2301" i="3" s="1"/>
  <c r="Q2302" i="3" a="1"/>
  <c r="Q2302" i="3" s="1"/>
  <c r="Q2303" i="3" a="1"/>
  <c r="Q2303" i="3" s="1"/>
  <c r="Q2304" i="3" a="1"/>
  <c r="Q2304" i="3" s="1"/>
  <c r="Q2305" i="3" a="1"/>
  <c r="Q2305" i="3" s="1"/>
  <c r="Q2306" i="3" a="1"/>
  <c r="Q2306" i="3" s="1"/>
  <c r="Q2307" i="3" a="1"/>
  <c r="Q2307" i="3" s="1"/>
  <c r="Q2308" i="3" a="1"/>
  <c r="Q2308" i="3" s="1"/>
  <c r="Q2309" i="3" a="1"/>
  <c r="Q2309" i="3" s="1"/>
  <c r="Q2310" i="3" a="1"/>
  <c r="Q2310" i="3" s="1"/>
  <c r="Q2311" i="3" a="1"/>
  <c r="Q2311" i="3" s="1"/>
  <c r="Q2312" i="3" a="1"/>
  <c r="Q2312" i="3" s="1"/>
  <c r="Q2313" i="3" a="1"/>
  <c r="Q2313" i="3" s="1"/>
  <c r="Q2314" i="3" a="1"/>
  <c r="Q2314" i="3" s="1"/>
  <c r="Q2315" i="3" a="1"/>
  <c r="Q2315" i="3" s="1"/>
  <c r="Q2316" i="3" a="1"/>
  <c r="Q2316" i="3" s="1"/>
  <c r="Q2317" i="3" a="1"/>
  <c r="Q2317" i="3" s="1"/>
  <c r="Q2318" i="3" a="1"/>
  <c r="Q2318" i="3" s="1"/>
  <c r="Q2319" i="3" a="1"/>
  <c r="Q2319" i="3" s="1"/>
  <c r="Q2320" i="3" a="1"/>
  <c r="Q2320" i="3" s="1"/>
  <c r="Q2321" i="3" a="1"/>
  <c r="Q2321" i="3" s="1"/>
  <c r="Q2322" i="3" a="1"/>
  <c r="Q2322" i="3" s="1"/>
  <c r="Q2323" i="3" a="1"/>
  <c r="Q2323" i="3" s="1"/>
  <c r="Q2324" i="3" a="1"/>
  <c r="Q2324" i="3" s="1"/>
  <c r="Q2325" i="3" a="1"/>
  <c r="Q2325" i="3" s="1"/>
  <c r="Q2326" i="3" a="1"/>
  <c r="Q2326" i="3" s="1"/>
  <c r="Q2327" i="3" a="1"/>
  <c r="Q2327" i="3" s="1"/>
  <c r="Q2328" i="3" a="1"/>
  <c r="Q2328" i="3" s="1"/>
  <c r="Q2329" i="3" a="1"/>
  <c r="Q2329" i="3" s="1"/>
  <c r="Q2330" i="3" a="1"/>
  <c r="Q2330" i="3" s="1"/>
  <c r="Q2331" i="3" a="1"/>
  <c r="Q2331" i="3" s="1"/>
  <c r="Q2332" i="3" a="1"/>
  <c r="Q2332" i="3" s="1"/>
  <c r="Q2333" i="3" a="1"/>
  <c r="Q2333" i="3" s="1"/>
  <c r="Q2334" i="3" a="1"/>
  <c r="Q2334" i="3" s="1"/>
  <c r="Q2335" i="3" a="1"/>
  <c r="Q2335" i="3" s="1"/>
  <c r="Q2336" i="3" a="1"/>
  <c r="Q2336" i="3" s="1"/>
  <c r="Q2337" i="3" a="1"/>
  <c r="Q2337" i="3" s="1"/>
  <c r="Q2338" i="3" a="1"/>
  <c r="Q2338" i="3" s="1"/>
  <c r="Q2339" i="3" a="1"/>
  <c r="Q2339" i="3" s="1"/>
  <c r="Q2340" i="3" a="1"/>
  <c r="Q2340" i="3" s="1"/>
  <c r="Q2341" i="3" a="1"/>
  <c r="Q2341" i="3" s="1"/>
  <c r="Q2342" i="3" a="1"/>
  <c r="Q2342" i="3" s="1"/>
  <c r="Q2343" i="3" a="1"/>
  <c r="Q2343" i="3" s="1"/>
  <c r="Q2344" i="3" a="1"/>
  <c r="Q2344" i="3" s="1"/>
  <c r="Q2345" i="3" a="1"/>
  <c r="Q2345" i="3" s="1"/>
  <c r="Q2346" i="3" a="1"/>
  <c r="Q2346" i="3" s="1"/>
  <c r="Q2347" i="3" a="1"/>
  <c r="Q2347" i="3" s="1"/>
  <c r="Q2348" i="3" a="1"/>
  <c r="Q2348" i="3" s="1"/>
  <c r="Q2349" i="3" a="1"/>
  <c r="Q2349" i="3" s="1"/>
  <c r="Q2350" i="3" a="1"/>
  <c r="Q2350" i="3" s="1"/>
  <c r="Q2351" i="3" a="1"/>
  <c r="Q2351" i="3" s="1"/>
  <c r="Q2352" i="3" a="1"/>
  <c r="Q2352" i="3" s="1"/>
  <c r="Q2353" i="3" a="1"/>
  <c r="Q2353" i="3" s="1"/>
  <c r="Q2354" i="3" a="1"/>
  <c r="Q2354" i="3" s="1"/>
  <c r="Q2355" i="3" a="1"/>
  <c r="Q2355" i="3" s="1"/>
  <c r="Q2356" i="3" a="1"/>
  <c r="Q2356" i="3" s="1"/>
  <c r="Q2357" i="3" a="1"/>
  <c r="Q2357" i="3" s="1"/>
  <c r="Q2358" i="3" a="1"/>
  <c r="Q2358" i="3" s="1"/>
  <c r="Q2359" i="3" a="1"/>
  <c r="Q2359" i="3" s="1"/>
  <c r="Q2360" i="3" a="1"/>
  <c r="Q2360" i="3" s="1"/>
  <c r="Q2361" i="3" a="1"/>
  <c r="Q2361" i="3" s="1"/>
  <c r="Q2362" i="3" a="1"/>
  <c r="Q2362" i="3" s="1"/>
  <c r="Q2363" i="3" a="1"/>
  <c r="Q2363" i="3" s="1"/>
  <c r="Q2364" i="3" a="1"/>
  <c r="Q2364" i="3" s="1"/>
  <c r="Q2365" i="3" a="1"/>
  <c r="Q2365" i="3" s="1"/>
  <c r="Q2366" i="3" a="1"/>
  <c r="Q2366" i="3" s="1"/>
  <c r="Q2367" i="3" a="1"/>
  <c r="Q2367" i="3" s="1"/>
  <c r="Q2368" i="3" a="1"/>
  <c r="Q2368" i="3" s="1"/>
  <c r="Q2369" i="3" a="1"/>
  <c r="Q2369" i="3" s="1"/>
  <c r="Q2370" i="3" a="1"/>
  <c r="Q2370" i="3" s="1"/>
  <c r="Q2371" i="3" a="1"/>
  <c r="Q2371" i="3" s="1"/>
  <c r="Q2372" i="3" a="1"/>
  <c r="Q2372" i="3" s="1"/>
  <c r="Q2373" i="3" a="1"/>
  <c r="Q2373" i="3" s="1"/>
  <c r="Q2374" i="3" a="1"/>
  <c r="Q2374" i="3" s="1"/>
  <c r="Q2375" i="3" a="1"/>
  <c r="Q2375" i="3" s="1"/>
  <c r="Q2376" i="3" a="1"/>
  <c r="Q2376" i="3" s="1"/>
  <c r="Q2377" i="3" a="1"/>
  <c r="Q2377" i="3" s="1"/>
  <c r="Q2378" i="3" a="1"/>
  <c r="Q2378" i="3" s="1"/>
  <c r="Q2379" i="3" a="1"/>
  <c r="Q2379" i="3" s="1"/>
  <c r="Q2380" i="3" a="1"/>
  <c r="Q2380" i="3" s="1"/>
  <c r="Q2381" i="3" a="1"/>
  <c r="Q2381" i="3" s="1"/>
  <c r="Q2382" i="3" a="1"/>
  <c r="Q2382" i="3" s="1"/>
  <c r="Q2383" i="3" a="1"/>
  <c r="Q2383" i="3" s="1"/>
  <c r="Q2384" i="3" a="1"/>
  <c r="Q2384" i="3" s="1"/>
  <c r="Q2385" i="3" a="1"/>
  <c r="Q2385" i="3" s="1"/>
  <c r="Q2386" i="3" a="1"/>
  <c r="Q2386" i="3" s="1"/>
  <c r="Q2387" i="3" a="1"/>
  <c r="Q2387" i="3" s="1"/>
  <c r="Q2388" i="3" a="1"/>
  <c r="Q2388" i="3" s="1"/>
  <c r="Q2389" i="3" a="1"/>
  <c r="Q2389" i="3" s="1"/>
  <c r="Q2390" i="3" a="1"/>
  <c r="Q2390" i="3" s="1"/>
  <c r="Q2391" i="3" a="1"/>
  <c r="Q2391" i="3" s="1"/>
  <c r="Q2392" i="3" a="1"/>
  <c r="Q2392" i="3" s="1"/>
  <c r="Q2393" i="3" a="1"/>
  <c r="Q2393" i="3" s="1"/>
  <c r="Q2394" i="3" a="1"/>
  <c r="Q2394" i="3" s="1"/>
  <c r="Q2395" i="3" a="1"/>
  <c r="Q2395" i="3" s="1"/>
  <c r="Q2396" i="3" a="1"/>
  <c r="Q2396" i="3" s="1"/>
  <c r="Q2397" i="3" a="1"/>
  <c r="Q2397" i="3" s="1"/>
  <c r="Q2398" i="3" a="1"/>
  <c r="Q2398" i="3" s="1"/>
  <c r="Q2399" i="3" a="1"/>
  <c r="Q2399" i="3" s="1"/>
  <c r="Q2400" i="3" a="1"/>
  <c r="Q2400" i="3" s="1"/>
  <c r="Q2401" i="3" a="1"/>
  <c r="Q2401" i="3" s="1"/>
  <c r="Q2402" i="3" a="1"/>
  <c r="Q2402" i="3" s="1"/>
  <c r="Q2403" i="3" a="1"/>
  <c r="Q2403" i="3" s="1"/>
  <c r="Q2404" i="3" a="1"/>
  <c r="Q2404" i="3" s="1"/>
  <c r="Q2405" i="3" a="1"/>
  <c r="Q2405" i="3" s="1"/>
  <c r="Q2406" i="3" a="1"/>
  <c r="Q2406" i="3" s="1"/>
  <c r="Q2407" i="3" a="1"/>
  <c r="Q2407" i="3" s="1"/>
  <c r="Q2408" i="3" a="1"/>
  <c r="Q2408" i="3" s="1"/>
  <c r="Q2409" i="3" a="1"/>
  <c r="Q2409" i="3" s="1"/>
  <c r="Q2410" i="3" a="1"/>
  <c r="Q2410" i="3" s="1"/>
  <c r="Q2411" i="3" a="1"/>
  <c r="Q2411" i="3" s="1"/>
  <c r="Q2412" i="3" a="1"/>
  <c r="Q2412" i="3" s="1"/>
  <c r="Q2413" i="3" a="1"/>
  <c r="Q2413" i="3" s="1"/>
  <c r="Q2414" i="3" a="1"/>
  <c r="Q2414" i="3" s="1"/>
  <c r="Q2415" i="3" a="1"/>
  <c r="Q2415" i="3" s="1"/>
  <c r="Q2416" i="3" a="1"/>
  <c r="Q2416" i="3" s="1"/>
  <c r="Q2417" i="3" a="1"/>
  <c r="Q2417" i="3" s="1"/>
  <c r="Q2418" i="3" a="1"/>
  <c r="Q2418" i="3" s="1"/>
  <c r="Q2419" i="3" a="1"/>
  <c r="Q2419" i="3" s="1"/>
  <c r="Q2420" i="3" a="1"/>
  <c r="Q2420" i="3" s="1"/>
  <c r="Q2421" i="3" a="1"/>
  <c r="Q2421" i="3" s="1"/>
  <c r="Q2422" i="3" a="1"/>
  <c r="Q2422" i="3" s="1"/>
  <c r="Q2423" i="3" a="1"/>
  <c r="Q2423" i="3" s="1"/>
  <c r="Q2424" i="3" a="1"/>
  <c r="Q2424" i="3" s="1"/>
  <c r="Q2425" i="3" a="1"/>
  <c r="Q2425" i="3" s="1"/>
  <c r="Q2426" i="3" a="1"/>
  <c r="Q2426" i="3" s="1"/>
  <c r="Q2427" i="3" a="1"/>
  <c r="Q2427" i="3" s="1"/>
  <c r="Q2428" i="3" a="1"/>
  <c r="Q2428" i="3" s="1"/>
  <c r="Q2429" i="3" a="1"/>
  <c r="Q2429" i="3" s="1"/>
  <c r="Q2430" i="3" a="1"/>
  <c r="Q2430" i="3" s="1"/>
  <c r="Q2431" i="3" a="1"/>
  <c r="Q2431" i="3" s="1"/>
  <c r="Q2432" i="3" a="1"/>
  <c r="Q2432" i="3" s="1"/>
  <c r="Q2433" i="3" a="1"/>
  <c r="Q2433" i="3" s="1"/>
  <c r="Q2434" i="3" a="1"/>
  <c r="Q2434" i="3" s="1"/>
  <c r="Q2435" i="3" a="1"/>
  <c r="Q2435" i="3" s="1"/>
  <c r="Q2436" i="3" a="1"/>
  <c r="Q2436" i="3" s="1"/>
  <c r="Q2437" i="3" a="1"/>
  <c r="Q2437" i="3" s="1"/>
  <c r="Q2438" i="3" a="1"/>
  <c r="Q2438" i="3" s="1"/>
  <c r="Q2439" i="3" a="1"/>
  <c r="Q2439" i="3" s="1"/>
  <c r="Q2440" i="3" a="1"/>
  <c r="Q2440" i="3" s="1"/>
  <c r="Q2441" i="3" a="1"/>
  <c r="Q2441" i="3" s="1"/>
  <c r="Q2442" i="3" a="1"/>
  <c r="Q2442" i="3" s="1"/>
  <c r="Q2443" i="3" a="1"/>
  <c r="Q2443" i="3" s="1"/>
  <c r="Q2444" i="3" a="1"/>
  <c r="Q2444" i="3" s="1"/>
  <c r="Q2445" i="3" a="1"/>
  <c r="Q2445" i="3" s="1"/>
  <c r="Q2446" i="3" a="1"/>
  <c r="Q2446" i="3" s="1"/>
  <c r="Q2447" i="3" a="1"/>
  <c r="Q2447" i="3" s="1"/>
  <c r="Q2448" i="3" a="1"/>
  <c r="Q2448" i="3" s="1"/>
  <c r="Q2449" i="3" a="1"/>
  <c r="Q2449" i="3" s="1"/>
  <c r="Q2450" i="3" a="1"/>
  <c r="Q2450" i="3" s="1"/>
  <c r="Q2451" i="3" a="1"/>
  <c r="Q2451" i="3" s="1"/>
  <c r="Q2452" i="3" a="1"/>
  <c r="Q2452" i="3" s="1"/>
  <c r="Q2453" i="3" a="1"/>
  <c r="Q2453" i="3" s="1"/>
  <c r="Q2454" i="3" a="1"/>
  <c r="Q2454" i="3" s="1"/>
  <c r="Q2455" i="3" a="1"/>
  <c r="Q2455" i="3" s="1"/>
  <c r="Q2456" i="3" a="1"/>
  <c r="Q2456" i="3" s="1"/>
  <c r="Q2457" i="3" a="1"/>
  <c r="Q2457" i="3" s="1"/>
  <c r="Q2458" i="3" a="1"/>
  <c r="Q2458" i="3" s="1"/>
  <c r="Q2459" i="3" a="1"/>
  <c r="Q2459" i="3" s="1"/>
  <c r="Q2460" i="3" a="1"/>
  <c r="Q2460" i="3" s="1"/>
  <c r="Q2461" i="3" a="1"/>
  <c r="Q2461" i="3" s="1"/>
  <c r="Q2462" i="3" a="1"/>
  <c r="Q2462" i="3" s="1"/>
  <c r="Q2463" i="3" a="1"/>
  <c r="Q2463" i="3" s="1"/>
  <c r="Q2464" i="3" a="1"/>
  <c r="Q2464" i="3" s="1"/>
  <c r="Q2465" i="3" a="1"/>
  <c r="Q2465" i="3" s="1"/>
  <c r="Q2466" i="3" a="1"/>
  <c r="Q2466" i="3" s="1"/>
  <c r="Q2467" i="3" a="1"/>
  <c r="Q2467" i="3" s="1"/>
  <c r="Q2468" i="3" a="1"/>
  <c r="Q2468" i="3" s="1"/>
  <c r="Q2469" i="3" a="1"/>
  <c r="Q2469" i="3" s="1"/>
  <c r="Q2470" i="3" a="1"/>
  <c r="Q2470" i="3" s="1"/>
  <c r="Q2471" i="3" a="1"/>
  <c r="Q2471" i="3" s="1"/>
  <c r="Q2472" i="3" a="1"/>
  <c r="Q2472" i="3" s="1"/>
  <c r="Q2473" i="3" a="1"/>
  <c r="Q2473" i="3" s="1"/>
  <c r="Q2474" i="3" a="1"/>
  <c r="Q2474" i="3" s="1"/>
  <c r="Q2475" i="3" a="1"/>
  <c r="Q2475" i="3" s="1"/>
  <c r="Q2476" i="3" a="1"/>
  <c r="Q2476" i="3" s="1"/>
  <c r="Q2477" i="3" a="1"/>
  <c r="Q2477" i="3" s="1"/>
  <c r="Q2478" i="3" a="1"/>
  <c r="Q2478" i="3" s="1"/>
  <c r="Q2479" i="3" a="1"/>
  <c r="Q2479" i="3" s="1"/>
  <c r="Q2480" i="3" a="1"/>
  <c r="Q2480" i="3" s="1"/>
  <c r="Q2481" i="3" a="1"/>
  <c r="Q2481" i="3" s="1"/>
  <c r="Q2482" i="3" a="1"/>
  <c r="Q2482" i="3" s="1"/>
  <c r="Q2483" i="3" a="1"/>
  <c r="Q2483" i="3" s="1"/>
  <c r="Q2484" i="3" a="1"/>
  <c r="Q2484" i="3" s="1"/>
  <c r="Q2485" i="3" a="1"/>
  <c r="Q2485" i="3" s="1"/>
  <c r="Q2486" i="3" a="1"/>
  <c r="Q2486" i="3" s="1"/>
  <c r="Q2487" i="3" a="1"/>
  <c r="Q2487" i="3" s="1"/>
  <c r="Q2488" i="3" a="1"/>
  <c r="Q2488" i="3" s="1"/>
  <c r="Q2489" i="3" a="1"/>
  <c r="Q2489" i="3" s="1"/>
  <c r="Q2490" i="3" a="1"/>
  <c r="Q2490" i="3" s="1"/>
  <c r="Q2491" i="3" a="1"/>
  <c r="Q2491" i="3" s="1"/>
  <c r="Q2492" i="3" a="1"/>
  <c r="Q2492" i="3" s="1"/>
  <c r="Q2493" i="3" a="1"/>
  <c r="Q2493" i="3" s="1"/>
  <c r="Q2494" i="3" a="1"/>
  <c r="Q2494" i="3" s="1"/>
  <c r="Q2495" i="3" a="1"/>
  <c r="Q2495" i="3" s="1"/>
  <c r="Q2496" i="3" a="1"/>
  <c r="Q2496" i="3" s="1"/>
  <c r="Q2497" i="3" a="1"/>
  <c r="Q2497" i="3" s="1"/>
  <c r="Q2498" i="3" a="1"/>
  <c r="Q2498" i="3" s="1"/>
  <c r="Q2499" i="3" a="1"/>
  <c r="Q2499" i="3" s="1"/>
  <c r="Q2500" i="3" a="1"/>
  <c r="Q2500" i="3" s="1"/>
  <c r="Q2501" i="3" a="1"/>
  <c r="Q2501" i="3" s="1"/>
  <c r="Q2502" i="3" a="1"/>
  <c r="Q2502" i="3" s="1"/>
  <c r="Q2503" i="3" a="1"/>
  <c r="Q2503" i="3" s="1"/>
  <c r="Q2504" i="3" a="1"/>
  <c r="Q2504" i="3" s="1"/>
  <c r="Q2505" i="3" a="1"/>
  <c r="Q2505" i="3" s="1"/>
  <c r="Q2506" i="3" a="1"/>
  <c r="Q2506" i="3" s="1"/>
  <c r="Q2507" i="3" a="1"/>
  <c r="Q2507" i="3" s="1"/>
  <c r="Q2508" i="3" a="1"/>
  <c r="Q2508" i="3" s="1"/>
  <c r="Q2509" i="3" a="1"/>
  <c r="Q2509" i="3" s="1"/>
  <c r="Q2510" i="3" a="1"/>
  <c r="Q2510" i="3" s="1"/>
  <c r="Q2511" i="3" a="1"/>
  <c r="Q2511" i="3" s="1"/>
  <c r="Q2512" i="3" a="1"/>
  <c r="Q2512" i="3" s="1"/>
  <c r="Q2513" i="3" a="1"/>
  <c r="Q2513" i="3" s="1"/>
  <c r="Q2514" i="3" a="1"/>
  <c r="Q2514" i="3" s="1"/>
  <c r="Q2515" i="3" a="1"/>
  <c r="Q2515" i="3" s="1"/>
  <c r="Q2516" i="3" a="1"/>
  <c r="Q2516" i="3" s="1"/>
  <c r="Q2517" i="3" a="1"/>
  <c r="Q2517" i="3" s="1"/>
  <c r="Q2518" i="3" a="1"/>
  <c r="Q2518" i="3" s="1"/>
  <c r="Q2519" i="3" a="1"/>
  <c r="Q2519" i="3" s="1"/>
  <c r="Q2520" i="3" a="1"/>
  <c r="Q2520" i="3" s="1"/>
  <c r="Q2521" i="3" a="1"/>
  <c r="Q2521" i="3" s="1"/>
  <c r="Q2522" i="3" a="1"/>
  <c r="Q2522" i="3" s="1"/>
  <c r="Q2523" i="3" a="1"/>
  <c r="Q2523" i="3" s="1"/>
  <c r="Q2524" i="3" a="1"/>
  <c r="Q2524" i="3" s="1"/>
  <c r="Q2525" i="3" a="1"/>
  <c r="Q2525" i="3" s="1"/>
  <c r="Q2526" i="3" a="1"/>
  <c r="Q2526" i="3" s="1"/>
  <c r="Q2527" i="3" a="1"/>
  <c r="Q2527" i="3" s="1"/>
  <c r="Q2528" i="3" a="1"/>
  <c r="Q2528" i="3" s="1"/>
  <c r="Q2529" i="3" a="1"/>
  <c r="Q2529" i="3" s="1"/>
  <c r="Q2530" i="3" a="1"/>
  <c r="Q2530" i="3" s="1"/>
  <c r="Q2531" i="3" a="1"/>
  <c r="Q2531" i="3" s="1"/>
  <c r="Q2532" i="3" a="1"/>
  <c r="Q2532" i="3" s="1"/>
  <c r="Q2533" i="3" a="1"/>
  <c r="Q2533" i="3" s="1"/>
  <c r="Q2534" i="3" a="1"/>
  <c r="Q2534" i="3" s="1"/>
  <c r="Q2535" i="3" a="1"/>
  <c r="Q2535" i="3" s="1"/>
  <c r="Q2536" i="3" a="1"/>
  <c r="Q2536" i="3" s="1"/>
  <c r="Q2537" i="3" a="1"/>
  <c r="Q2537" i="3" s="1"/>
  <c r="Q2538" i="3" a="1"/>
  <c r="Q2538" i="3" s="1"/>
  <c r="Q2539" i="3" a="1"/>
  <c r="Q2539" i="3" s="1"/>
  <c r="Q2540" i="3" a="1"/>
  <c r="Q2540" i="3" s="1"/>
  <c r="Q2541" i="3" a="1"/>
  <c r="Q2541" i="3" s="1"/>
  <c r="Q2542" i="3" a="1"/>
  <c r="Q2542" i="3" s="1"/>
  <c r="Q2543" i="3" a="1"/>
  <c r="Q2543" i="3" s="1"/>
  <c r="Q2544" i="3" a="1"/>
  <c r="Q2544" i="3" s="1"/>
  <c r="Q2545" i="3" a="1"/>
  <c r="Q2545" i="3" s="1"/>
  <c r="Q2546" i="3" a="1"/>
  <c r="Q2546" i="3" s="1"/>
  <c r="Q2547" i="3" a="1"/>
  <c r="Q2547" i="3" s="1"/>
  <c r="Q2548" i="3" a="1"/>
  <c r="Q2548" i="3" s="1"/>
  <c r="Q2549" i="3" a="1"/>
  <c r="Q2549" i="3" s="1"/>
  <c r="Q2550" i="3" a="1"/>
  <c r="Q2550" i="3" s="1"/>
  <c r="Q2551" i="3" a="1"/>
  <c r="Q2551" i="3" s="1"/>
  <c r="Q25" i="3" a="1"/>
  <c r="Q25" i="3" s="1"/>
  <c r="Y613" i="3" a="1"/>
  <c r="Y613" i="3" s="1"/>
  <c r="X613" i="3" a="1"/>
  <c r="X613" i="3" s="1"/>
  <c r="W613" i="3" a="1"/>
  <c r="W613" i="3" s="1"/>
  <c r="V613" i="3" a="1"/>
  <c r="V613" i="3" s="1"/>
  <c r="Y612" i="3" a="1"/>
  <c r="Y612" i="3" s="1"/>
  <c r="X612" i="3" a="1"/>
  <c r="X612" i="3" s="1"/>
  <c r="W612" i="3" a="1"/>
  <c r="W612" i="3" s="1"/>
  <c r="V612" i="3" a="1"/>
  <c r="V612" i="3" s="1"/>
  <c r="Y586" i="3" a="1"/>
  <c r="Y586" i="3" s="1"/>
  <c r="X586" i="3" a="1"/>
  <c r="X586" i="3" s="1"/>
  <c r="W586" i="3" a="1"/>
  <c r="W586" i="3" s="1"/>
  <c r="V586" i="3" a="1"/>
  <c r="V586" i="3" s="1"/>
  <c r="Y585" i="3" a="1"/>
  <c r="Y585" i="3" s="1"/>
  <c r="X585" i="3" a="1"/>
  <c r="X585" i="3" s="1"/>
  <c r="W585" i="3" a="1"/>
  <c r="W585" i="3" s="1"/>
  <c r="V585" i="3" a="1"/>
  <c r="V585" i="3" s="1"/>
  <c r="Y640" i="3" a="1"/>
  <c r="Y640" i="3" s="1"/>
  <c r="X640" i="3" a="1"/>
  <c r="X640" i="3" s="1"/>
  <c r="W640" i="3" a="1"/>
  <c r="W640" i="3" s="1"/>
  <c r="V640" i="3" a="1"/>
  <c r="V640" i="3" s="1"/>
  <c r="Y639" i="3" a="1"/>
  <c r="Y639" i="3" s="1"/>
  <c r="X639" i="3" a="1"/>
  <c r="X639" i="3" s="1"/>
  <c r="W639" i="3" a="1"/>
  <c r="W639" i="3" s="1"/>
  <c r="V639" i="3" a="1"/>
  <c r="V639" i="3" s="1"/>
  <c r="J9" i="6" l="1"/>
  <c r="K9" i="6" s="1"/>
  <c r="L7" i="6"/>
  <c r="K8" i="6"/>
  <c r="Y2551" i="3" a="1"/>
  <c r="Y2551" i="3" s="1"/>
  <c r="X2551" i="3" a="1"/>
  <c r="X2551" i="3" s="1"/>
  <c r="W2551" i="3" a="1"/>
  <c r="W2551" i="3" s="1"/>
  <c r="V2551" i="3" a="1"/>
  <c r="V2551" i="3" s="1"/>
  <c r="Y2550" i="3" a="1"/>
  <c r="Y2550" i="3" s="1"/>
  <c r="X2550" i="3" a="1"/>
  <c r="X2550" i="3" s="1"/>
  <c r="W2550" i="3" a="1"/>
  <c r="W2550" i="3" s="1"/>
  <c r="V2550" i="3" a="1"/>
  <c r="V2550" i="3" s="1"/>
  <c r="Y2549" i="3" a="1"/>
  <c r="Y2549" i="3" s="1"/>
  <c r="X2549" i="3" a="1"/>
  <c r="X2549" i="3" s="1"/>
  <c r="W2549" i="3" a="1"/>
  <c r="W2549" i="3" s="1"/>
  <c r="V2549" i="3" a="1"/>
  <c r="V2549" i="3" s="1"/>
  <c r="Y2548" i="3" a="1"/>
  <c r="Y2548" i="3" s="1"/>
  <c r="X2548" i="3" a="1"/>
  <c r="X2548" i="3" s="1"/>
  <c r="W2548" i="3" a="1"/>
  <c r="W2548" i="3" s="1"/>
  <c r="V2548" i="3" a="1"/>
  <c r="V2548" i="3" s="1"/>
  <c r="Y2547" i="3" a="1"/>
  <c r="Y2547" i="3" s="1"/>
  <c r="X2547" i="3" a="1"/>
  <c r="X2547" i="3" s="1"/>
  <c r="W2547" i="3" a="1"/>
  <c r="W2547" i="3" s="1"/>
  <c r="V2547" i="3" a="1"/>
  <c r="V2547" i="3" s="1"/>
  <c r="Y2546" i="3" a="1"/>
  <c r="Y2546" i="3" s="1"/>
  <c r="X2546" i="3" a="1"/>
  <c r="X2546" i="3" s="1"/>
  <c r="W2546" i="3" a="1"/>
  <c r="W2546" i="3" s="1"/>
  <c r="V2546" i="3" a="1"/>
  <c r="V2546" i="3" s="1"/>
  <c r="Y2545" i="3" a="1"/>
  <c r="Y2545" i="3" s="1"/>
  <c r="X2545" i="3" a="1"/>
  <c r="X2545" i="3" s="1"/>
  <c r="W2545" i="3" a="1"/>
  <c r="W2545" i="3" s="1"/>
  <c r="V2545" i="3" a="1"/>
  <c r="V2545" i="3" s="1"/>
  <c r="Y2544" i="3" a="1"/>
  <c r="Y2544" i="3" s="1"/>
  <c r="X2544" i="3" a="1"/>
  <c r="X2544" i="3" s="1"/>
  <c r="W2544" i="3" a="1"/>
  <c r="W2544" i="3" s="1"/>
  <c r="V2544" i="3" a="1"/>
  <c r="V2544" i="3" s="1"/>
  <c r="Y2543" i="3" a="1"/>
  <c r="Y2543" i="3" s="1"/>
  <c r="X2543" i="3" a="1"/>
  <c r="X2543" i="3" s="1"/>
  <c r="W2543" i="3" a="1"/>
  <c r="W2543" i="3" s="1"/>
  <c r="V2543" i="3" a="1"/>
  <c r="V2543" i="3" s="1"/>
  <c r="Y2542" i="3" a="1"/>
  <c r="Y2542" i="3" s="1"/>
  <c r="X2542" i="3" a="1"/>
  <c r="X2542" i="3" s="1"/>
  <c r="W2542" i="3" a="1"/>
  <c r="W2542" i="3" s="1"/>
  <c r="V2542" i="3" a="1"/>
  <c r="V2542" i="3" s="1"/>
  <c r="Y2541" i="3" a="1"/>
  <c r="Y2541" i="3" s="1"/>
  <c r="X2541" i="3" a="1"/>
  <c r="X2541" i="3" s="1"/>
  <c r="W2541" i="3" a="1"/>
  <c r="W2541" i="3" s="1"/>
  <c r="V2541" i="3" a="1"/>
  <c r="V2541" i="3" s="1"/>
  <c r="Y2540" i="3" a="1"/>
  <c r="Y2540" i="3" s="1"/>
  <c r="X2540" i="3" a="1"/>
  <c r="X2540" i="3" s="1"/>
  <c r="W2540" i="3" a="1"/>
  <c r="W2540" i="3" s="1"/>
  <c r="V2540" i="3" a="1"/>
  <c r="V2540" i="3" s="1"/>
  <c r="Y2539" i="3" a="1"/>
  <c r="Y2539" i="3" s="1"/>
  <c r="X2539" i="3" a="1"/>
  <c r="X2539" i="3" s="1"/>
  <c r="W2539" i="3" a="1"/>
  <c r="W2539" i="3" s="1"/>
  <c r="V2539" i="3" a="1"/>
  <c r="V2539" i="3" s="1"/>
  <c r="Y2538" i="3" a="1"/>
  <c r="Y2538" i="3" s="1"/>
  <c r="X2538" i="3" a="1"/>
  <c r="X2538" i="3" s="1"/>
  <c r="W2538" i="3" a="1"/>
  <c r="W2538" i="3" s="1"/>
  <c r="V2538" i="3" a="1"/>
  <c r="V2538" i="3" s="1"/>
  <c r="Y2537" i="3" a="1"/>
  <c r="Y2537" i="3" s="1"/>
  <c r="X2537" i="3" a="1"/>
  <c r="X2537" i="3" s="1"/>
  <c r="W2537" i="3" a="1"/>
  <c r="W2537" i="3" s="1"/>
  <c r="V2537" i="3" a="1"/>
  <c r="V2537" i="3" s="1"/>
  <c r="Y2536" i="3" a="1"/>
  <c r="Y2536" i="3" s="1"/>
  <c r="X2536" i="3" a="1"/>
  <c r="X2536" i="3" s="1"/>
  <c r="W2536" i="3" a="1"/>
  <c r="W2536" i="3" s="1"/>
  <c r="V2536" i="3" a="1"/>
  <c r="V2536" i="3" s="1"/>
  <c r="Y2535" i="3" a="1"/>
  <c r="Y2535" i="3" s="1"/>
  <c r="X2535" i="3" a="1"/>
  <c r="X2535" i="3" s="1"/>
  <c r="W2535" i="3" a="1"/>
  <c r="W2535" i="3" s="1"/>
  <c r="V2535" i="3" a="1"/>
  <c r="V2535" i="3" s="1"/>
  <c r="Y2534" i="3" a="1"/>
  <c r="Y2534" i="3" s="1"/>
  <c r="X2534" i="3" a="1"/>
  <c r="X2534" i="3" s="1"/>
  <c r="W2534" i="3" a="1"/>
  <c r="W2534" i="3" s="1"/>
  <c r="V2534" i="3" a="1"/>
  <c r="V2534" i="3" s="1"/>
  <c r="Y2533" i="3" a="1"/>
  <c r="Y2533" i="3" s="1"/>
  <c r="X2533" i="3" a="1"/>
  <c r="X2533" i="3" s="1"/>
  <c r="W2533" i="3" a="1"/>
  <c r="W2533" i="3" s="1"/>
  <c r="V2533" i="3" a="1"/>
  <c r="V2533" i="3" s="1"/>
  <c r="Y2532" i="3" a="1"/>
  <c r="Y2532" i="3" s="1"/>
  <c r="X2532" i="3" a="1"/>
  <c r="X2532" i="3" s="1"/>
  <c r="W2532" i="3" a="1"/>
  <c r="W2532" i="3" s="1"/>
  <c r="V2532" i="3" a="1"/>
  <c r="V2532" i="3" s="1"/>
  <c r="Y2531" i="3" a="1"/>
  <c r="Y2531" i="3" s="1"/>
  <c r="X2531" i="3" a="1"/>
  <c r="X2531" i="3" s="1"/>
  <c r="W2531" i="3" a="1"/>
  <c r="W2531" i="3" s="1"/>
  <c r="V2531" i="3" a="1"/>
  <c r="V2531" i="3" s="1"/>
  <c r="Y2530" i="3" a="1"/>
  <c r="Y2530" i="3" s="1"/>
  <c r="X2530" i="3" a="1"/>
  <c r="X2530" i="3" s="1"/>
  <c r="W2530" i="3" a="1"/>
  <c r="W2530" i="3" s="1"/>
  <c r="V2530" i="3" a="1"/>
  <c r="V2530" i="3" s="1"/>
  <c r="Y2529" i="3" a="1"/>
  <c r="Y2529" i="3" s="1"/>
  <c r="X2529" i="3" a="1"/>
  <c r="X2529" i="3" s="1"/>
  <c r="W2529" i="3" a="1"/>
  <c r="W2529" i="3" s="1"/>
  <c r="V2529" i="3" a="1"/>
  <c r="V2529" i="3" s="1"/>
  <c r="Y2528" i="3" a="1"/>
  <c r="Y2528" i="3" s="1"/>
  <c r="X2528" i="3" a="1"/>
  <c r="X2528" i="3" s="1"/>
  <c r="W2528" i="3" a="1"/>
  <c r="W2528" i="3" s="1"/>
  <c r="V2528" i="3" a="1"/>
  <c r="V2528" i="3" s="1"/>
  <c r="Y2527" i="3" a="1"/>
  <c r="Y2527" i="3" s="1"/>
  <c r="X2527" i="3" a="1"/>
  <c r="X2527" i="3" s="1"/>
  <c r="W2527" i="3" a="1"/>
  <c r="W2527" i="3" s="1"/>
  <c r="V2527" i="3" a="1"/>
  <c r="V2527" i="3" s="1"/>
  <c r="Y2526" i="3" a="1"/>
  <c r="Y2526" i="3" s="1"/>
  <c r="X2526" i="3" a="1"/>
  <c r="X2526" i="3" s="1"/>
  <c r="W2526" i="3" a="1"/>
  <c r="W2526" i="3" s="1"/>
  <c r="V2526" i="3" a="1"/>
  <c r="V2526" i="3" s="1"/>
  <c r="Y2525" i="3" a="1"/>
  <c r="Y2525" i="3" s="1"/>
  <c r="X2525" i="3" a="1"/>
  <c r="X2525" i="3" s="1"/>
  <c r="W2525" i="3" a="1"/>
  <c r="W2525" i="3" s="1"/>
  <c r="V2525" i="3" a="1"/>
  <c r="V2525" i="3" s="1"/>
  <c r="Y2524" i="3" a="1"/>
  <c r="Y2524" i="3" s="1"/>
  <c r="X2524" i="3" a="1"/>
  <c r="X2524" i="3" s="1"/>
  <c r="W2524" i="3" a="1"/>
  <c r="W2524" i="3" s="1"/>
  <c r="V2524" i="3" a="1"/>
  <c r="V2524" i="3" s="1"/>
  <c r="Y2523" i="3" a="1"/>
  <c r="Y2523" i="3" s="1"/>
  <c r="X2523" i="3" a="1"/>
  <c r="X2523" i="3" s="1"/>
  <c r="W2523" i="3" a="1"/>
  <c r="W2523" i="3" s="1"/>
  <c r="V2523" i="3" a="1"/>
  <c r="V2523" i="3" s="1"/>
  <c r="Y2522" i="3" a="1"/>
  <c r="Y2522" i="3" s="1"/>
  <c r="X2522" i="3" a="1"/>
  <c r="X2522" i="3" s="1"/>
  <c r="W2522" i="3" a="1"/>
  <c r="W2522" i="3" s="1"/>
  <c r="V2522" i="3" a="1"/>
  <c r="V2522" i="3" s="1"/>
  <c r="Y2521" i="3" a="1"/>
  <c r="Y2521" i="3" s="1"/>
  <c r="X2521" i="3" a="1"/>
  <c r="X2521" i="3" s="1"/>
  <c r="W2521" i="3" a="1"/>
  <c r="W2521" i="3" s="1"/>
  <c r="V2521" i="3" a="1"/>
  <c r="V2521" i="3" s="1"/>
  <c r="Y2520" i="3" a="1"/>
  <c r="Y2520" i="3" s="1"/>
  <c r="X2520" i="3" a="1"/>
  <c r="X2520" i="3" s="1"/>
  <c r="W2520" i="3" a="1"/>
  <c r="W2520" i="3" s="1"/>
  <c r="V2520" i="3" a="1"/>
  <c r="V2520" i="3" s="1"/>
  <c r="Y2519" i="3" a="1"/>
  <c r="Y2519" i="3" s="1"/>
  <c r="X2519" i="3" a="1"/>
  <c r="X2519" i="3" s="1"/>
  <c r="W2519" i="3" a="1"/>
  <c r="W2519" i="3" s="1"/>
  <c r="V2519" i="3" a="1"/>
  <c r="V2519" i="3" s="1"/>
  <c r="Y2518" i="3" a="1"/>
  <c r="Y2518" i="3" s="1"/>
  <c r="X2518" i="3" a="1"/>
  <c r="X2518" i="3" s="1"/>
  <c r="W2518" i="3" a="1"/>
  <c r="W2518" i="3" s="1"/>
  <c r="V2518" i="3" a="1"/>
  <c r="V2518" i="3" s="1"/>
  <c r="Y2517" i="3" a="1"/>
  <c r="Y2517" i="3" s="1"/>
  <c r="X2517" i="3" a="1"/>
  <c r="X2517" i="3" s="1"/>
  <c r="W2517" i="3" a="1"/>
  <c r="W2517" i="3" s="1"/>
  <c r="V2517" i="3" a="1"/>
  <c r="V2517" i="3" s="1"/>
  <c r="Y2516" i="3" a="1"/>
  <c r="Y2516" i="3" s="1"/>
  <c r="X2516" i="3" a="1"/>
  <c r="X2516" i="3" s="1"/>
  <c r="W2516" i="3" a="1"/>
  <c r="W2516" i="3" s="1"/>
  <c r="V2516" i="3" a="1"/>
  <c r="V2516" i="3" s="1"/>
  <c r="Y2515" i="3" a="1"/>
  <c r="Y2515" i="3" s="1"/>
  <c r="X2515" i="3" a="1"/>
  <c r="X2515" i="3" s="1"/>
  <c r="W2515" i="3" a="1"/>
  <c r="W2515" i="3" s="1"/>
  <c r="V2515" i="3" a="1"/>
  <c r="V2515" i="3" s="1"/>
  <c r="Y2514" i="3" a="1"/>
  <c r="Y2514" i="3" s="1"/>
  <c r="X2514" i="3" a="1"/>
  <c r="X2514" i="3" s="1"/>
  <c r="W2514" i="3" a="1"/>
  <c r="W2514" i="3" s="1"/>
  <c r="V2514" i="3" a="1"/>
  <c r="V2514" i="3" s="1"/>
  <c r="Y2513" i="3" a="1"/>
  <c r="Y2513" i="3" s="1"/>
  <c r="X2513" i="3" a="1"/>
  <c r="X2513" i="3" s="1"/>
  <c r="W2513" i="3" a="1"/>
  <c r="W2513" i="3" s="1"/>
  <c r="V2513" i="3" a="1"/>
  <c r="V2513" i="3" s="1"/>
  <c r="Y2512" i="3" a="1"/>
  <c r="Y2512" i="3" s="1"/>
  <c r="X2512" i="3" a="1"/>
  <c r="X2512" i="3" s="1"/>
  <c r="W2512" i="3" a="1"/>
  <c r="W2512" i="3" s="1"/>
  <c r="V2512" i="3" a="1"/>
  <c r="V2512" i="3" s="1"/>
  <c r="Y2511" i="3" a="1"/>
  <c r="Y2511" i="3" s="1"/>
  <c r="X2511" i="3" a="1"/>
  <c r="X2511" i="3" s="1"/>
  <c r="W2511" i="3" a="1"/>
  <c r="W2511" i="3" s="1"/>
  <c r="V2511" i="3" a="1"/>
  <c r="V2511" i="3" s="1"/>
  <c r="Y2510" i="3" a="1"/>
  <c r="Y2510" i="3" s="1"/>
  <c r="X2510" i="3" a="1"/>
  <c r="X2510" i="3" s="1"/>
  <c r="W2510" i="3" a="1"/>
  <c r="W2510" i="3" s="1"/>
  <c r="V2510" i="3" a="1"/>
  <c r="V2510" i="3" s="1"/>
  <c r="Y2509" i="3" a="1"/>
  <c r="Y2509" i="3" s="1"/>
  <c r="X2509" i="3" a="1"/>
  <c r="X2509" i="3" s="1"/>
  <c r="W2509" i="3" a="1"/>
  <c r="W2509" i="3" s="1"/>
  <c r="V2509" i="3" a="1"/>
  <c r="V2509" i="3" s="1"/>
  <c r="Y2508" i="3" a="1"/>
  <c r="Y2508" i="3" s="1"/>
  <c r="X2508" i="3" a="1"/>
  <c r="X2508" i="3" s="1"/>
  <c r="W2508" i="3" a="1"/>
  <c r="W2508" i="3" s="1"/>
  <c r="V2508" i="3" a="1"/>
  <c r="V2508" i="3" s="1"/>
  <c r="Y2507" i="3" a="1"/>
  <c r="Y2507" i="3" s="1"/>
  <c r="X2507" i="3" a="1"/>
  <c r="X2507" i="3" s="1"/>
  <c r="W2507" i="3" a="1"/>
  <c r="W2507" i="3" s="1"/>
  <c r="V2507" i="3" a="1"/>
  <c r="V2507" i="3" s="1"/>
  <c r="Y2506" i="3" a="1"/>
  <c r="Y2506" i="3" s="1"/>
  <c r="X2506" i="3" a="1"/>
  <c r="X2506" i="3" s="1"/>
  <c r="W2506" i="3" a="1"/>
  <c r="W2506" i="3" s="1"/>
  <c r="V2506" i="3" a="1"/>
  <c r="V2506" i="3" s="1"/>
  <c r="Y2505" i="3" a="1"/>
  <c r="Y2505" i="3" s="1"/>
  <c r="X2505" i="3" a="1"/>
  <c r="X2505" i="3" s="1"/>
  <c r="W2505" i="3" a="1"/>
  <c r="W2505" i="3" s="1"/>
  <c r="V2505" i="3" a="1"/>
  <c r="V2505" i="3" s="1"/>
  <c r="Y2504" i="3" a="1"/>
  <c r="Y2504" i="3" s="1"/>
  <c r="X2504" i="3" a="1"/>
  <c r="X2504" i="3" s="1"/>
  <c r="W2504" i="3" a="1"/>
  <c r="W2504" i="3" s="1"/>
  <c r="V2504" i="3" a="1"/>
  <c r="V2504" i="3" s="1"/>
  <c r="Y2503" i="3" a="1"/>
  <c r="Y2503" i="3" s="1"/>
  <c r="X2503" i="3" a="1"/>
  <c r="X2503" i="3" s="1"/>
  <c r="W2503" i="3" a="1"/>
  <c r="W2503" i="3" s="1"/>
  <c r="V2503" i="3" a="1"/>
  <c r="V2503" i="3" s="1"/>
  <c r="Y2502" i="3" a="1"/>
  <c r="Y2502" i="3" s="1"/>
  <c r="X2502" i="3" a="1"/>
  <c r="X2502" i="3" s="1"/>
  <c r="W2502" i="3" a="1"/>
  <c r="W2502" i="3" s="1"/>
  <c r="V2502" i="3" a="1"/>
  <c r="V2502" i="3" s="1"/>
  <c r="Y2501" i="3" a="1"/>
  <c r="Y2501" i="3" s="1"/>
  <c r="X2501" i="3" a="1"/>
  <c r="X2501" i="3" s="1"/>
  <c r="W2501" i="3" a="1"/>
  <c r="W2501" i="3" s="1"/>
  <c r="V2501" i="3" a="1"/>
  <c r="V2501" i="3" s="1"/>
  <c r="Y2500" i="3" a="1"/>
  <c r="Y2500" i="3" s="1"/>
  <c r="X2500" i="3" a="1"/>
  <c r="X2500" i="3" s="1"/>
  <c r="W2500" i="3" a="1"/>
  <c r="W2500" i="3" s="1"/>
  <c r="V2500" i="3" a="1"/>
  <c r="V2500" i="3" s="1"/>
  <c r="Y2499" i="3" a="1"/>
  <c r="Y2499" i="3" s="1"/>
  <c r="X2499" i="3" a="1"/>
  <c r="X2499" i="3" s="1"/>
  <c r="W2499" i="3" a="1"/>
  <c r="W2499" i="3" s="1"/>
  <c r="V2499" i="3" a="1"/>
  <c r="V2499" i="3" s="1"/>
  <c r="Y2498" i="3" a="1"/>
  <c r="Y2498" i="3" s="1"/>
  <c r="X2498" i="3" a="1"/>
  <c r="X2498" i="3" s="1"/>
  <c r="W2498" i="3" a="1"/>
  <c r="W2498" i="3" s="1"/>
  <c r="V2498" i="3" a="1"/>
  <c r="V2498" i="3" s="1"/>
  <c r="Y2497" i="3" a="1"/>
  <c r="Y2497" i="3" s="1"/>
  <c r="X2497" i="3" a="1"/>
  <c r="X2497" i="3" s="1"/>
  <c r="W2497" i="3" a="1"/>
  <c r="W2497" i="3" s="1"/>
  <c r="V2497" i="3" a="1"/>
  <c r="V2497" i="3" s="1"/>
  <c r="Y2496" i="3" a="1"/>
  <c r="Y2496" i="3" s="1"/>
  <c r="X2496" i="3" a="1"/>
  <c r="X2496" i="3" s="1"/>
  <c r="W2496" i="3" a="1"/>
  <c r="W2496" i="3" s="1"/>
  <c r="V2496" i="3" a="1"/>
  <c r="V2496" i="3" s="1"/>
  <c r="Y2495" i="3" a="1"/>
  <c r="Y2495" i="3" s="1"/>
  <c r="X2495" i="3" a="1"/>
  <c r="X2495" i="3" s="1"/>
  <c r="W2495" i="3" a="1"/>
  <c r="W2495" i="3" s="1"/>
  <c r="V2495" i="3" a="1"/>
  <c r="V2495" i="3" s="1"/>
  <c r="Y2494" i="3" a="1"/>
  <c r="Y2494" i="3" s="1"/>
  <c r="X2494" i="3" a="1"/>
  <c r="X2494" i="3" s="1"/>
  <c r="W2494" i="3" a="1"/>
  <c r="W2494" i="3" s="1"/>
  <c r="V2494" i="3" a="1"/>
  <c r="V2494" i="3" s="1"/>
  <c r="Y2493" i="3" a="1"/>
  <c r="Y2493" i="3" s="1"/>
  <c r="X2493" i="3" a="1"/>
  <c r="X2493" i="3" s="1"/>
  <c r="W2493" i="3" a="1"/>
  <c r="W2493" i="3" s="1"/>
  <c r="V2493" i="3" a="1"/>
  <c r="V2493" i="3" s="1"/>
  <c r="Y2492" i="3" a="1"/>
  <c r="Y2492" i="3" s="1"/>
  <c r="X2492" i="3" a="1"/>
  <c r="X2492" i="3" s="1"/>
  <c r="W2492" i="3" a="1"/>
  <c r="W2492" i="3" s="1"/>
  <c r="V2492" i="3" a="1"/>
  <c r="V2492" i="3" s="1"/>
  <c r="Y2491" i="3" a="1"/>
  <c r="Y2491" i="3" s="1"/>
  <c r="X2491" i="3" a="1"/>
  <c r="X2491" i="3" s="1"/>
  <c r="W2491" i="3" a="1"/>
  <c r="W2491" i="3" s="1"/>
  <c r="V2491" i="3" a="1"/>
  <c r="V2491" i="3" s="1"/>
  <c r="Y2490" i="3" a="1"/>
  <c r="Y2490" i="3" s="1"/>
  <c r="X2490" i="3" a="1"/>
  <c r="X2490" i="3" s="1"/>
  <c r="W2490" i="3" a="1"/>
  <c r="W2490" i="3" s="1"/>
  <c r="V2490" i="3" a="1"/>
  <c r="V2490" i="3" s="1"/>
  <c r="Y2489" i="3" a="1"/>
  <c r="Y2489" i="3" s="1"/>
  <c r="X2489" i="3" a="1"/>
  <c r="X2489" i="3" s="1"/>
  <c r="W2489" i="3" a="1"/>
  <c r="W2489" i="3" s="1"/>
  <c r="V2489" i="3" a="1"/>
  <c r="V2489" i="3" s="1"/>
  <c r="Y2488" i="3" a="1"/>
  <c r="Y2488" i="3" s="1"/>
  <c r="X2488" i="3" a="1"/>
  <c r="X2488" i="3" s="1"/>
  <c r="W2488" i="3" a="1"/>
  <c r="W2488" i="3" s="1"/>
  <c r="V2488" i="3" a="1"/>
  <c r="V2488" i="3" s="1"/>
  <c r="Y2487" i="3" a="1"/>
  <c r="Y2487" i="3" s="1"/>
  <c r="X2487" i="3" a="1"/>
  <c r="X2487" i="3" s="1"/>
  <c r="W2487" i="3" a="1"/>
  <c r="W2487" i="3" s="1"/>
  <c r="V2487" i="3" a="1"/>
  <c r="V2487" i="3" s="1"/>
  <c r="Y2486" i="3" a="1"/>
  <c r="Y2486" i="3" s="1"/>
  <c r="X2486" i="3" a="1"/>
  <c r="X2486" i="3" s="1"/>
  <c r="W2486" i="3" a="1"/>
  <c r="W2486" i="3" s="1"/>
  <c r="V2486" i="3" a="1"/>
  <c r="V2486" i="3" s="1"/>
  <c r="Y2485" i="3" a="1"/>
  <c r="Y2485" i="3" s="1"/>
  <c r="X2485" i="3" a="1"/>
  <c r="X2485" i="3" s="1"/>
  <c r="W2485" i="3" a="1"/>
  <c r="W2485" i="3" s="1"/>
  <c r="V2485" i="3" a="1"/>
  <c r="V2485" i="3" s="1"/>
  <c r="Y2484" i="3" a="1"/>
  <c r="Y2484" i="3" s="1"/>
  <c r="X2484" i="3" a="1"/>
  <c r="X2484" i="3" s="1"/>
  <c r="W2484" i="3" a="1"/>
  <c r="W2484" i="3" s="1"/>
  <c r="V2484" i="3" a="1"/>
  <c r="V2484" i="3" s="1"/>
  <c r="Y2483" i="3" a="1"/>
  <c r="Y2483" i="3" s="1"/>
  <c r="X2483" i="3" a="1"/>
  <c r="X2483" i="3" s="1"/>
  <c r="W2483" i="3" a="1"/>
  <c r="W2483" i="3" s="1"/>
  <c r="V2483" i="3" a="1"/>
  <c r="V2483" i="3" s="1"/>
  <c r="Y2482" i="3" a="1"/>
  <c r="Y2482" i="3" s="1"/>
  <c r="X2482" i="3" a="1"/>
  <c r="X2482" i="3" s="1"/>
  <c r="W2482" i="3" a="1"/>
  <c r="W2482" i="3" s="1"/>
  <c r="V2482" i="3" a="1"/>
  <c r="V2482" i="3" s="1"/>
  <c r="Y2481" i="3" a="1"/>
  <c r="Y2481" i="3" s="1"/>
  <c r="X2481" i="3" a="1"/>
  <c r="X2481" i="3" s="1"/>
  <c r="W2481" i="3" a="1"/>
  <c r="W2481" i="3" s="1"/>
  <c r="V2481" i="3" a="1"/>
  <c r="V2481" i="3" s="1"/>
  <c r="Y2480" i="3" a="1"/>
  <c r="Y2480" i="3" s="1"/>
  <c r="X2480" i="3" a="1"/>
  <c r="X2480" i="3" s="1"/>
  <c r="W2480" i="3" a="1"/>
  <c r="W2480" i="3" s="1"/>
  <c r="V2480" i="3" a="1"/>
  <c r="V2480" i="3" s="1"/>
  <c r="Y2479" i="3" a="1"/>
  <c r="Y2479" i="3" s="1"/>
  <c r="X2479" i="3" a="1"/>
  <c r="X2479" i="3" s="1"/>
  <c r="W2479" i="3" a="1"/>
  <c r="W2479" i="3" s="1"/>
  <c r="V2479" i="3" a="1"/>
  <c r="V2479" i="3" s="1"/>
  <c r="Y2478" i="3" a="1"/>
  <c r="Y2478" i="3" s="1"/>
  <c r="X2478" i="3" a="1"/>
  <c r="X2478" i="3" s="1"/>
  <c r="W2478" i="3" a="1"/>
  <c r="W2478" i="3" s="1"/>
  <c r="V2478" i="3" a="1"/>
  <c r="V2478" i="3" s="1"/>
  <c r="Y2477" i="3" a="1"/>
  <c r="Y2477" i="3" s="1"/>
  <c r="X2477" i="3" a="1"/>
  <c r="X2477" i="3" s="1"/>
  <c r="W2477" i="3" a="1"/>
  <c r="W2477" i="3" s="1"/>
  <c r="V2477" i="3" a="1"/>
  <c r="V2477" i="3" s="1"/>
  <c r="Y2476" i="3" a="1"/>
  <c r="Y2476" i="3" s="1"/>
  <c r="X2476" i="3" a="1"/>
  <c r="X2476" i="3" s="1"/>
  <c r="W2476" i="3" a="1"/>
  <c r="W2476" i="3" s="1"/>
  <c r="V2476" i="3" a="1"/>
  <c r="V2476" i="3" s="1"/>
  <c r="Y2475" i="3" a="1"/>
  <c r="Y2475" i="3" s="1"/>
  <c r="X2475" i="3" a="1"/>
  <c r="X2475" i="3" s="1"/>
  <c r="W2475" i="3" a="1"/>
  <c r="W2475" i="3" s="1"/>
  <c r="V2475" i="3" a="1"/>
  <c r="V2475" i="3" s="1"/>
  <c r="Y2474" i="3" a="1"/>
  <c r="Y2474" i="3" s="1"/>
  <c r="X2474" i="3" a="1"/>
  <c r="X2474" i="3" s="1"/>
  <c r="W2474" i="3" a="1"/>
  <c r="W2474" i="3" s="1"/>
  <c r="V2474" i="3" a="1"/>
  <c r="V2474" i="3" s="1"/>
  <c r="Y2473" i="3" a="1"/>
  <c r="Y2473" i="3" s="1"/>
  <c r="X2473" i="3" a="1"/>
  <c r="X2473" i="3" s="1"/>
  <c r="W2473" i="3" a="1"/>
  <c r="W2473" i="3" s="1"/>
  <c r="V2473" i="3" a="1"/>
  <c r="V2473" i="3" s="1"/>
  <c r="Y2472" i="3" a="1"/>
  <c r="Y2472" i="3" s="1"/>
  <c r="X2472" i="3" a="1"/>
  <c r="X2472" i="3" s="1"/>
  <c r="W2472" i="3" a="1"/>
  <c r="W2472" i="3" s="1"/>
  <c r="V2472" i="3" a="1"/>
  <c r="V2472" i="3" s="1"/>
  <c r="Y2471" i="3" a="1"/>
  <c r="Y2471" i="3" s="1"/>
  <c r="X2471" i="3" a="1"/>
  <c r="X2471" i="3" s="1"/>
  <c r="W2471" i="3" a="1"/>
  <c r="W2471" i="3" s="1"/>
  <c r="V2471" i="3" a="1"/>
  <c r="V2471" i="3" s="1"/>
  <c r="Y2470" i="3" a="1"/>
  <c r="Y2470" i="3" s="1"/>
  <c r="X2470" i="3" a="1"/>
  <c r="X2470" i="3" s="1"/>
  <c r="W2470" i="3" a="1"/>
  <c r="W2470" i="3" s="1"/>
  <c r="V2470" i="3" a="1"/>
  <c r="V2470" i="3" s="1"/>
  <c r="Y2469" i="3" a="1"/>
  <c r="Y2469" i="3" s="1"/>
  <c r="X2469" i="3" a="1"/>
  <c r="X2469" i="3" s="1"/>
  <c r="W2469" i="3" a="1"/>
  <c r="W2469" i="3" s="1"/>
  <c r="V2469" i="3" a="1"/>
  <c r="V2469" i="3" s="1"/>
  <c r="Y2468" i="3" a="1"/>
  <c r="Y2468" i="3" s="1"/>
  <c r="X2468" i="3" a="1"/>
  <c r="X2468" i="3" s="1"/>
  <c r="W2468" i="3" a="1"/>
  <c r="W2468" i="3" s="1"/>
  <c r="V2468" i="3" a="1"/>
  <c r="V2468" i="3" s="1"/>
  <c r="Y2467" i="3" a="1"/>
  <c r="Y2467" i="3" s="1"/>
  <c r="X2467" i="3" a="1"/>
  <c r="X2467" i="3" s="1"/>
  <c r="W2467" i="3" a="1"/>
  <c r="W2467" i="3" s="1"/>
  <c r="V2467" i="3" a="1"/>
  <c r="V2467" i="3" s="1"/>
  <c r="Y2466" i="3" a="1"/>
  <c r="Y2466" i="3" s="1"/>
  <c r="X2466" i="3" a="1"/>
  <c r="X2466" i="3" s="1"/>
  <c r="W2466" i="3" a="1"/>
  <c r="W2466" i="3" s="1"/>
  <c r="V2466" i="3" a="1"/>
  <c r="V2466" i="3" s="1"/>
  <c r="Y2465" i="3" a="1"/>
  <c r="Y2465" i="3" s="1"/>
  <c r="X2465" i="3" a="1"/>
  <c r="X2465" i="3" s="1"/>
  <c r="W2465" i="3" a="1"/>
  <c r="W2465" i="3" s="1"/>
  <c r="V2465" i="3" a="1"/>
  <c r="V2465" i="3" s="1"/>
  <c r="Y2464" i="3" a="1"/>
  <c r="Y2464" i="3" s="1"/>
  <c r="X2464" i="3" a="1"/>
  <c r="X2464" i="3" s="1"/>
  <c r="W2464" i="3" a="1"/>
  <c r="W2464" i="3" s="1"/>
  <c r="V2464" i="3" a="1"/>
  <c r="V2464" i="3" s="1"/>
  <c r="Y2463" i="3" a="1"/>
  <c r="Y2463" i="3" s="1"/>
  <c r="X2463" i="3" a="1"/>
  <c r="X2463" i="3" s="1"/>
  <c r="W2463" i="3" a="1"/>
  <c r="W2463" i="3" s="1"/>
  <c r="V2463" i="3" a="1"/>
  <c r="V2463" i="3" s="1"/>
  <c r="Y2462" i="3" a="1"/>
  <c r="Y2462" i="3" s="1"/>
  <c r="X2462" i="3" a="1"/>
  <c r="X2462" i="3" s="1"/>
  <c r="W2462" i="3" a="1"/>
  <c r="W2462" i="3" s="1"/>
  <c r="V2462" i="3" a="1"/>
  <c r="V2462" i="3" s="1"/>
  <c r="Y2461" i="3" a="1"/>
  <c r="Y2461" i="3" s="1"/>
  <c r="X2461" i="3" a="1"/>
  <c r="X2461" i="3" s="1"/>
  <c r="W2461" i="3" a="1"/>
  <c r="W2461" i="3" s="1"/>
  <c r="V2461" i="3" a="1"/>
  <c r="V2461" i="3" s="1"/>
  <c r="Y2460" i="3" a="1"/>
  <c r="Y2460" i="3" s="1"/>
  <c r="X2460" i="3" a="1"/>
  <c r="X2460" i="3" s="1"/>
  <c r="W2460" i="3" a="1"/>
  <c r="W2460" i="3" s="1"/>
  <c r="V2460" i="3" a="1"/>
  <c r="V2460" i="3" s="1"/>
  <c r="Y2459" i="3" a="1"/>
  <c r="Y2459" i="3" s="1"/>
  <c r="X2459" i="3" a="1"/>
  <c r="X2459" i="3" s="1"/>
  <c r="W2459" i="3" a="1"/>
  <c r="W2459" i="3" s="1"/>
  <c r="V2459" i="3" a="1"/>
  <c r="V2459" i="3" s="1"/>
  <c r="Y2458" i="3" a="1"/>
  <c r="Y2458" i="3" s="1"/>
  <c r="X2458" i="3" a="1"/>
  <c r="X2458" i="3" s="1"/>
  <c r="W2458" i="3" a="1"/>
  <c r="W2458" i="3" s="1"/>
  <c r="V2458" i="3" a="1"/>
  <c r="V2458" i="3" s="1"/>
  <c r="Y2457" i="3" a="1"/>
  <c r="Y2457" i="3" s="1"/>
  <c r="X2457" i="3" a="1"/>
  <c r="X2457" i="3" s="1"/>
  <c r="W2457" i="3" a="1"/>
  <c r="W2457" i="3" s="1"/>
  <c r="V2457" i="3" a="1"/>
  <c r="V2457" i="3" s="1"/>
  <c r="Y2456" i="3" a="1"/>
  <c r="Y2456" i="3" s="1"/>
  <c r="X2456" i="3" a="1"/>
  <c r="X2456" i="3" s="1"/>
  <c r="W2456" i="3" a="1"/>
  <c r="W2456" i="3" s="1"/>
  <c r="V2456" i="3" a="1"/>
  <c r="V2456" i="3" s="1"/>
  <c r="Y2455" i="3" a="1"/>
  <c r="Y2455" i="3" s="1"/>
  <c r="X2455" i="3" a="1"/>
  <c r="X2455" i="3" s="1"/>
  <c r="W2455" i="3" a="1"/>
  <c r="W2455" i="3" s="1"/>
  <c r="V2455" i="3" a="1"/>
  <c r="V2455" i="3" s="1"/>
  <c r="Y2454" i="3" a="1"/>
  <c r="Y2454" i="3" s="1"/>
  <c r="X2454" i="3" a="1"/>
  <c r="X2454" i="3" s="1"/>
  <c r="W2454" i="3" a="1"/>
  <c r="W2454" i="3" s="1"/>
  <c r="V2454" i="3" a="1"/>
  <c r="V2454" i="3" s="1"/>
  <c r="Y2453" i="3" a="1"/>
  <c r="Y2453" i="3" s="1"/>
  <c r="X2453" i="3" a="1"/>
  <c r="X2453" i="3" s="1"/>
  <c r="W2453" i="3" a="1"/>
  <c r="W2453" i="3" s="1"/>
  <c r="V2453" i="3" a="1"/>
  <c r="V2453" i="3" s="1"/>
  <c r="Y2452" i="3" a="1"/>
  <c r="Y2452" i="3" s="1"/>
  <c r="X2452" i="3" a="1"/>
  <c r="X2452" i="3" s="1"/>
  <c r="W2452" i="3" a="1"/>
  <c r="W2452" i="3" s="1"/>
  <c r="V2452" i="3" a="1"/>
  <c r="V2452" i="3" s="1"/>
  <c r="Y2451" i="3" a="1"/>
  <c r="Y2451" i="3" s="1"/>
  <c r="X2451" i="3" a="1"/>
  <c r="X2451" i="3" s="1"/>
  <c r="W2451" i="3" a="1"/>
  <c r="W2451" i="3" s="1"/>
  <c r="V2451" i="3" a="1"/>
  <c r="V2451" i="3" s="1"/>
  <c r="Y2450" i="3" a="1"/>
  <c r="Y2450" i="3" s="1"/>
  <c r="X2450" i="3" a="1"/>
  <c r="X2450" i="3" s="1"/>
  <c r="W2450" i="3" a="1"/>
  <c r="W2450" i="3" s="1"/>
  <c r="V2450" i="3" a="1"/>
  <c r="V2450" i="3" s="1"/>
  <c r="Y2449" i="3" a="1"/>
  <c r="Y2449" i="3" s="1"/>
  <c r="X2449" i="3" a="1"/>
  <c r="X2449" i="3" s="1"/>
  <c r="W2449" i="3" a="1"/>
  <c r="W2449" i="3" s="1"/>
  <c r="V2449" i="3" a="1"/>
  <c r="V2449" i="3" s="1"/>
  <c r="Y2448" i="3" a="1"/>
  <c r="Y2448" i="3" s="1"/>
  <c r="X2448" i="3" a="1"/>
  <c r="X2448" i="3" s="1"/>
  <c r="W2448" i="3" a="1"/>
  <c r="W2448" i="3" s="1"/>
  <c r="V2448" i="3" a="1"/>
  <c r="V2448" i="3" s="1"/>
  <c r="Y2447" i="3" a="1"/>
  <c r="Y2447" i="3" s="1"/>
  <c r="X2447" i="3" a="1"/>
  <c r="X2447" i="3" s="1"/>
  <c r="W2447" i="3" a="1"/>
  <c r="W2447" i="3" s="1"/>
  <c r="V2447" i="3" a="1"/>
  <c r="V2447" i="3" s="1"/>
  <c r="Y2446" i="3" a="1"/>
  <c r="Y2446" i="3" s="1"/>
  <c r="X2446" i="3" a="1"/>
  <c r="X2446" i="3" s="1"/>
  <c r="W2446" i="3" a="1"/>
  <c r="W2446" i="3" s="1"/>
  <c r="V2446" i="3" a="1"/>
  <c r="V2446" i="3" s="1"/>
  <c r="Y2445" i="3" a="1"/>
  <c r="Y2445" i="3" s="1"/>
  <c r="X2445" i="3" a="1"/>
  <c r="X2445" i="3" s="1"/>
  <c r="W2445" i="3" a="1"/>
  <c r="W2445" i="3" s="1"/>
  <c r="V2445" i="3" a="1"/>
  <c r="V2445" i="3" s="1"/>
  <c r="Y2444" i="3" a="1"/>
  <c r="Y2444" i="3" s="1"/>
  <c r="X2444" i="3" a="1"/>
  <c r="X2444" i="3" s="1"/>
  <c r="W2444" i="3" a="1"/>
  <c r="W2444" i="3" s="1"/>
  <c r="V2444" i="3" a="1"/>
  <c r="V2444" i="3" s="1"/>
  <c r="Y2443" i="3" a="1"/>
  <c r="Y2443" i="3" s="1"/>
  <c r="X2443" i="3" a="1"/>
  <c r="X2443" i="3" s="1"/>
  <c r="W2443" i="3" a="1"/>
  <c r="W2443" i="3" s="1"/>
  <c r="V2443" i="3" a="1"/>
  <c r="V2443" i="3" s="1"/>
  <c r="Y2442" i="3" a="1"/>
  <c r="Y2442" i="3" s="1"/>
  <c r="X2442" i="3" a="1"/>
  <c r="X2442" i="3" s="1"/>
  <c r="W2442" i="3" a="1"/>
  <c r="W2442" i="3" s="1"/>
  <c r="V2442" i="3" a="1"/>
  <c r="V2442" i="3" s="1"/>
  <c r="Y2441" i="3" a="1"/>
  <c r="Y2441" i="3" s="1"/>
  <c r="X2441" i="3" a="1"/>
  <c r="X2441" i="3" s="1"/>
  <c r="W2441" i="3" a="1"/>
  <c r="W2441" i="3" s="1"/>
  <c r="V2441" i="3" a="1"/>
  <c r="V2441" i="3" s="1"/>
  <c r="Y2440" i="3" a="1"/>
  <c r="Y2440" i="3" s="1"/>
  <c r="X2440" i="3" a="1"/>
  <c r="X2440" i="3" s="1"/>
  <c r="W2440" i="3" a="1"/>
  <c r="W2440" i="3" s="1"/>
  <c r="V2440" i="3" a="1"/>
  <c r="V2440" i="3" s="1"/>
  <c r="Y2439" i="3" a="1"/>
  <c r="Y2439" i="3" s="1"/>
  <c r="X2439" i="3" a="1"/>
  <c r="X2439" i="3" s="1"/>
  <c r="W2439" i="3" a="1"/>
  <c r="W2439" i="3" s="1"/>
  <c r="V2439" i="3" a="1"/>
  <c r="V2439" i="3" s="1"/>
  <c r="Y2438" i="3" a="1"/>
  <c r="Y2438" i="3" s="1"/>
  <c r="X2438" i="3" a="1"/>
  <c r="X2438" i="3" s="1"/>
  <c r="W2438" i="3" a="1"/>
  <c r="W2438" i="3" s="1"/>
  <c r="V2438" i="3" a="1"/>
  <c r="V2438" i="3" s="1"/>
  <c r="Y2437" i="3" a="1"/>
  <c r="Y2437" i="3" s="1"/>
  <c r="X2437" i="3" a="1"/>
  <c r="X2437" i="3" s="1"/>
  <c r="W2437" i="3" a="1"/>
  <c r="W2437" i="3" s="1"/>
  <c r="V2437" i="3" a="1"/>
  <c r="V2437" i="3" s="1"/>
  <c r="Y2436" i="3" a="1"/>
  <c r="Y2436" i="3" s="1"/>
  <c r="X2436" i="3" a="1"/>
  <c r="X2436" i="3" s="1"/>
  <c r="W2436" i="3" a="1"/>
  <c r="W2436" i="3" s="1"/>
  <c r="V2436" i="3" a="1"/>
  <c r="V2436" i="3" s="1"/>
  <c r="Y2435" i="3" a="1"/>
  <c r="Y2435" i="3" s="1"/>
  <c r="X2435" i="3" a="1"/>
  <c r="X2435" i="3" s="1"/>
  <c r="W2435" i="3" a="1"/>
  <c r="W2435" i="3" s="1"/>
  <c r="V2435" i="3" a="1"/>
  <c r="V2435" i="3" s="1"/>
  <c r="Y2434" i="3" a="1"/>
  <c r="Y2434" i="3" s="1"/>
  <c r="X2434" i="3" a="1"/>
  <c r="X2434" i="3" s="1"/>
  <c r="W2434" i="3" a="1"/>
  <c r="W2434" i="3" s="1"/>
  <c r="V2434" i="3" a="1"/>
  <c r="V2434" i="3" s="1"/>
  <c r="Y2433" i="3" a="1"/>
  <c r="Y2433" i="3" s="1"/>
  <c r="X2433" i="3" a="1"/>
  <c r="X2433" i="3" s="1"/>
  <c r="W2433" i="3" a="1"/>
  <c r="W2433" i="3" s="1"/>
  <c r="V2433" i="3" a="1"/>
  <c r="V2433" i="3" s="1"/>
  <c r="Y2432" i="3" a="1"/>
  <c r="Y2432" i="3" s="1"/>
  <c r="X2432" i="3" a="1"/>
  <c r="X2432" i="3" s="1"/>
  <c r="W2432" i="3" a="1"/>
  <c r="W2432" i="3" s="1"/>
  <c r="V2432" i="3" a="1"/>
  <c r="V2432" i="3" s="1"/>
  <c r="Y2431" i="3" a="1"/>
  <c r="Y2431" i="3" s="1"/>
  <c r="X2431" i="3" a="1"/>
  <c r="X2431" i="3" s="1"/>
  <c r="W2431" i="3" a="1"/>
  <c r="W2431" i="3" s="1"/>
  <c r="V2431" i="3" a="1"/>
  <c r="V2431" i="3" s="1"/>
  <c r="Y2430" i="3" a="1"/>
  <c r="Y2430" i="3" s="1"/>
  <c r="X2430" i="3" a="1"/>
  <c r="X2430" i="3" s="1"/>
  <c r="W2430" i="3" a="1"/>
  <c r="W2430" i="3" s="1"/>
  <c r="V2430" i="3" a="1"/>
  <c r="V2430" i="3" s="1"/>
  <c r="Y2429" i="3" a="1"/>
  <c r="Y2429" i="3" s="1"/>
  <c r="X2429" i="3" a="1"/>
  <c r="X2429" i="3" s="1"/>
  <c r="W2429" i="3" a="1"/>
  <c r="W2429" i="3" s="1"/>
  <c r="V2429" i="3" a="1"/>
  <c r="V2429" i="3" s="1"/>
  <c r="Y2428" i="3" a="1"/>
  <c r="Y2428" i="3" s="1"/>
  <c r="X2428" i="3" a="1"/>
  <c r="X2428" i="3" s="1"/>
  <c r="W2428" i="3" a="1"/>
  <c r="W2428" i="3" s="1"/>
  <c r="V2428" i="3" a="1"/>
  <c r="V2428" i="3" s="1"/>
  <c r="Y2427" i="3" a="1"/>
  <c r="Y2427" i="3" s="1"/>
  <c r="X2427" i="3" a="1"/>
  <c r="X2427" i="3" s="1"/>
  <c r="W2427" i="3" a="1"/>
  <c r="W2427" i="3" s="1"/>
  <c r="V2427" i="3" a="1"/>
  <c r="V2427" i="3" s="1"/>
  <c r="Y2426" i="3" a="1"/>
  <c r="Y2426" i="3" s="1"/>
  <c r="X2426" i="3" a="1"/>
  <c r="X2426" i="3" s="1"/>
  <c r="W2426" i="3" a="1"/>
  <c r="W2426" i="3" s="1"/>
  <c r="V2426" i="3" a="1"/>
  <c r="V2426" i="3" s="1"/>
  <c r="Y2425" i="3" a="1"/>
  <c r="Y2425" i="3" s="1"/>
  <c r="X2425" i="3" a="1"/>
  <c r="X2425" i="3" s="1"/>
  <c r="W2425" i="3" a="1"/>
  <c r="W2425" i="3" s="1"/>
  <c r="V2425" i="3" a="1"/>
  <c r="V2425" i="3" s="1"/>
  <c r="Y2424" i="3" a="1"/>
  <c r="Y2424" i="3" s="1"/>
  <c r="X2424" i="3" a="1"/>
  <c r="X2424" i="3" s="1"/>
  <c r="W2424" i="3" a="1"/>
  <c r="W2424" i="3" s="1"/>
  <c r="V2424" i="3" a="1"/>
  <c r="V2424" i="3" s="1"/>
  <c r="Y2423" i="3" a="1"/>
  <c r="Y2423" i="3" s="1"/>
  <c r="X2423" i="3" a="1"/>
  <c r="X2423" i="3" s="1"/>
  <c r="W2423" i="3" a="1"/>
  <c r="W2423" i="3" s="1"/>
  <c r="V2423" i="3" a="1"/>
  <c r="V2423" i="3" s="1"/>
  <c r="Y2422" i="3" a="1"/>
  <c r="Y2422" i="3" s="1"/>
  <c r="X2422" i="3" a="1"/>
  <c r="X2422" i="3" s="1"/>
  <c r="W2422" i="3" a="1"/>
  <c r="W2422" i="3" s="1"/>
  <c r="V2422" i="3" a="1"/>
  <c r="V2422" i="3" s="1"/>
  <c r="Y2421" i="3" a="1"/>
  <c r="Y2421" i="3" s="1"/>
  <c r="X2421" i="3" a="1"/>
  <c r="X2421" i="3" s="1"/>
  <c r="W2421" i="3" a="1"/>
  <c r="W2421" i="3" s="1"/>
  <c r="V2421" i="3" a="1"/>
  <c r="V2421" i="3" s="1"/>
  <c r="Y2420" i="3" a="1"/>
  <c r="Y2420" i="3" s="1"/>
  <c r="X2420" i="3" a="1"/>
  <c r="X2420" i="3" s="1"/>
  <c r="W2420" i="3" a="1"/>
  <c r="W2420" i="3" s="1"/>
  <c r="V2420" i="3" a="1"/>
  <c r="V2420" i="3" s="1"/>
  <c r="Y2419" i="3" a="1"/>
  <c r="Y2419" i="3" s="1"/>
  <c r="X2419" i="3" a="1"/>
  <c r="X2419" i="3" s="1"/>
  <c r="W2419" i="3" a="1"/>
  <c r="W2419" i="3" s="1"/>
  <c r="V2419" i="3" a="1"/>
  <c r="V2419" i="3" s="1"/>
  <c r="Y993" i="3" a="1"/>
  <c r="Y993" i="3" s="1"/>
  <c r="X993" i="3" a="1"/>
  <c r="X993" i="3" s="1"/>
  <c r="W993" i="3" a="1"/>
  <c r="W993" i="3" s="1"/>
  <c r="V993" i="3" a="1"/>
  <c r="V993" i="3" s="1"/>
  <c r="Y992" i="3" a="1"/>
  <c r="Y992" i="3" s="1"/>
  <c r="X992" i="3" a="1"/>
  <c r="X992" i="3" s="1"/>
  <c r="W992" i="3" a="1"/>
  <c r="W992" i="3" s="1"/>
  <c r="V992" i="3" a="1"/>
  <c r="V992" i="3" s="1"/>
  <c r="Y991" i="3" a="1"/>
  <c r="Y991" i="3" s="1"/>
  <c r="X991" i="3" a="1"/>
  <c r="X991" i="3" s="1"/>
  <c r="W991" i="3" a="1"/>
  <c r="W991" i="3" s="1"/>
  <c r="V991" i="3" a="1"/>
  <c r="V991" i="3" s="1"/>
  <c r="Y990" i="3" a="1"/>
  <c r="Y990" i="3" s="1"/>
  <c r="X990" i="3" a="1"/>
  <c r="X990" i="3" s="1"/>
  <c r="W990" i="3" a="1"/>
  <c r="W990" i="3" s="1"/>
  <c r="V990" i="3" a="1"/>
  <c r="V990" i="3" s="1"/>
  <c r="Y989" i="3" a="1"/>
  <c r="Y989" i="3" s="1"/>
  <c r="X989" i="3" a="1"/>
  <c r="X989" i="3" s="1"/>
  <c r="W989" i="3" a="1"/>
  <c r="W989" i="3" s="1"/>
  <c r="V989" i="3" a="1"/>
  <c r="V989" i="3" s="1"/>
  <c r="Y988" i="3" a="1"/>
  <c r="Y988" i="3" s="1"/>
  <c r="X988" i="3" a="1"/>
  <c r="X988" i="3" s="1"/>
  <c r="W988" i="3" a="1"/>
  <c r="W988" i="3" s="1"/>
  <c r="V988" i="3" a="1"/>
  <c r="V988" i="3" s="1"/>
  <c r="Y987" i="3" a="1"/>
  <c r="Y987" i="3" s="1"/>
  <c r="X987" i="3" a="1"/>
  <c r="X987" i="3" s="1"/>
  <c r="W987" i="3" a="1"/>
  <c r="W987" i="3" s="1"/>
  <c r="V987" i="3" a="1"/>
  <c r="V987" i="3" s="1"/>
  <c r="Y986" i="3" a="1"/>
  <c r="Y986" i="3" s="1"/>
  <c r="X986" i="3" a="1"/>
  <c r="X986" i="3" s="1"/>
  <c r="W986" i="3" a="1"/>
  <c r="W986" i="3" s="1"/>
  <c r="V986" i="3" a="1"/>
  <c r="V986" i="3" s="1"/>
  <c r="Y985" i="3" a="1"/>
  <c r="Y985" i="3" s="1"/>
  <c r="X985" i="3" a="1"/>
  <c r="X985" i="3" s="1"/>
  <c r="W985" i="3" a="1"/>
  <c r="W985" i="3" s="1"/>
  <c r="V985" i="3" a="1"/>
  <c r="V985" i="3" s="1"/>
  <c r="Y984" i="3" a="1"/>
  <c r="Y984" i="3" s="1"/>
  <c r="X984" i="3" a="1"/>
  <c r="X984" i="3" s="1"/>
  <c r="W984" i="3" a="1"/>
  <c r="W984" i="3" s="1"/>
  <c r="V984" i="3" a="1"/>
  <c r="V984" i="3" s="1"/>
  <c r="Y983" i="3" a="1"/>
  <c r="Y983" i="3" s="1"/>
  <c r="X983" i="3" a="1"/>
  <c r="X983" i="3" s="1"/>
  <c r="W983" i="3" a="1"/>
  <c r="W983" i="3" s="1"/>
  <c r="V983" i="3" a="1"/>
  <c r="V983" i="3" s="1"/>
  <c r="Y982" i="3" a="1"/>
  <c r="Y982" i="3" s="1"/>
  <c r="X982" i="3" a="1"/>
  <c r="X982" i="3" s="1"/>
  <c r="W982" i="3" a="1"/>
  <c r="W982" i="3" s="1"/>
  <c r="V982" i="3" a="1"/>
  <c r="V982" i="3" s="1"/>
  <c r="Y981" i="3" a="1"/>
  <c r="Y981" i="3" s="1"/>
  <c r="X981" i="3" a="1"/>
  <c r="X981" i="3" s="1"/>
  <c r="W981" i="3" a="1"/>
  <c r="W981" i="3" s="1"/>
  <c r="V981" i="3" a="1"/>
  <c r="V981" i="3" s="1"/>
  <c r="Y980" i="3" a="1"/>
  <c r="Y980" i="3" s="1"/>
  <c r="X980" i="3" a="1"/>
  <c r="X980" i="3" s="1"/>
  <c r="W980" i="3" a="1"/>
  <c r="W980" i="3" s="1"/>
  <c r="V980" i="3" a="1"/>
  <c r="V980" i="3" s="1"/>
  <c r="Y979" i="3" a="1"/>
  <c r="Y979" i="3" s="1"/>
  <c r="X979" i="3" a="1"/>
  <c r="X979" i="3" s="1"/>
  <c r="W979" i="3" a="1"/>
  <c r="W979" i="3" s="1"/>
  <c r="V979" i="3" a="1"/>
  <c r="V979" i="3" s="1"/>
  <c r="Y978" i="3" a="1"/>
  <c r="Y978" i="3" s="1"/>
  <c r="X978" i="3" a="1"/>
  <c r="X978" i="3" s="1"/>
  <c r="W978" i="3" a="1"/>
  <c r="W978" i="3" s="1"/>
  <c r="V978" i="3" a="1"/>
  <c r="V978" i="3" s="1"/>
  <c r="Y977" i="3" a="1"/>
  <c r="Y977" i="3" s="1"/>
  <c r="X977" i="3" a="1"/>
  <c r="X977" i="3" s="1"/>
  <c r="W977" i="3" a="1"/>
  <c r="W977" i="3" s="1"/>
  <c r="V977" i="3" a="1"/>
  <c r="V977" i="3" s="1"/>
  <c r="Y976" i="3" a="1"/>
  <c r="Y976" i="3" s="1"/>
  <c r="X976" i="3" a="1"/>
  <c r="X976" i="3" s="1"/>
  <c r="W976" i="3" a="1"/>
  <c r="W976" i="3" s="1"/>
  <c r="V976" i="3" a="1"/>
  <c r="V976" i="3" s="1"/>
  <c r="Y975" i="3" a="1"/>
  <c r="Y975" i="3" s="1"/>
  <c r="X975" i="3" a="1"/>
  <c r="X975" i="3" s="1"/>
  <c r="W975" i="3" a="1"/>
  <c r="W975" i="3" s="1"/>
  <c r="V975" i="3" a="1"/>
  <c r="V975" i="3" s="1"/>
  <c r="Y974" i="3" a="1"/>
  <c r="Y974" i="3" s="1"/>
  <c r="X974" i="3" a="1"/>
  <c r="X974" i="3" s="1"/>
  <c r="W974" i="3" a="1"/>
  <c r="W974" i="3" s="1"/>
  <c r="V974" i="3" a="1"/>
  <c r="V974" i="3" s="1"/>
  <c r="Y973" i="3" a="1"/>
  <c r="Y973" i="3" s="1"/>
  <c r="X973" i="3" a="1"/>
  <c r="X973" i="3" s="1"/>
  <c r="W973" i="3" a="1"/>
  <c r="W973" i="3" s="1"/>
  <c r="V973" i="3" a="1"/>
  <c r="V973" i="3" s="1"/>
  <c r="Y972" i="3" a="1"/>
  <c r="Y972" i="3" s="1"/>
  <c r="X972" i="3" a="1"/>
  <c r="X972" i="3" s="1"/>
  <c r="W972" i="3" a="1"/>
  <c r="W972" i="3" s="1"/>
  <c r="V972" i="3" a="1"/>
  <c r="V972" i="3" s="1"/>
  <c r="Y971" i="3" a="1"/>
  <c r="Y971" i="3" s="1"/>
  <c r="X971" i="3" a="1"/>
  <c r="X971" i="3" s="1"/>
  <c r="W971" i="3" a="1"/>
  <c r="W971" i="3" s="1"/>
  <c r="V971" i="3" a="1"/>
  <c r="V971" i="3" s="1"/>
  <c r="Y970" i="3" a="1"/>
  <c r="Y970" i="3" s="1"/>
  <c r="X970" i="3" a="1"/>
  <c r="X970" i="3" s="1"/>
  <c r="W970" i="3" a="1"/>
  <c r="W970" i="3" s="1"/>
  <c r="V970" i="3" a="1"/>
  <c r="V970" i="3" s="1"/>
  <c r="Y969" i="3" a="1"/>
  <c r="Y969" i="3" s="1"/>
  <c r="X969" i="3" a="1"/>
  <c r="X969" i="3" s="1"/>
  <c r="W969" i="3" a="1"/>
  <c r="W969" i="3" s="1"/>
  <c r="V969" i="3" a="1"/>
  <c r="V969" i="3" s="1"/>
  <c r="Y968" i="3" a="1"/>
  <c r="Y968" i="3" s="1"/>
  <c r="X968" i="3" a="1"/>
  <c r="X968" i="3" s="1"/>
  <c r="W968" i="3" a="1"/>
  <c r="W968" i="3" s="1"/>
  <c r="V968" i="3" a="1"/>
  <c r="V968" i="3" s="1"/>
  <c r="Y967" i="3" a="1"/>
  <c r="Y967" i="3" s="1"/>
  <c r="X967" i="3" a="1"/>
  <c r="X967" i="3" s="1"/>
  <c r="W967" i="3" a="1"/>
  <c r="W967" i="3" s="1"/>
  <c r="V967" i="3" a="1"/>
  <c r="V967" i="3" s="1"/>
  <c r="Y966" i="3" a="1"/>
  <c r="Y966" i="3" s="1"/>
  <c r="X966" i="3" a="1"/>
  <c r="X966" i="3" s="1"/>
  <c r="W966" i="3" a="1"/>
  <c r="W966" i="3" s="1"/>
  <c r="V966" i="3" a="1"/>
  <c r="V966" i="3" s="1"/>
  <c r="Y965" i="3" a="1"/>
  <c r="Y965" i="3" s="1"/>
  <c r="X965" i="3" a="1"/>
  <c r="X965" i="3" s="1"/>
  <c r="W965" i="3" a="1"/>
  <c r="W965" i="3" s="1"/>
  <c r="V965" i="3" a="1"/>
  <c r="V965" i="3" s="1"/>
  <c r="Y964" i="3" a="1"/>
  <c r="Y964" i="3" s="1"/>
  <c r="X964" i="3" a="1"/>
  <c r="X964" i="3" s="1"/>
  <c r="W964" i="3" a="1"/>
  <c r="W964" i="3" s="1"/>
  <c r="V964" i="3" a="1"/>
  <c r="V964" i="3" s="1"/>
  <c r="Y963" i="3" a="1"/>
  <c r="Y963" i="3" s="1"/>
  <c r="X963" i="3" a="1"/>
  <c r="X963" i="3" s="1"/>
  <c r="W963" i="3" a="1"/>
  <c r="W963" i="3" s="1"/>
  <c r="V963" i="3" a="1"/>
  <c r="V963" i="3" s="1"/>
  <c r="Y962" i="3" a="1"/>
  <c r="Y962" i="3" s="1"/>
  <c r="X962" i="3" a="1"/>
  <c r="X962" i="3" s="1"/>
  <c r="W962" i="3" a="1"/>
  <c r="W962" i="3" s="1"/>
  <c r="V962" i="3" a="1"/>
  <c r="V962" i="3" s="1"/>
  <c r="Y961" i="3" a="1"/>
  <c r="Y961" i="3" s="1"/>
  <c r="X961" i="3" a="1"/>
  <c r="X961" i="3" s="1"/>
  <c r="W961" i="3" a="1"/>
  <c r="W961" i="3" s="1"/>
  <c r="V961" i="3" a="1"/>
  <c r="V961" i="3" s="1"/>
  <c r="Y960" i="3" a="1"/>
  <c r="Y960" i="3" s="1"/>
  <c r="X960" i="3" a="1"/>
  <c r="X960" i="3" s="1"/>
  <c r="W960" i="3" a="1"/>
  <c r="W960" i="3" s="1"/>
  <c r="V960" i="3" a="1"/>
  <c r="V960" i="3" s="1"/>
  <c r="Y959" i="3" a="1"/>
  <c r="Y959" i="3" s="1"/>
  <c r="X959" i="3" a="1"/>
  <c r="X959" i="3" s="1"/>
  <c r="W959" i="3" a="1"/>
  <c r="W959" i="3" s="1"/>
  <c r="V959" i="3" a="1"/>
  <c r="V959" i="3" s="1"/>
  <c r="Y958" i="3" a="1"/>
  <c r="Y958" i="3" s="1"/>
  <c r="X958" i="3" a="1"/>
  <c r="X958" i="3" s="1"/>
  <c r="W958" i="3" a="1"/>
  <c r="W958" i="3" s="1"/>
  <c r="V958" i="3" a="1"/>
  <c r="V958" i="3" s="1"/>
  <c r="Y957" i="3" a="1"/>
  <c r="Y957" i="3" s="1"/>
  <c r="X957" i="3" a="1"/>
  <c r="X957" i="3" s="1"/>
  <c r="W957" i="3" a="1"/>
  <c r="W957" i="3" s="1"/>
  <c r="V957" i="3" a="1"/>
  <c r="V957" i="3" s="1"/>
  <c r="Y956" i="3" a="1"/>
  <c r="Y956" i="3" s="1"/>
  <c r="X956" i="3" a="1"/>
  <c r="X956" i="3" s="1"/>
  <c r="W956" i="3" a="1"/>
  <c r="W956" i="3" s="1"/>
  <c r="V956" i="3" a="1"/>
  <c r="V956" i="3" s="1"/>
  <c r="Y955" i="3" a="1"/>
  <c r="Y955" i="3" s="1"/>
  <c r="X955" i="3" a="1"/>
  <c r="X955" i="3" s="1"/>
  <c r="W955" i="3" a="1"/>
  <c r="W955" i="3" s="1"/>
  <c r="V955" i="3" a="1"/>
  <c r="V955" i="3" s="1"/>
  <c r="Y954" i="3" a="1"/>
  <c r="Y954" i="3" s="1"/>
  <c r="X954" i="3" a="1"/>
  <c r="X954" i="3" s="1"/>
  <c r="W954" i="3" a="1"/>
  <c r="W954" i="3" s="1"/>
  <c r="V954" i="3" a="1"/>
  <c r="V954" i="3" s="1"/>
  <c r="Y953" i="3" a="1"/>
  <c r="Y953" i="3" s="1"/>
  <c r="X953" i="3" a="1"/>
  <c r="X953" i="3" s="1"/>
  <c r="W953" i="3" a="1"/>
  <c r="W953" i="3" s="1"/>
  <c r="V953" i="3" a="1"/>
  <c r="V953" i="3" s="1"/>
  <c r="Y952" i="3" a="1"/>
  <c r="Y952" i="3" s="1"/>
  <c r="X952" i="3" a="1"/>
  <c r="X952" i="3" s="1"/>
  <c r="W952" i="3" a="1"/>
  <c r="W952" i="3" s="1"/>
  <c r="V952" i="3" a="1"/>
  <c r="V952" i="3" s="1"/>
  <c r="Y951" i="3" a="1"/>
  <c r="Y951" i="3" s="1"/>
  <c r="X951" i="3" a="1"/>
  <c r="X951" i="3" s="1"/>
  <c r="W951" i="3" a="1"/>
  <c r="W951" i="3" s="1"/>
  <c r="V951" i="3" a="1"/>
  <c r="V951" i="3" s="1"/>
  <c r="Y950" i="3" a="1"/>
  <c r="Y950" i="3" s="1"/>
  <c r="X950" i="3" a="1"/>
  <c r="X950" i="3" s="1"/>
  <c r="W950" i="3" a="1"/>
  <c r="W950" i="3" s="1"/>
  <c r="V950" i="3" a="1"/>
  <c r="V950" i="3" s="1"/>
  <c r="Y949" i="3" a="1"/>
  <c r="Y949" i="3" s="1"/>
  <c r="X949" i="3" a="1"/>
  <c r="X949" i="3" s="1"/>
  <c r="W949" i="3" a="1"/>
  <c r="W949" i="3" s="1"/>
  <c r="V949" i="3" a="1"/>
  <c r="V949" i="3" s="1"/>
  <c r="Y948" i="3" a="1"/>
  <c r="Y948" i="3" s="1"/>
  <c r="X948" i="3" a="1"/>
  <c r="X948" i="3" s="1"/>
  <c r="W948" i="3" a="1"/>
  <c r="W948" i="3" s="1"/>
  <c r="V948" i="3" a="1"/>
  <c r="V948" i="3" s="1"/>
  <c r="Y947" i="3" a="1"/>
  <c r="Y947" i="3" s="1"/>
  <c r="X947" i="3" a="1"/>
  <c r="X947" i="3" s="1"/>
  <c r="W947" i="3" a="1"/>
  <c r="W947" i="3" s="1"/>
  <c r="V947" i="3" a="1"/>
  <c r="V947" i="3" s="1"/>
  <c r="Y946" i="3" a="1"/>
  <c r="Y946" i="3" s="1"/>
  <c r="X946" i="3" a="1"/>
  <c r="X946" i="3" s="1"/>
  <c r="W946" i="3" a="1"/>
  <c r="W946" i="3" s="1"/>
  <c r="V946" i="3" a="1"/>
  <c r="V946" i="3" s="1"/>
  <c r="Y945" i="3" a="1"/>
  <c r="Y945" i="3" s="1"/>
  <c r="X945" i="3" a="1"/>
  <c r="X945" i="3" s="1"/>
  <c r="W945" i="3" a="1"/>
  <c r="W945" i="3" s="1"/>
  <c r="V945" i="3" a="1"/>
  <c r="V945" i="3" s="1"/>
  <c r="Y944" i="3" a="1"/>
  <c r="Y944" i="3" s="1"/>
  <c r="X944" i="3" a="1"/>
  <c r="X944" i="3" s="1"/>
  <c r="W944" i="3" a="1"/>
  <c r="W944" i="3" s="1"/>
  <c r="V944" i="3" a="1"/>
  <c r="V944" i="3" s="1"/>
  <c r="Y943" i="3" a="1"/>
  <c r="Y943" i="3" s="1"/>
  <c r="X943" i="3" a="1"/>
  <c r="X943" i="3" s="1"/>
  <c r="W943" i="3" a="1"/>
  <c r="W943" i="3" s="1"/>
  <c r="V943" i="3" a="1"/>
  <c r="V943" i="3" s="1"/>
  <c r="Y942" i="3" a="1"/>
  <c r="Y942" i="3" s="1"/>
  <c r="X942" i="3" a="1"/>
  <c r="X942" i="3" s="1"/>
  <c r="W942" i="3" a="1"/>
  <c r="W942" i="3" s="1"/>
  <c r="V942" i="3" a="1"/>
  <c r="V942" i="3" s="1"/>
  <c r="Y941" i="3" a="1"/>
  <c r="Y941" i="3" s="1"/>
  <c r="X941" i="3" a="1"/>
  <c r="X941" i="3" s="1"/>
  <c r="W941" i="3" a="1"/>
  <c r="W941" i="3" s="1"/>
  <c r="V941" i="3" a="1"/>
  <c r="V941" i="3" s="1"/>
  <c r="Y940" i="3" a="1"/>
  <c r="Y940" i="3" s="1"/>
  <c r="X940" i="3" a="1"/>
  <c r="X940" i="3" s="1"/>
  <c r="W940" i="3" a="1"/>
  <c r="W940" i="3" s="1"/>
  <c r="V940" i="3" a="1"/>
  <c r="V940" i="3" s="1"/>
  <c r="Y939" i="3" a="1"/>
  <c r="Y939" i="3" s="1"/>
  <c r="X939" i="3" a="1"/>
  <c r="X939" i="3" s="1"/>
  <c r="W939" i="3" a="1"/>
  <c r="W939" i="3" s="1"/>
  <c r="V939" i="3" a="1"/>
  <c r="V939" i="3" s="1"/>
  <c r="Y938" i="3" a="1"/>
  <c r="Y938" i="3" s="1"/>
  <c r="X938" i="3" a="1"/>
  <c r="X938" i="3" s="1"/>
  <c r="W938" i="3" a="1"/>
  <c r="W938" i="3" s="1"/>
  <c r="V938" i="3" a="1"/>
  <c r="V938" i="3" s="1"/>
  <c r="Y937" i="3" a="1"/>
  <c r="Y937" i="3" s="1"/>
  <c r="X937" i="3" a="1"/>
  <c r="X937" i="3" s="1"/>
  <c r="W937" i="3" a="1"/>
  <c r="W937" i="3" s="1"/>
  <c r="V937" i="3" a="1"/>
  <c r="V937" i="3" s="1"/>
  <c r="Y936" i="3" a="1"/>
  <c r="Y936" i="3" s="1"/>
  <c r="X936" i="3" a="1"/>
  <c r="X936" i="3" s="1"/>
  <c r="W936" i="3" a="1"/>
  <c r="W936" i="3" s="1"/>
  <c r="V936" i="3" a="1"/>
  <c r="V936" i="3" s="1"/>
  <c r="Y935" i="3" a="1"/>
  <c r="Y935" i="3" s="1"/>
  <c r="X935" i="3" a="1"/>
  <c r="X935" i="3" s="1"/>
  <c r="W935" i="3" a="1"/>
  <c r="W935" i="3" s="1"/>
  <c r="V935" i="3" a="1"/>
  <c r="V935" i="3" s="1"/>
  <c r="Y934" i="3" a="1"/>
  <c r="Y934" i="3" s="1"/>
  <c r="X934" i="3" a="1"/>
  <c r="X934" i="3" s="1"/>
  <c r="W934" i="3" a="1"/>
  <c r="W934" i="3" s="1"/>
  <c r="V934" i="3" a="1"/>
  <c r="V934" i="3" s="1"/>
  <c r="Y933" i="3" a="1"/>
  <c r="Y933" i="3" s="1"/>
  <c r="X933" i="3" a="1"/>
  <c r="X933" i="3" s="1"/>
  <c r="W933" i="3" a="1"/>
  <c r="W933" i="3" s="1"/>
  <c r="V933" i="3" a="1"/>
  <c r="V933" i="3" s="1"/>
  <c r="Y932" i="3" a="1"/>
  <c r="Y932" i="3" s="1"/>
  <c r="X932" i="3" a="1"/>
  <c r="X932" i="3" s="1"/>
  <c r="W932" i="3" a="1"/>
  <c r="W932" i="3" s="1"/>
  <c r="V932" i="3" a="1"/>
  <c r="V932" i="3" s="1"/>
  <c r="Y931" i="3" a="1"/>
  <c r="Y931" i="3" s="1"/>
  <c r="X931" i="3" a="1"/>
  <c r="X931" i="3" s="1"/>
  <c r="W931" i="3" a="1"/>
  <c r="W931" i="3" s="1"/>
  <c r="V931" i="3" a="1"/>
  <c r="V931" i="3" s="1"/>
  <c r="Y930" i="3" a="1"/>
  <c r="Y930" i="3" s="1"/>
  <c r="X930" i="3" a="1"/>
  <c r="X930" i="3" s="1"/>
  <c r="W930" i="3" a="1"/>
  <c r="W930" i="3" s="1"/>
  <c r="V930" i="3" a="1"/>
  <c r="V930" i="3" s="1"/>
  <c r="Y929" i="3" a="1"/>
  <c r="Y929" i="3" s="1"/>
  <c r="X929" i="3" a="1"/>
  <c r="X929" i="3" s="1"/>
  <c r="W929" i="3" a="1"/>
  <c r="W929" i="3" s="1"/>
  <c r="V929" i="3" a="1"/>
  <c r="V929" i="3" s="1"/>
  <c r="Y928" i="3" a="1"/>
  <c r="Y928" i="3" s="1"/>
  <c r="X928" i="3" a="1"/>
  <c r="X928" i="3" s="1"/>
  <c r="W928" i="3" a="1"/>
  <c r="W928" i="3" s="1"/>
  <c r="V928" i="3" a="1"/>
  <c r="V928" i="3" s="1"/>
  <c r="Y927" i="3" a="1"/>
  <c r="Y927" i="3" s="1"/>
  <c r="X927" i="3" a="1"/>
  <c r="X927" i="3" s="1"/>
  <c r="W927" i="3" a="1"/>
  <c r="W927" i="3" s="1"/>
  <c r="V927" i="3" a="1"/>
  <c r="V927" i="3" s="1"/>
  <c r="Y926" i="3" a="1"/>
  <c r="Y926" i="3" s="1"/>
  <c r="X926" i="3" a="1"/>
  <c r="X926" i="3" s="1"/>
  <c r="W926" i="3" a="1"/>
  <c r="W926" i="3" s="1"/>
  <c r="V926" i="3" a="1"/>
  <c r="V926" i="3" s="1"/>
  <c r="Y925" i="3" a="1"/>
  <c r="Y925" i="3" s="1"/>
  <c r="X925" i="3" a="1"/>
  <c r="X925" i="3" s="1"/>
  <c r="W925" i="3" a="1"/>
  <c r="W925" i="3" s="1"/>
  <c r="V925" i="3" a="1"/>
  <c r="V925" i="3" s="1"/>
  <c r="Y924" i="3" a="1"/>
  <c r="Y924" i="3" s="1"/>
  <c r="X924" i="3" a="1"/>
  <c r="X924" i="3" s="1"/>
  <c r="W924" i="3" a="1"/>
  <c r="W924" i="3" s="1"/>
  <c r="V924" i="3" a="1"/>
  <c r="V924" i="3" s="1"/>
  <c r="Y923" i="3" a="1"/>
  <c r="Y923" i="3" s="1"/>
  <c r="X923" i="3" a="1"/>
  <c r="X923" i="3" s="1"/>
  <c r="W923" i="3" a="1"/>
  <c r="W923" i="3" s="1"/>
  <c r="V923" i="3" a="1"/>
  <c r="V923" i="3" s="1"/>
  <c r="Y922" i="3" a="1"/>
  <c r="Y922" i="3" s="1"/>
  <c r="X922" i="3" a="1"/>
  <c r="X922" i="3" s="1"/>
  <c r="W922" i="3" a="1"/>
  <c r="W922" i="3" s="1"/>
  <c r="V922" i="3" a="1"/>
  <c r="V922" i="3" s="1"/>
  <c r="Y921" i="3" a="1"/>
  <c r="Y921" i="3" s="1"/>
  <c r="X921" i="3" a="1"/>
  <c r="X921" i="3" s="1"/>
  <c r="W921" i="3" a="1"/>
  <c r="W921" i="3" s="1"/>
  <c r="V921" i="3" a="1"/>
  <c r="V921" i="3" s="1"/>
  <c r="Y920" i="3" a="1"/>
  <c r="Y920" i="3" s="1"/>
  <c r="X920" i="3" a="1"/>
  <c r="X920" i="3" s="1"/>
  <c r="W920" i="3" a="1"/>
  <c r="W920" i="3" s="1"/>
  <c r="V920" i="3" a="1"/>
  <c r="V920" i="3" s="1"/>
  <c r="Y919" i="3" a="1"/>
  <c r="Y919" i="3" s="1"/>
  <c r="X919" i="3" a="1"/>
  <c r="X919" i="3" s="1"/>
  <c r="W919" i="3" a="1"/>
  <c r="W919" i="3" s="1"/>
  <c r="V919" i="3" a="1"/>
  <c r="V919" i="3" s="1"/>
  <c r="Y918" i="3" a="1"/>
  <c r="Y918" i="3" s="1"/>
  <c r="X918" i="3" a="1"/>
  <c r="X918" i="3" s="1"/>
  <c r="W918" i="3" a="1"/>
  <c r="W918" i="3" s="1"/>
  <c r="V918" i="3" a="1"/>
  <c r="V918" i="3" s="1"/>
  <c r="Y917" i="3" a="1"/>
  <c r="Y917" i="3" s="1"/>
  <c r="X917" i="3" a="1"/>
  <c r="X917" i="3" s="1"/>
  <c r="W917" i="3" a="1"/>
  <c r="W917" i="3" s="1"/>
  <c r="V917" i="3" a="1"/>
  <c r="V917" i="3" s="1"/>
  <c r="Y916" i="3" a="1"/>
  <c r="Y916" i="3" s="1"/>
  <c r="X916" i="3" a="1"/>
  <c r="X916" i="3" s="1"/>
  <c r="W916" i="3" a="1"/>
  <c r="W916" i="3" s="1"/>
  <c r="V916" i="3" a="1"/>
  <c r="V916" i="3" s="1"/>
  <c r="Y915" i="3" a="1"/>
  <c r="Y915" i="3" s="1"/>
  <c r="X915" i="3" a="1"/>
  <c r="X915" i="3" s="1"/>
  <c r="W915" i="3" a="1"/>
  <c r="W915" i="3" s="1"/>
  <c r="V915" i="3" a="1"/>
  <c r="V915" i="3" s="1"/>
  <c r="Y914" i="3" a="1"/>
  <c r="Y914" i="3" s="1"/>
  <c r="X914" i="3" a="1"/>
  <c r="X914" i="3" s="1"/>
  <c r="W914" i="3" a="1"/>
  <c r="W914" i="3" s="1"/>
  <c r="V914" i="3" a="1"/>
  <c r="V914" i="3" s="1"/>
  <c r="Y913" i="3" a="1"/>
  <c r="Y913" i="3" s="1"/>
  <c r="X913" i="3" a="1"/>
  <c r="X913" i="3" s="1"/>
  <c r="W913" i="3" a="1"/>
  <c r="W913" i="3" s="1"/>
  <c r="V913" i="3" a="1"/>
  <c r="V913" i="3" s="1"/>
  <c r="Y912" i="3" a="1"/>
  <c r="Y912" i="3" s="1"/>
  <c r="X912" i="3" a="1"/>
  <c r="X912" i="3" s="1"/>
  <c r="W912" i="3" a="1"/>
  <c r="W912" i="3" s="1"/>
  <c r="V912" i="3" a="1"/>
  <c r="V912" i="3" s="1"/>
  <c r="Y911" i="3" a="1"/>
  <c r="Y911" i="3" s="1"/>
  <c r="X911" i="3" a="1"/>
  <c r="X911" i="3" s="1"/>
  <c r="W911" i="3" a="1"/>
  <c r="W911" i="3" s="1"/>
  <c r="V911" i="3" a="1"/>
  <c r="V911" i="3" s="1"/>
  <c r="Y910" i="3" a="1"/>
  <c r="Y910" i="3" s="1"/>
  <c r="X910" i="3" a="1"/>
  <c r="X910" i="3" s="1"/>
  <c r="W910" i="3" a="1"/>
  <c r="W910" i="3" s="1"/>
  <c r="V910" i="3" a="1"/>
  <c r="V910" i="3" s="1"/>
  <c r="Y909" i="3" a="1"/>
  <c r="Y909" i="3" s="1"/>
  <c r="X909" i="3" a="1"/>
  <c r="X909" i="3" s="1"/>
  <c r="W909" i="3" a="1"/>
  <c r="W909" i="3" s="1"/>
  <c r="V909" i="3" a="1"/>
  <c r="V909" i="3" s="1"/>
  <c r="Y908" i="3" a="1"/>
  <c r="Y908" i="3" s="1"/>
  <c r="X908" i="3" a="1"/>
  <c r="X908" i="3" s="1"/>
  <c r="W908" i="3" a="1"/>
  <c r="W908" i="3" s="1"/>
  <c r="V908" i="3" a="1"/>
  <c r="V908" i="3" s="1"/>
  <c r="Y907" i="3" a="1"/>
  <c r="Y907" i="3" s="1"/>
  <c r="X907" i="3" a="1"/>
  <c r="X907" i="3" s="1"/>
  <c r="W907" i="3" a="1"/>
  <c r="W907" i="3" s="1"/>
  <c r="V907" i="3" a="1"/>
  <c r="V907" i="3" s="1"/>
  <c r="Y906" i="3" a="1"/>
  <c r="Y906" i="3" s="1"/>
  <c r="X906" i="3" a="1"/>
  <c r="X906" i="3" s="1"/>
  <c r="W906" i="3" a="1"/>
  <c r="W906" i="3" s="1"/>
  <c r="V906" i="3" a="1"/>
  <c r="V906" i="3" s="1"/>
  <c r="Y905" i="3" a="1"/>
  <c r="Y905" i="3" s="1"/>
  <c r="X905" i="3" a="1"/>
  <c r="X905" i="3" s="1"/>
  <c r="W905" i="3" a="1"/>
  <c r="W905" i="3" s="1"/>
  <c r="V905" i="3" a="1"/>
  <c r="V905" i="3" s="1"/>
  <c r="Y904" i="3" a="1"/>
  <c r="Y904" i="3" s="1"/>
  <c r="X904" i="3" a="1"/>
  <c r="X904" i="3" s="1"/>
  <c r="W904" i="3" a="1"/>
  <c r="W904" i="3" s="1"/>
  <c r="V904" i="3" a="1"/>
  <c r="V904" i="3" s="1"/>
  <c r="Y903" i="3" a="1"/>
  <c r="Y903" i="3" s="1"/>
  <c r="X903" i="3" a="1"/>
  <c r="X903" i="3" s="1"/>
  <c r="W903" i="3" a="1"/>
  <c r="W903" i="3" s="1"/>
  <c r="V903" i="3" a="1"/>
  <c r="V903" i="3" s="1"/>
  <c r="Y902" i="3" a="1"/>
  <c r="Y902" i="3" s="1"/>
  <c r="X902" i="3" a="1"/>
  <c r="X902" i="3" s="1"/>
  <c r="W902" i="3" a="1"/>
  <c r="W902" i="3" s="1"/>
  <c r="V902" i="3" a="1"/>
  <c r="V902" i="3" s="1"/>
  <c r="Y901" i="3" a="1"/>
  <c r="Y901" i="3" s="1"/>
  <c r="X901" i="3" a="1"/>
  <c r="X901" i="3" s="1"/>
  <c r="W901" i="3" a="1"/>
  <c r="W901" i="3" s="1"/>
  <c r="V901" i="3" a="1"/>
  <c r="V901" i="3" s="1"/>
  <c r="Y900" i="3" a="1"/>
  <c r="Y900" i="3" s="1"/>
  <c r="X900" i="3" a="1"/>
  <c r="X900" i="3" s="1"/>
  <c r="W900" i="3" a="1"/>
  <c r="W900" i="3" s="1"/>
  <c r="V900" i="3" a="1"/>
  <c r="V900" i="3" s="1"/>
  <c r="Y899" i="3" a="1"/>
  <c r="Y899" i="3" s="1"/>
  <c r="X899" i="3" a="1"/>
  <c r="X899" i="3" s="1"/>
  <c r="W899" i="3" a="1"/>
  <c r="W899" i="3" s="1"/>
  <c r="V899" i="3" a="1"/>
  <c r="V899" i="3" s="1"/>
  <c r="Y898" i="3" a="1"/>
  <c r="Y898" i="3" s="1"/>
  <c r="X898" i="3" a="1"/>
  <c r="X898" i="3" s="1"/>
  <c r="W898" i="3" a="1"/>
  <c r="W898" i="3" s="1"/>
  <c r="V898" i="3" a="1"/>
  <c r="V898" i="3" s="1"/>
  <c r="Y897" i="3" a="1"/>
  <c r="Y897" i="3" s="1"/>
  <c r="X897" i="3" a="1"/>
  <c r="X897" i="3" s="1"/>
  <c r="W897" i="3" a="1"/>
  <c r="W897" i="3" s="1"/>
  <c r="V897" i="3" a="1"/>
  <c r="V897" i="3" s="1"/>
  <c r="Y896" i="3" a="1"/>
  <c r="Y896" i="3" s="1"/>
  <c r="X896" i="3" a="1"/>
  <c r="X896" i="3" s="1"/>
  <c r="W896" i="3" a="1"/>
  <c r="W896" i="3" s="1"/>
  <c r="V896" i="3" a="1"/>
  <c r="V896" i="3" s="1"/>
  <c r="Y895" i="3" a="1"/>
  <c r="Y895" i="3" s="1"/>
  <c r="X895" i="3" a="1"/>
  <c r="X895" i="3" s="1"/>
  <c r="W895" i="3" a="1"/>
  <c r="W895" i="3" s="1"/>
  <c r="V895" i="3" a="1"/>
  <c r="V895" i="3" s="1"/>
  <c r="Y894" i="3" a="1"/>
  <c r="Y894" i="3" s="1"/>
  <c r="X894" i="3" a="1"/>
  <c r="X894" i="3" s="1"/>
  <c r="W894" i="3" a="1"/>
  <c r="W894" i="3" s="1"/>
  <c r="V894" i="3" a="1"/>
  <c r="V894" i="3" s="1"/>
  <c r="Y893" i="3" a="1"/>
  <c r="Y893" i="3" s="1"/>
  <c r="X893" i="3" a="1"/>
  <c r="X893" i="3" s="1"/>
  <c r="W893" i="3" a="1"/>
  <c r="W893" i="3" s="1"/>
  <c r="V893" i="3" a="1"/>
  <c r="V893" i="3" s="1"/>
  <c r="Y892" i="3" a="1"/>
  <c r="Y892" i="3" s="1"/>
  <c r="X892" i="3" a="1"/>
  <c r="X892" i="3" s="1"/>
  <c r="W892" i="3" a="1"/>
  <c r="W892" i="3" s="1"/>
  <c r="V892" i="3" a="1"/>
  <c r="V892" i="3" s="1"/>
  <c r="Y891" i="3" a="1"/>
  <c r="Y891" i="3" s="1"/>
  <c r="X891" i="3" a="1"/>
  <c r="X891" i="3" s="1"/>
  <c r="W891" i="3" a="1"/>
  <c r="W891" i="3" s="1"/>
  <c r="V891" i="3" a="1"/>
  <c r="V891" i="3" s="1"/>
  <c r="Y890" i="3" a="1"/>
  <c r="Y890" i="3" s="1"/>
  <c r="X890" i="3" a="1"/>
  <c r="X890" i="3" s="1"/>
  <c r="W890" i="3" a="1"/>
  <c r="W890" i="3" s="1"/>
  <c r="V890" i="3" a="1"/>
  <c r="V890" i="3" s="1"/>
  <c r="Y889" i="3" a="1"/>
  <c r="Y889" i="3" s="1"/>
  <c r="X889" i="3" a="1"/>
  <c r="X889" i="3" s="1"/>
  <c r="W889" i="3" a="1"/>
  <c r="W889" i="3" s="1"/>
  <c r="V889" i="3" a="1"/>
  <c r="V889" i="3" s="1"/>
  <c r="Y888" i="3" a="1"/>
  <c r="Y888" i="3" s="1"/>
  <c r="X888" i="3" a="1"/>
  <c r="X888" i="3" s="1"/>
  <c r="W888" i="3" a="1"/>
  <c r="W888" i="3" s="1"/>
  <c r="V888" i="3" a="1"/>
  <c r="V888" i="3" s="1"/>
  <c r="Y887" i="3" a="1"/>
  <c r="Y887" i="3" s="1"/>
  <c r="X887" i="3" a="1"/>
  <c r="X887" i="3" s="1"/>
  <c r="W887" i="3" a="1"/>
  <c r="W887" i="3" s="1"/>
  <c r="V887" i="3" a="1"/>
  <c r="V887" i="3" s="1"/>
  <c r="Y886" i="3" a="1"/>
  <c r="Y886" i="3" s="1"/>
  <c r="X886" i="3" a="1"/>
  <c r="X886" i="3" s="1"/>
  <c r="W886" i="3" a="1"/>
  <c r="W886" i="3" s="1"/>
  <c r="V886" i="3" a="1"/>
  <c r="V886" i="3" s="1"/>
  <c r="Y885" i="3" a="1"/>
  <c r="Y885" i="3" s="1"/>
  <c r="X885" i="3" a="1"/>
  <c r="X885" i="3" s="1"/>
  <c r="W885" i="3" a="1"/>
  <c r="W885" i="3" s="1"/>
  <c r="V885" i="3" a="1"/>
  <c r="V885" i="3" s="1"/>
  <c r="Y884" i="3" a="1"/>
  <c r="Y884" i="3" s="1"/>
  <c r="X884" i="3" a="1"/>
  <c r="X884" i="3" s="1"/>
  <c r="W884" i="3" a="1"/>
  <c r="W884" i="3" s="1"/>
  <c r="V884" i="3" a="1"/>
  <c r="V884" i="3" s="1"/>
  <c r="Y883" i="3" a="1"/>
  <c r="Y883" i="3" s="1"/>
  <c r="X883" i="3" a="1"/>
  <c r="X883" i="3" s="1"/>
  <c r="W883" i="3" a="1"/>
  <c r="W883" i="3" s="1"/>
  <c r="V883" i="3" a="1"/>
  <c r="V883" i="3" s="1"/>
  <c r="Y882" i="3" a="1"/>
  <c r="Y882" i="3" s="1"/>
  <c r="X882" i="3" a="1"/>
  <c r="X882" i="3" s="1"/>
  <c r="W882" i="3" a="1"/>
  <c r="W882" i="3" s="1"/>
  <c r="V882" i="3" a="1"/>
  <c r="V882" i="3" s="1"/>
  <c r="Y881" i="3" a="1"/>
  <c r="Y881" i="3" s="1"/>
  <c r="X881" i="3" a="1"/>
  <c r="X881" i="3" s="1"/>
  <c r="W881" i="3" a="1"/>
  <c r="W881" i="3" s="1"/>
  <c r="V881" i="3" a="1"/>
  <c r="V881" i="3" s="1"/>
  <c r="Y880" i="3" a="1"/>
  <c r="Y880" i="3" s="1"/>
  <c r="X880" i="3" a="1"/>
  <c r="X880" i="3" s="1"/>
  <c r="W880" i="3" a="1"/>
  <c r="W880" i="3" s="1"/>
  <c r="V880" i="3" a="1"/>
  <c r="V880" i="3" s="1"/>
  <c r="Y879" i="3" a="1"/>
  <c r="Y879" i="3" s="1"/>
  <c r="X879" i="3" a="1"/>
  <c r="X879" i="3" s="1"/>
  <c r="W879" i="3" a="1"/>
  <c r="W879" i="3" s="1"/>
  <c r="V879" i="3" a="1"/>
  <c r="V879" i="3" s="1"/>
  <c r="Y878" i="3" a="1"/>
  <c r="Y878" i="3" s="1"/>
  <c r="X878" i="3" a="1"/>
  <c r="X878" i="3" s="1"/>
  <c r="W878" i="3" a="1"/>
  <c r="W878" i="3" s="1"/>
  <c r="V878" i="3" a="1"/>
  <c r="V878" i="3" s="1"/>
  <c r="Y877" i="3" a="1"/>
  <c r="Y877" i="3" s="1"/>
  <c r="X877" i="3" a="1"/>
  <c r="X877" i="3" s="1"/>
  <c r="W877" i="3" a="1"/>
  <c r="W877" i="3" s="1"/>
  <c r="V877" i="3" a="1"/>
  <c r="V877" i="3" s="1"/>
  <c r="Y876" i="3" a="1"/>
  <c r="Y876" i="3" s="1"/>
  <c r="X876" i="3" a="1"/>
  <c r="X876" i="3" s="1"/>
  <c r="W876" i="3" a="1"/>
  <c r="W876" i="3" s="1"/>
  <c r="V876" i="3" a="1"/>
  <c r="V876" i="3" s="1"/>
  <c r="Y875" i="3" a="1"/>
  <c r="Y875" i="3" s="1"/>
  <c r="X875" i="3" a="1"/>
  <c r="X875" i="3" s="1"/>
  <c r="W875" i="3" a="1"/>
  <c r="W875" i="3" s="1"/>
  <c r="V875" i="3" a="1"/>
  <c r="V875" i="3" s="1"/>
  <c r="Y874" i="3" a="1"/>
  <c r="Y874" i="3" s="1"/>
  <c r="X874" i="3" a="1"/>
  <c r="X874" i="3" s="1"/>
  <c r="W874" i="3" a="1"/>
  <c r="W874" i="3" s="1"/>
  <c r="V874" i="3" a="1"/>
  <c r="V874" i="3" s="1"/>
  <c r="Y873" i="3" a="1"/>
  <c r="Y873" i="3" s="1"/>
  <c r="X873" i="3" a="1"/>
  <c r="X873" i="3" s="1"/>
  <c r="W873" i="3" a="1"/>
  <c r="W873" i="3" s="1"/>
  <c r="V873" i="3" a="1"/>
  <c r="V873" i="3" s="1"/>
  <c r="Y872" i="3" a="1"/>
  <c r="Y872" i="3" s="1"/>
  <c r="X872" i="3" a="1"/>
  <c r="X872" i="3" s="1"/>
  <c r="W872" i="3" a="1"/>
  <c r="W872" i="3" s="1"/>
  <c r="V872" i="3" a="1"/>
  <c r="V872" i="3" s="1"/>
  <c r="Y871" i="3" a="1"/>
  <c r="Y871" i="3" s="1"/>
  <c r="X871" i="3" a="1"/>
  <c r="X871" i="3" s="1"/>
  <c r="W871" i="3" a="1"/>
  <c r="W871" i="3" s="1"/>
  <c r="V871" i="3" a="1"/>
  <c r="V871" i="3" s="1"/>
  <c r="Y870" i="3" a="1"/>
  <c r="Y870" i="3" s="1"/>
  <c r="X870" i="3" a="1"/>
  <c r="X870" i="3" s="1"/>
  <c r="W870" i="3" a="1"/>
  <c r="W870" i="3" s="1"/>
  <c r="V870" i="3" a="1"/>
  <c r="V870" i="3" s="1"/>
  <c r="Y869" i="3" a="1"/>
  <c r="Y869" i="3" s="1"/>
  <c r="X869" i="3" a="1"/>
  <c r="X869" i="3" s="1"/>
  <c r="W869" i="3" a="1"/>
  <c r="W869" i="3" s="1"/>
  <c r="V869" i="3" a="1"/>
  <c r="V869" i="3" s="1"/>
  <c r="Y868" i="3" a="1"/>
  <c r="Y868" i="3" s="1"/>
  <c r="X868" i="3" a="1"/>
  <c r="X868" i="3" s="1"/>
  <c r="W868" i="3" a="1"/>
  <c r="W868" i="3" s="1"/>
  <c r="V868" i="3" a="1"/>
  <c r="V868" i="3" s="1"/>
  <c r="Y867" i="3" a="1"/>
  <c r="Y867" i="3" s="1"/>
  <c r="X867" i="3" a="1"/>
  <c r="X867" i="3" s="1"/>
  <c r="W867" i="3" a="1"/>
  <c r="W867" i="3" s="1"/>
  <c r="V867" i="3" a="1"/>
  <c r="V867" i="3" s="1"/>
  <c r="Y866" i="3" a="1"/>
  <c r="Y866" i="3" s="1"/>
  <c r="X866" i="3" a="1"/>
  <c r="X866" i="3" s="1"/>
  <c r="W866" i="3" a="1"/>
  <c r="W866" i="3" s="1"/>
  <c r="V866" i="3" a="1"/>
  <c r="V866" i="3" s="1"/>
  <c r="Y865" i="3" a="1"/>
  <c r="Y865" i="3" s="1"/>
  <c r="X865" i="3" a="1"/>
  <c r="X865" i="3" s="1"/>
  <c r="W865" i="3" a="1"/>
  <c r="W865" i="3" s="1"/>
  <c r="V865" i="3" a="1"/>
  <c r="V865" i="3" s="1"/>
  <c r="Y864" i="3" a="1"/>
  <c r="Y864" i="3" s="1"/>
  <c r="X864" i="3" a="1"/>
  <c r="X864" i="3" s="1"/>
  <c r="W864" i="3" a="1"/>
  <c r="W864" i="3" s="1"/>
  <c r="V864" i="3" a="1"/>
  <c r="V864" i="3" s="1"/>
  <c r="Y863" i="3" a="1"/>
  <c r="Y863" i="3" s="1"/>
  <c r="X863" i="3" a="1"/>
  <c r="X863" i="3" s="1"/>
  <c r="W863" i="3" a="1"/>
  <c r="W863" i="3" s="1"/>
  <c r="V863" i="3" a="1"/>
  <c r="V863" i="3" s="1"/>
  <c r="Y862" i="3" a="1"/>
  <c r="Y862" i="3" s="1"/>
  <c r="X862" i="3" a="1"/>
  <c r="X862" i="3" s="1"/>
  <c r="W862" i="3" a="1"/>
  <c r="W862" i="3" s="1"/>
  <c r="V862" i="3" a="1"/>
  <c r="V862" i="3" s="1"/>
  <c r="Y861" i="3" a="1"/>
  <c r="Y861" i="3" s="1"/>
  <c r="X861" i="3" a="1"/>
  <c r="X861" i="3" s="1"/>
  <c r="W861" i="3" a="1"/>
  <c r="W861" i="3" s="1"/>
  <c r="V861" i="3" a="1"/>
  <c r="V861" i="3" s="1"/>
  <c r="Y860" i="3" a="1"/>
  <c r="Y860" i="3" s="1"/>
  <c r="X860" i="3" a="1"/>
  <c r="X860" i="3" s="1"/>
  <c r="W860" i="3" a="1"/>
  <c r="W860" i="3" s="1"/>
  <c r="V860" i="3" a="1"/>
  <c r="V860" i="3" s="1"/>
  <c r="Y859" i="3" a="1"/>
  <c r="Y859" i="3" s="1"/>
  <c r="X859" i="3" a="1"/>
  <c r="X859" i="3" s="1"/>
  <c r="W859" i="3" a="1"/>
  <c r="W859" i="3" s="1"/>
  <c r="V859" i="3" a="1"/>
  <c r="V859" i="3" s="1"/>
  <c r="Y858" i="3" a="1"/>
  <c r="Y858" i="3" s="1"/>
  <c r="X858" i="3" a="1"/>
  <c r="X858" i="3" s="1"/>
  <c r="W858" i="3" a="1"/>
  <c r="W858" i="3" s="1"/>
  <c r="V858" i="3" a="1"/>
  <c r="V858" i="3" s="1"/>
  <c r="Y857" i="3" a="1"/>
  <c r="Y857" i="3" s="1"/>
  <c r="X857" i="3" a="1"/>
  <c r="X857" i="3" s="1"/>
  <c r="W857" i="3" a="1"/>
  <c r="W857" i="3" s="1"/>
  <c r="V857" i="3" a="1"/>
  <c r="V857" i="3" s="1"/>
  <c r="Y856" i="3" a="1"/>
  <c r="Y856" i="3" s="1"/>
  <c r="X856" i="3" a="1"/>
  <c r="X856" i="3" s="1"/>
  <c r="W856" i="3" a="1"/>
  <c r="W856" i="3" s="1"/>
  <c r="V856" i="3" a="1"/>
  <c r="V856" i="3" s="1"/>
  <c r="Y855" i="3" a="1"/>
  <c r="Y855" i="3" s="1"/>
  <c r="X855" i="3" a="1"/>
  <c r="X855" i="3" s="1"/>
  <c r="W855" i="3" a="1"/>
  <c r="W855" i="3" s="1"/>
  <c r="V855" i="3" a="1"/>
  <c r="V855" i="3" s="1"/>
  <c r="Y854" i="3" a="1"/>
  <c r="Y854" i="3" s="1"/>
  <c r="X854" i="3" a="1"/>
  <c r="X854" i="3" s="1"/>
  <c r="W854" i="3" a="1"/>
  <c r="W854" i="3" s="1"/>
  <c r="V854" i="3" a="1"/>
  <c r="V854" i="3" s="1"/>
  <c r="Y853" i="3" a="1"/>
  <c r="Y853" i="3" s="1"/>
  <c r="X853" i="3" a="1"/>
  <c r="X853" i="3" s="1"/>
  <c r="W853" i="3" a="1"/>
  <c r="W853" i="3" s="1"/>
  <c r="V853" i="3" a="1"/>
  <c r="V853" i="3" s="1"/>
  <c r="Y852" i="3" a="1"/>
  <c r="Y852" i="3" s="1"/>
  <c r="X852" i="3" a="1"/>
  <c r="X852" i="3" s="1"/>
  <c r="W852" i="3" a="1"/>
  <c r="W852" i="3" s="1"/>
  <c r="V852" i="3" a="1"/>
  <c r="V852" i="3" s="1"/>
  <c r="Y851" i="3" a="1"/>
  <c r="Y851" i="3" s="1"/>
  <c r="X851" i="3" a="1"/>
  <c r="X851" i="3" s="1"/>
  <c r="W851" i="3" a="1"/>
  <c r="W851" i="3" s="1"/>
  <c r="V851" i="3" a="1"/>
  <c r="V851" i="3" s="1"/>
  <c r="Y850" i="3" a="1"/>
  <c r="Y850" i="3" s="1"/>
  <c r="X850" i="3" a="1"/>
  <c r="X850" i="3" s="1"/>
  <c r="W850" i="3" a="1"/>
  <c r="W850" i="3" s="1"/>
  <c r="V850" i="3" a="1"/>
  <c r="V850" i="3" s="1"/>
  <c r="Y849" i="3" a="1"/>
  <c r="Y849" i="3" s="1"/>
  <c r="X849" i="3" a="1"/>
  <c r="X849" i="3" s="1"/>
  <c r="W849" i="3" a="1"/>
  <c r="W849" i="3" s="1"/>
  <c r="V849" i="3" a="1"/>
  <c r="V849" i="3" s="1"/>
  <c r="Y848" i="3" a="1"/>
  <c r="Y848" i="3" s="1"/>
  <c r="X848" i="3" a="1"/>
  <c r="X848" i="3" s="1"/>
  <c r="W848" i="3" a="1"/>
  <c r="W848" i="3" s="1"/>
  <c r="V848" i="3" a="1"/>
  <c r="V848" i="3" s="1"/>
  <c r="Y847" i="3" a="1"/>
  <c r="Y847" i="3" s="1"/>
  <c r="X847" i="3" a="1"/>
  <c r="X847" i="3" s="1"/>
  <c r="W847" i="3" a="1"/>
  <c r="W847" i="3" s="1"/>
  <c r="V847" i="3" a="1"/>
  <c r="V847" i="3" s="1"/>
  <c r="Y846" i="3" a="1"/>
  <c r="Y846" i="3" s="1"/>
  <c r="X846" i="3" a="1"/>
  <c r="X846" i="3" s="1"/>
  <c r="W846" i="3" a="1"/>
  <c r="W846" i="3" s="1"/>
  <c r="V846" i="3" a="1"/>
  <c r="V846" i="3" s="1"/>
  <c r="Y845" i="3" a="1"/>
  <c r="Y845" i="3" s="1"/>
  <c r="X845" i="3" a="1"/>
  <c r="X845" i="3" s="1"/>
  <c r="W845" i="3" a="1"/>
  <c r="W845" i="3" s="1"/>
  <c r="V845" i="3" a="1"/>
  <c r="V845" i="3" s="1"/>
  <c r="Y844" i="3" a="1"/>
  <c r="Y844" i="3" s="1"/>
  <c r="X844" i="3" a="1"/>
  <c r="X844" i="3" s="1"/>
  <c r="W844" i="3" a="1"/>
  <c r="W844" i="3" s="1"/>
  <c r="V844" i="3" a="1"/>
  <c r="V844" i="3" s="1"/>
  <c r="Y843" i="3" a="1"/>
  <c r="Y843" i="3" s="1"/>
  <c r="X843" i="3" a="1"/>
  <c r="X843" i="3" s="1"/>
  <c r="W843" i="3" a="1"/>
  <c r="W843" i="3" s="1"/>
  <c r="V843" i="3" a="1"/>
  <c r="V843" i="3" s="1"/>
  <c r="Y842" i="3" a="1"/>
  <c r="Y842" i="3" s="1"/>
  <c r="X842" i="3" a="1"/>
  <c r="X842" i="3" s="1"/>
  <c r="W842" i="3" a="1"/>
  <c r="W842" i="3" s="1"/>
  <c r="V842" i="3" a="1"/>
  <c r="V842" i="3" s="1"/>
  <c r="Y841" i="3" a="1"/>
  <c r="Y841" i="3" s="1"/>
  <c r="X841" i="3" a="1"/>
  <c r="X841" i="3" s="1"/>
  <c r="W841" i="3" a="1"/>
  <c r="W841" i="3" s="1"/>
  <c r="V841" i="3" a="1"/>
  <c r="V841" i="3" s="1"/>
  <c r="Y840" i="3" a="1"/>
  <c r="Y840" i="3" s="1"/>
  <c r="X840" i="3" a="1"/>
  <c r="X840" i="3" s="1"/>
  <c r="W840" i="3" a="1"/>
  <c r="W840" i="3" s="1"/>
  <c r="V840" i="3" a="1"/>
  <c r="V840" i="3" s="1"/>
  <c r="Y839" i="3" a="1"/>
  <c r="Y839" i="3" s="1"/>
  <c r="X839" i="3" a="1"/>
  <c r="X839" i="3" s="1"/>
  <c r="W839" i="3" a="1"/>
  <c r="W839" i="3" s="1"/>
  <c r="V839" i="3" a="1"/>
  <c r="V839" i="3" s="1"/>
  <c r="Y838" i="3" a="1"/>
  <c r="Y838" i="3" s="1"/>
  <c r="X838" i="3" a="1"/>
  <c r="X838" i="3" s="1"/>
  <c r="W838" i="3" a="1"/>
  <c r="W838" i="3" s="1"/>
  <c r="V838" i="3" a="1"/>
  <c r="V838" i="3" s="1"/>
  <c r="Y837" i="3" a="1"/>
  <c r="Y837" i="3" s="1"/>
  <c r="X837" i="3" a="1"/>
  <c r="X837" i="3" s="1"/>
  <c r="W837" i="3" a="1"/>
  <c r="W837" i="3" s="1"/>
  <c r="V837" i="3" a="1"/>
  <c r="V837" i="3" s="1"/>
  <c r="Y836" i="3" a="1"/>
  <c r="Y836" i="3" s="1"/>
  <c r="X836" i="3" a="1"/>
  <c r="X836" i="3" s="1"/>
  <c r="W836" i="3" a="1"/>
  <c r="W836" i="3" s="1"/>
  <c r="V836" i="3" a="1"/>
  <c r="V836" i="3" s="1"/>
  <c r="Y835" i="3" a="1"/>
  <c r="Y835" i="3" s="1"/>
  <c r="X835" i="3" a="1"/>
  <c r="X835" i="3" s="1"/>
  <c r="W835" i="3" a="1"/>
  <c r="W835" i="3" s="1"/>
  <c r="V835" i="3" a="1"/>
  <c r="V835" i="3" s="1"/>
  <c r="Y834" i="3" a="1"/>
  <c r="Y834" i="3" s="1"/>
  <c r="X834" i="3" a="1"/>
  <c r="X834" i="3" s="1"/>
  <c r="W834" i="3" a="1"/>
  <c r="W834" i="3" s="1"/>
  <c r="V834" i="3" a="1"/>
  <c r="V834" i="3" s="1"/>
  <c r="Y833" i="3" a="1"/>
  <c r="Y833" i="3" s="1"/>
  <c r="X833" i="3" a="1"/>
  <c r="X833" i="3" s="1"/>
  <c r="W833" i="3" a="1"/>
  <c r="W833" i="3" s="1"/>
  <c r="V833" i="3" a="1"/>
  <c r="V833" i="3" s="1"/>
  <c r="Y832" i="3" a="1"/>
  <c r="Y832" i="3" s="1"/>
  <c r="X832" i="3" a="1"/>
  <c r="X832" i="3" s="1"/>
  <c r="W832" i="3" a="1"/>
  <c r="W832" i="3" s="1"/>
  <c r="V832" i="3" a="1"/>
  <c r="V832" i="3" s="1"/>
  <c r="Y831" i="3" a="1"/>
  <c r="Y831" i="3" s="1"/>
  <c r="X831" i="3" a="1"/>
  <c r="X831" i="3" s="1"/>
  <c r="W831" i="3" a="1"/>
  <c r="W831" i="3" s="1"/>
  <c r="V831" i="3" a="1"/>
  <c r="V831" i="3" s="1"/>
  <c r="Y830" i="3" a="1"/>
  <c r="Y830" i="3" s="1"/>
  <c r="X830" i="3" a="1"/>
  <c r="X830" i="3" s="1"/>
  <c r="W830" i="3" a="1"/>
  <c r="W830" i="3" s="1"/>
  <c r="V830" i="3" a="1"/>
  <c r="V830" i="3" s="1"/>
  <c r="Y829" i="3" a="1"/>
  <c r="Y829" i="3" s="1"/>
  <c r="X829" i="3" a="1"/>
  <c r="X829" i="3" s="1"/>
  <c r="W829" i="3" a="1"/>
  <c r="W829" i="3" s="1"/>
  <c r="V829" i="3" a="1"/>
  <c r="V829" i="3" s="1"/>
  <c r="Y828" i="3" a="1"/>
  <c r="Y828" i="3" s="1"/>
  <c r="X828" i="3" a="1"/>
  <c r="X828" i="3" s="1"/>
  <c r="W828" i="3" a="1"/>
  <c r="W828" i="3" s="1"/>
  <c r="V828" i="3" a="1"/>
  <c r="V828" i="3" s="1"/>
  <c r="Y827" i="3" a="1"/>
  <c r="Y827" i="3" s="1"/>
  <c r="X827" i="3" a="1"/>
  <c r="X827" i="3" s="1"/>
  <c r="W827" i="3" a="1"/>
  <c r="W827" i="3" s="1"/>
  <c r="V827" i="3" a="1"/>
  <c r="V827" i="3" s="1"/>
  <c r="Y826" i="3" a="1"/>
  <c r="Y826" i="3" s="1"/>
  <c r="X826" i="3" a="1"/>
  <c r="X826" i="3" s="1"/>
  <c r="W826" i="3" a="1"/>
  <c r="W826" i="3" s="1"/>
  <c r="V826" i="3" a="1"/>
  <c r="V826" i="3" s="1"/>
  <c r="Y825" i="3" a="1"/>
  <c r="Y825" i="3" s="1"/>
  <c r="X825" i="3" a="1"/>
  <c r="X825" i="3" s="1"/>
  <c r="W825" i="3" a="1"/>
  <c r="W825" i="3" s="1"/>
  <c r="V825" i="3" a="1"/>
  <c r="V825" i="3" s="1"/>
  <c r="Y824" i="3" a="1"/>
  <c r="Y824" i="3" s="1"/>
  <c r="X824" i="3" a="1"/>
  <c r="X824" i="3" s="1"/>
  <c r="W824" i="3" a="1"/>
  <c r="W824" i="3" s="1"/>
  <c r="V824" i="3" a="1"/>
  <c r="V824" i="3" s="1"/>
  <c r="Y823" i="3" a="1"/>
  <c r="Y823" i="3" s="1"/>
  <c r="X823" i="3" a="1"/>
  <c r="X823" i="3" s="1"/>
  <c r="W823" i="3" a="1"/>
  <c r="W823" i="3" s="1"/>
  <c r="V823" i="3" a="1"/>
  <c r="V823" i="3" s="1"/>
  <c r="Y822" i="3" a="1"/>
  <c r="Y822" i="3" s="1"/>
  <c r="X822" i="3" a="1"/>
  <c r="X822" i="3" s="1"/>
  <c r="W822" i="3" a="1"/>
  <c r="W822" i="3" s="1"/>
  <c r="V822" i="3" a="1"/>
  <c r="V822" i="3" s="1"/>
  <c r="Y821" i="3" a="1"/>
  <c r="Y821" i="3" s="1"/>
  <c r="X821" i="3" a="1"/>
  <c r="X821" i="3" s="1"/>
  <c r="W821" i="3" a="1"/>
  <c r="W821" i="3" s="1"/>
  <c r="V821" i="3" a="1"/>
  <c r="V821" i="3" s="1"/>
  <c r="Y820" i="3" a="1"/>
  <c r="Y820" i="3" s="1"/>
  <c r="X820" i="3" a="1"/>
  <c r="X820" i="3" s="1"/>
  <c r="W820" i="3" a="1"/>
  <c r="W820" i="3" s="1"/>
  <c r="V820" i="3" a="1"/>
  <c r="V820" i="3" s="1"/>
  <c r="Y819" i="3" a="1"/>
  <c r="Y819" i="3" s="1"/>
  <c r="X819" i="3" a="1"/>
  <c r="X819" i="3" s="1"/>
  <c r="W819" i="3" a="1"/>
  <c r="W819" i="3" s="1"/>
  <c r="V819" i="3" a="1"/>
  <c r="V819" i="3" s="1"/>
  <c r="Y818" i="3" a="1"/>
  <c r="Y818" i="3" s="1"/>
  <c r="X818" i="3" a="1"/>
  <c r="X818" i="3" s="1"/>
  <c r="W818" i="3" a="1"/>
  <c r="W818" i="3" s="1"/>
  <c r="V818" i="3" a="1"/>
  <c r="V818" i="3" s="1"/>
  <c r="Y817" i="3" a="1"/>
  <c r="Y817" i="3" s="1"/>
  <c r="X817" i="3" a="1"/>
  <c r="X817" i="3" s="1"/>
  <c r="W817" i="3" a="1"/>
  <c r="W817" i="3" s="1"/>
  <c r="V817" i="3" a="1"/>
  <c r="V817" i="3" s="1"/>
  <c r="Y816" i="3" a="1"/>
  <c r="Y816" i="3" s="1"/>
  <c r="X816" i="3" a="1"/>
  <c r="X816" i="3" s="1"/>
  <c r="W816" i="3" a="1"/>
  <c r="W816" i="3" s="1"/>
  <c r="V816" i="3" a="1"/>
  <c r="V816" i="3" s="1"/>
  <c r="Y815" i="3" a="1"/>
  <c r="Y815" i="3" s="1"/>
  <c r="X815" i="3" a="1"/>
  <c r="X815" i="3" s="1"/>
  <c r="W815" i="3" a="1"/>
  <c r="W815" i="3" s="1"/>
  <c r="V815" i="3" a="1"/>
  <c r="V815" i="3" s="1"/>
  <c r="Y814" i="3" a="1"/>
  <c r="Y814" i="3" s="1"/>
  <c r="X814" i="3" a="1"/>
  <c r="X814" i="3" s="1"/>
  <c r="W814" i="3" a="1"/>
  <c r="W814" i="3" s="1"/>
  <c r="V814" i="3" a="1"/>
  <c r="V814" i="3" s="1"/>
  <c r="Y813" i="3" a="1"/>
  <c r="Y813" i="3" s="1"/>
  <c r="X813" i="3" a="1"/>
  <c r="X813" i="3" s="1"/>
  <c r="W813" i="3" a="1"/>
  <c r="W813" i="3" s="1"/>
  <c r="V813" i="3" a="1"/>
  <c r="V813" i="3" s="1"/>
  <c r="Y812" i="3" a="1"/>
  <c r="Y812" i="3" s="1"/>
  <c r="X812" i="3" a="1"/>
  <c r="X812" i="3" s="1"/>
  <c r="W812" i="3" a="1"/>
  <c r="W812" i="3" s="1"/>
  <c r="V812" i="3" a="1"/>
  <c r="V812" i="3" s="1"/>
  <c r="Y811" i="3" a="1"/>
  <c r="Y811" i="3" s="1"/>
  <c r="X811" i="3" a="1"/>
  <c r="X811" i="3" s="1"/>
  <c r="W811" i="3" a="1"/>
  <c r="W811" i="3" s="1"/>
  <c r="V811" i="3" a="1"/>
  <c r="V811" i="3" s="1"/>
  <c r="Y810" i="3" a="1"/>
  <c r="Y810" i="3" s="1"/>
  <c r="X810" i="3" a="1"/>
  <c r="X810" i="3" s="1"/>
  <c r="W810" i="3" a="1"/>
  <c r="W810" i="3" s="1"/>
  <c r="V810" i="3" a="1"/>
  <c r="V810" i="3" s="1"/>
  <c r="Y809" i="3" a="1"/>
  <c r="Y809" i="3" s="1"/>
  <c r="X809" i="3" a="1"/>
  <c r="X809" i="3" s="1"/>
  <c r="W809" i="3" a="1"/>
  <c r="W809" i="3" s="1"/>
  <c r="V809" i="3" a="1"/>
  <c r="V809" i="3" s="1"/>
  <c r="Y808" i="3" a="1"/>
  <c r="Y808" i="3" s="1"/>
  <c r="X808" i="3" a="1"/>
  <c r="X808" i="3" s="1"/>
  <c r="W808" i="3" a="1"/>
  <c r="W808" i="3" s="1"/>
  <c r="V808" i="3" a="1"/>
  <c r="V808" i="3" s="1"/>
  <c r="Y807" i="3" a="1"/>
  <c r="Y807" i="3" s="1"/>
  <c r="X807" i="3" a="1"/>
  <c r="X807" i="3" s="1"/>
  <c r="W807" i="3" a="1"/>
  <c r="W807" i="3" s="1"/>
  <c r="V807" i="3" a="1"/>
  <c r="V807" i="3" s="1"/>
  <c r="Y806" i="3" a="1"/>
  <c r="Y806" i="3" s="1"/>
  <c r="X806" i="3" a="1"/>
  <c r="X806" i="3" s="1"/>
  <c r="W806" i="3" a="1"/>
  <c r="W806" i="3" s="1"/>
  <c r="V806" i="3" a="1"/>
  <c r="V806" i="3" s="1"/>
  <c r="Y805" i="3" a="1"/>
  <c r="Y805" i="3" s="1"/>
  <c r="X805" i="3" a="1"/>
  <c r="X805" i="3" s="1"/>
  <c r="W805" i="3" a="1"/>
  <c r="W805" i="3" s="1"/>
  <c r="V805" i="3" a="1"/>
  <c r="V805" i="3" s="1"/>
  <c r="Y804" i="3" a="1"/>
  <c r="Y804" i="3" s="1"/>
  <c r="X804" i="3" a="1"/>
  <c r="X804" i="3" s="1"/>
  <c r="W804" i="3" a="1"/>
  <c r="W804" i="3" s="1"/>
  <c r="V804" i="3" a="1"/>
  <c r="V804" i="3" s="1"/>
  <c r="Y803" i="3" a="1"/>
  <c r="Y803" i="3" s="1"/>
  <c r="X803" i="3" a="1"/>
  <c r="X803" i="3" s="1"/>
  <c r="W803" i="3" a="1"/>
  <c r="W803" i="3" s="1"/>
  <c r="V803" i="3" a="1"/>
  <c r="V803" i="3" s="1"/>
  <c r="Y802" i="3" a="1"/>
  <c r="Y802" i="3" s="1"/>
  <c r="X802" i="3" a="1"/>
  <c r="X802" i="3" s="1"/>
  <c r="W802" i="3" a="1"/>
  <c r="W802" i="3" s="1"/>
  <c r="V802" i="3" a="1"/>
  <c r="V802" i="3" s="1"/>
  <c r="Y801" i="3" a="1"/>
  <c r="Y801" i="3" s="1"/>
  <c r="X801" i="3" a="1"/>
  <c r="X801" i="3" s="1"/>
  <c r="W801" i="3" a="1"/>
  <c r="W801" i="3" s="1"/>
  <c r="V801" i="3" a="1"/>
  <c r="V801" i="3" s="1"/>
  <c r="Y800" i="3" a="1"/>
  <c r="Y800" i="3" s="1"/>
  <c r="X800" i="3" a="1"/>
  <c r="X800" i="3" s="1"/>
  <c r="W800" i="3" a="1"/>
  <c r="W800" i="3" s="1"/>
  <c r="V800" i="3" a="1"/>
  <c r="V800" i="3" s="1"/>
  <c r="Y799" i="3" a="1"/>
  <c r="Y799" i="3" s="1"/>
  <c r="X799" i="3" a="1"/>
  <c r="X799" i="3" s="1"/>
  <c r="W799" i="3" a="1"/>
  <c r="W799" i="3" s="1"/>
  <c r="V799" i="3" a="1"/>
  <c r="V799" i="3" s="1"/>
  <c r="Y798" i="3" a="1"/>
  <c r="Y798" i="3" s="1"/>
  <c r="X798" i="3" a="1"/>
  <c r="X798" i="3" s="1"/>
  <c r="W798" i="3" a="1"/>
  <c r="W798" i="3" s="1"/>
  <c r="V798" i="3" a="1"/>
  <c r="V798" i="3" s="1"/>
  <c r="Y797" i="3" a="1"/>
  <c r="Y797" i="3" s="1"/>
  <c r="X797" i="3" a="1"/>
  <c r="X797" i="3" s="1"/>
  <c r="W797" i="3" a="1"/>
  <c r="W797" i="3" s="1"/>
  <c r="V797" i="3" a="1"/>
  <c r="V797" i="3" s="1"/>
  <c r="Y796" i="3" a="1"/>
  <c r="Y796" i="3" s="1"/>
  <c r="X796" i="3" a="1"/>
  <c r="X796" i="3" s="1"/>
  <c r="W796" i="3" a="1"/>
  <c r="W796" i="3" s="1"/>
  <c r="V796" i="3" a="1"/>
  <c r="V796" i="3" s="1"/>
  <c r="Y795" i="3" a="1"/>
  <c r="Y795" i="3" s="1"/>
  <c r="X795" i="3" a="1"/>
  <c r="X795" i="3" s="1"/>
  <c r="W795" i="3" a="1"/>
  <c r="W795" i="3" s="1"/>
  <c r="V795" i="3" a="1"/>
  <c r="V795" i="3" s="1"/>
  <c r="Y794" i="3" a="1"/>
  <c r="Y794" i="3" s="1"/>
  <c r="X794" i="3" a="1"/>
  <c r="X794" i="3" s="1"/>
  <c r="W794" i="3" a="1"/>
  <c r="W794" i="3" s="1"/>
  <c r="V794" i="3" a="1"/>
  <c r="V794" i="3" s="1"/>
  <c r="Y793" i="3" a="1"/>
  <c r="Y793" i="3" s="1"/>
  <c r="X793" i="3" a="1"/>
  <c r="X793" i="3" s="1"/>
  <c r="W793" i="3" a="1"/>
  <c r="W793" i="3" s="1"/>
  <c r="V793" i="3" a="1"/>
  <c r="V793" i="3" s="1"/>
  <c r="Y792" i="3" a="1"/>
  <c r="Y792" i="3" s="1"/>
  <c r="X792" i="3" a="1"/>
  <c r="X792" i="3" s="1"/>
  <c r="W792" i="3" a="1"/>
  <c r="W792" i="3" s="1"/>
  <c r="V792" i="3" a="1"/>
  <c r="V792" i="3" s="1"/>
  <c r="Y791" i="3" a="1"/>
  <c r="Y791" i="3" s="1"/>
  <c r="X791" i="3" a="1"/>
  <c r="X791" i="3" s="1"/>
  <c r="W791" i="3" a="1"/>
  <c r="W791" i="3" s="1"/>
  <c r="V791" i="3" a="1"/>
  <c r="V791" i="3" s="1"/>
  <c r="Y790" i="3" a="1"/>
  <c r="Y790" i="3" s="1"/>
  <c r="X790" i="3" a="1"/>
  <c r="X790" i="3" s="1"/>
  <c r="W790" i="3" a="1"/>
  <c r="W790" i="3" s="1"/>
  <c r="V790" i="3" a="1"/>
  <c r="V790" i="3" s="1"/>
  <c r="Y789" i="3" a="1"/>
  <c r="Y789" i="3" s="1"/>
  <c r="X789" i="3" a="1"/>
  <c r="X789" i="3" s="1"/>
  <c r="W789" i="3" a="1"/>
  <c r="W789" i="3" s="1"/>
  <c r="V789" i="3" a="1"/>
  <c r="V789" i="3" s="1"/>
  <c r="Y788" i="3" a="1"/>
  <c r="Y788" i="3" s="1"/>
  <c r="X788" i="3" a="1"/>
  <c r="X788" i="3" s="1"/>
  <c r="W788" i="3" a="1"/>
  <c r="W788" i="3" s="1"/>
  <c r="V788" i="3" a="1"/>
  <c r="V788" i="3" s="1"/>
  <c r="Y787" i="3" a="1"/>
  <c r="Y787" i="3" s="1"/>
  <c r="X787" i="3" a="1"/>
  <c r="X787" i="3" s="1"/>
  <c r="W787" i="3" a="1"/>
  <c r="W787" i="3" s="1"/>
  <c r="V787" i="3" a="1"/>
  <c r="V787" i="3" s="1"/>
  <c r="Y786" i="3" a="1"/>
  <c r="Y786" i="3" s="1"/>
  <c r="X786" i="3" a="1"/>
  <c r="X786" i="3" s="1"/>
  <c r="W786" i="3" a="1"/>
  <c r="W786" i="3" s="1"/>
  <c r="V786" i="3" a="1"/>
  <c r="V786" i="3" s="1"/>
  <c r="Y785" i="3" a="1"/>
  <c r="Y785" i="3" s="1"/>
  <c r="X785" i="3" a="1"/>
  <c r="X785" i="3" s="1"/>
  <c r="W785" i="3" a="1"/>
  <c r="W785" i="3" s="1"/>
  <c r="V785" i="3" a="1"/>
  <c r="V785" i="3" s="1"/>
  <c r="Y784" i="3" a="1"/>
  <c r="Y784" i="3" s="1"/>
  <c r="X784" i="3" a="1"/>
  <c r="X784" i="3" s="1"/>
  <c r="W784" i="3" a="1"/>
  <c r="W784" i="3" s="1"/>
  <c r="V784" i="3" a="1"/>
  <c r="V784" i="3" s="1"/>
  <c r="Y783" i="3" a="1"/>
  <c r="Y783" i="3" s="1"/>
  <c r="X783" i="3" a="1"/>
  <c r="X783" i="3" s="1"/>
  <c r="W783" i="3" a="1"/>
  <c r="W783" i="3" s="1"/>
  <c r="V783" i="3" a="1"/>
  <c r="V783" i="3" s="1"/>
  <c r="Y782" i="3" a="1"/>
  <c r="Y782" i="3" s="1"/>
  <c r="X782" i="3" a="1"/>
  <c r="X782" i="3" s="1"/>
  <c r="W782" i="3" a="1"/>
  <c r="W782" i="3" s="1"/>
  <c r="V782" i="3" a="1"/>
  <c r="V782" i="3" s="1"/>
  <c r="Y781" i="3" a="1"/>
  <c r="Y781" i="3" s="1"/>
  <c r="X781" i="3" a="1"/>
  <c r="X781" i="3" s="1"/>
  <c r="W781" i="3" a="1"/>
  <c r="W781" i="3" s="1"/>
  <c r="V781" i="3" a="1"/>
  <c r="V781" i="3" s="1"/>
  <c r="Y780" i="3" a="1"/>
  <c r="Y780" i="3" s="1"/>
  <c r="X780" i="3" a="1"/>
  <c r="X780" i="3" s="1"/>
  <c r="W780" i="3" a="1"/>
  <c r="W780" i="3" s="1"/>
  <c r="V780" i="3" a="1"/>
  <c r="V780" i="3" s="1"/>
  <c r="Y779" i="3" a="1"/>
  <c r="Y779" i="3" s="1"/>
  <c r="X779" i="3" a="1"/>
  <c r="X779" i="3" s="1"/>
  <c r="W779" i="3" a="1"/>
  <c r="W779" i="3" s="1"/>
  <c r="V779" i="3" a="1"/>
  <c r="V779" i="3" s="1"/>
  <c r="Y778" i="3" a="1"/>
  <c r="Y778" i="3" s="1"/>
  <c r="X778" i="3" a="1"/>
  <c r="X778" i="3" s="1"/>
  <c r="W778" i="3" a="1"/>
  <c r="W778" i="3" s="1"/>
  <c r="V778" i="3" a="1"/>
  <c r="V778" i="3" s="1"/>
  <c r="Y777" i="3" a="1"/>
  <c r="Y777" i="3" s="1"/>
  <c r="X777" i="3" a="1"/>
  <c r="X777" i="3" s="1"/>
  <c r="W777" i="3" a="1"/>
  <c r="W777" i="3" s="1"/>
  <c r="V777" i="3" a="1"/>
  <c r="V777" i="3" s="1"/>
  <c r="Y776" i="3" a="1"/>
  <c r="Y776" i="3" s="1"/>
  <c r="X776" i="3" a="1"/>
  <c r="X776" i="3" s="1"/>
  <c r="W776" i="3" a="1"/>
  <c r="W776" i="3" s="1"/>
  <c r="V776" i="3" a="1"/>
  <c r="V776" i="3" s="1"/>
  <c r="Y775" i="3" a="1"/>
  <c r="Y775" i="3" s="1"/>
  <c r="X775" i="3" a="1"/>
  <c r="X775" i="3" s="1"/>
  <c r="W775" i="3" a="1"/>
  <c r="W775" i="3" s="1"/>
  <c r="V775" i="3" a="1"/>
  <c r="V775" i="3" s="1"/>
  <c r="Y774" i="3" a="1"/>
  <c r="Y774" i="3" s="1"/>
  <c r="X774" i="3" a="1"/>
  <c r="X774" i="3" s="1"/>
  <c r="W774" i="3" a="1"/>
  <c r="W774" i="3" s="1"/>
  <c r="V774" i="3" a="1"/>
  <c r="V774" i="3" s="1"/>
  <c r="Y773" i="3" a="1"/>
  <c r="Y773" i="3" s="1"/>
  <c r="X773" i="3" a="1"/>
  <c r="X773" i="3" s="1"/>
  <c r="W773" i="3" a="1"/>
  <c r="W773" i="3" s="1"/>
  <c r="V773" i="3" a="1"/>
  <c r="V773" i="3" s="1"/>
  <c r="Y772" i="3" a="1"/>
  <c r="Y772" i="3" s="1"/>
  <c r="X772" i="3" a="1"/>
  <c r="X772" i="3" s="1"/>
  <c r="W772" i="3" a="1"/>
  <c r="W772" i="3" s="1"/>
  <c r="V772" i="3" a="1"/>
  <c r="V772" i="3" s="1"/>
  <c r="Y771" i="3" a="1"/>
  <c r="Y771" i="3" s="1"/>
  <c r="X771" i="3" a="1"/>
  <c r="X771" i="3" s="1"/>
  <c r="W771" i="3" a="1"/>
  <c r="W771" i="3" s="1"/>
  <c r="V771" i="3" a="1"/>
  <c r="V771" i="3" s="1"/>
  <c r="Y770" i="3" a="1"/>
  <c r="Y770" i="3" s="1"/>
  <c r="X770" i="3" a="1"/>
  <c r="X770" i="3" s="1"/>
  <c r="W770" i="3" a="1"/>
  <c r="W770" i="3" s="1"/>
  <c r="V770" i="3" a="1"/>
  <c r="V770" i="3" s="1"/>
  <c r="Y769" i="3" a="1"/>
  <c r="Y769" i="3" s="1"/>
  <c r="X769" i="3" a="1"/>
  <c r="X769" i="3" s="1"/>
  <c r="W769" i="3" a="1"/>
  <c r="W769" i="3" s="1"/>
  <c r="V769" i="3" a="1"/>
  <c r="V769" i="3" s="1"/>
  <c r="Y768" i="3" a="1"/>
  <c r="Y768" i="3" s="1"/>
  <c r="X768" i="3" a="1"/>
  <c r="X768" i="3" s="1"/>
  <c r="W768" i="3" a="1"/>
  <c r="W768" i="3" s="1"/>
  <c r="V768" i="3" a="1"/>
  <c r="V768" i="3" s="1"/>
  <c r="Y767" i="3" a="1"/>
  <c r="Y767" i="3" s="1"/>
  <c r="X767" i="3" a="1"/>
  <c r="X767" i="3" s="1"/>
  <c r="W767" i="3" a="1"/>
  <c r="W767" i="3" s="1"/>
  <c r="V767" i="3" a="1"/>
  <c r="V767" i="3" s="1"/>
  <c r="Y766" i="3" a="1"/>
  <c r="Y766" i="3" s="1"/>
  <c r="X766" i="3" a="1"/>
  <c r="X766" i="3" s="1"/>
  <c r="W766" i="3" a="1"/>
  <c r="W766" i="3" s="1"/>
  <c r="V766" i="3" a="1"/>
  <c r="V766" i="3" s="1"/>
  <c r="Y765" i="3" a="1"/>
  <c r="Y765" i="3" s="1"/>
  <c r="X765" i="3" a="1"/>
  <c r="X765" i="3" s="1"/>
  <c r="W765" i="3" a="1"/>
  <c r="W765" i="3" s="1"/>
  <c r="V765" i="3" a="1"/>
  <c r="V765" i="3" s="1"/>
  <c r="Y764" i="3" a="1"/>
  <c r="Y764" i="3" s="1"/>
  <c r="X764" i="3" a="1"/>
  <c r="X764" i="3" s="1"/>
  <c r="W764" i="3" a="1"/>
  <c r="W764" i="3" s="1"/>
  <c r="V764" i="3" a="1"/>
  <c r="V764" i="3" s="1"/>
  <c r="Y763" i="3" a="1"/>
  <c r="Y763" i="3" s="1"/>
  <c r="X763" i="3" a="1"/>
  <c r="X763" i="3" s="1"/>
  <c r="W763" i="3" a="1"/>
  <c r="W763" i="3" s="1"/>
  <c r="V763" i="3" a="1"/>
  <c r="V763" i="3" s="1"/>
  <c r="Y762" i="3" a="1"/>
  <c r="Y762" i="3" s="1"/>
  <c r="X762" i="3" a="1"/>
  <c r="X762" i="3" s="1"/>
  <c r="W762" i="3" a="1"/>
  <c r="W762" i="3" s="1"/>
  <c r="V762" i="3" a="1"/>
  <c r="V762" i="3" s="1"/>
  <c r="Y761" i="3" a="1"/>
  <c r="Y761" i="3" s="1"/>
  <c r="X761" i="3" a="1"/>
  <c r="X761" i="3" s="1"/>
  <c r="W761" i="3" a="1"/>
  <c r="W761" i="3" s="1"/>
  <c r="V761" i="3" a="1"/>
  <c r="V761" i="3" s="1"/>
  <c r="Y760" i="3" a="1"/>
  <c r="Y760" i="3" s="1"/>
  <c r="X760" i="3" a="1"/>
  <c r="X760" i="3" s="1"/>
  <c r="W760" i="3" a="1"/>
  <c r="W760" i="3" s="1"/>
  <c r="V760" i="3" a="1"/>
  <c r="V760" i="3" s="1"/>
  <c r="Y759" i="3" a="1"/>
  <c r="Y759" i="3" s="1"/>
  <c r="X759" i="3" a="1"/>
  <c r="X759" i="3" s="1"/>
  <c r="W759" i="3" a="1"/>
  <c r="W759" i="3" s="1"/>
  <c r="V759" i="3" a="1"/>
  <c r="V759" i="3" s="1"/>
  <c r="Y758" i="3" a="1"/>
  <c r="Y758" i="3" s="1"/>
  <c r="X758" i="3" a="1"/>
  <c r="X758" i="3" s="1"/>
  <c r="W758" i="3" a="1"/>
  <c r="W758" i="3" s="1"/>
  <c r="V758" i="3" a="1"/>
  <c r="V758" i="3" s="1"/>
  <c r="Y757" i="3" a="1"/>
  <c r="Y757" i="3" s="1"/>
  <c r="X757" i="3" a="1"/>
  <c r="X757" i="3" s="1"/>
  <c r="W757" i="3" a="1"/>
  <c r="W757" i="3" s="1"/>
  <c r="V757" i="3" a="1"/>
  <c r="V757" i="3" s="1"/>
  <c r="Y756" i="3" a="1"/>
  <c r="Y756" i="3" s="1"/>
  <c r="X756" i="3" a="1"/>
  <c r="X756" i="3" s="1"/>
  <c r="W756" i="3" a="1"/>
  <c r="W756" i="3" s="1"/>
  <c r="V756" i="3" a="1"/>
  <c r="V756" i="3" s="1"/>
  <c r="Y755" i="3" a="1"/>
  <c r="Y755" i="3" s="1"/>
  <c r="X755" i="3" a="1"/>
  <c r="X755" i="3" s="1"/>
  <c r="W755" i="3" a="1"/>
  <c r="W755" i="3" s="1"/>
  <c r="V755" i="3" a="1"/>
  <c r="V755" i="3" s="1"/>
  <c r="Y754" i="3" a="1"/>
  <c r="Y754" i="3" s="1"/>
  <c r="X754" i="3" a="1"/>
  <c r="X754" i="3" s="1"/>
  <c r="W754" i="3" a="1"/>
  <c r="W754" i="3" s="1"/>
  <c r="V754" i="3" a="1"/>
  <c r="V754" i="3" s="1"/>
  <c r="Y753" i="3" a="1"/>
  <c r="Y753" i="3" s="1"/>
  <c r="X753" i="3" a="1"/>
  <c r="X753" i="3" s="1"/>
  <c r="W753" i="3" a="1"/>
  <c r="W753" i="3" s="1"/>
  <c r="V753" i="3" a="1"/>
  <c r="V753" i="3" s="1"/>
  <c r="Y752" i="3" a="1"/>
  <c r="Y752" i="3" s="1"/>
  <c r="X752" i="3" a="1"/>
  <c r="X752" i="3" s="1"/>
  <c r="W752" i="3" a="1"/>
  <c r="W752" i="3" s="1"/>
  <c r="V752" i="3" a="1"/>
  <c r="V752" i="3" s="1"/>
  <c r="Y751" i="3" a="1"/>
  <c r="Y751" i="3" s="1"/>
  <c r="X751" i="3" a="1"/>
  <c r="X751" i="3" s="1"/>
  <c r="W751" i="3" a="1"/>
  <c r="W751" i="3" s="1"/>
  <c r="V751" i="3" a="1"/>
  <c r="V751" i="3" s="1"/>
  <c r="Y750" i="3" a="1"/>
  <c r="Y750" i="3" s="1"/>
  <c r="X750" i="3" a="1"/>
  <c r="X750" i="3" s="1"/>
  <c r="W750" i="3" a="1"/>
  <c r="W750" i="3" s="1"/>
  <c r="V750" i="3" a="1"/>
  <c r="V750" i="3" s="1"/>
  <c r="Y749" i="3" a="1"/>
  <c r="Y749" i="3" s="1"/>
  <c r="X749" i="3" a="1"/>
  <c r="X749" i="3" s="1"/>
  <c r="W749" i="3" a="1"/>
  <c r="W749" i="3" s="1"/>
  <c r="V749" i="3" a="1"/>
  <c r="V749" i="3" s="1"/>
  <c r="Y748" i="3" a="1"/>
  <c r="Y748" i="3" s="1"/>
  <c r="X748" i="3" a="1"/>
  <c r="X748" i="3" s="1"/>
  <c r="W748" i="3" a="1"/>
  <c r="W748" i="3" s="1"/>
  <c r="V748" i="3" a="1"/>
  <c r="V748" i="3" s="1"/>
  <c r="Y747" i="3" a="1"/>
  <c r="Y747" i="3" s="1"/>
  <c r="X747" i="3" a="1"/>
  <c r="X747" i="3" s="1"/>
  <c r="W747" i="3" a="1"/>
  <c r="W747" i="3" s="1"/>
  <c r="V747" i="3" a="1"/>
  <c r="V747" i="3" s="1"/>
  <c r="Y746" i="3" a="1"/>
  <c r="Y746" i="3" s="1"/>
  <c r="X746" i="3" a="1"/>
  <c r="X746" i="3" s="1"/>
  <c r="W746" i="3" a="1"/>
  <c r="W746" i="3" s="1"/>
  <c r="V746" i="3" a="1"/>
  <c r="V746" i="3" s="1"/>
  <c r="Y745" i="3" a="1"/>
  <c r="Y745" i="3" s="1"/>
  <c r="X745" i="3" a="1"/>
  <c r="X745" i="3" s="1"/>
  <c r="W745" i="3" a="1"/>
  <c r="W745" i="3" s="1"/>
  <c r="V745" i="3" a="1"/>
  <c r="V745" i="3" s="1"/>
  <c r="Y744" i="3" a="1"/>
  <c r="Y744" i="3" s="1"/>
  <c r="X744" i="3" a="1"/>
  <c r="X744" i="3" s="1"/>
  <c r="W744" i="3" a="1"/>
  <c r="W744" i="3" s="1"/>
  <c r="V744" i="3" a="1"/>
  <c r="V744" i="3" s="1"/>
  <c r="Y2034" i="3" a="1"/>
  <c r="Y2034" i="3" s="1"/>
  <c r="X2034" i="3" a="1"/>
  <c r="X2034" i="3" s="1"/>
  <c r="W2034" i="3" a="1"/>
  <c r="W2034" i="3" s="1"/>
  <c r="V2034" i="3" a="1"/>
  <c r="V2034" i="3" s="1"/>
  <c r="Y2033" i="3" a="1"/>
  <c r="Y2033" i="3" s="1"/>
  <c r="X2033" i="3" a="1"/>
  <c r="X2033" i="3" s="1"/>
  <c r="W2033" i="3" a="1"/>
  <c r="W2033" i="3" s="1"/>
  <c r="V2033" i="3" a="1"/>
  <c r="V2033" i="3" s="1"/>
  <c r="Y2032" i="3" a="1"/>
  <c r="Y2032" i="3" s="1"/>
  <c r="X2032" i="3" a="1"/>
  <c r="X2032" i="3" s="1"/>
  <c r="W2032" i="3" a="1"/>
  <c r="W2032" i="3" s="1"/>
  <c r="V2032" i="3" a="1"/>
  <c r="V2032" i="3" s="1"/>
  <c r="Y2031" i="3" a="1"/>
  <c r="Y2031" i="3" s="1"/>
  <c r="X2031" i="3" a="1"/>
  <c r="X2031" i="3" s="1"/>
  <c r="W2031" i="3" a="1"/>
  <c r="W2031" i="3" s="1"/>
  <c r="V2031" i="3" a="1"/>
  <c r="V2031" i="3" s="1"/>
  <c r="Y2030" i="3" a="1"/>
  <c r="Y2030" i="3" s="1"/>
  <c r="X2030" i="3" a="1"/>
  <c r="X2030" i="3" s="1"/>
  <c r="W2030" i="3" a="1"/>
  <c r="W2030" i="3" s="1"/>
  <c r="V2030" i="3" a="1"/>
  <c r="V2030" i="3" s="1"/>
  <c r="Y2029" i="3" a="1"/>
  <c r="Y2029" i="3" s="1"/>
  <c r="X2029" i="3" a="1"/>
  <c r="X2029" i="3" s="1"/>
  <c r="W2029" i="3" a="1"/>
  <c r="W2029" i="3" s="1"/>
  <c r="V2029" i="3" a="1"/>
  <c r="V2029" i="3" s="1"/>
  <c r="Y2028" i="3" a="1"/>
  <c r="Y2028" i="3" s="1"/>
  <c r="X2028" i="3" a="1"/>
  <c r="X2028" i="3" s="1"/>
  <c r="W2028" i="3" a="1"/>
  <c r="W2028" i="3" s="1"/>
  <c r="V2028" i="3" a="1"/>
  <c r="V2028" i="3" s="1"/>
  <c r="Y2027" i="3" a="1"/>
  <c r="Y2027" i="3" s="1"/>
  <c r="X2027" i="3" a="1"/>
  <c r="X2027" i="3" s="1"/>
  <c r="W2027" i="3" a="1"/>
  <c r="W2027" i="3" s="1"/>
  <c r="V2027" i="3" a="1"/>
  <c r="V2027" i="3" s="1"/>
  <c r="Y2026" i="3" a="1"/>
  <c r="Y2026" i="3" s="1"/>
  <c r="X2026" i="3" a="1"/>
  <c r="X2026" i="3" s="1"/>
  <c r="W2026" i="3" a="1"/>
  <c r="W2026" i="3" s="1"/>
  <c r="V2026" i="3" a="1"/>
  <c r="V2026" i="3" s="1"/>
  <c r="Y2025" i="3" a="1"/>
  <c r="Y2025" i="3" s="1"/>
  <c r="X2025" i="3" a="1"/>
  <c r="X2025" i="3" s="1"/>
  <c r="W2025" i="3" a="1"/>
  <c r="W2025" i="3" s="1"/>
  <c r="V2025" i="3" a="1"/>
  <c r="V2025" i="3" s="1"/>
  <c r="Y2024" i="3" a="1"/>
  <c r="Y2024" i="3" s="1"/>
  <c r="X2024" i="3" a="1"/>
  <c r="X2024" i="3" s="1"/>
  <c r="W2024" i="3" a="1"/>
  <c r="W2024" i="3" s="1"/>
  <c r="V2024" i="3" a="1"/>
  <c r="V2024" i="3" s="1"/>
  <c r="Y2023" i="3" a="1"/>
  <c r="Y2023" i="3" s="1"/>
  <c r="X2023" i="3" a="1"/>
  <c r="X2023" i="3" s="1"/>
  <c r="W2023" i="3" a="1"/>
  <c r="W2023" i="3" s="1"/>
  <c r="V2023" i="3" a="1"/>
  <c r="V2023" i="3" s="1"/>
  <c r="Y2022" i="3" a="1"/>
  <c r="Y2022" i="3" s="1"/>
  <c r="X2022" i="3" a="1"/>
  <c r="X2022" i="3" s="1"/>
  <c r="W2022" i="3" a="1"/>
  <c r="W2022" i="3" s="1"/>
  <c r="V2022" i="3" a="1"/>
  <c r="V2022" i="3" s="1"/>
  <c r="Y2021" i="3" a="1"/>
  <c r="Y2021" i="3" s="1"/>
  <c r="X2021" i="3" a="1"/>
  <c r="X2021" i="3" s="1"/>
  <c r="W2021" i="3" a="1"/>
  <c r="W2021" i="3" s="1"/>
  <c r="V2021" i="3" a="1"/>
  <c r="V2021" i="3" s="1"/>
  <c r="Y2020" i="3" a="1"/>
  <c r="Y2020" i="3" s="1"/>
  <c r="X2020" i="3" a="1"/>
  <c r="X2020" i="3" s="1"/>
  <c r="W2020" i="3" a="1"/>
  <c r="W2020" i="3" s="1"/>
  <c r="V2020" i="3" a="1"/>
  <c r="V2020" i="3" s="1"/>
  <c r="Y2019" i="3" a="1"/>
  <c r="Y2019" i="3" s="1"/>
  <c r="X2019" i="3" a="1"/>
  <c r="X2019" i="3" s="1"/>
  <c r="W2019" i="3" a="1"/>
  <c r="W2019" i="3" s="1"/>
  <c r="V2019" i="3" a="1"/>
  <c r="V2019" i="3" s="1"/>
  <c r="Y2018" i="3" a="1"/>
  <c r="Y2018" i="3" s="1"/>
  <c r="X2018" i="3" a="1"/>
  <c r="X2018" i="3" s="1"/>
  <c r="W2018" i="3" a="1"/>
  <c r="W2018" i="3" s="1"/>
  <c r="V2018" i="3" a="1"/>
  <c r="V2018" i="3" s="1"/>
  <c r="Y2017" i="3" a="1"/>
  <c r="Y2017" i="3" s="1"/>
  <c r="X2017" i="3" a="1"/>
  <c r="X2017" i="3" s="1"/>
  <c r="W2017" i="3" a="1"/>
  <c r="W2017" i="3" s="1"/>
  <c r="V2017" i="3" a="1"/>
  <c r="V2017" i="3" s="1"/>
  <c r="Y2016" i="3" a="1"/>
  <c r="Y2016" i="3" s="1"/>
  <c r="X2016" i="3" a="1"/>
  <c r="X2016" i="3" s="1"/>
  <c r="W2016" i="3" a="1"/>
  <c r="W2016" i="3" s="1"/>
  <c r="V2016" i="3" a="1"/>
  <c r="V2016" i="3" s="1"/>
  <c r="Y2015" i="3" a="1"/>
  <c r="Y2015" i="3" s="1"/>
  <c r="X2015" i="3" a="1"/>
  <c r="X2015" i="3" s="1"/>
  <c r="W2015" i="3" a="1"/>
  <c r="W2015" i="3" s="1"/>
  <c r="V2015" i="3" a="1"/>
  <c r="V2015" i="3" s="1"/>
  <c r="Y2014" i="3" a="1"/>
  <c r="Y2014" i="3" s="1"/>
  <c r="X2014" i="3" a="1"/>
  <c r="X2014" i="3" s="1"/>
  <c r="W2014" i="3" a="1"/>
  <c r="W2014" i="3" s="1"/>
  <c r="V2014" i="3" a="1"/>
  <c r="V2014" i="3" s="1"/>
  <c r="Y2013" i="3" a="1"/>
  <c r="Y2013" i="3" s="1"/>
  <c r="X2013" i="3" a="1"/>
  <c r="X2013" i="3" s="1"/>
  <c r="W2013" i="3" a="1"/>
  <c r="W2013" i="3" s="1"/>
  <c r="V2013" i="3" a="1"/>
  <c r="V2013" i="3" s="1"/>
  <c r="Y2012" i="3" a="1"/>
  <c r="Y2012" i="3" s="1"/>
  <c r="X2012" i="3" a="1"/>
  <c r="X2012" i="3" s="1"/>
  <c r="W2012" i="3" a="1"/>
  <c r="W2012" i="3" s="1"/>
  <c r="V2012" i="3" a="1"/>
  <c r="V2012" i="3" s="1"/>
  <c r="Y2011" i="3" a="1"/>
  <c r="Y2011" i="3" s="1"/>
  <c r="X2011" i="3" a="1"/>
  <c r="X2011" i="3" s="1"/>
  <c r="W2011" i="3" a="1"/>
  <c r="W2011" i="3" s="1"/>
  <c r="V2011" i="3" a="1"/>
  <c r="V2011" i="3" s="1"/>
  <c r="Y2010" i="3" a="1"/>
  <c r="Y2010" i="3" s="1"/>
  <c r="X2010" i="3" a="1"/>
  <c r="X2010" i="3" s="1"/>
  <c r="W2010" i="3" a="1"/>
  <c r="W2010" i="3" s="1"/>
  <c r="V2010" i="3" a="1"/>
  <c r="V2010" i="3" s="1"/>
  <c r="Y2009" i="3" a="1"/>
  <c r="Y2009" i="3" s="1"/>
  <c r="X2009" i="3" a="1"/>
  <c r="X2009" i="3" s="1"/>
  <c r="W2009" i="3" a="1"/>
  <c r="W2009" i="3" s="1"/>
  <c r="V2009" i="3" a="1"/>
  <c r="V2009" i="3" s="1"/>
  <c r="Y2008" i="3" a="1"/>
  <c r="Y2008" i="3" s="1"/>
  <c r="X2008" i="3" a="1"/>
  <c r="X2008" i="3" s="1"/>
  <c r="W2008" i="3" a="1"/>
  <c r="W2008" i="3" s="1"/>
  <c r="V2008" i="3" a="1"/>
  <c r="V2008" i="3" s="1"/>
  <c r="Y2007" i="3" a="1"/>
  <c r="Y2007" i="3" s="1"/>
  <c r="X2007" i="3" a="1"/>
  <c r="X2007" i="3" s="1"/>
  <c r="W2007" i="3" a="1"/>
  <c r="W2007" i="3" s="1"/>
  <c r="V2007" i="3" a="1"/>
  <c r="V2007" i="3" s="1"/>
  <c r="Y2006" i="3" a="1"/>
  <c r="Y2006" i="3" s="1"/>
  <c r="X2006" i="3" a="1"/>
  <c r="X2006" i="3" s="1"/>
  <c r="W2006" i="3" a="1"/>
  <c r="W2006" i="3" s="1"/>
  <c r="V2006" i="3" a="1"/>
  <c r="V2006" i="3" s="1"/>
  <c r="Y2005" i="3" a="1"/>
  <c r="Y2005" i="3" s="1"/>
  <c r="X2005" i="3" a="1"/>
  <c r="X2005" i="3" s="1"/>
  <c r="W2005" i="3" a="1"/>
  <c r="W2005" i="3" s="1"/>
  <c r="V2005" i="3" a="1"/>
  <c r="V2005" i="3" s="1"/>
  <c r="Y2004" i="3" a="1"/>
  <c r="Y2004" i="3" s="1"/>
  <c r="X2004" i="3" a="1"/>
  <c r="X2004" i="3" s="1"/>
  <c r="W2004" i="3" a="1"/>
  <c r="W2004" i="3" s="1"/>
  <c r="V2004" i="3" a="1"/>
  <c r="V2004" i="3" s="1"/>
  <c r="Y2003" i="3" a="1"/>
  <c r="Y2003" i="3" s="1"/>
  <c r="X2003" i="3" a="1"/>
  <c r="X2003" i="3" s="1"/>
  <c r="W2003" i="3" a="1"/>
  <c r="W2003" i="3" s="1"/>
  <c r="V2003" i="3" a="1"/>
  <c r="V2003" i="3" s="1"/>
  <c r="Y2002" i="3" a="1"/>
  <c r="Y2002" i="3" s="1"/>
  <c r="X2002" i="3" a="1"/>
  <c r="X2002" i="3" s="1"/>
  <c r="W2002" i="3" a="1"/>
  <c r="W2002" i="3" s="1"/>
  <c r="V2002" i="3" a="1"/>
  <c r="V2002" i="3" s="1"/>
  <c r="Y2001" i="3" a="1"/>
  <c r="Y2001" i="3" s="1"/>
  <c r="X2001" i="3" a="1"/>
  <c r="X2001" i="3" s="1"/>
  <c r="W2001" i="3" a="1"/>
  <c r="W2001" i="3" s="1"/>
  <c r="V2001" i="3" a="1"/>
  <c r="V2001" i="3" s="1"/>
  <c r="Y2000" i="3" a="1"/>
  <c r="Y2000" i="3" s="1"/>
  <c r="X2000" i="3" a="1"/>
  <c r="X2000" i="3" s="1"/>
  <c r="W2000" i="3" a="1"/>
  <c r="W2000" i="3" s="1"/>
  <c r="V2000" i="3" a="1"/>
  <c r="V2000" i="3" s="1"/>
  <c r="Y1999" i="3" a="1"/>
  <c r="Y1999" i="3" s="1"/>
  <c r="X1999" i="3" a="1"/>
  <c r="X1999" i="3" s="1"/>
  <c r="W1999" i="3" a="1"/>
  <c r="W1999" i="3" s="1"/>
  <c r="V1999" i="3" a="1"/>
  <c r="V1999" i="3" s="1"/>
  <c r="Y1998" i="3" a="1"/>
  <c r="Y1998" i="3" s="1"/>
  <c r="X1998" i="3" a="1"/>
  <c r="X1998" i="3" s="1"/>
  <c r="W1998" i="3" a="1"/>
  <c r="W1998" i="3" s="1"/>
  <c r="V1998" i="3" a="1"/>
  <c r="V1998" i="3" s="1"/>
  <c r="Y1997" i="3" a="1"/>
  <c r="Y1997" i="3" s="1"/>
  <c r="X1997" i="3" a="1"/>
  <c r="X1997" i="3" s="1"/>
  <c r="W1997" i="3" a="1"/>
  <c r="W1997" i="3" s="1"/>
  <c r="V1997" i="3" a="1"/>
  <c r="V1997" i="3" s="1"/>
  <c r="Y1996" i="3" a="1"/>
  <c r="Y1996" i="3" s="1"/>
  <c r="X1996" i="3" a="1"/>
  <c r="X1996" i="3" s="1"/>
  <c r="W1996" i="3" a="1"/>
  <c r="W1996" i="3" s="1"/>
  <c r="V1996" i="3" a="1"/>
  <c r="V1996" i="3" s="1"/>
  <c r="Y1995" i="3" a="1"/>
  <c r="Y1995" i="3" s="1"/>
  <c r="X1995" i="3" a="1"/>
  <c r="X1995" i="3" s="1"/>
  <c r="W1995" i="3" a="1"/>
  <c r="W1995" i="3" s="1"/>
  <c r="V1995" i="3" a="1"/>
  <c r="V1995" i="3" s="1"/>
  <c r="Y1994" i="3" a="1"/>
  <c r="Y1994" i="3" s="1"/>
  <c r="X1994" i="3" a="1"/>
  <c r="X1994" i="3" s="1"/>
  <c r="W1994" i="3" a="1"/>
  <c r="W1994" i="3" s="1"/>
  <c r="V1994" i="3" a="1"/>
  <c r="V1994" i="3" s="1"/>
  <c r="Y1993" i="3" a="1"/>
  <c r="Y1993" i="3" s="1"/>
  <c r="X1993" i="3" a="1"/>
  <c r="X1993" i="3" s="1"/>
  <c r="W1993" i="3" a="1"/>
  <c r="W1993" i="3" s="1"/>
  <c r="V1993" i="3" a="1"/>
  <c r="V1993" i="3" s="1"/>
  <c r="Y1992" i="3" a="1"/>
  <c r="Y1992" i="3" s="1"/>
  <c r="X1992" i="3" a="1"/>
  <c r="X1992" i="3" s="1"/>
  <c r="W1992" i="3" a="1"/>
  <c r="W1992" i="3" s="1"/>
  <c r="V1992" i="3" a="1"/>
  <c r="V1992" i="3" s="1"/>
  <c r="Y1991" i="3" a="1"/>
  <c r="Y1991" i="3" s="1"/>
  <c r="X1991" i="3" a="1"/>
  <c r="X1991" i="3" s="1"/>
  <c r="W1991" i="3" a="1"/>
  <c r="W1991" i="3" s="1"/>
  <c r="V1991" i="3" a="1"/>
  <c r="V1991" i="3" s="1"/>
  <c r="Y1990" i="3" a="1"/>
  <c r="Y1990" i="3" s="1"/>
  <c r="X1990" i="3" a="1"/>
  <c r="X1990" i="3" s="1"/>
  <c r="W1990" i="3" a="1"/>
  <c r="W1990" i="3" s="1"/>
  <c r="V1990" i="3" a="1"/>
  <c r="V1990" i="3" s="1"/>
  <c r="Y1989" i="3" a="1"/>
  <c r="Y1989" i="3" s="1"/>
  <c r="X1989" i="3" a="1"/>
  <c r="X1989" i="3" s="1"/>
  <c r="W1989" i="3" a="1"/>
  <c r="W1989" i="3" s="1"/>
  <c r="V1989" i="3" a="1"/>
  <c r="V1989" i="3" s="1"/>
  <c r="Y1988" i="3" a="1"/>
  <c r="Y1988" i="3" s="1"/>
  <c r="X1988" i="3" a="1"/>
  <c r="X1988" i="3" s="1"/>
  <c r="W1988" i="3" a="1"/>
  <c r="W1988" i="3" s="1"/>
  <c r="V1988" i="3" a="1"/>
  <c r="V1988" i="3" s="1"/>
  <c r="Y1987" i="3" a="1"/>
  <c r="Y1987" i="3" s="1"/>
  <c r="X1987" i="3" a="1"/>
  <c r="X1987" i="3" s="1"/>
  <c r="W1987" i="3" a="1"/>
  <c r="W1987" i="3" s="1"/>
  <c r="V1987" i="3" a="1"/>
  <c r="V1987" i="3" s="1"/>
  <c r="Y1986" i="3" a="1"/>
  <c r="Y1986" i="3" s="1"/>
  <c r="X1986" i="3" a="1"/>
  <c r="X1986" i="3" s="1"/>
  <c r="W1986" i="3" a="1"/>
  <c r="W1986" i="3" s="1"/>
  <c r="V1986" i="3" a="1"/>
  <c r="V1986" i="3" s="1"/>
  <c r="Y1985" i="3" a="1"/>
  <c r="Y1985" i="3" s="1"/>
  <c r="X1985" i="3" a="1"/>
  <c r="X1985" i="3" s="1"/>
  <c r="W1985" i="3" a="1"/>
  <c r="W1985" i="3" s="1"/>
  <c r="V1985" i="3" a="1"/>
  <c r="V1985" i="3" s="1"/>
  <c r="Y1984" i="3" a="1"/>
  <c r="Y1984" i="3" s="1"/>
  <c r="X1984" i="3" a="1"/>
  <c r="X1984" i="3" s="1"/>
  <c r="W1984" i="3" a="1"/>
  <c r="W1984" i="3" s="1"/>
  <c r="V1984" i="3" a="1"/>
  <c r="V1984" i="3" s="1"/>
  <c r="Y1983" i="3" a="1"/>
  <c r="Y1983" i="3" s="1"/>
  <c r="X1983" i="3" a="1"/>
  <c r="X1983" i="3" s="1"/>
  <c r="W1983" i="3" a="1"/>
  <c r="W1983" i="3" s="1"/>
  <c r="V1983" i="3" a="1"/>
  <c r="V1983" i="3" s="1"/>
  <c r="Y1982" i="3" a="1"/>
  <c r="Y1982" i="3" s="1"/>
  <c r="X1982" i="3" a="1"/>
  <c r="X1982" i="3" s="1"/>
  <c r="W1982" i="3" a="1"/>
  <c r="W1982" i="3" s="1"/>
  <c r="V1982" i="3" a="1"/>
  <c r="V1982" i="3" s="1"/>
  <c r="Y1981" i="3" a="1"/>
  <c r="Y1981" i="3" s="1"/>
  <c r="X1981" i="3" a="1"/>
  <c r="X1981" i="3" s="1"/>
  <c r="W1981" i="3" a="1"/>
  <c r="W1981" i="3" s="1"/>
  <c r="V1981" i="3" a="1"/>
  <c r="V1981" i="3" s="1"/>
  <c r="Y1980" i="3" a="1"/>
  <c r="Y1980" i="3" s="1"/>
  <c r="X1980" i="3" a="1"/>
  <c r="X1980" i="3" s="1"/>
  <c r="W1980" i="3" a="1"/>
  <c r="W1980" i="3" s="1"/>
  <c r="V1980" i="3" a="1"/>
  <c r="V1980" i="3" s="1"/>
  <c r="Y1979" i="3" a="1"/>
  <c r="Y1979" i="3" s="1"/>
  <c r="X1979" i="3" a="1"/>
  <c r="X1979" i="3" s="1"/>
  <c r="W1979" i="3" a="1"/>
  <c r="W1979" i="3" s="1"/>
  <c r="V1979" i="3" a="1"/>
  <c r="V1979" i="3" s="1"/>
  <c r="Y1978" i="3" a="1"/>
  <c r="Y1978" i="3" s="1"/>
  <c r="X1978" i="3" a="1"/>
  <c r="X1978" i="3" s="1"/>
  <c r="W1978" i="3" a="1"/>
  <c r="W1978" i="3" s="1"/>
  <c r="V1978" i="3" a="1"/>
  <c r="V1978" i="3" s="1"/>
  <c r="Y1977" i="3" a="1"/>
  <c r="Y1977" i="3" s="1"/>
  <c r="X1977" i="3" a="1"/>
  <c r="X1977" i="3" s="1"/>
  <c r="W1977" i="3" a="1"/>
  <c r="W1977" i="3" s="1"/>
  <c r="V1977" i="3" a="1"/>
  <c r="V1977" i="3" s="1"/>
  <c r="Y1976" i="3" a="1"/>
  <c r="Y1976" i="3" s="1"/>
  <c r="X1976" i="3" a="1"/>
  <c r="X1976" i="3" s="1"/>
  <c r="W1976" i="3" a="1"/>
  <c r="W1976" i="3" s="1"/>
  <c r="V1976" i="3" a="1"/>
  <c r="V1976" i="3" s="1"/>
  <c r="Y1975" i="3" a="1"/>
  <c r="Y1975" i="3" s="1"/>
  <c r="X1975" i="3" a="1"/>
  <c r="X1975" i="3" s="1"/>
  <c r="W1975" i="3" a="1"/>
  <c r="W1975" i="3" s="1"/>
  <c r="V1975" i="3" a="1"/>
  <c r="V1975" i="3" s="1"/>
  <c r="Y1974" i="3" a="1"/>
  <c r="Y1974" i="3" s="1"/>
  <c r="X1974" i="3" a="1"/>
  <c r="X1974" i="3" s="1"/>
  <c r="W1974" i="3" a="1"/>
  <c r="W1974" i="3" s="1"/>
  <c r="V1974" i="3" a="1"/>
  <c r="V1974" i="3" s="1"/>
  <c r="Y1973" i="3" a="1"/>
  <c r="Y1973" i="3" s="1"/>
  <c r="X1973" i="3" a="1"/>
  <c r="X1973" i="3" s="1"/>
  <c r="W1973" i="3" a="1"/>
  <c r="W1973" i="3" s="1"/>
  <c r="V1973" i="3" a="1"/>
  <c r="V1973" i="3" s="1"/>
  <c r="Y1972" i="3" a="1"/>
  <c r="Y1972" i="3" s="1"/>
  <c r="X1972" i="3" a="1"/>
  <c r="X1972" i="3" s="1"/>
  <c r="W1972" i="3" a="1"/>
  <c r="W1972" i="3" s="1"/>
  <c r="V1972" i="3" a="1"/>
  <c r="V1972" i="3" s="1"/>
  <c r="Y1971" i="3" a="1"/>
  <c r="Y1971" i="3" s="1"/>
  <c r="X1971" i="3" a="1"/>
  <c r="X1971" i="3" s="1"/>
  <c r="W1971" i="3" a="1"/>
  <c r="W1971" i="3" s="1"/>
  <c r="V1971" i="3" a="1"/>
  <c r="V1971" i="3" s="1"/>
  <c r="Y1970" i="3" a="1"/>
  <c r="Y1970" i="3" s="1"/>
  <c r="X1970" i="3" a="1"/>
  <c r="X1970" i="3" s="1"/>
  <c r="W1970" i="3" a="1"/>
  <c r="W1970" i="3" s="1"/>
  <c r="V1970" i="3" a="1"/>
  <c r="V1970" i="3" s="1"/>
  <c r="Y1969" i="3" a="1"/>
  <c r="Y1969" i="3" s="1"/>
  <c r="X1969" i="3" a="1"/>
  <c r="X1969" i="3" s="1"/>
  <c r="W1969" i="3" a="1"/>
  <c r="W1969" i="3" s="1"/>
  <c r="V1969" i="3" a="1"/>
  <c r="V1969" i="3" s="1"/>
  <c r="Y1968" i="3" a="1"/>
  <c r="Y1968" i="3" s="1"/>
  <c r="X1968" i="3" a="1"/>
  <c r="X1968" i="3" s="1"/>
  <c r="W1968" i="3" a="1"/>
  <c r="W1968" i="3" s="1"/>
  <c r="V1968" i="3" a="1"/>
  <c r="V1968" i="3" s="1"/>
  <c r="Y1967" i="3" a="1"/>
  <c r="Y1967" i="3" s="1"/>
  <c r="X1967" i="3" a="1"/>
  <c r="X1967" i="3" s="1"/>
  <c r="W1967" i="3" a="1"/>
  <c r="W1967" i="3" s="1"/>
  <c r="V1967" i="3" a="1"/>
  <c r="V1967" i="3" s="1"/>
  <c r="Y1966" i="3" a="1"/>
  <c r="Y1966" i="3" s="1"/>
  <c r="X1966" i="3" a="1"/>
  <c r="X1966" i="3" s="1"/>
  <c r="W1966" i="3" a="1"/>
  <c r="W1966" i="3" s="1"/>
  <c r="V1966" i="3" a="1"/>
  <c r="V1966" i="3" s="1"/>
  <c r="Y1965" i="3" a="1"/>
  <c r="Y1965" i="3" s="1"/>
  <c r="X1965" i="3" a="1"/>
  <c r="X1965" i="3" s="1"/>
  <c r="W1965" i="3" a="1"/>
  <c r="W1965" i="3" s="1"/>
  <c r="V1965" i="3" a="1"/>
  <c r="V1965" i="3" s="1"/>
  <c r="Y1964" i="3" a="1"/>
  <c r="Y1964" i="3" s="1"/>
  <c r="X1964" i="3" a="1"/>
  <c r="X1964" i="3" s="1"/>
  <c r="W1964" i="3" a="1"/>
  <c r="W1964" i="3" s="1"/>
  <c r="V1964" i="3" a="1"/>
  <c r="V1964" i="3" s="1"/>
  <c r="Y1963" i="3" a="1"/>
  <c r="Y1963" i="3" s="1"/>
  <c r="X1963" i="3" a="1"/>
  <c r="X1963" i="3" s="1"/>
  <c r="W1963" i="3" a="1"/>
  <c r="W1963" i="3" s="1"/>
  <c r="V1963" i="3" a="1"/>
  <c r="V1963" i="3" s="1"/>
  <c r="Y1962" i="3" a="1"/>
  <c r="Y1962" i="3" s="1"/>
  <c r="X1962" i="3" a="1"/>
  <c r="X1962" i="3" s="1"/>
  <c r="W1962" i="3" a="1"/>
  <c r="W1962" i="3" s="1"/>
  <c r="V1962" i="3" a="1"/>
  <c r="V1962" i="3" s="1"/>
  <c r="Y1961" i="3" a="1"/>
  <c r="Y1961" i="3" s="1"/>
  <c r="X1961" i="3" a="1"/>
  <c r="X1961" i="3" s="1"/>
  <c r="W1961" i="3" a="1"/>
  <c r="W1961" i="3" s="1"/>
  <c r="V1961" i="3" a="1"/>
  <c r="V1961" i="3" s="1"/>
  <c r="Y1960" i="3" a="1"/>
  <c r="Y1960" i="3" s="1"/>
  <c r="X1960" i="3" a="1"/>
  <c r="X1960" i="3" s="1"/>
  <c r="W1960" i="3" a="1"/>
  <c r="W1960" i="3" s="1"/>
  <c r="V1960" i="3" a="1"/>
  <c r="V1960" i="3" s="1"/>
  <c r="Y1959" i="3" a="1"/>
  <c r="Y1959" i="3" s="1"/>
  <c r="X1959" i="3" a="1"/>
  <c r="X1959" i="3" s="1"/>
  <c r="W1959" i="3" a="1"/>
  <c r="W1959" i="3" s="1"/>
  <c r="V1959" i="3" a="1"/>
  <c r="V1959" i="3" s="1"/>
  <c r="Y1958" i="3" a="1"/>
  <c r="Y1958" i="3" s="1"/>
  <c r="X1958" i="3" a="1"/>
  <c r="X1958" i="3" s="1"/>
  <c r="W1958" i="3" a="1"/>
  <c r="W1958" i="3" s="1"/>
  <c r="V1958" i="3" a="1"/>
  <c r="V1958" i="3" s="1"/>
  <c r="Y1957" i="3" a="1"/>
  <c r="Y1957" i="3" s="1"/>
  <c r="X1957" i="3" a="1"/>
  <c r="X1957" i="3" s="1"/>
  <c r="W1957" i="3" a="1"/>
  <c r="W1957" i="3" s="1"/>
  <c r="V1957" i="3" a="1"/>
  <c r="V1957" i="3" s="1"/>
  <c r="Y1956" i="3" a="1"/>
  <c r="Y1956" i="3" s="1"/>
  <c r="X1956" i="3" a="1"/>
  <c r="X1956" i="3" s="1"/>
  <c r="W1956" i="3" a="1"/>
  <c r="W1956" i="3" s="1"/>
  <c r="V1956" i="3" a="1"/>
  <c r="V1956" i="3" s="1"/>
  <c r="Y1955" i="3" a="1"/>
  <c r="Y1955" i="3" s="1"/>
  <c r="X1955" i="3" a="1"/>
  <c r="X1955" i="3" s="1"/>
  <c r="W1955" i="3" a="1"/>
  <c r="W1955" i="3" s="1"/>
  <c r="V1955" i="3" a="1"/>
  <c r="V1955" i="3" s="1"/>
  <c r="Y1954" i="3" a="1"/>
  <c r="Y1954" i="3" s="1"/>
  <c r="X1954" i="3" a="1"/>
  <c r="X1954" i="3" s="1"/>
  <c r="W1954" i="3" a="1"/>
  <c r="W1954" i="3" s="1"/>
  <c r="V1954" i="3" a="1"/>
  <c r="V1954" i="3" s="1"/>
  <c r="Y1953" i="3" a="1"/>
  <c r="Y1953" i="3" s="1"/>
  <c r="X1953" i="3" a="1"/>
  <c r="X1953" i="3" s="1"/>
  <c r="W1953" i="3" a="1"/>
  <c r="W1953" i="3" s="1"/>
  <c r="V1953" i="3" a="1"/>
  <c r="V1953" i="3" s="1"/>
  <c r="Y1952" i="3" a="1"/>
  <c r="Y1952" i="3" s="1"/>
  <c r="X1952" i="3" a="1"/>
  <c r="X1952" i="3" s="1"/>
  <c r="W1952" i="3" a="1"/>
  <c r="W1952" i="3" s="1"/>
  <c r="V1952" i="3" a="1"/>
  <c r="V1952" i="3" s="1"/>
  <c r="Y1951" i="3" a="1"/>
  <c r="Y1951" i="3" s="1"/>
  <c r="X1951" i="3" a="1"/>
  <c r="X1951" i="3" s="1"/>
  <c r="W1951" i="3" a="1"/>
  <c r="W1951" i="3" s="1"/>
  <c r="V1951" i="3" a="1"/>
  <c r="V1951" i="3" s="1"/>
  <c r="Y1950" i="3" a="1"/>
  <c r="Y1950" i="3" s="1"/>
  <c r="X1950" i="3" a="1"/>
  <c r="X1950" i="3" s="1"/>
  <c r="W1950" i="3" a="1"/>
  <c r="W1950" i="3" s="1"/>
  <c r="V1950" i="3" a="1"/>
  <c r="V1950" i="3" s="1"/>
  <c r="Y1949" i="3" a="1"/>
  <c r="Y1949" i="3" s="1"/>
  <c r="X1949" i="3" a="1"/>
  <c r="X1949" i="3" s="1"/>
  <c r="W1949" i="3" a="1"/>
  <c r="W1949" i="3" s="1"/>
  <c r="V1949" i="3" a="1"/>
  <c r="V1949" i="3" s="1"/>
  <c r="Y1948" i="3" a="1"/>
  <c r="Y1948" i="3" s="1"/>
  <c r="X1948" i="3" a="1"/>
  <c r="X1948" i="3" s="1"/>
  <c r="W1948" i="3" a="1"/>
  <c r="W1948" i="3" s="1"/>
  <c r="V1948" i="3" a="1"/>
  <c r="V1948" i="3" s="1"/>
  <c r="Y1947" i="3" a="1"/>
  <c r="Y1947" i="3" s="1"/>
  <c r="X1947" i="3" a="1"/>
  <c r="X1947" i="3" s="1"/>
  <c r="W1947" i="3" a="1"/>
  <c r="W1947" i="3" s="1"/>
  <c r="V1947" i="3" a="1"/>
  <c r="V1947" i="3" s="1"/>
  <c r="Y1946" i="3" a="1"/>
  <c r="Y1946" i="3" s="1"/>
  <c r="X1946" i="3" a="1"/>
  <c r="X1946" i="3" s="1"/>
  <c r="W1946" i="3" a="1"/>
  <c r="W1946" i="3" s="1"/>
  <c r="V1946" i="3" a="1"/>
  <c r="V1946" i="3" s="1"/>
  <c r="Y1945" i="3" a="1"/>
  <c r="Y1945" i="3" s="1"/>
  <c r="X1945" i="3" a="1"/>
  <c r="X1945" i="3" s="1"/>
  <c r="W1945" i="3" a="1"/>
  <c r="W1945" i="3" s="1"/>
  <c r="V1945" i="3" a="1"/>
  <c r="V1945" i="3" s="1"/>
  <c r="Y1944" i="3" a="1"/>
  <c r="Y1944" i="3" s="1"/>
  <c r="X1944" i="3" a="1"/>
  <c r="X1944" i="3" s="1"/>
  <c r="W1944" i="3" a="1"/>
  <c r="W1944" i="3" s="1"/>
  <c r="V1944" i="3" a="1"/>
  <c r="V1944" i="3" s="1"/>
  <c r="Y1943" i="3" a="1"/>
  <c r="Y1943" i="3" s="1"/>
  <c r="X1943" i="3" a="1"/>
  <c r="X1943" i="3" s="1"/>
  <c r="W1943" i="3" a="1"/>
  <c r="W1943" i="3" s="1"/>
  <c r="V1943" i="3" a="1"/>
  <c r="V1943" i="3" s="1"/>
  <c r="Y1942" i="3" a="1"/>
  <c r="Y1942" i="3" s="1"/>
  <c r="X1942" i="3" a="1"/>
  <c r="X1942" i="3" s="1"/>
  <c r="W1942" i="3" a="1"/>
  <c r="W1942" i="3" s="1"/>
  <c r="V1942" i="3" a="1"/>
  <c r="V1942" i="3" s="1"/>
  <c r="Y1941" i="3" a="1"/>
  <c r="Y1941" i="3" s="1"/>
  <c r="X1941" i="3" a="1"/>
  <c r="X1941" i="3" s="1"/>
  <c r="W1941" i="3" a="1"/>
  <c r="W1941" i="3" s="1"/>
  <c r="V1941" i="3" a="1"/>
  <c r="V1941" i="3" s="1"/>
  <c r="Y1940" i="3" a="1"/>
  <c r="Y1940" i="3" s="1"/>
  <c r="X1940" i="3" a="1"/>
  <c r="X1940" i="3" s="1"/>
  <c r="W1940" i="3" a="1"/>
  <c r="W1940" i="3" s="1"/>
  <c r="V1940" i="3" a="1"/>
  <c r="V1940" i="3" s="1"/>
  <c r="Y1939" i="3" a="1"/>
  <c r="Y1939" i="3" s="1"/>
  <c r="X1939" i="3" a="1"/>
  <c r="X1939" i="3" s="1"/>
  <c r="W1939" i="3" a="1"/>
  <c r="W1939" i="3" s="1"/>
  <c r="V1939" i="3" a="1"/>
  <c r="V1939" i="3" s="1"/>
  <c r="Y1938" i="3" a="1"/>
  <c r="Y1938" i="3" s="1"/>
  <c r="X1938" i="3" a="1"/>
  <c r="X1938" i="3" s="1"/>
  <c r="W1938" i="3" a="1"/>
  <c r="W1938" i="3" s="1"/>
  <c r="V1938" i="3" a="1"/>
  <c r="V1938" i="3" s="1"/>
  <c r="Y1937" i="3" a="1"/>
  <c r="Y1937" i="3" s="1"/>
  <c r="X1937" i="3" a="1"/>
  <c r="X1937" i="3" s="1"/>
  <c r="W1937" i="3" a="1"/>
  <c r="W1937" i="3" s="1"/>
  <c r="V1937" i="3" a="1"/>
  <c r="V1937" i="3" s="1"/>
  <c r="Y1936" i="3" a="1"/>
  <c r="Y1936" i="3" s="1"/>
  <c r="X1936" i="3" a="1"/>
  <c r="X1936" i="3" s="1"/>
  <c r="W1936" i="3" a="1"/>
  <c r="W1936" i="3" s="1"/>
  <c r="V1936" i="3" a="1"/>
  <c r="V1936" i="3" s="1"/>
  <c r="Y1935" i="3" a="1"/>
  <c r="Y1935" i="3" s="1"/>
  <c r="X1935" i="3" a="1"/>
  <c r="X1935" i="3" s="1"/>
  <c r="W1935" i="3" a="1"/>
  <c r="W1935" i="3" s="1"/>
  <c r="V1935" i="3" a="1"/>
  <c r="V1935" i="3" s="1"/>
  <c r="Y1934" i="3" a="1"/>
  <c r="Y1934" i="3" s="1"/>
  <c r="X1934" i="3" a="1"/>
  <c r="X1934" i="3" s="1"/>
  <c r="W1934" i="3" a="1"/>
  <c r="W1934" i="3" s="1"/>
  <c r="V1934" i="3" a="1"/>
  <c r="V1934" i="3" s="1"/>
  <c r="Y1933" i="3" a="1"/>
  <c r="Y1933" i="3" s="1"/>
  <c r="X1933" i="3" a="1"/>
  <c r="X1933" i="3" s="1"/>
  <c r="W1933" i="3" a="1"/>
  <c r="W1933" i="3" s="1"/>
  <c r="V1933" i="3" a="1"/>
  <c r="V1933" i="3" s="1"/>
  <c r="Y1932" i="3" a="1"/>
  <c r="Y1932" i="3" s="1"/>
  <c r="X1932" i="3" a="1"/>
  <c r="X1932" i="3" s="1"/>
  <c r="W1932" i="3" a="1"/>
  <c r="W1932" i="3" s="1"/>
  <c r="V1932" i="3" a="1"/>
  <c r="V1932" i="3" s="1"/>
  <c r="Y1931" i="3" a="1"/>
  <c r="Y1931" i="3" s="1"/>
  <c r="X1931" i="3" a="1"/>
  <c r="X1931" i="3" s="1"/>
  <c r="W1931" i="3" a="1"/>
  <c r="W1931" i="3" s="1"/>
  <c r="V1931" i="3" a="1"/>
  <c r="V1931" i="3" s="1"/>
  <c r="Y1930" i="3" a="1"/>
  <c r="Y1930" i="3" s="1"/>
  <c r="X1930" i="3" a="1"/>
  <c r="X1930" i="3" s="1"/>
  <c r="W1930" i="3" a="1"/>
  <c r="W1930" i="3" s="1"/>
  <c r="V1930" i="3" a="1"/>
  <c r="V1930" i="3" s="1"/>
  <c r="Y1929" i="3" a="1"/>
  <c r="Y1929" i="3" s="1"/>
  <c r="X1929" i="3" a="1"/>
  <c r="X1929" i="3" s="1"/>
  <c r="W1929" i="3" a="1"/>
  <c r="W1929" i="3" s="1"/>
  <c r="V1929" i="3" a="1"/>
  <c r="V1929" i="3" s="1"/>
  <c r="Y1928" i="3" a="1"/>
  <c r="Y1928" i="3" s="1"/>
  <c r="X1928" i="3" a="1"/>
  <c r="X1928" i="3" s="1"/>
  <c r="W1928" i="3" a="1"/>
  <c r="W1928" i="3" s="1"/>
  <c r="V1928" i="3" a="1"/>
  <c r="V1928" i="3" s="1"/>
  <c r="Y1927" i="3" a="1"/>
  <c r="Y1927" i="3" s="1"/>
  <c r="X1927" i="3" a="1"/>
  <c r="X1927" i="3" s="1"/>
  <c r="W1927" i="3" a="1"/>
  <c r="W1927" i="3" s="1"/>
  <c r="V1927" i="3" a="1"/>
  <c r="V1927" i="3" s="1"/>
  <c r="Y1926" i="3" a="1"/>
  <c r="Y1926" i="3" s="1"/>
  <c r="X1926" i="3" a="1"/>
  <c r="X1926" i="3" s="1"/>
  <c r="W1926" i="3" a="1"/>
  <c r="W1926" i="3" s="1"/>
  <c r="V1926" i="3" a="1"/>
  <c r="V1926" i="3" s="1"/>
  <c r="Y1925" i="3" a="1"/>
  <c r="Y1925" i="3" s="1"/>
  <c r="X1925" i="3" a="1"/>
  <c r="X1925" i="3" s="1"/>
  <c r="W1925" i="3" a="1"/>
  <c r="W1925" i="3" s="1"/>
  <c r="V1925" i="3" a="1"/>
  <c r="V1925" i="3" s="1"/>
  <c r="Y1924" i="3" a="1"/>
  <c r="Y1924" i="3" s="1"/>
  <c r="X1924" i="3" a="1"/>
  <c r="X1924" i="3" s="1"/>
  <c r="W1924" i="3" a="1"/>
  <c r="W1924" i="3" s="1"/>
  <c r="V1924" i="3" a="1"/>
  <c r="V1924" i="3" s="1"/>
  <c r="Y1923" i="3" a="1"/>
  <c r="Y1923" i="3" s="1"/>
  <c r="X1923" i="3" a="1"/>
  <c r="X1923" i="3" s="1"/>
  <c r="W1923" i="3" a="1"/>
  <c r="W1923" i="3" s="1"/>
  <c r="V1923" i="3" a="1"/>
  <c r="V1923" i="3" s="1"/>
  <c r="Y1922" i="3" a="1"/>
  <c r="Y1922" i="3" s="1"/>
  <c r="X1922" i="3" a="1"/>
  <c r="X1922" i="3" s="1"/>
  <c r="W1922" i="3" a="1"/>
  <c r="W1922" i="3" s="1"/>
  <c r="V1922" i="3" a="1"/>
  <c r="V1922" i="3" s="1"/>
  <c r="Y1921" i="3" a="1"/>
  <c r="Y1921" i="3" s="1"/>
  <c r="X1921" i="3" a="1"/>
  <c r="X1921" i="3" s="1"/>
  <c r="W1921" i="3" a="1"/>
  <c r="W1921" i="3" s="1"/>
  <c r="V1921" i="3" a="1"/>
  <c r="V1921" i="3" s="1"/>
  <c r="Y1920" i="3" a="1"/>
  <c r="Y1920" i="3" s="1"/>
  <c r="X1920" i="3" a="1"/>
  <c r="X1920" i="3" s="1"/>
  <c r="W1920" i="3" a="1"/>
  <c r="W1920" i="3" s="1"/>
  <c r="V1920" i="3" a="1"/>
  <c r="V1920" i="3" s="1"/>
  <c r="Y1919" i="3" a="1"/>
  <c r="Y1919" i="3" s="1"/>
  <c r="X1919" i="3" a="1"/>
  <c r="X1919" i="3" s="1"/>
  <c r="W1919" i="3" a="1"/>
  <c r="W1919" i="3" s="1"/>
  <c r="V1919" i="3" a="1"/>
  <c r="V1919" i="3" s="1"/>
  <c r="Y1918" i="3" a="1"/>
  <c r="Y1918" i="3" s="1"/>
  <c r="X1918" i="3" a="1"/>
  <c r="X1918" i="3" s="1"/>
  <c r="W1918" i="3" a="1"/>
  <c r="W1918" i="3" s="1"/>
  <c r="V1918" i="3" a="1"/>
  <c r="V1918" i="3" s="1"/>
  <c r="Y1917" i="3" a="1"/>
  <c r="Y1917" i="3" s="1"/>
  <c r="X1917" i="3" a="1"/>
  <c r="X1917" i="3" s="1"/>
  <c r="W1917" i="3" a="1"/>
  <c r="W1917" i="3" s="1"/>
  <c r="V1917" i="3" a="1"/>
  <c r="V1917" i="3" s="1"/>
  <c r="Y1916" i="3" a="1"/>
  <c r="Y1916" i="3" s="1"/>
  <c r="X1916" i="3" a="1"/>
  <c r="X1916" i="3" s="1"/>
  <c r="W1916" i="3" a="1"/>
  <c r="W1916" i="3" s="1"/>
  <c r="V1916" i="3" a="1"/>
  <c r="V1916" i="3" s="1"/>
  <c r="Y1915" i="3" a="1"/>
  <c r="Y1915" i="3" s="1"/>
  <c r="X1915" i="3" a="1"/>
  <c r="X1915" i="3" s="1"/>
  <c r="W1915" i="3" a="1"/>
  <c r="W1915" i="3" s="1"/>
  <c r="V1915" i="3" a="1"/>
  <c r="V1915" i="3" s="1"/>
  <c r="Y1914" i="3" a="1"/>
  <c r="Y1914" i="3" s="1"/>
  <c r="X1914" i="3" a="1"/>
  <c r="X1914" i="3" s="1"/>
  <c r="W1914" i="3" a="1"/>
  <c r="W1914" i="3" s="1"/>
  <c r="V1914" i="3" a="1"/>
  <c r="V1914" i="3" s="1"/>
  <c r="Y1913" i="3" a="1"/>
  <c r="Y1913" i="3" s="1"/>
  <c r="X1913" i="3" a="1"/>
  <c r="X1913" i="3" s="1"/>
  <c r="W1913" i="3" a="1"/>
  <c r="W1913" i="3" s="1"/>
  <c r="V1913" i="3" a="1"/>
  <c r="V1913" i="3" s="1"/>
  <c r="Y1912" i="3" a="1"/>
  <c r="Y1912" i="3" s="1"/>
  <c r="X1912" i="3" a="1"/>
  <c r="X1912" i="3" s="1"/>
  <c r="W1912" i="3" a="1"/>
  <c r="W1912" i="3" s="1"/>
  <c r="V1912" i="3" a="1"/>
  <c r="V1912" i="3" s="1"/>
  <c r="Y1911" i="3" a="1"/>
  <c r="Y1911" i="3" s="1"/>
  <c r="X1911" i="3" a="1"/>
  <c r="X1911" i="3" s="1"/>
  <c r="W1911" i="3" a="1"/>
  <c r="W1911" i="3" s="1"/>
  <c r="V1911" i="3" a="1"/>
  <c r="V1911" i="3" s="1"/>
  <c r="Y1910" i="3" a="1"/>
  <c r="Y1910" i="3" s="1"/>
  <c r="X1910" i="3" a="1"/>
  <c r="X1910" i="3" s="1"/>
  <c r="W1910" i="3" a="1"/>
  <c r="W1910" i="3" s="1"/>
  <c r="V1910" i="3" a="1"/>
  <c r="V1910" i="3" s="1"/>
  <c r="Y1909" i="3" a="1"/>
  <c r="Y1909" i="3" s="1"/>
  <c r="X1909" i="3" a="1"/>
  <c r="X1909" i="3" s="1"/>
  <c r="W1909" i="3" a="1"/>
  <c r="W1909" i="3" s="1"/>
  <c r="V1909" i="3" a="1"/>
  <c r="V1909" i="3" s="1"/>
  <c r="Y1908" i="3" a="1"/>
  <c r="Y1908" i="3" s="1"/>
  <c r="X1908" i="3" a="1"/>
  <c r="X1908" i="3" s="1"/>
  <c r="W1908" i="3" a="1"/>
  <c r="W1908" i="3" s="1"/>
  <c r="V1908" i="3" a="1"/>
  <c r="V1908" i="3" s="1"/>
  <c r="Y1907" i="3" a="1"/>
  <c r="Y1907" i="3" s="1"/>
  <c r="X1907" i="3" a="1"/>
  <c r="X1907" i="3" s="1"/>
  <c r="W1907" i="3" a="1"/>
  <c r="W1907" i="3" s="1"/>
  <c r="V1907" i="3" a="1"/>
  <c r="V1907" i="3" s="1"/>
  <c r="Y1906" i="3" a="1"/>
  <c r="Y1906" i="3" s="1"/>
  <c r="X1906" i="3" a="1"/>
  <c r="X1906" i="3" s="1"/>
  <c r="W1906" i="3" a="1"/>
  <c r="W1906" i="3" s="1"/>
  <c r="V1906" i="3" a="1"/>
  <c r="V1906" i="3" s="1"/>
  <c r="Y1905" i="3" a="1"/>
  <c r="Y1905" i="3" s="1"/>
  <c r="X1905" i="3" a="1"/>
  <c r="X1905" i="3" s="1"/>
  <c r="W1905" i="3" a="1"/>
  <c r="W1905" i="3" s="1"/>
  <c r="V1905" i="3" a="1"/>
  <c r="V1905" i="3" s="1"/>
  <c r="Y1904" i="3" a="1"/>
  <c r="Y1904" i="3" s="1"/>
  <c r="X1904" i="3" a="1"/>
  <c r="X1904" i="3" s="1"/>
  <c r="W1904" i="3" a="1"/>
  <c r="W1904" i="3" s="1"/>
  <c r="V1904" i="3" a="1"/>
  <c r="V1904" i="3" s="1"/>
  <c r="Y1903" i="3" a="1"/>
  <c r="Y1903" i="3" s="1"/>
  <c r="X1903" i="3" a="1"/>
  <c r="X1903" i="3" s="1"/>
  <c r="W1903" i="3" a="1"/>
  <c r="W1903" i="3" s="1"/>
  <c r="V1903" i="3" a="1"/>
  <c r="V1903" i="3" s="1"/>
  <c r="Y1902" i="3" a="1"/>
  <c r="Y1902" i="3" s="1"/>
  <c r="X1902" i="3" a="1"/>
  <c r="X1902" i="3" s="1"/>
  <c r="W1902" i="3" a="1"/>
  <c r="W1902" i="3" s="1"/>
  <c r="V1902" i="3" a="1"/>
  <c r="V1902" i="3" s="1"/>
  <c r="Y1901" i="3" a="1"/>
  <c r="Y1901" i="3" s="1"/>
  <c r="X1901" i="3" a="1"/>
  <c r="X1901" i="3" s="1"/>
  <c r="W1901" i="3" a="1"/>
  <c r="W1901" i="3" s="1"/>
  <c r="V1901" i="3" a="1"/>
  <c r="V1901" i="3" s="1"/>
  <c r="Y1900" i="3" a="1"/>
  <c r="Y1900" i="3" s="1"/>
  <c r="X1900" i="3" a="1"/>
  <c r="X1900" i="3" s="1"/>
  <c r="W1900" i="3" a="1"/>
  <c r="W1900" i="3" s="1"/>
  <c r="V1900" i="3" a="1"/>
  <c r="V1900" i="3" s="1"/>
  <c r="Y1899" i="3" a="1"/>
  <c r="Y1899" i="3" s="1"/>
  <c r="X1899" i="3" a="1"/>
  <c r="X1899" i="3" s="1"/>
  <c r="W1899" i="3" a="1"/>
  <c r="W1899" i="3" s="1"/>
  <c r="V1899" i="3" a="1"/>
  <c r="V1899" i="3" s="1"/>
  <c r="Y1898" i="3" a="1"/>
  <c r="Y1898" i="3" s="1"/>
  <c r="X1898" i="3" a="1"/>
  <c r="X1898" i="3" s="1"/>
  <c r="W1898" i="3" a="1"/>
  <c r="W1898" i="3" s="1"/>
  <c r="V1898" i="3" a="1"/>
  <c r="V1898" i="3" s="1"/>
  <c r="Y1897" i="3" a="1"/>
  <c r="Y1897" i="3" s="1"/>
  <c r="X1897" i="3" a="1"/>
  <c r="X1897" i="3" s="1"/>
  <c r="W1897" i="3" a="1"/>
  <c r="W1897" i="3" s="1"/>
  <c r="V1897" i="3" a="1"/>
  <c r="V1897" i="3" s="1"/>
  <c r="Y1896" i="3" a="1"/>
  <c r="Y1896" i="3" s="1"/>
  <c r="X1896" i="3" a="1"/>
  <c r="X1896" i="3" s="1"/>
  <c r="W1896" i="3" a="1"/>
  <c r="W1896" i="3" s="1"/>
  <c r="V1896" i="3" a="1"/>
  <c r="V1896" i="3" s="1"/>
  <c r="Y1895" i="3" a="1"/>
  <c r="Y1895" i="3" s="1"/>
  <c r="X1895" i="3" a="1"/>
  <c r="X1895" i="3" s="1"/>
  <c r="W1895" i="3" a="1"/>
  <c r="W1895" i="3" s="1"/>
  <c r="V1895" i="3" a="1"/>
  <c r="V1895" i="3" s="1"/>
  <c r="Y1894" i="3" a="1"/>
  <c r="Y1894" i="3" s="1"/>
  <c r="X1894" i="3" a="1"/>
  <c r="X1894" i="3" s="1"/>
  <c r="W1894" i="3" a="1"/>
  <c r="W1894" i="3" s="1"/>
  <c r="V1894" i="3" a="1"/>
  <c r="V1894" i="3" s="1"/>
  <c r="Y1893" i="3" a="1"/>
  <c r="Y1893" i="3" s="1"/>
  <c r="X1893" i="3" a="1"/>
  <c r="X1893" i="3" s="1"/>
  <c r="W1893" i="3" a="1"/>
  <c r="W1893" i="3" s="1"/>
  <c r="V1893" i="3" a="1"/>
  <c r="V1893" i="3" s="1"/>
  <c r="Y1892" i="3" a="1"/>
  <c r="Y1892" i="3" s="1"/>
  <c r="X1892" i="3" a="1"/>
  <c r="X1892" i="3" s="1"/>
  <c r="W1892" i="3" a="1"/>
  <c r="W1892" i="3" s="1"/>
  <c r="V1892" i="3" a="1"/>
  <c r="V1892" i="3" s="1"/>
  <c r="Y1891" i="3" a="1"/>
  <c r="Y1891" i="3" s="1"/>
  <c r="X1891" i="3" a="1"/>
  <c r="X1891" i="3" s="1"/>
  <c r="W1891" i="3" a="1"/>
  <c r="W1891" i="3" s="1"/>
  <c r="V1891" i="3" a="1"/>
  <c r="V1891" i="3" s="1"/>
  <c r="Y1890" i="3" a="1"/>
  <c r="Y1890" i="3" s="1"/>
  <c r="X1890" i="3" a="1"/>
  <c r="X1890" i="3" s="1"/>
  <c r="W1890" i="3" a="1"/>
  <c r="W1890" i="3" s="1"/>
  <c r="V1890" i="3" a="1"/>
  <c r="V1890" i="3" s="1"/>
  <c r="Y1889" i="3" a="1"/>
  <c r="Y1889" i="3" s="1"/>
  <c r="X1889" i="3" a="1"/>
  <c r="X1889" i="3" s="1"/>
  <c r="W1889" i="3" a="1"/>
  <c r="W1889" i="3" s="1"/>
  <c r="V1889" i="3" a="1"/>
  <c r="V1889" i="3" s="1"/>
  <c r="Y1888" i="3" a="1"/>
  <c r="Y1888" i="3" s="1"/>
  <c r="X1888" i="3" a="1"/>
  <c r="X1888" i="3" s="1"/>
  <c r="W1888" i="3" a="1"/>
  <c r="W1888" i="3" s="1"/>
  <c r="V1888" i="3" a="1"/>
  <c r="V1888" i="3" s="1"/>
  <c r="Y1887" i="3" a="1"/>
  <c r="Y1887" i="3" s="1"/>
  <c r="X1887" i="3" a="1"/>
  <c r="X1887" i="3" s="1"/>
  <c r="W1887" i="3" a="1"/>
  <c r="W1887" i="3" s="1"/>
  <c r="V1887" i="3" a="1"/>
  <c r="V1887" i="3" s="1"/>
  <c r="Y1886" i="3" a="1"/>
  <c r="Y1886" i="3" s="1"/>
  <c r="X1886" i="3" a="1"/>
  <c r="X1886" i="3" s="1"/>
  <c r="W1886" i="3" a="1"/>
  <c r="W1886" i="3" s="1"/>
  <c r="V1886" i="3" a="1"/>
  <c r="V1886" i="3" s="1"/>
  <c r="Y1885" i="3" a="1"/>
  <c r="Y1885" i="3" s="1"/>
  <c r="X1885" i="3" a="1"/>
  <c r="X1885" i="3" s="1"/>
  <c r="W1885" i="3" a="1"/>
  <c r="W1885" i="3" s="1"/>
  <c r="V1885" i="3" a="1"/>
  <c r="V1885" i="3" s="1"/>
  <c r="Y1884" i="3" a="1"/>
  <c r="Y1884" i="3" s="1"/>
  <c r="X1884" i="3" a="1"/>
  <c r="X1884" i="3" s="1"/>
  <c r="W1884" i="3" a="1"/>
  <c r="W1884" i="3" s="1"/>
  <c r="V1884" i="3" a="1"/>
  <c r="V1884" i="3" s="1"/>
  <c r="Y1883" i="3" a="1"/>
  <c r="Y1883" i="3" s="1"/>
  <c r="X1883" i="3" a="1"/>
  <c r="X1883" i="3" s="1"/>
  <c r="W1883" i="3" a="1"/>
  <c r="W1883" i="3" s="1"/>
  <c r="V1883" i="3" a="1"/>
  <c r="V1883" i="3" s="1"/>
  <c r="Y1882" i="3" a="1"/>
  <c r="Y1882" i="3" s="1"/>
  <c r="X1882" i="3" a="1"/>
  <c r="X1882" i="3" s="1"/>
  <c r="W1882" i="3" a="1"/>
  <c r="W1882" i="3" s="1"/>
  <c r="V1882" i="3" a="1"/>
  <c r="V1882" i="3" s="1"/>
  <c r="Y1881" i="3" a="1"/>
  <c r="Y1881" i="3" s="1"/>
  <c r="X1881" i="3" a="1"/>
  <c r="X1881" i="3" s="1"/>
  <c r="W1881" i="3" a="1"/>
  <c r="W1881" i="3" s="1"/>
  <c r="V1881" i="3" a="1"/>
  <c r="V1881" i="3" s="1"/>
  <c r="Y1880" i="3" a="1"/>
  <c r="Y1880" i="3" s="1"/>
  <c r="X1880" i="3" a="1"/>
  <c r="X1880" i="3" s="1"/>
  <c r="W1880" i="3" a="1"/>
  <c r="W1880" i="3" s="1"/>
  <c r="V1880" i="3" a="1"/>
  <c r="V1880" i="3" s="1"/>
  <c r="Y1879" i="3" a="1"/>
  <c r="Y1879" i="3" s="1"/>
  <c r="X1879" i="3" a="1"/>
  <c r="X1879" i="3" s="1"/>
  <c r="W1879" i="3" a="1"/>
  <c r="W1879" i="3" s="1"/>
  <c r="V1879" i="3" a="1"/>
  <c r="V1879" i="3" s="1"/>
  <c r="Y1878" i="3" a="1"/>
  <c r="Y1878" i="3" s="1"/>
  <c r="X1878" i="3" a="1"/>
  <c r="X1878" i="3" s="1"/>
  <c r="W1878" i="3" a="1"/>
  <c r="W1878" i="3" s="1"/>
  <c r="V1878" i="3" a="1"/>
  <c r="V1878" i="3" s="1"/>
  <c r="Y1877" i="3" a="1"/>
  <c r="Y1877" i="3" s="1"/>
  <c r="X1877" i="3" a="1"/>
  <c r="X1877" i="3" s="1"/>
  <c r="W1877" i="3" a="1"/>
  <c r="W1877" i="3" s="1"/>
  <c r="V1877" i="3" a="1"/>
  <c r="V1877" i="3" s="1"/>
  <c r="Y1876" i="3" a="1"/>
  <c r="Y1876" i="3" s="1"/>
  <c r="X1876" i="3" a="1"/>
  <c r="X1876" i="3" s="1"/>
  <c r="W1876" i="3" a="1"/>
  <c r="W1876" i="3" s="1"/>
  <c r="V1876" i="3" a="1"/>
  <c r="V1876" i="3" s="1"/>
  <c r="Y1875" i="3" a="1"/>
  <c r="Y1875" i="3" s="1"/>
  <c r="X1875" i="3" a="1"/>
  <c r="X1875" i="3" s="1"/>
  <c r="W1875" i="3" a="1"/>
  <c r="W1875" i="3" s="1"/>
  <c r="V1875" i="3" a="1"/>
  <c r="V1875" i="3" s="1"/>
  <c r="Y1874" i="3" a="1"/>
  <c r="Y1874" i="3" s="1"/>
  <c r="X1874" i="3" a="1"/>
  <c r="X1874" i="3" s="1"/>
  <c r="W1874" i="3" a="1"/>
  <c r="W1874" i="3" s="1"/>
  <c r="V1874" i="3" a="1"/>
  <c r="V1874" i="3" s="1"/>
  <c r="Y1873" i="3" a="1"/>
  <c r="Y1873" i="3" s="1"/>
  <c r="X1873" i="3" a="1"/>
  <c r="X1873" i="3" s="1"/>
  <c r="W1873" i="3" a="1"/>
  <c r="W1873" i="3" s="1"/>
  <c r="V1873" i="3" a="1"/>
  <c r="V1873" i="3" s="1"/>
  <c r="Y1872" i="3" a="1"/>
  <c r="Y1872" i="3" s="1"/>
  <c r="X1872" i="3" a="1"/>
  <c r="X1872" i="3" s="1"/>
  <c r="W1872" i="3" a="1"/>
  <c r="W1872" i="3" s="1"/>
  <c r="V1872" i="3" a="1"/>
  <c r="V1872" i="3" s="1"/>
  <c r="Y1871" i="3" a="1"/>
  <c r="Y1871" i="3" s="1"/>
  <c r="X1871" i="3" a="1"/>
  <c r="X1871" i="3" s="1"/>
  <c r="W1871" i="3" a="1"/>
  <c r="W1871" i="3" s="1"/>
  <c r="V1871" i="3" a="1"/>
  <c r="V1871" i="3" s="1"/>
  <c r="Y1870" i="3" a="1"/>
  <c r="Y1870" i="3" s="1"/>
  <c r="X1870" i="3" a="1"/>
  <c r="X1870" i="3" s="1"/>
  <c r="W1870" i="3" a="1"/>
  <c r="W1870" i="3" s="1"/>
  <c r="V1870" i="3" a="1"/>
  <c r="V1870" i="3" s="1"/>
  <c r="Y1869" i="3" a="1"/>
  <c r="Y1869" i="3" s="1"/>
  <c r="X1869" i="3" a="1"/>
  <c r="X1869" i="3" s="1"/>
  <c r="W1869" i="3" a="1"/>
  <c r="W1869" i="3" s="1"/>
  <c r="V1869" i="3" a="1"/>
  <c r="V1869" i="3" s="1"/>
  <c r="Y1868" i="3" a="1"/>
  <c r="Y1868" i="3" s="1"/>
  <c r="X1868" i="3" a="1"/>
  <c r="X1868" i="3" s="1"/>
  <c r="W1868" i="3" a="1"/>
  <c r="W1868" i="3" s="1"/>
  <c r="V1868" i="3" a="1"/>
  <c r="V1868" i="3" s="1"/>
  <c r="Y1867" i="3" a="1"/>
  <c r="Y1867" i="3" s="1"/>
  <c r="X1867" i="3" a="1"/>
  <c r="X1867" i="3" s="1"/>
  <c r="W1867" i="3" a="1"/>
  <c r="W1867" i="3" s="1"/>
  <c r="V1867" i="3" a="1"/>
  <c r="V1867" i="3" s="1"/>
  <c r="Y1866" i="3" a="1"/>
  <c r="Y1866" i="3" s="1"/>
  <c r="X1866" i="3" a="1"/>
  <c r="X1866" i="3" s="1"/>
  <c r="W1866" i="3" a="1"/>
  <c r="W1866" i="3" s="1"/>
  <c r="V1866" i="3" a="1"/>
  <c r="V1866" i="3" s="1"/>
  <c r="Y1865" i="3" a="1"/>
  <c r="Y1865" i="3" s="1"/>
  <c r="X1865" i="3" a="1"/>
  <c r="X1865" i="3" s="1"/>
  <c r="W1865" i="3" a="1"/>
  <c r="W1865" i="3" s="1"/>
  <c r="V1865" i="3" a="1"/>
  <c r="V1865" i="3" s="1"/>
  <c r="Y1864" i="3" a="1"/>
  <c r="Y1864" i="3" s="1"/>
  <c r="X1864" i="3" a="1"/>
  <c r="X1864" i="3" s="1"/>
  <c r="W1864" i="3" a="1"/>
  <c r="W1864" i="3" s="1"/>
  <c r="V1864" i="3" a="1"/>
  <c r="V1864" i="3" s="1"/>
  <c r="Y1863" i="3" a="1"/>
  <c r="Y1863" i="3" s="1"/>
  <c r="X1863" i="3" a="1"/>
  <c r="X1863" i="3" s="1"/>
  <c r="W1863" i="3" a="1"/>
  <c r="W1863" i="3" s="1"/>
  <c r="V1863" i="3" a="1"/>
  <c r="V1863" i="3" s="1"/>
  <c r="Y1862" i="3" a="1"/>
  <c r="Y1862" i="3" s="1"/>
  <c r="X1862" i="3" a="1"/>
  <c r="X1862" i="3" s="1"/>
  <c r="W1862" i="3" a="1"/>
  <c r="W1862" i="3" s="1"/>
  <c r="V1862" i="3" a="1"/>
  <c r="V1862" i="3" s="1"/>
  <c r="Y1861" i="3" a="1"/>
  <c r="Y1861" i="3" s="1"/>
  <c r="X1861" i="3" a="1"/>
  <c r="X1861" i="3" s="1"/>
  <c r="W1861" i="3" a="1"/>
  <c r="W1861" i="3" s="1"/>
  <c r="V1861" i="3" a="1"/>
  <c r="V1861" i="3" s="1"/>
  <c r="Y1860" i="3" a="1"/>
  <c r="Y1860" i="3" s="1"/>
  <c r="X1860" i="3" a="1"/>
  <c r="X1860" i="3" s="1"/>
  <c r="W1860" i="3" a="1"/>
  <c r="W1860" i="3" s="1"/>
  <c r="V1860" i="3" a="1"/>
  <c r="V1860" i="3" s="1"/>
  <c r="Y1859" i="3" a="1"/>
  <c r="Y1859" i="3" s="1"/>
  <c r="X1859" i="3" a="1"/>
  <c r="X1859" i="3" s="1"/>
  <c r="W1859" i="3" a="1"/>
  <c r="W1859" i="3" s="1"/>
  <c r="V1859" i="3" a="1"/>
  <c r="V1859" i="3" s="1"/>
  <c r="Y1858" i="3" a="1"/>
  <c r="Y1858" i="3" s="1"/>
  <c r="X1858" i="3" a="1"/>
  <c r="X1858" i="3" s="1"/>
  <c r="W1858" i="3" a="1"/>
  <c r="W1858" i="3" s="1"/>
  <c r="V1858" i="3" a="1"/>
  <c r="V1858" i="3" s="1"/>
  <c r="Y1857" i="3" a="1"/>
  <c r="Y1857" i="3" s="1"/>
  <c r="X1857" i="3" a="1"/>
  <c r="X1857" i="3" s="1"/>
  <c r="W1857" i="3" a="1"/>
  <c r="W1857" i="3" s="1"/>
  <c r="V1857" i="3" a="1"/>
  <c r="V1857" i="3" s="1"/>
  <c r="Y1856" i="3" a="1"/>
  <c r="Y1856" i="3" s="1"/>
  <c r="X1856" i="3" a="1"/>
  <c r="X1856" i="3" s="1"/>
  <c r="W1856" i="3" a="1"/>
  <c r="W1856" i="3" s="1"/>
  <c r="V1856" i="3" a="1"/>
  <c r="V1856" i="3" s="1"/>
  <c r="Y1855" i="3" a="1"/>
  <c r="Y1855" i="3" s="1"/>
  <c r="X1855" i="3" a="1"/>
  <c r="X1855" i="3" s="1"/>
  <c r="W1855" i="3" a="1"/>
  <c r="W1855" i="3" s="1"/>
  <c r="V1855" i="3" a="1"/>
  <c r="V1855" i="3" s="1"/>
  <c r="Y1854" i="3" a="1"/>
  <c r="Y1854" i="3" s="1"/>
  <c r="X1854" i="3" a="1"/>
  <c r="X1854" i="3" s="1"/>
  <c r="W1854" i="3" a="1"/>
  <c r="W1854" i="3" s="1"/>
  <c r="V1854" i="3" a="1"/>
  <c r="V1854" i="3" s="1"/>
  <c r="Y1853" i="3" a="1"/>
  <c r="Y1853" i="3" s="1"/>
  <c r="X1853" i="3" a="1"/>
  <c r="X1853" i="3" s="1"/>
  <c r="W1853" i="3" a="1"/>
  <c r="W1853" i="3" s="1"/>
  <c r="V1853" i="3" a="1"/>
  <c r="V1853" i="3" s="1"/>
  <c r="Y1852" i="3" a="1"/>
  <c r="Y1852" i="3" s="1"/>
  <c r="X1852" i="3" a="1"/>
  <c r="X1852" i="3" s="1"/>
  <c r="W1852" i="3" a="1"/>
  <c r="W1852" i="3" s="1"/>
  <c r="V1852" i="3" a="1"/>
  <c r="V1852" i="3" s="1"/>
  <c r="Y1851" i="3" a="1"/>
  <c r="Y1851" i="3" s="1"/>
  <c r="X1851" i="3" a="1"/>
  <c r="X1851" i="3" s="1"/>
  <c r="W1851" i="3" a="1"/>
  <c r="W1851" i="3" s="1"/>
  <c r="V1851" i="3" a="1"/>
  <c r="V1851" i="3" s="1"/>
  <c r="Y1850" i="3" a="1"/>
  <c r="Y1850" i="3" s="1"/>
  <c r="X1850" i="3" a="1"/>
  <c r="X1850" i="3" s="1"/>
  <c r="W1850" i="3" a="1"/>
  <c r="W1850" i="3" s="1"/>
  <c r="V1850" i="3" a="1"/>
  <c r="V1850" i="3" s="1"/>
  <c r="Y1849" i="3" a="1"/>
  <c r="Y1849" i="3" s="1"/>
  <c r="X1849" i="3" a="1"/>
  <c r="X1849" i="3" s="1"/>
  <c r="W1849" i="3" a="1"/>
  <c r="W1849" i="3" s="1"/>
  <c r="V1849" i="3" a="1"/>
  <c r="V1849" i="3" s="1"/>
  <c r="Y1848" i="3" a="1"/>
  <c r="Y1848" i="3" s="1"/>
  <c r="X1848" i="3" a="1"/>
  <c r="X1848" i="3" s="1"/>
  <c r="W1848" i="3" a="1"/>
  <c r="W1848" i="3" s="1"/>
  <c r="V1848" i="3" a="1"/>
  <c r="V1848" i="3" s="1"/>
  <c r="Y1847" i="3" a="1"/>
  <c r="Y1847" i="3" s="1"/>
  <c r="X1847" i="3" a="1"/>
  <c r="X1847" i="3" s="1"/>
  <c r="W1847" i="3" a="1"/>
  <c r="W1847" i="3" s="1"/>
  <c r="V1847" i="3" a="1"/>
  <c r="V1847" i="3" s="1"/>
  <c r="Y1846" i="3" a="1"/>
  <c r="Y1846" i="3" s="1"/>
  <c r="X1846" i="3" a="1"/>
  <c r="X1846" i="3" s="1"/>
  <c r="W1846" i="3" a="1"/>
  <c r="W1846" i="3" s="1"/>
  <c r="V1846" i="3" a="1"/>
  <c r="V1846" i="3" s="1"/>
  <c r="Y1845" i="3" a="1"/>
  <c r="Y1845" i="3" s="1"/>
  <c r="X1845" i="3" a="1"/>
  <c r="X1845" i="3" s="1"/>
  <c r="W1845" i="3" a="1"/>
  <c r="W1845" i="3" s="1"/>
  <c r="V1845" i="3" a="1"/>
  <c r="V1845" i="3" s="1"/>
  <c r="Y1844" i="3" a="1"/>
  <c r="Y1844" i="3" s="1"/>
  <c r="X1844" i="3" a="1"/>
  <c r="X1844" i="3" s="1"/>
  <c r="W1844" i="3" a="1"/>
  <c r="W1844" i="3" s="1"/>
  <c r="V1844" i="3" a="1"/>
  <c r="V1844" i="3" s="1"/>
  <c r="Y1843" i="3" a="1"/>
  <c r="Y1843" i="3" s="1"/>
  <c r="X1843" i="3" a="1"/>
  <c r="X1843" i="3" s="1"/>
  <c r="W1843" i="3" a="1"/>
  <c r="W1843" i="3" s="1"/>
  <c r="V1843" i="3" a="1"/>
  <c r="V1843" i="3" s="1"/>
  <c r="Y1842" i="3" a="1"/>
  <c r="Y1842" i="3" s="1"/>
  <c r="X1842" i="3" a="1"/>
  <c r="X1842" i="3" s="1"/>
  <c r="W1842" i="3" a="1"/>
  <c r="W1842" i="3" s="1"/>
  <c r="V1842" i="3" a="1"/>
  <c r="V1842" i="3" s="1"/>
  <c r="Y1841" i="3" a="1"/>
  <c r="Y1841" i="3" s="1"/>
  <c r="X1841" i="3" a="1"/>
  <c r="X1841" i="3" s="1"/>
  <c r="W1841" i="3" a="1"/>
  <c r="W1841" i="3" s="1"/>
  <c r="V1841" i="3" a="1"/>
  <c r="V1841" i="3" s="1"/>
  <c r="Y1840" i="3" a="1"/>
  <c r="Y1840" i="3" s="1"/>
  <c r="X1840" i="3" a="1"/>
  <c r="X1840" i="3" s="1"/>
  <c r="W1840" i="3" a="1"/>
  <c r="W1840" i="3" s="1"/>
  <c r="V1840" i="3" a="1"/>
  <c r="V1840" i="3" s="1"/>
  <c r="Y1839" i="3" a="1"/>
  <c r="Y1839" i="3" s="1"/>
  <c r="X1839" i="3" a="1"/>
  <c r="X1839" i="3" s="1"/>
  <c r="W1839" i="3" a="1"/>
  <c r="W1839" i="3" s="1"/>
  <c r="V1839" i="3" a="1"/>
  <c r="V1839" i="3" s="1"/>
  <c r="Y1838" i="3" a="1"/>
  <c r="Y1838" i="3" s="1"/>
  <c r="X1838" i="3" a="1"/>
  <c r="X1838" i="3" s="1"/>
  <c r="W1838" i="3" a="1"/>
  <c r="W1838" i="3" s="1"/>
  <c r="V1838" i="3" a="1"/>
  <c r="V1838" i="3" s="1"/>
  <c r="Y1837" i="3" a="1"/>
  <c r="Y1837" i="3" s="1"/>
  <c r="X1837" i="3" a="1"/>
  <c r="X1837" i="3" s="1"/>
  <c r="W1837" i="3" a="1"/>
  <c r="W1837" i="3" s="1"/>
  <c r="V1837" i="3" a="1"/>
  <c r="V1837" i="3" s="1"/>
  <c r="Y1836" i="3" a="1"/>
  <c r="Y1836" i="3" s="1"/>
  <c r="X1836" i="3" a="1"/>
  <c r="X1836" i="3" s="1"/>
  <c r="W1836" i="3" a="1"/>
  <c r="W1836" i="3" s="1"/>
  <c r="V1836" i="3" a="1"/>
  <c r="V1836" i="3" s="1"/>
  <c r="Y1835" i="3" a="1"/>
  <c r="Y1835" i="3" s="1"/>
  <c r="X1835" i="3" a="1"/>
  <c r="X1835" i="3" s="1"/>
  <c r="W1835" i="3" a="1"/>
  <c r="W1835" i="3" s="1"/>
  <c r="V1835" i="3" a="1"/>
  <c r="V1835" i="3" s="1"/>
  <c r="Y1834" i="3" a="1"/>
  <c r="Y1834" i="3" s="1"/>
  <c r="X1834" i="3" a="1"/>
  <c r="X1834" i="3" s="1"/>
  <c r="W1834" i="3" a="1"/>
  <c r="W1834" i="3" s="1"/>
  <c r="V1834" i="3" a="1"/>
  <c r="V1834" i="3" s="1"/>
  <c r="Y1833" i="3" a="1"/>
  <c r="Y1833" i="3" s="1"/>
  <c r="X1833" i="3" a="1"/>
  <c r="X1833" i="3" s="1"/>
  <c r="W1833" i="3" a="1"/>
  <c r="W1833" i="3" s="1"/>
  <c r="V1833" i="3" a="1"/>
  <c r="V1833" i="3" s="1"/>
  <c r="Y1832" i="3" a="1"/>
  <c r="Y1832" i="3" s="1"/>
  <c r="X1832" i="3" a="1"/>
  <c r="X1832" i="3" s="1"/>
  <c r="W1832" i="3" a="1"/>
  <c r="W1832" i="3" s="1"/>
  <c r="V1832" i="3" a="1"/>
  <c r="V1832" i="3" s="1"/>
  <c r="Y1831" i="3" a="1"/>
  <c r="Y1831" i="3" s="1"/>
  <c r="X1831" i="3" a="1"/>
  <c r="X1831" i="3" s="1"/>
  <c r="W1831" i="3" a="1"/>
  <c r="W1831" i="3" s="1"/>
  <c r="V1831" i="3" a="1"/>
  <c r="V1831" i="3" s="1"/>
  <c r="Y1830" i="3" a="1"/>
  <c r="Y1830" i="3" s="1"/>
  <c r="X1830" i="3" a="1"/>
  <c r="X1830" i="3" s="1"/>
  <c r="W1830" i="3" a="1"/>
  <c r="W1830" i="3" s="1"/>
  <c r="V1830" i="3" a="1"/>
  <c r="V1830" i="3" s="1"/>
  <c r="Y1829" i="3" a="1"/>
  <c r="Y1829" i="3" s="1"/>
  <c r="X1829" i="3" a="1"/>
  <c r="X1829" i="3" s="1"/>
  <c r="W1829" i="3" a="1"/>
  <c r="W1829" i="3" s="1"/>
  <c r="V1829" i="3" a="1"/>
  <c r="V1829" i="3" s="1"/>
  <c r="Y1828" i="3" a="1"/>
  <c r="Y1828" i="3" s="1"/>
  <c r="X1828" i="3" a="1"/>
  <c r="X1828" i="3" s="1"/>
  <c r="W1828" i="3" a="1"/>
  <c r="W1828" i="3" s="1"/>
  <c r="V1828" i="3" a="1"/>
  <c r="V1828" i="3" s="1"/>
  <c r="Y1827" i="3" a="1"/>
  <c r="Y1827" i="3" s="1"/>
  <c r="X1827" i="3" a="1"/>
  <c r="X1827" i="3" s="1"/>
  <c r="W1827" i="3" a="1"/>
  <c r="W1827" i="3" s="1"/>
  <c r="V1827" i="3" a="1"/>
  <c r="V1827" i="3" s="1"/>
  <c r="Y1826" i="3" a="1"/>
  <c r="Y1826" i="3" s="1"/>
  <c r="X1826" i="3" a="1"/>
  <c r="X1826" i="3" s="1"/>
  <c r="W1826" i="3" a="1"/>
  <c r="W1826" i="3" s="1"/>
  <c r="V1826" i="3" a="1"/>
  <c r="V1826" i="3" s="1"/>
  <c r="Y1825" i="3" a="1"/>
  <c r="Y1825" i="3" s="1"/>
  <c r="X1825" i="3" a="1"/>
  <c r="X1825" i="3" s="1"/>
  <c r="W1825" i="3" a="1"/>
  <c r="W1825" i="3" s="1"/>
  <c r="V1825" i="3" a="1"/>
  <c r="V1825" i="3" s="1"/>
  <c r="Y1824" i="3" a="1"/>
  <c r="Y1824" i="3" s="1"/>
  <c r="X1824" i="3" a="1"/>
  <c r="X1824" i="3" s="1"/>
  <c r="W1824" i="3" a="1"/>
  <c r="W1824" i="3" s="1"/>
  <c r="V1824" i="3" a="1"/>
  <c r="V1824" i="3" s="1"/>
  <c r="Y1823" i="3" a="1"/>
  <c r="Y1823" i="3" s="1"/>
  <c r="X1823" i="3" a="1"/>
  <c r="X1823" i="3" s="1"/>
  <c r="W1823" i="3" a="1"/>
  <c r="W1823" i="3" s="1"/>
  <c r="V1823" i="3" a="1"/>
  <c r="V1823" i="3" s="1"/>
  <c r="Y1822" i="3" a="1"/>
  <c r="Y1822" i="3" s="1"/>
  <c r="X1822" i="3" a="1"/>
  <c r="X1822" i="3" s="1"/>
  <c r="W1822" i="3" a="1"/>
  <c r="W1822" i="3" s="1"/>
  <c r="V1822" i="3" a="1"/>
  <c r="V1822" i="3" s="1"/>
  <c r="Y1821" i="3" a="1"/>
  <c r="Y1821" i="3" s="1"/>
  <c r="X1821" i="3" a="1"/>
  <c r="X1821" i="3" s="1"/>
  <c r="W1821" i="3" a="1"/>
  <c r="W1821" i="3" s="1"/>
  <c r="V1821" i="3" a="1"/>
  <c r="V1821" i="3" s="1"/>
  <c r="Y1820" i="3" a="1"/>
  <c r="Y1820" i="3" s="1"/>
  <c r="X1820" i="3" a="1"/>
  <c r="X1820" i="3" s="1"/>
  <c r="W1820" i="3" a="1"/>
  <c r="W1820" i="3" s="1"/>
  <c r="V1820" i="3" a="1"/>
  <c r="V1820" i="3" s="1"/>
  <c r="Y1819" i="3" a="1"/>
  <c r="Y1819" i="3" s="1"/>
  <c r="X1819" i="3" a="1"/>
  <c r="X1819" i="3" s="1"/>
  <c r="W1819" i="3" a="1"/>
  <c r="W1819" i="3" s="1"/>
  <c r="V1819" i="3" a="1"/>
  <c r="V1819" i="3" s="1"/>
  <c r="Y1818" i="3" a="1"/>
  <c r="Y1818" i="3" s="1"/>
  <c r="X1818" i="3" a="1"/>
  <c r="X1818" i="3" s="1"/>
  <c r="W1818" i="3" a="1"/>
  <c r="W1818" i="3" s="1"/>
  <c r="V1818" i="3" a="1"/>
  <c r="V1818" i="3" s="1"/>
  <c r="Y1817" i="3" a="1"/>
  <c r="Y1817" i="3" s="1"/>
  <c r="X1817" i="3" a="1"/>
  <c r="X1817" i="3" s="1"/>
  <c r="W1817" i="3" a="1"/>
  <c r="W1817" i="3" s="1"/>
  <c r="V1817" i="3" a="1"/>
  <c r="V1817" i="3" s="1"/>
  <c r="Y1816" i="3" a="1"/>
  <c r="Y1816" i="3" s="1"/>
  <c r="X1816" i="3" a="1"/>
  <c r="X1816" i="3" s="1"/>
  <c r="W1816" i="3" a="1"/>
  <c r="W1816" i="3" s="1"/>
  <c r="V1816" i="3" a="1"/>
  <c r="V1816" i="3" s="1"/>
  <c r="Y1815" i="3" a="1"/>
  <c r="Y1815" i="3" s="1"/>
  <c r="X1815" i="3" a="1"/>
  <c r="X1815" i="3" s="1"/>
  <c r="W1815" i="3" a="1"/>
  <c r="W1815" i="3" s="1"/>
  <c r="V1815" i="3" a="1"/>
  <c r="V1815" i="3" s="1"/>
  <c r="Y1814" i="3" a="1"/>
  <c r="Y1814" i="3" s="1"/>
  <c r="X1814" i="3" a="1"/>
  <c r="X1814" i="3" s="1"/>
  <c r="W1814" i="3" a="1"/>
  <c r="W1814" i="3" s="1"/>
  <c r="V1814" i="3" a="1"/>
  <c r="V1814" i="3" s="1"/>
  <c r="Y1813" i="3" a="1"/>
  <c r="Y1813" i="3" s="1"/>
  <c r="X1813" i="3" a="1"/>
  <c r="X1813" i="3" s="1"/>
  <c r="W1813" i="3" a="1"/>
  <c r="W1813" i="3" s="1"/>
  <c r="V1813" i="3" a="1"/>
  <c r="V1813" i="3" s="1"/>
  <c r="Y1812" i="3" a="1"/>
  <c r="Y1812" i="3" s="1"/>
  <c r="X1812" i="3" a="1"/>
  <c r="X1812" i="3" s="1"/>
  <c r="W1812" i="3" a="1"/>
  <c r="W1812" i="3" s="1"/>
  <c r="V1812" i="3" a="1"/>
  <c r="V1812" i="3" s="1"/>
  <c r="Y1811" i="3" a="1"/>
  <c r="Y1811" i="3" s="1"/>
  <c r="X1811" i="3" a="1"/>
  <c r="X1811" i="3" s="1"/>
  <c r="W1811" i="3" a="1"/>
  <c r="W1811" i="3" s="1"/>
  <c r="V1811" i="3" a="1"/>
  <c r="V1811" i="3" s="1"/>
  <c r="Y1810" i="3" a="1"/>
  <c r="Y1810" i="3" s="1"/>
  <c r="X1810" i="3" a="1"/>
  <c r="X1810" i="3" s="1"/>
  <c r="W1810" i="3" a="1"/>
  <c r="W1810" i="3" s="1"/>
  <c r="V1810" i="3" a="1"/>
  <c r="V1810" i="3" s="1"/>
  <c r="Y1809" i="3" a="1"/>
  <c r="Y1809" i="3" s="1"/>
  <c r="X1809" i="3" a="1"/>
  <c r="X1809" i="3" s="1"/>
  <c r="W1809" i="3" a="1"/>
  <c r="W1809" i="3" s="1"/>
  <c r="V1809" i="3" a="1"/>
  <c r="V1809" i="3" s="1"/>
  <c r="Y1808" i="3" a="1"/>
  <c r="Y1808" i="3" s="1"/>
  <c r="X1808" i="3" a="1"/>
  <c r="X1808" i="3" s="1"/>
  <c r="W1808" i="3" a="1"/>
  <c r="W1808" i="3" s="1"/>
  <c r="V1808" i="3" a="1"/>
  <c r="V1808" i="3" s="1"/>
  <c r="Y1807" i="3" a="1"/>
  <c r="Y1807" i="3" s="1"/>
  <c r="X1807" i="3" a="1"/>
  <c r="X1807" i="3" s="1"/>
  <c r="W1807" i="3" a="1"/>
  <c r="W1807" i="3" s="1"/>
  <c r="V1807" i="3" a="1"/>
  <c r="V1807" i="3" s="1"/>
  <c r="Y1806" i="3" a="1"/>
  <c r="Y1806" i="3" s="1"/>
  <c r="X1806" i="3" a="1"/>
  <c r="X1806" i="3" s="1"/>
  <c r="W1806" i="3" a="1"/>
  <c r="W1806" i="3" s="1"/>
  <c r="V1806" i="3" a="1"/>
  <c r="V1806" i="3" s="1"/>
  <c r="Y1805" i="3" a="1"/>
  <c r="Y1805" i="3" s="1"/>
  <c r="X1805" i="3" a="1"/>
  <c r="X1805" i="3" s="1"/>
  <c r="W1805" i="3" a="1"/>
  <c r="W1805" i="3" s="1"/>
  <c r="V1805" i="3" a="1"/>
  <c r="V1805" i="3" s="1"/>
  <c r="Y1804" i="3" a="1"/>
  <c r="Y1804" i="3" s="1"/>
  <c r="X1804" i="3" a="1"/>
  <c r="X1804" i="3" s="1"/>
  <c r="W1804" i="3" a="1"/>
  <c r="W1804" i="3" s="1"/>
  <c r="V1804" i="3" a="1"/>
  <c r="V1804" i="3" s="1"/>
  <c r="Y1803" i="3" a="1"/>
  <c r="Y1803" i="3" s="1"/>
  <c r="X1803" i="3" a="1"/>
  <c r="X1803" i="3" s="1"/>
  <c r="W1803" i="3" a="1"/>
  <c r="W1803" i="3" s="1"/>
  <c r="V1803" i="3" a="1"/>
  <c r="V1803" i="3" s="1"/>
  <c r="Y1802" i="3" a="1"/>
  <c r="Y1802" i="3" s="1"/>
  <c r="X1802" i="3" a="1"/>
  <c r="X1802" i="3" s="1"/>
  <c r="W1802" i="3" a="1"/>
  <c r="W1802" i="3" s="1"/>
  <c r="V1802" i="3" a="1"/>
  <c r="V1802" i="3" s="1"/>
  <c r="Y1801" i="3" a="1"/>
  <c r="Y1801" i="3" s="1"/>
  <c r="X1801" i="3" a="1"/>
  <c r="X1801" i="3" s="1"/>
  <c r="W1801" i="3" a="1"/>
  <c r="W1801" i="3" s="1"/>
  <c r="V1801" i="3" a="1"/>
  <c r="V1801" i="3" s="1"/>
  <c r="Y1800" i="3" a="1"/>
  <c r="Y1800" i="3" s="1"/>
  <c r="X1800" i="3" a="1"/>
  <c r="X1800" i="3" s="1"/>
  <c r="W1800" i="3" a="1"/>
  <c r="W1800" i="3" s="1"/>
  <c r="V1800" i="3" a="1"/>
  <c r="V1800" i="3" s="1"/>
  <c r="Y1799" i="3" a="1"/>
  <c r="Y1799" i="3" s="1"/>
  <c r="X1799" i="3" a="1"/>
  <c r="X1799" i="3" s="1"/>
  <c r="W1799" i="3" a="1"/>
  <c r="W1799" i="3" s="1"/>
  <c r="V1799" i="3" a="1"/>
  <c r="V1799" i="3" s="1"/>
  <c r="Y1798" i="3" a="1"/>
  <c r="Y1798" i="3" s="1"/>
  <c r="X1798" i="3" a="1"/>
  <c r="X1798" i="3" s="1"/>
  <c r="W1798" i="3" a="1"/>
  <c r="W1798" i="3" s="1"/>
  <c r="V1798" i="3" a="1"/>
  <c r="V1798" i="3" s="1"/>
  <c r="Y1797" i="3" a="1"/>
  <c r="Y1797" i="3" s="1"/>
  <c r="X1797" i="3" a="1"/>
  <c r="X1797" i="3" s="1"/>
  <c r="W1797" i="3" a="1"/>
  <c r="W1797" i="3" s="1"/>
  <c r="V1797" i="3" a="1"/>
  <c r="V1797" i="3" s="1"/>
  <c r="Y1796" i="3" a="1"/>
  <c r="Y1796" i="3" s="1"/>
  <c r="X1796" i="3" a="1"/>
  <c r="X1796" i="3" s="1"/>
  <c r="W1796" i="3" a="1"/>
  <c r="W1796" i="3" s="1"/>
  <c r="V1796" i="3" a="1"/>
  <c r="V1796" i="3" s="1"/>
  <c r="Y1795" i="3" a="1"/>
  <c r="Y1795" i="3" s="1"/>
  <c r="X1795" i="3" a="1"/>
  <c r="X1795" i="3" s="1"/>
  <c r="W1795" i="3" a="1"/>
  <c r="W1795" i="3" s="1"/>
  <c r="V1795" i="3" a="1"/>
  <c r="V1795" i="3" s="1"/>
  <c r="Y1794" i="3" a="1"/>
  <c r="Y1794" i="3" s="1"/>
  <c r="X1794" i="3" a="1"/>
  <c r="X1794" i="3" s="1"/>
  <c r="W1794" i="3" a="1"/>
  <c r="W1794" i="3" s="1"/>
  <c r="V1794" i="3" a="1"/>
  <c r="V1794" i="3" s="1"/>
  <c r="Y1793" i="3" a="1"/>
  <c r="Y1793" i="3" s="1"/>
  <c r="X1793" i="3" a="1"/>
  <c r="X1793" i="3" s="1"/>
  <c r="W1793" i="3" a="1"/>
  <c r="W1793" i="3" s="1"/>
  <c r="V1793" i="3" a="1"/>
  <c r="V1793" i="3" s="1"/>
  <c r="Y1792" i="3" a="1"/>
  <c r="Y1792" i="3" s="1"/>
  <c r="X1792" i="3" a="1"/>
  <c r="X1792" i="3" s="1"/>
  <c r="W1792" i="3" a="1"/>
  <c r="W1792" i="3" s="1"/>
  <c r="V1792" i="3" a="1"/>
  <c r="V1792" i="3" s="1"/>
  <c r="Y1791" i="3" a="1"/>
  <c r="Y1791" i="3" s="1"/>
  <c r="X1791" i="3" a="1"/>
  <c r="X1791" i="3" s="1"/>
  <c r="W1791" i="3" a="1"/>
  <c r="W1791" i="3" s="1"/>
  <c r="V1791" i="3" a="1"/>
  <c r="V1791" i="3" s="1"/>
  <c r="Y1790" i="3" a="1"/>
  <c r="Y1790" i="3" s="1"/>
  <c r="X1790" i="3" a="1"/>
  <c r="X1790" i="3" s="1"/>
  <c r="W1790" i="3" a="1"/>
  <c r="W1790" i="3" s="1"/>
  <c r="V1790" i="3" a="1"/>
  <c r="V1790" i="3" s="1"/>
  <c r="Y1789" i="3" a="1"/>
  <c r="Y1789" i="3" s="1"/>
  <c r="X1789" i="3" a="1"/>
  <c r="X1789" i="3" s="1"/>
  <c r="W1789" i="3" a="1"/>
  <c r="W1789" i="3" s="1"/>
  <c r="V1789" i="3" a="1"/>
  <c r="V1789" i="3" s="1"/>
  <c r="Y1788" i="3" a="1"/>
  <c r="Y1788" i="3" s="1"/>
  <c r="X1788" i="3" a="1"/>
  <c r="X1788" i="3" s="1"/>
  <c r="W1788" i="3" a="1"/>
  <c r="W1788" i="3" s="1"/>
  <c r="V1788" i="3" a="1"/>
  <c r="V1788" i="3" s="1"/>
  <c r="Y1787" i="3" a="1"/>
  <c r="Y1787" i="3" s="1"/>
  <c r="X1787" i="3" a="1"/>
  <c r="X1787" i="3" s="1"/>
  <c r="W1787" i="3" a="1"/>
  <c r="W1787" i="3" s="1"/>
  <c r="V1787" i="3" a="1"/>
  <c r="V1787" i="3" s="1"/>
  <c r="Y1786" i="3" a="1"/>
  <c r="Y1786" i="3" s="1"/>
  <c r="X1786" i="3" a="1"/>
  <c r="X1786" i="3" s="1"/>
  <c r="W1786" i="3" a="1"/>
  <c r="W1786" i="3" s="1"/>
  <c r="V1786" i="3" a="1"/>
  <c r="V1786" i="3" s="1"/>
  <c r="Y1785" i="3" a="1"/>
  <c r="Y1785" i="3" s="1"/>
  <c r="X1785" i="3" a="1"/>
  <c r="X1785" i="3" s="1"/>
  <c r="W1785" i="3" a="1"/>
  <c r="W1785" i="3" s="1"/>
  <c r="V1785" i="3" a="1"/>
  <c r="V1785" i="3" s="1"/>
  <c r="Y1784" i="3" a="1"/>
  <c r="Y1784" i="3" s="1"/>
  <c r="X1784" i="3" a="1"/>
  <c r="X1784" i="3" s="1"/>
  <c r="W1784" i="3" a="1"/>
  <c r="W1784" i="3" s="1"/>
  <c r="V1784" i="3" a="1"/>
  <c r="V1784" i="3" s="1"/>
  <c r="Y1783" i="3" a="1"/>
  <c r="Y1783" i="3" s="1"/>
  <c r="X1783" i="3" a="1"/>
  <c r="X1783" i="3" s="1"/>
  <c r="W1783" i="3" a="1"/>
  <c r="W1783" i="3" s="1"/>
  <c r="V1783" i="3" a="1"/>
  <c r="V1783" i="3" s="1"/>
  <c r="Y1782" i="3" a="1"/>
  <c r="Y1782" i="3" s="1"/>
  <c r="X1782" i="3" a="1"/>
  <c r="X1782" i="3" s="1"/>
  <c r="W1782" i="3" a="1"/>
  <c r="W1782" i="3" s="1"/>
  <c r="V1782" i="3" a="1"/>
  <c r="V1782" i="3" s="1"/>
  <c r="Y1781" i="3" a="1"/>
  <c r="Y1781" i="3" s="1"/>
  <c r="X1781" i="3" a="1"/>
  <c r="X1781" i="3" s="1"/>
  <c r="W1781" i="3" a="1"/>
  <c r="W1781" i="3" s="1"/>
  <c r="V1781" i="3" a="1"/>
  <c r="V1781" i="3" s="1"/>
  <c r="Y1780" i="3" a="1"/>
  <c r="Y1780" i="3" s="1"/>
  <c r="X1780" i="3" a="1"/>
  <c r="X1780" i="3" s="1"/>
  <c r="W1780" i="3" a="1"/>
  <c r="W1780" i="3" s="1"/>
  <c r="V1780" i="3" a="1"/>
  <c r="V1780" i="3" s="1"/>
  <c r="Y1779" i="3" a="1"/>
  <c r="Y1779" i="3" s="1"/>
  <c r="X1779" i="3" a="1"/>
  <c r="X1779" i="3" s="1"/>
  <c r="W1779" i="3" a="1"/>
  <c r="W1779" i="3" s="1"/>
  <c r="V1779" i="3" a="1"/>
  <c r="V1779" i="3" s="1"/>
  <c r="Y1778" i="3" a="1"/>
  <c r="Y1778" i="3" s="1"/>
  <c r="X1778" i="3" a="1"/>
  <c r="X1778" i="3" s="1"/>
  <c r="W1778" i="3" a="1"/>
  <c r="W1778" i="3" s="1"/>
  <c r="V1778" i="3" a="1"/>
  <c r="V1778" i="3" s="1"/>
  <c r="Y1777" i="3" a="1"/>
  <c r="Y1777" i="3" s="1"/>
  <c r="X1777" i="3" a="1"/>
  <c r="X1777" i="3" s="1"/>
  <c r="W1777" i="3" a="1"/>
  <c r="W1777" i="3" s="1"/>
  <c r="V1777" i="3" a="1"/>
  <c r="V1777" i="3" s="1"/>
  <c r="Y1776" i="3" a="1"/>
  <c r="Y1776" i="3" s="1"/>
  <c r="X1776" i="3" a="1"/>
  <c r="X1776" i="3" s="1"/>
  <c r="W1776" i="3" a="1"/>
  <c r="W1776" i="3" s="1"/>
  <c r="V1776" i="3" a="1"/>
  <c r="V1776" i="3" s="1"/>
  <c r="Y1775" i="3" a="1"/>
  <c r="Y1775" i="3" s="1"/>
  <c r="X1775" i="3" a="1"/>
  <c r="X1775" i="3" s="1"/>
  <c r="W1775" i="3" a="1"/>
  <c r="W1775" i="3" s="1"/>
  <c r="V1775" i="3" a="1"/>
  <c r="V1775" i="3" s="1"/>
  <c r="Y1774" i="3" a="1"/>
  <c r="Y1774" i="3" s="1"/>
  <c r="X1774" i="3" a="1"/>
  <c r="X1774" i="3" s="1"/>
  <c r="W1774" i="3" a="1"/>
  <c r="W1774" i="3" s="1"/>
  <c r="V1774" i="3" a="1"/>
  <c r="V1774" i="3" s="1"/>
  <c r="Y1773" i="3" a="1"/>
  <c r="Y1773" i="3" s="1"/>
  <c r="X1773" i="3" a="1"/>
  <c r="X1773" i="3" s="1"/>
  <c r="W1773" i="3" a="1"/>
  <c r="W1773" i="3" s="1"/>
  <c r="V1773" i="3" a="1"/>
  <c r="V1773" i="3" s="1"/>
  <c r="Y1772" i="3" a="1"/>
  <c r="Y1772" i="3" s="1"/>
  <c r="X1772" i="3" a="1"/>
  <c r="X1772" i="3" s="1"/>
  <c r="W1772" i="3" a="1"/>
  <c r="W1772" i="3" s="1"/>
  <c r="V1772" i="3" a="1"/>
  <c r="V1772" i="3" s="1"/>
  <c r="Y1771" i="3" a="1"/>
  <c r="Y1771" i="3" s="1"/>
  <c r="X1771" i="3" a="1"/>
  <c r="X1771" i="3" s="1"/>
  <c r="W1771" i="3" a="1"/>
  <c r="W1771" i="3" s="1"/>
  <c r="V1771" i="3" a="1"/>
  <c r="V1771" i="3" s="1"/>
  <c r="Y1770" i="3" a="1"/>
  <c r="Y1770" i="3" s="1"/>
  <c r="X1770" i="3" a="1"/>
  <c r="X1770" i="3" s="1"/>
  <c r="W1770" i="3" a="1"/>
  <c r="W1770" i="3" s="1"/>
  <c r="V1770" i="3" a="1"/>
  <c r="V1770" i="3" s="1"/>
  <c r="Y1769" i="3" a="1"/>
  <c r="Y1769" i="3" s="1"/>
  <c r="X1769" i="3" a="1"/>
  <c r="X1769" i="3" s="1"/>
  <c r="W1769" i="3" a="1"/>
  <c r="W1769" i="3" s="1"/>
  <c r="V1769" i="3" a="1"/>
  <c r="V1769" i="3" s="1"/>
  <c r="Y1768" i="3" a="1"/>
  <c r="Y1768" i="3" s="1"/>
  <c r="X1768" i="3" a="1"/>
  <c r="X1768" i="3" s="1"/>
  <c r="W1768" i="3" a="1"/>
  <c r="W1768" i="3" s="1"/>
  <c r="V1768" i="3" a="1"/>
  <c r="V1768" i="3" s="1"/>
  <c r="Y1767" i="3" a="1"/>
  <c r="Y1767" i="3" s="1"/>
  <c r="X1767" i="3" a="1"/>
  <c r="X1767" i="3" s="1"/>
  <c r="W1767" i="3" a="1"/>
  <c r="W1767" i="3" s="1"/>
  <c r="V1767" i="3" a="1"/>
  <c r="V1767" i="3" s="1"/>
  <c r="Y1766" i="3" a="1"/>
  <c r="Y1766" i="3" s="1"/>
  <c r="X1766" i="3" a="1"/>
  <c r="X1766" i="3" s="1"/>
  <c r="W1766" i="3" a="1"/>
  <c r="W1766" i="3" s="1"/>
  <c r="V1766" i="3" a="1"/>
  <c r="V1766" i="3" s="1"/>
  <c r="Y1765" i="3" a="1"/>
  <c r="Y1765" i="3" s="1"/>
  <c r="X1765" i="3" a="1"/>
  <c r="X1765" i="3" s="1"/>
  <c r="W1765" i="3" a="1"/>
  <c r="W1765" i="3" s="1"/>
  <c r="V1765" i="3" a="1"/>
  <c r="V1765" i="3" s="1"/>
  <c r="Y1764" i="3" a="1"/>
  <c r="Y1764" i="3" s="1"/>
  <c r="X1764" i="3" a="1"/>
  <c r="X1764" i="3" s="1"/>
  <c r="W1764" i="3" a="1"/>
  <c r="W1764" i="3" s="1"/>
  <c r="V1764" i="3" a="1"/>
  <c r="V1764" i="3" s="1"/>
  <c r="Y1763" i="3" a="1"/>
  <c r="Y1763" i="3" s="1"/>
  <c r="X1763" i="3" a="1"/>
  <c r="X1763" i="3" s="1"/>
  <c r="W1763" i="3" a="1"/>
  <c r="W1763" i="3" s="1"/>
  <c r="V1763" i="3" a="1"/>
  <c r="V1763" i="3" s="1"/>
  <c r="Y1762" i="3" a="1"/>
  <c r="Y1762" i="3" s="1"/>
  <c r="X1762" i="3" a="1"/>
  <c r="X1762" i="3" s="1"/>
  <c r="W1762" i="3" a="1"/>
  <c r="W1762" i="3" s="1"/>
  <c r="V1762" i="3" a="1"/>
  <c r="V1762" i="3" s="1"/>
  <c r="Y1761" i="3" a="1"/>
  <c r="Y1761" i="3" s="1"/>
  <c r="X1761" i="3" a="1"/>
  <c r="X1761" i="3" s="1"/>
  <c r="W1761" i="3" a="1"/>
  <c r="W1761" i="3" s="1"/>
  <c r="V1761" i="3" a="1"/>
  <c r="V1761" i="3" s="1"/>
  <c r="Y1760" i="3" a="1"/>
  <c r="Y1760" i="3" s="1"/>
  <c r="X1760" i="3" a="1"/>
  <c r="X1760" i="3" s="1"/>
  <c r="W1760" i="3" a="1"/>
  <c r="W1760" i="3" s="1"/>
  <c r="V1760" i="3" a="1"/>
  <c r="V1760" i="3" s="1"/>
  <c r="Y1759" i="3" a="1"/>
  <c r="Y1759" i="3" s="1"/>
  <c r="X1759" i="3" a="1"/>
  <c r="X1759" i="3" s="1"/>
  <c r="W1759" i="3" a="1"/>
  <c r="W1759" i="3" s="1"/>
  <c r="V1759" i="3" a="1"/>
  <c r="V1759" i="3" s="1"/>
  <c r="Y1758" i="3" a="1"/>
  <c r="Y1758" i="3" s="1"/>
  <c r="X1758" i="3" a="1"/>
  <c r="X1758" i="3" s="1"/>
  <c r="W1758" i="3" a="1"/>
  <c r="W1758" i="3" s="1"/>
  <c r="V1758" i="3" a="1"/>
  <c r="V1758" i="3" s="1"/>
  <c r="Y1757" i="3" a="1"/>
  <c r="Y1757" i="3" s="1"/>
  <c r="X1757" i="3" a="1"/>
  <c r="X1757" i="3" s="1"/>
  <c r="W1757" i="3" a="1"/>
  <c r="W1757" i="3" s="1"/>
  <c r="V1757" i="3" a="1"/>
  <c r="V1757" i="3" s="1"/>
  <c r="Y1756" i="3" a="1"/>
  <c r="Y1756" i="3" s="1"/>
  <c r="X1756" i="3" a="1"/>
  <c r="X1756" i="3" s="1"/>
  <c r="W1756" i="3" a="1"/>
  <c r="W1756" i="3" s="1"/>
  <c r="V1756" i="3" a="1"/>
  <c r="V1756" i="3" s="1"/>
  <c r="Y1755" i="3" a="1"/>
  <c r="Y1755" i="3" s="1"/>
  <c r="X1755" i="3" a="1"/>
  <c r="X1755" i="3" s="1"/>
  <c r="W1755" i="3" a="1"/>
  <c r="W1755" i="3" s="1"/>
  <c r="V1755" i="3" a="1"/>
  <c r="V1755" i="3" s="1"/>
  <c r="Y1754" i="3" a="1"/>
  <c r="Y1754" i="3" s="1"/>
  <c r="X1754" i="3" a="1"/>
  <c r="X1754" i="3" s="1"/>
  <c r="W1754" i="3" a="1"/>
  <c r="W1754" i="3" s="1"/>
  <c r="V1754" i="3" a="1"/>
  <c r="V1754" i="3" s="1"/>
  <c r="Y1753" i="3" a="1"/>
  <c r="Y1753" i="3" s="1"/>
  <c r="X1753" i="3" a="1"/>
  <c r="X1753" i="3" s="1"/>
  <c r="W1753" i="3" a="1"/>
  <c r="W1753" i="3" s="1"/>
  <c r="V1753" i="3" a="1"/>
  <c r="V1753" i="3" s="1"/>
  <c r="Y1752" i="3" a="1"/>
  <c r="Y1752" i="3" s="1"/>
  <c r="X1752" i="3" a="1"/>
  <c r="X1752" i="3" s="1"/>
  <c r="W1752" i="3" a="1"/>
  <c r="W1752" i="3" s="1"/>
  <c r="V1752" i="3" a="1"/>
  <c r="V1752" i="3" s="1"/>
  <c r="Y1751" i="3" a="1"/>
  <c r="Y1751" i="3" s="1"/>
  <c r="X1751" i="3" a="1"/>
  <c r="X1751" i="3" s="1"/>
  <c r="W1751" i="3" a="1"/>
  <c r="W1751" i="3" s="1"/>
  <c r="V1751" i="3" a="1"/>
  <c r="V1751" i="3" s="1"/>
  <c r="Y1750" i="3" a="1"/>
  <c r="Y1750" i="3" s="1"/>
  <c r="X1750" i="3" a="1"/>
  <c r="X1750" i="3" s="1"/>
  <c r="W1750" i="3" a="1"/>
  <c r="W1750" i="3" s="1"/>
  <c r="V1750" i="3" a="1"/>
  <c r="V1750" i="3" s="1"/>
  <c r="Y1749" i="3" a="1"/>
  <c r="Y1749" i="3" s="1"/>
  <c r="X1749" i="3" a="1"/>
  <c r="X1749" i="3" s="1"/>
  <c r="W1749" i="3" a="1"/>
  <c r="W1749" i="3" s="1"/>
  <c r="V1749" i="3" a="1"/>
  <c r="V1749" i="3" s="1"/>
  <c r="Y1748" i="3" a="1"/>
  <c r="Y1748" i="3" s="1"/>
  <c r="X1748" i="3" a="1"/>
  <c r="X1748" i="3" s="1"/>
  <c r="W1748" i="3" a="1"/>
  <c r="W1748" i="3" s="1"/>
  <c r="V1748" i="3" a="1"/>
  <c r="V1748" i="3" s="1"/>
  <c r="Y1747" i="3" a="1"/>
  <c r="Y1747" i="3" s="1"/>
  <c r="X1747" i="3" a="1"/>
  <c r="X1747" i="3" s="1"/>
  <c r="W1747" i="3" a="1"/>
  <c r="W1747" i="3" s="1"/>
  <c r="V1747" i="3" a="1"/>
  <c r="V1747" i="3" s="1"/>
  <c r="Y1746" i="3" a="1"/>
  <c r="Y1746" i="3" s="1"/>
  <c r="X1746" i="3" a="1"/>
  <c r="X1746" i="3" s="1"/>
  <c r="W1746" i="3" a="1"/>
  <c r="W1746" i="3" s="1"/>
  <c r="V1746" i="3" a="1"/>
  <c r="V1746" i="3" s="1"/>
  <c r="Y1745" i="3" a="1"/>
  <c r="Y1745" i="3" s="1"/>
  <c r="X1745" i="3" a="1"/>
  <c r="X1745" i="3" s="1"/>
  <c r="W1745" i="3" a="1"/>
  <c r="W1745" i="3" s="1"/>
  <c r="V1745" i="3" a="1"/>
  <c r="V1745" i="3" s="1"/>
  <c r="Y1744" i="3" a="1"/>
  <c r="Y1744" i="3" s="1"/>
  <c r="X1744" i="3" a="1"/>
  <c r="X1744" i="3" s="1"/>
  <c r="W1744" i="3" a="1"/>
  <c r="W1744" i="3" s="1"/>
  <c r="V1744" i="3" a="1"/>
  <c r="V1744" i="3" s="1"/>
  <c r="Y1743" i="3" a="1"/>
  <c r="Y1743" i="3" s="1"/>
  <c r="X1743" i="3" a="1"/>
  <c r="X1743" i="3" s="1"/>
  <c r="W1743" i="3" a="1"/>
  <c r="W1743" i="3" s="1"/>
  <c r="V1743" i="3" a="1"/>
  <c r="V1743" i="3" s="1"/>
  <c r="Y1742" i="3" a="1"/>
  <c r="Y1742" i="3" s="1"/>
  <c r="X1742" i="3" a="1"/>
  <c r="X1742" i="3" s="1"/>
  <c r="W1742" i="3" a="1"/>
  <c r="W1742" i="3" s="1"/>
  <c r="V1742" i="3" a="1"/>
  <c r="V1742" i="3" s="1"/>
  <c r="Y1741" i="3" a="1"/>
  <c r="Y1741" i="3" s="1"/>
  <c r="X1741" i="3" a="1"/>
  <c r="X1741" i="3" s="1"/>
  <c r="W1741" i="3" a="1"/>
  <c r="W1741" i="3" s="1"/>
  <c r="V1741" i="3" a="1"/>
  <c r="V1741" i="3" s="1"/>
  <c r="Y1740" i="3" a="1"/>
  <c r="Y1740" i="3" s="1"/>
  <c r="X1740" i="3" a="1"/>
  <c r="X1740" i="3" s="1"/>
  <c r="W1740" i="3" a="1"/>
  <c r="W1740" i="3" s="1"/>
  <c r="V1740" i="3" a="1"/>
  <c r="V1740" i="3" s="1"/>
  <c r="Y1739" i="3" a="1"/>
  <c r="Y1739" i="3" s="1"/>
  <c r="X1739" i="3" a="1"/>
  <c r="X1739" i="3" s="1"/>
  <c r="W1739" i="3" a="1"/>
  <c r="W1739" i="3" s="1"/>
  <c r="V1739" i="3" a="1"/>
  <c r="V1739" i="3" s="1"/>
  <c r="Y1738" i="3" a="1"/>
  <c r="Y1738" i="3" s="1"/>
  <c r="X1738" i="3" a="1"/>
  <c r="X1738" i="3" s="1"/>
  <c r="W1738" i="3" a="1"/>
  <c r="W1738" i="3" s="1"/>
  <c r="V1738" i="3" a="1"/>
  <c r="V1738" i="3" s="1"/>
  <c r="Y1737" i="3" a="1"/>
  <c r="Y1737" i="3" s="1"/>
  <c r="X1737" i="3" a="1"/>
  <c r="X1737" i="3" s="1"/>
  <c r="W1737" i="3" a="1"/>
  <c r="W1737" i="3" s="1"/>
  <c r="V1737" i="3" a="1"/>
  <c r="V1737" i="3" s="1"/>
  <c r="Y1736" i="3" a="1"/>
  <c r="Y1736" i="3" s="1"/>
  <c r="X1736" i="3" a="1"/>
  <c r="X1736" i="3" s="1"/>
  <c r="W1736" i="3" a="1"/>
  <c r="W1736" i="3" s="1"/>
  <c r="V1736" i="3" a="1"/>
  <c r="V1736" i="3" s="1"/>
  <c r="Y1735" i="3" a="1"/>
  <c r="Y1735" i="3" s="1"/>
  <c r="X1735" i="3" a="1"/>
  <c r="X1735" i="3" s="1"/>
  <c r="W1735" i="3" a="1"/>
  <c r="W1735" i="3" s="1"/>
  <c r="V1735" i="3" a="1"/>
  <c r="V1735" i="3" s="1"/>
  <c r="Y1734" i="3" a="1"/>
  <c r="Y1734" i="3" s="1"/>
  <c r="X1734" i="3" a="1"/>
  <c r="X1734" i="3" s="1"/>
  <c r="W1734" i="3" a="1"/>
  <c r="W1734" i="3" s="1"/>
  <c r="V1734" i="3" a="1"/>
  <c r="V1734" i="3" s="1"/>
  <c r="Y1733" i="3" a="1"/>
  <c r="Y1733" i="3" s="1"/>
  <c r="X1733" i="3" a="1"/>
  <c r="X1733" i="3" s="1"/>
  <c r="W1733" i="3" a="1"/>
  <c r="W1733" i="3" s="1"/>
  <c r="V1733" i="3" a="1"/>
  <c r="V1733" i="3" s="1"/>
  <c r="Y1732" i="3" a="1"/>
  <c r="Y1732" i="3" s="1"/>
  <c r="X1732" i="3" a="1"/>
  <c r="X1732" i="3" s="1"/>
  <c r="W1732" i="3" a="1"/>
  <c r="W1732" i="3" s="1"/>
  <c r="V1732" i="3" a="1"/>
  <c r="V1732" i="3" s="1"/>
  <c r="Y1731" i="3" a="1"/>
  <c r="Y1731" i="3" s="1"/>
  <c r="X1731" i="3" a="1"/>
  <c r="X1731" i="3" s="1"/>
  <c r="W1731" i="3" a="1"/>
  <c r="W1731" i="3" s="1"/>
  <c r="V1731" i="3" a="1"/>
  <c r="V1731" i="3" s="1"/>
  <c r="Y1730" i="3" a="1"/>
  <c r="Y1730" i="3" s="1"/>
  <c r="X1730" i="3" a="1"/>
  <c r="X1730" i="3" s="1"/>
  <c r="W1730" i="3" a="1"/>
  <c r="W1730" i="3" s="1"/>
  <c r="V1730" i="3" a="1"/>
  <c r="V1730" i="3" s="1"/>
  <c r="Y1729" i="3" a="1"/>
  <c r="Y1729" i="3" s="1"/>
  <c r="X1729" i="3" a="1"/>
  <c r="X1729" i="3" s="1"/>
  <c r="W1729" i="3" a="1"/>
  <c r="W1729" i="3" s="1"/>
  <c r="V1729" i="3" a="1"/>
  <c r="V1729" i="3" s="1"/>
  <c r="Y1728" i="3" a="1"/>
  <c r="Y1728" i="3" s="1"/>
  <c r="X1728" i="3" a="1"/>
  <c r="X1728" i="3" s="1"/>
  <c r="W1728" i="3" a="1"/>
  <c r="W1728" i="3" s="1"/>
  <c r="V1728" i="3" a="1"/>
  <c r="V1728" i="3" s="1"/>
  <c r="Y1727" i="3" a="1"/>
  <c r="Y1727" i="3" s="1"/>
  <c r="X1727" i="3" a="1"/>
  <c r="X1727" i="3" s="1"/>
  <c r="W1727" i="3" a="1"/>
  <c r="W1727" i="3" s="1"/>
  <c r="V1727" i="3" a="1"/>
  <c r="V1727" i="3" s="1"/>
  <c r="Y1726" i="3" a="1"/>
  <c r="Y1726" i="3" s="1"/>
  <c r="X1726" i="3" a="1"/>
  <c r="X1726" i="3" s="1"/>
  <c r="W1726" i="3" a="1"/>
  <c r="W1726" i="3" s="1"/>
  <c r="V1726" i="3" a="1"/>
  <c r="V1726" i="3" s="1"/>
  <c r="Y1725" i="3" a="1"/>
  <c r="Y1725" i="3" s="1"/>
  <c r="X1725" i="3" a="1"/>
  <c r="X1725" i="3" s="1"/>
  <c r="W1725" i="3" a="1"/>
  <c r="W1725" i="3" s="1"/>
  <c r="V1725" i="3" a="1"/>
  <c r="V1725" i="3" s="1"/>
  <c r="Y1724" i="3" a="1"/>
  <c r="Y1724" i="3" s="1"/>
  <c r="X1724" i="3" a="1"/>
  <c r="X1724" i="3" s="1"/>
  <c r="W1724" i="3" a="1"/>
  <c r="W1724" i="3" s="1"/>
  <c r="V1724" i="3" a="1"/>
  <c r="V1724" i="3" s="1"/>
  <c r="Y1723" i="3" a="1"/>
  <c r="Y1723" i="3" s="1"/>
  <c r="X1723" i="3" a="1"/>
  <c r="X1723" i="3" s="1"/>
  <c r="W1723" i="3" a="1"/>
  <c r="W1723" i="3" s="1"/>
  <c r="V1723" i="3" a="1"/>
  <c r="V1723" i="3" s="1"/>
  <c r="Y1722" i="3" a="1"/>
  <c r="Y1722" i="3" s="1"/>
  <c r="X1722" i="3" a="1"/>
  <c r="X1722" i="3" s="1"/>
  <c r="W1722" i="3" a="1"/>
  <c r="W1722" i="3" s="1"/>
  <c r="V1722" i="3" a="1"/>
  <c r="V1722" i="3" s="1"/>
  <c r="Y1721" i="3" a="1"/>
  <c r="Y1721" i="3" s="1"/>
  <c r="X1721" i="3" a="1"/>
  <c r="X1721" i="3" s="1"/>
  <c r="W1721" i="3" a="1"/>
  <c r="W1721" i="3" s="1"/>
  <c r="V1721" i="3" a="1"/>
  <c r="V1721" i="3" s="1"/>
  <c r="Y1720" i="3" a="1"/>
  <c r="Y1720" i="3" s="1"/>
  <c r="X1720" i="3" a="1"/>
  <c r="X1720" i="3" s="1"/>
  <c r="W1720" i="3" a="1"/>
  <c r="W1720" i="3" s="1"/>
  <c r="V1720" i="3" a="1"/>
  <c r="V1720" i="3" s="1"/>
  <c r="Y1719" i="3" a="1"/>
  <c r="Y1719" i="3" s="1"/>
  <c r="X1719" i="3" a="1"/>
  <c r="X1719" i="3" s="1"/>
  <c r="W1719" i="3" a="1"/>
  <c r="W1719" i="3" s="1"/>
  <c r="V1719" i="3" a="1"/>
  <c r="V1719" i="3" s="1"/>
  <c r="Y1718" i="3" a="1"/>
  <c r="Y1718" i="3" s="1"/>
  <c r="X1718" i="3" a="1"/>
  <c r="X1718" i="3" s="1"/>
  <c r="W1718" i="3" a="1"/>
  <c r="W1718" i="3" s="1"/>
  <c r="V1718" i="3" a="1"/>
  <c r="V1718" i="3" s="1"/>
  <c r="Y1717" i="3" a="1"/>
  <c r="Y1717" i="3" s="1"/>
  <c r="X1717" i="3" a="1"/>
  <c r="X1717" i="3" s="1"/>
  <c r="W1717" i="3" a="1"/>
  <c r="W1717" i="3" s="1"/>
  <c r="V1717" i="3" a="1"/>
  <c r="V1717" i="3" s="1"/>
  <c r="Y1716" i="3" a="1"/>
  <c r="Y1716" i="3" s="1"/>
  <c r="X1716" i="3" a="1"/>
  <c r="X1716" i="3" s="1"/>
  <c r="W1716" i="3" a="1"/>
  <c r="W1716" i="3" s="1"/>
  <c r="V1716" i="3" a="1"/>
  <c r="V1716" i="3" s="1"/>
  <c r="Y1715" i="3" a="1"/>
  <c r="Y1715" i="3" s="1"/>
  <c r="X1715" i="3" a="1"/>
  <c r="X1715" i="3" s="1"/>
  <c r="W1715" i="3" a="1"/>
  <c r="W1715" i="3" s="1"/>
  <c r="V1715" i="3" a="1"/>
  <c r="V1715" i="3" s="1"/>
  <c r="Y1714" i="3" a="1"/>
  <c r="Y1714" i="3" s="1"/>
  <c r="X1714" i="3" a="1"/>
  <c r="X1714" i="3" s="1"/>
  <c r="W1714" i="3" a="1"/>
  <c r="W1714" i="3" s="1"/>
  <c r="V1714" i="3" a="1"/>
  <c r="V1714" i="3" s="1"/>
  <c r="Y1713" i="3" a="1"/>
  <c r="Y1713" i="3" s="1"/>
  <c r="X1713" i="3" a="1"/>
  <c r="X1713" i="3" s="1"/>
  <c r="W1713" i="3" a="1"/>
  <c r="W1713" i="3" s="1"/>
  <c r="V1713" i="3" a="1"/>
  <c r="V1713" i="3" s="1"/>
  <c r="Y1712" i="3" a="1"/>
  <c r="Y1712" i="3" s="1"/>
  <c r="X1712" i="3" a="1"/>
  <c r="X1712" i="3" s="1"/>
  <c r="W1712" i="3" a="1"/>
  <c r="W1712" i="3" s="1"/>
  <c r="V1712" i="3" a="1"/>
  <c r="V1712" i="3" s="1"/>
  <c r="Y1711" i="3" a="1"/>
  <c r="Y1711" i="3" s="1"/>
  <c r="X1711" i="3" a="1"/>
  <c r="X1711" i="3" s="1"/>
  <c r="W1711" i="3" a="1"/>
  <c r="W1711" i="3" s="1"/>
  <c r="V1711" i="3" a="1"/>
  <c r="V1711" i="3" s="1"/>
  <c r="Y1710" i="3" a="1"/>
  <c r="Y1710" i="3" s="1"/>
  <c r="X1710" i="3" a="1"/>
  <c r="X1710" i="3" s="1"/>
  <c r="W1710" i="3" a="1"/>
  <c r="W1710" i="3" s="1"/>
  <c r="V1710" i="3" a="1"/>
  <c r="V1710" i="3" s="1"/>
  <c r="Y1709" i="3" a="1"/>
  <c r="Y1709" i="3" s="1"/>
  <c r="X1709" i="3" a="1"/>
  <c r="X1709" i="3" s="1"/>
  <c r="W1709" i="3" a="1"/>
  <c r="W1709" i="3" s="1"/>
  <c r="V1709" i="3" a="1"/>
  <c r="V1709" i="3" s="1"/>
  <c r="Y1708" i="3" a="1"/>
  <c r="Y1708" i="3" s="1"/>
  <c r="X1708" i="3" a="1"/>
  <c r="X1708" i="3" s="1"/>
  <c r="W1708" i="3" a="1"/>
  <c r="W1708" i="3" s="1"/>
  <c r="V1708" i="3" a="1"/>
  <c r="V1708" i="3" s="1"/>
  <c r="Y1707" i="3" a="1"/>
  <c r="Y1707" i="3" s="1"/>
  <c r="X1707" i="3" a="1"/>
  <c r="X1707" i="3" s="1"/>
  <c r="W1707" i="3" a="1"/>
  <c r="W1707" i="3" s="1"/>
  <c r="V1707" i="3" a="1"/>
  <c r="V1707" i="3" s="1"/>
  <c r="Y1706" i="3" a="1"/>
  <c r="Y1706" i="3" s="1"/>
  <c r="X1706" i="3" a="1"/>
  <c r="X1706" i="3" s="1"/>
  <c r="W1706" i="3" a="1"/>
  <c r="W1706" i="3" s="1"/>
  <c r="V1706" i="3" a="1"/>
  <c r="V1706" i="3" s="1"/>
  <c r="Y1705" i="3" a="1"/>
  <c r="Y1705" i="3" s="1"/>
  <c r="X1705" i="3" a="1"/>
  <c r="X1705" i="3" s="1"/>
  <c r="W1705" i="3" a="1"/>
  <c r="W1705" i="3" s="1"/>
  <c r="V1705" i="3" a="1"/>
  <c r="V1705" i="3" s="1"/>
  <c r="Y1704" i="3" a="1"/>
  <c r="Y1704" i="3" s="1"/>
  <c r="X1704" i="3" a="1"/>
  <c r="X1704" i="3" s="1"/>
  <c r="W1704" i="3" a="1"/>
  <c r="W1704" i="3" s="1"/>
  <c r="V1704" i="3" a="1"/>
  <c r="V1704" i="3" s="1"/>
  <c r="Y1703" i="3" a="1"/>
  <c r="Y1703" i="3" s="1"/>
  <c r="X1703" i="3" a="1"/>
  <c r="X1703" i="3" s="1"/>
  <c r="W1703" i="3" a="1"/>
  <c r="W1703" i="3" s="1"/>
  <c r="V1703" i="3" a="1"/>
  <c r="V1703" i="3" s="1"/>
  <c r="Y1702" i="3" a="1"/>
  <c r="Y1702" i="3" s="1"/>
  <c r="X1702" i="3" a="1"/>
  <c r="X1702" i="3" s="1"/>
  <c r="W1702" i="3" a="1"/>
  <c r="W1702" i="3" s="1"/>
  <c r="V1702" i="3" a="1"/>
  <c r="V1702" i="3" s="1"/>
  <c r="Y1701" i="3" a="1"/>
  <c r="Y1701" i="3" s="1"/>
  <c r="X1701" i="3" a="1"/>
  <c r="X1701" i="3" s="1"/>
  <c r="W1701" i="3" a="1"/>
  <c r="W1701" i="3" s="1"/>
  <c r="V1701" i="3" a="1"/>
  <c r="V1701" i="3" s="1"/>
  <c r="Y1700" i="3" a="1"/>
  <c r="Y1700" i="3" s="1"/>
  <c r="X1700" i="3" a="1"/>
  <c r="X1700" i="3" s="1"/>
  <c r="W1700" i="3" a="1"/>
  <c r="W1700" i="3" s="1"/>
  <c r="V1700" i="3" a="1"/>
  <c r="V1700" i="3" s="1"/>
  <c r="Y1699" i="3" a="1"/>
  <c r="Y1699" i="3" s="1"/>
  <c r="X1699" i="3" a="1"/>
  <c r="X1699" i="3" s="1"/>
  <c r="W1699" i="3" a="1"/>
  <c r="W1699" i="3" s="1"/>
  <c r="V1699" i="3" a="1"/>
  <c r="V1699" i="3" s="1"/>
  <c r="Y1698" i="3" a="1"/>
  <c r="Y1698" i="3" s="1"/>
  <c r="X1698" i="3" a="1"/>
  <c r="X1698" i="3" s="1"/>
  <c r="W1698" i="3" a="1"/>
  <c r="W1698" i="3" s="1"/>
  <c r="V1698" i="3" a="1"/>
  <c r="V1698" i="3" s="1"/>
  <c r="Y1697" i="3" a="1"/>
  <c r="Y1697" i="3" s="1"/>
  <c r="X1697" i="3" a="1"/>
  <c r="X1697" i="3" s="1"/>
  <c r="W1697" i="3" a="1"/>
  <c r="W1697" i="3" s="1"/>
  <c r="V1697" i="3" a="1"/>
  <c r="V1697" i="3" s="1"/>
  <c r="Y1696" i="3" a="1"/>
  <c r="Y1696" i="3" s="1"/>
  <c r="X1696" i="3" a="1"/>
  <c r="X1696" i="3" s="1"/>
  <c r="W1696" i="3" a="1"/>
  <c r="W1696" i="3" s="1"/>
  <c r="V1696" i="3" a="1"/>
  <c r="V1696" i="3" s="1"/>
  <c r="Y1695" i="3" a="1"/>
  <c r="Y1695" i="3" s="1"/>
  <c r="X1695" i="3" a="1"/>
  <c r="X1695" i="3" s="1"/>
  <c r="W1695" i="3" a="1"/>
  <c r="W1695" i="3" s="1"/>
  <c r="V1695" i="3" a="1"/>
  <c r="V1695" i="3" s="1"/>
  <c r="Y1694" i="3" a="1"/>
  <c r="Y1694" i="3" s="1"/>
  <c r="X1694" i="3" a="1"/>
  <c r="X1694" i="3" s="1"/>
  <c r="W1694" i="3" a="1"/>
  <c r="W1694" i="3" s="1"/>
  <c r="V1694" i="3" a="1"/>
  <c r="V1694" i="3" s="1"/>
  <c r="Y1693" i="3" a="1"/>
  <c r="Y1693" i="3" s="1"/>
  <c r="X1693" i="3" a="1"/>
  <c r="X1693" i="3" s="1"/>
  <c r="W1693" i="3" a="1"/>
  <c r="W1693" i="3" s="1"/>
  <c r="V1693" i="3" a="1"/>
  <c r="V1693" i="3" s="1"/>
  <c r="Y1692" i="3" a="1"/>
  <c r="Y1692" i="3" s="1"/>
  <c r="X1692" i="3" a="1"/>
  <c r="X1692" i="3" s="1"/>
  <c r="W1692" i="3" a="1"/>
  <c r="W1692" i="3" s="1"/>
  <c r="V1692" i="3" a="1"/>
  <c r="V1692" i="3" s="1"/>
  <c r="Y1691" i="3" a="1"/>
  <c r="Y1691" i="3" s="1"/>
  <c r="X1691" i="3" a="1"/>
  <c r="X1691" i="3" s="1"/>
  <c r="W1691" i="3" a="1"/>
  <c r="W1691" i="3" s="1"/>
  <c r="V1691" i="3" a="1"/>
  <c r="V1691" i="3" s="1"/>
  <c r="Y1690" i="3" a="1"/>
  <c r="Y1690" i="3" s="1"/>
  <c r="X1690" i="3" a="1"/>
  <c r="X1690" i="3" s="1"/>
  <c r="W1690" i="3" a="1"/>
  <c r="W1690" i="3" s="1"/>
  <c r="V1690" i="3" a="1"/>
  <c r="V1690" i="3" s="1"/>
  <c r="Y1689" i="3" a="1"/>
  <c r="Y1689" i="3" s="1"/>
  <c r="X1689" i="3" a="1"/>
  <c r="X1689" i="3" s="1"/>
  <c r="W1689" i="3" a="1"/>
  <c r="W1689" i="3" s="1"/>
  <c r="V1689" i="3" a="1"/>
  <c r="V1689" i="3" s="1"/>
  <c r="Y1688" i="3" a="1"/>
  <c r="Y1688" i="3" s="1"/>
  <c r="X1688" i="3" a="1"/>
  <c r="X1688" i="3" s="1"/>
  <c r="W1688" i="3" a="1"/>
  <c r="W1688" i="3" s="1"/>
  <c r="V1688" i="3" a="1"/>
  <c r="V1688" i="3" s="1"/>
  <c r="Y1687" i="3" a="1"/>
  <c r="Y1687" i="3" s="1"/>
  <c r="X1687" i="3" a="1"/>
  <c r="X1687" i="3" s="1"/>
  <c r="W1687" i="3" a="1"/>
  <c r="W1687" i="3" s="1"/>
  <c r="V1687" i="3" a="1"/>
  <c r="V1687" i="3" s="1"/>
  <c r="Y1686" i="3" a="1"/>
  <c r="Y1686" i="3" s="1"/>
  <c r="X1686" i="3" a="1"/>
  <c r="X1686" i="3" s="1"/>
  <c r="W1686" i="3" a="1"/>
  <c r="W1686" i="3" s="1"/>
  <c r="V1686" i="3" a="1"/>
  <c r="V1686" i="3" s="1"/>
  <c r="Y1685" i="3" a="1"/>
  <c r="Y1685" i="3" s="1"/>
  <c r="X1685" i="3" a="1"/>
  <c r="X1685" i="3" s="1"/>
  <c r="W1685" i="3" a="1"/>
  <c r="W1685" i="3" s="1"/>
  <c r="V1685" i="3" a="1"/>
  <c r="V1685" i="3" s="1"/>
  <c r="Y1684" i="3" a="1"/>
  <c r="Y1684" i="3" s="1"/>
  <c r="X1684" i="3" a="1"/>
  <c r="X1684" i="3" s="1"/>
  <c r="W1684" i="3" a="1"/>
  <c r="W1684" i="3" s="1"/>
  <c r="V1684" i="3" a="1"/>
  <c r="V1684" i="3" s="1"/>
  <c r="Y1683" i="3" a="1"/>
  <c r="Y1683" i="3" s="1"/>
  <c r="X1683" i="3" a="1"/>
  <c r="X1683" i="3" s="1"/>
  <c r="W1683" i="3" a="1"/>
  <c r="W1683" i="3" s="1"/>
  <c r="V1683" i="3" a="1"/>
  <c r="V1683" i="3" s="1"/>
  <c r="Y1682" i="3" a="1"/>
  <c r="Y1682" i="3" s="1"/>
  <c r="X1682" i="3" a="1"/>
  <c r="X1682" i="3" s="1"/>
  <c r="W1682" i="3" a="1"/>
  <c r="W1682" i="3" s="1"/>
  <c r="V1682" i="3" a="1"/>
  <c r="V1682" i="3" s="1"/>
  <c r="Y1681" i="3" a="1"/>
  <c r="Y1681" i="3" s="1"/>
  <c r="X1681" i="3" a="1"/>
  <c r="X1681" i="3" s="1"/>
  <c r="W1681" i="3" a="1"/>
  <c r="W1681" i="3" s="1"/>
  <c r="V1681" i="3" a="1"/>
  <c r="V1681" i="3" s="1"/>
  <c r="Y1680" i="3" a="1"/>
  <c r="Y1680" i="3" s="1"/>
  <c r="X1680" i="3" a="1"/>
  <c r="X1680" i="3" s="1"/>
  <c r="W1680" i="3" a="1"/>
  <c r="W1680" i="3" s="1"/>
  <c r="V1680" i="3" a="1"/>
  <c r="V1680" i="3" s="1"/>
  <c r="Y1679" i="3" a="1"/>
  <c r="Y1679" i="3" s="1"/>
  <c r="X1679" i="3" a="1"/>
  <c r="X1679" i="3" s="1"/>
  <c r="W1679" i="3" a="1"/>
  <c r="W1679" i="3" s="1"/>
  <c r="V1679" i="3" a="1"/>
  <c r="V1679" i="3" s="1"/>
  <c r="Y1678" i="3" a="1"/>
  <c r="Y1678" i="3" s="1"/>
  <c r="X1678" i="3" a="1"/>
  <c r="X1678" i="3" s="1"/>
  <c r="W1678" i="3" a="1"/>
  <c r="W1678" i="3" s="1"/>
  <c r="V1678" i="3" a="1"/>
  <c r="V1678" i="3" s="1"/>
  <c r="Y1677" i="3" a="1"/>
  <c r="Y1677" i="3" s="1"/>
  <c r="X1677" i="3" a="1"/>
  <c r="X1677" i="3" s="1"/>
  <c r="W1677" i="3" a="1"/>
  <c r="W1677" i="3" s="1"/>
  <c r="V1677" i="3" a="1"/>
  <c r="V1677" i="3" s="1"/>
  <c r="Y1676" i="3" a="1"/>
  <c r="Y1676" i="3" s="1"/>
  <c r="X1676" i="3" a="1"/>
  <c r="X1676" i="3" s="1"/>
  <c r="W1676" i="3" a="1"/>
  <c r="W1676" i="3" s="1"/>
  <c r="V1676" i="3" a="1"/>
  <c r="V1676" i="3" s="1"/>
  <c r="Y1675" i="3" a="1"/>
  <c r="Y1675" i="3" s="1"/>
  <c r="X1675" i="3" a="1"/>
  <c r="X1675" i="3" s="1"/>
  <c r="W1675" i="3" a="1"/>
  <c r="W1675" i="3" s="1"/>
  <c r="V1675" i="3" a="1"/>
  <c r="V1675" i="3" s="1"/>
  <c r="Y1674" i="3" a="1"/>
  <c r="Y1674" i="3" s="1"/>
  <c r="X1674" i="3" a="1"/>
  <c r="X1674" i="3" s="1"/>
  <c r="W1674" i="3" a="1"/>
  <c r="W1674" i="3" s="1"/>
  <c r="V1674" i="3" a="1"/>
  <c r="V1674" i="3" s="1"/>
  <c r="Y1673" i="3" a="1"/>
  <c r="Y1673" i="3" s="1"/>
  <c r="X1673" i="3" a="1"/>
  <c r="X1673" i="3" s="1"/>
  <c r="W1673" i="3" a="1"/>
  <c r="W1673" i="3" s="1"/>
  <c r="V1673" i="3" a="1"/>
  <c r="V1673" i="3" s="1"/>
  <c r="Y1672" i="3" a="1"/>
  <c r="Y1672" i="3" s="1"/>
  <c r="X1672" i="3" a="1"/>
  <c r="X1672" i="3" s="1"/>
  <c r="W1672" i="3" a="1"/>
  <c r="W1672" i="3" s="1"/>
  <c r="V1672" i="3" a="1"/>
  <c r="V1672" i="3" s="1"/>
  <c r="Y1671" i="3" a="1"/>
  <c r="Y1671" i="3" s="1"/>
  <c r="X1671" i="3" a="1"/>
  <c r="X1671" i="3" s="1"/>
  <c r="W1671" i="3" a="1"/>
  <c r="W1671" i="3" s="1"/>
  <c r="V1671" i="3" a="1"/>
  <c r="V1671" i="3" s="1"/>
  <c r="Y1670" i="3" a="1"/>
  <c r="Y1670" i="3" s="1"/>
  <c r="X1670" i="3" a="1"/>
  <c r="X1670" i="3" s="1"/>
  <c r="W1670" i="3" a="1"/>
  <c r="W1670" i="3" s="1"/>
  <c r="V1670" i="3" a="1"/>
  <c r="V1670" i="3" s="1"/>
  <c r="Y1669" i="3" a="1"/>
  <c r="Y1669" i="3" s="1"/>
  <c r="X1669" i="3" a="1"/>
  <c r="X1669" i="3" s="1"/>
  <c r="W1669" i="3" a="1"/>
  <c r="W1669" i="3" s="1"/>
  <c r="V1669" i="3" a="1"/>
  <c r="V1669" i="3" s="1"/>
  <c r="Y1668" i="3" a="1"/>
  <c r="Y1668" i="3" s="1"/>
  <c r="X1668" i="3" a="1"/>
  <c r="X1668" i="3" s="1"/>
  <c r="W1668" i="3" a="1"/>
  <c r="W1668" i="3" s="1"/>
  <c r="V1668" i="3" a="1"/>
  <c r="V1668" i="3" s="1"/>
  <c r="Y1667" i="3" a="1"/>
  <c r="Y1667" i="3" s="1"/>
  <c r="X1667" i="3" a="1"/>
  <c r="X1667" i="3" s="1"/>
  <c r="W1667" i="3" a="1"/>
  <c r="W1667" i="3" s="1"/>
  <c r="V1667" i="3" a="1"/>
  <c r="V1667" i="3" s="1"/>
  <c r="Y1666" i="3" a="1"/>
  <c r="Y1666" i="3" s="1"/>
  <c r="X1666" i="3" a="1"/>
  <c r="X1666" i="3" s="1"/>
  <c r="W1666" i="3" a="1"/>
  <c r="W1666" i="3" s="1"/>
  <c r="V1666" i="3" a="1"/>
  <c r="V1666" i="3" s="1"/>
  <c r="Y1665" i="3" a="1"/>
  <c r="Y1665" i="3" s="1"/>
  <c r="X1665" i="3" a="1"/>
  <c r="X1665" i="3" s="1"/>
  <c r="W1665" i="3" a="1"/>
  <c r="W1665" i="3" s="1"/>
  <c r="V1665" i="3" a="1"/>
  <c r="V1665" i="3" s="1"/>
  <c r="Y1664" i="3" a="1"/>
  <c r="Y1664" i="3" s="1"/>
  <c r="X1664" i="3" a="1"/>
  <c r="X1664" i="3" s="1"/>
  <c r="W1664" i="3" a="1"/>
  <c r="W1664" i="3" s="1"/>
  <c r="V1664" i="3" a="1"/>
  <c r="V1664" i="3" s="1"/>
  <c r="Y1663" i="3" a="1"/>
  <c r="Y1663" i="3" s="1"/>
  <c r="X1663" i="3" a="1"/>
  <c r="X1663" i="3" s="1"/>
  <c r="W1663" i="3" a="1"/>
  <c r="W1663" i="3" s="1"/>
  <c r="V1663" i="3" a="1"/>
  <c r="V1663" i="3" s="1"/>
  <c r="Y1662" i="3" a="1"/>
  <c r="Y1662" i="3" s="1"/>
  <c r="X1662" i="3" a="1"/>
  <c r="X1662" i="3" s="1"/>
  <c r="W1662" i="3" a="1"/>
  <c r="W1662" i="3" s="1"/>
  <c r="V1662" i="3" a="1"/>
  <c r="V1662" i="3" s="1"/>
  <c r="Y1661" i="3" a="1"/>
  <c r="Y1661" i="3" s="1"/>
  <c r="X1661" i="3" a="1"/>
  <c r="X1661" i="3" s="1"/>
  <c r="W1661" i="3" a="1"/>
  <c r="W1661" i="3" s="1"/>
  <c r="V1661" i="3" a="1"/>
  <c r="V1661" i="3" s="1"/>
  <c r="Y1660" i="3" a="1"/>
  <c r="Y1660" i="3" s="1"/>
  <c r="X1660" i="3" a="1"/>
  <c r="X1660" i="3" s="1"/>
  <c r="W1660" i="3" a="1"/>
  <c r="W1660" i="3" s="1"/>
  <c r="V1660" i="3" a="1"/>
  <c r="V1660" i="3" s="1"/>
  <c r="Y1659" i="3" a="1"/>
  <c r="Y1659" i="3" s="1"/>
  <c r="X1659" i="3" a="1"/>
  <c r="X1659" i="3" s="1"/>
  <c r="W1659" i="3" a="1"/>
  <c r="W1659" i="3" s="1"/>
  <c r="V1659" i="3" a="1"/>
  <c r="V1659" i="3" s="1"/>
  <c r="Y1658" i="3" a="1"/>
  <c r="Y1658" i="3" s="1"/>
  <c r="X1658" i="3" a="1"/>
  <c r="X1658" i="3" s="1"/>
  <c r="W1658" i="3" a="1"/>
  <c r="W1658" i="3" s="1"/>
  <c r="V1658" i="3" a="1"/>
  <c r="V1658" i="3" s="1"/>
  <c r="Y1657" i="3" a="1"/>
  <c r="Y1657" i="3" s="1"/>
  <c r="X1657" i="3" a="1"/>
  <c r="X1657" i="3" s="1"/>
  <c r="W1657" i="3" a="1"/>
  <c r="W1657" i="3" s="1"/>
  <c r="V1657" i="3" a="1"/>
  <c r="V1657" i="3" s="1"/>
  <c r="Y1656" i="3" a="1"/>
  <c r="Y1656" i="3" s="1"/>
  <c r="X1656" i="3" a="1"/>
  <c r="X1656" i="3" s="1"/>
  <c r="W1656" i="3" a="1"/>
  <c r="W1656" i="3" s="1"/>
  <c r="V1656" i="3" a="1"/>
  <c r="V1656" i="3" s="1"/>
  <c r="Y1655" i="3" a="1"/>
  <c r="Y1655" i="3" s="1"/>
  <c r="X1655" i="3" a="1"/>
  <c r="X1655" i="3" s="1"/>
  <c r="W1655" i="3" a="1"/>
  <c r="W1655" i="3" s="1"/>
  <c r="V1655" i="3" a="1"/>
  <c r="V1655" i="3" s="1"/>
  <c r="Y1654" i="3" a="1"/>
  <c r="Y1654" i="3" s="1"/>
  <c r="X1654" i="3" a="1"/>
  <c r="X1654" i="3" s="1"/>
  <c r="W1654" i="3" a="1"/>
  <c r="W1654" i="3" s="1"/>
  <c r="V1654" i="3" a="1"/>
  <c r="V1654" i="3" s="1"/>
  <c r="Y1653" i="3" a="1"/>
  <c r="Y1653" i="3" s="1"/>
  <c r="X1653" i="3" a="1"/>
  <c r="X1653" i="3" s="1"/>
  <c r="W1653" i="3" a="1"/>
  <c r="W1653" i="3" s="1"/>
  <c r="V1653" i="3" a="1"/>
  <c r="V1653" i="3" s="1"/>
  <c r="Y1652" i="3" a="1"/>
  <c r="Y1652" i="3" s="1"/>
  <c r="X1652" i="3" a="1"/>
  <c r="X1652" i="3" s="1"/>
  <c r="W1652" i="3" a="1"/>
  <c r="W1652" i="3" s="1"/>
  <c r="V1652" i="3" a="1"/>
  <c r="V1652" i="3" s="1"/>
  <c r="Y1651" i="3" a="1"/>
  <c r="Y1651" i="3" s="1"/>
  <c r="X1651" i="3" a="1"/>
  <c r="X1651" i="3" s="1"/>
  <c r="W1651" i="3" a="1"/>
  <c r="W1651" i="3" s="1"/>
  <c r="V1651" i="3" a="1"/>
  <c r="V1651" i="3" s="1"/>
  <c r="Y1650" i="3" a="1"/>
  <c r="Y1650" i="3" s="1"/>
  <c r="X1650" i="3" a="1"/>
  <c r="X1650" i="3" s="1"/>
  <c r="W1650" i="3" a="1"/>
  <c r="W1650" i="3" s="1"/>
  <c r="V1650" i="3" a="1"/>
  <c r="V1650" i="3" s="1"/>
  <c r="Y1649" i="3" a="1"/>
  <c r="Y1649" i="3" s="1"/>
  <c r="X1649" i="3" a="1"/>
  <c r="X1649" i="3" s="1"/>
  <c r="W1649" i="3" a="1"/>
  <c r="W1649" i="3" s="1"/>
  <c r="V1649" i="3" a="1"/>
  <c r="V1649" i="3" s="1"/>
  <c r="Y1648" i="3" a="1"/>
  <c r="Y1648" i="3" s="1"/>
  <c r="X1648" i="3" a="1"/>
  <c r="X1648" i="3" s="1"/>
  <c r="W1648" i="3" a="1"/>
  <c r="W1648" i="3" s="1"/>
  <c r="V1648" i="3" a="1"/>
  <c r="V1648" i="3" s="1"/>
  <c r="Y1647" i="3" a="1"/>
  <c r="Y1647" i="3" s="1"/>
  <c r="X1647" i="3" a="1"/>
  <c r="X1647" i="3" s="1"/>
  <c r="W1647" i="3" a="1"/>
  <c r="W1647" i="3" s="1"/>
  <c r="V1647" i="3" a="1"/>
  <c r="V1647" i="3" s="1"/>
  <c r="Y1646" i="3" a="1"/>
  <c r="Y1646" i="3" s="1"/>
  <c r="X1646" i="3" a="1"/>
  <c r="X1646" i="3" s="1"/>
  <c r="W1646" i="3" a="1"/>
  <c r="W1646" i="3" s="1"/>
  <c r="V1646" i="3" a="1"/>
  <c r="V1646" i="3" s="1"/>
  <c r="Y1645" i="3" a="1"/>
  <c r="Y1645" i="3" s="1"/>
  <c r="X1645" i="3" a="1"/>
  <c r="X1645" i="3" s="1"/>
  <c r="W1645" i="3" a="1"/>
  <c r="W1645" i="3" s="1"/>
  <c r="V1645" i="3" a="1"/>
  <c r="V1645" i="3" s="1"/>
  <c r="L8" i="6" l="1"/>
  <c r="L9" i="6"/>
  <c r="J10" i="6"/>
  <c r="N38" i="5"/>
  <c r="E48" i="5"/>
  <c r="D48" i="5"/>
  <c r="E46" i="5"/>
  <c r="D46" i="5"/>
  <c r="E44" i="5"/>
  <c r="D44" i="5"/>
  <c r="E41" i="5"/>
  <c r="D41" i="5"/>
  <c r="L38" i="5"/>
  <c r="H38" i="5"/>
  <c r="E38" i="5"/>
  <c r="D38" i="5"/>
  <c r="E35" i="5"/>
  <c r="D35" i="5"/>
  <c r="E27" i="5"/>
  <c r="D27" i="5"/>
  <c r="E24" i="5"/>
  <c r="D24" i="5"/>
  <c r="E22" i="5"/>
  <c r="D22" i="5"/>
  <c r="E19" i="5"/>
  <c r="D19" i="5"/>
  <c r="E16" i="5"/>
  <c r="D16" i="5"/>
  <c r="E15" i="5"/>
  <c r="D15" i="5"/>
  <c r="E13" i="5"/>
  <c r="D13" i="5"/>
  <c r="E87" i="5"/>
  <c r="D87" i="5"/>
  <c r="E105" i="5"/>
  <c r="D105" i="5"/>
  <c r="E94" i="5"/>
  <c r="D94" i="5"/>
  <c r="E83" i="5"/>
  <c r="D83" i="5"/>
  <c r="E72" i="5"/>
  <c r="D72" i="5"/>
  <c r="J11" i="6" l="1"/>
  <c r="K10" i="6"/>
  <c r="E88" i="5"/>
  <c r="D88" i="5"/>
  <c r="A26" i="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J58" i="2"/>
  <c r="I58" i="2"/>
  <c r="H58" i="2"/>
  <c r="G58" i="2"/>
  <c r="F58" i="2"/>
  <c r="E58" i="2"/>
  <c r="D58" i="2"/>
  <c r="C58" i="2"/>
  <c r="B58" i="2"/>
  <c r="J1114" i="1"/>
  <c r="I1114" i="1"/>
  <c r="H1114" i="1"/>
  <c r="G1114" i="1"/>
  <c r="F1114" i="1"/>
  <c r="E1114" i="1"/>
  <c r="D1114" i="1"/>
  <c r="C1114" i="1"/>
  <c r="B1114" i="1"/>
  <c r="L10" i="6" l="1"/>
  <c r="J12" i="6"/>
  <c r="K11" i="6"/>
  <c r="L11" i="6" s="1"/>
  <c r="B17" i="1"/>
  <c r="B19" i="1" s="1"/>
  <c r="J13" i="6" l="1"/>
  <c r="K12" i="6"/>
  <c r="Y2389" i="3" a="1"/>
  <c r="Y2389" i="3" s="1"/>
  <c r="X2389" i="3" a="1"/>
  <c r="X2389" i="3" s="1"/>
  <c r="W2389" i="3" a="1"/>
  <c r="W2389" i="3" s="1"/>
  <c r="V2389" i="3" a="1"/>
  <c r="V2389" i="3" s="1"/>
  <c r="Y2377" i="3" a="1"/>
  <c r="Y2377" i="3" s="1"/>
  <c r="X2377" i="3" a="1"/>
  <c r="X2377" i="3" s="1"/>
  <c r="W2377" i="3" a="1"/>
  <c r="W2377" i="3" s="1"/>
  <c r="V2377" i="3" a="1"/>
  <c r="V2377" i="3" s="1"/>
  <c r="Y734" i="3" a="1"/>
  <c r="Y734" i="3" s="1"/>
  <c r="X734" i="3" a="1"/>
  <c r="X734" i="3" s="1"/>
  <c r="W734" i="3" a="1"/>
  <c r="W734" i="3" s="1"/>
  <c r="V734" i="3" a="1"/>
  <c r="V734" i="3" s="1"/>
  <c r="J14" i="6" l="1"/>
  <c r="K13" i="6"/>
  <c r="L13" i="6"/>
  <c r="L12" i="6"/>
  <c r="B15" i="3"/>
  <c r="B16" i="2"/>
  <c r="J15" i="6" l="1"/>
  <c r="K14" i="6"/>
  <c r="L14" i="6" s="1"/>
  <c r="Y2356" i="3" a="1"/>
  <c r="Y2356" i="3" s="1"/>
  <c r="X2356" i="3" a="1"/>
  <c r="X2356" i="3" s="1"/>
  <c r="W2356" i="3" a="1"/>
  <c r="W2356" i="3" s="1"/>
  <c r="V2356" i="3" a="1"/>
  <c r="V2356" i="3" s="1"/>
  <c r="Y2332" i="3" a="1"/>
  <c r="Y2332" i="3" s="1"/>
  <c r="X2332" i="3" a="1"/>
  <c r="X2332" i="3" s="1"/>
  <c r="W2332" i="3" a="1"/>
  <c r="W2332" i="3" s="1"/>
  <c r="V2332" i="3" a="1"/>
  <c r="V2332" i="3" s="1"/>
  <c r="Y2329" i="3" a="1"/>
  <c r="Y2329" i="3" s="1"/>
  <c r="X2329" i="3" a="1"/>
  <c r="X2329" i="3" s="1"/>
  <c r="W2329" i="3" a="1"/>
  <c r="W2329" i="3" s="1"/>
  <c r="V2329" i="3" a="1"/>
  <c r="V2329" i="3" s="1"/>
  <c r="Y2322" i="3" a="1"/>
  <c r="Y2322" i="3" s="1"/>
  <c r="X2322" i="3" a="1"/>
  <c r="X2322" i="3" s="1"/>
  <c r="W2322" i="3" a="1"/>
  <c r="W2322" i="3" s="1"/>
  <c r="V2322" i="3" a="1"/>
  <c r="V2322" i="3" s="1"/>
  <c r="Y2317" i="3" a="1"/>
  <c r="Y2317" i="3" s="1"/>
  <c r="X2317" i="3" a="1"/>
  <c r="X2317" i="3" s="1"/>
  <c r="W2317" i="3" a="1"/>
  <c r="W2317" i="3" s="1"/>
  <c r="V2317" i="3" a="1"/>
  <c r="V2317" i="3" s="1"/>
  <c r="Y2314" i="3" a="1"/>
  <c r="Y2314" i="3" s="1"/>
  <c r="X2314" i="3" a="1"/>
  <c r="X2314" i="3" s="1"/>
  <c r="W2314" i="3" a="1"/>
  <c r="W2314" i="3" s="1"/>
  <c r="V2314" i="3" a="1"/>
  <c r="V2314" i="3" s="1"/>
  <c r="Y2301" i="3" a="1"/>
  <c r="Y2301" i="3" s="1"/>
  <c r="X2301" i="3" a="1"/>
  <c r="X2301" i="3" s="1"/>
  <c r="W2301" i="3" a="1"/>
  <c r="W2301" i="3" s="1"/>
  <c r="V2301" i="3" a="1"/>
  <c r="V2301" i="3" s="1"/>
  <c r="Y2299" i="3" a="1"/>
  <c r="Y2299" i="3" s="1"/>
  <c r="X2299" i="3" a="1"/>
  <c r="X2299" i="3" s="1"/>
  <c r="W2299" i="3" a="1"/>
  <c r="W2299" i="3" s="1"/>
  <c r="V2299" i="3" a="1"/>
  <c r="V2299" i="3" s="1"/>
  <c r="Y2298" i="3" a="1"/>
  <c r="Y2298" i="3" s="1"/>
  <c r="X2298" i="3" a="1"/>
  <c r="X2298" i="3" s="1"/>
  <c r="W2298" i="3" a="1"/>
  <c r="W2298" i="3" s="1"/>
  <c r="V2298" i="3" a="1"/>
  <c r="V2298" i="3" s="1"/>
  <c r="Y2296" i="3" a="1"/>
  <c r="Y2296" i="3" s="1"/>
  <c r="X2296" i="3" a="1"/>
  <c r="X2296" i="3" s="1"/>
  <c r="W2296" i="3" a="1"/>
  <c r="W2296" i="3" s="1"/>
  <c r="V2296" i="3" a="1"/>
  <c r="V2296" i="3" s="1"/>
  <c r="Y2295" i="3" a="1"/>
  <c r="Y2295" i="3" s="1"/>
  <c r="X2295" i="3" a="1"/>
  <c r="X2295" i="3" s="1"/>
  <c r="W2295" i="3" a="1"/>
  <c r="W2295" i="3" s="1"/>
  <c r="V2295" i="3" a="1"/>
  <c r="V2295" i="3" s="1"/>
  <c r="Y2293" i="3" a="1"/>
  <c r="Y2293" i="3" s="1"/>
  <c r="X2293" i="3" a="1"/>
  <c r="X2293" i="3" s="1"/>
  <c r="W2293" i="3" a="1"/>
  <c r="W2293" i="3" s="1"/>
  <c r="V2293" i="3" a="1"/>
  <c r="V2293" i="3" s="1"/>
  <c r="Y2292" i="3" a="1"/>
  <c r="Y2292" i="3" s="1"/>
  <c r="X2292" i="3" a="1"/>
  <c r="X2292" i="3" s="1"/>
  <c r="W2292" i="3" a="1"/>
  <c r="W2292" i="3" s="1"/>
  <c r="V2292" i="3" a="1"/>
  <c r="V2292" i="3" s="1"/>
  <c r="Y2290" i="3" a="1"/>
  <c r="Y2290" i="3" s="1"/>
  <c r="X2290" i="3" a="1"/>
  <c r="X2290" i="3" s="1"/>
  <c r="W2290" i="3" a="1"/>
  <c r="W2290" i="3" s="1"/>
  <c r="V2290" i="3" a="1"/>
  <c r="V2290" i="3" s="1"/>
  <c r="Y2289" i="3" a="1"/>
  <c r="Y2289" i="3" s="1"/>
  <c r="X2289" i="3" a="1"/>
  <c r="X2289" i="3" s="1"/>
  <c r="W2289" i="3" a="1"/>
  <c r="W2289" i="3" s="1"/>
  <c r="V2289" i="3" a="1"/>
  <c r="V2289" i="3" s="1"/>
  <c r="Y2287" i="3" a="1"/>
  <c r="Y2287" i="3" s="1"/>
  <c r="X2287" i="3" a="1"/>
  <c r="X2287" i="3" s="1"/>
  <c r="W2287" i="3" a="1"/>
  <c r="W2287" i="3" s="1"/>
  <c r="V2287" i="3" a="1"/>
  <c r="V2287" i="3" s="1"/>
  <c r="Y2286" i="3" a="1"/>
  <c r="Y2286" i="3" s="1"/>
  <c r="X2286" i="3" a="1"/>
  <c r="X2286" i="3" s="1"/>
  <c r="W2286" i="3" a="1"/>
  <c r="W2286" i="3" s="1"/>
  <c r="V2286" i="3" a="1"/>
  <c r="V2286" i="3" s="1"/>
  <c r="Y618" i="3" a="1"/>
  <c r="Y618" i="3" s="1"/>
  <c r="X618" i="3" a="1"/>
  <c r="X618" i="3" s="1"/>
  <c r="W618" i="3" a="1"/>
  <c r="W618" i="3" s="1"/>
  <c r="V618" i="3" a="1"/>
  <c r="V618" i="3" s="1"/>
  <c r="Y617" i="3" a="1"/>
  <c r="Y617" i="3" s="1"/>
  <c r="X617" i="3" a="1"/>
  <c r="X617" i="3" s="1"/>
  <c r="W617" i="3" a="1"/>
  <c r="W617" i="3" s="1"/>
  <c r="V617" i="3" a="1"/>
  <c r="V617" i="3" s="1"/>
  <c r="Y509" i="3" a="1"/>
  <c r="Y509" i="3" s="1"/>
  <c r="X509" i="3" a="1"/>
  <c r="X509" i="3" s="1"/>
  <c r="W509" i="3" a="1"/>
  <c r="W509" i="3" s="1"/>
  <c r="V509" i="3" a="1"/>
  <c r="V509" i="3" s="1"/>
  <c r="Y495" i="3" a="1"/>
  <c r="Y495" i="3" s="1"/>
  <c r="X495" i="3" a="1"/>
  <c r="X495" i="3" s="1"/>
  <c r="W495" i="3" a="1"/>
  <c r="W495" i="3" s="1"/>
  <c r="V495" i="3" a="1"/>
  <c r="V495" i="3" s="1"/>
  <c r="Y494" i="3" a="1"/>
  <c r="Y494" i="3" s="1"/>
  <c r="X494" i="3" a="1"/>
  <c r="X494" i="3" s="1"/>
  <c r="W494" i="3" a="1"/>
  <c r="W494" i="3" s="1"/>
  <c r="V494" i="3" a="1"/>
  <c r="V494" i="3" s="1"/>
  <c r="Y492" i="3" a="1"/>
  <c r="Y492" i="3" s="1"/>
  <c r="X492" i="3" a="1"/>
  <c r="X492" i="3" s="1"/>
  <c r="W492" i="3" a="1"/>
  <c r="W492" i="3" s="1"/>
  <c r="V492" i="3" a="1"/>
  <c r="V492" i="3" s="1"/>
  <c r="Y491" i="3" a="1"/>
  <c r="Y491" i="3" s="1"/>
  <c r="X491" i="3" a="1"/>
  <c r="X491" i="3" s="1"/>
  <c r="W491" i="3" a="1"/>
  <c r="W491" i="3" s="1"/>
  <c r="V491" i="3" a="1"/>
  <c r="V491" i="3" s="1"/>
  <c r="Y489" i="3" a="1"/>
  <c r="Y489" i="3" s="1"/>
  <c r="X489" i="3" a="1"/>
  <c r="X489" i="3" s="1"/>
  <c r="W489" i="3" a="1"/>
  <c r="W489" i="3" s="1"/>
  <c r="V489" i="3" a="1"/>
  <c r="V489" i="3" s="1"/>
  <c r="Y488" i="3" a="1"/>
  <c r="Y488" i="3" s="1"/>
  <c r="X488" i="3" a="1"/>
  <c r="X488" i="3" s="1"/>
  <c r="W488" i="3" a="1"/>
  <c r="W488" i="3" s="1"/>
  <c r="V488" i="3" a="1"/>
  <c r="V488" i="3" s="1"/>
  <c r="Y486" i="3" a="1"/>
  <c r="Y486" i="3" s="1"/>
  <c r="X486" i="3" a="1"/>
  <c r="X486" i="3" s="1"/>
  <c r="W486" i="3" a="1"/>
  <c r="W486" i="3" s="1"/>
  <c r="V486" i="3" a="1"/>
  <c r="V486" i="3" s="1"/>
  <c r="Y485" i="3" a="1"/>
  <c r="Y485" i="3" s="1"/>
  <c r="X485" i="3" a="1"/>
  <c r="X485" i="3" s="1"/>
  <c r="W485" i="3" a="1"/>
  <c r="W485" i="3" s="1"/>
  <c r="V485" i="3" a="1"/>
  <c r="V485" i="3" s="1"/>
  <c r="Y2418" i="3" a="1"/>
  <c r="Y2418" i="3" s="1"/>
  <c r="X2418" i="3" a="1"/>
  <c r="X2418" i="3" s="1"/>
  <c r="W2418" i="3" a="1"/>
  <c r="W2418" i="3" s="1"/>
  <c r="V2418" i="3" a="1"/>
  <c r="V2418" i="3" s="1"/>
  <c r="Y2417" i="3" a="1"/>
  <c r="Y2417" i="3" s="1"/>
  <c r="X2417" i="3" a="1"/>
  <c r="X2417" i="3" s="1"/>
  <c r="W2417" i="3" a="1"/>
  <c r="W2417" i="3" s="1"/>
  <c r="V2417" i="3" a="1"/>
  <c r="V2417" i="3" s="1"/>
  <c r="Y2416" i="3" a="1"/>
  <c r="Y2416" i="3" s="1"/>
  <c r="X2416" i="3" a="1"/>
  <c r="X2416" i="3" s="1"/>
  <c r="W2416" i="3" a="1"/>
  <c r="W2416" i="3" s="1"/>
  <c r="V2416" i="3" a="1"/>
  <c r="V2416" i="3" s="1"/>
  <c r="Y2415" i="3" a="1"/>
  <c r="Y2415" i="3" s="1"/>
  <c r="X2415" i="3" a="1"/>
  <c r="X2415" i="3" s="1"/>
  <c r="W2415" i="3" a="1"/>
  <c r="W2415" i="3" s="1"/>
  <c r="V2415" i="3" a="1"/>
  <c r="V2415" i="3" s="1"/>
  <c r="Y2414" i="3" a="1"/>
  <c r="Y2414" i="3" s="1"/>
  <c r="X2414" i="3" a="1"/>
  <c r="X2414" i="3" s="1"/>
  <c r="W2414" i="3" a="1"/>
  <c r="W2414" i="3" s="1"/>
  <c r="V2414" i="3" a="1"/>
  <c r="V2414" i="3" s="1"/>
  <c r="Y2413" i="3" a="1"/>
  <c r="Y2413" i="3" s="1"/>
  <c r="X2413" i="3" a="1"/>
  <c r="X2413" i="3" s="1"/>
  <c r="W2413" i="3" a="1"/>
  <c r="W2413" i="3" s="1"/>
  <c r="V2413" i="3" a="1"/>
  <c r="V2413" i="3" s="1"/>
  <c r="Y2412" i="3" a="1"/>
  <c r="Y2412" i="3" s="1"/>
  <c r="X2412" i="3" a="1"/>
  <c r="X2412" i="3" s="1"/>
  <c r="W2412" i="3" a="1"/>
  <c r="W2412" i="3" s="1"/>
  <c r="V2412" i="3" a="1"/>
  <c r="V2412" i="3" s="1"/>
  <c r="Y2411" i="3" a="1"/>
  <c r="Y2411" i="3" s="1"/>
  <c r="X2411" i="3" a="1"/>
  <c r="X2411" i="3" s="1"/>
  <c r="W2411" i="3" a="1"/>
  <c r="W2411" i="3" s="1"/>
  <c r="V2411" i="3" a="1"/>
  <c r="V2411" i="3" s="1"/>
  <c r="Y2410" i="3" a="1"/>
  <c r="Y2410" i="3" s="1"/>
  <c r="X2410" i="3" a="1"/>
  <c r="X2410" i="3" s="1"/>
  <c r="W2410" i="3" a="1"/>
  <c r="W2410" i="3" s="1"/>
  <c r="V2410" i="3" a="1"/>
  <c r="V2410" i="3" s="1"/>
  <c r="Y2409" i="3" a="1"/>
  <c r="Y2409" i="3" s="1"/>
  <c r="X2409" i="3" a="1"/>
  <c r="X2409" i="3" s="1"/>
  <c r="W2409" i="3" a="1"/>
  <c r="W2409" i="3" s="1"/>
  <c r="V2409" i="3" a="1"/>
  <c r="V2409" i="3" s="1"/>
  <c r="Y2408" i="3" a="1"/>
  <c r="Y2408" i="3" s="1"/>
  <c r="X2408" i="3" a="1"/>
  <c r="X2408" i="3" s="1"/>
  <c r="W2408" i="3" a="1"/>
  <c r="W2408" i="3" s="1"/>
  <c r="V2408" i="3" a="1"/>
  <c r="V2408" i="3" s="1"/>
  <c r="Y2407" i="3" a="1"/>
  <c r="Y2407" i="3" s="1"/>
  <c r="X2407" i="3" a="1"/>
  <c r="X2407" i="3" s="1"/>
  <c r="W2407" i="3" a="1"/>
  <c r="W2407" i="3" s="1"/>
  <c r="V2407" i="3" a="1"/>
  <c r="V2407" i="3" s="1"/>
  <c r="Y2406" i="3" a="1"/>
  <c r="Y2406" i="3" s="1"/>
  <c r="X2406" i="3" a="1"/>
  <c r="X2406" i="3" s="1"/>
  <c r="W2406" i="3" a="1"/>
  <c r="W2406" i="3" s="1"/>
  <c r="V2406" i="3" a="1"/>
  <c r="V2406" i="3" s="1"/>
  <c r="Y2405" i="3" a="1"/>
  <c r="Y2405" i="3" s="1"/>
  <c r="X2405" i="3" a="1"/>
  <c r="X2405" i="3" s="1"/>
  <c r="W2405" i="3" a="1"/>
  <c r="W2405" i="3" s="1"/>
  <c r="V2405" i="3" a="1"/>
  <c r="V2405" i="3" s="1"/>
  <c r="Y2404" i="3" a="1"/>
  <c r="Y2404" i="3" s="1"/>
  <c r="X2404" i="3" a="1"/>
  <c r="X2404" i="3" s="1"/>
  <c r="W2404" i="3" a="1"/>
  <c r="W2404" i="3" s="1"/>
  <c r="V2404" i="3" a="1"/>
  <c r="V2404" i="3" s="1"/>
  <c r="Y2403" i="3" a="1"/>
  <c r="Y2403" i="3" s="1"/>
  <c r="X2403" i="3" a="1"/>
  <c r="X2403" i="3" s="1"/>
  <c r="W2403" i="3" a="1"/>
  <c r="W2403" i="3" s="1"/>
  <c r="V2403" i="3" a="1"/>
  <c r="V2403" i="3" s="1"/>
  <c r="Y2402" i="3" a="1"/>
  <c r="Y2402" i="3" s="1"/>
  <c r="X2402" i="3" a="1"/>
  <c r="X2402" i="3" s="1"/>
  <c r="W2402" i="3" a="1"/>
  <c r="W2402" i="3" s="1"/>
  <c r="V2402" i="3" a="1"/>
  <c r="V2402" i="3" s="1"/>
  <c r="Y2401" i="3" a="1"/>
  <c r="Y2401" i="3" s="1"/>
  <c r="X2401" i="3" a="1"/>
  <c r="X2401" i="3" s="1"/>
  <c r="W2401" i="3" a="1"/>
  <c r="W2401" i="3" s="1"/>
  <c r="V2401" i="3" a="1"/>
  <c r="V2401" i="3" s="1"/>
  <c r="Y2400" i="3" a="1"/>
  <c r="Y2400" i="3" s="1"/>
  <c r="X2400" i="3" a="1"/>
  <c r="X2400" i="3" s="1"/>
  <c r="W2400" i="3" a="1"/>
  <c r="W2400" i="3" s="1"/>
  <c r="V2400" i="3" a="1"/>
  <c r="V2400" i="3" s="1"/>
  <c r="Y2399" i="3" a="1"/>
  <c r="Y2399" i="3" s="1"/>
  <c r="X2399" i="3" a="1"/>
  <c r="X2399" i="3" s="1"/>
  <c r="W2399" i="3" a="1"/>
  <c r="W2399" i="3" s="1"/>
  <c r="V2399" i="3" a="1"/>
  <c r="V2399" i="3" s="1"/>
  <c r="Y2398" i="3" a="1"/>
  <c r="Y2398" i="3" s="1"/>
  <c r="X2398" i="3" a="1"/>
  <c r="X2398" i="3" s="1"/>
  <c r="W2398" i="3" a="1"/>
  <c r="W2398" i="3" s="1"/>
  <c r="V2398" i="3" a="1"/>
  <c r="V2398" i="3" s="1"/>
  <c r="Y2397" i="3" a="1"/>
  <c r="Y2397" i="3" s="1"/>
  <c r="X2397" i="3" a="1"/>
  <c r="X2397" i="3" s="1"/>
  <c r="W2397" i="3" a="1"/>
  <c r="W2397" i="3" s="1"/>
  <c r="V2397" i="3" a="1"/>
  <c r="V2397" i="3" s="1"/>
  <c r="Y2396" i="3" a="1"/>
  <c r="Y2396" i="3" s="1"/>
  <c r="X2396" i="3" a="1"/>
  <c r="X2396" i="3" s="1"/>
  <c r="W2396" i="3" a="1"/>
  <c r="W2396" i="3" s="1"/>
  <c r="V2396" i="3" a="1"/>
  <c r="V2396" i="3" s="1"/>
  <c r="Y2395" i="3" a="1"/>
  <c r="Y2395" i="3" s="1"/>
  <c r="X2395" i="3" a="1"/>
  <c r="X2395" i="3" s="1"/>
  <c r="W2395" i="3" a="1"/>
  <c r="W2395" i="3" s="1"/>
  <c r="V2395" i="3" a="1"/>
  <c r="V2395" i="3" s="1"/>
  <c r="Y2394" i="3" a="1"/>
  <c r="Y2394" i="3" s="1"/>
  <c r="X2394" i="3" a="1"/>
  <c r="X2394" i="3" s="1"/>
  <c r="W2394" i="3" a="1"/>
  <c r="W2394" i="3" s="1"/>
  <c r="V2394" i="3" a="1"/>
  <c r="V2394" i="3" s="1"/>
  <c r="Y2393" i="3" a="1"/>
  <c r="Y2393" i="3" s="1"/>
  <c r="X2393" i="3" a="1"/>
  <c r="X2393" i="3" s="1"/>
  <c r="W2393" i="3" a="1"/>
  <c r="W2393" i="3" s="1"/>
  <c r="V2393" i="3" a="1"/>
  <c r="V2393" i="3" s="1"/>
  <c r="Y2392" i="3" a="1"/>
  <c r="Y2392" i="3" s="1"/>
  <c r="X2392" i="3" a="1"/>
  <c r="X2392" i="3" s="1"/>
  <c r="W2392" i="3" a="1"/>
  <c r="W2392" i="3" s="1"/>
  <c r="V2392" i="3" a="1"/>
  <c r="V2392" i="3" s="1"/>
  <c r="Y2391" i="3" a="1"/>
  <c r="Y2391" i="3" s="1"/>
  <c r="X2391" i="3" a="1"/>
  <c r="X2391" i="3" s="1"/>
  <c r="W2391" i="3" a="1"/>
  <c r="W2391" i="3" s="1"/>
  <c r="V2391" i="3" a="1"/>
  <c r="V2391" i="3" s="1"/>
  <c r="Y2390" i="3" a="1"/>
  <c r="Y2390" i="3" s="1"/>
  <c r="X2390" i="3" a="1"/>
  <c r="X2390" i="3" s="1"/>
  <c r="W2390" i="3" a="1"/>
  <c r="W2390" i="3" s="1"/>
  <c r="V2390" i="3" a="1"/>
  <c r="V2390" i="3" s="1"/>
  <c r="Y2388" i="3" a="1"/>
  <c r="Y2388" i="3" s="1"/>
  <c r="X2388" i="3" a="1"/>
  <c r="X2388" i="3" s="1"/>
  <c r="W2388" i="3" a="1"/>
  <c r="W2388" i="3" s="1"/>
  <c r="V2388" i="3" a="1"/>
  <c r="V2388" i="3" s="1"/>
  <c r="Y2387" i="3" a="1"/>
  <c r="Y2387" i="3" s="1"/>
  <c r="X2387" i="3" a="1"/>
  <c r="X2387" i="3" s="1"/>
  <c r="W2387" i="3" a="1"/>
  <c r="W2387" i="3" s="1"/>
  <c r="V2387" i="3" a="1"/>
  <c r="V2387" i="3" s="1"/>
  <c r="Y2386" i="3" a="1"/>
  <c r="Y2386" i="3" s="1"/>
  <c r="X2386" i="3" a="1"/>
  <c r="X2386" i="3" s="1"/>
  <c r="W2386" i="3" a="1"/>
  <c r="W2386" i="3" s="1"/>
  <c r="V2386" i="3" a="1"/>
  <c r="V2386" i="3" s="1"/>
  <c r="Y2385" i="3" a="1"/>
  <c r="Y2385" i="3" s="1"/>
  <c r="X2385" i="3" a="1"/>
  <c r="X2385" i="3" s="1"/>
  <c r="W2385" i="3" a="1"/>
  <c r="W2385" i="3" s="1"/>
  <c r="V2385" i="3" a="1"/>
  <c r="V2385" i="3" s="1"/>
  <c r="Y2384" i="3" a="1"/>
  <c r="Y2384" i="3" s="1"/>
  <c r="X2384" i="3" a="1"/>
  <c r="X2384" i="3" s="1"/>
  <c r="W2384" i="3" a="1"/>
  <c r="W2384" i="3" s="1"/>
  <c r="V2384" i="3" a="1"/>
  <c r="V2384" i="3" s="1"/>
  <c r="Y2383" i="3" a="1"/>
  <c r="Y2383" i="3" s="1"/>
  <c r="X2383" i="3" a="1"/>
  <c r="X2383" i="3" s="1"/>
  <c r="W2383" i="3" a="1"/>
  <c r="W2383" i="3" s="1"/>
  <c r="V2383" i="3" a="1"/>
  <c r="V2383" i="3" s="1"/>
  <c r="Y2382" i="3" a="1"/>
  <c r="Y2382" i="3" s="1"/>
  <c r="X2382" i="3" a="1"/>
  <c r="X2382" i="3" s="1"/>
  <c r="W2382" i="3" a="1"/>
  <c r="W2382" i="3" s="1"/>
  <c r="V2382" i="3" a="1"/>
  <c r="V2382" i="3" s="1"/>
  <c r="Y2381" i="3" a="1"/>
  <c r="Y2381" i="3" s="1"/>
  <c r="X2381" i="3" a="1"/>
  <c r="X2381" i="3" s="1"/>
  <c r="W2381" i="3" a="1"/>
  <c r="W2381" i="3" s="1"/>
  <c r="V2381" i="3" a="1"/>
  <c r="V2381" i="3" s="1"/>
  <c r="Y2380" i="3" a="1"/>
  <c r="Y2380" i="3" s="1"/>
  <c r="X2380" i="3" a="1"/>
  <c r="X2380" i="3" s="1"/>
  <c r="W2380" i="3" a="1"/>
  <c r="W2380" i="3" s="1"/>
  <c r="V2380" i="3" a="1"/>
  <c r="V2380" i="3" s="1"/>
  <c r="Y2379" i="3" a="1"/>
  <c r="Y2379" i="3" s="1"/>
  <c r="X2379" i="3" a="1"/>
  <c r="X2379" i="3" s="1"/>
  <c r="W2379" i="3" a="1"/>
  <c r="W2379" i="3" s="1"/>
  <c r="V2379" i="3" a="1"/>
  <c r="V2379" i="3" s="1"/>
  <c r="Y2378" i="3" a="1"/>
  <c r="Y2378" i="3" s="1"/>
  <c r="X2378" i="3" a="1"/>
  <c r="X2378" i="3" s="1"/>
  <c r="W2378" i="3" a="1"/>
  <c r="W2378" i="3" s="1"/>
  <c r="V2378" i="3" a="1"/>
  <c r="V2378" i="3" s="1"/>
  <c r="Y2376" i="3" a="1"/>
  <c r="Y2376" i="3" s="1"/>
  <c r="X2376" i="3" a="1"/>
  <c r="X2376" i="3" s="1"/>
  <c r="W2376" i="3" a="1"/>
  <c r="W2376" i="3" s="1"/>
  <c r="V2376" i="3" a="1"/>
  <c r="V2376" i="3" s="1"/>
  <c r="Y2375" i="3" a="1"/>
  <c r="Y2375" i="3" s="1"/>
  <c r="X2375" i="3" a="1"/>
  <c r="X2375" i="3" s="1"/>
  <c r="W2375" i="3" a="1"/>
  <c r="W2375" i="3" s="1"/>
  <c r="V2375" i="3" a="1"/>
  <c r="V2375" i="3" s="1"/>
  <c r="Y2374" i="3" a="1"/>
  <c r="Y2374" i="3" s="1"/>
  <c r="X2374" i="3" a="1"/>
  <c r="X2374" i="3" s="1"/>
  <c r="W2374" i="3" a="1"/>
  <c r="W2374" i="3" s="1"/>
  <c r="V2374" i="3" a="1"/>
  <c r="V2374" i="3" s="1"/>
  <c r="Y2373" i="3" a="1"/>
  <c r="Y2373" i="3" s="1"/>
  <c r="X2373" i="3" a="1"/>
  <c r="X2373" i="3" s="1"/>
  <c r="W2373" i="3" a="1"/>
  <c r="W2373" i="3" s="1"/>
  <c r="V2373" i="3" a="1"/>
  <c r="V2373" i="3" s="1"/>
  <c r="Y2372" i="3" a="1"/>
  <c r="Y2372" i="3" s="1"/>
  <c r="X2372" i="3" a="1"/>
  <c r="X2372" i="3" s="1"/>
  <c r="W2372" i="3" a="1"/>
  <c r="W2372" i="3" s="1"/>
  <c r="V2372" i="3" a="1"/>
  <c r="V2372" i="3" s="1"/>
  <c r="Y2371" i="3" a="1"/>
  <c r="Y2371" i="3" s="1"/>
  <c r="X2371" i="3" a="1"/>
  <c r="X2371" i="3" s="1"/>
  <c r="W2371" i="3" a="1"/>
  <c r="W2371" i="3" s="1"/>
  <c r="V2371" i="3" a="1"/>
  <c r="V2371" i="3" s="1"/>
  <c r="Y2370" i="3" a="1"/>
  <c r="Y2370" i="3" s="1"/>
  <c r="X2370" i="3" a="1"/>
  <c r="X2370" i="3" s="1"/>
  <c r="W2370" i="3" a="1"/>
  <c r="W2370" i="3" s="1"/>
  <c r="V2370" i="3" a="1"/>
  <c r="V2370" i="3" s="1"/>
  <c r="Y2369" i="3" a="1"/>
  <c r="Y2369" i="3" s="1"/>
  <c r="X2369" i="3" a="1"/>
  <c r="X2369" i="3" s="1"/>
  <c r="W2369" i="3" a="1"/>
  <c r="W2369" i="3" s="1"/>
  <c r="V2369" i="3" a="1"/>
  <c r="V2369" i="3" s="1"/>
  <c r="Y2368" i="3" a="1"/>
  <c r="Y2368" i="3" s="1"/>
  <c r="X2368" i="3" a="1"/>
  <c r="X2368" i="3" s="1"/>
  <c r="W2368" i="3" a="1"/>
  <c r="W2368" i="3" s="1"/>
  <c r="V2368" i="3" a="1"/>
  <c r="V2368" i="3" s="1"/>
  <c r="Y2367" i="3" a="1"/>
  <c r="Y2367" i="3" s="1"/>
  <c r="X2367" i="3" a="1"/>
  <c r="X2367" i="3" s="1"/>
  <c r="W2367" i="3" a="1"/>
  <c r="W2367" i="3" s="1"/>
  <c r="V2367" i="3" a="1"/>
  <c r="V2367" i="3" s="1"/>
  <c r="Y2366" i="3" a="1"/>
  <c r="Y2366" i="3" s="1"/>
  <c r="X2366" i="3" a="1"/>
  <c r="X2366" i="3" s="1"/>
  <c r="W2366" i="3" a="1"/>
  <c r="W2366" i="3" s="1"/>
  <c r="V2366" i="3" a="1"/>
  <c r="V2366" i="3" s="1"/>
  <c r="Y2365" i="3" a="1"/>
  <c r="Y2365" i="3" s="1"/>
  <c r="X2365" i="3" a="1"/>
  <c r="X2365" i="3" s="1"/>
  <c r="W2365" i="3" a="1"/>
  <c r="W2365" i="3" s="1"/>
  <c r="V2365" i="3" a="1"/>
  <c r="V2365" i="3" s="1"/>
  <c r="Y2364" i="3" a="1"/>
  <c r="Y2364" i="3" s="1"/>
  <c r="X2364" i="3" a="1"/>
  <c r="X2364" i="3" s="1"/>
  <c r="W2364" i="3" a="1"/>
  <c r="W2364" i="3" s="1"/>
  <c r="V2364" i="3" a="1"/>
  <c r="V2364" i="3" s="1"/>
  <c r="Y2363" i="3" a="1"/>
  <c r="Y2363" i="3" s="1"/>
  <c r="X2363" i="3" a="1"/>
  <c r="X2363" i="3" s="1"/>
  <c r="W2363" i="3" a="1"/>
  <c r="W2363" i="3" s="1"/>
  <c r="V2363" i="3" a="1"/>
  <c r="V2363" i="3" s="1"/>
  <c r="Y2362" i="3" a="1"/>
  <c r="Y2362" i="3" s="1"/>
  <c r="X2362" i="3" a="1"/>
  <c r="X2362" i="3" s="1"/>
  <c r="W2362" i="3" a="1"/>
  <c r="W2362" i="3" s="1"/>
  <c r="V2362" i="3" a="1"/>
  <c r="V2362" i="3" s="1"/>
  <c r="Y2361" i="3" a="1"/>
  <c r="Y2361" i="3" s="1"/>
  <c r="X2361" i="3" a="1"/>
  <c r="X2361" i="3" s="1"/>
  <c r="W2361" i="3" a="1"/>
  <c r="W2361" i="3" s="1"/>
  <c r="V2361" i="3" a="1"/>
  <c r="V2361" i="3" s="1"/>
  <c r="Y2360" i="3" a="1"/>
  <c r="Y2360" i="3" s="1"/>
  <c r="X2360" i="3" a="1"/>
  <c r="X2360" i="3" s="1"/>
  <c r="W2360" i="3" a="1"/>
  <c r="W2360" i="3" s="1"/>
  <c r="V2360" i="3" a="1"/>
  <c r="V2360" i="3" s="1"/>
  <c r="Y2359" i="3" a="1"/>
  <c r="Y2359" i="3" s="1"/>
  <c r="X2359" i="3" a="1"/>
  <c r="X2359" i="3" s="1"/>
  <c r="W2359" i="3" a="1"/>
  <c r="W2359" i="3" s="1"/>
  <c r="V2359" i="3" a="1"/>
  <c r="V2359" i="3" s="1"/>
  <c r="Y2358" i="3" a="1"/>
  <c r="Y2358" i="3" s="1"/>
  <c r="X2358" i="3" a="1"/>
  <c r="X2358" i="3" s="1"/>
  <c r="W2358" i="3" a="1"/>
  <c r="W2358" i="3" s="1"/>
  <c r="V2358" i="3" a="1"/>
  <c r="V2358" i="3" s="1"/>
  <c r="Y2357" i="3" a="1"/>
  <c r="Y2357" i="3" s="1"/>
  <c r="X2357" i="3" a="1"/>
  <c r="X2357" i="3" s="1"/>
  <c r="W2357" i="3" a="1"/>
  <c r="W2357" i="3" s="1"/>
  <c r="V2357" i="3" a="1"/>
  <c r="V2357" i="3" s="1"/>
  <c r="Y2355" i="3" a="1"/>
  <c r="Y2355" i="3" s="1"/>
  <c r="X2355" i="3" a="1"/>
  <c r="X2355" i="3" s="1"/>
  <c r="W2355" i="3" a="1"/>
  <c r="W2355" i="3" s="1"/>
  <c r="V2355" i="3" a="1"/>
  <c r="V2355" i="3" s="1"/>
  <c r="Y2354" i="3" a="1"/>
  <c r="Y2354" i="3" s="1"/>
  <c r="X2354" i="3" a="1"/>
  <c r="X2354" i="3" s="1"/>
  <c r="W2354" i="3" a="1"/>
  <c r="W2354" i="3" s="1"/>
  <c r="V2354" i="3" a="1"/>
  <c r="V2354" i="3" s="1"/>
  <c r="Y2353" i="3" a="1"/>
  <c r="Y2353" i="3" s="1"/>
  <c r="X2353" i="3" a="1"/>
  <c r="X2353" i="3" s="1"/>
  <c r="W2353" i="3" a="1"/>
  <c r="W2353" i="3" s="1"/>
  <c r="V2353" i="3" a="1"/>
  <c r="V2353" i="3" s="1"/>
  <c r="Y2352" i="3" a="1"/>
  <c r="Y2352" i="3" s="1"/>
  <c r="X2352" i="3" a="1"/>
  <c r="X2352" i="3" s="1"/>
  <c r="W2352" i="3" a="1"/>
  <c r="W2352" i="3" s="1"/>
  <c r="V2352" i="3" a="1"/>
  <c r="V2352" i="3" s="1"/>
  <c r="Y2351" i="3" a="1"/>
  <c r="Y2351" i="3" s="1"/>
  <c r="X2351" i="3" a="1"/>
  <c r="X2351" i="3" s="1"/>
  <c r="W2351" i="3" a="1"/>
  <c r="W2351" i="3" s="1"/>
  <c r="V2351" i="3" a="1"/>
  <c r="V2351" i="3" s="1"/>
  <c r="Y2350" i="3" a="1"/>
  <c r="Y2350" i="3" s="1"/>
  <c r="X2350" i="3" a="1"/>
  <c r="X2350" i="3" s="1"/>
  <c r="W2350" i="3" a="1"/>
  <c r="W2350" i="3" s="1"/>
  <c r="V2350" i="3" a="1"/>
  <c r="V2350" i="3" s="1"/>
  <c r="Y2349" i="3" a="1"/>
  <c r="Y2349" i="3" s="1"/>
  <c r="X2349" i="3" a="1"/>
  <c r="X2349" i="3" s="1"/>
  <c r="W2349" i="3" a="1"/>
  <c r="W2349" i="3" s="1"/>
  <c r="V2349" i="3" a="1"/>
  <c r="V2349" i="3" s="1"/>
  <c r="Y2348" i="3" a="1"/>
  <c r="Y2348" i="3" s="1"/>
  <c r="X2348" i="3" a="1"/>
  <c r="X2348" i="3" s="1"/>
  <c r="W2348" i="3" a="1"/>
  <c r="W2348" i="3" s="1"/>
  <c r="V2348" i="3" a="1"/>
  <c r="V2348" i="3" s="1"/>
  <c r="Y2347" i="3" a="1"/>
  <c r="Y2347" i="3" s="1"/>
  <c r="X2347" i="3" a="1"/>
  <c r="X2347" i="3" s="1"/>
  <c r="W2347" i="3" a="1"/>
  <c r="W2347" i="3" s="1"/>
  <c r="V2347" i="3" a="1"/>
  <c r="V2347" i="3" s="1"/>
  <c r="Y2346" i="3" a="1"/>
  <c r="Y2346" i="3" s="1"/>
  <c r="X2346" i="3" a="1"/>
  <c r="X2346" i="3" s="1"/>
  <c r="W2346" i="3" a="1"/>
  <c r="W2346" i="3" s="1"/>
  <c r="V2346" i="3" a="1"/>
  <c r="V2346" i="3" s="1"/>
  <c r="Y2345" i="3" a="1"/>
  <c r="Y2345" i="3" s="1"/>
  <c r="X2345" i="3" a="1"/>
  <c r="X2345" i="3" s="1"/>
  <c r="W2345" i="3" a="1"/>
  <c r="W2345" i="3" s="1"/>
  <c r="V2345" i="3" a="1"/>
  <c r="V2345" i="3" s="1"/>
  <c r="Y2344" i="3" a="1"/>
  <c r="Y2344" i="3" s="1"/>
  <c r="X2344" i="3" a="1"/>
  <c r="X2344" i="3" s="1"/>
  <c r="W2344" i="3" a="1"/>
  <c r="W2344" i="3" s="1"/>
  <c r="V2344" i="3" a="1"/>
  <c r="V2344" i="3" s="1"/>
  <c r="Y2343" i="3" a="1"/>
  <c r="Y2343" i="3" s="1"/>
  <c r="X2343" i="3" a="1"/>
  <c r="X2343" i="3" s="1"/>
  <c r="W2343" i="3" a="1"/>
  <c r="W2343" i="3" s="1"/>
  <c r="V2343" i="3" a="1"/>
  <c r="V2343" i="3" s="1"/>
  <c r="Y2342" i="3" a="1"/>
  <c r="Y2342" i="3" s="1"/>
  <c r="X2342" i="3" a="1"/>
  <c r="X2342" i="3" s="1"/>
  <c r="W2342" i="3" a="1"/>
  <c r="W2342" i="3" s="1"/>
  <c r="V2342" i="3" a="1"/>
  <c r="V2342" i="3" s="1"/>
  <c r="Y2341" i="3" a="1"/>
  <c r="Y2341" i="3" s="1"/>
  <c r="X2341" i="3" a="1"/>
  <c r="X2341" i="3" s="1"/>
  <c r="W2341" i="3" a="1"/>
  <c r="W2341" i="3" s="1"/>
  <c r="V2341" i="3" a="1"/>
  <c r="V2341" i="3" s="1"/>
  <c r="Y2340" i="3" a="1"/>
  <c r="Y2340" i="3" s="1"/>
  <c r="X2340" i="3" a="1"/>
  <c r="X2340" i="3" s="1"/>
  <c r="W2340" i="3" a="1"/>
  <c r="W2340" i="3" s="1"/>
  <c r="V2340" i="3" a="1"/>
  <c r="V2340" i="3" s="1"/>
  <c r="Y2339" i="3" a="1"/>
  <c r="Y2339" i="3" s="1"/>
  <c r="X2339" i="3" a="1"/>
  <c r="X2339" i="3" s="1"/>
  <c r="W2339" i="3" a="1"/>
  <c r="W2339" i="3" s="1"/>
  <c r="V2339" i="3" a="1"/>
  <c r="V2339" i="3" s="1"/>
  <c r="Y2338" i="3" a="1"/>
  <c r="Y2338" i="3" s="1"/>
  <c r="X2338" i="3" a="1"/>
  <c r="X2338" i="3" s="1"/>
  <c r="W2338" i="3" a="1"/>
  <c r="W2338" i="3" s="1"/>
  <c r="V2338" i="3" a="1"/>
  <c r="V2338" i="3" s="1"/>
  <c r="Y2337" i="3" a="1"/>
  <c r="Y2337" i="3" s="1"/>
  <c r="X2337" i="3" a="1"/>
  <c r="X2337" i="3" s="1"/>
  <c r="W2337" i="3" a="1"/>
  <c r="W2337" i="3" s="1"/>
  <c r="V2337" i="3" a="1"/>
  <c r="V2337" i="3" s="1"/>
  <c r="Y2336" i="3" a="1"/>
  <c r="Y2336" i="3" s="1"/>
  <c r="X2336" i="3" a="1"/>
  <c r="X2336" i="3" s="1"/>
  <c r="W2336" i="3" a="1"/>
  <c r="W2336" i="3" s="1"/>
  <c r="V2336" i="3" a="1"/>
  <c r="V2336" i="3" s="1"/>
  <c r="Y2335" i="3" a="1"/>
  <c r="Y2335" i="3" s="1"/>
  <c r="X2335" i="3" a="1"/>
  <c r="X2335" i="3" s="1"/>
  <c r="W2335" i="3" a="1"/>
  <c r="W2335" i="3" s="1"/>
  <c r="V2335" i="3" a="1"/>
  <c r="V2335" i="3" s="1"/>
  <c r="Y2334" i="3" a="1"/>
  <c r="Y2334" i="3" s="1"/>
  <c r="X2334" i="3" a="1"/>
  <c r="X2334" i="3" s="1"/>
  <c r="W2334" i="3" a="1"/>
  <c r="W2334" i="3" s="1"/>
  <c r="V2334" i="3" a="1"/>
  <c r="V2334" i="3" s="1"/>
  <c r="Y2333" i="3" a="1"/>
  <c r="Y2333" i="3" s="1"/>
  <c r="X2333" i="3" a="1"/>
  <c r="X2333" i="3" s="1"/>
  <c r="W2333" i="3" a="1"/>
  <c r="W2333" i="3" s="1"/>
  <c r="V2333" i="3" a="1"/>
  <c r="V2333" i="3" s="1"/>
  <c r="Y2331" i="3" a="1"/>
  <c r="Y2331" i="3" s="1"/>
  <c r="X2331" i="3" a="1"/>
  <c r="X2331" i="3" s="1"/>
  <c r="W2331" i="3" a="1"/>
  <c r="W2331" i="3" s="1"/>
  <c r="V2331" i="3" a="1"/>
  <c r="V2331" i="3" s="1"/>
  <c r="Y2330" i="3" a="1"/>
  <c r="Y2330" i="3" s="1"/>
  <c r="X2330" i="3" a="1"/>
  <c r="X2330" i="3" s="1"/>
  <c r="W2330" i="3" a="1"/>
  <c r="W2330" i="3" s="1"/>
  <c r="V2330" i="3" a="1"/>
  <c r="V2330" i="3" s="1"/>
  <c r="Y2328" i="3" a="1"/>
  <c r="Y2328" i="3" s="1"/>
  <c r="X2328" i="3" a="1"/>
  <c r="X2328" i="3" s="1"/>
  <c r="W2328" i="3" a="1"/>
  <c r="W2328" i="3" s="1"/>
  <c r="V2328" i="3" a="1"/>
  <c r="V2328" i="3" s="1"/>
  <c r="Y2327" i="3" a="1"/>
  <c r="Y2327" i="3" s="1"/>
  <c r="X2327" i="3" a="1"/>
  <c r="X2327" i="3" s="1"/>
  <c r="W2327" i="3" a="1"/>
  <c r="W2327" i="3" s="1"/>
  <c r="V2327" i="3" a="1"/>
  <c r="V2327" i="3" s="1"/>
  <c r="Y2326" i="3" a="1"/>
  <c r="Y2326" i="3" s="1"/>
  <c r="X2326" i="3" a="1"/>
  <c r="X2326" i="3" s="1"/>
  <c r="W2326" i="3" a="1"/>
  <c r="W2326" i="3" s="1"/>
  <c r="V2326" i="3" a="1"/>
  <c r="V2326" i="3" s="1"/>
  <c r="Y2325" i="3" a="1"/>
  <c r="Y2325" i="3" s="1"/>
  <c r="X2325" i="3" a="1"/>
  <c r="X2325" i="3" s="1"/>
  <c r="W2325" i="3" a="1"/>
  <c r="W2325" i="3" s="1"/>
  <c r="V2325" i="3" a="1"/>
  <c r="V2325" i="3" s="1"/>
  <c r="Y2324" i="3" a="1"/>
  <c r="Y2324" i="3" s="1"/>
  <c r="X2324" i="3" a="1"/>
  <c r="X2324" i="3" s="1"/>
  <c r="W2324" i="3" a="1"/>
  <c r="W2324" i="3" s="1"/>
  <c r="V2324" i="3" a="1"/>
  <c r="V2324" i="3" s="1"/>
  <c r="Y2323" i="3" a="1"/>
  <c r="Y2323" i="3" s="1"/>
  <c r="X2323" i="3" a="1"/>
  <c r="X2323" i="3" s="1"/>
  <c r="W2323" i="3" a="1"/>
  <c r="W2323" i="3" s="1"/>
  <c r="V2323" i="3" a="1"/>
  <c r="V2323" i="3" s="1"/>
  <c r="Y2321" i="3" a="1"/>
  <c r="Y2321" i="3" s="1"/>
  <c r="X2321" i="3" a="1"/>
  <c r="X2321" i="3" s="1"/>
  <c r="W2321" i="3" a="1"/>
  <c r="W2321" i="3" s="1"/>
  <c r="V2321" i="3" a="1"/>
  <c r="V2321" i="3" s="1"/>
  <c r="Y2320" i="3" a="1"/>
  <c r="Y2320" i="3" s="1"/>
  <c r="X2320" i="3" a="1"/>
  <c r="X2320" i="3" s="1"/>
  <c r="W2320" i="3" a="1"/>
  <c r="W2320" i="3" s="1"/>
  <c r="V2320" i="3" a="1"/>
  <c r="V2320" i="3" s="1"/>
  <c r="Y2319" i="3" a="1"/>
  <c r="Y2319" i="3" s="1"/>
  <c r="X2319" i="3" a="1"/>
  <c r="X2319" i="3" s="1"/>
  <c r="W2319" i="3" a="1"/>
  <c r="W2319" i="3" s="1"/>
  <c r="V2319" i="3" a="1"/>
  <c r="V2319" i="3" s="1"/>
  <c r="Y2318" i="3" a="1"/>
  <c r="Y2318" i="3" s="1"/>
  <c r="X2318" i="3" a="1"/>
  <c r="X2318" i="3" s="1"/>
  <c r="W2318" i="3" a="1"/>
  <c r="W2318" i="3" s="1"/>
  <c r="V2318" i="3" a="1"/>
  <c r="V2318" i="3" s="1"/>
  <c r="Y2316" i="3" a="1"/>
  <c r="Y2316" i="3" s="1"/>
  <c r="X2316" i="3" a="1"/>
  <c r="X2316" i="3" s="1"/>
  <c r="W2316" i="3" a="1"/>
  <c r="W2316" i="3" s="1"/>
  <c r="V2316" i="3" a="1"/>
  <c r="V2316" i="3" s="1"/>
  <c r="Y2315" i="3" a="1"/>
  <c r="Y2315" i="3" s="1"/>
  <c r="X2315" i="3" a="1"/>
  <c r="X2315" i="3" s="1"/>
  <c r="W2315" i="3" a="1"/>
  <c r="W2315" i="3" s="1"/>
  <c r="V2315" i="3" a="1"/>
  <c r="V2315" i="3" s="1"/>
  <c r="Y2313" i="3" a="1"/>
  <c r="Y2313" i="3" s="1"/>
  <c r="X2313" i="3" a="1"/>
  <c r="X2313" i="3" s="1"/>
  <c r="W2313" i="3" a="1"/>
  <c r="W2313" i="3" s="1"/>
  <c r="V2313" i="3" a="1"/>
  <c r="V2313" i="3" s="1"/>
  <c r="Y2312" i="3" a="1"/>
  <c r="Y2312" i="3" s="1"/>
  <c r="X2312" i="3" a="1"/>
  <c r="X2312" i="3" s="1"/>
  <c r="W2312" i="3" a="1"/>
  <c r="W2312" i="3" s="1"/>
  <c r="V2312" i="3" a="1"/>
  <c r="V2312" i="3" s="1"/>
  <c r="Y2311" i="3" a="1"/>
  <c r="Y2311" i="3" s="1"/>
  <c r="X2311" i="3" a="1"/>
  <c r="X2311" i="3" s="1"/>
  <c r="W2311" i="3" a="1"/>
  <c r="W2311" i="3" s="1"/>
  <c r="V2311" i="3" a="1"/>
  <c r="V2311" i="3" s="1"/>
  <c r="Y2310" i="3" a="1"/>
  <c r="Y2310" i="3" s="1"/>
  <c r="X2310" i="3" a="1"/>
  <c r="X2310" i="3" s="1"/>
  <c r="W2310" i="3" a="1"/>
  <c r="W2310" i="3" s="1"/>
  <c r="V2310" i="3" a="1"/>
  <c r="V2310" i="3" s="1"/>
  <c r="Y2309" i="3" a="1"/>
  <c r="Y2309" i="3" s="1"/>
  <c r="X2309" i="3" a="1"/>
  <c r="X2309" i="3" s="1"/>
  <c r="W2309" i="3" a="1"/>
  <c r="W2309" i="3" s="1"/>
  <c r="V2309" i="3" a="1"/>
  <c r="V2309" i="3" s="1"/>
  <c r="Y2308" i="3" a="1"/>
  <c r="Y2308" i="3" s="1"/>
  <c r="X2308" i="3" a="1"/>
  <c r="X2308" i="3" s="1"/>
  <c r="W2308" i="3" a="1"/>
  <c r="W2308" i="3" s="1"/>
  <c r="V2308" i="3" a="1"/>
  <c r="V2308" i="3" s="1"/>
  <c r="Y2307" i="3" a="1"/>
  <c r="Y2307" i="3" s="1"/>
  <c r="X2307" i="3" a="1"/>
  <c r="X2307" i="3" s="1"/>
  <c r="W2307" i="3" a="1"/>
  <c r="W2307" i="3" s="1"/>
  <c r="V2307" i="3" a="1"/>
  <c r="V2307" i="3" s="1"/>
  <c r="Y2306" i="3" a="1"/>
  <c r="Y2306" i="3" s="1"/>
  <c r="X2306" i="3" a="1"/>
  <c r="X2306" i="3" s="1"/>
  <c r="W2306" i="3" a="1"/>
  <c r="W2306" i="3" s="1"/>
  <c r="V2306" i="3" a="1"/>
  <c r="V2306" i="3" s="1"/>
  <c r="Y2305" i="3" a="1"/>
  <c r="Y2305" i="3" s="1"/>
  <c r="X2305" i="3" a="1"/>
  <c r="X2305" i="3" s="1"/>
  <c r="W2305" i="3" a="1"/>
  <c r="W2305" i="3" s="1"/>
  <c r="V2305" i="3" a="1"/>
  <c r="V2305" i="3" s="1"/>
  <c r="Y2304" i="3" a="1"/>
  <c r="Y2304" i="3" s="1"/>
  <c r="X2304" i="3" a="1"/>
  <c r="X2304" i="3" s="1"/>
  <c r="W2304" i="3" a="1"/>
  <c r="W2304" i="3" s="1"/>
  <c r="V2304" i="3" a="1"/>
  <c r="V2304" i="3" s="1"/>
  <c r="Y2303" i="3" a="1"/>
  <c r="Y2303" i="3" s="1"/>
  <c r="X2303" i="3" a="1"/>
  <c r="X2303" i="3" s="1"/>
  <c r="W2303" i="3" a="1"/>
  <c r="W2303" i="3" s="1"/>
  <c r="V2303" i="3" a="1"/>
  <c r="V2303" i="3" s="1"/>
  <c r="Y2302" i="3" a="1"/>
  <c r="Y2302" i="3" s="1"/>
  <c r="X2302" i="3" a="1"/>
  <c r="X2302" i="3" s="1"/>
  <c r="W2302" i="3" a="1"/>
  <c r="W2302" i="3" s="1"/>
  <c r="V2302" i="3" a="1"/>
  <c r="V2302" i="3" s="1"/>
  <c r="Y2300" i="3" a="1"/>
  <c r="Y2300" i="3" s="1"/>
  <c r="X2300" i="3" a="1"/>
  <c r="X2300" i="3" s="1"/>
  <c r="W2300" i="3" a="1"/>
  <c r="W2300" i="3" s="1"/>
  <c r="V2300" i="3" a="1"/>
  <c r="V2300" i="3" s="1"/>
  <c r="Y2297" i="3" a="1"/>
  <c r="Y2297" i="3" s="1"/>
  <c r="X2297" i="3" a="1"/>
  <c r="X2297" i="3" s="1"/>
  <c r="W2297" i="3" a="1"/>
  <c r="W2297" i="3" s="1"/>
  <c r="V2297" i="3" a="1"/>
  <c r="V2297" i="3" s="1"/>
  <c r="Y2294" i="3" a="1"/>
  <c r="Y2294" i="3" s="1"/>
  <c r="X2294" i="3" a="1"/>
  <c r="X2294" i="3" s="1"/>
  <c r="W2294" i="3" a="1"/>
  <c r="W2294" i="3" s="1"/>
  <c r="V2294" i="3" a="1"/>
  <c r="V2294" i="3" s="1"/>
  <c r="Y2291" i="3" a="1"/>
  <c r="Y2291" i="3" s="1"/>
  <c r="X2291" i="3" a="1"/>
  <c r="X2291" i="3" s="1"/>
  <c r="W2291" i="3" a="1"/>
  <c r="W2291" i="3" s="1"/>
  <c r="V2291" i="3" a="1"/>
  <c r="V2291" i="3" s="1"/>
  <c r="Y2288" i="3" a="1"/>
  <c r="Y2288" i="3" s="1"/>
  <c r="X2288" i="3" a="1"/>
  <c r="X2288" i="3" s="1"/>
  <c r="W2288" i="3" a="1"/>
  <c r="W2288" i="3" s="1"/>
  <c r="V2288" i="3" a="1"/>
  <c r="V2288" i="3" s="1"/>
  <c r="Y2285" i="3" a="1"/>
  <c r="Y2285" i="3" s="1"/>
  <c r="X2285" i="3" a="1"/>
  <c r="X2285" i="3" s="1"/>
  <c r="W2285" i="3" a="1"/>
  <c r="W2285" i="3" s="1"/>
  <c r="V2285" i="3" a="1"/>
  <c r="V2285" i="3" s="1"/>
  <c r="Y2284" i="3" a="1"/>
  <c r="Y2284" i="3" s="1"/>
  <c r="X2284" i="3" a="1"/>
  <c r="X2284" i="3" s="1"/>
  <c r="W2284" i="3" a="1"/>
  <c r="W2284" i="3" s="1"/>
  <c r="V2284" i="3" a="1"/>
  <c r="V2284" i="3" s="1"/>
  <c r="Y2283" i="3" a="1"/>
  <c r="Y2283" i="3" s="1"/>
  <c r="X2283" i="3" a="1"/>
  <c r="X2283" i="3" s="1"/>
  <c r="W2283" i="3" a="1"/>
  <c r="W2283" i="3" s="1"/>
  <c r="V2283" i="3" a="1"/>
  <c r="V2283" i="3" s="1"/>
  <c r="Y2282" i="3" a="1"/>
  <c r="Y2282" i="3" s="1"/>
  <c r="X2282" i="3" a="1"/>
  <c r="X2282" i="3" s="1"/>
  <c r="W2282" i="3" a="1"/>
  <c r="W2282" i="3" s="1"/>
  <c r="V2282" i="3" a="1"/>
  <c r="V2282" i="3" s="1"/>
  <c r="Y2281" i="3" a="1"/>
  <c r="Y2281" i="3" s="1"/>
  <c r="X2281" i="3" a="1"/>
  <c r="X2281" i="3" s="1"/>
  <c r="W2281" i="3" a="1"/>
  <c r="W2281" i="3" s="1"/>
  <c r="V2281" i="3" a="1"/>
  <c r="V2281" i="3" s="1"/>
  <c r="Y2280" i="3" a="1"/>
  <c r="Y2280" i="3" s="1"/>
  <c r="X2280" i="3" a="1"/>
  <c r="X2280" i="3" s="1"/>
  <c r="W2280" i="3" a="1"/>
  <c r="W2280" i="3" s="1"/>
  <c r="V2280" i="3" a="1"/>
  <c r="V2280" i="3" s="1"/>
  <c r="Y2279" i="3" a="1"/>
  <c r="Y2279" i="3" s="1"/>
  <c r="X2279" i="3" a="1"/>
  <c r="X2279" i="3" s="1"/>
  <c r="W2279" i="3" a="1"/>
  <c r="W2279" i="3" s="1"/>
  <c r="V2279" i="3" a="1"/>
  <c r="V2279" i="3" s="1"/>
  <c r="Y2278" i="3" a="1"/>
  <c r="Y2278" i="3" s="1"/>
  <c r="X2278" i="3" a="1"/>
  <c r="X2278" i="3" s="1"/>
  <c r="W2278" i="3" a="1"/>
  <c r="W2278" i="3" s="1"/>
  <c r="V2278" i="3" a="1"/>
  <c r="V2278" i="3" s="1"/>
  <c r="Y2277" i="3" a="1"/>
  <c r="Y2277" i="3" s="1"/>
  <c r="X2277" i="3" a="1"/>
  <c r="X2277" i="3" s="1"/>
  <c r="W2277" i="3" a="1"/>
  <c r="W2277" i="3" s="1"/>
  <c r="V2277" i="3" a="1"/>
  <c r="V2277" i="3" s="1"/>
  <c r="Y2276" i="3" a="1"/>
  <c r="Y2276" i="3" s="1"/>
  <c r="X2276" i="3" a="1"/>
  <c r="X2276" i="3" s="1"/>
  <c r="W2276" i="3" a="1"/>
  <c r="W2276" i="3" s="1"/>
  <c r="V2276" i="3" a="1"/>
  <c r="V2276" i="3" s="1"/>
  <c r="Y2275" i="3" a="1"/>
  <c r="Y2275" i="3" s="1"/>
  <c r="X2275" i="3" a="1"/>
  <c r="X2275" i="3" s="1"/>
  <c r="W2275" i="3" a="1"/>
  <c r="W2275" i="3" s="1"/>
  <c r="V2275" i="3" a="1"/>
  <c r="V2275" i="3" s="1"/>
  <c r="Y2274" i="3" a="1"/>
  <c r="Y2274" i="3" s="1"/>
  <c r="X2274" i="3" a="1"/>
  <c r="X2274" i="3" s="1"/>
  <c r="W2274" i="3" a="1"/>
  <c r="W2274" i="3" s="1"/>
  <c r="V2274" i="3" a="1"/>
  <c r="V2274" i="3" s="1"/>
  <c r="Y2273" i="3" a="1"/>
  <c r="Y2273" i="3" s="1"/>
  <c r="X2273" i="3" a="1"/>
  <c r="X2273" i="3" s="1"/>
  <c r="W2273" i="3" a="1"/>
  <c r="W2273" i="3" s="1"/>
  <c r="V2273" i="3" a="1"/>
  <c r="V2273" i="3" s="1"/>
  <c r="Y2272" i="3" a="1"/>
  <c r="Y2272" i="3" s="1"/>
  <c r="X2272" i="3" a="1"/>
  <c r="X2272" i="3" s="1"/>
  <c r="W2272" i="3" a="1"/>
  <c r="W2272" i="3" s="1"/>
  <c r="V2272" i="3" a="1"/>
  <c r="V2272" i="3" s="1"/>
  <c r="Y2271" i="3" a="1"/>
  <c r="Y2271" i="3" s="1"/>
  <c r="X2271" i="3" a="1"/>
  <c r="X2271" i="3" s="1"/>
  <c r="W2271" i="3" a="1"/>
  <c r="W2271" i="3" s="1"/>
  <c r="V2271" i="3" a="1"/>
  <c r="V2271" i="3" s="1"/>
  <c r="Y2270" i="3" a="1"/>
  <c r="Y2270" i="3" s="1"/>
  <c r="X2270" i="3" a="1"/>
  <c r="X2270" i="3" s="1"/>
  <c r="W2270" i="3" a="1"/>
  <c r="W2270" i="3" s="1"/>
  <c r="V2270" i="3" a="1"/>
  <c r="V2270" i="3" s="1"/>
  <c r="Y2269" i="3" a="1"/>
  <c r="Y2269" i="3" s="1"/>
  <c r="X2269" i="3" a="1"/>
  <c r="X2269" i="3" s="1"/>
  <c r="W2269" i="3" a="1"/>
  <c r="W2269" i="3" s="1"/>
  <c r="V2269" i="3" a="1"/>
  <c r="V2269" i="3" s="1"/>
  <c r="Y2268" i="3" a="1"/>
  <c r="Y2268" i="3" s="1"/>
  <c r="X2268" i="3" a="1"/>
  <c r="X2268" i="3" s="1"/>
  <c r="W2268" i="3" a="1"/>
  <c r="W2268" i="3" s="1"/>
  <c r="V2268" i="3" a="1"/>
  <c r="V2268" i="3" s="1"/>
  <c r="Y2267" i="3" a="1"/>
  <c r="Y2267" i="3" s="1"/>
  <c r="X2267" i="3" a="1"/>
  <c r="X2267" i="3" s="1"/>
  <c r="W2267" i="3" a="1"/>
  <c r="W2267" i="3" s="1"/>
  <c r="V2267" i="3" a="1"/>
  <c r="V2267" i="3" s="1"/>
  <c r="Y2266" i="3" a="1"/>
  <c r="Y2266" i="3" s="1"/>
  <c r="X2266" i="3" a="1"/>
  <c r="X2266" i="3" s="1"/>
  <c r="W2266" i="3" a="1"/>
  <c r="W2266" i="3" s="1"/>
  <c r="V2266" i="3" a="1"/>
  <c r="V2266" i="3" s="1"/>
  <c r="Y2265" i="3" a="1"/>
  <c r="Y2265" i="3" s="1"/>
  <c r="X2265" i="3" a="1"/>
  <c r="X2265" i="3" s="1"/>
  <c r="W2265" i="3" a="1"/>
  <c r="W2265" i="3" s="1"/>
  <c r="V2265" i="3" a="1"/>
  <c r="V2265" i="3" s="1"/>
  <c r="Y2264" i="3" a="1"/>
  <c r="Y2264" i="3" s="1"/>
  <c r="X2264" i="3" a="1"/>
  <c r="X2264" i="3" s="1"/>
  <c r="W2264" i="3" a="1"/>
  <c r="W2264" i="3" s="1"/>
  <c r="V2264" i="3" a="1"/>
  <c r="V2264" i="3" s="1"/>
  <c r="Y2263" i="3" a="1"/>
  <c r="Y2263" i="3" s="1"/>
  <c r="X2263" i="3" a="1"/>
  <c r="X2263" i="3" s="1"/>
  <c r="W2263" i="3" a="1"/>
  <c r="W2263" i="3" s="1"/>
  <c r="V2263" i="3" a="1"/>
  <c r="V2263" i="3" s="1"/>
  <c r="Y2262" i="3" a="1"/>
  <c r="Y2262" i="3" s="1"/>
  <c r="X2262" i="3" a="1"/>
  <c r="X2262" i="3" s="1"/>
  <c r="W2262" i="3" a="1"/>
  <c r="W2262" i="3" s="1"/>
  <c r="V2262" i="3" a="1"/>
  <c r="V2262" i="3" s="1"/>
  <c r="Y2261" i="3" a="1"/>
  <c r="Y2261" i="3" s="1"/>
  <c r="X2261" i="3" a="1"/>
  <c r="X2261" i="3" s="1"/>
  <c r="W2261" i="3" a="1"/>
  <c r="W2261" i="3" s="1"/>
  <c r="V2261" i="3" a="1"/>
  <c r="V2261" i="3" s="1"/>
  <c r="Y2260" i="3" a="1"/>
  <c r="Y2260" i="3" s="1"/>
  <c r="X2260" i="3" a="1"/>
  <c r="X2260" i="3" s="1"/>
  <c r="W2260" i="3" a="1"/>
  <c r="W2260" i="3" s="1"/>
  <c r="V2260" i="3" a="1"/>
  <c r="V2260" i="3" s="1"/>
  <c r="Y2259" i="3" a="1"/>
  <c r="Y2259" i="3" s="1"/>
  <c r="X2259" i="3" a="1"/>
  <c r="X2259" i="3" s="1"/>
  <c r="W2259" i="3" a="1"/>
  <c r="W2259" i="3" s="1"/>
  <c r="V2259" i="3" a="1"/>
  <c r="V2259" i="3" s="1"/>
  <c r="Y2258" i="3" a="1"/>
  <c r="Y2258" i="3" s="1"/>
  <c r="X2258" i="3" a="1"/>
  <c r="X2258" i="3" s="1"/>
  <c r="W2258" i="3" a="1"/>
  <c r="W2258" i="3" s="1"/>
  <c r="V2258" i="3" a="1"/>
  <c r="V2258" i="3" s="1"/>
  <c r="Y2257" i="3" a="1"/>
  <c r="Y2257" i="3" s="1"/>
  <c r="X2257" i="3" a="1"/>
  <c r="X2257" i="3" s="1"/>
  <c r="W2257" i="3" a="1"/>
  <c r="W2257" i="3" s="1"/>
  <c r="V2257" i="3" a="1"/>
  <c r="V2257" i="3" s="1"/>
  <c r="Y2256" i="3" a="1"/>
  <c r="Y2256" i="3" s="1"/>
  <c r="X2256" i="3" a="1"/>
  <c r="X2256" i="3" s="1"/>
  <c r="W2256" i="3" a="1"/>
  <c r="W2256" i="3" s="1"/>
  <c r="V2256" i="3" a="1"/>
  <c r="V2256" i="3" s="1"/>
  <c r="Y2255" i="3" a="1"/>
  <c r="Y2255" i="3" s="1"/>
  <c r="X2255" i="3" a="1"/>
  <c r="X2255" i="3" s="1"/>
  <c r="W2255" i="3" a="1"/>
  <c r="W2255" i="3" s="1"/>
  <c r="V2255" i="3" a="1"/>
  <c r="V2255" i="3" s="1"/>
  <c r="Y2254" i="3" a="1"/>
  <c r="Y2254" i="3" s="1"/>
  <c r="X2254" i="3" a="1"/>
  <c r="X2254" i="3" s="1"/>
  <c r="W2254" i="3" a="1"/>
  <c r="W2254" i="3" s="1"/>
  <c r="V2254" i="3" a="1"/>
  <c r="V2254" i="3" s="1"/>
  <c r="Y2253" i="3" a="1"/>
  <c r="Y2253" i="3" s="1"/>
  <c r="X2253" i="3" a="1"/>
  <c r="X2253" i="3" s="1"/>
  <c r="W2253" i="3" a="1"/>
  <c r="W2253" i="3" s="1"/>
  <c r="V2253" i="3" a="1"/>
  <c r="V2253" i="3" s="1"/>
  <c r="Y2252" i="3" a="1"/>
  <c r="Y2252" i="3" s="1"/>
  <c r="X2252" i="3" a="1"/>
  <c r="X2252" i="3" s="1"/>
  <c r="W2252" i="3" a="1"/>
  <c r="W2252" i="3" s="1"/>
  <c r="V2252" i="3" a="1"/>
  <c r="V2252" i="3" s="1"/>
  <c r="Y2251" i="3" a="1"/>
  <c r="Y2251" i="3" s="1"/>
  <c r="X2251" i="3" a="1"/>
  <c r="X2251" i="3" s="1"/>
  <c r="W2251" i="3" a="1"/>
  <c r="W2251" i="3" s="1"/>
  <c r="V2251" i="3" a="1"/>
  <c r="V2251" i="3" s="1"/>
  <c r="Y2250" i="3" a="1"/>
  <c r="Y2250" i="3" s="1"/>
  <c r="X2250" i="3" a="1"/>
  <c r="X2250" i="3" s="1"/>
  <c r="W2250" i="3" a="1"/>
  <c r="W2250" i="3" s="1"/>
  <c r="V2250" i="3" a="1"/>
  <c r="V2250" i="3" s="1"/>
  <c r="Y2249" i="3" a="1"/>
  <c r="Y2249" i="3" s="1"/>
  <c r="X2249" i="3" a="1"/>
  <c r="X2249" i="3" s="1"/>
  <c r="W2249" i="3" a="1"/>
  <c r="W2249" i="3" s="1"/>
  <c r="V2249" i="3" a="1"/>
  <c r="V2249" i="3" s="1"/>
  <c r="Y2248" i="3" a="1"/>
  <c r="Y2248" i="3" s="1"/>
  <c r="X2248" i="3" a="1"/>
  <c r="X2248" i="3" s="1"/>
  <c r="W2248" i="3" a="1"/>
  <c r="W2248" i="3" s="1"/>
  <c r="V2248" i="3" a="1"/>
  <c r="V2248" i="3" s="1"/>
  <c r="Y2247" i="3" a="1"/>
  <c r="Y2247" i="3" s="1"/>
  <c r="X2247" i="3" a="1"/>
  <c r="X2247" i="3" s="1"/>
  <c r="W2247" i="3" a="1"/>
  <c r="W2247" i="3" s="1"/>
  <c r="V2247" i="3" a="1"/>
  <c r="V2247" i="3" s="1"/>
  <c r="Y2246" i="3" a="1"/>
  <c r="Y2246" i="3" s="1"/>
  <c r="X2246" i="3" a="1"/>
  <c r="X2246" i="3" s="1"/>
  <c r="W2246" i="3" a="1"/>
  <c r="W2246" i="3" s="1"/>
  <c r="V2246" i="3" a="1"/>
  <c r="V2246" i="3" s="1"/>
  <c r="Y2245" i="3" a="1"/>
  <c r="Y2245" i="3" s="1"/>
  <c r="X2245" i="3" a="1"/>
  <c r="X2245" i="3" s="1"/>
  <c r="W2245" i="3" a="1"/>
  <c r="W2245" i="3" s="1"/>
  <c r="V2245" i="3" a="1"/>
  <c r="V2245" i="3" s="1"/>
  <c r="Y2244" i="3" a="1"/>
  <c r="Y2244" i="3" s="1"/>
  <c r="X2244" i="3" a="1"/>
  <c r="X2244" i="3" s="1"/>
  <c r="W2244" i="3" a="1"/>
  <c r="W2244" i="3" s="1"/>
  <c r="V2244" i="3" a="1"/>
  <c r="V2244" i="3" s="1"/>
  <c r="Y2243" i="3" a="1"/>
  <c r="Y2243" i="3" s="1"/>
  <c r="X2243" i="3" a="1"/>
  <c r="X2243" i="3" s="1"/>
  <c r="W2243" i="3" a="1"/>
  <c r="W2243" i="3" s="1"/>
  <c r="V2243" i="3" a="1"/>
  <c r="V2243" i="3" s="1"/>
  <c r="Y2242" i="3" a="1"/>
  <c r="Y2242" i="3" s="1"/>
  <c r="X2242" i="3" a="1"/>
  <c r="X2242" i="3" s="1"/>
  <c r="W2242" i="3" a="1"/>
  <c r="W2242" i="3" s="1"/>
  <c r="V2242" i="3" a="1"/>
  <c r="V2242" i="3" s="1"/>
  <c r="Y2241" i="3" a="1"/>
  <c r="Y2241" i="3" s="1"/>
  <c r="X2241" i="3" a="1"/>
  <c r="X2241" i="3" s="1"/>
  <c r="W2241" i="3" a="1"/>
  <c r="W2241" i="3" s="1"/>
  <c r="V2241" i="3" a="1"/>
  <c r="V2241" i="3" s="1"/>
  <c r="Y2240" i="3" a="1"/>
  <c r="Y2240" i="3" s="1"/>
  <c r="X2240" i="3" a="1"/>
  <c r="X2240" i="3" s="1"/>
  <c r="W2240" i="3" a="1"/>
  <c r="W2240" i="3" s="1"/>
  <c r="V2240" i="3" a="1"/>
  <c r="V2240" i="3" s="1"/>
  <c r="Y2239" i="3" a="1"/>
  <c r="Y2239" i="3" s="1"/>
  <c r="X2239" i="3" a="1"/>
  <c r="X2239" i="3" s="1"/>
  <c r="W2239" i="3" a="1"/>
  <c r="W2239" i="3" s="1"/>
  <c r="V2239" i="3" a="1"/>
  <c r="V2239" i="3" s="1"/>
  <c r="Y2238" i="3" a="1"/>
  <c r="Y2238" i="3" s="1"/>
  <c r="X2238" i="3" a="1"/>
  <c r="X2238" i="3" s="1"/>
  <c r="W2238" i="3" a="1"/>
  <c r="W2238" i="3" s="1"/>
  <c r="V2238" i="3" a="1"/>
  <c r="V2238" i="3" s="1"/>
  <c r="Y2237" i="3" a="1"/>
  <c r="Y2237" i="3" s="1"/>
  <c r="X2237" i="3" a="1"/>
  <c r="X2237" i="3" s="1"/>
  <c r="W2237" i="3" a="1"/>
  <c r="W2237" i="3" s="1"/>
  <c r="V2237" i="3" a="1"/>
  <c r="V2237" i="3" s="1"/>
  <c r="Y2236" i="3" a="1"/>
  <c r="Y2236" i="3" s="1"/>
  <c r="X2236" i="3" a="1"/>
  <c r="X2236" i="3" s="1"/>
  <c r="W2236" i="3" a="1"/>
  <c r="W2236" i="3" s="1"/>
  <c r="V2236" i="3" a="1"/>
  <c r="V2236" i="3" s="1"/>
  <c r="Y2235" i="3" a="1"/>
  <c r="Y2235" i="3" s="1"/>
  <c r="X2235" i="3" a="1"/>
  <c r="X2235" i="3" s="1"/>
  <c r="W2235" i="3" a="1"/>
  <c r="W2235" i="3" s="1"/>
  <c r="V2235" i="3" a="1"/>
  <c r="V2235" i="3" s="1"/>
  <c r="Y2234" i="3" a="1"/>
  <c r="Y2234" i="3" s="1"/>
  <c r="X2234" i="3" a="1"/>
  <c r="X2234" i="3" s="1"/>
  <c r="W2234" i="3" a="1"/>
  <c r="W2234" i="3" s="1"/>
  <c r="V2234" i="3" a="1"/>
  <c r="V2234" i="3" s="1"/>
  <c r="Y2233" i="3" a="1"/>
  <c r="Y2233" i="3" s="1"/>
  <c r="X2233" i="3" a="1"/>
  <c r="X2233" i="3" s="1"/>
  <c r="W2233" i="3" a="1"/>
  <c r="W2233" i="3" s="1"/>
  <c r="V2233" i="3" a="1"/>
  <c r="V2233" i="3" s="1"/>
  <c r="Y2232" i="3" a="1"/>
  <c r="Y2232" i="3" s="1"/>
  <c r="X2232" i="3" a="1"/>
  <c r="X2232" i="3" s="1"/>
  <c r="W2232" i="3" a="1"/>
  <c r="W2232" i="3" s="1"/>
  <c r="V2232" i="3" a="1"/>
  <c r="V2232" i="3" s="1"/>
  <c r="Y2231" i="3" a="1"/>
  <c r="Y2231" i="3" s="1"/>
  <c r="X2231" i="3" a="1"/>
  <c r="X2231" i="3" s="1"/>
  <c r="W2231" i="3" a="1"/>
  <c r="W2231" i="3" s="1"/>
  <c r="V2231" i="3" a="1"/>
  <c r="V2231" i="3" s="1"/>
  <c r="Y2230" i="3" a="1"/>
  <c r="Y2230" i="3" s="1"/>
  <c r="X2230" i="3" a="1"/>
  <c r="X2230" i="3" s="1"/>
  <c r="W2230" i="3" a="1"/>
  <c r="W2230" i="3" s="1"/>
  <c r="V2230" i="3" a="1"/>
  <c r="V2230" i="3" s="1"/>
  <c r="Y2229" i="3" a="1"/>
  <c r="Y2229" i="3" s="1"/>
  <c r="X2229" i="3" a="1"/>
  <c r="X2229" i="3" s="1"/>
  <c r="W2229" i="3" a="1"/>
  <c r="W2229" i="3" s="1"/>
  <c r="V2229" i="3" a="1"/>
  <c r="V2229" i="3" s="1"/>
  <c r="Y2228" i="3" a="1"/>
  <c r="Y2228" i="3" s="1"/>
  <c r="X2228" i="3" a="1"/>
  <c r="X2228" i="3" s="1"/>
  <c r="W2228" i="3" a="1"/>
  <c r="W2228" i="3" s="1"/>
  <c r="V2228" i="3" a="1"/>
  <c r="V2228" i="3" s="1"/>
  <c r="Y2227" i="3" a="1"/>
  <c r="Y2227" i="3" s="1"/>
  <c r="X2227" i="3" a="1"/>
  <c r="X2227" i="3" s="1"/>
  <c r="W2227" i="3" a="1"/>
  <c r="W2227" i="3" s="1"/>
  <c r="V2227" i="3" a="1"/>
  <c r="V2227" i="3" s="1"/>
  <c r="Y2226" i="3" a="1"/>
  <c r="Y2226" i="3" s="1"/>
  <c r="X2226" i="3" a="1"/>
  <c r="X2226" i="3" s="1"/>
  <c r="W2226" i="3" a="1"/>
  <c r="W2226" i="3" s="1"/>
  <c r="V2226" i="3" a="1"/>
  <c r="V2226" i="3" s="1"/>
  <c r="Y2225" i="3" a="1"/>
  <c r="Y2225" i="3" s="1"/>
  <c r="X2225" i="3" a="1"/>
  <c r="X2225" i="3" s="1"/>
  <c r="W2225" i="3" a="1"/>
  <c r="W2225" i="3" s="1"/>
  <c r="V2225" i="3" a="1"/>
  <c r="V2225" i="3" s="1"/>
  <c r="Y2224" i="3" a="1"/>
  <c r="Y2224" i="3" s="1"/>
  <c r="X2224" i="3" a="1"/>
  <c r="X2224" i="3" s="1"/>
  <c r="W2224" i="3" a="1"/>
  <c r="W2224" i="3" s="1"/>
  <c r="V2224" i="3" a="1"/>
  <c r="V2224" i="3" s="1"/>
  <c r="Y2223" i="3" a="1"/>
  <c r="Y2223" i="3" s="1"/>
  <c r="X2223" i="3" a="1"/>
  <c r="X2223" i="3" s="1"/>
  <c r="W2223" i="3" a="1"/>
  <c r="W2223" i="3" s="1"/>
  <c r="V2223" i="3" a="1"/>
  <c r="V2223" i="3" s="1"/>
  <c r="Y2222" i="3" a="1"/>
  <c r="Y2222" i="3" s="1"/>
  <c r="X2222" i="3" a="1"/>
  <c r="X2222" i="3" s="1"/>
  <c r="W2222" i="3" a="1"/>
  <c r="W2222" i="3" s="1"/>
  <c r="V2222" i="3" a="1"/>
  <c r="V2222" i="3" s="1"/>
  <c r="Y2221" i="3" a="1"/>
  <c r="Y2221" i="3" s="1"/>
  <c r="X2221" i="3" a="1"/>
  <c r="X2221" i="3" s="1"/>
  <c r="W2221" i="3" a="1"/>
  <c r="W2221" i="3" s="1"/>
  <c r="V2221" i="3" a="1"/>
  <c r="V2221" i="3" s="1"/>
  <c r="Y2220" i="3" a="1"/>
  <c r="Y2220" i="3" s="1"/>
  <c r="X2220" i="3" a="1"/>
  <c r="X2220" i="3" s="1"/>
  <c r="W2220" i="3" a="1"/>
  <c r="W2220" i="3" s="1"/>
  <c r="V2220" i="3" a="1"/>
  <c r="V2220" i="3" s="1"/>
  <c r="Y2219" i="3" a="1"/>
  <c r="Y2219" i="3" s="1"/>
  <c r="X2219" i="3" a="1"/>
  <c r="X2219" i="3" s="1"/>
  <c r="W2219" i="3" a="1"/>
  <c r="W2219" i="3" s="1"/>
  <c r="V2219" i="3" a="1"/>
  <c r="V2219" i="3" s="1"/>
  <c r="Y2218" i="3" a="1"/>
  <c r="Y2218" i="3" s="1"/>
  <c r="X2218" i="3" a="1"/>
  <c r="X2218" i="3" s="1"/>
  <c r="W2218" i="3" a="1"/>
  <c r="W2218" i="3" s="1"/>
  <c r="V2218" i="3" a="1"/>
  <c r="V2218" i="3" s="1"/>
  <c r="Y2217" i="3" a="1"/>
  <c r="Y2217" i="3" s="1"/>
  <c r="X2217" i="3" a="1"/>
  <c r="X2217" i="3" s="1"/>
  <c r="W2217" i="3" a="1"/>
  <c r="W2217" i="3" s="1"/>
  <c r="V2217" i="3" a="1"/>
  <c r="V2217" i="3" s="1"/>
  <c r="Y2216" i="3" a="1"/>
  <c r="Y2216" i="3" s="1"/>
  <c r="X2216" i="3" a="1"/>
  <c r="X2216" i="3" s="1"/>
  <c r="W2216" i="3" a="1"/>
  <c r="W2216" i="3" s="1"/>
  <c r="V2216" i="3" a="1"/>
  <c r="V2216" i="3" s="1"/>
  <c r="Y2215" i="3" a="1"/>
  <c r="Y2215" i="3" s="1"/>
  <c r="X2215" i="3" a="1"/>
  <c r="X2215" i="3" s="1"/>
  <c r="W2215" i="3" a="1"/>
  <c r="W2215" i="3" s="1"/>
  <c r="V2215" i="3" a="1"/>
  <c r="V2215" i="3" s="1"/>
  <c r="Y2214" i="3" a="1"/>
  <c r="Y2214" i="3" s="1"/>
  <c r="X2214" i="3" a="1"/>
  <c r="X2214" i="3" s="1"/>
  <c r="W2214" i="3" a="1"/>
  <c r="W2214" i="3" s="1"/>
  <c r="V2214" i="3" a="1"/>
  <c r="V2214" i="3" s="1"/>
  <c r="Y2213" i="3" a="1"/>
  <c r="Y2213" i="3" s="1"/>
  <c r="X2213" i="3" a="1"/>
  <c r="X2213" i="3" s="1"/>
  <c r="W2213" i="3" a="1"/>
  <c r="W2213" i="3" s="1"/>
  <c r="V2213" i="3" a="1"/>
  <c r="V2213" i="3" s="1"/>
  <c r="Y2212" i="3" a="1"/>
  <c r="Y2212" i="3" s="1"/>
  <c r="X2212" i="3" a="1"/>
  <c r="X2212" i="3" s="1"/>
  <c r="W2212" i="3" a="1"/>
  <c r="W2212" i="3" s="1"/>
  <c r="V2212" i="3" a="1"/>
  <c r="V2212" i="3" s="1"/>
  <c r="Y2211" i="3" a="1"/>
  <c r="Y2211" i="3" s="1"/>
  <c r="X2211" i="3" a="1"/>
  <c r="X2211" i="3" s="1"/>
  <c r="W2211" i="3" a="1"/>
  <c r="W2211" i="3" s="1"/>
  <c r="V2211" i="3" a="1"/>
  <c r="V2211" i="3" s="1"/>
  <c r="Y2210" i="3" a="1"/>
  <c r="Y2210" i="3" s="1"/>
  <c r="X2210" i="3" a="1"/>
  <c r="X2210" i="3" s="1"/>
  <c r="W2210" i="3" a="1"/>
  <c r="W2210" i="3" s="1"/>
  <c r="V2210" i="3" a="1"/>
  <c r="V2210" i="3" s="1"/>
  <c r="Y2209" i="3" a="1"/>
  <c r="Y2209" i="3" s="1"/>
  <c r="X2209" i="3" a="1"/>
  <c r="X2209" i="3" s="1"/>
  <c r="W2209" i="3" a="1"/>
  <c r="W2209" i="3" s="1"/>
  <c r="V2209" i="3" a="1"/>
  <c r="V2209" i="3" s="1"/>
  <c r="Y2208" i="3" a="1"/>
  <c r="Y2208" i="3" s="1"/>
  <c r="X2208" i="3" a="1"/>
  <c r="X2208" i="3" s="1"/>
  <c r="W2208" i="3" a="1"/>
  <c r="W2208" i="3" s="1"/>
  <c r="V2208" i="3" a="1"/>
  <c r="V2208" i="3" s="1"/>
  <c r="Y2207" i="3" a="1"/>
  <c r="Y2207" i="3" s="1"/>
  <c r="X2207" i="3" a="1"/>
  <c r="X2207" i="3" s="1"/>
  <c r="W2207" i="3" a="1"/>
  <c r="W2207" i="3" s="1"/>
  <c r="V2207" i="3" a="1"/>
  <c r="V2207" i="3" s="1"/>
  <c r="Y2206" i="3" a="1"/>
  <c r="Y2206" i="3" s="1"/>
  <c r="X2206" i="3" a="1"/>
  <c r="X2206" i="3" s="1"/>
  <c r="W2206" i="3" a="1"/>
  <c r="W2206" i="3" s="1"/>
  <c r="V2206" i="3" a="1"/>
  <c r="V2206" i="3" s="1"/>
  <c r="Y2205" i="3" a="1"/>
  <c r="Y2205" i="3" s="1"/>
  <c r="X2205" i="3" a="1"/>
  <c r="X2205" i="3" s="1"/>
  <c r="W2205" i="3" a="1"/>
  <c r="W2205" i="3" s="1"/>
  <c r="V2205" i="3" a="1"/>
  <c r="V2205" i="3" s="1"/>
  <c r="Y2204" i="3" a="1"/>
  <c r="Y2204" i="3" s="1"/>
  <c r="X2204" i="3" a="1"/>
  <c r="X2204" i="3" s="1"/>
  <c r="W2204" i="3" a="1"/>
  <c r="W2204" i="3" s="1"/>
  <c r="V2204" i="3" a="1"/>
  <c r="V2204" i="3" s="1"/>
  <c r="Y2203" i="3" a="1"/>
  <c r="Y2203" i="3" s="1"/>
  <c r="X2203" i="3" a="1"/>
  <c r="X2203" i="3" s="1"/>
  <c r="W2203" i="3" a="1"/>
  <c r="W2203" i="3" s="1"/>
  <c r="V2203" i="3" a="1"/>
  <c r="V2203" i="3" s="1"/>
  <c r="Y2202" i="3" a="1"/>
  <c r="Y2202" i="3" s="1"/>
  <c r="X2202" i="3" a="1"/>
  <c r="X2202" i="3" s="1"/>
  <c r="W2202" i="3" a="1"/>
  <c r="W2202" i="3" s="1"/>
  <c r="V2202" i="3" a="1"/>
  <c r="V2202" i="3" s="1"/>
  <c r="Y2201" i="3" a="1"/>
  <c r="Y2201" i="3" s="1"/>
  <c r="X2201" i="3" a="1"/>
  <c r="X2201" i="3" s="1"/>
  <c r="W2201" i="3" a="1"/>
  <c r="W2201" i="3" s="1"/>
  <c r="V2201" i="3" a="1"/>
  <c r="V2201" i="3" s="1"/>
  <c r="Y2200" i="3" a="1"/>
  <c r="Y2200" i="3" s="1"/>
  <c r="X2200" i="3" a="1"/>
  <c r="X2200" i="3" s="1"/>
  <c r="W2200" i="3" a="1"/>
  <c r="W2200" i="3" s="1"/>
  <c r="V2200" i="3" a="1"/>
  <c r="V2200" i="3" s="1"/>
  <c r="Y2199" i="3" a="1"/>
  <c r="Y2199" i="3" s="1"/>
  <c r="X2199" i="3" a="1"/>
  <c r="X2199" i="3" s="1"/>
  <c r="W2199" i="3" a="1"/>
  <c r="W2199" i="3" s="1"/>
  <c r="V2199" i="3" a="1"/>
  <c r="V2199" i="3" s="1"/>
  <c r="Y2198" i="3" a="1"/>
  <c r="Y2198" i="3" s="1"/>
  <c r="X2198" i="3" a="1"/>
  <c r="X2198" i="3" s="1"/>
  <c r="W2198" i="3" a="1"/>
  <c r="W2198" i="3" s="1"/>
  <c r="V2198" i="3" a="1"/>
  <c r="V2198" i="3" s="1"/>
  <c r="Y2197" i="3" a="1"/>
  <c r="Y2197" i="3" s="1"/>
  <c r="X2197" i="3" a="1"/>
  <c r="X2197" i="3" s="1"/>
  <c r="W2197" i="3" a="1"/>
  <c r="W2197" i="3" s="1"/>
  <c r="V2197" i="3" a="1"/>
  <c r="V2197" i="3" s="1"/>
  <c r="Y2196" i="3" a="1"/>
  <c r="Y2196" i="3" s="1"/>
  <c r="X2196" i="3" a="1"/>
  <c r="X2196" i="3" s="1"/>
  <c r="W2196" i="3" a="1"/>
  <c r="W2196" i="3" s="1"/>
  <c r="V2196" i="3" a="1"/>
  <c r="V2196" i="3" s="1"/>
  <c r="Y2195" i="3" a="1"/>
  <c r="Y2195" i="3" s="1"/>
  <c r="X2195" i="3" a="1"/>
  <c r="X2195" i="3" s="1"/>
  <c r="W2195" i="3" a="1"/>
  <c r="W2195" i="3" s="1"/>
  <c r="V2195" i="3" a="1"/>
  <c r="V2195" i="3" s="1"/>
  <c r="Y2194" i="3" a="1"/>
  <c r="Y2194" i="3" s="1"/>
  <c r="X2194" i="3" a="1"/>
  <c r="X2194" i="3" s="1"/>
  <c r="W2194" i="3" a="1"/>
  <c r="W2194" i="3" s="1"/>
  <c r="V2194" i="3" a="1"/>
  <c r="V2194" i="3" s="1"/>
  <c r="Y2193" i="3" a="1"/>
  <c r="Y2193" i="3" s="1"/>
  <c r="X2193" i="3" a="1"/>
  <c r="X2193" i="3" s="1"/>
  <c r="W2193" i="3" a="1"/>
  <c r="W2193" i="3" s="1"/>
  <c r="V2193" i="3" a="1"/>
  <c r="V2193" i="3" s="1"/>
  <c r="Y2192" i="3" a="1"/>
  <c r="Y2192" i="3" s="1"/>
  <c r="X2192" i="3" a="1"/>
  <c r="X2192" i="3" s="1"/>
  <c r="W2192" i="3" a="1"/>
  <c r="W2192" i="3" s="1"/>
  <c r="V2192" i="3" a="1"/>
  <c r="V2192" i="3" s="1"/>
  <c r="Y2191" i="3" a="1"/>
  <c r="Y2191" i="3" s="1"/>
  <c r="X2191" i="3" a="1"/>
  <c r="X2191" i="3" s="1"/>
  <c r="W2191" i="3" a="1"/>
  <c r="W2191" i="3" s="1"/>
  <c r="V2191" i="3" a="1"/>
  <c r="V2191" i="3" s="1"/>
  <c r="Y2190" i="3" a="1"/>
  <c r="Y2190" i="3" s="1"/>
  <c r="X2190" i="3" a="1"/>
  <c r="X2190" i="3" s="1"/>
  <c r="W2190" i="3" a="1"/>
  <c r="W2190" i="3" s="1"/>
  <c r="V2190" i="3" a="1"/>
  <c r="V2190" i="3" s="1"/>
  <c r="Y2189" i="3" a="1"/>
  <c r="Y2189" i="3" s="1"/>
  <c r="X2189" i="3" a="1"/>
  <c r="X2189" i="3" s="1"/>
  <c r="W2189" i="3" a="1"/>
  <c r="W2189" i="3" s="1"/>
  <c r="V2189" i="3" a="1"/>
  <c r="V2189" i="3" s="1"/>
  <c r="Y2188" i="3" a="1"/>
  <c r="Y2188" i="3" s="1"/>
  <c r="X2188" i="3" a="1"/>
  <c r="X2188" i="3" s="1"/>
  <c r="W2188" i="3" a="1"/>
  <c r="W2188" i="3" s="1"/>
  <c r="V2188" i="3" a="1"/>
  <c r="V2188" i="3" s="1"/>
  <c r="Y2187" i="3" a="1"/>
  <c r="Y2187" i="3" s="1"/>
  <c r="X2187" i="3" a="1"/>
  <c r="X2187" i="3" s="1"/>
  <c r="W2187" i="3" a="1"/>
  <c r="W2187" i="3" s="1"/>
  <c r="V2187" i="3" a="1"/>
  <c r="V2187" i="3" s="1"/>
  <c r="Y2186" i="3" a="1"/>
  <c r="Y2186" i="3" s="1"/>
  <c r="X2186" i="3" a="1"/>
  <c r="X2186" i="3" s="1"/>
  <c r="W2186" i="3" a="1"/>
  <c r="W2186" i="3" s="1"/>
  <c r="V2186" i="3" a="1"/>
  <c r="V2186" i="3" s="1"/>
  <c r="Y2185" i="3" a="1"/>
  <c r="Y2185" i="3" s="1"/>
  <c r="X2185" i="3" a="1"/>
  <c r="X2185" i="3" s="1"/>
  <c r="W2185" i="3" a="1"/>
  <c r="W2185" i="3" s="1"/>
  <c r="V2185" i="3" a="1"/>
  <c r="V2185" i="3" s="1"/>
  <c r="Y2184" i="3" a="1"/>
  <c r="Y2184" i="3" s="1"/>
  <c r="X2184" i="3" a="1"/>
  <c r="X2184" i="3" s="1"/>
  <c r="W2184" i="3" a="1"/>
  <c r="W2184" i="3" s="1"/>
  <c r="V2184" i="3" a="1"/>
  <c r="V2184" i="3" s="1"/>
  <c r="Y2183" i="3" a="1"/>
  <c r="Y2183" i="3" s="1"/>
  <c r="X2183" i="3" a="1"/>
  <c r="X2183" i="3" s="1"/>
  <c r="W2183" i="3" a="1"/>
  <c r="W2183" i="3" s="1"/>
  <c r="V2183" i="3" a="1"/>
  <c r="V2183" i="3" s="1"/>
  <c r="Y2182" i="3" a="1"/>
  <c r="Y2182" i="3" s="1"/>
  <c r="X2182" i="3" a="1"/>
  <c r="X2182" i="3" s="1"/>
  <c r="W2182" i="3" a="1"/>
  <c r="W2182" i="3" s="1"/>
  <c r="V2182" i="3" a="1"/>
  <c r="V2182" i="3" s="1"/>
  <c r="Y2181" i="3" a="1"/>
  <c r="Y2181" i="3" s="1"/>
  <c r="X2181" i="3" a="1"/>
  <c r="X2181" i="3" s="1"/>
  <c r="W2181" i="3" a="1"/>
  <c r="W2181" i="3" s="1"/>
  <c r="V2181" i="3" a="1"/>
  <c r="V2181" i="3" s="1"/>
  <c r="Y2180" i="3" a="1"/>
  <c r="Y2180" i="3" s="1"/>
  <c r="X2180" i="3" a="1"/>
  <c r="X2180" i="3" s="1"/>
  <c r="W2180" i="3" a="1"/>
  <c r="W2180" i="3" s="1"/>
  <c r="V2180" i="3" a="1"/>
  <c r="V2180" i="3" s="1"/>
  <c r="Y2179" i="3" a="1"/>
  <c r="Y2179" i="3" s="1"/>
  <c r="X2179" i="3" a="1"/>
  <c r="X2179" i="3" s="1"/>
  <c r="W2179" i="3" a="1"/>
  <c r="W2179" i="3" s="1"/>
  <c r="V2179" i="3" a="1"/>
  <c r="V2179" i="3" s="1"/>
  <c r="Y2178" i="3" a="1"/>
  <c r="Y2178" i="3" s="1"/>
  <c r="X2178" i="3" a="1"/>
  <c r="X2178" i="3" s="1"/>
  <c r="W2178" i="3" a="1"/>
  <c r="W2178" i="3" s="1"/>
  <c r="V2178" i="3" a="1"/>
  <c r="V2178" i="3" s="1"/>
  <c r="Y2177" i="3" a="1"/>
  <c r="Y2177" i="3" s="1"/>
  <c r="X2177" i="3" a="1"/>
  <c r="X2177" i="3" s="1"/>
  <c r="W2177" i="3" a="1"/>
  <c r="W2177" i="3" s="1"/>
  <c r="V2177" i="3" a="1"/>
  <c r="V2177" i="3" s="1"/>
  <c r="Y2176" i="3" a="1"/>
  <c r="Y2176" i="3" s="1"/>
  <c r="X2176" i="3" a="1"/>
  <c r="X2176" i="3" s="1"/>
  <c r="W2176" i="3" a="1"/>
  <c r="W2176" i="3" s="1"/>
  <c r="V2176" i="3" a="1"/>
  <c r="V2176" i="3" s="1"/>
  <c r="Y2175" i="3" a="1"/>
  <c r="Y2175" i="3" s="1"/>
  <c r="X2175" i="3" a="1"/>
  <c r="X2175" i="3" s="1"/>
  <c r="W2175" i="3" a="1"/>
  <c r="W2175" i="3" s="1"/>
  <c r="V2175" i="3" a="1"/>
  <c r="V2175" i="3" s="1"/>
  <c r="Y2174" i="3" a="1"/>
  <c r="Y2174" i="3" s="1"/>
  <c r="X2174" i="3" a="1"/>
  <c r="X2174" i="3" s="1"/>
  <c r="W2174" i="3" a="1"/>
  <c r="W2174" i="3" s="1"/>
  <c r="V2174" i="3" a="1"/>
  <c r="V2174" i="3" s="1"/>
  <c r="Y2173" i="3" a="1"/>
  <c r="Y2173" i="3" s="1"/>
  <c r="X2173" i="3" a="1"/>
  <c r="X2173" i="3" s="1"/>
  <c r="W2173" i="3" a="1"/>
  <c r="W2173" i="3" s="1"/>
  <c r="V2173" i="3" a="1"/>
  <c r="V2173" i="3" s="1"/>
  <c r="Y2172" i="3" a="1"/>
  <c r="Y2172" i="3" s="1"/>
  <c r="X2172" i="3" a="1"/>
  <c r="X2172" i="3" s="1"/>
  <c r="W2172" i="3" a="1"/>
  <c r="W2172" i="3" s="1"/>
  <c r="V2172" i="3" a="1"/>
  <c r="V2172" i="3" s="1"/>
  <c r="Y2171" i="3" a="1"/>
  <c r="Y2171" i="3" s="1"/>
  <c r="X2171" i="3" a="1"/>
  <c r="X2171" i="3" s="1"/>
  <c r="W2171" i="3" a="1"/>
  <c r="W2171" i="3" s="1"/>
  <c r="V2171" i="3" a="1"/>
  <c r="V2171" i="3" s="1"/>
  <c r="Y2170" i="3" a="1"/>
  <c r="Y2170" i="3" s="1"/>
  <c r="X2170" i="3" a="1"/>
  <c r="X2170" i="3" s="1"/>
  <c r="W2170" i="3" a="1"/>
  <c r="W2170" i="3" s="1"/>
  <c r="V2170" i="3" a="1"/>
  <c r="V2170" i="3" s="1"/>
  <c r="Y2169" i="3" a="1"/>
  <c r="Y2169" i="3" s="1"/>
  <c r="X2169" i="3" a="1"/>
  <c r="X2169" i="3" s="1"/>
  <c r="W2169" i="3" a="1"/>
  <c r="W2169" i="3" s="1"/>
  <c r="V2169" i="3" a="1"/>
  <c r="V2169" i="3" s="1"/>
  <c r="Y2168" i="3" a="1"/>
  <c r="Y2168" i="3" s="1"/>
  <c r="X2168" i="3" a="1"/>
  <c r="X2168" i="3" s="1"/>
  <c r="W2168" i="3" a="1"/>
  <c r="W2168" i="3" s="1"/>
  <c r="V2168" i="3" a="1"/>
  <c r="V2168" i="3" s="1"/>
  <c r="Y2167" i="3" a="1"/>
  <c r="Y2167" i="3" s="1"/>
  <c r="X2167" i="3" a="1"/>
  <c r="X2167" i="3" s="1"/>
  <c r="W2167" i="3" a="1"/>
  <c r="W2167" i="3" s="1"/>
  <c r="V2167" i="3" a="1"/>
  <c r="V2167" i="3" s="1"/>
  <c r="Y2166" i="3" a="1"/>
  <c r="Y2166" i="3" s="1"/>
  <c r="X2166" i="3" a="1"/>
  <c r="X2166" i="3" s="1"/>
  <c r="W2166" i="3" a="1"/>
  <c r="W2166" i="3" s="1"/>
  <c r="V2166" i="3" a="1"/>
  <c r="V2166" i="3" s="1"/>
  <c r="Y2165" i="3" a="1"/>
  <c r="Y2165" i="3" s="1"/>
  <c r="X2165" i="3" a="1"/>
  <c r="X2165" i="3" s="1"/>
  <c r="W2165" i="3" a="1"/>
  <c r="W2165" i="3" s="1"/>
  <c r="V2165" i="3" a="1"/>
  <c r="V2165" i="3" s="1"/>
  <c r="Y2164" i="3" a="1"/>
  <c r="Y2164" i="3" s="1"/>
  <c r="X2164" i="3" a="1"/>
  <c r="X2164" i="3" s="1"/>
  <c r="W2164" i="3" a="1"/>
  <c r="W2164" i="3" s="1"/>
  <c r="V2164" i="3" a="1"/>
  <c r="V2164" i="3" s="1"/>
  <c r="Y2163" i="3" a="1"/>
  <c r="Y2163" i="3" s="1"/>
  <c r="X2163" i="3" a="1"/>
  <c r="X2163" i="3" s="1"/>
  <c r="W2163" i="3" a="1"/>
  <c r="W2163" i="3" s="1"/>
  <c r="V2163" i="3" a="1"/>
  <c r="V2163" i="3" s="1"/>
  <c r="Y2162" i="3" a="1"/>
  <c r="Y2162" i="3" s="1"/>
  <c r="X2162" i="3" a="1"/>
  <c r="X2162" i="3" s="1"/>
  <c r="W2162" i="3" a="1"/>
  <c r="W2162" i="3" s="1"/>
  <c r="V2162" i="3" a="1"/>
  <c r="V2162" i="3" s="1"/>
  <c r="Y2161" i="3" a="1"/>
  <c r="Y2161" i="3" s="1"/>
  <c r="X2161" i="3" a="1"/>
  <c r="X2161" i="3" s="1"/>
  <c r="W2161" i="3" a="1"/>
  <c r="W2161" i="3" s="1"/>
  <c r="V2161" i="3" a="1"/>
  <c r="V2161" i="3" s="1"/>
  <c r="Y2160" i="3" a="1"/>
  <c r="Y2160" i="3" s="1"/>
  <c r="X2160" i="3" a="1"/>
  <c r="X2160" i="3" s="1"/>
  <c r="W2160" i="3" a="1"/>
  <c r="W2160" i="3" s="1"/>
  <c r="V2160" i="3" a="1"/>
  <c r="V2160" i="3" s="1"/>
  <c r="Y2159" i="3" a="1"/>
  <c r="Y2159" i="3" s="1"/>
  <c r="X2159" i="3" a="1"/>
  <c r="X2159" i="3" s="1"/>
  <c r="W2159" i="3" a="1"/>
  <c r="W2159" i="3" s="1"/>
  <c r="V2159" i="3" a="1"/>
  <c r="V2159" i="3" s="1"/>
  <c r="Y2158" i="3" a="1"/>
  <c r="Y2158" i="3" s="1"/>
  <c r="X2158" i="3" a="1"/>
  <c r="X2158" i="3" s="1"/>
  <c r="W2158" i="3" a="1"/>
  <c r="W2158" i="3" s="1"/>
  <c r="V2158" i="3" a="1"/>
  <c r="V2158" i="3" s="1"/>
  <c r="Y2157" i="3" a="1"/>
  <c r="Y2157" i="3" s="1"/>
  <c r="X2157" i="3" a="1"/>
  <c r="X2157" i="3" s="1"/>
  <c r="W2157" i="3" a="1"/>
  <c r="W2157" i="3" s="1"/>
  <c r="V2157" i="3" a="1"/>
  <c r="V2157" i="3" s="1"/>
  <c r="Y2156" i="3" a="1"/>
  <c r="Y2156" i="3" s="1"/>
  <c r="X2156" i="3" a="1"/>
  <c r="X2156" i="3" s="1"/>
  <c r="W2156" i="3" a="1"/>
  <c r="W2156" i="3" s="1"/>
  <c r="V2156" i="3" a="1"/>
  <c r="V2156" i="3" s="1"/>
  <c r="Y2155" i="3" a="1"/>
  <c r="Y2155" i="3" s="1"/>
  <c r="X2155" i="3" a="1"/>
  <c r="X2155" i="3" s="1"/>
  <c r="W2155" i="3" a="1"/>
  <c r="W2155" i="3" s="1"/>
  <c r="V2155" i="3" a="1"/>
  <c r="V2155" i="3" s="1"/>
  <c r="Y2154" i="3" a="1"/>
  <c r="Y2154" i="3" s="1"/>
  <c r="X2154" i="3" a="1"/>
  <c r="X2154" i="3" s="1"/>
  <c r="W2154" i="3" a="1"/>
  <c r="W2154" i="3" s="1"/>
  <c r="V2154" i="3" a="1"/>
  <c r="V2154" i="3" s="1"/>
  <c r="Y2153" i="3" a="1"/>
  <c r="Y2153" i="3" s="1"/>
  <c r="X2153" i="3" a="1"/>
  <c r="X2153" i="3" s="1"/>
  <c r="W2153" i="3" a="1"/>
  <c r="W2153" i="3" s="1"/>
  <c r="V2153" i="3" a="1"/>
  <c r="V2153" i="3" s="1"/>
  <c r="Y2152" i="3" a="1"/>
  <c r="Y2152" i="3" s="1"/>
  <c r="X2152" i="3" a="1"/>
  <c r="X2152" i="3" s="1"/>
  <c r="W2152" i="3" a="1"/>
  <c r="W2152" i="3" s="1"/>
  <c r="V2152" i="3" a="1"/>
  <c r="V2152" i="3" s="1"/>
  <c r="Y2151" i="3" a="1"/>
  <c r="Y2151" i="3" s="1"/>
  <c r="X2151" i="3" a="1"/>
  <c r="X2151" i="3" s="1"/>
  <c r="W2151" i="3" a="1"/>
  <c r="W2151" i="3" s="1"/>
  <c r="V2151" i="3" a="1"/>
  <c r="V2151" i="3" s="1"/>
  <c r="Y2150" i="3" a="1"/>
  <c r="Y2150" i="3" s="1"/>
  <c r="X2150" i="3" a="1"/>
  <c r="X2150" i="3" s="1"/>
  <c r="W2150" i="3" a="1"/>
  <c r="W2150" i="3" s="1"/>
  <c r="V2150" i="3" a="1"/>
  <c r="V2150" i="3" s="1"/>
  <c r="Y2149" i="3" a="1"/>
  <c r="Y2149" i="3" s="1"/>
  <c r="X2149" i="3" a="1"/>
  <c r="X2149" i="3" s="1"/>
  <c r="W2149" i="3" a="1"/>
  <c r="W2149" i="3" s="1"/>
  <c r="V2149" i="3" a="1"/>
  <c r="V2149" i="3" s="1"/>
  <c r="Y2148" i="3" a="1"/>
  <c r="Y2148" i="3" s="1"/>
  <c r="X2148" i="3" a="1"/>
  <c r="X2148" i="3" s="1"/>
  <c r="W2148" i="3" a="1"/>
  <c r="W2148" i="3" s="1"/>
  <c r="V2148" i="3" a="1"/>
  <c r="V2148" i="3" s="1"/>
  <c r="Y2147" i="3" a="1"/>
  <c r="Y2147" i="3" s="1"/>
  <c r="X2147" i="3" a="1"/>
  <c r="X2147" i="3" s="1"/>
  <c r="W2147" i="3" a="1"/>
  <c r="W2147" i="3" s="1"/>
  <c r="V2147" i="3" a="1"/>
  <c r="V2147" i="3" s="1"/>
  <c r="Y2146" i="3" a="1"/>
  <c r="Y2146" i="3" s="1"/>
  <c r="X2146" i="3" a="1"/>
  <c r="X2146" i="3" s="1"/>
  <c r="W2146" i="3" a="1"/>
  <c r="W2146" i="3" s="1"/>
  <c r="V2146" i="3" a="1"/>
  <c r="V2146" i="3" s="1"/>
  <c r="Y2145" i="3" a="1"/>
  <c r="Y2145" i="3" s="1"/>
  <c r="X2145" i="3" a="1"/>
  <c r="X2145" i="3" s="1"/>
  <c r="W2145" i="3" a="1"/>
  <c r="W2145" i="3" s="1"/>
  <c r="V2145" i="3" a="1"/>
  <c r="V2145" i="3" s="1"/>
  <c r="Y2144" i="3" a="1"/>
  <c r="Y2144" i="3" s="1"/>
  <c r="X2144" i="3" a="1"/>
  <c r="X2144" i="3" s="1"/>
  <c r="W2144" i="3" a="1"/>
  <c r="W2144" i="3" s="1"/>
  <c r="V2144" i="3" a="1"/>
  <c r="V2144" i="3" s="1"/>
  <c r="Y2143" i="3" a="1"/>
  <c r="Y2143" i="3" s="1"/>
  <c r="X2143" i="3" a="1"/>
  <c r="X2143" i="3" s="1"/>
  <c r="W2143" i="3" a="1"/>
  <c r="W2143" i="3" s="1"/>
  <c r="V2143" i="3" a="1"/>
  <c r="V2143" i="3" s="1"/>
  <c r="Y2142" i="3" a="1"/>
  <c r="Y2142" i="3" s="1"/>
  <c r="X2142" i="3" a="1"/>
  <c r="X2142" i="3" s="1"/>
  <c r="W2142" i="3" a="1"/>
  <c r="W2142" i="3" s="1"/>
  <c r="V2142" i="3" a="1"/>
  <c r="V2142" i="3" s="1"/>
  <c r="Y2141" i="3" a="1"/>
  <c r="Y2141" i="3" s="1"/>
  <c r="X2141" i="3" a="1"/>
  <c r="X2141" i="3" s="1"/>
  <c r="W2141" i="3" a="1"/>
  <c r="W2141" i="3" s="1"/>
  <c r="V2141" i="3" a="1"/>
  <c r="V2141" i="3" s="1"/>
  <c r="Y2140" i="3" a="1"/>
  <c r="Y2140" i="3" s="1"/>
  <c r="X2140" i="3" a="1"/>
  <c r="X2140" i="3" s="1"/>
  <c r="W2140" i="3" a="1"/>
  <c r="W2140" i="3" s="1"/>
  <c r="V2140" i="3" a="1"/>
  <c r="V2140" i="3" s="1"/>
  <c r="Y2139" i="3" a="1"/>
  <c r="Y2139" i="3" s="1"/>
  <c r="X2139" i="3" a="1"/>
  <c r="X2139" i="3" s="1"/>
  <c r="W2139" i="3" a="1"/>
  <c r="W2139" i="3" s="1"/>
  <c r="V2139" i="3" a="1"/>
  <c r="V2139" i="3" s="1"/>
  <c r="Y2138" i="3" a="1"/>
  <c r="Y2138" i="3" s="1"/>
  <c r="X2138" i="3" a="1"/>
  <c r="X2138" i="3" s="1"/>
  <c r="W2138" i="3" a="1"/>
  <c r="W2138" i="3" s="1"/>
  <c r="V2138" i="3" a="1"/>
  <c r="V2138" i="3" s="1"/>
  <c r="Y2137" i="3" a="1"/>
  <c r="Y2137" i="3" s="1"/>
  <c r="X2137" i="3" a="1"/>
  <c r="X2137" i="3" s="1"/>
  <c r="W2137" i="3" a="1"/>
  <c r="W2137" i="3" s="1"/>
  <c r="V2137" i="3" a="1"/>
  <c r="V2137" i="3" s="1"/>
  <c r="Y2136" i="3" a="1"/>
  <c r="Y2136" i="3" s="1"/>
  <c r="X2136" i="3" a="1"/>
  <c r="X2136" i="3" s="1"/>
  <c r="W2136" i="3" a="1"/>
  <c r="W2136" i="3" s="1"/>
  <c r="V2136" i="3" a="1"/>
  <c r="V2136" i="3" s="1"/>
  <c r="Y2135" i="3" a="1"/>
  <c r="Y2135" i="3" s="1"/>
  <c r="X2135" i="3" a="1"/>
  <c r="X2135" i="3" s="1"/>
  <c r="W2135" i="3" a="1"/>
  <c r="W2135" i="3" s="1"/>
  <c r="V2135" i="3" a="1"/>
  <c r="V2135" i="3" s="1"/>
  <c r="Y2134" i="3" a="1"/>
  <c r="Y2134" i="3" s="1"/>
  <c r="X2134" i="3" a="1"/>
  <c r="X2134" i="3" s="1"/>
  <c r="W2134" i="3" a="1"/>
  <c r="W2134" i="3" s="1"/>
  <c r="V2134" i="3" a="1"/>
  <c r="V2134" i="3" s="1"/>
  <c r="Y2133" i="3" a="1"/>
  <c r="Y2133" i="3" s="1"/>
  <c r="X2133" i="3" a="1"/>
  <c r="X2133" i="3" s="1"/>
  <c r="W2133" i="3" a="1"/>
  <c r="W2133" i="3" s="1"/>
  <c r="V2133" i="3" a="1"/>
  <c r="V2133" i="3" s="1"/>
  <c r="Y2132" i="3" a="1"/>
  <c r="Y2132" i="3" s="1"/>
  <c r="X2132" i="3" a="1"/>
  <c r="X2132" i="3" s="1"/>
  <c r="W2132" i="3" a="1"/>
  <c r="W2132" i="3" s="1"/>
  <c r="V2132" i="3" a="1"/>
  <c r="V2132" i="3" s="1"/>
  <c r="Y2131" i="3" a="1"/>
  <c r="Y2131" i="3" s="1"/>
  <c r="X2131" i="3" a="1"/>
  <c r="X2131" i="3" s="1"/>
  <c r="W2131" i="3" a="1"/>
  <c r="W2131" i="3" s="1"/>
  <c r="V2131" i="3" a="1"/>
  <c r="V2131" i="3" s="1"/>
  <c r="Y2130" i="3" a="1"/>
  <c r="Y2130" i="3" s="1"/>
  <c r="X2130" i="3" a="1"/>
  <c r="X2130" i="3" s="1"/>
  <c r="W2130" i="3" a="1"/>
  <c r="W2130" i="3" s="1"/>
  <c r="V2130" i="3" a="1"/>
  <c r="V2130" i="3" s="1"/>
  <c r="Y2129" i="3" a="1"/>
  <c r="Y2129" i="3" s="1"/>
  <c r="X2129" i="3" a="1"/>
  <c r="X2129" i="3" s="1"/>
  <c r="W2129" i="3" a="1"/>
  <c r="W2129" i="3" s="1"/>
  <c r="V2129" i="3" a="1"/>
  <c r="V2129" i="3" s="1"/>
  <c r="Y2128" i="3" a="1"/>
  <c r="Y2128" i="3" s="1"/>
  <c r="X2128" i="3" a="1"/>
  <c r="X2128" i="3" s="1"/>
  <c r="W2128" i="3" a="1"/>
  <c r="W2128" i="3" s="1"/>
  <c r="V2128" i="3" a="1"/>
  <c r="V2128" i="3" s="1"/>
  <c r="Y2127" i="3" a="1"/>
  <c r="Y2127" i="3" s="1"/>
  <c r="X2127" i="3" a="1"/>
  <c r="X2127" i="3" s="1"/>
  <c r="W2127" i="3" a="1"/>
  <c r="W2127" i="3" s="1"/>
  <c r="V2127" i="3" a="1"/>
  <c r="V2127" i="3" s="1"/>
  <c r="Y2126" i="3" a="1"/>
  <c r="Y2126" i="3" s="1"/>
  <c r="X2126" i="3" a="1"/>
  <c r="X2126" i="3" s="1"/>
  <c r="W2126" i="3" a="1"/>
  <c r="W2126" i="3" s="1"/>
  <c r="V2126" i="3" a="1"/>
  <c r="V2126" i="3" s="1"/>
  <c r="Y2125" i="3" a="1"/>
  <c r="Y2125" i="3" s="1"/>
  <c r="X2125" i="3" a="1"/>
  <c r="X2125" i="3" s="1"/>
  <c r="W2125" i="3" a="1"/>
  <c r="W2125" i="3" s="1"/>
  <c r="V2125" i="3" a="1"/>
  <c r="V2125" i="3" s="1"/>
  <c r="Y2124" i="3" a="1"/>
  <c r="Y2124" i="3" s="1"/>
  <c r="X2124" i="3" a="1"/>
  <c r="X2124" i="3" s="1"/>
  <c r="W2124" i="3" a="1"/>
  <c r="W2124" i="3" s="1"/>
  <c r="V2124" i="3" a="1"/>
  <c r="V2124" i="3" s="1"/>
  <c r="Y2123" i="3" a="1"/>
  <c r="Y2123" i="3" s="1"/>
  <c r="X2123" i="3" a="1"/>
  <c r="X2123" i="3" s="1"/>
  <c r="W2123" i="3" a="1"/>
  <c r="W2123" i="3" s="1"/>
  <c r="V2123" i="3" a="1"/>
  <c r="V2123" i="3" s="1"/>
  <c r="Y2122" i="3" a="1"/>
  <c r="Y2122" i="3" s="1"/>
  <c r="X2122" i="3" a="1"/>
  <c r="X2122" i="3" s="1"/>
  <c r="W2122" i="3" a="1"/>
  <c r="W2122" i="3" s="1"/>
  <c r="V2122" i="3" a="1"/>
  <c r="V2122" i="3" s="1"/>
  <c r="Y2121" i="3" a="1"/>
  <c r="Y2121" i="3" s="1"/>
  <c r="X2121" i="3" a="1"/>
  <c r="X2121" i="3" s="1"/>
  <c r="W2121" i="3" a="1"/>
  <c r="W2121" i="3" s="1"/>
  <c r="V2121" i="3" a="1"/>
  <c r="V2121" i="3" s="1"/>
  <c r="Y2120" i="3" a="1"/>
  <c r="Y2120" i="3" s="1"/>
  <c r="X2120" i="3" a="1"/>
  <c r="X2120" i="3" s="1"/>
  <c r="W2120" i="3" a="1"/>
  <c r="W2120" i="3" s="1"/>
  <c r="V2120" i="3" a="1"/>
  <c r="V2120" i="3" s="1"/>
  <c r="Y2119" i="3" a="1"/>
  <c r="Y2119" i="3" s="1"/>
  <c r="X2119" i="3" a="1"/>
  <c r="X2119" i="3" s="1"/>
  <c r="W2119" i="3" a="1"/>
  <c r="W2119" i="3" s="1"/>
  <c r="V2119" i="3" a="1"/>
  <c r="V2119" i="3" s="1"/>
  <c r="Y2118" i="3" a="1"/>
  <c r="Y2118" i="3" s="1"/>
  <c r="X2118" i="3" a="1"/>
  <c r="X2118" i="3" s="1"/>
  <c r="W2118" i="3" a="1"/>
  <c r="W2118" i="3" s="1"/>
  <c r="V2118" i="3" a="1"/>
  <c r="V2118" i="3" s="1"/>
  <c r="Y2117" i="3" a="1"/>
  <c r="Y2117" i="3" s="1"/>
  <c r="X2117" i="3" a="1"/>
  <c r="X2117" i="3" s="1"/>
  <c r="W2117" i="3" a="1"/>
  <c r="W2117" i="3" s="1"/>
  <c r="V2117" i="3" a="1"/>
  <c r="V2117" i="3" s="1"/>
  <c r="Y2116" i="3" a="1"/>
  <c r="Y2116" i="3" s="1"/>
  <c r="X2116" i="3" a="1"/>
  <c r="X2116" i="3" s="1"/>
  <c r="W2116" i="3" a="1"/>
  <c r="W2116" i="3" s="1"/>
  <c r="V2116" i="3" a="1"/>
  <c r="V2116" i="3" s="1"/>
  <c r="Y2115" i="3" a="1"/>
  <c r="Y2115" i="3" s="1"/>
  <c r="X2115" i="3" a="1"/>
  <c r="X2115" i="3" s="1"/>
  <c r="W2115" i="3" a="1"/>
  <c r="W2115" i="3" s="1"/>
  <c r="V2115" i="3" a="1"/>
  <c r="V2115" i="3" s="1"/>
  <c r="Y2114" i="3" a="1"/>
  <c r="Y2114" i="3" s="1"/>
  <c r="X2114" i="3" a="1"/>
  <c r="X2114" i="3" s="1"/>
  <c r="W2114" i="3" a="1"/>
  <c r="W2114" i="3" s="1"/>
  <c r="V2114" i="3" a="1"/>
  <c r="V2114" i="3" s="1"/>
  <c r="Y2113" i="3" a="1"/>
  <c r="Y2113" i="3" s="1"/>
  <c r="X2113" i="3" a="1"/>
  <c r="X2113" i="3" s="1"/>
  <c r="W2113" i="3" a="1"/>
  <c r="W2113" i="3" s="1"/>
  <c r="V2113" i="3" a="1"/>
  <c r="V2113" i="3" s="1"/>
  <c r="Y2112" i="3" a="1"/>
  <c r="Y2112" i="3" s="1"/>
  <c r="X2112" i="3" a="1"/>
  <c r="X2112" i="3" s="1"/>
  <c r="W2112" i="3" a="1"/>
  <c r="W2112" i="3" s="1"/>
  <c r="V2112" i="3" a="1"/>
  <c r="V2112" i="3" s="1"/>
  <c r="Y2111" i="3" a="1"/>
  <c r="Y2111" i="3" s="1"/>
  <c r="X2111" i="3" a="1"/>
  <c r="X2111" i="3" s="1"/>
  <c r="W2111" i="3" a="1"/>
  <c r="W2111" i="3" s="1"/>
  <c r="V2111" i="3" a="1"/>
  <c r="V2111" i="3" s="1"/>
  <c r="Y2110" i="3" a="1"/>
  <c r="Y2110" i="3" s="1"/>
  <c r="X2110" i="3" a="1"/>
  <c r="X2110" i="3" s="1"/>
  <c r="W2110" i="3" a="1"/>
  <c r="W2110" i="3" s="1"/>
  <c r="V2110" i="3" a="1"/>
  <c r="V2110" i="3" s="1"/>
  <c r="Y2109" i="3" a="1"/>
  <c r="Y2109" i="3" s="1"/>
  <c r="X2109" i="3" a="1"/>
  <c r="X2109" i="3" s="1"/>
  <c r="W2109" i="3" a="1"/>
  <c r="W2109" i="3" s="1"/>
  <c r="V2109" i="3" a="1"/>
  <c r="V2109" i="3" s="1"/>
  <c r="Y2108" i="3" a="1"/>
  <c r="Y2108" i="3" s="1"/>
  <c r="X2108" i="3" a="1"/>
  <c r="X2108" i="3" s="1"/>
  <c r="W2108" i="3" a="1"/>
  <c r="W2108" i="3" s="1"/>
  <c r="V2108" i="3" a="1"/>
  <c r="V2108" i="3" s="1"/>
  <c r="Y2107" i="3" a="1"/>
  <c r="Y2107" i="3" s="1"/>
  <c r="X2107" i="3" a="1"/>
  <c r="X2107" i="3" s="1"/>
  <c r="W2107" i="3" a="1"/>
  <c r="W2107" i="3" s="1"/>
  <c r="V2107" i="3" a="1"/>
  <c r="V2107" i="3" s="1"/>
  <c r="Y2106" i="3" a="1"/>
  <c r="Y2106" i="3" s="1"/>
  <c r="X2106" i="3" a="1"/>
  <c r="X2106" i="3" s="1"/>
  <c r="W2106" i="3" a="1"/>
  <c r="W2106" i="3" s="1"/>
  <c r="V2106" i="3" a="1"/>
  <c r="V2106" i="3" s="1"/>
  <c r="Y2105" i="3" a="1"/>
  <c r="Y2105" i="3" s="1"/>
  <c r="X2105" i="3" a="1"/>
  <c r="X2105" i="3" s="1"/>
  <c r="W2105" i="3" a="1"/>
  <c r="W2105" i="3" s="1"/>
  <c r="V2105" i="3" a="1"/>
  <c r="V2105" i="3" s="1"/>
  <c r="Y2104" i="3" a="1"/>
  <c r="Y2104" i="3" s="1"/>
  <c r="X2104" i="3" a="1"/>
  <c r="X2104" i="3" s="1"/>
  <c r="W2104" i="3" a="1"/>
  <c r="W2104" i="3" s="1"/>
  <c r="V2104" i="3" a="1"/>
  <c r="V2104" i="3" s="1"/>
  <c r="Y2103" i="3" a="1"/>
  <c r="Y2103" i="3" s="1"/>
  <c r="X2103" i="3" a="1"/>
  <c r="X2103" i="3" s="1"/>
  <c r="W2103" i="3" a="1"/>
  <c r="W2103" i="3" s="1"/>
  <c r="V2103" i="3" a="1"/>
  <c r="V2103" i="3" s="1"/>
  <c r="Y2102" i="3" a="1"/>
  <c r="Y2102" i="3" s="1"/>
  <c r="X2102" i="3" a="1"/>
  <c r="X2102" i="3" s="1"/>
  <c r="W2102" i="3" a="1"/>
  <c r="W2102" i="3" s="1"/>
  <c r="V2102" i="3" a="1"/>
  <c r="V2102" i="3" s="1"/>
  <c r="Y2101" i="3" a="1"/>
  <c r="Y2101" i="3" s="1"/>
  <c r="X2101" i="3" a="1"/>
  <c r="X2101" i="3" s="1"/>
  <c r="W2101" i="3" a="1"/>
  <c r="W2101" i="3" s="1"/>
  <c r="V2101" i="3" a="1"/>
  <c r="V2101" i="3" s="1"/>
  <c r="Y2100" i="3" a="1"/>
  <c r="Y2100" i="3" s="1"/>
  <c r="X2100" i="3" a="1"/>
  <c r="X2100" i="3" s="1"/>
  <c r="W2100" i="3" a="1"/>
  <c r="W2100" i="3" s="1"/>
  <c r="V2100" i="3" a="1"/>
  <c r="V2100" i="3" s="1"/>
  <c r="Y2099" i="3" a="1"/>
  <c r="Y2099" i="3" s="1"/>
  <c r="X2099" i="3" a="1"/>
  <c r="X2099" i="3" s="1"/>
  <c r="W2099" i="3" a="1"/>
  <c r="W2099" i="3" s="1"/>
  <c r="V2099" i="3" a="1"/>
  <c r="V2099" i="3" s="1"/>
  <c r="Y2098" i="3" a="1"/>
  <c r="Y2098" i="3" s="1"/>
  <c r="X2098" i="3" a="1"/>
  <c r="X2098" i="3" s="1"/>
  <c r="W2098" i="3" a="1"/>
  <c r="W2098" i="3" s="1"/>
  <c r="V2098" i="3" a="1"/>
  <c r="V2098" i="3" s="1"/>
  <c r="Y2097" i="3" a="1"/>
  <c r="Y2097" i="3" s="1"/>
  <c r="X2097" i="3" a="1"/>
  <c r="X2097" i="3" s="1"/>
  <c r="W2097" i="3" a="1"/>
  <c r="W2097" i="3" s="1"/>
  <c r="V2097" i="3" a="1"/>
  <c r="V2097" i="3" s="1"/>
  <c r="Y2096" i="3" a="1"/>
  <c r="Y2096" i="3" s="1"/>
  <c r="X2096" i="3" a="1"/>
  <c r="X2096" i="3" s="1"/>
  <c r="W2096" i="3" a="1"/>
  <c r="W2096" i="3" s="1"/>
  <c r="V2096" i="3" a="1"/>
  <c r="V2096" i="3" s="1"/>
  <c r="Y2095" i="3" a="1"/>
  <c r="Y2095" i="3" s="1"/>
  <c r="X2095" i="3" a="1"/>
  <c r="X2095" i="3" s="1"/>
  <c r="W2095" i="3" a="1"/>
  <c r="W2095" i="3" s="1"/>
  <c r="V2095" i="3" a="1"/>
  <c r="V2095" i="3" s="1"/>
  <c r="Y2094" i="3" a="1"/>
  <c r="Y2094" i="3" s="1"/>
  <c r="X2094" i="3" a="1"/>
  <c r="X2094" i="3" s="1"/>
  <c r="W2094" i="3" a="1"/>
  <c r="W2094" i="3" s="1"/>
  <c r="V2094" i="3" a="1"/>
  <c r="V2094" i="3" s="1"/>
  <c r="Y2093" i="3" a="1"/>
  <c r="Y2093" i="3" s="1"/>
  <c r="X2093" i="3" a="1"/>
  <c r="X2093" i="3" s="1"/>
  <c r="W2093" i="3" a="1"/>
  <c r="W2093" i="3" s="1"/>
  <c r="V2093" i="3" a="1"/>
  <c r="V2093" i="3" s="1"/>
  <c r="Y2092" i="3" a="1"/>
  <c r="Y2092" i="3" s="1"/>
  <c r="X2092" i="3" a="1"/>
  <c r="X2092" i="3" s="1"/>
  <c r="W2092" i="3" a="1"/>
  <c r="W2092" i="3" s="1"/>
  <c r="V2092" i="3" a="1"/>
  <c r="V2092" i="3" s="1"/>
  <c r="Y2091" i="3" a="1"/>
  <c r="Y2091" i="3" s="1"/>
  <c r="X2091" i="3" a="1"/>
  <c r="X2091" i="3" s="1"/>
  <c r="W2091" i="3" a="1"/>
  <c r="W2091" i="3" s="1"/>
  <c r="V2091" i="3" a="1"/>
  <c r="V2091" i="3" s="1"/>
  <c r="Y2090" i="3" a="1"/>
  <c r="Y2090" i="3" s="1"/>
  <c r="X2090" i="3" a="1"/>
  <c r="X2090" i="3" s="1"/>
  <c r="W2090" i="3" a="1"/>
  <c r="W2090" i="3" s="1"/>
  <c r="V2090" i="3" a="1"/>
  <c r="V2090" i="3" s="1"/>
  <c r="Y2089" i="3" a="1"/>
  <c r="Y2089" i="3" s="1"/>
  <c r="X2089" i="3" a="1"/>
  <c r="X2089" i="3" s="1"/>
  <c r="W2089" i="3" a="1"/>
  <c r="W2089" i="3" s="1"/>
  <c r="V2089" i="3" a="1"/>
  <c r="V2089" i="3" s="1"/>
  <c r="Y2088" i="3" a="1"/>
  <c r="Y2088" i="3" s="1"/>
  <c r="X2088" i="3" a="1"/>
  <c r="X2088" i="3" s="1"/>
  <c r="W2088" i="3" a="1"/>
  <c r="W2088" i="3" s="1"/>
  <c r="V2088" i="3" a="1"/>
  <c r="V2088" i="3" s="1"/>
  <c r="Y2087" i="3" a="1"/>
  <c r="Y2087" i="3" s="1"/>
  <c r="X2087" i="3" a="1"/>
  <c r="X2087" i="3" s="1"/>
  <c r="W2087" i="3" a="1"/>
  <c r="W2087" i="3" s="1"/>
  <c r="V2087" i="3" a="1"/>
  <c r="V2087" i="3" s="1"/>
  <c r="Y2086" i="3" a="1"/>
  <c r="Y2086" i="3" s="1"/>
  <c r="X2086" i="3" a="1"/>
  <c r="X2086" i="3" s="1"/>
  <c r="W2086" i="3" a="1"/>
  <c r="W2086" i="3" s="1"/>
  <c r="V2086" i="3" a="1"/>
  <c r="V2086" i="3" s="1"/>
  <c r="Y2085" i="3" a="1"/>
  <c r="Y2085" i="3" s="1"/>
  <c r="X2085" i="3" a="1"/>
  <c r="X2085" i="3" s="1"/>
  <c r="W2085" i="3" a="1"/>
  <c r="W2085" i="3" s="1"/>
  <c r="V2085" i="3" a="1"/>
  <c r="V2085" i="3" s="1"/>
  <c r="Y2084" i="3" a="1"/>
  <c r="Y2084" i="3" s="1"/>
  <c r="X2084" i="3" a="1"/>
  <c r="X2084" i="3" s="1"/>
  <c r="W2084" i="3" a="1"/>
  <c r="W2084" i="3" s="1"/>
  <c r="V2084" i="3" a="1"/>
  <c r="V2084" i="3" s="1"/>
  <c r="Y2083" i="3" a="1"/>
  <c r="Y2083" i="3" s="1"/>
  <c r="X2083" i="3" a="1"/>
  <c r="X2083" i="3" s="1"/>
  <c r="W2083" i="3" a="1"/>
  <c r="W2083" i="3" s="1"/>
  <c r="V2083" i="3" a="1"/>
  <c r="V2083" i="3" s="1"/>
  <c r="Y2082" i="3" a="1"/>
  <c r="Y2082" i="3" s="1"/>
  <c r="X2082" i="3" a="1"/>
  <c r="X2082" i="3" s="1"/>
  <c r="W2082" i="3" a="1"/>
  <c r="W2082" i="3" s="1"/>
  <c r="V2082" i="3" a="1"/>
  <c r="V2082" i="3" s="1"/>
  <c r="Y2081" i="3" a="1"/>
  <c r="Y2081" i="3" s="1"/>
  <c r="X2081" i="3" a="1"/>
  <c r="X2081" i="3" s="1"/>
  <c r="W2081" i="3" a="1"/>
  <c r="W2081" i="3" s="1"/>
  <c r="V2081" i="3" a="1"/>
  <c r="V2081" i="3" s="1"/>
  <c r="Y2080" i="3" a="1"/>
  <c r="Y2080" i="3" s="1"/>
  <c r="X2080" i="3" a="1"/>
  <c r="X2080" i="3" s="1"/>
  <c r="W2080" i="3" a="1"/>
  <c r="W2080" i="3" s="1"/>
  <c r="V2080" i="3" a="1"/>
  <c r="V2080" i="3" s="1"/>
  <c r="Y2079" i="3" a="1"/>
  <c r="Y2079" i="3" s="1"/>
  <c r="X2079" i="3" a="1"/>
  <c r="X2079" i="3" s="1"/>
  <c r="W2079" i="3" a="1"/>
  <c r="W2079" i="3" s="1"/>
  <c r="V2079" i="3" a="1"/>
  <c r="V2079" i="3" s="1"/>
  <c r="Y2078" i="3" a="1"/>
  <c r="Y2078" i="3" s="1"/>
  <c r="X2078" i="3" a="1"/>
  <c r="X2078" i="3" s="1"/>
  <c r="W2078" i="3" a="1"/>
  <c r="W2078" i="3" s="1"/>
  <c r="V2078" i="3" a="1"/>
  <c r="V2078" i="3" s="1"/>
  <c r="Y2077" i="3" a="1"/>
  <c r="Y2077" i="3" s="1"/>
  <c r="X2077" i="3" a="1"/>
  <c r="X2077" i="3" s="1"/>
  <c r="W2077" i="3" a="1"/>
  <c r="W2077" i="3" s="1"/>
  <c r="V2077" i="3" a="1"/>
  <c r="V2077" i="3" s="1"/>
  <c r="Y2076" i="3" a="1"/>
  <c r="Y2076" i="3" s="1"/>
  <c r="X2076" i="3" a="1"/>
  <c r="X2076" i="3" s="1"/>
  <c r="W2076" i="3" a="1"/>
  <c r="W2076" i="3" s="1"/>
  <c r="V2076" i="3" a="1"/>
  <c r="V2076" i="3" s="1"/>
  <c r="Y2075" i="3" a="1"/>
  <c r="Y2075" i="3" s="1"/>
  <c r="X2075" i="3" a="1"/>
  <c r="X2075" i="3" s="1"/>
  <c r="W2075" i="3" a="1"/>
  <c r="W2075" i="3" s="1"/>
  <c r="V2075" i="3" a="1"/>
  <c r="V2075" i="3" s="1"/>
  <c r="Y2074" i="3" a="1"/>
  <c r="Y2074" i="3" s="1"/>
  <c r="X2074" i="3" a="1"/>
  <c r="X2074" i="3" s="1"/>
  <c r="W2074" i="3" a="1"/>
  <c r="W2074" i="3" s="1"/>
  <c r="V2074" i="3" a="1"/>
  <c r="V2074" i="3" s="1"/>
  <c r="Y2073" i="3" a="1"/>
  <c r="Y2073" i="3" s="1"/>
  <c r="X2073" i="3" a="1"/>
  <c r="X2073" i="3" s="1"/>
  <c r="W2073" i="3" a="1"/>
  <c r="W2073" i="3" s="1"/>
  <c r="V2073" i="3" a="1"/>
  <c r="V2073" i="3" s="1"/>
  <c r="Y2072" i="3" a="1"/>
  <c r="Y2072" i="3" s="1"/>
  <c r="X2072" i="3" a="1"/>
  <c r="X2072" i="3" s="1"/>
  <c r="W2072" i="3" a="1"/>
  <c r="W2072" i="3" s="1"/>
  <c r="V2072" i="3" a="1"/>
  <c r="V2072" i="3" s="1"/>
  <c r="Y2071" i="3" a="1"/>
  <c r="Y2071" i="3" s="1"/>
  <c r="X2071" i="3" a="1"/>
  <c r="X2071" i="3" s="1"/>
  <c r="W2071" i="3" a="1"/>
  <c r="W2071" i="3" s="1"/>
  <c r="V2071" i="3" a="1"/>
  <c r="V2071" i="3" s="1"/>
  <c r="Y2070" i="3" a="1"/>
  <c r="Y2070" i="3" s="1"/>
  <c r="X2070" i="3" a="1"/>
  <c r="X2070" i="3" s="1"/>
  <c r="W2070" i="3" a="1"/>
  <c r="W2070" i="3" s="1"/>
  <c r="V2070" i="3" a="1"/>
  <c r="V2070" i="3" s="1"/>
  <c r="Y2069" i="3" a="1"/>
  <c r="Y2069" i="3" s="1"/>
  <c r="X2069" i="3" a="1"/>
  <c r="X2069" i="3" s="1"/>
  <c r="W2069" i="3" a="1"/>
  <c r="W2069" i="3" s="1"/>
  <c r="V2069" i="3" a="1"/>
  <c r="V2069" i="3" s="1"/>
  <c r="Y2068" i="3" a="1"/>
  <c r="Y2068" i="3" s="1"/>
  <c r="X2068" i="3" a="1"/>
  <c r="X2068" i="3" s="1"/>
  <c r="W2068" i="3" a="1"/>
  <c r="W2068" i="3" s="1"/>
  <c r="V2068" i="3" a="1"/>
  <c r="V2068" i="3" s="1"/>
  <c r="Y2067" i="3" a="1"/>
  <c r="Y2067" i="3" s="1"/>
  <c r="X2067" i="3" a="1"/>
  <c r="X2067" i="3" s="1"/>
  <c r="W2067" i="3" a="1"/>
  <c r="W2067" i="3" s="1"/>
  <c r="V2067" i="3" a="1"/>
  <c r="V2067" i="3" s="1"/>
  <c r="Y2066" i="3" a="1"/>
  <c r="Y2066" i="3" s="1"/>
  <c r="X2066" i="3" a="1"/>
  <c r="X2066" i="3" s="1"/>
  <c r="W2066" i="3" a="1"/>
  <c r="W2066" i="3" s="1"/>
  <c r="V2066" i="3" a="1"/>
  <c r="V2066" i="3" s="1"/>
  <c r="Y2065" i="3" a="1"/>
  <c r="Y2065" i="3" s="1"/>
  <c r="X2065" i="3" a="1"/>
  <c r="X2065" i="3" s="1"/>
  <c r="W2065" i="3" a="1"/>
  <c r="W2065" i="3" s="1"/>
  <c r="V2065" i="3" a="1"/>
  <c r="V2065" i="3" s="1"/>
  <c r="Y2064" i="3" a="1"/>
  <c r="Y2064" i="3" s="1"/>
  <c r="X2064" i="3" a="1"/>
  <c r="X2064" i="3" s="1"/>
  <c r="W2064" i="3" a="1"/>
  <c r="W2064" i="3" s="1"/>
  <c r="V2064" i="3" a="1"/>
  <c r="V2064" i="3" s="1"/>
  <c r="Y2063" i="3" a="1"/>
  <c r="Y2063" i="3" s="1"/>
  <c r="X2063" i="3" a="1"/>
  <c r="X2063" i="3" s="1"/>
  <c r="W2063" i="3" a="1"/>
  <c r="W2063" i="3" s="1"/>
  <c r="V2063" i="3" a="1"/>
  <c r="V2063" i="3" s="1"/>
  <c r="Y2062" i="3" a="1"/>
  <c r="Y2062" i="3" s="1"/>
  <c r="X2062" i="3" a="1"/>
  <c r="X2062" i="3" s="1"/>
  <c r="W2062" i="3" a="1"/>
  <c r="W2062" i="3" s="1"/>
  <c r="V2062" i="3" a="1"/>
  <c r="V2062" i="3" s="1"/>
  <c r="Y2061" i="3" a="1"/>
  <c r="Y2061" i="3" s="1"/>
  <c r="X2061" i="3" a="1"/>
  <c r="X2061" i="3" s="1"/>
  <c r="W2061" i="3" a="1"/>
  <c r="W2061" i="3" s="1"/>
  <c r="V2061" i="3" a="1"/>
  <c r="V2061" i="3" s="1"/>
  <c r="Y2060" i="3" a="1"/>
  <c r="Y2060" i="3" s="1"/>
  <c r="X2060" i="3" a="1"/>
  <c r="X2060" i="3" s="1"/>
  <c r="W2060" i="3" a="1"/>
  <c r="W2060" i="3" s="1"/>
  <c r="V2060" i="3" a="1"/>
  <c r="V2060" i="3" s="1"/>
  <c r="Y2059" i="3" a="1"/>
  <c r="Y2059" i="3" s="1"/>
  <c r="X2059" i="3" a="1"/>
  <c r="X2059" i="3" s="1"/>
  <c r="W2059" i="3" a="1"/>
  <c r="W2059" i="3" s="1"/>
  <c r="V2059" i="3" a="1"/>
  <c r="V2059" i="3" s="1"/>
  <c r="Y2058" i="3" a="1"/>
  <c r="Y2058" i="3" s="1"/>
  <c r="X2058" i="3" a="1"/>
  <c r="X2058" i="3" s="1"/>
  <c r="W2058" i="3" a="1"/>
  <c r="W2058" i="3" s="1"/>
  <c r="V2058" i="3" a="1"/>
  <c r="V2058" i="3" s="1"/>
  <c r="Y2057" i="3" a="1"/>
  <c r="Y2057" i="3" s="1"/>
  <c r="X2057" i="3" a="1"/>
  <c r="X2057" i="3" s="1"/>
  <c r="W2057" i="3" a="1"/>
  <c r="W2057" i="3" s="1"/>
  <c r="V2057" i="3" a="1"/>
  <c r="V2057" i="3" s="1"/>
  <c r="Y2056" i="3" a="1"/>
  <c r="Y2056" i="3" s="1"/>
  <c r="X2056" i="3" a="1"/>
  <c r="X2056" i="3" s="1"/>
  <c r="W2056" i="3" a="1"/>
  <c r="W2056" i="3" s="1"/>
  <c r="V2056" i="3" a="1"/>
  <c r="V2056" i="3" s="1"/>
  <c r="Y2055" i="3" a="1"/>
  <c r="Y2055" i="3" s="1"/>
  <c r="X2055" i="3" a="1"/>
  <c r="X2055" i="3" s="1"/>
  <c r="W2055" i="3" a="1"/>
  <c r="W2055" i="3" s="1"/>
  <c r="V2055" i="3" a="1"/>
  <c r="V2055" i="3" s="1"/>
  <c r="Y2054" i="3" a="1"/>
  <c r="Y2054" i="3" s="1"/>
  <c r="X2054" i="3" a="1"/>
  <c r="X2054" i="3" s="1"/>
  <c r="W2054" i="3" a="1"/>
  <c r="W2054" i="3" s="1"/>
  <c r="V2054" i="3" a="1"/>
  <c r="V2054" i="3" s="1"/>
  <c r="Y2053" i="3" a="1"/>
  <c r="Y2053" i="3" s="1"/>
  <c r="X2053" i="3" a="1"/>
  <c r="X2053" i="3" s="1"/>
  <c r="W2053" i="3" a="1"/>
  <c r="W2053" i="3" s="1"/>
  <c r="V2053" i="3" a="1"/>
  <c r="V2053" i="3" s="1"/>
  <c r="Y2052" i="3" a="1"/>
  <c r="Y2052" i="3" s="1"/>
  <c r="X2052" i="3" a="1"/>
  <c r="X2052" i="3" s="1"/>
  <c r="W2052" i="3" a="1"/>
  <c r="W2052" i="3" s="1"/>
  <c r="V2052" i="3" a="1"/>
  <c r="V2052" i="3" s="1"/>
  <c r="Y2051" i="3" a="1"/>
  <c r="Y2051" i="3" s="1"/>
  <c r="X2051" i="3" a="1"/>
  <c r="X2051" i="3" s="1"/>
  <c r="W2051" i="3" a="1"/>
  <c r="W2051" i="3" s="1"/>
  <c r="V2051" i="3" a="1"/>
  <c r="V2051" i="3" s="1"/>
  <c r="Y2050" i="3" a="1"/>
  <c r="Y2050" i="3" s="1"/>
  <c r="X2050" i="3" a="1"/>
  <c r="X2050" i="3" s="1"/>
  <c r="W2050" i="3" a="1"/>
  <c r="W2050" i="3" s="1"/>
  <c r="V2050" i="3" a="1"/>
  <c r="V2050" i="3" s="1"/>
  <c r="Y2049" i="3" a="1"/>
  <c r="Y2049" i="3" s="1"/>
  <c r="X2049" i="3" a="1"/>
  <c r="X2049" i="3" s="1"/>
  <c r="W2049" i="3" a="1"/>
  <c r="W2049" i="3" s="1"/>
  <c r="V2049" i="3" a="1"/>
  <c r="V2049" i="3" s="1"/>
  <c r="Y2048" i="3" a="1"/>
  <c r="Y2048" i="3" s="1"/>
  <c r="X2048" i="3" a="1"/>
  <c r="X2048" i="3" s="1"/>
  <c r="W2048" i="3" a="1"/>
  <c r="W2048" i="3" s="1"/>
  <c r="V2048" i="3" a="1"/>
  <c r="V2048" i="3" s="1"/>
  <c r="Y2047" i="3" a="1"/>
  <c r="Y2047" i="3" s="1"/>
  <c r="X2047" i="3" a="1"/>
  <c r="X2047" i="3" s="1"/>
  <c r="W2047" i="3" a="1"/>
  <c r="W2047" i="3" s="1"/>
  <c r="V2047" i="3" a="1"/>
  <c r="V2047" i="3" s="1"/>
  <c r="Y2046" i="3" a="1"/>
  <c r="Y2046" i="3" s="1"/>
  <c r="X2046" i="3" a="1"/>
  <c r="X2046" i="3" s="1"/>
  <c r="W2046" i="3" a="1"/>
  <c r="W2046" i="3" s="1"/>
  <c r="V2046" i="3" a="1"/>
  <c r="V2046" i="3" s="1"/>
  <c r="Y2045" i="3" a="1"/>
  <c r="Y2045" i="3" s="1"/>
  <c r="X2045" i="3" a="1"/>
  <c r="X2045" i="3" s="1"/>
  <c r="W2045" i="3" a="1"/>
  <c r="W2045" i="3" s="1"/>
  <c r="V2045" i="3" a="1"/>
  <c r="V2045" i="3" s="1"/>
  <c r="Y2044" i="3" a="1"/>
  <c r="Y2044" i="3" s="1"/>
  <c r="X2044" i="3" a="1"/>
  <c r="X2044" i="3" s="1"/>
  <c r="W2044" i="3" a="1"/>
  <c r="W2044" i="3" s="1"/>
  <c r="V2044" i="3" a="1"/>
  <c r="V2044" i="3" s="1"/>
  <c r="Y2043" i="3" a="1"/>
  <c r="Y2043" i="3" s="1"/>
  <c r="X2043" i="3" a="1"/>
  <c r="X2043" i="3" s="1"/>
  <c r="W2043" i="3" a="1"/>
  <c r="W2043" i="3" s="1"/>
  <c r="V2043" i="3" a="1"/>
  <c r="V2043" i="3" s="1"/>
  <c r="Y2042" i="3" a="1"/>
  <c r="Y2042" i="3" s="1"/>
  <c r="X2042" i="3" a="1"/>
  <c r="X2042" i="3" s="1"/>
  <c r="W2042" i="3" a="1"/>
  <c r="W2042" i="3" s="1"/>
  <c r="V2042" i="3" a="1"/>
  <c r="V2042" i="3" s="1"/>
  <c r="Y2041" i="3" a="1"/>
  <c r="Y2041" i="3" s="1"/>
  <c r="X2041" i="3" a="1"/>
  <c r="X2041" i="3" s="1"/>
  <c r="W2041" i="3" a="1"/>
  <c r="W2041" i="3" s="1"/>
  <c r="V2041" i="3" a="1"/>
  <c r="V2041" i="3" s="1"/>
  <c r="Y2040" i="3" a="1"/>
  <c r="Y2040" i="3" s="1"/>
  <c r="X2040" i="3" a="1"/>
  <c r="X2040" i="3" s="1"/>
  <c r="W2040" i="3" a="1"/>
  <c r="W2040" i="3" s="1"/>
  <c r="V2040" i="3" a="1"/>
  <c r="V2040" i="3" s="1"/>
  <c r="Y2039" i="3" a="1"/>
  <c r="Y2039" i="3" s="1"/>
  <c r="X2039" i="3" a="1"/>
  <c r="X2039" i="3" s="1"/>
  <c r="W2039" i="3" a="1"/>
  <c r="W2039" i="3" s="1"/>
  <c r="V2039" i="3" a="1"/>
  <c r="V2039" i="3" s="1"/>
  <c r="Y2038" i="3" a="1"/>
  <c r="Y2038" i="3" s="1"/>
  <c r="X2038" i="3" a="1"/>
  <c r="X2038" i="3" s="1"/>
  <c r="W2038" i="3" a="1"/>
  <c r="W2038" i="3" s="1"/>
  <c r="V2038" i="3" a="1"/>
  <c r="V2038" i="3" s="1"/>
  <c r="Y2037" i="3" a="1"/>
  <c r="Y2037" i="3" s="1"/>
  <c r="X2037" i="3" a="1"/>
  <c r="X2037" i="3" s="1"/>
  <c r="W2037" i="3" a="1"/>
  <c r="W2037" i="3" s="1"/>
  <c r="V2037" i="3" a="1"/>
  <c r="V2037" i="3" s="1"/>
  <c r="Y2036" i="3" a="1"/>
  <c r="Y2036" i="3" s="1"/>
  <c r="X2036" i="3" a="1"/>
  <c r="X2036" i="3" s="1"/>
  <c r="W2036" i="3" a="1"/>
  <c r="W2036" i="3" s="1"/>
  <c r="V2036" i="3" a="1"/>
  <c r="V2036" i="3" s="1"/>
  <c r="Y2035" i="3" a="1"/>
  <c r="Y2035" i="3" s="1"/>
  <c r="X2035" i="3" a="1"/>
  <c r="X2035" i="3" s="1"/>
  <c r="W2035" i="3" a="1"/>
  <c r="W2035" i="3" s="1"/>
  <c r="V2035" i="3" a="1"/>
  <c r="V2035" i="3" s="1"/>
  <c r="Y1644" i="3" a="1"/>
  <c r="Y1644" i="3" s="1"/>
  <c r="X1644" i="3" a="1"/>
  <c r="X1644" i="3" s="1"/>
  <c r="W1644" i="3" a="1"/>
  <c r="W1644" i="3" s="1"/>
  <c r="V1644" i="3" a="1"/>
  <c r="V1644" i="3" s="1"/>
  <c r="Y1643" i="3" a="1"/>
  <c r="Y1643" i="3" s="1"/>
  <c r="X1643" i="3" a="1"/>
  <c r="X1643" i="3" s="1"/>
  <c r="W1643" i="3" a="1"/>
  <c r="W1643" i="3" s="1"/>
  <c r="V1643" i="3" a="1"/>
  <c r="V1643" i="3" s="1"/>
  <c r="Y1642" i="3" a="1"/>
  <c r="Y1642" i="3" s="1"/>
  <c r="X1642" i="3" a="1"/>
  <c r="X1642" i="3" s="1"/>
  <c r="W1642" i="3" a="1"/>
  <c r="W1642" i="3" s="1"/>
  <c r="V1642" i="3" a="1"/>
  <c r="V1642" i="3" s="1"/>
  <c r="Y1641" i="3" a="1"/>
  <c r="Y1641" i="3" s="1"/>
  <c r="X1641" i="3" a="1"/>
  <c r="X1641" i="3" s="1"/>
  <c r="W1641" i="3" a="1"/>
  <c r="W1641" i="3" s="1"/>
  <c r="V1641" i="3" a="1"/>
  <c r="V1641" i="3" s="1"/>
  <c r="Y1640" i="3" a="1"/>
  <c r="Y1640" i="3" s="1"/>
  <c r="X1640" i="3" a="1"/>
  <c r="X1640" i="3" s="1"/>
  <c r="W1640" i="3" a="1"/>
  <c r="W1640" i="3" s="1"/>
  <c r="V1640" i="3" a="1"/>
  <c r="V1640" i="3" s="1"/>
  <c r="Y1639" i="3" a="1"/>
  <c r="Y1639" i="3" s="1"/>
  <c r="X1639" i="3" a="1"/>
  <c r="X1639" i="3" s="1"/>
  <c r="W1639" i="3" a="1"/>
  <c r="W1639" i="3" s="1"/>
  <c r="V1639" i="3" a="1"/>
  <c r="V1639" i="3" s="1"/>
  <c r="Y1638" i="3" a="1"/>
  <c r="Y1638" i="3" s="1"/>
  <c r="X1638" i="3" a="1"/>
  <c r="X1638" i="3" s="1"/>
  <c r="W1638" i="3" a="1"/>
  <c r="W1638" i="3" s="1"/>
  <c r="V1638" i="3" a="1"/>
  <c r="V1638" i="3" s="1"/>
  <c r="Y1637" i="3" a="1"/>
  <c r="Y1637" i="3" s="1"/>
  <c r="X1637" i="3" a="1"/>
  <c r="X1637" i="3" s="1"/>
  <c r="W1637" i="3" a="1"/>
  <c r="W1637" i="3" s="1"/>
  <c r="V1637" i="3" a="1"/>
  <c r="V1637" i="3" s="1"/>
  <c r="Y1636" i="3" a="1"/>
  <c r="Y1636" i="3" s="1"/>
  <c r="X1636" i="3" a="1"/>
  <c r="X1636" i="3" s="1"/>
  <c r="W1636" i="3" a="1"/>
  <c r="W1636" i="3" s="1"/>
  <c r="V1636" i="3" a="1"/>
  <c r="V1636" i="3" s="1"/>
  <c r="Y1635" i="3" a="1"/>
  <c r="Y1635" i="3" s="1"/>
  <c r="X1635" i="3" a="1"/>
  <c r="X1635" i="3" s="1"/>
  <c r="W1635" i="3" a="1"/>
  <c r="W1635" i="3" s="1"/>
  <c r="V1635" i="3" a="1"/>
  <c r="V1635" i="3" s="1"/>
  <c r="Y1634" i="3" a="1"/>
  <c r="Y1634" i="3" s="1"/>
  <c r="X1634" i="3" a="1"/>
  <c r="X1634" i="3" s="1"/>
  <c r="W1634" i="3" a="1"/>
  <c r="W1634" i="3" s="1"/>
  <c r="V1634" i="3" a="1"/>
  <c r="V1634" i="3" s="1"/>
  <c r="Y1633" i="3" a="1"/>
  <c r="Y1633" i="3" s="1"/>
  <c r="X1633" i="3" a="1"/>
  <c r="X1633" i="3" s="1"/>
  <c r="W1633" i="3" a="1"/>
  <c r="W1633" i="3" s="1"/>
  <c r="V1633" i="3" a="1"/>
  <c r="V1633" i="3" s="1"/>
  <c r="Y1632" i="3" a="1"/>
  <c r="Y1632" i="3" s="1"/>
  <c r="X1632" i="3" a="1"/>
  <c r="X1632" i="3" s="1"/>
  <c r="W1632" i="3" a="1"/>
  <c r="W1632" i="3" s="1"/>
  <c r="V1632" i="3" a="1"/>
  <c r="V1632" i="3" s="1"/>
  <c r="Y1631" i="3" a="1"/>
  <c r="Y1631" i="3" s="1"/>
  <c r="X1631" i="3" a="1"/>
  <c r="X1631" i="3" s="1"/>
  <c r="W1631" i="3" a="1"/>
  <c r="W1631" i="3" s="1"/>
  <c r="V1631" i="3" a="1"/>
  <c r="V1631" i="3" s="1"/>
  <c r="Y1630" i="3" a="1"/>
  <c r="Y1630" i="3" s="1"/>
  <c r="X1630" i="3" a="1"/>
  <c r="X1630" i="3" s="1"/>
  <c r="W1630" i="3" a="1"/>
  <c r="W1630" i="3" s="1"/>
  <c r="V1630" i="3" a="1"/>
  <c r="V1630" i="3" s="1"/>
  <c r="Y1629" i="3" a="1"/>
  <c r="Y1629" i="3" s="1"/>
  <c r="X1629" i="3" a="1"/>
  <c r="X1629" i="3" s="1"/>
  <c r="W1629" i="3" a="1"/>
  <c r="W1629" i="3" s="1"/>
  <c r="V1629" i="3" a="1"/>
  <c r="V1629" i="3" s="1"/>
  <c r="Y1628" i="3" a="1"/>
  <c r="Y1628" i="3" s="1"/>
  <c r="X1628" i="3" a="1"/>
  <c r="X1628" i="3" s="1"/>
  <c r="W1628" i="3" a="1"/>
  <c r="W1628" i="3" s="1"/>
  <c r="V1628" i="3" a="1"/>
  <c r="V1628" i="3" s="1"/>
  <c r="Y1627" i="3" a="1"/>
  <c r="Y1627" i="3" s="1"/>
  <c r="X1627" i="3" a="1"/>
  <c r="X1627" i="3" s="1"/>
  <c r="W1627" i="3" a="1"/>
  <c r="W1627" i="3" s="1"/>
  <c r="V1627" i="3" a="1"/>
  <c r="V1627" i="3" s="1"/>
  <c r="Y1626" i="3" a="1"/>
  <c r="Y1626" i="3" s="1"/>
  <c r="X1626" i="3" a="1"/>
  <c r="X1626" i="3" s="1"/>
  <c r="W1626" i="3" a="1"/>
  <c r="W1626" i="3" s="1"/>
  <c r="V1626" i="3" a="1"/>
  <c r="V1626" i="3" s="1"/>
  <c r="Y1625" i="3" a="1"/>
  <c r="Y1625" i="3" s="1"/>
  <c r="X1625" i="3" a="1"/>
  <c r="X1625" i="3" s="1"/>
  <c r="W1625" i="3" a="1"/>
  <c r="W1625" i="3" s="1"/>
  <c r="V1625" i="3" a="1"/>
  <c r="V1625" i="3" s="1"/>
  <c r="Y1624" i="3" a="1"/>
  <c r="Y1624" i="3" s="1"/>
  <c r="X1624" i="3" a="1"/>
  <c r="X1624" i="3" s="1"/>
  <c r="W1624" i="3" a="1"/>
  <c r="W1624" i="3" s="1"/>
  <c r="V1624" i="3" a="1"/>
  <c r="V1624" i="3" s="1"/>
  <c r="Y1623" i="3" a="1"/>
  <c r="Y1623" i="3" s="1"/>
  <c r="X1623" i="3" a="1"/>
  <c r="X1623" i="3" s="1"/>
  <c r="W1623" i="3" a="1"/>
  <c r="W1623" i="3" s="1"/>
  <c r="V1623" i="3" a="1"/>
  <c r="V1623" i="3" s="1"/>
  <c r="Y1622" i="3" a="1"/>
  <c r="Y1622" i="3" s="1"/>
  <c r="X1622" i="3" a="1"/>
  <c r="X1622" i="3" s="1"/>
  <c r="W1622" i="3" a="1"/>
  <c r="W1622" i="3" s="1"/>
  <c r="V1622" i="3" a="1"/>
  <c r="V1622" i="3" s="1"/>
  <c r="Y1621" i="3" a="1"/>
  <c r="Y1621" i="3" s="1"/>
  <c r="X1621" i="3" a="1"/>
  <c r="X1621" i="3" s="1"/>
  <c r="W1621" i="3" a="1"/>
  <c r="W1621" i="3" s="1"/>
  <c r="V1621" i="3" a="1"/>
  <c r="V1621" i="3" s="1"/>
  <c r="Y1620" i="3" a="1"/>
  <c r="Y1620" i="3" s="1"/>
  <c r="X1620" i="3" a="1"/>
  <c r="X1620" i="3" s="1"/>
  <c r="W1620" i="3" a="1"/>
  <c r="W1620" i="3" s="1"/>
  <c r="V1620" i="3" a="1"/>
  <c r="V1620" i="3" s="1"/>
  <c r="Y1619" i="3" a="1"/>
  <c r="Y1619" i="3" s="1"/>
  <c r="X1619" i="3" a="1"/>
  <c r="X1619" i="3" s="1"/>
  <c r="W1619" i="3" a="1"/>
  <c r="W1619" i="3" s="1"/>
  <c r="V1619" i="3" a="1"/>
  <c r="V1619" i="3" s="1"/>
  <c r="Y1618" i="3" a="1"/>
  <c r="Y1618" i="3" s="1"/>
  <c r="X1618" i="3" a="1"/>
  <c r="X1618" i="3" s="1"/>
  <c r="W1618" i="3" a="1"/>
  <c r="W1618" i="3" s="1"/>
  <c r="V1618" i="3" a="1"/>
  <c r="V1618" i="3" s="1"/>
  <c r="Y1617" i="3" a="1"/>
  <c r="Y1617" i="3" s="1"/>
  <c r="X1617" i="3" a="1"/>
  <c r="X1617" i="3" s="1"/>
  <c r="W1617" i="3" a="1"/>
  <c r="W1617" i="3" s="1"/>
  <c r="V1617" i="3" a="1"/>
  <c r="V1617" i="3" s="1"/>
  <c r="Y1616" i="3" a="1"/>
  <c r="Y1616" i="3" s="1"/>
  <c r="X1616" i="3" a="1"/>
  <c r="X1616" i="3" s="1"/>
  <c r="W1616" i="3" a="1"/>
  <c r="W1616" i="3" s="1"/>
  <c r="V1616" i="3" a="1"/>
  <c r="V1616" i="3" s="1"/>
  <c r="Y1615" i="3" a="1"/>
  <c r="Y1615" i="3" s="1"/>
  <c r="X1615" i="3" a="1"/>
  <c r="X1615" i="3" s="1"/>
  <c r="W1615" i="3" a="1"/>
  <c r="W1615" i="3" s="1"/>
  <c r="V1615" i="3" a="1"/>
  <c r="V1615" i="3" s="1"/>
  <c r="Y1614" i="3" a="1"/>
  <c r="Y1614" i="3" s="1"/>
  <c r="X1614" i="3" a="1"/>
  <c r="X1614" i="3" s="1"/>
  <c r="W1614" i="3" a="1"/>
  <c r="W1614" i="3" s="1"/>
  <c r="V1614" i="3" a="1"/>
  <c r="V1614" i="3" s="1"/>
  <c r="Y1613" i="3" a="1"/>
  <c r="Y1613" i="3" s="1"/>
  <c r="X1613" i="3" a="1"/>
  <c r="X1613" i="3" s="1"/>
  <c r="W1613" i="3" a="1"/>
  <c r="W1613" i="3" s="1"/>
  <c r="V1613" i="3" a="1"/>
  <c r="V1613" i="3" s="1"/>
  <c r="Y1612" i="3" a="1"/>
  <c r="Y1612" i="3" s="1"/>
  <c r="X1612" i="3" a="1"/>
  <c r="X1612" i="3" s="1"/>
  <c r="W1612" i="3" a="1"/>
  <c r="W1612" i="3" s="1"/>
  <c r="V1612" i="3" a="1"/>
  <c r="V1612" i="3" s="1"/>
  <c r="Y1611" i="3" a="1"/>
  <c r="Y1611" i="3" s="1"/>
  <c r="X1611" i="3" a="1"/>
  <c r="X1611" i="3" s="1"/>
  <c r="W1611" i="3" a="1"/>
  <c r="W1611" i="3" s="1"/>
  <c r="V1611" i="3" a="1"/>
  <c r="V1611" i="3" s="1"/>
  <c r="Y1610" i="3" a="1"/>
  <c r="Y1610" i="3" s="1"/>
  <c r="X1610" i="3" a="1"/>
  <c r="X1610" i="3" s="1"/>
  <c r="W1610" i="3" a="1"/>
  <c r="W1610" i="3" s="1"/>
  <c r="V1610" i="3" a="1"/>
  <c r="V1610" i="3" s="1"/>
  <c r="Y1609" i="3" a="1"/>
  <c r="Y1609" i="3" s="1"/>
  <c r="X1609" i="3" a="1"/>
  <c r="X1609" i="3" s="1"/>
  <c r="W1609" i="3" a="1"/>
  <c r="W1609" i="3" s="1"/>
  <c r="V1609" i="3" a="1"/>
  <c r="V1609" i="3" s="1"/>
  <c r="Y1608" i="3" a="1"/>
  <c r="Y1608" i="3" s="1"/>
  <c r="X1608" i="3" a="1"/>
  <c r="X1608" i="3" s="1"/>
  <c r="W1608" i="3" a="1"/>
  <c r="W1608" i="3" s="1"/>
  <c r="V1608" i="3" a="1"/>
  <c r="V1608" i="3" s="1"/>
  <c r="Y1607" i="3" a="1"/>
  <c r="Y1607" i="3" s="1"/>
  <c r="X1607" i="3" a="1"/>
  <c r="X1607" i="3" s="1"/>
  <c r="W1607" i="3" a="1"/>
  <c r="W1607" i="3" s="1"/>
  <c r="V1607" i="3" a="1"/>
  <c r="V1607" i="3" s="1"/>
  <c r="Y1606" i="3" a="1"/>
  <c r="Y1606" i="3" s="1"/>
  <c r="X1606" i="3" a="1"/>
  <c r="X1606" i="3" s="1"/>
  <c r="W1606" i="3" a="1"/>
  <c r="W1606" i="3" s="1"/>
  <c r="V1606" i="3" a="1"/>
  <c r="V1606" i="3" s="1"/>
  <c r="Y1605" i="3" a="1"/>
  <c r="Y1605" i="3" s="1"/>
  <c r="X1605" i="3" a="1"/>
  <c r="X1605" i="3" s="1"/>
  <c r="W1605" i="3" a="1"/>
  <c r="W1605" i="3" s="1"/>
  <c r="V1605" i="3" a="1"/>
  <c r="V1605" i="3" s="1"/>
  <c r="Y1604" i="3" a="1"/>
  <c r="Y1604" i="3" s="1"/>
  <c r="X1604" i="3" a="1"/>
  <c r="X1604" i="3" s="1"/>
  <c r="W1604" i="3" a="1"/>
  <c r="W1604" i="3" s="1"/>
  <c r="V1604" i="3" a="1"/>
  <c r="V1604" i="3" s="1"/>
  <c r="Y1603" i="3" a="1"/>
  <c r="Y1603" i="3" s="1"/>
  <c r="X1603" i="3" a="1"/>
  <c r="X1603" i="3" s="1"/>
  <c r="W1603" i="3" a="1"/>
  <c r="W1603" i="3" s="1"/>
  <c r="V1603" i="3" a="1"/>
  <c r="V1603" i="3" s="1"/>
  <c r="Y1602" i="3" a="1"/>
  <c r="Y1602" i="3" s="1"/>
  <c r="X1602" i="3" a="1"/>
  <c r="X1602" i="3" s="1"/>
  <c r="W1602" i="3" a="1"/>
  <c r="W1602" i="3" s="1"/>
  <c r="V1602" i="3" a="1"/>
  <c r="V1602" i="3" s="1"/>
  <c r="Y1601" i="3" a="1"/>
  <c r="Y1601" i="3" s="1"/>
  <c r="X1601" i="3" a="1"/>
  <c r="X1601" i="3" s="1"/>
  <c r="W1601" i="3" a="1"/>
  <c r="W1601" i="3" s="1"/>
  <c r="V1601" i="3" a="1"/>
  <c r="V1601" i="3" s="1"/>
  <c r="Y1600" i="3" a="1"/>
  <c r="Y1600" i="3" s="1"/>
  <c r="X1600" i="3" a="1"/>
  <c r="X1600" i="3" s="1"/>
  <c r="W1600" i="3" a="1"/>
  <c r="W1600" i="3" s="1"/>
  <c r="V1600" i="3" a="1"/>
  <c r="V1600" i="3" s="1"/>
  <c r="Y1599" i="3" a="1"/>
  <c r="Y1599" i="3" s="1"/>
  <c r="X1599" i="3" a="1"/>
  <c r="X1599" i="3" s="1"/>
  <c r="W1599" i="3" a="1"/>
  <c r="W1599" i="3" s="1"/>
  <c r="V1599" i="3" a="1"/>
  <c r="V1599" i="3" s="1"/>
  <c r="Y1598" i="3" a="1"/>
  <c r="Y1598" i="3" s="1"/>
  <c r="X1598" i="3" a="1"/>
  <c r="X1598" i="3" s="1"/>
  <c r="W1598" i="3" a="1"/>
  <c r="W1598" i="3" s="1"/>
  <c r="V1598" i="3" a="1"/>
  <c r="V1598" i="3" s="1"/>
  <c r="Y1597" i="3" a="1"/>
  <c r="Y1597" i="3" s="1"/>
  <c r="X1597" i="3" a="1"/>
  <c r="X1597" i="3" s="1"/>
  <c r="W1597" i="3" a="1"/>
  <c r="W1597" i="3" s="1"/>
  <c r="V1597" i="3" a="1"/>
  <c r="V1597" i="3" s="1"/>
  <c r="Y1596" i="3" a="1"/>
  <c r="Y1596" i="3" s="1"/>
  <c r="X1596" i="3" a="1"/>
  <c r="X1596" i="3" s="1"/>
  <c r="W1596" i="3" a="1"/>
  <c r="W1596" i="3" s="1"/>
  <c r="V1596" i="3" a="1"/>
  <c r="V1596" i="3" s="1"/>
  <c r="Y1595" i="3" a="1"/>
  <c r="Y1595" i="3" s="1"/>
  <c r="X1595" i="3" a="1"/>
  <c r="X1595" i="3" s="1"/>
  <c r="W1595" i="3" a="1"/>
  <c r="W1595" i="3" s="1"/>
  <c r="V1595" i="3" a="1"/>
  <c r="V1595" i="3" s="1"/>
  <c r="Y1594" i="3" a="1"/>
  <c r="Y1594" i="3" s="1"/>
  <c r="X1594" i="3" a="1"/>
  <c r="X1594" i="3" s="1"/>
  <c r="W1594" i="3" a="1"/>
  <c r="W1594" i="3" s="1"/>
  <c r="V1594" i="3" a="1"/>
  <c r="V1594" i="3" s="1"/>
  <c r="Y1593" i="3" a="1"/>
  <c r="Y1593" i="3" s="1"/>
  <c r="X1593" i="3" a="1"/>
  <c r="X1593" i="3" s="1"/>
  <c r="W1593" i="3" a="1"/>
  <c r="W1593" i="3" s="1"/>
  <c r="V1593" i="3" a="1"/>
  <c r="V1593" i="3" s="1"/>
  <c r="Y1592" i="3" a="1"/>
  <c r="Y1592" i="3" s="1"/>
  <c r="X1592" i="3" a="1"/>
  <c r="X1592" i="3" s="1"/>
  <c r="W1592" i="3" a="1"/>
  <c r="W1592" i="3" s="1"/>
  <c r="V1592" i="3" a="1"/>
  <c r="V1592" i="3" s="1"/>
  <c r="Y1591" i="3" a="1"/>
  <c r="Y1591" i="3" s="1"/>
  <c r="X1591" i="3" a="1"/>
  <c r="X1591" i="3" s="1"/>
  <c r="W1591" i="3" a="1"/>
  <c r="W1591" i="3" s="1"/>
  <c r="V1591" i="3" a="1"/>
  <c r="V1591" i="3" s="1"/>
  <c r="Y1590" i="3" a="1"/>
  <c r="Y1590" i="3" s="1"/>
  <c r="X1590" i="3" a="1"/>
  <c r="X1590" i="3" s="1"/>
  <c r="W1590" i="3" a="1"/>
  <c r="W1590" i="3" s="1"/>
  <c r="V1590" i="3" a="1"/>
  <c r="V1590" i="3" s="1"/>
  <c r="Y1589" i="3" a="1"/>
  <c r="Y1589" i="3" s="1"/>
  <c r="X1589" i="3" a="1"/>
  <c r="X1589" i="3" s="1"/>
  <c r="W1589" i="3" a="1"/>
  <c r="W1589" i="3" s="1"/>
  <c r="V1589" i="3" a="1"/>
  <c r="V1589" i="3" s="1"/>
  <c r="Y1588" i="3" a="1"/>
  <c r="Y1588" i="3" s="1"/>
  <c r="X1588" i="3" a="1"/>
  <c r="X1588" i="3" s="1"/>
  <c r="W1588" i="3" a="1"/>
  <c r="W1588" i="3" s="1"/>
  <c r="V1588" i="3" a="1"/>
  <c r="V1588" i="3" s="1"/>
  <c r="Y1587" i="3" a="1"/>
  <c r="Y1587" i="3" s="1"/>
  <c r="X1587" i="3" a="1"/>
  <c r="X1587" i="3" s="1"/>
  <c r="W1587" i="3" a="1"/>
  <c r="W1587" i="3" s="1"/>
  <c r="V1587" i="3" a="1"/>
  <c r="V1587" i="3" s="1"/>
  <c r="Y1586" i="3" a="1"/>
  <c r="Y1586" i="3" s="1"/>
  <c r="X1586" i="3" a="1"/>
  <c r="X1586" i="3" s="1"/>
  <c r="W1586" i="3" a="1"/>
  <c r="W1586" i="3" s="1"/>
  <c r="V1586" i="3" a="1"/>
  <c r="V1586" i="3" s="1"/>
  <c r="Y1585" i="3" a="1"/>
  <c r="Y1585" i="3" s="1"/>
  <c r="X1585" i="3" a="1"/>
  <c r="X1585" i="3" s="1"/>
  <c r="W1585" i="3" a="1"/>
  <c r="W1585" i="3" s="1"/>
  <c r="V1585" i="3" a="1"/>
  <c r="V1585" i="3" s="1"/>
  <c r="Y1584" i="3" a="1"/>
  <c r="Y1584" i="3" s="1"/>
  <c r="X1584" i="3" a="1"/>
  <c r="X1584" i="3" s="1"/>
  <c r="W1584" i="3" a="1"/>
  <c r="W1584" i="3" s="1"/>
  <c r="V1584" i="3" a="1"/>
  <c r="V1584" i="3" s="1"/>
  <c r="Y1583" i="3" a="1"/>
  <c r="Y1583" i="3" s="1"/>
  <c r="X1583" i="3" a="1"/>
  <c r="X1583" i="3" s="1"/>
  <c r="W1583" i="3" a="1"/>
  <c r="W1583" i="3" s="1"/>
  <c r="V1583" i="3" a="1"/>
  <c r="V1583" i="3" s="1"/>
  <c r="Y1582" i="3" a="1"/>
  <c r="Y1582" i="3" s="1"/>
  <c r="X1582" i="3" a="1"/>
  <c r="X1582" i="3" s="1"/>
  <c r="W1582" i="3" a="1"/>
  <c r="W1582" i="3" s="1"/>
  <c r="V1582" i="3" a="1"/>
  <c r="V1582" i="3" s="1"/>
  <c r="Y1581" i="3" a="1"/>
  <c r="Y1581" i="3" s="1"/>
  <c r="X1581" i="3" a="1"/>
  <c r="X1581" i="3" s="1"/>
  <c r="W1581" i="3" a="1"/>
  <c r="W1581" i="3" s="1"/>
  <c r="V1581" i="3" a="1"/>
  <c r="V1581" i="3" s="1"/>
  <c r="Y1580" i="3" a="1"/>
  <c r="Y1580" i="3" s="1"/>
  <c r="X1580" i="3" a="1"/>
  <c r="X1580" i="3" s="1"/>
  <c r="W1580" i="3" a="1"/>
  <c r="W1580" i="3" s="1"/>
  <c r="V1580" i="3" a="1"/>
  <c r="V1580" i="3" s="1"/>
  <c r="Y1579" i="3" a="1"/>
  <c r="Y1579" i="3" s="1"/>
  <c r="X1579" i="3" a="1"/>
  <c r="X1579" i="3" s="1"/>
  <c r="W1579" i="3" a="1"/>
  <c r="W1579" i="3" s="1"/>
  <c r="V1579" i="3" a="1"/>
  <c r="V1579" i="3" s="1"/>
  <c r="Y1578" i="3" a="1"/>
  <c r="Y1578" i="3" s="1"/>
  <c r="X1578" i="3" a="1"/>
  <c r="X1578" i="3" s="1"/>
  <c r="W1578" i="3" a="1"/>
  <c r="W1578" i="3" s="1"/>
  <c r="V1578" i="3" a="1"/>
  <c r="V1578" i="3" s="1"/>
  <c r="Y1577" i="3" a="1"/>
  <c r="Y1577" i="3" s="1"/>
  <c r="X1577" i="3" a="1"/>
  <c r="X1577" i="3" s="1"/>
  <c r="W1577" i="3" a="1"/>
  <c r="W1577" i="3" s="1"/>
  <c r="V1577" i="3" a="1"/>
  <c r="V1577" i="3" s="1"/>
  <c r="Y1576" i="3" a="1"/>
  <c r="Y1576" i="3" s="1"/>
  <c r="X1576" i="3" a="1"/>
  <c r="X1576" i="3" s="1"/>
  <c r="W1576" i="3" a="1"/>
  <c r="W1576" i="3" s="1"/>
  <c r="V1576" i="3" a="1"/>
  <c r="V1576" i="3" s="1"/>
  <c r="Y1575" i="3" a="1"/>
  <c r="Y1575" i="3" s="1"/>
  <c r="X1575" i="3" a="1"/>
  <c r="X1575" i="3" s="1"/>
  <c r="W1575" i="3" a="1"/>
  <c r="W1575" i="3" s="1"/>
  <c r="V1575" i="3" a="1"/>
  <c r="V1575" i="3" s="1"/>
  <c r="Y1574" i="3" a="1"/>
  <c r="Y1574" i="3" s="1"/>
  <c r="X1574" i="3" a="1"/>
  <c r="X1574" i="3" s="1"/>
  <c r="W1574" i="3" a="1"/>
  <c r="W1574" i="3" s="1"/>
  <c r="V1574" i="3" a="1"/>
  <c r="V1574" i="3" s="1"/>
  <c r="Y1573" i="3" a="1"/>
  <c r="Y1573" i="3" s="1"/>
  <c r="X1573" i="3" a="1"/>
  <c r="X1573" i="3" s="1"/>
  <c r="W1573" i="3" a="1"/>
  <c r="W1573" i="3" s="1"/>
  <c r="V1573" i="3" a="1"/>
  <c r="V1573" i="3" s="1"/>
  <c r="Y1572" i="3" a="1"/>
  <c r="Y1572" i="3" s="1"/>
  <c r="X1572" i="3" a="1"/>
  <c r="X1572" i="3" s="1"/>
  <c r="W1572" i="3" a="1"/>
  <c r="W1572" i="3" s="1"/>
  <c r="V1572" i="3" a="1"/>
  <c r="V1572" i="3" s="1"/>
  <c r="Y1571" i="3" a="1"/>
  <c r="Y1571" i="3" s="1"/>
  <c r="X1571" i="3" a="1"/>
  <c r="X1571" i="3" s="1"/>
  <c r="W1571" i="3" a="1"/>
  <c r="W1571" i="3" s="1"/>
  <c r="V1571" i="3" a="1"/>
  <c r="V1571" i="3" s="1"/>
  <c r="Y1570" i="3" a="1"/>
  <c r="Y1570" i="3" s="1"/>
  <c r="X1570" i="3" a="1"/>
  <c r="X1570" i="3" s="1"/>
  <c r="W1570" i="3" a="1"/>
  <c r="W1570" i="3" s="1"/>
  <c r="V1570" i="3" a="1"/>
  <c r="V1570" i="3" s="1"/>
  <c r="Y1569" i="3" a="1"/>
  <c r="Y1569" i="3" s="1"/>
  <c r="X1569" i="3" a="1"/>
  <c r="X1569" i="3" s="1"/>
  <c r="W1569" i="3" a="1"/>
  <c r="W1569" i="3" s="1"/>
  <c r="V1569" i="3" a="1"/>
  <c r="V1569" i="3" s="1"/>
  <c r="Y1568" i="3" a="1"/>
  <c r="Y1568" i="3" s="1"/>
  <c r="X1568" i="3" a="1"/>
  <c r="X1568" i="3" s="1"/>
  <c r="W1568" i="3" a="1"/>
  <c r="W1568" i="3" s="1"/>
  <c r="V1568" i="3" a="1"/>
  <c r="V1568" i="3" s="1"/>
  <c r="Y1567" i="3" a="1"/>
  <c r="Y1567" i="3" s="1"/>
  <c r="X1567" i="3" a="1"/>
  <c r="X1567" i="3" s="1"/>
  <c r="W1567" i="3" a="1"/>
  <c r="W1567" i="3" s="1"/>
  <c r="V1567" i="3" a="1"/>
  <c r="V1567" i="3" s="1"/>
  <c r="Y1566" i="3" a="1"/>
  <c r="Y1566" i="3" s="1"/>
  <c r="X1566" i="3" a="1"/>
  <c r="X1566" i="3" s="1"/>
  <c r="W1566" i="3" a="1"/>
  <c r="W1566" i="3" s="1"/>
  <c r="V1566" i="3" a="1"/>
  <c r="V1566" i="3" s="1"/>
  <c r="Y1565" i="3" a="1"/>
  <c r="Y1565" i="3" s="1"/>
  <c r="X1565" i="3" a="1"/>
  <c r="X1565" i="3" s="1"/>
  <c r="W1565" i="3" a="1"/>
  <c r="W1565" i="3" s="1"/>
  <c r="V1565" i="3" a="1"/>
  <c r="V1565" i="3" s="1"/>
  <c r="Y1564" i="3" a="1"/>
  <c r="Y1564" i="3" s="1"/>
  <c r="X1564" i="3" a="1"/>
  <c r="X1564" i="3" s="1"/>
  <c r="W1564" i="3" a="1"/>
  <c r="W1564" i="3" s="1"/>
  <c r="V1564" i="3" a="1"/>
  <c r="V1564" i="3" s="1"/>
  <c r="Y1563" i="3" a="1"/>
  <c r="Y1563" i="3" s="1"/>
  <c r="X1563" i="3" a="1"/>
  <c r="X1563" i="3" s="1"/>
  <c r="W1563" i="3" a="1"/>
  <c r="W1563" i="3" s="1"/>
  <c r="V1563" i="3" a="1"/>
  <c r="V1563" i="3" s="1"/>
  <c r="Y1562" i="3" a="1"/>
  <c r="Y1562" i="3" s="1"/>
  <c r="X1562" i="3" a="1"/>
  <c r="X1562" i="3" s="1"/>
  <c r="W1562" i="3" a="1"/>
  <c r="W1562" i="3" s="1"/>
  <c r="V1562" i="3" a="1"/>
  <c r="V1562" i="3" s="1"/>
  <c r="Y1561" i="3" a="1"/>
  <c r="Y1561" i="3" s="1"/>
  <c r="X1561" i="3" a="1"/>
  <c r="X1561" i="3" s="1"/>
  <c r="W1561" i="3" a="1"/>
  <c r="W1561" i="3" s="1"/>
  <c r="V1561" i="3" a="1"/>
  <c r="V1561" i="3" s="1"/>
  <c r="Y1560" i="3" a="1"/>
  <c r="Y1560" i="3" s="1"/>
  <c r="X1560" i="3" a="1"/>
  <c r="X1560" i="3" s="1"/>
  <c r="W1560" i="3" a="1"/>
  <c r="W1560" i="3" s="1"/>
  <c r="V1560" i="3" a="1"/>
  <c r="V1560" i="3" s="1"/>
  <c r="Y1559" i="3" a="1"/>
  <c r="Y1559" i="3" s="1"/>
  <c r="X1559" i="3" a="1"/>
  <c r="X1559" i="3" s="1"/>
  <c r="W1559" i="3" a="1"/>
  <c r="W1559" i="3" s="1"/>
  <c r="V1559" i="3" a="1"/>
  <c r="V1559" i="3" s="1"/>
  <c r="Y1558" i="3" a="1"/>
  <c r="Y1558" i="3" s="1"/>
  <c r="X1558" i="3" a="1"/>
  <c r="X1558" i="3" s="1"/>
  <c r="W1558" i="3" a="1"/>
  <c r="W1558" i="3" s="1"/>
  <c r="V1558" i="3" a="1"/>
  <c r="V1558" i="3" s="1"/>
  <c r="Y1557" i="3" a="1"/>
  <c r="Y1557" i="3" s="1"/>
  <c r="X1557" i="3" a="1"/>
  <c r="X1557" i="3" s="1"/>
  <c r="W1557" i="3" a="1"/>
  <c r="W1557" i="3" s="1"/>
  <c r="V1557" i="3" a="1"/>
  <c r="V1557" i="3" s="1"/>
  <c r="Y1556" i="3" a="1"/>
  <c r="Y1556" i="3" s="1"/>
  <c r="X1556" i="3" a="1"/>
  <c r="X1556" i="3" s="1"/>
  <c r="W1556" i="3" a="1"/>
  <c r="W1556" i="3" s="1"/>
  <c r="V1556" i="3" a="1"/>
  <c r="V1556" i="3" s="1"/>
  <c r="Y1555" i="3" a="1"/>
  <c r="Y1555" i="3" s="1"/>
  <c r="X1555" i="3" a="1"/>
  <c r="X1555" i="3" s="1"/>
  <c r="W1555" i="3" a="1"/>
  <c r="W1555" i="3" s="1"/>
  <c r="V1555" i="3" a="1"/>
  <c r="V1555" i="3" s="1"/>
  <c r="Y1554" i="3" a="1"/>
  <c r="Y1554" i="3" s="1"/>
  <c r="X1554" i="3" a="1"/>
  <c r="X1554" i="3" s="1"/>
  <c r="W1554" i="3" a="1"/>
  <c r="W1554" i="3" s="1"/>
  <c r="V1554" i="3" a="1"/>
  <c r="V1554" i="3" s="1"/>
  <c r="Y1553" i="3" a="1"/>
  <c r="Y1553" i="3" s="1"/>
  <c r="X1553" i="3" a="1"/>
  <c r="X1553" i="3" s="1"/>
  <c r="W1553" i="3" a="1"/>
  <c r="W1553" i="3" s="1"/>
  <c r="V1553" i="3" a="1"/>
  <c r="V1553" i="3" s="1"/>
  <c r="Y1552" i="3" a="1"/>
  <c r="Y1552" i="3" s="1"/>
  <c r="X1552" i="3" a="1"/>
  <c r="X1552" i="3" s="1"/>
  <c r="W1552" i="3" a="1"/>
  <c r="W1552" i="3" s="1"/>
  <c r="V1552" i="3" a="1"/>
  <c r="V1552" i="3" s="1"/>
  <c r="Y1551" i="3" a="1"/>
  <c r="Y1551" i="3" s="1"/>
  <c r="X1551" i="3" a="1"/>
  <c r="X1551" i="3" s="1"/>
  <c r="W1551" i="3" a="1"/>
  <c r="W1551" i="3" s="1"/>
  <c r="V1551" i="3" a="1"/>
  <c r="V1551" i="3" s="1"/>
  <c r="Y1550" i="3" a="1"/>
  <c r="Y1550" i="3" s="1"/>
  <c r="X1550" i="3" a="1"/>
  <c r="X1550" i="3" s="1"/>
  <c r="W1550" i="3" a="1"/>
  <c r="W1550" i="3" s="1"/>
  <c r="V1550" i="3" a="1"/>
  <c r="V1550" i="3" s="1"/>
  <c r="Y1549" i="3" a="1"/>
  <c r="Y1549" i="3" s="1"/>
  <c r="X1549" i="3" a="1"/>
  <c r="X1549" i="3" s="1"/>
  <c r="W1549" i="3" a="1"/>
  <c r="W1549" i="3" s="1"/>
  <c r="V1549" i="3" a="1"/>
  <c r="V1549" i="3" s="1"/>
  <c r="Y1548" i="3" a="1"/>
  <c r="Y1548" i="3" s="1"/>
  <c r="X1548" i="3" a="1"/>
  <c r="X1548" i="3" s="1"/>
  <c r="W1548" i="3" a="1"/>
  <c r="W1548" i="3" s="1"/>
  <c r="V1548" i="3" a="1"/>
  <c r="V1548" i="3" s="1"/>
  <c r="Y1547" i="3" a="1"/>
  <c r="Y1547" i="3" s="1"/>
  <c r="X1547" i="3" a="1"/>
  <c r="X1547" i="3" s="1"/>
  <c r="W1547" i="3" a="1"/>
  <c r="W1547" i="3" s="1"/>
  <c r="V1547" i="3" a="1"/>
  <c r="V1547" i="3" s="1"/>
  <c r="Y1546" i="3" a="1"/>
  <c r="Y1546" i="3" s="1"/>
  <c r="X1546" i="3" a="1"/>
  <c r="X1546" i="3" s="1"/>
  <c r="W1546" i="3" a="1"/>
  <c r="W1546" i="3" s="1"/>
  <c r="V1546" i="3" a="1"/>
  <c r="V1546" i="3" s="1"/>
  <c r="Y1545" i="3" a="1"/>
  <c r="Y1545" i="3" s="1"/>
  <c r="X1545" i="3" a="1"/>
  <c r="X1545" i="3" s="1"/>
  <c r="W1545" i="3" a="1"/>
  <c r="W1545" i="3" s="1"/>
  <c r="V1545" i="3" a="1"/>
  <c r="V1545" i="3" s="1"/>
  <c r="Y1544" i="3" a="1"/>
  <c r="Y1544" i="3" s="1"/>
  <c r="X1544" i="3" a="1"/>
  <c r="X1544" i="3" s="1"/>
  <c r="W1544" i="3" a="1"/>
  <c r="W1544" i="3" s="1"/>
  <c r="V1544" i="3" a="1"/>
  <c r="V1544" i="3" s="1"/>
  <c r="Y1543" i="3" a="1"/>
  <c r="Y1543" i="3" s="1"/>
  <c r="X1543" i="3" a="1"/>
  <c r="X1543" i="3" s="1"/>
  <c r="W1543" i="3" a="1"/>
  <c r="W1543" i="3" s="1"/>
  <c r="V1543" i="3" a="1"/>
  <c r="V1543" i="3" s="1"/>
  <c r="Y1542" i="3" a="1"/>
  <c r="Y1542" i="3" s="1"/>
  <c r="X1542" i="3" a="1"/>
  <c r="X1542" i="3" s="1"/>
  <c r="W1542" i="3" a="1"/>
  <c r="W1542" i="3" s="1"/>
  <c r="V1542" i="3" a="1"/>
  <c r="V1542" i="3" s="1"/>
  <c r="Y1541" i="3" a="1"/>
  <c r="Y1541" i="3" s="1"/>
  <c r="X1541" i="3" a="1"/>
  <c r="X1541" i="3" s="1"/>
  <c r="W1541" i="3" a="1"/>
  <c r="W1541" i="3" s="1"/>
  <c r="V1541" i="3" a="1"/>
  <c r="V1541" i="3" s="1"/>
  <c r="Y1540" i="3" a="1"/>
  <c r="Y1540" i="3" s="1"/>
  <c r="X1540" i="3" a="1"/>
  <c r="X1540" i="3" s="1"/>
  <c r="W1540" i="3" a="1"/>
  <c r="W1540" i="3" s="1"/>
  <c r="V1540" i="3" a="1"/>
  <c r="V1540" i="3" s="1"/>
  <c r="Y1539" i="3" a="1"/>
  <c r="Y1539" i="3" s="1"/>
  <c r="X1539" i="3" a="1"/>
  <c r="X1539" i="3" s="1"/>
  <c r="W1539" i="3" a="1"/>
  <c r="W1539" i="3" s="1"/>
  <c r="V1539" i="3" a="1"/>
  <c r="V1539" i="3" s="1"/>
  <c r="Y1538" i="3" a="1"/>
  <c r="Y1538" i="3" s="1"/>
  <c r="X1538" i="3" a="1"/>
  <c r="X1538" i="3" s="1"/>
  <c r="W1538" i="3" a="1"/>
  <c r="W1538" i="3" s="1"/>
  <c r="V1538" i="3" a="1"/>
  <c r="V1538" i="3" s="1"/>
  <c r="Y1537" i="3" a="1"/>
  <c r="Y1537" i="3" s="1"/>
  <c r="X1537" i="3" a="1"/>
  <c r="X1537" i="3" s="1"/>
  <c r="W1537" i="3" a="1"/>
  <c r="W1537" i="3" s="1"/>
  <c r="V1537" i="3" a="1"/>
  <c r="V1537" i="3" s="1"/>
  <c r="Y1536" i="3" a="1"/>
  <c r="Y1536" i="3" s="1"/>
  <c r="X1536" i="3" a="1"/>
  <c r="X1536" i="3" s="1"/>
  <c r="W1536" i="3" a="1"/>
  <c r="W1536" i="3" s="1"/>
  <c r="V1536" i="3" a="1"/>
  <c r="V1536" i="3" s="1"/>
  <c r="Y1535" i="3" a="1"/>
  <c r="Y1535" i="3" s="1"/>
  <c r="X1535" i="3" a="1"/>
  <c r="X1535" i="3" s="1"/>
  <c r="W1535" i="3" a="1"/>
  <c r="W1535" i="3" s="1"/>
  <c r="V1535" i="3" a="1"/>
  <c r="V1535" i="3" s="1"/>
  <c r="Y1534" i="3" a="1"/>
  <c r="Y1534" i="3" s="1"/>
  <c r="X1534" i="3" a="1"/>
  <c r="X1534" i="3" s="1"/>
  <c r="W1534" i="3" a="1"/>
  <c r="W1534" i="3" s="1"/>
  <c r="V1534" i="3" a="1"/>
  <c r="V1534" i="3" s="1"/>
  <c r="Y1533" i="3" a="1"/>
  <c r="Y1533" i="3" s="1"/>
  <c r="X1533" i="3" a="1"/>
  <c r="X1533" i="3" s="1"/>
  <c r="W1533" i="3" a="1"/>
  <c r="W1533" i="3" s="1"/>
  <c r="V1533" i="3" a="1"/>
  <c r="V1533" i="3" s="1"/>
  <c r="Y1532" i="3" a="1"/>
  <c r="Y1532" i="3" s="1"/>
  <c r="X1532" i="3" a="1"/>
  <c r="X1532" i="3" s="1"/>
  <c r="W1532" i="3" a="1"/>
  <c r="W1532" i="3" s="1"/>
  <c r="V1532" i="3" a="1"/>
  <c r="V1532" i="3" s="1"/>
  <c r="Y1531" i="3" a="1"/>
  <c r="Y1531" i="3" s="1"/>
  <c r="X1531" i="3" a="1"/>
  <c r="X1531" i="3" s="1"/>
  <c r="W1531" i="3" a="1"/>
  <c r="W1531" i="3" s="1"/>
  <c r="V1531" i="3" a="1"/>
  <c r="V1531" i="3" s="1"/>
  <c r="Y1530" i="3" a="1"/>
  <c r="Y1530" i="3" s="1"/>
  <c r="X1530" i="3" a="1"/>
  <c r="X1530" i="3" s="1"/>
  <c r="W1530" i="3" a="1"/>
  <c r="W1530" i="3" s="1"/>
  <c r="V1530" i="3" a="1"/>
  <c r="V1530" i="3" s="1"/>
  <c r="Y1529" i="3" a="1"/>
  <c r="Y1529" i="3" s="1"/>
  <c r="X1529" i="3" a="1"/>
  <c r="X1529" i="3" s="1"/>
  <c r="W1529" i="3" a="1"/>
  <c r="W1529" i="3" s="1"/>
  <c r="V1529" i="3" a="1"/>
  <c r="V1529" i="3" s="1"/>
  <c r="Y1528" i="3" a="1"/>
  <c r="Y1528" i="3" s="1"/>
  <c r="X1528" i="3" a="1"/>
  <c r="X1528" i="3" s="1"/>
  <c r="W1528" i="3" a="1"/>
  <c r="W1528" i="3" s="1"/>
  <c r="V1528" i="3" a="1"/>
  <c r="V1528" i="3" s="1"/>
  <c r="Y1527" i="3" a="1"/>
  <c r="Y1527" i="3" s="1"/>
  <c r="X1527" i="3" a="1"/>
  <c r="X1527" i="3" s="1"/>
  <c r="W1527" i="3" a="1"/>
  <c r="W1527" i="3" s="1"/>
  <c r="V1527" i="3" a="1"/>
  <c r="V1527" i="3" s="1"/>
  <c r="Y1526" i="3" a="1"/>
  <c r="Y1526" i="3" s="1"/>
  <c r="X1526" i="3" a="1"/>
  <c r="X1526" i="3" s="1"/>
  <c r="W1526" i="3" a="1"/>
  <c r="W1526" i="3" s="1"/>
  <c r="V1526" i="3" a="1"/>
  <c r="V1526" i="3" s="1"/>
  <c r="Y1525" i="3" a="1"/>
  <c r="Y1525" i="3" s="1"/>
  <c r="X1525" i="3" a="1"/>
  <c r="X1525" i="3" s="1"/>
  <c r="W1525" i="3" a="1"/>
  <c r="W1525" i="3" s="1"/>
  <c r="V1525" i="3" a="1"/>
  <c r="V1525" i="3" s="1"/>
  <c r="Y1524" i="3" a="1"/>
  <c r="Y1524" i="3" s="1"/>
  <c r="X1524" i="3" a="1"/>
  <c r="X1524" i="3" s="1"/>
  <c r="W1524" i="3" a="1"/>
  <c r="W1524" i="3" s="1"/>
  <c r="V1524" i="3" a="1"/>
  <c r="V1524" i="3" s="1"/>
  <c r="Y1523" i="3" a="1"/>
  <c r="Y1523" i="3" s="1"/>
  <c r="X1523" i="3" a="1"/>
  <c r="X1523" i="3" s="1"/>
  <c r="W1523" i="3" a="1"/>
  <c r="W1523" i="3" s="1"/>
  <c r="V1523" i="3" a="1"/>
  <c r="V1523" i="3" s="1"/>
  <c r="Y1522" i="3" a="1"/>
  <c r="Y1522" i="3" s="1"/>
  <c r="X1522" i="3" a="1"/>
  <c r="X1522" i="3" s="1"/>
  <c r="W1522" i="3" a="1"/>
  <c r="W1522" i="3" s="1"/>
  <c r="V1522" i="3" a="1"/>
  <c r="V1522" i="3" s="1"/>
  <c r="Y1521" i="3" a="1"/>
  <c r="Y1521" i="3" s="1"/>
  <c r="X1521" i="3" a="1"/>
  <c r="X1521" i="3" s="1"/>
  <c r="W1521" i="3" a="1"/>
  <c r="W1521" i="3" s="1"/>
  <c r="V1521" i="3" a="1"/>
  <c r="V1521" i="3" s="1"/>
  <c r="Y1520" i="3" a="1"/>
  <c r="Y1520" i="3" s="1"/>
  <c r="X1520" i="3" a="1"/>
  <c r="X1520" i="3" s="1"/>
  <c r="W1520" i="3" a="1"/>
  <c r="W1520" i="3" s="1"/>
  <c r="V1520" i="3" a="1"/>
  <c r="V1520" i="3" s="1"/>
  <c r="Y1519" i="3" a="1"/>
  <c r="Y1519" i="3" s="1"/>
  <c r="X1519" i="3" a="1"/>
  <c r="X1519" i="3" s="1"/>
  <c r="W1519" i="3" a="1"/>
  <c r="W1519" i="3" s="1"/>
  <c r="V1519" i="3" a="1"/>
  <c r="V1519" i="3" s="1"/>
  <c r="Y1518" i="3" a="1"/>
  <c r="Y1518" i="3" s="1"/>
  <c r="X1518" i="3" a="1"/>
  <c r="X1518" i="3" s="1"/>
  <c r="W1518" i="3" a="1"/>
  <c r="W1518" i="3" s="1"/>
  <c r="V1518" i="3" a="1"/>
  <c r="V1518" i="3" s="1"/>
  <c r="Y1517" i="3" a="1"/>
  <c r="Y1517" i="3" s="1"/>
  <c r="X1517" i="3" a="1"/>
  <c r="X1517" i="3" s="1"/>
  <c r="W1517" i="3" a="1"/>
  <c r="W1517" i="3" s="1"/>
  <c r="V1517" i="3" a="1"/>
  <c r="V1517" i="3" s="1"/>
  <c r="Y1516" i="3" a="1"/>
  <c r="Y1516" i="3" s="1"/>
  <c r="X1516" i="3" a="1"/>
  <c r="X1516" i="3" s="1"/>
  <c r="W1516" i="3" a="1"/>
  <c r="W1516" i="3" s="1"/>
  <c r="V1516" i="3" a="1"/>
  <c r="V1516" i="3" s="1"/>
  <c r="Y1515" i="3" a="1"/>
  <c r="Y1515" i="3" s="1"/>
  <c r="X1515" i="3" a="1"/>
  <c r="X1515" i="3" s="1"/>
  <c r="W1515" i="3" a="1"/>
  <c r="W1515" i="3" s="1"/>
  <c r="V1515" i="3" a="1"/>
  <c r="V1515" i="3" s="1"/>
  <c r="Y1514" i="3" a="1"/>
  <c r="Y1514" i="3" s="1"/>
  <c r="X1514" i="3" a="1"/>
  <c r="X1514" i="3" s="1"/>
  <c r="W1514" i="3" a="1"/>
  <c r="W1514" i="3" s="1"/>
  <c r="V1514" i="3" a="1"/>
  <c r="V1514" i="3" s="1"/>
  <c r="Y1513" i="3" a="1"/>
  <c r="Y1513" i="3" s="1"/>
  <c r="X1513" i="3" a="1"/>
  <c r="X1513" i="3" s="1"/>
  <c r="W1513" i="3" a="1"/>
  <c r="W1513" i="3" s="1"/>
  <c r="V1513" i="3" a="1"/>
  <c r="V1513" i="3" s="1"/>
  <c r="Y1512" i="3" a="1"/>
  <c r="Y1512" i="3" s="1"/>
  <c r="X1512" i="3" a="1"/>
  <c r="X1512" i="3" s="1"/>
  <c r="W1512" i="3" a="1"/>
  <c r="W1512" i="3" s="1"/>
  <c r="V1512" i="3" a="1"/>
  <c r="V1512" i="3" s="1"/>
  <c r="Y1511" i="3" a="1"/>
  <c r="Y1511" i="3" s="1"/>
  <c r="X1511" i="3" a="1"/>
  <c r="X1511" i="3" s="1"/>
  <c r="W1511" i="3" a="1"/>
  <c r="W1511" i="3" s="1"/>
  <c r="V1511" i="3" a="1"/>
  <c r="V1511" i="3" s="1"/>
  <c r="Y1510" i="3" a="1"/>
  <c r="Y1510" i="3" s="1"/>
  <c r="X1510" i="3" a="1"/>
  <c r="X1510" i="3" s="1"/>
  <c r="W1510" i="3" a="1"/>
  <c r="W1510" i="3" s="1"/>
  <c r="V1510" i="3" a="1"/>
  <c r="V1510" i="3" s="1"/>
  <c r="Y1509" i="3" a="1"/>
  <c r="Y1509" i="3" s="1"/>
  <c r="X1509" i="3" a="1"/>
  <c r="X1509" i="3" s="1"/>
  <c r="W1509" i="3" a="1"/>
  <c r="W1509" i="3" s="1"/>
  <c r="V1509" i="3" a="1"/>
  <c r="V1509" i="3" s="1"/>
  <c r="Y1508" i="3" a="1"/>
  <c r="Y1508" i="3" s="1"/>
  <c r="X1508" i="3" a="1"/>
  <c r="X1508" i="3" s="1"/>
  <c r="W1508" i="3" a="1"/>
  <c r="W1508" i="3" s="1"/>
  <c r="V1508" i="3" a="1"/>
  <c r="V1508" i="3" s="1"/>
  <c r="Y1507" i="3" a="1"/>
  <c r="Y1507" i="3" s="1"/>
  <c r="X1507" i="3" a="1"/>
  <c r="X1507" i="3" s="1"/>
  <c r="W1507" i="3" a="1"/>
  <c r="W1507" i="3" s="1"/>
  <c r="V1507" i="3" a="1"/>
  <c r="V1507" i="3" s="1"/>
  <c r="Y1506" i="3" a="1"/>
  <c r="Y1506" i="3" s="1"/>
  <c r="X1506" i="3" a="1"/>
  <c r="X1506" i="3" s="1"/>
  <c r="W1506" i="3" a="1"/>
  <c r="W1506" i="3" s="1"/>
  <c r="V1506" i="3" a="1"/>
  <c r="V1506" i="3" s="1"/>
  <c r="Y1505" i="3" a="1"/>
  <c r="Y1505" i="3" s="1"/>
  <c r="X1505" i="3" a="1"/>
  <c r="X1505" i="3" s="1"/>
  <c r="W1505" i="3" a="1"/>
  <c r="W1505" i="3" s="1"/>
  <c r="V1505" i="3" a="1"/>
  <c r="V1505" i="3" s="1"/>
  <c r="Y1504" i="3" a="1"/>
  <c r="Y1504" i="3" s="1"/>
  <c r="X1504" i="3" a="1"/>
  <c r="X1504" i="3" s="1"/>
  <c r="W1504" i="3" a="1"/>
  <c r="W1504" i="3" s="1"/>
  <c r="V1504" i="3" a="1"/>
  <c r="V1504" i="3" s="1"/>
  <c r="Y1503" i="3" a="1"/>
  <c r="Y1503" i="3" s="1"/>
  <c r="X1503" i="3" a="1"/>
  <c r="X1503" i="3" s="1"/>
  <c r="W1503" i="3" a="1"/>
  <c r="W1503" i="3" s="1"/>
  <c r="V1503" i="3" a="1"/>
  <c r="V1503" i="3" s="1"/>
  <c r="Y1502" i="3" a="1"/>
  <c r="Y1502" i="3" s="1"/>
  <c r="X1502" i="3" a="1"/>
  <c r="X1502" i="3" s="1"/>
  <c r="W1502" i="3" a="1"/>
  <c r="W1502" i="3" s="1"/>
  <c r="V1502" i="3" a="1"/>
  <c r="V1502" i="3" s="1"/>
  <c r="Y1501" i="3" a="1"/>
  <c r="Y1501" i="3" s="1"/>
  <c r="X1501" i="3" a="1"/>
  <c r="X1501" i="3" s="1"/>
  <c r="W1501" i="3" a="1"/>
  <c r="W1501" i="3" s="1"/>
  <c r="V1501" i="3" a="1"/>
  <c r="V1501" i="3" s="1"/>
  <c r="Y1500" i="3" a="1"/>
  <c r="Y1500" i="3" s="1"/>
  <c r="X1500" i="3" a="1"/>
  <c r="X1500" i="3" s="1"/>
  <c r="W1500" i="3" a="1"/>
  <c r="W1500" i="3" s="1"/>
  <c r="V1500" i="3" a="1"/>
  <c r="V1500" i="3" s="1"/>
  <c r="Y1499" i="3" a="1"/>
  <c r="Y1499" i="3" s="1"/>
  <c r="X1499" i="3" a="1"/>
  <c r="X1499" i="3" s="1"/>
  <c r="W1499" i="3" a="1"/>
  <c r="W1499" i="3" s="1"/>
  <c r="V1499" i="3" a="1"/>
  <c r="V1499" i="3" s="1"/>
  <c r="Y1498" i="3" a="1"/>
  <c r="Y1498" i="3" s="1"/>
  <c r="X1498" i="3" a="1"/>
  <c r="X1498" i="3" s="1"/>
  <c r="W1498" i="3" a="1"/>
  <c r="W1498" i="3" s="1"/>
  <c r="V1498" i="3" a="1"/>
  <c r="V1498" i="3" s="1"/>
  <c r="Y1497" i="3" a="1"/>
  <c r="Y1497" i="3" s="1"/>
  <c r="X1497" i="3" a="1"/>
  <c r="X1497" i="3" s="1"/>
  <c r="W1497" i="3" a="1"/>
  <c r="W1497" i="3" s="1"/>
  <c r="V1497" i="3" a="1"/>
  <c r="V1497" i="3" s="1"/>
  <c r="Y1496" i="3" a="1"/>
  <c r="Y1496" i="3" s="1"/>
  <c r="X1496" i="3" a="1"/>
  <c r="X1496" i="3" s="1"/>
  <c r="W1496" i="3" a="1"/>
  <c r="W1496" i="3" s="1"/>
  <c r="V1496" i="3" a="1"/>
  <c r="V1496" i="3" s="1"/>
  <c r="Y1495" i="3" a="1"/>
  <c r="Y1495" i="3" s="1"/>
  <c r="X1495" i="3" a="1"/>
  <c r="X1495" i="3" s="1"/>
  <c r="W1495" i="3" a="1"/>
  <c r="W1495" i="3" s="1"/>
  <c r="V1495" i="3" a="1"/>
  <c r="V1495" i="3" s="1"/>
  <c r="Y1494" i="3" a="1"/>
  <c r="Y1494" i="3" s="1"/>
  <c r="X1494" i="3" a="1"/>
  <c r="X1494" i="3" s="1"/>
  <c r="W1494" i="3" a="1"/>
  <c r="W1494" i="3" s="1"/>
  <c r="V1494" i="3" a="1"/>
  <c r="V1494" i="3" s="1"/>
  <c r="Y1493" i="3" a="1"/>
  <c r="Y1493" i="3" s="1"/>
  <c r="X1493" i="3" a="1"/>
  <c r="X1493" i="3" s="1"/>
  <c r="W1493" i="3" a="1"/>
  <c r="W1493" i="3" s="1"/>
  <c r="V1493" i="3" a="1"/>
  <c r="V1493" i="3" s="1"/>
  <c r="Y1492" i="3" a="1"/>
  <c r="Y1492" i="3" s="1"/>
  <c r="X1492" i="3" a="1"/>
  <c r="X1492" i="3" s="1"/>
  <c r="W1492" i="3" a="1"/>
  <c r="W1492" i="3" s="1"/>
  <c r="V1492" i="3" a="1"/>
  <c r="V1492" i="3" s="1"/>
  <c r="Y1491" i="3" a="1"/>
  <c r="Y1491" i="3" s="1"/>
  <c r="X1491" i="3" a="1"/>
  <c r="X1491" i="3" s="1"/>
  <c r="W1491" i="3" a="1"/>
  <c r="W1491" i="3" s="1"/>
  <c r="V1491" i="3" a="1"/>
  <c r="V1491" i="3" s="1"/>
  <c r="Y1490" i="3" a="1"/>
  <c r="Y1490" i="3" s="1"/>
  <c r="X1490" i="3" a="1"/>
  <c r="X1490" i="3" s="1"/>
  <c r="W1490" i="3" a="1"/>
  <c r="W1490" i="3" s="1"/>
  <c r="V1490" i="3" a="1"/>
  <c r="V1490" i="3" s="1"/>
  <c r="Y1489" i="3" a="1"/>
  <c r="Y1489" i="3" s="1"/>
  <c r="X1489" i="3" a="1"/>
  <c r="X1489" i="3" s="1"/>
  <c r="W1489" i="3" a="1"/>
  <c r="W1489" i="3" s="1"/>
  <c r="V1489" i="3" a="1"/>
  <c r="V1489" i="3" s="1"/>
  <c r="Y1488" i="3" a="1"/>
  <c r="Y1488" i="3" s="1"/>
  <c r="X1488" i="3" a="1"/>
  <c r="X1488" i="3" s="1"/>
  <c r="W1488" i="3" a="1"/>
  <c r="W1488" i="3" s="1"/>
  <c r="V1488" i="3" a="1"/>
  <c r="V1488" i="3" s="1"/>
  <c r="Y1487" i="3" a="1"/>
  <c r="Y1487" i="3" s="1"/>
  <c r="X1487" i="3" a="1"/>
  <c r="X1487" i="3" s="1"/>
  <c r="W1487" i="3" a="1"/>
  <c r="W1487" i="3" s="1"/>
  <c r="V1487" i="3" a="1"/>
  <c r="V1487" i="3" s="1"/>
  <c r="Y1486" i="3" a="1"/>
  <c r="Y1486" i="3" s="1"/>
  <c r="X1486" i="3" a="1"/>
  <c r="X1486" i="3" s="1"/>
  <c r="W1486" i="3" a="1"/>
  <c r="W1486" i="3" s="1"/>
  <c r="V1486" i="3" a="1"/>
  <c r="V1486" i="3" s="1"/>
  <c r="Y1485" i="3" a="1"/>
  <c r="Y1485" i="3" s="1"/>
  <c r="X1485" i="3" a="1"/>
  <c r="X1485" i="3" s="1"/>
  <c r="W1485" i="3" a="1"/>
  <c r="W1485" i="3" s="1"/>
  <c r="V1485" i="3" a="1"/>
  <c r="V1485" i="3" s="1"/>
  <c r="Y1484" i="3" a="1"/>
  <c r="Y1484" i="3" s="1"/>
  <c r="X1484" i="3" a="1"/>
  <c r="X1484" i="3" s="1"/>
  <c r="W1484" i="3" a="1"/>
  <c r="W1484" i="3" s="1"/>
  <c r="V1484" i="3" a="1"/>
  <c r="V1484" i="3" s="1"/>
  <c r="Y1483" i="3" a="1"/>
  <c r="Y1483" i="3" s="1"/>
  <c r="X1483" i="3" a="1"/>
  <c r="X1483" i="3" s="1"/>
  <c r="W1483" i="3" a="1"/>
  <c r="W1483" i="3" s="1"/>
  <c r="V1483" i="3" a="1"/>
  <c r="V1483" i="3" s="1"/>
  <c r="Y1482" i="3" a="1"/>
  <c r="Y1482" i="3" s="1"/>
  <c r="X1482" i="3" a="1"/>
  <c r="X1482" i="3" s="1"/>
  <c r="W1482" i="3" a="1"/>
  <c r="W1482" i="3" s="1"/>
  <c r="V1482" i="3" a="1"/>
  <c r="V1482" i="3" s="1"/>
  <c r="Y1481" i="3" a="1"/>
  <c r="Y1481" i="3" s="1"/>
  <c r="X1481" i="3" a="1"/>
  <c r="X1481" i="3" s="1"/>
  <c r="W1481" i="3" a="1"/>
  <c r="W1481" i="3" s="1"/>
  <c r="V1481" i="3" a="1"/>
  <c r="V1481" i="3" s="1"/>
  <c r="Y1480" i="3" a="1"/>
  <c r="Y1480" i="3" s="1"/>
  <c r="X1480" i="3" a="1"/>
  <c r="X1480" i="3" s="1"/>
  <c r="W1480" i="3" a="1"/>
  <c r="W1480" i="3" s="1"/>
  <c r="V1480" i="3" a="1"/>
  <c r="V1480" i="3" s="1"/>
  <c r="Y1479" i="3" a="1"/>
  <c r="Y1479" i="3" s="1"/>
  <c r="X1479" i="3" a="1"/>
  <c r="X1479" i="3" s="1"/>
  <c r="W1479" i="3" a="1"/>
  <c r="W1479" i="3" s="1"/>
  <c r="V1479" i="3" a="1"/>
  <c r="V1479" i="3" s="1"/>
  <c r="Y1478" i="3" a="1"/>
  <c r="Y1478" i="3" s="1"/>
  <c r="X1478" i="3" a="1"/>
  <c r="X1478" i="3" s="1"/>
  <c r="W1478" i="3" a="1"/>
  <c r="W1478" i="3" s="1"/>
  <c r="V1478" i="3" a="1"/>
  <c r="V1478" i="3" s="1"/>
  <c r="Y1477" i="3" a="1"/>
  <c r="Y1477" i="3" s="1"/>
  <c r="X1477" i="3" a="1"/>
  <c r="X1477" i="3" s="1"/>
  <c r="W1477" i="3" a="1"/>
  <c r="W1477" i="3" s="1"/>
  <c r="V1477" i="3" a="1"/>
  <c r="V1477" i="3" s="1"/>
  <c r="Y1476" i="3" a="1"/>
  <c r="Y1476" i="3" s="1"/>
  <c r="X1476" i="3" a="1"/>
  <c r="X1476" i="3" s="1"/>
  <c r="W1476" i="3" a="1"/>
  <c r="W1476" i="3" s="1"/>
  <c r="V1476" i="3" a="1"/>
  <c r="V1476" i="3" s="1"/>
  <c r="Y1475" i="3" a="1"/>
  <c r="Y1475" i="3" s="1"/>
  <c r="X1475" i="3" a="1"/>
  <c r="X1475" i="3" s="1"/>
  <c r="W1475" i="3" a="1"/>
  <c r="W1475" i="3" s="1"/>
  <c r="V1475" i="3" a="1"/>
  <c r="V1475" i="3" s="1"/>
  <c r="Y1474" i="3" a="1"/>
  <c r="Y1474" i="3" s="1"/>
  <c r="X1474" i="3" a="1"/>
  <c r="X1474" i="3" s="1"/>
  <c r="W1474" i="3" a="1"/>
  <c r="W1474" i="3" s="1"/>
  <c r="V1474" i="3" a="1"/>
  <c r="V1474" i="3" s="1"/>
  <c r="Y1473" i="3" a="1"/>
  <c r="Y1473" i="3" s="1"/>
  <c r="X1473" i="3" a="1"/>
  <c r="X1473" i="3" s="1"/>
  <c r="W1473" i="3" a="1"/>
  <c r="W1473" i="3" s="1"/>
  <c r="V1473" i="3" a="1"/>
  <c r="V1473" i="3" s="1"/>
  <c r="Y1472" i="3" a="1"/>
  <c r="Y1472" i="3" s="1"/>
  <c r="X1472" i="3" a="1"/>
  <c r="X1472" i="3" s="1"/>
  <c r="W1472" i="3" a="1"/>
  <c r="W1472" i="3" s="1"/>
  <c r="V1472" i="3" a="1"/>
  <c r="V1472" i="3" s="1"/>
  <c r="Y1471" i="3" a="1"/>
  <c r="Y1471" i="3" s="1"/>
  <c r="X1471" i="3" a="1"/>
  <c r="X1471" i="3" s="1"/>
  <c r="W1471" i="3" a="1"/>
  <c r="W1471" i="3" s="1"/>
  <c r="V1471" i="3" a="1"/>
  <c r="V1471" i="3" s="1"/>
  <c r="Y1470" i="3" a="1"/>
  <c r="Y1470" i="3" s="1"/>
  <c r="X1470" i="3" a="1"/>
  <c r="X1470" i="3" s="1"/>
  <c r="W1470" i="3" a="1"/>
  <c r="W1470" i="3" s="1"/>
  <c r="V1470" i="3" a="1"/>
  <c r="V1470" i="3" s="1"/>
  <c r="Y1469" i="3" a="1"/>
  <c r="Y1469" i="3" s="1"/>
  <c r="X1469" i="3" a="1"/>
  <c r="X1469" i="3" s="1"/>
  <c r="W1469" i="3" a="1"/>
  <c r="W1469" i="3" s="1"/>
  <c r="V1469" i="3" a="1"/>
  <c r="V1469" i="3" s="1"/>
  <c r="Y1468" i="3" a="1"/>
  <c r="Y1468" i="3" s="1"/>
  <c r="X1468" i="3" a="1"/>
  <c r="X1468" i="3" s="1"/>
  <c r="W1468" i="3" a="1"/>
  <c r="W1468" i="3" s="1"/>
  <c r="V1468" i="3" a="1"/>
  <c r="V1468" i="3" s="1"/>
  <c r="Y1467" i="3" a="1"/>
  <c r="Y1467" i="3" s="1"/>
  <c r="X1467" i="3" a="1"/>
  <c r="X1467" i="3" s="1"/>
  <c r="W1467" i="3" a="1"/>
  <c r="W1467" i="3" s="1"/>
  <c r="V1467" i="3" a="1"/>
  <c r="V1467" i="3" s="1"/>
  <c r="Y1466" i="3" a="1"/>
  <c r="Y1466" i="3" s="1"/>
  <c r="X1466" i="3" a="1"/>
  <c r="X1466" i="3" s="1"/>
  <c r="W1466" i="3" a="1"/>
  <c r="W1466" i="3" s="1"/>
  <c r="V1466" i="3" a="1"/>
  <c r="V1466" i="3" s="1"/>
  <c r="Y1465" i="3" a="1"/>
  <c r="Y1465" i="3" s="1"/>
  <c r="X1465" i="3" a="1"/>
  <c r="X1465" i="3" s="1"/>
  <c r="W1465" i="3" a="1"/>
  <c r="W1465" i="3" s="1"/>
  <c r="V1465" i="3" a="1"/>
  <c r="V1465" i="3" s="1"/>
  <c r="Y1464" i="3" a="1"/>
  <c r="Y1464" i="3" s="1"/>
  <c r="X1464" i="3" a="1"/>
  <c r="X1464" i="3" s="1"/>
  <c r="W1464" i="3" a="1"/>
  <c r="W1464" i="3" s="1"/>
  <c r="V1464" i="3" a="1"/>
  <c r="V1464" i="3" s="1"/>
  <c r="Y1463" i="3" a="1"/>
  <c r="Y1463" i="3" s="1"/>
  <c r="X1463" i="3" a="1"/>
  <c r="X1463" i="3" s="1"/>
  <c r="W1463" i="3" a="1"/>
  <c r="W1463" i="3" s="1"/>
  <c r="V1463" i="3" a="1"/>
  <c r="V1463" i="3" s="1"/>
  <c r="Y1462" i="3" a="1"/>
  <c r="Y1462" i="3" s="1"/>
  <c r="X1462" i="3" a="1"/>
  <c r="X1462" i="3" s="1"/>
  <c r="W1462" i="3" a="1"/>
  <c r="W1462" i="3" s="1"/>
  <c r="V1462" i="3" a="1"/>
  <c r="V1462" i="3" s="1"/>
  <c r="Y1461" i="3" a="1"/>
  <c r="Y1461" i="3" s="1"/>
  <c r="X1461" i="3" a="1"/>
  <c r="X1461" i="3" s="1"/>
  <c r="W1461" i="3" a="1"/>
  <c r="W1461" i="3" s="1"/>
  <c r="V1461" i="3" a="1"/>
  <c r="V1461" i="3" s="1"/>
  <c r="Y1460" i="3" a="1"/>
  <c r="Y1460" i="3" s="1"/>
  <c r="X1460" i="3" a="1"/>
  <c r="X1460" i="3" s="1"/>
  <c r="W1460" i="3" a="1"/>
  <c r="W1460" i="3" s="1"/>
  <c r="V1460" i="3" a="1"/>
  <c r="V1460" i="3" s="1"/>
  <c r="Y1459" i="3" a="1"/>
  <c r="Y1459" i="3" s="1"/>
  <c r="X1459" i="3" a="1"/>
  <c r="X1459" i="3" s="1"/>
  <c r="W1459" i="3" a="1"/>
  <c r="W1459" i="3" s="1"/>
  <c r="V1459" i="3" a="1"/>
  <c r="V1459" i="3" s="1"/>
  <c r="Y1458" i="3" a="1"/>
  <c r="Y1458" i="3" s="1"/>
  <c r="X1458" i="3" a="1"/>
  <c r="X1458" i="3" s="1"/>
  <c r="W1458" i="3" a="1"/>
  <c r="W1458" i="3" s="1"/>
  <c r="V1458" i="3" a="1"/>
  <c r="V1458" i="3" s="1"/>
  <c r="Y1457" i="3" a="1"/>
  <c r="Y1457" i="3" s="1"/>
  <c r="X1457" i="3" a="1"/>
  <c r="X1457" i="3" s="1"/>
  <c r="W1457" i="3" a="1"/>
  <c r="W1457" i="3" s="1"/>
  <c r="V1457" i="3" a="1"/>
  <c r="V1457" i="3" s="1"/>
  <c r="Y1456" i="3" a="1"/>
  <c r="Y1456" i="3" s="1"/>
  <c r="X1456" i="3" a="1"/>
  <c r="X1456" i="3" s="1"/>
  <c r="W1456" i="3" a="1"/>
  <c r="W1456" i="3" s="1"/>
  <c r="V1456" i="3" a="1"/>
  <c r="V1456" i="3" s="1"/>
  <c r="Y1455" i="3" a="1"/>
  <c r="Y1455" i="3" s="1"/>
  <c r="X1455" i="3" a="1"/>
  <c r="X1455" i="3" s="1"/>
  <c r="W1455" i="3" a="1"/>
  <c r="W1455" i="3" s="1"/>
  <c r="V1455" i="3" a="1"/>
  <c r="V1455" i="3" s="1"/>
  <c r="Y1454" i="3" a="1"/>
  <c r="Y1454" i="3" s="1"/>
  <c r="X1454" i="3" a="1"/>
  <c r="X1454" i="3" s="1"/>
  <c r="W1454" i="3" a="1"/>
  <c r="W1454" i="3" s="1"/>
  <c r="V1454" i="3" a="1"/>
  <c r="V1454" i="3" s="1"/>
  <c r="Y1453" i="3" a="1"/>
  <c r="Y1453" i="3" s="1"/>
  <c r="X1453" i="3" a="1"/>
  <c r="X1453" i="3" s="1"/>
  <c r="W1453" i="3" a="1"/>
  <c r="W1453" i="3" s="1"/>
  <c r="V1453" i="3" a="1"/>
  <c r="V1453" i="3" s="1"/>
  <c r="Y1452" i="3" a="1"/>
  <c r="Y1452" i="3" s="1"/>
  <c r="X1452" i="3" a="1"/>
  <c r="X1452" i="3" s="1"/>
  <c r="W1452" i="3" a="1"/>
  <c r="W1452" i="3" s="1"/>
  <c r="V1452" i="3" a="1"/>
  <c r="V1452" i="3" s="1"/>
  <c r="Y1451" i="3" a="1"/>
  <c r="Y1451" i="3" s="1"/>
  <c r="X1451" i="3" a="1"/>
  <c r="X1451" i="3" s="1"/>
  <c r="W1451" i="3" a="1"/>
  <c r="W1451" i="3" s="1"/>
  <c r="V1451" i="3" a="1"/>
  <c r="V1451" i="3" s="1"/>
  <c r="Y1450" i="3" a="1"/>
  <c r="Y1450" i="3" s="1"/>
  <c r="X1450" i="3" a="1"/>
  <c r="X1450" i="3" s="1"/>
  <c r="W1450" i="3" a="1"/>
  <c r="W1450" i="3" s="1"/>
  <c r="V1450" i="3" a="1"/>
  <c r="V1450" i="3" s="1"/>
  <c r="Y1449" i="3" a="1"/>
  <c r="Y1449" i="3" s="1"/>
  <c r="X1449" i="3" a="1"/>
  <c r="X1449" i="3" s="1"/>
  <c r="W1449" i="3" a="1"/>
  <c r="W1449" i="3" s="1"/>
  <c r="V1449" i="3" a="1"/>
  <c r="V1449" i="3" s="1"/>
  <c r="Y1448" i="3" a="1"/>
  <c r="Y1448" i="3" s="1"/>
  <c r="X1448" i="3" a="1"/>
  <c r="X1448" i="3" s="1"/>
  <c r="W1448" i="3" a="1"/>
  <c r="W1448" i="3" s="1"/>
  <c r="V1448" i="3" a="1"/>
  <c r="V1448" i="3" s="1"/>
  <c r="Y1447" i="3" a="1"/>
  <c r="Y1447" i="3" s="1"/>
  <c r="X1447" i="3" a="1"/>
  <c r="X1447" i="3" s="1"/>
  <c r="W1447" i="3" a="1"/>
  <c r="W1447" i="3" s="1"/>
  <c r="V1447" i="3" a="1"/>
  <c r="V1447" i="3" s="1"/>
  <c r="Y1446" i="3" a="1"/>
  <c r="Y1446" i="3" s="1"/>
  <c r="X1446" i="3" a="1"/>
  <c r="X1446" i="3" s="1"/>
  <c r="W1446" i="3" a="1"/>
  <c r="W1446" i="3" s="1"/>
  <c r="V1446" i="3" a="1"/>
  <c r="V1446" i="3" s="1"/>
  <c r="Y1445" i="3" a="1"/>
  <c r="Y1445" i="3" s="1"/>
  <c r="X1445" i="3" a="1"/>
  <c r="X1445" i="3" s="1"/>
  <c r="W1445" i="3" a="1"/>
  <c r="W1445" i="3" s="1"/>
  <c r="V1445" i="3" a="1"/>
  <c r="V1445" i="3" s="1"/>
  <c r="Y1444" i="3" a="1"/>
  <c r="Y1444" i="3" s="1"/>
  <c r="X1444" i="3" a="1"/>
  <c r="X1444" i="3" s="1"/>
  <c r="W1444" i="3" a="1"/>
  <c r="W1444" i="3" s="1"/>
  <c r="V1444" i="3" a="1"/>
  <c r="V1444" i="3" s="1"/>
  <c r="Y1443" i="3" a="1"/>
  <c r="Y1443" i="3" s="1"/>
  <c r="X1443" i="3" a="1"/>
  <c r="X1443" i="3" s="1"/>
  <c r="W1443" i="3" a="1"/>
  <c r="W1443" i="3" s="1"/>
  <c r="V1443" i="3" a="1"/>
  <c r="V1443" i="3" s="1"/>
  <c r="Y1442" i="3" a="1"/>
  <c r="Y1442" i="3" s="1"/>
  <c r="X1442" i="3" a="1"/>
  <c r="X1442" i="3" s="1"/>
  <c r="W1442" i="3" a="1"/>
  <c r="W1442" i="3" s="1"/>
  <c r="V1442" i="3" a="1"/>
  <c r="V1442" i="3" s="1"/>
  <c r="Y1441" i="3" a="1"/>
  <c r="Y1441" i="3" s="1"/>
  <c r="X1441" i="3" a="1"/>
  <c r="X1441" i="3" s="1"/>
  <c r="W1441" i="3" a="1"/>
  <c r="W1441" i="3" s="1"/>
  <c r="V1441" i="3" a="1"/>
  <c r="V1441" i="3" s="1"/>
  <c r="Y1440" i="3" a="1"/>
  <c r="Y1440" i="3" s="1"/>
  <c r="X1440" i="3" a="1"/>
  <c r="X1440" i="3" s="1"/>
  <c r="W1440" i="3" a="1"/>
  <c r="W1440" i="3" s="1"/>
  <c r="V1440" i="3" a="1"/>
  <c r="V1440" i="3" s="1"/>
  <c r="Y1439" i="3" a="1"/>
  <c r="Y1439" i="3" s="1"/>
  <c r="X1439" i="3" a="1"/>
  <c r="X1439" i="3" s="1"/>
  <c r="W1439" i="3" a="1"/>
  <c r="W1439" i="3" s="1"/>
  <c r="V1439" i="3" a="1"/>
  <c r="V1439" i="3" s="1"/>
  <c r="Y1438" i="3" a="1"/>
  <c r="Y1438" i="3" s="1"/>
  <c r="X1438" i="3" a="1"/>
  <c r="X1438" i="3" s="1"/>
  <c r="W1438" i="3" a="1"/>
  <c r="W1438" i="3" s="1"/>
  <c r="V1438" i="3" a="1"/>
  <c r="V1438" i="3" s="1"/>
  <c r="Y1437" i="3" a="1"/>
  <c r="Y1437" i="3" s="1"/>
  <c r="X1437" i="3" a="1"/>
  <c r="X1437" i="3" s="1"/>
  <c r="W1437" i="3" a="1"/>
  <c r="W1437" i="3" s="1"/>
  <c r="V1437" i="3" a="1"/>
  <c r="V1437" i="3" s="1"/>
  <c r="Y1436" i="3" a="1"/>
  <c r="Y1436" i="3" s="1"/>
  <c r="X1436" i="3" a="1"/>
  <c r="X1436" i="3" s="1"/>
  <c r="W1436" i="3" a="1"/>
  <c r="W1436" i="3" s="1"/>
  <c r="V1436" i="3" a="1"/>
  <c r="V1436" i="3" s="1"/>
  <c r="Y1435" i="3" a="1"/>
  <c r="Y1435" i="3" s="1"/>
  <c r="X1435" i="3" a="1"/>
  <c r="X1435" i="3" s="1"/>
  <c r="W1435" i="3" a="1"/>
  <c r="W1435" i="3" s="1"/>
  <c r="V1435" i="3" a="1"/>
  <c r="V1435" i="3" s="1"/>
  <c r="Y1434" i="3" a="1"/>
  <c r="Y1434" i="3" s="1"/>
  <c r="X1434" i="3" a="1"/>
  <c r="X1434" i="3" s="1"/>
  <c r="W1434" i="3" a="1"/>
  <c r="W1434" i="3" s="1"/>
  <c r="V1434" i="3" a="1"/>
  <c r="V1434" i="3" s="1"/>
  <c r="Y1433" i="3" a="1"/>
  <c r="Y1433" i="3" s="1"/>
  <c r="X1433" i="3" a="1"/>
  <c r="X1433" i="3" s="1"/>
  <c r="W1433" i="3" a="1"/>
  <c r="W1433" i="3" s="1"/>
  <c r="V1433" i="3" a="1"/>
  <c r="V1433" i="3" s="1"/>
  <c r="Y1432" i="3" a="1"/>
  <c r="Y1432" i="3" s="1"/>
  <c r="X1432" i="3" a="1"/>
  <c r="X1432" i="3" s="1"/>
  <c r="W1432" i="3" a="1"/>
  <c r="W1432" i="3" s="1"/>
  <c r="V1432" i="3" a="1"/>
  <c r="V1432" i="3" s="1"/>
  <c r="Y1431" i="3" a="1"/>
  <c r="Y1431" i="3" s="1"/>
  <c r="X1431" i="3" a="1"/>
  <c r="X1431" i="3" s="1"/>
  <c r="W1431" i="3" a="1"/>
  <c r="W1431" i="3" s="1"/>
  <c r="V1431" i="3" a="1"/>
  <c r="V1431" i="3" s="1"/>
  <c r="Y1430" i="3" a="1"/>
  <c r="Y1430" i="3" s="1"/>
  <c r="X1430" i="3" a="1"/>
  <c r="X1430" i="3" s="1"/>
  <c r="W1430" i="3" a="1"/>
  <c r="W1430" i="3" s="1"/>
  <c r="V1430" i="3" a="1"/>
  <c r="V1430" i="3" s="1"/>
  <c r="Y1429" i="3" a="1"/>
  <c r="Y1429" i="3" s="1"/>
  <c r="X1429" i="3" a="1"/>
  <c r="X1429" i="3" s="1"/>
  <c r="W1429" i="3" a="1"/>
  <c r="W1429" i="3" s="1"/>
  <c r="V1429" i="3" a="1"/>
  <c r="V1429" i="3" s="1"/>
  <c r="Y1428" i="3" a="1"/>
  <c r="Y1428" i="3" s="1"/>
  <c r="X1428" i="3" a="1"/>
  <c r="X1428" i="3" s="1"/>
  <c r="W1428" i="3" a="1"/>
  <c r="W1428" i="3" s="1"/>
  <c r="V1428" i="3" a="1"/>
  <c r="V1428" i="3" s="1"/>
  <c r="Y1427" i="3" a="1"/>
  <c r="Y1427" i="3" s="1"/>
  <c r="X1427" i="3" a="1"/>
  <c r="X1427" i="3" s="1"/>
  <c r="W1427" i="3" a="1"/>
  <c r="W1427" i="3" s="1"/>
  <c r="V1427" i="3" a="1"/>
  <c r="V1427" i="3" s="1"/>
  <c r="Y1426" i="3" a="1"/>
  <c r="Y1426" i="3" s="1"/>
  <c r="X1426" i="3" a="1"/>
  <c r="X1426" i="3" s="1"/>
  <c r="W1426" i="3" a="1"/>
  <c r="W1426" i="3" s="1"/>
  <c r="V1426" i="3" a="1"/>
  <c r="V1426" i="3" s="1"/>
  <c r="Y1425" i="3" a="1"/>
  <c r="Y1425" i="3" s="1"/>
  <c r="X1425" i="3" a="1"/>
  <c r="X1425" i="3" s="1"/>
  <c r="W1425" i="3" a="1"/>
  <c r="W1425" i="3" s="1"/>
  <c r="V1425" i="3" a="1"/>
  <c r="V1425" i="3" s="1"/>
  <c r="Y1424" i="3" a="1"/>
  <c r="Y1424" i="3" s="1"/>
  <c r="X1424" i="3" a="1"/>
  <c r="X1424" i="3" s="1"/>
  <c r="W1424" i="3" a="1"/>
  <c r="W1424" i="3" s="1"/>
  <c r="V1424" i="3" a="1"/>
  <c r="V1424" i="3" s="1"/>
  <c r="Y1423" i="3" a="1"/>
  <c r="Y1423" i="3" s="1"/>
  <c r="X1423" i="3" a="1"/>
  <c r="X1423" i="3" s="1"/>
  <c r="W1423" i="3" a="1"/>
  <c r="W1423" i="3" s="1"/>
  <c r="V1423" i="3" a="1"/>
  <c r="V1423" i="3" s="1"/>
  <c r="Y1422" i="3" a="1"/>
  <c r="Y1422" i="3" s="1"/>
  <c r="X1422" i="3" a="1"/>
  <c r="X1422" i="3" s="1"/>
  <c r="W1422" i="3" a="1"/>
  <c r="W1422" i="3" s="1"/>
  <c r="V1422" i="3" a="1"/>
  <c r="V1422" i="3" s="1"/>
  <c r="Y1421" i="3" a="1"/>
  <c r="Y1421" i="3" s="1"/>
  <c r="X1421" i="3" a="1"/>
  <c r="X1421" i="3" s="1"/>
  <c r="W1421" i="3" a="1"/>
  <c r="W1421" i="3" s="1"/>
  <c r="V1421" i="3" a="1"/>
  <c r="V1421" i="3" s="1"/>
  <c r="Y1420" i="3" a="1"/>
  <c r="Y1420" i="3" s="1"/>
  <c r="X1420" i="3" a="1"/>
  <c r="X1420" i="3" s="1"/>
  <c r="W1420" i="3" a="1"/>
  <c r="W1420" i="3" s="1"/>
  <c r="V1420" i="3" a="1"/>
  <c r="V1420" i="3" s="1"/>
  <c r="Y1419" i="3" a="1"/>
  <c r="Y1419" i="3" s="1"/>
  <c r="X1419" i="3" a="1"/>
  <c r="X1419" i="3" s="1"/>
  <c r="W1419" i="3" a="1"/>
  <c r="W1419" i="3" s="1"/>
  <c r="V1419" i="3" a="1"/>
  <c r="V1419" i="3" s="1"/>
  <c r="Y1418" i="3" a="1"/>
  <c r="Y1418" i="3" s="1"/>
  <c r="X1418" i="3" a="1"/>
  <c r="X1418" i="3" s="1"/>
  <c r="W1418" i="3" a="1"/>
  <c r="W1418" i="3" s="1"/>
  <c r="V1418" i="3" a="1"/>
  <c r="V1418" i="3" s="1"/>
  <c r="Y1417" i="3" a="1"/>
  <c r="Y1417" i="3" s="1"/>
  <c r="X1417" i="3" a="1"/>
  <c r="X1417" i="3" s="1"/>
  <c r="W1417" i="3" a="1"/>
  <c r="W1417" i="3" s="1"/>
  <c r="V1417" i="3" a="1"/>
  <c r="V1417" i="3" s="1"/>
  <c r="Y1416" i="3" a="1"/>
  <c r="Y1416" i="3" s="1"/>
  <c r="X1416" i="3" a="1"/>
  <c r="X1416" i="3" s="1"/>
  <c r="W1416" i="3" a="1"/>
  <c r="W1416" i="3" s="1"/>
  <c r="V1416" i="3" a="1"/>
  <c r="V1416" i="3" s="1"/>
  <c r="Y1415" i="3" a="1"/>
  <c r="Y1415" i="3" s="1"/>
  <c r="X1415" i="3" a="1"/>
  <c r="X1415" i="3" s="1"/>
  <c r="W1415" i="3" a="1"/>
  <c r="W1415" i="3" s="1"/>
  <c r="V1415" i="3" a="1"/>
  <c r="V1415" i="3" s="1"/>
  <c r="Y1414" i="3" a="1"/>
  <c r="Y1414" i="3" s="1"/>
  <c r="X1414" i="3" a="1"/>
  <c r="X1414" i="3" s="1"/>
  <c r="W1414" i="3" a="1"/>
  <c r="W1414" i="3" s="1"/>
  <c r="V1414" i="3" a="1"/>
  <c r="V1414" i="3" s="1"/>
  <c r="Y1413" i="3" a="1"/>
  <c r="Y1413" i="3" s="1"/>
  <c r="X1413" i="3" a="1"/>
  <c r="X1413" i="3" s="1"/>
  <c r="W1413" i="3" a="1"/>
  <c r="W1413" i="3" s="1"/>
  <c r="V1413" i="3" a="1"/>
  <c r="V1413" i="3" s="1"/>
  <c r="Y1412" i="3" a="1"/>
  <c r="Y1412" i="3" s="1"/>
  <c r="X1412" i="3" a="1"/>
  <c r="X1412" i="3" s="1"/>
  <c r="W1412" i="3" a="1"/>
  <c r="W1412" i="3" s="1"/>
  <c r="V1412" i="3" a="1"/>
  <c r="V1412" i="3" s="1"/>
  <c r="Y1411" i="3" a="1"/>
  <c r="Y1411" i="3" s="1"/>
  <c r="X1411" i="3" a="1"/>
  <c r="X1411" i="3" s="1"/>
  <c r="W1411" i="3" a="1"/>
  <c r="W1411" i="3" s="1"/>
  <c r="V1411" i="3" a="1"/>
  <c r="V1411" i="3" s="1"/>
  <c r="Y1410" i="3" a="1"/>
  <c r="Y1410" i="3" s="1"/>
  <c r="X1410" i="3" a="1"/>
  <c r="X1410" i="3" s="1"/>
  <c r="W1410" i="3" a="1"/>
  <c r="W1410" i="3" s="1"/>
  <c r="V1410" i="3" a="1"/>
  <c r="V1410" i="3" s="1"/>
  <c r="Y1409" i="3" a="1"/>
  <c r="Y1409" i="3" s="1"/>
  <c r="X1409" i="3" a="1"/>
  <c r="X1409" i="3" s="1"/>
  <c r="W1409" i="3" a="1"/>
  <c r="W1409" i="3" s="1"/>
  <c r="V1409" i="3" a="1"/>
  <c r="V1409" i="3" s="1"/>
  <c r="Y1408" i="3" a="1"/>
  <c r="Y1408" i="3" s="1"/>
  <c r="X1408" i="3" a="1"/>
  <c r="X1408" i="3" s="1"/>
  <c r="W1408" i="3" a="1"/>
  <c r="W1408" i="3" s="1"/>
  <c r="V1408" i="3" a="1"/>
  <c r="V1408" i="3" s="1"/>
  <c r="Y1407" i="3" a="1"/>
  <c r="Y1407" i="3" s="1"/>
  <c r="X1407" i="3" a="1"/>
  <c r="X1407" i="3" s="1"/>
  <c r="W1407" i="3" a="1"/>
  <c r="W1407" i="3" s="1"/>
  <c r="V1407" i="3" a="1"/>
  <c r="V1407" i="3" s="1"/>
  <c r="Y1406" i="3" a="1"/>
  <c r="Y1406" i="3" s="1"/>
  <c r="X1406" i="3" a="1"/>
  <c r="X1406" i="3" s="1"/>
  <c r="W1406" i="3" a="1"/>
  <c r="W1406" i="3" s="1"/>
  <c r="V1406" i="3" a="1"/>
  <c r="V1406" i="3" s="1"/>
  <c r="Y1405" i="3" a="1"/>
  <c r="Y1405" i="3" s="1"/>
  <c r="X1405" i="3" a="1"/>
  <c r="X1405" i="3" s="1"/>
  <c r="W1405" i="3" a="1"/>
  <c r="W1405" i="3" s="1"/>
  <c r="V1405" i="3" a="1"/>
  <c r="V1405" i="3" s="1"/>
  <c r="Y1404" i="3" a="1"/>
  <c r="Y1404" i="3" s="1"/>
  <c r="X1404" i="3" a="1"/>
  <c r="X1404" i="3" s="1"/>
  <c r="W1404" i="3" a="1"/>
  <c r="W1404" i="3" s="1"/>
  <c r="V1404" i="3" a="1"/>
  <c r="V1404" i="3" s="1"/>
  <c r="Y1403" i="3" a="1"/>
  <c r="Y1403" i="3" s="1"/>
  <c r="X1403" i="3" a="1"/>
  <c r="X1403" i="3" s="1"/>
  <c r="W1403" i="3" a="1"/>
  <c r="W1403" i="3" s="1"/>
  <c r="V1403" i="3" a="1"/>
  <c r="V1403" i="3" s="1"/>
  <c r="Y1402" i="3" a="1"/>
  <c r="Y1402" i="3" s="1"/>
  <c r="X1402" i="3" a="1"/>
  <c r="X1402" i="3" s="1"/>
  <c r="W1402" i="3" a="1"/>
  <c r="W1402" i="3" s="1"/>
  <c r="V1402" i="3" a="1"/>
  <c r="V1402" i="3" s="1"/>
  <c r="Y1401" i="3" a="1"/>
  <c r="Y1401" i="3" s="1"/>
  <c r="X1401" i="3" a="1"/>
  <c r="X1401" i="3" s="1"/>
  <c r="W1401" i="3" a="1"/>
  <c r="W1401" i="3" s="1"/>
  <c r="V1401" i="3" a="1"/>
  <c r="V1401" i="3" s="1"/>
  <c r="Y1400" i="3" a="1"/>
  <c r="Y1400" i="3" s="1"/>
  <c r="X1400" i="3" a="1"/>
  <c r="X1400" i="3" s="1"/>
  <c r="W1400" i="3" a="1"/>
  <c r="W1400" i="3" s="1"/>
  <c r="V1400" i="3" a="1"/>
  <c r="V1400" i="3" s="1"/>
  <c r="Y1399" i="3" a="1"/>
  <c r="Y1399" i="3" s="1"/>
  <c r="X1399" i="3" a="1"/>
  <c r="X1399" i="3" s="1"/>
  <c r="W1399" i="3" a="1"/>
  <c r="W1399" i="3" s="1"/>
  <c r="V1399" i="3" a="1"/>
  <c r="V1399" i="3" s="1"/>
  <c r="Y1398" i="3" a="1"/>
  <c r="Y1398" i="3" s="1"/>
  <c r="X1398" i="3" a="1"/>
  <c r="X1398" i="3" s="1"/>
  <c r="W1398" i="3" a="1"/>
  <c r="W1398" i="3" s="1"/>
  <c r="V1398" i="3" a="1"/>
  <c r="V1398" i="3" s="1"/>
  <c r="Y1397" i="3" a="1"/>
  <c r="Y1397" i="3" s="1"/>
  <c r="X1397" i="3" a="1"/>
  <c r="X1397" i="3" s="1"/>
  <c r="W1397" i="3" a="1"/>
  <c r="W1397" i="3" s="1"/>
  <c r="V1397" i="3" a="1"/>
  <c r="V1397" i="3" s="1"/>
  <c r="Y1396" i="3" a="1"/>
  <c r="Y1396" i="3" s="1"/>
  <c r="X1396" i="3" a="1"/>
  <c r="X1396" i="3" s="1"/>
  <c r="W1396" i="3" a="1"/>
  <c r="W1396" i="3" s="1"/>
  <c r="V1396" i="3" a="1"/>
  <c r="V1396" i="3" s="1"/>
  <c r="Y1395" i="3" a="1"/>
  <c r="Y1395" i="3" s="1"/>
  <c r="X1395" i="3" a="1"/>
  <c r="X1395" i="3" s="1"/>
  <c r="W1395" i="3" a="1"/>
  <c r="W1395" i="3" s="1"/>
  <c r="V1395" i="3" a="1"/>
  <c r="V1395" i="3" s="1"/>
  <c r="Y1394" i="3" a="1"/>
  <c r="Y1394" i="3" s="1"/>
  <c r="X1394" i="3" a="1"/>
  <c r="X1394" i="3" s="1"/>
  <c r="W1394" i="3" a="1"/>
  <c r="W1394" i="3" s="1"/>
  <c r="V1394" i="3" a="1"/>
  <c r="V1394" i="3" s="1"/>
  <c r="Y1393" i="3" a="1"/>
  <c r="Y1393" i="3" s="1"/>
  <c r="X1393" i="3" a="1"/>
  <c r="X1393" i="3" s="1"/>
  <c r="W1393" i="3" a="1"/>
  <c r="W1393" i="3" s="1"/>
  <c r="V1393" i="3" a="1"/>
  <c r="V1393" i="3" s="1"/>
  <c r="Y1392" i="3" a="1"/>
  <c r="Y1392" i="3" s="1"/>
  <c r="X1392" i="3" a="1"/>
  <c r="X1392" i="3" s="1"/>
  <c r="W1392" i="3" a="1"/>
  <c r="W1392" i="3" s="1"/>
  <c r="V1392" i="3" a="1"/>
  <c r="V1392" i="3" s="1"/>
  <c r="Y1391" i="3" a="1"/>
  <c r="Y1391" i="3" s="1"/>
  <c r="X1391" i="3" a="1"/>
  <c r="X1391" i="3" s="1"/>
  <c r="W1391" i="3" a="1"/>
  <c r="W1391" i="3" s="1"/>
  <c r="V1391" i="3" a="1"/>
  <c r="V1391" i="3" s="1"/>
  <c r="Y1390" i="3" a="1"/>
  <c r="Y1390" i="3" s="1"/>
  <c r="X1390" i="3" a="1"/>
  <c r="X1390" i="3" s="1"/>
  <c r="W1390" i="3" a="1"/>
  <c r="W1390" i="3" s="1"/>
  <c r="V1390" i="3" a="1"/>
  <c r="V1390" i="3" s="1"/>
  <c r="Y1389" i="3" a="1"/>
  <c r="Y1389" i="3" s="1"/>
  <c r="X1389" i="3" a="1"/>
  <c r="X1389" i="3" s="1"/>
  <c r="W1389" i="3" a="1"/>
  <c r="W1389" i="3" s="1"/>
  <c r="V1389" i="3" a="1"/>
  <c r="V1389" i="3" s="1"/>
  <c r="Y1388" i="3" a="1"/>
  <c r="Y1388" i="3" s="1"/>
  <c r="X1388" i="3" a="1"/>
  <c r="X1388" i="3" s="1"/>
  <c r="W1388" i="3" a="1"/>
  <c r="W1388" i="3" s="1"/>
  <c r="V1388" i="3" a="1"/>
  <c r="V1388" i="3" s="1"/>
  <c r="Y1387" i="3" a="1"/>
  <c r="Y1387" i="3" s="1"/>
  <c r="X1387" i="3" a="1"/>
  <c r="X1387" i="3" s="1"/>
  <c r="W1387" i="3" a="1"/>
  <c r="W1387" i="3" s="1"/>
  <c r="V1387" i="3" a="1"/>
  <c r="V1387" i="3" s="1"/>
  <c r="Y1386" i="3" a="1"/>
  <c r="Y1386" i="3" s="1"/>
  <c r="X1386" i="3" a="1"/>
  <c r="X1386" i="3" s="1"/>
  <c r="W1386" i="3" a="1"/>
  <c r="W1386" i="3" s="1"/>
  <c r="V1386" i="3" a="1"/>
  <c r="V1386" i="3" s="1"/>
  <c r="Y1385" i="3" a="1"/>
  <c r="Y1385" i="3" s="1"/>
  <c r="X1385" i="3" a="1"/>
  <c r="X1385" i="3" s="1"/>
  <c r="W1385" i="3" a="1"/>
  <c r="W1385" i="3" s="1"/>
  <c r="V1385" i="3" a="1"/>
  <c r="V1385" i="3" s="1"/>
  <c r="Y1384" i="3" a="1"/>
  <c r="Y1384" i="3" s="1"/>
  <c r="X1384" i="3" a="1"/>
  <c r="X1384" i="3" s="1"/>
  <c r="W1384" i="3" a="1"/>
  <c r="W1384" i="3" s="1"/>
  <c r="V1384" i="3" a="1"/>
  <c r="V1384" i="3" s="1"/>
  <c r="Y1383" i="3" a="1"/>
  <c r="Y1383" i="3" s="1"/>
  <c r="X1383" i="3" a="1"/>
  <c r="X1383" i="3" s="1"/>
  <c r="W1383" i="3" a="1"/>
  <c r="W1383" i="3" s="1"/>
  <c r="V1383" i="3" a="1"/>
  <c r="V1383" i="3" s="1"/>
  <c r="Y1382" i="3" a="1"/>
  <c r="Y1382" i="3" s="1"/>
  <c r="X1382" i="3" a="1"/>
  <c r="X1382" i="3" s="1"/>
  <c r="W1382" i="3" a="1"/>
  <c r="W1382" i="3" s="1"/>
  <c r="V1382" i="3" a="1"/>
  <c r="V1382" i="3" s="1"/>
  <c r="Y1381" i="3" a="1"/>
  <c r="Y1381" i="3" s="1"/>
  <c r="X1381" i="3" a="1"/>
  <c r="X1381" i="3" s="1"/>
  <c r="W1381" i="3" a="1"/>
  <c r="W1381" i="3" s="1"/>
  <c r="V1381" i="3" a="1"/>
  <c r="V1381" i="3" s="1"/>
  <c r="Y1380" i="3" a="1"/>
  <c r="Y1380" i="3" s="1"/>
  <c r="X1380" i="3" a="1"/>
  <c r="X1380" i="3" s="1"/>
  <c r="W1380" i="3" a="1"/>
  <c r="W1380" i="3" s="1"/>
  <c r="V1380" i="3" a="1"/>
  <c r="V1380" i="3" s="1"/>
  <c r="Y1379" i="3" a="1"/>
  <c r="Y1379" i="3" s="1"/>
  <c r="X1379" i="3" a="1"/>
  <c r="X1379" i="3" s="1"/>
  <c r="W1379" i="3" a="1"/>
  <c r="W1379" i="3" s="1"/>
  <c r="V1379" i="3" a="1"/>
  <c r="V1379" i="3" s="1"/>
  <c r="Y1378" i="3" a="1"/>
  <c r="Y1378" i="3" s="1"/>
  <c r="X1378" i="3" a="1"/>
  <c r="X1378" i="3" s="1"/>
  <c r="W1378" i="3" a="1"/>
  <c r="W1378" i="3" s="1"/>
  <c r="V1378" i="3" a="1"/>
  <c r="V1378" i="3" s="1"/>
  <c r="Y1377" i="3" a="1"/>
  <c r="Y1377" i="3" s="1"/>
  <c r="X1377" i="3" a="1"/>
  <c r="X1377" i="3" s="1"/>
  <c r="W1377" i="3" a="1"/>
  <c r="W1377" i="3" s="1"/>
  <c r="V1377" i="3" a="1"/>
  <c r="V1377" i="3" s="1"/>
  <c r="Y1376" i="3" a="1"/>
  <c r="Y1376" i="3" s="1"/>
  <c r="X1376" i="3" a="1"/>
  <c r="X1376" i="3" s="1"/>
  <c r="W1376" i="3" a="1"/>
  <c r="W1376" i="3" s="1"/>
  <c r="V1376" i="3" a="1"/>
  <c r="V1376" i="3" s="1"/>
  <c r="Y1375" i="3" a="1"/>
  <c r="Y1375" i="3" s="1"/>
  <c r="X1375" i="3" a="1"/>
  <c r="X1375" i="3" s="1"/>
  <c r="W1375" i="3" a="1"/>
  <c r="W1375" i="3" s="1"/>
  <c r="V1375" i="3" a="1"/>
  <c r="V1375" i="3" s="1"/>
  <c r="Y1374" i="3" a="1"/>
  <c r="Y1374" i="3" s="1"/>
  <c r="X1374" i="3" a="1"/>
  <c r="X1374" i="3" s="1"/>
  <c r="W1374" i="3" a="1"/>
  <c r="W1374" i="3" s="1"/>
  <c r="V1374" i="3" a="1"/>
  <c r="V1374" i="3" s="1"/>
  <c r="Y1373" i="3" a="1"/>
  <c r="Y1373" i="3" s="1"/>
  <c r="X1373" i="3" a="1"/>
  <c r="X1373" i="3" s="1"/>
  <c r="W1373" i="3" a="1"/>
  <c r="W1373" i="3" s="1"/>
  <c r="V1373" i="3" a="1"/>
  <c r="V1373" i="3" s="1"/>
  <c r="Y1372" i="3" a="1"/>
  <c r="Y1372" i="3" s="1"/>
  <c r="X1372" i="3" a="1"/>
  <c r="X1372" i="3" s="1"/>
  <c r="W1372" i="3" a="1"/>
  <c r="W1372" i="3" s="1"/>
  <c r="V1372" i="3" a="1"/>
  <c r="V1372" i="3" s="1"/>
  <c r="Y1371" i="3" a="1"/>
  <c r="Y1371" i="3" s="1"/>
  <c r="X1371" i="3" a="1"/>
  <c r="X1371" i="3" s="1"/>
  <c r="W1371" i="3" a="1"/>
  <c r="W1371" i="3" s="1"/>
  <c r="V1371" i="3" a="1"/>
  <c r="V1371" i="3" s="1"/>
  <c r="Y1370" i="3" a="1"/>
  <c r="Y1370" i="3" s="1"/>
  <c r="X1370" i="3" a="1"/>
  <c r="X1370" i="3" s="1"/>
  <c r="W1370" i="3" a="1"/>
  <c r="W1370" i="3" s="1"/>
  <c r="V1370" i="3" a="1"/>
  <c r="V1370" i="3" s="1"/>
  <c r="Y1369" i="3" a="1"/>
  <c r="Y1369" i="3" s="1"/>
  <c r="X1369" i="3" a="1"/>
  <c r="X1369" i="3" s="1"/>
  <c r="W1369" i="3" a="1"/>
  <c r="W1369" i="3" s="1"/>
  <c r="V1369" i="3" a="1"/>
  <c r="V1369" i="3" s="1"/>
  <c r="Y1368" i="3" a="1"/>
  <c r="Y1368" i="3" s="1"/>
  <c r="X1368" i="3" a="1"/>
  <c r="X1368" i="3" s="1"/>
  <c r="W1368" i="3" a="1"/>
  <c r="W1368" i="3" s="1"/>
  <c r="V1368" i="3" a="1"/>
  <c r="V1368" i="3" s="1"/>
  <c r="Y1367" i="3" a="1"/>
  <c r="Y1367" i="3" s="1"/>
  <c r="X1367" i="3" a="1"/>
  <c r="X1367" i="3" s="1"/>
  <c r="W1367" i="3" a="1"/>
  <c r="W1367" i="3" s="1"/>
  <c r="V1367" i="3" a="1"/>
  <c r="V1367" i="3" s="1"/>
  <c r="Y1366" i="3" a="1"/>
  <c r="Y1366" i="3" s="1"/>
  <c r="X1366" i="3" a="1"/>
  <c r="X1366" i="3" s="1"/>
  <c r="W1366" i="3" a="1"/>
  <c r="W1366" i="3" s="1"/>
  <c r="V1366" i="3" a="1"/>
  <c r="V1366" i="3" s="1"/>
  <c r="Y1365" i="3" a="1"/>
  <c r="Y1365" i="3" s="1"/>
  <c r="X1365" i="3" a="1"/>
  <c r="X1365" i="3" s="1"/>
  <c r="W1365" i="3" a="1"/>
  <c r="W1365" i="3" s="1"/>
  <c r="V1365" i="3" a="1"/>
  <c r="V1365" i="3" s="1"/>
  <c r="Y1364" i="3" a="1"/>
  <c r="Y1364" i="3" s="1"/>
  <c r="X1364" i="3" a="1"/>
  <c r="X1364" i="3" s="1"/>
  <c r="W1364" i="3" a="1"/>
  <c r="W1364" i="3" s="1"/>
  <c r="V1364" i="3" a="1"/>
  <c r="V1364" i="3" s="1"/>
  <c r="Y1363" i="3" a="1"/>
  <c r="Y1363" i="3" s="1"/>
  <c r="X1363" i="3" a="1"/>
  <c r="X1363" i="3" s="1"/>
  <c r="W1363" i="3" a="1"/>
  <c r="W1363" i="3" s="1"/>
  <c r="V1363" i="3" a="1"/>
  <c r="V1363" i="3" s="1"/>
  <c r="Y1362" i="3" a="1"/>
  <c r="Y1362" i="3" s="1"/>
  <c r="X1362" i="3" a="1"/>
  <c r="X1362" i="3" s="1"/>
  <c r="W1362" i="3" a="1"/>
  <c r="W1362" i="3" s="1"/>
  <c r="V1362" i="3" a="1"/>
  <c r="V1362" i="3" s="1"/>
  <c r="Y1361" i="3" a="1"/>
  <c r="Y1361" i="3" s="1"/>
  <c r="X1361" i="3" a="1"/>
  <c r="X1361" i="3" s="1"/>
  <c r="W1361" i="3" a="1"/>
  <c r="W1361" i="3" s="1"/>
  <c r="V1361" i="3" a="1"/>
  <c r="V1361" i="3" s="1"/>
  <c r="Y1360" i="3" a="1"/>
  <c r="Y1360" i="3" s="1"/>
  <c r="X1360" i="3" a="1"/>
  <c r="X1360" i="3" s="1"/>
  <c r="W1360" i="3" a="1"/>
  <c r="W1360" i="3" s="1"/>
  <c r="V1360" i="3" a="1"/>
  <c r="V1360" i="3" s="1"/>
  <c r="Y1359" i="3" a="1"/>
  <c r="Y1359" i="3" s="1"/>
  <c r="X1359" i="3" a="1"/>
  <c r="X1359" i="3" s="1"/>
  <c r="W1359" i="3" a="1"/>
  <c r="W1359" i="3" s="1"/>
  <c r="V1359" i="3" a="1"/>
  <c r="V1359" i="3" s="1"/>
  <c r="Y1358" i="3" a="1"/>
  <c r="Y1358" i="3" s="1"/>
  <c r="X1358" i="3" a="1"/>
  <c r="X1358" i="3" s="1"/>
  <c r="W1358" i="3" a="1"/>
  <c r="W1358" i="3" s="1"/>
  <c r="V1358" i="3" a="1"/>
  <c r="V1358" i="3" s="1"/>
  <c r="Y1357" i="3" a="1"/>
  <c r="Y1357" i="3" s="1"/>
  <c r="X1357" i="3" a="1"/>
  <c r="X1357" i="3" s="1"/>
  <c r="W1357" i="3" a="1"/>
  <c r="W1357" i="3" s="1"/>
  <c r="V1357" i="3" a="1"/>
  <c r="V1357" i="3" s="1"/>
  <c r="Y1356" i="3" a="1"/>
  <c r="Y1356" i="3" s="1"/>
  <c r="X1356" i="3" a="1"/>
  <c r="X1356" i="3" s="1"/>
  <c r="W1356" i="3" a="1"/>
  <c r="W1356" i="3" s="1"/>
  <c r="V1356" i="3" a="1"/>
  <c r="V1356" i="3" s="1"/>
  <c r="Y1355" i="3" a="1"/>
  <c r="Y1355" i="3" s="1"/>
  <c r="X1355" i="3" a="1"/>
  <c r="X1355" i="3" s="1"/>
  <c r="W1355" i="3" a="1"/>
  <c r="W1355" i="3" s="1"/>
  <c r="V1355" i="3" a="1"/>
  <c r="V1355" i="3" s="1"/>
  <c r="Y1354" i="3" a="1"/>
  <c r="Y1354" i="3" s="1"/>
  <c r="X1354" i="3" a="1"/>
  <c r="X1354" i="3" s="1"/>
  <c r="W1354" i="3" a="1"/>
  <c r="W1354" i="3" s="1"/>
  <c r="V1354" i="3" a="1"/>
  <c r="V1354" i="3" s="1"/>
  <c r="Y1353" i="3" a="1"/>
  <c r="Y1353" i="3" s="1"/>
  <c r="X1353" i="3" a="1"/>
  <c r="X1353" i="3" s="1"/>
  <c r="W1353" i="3" a="1"/>
  <c r="W1353" i="3" s="1"/>
  <c r="V1353" i="3" a="1"/>
  <c r="V1353" i="3" s="1"/>
  <c r="Y1352" i="3" a="1"/>
  <c r="Y1352" i="3" s="1"/>
  <c r="X1352" i="3" a="1"/>
  <c r="X1352" i="3" s="1"/>
  <c r="W1352" i="3" a="1"/>
  <c r="W1352" i="3" s="1"/>
  <c r="V1352" i="3" a="1"/>
  <c r="V1352" i="3" s="1"/>
  <c r="Y1351" i="3" a="1"/>
  <c r="Y1351" i="3" s="1"/>
  <c r="X1351" i="3" a="1"/>
  <c r="X1351" i="3" s="1"/>
  <c r="W1351" i="3" a="1"/>
  <c r="W1351" i="3" s="1"/>
  <c r="V1351" i="3" a="1"/>
  <c r="V1351" i="3" s="1"/>
  <c r="Y1350" i="3" a="1"/>
  <c r="Y1350" i="3" s="1"/>
  <c r="X1350" i="3" a="1"/>
  <c r="X1350" i="3" s="1"/>
  <c r="W1350" i="3" a="1"/>
  <c r="W1350" i="3" s="1"/>
  <c r="V1350" i="3" a="1"/>
  <c r="V1350" i="3" s="1"/>
  <c r="Y1349" i="3" a="1"/>
  <c r="Y1349" i="3" s="1"/>
  <c r="X1349" i="3" a="1"/>
  <c r="X1349" i="3" s="1"/>
  <c r="W1349" i="3" a="1"/>
  <c r="W1349" i="3" s="1"/>
  <c r="V1349" i="3" a="1"/>
  <c r="V1349" i="3" s="1"/>
  <c r="Y1348" i="3" a="1"/>
  <c r="Y1348" i="3" s="1"/>
  <c r="X1348" i="3" a="1"/>
  <c r="X1348" i="3" s="1"/>
  <c r="W1348" i="3" a="1"/>
  <c r="W1348" i="3" s="1"/>
  <c r="V1348" i="3" a="1"/>
  <c r="V1348" i="3" s="1"/>
  <c r="Y1347" i="3" a="1"/>
  <c r="Y1347" i="3" s="1"/>
  <c r="X1347" i="3" a="1"/>
  <c r="X1347" i="3" s="1"/>
  <c r="W1347" i="3" a="1"/>
  <c r="W1347" i="3" s="1"/>
  <c r="V1347" i="3" a="1"/>
  <c r="V1347" i="3" s="1"/>
  <c r="Y1346" i="3" a="1"/>
  <c r="Y1346" i="3" s="1"/>
  <c r="X1346" i="3" a="1"/>
  <c r="X1346" i="3" s="1"/>
  <c r="W1346" i="3" a="1"/>
  <c r="W1346" i="3" s="1"/>
  <c r="V1346" i="3" a="1"/>
  <c r="V1346" i="3" s="1"/>
  <c r="Y1345" i="3" a="1"/>
  <c r="Y1345" i="3" s="1"/>
  <c r="X1345" i="3" a="1"/>
  <c r="X1345" i="3" s="1"/>
  <c r="W1345" i="3" a="1"/>
  <c r="W1345" i="3" s="1"/>
  <c r="V1345" i="3" a="1"/>
  <c r="V1345" i="3" s="1"/>
  <c r="Y1344" i="3" a="1"/>
  <c r="Y1344" i="3" s="1"/>
  <c r="X1344" i="3" a="1"/>
  <c r="X1344" i="3" s="1"/>
  <c r="W1344" i="3" a="1"/>
  <c r="W1344" i="3" s="1"/>
  <c r="V1344" i="3" a="1"/>
  <c r="V1344" i="3" s="1"/>
  <c r="Y1343" i="3" a="1"/>
  <c r="Y1343" i="3" s="1"/>
  <c r="X1343" i="3" a="1"/>
  <c r="X1343" i="3" s="1"/>
  <c r="W1343" i="3" a="1"/>
  <c r="W1343" i="3" s="1"/>
  <c r="V1343" i="3" a="1"/>
  <c r="V1343" i="3" s="1"/>
  <c r="Y1342" i="3" a="1"/>
  <c r="Y1342" i="3" s="1"/>
  <c r="X1342" i="3" a="1"/>
  <c r="X1342" i="3" s="1"/>
  <c r="W1342" i="3" a="1"/>
  <c r="W1342" i="3" s="1"/>
  <c r="V1342" i="3" a="1"/>
  <c r="V1342" i="3" s="1"/>
  <c r="Y1341" i="3" a="1"/>
  <c r="Y1341" i="3" s="1"/>
  <c r="X1341" i="3" a="1"/>
  <c r="X1341" i="3" s="1"/>
  <c r="W1341" i="3" a="1"/>
  <c r="W1341" i="3" s="1"/>
  <c r="V1341" i="3" a="1"/>
  <c r="V1341" i="3" s="1"/>
  <c r="Y1340" i="3" a="1"/>
  <c r="Y1340" i="3" s="1"/>
  <c r="X1340" i="3" a="1"/>
  <c r="X1340" i="3" s="1"/>
  <c r="W1340" i="3" a="1"/>
  <c r="W1340" i="3" s="1"/>
  <c r="V1340" i="3" a="1"/>
  <c r="V1340" i="3" s="1"/>
  <c r="Y1339" i="3" a="1"/>
  <c r="Y1339" i="3" s="1"/>
  <c r="X1339" i="3" a="1"/>
  <c r="X1339" i="3" s="1"/>
  <c r="W1339" i="3" a="1"/>
  <c r="W1339" i="3" s="1"/>
  <c r="V1339" i="3" a="1"/>
  <c r="V1339" i="3" s="1"/>
  <c r="Y1338" i="3" a="1"/>
  <c r="Y1338" i="3" s="1"/>
  <c r="X1338" i="3" a="1"/>
  <c r="X1338" i="3" s="1"/>
  <c r="W1338" i="3" a="1"/>
  <c r="W1338" i="3" s="1"/>
  <c r="V1338" i="3" a="1"/>
  <c r="V1338" i="3" s="1"/>
  <c r="Y1337" i="3" a="1"/>
  <c r="Y1337" i="3" s="1"/>
  <c r="X1337" i="3" a="1"/>
  <c r="X1337" i="3" s="1"/>
  <c r="W1337" i="3" a="1"/>
  <c r="W1337" i="3" s="1"/>
  <c r="V1337" i="3" a="1"/>
  <c r="V1337" i="3" s="1"/>
  <c r="Y1336" i="3" a="1"/>
  <c r="Y1336" i="3" s="1"/>
  <c r="X1336" i="3" a="1"/>
  <c r="X1336" i="3" s="1"/>
  <c r="W1336" i="3" a="1"/>
  <c r="W1336" i="3" s="1"/>
  <c r="V1336" i="3" a="1"/>
  <c r="V1336" i="3" s="1"/>
  <c r="Y1335" i="3" a="1"/>
  <c r="Y1335" i="3" s="1"/>
  <c r="X1335" i="3" a="1"/>
  <c r="X1335" i="3" s="1"/>
  <c r="W1335" i="3" a="1"/>
  <c r="W1335" i="3" s="1"/>
  <c r="V1335" i="3" a="1"/>
  <c r="V1335" i="3" s="1"/>
  <c r="Y1334" i="3" a="1"/>
  <c r="Y1334" i="3" s="1"/>
  <c r="X1334" i="3" a="1"/>
  <c r="X1334" i="3" s="1"/>
  <c r="W1334" i="3" a="1"/>
  <c r="W1334" i="3" s="1"/>
  <c r="V1334" i="3" a="1"/>
  <c r="V1334" i="3" s="1"/>
  <c r="Y1333" i="3" a="1"/>
  <c r="Y1333" i="3" s="1"/>
  <c r="X1333" i="3" a="1"/>
  <c r="X1333" i="3" s="1"/>
  <c r="W1333" i="3" a="1"/>
  <c r="W1333" i="3" s="1"/>
  <c r="V1333" i="3" a="1"/>
  <c r="V1333" i="3" s="1"/>
  <c r="Y1332" i="3" a="1"/>
  <c r="Y1332" i="3" s="1"/>
  <c r="X1332" i="3" a="1"/>
  <c r="X1332" i="3" s="1"/>
  <c r="W1332" i="3" a="1"/>
  <c r="W1332" i="3" s="1"/>
  <c r="V1332" i="3" a="1"/>
  <c r="V1332" i="3" s="1"/>
  <c r="Y1331" i="3" a="1"/>
  <c r="Y1331" i="3" s="1"/>
  <c r="X1331" i="3" a="1"/>
  <c r="X1331" i="3" s="1"/>
  <c r="W1331" i="3" a="1"/>
  <c r="W1331" i="3" s="1"/>
  <c r="V1331" i="3" a="1"/>
  <c r="V1331" i="3" s="1"/>
  <c r="Y1330" i="3" a="1"/>
  <c r="Y1330" i="3" s="1"/>
  <c r="X1330" i="3" a="1"/>
  <c r="X1330" i="3" s="1"/>
  <c r="W1330" i="3" a="1"/>
  <c r="W1330" i="3" s="1"/>
  <c r="V1330" i="3" a="1"/>
  <c r="V1330" i="3" s="1"/>
  <c r="Y1329" i="3" a="1"/>
  <c r="Y1329" i="3" s="1"/>
  <c r="X1329" i="3" a="1"/>
  <c r="X1329" i="3" s="1"/>
  <c r="W1329" i="3" a="1"/>
  <c r="W1329" i="3" s="1"/>
  <c r="V1329" i="3" a="1"/>
  <c r="V1329" i="3" s="1"/>
  <c r="Y1328" i="3" a="1"/>
  <c r="Y1328" i="3" s="1"/>
  <c r="X1328" i="3" a="1"/>
  <c r="X1328" i="3" s="1"/>
  <c r="W1328" i="3" a="1"/>
  <c r="W1328" i="3" s="1"/>
  <c r="V1328" i="3" a="1"/>
  <c r="V1328" i="3" s="1"/>
  <c r="Y1327" i="3" a="1"/>
  <c r="Y1327" i="3" s="1"/>
  <c r="X1327" i="3" a="1"/>
  <c r="X1327" i="3" s="1"/>
  <c r="W1327" i="3" a="1"/>
  <c r="W1327" i="3" s="1"/>
  <c r="V1327" i="3" a="1"/>
  <c r="V1327" i="3" s="1"/>
  <c r="Y1326" i="3" a="1"/>
  <c r="Y1326" i="3" s="1"/>
  <c r="X1326" i="3" a="1"/>
  <c r="X1326" i="3" s="1"/>
  <c r="W1326" i="3" a="1"/>
  <c r="W1326" i="3" s="1"/>
  <c r="V1326" i="3" a="1"/>
  <c r="V1326" i="3" s="1"/>
  <c r="Y1325" i="3" a="1"/>
  <c r="Y1325" i="3" s="1"/>
  <c r="X1325" i="3" a="1"/>
  <c r="X1325" i="3" s="1"/>
  <c r="W1325" i="3" a="1"/>
  <c r="W1325" i="3" s="1"/>
  <c r="V1325" i="3" a="1"/>
  <c r="V1325" i="3" s="1"/>
  <c r="Y1324" i="3" a="1"/>
  <c r="Y1324" i="3" s="1"/>
  <c r="X1324" i="3" a="1"/>
  <c r="X1324" i="3" s="1"/>
  <c r="W1324" i="3" a="1"/>
  <c r="W1324" i="3" s="1"/>
  <c r="V1324" i="3" a="1"/>
  <c r="V1324" i="3" s="1"/>
  <c r="Y1323" i="3" a="1"/>
  <c r="Y1323" i="3" s="1"/>
  <c r="X1323" i="3" a="1"/>
  <c r="X1323" i="3" s="1"/>
  <c r="W1323" i="3" a="1"/>
  <c r="W1323" i="3" s="1"/>
  <c r="V1323" i="3" a="1"/>
  <c r="V1323" i="3" s="1"/>
  <c r="Y1322" i="3" a="1"/>
  <c r="Y1322" i="3" s="1"/>
  <c r="X1322" i="3" a="1"/>
  <c r="X1322" i="3" s="1"/>
  <c r="W1322" i="3" a="1"/>
  <c r="W1322" i="3" s="1"/>
  <c r="V1322" i="3" a="1"/>
  <c r="V1322" i="3" s="1"/>
  <c r="Y1321" i="3" a="1"/>
  <c r="Y1321" i="3" s="1"/>
  <c r="X1321" i="3" a="1"/>
  <c r="X1321" i="3" s="1"/>
  <c r="W1321" i="3" a="1"/>
  <c r="W1321" i="3" s="1"/>
  <c r="V1321" i="3" a="1"/>
  <c r="V1321" i="3" s="1"/>
  <c r="Y1320" i="3" a="1"/>
  <c r="Y1320" i="3" s="1"/>
  <c r="X1320" i="3" a="1"/>
  <c r="X1320" i="3" s="1"/>
  <c r="W1320" i="3" a="1"/>
  <c r="W1320" i="3" s="1"/>
  <c r="V1320" i="3" a="1"/>
  <c r="V1320" i="3" s="1"/>
  <c r="Y1319" i="3" a="1"/>
  <c r="Y1319" i="3" s="1"/>
  <c r="X1319" i="3" a="1"/>
  <c r="X1319" i="3" s="1"/>
  <c r="W1319" i="3" a="1"/>
  <c r="W1319" i="3" s="1"/>
  <c r="V1319" i="3" a="1"/>
  <c r="V1319" i="3" s="1"/>
  <c r="Y1318" i="3" a="1"/>
  <c r="Y1318" i="3" s="1"/>
  <c r="X1318" i="3" a="1"/>
  <c r="X1318" i="3" s="1"/>
  <c r="W1318" i="3" a="1"/>
  <c r="W1318" i="3" s="1"/>
  <c r="V1318" i="3" a="1"/>
  <c r="V1318" i="3" s="1"/>
  <c r="Y1317" i="3" a="1"/>
  <c r="Y1317" i="3" s="1"/>
  <c r="X1317" i="3" a="1"/>
  <c r="X1317" i="3" s="1"/>
  <c r="W1317" i="3" a="1"/>
  <c r="W1317" i="3" s="1"/>
  <c r="V1317" i="3" a="1"/>
  <c r="V1317" i="3" s="1"/>
  <c r="Y1316" i="3" a="1"/>
  <c r="Y1316" i="3" s="1"/>
  <c r="X1316" i="3" a="1"/>
  <c r="X1316" i="3" s="1"/>
  <c r="W1316" i="3" a="1"/>
  <c r="W1316" i="3" s="1"/>
  <c r="V1316" i="3" a="1"/>
  <c r="V1316" i="3" s="1"/>
  <c r="Y1315" i="3" a="1"/>
  <c r="Y1315" i="3" s="1"/>
  <c r="X1315" i="3" a="1"/>
  <c r="X1315" i="3" s="1"/>
  <c r="W1315" i="3" a="1"/>
  <c r="W1315" i="3" s="1"/>
  <c r="V1315" i="3" a="1"/>
  <c r="V1315" i="3" s="1"/>
  <c r="Y1314" i="3" a="1"/>
  <c r="Y1314" i="3" s="1"/>
  <c r="X1314" i="3" a="1"/>
  <c r="X1314" i="3" s="1"/>
  <c r="W1314" i="3" a="1"/>
  <c r="W1314" i="3" s="1"/>
  <c r="V1314" i="3" a="1"/>
  <c r="V1314" i="3" s="1"/>
  <c r="Y1313" i="3" a="1"/>
  <c r="Y1313" i="3" s="1"/>
  <c r="X1313" i="3" a="1"/>
  <c r="X1313" i="3" s="1"/>
  <c r="W1313" i="3" a="1"/>
  <c r="W1313" i="3" s="1"/>
  <c r="V1313" i="3" a="1"/>
  <c r="V1313" i="3" s="1"/>
  <c r="Y1312" i="3" a="1"/>
  <c r="Y1312" i="3" s="1"/>
  <c r="X1312" i="3" a="1"/>
  <c r="X1312" i="3" s="1"/>
  <c r="W1312" i="3" a="1"/>
  <c r="W1312" i="3" s="1"/>
  <c r="V1312" i="3" a="1"/>
  <c r="V1312" i="3" s="1"/>
  <c r="Y1311" i="3" a="1"/>
  <c r="Y1311" i="3" s="1"/>
  <c r="X1311" i="3" a="1"/>
  <c r="X1311" i="3" s="1"/>
  <c r="W1311" i="3" a="1"/>
  <c r="W1311" i="3" s="1"/>
  <c r="V1311" i="3" a="1"/>
  <c r="V1311" i="3" s="1"/>
  <c r="Y1310" i="3" a="1"/>
  <c r="Y1310" i="3" s="1"/>
  <c r="X1310" i="3" a="1"/>
  <c r="X1310" i="3" s="1"/>
  <c r="W1310" i="3" a="1"/>
  <c r="W1310" i="3" s="1"/>
  <c r="V1310" i="3" a="1"/>
  <c r="V1310" i="3" s="1"/>
  <c r="Y1309" i="3" a="1"/>
  <c r="Y1309" i="3" s="1"/>
  <c r="X1309" i="3" a="1"/>
  <c r="X1309" i="3" s="1"/>
  <c r="W1309" i="3" a="1"/>
  <c r="W1309" i="3" s="1"/>
  <c r="V1309" i="3" a="1"/>
  <c r="V1309" i="3" s="1"/>
  <c r="Y1308" i="3" a="1"/>
  <c r="Y1308" i="3" s="1"/>
  <c r="X1308" i="3" a="1"/>
  <c r="X1308" i="3" s="1"/>
  <c r="W1308" i="3" a="1"/>
  <c r="W1308" i="3" s="1"/>
  <c r="V1308" i="3" a="1"/>
  <c r="V1308" i="3" s="1"/>
  <c r="Y1307" i="3" a="1"/>
  <c r="Y1307" i="3" s="1"/>
  <c r="X1307" i="3" a="1"/>
  <c r="X1307" i="3" s="1"/>
  <c r="W1307" i="3" a="1"/>
  <c r="W1307" i="3" s="1"/>
  <c r="V1307" i="3" a="1"/>
  <c r="V1307" i="3" s="1"/>
  <c r="Y1306" i="3" a="1"/>
  <c r="Y1306" i="3" s="1"/>
  <c r="X1306" i="3" a="1"/>
  <c r="X1306" i="3" s="1"/>
  <c r="W1306" i="3" a="1"/>
  <c r="W1306" i="3" s="1"/>
  <c r="V1306" i="3" a="1"/>
  <c r="V1306" i="3" s="1"/>
  <c r="Y1305" i="3" a="1"/>
  <c r="Y1305" i="3" s="1"/>
  <c r="X1305" i="3" a="1"/>
  <c r="X1305" i="3" s="1"/>
  <c r="W1305" i="3" a="1"/>
  <c r="W1305" i="3" s="1"/>
  <c r="V1305" i="3" a="1"/>
  <c r="V1305" i="3" s="1"/>
  <c r="Y1304" i="3" a="1"/>
  <c r="Y1304" i="3" s="1"/>
  <c r="X1304" i="3" a="1"/>
  <c r="X1304" i="3" s="1"/>
  <c r="W1304" i="3" a="1"/>
  <c r="W1304" i="3" s="1"/>
  <c r="V1304" i="3" a="1"/>
  <c r="V1304" i="3" s="1"/>
  <c r="Y1303" i="3" a="1"/>
  <c r="Y1303" i="3" s="1"/>
  <c r="X1303" i="3" a="1"/>
  <c r="X1303" i="3" s="1"/>
  <c r="W1303" i="3" a="1"/>
  <c r="W1303" i="3" s="1"/>
  <c r="V1303" i="3" a="1"/>
  <c r="V1303" i="3" s="1"/>
  <c r="Y1302" i="3" a="1"/>
  <c r="Y1302" i="3" s="1"/>
  <c r="X1302" i="3" a="1"/>
  <c r="X1302" i="3" s="1"/>
  <c r="W1302" i="3" a="1"/>
  <c r="W1302" i="3" s="1"/>
  <c r="V1302" i="3" a="1"/>
  <c r="V1302" i="3" s="1"/>
  <c r="Y1301" i="3" a="1"/>
  <c r="Y1301" i="3" s="1"/>
  <c r="X1301" i="3" a="1"/>
  <c r="X1301" i="3" s="1"/>
  <c r="W1301" i="3" a="1"/>
  <c r="W1301" i="3" s="1"/>
  <c r="V1301" i="3" a="1"/>
  <c r="V1301" i="3" s="1"/>
  <c r="Y1300" i="3" a="1"/>
  <c r="Y1300" i="3" s="1"/>
  <c r="X1300" i="3" a="1"/>
  <c r="X1300" i="3" s="1"/>
  <c r="W1300" i="3" a="1"/>
  <c r="W1300" i="3" s="1"/>
  <c r="V1300" i="3" a="1"/>
  <c r="V1300" i="3" s="1"/>
  <c r="Y1299" i="3" a="1"/>
  <c r="Y1299" i="3" s="1"/>
  <c r="X1299" i="3" a="1"/>
  <c r="X1299" i="3" s="1"/>
  <c r="W1299" i="3" a="1"/>
  <c r="W1299" i="3" s="1"/>
  <c r="V1299" i="3" a="1"/>
  <c r="V1299" i="3" s="1"/>
  <c r="Y1298" i="3" a="1"/>
  <c r="Y1298" i="3" s="1"/>
  <c r="X1298" i="3" a="1"/>
  <c r="X1298" i="3" s="1"/>
  <c r="W1298" i="3" a="1"/>
  <c r="W1298" i="3" s="1"/>
  <c r="V1298" i="3" a="1"/>
  <c r="V1298" i="3" s="1"/>
  <c r="Y1297" i="3" a="1"/>
  <c r="Y1297" i="3" s="1"/>
  <c r="X1297" i="3" a="1"/>
  <c r="X1297" i="3" s="1"/>
  <c r="W1297" i="3" a="1"/>
  <c r="W1297" i="3" s="1"/>
  <c r="V1297" i="3" a="1"/>
  <c r="V1297" i="3" s="1"/>
  <c r="Y1296" i="3" a="1"/>
  <c r="Y1296" i="3" s="1"/>
  <c r="X1296" i="3" a="1"/>
  <c r="X1296" i="3" s="1"/>
  <c r="W1296" i="3" a="1"/>
  <c r="W1296" i="3" s="1"/>
  <c r="V1296" i="3" a="1"/>
  <c r="V1296" i="3" s="1"/>
  <c r="Y1295" i="3" a="1"/>
  <c r="Y1295" i="3" s="1"/>
  <c r="X1295" i="3" a="1"/>
  <c r="X1295" i="3" s="1"/>
  <c r="W1295" i="3" a="1"/>
  <c r="W1295" i="3" s="1"/>
  <c r="V1295" i="3" a="1"/>
  <c r="V1295" i="3" s="1"/>
  <c r="Y1294" i="3" a="1"/>
  <c r="Y1294" i="3" s="1"/>
  <c r="X1294" i="3" a="1"/>
  <c r="X1294" i="3" s="1"/>
  <c r="W1294" i="3" a="1"/>
  <c r="W1294" i="3" s="1"/>
  <c r="V1294" i="3" a="1"/>
  <c r="V1294" i="3" s="1"/>
  <c r="Y1293" i="3" a="1"/>
  <c r="Y1293" i="3" s="1"/>
  <c r="X1293" i="3" a="1"/>
  <c r="X1293" i="3" s="1"/>
  <c r="W1293" i="3" a="1"/>
  <c r="W1293" i="3" s="1"/>
  <c r="V1293" i="3" a="1"/>
  <c r="V1293" i="3" s="1"/>
  <c r="Y1292" i="3" a="1"/>
  <c r="Y1292" i="3" s="1"/>
  <c r="X1292" i="3" a="1"/>
  <c r="X1292" i="3" s="1"/>
  <c r="W1292" i="3" a="1"/>
  <c r="W1292" i="3" s="1"/>
  <c r="V1292" i="3" a="1"/>
  <c r="V1292" i="3" s="1"/>
  <c r="Y1291" i="3" a="1"/>
  <c r="Y1291" i="3" s="1"/>
  <c r="X1291" i="3" a="1"/>
  <c r="X1291" i="3" s="1"/>
  <c r="W1291" i="3" a="1"/>
  <c r="W1291" i="3" s="1"/>
  <c r="V1291" i="3" a="1"/>
  <c r="V1291" i="3" s="1"/>
  <c r="Y1290" i="3" a="1"/>
  <c r="Y1290" i="3" s="1"/>
  <c r="X1290" i="3" a="1"/>
  <c r="X1290" i="3" s="1"/>
  <c r="W1290" i="3" a="1"/>
  <c r="W1290" i="3" s="1"/>
  <c r="V1290" i="3" a="1"/>
  <c r="V1290" i="3" s="1"/>
  <c r="Y1289" i="3" a="1"/>
  <c r="Y1289" i="3" s="1"/>
  <c r="X1289" i="3" a="1"/>
  <c r="X1289" i="3" s="1"/>
  <c r="W1289" i="3" a="1"/>
  <c r="W1289" i="3" s="1"/>
  <c r="V1289" i="3" a="1"/>
  <c r="V1289" i="3" s="1"/>
  <c r="Y1288" i="3" a="1"/>
  <c r="Y1288" i="3" s="1"/>
  <c r="X1288" i="3" a="1"/>
  <c r="X1288" i="3" s="1"/>
  <c r="W1288" i="3" a="1"/>
  <c r="W1288" i="3" s="1"/>
  <c r="V1288" i="3" a="1"/>
  <c r="V1288" i="3" s="1"/>
  <c r="Y1287" i="3" a="1"/>
  <c r="Y1287" i="3" s="1"/>
  <c r="X1287" i="3" a="1"/>
  <c r="X1287" i="3" s="1"/>
  <c r="W1287" i="3" a="1"/>
  <c r="W1287" i="3" s="1"/>
  <c r="V1287" i="3" a="1"/>
  <c r="V1287" i="3" s="1"/>
  <c r="Y1286" i="3" a="1"/>
  <c r="Y1286" i="3" s="1"/>
  <c r="X1286" i="3" a="1"/>
  <c r="X1286" i="3" s="1"/>
  <c r="W1286" i="3" a="1"/>
  <c r="W1286" i="3" s="1"/>
  <c r="V1286" i="3" a="1"/>
  <c r="V1286" i="3" s="1"/>
  <c r="Y1285" i="3" a="1"/>
  <c r="Y1285" i="3" s="1"/>
  <c r="X1285" i="3" a="1"/>
  <c r="X1285" i="3" s="1"/>
  <c r="W1285" i="3" a="1"/>
  <c r="W1285" i="3" s="1"/>
  <c r="V1285" i="3" a="1"/>
  <c r="V1285" i="3" s="1"/>
  <c r="Y1284" i="3" a="1"/>
  <c r="Y1284" i="3" s="1"/>
  <c r="X1284" i="3" a="1"/>
  <c r="X1284" i="3" s="1"/>
  <c r="W1284" i="3" a="1"/>
  <c r="W1284" i="3" s="1"/>
  <c r="V1284" i="3" a="1"/>
  <c r="V1284" i="3" s="1"/>
  <c r="Y1283" i="3" a="1"/>
  <c r="Y1283" i="3" s="1"/>
  <c r="X1283" i="3" a="1"/>
  <c r="X1283" i="3" s="1"/>
  <c r="W1283" i="3" a="1"/>
  <c r="W1283" i="3" s="1"/>
  <c r="V1283" i="3" a="1"/>
  <c r="V1283" i="3" s="1"/>
  <c r="Y1282" i="3" a="1"/>
  <c r="Y1282" i="3" s="1"/>
  <c r="X1282" i="3" a="1"/>
  <c r="X1282" i="3" s="1"/>
  <c r="W1282" i="3" a="1"/>
  <c r="W1282" i="3" s="1"/>
  <c r="V1282" i="3" a="1"/>
  <c r="V1282" i="3" s="1"/>
  <c r="Y1281" i="3" a="1"/>
  <c r="Y1281" i="3" s="1"/>
  <c r="X1281" i="3" a="1"/>
  <c r="X1281" i="3" s="1"/>
  <c r="W1281" i="3" a="1"/>
  <c r="W1281" i="3" s="1"/>
  <c r="V1281" i="3" a="1"/>
  <c r="V1281" i="3" s="1"/>
  <c r="Y1280" i="3" a="1"/>
  <c r="Y1280" i="3" s="1"/>
  <c r="X1280" i="3" a="1"/>
  <c r="X1280" i="3" s="1"/>
  <c r="W1280" i="3" a="1"/>
  <c r="W1280" i="3" s="1"/>
  <c r="V1280" i="3" a="1"/>
  <c r="V1280" i="3" s="1"/>
  <c r="Y1279" i="3" a="1"/>
  <c r="Y1279" i="3" s="1"/>
  <c r="X1279" i="3" a="1"/>
  <c r="X1279" i="3" s="1"/>
  <c r="W1279" i="3" a="1"/>
  <c r="W1279" i="3" s="1"/>
  <c r="V1279" i="3" a="1"/>
  <c r="V1279" i="3" s="1"/>
  <c r="Y1278" i="3" a="1"/>
  <c r="Y1278" i="3" s="1"/>
  <c r="X1278" i="3" a="1"/>
  <c r="X1278" i="3" s="1"/>
  <c r="W1278" i="3" a="1"/>
  <c r="W1278" i="3" s="1"/>
  <c r="V1278" i="3" a="1"/>
  <c r="V1278" i="3" s="1"/>
  <c r="Y1277" i="3" a="1"/>
  <c r="Y1277" i="3" s="1"/>
  <c r="X1277" i="3" a="1"/>
  <c r="X1277" i="3" s="1"/>
  <c r="W1277" i="3" a="1"/>
  <c r="W1277" i="3" s="1"/>
  <c r="V1277" i="3" a="1"/>
  <c r="V1277" i="3" s="1"/>
  <c r="Y1276" i="3" a="1"/>
  <c r="Y1276" i="3" s="1"/>
  <c r="X1276" i="3" a="1"/>
  <c r="X1276" i="3" s="1"/>
  <c r="W1276" i="3" a="1"/>
  <c r="W1276" i="3" s="1"/>
  <c r="V1276" i="3" a="1"/>
  <c r="V1276" i="3" s="1"/>
  <c r="Y1275" i="3" a="1"/>
  <c r="Y1275" i="3" s="1"/>
  <c r="X1275" i="3" a="1"/>
  <c r="X1275" i="3" s="1"/>
  <c r="W1275" i="3" a="1"/>
  <c r="W1275" i="3" s="1"/>
  <c r="V1275" i="3" a="1"/>
  <c r="V1275" i="3" s="1"/>
  <c r="Y1274" i="3" a="1"/>
  <c r="Y1274" i="3" s="1"/>
  <c r="X1274" i="3" a="1"/>
  <c r="X1274" i="3" s="1"/>
  <c r="W1274" i="3" a="1"/>
  <c r="W1274" i="3" s="1"/>
  <c r="V1274" i="3" a="1"/>
  <c r="V1274" i="3" s="1"/>
  <c r="Y1273" i="3" a="1"/>
  <c r="Y1273" i="3" s="1"/>
  <c r="X1273" i="3" a="1"/>
  <c r="X1273" i="3" s="1"/>
  <c r="W1273" i="3" a="1"/>
  <c r="W1273" i="3" s="1"/>
  <c r="V1273" i="3" a="1"/>
  <c r="V1273" i="3" s="1"/>
  <c r="Y1272" i="3" a="1"/>
  <c r="Y1272" i="3" s="1"/>
  <c r="X1272" i="3" a="1"/>
  <c r="X1272" i="3" s="1"/>
  <c r="W1272" i="3" a="1"/>
  <c r="W1272" i="3" s="1"/>
  <c r="V1272" i="3" a="1"/>
  <c r="V1272" i="3" s="1"/>
  <c r="Y1271" i="3" a="1"/>
  <c r="Y1271" i="3" s="1"/>
  <c r="X1271" i="3" a="1"/>
  <c r="X1271" i="3" s="1"/>
  <c r="W1271" i="3" a="1"/>
  <c r="W1271" i="3" s="1"/>
  <c r="V1271" i="3" a="1"/>
  <c r="V1271" i="3" s="1"/>
  <c r="Y1270" i="3" a="1"/>
  <c r="Y1270" i="3" s="1"/>
  <c r="X1270" i="3" a="1"/>
  <c r="X1270" i="3" s="1"/>
  <c r="W1270" i="3" a="1"/>
  <c r="W1270" i="3" s="1"/>
  <c r="V1270" i="3" a="1"/>
  <c r="V1270" i="3" s="1"/>
  <c r="Y1269" i="3" a="1"/>
  <c r="Y1269" i="3" s="1"/>
  <c r="X1269" i="3" a="1"/>
  <c r="X1269" i="3" s="1"/>
  <c r="W1269" i="3" a="1"/>
  <c r="W1269" i="3" s="1"/>
  <c r="V1269" i="3" a="1"/>
  <c r="V1269" i="3" s="1"/>
  <c r="Y1268" i="3" a="1"/>
  <c r="Y1268" i="3" s="1"/>
  <c r="X1268" i="3" a="1"/>
  <c r="X1268" i="3" s="1"/>
  <c r="W1268" i="3" a="1"/>
  <c r="W1268" i="3" s="1"/>
  <c r="V1268" i="3" a="1"/>
  <c r="V1268" i="3" s="1"/>
  <c r="Y1267" i="3" a="1"/>
  <c r="Y1267" i="3" s="1"/>
  <c r="X1267" i="3" a="1"/>
  <c r="X1267" i="3" s="1"/>
  <c r="W1267" i="3" a="1"/>
  <c r="W1267" i="3" s="1"/>
  <c r="V1267" i="3" a="1"/>
  <c r="V1267" i="3" s="1"/>
  <c r="Y1266" i="3" a="1"/>
  <c r="Y1266" i="3" s="1"/>
  <c r="X1266" i="3" a="1"/>
  <c r="X1266" i="3" s="1"/>
  <c r="W1266" i="3" a="1"/>
  <c r="W1266" i="3" s="1"/>
  <c r="V1266" i="3" a="1"/>
  <c r="V1266" i="3" s="1"/>
  <c r="Y1265" i="3" a="1"/>
  <c r="Y1265" i="3" s="1"/>
  <c r="X1265" i="3" a="1"/>
  <c r="X1265" i="3" s="1"/>
  <c r="W1265" i="3" a="1"/>
  <c r="W1265" i="3" s="1"/>
  <c r="V1265" i="3" a="1"/>
  <c r="V1265" i="3" s="1"/>
  <c r="Y1264" i="3" a="1"/>
  <c r="Y1264" i="3" s="1"/>
  <c r="X1264" i="3" a="1"/>
  <c r="X1264" i="3" s="1"/>
  <c r="W1264" i="3" a="1"/>
  <c r="W1264" i="3" s="1"/>
  <c r="V1264" i="3" a="1"/>
  <c r="V1264" i="3" s="1"/>
  <c r="Y1263" i="3" a="1"/>
  <c r="Y1263" i="3" s="1"/>
  <c r="X1263" i="3" a="1"/>
  <c r="X1263" i="3" s="1"/>
  <c r="W1263" i="3" a="1"/>
  <c r="W1263" i="3" s="1"/>
  <c r="V1263" i="3" a="1"/>
  <c r="V1263" i="3" s="1"/>
  <c r="Y1262" i="3" a="1"/>
  <c r="Y1262" i="3" s="1"/>
  <c r="X1262" i="3" a="1"/>
  <c r="X1262" i="3" s="1"/>
  <c r="W1262" i="3" a="1"/>
  <c r="W1262" i="3" s="1"/>
  <c r="V1262" i="3" a="1"/>
  <c r="V1262" i="3" s="1"/>
  <c r="Y1261" i="3" a="1"/>
  <c r="Y1261" i="3" s="1"/>
  <c r="X1261" i="3" a="1"/>
  <c r="X1261" i="3" s="1"/>
  <c r="W1261" i="3" a="1"/>
  <c r="W1261" i="3" s="1"/>
  <c r="V1261" i="3" a="1"/>
  <c r="V1261" i="3" s="1"/>
  <c r="Y1260" i="3" a="1"/>
  <c r="Y1260" i="3" s="1"/>
  <c r="X1260" i="3" a="1"/>
  <c r="X1260" i="3" s="1"/>
  <c r="W1260" i="3" a="1"/>
  <c r="W1260" i="3" s="1"/>
  <c r="V1260" i="3" a="1"/>
  <c r="V1260" i="3" s="1"/>
  <c r="Y1259" i="3" a="1"/>
  <c r="Y1259" i="3" s="1"/>
  <c r="X1259" i="3" a="1"/>
  <c r="X1259" i="3" s="1"/>
  <c r="W1259" i="3" a="1"/>
  <c r="W1259" i="3" s="1"/>
  <c r="V1259" i="3" a="1"/>
  <c r="V1259" i="3" s="1"/>
  <c r="Y1258" i="3" a="1"/>
  <c r="Y1258" i="3" s="1"/>
  <c r="X1258" i="3" a="1"/>
  <c r="X1258" i="3" s="1"/>
  <c r="W1258" i="3" a="1"/>
  <c r="W1258" i="3" s="1"/>
  <c r="V1258" i="3" a="1"/>
  <c r="V1258" i="3" s="1"/>
  <c r="Y1257" i="3" a="1"/>
  <c r="Y1257" i="3" s="1"/>
  <c r="X1257" i="3" a="1"/>
  <c r="X1257" i="3" s="1"/>
  <c r="W1257" i="3" a="1"/>
  <c r="W1257" i="3" s="1"/>
  <c r="V1257" i="3" a="1"/>
  <c r="V1257" i="3" s="1"/>
  <c r="Y1256" i="3" a="1"/>
  <c r="Y1256" i="3" s="1"/>
  <c r="X1256" i="3" a="1"/>
  <c r="X1256" i="3" s="1"/>
  <c r="W1256" i="3" a="1"/>
  <c r="W1256" i="3" s="1"/>
  <c r="V1256" i="3" a="1"/>
  <c r="V1256" i="3" s="1"/>
  <c r="Y1255" i="3" a="1"/>
  <c r="Y1255" i="3" s="1"/>
  <c r="X1255" i="3" a="1"/>
  <c r="X1255" i="3" s="1"/>
  <c r="W1255" i="3" a="1"/>
  <c r="W1255" i="3" s="1"/>
  <c r="V1255" i="3" a="1"/>
  <c r="V1255" i="3" s="1"/>
  <c r="Y1254" i="3" a="1"/>
  <c r="Y1254" i="3" s="1"/>
  <c r="X1254" i="3" a="1"/>
  <c r="X1254" i="3" s="1"/>
  <c r="W1254" i="3" a="1"/>
  <c r="W1254" i="3" s="1"/>
  <c r="V1254" i="3" a="1"/>
  <c r="V1254" i="3" s="1"/>
  <c r="Y1253" i="3" a="1"/>
  <c r="Y1253" i="3" s="1"/>
  <c r="X1253" i="3" a="1"/>
  <c r="X1253" i="3" s="1"/>
  <c r="W1253" i="3" a="1"/>
  <c r="W1253" i="3" s="1"/>
  <c r="V1253" i="3" a="1"/>
  <c r="V1253" i="3" s="1"/>
  <c r="Y1252" i="3" a="1"/>
  <c r="Y1252" i="3" s="1"/>
  <c r="X1252" i="3" a="1"/>
  <c r="X1252" i="3" s="1"/>
  <c r="W1252" i="3" a="1"/>
  <c r="W1252" i="3" s="1"/>
  <c r="V1252" i="3" a="1"/>
  <c r="V1252" i="3" s="1"/>
  <c r="Y1251" i="3" a="1"/>
  <c r="Y1251" i="3" s="1"/>
  <c r="X1251" i="3" a="1"/>
  <c r="X1251" i="3" s="1"/>
  <c r="W1251" i="3" a="1"/>
  <c r="W1251" i="3" s="1"/>
  <c r="V1251" i="3" a="1"/>
  <c r="V1251" i="3" s="1"/>
  <c r="Y1250" i="3" a="1"/>
  <c r="Y1250" i="3" s="1"/>
  <c r="X1250" i="3" a="1"/>
  <c r="X1250" i="3" s="1"/>
  <c r="W1250" i="3" a="1"/>
  <c r="W1250" i="3" s="1"/>
  <c r="V1250" i="3" a="1"/>
  <c r="V1250" i="3" s="1"/>
  <c r="Y1249" i="3" a="1"/>
  <c r="Y1249" i="3" s="1"/>
  <c r="X1249" i="3" a="1"/>
  <c r="X1249" i="3" s="1"/>
  <c r="W1249" i="3" a="1"/>
  <c r="W1249" i="3" s="1"/>
  <c r="V1249" i="3" a="1"/>
  <c r="V1249" i="3" s="1"/>
  <c r="Y1248" i="3" a="1"/>
  <c r="Y1248" i="3" s="1"/>
  <c r="X1248" i="3" a="1"/>
  <c r="X1248" i="3" s="1"/>
  <c r="W1248" i="3" a="1"/>
  <c r="W1248" i="3" s="1"/>
  <c r="V1248" i="3" a="1"/>
  <c r="V1248" i="3" s="1"/>
  <c r="Y1247" i="3" a="1"/>
  <c r="Y1247" i="3" s="1"/>
  <c r="X1247" i="3" a="1"/>
  <c r="X1247" i="3" s="1"/>
  <c r="W1247" i="3" a="1"/>
  <c r="W1247" i="3" s="1"/>
  <c r="V1247" i="3" a="1"/>
  <c r="V1247" i="3" s="1"/>
  <c r="Y1246" i="3" a="1"/>
  <c r="Y1246" i="3" s="1"/>
  <c r="X1246" i="3" a="1"/>
  <c r="X1246" i="3" s="1"/>
  <c r="W1246" i="3" a="1"/>
  <c r="W1246" i="3" s="1"/>
  <c r="V1246" i="3" a="1"/>
  <c r="V1246" i="3" s="1"/>
  <c r="Y1245" i="3" a="1"/>
  <c r="Y1245" i="3" s="1"/>
  <c r="X1245" i="3" a="1"/>
  <c r="X1245" i="3" s="1"/>
  <c r="W1245" i="3" a="1"/>
  <c r="W1245" i="3" s="1"/>
  <c r="V1245" i="3" a="1"/>
  <c r="V1245" i="3" s="1"/>
  <c r="Y1244" i="3" a="1"/>
  <c r="Y1244" i="3" s="1"/>
  <c r="X1244" i="3" a="1"/>
  <c r="X1244" i="3" s="1"/>
  <c r="W1244" i="3" a="1"/>
  <c r="W1244" i="3" s="1"/>
  <c r="V1244" i="3" a="1"/>
  <c r="V1244" i="3" s="1"/>
  <c r="Y1243" i="3" a="1"/>
  <c r="Y1243" i="3" s="1"/>
  <c r="X1243" i="3" a="1"/>
  <c r="X1243" i="3" s="1"/>
  <c r="W1243" i="3" a="1"/>
  <c r="W1243" i="3" s="1"/>
  <c r="V1243" i="3" a="1"/>
  <c r="V1243" i="3" s="1"/>
  <c r="Y1242" i="3" a="1"/>
  <c r="Y1242" i="3" s="1"/>
  <c r="X1242" i="3" a="1"/>
  <c r="X1242" i="3" s="1"/>
  <c r="W1242" i="3" a="1"/>
  <c r="W1242" i="3" s="1"/>
  <c r="V1242" i="3" a="1"/>
  <c r="V1242" i="3" s="1"/>
  <c r="Y1241" i="3" a="1"/>
  <c r="Y1241" i="3" s="1"/>
  <c r="X1241" i="3" a="1"/>
  <c r="X1241" i="3" s="1"/>
  <c r="W1241" i="3" a="1"/>
  <c r="W1241" i="3" s="1"/>
  <c r="V1241" i="3" a="1"/>
  <c r="V1241" i="3" s="1"/>
  <c r="Y1240" i="3" a="1"/>
  <c r="Y1240" i="3" s="1"/>
  <c r="X1240" i="3" a="1"/>
  <c r="X1240" i="3" s="1"/>
  <c r="W1240" i="3" a="1"/>
  <c r="W1240" i="3" s="1"/>
  <c r="V1240" i="3" a="1"/>
  <c r="V1240" i="3" s="1"/>
  <c r="Y1239" i="3" a="1"/>
  <c r="Y1239" i="3" s="1"/>
  <c r="X1239" i="3" a="1"/>
  <c r="X1239" i="3" s="1"/>
  <c r="W1239" i="3" a="1"/>
  <c r="W1239" i="3" s="1"/>
  <c r="V1239" i="3" a="1"/>
  <c r="V1239" i="3" s="1"/>
  <c r="Y1238" i="3" a="1"/>
  <c r="Y1238" i="3" s="1"/>
  <c r="X1238" i="3" a="1"/>
  <c r="X1238" i="3" s="1"/>
  <c r="W1238" i="3" a="1"/>
  <c r="W1238" i="3" s="1"/>
  <c r="V1238" i="3" a="1"/>
  <c r="V1238" i="3" s="1"/>
  <c r="Y1237" i="3" a="1"/>
  <c r="Y1237" i="3" s="1"/>
  <c r="X1237" i="3" a="1"/>
  <c r="X1237" i="3" s="1"/>
  <c r="W1237" i="3" a="1"/>
  <c r="W1237" i="3" s="1"/>
  <c r="V1237" i="3" a="1"/>
  <c r="V1237" i="3" s="1"/>
  <c r="Y1236" i="3" a="1"/>
  <c r="Y1236" i="3" s="1"/>
  <c r="X1236" i="3" a="1"/>
  <c r="X1236" i="3" s="1"/>
  <c r="W1236" i="3" a="1"/>
  <c r="W1236" i="3" s="1"/>
  <c r="V1236" i="3" a="1"/>
  <c r="V1236" i="3" s="1"/>
  <c r="Y1235" i="3" a="1"/>
  <c r="Y1235" i="3" s="1"/>
  <c r="X1235" i="3" a="1"/>
  <c r="X1235" i="3" s="1"/>
  <c r="W1235" i="3" a="1"/>
  <c r="W1235" i="3" s="1"/>
  <c r="V1235" i="3" a="1"/>
  <c r="V1235" i="3" s="1"/>
  <c r="Y1234" i="3" a="1"/>
  <c r="Y1234" i="3" s="1"/>
  <c r="X1234" i="3" a="1"/>
  <c r="X1234" i="3" s="1"/>
  <c r="W1234" i="3" a="1"/>
  <c r="W1234" i="3" s="1"/>
  <c r="V1234" i="3" a="1"/>
  <c r="V1234" i="3" s="1"/>
  <c r="Y1233" i="3" a="1"/>
  <c r="Y1233" i="3" s="1"/>
  <c r="X1233" i="3" a="1"/>
  <c r="X1233" i="3" s="1"/>
  <c r="W1233" i="3" a="1"/>
  <c r="W1233" i="3" s="1"/>
  <c r="V1233" i="3" a="1"/>
  <c r="V1233" i="3" s="1"/>
  <c r="Y1232" i="3" a="1"/>
  <c r="Y1232" i="3" s="1"/>
  <c r="X1232" i="3" a="1"/>
  <c r="X1232" i="3" s="1"/>
  <c r="W1232" i="3" a="1"/>
  <c r="W1232" i="3" s="1"/>
  <c r="V1232" i="3" a="1"/>
  <c r="V1232" i="3" s="1"/>
  <c r="Y1231" i="3" a="1"/>
  <c r="Y1231" i="3" s="1"/>
  <c r="X1231" i="3" a="1"/>
  <c r="X1231" i="3" s="1"/>
  <c r="W1231" i="3" a="1"/>
  <c r="W1231" i="3" s="1"/>
  <c r="V1231" i="3" a="1"/>
  <c r="V1231" i="3" s="1"/>
  <c r="Y1230" i="3" a="1"/>
  <c r="Y1230" i="3" s="1"/>
  <c r="X1230" i="3" a="1"/>
  <c r="X1230" i="3" s="1"/>
  <c r="W1230" i="3" a="1"/>
  <c r="W1230" i="3" s="1"/>
  <c r="V1230" i="3" a="1"/>
  <c r="V1230" i="3" s="1"/>
  <c r="Y1229" i="3" a="1"/>
  <c r="Y1229" i="3" s="1"/>
  <c r="X1229" i="3" a="1"/>
  <c r="X1229" i="3" s="1"/>
  <c r="W1229" i="3" a="1"/>
  <c r="W1229" i="3" s="1"/>
  <c r="V1229" i="3" a="1"/>
  <c r="V1229" i="3" s="1"/>
  <c r="Y1228" i="3" a="1"/>
  <c r="Y1228" i="3" s="1"/>
  <c r="X1228" i="3" a="1"/>
  <c r="X1228" i="3" s="1"/>
  <c r="W1228" i="3" a="1"/>
  <c r="W1228" i="3" s="1"/>
  <c r="V1228" i="3" a="1"/>
  <c r="V1228" i="3" s="1"/>
  <c r="Y1227" i="3" a="1"/>
  <c r="Y1227" i="3" s="1"/>
  <c r="X1227" i="3" a="1"/>
  <c r="X1227" i="3" s="1"/>
  <c r="W1227" i="3" a="1"/>
  <c r="W1227" i="3" s="1"/>
  <c r="V1227" i="3" a="1"/>
  <c r="V1227" i="3" s="1"/>
  <c r="Y1226" i="3" a="1"/>
  <c r="Y1226" i="3" s="1"/>
  <c r="X1226" i="3" a="1"/>
  <c r="X1226" i="3" s="1"/>
  <c r="W1226" i="3" a="1"/>
  <c r="W1226" i="3" s="1"/>
  <c r="V1226" i="3" a="1"/>
  <c r="V1226" i="3" s="1"/>
  <c r="Y1225" i="3" a="1"/>
  <c r="Y1225" i="3" s="1"/>
  <c r="X1225" i="3" a="1"/>
  <c r="X1225" i="3" s="1"/>
  <c r="W1225" i="3" a="1"/>
  <c r="W1225" i="3" s="1"/>
  <c r="V1225" i="3" a="1"/>
  <c r="V1225" i="3" s="1"/>
  <c r="Y1224" i="3" a="1"/>
  <c r="Y1224" i="3" s="1"/>
  <c r="X1224" i="3" a="1"/>
  <c r="X1224" i="3" s="1"/>
  <c r="W1224" i="3" a="1"/>
  <c r="W1224" i="3" s="1"/>
  <c r="V1224" i="3" a="1"/>
  <c r="V1224" i="3" s="1"/>
  <c r="Y1223" i="3" a="1"/>
  <c r="Y1223" i="3" s="1"/>
  <c r="X1223" i="3" a="1"/>
  <c r="X1223" i="3" s="1"/>
  <c r="W1223" i="3" a="1"/>
  <c r="W1223" i="3" s="1"/>
  <c r="V1223" i="3" a="1"/>
  <c r="V1223" i="3" s="1"/>
  <c r="Y1222" i="3" a="1"/>
  <c r="Y1222" i="3" s="1"/>
  <c r="X1222" i="3" a="1"/>
  <c r="X1222" i="3" s="1"/>
  <c r="W1222" i="3" a="1"/>
  <c r="W1222" i="3" s="1"/>
  <c r="V1222" i="3" a="1"/>
  <c r="V1222" i="3" s="1"/>
  <c r="Y1221" i="3" a="1"/>
  <c r="Y1221" i="3" s="1"/>
  <c r="X1221" i="3" a="1"/>
  <c r="X1221" i="3" s="1"/>
  <c r="W1221" i="3" a="1"/>
  <c r="W1221" i="3" s="1"/>
  <c r="V1221" i="3" a="1"/>
  <c r="V1221" i="3" s="1"/>
  <c r="Y1220" i="3" a="1"/>
  <c r="Y1220" i="3" s="1"/>
  <c r="X1220" i="3" a="1"/>
  <c r="X1220" i="3" s="1"/>
  <c r="W1220" i="3" a="1"/>
  <c r="W1220" i="3" s="1"/>
  <c r="V1220" i="3" a="1"/>
  <c r="V1220" i="3" s="1"/>
  <c r="Y1219" i="3" a="1"/>
  <c r="Y1219" i="3" s="1"/>
  <c r="X1219" i="3" a="1"/>
  <c r="X1219" i="3" s="1"/>
  <c r="W1219" i="3" a="1"/>
  <c r="W1219" i="3" s="1"/>
  <c r="V1219" i="3" a="1"/>
  <c r="V1219" i="3" s="1"/>
  <c r="Y1218" i="3" a="1"/>
  <c r="Y1218" i="3" s="1"/>
  <c r="X1218" i="3" a="1"/>
  <c r="X1218" i="3" s="1"/>
  <c r="W1218" i="3" a="1"/>
  <c r="W1218" i="3" s="1"/>
  <c r="V1218" i="3" a="1"/>
  <c r="V1218" i="3" s="1"/>
  <c r="Y1217" i="3" a="1"/>
  <c r="Y1217" i="3" s="1"/>
  <c r="X1217" i="3" a="1"/>
  <c r="X1217" i="3" s="1"/>
  <c r="W1217" i="3" a="1"/>
  <c r="W1217" i="3" s="1"/>
  <c r="V1217" i="3" a="1"/>
  <c r="V1217" i="3" s="1"/>
  <c r="Y1216" i="3" a="1"/>
  <c r="Y1216" i="3" s="1"/>
  <c r="X1216" i="3" a="1"/>
  <c r="X1216" i="3" s="1"/>
  <c r="W1216" i="3" a="1"/>
  <c r="W1216" i="3" s="1"/>
  <c r="V1216" i="3" a="1"/>
  <c r="V1216" i="3" s="1"/>
  <c r="Y1215" i="3" a="1"/>
  <c r="Y1215" i="3" s="1"/>
  <c r="X1215" i="3" a="1"/>
  <c r="X1215" i="3" s="1"/>
  <c r="W1215" i="3" a="1"/>
  <c r="W1215" i="3" s="1"/>
  <c r="V1215" i="3" a="1"/>
  <c r="V1215" i="3" s="1"/>
  <c r="Y1214" i="3" a="1"/>
  <c r="Y1214" i="3" s="1"/>
  <c r="X1214" i="3" a="1"/>
  <c r="X1214" i="3" s="1"/>
  <c r="W1214" i="3" a="1"/>
  <c r="W1214" i="3" s="1"/>
  <c r="V1214" i="3" a="1"/>
  <c r="V1214" i="3" s="1"/>
  <c r="Y1213" i="3" a="1"/>
  <c r="Y1213" i="3" s="1"/>
  <c r="X1213" i="3" a="1"/>
  <c r="X1213" i="3" s="1"/>
  <c r="W1213" i="3" a="1"/>
  <c r="W1213" i="3" s="1"/>
  <c r="V1213" i="3" a="1"/>
  <c r="V1213" i="3" s="1"/>
  <c r="Y1212" i="3" a="1"/>
  <c r="Y1212" i="3" s="1"/>
  <c r="X1212" i="3" a="1"/>
  <c r="X1212" i="3" s="1"/>
  <c r="W1212" i="3" a="1"/>
  <c r="W1212" i="3" s="1"/>
  <c r="V1212" i="3" a="1"/>
  <c r="V1212" i="3" s="1"/>
  <c r="Y1211" i="3" a="1"/>
  <c r="Y1211" i="3" s="1"/>
  <c r="X1211" i="3" a="1"/>
  <c r="X1211" i="3" s="1"/>
  <c r="W1211" i="3" a="1"/>
  <c r="W1211" i="3" s="1"/>
  <c r="V1211" i="3" a="1"/>
  <c r="V1211" i="3" s="1"/>
  <c r="Y1210" i="3" a="1"/>
  <c r="Y1210" i="3" s="1"/>
  <c r="X1210" i="3" a="1"/>
  <c r="X1210" i="3" s="1"/>
  <c r="W1210" i="3" a="1"/>
  <c r="W1210" i="3" s="1"/>
  <c r="V1210" i="3" a="1"/>
  <c r="V1210" i="3" s="1"/>
  <c r="Y1209" i="3" a="1"/>
  <c r="Y1209" i="3" s="1"/>
  <c r="X1209" i="3" a="1"/>
  <c r="X1209" i="3" s="1"/>
  <c r="W1209" i="3" a="1"/>
  <c r="W1209" i="3" s="1"/>
  <c r="V1209" i="3" a="1"/>
  <c r="V1209" i="3" s="1"/>
  <c r="Y1208" i="3" a="1"/>
  <c r="Y1208" i="3" s="1"/>
  <c r="X1208" i="3" a="1"/>
  <c r="X1208" i="3" s="1"/>
  <c r="W1208" i="3" a="1"/>
  <c r="W1208" i="3" s="1"/>
  <c r="V1208" i="3" a="1"/>
  <c r="V1208" i="3" s="1"/>
  <c r="Y1207" i="3" a="1"/>
  <c r="Y1207" i="3" s="1"/>
  <c r="X1207" i="3" a="1"/>
  <c r="X1207" i="3" s="1"/>
  <c r="W1207" i="3" a="1"/>
  <c r="W1207" i="3" s="1"/>
  <c r="V1207" i="3" a="1"/>
  <c r="V1207" i="3" s="1"/>
  <c r="Y1206" i="3" a="1"/>
  <c r="Y1206" i="3" s="1"/>
  <c r="X1206" i="3" a="1"/>
  <c r="X1206" i="3" s="1"/>
  <c r="W1206" i="3" a="1"/>
  <c r="W1206" i="3" s="1"/>
  <c r="V1206" i="3" a="1"/>
  <c r="V1206" i="3" s="1"/>
  <c r="Y1205" i="3" a="1"/>
  <c r="Y1205" i="3" s="1"/>
  <c r="X1205" i="3" a="1"/>
  <c r="X1205" i="3" s="1"/>
  <c r="W1205" i="3" a="1"/>
  <c r="W1205" i="3" s="1"/>
  <c r="V1205" i="3" a="1"/>
  <c r="V1205" i="3" s="1"/>
  <c r="Y1204" i="3" a="1"/>
  <c r="Y1204" i="3" s="1"/>
  <c r="X1204" i="3" a="1"/>
  <c r="X1204" i="3" s="1"/>
  <c r="W1204" i="3" a="1"/>
  <c r="W1204" i="3" s="1"/>
  <c r="V1204" i="3" a="1"/>
  <c r="V1204" i="3" s="1"/>
  <c r="Y1203" i="3" a="1"/>
  <c r="Y1203" i="3" s="1"/>
  <c r="X1203" i="3" a="1"/>
  <c r="X1203" i="3" s="1"/>
  <c r="W1203" i="3" a="1"/>
  <c r="W1203" i="3" s="1"/>
  <c r="V1203" i="3" a="1"/>
  <c r="V1203" i="3" s="1"/>
  <c r="Y1202" i="3" a="1"/>
  <c r="Y1202" i="3" s="1"/>
  <c r="X1202" i="3" a="1"/>
  <c r="X1202" i="3" s="1"/>
  <c r="W1202" i="3" a="1"/>
  <c r="W1202" i="3" s="1"/>
  <c r="V1202" i="3" a="1"/>
  <c r="V1202" i="3" s="1"/>
  <c r="Y1201" i="3" a="1"/>
  <c r="Y1201" i="3" s="1"/>
  <c r="X1201" i="3" a="1"/>
  <c r="X1201" i="3" s="1"/>
  <c r="W1201" i="3" a="1"/>
  <c r="W1201" i="3" s="1"/>
  <c r="V1201" i="3" a="1"/>
  <c r="V1201" i="3" s="1"/>
  <c r="Y1200" i="3" a="1"/>
  <c r="Y1200" i="3" s="1"/>
  <c r="X1200" i="3" a="1"/>
  <c r="X1200" i="3" s="1"/>
  <c r="W1200" i="3" a="1"/>
  <c r="W1200" i="3" s="1"/>
  <c r="V1200" i="3" a="1"/>
  <c r="V1200" i="3" s="1"/>
  <c r="Y1199" i="3" a="1"/>
  <c r="Y1199" i="3" s="1"/>
  <c r="X1199" i="3" a="1"/>
  <c r="X1199" i="3" s="1"/>
  <c r="W1199" i="3" a="1"/>
  <c r="W1199" i="3" s="1"/>
  <c r="V1199" i="3" a="1"/>
  <c r="V1199" i="3" s="1"/>
  <c r="Y1198" i="3" a="1"/>
  <c r="Y1198" i="3" s="1"/>
  <c r="X1198" i="3" a="1"/>
  <c r="X1198" i="3" s="1"/>
  <c r="W1198" i="3" a="1"/>
  <c r="W1198" i="3" s="1"/>
  <c r="V1198" i="3" a="1"/>
  <c r="V1198" i="3" s="1"/>
  <c r="Y1197" i="3" a="1"/>
  <c r="Y1197" i="3" s="1"/>
  <c r="X1197" i="3" a="1"/>
  <c r="X1197" i="3" s="1"/>
  <c r="W1197" i="3" a="1"/>
  <c r="W1197" i="3" s="1"/>
  <c r="V1197" i="3" a="1"/>
  <c r="V1197" i="3" s="1"/>
  <c r="Y1196" i="3" a="1"/>
  <c r="Y1196" i="3" s="1"/>
  <c r="X1196" i="3" a="1"/>
  <c r="X1196" i="3" s="1"/>
  <c r="W1196" i="3" a="1"/>
  <c r="W1196" i="3" s="1"/>
  <c r="V1196" i="3" a="1"/>
  <c r="V1196" i="3" s="1"/>
  <c r="Y1195" i="3" a="1"/>
  <c r="Y1195" i="3" s="1"/>
  <c r="X1195" i="3" a="1"/>
  <c r="X1195" i="3" s="1"/>
  <c r="W1195" i="3" a="1"/>
  <c r="W1195" i="3" s="1"/>
  <c r="V1195" i="3" a="1"/>
  <c r="V1195" i="3" s="1"/>
  <c r="Y1194" i="3" a="1"/>
  <c r="Y1194" i="3" s="1"/>
  <c r="X1194" i="3" a="1"/>
  <c r="X1194" i="3" s="1"/>
  <c r="W1194" i="3" a="1"/>
  <c r="W1194" i="3" s="1"/>
  <c r="V1194" i="3" a="1"/>
  <c r="V1194" i="3" s="1"/>
  <c r="Y1193" i="3" a="1"/>
  <c r="Y1193" i="3" s="1"/>
  <c r="X1193" i="3" a="1"/>
  <c r="X1193" i="3" s="1"/>
  <c r="W1193" i="3" a="1"/>
  <c r="W1193" i="3" s="1"/>
  <c r="V1193" i="3" a="1"/>
  <c r="V1193" i="3" s="1"/>
  <c r="Y1192" i="3" a="1"/>
  <c r="Y1192" i="3" s="1"/>
  <c r="X1192" i="3" a="1"/>
  <c r="X1192" i="3" s="1"/>
  <c r="W1192" i="3" a="1"/>
  <c r="W1192" i="3" s="1"/>
  <c r="V1192" i="3" a="1"/>
  <c r="V1192" i="3" s="1"/>
  <c r="Y1191" i="3" a="1"/>
  <c r="Y1191" i="3" s="1"/>
  <c r="X1191" i="3" a="1"/>
  <c r="X1191" i="3" s="1"/>
  <c r="W1191" i="3" a="1"/>
  <c r="W1191" i="3" s="1"/>
  <c r="V1191" i="3" a="1"/>
  <c r="V1191" i="3" s="1"/>
  <c r="Y1190" i="3" a="1"/>
  <c r="Y1190" i="3" s="1"/>
  <c r="X1190" i="3" a="1"/>
  <c r="X1190" i="3" s="1"/>
  <c r="W1190" i="3" a="1"/>
  <c r="W1190" i="3" s="1"/>
  <c r="V1190" i="3" a="1"/>
  <c r="V1190" i="3" s="1"/>
  <c r="Y1189" i="3" a="1"/>
  <c r="Y1189" i="3" s="1"/>
  <c r="X1189" i="3" a="1"/>
  <c r="X1189" i="3" s="1"/>
  <c r="W1189" i="3" a="1"/>
  <c r="W1189" i="3" s="1"/>
  <c r="V1189" i="3" a="1"/>
  <c r="V1189" i="3" s="1"/>
  <c r="Y1188" i="3" a="1"/>
  <c r="Y1188" i="3" s="1"/>
  <c r="X1188" i="3" a="1"/>
  <c r="X1188" i="3" s="1"/>
  <c r="W1188" i="3" a="1"/>
  <c r="W1188" i="3" s="1"/>
  <c r="V1188" i="3" a="1"/>
  <c r="V1188" i="3" s="1"/>
  <c r="Y1187" i="3" a="1"/>
  <c r="Y1187" i="3" s="1"/>
  <c r="X1187" i="3" a="1"/>
  <c r="X1187" i="3" s="1"/>
  <c r="W1187" i="3" a="1"/>
  <c r="W1187" i="3" s="1"/>
  <c r="V1187" i="3" a="1"/>
  <c r="V1187" i="3" s="1"/>
  <c r="Y1186" i="3" a="1"/>
  <c r="Y1186" i="3" s="1"/>
  <c r="X1186" i="3" a="1"/>
  <c r="X1186" i="3" s="1"/>
  <c r="W1186" i="3" a="1"/>
  <c r="W1186" i="3" s="1"/>
  <c r="V1186" i="3" a="1"/>
  <c r="V1186" i="3" s="1"/>
  <c r="Y1185" i="3" a="1"/>
  <c r="Y1185" i="3" s="1"/>
  <c r="X1185" i="3" a="1"/>
  <c r="X1185" i="3" s="1"/>
  <c r="W1185" i="3" a="1"/>
  <c r="W1185" i="3" s="1"/>
  <c r="V1185" i="3" a="1"/>
  <c r="V1185" i="3" s="1"/>
  <c r="Y1184" i="3" a="1"/>
  <c r="Y1184" i="3" s="1"/>
  <c r="X1184" i="3" a="1"/>
  <c r="X1184" i="3" s="1"/>
  <c r="W1184" i="3" a="1"/>
  <c r="W1184" i="3" s="1"/>
  <c r="V1184" i="3" a="1"/>
  <c r="V1184" i="3" s="1"/>
  <c r="Y1183" i="3" a="1"/>
  <c r="Y1183" i="3" s="1"/>
  <c r="X1183" i="3" a="1"/>
  <c r="X1183" i="3" s="1"/>
  <c r="W1183" i="3" a="1"/>
  <c r="W1183" i="3" s="1"/>
  <c r="V1183" i="3" a="1"/>
  <c r="V1183" i="3" s="1"/>
  <c r="Y1182" i="3" a="1"/>
  <c r="Y1182" i="3" s="1"/>
  <c r="X1182" i="3" a="1"/>
  <c r="X1182" i="3" s="1"/>
  <c r="W1182" i="3" a="1"/>
  <c r="W1182" i="3" s="1"/>
  <c r="V1182" i="3" a="1"/>
  <c r="V1182" i="3" s="1"/>
  <c r="Y1181" i="3" a="1"/>
  <c r="Y1181" i="3" s="1"/>
  <c r="X1181" i="3" a="1"/>
  <c r="X1181" i="3" s="1"/>
  <c r="W1181" i="3" a="1"/>
  <c r="W1181" i="3" s="1"/>
  <c r="V1181" i="3" a="1"/>
  <c r="V1181" i="3" s="1"/>
  <c r="Y1180" i="3" a="1"/>
  <c r="Y1180" i="3" s="1"/>
  <c r="X1180" i="3" a="1"/>
  <c r="X1180" i="3" s="1"/>
  <c r="W1180" i="3" a="1"/>
  <c r="W1180" i="3" s="1"/>
  <c r="V1180" i="3" a="1"/>
  <c r="V1180" i="3" s="1"/>
  <c r="Y1179" i="3" a="1"/>
  <c r="Y1179" i="3" s="1"/>
  <c r="X1179" i="3" a="1"/>
  <c r="X1179" i="3" s="1"/>
  <c r="W1179" i="3" a="1"/>
  <c r="W1179" i="3" s="1"/>
  <c r="V1179" i="3" a="1"/>
  <c r="V1179" i="3" s="1"/>
  <c r="Y1178" i="3" a="1"/>
  <c r="Y1178" i="3" s="1"/>
  <c r="X1178" i="3" a="1"/>
  <c r="X1178" i="3" s="1"/>
  <c r="W1178" i="3" a="1"/>
  <c r="W1178" i="3" s="1"/>
  <c r="V1178" i="3" a="1"/>
  <c r="V1178" i="3" s="1"/>
  <c r="Y1177" i="3" a="1"/>
  <c r="Y1177" i="3" s="1"/>
  <c r="X1177" i="3" a="1"/>
  <c r="X1177" i="3" s="1"/>
  <c r="W1177" i="3" a="1"/>
  <c r="W1177" i="3" s="1"/>
  <c r="V1177" i="3" a="1"/>
  <c r="V1177" i="3" s="1"/>
  <c r="Y1176" i="3" a="1"/>
  <c r="Y1176" i="3" s="1"/>
  <c r="X1176" i="3" a="1"/>
  <c r="X1176" i="3" s="1"/>
  <c r="W1176" i="3" a="1"/>
  <c r="W1176" i="3" s="1"/>
  <c r="V1176" i="3" a="1"/>
  <c r="V1176" i="3" s="1"/>
  <c r="Y1175" i="3" a="1"/>
  <c r="Y1175" i="3" s="1"/>
  <c r="X1175" i="3" a="1"/>
  <c r="X1175" i="3" s="1"/>
  <c r="W1175" i="3" a="1"/>
  <c r="W1175" i="3" s="1"/>
  <c r="V1175" i="3" a="1"/>
  <c r="V1175" i="3" s="1"/>
  <c r="Y1174" i="3" a="1"/>
  <c r="Y1174" i="3" s="1"/>
  <c r="X1174" i="3" a="1"/>
  <c r="X1174" i="3" s="1"/>
  <c r="W1174" i="3" a="1"/>
  <c r="W1174" i="3" s="1"/>
  <c r="V1174" i="3" a="1"/>
  <c r="V1174" i="3" s="1"/>
  <c r="Y1173" i="3" a="1"/>
  <c r="Y1173" i="3" s="1"/>
  <c r="X1173" i="3" a="1"/>
  <c r="X1173" i="3" s="1"/>
  <c r="W1173" i="3" a="1"/>
  <c r="W1173" i="3" s="1"/>
  <c r="V1173" i="3" a="1"/>
  <c r="V1173" i="3" s="1"/>
  <c r="Y1172" i="3" a="1"/>
  <c r="Y1172" i="3" s="1"/>
  <c r="X1172" i="3" a="1"/>
  <c r="X1172" i="3" s="1"/>
  <c r="W1172" i="3" a="1"/>
  <c r="W1172" i="3" s="1"/>
  <c r="V1172" i="3" a="1"/>
  <c r="V1172" i="3" s="1"/>
  <c r="Y1171" i="3" a="1"/>
  <c r="Y1171" i="3" s="1"/>
  <c r="X1171" i="3" a="1"/>
  <c r="X1171" i="3" s="1"/>
  <c r="W1171" i="3" a="1"/>
  <c r="W1171" i="3" s="1"/>
  <c r="V1171" i="3" a="1"/>
  <c r="V1171" i="3" s="1"/>
  <c r="Y1170" i="3" a="1"/>
  <c r="Y1170" i="3" s="1"/>
  <c r="X1170" i="3" a="1"/>
  <c r="X1170" i="3" s="1"/>
  <c r="W1170" i="3" a="1"/>
  <c r="W1170" i="3" s="1"/>
  <c r="V1170" i="3" a="1"/>
  <c r="V1170" i="3" s="1"/>
  <c r="Y1169" i="3" a="1"/>
  <c r="Y1169" i="3" s="1"/>
  <c r="X1169" i="3" a="1"/>
  <c r="X1169" i="3" s="1"/>
  <c r="W1169" i="3" a="1"/>
  <c r="W1169" i="3" s="1"/>
  <c r="V1169" i="3" a="1"/>
  <c r="V1169" i="3" s="1"/>
  <c r="Y1168" i="3" a="1"/>
  <c r="Y1168" i="3" s="1"/>
  <c r="X1168" i="3" a="1"/>
  <c r="X1168" i="3" s="1"/>
  <c r="W1168" i="3" a="1"/>
  <c r="W1168" i="3" s="1"/>
  <c r="V1168" i="3" a="1"/>
  <c r="V1168" i="3" s="1"/>
  <c r="Y1167" i="3" a="1"/>
  <c r="Y1167" i="3" s="1"/>
  <c r="X1167" i="3" a="1"/>
  <c r="X1167" i="3" s="1"/>
  <c r="W1167" i="3" a="1"/>
  <c r="W1167" i="3" s="1"/>
  <c r="V1167" i="3" a="1"/>
  <c r="V1167" i="3" s="1"/>
  <c r="Y1166" i="3" a="1"/>
  <c r="Y1166" i="3" s="1"/>
  <c r="X1166" i="3" a="1"/>
  <c r="X1166" i="3" s="1"/>
  <c r="W1166" i="3" a="1"/>
  <c r="W1166" i="3" s="1"/>
  <c r="V1166" i="3" a="1"/>
  <c r="V1166" i="3" s="1"/>
  <c r="Y1165" i="3" a="1"/>
  <c r="Y1165" i="3" s="1"/>
  <c r="X1165" i="3" a="1"/>
  <c r="X1165" i="3" s="1"/>
  <c r="W1165" i="3" a="1"/>
  <c r="W1165" i="3" s="1"/>
  <c r="V1165" i="3" a="1"/>
  <c r="V1165" i="3" s="1"/>
  <c r="Y1164" i="3" a="1"/>
  <c r="Y1164" i="3" s="1"/>
  <c r="X1164" i="3" a="1"/>
  <c r="X1164" i="3" s="1"/>
  <c r="W1164" i="3" a="1"/>
  <c r="W1164" i="3" s="1"/>
  <c r="V1164" i="3" a="1"/>
  <c r="V1164" i="3" s="1"/>
  <c r="Y1163" i="3" a="1"/>
  <c r="Y1163" i="3" s="1"/>
  <c r="X1163" i="3" a="1"/>
  <c r="X1163" i="3" s="1"/>
  <c r="W1163" i="3" a="1"/>
  <c r="W1163" i="3" s="1"/>
  <c r="V1163" i="3" a="1"/>
  <c r="V1163" i="3" s="1"/>
  <c r="Y1162" i="3" a="1"/>
  <c r="Y1162" i="3" s="1"/>
  <c r="X1162" i="3" a="1"/>
  <c r="X1162" i="3" s="1"/>
  <c r="W1162" i="3" a="1"/>
  <c r="W1162" i="3" s="1"/>
  <c r="V1162" i="3" a="1"/>
  <c r="V1162" i="3" s="1"/>
  <c r="Y1161" i="3" a="1"/>
  <c r="Y1161" i="3" s="1"/>
  <c r="X1161" i="3" a="1"/>
  <c r="X1161" i="3" s="1"/>
  <c r="W1161" i="3" a="1"/>
  <c r="W1161" i="3" s="1"/>
  <c r="V1161" i="3" a="1"/>
  <c r="V1161" i="3" s="1"/>
  <c r="Y1160" i="3" a="1"/>
  <c r="Y1160" i="3" s="1"/>
  <c r="X1160" i="3" a="1"/>
  <c r="X1160" i="3" s="1"/>
  <c r="W1160" i="3" a="1"/>
  <c r="W1160" i="3" s="1"/>
  <c r="V1160" i="3" a="1"/>
  <c r="V1160" i="3" s="1"/>
  <c r="Y1159" i="3" a="1"/>
  <c r="Y1159" i="3" s="1"/>
  <c r="X1159" i="3" a="1"/>
  <c r="X1159" i="3" s="1"/>
  <c r="W1159" i="3" a="1"/>
  <c r="W1159" i="3" s="1"/>
  <c r="V1159" i="3" a="1"/>
  <c r="V1159" i="3" s="1"/>
  <c r="Y1158" i="3" a="1"/>
  <c r="Y1158" i="3" s="1"/>
  <c r="X1158" i="3" a="1"/>
  <c r="X1158" i="3" s="1"/>
  <c r="W1158" i="3" a="1"/>
  <c r="W1158" i="3" s="1"/>
  <c r="V1158" i="3" a="1"/>
  <c r="V1158" i="3" s="1"/>
  <c r="Y1157" i="3" a="1"/>
  <c r="Y1157" i="3" s="1"/>
  <c r="X1157" i="3" a="1"/>
  <c r="X1157" i="3" s="1"/>
  <c r="W1157" i="3" a="1"/>
  <c r="W1157" i="3" s="1"/>
  <c r="V1157" i="3" a="1"/>
  <c r="V1157" i="3" s="1"/>
  <c r="Y1156" i="3" a="1"/>
  <c r="Y1156" i="3" s="1"/>
  <c r="X1156" i="3" a="1"/>
  <c r="X1156" i="3" s="1"/>
  <c r="W1156" i="3" a="1"/>
  <c r="W1156" i="3" s="1"/>
  <c r="V1156" i="3" a="1"/>
  <c r="V1156" i="3" s="1"/>
  <c r="Y1155" i="3" a="1"/>
  <c r="Y1155" i="3" s="1"/>
  <c r="X1155" i="3" a="1"/>
  <c r="X1155" i="3" s="1"/>
  <c r="W1155" i="3" a="1"/>
  <c r="W1155" i="3" s="1"/>
  <c r="V1155" i="3" a="1"/>
  <c r="V1155" i="3" s="1"/>
  <c r="Y1154" i="3" a="1"/>
  <c r="Y1154" i="3" s="1"/>
  <c r="X1154" i="3" a="1"/>
  <c r="X1154" i="3" s="1"/>
  <c r="W1154" i="3" a="1"/>
  <c r="W1154" i="3" s="1"/>
  <c r="V1154" i="3" a="1"/>
  <c r="V1154" i="3" s="1"/>
  <c r="Y1153" i="3" a="1"/>
  <c r="Y1153" i="3" s="1"/>
  <c r="X1153" i="3" a="1"/>
  <c r="X1153" i="3" s="1"/>
  <c r="W1153" i="3" a="1"/>
  <c r="W1153" i="3" s="1"/>
  <c r="V1153" i="3" a="1"/>
  <c r="V1153" i="3" s="1"/>
  <c r="Y1152" i="3" a="1"/>
  <c r="Y1152" i="3" s="1"/>
  <c r="X1152" i="3" a="1"/>
  <c r="X1152" i="3" s="1"/>
  <c r="W1152" i="3" a="1"/>
  <c r="W1152" i="3" s="1"/>
  <c r="V1152" i="3" a="1"/>
  <c r="V1152" i="3" s="1"/>
  <c r="Y1151" i="3" a="1"/>
  <c r="Y1151" i="3" s="1"/>
  <c r="X1151" i="3" a="1"/>
  <c r="X1151" i="3" s="1"/>
  <c r="W1151" i="3" a="1"/>
  <c r="W1151" i="3" s="1"/>
  <c r="V1151" i="3" a="1"/>
  <c r="V1151" i="3" s="1"/>
  <c r="Y1150" i="3" a="1"/>
  <c r="Y1150" i="3" s="1"/>
  <c r="X1150" i="3" a="1"/>
  <c r="X1150" i="3" s="1"/>
  <c r="W1150" i="3" a="1"/>
  <c r="W1150" i="3" s="1"/>
  <c r="V1150" i="3" a="1"/>
  <c r="V1150" i="3" s="1"/>
  <c r="Y1149" i="3" a="1"/>
  <c r="Y1149" i="3" s="1"/>
  <c r="X1149" i="3" a="1"/>
  <c r="X1149" i="3" s="1"/>
  <c r="W1149" i="3" a="1"/>
  <c r="W1149" i="3" s="1"/>
  <c r="V1149" i="3" a="1"/>
  <c r="V1149" i="3" s="1"/>
  <c r="Y1148" i="3" a="1"/>
  <c r="Y1148" i="3" s="1"/>
  <c r="X1148" i="3" a="1"/>
  <c r="X1148" i="3" s="1"/>
  <c r="W1148" i="3" a="1"/>
  <c r="W1148" i="3" s="1"/>
  <c r="V1148" i="3" a="1"/>
  <c r="V1148" i="3" s="1"/>
  <c r="Y1147" i="3" a="1"/>
  <c r="Y1147" i="3" s="1"/>
  <c r="X1147" i="3" a="1"/>
  <c r="X1147" i="3" s="1"/>
  <c r="W1147" i="3" a="1"/>
  <c r="W1147" i="3" s="1"/>
  <c r="V1147" i="3" a="1"/>
  <c r="V1147" i="3" s="1"/>
  <c r="Y1146" i="3" a="1"/>
  <c r="Y1146" i="3" s="1"/>
  <c r="X1146" i="3" a="1"/>
  <c r="X1146" i="3" s="1"/>
  <c r="W1146" i="3" a="1"/>
  <c r="W1146" i="3" s="1"/>
  <c r="V1146" i="3" a="1"/>
  <c r="V1146" i="3" s="1"/>
  <c r="Y1145" i="3" a="1"/>
  <c r="Y1145" i="3" s="1"/>
  <c r="X1145" i="3" a="1"/>
  <c r="X1145" i="3" s="1"/>
  <c r="W1145" i="3" a="1"/>
  <c r="W1145" i="3" s="1"/>
  <c r="V1145" i="3" a="1"/>
  <c r="V1145" i="3" s="1"/>
  <c r="Y1144" i="3" a="1"/>
  <c r="Y1144" i="3" s="1"/>
  <c r="X1144" i="3" a="1"/>
  <c r="X1144" i="3" s="1"/>
  <c r="W1144" i="3" a="1"/>
  <c r="W1144" i="3" s="1"/>
  <c r="V1144" i="3" a="1"/>
  <c r="V1144" i="3" s="1"/>
  <c r="Y1143" i="3" a="1"/>
  <c r="Y1143" i="3" s="1"/>
  <c r="X1143" i="3" a="1"/>
  <c r="X1143" i="3" s="1"/>
  <c r="W1143" i="3" a="1"/>
  <c r="W1143" i="3" s="1"/>
  <c r="V1143" i="3" a="1"/>
  <c r="V1143" i="3" s="1"/>
  <c r="Y1142" i="3" a="1"/>
  <c r="Y1142" i="3" s="1"/>
  <c r="X1142" i="3" a="1"/>
  <c r="X1142" i="3" s="1"/>
  <c r="W1142" i="3" a="1"/>
  <c r="W1142" i="3" s="1"/>
  <c r="V1142" i="3" a="1"/>
  <c r="V1142" i="3" s="1"/>
  <c r="Y1141" i="3" a="1"/>
  <c r="Y1141" i="3" s="1"/>
  <c r="X1141" i="3" a="1"/>
  <c r="X1141" i="3" s="1"/>
  <c r="W1141" i="3" a="1"/>
  <c r="W1141" i="3" s="1"/>
  <c r="V1141" i="3" a="1"/>
  <c r="V1141" i="3" s="1"/>
  <c r="Y1140" i="3" a="1"/>
  <c r="Y1140" i="3" s="1"/>
  <c r="X1140" i="3" a="1"/>
  <c r="X1140" i="3" s="1"/>
  <c r="W1140" i="3" a="1"/>
  <c r="W1140" i="3" s="1"/>
  <c r="V1140" i="3" a="1"/>
  <c r="V1140" i="3" s="1"/>
  <c r="Y1139" i="3" a="1"/>
  <c r="Y1139" i="3" s="1"/>
  <c r="X1139" i="3" a="1"/>
  <c r="X1139" i="3" s="1"/>
  <c r="W1139" i="3" a="1"/>
  <c r="W1139" i="3" s="1"/>
  <c r="V1139" i="3" a="1"/>
  <c r="V1139" i="3" s="1"/>
  <c r="Y1138" i="3" a="1"/>
  <c r="Y1138" i="3" s="1"/>
  <c r="X1138" i="3" a="1"/>
  <c r="X1138" i="3" s="1"/>
  <c r="W1138" i="3" a="1"/>
  <c r="W1138" i="3" s="1"/>
  <c r="V1138" i="3" a="1"/>
  <c r="V1138" i="3" s="1"/>
  <c r="Y1137" i="3" a="1"/>
  <c r="Y1137" i="3" s="1"/>
  <c r="X1137" i="3" a="1"/>
  <c r="X1137" i="3" s="1"/>
  <c r="W1137" i="3" a="1"/>
  <c r="W1137" i="3" s="1"/>
  <c r="V1137" i="3" a="1"/>
  <c r="V1137" i="3" s="1"/>
  <c r="Y1136" i="3" a="1"/>
  <c r="Y1136" i="3" s="1"/>
  <c r="X1136" i="3" a="1"/>
  <c r="X1136" i="3" s="1"/>
  <c r="W1136" i="3" a="1"/>
  <c r="W1136" i="3" s="1"/>
  <c r="V1136" i="3" a="1"/>
  <c r="V1136" i="3" s="1"/>
  <c r="Y1135" i="3" a="1"/>
  <c r="Y1135" i="3" s="1"/>
  <c r="X1135" i="3" a="1"/>
  <c r="X1135" i="3" s="1"/>
  <c r="W1135" i="3" a="1"/>
  <c r="W1135" i="3" s="1"/>
  <c r="V1135" i="3" a="1"/>
  <c r="V1135" i="3" s="1"/>
  <c r="Y1134" i="3" a="1"/>
  <c r="Y1134" i="3" s="1"/>
  <c r="X1134" i="3" a="1"/>
  <c r="X1134" i="3" s="1"/>
  <c r="W1134" i="3" a="1"/>
  <c r="W1134" i="3" s="1"/>
  <c r="V1134" i="3" a="1"/>
  <c r="V1134" i="3" s="1"/>
  <c r="Y1133" i="3" a="1"/>
  <c r="Y1133" i="3" s="1"/>
  <c r="X1133" i="3" a="1"/>
  <c r="X1133" i="3" s="1"/>
  <c r="W1133" i="3" a="1"/>
  <c r="W1133" i="3" s="1"/>
  <c r="V1133" i="3" a="1"/>
  <c r="V1133" i="3" s="1"/>
  <c r="Y1132" i="3" a="1"/>
  <c r="Y1132" i="3" s="1"/>
  <c r="X1132" i="3" a="1"/>
  <c r="X1132" i="3" s="1"/>
  <c r="W1132" i="3" a="1"/>
  <c r="W1132" i="3" s="1"/>
  <c r="V1132" i="3" a="1"/>
  <c r="V1132" i="3" s="1"/>
  <c r="Y1131" i="3" a="1"/>
  <c r="Y1131" i="3" s="1"/>
  <c r="X1131" i="3" a="1"/>
  <c r="X1131" i="3" s="1"/>
  <c r="W1131" i="3" a="1"/>
  <c r="W1131" i="3" s="1"/>
  <c r="V1131" i="3" a="1"/>
  <c r="V1131" i="3" s="1"/>
  <c r="Y1130" i="3" a="1"/>
  <c r="Y1130" i="3" s="1"/>
  <c r="X1130" i="3" a="1"/>
  <c r="X1130" i="3" s="1"/>
  <c r="W1130" i="3" a="1"/>
  <c r="W1130" i="3" s="1"/>
  <c r="V1130" i="3" a="1"/>
  <c r="V1130" i="3" s="1"/>
  <c r="Y1129" i="3" a="1"/>
  <c r="Y1129" i="3" s="1"/>
  <c r="X1129" i="3" a="1"/>
  <c r="X1129" i="3" s="1"/>
  <c r="W1129" i="3" a="1"/>
  <c r="W1129" i="3" s="1"/>
  <c r="V1129" i="3" a="1"/>
  <c r="V1129" i="3" s="1"/>
  <c r="Y1128" i="3" a="1"/>
  <c r="Y1128" i="3" s="1"/>
  <c r="X1128" i="3" a="1"/>
  <c r="X1128" i="3" s="1"/>
  <c r="W1128" i="3" a="1"/>
  <c r="W1128" i="3" s="1"/>
  <c r="V1128" i="3" a="1"/>
  <c r="V1128" i="3" s="1"/>
  <c r="Y1127" i="3" a="1"/>
  <c r="Y1127" i="3" s="1"/>
  <c r="X1127" i="3" a="1"/>
  <c r="X1127" i="3" s="1"/>
  <c r="W1127" i="3" a="1"/>
  <c r="W1127" i="3" s="1"/>
  <c r="V1127" i="3" a="1"/>
  <c r="V1127" i="3" s="1"/>
  <c r="Y1126" i="3" a="1"/>
  <c r="Y1126" i="3" s="1"/>
  <c r="X1126" i="3" a="1"/>
  <c r="X1126" i="3" s="1"/>
  <c r="W1126" i="3" a="1"/>
  <c r="W1126" i="3" s="1"/>
  <c r="V1126" i="3" a="1"/>
  <c r="V1126" i="3" s="1"/>
  <c r="Y1125" i="3" a="1"/>
  <c r="Y1125" i="3" s="1"/>
  <c r="X1125" i="3" a="1"/>
  <c r="X1125" i="3" s="1"/>
  <c r="W1125" i="3" a="1"/>
  <c r="W1125" i="3" s="1"/>
  <c r="V1125" i="3" a="1"/>
  <c r="V1125" i="3" s="1"/>
  <c r="Y1124" i="3" a="1"/>
  <c r="Y1124" i="3" s="1"/>
  <c r="X1124" i="3" a="1"/>
  <c r="X1124" i="3" s="1"/>
  <c r="W1124" i="3" a="1"/>
  <c r="W1124" i="3" s="1"/>
  <c r="V1124" i="3" a="1"/>
  <c r="V1124" i="3" s="1"/>
  <c r="Y1123" i="3" a="1"/>
  <c r="Y1123" i="3" s="1"/>
  <c r="X1123" i="3" a="1"/>
  <c r="X1123" i="3" s="1"/>
  <c r="W1123" i="3" a="1"/>
  <c r="W1123" i="3" s="1"/>
  <c r="V1123" i="3" a="1"/>
  <c r="V1123" i="3" s="1"/>
  <c r="Y1122" i="3" a="1"/>
  <c r="Y1122" i="3" s="1"/>
  <c r="X1122" i="3" a="1"/>
  <c r="X1122" i="3" s="1"/>
  <c r="W1122" i="3" a="1"/>
  <c r="W1122" i="3" s="1"/>
  <c r="V1122" i="3" a="1"/>
  <c r="V1122" i="3" s="1"/>
  <c r="Y1121" i="3" a="1"/>
  <c r="Y1121" i="3" s="1"/>
  <c r="X1121" i="3" a="1"/>
  <c r="X1121" i="3" s="1"/>
  <c r="W1121" i="3" a="1"/>
  <c r="W1121" i="3" s="1"/>
  <c r="V1121" i="3" a="1"/>
  <c r="V1121" i="3" s="1"/>
  <c r="Y1120" i="3" a="1"/>
  <c r="Y1120" i="3" s="1"/>
  <c r="X1120" i="3" a="1"/>
  <c r="X1120" i="3" s="1"/>
  <c r="W1120" i="3" a="1"/>
  <c r="W1120" i="3" s="1"/>
  <c r="V1120" i="3" a="1"/>
  <c r="V1120" i="3" s="1"/>
  <c r="Y1119" i="3" a="1"/>
  <c r="Y1119" i="3" s="1"/>
  <c r="X1119" i="3" a="1"/>
  <c r="X1119" i="3" s="1"/>
  <c r="W1119" i="3" a="1"/>
  <c r="W1119" i="3" s="1"/>
  <c r="V1119" i="3" a="1"/>
  <c r="V1119" i="3" s="1"/>
  <c r="Y1118" i="3" a="1"/>
  <c r="Y1118" i="3" s="1"/>
  <c r="X1118" i="3" a="1"/>
  <c r="X1118" i="3" s="1"/>
  <c r="W1118" i="3" a="1"/>
  <c r="W1118" i="3" s="1"/>
  <c r="V1118" i="3" a="1"/>
  <c r="V1118" i="3" s="1"/>
  <c r="Y1117" i="3" a="1"/>
  <c r="Y1117" i="3" s="1"/>
  <c r="X1117" i="3" a="1"/>
  <c r="X1117" i="3" s="1"/>
  <c r="W1117" i="3" a="1"/>
  <c r="W1117" i="3" s="1"/>
  <c r="V1117" i="3" a="1"/>
  <c r="V1117" i="3" s="1"/>
  <c r="Y1116" i="3" a="1"/>
  <c r="Y1116" i="3" s="1"/>
  <c r="X1116" i="3" a="1"/>
  <c r="X1116" i="3" s="1"/>
  <c r="W1116" i="3" a="1"/>
  <c r="W1116" i="3" s="1"/>
  <c r="V1116" i="3" a="1"/>
  <c r="V1116" i="3" s="1"/>
  <c r="Y1115" i="3" a="1"/>
  <c r="Y1115" i="3" s="1"/>
  <c r="X1115" i="3" a="1"/>
  <c r="X1115" i="3" s="1"/>
  <c r="W1115" i="3" a="1"/>
  <c r="W1115" i="3" s="1"/>
  <c r="V1115" i="3" a="1"/>
  <c r="V1115" i="3" s="1"/>
  <c r="Y1114" i="3" a="1"/>
  <c r="Y1114" i="3" s="1"/>
  <c r="X1114" i="3" a="1"/>
  <c r="X1114" i="3" s="1"/>
  <c r="W1114" i="3" a="1"/>
  <c r="W1114" i="3" s="1"/>
  <c r="V1114" i="3" a="1"/>
  <c r="V1114" i="3" s="1"/>
  <c r="Y1113" i="3" a="1"/>
  <c r="Y1113" i="3" s="1"/>
  <c r="X1113" i="3" a="1"/>
  <c r="X1113" i="3" s="1"/>
  <c r="W1113" i="3" a="1"/>
  <c r="W1113" i="3" s="1"/>
  <c r="V1113" i="3" a="1"/>
  <c r="V1113" i="3" s="1"/>
  <c r="Y1112" i="3" a="1"/>
  <c r="Y1112" i="3" s="1"/>
  <c r="X1112" i="3" a="1"/>
  <c r="X1112" i="3" s="1"/>
  <c r="W1112" i="3" a="1"/>
  <c r="W1112" i="3" s="1"/>
  <c r="V1112" i="3" a="1"/>
  <c r="V1112" i="3" s="1"/>
  <c r="Y1111" i="3" a="1"/>
  <c r="Y1111" i="3" s="1"/>
  <c r="X1111" i="3" a="1"/>
  <c r="X1111" i="3" s="1"/>
  <c r="W1111" i="3" a="1"/>
  <c r="W1111" i="3" s="1"/>
  <c r="V1111" i="3" a="1"/>
  <c r="V1111" i="3" s="1"/>
  <c r="Y1110" i="3" a="1"/>
  <c r="Y1110" i="3" s="1"/>
  <c r="X1110" i="3" a="1"/>
  <c r="X1110" i="3" s="1"/>
  <c r="W1110" i="3" a="1"/>
  <c r="W1110" i="3" s="1"/>
  <c r="V1110" i="3" a="1"/>
  <c r="V1110" i="3" s="1"/>
  <c r="Y1109" i="3" a="1"/>
  <c r="Y1109" i="3" s="1"/>
  <c r="X1109" i="3" a="1"/>
  <c r="X1109" i="3" s="1"/>
  <c r="W1109" i="3" a="1"/>
  <c r="W1109" i="3" s="1"/>
  <c r="V1109" i="3" a="1"/>
  <c r="V1109" i="3" s="1"/>
  <c r="Y1108" i="3" a="1"/>
  <c r="Y1108" i="3" s="1"/>
  <c r="X1108" i="3" a="1"/>
  <c r="X1108" i="3" s="1"/>
  <c r="W1108" i="3" a="1"/>
  <c r="W1108" i="3" s="1"/>
  <c r="V1108" i="3" a="1"/>
  <c r="V1108" i="3" s="1"/>
  <c r="Y1107" i="3" a="1"/>
  <c r="Y1107" i="3" s="1"/>
  <c r="X1107" i="3" a="1"/>
  <c r="X1107" i="3" s="1"/>
  <c r="W1107" i="3" a="1"/>
  <c r="W1107" i="3" s="1"/>
  <c r="V1107" i="3" a="1"/>
  <c r="V1107" i="3" s="1"/>
  <c r="Y1106" i="3" a="1"/>
  <c r="Y1106" i="3" s="1"/>
  <c r="X1106" i="3" a="1"/>
  <c r="X1106" i="3" s="1"/>
  <c r="W1106" i="3" a="1"/>
  <c r="W1106" i="3" s="1"/>
  <c r="V1106" i="3" a="1"/>
  <c r="V1106" i="3" s="1"/>
  <c r="Y1105" i="3" a="1"/>
  <c r="Y1105" i="3" s="1"/>
  <c r="X1105" i="3" a="1"/>
  <c r="X1105" i="3" s="1"/>
  <c r="W1105" i="3" a="1"/>
  <c r="W1105" i="3" s="1"/>
  <c r="V1105" i="3" a="1"/>
  <c r="V1105" i="3" s="1"/>
  <c r="Y1104" i="3" a="1"/>
  <c r="Y1104" i="3" s="1"/>
  <c r="X1104" i="3" a="1"/>
  <c r="X1104" i="3" s="1"/>
  <c r="W1104" i="3" a="1"/>
  <c r="W1104" i="3" s="1"/>
  <c r="V1104" i="3" a="1"/>
  <c r="V1104" i="3" s="1"/>
  <c r="Y1103" i="3" a="1"/>
  <c r="Y1103" i="3" s="1"/>
  <c r="X1103" i="3" a="1"/>
  <c r="X1103" i="3" s="1"/>
  <c r="W1103" i="3" a="1"/>
  <c r="W1103" i="3" s="1"/>
  <c r="V1103" i="3" a="1"/>
  <c r="V1103" i="3" s="1"/>
  <c r="Y1102" i="3" a="1"/>
  <c r="Y1102" i="3" s="1"/>
  <c r="X1102" i="3" a="1"/>
  <c r="X1102" i="3" s="1"/>
  <c r="W1102" i="3" a="1"/>
  <c r="W1102" i="3" s="1"/>
  <c r="V1102" i="3" a="1"/>
  <c r="V1102" i="3" s="1"/>
  <c r="Y1101" i="3" a="1"/>
  <c r="Y1101" i="3" s="1"/>
  <c r="X1101" i="3" a="1"/>
  <c r="X1101" i="3" s="1"/>
  <c r="W1101" i="3" a="1"/>
  <c r="W1101" i="3" s="1"/>
  <c r="V1101" i="3" a="1"/>
  <c r="V1101" i="3" s="1"/>
  <c r="Y1100" i="3" a="1"/>
  <c r="Y1100" i="3" s="1"/>
  <c r="X1100" i="3" a="1"/>
  <c r="X1100" i="3" s="1"/>
  <c r="W1100" i="3" a="1"/>
  <c r="W1100" i="3" s="1"/>
  <c r="V1100" i="3" a="1"/>
  <c r="V1100" i="3" s="1"/>
  <c r="Y1099" i="3" a="1"/>
  <c r="Y1099" i="3" s="1"/>
  <c r="X1099" i="3" a="1"/>
  <c r="X1099" i="3" s="1"/>
  <c r="W1099" i="3" a="1"/>
  <c r="W1099" i="3" s="1"/>
  <c r="V1099" i="3" a="1"/>
  <c r="V1099" i="3" s="1"/>
  <c r="Y1098" i="3" a="1"/>
  <c r="Y1098" i="3" s="1"/>
  <c r="X1098" i="3" a="1"/>
  <c r="X1098" i="3" s="1"/>
  <c r="W1098" i="3" a="1"/>
  <c r="W1098" i="3" s="1"/>
  <c r="V1098" i="3" a="1"/>
  <c r="V1098" i="3" s="1"/>
  <c r="Y1097" i="3" a="1"/>
  <c r="Y1097" i="3" s="1"/>
  <c r="X1097" i="3" a="1"/>
  <c r="X1097" i="3" s="1"/>
  <c r="W1097" i="3" a="1"/>
  <c r="W1097" i="3" s="1"/>
  <c r="V1097" i="3" a="1"/>
  <c r="V1097" i="3" s="1"/>
  <c r="Y1096" i="3" a="1"/>
  <c r="Y1096" i="3" s="1"/>
  <c r="X1096" i="3" a="1"/>
  <c r="X1096" i="3" s="1"/>
  <c r="W1096" i="3" a="1"/>
  <c r="W1096" i="3" s="1"/>
  <c r="V1096" i="3" a="1"/>
  <c r="V1096" i="3" s="1"/>
  <c r="Y1095" i="3" a="1"/>
  <c r="Y1095" i="3" s="1"/>
  <c r="X1095" i="3" a="1"/>
  <c r="X1095" i="3" s="1"/>
  <c r="W1095" i="3" a="1"/>
  <c r="W1095" i="3" s="1"/>
  <c r="V1095" i="3" a="1"/>
  <c r="V1095" i="3" s="1"/>
  <c r="Y1094" i="3" a="1"/>
  <c r="Y1094" i="3" s="1"/>
  <c r="X1094" i="3" a="1"/>
  <c r="X1094" i="3" s="1"/>
  <c r="W1094" i="3" a="1"/>
  <c r="W1094" i="3" s="1"/>
  <c r="V1094" i="3" a="1"/>
  <c r="V1094" i="3" s="1"/>
  <c r="Y1093" i="3" a="1"/>
  <c r="Y1093" i="3" s="1"/>
  <c r="X1093" i="3" a="1"/>
  <c r="X1093" i="3" s="1"/>
  <c r="W1093" i="3" a="1"/>
  <c r="W1093" i="3" s="1"/>
  <c r="V1093" i="3" a="1"/>
  <c r="V1093" i="3" s="1"/>
  <c r="Y1092" i="3" a="1"/>
  <c r="Y1092" i="3" s="1"/>
  <c r="X1092" i="3" a="1"/>
  <c r="X1092" i="3" s="1"/>
  <c r="W1092" i="3" a="1"/>
  <c r="W1092" i="3" s="1"/>
  <c r="V1092" i="3" a="1"/>
  <c r="V1092" i="3" s="1"/>
  <c r="Y1091" i="3" a="1"/>
  <c r="Y1091" i="3" s="1"/>
  <c r="X1091" i="3" a="1"/>
  <c r="X1091" i="3" s="1"/>
  <c r="W1091" i="3" a="1"/>
  <c r="W1091" i="3" s="1"/>
  <c r="V1091" i="3" a="1"/>
  <c r="V1091" i="3" s="1"/>
  <c r="Y1090" i="3" a="1"/>
  <c r="Y1090" i="3" s="1"/>
  <c r="X1090" i="3" a="1"/>
  <c r="X1090" i="3" s="1"/>
  <c r="W1090" i="3" a="1"/>
  <c r="W1090" i="3" s="1"/>
  <c r="V1090" i="3" a="1"/>
  <c r="V1090" i="3" s="1"/>
  <c r="Y1089" i="3" a="1"/>
  <c r="Y1089" i="3" s="1"/>
  <c r="X1089" i="3" a="1"/>
  <c r="X1089" i="3" s="1"/>
  <c r="W1089" i="3" a="1"/>
  <c r="W1089" i="3" s="1"/>
  <c r="V1089" i="3" a="1"/>
  <c r="V1089" i="3" s="1"/>
  <c r="Y1088" i="3" a="1"/>
  <c r="Y1088" i="3" s="1"/>
  <c r="X1088" i="3" a="1"/>
  <c r="X1088" i="3" s="1"/>
  <c r="W1088" i="3" a="1"/>
  <c r="W1088" i="3" s="1"/>
  <c r="V1088" i="3" a="1"/>
  <c r="V1088" i="3" s="1"/>
  <c r="Y1087" i="3" a="1"/>
  <c r="Y1087" i="3" s="1"/>
  <c r="X1087" i="3" a="1"/>
  <c r="X1087" i="3" s="1"/>
  <c r="W1087" i="3" a="1"/>
  <c r="W1087" i="3" s="1"/>
  <c r="V1087" i="3" a="1"/>
  <c r="V1087" i="3" s="1"/>
  <c r="Y1086" i="3" a="1"/>
  <c r="Y1086" i="3" s="1"/>
  <c r="X1086" i="3" a="1"/>
  <c r="X1086" i="3" s="1"/>
  <c r="W1086" i="3" a="1"/>
  <c r="W1086" i="3" s="1"/>
  <c r="V1086" i="3" a="1"/>
  <c r="V1086" i="3" s="1"/>
  <c r="Y1085" i="3" a="1"/>
  <c r="Y1085" i="3" s="1"/>
  <c r="X1085" i="3" a="1"/>
  <c r="X1085" i="3" s="1"/>
  <c r="W1085" i="3" a="1"/>
  <c r="W1085" i="3" s="1"/>
  <c r="V1085" i="3" a="1"/>
  <c r="V1085" i="3" s="1"/>
  <c r="Y1084" i="3" a="1"/>
  <c r="Y1084" i="3" s="1"/>
  <c r="X1084" i="3" a="1"/>
  <c r="X1084" i="3" s="1"/>
  <c r="W1084" i="3" a="1"/>
  <c r="W1084" i="3" s="1"/>
  <c r="V1084" i="3" a="1"/>
  <c r="V1084" i="3" s="1"/>
  <c r="Y1083" i="3" a="1"/>
  <c r="Y1083" i="3" s="1"/>
  <c r="X1083" i="3" a="1"/>
  <c r="X1083" i="3" s="1"/>
  <c r="W1083" i="3" a="1"/>
  <c r="W1083" i="3" s="1"/>
  <c r="V1083" i="3" a="1"/>
  <c r="V1083" i="3" s="1"/>
  <c r="Y1082" i="3" a="1"/>
  <c r="Y1082" i="3" s="1"/>
  <c r="X1082" i="3" a="1"/>
  <c r="X1082" i="3" s="1"/>
  <c r="W1082" i="3" a="1"/>
  <c r="W1082" i="3" s="1"/>
  <c r="V1082" i="3" a="1"/>
  <c r="V1082" i="3" s="1"/>
  <c r="Y1081" i="3" a="1"/>
  <c r="Y1081" i="3" s="1"/>
  <c r="X1081" i="3" a="1"/>
  <c r="X1081" i="3" s="1"/>
  <c r="W1081" i="3" a="1"/>
  <c r="W1081" i="3" s="1"/>
  <c r="V1081" i="3" a="1"/>
  <c r="V1081" i="3" s="1"/>
  <c r="Y1080" i="3" a="1"/>
  <c r="Y1080" i="3" s="1"/>
  <c r="X1080" i="3" a="1"/>
  <c r="X1080" i="3" s="1"/>
  <c r="W1080" i="3" a="1"/>
  <c r="W1080" i="3" s="1"/>
  <c r="V1080" i="3" a="1"/>
  <c r="V1080" i="3" s="1"/>
  <c r="Y1079" i="3" a="1"/>
  <c r="Y1079" i="3" s="1"/>
  <c r="X1079" i="3" a="1"/>
  <c r="X1079" i="3" s="1"/>
  <c r="W1079" i="3" a="1"/>
  <c r="W1079" i="3" s="1"/>
  <c r="V1079" i="3" a="1"/>
  <c r="V1079" i="3" s="1"/>
  <c r="Y1078" i="3" a="1"/>
  <c r="Y1078" i="3" s="1"/>
  <c r="X1078" i="3" a="1"/>
  <c r="X1078" i="3" s="1"/>
  <c r="W1078" i="3" a="1"/>
  <c r="W1078" i="3" s="1"/>
  <c r="V1078" i="3" a="1"/>
  <c r="V1078" i="3" s="1"/>
  <c r="Y1077" i="3" a="1"/>
  <c r="Y1077" i="3" s="1"/>
  <c r="X1077" i="3" a="1"/>
  <c r="X1077" i="3" s="1"/>
  <c r="W1077" i="3" a="1"/>
  <c r="W1077" i="3" s="1"/>
  <c r="V1077" i="3" a="1"/>
  <c r="V1077" i="3" s="1"/>
  <c r="Y1076" i="3" a="1"/>
  <c r="Y1076" i="3" s="1"/>
  <c r="X1076" i="3" a="1"/>
  <c r="X1076" i="3" s="1"/>
  <c r="W1076" i="3" a="1"/>
  <c r="W1076" i="3" s="1"/>
  <c r="V1076" i="3" a="1"/>
  <c r="V1076" i="3" s="1"/>
  <c r="Y1075" i="3" a="1"/>
  <c r="Y1075" i="3" s="1"/>
  <c r="X1075" i="3" a="1"/>
  <c r="X1075" i="3" s="1"/>
  <c r="W1075" i="3" a="1"/>
  <c r="W1075" i="3" s="1"/>
  <c r="V1075" i="3" a="1"/>
  <c r="V1075" i="3" s="1"/>
  <c r="Y1074" i="3" a="1"/>
  <c r="Y1074" i="3" s="1"/>
  <c r="X1074" i="3" a="1"/>
  <c r="X1074" i="3" s="1"/>
  <c r="W1074" i="3" a="1"/>
  <c r="W1074" i="3" s="1"/>
  <c r="V1074" i="3" a="1"/>
  <c r="V1074" i="3" s="1"/>
  <c r="Y1073" i="3" a="1"/>
  <c r="Y1073" i="3" s="1"/>
  <c r="X1073" i="3" a="1"/>
  <c r="X1073" i="3" s="1"/>
  <c r="W1073" i="3" a="1"/>
  <c r="W1073" i="3" s="1"/>
  <c r="V1073" i="3" a="1"/>
  <c r="V1073" i="3" s="1"/>
  <c r="Y1072" i="3" a="1"/>
  <c r="Y1072" i="3" s="1"/>
  <c r="X1072" i="3" a="1"/>
  <c r="X1072" i="3" s="1"/>
  <c r="W1072" i="3" a="1"/>
  <c r="W1072" i="3" s="1"/>
  <c r="V1072" i="3" a="1"/>
  <c r="V1072" i="3" s="1"/>
  <c r="Y1071" i="3" a="1"/>
  <c r="Y1071" i="3" s="1"/>
  <c r="X1071" i="3" a="1"/>
  <c r="X1071" i="3" s="1"/>
  <c r="W1071" i="3" a="1"/>
  <c r="W1071" i="3" s="1"/>
  <c r="V1071" i="3" a="1"/>
  <c r="V1071" i="3" s="1"/>
  <c r="Y1070" i="3" a="1"/>
  <c r="Y1070" i="3" s="1"/>
  <c r="X1070" i="3" a="1"/>
  <c r="X1070" i="3" s="1"/>
  <c r="W1070" i="3" a="1"/>
  <c r="W1070" i="3" s="1"/>
  <c r="V1070" i="3" a="1"/>
  <c r="V1070" i="3" s="1"/>
  <c r="Y1069" i="3" a="1"/>
  <c r="Y1069" i="3" s="1"/>
  <c r="X1069" i="3" a="1"/>
  <c r="X1069" i="3" s="1"/>
  <c r="W1069" i="3" a="1"/>
  <c r="W1069" i="3" s="1"/>
  <c r="V1069" i="3" a="1"/>
  <c r="V1069" i="3" s="1"/>
  <c r="Y1068" i="3" a="1"/>
  <c r="Y1068" i="3" s="1"/>
  <c r="X1068" i="3" a="1"/>
  <c r="X1068" i="3" s="1"/>
  <c r="W1068" i="3" a="1"/>
  <c r="W1068" i="3" s="1"/>
  <c r="V1068" i="3" a="1"/>
  <c r="V1068" i="3" s="1"/>
  <c r="Y1067" i="3" a="1"/>
  <c r="Y1067" i="3" s="1"/>
  <c r="X1067" i="3" a="1"/>
  <c r="X1067" i="3" s="1"/>
  <c r="W1067" i="3" a="1"/>
  <c r="W1067" i="3" s="1"/>
  <c r="V1067" i="3" a="1"/>
  <c r="V1067" i="3" s="1"/>
  <c r="Y1066" i="3" a="1"/>
  <c r="Y1066" i="3" s="1"/>
  <c r="X1066" i="3" a="1"/>
  <c r="X1066" i="3" s="1"/>
  <c r="W1066" i="3" a="1"/>
  <c r="W1066" i="3" s="1"/>
  <c r="V1066" i="3" a="1"/>
  <c r="V1066" i="3" s="1"/>
  <c r="Y1065" i="3" a="1"/>
  <c r="Y1065" i="3" s="1"/>
  <c r="X1065" i="3" a="1"/>
  <c r="X1065" i="3" s="1"/>
  <c r="W1065" i="3" a="1"/>
  <c r="W1065" i="3" s="1"/>
  <c r="V1065" i="3" a="1"/>
  <c r="V1065" i="3" s="1"/>
  <c r="Y1064" i="3" a="1"/>
  <c r="Y1064" i="3" s="1"/>
  <c r="X1064" i="3" a="1"/>
  <c r="X1064" i="3" s="1"/>
  <c r="W1064" i="3" a="1"/>
  <c r="W1064" i="3" s="1"/>
  <c r="V1064" i="3" a="1"/>
  <c r="V1064" i="3" s="1"/>
  <c r="Y1063" i="3" a="1"/>
  <c r="Y1063" i="3" s="1"/>
  <c r="X1063" i="3" a="1"/>
  <c r="X1063" i="3" s="1"/>
  <c r="W1063" i="3" a="1"/>
  <c r="W1063" i="3" s="1"/>
  <c r="V1063" i="3" a="1"/>
  <c r="V1063" i="3" s="1"/>
  <c r="Y1062" i="3" a="1"/>
  <c r="Y1062" i="3" s="1"/>
  <c r="X1062" i="3" a="1"/>
  <c r="X1062" i="3" s="1"/>
  <c r="W1062" i="3" a="1"/>
  <c r="W1062" i="3" s="1"/>
  <c r="V1062" i="3" a="1"/>
  <c r="V1062" i="3" s="1"/>
  <c r="Y1061" i="3" a="1"/>
  <c r="Y1061" i="3" s="1"/>
  <c r="X1061" i="3" a="1"/>
  <c r="X1061" i="3" s="1"/>
  <c r="W1061" i="3" a="1"/>
  <c r="W1061" i="3" s="1"/>
  <c r="V1061" i="3" a="1"/>
  <c r="V1061" i="3" s="1"/>
  <c r="Y1060" i="3" a="1"/>
  <c r="Y1060" i="3" s="1"/>
  <c r="X1060" i="3" a="1"/>
  <c r="X1060" i="3" s="1"/>
  <c r="W1060" i="3" a="1"/>
  <c r="W1060" i="3" s="1"/>
  <c r="V1060" i="3" a="1"/>
  <c r="V1060" i="3" s="1"/>
  <c r="Y1059" i="3" a="1"/>
  <c r="Y1059" i="3" s="1"/>
  <c r="X1059" i="3" a="1"/>
  <c r="X1059" i="3" s="1"/>
  <c r="W1059" i="3" a="1"/>
  <c r="W1059" i="3" s="1"/>
  <c r="V1059" i="3" a="1"/>
  <c r="V1059" i="3" s="1"/>
  <c r="Y1058" i="3" a="1"/>
  <c r="Y1058" i="3" s="1"/>
  <c r="X1058" i="3" a="1"/>
  <c r="X1058" i="3" s="1"/>
  <c r="W1058" i="3" a="1"/>
  <c r="W1058" i="3" s="1"/>
  <c r="V1058" i="3" a="1"/>
  <c r="V1058" i="3" s="1"/>
  <c r="Y1057" i="3" a="1"/>
  <c r="Y1057" i="3" s="1"/>
  <c r="X1057" i="3" a="1"/>
  <c r="X1057" i="3" s="1"/>
  <c r="W1057" i="3" a="1"/>
  <c r="W1057" i="3" s="1"/>
  <c r="V1057" i="3" a="1"/>
  <c r="V1057" i="3" s="1"/>
  <c r="Y1056" i="3" a="1"/>
  <c r="Y1056" i="3" s="1"/>
  <c r="X1056" i="3" a="1"/>
  <c r="X1056" i="3" s="1"/>
  <c r="W1056" i="3" a="1"/>
  <c r="W1056" i="3" s="1"/>
  <c r="V1056" i="3" a="1"/>
  <c r="V1056" i="3" s="1"/>
  <c r="Y1055" i="3" a="1"/>
  <c r="Y1055" i="3" s="1"/>
  <c r="X1055" i="3" a="1"/>
  <c r="X1055" i="3" s="1"/>
  <c r="W1055" i="3" a="1"/>
  <c r="W1055" i="3" s="1"/>
  <c r="V1055" i="3" a="1"/>
  <c r="V1055" i="3" s="1"/>
  <c r="Y1054" i="3" a="1"/>
  <c r="Y1054" i="3" s="1"/>
  <c r="X1054" i="3" a="1"/>
  <c r="X1054" i="3" s="1"/>
  <c r="W1054" i="3" a="1"/>
  <c r="W1054" i="3" s="1"/>
  <c r="V1054" i="3" a="1"/>
  <c r="V1054" i="3" s="1"/>
  <c r="Y1053" i="3" a="1"/>
  <c r="Y1053" i="3" s="1"/>
  <c r="X1053" i="3" a="1"/>
  <c r="X1053" i="3" s="1"/>
  <c r="W1053" i="3" a="1"/>
  <c r="W1053" i="3" s="1"/>
  <c r="V1053" i="3" a="1"/>
  <c r="V1053" i="3" s="1"/>
  <c r="Y1052" i="3" a="1"/>
  <c r="Y1052" i="3" s="1"/>
  <c r="X1052" i="3" a="1"/>
  <c r="X1052" i="3" s="1"/>
  <c r="W1052" i="3" a="1"/>
  <c r="W1052" i="3" s="1"/>
  <c r="V1052" i="3" a="1"/>
  <c r="V1052" i="3" s="1"/>
  <c r="Y1051" i="3" a="1"/>
  <c r="Y1051" i="3" s="1"/>
  <c r="X1051" i="3" a="1"/>
  <c r="X1051" i="3" s="1"/>
  <c r="W1051" i="3" a="1"/>
  <c r="W1051" i="3" s="1"/>
  <c r="V1051" i="3" a="1"/>
  <c r="V1051" i="3" s="1"/>
  <c r="Y1050" i="3" a="1"/>
  <c r="Y1050" i="3" s="1"/>
  <c r="X1050" i="3" a="1"/>
  <c r="X1050" i="3" s="1"/>
  <c r="W1050" i="3" a="1"/>
  <c r="W1050" i="3" s="1"/>
  <c r="V1050" i="3" a="1"/>
  <c r="V1050" i="3" s="1"/>
  <c r="Y1049" i="3" a="1"/>
  <c r="Y1049" i="3" s="1"/>
  <c r="X1049" i="3" a="1"/>
  <c r="X1049" i="3" s="1"/>
  <c r="W1049" i="3" a="1"/>
  <c r="W1049" i="3" s="1"/>
  <c r="V1049" i="3" a="1"/>
  <c r="V1049" i="3" s="1"/>
  <c r="Y1048" i="3" a="1"/>
  <c r="Y1048" i="3" s="1"/>
  <c r="X1048" i="3" a="1"/>
  <c r="X1048" i="3" s="1"/>
  <c r="W1048" i="3" a="1"/>
  <c r="W1048" i="3" s="1"/>
  <c r="V1048" i="3" a="1"/>
  <c r="V1048" i="3" s="1"/>
  <c r="Y1047" i="3" a="1"/>
  <c r="Y1047" i="3" s="1"/>
  <c r="X1047" i="3" a="1"/>
  <c r="X1047" i="3" s="1"/>
  <c r="W1047" i="3" a="1"/>
  <c r="W1047" i="3" s="1"/>
  <c r="V1047" i="3" a="1"/>
  <c r="V1047" i="3" s="1"/>
  <c r="Y1046" i="3" a="1"/>
  <c r="Y1046" i="3" s="1"/>
  <c r="X1046" i="3" a="1"/>
  <c r="X1046" i="3" s="1"/>
  <c r="W1046" i="3" a="1"/>
  <c r="W1046" i="3" s="1"/>
  <c r="V1046" i="3" a="1"/>
  <c r="V1046" i="3" s="1"/>
  <c r="Y1045" i="3" a="1"/>
  <c r="Y1045" i="3" s="1"/>
  <c r="X1045" i="3" a="1"/>
  <c r="X1045" i="3" s="1"/>
  <c r="W1045" i="3" a="1"/>
  <c r="W1045" i="3" s="1"/>
  <c r="V1045" i="3" a="1"/>
  <c r="V1045" i="3" s="1"/>
  <c r="Y1044" i="3" a="1"/>
  <c r="Y1044" i="3" s="1"/>
  <c r="X1044" i="3" a="1"/>
  <c r="X1044" i="3" s="1"/>
  <c r="W1044" i="3" a="1"/>
  <c r="W1044" i="3" s="1"/>
  <c r="V1044" i="3" a="1"/>
  <c r="V1044" i="3" s="1"/>
  <c r="Y1043" i="3" a="1"/>
  <c r="Y1043" i="3" s="1"/>
  <c r="X1043" i="3" a="1"/>
  <c r="X1043" i="3" s="1"/>
  <c r="W1043" i="3" a="1"/>
  <c r="W1043" i="3" s="1"/>
  <c r="V1043" i="3" a="1"/>
  <c r="V1043" i="3" s="1"/>
  <c r="Y1042" i="3" a="1"/>
  <c r="Y1042" i="3" s="1"/>
  <c r="X1042" i="3" a="1"/>
  <c r="X1042" i="3" s="1"/>
  <c r="W1042" i="3" a="1"/>
  <c r="W1042" i="3" s="1"/>
  <c r="V1042" i="3" a="1"/>
  <c r="V1042" i="3" s="1"/>
  <c r="Y1041" i="3" a="1"/>
  <c r="Y1041" i="3" s="1"/>
  <c r="X1041" i="3" a="1"/>
  <c r="X1041" i="3" s="1"/>
  <c r="W1041" i="3" a="1"/>
  <c r="W1041" i="3" s="1"/>
  <c r="V1041" i="3" a="1"/>
  <c r="V1041" i="3" s="1"/>
  <c r="Y1040" i="3" a="1"/>
  <c r="Y1040" i="3" s="1"/>
  <c r="X1040" i="3" a="1"/>
  <c r="X1040" i="3" s="1"/>
  <c r="W1040" i="3" a="1"/>
  <c r="W1040" i="3" s="1"/>
  <c r="V1040" i="3" a="1"/>
  <c r="V1040" i="3" s="1"/>
  <c r="Y1039" i="3" a="1"/>
  <c r="Y1039" i="3" s="1"/>
  <c r="X1039" i="3" a="1"/>
  <c r="X1039" i="3" s="1"/>
  <c r="W1039" i="3" a="1"/>
  <c r="W1039" i="3" s="1"/>
  <c r="V1039" i="3" a="1"/>
  <c r="V1039" i="3" s="1"/>
  <c r="Y1038" i="3" a="1"/>
  <c r="Y1038" i="3" s="1"/>
  <c r="X1038" i="3" a="1"/>
  <c r="X1038" i="3" s="1"/>
  <c r="W1038" i="3" a="1"/>
  <c r="W1038" i="3" s="1"/>
  <c r="V1038" i="3" a="1"/>
  <c r="V1038" i="3" s="1"/>
  <c r="Y1037" i="3" a="1"/>
  <c r="Y1037" i="3" s="1"/>
  <c r="X1037" i="3" a="1"/>
  <c r="X1037" i="3" s="1"/>
  <c r="W1037" i="3" a="1"/>
  <c r="W1037" i="3" s="1"/>
  <c r="V1037" i="3" a="1"/>
  <c r="V1037" i="3" s="1"/>
  <c r="Y1036" i="3" a="1"/>
  <c r="Y1036" i="3" s="1"/>
  <c r="X1036" i="3" a="1"/>
  <c r="X1036" i="3" s="1"/>
  <c r="W1036" i="3" a="1"/>
  <c r="W1036" i="3" s="1"/>
  <c r="V1036" i="3" a="1"/>
  <c r="V1036" i="3" s="1"/>
  <c r="Y1035" i="3" a="1"/>
  <c r="Y1035" i="3" s="1"/>
  <c r="X1035" i="3" a="1"/>
  <c r="X1035" i="3" s="1"/>
  <c r="W1035" i="3" a="1"/>
  <c r="W1035" i="3" s="1"/>
  <c r="V1035" i="3" a="1"/>
  <c r="V1035" i="3" s="1"/>
  <c r="Y1034" i="3" a="1"/>
  <c r="Y1034" i="3" s="1"/>
  <c r="X1034" i="3" a="1"/>
  <c r="X1034" i="3" s="1"/>
  <c r="W1034" i="3" a="1"/>
  <c r="W1034" i="3" s="1"/>
  <c r="V1034" i="3" a="1"/>
  <c r="V1034" i="3" s="1"/>
  <c r="Y1033" i="3" a="1"/>
  <c r="Y1033" i="3" s="1"/>
  <c r="X1033" i="3" a="1"/>
  <c r="X1033" i="3" s="1"/>
  <c r="W1033" i="3" a="1"/>
  <c r="W1033" i="3" s="1"/>
  <c r="V1033" i="3" a="1"/>
  <c r="V1033" i="3" s="1"/>
  <c r="Y1032" i="3" a="1"/>
  <c r="Y1032" i="3" s="1"/>
  <c r="X1032" i="3" a="1"/>
  <c r="X1032" i="3" s="1"/>
  <c r="W1032" i="3" a="1"/>
  <c r="W1032" i="3" s="1"/>
  <c r="V1032" i="3" a="1"/>
  <c r="V1032" i="3" s="1"/>
  <c r="Y1031" i="3" a="1"/>
  <c r="Y1031" i="3" s="1"/>
  <c r="X1031" i="3" a="1"/>
  <c r="X1031" i="3" s="1"/>
  <c r="W1031" i="3" a="1"/>
  <c r="W1031" i="3" s="1"/>
  <c r="V1031" i="3" a="1"/>
  <c r="V1031" i="3" s="1"/>
  <c r="Y1030" i="3" a="1"/>
  <c r="Y1030" i="3" s="1"/>
  <c r="X1030" i="3" a="1"/>
  <c r="X1030" i="3" s="1"/>
  <c r="W1030" i="3" a="1"/>
  <c r="W1030" i="3" s="1"/>
  <c r="V1030" i="3" a="1"/>
  <c r="V1030" i="3" s="1"/>
  <c r="Y1029" i="3" a="1"/>
  <c r="Y1029" i="3" s="1"/>
  <c r="X1029" i="3" a="1"/>
  <c r="X1029" i="3" s="1"/>
  <c r="W1029" i="3" a="1"/>
  <c r="W1029" i="3" s="1"/>
  <c r="V1029" i="3" a="1"/>
  <c r="V1029" i="3" s="1"/>
  <c r="Y1028" i="3" a="1"/>
  <c r="Y1028" i="3" s="1"/>
  <c r="X1028" i="3" a="1"/>
  <c r="X1028" i="3" s="1"/>
  <c r="W1028" i="3" a="1"/>
  <c r="W1028" i="3" s="1"/>
  <c r="V1028" i="3" a="1"/>
  <c r="V1028" i="3" s="1"/>
  <c r="Y1027" i="3" a="1"/>
  <c r="Y1027" i="3" s="1"/>
  <c r="X1027" i="3" a="1"/>
  <c r="X1027" i="3" s="1"/>
  <c r="W1027" i="3" a="1"/>
  <c r="W1027" i="3" s="1"/>
  <c r="V1027" i="3" a="1"/>
  <c r="V1027" i="3" s="1"/>
  <c r="Y1026" i="3" a="1"/>
  <c r="Y1026" i="3" s="1"/>
  <c r="X1026" i="3" a="1"/>
  <c r="X1026" i="3" s="1"/>
  <c r="W1026" i="3" a="1"/>
  <c r="W1026" i="3" s="1"/>
  <c r="V1026" i="3" a="1"/>
  <c r="V1026" i="3" s="1"/>
  <c r="Y1025" i="3" a="1"/>
  <c r="Y1025" i="3" s="1"/>
  <c r="X1025" i="3" a="1"/>
  <c r="X1025" i="3" s="1"/>
  <c r="W1025" i="3" a="1"/>
  <c r="W1025" i="3" s="1"/>
  <c r="V1025" i="3" a="1"/>
  <c r="V1025" i="3" s="1"/>
  <c r="Y1024" i="3" a="1"/>
  <c r="Y1024" i="3" s="1"/>
  <c r="X1024" i="3" a="1"/>
  <c r="X1024" i="3" s="1"/>
  <c r="W1024" i="3" a="1"/>
  <c r="W1024" i="3" s="1"/>
  <c r="V1024" i="3" a="1"/>
  <c r="V1024" i="3" s="1"/>
  <c r="Y1023" i="3" a="1"/>
  <c r="Y1023" i="3" s="1"/>
  <c r="X1023" i="3" a="1"/>
  <c r="X1023" i="3" s="1"/>
  <c r="W1023" i="3" a="1"/>
  <c r="W1023" i="3" s="1"/>
  <c r="V1023" i="3" a="1"/>
  <c r="V1023" i="3" s="1"/>
  <c r="Y1022" i="3" a="1"/>
  <c r="Y1022" i="3" s="1"/>
  <c r="X1022" i="3" a="1"/>
  <c r="X1022" i="3" s="1"/>
  <c r="W1022" i="3" a="1"/>
  <c r="W1022" i="3" s="1"/>
  <c r="V1022" i="3" a="1"/>
  <c r="V1022" i="3" s="1"/>
  <c r="Y1021" i="3" a="1"/>
  <c r="Y1021" i="3" s="1"/>
  <c r="X1021" i="3" a="1"/>
  <c r="X1021" i="3" s="1"/>
  <c r="W1021" i="3" a="1"/>
  <c r="W1021" i="3" s="1"/>
  <c r="V1021" i="3" a="1"/>
  <c r="V1021" i="3" s="1"/>
  <c r="Y1020" i="3" a="1"/>
  <c r="Y1020" i="3" s="1"/>
  <c r="X1020" i="3" a="1"/>
  <c r="X1020" i="3" s="1"/>
  <c r="W1020" i="3" a="1"/>
  <c r="W1020" i="3" s="1"/>
  <c r="V1020" i="3" a="1"/>
  <c r="V1020" i="3" s="1"/>
  <c r="Y1019" i="3" a="1"/>
  <c r="Y1019" i="3" s="1"/>
  <c r="X1019" i="3" a="1"/>
  <c r="X1019" i="3" s="1"/>
  <c r="W1019" i="3" a="1"/>
  <c r="W1019" i="3" s="1"/>
  <c r="V1019" i="3" a="1"/>
  <c r="V1019" i="3" s="1"/>
  <c r="Y1018" i="3" a="1"/>
  <c r="Y1018" i="3" s="1"/>
  <c r="X1018" i="3" a="1"/>
  <c r="X1018" i="3" s="1"/>
  <c r="W1018" i="3" a="1"/>
  <c r="W1018" i="3" s="1"/>
  <c r="V1018" i="3" a="1"/>
  <c r="V1018" i="3" s="1"/>
  <c r="Y1017" i="3" a="1"/>
  <c r="Y1017" i="3" s="1"/>
  <c r="X1017" i="3" a="1"/>
  <c r="X1017" i="3" s="1"/>
  <c r="W1017" i="3" a="1"/>
  <c r="W1017" i="3" s="1"/>
  <c r="V1017" i="3" a="1"/>
  <c r="V1017" i="3" s="1"/>
  <c r="Y1016" i="3" a="1"/>
  <c r="Y1016" i="3" s="1"/>
  <c r="X1016" i="3" a="1"/>
  <c r="X1016" i="3" s="1"/>
  <c r="W1016" i="3" a="1"/>
  <c r="W1016" i="3" s="1"/>
  <c r="V1016" i="3" a="1"/>
  <c r="V1016" i="3" s="1"/>
  <c r="Y1015" i="3" a="1"/>
  <c r="Y1015" i="3" s="1"/>
  <c r="X1015" i="3" a="1"/>
  <c r="X1015" i="3" s="1"/>
  <c r="W1015" i="3" a="1"/>
  <c r="W1015" i="3" s="1"/>
  <c r="V1015" i="3" a="1"/>
  <c r="V1015" i="3" s="1"/>
  <c r="Y1014" i="3" a="1"/>
  <c r="Y1014" i="3" s="1"/>
  <c r="X1014" i="3" a="1"/>
  <c r="X1014" i="3" s="1"/>
  <c r="W1014" i="3" a="1"/>
  <c r="W1014" i="3" s="1"/>
  <c r="V1014" i="3" a="1"/>
  <c r="V1014" i="3" s="1"/>
  <c r="Y1013" i="3" a="1"/>
  <c r="Y1013" i="3" s="1"/>
  <c r="X1013" i="3" a="1"/>
  <c r="X1013" i="3" s="1"/>
  <c r="W1013" i="3" a="1"/>
  <c r="W1013" i="3" s="1"/>
  <c r="V1013" i="3" a="1"/>
  <c r="V1013" i="3" s="1"/>
  <c r="Y1012" i="3" a="1"/>
  <c r="Y1012" i="3" s="1"/>
  <c r="X1012" i="3" a="1"/>
  <c r="X1012" i="3" s="1"/>
  <c r="W1012" i="3" a="1"/>
  <c r="W1012" i="3" s="1"/>
  <c r="V1012" i="3" a="1"/>
  <c r="V1012" i="3" s="1"/>
  <c r="Y1011" i="3" a="1"/>
  <c r="Y1011" i="3" s="1"/>
  <c r="X1011" i="3" a="1"/>
  <c r="X1011" i="3" s="1"/>
  <c r="W1011" i="3" a="1"/>
  <c r="W1011" i="3" s="1"/>
  <c r="V1011" i="3" a="1"/>
  <c r="V1011" i="3" s="1"/>
  <c r="Y1010" i="3" a="1"/>
  <c r="Y1010" i="3" s="1"/>
  <c r="X1010" i="3" a="1"/>
  <c r="X1010" i="3" s="1"/>
  <c r="W1010" i="3" a="1"/>
  <c r="W1010" i="3" s="1"/>
  <c r="V1010" i="3" a="1"/>
  <c r="V1010" i="3" s="1"/>
  <c r="Y1009" i="3" a="1"/>
  <c r="Y1009" i="3" s="1"/>
  <c r="X1009" i="3" a="1"/>
  <c r="X1009" i="3" s="1"/>
  <c r="W1009" i="3" a="1"/>
  <c r="W1009" i="3" s="1"/>
  <c r="V1009" i="3" a="1"/>
  <c r="V1009" i="3" s="1"/>
  <c r="Y1008" i="3" a="1"/>
  <c r="Y1008" i="3" s="1"/>
  <c r="X1008" i="3" a="1"/>
  <c r="X1008" i="3" s="1"/>
  <c r="W1008" i="3" a="1"/>
  <c r="W1008" i="3" s="1"/>
  <c r="V1008" i="3" a="1"/>
  <c r="V1008" i="3" s="1"/>
  <c r="Y1007" i="3" a="1"/>
  <c r="Y1007" i="3" s="1"/>
  <c r="X1007" i="3" a="1"/>
  <c r="X1007" i="3" s="1"/>
  <c r="W1007" i="3" a="1"/>
  <c r="W1007" i="3" s="1"/>
  <c r="V1007" i="3" a="1"/>
  <c r="V1007" i="3" s="1"/>
  <c r="Y1006" i="3" a="1"/>
  <c r="Y1006" i="3" s="1"/>
  <c r="X1006" i="3" a="1"/>
  <c r="X1006" i="3" s="1"/>
  <c r="W1006" i="3" a="1"/>
  <c r="W1006" i="3" s="1"/>
  <c r="V1006" i="3" a="1"/>
  <c r="V1006" i="3" s="1"/>
  <c r="Y1005" i="3" a="1"/>
  <c r="Y1005" i="3" s="1"/>
  <c r="X1005" i="3" a="1"/>
  <c r="X1005" i="3" s="1"/>
  <c r="W1005" i="3" a="1"/>
  <c r="W1005" i="3" s="1"/>
  <c r="V1005" i="3" a="1"/>
  <c r="V1005" i="3" s="1"/>
  <c r="Y1004" i="3" a="1"/>
  <c r="Y1004" i="3" s="1"/>
  <c r="X1004" i="3" a="1"/>
  <c r="X1004" i="3" s="1"/>
  <c r="W1004" i="3" a="1"/>
  <c r="W1004" i="3" s="1"/>
  <c r="V1004" i="3" a="1"/>
  <c r="V1004" i="3" s="1"/>
  <c r="Y1003" i="3" a="1"/>
  <c r="Y1003" i="3" s="1"/>
  <c r="X1003" i="3" a="1"/>
  <c r="X1003" i="3" s="1"/>
  <c r="W1003" i="3" a="1"/>
  <c r="W1003" i="3" s="1"/>
  <c r="V1003" i="3" a="1"/>
  <c r="V1003" i="3" s="1"/>
  <c r="Y1002" i="3" a="1"/>
  <c r="Y1002" i="3" s="1"/>
  <c r="X1002" i="3" a="1"/>
  <c r="X1002" i="3" s="1"/>
  <c r="W1002" i="3" a="1"/>
  <c r="W1002" i="3" s="1"/>
  <c r="V1002" i="3" a="1"/>
  <c r="V1002" i="3" s="1"/>
  <c r="Y1001" i="3" a="1"/>
  <c r="Y1001" i="3" s="1"/>
  <c r="X1001" i="3" a="1"/>
  <c r="X1001" i="3" s="1"/>
  <c r="W1001" i="3" a="1"/>
  <c r="W1001" i="3" s="1"/>
  <c r="V1001" i="3" a="1"/>
  <c r="V1001" i="3" s="1"/>
  <c r="Y1000" i="3" a="1"/>
  <c r="Y1000" i="3" s="1"/>
  <c r="X1000" i="3" a="1"/>
  <c r="X1000" i="3" s="1"/>
  <c r="W1000" i="3" a="1"/>
  <c r="W1000" i="3" s="1"/>
  <c r="V1000" i="3" a="1"/>
  <c r="V1000" i="3" s="1"/>
  <c r="Y999" i="3" a="1"/>
  <c r="Y999" i="3" s="1"/>
  <c r="X999" i="3" a="1"/>
  <c r="X999" i="3" s="1"/>
  <c r="W999" i="3" a="1"/>
  <c r="W999" i="3" s="1"/>
  <c r="V999" i="3" a="1"/>
  <c r="V999" i="3" s="1"/>
  <c r="Y998" i="3" a="1"/>
  <c r="Y998" i="3" s="1"/>
  <c r="X998" i="3" a="1"/>
  <c r="X998" i="3" s="1"/>
  <c r="W998" i="3" a="1"/>
  <c r="W998" i="3" s="1"/>
  <c r="V998" i="3" a="1"/>
  <c r="V998" i="3" s="1"/>
  <c r="Y997" i="3" a="1"/>
  <c r="Y997" i="3" s="1"/>
  <c r="X997" i="3" a="1"/>
  <c r="X997" i="3" s="1"/>
  <c r="W997" i="3" a="1"/>
  <c r="W997" i="3" s="1"/>
  <c r="V997" i="3" a="1"/>
  <c r="V997" i="3" s="1"/>
  <c r="Y996" i="3" a="1"/>
  <c r="Y996" i="3" s="1"/>
  <c r="X996" i="3" a="1"/>
  <c r="X996" i="3" s="1"/>
  <c r="W996" i="3" a="1"/>
  <c r="W996" i="3" s="1"/>
  <c r="V996" i="3" a="1"/>
  <c r="V996" i="3" s="1"/>
  <c r="Y995" i="3" a="1"/>
  <c r="Y995" i="3" s="1"/>
  <c r="X995" i="3" a="1"/>
  <c r="X995" i="3" s="1"/>
  <c r="W995" i="3" a="1"/>
  <c r="W995" i="3" s="1"/>
  <c r="V995" i="3" a="1"/>
  <c r="V995" i="3" s="1"/>
  <c r="Y994" i="3" a="1"/>
  <c r="Y994" i="3" s="1"/>
  <c r="X994" i="3" a="1"/>
  <c r="X994" i="3" s="1"/>
  <c r="W994" i="3" a="1"/>
  <c r="W994" i="3" s="1"/>
  <c r="V994" i="3" a="1"/>
  <c r="V994" i="3" s="1"/>
  <c r="Y743" i="3" a="1"/>
  <c r="Y743" i="3" s="1"/>
  <c r="X743" i="3" a="1"/>
  <c r="X743" i="3" s="1"/>
  <c r="W743" i="3" a="1"/>
  <c r="W743" i="3" s="1"/>
  <c r="V743" i="3" a="1"/>
  <c r="V743" i="3" s="1"/>
  <c r="Y742" i="3" a="1"/>
  <c r="Y742" i="3" s="1"/>
  <c r="X742" i="3" a="1"/>
  <c r="X742" i="3" s="1"/>
  <c r="W742" i="3" a="1"/>
  <c r="W742" i="3" s="1"/>
  <c r="V742" i="3" a="1"/>
  <c r="V742" i="3" s="1"/>
  <c r="Y741" i="3" a="1"/>
  <c r="Y741" i="3" s="1"/>
  <c r="X741" i="3" a="1"/>
  <c r="X741" i="3" s="1"/>
  <c r="W741" i="3" a="1"/>
  <c r="W741" i="3" s="1"/>
  <c r="V741" i="3" a="1"/>
  <c r="V741" i="3" s="1"/>
  <c r="Y740" i="3" a="1"/>
  <c r="Y740" i="3" s="1"/>
  <c r="X740" i="3" a="1"/>
  <c r="X740" i="3" s="1"/>
  <c r="W740" i="3" a="1"/>
  <c r="W740" i="3" s="1"/>
  <c r="V740" i="3" a="1"/>
  <c r="V740" i="3" s="1"/>
  <c r="Y739" i="3" a="1"/>
  <c r="Y739" i="3" s="1"/>
  <c r="X739" i="3" a="1"/>
  <c r="X739" i="3" s="1"/>
  <c r="W739" i="3" a="1"/>
  <c r="W739" i="3" s="1"/>
  <c r="V739" i="3" a="1"/>
  <c r="V739" i="3" s="1"/>
  <c r="Y738" i="3" a="1"/>
  <c r="Y738" i="3" s="1"/>
  <c r="X738" i="3" a="1"/>
  <c r="X738" i="3" s="1"/>
  <c r="W738" i="3" a="1"/>
  <c r="W738" i="3" s="1"/>
  <c r="V738" i="3" a="1"/>
  <c r="V738" i="3" s="1"/>
  <c r="Y737" i="3" a="1"/>
  <c r="Y737" i="3" s="1"/>
  <c r="X737" i="3" a="1"/>
  <c r="X737" i="3" s="1"/>
  <c r="W737" i="3" a="1"/>
  <c r="W737" i="3" s="1"/>
  <c r="V737" i="3" a="1"/>
  <c r="V737" i="3" s="1"/>
  <c r="Y736" i="3" a="1"/>
  <c r="Y736" i="3" s="1"/>
  <c r="X736" i="3" a="1"/>
  <c r="X736" i="3" s="1"/>
  <c r="W736" i="3" a="1"/>
  <c r="W736" i="3" s="1"/>
  <c r="V736" i="3" a="1"/>
  <c r="V736" i="3" s="1"/>
  <c r="Y735" i="3" a="1"/>
  <c r="Y735" i="3" s="1"/>
  <c r="X735" i="3" a="1"/>
  <c r="X735" i="3" s="1"/>
  <c r="W735" i="3" a="1"/>
  <c r="W735" i="3" s="1"/>
  <c r="V735" i="3" a="1"/>
  <c r="V735" i="3" s="1"/>
  <c r="Y733" i="3" a="1"/>
  <c r="Y733" i="3" s="1"/>
  <c r="X733" i="3" a="1"/>
  <c r="X733" i="3" s="1"/>
  <c r="W733" i="3" a="1"/>
  <c r="W733" i="3" s="1"/>
  <c r="V733" i="3" a="1"/>
  <c r="V733" i="3" s="1"/>
  <c r="Y732" i="3" a="1"/>
  <c r="Y732" i="3" s="1"/>
  <c r="X732" i="3" a="1"/>
  <c r="X732" i="3" s="1"/>
  <c r="W732" i="3" a="1"/>
  <c r="W732" i="3" s="1"/>
  <c r="V732" i="3" a="1"/>
  <c r="V732" i="3" s="1"/>
  <c r="Y731" i="3" a="1"/>
  <c r="Y731" i="3" s="1"/>
  <c r="X731" i="3" a="1"/>
  <c r="X731" i="3" s="1"/>
  <c r="W731" i="3" a="1"/>
  <c r="W731" i="3" s="1"/>
  <c r="V731" i="3" a="1"/>
  <c r="V731" i="3" s="1"/>
  <c r="Y730" i="3" a="1"/>
  <c r="Y730" i="3" s="1"/>
  <c r="X730" i="3" a="1"/>
  <c r="X730" i="3" s="1"/>
  <c r="W730" i="3" a="1"/>
  <c r="W730" i="3" s="1"/>
  <c r="V730" i="3" a="1"/>
  <c r="V730" i="3" s="1"/>
  <c r="Y729" i="3" a="1"/>
  <c r="Y729" i="3" s="1"/>
  <c r="X729" i="3" a="1"/>
  <c r="X729" i="3" s="1"/>
  <c r="W729" i="3" a="1"/>
  <c r="W729" i="3" s="1"/>
  <c r="V729" i="3" a="1"/>
  <c r="V729" i="3" s="1"/>
  <c r="Y728" i="3" a="1"/>
  <c r="Y728" i="3" s="1"/>
  <c r="X728" i="3" a="1"/>
  <c r="X728" i="3" s="1"/>
  <c r="W728" i="3" a="1"/>
  <c r="W728" i="3" s="1"/>
  <c r="V728" i="3" a="1"/>
  <c r="V728" i="3" s="1"/>
  <c r="Y727" i="3" a="1"/>
  <c r="Y727" i="3" s="1"/>
  <c r="X727" i="3" a="1"/>
  <c r="X727" i="3" s="1"/>
  <c r="W727" i="3" a="1"/>
  <c r="W727" i="3" s="1"/>
  <c r="V727" i="3" a="1"/>
  <c r="V727" i="3" s="1"/>
  <c r="Y726" i="3" a="1"/>
  <c r="Y726" i="3" s="1"/>
  <c r="X726" i="3" a="1"/>
  <c r="X726" i="3" s="1"/>
  <c r="W726" i="3" a="1"/>
  <c r="W726" i="3" s="1"/>
  <c r="V726" i="3" a="1"/>
  <c r="V726" i="3" s="1"/>
  <c r="Y725" i="3" a="1"/>
  <c r="Y725" i="3" s="1"/>
  <c r="X725" i="3" a="1"/>
  <c r="X725" i="3" s="1"/>
  <c r="W725" i="3" a="1"/>
  <c r="W725" i="3" s="1"/>
  <c r="V725" i="3" a="1"/>
  <c r="V725" i="3" s="1"/>
  <c r="Y724" i="3" a="1"/>
  <c r="Y724" i="3" s="1"/>
  <c r="X724" i="3" a="1"/>
  <c r="X724" i="3" s="1"/>
  <c r="W724" i="3" a="1"/>
  <c r="W724" i="3" s="1"/>
  <c r="V724" i="3" a="1"/>
  <c r="V724" i="3" s="1"/>
  <c r="Y723" i="3" a="1"/>
  <c r="Y723" i="3" s="1"/>
  <c r="X723" i="3" a="1"/>
  <c r="X723" i="3" s="1"/>
  <c r="W723" i="3" a="1"/>
  <c r="W723" i="3" s="1"/>
  <c r="V723" i="3" a="1"/>
  <c r="V723" i="3" s="1"/>
  <c r="Y722" i="3" a="1"/>
  <c r="Y722" i="3" s="1"/>
  <c r="X722" i="3" a="1"/>
  <c r="X722" i="3" s="1"/>
  <c r="W722" i="3" a="1"/>
  <c r="W722" i="3" s="1"/>
  <c r="V722" i="3" a="1"/>
  <c r="V722" i="3" s="1"/>
  <c r="Y721" i="3" a="1"/>
  <c r="Y721" i="3" s="1"/>
  <c r="X721" i="3" a="1"/>
  <c r="X721" i="3" s="1"/>
  <c r="W721" i="3" a="1"/>
  <c r="W721" i="3" s="1"/>
  <c r="V721" i="3" a="1"/>
  <c r="V721" i="3" s="1"/>
  <c r="Y720" i="3" a="1"/>
  <c r="Y720" i="3" s="1"/>
  <c r="X720" i="3" a="1"/>
  <c r="X720" i="3" s="1"/>
  <c r="W720" i="3" a="1"/>
  <c r="W720" i="3" s="1"/>
  <c r="V720" i="3" a="1"/>
  <c r="V720" i="3" s="1"/>
  <c r="Y719" i="3" a="1"/>
  <c r="Y719" i="3" s="1"/>
  <c r="X719" i="3" a="1"/>
  <c r="X719" i="3" s="1"/>
  <c r="W719" i="3" a="1"/>
  <c r="W719" i="3" s="1"/>
  <c r="V719" i="3" a="1"/>
  <c r="V719" i="3" s="1"/>
  <c r="Y718" i="3" a="1"/>
  <c r="Y718" i="3" s="1"/>
  <c r="X718" i="3" a="1"/>
  <c r="X718" i="3" s="1"/>
  <c r="W718" i="3" a="1"/>
  <c r="W718" i="3" s="1"/>
  <c r="V718" i="3" a="1"/>
  <c r="V718" i="3" s="1"/>
  <c r="Y717" i="3" a="1"/>
  <c r="Y717" i="3" s="1"/>
  <c r="X717" i="3" a="1"/>
  <c r="X717" i="3" s="1"/>
  <c r="W717" i="3" a="1"/>
  <c r="W717" i="3" s="1"/>
  <c r="V717" i="3" a="1"/>
  <c r="V717" i="3" s="1"/>
  <c r="Y716" i="3" a="1"/>
  <c r="Y716" i="3" s="1"/>
  <c r="X716" i="3" a="1"/>
  <c r="X716" i="3" s="1"/>
  <c r="W716" i="3" a="1"/>
  <c r="W716" i="3" s="1"/>
  <c r="V716" i="3" a="1"/>
  <c r="V716" i="3" s="1"/>
  <c r="Y715" i="3" a="1"/>
  <c r="Y715" i="3" s="1"/>
  <c r="X715" i="3" a="1"/>
  <c r="X715" i="3" s="1"/>
  <c r="W715" i="3" a="1"/>
  <c r="W715" i="3" s="1"/>
  <c r="V715" i="3" a="1"/>
  <c r="V715" i="3" s="1"/>
  <c r="Y714" i="3" a="1"/>
  <c r="Y714" i="3" s="1"/>
  <c r="X714" i="3" a="1"/>
  <c r="X714" i="3" s="1"/>
  <c r="W714" i="3" a="1"/>
  <c r="W714" i="3" s="1"/>
  <c r="V714" i="3" a="1"/>
  <c r="V714" i="3" s="1"/>
  <c r="Y713" i="3" a="1"/>
  <c r="Y713" i="3" s="1"/>
  <c r="X713" i="3" a="1"/>
  <c r="X713" i="3" s="1"/>
  <c r="W713" i="3" a="1"/>
  <c r="W713" i="3" s="1"/>
  <c r="V713" i="3" a="1"/>
  <c r="V713" i="3" s="1"/>
  <c r="Y712" i="3" a="1"/>
  <c r="Y712" i="3" s="1"/>
  <c r="X712" i="3" a="1"/>
  <c r="X712" i="3" s="1"/>
  <c r="W712" i="3" a="1"/>
  <c r="W712" i="3" s="1"/>
  <c r="V712" i="3" a="1"/>
  <c r="V712" i="3" s="1"/>
  <c r="Y711" i="3" a="1"/>
  <c r="Y711" i="3" s="1"/>
  <c r="X711" i="3" a="1"/>
  <c r="X711" i="3" s="1"/>
  <c r="W711" i="3" a="1"/>
  <c r="W711" i="3" s="1"/>
  <c r="V711" i="3" a="1"/>
  <c r="V711" i="3" s="1"/>
  <c r="Y710" i="3" a="1"/>
  <c r="Y710" i="3" s="1"/>
  <c r="X710" i="3" a="1"/>
  <c r="X710" i="3" s="1"/>
  <c r="W710" i="3" a="1"/>
  <c r="W710" i="3" s="1"/>
  <c r="V710" i="3" a="1"/>
  <c r="V710" i="3" s="1"/>
  <c r="Y709" i="3" a="1"/>
  <c r="Y709" i="3" s="1"/>
  <c r="X709" i="3" a="1"/>
  <c r="X709" i="3" s="1"/>
  <c r="W709" i="3" a="1"/>
  <c r="W709" i="3" s="1"/>
  <c r="V709" i="3" a="1"/>
  <c r="V709" i="3" s="1"/>
  <c r="Y708" i="3" a="1"/>
  <c r="Y708" i="3" s="1"/>
  <c r="X708" i="3" a="1"/>
  <c r="X708" i="3" s="1"/>
  <c r="W708" i="3" a="1"/>
  <c r="W708" i="3" s="1"/>
  <c r="V708" i="3" a="1"/>
  <c r="V708" i="3" s="1"/>
  <c r="Y707" i="3" a="1"/>
  <c r="Y707" i="3" s="1"/>
  <c r="X707" i="3" a="1"/>
  <c r="X707" i="3" s="1"/>
  <c r="W707" i="3" a="1"/>
  <c r="W707" i="3" s="1"/>
  <c r="V707" i="3" a="1"/>
  <c r="V707" i="3" s="1"/>
  <c r="Y706" i="3" a="1"/>
  <c r="Y706" i="3" s="1"/>
  <c r="X706" i="3" a="1"/>
  <c r="X706" i="3" s="1"/>
  <c r="W706" i="3" a="1"/>
  <c r="W706" i="3" s="1"/>
  <c r="V706" i="3" a="1"/>
  <c r="V706" i="3" s="1"/>
  <c r="Y705" i="3" a="1"/>
  <c r="Y705" i="3" s="1"/>
  <c r="X705" i="3" a="1"/>
  <c r="X705" i="3" s="1"/>
  <c r="W705" i="3" a="1"/>
  <c r="W705" i="3" s="1"/>
  <c r="V705" i="3" a="1"/>
  <c r="V705" i="3" s="1"/>
  <c r="Y704" i="3" a="1"/>
  <c r="Y704" i="3" s="1"/>
  <c r="X704" i="3" a="1"/>
  <c r="X704" i="3" s="1"/>
  <c r="W704" i="3" a="1"/>
  <c r="W704" i="3" s="1"/>
  <c r="V704" i="3" a="1"/>
  <c r="V704" i="3" s="1"/>
  <c r="Y703" i="3" a="1"/>
  <c r="Y703" i="3" s="1"/>
  <c r="X703" i="3" a="1"/>
  <c r="X703" i="3" s="1"/>
  <c r="W703" i="3" a="1"/>
  <c r="W703" i="3" s="1"/>
  <c r="V703" i="3" a="1"/>
  <c r="V703" i="3" s="1"/>
  <c r="Y702" i="3" a="1"/>
  <c r="Y702" i="3" s="1"/>
  <c r="X702" i="3" a="1"/>
  <c r="X702" i="3" s="1"/>
  <c r="W702" i="3" a="1"/>
  <c r="W702" i="3" s="1"/>
  <c r="V702" i="3" a="1"/>
  <c r="V702" i="3" s="1"/>
  <c r="Y701" i="3" a="1"/>
  <c r="Y701" i="3" s="1"/>
  <c r="X701" i="3" a="1"/>
  <c r="X701" i="3" s="1"/>
  <c r="W701" i="3" a="1"/>
  <c r="W701" i="3" s="1"/>
  <c r="V701" i="3" a="1"/>
  <c r="V701" i="3" s="1"/>
  <c r="Y700" i="3" a="1"/>
  <c r="Y700" i="3" s="1"/>
  <c r="X700" i="3" a="1"/>
  <c r="X700" i="3" s="1"/>
  <c r="W700" i="3" a="1"/>
  <c r="W700" i="3" s="1"/>
  <c r="V700" i="3" a="1"/>
  <c r="V700" i="3" s="1"/>
  <c r="Y699" i="3" a="1"/>
  <c r="Y699" i="3" s="1"/>
  <c r="X699" i="3" a="1"/>
  <c r="X699" i="3" s="1"/>
  <c r="W699" i="3" a="1"/>
  <c r="W699" i="3" s="1"/>
  <c r="V699" i="3" a="1"/>
  <c r="V699" i="3" s="1"/>
  <c r="Y698" i="3" a="1"/>
  <c r="Y698" i="3" s="1"/>
  <c r="X698" i="3" a="1"/>
  <c r="X698" i="3" s="1"/>
  <c r="W698" i="3" a="1"/>
  <c r="W698" i="3" s="1"/>
  <c r="V698" i="3" a="1"/>
  <c r="V698" i="3" s="1"/>
  <c r="Y697" i="3" a="1"/>
  <c r="Y697" i="3" s="1"/>
  <c r="X697" i="3" a="1"/>
  <c r="X697" i="3" s="1"/>
  <c r="W697" i="3" a="1"/>
  <c r="W697" i="3" s="1"/>
  <c r="V697" i="3" a="1"/>
  <c r="V697" i="3" s="1"/>
  <c r="Y696" i="3" a="1"/>
  <c r="Y696" i="3" s="1"/>
  <c r="X696" i="3" a="1"/>
  <c r="X696" i="3" s="1"/>
  <c r="W696" i="3" a="1"/>
  <c r="W696" i="3" s="1"/>
  <c r="V696" i="3" a="1"/>
  <c r="V696" i="3" s="1"/>
  <c r="Y695" i="3" a="1"/>
  <c r="Y695" i="3" s="1"/>
  <c r="X695" i="3" a="1"/>
  <c r="X695" i="3" s="1"/>
  <c r="W695" i="3" a="1"/>
  <c r="W695" i="3" s="1"/>
  <c r="V695" i="3" a="1"/>
  <c r="V695" i="3" s="1"/>
  <c r="Y694" i="3" a="1"/>
  <c r="Y694" i="3" s="1"/>
  <c r="X694" i="3" a="1"/>
  <c r="X694" i="3" s="1"/>
  <c r="W694" i="3" a="1"/>
  <c r="W694" i="3" s="1"/>
  <c r="V694" i="3" a="1"/>
  <c r="V694" i="3" s="1"/>
  <c r="Y693" i="3" a="1"/>
  <c r="Y693" i="3" s="1"/>
  <c r="X693" i="3" a="1"/>
  <c r="X693" i="3" s="1"/>
  <c r="W693" i="3" a="1"/>
  <c r="W693" i="3" s="1"/>
  <c r="V693" i="3" a="1"/>
  <c r="V693" i="3" s="1"/>
  <c r="Y692" i="3" a="1"/>
  <c r="Y692" i="3" s="1"/>
  <c r="X692" i="3" a="1"/>
  <c r="X692" i="3" s="1"/>
  <c r="W692" i="3" a="1"/>
  <c r="W692" i="3" s="1"/>
  <c r="V692" i="3" a="1"/>
  <c r="V692" i="3" s="1"/>
  <c r="Y691" i="3" a="1"/>
  <c r="Y691" i="3" s="1"/>
  <c r="X691" i="3" a="1"/>
  <c r="X691" i="3" s="1"/>
  <c r="W691" i="3" a="1"/>
  <c r="W691" i="3" s="1"/>
  <c r="V691" i="3" a="1"/>
  <c r="V691" i="3" s="1"/>
  <c r="Y690" i="3" a="1"/>
  <c r="Y690" i="3" s="1"/>
  <c r="X690" i="3" a="1"/>
  <c r="X690" i="3" s="1"/>
  <c r="W690" i="3" a="1"/>
  <c r="W690" i="3" s="1"/>
  <c r="V690" i="3" a="1"/>
  <c r="V690" i="3" s="1"/>
  <c r="Y689" i="3" a="1"/>
  <c r="Y689" i="3" s="1"/>
  <c r="X689" i="3" a="1"/>
  <c r="X689" i="3" s="1"/>
  <c r="W689" i="3" a="1"/>
  <c r="W689" i="3" s="1"/>
  <c r="V689" i="3" a="1"/>
  <c r="V689" i="3" s="1"/>
  <c r="Y688" i="3" a="1"/>
  <c r="Y688" i="3" s="1"/>
  <c r="X688" i="3" a="1"/>
  <c r="X688" i="3" s="1"/>
  <c r="W688" i="3" a="1"/>
  <c r="W688" i="3" s="1"/>
  <c r="V688" i="3" a="1"/>
  <c r="V688" i="3" s="1"/>
  <c r="Y687" i="3" a="1"/>
  <c r="Y687" i="3" s="1"/>
  <c r="X687" i="3" a="1"/>
  <c r="X687" i="3" s="1"/>
  <c r="W687" i="3" a="1"/>
  <c r="W687" i="3" s="1"/>
  <c r="V687" i="3" a="1"/>
  <c r="V687" i="3" s="1"/>
  <c r="Y686" i="3" a="1"/>
  <c r="Y686" i="3" s="1"/>
  <c r="X686" i="3" a="1"/>
  <c r="X686" i="3" s="1"/>
  <c r="W686" i="3" a="1"/>
  <c r="W686" i="3" s="1"/>
  <c r="V686" i="3" a="1"/>
  <c r="V686" i="3" s="1"/>
  <c r="Y685" i="3" a="1"/>
  <c r="Y685" i="3" s="1"/>
  <c r="X685" i="3" a="1"/>
  <c r="X685" i="3" s="1"/>
  <c r="W685" i="3" a="1"/>
  <c r="W685" i="3" s="1"/>
  <c r="V685" i="3" a="1"/>
  <c r="V685" i="3" s="1"/>
  <c r="Y684" i="3" a="1"/>
  <c r="Y684" i="3" s="1"/>
  <c r="X684" i="3" a="1"/>
  <c r="X684" i="3" s="1"/>
  <c r="W684" i="3" a="1"/>
  <c r="W684" i="3" s="1"/>
  <c r="V684" i="3" a="1"/>
  <c r="V684" i="3" s="1"/>
  <c r="Y683" i="3" a="1"/>
  <c r="Y683" i="3" s="1"/>
  <c r="X683" i="3" a="1"/>
  <c r="X683" i="3" s="1"/>
  <c r="W683" i="3" a="1"/>
  <c r="W683" i="3" s="1"/>
  <c r="V683" i="3" a="1"/>
  <c r="V683" i="3" s="1"/>
  <c r="Y682" i="3" a="1"/>
  <c r="Y682" i="3" s="1"/>
  <c r="X682" i="3" a="1"/>
  <c r="X682" i="3" s="1"/>
  <c r="W682" i="3" a="1"/>
  <c r="W682" i="3" s="1"/>
  <c r="V682" i="3" a="1"/>
  <c r="V682" i="3" s="1"/>
  <c r="Y681" i="3" a="1"/>
  <c r="Y681" i="3" s="1"/>
  <c r="X681" i="3" a="1"/>
  <c r="X681" i="3" s="1"/>
  <c r="W681" i="3" a="1"/>
  <c r="W681" i="3" s="1"/>
  <c r="V681" i="3" a="1"/>
  <c r="V681" i="3" s="1"/>
  <c r="Y680" i="3" a="1"/>
  <c r="Y680" i="3" s="1"/>
  <c r="X680" i="3" a="1"/>
  <c r="X680" i="3" s="1"/>
  <c r="W680" i="3" a="1"/>
  <c r="W680" i="3" s="1"/>
  <c r="V680" i="3" a="1"/>
  <c r="V680" i="3" s="1"/>
  <c r="Y679" i="3" a="1"/>
  <c r="Y679" i="3" s="1"/>
  <c r="X679" i="3" a="1"/>
  <c r="X679" i="3" s="1"/>
  <c r="W679" i="3" a="1"/>
  <c r="W679" i="3" s="1"/>
  <c r="V679" i="3" a="1"/>
  <c r="V679" i="3" s="1"/>
  <c r="Y678" i="3" a="1"/>
  <c r="Y678" i="3" s="1"/>
  <c r="X678" i="3" a="1"/>
  <c r="X678" i="3" s="1"/>
  <c r="W678" i="3" a="1"/>
  <c r="W678" i="3" s="1"/>
  <c r="V678" i="3" a="1"/>
  <c r="V678" i="3" s="1"/>
  <c r="Y677" i="3" a="1"/>
  <c r="Y677" i="3" s="1"/>
  <c r="X677" i="3" a="1"/>
  <c r="X677" i="3" s="1"/>
  <c r="W677" i="3" a="1"/>
  <c r="W677" i="3" s="1"/>
  <c r="V677" i="3" a="1"/>
  <c r="V677" i="3" s="1"/>
  <c r="Y676" i="3" a="1"/>
  <c r="Y676" i="3" s="1"/>
  <c r="X676" i="3" a="1"/>
  <c r="X676" i="3" s="1"/>
  <c r="W676" i="3" a="1"/>
  <c r="W676" i="3" s="1"/>
  <c r="V676" i="3" a="1"/>
  <c r="V676" i="3" s="1"/>
  <c r="Y675" i="3" a="1"/>
  <c r="Y675" i="3" s="1"/>
  <c r="X675" i="3" a="1"/>
  <c r="X675" i="3" s="1"/>
  <c r="W675" i="3" a="1"/>
  <c r="W675" i="3" s="1"/>
  <c r="V675" i="3" a="1"/>
  <c r="V675" i="3" s="1"/>
  <c r="Y674" i="3" a="1"/>
  <c r="Y674" i="3" s="1"/>
  <c r="X674" i="3" a="1"/>
  <c r="X674" i="3" s="1"/>
  <c r="W674" i="3" a="1"/>
  <c r="W674" i="3" s="1"/>
  <c r="V674" i="3" a="1"/>
  <c r="V674" i="3" s="1"/>
  <c r="Y673" i="3" a="1"/>
  <c r="Y673" i="3" s="1"/>
  <c r="X673" i="3" a="1"/>
  <c r="X673" i="3" s="1"/>
  <c r="W673" i="3" a="1"/>
  <c r="W673" i="3" s="1"/>
  <c r="V673" i="3" a="1"/>
  <c r="V673" i="3" s="1"/>
  <c r="Y672" i="3" a="1"/>
  <c r="Y672" i="3" s="1"/>
  <c r="X672" i="3" a="1"/>
  <c r="X672" i="3" s="1"/>
  <c r="W672" i="3" a="1"/>
  <c r="W672" i="3" s="1"/>
  <c r="V672" i="3" a="1"/>
  <c r="V672" i="3" s="1"/>
  <c r="Y671" i="3" a="1"/>
  <c r="Y671" i="3" s="1"/>
  <c r="X671" i="3" a="1"/>
  <c r="X671" i="3" s="1"/>
  <c r="W671" i="3" a="1"/>
  <c r="W671" i="3" s="1"/>
  <c r="V671" i="3" a="1"/>
  <c r="V671" i="3" s="1"/>
  <c r="Y670" i="3" a="1"/>
  <c r="Y670" i="3" s="1"/>
  <c r="X670" i="3" a="1"/>
  <c r="X670" i="3" s="1"/>
  <c r="W670" i="3" a="1"/>
  <c r="W670" i="3" s="1"/>
  <c r="V670" i="3" a="1"/>
  <c r="V670" i="3" s="1"/>
  <c r="Y669" i="3" a="1"/>
  <c r="Y669" i="3" s="1"/>
  <c r="X669" i="3" a="1"/>
  <c r="X669" i="3" s="1"/>
  <c r="W669" i="3" a="1"/>
  <c r="W669" i="3" s="1"/>
  <c r="V669" i="3" a="1"/>
  <c r="V669" i="3" s="1"/>
  <c r="Y668" i="3" a="1"/>
  <c r="Y668" i="3" s="1"/>
  <c r="X668" i="3" a="1"/>
  <c r="X668" i="3" s="1"/>
  <c r="W668" i="3" a="1"/>
  <c r="W668" i="3" s="1"/>
  <c r="V668" i="3" a="1"/>
  <c r="V668" i="3" s="1"/>
  <c r="Y667" i="3" a="1"/>
  <c r="Y667" i="3" s="1"/>
  <c r="X667" i="3" a="1"/>
  <c r="X667" i="3" s="1"/>
  <c r="W667" i="3" a="1"/>
  <c r="W667" i="3" s="1"/>
  <c r="V667" i="3" a="1"/>
  <c r="V667" i="3" s="1"/>
  <c r="Y666" i="3" a="1"/>
  <c r="Y666" i="3" s="1"/>
  <c r="X666" i="3" a="1"/>
  <c r="X666" i="3" s="1"/>
  <c r="W666" i="3" a="1"/>
  <c r="W666" i="3" s="1"/>
  <c r="V666" i="3" a="1"/>
  <c r="V666" i="3" s="1"/>
  <c r="Y665" i="3" a="1"/>
  <c r="Y665" i="3" s="1"/>
  <c r="X665" i="3" a="1"/>
  <c r="X665" i="3" s="1"/>
  <c r="W665" i="3" a="1"/>
  <c r="W665" i="3" s="1"/>
  <c r="V665" i="3" a="1"/>
  <c r="V665" i="3" s="1"/>
  <c r="Y664" i="3" a="1"/>
  <c r="Y664" i="3" s="1"/>
  <c r="X664" i="3" a="1"/>
  <c r="X664" i="3" s="1"/>
  <c r="W664" i="3" a="1"/>
  <c r="W664" i="3" s="1"/>
  <c r="V664" i="3" a="1"/>
  <c r="V664" i="3" s="1"/>
  <c r="Y663" i="3" a="1"/>
  <c r="Y663" i="3" s="1"/>
  <c r="X663" i="3" a="1"/>
  <c r="X663" i="3" s="1"/>
  <c r="W663" i="3" a="1"/>
  <c r="W663" i="3" s="1"/>
  <c r="V663" i="3" a="1"/>
  <c r="V663" i="3" s="1"/>
  <c r="Y662" i="3" a="1"/>
  <c r="Y662" i="3" s="1"/>
  <c r="X662" i="3" a="1"/>
  <c r="X662" i="3" s="1"/>
  <c r="W662" i="3" a="1"/>
  <c r="W662" i="3" s="1"/>
  <c r="V662" i="3" a="1"/>
  <c r="V662" i="3" s="1"/>
  <c r="Y661" i="3" a="1"/>
  <c r="Y661" i="3" s="1"/>
  <c r="X661" i="3" a="1"/>
  <c r="X661" i="3" s="1"/>
  <c r="W661" i="3" a="1"/>
  <c r="W661" i="3" s="1"/>
  <c r="V661" i="3" a="1"/>
  <c r="V661" i="3" s="1"/>
  <c r="Y660" i="3" a="1"/>
  <c r="Y660" i="3" s="1"/>
  <c r="X660" i="3" a="1"/>
  <c r="X660" i="3" s="1"/>
  <c r="W660" i="3" a="1"/>
  <c r="W660" i="3" s="1"/>
  <c r="V660" i="3" a="1"/>
  <c r="V660" i="3" s="1"/>
  <c r="Y659" i="3" a="1"/>
  <c r="Y659" i="3" s="1"/>
  <c r="X659" i="3" a="1"/>
  <c r="X659" i="3" s="1"/>
  <c r="W659" i="3" a="1"/>
  <c r="W659" i="3" s="1"/>
  <c r="V659" i="3" a="1"/>
  <c r="V659" i="3" s="1"/>
  <c r="Y658" i="3" a="1"/>
  <c r="Y658" i="3" s="1"/>
  <c r="X658" i="3" a="1"/>
  <c r="X658" i="3" s="1"/>
  <c r="W658" i="3" a="1"/>
  <c r="W658" i="3" s="1"/>
  <c r="V658" i="3" a="1"/>
  <c r="V658" i="3" s="1"/>
  <c r="Y657" i="3" a="1"/>
  <c r="Y657" i="3" s="1"/>
  <c r="X657" i="3" a="1"/>
  <c r="X657" i="3" s="1"/>
  <c r="W657" i="3" a="1"/>
  <c r="W657" i="3" s="1"/>
  <c r="V657" i="3" a="1"/>
  <c r="V657" i="3" s="1"/>
  <c r="Y656" i="3" a="1"/>
  <c r="Y656" i="3" s="1"/>
  <c r="X656" i="3" a="1"/>
  <c r="X656" i="3" s="1"/>
  <c r="W656" i="3" a="1"/>
  <c r="W656" i="3" s="1"/>
  <c r="V656" i="3" a="1"/>
  <c r="V656" i="3" s="1"/>
  <c r="Y655" i="3" a="1"/>
  <c r="Y655" i="3" s="1"/>
  <c r="X655" i="3" a="1"/>
  <c r="X655" i="3" s="1"/>
  <c r="W655" i="3" a="1"/>
  <c r="W655" i="3" s="1"/>
  <c r="V655" i="3" a="1"/>
  <c r="V655" i="3" s="1"/>
  <c r="Y654" i="3" a="1"/>
  <c r="Y654" i="3" s="1"/>
  <c r="X654" i="3" a="1"/>
  <c r="X654" i="3" s="1"/>
  <c r="W654" i="3" a="1"/>
  <c r="W654" i="3" s="1"/>
  <c r="V654" i="3" a="1"/>
  <c r="V654" i="3" s="1"/>
  <c r="Y653" i="3" a="1"/>
  <c r="Y653" i="3" s="1"/>
  <c r="X653" i="3" a="1"/>
  <c r="X653" i="3" s="1"/>
  <c r="W653" i="3" a="1"/>
  <c r="W653" i="3" s="1"/>
  <c r="V653" i="3" a="1"/>
  <c r="V653" i="3" s="1"/>
  <c r="Y652" i="3" a="1"/>
  <c r="Y652" i="3" s="1"/>
  <c r="X652" i="3" a="1"/>
  <c r="X652" i="3" s="1"/>
  <c r="W652" i="3" a="1"/>
  <c r="W652" i="3" s="1"/>
  <c r="V652" i="3" a="1"/>
  <c r="V652" i="3" s="1"/>
  <c r="Y651" i="3" a="1"/>
  <c r="Y651" i="3" s="1"/>
  <c r="X651" i="3" a="1"/>
  <c r="X651" i="3" s="1"/>
  <c r="W651" i="3" a="1"/>
  <c r="W651" i="3" s="1"/>
  <c r="V651" i="3" a="1"/>
  <c r="V651" i="3" s="1"/>
  <c r="Y650" i="3" a="1"/>
  <c r="Y650" i="3" s="1"/>
  <c r="X650" i="3" a="1"/>
  <c r="X650" i="3" s="1"/>
  <c r="W650" i="3" a="1"/>
  <c r="W650" i="3" s="1"/>
  <c r="V650" i="3" a="1"/>
  <c r="V650" i="3" s="1"/>
  <c r="Y649" i="3" a="1"/>
  <c r="Y649" i="3" s="1"/>
  <c r="X649" i="3" a="1"/>
  <c r="X649" i="3" s="1"/>
  <c r="W649" i="3" a="1"/>
  <c r="W649" i="3" s="1"/>
  <c r="V649" i="3" a="1"/>
  <c r="V649" i="3" s="1"/>
  <c r="Y648" i="3" a="1"/>
  <c r="Y648" i="3" s="1"/>
  <c r="X648" i="3" a="1"/>
  <c r="X648" i="3" s="1"/>
  <c r="W648" i="3" a="1"/>
  <c r="W648" i="3" s="1"/>
  <c r="V648" i="3" a="1"/>
  <c r="V648" i="3" s="1"/>
  <c r="Y647" i="3" a="1"/>
  <c r="Y647" i="3" s="1"/>
  <c r="X647" i="3" a="1"/>
  <c r="X647" i="3" s="1"/>
  <c r="W647" i="3" a="1"/>
  <c r="W647" i="3" s="1"/>
  <c r="V647" i="3" a="1"/>
  <c r="V647" i="3" s="1"/>
  <c r="Y646" i="3" a="1"/>
  <c r="Y646" i="3" s="1"/>
  <c r="X646" i="3" a="1"/>
  <c r="X646" i="3" s="1"/>
  <c r="W646" i="3" a="1"/>
  <c r="W646" i="3" s="1"/>
  <c r="V646" i="3" a="1"/>
  <c r="V646" i="3" s="1"/>
  <c r="Y645" i="3" a="1"/>
  <c r="Y645" i="3" s="1"/>
  <c r="X645" i="3" a="1"/>
  <c r="X645" i="3" s="1"/>
  <c r="W645" i="3" a="1"/>
  <c r="W645" i="3" s="1"/>
  <c r="V645" i="3" a="1"/>
  <c r="V645" i="3" s="1"/>
  <c r="Y644" i="3" a="1"/>
  <c r="Y644" i="3" s="1"/>
  <c r="X644" i="3" a="1"/>
  <c r="X644" i="3" s="1"/>
  <c r="W644" i="3" a="1"/>
  <c r="W644" i="3" s="1"/>
  <c r="V644" i="3" a="1"/>
  <c r="V644" i="3" s="1"/>
  <c r="Y643" i="3" a="1"/>
  <c r="Y643" i="3" s="1"/>
  <c r="X643" i="3" a="1"/>
  <c r="X643" i="3" s="1"/>
  <c r="W643" i="3" a="1"/>
  <c r="W643" i="3" s="1"/>
  <c r="V643" i="3" a="1"/>
  <c r="V643" i="3" s="1"/>
  <c r="Y642" i="3" a="1"/>
  <c r="Y642" i="3" s="1"/>
  <c r="X642" i="3" a="1"/>
  <c r="X642" i="3" s="1"/>
  <c r="W642" i="3" a="1"/>
  <c r="W642" i="3" s="1"/>
  <c r="V642" i="3" a="1"/>
  <c r="V642" i="3" s="1"/>
  <c r="Y641" i="3" a="1"/>
  <c r="Y641" i="3" s="1"/>
  <c r="X641" i="3" a="1"/>
  <c r="X641" i="3" s="1"/>
  <c r="W641" i="3" a="1"/>
  <c r="W641" i="3" s="1"/>
  <c r="V641" i="3" a="1"/>
  <c r="V641" i="3" s="1"/>
  <c r="Y638" i="3" a="1"/>
  <c r="Y638" i="3" s="1"/>
  <c r="X638" i="3" a="1"/>
  <c r="X638" i="3" s="1"/>
  <c r="W638" i="3" a="1"/>
  <c r="W638" i="3" s="1"/>
  <c r="V638" i="3" a="1"/>
  <c r="V638" i="3" s="1"/>
  <c r="Y637" i="3" a="1"/>
  <c r="Y637" i="3" s="1"/>
  <c r="X637" i="3" a="1"/>
  <c r="X637" i="3" s="1"/>
  <c r="W637" i="3" a="1"/>
  <c r="W637" i="3" s="1"/>
  <c r="V637" i="3" a="1"/>
  <c r="V637" i="3" s="1"/>
  <c r="Y636" i="3" a="1"/>
  <c r="Y636" i="3" s="1"/>
  <c r="X636" i="3" a="1"/>
  <c r="X636" i="3" s="1"/>
  <c r="W636" i="3" a="1"/>
  <c r="W636" i="3" s="1"/>
  <c r="V636" i="3" a="1"/>
  <c r="V636" i="3" s="1"/>
  <c r="Y635" i="3" a="1"/>
  <c r="Y635" i="3" s="1"/>
  <c r="X635" i="3" a="1"/>
  <c r="X635" i="3" s="1"/>
  <c r="W635" i="3" a="1"/>
  <c r="W635" i="3" s="1"/>
  <c r="V635" i="3" a="1"/>
  <c r="V635" i="3" s="1"/>
  <c r="Y634" i="3" a="1"/>
  <c r="Y634" i="3" s="1"/>
  <c r="X634" i="3" a="1"/>
  <c r="X634" i="3" s="1"/>
  <c r="W634" i="3" a="1"/>
  <c r="W634" i="3" s="1"/>
  <c r="V634" i="3" a="1"/>
  <c r="V634" i="3" s="1"/>
  <c r="Y633" i="3" a="1"/>
  <c r="Y633" i="3" s="1"/>
  <c r="X633" i="3" a="1"/>
  <c r="X633" i="3" s="1"/>
  <c r="W633" i="3" a="1"/>
  <c r="W633" i="3" s="1"/>
  <c r="V633" i="3" a="1"/>
  <c r="V633" i="3" s="1"/>
  <c r="Y632" i="3" a="1"/>
  <c r="Y632" i="3" s="1"/>
  <c r="X632" i="3" a="1"/>
  <c r="X632" i="3" s="1"/>
  <c r="W632" i="3" a="1"/>
  <c r="W632" i="3" s="1"/>
  <c r="V632" i="3" a="1"/>
  <c r="V632" i="3" s="1"/>
  <c r="Y631" i="3" a="1"/>
  <c r="Y631" i="3" s="1"/>
  <c r="X631" i="3" a="1"/>
  <c r="X631" i="3" s="1"/>
  <c r="W631" i="3" a="1"/>
  <c r="W631" i="3" s="1"/>
  <c r="V631" i="3" a="1"/>
  <c r="V631" i="3" s="1"/>
  <c r="Y630" i="3" a="1"/>
  <c r="Y630" i="3" s="1"/>
  <c r="X630" i="3" a="1"/>
  <c r="X630" i="3" s="1"/>
  <c r="W630" i="3" a="1"/>
  <c r="W630" i="3" s="1"/>
  <c r="V630" i="3" a="1"/>
  <c r="V630" i="3" s="1"/>
  <c r="Y629" i="3" a="1"/>
  <c r="Y629" i="3" s="1"/>
  <c r="X629" i="3" a="1"/>
  <c r="X629" i="3" s="1"/>
  <c r="W629" i="3" a="1"/>
  <c r="W629" i="3" s="1"/>
  <c r="V629" i="3" a="1"/>
  <c r="V629" i="3" s="1"/>
  <c r="Y628" i="3" a="1"/>
  <c r="Y628" i="3" s="1"/>
  <c r="X628" i="3" a="1"/>
  <c r="X628" i="3" s="1"/>
  <c r="W628" i="3" a="1"/>
  <c r="W628" i="3" s="1"/>
  <c r="V628" i="3" a="1"/>
  <c r="V628" i="3" s="1"/>
  <c r="Y627" i="3" a="1"/>
  <c r="Y627" i="3" s="1"/>
  <c r="X627" i="3" a="1"/>
  <c r="X627" i="3" s="1"/>
  <c r="W627" i="3" a="1"/>
  <c r="W627" i="3" s="1"/>
  <c r="V627" i="3" a="1"/>
  <c r="V627" i="3" s="1"/>
  <c r="Y626" i="3" a="1"/>
  <c r="Y626" i="3" s="1"/>
  <c r="X626" i="3" a="1"/>
  <c r="X626" i="3" s="1"/>
  <c r="W626" i="3" a="1"/>
  <c r="W626" i="3" s="1"/>
  <c r="V626" i="3" a="1"/>
  <c r="V626" i="3" s="1"/>
  <c r="Y625" i="3" a="1"/>
  <c r="Y625" i="3" s="1"/>
  <c r="X625" i="3" a="1"/>
  <c r="X625" i="3" s="1"/>
  <c r="W625" i="3" a="1"/>
  <c r="W625" i="3" s="1"/>
  <c r="V625" i="3" a="1"/>
  <c r="V625" i="3" s="1"/>
  <c r="Y624" i="3" a="1"/>
  <c r="Y624" i="3" s="1"/>
  <c r="X624" i="3" a="1"/>
  <c r="X624" i="3" s="1"/>
  <c r="W624" i="3" a="1"/>
  <c r="W624" i="3" s="1"/>
  <c r="V624" i="3" a="1"/>
  <c r="V624" i="3" s="1"/>
  <c r="Y623" i="3" a="1"/>
  <c r="Y623" i="3" s="1"/>
  <c r="X623" i="3" a="1"/>
  <c r="X623" i="3" s="1"/>
  <c r="W623" i="3" a="1"/>
  <c r="W623" i="3" s="1"/>
  <c r="V623" i="3" a="1"/>
  <c r="V623" i="3" s="1"/>
  <c r="Y622" i="3" a="1"/>
  <c r="Y622" i="3" s="1"/>
  <c r="X622" i="3" a="1"/>
  <c r="X622" i="3" s="1"/>
  <c r="W622" i="3" a="1"/>
  <c r="W622" i="3" s="1"/>
  <c r="V622" i="3" a="1"/>
  <c r="V622" i="3" s="1"/>
  <c r="Y621" i="3" a="1"/>
  <c r="Y621" i="3" s="1"/>
  <c r="X621" i="3" a="1"/>
  <c r="X621" i="3" s="1"/>
  <c r="W621" i="3" a="1"/>
  <c r="W621" i="3" s="1"/>
  <c r="V621" i="3" a="1"/>
  <c r="V621" i="3" s="1"/>
  <c r="Y620" i="3" a="1"/>
  <c r="Y620" i="3" s="1"/>
  <c r="X620" i="3" a="1"/>
  <c r="X620" i="3" s="1"/>
  <c r="W620" i="3" a="1"/>
  <c r="W620" i="3" s="1"/>
  <c r="V620" i="3" a="1"/>
  <c r="V620" i="3" s="1"/>
  <c r="Y619" i="3" a="1"/>
  <c r="Y619" i="3" s="1"/>
  <c r="X619" i="3" a="1"/>
  <c r="X619" i="3" s="1"/>
  <c r="W619" i="3" a="1"/>
  <c r="W619" i="3" s="1"/>
  <c r="V619" i="3" a="1"/>
  <c r="V619" i="3" s="1"/>
  <c r="Y616" i="3" a="1"/>
  <c r="Y616" i="3" s="1"/>
  <c r="X616" i="3" a="1"/>
  <c r="X616" i="3" s="1"/>
  <c r="W616" i="3" a="1"/>
  <c r="W616" i="3" s="1"/>
  <c r="V616" i="3" a="1"/>
  <c r="V616" i="3" s="1"/>
  <c r="Y615" i="3" a="1"/>
  <c r="Y615" i="3" s="1"/>
  <c r="X615" i="3" a="1"/>
  <c r="X615" i="3" s="1"/>
  <c r="W615" i="3" a="1"/>
  <c r="W615" i="3" s="1"/>
  <c r="V615" i="3" a="1"/>
  <c r="V615" i="3" s="1"/>
  <c r="Y614" i="3" a="1"/>
  <c r="Y614" i="3" s="1"/>
  <c r="X614" i="3" a="1"/>
  <c r="X614" i="3" s="1"/>
  <c r="W614" i="3" a="1"/>
  <c r="W614" i="3" s="1"/>
  <c r="V614" i="3" a="1"/>
  <c r="V614" i="3" s="1"/>
  <c r="Y611" i="3" a="1"/>
  <c r="Y611" i="3" s="1"/>
  <c r="X611" i="3" a="1"/>
  <c r="X611" i="3" s="1"/>
  <c r="W611" i="3" a="1"/>
  <c r="W611" i="3" s="1"/>
  <c r="V611" i="3" a="1"/>
  <c r="V611" i="3" s="1"/>
  <c r="Y610" i="3" a="1"/>
  <c r="Y610" i="3" s="1"/>
  <c r="X610" i="3" a="1"/>
  <c r="X610" i="3" s="1"/>
  <c r="W610" i="3" a="1"/>
  <c r="W610" i="3" s="1"/>
  <c r="V610" i="3" a="1"/>
  <c r="V610" i="3" s="1"/>
  <c r="Y609" i="3" a="1"/>
  <c r="Y609" i="3" s="1"/>
  <c r="X609" i="3" a="1"/>
  <c r="X609" i="3" s="1"/>
  <c r="W609" i="3" a="1"/>
  <c r="W609" i="3" s="1"/>
  <c r="V609" i="3" a="1"/>
  <c r="V609" i="3" s="1"/>
  <c r="Y608" i="3" a="1"/>
  <c r="Y608" i="3" s="1"/>
  <c r="X608" i="3" a="1"/>
  <c r="X608" i="3" s="1"/>
  <c r="W608" i="3" a="1"/>
  <c r="W608" i="3" s="1"/>
  <c r="V608" i="3" a="1"/>
  <c r="V608" i="3" s="1"/>
  <c r="Y607" i="3" a="1"/>
  <c r="Y607" i="3" s="1"/>
  <c r="X607" i="3" a="1"/>
  <c r="X607" i="3" s="1"/>
  <c r="W607" i="3" a="1"/>
  <c r="W607" i="3" s="1"/>
  <c r="V607" i="3" a="1"/>
  <c r="V607" i="3" s="1"/>
  <c r="Y606" i="3" a="1"/>
  <c r="Y606" i="3" s="1"/>
  <c r="X606" i="3" a="1"/>
  <c r="X606" i="3" s="1"/>
  <c r="W606" i="3" a="1"/>
  <c r="W606" i="3" s="1"/>
  <c r="V606" i="3" a="1"/>
  <c r="V606" i="3" s="1"/>
  <c r="Y605" i="3" a="1"/>
  <c r="Y605" i="3" s="1"/>
  <c r="X605" i="3" a="1"/>
  <c r="X605" i="3" s="1"/>
  <c r="W605" i="3" a="1"/>
  <c r="W605" i="3" s="1"/>
  <c r="V605" i="3" a="1"/>
  <c r="V605" i="3" s="1"/>
  <c r="Y604" i="3" a="1"/>
  <c r="Y604" i="3" s="1"/>
  <c r="X604" i="3" a="1"/>
  <c r="X604" i="3" s="1"/>
  <c r="W604" i="3" a="1"/>
  <c r="W604" i="3" s="1"/>
  <c r="V604" i="3" a="1"/>
  <c r="V604" i="3" s="1"/>
  <c r="Y603" i="3" a="1"/>
  <c r="Y603" i="3" s="1"/>
  <c r="X603" i="3" a="1"/>
  <c r="X603" i="3" s="1"/>
  <c r="W603" i="3" a="1"/>
  <c r="W603" i="3" s="1"/>
  <c r="V603" i="3" a="1"/>
  <c r="V603" i="3" s="1"/>
  <c r="Y602" i="3" a="1"/>
  <c r="Y602" i="3" s="1"/>
  <c r="X602" i="3" a="1"/>
  <c r="X602" i="3" s="1"/>
  <c r="W602" i="3" a="1"/>
  <c r="W602" i="3" s="1"/>
  <c r="V602" i="3" a="1"/>
  <c r="V602" i="3" s="1"/>
  <c r="Y601" i="3" a="1"/>
  <c r="Y601" i="3" s="1"/>
  <c r="X601" i="3" a="1"/>
  <c r="X601" i="3" s="1"/>
  <c r="W601" i="3" a="1"/>
  <c r="W601" i="3" s="1"/>
  <c r="V601" i="3" a="1"/>
  <c r="V601" i="3" s="1"/>
  <c r="Y600" i="3" a="1"/>
  <c r="Y600" i="3" s="1"/>
  <c r="X600" i="3" a="1"/>
  <c r="X600" i="3" s="1"/>
  <c r="W600" i="3" a="1"/>
  <c r="W600" i="3" s="1"/>
  <c r="V600" i="3" a="1"/>
  <c r="V600" i="3" s="1"/>
  <c r="Y599" i="3" a="1"/>
  <c r="Y599" i="3" s="1"/>
  <c r="X599" i="3" a="1"/>
  <c r="X599" i="3" s="1"/>
  <c r="W599" i="3" a="1"/>
  <c r="W599" i="3" s="1"/>
  <c r="V599" i="3" a="1"/>
  <c r="V599" i="3" s="1"/>
  <c r="Y598" i="3" a="1"/>
  <c r="Y598" i="3" s="1"/>
  <c r="X598" i="3" a="1"/>
  <c r="X598" i="3" s="1"/>
  <c r="W598" i="3" a="1"/>
  <c r="W598" i="3" s="1"/>
  <c r="V598" i="3" a="1"/>
  <c r="V598" i="3" s="1"/>
  <c r="Y597" i="3" a="1"/>
  <c r="Y597" i="3" s="1"/>
  <c r="X597" i="3" a="1"/>
  <c r="X597" i="3" s="1"/>
  <c r="W597" i="3" a="1"/>
  <c r="W597" i="3" s="1"/>
  <c r="V597" i="3" a="1"/>
  <c r="V597" i="3" s="1"/>
  <c r="Y596" i="3" a="1"/>
  <c r="Y596" i="3" s="1"/>
  <c r="X596" i="3" a="1"/>
  <c r="X596" i="3" s="1"/>
  <c r="W596" i="3" a="1"/>
  <c r="W596" i="3" s="1"/>
  <c r="V596" i="3" a="1"/>
  <c r="V596" i="3" s="1"/>
  <c r="Y595" i="3" a="1"/>
  <c r="Y595" i="3" s="1"/>
  <c r="X595" i="3" a="1"/>
  <c r="X595" i="3" s="1"/>
  <c r="W595" i="3" a="1"/>
  <c r="W595" i="3" s="1"/>
  <c r="V595" i="3" a="1"/>
  <c r="V595" i="3" s="1"/>
  <c r="Y594" i="3" a="1"/>
  <c r="Y594" i="3" s="1"/>
  <c r="X594" i="3" a="1"/>
  <c r="X594" i="3" s="1"/>
  <c r="W594" i="3" a="1"/>
  <c r="W594" i="3" s="1"/>
  <c r="V594" i="3" a="1"/>
  <c r="V594" i="3" s="1"/>
  <c r="Y593" i="3" a="1"/>
  <c r="Y593" i="3" s="1"/>
  <c r="X593" i="3" a="1"/>
  <c r="X593" i="3" s="1"/>
  <c r="W593" i="3" a="1"/>
  <c r="W593" i="3" s="1"/>
  <c r="V593" i="3" a="1"/>
  <c r="V593" i="3" s="1"/>
  <c r="Y592" i="3" a="1"/>
  <c r="Y592" i="3" s="1"/>
  <c r="X592" i="3" a="1"/>
  <c r="X592" i="3" s="1"/>
  <c r="W592" i="3" a="1"/>
  <c r="W592" i="3" s="1"/>
  <c r="V592" i="3" a="1"/>
  <c r="V592" i="3" s="1"/>
  <c r="Y591" i="3" a="1"/>
  <c r="Y591" i="3" s="1"/>
  <c r="X591" i="3" a="1"/>
  <c r="X591" i="3" s="1"/>
  <c r="W591" i="3" a="1"/>
  <c r="W591" i="3" s="1"/>
  <c r="V591" i="3" a="1"/>
  <c r="V591" i="3" s="1"/>
  <c r="Y590" i="3" a="1"/>
  <c r="Y590" i="3" s="1"/>
  <c r="X590" i="3" a="1"/>
  <c r="X590" i="3" s="1"/>
  <c r="W590" i="3" a="1"/>
  <c r="W590" i="3" s="1"/>
  <c r="V590" i="3" a="1"/>
  <c r="V590" i="3" s="1"/>
  <c r="Y589" i="3" a="1"/>
  <c r="Y589" i="3" s="1"/>
  <c r="X589" i="3" a="1"/>
  <c r="X589" i="3" s="1"/>
  <c r="W589" i="3" a="1"/>
  <c r="W589" i="3" s="1"/>
  <c r="V589" i="3" a="1"/>
  <c r="V589" i="3" s="1"/>
  <c r="Y588" i="3" a="1"/>
  <c r="Y588" i="3" s="1"/>
  <c r="X588" i="3" a="1"/>
  <c r="X588" i="3" s="1"/>
  <c r="W588" i="3" a="1"/>
  <c r="W588" i="3" s="1"/>
  <c r="V588" i="3" a="1"/>
  <c r="V588" i="3" s="1"/>
  <c r="Y587" i="3" a="1"/>
  <c r="Y587" i="3" s="1"/>
  <c r="X587" i="3" a="1"/>
  <c r="X587" i="3" s="1"/>
  <c r="W587" i="3" a="1"/>
  <c r="W587" i="3" s="1"/>
  <c r="V587" i="3" a="1"/>
  <c r="V587" i="3" s="1"/>
  <c r="Y584" i="3" a="1"/>
  <c r="Y584" i="3" s="1"/>
  <c r="X584" i="3" a="1"/>
  <c r="X584" i="3" s="1"/>
  <c r="W584" i="3" a="1"/>
  <c r="W584" i="3" s="1"/>
  <c r="V584" i="3" a="1"/>
  <c r="V584" i="3" s="1"/>
  <c r="Y583" i="3" a="1"/>
  <c r="Y583" i="3" s="1"/>
  <c r="X583" i="3" a="1"/>
  <c r="X583" i="3" s="1"/>
  <c r="W583" i="3" a="1"/>
  <c r="W583" i="3" s="1"/>
  <c r="V583" i="3" a="1"/>
  <c r="V583" i="3" s="1"/>
  <c r="Y582" i="3" a="1"/>
  <c r="Y582" i="3" s="1"/>
  <c r="X582" i="3" a="1"/>
  <c r="X582" i="3" s="1"/>
  <c r="W582" i="3" a="1"/>
  <c r="W582" i="3" s="1"/>
  <c r="V582" i="3" a="1"/>
  <c r="V582" i="3" s="1"/>
  <c r="Y581" i="3" a="1"/>
  <c r="Y581" i="3" s="1"/>
  <c r="X581" i="3" a="1"/>
  <c r="X581" i="3" s="1"/>
  <c r="W581" i="3" a="1"/>
  <c r="W581" i="3" s="1"/>
  <c r="V581" i="3" a="1"/>
  <c r="V581" i="3" s="1"/>
  <c r="Y580" i="3" a="1"/>
  <c r="Y580" i="3" s="1"/>
  <c r="X580" i="3" a="1"/>
  <c r="X580" i="3" s="1"/>
  <c r="W580" i="3" a="1"/>
  <c r="W580" i="3" s="1"/>
  <c r="V580" i="3" a="1"/>
  <c r="V580" i="3" s="1"/>
  <c r="Y579" i="3" a="1"/>
  <c r="Y579" i="3" s="1"/>
  <c r="X579" i="3" a="1"/>
  <c r="X579" i="3" s="1"/>
  <c r="W579" i="3" a="1"/>
  <c r="W579" i="3" s="1"/>
  <c r="V579" i="3" a="1"/>
  <c r="V579" i="3" s="1"/>
  <c r="Y578" i="3" a="1"/>
  <c r="Y578" i="3" s="1"/>
  <c r="X578" i="3" a="1"/>
  <c r="X578" i="3" s="1"/>
  <c r="W578" i="3" a="1"/>
  <c r="W578" i="3" s="1"/>
  <c r="V578" i="3" a="1"/>
  <c r="V578" i="3" s="1"/>
  <c r="Y577" i="3" a="1"/>
  <c r="Y577" i="3" s="1"/>
  <c r="X577" i="3" a="1"/>
  <c r="X577" i="3" s="1"/>
  <c r="W577" i="3" a="1"/>
  <c r="W577" i="3" s="1"/>
  <c r="V577" i="3" a="1"/>
  <c r="V577" i="3" s="1"/>
  <c r="Y576" i="3" a="1"/>
  <c r="Y576" i="3" s="1"/>
  <c r="X576" i="3" a="1"/>
  <c r="X576" i="3" s="1"/>
  <c r="W576" i="3" a="1"/>
  <c r="W576" i="3" s="1"/>
  <c r="V576" i="3" a="1"/>
  <c r="V576" i="3" s="1"/>
  <c r="Y575" i="3" a="1"/>
  <c r="Y575" i="3" s="1"/>
  <c r="X575" i="3" a="1"/>
  <c r="X575" i="3" s="1"/>
  <c r="W575" i="3" a="1"/>
  <c r="W575" i="3" s="1"/>
  <c r="V575" i="3" a="1"/>
  <c r="V575" i="3" s="1"/>
  <c r="Y574" i="3" a="1"/>
  <c r="Y574" i="3" s="1"/>
  <c r="X574" i="3" a="1"/>
  <c r="X574" i="3" s="1"/>
  <c r="W574" i="3" a="1"/>
  <c r="W574" i="3" s="1"/>
  <c r="V574" i="3" a="1"/>
  <c r="V574" i="3" s="1"/>
  <c r="Y573" i="3" a="1"/>
  <c r="Y573" i="3" s="1"/>
  <c r="X573" i="3" a="1"/>
  <c r="X573" i="3" s="1"/>
  <c r="W573" i="3" a="1"/>
  <c r="W573" i="3" s="1"/>
  <c r="V573" i="3" a="1"/>
  <c r="V573" i="3" s="1"/>
  <c r="Y572" i="3" a="1"/>
  <c r="Y572" i="3" s="1"/>
  <c r="X572" i="3" a="1"/>
  <c r="X572" i="3" s="1"/>
  <c r="W572" i="3" a="1"/>
  <c r="W572" i="3" s="1"/>
  <c r="V572" i="3" a="1"/>
  <c r="V572" i="3" s="1"/>
  <c r="Y571" i="3" a="1"/>
  <c r="Y571" i="3" s="1"/>
  <c r="X571" i="3" a="1"/>
  <c r="X571" i="3" s="1"/>
  <c r="W571" i="3" a="1"/>
  <c r="W571" i="3" s="1"/>
  <c r="V571" i="3" a="1"/>
  <c r="V571" i="3" s="1"/>
  <c r="Y570" i="3" a="1"/>
  <c r="Y570" i="3" s="1"/>
  <c r="X570" i="3" a="1"/>
  <c r="X570" i="3" s="1"/>
  <c r="W570" i="3" a="1"/>
  <c r="W570" i="3" s="1"/>
  <c r="V570" i="3" a="1"/>
  <c r="V570" i="3" s="1"/>
  <c r="Y569" i="3" a="1"/>
  <c r="Y569" i="3" s="1"/>
  <c r="X569" i="3" a="1"/>
  <c r="X569" i="3" s="1"/>
  <c r="W569" i="3" a="1"/>
  <c r="W569" i="3" s="1"/>
  <c r="V569" i="3" a="1"/>
  <c r="V569" i="3" s="1"/>
  <c r="Y568" i="3" a="1"/>
  <c r="Y568" i="3" s="1"/>
  <c r="X568" i="3" a="1"/>
  <c r="X568" i="3" s="1"/>
  <c r="W568" i="3" a="1"/>
  <c r="W568" i="3" s="1"/>
  <c r="V568" i="3" a="1"/>
  <c r="V568" i="3" s="1"/>
  <c r="Y567" i="3" a="1"/>
  <c r="Y567" i="3" s="1"/>
  <c r="X567" i="3" a="1"/>
  <c r="X567" i="3" s="1"/>
  <c r="W567" i="3" a="1"/>
  <c r="W567" i="3" s="1"/>
  <c r="V567" i="3" a="1"/>
  <c r="V567" i="3" s="1"/>
  <c r="Y566" i="3" a="1"/>
  <c r="Y566" i="3" s="1"/>
  <c r="X566" i="3" a="1"/>
  <c r="X566" i="3" s="1"/>
  <c r="W566" i="3" a="1"/>
  <c r="W566" i="3" s="1"/>
  <c r="V566" i="3" a="1"/>
  <c r="V566" i="3" s="1"/>
  <c r="Y565" i="3" a="1"/>
  <c r="Y565" i="3" s="1"/>
  <c r="X565" i="3" a="1"/>
  <c r="X565" i="3" s="1"/>
  <c r="W565" i="3" a="1"/>
  <c r="W565" i="3" s="1"/>
  <c r="V565" i="3" a="1"/>
  <c r="V565" i="3" s="1"/>
  <c r="Y564" i="3" a="1"/>
  <c r="Y564" i="3" s="1"/>
  <c r="X564" i="3" a="1"/>
  <c r="X564" i="3" s="1"/>
  <c r="W564" i="3" a="1"/>
  <c r="W564" i="3" s="1"/>
  <c r="V564" i="3" a="1"/>
  <c r="V564" i="3" s="1"/>
  <c r="Y563" i="3" a="1"/>
  <c r="Y563" i="3" s="1"/>
  <c r="X563" i="3" a="1"/>
  <c r="X563" i="3" s="1"/>
  <c r="W563" i="3" a="1"/>
  <c r="W563" i="3" s="1"/>
  <c r="V563" i="3" a="1"/>
  <c r="V563" i="3" s="1"/>
  <c r="Y562" i="3" a="1"/>
  <c r="Y562" i="3" s="1"/>
  <c r="X562" i="3" a="1"/>
  <c r="X562" i="3" s="1"/>
  <c r="W562" i="3" a="1"/>
  <c r="W562" i="3" s="1"/>
  <c r="V562" i="3" a="1"/>
  <c r="V562" i="3" s="1"/>
  <c r="Y561" i="3" a="1"/>
  <c r="Y561" i="3" s="1"/>
  <c r="X561" i="3" a="1"/>
  <c r="X561" i="3" s="1"/>
  <c r="W561" i="3" a="1"/>
  <c r="W561" i="3" s="1"/>
  <c r="V561" i="3" a="1"/>
  <c r="V561" i="3" s="1"/>
  <c r="Y560" i="3" a="1"/>
  <c r="Y560" i="3" s="1"/>
  <c r="X560" i="3" a="1"/>
  <c r="X560" i="3" s="1"/>
  <c r="W560" i="3" a="1"/>
  <c r="W560" i="3" s="1"/>
  <c r="V560" i="3" a="1"/>
  <c r="V560" i="3" s="1"/>
  <c r="Y559" i="3" a="1"/>
  <c r="Y559" i="3" s="1"/>
  <c r="X559" i="3" a="1"/>
  <c r="X559" i="3" s="1"/>
  <c r="W559" i="3" a="1"/>
  <c r="W559" i="3" s="1"/>
  <c r="V559" i="3" a="1"/>
  <c r="V559" i="3" s="1"/>
  <c r="Y558" i="3" a="1"/>
  <c r="Y558" i="3" s="1"/>
  <c r="X558" i="3" a="1"/>
  <c r="X558" i="3" s="1"/>
  <c r="W558" i="3" a="1"/>
  <c r="W558" i="3" s="1"/>
  <c r="V558" i="3" a="1"/>
  <c r="V558" i="3" s="1"/>
  <c r="Y557" i="3" a="1"/>
  <c r="Y557" i="3" s="1"/>
  <c r="X557" i="3" a="1"/>
  <c r="X557" i="3" s="1"/>
  <c r="W557" i="3" a="1"/>
  <c r="W557" i="3" s="1"/>
  <c r="V557" i="3" a="1"/>
  <c r="V557" i="3" s="1"/>
  <c r="Y556" i="3" a="1"/>
  <c r="Y556" i="3" s="1"/>
  <c r="X556" i="3" a="1"/>
  <c r="X556" i="3" s="1"/>
  <c r="W556" i="3" a="1"/>
  <c r="W556" i="3" s="1"/>
  <c r="V556" i="3" a="1"/>
  <c r="V556" i="3" s="1"/>
  <c r="Y555" i="3" a="1"/>
  <c r="Y555" i="3" s="1"/>
  <c r="X555" i="3" a="1"/>
  <c r="X555" i="3" s="1"/>
  <c r="W555" i="3" a="1"/>
  <c r="W555" i="3" s="1"/>
  <c r="V555" i="3" a="1"/>
  <c r="V555" i="3" s="1"/>
  <c r="Y554" i="3" a="1"/>
  <c r="Y554" i="3" s="1"/>
  <c r="X554" i="3" a="1"/>
  <c r="X554" i="3" s="1"/>
  <c r="W554" i="3" a="1"/>
  <c r="W554" i="3" s="1"/>
  <c r="V554" i="3" a="1"/>
  <c r="V554" i="3" s="1"/>
  <c r="Y553" i="3" a="1"/>
  <c r="Y553" i="3" s="1"/>
  <c r="X553" i="3" a="1"/>
  <c r="X553" i="3" s="1"/>
  <c r="W553" i="3" a="1"/>
  <c r="W553" i="3" s="1"/>
  <c r="V553" i="3" a="1"/>
  <c r="V553" i="3" s="1"/>
  <c r="Y552" i="3" a="1"/>
  <c r="Y552" i="3" s="1"/>
  <c r="X552" i="3" a="1"/>
  <c r="X552" i="3" s="1"/>
  <c r="W552" i="3" a="1"/>
  <c r="W552" i="3" s="1"/>
  <c r="V552" i="3" a="1"/>
  <c r="V552" i="3" s="1"/>
  <c r="Y551" i="3" a="1"/>
  <c r="Y551" i="3" s="1"/>
  <c r="X551" i="3" a="1"/>
  <c r="X551" i="3" s="1"/>
  <c r="W551" i="3" a="1"/>
  <c r="W551" i="3" s="1"/>
  <c r="V551" i="3" a="1"/>
  <c r="V551" i="3" s="1"/>
  <c r="Y550" i="3" a="1"/>
  <c r="Y550" i="3" s="1"/>
  <c r="X550" i="3" a="1"/>
  <c r="X550" i="3" s="1"/>
  <c r="W550" i="3" a="1"/>
  <c r="W550" i="3" s="1"/>
  <c r="V550" i="3" a="1"/>
  <c r="V550" i="3" s="1"/>
  <c r="Y549" i="3" a="1"/>
  <c r="Y549" i="3" s="1"/>
  <c r="X549" i="3" a="1"/>
  <c r="X549" i="3" s="1"/>
  <c r="W549" i="3" a="1"/>
  <c r="W549" i="3" s="1"/>
  <c r="V549" i="3" a="1"/>
  <c r="V549" i="3" s="1"/>
  <c r="Y548" i="3" a="1"/>
  <c r="Y548" i="3" s="1"/>
  <c r="X548" i="3" a="1"/>
  <c r="X548" i="3" s="1"/>
  <c r="W548" i="3" a="1"/>
  <c r="W548" i="3" s="1"/>
  <c r="V548" i="3" a="1"/>
  <c r="V548" i="3" s="1"/>
  <c r="Y547" i="3" a="1"/>
  <c r="Y547" i="3" s="1"/>
  <c r="X547" i="3" a="1"/>
  <c r="X547" i="3" s="1"/>
  <c r="W547" i="3" a="1"/>
  <c r="W547" i="3" s="1"/>
  <c r="V547" i="3" a="1"/>
  <c r="V547" i="3" s="1"/>
  <c r="Y546" i="3" a="1"/>
  <c r="Y546" i="3" s="1"/>
  <c r="X546" i="3" a="1"/>
  <c r="X546" i="3" s="1"/>
  <c r="W546" i="3" a="1"/>
  <c r="W546" i="3" s="1"/>
  <c r="V546" i="3" a="1"/>
  <c r="V546" i="3" s="1"/>
  <c r="Y545" i="3" a="1"/>
  <c r="Y545" i="3" s="1"/>
  <c r="X545" i="3" a="1"/>
  <c r="X545" i="3" s="1"/>
  <c r="W545" i="3" a="1"/>
  <c r="W545" i="3" s="1"/>
  <c r="V545" i="3" a="1"/>
  <c r="V545" i="3" s="1"/>
  <c r="Y544" i="3" a="1"/>
  <c r="Y544" i="3" s="1"/>
  <c r="X544" i="3" a="1"/>
  <c r="X544" i="3" s="1"/>
  <c r="W544" i="3" a="1"/>
  <c r="W544" i="3" s="1"/>
  <c r="V544" i="3" a="1"/>
  <c r="V544" i="3" s="1"/>
  <c r="Y543" i="3" a="1"/>
  <c r="Y543" i="3" s="1"/>
  <c r="X543" i="3" a="1"/>
  <c r="X543" i="3" s="1"/>
  <c r="W543" i="3" a="1"/>
  <c r="W543" i="3" s="1"/>
  <c r="V543" i="3" a="1"/>
  <c r="V543" i="3" s="1"/>
  <c r="Y542" i="3" a="1"/>
  <c r="Y542" i="3" s="1"/>
  <c r="X542" i="3" a="1"/>
  <c r="X542" i="3" s="1"/>
  <c r="W542" i="3" a="1"/>
  <c r="W542" i="3" s="1"/>
  <c r="V542" i="3" a="1"/>
  <c r="V542" i="3" s="1"/>
  <c r="Y541" i="3" a="1"/>
  <c r="Y541" i="3" s="1"/>
  <c r="X541" i="3" a="1"/>
  <c r="X541" i="3" s="1"/>
  <c r="W541" i="3" a="1"/>
  <c r="W541" i="3" s="1"/>
  <c r="V541" i="3" a="1"/>
  <c r="V541" i="3" s="1"/>
  <c r="Y540" i="3" a="1"/>
  <c r="Y540" i="3" s="1"/>
  <c r="X540" i="3" a="1"/>
  <c r="X540" i="3" s="1"/>
  <c r="W540" i="3" a="1"/>
  <c r="W540" i="3" s="1"/>
  <c r="V540" i="3" a="1"/>
  <c r="V540" i="3" s="1"/>
  <c r="Y539" i="3" a="1"/>
  <c r="Y539" i="3" s="1"/>
  <c r="X539" i="3" a="1"/>
  <c r="X539" i="3" s="1"/>
  <c r="W539" i="3" a="1"/>
  <c r="W539" i="3" s="1"/>
  <c r="V539" i="3" a="1"/>
  <c r="V539" i="3" s="1"/>
  <c r="Y538" i="3" a="1"/>
  <c r="Y538" i="3" s="1"/>
  <c r="X538" i="3" a="1"/>
  <c r="X538" i="3" s="1"/>
  <c r="W538" i="3" a="1"/>
  <c r="W538" i="3" s="1"/>
  <c r="V538" i="3" a="1"/>
  <c r="V538" i="3" s="1"/>
  <c r="Y537" i="3" a="1"/>
  <c r="Y537" i="3" s="1"/>
  <c r="X537" i="3" a="1"/>
  <c r="X537" i="3" s="1"/>
  <c r="W537" i="3" a="1"/>
  <c r="W537" i="3" s="1"/>
  <c r="V537" i="3" a="1"/>
  <c r="V537" i="3" s="1"/>
  <c r="Y536" i="3" a="1"/>
  <c r="Y536" i="3" s="1"/>
  <c r="X536" i="3" a="1"/>
  <c r="X536" i="3" s="1"/>
  <c r="W536" i="3" a="1"/>
  <c r="W536" i="3" s="1"/>
  <c r="V536" i="3" a="1"/>
  <c r="V536" i="3" s="1"/>
  <c r="Y535" i="3" a="1"/>
  <c r="Y535" i="3" s="1"/>
  <c r="X535" i="3" a="1"/>
  <c r="X535" i="3" s="1"/>
  <c r="W535" i="3" a="1"/>
  <c r="W535" i="3" s="1"/>
  <c r="V535" i="3" a="1"/>
  <c r="V535" i="3" s="1"/>
  <c r="Y534" i="3" a="1"/>
  <c r="Y534" i="3" s="1"/>
  <c r="X534" i="3" a="1"/>
  <c r="X534" i="3" s="1"/>
  <c r="W534" i="3" a="1"/>
  <c r="W534" i="3" s="1"/>
  <c r="V534" i="3" a="1"/>
  <c r="V534" i="3" s="1"/>
  <c r="Y533" i="3" a="1"/>
  <c r="Y533" i="3" s="1"/>
  <c r="X533" i="3" a="1"/>
  <c r="X533" i="3" s="1"/>
  <c r="W533" i="3" a="1"/>
  <c r="W533" i="3" s="1"/>
  <c r="V533" i="3" a="1"/>
  <c r="V533" i="3" s="1"/>
  <c r="Y532" i="3" a="1"/>
  <c r="Y532" i="3" s="1"/>
  <c r="X532" i="3" a="1"/>
  <c r="X532" i="3" s="1"/>
  <c r="W532" i="3" a="1"/>
  <c r="W532" i="3" s="1"/>
  <c r="V532" i="3" a="1"/>
  <c r="V532" i="3" s="1"/>
  <c r="Y531" i="3" a="1"/>
  <c r="Y531" i="3" s="1"/>
  <c r="X531" i="3" a="1"/>
  <c r="X531" i="3" s="1"/>
  <c r="W531" i="3" a="1"/>
  <c r="W531" i="3" s="1"/>
  <c r="V531" i="3" a="1"/>
  <c r="V531" i="3" s="1"/>
  <c r="Y530" i="3" a="1"/>
  <c r="Y530" i="3" s="1"/>
  <c r="X530" i="3" a="1"/>
  <c r="X530" i="3" s="1"/>
  <c r="W530" i="3" a="1"/>
  <c r="W530" i="3" s="1"/>
  <c r="V530" i="3" a="1"/>
  <c r="V530" i="3" s="1"/>
  <c r="Y529" i="3" a="1"/>
  <c r="Y529" i="3" s="1"/>
  <c r="X529" i="3" a="1"/>
  <c r="X529" i="3" s="1"/>
  <c r="W529" i="3" a="1"/>
  <c r="W529" i="3" s="1"/>
  <c r="V529" i="3" a="1"/>
  <c r="V529" i="3" s="1"/>
  <c r="Y528" i="3" a="1"/>
  <c r="Y528" i="3" s="1"/>
  <c r="X528" i="3" a="1"/>
  <c r="X528" i="3" s="1"/>
  <c r="W528" i="3" a="1"/>
  <c r="W528" i="3" s="1"/>
  <c r="V528" i="3" a="1"/>
  <c r="V528" i="3" s="1"/>
  <c r="Y527" i="3" a="1"/>
  <c r="Y527" i="3" s="1"/>
  <c r="X527" i="3" a="1"/>
  <c r="X527" i="3" s="1"/>
  <c r="W527" i="3" a="1"/>
  <c r="W527" i="3" s="1"/>
  <c r="V527" i="3" a="1"/>
  <c r="V527" i="3" s="1"/>
  <c r="Y526" i="3" a="1"/>
  <c r="Y526" i="3" s="1"/>
  <c r="X526" i="3" a="1"/>
  <c r="X526" i="3" s="1"/>
  <c r="W526" i="3" a="1"/>
  <c r="W526" i="3" s="1"/>
  <c r="V526" i="3" a="1"/>
  <c r="V526" i="3" s="1"/>
  <c r="Y525" i="3" a="1"/>
  <c r="Y525" i="3" s="1"/>
  <c r="X525" i="3" a="1"/>
  <c r="X525" i="3" s="1"/>
  <c r="W525" i="3" a="1"/>
  <c r="W525" i="3" s="1"/>
  <c r="V525" i="3" a="1"/>
  <c r="V525" i="3" s="1"/>
  <c r="Y524" i="3" a="1"/>
  <c r="Y524" i="3" s="1"/>
  <c r="X524" i="3" a="1"/>
  <c r="X524" i="3" s="1"/>
  <c r="W524" i="3" a="1"/>
  <c r="W524" i="3" s="1"/>
  <c r="V524" i="3" a="1"/>
  <c r="V524" i="3" s="1"/>
  <c r="Y523" i="3" a="1"/>
  <c r="Y523" i="3" s="1"/>
  <c r="X523" i="3" a="1"/>
  <c r="X523" i="3" s="1"/>
  <c r="W523" i="3" a="1"/>
  <c r="W523" i="3" s="1"/>
  <c r="V523" i="3" a="1"/>
  <c r="V523" i="3" s="1"/>
  <c r="Y522" i="3" a="1"/>
  <c r="Y522" i="3" s="1"/>
  <c r="X522" i="3" a="1"/>
  <c r="X522" i="3" s="1"/>
  <c r="W522" i="3" a="1"/>
  <c r="W522" i="3" s="1"/>
  <c r="V522" i="3" a="1"/>
  <c r="V522" i="3" s="1"/>
  <c r="Y521" i="3" a="1"/>
  <c r="Y521" i="3" s="1"/>
  <c r="X521" i="3" a="1"/>
  <c r="X521" i="3" s="1"/>
  <c r="W521" i="3" a="1"/>
  <c r="W521" i="3" s="1"/>
  <c r="V521" i="3" a="1"/>
  <c r="V521" i="3" s="1"/>
  <c r="Y520" i="3" a="1"/>
  <c r="Y520" i="3" s="1"/>
  <c r="X520" i="3" a="1"/>
  <c r="X520" i="3" s="1"/>
  <c r="W520" i="3" a="1"/>
  <c r="W520" i="3" s="1"/>
  <c r="V520" i="3" a="1"/>
  <c r="V520" i="3" s="1"/>
  <c r="Y519" i="3" a="1"/>
  <c r="Y519" i="3" s="1"/>
  <c r="X519" i="3" a="1"/>
  <c r="X519" i="3" s="1"/>
  <c r="W519" i="3" a="1"/>
  <c r="W519" i="3" s="1"/>
  <c r="V519" i="3" a="1"/>
  <c r="V519" i="3" s="1"/>
  <c r="Y518" i="3" a="1"/>
  <c r="Y518" i="3" s="1"/>
  <c r="X518" i="3" a="1"/>
  <c r="X518" i="3" s="1"/>
  <c r="W518" i="3" a="1"/>
  <c r="W518" i="3" s="1"/>
  <c r="V518" i="3" a="1"/>
  <c r="V518" i="3" s="1"/>
  <c r="Y517" i="3" a="1"/>
  <c r="Y517" i="3" s="1"/>
  <c r="X517" i="3" a="1"/>
  <c r="X517" i="3" s="1"/>
  <c r="W517" i="3" a="1"/>
  <c r="W517" i="3" s="1"/>
  <c r="V517" i="3" a="1"/>
  <c r="V517" i="3" s="1"/>
  <c r="Y516" i="3" a="1"/>
  <c r="Y516" i="3" s="1"/>
  <c r="X516" i="3" a="1"/>
  <c r="X516" i="3" s="1"/>
  <c r="W516" i="3" a="1"/>
  <c r="W516" i="3" s="1"/>
  <c r="V516" i="3" a="1"/>
  <c r="V516" i="3" s="1"/>
  <c r="Y515" i="3" a="1"/>
  <c r="Y515" i="3" s="1"/>
  <c r="X515" i="3" a="1"/>
  <c r="X515" i="3" s="1"/>
  <c r="W515" i="3" a="1"/>
  <c r="W515" i="3" s="1"/>
  <c r="V515" i="3" a="1"/>
  <c r="V515" i="3" s="1"/>
  <c r="Y514" i="3" a="1"/>
  <c r="Y514" i="3" s="1"/>
  <c r="X514" i="3" a="1"/>
  <c r="X514" i="3" s="1"/>
  <c r="W514" i="3" a="1"/>
  <c r="W514" i="3" s="1"/>
  <c r="V514" i="3" a="1"/>
  <c r="V514" i="3" s="1"/>
  <c r="Y513" i="3" a="1"/>
  <c r="Y513" i="3" s="1"/>
  <c r="X513" i="3" a="1"/>
  <c r="X513" i="3" s="1"/>
  <c r="W513" i="3" a="1"/>
  <c r="W513" i="3" s="1"/>
  <c r="V513" i="3" a="1"/>
  <c r="V513" i="3" s="1"/>
  <c r="Y512" i="3" a="1"/>
  <c r="Y512" i="3" s="1"/>
  <c r="X512" i="3" a="1"/>
  <c r="X512" i="3" s="1"/>
  <c r="W512" i="3" a="1"/>
  <c r="W512" i="3" s="1"/>
  <c r="V512" i="3" a="1"/>
  <c r="V512" i="3" s="1"/>
  <c r="Y511" i="3" a="1"/>
  <c r="Y511" i="3" s="1"/>
  <c r="X511" i="3" a="1"/>
  <c r="X511" i="3" s="1"/>
  <c r="W511" i="3" a="1"/>
  <c r="W511" i="3" s="1"/>
  <c r="V511" i="3" a="1"/>
  <c r="V511" i="3" s="1"/>
  <c r="Y510" i="3" a="1"/>
  <c r="Y510" i="3" s="1"/>
  <c r="X510" i="3" a="1"/>
  <c r="X510" i="3" s="1"/>
  <c r="W510" i="3" a="1"/>
  <c r="W510" i="3" s="1"/>
  <c r="V510" i="3" a="1"/>
  <c r="V510" i="3" s="1"/>
  <c r="Y508" i="3" a="1"/>
  <c r="Y508" i="3" s="1"/>
  <c r="X508" i="3" a="1"/>
  <c r="X508" i="3" s="1"/>
  <c r="W508" i="3" a="1"/>
  <c r="W508" i="3" s="1"/>
  <c r="V508" i="3" a="1"/>
  <c r="V508" i="3" s="1"/>
  <c r="Y507" i="3" a="1"/>
  <c r="Y507" i="3" s="1"/>
  <c r="X507" i="3" a="1"/>
  <c r="X507" i="3" s="1"/>
  <c r="W507" i="3" a="1"/>
  <c r="W507" i="3" s="1"/>
  <c r="V507" i="3" a="1"/>
  <c r="V507" i="3" s="1"/>
  <c r="Y506" i="3" a="1"/>
  <c r="Y506" i="3" s="1"/>
  <c r="X506" i="3" a="1"/>
  <c r="X506" i="3" s="1"/>
  <c r="W506" i="3" a="1"/>
  <c r="W506" i="3" s="1"/>
  <c r="V506" i="3" a="1"/>
  <c r="V506" i="3" s="1"/>
  <c r="Y505" i="3" a="1"/>
  <c r="Y505" i="3" s="1"/>
  <c r="X505" i="3" a="1"/>
  <c r="X505" i="3" s="1"/>
  <c r="W505" i="3" a="1"/>
  <c r="W505" i="3" s="1"/>
  <c r="V505" i="3" a="1"/>
  <c r="V505" i="3" s="1"/>
  <c r="Y504" i="3" a="1"/>
  <c r="Y504" i="3" s="1"/>
  <c r="X504" i="3" a="1"/>
  <c r="X504" i="3" s="1"/>
  <c r="W504" i="3" a="1"/>
  <c r="W504" i="3" s="1"/>
  <c r="V504" i="3" a="1"/>
  <c r="V504" i="3" s="1"/>
  <c r="Y503" i="3" a="1"/>
  <c r="Y503" i="3" s="1"/>
  <c r="X503" i="3" a="1"/>
  <c r="X503" i="3" s="1"/>
  <c r="W503" i="3" a="1"/>
  <c r="W503" i="3" s="1"/>
  <c r="V503" i="3" a="1"/>
  <c r="V503" i="3" s="1"/>
  <c r="Y502" i="3" a="1"/>
  <c r="Y502" i="3" s="1"/>
  <c r="X502" i="3" a="1"/>
  <c r="X502" i="3" s="1"/>
  <c r="W502" i="3" a="1"/>
  <c r="W502" i="3" s="1"/>
  <c r="V502" i="3" a="1"/>
  <c r="V502" i="3" s="1"/>
  <c r="Y501" i="3" a="1"/>
  <c r="Y501" i="3" s="1"/>
  <c r="X501" i="3" a="1"/>
  <c r="X501" i="3" s="1"/>
  <c r="W501" i="3" a="1"/>
  <c r="W501" i="3" s="1"/>
  <c r="V501" i="3" a="1"/>
  <c r="V501" i="3" s="1"/>
  <c r="Y500" i="3" a="1"/>
  <c r="Y500" i="3" s="1"/>
  <c r="X500" i="3" a="1"/>
  <c r="X500" i="3" s="1"/>
  <c r="W500" i="3" a="1"/>
  <c r="W500" i="3" s="1"/>
  <c r="V500" i="3" a="1"/>
  <c r="V500" i="3" s="1"/>
  <c r="Y499" i="3" a="1"/>
  <c r="Y499" i="3" s="1"/>
  <c r="X499" i="3" a="1"/>
  <c r="X499" i="3" s="1"/>
  <c r="W499" i="3" a="1"/>
  <c r="W499" i="3" s="1"/>
  <c r="V499" i="3" a="1"/>
  <c r="V499" i="3" s="1"/>
  <c r="Y498" i="3" a="1"/>
  <c r="Y498" i="3" s="1"/>
  <c r="X498" i="3" a="1"/>
  <c r="X498" i="3" s="1"/>
  <c r="W498" i="3" a="1"/>
  <c r="W498" i="3" s="1"/>
  <c r="V498" i="3" a="1"/>
  <c r="V498" i="3" s="1"/>
  <c r="Y497" i="3" a="1"/>
  <c r="Y497" i="3" s="1"/>
  <c r="X497" i="3" a="1"/>
  <c r="X497" i="3" s="1"/>
  <c r="W497" i="3" a="1"/>
  <c r="W497" i="3" s="1"/>
  <c r="V497" i="3" a="1"/>
  <c r="V497" i="3" s="1"/>
  <c r="Y496" i="3" a="1"/>
  <c r="Y496" i="3" s="1"/>
  <c r="X496" i="3" a="1"/>
  <c r="X496" i="3" s="1"/>
  <c r="W496" i="3" a="1"/>
  <c r="W496" i="3" s="1"/>
  <c r="V496" i="3" a="1"/>
  <c r="V496" i="3" s="1"/>
  <c r="Y493" i="3" a="1"/>
  <c r="Y493" i="3" s="1"/>
  <c r="X493" i="3" a="1"/>
  <c r="X493" i="3" s="1"/>
  <c r="W493" i="3" a="1"/>
  <c r="W493" i="3" s="1"/>
  <c r="V493" i="3" a="1"/>
  <c r="V493" i="3" s="1"/>
  <c r="Y490" i="3" a="1"/>
  <c r="Y490" i="3" s="1"/>
  <c r="X490" i="3" a="1"/>
  <c r="X490" i="3" s="1"/>
  <c r="W490" i="3" a="1"/>
  <c r="W490" i="3" s="1"/>
  <c r="V490" i="3" a="1"/>
  <c r="V490" i="3" s="1"/>
  <c r="Y487" i="3" a="1"/>
  <c r="Y487" i="3" s="1"/>
  <c r="X487" i="3" a="1"/>
  <c r="X487" i="3" s="1"/>
  <c r="W487" i="3" a="1"/>
  <c r="W487" i="3" s="1"/>
  <c r="V487" i="3" a="1"/>
  <c r="V487" i="3" s="1"/>
  <c r="Y484" i="3" a="1"/>
  <c r="Y484" i="3" s="1"/>
  <c r="X484" i="3" a="1"/>
  <c r="X484" i="3" s="1"/>
  <c r="W484" i="3" a="1"/>
  <c r="W484" i="3" s="1"/>
  <c r="V484" i="3" a="1"/>
  <c r="V484" i="3" s="1"/>
  <c r="Y483" i="3" a="1"/>
  <c r="Y483" i="3" s="1"/>
  <c r="X483" i="3" a="1"/>
  <c r="X483" i="3" s="1"/>
  <c r="W483" i="3" a="1"/>
  <c r="W483" i="3" s="1"/>
  <c r="V483" i="3" a="1"/>
  <c r="V483" i="3" s="1"/>
  <c r="Y482" i="3" a="1"/>
  <c r="Y482" i="3" s="1"/>
  <c r="X482" i="3" a="1"/>
  <c r="X482" i="3" s="1"/>
  <c r="W482" i="3" a="1"/>
  <c r="W482" i="3" s="1"/>
  <c r="V482" i="3" a="1"/>
  <c r="V482" i="3" s="1"/>
  <c r="Y481" i="3" a="1"/>
  <c r="Y481" i="3" s="1"/>
  <c r="X481" i="3" a="1"/>
  <c r="X481" i="3" s="1"/>
  <c r="W481" i="3" a="1"/>
  <c r="W481" i="3" s="1"/>
  <c r="V481" i="3" a="1"/>
  <c r="V481" i="3" s="1"/>
  <c r="Y480" i="3" a="1"/>
  <c r="Y480" i="3" s="1"/>
  <c r="X480" i="3" a="1"/>
  <c r="X480" i="3" s="1"/>
  <c r="W480" i="3" a="1"/>
  <c r="W480" i="3" s="1"/>
  <c r="V480" i="3" a="1"/>
  <c r="V480" i="3" s="1"/>
  <c r="Y479" i="3" a="1"/>
  <c r="Y479" i="3" s="1"/>
  <c r="X479" i="3" a="1"/>
  <c r="X479" i="3" s="1"/>
  <c r="W479" i="3" a="1"/>
  <c r="W479" i="3" s="1"/>
  <c r="V479" i="3" a="1"/>
  <c r="V479" i="3" s="1"/>
  <c r="Y478" i="3" a="1"/>
  <c r="Y478" i="3" s="1"/>
  <c r="X478" i="3" a="1"/>
  <c r="X478" i="3" s="1"/>
  <c r="W478" i="3" a="1"/>
  <c r="W478" i="3" s="1"/>
  <c r="V478" i="3" a="1"/>
  <c r="V478" i="3" s="1"/>
  <c r="Y477" i="3" a="1"/>
  <c r="Y477" i="3" s="1"/>
  <c r="X477" i="3" a="1"/>
  <c r="X477" i="3" s="1"/>
  <c r="W477" i="3" a="1"/>
  <c r="W477" i="3" s="1"/>
  <c r="V477" i="3" a="1"/>
  <c r="V477" i="3" s="1"/>
  <c r="Y476" i="3" a="1"/>
  <c r="Y476" i="3" s="1"/>
  <c r="X476" i="3" a="1"/>
  <c r="X476" i="3" s="1"/>
  <c r="W476" i="3" a="1"/>
  <c r="W476" i="3" s="1"/>
  <c r="V476" i="3" a="1"/>
  <c r="V476" i="3" s="1"/>
  <c r="Y475" i="3" a="1"/>
  <c r="Y475" i="3" s="1"/>
  <c r="X475" i="3" a="1"/>
  <c r="X475" i="3" s="1"/>
  <c r="W475" i="3" a="1"/>
  <c r="W475" i="3" s="1"/>
  <c r="V475" i="3" a="1"/>
  <c r="V475" i="3" s="1"/>
  <c r="Y474" i="3" a="1"/>
  <c r="Y474" i="3" s="1"/>
  <c r="X474" i="3" a="1"/>
  <c r="X474" i="3" s="1"/>
  <c r="W474" i="3" a="1"/>
  <c r="W474" i="3" s="1"/>
  <c r="V474" i="3" a="1"/>
  <c r="V474" i="3" s="1"/>
  <c r="Y473" i="3" a="1"/>
  <c r="Y473" i="3" s="1"/>
  <c r="X473" i="3" a="1"/>
  <c r="X473" i="3" s="1"/>
  <c r="W473" i="3" a="1"/>
  <c r="W473" i="3" s="1"/>
  <c r="V473" i="3" a="1"/>
  <c r="V473" i="3" s="1"/>
  <c r="Y472" i="3" a="1"/>
  <c r="Y472" i="3" s="1"/>
  <c r="X472" i="3" a="1"/>
  <c r="X472" i="3" s="1"/>
  <c r="W472" i="3" a="1"/>
  <c r="W472" i="3" s="1"/>
  <c r="V472" i="3" a="1"/>
  <c r="V472" i="3" s="1"/>
  <c r="Y471" i="3" a="1"/>
  <c r="Y471" i="3" s="1"/>
  <c r="X471" i="3" a="1"/>
  <c r="X471" i="3" s="1"/>
  <c r="W471" i="3" a="1"/>
  <c r="W471" i="3" s="1"/>
  <c r="V471" i="3" a="1"/>
  <c r="V471" i="3" s="1"/>
  <c r="Y470" i="3" a="1"/>
  <c r="Y470" i="3" s="1"/>
  <c r="X470" i="3" a="1"/>
  <c r="X470" i="3" s="1"/>
  <c r="W470" i="3" a="1"/>
  <c r="W470" i="3" s="1"/>
  <c r="V470" i="3" a="1"/>
  <c r="V470" i="3" s="1"/>
  <c r="Y469" i="3" a="1"/>
  <c r="Y469" i="3" s="1"/>
  <c r="X469" i="3" a="1"/>
  <c r="X469" i="3" s="1"/>
  <c r="W469" i="3" a="1"/>
  <c r="W469" i="3" s="1"/>
  <c r="V469" i="3" a="1"/>
  <c r="V469" i="3" s="1"/>
  <c r="Y468" i="3" a="1"/>
  <c r="Y468" i="3" s="1"/>
  <c r="X468" i="3" a="1"/>
  <c r="X468" i="3" s="1"/>
  <c r="W468" i="3" a="1"/>
  <c r="W468" i="3" s="1"/>
  <c r="V468" i="3" a="1"/>
  <c r="V468" i="3" s="1"/>
  <c r="Y467" i="3" a="1"/>
  <c r="Y467" i="3" s="1"/>
  <c r="X467" i="3" a="1"/>
  <c r="X467" i="3" s="1"/>
  <c r="W467" i="3" a="1"/>
  <c r="W467" i="3" s="1"/>
  <c r="V467" i="3" a="1"/>
  <c r="V467" i="3" s="1"/>
  <c r="Y466" i="3" a="1"/>
  <c r="Y466" i="3" s="1"/>
  <c r="X466" i="3" a="1"/>
  <c r="X466" i="3" s="1"/>
  <c r="W466" i="3" a="1"/>
  <c r="W466" i="3" s="1"/>
  <c r="V466" i="3" a="1"/>
  <c r="V466" i="3" s="1"/>
  <c r="Y465" i="3" a="1"/>
  <c r="Y465" i="3" s="1"/>
  <c r="X465" i="3" a="1"/>
  <c r="X465" i="3" s="1"/>
  <c r="W465" i="3" a="1"/>
  <c r="W465" i="3" s="1"/>
  <c r="V465" i="3" a="1"/>
  <c r="V465" i="3" s="1"/>
  <c r="Y464" i="3" a="1"/>
  <c r="Y464" i="3" s="1"/>
  <c r="X464" i="3" a="1"/>
  <c r="X464" i="3" s="1"/>
  <c r="W464" i="3" a="1"/>
  <c r="W464" i="3" s="1"/>
  <c r="V464" i="3" a="1"/>
  <c r="V464" i="3" s="1"/>
  <c r="Y463" i="3" a="1"/>
  <c r="Y463" i="3" s="1"/>
  <c r="X463" i="3" a="1"/>
  <c r="X463" i="3" s="1"/>
  <c r="W463" i="3" a="1"/>
  <c r="W463" i="3" s="1"/>
  <c r="V463" i="3" a="1"/>
  <c r="V463" i="3" s="1"/>
  <c r="Y462" i="3" a="1"/>
  <c r="Y462" i="3" s="1"/>
  <c r="X462" i="3" a="1"/>
  <c r="X462" i="3" s="1"/>
  <c r="W462" i="3" a="1"/>
  <c r="W462" i="3" s="1"/>
  <c r="V462" i="3" a="1"/>
  <c r="V462" i="3" s="1"/>
  <c r="Y461" i="3" a="1"/>
  <c r="Y461" i="3" s="1"/>
  <c r="X461" i="3" a="1"/>
  <c r="X461" i="3" s="1"/>
  <c r="W461" i="3" a="1"/>
  <c r="W461" i="3" s="1"/>
  <c r="V461" i="3" a="1"/>
  <c r="V461" i="3" s="1"/>
  <c r="Y460" i="3" a="1"/>
  <c r="Y460" i="3" s="1"/>
  <c r="X460" i="3" a="1"/>
  <c r="X460" i="3" s="1"/>
  <c r="W460" i="3" a="1"/>
  <c r="W460" i="3" s="1"/>
  <c r="V460" i="3" a="1"/>
  <c r="V460" i="3" s="1"/>
  <c r="Y459" i="3" a="1"/>
  <c r="Y459" i="3" s="1"/>
  <c r="X459" i="3" a="1"/>
  <c r="X459" i="3" s="1"/>
  <c r="W459" i="3" a="1"/>
  <c r="W459" i="3" s="1"/>
  <c r="V459" i="3" a="1"/>
  <c r="V459" i="3" s="1"/>
  <c r="Y458" i="3" a="1"/>
  <c r="Y458" i="3" s="1"/>
  <c r="X458" i="3" a="1"/>
  <c r="X458" i="3" s="1"/>
  <c r="W458" i="3" a="1"/>
  <c r="W458" i="3" s="1"/>
  <c r="V458" i="3" a="1"/>
  <c r="V458" i="3" s="1"/>
  <c r="Y457" i="3" a="1"/>
  <c r="Y457" i="3" s="1"/>
  <c r="X457" i="3" a="1"/>
  <c r="X457" i="3" s="1"/>
  <c r="W457" i="3" a="1"/>
  <c r="W457" i="3" s="1"/>
  <c r="V457" i="3" a="1"/>
  <c r="V457" i="3" s="1"/>
  <c r="Y456" i="3" a="1"/>
  <c r="Y456" i="3" s="1"/>
  <c r="X456" i="3" a="1"/>
  <c r="X456" i="3" s="1"/>
  <c r="W456" i="3" a="1"/>
  <c r="W456" i="3" s="1"/>
  <c r="V456" i="3" a="1"/>
  <c r="V456" i="3" s="1"/>
  <c r="Y455" i="3" a="1"/>
  <c r="Y455" i="3" s="1"/>
  <c r="X455" i="3" a="1"/>
  <c r="X455" i="3" s="1"/>
  <c r="W455" i="3" a="1"/>
  <c r="W455" i="3" s="1"/>
  <c r="V455" i="3" a="1"/>
  <c r="V455" i="3" s="1"/>
  <c r="Y454" i="3" a="1"/>
  <c r="Y454" i="3" s="1"/>
  <c r="X454" i="3" a="1"/>
  <c r="X454" i="3" s="1"/>
  <c r="W454" i="3" a="1"/>
  <c r="W454" i="3" s="1"/>
  <c r="V454" i="3" a="1"/>
  <c r="V454" i="3" s="1"/>
  <c r="Y453" i="3" a="1"/>
  <c r="Y453" i="3" s="1"/>
  <c r="X453" i="3" a="1"/>
  <c r="X453" i="3" s="1"/>
  <c r="W453" i="3" a="1"/>
  <c r="W453" i="3" s="1"/>
  <c r="V453" i="3" a="1"/>
  <c r="V453" i="3" s="1"/>
  <c r="Y452" i="3" a="1"/>
  <c r="Y452" i="3" s="1"/>
  <c r="X452" i="3" a="1"/>
  <c r="X452" i="3" s="1"/>
  <c r="W452" i="3" a="1"/>
  <c r="W452" i="3" s="1"/>
  <c r="V452" i="3" a="1"/>
  <c r="V452" i="3" s="1"/>
  <c r="Y451" i="3" a="1"/>
  <c r="Y451" i="3" s="1"/>
  <c r="X451" i="3" a="1"/>
  <c r="X451" i="3" s="1"/>
  <c r="W451" i="3" a="1"/>
  <c r="W451" i="3" s="1"/>
  <c r="V451" i="3" a="1"/>
  <c r="V451" i="3" s="1"/>
  <c r="Y450" i="3" a="1"/>
  <c r="Y450" i="3" s="1"/>
  <c r="X450" i="3" a="1"/>
  <c r="X450" i="3" s="1"/>
  <c r="W450" i="3" a="1"/>
  <c r="W450" i="3" s="1"/>
  <c r="V450" i="3" a="1"/>
  <c r="V450" i="3" s="1"/>
  <c r="Y449" i="3" a="1"/>
  <c r="Y449" i="3" s="1"/>
  <c r="X449" i="3" a="1"/>
  <c r="X449" i="3" s="1"/>
  <c r="W449" i="3" a="1"/>
  <c r="W449" i="3" s="1"/>
  <c r="V449" i="3" a="1"/>
  <c r="V449" i="3" s="1"/>
  <c r="Y448" i="3" a="1"/>
  <c r="Y448" i="3" s="1"/>
  <c r="X448" i="3" a="1"/>
  <c r="X448" i="3" s="1"/>
  <c r="W448" i="3" a="1"/>
  <c r="W448" i="3" s="1"/>
  <c r="V448" i="3" a="1"/>
  <c r="V448" i="3" s="1"/>
  <c r="Y447" i="3" a="1"/>
  <c r="Y447" i="3" s="1"/>
  <c r="X447" i="3" a="1"/>
  <c r="X447" i="3" s="1"/>
  <c r="W447" i="3" a="1"/>
  <c r="W447" i="3" s="1"/>
  <c r="V447" i="3" a="1"/>
  <c r="V447" i="3" s="1"/>
  <c r="Y446" i="3" a="1"/>
  <c r="Y446" i="3" s="1"/>
  <c r="X446" i="3" a="1"/>
  <c r="X446" i="3" s="1"/>
  <c r="W446" i="3" a="1"/>
  <c r="W446" i="3" s="1"/>
  <c r="V446" i="3" a="1"/>
  <c r="V446" i="3" s="1"/>
  <c r="Y445" i="3" a="1"/>
  <c r="Y445" i="3" s="1"/>
  <c r="X445" i="3" a="1"/>
  <c r="X445" i="3" s="1"/>
  <c r="W445" i="3" a="1"/>
  <c r="W445" i="3" s="1"/>
  <c r="V445" i="3" a="1"/>
  <c r="V445" i="3" s="1"/>
  <c r="Y444" i="3" a="1"/>
  <c r="Y444" i="3" s="1"/>
  <c r="X444" i="3" a="1"/>
  <c r="X444" i="3" s="1"/>
  <c r="W444" i="3" a="1"/>
  <c r="W444" i="3" s="1"/>
  <c r="V444" i="3" a="1"/>
  <c r="V444" i="3" s="1"/>
  <c r="Y443" i="3" a="1"/>
  <c r="Y443" i="3" s="1"/>
  <c r="X443" i="3" a="1"/>
  <c r="X443" i="3" s="1"/>
  <c r="W443" i="3" a="1"/>
  <c r="W443" i="3" s="1"/>
  <c r="V443" i="3" a="1"/>
  <c r="V443" i="3" s="1"/>
  <c r="Y442" i="3" a="1"/>
  <c r="Y442" i="3" s="1"/>
  <c r="X442" i="3" a="1"/>
  <c r="X442" i="3" s="1"/>
  <c r="W442" i="3" a="1"/>
  <c r="W442" i="3" s="1"/>
  <c r="V442" i="3" a="1"/>
  <c r="V442" i="3" s="1"/>
  <c r="Y441" i="3" a="1"/>
  <c r="Y441" i="3" s="1"/>
  <c r="X441" i="3" a="1"/>
  <c r="X441" i="3" s="1"/>
  <c r="W441" i="3" a="1"/>
  <c r="W441" i="3" s="1"/>
  <c r="V441" i="3" a="1"/>
  <c r="V441" i="3" s="1"/>
  <c r="Y440" i="3" a="1"/>
  <c r="Y440" i="3" s="1"/>
  <c r="X440" i="3" a="1"/>
  <c r="X440" i="3" s="1"/>
  <c r="W440" i="3" a="1"/>
  <c r="W440" i="3" s="1"/>
  <c r="V440" i="3" a="1"/>
  <c r="V440" i="3" s="1"/>
  <c r="Y439" i="3" a="1"/>
  <c r="Y439" i="3" s="1"/>
  <c r="X439" i="3" a="1"/>
  <c r="X439" i="3" s="1"/>
  <c r="W439" i="3" a="1"/>
  <c r="W439" i="3" s="1"/>
  <c r="V439" i="3" a="1"/>
  <c r="V439" i="3" s="1"/>
  <c r="Y438" i="3" a="1"/>
  <c r="Y438" i="3" s="1"/>
  <c r="X438" i="3" a="1"/>
  <c r="X438" i="3" s="1"/>
  <c r="W438" i="3" a="1"/>
  <c r="W438" i="3" s="1"/>
  <c r="V438" i="3" a="1"/>
  <c r="V438" i="3" s="1"/>
  <c r="Y437" i="3" a="1"/>
  <c r="Y437" i="3" s="1"/>
  <c r="X437" i="3" a="1"/>
  <c r="X437" i="3" s="1"/>
  <c r="W437" i="3" a="1"/>
  <c r="W437" i="3" s="1"/>
  <c r="V437" i="3" a="1"/>
  <c r="V437" i="3" s="1"/>
  <c r="Y436" i="3" a="1"/>
  <c r="Y436" i="3" s="1"/>
  <c r="X436" i="3" a="1"/>
  <c r="X436" i="3" s="1"/>
  <c r="W436" i="3" a="1"/>
  <c r="W436" i="3" s="1"/>
  <c r="V436" i="3" a="1"/>
  <c r="V436" i="3" s="1"/>
  <c r="Y435" i="3" a="1"/>
  <c r="Y435" i="3" s="1"/>
  <c r="X435" i="3" a="1"/>
  <c r="X435" i="3" s="1"/>
  <c r="W435" i="3" a="1"/>
  <c r="W435" i="3" s="1"/>
  <c r="V435" i="3" a="1"/>
  <c r="V435" i="3" s="1"/>
  <c r="Y434" i="3" a="1"/>
  <c r="Y434" i="3" s="1"/>
  <c r="X434" i="3" a="1"/>
  <c r="X434" i="3" s="1"/>
  <c r="W434" i="3" a="1"/>
  <c r="W434" i="3" s="1"/>
  <c r="V434" i="3" a="1"/>
  <c r="V434" i="3" s="1"/>
  <c r="Y433" i="3" a="1"/>
  <c r="Y433" i="3" s="1"/>
  <c r="X433" i="3" a="1"/>
  <c r="X433" i="3" s="1"/>
  <c r="W433" i="3" a="1"/>
  <c r="W433" i="3" s="1"/>
  <c r="V433" i="3" a="1"/>
  <c r="V433" i="3" s="1"/>
  <c r="Y432" i="3" a="1"/>
  <c r="Y432" i="3" s="1"/>
  <c r="X432" i="3" a="1"/>
  <c r="X432" i="3" s="1"/>
  <c r="W432" i="3" a="1"/>
  <c r="W432" i="3" s="1"/>
  <c r="V432" i="3" a="1"/>
  <c r="V432" i="3" s="1"/>
  <c r="Y431" i="3" a="1"/>
  <c r="Y431" i="3" s="1"/>
  <c r="X431" i="3" a="1"/>
  <c r="X431" i="3" s="1"/>
  <c r="W431" i="3" a="1"/>
  <c r="W431" i="3" s="1"/>
  <c r="V431" i="3" a="1"/>
  <c r="V431" i="3" s="1"/>
  <c r="Y430" i="3" a="1"/>
  <c r="Y430" i="3" s="1"/>
  <c r="X430" i="3" a="1"/>
  <c r="X430" i="3" s="1"/>
  <c r="W430" i="3" a="1"/>
  <c r="W430" i="3" s="1"/>
  <c r="V430" i="3" a="1"/>
  <c r="V430" i="3" s="1"/>
  <c r="Y429" i="3" a="1"/>
  <c r="Y429" i="3" s="1"/>
  <c r="X429" i="3" a="1"/>
  <c r="X429" i="3" s="1"/>
  <c r="W429" i="3" a="1"/>
  <c r="W429" i="3" s="1"/>
  <c r="V429" i="3" a="1"/>
  <c r="V429" i="3" s="1"/>
  <c r="Y428" i="3" a="1"/>
  <c r="Y428" i="3" s="1"/>
  <c r="X428" i="3" a="1"/>
  <c r="X428" i="3" s="1"/>
  <c r="W428" i="3" a="1"/>
  <c r="W428" i="3" s="1"/>
  <c r="V428" i="3" a="1"/>
  <c r="V428" i="3" s="1"/>
  <c r="Y427" i="3" a="1"/>
  <c r="Y427" i="3" s="1"/>
  <c r="X427" i="3" a="1"/>
  <c r="X427" i="3" s="1"/>
  <c r="W427" i="3" a="1"/>
  <c r="W427" i="3" s="1"/>
  <c r="V427" i="3" a="1"/>
  <c r="V427" i="3" s="1"/>
  <c r="Y426" i="3" a="1"/>
  <c r="Y426" i="3" s="1"/>
  <c r="X426" i="3" a="1"/>
  <c r="X426" i="3" s="1"/>
  <c r="W426" i="3" a="1"/>
  <c r="W426" i="3" s="1"/>
  <c r="V426" i="3" a="1"/>
  <c r="V426" i="3" s="1"/>
  <c r="Y425" i="3" a="1"/>
  <c r="Y425" i="3" s="1"/>
  <c r="X425" i="3" a="1"/>
  <c r="X425" i="3" s="1"/>
  <c r="W425" i="3" a="1"/>
  <c r="W425" i="3" s="1"/>
  <c r="V425" i="3" a="1"/>
  <c r="V425" i="3" s="1"/>
  <c r="Y424" i="3" a="1"/>
  <c r="Y424" i="3" s="1"/>
  <c r="X424" i="3" a="1"/>
  <c r="X424" i="3" s="1"/>
  <c r="W424" i="3" a="1"/>
  <c r="W424" i="3" s="1"/>
  <c r="V424" i="3" a="1"/>
  <c r="V424" i="3" s="1"/>
  <c r="Y423" i="3" a="1"/>
  <c r="Y423" i="3" s="1"/>
  <c r="X423" i="3" a="1"/>
  <c r="X423" i="3" s="1"/>
  <c r="W423" i="3" a="1"/>
  <c r="W423" i="3" s="1"/>
  <c r="V423" i="3" a="1"/>
  <c r="V423" i="3" s="1"/>
  <c r="Y422" i="3" a="1"/>
  <c r="Y422" i="3" s="1"/>
  <c r="X422" i="3" a="1"/>
  <c r="X422" i="3" s="1"/>
  <c r="W422" i="3" a="1"/>
  <c r="W422" i="3" s="1"/>
  <c r="V422" i="3" a="1"/>
  <c r="V422" i="3" s="1"/>
  <c r="Y421" i="3" a="1"/>
  <c r="Y421" i="3" s="1"/>
  <c r="X421" i="3" a="1"/>
  <c r="X421" i="3" s="1"/>
  <c r="W421" i="3" a="1"/>
  <c r="W421" i="3" s="1"/>
  <c r="V421" i="3" a="1"/>
  <c r="V421" i="3" s="1"/>
  <c r="Y420" i="3" a="1"/>
  <c r="Y420" i="3" s="1"/>
  <c r="X420" i="3" a="1"/>
  <c r="X420" i="3" s="1"/>
  <c r="W420" i="3" a="1"/>
  <c r="W420" i="3" s="1"/>
  <c r="V420" i="3" a="1"/>
  <c r="V420" i="3" s="1"/>
  <c r="Y419" i="3" a="1"/>
  <c r="Y419" i="3" s="1"/>
  <c r="X419" i="3" a="1"/>
  <c r="X419" i="3" s="1"/>
  <c r="W419" i="3" a="1"/>
  <c r="W419" i="3" s="1"/>
  <c r="V419" i="3" a="1"/>
  <c r="V419" i="3" s="1"/>
  <c r="Y418" i="3" a="1"/>
  <c r="Y418" i="3" s="1"/>
  <c r="X418" i="3" a="1"/>
  <c r="X418" i="3" s="1"/>
  <c r="W418" i="3" a="1"/>
  <c r="W418" i="3" s="1"/>
  <c r="V418" i="3" a="1"/>
  <c r="V418" i="3" s="1"/>
  <c r="Y417" i="3" a="1"/>
  <c r="Y417" i="3" s="1"/>
  <c r="X417" i="3" a="1"/>
  <c r="X417" i="3" s="1"/>
  <c r="W417" i="3" a="1"/>
  <c r="W417" i="3" s="1"/>
  <c r="V417" i="3" a="1"/>
  <c r="V417" i="3" s="1"/>
  <c r="Y416" i="3" a="1"/>
  <c r="Y416" i="3" s="1"/>
  <c r="X416" i="3" a="1"/>
  <c r="X416" i="3" s="1"/>
  <c r="W416" i="3" a="1"/>
  <c r="W416" i="3" s="1"/>
  <c r="V416" i="3" a="1"/>
  <c r="V416" i="3" s="1"/>
  <c r="Y415" i="3" a="1"/>
  <c r="Y415" i="3" s="1"/>
  <c r="X415" i="3" a="1"/>
  <c r="X415" i="3" s="1"/>
  <c r="W415" i="3" a="1"/>
  <c r="W415" i="3" s="1"/>
  <c r="V415" i="3" a="1"/>
  <c r="V415" i="3" s="1"/>
  <c r="Y414" i="3" a="1"/>
  <c r="Y414" i="3" s="1"/>
  <c r="X414" i="3" a="1"/>
  <c r="X414" i="3" s="1"/>
  <c r="W414" i="3" a="1"/>
  <c r="W414" i="3" s="1"/>
  <c r="V414" i="3" a="1"/>
  <c r="V414" i="3" s="1"/>
  <c r="Y413" i="3" a="1"/>
  <c r="Y413" i="3" s="1"/>
  <c r="X413" i="3" a="1"/>
  <c r="X413" i="3" s="1"/>
  <c r="W413" i="3" a="1"/>
  <c r="W413" i="3" s="1"/>
  <c r="V413" i="3" a="1"/>
  <c r="V413" i="3" s="1"/>
  <c r="Y412" i="3" a="1"/>
  <c r="Y412" i="3" s="1"/>
  <c r="X412" i="3" a="1"/>
  <c r="X412" i="3" s="1"/>
  <c r="W412" i="3" a="1"/>
  <c r="W412" i="3" s="1"/>
  <c r="V412" i="3" a="1"/>
  <c r="V412" i="3" s="1"/>
  <c r="Y411" i="3" a="1"/>
  <c r="Y411" i="3" s="1"/>
  <c r="X411" i="3" a="1"/>
  <c r="X411" i="3" s="1"/>
  <c r="W411" i="3" a="1"/>
  <c r="W411" i="3" s="1"/>
  <c r="V411" i="3" a="1"/>
  <c r="V411" i="3" s="1"/>
  <c r="Y410" i="3" a="1"/>
  <c r="Y410" i="3" s="1"/>
  <c r="X410" i="3" a="1"/>
  <c r="X410" i="3" s="1"/>
  <c r="W410" i="3" a="1"/>
  <c r="W410" i="3" s="1"/>
  <c r="V410" i="3" a="1"/>
  <c r="V410" i="3" s="1"/>
  <c r="Y409" i="3" a="1"/>
  <c r="Y409" i="3" s="1"/>
  <c r="X409" i="3" a="1"/>
  <c r="X409" i="3" s="1"/>
  <c r="W409" i="3" a="1"/>
  <c r="W409" i="3" s="1"/>
  <c r="V409" i="3" a="1"/>
  <c r="V409" i="3" s="1"/>
  <c r="Y408" i="3" a="1"/>
  <c r="Y408" i="3" s="1"/>
  <c r="X408" i="3" a="1"/>
  <c r="X408" i="3" s="1"/>
  <c r="W408" i="3" a="1"/>
  <c r="W408" i="3" s="1"/>
  <c r="V408" i="3" a="1"/>
  <c r="V408" i="3" s="1"/>
  <c r="Y407" i="3" a="1"/>
  <c r="Y407" i="3" s="1"/>
  <c r="X407" i="3" a="1"/>
  <c r="X407" i="3" s="1"/>
  <c r="W407" i="3" a="1"/>
  <c r="W407" i="3" s="1"/>
  <c r="V407" i="3" a="1"/>
  <c r="V407" i="3" s="1"/>
  <c r="Y406" i="3" a="1"/>
  <c r="Y406" i="3" s="1"/>
  <c r="X406" i="3" a="1"/>
  <c r="X406" i="3" s="1"/>
  <c r="W406" i="3" a="1"/>
  <c r="W406" i="3" s="1"/>
  <c r="V406" i="3" a="1"/>
  <c r="V406" i="3" s="1"/>
  <c r="Y405" i="3" a="1"/>
  <c r="Y405" i="3" s="1"/>
  <c r="X405" i="3" a="1"/>
  <c r="X405" i="3" s="1"/>
  <c r="W405" i="3" a="1"/>
  <c r="W405" i="3" s="1"/>
  <c r="V405" i="3" a="1"/>
  <c r="V405" i="3" s="1"/>
  <c r="Y404" i="3" a="1"/>
  <c r="Y404" i="3" s="1"/>
  <c r="X404" i="3" a="1"/>
  <c r="X404" i="3" s="1"/>
  <c r="W404" i="3" a="1"/>
  <c r="W404" i="3" s="1"/>
  <c r="V404" i="3" a="1"/>
  <c r="V404" i="3" s="1"/>
  <c r="Y403" i="3" a="1"/>
  <c r="Y403" i="3" s="1"/>
  <c r="X403" i="3" a="1"/>
  <c r="X403" i="3" s="1"/>
  <c r="W403" i="3" a="1"/>
  <c r="W403" i="3" s="1"/>
  <c r="V403" i="3" a="1"/>
  <c r="V403" i="3" s="1"/>
  <c r="Y402" i="3" a="1"/>
  <c r="Y402" i="3" s="1"/>
  <c r="X402" i="3" a="1"/>
  <c r="X402" i="3" s="1"/>
  <c r="W402" i="3" a="1"/>
  <c r="W402" i="3" s="1"/>
  <c r="V402" i="3" a="1"/>
  <c r="V402" i="3" s="1"/>
  <c r="Y401" i="3" a="1"/>
  <c r="Y401" i="3" s="1"/>
  <c r="X401" i="3" a="1"/>
  <c r="X401" i="3" s="1"/>
  <c r="W401" i="3" a="1"/>
  <c r="W401" i="3" s="1"/>
  <c r="V401" i="3" a="1"/>
  <c r="V401" i="3" s="1"/>
  <c r="Y400" i="3" a="1"/>
  <c r="Y400" i="3" s="1"/>
  <c r="X400" i="3" a="1"/>
  <c r="X400" i="3" s="1"/>
  <c r="W400" i="3" a="1"/>
  <c r="W400" i="3" s="1"/>
  <c r="V400" i="3" a="1"/>
  <c r="V400" i="3" s="1"/>
  <c r="Y399" i="3" a="1"/>
  <c r="Y399" i="3" s="1"/>
  <c r="X399" i="3" a="1"/>
  <c r="X399" i="3" s="1"/>
  <c r="W399" i="3" a="1"/>
  <c r="W399" i="3" s="1"/>
  <c r="V399" i="3" a="1"/>
  <c r="V399" i="3" s="1"/>
  <c r="Y398" i="3" a="1"/>
  <c r="Y398" i="3" s="1"/>
  <c r="X398" i="3" a="1"/>
  <c r="X398" i="3" s="1"/>
  <c r="W398" i="3" a="1"/>
  <c r="W398" i="3" s="1"/>
  <c r="V398" i="3" a="1"/>
  <c r="V398" i="3" s="1"/>
  <c r="Y397" i="3" a="1"/>
  <c r="Y397" i="3" s="1"/>
  <c r="X397" i="3" a="1"/>
  <c r="X397" i="3" s="1"/>
  <c r="W397" i="3" a="1"/>
  <c r="W397" i="3" s="1"/>
  <c r="V397" i="3" a="1"/>
  <c r="V397" i="3" s="1"/>
  <c r="Y396" i="3" a="1"/>
  <c r="Y396" i="3" s="1"/>
  <c r="X396" i="3" a="1"/>
  <c r="X396" i="3" s="1"/>
  <c r="W396" i="3" a="1"/>
  <c r="W396" i="3" s="1"/>
  <c r="V396" i="3" a="1"/>
  <c r="V396" i="3" s="1"/>
  <c r="Y395" i="3" a="1"/>
  <c r="Y395" i="3" s="1"/>
  <c r="X395" i="3" a="1"/>
  <c r="X395" i="3" s="1"/>
  <c r="W395" i="3" a="1"/>
  <c r="W395" i="3" s="1"/>
  <c r="V395" i="3" a="1"/>
  <c r="V395" i="3" s="1"/>
  <c r="Y394" i="3" a="1"/>
  <c r="Y394" i="3" s="1"/>
  <c r="X394" i="3" a="1"/>
  <c r="X394" i="3" s="1"/>
  <c r="W394" i="3" a="1"/>
  <c r="W394" i="3" s="1"/>
  <c r="V394" i="3" a="1"/>
  <c r="V394" i="3" s="1"/>
  <c r="Y393" i="3" a="1"/>
  <c r="Y393" i="3" s="1"/>
  <c r="X393" i="3" a="1"/>
  <c r="X393" i="3" s="1"/>
  <c r="W393" i="3" a="1"/>
  <c r="W393" i="3" s="1"/>
  <c r="V393" i="3" a="1"/>
  <c r="V393" i="3" s="1"/>
  <c r="Y392" i="3" a="1"/>
  <c r="Y392" i="3" s="1"/>
  <c r="X392" i="3" a="1"/>
  <c r="X392" i="3" s="1"/>
  <c r="W392" i="3" a="1"/>
  <c r="W392" i="3" s="1"/>
  <c r="V392" i="3" a="1"/>
  <c r="V392" i="3" s="1"/>
  <c r="Y391" i="3" a="1"/>
  <c r="Y391" i="3" s="1"/>
  <c r="X391" i="3" a="1"/>
  <c r="X391" i="3" s="1"/>
  <c r="W391" i="3" a="1"/>
  <c r="W391" i="3" s="1"/>
  <c r="V391" i="3" a="1"/>
  <c r="V391" i="3" s="1"/>
  <c r="Y390" i="3" a="1"/>
  <c r="Y390" i="3" s="1"/>
  <c r="X390" i="3" a="1"/>
  <c r="X390" i="3" s="1"/>
  <c r="W390" i="3" a="1"/>
  <c r="W390" i="3" s="1"/>
  <c r="V390" i="3" a="1"/>
  <c r="V390" i="3" s="1"/>
  <c r="Y389" i="3" a="1"/>
  <c r="Y389" i="3" s="1"/>
  <c r="X389" i="3" a="1"/>
  <c r="X389" i="3" s="1"/>
  <c r="W389" i="3" a="1"/>
  <c r="W389" i="3" s="1"/>
  <c r="V389" i="3" a="1"/>
  <c r="V389" i="3" s="1"/>
  <c r="Y388" i="3" a="1"/>
  <c r="Y388" i="3" s="1"/>
  <c r="X388" i="3" a="1"/>
  <c r="X388" i="3" s="1"/>
  <c r="W388" i="3" a="1"/>
  <c r="W388" i="3" s="1"/>
  <c r="V388" i="3" a="1"/>
  <c r="V388" i="3" s="1"/>
  <c r="Y387" i="3" a="1"/>
  <c r="Y387" i="3" s="1"/>
  <c r="X387" i="3" a="1"/>
  <c r="X387" i="3" s="1"/>
  <c r="W387" i="3" a="1"/>
  <c r="W387" i="3" s="1"/>
  <c r="V387" i="3" a="1"/>
  <c r="V387" i="3" s="1"/>
  <c r="Y386" i="3" a="1"/>
  <c r="Y386" i="3" s="1"/>
  <c r="X386" i="3" a="1"/>
  <c r="X386" i="3" s="1"/>
  <c r="W386" i="3" a="1"/>
  <c r="W386" i="3" s="1"/>
  <c r="V386" i="3" a="1"/>
  <c r="V386" i="3" s="1"/>
  <c r="Y385" i="3" a="1"/>
  <c r="Y385" i="3" s="1"/>
  <c r="X385" i="3" a="1"/>
  <c r="X385" i="3" s="1"/>
  <c r="W385" i="3" a="1"/>
  <c r="W385" i="3" s="1"/>
  <c r="V385" i="3" a="1"/>
  <c r="V385" i="3" s="1"/>
  <c r="Y384" i="3" a="1"/>
  <c r="Y384" i="3" s="1"/>
  <c r="X384" i="3" a="1"/>
  <c r="X384" i="3" s="1"/>
  <c r="W384" i="3" a="1"/>
  <c r="W384" i="3" s="1"/>
  <c r="V384" i="3" a="1"/>
  <c r="V384" i="3" s="1"/>
  <c r="Y383" i="3" a="1"/>
  <c r="Y383" i="3" s="1"/>
  <c r="X383" i="3" a="1"/>
  <c r="X383" i="3" s="1"/>
  <c r="W383" i="3" a="1"/>
  <c r="W383" i="3" s="1"/>
  <c r="V383" i="3" a="1"/>
  <c r="V383" i="3" s="1"/>
  <c r="Y382" i="3" a="1"/>
  <c r="Y382" i="3" s="1"/>
  <c r="X382" i="3" a="1"/>
  <c r="X382" i="3" s="1"/>
  <c r="W382" i="3" a="1"/>
  <c r="W382" i="3" s="1"/>
  <c r="V382" i="3" a="1"/>
  <c r="V382" i="3" s="1"/>
  <c r="Y381" i="3" a="1"/>
  <c r="Y381" i="3" s="1"/>
  <c r="X381" i="3" a="1"/>
  <c r="X381" i="3" s="1"/>
  <c r="W381" i="3" a="1"/>
  <c r="W381" i="3" s="1"/>
  <c r="V381" i="3" a="1"/>
  <c r="V381" i="3" s="1"/>
  <c r="Y380" i="3" a="1"/>
  <c r="Y380" i="3" s="1"/>
  <c r="X380" i="3" a="1"/>
  <c r="X380" i="3" s="1"/>
  <c r="W380" i="3" a="1"/>
  <c r="W380" i="3" s="1"/>
  <c r="V380" i="3" a="1"/>
  <c r="V380" i="3" s="1"/>
  <c r="Y379" i="3" a="1"/>
  <c r="Y379" i="3" s="1"/>
  <c r="X379" i="3" a="1"/>
  <c r="X379" i="3" s="1"/>
  <c r="W379" i="3" a="1"/>
  <c r="W379" i="3" s="1"/>
  <c r="V379" i="3" a="1"/>
  <c r="V379" i="3" s="1"/>
  <c r="Y378" i="3" a="1"/>
  <c r="Y378" i="3" s="1"/>
  <c r="X378" i="3" a="1"/>
  <c r="X378" i="3" s="1"/>
  <c r="W378" i="3" a="1"/>
  <c r="W378" i="3" s="1"/>
  <c r="V378" i="3" a="1"/>
  <c r="V378" i="3" s="1"/>
  <c r="Y377" i="3" a="1"/>
  <c r="Y377" i="3" s="1"/>
  <c r="X377" i="3" a="1"/>
  <c r="X377" i="3" s="1"/>
  <c r="W377" i="3" a="1"/>
  <c r="W377" i="3" s="1"/>
  <c r="V377" i="3" a="1"/>
  <c r="V377" i="3" s="1"/>
  <c r="Y376" i="3" a="1"/>
  <c r="Y376" i="3" s="1"/>
  <c r="X376" i="3" a="1"/>
  <c r="X376" i="3" s="1"/>
  <c r="W376" i="3" a="1"/>
  <c r="W376" i="3" s="1"/>
  <c r="V376" i="3" a="1"/>
  <c r="V376" i="3" s="1"/>
  <c r="Y375" i="3" a="1"/>
  <c r="Y375" i="3" s="1"/>
  <c r="X375" i="3" a="1"/>
  <c r="X375" i="3" s="1"/>
  <c r="W375" i="3" a="1"/>
  <c r="W375" i="3" s="1"/>
  <c r="V375" i="3" a="1"/>
  <c r="V375" i="3" s="1"/>
  <c r="Y374" i="3" a="1"/>
  <c r="Y374" i="3" s="1"/>
  <c r="X374" i="3" a="1"/>
  <c r="X374" i="3" s="1"/>
  <c r="W374" i="3" a="1"/>
  <c r="W374" i="3" s="1"/>
  <c r="V374" i="3" a="1"/>
  <c r="V374" i="3" s="1"/>
  <c r="Y373" i="3" a="1"/>
  <c r="Y373" i="3" s="1"/>
  <c r="X373" i="3" a="1"/>
  <c r="X373" i="3" s="1"/>
  <c r="W373" i="3" a="1"/>
  <c r="W373" i="3" s="1"/>
  <c r="V373" i="3" a="1"/>
  <c r="V373" i="3" s="1"/>
  <c r="Y372" i="3" a="1"/>
  <c r="Y372" i="3" s="1"/>
  <c r="X372" i="3" a="1"/>
  <c r="X372" i="3" s="1"/>
  <c r="W372" i="3" a="1"/>
  <c r="W372" i="3" s="1"/>
  <c r="V372" i="3" a="1"/>
  <c r="V372" i="3" s="1"/>
  <c r="Y371" i="3" a="1"/>
  <c r="Y371" i="3" s="1"/>
  <c r="X371" i="3" a="1"/>
  <c r="X371" i="3" s="1"/>
  <c r="W371" i="3" a="1"/>
  <c r="W371" i="3" s="1"/>
  <c r="V371" i="3" a="1"/>
  <c r="V371" i="3" s="1"/>
  <c r="Y370" i="3" a="1"/>
  <c r="Y370" i="3" s="1"/>
  <c r="X370" i="3" a="1"/>
  <c r="X370" i="3" s="1"/>
  <c r="W370" i="3" a="1"/>
  <c r="W370" i="3" s="1"/>
  <c r="V370" i="3" a="1"/>
  <c r="V370" i="3" s="1"/>
  <c r="Y369" i="3" a="1"/>
  <c r="Y369" i="3" s="1"/>
  <c r="X369" i="3" a="1"/>
  <c r="X369" i="3" s="1"/>
  <c r="W369" i="3" a="1"/>
  <c r="W369" i="3" s="1"/>
  <c r="V369" i="3" a="1"/>
  <c r="V369" i="3" s="1"/>
  <c r="Y368" i="3" a="1"/>
  <c r="Y368" i="3" s="1"/>
  <c r="X368" i="3" a="1"/>
  <c r="X368" i="3" s="1"/>
  <c r="W368" i="3" a="1"/>
  <c r="W368" i="3" s="1"/>
  <c r="V368" i="3" a="1"/>
  <c r="V368" i="3" s="1"/>
  <c r="Y367" i="3" a="1"/>
  <c r="Y367" i="3" s="1"/>
  <c r="X367" i="3" a="1"/>
  <c r="X367" i="3" s="1"/>
  <c r="W367" i="3" a="1"/>
  <c r="W367" i="3" s="1"/>
  <c r="V367" i="3" a="1"/>
  <c r="V367" i="3" s="1"/>
  <c r="Y366" i="3" a="1"/>
  <c r="Y366" i="3" s="1"/>
  <c r="X366" i="3" a="1"/>
  <c r="X366" i="3" s="1"/>
  <c r="W366" i="3" a="1"/>
  <c r="W366" i="3" s="1"/>
  <c r="V366" i="3" a="1"/>
  <c r="V366" i="3" s="1"/>
  <c r="Y365" i="3" a="1"/>
  <c r="Y365" i="3" s="1"/>
  <c r="X365" i="3" a="1"/>
  <c r="X365" i="3" s="1"/>
  <c r="W365" i="3" a="1"/>
  <c r="W365" i="3" s="1"/>
  <c r="V365" i="3" a="1"/>
  <c r="V365" i="3" s="1"/>
  <c r="Y364" i="3" a="1"/>
  <c r="Y364" i="3" s="1"/>
  <c r="X364" i="3" a="1"/>
  <c r="X364" i="3" s="1"/>
  <c r="W364" i="3" a="1"/>
  <c r="W364" i="3" s="1"/>
  <c r="V364" i="3" a="1"/>
  <c r="V364" i="3" s="1"/>
  <c r="Y363" i="3" a="1"/>
  <c r="Y363" i="3" s="1"/>
  <c r="X363" i="3" a="1"/>
  <c r="X363" i="3" s="1"/>
  <c r="W363" i="3" a="1"/>
  <c r="W363" i="3" s="1"/>
  <c r="V363" i="3" a="1"/>
  <c r="V363" i="3" s="1"/>
  <c r="Y362" i="3" a="1"/>
  <c r="Y362" i="3" s="1"/>
  <c r="X362" i="3" a="1"/>
  <c r="X362" i="3" s="1"/>
  <c r="W362" i="3" a="1"/>
  <c r="W362" i="3" s="1"/>
  <c r="V362" i="3" a="1"/>
  <c r="V362" i="3" s="1"/>
  <c r="Y361" i="3" a="1"/>
  <c r="Y361" i="3" s="1"/>
  <c r="X361" i="3" a="1"/>
  <c r="X361" i="3" s="1"/>
  <c r="W361" i="3" a="1"/>
  <c r="W361" i="3" s="1"/>
  <c r="V361" i="3" a="1"/>
  <c r="V361" i="3" s="1"/>
  <c r="Y360" i="3" a="1"/>
  <c r="Y360" i="3" s="1"/>
  <c r="X360" i="3" a="1"/>
  <c r="X360" i="3" s="1"/>
  <c r="W360" i="3" a="1"/>
  <c r="W360" i="3" s="1"/>
  <c r="V360" i="3" a="1"/>
  <c r="V360" i="3" s="1"/>
  <c r="Y359" i="3" a="1"/>
  <c r="Y359" i="3" s="1"/>
  <c r="X359" i="3" a="1"/>
  <c r="X359" i="3" s="1"/>
  <c r="W359" i="3" a="1"/>
  <c r="W359" i="3" s="1"/>
  <c r="V359" i="3" a="1"/>
  <c r="V359" i="3" s="1"/>
  <c r="Y358" i="3" a="1"/>
  <c r="Y358" i="3" s="1"/>
  <c r="X358" i="3" a="1"/>
  <c r="X358" i="3" s="1"/>
  <c r="W358" i="3" a="1"/>
  <c r="W358" i="3" s="1"/>
  <c r="V358" i="3" a="1"/>
  <c r="V358" i="3" s="1"/>
  <c r="Y357" i="3" a="1"/>
  <c r="Y357" i="3" s="1"/>
  <c r="X357" i="3" a="1"/>
  <c r="X357" i="3" s="1"/>
  <c r="W357" i="3" a="1"/>
  <c r="W357" i="3" s="1"/>
  <c r="V357" i="3" a="1"/>
  <c r="V357" i="3" s="1"/>
  <c r="Y356" i="3" a="1"/>
  <c r="Y356" i="3" s="1"/>
  <c r="X356" i="3" a="1"/>
  <c r="X356" i="3" s="1"/>
  <c r="W356" i="3" a="1"/>
  <c r="W356" i="3" s="1"/>
  <c r="V356" i="3" a="1"/>
  <c r="V356" i="3" s="1"/>
  <c r="Y355" i="3" a="1"/>
  <c r="Y355" i="3" s="1"/>
  <c r="X355" i="3" a="1"/>
  <c r="X355" i="3" s="1"/>
  <c r="W355" i="3" a="1"/>
  <c r="W355" i="3" s="1"/>
  <c r="V355" i="3" a="1"/>
  <c r="V355" i="3" s="1"/>
  <c r="Y354" i="3" a="1"/>
  <c r="Y354" i="3" s="1"/>
  <c r="X354" i="3" a="1"/>
  <c r="X354" i="3" s="1"/>
  <c r="W354" i="3" a="1"/>
  <c r="W354" i="3" s="1"/>
  <c r="V354" i="3" a="1"/>
  <c r="V354" i="3" s="1"/>
  <c r="Y353" i="3" a="1"/>
  <c r="Y353" i="3" s="1"/>
  <c r="X353" i="3" a="1"/>
  <c r="X353" i="3" s="1"/>
  <c r="W353" i="3" a="1"/>
  <c r="W353" i="3" s="1"/>
  <c r="V353" i="3" a="1"/>
  <c r="V353" i="3" s="1"/>
  <c r="Y352" i="3" a="1"/>
  <c r="Y352" i="3" s="1"/>
  <c r="X352" i="3" a="1"/>
  <c r="X352" i="3" s="1"/>
  <c r="W352" i="3" a="1"/>
  <c r="W352" i="3" s="1"/>
  <c r="V352" i="3" a="1"/>
  <c r="V352" i="3" s="1"/>
  <c r="Y351" i="3" a="1"/>
  <c r="Y351" i="3" s="1"/>
  <c r="X351" i="3" a="1"/>
  <c r="X351" i="3" s="1"/>
  <c r="W351" i="3" a="1"/>
  <c r="W351" i="3" s="1"/>
  <c r="V351" i="3" a="1"/>
  <c r="V351" i="3" s="1"/>
  <c r="Y350" i="3" a="1"/>
  <c r="Y350" i="3" s="1"/>
  <c r="X350" i="3" a="1"/>
  <c r="X350" i="3" s="1"/>
  <c r="W350" i="3" a="1"/>
  <c r="W350" i="3" s="1"/>
  <c r="V350" i="3" a="1"/>
  <c r="V350" i="3" s="1"/>
  <c r="Y349" i="3" a="1"/>
  <c r="Y349" i="3" s="1"/>
  <c r="X349" i="3" a="1"/>
  <c r="X349" i="3" s="1"/>
  <c r="W349" i="3" a="1"/>
  <c r="W349" i="3" s="1"/>
  <c r="V349" i="3" a="1"/>
  <c r="V349" i="3" s="1"/>
  <c r="Y348" i="3" a="1"/>
  <c r="Y348" i="3" s="1"/>
  <c r="X348" i="3" a="1"/>
  <c r="X348" i="3" s="1"/>
  <c r="W348" i="3" a="1"/>
  <c r="W348" i="3" s="1"/>
  <c r="V348" i="3" a="1"/>
  <c r="V348" i="3" s="1"/>
  <c r="Y347" i="3" a="1"/>
  <c r="Y347" i="3" s="1"/>
  <c r="X347" i="3" a="1"/>
  <c r="X347" i="3" s="1"/>
  <c r="W347" i="3" a="1"/>
  <c r="W347" i="3" s="1"/>
  <c r="V347" i="3" a="1"/>
  <c r="V347" i="3" s="1"/>
  <c r="Y346" i="3" a="1"/>
  <c r="Y346" i="3" s="1"/>
  <c r="X346" i="3" a="1"/>
  <c r="X346" i="3" s="1"/>
  <c r="W346" i="3" a="1"/>
  <c r="W346" i="3" s="1"/>
  <c r="V346" i="3" a="1"/>
  <c r="V346" i="3" s="1"/>
  <c r="Y345" i="3" a="1"/>
  <c r="Y345" i="3" s="1"/>
  <c r="X345" i="3" a="1"/>
  <c r="X345" i="3" s="1"/>
  <c r="W345" i="3" a="1"/>
  <c r="W345" i="3" s="1"/>
  <c r="V345" i="3" a="1"/>
  <c r="V345" i="3" s="1"/>
  <c r="Y344" i="3" a="1"/>
  <c r="Y344" i="3" s="1"/>
  <c r="X344" i="3" a="1"/>
  <c r="X344" i="3" s="1"/>
  <c r="W344" i="3" a="1"/>
  <c r="W344" i="3" s="1"/>
  <c r="V344" i="3" a="1"/>
  <c r="V344" i="3" s="1"/>
  <c r="Y343" i="3" a="1"/>
  <c r="Y343" i="3" s="1"/>
  <c r="X343" i="3" a="1"/>
  <c r="X343" i="3" s="1"/>
  <c r="W343" i="3" a="1"/>
  <c r="W343" i="3" s="1"/>
  <c r="V343" i="3" a="1"/>
  <c r="V343" i="3" s="1"/>
  <c r="Y342" i="3" a="1"/>
  <c r="Y342" i="3" s="1"/>
  <c r="X342" i="3" a="1"/>
  <c r="X342" i="3" s="1"/>
  <c r="W342" i="3" a="1"/>
  <c r="W342" i="3" s="1"/>
  <c r="V342" i="3" a="1"/>
  <c r="V342" i="3" s="1"/>
  <c r="Y341" i="3" a="1"/>
  <c r="Y341" i="3" s="1"/>
  <c r="X341" i="3" a="1"/>
  <c r="X341" i="3" s="1"/>
  <c r="W341" i="3" a="1"/>
  <c r="W341" i="3" s="1"/>
  <c r="V341" i="3" a="1"/>
  <c r="V341" i="3" s="1"/>
  <c r="Y340" i="3" a="1"/>
  <c r="Y340" i="3" s="1"/>
  <c r="X340" i="3" a="1"/>
  <c r="X340" i="3" s="1"/>
  <c r="W340" i="3" a="1"/>
  <c r="W340" i="3" s="1"/>
  <c r="V340" i="3" a="1"/>
  <c r="V340" i="3" s="1"/>
  <c r="Y339" i="3" a="1"/>
  <c r="Y339" i="3" s="1"/>
  <c r="X339" i="3" a="1"/>
  <c r="X339" i="3" s="1"/>
  <c r="W339" i="3" a="1"/>
  <c r="W339" i="3" s="1"/>
  <c r="V339" i="3" a="1"/>
  <c r="V339" i="3" s="1"/>
  <c r="Y338" i="3" a="1"/>
  <c r="Y338" i="3" s="1"/>
  <c r="X338" i="3" a="1"/>
  <c r="X338" i="3" s="1"/>
  <c r="W338" i="3" a="1"/>
  <c r="W338" i="3" s="1"/>
  <c r="V338" i="3" a="1"/>
  <c r="V338" i="3" s="1"/>
  <c r="Y337" i="3" a="1"/>
  <c r="Y337" i="3" s="1"/>
  <c r="X337" i="3" a="1"/>
  <c r="X337" i="3" s="1"/>
  <c r="W337" i="3" a="1"/>
  <c r="W337" i="3" s="1"/>
  <c r="V337" i="3" a="1"/>
  <c r="V337" i="3" s="1"/>
  <c r="Y336" i="3" a="1"/>
  <c r="Y336" i="3" s="1"/>
  <c r="X336" i="3" a="1"/>
  <c r="X336" i="3" s="1"/>
  <c r="W336" i="3" a="1"/>
  <c r="W336" i="3" s="1"/>
  <c r="V336" i="3" a="1"/>
  <c r="V336" i="3" s="1"/>
  <c r="Y335" i="3" a="1"/>
  <c r="Y335" i="3" s="1"/>
  <c r="X335" i="3" a="1"/>
  <c r="X335" i="3" s="1"/>
  <c r="W335" i="3" a="1"/>
  <c r="W335" i="3" s="1"/>
  <c r="V335" i="3" a="1"/>
  <c r="V335" i="3" s="1"/>
  <c r="Y334" i="3" a="1"/>
  <c r="Y334" i="3" s="1"/>
  <c r="X334" i="3" a="1"/>
  <c r="X334" i="3" s="1"/>
  <c r="W334" i="3" a="1"/>
  <c r="W334" i="3" s="1"/>
  <c r="V334" i="3" a="1"/>
  <c r="V334" i="3" s="1"/>
  <c r="Y333" i="3" a="1"/>
  <c r="Y333" i="3" s="1"/>
  <c r="X333" i="3" a="1"/>
  <c r="X333" i="3" s="1"/>
  <c r="W333" i="3" a="1"/>
  <c r="W333" i="3" s="1"/>
  <c r="V333" i="3" a="1"/>
  <c r="V333" i="3" s="1"/>
  <c r="Y332" i="3" a="1"/>
  <c r="Y332" i="3" s="1"/>
  <c r="X332" i="3" a="1"/>
  <c r="X332" i="3" s="1"/>
  <c r="W332" i="3" a="1"/>
  <c r="W332" i="3" s="1"/>
  <c r="V332" i="3" a="1"/>
  <c r="V332" i="3" s="1"/>
  <c r="Y331" i="3" a="1"/>
  <c r="Y331" i="3" s="1"/>
  <c r="X331" i="3" a="1"/>
  <c r="X331" i="3" s="1"/>
  <c r="W331" i="3" a="1"/>
  <c r="W331" i="3" s="1"/>
  <c r="V331" i="3" a="1"/>
  <c r="V331" i="3" s="1"/>
  <c r="Y330" i="3" a="1"/>
  <c r="Y330" i="3" s="1"/>
  <c r="X330" i="3" a="1"/>
  <c r="X330" i="3" s="1"/>
  <c r="W330" i="3" a="1"/>
  <c r="W330" i="3" s="1"/>
  <c r="V330" i="3" a="1"/>
  <c r="V330" i="3" s="1"/>
  <c r="Y329" i="3" a="1"/>
  <c r="Y329" i="3" s="1"/>
  <c r="X329" i="3" a="1"/>
  <c r="X329" i="3" s="1"/>
  <c r="W329" i="3" a="1"/>
  <c r="W329" i="3" s="1"/>
  <c r="V329" i="3" a="1"/>
  <c r="V329" i="3" s="1"/>
  <c r="Y328" i="3" a="1"/>
  <c r="Y328" i="3" s="1"/>
  <c r="X328" i="3" a="1"/>
  <c r="X328" i="3" s="1"/>
  <c r="W328" i="3" a="1"/>
  <c r="W328" i="3" s="1"/>
  <c r="V328" i="3" a="1"/>
  <c r="V328" i="3" s="1"/>
  <c r="Y327" i="3" a="1"/>
  <c r="Y327" i="3" s="1"/>
  <c r="X327" i="3" a="1"/>
  <c r="X327" i="3" s="1"/>
  <c r="W327" i="3" a="1"/>
  <c r="W327" i="3" s="1"/>
  <c r="V327" i="3" a="1"/>
  <c r="V327" i="3" s="1"/>
  <c r="Y326" i="3" a="1"/>
  <c r="Y326" i="3" s="1"/>
  <c r="X326" i="3" a="1"/>
  <c r="X326" i="3" s="1"/>
  <c r="W326" i="3" a="1"/>
  <c r="W326" i="3" s="1"/>
  <c r="V326" i="3" a="1"/>
  <c r="V326" i="3" s="1"/>
  <c r="Y325" i="3" a="1"/>
  <c r="Y325" i="3" s="1"/>
  <c r="X325" i="3" a="1"/>
  <c r="X325" i="3" s="1"/>
  <c r="W325" i="3" a="1"/>
  <c r="W325" i="3" s="1"/>
  <c r="V325" i="3" a="1"/>
  <c r="V325" i="3" s="1"/>
  <c r="Y324" i="3" a="1"/>
  <c r="Y324" i="3" s="1"/>
  <c r="X324" i="3" a="1"/>
  <c r="X324" i="3" s="1"/>
  <c r="W324" i="3" a="1"/>
  <c r="W324" i="3" s="1"/>
  <c r="V324" i="3" a="1"/>
  <c r="V324" i="3" s="1"/>
  <c r="Y323" i="3" a="1"/>
  <c r="Y323" i="3" s="1"/>
  <c r="X323" i="3" a="1"/>
  <c r="X323" i="3" s="1"/>
  <c r="W323" i="3" a="1"/>
  <c r="W323" i="3" s="1"/>
  <c r="V323" i="3" a="1"/>
  <c r="V323" i="3" s="1"/>
  <c r="Y322" i="3" a="1"/>
  <c r="Y322" i="3" s="1"/>
  <c r="X322" i="3" a="1"/>
  <c r="X322" i="3" s="1"/>
  <c r="W322" i="3" a="1"/>
  <c r="W322" i="3" s="1"/>
  <c r="V322" i="3" a="1"/>
  <c r="V322" i="3" s="1"/>
  <c r="Y321" i="3" a="1"/>
  <c r="Y321" i="3" s="1"/>
  <c r="X321" i="3" a="1"/>
  <c r="X321" i="3" s="1"/>
  <c r="W321" i="3" a="1"/>
  <c r="W321" i="3" s="1"/>
  <c r="V321" i="3" a="1"/>
  <c r="V321" i="3" s="1"/>
  <c r="Y320" i="3" a="1"/>
  <c r="Y320" i="3" s="1"/>
  <c r="X320" i="3" a="1"/>
  <c r="X320" i="3" s="1"/>
  <c r="W320" i="3" a="1"/>
  <c r="W320" i="3" s="1"/>
  <c r="V320" i="3" a="1"/>
  <c r="V320" i="3" s="1"/>
  <c r="Y319" i="3" a="1"/>
  <c r="Y319" i="3" s="1"/>
  <c r="X319" i="3" a="1"/>
  <c r="X319" i="3" s="1"/>
  <c r="W319" i="3" a="1"/>
  <c r="W319" i="3" s="1"/>
  <c r="V319" i="3" a="1"/>
  <c r="V319" i="3" s="1"/>
  <c r="Y318" i="3" a="1"/>
  <c r="Y318" i="3" s="1"/>
  <c r="X318" i="3" a="1"/>
  <c r="X318" i="3" s="1"/>
  <c r="W318" i="3" a="1"/>
  <c r="W318" i="3" s="1"/>
  <c r="V318" i="3" a="1"/>
  <c r="V318" i="3" s="1"/>
  <c r="Y317" i="3" a="1"/>
  <c r="Y317" i="3" s="1"/>
  <c r="X317" i="3" a="1"/>
  <c r="X317" i="3" s="1"/>
  <c r="W317" i="3" a="1"/>
  <c r="W317" i="3" s="1"/>
  <c r="V317" i="3" a="1"/>
  <c r="V317" i="3" s="1"/>
  <c r="Y316" i="3" a="1"/>
  <c r="Y316" i="3" s="1"/>
  <c r="X316" i="3" a="1"/>
  <c r="X316" i="3" s="1"/>
  <c r="W316" i="3" a="1"/>
  <c r="W316" i="3" s="1"/>
  <c r="V316" i="3" a="1"/>
  <c r="V316" i="3" s="1"/>
  <c r="Y315" i="3" a="1"/>
  <c r="Y315" i="3" s="1"/>
  <c r="X315" i="3" a="1"/>
  <c r="X315" i="3" s="1"/>
  <c r="W315" i="3" a="1"/>
  <c r="W315" i="3" s="1"/>
  <c r="V315" i="3" a="1"/>
  <c r="V315" i="3" s="1"/>
  <c r="Y314" i="3" a="1"/>
  <c r="Y314" i="3" s="1"/>
  <c r="X314" i="3" a="1"/>
  <c r="X314" i="3" s="1"/>
  <c r="W314" i="3" a="1"/>
  <c r="W314" i="3" s="1"/>
  <c r="V314" i="3" a="1"/>
  <c r="V314" i="3" s="1"/>
  <c r="Y313" i="3" a="1"/>
  <c r="Y313" i="3" s="1"/>
  <c r="X313" i="3" a="1"/>
  <c r="X313" i="3" s="1"/>
  <c r="W313" i="3" a="1"/>
  <c r="W313" i="3" s="1"/>
  <c r="V313" i="3" a="1"/>
  <c r="V313" i="3" s="1"/>
  <c r="Y312" i="3" a="1"/>
  <c r="Y312" i="3" s="1"/>
  <c r="X312" i="3" a="1"/>
  <c r="X312" i="3" s="1"/>
  <c r="W312" i="3" a="1"/>
  <c r="W312" i="3" s="1"/>
  <c r="V312" i="3" a="1"/>
  <c r="V312" i="3" s="1"/>
  <c r="Y311" i="3" a="1"/>
  <c r="Y311" i="3" s="1"/>
  <c r="X311" i="3" a="1"/>
  <c r="X311" i="3" s="1"/>
  <c r="W311" i="3" a="1"/>
  <c r="W311" i="3" s="1"/>
  <c r="V311" i="3" a="1"/>
  <c r="V311" i="3" s="1"/>
  <c r="Y310" i="3" a="1"/>
  <c r="Y310" i="3" s="1"/>
  <c r="X310" i="3" a="1"/>
  <c r="X310" i="3" s="1"/>
  <c r="W310" i="3" a="1"/>
  <c r="W310" i="3" s="1"/>
  <c r="V310" i="3" a="1"/>
  <c r="V310" i="3" s="1"/>
  <c r="Y309" i="3" a="1"/>
  <c r="Y309" i="3" s="1"/>
  <c r="X309" i="3" a="1"/>
  <c r="X309" i="3" s="1"/>
  <c r="W309" i="3" a="1"/>
  <c r="W309" i="3" s="1"/>
  <c r="V309" i="3" a="1"/>
  <c r="V309" i="3" s="1"/>
  <c r="Y308" i="3" a="1"/>
  <c r="Y308" i="3" s="1"/>
  <c r="X308" i="3" a="1"/>
  <c r="X308" i="3" s="1"/>
  <c r="W308" i="3" a="1"/>
  <c r="W308" i="3" s="1"/>
  <c r="V308" i="3" a="1"/>
  <c r="V308" i="3" s="1"/>
  <c r="Y307" i="3" a="1"/>
  <c r="Y307" i="3" s="1"/>
  <c r="X307" i="3" a="1"/>
  <c r="X307" i="3" s="1"/>
  <c r="W307" i="3" a="1"/>
  <c r="W307" i="3" s="1"/>
  <c r="V307" i="3" a="1"/>
  <c r="V307" i="3" s="1"/>
  <c r="Y306" i="3" a="1"/>
  <c r="Y306" i="3" s="1"/>
  <c r="X306" i="3" a="1"/>
  <c r="X306" i="3" s="1"/>
  <c r="W306" i="3" a="1"/>
  <c r="W306" i="3" s="1"/>
  <c r="V306" i="3" a="1"/>
  <c r="V306" i="3" s="1"/>
  <c r="Y305" i="3" a="1"/>
  <c r="Y305" i="3" s="1"/>
  <c r="X305" i="3" a="1"/>
  <c r="X305" i="3" s="1"/>
  <c r="W305" i="3" a="1"/>
  <c r="W305" i="3" s="1"/>
  <c r="V305" i="3" a="1"/>
  <c r="V305" i="3" s="1"/>
  <c r="Y304" i="3" a="1"/>
  <c r="Y304" i="3" s="1"/>
  <c r="X304" i="3" a="1"/>
  <c r="X304" i="3" s="1"/>
  <c r="W304" i="3" a="1"/>
  <c r="W304" i="3" s="1"/>
  <c r="V304" i="3" a="1"/>
  <c r="V304" i="3" s="1"/>
  <c r="Y303" i="3" a="1"/>
  <c r="Y303" i="3" s="1"/>
  <c r="X303" i="3" a="1"/>
  <c r="X303" i="3" s="1"/>
  <c r="W303" i="3" a="1"/>
  <c r="W303" i="3" s="1"/>
  <c r="V303" i="3" a="1"/>
  <c r="V303" i="3" s="1"/>
  <c r="Y302" i="3" a="1"/>
  <c r="Y302" i="3" s="1"/>
  <c r="X302" i="3" a="1"/>
  <c r="X302" i="3" s="1"/>
  <c r="W302" i="3" a="1"/>
  <c r="W302" i="3" s="1"/>
  <c r="V302" i="3" a="1"/>
  <c r="V302" i="3" s="1"/>
  <c r="Y301" i="3" a="1"/>
  <c r="Y301" i="3" s="1"/>
  <c r="X301" i="3" a="1"/>
  <c r="X301" i="3" s="1"/>
  <c r="W301" i="3" a="1"/>
  <c r="W301" i="3" s="1"/>
  <c r="V301" i="3" a="1"/>
  <c r="V301" i="3" s="1"/>
  <c r="Y300" i="3" a="1"/>
  <c r="Y300" i="3" s="1"/>
  <c r="X300" i="3" a="1"/>
  <c r="X300" i="3" s="1"/>
  <c r="W300" i="3" a="1"/>
  <c r="W300" i="3" s="1"/>
  <c r="V300" i="3" a="1"/>
  <c r="V300" i="3" s="1"/>
  <c r="Y299" i="3" a="1"/>
  <c r="Y299" i="3" s="1"/>
  <c r="X299" i="3" a="1"/>
  <c r="X299" i="3" s="1"/>
  <c r="W299" i="3" a="1"/>
  <c r="W299" i="3" s="1"/>
  <c r="V299" i="3" a="1"/>
  <c r="V299" i="3" s="1"/>
  <c r="Y298" i="3" a="1"/>
  <c r="Y298" i="3" s="1"/>
  <c r="X298" i="3" a="1"/>
  <c r="X298" i="3" s="1"/>
  <c r="W298" i="3" a="1"/>
  <c r="W298" i="3" s="1"/>
  <c r="V298" i="3" a="1"/>
  <c r="V298" i="3" s="1"/>
  <c r="Y297" i="3" a="1"/>
  <c r="Y297" i="3" s="1"/>
  <c r="X297" i="3" a="1"/>
  <c r="X297" i="3" s="1"/>
  <c r="W297" i="3" a="1"/>
  <c r="W297" i="3" s="1"/>
  <c r="V297" i="3" a="1"/>
  <c r="V297" i="3" s="1"/>
  <c r="Y296" i="3" a="1"/>
  <c r="Y296" i="3" s="1"/>
  <c r="X296" i="3" a="1"/>
  <c r="X296" i="3" s="1"/>
  <c r="W296" i="3" a="1"/>
  <c r="W296" i="3" s="1"/>
  <c r="V296" i="3" a="1"/>
  <c r="V296" i="3" s="1"/>
  <c r="Y295" i="3" a="1"/>
  <c r="Y295" i="3" s="1"/>
  <c r="X295" i="3" a="1"/>
  <c r="X295" i="3" s="1"/>
  <c r="W295" i="3" a="1"/>
  <c r="W295" i="3" s="1"/>
  <c r="V295" i="3" a="1"/>
  <c r="V295" i="3" s="1"/>
  <c r="Y294" i="3" a="1"/>
  <c r="Y294" i="3" s="1"/>
  <c r="X294" i="3" a="1"/>
  <c r="X294" i="3" s="1"/>
  <c r="W294" i="3" a="1"/>
  <c r="W294" i="3" s="1"/>
  <c r="V294" i="3" a="1"/>
  <c r="V294" i="3" s="1"/>
  <c r="Y293" i="3" a="1"/>
  <c r="Y293" i="3" s="1"/>
  <c r="X293" i="3" a="1"/>
  <c r="X293" i="3" s="1"/>
  <c r="W293" i="3" a="1"/>
  <c r="W293" i="3" s="1"/>
  <c r="V293" i="3" a="1"/>
  <c r="V293" i="3" s="1"/>
  <c r="Y292" i="3" a="1"/>
  <c r="Y292" i="3" s="1"/>
  <c r="X292" i="3" a="1"/>
  <c r="X292" i="3" s="1"/>
  <c r="W292" i="3" a="1"/>
  <c r="W292" i="3" s="1"/>
  <c r="V292" i="3" a="1"/>
  <c r="V292" i="3" s="1"/>
  <c r="Y291" i="3" a="1"/>
  <c r="Y291" i="3" s="1"/>
  <c r="X291" i="3" a="1"/>
  <c r="X291" i="3" s="1"/>
  <c r="W291" i="3" a="1"/>
  <c r="W291" i="3" s="1"/>
  <c r="V291" i="3" a="1"/>
  <c r="V291" i="3" s="1"/>
  <c r="Y290" i="3" a="1"/>
  <c r="Y290" i="3" s="1"/>
  <c r="X290" i="3" a="1"/>
  <c r="X290" i="3" s="1"/>
  <c r="W290" i="3" a="1"/>
  <c r="W290" i="3" s="1"/>
  <c r="V290" i="3" a="1"/>
  <c r="V290" i="3" s="1"/>
  <c r="Y289" i="3" a="1"/>
  <c r="Y289" i="3" s="1"/>
  <c r="X289" i="3" a="1"/>
  <c r="X289" i="3" s="1"/>
  <c r="W289" i="3" a="1"/>
  <c r="W289" i="3" s="1"/>
  <c r="V289" i="3" a="1"/>
  <c r="V289" i="3" s="1"/>
  <c r="Y288" i="3" a="1"/>
  <c r="Y288" i="3" s="1"/>
  <c r="X288" i="3" a="1"/>
  <c r="X288" i="3" s="1"/>
  <c r="W288" i="3" a="1"/>
  <c r="W288" i="3" s="1"/>
  <c r="V288" i="3" a="1"/>
  <c r="V288" i="3" s="1"/>
  <c r="Y287" i="3" a="1"/>
  <c r="Y287" i="3" s="1"/>
  <c r="X287" i="3" a="1"/>
  <c r="X287" i="3" s="1"/>
  <c r="W287" i="3" a="1"/>
  <c r="W287" i="3" s="1"/>
  <c r="V287" i="3" a="1"/>
  <c r="V287" i="3" s="1"/>
  <c r="Y286" i="3" a="1"/>
  <c r="Y286" i="3" s="1"/>
  <c r="X286" i="3" a="1"/>
  <c r="X286" i="3" s="1"/>
  <c r="W286" i="3" a="1"/>
  <c r="W286" i="3" s="1"/>
  <c r="V286" i="3" a="1"/>
  <c r="V286" i="3" s="1"/>
  <c r="Y285" i="3" a="1"/>
  <c r="Y285" i="3" s="1"/>
  <c r="X285" i="3" a="1"/>
  <c r="X285" i="3" s="1"/>
  <c r="W285" i="3" a="1"/>
  <c r="W285" i="3" s="1"/>
  <c r="V285" i="3" a="1"/>
  <c r="V285" i="3" s="1"/>
  <c r="Y284" i="3" a="1"/>
  <c r="Y284" i="3" s="1"/>
  <c r="X284" i="3" a="1"/>
  <c r="X284" i="3" s="1"/>
  <c r="W284" i="3" a="1"/>
  <c r="W284" i="3" s="1"/>
  <c r="V284" i="3" a="1"/>
  <c r="V284" i="3" s="1"/>
  <c r="Y283" i="3" a="1"/>
  <c r="Y283" i="3" s="1"/>
  <c r="X283" i="3" a="1"/>
  <c r="X283" i="3" s="1"/>
  <c r="W283" i="3" a="1"/>
  <c r="W283" i="3" s="1"/>
  <c r="V283" i="3" a="1"/>
  <c r="V283" i="3" s="1"/>
  <c r="Y282" i="3" a="1"/>
  <c r="Y282" i="3" s="1"/>
  <c r="X282" i="3" a="1"/>
  <c r="X282" i="3" s="1"/>
  <c r="W282" i="3" a="1"/>
  <c r="W282" i="3" s="1"/>
  <c r="V282" i="3" a="1"/>
  <c r="V282" i="3" s="1"/>
  <c r="Y281" i="3" a="1"/>
  <c r="Y281" i="3" s="1"/>
  <c r="X281" i="3" a="1"/>
  <c r="X281" i="3" s="1"/>
  <c r="W281" i="3" a="1"/>
  <c r="W281" i="3" s="1"/>
  <c r="V281" i="3" a="1"/>
  <c r="V281" i="3" s="1"/>
  <c r="Y280" i="3" a="1"/>
  <c r="Y280" i="3" s="1"/>
  <c r="X280" i="3" a="1"/>
  <c r="X280" i="3" s="1"/>
  <c r="W280" i="3" a="1"/>
  <c r="W280" i="3" s="1"/>
  <c r="V280" i="3" a="1"/>
  <c r="V280" i="3" s="1"/>
  <c r="Y279" i="3" a="1"/>
  <c r="Y279" i="3" s="1"/>
  <c r="X279" i="3" a="1"/>
  <c r="X279" i="3" s="1"/>
  <c r="W279" i="3" a="1"/>
  <c r="W279" i="3" s="1"/>
  <c r="V279" i="3" a="1"/>
  <c r="V279" i="3" s="1"/>
  <c r="Y278" i="3" a="1"/>
  <c r="Y278" i="3" s="1"/>
  <c r="X278" i="3" a="1"/>
  <c r="X278" i="3" s="1"/>
  <c r="W278" i="3" a="1"/>
  <c r="W278" i="3" s="1"/>
  <c r="V278" i="3" a="1"/>
  <c r="V278" i="3" s="1"/>
  <c r="Y277" i="3" a="1"/>
  <c r="Y277" i="3" s="1"/>
  <c r="X277" i="3" a="1"/>
  <c r="X277" i="3" s="1"/>
  <c r="W277" i="3" a="1"/>
  <c r="W277" i="3" s="1"/>
  <c r="V277" i="3" a="1"/>
  <c r="V277" i="3" s="1"/>
  <c r="Y276" i="3" a="1"/>
  <c r="Y276" i="3" s="1"/>
  <c r="X276" i="3" a="1"/>
  <c r="X276" i="3" s="1"/>
  <c r="W276" i="3" a="1"/>
  <c r="W276" i="3" s="1"/>
  <c r="V276" i="3" a="1"/>
  <c r="V276" i="3" s="1"/>
  <c r="Y275" i="3" a="1"/>
  <c r="Y275" i="3" s="1"/>
  <c r="X275" i="3" a="1"/>
  <c r="X275" i="3" s="1"/>
  <c r="W275" i="3" a="1"/>
  <c r="W275" i="3" s="1"/>
  <c r="V275" i="3" a="1"/>
  <c r="V275" i="3" s="1"/>
  <c r="Y274" i="3" a="1"/>
  <c r="Y274" i="3" s="1"/>
  <c r="X274" i="3" a="1"/>
  <c r="X274" i="3" s="1"/>
  <c r="W274" i="3" a="1"/>
  <c r="W274" i="3" s="1"/>
  <c r="V274" i="3" a="1"/>
  <c r="V274" i="3" s="1"/>
  <c r="Y273" i="3" a="1"/>
  <c r="Y273" i="3" s="1"/>
  <c r="X273" i="3" a="1"/>
  <c r="X273" i="3" s="1"/>
  <c r="W273" i="3" a="1"/>
  <c r="W273" i="3" s="1"/>
  <c r="V273" i="3" a="1"/>
  <c r="V273" i="3" s="1"/>
  <c r="Y272" i="3" a="1"/>
  <c r="Y272" i="3" s="1"/>
  <c r="X272" i="3" a="1"/>
  <c r="X272" i="3" s="1"/>
  <c r="W272" i="3" a="1"/>
  <c r="W272" i="3" s="1"/>
  <c r="V272" i="3" a="1"/>
  <c r="V272" i="3" s="1"/>
  <c r="Y271" i="3" a="1"/>
  <c r="Y271" i="3" s="1"/>
  <c r="X271" i="3" a="1"/>
  <c r="X271" i="3" s="1"/>
  <c r="W271" i="3" a="1"/>
  <c r="W271" i="3" s="1"/>
  <c r="V271" i="3" a="1"/>
  <c r="V271" i="3" s="1"/>
  <c r="Y270" i="3" a="1"/>
  <c r="Y270" i="3" s="1"/>
  <c r="X270" i="3" a="1"/>
  <c r="X270" i="3" s="1"/>
  <c r="W270" i="3" a="1"/>
  <c r="W270" i="3" s="1"/>
  <c r="V270" i="3" a="1"/>
  <c r="V270" i="3" s="1"/>
  <c r="Y269" i="3" a="1"/>
  <c r="Y269" i="3" s="1"/>
  <c r="X269" i="3" a="1"/>
  <c r="X269" i="3" s="1"/>
  <c r="W269" i="3" a="1"/>
  <c r="W269" i="3" s="1"/>
  <c r="V269" i="3" a="1"/>
  <c r="V269" i="3" s="1"/>
  <c r="Y268" i="3" a="1"/>
  <c r="Y268" i="3" s="1"/>
  <c r="X268" i="3" a="1"/>
  <c r="X268" i="3" s="1"/>
  <c r="W268" i="3" a="1"/>
  <c r="W268" i="3" s="1"/>
  <c r="V268" i="3" a="1"/>
  <c r="V268" i="3" s="1"/>
  <c r="Y267" i="3" a="1"/>
  <c r="Y267" i="3" s="1"/>
  <c r="X267" i="3" a="1"/>
  <c r="X267" i="3" s="1"/>
  <c r="W267" i="3" a="1"/>
  <c r="W267" i="3" s="1"/>
  <c r="V267" i="3" a="1"/>
  <c r="V267" i="3" s="1"/>
  <c r="Y266" i="3" a="1"/>
  <c r="Y266" i="3" s="1"/>
  <c r="X266" i="3" a="1"/>
  <c r="X266" i="3" s="1"/>
  <c r="W266" i="3" a="1"/>
  <c r="W266" i="3" s="1"/>
  <c r="V266" i="3" a="1"/>
  <c r="V266" i="3" s="1"/>
  <c r="Y265" i="3" a="1"/>
  <c r="Y265" i="3" s="1"/>
  <c r="X265" i="3" a="1"/>
  <c r="X265" i="3" s="1"/>
  <c r="W265" i="3" a="1"/>
  <c r="W265" i="3" s="1"/>
  <c r="V265" i="3" a="1"/>
  <c r="V265" i="3" s="1"/>
  <c r="Y264" i="3" a="1"/>
  <c r="Y264" i="3" s="1"/>
  <c r="X264" i="3" a="1"/>
  <c r="X264" i="3" s="1"/>
  <c r="W264" i="3" a="1"/>
  <c r="W264" i="3" s="1"/>
  <c r="V264" i="3" a="1"/>
  <c r="V264" i="3" s="1"/>
  <c r="Y263" i="3" a="1"/>
  <c r="Y263" i="3" s="1"/>
  <c r="X263" i="3" a="1"/>
  <c r="X263" i="3" s="1"/>
  <c r="W263" i="3" a="1"/>
  <c r="W263" i="3" s="1"/>
  <c r="V263" i="3" a="1"/>
  <c r="V263" i="3" s="1"/>
  <c r="Y262" i="3" a="1"/>
  <c r="Y262" i="3" s="1"/>
  <c r="X262" i="3" a="1"/>
  <c r="X262" i="3" s="1"/>
  <c r="W262" i="3" a="1"/>
  <c r="W262" i="3" s="1"/>
  <c r="V262" i="3" a="1"/>
  <c r="V262" i="3" s="1"/>
  <c r="Y261" i="3" a="1"/>
  <c r="Y261" i="3" s="1"/>
  <c r="X261" i="3" a="1"/>
  <c r="X261" i="3" s="1"/>
  <c r="W261" i="3" a="1"/>
  <c r="W261" i="3" s="1"/>
  <c r="V261" i="3" a="1"/>
  <c r="V261" i="3" s="1"/>
  <c r="Y260" i="3" a="1"/>
  <c r="Y260" i="3" s="1"/>
  <c r="X260" i="3" a="1"/>
  <c r="X260" i="3" s="1"/>
  <c r="W260" i="3" a="1"/>
  <c r="W260" i="3" s="1"/>
  <c r="V260" i="3" a="1"/>
  <c r="V260" i="3" s="1"/>
  <c r="Y259" i="3" a="1"/>
  <c r="Y259" i="3" s="1"/>
  <c r="X259" i="3" a="1"/>
  <c r="X259" i="3" s="1"/>
  <c r="W259" i="3" a="1"/>
  <c r="W259" i="3" s="1"/>
  <c r="V259" i="3" a="1"/>
  <c r="V259" i="3" s="1"/>
  <c r="Y258" i="3" a="1"/>
  <c r="Y258" i="3" s="1"/>
  <c r="X258" i="3" a="1"/>
  <c r="X258" i="3" s="1"/>
  <c r="W258" i="3" a="1"/>
  <c r="W258" i="3" s="1"/>
  <c r="V258" i="3" a="1"/>
  <c r="V258" i="3" s="1"/>
  <c r="Y257" i="3" a="1"/>
  <c r="Y257" i="3" s="1"/>
  <c r="X257" i="3" a="1"/>
  <c r="X257" i="3" s="1"/>
  <c r="W257" i="3" a="1"/>
  <c r="W257" i="3" s="1"/>
  <c r="V257" i="3" a="1"/>
  <c r="V257" i="3" s="1"/>
  <c r="Y256" i="3" a="1"/>
  <c r="Y256" i="3" s="1"/>
  <c r="X256" i="3" a="1"/>
  <c r="X256" i="3" s="1"/>
  <c r="W256" i="3" a="1"/>
  <c r="W256" i="3" s="1"/>
  <c r="V256" i="3" a="1"/>
  <c r="V256" i="3" s="1"/>
  <c r="Y255" i="3" a="1"/>
  <c r="Y255" i="3" s="1"/>
  <c r="X255" i="3" a="1"/>
  <c r="X255" i="3" s="1"/>
  <c r="W255" i="3" a="1"/>
  <c r="W255" i="3" s="1"/>
  <c r="V255" i="3" a="1"/>
  <c r="V255" i="3" s="1"/>
  <c r="Y254" i="3" a="1"/>
  <c r="Y254" i="3" s="1"/>
  <c r="X254" i="3" a="1"/>
  <c r="X254" i="3" s="1"/>
  <c r="W254" i="3" a="1"/>
  <c r="W254" i="3" s="1"/>
  <c r="V254" i="3" a="1"/>
  <c r="V254" i="3" s="1"/>
  <c r="Y253" i="3" a="1"/>
  <c r="Y253" i="3" s="1"/>
  <c r="X253" i="3" a="1"/>
  <c r="X253" i="3" s="1"/>
  <c r="W253" i="3" a="1"/>
  <c r="W253" i="3" s="1"/>
  <c r="V253" i="3" a="1"/>
  <c r="V253" i="3" s="1"/>
  <c r="Y252" i="3" a="1"/>
  <c r="Y252" i="3" s="1"/>
  <c r="X252" i="3" a="1"/>
  <c r="X252" i="3" s="1"/>
  <c r="W252" i="3" a="1"/>
  <c r="W252" i="3" s="1"/>
  <c r="V252" i="3" a="1"/>
  <c r="V252" i="3" s="1"/>
  <c r="Y251" i="3" a="1"/>
  <c r="Y251" i="3" s="1"/>
  <c r="X251" i="3" a="1"/>
  <c r="X251" i="3" s="1"/>
  <c r="W251" i="3" a="1"/>
  <c r="W251" i="3" s="1"/>
  <c r="V251" i="3" a="1"/>
  <c r="V251" i="3" s="1"/>
  <c r="Y250" i="3" a="1"/>
  <c r="Y250" i="3" s="1"/>
  <c r="X250" i="3" a="1"/>
  <c r="X250" i="3" s="1"/>
  <c r="W250" i="3" a="1"/>
  <c r="W250" i="3" s="1"/>
  <c r="V250" i="3" a="1"/>
  <c r="V250" i="3" s="1"/>
  <c r="Y249" i="3" a="1"/>
  <c r="Y249" i="3" s="1"/>
  <c r="X249" i="3" a="1"/>
  <c r="X249" i="3" s="1"/>
  <c r="W249" i="3" a="1"/>
  <c r="W249" i="3" s="1"/>
  <c r="V249" i="3" a="1"/>
  <c r="V249" i="3" s="1"/>
  <c r="Y248" i="3" a="1"/>
  <c r="Y248" i="3" s="1"/>
  <c r="X248" i="3" a="1"/>
  <c r="X248" i="3" s="1"/>
  <c r="W248" i="3" a="1"/>
  <c r="W248" i="3" s="1"/>
  <c r="V248" i="3" a="1"/>
  <c r="V248" i="3" s="1"/>
  <c r="Y247" i="3" a="1"/>
  <c r="Y247" i="3" s="1"/>
  <c r="X247" i="3" a="1"/>
  <c r="X247" i="3" s="1"/>
  <c r="W247" i="3" a="1"/>
  <c r="W247" i="3" s="1"/>
  <c r="V247" i="3" a="1"/>
  <c r="V247" i="3" s="1"/>
  <c r="Y246" i="3" a="1"/>
  <c r="Y246" i="3" s="1"/>
  <c r="X246" i="3" a="1"/>
  <c r="X246" i="3" s="1"/>
  <c r="W246" i="3" a="1"/>
  <c r="W246" i="3" s="1"/>
  <c r="V246" i="3" a="1"/>
  <c r="V246" i="3" s="1"/>
  <c r="Y245" i="3" a="1"/>
  <c r="Y245" i="3" s="1"/>
  <c r="X245" i="3" a="1"/>
  <c r="X245" i="3" s="1"/>
  <c r="W245" i="3" a="1"/>
  <c r="W245" i="3" s="1"/>
  <c r="V245" i="3" a="1"/>
  <c r="V245" i="3" s="1"/>
  <c r="Y244" i="3" a="1"/>
  <c r="Y244" i="3" s="1"/>
  <c r="X244" i="3" a="1"/>
  <c r="X244" i="3" s="1"/>
  <c r="W244" i="3" a="1"/>
  <c r="W244" i="3" s="1"/>
  <c r="V244" i="3" a="1"/>
  <c r="V244" i="3" s="1"/>
  <c r="Y243" i="3" a="1"/>
  <c r="Y243" i="3" s="1"/>
  <c r="X243" i="3" a="1"/>
  <c r="X243" i="3" s="1"/>
  <c r="W243" i="3" a="1"/>
  <c r="W243" i="3" s="1"/>
  <c r="V243" i="3" a="1"/>
  <c r="V243" i="3" s="1"/>
  <c r="Y242" i="3" a="1"/>
  <c r="Y242" i="3" s="1"/>
  <c r="X242" i="3" a="1"/>
  <c r="X242" i="3" s="1"/>
  <c r="W242" i="3" a="1"/>
  <c r="W242" i="3" s="1"/>
  <c r="V242" i="3" a="1"/>
  <c r="V242" i="3" s="1"/>
  <c r="Y241" i="3" a="1"/>
  <c r="Y241" i="3" s="1"/>
  <c r="X241" i="3" a="1"/>
  <c r="X241" i="3" s="1"/>
  <c r="W241" i="3" a="1"/>
  <c r="W241" i="3" s="1"/>
  <c r="V241" i="3" a="1"/>
  <c r="V241" i="3" s="1"/>
  <c r="Y240" i="3" a="1"/>
  <c r="Y240" i="3" s="1"/>
  <c r="X240" i="3" a="1"/>
  <c r="X240" i="3" s="1"/>
  <c r="W240" i="3" a="1"/>
  <c r="W240" i="3" s="1"/>
  <c r="V240" i="3" a="1"/>
  <c r="V240" i="3" s="1"/>
  <c r="Y239" i="3" a="1"/>
  <c r="Y239" i="3" s="1"/>
  <c r="X239" i="3" a="1"/>
  <c r="X239" i="3" s="1"/>
  <c r="W239" i="3" a="1"/>
  <c r="W239" i="3" s="1"/>
  <c r="V239" i="3" a="1"/>
  <c r="V239" i="3" s="1"/>
  <c r="Y238" i="3" a="1"/>
  <c r="Y238" i="3" s="1"/>
  <c r="X238" i="3" a="1"/>
  <c r="X238" i="3" s="1"/>
  <c r="W238" i="3" a="1"/>
  <c r="W238" i="3" s="1"/>
  <c r="V238" i="3" a="1"/>
  <c r="V238" i="3" s="1"/>
  <c r="Y237" i="3" a="1"/>
  <c r="Y237" i="3" s="1"/>
  <c r="X237" i="3" a="1"/>
  <c r="X237" i="3" s="1"/>
  <c r="W237" i="3" a="1"/>
  <c r="W237" i="3" s="1"/>
  <c r="V237" i="3" a="1"/>
  <c r="V237" i="3" s="1"/>
  <c r="Y236" i="3" a="1"/>
  <c r="Y236" i="3" s="1"/>
  <c r="X236" i="3" a="1"/>
  <c r="X236" i="3" s="1"/>
  <c r="W236" i="3" a="1"/>
  <c r="W236" i="3" s="1"/>
  <c r="V236" i="3" a="1"/>
  <c r="V236" i="3" s="1"/>
  <c r="Y235" i="3" a="1"/>
  <c r="Y235" i="3" s="1"/>
  <c r="X235" i="3" a="1"/>
  <c r="X235" i="3" s="1"/>
  <c r="W235" i="3" a="1"/>
  <c r="W235" i="3" s="1"/>
  <c r="V235" i="3" a="1"/>
  <c r="V235" i="3" s="1"/>
  <c r="Y234" i="3" a="1"/>
  <c r="Y234" i="3" s="1"/>
  <c r="X234" i="3" a="1"/>
  <c r="X234" i="3" s="1"/>
  <c r="W234" i="3" a="1"/>
  <c r="W234" i="3" s="1"/>
  <c r="V234" i="3" a="1"/>
  <c r="V234" i="3" s="1"/>
  <c r="Y233" i="3" a="1"/>
  <c r="Y233" i="3" s="1"/>
  <c r="X233" i="3" a="1"/>
  <c r="X233" i="3" s="1"/>
  <c r="W233" i="3" a="1"/>
  <c r="W233" i="3" s="1"/>
  <c r="V233" i="3" a="1"/>
  <c r="V233" i="3" s="1"/>
  <c r="Y232" i="3" a="1"/>
  <c r="Y232" i="3" s="1"/>
  <c r="X232" i="3" a="1"/>
  <c r="X232" i="3" s="1"/>
  <c r="W232" i="3" a="1"/>
  <c r="W232" i="3" s="1"/>
  <c r="V232" i="3" a="1"/>
  <c r="V232" i="3" s="1"/>
  <c r="Y231" i="3" a="1"/>
  <c r="Y231" i="3" s="1"/>
  <c r="X231" i="3" a="1"/>
  <c r="X231" i="3" s="1"/>
  <c r="W231" i="3" a="1"/>
  <c r="W231" i="3" s="1"/>
  <c r="V231" i="3" a="1"/>
  <c r="V231" i="3" s="1"/>
  <c r="Y230" i="3" a="1"/>
  <c r="Y230" i="3" s="1"/>
  <c r="X230" i="3" a="1"/>
  <c r="X230" i="3" s="1"/>
  <c r="W230" i="3" a="1"/>
  <c r="W230" i="3" s="1"/>
  <c r="V230" i="3" a="1"/>
  <c r="V230" i="3" s="1"/>
  <c r="Y229" i="3" a="1"/>
  <c r="Y229" i="3" s="1"/>
  <c r="X229" i="3" a="1"/>
  <c r="X229" i="3" s="1"/>
  <c r="W229" i="3" a="1"/>
  <c r="W229" i="3" s="1"/>
  <c r="V229" i="3" a="1"/>
  <c r="V229" i="3" s="1"/>
  <c r="Y228" i="3" a="1"/>
  <c r="Y228" i="3" s="1"/>
  <c r="X228" i="3" a="1"/>
  <c r="X228" i="3" s="1"/>
  <c r="W228" i="3" a="1"/>
  <c r="W228" i="3" s="1"/>
  <c r="V228" i="3" a="1"/>
  <c r="V228" i="3" s="1"/>
  <c r="Y227" i="3" a="1"/>
  <c r="Y227" i="3" s="1"/>
  <c r="X227" i="3" a="1"/>
  <c r="X227" i="3" s="1"/>
  <c r="W227" i="3" a="1"/>
  <c r="W227" i="3" s="1"/>
  <c r="V227" i="3" a="1"/>
  <c r="V227" i="3" s="1"/>
  <c r="Y226" i="3" a="1"/>
  <c r="Y226" i="3" s="1"/>
  <c r="X226" i="3" a="1"/>
  <c r="X226" i="3" s="1"/>
  <c r="W226" i="3" a="1"/>
  <c r="W226" i="3" s="1"/>
  <c r="V226" i="3" a="1"/>
  <c r="V226" i="3" s="1"/>
  <c r="Y225" i="3" a="1"/>
  <c r="Y225" i="3" s="1"/>
  <c r="X225" i="3" a="1"/>
  <c r="X225" i="3" s="1"/>
  <c r="W225" i="3" a="1"/>
  <c r="W225" i="3" s="1"/>
  <c r="V225" i="3" a="1"/>
  <c r="V225" i="3" s="1"/>
  <c r="Y224" i="3" a="1"/>
  <c r="Y224" i="3" s="1"/>
  <c r="X224" i="3" a="1"/>
  <c r="X224" i="3" s="1"/>
  <c r="W224" i="3" a="1"/>
  <c r="W224" i="3" s="1"/>
  <c r="V224" i="3" a="1"/>
  <c r="V224" i="3" s="1"/>
  <c r="Y223" i="3" a="1"/>
  <c r="Y223" i="3" s="1"/>
  <c r="X223" i="3" a="1"/>
  <c r="X223" i="3" s="1"/>
  <c r="W223" i="3" a="1"/>
  <c r="W223" i="3" s="1"/>
  <c r="V223" i="3" a="1"/>
  <c r="V223" i="3" s="1"/>
  <c r="Y222" i="3" a="1"/>
  <c r="Y222" i="3" s="1"/>
  <c r="X222" i="3" a="1"/>
  <c r="X222" i="3" s="1"/>
  <c r="W222" i="3" a="1"/>
  <c r="W222" i="3" s="1"/>
  <c r="V222" i="3" a="1"/>
  <c r="V222" i="3" s="1"/>
  <c r="Y221" i="3" a="1"/>
  <c r="Y221" i="3" s="1"/>
  <c r="X221" i="3" a="1"/>
  <c r="X221" i="3" s="1"/>
  <c r="W221" i="3" a="1"/>
  <c r="W221" i="3" s="1"/>
  <c r="V221" i="3" a="1"/>
  <c r="V221" i="3" s="1"/>
  <c r="Y220" i="3" a="1"/>
  <c r="Y220" i="3" s="1"/>
  <c r="X220" i="3" a="1"/>
  <c r="X220" i="3" s="1"/>
  <c r="W220" i="3" a="1"/>
  <c r="W220" i="3" s="1"/>
  <c r="V220" i="3" a="1"/>
  <c r="V220" i="3" s="1"/>
  <c r="Y219" i="3" a="1"/>
  <c r="Y219" i="3" s="1"/>
  <c r="X219" i="3" a="1"/>
  <c r="X219" i="3" s="1"/>
  <c r="W219" i="3" a="1"/>
  <c r="W219" i="3" s="1"/>
  <c r="V219" i="3" a="1"/>
  <c r="V219" i="3" s="1"/>
  <c r="Y218" i="3" a="1"/>
  <c r="Y218" i="3" s="1"/>
  <c r="X218" i="3" a="1"/>
  <c r="X218" i="3" s="1"/>
  <c r="W218" i="3" a="1"/>
  <c r="W218" i="3" s="1"/>
  <c r="V218" i="3" a="1"/>
  <c r="V218" i="3" s="1"/>
  <c r="Y217" i="3" a="1"/>
  <c r="Y217" i="3" s="1"/>
  <c r="X217" i="3" a="1"/>
  <c r="X217" i="3" s="1"/>
  <c r="W217" i="3" a="1"/>
  <c r="W217" i="3" s="1"/>
  <c r="V217" i="3" a="1"/>
  <c r="V217" i="3" s="1"/>
  <c r="Y216" i="3" a="1"/>
  <c r="Y216" i="3" s="1"/>
  <c r="X216" i="3" a="1"/>
  <c r="X216" i="3" s="1"/>
  <c r="W216" i="3" a="1"/>
  <c r="W216" i="3" s="1"/>
  <c r="V216" i="3" a="1"/>
  <c r="V216" i="3" s="1"/>
  <c r="Y215" i="3" a="1"/>
  <c r="Y215" i="3" s="1"/>
  <c r="X215" i="3" a="1"/>
  <c r="X215" i="3" s="1"/>
  <c r="W215" i="3" a="1"/>
  <c r="W215" i="3" s="1"/>
  <c r="V215" i="3" a="1"/>
  <c r="V215" i="3" s="1"/>
  <c r="Y214" i="3" a="1"/>
  <c r="Y214" i="3" s="1"/>
  <c r="X214" i="3" a="1"/>
  <c r="X214" i="3" s="1"/>
  <c r="W214" i="3" a="1"/>
  <c r="W214" i="3" s="1"/>
  <c r="V214" i="3" a="1"/>
  <c r="V214" i="3" s="1"/>
  <c r="Y213" i="3" a="1"/>
  <c r="Y213" i="3" s="1"/>
  <c r="X213" i="3" a="1"/>
  <c r="X213" i="3" s="1"/>
  <c r="W213" i="3" a="1"/>
  <c r="W213" i="3" s="1"/>
  <c r="V213" i="3" a="1"/>
  <c r="V213" i="3" s="1"/>
  <c r="Y212" i="3" a="1"/>
  <c r="Y212" i="3" s="1"/>
  <c r="X212" i="3" a="1"/>
  <c r="X212" i="3" s="1"/>
  <c r="W212" i="3" a="1"/>
  <c r="W212" i="3" s="1"/>
  <c r="V212" i="3" a="1"/>
  <c r="V212" i="3" s="1"/>
  <c r="Y211" i="3" a="1"/>
  <c r="Y211" i="3" s="1"/>
  <c r="X211" i="3" a="1"/>
  <c r="X211" i="3" s="1"/>
  <c r="W211" i="3" a="1"/>
  <c r="W211" i="3" s="1"/>
  <c r="V211" i="3" a="1"/>
  <c r="V211" i="3" s="1"/>
  <c r="Y210" i="3" a="1"/>
  <c r="Y210" i="3" s="1"/>
  <c r="X210" i="3" a="1"/>
  <c r="X210" i="3" s="1"/>
  <c r="W210" i="3" a="1"/>
  <c r="W210" i="3" s="1"/>
  <c r="V210" i="3" a="1"/>
  <c r="V210" i="3" s="1"/>
  <c r="Y209" i="3" a="1"/>
  <c r="Y209" i="3" s="1"/>
  <c r="X209" i="3" a="1"/>
  <c r="X209" i="3" s="1"/>
  <c r="W209" i="3" a="1"/>
  <c r="W209" i="3" s="1"/>
  <c r="V209" i="3" a="1"/>
  <c r="V209" i="3" s="1"/>
  <c r="Y208" i="3" a="1"/>
  <c r="Y208" i="3" s="1"/>
  <c r="X208" i="3" a="1"/>
  <c r="X208" i="3" s="1"/>
  <c r="W208" i="3" a="1"/>
  <c r="W208" i="3" s="1"/>
  <c r="V208" i="3" a="1"/>
  <c r="V208" i="3" s="1"/>
  <c r="Y207" i="3" a="1"/>
  <c r="Y207" i="3" s="1"/>
  <c r="X207" i="3" a="1"/>
  <c r="X207" i="3" s="1"/>
  <c r="W207" i="3" a="1"/>
  <c r="W207" i="3" s="1"/>
  <c r="V207" i="3" a="1"/>
  <c r="V207" i="3" s="1"/>
  <c r="Y206" i="3" a="1"/>
  <c r="Y206" i="3" s="1"/>
  <c r="X206" i="3" a="1"/>
  <c r="X206" i="3" s="1"/>
  <c r="W206" i="3" a="1"/>
  <c r="W206" i="3" s="1"/>
  <c r="V206" i="3" a="1"/>
  <c r="V206" i="3" s="1"/>
  <c r="Y205" i="3" a="1"/>
  <c r="Y205" i="3" s="1"/>
  <c r="X205" i="3" a="1"/>
  <c r="X205" i="3" s="1"/>
  <c r="W205" i="3" a="1"/>
  <c r="W205" i="3" s="1"/>
  <c r="V205" i="3" a="1"/>
  <c r="V205" i="3" s="1"/>
  <c r="Y204" i="3" a="1"/>
  <c r="Y204" i="3" s="1"/>
  <c r="X204" i="3" a="1"/>
  <c r="X204" i="3" s="1"/>
  <c r="W204" i="3" a="1"/>
  <c r="W204" i="3" s="1"/>
  <c r="V204" i="3" a="1"/>
  <c r="V204" i="3" s="1"/>
  <c r="Y203" i="3" a="1"/>
  <c r="Y203" i="3" s="1"/>
  <c r="X203" i="3" a="1"/>
  <c r="X203" i="3" s="1"/>
  <c r="W203" i="3" a="1"/>
  <c r="W203" i="3" s="1"/>
  <c r="V203" i="3" a="1"/>
  <c r="V203" i="3" s="1"/>
  <c r="Y202" i="3" a="1"/>
  <c r="Y202" i="3" s="1"/>
  <c r="X202" i="3" a="1"/>
  <c r="X202" i="3" s="1"/>
  <c r="W202" i="3" a="1"/>
  <c r="W202" i="3" s="1"/>
  <c r="V202" i="3" a="1"/>
  <c r="V202" i="3" s="1"/>
  <c r="Y201" i="3" a="1"/>
  <c r="Y201" i="3" s="1"/>
  <c r="X201" i="3" a="1"/>
  <c r="X201" i="3" s="1"/>
  <c r="W201" i="3" a="1"/>
  <c r="W201" i="3" s="1"/>
  <c r="V201" i="3" a="1"/>
  <c r="V201" i="3" s="1"/>
  <c r="Y200" i="3" a="1"/>
  <c r="Y200" i="3" s="1"/>
  <c r="X200" i="3" a="1"/>
  <c r="X200" i="3" s="1"/>
  <c r="W200" i="3" a="1"/>
  <c r="W200" i="3" s="1"/>
  <c r="V200" i="3" a="1"/>
  <c r="V200" i="3" s="1"/>
  <c r="Y199" i="3" a="1"/>
  <c r="Y199" i="3" s="1"/>
  <c r="X199" i="3" a="1"/>
  <c r="X199" i="3" s="1"/>
  <c r="W199" i="3" a="1"/>
  <c r="W199" i="3" s="1"/>
  <c r="V199" i="3" a="1"/>
  <c r="V199" i="3" s="1"/>
  <c r="Y198" i="3" a="1"/>
  <c r="Y198" i="3" s="1"/>
  <c r="X198" i="3" a="1"/>
  <c r="X198" i="3" s="1"/>
  <c r="W198" i="3" a="1"/>
  <c r="W198" i="3" s="1"/>
  <c r="V198" i="3" a="1"/>
  <c r="V198" i="3" s="1"/>
  <c r="Y197" i="3" a="1"/>
  <c r="Y197" i="3" s="1"/>
  <c r="X197" i="3" a="1"/>
  <c r="X197" i="3" s="1"/>
  <c r="W197" i="3" a="1"/>
  <c r="W197" i="3" s="1"/>
  <c r="V197" i="3" a="1"/>
  <c r="V197" i="3" s="1"/>
  <c r="Y196" i="3" a="1"/>
  <c r="Y196" i="3" s="1"/>
  <c r="X196" i="3" a="1"/>
  <c r="X196" i="3" s="1"/>
  <c r="W196" i="3" a="1"/>
  <c r="W196" i="3" s="1"/>
  <c r="V196" i="3" a="1"/>
  <c r="V196" i="3" s="1"/>
  <c r="Y195" i="3" a="1"/>
  <c r="Y195" i="3" s="1"/>
  <c r="X195" i="3" a="1"/>
  <c r="X195" i="3" s="1"/>
  <c r="W195" i="3" a="1"/>
  <c r="W195" i="3" s="1"/>
  <c r="V195" i="3" a="1"/>
  <c r="V195" i="3" s="1"/>
  <c r="Y194" i="3" a="1"/>
  <c r="Y194" i="3" s="1"/>
  <c r="X194" i="3" a="1"/>
  <c r="X194" i="3" s="1"/>
  <c r="W194" i="3" a="1"/>
  <c r="W194" i="3" s="1"/>
  <c r="V194" i="3" a="1"/>
  <c r="V194" i="3" s="1"/>
  <c r="Y193" i="3" a="1"/>
  <c r="Y193" i="3" s="1"/>
  <c r="X193" i="3" a="1"/>
  <c r="X193" i="3" s="1"/>
  <c r="W193" i="3" a="1"/>
  <c r="W193" i="3" s="1"/>
  <c r="V193" i="3" a="1"/>
  <c r="V193" i="3" s="1"/>
  <c r="Y192" i="3" a="1"/>
  <c r="Y192" i="3" s="1"/>
  <c r="X192" i="3" a="1"/>
  <c r="X192" i="3" s="1"/>
  <c r="W192" i="3" a="1"/>
  <c r="W192" i="3" s="1"/>
  <c r="V192" i="3" a="1"/>
  <c r="V192" i="3" s="1"/>
  <c r="Y191" i="3" a="1"/>
  <c r="Y191" i="3" s="1"/>
  <c r="X191" i="3" a="1"/>
  <c r="X191" i="3" s="1"/>
  <c r="W191" i="3" a="1"/>
  <c r="W191" i="3" s="1"/>
  <c r="V191" i="3" a="1"/>
  <c r="V191" i="3" s="1"/>
  <c r="Y190" i="3" a="1"/>
  <c r="Y190" i="3" s="1"/>
  <c r="X190" i="3" a="1"/>
  <c r="X190" i="3" s="1"/>
  <c r="W190" i="3" a="1"/>
  <c r="W190" i="3" s="1"/>
  <c r="V190" i="3" a="1"/>
  <c r="V190" i="3" s="1"/>
  <c r="Y189" i="3" a="1"/>
  <c r="Y189" i="3" s="1"/>
  <c r="X189" i="3" a="1"/>
  <c r="X189" i="3" s="1"/>
  <c r="W189" i="3" a="1"/>
  <c r="W189" i="3" s="1"/>
  <c r="V189" i="3" a="1"/>
  <c r="V189" i="3" s="1"/>
  <c r="Y188" i="3" a="1"/>
  <c r="Y188" i="3" s="1"/>
  <c r="X188" i="3" a="1"/>
  <c r="X188" i="3" s="1"/>
  <c r="W188" i="3" a="1"/>
  <c r="W188" i="3" s="1"/>
  <c r="V188" i="3" a="1"/>
  <c r="V188" i="3" s="1"/>
  <c r="Y187" i="3" a="1"/>
  <c r="Y187" i="3" s="1"/>
  <c r="X187" i="3" a="1"/>
  <c r="X187" i="3" s="1"/>
  <c r="W187" i="3" a="1"/>
  <c r="W187" i="3" s="1"/>
  <c r="V187" i="3" a="1"/>
  <c r="V187" i="3" s="1"/>
  <c r="Y186" i="3" a="1"/>
  <c r="Y186" i="3" s="1"/>
  <c r="X186" i="3" a="1"/>
  <c r="X186" i="3" s="1"/>
  <c r="W186" i="3" a="1"/>
  <c r="W186" i="3" s="1"/>
  <c r="V186" i="3" a="1"/>
  <c r="V186" i="3" s="1"/>
  <c r="Y185" i="3" a="1"/>
  <c r="Y185" i="3" s="1"/>
  <c r="X185" i="3" a="1"/>
  <c r="X185" i="3" s="1"/>
  <c r="W185" i="3" a="1"/>
  <c r="W185" i="3" s="1"/>
  <c r="V185" i="3" a="1"/>
  <c r="V185" i="3" s="1"/>
  <c r="Y184" i="3" a="1"/>
  <c r="Y184" i="3" s="1"/>
  <c r="X184" i="3" a="1"/>
  <c r="X184" i="3" s="1"/>
  <c r="W184" i="3" a="1"/>
  <c r="W184" i="3" s="1"/>
  <c r="V184" i="3" a="1"/>
  <c r="V184" i="3" s="1"/>
  <c r="Y183" i="3" a="1"/>
  <c r="Y183" i="3" s="1"/>
  <c r="X183" i="3" a="1"/>
  <c r="X183" i="3" s="1"/>
  <c r="W183" i="3" a="1"/>
  <c r="W183" i="3" s="1"/>
  <c r="V183" i="3" a="1"/>
  <c r="V183" i="3" s="1"/>
  <c r="Y182" i="3" a="1"/>
  <c r="Y182" i="3" s="1"/>
  <c r="X182" i="3" a="1"/>
  <c r="X182" i="3" s="1"/>
  <c r="W182" i="3" a="1"/>
  <c r="W182" i="3" s="1"/>
  <c r="V182" i="3" a="1"/>
  <c r="V182" i="3" s="1"/>
  <c r="Y181" i="3" a="1"/>
  <c r="Y181" i="3" s="1"/>
  <c r="X181" i="3" a="1"/>
  <c r="X181" i="3" s="1"/>
  <c r="W181" i="3" a="1"/>
  <c r="W181" i="3" s="1"/>
  <c r="V181" i="3" a="1"/>
  <c r="V181" i="3" s="1"/>
  <c r="Y180" i="3" a="1"/>
  <c r="Y180" i="3" s="1"/>
  <c r="X180" i="3" a="1"/>
  <c r="X180" i="3" s="1"/>
  <c r="W180" i="3" a="1"/>
  <c r="W180" i="3" s="1"/>
  <c r="V180" i="3" a="1"/>
  <c r="V180" i="3" s="1"/>
  <c r="Y179" i="3" a="1"/>
  <c r="Y179" i="3" s="1"/>
  <c r="X179" i="3" a="1"/>
  <c r="X179" i="3" s="1"/>
  <c r="W179" i="3" a="1"/>
  <c r="W179" i="3" s="1"/>
  <c r="V179" i="3" a="1"/>
  <c r="V179" i="3" s="1"/>
  <c r="Y178" i="3" a="1"/>
  <c r="Y178" i="3" s="1"/>
  <c r="X178" i="3" a="1"/>
  <c r="X178" i="3" s="1"/>
  <c r="W178" i="3" a="1"/>
  <c r="W178" i="3" s="1"/>
  <c r="V178" i="3" a="1"/>
  <c r="V178" i="3" s="1"/>
  <c r="Y177" i="3" a="1"/>
  <c r="Y177" i="3" s="1"/>
  <c r="X177" i="3" a="1"/>
  <c r="X177" i="3" s="1"/>
  <c r="W177" i="3" a="1"/>
  <c r="W177" i="3" s="1"/>
  <c r="V177" i="3" a="1"/>
  <c r="V177" i="3" s="1"/>
  <c r="Y176" i="3" a="1"/>
  <c r="Y176" i="3" s="1"/>
  <c r="X176" i="3" a="1"/>
  <c r="X176" i="3" s="1"/>
  <c r="W176" i="3" a="1"/>
  <c r="W176" i="3" s="1"/>
  <c r="V176" i="3" a="1"/>
  <c r="V176" i="3" s="1"/>
  <c r="Y175" i="3" a="1"/>
  <c r="Y175" i="3" s="1"/>
  <c r="X175" i="3" a="1"/>
  <c r="X175" i="3" s="1"/>
  <c r="W175" i="3" a="1"/>
  <c r="W175" i="3" s="1"/>
  <c r="V175" i="3" a="1"/>
  <c r="V175" i="3" s="1"/>
  <c r="Y174" i="3" a="1"/>
  <c r="Y174" i="3" s="1"/>
  <c r="X174" i="3" a="1"/>
  <c r="X174" i="3" s="1"/>
  <c r="W174" i="3" a="1"/>
  <c r="W174" i="3" s="1"/>
  <c r="V174" i="3" a="1"/>
  <c r="V174" i="3" s="1"/>
  <c r="Y173" i="3" a="1"/>
  <c r="Y173" i="3" s="1"/>
  <c r="X173" i="3" a="1"/>
  <c r="X173" i="3" s="1"/>
  <c r="W173" i="3" a="1"/>
  <c r="W173" i="3" s="1"/>
  <c r="V173" i="3" a="1"/>
  <c r="V173" i="3" s="1"/>
  <c r="Y172" i="3" a="1"/>
  <c r="Y172" i="3" s="1"/>
  <c r="X172" i="3" a="1"/>
  <c r="X172" i="3" s="1"/>
  <c r="W172" i="3" a="1"/>
  <c r="W172" i="3" s="1"/>
  <c r="V172" i="3" a="1"/>
  <c r="V172" i="3" s="1"/>
  <c r="Y171" i="3" a="1"/>
  <c r="Y171" i="3" s="1"/>
  <c r="X171" i="3" a="1"/>
  <c r="X171" i="3" s="1"/>
  <c r="W171" i="3" a="1"/>
  <c r="W171" i="3" s="1"/>
  <c r="V171" i="3" a="1"/>
  <c r="V171" i="3" s="1"/>
  <c r="Y170" i="3" a="1"/>
  <c r="Y170" i="3" s="1"/>
  <c r="X170" i="3" a="1"/>
  <c r="X170" i="3" s="1"/>
  <c r="W170" i="3" a="1"/>
  <c r="W170" i="3" s="1"/>
  <c r="V170" i="3" a="1"/>
  <c r="V170" i="3" s="1"/>
  <c r="Y169" i="3" a="1"/>
  <c r="Y169" i="3" s="1"/>
  <c r="X169" i="3" a="1"/>
  <c r="X169" i="3" s="1"/>
  <c r="W169" i="3" a="1"/>
  <c r="W169" i="3" s="1"/>
  <c r="V169" i="3" a="1"/>
  <c r="V169" i="3" s="1"/>
  <c r="Y168" i="3" a="1"/>
  <c r="Y168" i="3" s="1"/>
  <c r="X168" i="3" a="1"/>
  <c r="X168" i="3" s="1"/>
  <c r="W168" i="3" a="1"/>
  <c r="W168" i="3" s="1"/>
  <c r="V168" i="3" a="1"/>
  <c r="V168" i="3" s="1"/>
  <c r="Y167" i="3" a="1"/>
  <c r="Y167" i="3" s="1"/>
  <c r="X167" i="3" a="1"/>
  <c r="X167" i="3" s="1"/>
  <c r="W167" i="3" a="1"/>
  <c r="W167" i="3" s="1"/>
  <c r="V167" i="3" a="1"/>
  <c r="V167" i="3" s="1"/>
  <c r="Y166" i="3" a="1"/>
  <c r="Y166" i="3" s="1"/>
  <c r="X166" i="3" a="1"/>
  <c r="X166" i="3" s="1"/>
  <c r="W166" i="3" a="1"/>
  <c r="W166" i="3" s="1"/>
  <c r="V166" i="3" a="1"/>
  <c r="V166" i="3" s="1"/>
  <c r="Y165" i="3" a="1"/>
  <c r="Y165" i="3" s="1"/>
  <c r="X165" i="3" a="1"/>
  <c r="X165" i="3" s="1"/>
  <c r="W165" i="3" a="1"/>
  <c r="W165" i="3" s="1"/>
  <c r="V165" i="3" a="1"/>
  <c r="V165" i="3" s="1"/>
  <c r="Y164" i="3" a="1"/>
  <c r="Y164" i="3" s="1"/>
  <c r="X164" i="3" a="1"/>
  <c r="X164" i="3" s="1"/>
  <c r="W164" i="3" a="1"/>
  <c r="W164" i="3" s="1"/>
  <c r="V164" i="3" a="1"/>
  <c r="V164" i="3" s="1"/>
  <c r="Y163" i="3" a="1"/>
  <c r="Y163" i="3" s="1"/>
  <c r="X163" i="3" a="1"/>
  <c r="X163" i="3" s="1"/>
  <c r="W163" i="3" a="1"/>
  <c r="W163" i="3" s="1"/>
  <c r="V163" i="3" a="1"/>
  <c r="V163" i="3" s="1"/>
  <c r="Y162" i="3" a="1"/>
  <c r="Y162" i="3" s="1"/>
  <c r="X162" i="3" a="1"/>
  <c r="X162" i="3" s="1"/>
  <c r="W162" i="3" a="1"/>
  <c r="W162" i="3" s="1"/>
  <c r="V162" i="3" a="1"/>
  <c r="V162" i="3" s="1"/>
  <c r="Y161" i="3" a="1"/>
  <c r="Y161" i="3" s="1"/>
  <c r="X161" i="3" a="1"/>
  <c r="X161" i="3" s="1"/>
  <c r="W161" i="3" a="1"/>
  <c r="W161" i="3" s="1"/>
  <c r="V161" i="3" a="1"/>
  <c r="V161" i="3" s="1"/>
  <c r="Y160" i="3" a="1"/>
  <c r="Y160" i="3" s="1"/>
  <c r="X160" i="3" a="1"/>
  <c r="X160" i="3" s="1"/>
  <c r="W160" i="3" a="1"/>
  <c r="W160" i="3" s="1"/>
  <c r="V160" i="3" a="1"/>
  <c r="V160" i="3" s="1"/>
  <c r="Y159" i="3" a="1"/>
  <c r="Y159" i="3" s="1"/>
  <c r="X159" i="3" a="1"/>
  <c r="X159" i="3" s="1"/>
  <c r="W159" i="3" a="1"/>
  <c r="W159" i="3" s="1"/>
  <c r="V159" i="3" a="1"/>
  <c r="V159" i="3" s="1"/>
  <c r="Y158" i="3" a="1"/>
  <c r="Y158" i="3" s="1"/>
  <c r="X158" i="3" a="1"/>
  <c r="X158" i="3" s="1"/>
  <c r="W158" i="3" a="1"/>
  <c r="W158" i="3" s="1"/>
  <c r="V158" i="3" a="1"/>
  <c r="V158" i="3" s="1"/>
  <c r="Y157" i="3" a="1"/>
  <c r="Y157" i="3" s="1"/>
  <c r="X157" i="3" a="1"/>
  <c r="X157" i="3" s="1"/>
  <c r="W157" i="3" a="1"/>
  <c r="W157" i="3" s="1"/>
  <c r="V157" i="3" a="1"/>
  <c r="V157" i="3" s="1"/>
  <c r="Y156" i="3" a="1"/>
  <c r="Y156" i="3" s="1"/>
  <c r="X156" i="3" a="1"/>
  <c r="X156" i="3" s="1"/>
  <c r="W156" i="3" a="1"/>
  <c r="W156" i="3" s="1"/>
  <c r="V156" i="3" a="1"/>
  <c r="V156" i="3" s="1"/>
  <c r="Y155" i="3" a="1"/>
  <c r="Y155" i="3" s="1"/>
  <c r="X155" i="3" a="1"/>
  <c r="X155" i="3" s="1"/>
  <c r="W155" i="3" a="1"/>
  <c r="W155" i="3" s="1"/>
  <c r="V155" i="3" a="1"/>
  <c r="V155" i="3" s="1"/>
  <c r="Y154" i="3" a="1"/>
  <c r="Y154" i="3" s="1"/>
  <c r="X154" i="3" a="1"/>
  <c r="X154" i="3" s="1"/>
  <c r="W154" i="3" a="1"/>
  <c r="W154" i="3" s="1"/>
  <c r="V154" i="3" a="1"/>
  <c r="V154" i="3" s="1"/>
  <c r="Y153" i="3" a="1"/>
  <c r="Y153" i="3" s="1"/>
  <c r="X153" i="3" a="1"/>
  <c r="X153" i="3" s="1"/>
  <c r="W153" i="3" a="1"/>
  <c r="W153" i="3" s="1"/>
  <c r="V153" i="3" a="1"/>
  <c r="V153" i="3" s="1"/>
  <c r="Y152" i="3" a="1"/>
  <c r="Y152" i="3" s="1"/>
  <c r="X152" i="3" a="1"/>
  <c r="X152" i="3" s="1"/>
  <c r="W152" i="3" a="1"/>
  <c r="W152" i="3" s="1"/>
  <c r="V152" i="3" a="1"/>
  <c r="V152" i="3" s="1"/>
  <c r="Y151" i="3" a="1"/>
  <c r="Y151" i="3" s="1"/>
  <c r="X151" i="3" a="1"/>
  <c r="X151" i="3" s="1"/>
  <c r="W151" i="3" a="1"/>
  <c r="W151" i="3" s="1"/>
  <c r="V151" i="3" a="1"/>
  <c r="V151" i="3" s="1"/>
  <c r="Y150" i="3" a="1"/>
  <c r="Y150" i="3" s="1"/>
  <c r="X150" i="3" a="1"/>
  <c r="X150" i="3" s="1"/>
  <c r="W150" i="3" a="1"/>
  <c r="W150" i="3" s="1"/>
  <c r="V150" i="3" a="1"/>
  <c r="V150" i="3" s="1"/>
  <c r="Y149" i="3" a="1"/>
  <c r="Y149" i="3" s="1"/>
  <c r="X149" i="3" a="1"/>
  <c r="X149" i="3" s="1"/>
  <c r="W149" i="3" a="1"/>
  <c r="W149" i="3" s="1"/>
  <c r="V149" i="3" a="1"/>
  <c r="V149" i="3" s="1"/>
  <c r="Y148" i="3" a="1"/>
  <c r="Y148" i="3" s="1"/>
  <c r="X148" i="3" a="1"/>
  <c r="X148" i="3" s="1"/>
  <c r="W148" i="3" a="1"/>
  <c r="W148" i="3" s="1"/>
  <c r="V148" i="3" a="1"/>
  <c r="V148" i="3" s="1"/>
  <c r="Y147" i="3" a="1"/>
  <c r="Y147" i="3" s="1"/>
  <c r="X147" i="3" a="1"/>
  <c r="X147" i="3" s="1"/>
  <c r="W147" i="3" a="1"/>
  <c r="W147" i="3" s="1"/>
  <c r="V147" i="3" a="1"/>
  <c r="V147" i="3" s="1"/>
  <c r="Y146" i="3" a="1"/>
  <c r="Y146" i="3" s="1"/>
  <c r="X146" i="3" a="1"/>
  <c r="X146" i="3" s="1"/>
  <c r="W146" i="3" a="1"/>
  <c r="W146" i="3" s="1"/>
  <c r="V146" i="3" a="1"/>
  <c r="V146" i="3" s="1"/>
  <c r="Y145" i="3" a="1"/>
  <c r="Y145" i="3" s="1"/>
  <c r="X145" i="3" a="1"/>
  <c r="X145" i="3" s="1"/>
  <c r="W145" i="3" a="1"/>
  <c r="W145" i="3" s="1"/>
  <c r="V145" i="3" a="1"/>
  <c r="V145" i="3" s="1"/>
  <c r="Y144" i="3" a="1"/>
  <c r="Y144" i="3" s="1"/>
  <c r="X144" i="3" a="1"/>
  <c r="X144" i="3" s="1"/>
  <c r="W144" i="3" a="1"/>
  <c r="W144" i="3" s="1"/>
  <c r="V144" i="3" a="1"/>
  <c r="V144" i="3" s="1"/>
  <c r="Y143" i="3" a="1"/>
  <c r="Y143" i="3" s="1"/>
  <c r="X143" i="3" a="1"/>
  <c r="X143" i="3" s="1"/>
  <c r="W143" i="3" a="1"/>
  <c r="W143" i="3" s="1"/>
  <c r="V143" i="3" a="1"/>
  <c r="V143" i="3" s="1"/>
  <c r="Y142" i="3" a="1"/>
  <c r="Y142" i="3" s="1"/>
  <c r="X142" i="3" a="1"/>
  <c r="X142" i="3" s="1"/>
  <c r="W142" i="3" a="1"/>
  <c r="W142" i="3" s="1"/>
  <c r="V142" i="3" a="1"/>
  <c r="V142" i="3" s="1"/>
  <c r="Y141" i="3" a="1"/>
  <c r="Y141" i="3" s="1"/>
  <c r="X141" i="3" a="1"/>
  <c r="X141" i="3" s="1"/>
  <c r="W141" i="3" a="1"/>
  <c r="W141" i="3" s="1"/>
  <c r="V141" i="3" a="1"/>
  <c r="V141" i="3" s="1"/>
  <c r="Y140" i="3" a="1"/>
  <c r="Y140" i="3" s="1"/>
  <c r="X140" i="3" a="1"/>
  <c r="X140" i="3" s="1"/>
  <c r="W140" i="3" a="1"/>
  <c r="W140" i="3" s="1"/>
  <c r="V140" i="3" a="1"/>
  <c r="V140" i="3" s="1"/>
  <c r="Y139" i="3" a="1"/>
  <c r="Y139" i="3" s="1"/>
  <c r="X139" i="3" a="1"/>
  <c r="X139" i="3" s="1"/>
  <c r="W139" i="3" a="1"/>
  <c r="W139" i="3" s="1"/>
  <c r="V139" i="3" a="1"/>
  <c r="V139" i="3" s="1"/>
  <c r="Y138" i="3" a="1"/>
  <c r="Y138" i="3" s="1"/>
  <c r="X138" i="3" a="1"/>
  <c r="X138" i="3" s="1"/>
  <c r="W138" i="3" a="1"/>
  <c r="W138" i="3" s="1"/>
  <c r="V138" i="3" a="1"/>
  <c r="V138" i="3" s="1"/>
  <c r="Y137" i="3" a="1"/>
  <c r="Y137" i="3" s="1"/>
  <c r="X137" i="3" a="1"/>
  <c r="X137" i="3" s="1"/>
  <c r="W137" i="3" a="1"/>
  <c r="W137" i="3" s="1"/>
  <c r="V137" i="3" a="1"/>
  <c r="V137" i="3" s="1"/>
  <c r="Y136" i="3" a="1"/>
  <c r="Y136" i="3" s="1"/>
  <c r="X136" i="3" a="1"/>
  <c r="X136" i="3" s="1"/>
  <c r="W136" i="3" a="1"/>
  <c r="W136" i="3" s="1"/>
  <c r="V136" i="3" a="1"/>
  <c r="V136" i="3" s="1"/>
  <c r="Y135" i="3" a="1"/>
  <c r="Y135" i="3" s="1"/>
  <c r="X135" i="3" a="1"/>
  <c r="X135" i="3" s="1"/>
  <c r="W135" i="3" a="1"/>
  <c r="W135" i="3" s="1"/>
  <c r="V135" i="3" a="1"/>
  <c r="V135" i="3" s="1"/>
  <c r="Y134" i="3" a="1"/>
  <c r="Y134" i="3" s="1"/>
  <c r="X134" i="3" a="1"/>
  <c r="X134" i="3" s="1"/>
  <c r="W134" i="3" a="1"/>
  <c r="W134" i="3" s="1"/>
  <c r="V134" i="3" a="1"/>
  <c r="V134" i="3" s="1"/>
  <c r="Y133" i="3" a="1"/>
  <c r="Y133" i="3" s="1"/>
  <c r="X133" i="3" a="1"/>
  <c r="X133" i="3" s="1"/>
  <c r="W133" i="3" a="1"/>
  <c r="W133" i="3" s="1"/>
  <c r="V133" i="3" a="1"/>
  <c r="V133" i="3" s="1"/>
  <c r="Y132" i="3" a="1"/>
  <c r="Y132" i="3" s="1"/>
  <c r="X132" i="3" a="1"/>
  <c r="X132" i="3" s="1"/>
  <c r="W132" i="3" a="1"/>
  <c r="W132" i="3" s="1"/>
  <c r="V132" i="3" a="1"/>
  <c r="V132" i="3" s="1"/>
  <c r="Y131" i="3" a="1"/>
  <c r="Y131" i="3" s="1"/>
  <c r="X131" i="3" a="1"/>
  <c r="X131" i="3" s="1"/>
  <c r="W131" i="3" a="1"/>
  <c r="W131" i="3" s="1"/>
  <c r="V131" i="3" a="1"/>
  <c r="V131" i="3" s="1"/>
  <c r="Y130" i="3" a="1"/>
  <c r="Y130" i="3" s="1"/>
  <c r="X130" i="3" a="1"/>
  <c r="X130" i="3" s="1"/>
  <c r="W130" i="3" a="1"/>
  <c r="W130" i="3" s="1"/>
  <c r="V130" i="3" a="1"/>
  <c r="V130" i="3" s="1"/>
  <c r="Y129" i="3" a="1"/>
  <c r="Y129" i="3" s="1"/>
  <c r="X129" i="3" a="1"/>
  <c r="X129" i="3" s="1"/>
  <c r="W129" i="3" a="1"/>
  <c r="W129" i="3" s="1"/>
  <c r="V129" i="3" a="1"/>
  <c r="V129" i="3" s="1"/>
  <c r="Y128" i="3" a="1"/>
  <c r="Y128" i="3" s="1"/>
  <c r="X128" i="3" a="1"/>
  <c r="X128" i="3" s="1"/>
  <c r="W128" i="3" a="1"/>
  <c r="W128" i="3" s="1"/>
  <c r="V128" i="3" a="1"/>
  <c r="V128" i="3" s="1"/>
  <c r="Y127" i="3" a="1"/>
  <c r="Y127" i="3" s="1"/>
  <c r="X127" i="3" a="1"/>
  <c r="X127" i="3" s="1"/>
  <c r="W127" i="3" a="1"/>
  <c r="W127" i="3" s="1"/>
  <c r="V127" i="3" a="1"/>
  <c r="V127" i="3" s="1"/>
  <c r="Y126" i="3" a="1"/>
  <c r="Y126" i="3" s="1"/>
  <c r="X126" i="3" a="1"/>
  <c r="X126" i="3" s="1"/>
  <c r="W126" i="3" a="1"/>
  <c r="W126" i="3" s="1"/>
  <c r="V126" i="3" a="1"/>
  <c r="V126" i="3" s="1"/>
  <c r="Y125" i="3" a="1"/>
  <c r="Y125" i="3" s="1"/>
  <c r="X125" i="3" a="1"/>
  <c r="X125" i="3" s="1"/>
  <c r="W125" i="3" a="1"/>
  <c r="W125" i="3" s="1"/>
  <c r="V125" i="3" a="1"/>
  <c r="V125" i="3" s="1"/>
  <c r="Y124" i="3" a="1"/>
  <c r="Y124" i="3" s="1"/>
  <c r="X124" i="3" a="1"/>
  <c r="X124" i="3" s="1"/>
  <c r="W124" i="3" a="1"/>
  <c r="W124" i="3" s="1"/>
  <c r="V124" i="3" a="1"/>
  <c r="V124" i="3" s="1"/>
  <c r="Y123" i="3" a="1"/>
  <c r="Y123" i="3" s="1"/>
  <c r="X123" i="3" a="1"/>
  <c r="X123" i="3" s="1"/>
  <c r="W123" i="3" a="1"/>
  <c r="W123" i="3" s="1"/>
  <c r="V123" i="3" a="1"/>
  <c r="V123" i="3" s="1"/>
  <c r="Y122" i="3" a="1"/>
  <c r="Y122" i="3" s="1"/>
  <c r="X122" i="3" a="1"/>
  <c r="X122" i="3" s="1"/>
  <c r="W122" i="3" a="1"/>
  <c r="W122" i="3" s="1"/>
  <c r="V122" i="3" a="1"/>
  <c r="V122" i="3" s="1"/>
  <c r="Y121" i="3" a="1"/>
  <c r="Y121" i="3" s="1"/>
  <c r="X121" i="3" a="1"/>
  <c r="X121" i="3" s="1"/>
  <c r="W121" i="3" a="1"/>
  <c r="W121" i="3" s="1"/>
  <c r="V121" i="3" a="1"/>
  <c r="V121" i="3" s="1"/>
  <c r="Y120" i="3" a="1"/>
  <c r="Y120" i="3" s="1"/>
  <c r="X120" i="3" a="1"/>
  <c r="X120" i="3" s="1"/>
  <c r="W120" i="3" a="1"/>
  <c r="W120" i="3" s="1"/>
  <c r="V120" i="3" a="1"/>
  <c r="V120" i="3" s="1"/>
  <c r="Y119" i="3" a="1"/>
  <c r="Y119" i="3" s="1"/>
  <c r="X119" i="3" a="1"/>
  <c r="X119" i="3" s="1"/>
  <c r="W119" i="3" a="1"/>
  <c r="W119" i="3" s="1"/>
  <c r="V119" i="3" a="1"/>
  <c r="V119" i="3" s="1"/>
  <c r="Y118" i="3" a="1"/>
  <c r="Y118" i="3" s="1"/>
  <c r="X118" i="3" a="1"/>
  <c r="X118" i="3" s="1"/>
  <c r="W118" i="3" a="1"/>
  <c r="W118" i="3" s="1"/>
  <c r="V118" i="3" a="1"/>
  <c r="V118" i="3" s="1"/>
  <c r="Y117" i="3" a="1"/>
  <c r="Y117" i="3" s="1"/>
  <c r="X117" i="3" a="1"/>
  <c r="X117" i="3" s="1"/>
  <c r="W117" i="3" a="1"/>
  <c r="W117" i="3" s="1"/>
  <c r="V117" i="3" a="1"/>
  <c r="V117" i="3" s="1"/>
  <c r="Y116" i="3" a="1"/>
  <c r="Y116" i="3" s="1"/>
  <c r="X116" i="3" a="1"/>
  <c r="X116" i="3" s="1"/>
  <c r="W116" i="3" a="1"/>
  <c r="W116" i="3" s="1"/>
  <c r="V116" i="3" a="1"/>
  <c r="V116" i="3" s="1"/>
  <c r="Y115" i="3" a="1"/>
  <c r="Y115" i="3" s="1"/>
  <c r="X115" i="3" a="1"/>
  <c r="X115" i="3" s="1"/>
  <c r="W115" i="3" a="1"/>
  <c r="W115" i="3" s="1"/>
  <c r="V115" i="3" a="1"/>
  <c r="V115" i="3" s="1"/>
  <c r="Y114" i="3" a="1"/>
  <c r="Y114" i="3" s="1"/>
  <c r="X114" i="3" a="1"/>
  <c r="X114" i="3" s="1"/>
  <c r="W114" i="3" a="1"/>
  <c r="W114" i="3" s="1"/>
  <c r="V114" i="3" a="1"/>
  <c r="V114" i="3" s="1"/>
  <c r="Y113" i="3" a="1"/>
  <c r="Y113" i="3" s="1"/>
  <c r="X113" i="3" a="1"/>
  <c r="X113" i="3" s="1"/>
  <c r="W113" i="3" a="1"/>
  <c r="W113" i="3" s="1"/>
  <c r="V113" i="3" a="1"/>
  <c r="V113" i="3" s="1"/>
  <c r="Y112" i="3" a="1"/>
  <c r="Y112" i="3" s="1"/>
  <c r="X112" i="3" a="1"/>
  <c r="X112" i="3" s="1"/>
  <c r="W112" i="3" a="1"/>
  <c r="W112" i="3" s="1"/>
  <c r="V112" i="3" a="1"/>
  <c r="V112" i="3" s="1"/>
  <c r="Y111" i="3" a="1"/>
  <c r="Y111" i="3" s="1"/>
  <c r="X111" i="3" a="1"/>
  <c r="X111" i="3" s="1"/>
  <c r="W111" i="3" a="1"/>
  <c r="W111" i="3" s="1"/>
  <c r="V111" i="3" a="1"/>
  <c r="V111" i="3" s="1"/>
  <c r="Y110" i="3" a="1"/>
  <c r="Y110" i="3" s="1"/>
  <c r="X110" i="3" a="1"/>
  <c r="X110" i="3" s="1"/>
  <c r="W110" i="3" a="1"/>
  <c r="W110" i="3" s="1"/>
  <c r="V110" i="3" a="1"/>
  <c r="V110" i="3" s="1"/>
  <c r="Y109" i="3" a="1"/>
  <c r="Y109" i="3" s="1"/>
  <c r="X109" i="3" a="1"/>
  <c r="X109" i="3" s="1"/>
  <c r="W109" i="3" a="1"/>
  <c r="W109" i="3" s="1"/>
  <c r="V109" i="3" a="1"/>
  <c r="V109" i="3" s="1"/>
  <c r="Y108" i="3" a="1"/>
  <c r="Y108" i="3" s="1"/>
  <c r="X108" i="3" a="1"/>
  <c r="X108" i="3" s="1"/>
  <c r="W108" i="3" a="1"/>
  <c r="W108" i="3" s="1"/>
  <c r="V108" i="3" a="1"/>
  <c r="V108" i="3" s="1"/>
  <c r="Y107" i="3" a="1"/>
  <c r="Y107" i="3" s="1"/>
  <c r="X107" i="3" a="1"/>
  <c r="X107" i="3" s="1"/>
  <c r="W107" i="3" a="1"/>
  <c r="W107" i="3" s="1"/>
  <c r="V107" i="3" a="1"/>
  <c r="V107" i="3" s="1"/>
  <c r="Y106" i="3" a="1"/>
  <c r="Y106" i="3" s="1"/>
  <c r="X106" i="3" a="1"/>
  <c r="X106" i="3" s="1"/>
  <c r="W106" i="3" a="1"/>
  <c r="W106" i="3" s="1"/>
  <c r="V106" i="3" a="1"/>
  <c r="V106" i="3" s="1"/>
  <c r="Y105" i="3" a="1"/>
  <c r="Y105" i="3" s="1"/>
  <c r="X105" i="3" a="1"/>
  <c r="X105" i="3" s="1"/>
  <c r="W105" i="3" a="1"/>
  <c r="W105" i="3" s="1"/>
  <c r="V105" i="3" a="1"/>
  <c r="V105" i="3" s="1"/>
  <c r="Y104" i="3" a="1"/>
  <c r="Y104" i="3" s="1"/>
  <c r="X104" i="3" a="1"/>
  <c r="X104" i="3" s="1"/>
  <c r="W104" i="3" a="1"/>
  <c r="W104" i="3" s="1"/>
  <c r="V104" i="3" a="1"/>
  <c r="V104" i="3" s="1"/>
  <c r="Y103" i="3" a="1"/>
  <c r="Y103" i="3" s="1"/>
  <c r="X103" i="3" a="1"/>
  <c r="X103" i="3" s="1"/>
  <c r="W103" i="3" a="1"/>
  <c r="W103" i="3" s="1"/>
  <c r="V103" i="3" a="1"/>
  <c r="V103" i="3" s="1"/>
  <c r="Y102" i="3" a="1"/>
  <c r="Y102" i="3" s="1"/>
  <c r="X102" i="3" a="1"/>
  <c r="X102" i="3" s="1"/>
  <c r="W102" i="3" a="1"/>
  <c r="W102" i="3" s="1"/>
  <c r="V102" i="3" a="1"/>
  <c r="V102" i="3" s="1"/>
  <c r="Y101" i="3" a="1"/>
  <c r="Y101" i="3" s="1"/>
  <c r="X101" i="3" a="1"/>
  <c r="X101" i="3" s="1"/>
  <c r="W101" i="3" a="1"/>
  <c r="W101" i="3" s="1"/>
  <c r="V101" i="3" a="1"/>
  <c r="V101" i="3" s="1"/>
  <c r="Y100" i="3" a="1"/>
  <c r="Y100" i="3" s="1"/>
  <c r="X100" i="3" a="1"/>
  <c r="X100" i="3" s="1"/>
  <c r="W100" i="3" a="1"/>
  <c r="W100" i="3" s="1"/>
  <c r="V100" i="3" a="1"/>
  <c r="V100" i="3" s="1"/>
  <c r="Y99" i="3" a="1"/>
  <c r="Y99" i="3" s="1"/>
  <c r="X99" i="3" a="1"/>
  <c r="X99" i="3" s="1"/>
  <c r="W99" i="3" a="1"/>
  <c r="W99" i="3" s="1"/>
  <c r="V99" i="3" a="1"/>
  <c r="V99" i="3" s="1"/>
  <c r="Y98" i="3" a="1"/>
  <c r="Y98" i="3" s="1"/>
  <c r="X98" i="3" a="1"/>
  <c r="X98" i="3" s="1"/>
  <c r="W98" i="3" a="1"/>
  <c r="W98" i="3" s="1"/>
  <c r="V98" i="3" a="1"/>
  <c r="V98" i="3" s="1"/>
  <c r="Y97" i="3" a="1"/>
  <c r="Y97" i="3" s="1"/>
  <c r="X97" i="3" a="1"/>
  <c r="X97" i="3" s="1"/>
  <c r="W97" i="3" a="1"/>
  <c r="W97" i="3" s="1"/>
  <c r="V97" i="3" a="1"/>
  <c r="V97" i="3" s="1"/>
  <c r="Y96" i="3" a="1"/>
  <c r="Y96" i="3" s="1"/>
  <c r="X96" i="3" a="1"/>
  <c r="X96" i="3" s="1"/>
  <c r="W96" i="3" a="1"/>
  <c r="W96" i="3" s="1"/>
  <c r="V96" i="3" a="1"/>
  <c r="V96" i="3" s="1"/>
  <c r="Y95" i="3" a="1"/>
  <c r="Y95" i="3" s="1"/>
  <c r="X95" i="3" a="1"/>
  <c r="X95" i="3" s="1"/>
  <c r="W95" i="3" a="1"/>
  <c r="W95" i="3" s="1"/>
  <c r="V95" i="3" a="1"/>
  <c r="V95" i="3" s="1"/>
  <c r="Y94" i="3" a="1"/>
  <c r="Y94" i="3" s="1"/>
  <c r="X94" i="3" a="1"/>
  <c r="X94" i="3" s="1"/>
  <c r="W94" i="3" a="1"/>
  <c r="W94" i="3" s="1"/>
  <c r="V94" i="3" a="1"/>
  <c r="V94" i="3" s="1"/>
  <c r="Y93" i="3" a="1"/>
  <c r="Y93" i="3" s="1"/>
  <c r="X93" i="3" a="1"/>
  <c r="X93" i="3" s="1"/>
  <c r="W93" i="3" a="1"/>
  <c r="W93" i="3" s="1"/>
  <c r="V93" i="3" a="1"/>
  <c r="V93" i="3" s="1"/>
  <c r="Y92" i="3" a="1"/>
  <c r="Y92" i="3" s="1"/>
  <c r="X92" i="3" a="1"/>
  <c r="X92" i="3" s="1"/>
  <c r="W92" i="3" a="1"/>
  <c r="W92" i="3" s="1"/>
  <c r="V92" i="3" a="1"/>
  <c r="V92" i="3" s="1"/>
  <c r="Y91" i="3" a="1"/>
  <c r="Y91" i="3" s="1"/>
  <c r="X91" i="3" a="1"/>
  <c r="X91" i="3" s="1"/>
  <c r="W91" i="3" a="1"/>
  <c r="W91" i="3" s="1"/>
  <c r="V91" i="3" a="1"/>
  <c r="V91" i="3" s="1"/>
  <c r="Y90" i="3" a="1"/>
  <c r="Y90" i="3" s="1"/>
  <c r="X90" i="3" a="1"/>
  <c r="X90" i="3" s="1"/>
  <c r="W90" i="3" a="1"/>
  <c r="W90" i="3" s="1"/>
  <c r="V90" i="3" a="1"/>
  <c r="V90" i="3" s="1"/>
  <c r="Y89" i="3" a="1"/>
  <c r="Y89" i="3" s="1"/>
  <c r="X89" i="3" a="1"/>
  <c r="X89" i="3" s="1"/>
  <c r="W89" i="3" a="1"/>
  <c r="W89" i="3" s="1"/>
  <c r="V89" i="3" a="1"/>
  <c r="V89" i="3" s="1"/>
  <c r="Y88" i="3" a="1"/>
  <c r="Y88" i="3" s="1"/>
  <c r="X88" i="3" a="1"/>
  <c r="X88" i="3" s="1"/>
  <c r="W88" i="3" a="1"/>
  <c r="W88" i="3" s="1"/>
  <c r="V88" i="3" a="1"/>
  <c r="V88" i="3" s="1"/>
  <c r="Y87" i="3" a="1"/>
  <c r="Y87" i="3" s="1"/>
  <c r="X87" i="3" a="1"/>
  <c r="X87" i="3" s="1"/>
  <c r="W87" i="3" a="1"/>
  <c r="W87" i="3" s="1"/>
  <c r="V87" i="3" a="1"/>
  <c r="V87" i="3" s="1"/>
  <c r="Y86" i="3" a="1"/>
  <c r="Y86" i="3" s="1"/>
  <c r="X86" i="3" a="1"/>
  <c r="X86" i="3" s="1"/>
  <c r="W86" i="3" a="1"/>
  <c r="W86" i="3" s="1"/>
  <c r="V86" i="3" a="1"/>
  <c r="V86" i="3" s="1"/>
  <c r="Y85" i="3" a="1"/>
  <c r="Y85" i="3" s="1"/>
  <c r="X85" i="3" a="1"/>
  <c r="X85" i="3" s="1"/>
  <c r="W85" i="3" a="1"/>
  <c r="W85" i="3" s="1"/>
  <c r="V85" i="3" a="1"/>
  <c r="V85" i="3" s="1"/>
  <c r="Y84" i="3" a="1"/>
  <c r="Y84" i="3" s="1"/>
  <c r="X84" i="3" a="1"/>
  <c r="X84" i="3" s="1"/>
  <c r="W84" i="3" a="1"/>
  <c r="W84" i="3" s="1"/>
  <c r="V84" i="3" a="1"/>
  <c r="V84" i="3" s="1"/>
  <c r="Y83" i="3" a="1"/>
  <c r="Y83" i="3" s="1"/>
  <c r="X83" i="3" a="1"/>
  <c r="X83" i="3" s="1"/>
  <c r="W83" i="3" a="1"/>
  <c r="W83" i="3" s="1"/>
  <c r="V83" i="3" a="1"/>
  <c r="V83" i="3" s="1"/>
  <c r="Y82" i="3" a="1"/>
  <c r="Y82" i="3" s="1"/>
  <c r="X82" i="3" a="1"/>
  <c r="X82" i="3" s="1"/>
  <c r="W82" i="3" a="1"/>
  <c r="W82" i="3" s="1"/>
  <c r="V82" i="3" a="1"/>
  <c r="V82" i="3" s="1"/>
  <c r="Y81" i="3" a="1"/>
  <c r="Y81" i="3" s="1"/>
  <c r="X81" i="3" a="1"/>
  <c r="X81" i="3" s="1"/>
  <c r="W81" i="3" a="1"/>
  <c r="W81" i="3" s="1"/>
  <c r="V81" i="3" a="1"/>
  <c r="V81" i="3" s="1"/>
  <c r="Y80" i="3" a="1"/>
  <c r="Y80" i="3" s="1"/>
  <c r="X80" i="3" a="1"/>
  <c r="X80" i="3" s="1"/>
  <c r="W80" i="3" a="1"/>
  <c r="W80" i="3" s="1"/>
  <c r="V80" i="3" a="1"/>
  <c r="V80" i="3" s="1"/>
  <c r="Y79" i="3" a="1"/>
  <c r="Y79" i="3" s="1"/>
  <c r="X79" i="3" a="1"/>
  <c r="X79" i="3" s="1"/>
  <c r="W79" i="3" a="1"/>
  <c r="W79" i="3" s="1"/>
  <c r="V79" i="3" a="1"/>
  <c r="V79" i="3" s="1"/>
  <c r="Y78" i="3" a="1"/>
  <c r="Y78" i="3" s="1"/>
  <c r="X78" i="3" a="1"/>
  <c r="X78" i="3" s="1"/>
  <c r="W78" i="3" a="1"/>
  <c r="W78" i="3" s="1"/>
  <c r="V78" i="3" a="1"/>
  <c r="V78" i="3" s="1"/>
  <c r="Y77" i="3" a="1"/>
  <c r="Y77" i="3" s="1"/>
  <c r="X77" i="3" a="1"/>
  <c r="X77" i="3" s="1"/>
  <c r="W77" i="3" a="1"/>
  <c r="W77" i="3" s="1"/>
  <c r="V77" i="3" a="1"/>
  <c r="V77" i="3" s="1"/>
  <c r="Y76" i="3" a="1"/>
  <c r="Y76" i="3" s="1"/>
  <c r="X76" i="3" a="1"/>
  <c r="X76" i="3" s="1"/>
  <c r="W76" i="3" a="1"/>
  <c r="W76" i="3" s="1"/>
  <c r="V76" i="3" a="1"/>
  <c r="V76" i="3" s="1"/>
  <c r="Y75" i="3" a="1"/>
  <c r="Y75" i="3" s="1"/>
  <c r="X75" i="3" a="1"/>
  <c r="X75" i="3" s="1"/>
  <c r="W75" i="3" a="1"/>
  <c r="W75" i="3" s="1"/>
  <c r="V75" i="3" a="1"/>
  <c r="V75" i="3" s="1"/>
  <c r="Y74" i="3" a="1"/>
  <c r="Y74" i="3" s="1"/>
  <c r="X74" i="3" a="1"/>
  <c r="X74" i="3" s="1"/>
  <c r="W74" i="3" a="1"/>
  <c r="W74" i="3" s="1"/>
  <c r="V74" i="3" a="1"/>
  <c r="V74" i="3" s="1"/>
  <c r="Y73" i="3" a="1"/>
  <c r="Y73" i="3" s="1"/>
  <c r="X73" i="3" a="1"/>
  <c r="X73" i="3" s="1"/>
  <c r="W73" i="3" a="1"/>
  <c r="W73" i="3" s="1"/>
  <c r="V73" i="3" a="1"/>
  <c r="V73" i="3" s="1"/>
  <c r="Y72" i="3" a="1"/>
  <c r="Y72" i="3" s="1"/>
  <c r="X72" i="3" a="1"/>
  <c r="X72" i="3" s="1"/>
  <c r="W72" i="3" a="1"/>
  <c r="W72" i="3" s="1"/>
  <c r="V72" i="3" a="1"/>
  <c r="V72" i="3" s="1"/>
  <c r="Y71" i="3" a="1"/>
  <c r="Y71" i="3" s="1"/>
  <c r="X71" i="3" a="1"/>
  <c r="X71" i="3" s="1"/>
  <c r="W71" i="3" a="1"/>
  <c r="W71" i="3" s="1"/>
  <c r="V71" i="3" a="1"/>
  <c r="V71" i="3" s="1"/>
  <c r="Y70" i="3" a="1"/>
  <c r="Y70" i="3" s="1"/>
  <c r="X70" i="3" a="1"/>
  <c r="X70" i="3" s="1"/>
  <c r="W70" i="3" a="1"/>
  <c r="W70" i="3" s="1"/>
  <c r="V70" i="3" a="1"/>
  <c r="V70" i="3" s="1"/>
  <c r="Y69" i="3" a="1"/>
  <c r="Y69" i="3" s="1"/>
  <c r="X69" i="3" a="1"/>
  <c r="X69" i="3" s="1"/>
  <c r="W69" i="3" a="1"/>
  <c r="W69" i="3" s="1"/>
  <c r="V69" i="3" a="1"/>
  <c r="V69" i="3" s="1"/>
  <c r="Y68" i="3" a="1"/>
  <c r="Y68" i="3" s="1"/>
  <c r="X68" i="3" a="1"/>
  <c r="X68" i="3" s="1"/>
  <c r="W68" i="3" a="1"/>
  <c r="W68" i="3" s="1"/>
  <c r="V68" i="3" a="1"/>
  <c r="V68" i="3" s="1"/>
  <c r="Y67" i="3" a="1"/>
  <c r="Y67" i="3" s="1"/>
  <c r="X67" i="3" a="1"/>
  <c r="X67" i="3" s="1"/>
  <c r="W67" i="3" a="1"/>
  <c r="W67" i="3" s="1"/>
  <c r="V67" i="3" a="1"/>
  <c r="V67" i="3" s="1"/>
  <c r="Y66" i="3" a="1"/>
  <c r="Y66" i="3" s="1"/>
  <c r="X66" i="3" a="1"/>
  <c r="X66" i="3" s="1"/>
  <c r="W66" i="3" a="1"/>
  <c r="W66" i="3" s="1"/>
  <c r="V66" i="3" a="1"/>
  <c r="V66" i="3" s="1"/>
  <c r="Y65" i="3" a="1"/>
  <c r="Y65" i="3" s="1"/>
  <c r="X65" i="3" a="1"/>
  <c r="X65" i="3" s="1"/>
  <c r="W65" i="3" a="1"/>
  <c r="W65" i="3" s="1"/>
  <c r="V65" i="3" a="1"/>
  <c r="V65" i="3" s="1"/>
  <c r="Y64" i="3" a="1"/>
  <c r="Y64" i="3" s="1"/>
  <c r="X64" i="3" a="1"/>
  <c r="X64" i="3" s="1"/>
  <c r="W64" i="3" a="1"/>
  <c r="W64" i="3" s="1"/>
  <c r="V64" i="3" a="1"/>
  <c r="V64" i="3" s="1"/>
  <c r="Y63" i="3" a="1"/>
  <c r="Y63" i="3" s="1"/>
  <c r="X63" i="3" a="1"/>
  <c r="X63" i="3" s="1"/>
  <c r="W63" i="3" a="1"/>
  <c r="W63" i="3" s="1"/>
  <c r="V63" i="3" a="1"/>
  <c r="V63" i="3" s="1"/>
  <c r="Y62" i="3" a="1"/>
  <c r="Y62" i="3" s="1"/>
  <c r="X62" i="3" a="1"/>
  <c r="X62" i="3" s="1"/>
  <c r="W62" i="3" a="1"/>
  <c r="W62" i="3" s="1"/>
  <c r="V62" i="3" a="1"/>
  <c r="V62" i="3" s="1"/>
  <c r="Y61" i="3" a="1"/>
  <c r="Y61" i="3" s="1"/>
  <c r="X61" i="3" a="1"/>
  <c r="X61" i="3" s="1"/>
  <c r="W61" i="3" a="1"/>
  <c r="W61" i="3" s="1"/>
  <c r="V61" i="3" a="1"/>
  <c r="V61" i="3" s="1"/>
  <c r="Y60" i="3" a="1"/>
  <c r="Y60" i="3" s="1"/>
  <c r="X60" i="3" a="1"/>
  <c r="X60" i="3" s="1"/>
  <c r="W60" i="3" a="1"/>
  <c r="W60" i="3" s="1"/>
  <c r="V60" i="3" a="1"/>
  <c r="V60" i="3" s="1"/>
  <c r="Y59" i="3" a="1"/>
  <c r="Y59" i="3" s="1"/>
  <c r="X59" i="3" a="1"/>
  <c r="X59" i="3" s="1"/>
  <c r="W59" i="3" a="1"/>
  <c r="W59" i="3" s="1"/>
  <c r="V59" i="3" a="1"/>
  <c r="V59" i="3" s="1"/>
  <c r="Y58" i="3" a="1"/>
  <c r="Y58" i="3" s="1"/>
  <c r="X58" i="3" a="1"/>
  <c r="X58" i="3" s="1"/>
  <c r="W58" i="3" a="1"/>
  <c r="W58" i="3" s="1"/>
  <c r="V58" i="3" a="1"/>
  <c r="V58" i="3" s="1"/>
  <c r="Y57" i="3" a="1"/>
  <c r="Y57" i="3" s="1"/>
  <c r="X57" i="3" a="1"/>
  <c r="X57" i="3" s="1"/>
  <c r="W57" i="3" a="1"/>
  <c r="W57" i="3" s="1"/>
  <c r="V57" i="3" a="1"/>
  <c r="V57" i="3" s="1"/>
  <c r="Y56" i="3" a="1"/>
  <c r="Y56" i="3" s="1"/>
  <c r="X56" i="3" a="1"/>
  <c r="X56" i="3" s="1"/>
  <c r="W56" i="3" a="1"/>
  <c r="W56" i="3" s="1"/>
  <c r="V56" i="3" a="1"/>
  <c r="V56" i="3" s="1"/>
  <c r="Y55" i="3" a="1"/>
  <c r="Y55" i="3" s="1"/>
  <c r="X55" i="3" a="1"/>
  <c r="X55" i="3" s="1"/>
  <c r="W55" i="3" a="1"/>
  <c r="W55" i="3" s="1"/>
  <c r="V55" i="3" a="1"/>
  <c r="V55" i="3" s="1"/>
  <c r="Y54" i="3" a="1"/>
  <c r="Y54" i="3" s="1"/>
  <c r="X54" i="3" a="1"/>
  <c r="X54" i="3" s="1"/>
  <c r="W54" i="3" a="1"/>
  <c r="W54" i="3" s="1"/>
  <c r="V54" i="3" a="1"/>
  <c r="V54" i="3" s="1"/>
  <c r="Y53" i="3" a="1"/>
  <c r="Y53" i="3" s="1"/>
  <c r="X53" i="3" a="1"/>
  <c r="X53" i="3" s="1"/>
  <c r="W53" i="3" a="1"/>
  <c r="W53" i="3" s="1"/>
  <c r="V53" i="3" a="1"/>
  <c r="V53" i="3" s="1"/>
  <c r="Y52" i="3" a="1"/>
  <c r="Y52" i="3" s="1"/>
  <c r="X52" i="3" a="1"/>
  <c r="X52" i="3" s="1"/>
  <c r="W52" i="3" a="1"/>
  <c r="W52" i="3" s="1"/>
  <c r="V52" i="3" a="1"/>
  <c r="V52" i="3" s="1"/>
  <c r="Y51" i="3" a="1"/>
  <c r="Y51" i="3" s="1"/>
  <c r="X51" i="3" a="1"/>
  <c r="X51" i="3" s="1"/>
  <c r="W51" i="3" a="1"/>
  <c r="W51" i="3" s="1"/>
  <c r="V51" i="3" a="1"/>
  <c r="V51" i="3" s="1"/>
  <c r="Y50" i="3" a="1"/>
  <c r="Y50" i="3" s="1"/>
  <c r="X50" i="3" a="1"/>
  <c r="X50" i="3" s="1"/>
  <c r="W50" i="3" a="1"/>
  <c r="W50" i="3" s="1"/>
  <c r="V50" i="3" a="1"/>
  <c r="V50" i="3" s="1"/>
  <c r="Y49" i="3" a="1"/>
  <c r="Y49" i="3" s="1"/>
  <c r="X49" i="3" a="1"/>
  <c r="X49" i="3" s="1"/>
  <c r="W49" i="3" a="1"/>
  <c r="W49" i="3" s="1"/>
  <c r="V49" i="3" a="1"/>
  <c r="V49" i="3" s="1"/>
  <c r="Y48" i="3" a="1"/>
  <c r="Y48" i="3" s="1"/>
  <c r="X48" i="3" a="1"/>
  <c r="X48" i="3" s="1"/>
  <c r="W48" i="3" a="1"/>
  <c r="W48" i="3" s="1"/>
  <c r="V48" i="3" a="1"/>
  <c r="V48" i="3" s="1"/>
  <c r="Y47" i="3" a="1"/>
  <c r="Y47" i="3" s="1"/>
  <c r="X47" i="3" a="1"/>
  <c r="X47" i="3" s="1"/>
  <c r="W47" i="3" a="1"/>
  <c r="W47" i="3" s="1"/>
  <c r="V47" i="3" a="1"/>
  <c r="V47" i="3" s="1"/>
  <c r="Y46" i="3" a="1"/>
  <c r="Y46" i="3" s="1"/>
  <c r="X46" i="3" a="1"/>
  <c r="X46" i="3" s="1"/>
  <c r="W46" i="3" a="1"/>
  <c r="W46" i="3" s="1"/>
  <c r="V46" i="3" a="1"/>
  <c r="V46" i="3" s="1"/>
  <c r="Y45" i="3" a="1"/>
  <c r="Y45" i="3" s="1"/>
  <c r="X45" i="3" a="1"/>
  <c r="X45" i="3" s="1"/>
  <c r="W45" i="3" a="1"/>
  <c r="W45" i="3" s="1"/>
  <c r="V45" i="3" a="1"/>
  <c r="V45" i="3" s="1"/>
  <c r="Y44" i="3" a="1"/>
  <c r="Y44" i="3" s="1"/>
  <c r="X44" i="3" a="1"/>
  <c r="X44" i="3" s="1"/>
  <c r="W44" i="3" a="1"/>
  <c r="W44" i="3" s="1"/>
  <c r="V44" i="3" a="1"/>
  <c r="V44" i="3" s="1"/>
  <c r="Y43" i="3" a="1"/>
  <c r="Y43" i="3" s="1"/>
  <c r="X43" i="3" a="1"/>
  <c r="X43" i="3" s="1"/>
  <c r="W43" i="3" a="1"/>
  <c r="W43" i="3" s="1"/>
  <c r="V43" i="3" a="1"/>
  <c r="V43" i="3" s="1"/>
  <c r="Y42" i="3" a="1"/>
  <c r="Y42" i="3" s="1"/>
  <c r="X42" i="3" a="1"/>
  <c r="X42" i="3" s="1"/>
  <c r="W42" i="3" a="1"/>
  <c r="W42" i="3" s="1"/>
  <c r="V42" i="3" a="1"/>
  <c r="V42" i="3" s="1"/>
  <c r="Y41" i="3" a="1"/>
  <c r="Y41" i="3" s="1"/>
  <c r="X41" i="3" a="1"/>
  <c r="X41" i="3" s="1"/>
  <c r="W41" i="3" a="1"/>
  <c r="W41" i="3" s="1"/>
  <c r="V41" i="3" a="1"/>
  <c r="V41" i="3" s="1"/>
  <c r="Y40" i="3" a="1"/>
  <c r="Y40" i="3" s="1"/>
  <c r="X40" i="3" a="1"/>
  <c r="X40" i="3" s="1"/>
  <c r="W40" i="3" a="1"/>
  <c r="W40" i="3" s="1"/>
  <c r="V40" i="3" a="1"/>
  <c r="V40" i="3" s="1"/>
  <c r="Y39" i="3" a="1"/>
  <c r="Y39" i="3" s="1"/>
  <c r="X39" i="3" a="1"/>
  <c r="X39" i="3" s="1"/>
  <c r="W39" i="3" a="1"/>
  <c r="W39" i="3" s="1"/>
  <c r="V39" i="3" a="1"/>
  <c r="V39" i="3" s="1"/>
  <c r="Y38" i="3" a="1"/>
  <c r="Y38" i="3" s="1"/>
  <c r="X38" i="3" a="1"/>
  <c r="X38" i="3" s="1"/>
  <c r="W38" i="3" a="1"/>
  <c r="W38" i="3" s="1"/>
  <c r="V38" i="3" a="1"/>
  <c r="V38" i="3" s="1"/>
  <c r="Y37" i="3" a="1"/>
  <c r="Y37" i="3" s="1"/>
  <c r="X37" i="3" a="1"/>
  <c r="X37" i="3" s="1"/>
  <c r="W37" i="3" a="1"/>
  <c r="W37" i="3" s="1"/>
  <c r="V37" i="3" a="1"/>
  <c r="V37" i="3" s="1"/>
  <c r="Y36" i="3" a="1"/>
  <c r="Y36" i="3" s="1"/>
  <c r="X36" i="3" a="1"/>
  <c r="X36" i="3" s="1"/>
  <c r="W36" i="3" a="1"/>
  <c r="W36" i="3" s="1"/>
  <c r="V36" i="3" a="1"/>
  <c r="V36" i="3" s="1"/>
  <c r="Y35" i="3" a="1"/>
  <c r="Y35" i="3" s="1"/>
  <c r="X35" i="3" a="1"/>
  <c r="X35" i="3" s="1"/>
  <c r="W35" i="3" a="1"/>
  <c r="W35" i="3" s="1"/>
  <c r="V35" i="3" a="1"/>
  <c r="V35" i="3" s="1"/>
  <c r="Y34" i="3" a="1"/>
  <c r="Y34" i="3" s="1"/>
  <c r="X34" i="3" a="1"/>
  <c r="X34" i="3" s="1"/>
  <c r="W34" i="3" a="1"/>
  <c r="W34" i="3" s="1"/>
  <c r="V34" i="3" a="1"/>
  <c r="V34" i="3" s="1"/>
  <c r="Y33" i="3" a="1"/>
  <c r="Y33" i="3" s="1"/>
  <c r="X33" i="3" a="1"/>
  <c r="X33" i="3" s="1"/>
  <c r="W33" i="3" a="1"/>
  <c r="W33" i="3" s="1"/>
  <c r="V33" i="3" a="1"/>
  <c r="V33" i="3" s="1"/>
  <c r="Y32" i="3" a="1"/>
  <c r="Y32" i="3" s="1"/>
  <c r="X32" i="3" a="1"/>
  <c r="X32" i="3" s="1"/>
  <c r="W32" i="3" a="1"/>
  <c r="W32" i="3" s="1"/>
  <c r="V32" i="3" a="1"/>
  <c r="V32" i="3" s="1"/>
  <c r="Y31" i="3" a="1"/>
  <c r="Y31" i="3" s="1"/>
  <c r="X31" i="3" a="1"/>
  <c r="X31" i="3" s="1"/>
  <c r="W31" i="3" a="1"/>
  <c r="W31" i="3" s="1"/>
  <c r="V31" i="3" a="1"/>
  <c r="V31" i="3" s="1"/>
  <c r="Y30" i="3" a="1"/>
  <c r="Y30" i="3" s="1"/>
  <c r="X30" i="3" a="1"/>
  <c r="X30" i="3" s="1"/>
  <c r="W30" i="3" a="1"/>
  <c r="W30" i="3" s="1"/>
  <c r="V30" i="3" a="1"/>
  <c r="V30" i="3" s="1"/>
  <c r="Y29" i="3" a="1"/>
  <c r="Y29" i="3" s="1"/>
  <c r="X29" i="3" a="1"/>
  <c r="X29" i="3" s="1"/>
  <c r="W29" i="3" a="1"/>
  <c r="W29" i="3" s="1"/>
  <c r="V29" i="3" a="1"/>
  <c r="V29" i="3" s="1"/>
  <c r="Y28" i="3" a="1"/>
  <c r="Y28" i="3" s="1"/>
  <c r="X28" i="3" a="1"/>
  <c r="X28" i="3" s="1"/>
  <c r="W28" i="3" a="1"/>
  <c r="W28" i="3" s="1"/>
  <c r="V28" i="3" a="1"/>
  <c r="V28" i="3" s="1"/>
  <c r="Y27" i="3" a="1"/>
  <c r="Y27" i="3" s="1"/>
  <c r="X27" i="3" a="1"/>
  <c r="X27" i="3" s="1"/>
  <c r="W27" i="3" a="1"/>
  <c r="W27" i="3" s="1"/>
  <c r="V27" i="3" a="1"/>
  <c r="V27" i="3" s="1"/>
  <c r="Y26" i="3" a="1"/>
  <c r="Y26" i="3" s="1"/>
  <c r="X26" i="3" a="1"/>
  <c r="X26" i="3" s="1"/>
  <c r="W26" i="3" a="1"/>
  <c r="W26" i="3" s="1"/>
  <c r="V26" i="3" a="1"/>
  <c r="V26" i="3" s="1"/>
  <c r="Y25" i="3" a="1"/>
  <c r="Y25" i="3" s="1"/>
  <c r="X25" i="3" a="1"/>
  <c r="X25" i="3" s="1"/>
  <c r="W25" i="3" a="1"/>
  <c r="W25" i="3" s="1"/>
  <c r="V25" i="3" a="1"/>
  <c r="V25" i="3" s="1"/>
  <c r="B14" i="3"/>
  <c r="J16" i="6" l="1"/>
  <c r="K16" i="6" s="1"/>
  <c r="K15" i="6"/>
  <c r="L16" i="6" s="1"/>
  <c r="F8" i="4"/>
  <c r="L15" i="6" l="1"/>
  <c r="J17" i="6"/>
  <c r="K17" i="6" s="1"/>
  <c r="F9" i="4"/>
  <c r="F7" i="4"/>
  <c r="F10" i="4"/>
  <c r="J18" i="6" l="1"/>
  <c r="L17" i="6"/>
  <c r="E32" i="2" a="1"/>
  <c r="E32" i="2" s="1"/>
  <c r="E33" i="2" a="1"/>
  <c r="E33" i="2" s="1"/>
  <c r="E34" i="2" a="1"/>
  <c r="E34" i="2" s="1"/>
  <c r="E35" i="2" a="1"/>
  <c r="E35" i="2" s="1"/>
  <c r="E36" i="2" a="1"/>
  <c r="E36" i="2" s="1"/>
  <c r="E37" i="2" a="1"/>
  <c r="E37" i="2" s="1"/>
  <c r="E38" i="2" a="1"/>
  <c r="E38" i="2" s="1"/>
  <c r="E39" i="2" a="1"/>
  <c r="E39" i="2" s="1"/>
  <c r="E40" i="2" a="1"/>
  <c r="E40" i="2" s="1"/>
  <c r="E41" i="2" a="1"/>
  <c r="E41" i="2" s="1"/>
  <c r="E42" i="2" a="1"/>
  <c r="E42" i="2" s="1"/>
  <c r="E43" i="2" a="1"/>
  <c r="E43" i="2" s="1"/>
  <c r="E44" i="2" a="1"/>
  <c r="E44" i="2" s="1"/>
  <c r="E45" i="2" a="1"/>
  <c r="E45" i="2" s="1"/>
  <c r="E46" i="2" a="1"/>
  <c r="E46" i="2" s="1"/>
  <c r="E47" i="2" a="1"/>
  <c r="E47" i="2" s="1"/>
  <c r="E48" i="2" a="1"/>
  <c r="E48" i="2" s="1"/>
  <c r="E49" i="2" a="1"/>
  <c r="E49" i="2" s="1"/>
  <c r="E50" i="2" a="1"/>
  <c r="E50" i="2" s="1"/>
  <c r="E22" i="2" a="1"/>
  <c r="E22" i="2" s="1"/>
  <c r="E23" i="2" a="1"/>
  <c r="E23" i="2" s="1"/>
  <c r="E24" i="2" a="1"/>
  <c r="E24" i="2" s="1"/>
  <c r="E25" i="2" a="1"/>
  <c r="E25" i="2" s="1"/>
  <c r="E26" i="2" a="1"/>
  <c r="E26" i="2" s="1"/>
  <c r="E27" i="2" a="1"/>
  <c r="E27" i="2" s="1"/>
  <c r="E28" i="2" a="1"/>
  <c r="E28" i="2" s="1"/>
  <c r="E29" i="2" a="1"/>
  <c r="E29" i="2" s="1"/>
  <c r="E30" i="2" a="1"/>
  <c r="E30" i="2" s="1"/>
  <c r="E31" i="2" a="1"/>
  <c r="E31" i="2" s="1"/>
  <c r="E21" i="2" a="1"/>
  <c r="E21" i="2" s="1"/>
  <c r="J19" i="6" l="1"/>
  <c r="K18" i="6"/>
  <c r="D84" i="5"/>
  <c r="E84" i="5"/>
  <c r="D85" i="5"/>
  <c r="E85" i="5"/>
  <c r="D86" i="5"/>
  <c r="E86" i="5"/>
  <c r="D89" i="5"/>
  <c r="E89" i="5"/>
  <c r="D106" i="5"/>
  <c r="E106" i="5"/>
  <c r="D107" i="5"/>
  <c r="E107" i="5"/>
  <c r="D108" i="5"/>
  <c r="E108" i="5"/>
  <c r="E67" i="5"/>
  <c r="D67" i="5"/>
  <c r="E21" i="5"/>
  <c r="D21" i="5"/>
  <c r="N36" i="5"/>
  <c r="J20" i="6" l="1"/>
  <c r="L18" i="6"/>
  <c r="K19" i="6"/>
  <c r="D14" i="5"/>
  <c r="D18" i="5"/>
  <c r="D23" i="5"/>
  <c r="D26" i="5"/>
  <c r="D32" i="5"/>
  <c r="D33" i="5"/>
  <c r="D36" i="5"/>
  <c r="D39" i="5"/>
  <c r="D42" i="5"/>
  <c r="D45" i="5"/>
  <c r="D47" i="5"/>
  <c r="D12" i="5"/>
  <c r="E145" i="5"/>
  <c r="E146" i="5"/>
  <c r="E147" i="5"/>
  <c r="E148" i="5"/>
  <c r="E149" i="5"/>
  <c r="E150" i="5"/>
  <c r="E151" i="5"/>
  <c r="E152" i="5"/>
  <c r="E153" i="5"/>
  <c r="E154" i="5"/>
  <c r="E155" i="5"/>
  <c r="E156" i="5"/>
  <c r="E144" i="5"/>
  <c r="C145" i="5"/>
  <c r="D145" i="5"/>
  <c r="C146" i="5"/>
  <c r="D146" i="5"/>
  <c r="C147" i="5"/>
  <c r="D147" i="5"/>
  <c r="C148" i="5"/>
  <c r="D148" i="5"/>
  <c r="C149" i="5"/>
  <c r="D149" i="5"/>
  <c r="C150" i="5"/>
  <c r="D150" i="5"/>
  <c r="C151" i="5"/>
  <c r="D151" i="5"/>
  <c r="C152" i="5"/>
  <c r="D152" i="5"/>
  <c r="C153" i="5"/>
  <c r="D153" i="5"/>
  <c r="C154" i="5"/>
  <c r="D154" i="5"/>
  <c r="C155" i="5"/>
  <c r="D155" i="5"/>
  <c r="C156" i="5"/>
  <c r="D156" i="5"/>
  <c r="D144" i="5"/>
  <c r="C144" i="5"/>
  <c r="E14" i="5"/>
  <c r="E18" i="5"/>
  <c r="E23" i="5"/>
  <c r="E26" i="5"/>
  <c r="E32" i="5"/>
  <c r="E33" i="5"/>
  <c r="E36" i="5"/>
  <c r="E39" i="5"/>
  <c r="E42" i="5"/>
  <c r="E45" i="5"/>
  <c r="E47" i="5"/>
  <c r="E12" i="5"/>
  <c r="L19" i="6" l="1"/>
  <c r="J21" i="6"/>
  <c r="K20" i="6"/>
  <c r="L36" i="5"/>
  <c r="H36" i="5"/>
  <c r="J22" i="6" l="1"/>
  <c r="L20" i="6"/>
  <c r="K22" i="6"/>
  <c r="K21" i="6"/>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21" i="2"/>
  <c r="L22" i="6" l="1"/>
  <c r="J23" i="6"/>
  <c r="L21" i="6"/>
  <c r="J24" i="6" l="1"/>
  <c r="K24" i="6"/>
  <c r="K23" i="6"/>
  <c r="L24" i="6" l="1"/>
  <c r="L23" i="6"/>
  <c r="J25" i="6"/>
  <c r="K25" i="6" s="1"/>
  <c r="L25" i="6" l="1"/>
  <c r="J26" i="6"/>
  <c r="K26" i="6" s="1"/>
  <c r="J27" i="6" l="1"/>
  <c r="L26" i="6"/>
  <c r="K27" i="6"/>
  <c r="L27" i="6" s="1"/>
  <c r="J28" i="6" l="1"/>
  <c r="K28" i="6" l="1"/>
  <c r="J29" i="6"/>
  <c r="L28" i="6" l="1"/>
  <c r="J30" i="6"/>
  <c r="K30" i="6" s="1"/>
  <c r="K29" i="6"/>
  <c r="L29" i="6" l="1"/>
  <c r="J31" i="6"/>
  <c r="L30" i="6"/>
  <c r="J32" i="6" l="1"/>
  <c r="K32" i="6" s="1"/>
  <c r="K31" i="6"/>
  <c r="L32" i="6" l="1"/>
  <c r="L31" i="6"/>
  <c r="J33" i="6"/>
  <c r="K33" i="6" s="1"/>
  <c r="L33" i="6" l="1"/>
  <c r="J34" i="6"/>
  <c r="J35" i="6" l="1"/>
  <c r="K35" i="6" s="1"/>
  <c r="K34" i="6"/>
  <c r="L35" i="6" l="1"/>
  <c r="L34" i="6"/>
  <c r="J36" i="6"/>
  <c r="J37" i="6" l="1"/>
  <c r="K37" i="6"/>
  <c r="K36" i="6"/>
  <c r="L37" i="6" l="1"/>
  <c r="L36" i="6"/>
  <c r="J38" i="6"/>
  <c r="K38" i="6" s="1"/>
  <c r="L38" i="6" l="1"/>
  <c r="J39" i="6"/>
  <c r="K39" i="6" s="1"/>
  <c r="L39" i="6" l="1"/>
  <c r="J40" i="6"/>
  <c r="J41" i="6" l="1"/>
  <c r="K41" i="6" s="1"/>
  <c r="K40" i="6"/>
  <c r="L41" i="6" l="1"/>
  <c r="L40" i="6"/>
  <c r="J42" i="6"/>
  <c r="K42" i="6" s="1"/>
  <c r="L42" i="6" l="1"/>
  <c r="J43" i="6"/>
  <c r="K43" i="6" l="1"/>
  <c r="J44" i="6"/>
  <c r="K44" i="6" s="1"/>
  <c r="L43" i="6" l="1"/>
  <c r="L44" i="6"/>
  <c r="J45" i="6"/>
  <c r="K45" i="6" s="1"/>
  <c r="L45" i="6" l="1"/>
  <c r="J46" i="6"/>
  <c r="K46" i="6" l="1"/>
  <c r="J47" i="6"/>
  <c r="K47" i="6" s="1"/>
  <c r="J48" i="6" l="1"/>
  <c r="K48" i="6"/>
  <c r="L46" i="6"/>
  <c r="L48" i="6"/>
  <c r="L47" i="6"/>
  <c r="J49" i="6" l="1"/>
  <c r="J50" i="6" l="1"/>
  <c r="K49" i="6"/>
  <c r="J51" i="6" l="1"/>
  <c r="K51" i="6" s="1"/>
  <c r="L49" i="6"/>
  <c r="K50" i="6"/>
  <c r="L50" i="6" l="1"/>
  <c r="L51" i="6"/>
  <c r="J52" i="6"/>
  <c r="J53" i="6" l="1"/>
  <c r="K52" i="6"/>
  <c r="J54" i="6" l="1"/>
  <c r="K54" i="6"/>
  <c r="L52" i="6"/>
  <c r="K53" i="6"/>
  <c r="L53" i="6" l="1"/>
  <c r="L54" i="6"/>
  <c r="J55" i="6"/>
  <c r="J56" i="6" l="1"/>
  <c r="K56" i="6"/>
  <c r="K55" i="6"/>
  <c r="L56" i="6" l="1"/>
  <c r="L55" i="6"/>
  <c r="J57" i="6"/>
  <c r="K57" i="6" l="1"/>
  <c r="J58" i="6"/>
  <c r="J59" i="6" l="1"/>
  <c r="L57" i="6"/>
  <c r="K58" i="6"/>
  <c r="L58" i="6" l="1"/>
  <c r="J60" i="6"/>
  <c r="K59" i="6"/>
  <c r="J61" i="6" l="1"/>
  <c r="K61" i="6" s="1"/>
  <c r="K60" i="6"/>
  <c r="L59" i="6"/>
  <c r="L61" i="6" l="1"/>
  <c r="L60" i="6"/>
  <c r="J62" i="6"/>
  <c r="J63" i="6" l="1"/>
  <c r="K62" i="6"/>
  <c r="L62" i="6" l="1"/>
  <c r="J64" i="6"/>
  <c r="K63" i="6"/>
  <c r="J65" i="6" l="1"/>
  <c r="K65" i="6" s="1"/>
  <c r="K64" i="6"/>
  <c r="L63" i="6"/>
  <c r="L64" i="6"/>
  <c r="L65" i="6" l="1"/>
  <c r="J66" i="6"/>
  <c r="J67" i="6" l="1"/>
  <c r="K67" i="6" s="1"/>
  <c r="K66" i="6"/>
  <c r="L66" i="6" l="1"/>
  <c r="L67" i="6"/>
  <c r="J68" i="6"/>
  <c r="J69" i="6" l="1"/>
  <c r="K69" i="6"/>
  <c r="K68" i="6"/>
  <c r="L69" i="6" l="1"/>
  <c r="L68" i="6"/>
  <c r="J70" i="6"/>
  <c r="J71" i="6" l="1"/>
  <c r="K70" i="6"/>
  <c r="L70" i="6" l="1"/>
  <c r="J72" i="6"/>
  <c r="K71" i="6"/>
  <c r="J73" i="6" l="1"/>
  <c r="L71" i="6"/>
  <c r="K72" i="6"/>
  <c r="L72" i="6" l="1"/>
  <c r="J74" i="6"/>
  <c r="K73" i="6"/>
  <c r="L73" i="6" s="1"/>
  <c r="J75" i="6" l="1"/>
  <c r="K74" i="6"/>
  <c r="L74" i="6" l="1"/>
  <c r="J76" i="6"/>
  <c r="K75" i="6"/>
  <c r="L75" i="6" l="1"/>
  <c r="J77" i="6"/>
  <c r="K76" i="6"/>
  <c r="L76" i="6"/>
  <c r="J78" i="6" l="1"/>
  <c r="K77" i="6"/>
  <c r="L77" i="6" l="1"/>
  <c r="J79" i="6"/>
  <c r="K78" i="6"/>
  <c r="J80" i="6" l="1"/>
  <c r="L78" i="6"/>
  <c r="K80" i="6"/>
  <c r="K79" i="6"/>
  <c r="L79" i="6" s="1"/>
  <c r="L80" i="6" l="1"/>
  <c r="J81" i="6"/>
  <c r="J82" i="6" l="1"/>
  <c r="K81" i="6"/>
  <c r="L81" i="6" l="1"/>
  <c r="J83" i="6"/>
  <c r="K82" i="6"/>
  <c r="J84" i="6" l="1"/>
  <c r="K84" i="6" s="1"/>
  <c r="K83" i="6"/>
  <c r="L82" i="6"/>
  <c r="L83" i="6"/>
  <c r="L84" i="6" l="1"/>
  <c r="J85" i="6"/>
  <c r="J86" i="6" l="1"/>
  <c r="K86" i="6"/>
  <c r="K85" i="6"/>
  <c r="L85" i="6" l="1"/>
  <c r="L86" i="6"/>
  <c r="J87" i="6"/>
  <c r="J88" i="6" l="1"/>
  <c r="K87" i="6"/>
  <c r="J89" i="6" l="1"/>
  <c r="L87" i="6"/>
  <c r="K89" i="6"/>
  <c r="K88" i="6"/>
  <c r="L88" i="6" l="1"/>
  <c r="L89" i="6"/>
  <c r="J90" i="6"/>
  <c r="J91" i="6" l="1"/>
  <c r="K91" i="6"/>
  <c r="K90" i="6"/>
  <c r="L91" i="6" l="1"/>
  <c r="L90" i="6"/>
  <c r="J92" i="6"/>
  <c r="J93" i="6" l="1"/>
  <c r="K92" i="6"/>
  <c r="L92" i="6" l="1"/>
  <c r="J94" i="6"/>
  <c r="K94" i="6" s="1"/>
  <c r="K93" i="6"/>
  <c r="L94" i="6" l="1"/>
  <c r="J95" i="6"/>
  <c r="L93" i="6"/>
  <c r="K95" i="6"/>
  <c r="L95" i="6" s="1"/>
  <c r="J96" i="6" l="1"/>
  <c r="J97" i="6" l="1"/>
  <c r="K97" i="6" s="1"/>
  <c r="K96" i="6"/>
  <c r="L96" i="6" l="1"/>
  <c r="L97" i="6"/>
  <c r="J98" i="6"/>
  <c r="K98" i="6" s="1"/>
  <c r="J99" i="6" l="1"/>
  <c r="K99" i="6" s="1"/>
  <c r="L98" i="6"/>
  <c r="L99" i="6" l="1"/>
  <c r="J100" i="6"/>
  <c r="K100" i="6" s="1"/>
  <c r="L100" i="6" l="1"/>
  <c r="J101" i="6"/>
  <c r="K101" i="6" s="1"/>
  <c r="L101" i="6" l="1"/>
  <c r="J102" i="6"/>
  <c r="K102" i="6" s="1"/>
  <c r="J103" i="6" l="1"/>
  <c r="L102" i="6"/>
  <c r="J104" i="6" l="1"/>
  <c r="K103" i="6"/>
  <c r="L103" i="6" l="1"/>
  <c r="J105" i="6"/>
  <c r="K104" i="6"/>
  <c r="J106" i="6" l="1"/>
  <c r="K105" i="6"/>
  <c r="L104" i="6"/>
  <c r="L105" i="6"/>
  <c r="J107" i="6" l="1"/>
  <c r="K106" i="6"/>
  <c r="L106" i="6" l="1"/>
  <c r="J108" i="6"/>
  <c r="K108" i="6" s="1"/>
  <c r="K107" i="6"/>
  <c r="L108" i="6" l="1"/>
  <c r="L107" i="6"/>
  <c r="J109" i="6"/>
  <c r="J110" i="6" l="1"/>
  <c r="K110" i="6" s="1"/>
  <c r="K109" i="6"/>
  <c r="L110" i="6" l="1"/>
  <c r="L109" i="6"/>
  <c r="J111" i="6"/>
  <c r="K111" i="6" l="1"/>
  <c r="J112" i="6"/>
  <c r="J113" i="6" l="1"/>
  <c r="L111" i="6"/>
  <c r="K112" i="6"/>
  <c r="L112" i="6" l="1"/>
  <c r="J114" i="6"/>
  <c r="K113" i="6"/>
  <c r="J115" i="6" l="1"/>
  <c r="K114" i="6"/>
  <c r="L114" i="6"/>
  <c r="L113" i="6"/>
  <c r="J116" i="6" l="1"/>
  <c r="K115" i="6"/>
  <c r="J117" i="6" l="1"/>
  <c r="K117" i="6" s="1"/>
  <c r="L115" i="6"/>
  <c r="K116" i="6"/>
  <c r="L117" i="6" l="1"/>
  <c r="L116" i="6"/>
  <c r="J118" i="6"/>
  <c r="K118" i="6" s="1"/>
  <c r="L118" i="6" l="1"/>
  <c r="J119" i="6"/>
  <c r="K119" i="6" s="1"/>
  <c r="J120" i="6" l="1"/>
  <c r="L119" i="6"/>
  <c r="J121" i="6" l="1"/>
  <c r="K120" i="6"/>
  <c r="L120" i="6" l="1"/>
  <c r="J122" i="6"/>
  <c r="K122" i="6" s="1"/>
  <c r="K121" i="6"/>
  <c r="L122" i="6" l="1"/>
  <c r="L121" i="6"/>
  <c r="J123" i="6"/>
  <c r="J124" i="6" l="1"/>
  <c r="K123" i="6"/>
  <c r="J125" i="6" l="1"/>
  <c r="K125" i="6"/>
  <c r="L123" i="6"/>
  <c r="K124" i="6"/>
  <c r="L125" i="6" l="1"/>
  <c r="L124" i="6"/>
  <c r="J126" i="6"/>
  <c r="J127" i="6" l="1"/>
  <c r="K126" i="6"/>
  <c r="J128" i="6" l="1"/>
  <c r="L126" i="6"/>
  <c r="K127" i="6"/>
  <c r="L127" i="6" l="1"/>
  <c r="J129" i="6"/>
  <c r="K128" i="6"/>
  <c r="L128" i="6" s="1"/>
  <c r="J130" i="6" l="1"/>
  <c r="K130" i="6"/>
  <c r="K129" i="6"/>
  <c r="L129" i="6" s="1"/>
  <c r="L130" i="6"/>
  <c r="J131" i="6" l="1"/>
  <c r="J132" i="6" l="1"/>
  <c r="K131" i="6"/>
  <c r="L131" i="6" l="1"/>
  <c r="J133" i="6"/>
  <c r="K132" i="6"/>
  <c r="J134" i="6" l="1"/>
  <c r="K134" i="6" s="1"/>
  <c r="K133" i="6"/>
  <c r="L133" i="6"/>
  <c r="L132" i="6"/>
  <c r="L134" i="6" l="1"/>
  <c r="J135" i="6"/>
  <c r="K135" i="6" s="1"/>
  <c r="L135" i="6" s="1"/>
  <c r="J136" i="6" l="1"/>
  <c r="J137" i="6" l="1"/>
  <c r="K136" i="6"/>
  <c r="K137" i="6" l="1"/>
  <c r="L136" i="6"/>
  <c r="L137" i="6"/>
  <c r="J138" i="6"/>
  <c r="J139" i="6" l="1"/>
  <c r="K139" i="6"/>
  <c r="K138" i="6"/>
  <c r="L139" i="6" l="1"/>
  <c r="L138" i="6"/>
  <c r="J140" i="6"/>
  <c r="K140" i="6" l="1"/>
  <c r="J141" i="6"/>
  <c r="J142" i="6" l="1"/>
  <c r="K142" i="6" s="1"/>
  <c r="L140" i="6"/>
  <c r="K141" i="6"/>
  <c r="L142" i="6" l="1"/>
  <c r="L141" i="6"/>
  <c r="J143" i="6"/>
  <c r="J144" i="6" l="1"/>
  <c r="K143" i="6"/>
  <c r="L143" i="6" l="1"/>
  <c r="J145" i="6"/>
  <c r="K144" i="6"/>
  <c r="J146" i="6" l="1"/>
  <c r="K145" i="6"/>
  <c r="L145" i="6" s="1"/>
  <c r="L144" i="6"/>
  <c r="J147" i="6" l="1"/>
  <c r="K147" i="6" s="1"/>
  <c r="K146" i="6"/>
  <c r="L146" i="6" l="1"/>
  <c r="L147" i="6"/>
  <c r="J148" i="6"/>
  <c r="J149" i="6" l="1"/>
  <c r="K148" i="6"/>
  <c r="L148" i="6" l="1"/>
  <c r="J150" i="6"/>
  <c r="K149" i="6"/>
  <c r="J151" i="6" l="1"/>
  <c r="K150" i="6"/>
  <c r="L149" i="6"/>
  <c r="L150" i="6" l="1"/>
  <c r="J152" i="6"/>
  <c r="K151" i="6"/>
  <c r="L151" i="6" s="1"/>
  <c r="J153" i="6" l="1"/>
  <c r="K152" i="6"/>
  <c r="J154" i="6" l="1"/>
  <c r="K154" i="6"/>
  <c r="L152" i="6"/>
  <c r="K153" i="6"/>
  <c r="L153" i="6" s="1"/>
  <c r="J155" i="6" l="1"/>
  <c r="K155" i="6" s="1"/>
  <c r="L154" i="6"/>
  <c r="L155" i="6" l="1"/>
  <c r="J156" i="6"/>
  <c r="K156" i="6" s="1"/>
  <c r="J157" i="6" l="1"/>
  <c r="K157" i="6" s="1"/>
  <c r="L156" i="6"/>
  <c r="L157" i="6" l="1"/>
  <c r="J158" i="6"/>
  <c r="J159" i="6" l="1"/>
  <c r="K158" i="6"/>
  <c r="L158" i="6" l="1"/>
  <c r="J160" i="6"/>
  <c r="K160" i="6" s="1"/>
  <c r="K159" i="6"/>
  <c r="L159" i="6" l="1"/>
  <c r="L160" i="6"/>
  <c r="J161" i="6"/>
  <c r="J162" i="6" l="1"/>
  <c r="K161" i="6"/>
  <c r="J163" i="6" l="1"/>
  <c r="L161" i="6"/>
  <c r="K163" i="6"/>
  <c r="K162" i="6"/>
  <c r="L162" i="6" l="1"/>
  <c r="L163" i="6"/>
  <c r="J164" i="6"/>
  <c r="J165" i="6" l="1"/>
  <c r="K165" i="6" s="1"/>
  <c r="K164" i="6"/>
  <c r="L165" i="6" l="1"/>
  <c r="L164" i="6"/>
  <c r="J166" i="6"/>
  <c r="K166" i="6" l="1"/>
  <c r="J167" i="6"/>
  <c r="L166" i="6" l="1"/>
  <c r="J168" i="6"/>
  <c r="K167" i="6"/>
  <c r="J169" i="6" l="1"/>
  <c r="K168" i="6"/>
  <c r="L168" i="6" s="1"/>
  <c r="L167" i="6"/>
  <c r="J170" i="6" l="1"/>
  <c r="K169" i="6"/>
  <c r="J171" i="6" l="1"/>
  <c r="K171" i="6" s="1"/>
  <c r="L169" i="6"/>
  <c r="K170" i="6"/>
  <c r="L171" i="6" l="1"/>
  <c r="L170" i="6"/>
  <c r="J172" i="6"/>
  <c r="J173" i="6" l="1"/>
  <c r="K172" i="6"/>
  <c r="L172" i="6" l="1"/>
  <c r="J174" i="6"/>
  <c r="K174" i="6" s="1"/>
  <c r="K173" i="6"/>
  <c r="J175" i="6" l="1"/>
  <c r="K175" i="6" s="1"/>
  <c r="L173" i="6"/>
  <c r="L174" i="6"/>
  <c r="L175" i="6" l="1"/>
  <c r="J176" i="6"/>
  <c r="K176" i="6" s="1"/>
  <c r="L176" i="6" l="1"/>
  <c r="J177" i="6"/>
  <c r="J178" i="6" l="1"/>
  <c r="K177" i="6"/>
  <c r="L177" i="6" l="1"/>
  <c r="J179" i="6"/>
  <c r="K178" i="6"/>
  <c r="K179" i="6" l="1"/>
  <c r="J180" i="6"/>
  <c r="L178" i="6"/>
  <c r="J181" i="6" l="1"/>
  <c r="K180" i="6"/>
  <c r="L179" i="6"/>
  <c r="L180" i="6" l="1"/>
  <c r="J182" i="6"/>
  <c r="K181" i="6"/>
  <c r="J183" i="6" l="1"/>
  <c r="K182" i="6"/>
  <c r="L181" i="6"/>
  <c r="J184" i="6" l="1"/>
  <c r="K183" i="6"/>
  <c r="L182" i="6"/>
  <c r="L183" i="6" l="1"/>
  <c r="J185" i="6"/>
  <c r="K184" i="6"/>
  <c r="L184" i="6" l="1"/>
  <c r="J186" i="6"/>
  <c r="K185" i="6"/>
  <c r="J187" i="6" l="1"/>
  <c r="L185" i="6"/>
  <c r="K187" i="6"/>
  <c r="K186" i="6"/>
  <c r="L187" i="6" s="1"/>
  <c r="L186" i="6" l="1"/>
  <c r="J188" i="6"/>
  <c r="J189" i="6" l="1"/>
  <c r="K188" i="6"/>
  <c r="L188" i="6" l="1"/>
  <c r="J190" i="6"/>
  <c r="K189" i="6"/>
  <c r="J191" i="6" l="1"/>
  <c r="K190" i="6"/>
  <c r="L190" i="6" s="1"/>
  <c r="L189" i="6"/>
  <c r="J192" i="6" l="1"/>
  <c r="K192" i="6"/>
  <c r="K191" i="6"/>
  <c r="L192" i="6"/>
  <c r="L191" i="6" l="1"/>
  <c r="J193" i="6"/>
  <c r="J194" i="6" l="1"/>
  <c r="K193" i="6"/>
  <c r="L193" i="6" l="1"/>
  <c r="J195" i="6"/>
  <c r="K195" i="6" s="1"/>
  <c r="K194" i="6"/>
  <c r="L194" i="6" s="1"/>
  <c r="J196" i="6" l="1"/>
  <c r="L195" i="6"/>
  <c r="J197" i="6" l="1"/>
  <c r="K196" i="6"/>
  <c r="L196" i="6" l="1"/>
  <c r="J198" i="6"/>
  <c r="K197" i="6"/>
  <c r="J199" i="6" l="1"/>
  <c r="K198" i="6"/>
  <c r="L197" i="6"/>
  <c r="L198" i="6" l="1"/>
  <c r="J200" i="6"/>
  <c r="K199" i="6"/>
  <c r="L199" i="6" s="1"/>
  <c r="J201" i="6" l="1"/>
  <c r="K200" i="6"/>
  <c r="K201" i="6" l="1"/>
  <c r="L200" i="6"/>
  <c r="J202" i="6"/>
  <c r="J203" i="6" l="1"/>
  <c r="K202" i="6"/>
  <c r="L201" i="6"/>
  <c r="L202" i="6" l="1"/>
  <c r="J204" i="6"/>
  <c r="K203" i="6"/>
  <c r="J205" i="6" l="1"/>
  <c r="L203" i="6"/>
  <c r="K205" i="6"/>
  <c r="K204" i="6"/>
  <c r="L204" i="6" s="1"/>
  <c r="L205" i="6" l="1"/>
  <c r="J206" i="6"/>
  <c r="J207" i="6" l="1"/>
  <c r="K207" i="6" s="1"/>
  <c r="K206" i="6"/>
  <c r="L207" i="6" l="1"/>
  <c r="L206" i="6"/>
  <c r="J208" i="6"/>
  <c r="K208" i="6" s="1"/>
  <c r="L208" i="6" l="1"/>
  <c r="J209" i="6"/>
  <c r="K209" i="6" s="1"/>
  <c r="J210" i="6" l="1"/>
  <c r="L209" i="6"/>
  <c r="J211" i="6" l="1"/>
  <c r="K211" i="6"/>
  <c r="K210" i="6"/>
  <c r="L211" i="6" l="1"/>
  <c r="L210" i="6"/>
  <c r="J212" i="6"/>
  <c r="J213" i="6" l="1"/>
  <c r="K212" i="6"/>
  <c r="K213" i="6" l="1"/>
  <c r="L213" i="6"/>
  <c r="L212" i="6"/>
  <c r="J214" i="6"/>
  <c r="J215" i="6" l="1"/>
  <c r="K214" i="6"/>
  <c r="L214" i="6" l="1"/>
  <c r="J216" i="6"/>
  <c r="K215" i="6"/>
  <c r="J217" i="6" l="1"/>
  <c r="K216" i="6"/>
  <c r="L216" i="6" s="1"/>
  <c r="L215" i="6"/>
  <c r="J218" i="6" l="1"/>
  <c r="K217" i="6"/>
  <c r="J219" i="6" l="1"/>
  <c r="K219" i="6"/>
  <c r="L217" i="6"/>
  <c r="K218" i="6"/>
  <c r="L219" i="6" s="1"/>
  <c r="L218" i="6" l="1"/>
  <c r="J220" i="6"/>
  <c r="J221" i="6" l="1"/>
  <c r="K220" i="6"/>
  <c r="L220" i="6" l="1"/>
  <c r="J222" i="6"/>
  <c r="K221" i="6"/>
  <c r="J223" i="6" l="1"/>
  <c r="K222" i="6"/>
  <c r="L222" i="6"/>
  <c r="L221" i="6"/>
  <c r="J224" i="6" l="1"/>
  <c r="K223" i="6"/>
  <c r="L223" i="6" l="1"/>
  <c r="J225" i="6"/>
  <c r="K224" i="6"/>
  <c r="L224" i="6" l="1"/>
  <c r="J226" i="6"/>
  <c r="K226" i="6" s="1"/>
  <c r="K225" i="6"/>
  <c r="L225" i="6" l="1"/>
  <c r="L226" i="6"/>
  <c r="J227" i="6"/>
  <c r="J228" i="6" l="1"/>
  <c r="K227" i="6"/>
  <c r="L227" i="6" l="1"/>
  <c r="J229" i="6"/>
  <c r="K228" i="6"/>
  <c r="J230" i="6" l="1"/>
  <c r="K229" i="6"/>
  <c r="L229" i="6" s="1"/>
  <c r="L228" i="6"/>
  <c r="K230" i="6" l="1"/>
  <c r="J231" i="6"/>
  <c r="J232" i="6" l="1"/>
  <c r="L230" i="6"/>
  <c r="K231" i="6"/>
  <c r="L231" i="6" l="1"/>
  <c r="J233" i="6"/>
  <c r="K232" i="6"/>
  <c r="J234" i="6" l="1"/>
  <c r="K234" i="6"/>
  <c r="L232" i="6"/>
  <c r="K233" i="6"/>
  <c r="L233" i="6" s="1"/>
  <c r="L234" i="6"/>
  <c r="J235" i="6" l="1"/>
  <c r="K235" i="6" s="1"/>
  <c r="L235" i="6" l="1"/>
  <c r="J236" i="6"/>
  <c r="J237" i="6" l="1"/>
  <c r="K236" i="6"/>
  <c r="L236" i="6" l="1"/>
  <c r="J238" i="6"/>
  <c r="K237" i="6"/>
  <c r="J239" i="6" l="1"/>
  <c r="K238" i="6"/>
  <c r="L237" i="6"/>
  <c r="L238" i="6" l="1"/>
  <c r="J240" i="6"/>
  <c r="K239" i="6"/>
  <c r="K240" i="6" l="1"/>
  <c r="L239" i="6"/>
  <c r="J241" i="6"/>
  <c r="J242" i="6" l="1"/>
  <c r="K242" i="6" s="1"/>
  <c r="L240" i="6"/>
  <c r="K241" i="6"/>
  <c r="L242" i="6" l="1"/>
  <c r="L241" i="6"/>
  <c r="J243" i="6"/>
  <c r="J245" i="6" l="1"/>
  <c r="J244" i="6"/>
  <c r="K243" i="6"/>
  <c r="L243" i="6" l="1"/>
  <c r="K245" i="6"/>
  <c r="K244" i="6"/>
  <c r="L244" i="6" s="1"/>
  <c r="L245"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xml:space="preserve">Jarzomski, Kevin </author>
  </authors>
  <commentList>
    <comment ref="B16" authorId="0" shapeId="0" xr:uid="{00000000-0006-0000-0100-000001000000}">
      <text>
        <r>
          <rPr>
            <sz val="12"/>
            <color indexed="81"/>
            <rFont val="Tahoma"/>
            <family val="2"/>
          </rPr>
          <t>MNUMRTCL in RTEK includes file must be greater than or equal to this value.</t>
        </r>
      </text>
    </comment>
    <comment ref="B19" authorId="0" shapeId="0" xr:uid="{00000000-0006-0000-0100-000002000000}">
      <text>
        <r>
          <rPr>
            <sz val="12"/>
            <color indexed="81"/>
            <rFont val="Tahoma"/>
            <family val="2"/>
          </rPr>
          <t>Used to lookup equipment class fuel in RSMEQP; not used by model</t>
        </r>
      </text>
    </comment>
    <comment ref="C19" authorId="0" shapeId="0" xr:uid="{00000000-0006-0000-0100-000003000000}">
      <text>
        <r>
          <rPr>
            <sz val="12"/>
            <color indexed="81"/>
            <rFont val="Tahoma"/>
            <family val="2"/>
          </rPr>
          <t>1=Space Heating
2=Space Cooling
3=Clothes Washing
4=Dishwashing
5=Water Heating
6=Cooking
7=Clothes Drying
8=Refrigeration
9=Freezing</t>
        </r>
      </text>
    </comment>
    <comment ref="D19" authorId="0" shapeId="0" xr:uid="{00000000-0006-0000-0100-000004000000}">
      <text>
        <r>
          <rPr>
            <sz val="12"/>
            <color indexed="81"/>
            <rFont val="Tahoma"/>
            <family val="2"/>
          </rPr>
          <t>Appears on all records; matches xlRTTYEQCL in RSMEQP for one or more equipment types (there are one or more equipment types in RSMEQP for each class in RSCLASS)</t>
        </r>
      </text>
    </comment>
    <comment ref="E19" authorId="0" shapeId="0" xr:uid="{00000000-0006-0000-0100-000005000000}">
      <text>
        <r>
          <rPr>
            <sz val="12"/>
            <color indexed="81"/>
            <rFont val="Tahoma"/>
            <family val="2"/>
          </rPr>
          <t xml:space="preserve">Required pointer from equipment class to a representative equipment type. This is the only pointer from RSCLASS to RSMEQP. This pointer selects the equipment type used in determining the equipment class for newly constructed housing units and replacement equipment class in single-family houses. Its value is the lowest xlRTEQTYPE in RSMEQP of the representative equipment.
</t>
        </r>
        <r>
          <rPr>
            <i/>
            <sz val="12"/>
            <color indexed="81"/>
            <rFont val="Tahoma"/>
            <family val="2"/>
          </rPr>
          <t>Note that these are array equations (hold Ctrl+Shift+Enter when modifying equations)</t>
        </r>
      </text>
    </comment>
    <comment ref="F19" authorId="0" shapeId="0" xr:uid="{00000000-0006-0000-0100-000006000000}">
      <text>
        <r>
          <rPr>
            <sz val="12"/>
            <color indexed="81"/>
            <rFont val="Tahoma"/>
            <family val="2"/>
          </rPr>
          <t>Points to associated equipment classes in other end uses (space heating, space cooling, and water heating only); otherwise, equals 0.
If space heating (end use = 1): Required pointer from space heater class to associated water heater class linking water heater fuel choice to space heater fuel choice for newly constructed housing units.
If space cooling (end use = 2): Required pointer from cooling heat pump class to same class of heating heat pump. 0 = Not a heat pump; Integer = corresponding space heating heat pump class number
If water heating (end use = 5): Required pointer from water heater class to matching cooking class, linking cooking fuel choice to water heater fuel choice for newly constructed housing units. Only natural gas water heaters may point to two types of cooking ranges (i.e., natural gas or electric; see xlRTCLREPL for end use 5).</t>
        </r>
      </text>
    </comment>
    <comment ref="G19" authorId="0" shapeId="0" xr:uid="{00000000-0006-0000-0100-000007000000}">
      <text>
        <r>
          <rPr>
            <sz val="12"/>
            <color indexed="81"/>
            <rFont val="Tahoma"/>
            <family val="2"/>
          </rPr>
          <t>Required for space heating and water heating only; zero otherwise.
If space heating (end use = 1): Flag for replacing the existing space heater class with a natural gas forced-air space heater at retirement.
If water heating (end use = 5): Second pointer from natural gas water heating class to matching cooking class. The model (NGNGFACT in resd.f) assumes that 50% of new single-family homes, 48% of new multifamily homes, and 75% of new mobile homes with natural gas water heaters have natural gas ranges and the remainder have electric ranges.</t>
        </r>
      </text>
    </comment>
    <comment ref="H19" authorId="0" shapeId="0" xr:uid="{00000000-0006-0000-0100-000008000000}">
      <text>
        <r>
          <rPr>
            <sz val="12"/>
            <color indexed="81"/>
            <rFont val="Tahoma"/>
            <family val="2"/>
          </rPr>
          <t>1=Distillate fuel oil (wood priced to distillate)
2=LPG (propane)
3=Natural Gas
4=Electricity (geothermal and solar priced to electricity)
5=Kerosene
6=Wood</t>
        </r>
      </text>
    </comment>
    <comment ref="I19" authorId="0" shapeId="0" xr:uid="{00000000-0006-0000-0100-000009000000}">
      <text>
        <r>
          <rPr>
            <sz val="12"/>
            <color indexed="81"/>
            <rFont val="Tahoma"/>
            <family val="2"/>
          </rPr>
          <t>Value of 1 assigns use of a furnace fan with respective central heating/ cooling technology; zero otherwise.</t>
        </r>
        <r>
          <rPr>
            <sz val="12"/>
            <color indexed="10"/>
            <rFont val="Tahoma"/>
            <family val="2"/>
          </rPr>
          <t xml:space="preserve">
Used for non-electric heating end-use equipment only?</t>
        </r>
      </text>
    </comment>
    <comment ref="J19" authorId="0" shapeId="0" xr:uid="{00000000-0006-0000-0100-00000A000000}">
      <text>
        <r>
          <rPr>
            <sz val="12"/>
            <color indexed="81"/>
            <rFont val="Tahoma"/>
            <family val="2"/>
          </rPr>
          <t>Installed base efficiency (end uses 1, 2, 4, 5, 7) or intensity (end uses 3, 6, 8, 9) in RECS year; based on technology report:
https://www.eia.gov/analysis/studies/buildings/equipcosts/</t>
        </r>
      </text>
    </comment>
    <comment ref="K19" authorId="0" shapeId="0" xr:uid="{00000000-0006-0000-0100-00000B000000}">
      <text>
        <r>
          <rPr>
            <sz val="12"/>
            <color indexed="81"/>
            <rFont val="Tahoma"/>
            <family val="2"/>
          </rPr>
          <t>For reference only; not used by model</t>
        </r>
      </text>
    </comment>
    <comment ref="L19" authorId="0" shapeId="0" xr:uid="{00000000-0006-0000-0100-00000C000000}">
      <text>
        <r>
          <rPr>
            <sz val="12"/>
            <color indexed="81"/>
            <rFont val="Tahoma"/>
            <family val="2"/>
          </rPr>
          <t>Equipment life parameter alpha (α) for exponential decay</t>
        </r>
      </text>
    </comment>
    <comment ref="M19" authorId="0" shapeId="0" xr:uid="{00000000-0006-0000-0100-00000D000000}">
      <text>
        <r>
          <rPr>
            <sz val="12"/>
            <color indexed="81"/>
            <rFont val="Tahoma"/>
            <family val="2"/>
          </rPr>
          <t>Not used by model, but used to develop Weibull parameters; retained for informational purposes</t>
        </r>
      </text>
    </comment>
    <comment ref="N19" authorId="0" shapeId="0" xr:uid="{00000000-0006-0000-0100-00000E000000}">
      <text>
        <r>
          <rPr>
            <sz val="12"/>
            <color indexed="81"/>
            <rFont val="Tahoma"/>
            <family val="2"/>
          </rPr>
          <t>Not used by model, but used to develop Weibull parameters; retained for informational purposes</t>
        </r>
      </text>
    </comment>
    <comment ref="O19" authorId="0" shapeId="0" xr:uid="{00000000-0006-0000-0100-00000F000000}">
      <text>
        <r>
          <rPr>
            <sz val="12"/>
            <color indexed="81"/>
            <rFont val="Tahoma"/>
            <family val="2"/>
          </rPr>
          <t>Equipment life Weibull distribution shape parameter k</t>
        </r>
      </text>
    </comment>
    <comment ref="P19" authorId="0" shapeId="0" xr:uid="{00000000-0006-0000-0100-000010000000}">
      <text>
        <r>
          <rPr>
            <sz val="12"/>
            <color indexed="81"/>
            <rFont val="Tahoma"/>
            <family val="2"/>
          </rPr>
          <t>Equipment life Weibull distribution scale parameter lambda (λ)</t>
        </r>
      </text>
    </comment>
    <comment ref="Q19" authorId="0" shapeId="0" xr:uid="{00000000-0006-0000-0100-000011000000}">
      <text>
        <r>
          <rPr>
            <sz val="12"/>
            <color indexed="81"/>
            <rFont val="Tahoma"/>
            <family val="2"/>
          </rPr>
          <t>New home heating technology choice model log-linear parameter beta (β). Used only for space heating (end use 1); zero otherwise.</t>
        </r>
      </text>
    </comment>
    <comment ref="R19" authorId="0" shapeId="0" xr:uid="{00000000-0006-0000-0100-000012000000}">
      <text>
        <r>
          <rPr>
            <sz val="12"/>
            <color indexed="81"/>
            <rFont val="Tahoma"/>
            <family val="2"/>
          </rPr>
          <t>Maximum fraction of single-family homes which may switch away from specified equipment class on replacement.</t>
        </r>
      </text>
    </comment>
    <comment ref="S19" authorId="0" shapeId="0" xr:uid="{00000000-0006-0000-0100-000013000000}">
      <text>
        <r>
          <rPr>
            <sz val="12"/>
            <color indexed="81"/>
            <rFont val="Tahoma"/>
            <family val="2"/>
          </rPr>
          <t>Replacement technology choice model log-linear parameter beta (β). Used only for single-family homes.</t>
        </r>
      </text>
    </comment>
    <comment ref="T19" authorId="0" shapeId="0" xr:uid="{00000000-0006-0000-0100-000014000000}">
      <text>
        <r>
          <rPr>
            <sz val="12"/>
            <color indexed="81"/>
            <rFont val="Tahoma"/>
            <family val="2"/>
          </rPr>
          <t>Replacement technology choice model bias parameter. Used only for single-family homes.</t>
        </r>
      </text>
    </comment>
    <comment ref="U19" authorId="0" shapeId="0" xr:uid="{00000000-0006-0000-0100-000015000000}">
      <text>
        <r>
          <rPr>
            <sz val="12"/>
            <color indexed="81"/>
            <rFont val="Tahoma"/>
            <family val="2"/>
          </rPr>
          <t>Do not change; this is used as a lookup in model</t>
        </r>
      </text>
    </comment>
    <comment ref="H25" authorId="0" shapeId="0" xr:uid="{00000000-0006-0000-0100-000016000000}">
      <text>
        <r>
          <rPr>
            <sz val="12"/>
            <color indexed="81"/>
            <rFont val="Tahoma"/>
            <family val="2"/>
          </rPr>
          <t>Changed from 5 (kerosene) to 1 (distillate fuel oil)</t>
        </r>
      </text>
    </comment>
    <comment ref="K37" authorId="0" shapeId="0" xr:uid="{00000000-0006-0000-0100-000017000000}">
      <text>
        <r>
          <rPr>
            <sz val="12"/>
            <color indexed="81"/>
            <rFont val="Tahoma"/>
            <family val="2"/>
          </rPr>
          <t>machine energy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xml:space="preserve">Jarzomski, Kevin </author>
  </authors>
  <commentList>
    <comment ref="B19" authorId="0" shapeId="0" xr:uid="{00000000-0006-0000-0200-000001000000}">
      <text>
        <r>
          <rPr>
            <sz val="12"/>
            <color indexed="81"/>
            <rFont val="Tahoma"/>
            <family val="2"/>
          </rPr>
          <t>This number accounts for census division = 11 rows that are expanded to 9 separate data rows endogenously in the model. 
MNUMRTTY in RTEK includes file must be greater than or equal to this value.</t>
        </r>
      </text>
    </comment>
    <comment ref="B22" authorId="0" shapeId="0" xr:uid="{00000000-0006-0000-0200-000002000000}">
      <text>
        <r>
          <rPr>
            <sz val="12"/>
            <color indexed="81"/>
            <rFont val="Tahoma"/>
            <family val="2"/>
          </rPr>
          <t>End Uses:
(1) Space Heating
(2) Space Cooling
(3) Clothes Washing
(4) Dishwashing
(5) Water Heating
(6) Cooking
(7) Clothes Drying
(8) Refrigeration
(9) Freezing</t>
        </r>
      </text>
    </comment>
    <comment ref="D22" authorId="0" shapeId="0" xr:uid="{00000000-0006-0000-0200-000003000000}">
      <text>
        <r>
          <rPr>
            <sz val="12"/>
            <color indexed="81"/>
            <rFont val="Tahoma"/>
            <family val="2"/>
          </rPr>
          <t>These increment across all like technologies within an end use regardless of fuel or vintage.
Each equipment class (xlRTTYEQCL) may include multiple types. Each equipment type (xlRTEQTYPE) may have up to one record for each year of the projection period (years must not overlap). The user may add equipment types to existing classes. When adding new types, update the type numbers for the rest of that end use; also, adjust the RTTYPNTR pointer for cooling and the RTCLTYPT pointer in the RSCLASS file for heating.
If adding heat pump types, add same type to both space heating and space cooling and adjust pointers.</t>
        </r>
      </text>
    </comment>
    <comment ref="E22" authorId="0" shapeId="0" xr:uid="{00000000-0006-0000-0200-000004000000}">
      <text>
        <r>
          <rPr>
            <sz val="12"/>
            <color indexed="81"/>
            <rFont val="Tahoma"/>
            <family val="2"/>
          </rPr>
          <t>Each equipment type (xlRTEQTYPE) may have up to one record for each year of the projection period (years must not overlap).
In order for subsidy lookups to work, verify that all vintages that should have tax credits or energy efficiency rebates are represented.</t>
        </r>
      </text>
    </comment>
    <comment ref="F22" authorId="0" shapeId="0" xr:uid="{00000000-0006-0000-0200-000005000000}">
      <text>
        <r>
          <rPr>
            <sz val="12"/>
            <color indexed="81"/>
            <rFont val="Tahoma"/>
            <family val="2"/>
          </rPr>
          <t>Each equipment type (xlRTEQTYPE) may have up to one record for each year of the projection period (years must not overlap).
In order for subsidy lookups to work, verify that all vintages that should have tax credits or energy efficiency rebates are represented.</t>
        </r>
      </text>
    </comment>
    <comment ref="G22" authorId="0" shapeId="0" xr:uid="{00000000-0006-0000-0200-000006000000}">
      <text>
        <r>
          <rPr>
            <sz val="12"/>
            <color indexed="81"/>
            <rFont val="Tahoma"/>
            <family val="2"/>
          </rPr>
          <t>Census Divisions:
(1) New England
(2) Middle Atlantic
(3) East North Central
(4) West North Central
(5) South Atlantic
(6) East South Central
(7) West South Central
(8) Mountain
(9) Pacific
(11) Represents all 9 census divisions</t>
        </r>
      </text>
    </comment>
    <comment ref="H22" authorId="0" shapeId="0" xr:uid="{00000000-0006-0000-0200-000007000000}">
      <text>
        <r>
          <rPr>
            <sz val="12"/>
            <color indexed="81"/>
            <rFont val="Tahoma"/>
            <family val="2"/>
          </rPr>
          <t>Unique identifier among all space heating and cooling equipment based on equipment type and efficiency level
For space heating (end use = 1), values are the same as xlRTEQTYPE; values increase incrementally for all subsequent vintages of space cooling (end use = 2)</t>
        </r>
      </text>
    </comment>
    <comment ref="I22" authorId="0" shapeId="0" xr:uid="{00000000-0006-0000-0200-000008000000}">
      <text>
        <r>
          <rPr>
            <sz val="12"/>
            <color indexed="81"/>
            <rFont val="Tahoma"/>
            <family val="2"/>
          </rPr>
          <t>Used for space cooling (end use = 2) only
&lt;0 indicates room air conditioner
=0 indicates central AC (not HP)
&gt;0 xlRTTYPNTR for cooling component of HP same as heating component of same technology</t>
        </r>
      </text>
    </comment>
    <comment ref="K22" authorId="0" shapeId="0" xr:uid="{00000000-0006-0000-0200-000009000000}">
      <text>
        <r>
          <rPr>
            <sz val="12"/>
            <color indexed="81"/>
            <rFont val="Tahoma"/>
            <family val="2"/>
          </rPr>
          <t>Used for clothes washers (end use 3) only</t>
        </r>
      </text>
    </comment>
    <comment ref="L22" authorId="0" shapeId="0" xr:uid="{00000000-0006-0000-0200-00000A000000}">
      <text>
        <r>
          <rPr>
            <sz val="12"/>
            <color indexed="81"/>
            <rFont val="Tahoma"/>
            <family val="2"/>
          </rPr>
          <t>See Efficiency Metric in RSCLASS for units</t>
        </r>
      </text>
    </comment>
    <comment ref="M22" authorId="0" shapeId="0" xr:uid="{00000000-0006-0000-0200-00000B000000}">
      <text>
        <r>
          <rPr>
            <sz val="12"/>
            <color indexed="81"/>
            <rFont val="Tahoma"/>
            <family val="2"/>
          </rPr>
          <t>Includes equipment plus installation (i.e., total installed cost)
For heat pumps, replacement cost is split between heating and cooling end-use components.</t>
        </r>
      </text>
    </comment>
    <comment ref="N22" authorId="0" shapeId="0" xr:uid="{00000000-0006-0000-0200-00000C000000}">
      <text>
        <r>
          <rPr>
            <sz val="12"/>
            <color indexed="81"/>
            <rFont val="Tahoma"/>
            <family val="2"/>
          </rPr>
          <t xml:space="preserve">Includes equipment </t>
        </r>
        <r>
          <rPr>
            <i/>
            <sz val="12"/>
            <color indexed="81"/>
            <rFont val="Tahoma"/>
            <family val="2"/>
          </rPr>
          <t>without</t>
        </r>
        <r>
          <rPr>
            <sz val="12"/>
            <color indexed="81"/>
            <rFont val="Tahoma"/>
            <family val="2"/>
          </rPr>
          <t xml:space="preserve"> installation (i.e., retail equipment cost; installation assumed to be part of construction cost).
For heat pumps, heating cost (end use 1) is full retail cost and cooling cost (end use 2) = 0</t>
        </r>
      </text>
    </comment>
    <comment ref="O22" authorId="0" shapeId="0" xr:uid="{00000000-0006-0000-0200-00000D000000}">
      <text>
        <r>
          <rPr>
            <sz val="12"/>
            <color indexed="81"/>
            <rFont val="Tahoma"/>
            <family val="2"/>
          </rPr>
          <t xml:space="preserve">25C and 25D tax credits apply to existing construction; equations test for cooling equipment first, then space heating and other equipment (e.g., water heating)
</t>
        </r>
        <r>
          <rPr>
            <i/>
            <sz val="12"/>
            <color indexed="81"/>
            <rFont val="Tahoma"/>
            <family val="2"/>
          </rPr>
          <t>Note that these are array equations (hold Ctrl+Shift+Enter when modifying equations)</t>
        </r>
        <r>
          <rPr>
            <sz val="12"/>
            <color indexed="81"/>
            <rFont val="Tahoma"/>
            <family val="2"/>
          </rPr>
          <t xml:space="preserve">
9999 values used so efficiency lookups don't default to 0 (which </t>
        </r>
        <r>
          <rPr>
            <i/>
            <sz val="12"/>
            <color indexed="81"/>
            <rFont val="Tahoma"/>
            <family val="2"/>
          </rPr>
          <t>all</t>
        </r>
        <r>
          <rPr>
            <sz val="12"/>
            <color indexed="81"/>
            <rFont val="Tahoma"/>
            <family val="2"/>
          </rPr>
          <t xml:space="preserve"> equipment would be more efficient than)</t>
        </r>
      </text>
    </comment>
    <comment ref="P22" authorId="0" shapeId="0" xr:uid="{00000000-0006-0000-0200-00000E000000}">
      <text>
        <r>
          <rPr>
            <sz val="12"/>
            <color indexed="81"/>
            <rFont val="Tahoma"/>
            <family val="2"/>
          </rPr>
          <t xml:space="preserve">Only 25D tax credits apply to new construction; 25C are for existing construction only
</t>
        </r>
        <r>
          <rPr>
            <i/>
            <sz val="12"/>
            <color indexed="81"/>
            <rFont val="Tahoma"/>
            <family val="2"/>
          </rPr>
          <t>Note that these are array equations (hold Ctrl+Shift+Enter when modifying equations)</t>
        </r>
      </text>
    </comment>
    <comment ref="Q22" authorId="0" shapeId="0" xr:uid="{00000000-0006-0000-0200-00000F000000}">
      <text>
        <r>
          <rPr>
            <sz val="12"/>
            <color indexed="81"/>
            <rFont val="Tahoma"/>
            <family val="2"/>
          </rPr>
          <t>Used for modeling non-federal (e.g., utility) energy efficiency subsidies effects; applied to electric (xlRTFUEL=4 in RSCLASS) ENERGY STAR or better equipment (i.e., xlRTTYNAME &gt;2)</t>
        </r>
      </text>
    </comment>
    <comment ref="R22" authorId="0" shapeId="0" xr:uid="{00000000-0006-0000-0200-000010000000}">
      <text>
        <r>
          <rPr>
            <sz val="12"/>
            <color indexed="81"/>
            <rFont val="Tahoma"/>
            <family val="2"/>
          </rPr>
          <t>Used for modeling non-federal (e.g., utility) energy efficiency subsidies effects; applied to electric (xlRTFUEL=4 in RSCLASS) ENERGY STAR or better equipment (i.e., xlRTTYNAME &gt;2)</t>
        </r>
      </text>
    </comment>
    <comment ref="S22" authorId="0" shapeId="0" xr:uid="{00000000-0006-0000-0200-000011000000}">
      <text>
        <r>
          <rPr>
            <sz val="12"/>
            <color indexed="81"/>
            <rFont val="Tahoma"/>
            <family val="2"/>
          </rPr>
          <t>Used for modeling EPA 111d energy efficiency subsidies effects
DEPRECATED with repeal of Clean Power Plan</t>
        </r>
      </text>
    </comment>
    <comment ref="T22" authorId="0" shapeId="0" xr:uid="{00000000-0006-0000-0200-000012000000}">
      <text>
        <r>
          <rPr>
            <sz val="12"/>
            <color indexed="81"/>
            <rFont val="Tahoma"/>
            <family val="2"/>
          </rPr>
          <t>Used for modeling EPA 111d energy efficiency subsidies effects
DEPRECATED with repeal of Clean Power Plan</t>
        </r>
      </text>
    </comment>
    <comment ref="U22" authorId="0" shapeId="0" xr:uid="{00000000-0006-0000-0200-000013000000}">
      <text>
        <r>
          <rPr>
            <sz val="12"/>
            <color indexed="81"/>
            <rFont val="Tahoma"/>
            <family val="2"/>
          </rPr>
          <t>MATURE = No further cost reductions expected
ADOLESCENT = Main cost reductions occurred before xlRTCOSTP1; function EQCOST reduces installed wholesale and retail capital cost with xlRTCOSTP1 (or first year of availability) as the inflection point.
INFANT = All cost reductions expected after first year of availability; function EQCOST reduces installed wholesale and retail capital cost with the inflection point in the future.</t>
        </r>
      </text>
    </comment>
    <comment ref="V22" authorId="0" shapeId="0" xr:uid="{00000000-0006-0000-0200-000014000000}">
      <text>
        <r>
          <rPr>
            <sz val="12"/>
            <color indexed="81"/>
            <rFont val="Tahoma"/>
            <family val="2"/>
          </rPr>
          <t>If MATURE technology, not used.
If ADOLESCENT technology, representative year cost decline began (y1 in code).
If INFANT technology, year of inflection of cost trend (y0 in code).</t>
        </r>
      </text>
    </comment>
    <comment ref="W22" authorId="0" shapeId="0" xr:uid="{00000000-0006-0000-0200-000015000000}">
      <text>
        <r>
          <rPr>
            <sz val="12"/>
            <color indexed="81"/>
            <rFont val="Tahoma"/>
            <family val="2"/>
          </rPr>
          <t>If MATURE technology, not used.
If ADOLESCENT or INFANT technology, logistic curve shape parameter (gamma in code).</t>
        </r>
      </text>
    </comment>
    <comment ref="X22" authorId="0" shapeId="0" xr:uid="{00000000-0006-0000-0200-000016000000}">
      <text>
        <r>
          <rPr>
            <sz val="12"/>
            <color indexed="81"/>
            <rFont val="Tahoma"/>
            <family val="2"/>
          </rPr>
          <t>If MATURE technology, not used.
If ADOLESCENT technology, total possible proportional decline in equipment cost from y0 onward (d in code).
If INFANT technology, total possible proportional decline in equipment cost from y1 onward (d in code).</t>
        </r>
      </text>
    </comment>
    <comment ref="Y22" authorId="0" shapeId="0" xr:uid="{00000000-0006-0000-0200-000017000000}">
      <text>
        <r>
          <rPr>
            <sz val="12"/>
            <color indexed="81"/>
            <rFont val="Tahoma"/>
            <family val="2"/>
          </rPr>
          <t>Efficiency choice model log-linear parameter β1, weights capital cost</t>
        </r>
      </text>
    </comment>
    <comment ref="Z22" authorId="0" shapeId="0" xr:uid="{00000000-0006-0000-0200-000018000000}">
      <text>
        <r>
          <rPr>
            <sz val="12"/>
            <color indexed="81"/>
            <rFont val="Tahoma"/>
            <family val="2"/>
          </rPr>
          <t>Efficiency choice model log-linear parameter β2, weights fuel/ operating cost</t>
        </r>
      </text>
    </comment>
    <comment ref="AA22" authorId="0" shapeId="0" xr:uid="{00000000-0006-0000-0200-000019000000}">
      <text>
        <r>
          <rPr>
            <sz val="12"/>
            <color indexed="81"/>
            <rFont val="Tahoma"/>
            <family val="2"/>
          </rPr>
          <t>Efficiency choice model log-linear parameter β3, weights life-cycle cost</t>
        </r>
      </text>
    </comment>
    <comment ref="AB22" authorId="0" shapeId="0" xr:uid="{00000000-0006-0000-0200-00001A000000}">
      <text>
        <r>
          <rPr>
            <sz val="12"/>
            <color indexed="81"/>
            <rFont val="Tahoma"/>
            <family val="2"/>
          </rPr>
          <t>Consumer preference log-linear parameter</t>
        </r>
      </text>
    </comment>
    <comment ref="AC22" authorId="0" shapeId="0" xr:uid="{00000000-0006-0000-0200-00001B000000}">
      <text>
        <r>
          <rPr>
            <sz val="12"/>
            <color indexed="81"/>
            <rFont val="Tahoma"/>
            <family val="2"/>
          </rPr>
          <t>Efficiency levels:
1. Current Standard
2. Typical
3. ENERGY STAR
4. High
In instances where standards or ENERGY STAR specifications don't exist, those numbers are excluded from this tech menu (ELEC_RAD , DIST_RAD, WOOD_HT, NG_HP,  ELEC_WH, DIST_WH, SOLAR_WH, NG/LPG/ELEC_STV)
Do not change numbers. Equations in other cells rely on them for subsidy lookup.</t>
        </r>
      </text>
    </comment>
    <comment ref="A24" authorId="0" shapeId="0" xr:uid="{00000000-0006-0000-0200-00001C000000}">
      <text>
        <r>
          <rPr>
            <sz val="12"/>
            <color indexed="81"/>
            <rFont val="Tahoma"/>
            <family val="2"/>
          </rPr>
          <t>Column for reference only; not a named range input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xml:space="preserve">Jarzomski, Kevin </author>
  </authors>
  <commentList>
    <comment ref="X12" authorId="0" shapeId="0" xr:uid="{00000000-0006-0000-0300-000001000000}">
      <text>
        <r>
          <rPr>
            <sz val="12"/>
            <color indexed="81"/>
            <rFont val="Tahoma"/>
            <family val="2"/>
          </rPr>
          <t>Builders seem more likely to use minimum efficiency equipment to save costs; Typical efficiency equipment could be chosen as replacements</t>
        </r>
      </text>
    </comment>
    <comment ref="B15" authorId="0" shapeId="0" xr:uid="{00000000-0006-0000-0300-000002000000}">
      <text>
        <r>
          <rPr>
            <sz val="12"/>
            <color indexed="81"/>
            <rFont val="Tahoma"/>
            <family val="2"/>
          </rPr>
          <t>MNUMHVAC in RTEK includes file must be greater than or equal to this value.</t>
        </r>
      </text>
    </comment>
    <comment ref="B24" authorId="0" shapeId="0" xr:uid="{00000000-0006-0000-0300-000003000000}">
      <text>
        <r>
          <rPr>
            <sz val="12"/>
            <color indexed="81"/>
            <rFont val="Tahoma"/>
            <family val="2"/>
          </rPr>
          <t>Census divisions:
(1) New England
(2) Middle Atlantic
(3) East North Central
(4) West North Central
(5) South Atlantic
(6) East South Central
(7) West South Central
(8) Mountain
(9) Pacific</t>
        </r>
      </text>
    </comment>
    <comment ref="C24" authorId="0" shapeId="0" xr:uid="{00000000-0006-0000-0300-000004000000}">
      <text>
        <r>
          <rPr>
            <sz val="12"/>
            <color indexed="81"/>
            <rFont val="Tahoma"/>
            <family val="2"/>
          </rPr>
          <t>Housing type:
1. Single-family
2. Multifamily
3. Mobile Home</t>
        </r>
      </text>
    </comment>
    <comment ref="D24" authorId="0" shapeId="0" xr:uid="{00000000-0006-0000-0300-000005000000}">
      <text>
        <r>
          <rPr>
            <sz val="12"/>
            <color indexed="81"/>
            <rFont val="Tahoma"/>
            <family val="2"/>
          </rPr>
          <t>HVAC heating equipment class. Same as the RTCLTYPT pointer in RSCLASS for heating</t>
        </r>
      </text>
    </comment>
    <comment ref="E24" authorId="0" shapeId="0" xr:uid="{00000000-0006-0000-0300-000006000000}">
      <text>
        <r>
          <rPr>
            <sz val="12"/>
            <color indexed="81"/>
            <rFont val="Tahoma"/>
            <family val="2"/>
          </rPr>
          <t>HVAC heating equipment type. Same as the RTEQTYPE variable in RSMEQP for heating</t>
        </r>
      </text>
    </comment>
    <comment ref="F24" authorId="0" shapeId="0" xr:uid="{00000000-0006-0000-0300-000007000000}">
      <text>
        <r>
          <rPr>
            <sz val="12"/>
            <color indexed="81"/>
            <rFont val="Tahoma"/>
            <family val="2"/>
          </rPr>
          <t>HVAC cooling equipment class. Same as the RTCLTYPT pointer in RSCLASS for cooling.</t>
        </r>
      </text>
    </comment>
    <comment ref="G24" authorId="0" shapeId="0" xr:uid="{00000000-0006-0000-0300-000008000000}">
      <text>
        <r>
          <rPr>
            <sz val="12"/>
            <color indexed="81"/>
            <rFont val="Tahoma"/>
            <family val="2"/>
          </rPr>
          <t>HVAC cooling equipment type. Same as the RTEQTYPE variable in the RSMEQP for cooling</t>
        </r>
      </text>
    </comment>
    <comment ref="H24" authorId="0" shapeId="0" xr:uid="{00000000-0006-0000-0300-000009000000}">
      <text>
        <r>
          <rPr>
            <sz val="12"/>
            <color indexed="81"/>
            <rFont val="Tahoma"/>
            <family val="2"/>
          </rPr>
          <t>Initial calendar year for this model of this equipment type. The first HVFYEAR for a model within a type should be the NEMS base year; subsequent initial years for a model must be previous HVLYEAR+1</t>
        </r>
      </text>
    </comment>
    <comment ref="I24" authorId="0" shapeId="0" xr:uid="{00000000-0006-0000-0300-00000A000000}">
      <text>
        <r>
          <rPr>
            <sz val="12"/>
            <color indexed="81"/>
            <rFont val="Tahoma"/>
            <family val="2"/>
          </rPr>
          <t>Last calendar year for this model of this equipment type. Must be greater than or equal to HVFYEAR for this model; final HVLYEAR should be year of the projection horizon</t>
        </r>
      </text>
    </comment>
    <comment ref="J24" authorId="0" shapeId="0" xr:uid="{00000000-0006-0000-0300-00000B000000}">
      <text>
        <r>
          <rPr>
            <sz val="12"/>
            <color indexed="81"/>
            <rFont val="Tahoma"/>
            <family val="2"/>
          </rPr>
          <t>Elasticity of the heating shell factor based on square footage</t>
        </r>
      </text>
    </comment>
    <comment ref="K24" authorId="0" shapeId="0" xr:uid="{00000000-0006-0000-0300-00000C000000}">
      <text>
        <r>
          <rPr>
            <sz val="12"/>
            <color indexed="81"/>
            <rFont val="Tahoma"/>
            <family val="2"/>
          </rPr>
          <t>Elasticity of the cooling shell factor based on square footage</t>
        </r>
      </text>
    </comment>
    <comment ref="L24" authorId="0" shapeId="0" xr:uid="{00000000-0006-0000-0300-00000D000000}">
      <text>
        <r>
          <rPr>
            <sz val="12"/>
            <color indexed="81"/>
            <rFont val="Tahoma"/>
            <family val="2"/>
          </rPr>
          <t>Heating shell efficiency index for HVAC system type</t>
        </r>
      </text>
    </comment>
    <comment ref="M24" authorId="0" shapeId="0" xr:uid="{00000000-0006-0000-0300-00000E000000}">
      <text>
        <r>
          <rPr>
            <sz val="12"/>
            <color indexed="81"/>
            <rFont val="Tahoma"/>
            <family val="2"/>
          </rPr>
          <t>Cooling shell efficiency index for HVAC system type</t>
        </r>
      </text>
    </comment>
    <comment ref="N24" authorId="0" shapeId="0" xr:uid="{00000000-0006-0000-0300-00000F000000}">
      <text>
        <r>
          <rPr>
            <sz val="12"/>
            <color indexed="81"/>
            <rFont val="Tahoma"/>
            <family val="2"/>
          </rPr>
          <t>Heating shell base efficiency index for HVAC system type</t>
        </r>
      </text>
    </comment>
    <comment ref="O24" authorId="0" shapeId="0" xr:uid="{00000000-0006-0000-0300-000010000000}">
      <text>
        <r>
          <rPr>
            <sz val="12"/>
            <color indexed="81"/>
            <rFont val="Tahoma"/>
            <family val="2"/>
          </rPr>
          <t>Cooling shell base efficiency index for HVAC system type</t>
        </r>
      </text>
    </comment>
    <comment ref="P24" authorId="0" shapeId="0" xr:uid="{00000000-0006-0000-0300-000011000000}">
      <text>
        <r>
          <rPr>
            <sz val="12"/>
            <color indexed="81"/>
            <rFont val="Tahoma"/>
            <family val="2"/>
          </rPr>
          <t>Installed capital cost for shell measures per housing unit for new homes; No-code homes have 0 cost</t>
        </r>
      </text>
    </comment>
    <comment ref="Q24" authorId="0" shapeId="0" xr:uid="{00000000-0006-0000-0300-000012000000}">
      <text>
        <r>
          <rPr>
            <sz val="12"/>
            <color indexed="81"/>
            <rFont val="Tahoma"/>
            <family val="2"/>
          </rPr>
          <t>45L federal tax credit per housing unit
Note that these are array equations (hold Ctrl+Shift+Enter when modifying equations)</t>
        </r>
      </text>
    </comment>
    <comment ref="R24" authorId="0" shapeId="0" xr:uid="{00000000-0006-0000-0300-000013000000}">
      <text>
        <r>
          <rPr>
            <sz val="12"/>
            <color indexed="81"/>
            <rFont val="Tahoma"/>
            <family val="2"/>
          </rPr>
          <t>Utility subsidy/ rebate per housing unit; was used for now-deprecated Clean Power Plan (CPP) modeling
Note that these are array equations (hold Ctrl+Shift+Enter when modifying equations)</t>
        </r>
      </text>
    </comment>
    <comment ref="S24" authorId="0" shapeId="0" xr:uid="{00000000-0006-0000-0300-000014000000}">
      <text>
        <r>
          <rPr>
            <sz val="12"/>
            <color indexed="81"/>
            <rFont val="Tahoma"/>
            <family val="2"/>
          </rPr>
          <t>HVAC shell efficiency package number</t>
        </r>
      </text>
    </comment>
    <comment ref="T24" authorId="0" shapeId="0" xr:uid="{00000000-0006-0000-0300-000015000000}">
      <text>
        <r>
          <rPr>
            <sz val="12"/>
            <color indexed="81"/>
            <rFont val="Tahoma"/>
            <family val="2"/>
          </rPr>
          <t>Unique name for each HVAC shell efficiency package type</t>
        </r>
      </text>
    </comment>
    <comment ref="V24" authorId="0" shapeId="0" xr:uid="{00000000-0006-0000-0300-000016000000}">
      <text>
        <r>
          <rPr>
            <sz val="12"/>
            <color indexed="81"/>
            <rFont val="Tahoma"/>
            <family val="2"/>
          </rPr>
          <t>Lookup from RSCLASS tab for heating end use (1)</t>
        </r>
      </text>
    </comment>
    <comment ref="W24" authorId="0" shapeId="0" xr:uid="{00000000-0006-0000-0300-000017000000}">
      <text>
        <r>
          <rPr>
            <sz val="12"/>
            <color indexed="81"/>
            <rFont val="Tahoma"/>
            <family val="2"/>
          </rPr>
          <t>Lookup from RSCLASS tab for cooling end use (2)</t>
        </r>
      </text>
    </comment>
    <comment ref="X24" authorId="0" shapeId="0" xr:uid="{00000000-0006-0000-0300-000018000000}">
      <text>
        <r>
          <rPr>
            <sz val="12"/>
            <color indexed="81"/>
            <rFont val="Tahoma"/>
            <family val="2"/>
          </rPr>
          <t>Lookup from RSMEQP tab for heating end use (1)</t>
        </r>
      </text>
    </comment>
    <comment ref="Y24" authorId="0" shapeId="0" xr:uid="{00000000-0006-0000-0300-000019000000}">
      <text>
        <r>
          <rPr>
            <sz val="12"/>
            <color indexed="81"/>
            <rFont val="Tahoma"/>
            <family val="2"/>
          </rPr>
          <t>Lookup from RSMEQP tab for cooling end use (2)</t>
        </r>
      </text>
    </comment>
    <comment ref="B2035" authorId="0" shapeId="0" xr:uid="{00000000-0006-0000-0300-00001A000000}">
      <text>
        <r>
          <rPr>
            <sz val="12"/>
            <color indexed="81"/>
            <rFont val="Tahoma"/>
            <family val="2"/>
          </rPr>
          <t>Where are the rest of the CDs for No IECC mobile homes?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xml:space="preserve">Jarzomski, Kevin </author>
    <author>Sourmehi, Courtney</author>
  </authors>
  <commentList>
    <comment ref="N16" authorId="0" shapeId="0" xr:uid="{00000000-0006-0000-0400-000001000000}">
      <text>
        <r>
          <rPr>
            <sz val="9"/>
            <color indexed="81"/>
            <rFont val="Tahoma"/>
            <family val="2"/>
          </rPr>
          <t>Unclear when this level of credit expires given language in IRA-extended 25C</t>
        </r>
      </text>
    </comment>
    <comment ref="N19" authorId="0" shapeId="0" xr:uid="{00000000-0006-0000-0400-000002000000}">
      <text>
        <r>
          <rPr>
            <sz val="9"/>
            <color indexed="81"/>
            <rFont val="Tahoma"/>
            <family val="2"/>
          </rPr>
          <t>Unclear when this level of credit expires given language in IRA-extended 25C</t>
        </r>
      </text>
    </comment>
    <comment ref="B24" authorId="0" shapeId="0" xr:uid="{00000000-0006-0000-0400-000003000000}">
      <text>
        <r>
          <rPr>
            <sz val="9"/>
            <color indexed="81"/>
            <rFont val="Tahoma"/>
            <family val="2"/>
          </rPr>
          <t>No modeled DIST_RAD models meet tax credit levels; such a model may not exist</t>
        </r>
      </text>
    </comment>
    <comment ref="N24" authorId="0" shapeId="0" xr:uid="{00000000-0006-0000-0400-000004000000}">
      <text>
        <r>
          <rPr>
            <sz val="9"/>
            <color indexed="81"/>
            <rFont val="Tahoma"/>
            <family val="2"/>
          </rPr>
          <t>Unclear when this level of credit expires given language in IRA-extended 25C</t>
        </r>
      </text>
    </comment>
    <comment ref="B25" authorId="0" shapeId="0" xr:uid="{00000000-0006-0000-0400-000005000000}">
      <text>
        <r>
          <rPr>
            <sz val="9"/>
            <color indexed="81"/>
            <rFont val="Tahoma"/>
            <family val="2"/>
          </rPr>
          <t>No modeled DIST_RAD models meet tax credit levels; such a model may not exist</t>
        </r>
      </text>
    </comment>
    <comment ref="B26" authorId="0" shapeId="0" xr:uid="{00000000-0006-0000-0400-000006000000}">
      <text>
        <r>
          <rPr>
            <sz val="9"/>
            <color indexed="81"/>
            <rFont val="Tahoma"/>
            <family val="2"/>
          </rPr>
          <t>No modeled DIST_RAD models meet tax credit levels; such a model may not exist</t>
        </r>
      </text>
    </comment>
    <comment ref="B27" authorId="0" shapeId="0" xr:uid="{00000000-0006-0000-0400-000007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B28" authorId="0" shapeId="0" xr:uid="{00000000-0006-0000-0400-000008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B29" authorId="0" shapeId="0" xr:uid="{00000000-0006-0000-0400-000009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B30" authorId="0" shapeId="0" xr:uid="{00000000-0006-0000-0400-00000A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B31" authorId="0" shapeId="0" xr:uid="{00000000-0006-0000-0400-00000B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B32" authorId="0" shapeId="0" xr:uid="{00000000-0006-0000-0400-00000C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L33" authorId="0" shapeId="0" xr:uid="{00000000-0006-0000-0400-00000D000000}">
      <text>
        <r>
          <rPr>
            <sz val="12"/>
            <color indexed="81"/>
            <rFont val="Tahoma"/>
            <family val="2"/>
          </rPr>
          <t>16 SEER</t>
        </r>
      </text>
    </comment>
    <comment ref="L34" authorId="0" shapeId="0" xr:uid="{00000000-0006-0000-0400-00000E000000}">
      <text>
        <r>
          <rPr>
            <sz val="12"/>
            <color indexed="81"/>
            <rFont val="Tahoma"/>
            <family val="2"/>
          </rPr>
          <t>16 SEER</t>
        </r>
      </text>
    </comment>
    <comment ref="C35" authorId="0" shapeId="0" xr:uid="{00000000-0006-0000-0400-00000F000000}">
      <text>
        <r>
          <rPr>
            <sz val="9"/>
            <color indexed="81"/>
            <rFont val="Tahoma"/>
            <family val="2"/>
          </rPr>
          <t>Added because CENT_AIR3 doesn't meet tax credit efficiency requirement until 2023</t>
        </r>
      </text>
    </comment>
    <comment ref="L35" authorId="0" shapeId="0" xr:uid="{00000000-0006-0000-0400-000010000000}">
      <text>
        <r>
          <rPr>
            <sz val="12"/>
            <color indexed="81"/>
            <rFont val="Tahoma"/>
            <family val="2"/>
          </rPr>
          <t>16 SEER</t>
        </r>
      </text>
    </comment>
    <comment ref="H36" authorId="0" shapeId="0" xr:uid="{00000000-0006-0000-0400-000011000000}">
      <text>
        <r>
          <rPr>
            <sz val="12"/>
            <color indexed="81"/>
            <rFont val="Tahoma"/>
            <family val="2"/>
          </rPr>
          <t>8.5 HSPF</t>
        </r>
      </text>
    </comment>
    <comment ref="L36" authorId="0" shapeId="0" xr:uid="{00000000-0006-0000-0400-000012000000}">
      <text>
        <r>
          <rPr>
            <sz val="12"/>
            <color indexed="81"/>
            <rFont val="Tahoma"/>
            <family val="2"/>
          </rPr>
          <t>15 SEER</t>
        </r>
      </text>
    </comment>
    <comment ref="N36" authorId="0" shapeId="0" xr:uid="{00000000-0006-0000-0400-000013000000}">
      <text>
        <r>
          <rPr>
            <sz val="12"/>
            <color indexed="81"/>
            <rFont val="Tahoma"/>
            <family val="2"/>
          </rPr>
          <t>Tax credit divided by 2 so heating and cooling equipment each get half</t>
        </r>
      </text>
    </comment>
    <comment ref="H37" authorId="0" shapeId="0" xr:uid="{00000000-0006-0000-0400-000014000000}">
      <text>
        <r>
          <rPr>
            <sz val="12"/>
            <color indexed="81"/>
            <rFont val="Tahoma"/>
            <family val="2"/>
          </rPr>
          <t>8.5 HSPF</t>
        </r>
      </text>
    </comment>
    <comment ref="L37" authorId="0" shapeId="0" xr:uid="{00000000-0006-0000-0400-000015000000}">
      <text>
        <r>
          <rPr>
            <sz val="12"/>
            <color indexed="81"/>
            <rFont val="Tahoma"/>
            <family val="2"/>
          </rPr>
          <t>15 SEER</t>
        </r>
      </text>
    </comment>
    <comment ref="N37" authorId="0" shapeId="0" xr:uid="{00000000-0006-0000-0400-000016000000}">
      <text>
        <r>
          <rPr>
            <sz val="12"/>
            <color indexed="81"/>
            <rFont val="Tahoma"/>
            <family val="2"/>
          </rPr>
          <t>Tax credit divided by 2 so heating and cooling equipment each get half</t>
        </r>
      </text>
    </comment>
    <comment ref="C38" authorId="0" shapeId="0" xr:uid="{00000000-0006-0000-0400-000017000000}">
      <text>
        <r>
          <rPr>
            <sz val="9"/>
            <color indexed="81"/>
            <rFont val="Tahoma"/>
            <family val="2"/>
          </rPr>
          <t>To accommodate 2023 ASHP standard</t>
        </r>
      </text>
    </comment>
    <comment ref="H38" authorId="0" shapeId="0" xr:uid="{00000000-0006-0000-0400-000018000000}">
      <text>
        <r>
          <rPr>
            <sz val="12"/>
            <color indexed="81"/>
            <rFont val="Tahoma"/>
            <family val="2"/>
          </rPr>
          <t>8.5 HSPF</t>
        </r>
      </text>
    </comment>
    <comment ref="L38" authorId="0" shapeId="0" xr:uid="{00000000-0006-0000-0400-000019000000}">
      <text>
        <r>
          <rPr>
            <sz val="12"/>
            <color indexed="81"/>
            <rFont val="Tahoma"/>
            <family val="2"/>
          </rPr>
          <t>15 SEER</t>
        </r>
      </text>
    </comment>
    <comment ref="N38" authorId="0" shapeId="0" xr:uid="{00000000-0006-0000-0400-00001A000000}">
      <text>
        <r>
          <rPr>
            <sz val="12"/>
            <color indexed="81"/>
            <rFont val="Tahoma"/>
            <family val="2"/>
          </rPr>
          <t>Tax credit divided by 2 so heating and cooling equipment each get half</t>
        </r>
      </text>
    </comment>
    <comment ref="H39" authorId="0" shapeId="0" xr:uid="{00000000-0006-0000-0400-00001B000000}">
      <text>
        <r>
          <rPr>
            <sz val="12"/>
            <color indexed="81"/>
            <rFont val="Tahoma"/>
            <family val="2"/>
          </rPr>
          <t>The minimum required 0.82 EF is roughly equal to the new water heating efficiency metric of 0.81 UEF</t>
        </r>
      </text>
    </comment>
    <comment ref="H40" authorId="0" shapeId="0" xr:uid="{00000000-0006-0000-0400-00001C000000}">
      <text>
        <r>
          <rPr>
            <sz val="12"/>
            <color indexed="81"/>
            <rFont val="Tahoma"/>
            <family val="2"/>
          </rPr>
          <t>The minimum required 0.82 EF is roughly equal to the new water heating efficiency metric of 0.81 UEF</t>
        </r>
      </text>
    </comment>
    <comment ref="C41" authorId="0" shapeId="0" xr:uid="{00000000-0006-0000-0400-00001D000000}">
      <text>
        <r>
          <rPr>
            <sz val="9"/>
            <color indexed="81"/>
            <rFont val="Tahoma"/>
            <family val="2"/>
          </rPr>
          <t>Added because NG_WH3 doesn't meet tax credit efficiency requirement until 2023</t>
        </r>
      </text>
    </comment>
    <comment ref="H41" authorId="0" shapeId="0" xr:uid="{00000000-0006-0000-0400-00001E000000}">
      <text>
        <r>
          <rPr>
            <sz val="12"/>
            <color indexed="81"/>
            <rFont val="Tahoma"/>
            <family val="2"/>
          </rPr>
          <t>The minimum required 0.82 EF is roughly equal to the new water heating efficiency metric of 0.81 UEF</t>
        </r>
      </text>
    </comment>
    <comment ref="H42" authorId="0" shapeId="0" xr:uid="{00000000-0006-0000-0400-00001F000000}">
      <text>
        <r>
          <rPr>
            <sz val="12"/>
            <color indexed="81"/>
            <rFont val="Tahoma"/>
            <family val="2"/>
          </rPr>
          <t>The minimum required 0.82 EF is roughly equal to the new water heating efficiency metric of 0.81 UEF</t>
        </r>
      </text>
    </comment>
    <comment ref="H43" authorId="0" shapeId="0" xr:uid="{00000000-0006-0000-0400-000020000000}">
      <text>
        <r>
          <rPr>
            <sz val="12"/>
            <color indexed="81"/>
            <rFont val="Tahoma"/>
            <family val="2"/>
          </rPr>
          <t>The minimum required 0.82 EF is roughly equal to the new water heating efficiency metric of 0.81 UEF</t>
        </r>
      </text>
    </comment>
    <comment ref="C44" authorId="0" shapeId="0" xr:uid="{00000000-0006-0000-0400-000021000000}">
      <text>
        <r>
          <rPr>
            <sz val="9"/>
            <color indexed="81"/>
            <rFont val="Tahoma"/>
            <family val="2"/>
          </rPr>
          <t>Added because LPG_WH3 doesn't meet tax credit efficiency requirement until 2023</t>
        </r>
      </text>
    </comment>
    <comment ref="H44" authorId="0" shapeId="0" xr:uid="{00000000-0006-0000-0400-000022000000}">
      <text>
        <r>
          <rPr>
            <sz val="12"/>
            <color indexed="81"/>
            <rFont val="Tahoma"/>
            <family val="2"/>
          </rPr>
          <t>The minimum required 0.82 EF is roughly equal to the new water heating efficiency metric of 0.81 UEF</t>
        </r>
      </text>
    </comment>
    <comment ref="B45" authorId="0" shapeId="0" xr:uid="{00000000-0006-0000-0400-000023000000}">
      <text>
        <r>
          <rPr>
            <sz val="9"/>
            <color indexed="81"/>
            <rFont val="Tahoma"/>
            <family val="2"/>
          </rPr>
          <t>No modeled DIST_WH models meet tax credit levels</t>
        </r>
      </text>
    </comment>
    <comment ref="H45" authorId="0" shapeId="0" xr:uid="{00000000-0006-0000-0400-000024000000}">
      <text>
        <r>
          <rPr>
            <sz val="12"/>
            <color indexed="81"/>
            <rFont val="Tahoma"/>
            <family val="2"/>
          </rPr>
          <t>The minimum required 0.82 EF is roughly equal to the new water heating efficiency metric of 0.81 UEF</t>
        </r>
      </text>
    </comment>
    <comment ref="B46" authorId="0" shapeId="0" xr:uid="{00000000-0006-0000-0400-000025000000}">
      <text>
        <r>
          <rPr>
            <sz val="9"/>
            <color indexed="81"/>
            <rFont val="Tahoma"/>
            <family val="2"/>
          </rPr>
          <t>No modeled DIST_WH models meet tax credit levels</t>
        </r>
      </text>
    </comment>
    <comment ref="H46" authorId="0" shapeId="0" xr:uid="{00000000-0006-0000-0400-000026000000}">
      <text>
        <r>
          <rPr>
            <sz val="12"/>
            <color indexed="81"/>
            <rFont val="Tahoma"/>
            <family val="2"/>
          </rPr>
          <t>The minimum required 0.82 EF is roughly equal to the new water heating efficiency metric of 0.81 UEF</t>
        </r>
      </text>
    </comment>
    <comment ref="H47" authorId="0" shapeId="0" xr:uid="{00000000-0006-0000-0400-000027000000}">
      <text>
        <r>
          <rPr>
            <sz val="12"/>
            <color indexed="10"/>
            <rFont val="Tahoma"/>
            <family val="2"/>
          </rPr>
          <t>2.0 before 2018; 2.2 in 2018-2020 (but due to lack of 2.2 option in RSMEQP, using 2.0 as proxy)</t>
        </r>
      </text>
    </comment>
    <comment ref="H48" authorId="0" shapeId="0" xr:uid="{00000000-0006-0000-0400-000028000000}">
      <text>
        <r>
          <rPr>
            <sz val="12"/>
            <color indexed="10"/>
            <rFont val="Tahoma"/>
            <family val="2"/>
          </rPr>
          <t>2.0 before 2018; 2.2 in 2018-2020 (but due to lack of 2.2 option in RSMEQP, using 2.0 as proxy)</t>
        </r>
      </text>
    </comment>
    <comment ref="N48" authorId="0" shapeId="0" xr:uid="{00000000-0006-0000-0400-000029000000}">
      <text>
        <r>
          <rPr>
            <sz val="9"/>
            <color indexed="81"/>
            <rFont val="Tahoma"/>
            <family val="2"/>
          </rPr>
          <t xml:space="preserve">Tax credit language makes it seems as though the value should be $2,000, but that makes HPWH costs negative and prevents </t>
        </r>
        <r>
          <rPr>
            <i/>
            <sz val="9"/>
            <color indexed="81"/>
            <rFont val="Tahoma"/>
            <family val="2"/>
          </rPr>
          <t xml:space="preserve">any </t>
        </r>
        <r>
          <rPr>
            <sz val="9"/>
            <color indexed="81"/>
            <rFont val="Tahoma"/>
            <family val="2"/>
          </rPr>
          <t>purchase of electric resistance storage water heaters. Future IRS guidance may clarify what value is most appropriate here.</t>
        </r>
      </text>
    </comment>
    <comment ref="C50" authorId="1" shapeId="0" xr:uid="{00000000-0006-0000-0400-00002A000000}">
      <text>
        <r>
          <rPr>
            <b/>
            <sz val="9"/>
            <color indexed="81"/>
            <rFont val="Tahoma"/>
            <family val="2"/>
          </rPr>
          <t>Sourmehi, Courtney:</t>
        </r>
        <r>
          <rPr>
            <sz val="9"/>
            <color indexed="81"/>
            <rFont val="Tahoma"/>
            <family val="2"/>
          </rPr>
          <t xml:space="preserve">
Non-Business Energy Property Tax credits retroactively extended through 12/31/2021.
https://www.energystar.gov/about/federal_tax_credits/non_business_energy_property_tax_credits</t>
        </r>
      </text>
    </comment>
    <comment ref="B87" authorId="0" shapeId="0" xr:uid="{00000000-0006-0000-0400-00002B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B88" authorId="0" shapeId="0" xr:uid="{00000000-0006-0000-0400-00002C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J145" authorId="0" shapeId="0" xr:uid="{00000000-0006-0000-0400-00002D000000}">
      <text>
        <r>
          <rPr>
            <sz val="12"/>
            <color indexed="81"/>
            <rFont val="Tahoma"/>
            <family val="2"/>
          </rPr>
          <t>Will need to update if xlRTTYNAME ever changes for these technologies</t>
        </r>
      </text>
    </comment>
    <comment ref="J146" authorId="0" shapeId="0" xr:uid="{00000000-0006-0000-0400-00002E000000}">
      <text>
        <r>
          <rPr>
            <sz val="12"/>
            <color indexed="81"/>
            <rFont val="Tahoma"/>
            <family val="2"/>
          </rPr>
          <t>Will need to update if xlRTTYNAME ever changes for these technologies</t>
        </r>
      </text>
    </comment>
    <comment ref="J147" authorId="0" shapeId="0" xr:uid="{00000000-0006-0000-0400-00002F000000}">
      <text>
        <r>
          <rPr>
            <sz val="12"/>
            <color indexed="81"/>
            <rFont val="Tahoma"/>
            <family val="2"/>
          </rPr>
          <t>Will need to update if xlRTTYNAME ever changes for these technologies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<sst xmlns="http://schemas.openxmlformats.org/spreadsheetml/2006/main" count="5855" uniqueCount="499">
  <si>
    <t>Cost Trend Function</t>
  </si>
  <si>
    <t>Efficiency Choice Model Logit Parameters</t>
  </si>
  <si>
    <t>End Use</t>
  </si>
  <si>
    <t>First Year</t>
  </si>
  <si>
    <t>Last Year</t>
  </si>
  <si>
    <t>Efficiency</t>
  </si>
  <si>
    <t>Maturity</t>
  </si>
  <si>
    <t>Cost Decline Initial Year</t>
  </si>
  <si>
    <t>Shape Parameter</t>
  </si>
  <si>
    <t>Cost Decline</t>
  </si>
  <si>
    <t>Beta_1</t>
  </si>
  <si>
    <t>Beta_2</t>
  </si>
  <si>
    <t>Beta_3</t>
  </si>
  <si>
    <t>Bias</t>
  </si>
  <si>
    <t>Tech Name</t>
  </si>
  <si>
    <t>Cost</t>
  </si>
  <si>
    <t>Tab</t>
  </si>
  <si>
    <t>Content</t>
  </si>
  <si>
    <t>Source</t>
  </si>
  <si>
    <t>Comment</t>
  </si>
  <si>
    <t>RSCLASS</t>
  </si>
  <si>
    <t>RSMEQP</t>
  </si>
  <si>
    <t>RSMSHL</t>
  </si>
  <si>
    <t>Residential major end-use equipment class inputs</t>
  </si>
  <si>
    <t>Residential major end-use equipment technology menu</t>
  </si>
  <si>
    <t>Residential shell package inputs</t>
  </si>
  <si>
    <t>Fuel</t>
  </si>
  <si>
    <t>Weibull K</t>
  </si>
  <si>
    <t>Weibull λ</t>
  </si>
  <si>
    <t>Alpha</t>
  </si>
  <si>
    <t>Equipment Life Parameters</t>
  </si>
  <si>
    <t>NEMS Indices</t>
  </si>
  <si>
    <t>Availability Years</t>
  </si>
  <si>
    <t>Elasticity of UEC to Sqft</t>
  </si>
  <si>
    <t>New Shell Efficiency</t>
  </si>
  <si>
    <t>Base Efficiency</t>
  </si>
  <si>
    <t>NEMS Name</t>
  </si>
  <si>
    <t>NEMS Index</t>
  </si>
  <si>
    <t>Subsidies</t>
  </si>
  <si>
    <t>&lt;- RSCLASS variable names</t>
  </si>
  <si>
    <t>&lt;- RSMEQP variable names</t>
  </si>
  <si>
    <t>&lt;- RSMSHL variable names</t>
  </si>
  <si>
    <t>Type Pointer</t>
  </si>
  <si>
    <t>Hot Water Load Adjustment</t>
  </si>
  <si>
    <t>New Construction Cost</t>
  </si>
  <si>
    <t>Replacement Cost</t>
  </si>
  <si>
    <t>Federal Replacement Subsidy</t>
  </si>
  <si>
    <t>Federal New Construction Subsidy</t>
  </si>
  <si>
    <t>Non-Federal Replacement Subsidy</t>
  </si>
  <si>
    <t>Non-Fedederal New Construction Subsidy</t>
  </si>
  <si>
    <t>EE Replacement Subsidy</t>
  </si>
  <si>
    <t>EE New Construction Subsidy</t>
  </si>
  <si>
    <t>Census Division</t>
  </si>
  <si>
    <t>Equipment Type</t>
  </si>
  <si>
    <t>Equipment Class</t>
  </si>
  <si>
    <t>HVAC Pointer</t>
  </si>
  <si>
    <t>Equipment cost dollar year (RTEKDOLLARYR)</t>
  </si>
  <si>
    <t>Housing Type</t>
  </si>
  <si>
    <t>Heating Equipment Class</t>
  </si>
  <si>
    <t>Heating Equipment Type</t>
  </si>
  <si>
    <t>Cooling Equipment Class</t>
  </si>
  <si>
    <t>Cooling Equipment Type</t>
  </si>
  <si>
    <t>Heating Sqft Adjustment</t>
  </si>
  <si>
    <t>Cooling Sqft Adjustment</t>
  </si>
  <si>
    <t>Shell Heating Efficiency</t>
  </si>
  <si>
    <t>Shell Cooling Efficiency</t>
  </si>
  <si>
    <t>Shell Heating Base Efficiency</t>
  </si>
  <si>
    <t>Shell Cooling Base Efficiency</t>
  </si>
  <si>
    <t>Shell Installed Cost</t>
  </si>
  <si>
    <t>Shell Federal Subsidy Amount</t>
  </si>
  <si>
    <t>Shell Non-Federal Subsidy Amount</t>
  </si>
  <si>
    <t>Shell Package Number</t>
  </si>
  <si>
    <t>Shell Description</t>
  </si>
  <si>
    <t>&lt;- Column Sort Order</t>
  </si>
  <si>
    <t>Replacement Equipment Class</t>
  </si>
  <si>
    <t>FILE NAME</t>
  </si>
  <si>
    <t>DATE MODIFIED</t>
  </si>
  <si>
    <t>USED BY</t>
  </si>
  <si>
    <t>RTEKREAD subroutine of the National Energy Modeling System (NEMS) Residential Demand Module (RDM)</t>
  </si>
  <si>
    <t>DEFINITION</t>
  </si>
  <si>
    <t>Residential technology equipment class descriptions (pointers and flags for major end-use equipment types)</t>
  </si>
  <si>
    <t>UNITS</t>
  </si>
  <si>
    <t>DIMENSION</t>
  </si>
  <si>
    <t>SPECIAL CONSTRAINTS</t>
  </si>
  <si>
    <t>Number classes 1, 2 , 3, ... must match RSM(EQP and SHL) class numbers</t>
  </si>
  <si>
    <t>Do not change equipment class names (RTCLNAME); RTCLENDU mapping shown in Table 1 and RTFUEL mapping shown in Table 2 of RDM documentation</t>
  </si>
  <si>
    <t>RTxxxxxx are RESD variable names (also named ranges in Excel); total available number of RSCLASS rows controlled by MNUMRTCL in RTEK includes file</t>
  </si>
  <si>
    <t>File must be sorted by column one (RTCLENDU) then column two (RTCLEQCL)</t>
  </si>
  <si>
    <t>SOURCES</t>
  </si>
  <si>
    <t>COMMENT</t>
  </si>
  <si>
    <t>ORGANIZATION OF DATA</t>
  </si>
  <si>
    <t>Must be sorted by column one then column two</t>
  </si>
  <si>
    <t>Major end-use equipment technology menu</t>
  </si>
  <si>
    <t>Efficiency is relative to 2009 RECS base-year level (index; lower means more efficient)</t>
  </si>
  <si>
    <t>Housing shell menu options</t>
  </si>
  <si>
    <t>Shell cost dollar year (RSHLDOLLARYR)</t>
  </si>
  <si>
    <t>Number of technology records (EqpRecords)</t>
  </si>
  <si>
    <t>Number of class records (ClsRecords)</t>
  </si>
  <si>
    <t>Number of technology records (ShlRecords)</t>
  </si>
  <si>
    <t>Formerly contained in RSCLASS.txt input file</t>
  </si>
  <si>
    <t>See tab for sources</t>
  </si>
  <si>
    <t>RSMESS</t>
  </si>
  <si>
    <t>Residential sector menu for equipment and shell selection</t>
  </si>
  <si>
    <t>xlRTCLENDU</t>
  </si>
  <si>
    <t>xlRTTYENDU</t>
  </si>
  <si>
    <t>xlRTEQTYPE</t>
  </si>
  <si>
    <t>xlRSCENDIV</t>
  </si>
  <si>
    <t>xlRSBTYPE</t>
  </si>
  <si>
    <t>xlHVHTEQCL</t>
  </si>
  <si>
    <t>xlHVHTEQTY</t>
  </si>
  <si>
    <t>xlHVCLEQCL</t>
  </si>
  <si>
    <t>xlHVCLEQTY</t>
  </si>
  <si>
    <t>xlHVFYEAR</t>
  </si>
  <si>
    <t>xlHVLYEAR</t>
  </si>
  <si>
    <t>xlHVHEATFACTOR</t>
  </si>
  <si>
    <t>xlHVCOOLFACTOR</t>
  </si>
  <si>
    <t>xlHTSHEFF</t>
  </si>
  <si>
    <t>xlCLSHEFF</t>
  </si>
  <si>
    <t>xlHTSHBASE</t>
  </si>
  <si>
    <t>xlCLSHBASE</t>
  </si>
  <si>
    <t>xlSHELCOST</t>
  </si>
  <si>
    <t>xlSHELSUB</t>
  </si>
  <si>
    <t>xlSHELSUB111D</t>
  </si>
  <si>
    <t>xlHVPACKG</t>
  </si>
  <si>
    <t>xlHVPGNAME</t>
  </si>
  <si>
    <t>xlRTTYEQCL</t>
  </si>
  <si>
    <t>xlRTINITYR</t>
  </si>
  <si>
    <t>xlRTLASTYR</t>
  </si>
  <si>
    <t>xlRTCENDIV</t>
  </si>
  <si>
    <t>xlHVACPNTR</t>
  </si>
  <si>
    <t>xlRTTYPNTR</t>
  </si>
  <si>
    <t>xlCWMEF</t>
  </si>
  <si>
    <t>xlLOADADJ</t>
  </si>
  <si>
    <t>xlRTEQEFF</t>
  </si>
  <si>
    <t>xlRTEQCOST</t>
  </si>
  <si>
    <t>xlRTRECOST</t>
  </si>
  <si>
    <t>xlRTEQSUB</t>
  </si>
  <si>
    <t>xlRTRESUB</t>
  </si>
  <si>
    <t>xlRTEQSUBN</t>
  </si>
  <si>
    <t>xlRTRESUBN</t>
  </si>
  <si>
    <t>xlRTEQSUB111D</t>
  </si>
  <si>
    <t>xlRTRESUB111D</t>
  </si>
  <si>
    <t>xlRTMATURE</t>
  </si>
  <si>
    <t>xlRTCOSTP1</t>
  </si>
  <si>
    <t>xlRTCOSTP2</t>
  </si>
  <si>
    <t>xlRTCOSTP3</t>
  </si>
  <si>
    <t>xlRTECBTA1</t>
  </si>
  <si>
    <t>xlRTECBTA2</t>
  </si>
  <si>
    <t>xlRTECBTA3</t>
  </si>
  <si>
    <t>xlRTECBIAS</t>
  </si>
  <si>
    <t>xlRTTYNAME</t>
  </si>
  <si>
    <t>xlRTCLEQCL</t>
  </si>
  <si>
    <t>xlRTCLTYPT</t>
  </si>
  <si>
    <t>xlRTCLPNTR</t>
  </si>
  <si>
    <t>xlRTCLREPL</t>
  </si>
  <si>
    <t>xlRTFUEL</t>
  </si>
  <si>
    <t>xlRTFFAN</t>
  </si>
  <si>
    <t>xlRTBASEFF</t>
  </si>
  <si>
    <t>xlRTALPHA</t>
  </si>
  <si>
    <t>xlRTMINLIF</t>
  </si>
  <si>
    <t>xlRTMAXLIF</t>
  </si>
  <si>
    <t>xlRTK</t>
  </si>
  <si>
    <t>xlRTLAMBDA</t>
  </si>
  <si>
    <t>xlRTFCBETA</t>
  </si>
  <si>
    <t>xlRTSWFACT</t>
  </si>
  <si>
    <t>xlRTSWBETA</t>
  </si>
  <si>
    <t>xlRTSWBIAS</t>
  </si>
  <si>
    <t>xlRTCLNAME</t>
  </si>
  <si>
    <t>Switching Factor</t>
  </si>
  <si>
    <t>New Beta</t>
  </si>
  <si>
    <t>Replacement Beta</t>
  </si>
  <si>
    <t>Equipment Class Name</t>
  </si>
  <si>
    <t>ELEC_RAD</t>
  </si>
  <si>
    <t>ELEC_HP</t>
  </si>
  <si>
    <t>NG_FA</t>
  </si>
  <si>
    <t>NG_RAD</t>
  </si>
  <si>
    <t>KERO_FA</t>
  </si>
  <si>
    <t>LPG_FA</t>
  </si>
  <si>
    <t>DIST_FA</t>
  </si>
  <si>
    <t>DIST_RAD</t>
  </si>
  <si>
    <t>WOOD_HT</t>
  </si>
  <si>
    <t>GEO_HP</t>
  </si>
  <si>
    <t>NG_HP</t>
  </si>
  <si>
    <t>ROOM_AIR</t>
  </si>
  <si>
    <t>CENT_AIR</t>
  </si>
  <si>
    <t>CL_WASH</t>
  </si>
  <si>
    <t>DS_WASH</t>
  </si>
  <si>
    <t>NG_WH</t>
  </si>
  <si>
    <t>ELEC_WH</t>
  </si>
  <si>
    <t>DIST_WH</t>
  </si>
  <si>
    <t>LPG_WH</t>
  </si>
  <si>
    <t>SOLAR_WH</t>
  </si>
  <si>
    <t>NG_STV</t>
  </si>
  <si>
    <t>LPG_STV</t>
  </si>
  <si>
    <t>ELEC_STV</t>
  </si>
  <si>
    <t>NG_DRY</t>
  </si>
  <si>
    <t>ELEC_DRY</t>
  </si>
  <si>
    <t>REFR</t>
  </si>
  <si>
    <t>FREZ</t>
  </si>
  <si>
    <t>ELEC_HP1</t>
  </si>
  <si>
    <t>ELEC_HP2</t>
  </si>
  <si>
    <t>ELEC_HP3</t>
  </si>
  <si>
    <t>ELEC_HP4</t>
  </si>
  <si>
    <t>NG_RAD1</t>
  </si>
  <si>
    <t>NG_RAD2</t>
  </si>
  <si>
    <t>NG_RAD3</t>
  </si>
  <si>
    <t>KERO_FA1</t>
  </si>
  <si>
    <t>KERO_FA2</t>
  </si>
  <si>
    <t>KERO_FA3</t>
  </si>
  <si>
    <t>DIST_FA1</t>
  </si>
  <si>
    <t>DIST_FA2</t>
  </si>
  <si>
    <t>DIST_FA3</t>
  </si>
  <si>
    <t>GEO_HP1</t>
  </si>
  <si>
    <t>GEO_HP2</t>
  </si>
  <si>
    <t>ELEC_WH1</t>
  </si>
  <si>
    <t>ELEC_WH2</t>
  </si>
  <si>
    <t>ELEC_WH4</t>
  </si>
  <si>
    <t>DIST_WH1</t>
  </si>
  <si>
    <t>DIST_WH2</t>
  </si>
  <si>
    <t>NG_STV2</t>
  </si>
  <si>
    <t>LPG_STV2</t>
  </si>
  <si>
    <t>NG_DRY1</t>
  </si>
  <si>
    <t>NG_DRY2</t>
  </si>
  <si>
    <t>No IECC</t>
  </si>
  <si>
    <t>IECC 2009</t>
  </si>
  <si>
    <t>PATH</t>
  </si>
  <si>
    <t>MATURE</t>
  </si>
  <si>
    <t>xlI</t>
  </si>
  <si>
    <t>Set xlRTCENDIV=11 if the entire data row applies to all census divisions</t>
  </si>
  <si>
    <t>Each xlRTEQTYPE must range the full 2010-2050 projection period and begin with the same RTCLTYPT as in RSCLASS.txt</t>
  </si>
  <si>
    <t>xlRTxxxxxx labels are RDM variable names  (also named ranges in Excel)</t>
  </si>
  <si>
    <t>Navigant Consulting, Final EIA - Technology Forecast Updates – Residential and Commercial Building Technologies – Reference Case, April, 2018</t>
  </si>
  <si>
    <t>End use (xlRTTYENDU) and class number (xlRTTYEQCL) must match xlRTCLENDU and xlRTCLEQCL in RSCLASS.txt input file, respectively</t>
  </si>
  <si>
    <t>Navigant Consulting, Fourth DRAFT EIA - Technology Forecast Updates – Residential and Commercial Building Technologies – Reference Case: https://www.eia.gov/analysis/studies/buildings/equipcosts/</t>
  </si>
  <si>
    <t>Kerosene equipment is now assumed to be included with distillate fuel oil</t>
  </si>
  <si>
    <t>Kerosene (heating equipment type 5) combined with distillate fuel oil</t>
  </si>
  <si>
    <t>None</t>
  </si>
  <si>
    <t>Housing type, Census division, equipment type</t>
  </si>
  <si>
    <t>End use, equipment class, Census division, end-use technology, vintage</t>
  </si>
  <si>
    <t>Exogenous REM/Design modeling work</t>
  </si>
  <si>
    <t>Technology</t>
  </si>
  <si>
    <t>Percent Rebate by Census Division</t>
  </si>
  <si>
    <t>https://www.energy.gov/savings/residential-energy-efficiency-tax-credit</t>
  </si>
  <si>
    <t>U.S Census Division Map</t>
  </si>
  <si>
    <t>https://www.eia.gov/consumption/commercial/maps.php#census</t>
  </si>
  <si>
    <t>http://programs.dsireusa.org/system/program/detail/1235</t>
  </si>
  <si>
    <t>Year</t>
  </si>
  <si>
    <t>ENERGY STAR</t>
  </si>
  <si>
    <t>IECC 2009 +40%</t>
  </si>
  <si>
    <t>Changed value from prior version</t>
  </si>
  <si>
    <t>New row</t>
  </si>
  <si>
    <t>Verify value</t>
  </si>
  <si>
    <t>Tax Credit</t>
  </si>
  <si>
    <t>Natural Gas Furnaces</t>
  </si>
  <si>
    <t>Central Air Conditioners</t>
  </si>
  <si>
    <t>https://fas.org/sgp/crs/misc/R42089.pdf</t>
  </si>
  <si>
    <t>Thermal Efficiency</t>
  </si>
  <si>
    <t>Minimum Heating Efficiency Level</t>
  </si>
  <si>
    <t>Heating Efficiency Units</t>
  </si>
  <si>
    <t>Minimum Cooling Efficiency Level</t>
  </si>
  <si>
    <t>Cooling Efficiency Units</t>
  </si>
  <si>
    <t>Energy Factor</t>
  </si>
  <si>
    <t>-</t>
  </si>
  <si>
    <t>Heating End Use</t>
  </si>
  <si>
    <t>Cooling End Use</t>
  </si>
  <si>
    <t>Air-Source Heat Pumps</t>
  </si>
  <si>
    <t>Natural Gas water heaters (storage &amp; tankless)</t>
  </si>
  <si>
    <t>Non-federal Energy Efficiency Subsidies (xlRTEQSUBN and xlRTRESUBN in RSMEQP)</t>
  </si>
  <si>
    <t>Equipment and whole-building subsidy lookup tables for federal tax credits, non-federal energy efficiency subsidies, and CPP energy efficiency subsidies</t>
  </si>
  <si>
    <t>Solar water heaters (storage &amp; tankless)</t>
  </si>
  <si>
    <t>Wood Stoves &amp; Other</t>
  </si>
  <si>
    <t>TaxCred&amp;Subs</t>
  </si>
  <si>
    <t>"The amount of the credit is calculated as a percentage of expenditures on technologies that generate renewable energy, including labor and installation costs."</t>
  </si>
  <si>
    <t>"Generally, the maximum value of the Section 25D credit for renewable-energy-generating technologies is not capped."</t>
  </si>
  <si>
    <t>Ground-Source Heat Pumps</t>
  </si>
  <si>
    <t>26 U.S. Code § 25D - Residential energy efficient property tax credits for federal replacement and new construction subsidies (xlRTEQSUB and xlRTRESUB in RSMEQP)</t>
  </si>
  <si>
    <t>xlRTEQSUB/ xlRTRESUB</t>
  </si>
  <si>
    <t>Formerly contained in RSMSHL.txt input file; subsidies are looked up automatically, but correct vintage year rows must be present to pull in all applicable values</t>
  </si>
  <si>
    <t>Natural Gas Boilers &amp; Other</t>
  </si>
  <si>
    <t>Distillate Fuel Oil &amp; Kerosene Boilers &amp; Other</t>
  </si>
  <si>
    <t>Propane Furnaces &amp; Other</t>
  </si>
  <si>
    <t>Distillate Fuel Oil &amp; Kerosene Furnaces</t>
  </si>
  <si>
    <t>AFUE</t>
  </si>
  <si>
    <t>"Both existing homes and new construction qualifies."</t>
  </si>
  <si>
    <t>"The credit is only available for expenditures for an existing home that is the taxpayer’s principal residence. New construction and rentals do not qualify."</t>
  </si>
  <si>
    <t>"Given the price of high-efficiency heating, cooling, and water-heating appliances, taxpayers generally claim the maximum amount of the credit for energy-efficient property."</t>
  </si>
  <si>
    <t>26 U.S. Code § 45L - New energy efficient home credit for federal new construction subsidies (xlSHELSUB in RSMSHL)</t>
  </si>
  <si>
    <t>https://www.law.cornell.edu/uscode/text/26/45L</t>
  </si>
  <si>
    <t>https://www.energystar.gov/about/federal_tax_credits/federal_tax_credit_archives/tax_credits_home_builders</t>
  </si>
  <si>
    <t>Final year of federal tax credit:</t>
  </si>
  <si>
    <t>Single-family homes</t>
  </si>
  <si>
    <t>Manufactured homes</t>
  </si>
  <si>
    <t>"With the exception of the tax credit for an ENERGY STAR certified manufactured home, these tax credits are not directly linked to ENERGY STAR certification. Therefore, a builder of an ENERGY STAR certified home may be eligible for a tax credit but it is not guaranteed.</t>
  </si>
  <si>
    <t>"Home builders are eligible for a $2,000 tax credit for a new energy efficient home that achieves 50% energy savings for heating and cooling over the 2006 International Energy Conservation Code (IECC) and supplements."</t>
  </si>
  <si>
    <t>Applied to IECC 2009 +40% and PATH shell options (i.e., xlHVPACKG &gt;= 4)</t>
  </si>
  <si>
    <t>Existing home building envelopes are not explicitly modeled, so Qualifying Energy-efficiency Improvements are not included in NEMS</t>
  </si>
  <si>
    <t>Residential Energy Tax Credits: Overview and Analysis (PDF pg 3, 9, 19)</t>
  </si>
  <si>
    <t>Residential Energy Tax Credits: Overview and Analysis (PDF pg 3, 9, 20)</t>
  </si>
  <si>
    <t>Electric water heaters (heat pump)</t>
  </si>
  <si>
    <t>Propane water heaters (storage &amp; tankless)</t>
  </si>
  <si>
    <t>Distillate Fuel Oil &amp; Kerosene water heaters (storage &amp; tankless)</t>
  </si>
  <si>
    <t>Rebates are applied to ENERGY STAR or better equipment (i.e., xlRTTYNAME # &gt;=3)</t>
  </si>
  <si>
    <t>COP</t>
  </si>
  <si>
    <t>FIND A WAY TO PREVENT HEAT PUMPS FROM HAVING DIFFERENT COSTS BETWEEN HEATING AND COOLING COMPONENTS?</t>
  </si>
  <si>
    <t>Heating Lookup</t>
  </si>
  <si>
    <t>Cooling Lookup</t>
  </si>
  <si>
    <t>Refrigerator Lookup</t>
  </si>
  <si>
    <t>RefTF</t>
  </si>
  <si>
    <t>RefBF</t>
  </si>
  <si>
    <t>RefSF</t>
  </si>
  <si>
    <t>Kerosene Furnaces</t>
  </si>
  <si>
    <t>NG_DRY3</t>
  </si>
  <si>
    <t>NG_DRY4</t>
  </si>
  <si>
    <t>Efficiency Metric</t>
  </si>
  <si>
    <t>kWh/yr</t>
  </si>
  <si>
    <t>UEF</t>
  </si>
  <si>
    <t>SEF</t>
  </si>
  <si>
    <t>HHV</t>
  </si>
  <si>
    <t>kWh/cycle</t>
  </si>
  <si>
    <t>cycle/kWh</t>
  </si>
  <si>
    <t>End Use/ Class Lookup</t>
  </si>
  <si>
    <t>Last Modified</t>
  </si>
  <si>
    <t>Furnace Fan Flag</t>
  </si>
  <si>
    <t>Equipment Class Pointer</t>
  </si>
  <si>
    <t>Maximum Equipment Life (Years)</t>
  </si>
  <si>
    <t>Minimum Equipment Life (Years)</t>
  </si>
  <si>
    <t>EER</t>
  </si>
  <si>
    <t>CEF</t>
  </si>
  <si>
    <t>% efficiency</t>
  </si>
  <si>
    <t>Switched kerosene fuel number to be same as distillate fuel oil; updated base efficiencies and equipment life parameters based on latest technology report</t>
  </si>
  <si>
    <t>Kerosene combined with distillate fuel oil; this row should be removed once that process is complete</t>
  </si>
  <si>
    <t>NG_FA1</t>
  </si>
  <si>
    <t>NG_FA2</t>
  </si>
  <si>
    <t>NG_FA3</t>
  </si>
  <si>
    <t>NG_FA4</t>
  </si>
  <si>
    <t>LPG_FA1</t>
  </si>
  <si>
    <t>LPG_FA2</t>
  </si>
  <si>
    <t>LPG_FA3</t>
  </si>
  <si>
    <t>LPG_FA4</t>
  </si>
  <si>
    <t>NG_RAD4</t>
  </si>
  <si>
    <t>KERO_FA4</t>
  </si>
  <si>
    <t>DIST_FA4</t>
  </si>
  <si>
    <t>Clothes washers</t>
  </si>
  <si>
    <t>Refrigerators (top-mounted freezer)</t>
  </si>
  <si>
    <t>Refrigerators (side-mounted freezer)</t>
  </si>
  <si>
    <t>Refrigerators (bottom-mounted freezer)</t>
  </si>
  <si>
    <t>WOOD_HT2</t>
  </si>
  <si>
    <t>WOOD_HT4</t>
  </si>
  <si>
    <t>ELEC_RAD2</t>
  </si>
  <si>
    <t>GEO_HP3</t>
  </si>
  <si>
    <t>GEO_HP4</t>
  </si>
  <si>
    <t>NG_HP2</t>
  </si>
  <si>
    <t>NG_WH1</t>
  </si>
  <si>
    <t>NG_WH2</t>
  </si>
  <si>
    <t>NG_WH3</t>
  </si>
  <si>
    <t>NG_WH4</t>
  </si>
  <si>
    <t>LPG_WH1</t>
  </si>
  <si>
    <t>LPG_WH2</t>
  </si>
  <si>
    <t>LPG_WH3</t>
  </si>
  <si>
    <t>LPG_WH4</t>
  </si>
  <si>
    <t>CENT_AIR1</t>
  </si>
  <si>
    <t>CENT_AIR2</t>
  </si>
  <si>
    <t>CENT_AIR3</t>
  </si>
  <si>
    <t>CENT_AIR4</t>
  </si>
  <si>
    <t>Applies to ENERGY STAR or better ground-source heat pumps</t>
  </si>
  <si>
    <t>HP_WH2</t>
  </si>
  <si>
    <t>HP_WH3</t>
  </si>
  <si>
    <t>HP_WH4</t>
  </si>
  <si>
    <t>DIST_WH4</t>
  </si>
  <si>
    <t>NG_STV4</t>
  </si>
  <si>
    <t>LPG_STV4</t>
  </si>
  <si>
    <t>DIST_RAD1</t>
  </si>
  <si>
    <t>DIST_RAD2</t>
  </si>
  <si>
    <t>DIST_RAD3</t>
  </si>
  <si>
    <t>DIST_RAD4</t>
  </si>
  <si>
    <t>ROOM_AIR1</t>
  </si>
  <si>
    <t>ROOM_AIR2</t>
  </si>
  <si>
    <t>ROOM_AIR3</t>
  </si>
  <si>
    <t>ROOM_AIR4</t>
  </si>
  <si>
    <t>DS_WASH1</t>
  </si>
  <si>
    <t>DS_WASH2</t>
  </si>
  <si>
    <t>DS_WASH3</t>
  </si>
  <si>
    <t>DS_WASH4</t>
  </si>
  <si>
    <t>CL_WASH_T1</t>
  </si>
  <si>
    <t>CL_WASH_T2</t>
  </si>
  <si>
    <t>CL_WASH_T3</t>
  </si>
  <si>
    <t>CL_WASH_T4</t>
  </si>
  <si>
    <t>CL_WASH_F1</t>
  </si>
  <si>
    <t>CL_WASH_F2</t>
  </si>
  <si>
    <t>CL_WASH_F3</t>
  </si>
  <si>
    <t>CL_WASH_F4</t>
  </si>
  <si>
    <t>SOLAR_WH2</t>
  </si>
  <si>
    <t>ELEC_STV2</t>
  </si>
  <si>
    <t>ELEC_DRY1</t>
  </si>
  <si>
    <t>ELEC_DRY2</t>
  </si>
  <si>
    <t>ELEC_DRY3</t>
  </si>
  <si>
    <t>ELEC_DRY4</t>
  </si>
  <si>
    <t>REFR_TF1</t>
  </si>
  <si>
    <t>REFR_TF2</t>
  </si>
  <si>
    <t>REFR_TF3</t>
  </si>
  <si>
    <t>REFR_TF4</t>
  </si>
  <si>
    <t>REFR_SF1</t>
  </si>
  <si>
    <t>REFR_SF2</t>
  </si>
  <si>
    <t>REFR_SF3</t>
  </si>
  <si>
    <t>REFR_SF4</t>
  </si>
  <si>
    <t>REFR_BF1</t>
  </si>
  <si>
    <t>REFR_BF2</t>
  </si>
  <si>
    <t>REFR_BF3</t>
  </si>
  <si>
    <t>REFR_BF4</t>
  </si>
  <si>
    <t>FREZ_C1</t>
  </si>
  <si>
    <t>FREZ_C2</t>
  </si>
  <si>
    <t>FREZ_C3</t>
  </si>
  <si>
    <t>FREZ_C4</t>
  </si>
  <si>
    <t>FREZ_U1</t>
  </si>
  <si>
    <t>FREZ_U2</t>
  </si>
  <si>
    <t>FREZ_U3</t>
  </si>
  <si>
    <t>FREZ_U4</t>
  </si>
  <si>
    <t>Heat Eqp Type</t>
  </si>
  <si>
    <t>PATH homes have High (4) equipment or highest available otherwise</t>
  </si>
  <si>
    <t>ENERGY STAR homes use ENERGY STAR (3) equipment</t>
  </si>
  <si>
    <t>IECC homes use Current Standard (1) (or Typical (2) where no standard exists) equipment</t>
  </si>
  <si>
    <t>No IECC use Current Standard (1) (or Typical (2) where no standard exists) equipment</t>
  </si>
  <si>
    <t>PATH homes wouldn't use electric resistance heating? (currently only included in multifamily in CD 5-9)</t>
  </si>
  <si>
    <t>Cool Eqp Class</t>
  </si>
  <si>
    <t>Cool Eqp Type</t>
  </si>
  <si>
    <t>Heat Eqp Class</t>
  </si>
  <si>
    <t>non-negative numbers</t>
  </si>
  <si>
    <t>Minimum array size parameter (MNUMRTTY)</t>
  </si>
  <si>
    <t>Varies</t>
  </si>
  <si>
    <t>nDishTypes</t>
  </si>
  <si>
    <t>nWatHtTypes</t>
  </si>
  <si>
    <t>nCookTypes</t>
  </si>
  <si>
    <t>nRefrTypes</t>
  </si>
  <si>
    <t>nFrezTypes</t>
  </si>
  <si>
    <t>nHeatTypes</t>
  </si>
  <si>
    <t>nCoolTypes</t>
  </si>
  <si>
    <t>Max number of building envelope/ shell types (nShellTypes)</t>
  </si>
  <si>
    <t>Space Heating</t>
  </si>
  <si>
    <t>Space Cooling</t>
  </si>
  <si>
    <t>Dishwashing</t>
  </si>
  <si>
    <t>ClothesWashing</t>
  </si>
  <si>
    <t>nClWashTypes</t>
  </si>
  <si>
    <t>nClDryTypes</t>
  </si>
  <si>
    <t>Water Heating</t>
  </si>
  <si>
    <t>Cooking</t>
  </si>
  <si>
    <t>Clothes Drying</t>
  </si>
  <si>
    <t>Refrigeration</t>
  </si>
  <si>
    <t>Standalone Freezing</t>
  </si>
  <si>
    <t>nHeatClasses</t>
  </si>
  <si>
    <t>nCoolClasses</t>
  </si>
  <si>
    <t>nClWashClasses</t>
  </si>
  <si>
    <t>nDishClasses</t>
  </si>
  <si>
    <t>nWatHtClasses</t>
  </si>
  <si>
    <t>nCookClasses</t>
  </si>
  <si>
    <t>nClDryClasses</t>
  </si>
  <si>
    <t>nRefrClasses</t>
  </si>
  <si>
    <t>nFrezClasses</t>
  </si>
  <si>
    <t>Formerly contained in RSMEQP.txt input file
Equations to pull in nHeat/CoolClasses/Types and subsidies automatically are pasted into adjacent cells; they must be pasted into the appropriate data cells/ row and ";" replaced with "=" (making sure to activate array equations with Ctrl+Shift+Enter as necessary). Copy subsidy equations downward to update subsidies, then past as values once complete. Correct vintage year rows must be present to pull in all applicable values.</t>
  </si>
  <si>
    <t>ELEC_WH5</t>
  </si>
  <si>
    <t>ELEC_WH6</t>
  </si>
  <si>
    <t>ELEC_WH7</t>
  </si>
  <si>
    <t>IECC+40% uses ENERGY STAR equip</t>
  </si>
  <si>
    <t>For AC/HP after 2022, use Typical (2) instead of Current Standard (1) for 2023 standard</t>
  </si>
  <si>
    <t>https://amendments-rules.house.gov/amendments/HWC_103_xml1217190022572257.pdf</t>
  </si>
  <si>
    <t>https://www.energystar.gov/about/federal_tax_credits/non_business_energy_property_tax_credits</t>
  </si>
  <si>
    <t>"For 2012 through 2021, the aggregate amount of credit is limited to $500 per taxpayer. A taxpayer is ineligible for this tax credit if this credit has already been claimed by the taxpayer in an amount of $500 in any previous year"</t>
  </si>
  <si>
    <t>https://www.irs.gov/instructions/i8908</t>
  </si>
  <si>
    <t>26 U.S. Code § 25C - Nonbusiness energy property tax credits for federal replacement subsidies (xlRTEQSUB in RSMEQP)</t>
  </si>
  <si>
    <t>https://www.energystar.gov/about/federal_tax_credits/biomass_stoves</t>
  </si>
  <si>
    <t>Exclude CENT_AIR3, CL_WASH_T3, and CL_WASH_F3</t>
  </si>
  <si>
    <t>New value</t>
  </si>
  <si>
    <t xml:space="preserve">Updated non-federal energy efficiency rebates based on 2021 data. </t>
  </si>
  <si>
    <t>Various= see RDM documentation for efficiency units</t>
  </si>
  <si>
    <t>Do not add equipment classes (xlRTTYEQCL)= do not change equipment class names (xlRTTYNAME)</t>
  </si>
  <si>
    <t>Sources: See file:///L:\mid\cas\AEO2023\Energy_Efficiency\AEO2023_Incentives master sheet_v06.xlsx</t>
  </si>
  <si>
    <t>^ These equations are used to populate the values in the row above, but having live array equations causes issues in NEMS</t>
  </si>
  <si>
    <t>These equations are used to populate the values in the rows below, but having live array equations causes issues in NEMS</t>
  </si>
  <si>
    <t>https://uscode.house.gov/view.xhtml?req=(title:26%20section:25C%20edition:prelim)</t>
  </si>
  <si>
    <t>Any changes to table cell placement in this tab may decessitate revising equations (typically pasted as values after calculation) and lookups in RSMEQP and RSMSHL</t>
  </si>
  <si>
    <t>Wood and Pellet Stoves</t>
  </si>
  <si>
    <t>WOOD_HT manually changed to reflect switch between 25C and 25D tax credits</t>
  </si>
  <si>
    <t>Multifamily homes</t>
  </si>
  <si>
    <t>CENT_AIR1 and ELEC_HP1 are split so that 2023-onward uses Current Typical instead of current standard to resolve red bus/ blue bus issue of identical equipment options being chosen twice</t>
  </si>
  <si>
    <t>year range available (must encompass RECSYEAR+1 to projection horizon), 5 building shell packages; columns initially sorted in order noted in row 19 (smallest to largest)</t>
  </si>
  <si>
    <t>9 census divisions, 3 housing types, 11 heating/ 4 cooling equipment classes (RTCLEQCL from RSCLASS.txt; excludes Room AC), heating/ cooling equipment type (RTEQTYPE from RSMEQP.txt),</t>
  </si>
  <si>
    <t>covered by 25D tax credit</t>
  </si>
  <si>
    <r>
      <t xml:space="preserve">^^ Insert new rows above, and extend named ranges if rows are inserted </t>
    </r>
    <r>
      <rPr>
        <b/>
        <i/>
        <sz val="11"/>
        <color theme="1"/>
        <rFont val="Arial"/>
        <family val="2"/>
        <scheme val="minor"/>
      </rPr>
      <t>immediately</t>
    </r>
    <r>
      <rPr>
        <b/>
        <sz val="11"/>
        <color theme="1"/>
        <rFont val="Arial"/>
        <family val="2"/>
        <scheme val="minor"/>
      </rPr>
      <t xml:space="preserve"> above grey boxes ^^</t>
    </r>
  </si>
  <si>
    <t>Clothes Washer Integrated Modified Energy Factor</t>
  </si>
  <si>
    <t>https://www.law.cornell.edu/uscode/text/26/25C</t>
  </si>
  <si>
    <t>;ROUND(IF($F25&lt;='TaxCred&amp;Subs'!$C$50,(IF($C25=2,IF($M25&gt;=IFERROR(INDEX('TaxCred&amp;Subs'!$L$12:$L$48,MATCH(1,($C25&amp;$D25='TaxCred&amp;Subs'!$E$12:$E$48)*($F25='TaxCred&amp;Subs'!$C$12:$C$48),0)
),9999),IFERROR(INDEX('TaxCred&amp;Subs'!$N$12:$N$48,MATCH(1,($C25&amp;$D25='TaxCred&amp;Subs'!$E$12:$E$48)*($F25='TaxCred&amp;Subs'!$C$12:$C$48),0)
),0),0),(IF($M25&gt;=IFERROR(INDEX('TaxCred&amp;Subs'!$H$12:$H$48,MATCH(1,($C25&amp;$D25='TaxCred&amp;Subs'!$D$12:$D$48)*($F25='TaxCred&amp;Subs'!$C$12:$C$48),0)
),9999),IFERROR(INDEX('TaxCred&amp;Subs'!$N$12:$N$48,MATCH(1,($C25&amp;$D25='TaxCred&amp;Subs'!$D$12:$D$48)*($F25='TaxCred&amp;Subs'!$C$12:$C$48),0)
),0),0)))),0)+IF(AND($C25=2,VALUE(RIGHT($AD25,1))&gt;2),N25*(IFERROR(INDEX('TaxCred&amp;Subs'!$J$67:$J$108,MATCH(1,($C25&amp;$D25='TaxCred&amp;Subs'!$E$67:$E$108)*($F25='TaxCred&amp;Subs'!$C$67:$C$108),0)),0)),IF(AND($C25=1,VALUE(RIGHT($AD25,1))&gt;2),N25*(IFERROR(INDEX('TaxCred&amp;Subs'!$J$67:$J$108,MATCH(1,($C25&amp;$D25='TaxCred&amp;Subs'!$D$67:$D$108)*($F25='TaxCred&amp;Subs'!$C$67:$C$108),0)),0)),IF($C25&gt;2,N25*(IFERROR(INDEX('TaxCred&amp;Subs'!$J$67:$J$108,MATCH(1,($C25&amp;$D25='TaxCred&amp;Subs'!$D$67:$D$108)*($F25='TaxCred&amp;Subs'!$C$67:$C$108),0)),0)),0))),0)</t>
  </si>
  <si>
    <t>;ROUND(IF(AND($C25=2,VALUE(RIGHT($AD25,1))&gt;2),O25*(IFERROR(INDEX('TaxCred&amp;Subs'!$J$67:$J$108,MATCH(1,($C25&amp;$D25='TaxCred&amp;Subs'!$E$67:$E$108)*($F25='TaxCred&amp;Subs'!$C$67:$C$108),0)),0)),IF(AND($C25=1,VALUE(RIGHT($AD25,1))&gt;2),O25*(IFERROR(INDEX('TaxCred&amp;Subs'!$J$67:$J$108,MATCH(1,($C25&amp;$D25='TaxCred&amp;Subs'!$D$67:$D$108)*($F25='TaxCred&amp;Subs'!$C$67:$C$108),0)),0)),IF($C25&gt;2,O25*(IFERROR(INDEX('TaxCred&amp;Subs'!$J$67:$J$108,MATCH(1,($C25&amp;$D25='TaxCred&amp;Subs'!$D$67:$D$108)*($F25='TaxCred&amp;Subs'!$C$67:$C$108),0)),0)),0))),0)</t>
  </si>
  <si>
    <t>;ROUND(IF(IFERROR(VALUE(RIGHT($AD25,1)),0)&gt;2,IF($C25=8,N25*IFERROR(INDEX('TaxCred&amp;Subs'!$K$144:$S$156,MATCH($C25&amp;$D25&amp;LEFT($AD25,5),'TaxCred&amp;Subs'!$E$144:$E$156,0),MATCH($H25,'TaxCred&amp;Subs'!$K$143:$S$143,0)),0),IF($C25=2,N25*IFERROR(INDEX('TaxCred&amp;Subs'!$K$144:$S$156,MATCH($C25&amp;$D25,'TaxCred&amp;Subs'!$D$144:$D$156,0),MATCH($H25,'TaxCred&amp;Subs'!$K$143:$S$143,0)),0),N25*IFERROR(INDEX('TaxCred&amp;Subs'!$K$144:$S$156,MATCH($C25&amp;$D25,'TaxCred&amp;Subs'!$C$144:$C$156,0),MATCH($H25,'TaxCred&amp;Subs'!$K$143:$S$143,0)),0))),0),0)</t>
  </si>
  <si>
    <t>;ROUND(IF(IFERROR(VALUE(RIGHT($AD25,1)),0)&gt;2,IF($C25=8,O25*IFERROR(INDEX('TaxCred&amp;Subs'!$K$144:$S$156,MATCH($C25&amp;$D25&amp;LEFT($AD25,5),'TaxCred&amp;Subs'!$E$144:$E$156,0),MATCH($H25,'TaxCred&amp;Subs'!$K$143:$S$143,0)),0),IF($C25=2,O25*IFERROR(INDEX('TaxCred&amp;Subs'!$K$144:$S$156,MATCH($C25&amp;$D25,'TaxCred&amp;Subs'!$D$144:$D$156,0),MATCH($H25,'TaxCred&amp;Subs'!$K$143:$S$143,0)),0),O25*IFERROR(INDEX('TaxCred&amp;Subs'!$K$144:$S$156,MATCH($C25&amp;$D25,'TaxCred&amp;Subs'!$C$144:$C$156,0),MATCH($H25,'TaxCred&amp;Subs'!$K$143:$S$143,0)),0))),0),0)</t>
  </si>
  <si>
    <t>Extended IRS 25C and 25D tax credits per Inflation Reduction Act; updated non-federal energy efficiency incentives using updated rebate estimation, homogenizing dollar years; revise ENERGY STAR water heaters per latest specification</t>
  </si>
  <si>
    <t>Updated xlSHELSUB for qualifying packages (IECC 2009 +40% and PATH) based on federal tax credit extension through 2032 per Inflation Reduction Act (including expansion to multifamily construction); current ES package excluded until shell efficiency modeling updates are completed</t>
  </si>
  <si>
    <t>life</t>
  </si>
  <si>
    <t>L</t>
  </si>
  <si>
    <t>if growth is slow</t>
  </si>
  <si>
    <t>avg 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</si>
</sst>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quot;$&quot;* #,##0.00_);_(&quot;$&quot;* \(#,##0.00\);_(&quot;$&quot;* &quot;-&quot;??_);_(@_)"/>
    <numFmt numFmtId="165" formatCode="_(* #,##0.00_);_(* \(#,##0.00\);_(* &quot;-&quot;??_);_(@_)"/>
    <numFmt numFmtId="166" formatCode="[$-409]mmmm\ d\,\ yyyy;@"/>
    <numFmt numFmtId="167" formatCode="0.0"/>
    <numFmt numFmtId="168" formatCode="0.0000"/>
    <numFmt numFmtId="169" formatCode="&quot;$&quot;#,##0"/>
    <numFmt numFmtId="170" formatCode="0.000"/>
    <numFmt numFmtId="171" formatCode="&quot; &quot;&quot;$&quot;#,##0.00&quot; &quot;;&quot; &quot;&quot;$&quot;&quot;(&quot;#,##0.00&quot;)&quot;;&quot; &quot;&quot;$&quot;&quot;-&quot;00&quot; &quot;;&quot; &quot;@&quot; &quot;"/>
    <numFmt numFmtId="172" formatCode="0.0%"/>
  </numFmts>
  <fonts count="51" x14ac:knownFonts="1">
    <font>
      <sz val="11"/>
      <color theme="1"/>
      <name val="Arial"/>
      <family val="2"/>
      <scheme val="minor"/>
    </font>
    <font>
      <b/>
      <sz val="11"/>
      <color theme="1"/>
      <name val="Arial"/>
      <family val="2"/>
      <scheme val="minor"/>
    </font>
    <font>
      <b/>
      <sz val="11"/>
      <name val="Arial"/>
      <family val="2"/>
    </font>
    <font>
      <sz val="11"/>
      <name val="Arial"/>
      <family val="2"/>
    </font>
    <font>
      <b/>
      <sz val="11"/>
      <color rgb="FFFF0000"/>
      <name val="Arial"/>
      <family val="2"/>
      <scheme val="minor"/>
    </font>
    <font>
      <sz val="10"/>
      <name val="Helv"/>
    </font>
    <font>
      <sz val="11"/>
      <color rgb="FF0070C0"/>
      <name val="Arial"/>
      <family val="2"/>
      <scheme val="minor"/>
    </font>
    <font>
      <sz val="12"/>
      <color indexed="81"/>
      <name val="Tahoma"/>
      <family val="2"/>
    </font>
    <font>
      <i/>
      <sz val="11"/>
      <color theme="1"/>
      <name val="Arial"/>
      <family val="2"/>
      <scheme val="minor"/>
    </font>
    <font>
      <b/>
      <sz val="10"/>
      <name val="Arial"/>
      <family val="2"/>
      <scheme val="minor"/>
    </font>
    <font>
      <b/>
      <sz val="11"/>
      <color theme="0" tint="-0.249977111117893"/>
      <name val="Arial"/>
      <family val="2"/>
      <scheme val="minor"/>
    </font>
    <font>
      <i/>
      <sz val="12"/>
      <color indexed="81"/>
      <name val="Tahoma"/>
      <family val="2"/>
    </font>
    <font>
      <sz val="11"/>
      <color rgb="FFFF0000"/>
      <name val="Arial"/>
      <family val="2"/>
      <scheme val="minor"/>
    </font>
    <font>
      <i/>
      <sz val="11"/>
      <color rgb="FFFF0000"/>
      <name val="Arial"/>
      <family val="2"/>
      <scheme val="minor"/>
    </font>
    <font>
      <b/>
      <sz val="11"/>
      <color rgb="FF000000"/>
      <name val="Arial"/>
      <family val="2"/>
      <scheme val="minor"/>
    </font>
    <font>
      <sz val="11"/>
      <color rgb="FF000000"/>
      <name val="Arial"/>
      <family val="2"/>
      <scheme val="minor"/>
    </font>
    <font>
      <u/>
      <sz val="11"/>
      <color theme="10"/>
      <name val="Arial"/>
      <family val="2"/>
      <scheme val="minor"/>
    </font>
    <font>
      <b/>
      <i/>
      <sz val="11"/>
      <color theme="1"/>
      <name val="Arial"/>
      <family val="2"/>
      <scheme val="minor"/>
    </font>
    <font>
      <sz val="11"/>
      <name val="Arial"/>
      <family val="2"/>
      <scheme val="minor"/>
    </font>
    <font>
      <sz val="12"/>
      <color indexed="10"/>
      <name val="Tahoma"/>
      <family val="2"/>
    </font>
    <font>
      <sz val="11"/>
      <color rgb="FF0070C0"/>
      <name val="Arial"/>
      <family val="2"/>
    </font>
    <font>
      <i/>
      <sz val="11"/>
      <color theme="0" tint="-0.34998626667073579"/>
      <name val="Arial"/>
      <family val="2"/>
      <scheme val="minor"/>
    </font>
    <font>
      <sz val="11"/>
      <color theme="1"/>
      <name val="Arial"/>
      <family val="2"/>
      <scheme val="minor"/>
    </font>
    <font>
      <u/>
      <sz val="10"/>
      <color indexed="12"/>
      <name val="Arial"/>
      <family val="2"/>
    </font>
    <font>
      <sz val="11"/>
      <color rgb="FF000000"/>
      <name val="Calibri"/>
      <family val="2"/>
    </font>
    <font>
      <sz val="10"/>
      <color rgb="FF000000"/>
      <name val="Times New Roman"/>
      <family val="1"/>
    </font>
    <font>
      <sz val="9"/>
      <color indexed="81"/>
      <name val="Tahoma"/>
      <family val="2"/>
    </font>
    <font>
      <b/>
      <sz val="9"/>
      <color indexed="81"/>
      <name val="Tahoma"/>
      <family val="2"/>
    </font>
    <font>
      <sz val="11"/>
      <color theme="4"/>
      <name val="Arial"/>
      <family val="2"/>
      <scheme val="minor"/>
    </font>
    <font>
      <sz val="18"/>
      <color theme="3"/>
      <name val="Times New Roman"/>
      <family val="2"/>
      <scheme val="major"/>
    </font>
    <font>
      <b/>
      <sz val="15"/>
      <color theme="3"/>
      <name val="Arial"/>
      <family val="2"/>
      <scheme val="minor"/>
    </font>
    <font>
      <b/>
      <sz val="13"/>
      <color theme="3"/>
      <name val="Arial"/>
      <family val="2"/>
      <scheme val="minor"/>
    </font>
    <font>
      <b/>
      <sz val="11"/>
      <color theme="3"/>
      <name val="Arial"/>
      <family val="2"/>
      <scheme val="minor"/>
    </font>
    <font>
      <sz val="11"/>
      <color rgb="FF006100"/>
      <name val="Arial"/>
      <family val="2"/>
      <scheme val="minor"/>
    </font>
    <font>
      <sz val="11"/>
      <color rgb="FF9C0006"/>
      <name val="Arial"/>
      <family val="2"/>
      <scheme val="minor"/>
    </font>
    <font>
      <sz val="11"/>
      <color rgb="FF9C6500"/>
      <name val="Arial"/>
      <family val="2"/>
      <scheme val="minor"/>
    </font>
    <font>
      <sz val="11"/>
      <color rgb="FF3F3F76"/>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b/>
      <sz val="11"/>
      <color theme="0"/>
      <name val="Arial"/>
      <family val="2"/>
      <scheme val="minor"/>
    </font>
    <font>
      <i/>
      <sz val="11"/>
      <color rgb="FF7F7F7F"/>
      <name val="Arial"/>
      <family val="2"/>
      <scheme val="minor"/>
    </font>
    <font>
      <sz val="11"/>
      <color theme="0"/>
      <name val="Arial"/>
      <family val="2"/>
      <scheme val="minor"/>
    </font>
    <font>
      <sz val="10"/>
      <name val="Arial"/>
      <family val="2"/>
    </font>
    <font>
      <sz val="11"/>
      <color indexed="8"/>
      <name val="Calibri"/>
      <family val="2"/>
    </font>
    <font>
      <u/>
      <sz val="11"/>
      <color theme="10"/>
      <name val="Calibri"/>
      <family val="2"/>
    </font>
    <font>
      <sz val="10"/>
      <name val="Courier"/>
      <family val="3"/>
    </font>
    <font>
      <b/>
      <sz val="11"/>
      <name val="Arial"/>
      <family val="2"/>
      <scheme val="minor"/>
    </font>
    <font>
      <i/>
      <sz val="11"/>
      <name val="Arial"/>
      <family val="2"/>
      <scheme val="minor"/>
    </font>
    <font>
      <i/>
      <sz val="9"/>
      <color indexed="81"/>
      <name val="Tahoma"/>
      <family val="2"/>
    </font>
    <font>
      <sz val="11"/>
      <color theme="1"/>
      <name val="Calibri"/>
      <family val="2"/>
    </font>
  </fonts>
  <fills count="38">
    <fill>
      <patternFill patternType="none"/>
    </fill>
    <fill>
      <patternFill patternType="gray125"/>
    </fill>
    <fill>
      <patternFill patternType="solid">
        <fgColor theme="9" tint="0.79998168889431442"/>
        <bgColor indexed="64"/>
      </patternFill>
    </fill>
    <fill>
      <patternFill patternType="solid">
        <fgColor theme="0" tint="-0.34998626667073579"/>
        <bgColor indexed="64"/>
      </patternFill>
    </fill>
    <fill>
      <patternFill patternType="solid">
        <fgColor theme="6" tint="0.79998168889431442"/>
        <bgColor indexed="64"/>
      </patternFill>
    </fill>
    <fill>
      <patternFill patternType="solid">
        <fgColor rgb="FFFFFF00"/>
        <bgColor indexed="64"/>
      </patternFill>
    </fill>
    <fill>
      <patternFill patternType="solid">
        <fgColor rgb="FF92D05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36">
    <border>
      <left/>
      <right/>
      <top/>
      <bottom/>
      <diagonal/>
    </border>
    <border>
      <left/>
      <right/>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top/>
      <bottom style="thick">
        <color theme="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top style="mediumDashed">
        <color theme="0" tint="-0.34998626667073579"/>
      </top>
      <bottom/>
      <diagonal/>
    </border>
    <border>
      <left/>
      <right/>
      <top style="thick">
        <color theme="4"/>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diagonal/>
    </border>
    <border>
      <left/>
      <right/>
      <top/>
      <bottom style="mediumDashed">
        <color theme="0" tint="-0.34998626667073579"/>
      </bottom>
      <diagonal/>
    </border>
  </borders>
  <cellStyleXfs count="73">
    <xf numFmtId="0" fontId="0" fillId="0" borderId="0"/>
    <xf numFmtId="0" fontId="5" fillId="0" borderId="0"/>
    <xf numFmtId="0" fontId="16" fillId="0" borderId="0" applyNumberFormat="0" applyFill="0" applyBorder="0" applyAlignment="0" applyProtection="0"/>
    <xf numFmtId="0" fontId="22" fillId="0" borderId="0"/>
    <xf numFmtId="0" fontId="23" fillId="0" borderId="0" applyNumberFormat="0" applyFill="0" applyBorder="0" applyAlignment="0" applyProtection="0">
      <alignment vertical="top"/>
      <protection locked="0"/>
    </xf>
    <xf numFmtId="0" fontId="24" fillId="0" borderId="0"/>
    <xf numFmtId="0" fontId="25" fillId="0" borderId="0"/>
    <xf numFmtId="9" fontId="24" fillId="0" borderId="0" applyFont="0" applyFill="0" applyBorder="0" applyAlignment="0" applyProtection="0"/>
    <xf numFmtId="171" fontId="24" fillId="0" borderId="0" applyFont="0" applyFill="0" applyBorder="0" applyAlignment="0" applyProtection="0"/>
    <xf numFmtId="9" fontId="22" fillId="0" borderId="0" applyFont="0" applyFill="0" applyBorder="0" applyAlignment="0" applyProtection="0"/>
    <xf numFmtId="0" fontId="29" fillId="0" borderId="0" applyNumberFormat="0" applyFill="0" applyBorder="0" applyAlignment="0" applyProtection="0"/>
    <xf numFmtId="0" fontId="30" fillId="0" borderId="13" applyNumberFormat="0" applyFill="0" applyAlignment="0" applyProtection="0"/>
    <xf numFmtId="0" fontId="31" fillId="0" borderId="20" applyNumberFormat="0" applyFill="0" applyAlignment="0" applyProtection="0"/>
    <xf numFmtId="0" fontId="32" fillId="0" borderId="21" applyNumberFormat="0" applyFill="0" applyAlignment="0" applyProtection="0"/>
    <xf numFmtId="0" fontId="32" fillId="0" borderId="0" applyNumberFormat="0" applyFill="0" applyBorder="0" applyAlignment="0" applyProtection="0"/>
    <xf numFmtId="0" fontId="33" fillId="7" borderId="0" applyNumberFormat="0" applyBorder="0" applyAlignment="0" applyProtection="0"/>
    <xf numFmtId="0" fontId="34" fillId="8" borderId="0" applyNumberFormat="0" applyBorder="0" applyAlignment="0" applyProtection="0"/>
    <xf numFmtId="0" fontId="35" fillId="9" borderId="0" applyNumberFormat="0" applyBorder="0" applyAlignment="0" applyProtection="0"/>
    <xf numFmtId="0" fontId="36" fillId="10" borderId="22" applyNumberFormat="0" applyAlignment="0" applyProtection="0"/>
    <xf numFmtId="0" fontId="37" fillId="11" borderId="23" applyNumberFormat="0" applyAlignment="0" applyProtection="0"/>
    <xf numFmtId="0" fontId="38" fillId="11" borderId="22" applyNumberFormat="0" applyAlignment="0" applyProtection="0"/>
    <xf numFmtId="0" fontId="39" fillId="0" borderId="24" applyNumberFormat="0" applyFill="0" applyAlignment="0" applyProtection="0"/>
    <xf numFmtId="0" fontId="40" fillId="12" borderId="25" applyNumberFormat="0" applyAlignment="0" applyProtection="0"/>
    <xf numFmtId="0" fontId="12" fillId="0" borderId="0" applyNumberFormat="0" applyFill="0" applyBorder="0" applyAlignment="0" applyProtection="0"/>
    <xf numFmtId="0" fontId="22" fillId="13" borderId="26" applyNumberFormat="0" applyFont="0" applyAlignment="0" applyProtection="0"/>
    <xf numFmtId="0" fontId="41" fillId="0" borderId="0" applyNumberFormat="0" applyFill="0" applyBorder="0" applyAlignment="0" applyProtection="0"/>
    <xf numFmtId="0" fontId="1" fillId="0" borderId="27" applyNumberFormat="0" applyFill="0" applyAlignment="0" applyProtection="0"/>
    <xf numFmtId="0" fontId="4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42" fillId="17" borderId="0" applyNumberFormat="0" applyBorder="0" applyAlignment="0" applyProtection="0"/>
    <xf numFmtId="0" fontId="42" fillId="18" borderId="0" applyNumberFormat="0" applyBorder="0" applyAlignment="0" applyProtection="0"/>
    <xf numFmtId="0" fontId="22" fillId="19" borderId="0" applyNumberFormat="0" applyBorder="0" applyAlignment="0" applyProtection="0"/>
    <xf numFmtId="0" fontId="22" fillId="20" borderId="0" applyNumberFormat="0" applyBorder="0" applyAlignment="0" applyProtection="0"/>
    <xf numFmtId="0" fontId="42" fillId="21" borderId="0" applyNumberFormat="0" applyBorder="0" applyAlignment="0" applyProtection="0"/>
    <xf numFmtId="0" fontId="42" fillId="22" borderId="0" applyNumberFormat="0" applyBorder="0" applyAlignment="0" applyProtection="0"/>
    <xf numFmtId="0" fontId="22" fillId="23" borderId="0" applyNumberFormat="0" applyBorder="0" applyAlignment="0" applyProtection="0"/>
    <xf numFmtId="0" fontId="22" fillId="24" borderId="0" applyNumberFormat="0" applyBorder="0" applyAlignment="0" applyProtection="0"/>
    <xf numFmtId="0" fontId="42" fillId="25" borderId="0" applyNumberFormat="0" applyBorder="0" applyAlignment="0" applyProtection="0"/>
    <xf numFmtId="0" fontId="42" fillId="26" borderId="0" applyNumberFormat="0" applyBorder="0" applyAlignment="0" applyProtection="0"/>
    <xf numFmtId="0" fontId="22" fillId="27" borderId="0" applyNumberFormat="0" applyBorder="0" applyAlignment="0" applyProtection="0"/>
    <xf numFmtId="0" fontId="22" fillId="28" borderId="0" applyNumberFormat="0" applyBorder="0" applyAlignment="0" applyProtection="0"/>
    <xf numFmtId="0" fontId="42" fillId="29" borderId="0" applyNumberFormat="0" applyBorder="0" applyAlignment="0" applyProtection="0"/>
    <xf numFmtId="0" fontId="4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42" fillId="33" borderId="0" applyNumberFormat="0" applyBorder="0" applyAlignment="0" applyProtection="0"/>
    <xf numFmtId="0" fontId="4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42" fillId="37" borderId="0" applyNumberFormat="0" applyBorder="0" applyAlignment="0" applyProtection="0"/>
    <xf numFmtId="0" fontId="44" fillId="0" borderId="0"/>
    <xf numFmtId="0" fontId="46" fillId="0" borderId="0"/>
    <xf numFmtId="0" fontId="44" fillId="0" borderId="0"/>
    <xf numFmtId="0" fontId="22" fillId="0" borderId="0"/>
    <xf numFmtId="0" fontId="22" fillId="0" borderId="0"/>
    <xf numFmtId="0" fontId="45" fillId="0" borderId="0" applyNumberFormat="0" applyFill="0" applyBorder="0" applyAlignment="0" applyProtection="0"/>
    <xf numFmtId="0" fontId="22" fillId="0" borderId="0"/>
    <xf numFmtId="165" fontId="22" fillId="0" borderId="0" applyFont="0" applyFill="0" applyBorder="0" applyAlignment="0" applyProtection="0"/>
    <xf numFmtId="164" fontId="22" fillId="0" borderId="0" applyFont="0" applyFill="0" applyBorder="0" applyAlignment="0" applyProtection="0"/>
    <xf numFmtId="9" fontId="22" fillId="0" borderId="0" applyFont="0" applyFill="0" applyBorder="0" applyAlignment="0" applyProtection="0"/>
    <xf numFmtId="0" fontId="24" fillId="0" borderId="0"/>
    <xf numFmtId="0" fontId="22" fillId="0" borderId="0"/>
    <xf numFmtId="165" fontId="22" fillId="0" borderId="0" applyFont="0" applyFill="0" applyBorder="0" applyAlignment="0" applyProtection="0"/>
    <xf numFmtId="164" fontId="22" fillId="0" borderId="0" applyFont="0" applyFill="0" applyBorder="0" applyAlignment="0" applyProtection="0"/>
    <xf numFmtId="9" fontId="22" fillId="0" borderId="0" applyFont="0" applyFill="0" applyBorder="0" applyAlignment="0" applyProtection="0"/>
    <xf numFmtId="0" fontId="16" fillId="0" borderId="0" applyNumberFormat="0" applyFill="0" applyBorder="0" applyAlignment="0" applyProtection="0"/>
    <xf numFmtId="0" fontId="45" fillId="0" borderId="0" applyNumberFormat="0" applyFill="0" applyBorder="0" applyAlignment="0" applyProtection="0">
      <alignment vertical="top"/>
      <protection locked="0"/>
    </xf>
    <xf numFmtId="0" fontId="45" fillId="0" borderId="0" applyNumberFormat="0" applyFill="0" applyBorder="0" applyAlignment="0" applyProtection="0">
      <alignment vertical="top"/>
      <protection locked="0"/>
    </xf>
    <xf numFmtId="0" fontId="43" fillId="0" borderId="0"/>
    <xf numFmtId="9" fontId="43" fillId="0" borderId="0" applyFon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cellStyleXfs>
  <cellXfs count="250">
    <xf numFmtId="0" fontId="0" fillId="0" borderId="0" xfId="0"/>
    <xf numFmtId="0" fontId="2" fillId="0" borderId="1" xfId="0" applyFont="1" applyBorder="1" applyAlignment="1">
      <alignment horizontal="center"/>
    </xf>
    <xf numFmtId="0" fontId="3" fillId="0" borderId="0" xfId="0" applyFont="1" applyAlignment="1">
      <alignment horizontal="center" vertical="top" wrapText="1"/>
    </xf>
    <xf numFmtId="0" fontId="3" fillId="0" borderId="0" xfId="0" quotePrefix="1" applyFont="1" applyAlignment="1">
      <alignment horizontal="center" vertical="top" wrapText="1"/>
    </xf>
    <xf numFmtId="0" fontId="3" fillId="2" borderId="0" xfId="0" applyFont="1" applyFill="1" applyAlignment="1">
      <alignment horizontal="center" vertical="top"/>
    </xf>
    <xf numFmtId="0" fontId="0" fillId="0" borderId="0" xfId="0" applyAlignment="1">
      <alignment horizontal="center"/>
    </xf>
    <xf numFmtId="0" fontId="1" fillId="0" borderId="0" xfId="0" applyFont="1"/>
    <xf numFmtId="0" fontId="6" fillId="0" borderId="0" xfId="0" applyFont="1" applyAlignment="1">
      <alignment horizontal="center"/>
    </xf>
    <xf numFmtId="0" fontId="8" fillId="0" borderId="0" xfId="0" applyFont="1"/>
    <xf numFmtId="0" fontId="8" fillId="0" borderId="0" xfId="0" applyFont="1" applyAlignment="1">
      <alignment horizontal="center"/>
    </xf>
    <xf numFmtId="0" fontId="0" fillId="3" borderId="0" xfId="0" applyFill="1"/>
    <xf numFmtId="0" fontId="1" fillId="3" borderId="0" xfId="0" applyFont="1" applyFill="1"/>
    <xf numFmtId="0" fontId="1" fillId="0" borderId="5" xfId="0" applyFont="1" applyBorder="1" applyAlignment="1">
      <alignment horizontal="center"/>
    </xf>
    <xf numFmtId="0" fontId="1" fillId="0" borderId="5" xfId="0" applyFont="1" applyBorder="1" applyAlignment="1">
      <alignment horizontal="center" wrapText="1"/>
    </xf>
    <xf numFmtId="0" fontId="9" fillId="0" borderId="5" xfId="1" applyFont="1" applyBorder="1" applyAlignment="1">
      <alignment horizontal="center"/>
    </xf>
    <xf numFmtId="0" fontId="1" fillId="0" borderId="8" xfId="0" applyFont="1" applyBorder="1" applyAlignment="1">
      <alignment horizontal="center"/>
    </xf>
    <xf numFmtId="0" fontId="1" fillId="0" borderId="11" xfId="0" applyFont="1" applyBorder="1" applyAlignment="1">
      <alignment horizontal="center"/>
    </xf>
    <xf numFmtId="0" fontId="4" fillId="0" borderId="5" xfId="0" applyFont="1" applyBorder="1" applyAlignment="1">
      <alignment horizontal="center" wrapText="1"/>
    </xf>
    <xf numFmtId="0" fontId="0" fillId="0" borderId="12" xfId="0" applyBorder="1" applyAlignment="1">
      <alignment horizontal="center"/>
    </xf>
    <xf numFmtId="0" fontId="0" fillId="0" borderId="3" xfId="0" applyBorder="1" applyAlignment="1">
      <alignment horizontal="center"/>
    </xf>
    <xf numFmtId="166" fontId="0" fillId="0" borderId="0" xfId="0" applyNumberFormat="1" applyAlignment="1">
      <alignment horizontal="left"/>
    </xf>
    <xf numFmtId="0" fontId="10" fillId="0" borderId="6" xfId="0" applyFont="1" applyBorder="1" applyAlignment="1">
      <alignment horizontal="center"/>
    </xf>
    <xf numFmtId="0" fontId="10" fillId="0" borderId="9" xfId="0" applyFont="1" applyBorder="1" applyAlignment="1">
      <alignment horizontal="center"/>
    </xf>
    <xf numFmtId="0" fontId="10" fillId="0" borderId="7" xfId="0" applyFont="1" applyBorder="1" applyAlignment="1">
      <alignment horizontal="center"/>
    </xf>
    <xf numFmtId="0" fontId="10" fillId="0" borderId="10" xfId="0" applyFont="1" applyBorder="1" applyAlignment="1">
      <alignment horizontal="center"/>
    </xf>
    <xf numFmtId="2" fontId="0" fillId="0" borderId="12" xfId="0" applyNumberFormat="1" applyBorder="1" applyAlignment="1">
      <alignment horizontal="center"/>
    </xf>
    <xf numFmtId="2" fontId="0" fillId="0" borderId="3" xfId="0" applyNumberFormat="1" applyBorder="1" applyAlignment="1">
      <alignment horizontal="center"/>
    </xf>
    <xf numFmtId="2" fontId="0" fillId="0" borderId="0" xfId="0" applyNumberFormat="1" applyAlignment="1">
      <alignment horizontal="center"/>
    </xf>
    <xf numFmtId="1" fontId="0" fillId="0" borderId="12" xfId="0" applyNumberFormat="1" applyBorder="1" applyAlignment="1">
      <alignment horizontal="center"/>
    </xf>
    <xf numFmtId="1" fontId="0" fillId="0" borderId="3" xfId="0" applyNumberFormat="1" applyBorder="1" applyAlignment="1">
      <alignment horizontal="center"/>
    </xf>
    <xf numFmtId="1" fontId="0" fillId="0" borderId="0" xfId="0" applyNumberFormat="1" applyAlignment="1">
      <alignment horizontal="center"/>
    </xf>
    <xf numFmtId="0" fontId="0" fillId="2" borderId="0" xfId="0" applyFill="1" applyAlignment="1">
      <alignment horizontal="center"/>
    </xf>
    <xf numFmtId="0" fontId="0" fillId="0" borderId="0" xfId="0" applyFill="1"/>
    <xf numFmtId="0" fontId="0" fillId="4" borderId="0" xfId="0" applyFill="1" applyAlignment="1">
      <alignment horizontal="center"/>
    </xf>
    <xf numFmtId="0" fontId="12" fillId="0" borderId="0" xfId="0" applyFont="1" applyAlignment="1">
      <alignment horizontal="center"/>
    </xf>
    <xf numFmtId="2" fontId="12" fillId="0" borderId="0" xfId="0" applyNumberFormat="1" applyFont="1" applyAlignment="1">
      <alignment horizontal="center"/>
    </xf>
    <xf numFmtId="0" fontId="13" fillId="0" borderId="0" xfId="0" applyFont="1"/>
    <xf numFmtId="0" fontId="0" fillId="5" borderId="0" xfId="0" applyFill="1" applyAlignment="1">
      <alignment horizontal="center"/>
    </xf>
    <xf numFmtId="0" fontId="12" fillId="5" borderId="0" xfId="0" applyFont="1" applyFill="1" applyAlignment="1">
      <alignment horizontal="center"/>
    </xf>
    <xf numFmtId="0" fontId="15" fillId="0" borderId="7" xfId="0" applyFont="1" applyBorder="1" applyAlignment="1">
      <alignment horizontal="left" vertical="center"/>
    </xf>
    <xf numFmtId="0" fontId="15" fillId="0" borderId="8" xfId="0" applyFont="1" applyBorder="1" applyAlignment="1">
      <alignment horizontal="left" vertical="center"/>
    </xf>
    <xf numFmtId="1" fontId="6" fillId="0" borderId="0" xfId="0" applyNumberFormat="1" applyFont="1" applyAlignment="1">
      <alignment horizontal="center"/>
    </xf>
    <xf numFmtId="0" fontId="16" fillId="0" borderId="0" xfId="2"/>
    <xf numFmtId="0" fontId="15" fillId="0" borderId="6" xfId="0" applyFont="1" applyBorder="1" applyAlignment="1">
      <alignment horizontal="left" vertical="center"/>
    </xf>
    <xf numFmtId="0" fontId="1" fillId="0" borderId="13" xfId="0" applyFont="1" applyBorder="1" applyAlignment="1">
      <alignment horizontal="center" wrapText="1"/>
    </xf>
    <xf numFmtId="0" fontId="1" fillId="0" borderId="0" xfId="0" applyFont="1" applyFill="1" applyBorder="1" applyAlignment="1">
      <alignment horizontal="left" vertical="center" wrapText="1"/>
    </xf>
    <xf numFmtId="0" fontId="0" fillId="0" borderId="0" xfId="0" applyAlignment="1">
      <alignment horizontal="center" vertical="center" wrapText="1"/>
    </xf>
    <xf numFmtId="0" fontId="0" fillId="0" borderId="0" xfId="0" applyBorder="1" applyAlignment="1">
      <alignment horizontal="center" vertical="center" wrapText="1"/>
    </xf>
    <xf numFmtId="9" fontId="0" fillId="0" borderId="0" xfId="0" applyNumberFormat="1" applyBorder="1" applyAlignment="1">
      <alignment horizontal="center" vertical="center" wrapText="1"/>
    </xf>
    <xf numFmtId="0" fontId="0" fillId="6" borderId="0" xfId="0" applyFill="1" applyAlignment="1">
      <alignment horizontal="center"/>
    </xf>
    <xf numFmtId="168" fontId="0" fillId="6" borderId="0" xfId="0" applyNumberFormat="1" applyFill="1" applyAlignment="1">
      <alignment horizontal="center"/>
    </xf>
    <xf numFmtId="1" fontId="6" fillId="6" borderId="0" xfId="0" applyNumberFormat="1" applyFont="1" applyFill="1" applyAlignment="1">
      <alignment horizontal="center"/>
    </xf>
    <xf numFmtId="0" fontId="0" fillId="5" borderId="0" xfId="0" applyFill="1"/>
    <xf numFmtId="0" fontId="0" fillId="6" borderId="0" xfId="0" applyFill="1"/>
    <xf numFmtId="0" fontId="12" fillId="0" borderId="0" xfId="0" applyFont="1"/>
    <xf numFmtId="169" fontId="0" fillId="0" borderId="0" xfId="0" applyNumberFormat="1" applyBorder="1" applyAlignment="1">
      <alignment horizontal="center" vertical="center" wrapText="1"/>
    </xf>
    <xf numFmtId="0" fontId="0" fillId="0" borderId="0" xfId="0" applyFont="1" applyBorder="1" applyAlignment="1">
      <alignment horizontal="left" vertical="center"/>
    </xf>
    <xf numFmtId="0" fontId="1" fillId="0" borderId="13" xfId="0" applyFont="1" applyBorder="1"/>
    <xf numFmtId="0" fontId="16" fillId="0" borderId="0" xfId="2" applyFill="1" applyBorder="1" applyAlignment="1">
      <alignment horizontal="left" vertical="center"/>
    </xf>
    <xf numFmtId="0" fontId="8" fillId="0" borderId="0" xfId="0" applyFont="1" applyFill="1" applyBorder="1" applyAlignment="1">
      <alignment horizontal="left" vertical="center"/>
    </xf>
    <xf numFmtId="167" fontId="0" fillId="0" borderId="0" xfId="0" applyNumberFormat="1" applyBorder="1" applyAlignment="1">
      <alignment horizontal="center" vertical="center" wrapText="1"/>
    </xf>
    <xf numFmtId="1" fontId="0" fillId="0" borderId="0" xfId="0" applyNumberFormat="1" applyBorder="1" applyAlignment="1">
      <alignment horizontal="center" vertical="center" wrapText="1"/>
    </xf>
    <xf numFmtId="0" fontId="8" fillId="0" borderId="0" xfId="0" applyFont="1" applyAlignment="1"/>
    <xf numFmtId="0" fontId="17" fillId="0" borderId="0" xfId="0" applyFont="1" applyAlignment="1">
      <alignment horizontal="left"/>
    </xf>
    <xf numFmtId="0" fontId="0" fillId="0" borderId="18" xfId="0" applyFont="1" applyBorder="1" applyAlignment="1">
      <alignment horizontal="left" vertical="center"/>
    </xf>
    <xf numFmtId="0" fontId="0" fillId="0" borderId="18" xfId="0" applyBorder="1" applyAlignment="1">
      <alignment horizontal="center" vertical="center" wrapText="1"/>
    </xf>
    <xf numFmtId="0" fontId="0" fillId="0" borderId="18" xfId="0" quotePrefix="1" applyBorder="1" applyAlignment="1">
      <alignment horizontal="center" vertical="center" wrapText="1"/>
    </xf>
    <xf numFmtId="0" fontId="0" fillId="0" borderId="0" xfId="0" quotePrefix="1" applyBorder="1" applyAlignment="1">
      <alignment horizontal="center" vertical="center" wrapText="1"/>
    </xf>
    <xf numFmtId="169" fontId="0" fillId="0" borderId="18" xfId="0" applyNumberFormat="1" applyBorder="1" applyAlignment="1">
      <alignment horizontal="center" vertical="center" wrapText="1"/>
    </xf>
    <xf numFmtId="0" fontId="1" fillId="0" borderId="13" xfId="0" applyFont="1" applyBorder="1" applyAlignment="1">
      <alignment horizontal="center"/>
    </xf>
    <xf numFmtId="0" fontId="0" fillId="0" borderId="0" xfId="0" applyFont="1" applyBorder="1" applyAlignment="1">
      <alignment horizontal="center" vertical="center"/>
    </xf>
    <xf numFmtId="0" fontId="0" fillId="3" borderId="0" xfId="0" applyFont="1" applyFill="1"/>
    <xf numFmtId="0" fontId="6" fillId="0" borderId="12" xfId="0" applyFont="1" applyBorder="1" applyAlignment="1">
      <alignment horizontal="center"/>
    </xf>
    <xf numFmtId="0" fontId="6" fillId="0" borderId="3" xfId="0" applyFont="1" applyBorder="1" applyAlignment="1">
      <alignment horizontal="center"/>
    </xf>
    <xf numFmtId="1" fontId="0" fillId="0" borderId="14" xfId="0" applyNumberFormat="1" applyFill="1" applyBorder="1" applyAlignment="1">
      <alignment horizontal="center"/>
    </xf>
    <xf numFmtId="1" fontId="0" fillId="0" borderId="14" xfId="0" quotePrefix="1" applyNumberFormat="1" applyFill="1" applyBorder="1" applyAlignment="1">
      <alignment horizontal="center"/>
    </xf>
    <xf numFmtId="1" fontId="0" fillId="0" borderId="15" xfId="0" quotePrefix="1" applyNumberFormat="1" applyFill="1" applyBorder="1" applyAlignment="1">
      <alignment horizontal="center"/>
    </xf>
    <xf numFmtId="1" fontId="0" fillId="0" borderId="0" xfId="0" applyNumberFormat="1" applyFill="1" applyBorder="1" applyAlignment="1">
      <alignment horizontal="center"/>
    </xf>
    <xf numFmtId="1" fontId="0" fillId="0" borderId="0" xfId="0" quotePrefix="1" applyNumberFormat="1" applyFill="1" applyBorder="1" applyAlignment="1">
      <alignment horizontal="center"/>
    </xf>
    <xf numFmtId="1" fontId="0" fillId="0" borderId="16" xfId="0" quotePrefix="1" applyNumberFormat="1" applyFill="1" applyBorder="1" applyAlignment="1">
      <alignment horizontal="center"/>
    </xf>
    <xf numFmtId="1" fontId="0" fillId="0" borderId="12" xfId="0" applyNumberFormat="1" applyFill="1" applyBorder="1" applyAlignment="1">
      <alignment horizontal="center"/>
    </xf>
    <xf numFmtId="1" fontId="0" fillId="0" borderId="12" xfId="0" quotePrefix="1" applyNumberFormat="1" applyFill="1" applyBorder="1" applyAlignment="1">
      <alignment horizontal="center"/>
    </xf>
    <xf numFmtId="1" fontId="0" fillId="0" borderId="17" xfId="0" quotePrefix="1" applyNumberFormat="1" applyFill="1" applyBorder="1" applyAlignment="1">
      <alignment horizontal="center"/>
    </xf>
    <xf numFmtId="0" fontId="0" fillId="0" borderId="18" xfId="0" applyFont="1" applyBorder="1" applyAlignment="1">
      <alignment horizontal="center" vertical="center"/>
    </xf>
    <xf numFmtId="9" fontId="0" fillId="0" borderId="19" xfId="0" applyNumberFormat="1" applyBorder="1" applyAlignment="1">
      <alignment horizontal="center" vertical="center" wrapText="1"/>
    </xf>
    <xf numFmtId="0" fontId="6" fillId="0" borderId="0" xfId="0" applyFont="1" applyBorder="1" applyAlignment="1">
      <alignment horizontal="center" vertical="center" wrapText="1"/>
    </xf>
    <xf numFmtId="1" fontId="6" fillId="0" borderId="0" xfId="0" applyNumberFormat="1" applyFont="1" applyBorder="1" applyAlignment="1">
      <alignment horizontal="center" vertical="center" wrapText="1"/>
    </xf>
    <xf numFmtId="0" fontId="14" fillId="0" borderId="2" xfId="0" applyFont="1" applyBorder="1" applyAlignment="1">
      <alignment horizontal="center"/>
    </xf>
    <xf numFmtId="0" fontId="14" fillId="0" borderId="3" xfId="0" applyFont="1" applyBorder="1" applyAlignment="1">
      <alignment horizontal="center"/>
    </xf>
    <xf numFmtId="0" fontId="14" fillId="0" borderId="4" xfId="0" applyFont="1" applyBorder="1" applyAlignment="1">
      <alignment horizontal="center"/>
    </xf>
    <xf numFmtId="0" fontId="1" fillId="0" borderId="3" xfId="0" applyFont="1" applyFill="1" applyBorder="1" applyAlignment="1">
      <alignment horizontal="center" wrapText="1"/>
    </xf>
    <xf numFmtId="0" fontId="1" fillId="0" borderId="4" xfId="0" applyFont="1" applyFill="1" applyBorder="1" applyAlignment="1">
      <alignment horizontal="center" wrapText="1"/>
    </xf>
    <xf numFmtId="0" fontId="14" fillId="0" borderId="5" xfId="0" applyFont="1" applyBorder="1" applyAlignment="1">
      <alignment horizontal="center"/>
    </xf>
    <xf numFmtId="1" fontId="6" fillId="0" borderId="9" xfId="0" applyNumberFormat="1" applyFont="1" applyBorder="1" applyAlignment="1">
      <alignment horizontal="center" vertical="center"/>
    </xf>
    <xf numFmtId="0" fontId="6" fillId="0" borderId="10" xfId="0" applyFont="1" applyBorder="1" applyAlignment="1">
      <alignment horizontal="center" vertical="center"/>
    </xf>
    <xf numFmtId="0" fontId="6" fillId="0" borderId="11" xfId="0" applyFont="1" applyBorder="1" applyAlignment="1">
      <alignment horizontal="center" vertical="center"/>
    </xf>
    <xf numFmtId="0" fontId="14" fillId="0" borderId="2" xfId="0" applyFont="1" applyBorder="1" applyAlignment="1">
      <alignment horizontal="center" wrapText="1"/>
    </xf>
    <xf numFmtId="0" fontId="14" fillId="0" borderId="3" xfId="0" applyFont="1" applyBorder="1" applyAlignment="1">
      <alignment horizontal="center" wrapText="1"/>
    </xf>
    <xf numFmtId="1" fontId="6" fillId="0" borderId="14" xfId="0" applyNumberFormat="1" applyFont="1" applyBorder="1" applyAlignment="1">
      <alignment horizontal="center" vertical="center"/>
    </xf>
    <xf numFmtId="0" fontId="6" fillId="0" borderId="0" xfId="0" applyFont="1" applyBorder="1" applyAlignment="1">
      <alignment horizontal="center" vertical="center"/>
    </xf>
    <xf numFmtId="0" fontId="6" fillId="0" borderId="12" xfId="0" applyFont="1" applyBorder="1" applyAlignment="1">
      <alignment horizontal="center" vertical="center"/>
    </xf>
    <xf numFmtId="2" fontId="0" fillId="4" borderId="0" xfId="0" applyNumberFormat="1" applyFill="1" applyAlignment="1">
      <alignment horizontal="center"/>
    </xf>
    <xf numFmtId="0" fontId="6" fillId="0" borderId="18" xfId="0" applyFont="1" applyBorder="1" applyAlignment="1">
      <alignment horizontal="center" vertical="center" wrapText="1"/>
    </xf>
    <xf numFmtId="0" fontId="18" fillId="0" borderId="0" xfId="0" applyFont="1"/>
    <xf numFmtId="0" fontId="18" fillId="4" borderId="0" xfId="0" applyFont="1" applyFill="1" applyAlignment="1">
      <alignment horizontal="center"/>
    </xf>
    <xf numFmtId="1" fontId="18" fillId="0" borderId="16" xfId="0" quotePrefix="1" applyNumberFormat="1" applyFont="1" applyFill="1" applyBorder="1" applyAlignment="1">
      <alignment horizontal="center"/>
    </xf>
    <xf numFmtId="0" fontId="1" fillId="0" borderId="5" xfId="0" applyFont="1" applyBorder="1" applyAlignment="1">
      <alignment horizontal="center"/>
    </xf>
    <xf numFmtId="0" fontId="1" fillId="0" borderId="5" xfId="0" applyFont="1" applyBorder="1" applyAlignment="1">
      <alignment horizontal="center"/>
    </xf>
    <xf numFmtId="1" fontId="0" fillId="4" borderId="0" xfId="0" applyNumberFormat="1" applyFill="1" applyAlignment="1">
      <alignment horizontal="center"/>
    </xf>
    <xf numFmtId="166" fontId="0" fillId="2" borderId="0" xfId="0" applyNumberFormat="1" applyFill="1" applyAlignment="1">
      <alignment horizontal="left"/>
    </xf>
    <xf numFmtId="14" fontId="20" fillId="0" borderId="0" xfId="0" applyNumberFormat="1" applyFont="1" applyAlignment="1">
      <alignment horizontal="center" vertical="top" wrapText="1"/>
    </xf>
    <xf numFmtId="2" fontId="12" fillId="4" borderId="0" xfId="0" applyNumberFormat="1" applyFont="1" applyFill="1" applyAlignment="1">
      <alignment horizontal="center"/>
    </xf>
    <xf numFmtId="2" fontId="0" fillId="4" borderId="12" xfId="0" applyNumberFormat="1" applyFill="1" applyBorder="1" applyAlignment="1">
      <alignment horizontal="center"/>
    </xf>
    <xf numFmtId="2" fontId="0" fillId="4" borderId="3" xfId="0" applyNumberFormat="1" applyFill="1" applyBorder="1" applyAlignment="1">
      <alignment horizontal="center"/>
    </xf>
    <xf numFmtId="1" fontId="0" fillId="4" borderId="12" xfId="0" applyNumberFormat="1" applyFill="1" applyBorder="1" applyAlignment="1">
      <alignment horizontal="center"/>
    </xf>
    <xf numFmtId="1" fontId="0" fillId="4" borderId="3" xfId="0" applyNumberFormat="1" applyFill="1" applyBorder="1" applyAlignment="1">
      <alignment horizontal="center"/>
    </xf>
    <xf numFmtId="1" fontId="12" fillId="4" borderId="0" xfId="0" applyNumberFormat="1" applyFont="1" applyFill="1" applyAlignment="1">
      <alignment horizontal="center"/>
    </xf>
    <xf numFmtId="0" fontId="12" fillId="4" borderId="0" xfId="0" applyFont="1" applyFill="1" applyAlignment="1">
      <alignment horizontal="center"/>
    </xf>
    <xf numFmtId="1" fontId="18" fillId="4" borderId="0" xfId="0" applyNumberFormat="1" applyFont="1" applyFill="1" applyAlignment="1">
      <alignment horizontal="center"/>
    </xf>
    <xf numFmtId="0" fontId="1" fillId="0" borderId="0" xfId="0" applyFont="1" applyAlignment="1">
      <alignment horizontal="center" wrapText="1"/>
    </xf>
    <xf numFmtId="0" fontId="0" fillId="0" borderId="0" xfId="0" applyAlignment="1"/>
    <xf numFmtId="0" fontId="1" fillId="0" borderId="5" xfId="0" applyFont="1" applyBorder="1" applyAlignment="1">
      <alignment horizontal="center"/>
    </xf>
    <xf numFmtId="0" fontId="6" fillId="0" borderId="11" xfId="0" applyFont="1" applyBorder="1" applyAlignment="1">
      <alignment horizontal="center"/>
    </xf>
    <xf numFmtId="0" fontId="6" fillId="0" borderId="5" xfId="0" applyFont="1" applyBorder="1" applyAlignment="1">
      <alignment horizontal="center"/>
    </xf>
    <xf numFmtId="0" fontId="1" fillId="0" borderId="6" xfId="0" applyFont="1" applyBorder="1" applyAlignment="1">
      <alignment horizontal="center"/>
    </xf>
    <xf numFmtId="0" fontId="21" fillId="0" borderId="0" xfId="0" applyFont="1"/>
    <xf numFmtId="0" fontId="0" fillId="0" borderId="0" xfId="0" applyFill="1" applyAlignment="1">
      <alignment horizontal="center"/>
    </xf>
    <xf numFmtId="168" fontId="0" fillId="0" borderId="0" xfId="0" applyNumberFormat="1" applyFill="1" applyAlignment="1">
      <alignment horizontal="center"/>
    </xf>
    <xf numFmtId="1" fontId="6" fillId="0" borderId="0" xfId="0" applyNumberFormat="1" applyFont="1" applyFill="1" applyAlignment="1">
      <alignment horizontal="center"/>
    </xf>
    <xf numFmtId="0" fontId="12" fillId="0" borderId="0" xfId="0" applyFont="1" applyFill="1" applyAlignment="1">
      <alignment horizontal="center"/>
    </xf>
    <xf numFmtId="168" fontId="12" fillId="0" borderId="0" xfId="0" applyNumberFormat="1" applyFont="1" applyFill="1" applyAlignment="1">
      <alignment horizontal="center"/>
    </xf>
    <xf numFmtId="0" fontId="12" fillId="6" borderId="0" xfId="0" applyFont="1" applyFill="1" applyAlignment="1">
      <alignment horizontal="center"/>
    </xf>
    <xf numFmtId="168" fontId="12" fillId="6" borderId="0" xfId="0" applyNumberFormat="1" applyFont="1" applyFill="1" applyAlignment="1">
      <alignment horizontal="center"/>
    </xf>
    <xf numFmtId="0" fontId="21" fillId="0" borderId="7" xfId="0" applyFont="1" applyBorder="1" applyAlignment="1">
      <alignment horizontal="left" vertical="center"/>
    </xf>
    <xf numFmtId="0" fontId="21" fillId="0" borderId="10" xfId="0" applyFont="1" applyBorder="1" applyAlignment="1">
      <alignment horizontal="center" vertical="center"/>
    </xf>
    <xf numFmtId="0" fontId="21" fillId="0" borderId="0" xfId="0" applyFont="1" applyBorder="1" applyAlignment="1">
      <alignment horizontal="center" vertical="center"/>
    </xf>
    <xf numFmtId="1" fontId="21" fillId="0" borderId="0" xfId="0" applyNumberFormat="1" applyFont="1" applyFill="1" applyBorder="1" applyAlignment="1">
      <alignment horizontal="center"/>
    </xf>
    <xf numFmtId="1" fontId="21" fillId="0" borderId="0" xfId="0" quotePrefix="1" applyNumberFormat="1" applyFont="1" applyFill="1" applyBorder="1" applyAlignment="1">
      <alignment horizontal="center"/>
    </xf>
    <xf numFmtId="1" fontId="21" fillId="0" borderId="16" xfId="0" quotePrefix="1" applyNumberFormat="1" applyFont="1" applyFill="1" applyBorder="1" applyAlignment="1">
      <alignment horizontal="center"/>
    </xf>
    <xf numFmtId="0" fontId="0" fillId="0" borderId="0" xfId="0"/>
    <xf numFmtId="0" fontId="9" fillId="0" borderId="4" xfId="1" applyFont="1" applyBorder="1" applyAlignment="1">
      <alignment horizontal="center"/>
    </xf>
    <xf numFmtId="1" fontId="6" fillId="5" borderId="0" xfId="0" applyNumberFormat="1" applyFont="1" applyFill="1" applyAlignment="1">
      <alignment horizontal="center"/>
    </xf>
    <xf numFmtId="1" fontId="6" fillId="4" borderId="0" xfId="0" applyNumberFormat="1" applyFont="1" applyFill="1" applyAlignment="1">
      <alignment horizontal="center"/>
    </xf>
    <xf numFmtId="0" fontId="18" fillId="5" borderId="0" xfId="0" applyFont="1" applyFill="1" applyAlignment="1">
      <alignment horizontal="center"/>
    </xf>
    <xf numFmtId="168" fontId="0" fillId="4" borderId="0" xfId="0" applyNumberFormat="1" applyFill="1" applyAlignment="1">
      <alignment horizontal="center"/>
    </xf>
    <xf numFmtId="170" fontId="0" fillId="4" borderId="0" xfId="0" applyNumberFormat="1" applyFill="1" applyAlignment="1">
      <alignment horizontal="center"/>
    </xf>
    <xf numFmtId="0" fontId="8" fillId="0" borderId="0" xfId="0" applyFont="1" applyFill="1" applyAlignment="1"/>
    <xf numFmtId="166" fontId="0" fillId="0" borderId="0" xfId="0" applyNumberFormat="1" applyFill="1" applyAlignment="1">
      <alignment horizontal="left"/>
    </xf>
    <xf numFmtId="0" fontId="18" fillId="0" borderId="0" xfId="0" applyFont="1" applyFill="1" applyAlignment="1">
      <alignment horizontal="center"/>
    </xf>
    <xf numFmtId="0" fontId="28" fillId="4" borderId="0" xfId="0" applyFont="1" applyFill="1" applyAlignment="1">
      <alignment horizontal="center"/>
    </xf>
    <xf numFmtId="0" fontId="1" fillId="0" borderId="0" xfId="0" applyFont="1" applyFill="1"/>
    <xf numFmtId="0" fontId="0" fillId="4" borderId="0" xfId="0" applyFont="1" applyFill="1" applyAlignment="1">
      <alignment horizontal="center"/>
    </xf>
    <xf numFmtId="0" fontId="0" fillId="0" borderId="0" xfId="0" applyFill="1"/>
    <xf numFmtId="0" fontId="6" fillId="0" borderId="0" xfId="0" applyFont="1" applyFill="1" applyAlignment="1">
      <alignment horizontal="center"/>
    </xf>
    <xf numFmtId="0" fontId="1" fillId="0" borderId="0" xfId="0" applyFont="1" applyFill="1" applyAlignment="1">
      <alignment horizontal="center"/>
    </xf>
    <xf numFmtId="0" fontId="13" fillId="0" borderId="0" xfId="0" applyFont="1" applyFill="1"/>
    <xf numFmtId="0" fontId="8" fillId="0" borderId="0" xfId="0" applyFont="1" applyFill="1"/>
    <xf numFmtId="0" fontId="0" fillId="0" borderId="0" xfId="0"/>
    <xf numFmtId="0" fontId="0" fillId="0" borderId="0" xfId="0" applyFill="1"/>
    <xf numFmtId="0" fontId="0" fillId="5" borderId="0" xfId="0" applyFill="1" applyAlignment="1">
      <alignment horizontal="center"/>
    </xf>
    <xf numFmtId="1" fontId="6" fillId="5" borderId="0" xfId="0" applyNumberFormat="1" applyFont="1" applyFill="1" applyAlignment="1">
      <alignment horizontal="center"/>
    </xf>
    <xf numFmtId="9" fontId="0" fillId="0" borderId="0" xfId="9" applyFont="1" applyBorder="1" applyAlignment="1">
      <alignment horizontal="center" vertical="center" wrapText="1"/>
    </xf>
    <xf numFmtId="9" fontId="0" fillId="0" borderId="18" xfId="9" quotePrefix="1" applyFont="1" applyBorder="1" applyAlignment="1">
      <alignment horizontal="center" vertical="center" wrapText="1"/>
    </xf>
    <xf numFmtId="0" fontId="21" fillId="0" borderId="0" xfId="0" applyFont="1" applyAlignment="1">
      <alignment horizontal="center"/>
    </xf>
    <xf numFmtId="2" fontId="0" fillId="5" borderId="0" xfId="0" applyNumberFormat="1" applyFill="1" applyAlignment="1">
      <alignment horizontal="center"/>
    </xf>
    <xf numFmtId="1" fontId="0" fillId="5" borderId="0" xfId="0" applyNumberFormat="1" applyFill="1" applyAlignment="1">
      <alignment horizontal="center"/>
    </xf>
    <xf numFmtId="0" fontId="18" fillId="6" borderId="0" xfId="0" applyFont="1" applyFill="1" applyAlignment="1">
      <alignment horizontal="center"/>
    </xf>
    <xf numFmtId="2" fontId="0" fillId="6" borderId="0" xfId="0" applyNumberFormat="1" applyFill="1" applyAlignment="1">
      <alignment horizontal="center"/>
    </xf>
    <xf numFmtId="1" fontId="0" fillId="6" borderId="0" xfId="0" applyNumberFormat="1" applyFill="1" applyAlignment="1">
      <alignment horizontal="center"/>
    </xf>
    <xf numFmtId="0" fontId="4" fillId="0" borderId="7" xfId="0" applyFont="1" applyBorder="1" applyAlignment="1">
      <alignment horizontal="center"/>
    </xf>
    <xf numFmtId="0" fontId="4" fillId="0" borderId="8" xfId="0" applyFont="1" applyBorder="1" applyAlignment="1">
      <alignment horizontal="center"/>
    </xf>
    <xf numFmtId="1" fontId="12" fillId="6" borderId="0" xfId="0" applyNumberFormat="1" applyFont="1" applyFill="1" applyAlignment="1">
      <alignment horizontal="center"/>
    </xf>
    <xf numFmtId="0" fontId="4" fillId="0" borderId="8" xfId="0" applyFont="1" applyFill="1" applyBorder="1" applyAlignment="1">
      <alignment horizontal="center"/>
    </xf>
    <xf numFmtId="0" fontId="4" fillId="0" borderId="5" xfId="0" applyFont="1" applyFill="1" applyBorder="1" applyAlignment="1">
      <alignment horizontal="center" wrapText="1"/>
    </xf>
    <xf numFmtId="1" fontId="12" fillId="0" borderId="0" xfId="0" applyNumberFormat="1" applyFont="1" applyFill="1" applyAlignment="1">
      <alignment horizontal="center"/>
    </xf>
    <xf numFmtId="0" fontId="28" fillId="6" borderId="0" xfId="0" applyFont="1" applyFill="1" applyAlignment="1">
      <alignment horizontal="center"/>
    </xf>
    <xf numFmtId="9" fontId="0" fillId="0" borderId="0" xfId="9" quotePrefix="1" applyFont="1" applyBorder="1" applyAlignment="1">
      <alignment horizontal="center" vertical="center" wrapText="1"/>
    </xf>
    <xf numFmtId="0" fontId="21" fillId="5" borderId="0" xfId="0" applyFont="1" applyFill="1"/>
    <xf numFmtId="0" fontId="47" fillId="0" borderId="13" xfId="0" applyFont="1" applyBorder="1" applyAlignment="1">
      <alignment horizontal="center" wrapText="1"/>
    </xf>
    <xf numFmtId="0" fontId="18" fillId="0" borderId="0" xfId="0" applyFont="1" applyBorder="1" applyAlignment="1">
      <alignment horizontal="center" vertical="center" wrapText="1"/>
    </xf>
    <xf numFmtId="1" fontId="18" fillId="0" borderId="0" xfId="0" applyNumberFormat="1" applyFont="1" applyBorder="1" applyAlignment="1">
      <alignment horizontal="center" vertical="center" wrapText="1"/>
    </xf>
    <xf numFmtId="0" fontId="18" fillId="0" borderId="18" xfId="0" quotePrefix="1" applyFont="1" applyBorder="1" applyAlignment="1">
      <alignment horizontal="center" vertical="center" wrapText="1"/>
    </xf>
    <xf numFmtId="0" fontId="6" fillId="0" borderId="18" xfId="0" quotePrefix="1" applyFont="1" applyBorder="1" applyAlignment="1">
      <alignment horizontal="center" vertical="center" wrapText="1"/>
    </xf>
    <xf numFmtId="0" fontId="18" fillId="0" borderId="35" xfId="0" quotePrefix="1" applyFont="1" applyBorder="1" applyAlignment="1">
      <alignment horizontal="center" vertical="center" wrapText="1"/>
    </xf>
    <xf numFmtId="0" fontId="6" fillId="0" borderId="35" xfId="0" quotePrefix="1" applyFont="1" applyBorder="1" applyAlignment="1">
      <alignment horizontal="center" vertical="center" wrapText="1"/>
    </xf>
    <xf numFmtId="0" fontId="0" fillId="0" borderId="35" xfId="0" quotePrefix="1" applyBorder="1" applyAlignment="1">
      <alignment horizontal="center" vertical="center" wrapText="1"/>
    </xf>
    <xf numFmtId="0" fontId="0" fillId="0" borderId="35" xfId="0" applyBorder="1" applyAlignment="1">
      <alignment horizontal="center" vertical="center" wrapText="1"/>
    </xf>
    <xf numFmtId="169" fontId="0" fillId="0" borderId="35" xfId="0" applyNumberFormat="1" applyBorder="1" applyAlignment="1">
      <alignment horizontal="center" vertical="center" wrapText="1"/>
    </xf>
    <xf numFmtId="0" fontId="12" fillId="0" borderId="18" xfId="0" quotePrefix="1" applyFont="1" applyBorder="1" applyAlignment="1">
      <alignment horizontal="center" vertical="center" wrapText="1"/>
    </xf>
    <xf numFmtId="0" fontId="12" fillId="0" borderId="18" xfId="0" applyFont="1" applyBorder="1" applyAlignment="1">
      <alignment horizontal="center" vertical="center" wrapText="1"/>
    </xf>
    <xf numFmtId="169" fontId="12" fillId="0" borderId="18" xfId="0" applyNumberFormat="1" applyFont="1" applyBorder="1" applyAlignment="1">
      <alignment horizontal="center" vertical="center" wrapText="1"/>
    </xf>
    <xf numFmtId="0" fontId="12" fillId="0" borderId="35" xfId="0" quotePrefix="1" applyFont="1" applyBorder="1" applyAlignment="1">
      <alignment horizontal="center" vertical="center" wrapText="1"/>
    </xf>
    <xf numFmtId="0" fontId="12" fillId="0" borderId="35" xfId="0" applyFont="1" applyBorder="1" applyAlignment="1">
      <alignment horizontal="center" vertical="center" wrapText="1"/>
    </xf>
    <xf numFmtId="169" fontId="12" fillId="0" borderId="35" xfId="0" applyNumberFormat="1" applyFont="1" applyBorder="1" applyAlignment="1">
      <alignment horizontal="center" vertical="center" wrapText="1"/>
    </xf>
    <xf numFmtId="0" fontId="18" fillId="0" borderId="18" xfId="0" applyFont="1" applyBorder="1" applyAlignment="1">
      <alignment horizontal="center" vertical="center" wrapText="1"/>
    </xf>
    <xf numFmtId="2" fontId="6" fillId="0" borderId="18" xfId="0" applyNumberFormat="1" applyFont="1" applyBorder="1" applyAlignment="1">
      <alignment horizontal="center" vertical="center" wrapText="1"/>
    </xf>
    <xf numFmtId="169" fontId="6" fillId="0" borderId="18" xfId="0" applyNumberFormat="1" applyFont="1" applyBorder="1" applyAlignment="1">
      <alignment horizontal="center" vertical="center" wrapText="1"/>
    </xf>
    <xf numFmtId="0" fontId="18" fillId="0" borderId="35" xfId="0" applyFont="1" applyBorder="1" applyAlignment="1">
      <alignment horizontal="center" vertical="center" wrapText="1"/>
    </xf>
    <xf numFmtId="0" fontId="6" fillId="0" borderId="35" xfId="0" applyFont="1" applyBorder="1" applyAlignment="1">
      <alignment horizontal="center" vertical="center" wrapText="1"/>
    </xf>
    <xf numFmtId="2" fontId="6" fillId="0" borderId="35" xfId="0" applyNumberFormat="1" applyFont="1" applyBorder="1" applyAlignment="1">
      <alignment horizontal="center" vertical="center" wrapText="1"/>
    </xf>
    <xf numFmtId="169" fontId="6" fillId="0" borderId="35" xfId="0" applyNumberFormat="1" applyFont="1" applyBorder="1" applyAlignment="1">
      <alignment horizontal="center" vertical="center" wrapText="1"/>
    </xf>
    <xf numFmtId="0" fontId="0" fillId="0" borderId="0" xfId="0" applyFont="1" applyBorder="1" applyAlignment="1">
      <alignment horizontal="left" vertical="center" wrapText="1"/>
    </xf>
    <xf numFmtId="0" fontId="0" fillId="0" borderId="18" xfId="0" applyFont="1" applyBorder="1" applyAlignment="1">
      <alignment horizontal="left" vertical="center" wrapText="1"/>
    </xf>
    <xf numFmtId="0" fontId="0" fillId="0" borderId="35" xfId="0" applyFont="1" applyBorder="1" applyAlignment="1">
      <alignment horizontal="left" vertical="center" wrapText="1"/>
    </xf>
    <xf numFmtId="0" fontId="12" fillId="0" borderId="18" xfId="0" applyFont="1" applyBorder="1" applyAlignment="1">
      <alignment horizontal="left" vertical="center" wrapText="1"/>
    </xf>
    <xf numFmtId="0" fontId="12" fillId="0" borderId="35" xfId="0" applyFont="1" applyBorder="1" applyAlignment="1">
      <alignment horizontal="left" vertical="center" wrapText="1"/>
    </xf>
    <xf numFmtId="0" fontId="12" fillId="0" borderId="0" xfId="0" applyFont="1" applyFill="1"/>
    <xf numFmtId="0" fontId="18" fillId="0" borderId="0" xfId="0" quotePrefix="1" applyFont="1" applyBorder="1" applyAlignment="1">
      <alignment horizontal="center" vertical="center" wrapText="1"/>
    </xf>
    <xf numFmtId="0" fontId="6" fillId="0" borderId="0" xfId="0" quotePrefix="1" applyFont="1" applyBorder="1" applyAlignment="1">
      <alignment horizontal="center" vertical="center" wrapText="1"/>
    </xf>
    <xf numFmtId="172" fontId="18" fillId="2" borderId="28" xfId="9" applyNumberFormat="1" applyFont="1" applyFill="1" applyBorder="1" applyAlignment="1">
      <alignment horizontal="center"/>
    </xf>
    <xf numFmtId="172" fontId="18" fillId="2" borderId="34" xfId="9" applyNumberFormat="1" applyFont="1" applyFill="1" applyBorder="1" applyAlignment="1">
      <alignment horizontal="center"/>
    </xf>
    <xf numFmtId="172" fontId="18" fillId="2" borderId="29" xfId="9" applyNumberFormat="1" applyFont="1" applyFill="1" applyBorder="1" applyAlignment="1">
      <alignment horizontal="center"/>
    </xf>
    <xf numFmtId="172" fontId="18" fillId="2" borderId="30" xfId="9" applyNumberFormat="1" applyFont="1" applyFill="1" applyBorder="1" applyAlignment="1">
      <alignment horizontal="center"/>
    </xf>
    <xf numFmtId="172" fontId="18" fillId="2" borderId="0" xfId="9" applyNumberFormat="1" applyFont="1" applyFill="1" applyBorder="1" applyAlignment="1">
      <alignment horizontal="center"/>
    </xf>
    <xf numFmtId="172" fontId="18" fillId="2" borderId="31" xfId="9" applyNumberFormat="1" applyFont="1" applyFill="1" applyBorder="1" applyAlignment="1">
      <alignment horizontal="center"/>
    </xf>
    <xf numFmtId="172" fontId="48" fillId="2" borderId="30" xfId="0" applyNumberFormat="1" applyFont="1" applyFill="1" applyBorder="1" applyAlignment="1">
      <alignment horizontal="center" vertical="center"/>
    </xf>
    <xf numFmtId="172" fontId="48" fillId="2" borderId="0" xfId="0" applyNumberFormat="1" applyFont="1" applyFill="1" applyBorder="1" applyAlignment="1">
      <alignment horizontal="center" vertical="center"/>
    </xf>
    <xf numFmtId="172" fontId="48" fillId="2" borderId="31" xfId="0" applyNumberFormat="1" applyFont="1" applyFill="1" applyBorder="1" applyAlignment="1">
      <alignment horizontal="center" vertical="center"/>
    </xf>
    <xf numFmtId="172" fontId="18" fillId="2" borderId="32" xfId="9" applyNumberFormat="1" applyFont="1" applyFill="1" applyBorder="1" applyAlignment="1">
      <alignment horizontal="center"/>
    </xf>
    <xf numFmtId="172" fontId="18" fillId="2" borderId="1" xfId="9" applyNumberFormat="1" applyFont="1" applyFill="1" applyBorder="1" applyAlignment="1">
      <alignment horizontal="center"/>
    </xf>
    <xf numFmtId="172" fontId="18" fillId="2" borderId="33" xfId="9" applyNumberFormat="1" applyFont="1" applyFill="1" applyBorder="1" applyAlignment="1">
      <alignment horizontal="center"/>
    </xf>
    <xf numFmtId="2" fontId="12" fillId="6" borderId="0" xfId="0" applyNumberFormat="1" applyFont="1" applyFill="1" applyAlignment="1">
      <alignment horizontal="center"/>
    </xf>
    <xf numFmtId="2" fontId="6" fillId="0" borderId="0" xfId="0" applyNumberFormat="1" applyFont="1" applyBorder="1" applyAlignment="1">
      <alignment horizontal="center" vertical="center" wrapText="1"/>
    </xf>
    <xf numFmtId="0" fontId="0" fillId="6" borderId="0" xfId="0" applyFont="1" applyFill="1" applyAlignment="1">
      <alignment horizontal="center"/>
    </xf>
    <xf numFmtId="169" fontId="6" fillId="0" borderId="0" xfId="0" applyNumberFormat="1" applyFont="1" applyBorder="1" applyAlignment="1">
      <alignment horizontal="center" vertical="center" wrapText="1"/>
    </xf>
    <xf numFmtId="2" fontId="0" fillId="0" borderId="35" xfId="0" quotePrefix="1" applyNumberFormat="1" applyBorder="1" applyAlignment="1">
      <alignment horizontal="center" vertical="center" wrapText="1"/>
    </xf>
    <xf numFmtId="0" fontId="12" fillId="0" borderId="0" xfId="0" applyFont="1" applyBorder="1" applyAlignment="1">
      <alignment horizontal="left" vertical="center" wrapText="1"/>
    </xf>
    <xf numFmtId="0" fontId="12" fillId="0" borderId="0" xfId="0" quotePrefix="1" applyFont="1" applyBorder="1" applyAlignment="1">
      <alignment horizontal="center" vertical="center" wrapText="1"/>
    </xf>
    <xf numFmtId="0" fontId="12" fillId="0" borderId="0" xfId="0" applyFont="1" applyBorder="1" applyAlignment="1">
      <alignment horizontal="center" vertical="center" wrapText="1"/>
    </xf>
    <xf numFmtId="169" fontId="12" fillId="0" borderId="0" xfId="0" applyNumberFormat="1" applyFont="1" applyBorder="1" applyAlignment="1">
      <alignment horizontal="center" vertical="center" wrapText="1"/>
    </xf>
    <xf numFmtId="0" fontId="12" fillId="0" borderId="0" xfId="0" applyFont="1" applyBorder="1"/>
    <xf numFmtId="2" fontId="12" fillId="0" borderId="18" xfId="0" quotePrefix="1" applyNumberFormat="1" applyFont="1" applyBorder="1" applyAlignment="1">
      <alignment horizontal="center" vertical="center" wrapText="1"/>
    </xf>
    <xf numFmtId="2" fontId="12" fillId="0" borderId="0" xfId="0" quotePrefix="1" applyNumberFormat="1" applyFont="1" applyBorder="1" applyAlignment="1">
      <alignment horizontal="center" vertical="center" wrapText="1"/>
    </xf>
    <xf numFmtId="2" fontId="12" fillId="0" borderId="35" xfId="0" quotePrefix="1" applyNumberFormat="1" applyFont="1" applyBorder="1" applyAlignment="1">
      <alignment horizontal="center" vertical="center" wrapText="1"/>
    </xf>
    <xf numFmtId="0" fontId="21" fillId="0" borderId="0" xfId="0" applyFont="1" applyAlignment="1"/>
    <xf numFmtId="169" fontId="0" fillId="0" borderId="18" xfId="0" applyNumberFormat="1" applyFill="1" applyBorder="1" applyAlignment="1">
      <alignment horizontal="center" vertical="center" wrapText="1"/>
    </xf>
    <xf numFmtId="169" fontId="0" fillId="0" borderId="0" xfId="0" applyNumberFormat="1" applyFill="1" applyBorder="1" applyAlignment="1">
      <alignment horizontal="center" vertical="center" wrapText="1"/>
    </xf>
    <xf numFmtId="169" fontId="0" fillId="0" borderId="35" xfId="0" applyNumberFormat="1" applyFill="1" applyBorder="1" applyAlignment="1">
      <alignment horizontal="center" vertical="center" wrapText="1"/>
    </xf>
    <xf numFmtId="169" fontId="18" fillId="0" borderId="0" xfId="0" applyNumberFormat="1" applyFont="1" applyBorder="1" applyAlignment="1">
      <alignment horizontal="center" vertical="center" wrapText="1"/>
    </xf>
    <xf numFmtId="0" fontId="0" fillId="0" borderId="0" xfId="0" applyAlignment="1">
      <alignment horizontal="left"/>
    </xf>
    <xf numFmtId="0" fontId="50" fillId="0" borderId="0" xfId="0" applyFont="1" applyAlignment="1">
      <alignment horizontal="left"/>
    </xf>
    <xf numFmtId="0" fontId="50" fillId="0" borderId="0" xfId="0" applyFont="1"/>
    <xf numFmtId="167" fontId="50" fillId="0" borderId="0" xfId="0" applyNumberFormat="1" applyFont="1"/>
    <xf numFmtId="0" fontId="1" fillId="0" borderId="5" xfId="0" applyFont="1" applyBorder="1" applyAlignment="1">
      <alignment horizontal="center"/>
    </xf>
    <xf numFmtId="0" fontId="9" fillId="0" borderId="2" xfId="1" applyFont="1" applyBorder="1" applyAlignment="1">
      <alignment horizontal="center"/>
    </xf>
    <xf numFmtId="0" fontId="9" fillId="0" borderId="4" xfId="1" applyFont="1" applyBorder="1" applyAlignment="1">
      <alignment horizontal="center"/>
    </xf>
    <xf numFmtId="0" fontId="9" fillId="0" borderId="3" xfId="1" applyFont="1" applyBorder="1" applyAlignment="1">
      <alignment horizontal="center"/>
    </xf>
    <xf numFmtId="0" fontId="14" fillId="0" borderId="9" xfId="0" applyFont="1" applyBorder="1" applyAlignment="1">
      <alignment horizontal="center" vertical="center"/>
    </xf>
    <xf numFmtId="0" fontId="14" fillId="0" borderId="14" xfId="0" applyFont="1" applyBorder="1" applyAlignment="1">
      <alignment horizontal="center" vertical="center"/>
    </xf>
    <xf numFmtId="0" fontId="14" fillId="0" borderId="15" xfId="0" applyFont="1" applyBorder="1" applyAlignment="1">
      <alignment horizontal="center" vertical="center"/>
    </xf>
  </cellXfs>
  <cellStyles count="73">
    <cellStyle name="20% - Accent1" xfId="28" builtinId="30" customBuiltin="1"/>
    <cellStyle name="20% - Accent2" xfId="32" builtinId="34" customBuiltin="1"/>
    <cellStyle name="20% - Accent3" xfId="36" builtinId="38" customBuiltin="1"/>
    <cellStyle name="20% - Accent4" xfId="40" builtinId="42" customBuiltin="1"/>
    <cellStyle name="20% - Accent5" xfId="44" builtinId="46" customBuiltin="1"/>
    <cellStyle name="20% - Accent6" xfId="48" builtinId="50" customBuiltin="1"/>
    <cellStyle name="40% - Accent1" xfId="29" builtinId="31" customBuiltin="1"/>
    <cellStyle name="40% - Accent2" xfId="33" builtinId="35" customBuiltin="1"/>
    <cellStyle name="40% - Accent3" xfId="37" builtinId="39" customBuiltin="1"/>
    <cellStyle name="40% - Accent4" xfId="41" builtinId="43" customBuiltin="1"/>
    <cellStyle name="40% - Accent5" xfId="45" builtinId="47" customBuiltin="1"/>
    <cellStyle name="40% - Accent6" xfId="49" builtinId="51" customBuiltin="1"/>
    <cellStyle name="60% - Accent1" xfId="30" builtinId="32" customBuiltin="1"/>
    <cellStyle name="60% - Accent2" xfId="34" builtinId="36" customBuiltin="1"/>
    <cellStyle name="60% - Accent3" xfId="38" builtinId="40" customBuiltin="1"/>
    <cellStyle name="60% - Accent4" xfId="42" builtinId="44" customBuiltin="1"/>
    <cellStyle name="60% - Accent5" xfId="46" builtinId="48" customBuiltin="1"/>
    <cellStyle name="60% - Accent6" xfId="50" builtinId="52" customBuiltin="1"/>
    <cellStyle name="Accent1" xfId="27" builtinId="29" customBuiltin="1"/>
    <cellStyle name="Accent2" xfId="31" builtinId="33" customBuiltin="1"/>
    <cellStyle name="Accent3" xfId="35" builtinId="37" customBuiltin="1"/>
    <cellStyle name="Accent4" xfId="39" builtinId="41" customBuiltin="1"/>
    <cellStyle name="Accent5" xfId="43" builtinId="45" customBuiltin="1"/>
    <cellStyle name="Accent6" xfId="47" builtinId="49" customBuiltin="1"/>
    <cellStyle name="Bad" xfId="16" builtinId="27" customBuiltin="1"/>
    <cellStyle name="Calculation" xfId="20" builtinId="22" customBuiltin="1"/>
    <cellStyle name="Check Cell" xfId="22" builtinId="23" customBuiltin="1"/>
    <cellStyle name="Comma 2" xfId="58" xr:uid="{00000000-0005-0000-0000-00001B000000}"/>
    <cellStyle name="Comma 3" xfId="63" xr:uid="{00000000-0005-0000-0000-00001C000000}"/>
    <cellStyle name="Currency 2" xfId="8" xr:uid="{00000000-0005-0000-0000-00001D000000}"/>
    <cellStyle name="Currency 3" xfId="59" xr:uid="{00000000-0005-0000-0000-00001E000000}"/>
    <cellStyle name="Currency 4" xfId="64" xr:uid="{00000000-0005-0000-0000-00001F000000}"/>
    <cellStyle name="Explanatory Text" xfId="25" builtinId="53" customBuiltin="1"/>
    <cellStyle name="Good" xfId="15" builtinId="26" customBuiltin="1"/>
    <cellStyle name="Heading 1" xfId="11" builtinId="16" customBuiltin="1"/>
    <cellStyle name="Heading 2" xfId="12" builtinId="17" customBuiltin="1"/>
    <cellStyle name="Heading 3" xfId="13" builtinId="18" customBuiltin="1"/>
    <cellStyle name="Heading 4" xfId="14" builtinId="19" customBuiltin="1"/>
    <cellStyle name="Hyperlink" xfId="2" builtinId="8"/>
    <cellStyle name="Hyperlink 2" xfId="4" xr:uid="{00000000-0005-0000-0000-000027000000}"/>
    <cellStyle name="Hyperlink 2 2" xfId="68" xr:uid="{00000000-0005-0000-0000-000028000000}"/>
    <cellStyle name="Hyperlink 2 3" xfId="72" xr:uid="{00000000-0005-0000-0000-000029000000}"/>
    <cellStyle name="Hyperlink 3" xfId="56" xr:uid="{00000000-0005-0000-0000-00002A000000}"/>
    <cellStyle name="Hyperlink 3 2" xfId="71" xr:uid="{00000000-0005-0000-0000-00002B000000}"/>
    <cellStyle name="Hyperlink 4" xfId="66" xr:uid="{00000000-0005-0000-0000-00002C000000}"/>
    <cellStyle name="Hyperlink 5" xfId="67" xr:uid="{00000000-0005-0000-0000-00002D000000}"/>
    <cellStyle name="Input" xfId="18" builtinId="20" customBuiltin="1"/>
    <cellStyle name="Linked Cell" xfId="21" builtinId="24" customBuiltin="1"/>
    <cellStyle name="Neutral" xfId="17" builtinId="28" customBuiltin="1"/>
    <cellStyle name="Normal" xfId="0" builtinId="0"/>
    <cellStyle name="Normal 2" xfId="5" xr:uid="{00000000-0005-0000-0000-000032000000}"/>
    <cellStyle name="Normal 2 2" xfId="61" xr:uid="{00000000-0005-0000-0000-000033000000}"/>
    <cellStyle name="Normal 2 3" xfId="52" xr:uid="{00000000-0005-0000-0000-000034000000}"/>
    <cellStyle name="Normal 2 4" xfId="69" xr:uid="{00000000-0005-0000-0000-000035000000}"/>
    <cellStyle name="Normal 3" xfId="3" xr:uid="{00000000-0005-0000-0000-000036000000}"/>
    <cellStyle name="Normal 3 2" xfId="6" xr:uid="{00000000-0005-0000-0000-000037000000}"/>
    <cellStyle name="Normal 3 3" xfId="54" xr:uid="{00000000-0005-0000-0000-000038000000}"/>
    <cellStyle name="Normal 4" xfId="55" xr:uid="{00000000-0005-0000-0000-000039000000}"/>
    <cellStyle name="Normal 5" xfId="57" xr:uid="{00000000-0005-0000-0000-00003A000000}"/>
    <cellStyle name="Normal 6" xfId="62" xr:uid="{00000000-0005-0000-0000-00003B000000}"/>
    <cellStyle name="Normal 7" xfId="51" xr:uid="{00000000-0005-0000-0000-00003C000000}"/>
    <cellStyle name="Normal 9" xfId="53" xr:uid="{00000000-0005-0000-0000-00003D000000}"/>
    <cellStyle name="Normal_Ref10Tek NewShell" xfId="1" xr:uid="{00000000-0005-0000-0000-00003E000000}"/>
    <cellStyle name="Note" xfId="24" builtinId="10" customBuiltin="1"/>
    <cellStyle name="Output" xfId="19" builtinId="21" customBuiltin="1"/>
    <cellStyle name="Percent" xfId="9" builtinId="5"/>
    <cellStyle name="Percent 2" xfId="7" xr:uid="{00000000-0005-0000-0000-000042000000}"/>
    <cellStyle name="Percent 2 2" xfId="70" xr:uid="{00000000-0005-0000-0000-000043000000}"/>
    <cellStyle name="Percent 3" xfId="60" xr:uid="{00000000-0005-0000-0000-000044000000}"/>
    <cellStyle name="Percent 4" xfId="65" xr:uid="{00000000-0005-0000-0000-000045000000}"/>
    <cellStyle name="Title" xfId="10"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14</xdr:col>
      <xdr:colOff>258535</xdr:colOff>
      <xdr:row>7</xdr:row>
      <xdr:rowOff>33784</xdr:rowOff>
    </xdr:from>
    <xdr:to>
      <xdr:col>27</xdr:col>
      <xdr:colOff>277646</xdr:colOff>
      <xdr:row>15</xdr:row>
      <xdr:rowOff>4494</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14614071" y="1299248"/>
          <a:ext cx="7054003" cy="2038996"/>
        </a:xfrm>
        <a:prstGeom prst="rect">
          <a:avLst/>
        </a:prstGeom>
      </xdr:spPr>
    </xdr:pic>
    <xdr:clientData/>
  </xdr:twoCellAnchor>
</xdr:wsDr>
</file>

<file path=xl/theme/theme1.xml><?xml version="1.0" encoding="utf-8"?>
<a:theme xmlns:a="http://schemas.openxmlformats.org/drawingml/2006/main" name="eia">
  <a:themeElements>
    <a:clrScheme name="EIA">
      <a:dk1>
        <a:srgbClr val="000000"/>
      </a:dk1>
      <a:lt1>
        <a:srgbClr val="FFFFFF"/>
      </a:lt1>
      <a:dk2>
        <a:srgbClr val="003953"/>
      </a:dk2>
      <a:lt2>
        <a:srgbClr val="333333"/>
      </a:lt2>
      <a:accent1>
        <a:srgbClr val="0096D7"/>
      </a:accent1>
      <a:accent2>
        <a:srgbClr val="BD732A"/>
      </a:accent2>
      <a:accent3>
        <a:srgbClr val="5D9732"/>
      </a:accent3>
      <a:accent4>
        <a:srgbClr val="FFC702"/>
      </a:accent4>
      <a:accent5>
        <a:srgbClr val="A33340"/>
      </a:accent5>
      <a:accent6>
        <a:srgbClr val="675005"/>
      </a:accent6>
      <a:hlink>
        <a:srgbClr val="0096D7"/>
      </a:hlink>
      <a:folHlink>
        <a:srgbClr val="5D9732"/>
      </a:folHlink>
    </a:clrScheme>
    <a:fontScheme name="EIA 1">
      <a:majorFont>
        <a:latin typeface="Times New Roman"/>
        <a:ea typeface=""/>
        <a:cs typeface=""/>
      </a:majorFont>
      <a:minorFont>
        <a:latin typeface="Arial"/>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effectLst/>
      </a:spPr>
      <a:bodyPr vert="horz" wrap="square" lIns="91440" tIns="45720" rIns="91440" bIns="45720" numCol="1" anchor="t" anchorCtr="0" compatLnSpc="1">
        <a:prstTxWarp prst="textNoShape">
          <a:avLst/>
        </a:prstTxWarp>
      </a:bodyPr>
      <a:lstStyle>
        <a:defPPr marL="0" marR="0" indent="0" algn="l" defTabSz="914400" rtl="0" eaLnBrk="0" fontAlgn="base" latinLnBrk="0" hangingPunct="0">
          <a:lnSpc>
            <a:spcPct val="100000"/>
          </a:lnSpc>
          <a:spcBef>
            <a:spcPct val="0"/>
          </a:spcBef>
          <a:spcAft>
            <a:spcPct val="0"/>
          </a:spcAft>
          <a:buClrTx/>
          <a:buSzTx/>
          <a:buFontTx/>
          <a:buNone/>
          <a:tabLst/>
          <a:defRPr kumimoji="0" lang="en-US" sz="2400" b="0" i="0" u="none" strike="noStrike" cap="none" normalizeH="0" baseline="0">
            <a:ln>
              <a:noFill/>
            </a:ln>
            <a:solidFill>
              <a:schemeClr val="tx1"/>
            </a:solidFill>
            <a:effectLst/>
            <a:latin typeface="Arial" pitchFamily="-112" charset="0"/>
            <a:ea typeface="ＭＳ Ｐゴシック" pitchFamily="-112" charset="-128"/>
            <a:cs typeface="ＭＳ Ｐゴシック" pitchFamily="-112" charset="-128"/>
          </a:defRPr>
        </a:defPPr>
      </a:lstStyle>
    </a:spDef>
    <a:ln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effectLst/>
      </a:spPr>
      <a:bodyPr vert="horz" wrap="square" lIns="91440" tIns="45720" rIns="91440" bIns="45720" numCol="1" anchor="t" anchorCtr="0" compatLnSpc="1">
        <a:prstTxWarp prst="textNoShape">
          <a:avLst/>
        </a:prstTxWarp>
      </a:bodyPr>
      <a:lstStyle>
        <a:defPPr marL="0" marR="0" indent="0" algn="l" defTabSz="914400" rtl="0" eaLnBrk="0" fontAlgn="base" latinLnBrk="0" hangingPunct="0">
          <a:lnSpc>
            <a:spcPct val="100000"/>
          </a:lnSpc>
          <a:spcBef>
            <a:spcPct val="0"/>
          </a:spcBef>
          <a:spcAft>
            <a:spcPct val="0"/>
          </a:spcAft>
          <a:buClrTx/>
          <a:buSzTx/>
          <a:buFontTx/>
          <a:buNone/>
          <a:tabLst/>
          <a:defRPr kumimoji="0" lang="en-US" sz="2400" b="0" i="0" u="none" strike="noStrike" cap="none" normalizeH="0" baseline="0">
            <a:ln>
              <a:noFill/>
            </a:ln>
            <a:solidFill>
              <a:schemeClr val="tx1"/>
            </a:solidFill>
            <a:effectLst/>
            <a:latin typeface="Arial" pitchFamily="-112" charset="0"/>
            <a:ea typeface="ＭＳ Ｐゴシック" pitchFamily="-112" charset="-128"/>
            <a:cs typeface="ＭＳ Ｐゴシック" pitchFamily="-112" charset="-128"/>
          </a:defRPr>
        </a:defPPr>
      </a:lstStyle>
    </a:lnDef>
    <a:txDef>
      <a:spPr bwMode="auto">
        <a:noFill/>
        <a:ln w="9525">
          <a:noFill/>
          <a:miter lim="800000"/>
          <a:headEnd/>
          <a:tailEnd/>
        </a:ln>
      </a:spPr>
      <a:bodyPr lIns="0" tIns="0" rIns="0">
        <a:prstTxWarp prst="textNoShape">
          <a:avLst/>
        </a:prstTxWarp>
      </a:bodyPr>
      <a:lstStyle>
        <a:defPPr eaLnBrk="0" hangingPunct="0">
          <a:defRPr sz="1600" i="1" dirty="0" smtClean="0">
            <a:solidFill>
              <a:srgbClr val="333333"/>
            </a:solidFill>
            <a:latin typeface="Times New Roman" charset="0"/>
            <a:ea typeface="Times New Roman" charset="0"/>
            <a:cs typeface="Times New Roman" charset="0"/>
          </a:defRPr>
        </a:defPPr>
      </a:lstStyle>
    </a:txDef>
  </a:objectDefaults>
  <a:extraClrSchemeLst>
    <a:extraClrScheme>
      <a:clrScheme name="Blank Presentation 1">
        <a:dk1>
          <a:srgbClr val="000000"/>
        </a:dk1>
        <a:lt1>
          <a:srgbClr val="FFFFFF"/>
        </a:lt1>
        <a:dk2>
          <a:srgbClr val="000000"/>
        </a:dk2>
        <a:lt2>
          <a:srgbClr val="808080"/>
        </a:lt2>
        <a:accent1>
          <a:srgbClr val="BBE0E3"/>
        </a:accent1>
        <a:accent2>
          <a:srgbClr val="333399"/>
        </a:accent2>
        <a:accent3>
          <a:srgbClr val="FFFFFF"/>
        </a:accent3>
        <a:accent4>
          <a:srgbClr val="000000"/>
        </a:accent4>
        <a:accent5>
          <a:srgbClr val="DAEDEF"/>
        </a:accent5>
        <a:accent6>
          <a:srgbClr val="2D2D8A"/>
        </a:accent6>
        <a:hlink>
          <a:srgbClr val="009999"/>
        </a:hlink>
        <a:folHlink>
          <a:srgbClr val="99CC00"/>
        </a:folHlink>
      </a:clrScheme>
      <a:clrMap bg1="lt1" tx1="dk1" bg2="lt2" tx2="dk2" accent1="accent1" accent2="accent2" accent3="accent3" accent4="accent4" accent5="accent5" accent6="accent6" hlink="hlink" folHlink="folHlink"/>
    </a:extraClrScheme>
    <a:extraClrScheme>
      <a:clrScheme name="Blank Presentation 2">
        <a:dk1>
          <a:srgbClr val="000000"/>
        </a:dk1>
        <a:lt1>
          <a:srgbClr val="FFFFFF"/>
        </a:lt1>
        <a:dk2>
          <a:srgbClr val="000000"/>
        </a:dk2>
        <a:lt2>
          <a:srgbClr val="969696"/>
        </a:lt2>
        <a:accent1>
          <a:srgbClr val="FBDF53"/>
        </a:accent1>
        <a:accent2>
          <a:srgbClr val="FF9966"/>
        </a:accent2>
        <a:accent3>
          <a:srgbClr val="FFFFFF"/>
        </a:accent3>
        <a:accent4>
          <a:srgbClr val="000000"/>
        </a:accent4>
        <a:accent5>
          <a:srgbClr val="FDECB3"/>
        </a:accent5>
        <a:accent6>
          <a:srgbClr val="E78A5C"/>
        </a:accent6>
        <a:hlink>
          <a:srgbClr val="CC3300"/>
        </a:hlink>
        <a:folHlink>
          <a:srgbClr val="996600"/>
        </a:folHlink>
      </a:clrScheme>
      <a:clrMap bg1="lt1" tx1="dk1" bg2="lt2" tx2="dk2" accent1="accent1" accent2="accent2" accent3="accent3" accent4="accent4" accent5="accent5" accent6="accent6" hlink="hlink" folHlink="folHlink"/>
    </a:extraClrScheme>
    <a:extraClrScheme>
      <a:clrScheme name="Blank Presentation 3">
        <a:dk1>
          <a:srgbClr val="000000"/>
        </a:dk1>
        <a:lt1>
          <a:srgbClr val="FFFFFF"/>
        </a:lt1>
        <a:dk2>
          <a:srgbClr val="000000"/>
        </a:dk2>
        <a:lt2>
          <a:srgbClr val="808080"/>
        </a:lt2>
        <a:accent1>
          <a:srgbClr val="99CCFF"/>
        </a:accent1>
        <a:accent2>
          <a:srgbClr val="CCCCFF"/>
        </a:accent2>
        <a:accent3>
          <a:srgbClr val="FFFFFF"/>
        </a:accent3>
        <a:accent4>
          <a:srgbClr val="000000"/>
        </a:accent4>
        <a:accent5>
          <a:srgbClr val="CAE2FF"/>
        </a:accent5>
        <a:accent6>
          <a:srgbClr val="B9B9E7"/>
        </a:accent6>
        <a:hlink>
          <a:srgbClr val="3333CC"/>
        </a:hlink>
        <a:folHlink>
          <a:srgbClr val="AF67FF"/>
        </a:folHlink>
      </a:clrScheme>
      <a:clrMap bg1="lt1" tx1="dk1" bg2="lt2" tx2="dk2" accent1="accent1" accent2="accent2" accent3="accent3" accent4="accent4" accent5="accent5" accent6="accent6" hlink="hlink" folHlink="folHlink"/>
    </a:extraClrScheme>
    <a:extraClrScheme>
      <a:clrScheme name="Blank Presentation 4">
        <a:dk1>
          <a:srgbClr val="000000"/>
        </a:dk1>
        <a:lt1>
          <a:srgbClr val="DEF6F1"/>
        </a:lt1>
        <a:dk2>
          <a:srgbClr val="000000"/>
        </a:dk2>
        <a:lt2>
          <a:srgbClr val="969696"/>
        </a:lt2>
        <a:accent1>
          <a:srgbClr val="FFFFFF"/>
        </a:accent1>
        <a:accent2>
          <a:srgbClr val="8DC6FF"/>
        </a:accent2>
        <a:accent3>
          <a:srgbClr val="ECFAF7"/>
        </a:accent3>
        <a:accent4>
          <a:srgbClr val="000000"/>
        </a:accent4>
        <a:accent5>
          <a:srgbClr val="FFFFFF"/>
        </a:accent5>
        <a:accent6>
          <a:srgbClr val="7FB3E7"/>
        </a:accent6>
        <a:hlink>
          <a:srgbClr val="0066CC"/>
        </a:hlink>
        <a:folHlink>
          <a:srgbClr val="00A800"/>
        </a:folHlink>
      </a:clrScheme>
      <a:clrMap bg1="lt1" tx1="dk1" bg2="lt2" tx2="dk2" accent1="accent1" accent2="accent2" accent3="accent3" accent4="accent4" accent5="accent5" accent6="accent6" hlink="hlink" folHlink="folHlink"/>
    </a:extraClrScheme>
    <a:extraClrScheme>
      <a:clrScheme name="Blank Presentation 5">
        <a:dk1>
          <a:srgbClr val="000000"/>
        </a:dk1>
        <a:lt1>
          <a:srgbClr val="FFFFD9"/>
        </a:lt1>
        <a:dk2>
          <a:srgbClr val="000000"/>
        </a:dk2>
        <a:lt2>
          <a:srgbClr val="777777"/>
        </a:lt2>
        <a:accent1>
          <a:srgbClr val="FFFFF7"/>
        </a:accent1>
        <a:accent2>
          <a:srgbClr val="33CCCC"/>
        </a:accent2>
        <a:accent3>
          <a:srgbClr val="FFFFE9"/>
        </a:accent3>
        <a:accent4>
          <a:srgbClr val="000000"/>
        </a:accent4>
        <a:accent5>
          <a:srgbClr val="FFFFFA"/>
        </a:accent5>
        <a:accent6>
          <a:srgbClr val="2DB9B9"/>
        </a:accent6>
        <a:hlink>
          <a:srgbClr val="FF5050"/>
        </a:hlink>
        <a:folHlink>
          <a:srgbClr val="FF9900"/>
        </a:folHlink>
      </a:clrScheme>
      <a:clrMap bg1="lt1" tx1="dk1" bg2="lt2" tx2="dk2" accent1="accent1" accent2="accent2" accent3="accent3" accent4="accent4" accent5="accent5" accent6="accent6" hlink="hlink" folHlink="folHlink"/>
    </a:extraClrScheme>
    <a:extraClrScheme>
      <a:clrScheme name="Blank Presentation 6">
        <a:dk1>
          <a:srgbClr val="005A58"/>
        </a:dk1>
        <a:lt1>
          <a:srgbClr val="FFFFFF"/>
        </a:lt1>
        <a:dk2>
          <a:srgbClr val="008080"/>
        </a:dk2>
        <a:lt2>
          <a:srgbClr val="FFFF99"/>
        </a:lt2>
        <a:accent1>
          <a:srgbClr val="006462"/>
        </a:accent1>
        <a:accent2>
          <a:srgbClr val="6D6FC7"/>
        </a:accent2>
        <a:accent3>
          <a:srgbClr val="AAC0C0"/>
        </a:accent3>
        <a:accent4>
          <a:srgbClr val="DADADA"/>
        </a:accent4>
        <a:accent5>
          <a:srgbClr val="AAB8B7"/>
        </a:accent5>
        <a:accent6>
          <a:srgbClr val="6264B4"/>
        </a:accent6>
        <a:hlink>
          <a:srgbClr val="00FFFF"/>
        </a:hlink>
        <a:folHlink>
          <a:srgbClr val="00FF00"/>
        </a:folHlink>
      </a:clrScheme>
      <a:clrMap bg1="dk2" tx1="lt1" bg2="dk1" tx2="lt2" accent1="accent1" accent2="accent2" accent3="accent3" accent4="accent4" accent5="accent5" accent6="accent6" hlink="hlink" folHlink="folHlink"/>
    </a:extraClrScheme>
    <a:extraClrScheme>
      <a:clrScheme name="Blank Presentation 7">
        <a:dk1>
          <a:srgbClr val="5C1F00"/>
        </a:dk1>
        <a:lt1>
          <a:srgbClr val="FFFFFF"/>
        </a:lt1>
        <a:dk2>
          <a:srgbClr val="800000"/>
        </a:dk2>
        <a:lt2>
          <a:srgbClr val="DFD293"/>
        </a:lt2>
        <a:accent1>
          <a:srgbClr val="713E39"/>
        </a:accent1>
        <a:accent2>
          <a:srgbClr val="BE7960"/>
        </a:accent2>
        <a:accent3>
          <a:srgbClr val="C0AAAA"/>
        </a:accent3>
        <a:accent4>
          <a:srgbClr val="DADADA"/>
        </a:accent4>
        <a:accent5>
          <a:srgbClr val="BBAFAE"/>
        </a:accent5>
        <a:accent6>
          <a:srgbClr val="AC6D56"/>
        </a:accent6>
        <a:hlink>
          <a:srgbClr val="FFFF99"/>
        </a:hlink>
        <a:folHlink>
          <a:srgbClr val="D3A219"/>
        </a:folHlink>
      </a:clrScheme>
      <a:clrMap bg1="dk2" tx1="lt1" bg2="dk1" tx2="lt2" accent1="accent1" accent2="accent2" accent3="accent3" accent4="accent4" accent5="accent5" accent6="accent6" hlink="hlink" folHlink="folHlink"/>
    </a:extraClrScheme>
    <a:extraClrScheme>
      <a:clrScheme name="Blank Presentation 8">
        <a:dk1>
          <a:srgbClr val="003366"/>
        </a:dk1>
        <a:lt1>
          <a:srgbClr val="FFFFFF"/>
        </a:lt1>
        <a:dk2>
          <a:srgbClr val="000099"/>
        </a:dk2>
        <a:lt2>
          <a:srgbClr val="CCFFFF"/>
        </a:lt2>
        <a:accent1>
          <a:srgbClr val="3366CC"/>
        </a:accent1>
        <a:accent2>
          <a:srgbClr val="00B000"/>
        </a:accent2>
        <a:accent3>
          <a:srgbClr val="AAAACA"/>
        </a:accent3>
        <a:accent4>
          <a:srgbClr val="DADADA"/>
        </a:accent4>
        <a:accent5>
          <a:srgbClr val="ADB8E2"/>
        </a:accent5>
        <a:accent6>
          <a:srgbClr val="009F00"/>
        </a:accent6>
        <a:hlink>
          <a:srgbClr val="66CCFF"/>
        </a:hlink>
        <a:folHlink>
          <a:srgbClr val="FFE701"/>
        </a:folHlink>
      </a:clrScheme>
      <a:clrMap bg1="dk2" tx1="lt1" bg2="dk1" tx2="lt2" accent1="accent1" accent2="accent2" accent3="accent3" accent4="accent4" accent5="accent5" accent6="accent6" hlink="hlink" folHlink="folHlink"/>
    </a:extraClrScheme>
    <a:extraClrScheme>
      <a:clrScheme name="Blank Presentation 9">
        <a:dk1>
          <a:srgbClr val="336699"/>
        </a:dk1>
        <a:lt1>
          <a:srgbClr val="FFFFFF"/>
        </a:lt1>
        <a:dk2>
          <a:srgbClr val="000000"/>
        </a:dk2>
        <a:lt2>
          <a:srgbClr val="E3EBF1"/>
        </a:lt2>
        <a:accent1>
          <a:srgbClr val="003399"/>
        </a:accent1>
        <a:accent2>
          <a:srgbClr val="468A4B"/>
        </a:accent2>
        <a:accent3>
          <a:srgbClr val="AAAAAA"/>
        </a:accent3>
        <a:accent4>
          <a:srgbClr val="DADADA"/>
        </a:accent4>
        <a:accent5>
          <a:srgbClr val="AAADCA"/>
        </a:accent5>
        <a:accent6>
          <a:srgbClr val="3F7D43"/>
        </a:accent6>
        <a:hlink>
          <a:srgbClr val="66CCFF"/>
        </a:hlink>
        <a:folHlink>
          <a:srgbClr val="F0E500"/>
        </a:folHlink>
      </a:clrScheme>
      <a:clrMap bg1="dk2" tx1="lt1" bg2="dk1" tx2="lt2" accent1="accent1" accent2="accent2" accent3="accent3" accent4="accent4" accent5="accent5" accent6="accent6" hlink="hlink" folHlink="folHlink"/>
    </a:extraClrScheme>
    <a:extraClrScheme>
      <a:clrScheme name="Blank Presentation 10">
        <a:dk1>
          <a:srgbClr val="777777"/>
        </a:dk1>
        <a:lt1>
          <a:srgbClr val="FFFFFF"/>
        </a:lt1>
        <a:dk2>
          <a:srgbClr val="686B5D"/>
        </a:dk2>
        <a:lt2>
          <a:srgbClr val="D1D1CB"/>
        </a:lt2>
        <a:accent1>
          <a:srgbClr val="909082"/>
        </a:accent1>
        <a:accent2>
          <a:srgbClr val="809EA8"/>
        </a:accent2>
        <a:accent3>
          <a:srgbClr val="B9BAB6"/>
        </a:accent3>
        <a:accent4>
          <a:srgbClr val="DADADA"/>
        </a:accent4>
        <a:accent5>
          <a:srgbClr val="C6C6C1"/>
        </a:accent5>
        <a:accent6>
          <a:srgbClr val="738F98"/>
        </a:accent6>
        <a:hlink>
          <a:srgbClr val="FFCC66"/>
        </a:hlink>
        <a:folHlink>
          <a:srgbClr val="E9DCB9"/>
        </a:folHlink>
      </a:clrScheme>
      <a:clrMap bg1="dk2" tx1="lt1" bg2="dk1" tx2="lt2" accent1="accent1" accent2="accent2" accent3="accent3" accent4="accent4" accent5="accent5" accent6="accent6" hlink="hlink" folHlink="folHlink"/>
    </a:extraClrScheme>
    <a:extraClrScheme>
      <a:clrScheme name="Blank Presentation 11">
        <a:dk1>
          <a:srgbClr val="3E3E5C"/>
        </a:dk1>
        <a:lt1>
          <a:srgbClr val="FFFFFF"/>
        </a:lt1>
        <a:dk2>
          <a:srgbClr val="666699"/>
        </a:dk2>
        <a:lt2>
          <a:srgbClr val="FFFFFF"/>
        </a:lt2>
        <a:accent1>
          <a:srgbClr val="60597B"/>
        </a:accent1>
        <a:accent2>
          <a:srgbClr val="6666FF"/>
        </a:accent2>
        <a:accent3>
          <a:srgbClr val="B8B8CA"/>
        </a:accent3>
        <a:accent4>
          <a:srgbClr val="DADADA"/>
        </a:accent4>
        <a:accent5>
          <a:srgbClr val="B6B5BF"/>
        </a:accent5>
        <a:accent6>
          <a:srgbClr val="5C5CE7"/>
        </a:accent6>
        <a:hlink>
          <a:srgbClr val="99CCFF"/>
        </a:hlink>
        <a:folHlink>
          <a:srgbClr val="FFFF99"/>
        </a:folHlink>
      </a:clrScheme>
      <a:clrMap bg1="dk2" tx1="lt1" bg2="dk1" tx2="lt2" accent1="accent1" accent2="accent2" accent3="accent3" accent4="accent4" accent5="accent5" accent6="accent6" hlink="hlink" folHlink="folHlink"/>
    </a:extraClrScheme>
    <a:extraClrScheme>
      <a:clrScheme name="Blank Presentation 12">
        <a:dk1>
          <a:srgbClr val="2D2015"/>
        </a:dk1>
        <a:lt1>
          <a:srgbClr val="FFFFFF"/>
        </a:lt1>
        <a:dk2>
          <a:srgbClr val="523E26"/>
        </a:dk2>
        <a:lt2>
          <a:srgbClr val="DFC08D"/>
        </a:lt2>
        <a:accent1>
          <a:srgbClr val="8C7B70"/>
        </a:accent1>
        <a:accent2>
          <a:srgbClr val="8F5F2F"/>
        </a:accent2>
        <a:accent3>
          <a:srgbClr val="B3AFAC"/>
        </a:accent3>
        <a:accent4>
          <a:srgbClr val="DADADA"/>
        </a:accent4>
        <a:accent5>
          <a:srgbClr val="C5BFBB"/>
        </a:accent5>
        <a:accent6>
          <a:srgbClr val="81552A"/>
        </a:accent6>
        <a:hlink>
          <a:srgbClr val="CCB400"/>
        </a:hlink>
        <a:folHlink>
          <a:srgbClr val="8C9EA0"/>
        </a:folHlink>
      </a:clrScheme>
      <a:clrMap bg1="dk2" tx1="lt1" bg2="dk1" tx2="lt2" accent1="accent1" accent2="accent2" accent3="accent3" accent4="accent4" accent5="accent5" accent6="accent6" hlink="hlink" folHlink="folHlink"/>
    </a:extraClrScheme>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amendments-rules.house.gov/amendments/HWC_103_xml1217190022572257.pdf" TargetMode="External"/><Relationship Id="rId13" Type="http://schemas.openxmlformats.org/officeDocument/2006/relationships/hyperlink" Target="https://fas.org/sgp/crs/misc/R42089.pdf" TargetMode="External"/><Relationship Id="rId18" Type="http://schemas.openxmlformats.org/officeDocument/2006/relationships/vmlDrawing" Target="../drawings/vmlDrawing4.vml"/><Relationship Id="rId3" Type="http://schemas.openxmlformats.org/officeDocument/2006/relationships/hyperlink" Target="http://programs.dsireusa.org/system/program/detail/1235" TargetMode="External"/><Relationship Id="rId7" Type="http://schemas.openxmlformats.org/officeDocument/2006/relationships/hyperlink" Target="https://amendments-rules.house.gov/amendments/HWC_103_xml1217190022572257.pdf" TargetMode="External"/><Relationship Id="rId12" Type="http://schemas.openxmlformats.org/officeDocument/2006/relationships/hyperlink" Target="https://uscode.house.gov/view.xhtml?req=(title:26%20section:25C%20edition:prelim)" TargetMode="External"/><Relationship Id="rId17" Type="http://schemas.openxmlformats.org/officeDocument/2006/relationships/drawing" Target="../drawings/drawing1.xml"/><Relationship Id="rId2" Type="http://schemas.openxmlformats.org/officeDocument/2006/relationships/hyperlink" Target="https://www.eia.gov/consumption/commercial/maps.php" TargetMode="External"/><Relationship Id="rId16" Type="http://schemas.openxmlformats.org/officeDocument/2006/relationships/printerSettings" Target="../printerSettings/printerSettings5.bin"/><Relationship Id="rId1" Type="http://schemas.openxmlformats.org/officeDocument/2006/relationships/hyperlink" Target="https://www.energy.gov/savings/residential-energy-efficiency-tax-credit" TargetMode="External"/><Relationship Id="rId6" Type="http://schemas.openxmlformats.org/officeDocument/2006/relationships/hyperlink" Target="https://www.energystar.gov/about/federal_tax_credits/federal_tax_credit_archives/tax_credits_home_builders" TargetMode="External"/><Relationship Id="rId11" Type="http://schemas.openxmlformats.org/officeDocument/2006/relationships/hyperlink" Target="https://www.energystar.gov/about/federal_tax_credits/biomass_stoves" TargetMode="External"/><Relationship Id="rId5" Type="http://schemas.openxmlformats.org/officeDocument/2006/relationships/hyperlink" Target="https://www.law.cornell.edu/uscode/text/26/45L" TargetMode="External"/><Relationship Id="rId15" Type="http://schemas.openxmlformats.org/officeDocument/2006/relationships/hyperlink" Target="https://www.law.cornell.edu/uscode/text/26/25C" TargetMode="External"/><Relationship Id="rId10" Type="http://schemas.openxmlformats.org/officeDocument/2006/relationships/hyperlink" Target="https://www.irs.gov/instructions/i8908" TargetMode="External"/><Relationship Id="rId19" Type="http://schemas.openxmlformats.org/officeDocument/2006/relationships/comments" Target="../comments4.xml"/><Relationship Id="rId4" Type="http://schemas.openxmlformats.org/officeDocument/2006/relationships/hyperlink" Target="https://fas.org/sgp/crs/misc/R42089.pdf" TargetMode="External"/><Relationship Id="rId9" Type="http://schemas.openxmlformats.org/officeDocument/2006/relationships/hyperlink" Target="https://www.energystar.gov/about/federal_tax_credits/non_business_energy_property_tax_credits" TargetMode="External"/><Relationship Id="rId14" Type="http://schemas.openxmlformats.org/officeDocument/2006/relationships/hyperlink" Target="https://www.law.cornell.edu/uscode/text/26/25C"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7030A0"/>
  </sheetPr>
  <dimension ref="B2:I12"/>
  <sheetViews>
    <sheetView workbookViewId="0"/>
  </sheetViews>
  <sheetFormatPr defaultRowHeight="14.25" x14ac:dyDescent="0.2"/>
  <cols>
    <col min="2" max="2" width="15.875" bestFit="1" customWidth="1"/>
    <col min="3" max="3" width="48.25" customWidth="1"/>
    <col min="4" max="4" width="18.625" customWidth="1"/>
    <col min="5" max="5" width="44.125" customWidth="1"/>
    <col min="6" max="6" width="13" bestFit="1" customWidth="1"/>
  </cols>
  <sheetData>
    <row r="2" spans="2:9" ht="15" x14ac:dyDescent="0.25">
      <c r="B2" s="6" t="s">
        <v>75</v>
      </c>
      <c r="C2" t="s">
        <v>101</v>
      </c>
    </row>
    <row r="3" spans="2:9" ht="15" x14ac:dyDescent="0.25">
      <c r="B3" s="6" t="s">
        <v>77</v>
      </c>
      <c r="C3" t="s">
        <v>78</v>
      </c>
    </row>
    <row r="4" spans="2:9" ht="15" x14ac:dyDescent="0.25">
      <c r="B4" s="6" t="s">
        <v>79</v>
      </c>
      <c r="C4" t="s">
        <v>102</v>
      </c>
    </row>
    <row r="6" spans="2:9" ht="15.75" thickBot="1" x14ac:dyDescent="0.3">
      <c r="B6" s="1" t="s">
        <v>16</v>
      </c>
      <c r="C6" s="1" t="s">
        <v>17</v>
      </c>
      <c r="D6" s="1" t="s">
        <v>18</v>
      </c>
      <c r="E6" s="1" t="s">
        <v>19</v>
      </c>
      <c r="F6" s="1" t="s">
        <v>321</v>
      </c>
    </row>
    <row r="7" spans="2:9" x14ac:dyDescent="0.2">
      <c r="B7" s="4" t="s">
        <v>20</v>
      </c>
      <c r="C7" s="2" t="s">
        <v>23</v>
      </c>
      <c r="D7" s="3" t="s">
        <v>100</v>
      </c>
      <c r="E7" s="2" t="s">
        <v>99</v>
      </c>
      <c r="F7" s="110">
        <f>RSCLASS!$C$3</f>
        <v>43374</v>
      </c>
    </row>
    <row r="8" spans="2:9" ht="156.75" x14ac:dyDescent="0.2">
      <c r="B8" s="4" t="s">
        <v>21</v>
      </c>
      <c r="C8" s="2" t="s">
        <v>24</v>
      </c>
      <c r="D8" s="3" t="s">
        <v>100</v>
      </c>
      <c r="E8" s="2" t="s">
        <v>457</v>
      </c>
      <c r="F8" s="110">
        <f>RSMEQP!$C$3</f>
        <v>44880</v>
      </c>
      <c r="I8" s="125"/>
    </row>
    <row r="9" spans="2:9" ht="57" x14ac:dyDescent="0.2">
      <c r="B9" s="4" t="s">
        <v>22</v>
      </c>
      <c r="C9" s="2" t="s">
        <v>25</v>
      </c>
      <c r="D9" s="3" t="s">
        <v>100</v>
      </c>
      <c r="E9" s="2" t="s">
        <v>277</v>
      </c>
      <c r="F9" s="110">
        <f>RSMSHL!$C$3</f>
        <v>44867</v>
      </c>
    </row>
    <row r="10" spans="2:9" ht="42.75" x14ac:dyDescent="0.2">
      <c r="B10" s="4" t="s">
        <v>271</v>
      </c>
      <c r="C10" s="2" t="s">
        <v>268</v>
      </c>
      <c r="D10" s="3" t="s">
        <v>100</v>
      </c>
      <c r="E10" s="2" t="s">
        <v>471</v>
      </c>
      <c r="F10" s="110">
        <f>'TaxCred&amp;Subs'!$C$2</f>
        <v>44880</v>
      </c>
    </row>
    <row r="12" spans="2:9" ht="15" x14ac:dyDescent="0.25">
      <c r="B12"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9" tint="0.79998168889431442"/>
  </sheetPr>
  <dimension ref="B2:V59"/>
  <sheetViews>
    <sheetView topLeftCell="I7" zoomScale="70" zoomScaleNormal="70" workbookViewId="0">
      <selection activeCell="X43" sqref="X43"/>
    </sheetView>
  </sheetViews>
  <sheetFormatPr defaultRowHeight="14.25" x14ac:dyDescent="0.2"/>
  <cols>
    <col min="2" max="2" width="29" customWidth="1"/>
    <col min="3" max="3" width="17.25" customWidth="1"/>
    <col min="4" max="4" width="14" bestFit="1" customWidth="1"/>
    <col min="5" max="5" width="13" bestFit="1" customWidth="1"/>
    <col min="6" max="6" width="14.75" bestFit="1" customWidth="1"/>
    <col min="7" max="7" width="15.75" customWidth="1"/>
    <col min="8" max="8" width="10.125" bestFit="1" customWidth="1"/>
    <col min="9" max="9" width="12.75" bestFit="1" customWidth="1"/>
    <col min="10" max="10" width="13.875" bestFit="1" customWidth="1"/>
    <col min="11" max="11" width="11.75" customWidth="1"/>
    <col min="12" max="12" width="12.75" bestFit="1" customWidth="1"/>
    <col min="13" max="13" width="13" customWidth="1"/>
    <col min="14" max="15" width="13.375" bestFit="1" customWidth="1"/>
    <col min="16" max="16" width="13.875" bestFit="1" customWidth="1"/>
    <col min="17" max="17" width="13.375" bestFit="1" customWidth="1"/>
    <col min="18" max="19" width="14.75" bestFit="1" customWidth="1"/>
    <col min="20" max="20" width="13.125" bestFit="1" customWidth="1"/>
    <col min="21" max="21" width="14.375" bestFit="1" customWidth="1"/>
  </cols>
  <sheetData>
    <row r="2" spans="2:3" ht="15" x14ac:dyDescent="0.25">
      <c r="B2" s="6" t="s">
        <v>75</v>
      </c>
      <c r="C2" t="s">
        <v>20</v>
      </c>
    </row>
    <row r="3" spans="2:3" ht="15" x14ac:dyDescent="0.25">
      <c r="B3" s="6" t="s">
        <v>76</v>
      </c>
      <c r="C3" s="20">
        <v>43374</v>
      </c>
    </row>
    <row r="4" spans="2:3" ht="15" x14ac:dyDescent="0.25">
      <c r="B4" s="6" t="s">
        <v>79</v>
      </c>
      <c r="C4" t="s">
        <v>80</v>
      </c>
    </row>
    <row r="5" spans="2:3" ht="15" x14ac:dyDescent="0.25">
      <c r="B5" s="6" t="s">
        <v>81</v>
      </c>
      <c r="C5" t="s">
        <v>236</v>
      </c>
    </row>
    <row r="6" spans="2:3" ht="15" x14ac:dyDescent="0.25">
      <c r="B6" s="6" t="s">
        <v>82</v>
      </c>
      <c r="C6" t="s">
        <v>237</v>
      </c>
    </row>
    <row r="7" spans="2:3" ht="15" x14ac:dyDescent="0.25">
      <c r="B7" s="6" t="s">
        <v>83</v>
      </c>
      <c r="C7" t="s">
        <v>428</v>
      </c>
    </row>
    <row r="8" spans="2:3" ht="15" x14ac:dyDescent="0.25">
      <c r="B8" s="6" t="s">
        <v>90</v>
      </c>
      <c r="C8" t="s">
        <v>84</v>
      </c>
    </row>
    <row r="9" spans="2:3" ht="15" x14ac:dyDescent="0.25">
      <c r="B9" s="6"/>
      <c r="C9" t="s">
        <v>85</v>
      </c>
    </row>
    <row r="10" spans="2:3" ht="15" x14ac:dyDescent="0.25">
      <c r="B10" s="6"/>
      <c r="C10" t="s">
        <v>86</v>
      </c>
    </row>
    <row r="11" spans="2:3" ht="15" x14ac:dyDescent="0.25">
      <c r="B11" s="6"/>
      <c r="C11" t="s">
        <v>87</v>
      </c>
    </row>
    <row r="12" spans="2:3" ht="15" x14ac:dyDescent="0.25">
      <c r="B12" s="6" t="s">
        <v>88</v>
      </c>
      <c r="C12" t="s">
        <v>233</v>
      </c>
    </row>
    <row r="13" spans="2:3" ht="15" x14ac:dyDescent="0.25">
      <c r="B13" s="6" t="s">
        <v>89</v>
      </c>
      <c r="C13" t="s">
        <v>329</v>
      </c>
    </row>
    <row r="16" spans="2:3" ht="15" x14ac:dyDescent="0.25">
      <c r="B16" s="41">
        <f>COUNTA(xlRTCLENDU)</f>
        <v>30</v>
      </c>
      <c r="C16" s="6" t="s">
        <v>97</v>
      </c>
    </row>
    <row r="17" spans="2:22" x14ac:dyDescent="0.2">
      <c r="B17" s="7"/>
    </row>
    <row r="18" spans="2:22" ht="15" x14ac:dyDescent="0.25">
      <c r="L18" s="243" t="s">
        <v>30</v>
      </c>
      <c r="M18" s="243"/>
      <c r="N18" s="243"/>
      <c r="O18" s="243"/>
      <c r="P18" s="243"/>
    </row>
    <row r="19" spans="2:22" ht="45" x14ac:dyDescent="0.25">
      <c r="B19" s="13" t="s">
        <v>320</v>
      </c>
      <c r="C19" s="13" t="s">
        <v>2</v>
      </c>
      <c r="D19" s="13" t="s">
        <v>54</v>
      </c>
      <c r="E19" s="13" t="s">
        <v>42</v>
      </c>
      <c r="F19" s="13" t="s">
        <v>323</v>
      </c>
      <c r="G19" s="13" t="s">
        <v>74</v>
      </c>
      <c r="H19" s="13" t="s">
        <v>26</v>
      </c>
      <c r="I19" s="13" t="s">
        <v>322</v>
      </c>
      <c r="J19" s="13" t="s">
        <v>35</v>
      </c>
      <c r="K19" s="17" t="s">
        <v>313</v>
      </c>
      <c r="L19" s="13" t="s">
        <v>29</v>
      </c>
      <c r="M19" s="17" t="s">
        <v>325</v>
      </c>
      <c r="N19" s="17" t="s">
        <v>324</v>
      </c>
      <c r="O19" s="13" t="s">
        <v>27</v>
      </c>
      <c r="P19" s="13" t="s">
        <v>28</v>
      </c>
      <c r="Q19" s="13" t="s">
        <v>169</v>
      </c>
      <c r="R19" s="13" t="s">
        <v>168</v>
      </c>
      <c r="S19" s="13" t="s">
        <v>170</v>
      </c>
      <c r="T19" s="13" t="s">
        <v>13</v>
      </c>
      <c r="U19" s="13" t="s">
        <v>171</v>
      </c>
    </row>
    <row r="20" spans="2:22" ht="15" x14ac:dyDescent="0.25">
      <c r="B20" s="107" t="s">
        <v>262</v>
      </c>
      <c r="C20" s="12" t="s">
        <v>103</v>
      </c>
      <c r="D20" s="12" t="s">
        <v>151</v>
      </c>
      <c r="E20" s="12" t="s">
        <v>152</v>
      </c>
      <c r="F20" s="12" t="s">
        <v>153</v>
      </c>
      <c r="G20" s="12" t="s">
        <v>154</v>
      </c>
      <c r="H20" s="12" t="s">
        <v>155</v>
      </c>
      <c r="I20" s="12" t="s">
        <v>156</v>
      </c>
      <c r="J20" s="12" t="s">
        <v>157</v>
      </c>
      <c r="K20" s="106" t="s">
        <v>262</v>
      </c>
      <c r="L20" s="12" t="s">
        <v>158</v>
      </c>
      <c r="M20" s="12" t="s">
        <v>159</v>
      </c>
      <c r="N20" s="12" t="s">
        <v>160</v>
      </c>
      <c r="O20" s="12" t="s">
        <v>161</v>
      </c>
      <c r="P20" s="12" t="s">
        <v>162</v>
      </c>
      <c r="Q20" s="12" t="s">
        <v>163</v>
      </c>
      <c r="R20" s="12" t="s">
        <v>164</v>
      </c>
      <c r="S20" s="12" t="s">
        <v>165</v>
      </c>
      <c r="T20" s="12" t="s">
        <v>166</v>
      </c>
      <c r="U20" s="12" t="s">
        <v>167</v>
      </c>
      <c r="V20" s="8" t="s">
        <v>39</v>
      </c>
    </row>
    <row r="21" spans="2:22" x14ac:dyDescent="0.2">
      <c r="B21" s="7" t="str">
        <f>C21&amp;D21</f>
        <v>11</v>
      </c>
      <c r="C21" s="5">
        <v>1</v>
      </c>
      <c r="D21" s="5">
        <v>1</v>
      </c>
      <c r="E21" s="7">
        <f t="array" ref="E21">MIN(IF(($C21=xlRTTYENDU)*($D21=xlRTTYEQCL),xlRTEQTYPE))</f>
        <v>1</v>
      </c>
      <c r="F21" s="5">
        <v>2</v>
      </c>
      <c r="G21" s="5">
        <v>3</v>
      </c>
      <c r="H21" s="5">
        <v>4</v>
      </c>
      <c r="I21" s="5">
        <v>0</v>
      </c>
      <c r="J21" s="101">
        <v>0.98</v>
      </c>
      <c r="K21" s="27" t="s">
        <v>282</v>
      </c>
      <c r="L21" s="5">
        <v>0.5</v>
      </c>
      <c r="M21" s="108">
        <v>15</v>
      </c>
      <c r="N21" s="108">
        <v>30</v>
      </c>
      <c r="O21" s="101">
        <v>4.33</v>
      </c>
      <c r="P21" s="101">
        <v>24.5</v>
      </c>
      <c r="Q21" s="5">
        <v>-1.08E-3</v>
      </c>
      <c r="R21" s="5">
        <v>0.2</v>
      </c>
      <c r="S21" s="5">
        <v>-1.72E-3</v>
      </c>
      <c r="T21" s="5">
        <v>-0.47</v>
      </c>
      <c r="U21" s="5" t="s">
        <v>172</v>
      </c>
    </row>
    <row r="22" spans="2:22" x14ac:dyDescent="0.2">
      <c r="B22" s="7" t="str">
        <f t="shared" ref="B22:B50" si="0">C22&amp;D22</f>
        <v>12</v>
      </c>
      <c r="C22" s="5">
        <v>1</v>
      </c>
      <c r="D22" s="5">
        <v>2</v>
      </c>
      <c r="E22" s="7">
        <f t="array" ref="E22">MIN(IF(($C22=xlRTTYENDU)*($D22=xlRTTYEQCL),xlRTEQTYPE))</f>
        <v>2</v>
      </c>
      <c r="F22" s="5">
        <v>2</v>
      </c>
      <c r="G22" s="5">
        <v>0</v>
      </c>
      <c r="H22" s="5">
        <v>4</v>
      </c>
      <c r="I22" s="5">
        <v>0</v>
      </c>
      <c r="J22" s="101">
        <v>2.3153575615474797</v>
      </c>
      <c r="K22" s="27" t="s">
        <v>302</v>
      </c>
      <c r="L22" s="5">
        <v>0.5</v>
      </c>
      <c r="M22" s="108">
        <v>9</v>
      </c>
      <c r="N22" s="108">
        <v>22</v>
      </c>
      <c r="O22" s="101">
        <v>3.28</v>
      </c>
      <c r="P22" s="101">
        <v>17.3</v>
      </c>
      <c r="Q22" s="5">
        <v>-1.08E-3</v>
      </c>
      <c r="R22" s="5">
        <v>0.2</v>
      </c>
      <c r="S22" s="5">
        <v>-1.72E-3</v>
      </c>
      <c r="T22" s="5">
        <v>-0.1</v>
      </c>
      <c r="U22" s="5" t="s">
        <v>173</v>
      </c>
    </row>
    <row r="23" spans="2:22" x14ac:dyDescent="0.2">
      <c r="B23" s="7" t="str">
        <f t="shared" si="0"/>
        <v>13</v>
      </c>
      <c r="C23" s="5">
        <v>1</v>
      </c>
      <c r="D23" s="5">
        <v>3</v>
      </c>
      <c r="E23" s="7">
        <f t="array" ref="E23">MIN(IF(($C23=xlRTTYENDU)*($D23=xlRTTYEQCL),xlRTEQTYPE))</f>
        <v>6</v>
      </c>
      <c r="F23" s="5">
        <v>1</v>
      </c>
      <c r="G23" s="5">
        <v>0</v>
      </c>
      <c r="H23" s="5">
        <v>3</v>
      </c>
      <c r="I23" s="5">
        <v>1</v>
      </c>
      <c r="J23" s="101">
        <v>0.8</v>
      </c>
      <c r="K23" s="27" t="s">
        <v>282</v>
      </c>
      <c r="L23" s="5">
        <v>0.5</v>
      </c>
      <c r="M23" s="108">
        <v>16</v>
      </c>
      <c r="N23" s="108">
        <v>27</v>
      </c>
      <c r="O23" s="101">
        <v>5.64</v>
      </c>
      <c r="P23" s="101">
        <v>22.9</v>
      </c>
      <c r="Q23" s="5">
        <v>-1.08E-3</v>
      </c>
      <c r="R23" s="5">
        <v>0</v>
      </c>
      <c r="S23" s="5">
        <v>-1.72E-3</v>
      </c>
      <c r="T23" s="5">
        <v>0</v>
      </c>
      <c r="U23" s="5" t="s">
        <v>174</v>
      </c>
    </row>
    <row r="24" spans="2:22" x14ac:dyDescent="0.2">
      <c r="B24" s="7" t="str">
        <f t="shared" si="0"/>
        <v>14</v>
      </c>
      <c r="C24" s="5">
        <v>1</v>
      </c>
      <c r="D24" s="5">
        <v>4</v>
      </c>
      <c r="E24" s="7">
        <f t="array" ref="E24">MIN(IF(($C24=xlRTTYENDU)*($D24=xlRTTYEQCL),xlRTEQTYPE))</f>
        <v>10</v>
      </c>
      <c r="F24" s="5">
        <v>1</v>
      </c>
      <c r="G24" s="5">
        <v>0</v>
      </c>
      <c r="H24" s="5">
        <v>3</v>
      </c>
      <c r="I24" s="5">
        <v>1</v>
      </c>
      <c r="J24" s="101">
        <v>0.82</v>
      </c>
      <c r="K24" s="27" t="s">
        <v>282</v>
      </c>
      <c r="L24" s="5">
        <v>0.3</v>
      </c>
      <c r="M24" s="108">
        <v>20</v>
      </c>
      <c r="N24" s="108">
        <v>30</v>
      </c>
      <c r="O24" s="101">
        <v>7.21</v>
      </c>
      <c r="P24" s="101">
        <v>26.3</v>
      </c>
      <c r="Q24" s="5">
        <v>-1.08E-3</v>
      </c>
      <c r="R24" s="5">
        <v>0</v>
      </c>
      <c r="S24" s="5">
        <v>-1.72E-3</v>
      </c>
      <c r="T24" s="5">
        <v>0</v>
      </c>
      <c r="U24" s="5" t="s">
        <v>175</v>
      </c>
    </row>
    <row r="25" spans="2:22" x14ac:dyDescent="0.2">
      <c r="B25" s="34" t="str">
        <f t="shared" si="0"/>
        <v>15</v>
      </c>
      <c r="C25" s="34">
        <v>1</v>
      </c>
      <c r="D25" s="34">
        <v>5</v>
      </c>
      <c r="E25" s="34">
        <f t="array" ref="E25">MIN(IF(($C25=xlRTTYENDU)*($D25=xlRTTYEQCL),xlRTEQTYPE))</f>
        <v>14</v>
      </c>
      <c r="F25" s="34">
        <v>2</v>
      </c>
      <c r="G25" s="34">
        <v>0</v>
      </c>
      <c r="H25" s="38">
        <v>1</v>
      </c>
      <c r="I25" s="34">
        <v>0</v>
      </c>
      <c r="J25" s="111">
        <v>0.83</v>
      </c>
      <c r="K25" s="35" t="s">
        <v>282</v>
      </c>
      <c r="L25" s="34">
        <v>0.3</v>
      </c>
      <c r="M25" s="116">
        <v>19.7</v>
      </c>
      <c r="N25" s="116">
        <v>33.1</v>
      </c>
      <c r="O25" s="111">
        <v>5.88</v>
      </c>
      <c r="P25" s="111">
        <v>28.2</v>
      </c>
      <c r="Q25" s="34">
        <v>-1.08E-3</v>
      </c>
      <c r="R25" s="34">
        <v>0.2</v>
      </c>
      <c r="S25" s="34">
        <v>-1.72E-3</v>
      </c>
      <c r="T25" s="34">
        <v>-0.27</v>
      </c>
      <c r="U25" s="34" t="s">
        <v>176</v>
      </c>
    </row>
    <row r="26" spans="2:22" x14ac:dyDescent="0.2">
      <c r="B26" s="7" t="str">
        <f t="shared" si="0"/>
        <v>16</v>
      </c>
      <c r="C26" s="5">
        <v>1</v>
      </c>
      <c r="D26" s="5">
        <v>6</v>
      </c>
      <c r="E26" s="7">
        <f t="array" ref="E26">MIN(IF(($C26=xlRTTYENDU)*($D26=xlRTTYEQCL),xlRTEQTYPE))</f>
        <v>18</v>
      </c>
      <c r="F26" s="5">
        <v>4</v>
      </c>
      <c r="G26" s="5">
        <v>3</v>
      </c>
      <c r="H26" s="5">
        <v>2</v>
      </c>
      <c r="I26" s="5">
        <v>1</v>
      </c>
      <c r="J26" s="101">
        <v>0.8</v>
      </c>
      <c r="K26" s="27" t="s">
        <v>282</v>
      </c>
      <c r="L26" s="5">
        <v>0.5</v>
      </c>
      <c r="M26" s="108">
        <v>16</v>
      </c>
      <c r="N26" s="108">
        <v>27</v>
      </c>
      <c r="O26" s="101">
        <v>5.64</v>
      </c>
      <c r="P26" s="101">
        <v>22.9</v>
      </c>
      <c r="Q26" s="5">
        <v>-1.08E-3</v>
      </c>
      <c r="R26" s="5">
        <v>0.2</v>
      </c>
      <c r="S26" s="5">
        <v>-1.72E-3</v>
      </c>
      <c r="T26" s="5">
        <v>-0.03</v>
      </c>
      <c r="U26" s="5" t="s">
        <v>177</v>
      </c>
    </row>
    <row r="27" spans="2:22" x14ac:dyDescent="0.2">
      <c r="B27" s="7" t="str">
        <f t="shared" si="0"/>
        <v>17</v>
      </c>
      <c r="C27" s="5">
        <v>1</v>
      </c>
      <c r="D27" s="5">
        <v>7</v>
      </c>
      <c r="E27" s="7">
        <f t="array" ref="E27">MIN(IF(($C27=xlRTTYENDU)*($D27=xlRTTYEQCL),xlRTEQTYPE))</f>
        <v>22</v>
      </c>
      <c r="F27" s="5">
        <v>3</v>
      </c>
      <c r="G27" s="5">
        <v>3</v>
      </c>
      <c r="H27" s="5">
        <v>1</v>
      </c>
      <c r="I27" s="5">
        <v>1</v>
      </c>
      <c r="J27" s="101">
        <v>0.83</v>
      </c>
      <c r="K27" s="27" t="s">
        <v>282</v>
      </c>
      <c r="L27" s="5">
        <v>0.3</v>
      </c>
      <c r="M27" s="108">
        <v>19.7</v>
      </c>
      <c r="N27" s="108">
        <v>33.1</v>
      </c>
      <c r="O27" s="101">
        <v>5.88</v>
      </c>
      <c r="P27" s="101">
        <v>28.2</v>
      </c>
      <c r="Q27" s="5">
        <v>-1.08E-3</v>
      </c>
      <c r="R27" s="5">
        <v>0.2</v>
      </c>
      <c r="S27" s="5">
        <v>-1.72E-3</v>
      </c>
      <c r="T27" s="5">
        <v>-0.03</v>
      </c>
      <c r="U27" s="5" t="s">
        <v>178</v>
      </c>
    </row>
    <row r="28" spans="2:22" x14ac:dyDescent="0.2">
      <c r="B28" s="7" t="str">
        <f t="shared" si="0"/>
        <v>18</v>
      </c>
      <c r="C28" s="5">
        <v>1</v>
      </c>
      <c r="D28" s="5">
        <v>8</v>
      </c>
      <c r="E28" s="7">
        <f t="array" ref="E28">MIN(IF(($C28=xlRTTYENDU)*($D28=xlRTTYEQCL),xlRTEQTYPE))</f>
        <v>26</v>
      </c>
      <c r="F28" s="5">
        <v>3</v>
      </c>
      <c r="G28" s="5">
        <v>0</v>
      </c>
      <c r="H28" s="5">
        <v>1</v>
      </c>
      <c r="I28" s="5">
        <v>1</v>
      </c>
      <c r="J28" s="101">
        <v>0.84</v>
      </c>
      <c r="K28" s="27" t="s">
        <v>282</v>
      </c>
      <c r="L28" s="5">
        <v>0.3</v>
      </c>
      <c r="M28" s="108">
        <v>18</v>
      </c>
      <c r="N28" s="108">
        <v>28</v>
      </c>
      <c r="O28" s="101">
        <v>6.64</v>
      </c>
      <c r="P28" s="101">
        <v>24.3</v>
      </c>
      <c r="Q28" s="5">
        <v>-1.08E-3</v>
      </c>
      <c r="R28" s="5">
        <v>0.2</v>
      </c>
      <c r="S28" s="5">
        <v>-1.72E-3</v>
      </c>
      <c r="T28" s="5">
        <v>-0.03</v>
      </c>
      <c r="U28" s="5" t="s">
        <v>179</v>
      </c>
    </row>
    <row r="29" spans="2:22" x14ac:dyDescent="0.2">
      <c r="B29" s="7" t="str">
        <f t="shared" si="0"/>
        <v>19</v>
      </c>
      <c r="C29" s="5">
        <v>1</v>
      </c>
      <c r="D29" s="5">
        <v>9</v>
      </c>
      <c r="E29" s="7">
        <f t="array" ref="E29">MIN(IF(($C29=xlRTTYENDU)*($D29=xlRTTYEQCL),xlRTEQTYPE))</f>
        <v>30</v>
      </c>
      <c r="F29" s="5">
        <v>2</v>
      </c>
      <c r="G29" s="5">
        <v>3</v>
      </c>
      <c r="H29" s="5">
        <v>6</v>
      </c>
      <c r="I29" s="5">
        <v>1</v>
      </c>
      <c r="J29" s="101">
        <v>0.63</v>
      </c>
      <c r="K29" s="27" t="s">
        <v>317</v>
      </c>
      <c r="L29" s="5">
        <v>0.3</v>
      </c>
      <c r="M29" s="108">
        <v>12</v>
      </c>
      <c r="N29" s="108">
        <v>25</v>
      </c>
      <c r="O29" s="101">
        <v>4.0999999999999996</v>
      </c>
      <c r="P29" s="101">
        <v>20.2</v>
      </c>
      <c r="Q29" s="5">
        <v>-1.08E-3</v>
      </c>
      <c r="R29" s="5">
        <v>0.3</v>
      </c>
      <c r="S29" s="5">
        <v>-1.72E-3</v>
      </c>
      <c r="T29" s="5">
        <v>-0.27</v>
      </c>
      <c r="U29" s="5" t="s">
        <v>180</v>
      </c>
    </row>
    <row r="30" spans="2:22" x14ac:dyDescent="0.2">
      <c r="B30" s="7" t="str">
        <f t="shared" si="0"/>
        <v>110</v>
      </c>
      <c r="C30" s="5">
        <v>1</v>
      </c>
      <c r="D30" s="5">
        <v>10</v>
      </c>
      <c r="E30" s="7">
        <f t="array" ref="E30">MIN(IF(($C30=xlRTTYENDU)*($D30=xlRTTYEQCL),xlRTEQTYPE))</f>
        <v>32</v>
      </c>
      <c r="F30" s="5">
        <v>2</v>
      </c>
      <c r="G30" s="5">
        <v>0</v>
      </c>
      <c r="H30" s="5">
        <v>4</v>
      </c>
      <c r="I30" s="5">
        <v>0</v>
      </c>
      <c r="J30" s="101">
        <v>3.1</v>
      </c>
      <c r="K30" s="27" t="s">
        <v>302</v>
      </c>
      <c r="L30" s="5">
        <v>0.5</v>
      </c>
      <c r="M30" s="108">
        <v>8</v>
      </c>
      <c r="N30" s="108">
        <v>20.8</v>
      </c>
      <c r="O30" s="101">
        <v>3.22</v>
      </c>
      <c r="P30" s="101">
        <v>16.2</v>
      </c>
      <c r="Q30" s="5">
        <v>-1.08E-3</v>
      </c>
      <c r="R30" s="5">
        <v>0</v>
      </c>
      <c r="S30" s="5">
        <v>-1.72E-3</v>
      </c>
      <c r="T30" s="5">
        <v>-0.1</v>
      </c>
      <c r="U30" s="5" t="s">
        <v>181</v>
      </c>
    </row>
    <row r="31" spans="2:22" x14ac:dyDescent="0.2">
      <c r="B31" s="72" t="str">
        <f t="shared" si="0"/>
        <v>111</v>
      </c>
      <c r="C31" s="18">
        <v>1</v>
      </c>
      <c r="D31" s="18">
        <v>11</v>
      </c>
      <c r="E31" s="72">
        <f t="array" ref="E31">MIN(IF(($C31=xlRTTYENDU)*($D31=xlRTTYEQCL),xlRTEQTYPE))</f>
        <v>36</v>
      </c>
      <c r="F31" s="18">
        <v>1</v>
      </c>
      <c r="G31" s="18">
        <v>0</v>
      </c>
      <c r="H31" s="18">
        <v>3</v>
      </c>
      <c r="I31" s="18">
        <v>1</v>
      </c>
      <c r="J31" s="112">
        <v>1.3</v>
      </c>
      <c r="K31" s="25" t="s">
        <v>302</v>
      </c>
      <c r="L31" s="18">
        <v>0.5</v>
      </c>
      <c r="M31" s="114">
        <v>12</v>
      </c>
      <c r="N31" s="114">
        <v>18</v>
      </c>
      <c r="O31" s="112">
        <v>7.21</v>
      </c>
      <c r="P31" s="112">
        <v>15.8</v>
      </c>
      <c r="Q31" s="18">
        <v>-1.08E-3</v>
      </c>
      <c r="R31" s="18">
        <v>0</v>
      </c>
      <c r="S31" s="18">
        <v>-1.72E-3</v>
      </c>
      <c r="T31" s="18">
        <v>-0.1</v>
      </c>
      <c r="U31" s="18" t="s">
        <v>182</v>
      </c>
    </row>
    <row r="32" spans="2:22" x14ac:dyDescent="0.2">
      <c r="B32" s="7" t="str">
        <f t="shared" si="0"/>
        <v>21</v>
      </c>
      <c r="C32" s="5">
        <v>2</v>
      </c>
      <c r="D32" s="5">
        <v>1</v>
      </c>
      <c r="E32" s="7">
        <f t="array" ref="E32">MIN(IF(($C32=xlRTTYENDU)*($D32=xlRTTYEQCL),xlRTEQTYPE))</f>
        <v>1</v>
      </c>
      <c r="F32" s="5">
        <v>0</v>
      </c>
      <c r="G32" s="5">
        <v>0</v>
      </c>
      <c r="H32" s="5">
        <v>4</v>
      </c>
      <c r="I32" s="5">
        <v>0</v>
      </c>
      <c r="J32" s="101">
        <v>3.1946072684642441</v>
      </c>
      <c r="K32" s="27" t="s">
        <v>302</v>
      </c>
      <c r="L32" s="5">
        <v>0.7</v>
      </c>
      <c r="M32" s="108">
        <v>6</v>
      </c>
      <c r="N32" s="108">
        <v>13</v>
      </c>
      <c r="O32" s="101">
        <v>3.92</v>
      </c>
      <c r="P32" s="101">
        <v>10.4</v>
      </c>
      <c r="Q32" s="5">
        <v>0</v>
      </c>
      <c r="R32" s="5">
        <v>0.1</v>
      </c>
      <c r="S32" s="5">
        <v>-1.72E-3</v>
      </c>
      <c r="T32" s="5">
        <v>0</v>
      </c>
      <c r="U32" s="5" t="s">
        <v>183</v>
      </c>
    </row>
    <row r="33" spans="2:21" x14ac:dyDescent="0.2">
      <c r="B33" s="7" t="str">
        <f t="shared" si="0"/>
        <v>22</v>
      </c>
      <c r="C33" s="5">
        <v>2</v>
      </c>
      <c r="D33" s="5">
        <v>2</v>
      </c>
      <c r="E33" s="7">
        <f t="array" ref="E33">MIN(IF(($C33=xlRTTYENDU)*($D33=xlRTTYEQCL),xlRTEQTYPE))</f>
        <v>5</v>
      </c>
      <c r="F33" s="5">
        <v>0</v>
      </c>
      <c r="G33" s="5">
        <v>0</v>
      </c>
      <c r="H33" s="5">
        <v>4</v>
      </c>
      <c r="I33" s="5">
        <v>0</v>
      </c>
      <c r="J33" s="101">
        <v>3.6635404454865181</v>
      </c>
      <c r="K33" s="27" t="s">
        <v>302</v>
      </c>
      <c r="L33" s="5">
        <v>0.7</v>
      </c>
      <c r="M33" s="108">
        <v>11</v>
      </c>
      <c r="N33" s="108">
        <v>25</v>
      </c>
      <c r="O33" s="101">
        <v>3.77</v>
      </c>
      <c r="P33" s="101">
        <v>19.8</v>
      </c>
      <c r="Q33" s="5">
        <v>0</v>
      </c>
      <c r="R33" s="5">
        <v>0</v>
      </c>
      <c r="S33" s="5">
        <v>-1.72E-3</v>
      </c>
      <c r="T33" s="5">
        <v>0</v>
      </c>
      <c r="U33" s="5" t="s">
        <v>184</v>
      </c>
    </row>
    <row r="34" spans="2:21" x14ac:dyDescent="0.2">
      <c r="B34" s="7" t="str">
        <f t="shared" si="0"/>
        <v>23</v>
      </c>
      <c r="C34" s="5">
        <v>2</v>
      </c>
      <c r="D34" s="5">
        <v>3</v>
      </c>
      <c r="E34" s="7">
        <f t="array" ref="E34">MIN(IF(($C34=xlRTTYENDU)*($D34=xlRTTYEQCL),xlRTEQTYPE))</f>
        <v>9</v>
      </c>
      <c r="F34" s="5">
        <v>2</v>
      </c>
      <c r="G34" s="5">
        <v>0</v>
      </c>
      <c r="H34" s="5">
        <v>4</v>
      </c>
      <c r="I34" s="5">
        <v>0</v>
      </c>
      <c r="J34" s="101">
        <v>3.8393903868698711</v>
      </c>
      <c r="K34" s="27" t="s">
        <v>302</v>
      </c>
      <c r="L34" s="5">
        <v>0.5</v>
      </c>
      <c r="M34" s="108">
        <v>9</v>
      </c>
      <c r="N34" s="108">
        <v>22</v>
      </c>
      <c r="O34" s="101">
        <v>3.28</v>
      </c>
      <c r="P34" s="101">
        <v>17.3</v>
      </c>
      <c r="Q34" s="5">
        <v>0</v>
      </c>
      <c r="R34" s="5">
        <v>0</v>
      </c>
      <c r="S34" s="5">
        <v>0</v>
      </c>
      <c r="T34" s="5">
        <v>0</v>
      </c>
      <c r="U34" s="5" t="s">
        <v>173</v>
      </c>
    </row>
    <row r="35" spans="2:21" x14ac:dyDescent="0.2">
      <c r="B35" s="7" t="str">
        <f t="shared" si="0"/>
        <v>24</v>
      </c>
      <c r="C35" s="5">
        <v>2</v>
      </c>
      <c r="D35" s="5">
        <v>4</v>
      </c>
      <c r="E35" s="7">
        <f t="array" ref="E35">MIN(IF(($C35=xlRTTYENDU)*($D35=xlRTTYEQCL),xlRTEQTYPE))</f>
        <v>13</v>
      </c>
      <c r="F35" s="5">
        <v>10</v>
      </c>
      <c r="G35" s="5">
        <v>0</v>
      </c>
      <c r="H35" s="5">
        <v>4</v>
      </c>
      <c r="I35" s="5">
        <v>0</v>
      </c>
      <c r="J35" s="101">
        <v>13.3</v>
      </c>
      <c r="K35" s="27" t="s">
        <v>326</v>
      </c>
      <c r="L35" s="5">
        <v>0.5</v>
      </c>
      <c r="M35" s="108">
        <v>8</v>
      </c>
      <c r="N35" s="108">
        <v>20.8</v>
      </c>
      <c r="O35" s="101">
        <v>3.22</v>
      </c>
      <c r="P35" s="101">
        <v>16.2</v>
      </c>
      <c r="Q35" s="5">
        <v>0</v>
      </c>
      <c r="R35" s="5">
        <v>0</v>
      </c>
      <c r="S35" s="5">
        <v>0</v>
      </c>
      <c r="T35" s="5">
        <v>0</v>
      </c>
      <c r="U35" s="5" t="s">
        <v>181</v>
      </c>
    </row>
    <row r="36" spans="2:21" x14ac:dyDescent="0.2">
      <c r="B36" s="72" t="str">
        <f t="shared" si="0"/>
        <v>25</v>
      </c>
      <c r="C36" s="18">
        <v>2</v>
      </c>
      <c r="D36" s="18">
        <v>5</v>
      </c>
      <c r="E36" s="72">
        <f t="array" ref="E36">MIN(IF(($C36=xlRTTYENDU)*($D36=xlRTTYEQCL),xlRTEQTYPE))</f>
        <v>17</v>
      </c>
      <c r="F36" s="18">
        <v>11</v>
      </c>
      <c r="G36" s="18">
        <v>0</v>
      </c>
      <c r="H36" s="18">
        <v>3</v>
      </c>
      <c r="I36" s="18">
        <v>0</v>
      </c>
      <c r="J36" s="112">
        <v>0.6</v>
      </c>
      <c r="K36" s="25" t="s">
        <v>302</v>
      </c>
      <c r="L36" s="18">
        <v>0.5</v>
      </c>
      <c r="M36" s="114">
        <v>12</v>
      </c>
      <c r="N36" s="114">
        <v>18</v>
      </c>
      <c r="O36" s="112">
        <v>7.21</v>
      </c>
      <c r="P36" s="112">
        <v>15.8</v>
      </c>
      <c r="Q36" s="18">
        <v>0</v>
      </c>
      <c r="R36" s="18">
        <v>0</v>
      </c>
      <c r="S36" s="18">
        <v>0</v>
      </c>
      <c r="T36" s="18">
        <v>0</v>
      </c>
      <c r="U36" s="18" t="s">
        <v>182</v>
      </c>
    </row>
    <row r="37" spans="2:21" x14ac:dyDescent="0.2">
      <c r="B37" s="73" t="str">
        <f t="shared" si="0"/>
        <v>31</v>
      </c>
      <c r="C37" s="19">
        <v>3</v>
      </c>
      <c r="D37" s="19">
        <v>1</v>
      </c>
      <c r="E37" s="73">
        <f t="array" ref="E37">MIN(IF(($C37=xlRTTYENDU)*($D37=xlRTTYEQCL),xlRTEQTYPE))</f>
        <v>1</v>
      </c>
      <c r="F37" s="19">
        <v>0</v>
      </c>
      <c r="G37" s="19">
        <v>0</v>
      </c>
      <c r="H37" s="19">
        <v>4</v>
      </c>
      <c r="I37" s="19">
        <v>0</v>
      </c>
      <c r="J37" s="113">
        <v>0.25</v>
      </c>
      <c r="K37" s="26" t="s">
        <v>318</v>
      </c>
      <c r="L37" s="19">
        <v>0.7</v>
      </c>
      <c r="M37" s="115">
        <v>6</v>
      </c>
      <c r="N37" s="115">
        <v>17</v>
      </c>
      <c r="O37" s="113">
        <v>3</v>
      </c>
      <c r="P37" s="113">
        <v>13</v>
      </c>
      <c r="Q37" s="19">
        <v>0</v>
      </c>
      <c r="R37" s="19">
        <v>0</v>
      </c>
      <c r="S37" s="19">
        <v>-1.72E-3</v>
      </c>
      <c r="T37" s="19">
        <v>0</v>
      </c>
      <c r="U37" s="19" t="s">
        <v>185</v>
      </c>
    </row>
    <row r="38" spans="2:21" x14ac:dyDescent="0.2">
      <c r="B38" s="73" t="str">
        <f t="shared" si="0"/>
        <v>41</v>
      </c>
      <c r="C38" s="19">
        <v>4</v>
      </c>
      <c r="D38" s="19">
        <v>1</v>
      </c>
      <c r="E38" s="73">
        <f t="array" ref="E38">MIN(IF(($C38=xlRTTYENDU)*($D38=xlRTTYEQCL),xlRTEQTYPE))</f>
        <v>1</v>
      </c>
      <c r="F38" s="19">
        <v>0</v>
      </c>
      <c r="G38" s="19">
        <v>0</v>
      </c>
      <c r="H38" s="19">
        <v>4</v>
      </c>
      <c r="I38" s="19">
        <v>0</v>
      </c>
      <c r="J38" s="113">
        <v>0.6195965417867435</v>
      </c>
      <c r="K38" s="26" t="s">
        <v>319</v>
      </c>
      <c r="L38" s="19">
        <v>0.7</v>
      </c>
      <c r="M38" s="115">
        <v>10</v>
      </c>
      <c r="N38" s="115">
        <v>19</v>
      </c>
      <c r="O38" s="113">
        <v>4.6500000000000004</v>
      </c>
      <c r="P38" s="113">
        <v>15.7</v>
      </c>
      <c r="Q38" s="19">
        <v>0</v>
      </c>
      <c r="R38" s="19">
        <v>0</v>
      </c>
      <c r="S38" s="19">
        <v>-1.72E-3</v>
      </c>
      <c r="T38" s="19">
        <v>0</v>
      </c>
      <c r="U38" s="19" t="s">
        <v>186</v>
      </c>
    </row>
    <row r="39" spans="2:21" x14ac:dyDescent="0.2">
      <c r="B39" s="7" t="str">
        <f t="shared" si="0"/>
        <v>51</v>
      </c>
      <c r="C39" s="5">
        <v>5</v>
      </c>
      <c r="D39" s="5">
        <v>1</v>
      </c>
      <c r="E39" s="7">
        <f t="array" ref="E39">MIN(IF(($C39=xlRTTYENDU)*($D39=xlRTTYEQCL),xlRTEQTYPE))</f>
        <v>1</v>
      </c>
      <c r="F39" s="5">
        <v>1</v>
      </c>
      <c r="G39" s="5">
        <v>3</v>
      </c>
      <c r="H39" s="5">
        <v>3</v>
      </c>
      <c r="I39" s="5">
        <v>0</v>
      </c>
      <c r="J39" s="101">
        <v>0.57636887608069165</v>
      </c>
      <c r="K39" s="27" t="s">
        <v>315</v>
      </c>
      <c r="L39" s="5">
        <v>0.7</v>
      </c>
      <c r="M39" s="108">
        <v>6</v>
      </c>
      <c r="N39" s="108">
        <v>20</v>
      </c>
      <c r="O39" s="101">
        <v>2.68</v>
      </c>
      <c r="P39" s="101">
        <v>14.9</v>
      </c>
      <c r="Q39" s="5">
        <v>0</v>
      </c>
      <c r="R39" s="5">
        <v>0.1</v>
      </c>
      <c r="S39" s="5">
        <v>-1.72E-3</v>
      </c>
      <c r="T39" s="5">
        <v>-0.05</v>
      </c>
      <c r="U39" s="5" t="s">
        <v>187</v>
      </c>
    </row>
    <row r="40" spans="2:21" x14ac:dyDescent="0.2">
      <c r="B40" s="7" t="str">
        <f t="shared" si="0"/>
        <v>52</v>
      </c>
      <c r="C40" s="5">
        <v>5</v>
      </c>
      <c r="D40" s="5">
        <v>2</v>
      </c>
      <c r="E40" s="7">
        <f t="array" ref="E40">MIN(IF(($C40=xlRTTYENDU)*($D40=xlRTTYEQCL),xlRTEQTYPE))</f>
        <v>5</v>
      </c>
      <c r="F40" s="5">
        <v>3</v>
      </c>
      <c r="G40" s="5">
        <v>0</v>
      </c>
      <c r="H40" s="5">
        <v>4</v>
      </c>
      <c r="I40" s="5">
        <v>0</v>
      </c>
      <c r="J40" s="101">
        <v>0.88148873653281112</v>
      </c>
      <c r="K40" s="27" t="s">
        <v>315</v>
      </c>
      <c r="L40" s="5">
        <v>0.7</v>
      </c>
      <c r="M40" s="108">
        <v>6</v>
      </c>
      <c r="N40" s="108">
        <v>20</v>
      </c>
      <c r="O40" s="101">
        <v>2.68</v>
      </c>
      <c r="P40" s="101">
        <v>14.9</v>
      </c>
      <c r="Q40" s="5">
        <v>0</v>
      </c>
      <c r="R40" s="5">
        <v>0.4</v>
      </c>
      <c r="S40" s="5">
        <v>-1.72E-3</v>
      </c>
      <c r="T40" s="5">
        <v>-0.05</v>
      </c>
      <c r="U40" s="5" t="s">
        <v>188</v>
      </c>
    </row>
    <row r="41" spans="2:21" x14ac:dyDescent="0.2">
      <c r="B41" s="7" t="str">
        <f t="shared" si="0"/>
        <v>53</v>
      </c>
      <c r="C41" s="5">
        <v>5</v>
      </c>
      <c r="D41" s="5">
        <v>3</v>
      </c>
      <c r="E41" s="7">
        <f t="array" ref="E41">MIN(IF(($C41=xlRTTYENDU)*($D41=xlRTTYEQCL),xlRTEQTYPE))</f>
        <v>11</v>
      </c>
      <c r="F41" s="5">
        <v>3</v>
      </c>
      <c r="G41" s="5">
        <v>0</v>
      </c>
      <c r="H41" s="5">
        <v>1</v>
      </c>
      <c r="I41" s="5">
        <v>0</v>
      </c>
      <c r="J41" s="101">
        <v>0.50916496945010181</v>
      </c>
      <c r="K41" s="27" t="s">
        <v>315</v>
      </c>
      <c r="L41" s="5">
        <v>0.7</v>
      </c>
      <c r="M41" s="108">
        <v>6</v>
      </c>
      <c r="N41" s="108">
        <v>20</v>
      </c>
      <c r="O41" s="101">
        <v>2.68</v>
      </c>
      <c r="P41" s="101">
        <v>14.9</v>
      </c>
      <c r="Q41" s="5">
        <v>0</v>
      </c>
      <c r="R41" s="5">
        <v>0.5</v>
      </c>
      <c r="S41" s="5">
        <v>-1.72E-3</v>
      </c>
      <c r="T41" s="5">
        <v>-0.17</v>
      </c>
      <c r="U41" s="5" t="s">
        <v>189</v>
      </c>
    </row>
    <row r="42" spans="2:21" x14ac:dyDescent="0.2">
      <c r="B42" s="7" t="str">
        <f t="shared" si="0"/>
        <v>54</v>
      </c>
      <c r="C42" s="5">
        <v>5</v>
      </c>
      <c r="D42" s="5">
        <v>4</v>
      </c>
      <c r="E42" s="7">
        <f t="array" ref="E42">MIN(IF(($C42=xlRTTYENDU)*($D42=xlRTTYEQCL),xlRTEQTYPE))</f>
        <v>14</v>
      </c>
      <c r="F42" s="5">
        <v>2</v>
      </c>
      <c r="G42" s="5">
        <v>0</v>
      </c>
      <c r="H42" s="5">
        <v>2</v>
      </c>
      <c r="I42" s="5">
        <v>0</v>
      </c>
      <c r="J42" s="101">
        <v>0.57636887608069165</v>
      </c>
      <c r="K42" s="27" t="s">
        <v>315</v>
      </c>
      <c r="L42" s="5">
        <v>0.7</v>
      </c>
      <c r="M42" s="108">
        <v>6</v>
      </c>
      <c r="N42" s="108">
        <v>20</v>
      </c>
      <c r="O42" s="101">
        <v>2.68</v>
      </c>
      <c r="P42" s="101">
        <v>14.9</v>
      </c>
      <c r="Q42" s="5">
        <v>0</v>
      </c>
      <c r="R42" s="5">
        <v>0.5</v>
      </c>
      <c r="S42" s="5">
        <v>-1.72E-3</v>
      </c>
      <c r="T42" s="5">
        <v>-0.27</v>
      </c>
      <c r="U42" s="5" t="s">
        <v>190</v>
      </c>
    </row>
    <row r="43" spans="2:21" x14ac:dyDescent="0.2">
      <c r="B43" s="72" t="str">
        <f t="shared" si="0"/>
        <v>55</v>
      </c>
      <c r="C43" s="18">
        <v>5</v>
      </c>
      <c r="D43" s="18">
        <v>5</v>
      </c>
      <c r="E43" s="72">
        <f t="array" ref="E43">MIN(IF(($C43=xlRTTYENDU)*($D43=xlRTTYEQCL),xlRTEQTYPE))</f>
        <v>18</v>
      </c>
      <c r="F43" s="18">
        <v>3</v>
      </c>
      <c r="G43" s="18">
        <v>0</v>
      </c>
      <c r="H43" s="18">
        <v>4</v>
      </c>
      <c r="I43" s="18">
        <v>0</v>
      </c>
      <c r="J43" s="112">
        <v>1</v>
      </c>
      <c r="K43" s="25" t="s">
        <v>316</v>
      </c>
      <c r="L43" s="18">
        <v>0.7</v>
      </c>
      <c r="M43" s="114">
        <v>15</v>
      </c>
      <c r="N43" s="114">
        <v>30</v>
      </c>
      <c r="O43" s="112">
        <v>4.33</v>
      </c>
      <c r="P43" s="112">
        <v>24.5</v>
      </c>
      <c r="Q43" s="18">
        <v>0</v>
      </c>
      <c r="R43" s="18">
        <v>0</v>
      </c>
      <c r="S43" s="18">
        <v>-1.72E-3</v>
      </c>
      <c r="T43" s="18">
        <v>4.7</v>
      </c>
      <c r="U43" s="18" t="s">
        <v>191</v>
      </c>
    </row>
    <row r="44" spans="2:21" x14ac:dyDescent="0.2">
      <c r="B44" s="7" t="str">
        <f t="shared" si="0"/>
        <v>61</v>
      </c>
      <c r="C44" s="5">
        <v>6</v>
      </c>
      <c r="D44" s="5">
        <v>1</v>
      </c>
      <c r="E44" s="7">
        <f t="array" ref="E44">MIN(IF(($C44=xlRTTYENDU)*($D44=xlRTTYEQCL),xlRTEQTYPE))</f>
        <v>1</v>
      </c>
      <c r="F44" s="5">
        <v>0</v>
      </c>
      <c r="G44" s="5">
        <v>0</v>
      </c>
      <c r="H44" s="5">
        <v>3</v>
      </c>
      <c r="I44" s="5">
        <v>0</v>
      </c>
      <c r="J44" s="101">
        <v>0.4</v>
      </c>
      <c r="K44" s="27" t="s">
        <v>328</v>
      </c>
      <c r="L44" s="5">
        <v>0.7</v>
      </c>
      <c r="M44" s="108">
        <v>9</v>
      </c>
      <c r="N44" s="108">
        <v>15</v>
      </c>
      <c r="O44" s="101">
        <v>5.77</v>
      </c>
      <c r="P44" s="101">
        <v>12.8</v>
      </c>
      <c r="Q44" s="5">
        <v>0</v>
      </c>
      <c r="R44" s="5">
        <v>0</v>
      </c>
      <c r="S44" s="5">
        <v>-1.72E-3</v>
      </c>
      <c r="T44" s="5">
        <v>0</v>
      </c>
      <c r="U44" s="5" t="s">
        <v>192</v>
      </c>
    </row>
    <row r="45" spans="2:21" x14ac:dyDescent="0.2">
      <c r="B45" s="7" t="str">
        <f t="shared" si="0"/>
        <v>62</v>
      </c>
      <c r="C45" s="5">
        <v>6</v>
      </c>
      <c r="D45" s="5">
        <v>2</v>
      </c>
      <c r="E45" s="7">
        <f t="array" ref="E45">MIN(IF(($C45=xlRTTYENDU)*($D45=xlRTTYEQCL),xlRTEQTYPE))</f>
        <v>3</v>
      </c>
      <c r="F45" s="5">
        <v>0</v>
      </c>
      <c r="G45" s="5">
        <v>0</v>
      </c>
      <c r="H45" s="5">
        <v>2</v>
      </c>
      <c r="I45" s="5">
        <v>0</v>
      </c>
      <c r="J45" s="101">
        <v>0.4</v>
      </c>
      <c r="K45" s="27" t="s">
        <v>328</v>
      </c>
      <c r="L45" s="5">
        <v>0.7</v>
      </c>
      <c r="M45" s="108">
        <v>9</v>
      </c>
      <c r="N45" s="108">
        <v>15</v>
      </c>
      <c r="O45" s="101">
        <v>5.77</v>
      </c>
      <c r="P45" s="101">
        <v>12.8</v>
      </c>
      <c r="Q45" s="5">
        <v>0</v>
      </c>
      <c r="R45" s="5">
        <v>0.2</v>
      </c>
      <c r="S45" s="5">
        <v>-1.72E-3</v>
      </c>
      <c r="T45" s="5">
        <v>-7.0000000000000007E-2</v>
      </c>
      <c r="U45" s="5" t="s">
        <v>193</v>
      </c>
    </row>
    <row r="46" spans="2:21" x14ac:dyDescent="0.2">
      <c r="B46" s="72" t="str">
        <f t="shared" si="0"/>
        <v>63</v>
      </c>
      <c r="C46" s="18">
        <v>6</v>
      </c>
      <c r="D46" s="18">
        <v>3</v>
      </c>
      <c r="E46" s="72">
        <f t="array" ref="E46">MIN(IF(($C46=xlRTTYENDU)*($D46=xlRTTYEQCL),xlRTEQTYPE))</f>
        <v>5</v>
      </c>
      <c r="F46" s="18">
        <v>0</v>
      </c>
      <c r="G46" s="18">
        <v>0</v>
      </c>
      <c r="H46" s="18">
        <v>4</v>
      </c>
      <c r="I46" s="18">
        <v>0</v>
      </c>
      <c r="J46" s="114">
        <v>228.09136078098737</v>
      </c>
      <c r="K46" s="28" t="s">
        <v>314</v>
      </c>
      <c r="L46" s="18">
        <v>0.7</v>
      </c>
      <c r="M46" s="114">
        <v>10</v>
      </c>
      <c r="N46" s="114">
        <v>20</v>
      </c>
      <c r="O46" s="112">
        <v>4.32</v>
      </c>
      <c r="P46" s="112">
        <v>16.3</v>
      </c>
      <c r="Q46" s="18">
        <v>0</v>
      </c>
      <c r="R46" s="18">
        <v>0.2</v>
      </c>
      <c r="S46" s="18">
        <v>-1.72E-3</v>
      </c>
      <c r="T46" s="18">
        <v>-0.01</v>
      </c>
      <c r="U46" s="18" t="s">
        <v>194</v>
      </c>
    </row>
    <row r="47" spans="2:21" x14ac:dyDescent="0.2">
      <c r="B47" s="7" t="str">
        <f t="shared" si="0"/>
        <v>71</v>
      </c>
      <c r="C47" s="5">
        <v>7</v>
      </c>
      <c r="D47" s="5">
        <v>1</v>
      </c>
      <c r="E47" s="7">
        <f t="array" ref="E47">MIN(IF(($C47=xlRTTYENDU)*($D47=xlRTTYEQCL),xlRTEQTYPE))</f>
        <v>1</v>
      </c>
      <c r="F47" s="5">
        <v>0</v>
      </c>
      <c r="G47" s="5">
        <v>0</v>
      </c>
      <c r="H47" s="5">
        <v>3</v>
      </c>
      <c r="I47" s="5">
        <v>0</v>
      </c>
      <c r="J47" s="101">
        <v>3.18</v>
      </c>
      <c r="K47" s="27" t="s">
        <v>327</v>
      </c>
      <c r="L47" s="5">
        <v>0.7</v>
      </c>
      <c r="M47" s="108">
        <v>8</v>
      </c>
      <c r="N47" s="108">
        <v>18</v>
      </c>
      <c r="O47" s="101">
        <v>3.75</v>
      </c>
      <c r="P47" s="101">
        <v>14.3</v>
      </c>
      <c r="Q47" s="5">
        <v>0</v>
      </c>
      <c r="R47" s="5">
        <v>0</v>
      </c>
      <c r="S47" s="5">
        <v>-1.72E-3</v>
      </c>
      <c r="T47" s="5">
        <v>0</v>
      </c>
      <c r="U47" s="5" t="s">
        <v>195</v>
      </c>
    </row>
    <row r="48" spans="2:21" x14ac:dyDescent="0.2">
      <c r="B48" s="72" t="str">
        <f t="shared" si="0"/>
        <v>72</v>
      </c>
      <c r="C48" s="18">
        <v>7</v>
      </c>
      <c r="D48" s="18">
        <v>2</v>
      </c>
      <c r="E48" s="72">
        <f t="array" ref="E48">MIN(IF(($C48=xlRTTYENDU)*($D48=xlRTTYEQCL),xlRTEQTYPE))</f>
        <v>5</v>
      </c>
      <c r="F48" s="18">
        <v>0</v>
      </c>
      <c r="G48" s="18">
        <v>0</v>
      </c>
      <c r="H48" s="18">
        <v>4</v>
      </c>
      <c r="I48" s="18">
        <v>0</v>
      </c>
      <c r="J48" s="112">
        <v>3.59</v>
      </c>
      <c r="K48" s="25" t="s">
        <v>327</v>
      </c>
      <c r="L48" s="18">
        <v>0.7</v>
      </c>
      <c r="M48" s="114">
        <v>8</v>
      </c>
      <c r="N48" s="114">
        <v>18</v>
      </c>
      <c r="O48" s="112">
        <v>3.75</v>
      </c>
      <c r="P48" s="112">
        <v>14.3</v>
      </c>
      <c r="Q48" s="18">
        <v>0</v>
      </c>
      <c r="R48" s="18">
        <v>0.2</v>
      </c>
      <c r="S48" s="18">
        <v>-1.72E-3</v>
      </c>
      <c r="T48" s="18">
        <v>-0.02</v>
      </c>
      <c r="U48" s="18" t="s">
        <v>196</v>
      </c>
    </row>
    <row r="49" spans="2:21" x14ac:dyDescent="0.2">
      <c r="B49" s="73" t="str">
        <f t="shared" si="0"/>
        <v>81</v>
      </c>
      <c r="C49" s="19">
        <v>8</v>
      </c>
      <c r="D49" s="19">
        <v>1</v>
      </c>
      <c r="E49" s="73">
        <f t="array" ref="E49">MIN(IF(($C49=xlRTTYENDU)*($D49=xlRTTYEQCL),xlRTEQTYPE))</f>
        <v>1</v>
      </c>
      <c r="F49" s="19">
        <v>0</v>
      </c>
      <c r="G49" s="19">
        <v>0</v>
      </c>
      <c r="H49" s="19">
        <v>4</v>
      </c>
      <c r="I49" s="19">
        <v>0</v>
      </c>
      <c r="J49" s="115">
        <v>667.94906493994199</v>
      </c>
      <c r="K49" s="29" t="s">
        <v>314</v>
      </c>
      <c r="L49" s="19">
        <v>0.7</v>
      </c>
      <c r="M49" s="115">
        <v>11.625999787885601</v>
      </c>
      <c r="N49" s="115">
        <v>21.895260974855482</v>
      </c>
      <c r="O49" s="113">
        <v>4.91</v>
      </c>
      <c r="P49" s="113">
        <v>18.3</v>
      </c>
      <c r="Q49" s="19">
        <v>0</v>
      </c>
      <c r="R49" s="19">
        <v>0</v>
      </c>
      <c r="S49" s="19">
        <v>-1.72E-3</v>
      </c>
      <c r="T49" s="19">
        <v>0</v>
      </c>
      <c r="U49" s="19" t="s">
        <v>197</v>
      </c>
    </row>
    <row r="50" spans="2:21" x14ac:dyDescent="0.2">
      <c r="B50" s="7" t="str">
        <f t="shared" si="0"/>
        <v>91</v>
      </c>
      <c r="C50" s="5">
        <v>9</v>
      </c>
      <c r="D50" s="5">
        <v>1</v>
      </c>
      <c r="E50" s="7">
        <f t="array" ref="E50">MIN(IF(($C50=xlRTTYENDU)*($D50=xlRTTYEQCL),xlRTEQTYPE))</f>
        <v>1</v>
      </c>
      <c r="F50" s="5">
        <v>0</v>
      </c>
      <c r="G50" s="5">
        <v>0</v>
      </c>
      <c r="H50" s="5">
        <v>4</v>
      </c>
      <c r="I50" s="5">
        <v>0</v>
      </c>
      <c r="J50" s="108">
        <v>482.50109481688293</v>
      </c>
      <c r="K50" s="30" t="s">
        <v>314</v>
      </c>
      <c r="L50" s="5">
        <v>0.7</v>
      </c>
      <c r="M50" s="108">
        <v>16.597352040347896</v>
      </c>
      <c r="N50" s="108">
        <v>27.331519839424132</v>
      </c>
      <c r="O50" s="101">
        <v>6.35</v>
      </c>
      <c r="P50" s="101">
        <v>23.3</v>
      </c>
      <c r="Q50" s="5">
        <v>0</v>
      </c>
      <c r="R50" s="5">
        <v>0</v>
      </c>
      <c r="S50" s="5">
        <v>-1.72E-3</v>
      </c>
      <c r="T50" s="5">
        <v>0</v>
      </c>
      <c r="U50" s="5" t="s">
        <v>198</v>
      </c>
    </row>
    <row r="51" spans="2:21" ht="15" x14ac:dyDescent="0.25">
      <c r="B51" s="11" t="s">
        <v>486</v>
      </c>
      <c r="C51" s="71"/>
      <c r="D51" s="10"/>
      <c r="E51" s="10"/>
      <c r="F51" s="10"/>
      <c r="G51" s="10"/>
      <c r="H51" s="10"/>
      <c r="I51" s="10"/>
      <c r="J51" s="10"/>
      <c r="K51" s="10"/>
      <c r="L51" s="10"/>
      <c r="M51" s="10"/>
      <c r="N51" s="10"/>
      <c r="O51" s="10"/>
      <c r="P51" s="10"/>
      <c r="Q51" s="10"/>
      <c r="R51" s="10"/>
      <c r="S51" s="10"/>
      <c r="T51" s="10"/>
      <c r="U51" s="10"/>
    </row>
    <row r="54" spans="2:21" ht="15" x14ac:dyDescent="0.25">
      <c r="B54" s="124">
        <v>1</v>
      </c>
      <c r="C54" s="124">
        <v>2</v>
      </c>
      <c r="D54" s="124">
        <v>3</v>
      </c>
      <c r="E54" s="124">
        <v>4</v>
      </c>
      <c r="F54" s="124">
        <v>5</v>
      </c>
      <c r="G54" s="124">
        <v>6</v>
      </c>
      <c r="H54" s="124">
        <v>7</v>
      </c>
      <c r="I54" s="124">
        <v>8</v>
      </c>
      <c r="J54" s="124">
        <v>9</v>
      </c>
    </row>
    <row r="55" spans="2:21" ht="15" x14ac:dyDescent="0.25">
      <c r="B55" s="15" t="s">
        <v>437</v>
      </c>
      <c r="C55" s="15" t="s">
        <v>438</v>
      </c>
      <c r="D55" s="15" t="s">
        <v>440</v>
      </c>
      <c r="E55" s="15" t="s">
        <v>439</v>
      </c>
      <c r="F55" s="15" t="s">
        <v>443</v>
      </c>
      <c r="G55" s="15" t="s">
        <v>444</v>
      </c>
      <c r="H55" s="15" t="s">
        <v>445</v>
      </c>
      <c r="I55" s="15" t="s">
        <v>446</v>
      </c>
      <c r="J55" s="15" t="s">
        <v>447</v>
      </c>
    </row>
    <row r="56" spans="2:21" ht="15" x14ac:dyDescent="0.25">
      <c r="B56" s="121" t="s">
        <v>448</v>
      </c>
      <c r="C56" s="121" t="s">
        <v>449</v>
      </c>
      <c r="D56" s="121" t="s">
        <v>450</v>
      </c>
      <c r="E56" s="121" t="s">
        <v>451</v>
      </c>
      <c r="F56" s="121" t="s">
        <v>452</v>
      </c>
      <c r="G56" s="121" t="s">
        <v>453</v>
      </c>
      <c r="H56" s="121" t="s">
        <v>454</v>
      </c>
      <c r="I56" s="121" t="s">
        <v>455</v>
      </c>
      <c r="J56" s="121" t="s">
        <v>456</v>
      </c>
    </row>
    <row r="57" spans="2:21" x14ac:dyDescent="0.2">
      <c r="B57" s="122">
        <v>11</v>
      </c>
      <c r="C57" s="123">
        <v>5</v>
      </c>
      <c r="D57" s="123">
        <v>1</v>
      </c>
      <c r="E57" s="123">
        <v>1</v>
      </c>
      <c r="F57" s="123">
        <v>5</v>
      </c>
      <c r="G57" s="123">
        <v>3</v>
      </c>
      <c r="H57" s="123">
        <v>2</v>
      </c>
      <c r="I57" s="123">
        <v>1</v>
      </c>
      <c r="J57" s="123">
        <v>1</v>
      </c>
    </row>
    <row r="58" spans="2:21" x14ac:dyDescent="0.2">
      <c r="B58" s="163" t="e">
        <f t="shared" ref="B58:J58" si="1">MAX(IF((xlRTCLENDU=B$54),xlRTCLEQCL,0))</f>
        <v>#VALUE!</v>
      </c>
      <c r="C58" s="163" t="e">
        <f t="shared" si="1"/>
        <v>#VALUE!</v>
      </c>
      <c r="D58" s="163" t="e">
        <f t="shared" si="1"/>
        <v>#VALUE!</v>
      </c>
      <c r="E58" s="163" t="e">
        <f t="shared" si="1"/>
        <v>#VALUE!</v>
      </c>
      <c r="F58" s="163" t="e">
        <f t="shared" si="1"/>
        <v>#VALUE!</v>
      </c>
      <c r="G58" s="163" t="e">
        <f t="shared" si="1"/>
        <v>#VALUE!</v>
      </c>
      <c r="H58" s="163" t="e">
        <f t="shared" si="1"/>
        <v>#VALUE!</v>
      </c>
      <c r="I58" s="163" t="e">
        <f t="shared" si="1"/>
        <v>#VALUE!</v>
      </c>
      <c r="J58" s="163" t="e">
        <f t="shared" si="1"/>
        <v>#VALUE!</v>
      </c>
    </row>
    <row r="59" spans="2:21" x14ac:dyDescent="0.2">
      <c r="B59" s="125" t="s">
        <v>475</v>
      </c>
    </row>
  </sheetData>
  <mergeCells count="1">
    <mergeCell ref="L18:P18"/>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filterMode="1">
    <tabColor theme="9" tint="0.79998168889431442"/>
  </sheetPr>
  <dimension ref="A1:AE1115"/>
  <sheetViews>
    <sheetView zoomScale="70" zoomScaleNormal="70" workbookViewId="0">
      <pane xSplit="1" ySplit="32" topLeftCell="H531" activePane="bottomRight" state="frozen"/>
      <selection pane="topRight" activeCell="B1" sqref="B1"/>
      <selection pane="bottomLeft" activeCell="A33" sqref="A33"/>
      <selection pane="bottomRight" activeCell="R682" sqref="R682"/>
    </sheetView>
  </sheetViews>
  <sheetFormatPr defaultRowHeight="14.25" x14ac:dyDescent="0.2"/>
  <cols>
    <col min="1" max="1" width="9" style="158"/>
    <col min="2" max="2" width="26.125" customWidth="1"/>
    <col min="3" max="3" width="17.875" customWidth="1"/>
    <col min="4" max="4" width="15.5" customWidth="1"/>
    <col min="5" max="5" width="12.5" bestFit="1" customWidth="1"/>
    <col min="6" max="6" width="14" bestFit="1" customWidth="1"/>
    <col min="7" max="7" width="13.375" bestFit="1" customWidth="1"/>
    <col min="8" max="8" width="15.125" bestFit="1" customWidth="1"/>
    <col min="9" max="9" width="14" bestFit="1" customWidth="1"/>
    <col min="10" max="10" width="13.75" customWidth="1"/>
    <col min="11" max="11" width="15" customWidth="1"/>
    <col min="12" max="12" width="12.5" customWidth="1"/>
    <col min="13" max="13" width="14.75" bestFit="1" customWidth="1"/>
    <col min="14" max="14" width="14.875" customWidth="1"/>
    <col min="15" max="15" width="14.75" bestFit="1" customWidth="1"/>
    <col min="16" max="16" width="14.875" customWidth="1"/>
    <col min="17" max="17" width="14.75" bestFit="1" customWidth="1"/>
    <col min="18" max="18" width="15.625" bestFit="1" customWidth="1"/>
    <col min="19" max="19" width="16.375" customWidth="1"/>
    <col min="20" max="20" width="17.125" bestFit="1" customWidth="1"/>
    <col min="21" max="21" width="14.375" bestFit="1" customWidth="1"/>
    <col min="22" max="22" width="14" bestFit="1" customWidth="1"/>
    <col min="23" max="24" width="14.375" bestFit="1" customWidth="1"/>
    <col min="25" max="25" width="13.5" bestFit="1" customWidth="1"/>
    <col min="26" max="27" width="13.875" bestFit="1" customWidth="1"/>
    <col min="28" max="28" width="13.375" bestFit="1" customWidth="1"/>
    <col min="29" max="29" width="16.5" bestFit="1" customWidth="1"/>
    <col min="30" max="30" width="9" style="158"/>
    <col min="31" max="16384" width="9" style="152"/>
  </cols>
  <sheetData>
    <row r="1" spans="1:30" customFormat="1" x14ac:dyDescent="0.2">
      <c r="A1" s="158"/>
      <c r="AD1" s="158"/>
    </row>
    <row r="2" spans="1:30" customFormat="1" ht="15" x14ac:dyDescent="0.25">
      <c r="A2" s="158"/>
      <c r="B2" s="6" t="s">
        <v>75</v>
      </c>
      <c r="C2" t="s">
        <v>21</v>
      </c>
      <c r="K2" s="52" t="s">
        <v>249</v>
      </c>
      <c r="AD2" s="158"/>
    </row>
    <row r="3" spans="1:30" customFormat="1" ht="15" x14ac:dyDescent="0.25">
      <c r="A3" s="158"/>
      <c r="B3" s="6" t="s">
        <v>76</v>
      </c>
      <c r="C3" s="147">
        <v>44880</v>
      </c>
      <c r="K3" s="53" t="s">
        <v>470</v>
      </c>
      <c r="AD3" s="158"/>
    </row>
    <row r="4" spans="1:30" customFormat="1" ht="15" x14ac:dyDescent="0.25">
      <c r="A4" s="158"/>
      <c r="B4" s="6" t="s">
        <v>79</v>
      </c>
      <c r="C4" t="s">
        <v>92</v>
      </c>
      <c r="K4" s="54" t="s">
        <v>251</v>
      </c>
      <c r="AD4" s="158"/>
    </row>
    <row r="5" spans="1:30" customFormat="1" ht="15" x14ac:dyDescent="0.25">
      <c r="A5" s="158"/>
      <c r="B5" s="6" t="s">
        <v>81</v>
      </c>
      <c r="C5" t="s">
        <v>472</v>
      </c>
      <c r="K5" s="139"/>
      <c r="AD5" s="158"/>
    </row>
    <row r="6" spans="1:30" customFormat="1" ht="15" x14ac:dyDescent="0.25">
      <c r="A6" s="158"/>
      <c r="B6" s="6" t="s">
        <v>82</v>
      </c>
      <c r="C6" t="s">
        <v>238</v>
      </c>
      <c r="K6" s="139"/>
      <c r="AD6" s="158"/>
    </row>
    <row r="7" spans="1:30" customFormat="1" ht="15" x14ac:dyDescent="0.25">
      <c r="A7" s="158"/>
      <c r="B7" s="6" t="s">
        <v>83</v>
      </c>
      <c r="C7" t="s">
        <v>91</v>
      </c>
      <c r="K7" s="54"/>
      <c r="AD7" s="158"/>
    </row>
    <row r="8" spans="1:30" customFormat="1" x14ac:dyDescent="0.2">
      <c r="A8" s="158"/>
      <c r="C8" t="s">
        <v>232</v>
      </c>
      <c r="AD8" s="158"/>
    </row>
    <row r="9" spans="1:30" customFormat="1" x14ac:dyDescent="0.2">
      <c r="A9" s="158"/>
      <c r="C9" t="s">
        <v>473</v>
      </c>
      <c r="AD9" s="158"/>
    </row>
    <row r="10" spans="1:30" customFormat="1" x14ac:dyDescent="0.2">
      <c r="A10" s="158"/>
      <c r="C10" t="s">
        <v>229</v>
      </c>
      <c r="AD10" s="158"/>
    </row>
    <row r="11" spans="1:30" customFormat="1" x14ac:dyDescent="0.2">
      <c r="A11" s="158"/>
      <c r="C11" s="32" t="s">
        <v>228</v>
      </c>
      <c r="D11" s="32"/>
      <c r="E11" s="32"/>
      <c r="F11" s="32"/>
      <c r="G11" s="32"/>
      <c r="AD11" s="158"/>
    </row>
    <row r="12" spans="1:30" customFormat="1" ht="15" x14ac:dyDescent="0.25">
      <c r="A12" s="158"/>
      <c r="B12" s="6" t="s">
        <v>90</v>
      </c>
      <c r="C12" t="s">
        <v>230</v>
      </c>
      <c r="AD12" s="158"/>
    </row>
    <row r="13" spans="1:30" customFormat="1" ht="15" x14ac:dyDescent="0.25">
      <c r="A13" s="158"/>
      <c r="B13" s="6" t="s">
        <v>88</v>
      </c>
      <c r="C13" t="s">
        <v>231</v>
      </c>
      <c r="AD13" s="158"/>
    </row>
    <row r="14" spans="1:30" customFormat="1" ht="15" x14ac:dyDescent="0.25">
      <c r="A14" s="158"/>
      <c r="B14" s="6" t="s">
        <v>89</v>
      </c>
      <c r="C14" s="32" t="s">
        <v>493</v>
      </c>
      <c r="D14" s="32"/>
      <c r="E14" s="32"/>
      <c r="F14" s="32"/>
      <c r="G14" s="32"/>
      <c r="H14" s="32"/>
      <c r="I14" s="32"/>
      <c r="J14" s="32"/>
      <c r="K14" s="32"/>
      <c r="L14" s="32"/>
      <c r="M14" s="32"/>
      <c r="AD14" s="158"/>
    </row>
    <row r="15" spans="1:30" customFormat="1" x14ac:dyDescent="0.2">
      <c r="A15" s="158"/>
      <c r="AD15" s="158"/>
    </row>
    <row r="16" spans="1:30" customFormat="1" x14ac:dyDescent="0.2">
      <c r="A16" s="158"/>
      <c r="AD16" s="158"/>
    </row>
    <row r="17" spans="1:30" ht="15" x14ac:dyDescent="0.25">
      <c r="B17" s="128">
        <f>COUNTA(xlRTTYENDU)</f>
        <v>1082</v>
      </c>
      <c r="C17" s="150" t="s">
        <v>96</v>
      </c>
      <c r="D17" s="152"/>
      <c r="E17" s="152"/>
      <c r="F17" s="152"/>
      <c r="G17" s="152"/>
      <c r="H17" s="152"/>
      <c r="I17" s="152"/>
      <c r="J17" s="152"/>
      <c r="K17" s="152"/>
      <c r="L17" s="152"/>
      <c r="M17" s="152"/>
      <c r="N17" s="152"/>
      <c r="O17" s="152"/>
      <c r="P17" s="152"/>
      <c r="Q17" s="152"/>
      <c r="R17" s="152"/>
      <c r="S17" s="152"/>
      <c r="T17" s="152"/>
      <c r="U17" s="152"/>
      <c r="V17" s="152"/>
      <c r="W17" s="152"/>
      <c r="X17" s="152"/>
      <c r="Y17" s="152"/>
      <c r="Z17" s="152"/>
      <c r="AA17" s="152"/>
      <c r="AB17" s="152"/>
      <c r="AC17" s="152"/>
    </row>
    <row r="18" spans="1:30" customFormat="1" ht="15" x14ac:dyDescent="0.25">
      <c r="A18" s="158"/>
      <c r="B18" s="30">
        <v>2017</v>
      </c>
      <c r="C18" s="6" t="s">
        <v>56</v>
      </c>
      <c r="AD18" s="158"/>
    </row>
    <row r="19" spans="1:30" customFormat="1" ht="15" x14ac:dyDescent="0.25">
      <c r="A19" s="158"/>
      <c r="B19" s="7">
        <f>EqpRecords+COUNTIF(xlRTCENDIV,11)*8</f>
        <v>2034</v>
      </c>
      <c r="C19" s="6" t="s">
        <v>427</v>
      </c>
      <c r="O19" s="125" t="s">
        <v>476</v>
      </c>
      <c r="AD19" s="158"/>
    </row>
    <row r="20" spans="1:30" customFormat="1" x14ac:dyDescent="0.2">
      <c r="A20" s="158"/>
      <c r="O20" s="177" t="s">
        <v>480</v>
      </c>
      <c r="Q20" s="125" t="s">
        <v>469</v>
      </c>
      <c r="AD20" s="158"/>
    </row>
    <row r="21" spans="1:30" customFormat="1" ht="15" x14ac:dyDescent="0.25">
      <c r="A21" s="158"/>
      <c r="O21" s="234" t="s">
        <v>489</v>
      </c>
      <c r="P21" s="125" t="s">
        <v>490</v>
      </c>
      <c r="Q21" s="125" t="s">
        <v>491</v>
      </c>
      <c r="R21" s="125" t="s">
        <v>492</v>
      </c>
      <c r="S21" s="125"/>
      <c r="T21" s="125"/>
      <c r="U21" s="243" t="s">
        <v>0</v>
      </c>
      <c r="V21" s="243"/>
      <c r="W21" s="243"/>
      <c r="X21" s="243"/>
      <c r="Y21" s="243" t="s">
        <v>1</v>
      </c>
      <c r="Z21" s="243"/>
      <c r="AA21" s="243"/>
      <c r="AB21" s="243"/>
      <c r="AD21" s="158"/>
    </row>
    <row r="22" spans="1:30" customFormat="1" ht="75" x14ac:dyDescent="0.25">
      <c r="A22" s="158"/>
      <c r="B22" s="13" t="s">
        <v>2</v>
      </c>
      <c r="C22" s="13" t="s">
        <v>54</v>
      </c>
      <c r="D22" s="13" t="s">
        <v>53</v>
      </c>
      <c r="E22" s="13" t="s">
        <v>3</v>
      </c>
      <c r="F22" s="13" t="s">
        <v>4</v>
      </c>
      <c r="G22" s="13" t="s">
        <v>52</v>
      </c>
      <c r="H22" s="13" t="s">
        <v>55</v>
      </c>
      <c r="I22" s="13" t="s">
        <v>42</v>
      </c>
      <c r="J22" s="13" t="s">
        <v>487</v>
      </c>
      <c r="K22" s="13" t="s">
        <v>43</v>
      </c>
      <c r="L22" s="13" t="s">
        <v>5</v>
      </c>
      <c r="M22" s="13" t="s">
        <v>45</v>
      </c>
      <c r="N22" s="13" t="s">
        <v>44</v>
      </c>
      <c r="O22" s="13" t="s">
        <v>46</v>
      </c>
      <c r="P22" s="13" t="s">
        <v>47</v>
      </c>
      <c r="Q22" s="13" t="s">
        <v>48</v>
      </c>
      <c r="R22" s="13" t="s">
        <v>49</v>
      </c>
      <c r="S22" s="17" t="s">
        <v>50</v>
      </c>
      <c r="T22" s="17" t="s">
        <v>51</v>
      </c>
      <c r="U22" s="13" t="s">
        <v>6</v>
      </c>
      <c r="V22" s="13" t="s">
        <v>7</v>
      </c>
      <c r="W22" s="13" t="s">
        <v>8</v>
      </c>
      <c r="X22" s="13" t="s">
        <v>9</v>
      </c>
      <c r="Y22" s="13" t="s">
        <v>10</v>
      </c>
      <c r="Z22" s="13" t="s">
        <v>11</v>
      </c>
      <c r="AA22" s="13" t="s">
        <v>12</v>
      </c>
      <c r="AB22" s="13" t="s">
        <v>13</v>
      </c>
      <c r="AC22" s="13" t="s">
        <v>14</v>
      </c>
      <c r="AD22" s="158"/>
    </row>
    <row r="23" spans="1:30" customFormat="1" ht="15" x14ac:dyDescent="0.25">
      <c r="A23" s="158"/>
      <c r="B23" s="23" t="s">
        <v>103</v>
      </c>
      <c r="C23" s="23" t="s">
        <v>151</v>
      </c>
      <c r="D23" s="23"/>
      <c r="E23" s="23"/>
      <c r="F23" s="23"/>
      <c r="G23" s="23"/>
      <c r="H23" s="23"/>
      <c r="I23" s="23"/>
      <c r="J23" s="23"/>
      <c r="K23" s="23"/>
      <c r="L23" s="23"/>
      <c r="M23" s="23"/>
      <c r="N23" s="23"/>
      <c r="O23" s="23"/>
      <c r="P23" s="23"/>
      <c r="Q23" s="23"/>
      <c r="R23" s="23"/>
      <c r="S23" s="169"/>
      <c r="T23" s="169"/>
      <c r="U23" s="23"/>
      <c r="V23" s="23"/>
      <c r="W23" s="23"/>
      <c r="X23" s="23"/>
      <c r="Y23" s="23"/>
      <c r="Z23" s="23"/>
      <c r="AA23" s="23"/>
      <c r="AB23" s="23"/>
      <c r="AC23" s="23"/>
      <c r="AD23" s="156" t="s">
        <v>39</v>
      </c>
    </row>
    <row r="24" spans="1:30" customFormat="1" ht="15" x14ac:dyDescent="0.25">
      <c r="A24" s="154" t="s">
        <v>227</v>
      </c>
      <c r="B24" s="15" t="s">
        <v>104</v>
      </c>
      <c r="C24" s="15" t="s">
        <v>125</v>
      </c>
      <c r="D24" s="15" t="s">
        <v>105</v>
      </c>
      <c r="E24" s="15" t="s">
        <v>126</v>
      </c>
      <c r="F24" s="15" t="s">
        <v>127</v>
      </c>
      <c r="G24" s="15" t="s">
        <v>128</v>
      </c>
      <c r="H24" s="15" t="s">
        <v>129</v>
      </c>
      <c r="I24" s="15" t="s">
        <v>130</v>
      </c>
      <c r="J24" s="15" t="s">
        <v>131</v>
      </c>
      <c r="K24" s="15" t="s">
        <v>132</v>
      </c>
      <c r="L24" s="15" t="s">
        <v>133</v>
      </c>
      <c r="M24" s="15" t="s">
        <v>134</v>
      </c>
      <c r="N24" s="15" t="s">
        <v>135</v>
      </c>
      <c r="O24" s="15" t="s">
        <v>136</v>
      </c>
      <c r="P24" s="15" t="s">
        <v>137</v>
      </c>
      <c r="Q24" s="15" t="s">
        <v>138</v>
      </c>
      <c r="R24" s="15" t="s">
        <v>139</v>
      </c>
      <c r="S24" s="170" t="s">
        <v>140</v>
      </c>
      <c r="T24" s="170" t="s">
        <v>141</v>
      </c>
      <c r="U24" s="15" t="s">
        <v>142</v>
      </c>
      <c r="V24" s="15" t="s">
        <v>143</v>
      </c>
      <c r="W24" s="15" t="s">
        <v>144</v>
      </c>
      <c r="X24" s="15" t="s">
        <v>145</v>
      </c>
      <c r="Y24" s="15" t="s">
        <v>146</v>
      </c>
      <c r="Z24" s="15" t="s">
        <v>147</v>
      </c>
      <c r="AA24" s="15" t="s">
        <v>148</v>
      </c>
      <c r="AB24" s="15" t="s">
        <v>149</v>
      </c>
      <c r="AC24" s="15" t="s">
        <v>150</v>
      </c>
      <c r="AD24" s="156" t="s">
        <v>40</v>
      </c>
    </row>
    <row r="25" spans="1:30" s="158" customFormat="1" hidden="1" x14ac:dyDescent="0.2">
      <c r="A25" s="148">
        <v>1</v>
      </c>
      <c r="B25" s="33">
        <v>1</v>
      </c>
      <c r="C25" s="33">
        <v>1</v>
      </c>
      <c r="D25" s="33">
        <v>1</v>
      </c>
      <c r="E25" s="104">
        <v>2016</v>
      </c>
      <c r="F25" s="33">
        <v>2050</v>
      </c>
      <c r="G25" s="33">
        <v>11</v>
      </c>
      <c r="H25" s="33">
        <v>1</v>
      </c>
      <c r="I25" s="33">
        <v>0</v>
      </c>
      <c r="J25" s="33">
        <v>0</v>
      </c>
      <c r="K25" s="33">
        <v>0</v>
      </c>
      <c r="L25" s="101">
        <v>0.98</v>
      </c>
      <c r="M25" s="108">
        <v>1100</v>
      </c>
      <c r="N25" s="108">
        <v>650</v>
      </c>
      <c r="O25" s="142">
        <v>0</v>
      </c>
      <c r="P25" s="142">
        <v>0</v>
      </c>
      <c r="Q25" s="142">
        <v>0</v>
      </c>
      <c r="R25" s="142">
        <v>0</v>
      </c>
      <c r="S25" s="116">
        <v>0</v>
      </c>
      <c r="T25" s="116">
        <v>0</v>
      </c>
      <c r="U25" s="33" t="s">
        <v>226</v>
      </c>
      <c r="V25" s="33">
        <v>2015</v>
      </c>
      <c r="W25" s="33">
        <v>1</v>
      </c>
      <c r="X25" s="33">
        <v>0</v>
      </c>
      <c r="Y25" s="33">
        <v>-1.8E-3</v>
      </c>
      <c r="Z25" s="33">
        <v>-1.2E-2</v>
      </c>
      <c r="AA25" s="33">
        <v>0</v>
      </c>
      <c r="AB25" s="33">
        <v>0</v>
      </c>
      <c r="AC25" s="33" t="s">
        <v>348</v>
      </c>
    </row>
    <row r="26" spans="1:30" s="158" customFormat="1" hidden="1" x14ac:dyDescent="0.2">
      <c r="A26" s="153">
        <f>A25+1</f>
        <v>2</v>
      </c>
      <c r="B26" s="33">
        <v>1</v>
      </c>
      <c r="C26" s="33">
        <v>2</v>
      </c>
      <c r="D26" s="33">
        <v>2</v>
      </c>
      <c r="E26" s="104">
        <v>2016</v>
      </c>
      <c r="F26" s="33">
        <v>2022</v>
      </c>
      <c r="G26" s="33">
        <v>11</v>
      </c>
      <c r="H26" s="33">
        <v>2</v>
      </c>
      <c r="I26" s="33">
        <v>0</v>
      </c>
      <c r="J26" s="33">
        <v>0</v>
      </c>
      <c r="K26" s="33">
        <v>0</v>
      </c>
      <c r="L26" s="101">
        <v>2.4032825322391558</v>
      </c>
      <c r="M26" s="108">
        <v>2425</v>
      </c>
      <c r="N26" s="108">
        <v>3350</v>
      </c>
      <c r="O26" s="142">
        <v>0</v>
      </c>
      <c r="P26" s="142">
        <v>0</v>
      </c>
      <c r="Q26" s="142">
        <v>0</v>
      </c>
      <c r="R26" s="142">
        <v>0</v>
      </c>
      <c r="S26" s="116">
        <v>0</v>
      </c>
      <c r="T26" s="116">
        <v>0</v>
      </c>
      <c r="U26" s="33" t="s">
        <v>226</v>
      </c>
      <c r="V26" s="33">
        <v>2015</v>
      </c>
      <c r="W26" s="33">
        <v>1</v>
      </c>
      <c r="X26" s="33">
        <v>0</v>
      </c>
      <c r="Y26" s="33">
        <v>-3.0000000000000001E-3</v>
      </c>
      <c r="Z26" s="33">
        <v>-1.2E-2</v>
      </c>
      <c r="AA26" s="33">
        <v>0</v>
      </c>
      <c r="AB26" s="33">
        <v>0</v>
      </c>
      <c r="AC26" s="33" t="s">
        <v>199</v>
      </c>
    </row>
    <row r="27" spans="1:30" s="158" customFormat="1" hidden="1" x14ac:dyDescent="0.2">
      <c r="A27" s="153">
        <f t="shared" ref="A27:A90" si="0">A26+1</f>
        <v>3</v>
      </c>
      <c r="B27" s="33">
        <v>1</v>
      </c>
      <c r="C27" s="33">
        <v>2</v>
      </c>
      <c r="D27" s="33">
        <v>2</v>
      </c>
      <c r="E27" s="104">
        <v>2023</v>
      </c>
      <c r="F27" s="33">
        <v>2050</v>
      </c>
      <c r="G27" s="33">
        <v>11</v>
      </c>
      <c r="H27" s="33">
        <v>2</v>
      </c>
      <c r="I27" s="33">
        <v>0</v>
      </c>
      <c r="J27" s="33">
        <v>0</v>
      </c>
      <c r="K27" s="33">
        <v>0</v>
      </c>
      <c r="L27" s="101">
        <v>2.4032825322391558</v>
      </c>
      <c r="M27" s="108">
        <v>2425</v>
      </c>
      <c r="N27" s="108">
        <v>3350</v>
      </c>
      <c r="O27" s="142">
        <v>0</v>
      </c>
      <c r="P27" s="142">
        <v>0</v>
      </c>
      <c r="Q27" s="142">
        <v>0</v>
      </c>
      <c r="R27" s="149">
        <v>0</v>
      </c>
      <c r="S27" s="116">
        <v>0</v>
      </c>
      <c r="T27" s="116">
        <v>0</v>
      </c>
      <c r="U27" s="33" t="s">
        <v>226</v>
      </c>
      <c r="V27" s="33">
        <v>2015</v>
      </c>
      <c r="W27" s="33">
        <v>1</v>
      </c>
      <c r="X27" s="33">
        <v>0</v>
      </c>
      <c r="Y27" s="145">
        <v>-1</v>
      </c>
      <c r="Z27" s="145">
        <v>-1</v>
      </c>
      <c r="AA27" s="33">
        <v>0</v>
      </c>
      <c r="AB27" s="33">
        <v>0</v>
      </c>
      <c r="AC27" s="33" t="s">
        <v>199</v>
      </c>
    </row>
    <row r="28" spans="1:30" s="158" customFormat="1" hidden="1" x14ac:dyDescent="0.2">
      <c r="A28" s="153">
        <f t="shared" si="0"/>
        <v>4</v>
      </c>
      <c r="B28" s="33">
        <v>1</v>
      </c>
      <c r="C28" s="33">
        <v>2</v>
      </c>
      <c r="D28" s="33">
        <v>3</v>
      </c>
      <c r="E28" s="104">
        <v>2016</v>
      </c>
      <c r="F28" s="33">
        <v>2022</v>
      </c>
      <c r="G28" s="33">
        <v>11</v>
      </c>
      <c r="H28" s="33">
        <v>3</v>
      </c>
      <c r="I28" s="33">
        <v>0</v>
      </c>
      <c r="J28" s="33">
        <v>0</v>
      </c>
      <c r="K28" s="33">
        <v>0</v>
      </c>
      <c r="L28" s="101">
        <v>2.5205158264947243</v>
      </c>
      <c r="M28" s="108">
        <v>2550</v>
      </c>
      <c r="N28" s="108">
        <v>3600</v>
      </c>
      <c r="O28" s="160">
        <v>150</v>
      </c>
      <c r="P28" s="142">
        <v>0</v>
      </c>
      <c r="Q28" s="142">
        <v>0</v>
      </c>
      <c r="R28" s="142">
        <v>0</v>
      </c>
      <c r="S28" s="116">
        <v>0</v>
      </c>
      <c r="T28" s="116">
        <v>0</v>
      </c>
      <c r="U28" s="33" t="s">
        <v>226</v>
      </c>
      <c r="V28" s="33">
        <v>2015</v>
      </c>
      <c r="W28" s="33">
        <v>1</v>
      </c>
      <c r="X28" s="33">
        <v>0</v>
      </c>
      <c r="Y28" s="33">
        <v>-3.0000000000000001E-3</v>
      </c>
      <c r="Z28" s="33">
        <v>-1.2E-2</v>
      </c>
      <c r="AA28" s="33">
        <v>0</v>
      </c>
      <c r="AB28" s="33">
        <v>0</v>
      </c>
      <c r="AC28" s="33" t="s">
        <v>200</v>
      </c>
    </row>
    <row r="29" spans="1:30" s="158" customFormat="1" hidden="1" x14ac:dyDescent="0.2">
      <c r="A29" s="153">
        <f t="shared" si="0"/>
        <v>5</v>
      </c>
      <c r="B29" s="33">
        <v>1</v>
      </c>
      <c r="C29" s="33">
        <v>2</v>
      </c>
      <c r="D29" s="33">
        <v>3</v>
      </c>
      <c r="E29" s="104">
        <v>2023</v>
      </c>
      <c r="F29" s="159">
        <v>2032</v>
      </c>
      <c r="G29" s="33">
        <v>11</v>
      </c>
      <c r="H29" s="33">
        <v>3</v>
      </c>
      <c r="I29" s="33">
        <v>0</v>
      </c>
      <c r="J29" s="33">
        <v>0</v>
      </c>
      <c r="K29" s="33">
        <v>0</v>
      </c>
      <c r="L29" s="101">
        <v>2.5791324736225092</v>
      </c>
      <c r="M29" s="108">
        <v>2575</v>
      </c>
      <c r="N29" s="108">
        <v>5150</v>
      </c>
      <c r="O29" s="160">
        <v>1000</v>
      </c>
      <c r="P29" s="142">
        <v>0</v>
      </c>
      <c r="Q29" s="142">
        <v>0</v>
      </c>
      <c r="R29" s="149">
        <v>0</v>
      </c>
      <c r="S29" s="116">
        <v>0</v>
      </c>
      <c r="T29" s="116">
        <v>0</v>
      </c>
      <c r="U29" s="33" t="s">
        <v>226</v>
      </c>
      <c r="V29" s="33">
        <v>2015</v>
      </c>
      <c r="W29" s="33">
        <v>1</v>
      </c>
      <c r="X29" s="33">
        <v>0</v>
      </c>
      <c r="Y29" s="33">
        <v>-3.0000000000000001E-3</v>
      </c>
      <c r="Z29" s="33">
        <v>-1.2E-2</v>
      </c>
      <c r="AA29" s="33">
        <v>0</v>
      </c>
      <c r="AB29" s="33">
        <v>0</v>
      </c>
      <c r="AC29" s="33" t="s">
        <v>200</v>
      </c>
    </row>
    <row r="30" spans="1:30" s="158" customFormat="1" hidden="1" x14ac:dyDescent="0.2">
      <c r="A30" s="153">
        <f t="shared" si="0"/>
        <v>6</v>
      </c>
      <c r="B30" s="49">
        <v>1</v>
      </c>
      <c r="C30" s="49">
        <v>2</v>
      </c>
      <c r="D30" s="49">
        <v>3</v>
      </c>
      <c r="E30" s="166">
        <v>2033</v>
      </c>
      <c r="F30" s="49">
        <v>2050</v>
      </c>
      <c r="G30" s="49">
        <v>11</v>
      </c>
      <c r="H30" s="49">
        <v>3</v>
      </c>
      <c r="I30" s="49">
        <v>0</v>
      </c>
      <c r="J30" s="49">
        <v>0</v>
      </c>
      <c r="K30" s="49">
        <v>0</v>
      </c>
      <c r="L30" s="167">
        <v>2.5791324736225092</v>
      </c>
      <c r="M30" s="168">
        <v>2575</v>
      </c>
      <c r="N30" s="168">
        <v>5150</v>
      </c>
      <c r="O30" s="51">
        <v>0</v>
      </c>
      <c r="P30" s="51">
        <v>0</v>
      </c>
      <c r="Q30" s="51">
        <v>0</v>
      </c>
      <c r="R30" s="175">
        <v>0</v>
      </c>
      <c r="S30" s="171">
        <v>0</v>
      </c>
      <c r="T30" s="171">
        <v>0</v>
      </c>
      <c r="U30" s="49" t="s">
        <v>226</v>
      </c>
      <c r="V30" s="49">
        <v>2015</v>
      </c>
      <c r="W30" s="49">
        <v>1</v>
      </c>
      <c r="X30" s="49">
        <v>0</v>
      </c>
      <c r="Y30" s="49">
        <v>-3.0000000000000001E-3</v>
      </c>
      <c r="Z30" s="49">
        <v>-1.2E-2</v>
      </c>
      <c r="AA30" s="49">
        <v>0</v>
      </c>
      <c r="AB30" s="49">
        <v>0</v>
      </c>
      <c r="AC30" s="49" t="s">
        <v>200</v>
      </c>
    </row>
    <row r="31" spans="1:30" s="158" customFormat="1" hidden="1" x14ac:dyDescent="0.2">
      <c r="A31" s="153">
        <f t="shared" si="0"/>
        <v>7</v>
      </c>
      <c r="B31" s="33">
        <v>1</v>
      </c>
      <c r="C31" s="33">
        <v>2</v>
      </c>
      <c r="D31" s="33">
        <v>4</v>
      </c>
      <c r="E31" s="104">
        <v>2016</v>
      </c>
      <c r="F31" s="33">
        <v>2021</v>
      </c>
      <c r="G31" s="33">
        <v>1</v>
      </c>
      <c r="H31" s="33">
        <v>4</v>
      </c>
      <c r="I31" s="33">
        <v>0</v>
      </c>
      <c r="J31" s="33">
        <v>0</v>
      </c>
      <c r="K31" s="33">
        <v>0</v>
      </c>
      <c r="L31" s="101">
        <v>2.4912075029308323</v>
      </c>
      <c r="M31" s="108">
        <v>2475</v>
      </c>
      <c r="N31" s="108">
        <v>3500</v>
      </c>
      <c r="O31" s="142">
        <v>150</v>
      </c>
      <c r="P31" s="142">
        <v>0</v>
      </c>
      <c r="Q31" s="160">
        <v>650</v>
      </c>
      <c r="R31" s="160">
        <v>919</v>
      </c>
      <c r="S31" s="116">
        <v>0</v>
      </c>
      <c r="T31" s="116">
        <v>0</v>
      </c>
      <c r="U31" s="33" t="s">
        <v>226</v>
      </c>
      <c r="V31" s="33">
        <v>2015</v>
      </c>
      <c r="W31" s="33">
        <v>1</v>
      </c>
      <c r="X31" s="33">
        <v>0</v>
      </c>
      <c r="Y31" s="33">
        <v>-3.0000000000000001E-3</v>
      </c>
      <c r="Z31" s="33">
        <v>-1.2E-2</v>
      </c>
      <c r="AA31" s="33">
        <v>0</v>
      </c>
      <c r="AB31" s="33">
        <v>0</v>
      </c>
      <c r="AC31" s="33" t="s">
        <v>201</v>
      </c>
    </row>
    <row r="32" spans="1:30" s="158" customFormat="1" hidden="1" x14ac:dyDescent="0.2">
      <c r="A32" s="153">
        <f t="shared" si="0"/>
        <v>8</v>
      </c>
      <c r="B32" s="33">
        <v>1</v>
      </c>
      <c r="C32" s="33">
        <v>2</v>
      </c>
      <c r="D32" s="33">
        <v>4</v>
      </c>
      <c r="E32" s="104">
        <v>2016</v>
      </c>
      <c r="F32" s="33">
        <v>2021</v>
      </c>
      <c r="G32" s="33">
        <v>2</v>
      </c>
      <c r="H32" s="33">
        <v>4</v>
      </c>
      <c r="I32" s="33">
        <v>0</v>
      </c>
      <c r="J32" s="33">
        <v>0</v>
      </c>
      <c r="K32" s="33">
        <v>0</v>
      </c>
      <c r="L32" s="101">
        <v>2.4912075029308323</v>
      </c>
      <c r="M32" s="108">
        <v>2475</v>
      </c>
      <c r="N32" s="108">
        <v>3500</v>
      </c>
      <c r="O32" s="142">
        <v>150</v>
      </c>
      <c r="P32" s="142">
        <v>0</v>
      </c>
      <c r="Q32" s="160">
        <v>210</v>
      </c>
      <c r="R32" s="160">
        <v>297</v>
      </c>
      <c r="S32" s="116">
        <v>0</v>
      </c>
      <c r="T32" s="116">
        <v>0</v>
      </c>
      <c r="U32" s="33" t="s">
        <v>226</v>
      </c>
      <c r="V32" s="33">
        <v>2015</v>
      </c>
      <c r="W32" s="33">
        <v>1</v>
      </c>
      <c r="X32" s="33">
        <v>0</v>
      </c>
      <c r="Y32" s="33">
        <v>-3.0000000000000001E-3</v>
      </c>
      <c r="Z32" s="33">
        <v>-1.2E-2</v>
      </c>
      <c r="AA32" s="33">
        <v>0</v>
      </c>
      <c r="AB32" s="33">
        <v>0</v>
      </c>
      <c r="AC32" s="33" t="s">
        <v>201</v>
      </c>
    </row>
    <row r="33" spans="1:29" s="158" customFormat="1" x14ac:dyDescent="0.2">
      <c r="A33" s="153">
        <f t="shared" si="0"/>
        <v>9</v>
      </c>
      <c r="B33" s="33">
        <v>1</v>
      </c>
      <c r="C33" s="33">
        <v>2</v>
      </c>
      <c r="D33" s="33">
        <v>4</v>
      </c>
      <c r="E33" s="104">
        <v>2016</v>
      </c>
      <c r="F33" s="33">
        <v>2021</v>
      </c>
      <c r="G33" s="33">
        <v>3</v>
      </c>
      <c r="H33" s="33">
        <v>4</v>
      </c>
      <c r="I33" s="33">
        <v>0</v>
      </c>
      <c r="J33" s="33">
        <v>0</v>
      </c>
      <c r="K33" s="33">
        <v>0</v>
      </c>
      <c r="L33" s="101">
        <v>2.4912075029308323</v>
      </c>
      <c r="M33" s="108">
        <v>2475</v>
      </c>
      <c r="N33" s="108">
        <v>3500</v>
      </c>
      <c r="O33" s="142">
        <v>150</v>
      </c>
      <c r="P33" s="142">
        <v>0</v>
      </c>
      <c r="Q33" s="160">
        <v>157</v>
      </c>
      <c r="R33" s="160">
        <v>222</v>
      </c>
      <c r="S33" s="116">
        <v>0</v>
      </c>
      <c r="T33" s="116">
        <v>0</v>
      </c>
      <c r="U33" s="33" t="s">
        <v>226</v>
      </c>
      <c r="V33" s="33">
        <v>2015</v>
      </c>
      <c r="W33" s="33">
        <v>1</v>
      </c>
      <c r="X33" s="33">
        <v>0</v>
      </c>
      <c r="Y33" s="33">
        <v>-3.0000000000000001E-3</v>
      </c>
      <c r="Z33" s="33">
        <v>-1.2E-2</v>
      </c>
      <c r="AA33" s="33">
        <v>0</v>
      </c>
      <c r="AB33" s="33">
        <v>0</v>
      </c>
      <c r="AC33" s="33" t="s">
        <v>201</v>
      </c>
    </row>
    <row r="34" spans="1:29" s="158" customFormat="1" hidden="1" x14ac:dyDescent="0.2">
      <c r="A34" s="153">
        <f t="shared" si="0"/>
        <v>10</v>
      </c>
      <c r="B34" s="33">
        <v>1</v>
      </c>
      <c r="C34" s="33">
        <v>2</v>
      </c>
      <c r="D34" s="33">
        <v>4</v>
      </c>
      <c r="E34" s="104">
        <v>2016</v>
      </c>
      <c r="F34" s="33">
        <v>2021</v>
      </c>
      <c r="G34" s="33">
        <v>4</v>
      </c>
      <c r="H34" s="33">
        <v>4</v>
      </c>
      <c r="I34" s="33">
        <v>0</v>
      </c>
      <c r="J34" s="33">
        <v>0</v>
      </c>
      <c r="K34" s="33">
        <v>0</v>
      </c>
      <c r="L34" s="101">
        <v>2.4912075029308323</v>
      </c>
      <c r="M34" s="108">
        <v>2475</v>
      </c>
      <c r="N34" s="108">
        <v>3500</v>
      </c>
      <c r="O34" s="142">
        <v>150</v>
      </c>
      <c r="P34" s="142">
        <v>0</v>
      </c>
      <c r="Q34" s="160">
        <v>208</v>
      </c>
      <c r="R34" s="160">
        <v>294</v>
      </c>
      <c r="S34" s="116">
        <v>0</v>
      </c>
      <c r="T34" s="116">
        <v>0</v>
      </c>
      <c r="U34" s="33" t="s">
        <v>226</v>
      </c>
      <c r="V34" s="33">
        <v>2015</v>
      </c>
      <c r="W34" s="33">
        <v>1</v>
      </c>
      <c r="X34" s="33">
        <v>0</v>
      </c>
      <c r="Y34" s="33">
        <v>-3.0000000000000001E-3</v>
      </c>
      <c r="Z34" s="33">
        <v>-1.2E-2</v>
      </c>
      <c r="AA34" s="33">
        <v>0</v>
      </c>
      <c r="AB34" s="33">
        <v>0</v>
      </c>
      <c r="AC34" s="33" t="s">
        <v>201</v>
      </c>
    </row>
    <row r="35" spans="1:29" s="158" customFormat="1" hidden="1" x14ac:dyDescent="0.2">
      <c r="A35" s="153">
        <f t="shared" si="0"/>
        <v>11</v>
      </c>
      <c r="B35" s="33">
        <v>1</v>
      </c>
      <c r="C35" s="33">
        <v>2</v>
      </c>
      <c r="D35" s="33">
        <v>4</v>
      </c>
      <c r="E35" s="104">
        <v>2016</v>
      </c>
      <c r="F35" s="33">
        <v>2021</v>
      </c>
      <c r="G35" s="33">
        <v>5</v>
      </c>
      <c r="H35" s="33">
        <v>4</v>
      </c>
      <c r="I35" s="33">
        <v>0</v>
      </c>
      <c r="J35" s="33">
        <v>0</v>
      </c>
      <c r="K35" s="33">
        <v>0</v>
      </c>
      <c r="L35" s="101">
        <v>2.4912075029308323</v>
      </c>
      <c r="M35" s="108">
        <v>2475</v>
      </c>
      <c r="N35" s="108">
        <v>3500</v>
      </c>
      <c r="O35" s="142">
        <v>150</v>
      </c>
      <c r="P35" s="142">
        <v>0</v>
      </c>
      <c r="Q35" s="160">
        <v>119</v>
      </c>
      <c r="R35" s="160">
        <v>168</v>
      </c>
      <c r="S35" s="116">
        <v>0</v>
      </c>
      <c r="T35" s="116">
        <v>0</v>
      </c>
      <c r="U35" s="33" t="s">
        <v>226</v>
      </c>
      <c r="V35" s="33">
        <v>2015</v>
      </c>
      <c r="W35" s="33">
        <v>1</v>
      </c>
      <c r="X35" s="33">
        <v>0</v>
      </c>
      <c r="Y35" s="33">
        <v>-3.0000000000000001E-3</v>
      </c>
      <c r="Z35" s="33">
        <v>-1.2E-2</v>
      </c>
      <c r="AA35" s="33">
        <v>0</v>
      </c>
      <c r="AB35" s="33">
        <v>0</v>
      </c>
      <c r="AC35" s="33" t="s">
        <v>201</v>
      </c>
    </row>
    <row r="36" spans="1:29" s="158" customFormat="1" hidden="1" x14ac:dyDescent="0.2">
      <c r="A36" s="153">
        <f t="shared" si="0"/>
        <v>12</v>
      </c>
      <c r="B36" s="33">
        <v>1</v>
      </c>
      <c r="C36" s="33">
        <v>2</v>
      </c>
      <c r="D36" s="33">
        <v>4</v>
      </c>
      <c r="E36" s="104">
        <v>2016</v>
      </c>
      <c r="F36" s="33">
        <v>2021</v>
      </c>
      <c r="G36" s="33">
        <v>6</v>
      </c>
      <c r="H36" s="33">
        <v>4</v>
      </c>
      <c r="I36" s="33">
        <v>0</v>
      </c>
      <c r="J36" s="33">
        <v>0</v>
      </c>
      <c r="K36" s="33">
        <v>0</v>
      </c>
      <c r="L36" s="101">
        <v>2.4912075029308323</v>
      </c>
      <c r="M36" s="108">
        <v>2475</v>
      </c>
      <c r="N36" s="108">
        <v>3500</v>
      </c>
      <c r="O36" s="142">
        <v>150</v>
      </c>
      <c r="P36" s="142">
        <v>0</v>
      </c>
      <c r="Q36" s="160">
        <v>21</v>
      </c>
      <c r="R36" s="160">
        <v>30</v>
      </c>
      <c r="S36" s="116">
        <v>0</v>
      </c>
      <c r="T36" s="116">
        <v>0</v>
      </c>
      <c r="U36" s="33" t="s">
        <v>226</v>
      </c>
      <c r="V36" s="33">
        <v>2015</v>
      </c>
      <c r="W36" s="33">
        <v>1</v>
      </c>
      <c r="X36" s="33">
        <v>0</v>
      </c>
      <c r="Y36" s="33">
        <v>-3.0000000000000001E-3</v>
      </c>
      <c r="Z36" s="33">
        <v>-1.2E-2</v>
      </c>
      <c r="AA36" s="33">
        <v>0</v>
      </c>
      <c r="AB36" s="33">
        <v>0</v>
      </c>
      <c r="AC36" s="33" t="s">
        <v>201</v>
      </c>
    </row>
    <row r="37" spans="1:29" s="158" customFormat="1" hidden="1" x14ac:dyDescent="0.2">
      <c r="A37" s="153">
        <f t="shared" si="0"/>
        <v>13</v>
      </c>
      <c r="B37" s="33">
        <v>1</v>
      </c>
      <c r="C37" s="33">
        <v>2</v>
      </c>
      <c r="D37" s="33">
        <v>4</v>
      </c>
      <c r="E37" s="104">
        <v>2016</v>
      </c>
      <c r="F37" s="33">
        <v>2021</v>
      </c>
      <c r="G37" s="33">
        <v>7</v>
      </c>
      <c r="H37" s="33">
        <v>4</v>
      </c>
      <c r="I37" s="33">
        <v>0</v>
      </c>
      <c r="J37" s="33">
        <v>0</v>
      </c>
      <c r="K37" s="33">
        <v>0</v>
      </c>
      <c r="L37" s="101">
        <v>2.4912075029308323</v>
      </c>
      <c r="M37" s="108">
        <v>2475</v>
      </c>
      <c r="N37" s="108">
        <v>3500</v>
      </c>
      <c r="O37" s="142">
        <v>150</v>
      </c>
      <c r="P37" s="142">
        <v>0</v>
      </c>
      <c r="Q37" s="160">
        <v>948</v>
      </c>
      <c r="R37" s="160">
        <v>1341</v>
      </c>
      <c r="S37" s="116">
        <v>0</v>
      </c>
      <c r="T37" s="116">
        <v>0</v>
      </c>
      <c r="U37" s="33" t="s">
        <v>226</v>
      </c>
      <c r="V37" s="33">
        <v>2015</v>
      </c>
      <c r="W37" s="33">
        <v>1</v>
      </c>
      <c r="X37" s="33">
        <v>0</v>
      </c>
      <c r="Y37" s="33">
        <v>-3.0000000000000001E-3</v>
      </c>
      <c r="Z37" s="33">
        <v>-1.2E-2</v>
      </c>
      <c r="AA37" s="33">
        <v>0</v>
      </c>
      <c r="AB37" s="33">
        <v>0</v>
      </c>
      <c r="AC37" s="33" t="s">
        <v>201</v>
      </c>
    </row>
    <row r="38" spans="1:29" s="158" customFormat="1" hidden="1" x14ac:dyDescent="0.2">
      <c r="A38" s="153">
        <f t="shared" si="0"/>
        <v>14</v>
      </c>
      <c r="B38" s="33">
        <v>1</v>
      </c>
      <c r="C38" s="33">
        <v>2</v>
      </c>
      <c r="D38" s="33">
        <v>4</v>
      </c>
      <c r="E38" s="104">
        <v>2016</v>
      </c>
      <c r="F38" s="33">
        <v>2021</v>
      </c>
      <c r="G38" s="33">
        <v>8</v>
      </c>
      <c r="H38" s="33">
        <v>4</v>
      </c>
      <c r="I38" s="33">
        <v>0</v>
      </c>
      <c r="J38" s="33">
        <v>0</v>
      </c>
      <c r="K38" s="33">
        <v>0</v>
      </c>
      <c r="L38" s="101">
        <v>2.4912075029308323</v>
      </c>
      <c r="M38" s="108">
        <v>2475</v>
      </c>
      <c r="N38" s="108">
        <v>3500</v>
      </c>
      <c r="O38" s="142">
        <v>150</v>
      </c>
      <c r="P38" s="142">
        <v>0</v>
      </c>
      <c r="Q38" s="160">
        <v>172</v>
      </c>
      <c r="R38" s="160">
        <v>243</v>
      </c>
      <c r="S38" s="116">
        <v>0</v>
      </c>
      <c r="T38" s="116">
        <v>0</v>
      </c>
      <c r="U38" s="33" t="s">
        <v>226</v>
      </c>
      <c r="V38" s="33">
        <v>2015</v>
      </c>
      <c r="W38" s="33">
        <v>1</v>
      </c>
      <c r="X38" s="33">
        <v>0</v>
      </c>
      <c r="Y38" s="33">
        <v>-3.0000000000000001E-3</v>
      </c>
      <c r="Z38" s="33">
        <v>-1.2E-2</v>
      </c>
      <c r="AA38" s="33">
        <v>0</v>
      </c>
      <c r="AB38" s="33">
        <v>0</v>
      </c>
      <c r="AC38" s="33" t="s">
        <v>201</v>
      </c>
    </row>
    <row r="39" spans="1:29" s="158" customFormat="1" hidden="1" x14ac:dyDescent="0.2">
      <c r="A39" s="153">
        <f t="shared" si="0"/>
        <v>15</v>
      </c>
      <c r="B39" s="33">
        <v>1</v>
      </c>
      <c r="C39" s="33">
        <v>2</v>
      </c>
      <c r="D39" s="33">
        <v>4</v>
      </c>
      <c r="E39" s="104">
        <v>2016</v>
      </c>
      <c r="F39" s="33">
        <v>2021</v>
      </c>
      <c r="G39" s="33">
        <v>9</v>
      </c>
      <c r="H39" s="33">
        <v>4</v>
      </c>
      <c r="I39" s="33">
        <v>0</v>
      </c>
      <c r="J39" s="33">
        <v>0</v>
      </c>
      <c r="K39" s="33">
        <v>0</v>
      </c>
      <c r="L39" s="101">
        <v>2.4912075029308323</v>
      </c>
      <c r="M39" s="108">
        <v>2475</v>
      </c>
      <c r="N39" s="108">
        <v>3500</v>
      </c>
      <c r="O39" s="142">
        <v>150</v>
      </c>
      <c r="P39" s="142">
        <v>0</v>
      </c>
      <c r="Q39" s="160">
        <v>333</v>
      </c>
      <c r="R39" s="160">
        <v>471</v>
      </c>
      <c r="S39" s="116">
        <v>0</v>
      </c>
      <c r="T39" s="116">
        <v>0</v>
      </c>
      <c r="U39" s="33" t="s">
        <v>226</v>
      </c>
      <c r="V39" s="33">
        <v>2015</v>
      </c>
      <c r="W39" s="33">
        <v>1</v>
      </c>
      <c r="X39" s="33">
        <v>0</v>
      </c>
      <c r="Y39" s="33">
        <v>-3.0000000000000001E-3</v>
      </c>
      <c r="Z39" s="33">
        <v>-1.2E-2</v>
      </c>
      <c r="AA39" s="33">
        <v>0</v>
      </c>
      <c r="AB39" s="33">
        <v>0</v>
      </c>
      <c r="AC39" s="33" t="s">
        <v>201</v>
      </c>
    </row>
    <row r="40" spans="1:29" s="158" customFormat="1" hidden="1" x14ac:dyDescent="0.2">
      <c r="A40" s="153">
        <f t="shared" si="0"/>
        <v>16</v>
      </c>
      <c r="B40" s="33">
        <v>1</v>
      </c>
      <c r="C40" s="33">
        <v>2</v>
      </c>
      <c r="D40" s="33">
        <v>4</v>
      </c>
      <c r="E40" s="104">
        <v>2022</v>
      </c>
      <c r="F40" s="33">
        <v>2022</v>
      </c>
      <c r="G40" s="33">
        <v>1</v>
      </c>
      <c r="H40" s="33">
        <v>4</v>
      </c>
      <c r="I40" s="33">
        <v>0</v>
      </c>
      <c r="J40" s="33">
        <v>0</v>
      </c>
      <c r="K40" s="33">
        <v>0</v>
      </c>
      <c r="L40" s="101">
        <v>2.4912075029308323</v>
      </c>
      <c r="M40" s="108">
        <v>2475</v>
      </c>
      <c r="N40" s="108">
        <v>3500</v>
      </c>
      <c r="O40" s="160">
        <v>1000</v>
      </c>
      <c r="P40" s="142">
        <v>0</v>
      </c>
      <c r="Q40" s="141">
        <v>650</v>
      </c>
      <c r="R40" s="141">
        <v>919</v>
      </c>
      <c r="S40" s="116">
        <v>0</v>
      </c>
      <c r="T40" s="116">
        <v>0</v>
      </c>
      <c r="U40" s="33" t="s">
        <v>226</v>
      </c>
      <c r="V40" s="33">
        <v>2015</v>
      </c>
      <c r="W40" s="33">
        <v>1</v>
      </c>
      <c r="X40" s="33">
        <v>0</v>
      </c>
      <c r="Y40" s="33">
        <v>-3.0000000000000001E-3</v>
      </c>
      <c r="Z40" s="33">
        <v>-1.2E-2</v>
      </c>
      <c r="AA40" s="33">
        <v>0</v>
      </c>
      <c r="AB40" s="33">
        <v>0</v>
      </c>
      <c r="AC40" s="33" t="s">
        <v>201</v>
      </c>
    </row>
    <row r="41" spans="1:29" s="158" customFormat="1" hidden="1" x14ac:dyDescent="0.2">
      <c r="A41" s="153">
        <f t="shared" si="0"/>
        <v>17</v>
      </c>
      <c r="B41" s="33">
        <v>1</v>
      </c>
      <c r="C41" s="33">
        <v>2</v>
      </c>
      <c r="D41" s="33">
        <v>4</v>
      </c>
      <c r="E41" s="104">
        <v>2022</v>
      </c>
      <c r="F41" s="33">
        <v>2022</v>
      </c>
      <c r="G41" s="33">
        <v>2</v>
      </c>
      <c r="H41" s="33">
        <v>4</v>
      </c>
      <c r="I41" s="33">
        <v>0</v>
      </c>
      <c r="J41" s="33">
        <v>0</v>
      </c>
      <c r="K41" s="33">
        <v>0</v>
      </c>
      <c r="L41" s="101">
        <v>2.4912075029308323</v>
      </c>
      <c r="M41" s="108">
        <v>2475</v>
      </c>
      <c r="N41" s="108">
        <v>3500</v>
      </c>
      <c r="O41" s="160">
        <v>1000</v>
      </c>
      <c r="P41" s="142">
        <v>0</v>
      </c>
      <c r="Q41" s="141">
        <v>210</v>
      </c>
      <c r="R41" s="141">
        <v>297</v>
      </c>
      <c r="S41" s="116">
        <v>0</v>
      </c>
      <c r="T41" s="116">
        <v>0</v>
      </c>
      <c r="U41" s="33" t="s">
        <v>226</v>
      </c>
      <c r="V41" s="33">
        <v>2015</v>
      </c>
      <c r="W41" s="33">
        <v>1</v>
      </c>
      <c r="X41" s="33">
        <v>0</v>
      </c>
      <c r="Y41" s="33">
        <v>-3.0000000000000001E-3</v>
      </c>
      <c r="Z41" s="33">
        <v>-1.2E-2</v>
      </c>
      <c r="AA41" s="33">
        <v>0</v>
      </c>
      <c r="AB41" s="33">
        <v>0</v>
      </c>
      <c r="AC41" s="33" t="s">
        <v>201</v>
      </c>
    </row>
    <row r="42" spans="1:29" s="158" customFormat="1" x14ac:dyDescent="0.2">
      <c r="A42" s="153">
        <f t="shared" si="0"/>
        <v>18</v>
      </c>
      <c r="B42" s="33">
        <v>1</v>
      </c>
      <c r="C42" s="33">
        <v>2</v>
      </c>
      <c r="D42" s="33">
        <v>4</v>
      </c>
      <c r="E42" s="104">
        <v>2022</v>
      </c>
      <c r="F42" s="33">
        <v>2022</v>
      </c>
      <c r="G42" s="33">
        <v>3</v>
      </c>
      <c r="H42" s="33">
        <v>4</v>
      </c>
      <c r="I42" s="33">
        <v>0</v>
      </c>
      <c r="J42" s="33">
        <v>0</v>
      </c>
      <c r="K42" s="33">
        <v>0</v>
      </c>
      <c r="L42" s="101">
        <v>2.4912075029308323</v>
      </c>
      <c r="M42" s="108">
        <v>2475</v>
      </c>
      <c r="N42" s="108">
        <v>3500</v>
      </c>
      <c r="O42" s="160">
        <v>1000</v>
      </c>
      <c r="P42" s="142">
        <v>0</v>
      </c>
      <c r="Q42" s="141">
        <v>157</v>
      </c>
      <c r="R42" s="141">
        <v>222</v>
      </c>
      <c r="S42" s="116">
        <v>0</v>
      </c>
      <c r="T42" s="116">
        <v>0</v>
      </c>
      <c r="U42" s="33" t="s">
        <v>226</v>
      </c>
      <c r="V42" s="33">
        <v>2015</v>
      </c>
      <c r="W42" s="33">
        <v>1</v>
      </c>
      <c r="X42" s="33">
        <v>0</v>
      </c>
      <c r="Y42" s="33">
        <v>-3.0000000000000001E-3</v>
      </c>
      <c r="Z42" s="33">
        <v>-1.2E-2</v>
      </c>
      <c r="AA42" s="33">
        <v>0</v>
      </c>
      <c r="AB42" s="33">
        <v>0</v>
      </c>
      <c r="AC42" s="33" t="s">
        <v>201</v>
      </c>
    </row>
    <row r="43" spans="1:29" s="158" customFormat="1" hidden="1" x14ac:dyDescent="0.2">
      <c r="A43" s="153">
        <f t="shared" si="0"/>
        <v>19</v>
      </c>
      <c r="B43" s="33">
        <v>1</v>
      </c>
      <c r="C43" s="33">
        <v>2</v>
      </c>
      <c r="D43" s="33">
        <v>4</v>
      </c>
      <c r="E43" s="104">
        <v>2022</v>
      </c>
      <c r="F43" s="33">
        <v>2022</v>
      </c>
      <c r="G43" s="33">
        <v>4</v>
      </c>
      <c r="H43" s="33">
        <v>4</v>
      </c>
      <c r="I43" s="33">
        <v>0</v>
      </c>
      <c r="J43" s="33">
        <v>0</v>
      </c>
      <c r="K43" s="33">
        <v>0</v>
      </c>
      <c r="L43" s="101">
        <v>2.4912075029308323</v>
      </c>
      <c r="M43" s="108">
        <v>2475</v>
      </c>
      <c r="N43" s="108">
        <v>3500</v>
      </c>
      <c r="O43" s="160">
        <v>1000</v>
      </c>
      <c r="P43" s="142">
        <v>0</v>
      </c>
      <c r="Q43" s="141">
        <v>208</v>
      </c>
      <c r="R43" s="141">
        <v>294</v>
      </c>
      <c r="S43" s="116">
        <v>0</v>
      </c>
      <c r="T43" s="116">
        <v>0</v>
      </c>
      <c r="U43" s="33" t="s">
        <v>226</v>
      </c>
      <c r="V43" s="33">
        <v>2015</v>
      </c>
      <c r="W43" s="33">
        <v>1</v>
      </c>
      <c r="X43" s="33">
        <v>0</v>
      </c>
      <c r="Y43" s="33">
        <v>-3.0000000000000001E-3</v>
      </c>
      <c r="Z43" s="33">
        <v>-1.2E-2</v>
      </c>
      <c r="AA43" s="33">
        <v>0</v>
      </c>
      <c r="AB43" s="33">
        <v>0</v>
      </c>
      <c r="AC43" s="33" t="s">
        <v>201</v>
      </c>
    </row>
    <row r="44" spans="1:29" s="158" customFormat="1" hidden="1" x14ac:dyDescent="0.2">
      <c r="A44" s="153">
        <f t="shared" si="0"/>
        <v>20</v>
      </c>
      <c r="B44" s="33">
        <v>1</v>
      </c>
      <c r="C44" s="33">
        <v>2</v>
      </c>
      <c r="D44" s="33">
        <v>4</v>
      </c>
      <c r="E44" s="104">
        <v>2022</v>
      </c>
      <c r="F44" s="33">
        <v>2022</v>
      </c>
      <c r="G44" s="33">
        <v>5</v>
      </c>
      <c r="H44" s="33">
        <v>4</v>
      </c>
      <c r="I44" s="33">
        <v>0</v>
      </c>
      <c r="J44" s="33">
        <v>0</v>
      </c>
      <c r="K44" s="33">
        <v>0</v>
      </c>
      <c r="L44" s="101">
        <v>2.4912075029308323</v>
      </c>
      <c r="M44" s="108">
        <v>2475</v>
      </c>
      <c r="N44" s="108">
        <v>3500</v>
      </c>
      <c r="O44" s="160">
        <v>1000</v>
      </c>
      <c r="P44" s="142">
        <v>0</v>
      </c>
      <c r="Q44" s="141">
        <v>119</v>
      </c>
      <c r="R44" s="141">
        <v>168</v>
      </c>
      <c r="S44" s="116">
        <v>0</v>
      </c>
      <c r="T44" s="116">
        <v>0</v>
      </c>
      <c r="U44" s="33" t="s">
        <v>226</v>
      </c>
      <c r="V44" s="33">
        <v>2015</v>
      </c>
      <c r="W44" s="33">
        <v>1</v>
      </c>
      <c r="X44" s="33">
        <v>0</v>
      </c>
      <c r="Y44" s="33">
        <v>-3.0000000000000001E-3</v>
      </c>
      <c r="Z44" s="33">
        <v>-1.2E-2</v>
      </c>
      <c r="AA44" s="33">
        <v>0</v>
      </c>
      <c r="AB44" s="33">
        <v>0</v>
      </c>
      <c r="AC44" s="33" t="s">
        <v>201</v>
      </c>
    </row>
    <row r="45" spans="1:29" s="158" customFormat="1" hidden="1" x14ac:dyDescent="0.2">
      <c r="A45" s="153">
        <f t="shared" si="0"/>
        <v>21</v>
      </c>
      <c r="B45" s="33">
        <v>1</v>
      </c>
      <c r="C45" s="33">
        <v>2</v>
      </c>
      <c r="D45" s="33">
        <v>4</v>
      </c>
      <c r="E45" s="104">
        <v>2022</v>
      </c>
      <c r="F45" s="33">
        <v>2022</v>
      </c>
      <c r="G45" s="33">
        <v>6</v>
      </c>
      <c r="H45" s="33">
        <v>4</v>
      </c>
      <c r="I45" s="33">
        <v>0</v>
      </c>
      <c r="J45" s="33">
        <v>0</v>
      </c>
      <c r="K45" s="33">
        <v>0</v>
      </c>
      <c r="L45" s="101">
        <v>2.4912075029308323</v>
      </c>
      <c r="M45" s="108">
        <v>2475</v>
      </c>
      <c r="N45" s="108">
        <v>3500</v>
      </c>
      <c r="O45" s="160">
        <v>1000</v>
      </c>
      <c r="P45" s="142">
        <v>0</v>
      </c>
      <c r="Q45" s="141">
        <v>21</v>
      </c>
      <c r="R45" s="141">
        <v>30</v>
      </c>
      <c r="S45" s="116">
        <v>0</v>
      </c>
      <c r="T45" s="116">
        <v>0</v>
      </c>
      <c r="U45" s="33" t="s">
        <v>226</v>
      </c>
      <c r="V45" s="33">
        <v>2015</v>
      </c>
      <c r="W45" s="33">
        <v>1</v>
      </c>
      <c r="X45" s="33">
        <v>0</v>
      </c>
      <c r="Y45" s="33">
        <v>-3.0000000000000001E-3</v>
      </c>
      <c r="Z45" s="33">
        <v>-1.2E-2</v>
      </c>
      <c r="AA45" s="33">
        <v>0</v>
      </c>
      <c r="AB45" s="33">
        <v>0</v>
      </c>
      <c r="AC45" s="33" t="s">
        <v>201</v>
      </c>
    </row>
    <row r="46" spans="1:29" s="158" customFormat="1" hidden="1" x14ac:dyDescent="0.2">
      <c r="A46" s="153">
        <f t="shared" si="0"/>
        <v>22</v>
      </c>
      <c r="B46" s="33">
        <v>1</v>
      </c>
      <c r="C46" s="33">
        <v>2</v>
      </c>
      <c r="D46" s="33">
        <v>4</v>
      </c>
      <c r="E46" s="104">
        <v>2022</v>
      </c>
      <c r="F46" s="33">
        <v>2022</v>
      </c>
      <c r="G46" s="33">
        <v>7</v>
      </c>
      <c r="H46" s="33">
        <v>4</v>
      </c>
      <c r="I46" s="33">
        <v>0</v>
      </c>
      <c r="J46" s="33">
        <v>0</v>
      </c>
      <c r="K46" s="33">
        <v>0</v>
      </c>
      <c r="L46" s="101">
        <v>2.4912075029308323</v>
      </c>
      <c r="M46" s="108">
        <v>2475</v>
      </c>
      <c r="N46" s="108">
        <v>3500</v>
      </c>
      <c r="O46" s="160">
        <v>1000</v>
      </c>
      <c r="P46" s="142">
        <v>0</v>
      </c>
      <c r="Q46" s="141">
        <v>948</v>
      </c>
      <c r="R46" s="141">
        <v>1341</v>
      </c>
      <c r="S46" s="116">
        <v>0</v>
      </c>
      <c r="T46" s="116">
        <v>0</v>
      </c>
      <c r="U46" s="33" t="s">
        <v>226</v>
      </c>
      <c r="V46" s="33">
        <v>2015</v>
      </c>
      <c r="W46" s="33">
        <v>1</v>
      </c>
      <c r="X46" s="33">
        <v>0</v>
      </c>
      <c r="Y46" s="33">
        <v>-3.0000000000000001E-3</v>
      </c>
      <c r="Z46" s="33">
        <v>-1.2E-2</v>
      </c>
      <c r="AA46" s="33">
        <v>0</v>
      </c>
      <c r="AB46" s="33">
        <v>0</v>
      </c>
      <c r="AC46" s="33" t="s">
        <v>201</v>
      </c>
    </row>
    <row r="47" spans="1:29" s="158" customFormat="1" hidden="1" x14ac:dyDescent="0.2">
      <c r="A47" s="153">
        <f t="shared" si="0"/>
        <v>23</v>
      </c>
      <c r="B47" s="33">
        <v>1</v>
      </c>
      <c r="C47" s="33">
        <v>2</v>
      </c>
      <c r="D47" s="33">
        <v>4</v>
      </c>
      <c r="E47" s="104">
        <v>2022</v>
      </c>
      <c r="F47" s="33">
        <v>2022</v>
      </c>
      <c r="G47" s="33">
        <v>8</v>
      </c>
      <c r="H47" s="33">
        <v>4</v>
      </c>
      <c r="I47" s="33">
        <v>0</v>
      </c>
      <c r="J47" s="33">
        <v>0</v>
      </c>
      <c r="K47" s="33">
        <v>0</v>
      </c>
      <c r="L47" s="101">
        <v>2.4912075029308323</v>
      </c>
      <c r="M47" s="108">
        <v>2475</v>
      </c>
      <c r="N47" s="108">
        <v>3500</v>
      </c>
      <c r="O47" s="160">
        <v>1000</v>
      </c>
      <c r="P47" s="142">
        <v>0</v>
      </c>
      <c r="Q47" s="141">
        <v>172</v>
      </c>
      <c r="R47" s="141">
        <v>243</v>
      </c>
      <c r="S47" s="116">
        <v>0</v>
      </c>
      <c r="T47" s="116">
        <v>0</v>
      </c>
      <c r="U47" s="33" t="s">
        <v>226</v>
      </c>
      <c r="V47" s="33">
        <v>2015</v>
      </c>
      <c r="W47" s="33">
        <v>1</v>
      </c>
      <c r="X47" s="33">
        <v>0</v>
      </c>
      <c r="Y47" s="33">
        <v>-3.0000000000000001E-3</v>
      </c>
      <c r="Z47" s="33">
        <v>-1.2E-2</v>
      </c>
      <c r="AA47" s="33">
        <v>0</v>
      </c>
      <c r="AB47" s="33">
        <v>0</v>
      </c>
      <c r="AC47" s="33" t="s">
        <v>201</v>
      </c>
    </row>
    <row r="48" spans="1:29" s="158" customFormat="1" hidden="1" x14ac:dyDescent="0.2">
      <c r="A48" s="153">
        <f t="shared" si="0"/>
        <v>24</v>
      </c>
      <c r="B48" s="33">
        <v>1</v>
      </c>
      <c r="C48" s="33">
        <v>2</v>
      </c>
      <c r="D48" s="33">
        <v>4</v>
      </c>
      <c r="E48" s="104">
        <v>2022</v>
      </c>
      <c r="F48" s="33">
        <v>2022</v>
      </c>
      <c r="G48" s="33">
        <v>9</v>
      </c>
      <c r="H48" s="33">
        <v>4</v>
      </c>
      <c r="I48" s="33">
        <v>0</v>
      </c>
      <c r="J48" s="33">
        <v>0</v>
      </c>
      <c r="K48" s="33">
        <v>0</v>
      </c>
      <c r="L48" s="101">
        <v>2.4912075029308323</v>
      </c>
      <c r="M48" s="108">
        <v>2475</v>
      </c>
      <c r="N48" s="108">
        <v>3500</v>
      </c>
      <c r="O48" s="160">
        <v>1000</v>
      </c>
      <c r="P48" s="142">
        <v>0</v>
      </c>
      <c r="Q48" s="141">
        <v>333</v>
      </c>
      <c r="R48" s="141">
        <v>471</v>
      </c>
      <c r="S48" s="116">
        <v>0</v>
      </c>
      <c r="T48" s="116">
        <v>0</v>
      </c>
      <c r="U48" s="33" t="s">
        <v>226</v>
      </c>
      <c r="V48" s="33">
        <v>2015</v>
      </c>
      <c r="W48" s="33">
        <v>1</v>
      </c>
      <c r="X48" s="33">
        <v>0</v>
      </c>
      <c r="Y48" s="33">
        <v>-3.0000000000000001E-3</v>
      </c>
      <c r="Z48" s="33">
        <v>-1.2E-2</v>
      </c>
      <c r="AA48" s="33">
        <v>0</v>
      </c>
      <c r="AB48" s="33">
        <v>0</v>
      </c>
      <c r="AC48" s="33" t="s">
        <v>201</v>
      </c>
    </row>
    <row r="49" spans="1:29" s="158" customFormat="1" hidden="1" x14ac:dyDescent="0.2">
      <c r="A49" s="153">
        <f t="shared" si="0"/>
        <v>25</v>
      </c>
      <c r="B49" s="33">
        <v>1</v>
      </c>
      <c r="C49" s="33">
        <v>2</v>
      </c>
      <c r="D49" s="33">
        <v>4</v>
      </c>
      <c r="E49" s="104">
        <v>2023</v>
      </c>
      <c r="F49" s="159">
        <v>2032</v>
      </c>
      <c r="G49" s="33">
        <v>1</v>
      </c>
      <c r="H49" s="33">
        <v>4</v>
      </c>
      <c r="I49" s="33">
        <v>0</v>
      </c>
      <c r="J49" s="33">
        <v>0</v>
      </c>
      <c r="K49" s="33">
        <v>0</v>
      </c>
      <c r="L49" s="101">
        <v>2.6963657678780772</v>
      </c>
      <c r="M49" s="108">
        <v>2678.8235294117644</v>
      </c>
      <c r="N49" s="108">
        <v>3788.2352941176468</v>
      </c>
      <c r="O49" s="160">
        <v>1000</v>
      </c>
      <c r="P49" s="142">
        <v>0</v>
      </c>
      <c r="Q49" s="141">
        <v>704</v>
      </c>
      <c r="R49" s="141">
        <v>995</v>
      </c>
      <c r="S49" s="116">
        <v>0</v>
      </c>
      <c r="T49" s="116">
        <v>0</v>
      </c>
      <c r="U49" s="33" t="s">
        <v>226</v>
      </c>
      <c r="V49" s="33">
        <v>2015</v>
      </c>
      <c r="W49" s="33">
        <v>1</v>
      </c>
      <c r="X49" s="33">
        <v>0</v>
      </c>
      <c r="Y49" s="33">
        <v>-3.0000000000000001E-3</v>
      </c>
      <c r="Z49" s="33">
        <v>-1.2E-2</v>
      </c>
      <c r="AA49" s="33">
        <v>0</v>
      </c>
      <c r="AB49" s="33">
        <v>0</v>
      </c>
      <c r="AC49" s="33" t="s">
        <v>201</v>
      </c>
    </row>
    <row r="50" spans="1:29" s="158" customFormat="1" hidden="1" x14ac:dyDescent="0.2">
      <c r="A50" s="153">
        <f t="shared" si="0"/>
        <v>26</v>
      </c>
      <c r="B50" s="33">
        <v>1</v>
      </c>
      <c r="C50" s="33">
        <v>2</v>
      </c>
      <c r="D50" s="33">
        <v>4</v>
      </c>
      <c r="E50" s="104">
        <v>2023</v>
      </c>
      <c r="F50" s="159">
        <v>2032</v>
      </c>
      <c r="G50" s="33">
        <v>2</v>
      </c>
      <c r="H50" s="33">
        <v>4</v>
      </c>
      <c r="I50" s="33">
        <v>0</v>
      </c>
      <c r="J50" s="33">
        <v>0</v>
      </c>
      <c r="K50" s="33">
        <v>0</v>
      </c>
      <c r="L50" s="101">
        <v>2.6963657678780772</v>
      </c>
      <c r="M50" s="108">
        <v>2678.8235294117644</v>
      </c>
      <c r="N50" s="108">
        <v>3788.2352941176468</v>
      </c>
      <c r="O50" s="160">
        <v>1000</v>
      </c>
      <c r="P50" s="142">
        <v>0</v>
      </c>
      <c r="Q50" s="141">
        <v>228</v>
      </c>
      <c r="R50" s="141">
        <v>322</v>
      </c>
      <c r="S50" s="116">
        <v>0</v>
      </c>
      <c r="T50" s="116">
        <v>0</v>
      </c>
      <c r="U50" s="33" t="s">
        <v>226</v>
      </c>
      <c r="V50" s="33">
        <v>2015</v>
      </c>
      <c r="W50" s="33">
        <v>1</v>
      </c>
      <c r="X50" s="33">
        <v>0</v>
      </c>
      <c r="Y50" s="33">
        <v>-3.0000000000000001E-3</v>
      </c>
      <c r="Z50" s="33">
        <v>-1.2E-2</v>
      </c>
      <c r="AA50" s="33">
        <v>0</v>
      </c>
      <c r="AB50" s="33">
        <v>0</v>
      </c>
      <c r="AC50" s="33" t="s">
        <v>201</v>
      </c>
    </row>
    <row r="51" spans="1:29" s="158" customFormat="1" x14ac:dyDescent="0.2">
      <c r="A51" s="153">
        <f t="shared" si="0"/>
        <v>27</v>
      </c>
      <c r="B51" s="33">
        <v>1</v>
      </c>
      <c r="C51" s="33">
        <v>2</v>
      </c>
      <c r="D51" s="33">
        <v>4</v>
      </c>
      <c r="E51" s="104">
        <v>2023</v>
      </c>
      <c r="F51" s="159">
        <v>2032</v>
      </c>
      <c r="G51" s="33">
        <v>3</v>
      </c>
      <c r="H51" s="33">
        <v>4</v>
      </c>
      <c r="I51" s="33">
        <v>0</v>
      </c>
      <c r="J51" s="33">
        <v>0</v>
      </c>
      <c r="K51" s="33">
        <v>0</v>
      </c>
      <c r="L51" s="101">
        <v>2.6963657678780772</v>
      </c>
      <c r="M51" s="108">
        <v>2678.8235294117644</v>
      </c>
      <c r="N51" s="108">
        <v>3788.2352941176468</v>
      </c>
      <c r="O51" s="160">
        <v>1000</v>
      </c>
      <c r="P51" s="142">
        <v>0</v>
      </c>
      <c r="Q51" s="141">
        <v>170</v>
      </c>
      <c r="R51" s="141">
        <v>240</v>
      </c>
      <c r="S51" s="116">
        <v>0</v>
      </c>
      <c r="T51" s="116">
        <v>0</v>
      </c>
      <c r="U51" s="33" t="s">
        <v>226</v>
      </c>
      <c r="V51" s="33">
        <v>2015</v>
      </c>
      <c r="W51" s="33">
        <v>1</v>
      </c>
      <c r="X51" s="33">
        <v>0</v>
      </c>
      <c r="Y51" s="33">
        <v>-3.0000000000000001E-3</v>
      </c>
      <c r="Z51" s="33">
        <v>-1.2E-2</v>
      </c>
      <c r="AA51" s="33">
        <v>0</v>
      </c>
      <c r="AB51" s="33">
        <v>0</v>
      </c>
      <c r="AC51" s="33" t="s">
        <v>201</v>
      </c>
    </row>
    <row r="52" spans="1:29" s="158" customFormat="1" hidden="1" x14ac:dyDescent="0.2">
      <c r="A52" s="153">
        <f t="shared" si="0"/>
        <v>28</v>
      </c>
      <c r="B52" s="33">
        <v>1</v>
      </c>
      <c r="C52" s="33">
        <v>2</v>
      </c>
      <c r="D52" s="33">
        <v>4</v>
      </c>
      <c r="E52" s="104">
        <v>2023</v>
      </c>
      <c r="F52" s="159">
        <v>2032</v>
      </c>
      <c r="G52" s="33">
        <v>4</v>
      </c>
      <c r="H52" s="33">
        <v>4</v>
      </c>
      <c r="I52" s="33">
        <v>0</v>
      </c>
      <c r="J52" s="33">
        <v>0</v>
      </c>
      <c r="K52" s="33">
        <v>0</v>
      </c>
      <c r="L52" s="101">
        <v>2.6963657678780772</v>
      </c>
      <c r="M52" s="108">
        <v>2678.8235294117644</v>
      </c>
      <c r="N52" s="108">
        <v>3788.2352941176468</v>
      </c>
      <c r="O52" s="160">
        <v>1000</v>
      </c>
      <c r="P52" s="142">
        <v>0</v>
      </c>
      <c r="Q52" s="141">
        <v>225</v>
      </c>
      <c r="R52" s="141">
        <v>318</v>
      </c>
      <c r="S52" s="116">
        <v>0</v>
      </c>
      <c r="T52" s="116">
        <v>0</v>
      </c>
      <c r="U52" s="33" t="s">
        <v>226</v>
      </c>
      <c r="V52" s="33">
        <v>2015</v>
      </c>
      <c r="W52" s="33">
        <v>1</v>
      </c>
      <c r="X52" s="33">
        <v>0</v>
      </c>
      <c r="Y52" s="33">
        <v>-3.0000000000000001E-3</v>
      </c>
      <c r="Z52" s="33">
        <v>-1.2E-2</v>
      </c>
      <c r="AA52" s="33">
        <v>0</v>
      </c>
      <c r="AB52" s="33">
        <v>0</v>
      </c>
      <c r="AC52" s="33" t="s">
        <v>201</v>
      </c>
    </row>
    <row r="53" spans="1:29" s="158" customFormat="1" hidden="1" x14ac:dyDescent="0.2">
      <c r="A53" s="153">
        <f t="shared" si="0"/>
        <v>29</v>
      </c>
      <c r="B53" s="33">
        <v>1</v>
      </c>
      <c r="C53" s="33">
        <v>2</v>
      </c>
      <c r="D53" s="33">
        <v>4</v>
      </c>
      <c r="E53" s="104">
        <v>2023</v>
      </c>
      <c r="F53" s="159">
        <v>2032</v>
      </c>
      <c r="G53" s="33">
        <v>5</v>
      </c>
      <c r="H53" s="33">
        <v>4</v>
      </c>
      <c r="I53" s="33">
        <v>0</v>
      </c>
      <c r="J53" s="33">
        <v>0</v>
      </c>
      <c r="K53" s="33">
        <v>0</v>
      </c>
      <c r="L53" s="101">
        <v>2.6963657678780772</v>
      </c>
      <c r="M53" s="108">
        <v>2678.8235294117644</v>
      </c>
      <c r="N53" s="108">
        <v>3788.2352941176468</v>
      </c>
      <c r="O53" s="160">
        <v>1000</v>
      </c>
      <c r="P53" s="142">
        <v>0</v>
      </c>
      <c r="Q53" s="141">
        <v>129</v>
      </c>
      <c r="R53" s="141">
        <v>182</v>
      </c>
      <c r="S53" s="116">
        <v>0</v>
      </c>
      <c r="T53" s="116">
        <v>0</v>
      </c>
      <c r="U53" s="33" t="s">
        <v>226</v>
      </c>
      <c r="V53" s="33">
        <v>2015</v>
      </c>
      <c r="W53" s="33">
        <v>1</v>
      </c>
      <c r="X53" s="33">
        <v>0</v>
      </c>
      <c r="Y53" s="33">
        <v>-3.0000000000000001E-3</v>
      </c>
      <c r="Z53" s="33">
        <v>-1.2E-2</v>
      </c>
      <c r="AA53" s="33">
        <v>0</v>
      </c>
      <c r="AB53" s="33">
        <v>0</v>
      </c>
      <c r="AC53" s="33" t="s">
        <v>201</v>
      </c>
    </row>
    <row r="54" spans="1:29" s="158" customFormat="1" hidden="1" x14ac:dyDescent="0.2">
      <c r="A54" s="153">
        <f t="shared" si="0"/>
        <v>30</v>
      </c>
      <c r="B54" s="33">
        <v>1</v>
      </c>
      <c r="C54" s="33">
        <v>2</v>
      </c>
      <c r="D54" s="33">
        <v>4</v>
      </c>
      <c r="E54" s="104">
        <v>2023</v>
      </c>
      <c r="F54" s="159">
        <v>2032</v>
      </c>
      <c r="G54" s="33">
        <v>6</v>
      </c>
      <c r="H54" s="33">
        <v>4</v>
      </c>
      <c r="I54" s="33">
        <v>0</v>
      </c>
      <c r="J54" s="33">
        <v>0</v>
      </c>
      <c r="K54" s="33">
        <v>0</v>
      </c>
      <c r="L54" s="101">
        <v>2.6963657678780772</v>
      </c>
      <c r="M54" s="108">
        <v>2678.8235294117644</v>
      </c>
      <c r="N54" s="108">
        <v>3788.2352941176468</v>
      </c>
      <c r="O54" s="160">
        <v>1000</v>
      </c>
      <c r="P54" s="142">
        <v>0</v>
      </c>
      <c r="Q54" s="141">
        <v>23</v>
      </c>
      <c r="R54" s="141">
        <v>32</v>
      </c>
      <c r="S54" s="116">
        <v>0</v>
      </c>
      <c r="T54" s="116">
        <v>0</v>
      </c>
      <c r="U54" s="33" t="s">
        <v>226</v>
      </c>
      <c r="V54" s="33">
        <v>2015</v>
      </c>
      <c r="W54" s="33">
        <v>1</v>
      </c>
      <c r="X54" s="33">
        <v>0</v>
      </c>
      <c r="Y54" s="33">
        <v>-3.0000000000000001E-3</v>
      </c>
      <c r="Z54" s="33">
        <v>-1.2E-2</v>
      </c>
      <c r="AA54" s="33">
        <v>0</v>
      </c>
      <c r="AB54" s="33">
        <v>0</v>
      </c>
      <c r="AC54" s="33" t="s">
        <v>201</v>
      </c>
    </row>
    <row r="55" spans="1:29" s="158" customFormat="1" hidden="1" x14ac:dyDescent="0.2">
      <c r="A55" s="153">
        <f t="shared" si="0"/>
        <v>31</v>
      </c>
      <c r="B55" s="33">
        <v>1</v>
      </c>
      <c r="C55" s="33">
        <v>2</v>
      </c>
      <c r="D55" s="33">
        <v>4</v>
      </c>
      <c r="E55" s="104">
        <v>2023</v>
      </c>
      <c r="F55" s="159">
        <v>2032</v>
      </c>
      <c r="G55" s="33">
        <v>7</v>
      </c>
      <c r="H55" s="33">
        <v>4</v>
      </c>
      <c r="I55" s="33">
        <v>0</v>
      </c>
      <c r="J55" s="33">
        <v>0</v>
      </c>
      <c r="K55" s="33">
        <v>0</v>
      </c>
      <c r="L55" s="101">
        <v>2.6963657678780772</v>
      </c>
      <c r="M55" s="108">
        <v>2678.8235294117644</v>
      </c>
      <c r="N55" s="108">
        <v>3788.2352941176468</v>
      </c>
      <c r="O55" s="160">
        <v>1000</v>
      </c>
      <c r="P55" s="142">
        <v>0</v>
      </c>
      <c r="Q55" s="141">
        <v>1026</v>
      </c>
      <c r="R55" s="141">
        <v>1451</v>
      </c>
      <c r="S55" s="116">
        <v>0</v>
      </c>
      <c r="T55" s="116">
        <v>0</v>
      </c>
      <c r="U55" s="33" t="s">
        <v>226</v>
      </c>
      <c r="V55" s="33">
        <v>2015</v>
      </c>
      <c r="W55" s="33">
        <v>1</v>
      </c>
      <c r="X55" s="33">
        <v>0</v>
      </c>
      <c r="Y55" s="33">
        <v>-3.0000000000000001E-3</v>
      </c>
      <c r="Z55" s="33">
        <v>-1.2E-2</v>
      </c>
      <c r="AA55" s="33">
        <v>0</v>
      </c>
      <c r="AB55" s="33">
        <v>0</v>
      </c>
      <c r="AC55" s="33" t="s">
        <v>201</v>
      </c>
    </row>
    <row r="56" spans="1:29" s="158" customFormat="1" hidden="1" x14ac:dyDescent="0.2">
      <c r="A56" s="153">
        <f t="shared" si="0"/>
        <v>32</v>
      </c>
      <c r="B56" s="33">
        <v>1</v>
      </c>
      <c r="C56" s="33">
        <v>2</v>
      </c>
      <c r="D56" s="33">
        <v>4</v>
      </c>
      <c r="E56" s="104">
        <v>2023</v>
      </c>
      <c r="F56" s="159">
        <v>2032</v>
      </c>
      <c r="G56" s="33">
        <v>8</v>
      </c>
      <c r="H56" s="33">
        <v>4</v>
      </c>
      <c r="I56" s="33">
        <v>0</v>
      </c>
      <c r="J56" s="33">
        <v>0</v>
      </c>
      <c r="K56" s="33">
        <v>0</v>
      </c>
      <c r="L56" s="101">
        <v>2.6963657678780772</v>
      </c>
      <c r="M56" s="108">
        <v>2678.8235294117644</v>
      </c>
      <c r="N56" s="108">
        <v>3788.2352941176468</v>
      </c>
      <c r="O56" s="160">
        <v>1000</v>
      </c>
      <c r="P56" s="142">
        <v>0</v>
      </c>
      <c r="Q56" s="141">
        <v>186</v>
      </c>
      <c r="R56" s="141">
        <v>263</v>
      </c>
      <c r="S56" s="116">
        <v>0</v>
      </c>
      <c r="T56" s="116">
        <v>0</v>
      </c>
      <c r="U56" s="33" t="s">
        <v>226</v>
      </c>
      <c r="V56" s="33">
        <v>2015</v>
      </c>
      <c r="W56" s="33">
        <v>1</v>
      </c>
      <c r="X56" s="33">
        <v>0</v>
      </c>
      <c r="Y56" s="33">
        <v>-3.0000000000000001E-3</v>
      </c>
      <c r="Z56" s="33">
        <v>-1.2E-2</v>
      </c>
      <c r="AA56" s="33">
        <v>0</v>
      </c>
      <c r="AB56" s="33">
        <v>0</v>
      </c>
      <c r="AC56" s="33" t="s">
        <v>201</v>
      </c>
    </row>
    <row r="57" spans="1:29" s="158" customFormat="1" hidden="1" x14ac:dyDescent="0.2">
      <c r="A57" s="153">
        <f t="shared" si="0"/>
        <v>33</v>
      </c>
      <c r="B57" s="33">
        <v>1</v>
      </c>
      <c r="C57" s="33">
        <v>2</v>
      </c>
      <c r="D57" s="33">
        <v>4</v>
      </c>
      <c r="E57" s="104">
        <v>2023</v>
      </c>
      <c r="F57" s="159">
        <v>2032</v>
      </c>
      <c r="G57" s="33">
        <v>9</v>
      </c>
      <c r="H57" s="33">
        <v>4</v>
      </c>
      <c r="I57" s="33">
        <v>0</v>
      </c>
      <c r="J57" s="33">
        <v>0</v>
      </c>
      <c r="K57" s="33">
        <v>0</v>
      </c>
      <c r="L57" s="101">
        <v>2.6963657678780772</v>
      </c>
      <c r="M57" s="108">
        <v>2678.8235294117644</v>
      </c>
      <c r="N57" s="108">
        <v>3788.2352941176468</v>
      </c>
      <c r="O57" s="160">
        <v>1000</v>
      </c>
      <c r="P57" s="142">
        <v>0</v>
      </c>
      <c r="Q57" s="141">
        <v>361</v>
      </c>
      <c r="R57" s="141">
        <v>510</v>
      </c>
      <c r="S57" s="116">
        <v>0</v>
      </c>
      <c r="T57" s="116">
        <v>0</v>
      </c>
      <c r="U57" s="33" t="s">
        <v>226</v>
      </c>
      <c r="V57" s="33">
        <v>2015</v>
      </c>
      <c r="W57" s="33">
        <v>1</v>
      </c>
      <c r="X57" s="33">
        <v>0</v>
      </c>
      <c r="Y57" s="33">
        <v>-3.0000000000000001E-3</v>
      </c>
      <c r="Z57" s="33">
        <v>-1.2E-2</v>
      </c>
      <c r="AA57" s="33">
        <v>0</v>
      </c>
      <c r="AB57" s="33">
        <v>0</v>
      </c>
      <c r="AC57" s="33" t="s">
        <v>201</v>
      </c>
    </row>
    <row r="58" spans="1:29" s="158" customFormat="1" hidden="1" x14ac:dyDescent="0.2">
      <c r="A58" s="153">
        <f t="shared" si="0"/>
        <v>34</v>
      </c>
      <c r="B58" s="49">
        <v>1</v>
      </c>
      <c r="C58" s="49">
        <v>2</v>
      </c>
      <c r="D58" s="49">
        <v>4</v>
      </c>
      <c r="E58" s="166">
        <v>2033</v>
      </c>
      <c r="F58" s="49">
        <v>2050</v>
      </c>
      <c r="G58" s="49">
        <v>1</v>
      </c>
      <c r="H58" s="49">
        <v>4</v>
      </c>
      <c r="I58" s="49">
        <v>0</v>
      </c>
      <c r="J58" s="49">
        <v>0</v>
      </c>
      <c r="K58" s="49">
        <v>0</v>
      </c>
      <c r="L58" s="167">
        <v>2.6963657678780772</v>
      </c>
      <c r="M58" s="168">
        <v>2678.8235294117644</v>
      </c>
      <c r="N58" s="168">
        <v>3788.2352941176468</v>
      </c>
      <c r="O58" s="51">
        <v>0</v>
      </c>
      <c r="P58" s="51">
        <v>0</v>
      </c>
      <c r="Q58" s="51">
        <v>704</v>
      </c>
      <c r="R58" s="51">
        <v>995</v>
      </c>
      <c r="S58" s="171">
        <v>0</v>
      </c>
      <c r="T58" s="171">
        <v>0</v>
      </c>
      <c r="U58" s="49" t="s">
        <v>226</v>
      </c>
      <c r="V58" s="49">
        <v>2015</v>
      </c>
      <c r="W58" s="49">
        <v>1</v>
      </c>
      <c r="X58" s="49">
        <v>0</v>
      </c>
      <c r="Y58" s="49">
        <v>-3.0000000000000001E-3</v>
      </c>
      <c r="Z58" s="49">
        <v>-1.2E-2</v>
      </c>
      <c r="AA58" s="49">
        <v>0</v>
      </c>
      <c r="AB58" s="49">
        <v>0</v>
      </c>
      <c r="AC58" s="49" t="s">
        <v>201</v>
      </c>
    </row>
    <row r="59" spans="1:29" s="158" customFormat="1" hidden="1" x14ac:dyDescent="0.2">
      <c r="A59" s="153">
        <f t="shared" si="0"/>
        <v>35</v>
      </c>
      <c r="B59" s="49">
        <v>1</v>
      </c>
      <c r="C59" s="49">
        <v>2</v>
      </c>
      <c r="D59" s="49">
        <v>4</v>
      </c>
      <c r="E59" s="166">
        <v>2033</v>
      </c>
      <c r="F59" s="49">
        <v>2050</v>
      </c>
      <c r="G59" s="49">
        <v>2</v>
      </c>
      <c r="H59" s="49">
        <v>4</v>
      </c>
      <c r="I59" s="49">
        <v>0</v>
      </c>
      <c r="J59" s="49">
        <v>0</v>
      </c>
      <c r="K59" s="49">
        <v>0</v>
      </c>
      <c r="L59" s="167">
        <v>2.6963657678780772</v>
      </c>
      <c r="M59" s="168">
        <v>2678.8235294117644</v>
      </c>
      <c r="N59" s="168">
        <v>3788.2352941176468</v>
      </c>
      <c r="O59" s="51">
        <v>0</v>
      </c>
      <c r="P59" s="51">
        <v>0</v>
      </c>
      <c r="Q59" s="51">
        <v>228</v>
      </c>
      <c r="R59" s="51">
        <v>322</v>
      </c>
      <c r="S59" s="171">
        <v>0</v>
      </c>
      <c r="T59" s="171">
        <v>0</v>
      </c>
      <c r="U59" s="49" t="s">
        <v>226</v>
      </c>
      <c r="V59" s="49">
        <v>2015</v>
      </c>
      <c r="W59" s="49">
        <v>1</v>
      </c>
      <c r="X59" s="49">
        <v>0</v>
      </c>
      <c r="Y59" s="49">
        <v>-3.0000000000000001E-3</v>
      </c>
      <c r="Z59" s="49">
        <v>-1.2E-2</v>
      </c>
      <c r="AA59" s="49">
        <v>0</v>
      </c>
      <c r="AB59" s="49">
        <v>0</v>
      </c>
      <c r="AC59" s="49" t="s">
        <v>201</v>
      </c>
    </row>
    <row r="60" spans="1:29" s="158" customFormat="1" x14ac:dyDescent="0.2">
      <c r="A60" s="153">
        <f t="shared" si="0"/>
        <v>36</v>
      </c>
      <c r="B60" s="49">
        <v>1</v>
      </c>
      <c r="C60" s="49">
        <v>2</v>
      </c>
      <c r="D60" s="49">
        <v>4</v>
      </c>
      <c r="E60" s="166">
        <v>2033</v>
      </c>
      <c r="F60" s="49">
        <v>2050</v>
      </c>
      <c r="G60" s="49">
        <v>3</v>
      </c>
      <c r="H60" s="49">
        <v>4</v>
      </c>
      <c r="I60" s="49">
        <v>0</v>
      </c>
      <c r="J60" s="49">
        <v>0</v>
      </c>
      <c r="K60" s="49">
        <v>0</v>
      </c>
      <c r="L60" s="167">
        <v>2.6963657678780772</v>
      </c>
      <c r="M60" s="168">
        <v>2678.8235294117644</v>
      </c>
      <c r="N60" s="168">
        <v>3788.2352941176468</v>
      </c>
      <c r="O60" s="51">
        <v>0</v>
      </c>
      <c r="P60" s="51">
        <v>0</v>
      </c>
      <c r="Q60" s="51">
        <v>170</v>
      </c>
      <c r="R60" s="51">
        <v>240</v>
      </c>
      <c r="S60" s="171">
        <v>0</v>
      </c>
      <c r="T60" s="171">
        <v>0</v>
      </c>
      <c r="U60" s="49" t="s">
        <v>226</v>
      </c>
      <c r="V60" s="49">
        <v>2015</v>
      </c>
      <c r="W60" s="49">
        <v>1</v>
      </c>
      <c r="X60" s="49">
        <v>0</v>
      </c>
      <c r="Y60" s="49">
        <v>-3.0000000000000001E-3</v>
      </c>
      <c r="Z60" s="49">
        <v>-1.2E-2</v>
      </c>
      <c r="AA60" s="49">
        <v>0</v>
      </c>
      <c r="AB60" s="49">
        <v>0</v>
      </c>
      <c r="AC60" s="49" t="s">
        <v>201</v>
      </c>
    </row>
    <row r="61" spans="1:29" s="158" customFormat="1" hidden="1" x14ac:dyDescent="0.2">
      <c r="A61" s="153">
        <f t="shared" si="0"/>
        <v>37</v>
      </c>
      <c r="B61" s="49">
        <v>1</v>
      </c>
      <c r="C61" s="49">
        <v>2</v>
      </c>
      <c r="D61" s="49">
        <v>4</v>
      </c>
      <c r="E61" s="166">
        <v>2033</v>
      </c>
      <c r="F61" s="49">
        <v>2050</v>
      </c>
      <c r="G61" s="49">
        <v>4</v>
      </c>
      <c r="H61" s="49">
        <v>4</v>
      </c>
      <c r="I61" s="49">
        <v>0</v>
      </c>
      <c r="J61" s="49">
        <v>0</v>
      </c>
      <c r="K61" s="49">
        <v>0</v>
      </c>
      <c r="L61" s="167">
        <v>2.6963657678780772</v>
      </c>
      <c r="M61" s="168">
        <v>2678.8235294117644</v>
      </c>
      <c r="N61" s="168">
        <v>3788.2352941176468</v>
      </c>
      <c r="O61" s="51">
        <v>0</v>
      </c>
      <c r="P61" s="51">
        <v>0</v>
      </c>
      <c r="Q61" s="51">
        <v>225</v>
      </c>
      <c r="R61" s="51">
        <v>318</v>
      </c>
      <c r="S61" s="171">
        <v>0</v>
      </c>
      <c r="T61" s="171">
        <v>0</v>
      </c>
      <c r="U61" s="49" t="s">
        <v>226</v>
      </c>
      <c r="V61" s="49">
        <v>2015</v>
      </c>
      <c r="W61" s="49">
        <v>1</v>
      </c>
      <c r="X61" s="49">
        <v>0</v>
      </c>
      <c r="Y61" s="49">
        <v>-3.0000000000000001E-3</v>
      </c>
      <c r="Z61" s="49">
        <v>-1.2E-2</v>
      </c>
      <c r="AA61" s="49">
        <v>0</v>
      </c>
      <c r="AB61" s="49">
        <v>0</v>
      </c>
      <c r="AC61" s="49" t="s">
        <v>201</v>
      </c>
    </row>
    <row r="62" spans="1:29" s="158" customFormat="1" hidden="1" x14ac:dyDescent="0.2">
      <c r="A62" s="153">
        <f t="shared" si="0"/>
        <v>38</v>
      </c>
      <c r="B62" s="49">
        <v>1</v>
      </c>
      <c r="C62" s="49">
        <v>2</v>
      </c>
      <c r="D62" s="49">
        <v>4</v>
      </c>
      <c r="E62" s="166">
        <v>2033</v>
      </c>
      <c r="F62" s="49">
        <v>2050</v>
      </c>
      <c r="G62" s="49">
        <v>5</v>
      </c>
      <c r="H62" s="49">
        <v>4</v>
      </c>
      <c r="I62" s="49">
        <v>0</v>
      </c>
      <c r="J62" s="49">
        <v>0</v>
      </c>
      <c r="K62" s="49">
        <v>0</v>
      </c>
      <c r="L62" s="167">
        <v>2.6963657678780772</v>
      </c>
      <c r="M62" s="168">
        <v>2678.8235294117644</v>
      </c>
      <c r="N62" s="168">
        <v>3788.2352941176468</v>
      </c>
      <c r="O62" s="51">
        <v>0</v>
      </c>
      <c r="P62" s="51">
        <v>0</v>
      </c>
      <c r="Q62" s="51">
        <v>129</v>
      </c>
      <c r="R62" s="51">
        <v>182</v>
      </c>
      <c r="S62" s="171">
        <v>0</v>
      </c>
      <c r="T62" s="171">
        <v>0</v>
      </c>
      <c r="U62" s="49" t="s">
        <v>226</v>
      </c>
      <c r="V62" s="49">
        <v>2015</v>
      </c>
      <c r="W62" s="49">
        <v>1</v>
      </c>
      <c r="X62" s="49">
        <v>0</v>
      </c>
      <c r="Y62" s="49">
        <v>-3.0000000000000001E-3</v>
      </c>
      <c r="Z62" s="49">
        <v>-1.2E-2</v>
      </c>
      <c r="AA62" s="49">
        <v>0</v>
      </c>
      <c r="AB62" s="49">
        <v>0</v>
      </c>
      <c r="AC62" s="49" t="s">
        <v>201</v>
      </c>
    </row>
    <row r="63" spans="1:29" s="158" customFormat="1" hidden="1" x14ac:dyDescent="0.2">
      <c r="A63" s="153">
        <f t="shared" si="0"/>
        <v>39</v>
      </c>
      <c r="B63" s="49">
        <v>1</v>
      </c>
      <c r="C63" s="49">
        <v>2</v>
      </c>
      <c r="D63" s="49">
        <v>4</v>
      </c>
      <c r="E63" s="166">
        <v>2033</v>
      </c>
      <c r="F63" s="49">
        <v>2050</v>
      </c>
      <c r="G63" s="49">
        <v>6</v>
      </c>
      <c r="H63" s="49">
        <v>4</v>
      </c>
      <c r="I63" s="49">
        <v>0</v>
      </c>
      <c r="J63" s="49">
        <v>0</v>
      </c>
      <c r="K63" s="49">
        <v>0</v>
      </c>
      <c r="L63" s="167">
        <v>2.6963657678780772</v>
      </c>
      <c r="M63" s="168">
        <v>2678.8235294117644</v>
      </c>
      <c r="N63" s="168">
        <v>3788.2352941176468</v>
      </c>
      <c r="O63" s="51">
        <v>0</v>
      </c>
      <c r="P63" s="51">
        <v>0</v>
      </c>
      <c r="Q63" s="51">
        <v>23</v>
      </c>
      <c r="R63" s="51">
        <v>32</v>
      </c>
      <c r="S63" s="171">
        <v>0</v>
      </c>
      <c r="T63" s="171">
        <v>0</v>
      </c>
      <c r="U63" s="49" t="s">
        <v>226</v>
      </c>
      <c r="V63" s="49">
        <v>2015</v>
      </c>
      <c r="W63" s="49">
        <v>1</v>
      </c>
      <c r="X63" s="49">
        <v>0</v>
      </c>
      <c r="Y63" s="49">
        <v>-3.0000000000000001E-3</v>
      </c>
      <c r="Z63" s="49">
        <v>-1.2E-2</v>
      </c>
      <c r="AA63" s="49">
        <v>0</v>
      </c>
      <c r="AB63" s="49">
        <v>0</v>
      </c>
      <c r="AC63" s="49" t="s">
        <v>201</v>
      </c>
    </row>
    <row r="64" spans="1:29" s="158" customFormat="1" hidden="1" x14ac:dyDescent="0.2">
      <c r="A64" s="153">
        <f t="shared" si="0"/>
        <v>40</v>
      </c>
      <c r="B64" s="49">
        <v>1</v>
      </c>
      <c r="C64" s="49">
        <v>2</v>
      </c>
      <c r="D64" s="49">
        <v>4</v>
      </c>
      <c r="E64" s="166">
        <v>2033</v>
      </c>
      <c r="F64" s="49">
        <v>2050</v>
      </c>
      <c r="G64" s="49">
        <v>7</v>
      </c>
      <c r="H64" s="49">
        <v>4</v>
      </c>
      <c r="I64" s="49">
        <v>0</v>
      </c>
      <c r="J64" s="49">
        <v>0</v>
      </c>
      <c r="K64" s="49">
        <v>0</v>
      </c>
      <c r="L64" s="167">
        <v>2.6963657678780772</v>
      </c>
      <c r="M64" s="168">
        <v>2678.8235294117644</v>
      </c>
      <c r="N64" s="168">
        <v>3788.2352941176468</v>
      </c>
      <c r="O64" s="51">
        <v>0</v>
      </c>
      <c r="P64" s="51">
        <v>0</v>
      </c>
      <c r="Q64" s="51">
        <v>1026</v>
      </c>
      <c r="R64" s="51">
        <v>1451</v>
      </c>
      <c r="S64" s="171">
        <v>0</v>
      </c>
      <c r="T64" s="171">
        <v>0</v>
      </c>
      <c r="U64" s="49" t="s">
        <v>226</v>
      </c>
      <c r="V64" s="49">
        <v>2015</v>
      </c>
      <c r="W64" s="49">
        <v>1</v>
      </c>
      <c r="X64" s="49">
        <v>0</v>
      </c>
      <c r="Y64" s="49">
        <v>-3.0000000000000001E-3</v>
      </c>
      <c r="Z64" s="49">
        <v>-1.2E-2</v>
      </c>
      <c r="AA64" s="49">
        <v>0</v>
      </c>
      <c r="AB64" s="49">
        <v>0</v>
      </c>
      <c r="AC64" s="49" t="s">
        <v>201</v>
      </c>
    </row>
    <row r="65" spans="1:29" s="158" customFormat="1" hidden="1" x14ac:dyDescent="0.2">
      <c r="A65" s="153">
        <f t="shared" si="0"/>
        <v>41</v>
      </c>
      <c r="B65" s="49">
        <v>1</v>
      </c>
      <c r="C65" s="49">
        <v>2</v>
      </c>
      <c r="D65" s="49">
        <v>4</v>
      </c>
      <c r="E65" s="166">
        <v>2033</v>
      </c>
      <c r="F65" s="49">
        <v>2050</v>
      </c>
      <c r="G65" s="49">
        <v>8</v>
      </c>
      <c r="H65" s="49">
        <v>4</v>
      </c>
      <c r="I65" s="49">
        <v>0</v>
      </c>
      <c r="J65" s="49">
        <v>0</v>
      </c>
      <c r="K65" s="49">
        <v>0</v>
      </c>
      <c r="L65" s="167">
        <v>2.6963657678780772</v>
      </c>
      <c r="M65" s="168">
        <v>2678.8235294117644</v>
      </c>
      <c r="N65" s="168">
        <v>3788.2352941176468</v>
      </c>
      <c r="O65" s="51">
        <v>0</v>
      </c>
      <c r="P65" s="51">
        <v>0</v>
      </c>
      <c r="Q65" s="51">
        <v>186</v>
      </c>
      <c r="R65" s="51">
        <v>263</v>
      </c>
      <c r="S65" s="171">
        <v>0</v>
      </c>
      <c r="T65" s="171">
        <v>0</v>
      </c>
      <c r="U65" s="49" t="s">
        <v>226</v>
      </c>
      <c r="V65" s="49">
        <v>2015</v>
      </c>
      <c r="W65" s="49">
        <v>1</v>
      </c>
      <c r="X65" s="49">
        <v>0</v>
      </c>
      <c r="Y65" s="49">
        <v>-3.0000000000000001E-3</v>
      </c>
      <c r="Z65" s="49">
        <v>-1.2E-2</v>
      </c>
      <c r="AA65" s="49">
        <v>0</v>
      </c>
      <c r="AB65" s="49">
        <v>0</v>
      </c>
      <c r="AC65" s="49" t="s">
        <v>201</v>
      </c>
    </row>
    <row r="66" spans="1:29" s="158" customFormat="1" hidden="1" x14ac:dyDescent="0.2">
      <c r="A66" s="153">
        <f t="shared" si="0"/>
        <v>42</v>
      </c>
      <c r="B66" s="49">
        <v>1</v>
      </c>
      <c r="C66" s="49">
        <v>2</v>
      </c>
      <c r="D66" s="49">
        <v>4</v>
      </c>
      <c r="E66" s="166">
        <v>2033</v>
      </c>
      <c r="F66" s="49">
        <v>2050</v>
      </c>
      <c r="G66" s="49">
        <v>9</v>
      </c>
      <c r="H66" s="49">
        <v>4</v>
      </c>
      <c r="I66" s="49">
        <v>0</v>
      </c>
      <c r="J66" s="49">
        <v>0</v>
      </c>
      <c r="K66" s="49">
        <v>0</v>
      </c>
      <c r="L66" s="167">
        <v>2.6963657678780772</v>
      </c>
      <c r="M66" s="168">
        <v>2678.8235294117644</v>
      </c>
      <c r="N66" s="168">
        <v>3788.2352941176468</v>
      </c>
      <c r="O66" s="51">
        <v>0</v>
      </c>
      <c r="P66" s="51">
        <v>0</v>
      </c>
      <c r="Q66" s="51">
        <v>361</v>
      </c>
      <c r="R66" s="51">
        <v>510</v>
      </c>
      <c r="S66" s="171">
        <v>0</v>
      </c>
      <c r="T66" s="171">
        <v>0</v>
      </c>
      <c r="U66" s="49" t="s">
        <v>226</v>
      </c>
      <c r="V66" s="49">
        <v>2015</v>
      </c>
      <c r="W66" s="49">
        <v>1</v>
      </c>
      <c r="X66" s="49">
        <v>0</v>
      </c>
      <c r="Y66" s="49">
        <v>-3.0000000000000001E-3</v>
      </c>
      <c r="Z66" s="49">
        <v>-1.2E-2</v>
      </c>
      <c r="AA66" s="49">
        <v>0</v>
      </c>
      <c r="AB66" s="49">
        <v>0</v>
      </c>
      <c r="AC66" s="49" t="s">
        <v>201</v>
      </c>
    </row>
    <row r="67" spans="1:29" s="158" customFormat="1" hidden="1" x14ac:dyDescent="0.2">
      <c r="A67" s="153">
        <f t="shared" si="0"/>
        <v>43</v>
      </c>
      <c r="B67" s="33">
        <v>1</v>
      </c>
      <c r="C67" s="33">
        <v>2</v>
      </c>
      <c r="D67" s="33">
        <v>5</v>
      </c>
      <c r="E67" s="104">
        <v>2016</v>
      </c>
      <c r="F67" s="33">
        <v>2021</v>
      </c>
      <c r="G67" s="33">
        <v>1</v>
      </c>
      <c r="H67" s="33">
        <v>5</v>
      </c>
      <c r="I67" s="33">
        <v>0</v>
      </c>
      <c r="J67" s="33">
        <v>0</v>
      </c>
      <c r="K67" s="33">
        <v>0</v>
      </c>
      <c r="L67" s="101">
        <v>2.6377491207502932</v>
      </c>
      <c r="M67" s="108">
        <v>3050</v>
      </c>
      <c r="N67" s="108">
        <v>4550</v>
      </c>
      <c r="O67" s="142">
        <v>150</v>
      </c>
      <c r="P67" s="142">
        <v>0</v>
      </c>
      <c r="Q67" s="160">
        <v>801</v>
      </c>
      <c r="R67" s="160">
        <v>1195</v>
      </c>
      <c r="S67" s="116">
        <v>0</v>
      </c>
      <c r="T67" s="116">
        <v>0</v>
      </c>
      <c r="U67" s="33" t="s">
        <v>226</v>
      </c>
      <c r="V67" s="33">
        <v>2015</v>
      </c>
      <c r="W67" s="33">
        <v>1</v>
      </c>
      <c r="X67" s="33">
        <v>0</v>
      </c>
      <c r="Y67" s="33">
        <v>-3.0000000000000001E-3</v>
      </c>
      <c r="Z67" s="33">
        <v>-1.2E-2</v>
      </c>
      <c r="AA67" s="33">
        <v>0</v>
      </c>
      <c r="AB67" s="33">
        <v>0</v>
      </c>
      <c r="AC67" s="33" t="s">
        <v>202</v>
      </c>
    </row>
    <row r="68" spans="1:29" s="158" customFormat="1" hidden="1" x14ac:dyDescent="0.2">
      <c r="A68" s="153">
        <f t="shared" si="0"/>
        <v>44</v>
      </c>
      <c r="B68" s="33">
        <v>1</v>
      </c>
      <c r="C68" s="33">
        <v>2</v>
      </c>
      <c r="D68" s="33">
        <v>5</v>
      </c>
      <c r="E68" s="104">
        <v>2016</v>
      </c>
      <c r="F68" s="33">
        <v>2021</v>
      </c>
      <c r="G68" s="33">
        <v>2</v>
      </c>
      <c r="H68" s="33">
        <v>5</v>
      </c>
      <c r="I68" s="33">
        <v>0</v>
      </c>
      <c r="J68" s="33">
        <v>0</v>
      </c>
      <c r="K68" s="33">
        <v>0</v>
      </c>
      <c r="L68" s="101">
        <v>2.6377491207502932</v>
      </c>
      <c r="M68" s="108">
        <v>3050</v>
      </c>
      <c r="N68" s="108">
        <v>4550</v>
      </c>
      <c r="O68" s="142">
        <v>150</v>
      </c>
      <c r="P68" s="142">
        <v>0</v>
      </c>
      <c r="Q68" s="160">
        <v>259</v>
      </c>
      <c r="R68" s="160">
        <v>387</v>
      </c>
      <c r="S68" s="116">
        <v>0</v>
      </c>
      <c r="T68" s="116">
        <v>0</v>
      </c>
      <c r="U68" s="33" t="s">
        <v>226</v>
      </c>
      <c r="V68" s="33">
        <v>2015</v>
      </c>
      <c r="W68" s="33">
        <v>1</v>
      </c>
      <c r="X68" s="33">
        <v>0</v>
      </c>
      <c r="Y68" s="33">
        <v>-3.0000000000000001E-3</v>
      </c>
      <c r="Z68" s="33">
        <v>-1.2E-2</v>
      </c>
      <c r="AA68" s="33">
        <v>0</v>
      </c>
      <c r="AB68" s="33">
        <v>0</v>
      </c>
      <c r="AC68" s="33" t="s">
        <v>202</v>
      </c>
    </row>
    <row r="69" spans="1:29" s="158" customFormat="1" x14ac:dyDescent="0.2">
      <c r="A69" s="153">
        <f t="shared" si="0"/>
        <v>45</v>
      </c>
      <c r="B69" s="33">
        <v>1</v>
      </c>
      <c r="C69" s="33">
        <v>2</v>
      </c>
      <c r="D69" s="33">
        <v>5</v>
      </c>
      <c r="E69" s="104">
        <v>2016</v>
      </c>
      <c r="F69" s="33">
        <v>2021</v>
      </c>
      <c r="G69" s="33">
        <v>3</v>
      </c>
      <c r="H69" s="33">
        <v>5</v>
      </c>
      <c r="I69" s="33">
        <v>0</v>
      </c>
      <c r="J69" s="33">
        <v>0</v>
      </c>
      <c r="K69" s="33">
        <v>0</v>
      </c>
      <c r="L69" s="101">
        <v>2.6377491207502932</v>
      </c>
      <c r="M69" s="108">
        <v>3050</v>
      </c>
      <c r="N69" s="108">
        <v>4550</v>
      </c>
      <c r="O69" s="142">
        <v>150</v>
      </c>
      <c r="P69" s="142">
        <v>0</v>
      </c>
      <c r="Q69" s="160">
        <v>193</v>
      </c>
      <c r="R69" s="160">
        <v>288</v>
      </c>
      <c r="S69" s="116">
        <v>0</v>
      </c>
      <c r="T69" s="116">
        <v>0</v>
      </c>
      <c r="U69" s="33" t="s">
        <v>226</v>
      </c>
      <c r="V69" s="33">
        <v>2015</v>
      </c>
      <c r="W69" s="33">
        <v>1</v>
      </c>
      <c r="X69" s="33">
        <v>0</v>
      </c>
      <c r="Y69" s="33">
        <v>-3.0000000000000001E-3</v>
      </c>
      <c r="Z69" s="33">
        <v>-1.2E-2</v>
      </c>
      <c r="AA69" s="33">
        <v>0</v>
      </c>
      <c r="AB69" s="33">
        <v>0</v>
      </c>
      <c r="AC69" s="33" t="s">
        <v>202</v>
      </c>
    </row>
    <row r="70" spans="1:29" s="158" customFormat="1" hidden="1" x14ac:dyDescent="0.2">
      <c r="A70" s="153">
        <f t="shared" si="0"/>
        <v>46</v>
      </c>
      <c r="B70" s="33">
        <v>1</v>
      </c>
      <c r="C70" s="33">
        <v>2</v>
      </c>
      <c r="D70" s="33">
        <v>5</v>
      </c>
      <c r="E70" s="104">
        <v>2016</v>
      </c>
      <c r="F70" s="33">
        <v>2021</v>
      </c>
      <c r="G70" s="33">
        <v>4</v>
      </c>
      <c r="H70" s="33">
        <v>5</v>
      </c>
      <c r="I70" s="33">
        <v>0</v>
      </c>
      <c r="J70" s="33">
        <v>0</v>
      </c>
      <c r="K70" s="33">
        <v>0</v>
      </c>
      <c r="L70" s="101">
        <v>2.6377491207502932</v>
      </c>
      <c r="M70" s="108">
        <v>3050</v>
      </c>
      <c r="N70" s="108">
        <v>4550</v>
      </c>
      <c r="O70" s="142">
        <v>150</v>
      </c>
      <c r="P70" s="142">
        <v>0</v>
      </c>
      <c r="Q70" s="160">
        <v>256</v>
      </c>
      <c r="R70" s="160">
        <v>382</v>
      </c>
      <c r="S70" s="116">
        <v>0</v>
      </c>
      <c r="T70" s="116">
        <v>0</v>
      </c>
      <c r="U70" s="33" t="s">
        <v>226</v>
      </c>
      <c r="V70" s="33">
        <v>2015</v>
      </c>
      <c r="W70" s="33">
        <v>1</v>
      </c>
      <c r="X70" s="33">
        <v>0</v>
      </c>
      <c r="Y70" s="33">
        <v>-3.0000000000000001E-3</v>
      </c>
      <c r="Z70" s="33">
        <v>-1.2E-2</v>
      </c>
      <c r="AA70" s="33">
        <v>0</v>
      </c>
      <c r="AB70" s="33">
        <v>0</v>
      </c>
      <c r="AC70" s="33" t="s">
        <v>202</v>
      </c>
    </row>
    <row r="71" spans="1:29" s="158" customFormat="1" hidden="1" x14ac:dyDescent="0.2">
      <c r="A71" s="153">
        <f t="shared" si="0"/>
        <v>47</v>
      </c>
      <c r="B71" s="33">
        <v>1</v>
      </c>
      <c r="C71" s="33">
        <v>2</v>
      </c>
      <c r="D71" s="33">
        <v>5</v>
      </c>
      <c r="E71" s="104">
        <v>2016</v>
      </c>
      <c r="F71" s="33">
        <v>2021</v>
      </c>
      <c r="G71" s="33">
        <v>5</v>
      </c>
      <c r="H71" s="33">
        <v>5</v>
      </c>
      <c r="I71" s="33">
        <v>0</v>
      </c>
      <c r="J71" s="33">
        <v>0</v>
      </c>
      <c r="K71" s="33">
        <v>0</v>
      </c>
      <c r="L71" s="101">
        <v>2.6377491207502932</v>
      </c>
      <c r="M71" s="108">
        <v>3050</v>
      </c>
      <c r="N71" s="108">
        <v>4550</v>
      </c>
      <c r="O71" s="142">
        <v>150</v>
      </c>
      <c r="P71" s="142">
        <v>0</v>
      </c>
      <c r="Q71" s="160">
        <v>147</v>
      </c>
      <c r="R71" s="160">
        <v>219</v>
      </c>
      <c r="S71" s="116">
        <v>0</v>
      </c>
      <c r="T71" s="116">
        <v>0</v>
      </c>
      <c r="U71" s="33" t="s">
        <v>226</v>
      </c>
      <c r="V71" s="33">
        <v>2015</v>
      </c>
      <c r="W71" s="33">
        <v>1</v>
      </c>
      <c r="X71" s="33">
        <v>0</v>
      </c>
      <c r="Y71" s="33">
        <v>-3.0000000000000001E-3</v>
      </c>
      <c r="Z71" s="33">
        <v>-1.2E-2</v>
      </c>
      <c r="AA71" s="33">
        <v>0</v>
      </c>
      <c r="AB71" s="33">
        <v>0</v>
      </c>
      <c r="AC71" s="33" t="s">
        <v>202</v>
      </c>
    </row>
    <row r="72" spans="1:29" s="158" customFormat="1" hidden="1" x14ac:dyDescent="0.2">
      <c r="A72" s="153">
        <f t="shared" si="0"/>
        <v>48</v>
      </c>
      <c r="B72" s="33">
        <v>1</v>
      </c>
      <c r="C72" s="33">
        <v>2</v>
      </c>
      <c r="D72" s="33">
        <v>5</v>
      </c>
      <c r="E72" s="104">
        <v>2016</v>
      </c>
      <c r="F72" s="33">
        <v>2021</v>
      </c>
      <c r="G72" s="33">
        <v>6</v>
      </c>
      <c r="H72" s="33">
        <v>5</v>
      </c>
      <c r="I72" s="33">
        <v>0</v>
      </c>
      <c r="J72" s="33">
        <v>0</v>
      </c>
      <c r="K72" s="33">
        <v>0</v>
      </c>
      <c r="L72" s="101">
        <v>2.6377491207502932</v>
      </c>
      <c r="M72" s="108">
        <v>3050</v>
      </c>
      <c r="N72" s="108">
        <v>4550</v>
      </c>
      <c r="O72" s="142">
        <v>150</v>
      </c>
      <c r="P72" s="142">
        <v>0</v>
      </c>
      <c r="Q72" s="160">
        <v>26</v>
      </c>
      <c r="R72" s="160">
        <v>39</v>
      </c>
      <c r="S72" s="116">
        <v>0</v>
      </c>
      <c r="T72" s="116">
        <v>0</v>
      </c>
      <c r="U72" s="33" t="s">
        <v>226</v>
      </c>
      <c r="V72" s="33">
        <v>2015</v>
      </c>
      <c r="W72" s="33">
        <v>1</v>
      </c>
      <c r="X72" s="33">
        <v>0</v>
      </c>
      <c r="Y72" s="33">
        <v>-3.0000000000000001E-3</v>
      </c>
      <c r="Z72" s="33">
        <v>-1.2E-2</v>
      </c>
      <c r="AA72" s="33">
        <v>0</v>
      </c>
      <c r="AB72" s="33">
        <v>0</v>
      </c>
      <c r="AC72" s="33" t="s">
        <v>202</v>
      </c>
    </row>
    <row r="73" spans="1:29" s="158" customFormat="1" hidden="1" x14ac:dyDescent="0.2">
      <c r="A73" s="153">
        <f t="shared" si="0"/>
        <v>49</v>
      </c>
      <c r="B73" s="33">
        <v>1</v>
      </c>
      <c r="C73" s="33">
        <v>2</v>
      </c>
      <c r="D73" s="33">
        <v>5</v>
      </c>
      <c r="E73" s="104">
        <v>2016</v>
      </c>
      <c r="F73" s="33">
        <v>2021</v>
      </c>
      <c r="G73" s="33">
        <v>7</v>
      </c>
      <c r="H73" s="33">
        <v>5</v>
      </c>
      <c r="I73" s="33">
        <v>0</v>
      </c>
      <c r="J73" s="33">
        <v>0</v>
      </c>
      <c r="K73" s="33">
        <v>0</v>
      </c>
      <c r="L73" s="101">
        <v>2.6377491207502932</v>
      </c>
      <c r="M73" s="108">
        <v>3050</v>
      </c>
      <c r="N73" s="108">
        <v>4550</v>
      </c>
      <c r="O73" s="142">
        <v>150</v>
      </c>
      <c r="P73" s="142">
        <v>0</v>
      </c>
      <c r="Q73" s="160">
        <v>1168</v>
      </c>
      <c r="R73" s="160">
        <v>1743</v>
      </c>
      <c r="S73" s="116">
        <v>0</v>
      </c>
      <c r="T73" s="116">
        <v>0</v>
      </c>
      <c r="U73" s="33" t="s">
        <v>226</v>
      </c>
      <c r="V73" s="33">
        <v>2015</v>
      </c>
      <c r="W73" s="33">
        <v>1</v>
      </c>
      <c r="X73" s="33">
        <v>0</v>
      </c>
      <c r="Y73" s="33">
        <v>-3.0000000000000001E-3</v>
      </c>
      <c r="Z73" s="33">
        <v>-1.2E-2</v>
      </c>
      <c r="AA73" s="33">
        <v>0</v>
      </c>
      <c r="AB73" s="33">
        <v>0</v>
      </c>
      <c r="AC73" s="33" t="s">
        <v>202</v>
      </c>
    </row>
    <row r="74" spans="1:29" s="158" customFormat="1" hidden="1" x14ac:dyDescent="0.2">
      <c r="A74" s="153">
        <f t="shared" si="0"/>
        <v>50</v>
      </c>
      <c r="B74" s="33">
        <v>1</v>
      </c>
      <c r="C74" s="33">
        <v>2</v>
      </c>
      <c r="D74" s="33">
        <v>5</v>
      </c>
      <c r="E74" s="104">
        <v>2016</v>
      </c>
      <c r="F74" s="33">
        <v>2021</v>
      </c>
      <c r="G74" s="33">
        <v>8</v>
      </c>
      <c r="H74" s="33">
        <v>5</v>
      </c>
      <c r="I74" s="33">
        <v>0</v>
      </c>
      <c r="J74" s="33">
        <v>0</v>
      </c>
      <c r="K74" s="33">
        <v>0</v>
      </c>
      <c r="L74" s="101">
        <v>2.6377491207502932</v>
      </c>
      <c r="M74" s="108">
        <v>3050</v>
      </c>
      <c r="N74" s="108">
        <v>4550</v>
      </c>
      <c r="O74" s="142">
        <v>150</v>
      </c>
      <c r="P74" s="142">
        <v>0</v>
      </c>
      <c r="Q74" s="160">
        <v>212</v>
      </c>
      <c r="R74" s="160">
        <v>316</v>
      </c>
      <c r="S74" s="116">
        <v>0</v>
      </c>
      <c r="T74" s="116">
        <v>0</v>
      </c>
      <c r="U74" s="33" t="s">
        <v>226</v>
      </c>
      <c r="V74" s="33">
        <v>2015</v>
      </c>
      <c r="W74" s="33">
        <v>1</v>
      </c>
      <c r="X74" s="33">
        <v>0</v>
      </c>
      <c r="Y74" s="33">
        <v>-3.0000000000000001E-3</v>
      </c>
      <c r="Z74" s="33">
        <v>-1.2E-2</v>
      </c>
      <c r="AA74" s="33">
        <v>0</v>
      </c>
      <c r="AB74" s="33">
        <v>0</v>
      </c>
      <c r="AC74" s="33" t="s">
        <v>202</v>
      </c>
    </row>
    <row r="75" spans="1:29" s="158" customFormat="1" hidden="1" x14ac:dyDescent="0.2">
      <c r="A75" s="153">
        <f t="shared" si="0"/>
        <v>51</v>
      </c>
      <c r="B75" s="33">
        <v>1</v>
      </c>
      <c r="C75" s="33">
        <v>2</v>
      </c>
      <c r="D75" s="33">
        <v>5</v>
      </c>
      <c r="E75" s="104">
        <v>2016</v>
      </c>
      <c r="F75" s="33">
        <v>2021</v>
      </c>
      <c r="G75" s="33">
        <v>9</v>
      </c>
      <c r="H75" s="33">
        <v>5</v>
      </c>
      <c r="I75" s="33">
        <v>0</v>
      </c>
      <c r="J75" s="33">
        <v>0</v>
      </c>
      <c r="K75" s="33">
        <v>0</v>
      </c>
      <c r="L75" s="101">
        <v>2.6377491207502932</v>
      </c>
      <c r="M75" s="108">
        <v>3050</v>
      </c>
      <c r="N75" s="108">
        <v>4550</v>
      </c>
      <c r="O75" s="142">
        <v>150</v>
      </c>
      <c r="P75" s="142">
        <v>0</v>
      </c>
      <c r="Q75" s="160">
        <v>411</v>
      </c>
      <c r="R75" s="160">
        <v>613</v>
      </c>
      <c r="S75" s="116">
        <v>0</v>
      </c>
      <c r="T75" s="116">
        <v>0</v>
      </c>
      <c r="U75" s="33" t="s">
        <v>226</v>
      </c>
      <c r="V75" s="33">
        <v>2015</v>
      </c>
      <c r="W75" s="33">
        <v>1</v>
      </c>
      <c r="X75" s="33">
        <v>0</v>
      </c>
      <c r="Y75" s="33">
        <v>-3.0000000000000001E-3</v>
      </c>
      <c r="Z75" s="33">
        <v>-1.2E-2</v>
      </c>
      <c r="AA75" s="33">
        <v>0</v>
      </c>
      <c r="AB75" s="33">
        <v>0</v>
      </c>
      <c r="AC75" s="33" t="s">
        <v>202</v>
      </c>
    </row>
    <row r="76" spans="1:29" s="158" customFormat="1" hidden="1" x14ac:dyDescent="0.2">
      <c r="A76" s="153">
        <f t="shared" si="0"/>
        <v>52</v>
      </c>
      <c r="B76" s="33">
        <v>1</v>
      </c>
      <c r="C76" s="33">
        <v>2</v>
      </c>
      <c r="D76" s="33">
        <v>5</v>
      </c>
      <c r="E76" s="104">
        <v>2022</v>
      </c>
      <c r="F76" s="159">
        <v>2032</v>
      </c>
      <c r="G76" s="33">
        <v>1</v>
      </c>
      <c r="H76" s="33">
        <v>5</v>
      </c>
      <c r="I76" s="33">
        <v>0</v>
      </c>
      <c r="J76" s="33">
        <v>0</v>
      </c>
      <c r="K76" s="33">
        <v>0</v>
      </c>
      <c r="L76" s="101">
        <v>2.9308323563892147</v>
      </c>
      <c r="M76" s="108">
        <v>3210.5263157894738</v>
      </c>
      <c r="N76" s="108">
        <v>4789.4736842105267</v>
      </c>
      <c r="O76" s="160">
        <v>1000</v>
      </c>
      <c r="P76" s="142">
        <v>0</v>
      </c>
      <c r="Q76" s="141">
        <v>843</v>
      </c>
      <c r="R76" s="141">
        <v>1258</v>
      </c>
      <c r="S76" s="116">
        <v>0</v>
      </c>
      <c r="T76" s="116">
        <v>0</v>
      </c>
      <c r="U76" s="33" t="s">
        <v>226</v>
      </c>
      <c r="V76" s="33">
        <v>2015</v>
      </c>
      <c r="W76" s="33">
        <v>1</v>
      </c>
      <c r="X76" s="33">
        <v>0</v>
      </c>
      <c r="Y76" s="33">
        <v>-3.0000000000000001E-3</v>
      </c>
      <c r="Z76" s="33">
        <v>-1.2E-2</v>
      </c>
      <c r="AA76" s="33">
        <v>0</v>
      </c>
      <c r="AB76" s="33">
        <v>0</v>
      </c>
      <c r="AC76" s="33" t="s">
        <v>202</v>
      </c>
    </row>
    <row r="77" spans="1:29" s="158" customFormat="1" hidden="1" x14ac:dyDescent="0.2">
      <c r="A77" s="153">
        <f t="shared" si="0"/>
        <v>53</v>
      </c>
      <c r="B77" s="33">
        <v>1</v>
      </c>
      <c r="C77" s="33">
        <v>2</v>
      </c>
      <c r="D77" s="33">
        <v>5</v>
      </c>
      <c r="E77" s="104">
        <v>2022</v>
      </c>
      <c r="F77" s="159">
        <v>2032</v>
      </c>
      <c r="G77" s="33">
        <v>2</v>
      </c>
      <c r="H77" s="33">
        <v>5</v>
      </c>
      <c r="I77" s="33">
        <v>0</v>
      </c>
      <c r="J77" s="33">
        <v>0</v>
      </c>
      <c r="K77" s="33">
        <v>0</v>
      </c>
      <c r="L77" s="101">
        <v>2.9308323563892147</v>
      </c>
      <c r="M77" s="108">
        <v>3210.5263157894738</v>
      </c>
      <c r="N77" s="108">
        <v>4789.4736842105267</v>
      </c>
      <c r="O77" s="160">
        <v>1000</v>
      </c>
      <c r="P77" s="142">
        <v>0</v>
      </c>
      <c r="Q77" s="141">
        <v>273</v>
      </c>
      <c r="R77" s="141">
        <v>407</v>
      </c>
      <c r="S77" s="116">
        <v>0</v>
      </c>
      <c r="T77" s="116">
        <v>0</v>
      </c>
      <c r="U77" s="33" t="s">
        <v>226</v>
      </c>
      <c r="V77" s="33">
        <v>2015</v>
      </c>
      <c r="W77" s="33">
        <v>1</v>
      </c>
      <c r="X77" s="33">
        <v>0</v>
      </c>
      <c r="Y77" s="33">
        <v>-3.0000000000000001E-3</v>
      </c>
      <c r="Z77" s="33">
        <v>-1.2E-2</v>
      </c>
      <c r="AA77" s="33">
        <v>0</v>
      </c>
      <c r="AB77" s="33">
        <v>0</v>
      </c>
      <c r="AC77" s="33" t="s">
        <v>202</v>
      </c>
    </row>
    <row r="78" spans="1:29" s="158" customFormat="1" x14ac:dyDescent="0.2">
      <c r="A78" s="153">
        <f t="shared" si="0"/>
        <v>54</v>
      </c>
      <c r="B78" s="33">
        <v>1</v>
      </c>
      <c r="C78" s="33">
        <v>2</v>
      </c>
      <c r="D78" s="33">
        <v>5</v>
      </c>
      <c r="E78" s="104">
        <v>2022</v>
      </c>
      <c r="F78" s="159">
        <v>2032</v>
      </c>
      <c r="G78" s="33">
        <v>3</v>
      </c>
      <c r="H78" s="33">
        <v>5</v>
      </c>
      <c r="I78" s="33">
        <v>0</v>
      </c>
      <c r="J78" s="33">
        <v>0</v>
      </c>
      <c r="K78" s="33">
        <v>0</v>
      </c>
      <c r="L78" s="101">
        <v>2.9308323563892147</v>
      </c>
      <c r="M78" s="108">
        <v>3210.5263157894738</v>
      </c>
      <c r="N78" s="108">
        <v>4789.4736842105267</v>
      </c>
      <c r="O78" s="160">
        <v>1000</v>
      </c>
      <c r="P78" s="142">
        <v>0</v>
      </c>
      <c r="Q78" s="141">
        <v>203</v>
      </c>
      <c r="R78" s="141">
        <v>303</v>
      </c>
      <c r="S78" s="116">
        <v>0</v>
      </c>
      <c r="T78" s="116">
        <v>0</v>
      </c>
      <c r="U78" s="33" t="s">
        <v>226</v>
      </c>
      <c r="V78" s="33">
        <v>2015</v>
      </c>
      <c r="W78" s="33">
        <v>1</v>
      </c>
      <c r="X78" s="33">
        <v>0</v>
      </c>
      <c r="Y78" s="33">
        <v>-3.0000000000000001E-3</v>
      </c>
      <c r="Z78" s="33">
        <v>-1.2E-2</v>
      </c>
      <c r="AA78" s="33">
        <v>0</v>
      </c>
      <c r="AB78" s="33">
        <v>0</v>
      </c>
      <c r="AC78" s="33" t="s">
        <v>202</v>
      </c>
    </row>
    <row r="79" spans="1:29" s="158" customFormat="1" hidden="1" x14ac:dyDescent="0.2">
      <c r="A79" s="153">
        <f t="shared" si="0"/>
        <v>55</v>
      </c>
      <c r="B79" s="33">
        <v>1</v>
      </c>
      <c r="C79" s="33">
        <v>2</v>
      </c>
      <c r="D79" s="33">
        <v>5</v>
      </c>
      <c r="E79" s="104">
        <v>2022</v>
      </c>
      <c r="F79" s="159">
        <v>2032</v>
      </c>
      <c r="G79" s="33">
        <v>4</v>
      </c>
      <c r="H79" s="33">
        <v>5</v>
      </c>
      <c r="I79" s="33">
        <v>0</v>
      </c>
      <c r="J79" s="33">
        <v>0</v>
      </c>
      <c r="K79" s="33">
        <v>0</v>
      </c>
      <c r="L79" s="101">
        <v>2.9308323563892147</v>
      </c>
      <c r="M79" s="108">
        <v>3210.5263157894738</v>
      </c>
      <c r="N79" s="108">
        <v>4789.4736842105267</v>
      </c>
      <c r="O79" s="160">
        <v>1000</v>
      </c>
      <c r="P79" s="142">
        <v>0</v>
      </c>
      <c r="Q79" s="141">
        <v>270</v>
      </c>
      <c r="R79" s="141">
        <v>402</v>
      </c>
      <c r="S79" s="116">
        <v>0</v>
      </c>
      <c r="T79" s="116">
        <v>0</v>
      </c>
      <c r="U79" s="33" t="s">
        <v>226</v>
      </c>
      <c r="V79" s="33">
        <v>2015</v>
      </c>
      <c r="W79" s="33">
        <v>1</v>
      </c>
      <c r="X79" s="33">
        <v>0</v>
      </c>
      <c r="Y79" s="33">
        <v>-3.0000000000000001E-3</v>
      </c>
      <c r="Z79" s="33">
        <v>-1.2E-2</v>
      </c>
      <c r="AA79" s="33">
        <v>0</v>
      </c>
      <c r="AB79" s="33">
        <v>0</v>
      </c>
      <c r="AC79" s="33" t="s">
        <v>202</v>
      </c>
    </row>
    <row r="80" spans="1:29" s="158" customFormat="1" hidden="1" x14ac:dyDescent="0.2">
      <c r="A80" s="153">
        <f t="shared" si="0"/>
        <v>56</v>
      </c>
      <c r="B80" s="33">
        <v>1</v>
      </c>
      <c r="C80" s="33">
        <v>2</v>
      </c>
      <c r="D80" s="33">
        <v>5</v>
      </c>
      <c r="E80" s="104">
        <v>2022</v>
      </c>
      <c r="F80" s="159">
        <v>2032</v>
      </c>
      <c r="G80" s="33">
        <v>5</v>
      </c>
      <c r="H80" s="33">
        <v>5</v>
      </c>
      <c r="I80" s="33">
        <v>0</v>
      </c>
      <c r="J80" s="33">
        <v>0</v>
      </c>
      <c r="K80" s="33">
        <v>0</v>
      </c>
      <c r="L80" s="101">
        <v>2.9308323563892147</v>
      </c>
      <c r="M80" s="108">
        <v>3210.5263157894738</v>
      </c>
      <c r="N80" s="108">
        <v>4789.4736842105267</v>
      </c>
      <c r="O80" s="160">
        <v>1000</v>
      </c>
      <c r="P80" s="142">
        <v>0</v>
      </c>
      <c r="Q80" s="141">
        <v>154</v>
      </c>
      <c r="R80" s="141">
        <v>230</v>
      </c>
      <c r="S80" s="116">
        <v>0</v>
      </c>
      <c r="T80" s="116">
        <v>0</v>
      </c>
      <c r="U80" s="33" t="s">
        <v>226</v>
      </c>
      <c r="V80" s="33">
        <v>2015</v>
      </c>
      <c r="W80" s="33">
        <v>1</v>
      </c>
      <c r="X80" s="33">
        <v>0</v>
      </c>
      <c r="Y80" s="33">
        <v>-3.0000000000000001E-3</v>
      </c>
      <c r="Z80" s="33">
        <v>-1.2E-2</v>
      </c>
      <c r="AA80" s="33">
        <v>0</v>
      </c>
      <c r="AB80" s="33">
        <v>0</v>
      </c>
      <c r="AC80" s="33" t="s">
        <v>202</v>
      </c>
    </row>
    <row r="81" spans="1:29" s="158" customFormat="1" hidden="1" x14ac:dyDescent="0.2">
      <c r="A81" s="153">
        <f t="shared" si="0"/>
        <v>57</v>
      </c>
      <c r="B81" s="33">
        <v>1</v>
      </c>
      <c r="C81" s="33">
        <v>2</v>
      </c>
      <c r="D81" s="33">
        <v>5</v>
      </c>
      <c r="E81" s="104">
        <v>2022</v>
      </c>
      <c r="F81" s="159">
        <v>2032</v>
      </c>
      <c r="G81" s="33">
        <v>6</v>
      </c>
      <c r="H81" s="33">
        <v>5</v>
      </c>
      <c r="I81" s="33">
        <v>0</v>
      </c>
      <c r="J81" s="33">
        <v>0</v>
      </c>
      <c r="K81" s="33">
        <v>0</v>
      </c>
      <c r="L81" s="101">
        <v>2.9308323563892147</v>
      </c>
      <c r="M81" s="108">
        <v>3210.5263157894738</v>
      </c>
      <c r="N81" s="108">
        <v>4789.4736842105267</v>
      </c>
      <c r="O81" s="160">
        <v>1000</v>
      </c>
      <c r="P81" s="142">
        <v>0</v>
      </c>
      <c r="Q81" s="141">
        <v>27</v>
      </c>
      <c r="R81" s="141">
        <v>41</v>
      </c>
      <c r="S81" s="116">
        <v>0</v>
      </c>
      <c r="T81" s="116">
        <v>0</v>
      </c>
      <c r="U81" s="33" t="s">
        <v>226</v>
      </c>
      <c r="V81" s="33">
        <v>2015</v>
      </c>
      <c r="W81" s="33">
        <v>1</v>
      </c>
      <c r="X81" s="33">
        <v>0</v>
      </c>
      <c r="Y81" s="33">
        <v>-3.0000000000000001E-3</v>
      </c>
      <c r="Z81" s="33">
        <v>-1.2E-2</v>
      </c>
      <c r="AA81" s="33">
        <v>0</v>
      </c>
      <c r="AB81" s="33">
        <v>0</v>
      </c>
      <c r="AC81" s="33" t="s">
        <v>202</v>
      </c>
    </row>
    <row r="82" spans="1:29" s="158" customFormat="1" hidden="1" x14ac:dyDescent="0.2">
      <c r="A82" s="153">
        <f t="shared" si="0"/>
        <v>58</v>
      </c>
      <c r="B82" s="33">
        <v>1</v>
      </c>
      <c r="C82" s="33">
        <v>2</v>
      </c>
      <c r="D82" s="33">
        <v>5</v>
      </c>
      <c r="E82" s="104">
        <v>2022</v>
      </c>
      <c r="F82" s="159">
        <v>2032</v>
      </c>
      <c r="G82" s="33">
        <v>7</v>
      </c>
      <c r="H82" s="33">
        <v>5</v>
      </c>
      <c r="I82" s="33">
        <v>0</v>
      </c>
      <c r="J82" s="33">
        <v>0</v>
      </c>
      <c r="K82" s="33">
        <v>0</v>
      </c>
      <c r="L82" s="101">
        <v>2.9308323563892147</v>
      </c>
      <c r="M82" s="108">
        <v>3210.5263157894738</v>
      </c>
      <c r="N82" s="108">
        <v>4789.4736842105267</v>
      </c>
      <c r="O82" s="160">
        <v>1000</v>
      </c>
      <c r="P82" s="142">
        <v>0</v>
      </c>
      <c r="Q82" s="141">
        <v>1230</v>
      </c>
      <c r="R82" s="141">
        <v>1835</v>
      </c>
      <c r="S82" s="116">
        <v>0</v>
      </c>
      <c r="T82" s="116">
        <v>0</v>
      </c>
      <c r="U82" s="33" t="s">
        <v>226</v>
      </c>
      <c r="V82" s="33">
        <v>2015</v>
      </c>
      <c r="W82" s="33">
        <v>1</v>
      </c>
      <c r="X82" s="33">
        <v>0</v>
      </c>
      <c r="Y82" s="33">
        <v>-3.0000000000000001E-3</v>
      </c>
      <c r="Z82" s="33">
        <v>-1.2E-2</v>
      </c>
      <c r="AA82" s="33">
        <v>0</v>
      </c>
      <c r="AB82" s="33">
        <v>0</v>
      </c>
      <c r="AC82" s="33" t="s">
        <v>202</v>
      </c>
    </row>
    <row r="83" spans="1:29" s="158" customFormat="1" hidden="1" x14ac:dyDescent="0.2">
      <c r="A83" s="153">
        <f t="shared" si="0"/>
        <v>59</v>
      </c>
      <c r="B83" s="33">
        <v>1</v>
      </c>
      <c r="C83" s="33">
        <v>2</v>
      </c>
      <c r="D83" s="33">
        <v>5</v>
      </c>
      <c r="E83" s="104">
        <v>2022</v>
      </c>
      <c r="F83" s="159">
        <v>2032</v>
      </c>
      <c r="G83" s="33">
        <v>8</v>
      </c>
      <c r="H83" s="33">
        <v>5</v>
      </c>
      <c r="I83" s="33">
        <v>0</v>
      </c>
      <c r="J83" s="33">
        <v>0</v>
      </c>
      <c r="K83" s="33">
        <v>0</v>
      </c>
      <c r="L83" s="101">
        <v>2.9308323563892147</v>
      </c>
      <c r="M83" s="108">
        <v>3210.5263157894738</v>
      </c>
      <c r="N83" s="108">
        <v>4789.4736842105267</v>
      </c>
      <c r="O83" s="160">
        <v>1000</v>
      </c>
      <c r="P83" s="142">
        <v>0</v>
      </c>
      <c r="Q83" s="141">
        <v>223</v>
      </c>
      <c r="R83" s="141">
        <v>333</v>
      </c>
      <c r="S83" s="116">
        <v>0</v>
      </c>
      <c r="T83" s="116">
        <v>0</v>
      </c>
      <c r="U83" s="33" t="s">
        <v>226</v>
      </c>
      <c r="V83" s="33">
        <v>2015</v>
      </c>
      <c r="W83" s="33">
        <v>1</v>
      </c>
      <c r="X83" s="33">
        <v>0</v>
      </c>
      <c r="Y83" s="33">
        <v>-3.0000000000000001E-3</v>
      </c>
      <c r="Z83" s="33">
        <v>-1.2E-2</v>
      </c>
      <c r="AA83" s="33">
        <v>0</v>
      </c>
      <c r="AB83" s="33">
        <v>0</v>
      </c>
      <c r="AC83" s="33" t="s">
        <v>202</v>
      </c>
    </row>
    <row r="84" spans="1:29" s="158" customFormat="1" hidden="1" x14ac:dyDescent="0.2">
      <c r="A84" s="153">
        <f t="shared" si="0"/>
        <v>60</v>
      </c>
      <c r="B84" s="33">
        <v>1</v>
      </c>
      <c r="C84" s="33">
        <v>2</v>
      </c>
      <c r="D84" s="33">
        <v>5</v>
      </c>
      <c r="E84" s="104">
        <v>2022</v>
      </c>
      <c r="F84" s="159">
        <v>2032</v>
      </c>
      <c r="G84" s="33">
        <v>9</v>
      </c>
      <c r="H84" s="33">
        <v>5</v>
      </c>
      <c r="I84" s="33">
        <v>0</v>
      </c>
      <c r="J84" s="33">
        <v>0</v>
      </c>
      <c r="K84" s="33">
        <v>0</v>
      </c>
      <c r="L84" s="101">
        <v>2.9308323563892147</v>
      </c>
      <c r="M84" s="108">
        <v>3210.5263157894738</v>
      </c>
      <c r="N84" s="108">
        <v>4789.4736842105267</v>
      </c>
      <c r="O84" s="160">
        <v>1000</v>
      </c>
      <c r="P84" s="142">
        <v>0</v>
      </c>
      <c r="Q84" s="141">
        <v>432</v>
      </c>
      <c r="R84" s="141">
        <v>645</v>
      </c>
      <c r="S84" s="116">
        <v>0</v>
      </c>
      <c r="T84" s="116">
        <v>0</v>
      </c>
      <c r="U84" s="33" t="s">
        <v>226</v>
      </c>
      <c r="V84" s="33">
        <v>2015</v>
      </c>
      <c r="W84" s="33">
        <v>1</v>
      </c>
      <c r="X84" s="33">
        <v>0</v>
      </c>
      <c r="Y84" s="33">
        <v>-3.0000000000000001E-3</v>
      </c>
      <c r="Z84" s="33">
        <v>-1.2E-2</v>
      </c>
      <c r="AA84" s="33">
        <v>0</v>
      </c>
      <c r="AB84" s="33">
        <v>0</v>
      </c>
      <c r="AC84" s="33" t="s">
        <v>202</v>
      </c>
    </row>
    <row r="85" spans="1:29" s="158" customFormat="1" hidden="1" x14ac:dyDescent="0.2">
      <c r="A85" s="153">
        <f t="shared" si="0"/>
        <v>61</v>
      </c>
      <c r="B85" s="49">
        <v>1</v>
      </c>
      <c r="C85" s="49">
        <v>2</v>
      </c>
      <c r="D85" s="49">
        <v>5</v>
      </c>
      <c r="E85" s="166">
        <v>2033</v>
      </c>
      <c r="F85" s="49">
        <v>2050</v>
      </c>
      <c r="G85" s="49">
        <v>1</v>
      </c>
      <c r="H85" s="49">
        <v>5</v>
      </c>
      <c r="I85" s="49">
        <v>0</v>
      </c>
      <c r="J85" s="49">
        <v>0</v>
      </c>
      <c r="K85" s="49">
        <v>0</v>
      </c>
      <c r="L85" s="167">
        <v>2.9308323563892147</v>
      </c>
      <c r="M85" s="168">
        <v>3210.5263157894738</v>
      </c>
      <c r="N85" s="168">
        <v>4789.4736842105267</v>
      </c>
      <c r="O85" s="51">
        <v>0</v>
      </c>
      <c r="P85" s="51">
        <v>0</v>
      </c>
      <c r="Q85" s="51">
        <v>843</v>
      </c>
      <c r="R85" s="51">
        <v>1258</v>
      </c>
      <c r="S85" s="171">
        <v>0</v>
      </c>
      <c r="T85" s="171">
        <v>0</v>
      </c>
      <c r="U85" s="49" t="s">
        <v>226</v>
      </c>
      <c r="V85" s="49">
        <v>2015</v>
      </c>
      <c r="W85" s="49">
        <v>1</v>
      </c>
      <c r="X85" s="49">
        <v>0</v>
      </c>
      <c r="Y85" s="49">
        <v>-3.0000000000000001E-3</v>
      </c>
      <c r="Z85" s="49">
        <v>-1.2E-2</v>
      </c>
      <c r="AA85" s="49">
        <v>0</v>
      </c>
      <c r="AB85" s="49">
        <v>0</v>
      </c>
      <c r="AC85" s="49" t="s">
        <v>202</v>
      </c>
    </row>
    <row r="86" spans="1:29" s="158" customFormat="1" hidden="1" x14ac:dyDescent="0.2">
      <c r="A86" s="153">
        <f t="shared" si="0"/>
        <v>62</v>
      </c>
      <c r="B86" s="49">
        <v>1</v>
      </c>
      <c r="C86" s="49">
        <v>2</v>
      </c>
      <c r="D86" s="49">
        <v>5</v>
      </c>
      <c r="E86" s="166">
        <v>2033</v>
      </c>
      <c r="F86" s="49">
        <v>2050</v>
      </c>
      <c r="G86" s="49">
        <v>2</v>
      </c>
      <c r="H86" s="49">
        <v>5</v>
      </c>
      <c r="I86" s="49">
        <v>0</v>
      </c>
      <c r="J86" s="49">
        <v>0</v>
      </c>
      <c r="K86" s="49">
        <v>0</v>
      </c>
      <c r="L86" s="167">
        <v>2.9308323563892147</v>
      </c>
      <c r="M86" s="168">
        <v>3210.5263157894738</v>
      </c>
      <c r="N86" s="168">
        <v>4789.4736842105267</v>
      </c>
      <c r="O86" s="51">
        <v>0</v>
      </c>
      <c r="P86" s="51">
        <v>0</v>
      </c>
      <c r="Q86" s="51">
        <v>273</v>
      </c>
      <c r="R86" s="51">
        <v>407</v>
      </c>
      <c r="S86" s="171">
        <v>0</v>
      </c>
      <c r="T86" s="171">
        <v>0</v>
      </c>
      <c r="U86" s="49" t="s">
        <v>226</v>
      </c>
      <c r="V86" s="49">
        <v>2015</v>
      </c>
      <c r="W86" s="49">
        <v>1</v>
      </c>
      <c r="X86" s="49">
        <v>0</v>
      </c>
      <c r="Y86" s="49">
        <v>-3.0000000000000001E-3</v>
      </c>
      <c r="Z86" s="49">
        <v>-1.2E-2</v>
      </c>
      <c r="AA86" s="49">
        <v>0</v>
      </c>
      <c r="AB86" s="49">
        <v>0</v>
      </c>
      <c r="AC86" s="49" t="s">
        <v>202</v>
      </c>
    </row>
    <row r="87" spans="1:29" s="158" customFormat="1" x14ac:dyDescent="0.2">
      <c r="A87" s="153">
        <f t="shared" si="0"/>
        <v>63</v>
      </c>
      <c r="B87" s="49">
        <v>1</v>
      </c>
      <c r="C87" s="49">
        <v>2</v>
      </c>
      <c r="D87" s="49">
        <v>5</v>
      </c>
      <c r="E87" s="166">
        <v>2033</v>
      </c>
      <c r="F87" s="49">
        <v>2050</v>
      </c>
      <c r="G87" s="49">
        <v>3</v>
      </c>
      <c r="H87" s="49">
        <v>5</v>
      </c>
      <c r="I87" s="49">
        <v>0</v>
      </c>
      <c r="J87" s="49">
        <v>0</v>
      </c>
      <c r="K87" s="49">
        <v>0</v>
      </c>
      <c r="L87" s="167">
        <v>2.9308323563892147</v>
      </c>
      <c r="M87" s="168">
        <v>3210.5263157894738</v>
      </c>
      <c r="N87" s="168">
        <v>4789.4736842105267</v>
      </c>
      <c r="O87" s="51">
        <v>0</v>
      </c>
      <c r="P87" s="51">
        <v>0</v>
      </c>
      <c r="Q87" s="51">
        <v>203</v>
      </c>
      <c r="R87" s="51">
        <v>303</v>
      </c>
      <c r="S87" s="171">
        <v>0</v>
      </c>
      <c r="T87" s="171">
        <v>0</v>
      </c>
      <c r="U87" s="49" t="s">
        <v>226</v>
      </c>
      <c r="V87" s="49">
        <v>2015</v>
      </c>
      <c r="W87" s="49">
        <v>1</v>
      </c>
      <c r="X87" s="49">
        <v>0</v>
      </c>
      <c r="Y87" s="49">
        <v>-3.0000000000000001E-3</v>
      </c>
      <c r="Z87" s="49">
        <v>-1.2E-2</v>
      </c>
      <c r="AA87" s="49">
        <v>0</v>
      </c>
      <c r="AB87" s="49">
        <v>0</v>
      </c>
      <c r="AC87" s="49" t="s">
        <v>202</v>
      </c>
    </row>
    <row r="88" spans="1:29" s="158" customFormat="1" hidden="1" x14ac:dyDescent="0.2">
      <c r="A88" s="153">
        <f t="shared" si="0"/>
        <v>64</v>
      </c>
      <c r="B88" s="49">
        <v>1</v>
      </c>
      <c r="C88" s="49">
        <v>2</v>
      </c>
      <c r="D88" s="49">
        <v>5</v>
      </c>
      <c r="E88" s="166">
        <v>2033</v>
      </c>
      <c r="F88" s="49">
        <v>2050</v>
      </c>
      <c r="G88" s="49">
        <v>4</v>
      </c>
      <c r="H88" s="49">
        <v>5</v>
      </c>
      <c r="I88" s="49">
        <v>0</v>
      </c>
      <c r="J88" s="49">
        <v>0</v>
      </c>
      <c r="K88" s="49">
        <v>0</v>
      </c>
      <c r="L88" s="167">
        <v>2.9308323563892147</v>
      </c>
      <c r="M88" s="168">
        <v>3210.5263157894738</v>
      </c>
      <c r="N88" s="168">
        <v>4789.4736842105267</v>
      </c>
      <c r="O88" s="51">
        <v>0</v>
      </c>
      <c r="P88" s="51">
        <v>0</v>
      </c>
      <c r="Q88" s="51">
        <v>270</v>
      </c>
      <c r="R88" s="51">
        <v>402</v>
      </c>
      <c r="S88" s="171">
        <v>0</v>
      </c>
      <c r="T88" s="171">
        <v>0</v>
      </c>
      <c r="U88" s="49" t="s">
        <v>226</v>
      </c>
      <c r="V88" s="49">
        <v>2015</v>
      </c>
      <c r="W88" s="49">
        <v>1</v>
      </c>
      <c r="X88" s="49">
        <v>0</v>
      </c>
      <c r="Y88" s="49">
        <v>-3.0000000000000001E-3</v>
      </c>
      <c r="Z88" s="49">
        <v>-1.2E-2</v>
      </c>
      <c r="AA88" s="49">
        <v>0</v>
      </c>
      <c r="AB88" s="49">
        <v>0</v>
      </c>
      <c r="AC88" s="49" t="s">
        <v>202</v>
      </c>
    </row>
    <row r="89" spans="1:29" s="158" customFormat="1" hidden="1" x14ac:dyDescent="0.2">
      <c r="A89" s="153">
        <f t="shared" si="0"/>
        <v>65</v>
      </c>
      <c r="B89" s="49">
        <v>1</v>
      </c>
      <c r="C89" s="49">
        <v>2</v>
      </c>
      <c r="D89" s="49">
        <v>5</v>
      </c>
      <c r="E89" s="166">
        <v>2033</v>
      </c>
      <c r="F89" s="49">
        <v>2050</v>
      </c>
      <c r="G89" s="49">
        <v>5</v>
      </c>
      <c r="H89" s="49">
        <v>5</v>
      </c>
      <c r="I89" s="49">
        <v>0</v>
      </c>
      <c r="J89" s="49">
        <v>0</v>
      </c>
      <c r="K89" s="49">
        <v>0</v>
      </c>
      <c r="L89" s="167">
        <v>2.9308323563892147</v>
      </c>
      <c r="M89" s="168">
        <v>3210.5263157894738</v>
      </c>
      <c r="N89" s="168">
        <v>4789.4736842105267</v>
      </c>
      <c r="O89" s="51">
        <v>0</v>
      </c>
      <c r="P89" s="51">
        <v>0</v>
      </c>
      <c r="Q89" s="51">
        <v>154</v>
      </c>
      <c r="R89" s="51">
        <v>230</v>
      </c>
      <c r="S89" s="171">
        <v>0</v>
      </c>
      <c r="T89" s="171">
        <v>0</v>
      </c>
      <c r="U89" s="49" t="s">
        <v>226</v>
      </c>
      <c r="V89" s="49">
        <v>2015</v>
      </c>
      <c r="W89" s="49">
        <v>1</v>
      </c>
      <c r="X89" s="49">
        <v>0</v>
      </c>
      <c r="Y89" s="49">
        <v>-3.0000000000000001E-3</v>
      </c>
      <c r="Z89" s="49">
        <v>-1.2E-2</v>
      </c>
      <c r="AA89" s="49">
        <v>0</v>
      </c>
      <c r="AB89" s="49">
        <v>0</v>
      </c>
      <c r="AC89" s="49" t="s">
        <v>202</v>
      </c>
    </row>
    <row r="90" spans="1:29" s="158" customFormat="1" hidden="1" x14ac:dyDescent="0.2">
      <c r="A90" s="153">
        <f t="shared" si="0"/>
        <v>66</v>
      </c>
      <c r="B90" s="49">
        <v>1</v>
      </c>
      <c r="C90" s="49">
        <v>2</v>
      </c>
      <c r="D90" s="49">
        <v>5</v>
      </c>
      <c r="E90" s="166">
        <v>2033</v>
      </c>
      <c r="F90" s="49">
        <v>2050</v>
      </c>
      <c r="G90" s="49">
        <v>6</v>
      </c>
      <c r="H90" s="49">
        <v>5</v>
      </c>
      <c r="I90" s="49">
        <v>0</v>
      </c>
      <c r="J90" s="49">
        <v>0</v>
      </c>
      <c r="K90" s="49">
        <v>0</v>
      </c>
      <c r="L90" s="167">
        <v>2.9308323563892147</v>
      </c>
      <c r="M90" s="168">
        <v>3210.5263157894738</v>
      </c>
      <c r="N90" s="168">
        <v>4789.4736842105267</v>
      </c>
      <c r="O90" s="51">
        <v>0</v>
      </c>
      <c r="P90" s="51">
        <v>0</v>
      </c>
      <c r="Q90" s="51">
        <v>27</v>
      </c>
      <c r="R90" s="51">
        <v>41</v>
      </c>
      <c r="S90" s="171">
        <v>0</v>
      </c>
      <c r="T90" s="171">
        <v>0</v>
      </c>
      <c r="U90" s="49" t="s">
        <v>226</v>
      </c>
      <c r="V90" s="49">
        <v>2015</v>
      </c>
      <c r="W90" s="49">
        <v>1</v>
      </c>
      <c r="X90" s="49">
        <v>0</v>
      </c>
      <c r="Y90" s="49">
        <v>-3.0000000000000001E-3</v>
      </c>
      <c r="Z90" s="49">
        <v>-1.2E-2</v>
      </c>
      <c r="AA90" s="49">
        <v>0</v>
      </c>
      <c r="AB90" s="49">
        <v>0</v>
      </c>
      <c r="AC90" s="49" t="s">
        <v>202</v>
      </c>
    </row>
    <row r="91" spans="1:29" s="158" customFormat="1" hidden="1" x14ac:dyDescent="0.2">
      <c r="A91" s="153">
        <f t="shared" ref="A91:A154" si="1">A90+1</f>
        <v>67</v>
      </c>
      <c r="B91" s="49">
        <v>1</v>
      </c>
      <c r="C91" s="49">
        <v>2</v>
      </c>
      <c r="D91" s="49">
        <v>5</v>
      </c>
      <c r="E91" s="166">
        <v>2033</v>
      </c>
      <c r="F91" s="49">
        <v>2050</v>
      </c>
      <c r="G91" s="49">
        <v>7</v>
      </c>
      <c r="H91" s="49">
        <v>5</v>
      </c>
      <c r="I91" s="49">
        <v>0</v>
      </c>
      <c r="J91" s="49">
        <v>0</v>
      </c>
      <c r="K91" s="49">
        <v>0</v>
      </c>
      <c r="L91" s="167">
        <v>2.9308323563892147</v>
      </c>
      <c r="M91" s="168">
        <v>3210.5263157894738</v>
      </c>
      <c r="N91" s="168">
        <v>4789.4736842105267</v>
      </c>
      <c r="O91" s="51">
        <v>0</v>
      </c>
      <c r="P91" s="51">
        <v>0</v>
      </c>
      <c r="Q91" s="51">
        <v>1230</v>
      </c>
      <c r="R91" s="51">
        <v>1835</v>
      </c>
      <c r="S91" s="171">
        <v>0</v>
      </c>
      <c r="T91" s="171">
        <v>0</v>
      </c>
      <c r="U91" s="49" t="s">
        <v>226</v>
      </c>
      <c r="V91" s="49">
        <v>2015</v>
      </c>
      <c r="W91" s="49">
        <v>1</v>
      </c>
      <c r="X91" s="49">
        <v>0</v>
      </c>
      <c r="Y91" s="49">
        <v>-3.0000000000000001E-3</v>
      </c>
      <c r="Z91" s="49">
        <v>-1.2E-2</v>
      </c>
      <c r="AA91" s="49">
        <v>0</v>
      </c>
      <c r="AB91" s="49">
        <v>0</v>
      </c>
      <c r="AC91" s="49" t="s">
        <v>202</v>
      </c>
    </row>
    <row r="92" spans="1:29" s="158" customFormat="1" hidden="1" x14ac:dyDescent="0.2">
      <c r="A92" s="153">
        <f t="shared" si="1"/>
        <v>68</v>
      </c>
      <c r="B92" s="49">
        <v>1</v>
      </c>
      <c r="C92" s="49">
        <v>2</v>
      </c>
      <c r="D92" s="49">
        <v>5</v>
      </c>
      <c r="E92" s="166">
        <v>2033</v>
      </c>
      <c r="F92" s="49">
        <v>2050</v>
      </c>
      <c r="G92" s="49">
        <v>8</v>
      </c>
      <c r="H92" s="49">
        <v>5</v>
      </c>
      <c r="I92" s="49">
        <v>0</v>
      </c>
      <c r="J92" s="49">
        <v>0</v>
      </c>
      <c r="K92" s="49">
        <v>0</v>
      </c>
      <c r="L92" s="167">
        <v>2.9308323563892147</v>
      </c>
      <c r="M92" s="168">
        <v>3210.5263157894738</v>
      </c>
      <c r="N92" s="168">
        <v>4789.4736842105267</v>
      </c>
      <c r="O92" s="51">
        <v>0</v>
      </c>
      <c r="P92" s="51">
        <v>0</v>
      </c>
      <c r="Q92" s="51">
        <v>223</v>
      </c>
      <c r="R92" s="51">
        <v>333</v>
      </c>
      <c r="S92" s="171">
        <v>0</v>
      </c>
      <c r="T92" s="171">
        <v>0</v>
      </c>
      <c r="U92" s="49" t="s">
        <v>226</v>
      </c>
      <c r="V92" s="49">
        <v>2015</v>
      </c>
      <c r="W92" s="49">
        <v>1</v>
      </c>
      <c r="X92" s="49">
        <v>0</v>
      </c>
      <c r="Y92" s="49">
        <v>-3.0000000000000001E-3</v>
      </c>
      <c r="Z92" s="49">
        <v>-1.2E-2</v>
      </c>
      <c r="AA92" s="49">
        <v>0</v>
      </c>
      <c r="AB92" s="49">
        <v>0</v>
      </c>
      <c r="AC92" s="49" t="s">
        <v>202</v>
      </c>
    </row>
    <row r="93" spans="1:29" s="158" customFormat="1" hidden="1" x14ac:dyDescent="0.2">
      <c r="A93" s="153">
        <f t="shared" si="1"/>
        <v>69</v>
      </c>
      <c r="B93" s="49">
        <v>1</v>
      </c>
      <c r="C93" s="49">
        <v>2</v>
      </c>
      <c r="D93" s="49">
        <v>5</v>
      </c>
      <c r="E93" s="166">
        <v>2033</v>
      </c>
      <c r="F93" s="49">
        <v>2050</v>
      </c>
      <c r="G93" s="49">
        <v>9</v>
      </c>
      <c r="H93" s="49">
        <v>5</v>
      </c>
      <c r="I93" s="49">
        <v>0</v>
      </c>
      <c r="J93" s="49">
        <v>0</v>
      </c>
      <c r="K93" s="49">
        <v>0</v>
      </c>
      <c r="L93" s="167">
        <v>2.9308323563892147</v>
      </c>
      <c r="M93" s="168">
        <v>3210.5263157894738</v>
      </c>
      <c r="N93" s="168">
        <v>4789.4736842105267</v>
      </c>
      <c r="O93" s="51">
        <v>0</v>
      </c>
      <c r="P93" s="51">
        <v>0</v>
      </c>
      <c r="Q93" s="51">
        <v>432</v>
      </c>
      <c r="R93" s="51">
        <v>645</v>
      </c>
      <c r="S93" s="171">
        <v>0</v>
      </c>
      <c r="T93" s="171">
        <v>0</v>
      </c>
      <c r="U93" s="49" t="s">
        <v>226</v>
      </c>
      <c r="V93" s="49">
        <v>2015</v>
      </c>
      <c r="W93" s="49">
        <v>1</v>
      </c>
      <c r="X93" s="49">
        <v>0</v>
      </c>
      <c r="Y93" s="49">
        <v>-3.0000000000000001E-3</v>
      </c>
      <c r="Z93" s="49">
        <v>-1.2E-2</v>
      </c>
      <c r="AA93" s="49">
        <v>0</v>
      </c>
      <c r="AB93" s="49">
        <v>0</v>
      </c>
      <c r="AC93" s="49" t="s">
        <v>202</v>
      </c>
    </row>
    <row r="94" spans="1:29" s="158" customFormat="1" hidden="1" x14ac:dyDescent="0.2">
      <c r="A94" s="153">
        <f t="shared" si="1"/>
        <v>70</v>
      </c>
      <c r="B94" s="33">
        <v>1</v>
      </c>
      <c r="C94" s="33">
        <v>3</v>
      </c>
      <c r="D94" s="33">
        <v>6</v>
      </c>
      <c r="E94" s="104">
        <v>2016</v>
      </c>
      <c r="F94" s="33">
        <v>2050</v>
      </c>
      <c r="G94" s="33">
        <v>11</v>
      </c>
      <c r="H94" s="33">
        <v>6</v>
      </c>
      <c r="I94" s="33">
        <v>0</v>
      </c>
      <c r="J94" s="33">
        <v>0</v>
      </c>
      <c r="K94" s="33">
        <v>0</v>
      </c>
      <c r="L94" s="101">
        <v>0.8</v>
      </c>
      <c r="M94" s="108">
        <v>2050</v>
      </c>
      <c r="N94" s="108">
        <v>890</v>
      </c>
      <c r="O94" s="142">
        <v>0</v>
      </c>
      <c r="P94" s="142">
        <v>0</v>
      </c>
      <c r="Q94" s="142">
        <v>0</v>
      </c>
      <c r="R94" s="142">
        <v>0</v>
      </c>
      <c r="S94" s="116">
        <v>0</v>
      </c>
      <c r="T94" s="116">
        <v>0</v>
      </c>
      <c r="U94" s="33" t="s">
        <v>226</v>
      </c>
      <c r="V94" s="33">
        <v>2015</v>
      </c>
      <c r="W94" s="33">
        <v>1</v>
      </c>
      <c r="X94" s="33">
        <v>0</v>
      </c>
      <c r="Y94" s="33">
        <v>-1.8E-3</v>
      </c>
      <c r="Z94" s="33">
        <v>-1.2E-2</v>
      </c>
      <c r="AA94" s="33">
        <v>0</v>
      </c>
      <c r="AB94" s="33">
        <v>0</v>
      </c>
      <c r="AC94" s="33" t="s">
        <v>331</v>
      </c>
    </row>
    <row r="95" spans="1:29" s="158" customFormat="1" hidden="1" x14ac:dyDescent="0.2">
      <c r="A95" s="153">
        <f t="shared" si="1"/>
        <v>71</v>
      </c>
      <c r="B95" s="33">
        <v>1</v>
      </c>
      <c r="C95" s="33">
        <v>3</v>
      </c>
      <c r="D95" s="33">
        <v>7</v>
      </c>
      <c r="E95" s="104">
        <v>2016</v>
      </c>
      <c r="F95" s="33">
        <v>2019</v>
      </c>
      <c r="G95" s="33">
        <v>1</v>
      </c>
      <c r="H95" s="33">
        <v>7</v>
      </c>
      <c r="I95" s="33">
        <v>0</v>
      </c>
      <c r="J95" s="33">
        <v>0</v>
      </c>
      <c r="K95" s="33">
        <v>0</v>
      </c>
      <c r="L95" s="101">
        <v>0.92</v>
      </c>
      <c r="M95" s="108">
        <v>2610</v>
      </c>
      <c r="N95" s="108">
        <v>1190</v>
      </c>
      <c r="O95" s="142">
        <v>0</v>
      </c>
      <c r="P95" s="142">
        <v>0</v>
      </c>
      <c r="Q95" s="142">
        <v>0</v>
      </c>
      <c r="R95" s="142">
        <v>0</v>
      </c>
      <c r="S95" s="116">
        <v>0</v>
      </c>
      <c r="T95" s="116">
        <v>0</v>
      </c>
      <c r="U95" s="33" t="s">
        <v>226</v>
      </c>
      <c r="V95" s="33">
        <v>2015</v>
      </c>
      <c r="W95" s="33">
        <v>1</v>
      </c>
      <c r="X95" s="33">
        <v>0</v>
      </c>
      <c r="Y95" s="33">
        <v>-1.8E-3</v>
      </c>
      <c r="Z95" s="33">
        <v>-1.2E-2</v>
      </c>
      <c r="AA95" s="33">
        <v>0</v>
      </c>
      <c r="AB95" s="33">
        <v>0</v>
      </c>
      <c r="AC95" s="33" t="s">
        <v>332</v>
      </c>
    </row>
    <row r="96" spans="1:29" s="158" customFormat="1" hidden="1" x14ac:dyDescent="0.2">
      <c r="A96" s="153">
        <f t="shared" si="1"/>
        <v>72</v>
      </c>
      <c r="B96" s="33">
        <v>1</v>
      </c>
      <c r="C96" s="33">
        <v>3</v>
      </c>
      <c r="D96" s="33">
        <v>7</v>
      </c>
      <c r="E96" s="104">
        <v>2016</v>
      </c>
      <c r="F96" s="33">
        <v>2019</v>
      </c>
      <c r="G96" s="33">
        <v>2</v>
      </c>
      <c r="H96" s="33">
        <v>7</v>
      </c>
      <c r="I96" s="33">
        <v>0</v>
      </c>
      <c r="J96" s="33">
        <v>0</v>
      </c>
      <c r="K96" s="33">
        <v>0</v>
      </c>
      <c r="L96" s="101">
        <v>0.92</v>
      </c>
      <c r="M96" s="108">
        <v>2610</v>
      </c>
      <c r="N96" s="108">
        <v>1190</v>
      </c>
      <c r="O96" s="142">
        <v>0</v>
      </c>
      <c r="P96" s="142">
        <v>0</v>
      </c>
      <c r="Q96" s="142">
        <v>0</v>
      </c>
      <c r="R96" s="142">
        <v>0</v>
      </c>
      <c r="S96" s="116">
        <v>0</v>
      </c>
      <c r="T96" s="116">
        <v>0</v>
      </c>
      <c r="U96" s="33" t="s">
        <v>226</v>
      </c>
      <c r="V96" s="33">
        <v>2015</v>
      </c>
      <c r="W96" s="33">
        <v>1</v>
      </c>
      <c r="X96" s="33">
        <v>0</v>
      </c>
      <c r="Y96" s="33">
        <v>-1.8E-3</v>
      </c>
      <c r="Z96" s="33">
        <v>-1.2E-2</v>
      </c>
      <c r="AA96" s="33">
        <v>0</v>
      </c>
      <c r="AB96" s="33">
        <v>0</v>
      </c>
      <c r="AC96" s="33" t="s">
        <v>332</v>
      </c>
    </row>
    <row r="97" spans="1:29" s="158" customFormat="1" x14ac:dyDescent="0.2">
      <c r="A97" s="153">
        <f t="shared" si="1"/>
        <v>73</v>
      </c>
      <c r="B97" s="33">
        <v>1</v>
      </c>
      <c r="C97" s="33">
        <v>3</v>
      </c>
      <c r="D97" s="33">
        <v>7</v>
      </c>
      <c r="E97" s="104">
        <v>2016</v>
      </c>
      <c r="F97" s="33">
        <v>2019</v>
      </c>
      <c r="G97" s="33">
        <v>3</v>
      </c>
      <c r="H97" s="33">
        <v>7</v>
      </c>
      <c r="I97" s="33">
        <v>0</v>
      </c>
      <c r="J97" s="33">
        <v>0</v>
      </c>
      <c r="K97" s="33">
        <v>0</v>
      </c>
      <c r="L97" s="101">
        <v>0.92</v>
      </c>
      <c r="M97" s="108">
        <v>2610</v>
      </c>
      <c r="N97" s="108">
        <v>1190</v>
      </c>
      <c r="O97" s="142">
        <v>0</v>
      </c>
      <c r="P97" s="142">
        <v>0</v>
      </c>
      <c r="Q97" s="142">
        <v>0</v>
      </c>
      <c r="R97" s="142">
        <v>0</v>
      </c>
      <c r="S97" s="116">
        <v>0</v>
      </c>
      <c r="T97" s="116">
        <v>0</v>
      </c>
      <c r="U97" s="33" t="s">
        <v>226</v>
      </c>
      <c r="V97" s="33">
        <v>2015</v>
      </c>
      <c r="W97" s="33">
        <v>1</v>
      </c>
      <c r="X97" s="33">
        <v>0</v>
      </c>
      <c r="Y97" s="33">
        <v>-1.8E-3</v>
      </c>
      <c r="Z97" s="33">
        <v>-1.2E-2</v>
      </c>
      <c r="AA97" s="33">
        <v>0</v>
      </c>
      <c r="AB97" s="33">
        <v>0</v>
      </c>
      <c r="AC97" s="33" t="s">
        <v>332</v>
      </c>
    </row>
    <row r="98" spans="1:29" s="158" customFormat="1" hidden="1" x14ac:dyDescent="0.2">
      <c r="A98" s="153">
        <f t="shared" si="1"/>
        <v>74</v>
      </c>
      <c r="B98" s="33">
        <v>1</v>
      </c>
      <c r="C98" s="33">
        <v>3</v>
      </c>
      <c r="D98" s="33">
        <v>7</v>
      </c>
      <c r="E98" s="104">
        <v>2016</v>
      </c>
      <c r="F98" s="33">
        <v>2019</v>
      </c>
      <c r="G98" s="33">
        <v>4</v>
      </c>
      <c r="H98" s="33">
        <v>7</v>
      </c>
      <c r="I98" s="33">
        <v>0</v>
      </c>
      <c r="J98" s="33">
        <v>0</v>
      </c>
      <c r="K98" s="33">
        <v>0</v>
      </c>
      <c r="L98" s="101">
        <v>0.92</v>
      </c>
      <c r="M98" s="108">
        <v>2610</v>
      </c>
      <c r="N98" s="108">
        <v>1190</v>
      </c>
      <c r="O98" s="142">
        <v>0</v>
      </c>
      <c r="P98" s="142">
        <v>0</v>
      </c>
      <c r="Q98" s="142">
        <v>0</v>
      </c>
      <c r="R98" s="142">
        <v>0</v>
      </c>
      <c r="S98" s="116">
        <v>0</v>
      </c>
      <c r="T98" s="116">
        <v>0</v>
      </c>
      <c r="U98" s="33" t="s">
        <v>226</v>
      </c>
      <c r="V98" s="33">
        <v>2015</v>
      </c>
      <c r="W98" s="33">
        <v>1</v>
      </c>
      <c r="X98" s="33">
        <v>0</v>
      </c>
      <c r="Y98" s="33">
        <v>-1.8E-3</v>
      </c>
      <c r="Z98" s="33">
        <v>-1.2E-2</v>
      </c>
      <c r="AA98" s="33">
        <v>0</v>
      </c>
      <c r="AB98" s="33">
        <v>0</v>
      </c>
      <c r="AC98" s="33" t="s">
        <v>332</v>
      </c>
    </row>
    <row r="99" spans="1:29" s="158" customFormat="1" hidden="1" x14ac:dyDescent="0.2">
      <c r="A99" s="153">
        <f t="shared" si="1"/>
        <v>75</v>
      </c>
      <c r="B99" s="33">
        <v>1</v>
      </c>
      <c r="C99" s="33">
        <v>3</v>
      </c>
      <c r="D99" s="33">
        <v>7</v>
      </c>
      <c r="E99" s="104">
        <v>2016</v>
      </c>
      <c r="F99" s="33">
        <v>2019</v>
      </c>
      <c r="G99" s="33">
        <v>5</v>
      </c>
      <c r="H99" s="33">
        <v>7</v>
      </c>
      <c r="I99" s="33">
        <v>0</v>
      </c>
      <c r="J99" s="33">
        <v>0</v>
      </c>
      <c r="K99" s="33">
        <v>0</v>
      </c>
      <c r="L99" s="101">
        <v>0.8</v>
      </c>
      <c r="M99" s="108">
        <v>2050</v>
      </c>
      <c r="N99" s="108">
        <v>890</v>
      </c>
      <c r="O99" s="142">
        <v>0</v>
      </c>
      <c r="P99" s="142">
        <v>0</v>
      </c>
      <c r="Q99" s="142">
        <v>0</v>
      </c>
      <c r="R99" s="142">
        <v>0</v>
      </c>
      <c r="S99" s="116">
        <v>0</v>
      </c>
      <c r="T99" s="116">
        <v>0</v>
      </c>
      <c r="U99" s="33" t="s">
        <v>226</v>
      </c>
      <c r="V99" s="33">
        <v>2015</v>
      </c>
      <c r="W99" s="33">
        <v>1</v>
      </c>
      <c r="X99" s="33">
        <v>0</v>
      </c>
      <c r="Y99" s="33">
        <v>-1.8E-3</v>
      </c>
      <c r="Z99" s="33">
        <v>-1.2E-2</v>
      </c>
      <c r="AA99" s="33">
        <v>0</v>
      </c>
      <c r="AB99" s="33">
        <v>0</v>
      </c>
      <c r="AC99" s="33" t="s">
        <v>332</v>
      </c>
    </row>
    <row r="100" spans="1:29" s="158" customFormat="1" hidden="1" x14ac:dyDescent="0.2">
      <c r="A100" s="153">
        <f t="shared" si="1"/>
        <v>76</v>
      </c>
      <c r="B100" s="33">
        <v>1</v>
      </c>
      <c r="C100" s="33">
        <v>3</v>
      </c>
      <c r="D100" s="33">
        <v>7</v>
      </c>
      <c r="E100" s="104">
        <v>2016</v>
      </c>
      <c r="F100" s="33">
        <v>2019</v>
      </c>
      <c r="G100" s="33">
        <v>6</v>
      </c>
      <c r="H100" s="33">
        <v>7</v>
      </c>
      <c r="I100" s="33">
        <v>0</v>
      </c>
      <c r="J100" s="33">
        <v>0</v>
      </c>
      <c r="K100" s="33">
        <v>0</v>
      </c>
      <c r="L100" s="101">
        <v>0.8</v>
      </c>
      <c r="M100" s="108">
        <v>2050</v>
      </c>
      <c r="N100" s="108">
        <v>890</v>
      </c>
      <c r="O100" s="142">
        <v>0</v>
      </c>
      <c r="P100" s="142">
        <v>0</v>
      </c>
      <c r="Q100" s="142">
        <v>0</v>
      </c>
      <c r="R100" s="142">
        <v>0</v>
      </c>
      <c r="S100" s="116">
        <v>0</v>
      </c>
      <c r="T100" s="116">
        <v>0</v>
      </c>
      <c r="U100" s="33" t="s">
        <v>226</v>
      </c>
      <c r="V100" s="33">
        <v>2015</v>
      </c>
      <c r="W100" s="33">
        <v>1</v>
      </c>
      <c r="X100" s="33">
        <v>0</v>
      </c>
      <c r="Y100" s="33">
        <v>-1.8E-3</v>
      </c>
      <c r="Z100" s="33">
        <v>-1.2E-2</v>
      </c>
      <c r="AA100" s="33">
        <v>0</v>
      </c>
      <c r="AB100" s="33">
        <v>0</v>
      </c>
      <c r="AC100" s="33" t="s">
        <v>332</v>
      </c>
    </row>
    <row r="101" spans="1:29" s="158" customFormat="1" hidden="1" x14ac:dyDescent="0.2">
      <c r="A101" s="153">
        <f t="shared" si="1"/>
        <v>77</v>
      </c>
      <c r="B101" s="33">
        <v>1</v>
      </c>
      <c r="C101" s="33">
        <v>3</v>
      </c>
      <c r="D101" s="33">
        <v>7</v>
      </c>
      <c r="E101" s="104">
        <v>2016</v>
      </c>
      <c r="F101" s="33">
        <v>2019</v>
      </c>
      <c r="G101" s="33">
        <v>7</v>
      </c>
      <c r="H101" s="33">
        <v>7</v>
      </c>
      <c r="I101" s="33">
        <v>0</v>
      </c>
      <c r="J101" s="33">
        <v>0</v>
      </c>
      <c r="K101" s="33">
        <v>0</v>
      </c>
      <c r="L101" s="101">
        <v>0.8</v>
      </c>
      <c r="M101" s="108">
        <v>2050</v>
      </c>
      <c r="N101" s="108">
        <v>890</v>
      </c>
      <c r="O101" s="142">
        <v>0</v>
      </c>
      <c r="P101" s="142">
        <v>0</v>
      </c>
      <c r="Q101" s="142">
        <v>0</v>
      </c>
      <c r="R101" s="142">
        <v>0</v>
      </c>
      <c r="S101" s="116">
        <v>0</v>
      </c>
      <c r="T101" s="116">
        <v>0</v>
      </c>
      <c r="U101" s="33" t="s">
        <v>226</v>
      </c>
      <c r="V101" s="33">
        <v>2015</v>
      </c>
      <c r="W101" s="33">
        <v>1</v>
      </c>
      <c r="X101" s="33">
        <v>0</v>
      </c>
      <c r="Y101" s="33">
        <v>-1.8E-3</v>
      </c>
      <c r="Z101" s="33">
        <v>-1.2E-2</v>
      </c>
      <c r="AA101" s="33">
        <v>0</v>
      </c>
      <c r="AB101" s="33">
        <v>0</v>
      </c>
      <c r="AC101" s="33" t="s">
        <v>332</v>
      </c>
    </row>
    <row r="102" spans="1:29" s="158" customFormat="1" hidden="1" x14ac:dyDescent="0.2">
      <c r="A102" s="153">
        <f t="shared" si="1"/>
        <v>78</v>
      </c>
      <c r="B102" s="33">
        <v>1</v>
      </c>
      <c r="C102" s="33">
        <v>3</v>
      </c>
      <c r="D102" s="33">
        <v>7</v>
      </c>
      <c r="E102" s="104">
        <v>2016</v>
      </c>
      <c r="F102" s="33">
        <v>2019</v>
      </c>
      <c r="G102" s="33">
        <v>8</v>
      </c>
      <c r="H102" s="33">
        <v>7</v>
      </c>
      <c r="I102" s="33">
        <v>0</v>
      </c>
      <c r="J102" s="33">
        <v>0</v>
      </c>
      <c r="K102" s="33">
        <v>0</v>
      </c>
      <c r="L102" s="101">
        <v>0.8</v>
      </c>
      <c r="M102" s="108">
        <v>2050</v>
      </c>
      <c r="N102" s="108">
        <v>890</v>
      </c>
      <c r="O102" s="142">
        <v>0</v>
      </c>
      <c r="P102" s="142">
        <v>0</v>
      </c>
      <c r="Q102" s="142">
        <v>0</v>
      </c>
      <c r="R102" s="142">
        <v>0</v>
      </c>
      <c r="S102" s="116">
        <v>0</v>
      </c>
      <c r="T102" s="116">
        <v>0</v>
      </c>
      <c r="U102" s="33" t="s">
        <v>226</v>
      </c>
      <c r="V102" s="33">
        <v>2015</v>
      </c>
      <c r="W102" s="33">
        <v>1</v>
      </c>
      <c r="X102" s="33">
        <v>0</v>
      </c>
      <c r="Y102" s="33">
        <v>-1.8E-3</v>
      </c>
      <c r="Z102" s="33">
        <v>-1.2E-2</v>
      </c>
      <c r="AA102" s="33">
        <v>0</v>
      </c>
      <c r="AB102" s="33">
        <v>0</v>
      </c>
      <c r="AC102" s="33" t="s">
        <v>332</v>
      </c>
    </row>
    <row r="103" spans="1:29" s="158" customFormat="1" hidden="1" x14ac:dyDescent="0.2">
      <c r="A103" s="153">
        <f t="shared" si="1"/>
        <v>79</v>
      </c>
      <c r="B103" s="33">
        <v>1</v>
      </c>
      <c r="C103" s="33">
        <v>3</v>
      </c>
      <c r="D103" s="33">
        <v>7</v>
      </c>
      <c r="E103" s="104">
        <v>2016</v>
      </c>
      <c r="F103" s="33">
        <v>2019</v>
      </c>
      <c r="G103" s="33">
        <v>9</v>
      </c>
      <c r="H103" s="33">
        <v>7</v>
      </c>
      <c r="I103" s="33">
        <v>0</v>
      </c>
      <c r="J103" s="33">
        <v>0</v>
      </c>
      <c r="K103" s="33">
        <v>0</v>
      </c>
      <c r="L103" s="101">
        <v>0.8</v>
      </c>
      <c r="M103" s="108">
        <v>2050</v>
      </c>
      <c r="N103" s="108">
        <v>890</v>
      </c>
      <c r="O103" s="142">
        <v>0</v>
      </c>
      <c r="P103" s="142">
        <v>0</v>
      </c>
      <c r="Q103" s="142">
        <v>0</v>
      </c>
      <c r="R103" s="142">
        <v>0</v>
      </c>
      <c r="S103" s="116">
        <v>0</v>
      </c>
      <c r="T103" s="116">
        <v>0</v>
      </c>
      <c r="U103" s="33" t="s">
        <v>226</v>
      </c>
      <c r="V103" s="33">
        <v>2015</v>
      </c>
      <c r="W103" s="33">
        <v>1</v>
      </c>
      <c r="X103" s="33">
        <v>0</v>
      </c>
      <c r="Y103" s="33">
        <v>-1.8E-3</v>
      </c>
      <c r="Z103" s="33">
        <v>-1.2E-2</v>
      </c>
      <c r="AA103" s="33">
        <v>0</v>
      </c>
      <c r="AB103" s="33">
        <v>0</v>
      </c>
      <c r="AC103" s="33" t="s">
        <v>332</v>
      </c>
    </row>
    <row r="104" spans="1:29" s="158" customFormat="1" hidden="1" x14ac:dyDescent="0.2">
      <c r="A104" s="153">
        <f t="shared" si="1"/>
        <v>80</v>
      </c>
      <c r="B104" s="33">
        <v>1</v>
      </c>
      <c r="C104" s="33">
        <v>3</v>
      </c>
      <c r="D104" s="33">
        <v>7</v>
      </c>
      <c r="E104" s="104">
        <v>2020</v>
      </c>
      <c r="F104" s="33">
        <v>2050</v>
      </c>
      <c r="G104" s="33">
        <v>1</v>
      </c>
      <c r="H104" s="33">
        <v>7</v>
      </c>
      <c r="I104" s="33">
        <v>0</v>
      </c>
      <c r="J104" s="33">
        <v>0</v>
      </c>
      <c r="K104" s="33">
        <v>0</v>
      </c>
      <c r="L104" s="101">
        <v>0.92</v>
      </c>
      <c r="M104" s="108">
        <v>2760</v>
      </c>
      <c r="N104" s="108">
        <v>1340</v>
      </c>
      <c r="O104" s="142">
        <v>0</v>
      </c>
      <c r="P104" s="142">
        <v>0</v>
      </c>
      <c r="Q104" s="141">
        <v>0</v>
      </c>
      <c r="R104" s="141">
        <v>0</v>
      </c>
      <c r="S104" s="116">
        <v>0</v>
      </c>
      <c r="T104" s="116">
        <v>0</v>
      </c>
      <c r="U104" s="33" t="s">
        <v>226</v>
      </c>
      <c r="V104" s="33">
        <v>2015</v>
      </c>
      <c r="W104" s="33">
        <v>1</v>
      </c>
      <c r="X104" s="33">
        <v>0</v>
      </c>
      <c r="Y104" s="33">
        <v>-1.8E-3</v>
      </c>
      <c r="Z104" s="33">
        <v>-1.2E-2</v>
      </c>
      <c r="AA104" s="33">
        <v>0</v>
      </c>
      <c r="AB104" s="33">
        <v>0</v>
      </c>
      <c r="AC104" s="33" t="s">
        <v>332</v>
      </c>
    </row>
    <row r="105" spans="1:29" s="158" customFormat="1" hidden="1" x14ac:dyDescent="0.2">
      <c r="A105" s="153">
        <f t="shared" si="1"/>
        <v>81</v>
      </c>
      <c r="B105" s="33">
        <v>1</v>
      </c>
      <c r="C105" s="33">
        <v>3</v>
      </c>
      <c r="D105" s="33">
        <v>7</v>
      </c>
      <c r="E105" s="104">
        <v>2020</v>
      </c>
      <c r="F105" s="33">
        <v>2050</v>
      </c>
      <c r="G105" s="33">
        <v>2</v>
      </c>
      <c r="H105" s="33">
        <v>7</v>
      </c>
      <c r="I105" s="33">
        <v>0</v>
      </c>
      <c r="J105" s="33">
        <v>0</v>
      </c>
      <c r="K105" s="33">
        <v>0</v>
      </c>
      <c r="L105" s="101">
        <v>0.92</v>
      </c>
      <c r="M105" s="108">
        <v>2760</v>
      </c>
      <c r="N105" s="108">
        <v>1340</v>
      </c>
      <c r="O105" s="142">
        <v>0</v>
      </c>
      <c r="P105" s="142">
        <v>0</v>
      </c>
      <c r="Q105" s="141">
        <v>0</v>
      </c>
      <c r="R105" s="141">
        <v>0</v>
      </c>
      <c r="S105" s="116">
        <v>0</v>
      </c>
      <c r="T105" s="116">
        <v>0</v>
      </c>
      <c r="U105" s="33" t="s">
        <v>226</v>
      </c>
      <c r="V105" s="33">
        <v>2015</v>
      </c>
      <c r="W105" s="33">
        <v>1</v>
      </c>
      <c r="X105" s="33">
        <v>0</v>
      </c>
      <c r="Y105" s="33">
        <v>-1.8E-3</v>
      </c>
      <c r="Z105" s="33">
        <v>-1.2E-2</v>
      </c>
      <c r="AA105" s="33">
        <v>0</v>
      </c>
      <c r="AB105" s="33">
        <v>0</v>
      </c>
      <c r="AC105" s="33" t="s">
        <v>332</v>
      </c>
    </row>
    <row r="106" spans="1:29" s="158" customFormat="1" x14ac:dyDescent="0.2">
      <c r="A106" s="153">
        <f t="shared" si="1"/>
        <v>82</v>
      </c>
      <c r="B106" s="33">
        <v>1</v>
      </c>
      <c r="C106" s="33">
        <v>3</v>
      </c>
      <c r="D106" s="33">
        <v>7</v>
      </c>
      <c r="E106" s="104">
        <v>2020</v>
      </c>
      <c r="F106" s="33">
        <v>2050</v>
      </c>
      <c r="G106" s="33">
        <v>3</v>
      </c>
      <c r="H106" s="33">
        <v>7</v>
      </c>
      <c r="I106" s="33">
        <v>0</v>
      </c>
      <c r="J106" s="33">
        <v>0</v>
      </c>
      <c r="K106" s="33">
        <v>0</v>
      </c>
      <c r="L106" s="101">
        <v>0.92</v>
      </c>
      <c r="M106" s="108">
        <v>2760</v>
      </c>
      <c r="N106" s="108">
        <v>1340</v>
      </c>
      <c r="O106" s="142">
        <v>0</v>
      </c>
      <c r="P106" s="142">
        <v>0</v>
      </c>
      <c r="Q106" s="141">
        <v>0</v>
      </c>
      <c r="R106" s="141">
        <v>0</v>
      </c>
      <c r="S106" s="116">
        <v>0</v>
      </c>
      <c r="T106" s="116">
        <v>0</v>
      </c>
      <c r="U106" s="33" t="s">
        <v>226</v>
      </c>
      <c r="V106" s="33">
        <v>2015</v>
      </c>
      <c r="W106" s="33">
        <v>1</v>
      </c>
      <c r="X106" s="33">
        <v>0</v>
      </c>
      <c r="Y106" s="33">
        <v>-1.8E-3</v>
      </c>
      <c r="Z106" s="33">
        <v>-1.2E-2</v>
      </c>
      <c r="AA106" s="33">
        <v>0</v>
      </c>
      <c r="AB106" s="33">
        <v>0</v>
      </c>
      <c r="AC106" s="33" t="s">
        <v>332</v>
      </c>
    </row>
    <row r="107" spans="1:29" s="158" customFormat="1" hidden="1" x14ac:dyDescent="0.2">
      <c r="A107" s="153">
        <f t="shared" si="1"/>
        <v>83</v>
      </c>
      <c r="B107" s="33">
        <v>1</v>
      </c>
      <c r="C107" s="33">
        <v>3</v>
      </c>
      <c r="D107" s="33">
        <v>7</v>
      </c>
      <c r="E107" s="104">
        <v>2020</v>
      </c>
      <c r="F107" s="33">
        <v>2050</v>
      </c>
      <c r="G107" s="33">
        <v>4</v>
      </c>
      <c r="H107" s="33">
        <v>7</v>
      </c>
      <c r="I107" s="33">
        <v>0</v>
      </c>
      <c r="J107" s="33">
        <v>0</v>
      </c>
      <c r="K107" s="33">
        <v>0</v>
      </c>
      <c r="L107" s="101">
        <v>0.92</v>
      </c>
      <c r="M107" s="108">
        <v>2760</v>
      </c>
      <c r="N107" s="108">
        <v>1340</v>
      </c>
      <c r="O107" s="142">
        <v>0</v>
      </c>
      <c r="P107" s="142">
        <v>0</v>
      </c>
      <c r="Q107" s="141">
        <v>0</v>
      </c>
      <c r="R107" s="141">
        <v>0</v>
      </c>
      <c r="S107" s="116">
        <v>0</v>
      </c>
      <c r="T107" s="116">
        <v>0</v>
      </c>
      <c r="U107" s="33" t="s">
        <v>226</v>
      </c>
      <c r="V107" s="33">
        <v>2015</v>
      </c>
      <c r="W107" s="33">
        <v>1</v>
      </c>
      <c r="X107" s="33">
        <v>0</v>
      </c>
      <c r="Y107" s="33">
        <v>-1.8E-3</v>
      </c>
      <c r="Z107" s="33">
        <v>-1.2E-2</v>
      </c>
      <c r="AA107" s="33">
        <v>0</v>
      </c>
      <c r="AB107" s="33">
        <v>0</v>
      </c>
      <c r="AC107" s="33" t="s">
        <v>332</v>
      </c>
    </row>
    <row r="108" spans="1:29" s="158" customFormat="1" hidden="1" x14ac:dyDescent="0.2">
      <c r="A108" s="153">
        <f t="shared" si="1"/>
        <v>84</v>
      </c>
      <c r="B108" s="33">
        <v>1</v>
      </c>
      <c r="C108" s="33">
        <v>3</v>
      </c>
      <c r="D108" s="33">
        <v>7</v>
      </c>
      <c r="E108" s="104">
        <v>2020</v>
      </c>
      <c r="F108" s="33">
        <v>2050</v>
      </c>
      <c r="G108" s="33">
        <v>5</v>
      </c>
      <c r="H108" s="33">
        <v>7</v>
      </c>
      <c r="I108" s="33">
        <v>0</v>
      </c>
      <c r="J108" s="33">
        <v>0</v>
      </c>
      <c r="K108" s="33">
        <v>0</v>
      </c>
      <c r="L108" s="101">
        <v>0.8</v>
      </c>
      <c r="M108" s="108">
        <v>2240</v>
      </c>
      <c r="N108" s="108">
        <v>1080</v>
      </c>
      <c r="O108" s="142">
        <v>0</v>
      </c>
      <c r="P108" s="142">
        <v>0</v>
      </c>
      <c r="Q108" s="141">
        <v>0</v>
      </c>
      <c r="R108" s="141">
        <v>0</v>
      </c>
      <c r="S108" s="116">
        <v>0</v>
      </c>
      <c r="T108" s="116">
        <v>0</v>
      </c>
      <c r="U108" s="33" t="s">
        <v>226</v>
      </c>
      <c r="V108" s="33">
        <v>2015</v>
      </c>
      <c r="W108" s="33">
        <v>1</v>
      </c>
      <c r="X108" s="33">
        <v>0</v>
      </c>
      <c r="Y108" s="33">
        <v>-1.8E-3</v>
      </c>
      <c r="Z108" s="33">
        <v>-1.2E-2</v>
      </c>
      <c r="AA108" s="33">
        <v>0</v>
      </c>
      <c r="AB108" s="33">
        <v>0</v>
      </c>
      <c r="AC108" s="33" t="s">
        <v>332</v>
      </c>
    </row>
    <row r="109" spans="1:29" s="158" customFormat="1" hidden="1" x14ac:dyDescent="0.2">
      <c r="A109" s="153">
        <f t="shared" si="1"/>
        <v>85</v>
      </c>
      <c r="B109" s="33">
        <v>1</v>
      </c>
      <c r="C109" s="33">
        <v>3</v>
      </c>
      <c r="D109" s="33">
        <v>7</v>
      </c>
      <c r="E109" s="104">
        <v>2020</v>
      </c>
      <c r="F109" s="33">
        <v>2050</v>
      </c>
      <c r="G109" s="33">
        <v>6</v>
      </c>
      <c r="H109" s="33">
        <v>7</v>
      </c>
      <c r="I109" s="33">
        <v>0</v>
      </c>
      <c r="J109" s="33">
        <v>0</v>
      </c>
      <c r="K109" s="33">
        <v>0</v>
      </c>
      <c r="L109" s="101">
        <v>0.8</v>
      </c>
      <c r="M109" s="108">
        <v>2240</v>
      </c>
      <c r="N109" s="108">
        <v>1080</v>
      </c>
      <c r="O109" s="142">
        <v>0</v>
      </c>
      <c r="P109" s="142">
        <v>0</v>
      </c>
      <c r="Q109" s="141">
        <v>0</v>
      </c>
      <c r="R109" s="141">
        <v>0</v>
      </c>
      <c r="S109" s="116">
        <v>0</v>
      </c>
      <c r="T109" s="116">
        <v>0</v>
      </c>
      <c r="U109" s="33" t="s">
        <v>226</v>
      </c>
      <c r="V109" s="33">
        <v>2015</v>
      </c>
      <c r="W109" s="33">
        <v>1</v>
      </c>
      <c r="X109" s="33">
        <v>0</v>
      </c>
      <c r="Y109" s="33">
        <v>-1.8E-3</v>
      </c>
      <c r="Z109" s="33">
        <v>-1.2E-2</v>
      </c>
      <c r="AA109" s="33">
        <v>0</v>
      </c>
      <c r="AB109" s="33">
        <v>0</v>
      </c>
      <c r="AC109" s="33" t="s">
        <v>332</v>
      </c>
    </row>
    <row r="110" spans="1:29" s="158" customFormat="1" hidden="1" x14ac:dyDescent="0.2">
      <c r="A110" s="153">
        <f t="shared" si="1"/>
        <v>86</v>
      </c>
      <c r="B110" s="33">
        <v>1</v>
      </c>
      <c r="C110" s="33">
        <v>3</v>
      </c>
      <c r="D110" s="33">
        <v>7</v>
      </c>
      <c r="E110" s="104">
        <v>2020</v>
      </c>
      <c r="F110" s="33">
        <v>2050</v>
      </c>
      <c r="G110" s="33">
        <v>7</v>
      </c>
      <c r="H110" s="33">
        <v>7</v>
      </c>
      <c r="I110" s="33">
        <v>0</v>
      </c>
      <c r="J110" s="33">
        <v>0</v>
      </c>
      <c r="K110" s="33">
        <v>0</v>
      </c>
      <c r="L110" s="101">
        <v>0.8</v>
      </c>
      <c r="M110" s="108">
        <v>2240</v>
      </c>
      <c r="N110" s="108">
        <v>1080</v>
      </c>
      <c r="O110" s="142">
        <v>0</v>
      </c>
      <c r="P110" s="142">
        <v>0</v>
      </c>
      <c r="Q110" s="141">
        <v>0</v>
      </c>
      <c r="R110" s="141">
        <v>0</v>
      </c>
      <c r="S110" s="116">
        <v>0</v>
      </c>
      <c r="T110" s="116">
        <v>0</v>
      </c>
      <c r="U110" s="33" t="s">
        <v>226</v>
      </c>
      <c r="V110" s="33">
        <v>2015</v>
      </c>
      <c r="W110" s="33">
        <v>1</v>
      </c>
      <c r="X110" s="33">
        <v>0</v>
      </c>
      <c r="Y110" s="33">
        <v>-1.8E-3</v>
      </c>
      <c r="Z110" s="33">
        <v>-1.2E-2</v>
      </c>
      <c r="AA110" s="33">
        <v>0</v>
      </c>
      <c r="AB110" s="33">
        <v>0</v>
      </c>
      <c r="AC110" s="33" t="s">
        <v>332</v>
      </c>
    </row>
    <row r="111" spans="1:29" s="158" customFormat="1" hidden="1" x14ac:dyDescent="0.2">
      <c r="A111" s="153">
        <f t="shared" si="1"/>
        <v>87</v>
      </c>
      <c r="B111" s="33">
        <v>1</v>
      </c>
      <c r="C111" s="33">
        <v>3</v>
      </c>
      <c r="D111" s="33">
        <v>7</v>
      </c>
      <c r="E111" s="104">
        <v>2020</v>
      </c>
      <c r="F111" s="33">
        <v>2050</v>
      </c>
      <c r="G111" s="33">
        <v>8</v>
      </c>
      <c r="H111" s="33">
        <v>7</v>
      </c>
      <c r="I111" s="33">
        <v>0</v>
      </c>
      <c r="J111" s="33">
        <v>0</v>
      </c>
      <c r="K111" s="33">
        <v>0</v>
      </c>
      <c r="L111" s="101">
        <v>0.8</v>
      </c>
      <c r="M111" s="108">
        <v>2240</v>
      </c>
      <c r="N111" s="108">
        <v>1080</v>
      </c>
      <c r="O111" s="142">
        <v>0</v>
      </c>
      <c r="P111" s="142">
        <v>0</v>
      </c>
      <c r="Q111" s="141">
        <v>0</v>
      </c>
      <c r="R111" s="141">
        <v>0</v>
      </c>
      <c r="S111" s="116">
        <v>0</v>
      </c>
      <c r="T111" s="116">
        <v>0</v>
      </c>
      <c r="U111" s="33" t="s">
        <v>226</v>
      </c>
      <c r="V111" s="33">
        <v>2015</v>
      </c>
      <c r="W111" s="33">
        <v>1</v>
      </c>
      <c r="X111" s="33">
        <v>0</v>
      </c>
      <c r="Y111" s="33">
        <v>-1.8E-3</v>
      </c>
      <c r="Z111" s="33">
        <v>-1.2E-2</v>
      </c>
      <c r="AA111" s="33">
        <v>0</v>
      </c>
      <c r="AB111" s="33">
        <v>0</v>
      </c>
      <c r="AC111" s="33" t="s">
        <v>332</v>
      </c>
    </row>
    <row r="112" spans="1:29" s="158" customFormat="1" hidden="1" x14ac:dyDescent="0.2">
      <c r="A112" s="153">
        <f t="shared" si="1"/>
        <v>88</v>
      </c>
      <c r="B112" s="33">
        <v>1</v>
      </c>
      <c r="C112" s="33">
        <v>3</v>
      </c>
      <c r="D112" s="33">
        <v>7</v>
      </c>
      <c r="E112" s="104">
        <v>2020</v>
      </c>
      <c r="F112" s="33">
        <v>2050</v>
      </c>
      <c r="G112" s="33">
        <v>9</v>
      </c>
      <c r="H112" s="33">
        <v>7</v>
      </c>
      <c r="I112" s="33">
        <v>0</v>
      </c>
      <c r="J112" s="33">
        <v>0</v>
      </c>
      <c r="K112" s="33">
        <v>0</v>
      </c>
      <c r="L112" s="101">
        <v>0.8</v>
      </c>
      <c r="M112" s="108">
        <v>2240</v>
      </c>
      <c r="N112" s="108">
        <v>1080</v>
      </c>
      <c r="O112" s="142">
        <v>0</v>
      </c>
      <c r="P112" s="142">
        <v>0</v>
      </c>
      <c r="Q112" s="141">
        <v>0</v>
      </c>
      <c r="R112" s="141">
        <v>0</v>
      </c>
      <c r="S112" s="116">
        <v>0</v>
      </c>
      <c r="T112" s="116">
        <v>0</v>
      </c>
      <c r="U112" s="33" t="s">
        <v>226</v>
      </c>
      <c r="V112" s="33">
        <v>2015</v>
      </c>
      <c r="W112" s="33">
        <v>1</v>
      </c>
      <c r="X112" s="33">
        <v>0</v>
      </c>
      <c r="Y112" s="33">
        <v>-1.8E-3</v>
      </c>
      <c r="Z112" s="33">
        <v>-1.2E-2</v>
      </c>
      <c r="AA112" s="33">
        <v>0</v>
      </c>
      <c r="AB112" s="33">
        <v>0</v>
      </c>
      <c r="AC112" s="33" t="s">
        <v>332</v>
      </c>
    </row>
    <row r="113" spans="1:29" s="158" customFormat="1" hidden="1" x14ac:dyDescent="0.2">
      <c r="A113" s="153">
        <f t="shared" si="1"/>
        <v>89</v>
      </c>
      <c r="B113" s="33">
        <v>1</v>
      </c>
      <c r="C113" s="33">
        <v>3</v>
      </c>
      <c r="D113" s="33">
        <v>8</v>
      </c>
      <c r="E113" s="104">
        <v>2016</v>
      </c>
      <c r="F113" s="33">
        <v>2021</v>
      </c>
      <c r="G113" s="33">
        <v>1</v>
      </c>
      <c r="H113" s="33">
        <v>8</v>
      </c>
      <c r="I113" s="33">
        <v>0</v>
      </c>
      <c r="J113" s="33">
        <v>0</v>
      </c>
      <c r="K113" s="33">
        <v>0</v>
      </c>
      <c r="L113" s="101">
        <v>0.95</v>
      </c>
      <c r="M113" s="108">
        <v>2740</v>
      </c>
      <c r="N113" s="108">
        <v>1320</v>
      </c>
      <c r="O113" s="142">
        <v>150</v>
      </c>
      <c r="P113" s="142">
        <v>0</v>
      </c>
      <c r="Q113" s="160">
        <v>576</v>
      </c>
      <c r="R113" s="160">
        <v>278</v>
      </c>
      <c r="S113" s="116">
        <v>0</v>
      </c>
      <c r="T113" s="116">
        <v>0</v>
      </c>
      <c r="U113" s="33" t="s">
        <v>226</v>
      </c>
      <c r="V113" s="33">
        <v>2015</v>
      </c>
      <c r="W113" s="33">
        <v>1</v>
      </c>
      <c r="X113" s="33">
        <v>0</v>
      </c>
      <c r="Y113" s="33">
        <v>-1.8E-3</v>
      </c>
      <c r="Z113" s="33">
        <v>-1.2E-2</v>
      </c>
      <c r="AA113" s="33">
        <v>0</v>
      </c>
      <c r="AB113" s="33">
        <v>0</v>
      </c>
      <c r="AC113" s="33" t="s">
        <v>333</v>
      </c>
    </row>
    <row r="114" spans="1:29" s="158" customFormat="1" hidden="1" x14ac:dyDescent="0.2">
      <c r="A114" s="153">
        <f t="shared" si="1"/>
        <v>90</v>
      </c>
      <c r="B114" s="33">
        <v>1</v>
      </c>
      <c r="C114" s="33">
        <v>3</v>
      </c>
      <c r="D114" s="33">
        <v>8</v>
      </c>
      <c r="E114" s="104">
        <v>2016</v>
      </c>
      <c r="F114" s="33">
        <v>2021</v>
      </c>
      <c r="G114" s="33">
        <v>2</v>
      </c>
      <c r="H114" s="33">
        <v>8</v>
      </c>
      <c r="I114" s="33">
        <v>0</v>
      </c>
      <c r="J114" s="33">
        <v>0</v>
      </c>
      <c r="K114" s="33">
        <v>0</v>
      </c>
      <c r="L114" s="101">
        <v>0.95</v>
      </c>
      <c r="M114" s="108">
        <v>2740</v>
      </c>
      <c r="N114" s="108">
        <v>1320</v>
      </c>
      <c r="O114" s="142">
        <v>150</v>
      </c>
      <c r="P114" s="142">
        <v>0</v>
      </c>
      <c r="Q114" s="160">
        <v>475</v>
      </c>
      <c r="R114" s="160">
        <v>229</v>
      </c>
      <c r="S114" s="116">
        <v>0</v>
      </c>
      <c r="T114" s="116">
        <v>0</v>
      </c>
      <c r="U114" s="33" t="s">
        <v>226</v>
      </c>
      <c r="V114" s="33">
        <v>2015</v>
      </c>
      <c r="W114" s="33">
        <v>1</v>
      </c>
      <c r="X114" s="33">
        <v>0</v>
      </c>
      <c r="Y114" s="33">
        <v>-1.8E-3</v>
      </c>
      <c r="Z114" s="33">
        <v>-1.2E-2</v>
      </c>
      <c r="AA114" s="33">
        <v>0</v>
      </c>
      <c r="AB114" s="33">
        <v>0</v>
      </c>
      <c r="AC114" s="33" t="s">
        <v>333</v>
      </c>
    </row>
    <row r="115" spans="1:29" s="158" customFormat="1" x14ac:dyDescent="0.2">
      <c r="A115" s="153">
        <f t="shared" si="1"/>
        <v>91</v>
      </c>
      <c r="B115" s="33">
        <v>1</v>
      </c>
      <c r="C115" s="33">
        <v>3</v>
      </c>
      <c r="D115" s="33">
        <v>8</v>
      </c>
      <c r="E115" s="104">
        <v>2016</v>
      </c>
      <c r="F115" s="33">
        <v>2021</v>
      </c>
      <c r="G115" s="33">
        <v>3</v>
      </c>
      <c r="H115" s="33">
        <v>8</v>
      </c>
      <c r="I115" s="33">
        <v>0</v>
      </c>
      <c r="J115" s="33">
        <v>0</v>
      </c>
      <c r="K115" s="33">
        <v>0</v>
      </c>
      <c r="L115" s="101">
        <v>0.95</v>
      </c>
      <c r="M115" s="108">
        <v>2740</v>
      </c>
      <c r="N115" s="108">
        <v>1320</v>
      </c>
      <c r="O115" s="142">
        <v>150</v>
      </c>
      <c r="P115" s="142">
        <v>0</v>
      </c>
      <c r="Q115" s="160">
        <v>227</v>
      </c>
      <c r="R115" s="160">
        <v>109</v>
      </c>
      <c r="S115" s="116">
        <v>0</v>
      </c>
      <c r="T115" s="116">
        <v>0</v>
      </c>
      <c r="U115" s="33" t="s">
        <v>226</v>
      </c>
      <c r="V115" s="33">
        <v>2015</v>
      </c>
      <c r="W115" s="33">
        <v>1</v>
      </c>
      <c r="X115" s="33">
        <v>0</v>
      </c>
      <c r="Y115" s="33">
        <v>-1.8E-3</v>
      </c>
      <c r="Z115" s="33">
        <v>-1.2E-2</v>
      </c>
      <c r="AA115" s="33">
        <v>0</v>
      </c>
      <c r="AB115" s="33">
        <v>0</v>
      </c>
      <c r="AC115" s="33" t="s">
        <v>333</v>
      </c>
    </row>
    <row r="116" spans="1:29" s="158" customFormat="1" hidden="1" x14ac:dyDescent="0.2">
      <c r="A116" s="153">
        <f t="shared" si="1"/>
        <v>92</v>
      </c>
      <c r="B116" s="33">
        <v>1</v>
      </c>
      <c r="C116" s="33">
        <v>3</v>
      </c>
      <c r="D116" s="33">
        <v>8</v>
      </c>
      <c r="E116" s="104">
        <v>2016</v>
      </c>
      <c r="F116" s="33">
        <v>2021</v>
      </c>
      <c r="G116" s="33">
        <v>4</v>
      </c>
      <c r="H116" s="33">
        <v>8</v>
      </c>
      <c r="I116" s="33">
        <v>0</v>
      </c>
      <c r="J116" s="33">
        <v>0</v>
      </c>
      <c r="K116" s="33">
        <v>0</v>
      </c>
      <c r="L116" s="101">
        <v>0.95</v>
      </c>
      <c r="M116" s="108">
        <v>2740</v>
      </c>
      <c r="N116" s="108">
        <v>1320</v>
      </c>
      <c r="O116" s="142">
        <v>150</v>
      </c>
      <c r="P116" s="142">
        <v>0</v>
      </c>
      <c r="Q116" s="160">
        <v>118</v>
      </c>
      <c r="R116" s="160">
        <v>57</v>
      </c>
      <c r="S116" s="116">
        <v>0</v>
      </c>
      <c r="T116" s="116">
        <v>0</v>
      </c>
      <c r="U116" s="33" t="s">
        <v>226</v>
      </c>
      <c r="V116" s="33">
        <v>2015</v>
      </c>
      <c r="W116" s="33">
        <v>1</v>
      </c>
      <c r="X116" s="33">
        <v>0</v>
      </c>
      <c r="Y116" s="33">
        <v>-1.8E-3</v>
      </c>
      <c r="Z116" s="33">
        <v>-1.2E-2</v>
      </c>
      <c r="AA116" s="33">
        <v>0</v>
      </c>
      <c r="AB116" s="33">
        <v>0</v>
      </c>
      <c r="AC116" s="33" t="s">
        <v>333</v>
      </c>
    </row>
    <row r="117" spans="1:29" s="158" customFormat="1" hidden="1" x14ac:dyDescent="0.2">
      <c r="A117" s="153">
        <f t="shared" si="1"/>
        <v>93</v>
      </c>
      <c r="B117" s="33">
        <v>1</v>
      </c>
      <c r="C117" s="33">
        <v>3</v>
      </c>
      <c r="D117" s="33">
        <v>8</v>
      </c>
      <c r="E117" s="104">
        <v>2016</v>
      </c>
      <c r="F117" s="33">
        <v>2021</v>
      </c>
      <c r="G117" s="33">
        <v>5</v>
      </c>
      <c r="H117" s="33">
        <v>8</v>
      </c>
      <c r="I117" s="33">
        <v>0</v>
      </c>
      <c r="J117" s="33">
        <v>0</v>
      </c>
      <c r="K117" s="33">
        <v>0</v>
      </c>
      <c r="L117" s="101">
        <v>0.9</v>
      </c>
      <c r="M117" s="108">
        <v>2560</v>
      </c>
      <c r="N117" s="108">
        <v>1150</v>
      </c>
      <c r="O117" s="142">
        <v>0</v>
      </c>
      <c r="P117" s="142">
        <v>0</v>
      </c>
      <c r="Q117" s="160">
        <v>247</v>
      </c>
      <c r="R117" s="160">
        <v>111</v>
      </c>
      <c r="S117" s="116">
        <v>0</v>
      </c>
      <c r="T117" s="116">
        <v>0</v>
      </c>
      <c r="U117" s="33" t="s">
        <v>226</v>
      </c>
      <c r="V117" s="33">
        <v>2015</v>
      </c>
      <c r="W117" s="33">
        <v>1</v>
      </c>
      <c r="X117" s="33">
        <v>0</v>
      </c>
      <c r="Y117" s="33">
        <v>-1.8E-3</v>
      </c>
      <c r="Z117" s="33">
        <v>-1.2E-2</v>
      </c>
      <c r="AA117" s="33">
        <v>0</v>
      </c>
      <c r="AB117" s="33">
        <v>0</v>
      </c>
      <c r="AC117" s="33" t="s">
        <v>333</v>
      </c>
    </row>
    <row r="118" spans="1:29" s="158" customFormat="1" hidden="1" x14ac:dyDescent="0.2">
      <c r="A118" s="153">
        <f t="shared" si="1"/>
        <v>94</v>
      </c>
      <c r="B118" s="33">
        <v>1</v>
      </c>
      <c r="C118" s="33">
        <v>3</v>
      </c>
      <c r="D118" s="33">
        <v>8</v>
      </c>
      <c r="E118" s="104">
        <v>2016</v>
      </c>
      <c r="F118" s="33">
        <v>2021</v>
      </c>
      <c r="G118" s="33">
        <v>6</v>
      </c>
      <c r="H118" s="33">
        <v>8</v>
      </c>
      <c r="I118" s="33">
        <v>0</v>
      </c>
      <c r="J118" s="33">
        <v>0</v>
      </c>
      <c r="K118" s="33">
        <v>0</v>
      </c>
      <c r="L118" s="101">
        <v>0.9</v>
      </c>
      <c r="M118" s="108">
        <v>2560</v>
      </c>
      <c r="N118" s="108">
        <v>1150</v>
      </c>
      <c r="O118" s="142">
        <v>0</v>
      </c>
      <c r="P118" s="142">
        <v>0</v>
      </c>
      <c r="Q118" s="160">
        <v>76</v>
      </c>
      <c r="R118" s="160">
        <v>34</v>
      </c>
      <c r="S118" s="116">
        <v>0</v>
      </c>
      <c r="T118" s="116">
        <v>0</v>
      </c>
      <c r="U118" s="33" t="s">
        <v>226</v>
      </c>
      <c r="V118" s="33">
        <v>2015</v>
      </c>
      <c r="W118" s="33">
        <v>1</v>
      </c>
      <c r="X118" s="33">
        <v>0</v>
      </c>
      <c r="Y118" s="33">
        <v>-1.8E-3</v>
      </c>
      <c r="Z118" s="33">
        <v>-1.2E-2</v>
      </c>
      <c r="AA118" s="33">
        <v>0</v>
      </c>
      <c r="AB118" s="33">
        <v>0</v>
      </c>
      <c r="AC118" s="33" t="s">
        <v>333</v>
      </c>
    </row>
    <row r="119" spans="1:29" s="158" customFormat="1" hidden="1" x14ac:dyDescent="0.2">
      <c r="A119" s="153">
        <f t="shared" si="1"/>
        <v>95</v>
      </c>
      <c r="B119" s="33">
        <v>1</v>
      </c>
      <c r="C119" s="33">
        <v>3</v>
      </c>
      <c r="D119" s="33">
        <v>8</v>
      </c>
      <c r="E119" s="104">
        <v>2016</v>
      </c>
      <c r="F119" s="33">
        <v>2021</v>
      </c>
      <c r="G119" s="33">
        <v>7</v>
      </c>
      <c r="H119" s="33">
        <v>8</v>
      </c>
      <c r="I119" s="33">
        <v>0</v>
      </c>
      <c r="J119" s="33">
        <v>0</v>
      </c>
      <c r="K119" s="33">
        <v>0</v>
      </c>
      <c r="L119" s="101">
        <v>0.9</v>
      </c>
      <c r="M119" s="108">
        <v>2560</v>
      </c>
      <c r="N119" s="108">
        <v>1150</v>
      </c>
      <c r="O119" s="142">
        <v>0</v>
      </c>
      <c r="P119" s="142">
        <v>0</v>
      </c>
      <c r="Q119" s="160">
        <v>0</v>
      </c>
      <c r="R119" s="160">
        <v>0</v>
      </c>
      <c r="S119" s="116">
        <v>0</v>
      </c>
      <c r="T119" s="116">
        <v>0</v>
      </c>
      <c r="U119" s="33" t="s">
        <v>226</v>
      </c>
      <c r="V119" s="33">
        <v>2015</v>
      </c>
      <c r="W119" s="33">
        <v>1</v>
      </c>
      <c r="X119" s="33">
        <v>0</v>
      </c>
      <c r="Y119" s="33">
        <v>-1.8E-3</v>
      </c>
      <c r="Z119" s="33">
        <v>-1.2E-2</v>
      </c>
      <c r="AA119" s="33">
        <v>0</v>
      </c>
      <c r="AB119" s="33">
        <v>0</v>
      </c>
      <c r="AC119" s="33" t="s">
        <v>333</v>
      </c>
    </row>
    <row r="120" spans="1:29" s="158" customFormat="1" hidden="1" x14ac:dyDescent="0.2">
      <c r="A120" s="153">
        <f t="shared" si="1"/>
        <v>96</v>
      </c>
      <c r="B120" s="33">
        <v>1</v>
      </c>
      <c r="C120" s="33">
        <v>3</v>
      </c>
      <c r="D120" s="33">
        <v>8</v>
      </c>
      <c r="E120" s="104">
        <v>2016</v>
      </c>
      <c r="F120" s="33">
        <v>2021</v>
      </c>
      <c r="G120" s="33">
        <v>8</v>
      </c>
      <c r="H120" s="33">
        <v>8</v>
      </c>
      <c r="I120" s="33">
        <v>0</v>
      </c>
      <c r="J120" s="33">
        <v>0</v>
      </c>
      <c r="K120" s="33">
        <v>0</v>
      </c>
      <c r="L120" s="101">
        <v>0.9</v>
      </c>
      <c r="M120" s="108">
        <v>2560</v>
      </c>
      <c r="N120" s="108">
        <v>1150</v>
      </c>
      <c r="O120" s="142">
        <v>0</v>
      </c>
      <c r="P120" s="142">
        <v>0</v>
      </c>
      <c r="Q120" s="160">
        <v>173</v>
      </c>
      <c r="R120" s="160">
        <v>78</v>
      </c>
      <c r="S120" s="116">
        <v>0</v>
      </c>
      <c r="T120" s="116">
        <v>0</v>
      </c>
      <c r="U120" s="33" t="s">
        <v>226</v>
      </c>
      <c r="V120" s="33">
        <v>2015</v>
      </c>
      <c r="W120" s="33">
        <v>1</v>
      </c>
      <c r="X120" s="33">
        <v>0</v>
      </c>
      <c r="Y120" s="33">
        <v>-1.8E-3</v>
      </c>
      <c r="Z120" s="33">
        <v>-1.2E-2</v>
      </c>
      <c r="AA120" s="33">
        <v>0</v>
      </c>
      <c r="AB120" s="33">
        <v>0</v>
      </c>
      <c r="AC120" s="33" t="s">
        <v>333</v>
      </c>
    </row>
    <row r="121" spans="1:29" s="158" customFormat="1" hidden="1" x14ac:dyDescent="0.2">
      <c r="A121" s="153">
        <f t="shared" si="1"/>
        <v>97</v>
      </c>
      <c r="B121" s="33">
        <v>1</v>
      </c>
      <c r="C121" s="33">
        <v>3</v>
      </c>
      <c r="D121" s="33">
        <v>8</v>
      </c>
      <c r="E121" s="104">
        <v>2016</v>
      </c>
      <c r="F121" s="33">
        <v>2021</v>
      </c>
      <c r="G121" s="33">
        <v>9</v>
      </c>
      <c r="H121" s="33">
        <v>8</v>
      </c>
      <c r="I121" s="33">
        <v>0</v>
      </c>
      <c r="J121" s="33">
        <v>0</v>
      </c>
      <c r="K121" s="33">
        <v>0</v>
      </c>
      <c r="L121" s="101">
        <v>0.9</v>
      </c>
      <c r="M121" s="108">
        <v>2560</v>
      </c>
      <c r="N121" s="108">
        <v>1150</v>
      </c>
      <c r="O121" s="142">
        <v>0</v>
      </c>
      <c r="P121" s="142">
        <v>0</v>
      </c>
      <c r="Q121" s="160">
        <v>674</v>
      </c>
      <c r="R121" s="160">
        <v>303</v>
      </c>
      <c r="S121" s="116">
        <v>0</v>
      </c>
      <c r="T121" s="116">
        <v>0</v>
      </c>
      <c r="U121" s="33" t="s">
        <v>226</v>
      </c>
      <c r="V121" s="33">
        <v>2015</v>
      </c>
      <c r="W121" s="33">
        <v>1</v>
      </c>
      <c r="X121" s="33">
        <v>0</v>
      </c>
      <c r="Y121" s="33">
        <v>-1.8E-3</v>
      </c>
      <c r="Z121" s="33">
        <v>-1.2E-2</v>
      </c>
      <c r="AA121" s="33">
        <v>0</v>
      </c>
      <c r="AB121" s="33">
        <v>0</v>
      </c>
      <c r="AC121" s="33" t="s">
        <v>333</v>
      </c>
    </row>
    <row r="122" spans="1:29" s="158" customFormat="1" hidden="1" x14ac:dyDescent="0.2">
      <c r="A122" s="153">
        <f t="shared" si="1"/>
        <v>98</v>
      </c>
      <c r="B122" s="33">
        <v>1</v>
      </c>
      <c r="C122" s="33">
        <v>3</v>
      </c>
      <c r="D122" s="33">
        <v>8</v>
      </c>
      <c r="E122" s="151">
        <v>2022</v>
      </c>
      <c r="F122" s="159">
        <v>2032</v>
      </c>
      <c r="G122" s="33">
        <v>1</v>
      </c>
      <c r="H122" s="33">
        <v>8</v>
      </c>
      <c r="I122" s="33">
        <v>0</v>
      </c>
      <c r="J122" s="33">
        <v>0</v>
      </c>
      <c r="K122" s="33">
        <v>0</v>
      </c>
      <c r="L122" s="101">
        <v>0.95</v>
      </c>
      <c r="M122" s="108">
        <v>2740</v>
      </c>
      <c r="N122" s="108">
        <v>1320</v>
      </c>
      <c r="O122" s="160">
        <v>600</v>
      </c>
      <c r="P122" s="142">
        <v>0</v>
      </c>
      <c r="Q122" s="141">
        <v>576</v>
      </c>
      <c r="R122" s="141">
        <v>278</v>
      </c>
      <c r="S122" s="116">
        <v>0</v>
      </c>
      <c r="T122" s="116">
        <v>0</v>
      </c>
      <c r="U122" s="33" t="s">
        <v>226</v>
      </c>
      <c r="V122" s="33">
        <v>2015</v>
      </c>
      <c r="W122" s="33">
        <v>1</v>
      </c>
      <c r="X122" s="33">
        <v>0</v>
      </c>
      <c r="Y122" s="33">
        <v>-1.8E-3</v>
      </c>
      <c r="Z122" s="33">
        <v>-1.2E-2</v>
      </c>
      <c r="AA122" s="33">
        <v>0</v>
      </c>
      <c r="AB122" s="33">
        <v>0</v>
      </c>
      <c r="AC122" s="33" t="s">
        <v>333</v>
      </c>
    </row>
    <row r="123" spans="1:29" s="158" customFormat="1" hidden="1" x14ac:dyDescent="0.2">
      <c r="A123" s="153">
        <f t="shared" si="1"/>
        <v>99</v>
      </c>
      <c r="B123" s="33">
        <v>1</v>
      </c>
      <c r="C123" s="33">
        <v>3</v>
      </c>
      <c r="D123" s="33">
        <v>8</v>
      </c>
      <c r="E123" s="151">
        <v>2022</v>
      </c>
      <c r="F123" s="159">
        <v>2032</v>
      </c>
      <c r="G123" s="33">
        <v>2</v>
      </c>
      <c r="H123" s="33">
        <v>8</v>
      </c>
      <c r="I123" s="33">
        <v>0</v>
      </c>
      <c r="J123" s="33">
        <v>0</v>
      </c>
      <c r="K123" s="33">
        <v>0</v>
      </c>
      <c r="L123" s="101">
        <v>0.95</v>
      </c>
      <c r="M123" s="108">
        <v>2740</v>
      </c>
      <c r="N123" s="108">
        <v>1320</v>
      </c>
      <c r="O123" s="160">
        <v>600</v>
      </c>
      <c r="P123" s="142">
        <v>0</v>
      </c>
      <c r="Q123" s="141">
        <v>475</v>
      </c>
      <c r="R123" s="141">
        <v>229</v>
      </c>
      <c r="S123" s="116">
        <v>0</v>
      </c>
      <c r="T123" s="116">
        <v>0</v>
      </c>
      <c r="U123" s="33" t="s">
        <v>226</v>
      </c>
      <c r="V123" s="33">
        <v>2015</v>
      </c>
      <c r="W123" s="33">
        <v>1</v>
      </c>
      <c r="X123" s="33">
        <v>0</v>
      </c>
      <c r="Y123" s="33">
        <v>-1.8E-3</v>
      </c>
      <c r="Z123" s="33">
        <v>-1.2E-2</v>
      </c>
      <c r="AA123" s="33">
        <v>0</v>
      </c>
      <c r="AB123" s="33">
        <v>0</v>
      </c>
      <c r="AC123" s="33" t="s">
        <v>333</v>
      </c>
    </row>
    <row r="124" spans="1:29" s="158" customFormat="1" x14ac:dyDescent="0.2">
      <c r="A124" s="153">
        <f t="shared" si="1"/>
        <v>100</v>
      </c>
      <c r="B124" s="33">
        <v>1</v>
      </c>
      <c r="C124" s="33">
        <v>3</v>
      </c>
      <c r="D124" s="33">
        <v>8</v>
      </c>
      <c r="E124" s="151">
        <v>2022</v>
      </c>
      <c r="F124" s="159">
        <v>2032</v>
      </c>
      <c r="G124" s="33">
        <v>3</v>
      </c>
      <c r="H124" s="33">
        <v>8</v>
      </c>
      <c r="I124" s="33">
        <v>0</v>
      </c>
      <c r="J124" s="33">
        <v>0</v>
      </c>
      <c r="K124" s="33">
        <v>0</v>
      </c>
      <c r="L124" s="101">
        <v>0.95</v>
      </c>
      <c r="M124" s="108">
        <v>2740</v>
      </c>
      <c r="N124" s="108">
        <v>1320</v>
      </c>
      <c r="O124" s="160">
        <v>600</v>
      </c>
      <c r="P124" s="142">
        <v>0</v>
      </c>
      <c r="Q124" s="141">
        <v>227</v>
      </c>
      <c r="R124" s="141">
        <v>109</v>
      </c>
      <c r="S124" s="116">
        <v>0</v>
      </c>
      <c r="T124" s="116">
        <v>0</v>
      </c>
      <c r="U124" s="33" t="s">
        <v>226</v>
      </c>
      <c r="V124" s="33">
        <v>2015</v>
      </c>
      <c r="W124" s="33">
        <v>1</v>
      </c>
      <c r="X124" s="33">
        <v>0</v>
      </c>
      <c r="Y124" s="33">
        <v>-1.8E-3</v>
      </c>
      <c r="Z124" s="33">
        <v>-1.2E-2</v>
      </c>
      <c r="AA124" s="33">
        <v>0</v>
      </c>
      <c r="AB124" s="33">
        <v>0</v>
      </c>
      <c r="AC124" s="33" t="s">
        <v>333</v>
      </c>
    </row>
    <row r="125" spans="1:29" s="158" customFormat="1" hidden="1" x14ac:dyDescent="0.2">
      <c r="A125" s="153">
        <f t="shared" si="1"/>
        <v>101</v>
      </c>
      <c r="B125" s="33">
        <v>1</v>
      </c>
      <c r="C125" s="33">
        <v>3</v>
      </c>
      <c r="D125" s="33">
        <v>8</v>
      </c>
      <c r="E125" s="151">
        <v>2022</v>
      </c>
      <c r="F125" s="159">
        <v>2032</v>
      </c>
      <c r="G125" s="33">
        <v>4</v>
      </c>
      <c r="H125" s="33">
        <v>8</v>
      </c>
      <c r="I125" s="33">
        <v>0</v>
      </c>
      <c r="J125" s="33">
        <v>0</v>
      </c>
      <c r="K125" s="33">
        <v>0</v>
      </c>
      <c r="L125" s="101">
        <v>0.95</v>
      </c>
      <c r="M125" s="108">
        <v>2740</v>
      </c>
      <c r="N125" s="108">
        <v>1320</v>
      </c>
      <c r="O125" s="160">
        <v>600</v>
      </c>
      <c r="P125" s="142">
        <v>0</v>
      </c>
      <c r="Q125" s="141">
        <v>118</v>
      </c>
      <c r="R125" s="141">
        <v>57</v>
      </c>
      <c r="S125" s="116">
        <v>0</v>
      </c>
      <c r="T125" s="116">
        <v>0</v>
      </c>
      <c r="U125" s="33" t="s">
        <v>226</v>
      </c>
      <c r="V125" s="33">
        <v>2015</v>
      </c>
      <c r="W125" s="33">
        <v>1</v>
      </c>
      <c r="X125" s="33">
        <v>0</v>
      </c>
      <c r="Y125" s="33">
        <v>-1.8E-3</v>
      </c>
      <c r="Z125" s="33">
        <v>-1.2E-2</v>
      </c>
      <c r="AA125" s="33">
        <v>0</v>
      </c>
      <c r="AB125" s="33">
        <v>0</v>
      </c>
      <c r="AC125" s="33" t="s">
        <v>333</v>
      </c>
    </row>
    <row r="126" spans="1:29" s="158" customFormat="1" hidden="1" x14ac:dyDescent="0.2">
      <c r="A126" s="153">
        <f t="shared" si="1"/>
        <v>102</v>
      </c>
      <c r="B126" s="33">
        <v>1</v>
      </c>
      <c r="C126" s="33">
        <v>3</v>
      </c>
      <c r="D126" s="33">
        <v>8</v>
      </c>
      <c r="E126" s="151">
        <v>2022</v>
      </c>
      <c r="F126" s="159">
        <v>2032</v>
      </c>
      <c r="G126" s="33">
        <v>5</v>
      </c>
      <c r="H126" s="33">
        <v>8</v>
      </c>
      <c r="I126" s="33">
        <v>0</v>
      </c>
      <c r="J126" s="33">
        <v>0</v>
      </c>
      <c r="K126" s="33">
        <v>0</v>
      </c>
      <c r="L126" s="101">
        <v>0.9</v>
      </c>
      <c r="M126" s="108">
        <v>2560</v>
      </c>
      <c r="N126" s="108">
        <v>1150</v>
      </c>
      <c r="O126" s="142">
        <v>0</v>
      </c>
      <c r="P126" s="142">
        <v>0</v>
      </c>
      <c r="Q126" s="141">
        <v>247</v>
      </c>
      <c r="R126" s="141">
        <v>111</v>
      </c>
      <c r="S126" s="116">
        <v>0</v>
      </c>
      <c r="T126" s="116">
        <v>0</v>
      </c>
      <c r="U126" s="33" t="s">
        <v>226</v>
      </c>
      <c r="V126" s="33">
        <v>2015</v>
      </c>
      <c r="W126" s="33">
        <v>1</v>
      </c>
      <c r="X126" s="33">
        <v>0</v>
      </c>
      <c r="Y126" s="33">
        <v>-1.8E-3</v>
      </c>
      <c r="Z126" s="33">
        <v>-1.2E-2</v>
      </c>
      <c r="AA126" s="33">
        <v>0</v>
      </c>
      <c r="AB126" s="33">
        <v>0</v>
      </c>
      <c r="AC126" s="33" t="s">
        <v>333</v>
      </c>
    </row>
    <row r="127" spans="1:29" s="158" customFormat="1" hidden="1" x14ac:dyDescent="0.2">
      <c r="A127" s="153">
        <f t="shared" si="1"/>
        <v>103</v>
      </c>
      <c r="B127" s="33">
        <v>1</v>
      </c>
      <c r="C127" s="33">
        <v>3</v>
      </c>
      <c r="D127" s="33">
        <v>8</v>
      </c>
      <c r="E127" s="151">
        <v>2022</v>
      </c>
      <c r="F127" s="159">
        <v>2032</v>
      </c>
      <c r="G127" s="33">
        <v>6</v>
      </c>
      <c r="H127" s="33">
        <v>8</v>
      </c>
      <c r="I127" s="33">
        <v>0</v>
      </c>
      <c r="J127" s="33">
        <v>0</v>
      </c>
      <c r="K127" s="33">
        <v>0</v>
      </c>
      <c r="L127" s="101">
        <v>0.9</v>
      </c>
      <c r="M127" s="108">
        <v>2560</v>
      </c>
      <c r="N127" s="108">
        <v>1150</v>
      </c>
      <c r="O127" s="142">
        <v>0</v>
      </c>
      <c r="P127" s="142">
        <v>0</v>
      </c>
      <c r="Q127" s="141">
        <v>76</v>
      </c>
      <c r="R127" s="141">
        <v>34</v>
      </c>
      <c r="S127" s="116">
        <v>0</v>
      </c>
      <c r="T127" s="116">
        <v>0</v>
      </c>
      <c r="U127" s="33" t="s">
        <v>226</v>
      </c>
      <c r="V127" s="33">
        <v>2015</v>
      </c>
      <c r="W127" s="33">
        <v>1</v>
      </c>
      <c r="X127" s="33">
        <v>0</v>
      </c>
      <c r="Y127" s="33">
        <v>-1.8E-3</v>
      </c>
      <c r="Z127" s="33">
        <v>-1.2E-2</v>
      </c>
      <c r="AA127" s="33">
        <v>0</v>
      </c>
      <c r="AB127" s="33">
        <v>0</v>
      </c>
      <c r="AC127" s="33" t="s">
        <v>333</v>
      </c>
    </row>
    <row r="128" spans="1:29" s="158" customFormat="1" hidden="1" x14ac:dyDescent="0.2">
      <c r="A128" s="153">
        <f t="shared" si="1"/>
        <v>104</v>
      </c>
      <c r="B128" s="33">
        <v>1</v>
      </c>
      <c r="C128" s="33">
        <v>3</v>
      </c>
      <c r="D128" s="33">
        <v>8</v>
      </c>
      <c r="E128" s="151">
        <v>2022</v>
      </c>
      <c r="F128" s="159">
        <v>2032</v>
      </c>
      <c r="G128" s="33">
        <v>7</v>
      </c>
      <c r="H128" s="33">
        <v>8</v>
      </c>
      <c r="I128" s="33">
        <v>0</v>
      </c>
      <c r="J128" s="33">
        <v>0</v>
      </c>
      <c r="K128" s="33">
        <v>0</v>
      </c>
      <c r="L128" s="101">
        <v>0.9</v>
      </c>
      <c r="M128" s="108">
        <v>2560</v>
      </c>
      <c r="N128" s="108">
        <v>1150</v>
      </c>
      <c r="O128" s="142">
        <v>0</v>
      </c>
      <c r="P128" s="142">
        <v>0</v>
      </c>
      <c r="Q128" s="141">
        <v>0</v>
      </c>
      <c r="R128" s="141">
        <v>0</v>
      </c>
      <c r="S128" s="116">
        <v>0</v>
      </c>
      <c r="T128" s="116">
        <v>0</v>
      </c>
      <c r="U128" s="33" t="s">
        <v>226</v>
      </c>
      <c r="V128" s="33">
        <v>2015</v>
      </c>
      <c r="W128" s="33">
        <v>1</v>
      </c>
      <c r="X128" s="33">
        <v>0</v>
      </c>
      <c r="Y128" s="33">
        <v>-1.8E-3</v>
      </c>
      <c r="Z128" s="33">
        <v>-1.2E-2</v>
      </c>
      <c r="AA128" s="33">
        <v>0</v>
      </c>
      <c r="AB128" s="33">
        <v>0</v>
      </c>
      <c r="AC128" s="33" t="s">
        <v>333</v>
      </c>
    </row>
    <row r="129" spans="1:29" s="158" customFormat="1" hidden="1" x14ac:dyDescent="0.2">
      <c r="A129" s="153">
        <f t="shared" si="1"/>
        <v>105</v>
      </c>
      <c r="B129" s="33">
        <v>1</v>
      </c>
      <c r="C129" s="33">
        <v>3</v>
      </c>
      <c r="D129" s="33">
        <v>8</v>
      </c>
      <c r="E129" s="151">
        <v>2022</v>
      </c>
      <c r="F129" s="159">
        <v>2032</v>
      </c>
      <c r="G129" s="33">
        <v>8</v>
      </c>
      <c r="H129" s="33">
        <v>8</v>
      </c>
      <c r="I129" s="33">
        <v>0</v>
      </c>
      <c r="J129" s="33">
        <v>0</v>
      </c>
      <c r="K129" s="33">
        <v>0</v>
      </c>
      <c r="L129" s="101">
        <v>0.9</v>
      </c>
      <c r="M129" s="108">
        <v>2560</v>
      </c>
      <c r="N129" s="108">
        <v>1150</v>
      </c>
      <c r="O129" s="142">
        <v>0</v>
      </c>
      <c r="P129" s="142">
        <v>0</v>
      </c>
      <c r="Q129" s="141">
        <v>173</v>
      </c>
      <c r="R129" s="141">
        <v>78</v>
      </c>
      <c r="S129" s="116">
        <v>0</v>
      </c>
      <c r="T129" s="116">
        <v>0</v>
      </c>
      <c r="U129" s="33" t="s">
        <v>226</v>
      </c>
      <c r="V129" s="33">
        <v>2015</v>
      </c>
      <c r="W129" s="33">
        <v>1</v>
      </c>
      <c r="X129" s="33">
        <v>0</v>
      </c>
      <c r="Y129" s="33">
        <v>-1.8E-3</v>
      </c>
      <c r="Z129" s="33">
        <v>-1.2E-2</v>
      </c>
      <c r="AA129" s="33">
        <v>0</v>
      </c>
      <c r="AB129" s="33">
        <v>0</v>
      </c>
      <c r="AC129" s="33" t="s">
        <v>333</v>
      </c>
    </row>
    <row r="130" spans="1:29" s="158" customFormat="1" hidden="1" x14ac:dyDescent="0.2">
      <c r="A130" s="153">
        <f t="shared" si="1"/>
        <v>106</v>
      </c>
      <c r="B130" s="33">
        <v>1</v>
      </c>
      <c r="C130" s="33">
        <v>3</v>
      </c>
      <c r="D130" s="33">
        <v>8</v>
      </c>
      <c r="E130" s="151">
        <v>2022</v>
      </c>
      <c r="F130" s="159">
        <v>2032</v>
      </c>
      <c r="G130" s="33">
        <v>9</v>
      </c>
      <c r="H130" s="33">
        <v>8</v>
      </c>
      <c r="I130" s="33">
        <v>0</v>
      </c>
      <c r="J130" s="33">
        <v>0</v>
      </c>
      <c r="K130" s="33">
        <v>0</v>
      </c>
      <c r="L130" s="101">
        <v>0.9</v>
      </c>
      <c r="M130" s="108">
        <v>2560</v>
      </c>
      <c r="N130" s="108">
        <v>1150</v>
      </c>
      <c r="O130" s="142">
        <v>0</v>
      </c>
      <c r="P130" s="142">
        <v>0</v>
      </c>
      <c r="Q130" s="141">
        <v>674</v>
      </c>
      <c r="R130" s="141">
        <v>303</v>
      </c>
      <c r="S130" s="116">
        <v>0</v>
      </c>
      <c r="T130" s="116">
        <v>0</v>
      </c>
      <c r="U130" s="33" t="s">
        <v>226</v>
      </c>
      <c r="V130" s="33">
        <v>2015</v>
      </c>
      <c r="W130" s="33">
        <v>1</v>
      </c>
      <c r="X130" s="33">
        <v>0</v>
      </c>
      <c r="Y130" s="33">
        <v>-1.8E-3</v>
      </c>
      <c r="Z130" s="33">
        <v>-1.2E-2</v>
      </c>
      <c r="AA130" s="33">
        <v>0</v>
      </c>
      <c r="AB130" s="33">
        <v>0</v>
      </c>
      <c r="AC130" s="33" t="s">
        <v>333</v>
      </c>
    </row>
    <row r="131" spans="1:29" s="158" customFormat="1" hidden="1" x14ac:dyDescent="0.2">
      <c r="A131" s="153">
        <f t="shared" si="1"/>
        <v>107</v>
      </c>
      <c r="B131" s="49">
        <v>1</v>
      </c>
      <c r="C131" s="49">
        <v>3</v>
      </c>
      <c r="D131" s="49">
        <v>8</v>
      </c>
      <c r="E131" s="223">
        <v>2033</v>
      </c>
      <c r="F131" s="223">
        <v>2050</v>
      </c>
      <c r="G131" s="49">
        <v>1</v>
      </c>
      <c r="H131" s="49">
        <v>8</v>
      </c>
      <c r="I131" s="49">
        <v>0</v>
      </c>
      <c r="J131" s="49">
        <v>0</v>
      </c>
      <c r="K131" s="49">
        <v>0</v>
      </c>
      <c r="L131" s="167">
        <v>0.95</v>
      </c>
      <c r="M131" s="168">
        <v>2740</v>
      </c>
      <c r="N131" s="168">
        <v>1320</v>
      </c>
      <c r="O131" s="51">
        <v>0</v>
      </c>
      <c r="P131" s="51">
        <v>0</v>
      </c>
      <c r="Q131" s="51">
        <v>576</v>
      </c>
      <c r="R131" s="51">
        <v>278</v>
      </c>
      <c r="S131" s="171">
        <v>0</v>
      </c>
      <c r="T131" s="171">
        <v>0</v>
      </c>
      <c r="U131" s="49" t="s">
        <v>226</v>
      </c>
      <c r="V131" s="49">
        <v>2015</v>
      </c>
      <c r="W131" s="49">
        <v>1</v>
      </c>
      <c r="X131" s="49">
        <v>0</v>
      </c>
      <c r="Y131" s="49">
        <v>-1.8E-3</v>
      </c>
      <c r="Z131" s="49">
        <v>-1.2E-2</v>
      </c>
      <c r="AA131" s="49">
        <v>0</v>
      </c>
      <c r="AB131" s="49">
        <v>0</v>
      </c>
      <c r="AC131" s="49" t="s">
        <v>333</v>
      </c>
    </row>
    <row r="132" spans="1:29" s="158" customFormat="1" hidden="1" x14ac:dyDescent="0.2">
      <c r="A132" s="153">
        <f t="shared" si="1"/>
        <v>108</v>
      </c>
      <c r="B132" s="49">
        <v>1</v>
      </c>
      <c r="C132" s="49">
        <v>3</v>
      </c>
      <c r="D132" s="49">
        <v>8</v>
      </c>
      <c r="E132" s="223">
        <v>2033</v>
      </c>
      <c r="F132" s="223">
        <v>2050</v>
      </c>
      <c r="G132" s="49">
        <v>2</v>
      </c>
      <c r="H132" s="49">
        <v>8</v>
      </c>
      <c r="I132" s="49">
        <v>0</v>
      </c>
      <c r="J132" s="49">
        <v>0</v>
      </c>
      <c r="K132" s="49">
        <v>0</v>
      </c>
      <c r="L132" s="167">
        <v>0.95</v>
      </c>
      <c r="M132" s="168">
        <v>2740</v>
      </c>
      <c r="N132" s="168">
        <v>1320</v>
      </c>
      <c r="O132" s="51">
        <v>0</v>
      </c>
      <c r="P132" s="51">
        <v>0</v>
      </c>
      <c r="Q132" s="51">
        <v>475</v>
      </c>
      <c r="R132" s="51">
        <v>229</v>
      </c>
      <c r="S132" s="171">
        <v>0</v>
      </c>
      <c r="T132" s="171">
        <v>0</v>
      </c>
      <c r="U132" s="49" t="s">
        <v>226</v>
      </c>
      <c r="V132" s="49">
        <v>2015</v>
      </c>
      <c r="W132" s="49">
        <v>1</v>
      </c>
      <c r="X132" s="49">
        <v>0</v>
      </c>
      <c r="Y132" s="49">
        <v>-1.8E-3</v>
      </c>
      <c r="Z132" s="49">
        <v>-1.2E-2</v>
      </c>
      <c r="AA132" s="49">
        <v>0</v>
      </c>
      <c r="AB132" s="49">
        <v>0</v>
      </c>
      <c r="AC132" s="49" t="s">
        <v>333</v>
      </c>
    </row>
    <row r="133" spans="1:29" s="158" customFormat="1" x14ac:dyDescent="0.2">
      <c r="A133" s="153">
        <f t="shared" si="1"/>
        <v>109</v>
      </c>
      <c r="B133" s="49">
        <v>1</v>
      </c>
      <c r="C133" s="49">
        <v>3</v>
      </c>
      <c r="D133" s="49">
        <v>8</v>
      </c>
      <c r="E133" s="223">
        <v>2033</v>
      </c>
      <c r="F133" s="223">
        <v>2050</v>
      </c>
      <c r="G133" s="49">
        <v>3</v>
      </c>
      <c r="H133" s="49">
        <v>8</v>
      </c>
      <c r="I133" s="49">
        <v>0</v>
      </c>
      <c r="J133" s="49">
        <v>0</v>
      </c>
      <c r="K133" s="49">
        <v>0</v>
      </c>
      <c r="L133" s="167">
        <v>0.95</v>
      </c>
      <c r="M133" s="168">
        <v>2740</v>
      </c>
      <c r="N133" s="168">
        <v>1320</v>
      </c>
      <c r="O133" s="51">
        <v>0</v>
      </c>
      <c r="P133" s="51">
        <v>0</v>
      </c>
      <c r="Q133" s="51">
        <v>227</v>
      </c>
      <c r="R133" s="51">
        <v>109</v>
      </c>
      <c r="S133" s="171">
        <v>0</v>
      </c>
      <c r="T133" s="171">
        <v>0</v>
      </c>
      <c r="U133" s="49" t="s">
        <v>226</v>
      </c>
      <c r="V133" s="49">
        <v>2015</v>
      </c>
      <c r="W133" s="49">
        <v>1</v>
      </c>
      <c r="X133" s="49">
        <v>0</v>
      </c>
      <c r="Y133" s="49">
        <v>-1.8E-3</v>
      </c>
      <c r="Z133" s="49">
        <v>-1.2E-2</v>
      </c>
      <c r="AA133" s="49">
        <v>0</v>
      </c>
      <c r="AB133" s="49">
        <v>0</v>
      </c>
      <c r="AC133" s="49" t="s">
        <v>333</v>
      </c>
    </row>
    <row r="134" spans="1:29" s="158" customFormat="1" hidden="1" x14ac:dyDescent="0.2">
      <c r="A134" s="153">
        <f t="shared" si="1"/>
        <v>110</v>
      </c>
      <c r="B134" s="49">
        <v>1</v>
      </c>
      <c r="C134" s="49">
        <v>3</v>
      </c>
      <c r="D134" s="49">
        <v>8</v>
      </c>
      <c r="E134" s="223">
        <v>2033</v>
      </c>
      <c r="F134" s="223">
        <v>2050</v>
      </c>
      <c r="G134" s="49">
        <v>4</v>
      </c>
      <c r="H134" s="49">
        <v>8</v>
      </c>
      <c r="I134" s="49">
        <v>0</v>
      </c>
      <c r="J134" s="49">
        <v>0</v>
      </c>
      <c r="K134" s="49">
        <v>0</v>
      </c>
      <c r="L134" s="167">
        <v>0.95</v>
      </c>
      <c r="M134" s="168">
        <v>2740</v>
      </c>
      <c r="N134" s="168">
        <v>1320</v>
      </c>
      <c r="O134" s="51">
        <v>0</v>
      </c>
      <c r="P134" s="51">
        <v>0</v>
      </c>
      <c r="Q134" s="51">
        <v>118</v>
      </c>
      <c r="R134" s="51">
        <v>57</v>
      </c>
      <c r="S134" s="171">
        <v>0</v>
      </c>
      <c r="T134" s="171">
        <v>0</v>
      </c>
      <c r="U134" s="49" t="s">
        <v>226</v>
      </c>
      <c r="V134" s="49">
        <v>2015</v>
      </c>
      <c r="W134" s="49">
        <v>1</v>
      </c>
      <c r="X134" s="49">
        <v>0</v>
      </c>
      <c r="Y134" s="49">
        <v>-1.8E-3</v>
      </c>
      <c r="Z134" s="49">
        <v>-1.2E-2</v>
      </c>
      <c r="AA134" s="49">
        <v>0</v>
      </c>
      <c r="AB134" s="49">
        <v>0</v>
      </c>
      <c r="AC134" s="49" t="s">
        <v>333</v>
      </c>
    </row>
    <row r="135" spans="1:29" s="158" customFormat="1" hidden="1" x14ac:dyDescent="0.2">
      <c r="A135" s="153">
        <f t="shared" si="1"/>
        <v>111</v>
      </c>
      <c r="B135" s="49">
        <v>1</v>
      </c>
      <c r="C135" s="49">
        <v>3</v>
      </c>
      <c r="D135" s="49">
        <v>8</v>
      </c>
      <c r="E135" s="223">
        <v>2033</v>
      </c>
      <c r="F135" s="223">
        <v>2050</v>
      </c>
      <c r="G135" s="49">
        <v>5</v>
      </c>
      <c r="H135" s="49">
        <v>8</v>
      </c>
      <c r="I135" s="49">
        <v>0</v>
      </c>
      <c r="J135" s="49">
        <v>0</v>
      </c>
      <c r="K135" s="49">
        <v>0</v>
      </c>
      <c r="L135" s="167">
        <v>0.9</v>
      </c>
      <c r="M135" s="168">
        <v>2560</v>
      </c>
      <c r="N135" s="168">
        <v>1150</v>
      </c>
      <c r="O135" s="51">
        <v>0</v>
      </c>
      <c r="P135" s="51">
        <v>0</v>
      </c>
      <c r="Q135" s="51">
        <v>247</v>
      </c>
      <c r="R135" s="51">
        <v>111</v>
      </c>
      <c r="S135" s="171">
        <v>0</v>
      </c>
      <c r="T135" s="171">
        <v>0</v>
      </c>
      <c r="U135" s="49" t="s">
        <v>226</v>
      </c>
      <c r="V135" s="49">
        <v>2015</v>
      </c>
      <c r="W135" s="49">
        <v>1</v>
      </c>
      <c r="X135" s="49">
        <v>0</v>
      </c>
      <c r="Y135" s="49">
        <v>-1.8E-3</v>
      </c>
      <c r="Z135" s="49">
        <v>-1.2E-2</v>
      </c>
      <c r="AA135" s="49">
        <v>0</v>
      </c>
      <c r="AB135" s="49">
        <v>0</v>
      </c>
      <c r="AC135" s="49" t="s">
        <v>333</v>
      </c>
    </row>
    <row r="136" spans="1:29" s="158" customFormat="1" hidden="1" x14ac:dyDescent="0.2">
      <c r="A136" s="153">
        <f t="shared" si="1"/>
        <v>112</v>
      </c>
      <c r="B136" s="49">
        <v>1</v>
      </c>
      <c r="C136" s="49">
        <v>3</v>
      </c>
      <c r="D136" s="49">
        <v>8</v>
      </c>
      <c r="E136" s="223">
        <v>2033</v>
      </c>
      <c r="F136" s="223">
        <v>2050</v>
      </c>
      <c r="G136" s="49">
        <v>6</v>
      </c>
      <c r="H136" s="49">
        <v>8</v>
      </c>
      <c r="I136" s="49">
        <v>0</v>
      </c>
      <c r="J136" s="49">
        <v>0</v>
      </c>
      <c r="K136" s="49">
        <v>0</v>
      </c>
      <c r="L136" s="167">
        <v>0.9</v>
      </c>
      <c r="M136" s="168">
        <v>2560</v>
      </c>
      <c r="N136" s="168">
        <v>1150</v>
      </c>
      <c r="O136" s="51">
        <v>0</v>
      </c>
      <c r="P136" s="51">
        <v>0</v>
      </c>
      <c r="Q136" s="51">
        <v>76</v>
      </c>
      <c r="R136" s="51">
        <v>34</v>
      </c>
      <c r="S136" s="171">
        <v>0</v>
      </c>
      <c r="T136" s="171">
        <v>0</v>
      </c>
      <c r="U136" s="49" t="s">
        <v>226</v>
      </c>
      <c r="V136" s="49">
        <v>2015</v>
      </c>
      <c r="W136" s="49">
        <v>1</v>
      </c>
      <c r="X136" s="49">
        <v>0</v>
      </c>
      <c r="Y136" s="49">
        <v>-1.8E-3</v>
      </c>
      <c r="Z136" s="49">
        <v>-1.2E-2</v>
      </c>
      <c r="AA136" s="49">
        <v>0</v>
      </c>
      <c r="AB136" s="49">
        <v>0</v>
      </c>
      <c r="AC136" s="49" t="s">
        <v>333</v>
      </c>
    </row>
    <row r="137" spans="1:29" s="158" customFormat="1" hidden="1" x14ac:dyDescent="0.2">
      <c r="A137" s="153">
        <f t="shared" si="1"/>
        <v>113</v>
      </c>
      <c r="B137" s="49">
        <v>1</v>
      </c>
      <c r="C137" s="49">
        <v>3</v>
      </c>
      <c r="D137" s="49">
        <v>8</v>
      </c>
      <c r="E137" s="223">
        <v>2033</v>
      </c>
      <c r="F137" s="223">
        <v>2050</v>
      </c>
      <c r="G137" s="49">
        <v>7</v>
      </c>
      <c r="H137" s="49">
        <v>8</v>
      </c>
      <c r="I137" s="49">
        <v>0</v>
      </c>
      <c r="J137" s="49">
        <v>0</v>
      </c>
      <c r="K137" s="49">
        <v>0</v>
      </c>
      <c r="L137" s="167">
        <v>0.9</v>
      </c>
      <c r="M137" s="168">
        <v>2560</v>
      </c>
      <c r="N137" s="168">
        <v>1150</v>
      </c>
      <c r="O137" s="51">
        <v>0</v>
      </c>
      <c r="P137" s="51">
        <v>0</v>
      </c>
      <c r="Q137" s="51">
        <v>0</v>
      </c>
      <c r="R137" s="51">
        <v>0</v>
      </c>
      <c r="S137" s="171">
        <v>0</v>
      </c>
      <c r="T137" s="171">
        <v>0</v>
      </c>
      <c r="U137" s="49" t="s">
        <v>226</v>
      </c>
      <c r="V137" s="49">
        <v>2015</v>
      </c>
      <c r="W137" s="49">
        <v>1</v>
      </c>
      <c r="X137" s="49">
        <v>0</v>
      </c>
      <c r="Y137" s="49">
        <v>-1.8E-3</v>
      </c>
      <c r="Z137" s="49">
        <v>-1.2E-2</v>
      </c>
      <c r="AA137" s="49">
        <v>0</v>
      </c>
      <c r="AB137" s="49">
        <v>0</v>
      </c>
      <c r="AC137" s="49" t="s">
        <v>333</v>
      </c>
    </row>
    <row r="138" spans="1:29" s="158" customFormat="1" hidden="1" x14ac:dyDescent="0.2">
      <c r="A138" s="153">
        <f t="shared" si="1"/>
        <v>114</v>
      </c>
      <c r="B138" s="49">
        <v>1</v>
      </c>
      <c r="C138" s="49">
        <v>3</v>
      </c>
      <c r="D138" s="49">
        <v>8</v>
      </c>
      <c r="E138" s="223">
        <v>2033</v>
      </c>
      <c r="F138" s="223">
        <v>2050</v>
      </c>
      <c r="G138" s="49">
        <v>8</v>
      </c>
      <c r="H138" s="49">
        <v>8</v>
      </c>
      <c r="I138" s="49">
        <v>0</v>
      </c>
      <c r="J138" s="49">
        <v>0</v>
      </c>
      <c r="K138" s="49">
        <v>0</v>
      </c>
      <c r="L138" s="167">
        <v>0.9</v>
      </c>
      <c r="M138" s="168">
        <v>2560</v>
      </c>
      <c r="N138" s="168">
        <v>1150</v>
      </c>
      <c r="O138" s="51">
        <v>0</v>
      </c>
      <c r="P138" s="51">
        <v>0</v>
      </c>
      <c r="Q138" s="51">
        <v>173</v>
      </c>
      <c r="R138" s="51">
        <v>78</v>
      </c>
      <c r="S138" s="171">
        <v>0</v>
      </c>
      <c r="T138" s="171">
        <v>0</v>
      </c>
      <c r="U138" s="49" t="s">
        <v>226</v>
      </c>
      <c r="V138" s="49">
        <v>2015</v>
      </c>
      <c r="W138" s="49">
        <v>1</v>
      </c>
      <c r="X138" s="49">
        <v>0</v>
      </c>
      <c r="Y138" s="49">
        <v>-1.8E-3</v>
      </c>
      <c r="Z138" s="49">
        <v>-1.2E-2</v>
      </c>
      <c r="AA138" s="49">
        <v>0</v>
      </c>
      <c r="AB138" s="49">
        <v>0</v>
      </c>
      <c r="AC138" s="49" t="s">
        <v>333</v>
      </c>
    </row>
    <row r="139" spans="1:29" s="158" customFormat="1" hidden="1" x14ac:dyDescent="0.2">
      <c r="A139" s="153">
        <f t="shared" si="1"/>
        <v>115</v>
      </c>
      <c r="B139" s="49">
        <v>1</v>
      </c>
      <c r="C139" s="49">
        <v>3</v>
      </c>
      <c r="D139" s="49">
        <v>8</v>
      </c>
      <c r="E139" s="223">
        <v>2033</v>
      </c>
      <c r="F139" s="223">
        <v>2050</v>
      </c>
      <c r="G139" s="49">
        <v>9</v>
      </c>
      <c r="H139" s="49">
        <v>8</v>
      </c>
      <c r="I139" s="49">
        <v>0</v>
      </c>
      <c r="J139" s="49">
        <v>0</v>
      </c>
      <c r="K139" s="49">
        <v>0</v>
      </c>
      <c r="L139" s="167">
        <v>0.9</v>
      </c>
      <c r="M139" s="168">
        <v>2560</v>
      </c>
      <c r="N139" s="168">
        <v>1150</v>
      </c>
      <c r="O139" s="51">
        <v>0</v>
      </c>
      <c r="P139" s="51">
        <v>0</v>
      </c>
      <c r="Q139" s="51">
        <v>674</v>
      </c>
      <c r="R139" s="51">
        <v>303</v>
      </c>
      <c r="S139" s="171">
        <v>0</v>
      </c>
      <c r="T139" s="171">
        <v>0</v>
      </c>
      <c r="U139" s="49" t="s">
        <v>226</v>
      </c>
      <c r="V139" s="49">
        <v>2015</v>
      </c>
      <c r="W139" s="49">
        <v>1</v>
      </c>
      <c r="X139" s="49">
        <v>0</v>
      </c>
      <c r="Y139" s="49">
        <v>-1.8E-3</v>
      </c>
      <c r="Z139" s="49">
        <v>-1.2E-2</v>
      </c>
      <c r="AA139" s="49">
        <v>0</v>
      </c>
      <c r="AB139" s="49">
        <v>0</v>
      </c>
      <c r="AC139" s="49" t="s">
        <v>333</v>
      </c>
    </row>
    <row r="140" spans="1:29" s="158" customFormat="1" hidden="1" x14ac:dyDescent="0.2">
      <c r="A140" s="153">
        <f t="shared" si="1"/>
        <v>116</v>
      </c>
      <c r="B140" s="33">
        <v>1</v>
      </c>
      <c r="C140" s="33">
        <v>3</v>
      </c>
      <c r="D140" s="33">
        <v>9</v>
      </c>
      <c r="E140" s="104">
        <v>2016</v>
      </c>
      <c r="F140" s="33">
        <v>2021</v>
      </c>
      <c r="G140" s="33">
        <v>1</v>
      </c>
      <c r="H140" s="33">
        <v>9</v>
      </c>
      <c r="I140" s="33">
        <v>0</v>
      </c>
      <c r="J140" s="33">
        <v>0</v>
      </c>
      <c r="K140" s="33">
        <v>0</v>
      </c>
      <c r="L140" s="101">
        <v>0.99</v>
      </c>
      <c r="M140" s="108">
        <v>3040</v>
      </c>
      <c r="N140" s="108">
        <v>1620</v>
      </c>
      <c r="O140" s="142">
        <v>150</v>
      </c>
      <c r="P140" s="142">
        <v>0</v>
      </c>
      <c r="Q140" s="160">
        <v>639</v>
      </c>
      <c r="R140" s="160">
        <v>341</v>
      </c>
      <c r="S140" s="116">
        <v>0</v>
      </c>
      <c r="T140" s="116">
        <v>0</v>
      </c>
      <c r="U140" s="33" t="s">
        <v>226</v>
      </c>
      <c r="V140" s="33">
        <v>2015</v>
      </c>
      <c r="W140" s="33">
        <v>1</v>
      </c>
      <c r="X140" s="33">
        <v>0</v>
      </c>
      <c r="Y140" s="33">
        <v>-1.8E-3</v>
      </c>
      <c r="Z140" s="33">
        <v>-1.2E-2</v>
      </c>
      <c r="AA140" s="33">
        <v>0</v>
      </c>
      <c r="AB140" s="33">
        <v>0</v>
      </c>
      <c r="AC140" s="33" t="s">
        <v>334</v>
      </c>
    </row>
    <row r="141" spans="1:29" s="158" customFormat="1" hidden="1" x14ac:dyDescent="0.2">
      <c r="A141" s="153">
        <f t="shared" si="1"/>
        <v>117</v>
      </c>
      <c r="B141" s="33">
        <v>1</v>
      </c>
      <c r="C141" s="33">
        <v>3</v>
      </c>
      <c r="D141" s="33">
        <v>9</v>
      </c>
      <c r="E141" s="104">
        <v>2016</v>
      </c>
      <c r="F141" s="33">
        <v>2021</v>
      </c>
      <c r="G141" s="33">
        <v>2</v>
      </c>
      <c r="H141" s="33">
        <v>9</v>
      </c>
      <c r="I141" s="33">
        <v>0</v>
      </c>
      <c r="J141" s="33">
        <v>0</v>
      </c>
      <c r="K141" s="33">
        <v>0</v>
      </c>
      <c r="L141" s="101">
        <v>0.99</v>
      </c>
      <c r="M141" s="108">
        <v>3040</v>
      </c>
      <c r="N141" s="108">
        <v>1620</v>
      </c>
      <c r="O141" s="142">
        <v>150</v>
      </c>
      <c r="P141" s="142">
        <v>0</v>
      </c>
      <c r="Q141" s="160">
        <v>527</v>
      </c>
      <c r="R141" s="160">
        <v>281</v>
      </c>
      <c r="S141" s="116">
        <v>0</v>
      </c>
      <c r="T141" s="116">
        <v>0</v>
      </c>
      <c r="U141" s="33" t="s">
        <v>226</v>
      </c>
      <c r="V141" s="33">
        <v>2015</v>
      </c>
      <c r="W141" s="33">
        <v>1</v>
      </c>
      <c r="X141" s="33">
        <v>0</v>
      </c>
      <c r="Y141" s="33">
        <v>-1.8E-3</v>
      </c>
      <c r="Z141" s="33">
        <v>-1.2E-2</v>
      </c>
      <c r="AA141" s="33">
        <v>0</v>
      </c>
      <c r="AB141" s="33">
        <v>0</v>
      </c>
      <c r="AC141" s="33" t="s">
        <v>334</v>
      </c>
    </row>
    <row r="142" spans="1:29" s="158" customFormat="1" x14ac:dyDescent="0.2">
      <c r="A142" s="153">
        <f t="shared" si="1"/>
        <v>118</v>
      </c>
      <c r="B142" s="33">
        <v>1</v>
      </c>
      <c r="C142" s="33">
        <v>3</v>
      </c>
      <c r="D142" s="33">
        <v>9</v>
      </c>
      <c r="E142" s="104">
        <v>2016</v>
      </c>
      <c r="F142" s="33">
        <v>2021</v>
      </c>
      <c r="G142" s="33">
        <v>3</v>
      </c>
      <c r="H142" s="33">
        <v>9</v>
      </c>
      <c r="I142" s="33">
        <v>0</v>
      </c>
      <c r="J142" s="33">
        <v>0</v>
      </c>
      <c r="K142" s="33">
        <v>0</v>
      </c>
      <c r="L142" s="101">
        <v>0.99</v>
      </c>
      <c r="M142" s="108">
        <v>3040</v>
      </c>
      <c r="N142" s="108">
        <v>1620</v>
      </c>
      <c r="O142" s="142">
        <v>150</v>
      </c>
      <c r="P142" s="142">
        <v>0</v>
      </c>
      <c r="Q142" s="160">
        <v>251</v>
      </c>
      <c r="R142" s="160">
        <v>134</v>
      </c>
      <c r="S142" s="116">
        <v>0</v>
      </c>
      <c r="T142" s="116">
        <v>0</v>
      </c>
      <c r="U142" s="33" t="s">
        <v>226</v>
      </c>
      <c r="V142" s="33">
        <v>2015</v>
      </c>
      <c r="W142" s="33">
        <v>1</v>
      </c>
      <c r="X142" s="33">
        <v>0</v>
      </c>
      <c r="Y142" s="33">
        <v>-1.8E-3</v>
      </c>
      <c r="Z142" s="33">
        <v>-1.2E-2</v>
      </c>
      <c r="AA142" s="33">
        <v>0</v>
      </c>
      <c r="AB142" s="33">
        <v>0</v>
      </c>
      <c r="AC142" s="33" t="s">
        <v>334</v>
      </c>
    </row>
    <row r="143" spans="1:29" s="158" customFormat="1" hidden="1" x14ac:dyDescent="0.2">
      <c r="A143" s="153">
        <f t="shared" si="1"/>
        <v>119</v>
      </c>
      <c r="B143" s="33">
        <v>1</v>
      </c>
      <c r="C143" s="33">
        <v>3</v>
      </c>
      <c r="D143" s="33">
        <v>9</v>
      </c>
      <c r="E143" s="104">
        <v>2016</v>
      </c>
      <c r="F143" s="33">
        <v>2021</v>
      </c>
      <c r="G143" s="33">
        <v>4</v>
      </c>
      <c r="H143" s="33">
        <v>9</v>
      </c>
      <c r="I143" s="33">
        <v>0</v>
      </c>
      <c r="J143" s="33">
        <v>0</v>
      </c>
      <c r="K143" s="33">
        <v>0</v>
      </c>
      <c r="L143" s="101">
        <v>0.99</v>
      </c>
      <c r="M143" s="108">
        <v>3040</v>
      </c>
      <c r="N143" s="108">
        <v>1620</v>
      </c>
      <c r="O143" s="142">
        <v>150</v>
      </c>
      <c r="P143" s="142">
        <v>0</v>
      </c>
      <c r="Q143" s="160">
        <v>131</v>
      </c>
      <c r="R143" s="160">
        <v>70</v>
      </c>
      <c r="S143" s="116">
        <v>0</v>
      </c>
      <c r="T143" s="116">
        <v>0</v>
      </c>
      <c r="U143" s="33" t="s">
        <v>226</v>
      </c>
      <c r="V143" s="33">
        <v>2015</v>
      </c>
      <c r="W143" s="33">
        <v>1</v>
      </c>
      <c r="X143" s="33">
        <v>0</v>
      </c>
      <c r="Y143" s="33">
        <v>-1.8E-3</v>
      </c>
      <c r="Z143" s="33">
        <v>-1.2E-2</v>
      </c>
      <c r="AA143" s="33">
        <v>0</v>
      </c>
      <c r="AB143" s="33">
        <v>0</v>
      </c>
      <c r="AC143" s="33" t="s">
        <v>334</v>
      </c>
    </row>
    <row r="144" spans="1:29" s="158" customFormat="1" hidden="1" x14ac:dyDescent="0.2">
      <c r="A144" s="153">
        <f t="shared" si="1"/>
        <v>120</v>
      </c>
      <c r="B144" s="33">
        <v>1</v>
      </c>
      <c r="C144" s="33">
        <v>3</v>
      </c>
      <c r="D144" s="33">
        <v>9</v>
      </c>
      <c r="E144" s="104">
        <v>2016</v>
      </c>
      <c r="F144" s="33">
        <v>2021</v>
      </c>
      <c r="G144" s="33">
        <v>5</v>
      </c>
      <c r="H144" s="33">
        <v>9</v>
      </c>
      <c r="I144" s="33">
        <v>0</v>
      </c>
      <c r="J144" s="33">
        <v>0</v>
      </c>
      <c r="K144" s="33">
        <v>0</v>
      </c>
      <c r="L144" s="101">
        <v>0.99</v>
      </c>
      <c r="M144" s="108">
        <v>3040</v>
      </c>
      <c r="N144" s="108">
        <v>1620</v>
      </c>
      <c r="O144" s="142">
        <v>150</v>
      </c>
      <c r="P144" s="142">
        <v>0</v>
      </c>
      <c r="Q144" s="160">
        <v>293</v>
      </c>
      <c r="R144" s="160">
        <v>156</v>
      </c>
      <c r="S144" s="116">
        <v>0</v>
      </c>
      <c r="T144" s="116">
        <v>0</v>
      </c>
      <c r="U144" s="33" t="s">
        <v>226</v>
      </c>
      <c r="V144" s="33">
        <v>2015</v>
      </c>
      <c r="W144" s="33">
        <v>1</v>
      </c>
      <c r="X144" s="33">
        <v>0</v>
      </c>
      <c r="Y144" s="33">
        <v>-1.8E-3</v>
      </c>
      <c r="Z144" s="33">
        <v>-1.2E-2</v>
      </c>
      <c r="AA144" s="33">
        <v>0</v>
      </c>
      <c r="AB144" s="33">
        <v>0</v>
      </c>
      <c r="AC144" s="33" t="s">
        <v>334</v>
      </c>
    </row>
    <row r="145" spans="1:29" s="158" customFormat="1" hidden="1" x14ac:dyDescent="0.2">
      <c r="A145" s="153">
        <f t="shared" si="1"/>
        <v>121</v>
      </c>
      <c r="B145" s="33">
        <v>1</v>
      </c>
      <c r="C145" s="33">
        <v>3</v>
      </c>
      <c r="D145" s="33">
        <v>9</v>
      </c>
      <c r="E145" s="104">
        <v>2016</v>
      </c>
      <c r="F145" s="33">
        <v>2021</v>
      </c>
      <c r="G145" s="33">
        <v>6</v>
      </c>
      <c r="H145" s="33">
        <v>9</v>
      </c>
      <c r="I145" s="33">
        <v>0</v>
      </c>
      <c r="J145" s="33">
        <v>0</v>
      </c>
      <c r="K145" s="33">
        <v>0</v>
      </c>
      <c r="L145" s="101">
        <v>0.99</v>
      </c>
      <c r="M145" s="108">
        <v>3040</v>
      </c>
      <c r="N145" s="108">
        <v>1620</v>
      </c>
      <c r="O145" s="142">
        <v>150</v>
      </c>
      <c r="P145" s="142">
        <v>0</v>
      </c>
      <c r="Q145" s="160">
        <v>90</v>
      </c>
      <c r="R145" s="160">
        <v>48</v>
      </c>
      <c r="S145" s="116">
        <v>0</v>
      </c>
      <c r="T145" s="116">
        <v>0</v>
      </c>
      <c r="U145" s="33" t="s">
        <v>226</v>
      </c>
      <c r="V145" s="33">
        <v>2015</v>
      </c>
      <c r="W145" s="33">
        <v>1</v>
      </c>
      <c r="X145" s="33">
        <v>0</v>
      </c>
      <c r="Y145" s="33">
        <v>-1.8E-3</v>
      </c>
      <c r="Z145" s="33">
        <v>-1.2E-2</v>
      </c>
      <c r="AA145" s="33">
        <v>0</v>
      </c>
      <c r="AB145" s="33">
        <v>0</v>
      </c>
      <c r="AC145" s="33" t="s">
        <v>334</v>
      </c>
    </row>
    <row r="146" spans="1:29" s="158" customFormat="1" hidden="1" x14ac:dyDescent="0.2">
      <c r="A146" s="153">
        <f t="shared" si="1"/>
        <v>122</v>
      </c>
      <c r="B146" s="33">
        <v>1</v>
      </c>
      <c r="C146" s="33">
        <v>3</v>
      </c>
      <c r="D146" s="33">
        <v>9</v>
      </c>
      <c r="E146" s="104">
        <v>2016</v>
      </c>
      <c r="F146" s="33">
        <v>2021</v>
      </c>
      <c r="G146" s="33">
        <v>7</v>
      </c>
      <c r="H146" s="33">
        <v>9</v>
      </c>
      <c r="I146" s="33">
        <v>0</v>
      </c>
      <c r="J146" s="33">
        <v>0</v>
      </c>
      <c r="K146" s="33">
        <v>0</v>
      </c>
      <c r="L146" s="101">
        <v>0.99</v>
      </c>
      <c r="M146" s="108">
        <v>3040</v>
      </c>
      <c r="N146" s="108">
        <v>1620</v>
      </c>
      <c r="O146" s="142">
        <v>150</v>
      </c>
      <c r="P146" s="142">
        <v>0</v>
      </c>
      <c r="Q146" s="160">
        <v>0</v>
      </c>
      <c r="R146" s="160">
        <v>0</v>
      </c>
      <c r="S146" s="116">
        <v>0</v>
      </c>
      <c r="T146" s="116">
        <v>0</v>
      </c>
      <c r="U146" s="33" t="s">
        <v>226</v>
      </c>
      <c r="V146" s="33">
        <v>2015</v>
      </c>
      <c r="W146" s="33">
        <v>1</v>
      </c>
      <c r="X146" s="33">
        <v>0</v>
      </c>
      <c r="Y146" s="33">
        <v>-1.8E-3</v>
      </c>
      <c r="Z146" s="33">
        <v>-1.2E-2</v>
      </c>
      <c r="AA146" s="33">
        <v>0</v>
      </c>
      <c r="AB146" s="33">
        <v>0</v>
      </c>
      <c r="AC146" s="33" t="s">
        <v>334</v>
      </c>
    </row>
    <row r="147" spans="1:29" s="158" customFormat="1" hidden="1" x14ac:dyDescent="0.2">
      <c r="A147" s="153">
        <f t="shared" si="1"/>
        <v>123</v>
      </c>
      <c r="B147" s="33">
        <v>1</v>
      </c>
      <c r="C147" s="33">
        <v>3</v>
      </c>
      <c r="D147" s="33">
        <v>9</v>
      </c>
      <c r="E147" s="104">
        <v>2016</v>
      </c>
      <c r="F147" s="33">
        <v>2021</v>
      </c>
      <c r="G147" s="33">
        <v>8</v>
      </c>
      <c r="H147" s="33">
        <v>9</v>
      </c>
      <c r="I147" s="33">
        <v>0</v>
      </c>
      <c r="J147" s="33">
        <v>0</v>
      </c>
      <c r="K147" s="33">
        <v>0</v>
      </c>
      <c r="L147" s="101">
        <v>0.99</v>
      </c>
      <c r="M147" s="108">
        <v>3040</v>
      </c>
      <c r="N147" s="108">
        <v>1620</v>
      </c>
      <c r="O147" s="142">
        <v>150</v>
      </c>
      <c r="P147" s="142">
        <v>0</v>
      </c>
      <c r="Q147" s="160">
        <v>205</v>
      </c>
      <c r="R147" s="160">
        <v>109</v>
      </c>
      <c r="S147" s="116">
        <v>0</v>
      </c>
      <c r="T147" s="116">
        <v>0</v>
      </c>
      <c r="U147" s="33" t="s">
        <v>226</v>
      </c>
      <c r="V147" s="33">
        <v>2015</v>
      </c>
      <c r="W147" s="33">
        <v>1</v>
      </c>
      <c r="X147" s="33">
        <v>0</v>
      </c>
      <c r="Y147" s="33">
        <v>-1.8E-3</v>
      </c>
      <c r="Z147" s="33">
        <v>-1.2E-2</v>
      </c>
      <c r="AA147" s="33">
        <v>0</v>
      </c>
      <c r="AB147" s="33">
        <v>0</v>
      </c>
      <c r="AC147" s="33" t="s">
        <v>334</v>
      </c>
    </row>
    <row r="148" spans="1:29" s="158" customFormat="1" hidden="1" x14ac:dyDescent="0.2">
      <c r="A148" s="153">
        <f t="shared" si="1"/>
        <v>124</v>
      </c>
      <c r="B148" s="33">
        <v>1</v>
      </c>
      <c r="C148" s="33">
        <v>3</v>
      </c>
      <c r="D148" s="33">
        <v>9</v>
      </c>
      <c r="E148" s="104">
        <v>2016</v>
      </c>
      <c r="F148" s="33">
        <v>2021</v>
      </c>
      <c r="G148" s="33">
        <v>9</v>
      </c>
      <c r="H148" s="33">
        <v>9</v>
      </c>
      <c r="I148" s="33">
        <v>0</v>
      </c>
      <c r="J148" s="33">
        <v>0</v>
      </c>
      <c r="K148" s="33">
        <v>0</v>
      </c>
      <c r="L148" s="101">
        <v>0.99</v>
      </c>
      <c r="M148" s="108">
        <v>3040</v>
      </c>
      <c r="N148" s="108">
        <v>1620</v>
      </c>
      <c r="O148" s="142">
        <v>150</v>
      </c>
      <c r="P148" s="142">
        <v>0</v>
      </c>
      <c r="Q148" s="160">
        <v>800</v>
      </c>
      <c r="R148" s="160">
        <v>426</v>
      </c>
      <c r="S148" s="116">
        <v>0</v>
      </c>
      <c r="T148" s="116">
        <v>0</v>
      </c>
      <c r="U148" s="33" t="s">
        <v>226</v>
      </c>
      <c r="V148" s="33">
        <v>2015</v>
      </c>
      <c r="W148" s="33">
        <v>1</v>
      </c>
      <c r="X148" s="33">
        <v>0</v>
      </c>
      <c r="Y148" s="33">
        <v>-1.8E-3</v>
      </c>
      <c r="Z148" s="33">
        <v>-1.2E-2</v>
      </c>
      <c r="AA148" s="33">
        <v>0</v>
      </c>
      <c r="AB148" s="33">
        <v>0</v>
      </c>
      <c r="AC148" s="33" t="s">
        <v>334</v>
      </c>
    </row>
    <row r="149" spans="1:29" s="158" customFormat="1" hidden="1" x14ac:dyDescent="0.2">
      <c r="A149" s="153">
        <f t="shared" si="1"/>
        <v>125</v>
      </c>
      <c r="B149" s="33">
        <v>1</v>
      </c>
      <c r="C149" s="33">
        <v>3</v>
      </c>
      <c r="D149" s="33">
        <v>9</v>
      </c>
      <c r="E149" s="104">
        <v>2022</v>
      </c>
      <c r="F149" s="159">
        <v>2032</v>
      </c>
      <c r="G149" s="33">
        <v>1</v>
      </c>
      <c r="H149" s="33">
        <v>9</v>
      </c>
      <c r="I149" s="33">
        <v>0</v>
      </c>
      <c r="J149" s="33">
        <v>0</v>
      </c>
      <c r="K149" s="33">
        <v>0</v>
      </c>
      <c r="L149" s="101">
        <v>0.99</v>
      </c>
      <c r="M149" s="108">
        <v>3040</v>
      </c>
      <c r="N149" s="108">
        <v>1620</v>
      </c>
      <c r="O149" s="160">
        <v>600</v>
      </c>
      <c r="P149" s="142">
        <v>0</v>
      </c>
      <c r="Q149" s="141">
        <v>639</v>
      </c>
      <c r="R149" s="141">
        <v>341</v>
      </c>
      <c r="S149" s="116">
        <v>0</v>
      </c>
      <c r="T149" s="116">
        <v>0</v>
      </c>
      <c r="U149" s="33" t="s">
        <v>226</v>
      </c>
      <c r="V149" s="33">
        <v>2015</v>
      </c>
      <c r="W149" s="33">
        <v>1</v>
      </c>
      <c r="X149" s="33">
        <v>0</v>
      </c>
      <c r="Y149" s="33">
        <v>-1.8E-3</v>
      </c>
      <c r="Z149" s="33">
        <v>-1.2E-2</v>
      </c>
      <c r="AA149" s="33">
        <v>0</v>
      </c>
      <c r="AB149" s="33">
        <v>0</v>
      </c>
      <c r="AC149" s="33" t="s">
        <v>334</v>
      </c>
    </row>
    <row r="150" spans="1:29" s="158" customFormat="1" hidden="1" x14ac:dyDescent="0.2">
      <c r="A150" s="153">
        <f t="shared" si="1"/>
        <v>126</v>
      </c>
      <c r="B150" s="33">
        <v>1</v>
      </c>
      <c r="C150" s="33">
        <v>3</v>
      </c>
      <c r="D150" s="33">
        <v>9</v>
      </c>
      <c r="E150" s="104">
        <v>2022</v>
      </c>
      <c r="F150" s="159">
        <v>2032</v>
      </c>
      <c r="G150" s="33">
        <v>2</v>
      </c>
      <c r="H150" s="33">
        <v>9</v>
      </c>
      <c r="I150" s="33">
        <v>0</v>
      </c>
      <c r="J150" s="33">
        <v>0</v>
      </c>
      <c r="K150" s="33">
        <v>0</v>
      </c>
      <c r="L150" s="101">
        <v>0.99</v>
      </c>
      <c r="M150" s="108">
        <v>3040</v>
      </c>
      <c r="N150" s="108">
        <v>1620</v>
      </c>
      <c r="O150" s="160">
        <v>600</v>
      </c>
      <c r="P150" s="142">
        <v>0</v>
      </c>
      <c r="Q150" s="141">
        <v>527</v>
      </c>
      <c r="R150" s="141">
        <v>281</v>
      </c>
      <c r="S150" s="116">
        <v>0</v>
      </c>
      <c r="T150" s="116">
        <v>0</v>
      </c>
      <c r="U150" s="33" t="s">
        <v>226</v>
      </c>
      <c r="V150" s="33">
        <v>2015</v>
      </c>
      <c r="W150" s="33">
        <v>1</v>
      </c>
      <c r="X150" s="33">
        <v>0</v>
      </c>
      <c r="Y150" s="33">
        <v>-1.8E-3</v>
      </c>
      <c r="Z150" s="33">
        <v>-1.2E-2</v>
      </c>
      <c r="AA150" s="33">
        <v>0</v>
      </c>
      <c r="AB150" s="33">
        <v>0</v>
      </c>
      <c r="AC150" s="33" t="s">
        <v>334</v>
      </c>
    </row>
    <row r="151" spans="1:29" s="158" customFormat="1" x14ac:dyDescent="0.2">
      <c r="A151" s="153">
        <f t="shared" si="1"/>
        <v>127</v>
      </c>
      <c r="B151" s="33">
        <v>1</v>
      </c>
      <c r="C151" s="33">
        <v>3</v>
      </c>
      <c r="D151" s="33">
        <v>9</v>
      </c>
      <c r="E151" s="104">
        <v>2022</v>
      </c>
      <c r="F151" s="159">
        <v>2032</v>
      </c>
      <c r="G151" s="33">
        <v>3</v>
      </c>
      <c r="H151" s="33">
        <v>9</v>
      </c>
      <c r="I151" s="33">
        <v>0</v>
      </c>
      <c r="J151" s="33">
        <v>0</v>
      </c>
      <c r="K151" s="33">
        <v>0</v>
      </c>
      <c r="L151" s="101">
        <v>0.99</v>
      </c>
      <c r="M151" s="108">
        <v>3040</v>
      </c>
      <c r="N151" s="108">
        <v>1620</v>
      </c>
      <c r="O151" s="160">
        <v>600</v>
      </c>
      <c r="P151" s="142">
        <v>0</v>
      </c>
      <c r="Q151" s="141">
        <v>251</v>
      </c>
      <c r="R151" s="141">
        <v>134</v>
      </c>
      <c r="S151" s="116">
        <v>0</v>
      </c>
      <c r="T151" s="116">
        <v>0</v>
      </c>
      <c r="U151" s="33" t="s">
        <v>226</v>
      </c>
      <c r="V151" s="33">
        <v>2015</v>
      </c>
      <c r="W151" s="33">
        <v>1</v>
      </c>
      <c r="X151" s="33">
        <v>0</v>
      </c>
      <c r="Y151" s="33">
        <v>-1.8E-3</v>
      </c>
      <c r="Z151" s="33">
        <v>-1.2E-2</v>
      </c>
      <c r="AA151" s="33">
        <v>0</v>
      </c>
      <c r="AB151" s="33">
        <v>0</v>
      </c>
      <c r="AC151" s="33" t="s">
        <v>334</v>
      </c>
    </row>
    <row r="152" spans="1:29" s="158" customFormat="1" hidden="1" x14ac:dyDescent="0.2">
      <c r="A152" s="153">
        <f t="shared" si="1"/>
        <v>128</v>
      </c>
      <c r="B152" s="33">
        <v>1</v>
      </c>
      <c r="C152" s="33">
        <v>3</v>
      </c>
      <c r="D152" s="33">
        <v>9</v>
      </c>
      <c r="E152" s="104">
        <v>2022</v>
      </c>
      <c r="F152" s="159">
        <v>2032</v>
      </c>
      <c r="G152" s="33">
        <v>4</v>
      </c>
      <c r="H152" s="33">
        <v>9</v>
      </c>
      <c r="I152" s="33">
        <v>0</v>
      </c>
      <c r="J152" s="33">
        <v>0</v>
      </c>
      <c r="K152" s="33">
        <v>0</v>
      </c>
      <c r="L152" s="101">
        <v>0.99</v>
      </c>
      <c r="M152" s="108">
        <v>3040</v>
      </c>
      <c r="N152" s="108">
        <v>1620</v>
      </c>
      <c r="O152" s="160">
        <v>600</v>
      </c>
      <c r="P152" s="142">
        <v>0</v>
      </c>
      <c r="Q152" s="141">
        <v>131</v>
      </c>
      <c r="R152" s="141">
        <v>70</v>
      </c>
      <c r="S152" s="116">
        <v>0</v>
      </c>
      <c r="T152" s="116">
        <v>0</v>
      </c>
      <c r="U152" s="33" t="s">
        <v>226</v>
      </c>
      <c r="V152" s="33">
        <v>2015</v>
      </c>
      <c r="W152" s="33">
        <v>1</v>
      </c>
      <c r="X152" s="33">
        <v>0</v>
      </c>
      <c r="Y152" s="33">
        <v>-1.8E-3</v>
      </c>
      <c r="Z152" s="33">
        <v>-1.2E-2</v>
      </c>
      <c r="AA152" s="33">
        <v>0</v>
      </c>
      <c r="AB152" s="33">
        <v>0</v>
      </c>
      <c r="AC152" s="33" t="s">
        <v>334</v>
      </c>
    </row>
    <row r="153" spans="1:29" s="158" customFormat="1" hidden="1" x14ac:dyDescent="0.2">
      <c r="A153" s="153">
        <f t="shared" si="1"/>
        <v>129</v>
      </c>
      <c r="B153" s="33">
        <v>1</v>
      </c>
      <c r="C153" s="33">
        <v>3</v>
      </c>
      <c r="D153" s="33">
        <v>9</v>
      </c>
      <c r="E153" s="104">
        <v>2022</v>
      </c>
      <c r="F153" s="159">
        <v>2032</v>
      </c>
      <c r="G153" s="33">
        <v>5</v>
      </c>
      <c r="H153" s="33">
        <v>9</v>
      </c>
      <c r="I153" s="33">
        <v>0</v>
      </c>
      <c r="J153" s="33">
        <v>0</v>
      </c>
      <c r="K153" s="33">
        <v>0</v>
      </c>
      <c r="L153" s="101">
        <v>0.99</v>
      </c>
      <c r="M153" s="108">
        <v>3040</v>
      </c>
      <c r="N153" s="108">
        <v>1620</v>
      </c>
      <c r="O153" s="160">
        <v>600</v>
      </c>
      <c r="P153" s="142">
        <v>0</v>
      </c>
      <c r="Q153" s="141">
        <v>293</v>
      </c>
      <c r="R153" s="141">
        <v>156</v>
      </c>
      <c r="S153" s="116">
        <v>0</v>
      </c>
      <c r="T153" s="116">
        <v>0</v>
      </c>
      <c r="U153" s="33" t="s">
        <v>226</v>
      </c>
      <c r="V153" s="33">
        <v>2015</v>
      </c>
      <c r="W153" s="33">
        <v>1</v>
      </c>
      <c r="X153" s="33">
        <v>0</v>
      </c>
      <c r="Y153" s="33">
        <v>-1.8E-3</v>
      </c>
      <c r="Z153" s="33">
        <v>-1.2E-2</v>
      </c>
      <c r="AA153" s="33">
        <v>0</v>
      </c>
      <c r="AB153" s="33">
        <v>0</v>
      </c>
      <c r="AC153" s="33" t="s">
        <v>334</v>
      </c>
    </row>
    <row r="154" spans="1:29" s="158" customFormat="1" hidden="1" x14ac:dyDescent="0.2">
      <c r="A154" s="153">
        <f t="shared" si="1"/>
        <v>130</v>
      </c>
      <c r="B154" s="33">
        <v>1</v>
      </c>
      <c r="C154" s="33">
        <v>3</v>
      </c>
      <c r="D154" s="33">
        <v>9</v>
      </c>
      <c r="E154" s="104">
        <v>2022</v>
      </c>
      <c r="F154" s="159">
        <v>2032</v>
      </c>
      <c r="G154" s="33">
        <v>6</v>
      </c>
      <c r="H154" s="33">
        <v>9</v>
      </c>
      <c r="I154" s="33">
        <v>0</v>
      </c>
      <c r="J154" s="33">
        <v>0</v>
      </c>
      <c r="K154" s="33">
        <v>0</v>
      </c>
      <c r="L154" s="101">
        <v>0.99</v>
      </c>
      <c r="M154" s="108">
        <v>3040</v>
      </c>
      <c r="N154" s="108">
        <v>1620</v>
      </c>
      <c r="O154" s="160">
        <v>600</v>
      </c>
      <c r="P154" s="142">
        <v>0</v>
      </c>
      <c r="Q154" s="141">
        <v>90</v>
      </c>
      <c r="R154" s="141">
        <v>48</v>
      </c>
      <c r="S154" s="116">
        <v>0</v>
      </c>
      <c r="T154" s="116">
        <v>0</v>
      </c>
      <c r="U154" s="33" t="s">
        <v>226</v>
      </c>
      <c r="V154" s="33">
        <v>2015</v>
      </c>
      <c r="W154" s="33">
        <v>1</v>
      </c>
      <c r="X154" s="33">
        <v>0</v>
      </c>
      <c r="Y154" s="33">
        <v>-1.8E-3</v>
      </c>
      <c r="Z154" s="33">
        <v>-1.2E-2</v>
      </c>
      <c r="AA154" s="33">
        <v>0</v>
      </c>
      <c r="AB154" s="33">
        <v>0</v>
      </c>
      <c r="AC154" s="33" t="s">
        <v>334</v>
      </c>
    </row>
    <row r="155" spans="1:29" s="158" customFormat="1" hidden="1" x14ac:dyDescent="0.2">
      <c r="A155" s="153">
        <f t="shared" ref="A155:A218" si="2">A154+1</f>
        <v>131</v>
      </c>
      <c r="B155" s="33">
        <v>1</v>
      </c>
      <c r="C155" s="33">
        <v>3</v>
      </c>
      <c r="D155" s="33">
        <v>9</v>
      </c>
      <c r="E155" s="104">
        <v>2022</v>
      </c>
      <c r="F155" s="159">
        <v>2032</v>
      </c>
      <c r="G155" s="33">
        <v>7</v>
      </c>
      <c r="H155" s="33">
        <v>9</v>
      </c>
      <c r="I155" s="33">
        <v>0</v>
      </c>
      <c r="J155" s="33">
        <v>0</v>
      </c>
      <c r="K155" s="33">
        <v>0</v>
      </c>
      <c r="L155" s="101">
        <v>0.99</v>
      </c>
      <c r="M155" s="108">
        <v>3040</v>
      </c>
      <c r="N155" s="108">
        <v>1620</v>
      </c>
      <c r="O155" s="160">
        <v>600</v>
      </c>
      <c r="P155" s="142">
        <v>0</v>
      </c>
      <c r="Q155" s="141">
        <v>0</v>
      </c>
      <c r="R155" s="141">
        <v>0</v>
      </c>
      <c r="S155" s="116">
        <v>0</v>
      </c>
      <c r="T155" s="116">
        <v>0</v>
      </c>
      <c r="U155" s="33" t="s">
        <v>226</v>
      </c>
      <c r="V155" s="33">
        <v>2015</v>
      </c>
      <c r="W155" s="33">
        <v>1</v>
      </c>
      <c r="X155" s="33">
        <v>0</v>
      </c>
      <c r="Y155" s="33">
        <v>-1.8E-3</v>
      </c>
      <c r="Z155" s="33">
        <v>-1.2E-2</v>
      </c>
      <c r="AA155" s="33">
        <v>0</v>
      </c>
      <c r="AB155" s="33">
        <v>0</v>
      </c>
      <c r="AC155" s="33" t="s">
        <v>334</v>
      </c>
    </row>
    <row r="156" spans="1:29" s="158" customFormat="1" hidden="1" x14ac:dyDescent="0.2">
      <c r="A156" s="153">
        <f t="shared" si="2"/>
        <v>132</v>
      </c>
      <c r="B156" s="33">
        <v>1</v>
      </c>
      <c r="C156" s="33">
        <v>3</v>
      </c>
      <c r="D156" s="33">
        <v>9</v>
      </c>
      <c r="E156" s="104">
        <v>2022</v>
      </c>
      <c r="F156" s="159">
        <v>2032</v>
      </c>
      <c r="G156" s="33">
        <v>8</v>
      </c>
      <c r="H156" s="33">
        <v>9</v>
      </c>
      <c r="I156" s="33">
        <v>0</v>
      </c>
      <c r="J156" s="33">
        <v>0</v>
      </c>
      <c r="K156" s="33">
        <v>0</v>
      </c>
      <c r="L156" s="101">
        <v>0.99</v>
      </c>
      <c r="M156" s="108">
        <v>3040</v>
      </c>
      <c r="N156" s="108">
        <v>1620</v>
      </c>
      <c r="O156" s="160">
        <v>600</v>
      </c>
      <c r="P156" s="142">
        <v>0</v>
      </c>
      <c r="Q156" s="141">
        <v>205</v>
      </c>
      <c r="R156" s="141">
        <v>109</v>
      </c>
      <c r="S156" s="116">
        <v>0</v>
      </c>
      <c r="T156" s="116">
        <v>0</v>
      </c>
      <c r="U156" s="33" t="s">
        <v>226</v>
      </c>
      <c r="V156" s="33">
        <v>2015</v>
      </c>
      <c r="W156" s="33">
        <v>1</v>
      </c>
      <c r="X156" s="33">
        <v>0</v>
      </c>
      <c r="Y156" s="33">
        <v>-1.8E-3</v>
      </c>
      <c r="Z156" s="33">
        <v>-1.2E-2</v>
      </c>
      <c r="AA156" s="33">
        <v>0</v>
      </c>
      <c r="AB156" s="33">
        <v>0</v>
      </c>
      <c r="AC156" s="33" t="s">
        <v>334</v>
      </c>
    </row>
    <row r="157" spans="1:29" s="158" customFormat="1" hidden="1" x14ac:dyDescent="0.2">
      <c r="A157" s="153">
        <f t="shared" si="2"/>
        <v>133</v>
      </c>
      <c r="B157" s="33">
        <v>1</v>
      </c>
      <c r="C157" s="33">
        <v>3</v>
      </c>
      <c r="D157" s="33">
        <v>9</v>
      </c>
      <c r="E157" s="104">
        <v>2022</v>
      </c>
      <c r="F157" s="159">
        <v>2032</v>
      </c>
      <c r="G157" s="33">
        <v>9</v>
      </c>
      <c r="H157" s="33">
        <v>9</v>
      </c>
      <c r="I157" s="33">
        <v>0</v>
      </c>
      <c r="J157" s="33">
        <v>0</v>
      </c>
      <c r="K157" s="33">
        <v>0</v>
      </c>
      <c r="L157" s="101">
        <v>0.99</v>
      </c>
      <c r="M157" s="108">
        <v>3040</v>
      </c>
      <c r="N157" s="108">
        <v>1620</v>
      </c>
      <c r="O157" s="160">
        <v>600</v>
      </c>
      <c r="P157" s="142">
        <v>0</v>
      </c>
      <c r="Q157" s="141">
        <v>800</v>
      </c>
      <c r="R157" s="141">
        <v>426</v>
      </c>
      <c r="S157" s="116">
        <v>0</v>
      </c>
      <c r="T157" s="116">
        <v>0</v>
      </c>
      <c r="U157" s="33" t="s">
        <v>226</v>
      </c>
      <c r="V157" s="33">
        <v>2015</v>
      </c>
      <c r="W157" s="33">
        <v>1</v>
      </c>
      <c r="X157" s="33">
        <v>0</v>
      </c>
      <c r="Y157" s="33">
        <v>-1.8E-3</v>
      </c>
      <c r="Z157" s="33">
        <v>-1.2E-2</v>
      </c>
      <c r="AA157" s="33">
        <v>0</v>
      </c>
      <c r="AB157" s="33">
        <v>0</v>
      </c>
      <c r="AC157" s="33" t="s">
        <v>334</v>
      </c>
    </row>
    <row r="158" spans="1:29" s="158" customFormat="1" hidden="1" x14ac:dyDescent="0.2">
      <c r="A158" s="153">
        <f t="shared" si="2"/>
        <v>134</v>
      </c>
      <c r="B158" s="49">
        <v>1</v>
      </c>
      <c r="C158" s="49">
        <v>3</v>
      </c>
      <c r="D158" s="49">
        <v>9</v>
      </c>
      <c r="E158" s="166">
        <v>2033</v>
      </c>
      <c r="F158" s="49">
        <v>2050</v>
      </c>
      <c r="G158" s="49">
        <v>1</v>
      </c>
      <c r="H158" s="49">
        <v>9</v>
      </c>
      <c r="I158" s="49">
        <v>0</v>
      </c>
      <c r="J158" s="49">
        <v>0</v>
      </c>
      <c r="K158" s="49">
        <v>0</v>
      </c>
      <c r="L158" s="167">
        <v>0.99</v>
      </c>
      <c r="M158" s="168">
        <v>3040</v>
      </c>
      <c r="N158" s="168">
        <v>1620</v>
      </c>
      <c r="O158" s="51">
        <v>0</v>
      </c>
      <c r="P158" s="51">
        <v>0</v>
      </c>
      <c r="Q158" s="51">
        <v>639</v>
      </c>
      <c r="R158" s="51">
        <v>341</v>
      </c>
      <c r="S158" s="171">
        <v>0</v>
      </c>
      <c r="T158" s="171">
        <v>0</v>
      </c>
      <c r="U158" s="49" t="s">
        <v>226</v>
      </c>
      <c r="V158" s="49">
        <v>2015</v>
      </c>
      <c r="W158" s="49">
        <v>1</v>
      </c>
      <c r="X158" s="49">
        <v>0</v>
      </c>
      <c r="Y158" s="49">
        <v>-1.8E-3</v>
      </c>
      <c r="Z158" s="49">
        <v>-1.2E-2</v>
      </c>
      <c r="AA158" s="49">
        <v>0</v>
      </c>
      <c r="AB158" s="49">
        <v>0</v>
      </c>
      <c r="AC158" s="49" t="s">
        <v>334</v>
      </c>
    </row>
    <row r="159" spans="1:29" s="158" customFormat="1" hidden="1" x14ac:dyDescent="0.2">
      <c r="A159" s="153">
        <f t="shared" si="2"/>
        <v>135</v>
      </c>
      <c r="B159" s="49">
        <v>1</v>
      </c>
      <c r="C159" s="49">
        <v>3</v>
      </c>
      <c r="D159" s="49">
        <v>9</v>
      </c>
      <c r="E159" s="166">
        <v>2033</v>
      </c>
      <c r="F159" s="49">
        <v>2050</v>
      </c>
      <c r="G159" s="49">
        <v>2</v>
      </c>
      <c r="H159" s="49">
        <v>9</v>
      </c>
      <c r="I159" s="49">
        <v>0</v>
      </c>
      <c r="J159" s="49">
        <v>0</v>
      </c>
      <c r="K159" s="49">
        <v>0</v>
      </c>
      <c r="L159" s="167">
        <v>0.99</v>
      </c>
      <c r="M159" s="168">
        <v>3040</v>
      </c>
      <c r="N159" s="168">
        <v>1620</v>
      </c>
      <c r="O159" s="51">
        <v>0</v>
      </c>
      <c r="P159" s="51">
        <v>0</v>
      </c>
      <c r="Q159" s="51">
        <v>527</v>
      </c>
      <c r="R159" s="51">
        <v>281</v>
      </c>
      <c r="S159" s="171">
        <v>0</v>
      </c>
      <c r="T159" s="171">
        <v>0</v>
      </c>
      <c r="U159" s="49" t="s">
        <v>226</v>
      </c>
      <c r="V159" s="49">
        <v>2015</v>
      </c>
      <c r="W159" s="49">
        <v>1</v>
      </c>
      <c r="X159" s="49">
        <v>0</v>
      </c>
      <c r="Y159" s="49">
        <v>-1.8E-3</v>
      </c>
      <c r="Z159" s="49">
        <v>-1.2E-2</v>
      </c>
      <c r="AA159" s="49">
        <v>0</v>
      </c>
      <c r="AB159" s="49">
        <v>0</v>
      </c>
      <c r="AC159" s="49" t="s">
        <v>334</v>
      </c>
    </row>
    <row r="160" spans="1:29" s="158" customFormat="1" x14ac:dyDescent="0.2">
      <c r="A160" s="153">
        <f t="shared" si="2"/>
        <v>136</v>
      </c>
      <c r="B160" s="49">
        <v>1</v>
      </c>
      <c r="C160" s="49">
        <v>3</v>
      </c>
      <c r="D160" s="49">
        <v>9</v>
      </c>
      <c r="E160" s="166">
        <v>2033</v>
      </c>
      <c r="F160" s="49">
        <v>2050</v>
      </c>
      <c r="G160" s="49">
        <v>3</v>
      </c>
      <c r="H160" s="49">
        <v>9</v>
      </c>
      <c r="I160" s="49">
        <v>0</v>
      </c>
      <c r="J160" s="49">
        <v>0</v>
      </c>
      <c r="K160" s="49">
        <v>0</v>
      </c>
      <c r="L160" s="167">
        <v>0.99</v>
      </c>
      <c r="M160" s="168">
        <v>3040</v>
      </c>
      <c r="N160" s="168">
        <v>1620</v>
      </c>
      <c r="O160" s="51">
        <v>0</v>
      </c>
      <c r="P160" s="51">
        <v>0</v>
      </c>
      <c r="Q160" s="51">
        <v>251</v>
      </c>
      <c r="R160" s="51">
        <v>134</v>
      </c>
      <c r="S160" s="171">
        <v>0</v>
      </c>
      <c r="T160" s="171">
        <v>0</v>
      </c>
      <c r="U160" s="49" t="s">
        <v>226</v>
      </c>
      <c r="V160" s="49">
        <v>2015</v>
      </c>
      <c r="W160" s="49">
        <v>1</v>
      </c>
      <c r="X160" s="49">
        <v>0</v>
      </c>
      <c r="Y160" s="49">
        <v>-1.8E-3</v>
      </c>
      <c r="Z160" s="49">
        <v>-1.2E-2</v>
      </c>
      <c r="AA160" s="49">
        <v>0</v>
      </c>
      <c r="AB160" s="49">
        <v>0</v>
      </c>
      <c r="AC160" s="49" t="s">
        <v>334</v>
      </c>
    </row>
    <row r="161" spans="1:29" s="158" customFormat="1" hidden="1" x14ac:dyDescent="0.2">
      <c r="A161" s="153">
        <f t="shared" si="2"/>
        <v>137</v>
      </c>
      <c r="B161" s="49">
        <v>1</v>
      </c>
      <c r="C161" s="49">
        <v>3</v>
      </c>
      <c r="D161" s="49">
        <v>9</v>
      </c>
      <c r="E161" s="166">
        <v>2033</v>
      </c>
      <c r="F161" s="49">
        <v>2050</v>
      </c>
      <c r="G161" s="49">
        <v>4</v>
      </c>
      <c r="H161" s="49">
        <v>9</v>
      </c>
      <c r="I161" s="49">
        <v>0</v>
      </c>
      <c r="J161" s="49">
        <v>0</v>
      </c>
      <c r="K161" s="49">
        <v>0</v>
      </c>
      <c r="L161" s="167">
        <v>0.99</v>
      </c>
      <c r="M161" s="168">
        <v>3040</v>
      </c>
      <c r="N161" s="168">
        <v>1620</v>
      </c>
      <c r="O161" s="51">
        <v>0</v>
      </c>
      <c r="P161" s="51">
        <v>0</v>
      </c>
      <c r="Q161" s="51">
        <v>131</v>
      </c>
      <c r="R161" s="51">
        <v>70</v>
      </c>
      <c r="S161" s="171">
        <v>0</v>
      </c>
      <c r="T161" s="171">
        <v>0</v>
      </c>
      <c r="U161" s="49" t="s">
        <v>226</v>
      </c>
      <c r="V161" s="49">
        <v>2015</v>
      </c>
      <c r="W161" s="49">
        <v>1</v>
      </c>
      <c r="X161" s="49">
        <v>0</v>
      </c>
      <c r="Y161" s="49">
        <v>-1.8E-3</v>
      </c>
      <c r="Z161" s="49">
        <v>-1.2E-2</v>
      </c>
      <c r="AA161" s="49">
        <v>0</v>
      </c>
      <c r="AB161" s="49">
        <v>0</v>
      </c>
      <c r="AC161" s="49" t="s">
        <v>334</v>
      </c>
    </row>
    <row r="162" spans="1:29" s="158" customFormat="1" hidden="1" x14ac:dyDescent="0.2">
      <c r="A162" s="153">
        <f t="shared" si="2"/>
        <v>138</v>
      </c>
      <c r="B162" s="49">
        <v>1</v>
      </c>
      <c r="C162" s="49">
        <v>3</v>
      </c>
      <c r="D162" s="49">
        <v>9</v>
      </c>
      <c r="E162" s="166">
        <v>2033</v>
      </c>
      <c r="F162" s="49">
        <v>2050</v>
      </c>
      <c r="G162" s="49">
        <v>5</v>
      </c>
      <c r="H162" s="49">
        <v>9</v>
      </c>
      <c r="I162" s="49">
        <v>0</v>
      </c>
      <c r="J162" s="49">
        <v>0</v>
      </c>
      <c r="K162" s="49">
        <v>0</v>
      </c>
      <c r="L162" s="167">
        <v>0.99</v>
      </c>
      <c r="M162" s="168">
        <v>3040</v>
      </c>
      <c r="N162" s="168">
        <v>1620</v>
      </c>
      <c r="O162" s="51">
        <v>0</v>
      </c>
      <c r="P162" s="51">
        <v>0</v>
      </c>
      <c r="Q162" s="51">
        <v>293</v>
      </c>
      <c r="R162" s="51">
        <v>156</v>
      </c>
      <c r="S162" s="171">
        <v>0</v>
      </c>
      <c r="T162" s="171">
        <v>0</v>
      </c>
      <c r="U162" s="49" t="s">
        <v>226</v>
      </c>
      <c r="V162" s="49">
        <v>2015</v>
      </c>
      <c r="W162" s="49">
        <v>1</v>
      </c>
      <c r="X162" s="49">
        <v>0</v>
      </c>
      <c r="Y162" s="49">
        <v>-1.8E-3</v>
      </c>
      <c r="Z162" s="49">
        <v>-1.2E-2</v>
      </c>
      <c r="AA162" s="49">
        <v>0</v>
      </c>
      <c r="AB162" s="49">
        <v>0</v>
      </c>
      <c r="AC162" s="49" t="s">
        <v>334</v>
      </c>
    </row>
    <row r="163" spans="1:29" s="158" customFormat="1" hidden="1" x14ac:dyDescent="0.2">
      <c r="A163" s="153">
        <f t="shared" si="2"/>
        <v>139</v>
      </c>
      <c r="B163" s="49">
        <v>1</v>
      </c>
      <c r="C163" s="49">
        <v>3</v>
      </c>
      <c r="D163" s="49">
        <v>9</v>
      </c>
      <c r="E163" s="166">
        <v>2033</v>
      </c>
      <c r="F163" s="49">
        <v>2050</v>
      </c>
      <c r="G163" s="49">
        <v>6</v>
      </c>
      <c r="H163" s="49">
        <v>9</v>
      </c>
      <c r="I163" s="49">
        <v>0</v>
      </c>
      <c r="J163" s="49">
        <v>0</v>
      </c>
      <c r="K163" s="49">
        <v>0</v>
      </c>
      <c r="L163" s="167">
        <v>0.99</v>
      </c>
      <c r="M163" s="168">
        <v>3040</v>
      </c>
      <c r="N163" s="168">
        <v>1620</v>
      </c>
      <c r="O163" s="51">
        <v>0</v>
      </c>
      <c r="P163" s="51">
        <v>0</v>
      </c>
      <c r="Q163" s="51">
        <v>90</v>
      </c>
      <c r="R163" s="51">
        <v>48</v>
      </c>
      <c r="S163" s="171">
        <v>0</v>
      </c>
      <c r="T163" s="171">
        <v>0</v>
      </c>
      <c r="U163" s="49" t="s">
        <v>226</v>
      </c>
      <c r="V163" s="49">
        <v>2015</v>
      </c>
      <c r="W163" s="49">
        <v>1</v>
      </c>
      <c r="X163" s="49">
        <v>0</v>
      </c>
      <c r="Y163" s="49">
        <v>-1.8E-3</v>
      </c>
      <c r="Z163" s="49">
        <v>-1.2E-2</v>
      </c>
      <c r="AA163" s="49">
        <v>0</v>
      </c>
      <c r="AB163" s="49">
        <v>0</v>
      </c>
      <c r="AC163" s="49" t="s">
        <v>334</v>
      </c>
    </row>
    <row r="164" spans="1:29" s="158" customFormat="1" hidden="1" x14ac:dyDescent="0.2">
      <c r="A164" s="153">
        <f t="shared" si="2"/>
        <v>140</v>
      </c>
      <c r="B164" s="49">
        <v>1</v>
      </c>
      <c r="C164" s="49">
        <v>3</v>
      </c>
      <c r="D164" s="49">
        <v>9</v>
      </c>
      <c r="E164" s="166">
        <v>2033</v>
      </c>
      <c r="F164" s="49">
        <v>2050</v>
      </c>
      <c r="G164" s="49">
        <v>7</v>
      </c>
      <c r="H164" s="49">
        <v>9</v>
      </c>
      <c r="I164" s="49">
        <v>0</v>
      </c>
      <c r="J164" s="49">
        <v>0</v>
      </c>
      <c r="K164" s="49">
        <v>0</v>
      </c>
      <c r="L164" s="167">
        <v>0.99</v>
      </c>
      <c r="M164" s="168">
        <v>3040</v>
      </c>
      <c r="N164" s="168">
        <v>1620</v>
      </c>
      <c r="O164" s="51">
        <v>0</v>
      </c>
      <c r="P164" s="51">
        <v>0</v>
      </c>
      <c r="Q164" s="51">
        <v>0</v>
      </c>
      <c r="R164" s="51">
        <v>0</v>
      </c>
      <c r="S164" s="171">
        <v>0</v>
      </c>
      <c r="T164" s="171">
        <v>0</v>
      </c>
      <c r="U164" s="49" t="s">
        <v>226</v>
      </c>
      <c r="V164" s="49">
        <v>2015</v>
      </c>
      <c r="W164" s="49">
        <v>1</v>
      </c>
      <c r="X164" s="49">
        <v>0</v>
      </c>
      <c r="Y164" s="49">
        <v>-1.8E-3</v>
      </c>
      <c r="Z164" s="49">
        <v>-1.2E-2</v>
      </c>
      <c r="AA164" s="49">
        <v>0</v>
      </c>
      <c r="AB164" s="49">
        <v>0</v>
      </c>
      <c r="AC164" s="49" t="s">
        <v>334</v>
      </c>
    </row>
    <row r="165" spans="1:29" s="158" customFormat="1" hidden="1" x14ac:dyDescent="0.2">
      <c r="A165" s="153">
        <f t="shared" si="2"/>
        <v>141</v>
      </c>
      <c r="B165" s="49">
        <v>1</v>
      </c>
      <c r="C165" s="49">
        <v>3</v>
      </c>
      <c r="D165" s="49">
        <v>9</v>
      </c>
      <c r="E165" s="166">
        <v>2033</v>
      </c>
      <c r="F165" s="49">
        <v>2050</v>
      </c>
      <c r="G165" s="49">
        <v>8</v>
      </c>
      <c r="H165" s="49">
        <v>9</v>
      </c>
      <c r="I165" s="49">
        <v>0</v>
      </c>
      <c r="J165" s="49">
        <v>0</v>
      </c>
      <c r="K165" s="49">
        <v>0</v>
      </c>
      <c r="L165" s="167">
        <v>0.99</v>
      </c>
      <c r="M165" s="168">
        <v>3040</v>
      </c>
      <c r="N165" s="168">
        <v>1620</v>
      </c>
      <c r="O165" s="51">
        <v>0</v>
      </c>
      <c r="P165" s="51">
        <v>0</v>
      </c>
      <c r="Q165" s="51">
        <v>205</v>
      </c>
      <c r="R165" s="51">
        <v>109</v>
      </c>
      <c r="S165" s="171">
        <v>0</v>
      </c>
      <c r="T165" s="171">
        <v>0</v>
      </c>
      <c r="U165" s="49" t="s">
        <v>226</v>
      </c>
      <c r="V165" s="49">
        <v>2015</v>
      </c>
      <c r="W165" s="49">
        <v>1</v>
      </c>
      <c r="X165" s="49">
        <v>0</v>
      </c>
      <c r="Y165" s="49">
        <v>-1.8E-3</v>
      </c>
      <c r="Z165" s="49">
        <v>-1.2E-2</v>
      </c>
      <c r="AA165" s="49">
        <v>0</v>
      </c>
      <c r="AB165" s="49">
        <v>0</v>
      </c>
      <c r="AC165" s="49" t="s">
        <v>334</v>
      </c>
    </row>
    <row r="166" spans="1:29" s="158" customFormat="1" hidden="1" x14ac:dyDescent="0.2">
      <c r="A166" s="153">
        <f t="shared" si="2"/>
        <v>142</v>
      </c>
      <c r="B166" s="49">
        <v>1</v>
      </c>
      <c r="C166" s="49">
        <v>3</v>
      </c>
      <c r="D166" s="49">
        <v>9</v>
      </c>
      <c r="E166" s="166">
        <v>2033</v>
      </c>
      <c r="F166" s="49">
        <v>2050</v>
      </c>
      <c r="G166" s="49">
        <v>9</v>
      </c>
      <c r="H166" s="49">
        <v>9</v>
      </c>
      <c r="I166" s="49">
        <v>0</v>
      </c>
      <c r="J166" s="49">
        <v>0</v>
      </c>
      <c r="K166" s="49">
        <v>0</v>
      </c>
      <c r="L166" s="167">
        <v>0.99</v>
      </c>
      <c r="M166" s="168">
        <v>3040</v>
      </c>
      <c r="N166" s="168">
        <v>1620</v>
      </c>
      <c r="O166" s="51">
        <v>0</v>
      </c>
      <c r="P166" s="51">
        <v>0</v>
      </c>
      <c r="Q166" s="51">
        <v>800</v>
      </c>
      <c r="R166" s="51">
        <v>426</v>
      </c>
      <c r="S166" s="171">
        <v>0</v>
      </c>
      <c r="T166" s="171">
        <v>0</v>
      </c>
      <c r="U166" s="49" t="s">
        <v>226</v>
      </c>
      <c r="V166" s="49">
        <v>2015</v>
      </c>
      <c r="W166" s="49">
        <v>1</v>
      </c>
      <c r="X166" s="49">
        <v>0</v>
      </c>
      <c r="Y166" s="49">
        <v>-1.8E-3</v>
      </c>
      <c r="Z166" s="49">
        <v>-1.2E-2</v>
      </c>
      <c r="AA166" s="49">
        <v>0</v>
      </c>
      <c r="AB166" s="49">
        <v>0</v>
      </c>
      <c r="AC166" s="49" t="s">
        <v>334</v>
      </c>
    </row>
    <row r="167" spans="1:29" s="158" customFormat="1" hidden="1" x14ac:dyDescent="0.2">
      <c r="A167" s="153">
        <f t="shared" si="2"/>
        <v>143</v>
      </c>
      <c r="B167" s="33">
        <v>1</v>
      </c>
      <c r="C167" s="33">
        <v>4</v>
      </c>
      <c r="D167" s="33">
        <v>10</v>
      </c>
      <c r="E167" s="104">
        <v>2016</v>
      </c>
      <c r="F167" s="33">
        <v>2020</v>
      </c>
      <c r="G167" s="33">
        <v>11</v>
      </c>
      <c r="H167" s="33">
        <v>10</v>
      </c>
      <c r="I167" s="33">
        <v>0</v>
      </c>
      <c r="J167" s="33">
        <v>0</v>
      </c>
      <c r="K167" s="33">
        <v>0</v>
      </c>
      <c r="L167" s="101">
        <v>0.82</v>
      </c>
      <c r="M167" s="108">
        <v>7175</v>
      </c>
      <c r="N167" s="108">
        <v>2250</v>
      </c>
      <c r="O167" s="142">
        <v>0</v>
      </c>
      <c r="P167" s="142">
        <v>0</v>
      </c>
      <c r="Q167" s="142">
        <v>0</v>
      </c>
      <c r="R167" s="142">
        <v>0</v>
      </c>
      <c r="S167" s="116">
        <v>0</v>
      </c>
      <c r="T167" s="116">
        <v>0</v>
      </c>
      <c r="U167" s="33" t="s">
        <v>226</v>
      </c>
      <c r="V167" s="33">
        <v>2015</v>
      </c>
      <c r="W167" s="33">
        <v>1</v>
      </c>
      <c r="X167" s="33">
        <v>0</v>
      </c>
      <c r="Y167" s="33">
        <v>-1.8E-3</v>
      </c>
      <c r="Z167" s="33">
        <v>-1.2E-2</v>
      </c>
      <c r="AA167" s="33">
        <v>0</v>
      </c>
      <c r="AB167" s="33">
        <v>0</v>
      </c>
      <c r="AC167" s="33" t="s">
        <v>203</v>
      </c>
    </row>
    <row r="168" spans="1:29" s="158" customFormat="1" hidden="1" x14ac:dyDescent="0.2">
      <c r="A168" s="153">
        <f t="shared" si="2"/>
        <v>144</v>
      </c>
      <c r="B168" s="33">
        <v>1</v>
      </c>
      <c r="C168" s="33">
        <v>4</v>
      </c>
      <c r="D168" s="33">
        <v>10</v>
      </c>
      <c r="E168" s="104">
        <v>2021</v>
      </c>
      <c r="F168" s="33">
        <v>2050</v>
      </c>
      <c r="G168" s="33">
        <v>11</v>
      </c>
      <c r="H168" s="33">
        <v>10</v>
      </c>
      <c r="I168" s="33">
        <v>0</v>
      </c>
      <c r="J168" s="33">
        <v>0</v>
      </c>
      <c r="K168" s="33">
        <v>0</v>
      </c>
      <c r="L168" s="101">
        <v>0.84</v>
      </c>
      <c r="M168" s="108">
        <v>7350</v>
      </c>
      <c r="N168" s="108">
        <v>2304.8780487804879</v>
      </c>
      <c r="O168" s="142">
        <v>0</v>
      </c>
      <c r="P168" s="142">
        <v>0</v>
      </c>
      <c r="Q168" s="142">
        <v>0</v>
      </c>
      <c r="R168" s="142">
        <v>0</v>
      </c>
      <c r="S168" s="116">
        <v>0</v>
      </c>
      <c r="T168" s="116">
        <v>0</v>
      </c>
      <c r="U168" s="33" t="s">
        <v>226</v>
      </c>
      <c r="V168" s="33">
        <v>2015</v>
      </c>
      <c r="W168" s="33">
        <v>1</v>
      </c>
      <c r="X168" s="33">
        <v>0</v>
      </c>
      <c r="Y168" s="33">
        <v>-1.8E-3</v>
      </c>
      <c r="Z168" s="33">
        <v>-1.2E-2</v>
      </c>
      <c r="AA168" s="33">
        <v>0</v>
      </c>
      <c r="AB168" s="33">
        <v>0</v>
      </c>
      <c r="AC168" s="33" t="s">
        <v>203</v>
      </c>
    </row>
    <row r="169" spans="1:29" s="158" customFormat="1" hidden="1" x14ac:dyDescent="0.2">
      <c r="A169" s="153">
        <f t="shared" si="2"/>
        <v>145</v>
      </c>
      <c r="B169" s="33">
        <v>1</v>
      </c>
      <c r="C169" s="33">
        <v>4</v>
      </c>
      <c r="D169" s="33">
        <v>11</v>
      </c>
      <c r="E169" s="104">
        <v>2016</v>
      </c>
      <c r="F169" s="33">
        <v>2019</v>
      </c>
      <c r="G169" s="33">
        <v>11</v>
      </c>
      <c r="H169" s="33">
        <v>11</v>
      </c>
      <c r="I169" s="33">
        <v>0</v>
      </c>
      <c r="J169" s="33">
        <v>0</v>
      </c>
      <c r="K169" s="33">
        <v>0</v>
      </c>
      <c r="L169" s="101">
        <v>0.82</v>
      </c>
      <c r="M169" s="108">
        <v>7175</v>
      </c>
      <c r="N169" s="108">
        <v>2250</v>
      </c>
      <c r="O169" s="142">
        <v>0</v>
      </c>
      <c r="P169" s="142">
        <v>0</v>
      </c>
      <c r="Q169" s="142">
        <v>0</v>
      </c>
      <c r="R169" s="142">
        <v>0</v>
      </c>
      <c r="S169" s="116">
        <v>0</v>
      </c>
      <c r="T169" s="116">
        <v>0</v>
      </c>
      <c r="U169" s="33" t="s">
        <v>226</v>
      </c>
      <c r="V169" s="33">
        <v>2015</v>
      </c>
      <c r="W169" s="33">
        <v>1</v>
      </c>
      <c r="X169" s="33">
        <v>0</v>
      </c>
      <c r="Y169" s="33">
        <v>-1.8E-3</v>
      </c>
      <c r="Z169" s="33">
        <v>-1.2E-2</v>
      </c>
      <c r="AA169" s="33">
        <v>0</v>
      </c>
      <c r="AB169" s="33">
        <v>0</v>
      </c>
      <c r="AC169" s="33" t="s">
        <v>204</v>
      </c>
    </row>
    <row r="170" spans="1:29" s="158" customFormat="1" hidden="1" x14ac:dyDescent="0.2">
      <c r="A170" s="153">
        <f t="shared" si="2"/>
        <v>146</v>
      </c>
      <c r="B170" s="33">
        <v>1</v>
      </c>
      <c r="C170" s="33">
        <v>4</v>
      </c>
      <c r="D170" s="33">
        <v>11</v>
      </c>
      <c r="E170" s="104">
        <v>2020</v>
      </c>
      <c r="F170" s="33">
        <v>2050</v>
      </c>
      <c r="G170" s="33">
        <v>11</v>
      </c>
      <c r="H170" s="33">
        <v>11</v>
      </c>
      <c r="I170" s="33">
        <v>0</v>
      </c>
      <c r="J170" s="33">
        <v>0</v>
      </c>
      <c r="K170" s="33">
        <v>0</v>
      </c>
      <c r="L170" s="101">
        <v>0.9</v>
      </c>
      <c r="M170" s="108">
        <v>7875</v>
      </c>
      <c r="N170" s="108">
        <v>3000</v>
      </c>
      <c r="O170" s="142">
        <v>0</v>
      </c>
      <c r="P170" s="142">
        <v>0</v>
      </c>
      <c r="Q170" s="142">
        <v>0</v>
      </c>
      <c r="R170" s="142">
        <v>0</v>
      </c>
      <c r="S170" s="116">
        <v>0</v>
      </c>
      <c r="T170" s="116">
        <v>0</v>
      </c>
      <c r="U170" s="33" t="s">
        <v>226</v>
      </c>
      <c r="V170" s="33">
        <v>2015</v>
      </c>
      <c r="W170" s="33">
        <v>1</v>
      </c>
      <c r="X170" s="33">
        <v>0</v>
      </c>
      <c r="Y170" s="33">
        <v>-1.8E-3</v>
      </c>
      <c r="Z170" s="33">
        <v>-1.2E-2</v>
      </c>
      <c r="AA170" s="33">
        <v>0</v>
      </c>
      <c r="AB170" s="33">
        <v>0</v>
      </c>
      <c r="AC170" s="33" t="s">
        <v>204</v>
      </c>
    </row>
    <row r="171" spans="1:29" s="158" customFormat="1" hidden="1" x14ac:dyDescent="0.2">
      <c r="A171" s="153">
        <f t="shared" si="2"/>
        <v>147</v>
      </c>
      <c r="B171" s="33">
        <v>1</v>
      </c>
      <c r="C171" s="33">
        <v>4</v>
      </c>
      <c r="D171" s="33">
        <v>12</v>
      </c>
      <c r="E171" s="104">
        <v>2016</v>
      </c>
      <c r="F171" s="33">
        <v>2050</v>
      </c>
      <c r="G171" s="33">
        <v>1</v>
      </c>
      <c r="H171" s="33">
        <v>12</v>
      </c>
      <c r="I171" s="33">
        <v>0</v>
      </c>
      <c r="J171" s="33">
        <v>0</v>
      </c>
      <c r="K171" s="33">
        <v>0</v>
      </c>
      <c r="L171" s="101">
        <v>0.9</v>
      </c>
      <c r="M171" s="108">
        <v>7875</v>
      </c>
      <c r="N171" s="108">
        <v>3000</v>
      </c>
      <c r="O171" s="142">
        <v>0</v>
      </c>
      <c r="P171" s="142">
        <v>0</v>
      </c>
      <c r="Q171" s="160">
        <v>1149</v>
      </c>
      <c r="R171" s="160">
        <v>438</v>
      </c>
      <c r="S171" s="116">
        <v>0</v>
      </c>
      <c r="T171" s="116">
        <v>0</v>
      </c>
      <c r="U171" s="33" t="s">
        <v>226</v>
      </c>
      <c r="V171" s="33">
        <v>2015</v>
      </c>
      <c r="W171" s="33">
        <v>1</v>
      </c>
      <c r="X171" s="33">
        <v>0</v>
      </c>
      <c r="Y171" s="33">
        <v>-1.8E-3</v>
      </c>
      <c r="Z171" s="33">
        <v>-1.2E-2</v>
      </c>
      <c r="AA171" s="33">
        <v>0</v>
      </c>
      <c r="AB171" s="33">
        <v>0</v>
      </c>
      <c r="AC171" s="33" t="s">
        <v>205</v>
      </c>
    </row>
    <row r="172" spans="1:29" s="158" customFormat="1" hidden="1" x14ac:dyDescent="0.2">
      <c r="A172" s="153">
        <f t="shared" si="2"/>
        <v>148</v>
      </c>
      <c r="B172" s="33">
        <v>1</v>
      </c>
      <c r="C172" s="33">
        <v>4</v>
      </c>
      <c r="D172" s="33">
        <v>12</v>
      </c>
      <c r="E172" s="104">
        <v>2016</v>
      </c>
      <c r="F172" s="33">
        <v>2050</v>
      </c>
      <c r="G172" s="33">
        <v>2</v>
      </c>
      <c r="H172" s="33">
        <v>12</v>
      </c>
      <c r="I172" s="33">
        <v>0</v>
      </c>
      <c r="J172" s="33">
        <v>0</v>
      </c>
      <c r="K172" s="33">
        <v>0</v>
      </c>
      <c r="L172" s="101">
        <v>0.9</v>
      </c>
      <c r="M172" s="108">
        <v>7875</v>
      </c>
      <c r="N172" s="108">
        <v>3000</v>
      </c>
      <c r="O172" s="142">
        <v>0</v>
      </c>
      <c r="P172" s="142">
        <v>0</v>
      </c>
      <c r="Q172" s="160">
        <v>580</v>
      </c>
      <c r="R172" s="160">
        <v>221</v>
      </c>
      <c r="S172" s="116">
        <v>0</v>
      </c>
      <c r="T172" s="116">
        <v>0</v>
      </c>
      <c r="U172" s="33" t="s">
        <v>226</v>
      </c>
      <c r="V172" s="33">
        <v>2015</v>
      </c>
      <c r="W172" s="33">
        <v>1</v>
      </c>
      <c r="X172" s="33">
        <v>0</v>
      </c>
      <c r="Y172" s="33">
        <v>-1.8E-3</v>
      </c>
      <c r="Z172" s="33">
        <v>-1.2E-2</v>
      </c>
      <c r="AA172" s="33">
        <v>0</v>
      </c>
      <c r="AB172" s="33">
        <v>0</v>
      </c>
      <c r="AC172" s="33" t="s">
        <v>205</v>
      </c>
    </row>
    <row r="173" spans="1:29" s="158" customFormat="1" x14ac:dyDescent="0.2">
      <c r="A173" s="153">
        <f t="shared" si="2"/>
        <v>149</v>
      </c>
      <c r="B173" s="33">
        <v>1</v>
      </c>
      <c r="C173" s="33">
        <v>4</v>
      </c>
      <c r="D173" s="33">
        <v>12</v>
      </c>
      <c r="E173" s="104">
        <v>2016</v>
      </c>
      <c r="F173" s="33">
        <v>2050</v>
      </c>
      <c r="G173" s="33">
        <v>3</v>
      </c>
      <c r="H173" s="33">
        <v>12</v>
      </c>
      <c r="I173" s="33">
        <v>0</v>
      </c>
      <c r="J173" s="33">
        <v>0</v>
      </c>
      <c r="K173" s="33">
        <v>0</v>
      </c>
      <c r="L173" s="101">
        <v>0.9</v>
      </c>
      <c r="M173" s="108">
        <v>7875</v>
      </c>
      <c r="N173" s="108">
        <v>3000</v>
      </c>
      <c r="O173" s="142">
        <v>0</v>
      </c>
      <c r="P173" s="142">
        <v>0</v>
      </c>
      <c r="Q173" s="160">
        <v>80</v>
      </c>
      <c r="R173" s="160">
        <v>30</v>
      </c>
      <c r="S173" s="116">
        <v>0</v>
      </c>
      <c r="T173" s="116">
        <v>0</v>
      </c>
      <c r="U173" s="33" t="s">
        <v>226</v>
      </c>
      <c r="V173" s="33">
        <v>2015</v>
      </c>
      <c r="W173" s="33">
        <v>1</v>
      </c>
      <c r="X173" s="33">
        <v>0</v>
      </c>
      <c r="Y173" s="33">
        <v>-1.8E-3</v>
      </c>
      <c r="Z173" s="33">
        <v>-1.2E-2</v>
      </c>
      <c r="AA173" s="33">
        <v>0</v>
      </c>
      <c r="AB173" s="33">
        <v>0</v>
      </c>
      <c r="AC173" s="33" t="s">
        <v>205</v>
      </c>
    </row>
    <row r="174" spans="1:29" s="158" customFormat="1" hidden="1" x14ac:dyDescent="0.2">
      <c r="A174" s="153">
        <f t="shared" si="2"/>
        <v>150</v>
      </c>
      <c r="B174" s="33">
        <v>1</v>
      </c>
      <c r="C174" s="33">
        <v>4</v>
      </c>
      <c r="D174" s="33">
        <v>12</v>
      </c>
      <c r="E174" s="104">
        <v>2016</v>
      </c>
      <c r="F174" s="33">
        <v>2050</v>
      </c>
      <c r="G174" s="33">
        <v>4</v>
      </c>
      <c r="H174" s="33">
        <v>12</v>
      </c>
      <c r="I174" s="33">
        <v>0</v>
      </c>
      <c r="J174" s="33">
        <v>0</v>
      </c>
      <c r="K174" s="33">
        <v>0</v>
      </c>
      <c r="L174" s="101">
        <v>0.9</v>
      </c>
      <c r="M174" s="108">
        <v>7875</v>
      </c>
      <c r="N174" s="108">
        <v>3000</v>
      </c>
      <c r="O174" s="142">
        <v>0</v>
      </c>
      <c r="P174" s="142">
        <v>0</v>
      </c>
      <c r="Q174" s="160">
        <v>129</v>
      </c>
      <c r="R174" s="160">
        <v>49</v>
      </c>
      <c r="S174" s="116">
        <v>0</v>
      </c>
      <c r="T174" s="116">
        <v>0</v>
      </c>
      <c r="U174" s="33" t="s">
        <v>226</v>
      </c>
      <c r="V174" s="33">
        <v>2015</v>
      </c>
      <c r="W174" s="33">
        <v>1</v>
      </c>
      <c r="X174" s="33">
        <v>0</v>
      </c>
      <c r="Y174" s="33">
        <v>-1.8E-3</v>
      </c>
      <c r="Z174" s="33">
        <v>-1.2E-2</v>
      </c>
      <c r="AA174" s="33">
        <v>0</v>
      </c>
      <c r="AB174" s="33">
        <v>0</v>
      </c>
      <c r="AC174" s="33" t="s">
        <v>205</v>
      </c>
    </row>
    <row r="175" spans="1:29" s="158" customFormat="1" hidden="1" x14ac:dyDescent="0.2">
      <c r="A175" s="153">
        <f t="shared" si="2"/>
        <v>151</v>
      </c>
      <c r="B175" s="33">
        <v>1</v>
      </c>
      <c r="C175" s="33">
        <v>4</v>
      </c>
      <c r="D175" s="33">
        <v>12</v>
      </c>
      <c r="E175" s="104">
        <v>2016</v>
      </c>
      <c r="F175" s="33">
        <v>2050</v>
      </c>
      <c r="G175" s="33">
        <v>5</v>
      </c>
      <c r="H175" s="33">
        <v>12</v>
      </c>
      <c r="I175" s="33">
        <v>0</v>
      </c>
      <c r="J175" s="33">
        <v>0</v>
      </c>
      <c r="K175" s="33">
        <v>0</v>
      </c>
      <c r="L175" s="101">
        <v>0.9</v>
      </c>
      <c r="M175" s="108">
        <v>7875</v>
      </c>
      <c r="N175" s="108">
        <v>3000</v>
      </c>
      <c r="O175" s="142">
        <v>0</v>
      </c>
      <c r="P175" s="142">
        <v>0</v>
      </c>
      <c r="Q175" s="160">
        <v>92</v>
      </c>
      <c r="R175" s="160">
        <v>35</v>
      </c>
      <c r="S175" s="116">
        <v>0</v>
      </c>
      <c r="T175" s="116">
        <v>0</v>
      </c>
      <c r="U175" s="33" t="s">
        <v>226</v>
      </c>
      <c r="V175" s="33">
        <v>2015</v>
      </c>
      <c r="W175" s="33">
        <v>1</v>
      </c>
      <c r="X175" s="33">
        <v>0</v>
      </c>
      <c r="Y175" s="33">
        <v>-1.8E-3</v>
      </c>
      <c r="Z175" s="33">
        <v>-1.2E-2</v>
      </c>
      <c r="AA175" s="33">
        <v>0</v>
      </c>
      <c r="AB175" s="33">
        <v>0</v>
      </c>
      <c r="AC175" s="33" t="s">
        <v>205</v>
      </c>
    </row>
    <row r="176" spans="1:29" s="158" customFormat="1" hidden="1" x14ac:dyDescent="0.2">
      <c r="A176" s="153">
        <f t="shared" si="2"/>
        <v>152</v>
      </c>
      <c r="B176" s="33">
        <v>1</v>
      </c>
      <c r="C176" s="33">
        <v>4</v>
      </c>
      <c r="D176" s="33">
        <v>12</v>
      </c>
      <c r="E176" s="104">
        <v>2016</v>
      </c>
      <c r="F176" s="33">
        <v>2050</v>
      </c>
      <c r="G176" s="33">
        <v>6</v>
      </c>
      <c r="H176" s="33">
        <v>12</v>
      </c>
      <c r="I176" s="33">
        <v>0</v>
      </c>
      <c r="J176" s="33">
        <v>0</v>
      </c>
      <c r="K176" s="33">
        <v>0</v>
      </c>
      <c r="L176" s="101">
        <v>0.9</v>
      </c>
      <c r="M176" s="108">
        <v>7875</v>
      </c>
      <c r="N176" s="108">
        <v>3000</v>
      </c>
      <c r="O176" s="142">
        <v>0</v>
      </c>
      <c r="P176" s="142">
        <v>0</v>
      </c>
      <c r="Q176" s="160">
        <v>0</v>
      </c>
      <c r="R176" s="160">
        <v>0</v>
      </c>
      <c r="S176" s="116">
        <v>0</v>
      </c>
      <c r="T176" s="116">
        <v>0</v>
      </c>
      <c r="U176" s="33" t="s">
        <v>226</v>
      </c>
      <c r="V176" s="33">
        <v>2015</v>
      </c>
      <c r="W176" s="33">
        <v>1</v>
      </c>
      <c r="X176" s="33">
        <v>0</v>
      </c>
      <c r="Y176" s="33">
        <v>-1.8E-3</v>
      </c>
      <c r="Z176" s="33">
        <v>-1.2E-2</v>
      </c>
      <c r="AA176" s="33">
        <v>0</v>
      </c>
      <c r="AB176" s="33">
        <v>0</v>
      </c>
      <c r="AC176" s="33" t="s">
        <v>205</v>
      </c>
    </row>
    <row r="177" spans="1:29" s="158" customFormat="1" hidden="1" x14ac:dyDescent="0.2">
      <c r="A177" s="153">
        <f t="shared" si="2"/>
        <v>153</v>
      </c>
      <c r="B177" s="33">
        <v>1</v>
      </c>
      <c r="C177" s="33">
        <v>4</v>
      </c>
      <c r="D177" s="33">
        <v>12</v>
      </c>
      <c r="E177" s="104">
        <v>2016</v>
      </c>
      <c r="F177" s="33">
        <v>2050</v>
      </c>
      <c r="G177" s="33">
        <v>7</v>
      </c>
      <c r="H177" s="33">
        <v>12</v>
      </c>
      <c r="I177" s="33">
        <v>0</v>
      </c>
      <c r="J177" s="33">
        <v>0</v>
      </c>
      <c r="K177" s="33">
        <v>0</v>
      </c>
      <c r="L177" s="101">
        <v>0.9</v>
      </c>
      <c r="M177" s="108">
        <v>7875</v>
      </c>
      <c r="N177" s="108">
        <v>3000</v>
      </c>
      <c r="O177" s="142">
        <v>0</v>
      </c>
      <c r="P177" s="142">
        <v>0</v>
      </c>
      <c r="Q177" s="160">
        <v>8</v>
      </c>
      <c r="R177" s="160">
        <v>3</v>
      </c>
      <c r="S177" s="116">
        <v>0</v>
      </c>
      <c r="T177" s="116">
        <v>0</v>
      </c>
      <c r="U177" s="33" t="s">
        <v>226</v>
      </c>
      <c r="V177" s="33">
        <v>2015</v>
      </c>
      <c r="W177" s="33">
        <v>1</v>
      </c>
      <c r="X177" s="33">
        <v>0</v>
      </c>
      <c r="Y177" s="33">
        <v>-1.8E-3</v>
      </c>
      <c r="Z177" s="33">
        <v>-1.2E-2</v>
      </c>
      <c r="AA177" s="33">
        <v>0</v>
      </c>
      <c r="AB177" s="33">
        <v>0</v>
      </c>
      <c r="AC177" s="33" t="s">
        <v>205</v>
      </c>
    </row>
    <row r="178" spans="1:29" s="158" customFormat="1" hidden="1" x14ac:dyDescent="0.2">
      <c r="A178" s="153">
        <f t="shared" si="2"/>
        <v>154</v>
      </c>
      <c r="B178" s="33">
        <v>1</v>
      </c>
      <c r="C178" s="33">
        <v>4</v>
      </c>
      <c r="D178" s="33">
        <v>12</v>
      </c>
      <c r="E178" s="104">
        <v>2016</v>
      </c>
      <c r="F178" s="33">
        <v>2050</v>
      </c>
      <c r="G178" s="33">
        <v>8</v>
      </c>
      <c r="H178" s="33">
        <v>12</v>
      </c>
      <c r="I178" s="33">
        <v>0</v>
      </c>
      <c r="J178" s="33">
        <v>0</v>
      </c>
      <c r="K178" s="33">
        <v>0</v>
      </c>
      <c r="L178" s="101">
        <v>0.9</v>
      </c>
      <c r="M178" s="108">
        <v>7875</v>
      </c>
      <c r="N178" s="108">
        <v>3000</v>
      </c>
      <c r="O178" s="142">
        <v>0</v>
      </c>
      <c r="P178" s="142">
        <v>0</v>
      </c>
      <c r="Q178" s="160">
        <v>332</v>
      </c>
      <c r="R178" s="160">
        <v>126</v>
      </c>
      <c r="S178" s="116">
        <v>0</v>
      </c>
      <c r="T178" s="116">
        <v>0</v>
      </c>
      <c r="U178" s="33" t="s">
        <v>226</v>
      </c>
      <c r="V178" s="33">
        <v>2015</v>
      </c>
      <c r="W178" s="33">
        <v>1</v>
      </c>
      <c r="X178" s="33">
        <v>0</v>
      </c>
      <c r="Y178" s="33">
        <v>-1.8E-3</v>
      </c>
      <c r="Z178" s="33">
        <v>-1.2E-2</v>
      </c>
      <c r="AA178" s="33">
        <v>0</v>
      </c>
      <c r="AB178" s="33">
        <v>0</v>
      </c>
      <c r="AC178" s="33" t="s">
        <v>205</v>
      </c>
    </row>
    <row r="179" spans="1:29" s="158" customFormat="1" hidden="1" x14ac:dyDescent="0.2">
      <c r="A179" s="153">
        <f t="shared" si="2"/>
        <v>155</v>
      </c>
      <c r="B179" s="33">
        <v>1</v>
      </c>
      <c r="C179" s="33">
        <v>4</v>
      </c>
      <c r="D179" s="33">
        <v>12</v>
      </c>
      <c r="E179" s="104">
        <v>2016</v>
      </c>
      <c r="F179" s="33">
        <v>2050</v>
      </c>
      <c r="G179" s="33">
        <v>9</v>
      </c>
      <c r="H179" s="33">
        <v>12</v>
      </c>
      <c r="I179" s="33">
        <v>0</v>
      </c>
      <c r="J179" s="33">
        <v>0</v>
      </c>
      <c r="K179" s="33">
        <v>0</v>
      </c>
      <c r="L179" s="101">
        <v>0.9</v>
      </c>
      <c r="M179" s="108">
        <v>7875</v>
      </c>
      <c r="N179" s="108">
        <v>3000</v>
      </c>
      <c r="O179" s="142">
        <v>0</v>
      </c>
      <c r="P179" s="142">
        <v>0</v>
      </c>
      <c r="Q179" s="160">
        <v>0</v>
      </c>
      <c r="R179" s="160">
        <v>0</v>
      </c>
      <c r="S179" s="116">
        <v>0</v>
      </c>
      <c r="T179" s="116">
        <v>0</v>
      </c>
      <c r="U179" s="33" t="s">
        <v>226</v>
      </c>
      <c r="V179" s="33">
        <v>2015</v>
      </c>
      <c r="W179" s="33">
        <v>1</v>
      </c>
      <c r="X179" s="33">
        <v>0</v>
      </c>
      <c r="Y179" s="33">
        <v>-1.8E-3</v>
      </c>
      <c r="Z179" s="33">
        <v>-1.2E-2</v>
      </c>
      <c r="AA179" s="33">
        <v>0</v>
      </c>
      <c r="AB179" s="33">
        <v>0</v>
      </c>
      <c r="AC179" s="33" t="s">
        <v>205</v>
      </c>
    </row>
    <row r="180" spans="1:29" s="158" customFormat="1" hidden="1" x14ac:dyDescent="0.2">
      <c r="A180" s="153">
        <f t="shared" si="2"/>
        <v>156</v>
      </c>
      <c r="B180" s="33">
        <v>1</v>
      </c>
      <c r="C180" s="33">
        <v>4</v>
      </c>
      <c r="D180" s="33">
        <v>13</v>
      </c>
      <c r="E180" s="104">
        <v>2016</v>
      </c>
      <c r="F180" s="33">
        <v>2021</v>
      </c>
      <c r="G180" s="33">
        <v>1</v>
      </c>
      <c r="H180" s="33">
        <v>13</v>
      </c>
      <c r="I180" s="33">
        <v>0</v>
      </c>
      <c r="J180" s="33">
        <v>0</v>
      </c>
      <c r="K180" s="33">
        <v>0</v>
      </c>
      <c r="L180" s="101">
        <v>0.97</v>
      </c>
      <c r="M180" s="108">
        <v>8925</v>
      </c>
      <c r="N180" s="108">
        <v>4025</v>
      </c>
      <c r="O180" s="142">
        <v>150</v>
      </c>
      <c r="P180" s="142">
        <v>0</v>
      </c>
      <c r="Q180" s="160">
        <v>1303</v>
      </c>
      <c r="R180" s="160">
        <v>587</v>
      </c>
      <c r="S180" s="116">
        <v>0</v>
      </c>
      <c r="T180" s="116">
        <v>0</v>
      </c>
      <c r="U180" s="33" t="s">
        <v>226</v>
      </c>
      <c r="V180" s="33">
        <v>2015</v>
      </c>
      <c r="W180" s="33">
        <v>1</v>
      </c>
      <c r="X180" s="33">
        <v>0</v>
      </c>
      <c r="Y180" s="33">
        <v>-1.8E-3</v>
      </c>
      <c r="Z180" s="33">
        <v>-1.2E-2</v>
      </c>
      <c r="AA180" s="33">
        <v>0</v>
      </c>
      <c r="AB180" s="33">
        <v>0</v>
      </c>
      <c r="AC180" s="33" t="s">
        <v>339</v>
      </c>
    </row>
    <row r="181" spans="1:29" s="158" customFormat="1" hidden="1" x14ac:dyDescent="0.2">
      <c r="A181" s="153">
        <f t="shared" si="2"/>
        <v>157</v>
      </c>
      <c r="B181" s="33">
        <v>1</v>
      </c>
      <c r="C181" s="33">
        <v>4</v>
      </c>
      <c r="D181" s="33">
        <v>13</v>
      </c>
      <c r="E181" s="104">
        <v>2016</v>
      </c>
      <c r="F181" s="33">
        <v>2021</v>
      </c>
      <c r="G181" s="33">
        <v>2</v>
      </c>
      <c r="H181" s="33">
        <v>13</v>
      </c>
      <c r="I181" s="33">
        <v>0</v>
      </c>
      <c r="J181" s="33">
        <v>0</v>
      </c>
      <c r="K181" s="33">
        <v>0</v>
      </c>
      <c r="L181" s="101">
        <v>0.97</v>
      </c>
      <c r="M181" s="108">
        <v>8925</v>
      </c>
      <c r="N181" s="108">
        <v>4025</v>
      </c>
      <c r="O181" s="142">
        <v>150</v>
      </c>
      <c r="P181" s="142">
        <v>0</v>
      </c>
      <c r="Q181" s="160">
        <v>657</v>
      </c>
      <c r="R181" s="160">
        <v>297</v>
      </c>
      <c r="S181" s="116">
        <v>0</v>
      </c>
      <c r="T181" s="116">
        <v>0</v>
      </c>
      <c r="U181" s="33" t="s">
        <v>226</v>
      </c>
      <c r="V181" s="33">
        <v>2015</v>
      </c>
      <c r="W181" s="33">
        <v>1</v>
      </c>
      <c r="X181" s="33">
        <v>0</v>
      </c>
      <c r="Y181" s="33">
        <v>-1.8E-3</v>
      </c>
      <c r="Z181" s="33">
        <v>-1.2E-2</v>
      </c>
      <c r="AA181" s="33">
        <v>0</v>
      </c>
      <c r="AB181" s="33">
        <v>0</v>
      </c>
      <c r="AC181" s="33" t="s">
        <v>339</v>
      </c>
    </row>
    <row r="182" spans="1:29" s="158" customFormat="1" x14ac:dyDescent="0.2">
      <c r="A182" s="153">
        <f t="shared" si="2"/>
        <v>158</v>
      </c>
      <c r="B182" s="33">
        <v>1</v>
      </c>
      <c r="C182" s="33">
        <v>4</v>
      </c>
      <c r="D182" s="33">
        <v>13</v>
      </c>
      <c r="E182" s="104">
        <v>2016</v>
      </c>
      <c r="F182" s="33">
        <v>2021</v>
      </c>
      <c r="G182" s="33">
        <v>3</v>
      </c>
      <c r="H182" s="33">
        <v>13</v>
      </c>
      <c r="I182" s="33">
        <v>0</v>
      </c>
      <c r="J182" s="33">
        <v>0</v>
      </c>
      <c r="K182" s="33">
        <v>0</v>
      </c>
      <c r="L182" s="101">
        <v>0.97</v>
      </c>
      <c r="M182" s="108">
        <v>8925</v>
      </c>
      <c r="N182" s="108">
        <v>4025</v>
      </c>
      <c r="O182" s="142">
        <v>150</v>
      </c>
      <c r="P182" s="142">
        <v>0</v>
      </c>
      <c r="Q182" s="160">
        <v>91</v>
      </c>
      <c r="R182" s="160">
        <v>41</v>
      </c>
      <c r="S182" s="116">
        <v>0</v>
      </c>
      <c r="T182" s="116">
        <v>0</v>
      </c>
      <c r="U182" s="33" t="s">
        <v>226</v>
      </c>
      <c r="V182" s="33">
        <v>2015</v>
      </c>
      <c r="W182" s="33">
        <v>1</v>
      </c>
      <c r="X182" s="33">
        <v>0</v>
      </c>
      <c r="Y182" s="33">
        <v>-1.8E-3</v>
      </c>
      <c r="Z182" s="33">
        <v>-1.2E-2</v>
      </c>
      <c r="AA182" s="33">
        <v>0</v>
      </c>
      <c r="AB182" s="33">
        <v>0</v>
      </c>
      <c r="AC182" s="33" t="s">
        <v>339</v>
      </c>
    </row>
    <row r="183" spans="1:29" s="158" customFormat="1" hidden="1" x14ac:dyDescent="0.2">
      <c r="A183" s="153">
        <f t="shared" si="2"/>
        <v>159</v>
      </c>
      <c r="B183" s="33">
        <v>1</v>
      </c>
      <c r="C183" s="33">
        <v>4</v>
      </c>
      <c r="D183" s="33">
        <v>13</v>
      </c>
      <c r="E183" s="104">
        <v>2016</v>
      </c>
      <c r="F183" s="33">
        <v>2021</v>
      </c>
      <c r="G183" s="33">
        <v>4</v>
      </c>
      <c r="H183" s="33">
        <v>13</v>
      </c>
      <c r="I183" s="33">
        <v>0</v>
      </c>
      <c r="J183" s="33">
        <v>0</v>
      </c>
      <c r="K183" s="33">
        <v>0</v>
      </c>
      <c r="L183" s="101">
        <v>0.97</v>
      </c>
      <c r="M183" s="108">
        <v>8925</v>
      </c>
      <c r="N183" s="108">
        <v>4025</v>
      </c>
      <c r="O183" s="142">
        <v>150</v>
      </c>
      <c r="P183" s="142">
        <v>0</v>
      </c>
      <c r="Q183" s="160">
        <v>146</v>
      </c>
      <c r="R183" s="160">
        <v>66</v>
      </c>
      <c r="S183" s="116">
        <v>0</v>
      </c>
      <c r="T183" s="116">
        <v>0</v>
      </c>
      <c r="U183" s="33" t="s">
        <v>226</v>
      </c>
      <c r="V183" s="33">
        <v>2015</v>
      </c>
      <c r="W183" s="33">
        <v>1</v>
      </c>
      <c r="X183" s="33">
        <v>0</v>
      </c>
      <c r="Y183" s="33">
        <v>-1.8E-3</v>
      </c>
      <c r="Z183" s="33">
        <v>-1.2E-2</v>
      </c>
      <c r="AA183" s="33">
        <v>0</v>
      </c>
      <c r="AB183" s="33">
        <v>0</v>
      </c>
      <c r="AC183" s="33" t="s">
        <v>339</v>
      </c>
    </row>
    <row r="184" spans="1:29" s="158" customFormat="1" hidden="1" x14ac:dyDescent="0.2">
      <c r="A184" s="153">
        <f t="shared" si="2"/>
        <v>160</v>
      </c>
      <c r="B184" s="33">
        <v>1</v>
      </c>
      <c r="C184" s="33">
        <v>4</v>
      </c>
      <c r="D184" s="33">
        <v>13</v>
      </c>
      <c r="E184" s="104">
        <v>2016</v>
      </c>
      <c r="F184" s="33">
        <v>2021</v>
      </c>
      <c r="G184" s="33">
        <v>5</v>
      </c>
      <c r="H184" s="33">
        <v>13</v>
      </c>
      <c r="I184" s="33">
        <v>0</v>
      </c>
      <c r="J184" s="33">
        <v>0</v>
      </c>
      <c r="K184" s="33">
        <v>0</v>
      </c>
      <c r="L184" s="101">
        <v>0.97</v>
      </c>
      <c r="M184" s="108">
        <v>8925</v>
      </c>
      <c r="N184" s="108">
        <v>4025</v>
      </c>
      <c r="O184" s="142">
        <v>150</v>
      </c>
      <c r="P184" s="142">
        <v>0</v>
      </c>
      <c r="Q184" s="160">
        <v>104</v>
      </c>
      <c r="R184" s="160">
        <v>47</v>
      </c>
      <c r="S184" s="116">
        <v>0</v>
      </c>
      <c r="T184" s="116">
        <v>0</v>
      </c>
      <c r="U184" s="33" t="s">
        <v>226</v>
      </c>
      <c r="V184" s="33">
        <v>2015</v>
      </c>
      <c r="W184" s="33">
        <v>1</v>
      </c>
      <c r="X184" s="33">
        <v>0</v>
      </c>
      <c r="Y184" s="33">
        <v>-1.8E-3</v>
      </c>
      <c r="Z184" s="33">
        <v>-1.2E-2</v>
      </c>
      <c r="AA184" s="33">
        <v>0</v>
      </c>
      <c r="AB184" s="33">
        <v>0</v>
      </c>
      <c r="AC184" s="33" t="s">
        <v>339</v>
      </c>
    </row>
    <row r="185" spans="1:29" s="158" customFormat="1" hidden="1" x14ac:dyDescent="0.2">
      <c r="A185" s="153">
        <f t="shared" si="2"/>
        <v>161</v>
      </c>
      <c r="B185" s="33">
        <v>1</v>
      </c>
      <c r="C185" s="33">
        <v>4</v>
      </c>
      <c r="D185" s="33">
        <v>13</v>
      </c>
      <c r="E185" s="104">
        <v>2016</v>
      </c>
      <c r="F185" s="33">
        <v>2021</v>
      </c>
      <c r="G185" s="33">
        <v>6</v>
      </c>
      <c r="H185" s="33">
        <v>13</v>
      </c>
      <c r="I185" s="33">
        <v>0</v>
      </c>
      <c r="J185" s="33">
        <v>0</v>
      </c>
      <c r="K185" s="33">
        <v>0</v>
      </c>
      <c r="L185" s="101">
        <v>0.97</v>
      </c>
      <c r="M185" s="108">
        <v>8925</v>
      </c>
      <c r="N185" s="108">
        <v>4025</v>
      </c>
      <c r="O185" s="142">
        <v>150</v>
      </c>
      <c r="P185" s="142">
        <v>0</v>
      </c>
      <c r="Q185" s="160">
        <v>0</v>
      </c>
      <c r="R185" s="160">
        <v>0</v>
      </c>
      <c r="S185" s="116">
        <v>0</v>
      </c>
      <c r="T185" s="116">
        <v>0</v>
      </c>
      <c r="U185" s="33" t="s">
        <v>226</v>
      </c>
      <c r="V185" s="33">
        <v>2015</v>
      </c>
      <c r="W185" s="33">
        <v>1</v>
      </c>
      <c r="X185" s="33">
        <v>0</v>
      </c>
      <c r="Y185" s="33">
        <v>-1.8E-3</v>
      </c>
      <c r="Z185" s="33">
        <v>-1.2E-2</v>
      </c>
      <c r="AA185" s="33">
        <v>0</v>
      </c>
      <c r="AB185" s="33">
        <v>0</v>
      </c>
      <c r="AC185" s="33" t="s">
        <v>339</v>
      </c>
    </row>
    <row r="186" spans="1:29" s="158" customFormat="1" hidden="1" x14ac:dyDescent="0.2">
      <c r="A186" s="153">
        <f t="shared" si="2"/>
        <v>162</v>
      </c>
      <c r="B186" s="33">
        <v>1</v>
      </c>
      <c r="C186" s="33">
        <v>4</v>
      </c>
      <c r="D186" s="33">
        <v>13</v>
      </c>
      <c r="E186" s="104">
        <v>2016</v>
      </c>
      <c r="F186" s="33">
        <v>2021</v>
      </c>
      <c r="G186" s="33">
        <v>7</v>
      </c>
      <c r="H186" s="33">
        <v>13</v>
      </c>
      <c r="I186" s="33">
        <v>0</v>
      </c>
      <c r="J186" s="33">
        <v>0</v>
      </c>
      <c r="K186" s="33">
        <v>0</v>
      </c>
      <c r="L186" s="101">
        <v>0.97</v>
      </c>
      <c r="M186" s="108">
        <v>8925</v>
      </c>
      <c r="N186" s="108">
        <v>4025</v>
      </c>
      <c r="O186" s="142">
        <v>150</v>
      </c>
      <c r="P186" s="142">
        <v>0</v>
      </c>
      <c r="Q186" s="160">
        <v>9</v>
      </c>
      <c r="R186" s="160">
        <v>4</v>
      </c>
      <c r="S186" s="116">
        <v>0</v>
      </c>
      <c r="T186" s="116">
        <v>0</v>
      </c>
      <c r="U186" s="33" t="s">
        <v>226</v>
      </c>
      <c r="V186" s="33">
        <v>2015</v>
      </c>
      <c r="W186" s="33">
        <v>1</v>
      </c>
      <c r="X186" s="33">
        <v>0</v>
      </c>
      <c r="Y186" s="33">
        <v>-1.8E-3</v>
      </c>
      <c r="Z186" s="33">
        <v>-1.2E-2</v>
      </c>
      <c r="AA186" s="33">
        <v>0</v>
      </c>
      <c r="AB186" s="33">
        <v>0</v>
      </c>
      <c r="AC186" s="33" t="s">
        <v>339</v>
      </c>
    </row>
    <row r="187" spans="1:29" s="158" customFormat="1" hidden="1" x14ac:dyDescent="0.2">
      <c r="A187" s="153">
        <f t="shared" si="2"/>
        <v>163</v>
      </c>
      <c r="B187" s="33">
        <v>1</v>
      </c>
      <c r="C187" s="33">
        <v>4</v>
      </c>
      <c r="D187" s="33">
        <v>13</v>
      </c>
      <c r="E187" s="104">
        <v>2016</v>
      </c>
      <c r="F187" s="33">
        <v>2021</v>
      </c>
      <c r="G187" s="33">
        <v>8</v>
      </c>
      <c r="H187" s="33">
        <v>13</v>
      </c>
      <c r="I187" s="33">
        <v>0</v>
      </c>
      <c r="J187" s="33">
        <v>0</v>
      </c>
      <c r="K187" s="33">
        <v>0</v>
      </c>
      <c r="L187" s="101">
        <v>0.97</v>
      </c>
      <c r="M187" s="108">
        <v>8925</v>
      </c>
      <c r="N187" s="108">
        <v>4025</v>
      </c>
      <c r="O187" s="142">
        <v>150</v>
      </c>
      <c r="P187" s="142">
        <v>0</v>
      </c>
      <c r="Q187" s="160">
        <v>376</v>
      </c>
      <c r="R187" s="160">
        <v>169</v>
      </c>
      <c r="S187" s="116">
        <v>0</v>
      </c>
      <c r="T187" s="116">
        <v>0</v>
      </c>
      <c r="U187" s="33" t="s">
        <v>226</v>
      </c>
      <c r="V187" s="33">
        <v>2015</v>
      </c>
      <c r="W187" s="33">
        <v>1</v>
      </c>
      <c r="X187" s="33">
        <v>0</v>
      </c>
      <c r="Y187" s="33">
        <v>-1.8E-3</v>
      </c>
      <c r="Z187" s="33">
        <v>-1.2E-2</v>
      </c>
      <c r="AA187" s="33">
        <v>0</v>
      </c>
      <c r="AB187" s="33">
        <v>0</v>
      </c>
      <c r="AC187" s="33" t="s">
        <v>339</v>
      </c>
    </row>
    <row r="188" spans="1:29" s="158" customFormat="1" hidden="1" x14ac:dyDescent="0.2">
      <c r="A188" s="153">
        <f t="shared" si="2"/>
        <v>164</v>
      </c>
      <c r="B188" s="33">
        <v>1</v>
      </c>
      <c r="C188" s="33">
        <v>4</v>
      </c>
      <c r="D188" s="33">
        <v>13</v>
      </c>
      <c r="E188" s="104">
        <v>2016</v>
      </c>
      <c r="F188" s="33">
        <v>2021</v>
      </c>
      <c r="G188" s="33">
        <v>9</v>
      </c>
      <c r="H188" s="33">
        <v>13</v>
      </c>
      <c r="I188" s="33">
        <v>0</v>
      </c>
      <c r="J188" s="33">
        <v>0</v>
      </c>
      <c r="K188" s="33">
        <v>0</v>
      </c>
      <c r="L188" s="101">
        <v>0.97</v>
      </c>
      <c r="M188" s="108">
        <v>8925</v>
      </c>
      <c r="N188" s="108">
        <v>4025</v>
      </c>
      <c r="O188" s="142">
        <v>150</v>
      </c>
      <c r="P188" s="142">
        <v>0</v>
      </c>
      <c r="Q188" s="160">
        <v>0</v>
      </c>
      <c r="R188" s="160">
        <v>0</v>
      </c>
      <c r="S188" s="116">
        <v>0</v>
      </c>
      <c r="T188" s="116">
        <v>0</v>
      </c>
      <c r="U188" s="33" t="s">
        <v>226</v>
      </c>
      <c r="V188" s="33">
        <v>2015</v>
      </c>
      <c r="W188" s="33">
        <v>1</v>
      </c>
      <c r="X188" s="33">
        <v>0</v>
      </c>
      <c r="Y188" s="33">
        <v>-1.8E-3</v>
      </c>
      <c r="Z188" s="33">
        <v>-1.2E-2</v>
      </c>
      <c r="AA188" s="33">
        <v>0</v>
      </c>
      <c r="AB188" s="33">
        <v>0</v>
      </c>
      <c r="AC188" s="33" t="s">
        <v>339</v>
      </c>
    </row>
    <row r="189" spans="1:29" s="158" customFormat="1" hidden="1" x14ac:dyDescent="0.2">
      <c r="A189" s="153">
        <f t="shared" si="2"/>
        <v>165</v>
      </c>
      <c r="B189" s="33">
        <v>1</v>
      </c>
      <c r="C189" s="33">
        <v>4</v>
      </c>
      <c r="D189" s="33">
        <v>13</v>
      </c>
      <c r="E189" s="104">
        <v>2022</v>
      </c>
      <c r="F189" s="159">
        <v>2032</v>
      </c>
      <c r="G189" s="33">
        <v>1</v>
      </c>
      <c r="H189" s="33">
        <v>13</v>
      </c>
      <c r="I189" s="33">
        <v>0</v>
      </c>
      <c r="J189" s="33">
        <v>0</v>
      </c>
      <c r="K189" s="33">
        <v>0</v>
      </c>
      <c r="L189" s="101">
        <v>0.97</v>
      </c>
      <c r="M189" s="108">
        <v>8925</v>
      </c>
      <c r="N189" s="108">
        <v>4025</v>
      </c>
      <c r="O189" s="160">
        <v>600</v>
      </c>
      <c r="P189" s="142">
        <v>0</v>
      </c>
      <c r="Q189" s="141">
        <v>1303</v>
      </c>
      <c r="R189" s="141">
        <v>587</v>
      </c>
      <c r="S189" s="116">
        <v>0</v>
      </c>
      <c r="T189" s="116">
        <v>0</v>
      </c>
      <c r="U189" s="33" t="s">
        <v>226</v>
      </c>
      <c r="V189" s="33">
        <v>2015</v>
      </c>
      <c r="W189" s="33">
        <v>1</v>
      </c>
      <c r="X189" s="33">
        <v>0</v>
      </c>
      <c r="Y189" s="33">
        <v>-1.8E-3</v>
      </c>
      <c r="Z189" s="33">
        <v>-1.2E-2</v>
      </c>
      <c r="AA189" s="33">
        <v>0</v>
      </c>
      <c r="AB189" s="33">
        <v>0</v>
      </c>
      <c r="AC189" s="33" t="s">
        <v>339</v>
      </c>
    </row>
    <row r="190" spans="1:29" s="158" customFormat="1" hidden="1" x14ac:dyDescent="0.2">
      <c r="A190" s="153">
        <f t="shared" si="2"/>
        <v>166</v>
      </c>
      <c r="B190" s="33">
        <v>1</v>
      </c>
      <c r="C190" s="33">
        <v>4</v>
      </c>
      <c r="D190" s="33">
        <v>13</v>
      </c>
      <c r="E190" s="104">
        <v>2022</v>
      </c>
      <c r="F190" s="159">
        <v>2032</v>
      </c>
      <c r="G190" s="33">
        <v>2</v>
      </c>
      <c r="H190" s="33">
        <v>13</v>
      </c>
      <c r="I190" s="33">
        <v>0</v>
      </c>
      <c r="J190" s="33">
        <v>0</v>
      </c>
      <c r="K190" s="33">
        <v>0</v>
      </c>
      <c r="L190" s="101">
        <v>0.97</v>
      </c>
      <c r="M190" s="108">
        <v>8925</v>
      </c>
      <c r="N190" s="108">
        <v>4025</v>
      </c>
      <c r="O190" s="160">
        <v>600</v>
      </c>
      <c r="P190" s="142">
        <v>0</v>
      </c>
      <c r="Q190" s="141">
        <v>657</v>
      </c>
      <c r="R190" s="141">
        <v>297</v>
      </c>
      <c r="S190" s="116">
        <v>0</v>
      </c>
      <c r="T190" s="116">
        <v>0</v>
      </c>
      <c r="U190" s="33" t="s">
        <v>226</v>
      </c>
      <c r="V190" s="33">
        <v>2015</v>
      </c>
      <c r="W190" s="33">
        <v>1</v>
      </c>
      <c r="X190" s="33">
        <v>0</v>
      </c>
      <c r="Y190" s="33">
        <v>-1.8E-3</v>
      </c>
      <c r="Z190" s="33">
        <v>-1.2E-2</v>
      </c>
      <c r="AA190" s="33">
        <v>0</v>
      </c>
      <c r="AB190" s="33">
        <v>0</v>
      </c>
      <c r="AC190" s="33" t="s">
        <v>339</v>
      </c>
    </row>
    <row r="191" spans="1:29" s="158" customFormat="1" x14ac:dyDescent="0.2">
      <c r="A191" s="153">
        <f t="shared" si="2"/>
        <v>167</v>
      </c>
      <c r="B191" s="33">
        <v>1</v>
      </c>
      <c r="C191" s="33">
        <v>4</v>
      </c>
      <c r="D191" s="33">
        <v>13</v>
      </c>
      <c r="E191" s="104">
        <v>2022</v>
      </c>
      <c r="F191" s="159">
        <v>2032</v>
      </c>
      <c r="G191" s="33">
        <v>3</v>
      </c>
      <c r="H191" s="33">
        <v>13</v>
      </c>
      <c r="I191" s="33">
        <v>0</v>
      </c>
      <c r="J191" s="33">
        <v>0</v>
      </c>
      <c r="K191" s="33">
        <v>0</v>
      </c>
      <c r="L191" s="101">
        <v>0.97</v>
      </c>
      <c r="M191" s="108">
        <v>8925</v>
      </c>
      <c r="N191" s="108">
        <v>4025</v>
      </c>
      <c r="O191" s="160">
        <v>600</v>
      </c>
      <c r="P191" s="142">
        <v>0</v>
      </c>
      <c r="Q191" s="141">
        <v>91</v>
      </c>
      <c r="R191" s="141">
        <v>41</v>
      </c>
      <c r="S191" s="116">
        <v>0</v>
      </c>
      <c r="T191" s="116">
        <v>0</v>
      </c>
      <c r="U191" s="33" t="s">
        <v>226</v>
      </c>
      <c r="V191" s="33">
        <v>2015</v>
      </c>
      <c r="W191" s="33">
        <v>1</v>
      </c>
      <c r="X191" s="33">
        <v>0</v>
      </c>
      <c r="Y191" s="33">
        <v>-1.8E-3</v>
      </c>
      <c r="Z191" s="33">
        <v>-1.2E-2</v>
      </c>
      <c r="AA191" s="33">
        <v>0</v>
      </c>
      <c r="AB191" s="33">
        <v>0</v>
      </c>
      <c r="AC191" s="33" t="s">
        <v>339</v>
      </c>
    </row>
    <row r="192" spans="1:29" s="158" customFormat="1" hidden="1" x14ac:dyDescent="0.2">
      <c r="A192" s="153">
        <f t="shared" si="2"/>
        <v>168</v>
      </c>
      <c r="B192" s="33">
        <v>1</v>
      </c>
      <c r="C192" s="33">
        <v>4</v>
      </c>
      <c r="D192" s="33">
        <v>13</v>
      </c>
      <c r="E192" s="104">
        <v>2022</v>
      </c>
      <c r="F192" s="159">
        <v>2032</v>
      </c>
      <c r="G192" s="33">
        <v>4</v>
      </c>
      <c r="H192" s="33">
        <v>13</v>
      </c>
      <c r="I192" s="33">
        <v>0</v>
      </c>
      <c r="J192" s="33">
        <v>0</v>
      </c>
      <c r="K192" s="33">
        <v>0</v>
      </c>
      <c r="L192" s="101">
        <v>0.97</v>
      </c>
      <c r="M192" s="108">
        <v>8925</v>
      </c>
      <c r="N192" s="108">
        <v>4025</v>
      </c>
      <c r="O192" s="160">
        <v>600</v>
      </c>
      <c r="P192" s="142">
        <v>0</v>
      </c>
      <c r="Q192" s="141">
        <v>146</v>
      </c>
      <c r="R192" s="141">
        <v>66</v>
      </c>
      <c r="S192" s="116">
        <v>0</v>
      </c>
      <c r="T192" s="116">
        <v>0</v>
      </c>
      <c r="U192" s="33" t="s">
        <v>226</v>
      </c>
      <c r="V192" s="33">
        <v>2015</v>
      </c>
      <c r="W192" s="33">
        <v>1</v>
      </c>
      <c r="X192" s="33">
        <v>0</v>
      </c>
      <c r="Y192" s="33">
        <v>-1.8E-3</v>
      </c>
      <c r="Z192" s="33">
        <v>-1.2E-2</v>
      </c>
      <c r="AA192" s="33">
        <v>0</v>
      </c>
      <c r="AB192" s="33">
        <v>0</v>
      </c>
      <c r="AC192" s="33" t="s">
        <v>339</v>
      </c>
    </row>
    <row r="193" spans="1:30" s="158" customFormat="1" hidden="1" x14ac:dyDescent="0.2">
      <c r="A193" s="153">
        <f t="shared" si="2"/>
        <v>169</v>
      </c>
      <c r="B193" s="33">
        <v>1</v>
      </c>
      <c r="C193" s="33">
        <v>4</v>
      </c>
      <c r="D193" s="33">
        <v>13</v>
      </c>
      <c r="E193" s="104">
        <v>2022</v>
      </c>
      <c r="F193" s="159">
        <v>2032</v>
      </c>
      <c r="G193" s="33">
        <v>5</v>
      </c>
      <c r="H193" s="33">
        <v>13</v>
      </c>
      <c r="I193" s="33">
        <v>0</v>
      </c>
      <c r="J193" s="33">
        <v>0</v>
      </c>
      <c r="K193" s="33">
        <v>0</v>
      </c>
      <c r="L193" s="101">
        <v>0.97</v>
      </c>
      <c r="M193" s="108">
        <v>8925</v>
      </c>
      <c r="N193" s="108">
        <v>4025</v>
      </c>
      <c r="O193" s="160">
        <v>600</v>
      </c>
      <c r="P193" s="142">
        <v>0</v>
      </c>
      <c r="Q193" s="141">
        <v>104</v>
      </c>
      <c r="R193" s="141">
        <v>47</v>
      </c>
      <c r="S193" s="116">
        <v>0</v>
      </c>
      <c r="T193" s="116">
        <v>0</v>
      </c>
      <c r="U193" s="33" t="s">
        <v>226</v>
      </c>
      <c r="V193" s="33">
        <v>2015</v>
      </c>
      <c r="W193" s="33">
        <v>1</v>
      </c>
      <c r="X193" s="33">
        <v>0</v>
      </c>
      <c r="Y193" s="33">
        <v>-1.8E-3</v>
      </c>
      <c r="Z193" s="33">
        <v>-1.2E-2</v>
      </c>
      <c r="AA193" s="33">
        <v>0</v>
      </c>
      <c r="AB193" s="33">
        <v>0</v>
      </c>
      <c r="AC193" s="33" t="s">
        <v>339</v>
      </c>
    </row>
    <row r="194" spans="1:30" s="158" customFormat="1" hidden="1" x14ac:dyDescent="0.2">
      <c r="A194" s="153">
        <f t="shared" si="2"/>
        <v>170</v>
      </c>
      <c r="B194" s="33">
        <v>1</v>
      </c>
      <c r="C194" s="33">
        <v>4</v>
      </c>
      <c r="D194" s="33">
        <v>13</v>
      </c>
      <c r="E194" s="104">
        <v>2022</v>
      </c>
      <c r="F194" s="159">
        <v>2032</v>
      </c>
      <c r="G194" s="33">
        <v>6</v>
      </c>
      <c r="H194" s="33">
        <v>13</v>
      </c>
      <c r="I194" s="33">
        <v>0</v>
      </c>
      <c r="J194" s="33">
        <v>0</v>
      </c>
      <c r="K194" s="33">
        <v>0</v>
      </c>
      <c r="L194" s="101">
        <v>0.97</v>
      </c>
      <c r="M194" s="108">
        <v>8925</v>
      </c>
      <c r="N194" s="108">
        <v>4025</v>
      </c>
      <c r="O194" s="160">
        <v>600</v>
      </c>
      <c r="P194" s="142">
        <v>0</v>
      </c>
      <c r="Q194" s="141">
        <v>0</v>
      </c>
      <c r="R194" s="141">
        <v>0</v>
      </c>
      <c r="S194" s="116">
        <v>0</v>
      </c>
      <c r="T194" s="116">
        <v>0</v>
      </c>
      <c r="U194" s="33" t="s">
        <v>226</v>
      </c>
      <c r="V194" s="33">
        <v>2015</v>
      </c>
      <c r="W194" s="33">
        <v>1</v>
      </c>
      <c r="X194" s="33">
        <v>0</v>
      </c>
      <c r="Y194" s="33">
        <v>-1.8E-3</v>
      </c>
      <c r="Z194" s="33">
        <v>-1.2E-2</v>
      </c>
      <c r="AA194" s="33">
        <v>0</v>
      </c>
      <c r="AB194" s="33">
        <v>0</v>
      </c>
      <c r="AC194" s="33" t="s">
        <v>339</v>
      </c>
    </row>
    <row r="195" spans="1:30" s="158" customFormat="1" hidden="1" x14ac:dyDescent="0.2">
      <c r="A195" s="153">
        <f t="shared" si="2"/>
        <v>171</v>
      </c>
      <c r="B195" s="33">
        <v>1</v>
      </c>
      <c r="C195" s="33">
        <v>4</v>
      </c>
      <c r="D195" s="33">
        <v>13</v>
      </c>
      <c r="E195" s="104">
        <v>2022</v>
      </c>
      <c r="F195" s="159">
        <v>2032</v>
      </c>
      <c r="G195" s="33">
        <v>7</v>
      </c>
      <c r="H195" s="33">
        <v>13</v>
      </c>
      <c r="I195" s="33">
        <v>0</v>
      </c>
      <c r="J195" s="33">
        <v>0</v>
      </c>
      <c r="K195" s="33">
        <v>0</v>
      </c>
      <c r="L195" s="101">
        <v>0.97</v>
      </c>
      <c r="M195" s="108">
        <v>8925</v>
      </c>
      <c r="N195" s="108">
        <v>4025</v>
      </c>
      <c r="O195" s="160">
        <v>600</v>
      </c>
      <c r="P195" s="142">
        <v>0</v>
      </c>
      <c r="Q195" s="141">
        <v>9</v>
      </c>
      <c r="R195" s="141">
        <v>4</v>
      </c>
      <c r="S195" s="116">
        <v>0</v>
      </c>
      <c r="T195" s="116">
        <v>0</v>
      </c>
      <c r="U195" s="33" t="s">
        <v>226</v>
      </c>
      <c r="V195" s="33">
        <v>2015</v>
      </c>
      <c r="W195" s="33">
        <v>1</v>
      </c>
      <c r="X195" s="33">
        <v>0</v>
      </c>
      <c r="Y195" s="33">
        <v>-1.8E-3</v>
      </c>
      <c r="Z195" s="33">
        <v>-1.2E-2</v>
      </c>
      <c r="AA195" s="33">
        <v>0</v>
      </c>
      <c r="AB195" s="33">
        <v>0</v>
      </c>
      <c r="AC195" s="33" t="s">
        <v>339</v>
      </c>
    </row>
    <row r="196" spans="1:30" s="158" customFormat="1" hidden="1" x14ac:dyDescent="0.2">
      <c r="A196" s="153">
        <f t="shared" si="2"/>
        <v>172</v>
      </c>
      <c r="B196" s="33">
        <v>1</v>
      </c>
      <c r="C196" s="33">
        <v>4</v>
      </c>
      <c r="D196" s="33">
        <v>13</v>
      </c>
      <c r="E196" s="104">
        <v>2022</v>
      </c>
      <c r="F196" s="159">
        <v>2032</v>
      </c>
      <c r="G196" s="33">
        <v>8</v>
      </c>
      <c r="H196" s="33">
        <v>13</v>
      </c>
      <c r="I196" s="33">
        <v>0</v>
      </c>
      <c r="J196" s="33">
        <v>0</v>
      </c>
      <c r="K196" s="33">
        <v>0</v>
      </c>
      <c r="L196" s="101">
        <v>0.97</v>
      </c>
      <c r="M196" s="108">
        <v>8925</v>
      </c>
      <c r="N196" s="108">
        <v>4025</v>
      </c>
      <c r="O196" s="160">
        <v>600</v>
      </c>
      <c r="P196" s="142">
        <v>0</v>
      </c>
      <c r="Q196" s="141">
        <v>376</v>
      </c>
      <c r="R196" s="141">
        <v>169</v>
      </c>
      <c r="S196" s="116">
        <v>0</v>
      </c>
      <c r="T196" s="116">
        <v>0</v>
      </c>
      <c r="U196" s="33" t="s">
        <v>226</v>
      </c>
      <c r="V196" s="33">
        <v>2015</v>
      </c>
      <c r="W196" s="33">
        <v>1</v>
      </c>
      <c r="X196" s="33">
        <v>0</v>
      </c>
      <c r="Y196" s="33">
        <v>-1.8E-3</v>
      </c>
      <c r="Z196" s="33">
        <v>-1.2E-2</v>
      </c>
      <c r="AA196" s="33">
        <v>0</v>
      </c>
      <c r="AB196" s="33">
        <v>0</v>
      </c>
      <c r="AC196" s="33" t="s">
        <v>339</v>
      </c>
    </row>
    <row r="197" spans="1:30" s="158" customFormat="1" hidden="1" x14ac:dyDescent="0.2">
      <c r="A197" s="153">
        <f t="shared" si="2"/>
        <v>173</v>
      </c>
      <c r="B197" s="33">
        <v>1</v>
      </c>
      <c r="C197" s="33">
        <v>4</v>
      </c>
      <c r="D197" s="33">
        <v>13</v>
      </c>
      <c r="E197" s="104">
        <v>2022</v>
      </c>
      <c r="F197" s="159">
        <v>2032</v>
      </c>
      <c r="G197" s="33">
        <v>9</v>
      </c>
      <c r="H197" s="33">
        <v>13</v>
      </c>
      <c r="I197" s="33">
        <v>0</v>
      </c>
      <c r="J197" s="33">
        <v>0</v>
      </c>
      <c r="K197" s="33">
        <v>0</v>
      </c>
      <c r="L197" s="101">
        <v>0.97</v>
      </c>
      <c r="M197" s="108">
        <v>8925</v>
      </c>
      <c r="N197" s="108">
        <v>4025</v>
      </c>
      <c r="O197" s="160">
        <v>600</v>
      </c>
      <c r="P197" s="142">
        <v>0</v>
      </c>
      <c r="Q197" s="141">
        <v>0</v>
      </c>
      <c r="R197" s="141">
        <v>0</v>
      </c>
      <c r="S197" s="116">
        <v>0</v>
      </c>
      <c r="T197" s="116">
        <v>0</v>
      </c>
      <c r="U197" s="33" t="s">
        <v>226</v>
      </c>
      <c r="V197" s="33">
        <v>2015</v>
      </c>
      <c r="W197" s="33">
        <v>1</v>
      </c>
      <c r="X197" s="33">
        <v>0</v>
      </c>
      <c r="Y197" s="33">
        <v>-1.8E-3</v>
      </c>
      <c r="Z197" s="33">
        <v>-1.2E-2</v>
      </c>
      <c r="AA197" s="33">
        <v>0</v>
      </c>
      <c r="AB197" s="33">
        <v>0</v>
      </c>
      <c r="AC197" s="33" t="s">
        <v>339</v>
      </c>
    </row>
    <row r="198" spans="1:30" s="158" customFormat="1" hidden="1" x14ac:dyDescent="0.2">
      <c r="A198" s="153">
        <f t="shared" si="2"/>
        <v>174</v>
      </c>
      <c r="B198" s="49">
        <v>1</v>
      </c>
      <c r="C198" s="49">
        <v>4</v>
      </c>
      <c r="D198" s="49">
        <v>13</v>
      </c>
      <c r="E198" s="166">
        <v>2033</v>
      </c>
      <c r="F198" s="49">
        <v>2050</v>
      </c>
      <c r="G198" s="49">
        <v>1</v>
      </c>
      <c r="H198" s="49">
        <v>13</v>
      </c>
      <c r="I198" s="49">
        <v>0</v>
      </c>
      <c r="J198" s="49">
        <v>0</v>
      </c>
      <c r="K198" s="49">
        <v>0</v>
      </c>
      <c r="L198" s="167">
        <v>0.97</v>
      </c>
      <c r="M198" s="168">
        <v>8925</v>
      </c>
      <c r="N198" s="168">
        <v>4025</v>
      </c>
      <c r="O198" s="51">
        <v>0</v>
      </c>
      <c r="P198" s="51">
        <v>0</v>
      </c>
      <c r="Q198" s="51">
        <v>1303</v>
      </c>
      <c r="R198" s="51">
        <v>587</v>
      </c>
      <c r="S198" s="171">
        <v>0</v>
      </c>
      <c r="T198" s="171">
        <v>0</v>
      </c>
      <c r="U198" s="49" t="s">
        <v>226</v>
      </c>
      <c r="V198" s="49">
        <v>2015</v>
      </c>
      <c r="W198" s="49">
        <v>1</v>
      </c>
      <c r="X198" s="49">
        <v>0</v>
      </c>
      <c r="Y198" s="49">
        <v>-1.8E-3</v>
      </c>
      <c r="Z198" s="49">
        <v>-1.2E-2</v>
      </c>
      <c r="AA198" s="49">
        <v>0</v>
      </c>
      <c r="AB198" s="49">
        <v>0</v>
      </c>
      <c r="AC198" s="49" t="s">
        <v>339</v>
      </c>
    </row>
    <row r="199" spans="1:30" s="158" customFormat="1" hidden="1" x14ac:dyDescent="0.2">
      <c r="A199" s="153">
        <f t="shared" si="2"/>
        <v>175</v>
      </c>
      <c r="B199" s="49">
        <v>1</v>
      </c>
      <c r="C199" s="49">
        <v>4</v>
      </c>
      <c r="D199" s="49">
        <v>13</v>
      </c>
      <c r="E199" s="166">
        <v>2033</v>
      </c>
      <c r="F199" s="49">
        <v>2050</v>
      </c>
      <c r="G199" s="49">
        <v>2</v>
      </c>
      <c r="H199" s="49">
        <v>13</v>
      </c>
      <c r="I199" s="49">
        <v>0</v>
      </c>
      <c r="J199" s="49">
        <v>0</v>
      </c>
      <c r="K199" s="49">
        <v>0</v>
      </c>
      <c r="L199" s="167">
        <v>0.97</v>
      </c>
      <c r="M199" s="168">
        <v>8925</v>
      </c>
      <c r="N199" s="168">
        <v>4025</v>
      </c>
      <c r="O199" s="51">
        <v>0</v>
      </c>
      <c r="P199" s="51">
        <v>0</v>
      </c>
      <c r="Q199" s="51">
        <v>657</v>
      </c>
      <c r="R199" s="51">
        <v>297</v>
      </c>
      <c r="S199" s="171">
        <v>0</v>
      </c>
      <c r="T199" s="171">
        <v>0</v>
      </c>
      <c r="U199" s="49" t="s">
        <v>226</v>
      </c>
      <c r="V199" s="49">
        <v>2015</v>
      </c>
      <c r="W199" s="49">
        <v>1</v>
      </c>
      <c r="X199" s="49">
        <v>0</v>
      </c>
      <c r="Y199" s="49">
        <v>-1.8E-3</v>
      </c>
      <c r="Z199" s="49">
        <v>-1.2E-2</v>
      </c>
      <c r="AA199" s="49">
        <v>0</v>
      </c>
      <c r="AB199" s="49">
        <v>0</v>
      </c>
      <c r="AC199" s="49" t="s">
        <v>339</v>
      </c>
    </row>
    <row r="200" spans="1:30" s="158" customFormat="1" x14ac:dyDescent="0.2">
      <c r="A200" s="153">
        <f t="shared" si="2"/>
        <v>176</v>
      </c>
      <c r="B200" s="49">
        <v>1</v>
      </c>
      <c r="C200" s="49">
        <v>4</v>
      </c>
      <c r="D200" s="49">
        <v>13</v>
      </c>
      <c r="E200" s="166">
        <v>2033</v>
      </c>
      <c r="F200" s="49">
        <v>2050</v>
      </c>
      <c r="G200" s="49">
        <v>3</v>
      </c>
      <c r="H200" s="49">
        <v>13</v>
      </c>
      <c r="I200" s="49">
        <v>0</v>
      </c>
      <c r="J200" s="49">
        <v>0</v>
      </c>
      <c r="K200" s="49">
        <v>0</v>
      </c>
      <c r="L200" s="167">
        <v>0.97</v>
      </c>
      <c r="M200" s="168">
        <v>8925</v>
      </c>
      <c r="N200" s="168">
        <v>4025</v>
      </c>
      <c r="O200" s="51">
        <v>0</v>
      </c>
      <c r="P200" s="51">
        <v>0</v>
      </c>
      <c r="Q200" s="51">
        <v>91</v>
      </c>
      <c r="R200" s="51">
        <v>41</v>
      </c>
      <c r="S200" s="171">
        <v>0</v>
      </c>
      <c r="T200" s="171">
        <v>0</v>
      </c>
      <c r="U200" s="49" t="s">
        <v>226</v>
      </c>
      <c r="V200" s="49">
        <v>2015</v>
      </c>
      <c r="W200" s="49">
        <v>1</v>
      </c>
      <c r="X200" s="49">
        <v>0</v>
      </c>
      <c r="Y200" s="49">
        <v>-1.8E-3</v>
      </c>
      <c r="Z200" s="49">
        <v>-1.2E-2</v>
      </c>
      <c r="AA200" s="49">
        <v>0</v>
      </c>
      <c r="AB200" s="49">
        <v>0</v>
      </c>
      <c r="AC200" s="49" t="s">
        <v>339</v>
      </c>
    </row>
    <row r="201" spans="1:30" s="158" customFormat="1" hidden="1" x14ac:dyDescent="0.2">
      <c r="A201" s="153">
        <f t="shared" si="2"/>
        <v>177</v>
      </c>
      <c r="B201" s="49">
        <v>1</v>
      </c>
      <c r="C201" s="49">
        <v>4</v>
      </c>
      <c r="D201" s="49">
        <v>13</v>
      </c>
      <c r="E201" s="166">
        <v>2033</v>
      </c>
      <c r="F201" s="49">
        <v>2050</v>
      </c>
      <c r="G201" s="49">
        <v>4</v>
      </c>
      <c r="H201" s="49">
        <v>13</v>
      </c>
      <c r="I201" s="49">
        <v>0</v>
      </c>
      <c r="J201" s="49">
        <v>0</v>
      </c>
      <c r="K201" s="49">
        <v>0</v>
      </c>
      <c r="L201" s="167">
        <v>0.97</v>
      </c>
      <c r="M201" s="168">
        <v>8925</v>
      </c>
      <c r="N201" s="168">
        <v>4025</v>
      </c>
      <c r="O201" s="51">
        <v>0</v>
      </c>
      <c r="P201" s="51">
        <v>0</v>
      </c>
      <c r="Q201" s="51">
        <v>146</v>
      </c>
      <c r="R201" s="51">
        <v>66</v>
      </c>
      <c r="S201" s="171">
        <v>0</v>
      </c>
      <c r="T201" s="171">
        <v>0</v>
      </c>
      <c r="U201" s="49" t="s">
        <v>226</v>
      </c>
      <c r="V201" s="49">
        <v>2015</v>
      </c>
      <c r="W201" s="49">
        <v>1</v>
      </c>
      <c r="X201" s="49">
        <v>0</v>
      </c>
      <c r="Y201" s="49">
        <v>-1.8E-3</v>
      </c>
      <c r="Z201" s="49">
        <v>-1.2E-2</v>
      </c>
      <c r="AA201" s="49">
        <v>0</v>
      </c>
      <c r="AB201" s="49">
        <v>0</v>
      </c>
      <c r="AC201" s="49" t="s">
        <v>339</v>
      </c>
    </row>
    <row r="202" spans="1:30" s="158" customFormat="1" hidden="1" x14ac:dyDescent="0.2">
      <c r="A202" s="153">
        <f t="shared" si="2"/>
        <v>178</v>
      </c>
      <c r="B202" s="49">
        <v>1</v>
      </c>
      <c r="C202" s="49">
        <v>4</v>
      </c>
      <c r="D202" s="49">
        <v>13</v>
      </c>
      <c r="E202" s="166">
        <v>2033</v>
      </c>
      <c r="F202" s="49">
        <v>2050</v>
      </c>
      <c r="G202" s="49">
        <v>5</v>
      </c>
      <c r="H202" s="49">
        <v>13</v>
      </c>
      <c r="I202" s="49">
        <v>0</v>
      </c>
      <c r="J202" s="49">
        <v>0</v>
      </c>
      <c r="K202" s="49">
        <v>0</v>
      </c>
      <c r="L202" s="167">
        <v>0.97</v>
      </c>
      <c r="M202" s="168">
        <v>8925</v>
      </c>
      <c r="N202" s="168">
        <v>4025</v>
      </c>
      <c r="O202" s="51">
        <v>0</v>
      </c>
      <c r="P202" s="51">
        <v>0</v>
      </c>
      <c r="Q202" s="51">
        <v>104</v>
      </c>
      <c r="R202" s="51">
        <v>47</v>
      </c>
      <c r="S202" s="171">
        <v>0</v>
      </c>
      <c r="T202" s="171">
        <v>0</v>
      </c>
      <c r="U202" s="49" t="s">
        <v>226</v>
      </c>
      <c r="V202" s="49">
        <v>2015</v>
      </c>
      <c r="W202" s="49">
        <v>1</v>
      </c>
      <c r="X202" s="49">
        <v>0</v>
      </c>
      <c r="Y202" s="49">
        <v>-1.8E-3</v>
      </c>
      <c r="Z202" s="49">
        <v>-1.2E-2</v>
      </c>
      <c r="AA202" s="49">
        <v>0</v>
      </c>
      <c r="AB202" s="49">
        <v>0</v>
      </c>
      <c r="AC202" s="49" t="s">
        <v>339</v>
      </c>
    </row>
    <row r="203" spans="1:30" s="158" customFormat="1" hidden="1" x14ac:dyDescent="0.2">
      <c r="A203" s="153">
        <f t="shared" si="2"/>
        <v>179</v>
      </c>
      <c r="B203" s="49">
        <v>1</v>
      </c>
      <c r="C203" s="49">
        <v>4</v>
      </c>
      <c r="D203" s="49">
        <v>13</v>
      </c>
      <c r="E203" s="166">
        <v>2033</v>
      </c>
      <c r="F203" s="49">
        <v>2050</v>
      </c>
      <c r="G203" s="49">
        <v>6</v>
      </c>
      <c r="H203" s="49">
        <v>13</v>
      </c>
      <c r="I203" s="49">
        <v>0</v>
      </c>
      <c r="J203" s="49">
        <v>0</v>
      </c>
      <c r="K203" s="49">
        <v>0</v>
      </c>
      <c r="L203" s="167">
        <v>0.97</v>
      </c>
      <c r="M203" s="168">
        <v>8925</v>
      </c>
      <c r="N203" s="168">
        <v>4025</v>
      </c>
      <c r="O203" s="51">
        <v>0</v>
      </c>
      <c r="P203" s="51">
        <v>0</v>
      </c>
      <c r="Q203" s="51">
        <v>0</v>
      </c>
      <c r="R203" s="51">
        <v>0</v>
      </c>
      <c r="S203" s="171">
        <v>0</v>
      </c>
      <c r="T203" s="171">
        <v>0</v>
      </c>
      <c r="U203" s="49" t="s">
        <v>226</v>
      </c>
      <c r="V203" s="49">
        <v>2015</v>
      </c>
      <c r="W203" s="49">
        <v>1</v>
      </c>
      <c r="X203" s="49">
        <v>0</v>
      </c>
      <c r="Y203" s="49">
        <v>-1.8E-3</v>
      </c>
      <c r="Z203" s="49">
        <v>-1.2E-2</v>
      </c>
      <c r="AA203" s="49">
        <v>0</v>
      </c>
      <c r="AB203" s="49">
        <v>0</v>
      </c>
      <c r="AC203" s="49" t="s">
        <v>339</v>
      </c>
    </row>
    <row r="204" spans="1:30" s="158" customFormat="1" hidden="1" x14ac:dyDescent="0.2">
      <c r="A204" s="153">
        <f t="shared" si="2"/>
        <v>180</v>
      </c>
      <c r="B204" s="49">
        <v>1</v>
      </c>
      <c r="C204" s="49">
        <v>4</v>
      </c>
      <c r="D204" s="49">
        <v>13</v>
      </c>
      <c r="E204" s="166">
        <v>2033</v>
      </c>
      <c r="F204" s="49">
        <v>2050</v>
      </c>
      <c r="G204" s="49">
        <v>7</v>
      </c>
      <c r="H204" s="49">
        <v>13</v>
      </c>
      <c r="I204" s="49">
        <v>0</v>
      </c>
      <c r="J204" s="49">
        <v>0</v>
      </c>
      <c r="K204" s="49">
        <v>0</v>
      </c>
      <c r="L204" s="167">
        <v>0.97</v>
      </c>
      <c r="M204" s="168">
        <v>8925</v>
      </c>
      <c r="N204" s="168">
        <v>4025</v>
      </c>
      <c r="O204" s="51">
        <v>0</v>
      </c>
      <c r="P204" s="51">
        <v>0</v>
      </c>
      <c r="Q204" s="51">
        <v>9</v>
      </c>
      <c r="R204" s="51">
        <v>4</v>
      </c>
      <c r="S204" s="171">
        <v>0</v>
      </c>
      <c r="T204" s="171">
        <v>0</v>
      </c>
      <c r="U204" s="49" t="s">
        <v>226</v>
      </c>
      <c r="V204" s="49">
        <v>2015</v>
      </c>
      <c r="W204" s="49">
        <v>1</v>
      </c>
      <c r="X204" s="49">
        <v>0</v>
      </c>
      <c r="Y204" s="49">
        <v>-1.8E-3</v>
      </c>
      <c r="Z204" s="49">
        <v>-1.2E-2</v>
      </c>
      <c r="AA204" s="49">
        <v>0</v>
      </c>
      <c r="AB204" s="49">
        <v>0</v>
      </c>
      <c r="AC204" s="49" t="s">
        <v>339</v>
      </c>
    </row>
    <row r="205" spans="1:30" s="158" customFormat="1" hidden="1" x14ac:dyDescent="0.2">
      <c r="A205" s="153">
        <f t="shared" si="2"/>
        <v>181</v>
      </c>
      <c r="B205" s="49">
        <v>1</v>
      </c>
      <c r="C205" s="49">
        <v>4</v>
      </c>
      <c r="D205" s="49">
        <v>13</v>
      </c>
      <c r="E205" s="166">
        <v>2033</v>
      </c>
      <c r="F205" s="49">
        <v>2050</v>
      </c>
      <c r="G205" s="49">
        <v>8</v>
      </c>
      <c r="H205" s="49">
        <v>13</v>
      </c>
      <c r="I205" s="49">
        <v>0</v>
      </c>
      <c r="J205" s="49">
        <v>0</v>
      </c>
      <c r="K205" s="49">
        <v>0</v>
      </c>
      <c r="L205" s="167">
        <v>0.97</v>
      </c>
      <c r="M205" s="168">
        <v>8925</v>
      </c>
      <c r="N205" s="168">
        <v>4025</v>
      </c>
      <c r="O205" s="51">
        <v>0</v>
      </c>
      <c r="P205" s="51">
        <v>0</v>
      </c>
      <c r="Q205" s="51">
        <v>376</v>
      </c>
      <c r="R205" s="51">
        <v>169</v>
      </c>
      <c r="S205" s="171">
        <v>0</v>
      </c>
      <c r="T205" s="171">
        <v>0</v>
      </c>
      <c r="U205" s="49" t="s">
        <v>226</v>
      </c>
      <c r="V205" s="49">
        <v>2015</v>
      </c>
      <c r="W205" s="49">
        <v>1</v>
      </c>
      <c r="X205" s="49">
        <v>0</v>
      </c>
      <c r="Y205" s="49">
        <v>-1.8E-3</v>
      </c>
      <c r="Z205" s="49">
        <v>-1.2E-2</v>
      </c>
      <c r="AA205" s="49">
        <v>0</v>
      </c>
      <c r="AB205" s="49">
        <v>0</v>
      </c>
      <c r="AC205" s="49" t="s">
        <v>339</v>
      </c>
    </row>
    <row r="206" spans="1:30" s="158" customFormat="1" hidden="1" x14ac:dyDescent="0.2">
      <c r="A206" s="153">
        <f t="shared" si="2"/>
        <v>182</v>
      </c>
      <c r="B206" s="49">
        <v>1</v>
      </c>
      <c r="C206" s="49">
        <v>4</v>
      </c>
      <c r="D206" s="49">
        <v>13</v>
      </c>
      <c r="E206" s="166">
        <v>2033</v>
      </c>
      <c r="F206" s="49">
        <v>2050</v>
      </c>
      <c r="G206" s="49">
        <v>9</v>
      </c>
      <c r="H206" s="49">
        <v>13</v>
      </c>
      <c r="I206" s="49">
        <v>0</v>
      </c>
      <c r="J206" s="49">
        <v>0</v>
      </c>
      <c r="K206" s="49">
        <v>0</v>
      </c>
      <c r="L206" s="167">
        <v>0.97</v>
      </c>
      <c r="M206" s="168">
        <v>8925</v>
      </c>
      <c r="N206" s="168">
        <v>4025</v>
      </c>
      <c r="O206" s="51">
        <v>0</v>
      </c>
      <c r="P206" s="51">
        <v>0</v>
      </c>
      <c r="Q206" s="51">
        <v>0</v>
      </c>
      <c r="R206" s="51">
        <v>0</v>
      </c>
      <c r="S206" s="171">
        <v>0</v>
      </c>
      <c r="T206" s="171">
        <v>0</v>
      </c>
      <c r="U206" s="49" t="s">
        <v>226</v>
      </c>
      <c r="V206" s="49">
        <v>2015</v>
      </c>
      <c r="W206" s="49">
        <v>1</v>
      </c>
      <c r="X206" s="49">
        <v>0</v>
      </c>
      <c r="Y206" s="49">
        <v>-1.8E-3</v>
      </c>
      <c r="Z206" s="49">
        <v>-1.2E-2</v>
      </c>
      <c r="AA206" s="49">
        <v>0</v>
      </c>
      <c r="AB206" s="49">
        <v>0</v>
      </c>
      <c r="AC206" s="49" t="s">
        <v>339</v>
      </c>
    </row>
    <row r="207" spans="1:30" s="158" customFormat="1" hidden="1" x14ac:dyDescent="0.2">
      <c r="A207" s="153">
        <f t="shared" si="2"/>
        <v>183</v>
      </c>
      <c r="B207" s="117">
        <v>1</v>
      </c>
      <c r="C207" s="117">
        <v>5</v>
      </c>
      <c r="D207" s="117">
        <v>14</v>
      </c>
      <c r="E207" s="117">
        <v>2016</v>
      </c>
      <c r="F207" s="117">
        <v>2050</v>
      </c>
      <c r="G207" s="117">
        <v>11</v>
      </c>
      <c r="H207" s="117">
        <v>14</v>
      </c>
      <c r="I207" s="117">
        <v>0</v>
      </c>
      <c r="J207" s="117">
        <v>0</v>
      </c>
      <c r="K207" s="117">
        <v>0</v>
      </c>
      <c r="L207" s="111">
        <v>0.83</v>
      </c>
      <c r="M207" s="116">
        <v>4125</v>
      </c>
      <c r="N207" s="116">
        <v>2550</v>
      </c>
      <c r="O207" s="142">
        <v>0</v>
      </c>
      <c r="P207" s="142">
        <v>0</v>
      </c>
      <c r="Q207" s="142">
        <v>0</v>
      </c>
      <c r="R207" s="142">
        <v>0</v>
      </c>
      <c r="S207" s="116">
        <v>0</v>
      </c>
      <c r="T207" s="116">
        <v>0</v>
      </c>
      <c r="U207" s="117" t="s">
        <v>226</v>
      </c>
      <c r="V207" s="117">
        <v>2015</v>
      </c>
      <c r="W207" s="117">
        <v>1</v>
      </c>
      <c r="X207" s="117">
        <v>0</v>
      </c>
      <c r="Y207" s="117">
        <v>-1.8E-3</v>
      </c>
      <c r="Z207" s="117">
        <v>-1.2E-2</v>
      </c>
      <c r="AA207" s="117">
        <v>0</v>
      </c>
      <c r="AB207" s="117">
        <v>0</v>
      </c>
      <c r="AC207" s="117" t="s">
        <v>206</v>
      </c>
      <c r="AD207" s="155" t="s">
        <v>234</v>
      </c>
    </row>
    <row r="208" spans="1:30" customFormat="1" hidden="1" x14ac:dyDescent="0.2">
      <c r="A208" s="153">
        <f t="shared" si="2"/>
        <v>184</v>
      </c>
      <c r="B208" s="117">
        <v>1</v>
      </c>
      <c r="C208" s="117">
        <v>5</v>
      </c>
      <c r="D208" s="117">
        <v>15</v>
      </c>
      <c r="E208" s="117">
        <v>2016</v>
      </c>
      <c r="F208" s="117">
        <v>2019</v>
      </c>
      <c r="G208" s="117">
        <v>11</v>
      </c>
      <c r="H208" s="117">
        <v>15</v>
      </c>
      <c r="I208" s="117">
        <v>0</v>
      </c>
      <c r="J208" s="117">
        <v>0</v>
      </c>
      <c r="K208" s="117">
        <v>0</v>
      </c>
      <c r="L208" s="111">
        <v>0.83</v>
      </c>
      <c r="M208" s="116">
        <v>4125</v>
      </c>
      <c r="N208" s="116">
        <v>2550</v>
      </c>
      <c r="O208" s="142">
        <v>0</v>
      </c>
      <c r="P208" s="142">
        <v>0</v>
      </c>
      <c r="Q208" s="142">
        <v>0</v>
      </c>
      <c r="R208" s="142">
        <v>0</v>
      </c>
      <c r="S208" s="116">
        <v>0</v>
      </c>
      <c r="T208" s="116">
        <v>0</v>
      </c>
      <c r="U208" s="117" t="s">
        <v>226</v>
      </c>
      <c r="V208" s="117">
        <v>2015</v>
      </c>
      <c r="W208" s="117">
        <v>1</v>
      </c>
      <c r="X208" s="117">
        <v>0</v>
      </c>
      <c r="Y208" s="117">
        <v>-1.8E-3</v>
      </c>
      <c r="Z208" s="117">
        <v>-1.2E-2</v>
      </c>
      <c r="AA208" s="117">
        <v>0</v>
      </c>
      <c r="AB208" s="117">
        <v>0</v>
      </c>
      <c r="AC208" s="117" t="s">
        <v>207</v>
      </c>
      <c r="AD208" s="155" t="s">
        <v>234</v>
      </c>
    </row>
    <row r="209" spans="1:30" customFormat="1" hidden="1" x14ac:dyDescent="0.2">
      <c r="A209" s="153">
        <f t="shared" si="2"/>
        <v>185</v>
      </c>
      <c r="B209" s="117">
        <v>1</v>
      </c>
      <c r="C209" s="117">
        <v>5</v>
      </c>
      <c r="D209" s="117">
        <v>15</v>
      </c>
      <c r="E209" s="117">
        <v>2020</v>
      </c>
      <c r="F209" s="117">
        <v>2050</v>
      </c>
      <c r="G209" s="117">
        <v>11</v>
      </c>
      <c r="H209" s="117">
        <v>15</v>
      </c>
      <c r="I209" s="117">
        <v>0</v>
      </c>
      <c r="J209" s="117">
        <v>0</v>
      </c>
      <c r="K209" s="117">
        <v>0</v>
      </c>
      <c r="L209" s="111">
        <v>0.84</v>
      </c>
      <c r="M209" s="116">
        <v>4225</v>
      </c>
      <c r="N209" s="116">
        <v>2600</v>
      </c>
      <c r="O209" s="142">
        <v>0</v>
      </c>
      <c r="P209" s="142">
        <v>0</v>
      </c>
      <c r="Q209" s="149">
        <v>0</v>
      </c>
      <c r="R209" s="149">
        <v>0</v>
      </c>
      <c r="S209" s="116">
        <v>0</v>
      </c>
      <c r="T209" s="116">
        <v>0</v>
      </c>
      <c r="U209" s="117" t="s">
        <v>226</v>
      </c>
      <c r="V209" s="117">
        <v>2015</v>
      </c>
      <c r="W209" s="117">
        <v>1</v>
      </c>
      <c r="X209" s="117">
        <v>0</v>
      </c>
      <c r="Y209" s="117">
        <v>-1.8E-3</v>
      </c>
      <c r="Z209" s="117">
        <v>-1.2E-2</v>
      </c>
      <c r="AA209" s="117">
        <v>0</v>
      </c>
      <c r="AB209" s="117">
        <v>0</v>
      </c>
      <c r="AC209" s="117" t="s">
        <v>207</v>
      </c>
      <c r="AD209" s="155" t="s">
        <v>234</v>
      </c>
    </row>
    <row r="210" spans="1:30" customFormat="1" hidden="1" x14ac:dyDescent="0.2">
      <c r="A210" s="153">
        <f t="shared" si="2"/>
        <v>186</v>
      </c>
      <c r="B210" s="117">
        <v>1</v>
      </c>
      <c r="C210" s="117">
        <v>5</v>
      </c>
      <c r="D210" s="117">
        <v>16</v>
      </c>
      <c r="E210" s="117">
        <v>2016</v>
      </c>
      <c r="F210" s="38">
        <v>2022</v>
      </c>
      <c r="G210" s="117">
        <v>11</v>
      </c>
      <c r="H210" s="117">
        <v>16</v>
      </c>
      <c r="I210" s="117">
        <v>0</v>
      </c>
      <c r="J210" s="117">
        <v>0</v>
      </c>
      <c r="K210" s="117">
        <v>0</v>
      </c>
      <c r="L210" s="111">
        <v>0.85</v>
      </c>
      <c r="M210" s="116">
        <v>4350</v>
      </c>
      <c r="N210" s="116">
        <v>2600</v>
      </c>
      <c r="O210" s="160">
        <v>150</v>
      </c>
      <c r="P210" s="142">
        <v>0</v>
      </c>
      <c r="Q210" s="142">
        <v>0</v>
      </c>
      <c r="R210" s="142">
        <v>0</v>
      </c>
      <c r="S210" s="116">
        <v>0</v>
      </c>
      <c r="T210" s="116">
        <v>0</v>
      </c>
      <c r="U210" s="117" t="s">
        <v>226</v>
      </c>
      <c r="V210" s="117">
        <v>2015</v>
      </c>
      <c r="W210" s="117">
        <v>1</v>
      </c>
      <c r="X210" s="117">
        <v>0</v>
      </c>
      <c r="Y210" s="117">
        <v>-1.8E-3</v>
      </c>
      <c r="Z210" s="117">
        <v>-1.2E-2</v>
      </c>
      <c r="AA210" s="117">
        <v>0</v>
      </c>
      <c r="AB210" s="117">
        <v>0</v>
      </c>
      <c r="AC210" s="117" t="s">
        <v>208</v>
      </c>
      <c r="AD210" s="155" t="s">
        <v>234</v>
      </c>
    </row>
    <row r="211" spans="1:30" s="157" customFormat="1" hidden="1" x14ac:dyDescent="0.2">
      <c r="A211" s="153">
        <f t="shared" si="2"/>
        <v>187</v>
      </c>
      <c r="B211" s="131">
        <v>1</v>
      </c>
      <c r="C211" s="131">
        <v>5</v>
      </c>
      <c r="D211" s="131">
        <v>16</v>
      </c>
      <c r="E211" s="131">
        <v>2023</v>
      </c>
      <c r="F211" s="131">
        <v>2026</v>
      </c>
      <c r="G211" s="131">
        <v>11</v>
      </c>
      <c r="H211" s="131">
        <v>16</v>
      </c>
      <c r="I211" s="131">
        <v>0</v>
      </c>
      <c r="J211" s="131">
        <v>0</v>
      </c>
      <c r="K211" s="131">
        <v>0</v>
      </c>
      <c r="L211" s="221">
        <v>0.85</v>
      </c>
      <c r="M211" s="171">
        <v>4350</v>
      </c>
      <c r="N211" s="171">
        <v>2600</v>
      </c>
      <c r="O211" s="51">
        <v>600</v>
      </c>
      <c r="P211" s="51">
        <v>0</v>
      </c>
      <c r="Q211" s="51">
        <v>0</v>
      </c>
      <c r="R211" s="51">
        <v>0</v>
      </c>
      <c r="S211" s="171">
        <v>0</v>
      </c>
      <c r="T211" s="171">
        <v>0</v>
      </c>
      <c r="U211" s="131" t="s">
        <v>226</v>
      </c>
      <c r="V211" s="131">
        <v>2015</v>
      </c>
      <c r="W211" s="131">
        <v>1</v>
      </c>
      <c r="X211" s="131">
        <v>0</v>
      </c>
      <c r="Y211" s="131">
        <v>-1.8E-3</v>
      </c>
      <c r="Z211" s="131">
        <v>-1.2E-2</v>
      </c>
      <c r="AA211" s="131">
        <v>0</v>
      </c>
      <c r="AB211" s="131">
        <v>0</v>
      </c>
      <c r="AC211" s="131" t="s">
        <v>208</v>
      </c>
      <c r="AD211" s="155" t="s">
        <v>234</v>
      </c>
    </row>
    <row r="212" spans="1:30" s="157" customFormat="1" hidden="1" x14ac:dyDescent="0.2">
      <c r="A212" s="153">
        <f t="shared" si="2"/>
        <v>188</v>
      </c>
      <c r="B212" s="131">
        <v>1</v>
      </c>
      <c r="C212" s="131">
        <v>5</v>
      </c>
      <c r="D212" s="131">
        <v>16</v>
      </c>
      <c r="E212" s="131">
        <v>2027</v>
      </c>
      <c r="F212" s="131">
        <v>2050</v>
      </c>
      <c r="G212" s="131">
        <v>11</v>
      </c>
      <c r="H212" s="131">
        <v>16</v>
      </c>
      <c r="I212" s="131">
        <v>0</v>
      </c>
      <c r="J212" s="131">
        <v>0</v>
      </c>
      <c r="K212" s="131">
        <v>0</v>
      </c>
      <c r="L212" s="221">
        <v>0.85</v>
      </c>
      <c r="M212" s="171">
        <v>4350</v>
      </c>
      <c r="N212" s="171">
        <v>2600</v>
      </c>
      <c r="O212" s="51">
        <v>0</v>
      </c>
      <c r="P212" s="51">
        <v>0</v>
      </c>
      <c r="Q212" s="51">
        <v>0</v>
      </c>
      <c r="R212" s="51">
        <v>0</v>
      </c>
      <c r="S212" s="171">
        <v>0</v>
      </c>
      <c r="T212" s="171">
        <v>0</v>
      </c>
      <c r="U212" s="131" t="s">
        <v>226</v>
      </c>
      <c r="V212" s="131">
        <v>2015</v>
      </c>
      <c r="W212" s="131">
        <v>1</v>
      </c>
      <c r="X212" s="131">
        <v>0</v>
      </c>
      <c r="Y212" s="131">
        <v>-1.8E-3</v>
      </c>
      <c r="Z212" s="131">
        <v>-1.2E-2</v>
      </c>
      <c r="AA212" s="131">
        <v>0</v>
      </c>
      <c r="AB212" s="131">
        <v>0</v>
      </c>
      <c r="AC212" s="131" t="s">
        <v>208</v>
      </c>
      <c r="AD212" s="155" t="s">
        <v>234</v>
      </c>
    </row>
    <row r="213" spans="1:30" customFormat="1" hidden="1" x14ac:dyDescent="0.2">
      <c r="A213" s="153">
        <f t="shared" si="2"/>
        <v>189</v>
      </c>
      <c r="B213" s="117">
        <v>1</v>
      </c>
      <c r="C213" s="117">
        <v>5</v>
      </c>
      <c r="D213" s="117">
        <v>17</v>
      </c>
      <c r="E213" s="117">
        <v>2016</v>
      </c>
      <c r="F213" s="38">
        <v>2022</v>
      </c>
      <c r="G213" s="117">
        <v>11</v>
      </c>
      <c r="H213" s="117">
        <v>17</v>
      </c>
      <c r="I213" s="117">
        <v>0</v>
      </c>
      <c r="J213" s="117">
        <v>0</v>
      </c>
      <c r="K213" s="117">
        <v>0</v>
      </c>
      <c r="L213" s="111">
        <v>0.97</v>
      </c>
      <c r="M213" s="116">
        <v>6450</v>
      </c>
      <c r="N213" s="116">
        <v>3075</v>
      </c>
      <c r="O213" s="142">
        <v>150</v>
      </c>
      <c r="P213" s="142">
        <v>0</v>
      </c>
      <c r="Q213" s="142">
        <v>0</v>
      </c>
      <c r="R213" s="142">
        <v>0</v>
      </c>
      <c r="S213" s="116">
        <v>0</v>
      </c>
      <c r="T213" s="116">
        <v>0</v>
      </c>
      <c r="U213" s="117" t="s">
        <v>226</v>
      </c>
      <c r="V213" s="117">
        <v>2015</v>
      </c>
      <c r="W213" s="117">
        <v>1</v>
      </c>
      <c r="X213" s="117">
        <v>0</v>
      </c>
      <c r="Y213" s="117">
        <v>-1.8E-3</v>
      </c>
      <c r="Z213" s="117">
        <v>-1.2E-2</v>
      </c>
      <c r="AA213" s="117">
        <v>0</v>
      </c>
      <c r="AB213" s="117">
        <v>0</v>
      </c>
      <c r="AC213" s="117" t="s">
        <v>340</v>
      </c>
      <c r="AD213" s="155" t="s">
        <v>234</v>
      </c>
    </row>
    <row r="214" spans="1:30" s="157" customFormat="1" hidden="1" x14ac:dyDescent="0.2">
      <c r="A214" s="153">
        <f t="shared" si="2"/>
        <v>190</v>
      </c>
      <c r="B214" s="131">
        <v>1</v>
      </c>
      <c r="C214" s="131">
        <v>5</v>
      </c>
      <c r="D214" s="131">
        <v>17</v>
      </c>
      <c r="E214" s="131">
        <v>2023</v>
      </c>
      <c r="F214" s="131">
        <v>2032</v>
      </c>
      <c r="G214" s="131">
        <v>11</v>
      </c>
      <c r="H214" s="131">
        <v>17</v>
      </c>
      <c r="I214" s="131">
        <v>0</v>
      </c>
      <c r="J214" s="131">
        <v>0</v>
      </c>
      <c r="K214" s="131">
        <v>0</v>
      </c>
      <c r="L214" s="221">
        <v>0.97</v>
      </c>
      <c r="M214" s="171">
        <v>6450</v>
      </c>
      <c r="N214" s="171">
        <v>3075</v>
      </c>
      <c r="O214" s="51">
        <v>600</v>
      </c>
      <c r="P214" s="51">
        <v>0</v>
      </c>
      <c r="Q214" s="51">
        <v>0</v>
      </c>
      <c r="R214" s="51">
        <v>0</v>
      </c>
      <c r="S214" s="171">
        <v>0</v>
      </c>
      <c r="T214" s="171">
        <v>0</v>
      </c>
      <c r="U214" s="131" t="s">
        <v>226</v>
      </c>
      <c r="V214" s="131">
        <v>2015</v>
      </c>
      <c r="W214" s="131">
        <v>1</v>
      </c>
      <c r="X214" s="131">
        <v>0</v>
      </c>
      <c r="Y214" s="131">
        <v>-1.8E-3</v>
      </c>
      <c r="Z214" s="131">
        <v>-1.2E-2</v>
      </c>
      <c r="AA214" s="131">
        <v>0</v>
      </c>
      <c r="AB214" s="131">
        <v>0</v>
      </c>
      <c r="AC214" s="131" t="s">
        <v>340</v>
      </c>
      <c r="AD214" s="155" t="s">
        <v>234</v>
      </c>
    </row>
    <row r="215" spans="1:30" customFormat="1" hidden="1" x14ac:dyDescent="0.2">
      <c r="A215" s="153">
        <f t="shared" si="2"/>
        <v>191</v>
      </c>
      <c r="B215" s="117">
        <v>1</v>
      </c>
      <c r="C215" s="117">
        <v>5</v>
      </c>
      <c r="D215" s="117">
        <v>17</v>
      </c>
      <c r="E215" s="38">
        <v>2033</v>
      </c>
      <c r="F215" s="117">
        <v>2050</v>
      </c>
      <c r="G215" s="117">
        <v>11</v>
      </c>
      <c r="H215" s="117">
        <v>17</v>
      </c>
      <c r="I215" s="117">
        <v>0</v>
      </c>
      <c r="J215" s="117">
        <v>0</v>
      </c>
      <c r="K215" s="117">
        <v>0</v>
      </c>
      <c r="L215" s="111">
        <v>0.97</v>
      </c>
      <c r="M215" s="116">
        <v>6450</v>
      </c>
      <c r="N215" s="116">
        <v>3075</v>
      </c>
      <c r="O215" s="142">
        <v>0</v>
      </c>
      <c r="P215" s="142">
        <v>0</v>
      </c>
      <c r="Q215" s="149">
        <v>0</v>
      </c>
      <c r="R215" s="149">
        <v>0</v>
      </c>
      <c r="S215" s="116">
        <v>0</v>
      </c>
      <c r="T215" s="116">
        <v>0</v>
      </c>
      <c r="U215" s="117" t="s">
        <v>226</v>
      </c>
      <c r="V215" s="117">
        <v>2015</v>
      </c>
      <c r="W215" s="117">
        <v>1</v>
      </c>
      <c r="X215" s="117">
        <v>0</v>
      </c>
      <c r="Y215" s="117">
        <v>-1.8E-3</v>
      </c>
      <c r="Z215" s="117">
        <v>-1.2E-2</v>
      </c>
      <c r="AA215" s="117">
        <v>0</v>
      </c>
      <c r="AB215" s="117">
        <v>0</v>
      </c>
      <c r="AC215" s="117" t="s">
        <v>340</v>
      </c>
      <c r="AD215" s="155" t="s">
        <v>234</v>
      </c>
    </row>
    <row r="216" spans="1:30" customFormat="1" hidden="1" x14ac:dyDescent="0.2">
      <c r="A216" s="153">
        <f t="shared" si="2"/>
        <v>192</v>
      </c>
      <c r="B216" s="33">
        <v>1</v>
      </c>
      <c r="C216" s="33">
        <v>6</v>
      </c>
      <c r="D216" s="33">
        <v>18</v>
      </c>
      <c r="E216" s="104">
        <v>2016</v>
      </c>
      <c r="F216" s="33">
        <v>2050</v>
      </c>
      <c r="G216" s="33">
        <v>11</v>
      </c>
      <c r="H216" s="33">
        <v>18</v>
      </c>
      <c r="I216" s="33">
        <v>0</v>
      </c>
      <c r="J216" s="33">
        <v>0</v>
      </c>
      <c r="K216" s="33">
        <v>0</v>
      </c>
      <c r="L216" s="101">
        <v>0.8</v>
      </c>
      <c r="M216" s="108">
        <v>2050</v>
      </c>
      <c r="N216" s="108">
        <v>890</v>
      </c>
      <c r="O216" s="142">
        <v>0</v>
      </c>
      <c r="P216" s="142">
        <v>0</v>
      </c>
      <c r="Q216" s="142">
        <v>0</v>
      </c>
      <c r="R216" s="142">
        <v>0</v>
      </c>
      <c r="S216" s="116">
        <v>0</v>
      </c>
      <c r="T216" s="116">
        <v>0</v>
      </c>
      <c r="U216" s="33" t="s">
        <v>226</v>
      </c>
      <c r="V216" s="33">
        <v>2015</v>
      </c>
      <c r="W216" s="33">
        <v>1</v>
      </c>
      <c r="X216" s="33">
        <v>0</v>
      </c>
      <c r="Y216" s="33">
        <v>-1.8E-3</v>
      </c>
      <c r="Z216" s="33">
        <v>-1.2E-2</v>
      </c>
      <c r="AA216" s="33">
        <v>0</v>
      </c>
      <c r="AB216" s="33">
        <v>0</v>
      </c>
      <c r="AC216" s="33" t="s">
        <v>335</v>
      </c>
      <c r="AD216" s="158"/>
    </row>
    <row r="217" spans="1:30" customFormat="1" hidden="1" x14ac:dyDescent="0.2">
      <c r="A217" s="153">
        <f t="shared" si="2"/>
        <v>193</v>
      </c>
      <c r="B217" s="33">
        <v>1</v>
      </c>
      <c r="C217" s="33">
        <v>6</v>
      </c>
      <c r="D217" s="33">
        <v>19</v>
      </c>
      <c r="E217" s="104">
        <v>2016</v>
      </c>
      <c r="F217" s="33">
        <v>2019</v>
      </c>
      <c r="G217" s="33">
        <v>1</v>
      </c>
      <c r="H217" s="33">
        <v>19</v>
      </c>
      <c r="I217" s="33">
        <v>0</v>
      </c>
      <c r="J217" s="33">
        <v>0</v>
      </c>
      <c r="K217" s="33">
        <v>0</v>
      </c>
      <c r="L217" s="101">
        <v>0.92</v>
      </c>
      <c r="M217" s="108">
        <v>2610</v>
      </c>
      <c r="N217" s="108">
        <v>1190</v>
      </c>
      <c r="O217" s="142">
        <v>0</v>
      </c>
      <c r="P217" s="142">
        <v>0</v>
      </c>
      <c r="Q217" s="142">
        <v>0</v>
      </c>
      <c r="R217" s="142">
        <v>0</v>
      </c>
      <c r="S217" s="116">
        <v>0</v>
      </c>
      <c r="T217" s="116">
        <v>0</v>
      </c>
      <c r="U217" s="33" t="s">
        <v>226</v>
      </c>
      <c r="V217" s="33">
        <v>2015</v>
      </c>
      <c r="W217" s="33">
        <v>1</v>
      </c>
      <c r="X217" s="33">
        <v>0</v>
      </c>
      <c r="Y217" s="33">
        <v>-1.8E-3</v>
      </c>
      <c r="Z217" s="33">
        <v>-1.2E-2</v>
      </c>
      <c r="AA217" s="33">
        <v>0</v>
      </c>
      <c r="AB217" s="33">
        <v>0</v>
      </c>
      <c r="AC217" s="33" t="s">
        <v>336</v>
      </c>
      <c r="AD217" s="158"/>
    </row>
    <row r="218" spans="1:30" customFormat="1" hidden="1" x14ac:dyDescent="0.2">
      <c r="A218" s="153">
        <f t="shared" si="2"/>
        <v>194</v>
      </c>
      <c r="B218" s="33">
        <v>1</v>
      </c>
      <c r="C218" s="33">
        <v>6</v>
      </c>
      <c r="D218" s="33">
        <v>19</v>
      </c>
      <c r="E218" s="104">
        <v>2016</v>
      </c>
      <c r="F218" s="33">
        <v>2019</v>
      </c>
      <c r="G218" s="33">
        <v>2</v>
      </c>
      <c r="H218" s="33">
        <v>19</v>
      </c>
      <c r="I218" s="33">
        <v>0</v>
      </c>
      <c r="J218" s="33">
        <v>0</v>
      </c>
      <c r="K218" s="33">
        <v>0</v>
      </c>
      <c r="L218" s="101">
        <v>0.92</v>
      </c>
      <c r="M218" s="108">
        <v>2610</v>
      </c>
      <c r="N218" s="108">
        <v>1190</v>
      </c>
      <c r="O218" s="142">
        <v>0</v>
      </c>
      <c r="P218" s="142">
        <v>0</v>
      </c>
      <c r="Q218" s="142">
        <v>0</v>
      </c>
      <c r="R218" s="142">
        <v>0</v>
      </c>
      <c r="S218" s="116">
        <v>0</v>
      </c>
      <c r="T218" s="116">
        <v>0</v>
      </c>
      <c r="U218" s="33" t="s">
        <v>226</v>
      </c>
      <c r="V218" s="33">
        <v>2015</v>
      </c>
      <c r="W218" s="33">
        <v>1</v>
      </c>
      <c r="X218" s="33">
        <v>0</v>
      </c>
      <c r="Y218" s="33">
        <v>-1.8E-3</v>
      </c>
      <c r="Z218" s="33">
        <v>-1.2E-2</v>
      </c>
      <c r="AA218" s="33">
        <v>0</v>
      </c>
      <c r="AB218" s="33">
        <v>0</v>
      </c>
      <c r="AC218" s="33" t="s">
        <v>336</v>
      </c>
      <c r="AD218" s="158"/>
    </row>
    <row r="219" spans="1:30" customFormat="1" x14ac:dyDescent="0.2">
      <c r="A219" s="153">
        <f t="shared" ref="A219:A282" si="3">A218+1</f>
        <v>195</v>
      </c>
      <c r="B219" s="33">
        <v>1</v>
      </c>
      <c r="C219" s="33">
        <v>6</v>
      </c>
      <c r="D219" s="33">
        <v>19</v>
      </c>
      <c r="E219" s="104">
        <v>2016</v>
      </c>
      <c r="F219" s="33">
        <v>2019</v>
      </c>
      <c r="G219" s="33">
        <v>3</v>
      </c>
      <c r="H219" s="33">
        <v>19</v>
      </c>
      <c r="I219" s="33">
        <v>0</v>
      </c>
      <c r="J219" s="33">
        <v>0</v>
      </c>
      <c r="K219" s="33">
        <v>0</v>
      </c>
      <c r="L219" s="101">
        <v>0.92</v>
      </c>
      <c r="M219" s="108">
        <v>2610</v>
      </c>
      <c r="N219" s="108">
        <v>1190</v>
      </c>
      <c r="O219" s="142">
        <v>0</v>
      </c>
      <c r="P219" s="142">
        <v>0</v>
      </c>
      <c r="Q219" s="142">
        <v>0</v>
      </c>
      <c r="R219" s="142">
        <v>0</v>
      </c>
      <c r="S219" s="116">
        <v>0</v>
      </c>
      <c r="T219" s="116">
        <v>0</v>
      </c>
      <c r="U219" s="33" t="s">
        <v>226</v>
      </c>
      <c r="V219" s="33">
        <v>2015</v>
      </c>
      <c r="W219" s="33">
        <v>1</v>
      </c>
      <c r="X219" s="33">
        <v>0</v>
      </c>
      <c r="Y219" s="33">
        <v>-1.8E-3</v>
      </c>
      <c r="Z219" s="33">
        <v>-1.2E-2</v>
      </c>
      <c r="AA219" s="33">
        <v>0</v>
      </c>
      <c r="AB219" s="33">
        <v>0</v>
      </c>
      <c r="AC219" s="33" t="s">
        <v>336</v>
      </c>
      <c r="AD219" s="158"/>
    </row>
    <row r="220" spans="1:30" customFormat="1" hidden="1" x14ac:dyDescent="0.2">
      <c r="A220" s="153">
        <f t="shared" si="3"/>
        <v>196</v>
      </c>
      <c r="B220" s="33">
        <v>1</v>
      </c>
      <c r="C220" s="33">
        <v>6</v>
      </c>
      <c r="D220" s="33">
        <v>19</v>
      </c>
      <c r="E220" s="104">
        <v>2016</v>
      </c>
      <c r="F220" s="33">
        <v>2019</v>
      </c>
      <c r="G220" s="33">
        <v>4</v>
      </c>
      <c r="H220" s="33">
        <v>19</v>
      </c>
      <c r="I220" s="33">
        <v>0</v>
      </c>
      <c r="J220" s="33">
        <v>0</v>
      </c>
      <c r="K220" s="33">
        <v>0</v>
      </c>
      <c r="L220" s="101">
        <v>0.92</v>
      </c>
      <c r="M220" s="108">
        <v>2610</v>
      </c>
      <c r="N220" s="108">
        <v>1190</v>
      </c>
      <c r="O220" s="142">
        <v>0</v>
      </c>
      <c r="P220" s="142">
        <v>0</v>
      </c>
      <c r="Q220" s="142">
        <v>0</v>
      </c>
      <c r="R220" s="142">
        <v>0</v>
      </c>
      <c r="S220" s="116">
        <v>0</v>
      </c>
      <c r="T220" s="116">
        <v>0</v>
      </c>
      <c r="U220" s="33" t="s">
        <v>226</v>
      </c>
      <c r="V220" s="33">
        <v>2015</v>
      </c>
      <c r="W220" s="33">
        <v>1</v>
      </c>
      <c r="X220" s="33">
        <v>0</v>
      </c>
      <c r="Y220" s="33">
        <v>-1.8E-3</v>
      </c>
      <c r="Z220" s="33">
        <v>-1.2E-2</v>
      </c>
      <c r="AA220" s="33">
        <v>0</v>
      </c>
      <c r="AB220" s="33">
        <v>0</v>
      </c>
      <c r="AC220" s="33" t="s">
        <v>336</v>
      </c>
      <c r="AD220" s="158"/>
    </row>
    <row r="221" spans="1:30" customFormat="1" hidden="1" x14ac:dyDescent="0.2">
      <c r="A221" s="153">
        <f t="shared" si="3"/>
        <v>197</v>
      </c>
      <c r="B221" s="33">
        <v>1</v>
      </c>
      <c r="C221" s="33">
        <v>6</v>
      </c>
      <c r="D221" s="33">
        <v>19</v>
      </c>
      <c r="E221" s="104">
        <v>2016</v>
      </c>
      <c r="F221" s="33">
        <v>2019</v>
      </c>
      <c r="G221" s="33">
        <v>5</v>
      </c>
      <c r="H221" s="33">
        <v>19</v>
      </c>
      <c r="I221" s="33">
        <v>0</v>
      </c>
      <c r="J221" s="33">
        <v>0</v>
      </c>
      <c r="K221" s="33">
        <v>0</v>
      </c>
      <c r="L221" s="101">
        <v>0.8</v>
      </c>
      <c r="M221" s="108">
        <v>2050</v>
      </c>
      <c r="N221" s="108">
        <v>890</v>
      </c>
      <c r="O221" s="142">
        <v>0</v>
      </c>
      <c r="P221" s="142">
        <v>0</v>
      </c>
      <c r="Q221" s="142">
        <v>0</v>
      </c>
      <c r="R221" s="142">
        <v>0</v>
      </c>
      <c r="S221" s="116">
        <v>0</v>
      </c>
      <c r="T221" s="116">
        <v>0</v>
      </c>
      <c r="U221" s="33" t="s">
        <v>226</v>
      </c>
      <c r="V221" s="33">
        <v>2015</v>
      </c>
      <c r="W221" s="33">
        <v>1</v>
      </c>
      <c r="X221" s="33">
        <v>0</v>
      </c>
      <c r="Y221" s="33">
        <v>-1.8E-3</v>
      </c>
      <c r="Z221" s="33">
        <v>-1.2E-2</v>
      </c>
      <c r="AA221" s="33">
        <v>0</v>
      </c>
      <c r="AB221" s="33">
        <v>0</v>
      </c>
      <c r="AC221" s="33" t="s">
        <v>336</v>
      </c>
      <c r="AD221" s="158"/>
    </row>
    <row r="222" spans="1:30" customFormat="1" hidden="1" x14ac:dyDescent="0.2">
      <c r="A222" s="153">
        <f t="shared" si="3"/>
        <v>198</v>
      </c>
      <c r="B222" s="33">
        <v>1</v>
      </c>
      <c r="C222" s="33">
        <v>6</v>
      </c>
      <c r="D222" s="33">
        <v>19</v>
      </c>
      <c r="E222" s="104">
        <v>2016</v>
      </c>
      <c r="F222" s="33">
        <v>2019</v>
      </c>
      <c r="G222" s="33">
        <v>6</v>
      </c>
      <c r="H222" s="33">
        <v>19</v>
      </c>
      <c r="I222" s="33">
        <v>0</v>
      </c>
      <c r="J222" s="33">
        <v>0</v>
      </c>
      <c r="K222" s="33">
        <v>0</v>
      </c>
      <c r="L222" s="101">
        <v>0.8</v>
      </c>
      <c r="M222" s="108">
        <v>2050</v>
      </c>
      <c r="N222" s="108">
        <v>890</v>
      </c>
      <c r="O222" s="142">
        <v>0</v>
      </c>
      <c r="P222" s="142">
        <v>0</v>
      </c>
      <c r="Q222" s="142">
        <v>0</v>
      </c>
      <c r="R222" s="142">
        <v>0</v>
      </c>
      <c r="S222" s="116">
        <v>0</v>
      </c>
      <c r="T222" s="116">
        <v>0</v>
      </c>
      <c r="U222" s="33" t="s">
        <v>226</v>
      </c>
      <c r="V222" s="33">
        <v>2015</v>
      </c>
      <c r="W222" s="33">
        <v>1</v>
      </c>
      <c r="X222" s="33">
        <v>0</v>
      </c>
      <c r="Y222" s="33">
        <v>-1.8E-3</v>
      </c>
      <c r="Z222" s="33">
        <v>-1.2E-2</v>
      </c>
      <c r="AA222" s="33">
        <v>0</v>
      </c>
      <c r="AB222" s="33">
        <v>0</v>
      </c>
      <c r="AC222" s="33" t="s">
        <v>336</v>
      </c>
      <c r="AD222" s="158"/>
    </row>
    <row r="223" spans="1:30" customFormat="1" hidden="1" x14ac:dyDescent="0.2">
      <c r="A223" s="153">
        <f t="shared" si="3"/>
        <v>199</v>
      </c>
      <c r="B223" s="33">
        <v>1</v>
      </c>
      <c r="C223" s="33">
        <v>6</v>
      </c>
      <c r="D223" s="33">
        <v>19</v>
      </c>
      <c r="E223" s="104">
        <v>2016</v>
      </c>
      <c r="F223" s="33">
        <v>2019</v>
      </c>
      <c r="G223" s="33">
        <v>7</v>
      </c>
      <c r="H223" s="33">
        <v>19</v>
      </c>
      <c r="I223" s="33">
        <v>0</v>
      </c>
      <c r="J223" s="33">
        <v>0</v>
      </c>
      <c r="K223" s="33">
        <v>0</v>
      </c>
      <c r="L223" s="101">
        <v>0.8</v>
      </c>
      <c r="M223" s="108">
        <v>2050</v>
      </c>
      <c r="N223" s="108">
        <v>890</v>
      </c>
      <c r="O223" s="142">
        <v>0</v>
      </c>
      <c r="P223" s="142">
        <v>0</v>
      </c>
      <c r="Q223" s="142">
        <v>0</v>
      </c>
      <c r="R223" s="142">
        <v>0</v>
      </c>
      <c r="S223" s="116">
        <v>0</v>
      </c>
      <c r="T223" s="116">
        <v>0</v>
      </c>
      <c r="U223" s="33" t="s">
        <v>226</v>
      </c>
      <c r="V223" s="33">
        <v>2015</v>
      </c>
      <c r="W223" s="33">
        <v>1</v>
      </c>
      <c r="X223" s="33">
        <v>0</v>
      </c>
      <c r="Y223" s="33">
        <v>-1.8E-3</v>
      </c>
      <c r="Z223" s="33">
        <v>-1.2E-2</v>
      </c>
      <c r="AA223" s="33">
        <v>0</v>
      </c>
      <c r="AB223" s="33">
        <v>0</v>
      </c>
      <c r="AC223" s="33" t="s">
        <v>336</v>
      </c>
      <c r="AD223" s="158"/>
    </row>
    <row r="224" spans="1:30" customFormat="1" hidden="1" x14ac:dyDescent="0.2">
      <c r="A224" s="153">
        <f t="shared" si="3"/>
        <v>200</v>
      </c>
      <c r="B224" s="33">
        <v>1</v>
      </c>
      <c r="C224" s="33">
        <v>6</v>
      </c>
      <c r="D224" s="33">
        <v>19</v>
      </c>
      <c r="E224" s="104">
        <v>2016</v>
      </c>
      <c r="F224" s="33">
        <v>2019</v>
      </c>
      <c r="G224" s="33">
        <v>8</v>
      </c>
      <c r="H224" s="33">
        <v>19</v>
      </c>
      <c r="I224" s="33">
        <v>0</v>
      </c>
      <c r="J224" s="33">
        <v>0</v>
      </c>
      <c r="K224" s="33">
        <v>0</v>
      </c>
      <c r="L224" s="101">
        <v>0.8</v>
      </c>
      <c r="M224" s="108">
        <v>2050</v>
      </c>
      <c r="N224" s="108">
        <v>890</v>
      </c>
      <c r="O224" s="142">
        <v>0</v>
      </c>
      <c r="P224" s="142">
        <v>0</v>
      </c>
      <c r="Q224" s="142">
        <v>0</v>
      </c>
      <c r="R224" s="142">
        <v>0</v>
      </c>
      <c r="S224" s="116">
        <v>0</v>
      </c>
      <c r="T224" s="116">
        <v>0</v>
      </c>
      <c r="U224" s="33" t="s">
        <v>226</v>
      </c>
      <c r="V224" s="33">
        <v>2015</v>
      </c>
      <c r="W224" s="33">
        <v>1</v>
      </c>
      <c r="X224" s="33">
        <v>0</v>
      </c>
      <c r="Y224" s="33">
        <v>-1.8E-3</v>
      </c>
      <c r="Z224" s="33">
        <v>-1.2E-2</v>
      </c>
      <c r="AA224" s="33">
        <v>0</v>
      </c>
      <c r="AB224" s="33">
        <v>0</v>
      </c>
      <c r="AC224" s="33" t="s">
        <v>336</v>
      </c>
      <c r="AD224" s="158"/>
    </row>
    <row r="225" spans="1:30" customFormat="1" hidden="1" x14ac:dyDescent="0.2">
      <c r="A225" s="153">
        <f t="shared" si="3"/>
        <v>201</v>
      </c>
      <c r="B225" s="33">
        <v>1</v>
      </c>
      <c r="C225" s="33">
        <v>6</v>
      </c>
      <c r="D225" s="33">
        <v>19</v>
      </c>
      <c r="E225" s="104">
        <v>2016</v>
      </c>
      <c r="F225" s="33">
        <v>2019</v>
      </c>
      <c r="G225" s="33">
        <v>9</v>
      </c>
      <c r="H225" s="33">
        <v>19</v>
      </c>
      <c r="I225" s="33">
        <v>0</v>
      </c>
      <c r="J225" s="33">
        <v>0</v>
      </c>
      <c r="K225" s="33">
        <v>0</v>
      </c>
      <c r="L225" s="101">
        <v>0.8</v>
      </c>
      <c r="M225" s="108">
        <v>2050</v>
      </c>
      <c r="N225" s="108">
        <v>890</v>
      </c>
      <c r="O225" s="142">
        <v>0</v>
      </c>
      <c r="P225" s="142">
        <v>0</v>
      </c>
      <c r="Q225" s="142">
        <v>0</v>
      </c>
      <c r="R225" s="142">
        <v>0</v>
      </c>
      <c r="S225" s="116">
        <v>0</v>
      </c>
      <c r="T225" s="116">
        <v>0</v>
      </c>
      <c r="U225" s="33" t="s">
        <v>226</v>
      </c>
      <c r="V225" s="33">
        <v>2015</v>
      </c>
      <c r="W225" s="33">
        <v>1</v>
      </c>
      <c r="X225" s="33">
        <v>0</v>
      </c>
      <c r="Y225" s="33">
        <v>-1.8E-3</v>
      </c>
      <c r="Z225" s="33">
        <v>-1.2E-2</v>
      </c>
      <c r="AA225" s="33">
        <v>0</v>
      </c>
      <c r="AB225" s="33">
        <v>0</v>
      </c>
      <c r="AC225" s="33" t="s">
        <v>336</v>
      </c>
      <c r="AD225" s="158"/>
    </row>
    <row r="226" spans="1:30" customFormat="1" hidden="1" x14ac:dyDescent="0.2">
      <c r="A226" s="153">
        <f t="shared" si="3"/>
        <v>202</v>
      </c>
      <c r="B226" s="33">
        <v>1</v>
      </c>
      <c r="C226" s="33">
        <v>6</v>
      </c>
      <c r="D226" s="33">
        <v>19</v>
      </c>
      <c r="E226" s="104">
        <v>2020</v>
      </c>
      <c r="F226" s="33">
        <v>2050</v>
      </c>
      <c r="G226" s="33">
        <v>1</v>
      </c>
      <c r="H226" s="33">
        <v>19</v>
      </c>
      <c r="I226" s="33">
        <v>0</v>
      </c>
      <c r="J226" s="33">
        <v>0</v>
      </c>
      <c r="K226" s="33">
        <v>0</v>
      </c>
      <c r="L226" s="101">
        <v>0.92</v>
      </c>
      <c r="M226" s="108">
        <v>2760</v>
      </c>
      <c r="N226" s="108">
        <v>1340</v>
      </c>
      <c r="O226" s="142">
        <v>0</v>
      </c>
      <c r="P226" s="142">
        <v>0</v>
      </c>
      <c r="Q226" s="149">
        <v>0</v>
      </c>
      <c r="R226" s="149">
        <v>0</v>
      </c>
      <c r="S226" s="116">
        <v>0</v>
      </c>
      <c r="T226" s="116">
        <v>0</v>
      </c>
      <c r="U226" s="33" t="s">
        <v>226</v>
      </c>
      <c r="V226" s="33">
        <v>2015</v>
      </c>
      <c r="W226" s="33">
        <v>1</v>
      </c>
      <c r="X226" s="33">
        <v>0</v>
      </c>
      <c r="Y226" s="33">
        <v>-1.8E-3</v>
      </c>
      <c r="Z226" s="33">
        <v>-1.2E-2</v>
      </c>
      <c r="AA226" s="33">
        <v>0</v>
      </c>
      <c r="AB226" s="33">
        <v>0</v>
      </c>
      <c r="AC226" s="33" t="s">
        <v>336</v>
      </c>
      <c r="AD226" s="158"/>
    </row>
    <row r="227" spans="1:30" customFormat="1" hidden="1" x14ac:dyDescent="0.2">
      <c r="A227" s="153">
        <f t="shared" si="3"/>
        <v>203</v>
      </c>
      <c r="B227" s="33">
        <v>1</v>
      </c>
      <c r="C227" s="33">
        <v>6</v>
      </c>
      <c r="D227" s="33">
        <v>19</v>
      </c>
      <c r="E227" s="104">
        <v>2020</v>
      </c>
      <c r="F227" s="33">
        <v>2050</v>
      </c>
      <c r="G227" s="33">
        <v>2</v>
      </c>
      <c r="H227" s="33">
        <v>19</v>
      </c>
      <c r="I227" s="33">
        <v>0</v>
      </c>
      <c r="J227" s="33">
        <v>0</v>
      </c>
      <c r="K227" s="33">
        <v>0</v>
      </c>
      <c r="L227" s="101">
        <v>0.92</v>
      </c>
      <c r="M227" s="108">
        <v>2760</v>
      </c>
      <c r="N227" s="108">
        <v>1340</v>
      </c>
      <c r="O227" s="142">
        <v>0</v>
      </c>
      <c r="P227" s="142">
        <v>0</v>
      </c>
      <c r="Q227" s="149">
        <v>0</v>
      </c>
      <c r="R227" s="149">
        <v>0</v>
      </c>
      <c r="S227" s="116">
        <v>0</v>
      </c>
      <c r="T227" s="116">
        <v>0</v>
      </c>
      <c r="U227" s="33" t="s">
        <v>226</v>
      </c>
      <c r="V227" s="33">
        <v>2015</v>
      </c>
      <c r="W227" s="33">
        <v>1</v>
      </c>
      <c r="X227" s="33">
        <v>0</v>
      </c>
      <c r="Y227" s="33">
        <v>-1.8E-3</v>
      </c>
      <c r="Z227" s="33">
        <v>-1.2E-2</v>
      </c>
      <c r="AA227" s="33">
        <v>0</v>
      </c>
      <c r="AB227" s="33">
        <v>0</v>
      </c>
      <c r="AC227" s="33" t="s">
        <v>336</v>
      </c>
      <c r="AD227" s="158"/>
    </row>
    <row r="228" spans="1:30" customFormat="1" x14ac:dyDescent="0.2">
      <c r="A228" s="153">
        <f t="shared" si="3"/>
        <v>204</v>
      </c>
      <c r="B228" s="33">
        <v>1</v>
      </c>
      <c r="C228" s="33">
        <v>6</v>
      </c>
      <c r="D228" s="33">
        <v>19</v>
      </c>
      <c r="E228" s="104">
        <v>2020</v>
      </c>
      <c r="F228" s="33">
        <v>2050</v>
      </c>
      <c r="G228" s="33">
        <v>3</v>
      </c>
      <c r="H228" s="33">
        <v>19</v>
      </c>
      <c r="I228" s="33">
        <v>0</v>
      </c>
      <c r="J228" s="33">
        <v>0</v>
      </c>
      <c r="K228" s="33">
        <v>0</v>
      </c>
      <c r="L228" s="101">
        <v>0.92</v>
      </c>
      <c r="M228" s="108">
        <v>2760</v>
      </c>
      <c r="N228" s="108">
        <v>1340</v>
      </c>
      <c r="O228" s="142">
        <v>0</v>
      </c>
      <c r="P228" s="142">
        <v>0</v>
      </c>
      <c r="Q228" s="149">
        <v>0</v>
      </c>
      <c r="R228" s="149">
        <v>0</v>
      </c>
      <c r="S228" s="116">
        <v>0</v>
      </c>
      <c r="T228" s="116">
        <v>0</v>
      </c>
      <c r="U228" s="33" t="s">
        <v>226</v>
      </c>
      <c r="V228" s="33">
        <v>2015</v>
      </c>
      <c r="W228" s="33">
        <v>1</v>
      </c>
      <c r="X228" s="33">
        <v>0</v>
      </c>
      <c r="Y228" s="33">
        <v>-1.8E-3</v>
      </c>
      <c r="Z228" s="33">
        <v>-1.2E-2</v>
      </c>
      <c r="AA228" s="33">
        <v>0</v>
      </c>
      <c r="AB228" s="33">
        <v>0</v>
      </c>
      <c r="AC228" s="33" t="s">
        <v>336</v>
      </c>
      <c r="AD228" s="158"/>
    </row>
    <row r="229" spans="1:30" customFormat="1" hidden="1" x14ac:dyDescent="0.2">
      <c r="A229" s="153">
        <f t="shared" si="3"/>
        <v>205</v>
      </c>
      <c r="B229" s="33">
        <v>1</v>
      </c>
      <c r="C229" s="33">
        <v>6</v>
      </c>
      <c r="D229" s="33">
        <v>19</v>
      </c>
      <c r="E229" s="104">
        <v>2020</v>
      </c>
      <c r="F229" s="33">
        <v>2050</v>
      </c>
      <c r="G229" s="33">
        <v>4</v>
      </c>
      <c r="H229" s="33">
        <v>19</v>
      </c>
      <c r="I229" s="33">
        <v>0</v>
      </c>
      <c r="J229" s="33">
        <v>0</v>
      </c>
      <c r="K229" s="33">
        <v>0</v>
      </c>
      <c r="L229" s="101">
        <v>0.92</v>
      </c>
      <c r="M229" s="108">
        <v>2760</v>
      </c>
      <c r="N229" s="108">
        <v>1340</v>
      </c>
      <c r="O229" s="142">
        <v>0</v>
      </c>
      <c r="P229" s="142">
        <v>0</v>
      </c>
      <c r="Q229" s="149">
        <v>0</v>
      </c>
      <c r="R229" s="149">
        <v>0</v>
      </c>
      <c r="S229" s="116">
        <v>0</v>
      </c>
      <c r="T229" s="116">
        <v>0</v>
      </c>
      <c r="U229" s="33" t="s">
        <v>226</v>
      </c>
      <c r="V229" s="33">
        <v>2015</v>
      </c>
      <c r="W229" s="33">
        <v>1</v>
      </c>
      <c r="X229" s="33">
        <v>0</v>
      </c>
      <c r="Y229" s="33">
        <v>-1.8E-3</v>
      </c>
      <c r="Z229" s="33">
        <v>-1.2E-2</v>
      </c>
      <c r="AA229" s="33">
        <v>0</v>
      </c>
      <c r="AB229" s="33">
        <v>0</v>
      </c>
      <c r="AC229" s="33" t="s">
        <v>336</v>
      </c>
      <c r="AD229" s="158"/>
    </row>
    <row r="230" spans="1:30" customFormat="1" hidden="1" x14ac:dyDescent="0.2">
      <c r="A230" s="153">
        <f t="shared" si="3"/>
        <v>206</v>
      </c>
      <c r="B230" s="33">
        <v>1</v>
      </c>
      <c r="C230" s="33">
        <v>6</v>
      </c>
      <c r="D230" s="33">
        <v>19</v>
      </c>
      <c r="E230" s="104">
        <v>2020</v>
      </c>
      <c r="F230" s="33">
        <v>2050</v>
      </c>
      <c r="G230" s="33">
        <v>5</v>
      </c>
      <c r="H230" s="33">
        <v>19</v>
      </c>
      <c r="I230" s="33">
        <v>0</v>
      </c>
      <c r="J230" s="33">
        <v>0</v>
      </c>
      <c r="K230" s="33">
        <v>0</v>
      </c>
      <c r="L230" s="101">
        <v>0.8</v>
      </c>
      <c r="M230" s="108">
        <v>2240</v>
      </c>
      <c r="N230" s="108">
        <v>1080</v>
      </c>
      <c r="O230" s="142">
        <v>0</v>
      </c>
      <c r="P230" s="142">
        <v>0</v>
      </c>
      <c r="Q230" s="149">
        <v>0</v>
      </c>
      <c r="R230" s="149">
        <v>0</v>
      </c>
      <c r="S230" s="116">
        <v>0</v>
      </c>
      <c r="T230" s="116">
        <v>0</v>
      </c>
      <c r="U230" s="33" t="s">
        <v>226</v>
      </c>
      <c r="V230" s="33">
        <v>2015</v>
      </c>
      <c r="W230" s="33">
        <v>1</v>
      </c>
      <c r="X230" s="33">
        <v>0</v>
      </c>
      <c r="Y230" s="33">
        <v>-1.8E-3</v>
      </c>
      <c r="Z230" s="33">
        <v>-1.2E-2</v>
      </c>
      <c r="AA230" s="33">
        <v>0</v>
      </c>
      <c r="AB230" s="33">
        <v>0</v>
      </c>
      <c r="AC230" s="33" t="s">
        <v>336</v>
      </c>
      <c r="AD230" s="158"/>
    </row>
    <row r="231" spans="1:30" customFormat="1" hidden="1" x14ac:dyDescent="0.2">
      <c r="A231" s="153">
        <f t="shared" si="3"/>
        <v>207</v>
      </c>
      <c r="B231" s="33">
        <v>1</v>
      </c>
      <c r="C231" s="33">
        <v>6</v>
      </c>
      <c r="D231" s="33">
        <v>19</v>
      </c>
      <c r="E231" s="104">
        <v>2020</v>
      </c>
      <c r="F231" s="33">
        <v>2050</v>
      </c>
      <c r="G231" s="33">
        <v>6</v>
      </c>
      <c r="H231" s="33">
        <v>19</v>
      </c>
      <c r="I231" s="33">
        <v>0</v>
      </c>
      <c r="J231" s="33">
        <v>0</v>
      </c>
      <c r="K231" s="33">
        <v>0</v>
      </c>
      <c r="L231" s="101">
        <v>0.8</v>
      </c>
      <c r="M231" s="108">
        <v>2240</v>
      </c>
      <c r="N231" s="108">
        <v>1080</v>
      </c>
      <c r="O231" s="142">
        <v>0</v>
      </c>
      <c r="P231" s="142">
        <v>0</v>
      </c>
      <c r="Q231" s="149">
        <v>0</v>
      </c>
      <c r="R231" s="149">
        <v>0</v>
      </c>
      <c r="S231" s="116">
        <v>0</v>
      </c>
      <c r="T231" s="116">
        <v>0</v>
      </c>
      <c r="U231" s="33" t="s">
        <v>226</v>
      </c>
      <c r="V231" s="33">
        <v>2015</v>
      </c>
      <c r="W231" s="33">
        <v>1</v>
      </c>
      <c r="X231" s="33">
        <v>0</v>
      </c>
      <c r="Y231" s="33">
        <v>-1.8E-3</v>
      </c>
      <c r="Z231" s="33">
        <v>-1.2E-2</v>
      </c>
      <c r="AA231" s="33">
        <v>0</v>
      </c>
      <c r="AB231" s="33">
        <v>0</v>
      </c>
      <c r="AC231" s="33" t="s">
        <v>336</v>
      </c>
      <c r="AD231" s="158"/>
    </row>
    <row r="232" spans="1:30" customFormat="1" hidden="1" x14ac:dyDescent="0.2">
      <c r="A232" s="153">
        <f t="shared" si="3"/>
        <v>208</v>
      </c>
      <c r="B232" s="33">
        <v>1</v>
      </c>
      <c r="C232" s="33">
        <v>6</v>
      </c>
      <c r="D232" s="33">
        <v>19</v>
      </c>
      <c r="E232" s="104">
        <v>2020</v>
      </c>
      <c r="F232" s="33">
        <v>2050</v>
      </c>
      <c r="G232" s="33">
        <v>7</v>
      </c>
      <c r="H232" s="33">
        <v>19</v>
      </c>
      <c r="I232" s="33">
        <v>0</v>
      </c>
      <c r="J232" s="33">
        <v>0</v>
      </c>
      <c r="K232" s="33">
        <v>0</v>
      </c>
      <c r="L232" s="101">
        <v>0.8</v>
      </c>
      <c r="M232" s="108">
        <v>2240</v>
      </c>
      <c r="N232" s="108">
        <v>1080</v>
      </c>
      <c r="O232" s="142">
        <v>0</v>
      </c>
      <c r="P232" s="142">
        <v>0</v>
      </c>
      <c r="Q232" s="149">
        <v>0</v>
      </c>
      <c r="R232" s="149">
        <v>0</v>
      </c>
      <c r="S232" s="116">
        <v>0</v>
      </c>
      <c r="T232" s="116">
        <v>0</v>
      </c>
      <c r="U232" s="33" t="s">
        <v>226</v>
      </c>
      <c r="V232" s="33">
        <v>2015</v>
      </c>
      <c r="W232" s="33">
        <v>1</v>
      </c>
      <c r="X232" s="33">
        <v>0</v>
      </c>
      <c r="Y232" s="33">
        <v>-1.8E-3</v>
      </c>
      <c r="Z232" s="33">
        <v>-1.2E-2</v>
      </c>
      <c r="AA232" s="33">
        <v>0</v>
      </c>
      <c r="AB232" s="33">
        <v>0</v>
      </c>
      <c r="AC232" s="33" t="s">
        <v>336</v>
      </c>
      <c r="AD232" s="158"/>
    </row>
    <row r="233" spans="1:30" customFormat="1" hidden="1" x14ac:dyDescent="0.2">
      <c r="A233" s="153">
        <f t="shared" si="3"/>
        <v>209</v>
      </c>
      <c r="B233" s="33">
        <v>1</v>
      </c>
      <c r="C233" s="33">
        <v>6</v>
      </c>
      <c r="D233" s="33">
        <v>19</v>
      </c>
      <c r="E233" s="104">
        <v>2020</v>
      </c>
      <c r="F233" s="33">
        <v>2050</v>
      </c>
      <c r="G233" s="33">
        <v>8</v>
      </c>
      <c r="H233" s="33">
        <v>19</v>
      </c>
      <c r="I233" s="33">
        <v>0</v>
      </c>
      <c r="J233" s="33">
        <v>0</v>
      </c>
      <c r="K233" s="33">
        <v>0</v>
      </c>
      <c r="L233" s="101">
        <v>0.8</v>
      </c>
      <c r="M233" s="108">
        <v>2240</v>
      </c>
      <c r="N233" s="108">
        <v>1080</v>
      </c>
      <c r="O233" s="142">
        <v>0</v>
      </c>
      <c r="P233" s="142">
        <v>0</v>
      </c>
      <c r="Q233" s="149">
        <v>0</v>
      </c>
      <c r="R233" s="149">
        <v>0</v>
      </c>
      <c r="S233" s="116">
        <v>0</v>
      </c>
      <c r="T233" s="116">
        <v>0</v>
      </c>
      <c r="U233" s="33" t="s">
        <v>226</v>
      </c>
      <c r="V233" s="33">
        <v>2015</v>
      </c>
      <c r="W233" s="33">
        <v>1</v>
      </c>
      <c r="X233" s="33">
        <v>0</v>
      </c>
      <c r="Y233" s="33">
        <v>-1.8E-3</v>
      </c>
      <c r="Z233" s="33">
        <v>-1.2E-2</v>
      </c>
      <c r="AA233" s="33">
        <v>0</v>
      </c>
      <c r="AB233" s="33">
        <v>0</v>
      </c>
      <c r="AC233" s="33" t="s">
        <v>336</v>
      </c>
      <c r="AD233" s="158"/>
    </row>
    <row r="234" spans="1:30" customFormat="1" hidden="1" x14ac:dyDescent="0.2">
      <c r="A234" s="153">
        <f t="shared" si="3"/>
        <v>210</v>
      </c>
      <c r="B234" s="33">
        <v>1</v>
      </c>
      <c r="C234" s="33">
        <v>6</v>
      </c>
      <c r="D234" s="33">
        <v>19</v>
      </c>
      <c r="E234" s="104">
        <v>2020</v>
      </c>
      <c r="F234" s="33">
        <v>2050</v>
      </c>
      <c r="G234" s="33">
        <v>9</v>
      </c>
      <c r="H234" s="33">
        <v>19</v>
      </c>
      <c r="I234" s="33">
        <v>0</v>
      </c>
      <c r="J234" s="33">
        <v>0</v>
      </c>
      <c r="K234" s="33">
        <v>0</v>
      </c>
      <c r="L234" s="101">
        <v>0.8</v>
      </c>
      <c r="M234" s="108">
        <v>2240</v>
      </c>
      <c r="N234" s="108">
        <v>1080</v>
      </c>
      <c r="O234" s="142">
        <v>0</v>
      </c>
      <c r="P234" s="142">
        <v>0</v>
      </c>
      <c r="Q234" s="149">
        <v>0</v>
      </c>
      <c r="R234" s="149">
        <v>0</v>
      </c>
      <c r="S234" s="116">
        <v>0</v>
      </c>
      <c r="T234" s="116">
        <v>0</v>
      </c>
      <c r="U234" s="33" t="s">
        <v>226</v>
      </c>
      <c r="V234" s="33">
        <v>2015</v>
      </c>
      <c r="W234" s="33">
        <v>1</v>
      </c>
      <c r="X234" s="33">
        <v>0</v>
      </c>
      <c r="Y234" s="33">
        <v>-1.8E-3</v>
      </c>
      <c r="Z234" s="33">
        <v>-1.2E-2</v>
      </c>
      <c r="AA234" s="33">
        <v>0</v>
      </c>
      <c r="AB234" s="33">
        <v>0</v>
      </c>
      <c r="AC234" s="33" t="s">
        <v>336</v>
      </c>
      <c r="AD234" s="158"/>
    </row>
    <row r="235" spans="1:30" customFormat="1" hidden="1" x14ac:dyDescent="0.2">
      <c r="A235" s="153">
        <f t="shared" si="3"/>
        <v>211</v>
      </c>
      <c r="B235" s="33">
        <v>1</v>
      </c>
      <c r="C235" s="33">
        <v>6</v>
      </c>
      <c r="D235" s="33">
        <v>20</v>
      </c>
      <c r="E235" s="104">
        <v>2016</v>
      </c>
      <c r="F235" s="33">
        <v>2021</v>
      </c>
      <c r="G235" s="33">
        <v>1</v>
      </c>
      <c r="H235" s="33">
        <v>20</v>
      </c>
      <c r="I235" s="33">
        <v>0</v>
      </c>
      <c r="J235" s="33">
        <v>0</v>
      </c>
      <c r="K235" s="33">
        <v>0</v>
      </c>
      <c r="L235" s="101">
        <v>0.95</v>
      </c>
      <c r="M235" s="108">
        <v>2740</v>
      </c>
      <c r="N235" s="108">
        <v>1320</v>
      </c>
      <c r="O235" s="142">
        <v>150</v>
      </c>
      <c r="P235" s="142">
        <v>0</v>
      </c>
      <c r="Q235" s="142">
        <v>0</v>
      </c>
      <c r="R235" s="142">
        <v>0</v>
      </c>
      <c r="S235" s="116">
        <v>0</v>
      </c>
      <c r="T235" s="116">
        <v>0</v>
      </c>
      <c r="U235" s="33" t="s">
        <v>226</v>
      </c>
      <c r="V235" s="33">
        <v>2015</v>
      </c>
      <c r="W235" s="33">
        <v>1</v>
      </c>
      <c r="X235" s="33">
        <v>0</v>
      </c>
      <c r="Y235" s="33">
        <v>-1.8E-3</v>
      </c>
      <c r="Z235" s="33">
        <v>-1.2E-2</v>
      </c>
      <c r="AA235" s="33">
        <v>0</v>
      </c>
      <c r="AB235" s="33">
        <v>0</v>
      </c>
      <c r="AC235" s="33" t="s">
        <v>337</v>
      </c>
      <c r="AD235" s="158"/>
    </row>
    <row r="236" spans="1:30" customFormat="1" hidden="1" x14ac:dyDescent="0.2">
      <c r="A236" s="153">
        <f t="shared" si="3"/>
        <v>212</v>
      </c>
      <c r="B236" s="33">
        <v>1</v>
      </c>
      <c r="C236" s="33">
        <v>6</v>
      </c>
      <c r="D236" s="33">
        <v>20</v>
      </c>
      <c r="E236" s="104">
        <v>2016</v>
      </c>
      <c r="F236" s="33">
        <v>2021</v>
      </c>
      <c r="G236" s="33">
        <v>2</v>
      </c>
      <c r="H236" s="33">
        <v>20</v>
      </c>
      <c r="I236" s="33">
        <v>0</v>
      </c>
      <c r="J236" s="33">
        <v>0</v>
      </c>
      <c r="K236" s="33">
        <v>0</v>
      </c>
      <c r="L236" s="101">
        <v>0.95</v>
      </c>
      <c r="M236" s="108">
        <v>2740</v>
      </c>
      <c r="N236" s="108">
        <v>1320</v>
      </c>
      <c r="O236" s="142">
        <v>150</v>
      </c>
      <c r="P236" s="142">
        <v>0</v>
      </c>
      <c r="Q236" s="142">
        <v>0</v>
      </c>
      <c r="R236" s="142">
        <v>0</v>
      </c>
      <c r="S236" s="116">
        <v>0</v>
      </c>
      <c r="T236" s="116">
        <v>0</v>
      </c>
      <c r="U236" s="33" t="s">
        <v>226</v>
      </c>
      <c r="V236" s="33">
        <v>2015</v>
      </c>
      <c r="W236" s="33">
        <v>1</v>
      </c>
      <c r="X236" s="33">
        <v>0</v>
      </c>
      <c r="Y236" s="33">
        <v>-1.8E-3</v>
      </c>
      <c r="Z236" s="33">
        <v>-1.2E-2</v>
      </c>
      <c r="AA236" s="33">
        <v>0</v>
      </c>
      <c r="AB236" s="33">
        <v>0</v>
      </c>
      <c r="AC236" s="33" t="s">
        <v>337</v>
      </c>
      <c r="AD236" s="158"/>
    </row>
    <row r="237" spans="1:30" customFormat="1" x14ac:dyDescent="0.2">
      <c r="A237" s="153">
        <f t="shared" si="3"/>
        <v>213</v>
      </c>
      <c r="B237" s="33">
        <v>1</v>
      </c>
      <c r="C237" s="33">
        <v>6</v>
      </c>
      <c r="D237" s="33">
        <v>20</v>
      </c>
      <c r="E237" s="104">
        <v>2016</v>
      </c>
      <c r="F237" s="33">
        <v>2021</v>
      </c>
      <c r="G237" s="33">
        <v>3</v>
      </c>
      <c r="H237" s="33">
        <v>20</v>
      </c>
      <c r="I237" s="33">
        <v>0</v>
      </c>
      <c r="J237" s="33">
        <v>0</v>
      </c>
      <c r="K237" s="33">
        <v>0</v>
      </c>
      <c r="L237" s="101">
        <v>0.95</v>
      </c>
      <c r="M237" s="108">
        <v>2740</v>
      </c>
      <c r="N237" s="108">
        <v>1320</v>
      </c>
      <c r="O237" s="142">
        <v>150</v>
      </c>
      <c r="P237" s="142">
        <v>0</v>
      </c>
      <c r="Q237" s="142">
        <v>0</v>
      </c>
      <c r="R237" s="142">
        <v>0</v>
      </c>
      <c r="S237" s="116">
        <v>0</v>
      </c>
      <c r="T237" s="116">
        <v>0</v>
      </c>
      <c r="U237" s="33" t="s">
        <v>226</v>
      </c>
      <c r="V237" s="33">
        <v>2015</v>
      </c>
      <c r="W237" s="33">
        <v>1</v>
      </c>
      <c r="X237" s="33">
        <v>0</v>
      </c>
      <c r="Y237" s="33">
        <v>-1.8E-3</v>
      </c>
      <c r="Z237" s="33">
        <v>-1.2E-2</v>
      </c>
      <c r="AA237" s="33">
        <v>0</v>
      </c>
      <c r="AB237" s="33">
        <v>0</v>
      </c>
      <c r="AC237" s="33" t="s">
        <v>337</v>
      </c>
      <c r="AD237" s="158"/>
    </row>
    <row r="238" spans="1:30" customFormat="1" hidden="1" x14ac:dyDescent="0.2">
      <c r="A238" s="153">
        <f t="shared" si="3"/>
        <v>214</v>
      </c>
      <c r="B238" s="33">
        <v>1</v>
      </c>
      <c r="C238" s="33">
        <v>6</v>
      </c>
      <c r="D238" s="33">
        <v>20</v>
      </c>
      <c r="E238" s="104">
        <v>2016</v>
      </c>
      <c r="F238" s="33">
        <v>2021</v>
      </c>
      <c r="G238" s="33">
        <v>4</v>
      </c>
      <c r="H238" s="33">
        <v>20</v>
      </c>
      <c r="I238" s="33">
        <v>0</v>
      </c>
      <c r="J238" s="33">
        <v>0</v>
      </c>
      <c r="K238" s="33">
        <v>0</v>
      </c>
      <c r="L238" s="101">
        <v>0.95</v>
      </c>
      <c r="M238" s="108">
        <v>2740</v>
      </c>
      <c r="N238" s="108">
        <v>1320</v>
      </c>
      <c r="O238" s="142">
        <v>150</v>
      </c>
      <c r="P238" s="142">
        <v>0</v>
      </c>
      <c r="Q238" s="142">
        <v>0</v>
      </c>
      <c r="R238" s="142">
        <v>0</v>
      </c>
      <c r="S238" s="116">
        <v>0</v>
      </c>
      <c r="T238" s="116">
        <v>0</v>
      </c>
      <c r="U238" s="33" t="s">
        <v>226</v>
      </c>
      <c r="V238" s="33">
        <v>2015</v>
      </c>
      <c r="W238" s="33">
        <v>1</v>
      </c>
      <c r="X238" s="33">
        <v>0</v>
      </c>
      <c r="Y238" s="33">
        <v>-1.8E-3</v>
      </c>
      <c r="Z238" s="33">
        <v>-1.2E-2</v>
      </c>
      <c r="AA238" s="33">
        <v>0</v>
      </c>
      <c r="AB238" s="33">
        <v>0</v>
      </c>
      <c r="AC238" s="33" t="s">
        <v>337</v>
      </c>
      <c r="AD238" s="158"/>
    </row>
    <row r="239" spans="1:30" customFormat="1" hidden="1" x14ac:dyDescent="0.2">
      <c r="A239" s="153">
        <f t="shared" si="3"/>
        <v>215</v>
      </c>
      <c r="B239" s="33">
        <v>1</v>
      </c>
      <c r="C239" s="33">
        <v>6</v>
      </c>
      <c r="D239" s="33">
        <v>20</v>
      </c>
      <c r="E239" s="104">
        <v>2016</v>
      </c>
      <c r="F239" s="33">
        <v>2021</v>
      </c>
      <c r="G239" s="33">
        <v>5</v>
      </c>
      <c r="H239" s="33">
        <v>12</v>
      </c>
      <c r="I239" s="33">
        <v>0</v>
      </c>
      <c r="J239" s="33">
        <v>0</v>
      </c>
      <c r="K239" s="33">
        <v>0</v>
      </c>
      <c r="L239" s="101">
        <v>0.9</v>
      </c>
      <c r="M239" s="108">
        <v>2560</v>
      </c>
      <c r="N239" s="108">
        <v>1150</v>
      </c>
      <c r="O239" s="142">
        <v>0</v>
      </c>
      <c r="P239" s="142">
        <v>0</v>
      </c>
      <c r="Q239" s="142">
        <v>0</v>
      </c>
      <c r="R239" s="142">
        <v>0</v>
      </c>
      <c r="S239" s="116">
        <v>0</v>
      </c>
      <c r="T239" s="116">
        <v>0</v>
      </c>
      <c r="U239" s="33" t="s">
        <v>226</v>
      </c>
      <c r="V239" s="33">
        <v>2015</v>
      </c>
      <c r="W239" s="33">
        <v>1</v>
      </c>
      <c r="X239" s="33">
        <v>0</v>
      </c>
      <c r="Y239" s="33">
        <v>-1.8E-3</v>
      </c>
      <c r="Z239" s="33">
        <v>-1.2E-2</v>
      </c>
      <c r="AA239" s="33">
        <v>0</v>
      </c>
      <c r="AB239" s="33">
        <v>0</v>
      </c>
      <c r="AC239" s="33" t="s">
        <v>337</v>
      </c>
      <c r="AD239" s="158"/>
    </row>
    <row r="240" spans="1:30" customFormat="1" hidden="1" x14ac:dyDescent="0.2">
      <c r="A240" s="153">
        <f t="shared" si="3"/>
        <v>216</v>
      </c>
      <c r="B240" s="33">
        <v>1</v>
      </c>
      <c r="C240" s="33">
        <v>6</v>
      </c>
      <c r="D240" s="33">
        <v>20</v>
      </c>
      <c r="E240" s="104">
        <v>2016</v>
      </c>
      <c r="F240" s="33">
        <v>2021</v>
      </c>
      <c r="G240" s="33">
        <v>6</v>
      </c>
      <c r="H240" s="33">
        <v>12</v>
      </c>
      <c r="I240" s="33">
        <v>0</v>
      </c>
      <c r="J240" s="33">
        <v>0</v>
      </c>
      <c r="K240" s="33">
        <v>0</v>
      </c>
      <c r="L240" s="101">
        <v>0.9</v>
      </c>
      <c r="M240" s="108">
        <v>2560</v>
      </c>
      <c r="N240" s="108">
        <v>1150</v>
      </c>
      <c r="O240" s="142">
        <v>0</v>
      </c>
      <c r="P240" s="142">
        <v>0</v>
      </c>
      <c r="Q240" s="142">
        <v>0</v>
      </c>
      <c r="R240" s="142">
        <v>0</v>
      </c>
      <c r="S240" s="116">
        <v>0</v>
      </c>
      <c r="T240" s="116">
        <v>0</v>
      </c>
      <c r="U240" s="33" t="s">
        <v>226</v>
      </c>
      <c r="V240" s="33">
        <v>2015</v>
      </c>
      <c r="W240" s="33">
        <v>1</v>
      </c>
      <c r="X240" s="33">
        <v>0</v>
      </c>
      <c r="Y240" s="33">
        <v>-1.8E-3</v>
      </c>
      <c r="Z240" s="33">
        <v>-1.2E-2</v>
      </c>
      <c r="AA240" s="33">
        <v>0</v>
      </c>
      <c r="AB240" s="33">
        <v>0</v>
      </c>
      <c r="AC240" s="33" t="s">
        <v>337</v>
      </c>
      <c r="AD240" s="158"/>
    </row>
    <row r="241" spans="1:30" customFormat="1" hidden="1" x14ac:dyDescent="0.2">
      <c r="A241" s="153">
        <f t="shared" si="3"/>
        <v>217</v>
      </c>
      <c r="B241" s="33">
        <v>1</v>
      </c>
      <c r="C241" s="33">
        <v>6</v>
      </c>
      <c r="D241" s="33">
        <v>20</v>
      </c>
      <c r="E241" s="104">
        <v>2016</v>
      </c>
      <c r="F241" s="33">
        <v>2021</v>
      </c>
      <c r="G241" s="33">
        <v>7</v>
      </c>
      <c r="H241" s="33">
        <v>12</v>
      </c>
      <c r="I241" s="33">
        <v>0</v>
      </c>
      <c r="J241" s="33">
        <v>0</v>
      </c>
      <c r="K241" s="33">
        <v>0</v>
      </c>
      <c r="L241" s="101">
        <v>0.9</v>
      </c>
      <c r="M241" s="108">
        <v>2560</v>
      </c>
      <c r="N241" s="108">
        <v>1150</v>
      </c>
      <c r="O241" s="142">
        <v>0</v>
      </c>
      <c r="P241" s="142">
        <v>0</v>
      </c>
      <c r="Q241" s="142">
        <v>0</v>
      </c>
      <c r="R241" s="142">
        <v>0</v>
      </c>
      <c r="S241" s="116">
        <v>0</v>
      </c>
      <c r="T241" s="116">
        <v>0</v>
      </c>
      <c r="U241" s="33" t="s">
        <v>226</v>
      </c>
      <c r="V241" s="33">
        <v>2015</v>
      </c>
      <c r="W241" s="33">
        <v>1</v>
      </c>
      <c r="X241" s="33">
        <v>0</v>
      </c>
      <c r="Y241" s="33">
        <v>-1.8E-3</v>
      </c>
      <c r="Z241" s="33">
        <v>-1.2E-2</v>
      </c>
      <c r="AA241" s="33">
        <v>0</v>
      </c>
      <c r="AB241" s="33">
        <v>0</v>
      </c>
      <c r="AC241" s="33" t="s">
        <v>337</v>
      </c>
      <c r="AD241" s="158"/>
    </row>
    <row r="242" spans="1:30" customFormat="1" hidden="1" x14ac:dyDescent="0.2">
      <c r="A242" s="153">
        <f t="shared" si="3"/>
        <v>218</v>
      </c>
      <c r="B242" s="33">
        <v>1</v>
      </c>
      <c r="C242" s="33">
        <v>6</v>
      </c>
      <c r="D242" s="33">
        <v>20</v>
      </c>
      <c r="E242" s="104">
        <v>2016</v>
      </c>
      <c r="F242" s="33">
        <v>2021</v>
      </c>
      <c r="G242" s="33">
        <v>8</v>
      </c>
      <c r="H242" s="33">
        <v>12</v>
      </c>
      <c r="I242" s="33">
        <v>0</v>
      </c>
      <c r="J242" s="33">
        <v>0</v>
      </c>
      <c r="K242" s="33">
        <v>0</v>
      </c>
      <c r="L242" s="101">
        <v>0.9</v>
      </c>
      <c r="M242" s="108">
        <v>2560</v>
      </c>
      <c r="N242" s="108">
        <v>1150</v>
      </c>
      <c r="O242" s="142">
        <v>0</v>
      </c>
      <c r="P242" s="142">
        <v>0</v>
      </c>
      <c r="Q242" s="142">
        <v>0</v>
      </c>
      <c r="R242" s="142">
        <v>0</v>
      </c>
      <c r="S242" s="116">
        <v>0</v>
      </c>
      <c r="T242" s="116">
        <v>0</v>
      </c>
      <c r="U242" s="33" t="s">
        <v>226</v>
      </c>
      <c r="V242" s="33">
        <v>2015</v>
      </c>
      <c r="W242" s="33">
        <v>1</v>
      </c>
      <c r="X242" s="33">
        <v>0</v>
      </c>
      <c r="Y242" s="33">
        <v>-1.8E-3</v>
      </c>
      <c r="Z242" s="33">
        <v>-1.2E-2</v>
      </c>
      <c r="AA242" s="33">
        <v>0</v>
      </c>
      <c r="AB242" s="33">
        <v>0</v>
      </c>
      <c r="AC242" s="33" t="s">
        <v>337</v>
      </c>
      <c r="AD242" s="158"/>
    </row>
    <row r="243" spans="1:30" customFormat="1" hidden="1" x14ac:dyDescent="0.2">
      <c r="A243" s="153">
        <f t="shared" si="3"/>
        <v>219</v>
      </c>
      <c r="B243" s="33">
        <v>1</v>
      </c>
      <c r="C243" s="33">
        <v>6</v>
      </c>
      <c r="D243" s="33">
        <v>20</v>
      </c>
      <c r="E243" s="104">
        <v>2016</v>
      </c>
      <c r="F243" s="33">
        <v>2021</v>
      </c>
      <c r="G243" s="33">
        <v>9</v>
      </c>
      <c r="H243" s="33">
        <v>12</v>
      </c>
      <c r="I243" s="33">
        <v>0</v>
      </c>
      <c r="J243" s="33">
        <v>0</v>
      </c>
      <c r="K243" s="33">
        <v>0</v>
      </c>
      <c r="L243" s="101">
        <v>0.9</v>
      </c>
      <c r="M243" s="108">
        <v>2560</v>
      </c>
      <c r="N243" s="108">
        <v>1150</v>
      </c>
      <c r="O243" s="142">
        <v>0</v>
      </c>
      <c r="P243" s="142">
        <v>0</v>
      </c>
      <c r="Q243" s="142">
        <v>0</v>
      </c>
      <c r="R243" s="142">
        <v>0</v>
      </c>
      <c r="S243" s="116">
        <v>0</v>
      </c>
      <c r="T243" s="116">
        <v>0</v>
      </c>
      <c r="U243" s="33" t="s">
        <v>226</v>
      </c>
      <c r="V243" s="33">
        <v>2015</v>
      </c>
      <c r="W243" s="33">
        <v>1</v>
      </c>
      <c r="X243" s="33">
        <v>0</v>
      </c>
      <c r="Y243" s="33">
        <v>-1.8E-3</v>
      </c>
      <c r="Z243" s="33">
        <v>-1.2E-2</v>
      </c>
      <c r="AA243" s="33">
        <v>0</v>
      </c>
      <c r="AB243" s="33">
        <v>0</v>
      </c>
      <c r="AC243" s="33" t="s">
        <v>337</v>
      </c>
      <c r="AD243" s="158"/>
    </row>
    <row r="244" spans="1:30" customFormat="1" hidden="1" x14ac:dyDescent="0.2">
      <c r="A244" s="153">
        <f t="shared" si="3"/>
        <v>220</v>
      </c>
      <c r="B244" s="33">
        <v>1</v>
      </c>
      <c r="C244" s="33">
        <v>6</v>
      </c>
      <c r="D244" s="33">
        <v>20</v>
      </c>
      <c r="E244" s="104">
        <v>2022</v>
      </c>
      <c r="F244" s="159">
        <v>2032</v>
      </c>
      <c r="G244" s="33">
        <v>1</v>
      </c>
      <c r="H244" s="33">
        <v>20</v>
      </c>
      <c r="I244" s="33">
        <v>0</v>
      </c>
      <c r="J244" s="33">
        <v>0</v>
      </c>
      <c r="K244" s="33">
        <v>0</v>
      </c>
      <c r="L244" s="101">
        <v>0.95</v>
      </c>
      <c r="M244" s="108">
        <v>2740</v>
      </c>
      <c r="N244" s="108">
        <v>1320</v>
      </c>
      <c r="O244" s="160">
        <v>600</v>
      </c>
      <c r="P244" s="142">
        <v>0</v>
      </c>
      <c r="Q244" s="149">
        <v>0</v>
      </c>
      <c r="R244" s="149">
        <v>0</v>
      </c>
      <c r="S244" s="116">
        <v>0</v>
      </c>
      <c r="T244" s="116">
        <v>0</v>
      </c>
      <c r="U244" s="33" t="s">
        <v>226</v>
      </c>
      <c r="V244" s="33">
        <v>2015</v>
      </c>
      <c r="W244" s="33">
        <v>1</v>
      </c>
      <c r="X244" s="33">
        <v>0</v>
      </c>
      <c r="Y244" s="33">
        <v>-1.8E-3</v>
      </c>
      <c r="Z244" s="33">
        <v>-1.2E-2</v>
      </c>
      <c r="AA244" s="33">
        <v>0</v>
      </c>
      <c r="AB244" s="33">
        <v>0</v>
      </c>
      <c r="AC244" s="33" t="s">
        <v>337</v>
      </c>
      <c r="AD244" s="158"/>
    </row>
    <row r="245" spans="1:30" customFormat="1" hidden="1" x14ac:dyDescent="0.2">
      <c r="A245" s="153">
        <f t="shared" si="3"/>
        <v>221</v>
      </c>
      <c r="B245" s="33">
        <v>1</v>
      </c>
      <c r="C245" s="33">
        <v>6</v>
      </c>
      <c r="D245" s="33">
        <v>20</v>
      </c>
      <c r="E245" s="104">
        <v>2022</v>
      </c>
      <c r="F245" s="159">
        <v>2032</v>
      </c>
      <c r="G245" s="33">
        <v>2</v>
      </c>
      <c r="H245" s="33">
        <v>20</v>
      </c>
      <c r="I245" s="33">
        <v>0</v>
      </c>
      <c r="J245" s="33">
        <v>0</v>
      </c>
      <c r="K245" s="33">
        <v>0</v>
      </c>
      <c r="L245" s="101">
        <v>0.95</v>
      </c>
      <c r="M245" s="108">
        <v>2740</v>
      </c>
      <c r="N245" s="108">
        <v>1320</v>
      </c>
      <c r="O245" s="160">
        <v>600</v>
      </c>
      <c r="P245" s="142">
        <v>0</v>
      </c>
      <c r="Q245" s="149">
        <v>0</v>
      </c>
      <c r="R245" s="149">
        <v>0</v>
      </c>
      <c r="S245" s="116">
        <v>0</v>
      </c>
      <c r="T245" s="116">
        <v>0</v>
      </c>
      <c r="U245" s="33" t="s">
        <v>226</v>
      </c>
      <c r="V245" s="33">
        <v>2015</v>
      </c>
      <c r="W245" s="33">
        <v>1</v>
      </c>
      <c r="X245" s="33">
        <v>0</v>
      </c>
      <c r="Y245" s="33">
        <v>-1.8E-3</v>
      </c>
      <c r="Z245" s="33">
        <v>-1.2E-2</v>
      </c>
      <c r="AA245" s="33">
        <v>0</v>
      </c>
      <c r="AB245" s="33">
        <v>0</v>
      </c>
      <c r="AC245" s="33" t="s">
        <v>337</v>
      </c>
      <c r="AD245" s="158"/>
    </row>
    <row r="246" spans="1:30" customFormat="1" x14ac:dyDescent="0.2">
      <c r="A246" s="153">
        <f t="shared" si="3"/>
        <v>222</v>
      </c>
      <c r="B246" s="33">
        <v>1</v>
      </c>
      <c r="C246" s="33">
        <v>6</v>
      </c>
      <c r="D246" s="33">
        <v>20</v>
      </c>
      <c r="E246" s="104">
        <v>2022</v>
      </c>
      <c r="F246" s="159">
        <v>2032</v>
      </c>
      <c r="G246" s="33">
        <v>3</v>
      </c>
      <c r="H246" s="33">
        <v>20</v>
      </c>
      <c r="I246" s="33">
        <v>0</v>
      </c>
      <c r="J246" s="33">
        <v>0</v>
      </c>
      <c r="K246" s="33">
        <v>0</v>
      </c>
      <c r="L246" s="101">
        <v>0.95</v>
      </c>
      <c r="M246" s="108">
        <v>2740</v>
      </c>
      <c r="N246" s="108">
        <v>1320</v>
      </c>
      <c r="O246" s="160">
        <v>600</v>
      </c>
      <c r="P246" s="142">
        <v>0</v>
      </c>
      <c r="Q246" s="142">
        <v>0</v>
      </c>
      <c r="R246" s="142">
        <v>0</v>
      </c>
      <c r="S246" s="116">
        <v>0</v>
      </c>
      <c r="T246" s="116">
        <v>0</v>
      </c>
      <c r="U246" s="33" t="s">
        <v>226</v>
      </c>
      <c r="V246" s="33">
        <v>2015</v>
      </c>
      <c r="W246" s="33">
        <v>1</v>
      </c>
      <c r="X246" s="33">
        <v>0</v>
      </c>
      <c r="Y246" s="33">
        <v>-1.8E-3</v>
      </c>
      <c r="Z246" s="33">
        <v>-1.2E-2</v>
      </c>
      <c r="AA246" s="33">
        <v>0</v>
      </c>
      <c r="AB246" s="33">
        <v>0</v>
      </c>
      <c r="AC246" s="33" t="s">
        <v>337</v>
      </c>
      <c r="AD246" s="158"/>
    </row>
    <row r="247" spans="1:30" customFormat="1" hidden="1" x14ac:dyDescent="0.2">
      <c r="A247" s="153">
        <f t="shared" si="3"/>
        <v>223</v>
      </c>
      <c r="B247" s="33">
        <v>1</v>
      </c>
      <c r="C247" s="33">
        <v>6</v>
      </c>
      <c r="D247" s="33">
        <v>20</v>
      </c>
      <c r="E247" s="104">
        <v>2022</v>
      </c>
      <c r="F247" s="159">
        <v>2032</v>
      </c>
      <c r="G247" s="33">
        <v>4</v>
      </c>
      <c r="H247" s="33">
        <v>20</v>
      </c>
      <c r="I247" s="33">
        <v>0</v>
      </c>
      <c r="J247" s="33">
        <v>0</v>
      </c>
      <c r="K247" s="33">
        <v>0</v>
      </c>
      <c r="L247" s="101">
        <v>0.95</v>
      </c>
      <c r="M247" s="108">
        <v>2740</v>
      </c>
      <c r="N247" s="108">
        <v>1320</v>
      </c>
      <c r="O247" s="160">
        <v>600</v>
      </c>
      <c r="P247" s="142">
        <v>0</v>
      </c>
      <c r="Q247" s="142">
        <v>0</v>
      </c>
      <c r="R247" s="142">
        <v>0</v>
      </c>
      <c r="S247" s="116">
        <v>0</v>
      </c>
      <c r="T247" s="116">
        <v>0</v>
      </c>
      <c r="U247" s="33" t="s">
        <v>226</v>
      </c>
      <c r="V247" s="33">
        <v>2015</v>
      </c>
      <c r="W247" s="33">
        <v>1</v>
      </c>
      <c r="X247" s="33">
        <v>0</v>
      </c>
      <c r="Y247" s="33">
        <v>-1.8E-3</v>
      </c>
      <c r="Z247" s="33">
        <v>-1.2E-2</v>
      </c>
      <c r="AA247" s="33">
        <v>0</v>
      </c>
      <c r="AB247" s="33">
        <v>0</v>
      </c>
      <c r="AC247" s="33" t="s">
        <v>337</v>
      </c>
      <c r="AD247" s="158"/>
    </row>
    <row r="248" spans="1:30" customFormat="1" hidden="1" x14ac:dyDescent="0.2">
      <c r="A248" s="153">
        <f t="shared" si="3"/>
        <v>224</v>
      </c>
      <c r="B248" s="33">
        <v>1</v>
      </c>
      <c r="C248" s="33">
        <v>6</v>
      </c>
      <c r="D248" s="33">
        <v>20</v>
      </c>
      <c r="E248" s="104">
        <v>2022</v>
      </c>
      <c r="F248" s="159">
        <v>2032</v>
      </c>
      <c r="G248" s="33">
        <v>5</v>
      </c>
      <c r="H248" s="33">
        <v>20</v>
      </c>
      <c r="I248" s="33">
        <v>0</v>
      </c>
      <c r="J248" s="33">
        <v>0</v>
      </c>
      <c r="K248" s="33">
        <v>0</v>
      </c>
      <c r="L248" s="101">
        <v>0.9</v>
      </c>
      <c r="M248" s="108">
        <v>2560</v>
      </c>
      <c r="N248" s="108">
        <v>1150</v>
      </c>
      <c r="O248" s="142">
        <v>0</v>
      </c>
      <c r="P248" s="142">
        <v>0</v>
      </c>
      <c r="Q248" s="142">
        <v>0</v>
      </c>
      <c r="R248" s="142">
        <v>0</v>
      </c>
      <c r="S248" s="116">
        <v>0</v>
      </c>
      <c r="T248" s="116">
        <v>0</v>
      </c>
      <c r="U248" s="33" t="s">
        <v>226</v>
      </c>
      <c r="V248" s="33">
        <v>2015</v>
      </c>
      <c r="W248" s="33">
        <v>1</v>
      </c>
      <c r="X248" s="33">
        <v>0</v>
      </c>
      <c r="Y248" s="33">
        <v>-1.8E-3</v>
      </c>
      <c r="Z248" s="33">
        <v>-1.2E-2</v>
      </c>
      <c r="AA248" s="33">
        <v>0</v>
      </c>
      <c r="AB248" s="33">
        <v>0</v>
      </c>
      <c r="AC248" s="33" t="s">
        <v>337</v>
      </c>
      <c r="AD248" s="158"/>
    </row>
    <row r="249" spans="1:30" customFormat="1" hidden="1" x14ac:dyDescent="0.2">
      <c r="A249" s="153">
        <f t="shared" si="3"/>
        <v>225</v>
      </c>
      <c r="B249" s="33">
        <v>1</v>
      </c>
      <c r="C249" s="33">
        <v>6</v>
      </c>
      <c r="D249" s="33">
        <v>20</v>
      </c>
      <c r="E249" s="104">
        <v>2022</v>
      </c>
      <c r="F249" s="159">
        <v>2032</v>
      </c>
      <c r="G249" s="33">
        <v>6</v>
      </c>
      <c r="H249" s="33">
        <v>20</v>
      </c>
      <c r="I249" s="33">
        <v>0</v>
      </c>
      <c r="J249" s="33">
        <v>0</v>
      </c>
      <c r="K249" s="33">
        <v>0</v>
      </c>
      <c r="L249" s="101">
        <v>0.9</v>
      </c>
      <c r="M249" s="108">
        <v>2560</v>
      </c>
      <c r="N249" s="108">
        <v>1150</v>
      </c>
      <c r="O249" s="142">
        <v>0</v>
      </c>
      <c r="P249" s="142">
        <v>0</v>
      </c>
      <c r="Q249" s="142">
        <v>0</v>
      </c>
      <c r="R249" s="142">
        <v>0</v>
      </c>
      <c r="S249" s="116">
        <v>0</v>
      </c>
      <c r="T249" s="116">
        <v>0</v>
      </c>
      <c r="U249" s="33" t="s">
        <v>226</v>
      </c>
      <c r="V249" s="33">
        <v>2015</v>
      </c>
      <c r="W249" s="33">
        <v>1</v>
      </c>
      <c r="X249" s="33">
        <v>0</v>
      </c>
      <c r="Y249" s="33">
        <v>-1.8E-3</v>
      </c>
      <c r="Z249" s="33">
        <v>-1.2E-2</v>
      </c>
      <c r="AA249" s="33">
        <v>0</v>
      </c>
      <c r="AB249" s="33">
        <v>0</v>
      </c>
      <c r="AC249" s="33" t="s">
        <v>337</v>
      </c>
      <c r="AD249" s="158"/>
    </row>
    <row r="250" spans="1:30" customFormat="1" hidden="1" x14ac:dyDescent="0.2">
      <c r="A250" s="153">
        <f t="shared" si="3"/>
        <v>226</v>
      </c>
      <c r="B250" s="33">
        <v>1</v>
      </c>
      <c r="C250" s="33">
        <v>6</v>
      </c>
      <c r="D250" s="33">
        <v>20</v>
      </c>
      <c r="E250" s="104">
        <v>2022</v>
      </c>
      <c r="F250" s="159">
        <v>2032</v>
      </c>
      <c r="G250" s="33">
        <v>7</v>
      </c>
      <c r="H250" s="33">
        <v>20</v>
      </c>
      <c r="I250" s="33">
        <v>0</v>
      </c>
      <c r="J250" s="33">
        <v>0</v>
      </c>
      <c r="K250" s="33">
        <v>0</v>
      </c>
      <c r="L250" s="101">
        <v>0.9</v>
      </c>
      <c r="M250" s="108">
        <v>2560</v>
      </c>
      <c r="N250" s="108">
        <v>1150</v>
      </c>
      <c r="O250" s="142">
        <v>0</v>
      </c>
      <c r="P250" s="142">
        <v>0</v>
      </c>
      <c r="Q250" s="142">
        <v>0</v>
      </c>
      <c r="R250" s="142">
        <v>0</v>
      </c>
      <c r="S250" s="116">
        <v>0</v>
      </c>
      <c r="T250" s="116">
        <v>0</v>
      </c>
      <c r="U250" s="33" t="s">
        <v>226</v>
      </c>
      <c r="V250" s="33">
        <v>2015</v>
      </c>
      <c r="W250" s="33">
        <v>1</v>
      </c>
      <c r="X250" s="33">
        <v>0</v>
      </c>
      <c r="Y250" s="33">
        <v>-1.8E-3</v>
      </c>
      <c r="Z250" s="33">
        <v>-1.2E-2</v>
      </c>
      <c r="AA250" s="33">
        <v>0</v>
      </c>
      <c r="AB250" s="33">
        <v>0</v>
      </c>
      <c r="AC250" s="33" t="s">
        <v>337</v>
      </c>
      <c r="AD250" s="158"/>
    </row>
    <row r="251" spans="1:30" customFormat="1" hidden="1" x14ac:dyDescent="0.2">
      <c r="A251" s="153">
        <f t="shared" si="3"/>
        <v>227</v>
      </c>
      <c r="B251" s="33">
        <v>1</v>
      </c>
      <c r="C251" s="33">
        <v>6</v>
      </c>
      <c r="D251" s="33">
        <v>20</v>
      </c>
      <c r="E251" s="104">
        <v>2022</v>
      </c>
      <c r="F251" s="159">
        <v>2032</v>
      </c>
      <c r="G251" s="33">
        <v>8</v>
      </c>
      <c r="H251" s="33">
        <v>20</v>
      </c>
      <c r="I251" s="33">
        <v>0</v>
      </c>
      <c r="J251" s="33">
        <v>0</v>
      </c>
      <c r="K251" s="33">
        <v>0</v>
      </c>
      <c r="L251" s="101">
        <v>0.9</v>
      </c>
      <c r="M251" s="108">
        <v>2560</v>
      </c>
      <c r="N251" s="108">
        <v>1150</v>
      </c>
      <c r="O251" s="142">
        <v>0</v>
      </c>
      <c r="P251" s="142">
        <v>0</v>
      </c>
      <c r="Q251" s="142">
        <v>0</v>
      </c>
      <c r="R251" s="142">
        <v>0</v>
      </c>
      <c r="S251" s="116">
        <v>0</v>
      </c>
      <c r="T251" s="116">
        <v>0</v>
      </c>
      <c r="U251" s="33" t="s">
        <v>226</v>
      </c>
      <c r="V251" s="33">
        <v>2015</v>
      </c>
      <c r="W251" s="33">
        <v>1</v>
      </c>
      <c r="X251" s="33">
        <v>0</v>
      </c>
      <c r="Y251" s="33">
        <v>-1.8E-3</v>
      </c>
      <c r="Z251" s="33">
        <v>-1.2E-2</v>
      </c>
      <c r="AA251" s="33">
        <v>0</v>
      </c>
      <c r="AB251" s="33">
        <v>0</v>
      </c>
      <c r="AC251" s="33" t="s">
        <v>337</v>
      </c>
      <c r="AD251" s="158"/>
    </row>
    <row r="252" spans="1:30" customFormat="1" hidden="1" x14ac:dyDescent="0.2">
      <c r="A252" s="153">
        <f t="shared" si="3"/>
        <v>228</v>
      </c>
      <c r="B252" s="33">
        <v>1</v>
      </c>
      <c r="C252" s="33">
        <v>6</v>
      </c>
      <c r="D252" s="33">
        <v>20</v>
      </c>
      <c r="E252" s="104">
        <v>2022</v>
      </c>
      <c r="F252" s="159">
        <v>2032</v>
      </c>
      <c r="G252" s="33">
        <v>9</v>
      </c>
      <c r="H252" s="33">
        <v>20</v>
      </c>
      <c r="I252" s="33">
        <v>0</v>
      </c>
      <c r="J252" s="33">
        <v>0</v>
      </c>
      <c r="K252" s="33">
        <v>0</v>
      </c>
      <c r="L252" s="101">
        <v>0.9</v>
      </c>
      <c r="M252" s="108">
        <v>2560</v>
      </c>
      <c r="N252" s="108">
        <v>1150</v>
      </c>
      <c r="O252" s="142">
        <v>0</v>
      </c>
      <c r="P252" s="142">
        <v>0</v>
      </c>
      <c r="Q252" s="142">
        <v>0</v>
      </c>
      <c r="R252" s="142">
        <v>0</v>
      </c>
      <c r="S252" s="116">
        <v>0</v>
      </c>
      <c r="T252" s="116">
        <v>0</v>
      </c>
      <c r="U252" s="33" t="s">
        <v>226</v>
      </c>
      <c r="V252" s="33">
        <v>2015</v>
      </c>
      <c r="W252" s="33">
        <v>1</v>
      </c>
      <c r="X252" s="33">
        <v>0</v>
      </c>
      <c r="Y252" s="33">
        <v>-1.8E-3</v>
      </c>
      <c r="Z252" s="33">
        <v>-1.2E-2</v>
      </c>
      <c r="AA252" s="33">
        <v>0</v>
      </c>
      <c r="AB252" s="33">
        <v>0</v>
      </c>
      <c r="AC252" s="33" t="s">
        <v>337</v>
      </c>
      <c r="AD252" s="158"/>
    </row>
    <row r="253" spans="1:30" s="157" customFormat="1" hidden="1" x14ac:dyDescent="0.2">
      <c r="A253" s="153">
        <f t="shared" si="3"/>
        <v>229</v>
      </c>
      <c r="B253" s="49">
        <v>1</v>
      </c>
      <c r="C253" s="49">
        <v>6</v>
      </c>
      <c r="D253" s="49">
        <v>20</v>
      </c>
      <c r="E253" s="166">
        <v>2033</v>
      </c>
      <c r="F253" s="49">
        <v>2050</v>
      </c>
      <c r="G253" s="49">
        <v>1</v>
      </c>
      <c r="H253" s="49">
        <v>20</v>
      </c>
      <c r="I253" s="49">
        <v>0</v>
      </c>
      <c r="J253" s="49">
        <v>0</v>
      </c>
      <c r="K253" s="49">
        <v>0</v>
      </c>
      <c r="L253" s="167">
        <v>0.95</v>
      </c>
      <c r="M253" s="168">
        <v>2740</v>
      </c>
      <c r="N253" s="168">
        <v>1320</v>
      </c>
      <c r="O253" s="51">
        <v>0</v>
      </c>
      <c r="P253" s="51">
        <v>0</v>
      </c>
      <c r="Q253" s="175">
        <v>0</v>
      </c>
      <c r="R253" s="175">
        <v>0</v>
      </c>
      <c r="S253" s="171">
        <v>0</v>
      </c>
      <c r="T253" s="171">
        <v>0</v>
      </c>
      <c r="U253" s="49" t="s">
        <v>226</v>
      </c>
      <c r="V253" s="49">
        <v>2015</v>
      </c>
      <c r="W253" s="49">
        <v>1</v>
      </c>
      <c r="X253" s="49">
        <v>0</v>
      </c>
      <c r="Y253" s="49">
        <v>-1.8E-3</v>
      </c>
      <c r="Z253" s="49">
        <v>-1.2E-2</v>
      </c>
      <c r="AA253" s="49">
        <v>0</v>
      </c>
      <c r="AB253" s="49">
        <v>0</v>
      </c>
      <c r="AC253" s="49" t="s">
        <v>337</v>
      </c>
      <c r="AD253" s="158"/>
    </row>
    <row r="254" spans="1:30" s="157" customFormat="1" hidden="1" x14ac:dyDescent="0.2">
      <c r="A254" s="153">
        <f t="shared" si="3"/>
        <v>230</v>
      </c>
      <c r="B254" s="49">
        <v>1</v>
      </c>
      <c r="C254" s="49">
        <v>6</v>
      </c>
      <c r="D254" s="49">
        <v>20</v>
      </c>
      <c r="E254" s="166">
        <v>2033</v>
      </c>
      <c r="F254" s="49">
        <v>2050</v>
      </c>
      <c r="G254" s="49">
        <v>2</v>
      </c>
      <c r="H254" s="49">
        <v>20</v>
      </c>
      <c r="I254" s="49">
        <v>0</v>
      </c>
      <c r="J254" s="49">
        <v>0</v>
      </c>
      <c r="K254" s="49">
        <v>0</v>
      </c>
      <c r="L254" s="167">
        <v>0.95</v>
      </c>
      <c r="M254" s="168">
        <v>2740</v>
      </c>
      <c r="N254" s="168">
        <v>1320</v>
      </c>
      <c r="O254" s="51">
        <v>0</v>
      </c>
      <c r="P254" s="51">
        <v>0</v>
      </c>
      <c r="Q254" s="175">
        <v>0</v>
      </c>
      <c r="R254" s="175">
        <v>0</v>
      </c>
      <c r="S254" s="171">
        <v>0</v>
      </c>
      <c r="T254" s="171">
        <v>0</v>
      </c>
      <c r="U254" s="49" t="s">
        <v>226</v>
      </c>
      <c r="V254" s="49">
        <v>2015</v>
      </c>
      <c r="W254" s="49">
        <v>1</v>
      </c>
      <c r="X254" s="49">
        <v>0</v>
      </c>
      <c r="Y254" s="49">
        <v>-1.8E-3</v>
      </c>
      <c r="Z254" s="49">
        <v>-1.2E-2</v>
      </c>
      <c r="AA254" s="49">
        <v>0</v>
      </c>
      <c r="AB254" s="49">
        <v>0</v>
      </c>
      <c r="AC254" s="49" t="s">
        <v>337</v>
      </c>
      <c r="AD254" s="158"/>
    </row>
    <row r="255" spans="1:30" s="157" customFormat="1" x14ac:dyDescent="0.2">
      <c r="A255" s="153">
        <f t="shared" si="3"/>
        <v>231</v>
      </c>
      <c r="B255" s="49">
        <v>1</v>
      </c>
      <c r="C255" s="49">
        <v>6</v>
      </c>
      <c r="D255" s="49">
        <v>20</v>
      </c>
      <c r="E255" s="166">
        <v>2033</v>
      </c>
      <c r="F255" s="49">
        <v>2050</v>
      </c>
      <c r="G255" s="49">
        <v>3</v>
      </c>
      <c r="H255" s="49">
        <v>20</v>
      </c>
      <c r="I255" s="49">
        <v>0</v>
      </c>
      <c r="J255" s="49">
        <v>0</v>
      </c>
      <c r="K255" s="49">
        <v>0</v>
      </c>
      <c r="L255" s="167">
        <v>0.95</v>
      </c>
      <c r="M255" s="168">
        <v>2740</v>
      </c>
      <c r="N255" s="168">
        <v>1320</v>
      </c>
      <c r="O255" s="51">
        <v>0</v>
      </c>
      <c r="P255" s="51">
        <v>0</v>
      </c>
      <c r="Q255" s="51">
        <v>0</v>
      </c>
      <c r="R255" s="51">
        <v>0</v>
      </c>
      <c r="S255" s="171">
        <v>0</v>
      </c>
      <c r="T255" s="171">
        <v>0</v>
      </c>
      <c r="U255" s="49" t="s">
        <v>226</v>
      </c>
      <c r="V255" s="49">
        <v>2015</v>
      </c>
      <c r="W255" s="49">
        <v>1</v>
      </c>
      <c r="X255" s="49">
        <v>0</v>
      </c>
      <c r="Y255" s="49">
        <v>-1.8E-3</v>
      </c>
      <c r="Z255" s="49">
        <v>-1.2E-2</v>
      </c>
      <c r="AA255" s="49">
        <v>0</v>
      </c>
      <c r="AB255" s="49">
        <v>0</v>
      </c>
      <c r="AC255" s="49" t="s">
        <v>337</v>
      </c>
      <c r="AD255" s="158"/>
    </row>
    <row r="256" spans="1:30" s="157" customFormat="1" hidden="1" x14ac:dyDescent="0.2">
      <c r="A256" s="153">
        <f t="shared" si="3"/>
        <v>232</v>
      </c>
      <c r="B256" s="49">
        <v>1</v>
      </c>
      <c r="C256" s="49">
        <v>6</v>
      </c>
      <c r="D256" s="49">
        <v>20</v>
      </c>
      <c r="E256" s="166">
        <v>2033</v>
      </c>
      <c r="F256" s="49">
        <v>2050</v>
      </c>
      <c r="G256" s="49">
        <v>4</v>
      </c>
      <c r="H256" s="49">
        <v>20</v>
      </c>
      <c r="I256" s="49">
        <v>0</v>
      </c>
      <c r="J256" s="49">
        <v>0</v>
      </c>
      <c r="K256" s="49">
        <v>0</v>
      </c>
      <c r="L256" s="167">
        <v>0.95</v>
      </c>
      <c r="M256" s="168">
        <v>2740</v>
      </c>
      <c r="N256" s="168">
        <v>1320</v>
      </c>
      <c r="O256" s="51">
        <v>0</v>
      </c>
      <c r="P256" s="51">
        <v>0</v>
      </c>
      <c r="Q256" s="51">
        <v>0</v>
      </c>
      <c r="R256" s="51">
        <v>0</v>
      </c>
      <c r="S256" s="171">
        <v>0</v>
      </c>
      <c r="T256" s="171">
        <v>0</v>
      </c>
      <c r="U256" s="49" t="s">
        <v>226</v>
      </c>
      <c r="V256" s="49">
        <v>2015</v>
      </c>
      <c r="W256" s="49">
        <v>1</v>
      </c>
      <c r="X256" s="49">
        <v>0</v>
      </c>
      <c r="Y256" s="49">
        <v>-1.8E-3</v>
      </c>
      <c r="Z256" s="49">
        <v>-1.2E-2</v>
      </c>
      <c r="AA256" s="49">
        <v>0</v>
      </c>
      <c r="AB256" s="49">
        <v>0</v>
      </c>
      <c r="AC256" s="49" t="s">
        <v>337</v>
      </c>
      <c r="AD256" s="158"/>
    </row>
    <row r="257" spans="1:30" s="157" customFormat="1" hidden="1" x14ac:dyDescent="0.2">
      <c r="A257" s="153">
        <f t="shared" si="3"/>
        <v>233</v>
      </c>
      <c r="B257" s="49">
        <v>1</v>
      </c>
      <c r="C257" s="49">
        <v>6</v>
      </c>
      <c r="D257" s="49">
        <v>20</v>
      </c>
      <c r="E257" s="166">
        <v>2033</v>
      </c>
      <c r="F257" s="49">
        <v>2050</v>
      </c>
      <c r="G257" s="49">
        <v>5</v>
      </c>
      <c r="H257" s="49">
        <v>20</v>
      </c>
      <c r="I257" s="49">
        <v>0</v>
      </c>
      <c r="J257" s="49">
        <v>0</v>
      </c>
      <c r="K257" s="49">
        <v>0</v>
      </c>
      <c r="L257" s="167">
        <v>0.9</v>
      </c>
      <c r="M257" s="168">
        <v>2560</v>
      </c>
      <c r="N257" s="168">
        <v>1150</v>
      </c>
      <c r="O257" s="51">
        <v>0</v>
      </c>
      <c r="P257" s="51">
        <v>0</v>
      </c>
      <c r="Q257" s="51">
        <v>0</v>
      </c>
      <c r="R257" s="51">
        <v>0</v>
      </c>
      <c r="S257" s="171">
        <v>0</v>
      </c>
      <c r="T257" s="171">
        <v>0</v>
      </c>
      <c r="U257" s="49" t="s">
        <v>226</v>
      </c>
      <c r="V257" s="49">
        <v>2015</v>
      </c>
      <c r="W257" s="49">
        <v>1</v>
      </c>
      <c r="X257" s="49">
        <v>0</v>
      </c>
      <c r="Y257" s="49">
        <v>-1.8E-3</v>
      </c>
      <c r="Z257" s="49">
        <v>-1.2E-2</v>
      </c>
      <c r="AA257" s="49">
        <v>0</v>
      </c>
      <c r="AB257" s="49">
        <v>0</v>
      </c>
      <c r="AC257" s="49" t="s">
        <v>337</v>
      </c>
      <c r="AD257" s="158"/>
    </row>
    <row r="258" spans="1:30" s="157" customFormat="1" hidden="1" x14ac:dyDescent="0.2">
      <c r="A258" s="153">
        <f t="shared" si="3"/>
        <v>234</v>
      </c>
      <c r="B258" s="49">
        <v>1</v>
      </c>
      <c r="C258" s="49">
        <v>6</v>
      </c>
      <c r="D258" s="49">
        <v>20</v>
      </c>
      <c r="E258" s="166">
        <v>2033</v>
      </c>
      <c r="F258" s="49">
        <v>2050</v>
      </c>
      <c r="G258" s="49">
        <v>6</v>
      </c>
      <c r="H258" s="49">
        <v>20</v>
      </c>
      <c r="I258" s="49">
        <v>0</v>
      </c>
      <c r="J258" s="49">
        <v>0</v>
      </c>
      <c r="K258" s="49">
        <v>0</v>
      </c>
      <c r="L258" s="167">
        <v>0.9</v>
      </c>
      <c r="M258" s="168">
        <v>2560</v>
      </c>
      <c r="N258" s="168">
        <v>1150</v>
      </c>
      <c r="O258" s="51">
        <v>0</v>
      </c>
      <c r="P258" s="51">
        <v>0</v>
      </c>
      <c r="Q258" s="51">
        <v>0</v>
      </c>
      <c r="R258" s="51">
        <v>0</v>
      </c>
      <c r="S258" s="171">
        <v>0</v>
      </c>
      <c r="T258" s="171">
        <v>0</v>
      </c>
      <c r="U258" s="49" t="s">
        <v>226</v>
      </c>
      <c r="V258" s="49">
        <v>2015</v>
      </c>
      <c r="W258" s="49">
        <v>1</v>
      </c>
      <c r="X258" s="49">
        <v>0</v>
      </c>
      <c r="Y258" s="49">
        <v>-1.8E-3</v>
      </c>
      <c r="Z258" s="49">
        <v>-1.2E-2</v>
      </c>
      <c r="AA258" s="49">
        <v>0</v>
      </c>
      <c r="AB258" s="49">
        <v>0</v>
      </c>
      <c r="AC258" s="49" t="s">
        <v>337</v>
      </c>
      <c r="AD258" s="158"/>
    </row>
    <row r="259" spans="1:30" s="157" customFormat="1" hidden="1" x14ac:dyDescent="0.2">
      <c r="A259" s="153">
        <f t="shared" si="3"/>
        <v>235</v>
      </c>
      <c r="B259" s="49">
        <v>1</v>
      </c>
      <c r="C259" s="49">
        <v>6</v>
      </c>
      <c r="D259" s="49">
        <v>20</v>
      </c>
      <c r="E259" s="166">
        <v>2033</v>
      </c>
      <c r="F259" s="49">
        <v>2050</v>
      </c>
      <c r="G259" s="49">
        <v>7</v>
      </c>
      <c r="H259" s="49">
        <v>20</v>
      </c>
      <c r="I259" s="49">
        <v>0</v>
      </c>
      <c r="J259" s="49">
        <v>0</v>
      </c>
      <c r="K259" s="49">
        <v>0</v>
      </c>
      <c r="L259" s="167">
        <v>0.9</v>
      </c>
      <c r="M259" s="168">
        <v>2560</v>
      </c>
      <c r="N259" s="168">
        <v>1150</v>
      </c>
      <c r="O259" s="51">
        <v>0</v>
      </c>
      <c r="P259" s="51">
        <v>0</v>
      </c>
      <c r="Q259" s="51">
        <v>0</v>
      </c>
      <c r="R259" s="51">
        <v>0</v>
      </c>
      <c r="S259" s="171">
        <v>0</v>
      </c>
      <c r="T259" s="171">
        <v>0</v>
      </c>
      <c r="U259" s="49" t="s">
        <v>226</v>
      </c>
      <c r="V259" s="49">
        <v>2015</v>
      </c>
      <c r="W259" s="49">
        <v>1</v>
      </c>
      <c r="X259" s="49">
        <v>0</v>
      </c>
      <c r="Y259" s="49">
        <v>-1.8E-3</v>
      </c>
      <c r="Z259" s="49">
        <v>-1.2E-2</v>
      </c>
      <c r="AA259" s="49">
        <v>0</v>
      </c>
      <c r="AB259" s="49">
        <v>0</v>
      </c>
      <c r="AC259" s="49" t="s">
        <v>337</v>
      </c>
      <c r="AD259" s="158"/>
    </row>
    <row r="260" spans="1:30" s="157" customFormat="1" hidden="1" x14ac:dyDescent="0.2">
      <c r="A260" s="153">
        <f t="shared" si="3"/>
        <v>236</v>
      </c>
      <c r="B260" s="49">
        <v>1</v>
      </c>
      <c r="C260" s="49">
        <v>6</v>
      </c>
      <c r="D260" s="49">
        <v>20</v>
      </c>
      <c r="E260" s="166">
        <v>2033</v>
      </c>
      <c r="F260" s="49">
        <v>2050</v>
      </c>
      <c r="G260" s="49">
        <v>8</v>
      </c>
      <c r="H260" s="49">
        <v>20</v>
      </c>
      <c r="I260" s="49">
        <v>0</v>
      </c>
      <c r="J260" s="49">
        <v>0</v>
      </c>
      <c r="K260" s="49">
        <v>0</v>
      </c>
      <c r="L260" s="167">
        <v>0.9</v>
      </c>
      <c r="M260" s="168">
        <v>2560</v>
      </c>
      <c r="N260" s="168">
        <v>1150</v>
      </c>
      <c r="O260" s="51">
        <v>0</v>
      </c>
      <c r="P260" s="51">
        <v>0</v>
      </c>
      <c r="Q260" s="51">
        <v>0</v>
      </c>
      <c r="R260" s="51">
        <v>0</v>
      </c>
      <c r="S260" s="171">
        <v>0</v>
      </c>
      <c r="T260" s="171">
        <v>0</v>
      </c>
      <c r="U260" s="49" t="s">
        <v>226</v>
      </c>
      <c r="V260" s="49">
        <v>2015</v>
      </c>
      <c r="W260" s="49">
        <v>1</v>
      </c>
      <c r="X260" s="49">
        <v>0</v>
      </c>
      <c r="Y260" s="49">
        <v>-1.8E-3</v>
      </c>
      <c r="Z260" s="49">
        <v>-1.2E-2</v>
      </c>
      <c r="AA260" s="49">
        <v>0</v>
      </c>
      <c r="AB260" s="49">
        <v>0</v>
      </c>
      <c r="AC260" s="49" t="s">
        <v>337</v>
      </c>
      <c r="AD260" s="158"/>
    </row>
    <row r="261" spans="1:30" s="157" customFormat="1" hidden="1" x14ac:dyDescent="0.2">
      <c r="A261" s="153">
        <f t="shared" si="3"/>
        <v>237</v>
      </c>
      <c r="B261" s="49">
        <v>1</v>
      </c>
      <c r="C261" s="49">
        <v>6</v>
      </c>
      <c r="D261" s="49">
        <v>20</v>
      </c>
      <c r="E261" s="166">
        <v>2033</v>
      </c>
      <c r="F261" s="49">
        <v>2050</v>
      </c>
      <c r="G261" s="49">
        <v>9</v>
      </c>
      <c r="H261" s="49">
        <v>20</v>
      </c>
      <c r="I261" s="49">
        <v>0</v>
      </c>
      <c r="J261" s="49">
        <v>0</v>
      </c>
      <c r="K261" s="49">
        <v>0</v>
      </c>
      <c r="L261" s="167">
        <v>0.9</v>
      </c>
      <c r="M261" s="168">
        <v>2560</v>
      </c>
      <c r="N261" s="168">
        <v>1150</v>
      </c>
      <c r="O261" s="51">
        <v>0</v>
      </c>
      <c r="P261" s="51">
        <v>0</v>
      </c>
      <c r="Q261" s="51">
        <v>0</v>
      </c>
      <c r="R261" s="51">
        <v>0</v>
      </c>
      <c r="S261" s="171">
        <v>0</v>
      </c>
      <c r="T261" s="171">
        <v>0</v>
      </c>
      <c r="U261" s="49" t="s">
        <v>226</v>
      </c>
      <c r="V261" s="49">
        <v>2015</v>
      </c>
      <c r="W261" s="49">
        <v>1</v>
      </c>
      <c r="X261" s="49">
        <v>0</v>
      </c>
      <c r="Y261" s="49">
        <v>-1.8E-3</v>
      </c>
      <c r="Z261" s="49">
        <v>-1.2E-2</v>
      </c>
      <c r="AA261" s="49">
        <v>0</v>
      </c>
      <c r="AB261" s="49">
        <v>0</v>
      </c>
      <c r="AC261" s="49" t="s">
        <v>337</v>
      </c>
      <c r="AD261" s="158"/>
    </row>
    <row r="262" spans="1:30" customFormat="1" hidden="1" x14ac:dyDescent="0.2">
      <c r="A262" s="153">
        <f t="shared" si="3"/>
        <v>238</v>
      </c>
      <c r="B262" s="33">
        <v>1</v>
      </c>
      <c r="C262" s="33">
        <v>6</v>
      </c>
      <c r="D262" s="33">
        <v>21</v>
      </c>
      <c r="E262" s="104">
        <v>2016</v>
      </c>
      <c r="F262" s="33">
        <v>2021</v>
      </c>
      <c r="G262" s="33">
        <v>11</v>
      </c>
      <c r="H262" s="33">
        <v>21</v>
      </c>
      <c r="I262" s="33">
        <v>0</v>
      </c>
      <c r="J262" s="33">
        <v>0</v>
      </c>
      <c r="K262" s="33">
        <v>0</v>
      </c>
      <c r="L262" s="101">
        <v>0.99</v>
      </c>
      <c r="M262" s="108">
        <v>3040</v>
      </c>
      <c r="N262" s="108">
        <v>1620</v>
      </c>
      <c r="O262" s="142">
        <v>150</v>
      </c>
      <c r="P262" s="142">
        <v>0</v>
      </c>
      <c r="Q262" s="142">
        <v>0</v>
      </c>
      <c r="R262" s="142">
        <v>0</v>
      </c>
      <c r="S262" s="116">
        <v>0</v>
      </c>
      <c r="T262" s="116">
        <v>0</v>
      </c>
      <c r="U262" s="33" t="s">
        <v>226</v>
      </c>
      <c r="V262" s="33">
        <v>2015</v>
      </c>
      <c r="W262" s="33">
        <v>1</v>
      </c>
      <c r="X262" s="33">
        <v>0</v>
      </c>
      <c r="Y262" s="33">
        <v>-1.8E-3</v>
      </c>
      <c r="Z262" s="33">
        <v>-1.2E-2</v>
      </c>
      <c r="AA262" s="33">
        <v>0</v>
      </c>
      <c r="AB262" s="33">
        <v>0</v>
      </c>
      <c r="AC262" s="33" t="s">
        <v>338</v>
      </c>
      <c r="AD262" s="158"/>
    </row>
    <row r="263" spans="1:30" s="139" customFormat="1" hidden="1" x14ac:dyDescent="0.2">
      <c r="A263" s="153">
        <f t="shared" si="3"/>
        <v>239</v>
      </c>
      <c r="B263" s="33">
        <v>1</v>
      </c>
      <c r="C263" s="33">
        <v>6</v>
      </c>
      <c r="D263" s="33">
        <v>21</v>
      </c>
      <c r="E263" s="104">
        <v>2022</v>
      </c>
      <c r="F263" s="33">
        <v>2032</v>
      </c>
      <c r="G263" s="33">
        <v>11</v>
      </c>
      <c r="H263" s="33">
        <v>21</v>
      </c>
      <c r="I263" s="33">
        <v>0</v>
      </c>
      <c r="J263" s="33">
        <v>0</v>
      </c>
      <c r="K263" s="33">
        <v>0</v>
      </c>
      <c r="L263" s="101">
        <v>0.99</v>
      </c>
      <c r="M263" s="108">
        <v>3040</v>
      </c>
      <c r="N263" s="108">
        <v>1620</v>
      </c>
      <c r="O263" s="160">
        <v>600</v>
      </c>
      <c r="P263" s="142">
        <v>0</v>
      </c>
      <c r="Q263" s="142">
        <v>0</v>
      </c>
      <c r="R263" s="142">
        <v>0</v>
      </c>
      <c r="S263" s="116">
        <v>0</v>
      </c>
      <c r="T263" s="116">
        <v>0</v>
      </c>
      <c r="U263" s="33" t="s">
        <v>226</v>
      </c>
      <c r="V263" s="33">
        <v>2015</v>
      </c>
      <c r="W263" s="33">
        <v>1</v>
      </c>
      <c r="X263" s="33">
        <v>0</v>
      </c>
      <c r="Y263" s="33">
        <v>-1.8E-3</v>
      </c>
      <c r="Z263" s="33">
        <v>-1.2E-2</v>
      </c>
      <c r="AA263" s="33">
        <v>0</v>
      </c>
      <c r="AB263" s="33">
        <v>0</v>
      </c>
      <c r="AC263" s="33" t="s">
        <v>338</v>
      </c>
      <c r="AD263" s="158"/>
    </row>
    <row r="264" spans="1:30" s="157" customFormat="1" hidden="1" x14ac:dyDescent="0.2">
      <c r="A264" s="153">
        <f t="shared" si="3"/>
        <v>240</v>
      </c>
      <c r="B264" s="49">
        <v>1</v>
      </c>
      <c r="C264" s="49">
        <v>6</v>
      </c>
      <c r="D264" s="49">
        <v>21</v>
      </c>
      <c r="E264" s="166">
        <v>2033</v>
      </c>
      <c r="F264" s="49">
        <v>2050</v>
      </c>
      <c r="G264" s="49">
        <v>11</v>
      </c>
      <c r="H264" s="49">
        <v>21</v>
      </c>
      <c r="I264" s="49">
        <v>0</v>
      </c>
      <c r="J264" s="49">
        <v>0</v>
      </c>
      <c r="K264" s="49">
        <v>0</v>
      </c>
      <c r="L264" s="167">
        <v>0.99</v>
      </c>
      <c r="M264" s="168">
        <v>3040</v>
      </c>
      <c r="N264" s="168">
        <v>1620</v>
      </c>
      <c r="O264" s="51">
        <v>0</v>
      </c>
      <c r="P264" s="51">
        <v>0</v>
      </c>
      <c r="Q264" s="51">
        <v>0</v>
      </c>
      <c r="R264" s="51">
        <v>0</v>
      </c>
      <c r="S264" s="171">
        <v>0</v>
      </c>
      <c r="T264" s="171">
        <v>0</v>
      </c>
      <c r="U264" s="49" t="s">
        <v>226</v>
      </c>
      <c r="V264" s="49">
        <v>2015</v>
      </c>
      <c r="W264" s="49">
        <v>1</v>
      </c>
      <c r="X264" s="49">
        <v>0</v>
      </c>
      <c r="Y264" s="49">
        <v>-1.8E-3</v>
      </c>
      <c r="Z264" s="49">
        <v>-1.2E-2</v>
      </c>
      <c r="AA264" s="49">
        <v>0</v>
      </c>
      <c r="AB264" s="49">
        <v>0</v>
      </c>
      <c r="AC264" s="49" t="s">
        <v>338</v>
      </c>
      <c r="AD264" s="158"/>
    </row>
    <row r="265" spans="1:30" customFormat="1" hidden="1" x14ac:dyDescent="0.2">
      <c r="A265" s="153">
        <f t="shared" si="3"/>
        <v>241</v>
      </c>
      <c r="B265" s="33">
        <v>1</v>
      </c>
      <c r="C265" s="33">
        <v>7</v>
      </c>
      <c r="D265" s="33">
        <v>22</v>
      </c>
      <c r="E265" s="104">
        <v>2016</v>
      </c>
      <c r="F265" s="33">
        <v>2050</v>
      </c>
      <c r="G265" s="33">
        <v>11</v>
      </c>
      <c r="H265" s="33">
        <v>22</v>
      </c>
      <c r="I265" s="33">
        <v>0</v>
      </c>
      <c r="J265" s="33">
        <v>0</v>
      </c>
      <c r="K265" s="33">
        <v>0</v>
      </c>
      <c r="L265" s="101">
        <v>0.83</v>
      </c>
      <c r="M265" s="108">
        <v>4125</v>
      </c>
      <c r="N265" s="108">
        <v>2550</v>
      </c>
      <c r="O265" s="142">
        <v>0</v>
      </c>
      <c r="P265" s="142">
        <v>0</v>
      </c>
      <c r="Q265" s="142">
        <v>0</v>
      </c>
      <c r="R265" s="142">
        <v>0</v>
      </c>
      <c r="S265" s="116">
        <v>0</v>
      </c>
      <c r="T265" s="116">
        <v>0</v>
      </c>
      <c r="U265" s="33" t="s">
        <v>226</v>
      </c>
      <c r="V265" s="33">
        <v>2015</v>
      </c>
      <c r="W265" s="33">
        <v>1</v>
      </c>
      <c r="X265" s="33">
        <v>0</v>
      </c>
      <c r="Y265" s="33">
        <v>-1.8E-3</v>
      </c>
      <c r="Z265" s="33">
        <v>-1.2E-2</v>
      </c>
      <c r="AA265" s="33">
        <v>0</v>
      </c>
      <c r="AB265" s="33">
        <v>0</v>
      </c>
      <c r="AC265" s="33" t="s">
        <v>209</v>
      </c>
      <c r="AD265" s="158"/>
    </row>
    <row r="266" spans="1:30" customFormat="1" hidden="1" x14ac:dyDescent="0.2">
      <c r="A266" s="153">
        <f t="shared" si="3"/>
        <v>242</v>
      </c>
      <c r="B266" s="33">
        <v>1</v>
      </c>
      <c r="C266" s="33">
        <v>7</v>
      </c>
      <c r="D266" s="33">
        <v>23</v>
      </c>
      <c r="E266" s="104">
        <v>2016</v>
      </c>
      <c r="F266" s="33">
        <v>2021</v>
      </c>
      <c r="G266" s="33">
        <v>11</v>
      </c>
      <c r="H266" s="33">
        <v>23</v>
      </c>
      <c r="I266" s="33">
        <v>0</v>
      </c>
      <c r="J266" s="33">
        <v>0</v>
      </c>
      <c r="K266" s="33">
        <v>0</v>
      </c>
      <c r="L266" s="101">
        <v>0.83</v>
      </c>
      <c r="M266" s="108">
        <v>4125</v>
      </c>
      <c r="N266" s="108">
        <v>2550</v>
      </c>
      <c r="O266" s="142">
        <v>0</v>
      </c>
      <c r="P266" s="142">
        <v>0</v>
      </c>
      <c r="Q266" s="142">
        <v>0</v>
      </c>
      <c r="R266" s="142">
        <v>0</v>
      </c>
      <c r="S266" s="116">
        <v>0</v>
      </c>
      <c r="T266" s="116">
        <v>0</v>
      </c>
      <c r="U266" s="33" t="s">
        <v>226</v>
      </c>
      <c r="V266" s="33">
        <v>2015</v>
      </c>
      <c r="W266" s="33">
        <v>1</v>
      </c>
      <c r="X266" s="33">
        <v>0</v>
      </c>
      <c r="Y266" s="33">
        <v>-1.8E-3</v>
      </c>
      <c r="Z266" s="33">
        <v>-1.2E-2</v>
      </c>
      <c r="AA266" s="33">
        <v>0</v>
      </c>
      <c r="AB266" s="33">
        <v>0</v>
      </c>
      <c r="AC266" s="33" t="s">
        <v>210</v>
      </c>
      <c r="AD266" s="158"/>
    </row>
    <row r="267" spans="1:30" customFormat="1" hidden="1" x14ac:dyDescent="0.2">
      <c r="A267" s="153">
        <f t="shared" si="3"/>
        <v>243</v>
      </c>
      <c r="B267" s="33">
        <v>1</v>
      </c>
      <c r="C267" s="33">
        <v>7</v>
      </c>
      <c r="D267" s="33">
        <v>23</v>
      </c>
      <c r="E267" s="104">
        <v>2022</v>
      </c>
      <c r="F267" s="33">
        <v>2050</v>
      </c>
      <c r="G267" s="33">
        <v>11</v>
      </c>
      <c r="H267" s="33">
        <v>23</v>
      </c>
      <c r="I267" s="33">
        <v>0</v>
      </c>
      <c r="J267" s="33">
        <v>0</v>
      </c>
      <c r="K267" s="33">
        <v>0</v>
      </c>
      <c r="L267" s="101">
        <v>0.84</v>
      </c>
      <c r="M267" s="108">
        <v>4225</v>
      </c>
      <c r="N267" s="108">
        <v>2600</v>
      </c>
      <c r="O267" s="142">
        <v>0</v>
      </c>
      <c r="P267" s="142">
        <v>0</v>
      </c>
      <c r="Q267" s="149">
        <v>0</v>
      </c>
      <c r="R267" s="149">
        <v>0</v>
      </c>
      <c r="S267" s="116">
        <v>0</v>
      </c>
      <c r="T267" s="116">
        <v>0</v>
      </c>
      <c r="U267" s="33" t="s">
        <v>226</v>
      </c>
      <c r="V267" s="33">
        <v>2015</v>
      </c>
      <c r="W267" s="33">
        <v>1</v>
      </c>
      <c r="X267" s="33">
        <v>0</v>
      </c>
      <c r="Y267" s="33">
        <v>-1.8E-3</v>
      </c>
      <c r="Z267" s="33">
        <v>-1.2E-2</v>
      </c>
      <c r="AA267" s="33">
        <v>0</v>
      </c>
      <c r="AB267" s="33">
        <v>0</v>
      </c>
      <c r="AC267" s="33" t="s">
        <v>210</v>
      </c>
      <c r="AD267" s="158"/>
    </row>
    <row r="268" spans="1:30" customFormat="1" hidden="1" x14ac:dyDescent="0.2">
      <c r="A268" s="153">
        <f t="shared" si="3"/>
        <v>244</v>
      </c>
      <c r="B268" s="33">
        <v>1</v>
      </c>
      <c r="C268" s="33">
        <v>7</v>
      </c>
      <c r="D268" s="33">
        <v>24</v>
      </c>
      <c r="E268" s="104">
        <v>2016</v>
      </c>
      <c r="F268" s="159">
        <v>2022</v>
      </c>
      <c r="G268" s="33">
        <v>1</v>
      </c>
      <c r="H268" s="33">
        <v>24</v>
      </c>
      <c r="I268" s="33">
        <v>0</v>
      </c>
      <c r="J268" s="33">
        <v>0</v>
      </c>
      <c r="K268" s="33">
        <v>0</v>
      </c>
      <c r="L268" s="101">
        <v>0.85</v>
      </c>
      <c r="M268" s="108">
        <v>4350</v>
      </c>
      <c r="N268" s="108">
        <v>2600</v>
      </c>
      <c r="O268" s="160">
        <v>150</v>
      </c>
      <c r="P268" s="142">
        <v>0</v>
      </c>
      <c r="Q268" s="142">
        <v>0</v>
      </c>
      <c r="R268" s="142">
        <v>0</v>
      </c>
      <c r="S268" s="116">
        <v>0</v>
      </c>
      <c r="T268" s="116">
        <v>0</v>
      </c>
      <c r="U268" s="33" t="s">
        <v>226</v>
      </c>
      <c r="V268" s="33">
        <v>2015</v>
      </c>
      <c r="W268" s="33">
        <v>1</v>
      </c>
      <c r="X268" s="33">
        <v>0</v>
      </c>
      <c r="Y268" s="33">
        <v>-1.8E-3</v>
      </c>
      <c r="Z268" s="33">
        <v>-1.2E-2</v>
      </c>
      <c r="AA268" s="33">
        <v>0</v>
      </c>
      <c r="AB268" s="33">
        <v>0</v>
      </c>
      <c r="AC268" s="33" t="s">
        <v>211</v>
      </c>
      <c r="AD268" s="158"/>
    </row>
    <row r="269" spans="1:30" customFormat="1" hidden="1" x14ac:dyDescent="0.2">
      <c r="A269" s="153">
        <f t="shared" si="3"/>
        <v>245</v>
      </c>
      <c r="B269" s="33">
        <v>1</v>
      </c>
      <c r="C269" s="33">
        <v>7</v>
      </c>
      <c r="D269" s="33">
        <v>24</v>
      </c>
      <c r="E269" s="104">
        <v>2016</v>
      </c>
      <c r="F269" s="159">
        <v>2022</v>
      </c>
      <c r="G269" s="33">
        <v>2</v>
      </c>
      <c r="H269" s="33">
        <v>24</v>
      </c>
      <c r="I269" s="33">
        <v>0</v>
      </c>
      <c r="J269" s="33">
        <v>0</v>
      </c>
      <c r="K269" s="33">
        <v>0</v>
      </c>
      <c r="L269" s="101">
        <v>0.85</v>
      </c>
      <c r="M269" s="108">
        <v>4350</v>
      </c>
      <c r="N269" s="108">
        <v>2600</v>
      </c>
      <c r="O269" s="160">
        <v>150</v>
      </c>
      <c r="P269" s="142">
        <v>0</v>
      </c>
      <c r="Q269" s="142">
        <v>0</v>
      </c>
      <c r="R269" s="142">
        <v>0</v>
      </c>
      <c r="S269" s="116">
        <v>0</v>
      </c>
      <c r="T269" s="116">
        <v>0</v>
      </c>
      <c r="U269" s="33" t="s">
        <v>226</v>
      </c>
      <c r="V269" s="33">
        <v>2015</v>
      </c>
      <c r="W269" s="33">
        <v>1</v>
      </c>
      <c r="X269" s="33">
        <v>0</v>
      </c>
      <c r="Y269" s="33">
        <v>-1.8E-3</v>
      </c>
      <c r="Z269" s="33">
        <v>-1.2E-2</v>
      </c>
      <c r="AA269" s="33">
        <v>0</v>
      </c>
      <c r="AB269" s="33">
        <v>0</v>
      </c>
      <c r="AC269" s="33" t="s">
        <v>211</v>
      </c>
      <c r="AD269" s="158"/>
    </row>
    <row r="270" spans="1:30" customFormat="1" x14ac:dyDescent="0.2">
      <c r="A270" s="153">
        <f t="shared" si="3"/>
        <v>246</v>
      </c>
      <c r="B270" s="33">
        <v>1</v>
      </c>
      <c r="C270" s="33">
        <v>7</v>
      </c>
      <c r="D270" s="33">
        <v>24</v>
      </c>
      <c r="E270" s="104">
        <v>2016</v>
      </c>
      <c r="F270" s="159">
        <v>2022</v>
      </c>
      <c r="G270" s="33">
        <v>3</v>
      </c>
      <c r="H270" s="33">
        <v>24</v>
      </c>
      <c r="I270" s="33">
        <v>0</v>
      </c>
      <c r="J270" s="33">
        <v>0</v>
      </c>
      <c r="K270" s="33">
        <v>0</v>
      </c>
      <c r="L270" s="101">
        <v>0.85</v>
      </c>
      <c r="M270" s="108">
        <v>4350</v>
      </c>
      <c r="N270" s="108">
        <v>2600</v>
      </c>
      <c r="O270" s="160">
        <v>150</v>
      </c>
      <c r="P270" s="142">
        <v>0</v>
      </c>
      <c r="Q270" s="142">
        <v>0</v>
      </c>
      <c r="R270" s="142">
        <v>0</v>
      </c>
      <c r="S270" s="116">
        <v>0</v>
      </c>
      <c r="T270" s="116">
        <v>0</v>
      </c>
      <c r="U270" s="33" t="s">
        <v>226</v>
      </c>
      <c r="V270" s="33">
        <v>2015</v>
      </c>
      <c r="W270" s="33">
        <v>1</v>
      </c>
      <c r="X270" s="33">
        <v>0</v>
      </c>
      <c r="Y270" s="33">
        <v>-1.8E-3</v>
      </c>
      <c r="Z270" s="33">
        <v>-1.2E-2</v>
      </c>
      <c r="AA270" s="33">
        <v>0</v>
      </c>
      <c r="AB270" s="33">
        <v>0</v>
      </c>
      <c r="AC270" s="33" t="s">
        <v>211</v>
      </c>
      <c r="AD270" s="158"/>
    </row>
    <row r="271" spans="1:30" customFormat="1" hidden="1" x14ac:dyDescent="0.2">
      <c r="A271" s="153">
        <f t="shared" si="3"/>
        <v>247</v>
      </c>
      <c r="B271" s="33">
        <v>1</v>
      </c>
      <c r="C271" s="33">
        <v>7</v>
      </c>
      <c r="D271" s="33">
        <v>24</v>
      </c>
      <c r="E271" s="104">
        <v>2016</v>
      </c>
      <c r="F271" s="159">
        <v>2022</v>
      </c>
      <c r="G271" s="33">
        <v>4</v>
      </c>
      <c r="H271" s="33">
        <v>24</v>
      </c>
      <c r="I271" s="33">
        <v>0</v>
      </c>
      <c r="J271" s="33">
        <v>0</v>
      </c>
      <c r="K271" s="33">
        <v>0</v>
      </c>
      <c r="L271" s="101">
        <v>0.85</v>
      </c>
      <c r="M271" s="108">
        <v>4350</v>
      </c>
      <c r="N271" s="108">
        <v>2600</v>
      </c>
      <c r="O271" s="160">
        <v>150</v>
      </c>
      <c r="P271" s="142">
        <v>0</v>
      </c>
      <c r="Q271" s="142">
        <v>0</v>
      </c>
      <c r="R271" s="142">
        <v>0</v>
      </c>
      <c r="S271" s="116">
        <v>0</v>
      </c>
      <c r="T271" s="116">
        <v>0</v>
      </c>
      <c r="U271" s="33" t="s">
        <v>226</v>
      </c>
      <c r="V271" s="33">
        <v>2015</v>
      </c>
      <c r="W271" s="33">
        <v>1</v>
      </c>
      <c r="X271" s="33">
        <v>0</v>
      </c>
      <c r="Y271" s="33">
        <v>-1.8E-3</v>
      </c>
      <c r="Z271" s="33">
        <v>-1.2E-2</v>
      </c>
      <c r="AA271" s="33">
        <v>0</v>
      </c>
      <c r="AB271" s="33">
        <v>0</v>
      </c>
      <c r="AC271" s="33" t="s">
        <v>211</v>
      </c>
      <c r="AD271" s="158"/>
    </row>
    <row r="272" spans="1:30" customFormat="1" hidden="1" x14ac:dyDescent="0.2">
      <c r="A272" s="153">
        <f t="shared" si="3"/>
        <v>248</v>
      </c>
      <c r="B272" s="33">
        <v>1</v>
      </c>
      <c r="C272" s="33">
        <v>7</v>
      </c>
      <c r="D272" s="33">
        <v>24</v>
      </c>
      <c r="E272" s="104">
        <v>2016</v>
      </c>
      <c r="F272" s="159">
        <v>2022</v>
      </c>
      <c r="G272" s="33">
        <v>5</v>
      </c>
      <c r="H272" s="33">
        <v>24</v>
      </c>
      <c r="I272" s="33">
        <v>0</v>
      </c>
      <c r="J272" s="33">
        <v>0</v>
      </c>
      <c r="K272" s="33">
        <v>0</v>
      </c>
      <c r="L272" s="101">
        <v>0.85</v>
      </c>
      <c r="M272" s="108">
        <v>4350</v>
      </c>
      <c r="N272" s="108">
        <v>2600</v>
      </c>
      <c r="O272" s="160">
        <v>150</v>
      </c>
      <c r="P272" s="142">
        <v>0</v>
      </c>
      <c r="Q272" s="142">
        <v>0</v>
      </c>
      <c r="R272" s="142">
        <v>0</v>
      </c>
      <c r="S272" s="116">
        <v>0</v>
      </c>
      <c r="T272" s="116">
        <v>0</v>
      </c>
      <c r="U272" s="33" t="s">
        <v>226</v>
      </c>
      <c r="V272" s="33">
        <v>2015</v>
      </c>
      <c r="W272" s="33">
        <v>1</v>
      </c>
      <c r="X272" s="33">
        <v>0</v>
      </c>
      <c r="Y272" s="33">
        <v>-1.8E-3</v>
      </c>
      <c r="Z272" s="33">
        <v>-1.2E-2</v>
      </c>
      <c r="AA272" s="33">
        <v>0</v>
      </c>
      <c r="AB272" s="33">
        <v>0</v>
      </c>
      <c r="AC272" s="33" t="s">
        <v>211</v>
      </c>
      <c r="AD272" s="158"/>
    </row>
    <row r="273" spans="1:30" customFormat="1" hidden="1" x14ac:dyDescent="0.2">
      <c r="A273" s="153">
        <f t="shared" si="3"/>
        <v>249</v>
      </c>
      <c r="B273" s="33">
        <v>1</v>
      </c>
      <c r="C273" s="33">
        <v>7</v>
      </c>
      <c r="D273" s="33">
        <v>24</v>
      </c>
      <c r="E273" s="104">
        <v>2016</v>
      </c>
      <c r="F273" s="159">
        <v>2022</v>
      </c>
      <c r="G273" s="33">
        <v>6</v>
      </c>
      <c r="H273" s="33">
        <v>24</v>
      </c>
      <c r="I273" s="33">
        <v>0</v>
      </c>
      <c r="J273" s="33">
        <v>0</v>
      </c>
      <c r="K273" s="33">
        <v>0</v>
      </c>
      <c r="L273" s="101">
        <v>0.85</v>
      </c>
      <c r="M273" s="108">
        <v>4350</v>
      </c>
      <c r="N273" s="108">
        <v>2600</v>
      </c>
      <c r="O273" s="160">
        <v>150</v>
      </c>
      <c r="P273" s="142">
        <v>0</v>
      </c>
      <c r="Q273" s="142">
        <v>0</v>
      </c>
      <c r="R273" s="142">
        <v>0</v>
      </c>
      <c r="S273" s="116">
        <v>0</v>
      </c>
      <c r="T273" s="116">
        <v>0</v>
      </c>
      <c r="U273" s="33" t="s">
        <v>226</v>
      </c>
      <c r="V273" s="33">
        <v>2015</v>
      </c>
      <c r="W273" s="33">
        <v>1</v>
      </c>
      <c r="X273" s="33">
        <v>0</v>
      </c>
      <c r="Y273" s="33">
        <v>-1.8E-3</v>
      </c>
      <c r="Z273" s="33">
        <v>-1.2E-2</v>
      </c>
      <c r="AA273" s="33">
        <v>0</v>
      </c>
      <c r="AB273" s="33">
        <v>0</v>
      </c>
      <c r="AC273" s="33" t="s">
        <v>211</v>
      </c>
      <c r="AD273" s="158"/>
    </row>
    <row r="274" spans="1:30" customFormat="1" hidden="1" x14ac:dyDescent="0.2">
      <c r="A274" s="153">
        <f t="shared" si="3"/>
        <v>250</v>
      </c>
      <c r="B274" s="33">
        <v>1</v>
      </c>
      <c r="C274" s="33">
        <v>7</v>
      </c>
      <c r="D274" s="33">
        <v>24</v>
      </c>
      <c r="E274" s="104">
        <v>2016</v>
      </c>
      <c r="F274" s="159">
        <v>2022</v>
      </c>
      <c r="G274" s="33">
        <v>7</v>
      </c>
      <c r="H274" s="33">
        <v>24</v>
      </c>
      <c r="I274" s="33">
        <v>0</v>
      </c>
      <c r="J274" s="33">
        <v>0</v>
      </c>
      <c r="K274" s="33">
        <v>0</v>
      </c>
      <c r="L274" s="101">
        <v>0.85</v>
      </c>
      <c r="M274" s="108">
        <v>4350</v>
      </c>
      <c r="N274" s="108">
        <v>2600</v>
      </c>
      <c r="O274" s="160">
        <v>150</v>
      </c>
      <c r="P274" s="142">
        <v>0</v>
      </c>
      <c r="Q274" s="142">
        <v>0</v>
      </c>
      <c r="R274" s="142">
        <v>0</v>
      </c>
      <c r="S274" s="116">
        <v>0</v>
      </c>
      <c r="T274" s="116">
        <v>0</v>
      </c>
      <c r="U274" s="33" t="s">
        <v>226</v>
      </c>
      <c r="V274" s="33">
        <v>2015</v>
      </c>
      <c r="W274" s="33">
        <v>1</v>
      </c>
      <c r="X274" s="33">
        <v>0</v>
      </c>
      <c r="Y274" s="33">
        <v>-1.8E-3</v>
      </c>
      <c r="Z274" s="33">
        <v>-1.2E-2</v>
      </c>
      <c r="AA274" s="33">
        <v>0</v>
      </c>
      <c r="AB274" s="33">
        <v>0</v>
      </c>
      <c r="AC274" s="33" t="s">
        <v>211</v>
      </c>
      <c r="AD274" s="158"/>
    </row>
    <row r="275" spans="1:30" customFormat="1" hidden="1" x14ac:dyDescent="0.2">
      <c r="A275" s="153">
        <f t="shared" si="3"/>
        <v>251</v>
      </c>
      <c r="B275" s="33">
        <v>1</v>
      </c>
      <c r="C275" s="33">
        <v>7</v>
      </c>
      <c r="D275" s="33">
        <v>24</v>
      </c>
      <c r="E275" s="104">
        <v>2016</v>
      </c>
      <c r="F275" s="159">
        <v>2022</v>
      </c>
      <c r="G275" s="33">
        <v>8</v>
      </c>
      <c r="H275" s="33">
        <v>24</v>
      </c>
      <c r="I275" s="33">
        <v>0</v>
      </c>
      <c r="J275" s="33">
        <v>0</v>
      </c>
      <c r="K275" s="33">
        <v>0</v>
      </c>
      <c r="L275" s="101">
        <v>0.85</v>
      </c>
      <c r="M275" s="108">
        <v>4350</v>
      </c>
      <c r="N275" s="108">
        <v>2600</v>
      </c>
      <c r="O275" s="160">
        <v>150</v>
      </c>
      <c r="P275" s="142">
        <v>0</v>
      </c>
      <c r="Q275" s="142">
        <v>0</v>
      </c>
      <c r="R275" s="142">
        <v>0</v>
      </c>
      <c r="S275" s="116">
        <v>0</v>
      </c>
      <c r="T275" s="116">
        <v>0</v>
      </c>
      <c r="U275" s="33" t="s">
        <v>226</v>
      </c>
      <c r="V275" s="33">
        <v>2015</v>
      </c>
      <c r="W275" s="33">
        <v>1</v>
      </c>
      <c r="X275" s="33">
        <v>0</v>
      </c>
      <c r="Y275" s="33">
        <v>-1.8E-3</v>
      </c>
      <c r="Z275" s="33">
        <v>-1.2E-2</v>
      </c>
      <c r="AA275" s="33">
        <v>0</v>
      </c>
      <c r="AB275" s="33">
        <v>0</v>
      </c>
      <c r="AC275" s="33" t="s">
        <v>211</v>
      </c>
      <c r="AD275" s="158"/>
    </row>
    <row r="276" spans="1:30" customFormat="1" hidden="1" x14ac:dyDescent="0.2">
      <c r="A276" s="153">
        <f t="shared" si="3"/>
        <v>252</v>
      </c>
      <c r="B276" s="33">
        <v>1</v>
      </c>
      <c r="C276" s="33">
        <v>7</v>
      </c>
      <c r="D276" s="33">
        <v>24</v>
      </c>
      <c r="E276" s="104">
        <v>2016</v>
      </c>
      <c r="F276" s="159">
        <v>2022</v>
      </c>
      <c r="G276" s="33">
        <v>9</v>
      </c>
      <c r="H276" s="33">
        <v>24</v>
      </c>
      <c r="I276" s="33">
        <v>0</v>
      </c>
      <c r="J276" s="33">
        <v>0</v>
      </c>
      <c r="K276" s="33">
        <v>0</v>
      </c>
      <c r="L276" s="101">
        <v>0.85</v>
      </c>
      <c r="M276" s="108">
        <v>4350</v>
      </c>
      <c r="N276" s="108">
        <v>2600</v>
      </c>
      <c r="O276" s="160">
        <v>150</v>
      </c>
      <c r="P276" s="142">
        <v>0</v>
      </c>
      <c r="Q276" s="142">
        <v>0</v>
      </c>
      <c r="R276" s="142">
        <v>0</v>
      </c>
      <c r="S276" s="116">
        <v>0</v>
      </c>
      <c r="T276" s="116">
        <v>0</v>
      </c>
      <c r="U276" s="33" t="s">
        <v>226</v>
      </c>
      <c r="V276" s="33">
        <v>2015</v>
      </c>
      <c r="W276" s="33">
        <v>1</v>
      </c>
      <c r="X276" s="33">
        <v>0</v>
      </c>
      <c r="Y276" s="33">
        <v>-1.8E-3</v>
      </c>
      <c r="Z276" s="33">
        <v>-1.2E-2</v>
      </c>
      <c r="AA276" s="33">
        <v>0</v>
      </c>
      <c r="AB276" s="33">
        <v>0</v>
      </c>
      <c r="AC276" s="33" t="s">
        <v>211</v>
      </c>
      <c r="AD276" s="158"/>
    </row>
    <row r="277" spans="1:30" s="157" customFormat="1" hidden="1" x14ac:dyDescent="0.2">
      <c r="A277" s="153">
        <f t="shared" si="3"/>
        <v>253</v>
      </c>
      <c r="B277" s="49">
        <v>1</v>
      </c>
      <c r="C277" s="49">
        <v>7</v>
      </c>
      <c r="D277" s="49">
        <v>24</v>
      </c>
      <c r="E277" s="166">
        <v>2023</v>
      </c>
      <c r="F277" s="49">
        <v>2026</v>
      </c>
      <c r="G277" s="49">
        <v>1</v>
      </c>
      <c r="H277" s="49">
        <v>24</v>
      </c>
      <c r="I277" s="49">
        <v>0</v>
      </c>
      <c r="J277" s="49">
        <v>0</v>
      </c>
      <c r="K277" s="49">
        <v>0</v>
      </c>
      <c r="L277" s="167">
        <v>0.85</v>
      </c>
      <c r="M277" s="168">
        <v>4350</v>
      </c>
      <c r="N277" s="168">
        <v>2600</v>
      </c>
      <c r="O277" s="51">
        <v>600</v>
      </c>
      <c r="P277" s="51">
        <v>0</v>
      </c>
      <c r="Q277" s="51">
        <v>0</v>
      </c>
      <c r="R277" s="51">
        <v>0</v>
      </c>
      <c r="S277" s="171">
        <v>0</v>
      </c>
      <c r="T277" s="171">
        <v>0</v>
      </c>
      <c r="U277" s="49" t="s">
        <v>226</v>
      </c>
      <c r="V277" s="49">
        <v>2015</v>
      </c>
      <c r="W277" s="49">
        <v>1</v>
      </c>
      <c r="X277" s="49">
        <v>0</v>
      </c>
      <c r="Y277" s="49">
        <v>-1.8E-3</v>
      </c>
      <c r="Z277" s="49">
        <v>-1.2E-2</v>
      </c>
      <c r="AA277" s="49">
        <v>0</v>
      </c>
      <c r="AB277" s="49">
        <v>0</v>
      </c>
      <c r="AC277" s="49" t="s">
        <v>211</v>
      </c>
      <c r="AD277" s="158"/>
    </row>
    <row r="278" spans="1:30" s="157" customFormat="1" hidden="1" x14ac:dyDescent="0.2">
      <c r="A278" s="153">
        <f t="shared" si="3"/>
        <v>254</v>
      </c>
      <c r="B278" s="49">
        <v>1</v>
      </c>
      <c r="C278" s="49">
        <v>7</v>
      </c>
      <c r="D278" s="49">
        <v>24</v>
      </c>
      <c r="E278" s="166">
        <v>2023</v>
      </c>
      <c r="F278" s="49">
        <v>2026</v>
      </c>
      <c r="G278" s="49">
        <v>2</v>
      </c>
      <c r="H278" s="49">
        <v>24</v>
      </c>
      <c r="I278" s="49">
        <v>0</v>
      </c>
      <c r="J278" s="49">
        <v>0</v>
      </c>
      <c r="K278" s="49">
        <v>0</v>
      </c>
      <c r="L278" s="167">
        <v>0.85</v>
      </c>
      <c r="M278" s="168">
        <v>4350</v>
      </c>
      <c r="N278" s="168">
        <v>2600</v>
      </c>
      <c r="O278" s="51">
        <v>600</v>
      </c>
      <c r="P278" s="51">
        <v>0</v>
      </c>
      <c r="Q278" s="51">
        <v>0</v>
      </c>
      <c r="R278" s="51">
        <v>0</v>
      </c>
      <c r="S278" s="171">
        <v>0</v>
      </c>
      <c r="T278" s="171">
        <v>0</v>
      </c>
      <c r="U278" s="49" t="s">
        <v>226</v>
      </c>
      <c r="V278" s="49">
        <v>2015</v>
      </c>
      <c r="W278" s="49">
        <v>1</v>
      </c>
      <c r="X278" s="49">
        <v>0</v>
      </c>
      <c r="Y278" s="49">
        <v>-1.8E-3</v>
      </c>
      <c r="Z278" s="49">
        <v>-1.2E-2</v>
      </c>
      <c r="AA278" s="49">
        <v>0</v>
      </c>
      <c r="AB278" s="49">
        <v>0</v>
      </c>
      <c r="AC278" s="49" t="s">
        <v>211</v>
      </c>
      <c r="AD278" s="158"/>
    </row>
    <row r="279" spans="1:30" s="157" customFormat="1" x14ac:dyDescent="0.2">
      <c r="A279" s="153">
        <f t="shared" si="3"/>
        <v>255</v>
      </c>
      <c r="B279" s="49">
        <v>1</v>
      </c>
      <c r="C279" s="49">
        <v>7</v>
      </c>
      <c r="D279" s="49">
        <v>24</v>
      </c>
      <c r="E279" s="166">
        <v>2023</v>
      </c>
      <c r="F279" s="49">
        <v>2026</v>
      </c>
      <c r="G279" s="49">
        <v>3</v>
      </c>
      <c r="H279" s="49">
        <v>24</v>
      </c>
      <c r="I279" s="49">
        <v>0</v>
      </c>
      <c r="J279" s="49">
        <v>0</v>
      </c>
      <c r="K279" s="49">
        <v>0</v>
      </c>
      <c r="L279" s="167">
        <v>0.85</v>
      </c>
      <c r="M279" s="168">
        <v>4350</v>
      </c>
      <c r="N279" s="168">
        <v>2600</v>
      </c>
      <c r="O279" s="51">
        <v>600</v>
      </c>
      <c r="P279" s="51">
        <v>0</v>
      </c>
      <c r="Q279" s="51">
        <v>0</v>
      </c>
      <c r="R279" s="51">
        <v>0</v>
      </c>
      <c r="S279" s="171">
        <v>0</v>
      </c>
      <c r="T279" s="171">
        <v>0</v>
      </c>
      <c r="U279" s="49" t="s">
        <v>226</v>
      </c>
      <c r="V279" s="49">
        <v>2015</v>
      </c>
      <c r="W279" s="49">
        <v>1</v>
      </c>
      <c r="X279" s="49">
        <v>0</v>
      </c>
      <c r="Y279" s="49">
        <v>-1.8E-3</v>
      </c>
      <c r="Z279" s="49">
        <v>-1.2E-2</v>
      </c>
      <c r="AA279" s="49">
        <v>0</v>
      </c>
      <c r="AB279" s="49">
        <v>0</v>
      </c>
      <c r="AC279" s="49" t="s">
        <v>211</v>
      </c>
      <c r="AD279" s="158"/>
    </row>
    <row r="280" spans="1:30" s="157" customFormat="1" hidden="1" x14ac:dyDescent="0.2">
      <c r="A280" s="153">
        <f t="shared" si="3"/>
        <v>256</v>
      </c>
      <c r="B280" s="49">
        <v>1</v>
      </c>
      <c r="C280" s="49">
        <v>7</v>
      </c>
      <c r="D280" s="49">
        <v>24</v>
      </c>
      <c r="E280" s="166">
        <v>2023</v>
      </c>
      <c r="F280" s="49">
        <v>2026</v>
      </c>
      <c r="G280" s="49">
        <v>4</v>
      </c>
      <c r="H280" s="49">
        <v>24</v>
      </c>
      <c r="I280" s="49">
        <v>0</v>
      </c>
      <c r="J280" s="49">
        <v>0</v>
      </c>
      <c r="K280" s="49">
        <v>0</v>
      </c>
      <c r="L280" s="167">
        <v>0.85</v>
      </c>
      <c r="M280" s="168">
        <v>4350</v>
      </c>
      <c r="N280" s="168">
        <v>2600</v>
      </c>
      <c r="O280" s="51">
        <v>600</v>
      </c>
      <c r="P280" s="51">
        <v>0</v>
      </c>
      <c r="Q280" s="51">
        <v>0</v>
      </c>
      <c r="R280" s="51">
        <v>0</v>
      </c>
      <c r="S280" s="171">
        <v>0</v>
      </c>
      <c r="T280" s="171">
        <v>0</v>
      </c>
      <c r="U280" s="49" t="s">
        <v>226</v>
      </c>
      <c r="V280" s="49">
        <v>2015</v>
      </c>
      <c r="W280" s="49">
        <v>1</v>
      </c>
      <c r="X280" s="49">
        <v>0</v>
      </c>
      <c r="Y280" s="49">
        <v>-1.8E-3</v>
      </c>
      <c r="Z280" s="49">
        <v>-1.2E-2</v>
      </c>
      <c r="AA280" s="49">
        <v>0</v>
      </c>
      <c r="AB280" s="49">
        <v>0</v>
      </c>
      <c r="AC280" s="49" t="s">
        <v>211</v>
      </c>
      <c r="AD280" s="158"/>
    </row>
    <row r="281" spans="1:30" s="157" customFormat="1" hidden="1" x14ac:dyDescent="0.2">
      <c r="A281" s="153">
        <f t="shared" si="3"/>
        <v>257</v>
      </c>
      <c r="B281" s="49">
        <v>1</v>
      </c>
      <c r="C281" s="49">
        <v>7</v>
      </c>
      <c r="D281" s="49">
        <v>24</v>
      </c>
      <c r="E281" s="166">
        <v>2023</v>
      </c>
      <c r="F281" s="49">
        <v>2026</v>
      </c>
      <c r="G281" s="49">
        <v>5</v>
      </c>
      <c r="H281" s="49">
        <v>24</v>
      </c>
      <c r="I281" s="49">
        <v>0</v>
      </c>
      <c r="J281" s="49">
        <v>0</v>
      </c>
      <c r="K281" s="49">
        <v>0</v>
      </c>
      <c r="L281" s="167">
        <v>0.85</v>
      </c>
      <c r="M281" s="168">
        <v>4350</v>
      </c>
      <c r="N281" s="168">
        <v>2600</v>
      </c>
      <c r="O281" s="51">
        <v>600</v>
      </c>
      <c r="P281" s="51">
        <v>0</v>
      </c>
      <c r="Q281" s="51">
        <v>0</v>
      </c>
      <c r="R281" s="51">
        <v>0</v>
      </c>
      <c r="S281" s="171">
        <v>0</v>
      </c>
      <c r="T281" s="171">
        <v>0</v>
      </c>
      <c r="U281" s="49" t="s">
        <v>226</v>
      </c>
      <c r="V281" s="49">
        <v>2015</v>
      </c>
      <c r="W281" s="49">
        <v>1</v>
      </c>
      <c r="X281" s="49">
        <v>0</v>
      </c>
      <c r="Y281" s="49">
        <v>-1.8E-3</v>
      </c>
      <c r="Z281" s="49">
        <v>-1.2E-2</v>
      </c>
      <c r="AA281" s="49">
        <v>0</v>
      </c>
      <c r="AB281" s="49">
        <v>0</v>
      </c>
      <c r="AC281" s="49" t="s">
        <v>211</v>
      </c>
      <c r="AD281" s="158"/>
    </row>
    <row r="282" spans="1:30" s="157" customFormat="1" hidden="1" x14ac:dyDescent="0.2">
      <c r="A282" s="153">
        <f t="shared" si="3"/>
        <v>258</v>
      </c>
      <c r="B282" s="49">
        <v>1</v>
      </c>
      <c r="C282" s="49">
        <v>7</v>
      </c>
      <c r="D282" s="49">
        <v>24</v>
      </c>
      <c r="E282" s="166">
        <v>2023</v>
      </c>
      <c r="F282" s="49">
        <v>2026</v>
      </c>
      <c r="G282" s="49">
        <v>6</v>
      </c>
      <c r="H282" s="49">
        <v>24</v>
      </c>
      <c r="I282" s="49">
        <v>0</v>
      </c>
      <c r="J282" s="49">
        <v>0</v>
      </c>
      <c r="K282" s="49">
        <v>0</v>
      </c>
      <c r="L282" s="167">
        <v>0.85</v>
      </c>
      <c r="M282" s="168">
        <v>4350</v>
      </c>
      <c r="N282" s="168">
        <v>2600</v>
      </c>
      <c r="O282" s="51">
        <v>600</v>
      </c>
      <c r="P282" s="51">
        <v>0</v>
      </c>
      <c r="Q282" s="51">
        <v>0</v>
      </c>
      <c r="R282" s="51">
        <v>0</v>
      </c>
      <c r="S282" s="171">
        <v>0</v>
      </c>
      <c r="T282" s="171">
        <v>0</v>
      </c>
      <c r="U282" s="49" t="s">
        <v>226</v>
      </c>
      <c r="V282" s="49">
        <v>2015</v>
      </c>
      <c r="W282" s="49">
        <v>1</v>
      </c>
      <c r="X282" s="49">
        <v>0</v>
      </c>
      <c r="Y282" s="49">
        <v>-1.8E-3</v>
      </c>
      <c r="Z282" s="49">
        <v>-1.2E-2</v>
      </c>
      <c r="AA282" s="49">
        <v>0</v>
      </c>
      <c r="AB282" s="49">
        <v>0</v>
      </c>
      <c r="AC282" s="49" t="s">
        <v>211</v>
      </c>
      <c r="AD282" s="158"/>
    </row>
    <row r="283" spans="1:30" s="157" customFormat="1" hidden="1" x14ac:dyDescent="0.2">
      <c r="A283" s="153">
        <f t="shared" ref="A283:A346" si="4">A282+1</f>
        <v>259</v>
      </c>
      <c r="B283" s="49">
        <v>1</v>
      </c>
      <c r="C283" s="49">
        <v>7</v>
      </c>
      <c r="D283" s="49">
        <v>24</v>
      </c>
      <c r="E283" s="166">
        <v>2023</v>
      </c>
      <c r="F283" s="49">
        <v>2026</v>
      </c>
      <c r="G283" s="49">
        <v>7</v>
      </c>
      <c r="H283" s="49">
        <v>24</v>
      </c>
      <c r="I283" s="49">
        <v>0</v>
      </c>
      <c r="J283" s="49">
        <v>0</v>
      </c>
      <c r="K283" s="49">
        <v>0</v>
      </c>
      <c r="L283" s="167">
        <v>0.85</v>
      </c>
      <c r="M283" s="168">
        <v>4350</v>
      </c>
      <c r="N283" s="168">
        <v>2600</v>
      </c>
      <c r="O283" s="51">
        <v>600</v>
      </c>
      <c r="P283" s="51">
        <v>0</v>
      </c>
      <c r="Q283" s="51">
        <v>0</v>
      </c>
      <c r="R283" s="51">
        <v>0</v>
      </c>
      <c r="S283" s="171">
        <v>0</v>
      </c>
      <c r="T283" s="171">
        <v>0</v>
      </c>
      <c r="U283" s="49" t="s">
        <v>226</v>
      </c>
      <c r="V283" s="49">
        <v>2015</v>
      </c>
      <c r="W283" s="49">
        <v>1</v>
      </c>
      <c r="X283" s="49">
        <v>0</v>
      </c>
      <c r="Y283" s="49">
        <v>-1.8E-3</v>
      </c>
      <c r="Z283" s="49">
        <v>-1.2E-2</v>
      </c>
      <c r="AA283" s="49">
        <v>0</v>
      </c>
      <c r="AB283" s="49">
        <v>0</v>
      </c>
      <c r="AC283" s="49" t="s">
        <v>211</v>
      </c>
      <c r="AD283" s="158"/>
    </row>
    <row r="284" spans="1:30" s="157" customFormat="1" hidden="1" x14ac:dyDescent="0.2">
      <c r="A284" s="153">
        <f t="shared" si="4"/>
        <v>260</v>
      </c>
      <c r="B284" s="49">
        <v>1</v>
      </c>
      <c r="C284" s="49">
        <v>7</v>
      </c>
      <c r="D284" s="49">
        <v>24</v>
      </c>
      <c r="E284" s="166">
        <v>2023</v>
      </c>
      <c r="F284" s="49">
        <v>2026</v>
      </c>
      <c r="G284" s="49">
        <v>8</v>
      </c>
      <c r="H284" s="49">
        <v>24</v>
      </c>
      <c r="I284" s="49">
        <v>0</v>
      </c>
      <c r="J284" s="49">
        <v>0</v>
      </c>
      <c r="K284" s="49">
        <v>0</v>
      </c>
      <c r="L284" s="167">
        <v>0.85</v>
      </c>
      <c r="M284" s="168">
        <v>4350</v>
      </c>
      <c r="N284" s="168">
        <v>2600</v>
      </c>
      <c r="O284" s="51">
        <v>600</v>
      </c>
      <c r="P284" s="51">
        <v>0</v>
      </c>
      <c r="Q284" s="51">
        <v>0</v>
      </c>
      <c r="R284" s="51">
        <v>0</v>
      </c>
      <c r="S284" s="171">
        <v>0</v>
      </c>
      <c r="T284" s="171">
        <v>0</v>
      </c>
      <c r="U284" s="49" t="s">
        <v>226</v>
      </c>
      <c r="V284" s="49">
        <v>2015</v>
      </c>
      <c r="W284" s="49">
        <v>1</v>
      </c>
      <c r="X284" s="49">
        <v>0</v>
      </c>
      <c r="Y284" s="49">
        <v>-1.8E-3</v>
      </c>
      <c r="Z284" s="49">
        <v>-1.2E-2</v>
      </c>
      <c r="AA284" s="49">
        <v>0</v>
      </c>
      <c r="AB284" s="49">
        <v>0</v>
      </c>
      <c r="AC284" s="49" t="s">
        <v>211</v>
      </c>
      <c r="AD284" s="158"/>
    </row>
    <row r="285" spans="1:30" s="157" customFormat="1" hidden="1" x14ac:dyDescent="0.2">
      <c r="A285" s="153">
        <f t="shared" si="4"/>
        <v>261</v>
      </c>
      <c r="B285" s="49">
        <v>1</v>
      </c>
      <c r="C285" s="49">
        <v>7</v>
      </c>
      <c r="D285" s="49">
        <v>24</v>
      </c>
      <c r="E285" s="166">
        <v>2023</v>
      </c>
      <c r="F285" s="49">
        <v>2026</v>
      </c>
      <c r="G285" s="49">
        <v>9</v>
      </c>
      <c r="H285" s="49">
        <v>24</v>
      </c>
      <c r="I285" s="49">
        <v>0</v>
      </c>
      <c r="J285" s="49">
        <v>0</v>
      </c>
      <c r="K285" s="49">
        <v>0</v>
      </c>
      <c r="L285" s="167">
        <v>0.85</v>
      </c>
      <c r="M285" s="168">
        <v>4350</v>
      </c>
      <c r="N285" s="168">
        <v>2600</v>
      </c>
      <c r="O285" s="51">
        <v>600</v>
      </c>
      <c r="P285" s="51">
        <v>0</v>
      </c>
      <c r="Q285" s="51">
        <v>0</v>
      </c>
      <c r="R285" s="51">
        <v>0</v>
      </c>
      <c r="S285" s="171">
        <v>0</v>
      </c>
      <c r="T285" s="171">
        <v>0</v>
      </c>
      <c r="U285" s="49" t="s">
        <v>226</v>
      </c>
      <c r="V285" s="49">
        <v>2015</v>
      </c>
      <c r="W285" s="49">
        <v>1</v>
      </c>
      <c r="X285" s="49">
        <v>0</v>
      </c>
      <c r="Y285" s="49">
        <v>-1.8E-3</v>
      </c>
      <c r="Z285" s="49">
        <v>-1.2E-2</v>
      </c>
      <c r="AA285" s="49">
        <v>0</v>
      </c>
      <c r="AB285" s="49">
        <v>0</v>
      </c>
      <c r="AC285" s="49" t="s">
        <v>211</v>
      </c>
      <c r="AD285" s="158"/>
    </row>
    <row r="286" spans="1:30" s="157" customFormat="1" hidden="1" x14ac:dyDescent="0.2">
      <c r="A286" s="153">
        <f t="shared" si="4"/>
        <v>262</v>
      </c>
      <c r="B286" s="49">
        <v>1</v>
      </c>
      <c r="C286" s="49">
        <v>7</v>
      </c>
      <c r="D286" s="49">
        <v>24</v>
      </c>
      <c r="E286" s="166">
        <v>2027</v>
      </c>
      <c r="F286" s="49">
        <v>2050</v>
      </c>
      <c r="G286" s="49">
        <v>1</v>
      </c>
      <c r="H286" s="49">
        <v>24</v>
      </c>
      <c r="I286" s="49">
        <v>0</v>
      </c>
      <c r="J286" s="49">
        <v>0</v>
      </c>
      <c r="K286" s="49">
        <v>0</v>
      </c>
      <c r="L286" s="167">
        <v>0.85</v>
      </c>
      <c r="M286" s="168">
        <v>4350</v>
      </c>
      <c r="N286" s="168">
        <v>2600</v>
      </c>
      <c r="O286" s="51">
        <v>0</v>
      </c>
      <c r="P286" s="51">
        <v>0</v>
      </c>
      <c r="Q286" s="51">
        <v>0</v>
      </c>
      <c r="R286" s="51">
        <v>0</v>
      </c>
      <c r="S286" s="171">
        <v>0</v>
      </c>
      <c r="T286" s="171">
        <v>0</v>
      </c>
      <c r="U286" s="49" t="s">
        <v>226</v>
      </c>
      <c r="V286" s="49">
        <v>2015</v>
      </c>
      <c r="W286" s="49">
        <v>1</v>
      </c>
      <c r="X286" s="49">
        <v>0</v>
      </c>
      <c r="Y286" s="49">
        <v>-1.8E-3</v>
      </c>
      <c r="Z286" s="49">
        <v>-1.2E-2</v>
      </c>
      <c r="AA286" s="49">
        <v>0</v>
      </c>
      <c r="AB286" s="49">
        <v>0</v>
      </c>
      <c r="AC286" s="49" t="s">
        <v>211</v>
      </c>
      <c r="AD286" s="158"/>
    </row>
    <row r="287" spans="1:30" s="157" customFormat="1" hidden="1" x14ac:dyDescent="0.2">
      <c r="A287" s="153">
        <f t="shared" si="4"/>
        <v>263</v>
      </c>
      <c r="B287" s="49">
        <v>1</v>
      </c>
      <c r="C287" s="49">
        <v>7</v>
      </c>
      <c r="D287" s="49">
        <v>24</v>
      </c>
      <c r="E287" s="166">
        <v>2027</v>
      </c>
      <c r="F287" s="49">
        <v>2050</v>
      </c>
      <c r="G287" s="49">
        <v>2</v>
      </c>
      <c r="H287" s="49">
        <v>24</v>
      </c>
      <c r="I287" s="49">
        <v>0</v>
      </c>
      <c r="J287" s="49">
        <v>0</v>
      </c>
      <c r="K287" s="49">
        <v>0</v>
      </c>
      <c r="L287" s="167">
        <v>0.85</v>
      </c>
      <c r="M287" s="168">
        <v>4350</v>
      </c>
      <c r="N287" s="168">
        <v>2600</v>
      </c>
      <c r="O287" s="51">
        <v>0</v>
      </c>
      <c r="P287" s="51">
        <v>0</v>
      </c>
      <c r="Q287" s="51">
        <v>0</v>
      </c>
      <c r="R287" s="51">
        <v>0</v>
      </c>
      <c r="S287" s="171">
        <v>0</v>
      </c>
      <c r="T287" s="171">
        <v>0</v>
      </c>
      <c r="U287" s="49" t="s">
        <v>226</v>
      </c>
      <c r="V287" s="49">
        <v>2015</v>
      </c>
      <c r="W287" s="49">
        <v>1</v>
      </c>
      <c r="X287" s="49">
        <v>0</v>
      </c>
      <c r="Y287" s="49">
        <v>-1.8E-3</v>
      </c>
      <c r="Z287" s="49">
        <v>-1.2E-2</v>
      </c>
      <c r="AA287" s="49">
        <v>0</v>
      </c>
      <c r="AB287" s="49">
        <v>0</v>
      </c>
      <c r="AC287" s="49" t="s">
        <v>211</v>
      </c>
      <c r="AD287" s="158"/>
    </row>
    <row r="288" spans="1:30" s="157" customFormat="1" x14ac:dyDescent="0.2">
      <c r="A288" s="153">
        <f t="shared" si="4"/>
        <v>264</v>
      </c>
      <c r="B288" s="49">
        <v>1</v>
      </c>
      <c r="C288" s="49">
        <v>7</v>
      </c>
      <c r="D288" s="49">
        <v>24</v>
      </c>
      <c r="E288" s="166">
        <v>2027</v>
      </c>
      <c r="F288" s="49">
        <v>2050</v>
      </c>
      <c r="G288" s="49">
        <v>3</v>
      </c>
      <c r="H288" s="49">
        <v>24</v>
      </c>
      <c r="I288" s="49">
        <v>0</v>
      </c>
      <c r="J288" s="49">
        <v>0</v>
      </c>
      <c r="K288" s="49">
        <v>0</v>
      </c>
      <c r="L288" s="167">
        <v>0.85</v>
      </c>
      <c r="M288" s="168">
        <v>4350</v>
      </c>
      <c r="N288" s="168">
        <v>2600</v>
      </c>
      <c r="O288" s="51">
        <v>0</v>
      </c>
      <c r="P288" s="51">
        <v>0</v>
      </c>
      <c r="Q288" s="51">
        <v>0</v>
      </c>
      <c r="R288" s="51">
        <v>0</v>
      </c>
      <c r="S288" s="171">
        <v>0</v>
      </c>
      <c r="T288" s="171">
        <v>0</v>
      </c>
      <c r="U288" s="49" t="s">
        <v>226</v>
      </c>
      <c r="V288" s="49">
        <v>2015</v>
      </c>
      <c r="W288" s="49">
        <v>1</v>
      </c>
      <c r="X288" s="49">
        <v>0</v>
      </c>
      <c r="Y288" s="49">
        <v>-1.8E-3</v>
      </c>
      <c r="Z288" s="49">
        <v>-1.2E-2</v>
      </c>
      <c r="AA288" s="49">
        <v>0</v>
      </c>
      <c r="AB288" s="49">
        <v>0</v>
      </c>
      <c r="AC288" s="49" t="s">
        <v>211</v>
      </c>
      <c r="AD288" s="158"/>
    </row>
    <row r="289" spans="1:30" s="157" customFormat="1" hidden="1" x14ac:dyDescent="0.2">
      <c r="A289" s="153">
        <f t="shared" si="4"/>
        <v>265</v>
      </c>
      <c r="B289" s="49">
        <v>1</v>
      </c>
      <c r="C289" s="49">
        <v>7</v>
      </c>
      <c r="D289" s="49">
        <v>24</v>
      </c>
      <c r="E289" s="166">
        <v>2027</v>
      </c>
      <c r="F289" s="49">
        <v>2050</v>
      </c>
      <c r="G289" s="49">
        <v>4</v>
      </c>
      <c r="H289" s="49">
        <v>24</v>
      </c>
      <c r="I289" s="49">
        <v>0</v>
      </c>
      <c r="J289" s="49">
        <v>0</v>
      </c>
      <c r="K289" s="49">
        <v>0</v>
      </c>
      <c r="L289" s="167">
        <v>0.85</v>
      </c>
      <c r="M289" s="168">
        <v>4350</v>
      </c>
      <c r="N289" s="168">
        <v>2600</v>
      </c>
      <c r="O289" s="51">
        <v>0</v>
      </c>
      <c r="P289" s="51">
        <v>0</v>
      </c>
      <c r="Q289" s="51">
        <v>0</v>
      </c>
      <c r="R289" s="51">
        <v>0</v>
      </c>
      <c r="S289" s="171">
        <v>0</v>
      </c>
      <c r="T289" s="171">
        <v>0</v>
      </c>
      <c r="U289" s="49" t="s">
        <v>226</v>
      </c>
      <c r="V289" s="49">
        <v>2015</v>
      </c>
      <c r="W289" s="49">
        <v>1</v>
      </c>
      <c r="X289" s="49">
        <v>0</v>
      </c>
      <c r="Y289" s="49">
        <v>-1.8E-3</v>
      </c>
      <c r="Z289" s="49">
        <v>-1.2E-2</v>
      </c>
      <c r="AA289" s="49">
        <v>0</v>
      </c>
      <c r="AB289" s="49">
        <v>0</v>
      </c>
      <c r="AC289" s="49" t="s">
        <v>211</v>
      </c>
      <c r="AD289" s="158"/>
    </row>
    <row r="290" spans="1:30" s="157" customFormat="1" hidden="1" x14ac:dyDescent="0.2">
      <c r="A290" s="153">
        <f t="shared" si="4"/>
        <v>266</v>
      </c>
      <c r="B290" s="49">
        <v>1</v>
      </c>
      <c r="C290" s="49">
        <v>7</v>
      </c>
      <c r="D290" s="49">
        <v>24</v>
      </c>
      <c r="E290" s="166">
        <v>2027</v>
      </c>
      <c r="F290" s="49">
        <v>2050</v>
      </c>
      <c r="G290" s="49">
        <v>5</v>
      </c>
      <c r="H290" s="49">
        <v>24</v>
      </c>
      <c r="I290" s="49">
        <v>0</v>
      </c>
      <c r="J290" s="49">
        <v>0</v>
      </c>
      <c r="K290" s="49">
        <v>0</v>
      </c>
      <c r="L290" s="167">
        <v>0.85</v>
      </c>
      <c r="M290" s="168">
        <v>4350</v>
      </c>
      <c r="N290" s="168">
        <v>2600</v>
      </c>
      <c r="O290" s="51">
        <v>0</v>
      </c>
      <c r="P290" s="51">
        <v>0</v>
      </c>
      <c r="Q290" s="51">
        <v>0</v>
      </c>
      <c r="R290" s="51">
        <v>0</v>
      </c>
      <c r="S290" s="171">
        <v>0</v>
      </c>
      <c r="T290" s="171">
        <v>0</v>
      </c>
      <c r="U290" s="49" t="s">
        <v>226</v>
      </c>
      <c r="V290" s="49">
        <v>2015</v>
      </c>
      <c r="W290" s="49">
        <v>1</v>
      </c>
      <c r="X290" s="49">
        <v>0</v>
      </c>
      <c r="Y290" s="49">
        <v>-1.8E-3</v>
      </c>
      <c r="Z290" s="49">
        <v>-1.2E-2</v>
      </c>
      <c r="AA290" s="49">
        <v>0</v>
      </c>
      <c r="AB290" s="49">
        <v>0</v>
      </c>
      <c r="AC290" s="49" t="s">
        <v>211</v>
      </c>
      <c r="AD290" s="158"/>
    </row>
    <row r="291" spans="1:30" s="157" customFormat="1" hidden="1" x14ac:dyDescent="0.2">
      <c r="A291" s="153">
        <f t="shared" si="4"/>
        <v>267</v>
      </c>
      <c r="B291" s="49">
        <v>1</v>
      </c>
      <c r="C291" s="49">
        <v>7</v>
      </c>
      <c r="D291" s="49">
        <v>24</v>
      </c>
      <c r="E291" s="166">
        <v>2027</v>
      </c>
      <c r="F291" s="49">
        <v>2050</v>
      </c>
      <c r="G291" s="49">
        <v>6</v>
      </c>
      <c r="H291" s="49">
        <v>24</v>
      </c>
      <c r="I291" s="49">
        <v>0</v>
      </c>
      <c r="J291" s="49">
        <v>0</v>
      </c>
      <c r="K291" s="49">
        <v>0</v>
      </c>
      <c r="L291" s="167">
        <v>0.85</v>
      </c>
      <c r="M291" s="168">
        <v>4350</v>
      </c>
      <c r="N291" s="168">
        <v>2600</v>
      </c>
      <c r="O291" s="51">
        <v>0</v>
      </c>
      <c r="P291" s="51">
        <v>0</v>
      </c>
      <c r="Q291" s="51">
        <v>0</v>
      </c>
      <c r="R291" s="51">
        <v>0</v>
      </c>
      <c r="S291" s="171">
        <v>0</v>
      </c>
      <c r="T291" s="171">
        <v>0</v>
      </c>
      <c r="U291" s="49" t="s">
        <v>226</v>
      </c>
      <c r="V291" s="49">
        <v>2015</v>
      </c>
      <c r="W291" s="49">
        <v>1</v>
      </c>
      <c r="X291" s="49">
        <v>0</v>
      </c>
      <c r="Y291" s="49">
        <v>-1.8E-3</v>
      </c>
      <c r="Z291" s="49">
        <v>-1.2E-2</v>
      </c>
      <c r="AA291" s="49">
        <v>0</v>
      </c>
      <c r="AB291" s="49">
        <v>0</v>
      </c>
      <c r="AC291" s="49" t="s">
        <v>211</v>
      </c>
      <c r="AD291" s="158"/>
    </row>
    <row r="292" spans="1:30" s="157" customFormat="1" hidden="1" x14ac:dyDescent="0.2">
      <c r="A292" s="153">
        <f t="shared" si="4"/>
        <v>268</v>
      </c>
      <c r="B292" s="49">
        <v>1</v>
      </c>
      <c r="C292" s="49">
        <v>7</v>
      </c>
      <c r="D292" s="49">
        <v>24</v>
      </c>
      <c r="E292" s="166">
        <v>2027</v>
      </c>
      <c r="F292" s="49">
        <v>2050</v>
      </c>
      <c r="G292" s="49">
        <v>7</v>
      </c>
      <c r="H292" s="49">
        <v>24</v>
      </c>
      <c r="I292" s="49">
        <v>0</v>
      </c>
      <c r="J292" s="49">
        <v>0</v>
      </c>
      <c r="K292" s="49">
        <v>0</v>
      </c>
      <c r="L292" s="167">
        <v>0.85</v>
      </c>
      <c r="M292" s="168">
        <v>4350</v>
      </c>
      <c r="N292" s="168">
        <v>2600</v>
      </c>
      <c r="O292" s="51">
        <v>0</v>
      </c>
      <c r="P292" s="51">
        <v>0</v>
      </c>
      <c r="Q292" s="51">
        <v>0</v>
      </c>
      <c r="R292" s="51">
        <v>0</v>
      </c>
      <c r="S292" s="171">
        <v>0</v>
      </c>
      <c r="T292" s="171">
        <v>0</v>
      </c>
      <c r="U292" s="49" t="s">
        <v>226</v>
      </c>
      <c r="V292" s="49">
        <v>2015</v>
      </c>
      <c r="W292" s="49">
        <v>1</v>
      </c>
      <c r="X292" s="49">
        <v>0</v>
      </c>
      <c r="Y292" s="49">
        <v>-1.8E-3</v>
      </c>
      <c r="Z292" s="49">
        <v>-1.2E-2</v>
      </c>
      <c r="AA292" s="49">
        <v>0</v>
      </c>
      <c r="AB292" s="49">
        <v>0</v>
      </c>
      <c r="AC292" s="49" t="s">
        <v>211</v>
      </c>
      <c r="AD292" s="158"/>
    </row>
    <row r="293" spans="1:30" s="157" customFormat="1" hidden="1" x14ac:dyDescent="0.2">
      <c r="A293" s="153">
        <f t="shared" si="4"/>
        <v>269</v>
      </c>
      <c r="B293" s="49">
        <v>1</v>
      </c>
      <c r="C293" s="49">
        <v>7</v>
      </c>
      <c r="D293" s="49">
        <v>24</v>
      </c>
      <c r="E293" s="166">
        <v>2027</v>
      </c>
      <c r="F293" s="49">
        <v>2050</v>
      </c>
      <c r="G293" s="49">
        <v>8</v>
      </c>
      <c r="H293" s="49">
        <v>24</v>
      </c>
      <c r="I293" s="49">
        <v>0</v>
      </c>
      <c r="J293" s="49">
        <v>0</v>
      </c>
      <c r="K293" s="49">
        <v>0</v>
      </c>
      <c r="L293" s="167">
        <v>0.85</v>
      </c>
      <c r="M293" s="168">
        <v>4350</v>
      </c>
      <c r="N293" s="168">
        <v>2600</v>
      </c>
      <c r="O293" s="51">
        <v>0</v>
      </c>
      <c r="P293" s="51">
        <v>0</v>
      </c>
      <c r="Q293" s="51">
        <v>0</v>
      </c>
      <c r="R293" s="51">
        <v>0</v>
      </c>
      <c r="S293" s="171">
        <v>0</v>
      </c>
      <c r="T293" s="171">
        <v>0</v>
      </c>
      <c r="U293" s="49" t="s">
        <v>226</v>
      </c>
      <c r="V293" s="49">
        <v>2015</v>
      </c>
      <c r="W293" s="49">
        <v>1</v>
      </c>
      <c r="X293" s="49">
        <v>0</v>
      </c>
      <c r="Y293" s="49">
        <v>-1.8E-3</v>
      </c>
      <c r="Z293" s="49">
        <v>-1.2E-2</v>
      </c>
      <c r="AA293" s="49">
        <v>0</v>
      </c>
      <c r="AB293" s="49">
        <v>0</v>
      </c>
      <c r="AC293" s="49" t="s">
        <v>211</v>
      </c>
      <c r="AD293" s="158"/>
    </row>
    <row r="294" spans="1:30" s="157" customFormat="1" hidden="1" x14ac:dyDescent="0.2">
      <c r="A294" s="153">
        <f t="shared" si="4"/>
        <v>270</v>
      </c>
      <c r="B294" s="49">
        <v>1</v>
      </c>
      <c r="C294" s="49">
        <v>7</v>
      </c>
      <c r="D294" s="49">
        <v>24</v>
      </c>
      <c r="E294" s="166">
        <v>2027</v>
      </c>
      <c r="F294" s="49">
        <v>2050</v>
      </c>
      <c r="G294" s="49">
        <v>9</v>
      </c>
      <c r="H294" s="49">
        <v>24</v>
      </c>
      <c r="I294" s="49">
        <v>0</v>
      </c>
      <c r="J294" s="49">
        <v>0</v>
      </c>
      <c r="K294" s="49">
        <v>0</v>
      </c>
      <c r="L294" s="167">
        <v>0.85</v>
      </c>
      <c r="M294" s="168">
        <v>4350</v>
      </c>
      <c r="N294" s="168">
        <v>2600</v>
      </c>
      <c r="O294" s="51">
        <v>0</v>
      </c>
      <c r="P294" s="51">
        <v>0</v>
      </c>
      <c r="Q294" s="51">
        <v>0</v>
      </c>
      <c r="R294" s="51">
        <v>0</v>
      </c>
      <c r="S294" s="171">
        <v>0</v>
      </c>
      <c r="T294" s="171">
        <v>0</v>
      </c>
      <c r="U294" s="49" t="s">
        <v>226</v>
      </c>
      <c r="V294" s="49">
        <v>2015</v>
      </c>
      <c r="W294" s="49">
        <v>1</v>
      </c>
      <c r="X294" s="49">
        <v>0</v>
      </c>
      <c r="Y294" s="49">
        <v>-1.8E-3</v>
      </c>
      <c r="Z294" s="49">
        <v>-1.2E-2</v>
      </c>
      <c r="AA294" s="49">
        <v>0</v>
      </c>
      <c r="AB294" s="49">
        <v>0</v>
      </c>
      <c r="AC294" s="49" t="s">
        <v>211</v>
      </c>
      <c r="AD294" s="158"/>
    </row>
    <row r="295" spans="1:30" customFormat="1" hidden="1" x14ac:dyDescent="0.2">
      <c r="A295" s="153">
        <f t="shared" si="4"/>
        <v>271</v>
      </c>
      <c r="B295" s="33">
        <v>1</v>
      </c>
      <c r="C295" s="33">
        <v>7</v>
      </c>
      <c r="D295" s="33">
        <v>25</v>
      </c>
      <c r="E295" s="104">
        <v>2016</v>
      </c>
      <c r="F295" s="159">
        <v>2022</v>
      </c>
      <c r="G295" s="33">
        <v>1</v>
      </c>
      <c r="H295" s="33">
        <v>25</v>
      </c>
      <c r="I295" s="33">
        <v>0</v>
      </c>
      <c r="J295" s="33">
        <v>0</v>
      </c>
      <c r="K295" s="33">
        <v>0</v>
      </c>
      <c r="L295" s="101">
        <v>0.97</v>
      </c>
      <c r="M295" s="108">
        <v>6450</v>
      </c>
      <c r="N295" s="108">
        <v>3075</v>
      </c>
      <c r="O295" s="142">
        <v>150</v>
      </c>
      <c r="P295" s="142">
        <v>0</v>
      </c>
      <c r="Q295" s="142">
        <v>0</v>
      </c>
      <c r="R295" s="142">
        <v>0</v>
      </c>
      <c r="S295" s="116">
        <v>0</v>
      </c>
      <c r="T295" s="116">
        <v>0</v>
      </c>
      <c r="U295" s="33" t="s">
        <v>226</v>
      </c>
      <c r="V295" s="33">
        <v>2015</v>
      </c>
      <c r="W295" s="33">
        <v>1</v>
      </c>
      <c r="X295" s="33">
        <v>0</v>
      </c>
      <c r="Y295" s="33">
        <v>-1.8E-3</v>
      </c>
      <c r="Z295" s="33">
        <v>-1.2E-2</v>
      </c>
      <c r="AA295" s="33">
        <v>0</v>
      </c>
      <c r="AB295" s="33">
        <v>0</v>
      </c>
      <c r="AC295" s="33" t="s">
        <v>341</v>
      </c>
      <c r="AD295" s="158"/>
    </row>
    <row r="296" spans="1:30" customFormat="1" hidden="1" x14ac:dyDescent="0.2">
      <c r="A296" s="153">
        <f t="shared" si="4"/>
        <v>272</v>
      </c>
      <c r="B296" s="33">
        <v>1</v>
      </c>
      <c r="C296" s="33">
        <v>7</v>
      </c>
      <c r="D296" s="33">
        <v>25</v>
      </c>
      <c r="E296" s="104">
        <v>2016</v>
      </c>
      <c r="F296" s="159">
        <v>2022</v>
      </c>
      <c r="G296" s="33">
        <v>2</v>
      </c>
      <c r="H296" s="33">
        <v>25</v>
      </c>
      <c r="I296" s="33">
        <v>0</v>
      </c>
      <c r="J296" s="33">
        <v>0</v>
      </c>
      <c r="K296" s="33">
        <v>0</v>
      </c>
      <c r="L296" s="101">
        <v>0.97</v>
      </c>
      <c r="M296" s="108">
        <v>6450</v>
      </c>
      <c r="N296" s="108">
        <v>3075</v>
      </c>
      <c r="O296" s="142">
        <v>150</v>
      </c>
      <c r="P296" s="142">
        <v>0</v>
      </c>
      <c r="Q296" s="142">
        <v>0</v>
      </c>
      <c r="R296" s="142">
        <v>0</v>
      </c>
      <c r="S296" s="116">
        <v>0</v>
      </c>
      <c r="T296" s="116">
        <v>0</v>
      </c>
      <c r="U296" s="33" t="s">
        <v>226</v>
      </c>
      <c r="V296" s="33">
        <v>2015</v>
      </c>
      <c r="W296" s="33">
        <v>1</v>
      </c>
      <c r="X296" s="33">
        <v>0</v>
      </c>
      <c r="Y296" s="33">
        <v>-1.8E-3</v>
      </c>
      <c r="Z296" s="33">
        <v>-1.2E-2</v>
      </c>
      <c r="AA296" s="33">
        <v>0</v>
      </c>
      <c r="AB296" s="33">
        <v>0</v>
      </c>
      <c r="AC296" s="33" t="s">
        <v>341</v>
      </c>
      <c r="AD296" s="158"/>
    </row>
    <row r="297" spans="1:30" customFormat="1" x14ac:dyDescent="0.2">
      <c r="A297" s="153">
        <f t="shared" si="4"/>
        <v>273</v>
      </c>
      <c r="B297" s="33">
        <v>1</v>
      </c>
      <c r="C297" s="33">
        <v>7</v>
      </c>
      <c r="D297" s="33">
        <v>25</v>
      </c>
      <c r="E297" s="104">
        <v>2016</v>
      </c>
      <c r="F297" s="159">
        <v>2022</v>
      </c>
      <c r="G297" s="33">
        <v>3</v>
      </c>
      <c r="H297" s="33">
        <v>25</v>
      </c>
      <c r="I297" s="33">
        <v>0</v>
      </c>
      <c r="J297" s="33">
        <v>0</v>
      </c>
      <c r="K297" s="33">
        <v>0</v>
      </c>
      <c r="L297" s="101">
        <v>0.97</v>
      </c>
      <c r="M297" s="108">
        <v>6450</v>
      </c>
      <c r="N297" s="108">
        <v>3075</v>
      </c>
      <c r="O297" s="142">
        <v>150</v>
      </c>
      <c r="P297" s="142">
        <v>0</v>
      </c>
      <c r="Q297" s="142">
        <v>0</v>
      </c>
      <c r="R297" s="142">
        <v>0</v>
      </c>
      <c r="S297" s="116">
        <v>0</v>
      </c>
      <c r="T297" s="116">
        <v>0</v>
      </c>
      <c r="U297" s="33" t="s">
        <v>226</v>
      </c>
      <c r="V297" s="33">
        <v>2015</v>
      </c>
      <c r="W297" s="33">
        <v>1</v>
      </c>
      <c r="X297" s="33">
        <v>0</v>
      </c>
      <c r="Y297" s="33">
        <v>-1.8E-3</v>
      </c>
      <c r="Z297" s="33">
        <v>-1.2E-2</v>
      </c>
      <c r="AA297" s="33">
        <v>0</v>
      </c>
      <c r="AB297" s="33">
        <v>0</v>
      </c>
      <c r="AC297" s="33" t="s">
        <v>341</v>
      </c>
      <c r="AD297" s="158"/>
    </row>
    <row r="298" spans="1:30" customFormat="1" hidden="1" x14ac:dyDescent="0.2">
      <c r="A298" s="153">
        <f t="shared" si="4"/>
        <v>274</v>
      </c>
      <c r="B298" s="33">
        <v>1</v>
      </c>
      <c r="C298" s="33">
        <v>7</v>
      </c>
      <c r="D298" s="33">
        <v>25</v>
      </c>
      <c r="E298" s="104">
        <v>2016</v>
      </c>
      <c r="F298" s="159">
        <v>2022</v>
      </c>
      <c r="G298" s="33">
        <v>4</v>
      </c>
      <c r="H298" s="33">
        <v>25</v>
      </c>
      <c r="I298" s="33">
        <v>0</v>
      </c>
      <c r="J298" s="33">
        <v>0</v>
      </c>
      <c r="K298" s="33">
        <v>0</v>
      </c>
      <c r="L298" s="101">
        <v>0.97</v>
      </c>
      <c r="M298" s="108">
        <v>6450</v>
      </c>
      <c r="N298" s="108">
        <v>3075</v>
      </c>
      <c r="O298" s="142">
        <v>150</v>
      </c>
      <c r="P298" s="142">
        <v>0</v>
      </c>
      <c r="Q298" s="142">
        <v>0</v>
      </c>
      <c r="R298" s="142">
        <v>0</v>
      </c>
      <c r="S298" s="116">
        <v>0</v>
      </c>
      <c r="T298" s="116">
        <v>0</v>
      </c>
      <c r="U298" s="33" t="s">
        <v>226</v>
      </c>
      <c r="V298" s="33">
        <v>2015</v>
      </c>
      <c r="W298" s="33">
        <v>1</v>
      </c>
      <c r="X298" s="33">
        <v>0</v>
      </c>
      <c r="Y298" s="33">
        <v>-1.8E-3</v>
      </c>
      <c r="Z298" s="33">
        <v>-1.2E-2</v>
      </c>
      <c r="AA298" s="33">
        <v>0</v>
      </c>
      <c r="AB298" s="33">
        <v>0</v>
      </c>
      <c r="AC298" s="33" t="s">
        <v>341</v>
      </c>
      <c r="AD298" s="158"/>
    </row>
    <row r="299" spans="1:30" customFormat="1" hidden="1" x14ac:dyDescent="0.2">
      <c r="A299" s="153">
        <f t="shared" si="4"/>
        <v>275</v>
      </c>
      <c r="B299" s="33">
        <v>1</v>
      </c>
      <c r="C299" s="33">
        <v>7</v>
      </c>
      <c r="D299" s="33">
        <v>25</v>
      </c>
      <c r="E299" s="104">
        <v>2016</v>
      </c>
      <c r="F299" s="159">
        <v>2022</v>
      </c>
      <c r="G299" s="33">
        <v>5</v>
      </c>
      <c r="H299" s="33">
        <v>25</v>
      </c>
      <c r="I299" s="33">
        <v>0</v>
      </c>
      <c r="J299" s="33">
        <v>0</v>
      </c>
      <c r="K299" s="33">
        <v>0</v>
      </c>
      <c r="L299" s="101">
        <v>0.97</v>
      </c>
      <c r="M299" s="108">
        <v>6450</v>
      </c>
      <c r="N299" s="108">
        <v>3075</v>
      </c>
      <c r="O299" s="142">
        <v>150</v>
      </c>
      <c r="P299" s="142">
        <v>0</v>
      </c>
      <c r="Q299" s="142">
        <v>0</v>
      </c>
      <c r="R299" s="142">
        <v>0</v>
      </c>
      <c r="S299" s="116">
        <v>0</v>
      </c>
      <c r="T299" s="116">
        <v>0</v>
      </c>
      <c r="U299" s="33" t="s">
        <v>226</v>
      </c>
      <c r="V299" s="33">
        <v>2015</v>
      </c>
      <c r="W299" s="33">
        <v>1</v>
      </c>
      <c r="X299" s="33">
        <v>0</v>
      </c>
      <c r="Y299" s="33">
        <v>-1.8E-3</v>
      </c>
      <c r="Z299" s="33">
        <v>-1.2E-2</v>
      </c>
      <c r="AA299" s="33">
        <v>0</v>
      </c>
      <c r="AB299" s="33">
        <v>0</v>
      </c>
      <c r="AC299" s="33" t="s">
        <v>341</v>
      </c>
      <c r="AD299" s="158"/>
    </row>
    <row r="300" spans="1:30" customFormat="1" hidden="1" x14ac:dyDescent="0.2">
      <c r="A300" s="153">
        <f t="shared" si="4"/>
        <v>276</v>
      </c>
      <c r="B300" s="33">
        <v>1</v>
      </c>
      <c r="C300" s="33">
        <v>7</v>
      </c>
      <c r="D300" s="33">
        <v>25</v>
      </c>
      <c r="E300" s="104">
        <v>2016</v>
      </c>
      <c r="F300" s="159">
        <v>2022</v>
      </c>
      <c r="G300" s="33">
        <v>6</v>
      </c>
      <c r="H300" s="33">
        <v>25</v>
      </c>
      <c r="I300" s="33">
        <v>0</v>
      </c>
      <c r="J300" s="33">
        <v>0</v>
      </c>
      <c r="K300" s="33">
        <v>0</v>
      </c>
      <c r="L300" s="101">
        <v>0.97</v>
      </c>
      <c r="M300" s="108">
        <v>6450</v>
      </c>
      <c r="N300" s="108">
        <v>3075</v>
      </c>
      <c r="O300" s="142">
        <v>150</v>
      </c>
      <c r="P300" s="142">
        <v>0</v>
      </c>
      <c r="Q300" s="142">
        <v>0</v>
      </c>
      <c r="R300" s="142">
        <v>0</v>
      </c>
      <c r="S300" s="116">
        <v>0</v>
      </c>
      <c r="T300" s="116">
        <v>0</v>
      </c>
      <c r="U300" s="33" t="s">
        <v>226</v>
      </c>
      <c r="V300" s="33">
        <v>2015</v>
      </c>
      <c r="W300" s="33">
        <v>1</v>
      </c>
      <c r="X300" s="33">
        <v>0</v>
      </c>
      <c r="Y300" s="33">
        <v>-1.8E-3</v>
      </c>
      <c r="Z300" s="33">
        <v>-1.2E-2</v>
      </c>
      <c r="AA300" s="33">
        <v>0</v>
      </c>
      <c r="AB300" s="33">
        <v>0</v>
      </c>
      <c r="AC300" s="33" t="s">
        <v>341</v>
      </c>
      <c r="AD300" s="158"/>
    </row>
    <row r="301" spans="1:30" customFormat="1" hidden="1" x14ac:dyDescent="0.2">
      <c r="A301" s="153">
        <f t="shared" si="4"/>
        <v>277</v>
      </c>
      <c r="B301" s="33">
        <v>1</v>
      </c>
      <c r="C301" s="33">
        <v>7</v>
      </c>
      <c r="D301" s="33">
        <v>25</v>
      </c>
      <c r="E301" s="104">
        <v>2016</v>
      </c>
      <c r="F301" s="159">
        <v>2022</v>
      </c>
      <c r="G301" s="33">
        <v>7</v>
      </c>
      <c r="H301" s="33">
        <v>25</v>
      </c>
      <c r="I301" s="33">
        <v>0</v>
      </c>
      <c r="J301" s="33">
        <v>0</v>
      </c>
      <c r="K301" s="33">
        <v>0</v>
      </c>
      <c r="L301" s="101">
        <v>0.97</v>
      </c>
      <c r="M301" s="108">
        <v>6450</v>
      </c>
      <c r="N301" s="108">
        <v>3075</v>
      </c>
      <c r="O301" s="142">
        <v>150</v>
      </c>
      <c r="P301" s="142">
        <v>0</v>
      </c>
      <c r="Q301" s="142">
        <v>0</v>
      </c>
      <c r="R301" s="142">
        <v>0</v>
      </c>
      <c r="S301" s="116">
        <v>0</v>
      </c>
      <c r="T301" s="116">
        <v>0</v>
      </c>
      <c r="U301" s="33" t="s">
        <v>226</v>
      </c>
      <c r="V301" s="33">
        <v>2015</v>
      </c>
      <c r="W301" s="33">
        <v>1</v>
      </c>
      <c r="X301" s="33">
        <v>0</v>
      </c>
      <c r="Y301" s="33">
        <v>-1.8E-3</v>
      </c>
      <c r="Z301" s="33">
        <v>-1.2E-2</v>
      </c>
      <c r="AA301" s="33">
        <v>0</v>
      </c>
      <c r="AB301" s="33">
        <v>0</v>
      </c>
      <c r="AC301" s="33" t="s">
        <v>341</v>
      </c>
      <c r="AD301" s="158"/>
    </row>
    <row r="302" spans="1:30" customFormat="1" hidden="1" x14ac:dyDescent="0.2">
      <c r="A302" s="153">
        <f t="shared" si="4"/>
        <v>278</v>
      </c>
      <c r="B302" s="33">
        <v>1</v>
      </c>
      <c r="C302" s="33">
        <v>7</v>
      </c>
      <c r="D302" s="33">
        <v>25</v>
      </c>
      <c r="E302" s="104">
        <v>2016</v>
      </c>
      <c r="F302" s="159">
        <v>2022</v>
      </c>
      <c r="G302" s="33">
        <v>8</v>
      </c>
      <c r="H302" s="33">
        <v>25</v>
      </c>
      <c r="I302" s="33">
        <v>0</v>
      </c>
      <c r="J302" s="33">
        <v>0</v>
      </c>
      <c r="K302" s="33">
        <v>0</v>
      </c>
      <c r="L302" s="101">
        <v>0.97</v>
      </c>
      <c r="M302" s="108">
        <v>6450</v>
      </c>
      <c r="N302" s="108">
        <v>3075</v>
      </c>
      <c r="O302" s="142">
        <v>150</v>
      </c>
      <c r="P302" s="142">
        <v>0</v>
      </c>
      <c r="Q302" s="142">
        <v>0</v>
      </c>
      <c r="R302" s="142">
        <v>0</v>
      </c>
      <c r="S302" s="116">
        <v>0</v>
      </c>
      <c r="T302" s="116">
        <v>0</v>
      </c>
      <c r="U302" s="33" t="s">
        <v>226</v>
      </c>
      <c r="V302" s="33">
        <v>2015</v>
      </c>
      <c r="W302" s="33">
        <v>1</v>
      </c>
      <c r="X302" s="33">
        <v>0</v>
      </c>
      <c r="Y302" s="33">
        <v>-1.8E-3</v>
      </c>
      <c r="Z302" s="33">
        <v>-1.2E-2</v>
      </c>
      <c r="AA302" s="33">
        <v>0</v>
      </c>
      <c r="AB302" s="33">
        <v>0</v>
      </c>
      <c r="AC302" s="33" t="s">
        <v>341</v>
      </c>
      <c r="AD302" s="158"/>
    </row>
    <row r="303" spans="1:30" customFormat="1" hidden="1" x14ac:dyDescent="0.2">
      <c r="A303" s="153">
        <f t="shared" si="4"/>
        <v>279</v>
      </c>
      <c r="B303" s="33">
        <v>1</v>
      </c>
      <c r="C303" s="33">
        <v>7</v>
      </c>
      <c r="D303" s="33">
        <v>25</v>
      </c>
      <c r="E303" s="104">
        <v>2016</v>
      </c>
      <c r="F303" s="159">
        <v>2022</v>
      </c>
      <c r="G303" s="33">
        <v>9</v>
      </c>
      <c r="H303" s="33">
        <v>25</v>
      </c>
      <c r="I303" s="33">
        <v>0</v>
      </c>
      <c r="J303" s="33">
        <v>0</v>
      </c>
      <c r="K303" s="33">
        <v>0</v>
      </c>
      <c r="L303" s="101">
        <v>0.97</v>
      </c>
      <c r="M303" s="108">
        <v>6450</v>
      </c>
      <c r="N303" s="108">
        <v>3075</v>
      </c>
      <c r="O303" s="142">
        <v>150</v>
      </c>
      <c r="P303" s="142">
        <v>0</v>
      </c>
      <c r="Q303" s="142">
        <v>0</v>
      </c>
      <c r="R303" s="142">
        <v>0</v>
      </c>
      <c r="S303" s="116">
        <v>0</v>
      </c>
      <c r="T303" s="116">
        <v>0</v>
      </c>
      <c r="U303" s="33" t="s">
        <v>226</v>
      </c>
      <c r="V303" s="33">
        <v>2015</v>
      </c>
      <c r="W303" s="33">
        <v>1</v>
      </c>
      <c r="X303" s="33">
        <v>0</v>
      </c>
      <c r="Y303" s="33">
        <v>-1.8E-3</v>
      </c>
      <c r="Z303" s="33">
        <v>-1.2E-2</v>
      </c>
      <c r="AA303" s="33">
        <v>0</v>
      </c>
      <c r="AB303" s="33">
        <v>0</v>
      </c>
      <c r="AC303" s="33" t="s">
        <v>341</v>
      </c>
      <c r="AD303" s="158"/>
    </row>
    <row r="304" spans="1:30" customFormat="1" hidden="1" x14ac:dyDescent="0.2">
      <c r="A304" s="153">
        <f t="shared" si="4"/>
        <v>280</v>
      </c>
      <c r="B304" s="33">
        <v>1</v>
      </c>
      <c r="C304" s="33">
        <v>7</v>
      </c>
      <c r="D304" s="33">
        <v>25</v>
      </c>
      <c r="E304" s="143">
        <v>2023</v>
      </c>
      <c r="F304" s="159">
        <v>2032</v>
      </c>
      <c r="G304" s="33">
        <v>1</v>
      </c>
      <c r="H304" s="33">
        <v>25</v>
      </c>
      <c r="I304" s="33">
        <v>0</v>
      </c>
      <c r="J304" s="33">
        <v>0</v>
      </c>
      <c r="K304" s="33">
        <v>0</v>
      </c>
      <c r="L304" s="101">
        <v>0.97</v>
      </c>
      <c r="M304" s="108">
        <v>6450</v>
      </c>
      <c r="N304" s="108">
        <v>3075</v>
      </c>
      <c r="O304" s="142">
        <v>600</v>
      </c>
      <c r="P304" s="142">
        <v>0</v>
      </c>
      <c r="Q304" s="149">
        <v>0</v>
      </c>
      <c r="R304" s="149">
        <v>0</v>
      </c>
      <c r="S304" s="116">
        <v>0</v>
      </c>
      <c r="T304" s="116">
        <v>0</v>
      </c>
      <c r="U304" s="33" t="s">
        <v>226</v>
      </c>
      <c r="V304" s="33">
        <v>2015</v>
      </c>
      <c r="W304" s="33">
        <v>1</v>
      </c>
      <c r="X304" s="33">
        <v>0</v>
      </c>
      <c r="Y304" s="33">
        <v>-1.8E-3</v>
      </c>
      <c r="Z304" s="33">
        <v>-1.2E-2</v>
      </c>
      <c r="AA304" s="33">
        <v>0</v>
      </c>
      <c r="AB304" s="33">
        <v>0</v>
      </c>
      <c r="AC304" s="33" t="s">
        <v>341</v>
      </c>
      <c r="AD304" s="158"/>
    </row>
    <row r="305" spans="1:30" customFormat="1" hidden="1" x14ac:dyDescent="0.2">
      <c r="A305" s="153">
        <f t="shared" si="4"/>
        <v>281</v>
      </c>
      <c r="B305" s="33">
        <v>1</v>
      </c>
      <c r="C305" s="33">
        <v>7</v>
      </c>
      <c r="D305" s="33">
        <v>25</v>
      </c>
      <c r="E305" s="143">
        <v>2023</v>
      </c>
      <c r="F305" s="159">
        <v>2032</v>
      </c>
      <c r="G305" s="33">
        <v>2</v>
      </c>
      <c r="H305" s="33">
        <v>25</v>
      </c>
      <c r="I305" s="33">
        <v>0</v>
      </c>
      <c r="J305" s="33">
        <v>0</v>
      </c>
      <c r="K305" s="33">
        <v>0</v>
      </c>
      <c r="L305" s="101">
        <v>0.97</v>
      </c>
      <c r="M305" s="108">
        <v>6450</v>
      </c>
      <c r="N305" s="108">
        <v>3075</v>
      </c>
      <c r="O305" s="142">
        <v>600</v>
      </c>
      <c r="P305" s="142">
        <v>0</v>
      </c>
      <c r="Q305" s="149">
        <v>0</v>
      </c>
      <c r="R305" s="149">
        <v>0</v>
      </c>
      <c r="S305" s="116">
        <v>0</v>
      </c>
      <c r="T305" s="116">
        <v>0</v>
      </c>
      <c r="U305" s="33" t="s">
        <v>226</v>
      </c>
      <c r="V305" s="33">
        <v>2015</v>
      </c>
      <c r="W305" s="33">
        <v>1</v>
      </c>
      <c r="X305" s="33">
        <v>0</v>
      </c>
      <c r="Y305" s="33">
        <v>-1.8E-3</v>
      </c>
      <c r="Z305" s="33">
        <v>-1.2E-2</v>
      </c>
      <c r="AA305" s="33">
        <v>0</v>
      </c>
      <c r="AB305" s="33">
        <v>0</v>
      </c>
      <c r="AC305" s="33" t="s">
        <v>341</v>
      </c>
      <c r="AD305" s="158"/>
    </row>
    <row r="306" spans="1:30" customFormat="1" x14ac:dyDescent="0.2">
      <c r="A306" s="153">
        <f t="shared" si="4"/>
        <v>282</v>
      </c>
      <c r="B306" s="33">
        <v>1</v>
      </c>
      <c r="C306" s="33">
        <v>7</v>
      </c>
      <c r="D306" s="33">
        <v>25</v>
      </c>
      <c r="E306" s="143">
        <v>2023</v>
      </c>
      <c r="F306" s="159">
        <v>2032</v>
      </c>
      <c r="G306" s="33">
        <v>3</v>
      </c>
      <c r="H306" s="33">
        <v>25</v>
      </c>
      <c r="I306" s="33">
        <v>0</v>
      </c>
      <c r="J306" s="33">
        <v>0</v>
      </c>
      <c r="K306" s="33">
        <v>0</v>
      </c>
      <c r="L306" s="101">
        <v>0.97</v>
      </c>
      <c r="M306" s="108">
        <v>6450</v>
      </c>
      <c r="N306" s="108">
        <v>3075</v>
      </c>
      <c r="O306" s="142">
        <v>600</v>
      </c>
      <c r="P306" s="142">
        <v>0</v>
      </c>
      <c r="Q306" s="149">
        <v>0</v>
      </c>
      <c r="R306" s="149">
        <v>0</v>
      </c>
      <c r="S306" s="116">
        <v>0</v>
      </c>
      <c r="T306" s="116">
        <v>0</v>
      </c>
      <c r="U306" s="33" t="s">
        <v>226</v>
      </c>
      <c r="V306" s="33">
        <v>2015</v>
      </c>
      <c r="W306" s="33">
        <v>1</v>
      </c>
      <c r="X306" s="33">
        <v>0</v>
      </c>
      <c r="Y306" s="33">
        <v>-1.8E-3</v>
      </c>
      <c r="Z306" s="33">
        <v>-1.2E-2</v>
      </c>
      <c r="AA306" s="33">
        <v>0</v>
      </c>
      <c r="AB306" s="33">
        <v>0</v>
      </c>
      <c r="AC306" s="33" t="s">
        <v>341</v>
      </c>
      <c r="AD306" s="158"/>
    </row>
    <row r="307" spans="1:30" customFormat="1" hidden="1" x14ac:dyDescent="0.2">
      <c r="A307" s="153">
        <f t="shared" si="4"/>
        <v>283</v>
      </c>
      <c r="B307" s="33">
        <v>1</v>
      </c>
      <c r="C307" s="33">
        <v>7</v>
      </c>
      <c r="D307" s="33">
        <v>25</v>
      </c>
      <c r="E307" s="143">
        <v>2023</v>
      </c>
      <c r="F307" s="159">
        <v>2032</v>
      </c>
      <c r="G307" s="33">
        <v>4</v>
      </c>
      <c r="H307" s="33">
        <v>25</v>
      </c>
      <c r="I307" s="33">
        <v>0</v>
      </c>
      <c r="J307" s="33">
        <v>0</v>
      </c>
      <c r="K307" s="33">
        <v>0</v>
      </c>
      <c r="L307" s="101">
        <v>0.97</v>
      </c>
      <c r="M307" s="108">
        <v>6450</v>
      </c>
      <c r="N307" s="108">
        <v>3075</v>
      </c>
      <c r="O307" s="142">
        <v>600</v>
      </c>
      <c r="P307" s="142">
        <v>0</v>
      </c>
      <c r="Q307" s="149">
        <v>0</v>
      </c>
      <c r="R307" s="149">
        <v>0</v>
      </c>
      <c r="S307" s="116">
        <v>0</v>
      </c>
      <c r="T307" s="116">
        <v>0</v>
      </c>
      <c r="U307" s="33" t="s">
        <v>226</v>
      </c>
      <c r="V307" s="33">
        <v>2015</v>
      </c>
      <c r="W307" s="33">
        <v>1</v>
      </c>
      <c r="X307" s="33">
        <v>0</v>
      </c>
      <c r="Y307" s="33">
        <v>-1.8E-3</v>
      </c>
      <c r="Z307" s="33">
        <v>-1.2E-2</v>
      </c>
      <c r="AA307" s="33">
        <v>0</v>
      </c>
      <c r="AB307" s="33">
        <v>0</v>
      </c>
      <c r="AC307" s="33" t="s">
        <v>341</v>
      </c>
      <c r="AD307" s="158"/>
    </row>
    <row r="308" spans="1:30" customFormat="1" hidden="1" x14ac:dyDescent="0.2">
      <c r="A308" s="153">
        <f t="shared" si="4"/>
        <v>284</v>
      </c>
      <c r="B308" s="33">
        <v>1</v>
      </c>
      <c r="C308" s="33">
        <v>7</v>
      </c>
      <c r="D308" s="33">
        <v>25</v>
      </c>
      <c r="E308" s="143">
        <v>2023</v>
      </c>
      <c r="F308" s="159">
        <v>2032</v>
      </c>
      <c r="G308" s="33">
        <v>5</v>
      </c>
      <c r="H308" s="33">
        <v>25</v>
      </c>
      <c r="I308" s="33">
        <v>0</v>
      </c>
      <c r="J308" s="33">
        <v>0</v>
      </c>
      <c r="K308" s="33">
        <v>0</v>
      </c>
      <c r="L308" s="101">
        <v>0.97</v>
      </c>
      <c r="M308" s="108">
        <v>6450</v>
      </c>
      <c r="N308" s="108">
        <v>3075</v>
      </c>
      <c r="O308" s="142">
        <v>600</v>
      </c>
      <c r="P308" s="142">
        <v>0</v>
      </c>
      <c r="Q308" s="149">
        <v>0</v>
      </c>
      <c r="R308" s="149">
        <v>0</v>
      </c>
      <c r="S308" s="116">
        <v>0</v>
      </c>
      <c r="T308" s="116">
        <v>0</v>
      </c>
      <c r="U308" s="33" t="s">
        <v>226</v>
      </c>
      <c r="V308" s="33">
        <v>2015</v>
      </c>
      <c r="W308" s="33">
        <v>1</v>
      </c>
      <c r="X308" s="33">
        <v>0</v>
      </c>
      <c r="Y308" s="33">
        <v>-1.8E-3</v>
      </c>
      <c r="Z308" s="33">
        <v>-1.2E-2</v>
      </c>
      <c r="AA308" s="33">
        <v>0</v>
      </c>
      <c r="AB308" s="33">
        <v>0</v>
      </c>
      <c r="AC308" s="33" t="s">
        <v>341</v>
      </c>
      <c r="AD308" s="158"/>
    </row>
    <row r="309" spans="1:30" customFormat="1" hidden="1" x14ac:dyDescent="0.2">
      <c r="A309" s="153">
        <f t="shared" si="4"/>
        <v>285</v>
      </c>
      <c r="B309" s="33">
        <v>1</v>
      </c>
      <c r="C309" s="33">
        <v>7</v>
      </c>
      <c r="D309" s="33">
        <v>25</v>
      </c>
      <c r="E309" s="143">
        <v>2023</v>
      </c>
      <c r="F309" s="159">
        <v>2032</v>
      </c>
      <c r="G309" s="33">
        <v>6</v>
      </c>
      <c r="H309" s="33">
        <v>25</v>
      </c>
      <c r="I309" s="33">
        <v>0</v>
      </c>
      <c r="J309" s="33">
        <v>0</v>
      </c>
      <c r="K309" s="33">
        <v>0</v>
      </c>
      <c r="L309" s="101">
        <v>0.97</v>
      </c>
      <c r="M309" s="108">
        <v>6450</v>
      </c>
      <c r="N309" s="108">
        <v>3075</v>
      </c>
      <c r="O309" s="142">
        <v>600</v>
      </c>
      <c r="P309" s="142">
        <v>0</v>
      </c>
      <c r="Q309" s="149">
        <v>0</v>
      </c>
      <c r="R309" s="149">
        <v>0</v>
      </c>
      <c r="S309" s="116">
        <v>0</v>
      </c>
      <c r="T309" s="116">
        <v>0</v>
      </c>
      <c r="U309" s="33" t="s">
        <v>226</v>
      </c>
      <c r="V309" s="33">
        <v>2015</v>
      </c>
      <c r="W309" s="33">
        <v>1</v>
      </c>
      <c r="X309" s="33">
        <v>0</v>
      </c>
      <c r="Y309" s="33">
        <v>-1.8E-3</v>
      </c>
      <c r="Z309" s="33">
        <v>-1.2E-2</v>
      </c>
      <c r="AA309" s="33">
        <v>0</v>
      </c>
      <c r="AB309" s="33">
        <v>0</v>
      </c>
      <c r="AC309" s="33" t="s">
        <v>341</v>
      </c>
      <c r="AD309" s="158"/>
    </row>
    <row r="310" spans="1:30" customFormat="1" hidden="1" x14ac:dyDescent="0.2">
      <c r="A310" s="153">
        <f t="shared" si="4"/>
        <v>286</v>
      </c>
      <c r="B310" s="33">
        <v>1</v>
      </c>
      <c r="C310" s="33">
        <v>7</v>
      </c>
      <c r="D310" s="33">
        <v>25</v>
      </c>
      <c r="E310" s="143">
        <v>2023</v>
      </c>
      <c r="F310" s="159">
        <v>2032</v>
      </c>
      <c r="G310" s="33">
        <v>7</v>
      </c>
      <c r="H310" s="33">
        <v>25</v>
      </c>
      <c r="I310" s="33">
        <v>0</v>
      </c>
      <c r="J310" s="33">
        <v>0</v>
      </c>
      <c r="K310" s="33">
        <v>0</v>
      </c>
      <c r="L310" s="101">
        <v>0.97</v>
      </c>
      <c r="M310" s="108">
        <v>6450</v>
      </c>
      <c r="N310" s="108">
        <v>3075</v>
      </c>
      <c r="O310" s="142">
        <v>600</v>
      </c>
      <c r="P310" s="142">
        <v>0</v>
      </c>
      <c r="Q310" s="149">
        <v>0</v>
      </c>
      <c r="R310" s="149">
        <v>0</v>
      </c>
      <c r="S310" s="116">
        <v>0</v>
      </c>
      <c r="T310" s="116">
        <v>0</v>
      </c>
      <c r="U310" s="33" t="s">
        <v>226</v>
      </c>
      <c r="V310" s="33">
        <v>2015</v>
      </c>
      <c r="W310" s="33">
        <v>1</v>
      </c>
      <c r="X310" s="33">
        <v>0</v>
      </c>
      <c r="Y310" s="33">
        <v>-1.8E-3</v>
      </c>
      <c r="Z310" s="33">
        <v>-1.2E-2</v>
      </c>
      <c r="AA310" s="33">
        <v>0</v>
      </c>
      <c r="AB310" s="33">
        <v>0</v>
      </c>
      <c r="AC310" s="33" t="s">
        <v>341</v>
      </c>
      <c r="AD310" s="158"/>
    </row>
    <row r="311" spans="1:30" customFormat="1" hidden="1" x14ac:dyDescent="0.2">
      <c r="A311" s="153">
        <f t="shared" si="4"/>
        <v>287</v>
      </c>
      <c r="B311" s="33">
        <v>1</v>
      </c>
      <c r="C311" s="33">
        <v>7</v>
      </c>
      <c r="D311" s="33">
        <v>25</v>
      </c>
      <c r="E311" s="143">
        <v>2023</v>
      </c>
      <c r="F311" s="159">
        <v>2032</v>
      </c>
      <c r="G311" s="33">
        <v>8</v>
      </c>
      <c r="H311" s="33">
        <v>25</v>
      </c>
      <c r="I311" s="33">
        <v>0</v>
      </c>
      <c r="J311" s="33">
        <v>0</v>
      </c>
      <c r="K311" s="33">
        <v>0</v>
      </c>
      <c r="L311" s="101">
        <v>0.97</v>
      </c>
      <c r="M311" s="108">
        <v>6450</v>
      </c>
      <c r="N311" s="108">
        <v>3075</v>
      </c>
      <c r="O311" s="142">
        <v>600</v>
      </c>
      <c r="P311" s="142">
        <v>0</v>
      </c>
      <c r="Q311" s="149">
        <v>0</v>
      </c>
      <c r="R311" s="149">
        <v>0</v>
      </c>
      <c r="S311" s="116">
        <v>0</v>
      </c>
      <c r="T311" s="116">
        <v>0</v>
      </c>
      <c r="U311" s="33" t="s">
        <v>226</v>
      </c>
      <c r="V311" s="33">
        <v>2015</v>
      </c>
      <c r="W311" s="33">
        <v>1</v>
      </c>
      <c r="X311" s="33">
        <v>0</v>
      </c>
      <c r="Y311" s="33">
        <v>-1.8E-3</v>
      </c>
      <c r="Z311" s="33">
        <v>-1.2E-2</v>
      </c>
      <c r="AA311" s="33">
        <v>0</v>
      </c>
      <c r="AB311" s="33">
        <v>0</v>
      </c>
      <c r="AC311" s="33" t="s">
        <v>341</v>
      </c>
      <c r="AD311" s="158"/>
    </row>
    <row r="312" spans="1:30" customFormat="1" hidden="1" x14ac:dyDescent="0.2">
      <c r="A312" s="153">
        <f t="shared" si="4"/>
        <v>288</v>
      </c>
      <c r="B312" s="33">
        <v>1</v>
      </c>
      <c r="C312" s="33">
        <v>7</v>
      </c>
      <c r="D312" s="33">
        <v>25</v>
      </c>
      <c r="E312" s="143">
        <v>2023</v>
      </c>
      <c r="F312" s="159">
        <v>2032</v>
      </c>
      <c r="G312" s="33">
        <v>9</v>
      </c>
      <c r="H312" s="33">
        <v>25</v>
      </c>
      <c r="I312" s="33">
        <v>0</v>
      </c>
      <c r="J312" s="33">
        <v>0</v>
      </c>
      <c r="K312" s="33">
        <v>0</v>
      </c>
      <c r="L312" s="101">
        <v>0.97</v>
      </c>
      <c r="M312" s="108">
        <v>6450</v>
      </c>
      <c r="N312" s="108">
        <v>3075</v>
      </c>
      <c r="O312" s="142">
        <v>600</v>
      </c>
      <c r="P312" s="142">
        <v>0</v>
      </c>
      <c r="Q312" s="149">
        <v>0</v>
      </c>
      <c r="R312" s="149">
        <v>0</v>
      </c>
      <c r="S312" s="116">
        <v>0</v>
      </c>
      <c r="T312" s="116">
        <v>0</v>
      </c>
      <c r="U312" s="33" t="s">
        <v>226</v>
      </c>
      <c r="V312" s="33">
        <v>2015</v>
      </c>
      <c r="W312" s="33">
        <v>1</v>
      </c>
      <c r="X312" s="33">
        <v>0</v>
      </c>
      <c r="Y312" s="33">
        <v>-1.8E-3</v>
      </c>
      <c r="Z312" s="33">
        <v>-1.2E-2</v>
      </c>
      <c r="AA312" s="33">
        <v>0</v>
      </c>
      <c r="AB312" s="33">
        <v>0</v>
      </c>
      <c r="AC312" s="33" t="s">
        <v>341</v>
      </c>
      <c r="AD312" s="158"/>
    </row>
    <row r="313" spans="1:30" s="157" customFormat="1" hidden="1" x14ac:dyDescent="0.2">
      <c r="A313" s="153">
        <f t="shared" si="4"/>
        <v>289</v>
      </c>
      <c r="B313" s="49">
        <v>1</v>
      </c>
      <c r="C313" s="49">
        <v>7</v>
      </c>
      <c r="D313" s="49">
        <v>25</v>
      </c>
      <c r="E313" s="166">
        <v>2033</v>
      </c>
      <c r="F313" s="49">
        <v>2050</v>
      </c>
      <c r="G313" s="49">
        <v>1</v>
      </c>
      <c r="H313" s="49">
        <v>25</v>
      </c>
      <c r="I313" s="49">
        <v>0</v>
      </c>
      <c r="J313" s="49">
        <v>0</v>
      </c>
      <c r="K313" s="49">
        <v>0</v>
      </c>
      <c r="L313" s="167">
        <v>0.97</v>
      </c>
      <c r="M313" s="168">
        <v>6450</v>
      </c>
      <c r="N313" s="168">
        <v>3075</v>
      </c>
      <c r="O313" s="51">
        <v>0</v>
      </c>
      <c r="P313" s="51">
        <v>0</v>
      </c>
      <c r="Q313" s="175">
        <v>0</v>
      </c>
      <c r="R313" s="175">
        <v>0</v>
      </c>
      <c r="S313" s="171">
        <v>0</v>
      </c>
      <c r="T313" s="171">
        <v>0</v>
      </c>
      <c r="U313" s="49" t="s">
        <v>226</v>
      </c>
      <c r="V313" s="49">
        <v>2015</v>
      </c>
      <c r="W313" s="49">
        <v>1</v>
      </c>
      <c r="X313" s="49">
        <v>0</v>
      </c>
      <c r="Y313" s="49">
        <v>-1.8E-3</v>
      </c>
      <c r="Z313" s="49">
        <v>-1.2E-2</v>
      </c>
      <c r="AA313" s="49">
        <v>0</v>
      </c>
      <c r="AB313" s="49">
        <v>0</v>
      </c>
      <c r="AC313" s="49" t="s">
        <v>341</v>
      </c>
      <c r="AD313" s="158"/>
    </row>
    <row r="314" spans="1:30" s="157" customFormat="1" hidden="1" x14ac:dyDescent="0.2">
      <c r="A314" s="153">
        <f t="shared" si="4"/>
        <v>290</v>
      </c>
      <c r="B314" s="49">
        <v>1</v>
      </c>
      <c r="C314" s="49">
        <v>7</v>
      </c>
      <c r="D314" s="49">
        <v>25</v>
      </c>
      <c r="E314" s="166">
        <v>2033</v>
      </c>
      <c r="F314" s="49">
        <v>2050</v>
      </c>
      <c r="G314" s="49">
        <v>2</v>
      </c>
      <c r="H314" s="49">
        <v>25</v>
      </c>
      <c r="I314" s="49">
        <v>0</v>
      </c>
      <c r="J314" s="49">
        <v>0</v>
      </c>
      <c r="K314" s="49">
        <v>0</v>
      </c>
      <c r="L314" s="167">
        <v>0.97</v>
      </c>
      <c r="M314" s="168">
        <v>6450</v>
      </c>
      <c r="N314" s="168">
        <v>3075</v>
      </c>
      <c r="O314" s="51">
        <v>0</v>
      </c>
      <c r="P314" s="51">
        <v>0</v>
      </c>
      <c r="Q314" s="175">
        <v>0</v>
      </c>
      <c r="R314" s="175">
        <v>0</v>
      </c>
      <c r="S314" s="171">
        <v>0</v>
      </c>
      <c r="T314" s="171">
        <v>0</v>
      </c>
      <c r="U314" s="49" t="s">
        <v>226</v>
      </c>
      <c r="V314" s="49">
        <v>2015</v>
      </c>
      <c r="W314" s="49">
        <v>1</v>
      </c>
      <c r="X314" s="49">
        <v>0</v>
      </c>
      <c r="Y314" s="49">
        <v>-1.8E-3</v>
      </c>
      <c r="Z314" s="49">
        <v>-1.2E-2</v>
      </c>
      <c r="AA314" s="49">
        <v>0</v>
      </c>
      <c r="AB314" s="49">
        <v>0</v>
      </c>
      <c r="AC314" s="49" t="s">
        <v>341</v>
      </c>
      <c r="AD314" s="158"/>
    </row>
    <row r="315" spans="1:30" s="157" customFormat="1" x14ac:dyDescent="0.2">
      <c r="A315" s="153">
        <f t="shared" si="4"/>
        <v>291</v>
      </c>
      <c r="B315" s="49">
        <v>1</v>
      </c>
      <c r="C315" s="49">
        <v>7</v>
      </c>
      <c r="D315" s="49">
        <v>25</v>
      </c>
      <c r="E315" s="166">
        <v>2033</v>
      </c>
      <c r="F315" s="49">
        <v>2050</v>
      </c>
      <c r="G315" s="49">
        <v>3</v>
      </c>
      <c r="H315" s="49">
        <v>25</v>
      </c>
      <c r="I315" s="49">
        <v>0</v>
      </c>
      <c r="J315" s="49">
        <v>0</v>
      </c>
      <c r="K315" s="49">
        <v>0</v>
      </c>
      <c r="L315" s="167">
        <v>0.97</v>
      </c>
      <c r="M315" s="168">
        <v>6450</v>
      </c>
      <c r="N315" s="168">
        <v>3075</v>
      </c>
      <c r="O315" s="51">
        <v>0</v>
      </c>
      <c r="P315" s="51">
        <v>0</v>
      </c>
      <c r="Q315" s="175">
        <v>0</v>
      </c>
      <c r="R315" s="175">
        <v>0</v>
      </c>
      <c r="S315" s="171">
        <v>0</v>
      </c>
      <c r="T315" s="171">
        <v>0</v>
      </c>
      <c r="U315" s="49" t="s">
        <v>226</v>
      </c>
      <c r="V315" s="49">
        <v>2015</v>
      </c>
      <c r="W315" s="49">
        <v>1</v>
      </c>
      <c r="X315" s="49">
        <v>0</v>
      </c>
      <c r="Y315" s="49">
        <v>-1.8E-3</v>
      </c>
      <c r="Z315" s="49">
        <v>-1.2E-2</v>
      </c>
      <c r="AA315" s="49">
        <v>0</v>
      </c>
      <c r="AB315" s="49">
        <v>0</v>
      </c>
      <c r="AC315" s="49" t="s">
        <v>341</v>
      </c>
      <c r="AD315" s="158"/>
    </row>
    <row r="316" spans="1:30" s="157" customFormat="1" hidden="1" x14ac:dyDescent="0.2">
      <c r="A316" s="153">
        <f t="shared" si="4"/>
        <v>292</v>
      </c>
      <c r="B316" s="49">
        <v>1</v>
      </c>
      <c r="C316" s="49">
        <v>7</v>
      </c>
      <c r="D316" s="49">
        <v>25</v>
      </c>
      <c r="E316" s="166">
        <v>2033</v>
      </c>
      <c r="F316" s="49">
        <v>2050</v>
      </c>
      <c r="G316" s="49">
        <v>4</v>
      </c>
      <c r="H316" s="49">
        <v>25</v>
      </c>
      <c r="I316" s="49">
        <v>0</v>
      </c>
      <c r="J316" s="49">
        <v>0</v>
      </c>
      <c r="K316" s="49">
        <v>0</v>
      </c>
      <c r="L316" s="167">
        <v>0.97</v>
      </c>
      <c r="M316" s="168">
        <v>6450</v>
      </c>
      <c r="N316" s="168">
        <v>3075</v>
      </c>
      <c r="O316" s="51">
        <v>0</v>
      </c>
      <c r="P316" s="51">
        <v>0</v>
      </c>
      <c r="Q316" s="175">
        <v>0</v>
      </c>
      <c r="R316" s="175">
        <v>0</v>
      </c>
      <c r="S316" s="171">
        <v>0</v>
      </c>
      <c r="T316" s="171">
        <v>0</v>
      </c>
      <c r="U316" s="49" t="s">
        <v>226</v>
      </c>
      <c r="V316" s="49">
        <v>2015</v>
      </c>
      <c r="W316" s="49">
        <v>1</v>
      </c>
      <c r="X316" s="49">
        <v>0</v>
      </c>
      <c r="Y316" s="49">
        <v>-1.8E-3</v>
      </c>
      <c r="Z316" s="49">
        <v>-1.2E-2</v>
      </c>
      <c r="AA316" s="49">
        <v>0</v>
      </c>
      <c r="AB316" s="49">
        <v>0</v>
      </c>
      <c r="AC316" s="49" t="s">
        <v>341</v>
      </c>
      <c r="AD316" s="158"/>
    </row>
    <row r="317" spans="1:30" s="157" customFormat="1" hidden="1" x14ac:dyDescent="0.2">
      <c r="A317" s="153">
        <f t="shared" si="4"/>
        <v>293</v>
      </c>
      <c r="B317" s="49">
        <v>1</v>
      </c>
      <c r="C317" s="49">
        <v>7</v>
      </c>
      <c r="D317" s="49">
        <v>25</v>
      </c>
      <c r="E317" s="166">
        <v>2033</v>
      </c>
      <c r="F317" s="49">
        <v>2050</v>
      </c>
      <c r="G317" s="49">
        <v>5</v>
      </c>
      <c r="H317" s="49">
        <v>25</v>
      </c>
      <c r="I317" s="49">
        <v>0</v>
      </c>
      <c r="J317" s="49">
        <v>0</v>
      </c>
      <c r="K317" s="49">
        <v>0</v>
      </c>
      <c r="L317" s="167">
        <v>0.97</v>
      </c>
      <c r="M317" s="168">
        <v>6450</v>
      </c>
      <c r="N317" s="168">
        <v>3075</v>
      </c>
      <c r="O317" s="51">
        <v>0</v>
      </c>
      <c r="P317" s="51">
        <v>0</v>
      </c>
      <c r="Q317" s="175">
        <v>0</v>
      </c>
      <c r="R317" s="175">
        <v>0</v>
      </c>
      <c r="S317" s="171">
        <v>0</v>
      </c>
      <c r="T317" s="171">
        <v>0</v>
      </c>
      <c r="U317" s="49" t="s">
        <v>226</v>
      </c>
      <c r="V317" s="49">
        <v>2015</v>
      </c>
      <c r="W317" s="49">
        <v>1</v>
      </c>
      <c r="X317" s="49">
        <v>0</v>
      </c>
      <c r="Y317" s="49">
        <v>-1.8E-3</v>
      </c>
      <c r="Z317" s="49">
        <v>-1.2E-2</v>
      </c>
      <c r="AA317" s="49">
        <v>0</v>
      </c>
      <c r="AB317" s="49">
        <v>0</v>
      </c>
      <c r="AC317" s="49" t="s">
        <v>341</v>
      </c>
      <c r="AD317" s="158"/>
    </row>
    <row r="318" spans="1:30" s="157" customFormat="1" hidden="1" x14ac:dyDescent="0.2">
      <c r="A318" s="153">
        <f t="shared" si="4"/>
        <v>294</v>
      </c>
      <c r="B318" s="49">
        <v>1</v>
      </c>
      <c r="C318" s="49">
        <v>7</v>
      </c>
      <c r="D318" s="49">
        <v>25</v>
      </c>
      <c r="E318" s="166">
        <v>2033</v>
      </c>
      <c r="F318" s="49">
        <v>2050</v>
      </c>
      <c r="G318" s="49">
        <v>6</v>
      </c>
      <c r="H318" s="49">
        <v>25</v>
      </c>
      <c r="I318" s="49">
        <v>0</v>
      </c>
      <c r="J318" s="49">
        <v>0</v>
      </c>
      <c r="K318" s="49">
        <v>0</v>
      </c>
      <c r="L318" s="167">
        <v>0.97</v>
      </c>
      <c r="M318" s="168">
        <v>6450</v>
      </c>
      <c r="N318" s="168">
        <v>3075</v>
      </c>
      <c r="O318" s="51">
        <v>0</v>
      </c>
      <c r="P318" s="51">
        <v>0</v>
      </c>
      <c r="Q318" s="175">
        <v>0</v>
      </c>
      <c r="R318" s="175">
        <v>0</v>
      </c>
      <c r="S318" s="171">
        <v>0</v>
      </c>
      <c r="T318" s="171">
        <v>0</v>
      </c>
      <c r="U318" s="49" t="s">
        <v>226</v>
      </c>
      <c r="V318" s="49">
        <v>2015</v>
      </c>
      <c r="W318" s="49">
        <v>1</v>
      </c>
      <c r="X318" s="49">
        <v>0</v>
      </c>
      <c r="Y318" s="49">
        <v>-1.8E-3</v>
      </c>
      <c r="Z318" s="49">
        <v>-1.2E-2</v>
      </c>
      <c r="AA318" s="49">
        <v>0</v>
      </c>
      <c r="AB318" s="49">
        <v>0</v>
      </c>
      <c r="AC318" s="49" t="s">
        <v>341</v>
      </c>
      <c r="AD318" s="158"/>
    </row>
    <row r="319" spans="1:30" s="157" customFormat="1" hidden="1" x14ac:dyDescent="0.2">
      <c r="A319" s="153">
        <f t="shared" si="4"/>
        <v>295</v>
      </c>
      <c r="B319" s="49">
        <v>1</v>
      </c>
      <c r="C319" s="49">
        <v>7</v>
      </c>
      <c r="D319" s="49">
        <v>25</v>
      </c>
      <c r="E319" s="166">
        <v>2033</v>
      </c>
      <c r="F319" s="49">
        <v>2050</v>
      </c>
      <c r="G319" s="49">
        <v>7</v>
      </c>
      <c r="H319" s="49">
        <v>25</v>
      </c>
      <c r="I319" s="49">
        <v>0</v>
      </c>
      <c r="J319" s="49">
        <v>0</v>
      </c>
      <c r="K319" s="49">
        <v>0</v>
      </c>
      <c r="L319" s="167">
        <v>0.97</v>
      </c>
      <c r="M319" s="168">
        <v>6450</v>
      </c>
      <c r="N319" s="168">
        <v>3075</v>
      </c>
      <c r="O319" s="51">
        <v>0</v>
      </c>
      <c r="P319" s="51">
        <v>0</v>
      </c>
      <c r="Q319" s="175">
        <v>0</v>
      </c>
      <c r="R319" s="175">
        <v>0</v>
      </c>
      <c r="S319" s="171">
        <v>0</v>
      </c>
      <c r="T319" s="171">
        <v>0</v>
      </c>
      <c r="U319" s="49" t="s">
        <v>226</v>
      </c>
      <c r="V319" s="49">
        <v>2015</v>
      </c>
      <c r="W319" s="49">
        <v>1</v>
      </c>
      <c r="X319" s="49">
        <v>0</v>
      </c>
      <c r="Y319" s="49">
        <v>-1.8E-3</v>
      </c>
      <c r="Z319" s="49">
        <v>-1.2E-2</v>
      </c>
      <c r="AA319" s="49">
        <v>0</v>
      </c>
      <c r="AB319" s="49">
        <v>0</v>
      </c>
      <c r="AC319" s="49" t="s">
        <v>341</v>
      </c>
      <c r="AD319" s="158"/>
    </row>
    <row r="320" spans="1:30" s="157" customFormat="1" hidden="1" x14ac:dyDescent="0.2">
      <c r="A320" s="153">
        <f t="shared" si="4"/>
        <v>296</v>
      </c>
      <c r="B320" s="49">
        <v>1</v>
      </c>
      <c r="C320" s="49">
        <v>7</v>
      </c>
      <c r="D320" s="49">
        <v>25</v>
      </c>
      <c r="E320" s="166">
        <v>2033</v>
      </c>
      <c r="F320" s="49">
        <v>2050</v>
      </c>
      <c r="G320" s="49">
        <v>8</v>
      </c>
      <c r="H320" s="49">
        <v>25</v>
      </c>
      <c r="I320" s="49">
        <v>0</v>
      </c>
      <c r="J320" s="49">
        <v>0</v>
      </c>
      <c r="K320" s="49">
        <v>0</v>
      </c>
      <c r="L320" s="167">
        <v>0.97</v>
      </c>
      <c r="M320" s="168">
        <v>6450</v>
      </c>
      <c r="N320" s="168">
        <v>3075</v>
      </c>
      <c r="O320" s="51">
        <v>0</v>
      </c>
      <c r="P320" s="51">
        <v>0</v>
      </c>
      <c r="Q320" s="175">
        <v>0</v>
      </c>
      <c r="R320" s="175">
        <v>0</v>
      </c>
      <c r="S320" s="171">
        <v>0</v>
      </c>
      <c r="T320" s="171">
        <v>0</v>
      </c>
      <c r="U320" s="49" t="s">
        <v>226</v>
      </c>
      <c r="V320" s="49">
        <v>2015</v>
      </c>
      <c r="W320" s="49">
        <v>1</v>
      </c>
      <c r="X320" s="49">
        <v>0</v>
      </c>
      <c r="Y320" s="49">
        <v>-1.8E-3</v>
      </c>
      <c r="Z320" s="49">
        <v>-1.2E-2</v>
      </c>
      <c r="AA320" s="49">
        <v>0</v>
      </c>
      <c r="AB320" s="49">
        <v>0</v>
      </c>
      <c r="AC320" s="49" t="s">
        <v>341</v>
      </c>
      <c r="AD320" s="158"/>
    </row>
    <row r="321" spans="1:30" s="157" customFormat="1" hidden="1" x14ac:dyDescent="0.2">
      <c r="A321" s="153">
        <f t="shared" si="4"/>
        <v>297</v>
      </c>
      <c r="B321" s="49">
        <v>1</v>
      </c>
      <c r="C321" s="49">
        <v>7</v>
      </c>
      <c r="D321" s="49">
        <v>25</v>
      </c>
      <c r="E321" s="166">
        <v>2033</v>
      </c>
      <c r="F321" s="49">
        <v>2050</v>
      </c>
      <c r="G321" s="49">
        <v>9</v>
      </c>
      <c r="H321" s="49">
        <v>25</v>
      </c>
      <c r="I321" s="49">
        <v>0</v>
      </c>
      <c r="J321" s="49">
        <v>0</v>
      </c>
      <c r="K321" s="49">
        <v>0</v>
      </c>
      <c r="L321" s="167">
        <v>0.97</v>
      </c>
      <c r="M321" s="168">
        <v>6450</v>
      </c>
      <c r="N321" s="168">
        <v>3075</v>
      </c>
      <c r="O321" s="51">
        <v>0</v>
      </c>
      <c r="P321" s="51">
        <v>0</v>
      </c>
      <c r="Q321" s="175">
        <v>0</v>
      </c>
      <c r="R321" s="175">
        <v>0</v>
      </c>
      <c r="S321" s="171">
        <v>0</v>
      </c>
      <c r="T321" s="171">
        <v>0</v>
      </c>
      <c r="U321" s="49" t="s">
        <v>226</v>
      </c>
      <c r="V321" s="49">
        <v>2015</v>
      </c>
      <c r="W321" s="49">
        <v>1</v>
      </c>
      <c r="X321" s="49">
        <v>0</v>
      </c>
      <c r="Y321" s="49">
        <v>-1.8E-3</v>
      </c>
      <c r="Z321" s="49">
        <v>-1.2E-2</v>
      </c>
      <c r="AA321" s="49">
        <v>0</v>
      </c>
      <c r="AB321" s="49">
        <v>0</v>
      </c>
      <c r="AC321" s="49" t="s">
        <v>341</v>
      </c>
      <c r="AD321" s="158"/>
    </row>
    <row r="322" spans="1:30" customFormat="1" hidden="1" x14ac:dyDescent="0.2">
      <c r="A322" s="153">
        <f t="shared" si="4"/>
        <v>298</v>
      </c>
      <c r="B322" s="33">
        <v>1</v>
      </c>
      <c r="C322" s="33">
        <v>8</v>
      </c>
      <c r="D322" s="33">
        <v>26</v>
      </c>
      <c r="E322" s="104">
        <v>2016</v>
      </c>
      <c r="F322" s="33">
        <v>2021</v>
      </c>
      <c r="G322" s="33">
        <v>11</v>
      </c>
      <c r="H322" s="33">
        <v>26</v>
      </c>
      <c r="I322" s="33">
        <v>0</v>
      </c>
      <c r="J322" s="33">
        <v>0</v>
      </c>
      <c r="K322" s="33">
        <v>0</v>
      </c>
      <c r="L322" s="101">
        <v>0.84</v>
      </c>
      <c r="M322" s="108">
        <v>9125</v>
      </c>
      <c r="N322" s="108">
        <v>4150</v>
      </c>
      <c r="O322" s="142">
        <v>0</v>
      </c>
      <c r="P322" s="142">
        <v>0</v>
      </c>
      <c r="Q322" s="142">
        <v>0</v>
      </c>
      <c r="R322" s="142">
        <v>0</v>
      </c>
      <c r="S322" s="116">
        <v>0</v>
      </c>
      <c r="T322" s="116">
        <v>0</v>
      </c>
      <c r="U322" s="33" t="s">
        <v>226</v>
      </c>
      <c r="V322" s="33">
        <v>2015</v>
      </c>
      <c r="W322" s="33">
        <v>1</v>
      </c>
      <c r="X322" s="33">
        <v>0</v>
      </c>
      <c r="Y322" s="33">
        <v>-1.8E-3</v>
      </c>
      <c r="Z322" s="33">
        <v>-1.2E-2</v>
      </c>
      <c r="AA322" s="33">
        <v>0</v>
      </c>
      <c r="AB322" s="33">
        <v>0</v>
      </c>
      <c r="AC322" s="33" t="s">
        <v>371</v>
      </c>
      <c r="AD322" s="158"/>
    </row>
    <row r="323" spans="1:30" customFormat="1" hidden="1" x14ac:dyDescent="0.2">
      <c r="A323" s="153">
        <f t="shared" si="4"/>
        <v>299</v>
      </c>
      <c r="B323" s="33">
        <v>1</v>
      </c>
      <c r="C323" s="33">
        <v>8</v>
      </c>
      <c r="D323" s="33">
        <v>26</v>
      </c>
      <c r="E323" s="104">
        <v>2022</v>
      </c>
      <c r="F323" s="33">
        <v>2050</v>
      </c>
      <c r="G323" s="33">
        <v>11</v>
      </c>
      <c r="H323" s="33">
        <v>26</v>
      </c>
      <c r="I323" s="33">
        <v>0</v>
      </c>
      <c r="J323" s="33">
        <v>0</v>
      </c>
      <c r="K323" s="33">
        <v>0</v>
      </c>
      <c r="L323" s="101">
        <v>0.86</v>
      </c>
      <c r="M323" s="108">
        <v>9425</v>
      </c>
      <c r="N323" s="108">
        <v>4475</v>
      </c>
      <c r="O323" s="142">
        <v>0</v>
      </c>
      <c r="P323" s="142">
        <v>0</v>
      </c>
      <c r="Q323" s="142">
        <v>0</v>
      </c>
      <c r="R323" s="142">
        <v>0</v>
      </c>
      <c r="S323" s="116">
        <v>0</v>
      </c>
      <c r="T323" s="116">
        <v>0</v>
      </c>
      <c r="U323" s="33" t="s">
        <v>226</v>
      </c>
      <c r="V323" s="33">
        <v>2015</v>
      </c>
      <c r="W323" s="33">
        <v>1</v>
      </c>
      <c r="X323" s="33">
        <v>0</v>
      </c>
      <c r="Y323" s="33">
        <v>-1.8E-3</v>
      </c>
      <c r="Z323" s="33">
        <v>-1.2E-2</v>
      </c>
      <c r="AA323" s="33">
        <v>0</v>
      </c>
      <c r="AB323" s="33">
        <v>0</v>
      </c>
      <c r="AC323" s="33" t="s">
        <v>371</v>
      </c>
      <c r="AD323" s="158"/>
    </row>
    <row r="324" spans="1:30" customFormat="1" hidden="1" x14ac:dyDescent="0.2">
      <c r="A324" s="153">
        <f t="shared" si="4"/>
        <v>300</v>
      </c>
      <c r="B324" s="33">
        <v>1</v>
      </c>
      <c r="C324" s="33">
        <v>8</v>
      </c>
      <c r="D324" s="33">
        <v>27</v>
      </c>
      <c r="E324" s="104">
        <v>2016</v>
      </c>
      <c r="F324" s="33">
        <v>2021</v>
      </c>
      <c r="G324" s="33">
        <v>11</v>
      </c>
      <c r="H324" s="33">
        <v>27</v>
      </c>
      <c r="I324" s="33">
        <v>0</v>
      </c>
      <c r="J324" s="33">
        <v>0</v>
      </c>
      <c r="K324" s="33">
        <v>0</v>
      </c>
      <c r="L324" s="101">
        <v>0.84</v>
      </c>
      <c r="M324" s="108">
        <v>9125</v>
      </c>
      <c r="N324" s="108">
        <v>4150</v>
      </c>
      <c r="O324" s="142">
        <v>0</v>
      </c>
      <c r="P324" s="142">
        <v>0</v>
      </c>
      <c r="Q324" s="142">
        <v>0</v>
      </c>
      <c r="R324" s="142">
        <v>0</v>
      </c>
      <c r="S324" s="116">
        <v>0</v>
      </c>
      <c r="T324" s="116">
        <v>0</v>
      </c>
      <c r="U324" s="33" t="s">
        <v>226</v>
      </c>
      <c r="V324" s="33">
        <v>2015</v>
      </c>
      <c r="W324" s="33">
        <v>1</v>
      </c>
      <c r="X324" s="33">
        <v>0</v>
      </c>
      <c r="Y324" s="33">
        <v>-1.8E-3</v>
      </c>
      <c r="Z324" s="33">
        <v>-1.2E-2</v>
      </c>
      <c r="AA324" s="33">
        <v>0</v>
      </c>
      <c r="AB324" s="33">
        <v>0</v>
      </c>
      <c r="AC324" s="33" t="s">
        <v>372</v>
      </c>
      <c r="AD324" s="158"/>
    </row>
    <row r="325" spans="1:30" customFormat="1" hidden="1" x14ac:dyDescent="0.2">
      <c r="A325" s="153">
        <f t="shared" si="4"/>
        <v>301</v>
      </c>
      <c r="B325" s="33">
        <v>1</v>
      </c>
      <c r="C325" s="33">
        <v>8</v>
      </c>
      <c r="D325" s="33">
        <v>27</v>
      </c>
      <c r="E325" s="104">
        <v>2022</v>
      </c>
      <c r="F325" s="33">
        <v>2050</v>
      </c>
      <c r="G325" s="33">
        <v>11</v>
      </c>
      <c r="H325" s="33">
        <v>27</v>
      </c>
      <c r="I325" s="33">
        <v>0</v>
      </c>
      <c r="J325" s="33">
        <v>0</v>
      </c>
      <c r="K325" s="33">
        <v>0</v>
      </c>
      <c r="L325" s="101">
        <v>0.86</v>
      </c>
      <c r="M325" s="108">
        <v>9425</v>
      </c>
      <c r="N325" s="108">
        <v>4475</v>
      </c>
      <c r="O325" s="142">
        <v>0</v>
      </c>
      <c r="P325" s="142">
        <v>0</v>
      </c>
      <c r="Q325" s="149">
        <v>0</v>
      </c>
      <c r="R325" s="149">
        <v>0</v>
      </c>
      <c r="S325" s="116">
        <v>0</v>
      </c>
      <c r="T325" s="116">
        <v>0</v>
      </c>
      <c r="U325" s="33" t="s">
        <v>226</v>
      </c>
      <c r="V325" s="33">
        <v>2015</v>
      </c>
      <c r="W325" s="33">
        <v>1</v>
      </c>
      <c r="X325" s="33">
        <v>0</v>
      </c>
      <c r="Y325" s="33">
        <v>-1.8E-3</v>
      </c>
      <c r="Z325" s="33">
        <v>-1.2E-2</v>
      </c>
      <c r="AA325" s="33">
        <v>0</v>
      </c>
      <c r="AB325" s="33">
        <v>0</v>
      </c>
      <c r="AC325" s="33" t="s">
        <v>372</v>
      </c>
      <c r="AD325" s="158"/>
    </row>
    <row r="326" spans="1:30" customFormat="1" hidden="1" x14ac:dyDescent="0.2">
      <c r="A326" s="153">
        <f t="shared" si="4"/>
        <v>302</v>
      </c>
      <c r="B326" s="33">
        <v>1</v>
      </c>
      <c r="C326" s="33">
        <v>8</v>
      </c>
      <c r="D326" s="33">
        <v>28</v>
      </c>
      <c r="E326" s="104">
        <v>2016</v>
      </c>
      <c r="F326" s="159">
        <v>2022</v>
      </c>
      <c r="G326" s="33">
        <v>1</v>
      </c>
      <c r="H326" s="33">
        <v>28</v>
      </c>
      <c r="I326" s="33">
        <v>0</v>
      </c>
      <c r="J326" s="33">
        <v>0</v>
      </c>
      <c r="K326" s="33">
        <v>0</v>
      </c>
      <c r="L326" s="101">
        <v>0.87</v>
      </c>
      <c r="M326" s="108">
        <v>9425</v>
      </c>
      <c r="N326" s="108">
        <v>4625</v>
      </c>
      <c r="O326" s="160">
        <v>150</v>
      </c>
      <c r="P326" s="142">
        <v>0</v>
      </c>
      <c r="Q326" s="142">
        <v>0</v>
      </c>
      <c r="R326" s="142">
        <v>0</v>
      </c>
      <c r="S326" s="116">
        <v>0</v>
      </c>
      <c r="T326" s="116">
        <v>0</v>
      </c>
      <c r="U326" s="33" t="s">
        <v>226</v>
      </c>
      <c r="V326" s="33">
        <v>2015</v>
      </c>
      <c r="W326" s="33">
        <v>1</v>
      </c>
      <c r="X326" s="33">
        <v>0</v>
      </c>
      <c r="Y326" s="33">
        <v>-1.8E-3</v>
      </c>
      <c r="Z326" s="33">
        <v>-1.2E-2</v>
      </c>
      <c r="AA326" s="33">
        <v>0</v>
      </c>
      <c r="AB326" s="33">
        <v>0</v>
      </c>
      <c r="AC326" s="33" t="s">
        <v>373</v>
      </c>
      <c r="AD326" s="158"/>
    </row>
    <row r="327" spans="1:30" customFormat="1" hidden="1" x14ac:dyDescent="0.2">
      <c r="A327" s="153">
        <f t="shared" si="4"/>
        <v>303</v>
      </c>
      <c r="B327" s="33">
        <v>1</v>
      </c>
      <c r="C327" s="33">
        <v>8</v>
      </c>
      <c r="D327" s="33">
        <v>28</v>
      </c>
      <c r="E327" s="104">
        <v>2016</v>
      </c>
      <c r="F327" s="159">
        <v>2022</v>
      </c>
      <c r="G327" s="33">
        <v>2</v>
      </c>
      <c r="H327" s="33">
        <v>28</v>
      </c>
      <c r="I327" s="33">
        <v>0</v>
      </c>
      <c r="J327" s="33">
        <v>0</v>
      </c>
      <c r="K327" s="33">
        <v>0</v>
      </c>
      <c r="L327" s="101">
        <v>0.87</v>
      </c>
      <c r="M327" s="108">
        <v>9425</v>
      </c>
      <c r="N327" s="108">
        <v>4625</v>
      </c>
      <c r="O327" s="160">
        <v>150</v>
      </c>
      <c r="P327" s="142">
        <v>0</v>
      </c>
      <c r="Q327" s="142">
        <v>0</v>
      </c>
      <c r="R327" s="142">
        <v>0</v>
      </c>
      <c r="S327" s="116">
        <v>0</v>
      </c>
      <c r="T327" s="116">
        <v>0</v>
      </c>
      <c r="U327" s="33" t="s">
        <v>226</v>
      </c>
      <c r="V327" s="33">
        <v>2015</v>
      </c>
      <c r="W327" s="33">
        <v>1</v>
      </c>
      <c r="X327" s="33">
        <v>0</v>
      </c>
      <c r="Y327" s="33">
        <v>-1.8E-3</v>
      </c>
      <c r="Z327" s="33">
        <v>-1.2E-2</v>
      </c>
      <c r="AA327" s="33">
        <v>0</v>
      </c>
      <c r="AB327" s="33">
        <v>0</v>
      </c>
      <c r="AC327" s="33" t="s">
        <v>373</v>
      </c>
      <c r="AD327" s="158"/>
    </row>
    <row r="328" spans="1:30" customFormat="1" x14ac:dyDescent="0.2">
      <c r="A328" s="153">
        <f t="shared" si="4"/>
        <v>304</v>
      </c>
      <c r="B328" s="33">
        <v>1</v>
      </c>
      <c r="C328" s="33">
        <v>8</v>
      </c>
      <c r="D328" s="33">
        <v>28</v>
      </c>
      <c r="E328" s="104">
        <v>2016</v>
      </c>
      <c r="F328" s="159">
        <v>2022</v>
      </c>
      <c r="G328" s="33">
        <v>3</v>
      </c>
      <c r="H328" s="33">
        <v>28</v>
      </c>
      <c r="I328" s="33">
        <v>0</v>
      </c>
      <c r="J328" s="33">
        <v>0</v>
      </c>
      <c r="K328" s="33">
        <v>0</v>
      </c>
      <c r="L328" s="101">
        <v>0.87</v>
      </c>
      <c r="M328" s="108">
        <v>9425</v>
      </c>
      <c r="N328" s="108">
        <v>4625</v>
      </c>
      <c r="O328" s="160">
        <v>150</v>
      </c>
      <c r="P328" s="142">
        <v>0</v>
      </c>
      <c r="Q328" s="142">
        <v>0</v>
      </c>
      <c r="R328" s="142">
        <v>0</v>
      </c>
      <c r="S328" s="116">
        <v>0</v>
      </c>
      <c r="T328" s="116">
        <v>0</v>
      </c>
      <c r="U328" s="33" t="s">
        <v>226</v>
      </c>
      <c r="V328" s="33">
        <v>2015</v>
      </c>
      <c r="W328" s="33">
        <v>1</v>
      </c>
      <c r="X328" s="33">
        <v>0</v>
      </c>
      <c r="Y328" s="33">
        <v>-1.8E-3</v>
      </c>
      <c r="Z328" s="33">
        <v>-1.2E-2</v>
      </c>
      <c r="AA328" s="33">
        <v>0</v>
      </c>
      <c r="AB328" s="33">
        <v>0</v>
      </c>
      <c r="AC328" s="33" t="s">
        <v>373</v>
      </c>
      <c r="AD328" s="158"/>
    </row>
    <row r="329" spans="1:30" customFormat="1" hidden="1" x14ac:dyDescent="0.2">
      <c r="A329" s="153">
        <f t="shared" si="4"/>
        <v>305</v>
      </c>
      <c r="B329" s="33">
        <v>1</v>
      </c>
      <c r="C329" s="33">
        <v>8</v>
      </c>
      <c r="D329" s="33">
        <v>28</v>
      </c>
      <c r="E329" s="104">
        <v>2016</v>
      </c>
      <c r="F329" s="159">
        <v>2022</v>
      </c>
      <c r="G329" s="33">
        <v>4</v>
      </c>
      <c r="H329" s="33">
        <v>28</v>
      </c>
      <c r="I329" s="33">
        <v>0</v>
      </c>
      <c r="J329" s="33">
        <v>0</v>
      </c>
      <c r="K329" s="33">
        <v>0</v>
      </c>
      <c r="L329" s="101">
        <v>0.87</v>
      </c>
      <c r="M329" s="108">
        <v>9425</v>
      </c>
      <c r="N329" s="108">
        <v>4625</v>
      </c>
      <c r="O329" s="160">
        <v>150</v>
      </c>
      <c r="P329" s="142">
        <v>0</v>
      </c>
      <c r="Q329" s="142">
        <v>0</v>
      </c>
      <c r="R329" s="142">
        <v>0</v>
      </c>
      <c r="S329" s="116">
        <v>0</v>
      </c>
      <c r="T329" s="116">
        <v>0</v>
      </c>
      <c r="U329" s="33" t="s">
        <v>226</v>
      </c>
      <c r="V329" s="33">
        <v>2015</v>
      </c>
      <c r="W329" s="33">
        <v>1</v>
      </c>
      <c r="X329" s="33">
        <v>0</v>
      </c>
      <c r="Y329" s="33">
        <v>-1.8E-3</v>
      </c>
      <c r="Z329" s="33">
        <v>-1.2E-2</v>
      </c>
      <c r="AA329" s="33">
        <v>0</v>
      </c>
      <c r="AB329" s="33">
        <v>0</v>
      </c>
      <c r="AC329" s="33" t="s">
        <v>373</v>
      </c>
      <c r="AD329" s="158"/>
    </row>
    <row r="330" spans="1:30" customFormat="1" hidden="1" x14ac:dyDescent="0.2">
      <c r="A330" s="153">
        <f t="shared" si="4"/>
        <v>306</v>
      </c>
      <c r="B330" s="33">
        <v>1</v>
      </c>
      <c r="C330" s="33">
        <v>8</v>
      </c>
      <c r="D330" s="33">
        <v>28</v>
      </c>
      <c r="E330" s="104">
        <v>2016</v>
      </c>
      <c r="F330" s="159">
        <v>2022</v>
      </c>
      <c r="G330" s="33">
        <v>5</v>
      </c>
      <c r="H330" s="33">
        <v>28</v>
      </c>
      <c r="I330" s="33">
        <v>0</v>
      </c>
      <c r="J330" s="33">
        <v>0</v>
      </c>
      <c r="K330" s="33">
        <v>0</v>
      </c>
      <c r="L330" s="101">
        <v>0.87</v>
      </c>
      <c r="M330" s="108">
        <v>9425</v>
      </c>
      <c r="N330" s="108">
        <v>4625</v>
      </c>
      <c r="O330" s="160">
        <v>150</v>
      </c>
      <c r="P330" s="142">
        <v>0</v>
      </c>
      <c r="Q330" s="142">
        <v>0</v>
      </c>
      <c r="R330" s="142">
        <v>0</v>
      </c>
      <c r="S330" s="116">
        <v>0</v>
      </c>
      <c r="T330" s="116">
        <v>0</v>
      </c>
      <c r="U330" s="33" t="s">
        <v>226</v>
      </c>
      <c r="V330" s="33">
        <v>2015</v>
      </c>
      <c r="W330" s="33">
        <v>1</v>
      </c>
      <c r="X330" s="33">
        <v>0</v>
      </c>
      <c r="Y330" s="33">
        <v>-1.8E-3</v>
      </c>
      <c r="Z330" s="33">
        <v>-1.2E-2</v>
      </c>
      <c r="AA330" s="33">
        <v>0</v>
      </c>
      <c r="AB330" s="33">
        <v>0</v>
      </c>
      <c r="AC330" s="33" t="s">
        <v>373</v>
      </c>
      <c r="AD330" s="158"/>
    </row>
    <row r="331" spans="1:30" customFormat="1" hidden="1" x14ac:dyDescent="0.2">
      <c r="A331" s="153">
        <f t="shared" si="4"/>
        <v>307</v>
      </c>
      <c r="B331" s="33">
        <v>1</v>
      </c>
      <c r="C331" s="33">
        <v>8</v>
      </c>
      <c r="D331" s="33">
        <v>28</v>
      </c>
      <c r="E331" s="104">
        <v>2016</v>
      </c>
      <c r="F331" s="159">
        <v>2022</v>
      </c>
      <c r="G331" s="33">
        <v>6</v>
      </c>
      <c r="H331" s="33">
        <v>28</v>
      </c>
      <c r="I331" s="33">
        <v>0</v>
      </c>
      <c r="J331" s="33">
        <v>0</v>
      </c>
      <c r="K331" s="33">
        <v>0</v>
      </c>
      <c r="L331" s="101">
        <v>0.87</v>
      </c>
      <c r="M331" s="108">
        <v>9425</v>
      </c>
      <c r="N331" s="108">
        <v>4625</v>
      </c>
      <c r="O331" s="160">
        <v>150</v>
      </c>
      <c r="P331" s="142">
        <v>0</v>
      </c>
      <c r="Q331" s="142">
        <v>0</v>
      </c>
      <c r="R331" s="142">
        <v>0</v>
      </c>
      <c r="S331" s="116">
        <v>0</v>
      </c>
      <c r="T331" s="116">
        <v>0</v>
      </c>
      <c r="U331" s="33" t="s">
        <v>226</v>
      </c>
      <c r="V331" s="33">
        <v>2015</v>
      </c>
      <c r="W331" s="33">
        <v>1</v>
      </c>
      <c r="X331" s="33">
        <v>0</v>
      </c>
      <c r="Y331" s="33">
        <v>-1.8E-3</v>
      </c>
      <c r="Z331" s="33">
        <v>-1.2E-2</v>
      </c>
      <c r="AA331" s="33">
        <v>0</v>
      </c>
      <c r="AB331" s="33">
        <v>0</v>
      </c>
      <c r="AC331" s="33" t="s">
        <v>373</v>
      </c>
      <c r="AD331" s="158"/>
    </row>
    <row r="332" spans="1:30" customFormat="1" hidden="1" x14ac:dyDescent="0.2">
      <c r="A332" s="153">
        <f t="shared" si="4"/>
        <v>308</v>
      </c>
      <c r="B332" s="33">
        <v>1</v>
      </c>
      <c r="C332" s="33">
        <v>8</v>
      </c>
      <c r="D332" s="33">
        <v>28</v>
      </c>
      <c r="E332" s="104">
        <v>2016</v>
      </c>
      <c r="F332" s="159">
        <v>2022</v>
      </c>
      <c r="G332" s="33">
        <v>7</v>
      </c>
      <c r="H332" s="33">
        <v>28</v>
      </c>
      <c r="I332" s="33">
        <v>0</v>
      </c>
      <c r="J332" s="33">
        <v>0</v>
      </c>
      <c r="K332" s="33">
        <v>0</v>
      </c>
      <c r="L332" s="101">
        <v>0.87</v>
      </c>
      <c r="M332" s="108">
        <v>9425</v>
      </c>
      <c r="N332" s="108">
        <v>4625</v>
      </c>
      <c r="O332" s="160">
        <v>150</v>
      </c>
      <c r="P332" s="142">
        <v>0</v>
      </c>
      <c r="Q332" s="142">
        <v>0</v>
      </c>
      <c r="R332" s="142">
        <v>0</v>
      </c>
      <c r="S332" s="116">
        <v>0</v>
      </c>
      <c r="T332" s="116">
        <v>0</v>
      </c>
      <c r="U332" s="33" t="s">
        <v>226</v>
      </c>
      <c r="V332" s="33">
        <v>2015</v>
      </c>
      <c r="W332" s="33">
        <v>1</v>
      </c>
      <c r="X332" s="33">
        <v>0</v>
      </c>
      <c r="Y332" s="33">
        <v>-1.8E-3</v>
      </c>
      <c r="Z332" s="33">
        <v>-1.2E-2</v>
      </c>
      <c r="AA332" s="33">
        <v>0</v>
      </c>
      <c r="AB332" s="33">
        <v>0</v>
      </c>
      <c r="AC332" s="33" t="s">
        <v>373</v>
      </c>
      <c r="AD332" s="158"/>
    </row>
    <row r="333" spans="1:30" customFormat="1" hidden="1" x14ac:dyDescent="0.2">
      <c r="A333" s="153">
        <f t="shared" si="4"/>
        <v>309</v>
      </c>
      <c r="B333" s="33">
        <v>1</v>
      </c>
      <c r="C333" s="33">
        <v>8</v>
      </c>
      <c r="D333" s="33">
        <v>28</v>
      </c>
      <c r="E333" s="104">
        <v>2016</v>
      </c>
      <c r="F333" s="159">
        <v>2022</v>
      </c>
      <c r="G333" s="33">
        <v>8</v>
      </c>
      <c r="H333" s="33">
        <v>28</v>
      </c>
      <c r="I333" s="33">
        <v>0</v>
      </c>
      <c r="J333" s="33">
        <v>0</v>
      </c>
      <c r="K333" s="33">
        <v>0</v>
      </c>
      <c r="L333" s="101">
        <v>0.87</v>
      </c>
      <c r="M333" s="108">
        <v>9425</v>
      </c>
      <c r="N333" s="108">
        <v>4625</v>
      </c>
      <c r="O333" s="160">
        <v>150</v>
      </c>
      <c r="P333" s="142">
        <v>0</v>
      </c>
      <c r="Q333" s="142">
        <v>0</v>
      </c>
      <c r="R333" s="142">
        <v>0</v>
      </c>
      <c r="S333" s="116">
        <v>0</v>
      </c>
      <c r="T333" s="116">
        <v>0</v>
      </c>
      <c r="U333" s="33" t="s">
        <v>226</v>
      </c>
      <c r="V333" s="33">
        <v>2015</v>
      </c>
      <c r="W333" s="33">
        <v>1</v>
      </c>
      <c r="X333" s="33">
        <v>0</v>
      </c>
      <c r="Y333" s="33">
        <v>-1.8E-3</v>
      </c>
      <c r="Z333" s="33">
        <v>-1.2E-2</v>
      </c>
      <c r="AA333" s="33">
        <v>0</v>
      </c>
      <c r="AB333" s="33">
        <v>0</v>
      </c>
      <c r="AC333" s="33" t="s">
        <v>373</v>
      </c>
      <c r="AD333" s="158"/>
    </row>
    <row r="334" spans="1:30" customFormat="1" hidden="1" x14ac:dyDescent="0.2">
      <c r="A334" s="153">
        <f t="shared" si="4"/>
        <v>310</v>
      </c>
      <c r="B334" s="33">
        <v>1</v>
      </c>
      <c r="C334" s="33">
        <v>8</v>
      </c>
      <c r="D334" s="33">
        <v>28</v>
      </c>
      <c r="E334" s="104">
        <v>2016</v>
      </c>
      <c r="F334" s="159">
        <v>2022</v>
      </c>
      <c r="G334" s="33">
        <v>9</v>
      </c>
      <c r="H334" s="33">
        <v>28</v>
      </c>
      <c r="I334" s="33">
        <v>0</v>
      </c>
      <c r="J334" s="33">
        <v>0</v>
      </c>
      <c r="K334" s="33">
        <v>0</v>
      </c>
      <c r="L334" s="101">
        <v>0.87</v>
      </c>
      <c r="M334" s="108">
        <v>9425</v>
      </c>
      <c r="N334" s="108">
        <v>4625</v>
      </c>
      <c r="O334" s="160">
        <v>150</v>
      </c>
      <c r="P334" s="142">
        <v>0</v>
      </c>
      <c r="Q334" s="142">
        <v>0</v>
      </c>
      <c r="R334" s="142">
        <v>0</v>
      </c>
      <c r="S334" s="116">
        <v>0</v>
      </c>
      <c r="T334" s="116">
        <v>0</v>
      </c>
      <c r="U334" s="33" t="s">
        <v>226</v>
      </c>
      <c r="V334" s="33">
        <v>2015</v>
      </c>
      <c r="W334" s="33">
        <v>1</v>
      </c>
      <c r="X334" s="33">
        <v>0</v>
      </c>
      <c r="Y334" s="33">
        <v>-1.8E-3</v>
      </c>
      <c r="Z334" s="33">
        <v>-1.2E-2</v>
      </c>
      <c r="AA334" s="33">
        <v>0</v>
      </c>
      <c r="AB334" s="33">
        <v>0</v>
      </c>
      <c r="AC334" s="33" t="s">
        <v>373</v>
      </c>
      <c r="AD334" s="158"/>
    </row>
    <row r="335" spans="1:30" s="157" customFormat="1" hidden="1" x14ac:dyDescent="0.2">
      <c r="A335" s="153">
        <f t="shared" si="4"/>
        <v>311</v>
      </c>
      <c r="B335" s="49">
        <v>1</v>
      </c>
      <c r="C335" s="49">
        <v>8</v>
      </c>
      <c r="D335" s="49">
        <v>28</v>
      </c>
      <c r="E335" s="166">
        <v>2023</v>
      </c>
      <c r="F335" s="49">
        <v>2026</v>
      </c>
      <c r="G335" s="49">
        <v>1</v>
      </c>
      <c r="H335" s="49">
        <v>28</v>
      </c>
      <c r="I335" s="49">
        <v>0</v>
      </c>
      <c r="J335" s="49">
        <v>0</v>
      </c>
      <c r="K335" s="49">
        <v>0</v>
      </c>
      <c r="L335" s="167">
        <v>0.87</v>
      </c>
      <c r="M335" s="168">
        <v>9425</v>
      </c>
      <c r="N335" s="168">
        <v>4625</v>
      </c>
      <c r="O335" s="51">
        <v>600</v>
      </c>
      <c r="P335" s="51">
        <v>0</v>
      </c>
      <c r="Q335" s="51">
        <v>0</v>
      </c>
      <c r="R335" s="51">
        <v>0</v>
      </c>
      <c r="S335" s="171">
        <v>0</v>
      </c>
      <c r="T335" s="171">
        <v>0</v>
      </c>
      <c r="U335" s="49" t="s">
        <v>226</v>
      </c>
      <c r="V335" s="49">
        <v>2015</v>
      </c>
      <c r="W335" s="49">
        <v>1</v>
      </c>
      <c r="X335" s="49">
        <v>0</v>
      </c>
      <c r="Y335" s="49">
        <v>-1.8E-3</v>
      </c>
      <c r="Z335" s="49">
        <v>-1.2E-2</v>
      </c>
      <c r="AA335" s="49">
        <v>0</v>
      </c>
      <c r="AB335" s="49">
        <v>0</v>
      </c>
      <c r="AC335" s="49" t="s">
        <v>373</v>
      </c>
      <c r="AD335" s="158"/>
    </row>
    <row r="336" spans="1:30" s="157" customFormat="1" hidden="1" x14ac:dyDescent="0.2">
      <c r="A336" s="153">
        <f t="shared" si="4"/>
        <v>312</v>
      </c>
      <c r="B336" s="49">
        <v>1</v>
      </c>
      <c r="C336" s="49">
        <v>8</v>
      </c>
      <c r="D336" s="49">
        <v>28</v>
      </c>
      <c r="E336" s="166">
        <v>2023</v>
      </c>
      <c r="F336" s="49">
        <v>2026</v>
      </c>
      <c r="G336" s="49">
        <v>2</v>
      </c>
      <c r="H336" s="49">
        <v>28</v>
      </c>
      <c r="I336" s="49">
        <v>0</v>
      </c>
      <c r="J336" s="49">
        <v>0</v>
      </c>
      <c r="K336" s="49">
        <v>0</v>
      </c>
      <c r="L336" s="167">
        <v>0.87</v>
      </c>
      <c r="M336" s="168">
        <v>9425</v>
      </c>
      <c r="N336" s="168">
        <v>4625</v>
      </c>
      <c r="O336" s="51">
        <v>600</v>
      </c>
      <c r="P336" s="51">
        <v>0</v>
      </c>
      <c r="Q336" s="51">
        <v>0</v>
      </c>
      <c r="R336" s="51">
        <v>0</v>
      </c>
      <c r="S336" s="171">
        <v>0</v>
      </c>
      <c r="T336" s="171">
        <v>0</v>
      </c>
      <c r="U336" s="49" t="s">
        <v>226</v>
      </c>
      <c r="V336" s="49">
        <v>2015</v>
      </c>
      <c r="W336" s="49">
        <v>1</v>
      </c>
      <c r="X336" s="49">
        <v>0</v>
      </c>
      <c r="Y336" s="49">
        <v>-1.8E-3</v>
      </c>
      <c r="Z336" s="49">
        <v>-1.2E-2</v>
      </c>
      <c r="AA336" s="49">
        <v>0</v>
      </c>
      <c r="AB336" s="49">
        <v>0</v>
      </c>
      <c r="AC336" s="49" t="s">
        <v>373</v>
      </c>
      <c r="AD336" s="158"/>
    </row>
    <row r="337" spans="1:30" s="157" customFormat="1" x14ac:dyDescent="0.2">
      <c r="A337" s="153">
        <f t="shared" si="4"/>
        <v>313</v>
      </c>
      <c r="B337" s="49">
        <v>1</v>
      </c>
      <c r="C337" s="49">
        <v>8</v>
      </c>
      <c r="D337" s="49">
        <v>28</v>
      </c>
      <c r="E337" s="166">
        <v>2023</v>
      </c>
      <c r="F337" s="49">
        <v>2026</v>
      </c>
      <c r="G337" s="49">
        <v>3</v>
      </c>
      <c r="H337" s="49">
        <v>28</v>
      </c>
      <c r="I337" s="49">
        <v>0</v>
      </c>
      <c r="J337" s="49">
        <v>0</v>
      </c>
      <c r="K337" s="49">
        <v>0</v>
      </c>
      <c r="L337" s="167">
        <v>0.87</v>
      </c>
      <c r="M337" s="168">
        <v>9425</v>
      </c>
      <c r="N337" s="168">
        <v>4625</v>
      </c>
      <c r="O337" s="51">
        <v>600</v>
      </c>
      <c r="P337" s="51">
        <v>0</v>
      </c>
      <c r="Q337" s="51">
        <v>0</v>
      </c>
      <c r="R337" s="51">
        <v>0</v>
      </c>
      <c r="S337" s="171">
        <v>0</v>
      </c>
      <c r="T337" s="171">
        <v>0</v>
      </c>
      <c r="U337" s="49" t="s">
        <v>226</v>
      </c>
      <c r="V337" s="49">
        <v>2015</v>
      </c>
      <c r="W337" s="49">
        <v>1</v>
      </c>
      <c r="X337" s="49">
        <v>0</v>
      </c>
      <c r="Y337" s="49">
        <v>-1.8E-3</v>
      </c>
      <c r="Z337" s="49">
        <v>-1.2E-2</v>
      </c>
      <c r="AA337" s="49">
        <v>0</v>
      </c>
      <c r="AB337" s="49">
        <v>0</v>
      </c>
      <c r="AC337" s="49" t="s">
        <v>373</v>
      </c>
      <c r="AD337" s="158"/>
    </row>
    <row r="338" spans="1:30" s="157" customFormat="1" hidden="1" x14ac:dyDescent="0.2">
      <c r="A338" s="153">
        <f t="shared" si="4"/>
        <v>314</v>
      </c>
      <c r="B338" s="49">
        <v>1</v>
      </c>
      <c r="C338" s="49">
        <v>8</v>
      </c>
      <c r="D338" s="49">
        <v>28</v>
      </c>
      <c r="E338" s="166">
        <v>2023</v>
      </c>
      <c r="F338" s="49">
        <v>2026</v>
      </c>
      <c r="G338" s="49">
        <v>4</v>
      </c>
      <c r="H338" s="49">
        <v>28</v>
      </c>
      <c r="I338" s="49">
        <v>0</v>
      </c>
      <c r="J338" s="49">
        <v>0</v>
      </c>
      <c r="K338" s="49">
        <v>0</v>
      </c>
      <c r="L338" s="167">
        <v>0.87</v>
      </c>
      <c r="M338" s="168">
        <v>9425</v>
      </c>
      <c r="N338" s="168">
        <v>4625</v>
      </c>
      <c r="O338" s="51">
        <v>600</v>
      </c>
      <c r="P338" s="51">
        <v>0</v>
      </c>
      <c r="Q338" s="51">
        <v>0</v>
      </c>
      <c r="R338" s="51">
        <v>0</v>
      </c>
      <c r="S338" s="171">
        <v>0</v>
      </c>
      <c r="T338" s="171">
        <v>0</v>
      </c>
      <c r="U338" s="49" t="s">
        <v>226</v>
      </c>
      <c r="V338" s="49">
        <v>2015</v>
      </c>
      <c r="W338" s="49">
        <v>1</v>
      </c>
      <c r="X338" s="49">
        <v>0</v>
      </c>
      <c r="Y338" s="49">
        <v>-1.8E-3</v>
      </c>
      <c r="Z338" s="49">
        <v>-1.2E-2</v>
      </c>
      <c r="AA338" s="49">
        <v>0</v>
      </c>
      <c r="AB338" s="49">
        <v>0</v>
      </c>
      <c r="AC338" s="49" t="s">
        <v>373</v>
      </c>
      <c r="AD338" s="158"/>
    </row>
    <row r="339" spans="1:30" s="157" customFormat="1" hidden="1" x14ac:dyDescent="0.2">
      <c r="A339" s="153">
        <f t="shared" si="4"/>
        <v>315</v>
      </c>
      <c r="B339" s="49">
        <v>1</v>
      </c>
      <c r="C339" s="49">
        <v>8</v>
      </c>
      <c r="D339" s="49">
        <v>28</v>
      </c>
      <c r="E339" s="166">
        <v>2023</v>
      </c>
      <c r="F339" s="49">
        <v>2026</v>
      </c>
      <c r="G339" s="49">
        <v>5</v>
      </c>
      <c r="H339" s="49">
        <v>28</v>
      </c>
      <c r="I339" s="49">
        <v>0</v>
      </c>
      <c r="J339" s="49">
        <v>0</v>
      </c>
      <c r="K339" s="49">
        <v>0</v>
      </c>
      <c r="L339" s="167">
        <v>0.87</v>
      </c>
      <c r="M339" s="168">
        <v>9425</v>
      </c>
      <c r="N339" s="168">
        <v>4625</v>
      </c>
      <c r="O339" s="51">
        <v>600</v>
      </c>
      <c r="P339" s="51">
        <v>0</v>
      </c>
      <c r="Q339" s="51">
        <v>0</v>
      </c>
      <c r="R339" s="51">
        <v>0</v>
      </c>
      <c r="S339" s="171">
        <v>0</v>
      </c>
      <c r="T339" s="171">
        <v>0</v>
      </c>
      <c r="U339" s="49" t="s">
        <v>226</v>
      </c>
      <c r="V339" s="49">
        <v>2015</v>
      </c>
      <c r="W339" s="49">
        <v>1</v>
      </c>
      <c r="X339" s="49">
        <v>0</v>
      </c>
      <c r="Y339" s="49">
        <v>-1.8E-3</v>
      </c>
      <c r="Z339" s="49">
        <v>-1.2E-2</v>
      </c>
      <c r="AA339" s="49">
        <v>0</v>
      </c>
      <c r="AB339" s="49">
        <v>0</v>
      </c>
      <c r="AC339" s="49" t="s">
        <v>373</v>
      </c>
      <c r="AD339" s="158"/>
    </row>
    <row r="340" spans="1:30" s="157" customFormat="1" hidden="1" x14ac:dyDescent="0.2">
      <c r="A340" s="153">
        <f t="shared" si="4"/>
        <v>316</v>
      </c>
      <c r="B340" s="49">
        <v>1</v>
      </c>
      <c r="C340" s="49">
        <v>8</v>
      </c>
      <c r="D340" s="49">
        <v>28</v>
      </c>
      <c r="E340" s="166">
        <v>2023</v>
      </c>
      <c r="F340" s="49">
        <v>2026</v>
      </c>
      <c r="G340" s="49">
        <v>6</v>
      </c>
      <c r="H340" s="49">
        <v>28</v>
      </c>
      <c r="I340" s="49">
        <v>0</v>
      </c>
      <c r="J340" s="49">
        <v>0</v>
      </c>
      <c r="K340" s="49">
        <v>0</v>
      </c>
      <c r="L340" s="167">
        <v>0.87</v>
      </c>
      <c r="M340" s="168">
        <v>9425</v>
      </c>
      <c r="N340" s="168">
        <v>4625</v>
      </c>
      <c r="O340" s="51">
        <v>600</v>
      </c>
      <c r="P340" s="51">
        <v>0</v>
      </c>
      <c r="Q340" s="51">
        <v>0</v>
      </c>
      <c r="R340" s="51">
        <v>0</v>
      </c>
      <c r="S340" s="171">
        <v>0</v>
      </c>
      <c r="T340" s="171">
        <v>0</v>
      </c>
      <c r="U340" s="49" t="s">
        <v>226</v>
      </c>
      <c r="V340" s="49">
        <v>2015</v>
      </c>
      <c r="W340" s="49">
        <v>1</v>
      </c>
      <c r="X340" s="49">
        <v>0</v>
      </c>
      <c r="Y340" s="49">
        <v>-1.8E-3</v>
      </c>
      <c r="Z340" s="49">
        <v>-1.2E-2</v>
      </c>
      <c r="AA340" s="49">
        <v>0</v>
      </c>
      <c r="AB340" s="49">
        <v>0</v>
      </c>
      <c r="AC340" s="49" t="s">
        <v>373</v>
      </c>
      <c r="AD340" s="158"/>
    </row>
    <row r="341" spans="1:30" s="157" customFormat="1" hidden="1" x14ac:dyDescent="0.2">
      <c r="A341" s="153">
        <f t="shared" si="4"/>
        <v>317</v>
      </c>
      <c r="B341" s="49">
        <v>1</v>
      </c>
      <c r="C341" s="49">
        <v>8</v>
      </c>
      <c r="D341" s="49">
        <v>28</v>
      </c>
      <c r="E341" s="166">
        <v>2023</v>
      </c>
      <c r="F341" s="49">
        <v>2026</v>
      </c>
      <c r="G341" s="49">
        <v>7</v>
      </c>
      <c r="H341" s="49">
        <v>28</v>
      </c>
      <c r="I341" s="49">
        <v>0</v>
      </c>
      <c r="J341" s="49">
        <v>0</v>
      </c>
      <c r="K341" s="49">
        <v>0</v>
      </c>
      <c r="L341" s="167">
        <v>0.87</v>
      </c>
      <c r="M341" s="168">
        <v>9425</v>
      </c>
      <c r="N341" s="168">
        <v>4625</v>
      </c>
      <c r="O341" s="51">
        <v>600</v>
      </c>
      <c r="P341" s="51">
        <v>0</v>
      </c>
      <c r="Q341" s="51">
        <v>0</v>
      </c>
      <c r="R341" s="51">
        <v>0</v>
      </c>
      <c r="S341" s="171">
        <v>0</v>
      </c>
      <c r="T341" s="171">
        <v>0</v>
      </c>
      <c r="U341" s="49" t="s">
        <v>226</v>
      </c>
      <c r="V341" s="49">
        <v>2015</v>
      </c>
      <c r="W341" s="49">
        <v>1</v>
      </c>
      <c r="X341" s="49">
        <v>0</v>
      </c>
      <c r="Y341" s="49">
        <v>-1.8E-3</v>
      </c>
      <c r="Z341" s="49">
        <v>-1.2E-2</v>
      </c>
      <c r="AA341" s="49">
        <v>0</v>
      </c>
      <c r="AB341" s="49">
        <v>0</v>
      </c>
      <c r="AC341" s="49" t="s">
        <v>373</v>
      </c>
      <c r="AD341" s="158"/>
    </row>
    <row r="342" spans="1:30" s="157" customFormat="1" hidden="1" x14ac:dyDescent="0.2">
      <c r="A342" s="153">
        <f t="shared" si="4"/>
        <v>318</v>
      </c>
      <c r="B342" s="49">
        <v>1</v>
      </c>
      <c r="C342" s="49">
        <v>8</v>
      </c>
      <c r="D342" s="49">
        <v>28</v>
      </c>
      <c r="E342" s="166">
        <v>2023</v>
      </c>
      <c r="F342" s="49">
        <v>2026</v>
      </c>
      <c r="G342" s="49">
        <v>8</v>
      </c>
      <c r="H342" s="49">
        <v>28</v>
      </c>
      <c r="I342" s="49">
        <v>0</v>
      </c>
      <c r="J342" s="49">
        <v>0</v>
      </c>
      <c r="K342" s="49">
        <v>0</v>
      </c>
      <c r="L342" s="167">
        <v>0.87</v>
      </c>
      <c r="M342" s="168">
        <v>9425</v>
      </c>
      <c r="N342" s="168">
        <v>4625</v>
      </c>
      <c r="O342" s="51">
        <v>600</v>
      </c>
      <c r="P342" s="51">
        <v>0</v>
      </c>
      <c r="Q342" s="51">
        <v>0</v>
      </c>
      <c r="R342" s="51">
        <v>0</v>
      </c>
      <c r="S342" s="171">
        <v>0</v>
      </c>
      <c r="T342" s="171">
        <v>0</v>
      </c>
      <c r="U342" s="49" t="s">
        <v>226</v>
      </c>
      <c r="V342" s="49">
        <v>2015</v>
      </c>
      <c r="W342" s="49">
        <v>1</v>
      </c>
      <c r="X342" s="49">
        <v>0</v>
      </c>
      <c r="Y342" s="49">
        <v>-1.8E-3</v>
      </c>
      <c r="Z342" s="49">
        <v>-1.2E-2</v>
      </c>
      <c r="AA342" s="49">
        <v>0</v>
      </c>
      <c r="AB342" s="49">
        <v>0</v>
      </c>
      <c r="AC342" s="49" t="s">
        <v>373</v>
      </c>
      <c r="AD342" s="158"/>
    </row>
    <row r="343" spans="1:30" s="157" customFormat="1" hidden="1" x14ac:dyDescent="0.2">
      <c r="A343" s="153">
        <f t="shared" si="4"/>
        <v>319</v>
      </c>
      <c r="B343" s="49">
        <v>1</v>
      </c>
      <c r="C343" s="49">
        <v>8</v>
      </c>
      <c r="D343" s="49">
        <v>28</v>
      </c>
      <c r="E343" s="166">
        <v>2023</v>
      </c>
      <c r="F343" s="49">
        <v>2026</v>
      </c>
      <c r="G343" s="49">
        <v>9</v>
      </c>
      <c r="H343" s="49">
        <v>28</v>
      </c>
      <c r="I343" s="49">
        <v>0</v>
      </c>
      <c r="J343" s="49">
        <v>0</v>
      </c>
      <c r="K343" s="49">
        <v>0</v>
      </c>
      <c r="L343" s="167">
        <v>0.87</v>
      </c>
      <c r="M343" s="168">
        <v>9425</v>
      </c>
      <c r="N343" s="168">
        <v>4625</v>
      </c>
      <c r="O343" s="51">
        <v>600</v>
      </c>
      <c r="P343" s="51">
        <v>0</v>
      </c>
      <c r="Q343" s="51">
        <v>0</v>
      </c>
      <c r="R343" s="51">
        <v>0</v>
      </c>
      <c r="S343" s="171">
        <v>0</v>
      </c>
      <c r="T343" s="171">
        <v>0</v>
      </c>
      <c r="U343" s="49" t="s">
        <v>226</v>
      </c>
      <c r="V343" s="49">
        <v>2015</v>
      </c>
      <c r="W343" s="49">
        <v>1</v>
      </c>
      <c r="X343" s="49">
        <v>0</v>
      </c>
      <c r="Y343" s="49">
        <v>-1.8E-3</v>
      </c>
      <c r="Z343" s="49">
        <v>-1.2E-2</v>
      </c>
      <c r="AA343" s="49">
        <v>0</v>
      </c>
      <c r="AB343" s="49">
        <v>0</v>
      </c>
      <c r="AC343" s="49" t="s">
        <v>373</v>
      </c>
      <c r="AD343" s="158"/>
    </row>
    <row r="344" spans="1:30" s="157" customFormat="1" hidden="1" x14ac:dyDescent="0.2">
      <c r="A344" s="153">
        <f t="shared" si="4"/>
        <v>320</v>
      </c>
      <c r="B344" s="49">
        <v>1</v>
      </c>
      <c r="C344" s="49">
        <v>8</v>
      </c>
      <c r="D344" s="49">
        <v>28</v>
      </c>
      <c r="E344" s="166">
        <v>2027</v>
      </c>
      <c r="F344" s="49">
        <v>2050</v>
      </c>
      <c r="G344" s="49">
        <v>1</v>
      </c>
      <c r="H344" s="49">
        <v>28</v>
      </c>
      <c r="I344" s="49">
        <v>0</v>
      </c>
      <c r="J344" s="49">
        <v>0</v>
      </c>
      <c r="K344" s="49">
        <v>0</v>
      </c>
      <c r="L344" s="167">
        <v>0.87</v>
      </c>
      <c r="M344" s="168">
        <v>9425</v>
      </c>
      <c r="N344" s="168">
        <v>4625</v>
      </c>
      <c r="O344" s="51">
        <v>0</v>
      </c>
      <c r="P344" s="51">
        <v>0</v>
      </c>
      <c r="Q344" s="51">
        <v>0</v>
      </c>
      <c r="R344" s="51">
        <v>0</v>
      </c>
      <c r="S344" s="171">
        <v>0</v>
      </c>
      <c r="T344" s="171">
        <v>0</v>
      </c>
      <c r="U344" s="49" t="s">
        <v>226</v>
      </c>
      <c r="V344" s="49">
        <v>2015</v>
      </c>
      <c r="W344" s="49">
        <v>1</v>
      </c>
      <c r="X344" s="49">
        <v>0</v>
      </c>
      <c r="Y344" s="49">
        <v>-1.8E-3</v>
      </c>
      <c r="Z344" s="49">
        <v>-1.2E-2</v>
      </c>
      <c r="AA344" s="49">
        <v>0</v>
      </c>
      <c r="AB344" s="49">
        <v>0</v>
      </c>
      <c r="AC344" s="49" t="s">
        <v>373</v>
      </c>
      <c r="AD344" s="158"/>
    </row>
    <row r="345" spans="1:30" s="157" customFormat="1" hidden="1" x14ac:dyDescent="0.2">
      <c r="A345" s="153">
        <f t="shared" si="4"/>
        <v>321</v>
      </c>
      <c r="B345" s="49">
        <v>1</v>
      </c>
      <c r="C345" s="49">
        <v>8</v>
      </c>
      <c r="D345" s="49">
        <v>28</v>
      </c>
      <c r="E345" s="166">
        <v>2027</v>
      </c>
      <c r="F345" s="49">
        <v>2050</v>
      </c>
      <c r="G345" s="49">
        <v>2</v>
      </c>
      <c r="H345" s="49">
        <v>28</v>
      </c>
      <c r="I345" s="49">
        <v>0</v>
      </c>
      <c r="J345" s="49">
        <v>0</v>
      </c>
      <c r="K345" s="49">
        <v>0</v>
      </c>
      <c r="L345" s="167">
        <v>0.87</v>
      </c>
      <c r="M345" s="168">
        <v>9425</v>
      </c>
      <c r="N345" s="168">
        <v>4625</v>
      </c>
      <c r="O345" s="51">
        <v>0</v>
      </c>
      <c r="P345" s="51">
        <v>0</v>
      </c>
      <c r="Q345" s="51">
        <v>0</v>
      </c>
      <c r="R345" s="51">
        <v>0</v>
      </c>
      <c r="S345" s="171">
        <v>0</v>
      </c>
      <c r="T345" s="171">
        <v>0</v>
      </c>
      <c r="U345" s="49" t="s">
        <v>226</v>
      </c>
      <c r="V345" s="49">
        <v>2015</v>
      </c>
      <c r="W345" s="49">
        <v>1</v>
      </c>
      <c r="X345" s="49">
        <v>0</v>
      </c>
      <c r="Y345" s="49">
        <v>-1.8E-3</v>
      </c>
      <c r="Z345" s="49">
        <v>-1.2E-2</v>
      </c>
      <c r="AA345" s="49">
        <v>0</v>
      </c>
      <c r="AB345" s="49">
        <v>0</v>
      </c>
      <c r="AC345" s="49" t="s">
        <v>373</v>
      </c>
      <c r="AD345" s="158"/>
    </row>
    <row r="346" spans="1:30" s="157" customFormat="1" x14ac:dyDescent="0.2">
      <c r="A346" s="153">
        <f t="shared" si="4"/>
        <v>322</v>
      </c>
      <c r="B346" s="49">
        <v>1</v>
      </c>
      <c r="C346" s="49">
        <v>8</v>
      </c>
      <c r="D346" s="49">
        <v>28</v>
      </c>
      <c r="E346" s="166">
        <v>2027</v>
      </c>
      <c r="F346" s="49">
        <v>2050</v>
      </c>
      <c r="G346" s="49">
        <v>3</v>
      </c>
      <c r="H346" s="49">
        <v>28</v>
      </c>
      <c r="I346" s="49">
        <v>0</v>
      </c>
      <c r="J346" s="49">
        <v>0</v>
      </c>
      <c r="K346" s="49">
        <v>0</v>
      </c>
      <c r="L346" s="167">
        <v>0.87</v>
      </c>
      <c r="M346" s="168">
        <v>9425</v>
      </c>
      <c r="N346" s="168">
        <v>4625</v>
      </c>
      <c r="O346" s="51">
        <v>0</v>
      </c>
      <c r="P346" s="51">
        <v>0</v>
      </c>
      <c r="Q346" s="51">
        <v>0</v>
      </c>
      <c r="R346" s="51">
        <v>0</v>
      </c>
      <c r="S346" s="171">
        <v>0</v>
      </c>
      <c r="T346" s="171">
        <v>0</v>
      </c>
      <c r="U346" s="49" t="s">
        <v>226</v>
      </c>
      <c r="V346" s="49">
        <v>2015</v>
      </c>
      <c r="W346" s="49">
        <v>1</v>
      </c>
      <c r="X346" s="49">
        <v>0</v>
      </c>
      <c r="Y346" s="49">
        <v>-1.8E-3</v>
      </c>
      <c r="Z346" s="49">
        <v>-1.2E-2</v>
      </c>
      <c r="AA346" s="49">
        <v>0</v>
      </c>
      <c r="AB346" s="49">
        <v>0</v>
      </c>
      <c r="AC346" s="49" t="s">
        <v>373</v>
      </c>
      <c r="AD346" s="158"/>
    </row>
    <row r="347" spans="1:30" s="157" customFormat="1" hidden="1" x14ac:dyDescent="0.2">
      <c r="A347" s="153">
        <f t="shared" ref="A347:A410" si="5">A346+1</f>
        <v>323</v>
      </c>
      <c r="B347" s="49">
        <v>1</v>
      </c>
      <c r="C347" s="49">
        <v>8</v>
      </c>
      <c r="D347" s="49">
        <v>28</v>
      </c>
      <c r="E347" s="166">
        <v>2027</v>
      </c>
      <c r="F347" s="49">
        <v>2050</v>
      </c>
      <c r="G347" s="49">
        <v>4</v>
      </c>
      <c r="H347" s="49">
        <v>28</v>
      </c>
      <c r="I347" s="49">
        <v>0</v>
      </c>
      <c r="J347" s="49">
        <v>0</v>
      </c>
      <c r="K347" s="49">
        <v>0</v>
      </c>
      <c r="L347" s="167">
        <v>0.87</v>
      </c>
      <c r="M347" s="168">
        <v>9425</v>
      </c>
      <c r="N347" s="168">
        <v>4625</v>
      </c>
      <c r="O347" s="51">
        <v>0</v>
      </c>
      <c r="P347" s="51">
        <v>0</v>
      </c>
      <c r="Q347" s="51">
        <v>0</v>
      </c>
      <c r="R347" s="51">
        <v>0</v>
      </c>
      <c r="S347" s="171">
        <v>0</v>
      </c>
      <c r="T347" s="171">
        <v>0</v>
      </c>
      <c r="U347" s="49" t="s">
        <v>226</v>
      </c>
      <c r="V347" s="49">
        <v>2015</v>
      </c>
      <c r="W347" s="49">
        <v>1</v>
      </c>
      <c r="X347" s="49">
        <v>0</v>
      </c>
      <c r="Y347" s="49">
        <v>-1.8E-3</v>
      </c>
      <c r="Z347" s="49">
        <v>-1.2E-2</v>
      </c>
      <c r="AA347" s="49">
        <v>0</v>
      </c>
      <c r="AB347" s="49">
        <v>0</v>
      </c>
      <c r="AC347" s="49" t="s">
        <v>373</v>
      </c>
      <c r="AD347" s="158"/>
    </row>
    <row r="348" spans="1:30" s="157" customFormat="1" hidden="1" x14ac:dyDescent="0.2">
      <c r="A348" s="153">
        <f t="shared" si="5"/>
        <v>324</v>
      </c>
      <c r="B348" s="49">
        <v>1</v>
      </c>
      <c r="C348" s="49">
        <v>8</v>
      </c>
      <c r="D348" s="49">
        <v>28</v>
      </c>
      <c r="E348" s="166">
        <v>2027</v>
      </c>
      <c r="F348" s="49">
        <v>2050</v>
      </c>
      <c r="G348" s="49">
        <v>5</v>
      </c>
      <c r="H348" s="49">
        <v>28</v>
      </c>
      <c r="I348" s="49">
        <v>0</v>
      </c>
      <c r="J348" s="49">
        <v>0</v>
      </c>
      <c r="K348" s="49">
        <v>0</v>
      </c>
      <c r="L348" s="167">
        <v>0.87</v>
      </c>
      <c r="M348" s="168">
        <v>9425</v>
      </c>
      <c r="N348" s="168">
        <v>4625</v>
      </c>
      <c r="O348" s="51">
        <v>0</v>
      </c>
      <c r="P348" s="51">
        <v>0</v>
      </c>
      <c r="Q348" s="51">
        <v>0</v>
      </c>
      <c r="R348" s="51">
        <v>0</v>
      </c>
      <c r="S348" s="171">
        <v>0</v>
      </c>
      <c r="T348" s="171">
        <v>0</v>
      </c>
      <c r="U348" s="49" t="s">
        <v>226</v>
      </c>
      <c r="V348" s="49">
        <v>2015</v>
      </c>
      <c r="W348" s="49">
        <v>1</v>
      </c>
      <c r="X348" s="49">
        <v>0</v>
      </c>
      <c r="Y348" s="49">
        <v>-1.8E-3</v>
      </c>
      <c r="Z348" s="49">
        <v>-1.2E-2</v>
      </c>
      <c r="AA348" s="49">
        <v>0</v>
      </c>
      <c r="AB348" s="49">
        <v>0</v>
      </c>
      <c r="AC348" s="49" t="s">
        <v>373</v>
      </c>
      <c r="AD348" s="158"/>
    </row>
    <row r="349" spans="1:30" s="157" customFormat="1" hidden="1" x14ac:dyDescent="0.2">
      <c r="A349" s="153">
        <f t="shared" si="5"/>
        <v>325</v>
      </c>
      <c r="B349" s="49">
        <v>1</v>
      </c>
      <c r="C349" s="49">
        <v>8</v>
      </c>
      <c r="D349" s="49">
        <v>28</v>
      </c>
      <c r="E349" s="166">
        <v>2027</v>
      </c>
      <c r="F349" s="49">
        <v>2050</v>
      </c>
      <c r="G349" s="49">
        <v>6</v>
      </c>
      <c r="H349" s="49">
        <v>28</v>
      </c>
      <c r="I349" s="49">
        <v>0</v>
      </c>
      <c r="J349" s="49">
        <v>0</v>
      </c>
      <c r="K349" s="49">
        <v>0</v>
      </c>
      <c r="L349" s="167">
        <v>0.87</v>
      </c>
      <c r="M349" s="168">
        <v>9425</v>
      </c>
      <c r="N349" s="168">
        <v>4625</v>
      </c>
      <c r="O349" s="51">
        <v>0</v>
      </c>
      <c r="P349" s="51">
        <v>0</v>
      </c>
      <c r="Q349" s="51">
        <v>0</v>
      </c>
      <c r="R349" s="51">
        <v>0</v>
      </c>
      <c r="S349" s="171">
        <v>0</v>
      </c>
      <c r="T349" s="171">
        <v>0</v>
      </c>
      <c r="U349" s="49" t="s">
        <v>226</v>
      </c>
      <c r="V349" s="49">
        <v>2015</v>
      </c>
      <c r="W349" s="49">
        <v>1</v>
      </c>
      <c r="X349" s="49">
        <v>0</v>
      </c>
      <c r="Y349" s="49">
        <v>-1.8E-3</v>
      </c>
      <c r="Z349" s="49">
        <v>-1.2E-2</v>
      </c>
      <c r="AA349" s="49">
        <v>0</v>
      </c>
      <c r="AB349" s="49">
        <v>0</v>
      </c>
      <c r="AC349" s="49" t="s">
        <v>373</v>
      </c>
      <c r="AD349" s="158"/>
    </row>
    <row r="350" spans="1:30" s="157" customFormat="1" hidden="1" x14ac:dyDescent="0.2">
      <c r="A350" s="153">
        <f t="shared" si="5"/>
        <v>326</v>
      </c>
      <c r="B350" s="49">
        <v>1</v>
      </c>
      <c r="C350" s="49">
        <v>8</v>
      </c>
      <c r="D350" s="49">
        <v>28</v>
      </c>
      <c r="E350" s="166">
        <v>2027</v>
      </c>
      <c r="F350" s="49">
        <v>2050</v>
      </c>
      <c r="G350" s="49">
        <v>7</v>
      </c>
      <c r="H350" s="49">
        <v>28</v>
      </c>
      <c r="I350" s="49">
        <v>0</v>
      </c>
      <c r="J350" s="49">
        <v>0</v>
      </c>
      <c r="K350" s="49">
        <v>0</v>
      </c>
      <c r="L350" s="167">
        <v>0.87</v>
      </c>
      <c r="M350" s="168">
        <v>9425</v>
      </c>
      <c r="N350" s="168">
        <v>4625</v>
      </c>
      <c r="O350" s="51">
        <v>0</v>
      </c>
      <c r="P350" s="51">
        <v>0</v>
      </c>
      <c r="Q350" s="51">
        <v>0</v>
      </c>
      <c r="R350" s="51">
        <v>0</v>
      </c>
      <c r="S350" s="171">
        <v>0</v>
      </c>
      <c r="T350" s="171">
        <v>0</v>
      </c>
      <c r="U350" s="49" t="s">
        <v>226</v>
      </c>
      <c r="V350" s="49">
        <v>2015</v>
      </c>
      <c r="W350" s="49">
        <v>1</v>
      </c>
      <c r="X350" s="49">
        <v>0</v>
      </c>
      <c r="Y350" s="49">
        <v>-1.8E-3</v>
      </c>
      <c r="Z350" s="49">
        <v>-1.2E-2</v>
      </c>
      <c r="AA350" s="49">
        <v>0</v>
      </c>
      <c r="AB350" s="49">
        <v>0</v>
      </c>
      <c r="AC350" s="49" t="s">
        <v>373</v>
      </c>
      <c r="AD350" s="158"/>
    </row>
    <row r="351" spans="1:30" s="157" customFormat="1" hidden="1" x14ac:dyDescent="0.2">
      <c r="A351" s="153">
        <f t="shared" si="5"/>
        <v>327</v>
      </c>
      <c r="B351" s="49">
        <v>1</v>
      </c>
      <c r="C351" s="49">
        <v>8</v>
      </c>
      <c r="D351" s="49">
        <v>28</v>
      </c>
      <c r="E351" s="166">
        <v>2027</v>
      </c>
      <c r="F351" s="49">
        <v>2050</v>
      </c>
      <c r="G351" s="49">
        <v>8</v>
      </c>
      <c r="H351" s="49">
        <v>28</v>
      </c>
      <c r="I351" s="49">
        <v>0</v>
      </c>
      <c r="J351" s="49">
        <v>0</v>
      </c>
      <c r="K351" s="49">
        <v>0</v>
      </c>
      <c r="L351" s="167">
        <v>0.87</v>
      </c>
      <c r="M351" s="168">
        <v>9425</v>
      </c>
      <c r="N351" s="168">
        <v>4625</v>
      </c>
      <c r="O351" s="51">
        <v>0</v>
      </c>
      <c r="P351" s="51">
        <v>0</v>
      </c>
      <c r="Q351" s="51">
        <v>0</v>
      </c>
      <c r="R351" s="51">
        <v>0</v>
      </c>
      <c r="S351" s="171">
        <v>0</v>
      </c>
      <c r="T351" s="171">
        <v>0</v>
      </c>
      <c r="U351" s="49" t="s">
        <v>226</v>
      </c>
      <c r="V351" s="49">
        <v>2015</v>
      </c>
      <c r="W351" s="49">
        <v>1</v>
      </c>
      <c r="X351" s="49">
        <v>0</v>
      </c>
      <c r="Y351" s="49">
        <v>-1.8E-3</v>
      </c>
      <c r="Z351" s="49">
        <v>-1.2E-2</v>
      </c>
      <c r="AA351" s="49">
        <v>0</v>
      </c>
      <c r="AB351" s="49">
        <v>0</v>
      </c>
      <c r="AC351" s="49" t="s">
        <v>373</v>
      </c>
      <c r="AD351" s="158"/>
    </row>
    <row r="352" spans="1:30" s="157" customFormat="1" hidden="1" x14ac:dyDescent="0.2">
      <c r="A352" s="153">
        <f t="shared" si="5"/>
        <v>328</v>
      </c>
      <c r="B352" s="49">
        <v>1</v>
      </c>
      <c r="C352" s="49">
        <v>8</v>
      </c>
      <c r="D352" s="49">
        <v>28</v>
      </c>
      <c r="E352" s="166">
        <v>2027</v>
      </c>
      <c r="F352" s="49">
        <v>2050</v>
      </c>
      <c r="G352" s="49">
        <v>9</v>
      </c>
      <c r="H352" s="49">
        <v>28</v>
      </c>
      <c r="I352" s="49">
        <v>0</v>
      </c>
      <c r="J352" s="49">
        <v>0</v>
      </c>
      <c r="K352" s="49">
        <v>0</v>
      </c>
      <c r="L352" s="167">
        <v>0.87</v>
      </c>
      <c r="M352" s="168">
        <v>9425</v>
      </c>
      <c r="N352" s="168">
        <v>4625</v>
      </c>
      <c r="O352" s="51">
        <v>0</v>
      </c>
      <c r="P352" s="51">
        <v>0</v>
      </c>
      <c r="Q352" s="51">
        <v>0</v>
      </c>
      <c r="R352" s="51">
        <v>0</v>
      </c>
      <c r="S352" s="171">
        <v>0</v>
      </c>
      <c r="T352" s="171">
        <v>0</v>
      </c>
      <c r="U352" s="49" t="s">
        <v>226</v>
      </c>
      <c r="V352" s="49">
        <v>2015</v>
      </c>
      <c r="W352" s="49">
        <v>1</v>
      </c>
      <c r="X352" s="49">
        <v>0</v>
      </c>
      <c r="Y352" s="49">
        <v>-1.8E-3</v>
      </c>
      <c r="Z352" s="49">
        <v>-1.2E-2</v>
      </c>
      <c r="AA352" s="49">
        <v>0</v>
      </c>
      <c r="AB352" s="49">
        <v>0</v>
      </c>
      <c r="AC352" s="49" t="s">
        <v>373</v>
      </c>
      <c r="AD352" s="158"/>
    </row>
    <row r="353" spans="1:30" customFormat="1" hidden="1" x14ac:dyDescent="0.2">
      <c r="A353" s="153">
        <f t="shared" si="5"/>
        <v>329</v>
      </c>
      <c r="B353" s="33">
        <v>1</v>
      </c>
      <c r="C353" s="33">
        <v>8</v>
      </c>
      <c r="D353" s="33">
        <v>29</v>
      </c>
      <c r="E353" s="104">
        <v>2016</v>
      </c>
      <c r="F353" s="159">
        <v>2022</v>
      </c>
      <c r="G353" s="33">
        <v>1</v>
      </c>
      <c r="H353" s="33">
        <v>29</v>
      </c>
      <c r="I353" s="33">
        <v>0</v>
      </c>
      <c r="J353" s="33">
        <v>0</v>
      </c>
      <c r="K353" s="33">
        <v>0</v>
      </c>
      <c r="L353" s="101">
        <v>0.9</v>
      </c>
      <c r="M353" s="108">
        <v>11450</v>
      </c>
      <c r="N353" s="108">
        <v>6425</v>
      </c>
      <c r="O353" s="160">
        <v>150</v>
      </c>
      <c r="P353" s="142">
        <v>0</v>
      </c>
      <c r="Q353" s="142">
        <v>0</v>
      </c>
      <c r="R353" s="142">
        <v>0</v>
      </c>
      <c r="S353" s="116">
        <v>0</v>
      </c>
      <c r="T353" s="116">
        <v>0</v>
      </c>
      <c r="U353" s="33" t="s">
        <v>226</v>
      </c>
      <c r="V353" s="33">
        <v>2015</v>
      </c>
      <c r="W353" s="33">
        <v>1</v>
      </c>
      <c r="X353" s="33">
        <v>0</v>
      </c>
      <c r="Y353" s="33">
        <v>-1.8E-3</v>
      </c>
      <c r="Z353" s="33">
        <v>-1.2E-2</v>
      </c>
      <c r="AA353" s="33">
        <v>0</v>
      </c>
      <c r="AB353" s="33">
        <v>0</v>
      </c>
      <c r="AC353" s="33" t="s">
        <v>374</v>
      </c>
      <c r="AD353" s="158"/>
    </row>
    <row r="354" spans="1:30" customFormat="1" hidden="1" x14ac:dyDescent="0.2">
      <c r="A354" s="153">
        <f t="shared" si="5"/>
        <v>330</v>
      </c>
      <c r="B354" s="33">
        <v>1</v>
      </c>
      <c r="C354" s="33">
        <v>8</v>
      </c>
      <c r="D354" s="33">
        <v>29</v>
      </c>
      <c r="E354" s="104">
        <v>2016</v>
      </c>
      <c r="F354" s="159">
        <v>2022</v>
      </c>
      <c r="G354" s="33">
        <v>2</v>
      </c>
      <c r="H354" s="33">
        <v>29</v>
      </c>
      <c r="I354" s="33">
        <v>0</v>
      </c>
      <c r="J354" s="33">
        <v>0</v>
      </c>
      <c r="K354" s="33">
        <v>0</v>
      </c>
      <c r="L354" s="101">
        <v>0.9</v>
      </c>
      <c r="M354" s="108">
        <v>11450</v>
      </c>
      <c r="N354" s="108">
        <v>6425</v>
      </c>
      <c r="O354" s="160">
        <v>150</v>
      </c>
      <c r="P354" s="142">
        <v>0</v>
      </c>
      <c r="Q354" s="142">
        <v>0</v>
      </c>
      <c r="R354" s="142">
        <v>0</v>
      </c>
      <c r="S354" s="116">
        <v>0</v>
      </c>
      <c r="T354" s="116">
        <v>0</v>
      </c>
      <c r="U354" s="33" t="s">
        <v>226</v>
      </c>
      <c r="V354" s="33">
        <v>2015</v>
      </c>
      <c r="W354" s="33">
        <v>1</v>
      </c>
      <c r="X354" s="33">
        <v>0</v>
      </c>
      <c r="Y354" s="33">
        <v>-1.8E-3</v>
      </c>
      <c r="Z354" s="33">
        <v>-1.2E-2</v>
      </c>
      <c r="AA354" s="33">
        <v>0</v>
      </c>
      <c r="AB354" s="33">
        <v>0</v>
      </c>
      <c r="AC354" s="33" t="s">
        <v>374</v>
      </c>
      <c r="AD354" s="158"/>
    </row>
    <row r="355" spans="1:30" customFormat="1" x14ac:dyDescent="0.2">
      <c r="A355" s="153">
        <f t="shared" si="5"/>
        <v>331</v>
      </c>
      <c r="B355" s="33">
        <v>1</v>
      </c>
      <c r="C355" s="33">
        <v>8</v>
      </c>
      <c r="D355" s="33">
        <v>29</v>
      </c>
      <c r="E355" s="104">
        <v>2016</v>
      </c>
      <c r="F355" s="159">
        <v>2022</v>
      </c>
      <c r="G355" s="33">
        <v>3</v>
      </c>
      <c r="H355" s="33">
        <v>29</v>
      </c>
      <c r="I355" s="33">
        <v>0</v>
      </c>
      <c r="J355" s="33">
        <v>0</v>
      </c>
      <c r="K355" s="33">
        <v>0</v>
      </c>
      <c r="L355" s="101">
        <v>0.9</v>
      </c>
      <c r="M355" s="108">
        <v>11450</v>
      </c>
      <c r="N355" s="108">
        <v>6425</v>
      </c>
      <c r="O355" s="160">
        <v>150</v>
      </c>
      <c r="P355" s="142">
        <v>0</v>
      </c>
      <c r="Q355" s="142">
        <v>0</v>
      </c>
      <c r="R355" s="142">
        <v>0</v>
      </c>
      <c r="S355" s="116">
        <v>0</v>
      </c>
      <c r="T355" s="116">
        <v>0</v>
      </c>
      <c r="U355" s="33" t="s">
        <v>226</v>
      </c>
      <c r="V355" s="33">
        <v>2015</v>
      </c>
      <c r="W355" s="33">
        <v>1</v>
      </c>
      <c r="X355" s="33">
        <v>0</v>
      </c>
      <c r="Y355" s="33">
        <v>-1.8E-3</v>
      </c>
      <c r="Z355" s="33">
        <v>-1.2E-2</v>
      </c>
      <c r="AA355" s="33">
        <v>0</v>
      </c>
      <c r="AB355" s="33">
        <v>0</v>
      </c>
      <c r="AC355" s="33" t="s">
        <v>374</v>
      </c>
      <c r="AD355" s="158"/>
    </row>
    <row r="356" spans="1:30" customFormat="1" hidden="1" x14ac:dyDescent="0.2">
      <c r="A356" s="153">
        <f t="shared" si="5"/>
        <v>332</v>
      </c>
      <c r="B356" s="33">
        <v>1</v>
      </c>
      <c r="C356" s="33">
        <v>8</v>
      </c>
      <c r="D356" s="33">
        <v>29</v>
      </c>
      <c r="E356" s="104">
        <v>2016</v>
      </c>
      <c r="F356" s="159">
        <v>2022</v>
      </c>
      <c r="G356" s="33">
        <v>4</v>
      </c>
      <c r="H356" s="33">
        <v>29</v>
      </c>
      <c r="I356" s="33">
        <v>0</v>
      </c>
      <c r="J356" s="33">
        <v>0</v>
      </c>
      <c r="K356" s="33">
        <v>0</v>
      </c>
      <c r="L356" s="101">
        <v>0.9</v>
      </c>
      <c r="M356" s="108">
        <v>11450</v>
      </c>
      <c r="N356" s="108">
        <v>6425</v>
      </c>
      <c r="O356" s="160">
        <v>150</v>
      </c>
      <c r="P356" s="142">
        <v>0</v>
      </c>
      <c r="Q356" s="142">
        <v>0</v>
      </c>
      <c r="R356" s="142">
        <v>0</v>
      </c>
      <c r="S356" s="116">
        <v>0</v>
      </c>
      <c r="T356" s="116">
        <v>0</v>
      </c>
      <c r="U356" s="33" t="s">
        <v>226</v>
      </c>
      <c r="V356" s="33">
        <v>2015</v>
      </c>
      <c r="W356" s="33">
        <v>1</v>
      </c>
      <c r="X356" s="33">
        <v>0</v>
      </c>
      <c r="Y356" s="33">
        <v>-1.8E-3</v>
      </c>
      <c r="Z356" s="33">
        <v>-1.2E-2</v>
      </c>
      <c r="AA356" s="33">
        <v>0</v>
      </c>
      <c r="AB356" s="33">
        <v>0</v>
      </c>
      <c r="AC356" s="33" t="s">
        <v>374</v>
      </c>
      <c r="AD356" s="158"/>
    </row>
    <row r="357" spans="1:30" customFormat="1" hidden="1" x14ac:dyDescent="0.2">
      <c r="A357" s="153">
        <f t="shared" si="5"/>
        <v>333</v>
      </c>
      <c r="B357" s="33">
        <v>1</v>
      </c>
      <c r="C357" s="33">
        <v>8</v>
      </c>
      <c r="D357" s="33">
        <v>29</v>
      </c>
      <c r="E357" s="104">
        <v>2016</v>
      </c>
      <c r="F357" s="159">
        <v>2022</v>
      </c>
      <c r="G357" s="33">
        <v>5</v>
      </c>
      <c r="H357" s="33">
        <v>29</v>
      </c>
      <c r="I357" s="33">
        <v>0</v>
      </c>
      <c r="J357" s="33">
        <v>0</v>
      </c>
      <c r="K357" s="33">
        <v>0</v>
      </c>
      <c r="L357" s="101">
        <v>0.9</v>
      </c>
      <c r="M357" s="108">
        <v>11450</v>
      </c>
      <c r="N357" s="108">
        <v>6425</v>
      </c>
      <c r="O357" s="160">
        <v>150</v>
      </c>
      <c r="P357" s="142">
        <v>0</v>
      </c>
      <c r="Q357" s="142">
        <v>0</v>
      </c>
      <c r="R357" s="142">
        <v>0</v>
      </c>
      <c r="S357" s="116">
        <v>0</v>
      </c>
      <c r="T357" s="116">
        <v>0</v>
      </c>
      <c r="U357" s="33" t="s">
        <v>226</v>
      </c>
      <c r="V357" s="33">
        <v>2015</v>
      </c>
      <c r="W357" s="33">
        <v>1</v>
      </c>
      <c r="X357" s="33">
        <v>0</v>
      </c>
      <c r="Y357" s="33">
        <v>-1.8E-3</v>
      </c>
      <c r="Z357" s="33">
        <v>-1.2E-2</v>
      </c>
      <c r="AA357" s="33">
        <v>0</v>
      </c>
      <c r="AB357" s="33">
        <v>0</v>
      </c>
      <c r="AC357" s="33" t="s">
        <v>374</v>
      </c>
      <c r="AD357" s="158"/>
    </row>
    <row r="358" spans="1:30" customFormat="1" hidden="1" x14ac:dyDescent="0.2">
      <c r="A358" s="153">
        <f t="shared" si="5"/>
        <v>334</v>
      </c>
      <c r="B358" s="33">
        <v>1</v>
      </c>
      <c r="C358" s="33">
        <v>8</v>
      </c>
      <c r="D358" s="33">
        <v>29</v>
      </c>
      <c r="E358" s="104">
        <v>2016</v>
      </c>
      <c r="F358" s="159">
        <v>2022</v>
      </c>
      <c r="G358" s="33">
        <v>6</v>
      </c>
      <c r="H358" s="33">
        <v>29</v>
      </c>
      <c r="I358" s="33">
        <v>0</v>
      </c>
      <c r="J358" s="33">
        <v>0</v>
      </c>
      <c r="K358" s="33">
        <v>0</v>
      </c>
      <c r="L358" s="101">
        <v>0.9</v>
      </c>
      <c r="M358" s="108">
        <v>11450</v>
      </c>
      <c r="N358" s="108">
        <v>6425</v>
      </c>
      <c r="O358" s="160">
        <v>150</v>
      </c>
      <c r="P358" s="142">
        <v>0</v>
      </c>
      <c r="Q358" s="142">
        <v>0</v>
      </c>
      <c r="R358" s="142">
        <v>0</v>
      </c>
      <c r="S358" s="116">
        <v>0</v>
      </c>
      <c r="T358" s="116">
        <v>0</v>
      </c>
      <c r="U358" s="33" t="s">
        <v>226</v>
      </c>
      <c r="V358" s="33">
        <v>2015</v>
      </c>
      <c r="W358" s="33">
        <v>1</v>
      </c>
      <c r="X358" s="33">
        <v>0</v>
      </c>
      <c r="Y358" s="33">
        <v>-1.8E-3</v>
      </c>
      <c r="Z358" s="33">
        <v>-1.2E-2</v>
      </c>
      <c r="AA358" s="33">
        <v>0</v>
      </c>
      <c r="AB358" s="33">
        <v>0</v>
      </c>
      <c r="AC358" s="33" t="s">
        <v>374</v>
      </c>
      <c r="AD358" s="158"/>
    </row>
    <row r="359" spans="1:30" customFormat="1" hidden="1" x14ac:dyDescent="0.2">
      <c r="A359" s="153">
        <f t="shared" si="5"/>
        <v>335</v>
      </c>
      <c r="B359" s="33">
        <v>1</v>
      </c>
      <c r="C359" s="33">
        <v>8</v>
      </c>
      <c r="D359" s="33">
        <v>29</v>
      </c>
      <c r="E359" s="104">
        <v>2016</v>
      </c>
      <c r="F359" s="159">
        <v>2022</v>
      </c>
      <c r="G359" s="33">
        <v>7</v>
      </c>
      <c r="H359" s="33">
        <v>29</v>
      </c>
      <c r="I359" s="33">
        <v>0</v>
      </c>
      <c r="J359" s="33">
        <v>0</v>
      </c>
      <c r="K359" s="33">
        <v>0</v>
      </c>
      <c r="L359" s="101">
        <v>0.9</v>
      </c>
      <c r="M359" s="108">
        <v>11450</v>
      </c>
      <c r="N359" s="108">
        <v>6425</v>
      </c>
      <c r="O359" s="160">
        <v>150</v>
      </c>
      <c r="P359" s="142">
        <v>0</v>
      </c>
      <c r="Q359" s="142">
        <v>0</v>
      </c>
      <c r="R359" s="142">
        <v>0</v>
      </c>
      <c r="S359" s="116">
        <v>0</v>
      </c>
      <c r="T359" s="116">
        <v>0</v>
      </c>
      <c r="U359" s="33" t="s">
        <v>226</v>
      </c>
      <c r="V359" s="33">
        <v>2015</v>
      </c>
      <c r="W359" s="33">
        <v>1</v>
      </c>
      <c r="X359" s="33">
        <v>0</v>
      </c>
      <c r="Y359" s="33">
        <v>-1.8E-3</v>
      </c>
      <c r="Z359" s="33">
        <v>-1.2E-2</v>
      </c>
      <c r="AA359" s="33">
        <v>0</v>
      </c>
      <c r="AB359" s="33">
        <v>0</v>
      </c>
      <c r="AC359" s="33" t="s">
        <v>374</v>
      </c>
      <c r="AD359" s="158"/>
    </row>
    <row r="360" spans="1:30" customFormat="1" hidden="1" x14ac:dyDescent="0.2">
      <c r="A360" s="153">
        <f t="shared" si="5"/>
        <v>336</v>
      </c>
      <c r="B360" s="33">
        <v>1</v>
      </c>
      <c r="C360" s="33">
        <v>8</v>
      </c>
      <c r="D360" s="33">
        <v>29</v>
      </c>
      <c r="E360" s="104">
        <v>2016</v>
      </c>
      <c r="F360" s="159">
        <v>2022</v>
      </c>
      <c r="G360" s="33">
        <v>8</v>
      </c>
      <c r="H360" s="33">
        <v>29</v>
      </c>
      <c r="I360" s="33">
        <v>0</v>
      </c>
      <c r="J360" s="33">
        <v>0</v>
      </c>
      <c r="K360" s="33">
        <v>0</v>
      </c>
      <c r="L360" s="101">
        <v>0.9</v>
      </c>
      <c r="M360" s="108">
        <v>11450</v>
      </c>
      <c r="N360" s="108">
        <v>6425</v>
      </c>
      <c r="O360" s="160">
        <v>150</v>
      </c>
      <c r="P360" s="142">
        <v>0</v>
      </c>
      <c r="Q360" s="142">
        <v>0</v>
      </c>
      <c r="R360" s="142">
        <v>0</v>
      </c>
      <c r="S360" s="116">
        <v>0</v>
      </c>
      <c r="T360" s="116">
        <v>0</v>
      </c>
      <c r="U360" s="33" t="s">
        <v>226</v>
      </c>
      <c r="V360" s="33">
        <v>2015</v>
      </c>
      <c r="W360" s="33">
        <v>1</v>
      </c>
      <c r="X360" s="33">
        <v>0</v>
      </c>
      <c r="Y360" s="33">
        <v>-1.8E-3</v>
      </c>
      <c r="Z360" s="33">
        <v>-1.2E-2</v>
      </c>
      <c r="AA360" s="33">
        <v>0</v>
      </c>
      <c r="AB360" s="33">
        <v>0</v>
      </c>
      <c r="AC360" s="33" t="s">
        <v>374</v>
      </c>
      <c r="AD360" s="158"/>
    </row>
    <row r="361" spans="1:30" customFormat="1" hidden="1" x14ac:dyDescent="0.2">
      <c r="A361" s="153">
        <f t="shared" si="5"/>
        <v>337</v>
      </c>
      <c r="B361" s="33">
        <v>1</v>
      </c>
      <c r="C361" s="33">
        <v>8</v>
      </c>
      <c r="D361" s="33">
        <v>29</v>
      </c>
      <c r="E361" s="104">
        <v>2016</v>
      </c>
      <c r="F361" s="159">
        <v>2022</v>
      </c>
      <c r="G361" s="33">
        <v>9</v>
      </c>
      <c r="H361" s="33">
        <v>29</v>
      </c>
      <c r="I361" s="33">
        <v>0</v>
      </c>
      <c r="J361" s="33">
        <v>0</v>
      </c>
      <c r="K361" s="33">
        <v>0</v>
      </c>
      <c r="L361" s="101">
        <v>0.9</v>
      </c>
      <c r="M361" s="108">
        <v>11450</v>
      </c>
      <c r="N361" s="108">
        <v>6425</v>
      </c>
      <c r="O361" s="160">
        <v>150</v>
      </c>
      <c r="P361" s="142">
        <v>0</v>
      </c>
      <c r="Q361" s="142">
        <v>0</v>
      </c>
      <c r="R361" s="142">
        <v>0</v>
      </c>
      <c r="S361" s="116">
        <v>0</v>
      </c>
      <c r="T361" s="116">
        <v>0</v>
      </c>
      <c r="U361" s="33" t="s">
        <v>226</v>
      </c>
      <c r="V361" s="33">
        <v>2015</v>
      </c>
      <c r="W361" s="33">
        <v>1</v>
      </c>
      <c r="X361" s="33">
        <v>0</v>
      </c>
      <c r="Y361" s="33">
        <v>-1.8E-3</v>
      </c>
      <c r="Z361" s="33">
        <v>-1.2E-2</v>
      </c>
      <c r="AA361" s="33">
        <v>0</v>
      </c>
      <c r="AB361" s="33">
        <v>0</v>
      </c>
      <c r="AC361" s="33" t="s">
        <v>374</v>
      </c>
      <c r="AD361" s="158"/>
    </row>
    <row r="362" spans="1:30" s="157" customFormat="1" hidden="1" x14ac:dyDescent="0.2">
      <c r="A362" s="153">
        <f t="shared" si="5"/>
        <v>338</v>
      </c>
      <c r="B362" s="49">
        <v>1</v>
      </c>
      <c r="C362" s="49">
        <v>8</v>
      </c>
      <c r="D362" s="49">
        <v>29</v>
      </c>
      <c r="E362" s="166">
        <v>2023</v>
      </c>
      <c r="F362" s="49">
        <v>2032</v>
      </c>
      <c r="G362" s="49">
        <v>1</v>
      </c>
      <c r="H362" s="49">
        <v>29</v>
      </c>
      <c r="I362" s="49">
        <v>0</v>
      </c>
      <c r="J362" s="49">
        <v>0</v>
      </c>
      <c r="K362" s="49">
        <v>0</v>
      </c>
      <c r="L362" s="167">
        <v>0.9</v>
      </c>
      <c r="M362" s="168">
        <v>11450</v>
      </c>
      <c r="N362" s="168">
        <v>6425</v>
      </c>
      <c r="O362" s="51">
        <v>600</v>
      </c>
      <c r="P362" s="51">
        <v>0</v>
      </c>
      <c r="Q362" s="51">
        <v>0</v>
      </c>
      <c r="R362" s="51">
        <v>0</v>
      </c>
      <c r="S362" s="171">
        <v>0</v>
      </c>
      <c r="T362" s="171">
        <v>0</v>
      </c>
      <c r="U362" s="49" t="s">
        <v>226</v>
      </c>
      <c r="V362" s="49">
        <v>2015</v>
      </c>
      <c r="W362" s="49">
        <v>1</v>
      </c>
      <c r="X362" s="49">
        <v>0</v>
      </c>
      <c r="Y362" s="49">
        <v>-1.8E-3</v>
      </c>
      <c r="Z362" s="49">
        <v>-1.2E-2</v>
      </c>
      <c r="AA362" s="49">
        <v>0</v>
      </c>
      <c r="AB362" s="49">
        <v>0</v>
      </c>
      <c r="AC362" s="49" t="s">
        <v>374</v>
      </c>
      <c r="AD362" s="158"/>
    </row>
    <row r="363" spans="1:30" s="157" customFormat="1" hidden="1" x14ac:dyDescent="0.2">
      <c r="A363" s="153">
        <f t="shared" si="5"/>
        <v>339</v>
      </c>
      <c r="B363" s="49">
        <v>1</v>
      </c>
      <c r="C363" s="49">
        <v>8</v>
      </c>
      <c r="D363" s="49">
        <v>29</v>
      </c>
      <c r="E363" s="166">
        <v>2023</v>
      </c>
      <c r="F363" s="49">
        <v>2032</v>
      </c>
      <c r="G363" s="49">
        <v>2</v>
      </c>
      <c r="H363" s="49">
        <v>29</v>
      </c>
      <c r="I363" s="49">
        <v>0</v>
      </c>
      <c r="J363" s="49">
        <v>0</v>
      </c>
      <c r="K363" s="49">
        <v>0</v>
      </c>
      <c r="L363" s="167">
        <v>0.9</v>
      </c>
      <c r="M363" s="168">
        <v>11450</v>
      </c>
      <c r="N363" s="168">
        <v>6425</v>
      </c>
      <c r="O363" s="51">
        <v>600</v>
      </c>
      <c r="P363" s="51">
        <v>0</v>
      </c>
      <c r="Q363" s="51">
        <v>0</v>
      </c>
      <c r="R363" s="51">
        <v>0</v>
      </c>
      <c r="S363" s="171">
        <v>0</v>
      </c>
      <c r="T363" s="171">
        <v>0</v>
      </c>
      <c r="U363" s="49" t="s">
        <v>226</v>
      </c>
      <c r="V363" s="49">
        <v>2015</v>
      </c>
      <c r="W363" s="49">
        <v>1</v>
      </c>
      <c r="X363" s="49">
        <v>0</v>
      </c>
      <c r="Y363" s="49">
        <v>-1.8E-3</v>
      </c>
      <c r="Z363" s="49">
        <v>-1.2E-2</v>
      </c>
      <c r="AA363" s="49">
        <v>0</v>
      </c>
      <c r="AB363" s="49">
        <v>0</v>
      </c>
      <c r="AC363" s="49" t="s">
        <v>374</v>
      </c>
      <c r="AD363" s="158"/>
    </row>
    <row r="364" spans="1:30" s="157" customFormat="1" x14ac:dyDescent="0.2">
      <c r="A364" s="153">
        <f t="shared" si="5"/>
        <v>340</v>
      </c>
      <c r="B364" s="49">
        <v>1</v>
      </c>
      <c r="C364" s="49">
        <v>8</v>
      </c>
      <c r="D364" s="49">
        <v>29</v>
      </c>
      <c r="E364" s="166">
        <v>2023</v>
      </c>
      <c r="F364" s="49">
        <v>2032</v>
      </c>
      <c r="G364" s="49">
        <v>3</v>
      </c>
      <c r="H364" s="49">
        <v>29</v>
      </c>
      <c r="I364" s="49">
        <v>0</v>
      </c>
      <c r="J364" s="49">
        <v>0</v>
      </c>
      <c r="K364" s="49">
        <v>0</v>
      </c>
      <c r="L364" s="167">
        <v>0.9</v>
      </c>
      <c r="M364" s="168">
        <v>11450</v>
      </c>
      <c r="N364" s="168">
        <v>6425</v>
      </c>
      <c r="O364" s="51">
        <v>600</v>
      </c>
      <c r="P364" s="51">
        <v>0</v>
      </c>
      <c r="Q364" s="51">
        <v>0</v>
      </c>
      <c r="R364" s="51">
        <v>0</v>
      </c>
      <c r="S364" s="171">
        <v>0</v>
      </c>
      <c r="T364" s="171">
        <v>0</v>
      </c>
      <c r="U364" s="49" t="s">
        <v>226</v>
      </c>
      <c r="V364" s="49">
        <v>2015</v>
      </c>
      <c r="W364" s="49">
        <v>1</v>
      </c>
      <c r="X364" s="49">
        <v>0</v>
      </c>
      <c r="Y364" s="49">
        <v>-1.8E-3</v>
      </c>
      <c r="Z364" s="49">
        <v>-1.2E-2</v>
      </c>
      <c r="AA364" s="49">
        <v>0</v>
      </c>
      <c r="AB364" s="49">
        <v>0</v>
      </c>
      <c r="AC364" s="49" t="s">
        <v>374</v>
      </c>
      <c r="AD364" s="158"/>
    </row>
    <row r="365" spans="1:30" s="157" customFormat="1" hidden="1" x14ac:dyDescent="0.2">
      <c r="A365" s="153">
        <f t="shared" si="5"/>
        <v>341</v>
      </c>
      <c r="B365" s="49">
        <v>1</v>
      </c>
      <c r="C365" s="49">
        <v>8</v>
      </c>
      <c r="D365" s="49">
        <v>29</v>
      </c>
      <c r="E365" s="166">
        <v>2023</v>
      </c>
      <c r="F365" s="49">
        <v>2032</v>
      </c>
      <c r="G365" s="49">
        <v>4</v>
      </c>
      <c r="H365" s="49">
        <v>29</v>
      </c>
      <c r="I365" s="49">
        <v>0</v>
      </c>
      <c r="J365" s="49">
        <v>0</v>
      </c>
      <c r="K365" s="49">
        <v>0</v>
      </c>
      <c r="L365" s="167">
        <v>0.9</v>
      </c>
      <c r="M365" s="168">
        <v>11450</v>
      </c>
      <c r="N365" s="168">
        <v>6425</v>
      </c>
      <c r="O365" s="51">
        <v>600</v>
      </c>
      <c r="P365" s="51">
        <v>0</v>
      </c>
      <c r="Q365" s="51">
        <v>0</v>
      </c>
      <c r="R365" s="51">
        <v>0</v>
      </c>
      <c r="S365" s="171">
        <v>0</v>
      </c>
      <c r="T365" s="171">
        <v>0</v>
      </c>
      <c r="U365" s="49" t="s">
        <v>226</v>
      </c>
      <c r="V365" s="49">
        <v>2015</v>
      </c>
      <c r="W365" s="49">
        <v>1</v>
      </c>
      <c r="X365" s="49">
        <v>0</v>
      </c>
      <c r="Y365" s="49">
        <v>-1.8E-3</v>
      </c>
      <c r="Z365" s="49">
        <v>-1.2E-2</v>
      </c>
      <c r="AA365" s="49">
        <v>0</v>
      </c>
      <c r="AB365" s="49">
        <v>0</v>
      </c>
      <c r="AC365" s="49" t="s">
        <v>374</v>
      </c>
      <c r="AD365" s="158"/>
    </row>
    <row r="366" spans="1:30" s="157" customFormat="1" hidden="1" x14ac:dyDescent="0.2">
      <c r="A366" s="153">
        <f t="shared" si="5"/>
        <v>342</v>
      </c>
      <c r="B366" s="49">
        <v>1</v>
      </c>
      <c r="C366" s="49">
        <v>8</v>
      </c>
      <c r="D366" s="49">
        <v>29</v>
      </c>
      <c r="E366" s="166">
        <v>2023</v>
      </c>
      <c r="F366" s="49">
        <v>2032</v>
      </c>
      <c r="G366" s="49">
        <v>5</v>
      </c>
      <c r="H366" s="49">
        <v>29</v>
      </c>
      <c r="I366" s="49">
        <v>0</v>
      </c>
      <c r="J366" s="49">
        <v>0</v>
      </c>
      <c r="K366" s="49">
        <v>0</v>
      </c>
      <c r="L366" s="167">
        <v>0.9</v>
      </c>
      <c r="M366" s="168">
        <v>11450</v>
      </c>
      <c r="N366" s="168">
        <v>6425</v>
      </c>
      <c r="O366" s="51">
        <v>600</v>
      </c>
      <c r="P366" s="51">
        <v>0</v>
      </c>
      <c r="Q366" s="51">
        <v>0</v>
      </c>
      <c r="R366" s="51">
        <v>0</v>
      </c>
      <c r="S366" s="171">
        <v>0</v>
      </c>
      <c r="T366" s="171">
        <v>0</v>
      </c>
      <c r="U366" s="49" t="s">
        <v>226</v>
      </c>
      <c r="V366" s="49">
        <v>2015</v>
      </c>
      <c r="W366" s="49">
        <v>1</v>
      </c>
      <c r="X366" s="49">
        <v>0</v>
      </c>
      <c r="Y366" s="49">
        <v>-1.8E-3</v>
      </c>
      <c r="Z366" s="49">
        <v>-1.2E-2</v>
      </c>
      <c r="AA366" s="49">
        <v>0</v>
      </c>
      <c r="AB366" s="49">
        <v>0</v>
      </c>
      <c r="AC366" s="49" t="s">
        <v>374</v>
      </c>
      <c r="AD366" s="158"/>
    </row>
    <row r="367" spans="1:30" s="157" customFormat="1" hidden="1" x14ac:dyDescent="0.2">
      <c r="A367" s="153">
        <f t="shared" si="5"/>
        <v>343</v>
      </c>
      <c r="B367" s="49">
        <v>1</v>
      </c>
      <c r="C367" s="49">
        <v>8</v>
      </c>
      <c r="D367" s="49">
        <v>29</v>
      </c>
      <c r="E367" s="166">
        <v>2023</v>
      </c>
      <c r="F367" s="49">
        <v>2032</v>
      </c>
      <c r="G367" s="49">
        <v>6</v>
      </c>
      <c r="H367" s="49">
        <v>29</v>
      </c>
      <c r="I367" s="49">
        <v>0</v>
      </c>
      <c r="J367" s="49">
        <v>0</v>
      </c>
      <c r="K367" s="49">
        <v>0</v>
      </c>
      <c r="L367" s="167">
        <v>0.9</v>
      </c>
      <c r="M367" s="168">
        <v>11450</v>
      </c>
      <c r="N367" s="168">
        <v>6425</v>
      </c>
      <c r="O367" s="51">
        <v>600</v>
      </c>
      <c r="P367" s="51">
        <v>0</v>
      </c>
      <c r="Q367" s="51">
        <v>0</v>
      </c>
      <c r="R367" s="51">
        <v>0</v>
      </c>
      <c r="S367" s="171">
        <v>0</v>
      </c>
      <c r="T367" s="171">
        <v>0</v>
      </c>
      <c r="U367" s="49" t="s">
        <v>226</v>
      </c>
      <c r="V367" s="49">
        <v>2015</v>
      </c>
      <c r="W367" s="49">
        <v>1</v>
      </c>
      <c r="X367" s="49">
        <v>0</v>
      </c>
      <c r="Y367" s="49">
        <v>-1.8E-3</v>
      </c>
      <c r="Z367" s="49">
        <v>-1.2E-2</v>
      </c>
      <c r="AA367" s="49">
        <v>0</v>
      </c>
      <c r="AB367" s="49">
        <v>0</v>
      </c>
      <c r="AC367" s="49" t="s">
        <v>374</v>
      </c>
      <c r="AD367" s="158"/>
    </row>
    <row r="368" spans="1:30" s="157" customFormat="1" hidden="1" x14ac:dyDescent="0.2">
      <c r="A368" s="153">
        <f t="shared" si="5"/>
        <v>344</v>
      </c>
      <c r="B368" s="49">
        <v>1</v>
      </c>
      <c r="C368" s="49">
        <v>8</v>
      </c>
      <c r="D368" s="49">
        <v>29</v>
      </c>
      <c r="E368" s="166">
        <v>2023</v>
      </c>
      <c r="F368" s="49">
        <v>2032</v>
      </c>
      <c r="G368" s="49">
        <v>7</v>
      </c>
      <c r="H368" s="49">
        <v>29</v>
      </c>
      <c r="I368" s="49">
        <v>0</v>
      </c>
      <c r="J368" s="49">
        <v>0</v>
      </c>
      <c r="K368" s="49">
        <v>0</v>
      </c>
      <c r="L368" s="167">
        <v>0.9</v>
      </c>
      <c r="M368" s="168">
        <v>11450</v>
      </c>
      <c r="N368" s="168">
        <v>6425</v>
      </c>
      <c r="O368" s="51">
        <v>600</v>
      </c>
      <c r="P368" s="51">
        <v>0</v>
      </c>
      <c r="Q368" s="51">
        <v>0</v>
      </c>
      <c r="R368" s="51">
        <v>0</v>
      </c>
      <c r="S368" s="171">
        <v>0</v>
      </c>
      <c r="T368" s="171">
        <v>0</v>
      </c>
      <c r="U368" s="49" t="s">
        <v>226</v>
      </c>
      <c r="V368" s="49">
        <v>2015</v>
      </c>
      <c r="W368" s="49">
        <v>1</v>
      </c>
      <c r="X368" s="49">
        <v>0</v>
      </c>
      <c r="Y368" s="49">
        <v>-1.8E-3</v>
      </c>
      <c r="Z368" s="49">
        <v>-1.2E-2</v>
      </c>
      <c r="AA368" s="49">
        <v>0</v>
      </c>
      <c r="AB368" s="49">
        <v>0</v>
      </c>
      <c r="AC368" s="49" t="s">
        <v>374</v>
      </c>
      <c r="AD368" s="158"/>
    </row>
    <row r="369" spans="1:30" s="157" customFormat="1" hidden="1" x14ac:dyDescent="0.2">
      <c r="A369" s="153">
        <f t="shared" si="5"/>
        <v>345</v>
      </c>
      <c r="B369" s="49">
        <v>1</v>
      </c>
      <c r="C369" s="49">
        <v>8</v>
      </c>
      <c r="D369" s="49">
        <v>29</v>
      </c>
      <c r="E369" s="166">
        <v>2023</v>
      </c>
      <c r="F369" s="49">
        <v>2032</v>
      </c>
      <c r="G369" s="49">
        <v>8</v>
      </c>
      <c r="H369" s="49">
        <v>29</v>
      </c>
      <c r="I369" s="49">
        <v>0</v>
      </c>
      <c r="J369" s="49">
        <v>0</v>
      </c>
      <c r="K369" s="49">
        <v>0</v>
      </c>
      <c r="L369" s="167">
        <v>0.9</v>
      </c>
      <c r="M369" s="168">
        <v>11450</v>
      </c>
      <c r="N369" s="168">
        <v>6425</v>
      </c>
      <c r="O369" s="51">
        <v>600</v>
      </c>
      <c r="P369" s="51">
        <v>0</v>
      </c>
      <c r="Q369" s="51">
        <v>0</v>
      </c>
      <c r="R369" s="51">
        <v>0</v>
      </c>
      <c r="S369" s="171">
        <v>0</v>
      </c>
      <c r="T369" s="171">
        <v>0</v>
      </c>
      <c r="U369" s="49" t="s">
        <v>226</v>
      </c>
      <c r="V369" s="49">
        <v>2015</v>
      </c>
      <c r="W369" s="49">
        <v>1</v>
      </c>
      <c r="X369" s="49">
        <v>0</v>
      </c>
      <c r="Y369" s="49">
        <v>-1.8E-3</v>
      </c>
      <c r="Z369" s="49">
        <v>-1.2E-2</v>
      </c>
      <c r="AA369" s="49">
        <v>0</v>
      </c>
      <c r="AB369" s="49">
        <v>0</v>
      </c>
      <c r="AC369" s="49" t="s">
        <v>374</v>
      </c>
      <c r="AD369" s="158"/>
    </row>
    <row r="370" spans="1:30" s="157" customFormat="1" hidden="1" x14ac:dyDescent="0.2">
      <c r="A370" s="153">
        <f t="shared" si="5"/>
        <v>346</v>
      </c>
      <c r="B370" s="49">
        <v>1</v>
      </c>
      <c r="C370" s="49">
        <v>8</v>
      </c>
      <c r="D370" s="49">
        <v>29</v>
      </c>
      <c r="E370" s="166">
        <v>2023</v>
      </c>
      <c r="F370" s="49">
        <v>2032</v>
      </c>
      <c r="G370" s="49">
        <v>9</v>
      </c>
      <c r="H370" s="49">
        <v>29</v>
      </c>
      <c r="I370" s="49">
        <v>0</v>
      </c>
      <c r="J370" s="49">
        <v>0</v>
      </c>
      <c r="K370" s="49">
        <v>0</v>
      </c>
      <c r="L370" s="167">
        <v>0.9</v>
      </c>
      <c r="M370" s="168">
        <v>11450</v>
      </c>
      <c r="N370" s="168">
        <v>6425</v>
      </c>
      <c r="O370" s="51">
        <v>600</v>
      </c>
      <c r="P370" s="51">
        <v>0</v>
      </c>
      <c r="Q370" s="51">
        <v>0</v>
      </c>
      <c r="R370" s="51">
        <v>0</v>
      </c>
      <c r="S370" s="171">
        <v>0</v>
      </c>
      <c r="T370" s="171">
        <v>0</v>
      </c>
      <c r="U370" s="49" t="s">
        <v>226</v>
      </c>
      <c r="V370" s="49">
        <v>2015</v>
      </c>
      <c r="W370" s="49">
        <v>1</v>
      </c>
      <c r="X370" s="49">
        <v>0</v>
      </c>
      <c r="Y370" s="49">
        <v>-1.8E-3</v>
      </c>
      <c r="Z370" s="49">
        <v>-1.2E-2</v>
      </c>
      <c r="AA370" s="49">
        <v>0</v>
      </c>
      <c r="AB370" s="49">
        <v>0</v>
      </c>
      <c r="AC370" s="49" t="s">
        <v>374</v>
      </c>
      <c r="AD370" s="158"/>
    </row>
    <row r="371" spans="1:30" s="157" customFormat="1" hidden="1" x14ac:dyDescent="0.2">
      <c r="A371" s="153">
        <f t="shared" si="5"/>
        <v>347</v>
      </c>
      <c r="B371" s="49">
        <v>1</v>
      </c>
      <c r="C371" s="49">
        <v>8</v>
      </c>
      <c r="D371" s="49">
        <v>29</v>
      </c>
      <c r="E371" s="166">
        <v>2033</v>
      </c>
      <c r="F371" s="49">
        <v>2050</v>
      </c>
      <c r="G371" s="49">
        <v>1</v>
      </c>
      <c r="H371" s="49">
        <v>29</v>
      </c>
      <c r="I371" s="49">
        <v>0</v>
      </c>
      <c r="J371" s="49">
        <v>0</v>
      </c>
      <c r="K371" s="49">
        <v>0</v>
      </c>
      <c r="L371" s="167">
        <v>0.9</v>
      </c>
      <c r="M371" s="168">
        <v>11450</v>
      </c>
      <c r="N371" s="168">
        <v>6425</v>
      </c>
      <c r="O371" s="51">
        <v>0</v>
      </c>
      <c r="P371" s="51">
        <v>0</v>
      </c>
      <c r="Q371" s="51">
        <v>0</v>
      </c>
      <c r="R371" s="51">
        <v>0</v>
      </c>
      <c r="S371" s="171">
        <v>0</v>
      </c>
      <c r="T371" s="171">
        <v>0</v>
      </c>
      <c r="U371" s="49" t="s">
        <v>226</v>
      </c>
      <c r="V371" s="49">
        <v>2015</v>
      </c>
      <c r="W371" s="49">
        <v>1</v>
      </c>
      <c r="X371" s="49">
        <v>0</v>
      </c>
      <c r="Y371" s="49">
        <v>-1.8E-3</v>
      </c>
      <c r="Z371" s="49">
        <v>-1.2E-2</v>
      </c>
      <c r="AA371" s="49">
        <v>0</v>
      </c>
      <c r="AB371" s="49">
        <v>0</v>
      </c>
      <c r="AC371" s="49" t="s">
        <v>374</v>
      </c>
      <c r="AD371" s="158"/>
    </row>
    <row r="372" spans="1:30" s="157" customFormat="1" hidden="1" x14ac:dyDescent="0.2">
      <c r="A372" s="153">
        <f t="shared" si="5"/>
        <v>348</v>
      </c>
      <c r="B372" s="49">
        <v>1</v>
      </c>
      <c r="C372" s="49">
        <v>8</v>
      </c>
      <c r="D372" s="49">
        <v>29</v>
      </c>
      <c r="E372" s="166">
        <v>2033</v>
      </c>
      <c r="F372" s="49">
        <v>2050</v>
      </c>
      <c r="G372" s="49">
        <v>2</v>
      </c>
      <c r="H372" s="49">
        <v>29</v>
      </c>
      <c r="I372" s="49">
        <v>0</v>
      </c>
      <c r="J372" s="49">
        <v>0</v>
      </c>
      <c r="K372" s="49">
        <v>0</v>
      </c>
      <c r="L372" s="167">
        <v>0.9</v>
      </c>
      <c r="M372" s="168">
        <v>11450</v>
      </c>
      <c r="N372" s="168">
        <v>6425</v>
      </c>
      <c r="O372" s="51">
        <v>0</v>
      </c>
      <c r="P372" s="51">
        <v>0</v>
      </c>
      <c r="Q372" s="51">
        <v>0</v>
      </c>
      <c r="R372" s="51">
        <v>0</v>
      </c>
      <c r="S372" s="171">
        <v>0</v>
      </c>
      <c r="T372" s="171">
        <v>0</v>
      </c>
      <c r="U372" s="49" t="s">
        <v>226</v>
      </c>
      <c r="V372" s="49">
        <v>2015</v>
      </c>
      <c r="W372" s="49">
        <v>1</v>
      </c>
      <c r="X372" s="49">
        <v>0</v>
      </c>
      <c r="Y372" s="49">
        <v>-1.8E-3</v>
      </c>
      <c r="Z372" s="49">
        <v>-1.2E-2</v>
      </c>
      <c r="AA372" s="49">
        <v>0</v>
      </c>
      <c r="AB372" s="49">
        <v>0</v>
      </c>
      <c r="AC372" s="49" t="s">
        <v>374</v>
      </c>
      <c r="AD372" s="158"/>
    </row>
    <row r="373" spans="1:30" s="157" customFormat="1" x14ac:dyDescent="0.2">
      <c r="A373" s="153">
        <f t="shared" si="5"/>
        <v>349</v>
      </c>
      <c r="B373" s="49">
        <v>1</v>
      </c>
      <c r="C373" s="49">
        <v>8</v>
      </c>
      <c r="D373" s="49">
        <v>29</v>
      </c>
      <c r="E373" s="166">
        <v>2033</v>
      </c>
      <c r="F373" s="49">
        <v>2050</v>
      </c>
      <c r="G373" s="49">
        <v>3</v>
      </c>
      <c r="H373" s="49">
        <v>29</v>
      </c>
      <c r="I373" s="49">
        <v>0</v>
      </c>
      <c r="J373" s="49">
        <v>0</v>
      </c>
      <c r="K373" s="49">
        <v>0</v>
      </c>
      <c r="L373" s="167">
        <v>0.9</v>
      </c>
      <c r="M373" s="168">
        <v>11450</v>
      </c>
      <c r="N373" s="168">
        <v>6425</v>
      </c>
      <c r="O373" s="51">
        <v>0</v>
      </c>
      <c r="P373" s="51">
        <v>0</v>
      </c>
      <c r="Q373" s="51">
        <v>0</v>
      </c>
      <c r="R373" s="51">
        <v>0</v>
      </c>
      <c r="S373" s="171">
        <v>0</v>
      </c>
      <c r="T373" s="171">
        <v>0</v>
      </c>
      <c r="U373" s="49" t="s">
        <v>226</v>
      </c>
      <c r="V373" s="49">
        <v>2015</v>
      </c>
      <c r="W373" s="49">
        <v>1</v>
      </c>
      <c r="X373" s="49">
        <v>0</v>
      </c>
      <c r="Y373" s="49">
        <v>-1.8E-3</v>
      </c>
      <c r="Z373" s="49">
        <v>-1.2E-2</v>
      </c>
      <c r="AA373" s="49">
        <v>0</v>
      </c>
      <c r="AB373" s="49">
        <v>0</v>
      </c>
      <c r="AC373" s="49" t="s">
        <v>374</v>
      </c>
      <c r="AD373" s="158"/>
    </row>
    <row r="374" spans="1:30" s="157" customFormat="1" hidden="1" x14ac:dyDescent="0.2">
      <c r="A374" s="153">
        <f t="shared" si="5"/>
        <v>350</v>
      </c>
      <c r="B374" s="49">
        <v>1</v>
      </c>
      <c r="C374" s="49">
        <v>8</v>
      </c>
      <c r="D374" s="49">
        <v>29</v>
      </c>
      <c r="E374" s="166">
        <v>2033</v>
      </c>
      <c r="F374" s="49">
        <v>2050</v>
      </c>
      <c r="G374" s="49">
        <v>4</v>
      </c>
      <c r="H374" s="49">
        <v>29</v>
      </c>
      <c r="I374" s="49">
        <v>0</v>
      </c>
      <c r="J374" s="49">
        <v>0</v>
      </c>
      <c r="K374" s="49">
        <v>0</v>
      </c>
      <c r="L374" s="167">
        <v>0.9</v>
      </c>
      <c r="M374" s="168">
        <v>11450</v>
      </c>
      <c r="N374" s="168">
        <v>6425</v>
      </c>
      <c r="O374" s="51">
        <v>0</v>
      </c>
      <c r="P374" s="51">
        <v>0</v>
      </c>
      <c r="Q374" s="51">
        <v>0</v>
      </c>
      <c r="R374" s="51">
        <v>0</v>
      </c>
      <c r="S374" s="171">
        <v>0</v>
      </c>
      <c r="T374" s="171">
        <v>0</v>
      </c>
      <c r="U374" s="49" t="s">
        <v>226</v>
      </c>
      <c r="V374" s="49">
        <v>2015</v>
      </c>
      <c r="W374" s="49">
        <v>1</v>
      </c>
      <c r="X374" s="49">
        <v>0</v>
      </c>
      <c r="Y374" s="49">
        <v>-1.8E-3</v>
      </c>
      <c r="Z374" s="49">
        <v>-1.2E-2</v>
      </c>
      <c r="AA374" s="49">
        <v>0</v>
      </c>
      <c r="AB374" s="49">
        <v>0</v>
      </c>
      <c r="AC374" s="49" t="s">
        <v>374</v>
      </c>
      <c r="AD374" s="158"/>
    </row>
    <row r="375" spans="1:30" s="157" customFormat="1" hidden="1" x14ac:dyDescent="0.2">
      <c r="A375" s="153">
        <f t="shared" si="5"/>
        <v>351</v>
      </c>
      <c r="B375" s="49">
        <v>1</v>
      </c>
      <c r="C375" s="49">
        <v>8</v>
      </c>
      <c r="D375" s="49">
        <v>29</v>
      </c>
      <c r="E375" s="166">
        <v>2033</v>
      </c>
      <c r="F375" s="49">
        <v>2050</v>
      </c>
      <c r="G375" s="49">
        <v>5</v>
      </c>
      <c r="H375" s="49">
        <v>29</v>
      </c>
      <c r="I375" s="49">
        <v>0</v>
      </c>
      <c r="J375" s="49">
        <v>0</v>
      </c>
      <c r="K375" s="49">
        <v>0</v>
      </c>
      <c r="L375" s="167">
        <v>0.9</v>
      </c>
      <c r="M375" s="168">
        <v>11450</v>
      </c>
      <c r="N375" s="168">
        <v>6425</v>
      </c>
      <c r="O375" s="51">
        <v>0</v>
      </c>
      <c r="P375" s="51">
        <v>0</v>
      </c>
      <c r="Q375" s="51">
        <v>0</v>
      </c>
      <c r="R375" s="51">
        <v>0</v>
      </c>
      <c r="S375" s="171">
        <v>0</v>
      </c>
      <c r="T375" s="171">
        <v>0</v>
      </c>
      <c r="U375" s="49" t="s">
        <v>226</v>
      </c>
      <c r="V375" s="49">
        <v>2015</v>
      </c>
      <c r="W375" s="49">
        <v>1</v>
      </c>
      <c r="X375" s="49">
        <v>0</v>
      </c>
      <c r="Y375" s="49">
        <v>-1.8E-3</v>
      </c>
      <c r="Z375" s="49">
        <v>-1.2E-2</v>
      </c>
      <c r="AA375" s="49">
        <v>0</v>
      </c>
      <c r="AB375" s="49">
        <v>0</v>
      </c>
      <c r="AC375" s="49" t="s">
        <v>374</v>
      </c>
      <c r="AD375" s="158"/>
    </row>
    <row r="376" spans="1:30" s="157" customFormat="1" hidden="1" x14ac:dyDescent="0.2">
      <c r="A376" s="153">
        <f t="shared" si="5"/>
        <v>352</v>
      </c>
      <c r="B376" s="49">
        <v>1</v>
      </c>
      <c r="C376" s="49">
        <v>8</v>
      </c>
      <c r="D376" s="49">
        <v>29</v>
      </c>
      <c r="E376" s="166">
        <v>2033</v>
      </c>
      <c r="F376" s="49">
        <v>2050</v>
      </c>
      <c r="G376" s="49">
        <v>6</v>
      </c>
      <c r="H376" s="49">
        <v>29</v>
      </c>
      <c r="I376" s="49">
        <v>0</v>
      </c>
      <c r="J376" s="49">
        <v>0</v>
      </c>
      <c r="K376" s="49">
        <v>0</v>
      </c>
      <c r="L376" s="167">
        <v>0.9</v>
      </c>
      <c r="M376" s="168">
        <v>11450</v>
      </c>
      <c r="N376" s="168">
        <v>6425</v>
      </c>
      <c r="O376" s="51">
        <v>0</v>
      </c>
      <c r="P376" s="51">
        <v>0</v>
      </c>
      <c r="Q376" s="51">
        <v>0</v>
      </c>
      <c r="R376" s="51">
        <v>0</v>
      </c>
      <c r="S376" s="171">
        <v>0</v>
      </c>
      <c r="T376" s="171">
        <v>0</v>
      </c>
      <c r="U376" s="49" t="s">
        <v>226</v>
      </c>
      <c r="V376" s="49">
        <v>2015</v>
      </c>
      <c r="W376" s="49">
        <v>1</v>
      </c>
      <c r="X376" s="49">
        <v>0</v>
      </c>
      <c r="Y376" s="49">
        <v>-1.8E-3</v>
      </c>
      <c r="Z376" s="49">
        <v>-1.2E-2</v>
      </c>
      <c r="AA376" s="49">
        <v>0</v>
      </c>
      <c r="AB376" s="49">
        <v>0</v>
      </c>
      <c r="AC376" s="49" t="s">
        <v>374</v>
      </c>
      <c r="AD376" s="158"/>
    </row>
    <row r="377" spans="1:30" s="157" customFormat="1" hidden="1" x14ac:dyDescent="0.2">
      <c r="A377" s="153">
        <f t="shared" si="5"/>
        <v>353</v>
      </c>
      <c r="B377" s="49">
        <v>1</v>
      </c>
      <c r="C377" s="49">
        <v>8</v>
      </c>
      <c r="D377" s="49">
        <v>29</v>
      </c>
      <c r="E377" s="166">
        <v>2033</v>
      </c>
      <c r="F377" s="49">
        <v>2050</v>
      </c>
      <c r="G377" s="49">
        <v>7</v>
      </c>
      <c r="H377" s="49">
        <v>29</v>
      </c>
      <c r="I377" s="49">
        <v>0</v>
      </c>
      <c r="J377" s="49">
        <v>0</v>
      </c>
      <c r="K377" s="49">
        <v>0</v>
      </c>
      <c r="L377" s="167">
        <v>0.9</v>
      </c>
      <c r="M377" s="168">
        <v>11450</v>
      </c>
      <c r="N377" s="168">
        <v>6425</v>
      </c>
      <c r="O377" s="51">
        <v>0</v>
      </c>
      <c r="P377" s="51">
        <v>0</v>
      </c>
      <c r="Q377" s="51">
        <v>0</v>
      </c>
      <c r="R377" s="51">
        <v>0</v>
      </c>
      <c r="S377" s="171">
        <v>0</v>
      </c>
      <c r="T377" s="171">
        <v>0</v>
      </c>
      <c r="U377" s="49" t="s">
        <v>226</v>
      </c>
      <c r="V377" s="49">
        <v>2015</v>
      </c>
      <c r="W377" s="49">
        <v>1</v>
      </c>
      <c r="X377" s="49">
        <v>0</v>
      </c>
      <c r="Y377" s="49">
        <v>-1.8E-3</v>
      </c>
      <c r="Z377" s="49">
        <v>-1.2E-2</v>
      </c>
      <c r="AA377" s="49">
        <v>0</v>
      </c>
      <c r="AB377" s="49">
        <v>0</v>
      </c>
      <c r="AC377" s="49" t="s">
        <v>374</v>
      </c>
      <c r="AD377" s="158"/>
    </row>
    <row r="378" spans="1:30" s="157" customFormat="1" hidden="1" x14ac:dyDescent="0.2">
      <c r="A378" s="153">
        <f t="shared" si="5"/>
        <v>354</v>
      </c>
      <c r="B378" s="49">
        <v>1</v>
      </c>
      <c r="C378" s="49">
        <v>8</v>
      </c>
      <c r="D378" s="49">
        <v>29</v>
      </c>
      <c r="E378" s="166">
        <v>2033</v>
      </c>
      <c r="F378" s="49">
        <v>2050</v>
      </c>
      <c r="G378" s="49">
        <v>8</v>
      </c>
      <c r="H378" s="49">
        <v>29</v>
      </c>
      <c r="I378" s="49">
        <v>0</v>
      </c>
      <c r="J378" s="49">
        <v>0</v>
      </c>
      <c r="K378" s="49">
        <v>0</v>
      </c>
      <c r="L378" s="167">
        <v>0.9</v>
      </c>
      <c r="M378" s="168">
        <v>11450</v>
      </c>
      <c r="N378" s="168">
        <v>6425</v>
      </c>
      <c r="O378" s="51">
        <v>0</v>
      </c>
      <c r="P378" s="51">
        <v>0</v>
      </c>
      <c r="Q378" s="51">
        <v>0</v>
      </c>
      <c r="R378" s="51">
        <v>0</v>
      </c>
      <c r="S378" s="171">
        <v>0</v>
      </c>
      <c r="T378" s="171">
        <v>0</v>
      </c>
      <c r="U378" s="49" t="s">
        <v>226</v>
      </c>
      <c r="V378" s="49">
        <v>2015</v>
      </c>
      <c r="W378" s="49">
        <v>1</v>
      </c>
      <c r="X378" s="49">
        <v>0</v>
      </c>
      <c r="Y378" s="49">
        <v>-1.8E-3</v>
      </c>
      <c r="Z378" s="49">
        <v>-1.2E-2</v>
      </c>
      <c r="AA378" s="49">
        <v>0</v>
      </c>
      <c r="AB378" s="49">
        <v>0</v>
      </c>
      <c r="AC378" s="49" t="s">
        <v>374</v>
      </c>
      <c r="AD378" s="158"/>
    </row>
    <row r="379" spans="1:30" s="157" customFormat="1" hidden="1" x14ac:dyDescent="0.2">
      <c r="A379" s="153">
        <f t="shared" si="5"/>
        <v>355</v>
      </c>
      <c r="B379" s="49">
        <v>1</v>
      </c>
      <c r="C379" s="49">
        <v>8</v>
      </c>
      <c r="D379" s="49">
        <v>29</v>
      </c>
      <c r="E379" s="166">
        <v>2033</v>
      </c>
      <c r="F379" s="49">
        <v>2050</v>
      </c>
      <c r="G379" s="49">
        <v>9</v>
      </c>
      <c r="H379" s="49">
        <v>29</v>
      </c>
      <c r="I379" s="49">
        <v>0</v>
      </c>
      <c r="J379" s="49">
        <v>0</v>
      </c>
      <c r="K379" s="49">
        <v>0</v>
      </c>
      <c r="L379" s="167">
        <v>0.9</v>
      </c>
      <c r="M379" s="168">
        <v>11450</v>
      </c>
      <c r="N379" s="168">
        <v>6425</v>
      </c>
      <c r="O379" s="51">
        <v>0</v>
      </c>
      <c r="P379" s="51">
        <v>0</v>
      </c>
      <c r="Q379" s="51">
        <v>0</v>
      </c>
      <c r="R379" s="51">
        <v>0</v>
      </c>
      <c r="S379" s="171">
        <v>0</v>
      </c>
      <c r="T379" s="171">
        <v>0</v>
      </c>
      <c r="U379" s="49" t="s">
        <v>226</v>
      </c>
      <c r="V379" s="49">
        <v>2015</v>
      </c>
      <c r="W379" s="49">
        <v>1</v>
      </c>
      <c r="X379" s="49">
        <v>0</v>
      </c>
      <c r="Y379" s="49">
        <v>-1.8E-3</v>
      </c>
      <c r="Z379" s="49">
        <v>-1.2E-2</v>
      </c>
      <c r="AA379" s="49">
        <v>0</v>
      </c>
      <c r="AB379" s="49">
        <v>0</v>
      </c>
      <c r="AC379" s="49" t="s">
        <v>374</v>
      </c>
      <c r="AD379" s="158"/>
    </row>
    <row r="380" spans="1:30" customFormat="1" hidden="1" x14ac:dyDescent="0.2">
      <c r="A380" s="153">
        <f t="shared" si="5"/>
        <v>356</v>
      </c>
      <c r="B380" s="33">
        <v>1</v>
      </c>
      <c r="C380" s="33">
        <v>9</v>
      </c>
      <c r="D380" s="33">
        <v>30</v>
      </c>
      <c r="E380" s="104">
        <v>2016</v>
      </c>
      <c r="F380" s="33">
        <v>2029</v>
      </c>
      <c r="G380" s="33">
        <v>11</v>
      </c>
      <c r="H380" s="33">
        <v>30</v>
      </c>
      <c r="I380" s="33">
        <v>0</v>
      </c>
      <c r="J380" s="33">
        <v>0</v>
      </c>
      <c r="K380" s="33">
        <v>0</v>
      </c>
      <c r="L380" s="101">
        <v>0.7</v>
      </c>
      <c r="M380" s="108">
        <v>7050</v>
      </c>
      <c r="N380" s="108">
        <v>2450</v>
      </c>
      <c r="O380" s="142">
        <v>0</v>
      </c>
      <c r="P380" s="142">
        <v>0</v>
      </c>
      <c r="Q380" s="142">
        <v>0</v>
      </c>
      <c r="R380" s="142">
        <v>0</v>
      </c>
      <c r="S380" s="116">
        <v>0</v>
      </c>
      <c r="T380" s="116">
        <v>0</v>
      </c>
      <c r="U380" s="33" t="s">
        <v>226</v>
      </c>
      <c r="V380" s="33">
        <v>2015</v>
      </c>
      <c r="W380" s="33">
        <v>1</v>
      </c>
      <c r="X380" s="33">
        <v>0</v>
      </c>
      <c r="Y380" s="33">
        <v>-1.8E-3</v>
      </c>
      <c r="Z380" s="33">
        <v>-1.2E-2</v>
      </c>
      <c r="AA380" s="33">
        <v>0</v>
      </c>
      <c r="AB380" s="33">
        <v>0</v>
      </c>
      <c r="AC380" s="33" t="s">
        <v>346</v>
      </c>
      <c r="AD380" s="158"/>
    </row>
    <row r="381" spans="1:30" customFormat="1" hidden="1" x14ac:dyDescent="0.2">
      <c r="A381" s="153">
        <f t="shared" si="5"/>
        <v>357</v>
      </c>
      <c r="B381" s="33">
        <v>1</v>
      </c>
      <c r="C381" s="33">
        <v>9</v>
      </c>
      <c r="D381" s="33">
        <v>30</v>
      </c>
      <c r="E381" s="104">
        <v>2030</v>
      </c>
      <c r="F381" s="33">
        <v>2039</v>
      </c>
      <c r="G381" s="33">
        <v>11</v>
      </c>
      <c r="H381" s="33">
        <v>30</v>
      </c>
      <c r="I381" s="33">
        <v>0</v>
      </c>
      <c r="J381" s="33">
        <v>0</v>
      </c>
      <c r="K381" s="33">
        <v>0</v>
      </c>
      <c r="L381" s="101">
        <v>0.73</v>
      </c>
      <c r="M381" s="108">
        <v>7150</v>
      </c>
      <c r="N381" s="108">
        <v>2550</v>
      </c>
      <c r="O381" s="142">
        <v>0</v>
      </c>
      <c r="P381" s="142">
        <v>0</v>
      </c>
      <c r="Q381" s="149">
        <v>0</v>
      </c>
      <c r="R381" s="149">
        <v>0</v>
      </c>
      <c r="S381" s="116">
        <v>0</v>
      </c>
      <c r="T381" s="116">
        <v>0</v>
      </c>
      <c r="U381" s="33" t="s">
        <v>226</v>
      </c>
      <c r="V381" s="33">
        <v>2015</v>
      </c>
      <c r="W381" s="33">
        <v>1</v>
      </c>
      <c r="X381" s="33">
        <v>0</v>
      </c>
      <c r="Y381" s="33">
        <v>-1.8E-3</v>
      </c>
      <c r="Z381" s="33">
        <v>-1.2E-2</v>
      </c>
      <c r="AA381" s="33">
        <v>0</v>
      </c>
      <c r="AB381" s="33">
        <v>0</v>
      </c>
      <c r="AC381" s="33" t="s">
        <v>346</v>
      </c>
      <c r="AD381" s="158"/>
    </row>
    <row r="382" spans="1:30" customFormat="1" hidden="1" x14ac:dyDescent="0.2">
      <c r="A382" s="153">
        <f t="shared" si="5"/>
        <v>358</v>
      </c>
      <c r="B382" s="33">
        <v>1</v>
      </c>
      <c r="C382" s="33">
        <v>9</v>
      </c>
      <c r="D382" s="33">
        <v>30</v>
      </c>
      <c r="E382" s="104">
        <v>2040</v>
      </c>
      <c r="F382" s="33">
        <v>2050</v>
      </c>
      <c r="G382" s="33">
        <v>11</v>
      </c>
      <c r="H382" s="33">
        <v>30</v>
      </c>
      <c r="I382" s="33">
        <v>0</v>
      </c>
      <c r="J382" s="33">
        <v>0</v>
      </c>
      <c r="K382" s="33">
        <v>0</v>
      </c>
      <c r="L382" s="101">
        <v>0.74</v>
      </c>
      <c r="M382" s="108">
        <v>7250</v>
      </c>
      <c r="N382" s="108">
        <v>2650</v>
      </c>
      <c r="O382" s="142">
        <v>0</v>
      </c>
      <c r="P382" s="142">
        <v>0</v>
      </c>
      <c r="Q382" s="149">
        <v>0</v>
      </c>
      <c r="R382" s="149">
        <v>0</v>
      </c>
      <c r="S382" s="116">
        <v>0</v>
      </c>
      <c r="T382" s="116">
        <v>0</v>
      </c>
      <c r="U382" s="33" t="s">
        <v>226</v>
      </c>
      <c r="V382" s="33">
        <v>2015</v>
      </c>
      <c r="W382" s="33">
        <v>1</v>
      </c>
      <c r="X382" s="33">
        <v>0</v>
      </c>
      <c r="Y382" s="33">
        <v>-1.8E-3</v>
      </c>
      <c r="Z382" s="33">
        <v>-1.2E-2</v>
      </c>
      <c r="AA382" s="33">
        <v>0</v>
      </c>
      <c r="AB382" s="33">
        <v>0</v>
      </c>
      <c r="AC382" s="33" t="s">
        <v>346</v>
      </c>
      <c r="AD382" s="158"/>
    </row>
    <row r="383" spans="1:30" customFormat="1" hidden="1" x14ac:dyDescent="0.2">
      <c r="A383" s="153">
        <f t="shared" si="5"/>
        <v>359</v>
      </c>
      <c r="B383" s="33">
        <v>1</v>
      </c>
      <c r="C383" s="33">
        <v>9</v>
      </c>
      <c r="D383" s="33">
        <v>31</v>
      </c>
      <c r="E383" s="104">
        <v>2016</v>
      </c>
      <c r="F383" s="159">
        <v>2019</v>
      </c>
      <c r="G383" s="33">
        <v>11</v>
      </c>
      <c r="H383" s="33">
        <v>31</v>
      </c>
      <c r="I383" s="33">
        <v>0</v>
      </c>
      <c r="J383" s="33">
        <v>0</v>
      </c>
      <c r="K383" s="33">
        <v>0</v>
      </c>
      <c r="L383" s="101">
        <v>0.76</v>
      </c>
      <c r="M383" s="108">
        <v>7250</v>
      </c>
      <c r="N383" s="108">
        <v>2650</v>
      </c>
      <c r="O383" s="142">
        <v>300</v>
      </c>
      <c r="P383" s="142">
        <v>0</v>
      </c>
      <c r="Q383" s="142">
        <v>0</v>
      </c>
      <c r="R383" s="142">
        <v>0</v>
      </c>
      <c r="S383" s="116">
        <v>0</v>
      </c>
      <c r="T383" s="116">
        <v>0</v>
      </c>
      <c r="U383" s="33" t="s">
        <v>226</v>
      </c>
      <c r="V383" s="33">
        <v>2015</v>
      </c>
      <c r="W383" s="33">
        <v>1</v>
      </c>
      <c r="X383" s="33">
        <v>0</v>
      </c>
      <c r="Y383" s="33">
        <v>-1.8E-3</v>
      </c>
      <c r="Z383" s="33">
        <v>-1.2E-2</v>
      </c>
      <c r="AA383" s="33">
        <v>0</v>
      </c>
      <c r="AB383" s="33">
        <v>0</v>
      </c>
      <c r="AC383" s="33" t="s">
        <v>347</v>
      </c>
      <c r="AD383" s="158"/>
    </row>
    <row r="384" spans="1:30" s="157" customFormat="1" hidden="1" x14ac:dyDescent="0.2">
      <c r="A384" s="153">
        <f t="shared" si="5"/>
        <v>360</v>
      </c>
      <c r="B384" s="49">
        <v>1</v>
      </c>
      <c r="C384" s="49">
        <v>9</v>
      </c>
      <c r="D384" s="49">
        <v>31</v>
      </c>
      <c r="E384" s="166">
        <v>2020</v>
      </c>
      <c r="F384" s="49">
        <v>2020</v>
      </c>
      <c r="G384" s="49">
        <v>11</v>
      </c>
      <c r="H384" s="49">
        <v>31</v>
      </c>
      <c r="I384" s="49">
        <v>0</v>
      </c>
      <c r="J384" s="49">
        <v>0</v>
      </c>
      <c r="K384" s="49">
        <v>0</v>
      </c>
      <c r="L384" s="167">
        <v>0.77</v>
      </c>
      <c r="M384" s="168">
        <v>7250</v>
      </c>
      <c r="N384" s="168">
        <v>2650</v>
      </c>
      <c r="O384" s="51">
        <v>300</v>
      </c>
      <c r="P384" s="51">
        <v>0</v>
      </c>
      <c r="Q384" s="51">
        <v>0</v>
      </c>
      <c r="R384" s="51">
        <v>0</v>
      </c>
      <c r="S384" s="171">
        <v>0</v>
      </c>
      <c r="T384" s="171">
        <v>0</v>
      </c>
      <c r="U384" s="49" t="s">
        <v>226</v>
      </c>
      <c r="V384" s="49">
        <v>2015</v>
      </c>
      <c r="W384" s="49">
        <v>1</v>
      </c>
      <c r="X384" s="49">
        <v>0</v>
      </c>
      <c r="Y384" s="49">
        <v>-1.8E-3</v>
      </c>
      <c r="Z384" s="49">
        <v>-1.2E-2</v>
      </c>
      <c r="AA384" s="49">
        <v>0</v>
      </c>
      <c r="AB384" s="49">
        <v>0</v>
      </c>
      <c r="AC384" s="49" t="s">
        <v>347</v>
      </c>
      <c r="AD384" s="158"/>
    </row>
    <row r="385" spans="1:30" customFormat="1" hidden="1" x14ac:dyDescent="0.2">
      <c r="A385" s="153">
        <f t="shared" si="5"/>
        <v>361</v>
      </c>
      <c r="B385" s="33">
        <v>1</v>
      </c>
      <c r="C385" s="33">
        <v>9</v>
      </c>
      <c r="D385" s="33">
        <v>31</v>
      </c>
      <c r="E385" s="143">
        <v>2021</v>
      </c>
      <c r="F385" s="159">
        <v>2022</v>
      </c>
      <c r="G385" s="33">
        <v>11</v>
      </c>
      <c r="H385" s="33">
        <v>31</v>
      </c>
      <c r="I385" s="33">
        <v>0</v>
      </c>
      <c r="J385" s="33">
        <v>0</v>
      </c>
      <c r="K385" s="33">
        <v>0</v>
      </c>
      <c r="L385" s="101">
        <v>0.77</v>
      </c>
      <c r="M385" s="108">
        <v>7250</v>
      </c>
      <c r="N385" s="108">
        <v>2650</v>
      </c>
      <c r="O385" s="160">
        <v>1885</v>
      </c>
      <c r="P385" s="160">
        <v>689</v>
      </c>
      <c r="Q385" s="149">
        <v>0</v>
      </c>
      <c r="R385" s="149">
        <v>0</v>
      </c>
      <c r="S385" s="116">
        <v>0</v>
      </c>
      <c r="T385" s="116">
        <v>0</v>
      </c>
      <c r="U385" s="33" t="s">
        <v>226</v>
      </c>
      <c r="V385" s="33">
        <v>2015</v>
      </c>
      <c r="W385" s="33">
        <v>1</v>
      </c>
      <c r="X385" s="33">
        <v>0</v>
      </c>
      <c r="Y385" s="33">
        <v>-1.8E-3</v>
      </c>
      <c r="Z385" s="33">
        <v>-1.2E-2</v>
      </c>
      <c r="AA385" s="33">
        <v>0</v>
      </c>
      <c r="AB385" s="33">
        <v>0</v>
      </c>
      <c r="AC385" s="33" t="s">
        <v>347</v>
      </c>
      <c r="AD385" s="158"/>
    </row>
    <row r="386" spans="1:30" s="157" customFormat="1" hidden="1" x14ac:dyDescent="0.2">
      <c r="A386" s="153">
        <f t="shared" si="5"/>
        <v>362</v>
      </c>
      <c r="B386" s="49">
        <v>1</v>
      </c>
      <c r="C386" s="49">
        <v>9</v>
      </c>
      <c r="D386" s="49">
        <v>31</v>
      </c>
      <c r="E386" s="166">
        <v>2023</v>
      </c>
      <c r="F386" s="49">
        <v>2029</v>
      </c>
      <c r="G386" s="49">
        <v>11</v>
      </c>
      <c r="H386" s="49">
        <v>31</v>
      </c>
      <c r="I386" s="49">
        <v>0</v>
      </c>
      <c r="J386" s="49">
        <v>0</v>
      </c>
      <c r="K386" s="49">
        <v>0</v>
      </c>
      <c r="L386" s="167">
        <v>0.77</v>
      </c>
      <c r="M386" s="168">
        <v>7250</v>
      </c>
      <c r="N386" s="168">
        <v>2650</v>
      </c>
      <c r="O386" s="51">
        <v>2000</v>
      </c>
      <c r="P386" s="175">
        <v>0</v>
      </c>
      <c r="Q386" s="175">
        <v>0</v>
      </c>
      <c r="R386" s="175">
        <v>0</v>
      </c>
      <c r="S386" s="171">
        <v>0</v>
      </c>
      <c r="T386" s="171">
        <v>0</v>
      </c>
      <c r="U386" s="49" t="s">
        <v>226</v>
      </c>
      <c r="V386" s="49">
        <v>2015</v>
      </c>
      <c r="W386" s="49">
        <v>1</v>
      </c>
      <c r="X386" s="49">
        <v>0</v>
      </c>
      <c r="Y386" s="49">
        <v>-1.8E-3</v>
      </c>
      <c r="Z386" s="49">
        <v>-1.2E-2</v>
      </c>
      <c r="AA386" s="49">
        <v>0</v>
      </c>
      <c r="AB386" s="49">
        <v>0</v>
      </c>
      <c r="AC386" s="49" t="s">
        <v>347</v>
      </c>
      <c r="AD386" s="158"/>
    </row>
    <row r="387" spans="1:30" customFormat="1" hidden="1" x14ac:dyDescent="0.2">
      <c r="A387" s="153">
        <f t="shared" si="5"/>
        <v>363</v>
      </c>
      <c r="B387" s="33">
        <v>1</v>
      </c>
      <c r="C387" s="33">
        <v>9</v>
      </c>
      <c r="D387" s="33">
        <v>31</v>
      </c>
      <c r="E387" s="104">
        <v>2030</v>
      </c>
      <c r="F387" s="159">
        <v>2032</v>
      </c>
      <c r="G387" s="33">
        <v>11</v>
      </c>
      <c r="H387" s="33">
        <v>31</v>
      </c>
      <c r="I387" s="33">
        <v>0</v>
      </c>
      <c r="J387" s="33">
        <v>0</v>
      </c>
      <c r="K387" s="33">
        <v>0</v>
      </c>
      <c r="L387" s="101">
        <v>0.78</v>
      </c>
      <c r="M387" s="108">
        <v>7350</v>
      </c>
      <c r="N387" s="108">
        <v>2750</v>
      </c>
      <c r="O387" s="160">
        <v>2000</v>
      </c>
      <c r="P387" s="149">
        <v>0</v>
      </c>
      <c r="Q387" s="149">
        <v>0</v>
      </c>
      <c r="R387" s="149">
        <v>0</v>
      </c>
      <c r="S387" s="116">
        <v>0</v>
      </c>
      <c r="T387" s="116">
        <v>0</v>
      </c>
      <c r="U387" s="33" t="s">
        <v>226</v>
      </c>
      <c r="V387" s="33">
        <v>2015</v>
      </c>
      <c r="W387" s="33">
        <v>1</v>
      </c>
      <c r="X387" s="33">
        <v>0</v>
      </c>
      <c r="Y387" s="33">
        <v>-1.8E-3</v>
      </c>
      <c r="Z387" s="33">
        <v>-1.2E-2</v>
      </c>
      <c r="AA387" s="33">
        <v>0</v>
      </c>
      <c r="AB387" s="33">
        <v>0</v>
      </c>
      <c r="AC387" s="33" t="s">
        <v>347</v>
      </c>
      <c r="AD387" s="158"/>
    </row>
    <row r="388" spans="1:30" s="157" customFormat="1" hidden="1" x14ac:dyDescent="0.2">
      <c r="A388" s="153">
        <f t="shared" si="5"/>
        <v>364</v>
      </c>
      <c r="B388" s="49">
        <v>1</v>
      </c>
      <c r="C388" s="49">
        <v>9</v>
      </c>
      <c r="D388" s="49">
        <v>31</v>
      </c>
      <c r="E388" s="166">
        <v>2033</v>
      </c>
      <c r="F388" s="49">
        <v>2039</v>
      </c>
      <c r="G388" s="49">
        <v>11</v>
      </c>
      <c r="H388" s="49">
        <v>31</v>
      </c>
      <c r="I388" s="49">
        <v>0</v>
      </c>
      <c r="J388" s="49">
        <v>0</v>
      </c>
      <c r="K388" s="49">
        <v>0</v>
      </c>
      <c r="L388" s="167">
        <v>0.78</v>
      </c>
      <c r="M388" s="168">
        <v>7350</v>
      </c>
      <c r="N388" s="168">
        <v>2750</v>
      </c>
      <c r="O388" s="51">
        <v>0</v>
      </c>
      <c r="P388" s="51">
        <v>0</v>
      </c>
      <c r="Q388" s="175">
        <v>0</v>
      </c>
      <c r="R388" s="175">
        <v>0</v>
      </c>
      <c r="S388" s="171">
        <v>0</v>
      </c>
      <c r="T388" s="171">
        <v>0</v>
      </c>
      <c r="U388" s="49" t="s">
        <v>226</v>
      </c>
      <c r="V388" s="49">
        <v>2015</v>
      </c>
      <c r="W388" s="49">
        <v>1</v>
      </c>
      <c r="X388" s="49">
        <v>0</v>
      </c>
      <c r="Y388" s="49">
        <v>-1.8E-3</v>
      </c>
      <c r="Z388" s="49">
        <v>-1.2E-2</v>
      </c>
      <c r="AA388" s="49">
        <v>0</v>
      </c>
      <c r="AB388" s="49">
        <v>0</v>
      </c>
      <c r="AC388" s="49" t="s">
        <v>347</v>
      </c>
      <c r="AD388" s="158"/>
    </row>
    <row r="389" spans="1:30" customFormat="1" hidden="1" x14ac:dyDescent="0.2">
      <c r="A389" s="153">
        <f t="shared" si="5"/>
        <v>365</v>
      </c>
      <c r="B389" s="33">
        <v>1</v>
      </c>
      <c r="C389" s="33">
        <v>9</v>
      </c>
      <c r="D389" s="33">
        <v>31</v>
      </c>
      <c r="E389" s="104">
        <v>2040</v>
      </c>
      <c r="F389" s="33">
        <v>2050</v>
      </c>
      <c r="G389" s="33">
        <v>11</v>
      </c>
      <c r="H389" s="33">
        <v>31</v>
      </c>
      <c r="I389" s="33">
        <v>0</v>
      </c>
      <c r="J389" s="33">
        <v>0</v>
      </c>
      <c r="K389" s="33">
        <v>0</v>
      </c>
      <c r="L389" s="101">
        <v>0.79</v>
      </c>
      <c r="M389" s="108">
        <v>7450</v>
      </c>
      <c r="N389" s="108">
        <v>2850</v>
      </c>
      <c r="O389" s="142">
        <v>0</v>
      </c>
      <c r="P389" s="142">
        <v>0</v>
      </c>
      <c r="Q389" s="149">
        <v>0</v>
      </c>
      <c r="R389" s="149">
        <v>0</v>
      </c>
      <c r="S389" s="116">
        <v>0</v>
      </c>
      <c r="T389" s="116">
        <v>0</v>
      </c>
      <c r="U389" s="33" t="s">
        <v>226</v>
      </c>
      <c r="V389" s="33">
        <v>2015</v>
      </c>
      <c r="W389" s="33">
        <v>1</v>
      </c>
      <c r="X389" s="33">
        <v>0</v>
      </c>
      <c r="Y389" s="33">
        <v>-1.8E-3</v>
      </c>
      <c r="Z389" s="33">
        <v>-1.2E-2</v>
      </c>
      <c r="AA389" s="33">
        <v>0</v>
      </c>
      <c r="AB389" s="33">
        <v>0</v>
      </c>
      <c r="AC389" s="33" t="s">
        <v>347</v>
      </c>
      <c r="AD389" s="158"/>
    </row>
    <row r="390" spans="1:30" s="139" customFormat="1" hidden="1" x14ac:dyDescent="0.2">
      <c r="A390" s="153">
        <f t="shared" si="5"/>
        <v>366</v>
      </c>
      <c r="B390" s="33">
        <v>1</v>
      </c>
      <c r="C390" s="33">
        <v>10</v>
      </c>
      <c r="D390" s="33">
        <v>32</v>
      </c>
      <c r="E390" s="104">
        <v>2016</v>
      </c>
      <c r="F390" s="33">
        <v>2050</v>
      </c>
      <c r="G390" s="33">
        <v>11</v>
      </c>
      <c r="H390" s="33">
        <v>32</v>
      </c>
      <c r="I390" s="33">
        <v>0</v>
      </c>
      <c r="J390" s="33">
        <v>0</v>
      </c>
      <c r="K390" s="33">
        <v>0</v>
      </c>
      <c r="L390" s="101">
        <v>3.2</v>
      </c>
      <c r="M390" s="108">
        <v>7800</v>
      </c>
      <c r="N390" s="108">
        <v>4100</v>
      </c>
      <c r="O390" s="142">
        <v>0</v>
      </c>
      <c r="P390" s="142">
        <v>0</v>
      </c>
      <c r="Q390" s="142">
        <v>0</v>
      </c>
      <c r="R390" s="142">
        <v>0</v>
      </c>
      <c r="S390" s="116">
        <v>0</v>
      </c>
      <c r="T390" s="116">
        <v>0</v>
      </c>
      <c r="U390" s="33" t="s">
        <v>226</v>
      </c>
      <c r="V390" s="33">
        <v>2015</v>
      </c>
      <c r="W390" s="33">
        <v>1</v>
      </c>
      <c r="X390" s="33">
        <v>0</v>
      </c>
      <c r="Y390" s="33">
        <v>-1.8E-3</v>
      </c>
      <c r="Z390" s="33">
        <v>-1.2E-2</v>
      </c>
      <c r="AA390" s="33">
        <v>0</v>
      </c>
      <c r="AB390" s="33">
        <v>0</v>
      </c>
      <c r="AC390" s="33" t="s">
        <v>212</v>
      </c>
      <c r="AD390" s="158"/>
    </row>
    <row r="391" spans="1:30" s="139" customFormat="1" hidden="1" x14ac:dyDescent="0.2">
      <c r="A391" s="153">
        <f t="shared" si="5"/>
        <v>367</v>
      </c>
      <c r="B391" s="33">
        <v>1</v>
      </c>
      <c r="C391" s="33">
        <v>10</v>
      </c>
      <c r="D391" s="33">
        <v>33</v>
      </c>
      <c r="E391" s="104">
        <v>2016</v>
      </c>
      <c r="F391" s="33">
        <v>2050</v>
      </c>
      <c r="G391" s="33">
        <v>11</v>
      </c>
      <c r="H391" s="33">
        <v>33</v>
      </c>
      <c r="I391" s="33">
        <v>0</v>
      </c>
      <c r="J391" s="33">
        <v>0</v>
      </c>
      <c r="K391" s="33">
        <v>0</v>
      </c>
      <c r="L391" s="101">
        <v>3.7</v>
      </c>
      <c r="M391" s="108">
        <v>8075</v>
      </c>
      <c r="N391" s="108">
        <v>4650</v>
      </c>
      <c r="O391" s="142">
        <v>0</v>
      </c>
      <c r="P391" s="142">
        <v>0</v>
      </c>
      <c r="Q391" s="142">
        <v>0</v>
      </c>
      <c r="R391" s="142">
        <v>0</v>
      </c>
      <c r="S391" s="116">
        <v>0</v>
      </c>
      <c r="T391" s="116">
        <v>0</v>
      </c>
      <c r="U391" s="33" t="s">
        <v>226</v>
      </c>
      <c r="V391" s="33">
        <v>2015</v>
      </c>
      <c r="W391" s="33">
        <v>1</v>
      </c>
      <c r="X391" s="33">
        <v>0</v>
      </c>
      <c r="Y391" s="33">
        <v>-1.8E-3</v>
      </c>
      <c r="Z391" s="33">
        <v>-1.2E-2</v>
      </c>
      <c r="AA391" s="33">
        <v>0</v>
      </c>
      <c r="AB391" s="33">
        <v>0</v>
      </c>
      <c r="AC391" s="33" t="s">
        <v>213</v>
      </c>
      <c r="AD391" s="158"/>
    </row>
    <row r="392" spans="1:30" customFormat="1" hidden="1" x14ac:dyDescent="0.2">
      <c r="A392" s="153">
        <f t="shared" si="5"/>
        <v>368</v>
      </c>
      <c r="B392" s="33">
        <v>1</v>
      </c>
      <c r="C392" s="33">
        <v>10</v>
      </c>
      <c r="D392" s="33">
        <v>34</v>
      </c>
      <c r="E392" s="104">
        <v>2016</v>
      </c>
      <c r="F392" s="159">
        <v>2019</v>
      </c>
      <c r="G392" s="33">
        <v>1</v>
      </c>
      <c r="H392" s="33">
        <v>34</v>
      </c>
      <c r="I392" s="33">
        <v>0</v>
      </c>
      <c r="J392" s="33">
        <v>0</v>
      </c>
      <c r="K392" s="33">
        <v>0</v>
      </c>
      <c r="L392" s="101">
        <v>3.6</v>
      </c>
      <c r="M392" s="108">
        <v>8075</v>
      </c>
      <c r="N392" s="108">
        <v>4600</v>
      </c>
      <c r="O392" s="142">
        <v>2423</v>
      </c>
      <c r="P392" s="142">
        <v>1380</v>
      </c>
      <c r="Q392" s="160">
        <v>1675</v>
      </c>
      <c r="R392" s="160">
        <v>954</v>
      </c>
      <c r="S392" s="116">
        <v>0</v>
      </c>
      <c r="T392" s="116">
        <v>0</v>
      </c>
      <c r="U392" s="33" t="s">
        <v>226</v>
      </c>
      <c r="V392" s="33">
        <v>2015</v>
      </c>
      <c r="W392" s="33">
        <v>1</v>
      </c>
      <c r="X392" s="33">
        <v>0</v>
      </c>
      <c r="Y392" s="33">
        <v>-1.8E-3</v>
      </c>
      <c r="Z392" s="33">
        <v>-1.2E-2</v>
      </c>
      <c r="AA392" s="33">
        <v>0</v>
      </c>
      <c r="AB392" s="33">
        <v>0</v>
      </c>
      <c r="AC392" s="33" t="s">
        <v>349</v>
      </c>
      <c r="AD392" s="158"/>
    </row>
    <row r="393" spans="1:30" customFormat="1" hidden="1" x14ac:dyDescent="0.2">
      <c r="A393" s="153">
        <f t="shared" si="5"/>
        <v>369</v>
      </c>
      <c r="B393" s="33">
        <v>1</v>
      </c>
      <c r="C393" s="33">
        <v>10</v>
      </c>
      <c r="D393" s="33">
        <v>34</v>
      </c>
      <c r="E393" s="104">
        <v>2016</v>
      </c>
      <c r="F393" s="159">
        <v>2019</v>
      </c>
      <c r="G393" s="33">
        <v>2</v>
      </c>
      <c r="H393" s="33">
        <v>34</v>
      </c>
      <c r="I393" s="33">
        <v>0</v>
      </c>
      <c r="J393" s="33">
        <v>0</v>
      </c>
      <c r="K393" s="33">
        <v>0</v>
      </c>
      <c r="L393" s="101">
        <v>3.6</v>
      </c>
      <c r="M393" s="108">
        <v>8075</v>
      </c>
      <c r="N393" s="108">
        <v>4600</v>
      </c>
      <c r="O393" s="142">
        <v>2423</v>
      </c>
      <c r="P393" s="142">
        <v>1380</v>
      </c>
      <c r="Q393" s="160">
        <v>871</v>
      </c>
      <c r="R393" s="160">
        <v>496</v>
      </c>
      <c r="S393" s="116">
        <v>0</v>
      </c>
      <c r="T393" s="116">
        <v>0</v>
      </c>
      <c r="U393" s="33" t="s">
        <v>226</v>
      </c>
      <c r="V393" s="33">
        <v>2015</v>
      </c>
      <c r="W393" s="33">
        <v>1</v>
      </c>
      <c r="X393" s="33">
        <v>0</v>
      </c>
      <c r="Y393" s="33">
        <v>-1.8E-3</v>
      </c>
      <c r="Z393" s="33">
        <v>-1.2E-2</v>
      </c>
      <c r="AA393" s="33">
        <v>0</v>
      </c>
      <c r="AB393" s="33">
        <v>0</v>
      </c>
      <c r="AC393" s="33" t="s">
        <v>349</v>
      </c>
      <c r="AD393" s="158"/>
    </row>
    <row r="394" spans="1:30" customFormat="1" x14ac:dyDescent="0.2">
      <c r="A394" s="153">
        <f t="shared" si="5"/>
        <v>370</v>
      </c>
      <c r="B394" s="33">
        <v>1</v>
      </c>
      <c r="C394" s="33">
        <v>10</v>
      </c>
      <c r="D394" s="33">
        <v>34</v>
      </c>
      <c r="E394" s="104">
        <v>2016</v>
      </c>
      <c r="F394" s="159">
        <v>2019</v>
      </c>
      <c r="G394" s="33">
        <v>3</v>
      </c>
      <c r="H394" s="33">
        <v>34</v>
      </c>
      <c r="I394" s="33">
        <v>0</v>
      </c>
      <c r="J394" s="33">
        <v>0</v>
      </c>
      <c r="K394" s="33">
        <v>0</v>
      </c>
      <c r="L394" s="101">
        <v>3.6</v>
      </c>
      <c r="M394" s="108">
        <v>8075</v>
      </c>
      <c r="N394" s="108">
        <v>4600</v>
      </c>
      <c r="O394" s="142">
        <v>2423</v>
      </c>
      <c r="P394" s="142">
        <v>1380</v>
      </c>
      <c r="Q394" s="160">
        <v>427</v>
      </c>
      <c r="R394" s="160">
        <v>243</v>
      </c>
      <c r="S394" s="116">
        <v>0</v>
      </c>
      <c r="T394" s="116">
        <v>0</v>
      </c>
      <c r="U394" s="33" t="s">
        <v>226</v>
      </c>
      <c r="V394" s="33">
        <v>2015</v>
      </c>
      <c r="W394" s="33">
        <v>1</v>
      </c>
      <c r="X394" s="33">
        <v>0</v>
      </c>
      <c r="Y394" s="33">
        <v>-1.8E-3</v>
      </c>
      <c r="Z394" s="33">
        <v>-1.2E-2</v>
      </c>
      <c r="AA394" s="33">
        <v>0</v>
      </c>
      <c r="AB394" s="33">
        <v>0</v>
      </c>
      <c r="AC394" s="33" t="s">
        <v>349</v>
      </c>
      <c r="AD394" s="158"/>
    </row>
    <row r="395" spans="1:30" customFormat="1" hidden="1" x14ac:dyDescent="0.2">
      <c r="A395" s="153">
        <f t="shared" si="5"/>
        <v>371</v>
      </c>
      <c r="B395" s="33">
        <v>1</v>
      </c>
      <c r="C395" s="33">
        <v>10</v>
      </c>
      <c r="D395" s="33">
        <v>34</v>
      </c>
      <c r="E395" s="104">
        <v>2016</v>
      </c>
      <c r="F395" s="159">
        <v>2019</v>
      </c>
      <c r="G395" s="33">
        <v>4</v>
      </c>
      <c r="H395" s="33">
        <v>34</v>
      </c>
      <c r="I395" s="33">
        <v>0</v>
      </c>
      <c r="J395" s="33">
        <v>0</v>
      </c>
      <c r="K395" s="33">
        <v>0</v>
      </c>
      <c r="L395" s="101">
        <v>3.6</v>
      </c>
      <c r="M395" s="108">
        <v>8075</v>
      </c>
      <c r="N395" s="108">
        <v>4600</v>
      </c>
      <c r="O395" s="142">
        <v>2423</v>
      </c>
      <c r="P395" s="142">
        <v>1380</v>
      </c>
      <c r="Q395" s="160">
        <v>376</v>
      </c>
      <c r="R395" s="160">
        <v>214</v>
      </c>
      <c r="S395" s="116">
        <v>0</v>
      </c>
      <c r="T395" s="116">
        <v>0</v>
      </c>
      <c r="U395" s="33" t="s">
        <v>226</v>
      </c>
      <c r="V395" s="33">
        <v>2015</v>
      </c>
      <c r="W395" s="33">
        <v>1</v>
      </c>
      <c r="X395" s="33">
        <v>0</v>
      </c>
      <c r="Y395" s="33">
        <v>-1.8E-3</v>
      </c>
      <c r="Z395" s="33">
        <v>-1.2E-2</v>
      </c>
      <c r="AA395" s="33">
        <v>0</v>
      </c>
      <c r="AB395" s="33">
        <v>0</v>
      </c>
      <c r="AC395" s="33" t="s">
        <v>349</v>
      </c>
      <c r="AD395" s="158"/>
    </row>
    <row r="396" spans="1:30" customFormat="1" hidden="1" x14ac:dyDescent="0.2">
      <c r="A396" s="153">
        <f t="shared" si="5"/>
        <v>372</v>
      </c>
      <c r="B396" s="33">
        <v>1</v>
      </c>
      <c r="C396" s="33">
        <v>10</v>
      </c>
      <c r="D396" s="33">
        <v>34</v>
      </c>
      <c r="E396" s="104">
        <v>2016</v>
      </c>
      <c r="F396" s="159">
        <v>2019</v>
      </c>
      <c r="G396" s="33">
        <v>5</v>
      </c>
      <c r="H396" s="33">
        <v>34</v>
      </c>
      <c r="I396" s="33">
        <v>0</v>
      </c>
      <c r="J396" s="33">
        <v>0</v>
      </c>
      <c r="K396" s="33">
        <v>0</v>
      </c>
      <c r="L396" s="101">
        <v>3.6</v>
      </c>
      <c r="M396" s="108">
        <v>8075</v>
      </c>
      <c r="N396" s="108">
        <v>4600</v>
      </c>
      <c r="O396" s="142">
        <v>2423</v>
      </c>
      <c r="P396" s="142">
        <v>1380</v>
      </c>
      <c r="Q396" s="160">
        <v>194</v>
      </c>
      <c r="R396" s="160">
        <v>111</v>
      </c>
      <c r="S396" s="116">
        <v>0</v>
      </c>
      <c r="T396" s="116">
        <v>0</v>
      </c>
      <c r="U396" s="33" t="s">
        <v>226</v>
      </c>
      <c r="V396" s="33">
        <v>2015</v>
      </c>
      <c r="W396" s="33">
        <v>1</v>
      </c>
      <c r="X396" s="33">
        <v>0</v>
      </c>
      <c r="Y396" s="33">
        <v>-1.8E-3</v>
      </c>
      <c r="Z396" s="33">
        <v>-1.2E-2</v>
      </c>
      <c r="AA396" s="33">
        <v>0</v>
      </c>
      <c r="AB396" s="33">
        <v>0</v>
      </c>
      <c r="AC396" s="33" t="s">
        <v>349</v>
      </c>
      <c r="AD396" s="158"/>
    </row>
    <row r="397" spans="1:30" customFormat="1" hidden="1" x14ac:dyDescent="0.2">
      <c r="A397" s="153">
        <f t="shared" si="5"/>
        <v>373</v>
      </c>
      <c r="B397" s="33">
        <v>1</v>
      </c>
      <c r="C397" s="33">
        <v>10</v>
      </c>
      <c r="D397" s="33">
        <v>34</v>
      </c>
      <c r="E397" s="104">
        <v>2016</v>
      </c>
      <c r="F397" s="159">
        <v>2019</v>
      </c>
      <c r="G397" s="33">
        <v>6</v>
      </c>
      <c r="H397" s="33">
        <v>34</v>
      </c>
      <c r="I397" s="33">
        <v>0</v>
      </c>
      <c r="J397" s="33">
        <v>0</v>
      </c>
      <c r="K397" s="33">
        <v>0</v>
      </c>
      <c r="L397" s="101">
        <v>3.6</v>
      </c>
      <c r="M397" s="108">
        <v>8075</v>
      </c>
      <c r="N397" s="108">
        <v>4600</v>
      </c>
      <c r="O397" s="142">
        <v>2423</v>
      </c>
      <c r="P397" s="142">
        <v>1380</v>
      </c>
      <c r="Q397" s="160">
        <v>39</v>
      </c>
      <c r="R397" s="160">
        <v>22</v>
      </c>
      <c r="S397" s="116">
        <v>0</v>
      </c>
      <c r="T397" s="116">
        <v>0</v>
      </c>
      <c r="U397" s="33" t="s">
        <v>226</v>
      </c>
      <c r="V397" s="33">
        <v>2015</v>
      </c>
      <c r="W397" s="33">
        <v>1</v>
      </c>
      <c r="X397" s="33">
        <v>0</v>
      </c>
      <c r="Y397" s="33">
        <v>-1.8E-3</v>
      </c>
      <c r="Z397" s="33">
        <v>-1.2E-2</v>
      </c>
      <c r="AA397" s="33">
        <v>0</v>
      </c>
      <c r="AB397" s="33">
        <v>0</v>
      </c>
      <c r="AC397" s="33" t="s">
        <v>349</v>
      </c>
      <c r="AD397" s="158"/>
    </row>
    <row r="398" spans="1:30" customFormat="1" hidden="1" x14ac:dyDescent="0.2">
      <c r="A398" s="153">
        <f t="shared" si="5"/>
        <v>374</v>
      </c>
      <c r="B398" s="33">
        <v>1</v>
      </c>
      <c r="C398" s="33">
        <v>10</v>
      </c>
      <c r="D398" s="33">
        <v>34</v>
      </c>
      <c r="E398" s="104">
        <v>2016</v>
      </c>
      <c r="F398" s="159">
        <v>2019</v>
      </c>
      <c r="G398" s="33">
        <v>7</v>
      </c>
      <c r="H398" s="33">
        <v>34</v>
      </c>
      <c r="I398" s="33">
        <v>0</v>
      </c>
      <c r="J398" s="33">
        <v>0</v>
      </c>
      <c r="K398" s="33">
        <v>0</v>
      </c>
      <c r="L398" s="101">
        <v>3.6</v>
      </c>
      <c r="M398" s="108">
        <v>8075</v>
      </c>
      <c r="N398" s="108">
        <v>4600</v>
      </c>
      <c r="O398" s="142">
        <v>2423</v>
      </c>
      <c r="P398" s="142">
        <v>1380</v>
      </c>
      <c r="Q398" s="160">
        <v>77</v>
      </c>
      <c r="R398" s="160">
        <v>44</v>
      </c>
      <c r="S398" s="116">
        <v>0</v>
      </c>
      <c r="T398" s="116">
        <v>0</v>
      </c>
      <c r="U398" s="33" t="s">
        <v>226</v>
      </c>
      <c r="V398" s="33">
        <v>2015</v>
      </c>
      <c r="W398" s="33">
        <v>1</v>
      </c>
      <c r="X398" s="33">
        <v>0</v>
      </c>
      <c r="Y398" s="33">
        <v>-1.8E-3</v>
      </c>
      <c r="Z398" s="33">
        <v>-1.2E-2</v>
      </c>
      <c r="AA398" s="33">
        <v>0</v>
      </c>
      <c r="AB398" s="33">
        <v>0</v>
      </c>
      <c r="AC398" s="33" t="s">
        <v>349</v>
      </c>
      <c r="AD398" s="158"/>
    </row>
    <row r="399" spans="1:30" customFormat="1" hidden="1" x14ac:dyDescent="0.2">
      <c r="A399" s="153">
        <f t="shared" si="5"/>
        <v>375</v>
      </c>
      <c r="B399" s="33">
        <v>1</v>
      </c>
      <c r="C399" s="33">
        <v>10</v>
      </c>
      <c r="D399" s="33">
        <v>34</v>
      </c>
      <c r="E399" s="104">
        <v>2016</v>
      </c>
      <c r="F399" s="159">
        <v>2019</v>
      </c>
      <c r="G399" s="33">
        <v>8</v>
      </c>
      <c r="H399" s="33">
        <v>34</v>
      </c>
      <c r="I399" s="33">
        <v>0</v>
      </c>
      <c r="J399" s="33">
        <v>0</v>
      </c>
      <c r="K399" s="33">
        <v>0</v>
      </c>
      <c r="L399" s="101">
        <v>3.6</v>
      </c>
      <c r="M399" s="108">
        <v>8075</v>
      </c>
      <c r="N399" s="108">
        <v>4600</v>
      </c>
      <c r="O399" s="142">
        <v>2423</v>
      </c>
      <c r="P399" s="142">
        <v>1380</v>
      </c>
      <c r="Q399" s="160">
        <v>289</v>
      </c>
      <c r="R399" s="160">
        <v>165</v>
      </c>
      <c r="S399" s="116">
        <v>0</v>
      </c>
      <c r="T399" s="116">
        <v>0</v>
      </c>
      <c r="U399" s="33" t="s">
        <v>226</v>
      </c>
      <c r="V399" s="33">
        <v>2015</v>
      </c>
      <c r="W399" s="33">
        <v>1</v>
      </c>
      <c r="X399" s="33">
        <v>0</v>
      </c>
      <c r="Y399" s="33">
        <v>-1.8E-3</v>
      </c>
      <c r="Z399" s="33">
        <v>-1.2E-2</v>
      </c>
      <c r="AA399" s="33">
        <v>0</v>
      </c>
      <c r="AB399" s="33">
        <v>0</v>
      </c>
      <c r="AC399" s="33" t="s">
        <v>349</v>
      </c>
      <c r="AD399" s="158"/>
    </row>
    <row r="400" spans="1:30" customFormat="1" hidden="1" x14ac:dyDescent="0.2">
      <c r="A400" s="153">
        <f t="shared" si="5"/>
        <v>376</v>
      </c>
      <c r="B400" s="33">
        <v>1</v>
      </c>
      <c r="C400" s="33">
        <v>10</v>
      </c>
      <c r="D400" s="33">
        <v>34</v>
      </c>
      <c r="E400" s="104">
        <v>2016</v>
      </c>
      <c r="F400" s="159">
        <v>2019</v>
      </c>
      <c r="G400" s="33">
        <v>9</v>
      </c>
      <c r="H400" s="33">
        <v>34</v>
      </c>
      <c r="I400" s="33">
        <v>0</v>
      </c>
      <c r="J400" s="33">
        <v>0</v>
      </c>
      <c r="K400" s="33">
        <v>0</v>
      </c>
      <c r="L400" s="101">
        <v>3.6</v>
      </c>
      <c r="M400" s="108">
        <v>8075</v>
      </c>
      <c r="N400" s="108">
        <v>4600</v>
      </c>
      <c r="O400" s="142">
        <v>2423</v>
      </c>
      <c r="P400" s="142">
        <v>1380</v>
      </c>
      <c r="Q400" s="160">
        <v>162</v>
      </c>
      <c r="R400" s="160">
        <v>92</v>
      </c>
      <c r="S400" s="116">
        <v>0</v>
      </c>
      <c r="T400" s="116">
        <v>0</v>
      </c>
      <c r="U400" s="33" t="s">
        <v>226</v>
      </c>
      <c r="V400" s="33">
        <v>2015</v>
      </c>
      <c r="W400" s="33">
        <v>1</v>
      </c>
      <c r="X400" s="33">
        <v>0</v>
      </c>
      <c r="Y400" s="33">
        <v>-1.8E-3</v>
      </c>
      <c r="Z400" s="33">
        <v>-1.2E-2</v>
      </c>
      <c r="AA400" s="33">
        <v>0</v>
      </c>
      <c r="AB400" s="33">
        <v>0</v>
      </c>
      <c r="AC400" s="33" t="s">
        <v>349</v>
      </c>
      <c r="AD400" s="158"/>
    </row>
    <row r="401" spans="1:30" s="157" customFormat="1" hidden="1" x14ac:dyDescent="0.2">
      <c r="A401" s="153">
        <f t="shared" si="5"/>
        <v>377</v>
      </c>
      <c r="B401" s="49">
        <v>1</v>
      </c>
      <c r="C401" s="49">
        <v>10</v>
      </c>
      <c r="D401" s="49">
        <v>34</v>
      </c>
      <c r="E401" s="166">
        <v>2020</v>
      </c>
      <c r="F401" s="49">
        <v>2021</v>
      </c>
      <c r="G401" s="49">
        <v>1</v>
      </c>
      <c r="H401" s="49">
        <v>34</v>
      </c>
      <c r="I401" s="49">
        <v>0</v>
      </c>
      <c r="J401" s="49">
        <v>0</v>
      </c>
      <c r="K401" s="49">
        <v>0</v>
      </c>
      <c r="L401" s="167">
        <v>3.6</v>
      </c>
      <c r="M401" s="168">
        <v>8075</v>
      </c>
      <c r="N401" s="168">
        <v>4600</v>
      </c>
      <c r="O401" s="51">
        <v>2100</v>
      </c>
      <c r="P401" s="51">
        <v>1196</v>
      </c>
      <c r="Q401" s="51">
        <v>1675</v>
      </c>
      <c r="R401" s="51">
        <v>954</v>
      </c>
      <c r="S401" s="171">
        <v>0</v>
      </c>
      <c r="T401" s="171">
        <v>0</v>
      </c>
      <c r="U401" s="49" t="s">
        <v>226</v>
      </c>
      <c r="V401" s="49">
        <v>2015</v>
      </c>
      <c r="W401" s="49">
        <v>1</v>
      </c>
      <c r="X401" s="49">
        <v>0</v>
      </c>
      <c r="Y401" s="49">
        <v>-1.8E-3</v>
      </c>
      <c r="Z401" s="49">
        <v>-1.2E-2</v>
      </c>
      <c r="AA401" s="49">
        <v>0</v>
      </c>
      <c r="AB401" s="49">
        <v>0</v>
      </c>
      <c r="AC401" s="49" t="s">
        <v>349</v>
      </c>
      <c r="AD401" s="158"/>
    </row>
    <row r="402" spans="1:30" s="157" customFormat="1" hidden="1" x14ac:dyDescent="0.2">
      <c r="A402" s="153">
        <f t="shared" si="5"/>
        <v>378</v>
      </c>
      <c r="B402" s="49">
        <v>1</v>
      </c>
      <c r="C402" s="49">
        <v>10</v>
      </c>
      <c r="D402" s="49">
        <v>34</v>
      </c>
      <c r="E402" s="166">
        <v>2020</v>
      </c>
      <c r="F402" s="49">
        <v>2021</v>
      </c>
      <c r="G402" s="49">
        <v>2</v>
      </c>
      <c r="H402" s="49">
        <v>34</v>
      </c>
      <c r="I402" s="49">
        <v>0</v>
      </c>
      <c r="J402" s="49">
        <v>0</v>
      </c>
      <c r="K402" s="49">
        <v>0</v>
      </c>
      <c r="L402" s="167">
        <v>3.6</v>
      </c>
      <c r="M402" s="168">
        <v>8075</v>
      </c>
      <c r="N402" s="168">
        <v>4600</v>
      </c>
      <c r="O402" s="51">
        <v>2100</v>
      </c>
      <c r="P402" s="51">
        <v>1196</v>
      </c>
      <c r="Q402" s="51">
        <v>871</v>
      </c>
      <c r="R402" s="51">
        <v>496</v>
      </c>
      <c r="S402" s="171">
        <v>0</v>
      </c>
      <c r="T402" s="171">
        <v>0</v>
      </c>
      <c r="U402" s="49" t="s">
        <v>226</v>
      </c>
      <c r="V402" s="49">
        <v>2015</v>
      </c>
      <c r="W402" s="49">
        <v>1</v>
      </c>
      <c r="X402" s="49">
        <v>0</v>
      </c>
      <c r="Y402" s="49">
        <v>-1.8E-3</v>
      </c>
      <c r="Z402" s="49">
        <v>-1.2E-2</v>
      </c>
      <c r="AA402" s="49">
        <v>0</v>
      </c>
      <c r="AB402" s="49">
        <v>0</v>
      </c>
      <c r="AC402" s="49" t="s">
        <v>349</v>
      </c>
      <c r="AD402" s="158"/>
    </row>
    <row r="403" spans="1:30" s="157" customFormat="1" x14ac:dyDescent="0.2">
      <c r="A403" s="153">
        <f t="shared" si="5"/>
        <v>379</v>
      </c>
      <c r="B403" s="49">
        <v>1</v>
      </c>
      <c r="C403" s="49">
        <v>10</v>
      </c>
      <c r="D403" s="49">
        <v>34</v>
      </c>
      <c r="E403" s="166">
        <v>2020</v>
      </c>
      <c r="F403" s="49">
        <v>2021</v>
      </c>
      <c r="G403" s="49">
        <v>3</v>
      </c>
      <c r="H403" s="49">
        <v>34</v>
      </c>
      <c r="I403" s="49">
        <v>0</v>
      </c>
      <c r="J403" s="49">
        <v>0</v>
      </c>
      <c r="K403" s="49">
        <v>0</v>
      </c>
      <c r="L403" s="167">
        <v>3.6</v>
      </c>
      <c r="M403" s="168">
        <v>8075</v>
      </c>
      <c r="N403" s="168">
        <v>4600</v>
      </c>
      <c r="O403" s="51">
        <v>2100</v>
      </c>
      <c r="P403" s="51">
        <v>1196</v>
      </c>
      <c r="Q403" s="51">
        <v>427</v>
      </c>
      <c r="R403" s="51">
        <v>243</v>
      </c>
      <c r="S403" s="171">
        <v>0</v>
      </c>
      <c r="T403" s="171">
        <v>0</v>
      </c>
      <c r="U403" s="49" t="s">
        <v>226</v>
      </c>
      <c r="V403" s="49">
        <v>2015</v>
      </c>
      <c r="W403" s="49">
        <v>1</v>
      </c>
      <c r="X403" s="49">
        <v>0</v>
      </c>
      <c r="Y403" s="49">
        <v>-1.8E-3</v>
      </c>
      <c r="Z403" s="49">
        <v>-1.2E-2</v>
      </c>
      <c r="AA403" s="49">
        <v>0</v>
      </c>
      <c r="AB403" s="49">
        <v>0</v>
      </c>
      <c r="AC403" s="49" t="s">
        <v>349</v>
      </c>
      <c r="AD403" s="158"/>
    </row>
    <row r="404" spans="1:30" s="157" customFormat="1" hidden="1" x14ac:dyDescent="0.2">
      <c r="A404" s="153">
        <f t="shared" si="5"/>
        <v>380</v>
      </c>
      <c r="B404" s="49">
        <v>1</v>
      </c>
      <c r="C404" s="49">
        <v>10</v>
      </c>
      <c r="D404" s="49">
        <v>34</v>
      </c>
      <c r="E404" s="166">
        <v>2020</v>
      </c>
      <c r="F404" s="49">
        <v>2021</v>
      </c>
      <c r="G404" s="49">
        <v>4</v>
      </c>
      <c r="H404" s="49">
        <v>34</v>
      </c>
      <c r="I404" s="49">
        <v>0</v>
      </c>
      <c r="J404" s="49">
        <v>0</v>
      </c>
      <c r="K404" s="49">
        <v>0</v>
      </c>
      <c r="L404" s="167">
        <v>3.6</v>
      </c>
      <c r="M404" s="168">
        <v>8075</v>
      </c>
      <c r="N404" s="168">
        <v>4600</v>
      </c>
      <c r="O404" s="51">
        <v>2100</v>
      </c>
      <c r="P404" s="51">
        <v>1196</v>
      </c>
      <c r="Q404" s="51">
        <v>376</v>
      </c>
      <c r="R404" s="51">
        <v>214</v>
      </c>
      <c r="S404" s="171">
        <v>0</v>
      </c>
      <c r="T404" s="171">
        <v>0</v>
      </c>
      <c r="U404" s="49" t="s">
        <v>226</v>
      </c>
      <c r="V404" s="49">
        <v>2015</v>
      </c>
      <c r="W404" s="49">
        <v>1</v>
      </c>
      <c r="X404" s="49">
        <v>0</v>
      </c>
      <c r="Y404" s="49">
        <v>-1.8E-3</v>
      </c>
      <c r="Z404" s="49">
        <v>-1.2E-2</v>
      </c>
      <c r="AA404" s="49">
        <v>0</v>
      </c>
      <c r="AB404" s="49">
        <v>0</v>
      </c>
      <c r="AC404" s="49" t="s">
        <v>349</v>
      </c>
      <c r="AD404" s="158"/>
    </row>
    <row r="405" spans="1:30" s="157" customFormat="1" hidden="1" x14ac:dyDescent="0.2">
      <c r="A405" s="153">
        <f t="shared" si="5"/>
        <v>381</v>
      </c>
      <c r="B405" s="49">
        <v>1</v>
      </c>
      <c r="C405" s="49">
        <v>10</v>
      </c>
      <c r="D405" s="49">
        <v>34</v>
      </c>
      <c r="E405" s="166">
        <v>2020</v>
      </c>
      <c r="F405" s="49">
        <v>2021</v>
      </c>
      <c r="G405" s="49">
        <v>5</v>
      </c>
      <c r="H405" s="49">
        <v>34</v>
      </c>
      <c r="I405" s="49">
        <v>0</v>
      </c>
      <c r="J405" s="49">
        <v>0</v>
      </c>
      <c r="K405" s="49">
        <v>0</v>
      </c>
      <c r="L405" s="167">
        <v>3.6</v>
      </c>
      <c r="M405" s="168">
        <v>8075</v>
      </c>
      <c r="N405" s="168">
        <v>4600</v>
      </c>
      <c r="O405" s="51">
        <v>2100</v>
      </c>
      <c r="P405" s="51">
        <v>1196</v>
      </c>
      <c r="Q405" s="51">
        <v>194</v>
      </c>
      <c r="R405" s="51">
        <v>111</v>
      </c>
      <c r="S405" s="171">
        <v>0</v>
      </c>
      <c r="T405" s="171">
        <v>0</v>
      </c>
      <c r="U405" s="49" t="s">
        <v>226</v>
      </c>
      <c r="V405" s="49">
        <v>2015</v>
      </c>
      <c r="W405" s="49">
        <v>1</v>
      </c>
      <c r="X405" s="49">
        <v>0</v>
      </c>
      <c r="Y405" s="49">
        <v>-1.8E-3</v>
      </c>
      <c r="Z405" s="49">
        <v>-1.2E-2</v>
      </c>
      <c r="AA405" s="49">
        <v>0</v>
      </c>
      <c r="AB405" s="49">
        <v>0</v>
      </c>
      <c r="AC405" s="49" t="s">
        <v>349</v>
      </c>
      <c r="AD405" s="158"/>
    </row>
    <row r="406" spans="1:30" s="157" customFormat="1" hidden="1" x14ac:dyDescent="0.2">
      <c r="A406" s="153">
        <f t="shared" si="5"/>
        <v>382</v>
      </c>
      <c r="B406" s="49">
        <v>1</v>
      </c>
      <c r="C406" s="49">
        <v>10</v>
      </c>
      <c r="D406" s="49">
        <v>34</v>
      </c>
      <c r="E406" s="166">
        <v>2020</v>
      </c>
      <c r="F406" s="49">
        <v>2021</v>
      </c>
      <c r="G406" s="49">
        <v>6</v>
      </c>
      <c r="H406" s="49">
        <v>34</v>
      </c>
      <c r="I406" s="49">
        <v>0</v>
      </c>
      <c r="J406" s="49">
        <v>0</v>
      </c>
      <c r="K406" s="49">
        <v>0</v>
      </c>
      <c r="L406" s="167">
        <v>3.6</v>
      </c>
      <c r="M406" s="168">
        <v>8075</v>
      </c>
      <c r="N406" s="168">
        <v>4600</v>
      </c>
      <c r="O406" s="51">
        <v>2100</v>
      </c>
      <c r="P406" s="51">
        <v>1196</v>
      </c>
      <c r="Q406" s="51">
        <v>39</v>
      </c>
      <c r="R406" s="51">
        <v>22</v>
      </c>
      <c r="S406" s="171">
        <v>0</v>
      </c>
      <c r="T406" s="171">
        <v>0</v>
      </c>
      <c r="U406" s="49" t="s">
        <v>226</v>
      </c>
      <c r="V406" s="49">
        <v>2015</v>
      </c>
      <c r="W406" s="49">
        <v>1</v>
      </c>
      <c r="X406" s="49">
        <v>0</v>
      </c>
      <c r="Y406" s="49">
        <v>-1.8E-3</v>
      </c>
      <c r="Z406" s="49">
        <v>-1.2E-2</v>
      </c>
      <c r="AA406" s="49">
        <v>0</v>
      </c>
      <c r="AB406" s="49">
        <v>0</v>
      </c>
      <c r="AC406" s="49" t="s">
        <v>349</v>
      </c>
      <c r="AD406" s="158"/>
    </row>
    <row r="407" spans="1:30" s="157" customFormat="1" hidden="1" x14ac:dyDescent="0.2">
      <c r="A407" s="153">
        <f t="shared" si="5"/>
        <v>383</v>
      </c>
      <c r="B407" s="49">
        <v>1</v>
      </c>
      <c r="C407" s="49">
        <v>10</v>
      </c>
      <c r="D407" s="49">
        <v>34</v>
      </c>
      <c r="E407" s="166">
        <v>2020</v>
      </c>
      <c r="F407" s="49">
        <v>2021</v>
      </c>
      <c r="G407" s="49">
        <v>7</v>
      </c>
      <c r="H407" s="49">
        <v>34</v>
      </c>
      <c r="I407" s="49">
        <v>0</v>
      </c>
      <c r="J407" s="49">
        <v>0</v>
      </c>
      <c r="K407" s="49">
        <v>0</v>
      </c>
      <c r="L407" s="167">
        <v>3.6</v>
      </c>
      <c r="M407" s="168">
        <v>8075</v>
      </c>
      <c r="N407" s="168">
        <v>4600</v>
      </c>
      <c r="O407" s="51">
        <v>2100</v>
      </c>
      <c r="P407" s="51">
        <v>1196</v>
      </c>
      <c r="Q407" s="51">
        <v>77</v>
      </c>
      <c r="R407" s="51">
        <v>44</v>
      </c>
      <c r="S407" s="171">
        <v>0</v>
      </c>
      <c r="T407" s="171">
        <v>0</v>
      </c>
      <c r="U407" s="49" t="s">
        <v>226</v>
      </c>
      <c r="V407" s="49">
        <v>2015</v>
      </c>
      <c r="W407" s="49">
        <v>1</v>
      </c>
      <c r="X407" s="49">
        <v>0</v>
      </c>
      <c r="Y407" s="49">
        <v>-1.8E-3</v>
      </c>
      <c r="Z407" s="49">
        <v>-1.2E-2</v>
      </c>
      <c r="AA407" s="49">
        <v>0</v>
      </c>
      <c r="AB407" s="49">
        <v>0</v>
      </c>
      <c r="AC407" s="49" t="s">
        <v>349</v>
      </c>
      <c r="AD407" s="158"/>
    </row>
    <row r="408" spans="1:30" s="157" customFormat="1" hidden="1" x14ac:dyDescent="0.2">
      <c r="A408" s="153">
        <f t="shared" si="5"/>
        <v>384</v>
      </c>
      <c r="B408" s="49">
        <v>1</v>
      </c>
      <c r="C408" s="49">
        <v>10</v>
      </c>
      <c r="D408" s="49">
        <v>34</v>
      </c>
      <c r="E408" s="166">
        <v>2020</v>
      </c>
      <c r="F408" s="49">
        <v>2021</v>
      </c>
      <c r="G408" s="49">
        <v>8</v>
      </c>
      <c r="H408" s="49">
        <v>34</v>
      </c>
      <c r="I408" s="49">
        <v>0</v>
      </c>
      <c r="J408" s="49">
        <v>0</v>
      </c>
      <c r="K408" s="49">
        <v>0</v>
      </c>
      <c r="L408" s="167">
        <v>3.6</v>
      </c>
      <c r="M408" s="168">
        <v>8075</v>
      </c>
      <c r="N408" s="168">
        <v>4600</v>
      </c>
      <c r="O408" s="51">
        <v>2100</v>
      </c>
      <c r="P408" s="51">
        <v>1196</v>
      </c>
      <c r="Q408" s="51">
        <v>289</v>
      </c>
      <c r="R408" s="51">
        <v>165</v>
      </c>
      <c r="S408" s="171">
        <v>0</v>
      </c>
      <c r="T408" s="171">
        <v>0</v>
      </c>
      <c r="U408" s="49" t="s">
        <v>226</v>
      </c>
      <c r="V408" s="49">
        <v>2015</v>
      </c>
      <c r="W408" s="49">
        <v>1</v>
      </c>
      <c r="X408" s="49">
        <v>0</v>
      </c>
      <c r="Y408" s="49">
        <v>-1.8E-3</v>
      </c>
      <c r="Z408" s="49">
        <v>-1.2E-2</v>
      </c>
      <c r="AA408" s="49">
        <v>0</v>
      </c>
      <c r="AB408" s="49">
        <v>0</v>
      </c>
      <c r="AC408" s="49" t="s">
        <v>349</v>
      </c>
      <c r="AD408" s="158"/>
    </row>
    <row r="409" spans="1:30" s="157" customFormat="1" hidden="1" x14ac:dyDescent="0.2">
      <c r="A409" s="153">
        <f t="shared" si="5"/>
        <v>385</v>
      </c>
      <c r="B409" s="49">
        <v>1</v>
      </c>
      <c r="C409" s="49">
        <v>10</v>
      </c>
      <c r="D409" s="49">
        <v>34</v>
      </c>
      <c r="E409" s="166">
        <v>2020</v>
      </c>
      <c r="F409" s="49">
        <v>2021</v>
      </c>
      <c r="G409" s="49">
        <v>9</v>
      </c>
      <c r="H409" s="49">
        <v>34</v>
      </c>
      <c r="I409" s="49">
        <v>0</v>
      </c>
      <c r="J409" s="49">
        <v>0</v>
      </c>
      <c r="K409" s="49">
        <v>0</v>
      </c>
      <c r="L409" s="167">
        <v>3.6</v>
      </c>
      <c r="M409" s="168">
        <v>8075</v>
      </c>
      <c r="N409" s="168">
        <v>4600</v>
      </c>
      <c r="O409" s="51">
        <v>2100</v>
      </c>
      <c r="P409" s="51">
        <v>1196</v>
      </c>
      <c r="Q409" s="51">
        <v>162</v>
      </c>
      <c r="R409" s="51">
        <v>92</v>
      </c>
      <c r="S409" s="171">
        <v>0</v>
      </c>
      <c r="T409" s="171">
        <v>0</v>
      </c>
      <c r="U409" s="49" t="s">
        <v>226</v>
      </c>
      <c r="V409" s="49">
        <v>2015</v>
      </c>
      <c r="W409" s="49">
        <v>1</v>
      </c>
      <c r="X409" s="49">
        <v>0</v>
      </c>
      <c r="Y409" s="49">
        <v>-1.8E-3</v>
      </c>
      <c r="Z409" s="49">
        <v>-1.2E-2</v>
      </c>
      <c r="AA409" s="49">
        <v>0</v>
      </c>
      <c r="AB409" s="49">
        <v>0</v>
      </c>
      <c r="AC409" s="49" t="s">
        <v>349</v>
      </c>
      <c r="AD409" s="158"/>
    </row>
    <row r="410" spans="1:30" s="157" customFormat="1" hidden="1" x14ac:dyDescent="0.2">
      <c r="A410" s="153">
        <f t="shared" si="5"/>
        <v>386</v>
      </c>
      <c r="B410" s="49">
        <v>1</v>
      </c>
      <c r="C410" s="49">
        <v>10</v>
      </c>
      <c r="D410" s="49">
        <v>34</v>
      </c>
      <c r="E410" s="166">
        <v>2022</v>
      </c>
      <c r="F410" s="49">
        <v>2032</v>
      </c>
      <c r="G410" s="49">
        <v>1</v>
      </c>
      <c r="H410" s="49">
        <v>34</v>
      </c>
      <c r="I410" s="49">
        <v>0</v>
      </c>
      <c r="J410" s="49">
        <v>0</v>
      </c>
      <c r="K410" s="49">
        <v>0</v>
      </c>
      <c r="L410" s="167">
        <v>3.6</v>
      </c>
      <c r="M410" s="168">
        <v>8075</v>
      </c>
      <c r="N410" s="168">
        <v>4600</v>
      </c>
      <c r="O410" s="51">
        <v>2423</v>
      </c>
      <c r="P410" s="51">
        <v>1380</v>
      </c>
      <c r="Q410" s="51">
        <v>1675</v>
      </c>
      <c r="R410" s="51">
        <v>954</v>
      </c>
      <c r="S410" s="171">
        <v>0</v>
      </c>
      <c r="T410" s="171">
        <v>0</v>
      </c>
      <c r="U410" s="49" t="s">
        <v>226</v>
      </c>
      <c r="V410" s="49">
        <v>2015</v>
      </c>
      <c r="W410" s="49">
        <v>1</v>
      </c>
      <c r="X410" s="49">
        <v>0</v>
      </c>
      <c r="Y410" s="49">
        <v>-1.8E-3</v>
      </c>
      <c r="Z410" s="49">
        <v>-1.2E-2</v>
      </c>
      <c r="AA410" s="49">
        <v>0</v>
      </c>
      <c r="AB410" s="49">
        <v>0</v>
      </c>
      <c r="AC410" s="49" t="s">
        <v>349</v>
      </c>
      <c r="AD410" s="158"/>
    </row>
    <row r="411" spans="1:30" s="157" customFormat="1" hidden="1" x14ac:dyDescent="0.2">
      <c r="A411" s="153">
        <f t="shared" ref="A411:A474" si="6">A410+1</f>
        <v>387</v>
      </c>
      <c r="B411" s="49">
        <v>1</v>
      </c>
      <c r="C411" s="49">
        <v>10</v>
      </c>
      <c r="D411" s="49">
        <v>34</v>
      </c>
      <c r="E411" s="166">
        <v>2022</v>
      </c>
      <c r="F411" s="49">
        <v>2032</v>
      </c>
      <c r="G411" s="49">
        <v>2</v>
      </c>
      <c r="H411" s="49">
        <v>34</v>
      </c>
      <c r="I411" s="49">
        <v>0</v>
      </c>
      <c r="J411" s="49">
        <v>0</v>
      </c>
      <c r="K411" s="49">
        <v>0</v>
      </c>
      <c r="L411" s="167">
        <v>3.6</v>
      </c>
      <c r="M411" s="168">
        <v>8075</v>
      </c>
      <c r="N411" s="168">
        <v>4600</v>
      </c>
      <c r="O411" s="51">
        <v>2423</v>
      </c>
      <c r="P411" s="51">
        <v>1380</v>
      </c>
      <c r="Q411" s="51">
        <v>871</v>
      </c>
      <c r="R411" s="51">
        <v>496</v>
      </c>
      <c r="S411" s="171">
        <v>0</v>
      </c>
      <c r="T411" s="171">
        <v>0</v>
      </c>
      <c r="U411" s="49" t="s">
        <v>226</v>
      </c>
      <c r="V411" s="49">
        <v>2015</v>
      </c>
      <c r="W411" s="49">
        <v>1</v>
      </c>
      <c r="X411" s="49">
        <v>0</v>
      </c>
      <c r="Y411" s="49">
        <v>-1.8E-3</v>
      </c>
      <c r="Z411" s="49">
        <v>-1.2E-2</v>
      </c>
      <c r="AA411" s="49">
        <v>0</v>
      </c>
      <c r="AB411" s="49">
        <v>0</v>
      </c>
      <c r="AC411" s="49" t="s">
        <v>349</v>
      </c>
      <c r="AD411" s="158"/>
    </row>
    <row r="412" spans="1:30" s="157" customFormat="1" x14ac:dyDescent="0.2">
      <c r="A412" s="153">
        <f t="shared" si="6"/>
        <v>388</v>
      </c>
      <c r="B412" s="49">
        <v>1</v>
      </c>
      <c r="C412" s="49">
        <v>10</v>
      </c>
      <c r="D412" s="49">
        <v>34</v>
      </c>
      <c r="E412" s="166">
        <v>2022</v>
      </c>
      <c r="F412" s="49">
        <v>2032</v>
      </c>
      <c r="G412" s="49">
        <v>3</v>
      </c>
      <c r="H412" s="49">
        <v>34</v>
      </c>
      <c r="I412" s="49">
        <v>0</v>
      </c>
      <c r="J412" s="49">
        <v>0</v>
      </c>
      <c r="K412" s="49">
        <v>0</v>
      </c>
      <c r="L412" s="167">
        <v>3.6</v>
      </c>
      <c r="M412" s="168">
        <v>8075</v>
      </c>
      <c r="N412" s="168">
        <v>4600</v>
      </c>
      <c r="O412" s="51">
        <v>2423</v>
      </c>
      <c r="P412" s="51">
        <v>1380</v>
      </c>
      <c r="Q412" s="51">
        <v>427</v>
      </c>
      <c r="R412" s="51">
        <v>243</v>
      </c>
      <c r="S412" s="171">
        <v>0</v>
      </c>
      <c r="T412" s="171">
        <v>0</v>
      </c>
      <c r="U412" s="49" t="s">
        <v>226</v>
      </c>
      <c r="V412" s="49">
        <v>2015</v>
      </c>
      <c r="W412" s="49">
        <v>1</v>
      </c>
      <c r="X412" s="49">
        <v>0</v>
      </c>
      <c r="Y412" s="49">
        <v>-1.8E-3</v>
      </c>
      <c r="Z412" s="49">
        <v>-1.2E-2</v>
      </c>
      <c r="AA412" s="49">
        <v>0</v>
      </c>
      <c r="AB412" s="49">
        <v>0</v>
      </c>
      <c r="AC412" s="49" t="s">
        <v>349</v>
      </c>
      <c r="AD412" s="158"/>
    </row>
    <row r="413" spans="1:30" s="157" customFormat="1" hidden="1" x14ac:dyDescent="0.2">
      <c r="A413" s="153">
        <f t="shared" si="6"/>
        <v>389</v>
      </c>
      <c r="B413" s="49">
        <v>1</v>
      </c>
      <c r="C413" s="49">
        <v>10</v>
      </c>
      <c r="D413" s="49">
        <v>34</v>
      </c>
      <c r="E413" s="166">
        <v>2022</v>
      </c>
      <c r="F413" s="49">
        <v>2032</v>
      </c>
      <c r="G413" s="49">
        <v>4</v>
      </c>
      <c r="H413" s="49">
        <v>34</v>
      </c>
      <c r="I413" s="49">
        <v>0</v>
      </c>
      <c r="J413" s="49">
        <v>0</v>
      </c>
      <c r="K413" s="49">
        <v>0</v>
      </c>
      <c r="L413" s="167">
        <v>3.6</v>
      </c>
      <c r="M413" s="168">
        <v>8075</v>
      </c>
      <c r="N413" s="168">
        <v>4600</v>
      </c>
      <c r="O413" s="51">
        <v>2423</v>
      </c>
      <c r="P413" s="51">
        <v>1380</v>
      </c>
      <c r="Q413" s="51">
        <v>376</v>
      </c>
      <c r="R413" s="51">
        <v>214</v>
      </c>
      <c r="S413" s="171">
        <v>0</v>
      </c>
      <c r="T413" s="171">
        <v>0</v>
      </c>
      <c r="U413" s="49" t="s">
        <v>226</v>
      </c>
      <c r="V413" s="49">
        <v>2015</v>
      </c>
      <c r="W413" s="49">
        <v>1</v>
      </c>
      <c r="X413" s="49">
        <v>0</v>
      </c>
      <c r="Y413" s="49">
        <v>-1.8E-3</v>
      </c>
      <c r="Z413" s="49">
        <v>-1.2E-2</v>
      </c>
      <c r="AA413" s="49">
        <v>0</v>
      </c>
      <c r="AB413" s="49">
        <v>0</v>
      </c>
      <c r="AC413" s="49" t="s">
        <v>349</v>
      </c>
      <c r="AD413" s="158"/>
    </row>
    <row r="414" spans="1:30" s="157" customFormat="1" hidden="1" x14ac:dyDescent="0.2">
      <c r="A414" s="153">
        <f t="shared" si="6"/>
        <v>390</v>
      </c>
      <c r="B414" s="49">
        <v>1</v>
      </c>
      <c r="C414" s="49">
        <v>10</v>
      </c>
      <c r="D414" s="49">
        <v>34</v>
      </c>
      <c r="E414" s="166">
        <v>2022</v>
      </c>
      <c r="F414" s="49">
        <v>2032</v>
      </c>
      <c r="G414" s="49">
        <v>5</v>
      </c>
      <c r="H414" s="49">
        <v>34</v>
      </c>
      <c r="I414" s="49">
        <v>0</v>
      </c>
      <c r="J414" s="49">
        <v>0</v>
      </c>
      <c r="K414" s="49">
        <v>0</v>
      </c>
      <c r="L414" s="167">
        <v>3.6</v>
      </c>
      <c r="M414" s="168">
        <v>8075</v>
      </c>
      <c r="N414" s="168">
        <v>4600</v>
      </c>
      <c r="O414" s="51">
        <v>2423</v>
      </c>
      <c r="P414" s="51">
        <v>1380</v>
      </c>
      <c r="Q414" s="51">
        <v>194</v>
      </c>
      <c r="R414" s="51">
        <v>111</v>
      </c>
      <c r="S414" s="171">
        <v>0</v>
      </c>
      <c r="T414" s="171">
        <v>0</v>
      </c>
      <c r="U414" s="49" t="s">
        <v>226</v>
      </c>
      <c r="V414" s="49">
        <v>2015</v>
      </c>
      <c r="W414" s="49">
        <v>1</v>
      </c>
      <c r="X414" s="49">
        <v>0</v>
      </c>
      <c r="Y414" s="49">
        <v>-1.8E-3</v>
      </c>
      <c r="Z414" s="49">
        <v>-1.2E-2</v>
      </c>
      <c r="AA414" s="49">
        <v>0</v>
      </c>
      <c r="AB414" s="49">
        <v>0</v>
      </c>
      <c r="AC414" s="49" t="s">
        <v>349</v>
      </c>
      <c r="AD414" s="158"/>
    </row>
    <row r="415" spans="1:30" s="157" customFormat="1" hidden="1" x14ac:dyDescent="0.2">
      <c r="A415" s="153">
        <f t="shared" si="6"/>
        <v>391</v>
      </c>
      <c r="B415" s="49">
        <v>1</v>
      </c>
      <c r="C415" s="49">
        <v>10</v>
      </c>
      <c r="D415" s="49">
        <v>34</v>
      </c>
      <c r="E415" s="166">
        <v>2022</v>
      </c>
      <c r="F415" s="49">
        <v>2032</v>
      </c>
      <c r="G415" s="49">
        <v>6</v>
      </c>
      <c r="H415" s="49">
        <v>34</v>
      </c>
      <c r="I415" s="49">
        <v>0</v>
      </c>
      <c r="J415" s="49">
        <v>0</v>
      </c>
      <c r="K415" s="49">
        <v>0</v>
      </c>
      <c r="L415" s="167">
        <v>3.6</v>
      </c>
      <c r="M415" s="168">
        <v>8075</v>
      </c>
      <c r="N415" s="168">
        <v>4600</v>
      </c>
      <c r="O415" s="51">
        <v>2423</v>
      </c>
      <c r="P415" s="51">
        <v>1380</v>
      </c>
      <c r="Q415" s="51">
        <v>39</v>
      </c>
      <c r="R415" s="51">
        <v>22</v>
      </c>
      <c r="S415" s="171">
        <v>0</v>
      </c>
      <c r="T415" s="171">
        <v>0</v>
      </c>
      <c r="U415" s="49" t="s">
        <v>226</v>
      </c>
      <c r="V415" s="49">
        <v>2015</v>
      </c>
      <c r="W415" s="49">
        <v>1</v>
      </c>
      <c r="X415" s="49">
        <v>0</v>
      </c>
      <c r="Y415" s="49">
        <v>-1.8E-3</v>
      </c>
      <c r="Z415" s="49">
        <v>-1.2E-2</v>
      </c>
      <c r="AA415" s="49">
        <v>0</v>
      </c>
      <c r="AB415" s="49">
        <v>0</v>
      </c>
      <c r="AC415" s="49" t="s">
        <v>349</v>
      </c>
      <c r="AD415" s="158"/>
    </row>
    <row r="416" spans="1:30" s="157" customFormat="1" hidden="1" x14ac:dyDescent="0.2">
      <c r="A416" s="153">
        <f t="shared" si="6"/>
        <v>392</v>
      </c>
      <c r="B416" s="49">
        <v>1</v>
      </c>
      <c r="C416" s="49">
        <v>10</v>
      </c>
      <c r="D416" s="49">
        <v>34</v>
      </c>
      <c r="E416" s="166">
        <v>2022</v>
      </c>
      <c r="F416" s="49">
        <v>2032</v>
      </c>
      <c r="G416" s="49">
        <v>7</v>
      </c>
      <c r="H416" s="49">
        <v>34</v>
      </c>
      <c r="I416" s="49">
        <v>0</v>
      </c>
      <c r="J416" s="49">
        <v>0</v>
      </c>
      <c r="K416" s="49">
        <v>0</v>
      </c>
      <c r="L416" s="167">
        <v>3.6</v>
      </c>
      <c r="M416" s="168">
        <v>8075</v>
      </c>
      <c r="N416" s="168">
        <v>4600</v>
      </c>
      <c r="O416" s="51">
        <v>2423</v>
      </c>
      <c r="P416" s="51">
        <v>1380</v>
      </c>
      <c r="Q416" s="51">
        <v>77</v>
      </c>
      <c r="R416" s="51">
        <v>44</v>
      </c>
      <c r="S416" s="171">
        <v>0</v>
      </c>
      <c r="T416" s="171">
        <v>0</v>
      </c>
      <c r="U416" s="49" t="s">
        <v>226</v>
      </c>
      <c r="V416" s="49">
        <v>2015</v>
      </c>
      <c r="W416" s="49">
        <v>1</v>
      </c>
      <c r="X416" s="49">
        <v>0</v>
      </c>
      <c r="Y416" s="49">
        <v>-1.8E-3</v>
      </c>
      <c r="Z416" s="49">
        <v>-1.2E-2</v>
      </c>
      <c r="AA416" s="49">
        <v>0</v>
      </c>
      <c r="AB416" s="49">
        <v>0</v>
      </c>
      <c r="AC416" s="49" t="s">
        <v>349</v>
      </c>
      <c r="AD416" s="158"/>
    </row>
    <row r="417" spans="1:30" s="157" customFormat="1" hidden="1" x14ac:dyDescent="0.2">
      <c r="A417" s="153">
        <f t="shared" si="6"/>
        <v>393</v>
      </c>
      <c r="B417" s="49">
        <v>1</v>
      </c>
      <c r="C417" s="49">
        <v>10</v>
      </c>
      <c r="D417" s="49">
        <v>34</v>
      </c>
      <c r="E417" s="166">
        <v>2022</v>
      </c>
      <c r="F417" s="49">
        <v>2032</v>
      </c>
      <c r="G417" s="49">
        <v>8</v>
      </c>
      <c r="H417" s="49">
        <v>34</v>
      </c>
      <c r="I417" s="49">
        <v>0</v>
      </c>
      <c r="J417" s="49">
        <v>0</v>
      </c>
      <c r="K417" s="49">
        <v>0</v>
      </c>
      <c r="L417" s="167">
        <v>3.6</v>
      </c>
      <c r="M417" s="168">
        <v>8075</v>
      </c>
      <c r="N417" s="168">
        <v>4600</v>
      </c>
      <c r="O417" s="51">
        <v>2423</v>
      </c>
      <c r="P417" s="51">
        <v>1380</v>
      </c>
      <c r="Q417" s="51">
        <v>289</v>
      </c>
      <c r="R417" s="51">
        <v>165</v>
      </c>
      <c r="S417" s="171">
        <v>0</v>
      </c>
      <c r="T417" s="171">
        <v>0</v>
      </c>
      <c r="U417" s="49" t="s">
        <v>226</v>
      </c>
      <c r="V417" s="49">
        <v>2015</v>
      </c>
      <c r="W417" s="49">
        <v>1</v>
      </c>
      <c r="X417" s="49">
        <v>0</v>
      </c>
      <c r="Y417" s="49">
        <v>-1.8E-3</v>
      </c>
      <c r="Z417" s="49">
        <v>-1.2E-2</v>
      </c>
      <c r="AA417" s="49">
        <v>0</v>
      </c>
      <c r="AB417" s="49">
        <v>0</v>
      </c>
      <c r="AC417" s="49" t="s">
        <v>349</v>
      </c>
      <c r="AD417" s="158"/>
    </row>
    <row r="418" spans="1:30" s="157" customFormat="1" hidden="1" x14ac:dyDescent="0.2">
      <c r="A418" s="153">
        <f t="shared" si="6"/>
        <v>394</v>
      </c>
      <c r="B418" s="49">
        <v>1</v>
      </c>
      <c r="C418" s="49">
        <v>10</v>
      </c>
      <c r="D418" s="49">
        <v>34</v>
      </c>
      <c r="E418" s="166">
        <v>2022</v>
      </c>
      <c r="F418" s="49">
        <v>2032</v>
      </c>
      <c r="G418" s="49">
        <v>9</v>
      </c>
      <c r="H418" s="49">
        <v>34</v>
      </c>
      <c r="I418" s="49">
        <v>0</v>
      </c>
      <c r="J418" s="49">
        <v>0</v>
      </c>
      <c r="K418" s="49">
        <v>0</v>
      </c>
      <c r="L418" s="167">
        <v>3.6</v>
      </c>
      <c r="M418" s="168">
        <v>8075</v>
      </c>
      <c r="N418" s="168">
        <v>4600</v>
      </c>
      <c r="O418" s="51">
        <v>2423</v>
      </c>
      <c r="P418" s="51">
        <v>1380</v>
      </c>
      <c r="Q418" s="51">
        <v>162</v>
      </c>
      <c r="R418" s="51">
        <v>92</v>
      </c>
      <c r="S418" s="171">
        <v>0</v>
      </c>
      <c r="T418" s="171">
        <v>0</v>
      </c>
      <c r="U418" s="49" t="s">
        <v>226</v>
      </c>
      <c r="V418" s="49">
        <v>2015</v>
      </c>
      <c r="W418" s="49">
        <v>1</v>
      </c>
      <c r="X418" s="49">
        <v>0</v>
      </c>
      <c r="Y418" s="49">
        <v>-1.8E-3</v>
      </c>
      <c r="Z418" s="49">
        <v>-1.2E-2</v>
      </c>
      <c r="AA418" s="49">
        <v>0</v>
      </c>
      <c r="AB418" s="49">
        <v>0</v>
      </c>
      <c r="AC418" s="49" t="s">
        <v>349</v>
      </c>
      <c r="AD418" s="158"/>
    </row>
    <row r="419" spans="1:30" customFormat="1" hidden="1" x14ac:dyDescent="0.2">
      <c r="A419" s="153">
        <f t="shared" si="6"/>
        <v>395</v>
      </c>
      <c r="B419" s="33">
        <v>1</v>
      </c>
      <c r="C419" s="33">
        <v>10</v>
      </c>
      <c r="D419" s="33">
        <v>34</v>
      </c>
      <c r="E419" s="143">
        <v>2033</v>
      </c>
      <c r="F419" s="37">
        <v>2033</v>
      </c>
      <c r="G419" s="33">
        <v>1</v>
      </c>
      <c r="H419" s="33">
        <v>34</v>
      </c>
      <c r="I419" s="33">
        <v>0</v>
      </c>
      <c r="J419" s="33">
        <v>0</v>
      </c>
      <c r="K419" s="33">
        <v>0</v>
      </c>
      <c r="L419" s="101">
        <v>3.6</v>
      </c>
      <c r="M419" s="108">
        <v>8075</v>
      </c>
      <c r="N419" s="108">
        <v>4600</v>
      </c>
      <c r="O419" s="142">
        <v>2100</v>
      </c>
      <c r="P419" s="142">
        <v>1196</v>
      </c>
      <c r="Q419" s="160">
        <v>1675</v>
      </c>
      <c r="R419" s="160">
        <v>954</v>
      </c>
      <c r="S419" s="116">
        <v>0</v>
      </c>
      <c r="T419" s="116">
        <v>0</v>
      </c>
      <c r="U419" s="33" t="s">
        <v>226</v>
      </c>
      <c r="V419" s="33">
        <v>2015</v>
      </c>
      <c r="W419" s="33">
        <v>1</v>
      </c>
      <c r="X419" s="33">
        <v>0</v>
      </c>
      <c r="Y419" s="33">
        <v>-1.8E-3</v>
      </c>
      <c r="Z419" s="33">
        <v>-1.2E-2</v>
      </c>
      <c r="AA419" s="33">
        <v>0</v>
      </c>
      <c r="AB419" s="33">
        <v>0</v>
      </c>
      <c r="AC419" s="33" t="s">
        <v>349</v>
      </c>
      <c r="AD419" s="158"/>
    </row>
    <row r="420" spans="1:30" customFormat="1" hidden="1" x14ac:dyDescent="0.2">
      <c r="A420" s="153">
        <f t="shared" si="6"/>
        <v>396</v>
      </c>
      <c r="B420" s="33">
        <v>1</v>
      </c>
      <c r="C420" s="33">
        <v>10</v>
      </c>
      <c r="D420" s="33">
        <v>34</v>
      </c>
      <c r="E420" s="143">
        <v>2033</v>
      </c>
      <c r="F420" s="37">
        <v>2033</v>
      </c>
      <c r="G420" s="33">
        <v>2</v>
      </c>
      <c r="H420" s="33">
        <v>34</v>
      </c>
      <c r="I420" s="33">
        <v>0</v>
      </c>
      <c r="J420" s="33">
        <v>0</v>
      </c>
      <c r="K420" s="33">
        <v>0</v>
      </c>
      <c r="L420" s="101">
        <v>3.6</v>
      </c>
      <c r="M420" s="108">
        <v>8075</v>
      </c>
      <c r="N420" s="108">
        <v>4600</v>
      </c>
      <c r="O420" s="142">
        <v>2100</v>
      </c>
      <c r="P420" s="142">
        <v>1196</v>
      </c>
      <c r="Q420" s="160">
        <v>871</v>
      </c>
      <c r="R420" s="160">
        <v>496</v>
      </c>
      <c r="S420" s="116">
        <v>0</v>
      </c>
      <c r="T420" s="116">
        <v>0</v>
      </c>
      <c r="U420" s="33" t="s">
        <v>226</v>
      </c>
      <c r="V420" s="33">
        <v>2015</v>
      </c>
      <c r="W420" s="33">
        <v>1</v>
      </c>
      <c r="X420" s="33">
        <v>0</v>
      </c>
      <c r="Y420" s="33">
        <v>-1.8E-3</v>
      </c>
      <c r="Z420" s="33">
        <v>-1.2E-2</v>
      </c>
      <c r="AA420" s="33">
        <v>0</v>
      </c>
      <c r="AB420" s="33">
        <v>0</v>
      </c>
      <c r="AC420" s="33" t="s">
        <v>349</v>
      </c>
      <c r="AD420" s="158"/>
    </row>
    <row r="421" spans="1:30" customFormat="1" x14ac:dyDescent="0.2">
      <c r="A421" s="153">
        <f t="shared" si="6"/>
        <v>397</v>
      </c>
      <c r="B421" s="33">
        <v>1</v>
      </c>
      <c r="C421" s="33">
        <v>10</v>
      </c>
      <c r="D421" s="33">
        <v>34</v>
      </c>
      <c r="E421" s="143">
        <v>2033</v>
      </c>
      <c r="F421" s="37">
        <v>2033</v>
      </c>
      <c r="G421" s="33">
        <v>3</v>
      </c>
      <c r="H421" s="33">
        <v>34</v>
      </c>
      <c r="I421" s="33">
        <v>0</v>
      </c>
      <c r="J421" s="33">
        <v>0</v>
      </c>
      <c r="K421" s="33">
        <v>0</v>
      </c>
      <c r="L421" s="101">
        <v>3.6</v>
      </c>
      <c r="M421" s="108">
        <v>8075</v>
      </c>
      <c r="N421" s="108">
        <v>4600</v>
      </c>
      <c r="O421" s="142">
        <v>2100</v>
      </c>
      <c r="P421" s="142">
        <v>1196</v>
      </c>
      <c r="Q421" s="160">
        <v>427</v>
      </c>
      <c r="R421" s="160">
        <v>243</v>
      </c>
      <c r="S421" s="116">
        <v>0</v>
      </c>
      <c r="T421" s="116">
        <v>0</v>
      </c>
      <c r="U421" s="33" t="s">
        <v>226</v>
      </c>
      <c r="V421" s="33">
        <v>2015</v>
      </c>
      <c r="W421" s="33">
        <v>1</v>
      </c>
      <c r="X421" s="33">
        <v>0</v>
      </c>
      <c r="Y421" s="33">
        <v>-1.8E-3</v>
      </c>
      <c r="Z421" s="33">
        <v>-1.2E-2</v>
      </c>
      <c r="AA421" s="33">
        <v>0</v>
      </c>
      <c r="AB421" s="33">
        <v>0</v>
      </c>
      <c r="AC421" s="33" t="s">
        <v>349</v>
      </c>
      <c r="AD421" s="158"/>
    </row>
    <row r="422" spans="1:30" customFormat="1" hidden="1" x14ac:dyDescent="0.2">
      <c r="A422" s="153">
        <f t="shared" si="6"/>
        <v>398</v>
      </c>
      <c r="B422" s="33">
        <v>1</v>
      </c>
      <c r="C422" s="33">
        <v>10</v>
      </c>
      <c r="D422" s="33">
        <v>34</v>
      </c>
      <c r="E422" s="143">
        <v>2033</v>
      </c>
      <c r="F422" s="37">
        <v>2033</v>
      </c>
      <c r="G422" s="33">
        <v>4</v>
      </c>
      <c r="H422" s="33">
        <v>34</v>
      </c>
      <c r="I422" s="33">
        <v>0</v>
      </c>
      <c r="J422" s="33">
        <v>0</v>
      </c>
      <c r="K422" s="33">
        <v>0</v>
      </c>
      <c r="L422" s="101">
        <v>3.6</v>
      </c>
      <c r="M422" s="108">
        <v>8075</v>
      </c>
      <c r="N422" s="108">
        <v>4600</v>
      </c>
      <c r="O422" s="142">
        <v>2100</v>
      </c>
      <c r="P422" s="142">
        <v>1196</v>
      </c>
      <c r="Q422" s="160">
        <v>376</v>
      </c>
      <c r="R422" s="160">
        <v>214</v>
      </c>
      <c r="S422" s="116">
        <v>0</v>
      </c>
      <c r="T422" s="116">
        <v>0</v>
      </c>
      <c r="U422" s="33" t="s">
        <v>226</v>
      </c>
      <c r="V422" s="33">
        <v>2015</v>
      </c>
      <c r="W422" s="33">
        <v>1</v>
      </c>
      <c r="X422" s="33">
        <v>0</v>
      </c>
      <c r="Y422" s="33">
        <v>-1.8E-3</v>
      </c>
      <c r="Z422" s="33">
        <v>-1.2E-2</v>
      </c>
      <c r="AA422" s="33">
        <v>0</v>
      </c>
      <c r="AB422" s="33">
        <v>0</v>
      </c>
      <c r="AC422" s="33" t="s">
        <v>349</v>
      </c>
      <c r="AD422" s="158"/>
    </row>
    <row r="423" spans="1:30" customFormat="1" hidden="1" x14ac:dyDescent="0.2">
      <c r="A423" s="153">
        <f t="shared" si="6"/>
        <v>399</v>
      </c>
      <c r="B423" s="33">
        <v>1</v>
      </c>
      <c r="C423" s="33">
        <v>10</v>
      </c>
      <c r="D423" s="33">
        <v>34</v>
      </c>
      <c r="E423" s="143">
        <v>2033</v>
      </c>
      <c r="F423" s="37">
        <v>2033</v>
      </c>
      <c r="G423" s="33">
        <v>5</v>
      </c>
      <c r="H423" s="33">
        <v>34</v>
      </c>
      <c r="I423" s="33">
        <v>0</v>
      </c>
      <c r="J423" s="33">
        <v>0</v>
      </c>
      <c r="K423" s="33">
        <v>0</v>
      </c>
      <c r="L423" s="101">
        <v>3.6</v>
      </c>
      <c r="M423" s="108">
        <v>8075</v>
      </c>
      <c r="N423" s="108">
        <v>4600</v>
      </c>
      <c r="O423" s="142">
        <v>2100</v>
      </c>
      <c r="P423" s="142">
        <v>1196</v>
      </c>
      <c r="Q423" s="160">
        <v>194</v>
      </c>
      <c r="R423" s="160">
        <v>111</v>
      </c>
      <c r="S423" s="116">
        <v>0</v>
      </c>
      <c r="T423" s="116">
        <v>0</v>
      </c>
      <c r="U423" s="33" t="s">
        <v>226</v>
      </c>
      <c r="V423" s="33">
        <v>2015</v>
      </c>
      <c r="W423" s="33">
        <v>1</v>
      </c>
      <c r="X423" s="33">
        <v>0</v>
      </c>
      <c r="Y423" s="33">
        <v>-1.8E-3</v>
      </c>
      <c r="Z423" s="33">
        <v>-1.2E-2</v>
      </c>
      <c r="AA423" s="33">
        <v>0</v>
      </c>
      <c r="AB423" s="33">
        <v>0</v>
      </c>
      <c r="AC423" s="33" t="s">
        <v>349</v>
      </c>
      <c r="AD423" s="158"/>
    </row>
    <row r="424" spans="1:30" customFormat="1" hidden="1" x14ac:dyDescent="0.2">
      <c r="A424" s="153">
        <f t="shared" si="6"/>
        <v>400</v>
      </c>
      <c r="B424" s="33">
        <v>1</v>
      </c>
      <c r="C424" s="33">
        <v>10</v>
      </c>
      <c r="D424" s="33">
        <v>34</v>
      </c>
      <c r="E424" s="143">
        <v>2033</v>
      </c>
      <c r="F424" s="37">
        <v>2033</v>
      </c>
      <c r="G424" s="33">
        <v>6</v>
      </c>
      <c r="H424" s="33">
        <v>34</v>
      </c>
      <c r="I424" s="33">
        <v>0</v>
      </c>
      <c r="J424" s="33">
        <v>0</v>
      </c>
      <c r="K424" s="33">
        <v>0</v>
      </c>
      <c r="L424" s="101">
        <v>3.6</v>
      </c>
      <c r="M424" s="108">
        <v>8075</v>
      </c>
      <c r="N424" s="108">
        <v>4600</v>
      </c>
      <c r="O424" s="142">
        <v>2100</v>
      </c>
      <c r="P424" s="142">
        <v>1196</v>
      </c>
      <c r="Q424" s="160">
        <v>39</v>
      </c>
      <c r="R424" s="160">
        <v>22</v>
      </c>
      <c r="S424" s="116">
        <v>0</v>
      </c>
      <c r="T424" s="116">
        <v>0</v>
      </c>
      <c r="U424" s="33" t="s">
        <v>226</v>
      </c>
      <c r="V424" s="33">
        <v>2015</v>
      </c>
      <c r="W424" s="33">
        <v>1</v>
      </c>
      <c r="X424" s="33">
        <v>0</v>
      </c>
      <c r="Y424" s="33">
        <v>-1.8E-3</v>
      </c>
      <c r="Z424" s="33">
        <v>-1.2E-2</v>
      </c>
      <c r="AA424" s="33">
        <v>0</v>
      </c>
      <c r="AB424" s="33">
        <v>0</v>
      </c>
      <c r="AC424" s="33" t="s">
        <v>349</v>
      </c>
      <c r="AD424" s="158"/>
    </row>
    <row r="425" spans="1:30" customFormat="1" hidden="1" x14ac:dyDescent="0.2">
      <c r="A425" s="153">
        <f t="shared" si="6"/>
        <v>401</v>
      </c>
      <c r="B425" s="33">
        <v>1</v>
      </c>
      <c r="C425" s="33">
        <v>10</v>
      </c>
      <c r="D425" s="33">
        <v>34</v>
      </c>
      <c r="E425" s="143">
        <v>2033</v>
      </c>
      <c r="F425" s="37">
        <v>2033</v>
      </c>
      <c r="G425" s="33">
        <v>7</v>
      </c>
      <c r="H425" s="33">
        <v>34</v>
      </c>
      <c r="I425" s="33">
        <v>0</v>
      </c>
      <c r="J425" s="33">
        <v>0</v>
      </c>
      <c r="K425" s="33">
        <v>0</v>
      </c>
      <c r="L425" s="101">
        <v>3.6</v>
      </c>
      <c r="M425" s="108">
        <v>8075</v>
      </c>
      <c r="N425" s="108">
        <v>4600</v>
      </c>
      <c r="O425" s="142">
        <v>2100</v>
      </c>
      <c r="P425" s="142">
        <v>1196</v>
      </c>
      <c r="Q425" s="160">
        <v>77</v>
      </c>
      <c r="R425" s="160">
        <v>44</v>
      </c>
      <c r="S425" s="116">
        <v>0</v>
      </c>
      <c r="T425" s="116">
        <v>0</v>
      </c>
      <c r="U425" s="33" t="s">
        <v>226</v>
      </c>
      <c r="V425" s="33">
        <v>2015</v>
      </c>
      <c r="W425" s="33">
        <v>1</v>
      </c>
      <c r="X425" s="33">
        <v>0</v>
      </c>
      <c r="Y425" s="33">
        <v>-1.8E-3</v>
      </c>
      <c r="Z425" s="33">
        <v>-1.2E-2</v>
      </c>
      <c r="AA425" s="33">
        <v>0</v>
      </c>
      <c r="AB425" s="33">
        <v>0</v>
      </c>
      <c r="AC425" s="33" t="s">
        <v>349</v>
      </c>
      <c r="AD425" s="158"/>
    </row>
    <row r="426" spans="1:30" customFormat="1" hidden="1" x14ac:dyDescent="0.2">
      <c r="A426" s="153">
        <f t="shared" si="6"/>
        <v>402</v>
      </c>
      <c r="B426" s="33">
        <v>1</v>
      </c>
      <c r="C426" s="33">
        <v>10</v>
      </c>
      <c r="D426" s="33">
        <v>34</v>
      </c>
      <c r="E426" s="143">
        <v>2033</v>
      </c>
      <c r="F426" s="37">
        <v>2033</v>
      </c>
      <c r="G426" s="33">
        <v>8</v>
      </c>
      <c r="H426" s="33">
        <v>34</v>
      </c>
      <c r="I426" s="33">
        <v>0</v>
      </c>
      <c r="J426" s="33">
        <v>0</v>
      </c>
      <c r="K426" s="33">
        <v>0</v>
      </c>
      <c r="L426" s="101">
        <v>3.6</v>
      </c>
      <c r="M426" s="108">
        <v>8075</v>
      </c>
      <c r="N426" s="108">
        <v>4600</v>
      </c>
      <c r="O426" s="142">
        <v>2100</v>
      </c>
      <c r="P426" s="142">
        <v>1196</v>
      </c>
      <c r="Q426" s="160">
        <v>289</v>
      </c>
      <c r="R426" s="160">
        <v>165</v>
      </c>
      <c r="S426" s="116">
        <v>0</v>
      </c>
      <c r="T426" s="116">
        <v>0</v>
      </c>
      <c r="U426" s="33" t="s">
        <v>226</v>
      </c>
      <c r="V426" s="33">
        <v>2015</v>
      </c>
      <c r="W426" s="33">
        <v>1</v>
      </c>
      <c r="X426" s="33">
        <v>0</v>
      </c>
      <c r="Y426" s="33">
        <v>-1.8E-3</v>
      </c>
      <c r="Z426" s="33">
        <v>-1.2E-2</v>
      </c>
      <c r="AA426" s="33">
        <v>0</v>
      </c>
      <c r="AB426" s="33">
        <v>0</v>
      </c>
      <c r="AC426" s="33" t="s">
        <v>349</v>
      </c>
      <c r="AD426" s="158"/>
    </row>
    <row r="427" spans="1:30" customFormat="1" hidden="1" x14ac:dyDescent="0.2">
      <c r="A427" s="153">
        <f t="shared" si="6"/>
        <v>403</v>
      </c>
      <c r="B427" s="33">
        <v>1</v>
      </c>
      <c r="C427" s="33">
        <v>10</v>
      </c>
      <c r="D427" s="33">
        <v>34</v>
      </c>
      <c r="E427" s="143">
        <v>2033</v>
      </c>
      <c r="F427" s="37">
        <v>2033</v>
      </c>
      <c r="G427" s="33">
        <v>9</v>
      </c>
      <c r="H427" s="33">
        <v>34</v>
      </c>
      <c r="I427" s="33">
        <v>0</v>
      </c>
      <c r="J427" s="33">
        <v>0</v>
      </c>
      <c r="K427" s="33">
        <v>0</v>
      </c>
      <c r="L427" s="101">
        <v>3.6</v>
      </c>
      <c r="M427" s="108">
        <v>8075</v>
      </c>
      <c r="N427" s="108">
        <v>4600</v>
      </c>
      <c r="O427" s="142">
        <v>2100</v>
      </c>
      <c r="P427" s="142">
        <v>1196</v>
      </c>
      <c r="Q427" s="160">
        <v>162</v>
      </c>
      <c r="R427" s="160">
        <v>92</v>
      </c>
      <c r="S427" s="116">
        <v>0</v>
      </c>
      <c r="T427" s="116">
        <v>0</v>
      </c>
      <c r="U427" s="33" t="s">
        <v>226</v>
      </c>
      <c r="V427" s="33">
        <v>2015</v>
      </c>
      <c r="W427" s="33">
        <v>1</v>
      </c>
      <c r="X427" s="33">
        <v>0</v>
      </c>
      <c r="Y427" s="33">
        <v>-1.8E-3</v>
      </c>
      <c r="Z427" s="33">
        <v>-1.2E-2</v>
      </c>
      <c r="AA427" s="33">
        <v>0</v>
      </c>
      <c r="AB427" s="33">
        <v>0</v>
      </c>
      <c r="AC427" s="33" t="s">
        <v>349</v>
      </c>
      <c r="AD427" s="158"/>
    </row>
    <row r="428" spans="1:30" customFormat="1" hidden="1" x14ac:dyDescent="0.2">
      <c r="A428" s="153">
        <f t="shared" si="6"/>
        <v>404</v>
      </c>
      <c r="B428" s="33">
        <v>1</v>
      </c>
      <c r="C428" s="33">
        <v>10</v>
      </c>
      <c r="D428" s="33">
        <v>34</v>
      </c>
      <c r="E428" s="143">
        <v>2034</v>
      </c>
      <c r="F428" s="159">
        <v>2034</v>
      </c>
      <c r="G428" s="33">
        <v>1</v>
      </c>
      <c r="H428" s="33">
        <v>34</v>
      </c>
      <c r="I428" s="33">
        <v>0</v>
      </c>
      <c r="J428" s="33">
        <v>0</v>
      </c>
      <c r="K428" s="33">
        <v>0</v>
      </c>
      <c r="L428" s="101">
        <v>3.6</v>
      </c>
      <c r="M428" s="108">
        <v>8075</v>
      </c>
      <c r="N428" s="108">
        <v>4600</v>
      </c>
      <c r="O428" s="142">
        <v>1777</v>
      </c>
      <c r="P428" s="142">
        <v>1012</v>
      </c>
      <c r="Q428" s="141">
        <v>1675</v>
      </c>
      <c r="R428" s="141">
        <v>954</v>
      </c>
      <c r="S428" s="116">
        <v>0</v>
      </c>
      <c r="T428" s="116">
        <v>0</v>
      </c>
      <c r="U428" s="33" t="s">
        <v>226</v>
      </c>
      <c r="V428" s="33">
        <v>2015</v>
      </c>
      <c r="W428" s="33">
        <v>1</v>
      </c>
      <c r="X428" s="33">
        <v>0</v>
      </c>
      <c r="Y428" s="33">
        <v>-1.8E-3</v>
      </c>
      <c r="Z428" s="33">
        <v>-1.2E-2</v>
      </c>
      <c r="AA428" s="33">
        <v>0</v>
      </c>
      <c r="AB428" s="33">
        <v>0</v>
      </c>
      <c r="AC428" s="33" t="s">
        <v>349</v>
      </c>
      <c r="AD428" s="158"/>
    </row>
    <row r="429" spans="1:30" customFormat="1" hidden="1" x14ac:dyDescent="0.2">
      <c r="A429" s="153">
        <f t="shared" si="6"/>
        <v>405</v>
      </c>
      <c r="B429" s="33">
        <v>1</v>
      </c>
      <c r="C429" s="33">
        <v>10</v>
      </c>
      <c r="D429" s="33">
        <v>34</v>
      </c>
      <c r="E429" s="143">
        <v>2034</v>
      </c>
      <c r="F429" s="159">
        <v>2034</v>
      </c>
      <c r="G429" s="33">
        <v>2</v>
      </c>
      <c r="H429" s="33">
        <v>34</v>
      </c>
      <c r="I429" s="33">
        <v>0</v>
      </c>
      <c r="J429" s="33">
        <v>0</v>
      </c>
      <c r="K429" s="33">
        <v>0</v>
      </c>
      <c r="L429" s="101">
        <v>3.6</v>
      </c>
      <c r="M429" s="108">
        <v>8075</v>
      </c>
      <c r="N429" s="108">
        <v>4600</v>
      </c>
      <c r="O429" s="142">
        <v>1777</v>
      </c>
      <c r="P429" s="142">
        <v>1012</v>
      </c>
      <c r="Q429" s="141">
        <v>871</v>
      </c>
      <c r="R429" s="141">
        <v>496</v>
      </c>
      <c r="S429" s="116">
        <v>0</v>
      </c>
      <c r="T429" s="116">
        <v>0</v>
      </c>
      <c r="U429" s="33" t="s">
        <v>226</v>
      </c>
      <c r="V429" s="33">
        <v>2015</v>
      </c>
      <c r="W429" s="33">
        <v>1</v>
      </c>
      <c r="X429" s="33">
        <v>0</v>
      </c>
      <c r="Y429" s="33">
        <v>-1.8E-3</v>
      </c>
      <c r="Z429" s="33">
        <v>-1.2E-2</v>
      </c>
      <c r="AA429" s="33">
        <v>0</v>
      </c>
      <c r="AB429" s="33">
        <v>0</v>
      </c>
      <c r="AC429" s="33" t="s">
        <v>349</v>
      </c>
      <c r="AD429" s="158"/>
    </row>
    <row r="430" spans="1:30" customFormat="1" x14ac:dyDescent="0.2">
      <c r="A430" s="153">
        <f t="shared" si="6"/>
        <v>406</v>
      </c>
      <c r="B430" s="33">
        <v>1</v>
      </c>
      <c r="C430" s="33">
        <v>10</v>
      </c>
      <c r="D430" s="33">
        <v>34</v>
      </c>
      <c r="E430" s="143">
        <v>2034</v>
      </c>
      <c r="F430" s="159">
        <v>2034</v>
      </c>
      <c r="G430" s="33">
        <v>3</v>
      </c>
      <c r="H430" s="33">
        <v>34</v>
      </c>
      <c r="I430" s="33">
        <v>0</v>
      </c>
      <c r="J430" s="33">
        <v>0</v>
      </c>
      <c r="K430" s="33">
        <v>0</v>
      </c>
      <c r="L430" s="101">
        <v>3.6</v>
      </c>
      <c r="M430" s="108">
        <v>8075</v>
      </c>
      <c r="N430" s="108">
        <v>4600</v>
      </c>
      <c r="O430" s="142">
        <v>1777</v>
      </c>
      <c r="P430" s="142">
        <v>1012</v>
      </c>
      <c r="Q430" s="141">
        <v>427</v>
      </c>
      <c r="R430" s="141">
        <v>243</v>
      </c>
      <c r="S430" s="116">
        <v>0</v>
      </c>
      <c r="T430" s="116">
        <v>0</v>
      </c>
      <c r="U430" s="33" t="s">
        <v>226</v>
      </c>
      <c r="V430" s="33">
        <v>2015</v>
      </c>
      <c r="W430" s="33">
        <v>1</v>
      </c>
      <c r="X430" s="33">
        <v>0</v>
      </c>
      <c r="Y430" s="33">
        <v>-1.8E-3</v>
      </c>
      <c r="Z430" s="33">
        <v>-1.2E-2</v>
      </c>
      <c r="AA430" s="33">
        <v>0</v>
      </c>
      <c r="AB430" s="33">
        <v>0</v>
      </c>
      <c r="AC430" s="33" t="s">
        <v>349</v>
      </c>
      <c r="AD430" s="158"/>
    </row>
    <row r="431" spans="1:30" customFormat="1" hidden="1" x14ac:dyDescent="0.2">
      <c r="A431" s="153">
        <f t="shared" si="6"/>
        <v>407</v>
      </c>
      <c r="B431" s="33">
        <v>1</v>
      </c>
      <c r="C431" s="33">
        <v>10</v>
      </c>
      <c r="D431" s="33">
        <v>34</v>
      </c>
      <c r="E431" s="143">
        <v>2034</v>
      </c>
      <c r="F431" s="159">
        <v>2034</v>
      </c>
      <c r="G431" s="33">
        <v>4</v>
      </c>
      <c r="H431" s="33">
        <v>34</v>
      </c>
      <c r="I431" s="33">
        <v>0</v>
      </c>
      <c r="J431" s="33">
        <v>0</v>
      </c>
      <c r="K431" s="33">
        <v>0</v>
      </c>
      <c r="L431" s="101">
        <v>3.6</v>
      </c>
      <c r="M431" s="108">
        <v>8075</v>
      </c>
      <c r="N431" s="108">
        <v>4600</v>
      </c>
      <c r="O431" s="142">
        <v>1777</v>
      </c>
      <c r="P431" s="142">
        <v>1012</v>
      </c>
      <c r="Q431" s="141">
        <v>376</v>
      </c>
      <c r="R431" s="141">
        <v>214</v>
      </c>
      <c r="S431" s="116">
        <v>0</v>
      </c>
      <c r="T431" s="116">
        <v>0</v>
      </c>
      <c r="U431" s="33" t="s">
        <v>226</v>
      </c>
      <c r="V431" s="33">
        <v>2015</v>
      </c>
      <c r="W431" s="33">
        <v>1</v>
      </c>
      <c r="X431" s="33">
        <v>0</v>
      </c>
      <c r="Y431" s="33">
        <v>-1.8E-3</v>
      </c>
      <c r="Z431" s="33">
        <v>-1.2E-2</v>
      </c>
      <c r="AA431" s="33">
        <v>0</v>
      </c>
      <c r="AB431" s="33">
        <v>0</v>
      </c>
      <c r="AC431" s="33" t="s">
        <v>349</v>
      </c>
      <c r="AD431" s="158"/>
    </row>
    <row r="432" spans="1:30" customFormat="1" hidden="1" x14ac:dyDescent="0.2">
      <c r="A432" s="153">
        <f t="shared" si="6"/>
        <v>408</v>
      </c>
      <c r="B432" s="33">
        <v>1</v>
      </c>
      <c r="C432" s="33">
        <v>10</v>
      </c>
      <c r="D432" s="33">
        <v>34</v>
      </c>
      <c r="E432" s="143">
        <v>2034</v>
      </c>
      <c r="F432" s="159">
        <v>2034</v>
      </c>
      <c r="G432" s="33">
        <v>5</v>
      </c>
      <c r="H432" s="33">
        <v>34</v>
      </c>
      <c r="I432" s="33">
        <v>0</v>
      </c>
      <c r="J432" s="33">
        <v>0</v>
      </c>
      <c r="K432" s="33">
        <v>0</v>
      </c>
      <c r="L432" s="101">
        <v>3.6</v>
      </c>
      <c r="M432" s="108">
        <v>8075</v>
      </c>
      <c r="N432" s="108">
        <v>4600</v>
      </c>
      <c r="O432" s="142">
        <v>1777</v>
      </c>
      <c r="P432" s="142">
        <v>1012</v>
      </c>
      <c r="Q432" s="141">
        <v>194</v>
      </c>
      <c r="R432" s="141">
        <v>111</v>
      </c>
      <c r="S432" s="116">
        <v>0</v>
      </c>
      <c r="T432" s="116">
        <v>0</v>
      </c>
      <c r="U432" s="33" t="s">
        <v>226</v>
      </c>
      <c r="V432" s="33">
        <v>2015</v>
      </c>
      <c r="W432" s="33">
        <v>1</v>
      </c>
      <c r="X432" s="33">
        <v>0</v>
      </c>
      <c r="Y432" s="33">
        <v>-1.8E-3</v>
      </c>
      <c r="Z432" s="33">
        <v>-1.2E-2</v>
      </c>
      <c r="AA432" s="33">
        <v>0</v>
      </c>
      <c r="AB432" s="33">
        <v>0</v>
      </c>
      <c r="AC432" s="33" t="s">
        <v>349</v>
      </c>
      <c r="AD432" s="158"/>
    </row>
    <row r="433" spans="1:30" customFormat="1" hidden="1" x14ac:dyDescent="0.2">
      <c r="A433" s="153">
        <f t="shared" si="6"/>
        <v>409</v>
      </c>
      <c r="B433" s="33">
        <v>1</v>
      </c>
      <c r="C433" s="33">
        <v>10</v>
      </c>
      <c r="D433" s="33">
        <v>34</v>
      </c>
      <c r="E433" s="143">
        <v>2034</v>
      </c>
      <c r="F433" s="159">
        <v>2034</v>
      </c>
      <c r="G433" s="33">
        <v>6</v>
      </c>
      <c r="H433" s="33">
        <v>34</v>
      </c>
      <c r="I433" s="33">
        <v>0</v>
      </c>
      <c r="J433" s="33">
        <v>0</v>
      </c>
      <c r="K433" s="33">
        <v>0</v>
      </c>
      <c r="L433" s="101">
        <v>3.6</v>
      </c>
      <c r="M433" s="108">
        <v>8075</v>
      </c>
      <c r="N433" s="108">
        <v>4600</v>
      </c>
      <c r="O433" s="142">
        <v>1777</v>
      </c>
      <c r="P433" s="142">
        <v>1012</v>
      </c>
      <c r="Q433" s="141">
        <v>39</v>
      </c>
      <c r="R433" s="141">
        <v>22</v>
      </c>
      <c r="S433" s="116">
        <v>0</v>
      </c>
      <c r="T433" s="116">
        <v>0</v>
      </c>
      <c r="U433" s="33" t="s">
        <v>226</v>
      </c>
      <c r="V433" s="33">
        <v>2015</v>
      </c>
      <c r="W433" s="33">
        <v>1</v>
      </c>
      <c r="X433" s="33">
        <v>0</v>
      </c>
      <c r="Y433" s="33">
        <v>-1.8E-3</v>
      </c>
      <c r="Z433" s="33">
        <v>-1.2E-2</v>
      </c>
      <c r="AA433" s="33">
        <v>0</v>
      </c>
      <c r="AB433" s="33">
        <v>0</v>
      </c>
      <c r="AC433" s="33" t="s">
        <v>349</v>
      </c>
      <c r="AD433" s="158"/>
    </row>
    <row r="434" spans="1:30" customFormat="1" hidden="1" x14ac:dyDescent="0.2">
      <c r="A434" s="153">
        <f t="shared" si="6"/>
        <v>410</v>
      </c>
      <c r="B434" s="33">
        <v>1</v>
      </c>
      <c r="C434" s="33">
        <v>10</v>
      </c>
      <c r="D434" s="33">
        <v>34</v>
      </c>
      <c r="E434" s="143">
        <v>2034</v>
      </c>
      <c r="F434" s="159">
        <v>2034</v>
      </c>
      <c r="G434" s="33">
        <v>7</v>
      </c>
      <c r="H434" s="33">
        <v>34</v>
      </c>
      <c r="I434" s="33">
        <v>0</v>
      </c>
      <c r="J434" s="33">
        <v>0</v>
      </c>
      <c r="K434" s="33">
        <v>0</v>
      </c>
      <c r="L434" s="101">
        <v>3.6</v>
      </c>
      <c r="M434" s="108">
        <v>8075</v>
      </c>
      <c r="N434" s="108">
        <v>4600</v>
      </c>
      <c r="O434" s="142">
        <v>1777</v>
      </c>
      <c r="P434" s="142">
        <v>1012</v>
      </c>
      <c r="Q434" s="141">
        <v>77</v>
      </c>
      <c r="R434" s="141">
        <v>44</v>
      </c>
      <c r="S434" s="116">
        <v>0</v>
      </c>
      <c r="T434" s="116">
        <v>0</v>
      </c>
      <c r="U434" s="33" t="s">
        <v>226</v>
      </c>
      <c r="V434" s="33">
        <v>2015</v>
      </c>
      <c r="W434" s="33">
        <v>1</v>
      </c>
      <c r="X434" s="33">
        <v>0</v>
      </c>
      <c r="Y434" s="33">
        <v>-1.8E-3</v>
      </c>
      <c r="Z434" s="33">
        <v>-1.2E-2</v>
      </c>
      <c r="AA434" s="33">
        <v>0</v>
      </c>
      <c r="AB434" s="33">
        <v>0</v>
      </c>
      <c r="AC434" s="33" t="s">
        <v>349</v>
      </c>
      <c r="AD434" s="158"/>
    </row>
    <row r="435" spans="1:30" customFormat="1" hidden="1" x14ac:dyDescent="0.2">
      <c r="A435" s="153">
        <f t="shared" si="6"/>
        <v>411</v>
      </c>
      <c r="B435" s="33">
        <v>1</v>
      </c>
      <c r="C435" s="33">
        <v>10</v>
      </c>
      <c r="D435" s="33">
        <v>34</v>
      </c>
      <c r="E435" s="143">
        <v>2034</v>
      </c>
      <c r="F435" s="159">
        <v>2034</v>
      </c>
      <c r="G435" s="33">
        <v>8</v>
      </c>
      <c r="H435" s="33">
        <v>34</v>
      </c>
      <c r="I435" s="33">
        <v>0</v>
      </c>
      <c r="J435" s="33">
        <v>0</v>
      </c>
      <c r="K435" s="33">
        <v>0</v>
      </c>
      <c r="L435" s="101">
        <v>3.6</v>
      </c>
      <c r="M435" s="108">
        <v>8075</v>
      </c>
      <c r="N435" s="108">
        <v>4600</v>
      </c>
      <c r="O435" s="142">
        <v>1777</v>
      </c>
      <c r="P435" s="142">
        <v>1012</v>
      </c>
      <c r="Q435" s="141">
        <v>289</v>
      </c>
      <c r="R435" s="141">
        <v>165</v>
      </c>
      <c r="S435" s="116">
        <v>0</v>
      </c>
      <c r="T435" s="116">
        <v>0</v>
      </c>
      <c r="U435" s="33" t="s">
        <v>226</v>
      </c>
      <c r="V435" s="33">
        <v>2015</v>
      </c>
      <c r="W435" s="33">
        <v>1</v>
      </c>
      <c r="X435" s="33">
        <v>0</v>
      </c>
      <c r="Y435" s="33">
        <v>-1.8E-3</v>
      </c>
      <c r="Z435" s="33">
        <v>-1.2E-2</v>
      </c>
      <c r="AA435" s="33">
        <v>0</v>
      </c>
      <c r="AB435" s="33">
        <v>0</v>
      </c>
      <c r="AC435" s="33" t="s">
        <v>349</v>
      </c>
      <c r="AD435" s="158"/>
    </row>
    <row r="436" spans="1:30" customFormat="1" hidden="1" x14ac:dyDescent="0.2">
      <c r="A436" s="153">
        <f t="shared" si="6"/>
        <v>412</v>
      </c>
      <c r="B436" s="33">
        <v>1</v>
      </c>
      <c r="C436" s="33">
        <v>10</v>
      </c>
      <c r="D436" s="33">
        <v>34</v>
      </c>
      <c r="E436" s="143">
        <v>2034</v>
      </c>
      <c r="F436" s="159">
        <v>2034</v>
      </c>
      <c r="G436" s="33">
        <v>9</v>
      </c>
      <c r="H436" s="33">
        <v>34</v>
      </c>
      <c r="I436" s="33">
        <v>0</v>
      </c>
      <c r="J436" s="33">
        <v>0</v>
      </c>
      <c r="K436" s="33">
        <v>0</v>
      </c>
      <c r="L436" s="101">
        <v>3.6</v>
      </c>
      <c r="M436" s="108">
        <v>8075</v>
      </c>
      <c r="N436" s="108">
        <v>4600</v>
      </c>
      <c r="O436" s="142">
        <v>1777</v>
      </c>
      <c r="P436" s="142">
        <v>1012</v>
      </c>
      <c r="Q436" s="141">
        <v>162</v>
      </c>
      <c r="R436" s="141">
        <v>92</v>
      </c>
      <c r="S436" s="116">
        <v>0</v>
      </c>
      <c r="T436" s="116">
        <v>0</v>
      </c>
      <c r="U436" s="33" t="s">
        <v>226</v>
      </c>
      <c r="V436" s="33">
        <v>2015</v>
      </c>
      <c r="W436" s="33">
        <v>1</v>
      </c>
      <c r="X436" s="33">
        <v>0</v>
      </c>
      <c r="Y436" s="33">
        <v>-1.8E-3</v>
      </c>
      <c r="Z436" s="33">
        <v>-1.2E-2</v>
      </c>
      <c r="AA436" s="33">
        <v>0</v>
      </c>
      <c r="AB436" s="33">
        <v>0</v>
      </c>
      <c r="AC436" s="33" t="s">
        <v>349</v>
      </c>
      <c r="AD436" s="158"/>
    </row>
    <row r="437" spans="1:30" customFormat="1" hidden="1" x14ac:dyDescent="0.2">
      <c r="A437" s="153">
        <f t="shared" si="6"/>
        <v>413</v>
      </c>
      <c r="B437" s="33">
        <v>1</v>
      </c>
      <c r="C437" s="33">
        <v>10</v>
      </c>
      <c r="D437" s="33">
        <v>34</v>
      </c>
      <c r="E437" s="143">
        <v>2035</v>
      </c>
      <c r="F437" s="33">
        <v>2050</v>
      </c>
      <c r="G437" s="33">
        <v>1</v>
      </c>
      <c r="H437" s="33">
        <v>34</v>
      </c>
      <c r="I437" s="33">
        <v>0</v>
      </c>
      <c r="J437" s="33">
        <v>0</v>
      </c>
      <c r="K437" s="33">
        <v>0</v>
      </c>
      <c r="L437" s="101">
        <v>3.6</v>
      </c>
      <c r="M437" s="108">
        <v>8075</v>
      </c>
      <c r="N437" s="108">
        <v>4600</v>
      </c>
      <c r="O437" s="142">
        <v>0</v>
      </c>
      <c r="P437" s="142">
        <v>0</v>
      </c>
      <c r="Q437" s="141">
        <v>1675</v>
      </c>
      <c r="R437" s="141">
        <v>954</v>
      </c>
      <c r="S437" s="116">
        <v>0</v>
      </c>
      <c r="T437" s="116">
        <v>0</v>
      </c>
      <c r="U437" s="33" t="s">
        <v>226</v>
      </c>
      <c r="V437" s="33">
        <v>2015</v>
      </c>
      <c r="W437" s="33">
        <v>1</v>
      </c>
      <c r="X437" s="33">
        <v>0</v>
      </c>
      <c r="Y437" s="33">
        <v>-1.8E-3</v>
      </c>
      <c r="Z437" s="33">
        <v>-1.2E-2</v>
      </c>
      <c r="AA437" s="33">
        <v>0</v>
      </c>
      <c r="AB437" s="33">
        <v>0</v>
      </c>
      <c r="AC437" s="33" t="s">
        <v>349</v>
      </c>
      <c r="AD437" s="158"/>
    </row>
    <row r="438" spans="1:30" customFormat="1" hidden="1" x14ac:dyDescent="0.2">
      <c r="A438" s="153">
        <f t="shared" si="6"/>
        <v>414</v>
      </c>
      <c r="B438" s="33">
        <v>1</v>
      </c>
      <c r="C438" s="33">
        <v>10</v>
      </c>
      <c r="D438" s="33">
        <v>34</v>
      </c>
      <c r="E438" s="143">
        <v>2035</v>
      </c>
      <c r="F438" s="33">
        <v>2050</v>
      </c>
      <c r="G438" s="33">
        <v>2</v>
      </c>
      <c r="H438" s="33">
        <v>34</v>
      </c>
      <c r="I438" s="33">
        <v>0</v>
      </c>
      <c r="J438" s="33">
        <v>0</v>
      </c>
      <c r="K438" s="33">
        <v>0</v>
      </c>
      <c r="L438" s="101">
        <v>3.6</v>
      </c>
      <c r="M438" s="108">
        <v>8075</v>
      </c>
      <c r="N438" s="108">
        <v>4600</v>
      </c>
      <c r="O438" s="142">
        <v>0</v>
      </c>
      <c r="P438" s="142">
        <v>0</v>
      </c>
      <c r="Q438" s="141">
        <v>871</v>
      </c>
      <c r="R438" s="141">
        <v>496</v>
      </c>
      <c r="S438" s="116">
        <v>0</v>
      </c>
      <c r="T438" s="116">
        <v>0</v>
      </c>
      <c r="U438" s="33" t="s">
        <v>226</v>
      </c>
      <c r="V438" s="33">
        <v>2015</v>
      </c>
      <c r="W438" s="33">
        <v>1</v>
      </c>
      <c r="X438" s="33">
        <v>0</v>
      </c>
      <c r="Y438" s="33">
        <v>-1.8E-3</v>
      </c>
      <c r="Z438" s="33">
        <v>-1.2E-2</v>
      </c>
      <c r="AA438" s="33">
        <v>0</v>
      </c>
      <c r="AB438" s="33">
        <v>0</v>
      </c>
      <c r="AC438" s="33" t="s">
        <v>349</v>
      </c>
      <c r="AD438" s="158"/>
    </row>
    <row r="439" spans="1:30" customFormat="1" x14ac:dyDescent="0.2">
      <c r="A439" s="153">
        <f t="shared" si="6"/>
        <v>415</v>
      </c>
      <c r="B439" s="33">
        <v>1</v>
      </c>
      <c r="C439" s="33">
        <v>10</v>
      </c>
      <c r="D439" s="33">
        <v>34</v>
      </c>
      <c r="E439" s="143">
        <v>2035</v>
      </c>
      <c r="F439" s="33">
        <v>2050</v>
      </c>
      <c r="G439" s="33">
        <v>3</v>
      </c>
      <c r="H439" s="33">
        <v>34</v>
      </c>
      <c r="I439" s="33">
        <v>0</v>
      </c>
      <c r="J439" s="33">
        <v>0</v>
      </c>
      <c r="K439" s="33">
        <v>0</v>
      </c>
      <c r="L439" s="101">
        <v>3.6</v>
      </c>
      <c r="M439" s="108">
        <v>8075</v>
      </c>
      <c r="N439" s="108">
        <v>4600</v>
      </c>
      <c r="O439" s="142">
        <v>0</v>
      </c>
      <c r="P439" s="142">
        <v>0</v>
      </c>
      <c r="Q439" s="141">
        <v>427</v>
      </c>
      <c r="R439" s="141">
        <v>243</v>
      </c>
      <c r="S439" s="116">
        <v>0</v>
      </c>
      <c r="T439" s="116">
        <v>0</v>
      </c>
      <c r="U439" s="33" t="s">
        <v>226</v>
      </c>
      <c r="V439" s="33">
        <v>2015</v>
      </c>
      <c r="W439" s="33">
        <v>1</v>
      </c>
      <c r="X439" s="33">
        <v>0</v>
      </c>
      <c r="Y439" s="33">
        <v>-1.8E-3</v>
      </c>
      <c r="Z439" s="33">
        <v>-1.2E-2</v>
      </c>
      <c r="AA439" s="33">
        <v>0</v>
      </c>
      <c r="AB439" s="33">
        <v>0</v>
      </c>
      <c r="AC439" s="33" t="s">
        <v>349</v>
      </c>
      <c r="AD439" s="158"/>
    </row>
    <row r="440" spans="1:30" customFormat="1" hidden="1" x14ac:dyDescent="0.2">
      <c r="A440" s="153">
        <f t="shared" si="6"/>
        <v>416</v>
      </c>
      <c r="B440" s="33">
        <v>1</v>
      </c>
      <c r="C440" s="33">
        <v>10</v>
      </c>
      <c r="D440" s="33">
        <v>34</v>
      </c>
      <c r="E440" s="143">
        <v>2035</v>
      </c>
      <c r="F440" s="33">
        <v>2050</v>
      </c>
      <c r="G440" s="33">
        <v>4</v>
      </c>
      <c r="H440" s="33">
        <v>34</v>
      </c>
      <c r="I440" s="33">
        <v>0</v>
      </c>
      <c r="J440" s="33">
        <v>0</v>
      </c>
      <c r="K440" s="33">
        <v>0</v>
      </c>
      <c r="L440" s="101">
        <v>3.6</v>
      </c>
      <c r="M440" s="108">
        <v>8075</v>
      </c>
      <c r="N440" s="108">
        <v>4600</v>
      </c>
      <c r="O440" s="142">
        <v>0</v>
      </c>
      <c r="P440" s="142">
        <v>0</v>
      </c>
      <c r="Q440" s="141">
        <v>376</v>
      </c>
      <c r="R440" s="141">
        <v>214</v>
      </c>
      <c r="S440" s="116">
        <v>0</v>
      </c>
      <c r="T440" s="116">
        <v>0</v>
      </c>
      <c r="U440" s="33" t="s">
        <v>226</v>
      </c>
      <c r="V440" s="33">
        <v>2015</v>
      </c>
      <c r="W440" s="33">
        <v>1</v>
      </c>
      <c r="X440" s="33">
        <v>0</v>
      </c>
      <c r="Y440" s="33">
        <v>-1.8E-3</v>
      </c>
      <c r="Z440" s="33">
        <v>-1.2E-2</v>
      </c>
      <c r="AA440" s="33">
        <v>0</v>
      </c>
      <c r="AB440" s="33">
        <v>0</v>
      </c>
      <c r="AC440" s="33" t="s">
        <v>349</v>
      </c>
      <c r="AD440" s="158"/>
    </row>
    <row r="441" spans="1:30" customFormat="1" hidden="1" x14ac:dyDescent="0.2">
      <c r="A441" s="153">
        <f t="shared" si="6"/>
        <v>417</v>
      </c>
      <c r="B441" s="33">
        <v>1</v>
      </c>
      <c r="C441" s="33">
        <v>10</v>
      </c>
      <c r="D441" s="33">
        <v>34</v>
      </c>
      <c r="E441" s="143">
        <v>2035</v>
      </c>
      <c r="F441" s="33">
        <v>2050</v>
      </c>
      <c r="G441" s="33">
        <v>5</v>
      </c>
      <c r="H441" s="33">
        <v>34</v>
      </c>
      <c r="I441" s="33">
        <v>0</v>
      </c>
      <c r="J441" s="33">
        <v>0</v>
      </c>
      <c r="K441" s="33">
        <v>0</v>
      </c>
      <c r="L441" s="101">
        <v>3.6</v>
      </c>
      <c r="M441" s="108">
        <v>8075</v>
      </c>
      <c r="N441" s="108">
        <v>4600</v>
      </c>
      <c r="O441" s="142">
        <v>0</v>
      </c>
      <c r="P441" s="142">
        <v>0</v>
      </c>
      <c r="Q441" s="141">
        <v>194</v>
      </c>
      <c r="R441" s="141">
        <v>111</v>
      </c>
      <c r="S441" s="116">
        <v>0</v>
      </c>
      <c r="T441" s="116">
        <v>0</v>
      </c>
      <c r="U441" s="33" t="s">
        <v>226</v>
      </c>
      <c r="V441" s="33">
        <v>2015</v>
      </c>
      <c r="W441" s="33">
        <v>1</v>
      </c>
      <c r="X441" s="33">
        <v>0</v>
      </c>
      <c r="Y441" s="33">
        <v>-1.8E-3</v>
      </c>
      <c r="Z441" s="33">
        <v>-1.2E-2</v>
      </c>
      <c r="AA441" s="33">
        <v>0</v>
      </c>
      <c r="AB441" s="33">
        <v>0</v>
      </c>
      <c r="AC441" s="33" t="s">
        <v>349</v>
      </c>
      <c r="AD441" s="158"/>
    </row>
    <row r="442" spans="1:30" customFormat="1" hidden="1" x14ac:dyDescent="0.2">
      <c r="A442" s="153">
        <f t="shared" si="6"/>
        <v>418</v>
      </c>
      <c r="B442" s="33">
        <v>1</v>
      </c>
      <c r="C442" s="33">
        <v>10</v>
      </c>
      <c r="D442" s="33">
        <v>34</v>
      </c>
      <c r="E442" s="143">
        <v>2035</v>
      </c>
      <c r="F442" s="33">
        <v>2050</v>
      </c>
      <c r="G442" s="33">
        <v>6</v>
      </c>
      <c r="H442" s="33">
        <v>34</v>
      </c>
      <c r="I442" s="33">
        <v>0</v>
      </c>
      <c r="J442" s="33">
        <v>0</v>
      </c>
      <c r="K442" s="33">
        <v>0</v>
      </c>
      <c r="L442" s="101">
        <v>3.6</v>
      </c>
      <c r="M442" s="108">
        <v>8075</v>
      </c>
      <c r="N442" s="108">
        <v>4600</v>
      </c>
      <c r="O442" s="142">
        <v>0</v>
      </c>
      <c r="P442" s="142">
        <v>0</v>
      </c>
      <c r="Q442" s="141">
        <v>39</v>
      </c>
      <c r="R442" s="141">
        <v>22</v>
      </c>
      <c r="S442" s="116">
        <v>0</v>
      </c>
      <c r="T442" s="116">
        <v>0</v>
      </c>
      <c r="U442" s="33" t="s">
        <v>226</v>
      </c>
      <c r="V442" s="33">
        <v>2015</v>
      </c>
      <c r="W442" s="33">
        <v>1</v>
      </c>
      <c r="X442" s="33">
        <v>0</v>
      </c>
      <c r="Y442" s="33">
        <v>-1.8E-3</v>
      </c>
      <c r="Z442" s="33">
        <v>-1.2E-2</v>
      </c>
      <c r="AA442" s="33">
        <v>0</v>
      </c>
      <c r="AB442" s="33">
        <v>0</v>
      </c>
      <c r="AC442" s="33" t="s">
        <v>349</v>
      </c>
      <c r="AD442" s="158"/>
    </row>
    <row r="443" spans="1:30" customFormat="1" hidden="1" x14ac:dyDescent="0.2">
      <c r="A443" s="153">
        <f t="shared" si="6"/>
        <v>419</v>
      </c>
      <c r="B443" s="33">
        <v>1</v>
      </c>
      <c r="C443" s="33">
        <v>10</v>
      </c>
      <c r="D443" s="33">
        <v>34</v>
      </c>
      <c r="E443" s="143">
        <v>2035</v>
      </c>
      <c r="F443" s="33">
        <v>2050</v>
      </c>
      <c r="G443" s="33">
        <v>7</v>
      </c>
      <c r="H443" s="33">
        <v>34</v>
      </c>
      <c r="I443" s="33">
        <v>0</v>
      </c>
      <c r="J443" s="33">
        <v>0</v>
      </c>
      <c r="K443" s="33">
        <v>0</v>
      </c>
      <c r="L443" s="101">
        <v>3.6</v>
      </c>
      <c r="M443" s="108">
        <v>8075</v>
      </c>
      <c r="N443" s="108">
        <v>4600</v>
      </c>
      <c r="O443" s="142">
        <v>0</v>
      </c>
      <c r="P443" s="142">
        <v>0</v>
      </c>
      <c r="Q443" s="141">
        <v>77</v>
      </c>
      <c r="R443" s="141">
        <v>44</v>
      </c>
      <c r="S443" s="116">
        <v>0</v>
      </c>
      <c r="T443" s="116">
        <v>0</v>
      </c>
      <c r="U443" s="33" t="s">
        <v>226</v>
      </c>
      <c r="V443" s="33">
        <v>2015</v>
      </c>
      <c r="W443" s="33">
        <v>1</v>
      </c>
      <c r="X443" s="33">
        <v>0</v>
      </c>
      <c r="Y443" s="33">
        <v>-1.8E-3</v>
      </c>
      <c r="Z443" s="33">
        <v>-1.2E-2</v>
      </c>
      <c r="AA443" s="33">
        <v>0</v>
      </c>
      <c r="AB443" s="33">
        <v>0</v>
      </c>
      <c r="AC443" s="33" t="s">
        <v>349</v>
      </c>
      <c r="AD443" s="158"/>
    </row>
    <row r="444" spans="1:30" customFormat="1" hidden="1" x14ac:dyDescent="0.2">
      <c r="A444" s="153">
        <f t="shared" si="6"/>
        <v>420</v>
      </c>
      <c r="B444" s="33">
        <v>1</v>
      </c>
      <c r="C444" s="33">
        <v>10</v>
      </c>
      <c r="D444" s="33">
        <v>34</v>
      </c>
      <c r="E444" s="143">
        <v>2035</v>
      </c>
      <c r="F444" s="33">
        <v>2050</v>
      </c>
      <c r="G444" s="33">
        <v>8</v>
      </c>
      <c r="H444" s="33">
        <v>34</v>
      </c>
      <c r="I444" s="33">
        <v>0</v>
      </c>
      <c r="J444" s="33">
        <v>0</v>
      </c>
      <c r="K444" s="33">
        <v>0</v>
      </c>
      <c r="L444" s="101">
        <v>3.6</v>
      </c>
      <c r="M444" s="108">
        <v>8075</v>
      </c>
      <c r="N444" s="108">
        <v>4600</v>
      </c>
      <c r="O444" s="142">
        <v>0</v>
      </c>
      <c r="P444" s="142">
        <v>0</v>
      </c>
      <c r="Q444" s="141">
        <v>289</v>
      </c>
      <c r="R444" s="141">
        <v>165</v>
      </c>
      <c r="S444" s="116">
        <v>0</v>
      </c>
      <c r="T444" s="116">
        <v>0</v>
      </c>
      <c r="U444" s="33" t="s">
        <v>226</v>
      </c>
      <c r="V444" s="33">
        <v>2015</v>
      </c>
      <c r="W444" s="33">
        <v>1</v>
      </c>
      <c r="X444" s="33">
        <v>0</v>
      </c>
      <c r="Y444" s="33">
        <v>-1.8E-3</v>
      </c>
      <c r="Z444" s="33">
        <v>-1.2E-2</v>
      </c>
      <c r="AA444" s="33">
        <v>0</v>
      </c>
      <c r="AB444" s="33">
        <v>0</v>
      </c>
      <c r="AC444" s="33" t="s">
        <v>349</v>
      </c>
      <c r="AD444" s="158"/>
    </row>
    <row r="445" spans="1:30" customFormat="1" hidden="1" x14ac:dyDescent="0.2">
      <c r="A445" s="153">
        <f t="shared" si="6"/>
        <v>421</v>
      </c>
      <c r="B445" s="33">
        <v>1</v>
      </c>
      <c r="C445" s="33">
        <v>10</v>
      </c>
      <c r="D445" s="33">
        <v>34</v>
      </c>
      <c r="E445" s="143">
        <v>2035</v>
      </c>
      <c r="F445" s="33">
        <v>2050</v>
      </c>
      <c r="G445" s="33">
        <v>9</v>
      </c>
      <c r="H445" s="33">
        <v>34</v>
      </c>
      <c r="I445" s="33">
        <v>0</v>
      </c>
      <c r="J445" s="33">
        <v>0</v>
      </c>
      <c r="K445" s="33">
        <v>0</v>
      </c>
      <c r="L445" s="101">
        <v>3.6</v>
      </c>
      <c r="M445" s="108">
        <v>8075</v>
      </c>
      <c r="N445" s="108">
        <v>4600</v>
      </c>
      <c r="O445" s="142">
        <v>0</v>
      </c>
      <c r="P445" s="142">
        <v>0</v>
      </c>
      <c r="Q445" s="141">
        <v>162</v>
      </c>
      <c r="R445" s="141">
        <v>92</v>
      </c>
      <c r="S445" s="116">
        <v>0</v>
      </c>
      <c r="T445" s="116">
        <v>0</v>
      </c>
      <c r="U445" s="33" t="s">
        <v>226</v>
      </c>
      <c r="V445" s="33">
        <v>2015</v>
      </c>
      <c r="W445" s="33">
        <v>1</v>
      </c>
      <c r="X445" s="33">
        <v>0</v>
      </c>
      <c r="Y445" s="33">
        <v>-1.8E-3</v>
      </c>
      <c r="Z445" s="33">
        <v>-1.2E-2</v>
      </c>
      <c r="AA445" s="33">
        <v>0</v>
      </c>
      <c r="AB445" s="33">
        <v>0</v>
      </c>
      <c r="AC445" s="33" t="s">
        <v>349</v>
      </c>
      <c r="AD445" s="158"/>
    </row>
    <row r="446" spans="1:30" customFormat="1" hidden="1" x14ac:dyDescent="0.2">
      <c r="A446" s="153">
        <f t="shared" si="6"/>
        <v>422</v>
      </c>
      <c r="B446" s="33">
        <v>1</v>
      </c>
      <c r="C446" s="33">
        <v>10</v>
      </c>
      <c r="D446" s="33">
        <v>35</v>
      </c>
      <c r="E446" s="104">
        <v>2016</v>
      </c>
      <c r="F446" s="159">
        <v>2019</v>
      </c>
      <c r="G446" s="33">
        <v>1</v>
      </c>
      <c r="H446" s="33">
        <v>35</v>
      </c>
      <c r="I446" s="33">
        <v>0</v>
      </c>
      <c r="J446" s="33">
        <v>0</v>
      </c>
      <c r="K446" s="33">
        <v>0</v>
      </c>
      <c r="L446" s="101">
        <v>4.5</v>
      </c>
      <c r="M446" s="108">
        <v>8525</v>
      </c>
      <c r="N446" s="108">
        <v>5550</v>
      </c>
      <c r="O446" s="142">
        <v>2558</v>
      </c>
      <c r="P446" s="142">
        <v>1665</v>
      </c>
      <c r="Q446" s="160">
        <v>1769</v>
      </c>
      <c r="R446" s="160">
        <v>1152</v>
      </c>
      <c r="S446" s="116">
        <v>0</v>
      </c>
      <c r="T446" s="116">
        <v>0</v>
      </c>
      <c r="U446" s="33" t="s">
        <v>226</v>
      </c>
      <c r="V446" s="33">
        <v>2015</v>
      </c>
      <c r="W446" s="33">
        <v>1</v>
      </c>
      <c r="X446" s="33">
        <v>0</v>
      </c>
      <c r="Y446" s="33">
        <v>-1.8E-3</v>
      </c>
      <c r="Z446" s="33">
        <v>-1.2E-2</v>
      </c>
      <c r="AA446" s="33">
        <v>0</v>
      </c>
      <c r="AB446" s="33">
        <v>0</v>
      </c>
      <c r="AC446" s="33" t="s">
        <v>350</v>
      </c>
      <c r="AD446" s="158"/>
    </row>
    <row r="447" spans="1:30" customFormat="1" hidden="1" x14ac:dyDescent="0.2">
      <c r="A447" s="153">
        <f t="shared" si="6"/>
        <v>423</v>
      </c>
      <c r="B447" s="33">
        <v>1</v>
      </c>
      <c r="C447" s="33">
        <v>10</v>
      </c>
      <c r="D447" s="33">
        <v>35</v>
      </c>
      <c r="E447" s="104">
        <v>2016</v>
      </c>
      <c r="F447" s="159">
        <v>2019</v>
      </c>
      <c r="G447" s="33">
        <v>2</v>
      </c>
      <c r="H447" s="33">
        <v>35</v>
      </c>
      <c r="I447" s="33">
        <v>0</v>
      </c>
      <c r="J447" s="33">
        <v>0</v>
      </c>
      <c r="K447" s="33">
        <v>0</v>
      </c>
      <c r="L447" s="101">
        <v>4.5</v>
      </c>
      <c r="M447" s="108">
        <v>8525</v>
      </c>
      <c r="N447" s="108">
        <v>5550</v>
      </c>
      <c r="O447" s="142">
        <v>2558</v>
      </c>
      <c r="P447" s="142">
        <v>1665</v>
      </c>
      <c r="Q447" s="160">
        <v>920</v>
      </c>
      <c r="R447" s="160">
        <v>599</v>
      </c>
      <c r="S447" s="116">
        <v>0</v>
      </c>
      <c r="T447" s="116">
        <v>0</v>
      </c>
      <c r="U447" s="33" t="s">
        <v>226</v>
      </c>
      <c r="V447" s="33">
        <v>2015</v>
      </c>
      <c r="W447" s="33">
        <v>1</v>
      </c>
      <c r="X447" s="33">
        <v>0</v>
      </c>
      <c r="Y447" s="33">
        <v>-1.8E-3</v>
      </c>
      <c r="Z447" s="33">
        <v>-1.2E-2</v>
      </c>
      <c r="AA447" s="33">
        <v>0</v>
      </c>
      <c r="AB447" s="33">
        <v>0</v>
      </c>
      <c r="AC447" s="33" t="s">
        <v>350</v>
      </c>
      <c r="AD447" s="158"/>
    </row>
    <row r="448" spans="1:30" customFormat="1" x14ac:dyDescent="0.2">
      <c r="A448" s="153">
        <f t="shared" si="6"/>
        <v>424</v>
      </c>
      <c r="B448" s="33">
        <v>1</v>
      </c>
      <c r="C448" s="33">
        <v>10</v>
      </c>
      <c r="D448" s="33">
        <v>35</v>
      </c>
      <c r="E448" s="104">
        <v>2016</v>
      </c>
      <c r="F448" s="159">
        <v>2019</v>
      </c>
      <c r="G448" s="33">
        <v>3</v>
      </c>
      <c r="H448" s="33">
        <v>35</v>
      </c>
      <c r="I448" s="33">
        <v>0</v>
      </c>
      <c r="J448" s="33">
        <v>0</v>
      </c>
      <c r="K448" s="33">
        <v>0</v>
      </c>
      <c r="L448" s="101">
        <v>4.5</v>
      </c>
      <c r="M448" s="108">
        <v>8525</v>
      </c>
      <c r="N448" s="108">
        <v>5550</v>
      </c>
      <c r="O448" s="142">
        <v>2558</v>
      </c>
      <c r="P448" s="142">
        <v>1665</v>
      </c>
      <c r="Q448" s="160">
        <v>451</v>
      </c>
      <c r="R448" s="160">
        <v>293</v>
      </c>
      <c r="S448" s="116">
        <v>0</v>
      </c>
      <c r="T448" s="116">
        <v>0</v>
      </c>
      <c r="U448" s="33" t="s">
        <v>226</v>
      </c>
      <c r="V448" s="33">
        <v>2015</v>
      </c>
      <c r="W448" s="33">
        <v>1</v>
      </c>
      <c r="X448" s="33">
        <v>0</v>
      </c>
      <c r="Y448" s="33">
        <v>-1.8E-3</v>
      </c>
      <c r="Z448" s="33">
        <v>-1.2E-2</v>
      </c>
      <c r="AA448" s="33">
        <v>0</v>
      </c>
      <c r="AB448" s="33">
        <v>0</v>
      </c>
      <c r="AC448" s="33" t="s">
        <v>350</v>
      </c>
      <c r="AD448" s="158"/>
    </row>
    <row r="449" spans="1:30" customFormat="1" hidden="1" x14ac:dyDescent="0.2">
      <c r="A449" s="153">
        <f t="shared" si="6"/>
        <v>425</v>
      </c>
      <c r="B449" s="33">
        <v>1</v>
      </c>
      <c r="C449" s="33">
        <v>10</v>
      </c>
      <c r="D449" s="33">
        <v>35</v>
      </c>
      <c r="E449" s="104">
        <v>2016</v>
      </c>
      <c r="F449" s="159">
        <v>2019</v>
      </c>
      <c r="G449" s="33">
        <v>4</v>
      </c>
      <c r="H449" s="33">
        <v>35</v>
      </c>
      <c r="I449" s="33">
        <v>0</v>
      </c>
      <c r="J449" s="33">
        <v>0</v>
      </c>
      <c r="K449" s="33">
        <v>0</v>
      </c>
      <c r="L449" s="101">
        <v>4.5</v>
      </c>
      <c r="M449" s="108">
        <v>8525</v>
      </c>
      <c r="N449" s="108">
        <v>5550</v>
      </c>
      <c r="O449" s="142">
        <v>2558</v>
      </c>
      <c r="P449" s="142">
        <v>1665</v>
      </c>
      <c r="Q449" s="160">
        <v>397</v>
      </c>
      <c r="R449" s="160">
        <v>259</v>
      </c>
      <c r="S449" s="116">
        <v>0</v>
      </c>
      <c r="T449" s="116">
        <v>0</v>
      </c>
      <c r="U449" s="33" t="s">
        <v>226</v>
      </c>
      <c r="V449" s="33">
        <v>2015</v>
      </c>
      <c r="W449" s="33">
        <v>1</v>
      </c>
      <c r="X449" s="33">
        <v>0</v>
      </c>
      <c r="Y449" s="33">
        <v>-1.8E-3</v>
      </c>
      <c r="Z449" s="33">
        <v>-1.2E-2</v>
      </c>
      <c r="AA449" s="33">
        <v>0</v>
      </c>
      <c r="AB449" s="33">
        <v>0</v>
      </c>
      <c r="AC449" s="33" t="s">
        <v>350</v>
      </c>
      <c r="AD449" s="158"/>
    </row>
    <row r="450" spans="1:30" customFormat="1" hidden="1" x14ac:dyDescent="0.2">
      <c r="A450" s="153">
        <f t="shared" si="6"/>
        <v>426</v>
      </c>
      <c r="B450" s="33">
        <v>1</v>
      </c>
      <c r="C450" s="33">
        <v>10</v>
      </c>
      <c r="D450" s="33">
        <v>35</v>
      </c>
      <c r="E450" s="104">
        <v>2016</v>
      </c>
      <c r="F450" s="159">
        <v>2019</v>
      </c>
      <c r="G450" s="33">
        <v>5</v>
      </c>
      <c r="H450" s="33">
        <v>35</v>
      </c>
      <c r="I450" s="33">
        <v>0</v>
      </c>
      <c r="J450" s="33">
        <v>0</v>
      </c>
      <c r="K450" s="33">
        <v>0</v>
      </c>
      <c r="L450" s="101">
        <v>4.5</v>
      </c>
      <c r="M450" s="108">
        <v>8525</v>
      </c>
      <c r="N450" s="108">
        <v>5550</v>
      </c>
      <c r="O450" s="142">
        <v>2558</v>
      </c>
      <c r="P450" s="142">
        <v>1665</v>
      </c>
      <c r="Q450" s="160">
        <v>205</v>
      </c>
      <c r="R450" s="160">
        <v>134</v>
      </c>
      <c r="S450" s="116">
        <v>0</v>
      </c>
      <c r="T450" s="116">
        <v>0</v>
      </c>
      <c r="U450" s="33" t="s">
        <v>226</v>
      </c>
      <c r="V450" s="33">
        <v>2015</v>
      </c>
      <c r="W450" s="33">
        <v>1</v>
      </c>
      <c r="X450" s="33">
        <v>0</v>
      </c>
      <c r="Y450" s="33">
        <v>-1.8E-3</v>
      </c>
      <c r="Z450" s="33">
        <v>-1.2E-2</v>
      </c>
      <c r="AA450" s="33">
        <v>0</v>
      </c>
      <c r="AB450" s="33">
        <v>0</v>
      </c>
      <c r="AC450" s="33" t="s">
        <v>350</v>
      </c>
      <c r="AD450" s="158"/>
    </row>
    <row r="451" spans="1:30" customFormat="1" hidden="1" x14ac:dyDescent="0.2">
      <c r="A451" s="153">
        <f t="shared" si="6"/>
        <v>427</v>
      </c>
      <c r="B451" s="33">
        <v>1</v>
      </c>
      <c r="C451" s="33">
        <v>10</v>
      </c>
      <c r="D451" s="33">
        <v>35</v>
      </c>
      <c r="E451" s="104">
        <v>2016</v>
      </c>
      <c r="F451" s="159">
        <v>2019</v>
      </c>
      <c r="G451" s="33">
        <v>6</v>
      </c>
      <c r="H451" s="33">
        <v>35</v>
      </c>
      <c r="I451" s="33">
        <v>0</v>
      </c>
      <c r="J451" s="33">
        <v>0</v>
      </c>
      <c r="K451" s="33">
        <v>0</v>
      </c>
      <c r="L451" s="101">
        <v>4.5</v>
      </c>
      <c r="M451" s="108">
        <v>8525</v>
      </c>
      <c r="N451" s="108">
        <v>5550</v>
      </c>
      <c r="O451" s="142">
        <v>2558</v>
      </c>
      <c r="P451" s="142">
        <v>1665</v>
      </c>
      <c r="Q451" s="160">
        <v>41</v>
      </c>
      <c r="R451" s="160">
        <v>27</v>
      </c>
      <c r="S451" s="116">
        <v>0</v>
      </c>
      <c r="T451" s="116">
        <v>0</v>
      </c>
      <c r="U451" s="33" t="s">
        <v>226</v>
      </c>
      <c r="V451" s="33">
        <v>2015</v>
      </c>
      <c r="W451" s="33">
        <v>1</v>
      </c>
      <c r="X451" s="33">
        <v>0</v>
      </c>
      <c r="Y451" s="33">
        <v>-1.8E-3</v>
      </c>
      <c r="Z451" s="33">
        <v>-1.2E-2</v>
      </c>
      <c r="AA451" s="33">
        <v>0</v>
      </c>
      <c r="AB451" s="33">
        <v>0</v>
      </c>
      <c r="AC451" s="33" t="s">
        <v>350</v>
      </c>
      <c r="AD451" s="158"/>
    </row>
    <row r="452" spans="1:30" customFormat="1" hidden="1" x14ac:dyDescent="0.2">
      <c r="A452" s="153">
        <f t="shared" si="6"/>
        <v>428</v>
      </c>
      <c r="B452" s="33">
        <v>1</v>
      </c>
      <c r="C452" s="33">
        <v>10</v>
      </c>
      <c r="D452" s="33">
        <v>35</v>
      </c>
      <c r="E452" s="104">
        <v>2016</v>
      </c>
      <c r="F452" s="159">
        <v>2019</v>
      </c>
      <c r="G452" s="33">
        <v>7</v>
      </c>
      <c r="H452" s="33">
        <v>35</v>
      </c>
      <c r="I452" s="33">
        <v>0</v>
      </c>
      <c r="J452" s="33">
        <v>0</v>
      </c>
      <c r="K452" s="33">
        <v>0</v>
      </c>
      <c r="L452" s="101">
        <v>4.5</v>
      </c>
      <c r="M452" s="108">
        <v>8525</v>
      </c>
      <c r="N452" s="108">
        <v>5550</v>
      </c>
      <c r="O452" s="142">
        <v>2558</v>
      </c>
      <c r="P452" s="142">
        <v>1665</v>
      </c>
      <c r="Q452" s="160">
        <v>82</v>
      </c>
      <c r="R452" s="160">
        <v>53</v>
      </c>
      <c r="S452" s="116">
        <v>0</v>
      </c>
      <c r="T452" s="116">
        <v>0</v>
      </c>
      <c r="U452" s="33" t="s">
        <v>226</v>
      </c>
      <c r="V452" s="33">
        <v>2015</v>
      </c>
      <c r="W452" s="33">
        <v>1</v>
      </c>
      <c r="X452" s="33">
        <v>0</v>
      </c>
      <c r="Y452" s="33">
        <v>-1.8E-3</v>
      </c>
      <c r="Z452" s="33">
        <v>-1.2E-2</v>
      </c>
      <c r="AA452" s="33">
        <v>0</v>
      </c>
      <c r="AB452" s="33">
        <v>0</v>
      </c>
      <c r="AC452" s="33" t="s">
        <v>350</v>
      </c>
      <c r="AD452" s="158"/>
    </row>
    <row r="453" spans="1:30" customFormat="1" hidden="1" x14ac:dyDescent="0.2">
      <c r="A453" s="153">
        <f t="shared" si="6"/>
        <v>429</v>
      </c>
      <c r="B453" s="33">
        <v>1</v>
      </c>
      <c r="C453" s="33">
        <v>10</v>
      </c>
      <c r="D453" s="33">
        <v>35</v>
      </c>
      <c r="E453" s="104">
        <v>2016</v>
      </c>
      <c r="F453" s="159">
        <v>2019</v>
      </c>
      <c r="G453" s="33">
        <v>8</v>
      </c>
      <c r="H453" s="33">
        <v>35</v>
      </c>
      <c r="I453" s="33">
        <v>0</v>
      </c>
      <c r="J453" s="33">
        <v>0</v>
      </c>
      <c r="K453" s="33">
        <v>0</v>
      </c>
      <c r="L453" s="101">
        <v>4.5</v>
      </c>
      <c r="M453" s="108">
        <v>8525</v>
      </c>
      <c r="N453" s="108">
        <v>5550</v>
      </c>
      <c r="O453" s="142">
        <v>2558</v>
      </c>
      <c r="P453" s="142">
        <v>1665</v>
      </c>
      <c r="Q453" s="160">
        <v>305</v>
      </c>
      <c r="R453" s="160">
        <v>199</v>
      </c>
      <c r="S453" s="116">
        <v>0</v>
      </c>
      <c r="T453" s="116">
        <v>0</v>
      </c>
      <c r="U453" s="33" t="s">
        <v>226</v>
      </c>
      <c r="V453" s="33">
        <v>2015</v>
      </c>
      <c r="W453" s="33">
        <v>1</v>
      </c>
      <c r="X453" s="33">
        <v>0</v>
      </c>
      <c r="Y453" s="33">
        <v>-1.8E-3</v>
      </c>
      <c r="Z453" s="33">
        <v>-1.2E-2</v>
      </c>
      <c r="AA453" s="33">
        <v>0</v>
      </c>
      <c r="AB453" s="33">
        <v>0</v>
      </c>
      <c r="AC453" s="33" t="s">
        <v>350</v>
      </c>
      <c r="AD453" s="158"/>
    </row>
    <row r="454" spans="1:30" customFormat="1" hidden="1" x14ac:dyDescent="0.2">
      <c r="A454" s="153">
        <f t="shared" si="6"/>
        <v>430</v>
      </c>
      <c r="B454" s="33">
        <v>1</v>
      </c>
      <c r="C454" s="33">
        <v>10</v>
      </c>
      <c r="D454" s="33">
        <v>35</v>
      </c>
      <c r="E454" s="104">
        <v>2016</v>
      </c>
      <c r="F454" s="159">
        <v>2019</v>
      </c>
      <c r="G454" s="33">
        <v>9</v>
      </c>
      <c r="H454" s="33">
        <v>35</v>
      </c>
      <c r="I454" s="33">
        <v>0</v>
      </c>
      <c r="J454" s="33">
        <v>0</v>
      </c>
      <c r="K454" s="33">
        <v>0</v>
      </c>
      <c r="L454" s="101">
        <v>4.5</v>
      </c>
      <c r="M454" s="108">
        <v>8525</v>
      </c>
      <c r="N454" s="108">
        <v>5550</v>
      </c>
      <c r="O454" s="142">
        <v>2558</v>
      </c>
      <c r="P454" s="142">
        <v>1665</v>
      </c>
      <c r="Q454" s="160">
        <v>171</v>
      </c>
      <c r="R454" s="160">
        <v>111</v>
      </c>
      <c r="S454" s="116">
        <v>0</v>
      </c>
      <c r="T454" s="116">
        <v>0</v>
      </c>
      <c r="U454" s="33" t="s">
        <v>226</v>
      </c>
      <c r="V454" s="33">
        <v>2015</v>
      </c>
      <c r="W454" s="33">
        <v>1</v>
      </c>
      <c r="X454" s="33">
        <v>0</v>
      </c>
      <c r="Y454" s="33">
        <v>-1.8E-3</v>
      </c>
      <c r="Z454" s="33">
        <v>-1.2E-2</v>
      </c>
      <c r="AA454" s="33">
        <v>0</v>
      </c>
      <c r="AB454" s="33">
        <v>0</v>
      </c>
      <c r="AC454" s="33" t="s">
        <v>350</v>
      </c>
      <c r="AD454" s="158"/>
    </row>
    <row r="455" spans="1:30" s="157" customFormat="1" hidden="1" x14ac:dyDescent="0.2">
      <c r="A455" s="153">
        <f t="shared" si="6"/>
        <v>431</v>
      </c>
      <c r="B455" s="49">
        <v>1</v>
      </c>
      <c r="C455" s="49">
        <v>10</v>
      </c>
      <c r="D455" s="49">
        <v>35</v>
      </c>
      <c r="E455" s="166">
        <v>2020</v>
      </c>
      <c r="F455" s="49">
        <v>2021</v>
      </c>
      <c r="G455" s="49">
        <v>1</v>
      </c>
      <c r="H455" s="49">
        <v>35</v>
      </c>
      <c r="I455" s="49">
        <v>0</v>
      </c>
      <c r="J455" s="49">
        <v>0</v>
      </c>
      <c r="K455" s="49">
        <v>0</v>
      </c>
      <c r="L455" s="167">
        <v>4.5</v>
      </c>
      <c r="M455" s="168">
        <v>8525</v>
      </c>
      <c r="N455" s="168">
        <v>5550</v>
      </c>
      <c r="O455" s="51">
        <v>2217</v>
      </c>
      <c r="P455" s="51">
        <v>1443</v>
      </c>
      <c r="Q455" s="51">
        <v>1769</v>
      </c>
      <c r="R455" s="51">
        <v>1152</v>
      </c>
      <c r="S455" s="171">
        <v>0</v>
      </c>
      <c r="T455" s="171">
        <v>0</v>
      </c>
      <c r="U455" s="49" t="s">
        <v>226</v>
      </c>
      <c r="V455" s="49">
        <v>2015</v>
      </c>
      <c r="W455" s="49">
        <v>1</v>
      </c>
      <c r="X455" s="49">
        <v>0</v>
      </c>
      <c r="Y455" s="49">
        <v>-1.8E-3</v>
      </c>
      <c r="Z455" s="49">
        <v>-1.2E-2</v>
      </c>
      <c r="AA455" s="49">
        <v>0</v>
      </c>
      <c r="AB455" s="49">
        <v>0</v>
      </c>
      <c r="AC455" s="49" t="s">
        <v>350</v>
      </c>
      <c r="AD455" s="158"/>
    </row>
    <row r="456" spans="1:30" s="157" customFormat="1" hidden="1" x14ac:dyDescent="0.2">
      <c r="A456" s="153">
        <f t="shared" si="6"/>
        <v>432</v>
      </c>
      <c r="B456" s="49">
        <v>1</v>
      </c>
      <c r="C456" s="49">
        <v>10</v>
      </c>
      <c r="D456" s="49">
        <v>35</v>
      </c>
      <c r="E456" s="166">
        <v>2020</v>
      </c>
      <c r="F456" s="49">
        <v>2021</v>
      </c>
      <c r="G456" s="49">
        <v>2</v>
      </c>
      <c r="H456" s="49">
        <v>35</v>
      </c>
      <c r="I456" s="49">
        <v>0</v>
      </c>
      <c r="J456" s="49">
        <v>0</v>
      </c>
      <c r="K456" s="49">
        <v>0</v>
      </c>
      <c r="L456" s="167">
        <v>4.5</v>
      </c>
      <c r="M456" s="168">
        <v>8525</v>
      </c>
      <c r="N456" s="168">
        <v>5550</v>
      </c>
      <c r="O456" s="51">
        <v>2217</v>
      </c>
      <c r="P456" s="51">
        <v>1443</v>
      </c>
      <c r="Q456" s="51">
        <v>920</v>
      </c>
      <c r="R456" s="51">
        <v>599</v>
      </c>
      <c r="S456" s="171">
        <v>0</v>
      </c>
      <c r="T456" s="171">
        <v>0</v>
      </c>
      <c r="U456" s="49" t="s">
        <v>226</v>
      </c>
      <c r="V456" s="49">
        <v>2015</v>
      </c>
      <c r="W456" s="49">
        <v>1</v>
      </c>
      <c r="X456" s="49">
        <v>0</v>
      </c>
      <c r="Y456" s="49">
        <v>-1.8E-3</v>
      </c>
      <c r="Z456" s="49">
        <v>-1.2E-2</v>
      </c>
      <c r="AA456" s="49">
        <v>0</v>
      </c>
      <c r="AB456" s="49">
        <v>0</v>
      </c>
      <c r="AC456" s="49" t="s">
        <v>350</v>
      </c>
      <c r="AD456" s="158"/>
    </row>
    <row r="457" spans="1:30" s="157" customFormat="1" x14ac:dyDescent="0.2">
      <c r="A457" s="153">
        <f t="shared" si="6"/>
        <v>433</v>
      </c>
      <c r="B457" s="49">
        <v>1</v>
      </c>
      <c r="C457" s="49">
        <v>10</v>
      </c>
      <c r="D457" s="49">
        <v>35</v>
      </c>
      <c r="E457" s="166">
        <v>2020</v>
      </c>
      <c r="F457" s="49">
        <v>2021</v>
      </c>
      <c r="G457" s="49">
        <v>3</v>
      </c>
      <c r="H457" s="49">
        <v>35</v>
      </c>
      <c r="I457" s="49">
        <v>0</v>
      </c>
      <c r="J457" s="49">
        <v>0</v>
      </c>
      <c r="K457" s="49">
        <v>0</v>
      </c>
      <c r="L457" s="167">
        <v>4.5</v>
      </c>
      <c r="M457" s="168">
        <v>8525</v>
      </c>
      <c r="N457" s="168">
        <v>5550</v>
      </c>
      <c r="O457" s="51">
        <v>2217</v>
      </c>
      <c r="P457" s="51">
        <v>1443</v>
      </c>
      <c r="Q457" s="51">
        <v>451</v>
      </c>
      <c r="R457" s="51">
        <v>293</v>
      </c>
      <c r="S457" s="171">
        <v>0</v>
      </c>
      <c r="T457" s="171">
        <v>0</v>
      </c>
      <c r="U457" s="49" t="s">
        <v>226</v>
      </c>
      <c r="V457" s="49">
        <v>2015</v>
      </c>
      <c r="W457" s="49">
        <v>1</v>
      </c>
      <c r="X457" s="49">
        <v>0</v>
      </c>
      <c r="Y457" s="49">
        <v>-1.8E-3</v>
      </c>
      <c r="Z457" s="49">
        <v>-1.2E-2</v>
      </c>
      <c r="AA457" s="49">
        <v>0</v>
      </c>
      <c r="AB457" s="49">
        <v>0</v>
      </c>
      <c r="AC457" s="49" t="s">
        <v>350</v>
      </c>
      <c r="AD457" s="158"/>
    </row>
    <row r="458" spans="1:30" s="157" customFormat="1" hidden="1" x14ac:dyDescent="0.2">
      <c r="A458" s="153">
        <f t="shared" si="6"/>
        <v>434</v>
      </c>
      <c r="B458" s="49">
        <v>1</v>
      </c>
      <c r="C458" s="49">
        <v>10</v>
      </c>
      <c r="D458" s="49">
        <v>35</v>
      </c>
      <c r="E458" s="166">
        <v>2020</v>
      </c>
      <c r="F458" s="49">
        <v>2021</v>
      </c>
      <c r="G458" s="49">
        <v>4</v>
      </c>
      <c r="H458" s="49">
        <v>35</v>
      </c>
      <c r="I458" s="49">
        <v>0</v>
      </c>
      <c r="J458" s="49">
        <v>0</v>
      </c>
      <c r="K458" s="49">
        <v>0</v>
      </c>
      <c r="L458" s="167">
        <v>4.5</v>
      </c>
      <c r="M458" s="168">
        <v>8525</v>
      </c>
      <c r="N458" s="168">
        <v>5550</v>
      </c>
      <c r="O458" s="51">
        <v>2217</v>
      </c>
      <c r="P458" s="51">
        <v>1443</v>
      </c>
      <c r="Q458" s="51">
        <v>397</v>
      </c>
      <c r="R458" s="51">
        <v>259</v>
      </c>
      <c r="S458" s="171">
        <v>0</v>
      </c>
      <c r="T458" s="171">
        <v>0</v>
      </c>
      <c r="U458" s="49" t="s">
        <v>226</v>
      </c>
      <c r="V458" s="49">
        <v>2015</v>
      </c>
      <c r="W458" s="49">
        <v>1</v>
      </c>
      <c r="X458" s="49">
        <v>0</v>
      </c>
      <c r="Y458" s="49">
        <v>-1.8E-3</v>
      </c>
      <c r="Z458" s="49">
        <v>-1.2E-2</v>
      </c>
      <c r="AA458" s="49">
        <v>0</v>
      </c>
      <c r="AB458" s="49">
        <v>0</v>
      </c>
      <c r="AC458" s="49" t="s">
        <v>350</v>
      </c>
      <c r="AD458" s="158"/>
    </row>
    <row r="459" spans="1:30" s="157" customFormat="1" hidden="1" x14ac:dyDescent="0.2">
      <c r="A459" s="153">
        <f t="shared" si="6"/>
        <v>435</v>
      </c>
      <c r="B459" s="49">
        <v>1</v>
      </c>
      <c r="C459" s="49">
        <v>10</v>
      </c>
      <c r="D459" s="49">
        <v>35</v>
      </c>
      <c r="E459" s="166">
        <v>2020</v>
      </c>
      <c r="F459" s="49">
        <v>2021</v>
      </c>
      <c r="G459" s="49">
        <v>5</v>
      </c>
      <c r="H459" s="49">
        <v>35</v>
      </c>
      <c r="I459" s="49">
        <v>0</v>
      </c>
      <c r="J459" s="49">
        <v>0</v>
      </c>
      <c r="K459" s="49">
        <v>0</v>
      </c>
      <c r="L459" s="167">
        <v>4.5</v>
      </c>
      <c r="M459" s="168">
        <v>8525</v>
      </c>
      <c r="N459" s="168">
        <v>5550</v>
      </c>
      <c r="O459" s="51">
        <v>2217</v>
      </c>
      <c r="P459" s="51">
        <v>1443</v>
      </c>
      <c r="Q459" s="51">
        <v>205</v>
      </c>
      <c r="R459" s="51">
        <v>134</v>
      </c>
      <c r="S459" s="171">
        <v>0</v>
      </c>
      <c r="T459" s="171">
        <v>0</v>
      </c>
      <c r="U459" s="49" t="s">
        <v>226</v>
      </c>
      <c r="V459" s="49">
        <v>2015</v>
      </c>
      <c r="W459" s="49">
        <v>1</v>
      </c>
      <c r="X459" s="49">
        <v>0</v>
      </c>
      <c r="Y459" s="49">
        <v>-1.8E-3</v>
      </c>
      <c r="Z459" s="49">
        <v>-1.2E-2</v>
      </c>
      <c r="AA459" s="49">
        <v>0</v>
      </c>
      <c r="AB459" s="49">
        <v>0</v>
      </c>
      <c r="AC459" s="49" t="s">
        <v>350</v>
      </c>
      <c r="AD459" s="158"/>
    </row>
    <row r="460" spans="1:30" s="157" customFormat="1" hidden="1" x14ac:dyDescent="0.2">
      <c r="A460" s="153">
        <f t="shared" si="6"/>
        <v>436</v>
      </c>
      <c r="B460" s="49">
        <v>1</v>
      </c>
      <c r="C460" s="49">
        <v>10</v>
      </c>
      <c r="D460" s="49">
        <v>35</v>
      </c>
      <c r="E460" s="166">
        <v>2020</v>
      </c>
      <c r="F460" s="49">
        <v>2021</v>
      </c>
      <c r="G460" s="49">
        <v>6</v>
      </c>
      <c r="H460" s="49">
        <v>35</v>
      </c>
      <c r="I460" s="49">
        <v>0</v>
      </c>
      <c r="J460" s="49">
        <v>0</v>
      </c>
      <c r="K460" s="49">
        <v>0</v>
      </c>
      <c r="L460" s="167">
        <v>4.5</v>
      </c>
      <c r="M460" s="168">
        <v>8525</v>
      </c>
      <c r="N460" s="168">
        <v>5550</v>
      </c>
      <c r="O460" s="51">
        <v>2217</v>
      </c>
      <c r="P460" s="51">
        <v>1443</v>
      </c>
      <c r="Q460" s="51">
        <v>41</v>
      </c>
      <c r="R460" s="51">
        <v>27</v>
      </c>
      <c r="S460" s="171">
        <v>0</v>
      </c>
      <c r="T460" s="171">
        <v>0</v>
      </c>
      <c r="U460" s="49" t="s">
        <v>226</v>
      </c>
      <c r="V460" s="49">
        <v>2015</v>
      </c>
      <c r="W460" s="49">
        <v>1</v>
      </c>
      <c r="X460" s="49">
        <v>0</v>
      </c>
      <c r="Y460" s="49">
        <v>-1.8E-3</v>
      </c>
      <c r="Z460" s="49">
        <v>-1.2E-2</v>
      </c>
      <c r="AA460" s="49">
        <v>0</v>
      </c>
      <c r="AB460" s="49">
        <v>0</v>
      </c>
      <c r="AC460" s="49" t="s">
        <v>350</v>
      </c>
      <c r="AD460" s="158"/>
    </row>
    <row r="461" spans="1:30" s="157" customFormat="1" hidden="1" x14ac:dyDescent="0.2">
      <c r="A461" s="153">
        <f t="shared" si="6"/>
        <v>437</v>
      </c>
      <c r="B461" s="49">
        <v>1</v>
      </c>
      <c r="C461" s="49">
        <v>10</v>
      </c>
      <c r="D461" s="49">
        <v>35</v>
      </c>
      <c r="E461" s="166">
        <v>2020</v>
      </c>
      <c r="F461" s="49">
        <v>2021</v>
      </c>
      <c r="G461" s="49">
        <v>7</v>
      </c>
      <c r="H461" s="49">
        <v>35</v>
      </c>
      <c r="I461" s="49">
        <v>0</v>
      </c>
      <c r="J461" s="49">
        <v>0</v>
      </c>
      <c r="K461" s="49">
        <v>0</v>
      </c>
      <c r="L461" s="167">
        <v>4.5</v>
      </c>
      <c r="M461" s="168">
        <v>8525</v>
      </c>
      <c r="N461" s="168">
        <v>5550</v>
      </c>
      <c r="O461" s="51">
        <v>2217</v>
      </c>
      <c r="P461" s="51">
        <v>1443</v>
      </c>
      <c r="Q461" s="51">
        <v>82</v>
      </c>
      <c r="R461" s="51">
        <v>53</v>
      </c>
      <c r="S461" s="171">
        <v>0</v>
      </c>
      <c r="T461" s="171">
        <v>0</v>
      </c>
      <c r="U461" s="49" t="s">
        <v>226</v>
      </c>
      <c r="V461" s="49">
        <v>2015</v>
      </c>
      <c r="W461" s="49">
        <v>1</v>
      </c>
      <c r="X461" s="49">
        <v>0</v>
      </c>
      <c r="Y461" s="49">
        <v>-1.8E-3</v>
      </c>
      <c r="Z461" s="49">
        <v>-1.2E-2</v>
      </c>
      <c r="AA461" s="49">
        <v>0</v>
      </c>
      <c r="AB461" s="49">
        <v>0</v>
      </c>
      <c r="AC461" s="49" t="s">
        <v>350</v>
      </c>
      <c r="AD461" s="158"/>
    </row>
    <row r="462" spans="1:30" s="157" customFormat="1" hidden="1" x14ac:dyDescent="0.2">
      <c r="A462" s="153">
        <f t="shared" si="6"/>
        <v>438</v>
      </c>
      <c r="B462" s="49">
        <v>1</v>
      </c>
      <c r="C462" s="49">
        <v>10</v>
      </c>
      <c r="D462" s="49">
        <v>35</v>
      </c>
      <c r="E462" s="166">
        <v>2020</v>
      </c>
      <c r="F462" s="49">
        <v>2021</v>
      </c>
      <c r="G462" s="49">
        <v>8</v>
      </c>
      <c r="H462" s="49">
        <v>35</v>
      </c>
      <c r="I462" s="49">
        <v>0</v>
      </c>
      <c r="J462" s="49">
        <v>0</v>
      </c>
      <c r="K462" s="49">
        <v>0</v>
      </c>
      <c r="L462" s="167">
        <v>4.5</v>
      </c>
      <c r="M462" s="168">
        <v>8525</v>
      </c>
      <c r="N462" s="168">
        <v>5550</v>
      </c>
      <c r="O462" s="51">
        <v>2217</v>
      </c>
      <c r="P462" s="51">
        <v>1443</v>
      </c>
      <c r="Q462" s="51">
        <v>305</v>
      </c>
      <c r="R462" s="51">
        <v>199</v>
      </c>
      <c r="S462" s="171">
        <v>0</v>
      </c>
      <c r="T462" s="171">
        <v>0</v>
      </c>
      <c r="U462" s="49" t="s">
        <v>226</v>
      </c>
      <c r="V462" s="49">
        <v>2015</v>
      </c>
      <c r="W462" s="49">
        <v>1</v>
      </c>
      <c r="X462" s="49">
        <v>0</v>
      </c>
      <c r="Y462" s="49">
        <v>-1.8E-3</v>
      </c>
      <c r="Z462" s="49">
        <v>-1.2E-2</v>
      </c>
      <c r="AA462" s="49">
        <v>0</v>
      </c>
      <c r="AB462" s="49">
        <v>0</v>
      </c>
      <c r="AC462" s="49" t="s">
        <v>350</v>
      </c>
      <c r="AD462" s="158"/>
    </row>
    <row r="463" spans="1:30" s="157" customFormat="1" hidden="1" x14ac:dyDescent="0.2">
      <c r="A463" s="153">
        <f t="shared" si="6"/>
        <v>439</v>
      </c>
      <c r="B463" s="49">
        <v>1</v>
      </c>
      <c r="C463" s="49">
        <v>10</v>
      </c>
      <c r="D463" s="49">
        <v>35</v>
      </c>
      <c r="E463" s="166">
        <v>2020</v>
      </c>
      <c r="F463" s="49">
        <v>2021</v>
      </c>
      <c r="G463" s="49">
        <v>9</v>
      </c>
      <c r="H463" s="49">
        <v>35</v>
      </c>
      <c r="I463" s="49">
        <v>0</v>
      </c>
      <c r="J463" s="49">
        <v>0</v>
      </c>
      <c r="K463" s="49">
        <v>0</v>
      </c>
      <c r="L463" s="167">
        <v>4.5</v>
      </c>
      <c r="M463" s="168">
        <v>8525</v>
      </c>
      <c r="N463" s="168">
        <v>5550</v>
      </c>
      <c r="O463" s="51">
        <v>2217</v>
      </c>
      <c r="P463" s="51">
        <v>1443</v>
      </c>
      <c r="Q463" s="51">
        <v>171</v>
      </c>
      <c r="R463" s="51">
        <v>111</v>
      </c>
      <c r="S463" s="171">
        <v>0</v>
      </c>
      <c r="T463" s="171">
        <v>0</v>
      </c>
      <c r="U463" s="49" t="s">
        <v>226</v>
      </c>
      <c r="V463" s="49">
        <v>2015</v>
      </c>
      <c r="W463" s="49">
        <v>1</v>
      </c>
      <c r="X463" s="49">
        <v>0</v>
      </c>
      <c r="Y463" s="49">
        <v>-1.8E-3</v>
      </c>
      <c r="Z463" s="49">
        <v>-1.2E-2</v>
      </c>
      <c r="AA463" s="49">
        <v>0</v>
      </c>
      <c r="AB463" s="49">
        <v>0</v>
      </c>
      <c r="AC463" s="49" t="s">
        <v>350</v>
      </c>
      <c r="AD463" s="158"/>
    </row>
    <row r="464" spans="1:30" s="157" customFormat="1" hidden="1" x14ac:dyDescent="0.2">
      <c r="A464" s="153">
        <f t="shared" si="6"/>
        <v>440</v>
      </c>
      <c r="B464" s="49">
        <v>1</v>
      </c>
      <c r="C464" s="49">
        <v>10</v>
      </c>
      <c r="D464" s="49">
        <v>35</v>
      </c>
      <c r="E464" s="166">
        <v>2022</v>
      </c>
      <c r="F464" s="49">
        <v>2032</v>
      </c>
      <c r="G464" s="49">
        <v>1</v>
      </c>
      <c r="H464" s="49">
        <v>35</v>
      </c>
      <c r="I464" s="49">
        <v>0</v>
      </c>
      <c r="J464" s="49">
        <v>0</v>
      </c>
      <c r="K464" s="49">
        <v>0</v>
      </c>
      <c r="L464" s="167">
        <v>4.5</v>
      </c>
      <c r="M464" s="168">
        <v>8525</v>
      </c>
      <c r="N464" s="168">
        <v>5550</v>
      </c>
      <c r="O464" s="51">
        <v>2558</v>
      </c>
      <c r="P464" s="51">
        <v>1665</v>
      </c>
      <c r="Q464" s="51">
        <v>1769</v>
      </c>
      <c r="R464" s="51">
        <v>1152</v>
      </c>
      <c r="S464" s="171">
        <v>0</v>
      </c>
      <c r="T464" s="171">
        <v>0</v>
      </c>
      <c r="U464" s="49" t="s">
        <v>226</v>
      </c>
      <c r="V464" s="49">
        <v>2015</v>
      </c>
      <c r="W464" s="49">
        <v>1</v>
      </c>
      <c r="X464" s="49">
        <v>0</v>
      </c>
      <c r="Y464" s="49">
        <v>-1.8E-3</v>
      </c>
      <c r="Z464" s="49">
        <v>-1.2E-2</v>
      </c>
      <c r="AA464" s="49">
        <v>0</v>
      </c>
      <c r="AB464" s="49">
        <v>0</v>
      </c>
      <c r="AC464" s="49" t="s">
        <v>350</v>
      </c>
      <c r="AD464" s="158"/>
    </row>
    <row r="465" spans="1:30" s="157" customFormat="1" hidden="1" x14ac:dyDescent="0.2">
      <c r="A465" s="153">
        <f t="shared" si="6"/>
        <v>441</v>
      </c>
      <c r="B465" s="49">
        <v>1</v>
      </c>
      <c r="C465" s="49">
        <v>10</v>
      </c>
      <c r="D465" s="49">
        <v>35</v>
      </c>
      <c r="E465" s="166">
        <v>2022</v>
      </c>
      <c r="F465" s="49">
        <v>2032</v>
      </c>
      <c r="G465" s="49">
        <v>2</v>
      </c>
      <c r="H465" s="49">
        <v>35</v>
      </c>
      <c r="I465" s="49">
        <v>0</v>
      </c>
      <c r="J465" s="49">
        <v>0</v>
      </c>
      <c r="K465" s="49">
        <v>0</v>
      </c>
      <c r="L465" s="167">
        <v>4.5</v>
      </c>
      <c r="M465" s="168">
        <v>8525</v>
      </c>
      <c r="N465" s="168">
        <v>5550</v>
      </c>
      <c r="O465" s="51">
        <v>2558</v>
      </c>
      <c r="P465" s="51">
        <v>1665</v>
      </c>
      <c r="Q465" s="51">
        <v>920</v>
      </c>
      <c r="R465" s="51">
        <v>599</v>
      </c>
      <c r="S465" s="171">
        <v>0</v>
      </c>
      <c r="T465" s="171">
        <v>0</v>
      </c>
      <c r="U465" s="49" t="s">
        <v>226</v>
      </c>
      <c r="V465" s="49">
        <v>2015</v>
      </c>
      <c r="W465" s="49">
        <v>1</v>
      </c>
      <c r="X465" s="49">
        <v>0</v>
      </c>
      <c r="Y465" s="49">
        <v>-1.8E-3</v>
      </c>
      <c r="Z465" s="49">
        <v>-1.2E-2</v>
      </c>
      <c r="AA465" s="49">
        <v>0</v>
      </c>
      <c r="AB465" s="49">
        <v>0</v>
      </c>
      <c r="AC465" s="49" t="s">
        <v>350</v>
      </c>
      <c r="AD465" s="158"/>
    </row>
    <row r="466" spans="1:30" s="157" customFormat="1" x14ac:dyDescent="0.2">
      <c r="A466" s="153">
        <f t="shared" si="6"/>
        <v>442</v>
      </c>
      <c r="B466" s="49">
        <v>1</v>
      </c>
      <c r="C466" s="49">
        <v>10</v>
      </c>
      <c r="D466" s="49">
        <v>35</v>
      </c>
      <c r="E466" s="166">
        <v>2022</v>
      </c>
      <c r="F466" s="49">
        <v>2032</v>
      </c>
      <c r="G466" s="49">
        <v>3</v>
      </c>
      <c r="H466" s="49">
        <v>35</v>
      </c>
      <c r="I466" s="49">
        <v>0</v>
      </c>
      <c r="J466" s="49">
        <v>0</v>
      </c>
      <c r="K466" s="49">
        <v>0</v>
      </c>
      <c r="L466" s="167">
        <v>4.5</v>
      </c>
      <c r="M466" s="168">
        <v>8525</v>
      </c>
      <c r="N466" s="168">
        <v>5550</v>
      </c>
      <c r="O466" s="51">
        <v>2558</v>
      </c>
      <c r="P466" s="51">
        <v>1665</v>
      </c>
      <c r="Q466" s="51">
        <v>451</v>
      </c>
      <c r="R466" s="51">
        <v>293</v>
      </c>
      <c r="S466" s="171">
        <v>0</v>
      </c>
      <c r="T466" s="171">
        <v>0</v>
      </c>
      <c r="U466" s="49" t="s">
        <v>226</v>
      </c>
      <c r="V466" s="49">
        <v>2015</v>
      </c>
      <c r="W466" s="49">
        <v>1</v>
      </c>
      <c r="X466" s="49">
        <v>0</v>
      </c>
      <c r="Y466" s="49">
        <v>-1.8E-3</v>
      </c>
      <c r="Z466" s="49">
        <v>-1.2E-2</v>
      </c>
      <c r="AA466" s="49">
        <v>0</v>
      </c>
      <c r="AB466" s="49">
        <v>0</v>
      </c>
      <c r="AC466" s="49" t="s">
        <v>350</v>
      </c>
      <c r="AD466" s="158"/>
    </row>
    <row r="467" spans="1:30" s="157" customFormat="1" hidden="1" x14ac:dyDescent="0.2">
      <c r="A467" s="153">
        <f t="shared" si="6"/>
        <v>443</v>
      </c>
      <c r="B467" s="49">
        <v>1</v>
      </c>
      <c r="C467" s="49">
        <v>10</v>
      </c>
      <c r="D467" s="49">
        <v>35</v>
      </c>
      <c r="E467" s="166">
        <v>2022</v>
      </c>
      <c r="F467" s="49">
        <v>2032</v>
      </c>
      <c r="G467" s="49">
        <v>4</v>
      </c>
      <c r="H467" s="49">
        <v>35</v>
      </c>
      <c r="I467" s="49">
        <v>0</v>
      </c>
      <c r="J467" s="49">
        <v>0</v>
      </c>
      <c r="K467" s="49">
        <v>0</v>
      </c>
      <c r="L467" s="167">
        <v>4.5</v>
      </c>
      <c r="M467" s="168">
        <v>8525</v>
      </c>
      <c r="N467" s="168">
        <v>5550</v>
      </c>
      <c r="O467" s="51">
        <v>2558</v>
      </c>
      <c r="P467" s="51">
        <v>1665</v>
      </c>
      <c r="Q467" s="51">
        <v>397</v>
      </c>
      <c r="R467" s="51">
        <v>259</v>
      </c>
      <c r="S467" s="171">
        <v>0</v>
      </c>
      <c r="T467" s="171">
        <v>0</v>
      </c>
      <c r="U467" s="49" t="s">
        <v>226</v>
      </c>
      <c r="V467" s="49">
        <v>2015</v>
      </c>
      <c r="W467" s="49">
        <v>1</v>
      </c>
      <c r="X467" s="49">
        <v>0</v>
      </c>
      <c r="Y467" s="49">
        <v>-1.8E-3</v>
      </c>
      <c r="Z467" s="49">
        <v>-1.2E-2</v>
      </c>
      <c r="AA467" s="49">
        <v>0</v>
      </c>
      <c r="AB467" s="49">
        <v>0</v>
      </c>
      <c r="AC467" s="49" t="s">
        <v>350</v>
      </c>
      <c r="AD467" s="158"/>
    </row>
    <row r="468" spans="1:30" s="157" customFormat="1" hidden="1" x14ac:dyDescent="0.2">
      <c r="A468" s="153">
        <f t="shared" si="6"/>
        <v>444</v>
      </c>
      <c r="B468" s="49">
        <v>1</v>
      </c>
      <c r="C468" s="49">
        <v>10</v>
      </c>
      <c r="D468" s="49">
        <v>35</v>
      </c>
      <c r="E468" s="166">
        <v>2022</v>
      </c>
      <c r="F468" s="49">
        <v>2032</v>
      </c>
      <c r="G468" s="49">
        <v>5</v>
      </c>
      <c r="H468" s="49">
        <v>35</v>
      </c>
      <c r="I468" s="49">
        <v>0</v>
      </c>
      <c r="J468" s="49">
        <v>0</v>
      </c>
      <c r="K468" s="49">
        <v>0</v>
      </c>
      <c r="L468" s="167">
        <v>4.5</v>
      </c>
      <c r="M468" s="168">
        <v>8525</v>
      </c>
      <c r="N468" s="168">
        <v>5550</v>
      </c>
      <c r="O468" s="51">
        <v>2558</v>
      </c>
      <c r="P468" s="51">
        <v>1665</v>
      </c>
      <c r="Q468" s="51">
        <v>205</v>
      </c>
      <c r="R468" s="51">
        <v>134</v>
      </c>
      <c r="S468" s="171">
        <v>0</v>
      </c>
      <c r="T468" s="171">
        <v>0</v>
      </c>
      <c r="U468" s="49" t="s">
        <v>226</v>
      </c>
      <c r="V468" s="49">
        <v>2015</v>
      </c>
      <c r="W468" s="49">
        <v>1</v>
      </c>
      <c r="X468" s="49">
        <v>0</v>
      </c>
      <c r="Y468" s="49">
        <v>-1.8E-3</v>
      </c>
      <c r="Z468" s="49">
        <v>-1.2E-2</v>
      </c>
      <c r="AA468" s="49">
        <v>0</v>
      </c>
      <c r="AB468" s="49">
        <v>0</v>
      </c>
      <c r="AC468" s="49" t="s">
        <v>350</v>
      </c>
      <c r="AD468" s="158"/>
    </row>
    <row r="469" spans="1:30" s="157" customFormat="1" hidden="1" x14ac:dyDescent="0.2">
      <c r="A469" s="153">
        <f t="shared" si="6"/>
        <v>445</v>
      </c>
      <c r="B469" s="49">
        <v>1</v>
      </c>
      <c r="C469" s="49">
        <v>10</v>
      </c>
      <c r="D469" s="49">
        <v>35</v>
      </c>
      <c r="E469" s="166">
        <v>2022</v>
      </c>
      <c r="F469" s="49">
        <v>2032</v>
      </c>
      <c r="G469" s="49">
        <v>6</v>
      </c>
      <c r="H469" s="49">
        <v>35</v>
      </c>
      <c r="I469" s="49">
        <v>0</v>
      </c>
      <c r="J469" s="49">
        <v>0</v>
      </c>
      <c r="K469" s="49">
        <v>0</v>
      </c>
      <c r="L469" s="167">
        <v>4.5</v>
      </c>
      <c r="M469" s="168">
        <v>8525</v>
      </c>
      <c r="N469" s="168">
        <v>5550</v>
      </c>
      <c r="O469" s="51">
        <v>2558</v>
      </c>
      <c r="P469" s="51">
        <v>1665</v>
      </c>
      <c r="Q469" s="51">
        <v>41</v>
      </c>
      <c r="R469" s="51">
        <v>27</v>
      </c>
      <c r="S469" s="171">
        <v>0</v>
      </c>
      <c r="T469" s="171">
        <v>0</v>
      </c>
      <c r="U469" s="49" t="s">
        <v>226</v>
      </c>
      <c r="V469" s="49">
        <v>2015</v>
      </c>
      <c r="W469" s="49">
        <v>1</v>
      </c>
      <c r="X469" s="49">
        <v>0</v>
      </c>
      <c r="Y469" s="49">
        <v>-1.8E-3</v>
      </c>
      <c r="Z469" s="49">
        <v>-1.2E-2</v>
      </c>
      <c r="AA469" s="49">
        <v>0</v>
      </c>
      <c r="AB469" s="49">
        <v>0</v>
      </c>
      <c r="AC469" s="49" t="s">
        <v>350</v>
      </c>
      <c r="AD469" s="158"/>
    </row>
    <row r="470" spans="1:30" s="157" customFormat="1" hidden="1" x14ac:dyDescent="0.2">
      <c r="A470" s="153">
        <f t="shared" si="6"/>
        <v>446</v>
      </c>
      <c r="B470" s="49">
        <v>1</v>
      </c>
      <c r="C470" s="49">
        <v>10</v>
      </c>
      <c r="D470" s="49">
        <v>35</v>
      </c>
      <c r="E470" s="166">
        <v>2022</v>
      </c>
      <c r="F470" s="49">
        <v>2032</v>
      </c>
      <c r="G470" s="49">
        <v>7</v>
      </c>
      <c r="H470" s="49">
        <v>35</v>
      </c>
      <c r="I470" s="49">
        <v>0</v>
      </c>
      <c r="J470" s="49">
        <v>0</v>
      </c>
      <c r="K470" s="49">
        <v>0</v>
      </c>
      <c r="L470" s="167">
        <v>4.5</v>
      </c>
      <c r="M470" s="168">
        <v>8525</v>
      </c>
      <c r="N470" s="168">
        <v>5550</v>
      </c>
      <c r="O470" s="51">
        <v>2558</v>
      </c>
      <c r="P470" s="51">
        <v>1665</v>
      </c>
      <c r="Q470" s="51">
        <v>82</v>
      </c>
      <c r="R470" s="51">
        <v>53</v>
      </c>
      <c r="S470" s="171">
        <v>0</v>
      </c>
      <c r="T470" s="171">
        <v>0</v>
      </c>
      <c r="U470" s="49" t="s">
        <v>226</v>
      </c>
      <c r="V470" s="49">
        <v>2015</v>
      </c>
      <c r="W470" s="49">
        <v>1</v>
      </c>
      <c r="X470" s="49">
        <v>0</v>
      </c>
      <c r="Y470" s="49">
        <v>-1.8E-3</v>
      </c>
      <c r="Z470" s="49">
        <v>-1.2E-2</v>
      </c>
      <c r="AA470" s="49">
        <v>0</v>
      </c>
      <c r="AB470" s="49">
        <v>0</v>
      </c>
      <c r="AC470" s="49" t="s">
        <v>350</v>
      </c>
      <c r="AD470" s="158"/>
    </row>
    <row r="471" spans="1:30" s="157" customFormat="1" hidden="1" x14ac:dyDescent="0.2">
      <c r="A471" s="153">
        <f t="shared" si="6"/>
        <v>447</v>
      </c>
      <c r="B471" s="49">
        <v>1</v>
      </c>
      <c r="C471" s="49">
        <v>10</v>
      </c>
      <c r="D471" s="49">
        <v>35</v>
      </c>
      <c r="E471" s="166">
        <v>2022</v>
      </c>
      <c r="F471" s="49">
        <v>2032</v>
      </c>
      <c r="G471" s="49">
        <v>8</v>
      </c>
      <c r="H471" s="49">
        <v>35</v>
      </c>
      <c r="I471" s="49">
        <v>0</v>
      </c>
      <c r="J471" s="49">
        <v>0</v>
      </c>
      <c r="K471" s="49">
        <v>0</v>
      </c>
      <c r="L471" s="167">
        <v>4.5</v>
      </c>
      <c r="M471" s="168">
        <v>8525</v>
      </c>
      <c r="N471" s="168">
        <v>5550</v>
      </c>
      <c r="O471" s="51">
        <v>2558</v>
      </c>
      <c r="P471" s="51">
        <v>1665</v>
      </c>
      <c r="Q471" s="51">
        <v>305</v>
      </c>
      <c r="R471" s="51">
        <v>199</v>
      </c>
      <c r="S471" s="171">
        <v>0</v>
      </c>
      <c r="T471" s="171">
        <v>0</v>
      </c>
      <c r="U471" s="49" t="s">
        <v>226</v>
      </c>
      <c r="V471" s="49">
        <v>2015</v>
      </c>
      <c r="W471" s="49">
        <v>1</v>
      </c>
      <c r="X471" s="49">
        <v>0</v>
      </c>
      <c r="Y471" s="49">
        <v>-1.8E-3</v>
      </c>
      <c r="Z471" s="49">
        <v>-1.2E-2</v>
      </c>
      <c r="AA471" s="49">
        <v>0</v>
      </c>
      <c r="AB471" s="49">
        <v>0</v>
      </c>
      <c r="AC471" s="49" t="s">
        <v>350</v>
      </c>
      <c r="AD471" s="158"/>
    </row>
    <row r="472" spans="1:30" s="157" customFormat="1" hidden="1" x14ac:dyDescent="0.2">
      <c r="A472" s="153">
        <f t="shared" si="6"/>
        <v>448</v>
      </c>
      <c r="B472" s="49">
        <v>1</v>
      </c>
      <c r="C472" s="49">
        <v>10</v>
      </c>
      <c r="D472" s="49">
        <v>35</v>
      </c>
      <c r="E472" s="166">
        <v>2022</v>
      </c>
      <c r="F472" s="49">
        <v>2032</v>
      </c>
      <c r="G472" s="49">
        <v>9</v>
      </c>
      <c r="H472" s="49">
        <v>35</v>
      </c>
      <c r="I472" s="49">
        <v>0</v>
      </c>
      <c r="J472" s="49">
        <v>0</v>
      </c>
      <c r="K472" s="49">
        <v>0</v>
      </c>
      <c r="L472" s="167">
        <v>4.5</v>
      </c>
      <c r="M472" s="168">
        <v>8525</v>
      </c>
      <c r="N472" s="168">
        <v>5550</v>
      </c>
      <c r="O472" s="51">
        <v>2558</v>
      </c>
      <c r="P472" s="51">
        <v>1665</v>
      </c>
      <c r="Q472" s="51">
        <v>171</v>
      </c>
      <c r="R472" s="51">
        <v>111</v>
      </c>
      <c r="S472" s="171">
        <v>0</v>
      </c>
      <c r="T472" s="171">
        <v>0</v>
      </c>
      <c r="U472" s="49" t="s">
        <v>226</v>
      </c>
      <c r="V472" s="49">
        <v>2015</v>
      </c>
      <c r="W472" s="49">
        <v>1</v>
      </c>
      <c r="X472" s="49">
        <v>0</v>
      </c>
      <c r="Y472" s="49">
        <v>-1.8E-3</v>
      </c>
      <c r="Z472" s="49">
        <v>-1.2E-2</v>
      </c>
      <c r="AA472" s="49">
        <v>0</v>
      </c>
      <c r="AB472" s="49">
        <v>0</v>
      </c>
      <c r="AC472" s="49" t="s">
        <v>350</v>
      </c>
      <c r="AD472" s="158"/>
    </row>
    <row r="473" spans="1:30" customFormat="1" hidden="1" x14ac:dyDescent="0.2">
      <c r="A473" s="153">
        <f t="shared" si="6"/>
        <v>449</v>
      </c>
      <c r="B473" s="33">
        <v>1</v>
      </c>
      <c r="C473" s="33">
        <v>10</v>
      </c>
      <c r="D473" s="33">
        <v>35</v>
      </c>
      <c r="E473" s="143">
        <v>2033</v>
      </c>
      <c r="F473" s="159">
        <v>2033</v>
      </c>
      <c r="G473" s="33">
        <v>1</v>
      </c>
      <c r="H473" s="33">
        <v>35</v>
      </c>
      <c r="I473" s="33">
        <v>0</v>
      </c>
      <c r="J473" s="33">
        <v>0</v>
      </c>
      <c r="K473" s="33">
        <v>0</v>
      </c>
      <c r="L473" s="101">
        <v>4.5</v>
      </c>
      <c r="M473" s="108">
        <v>8525</v>
      </c>
      <c r="N473" s="108">
        <v>5550</v>
      </c>
      <c r="O473" s="142">
        <v>2217</v>
      </c>
      <c r="P473" s="142">
        <v>1443</v>
      </c>
      <c r="Q473" s="160">
        <v>1769</v>
      </c>
      <c r="R473" s="160">
        <v>1152</v>
      </c>
      <c r="S473" s="116">
        <v>0</v>
      </c>
      <c r="T473" s="116">
        <v>0</v>
      </c>
      <c r="U473" s="33" t="s">
        <v>226</v>
      </c>
      <c r="V473" s="33">
        <v>2015</v>
      </c>
      <c r="W473" s="33">
        <v>1</v>
      </c>
      <c r="X473" s="33">
        <v>0</v>
      </c>
      <c r="Y473" s="33">
        <v>-1.8E-3</v>
      </c>
      <c r="Z473" s="33">
        <v>-1.2E-2</v>
      </c>
      <c r="AA473" s="33">
        <v>0</v>
      </c>
      <c r="AB473" s="33">
        <v>0</v>
      </c>
      <c r="AC473" s="33" t="s">
        <v>350</v>
      </c>
      <c r="AD473" s="158"/>
    </row>
    <row r="474" spans="1:30" customFormat="1" hidden="1" x14ac:dyDescent="0.2">
      <c r="A474" s="153">
        <f t="shared" si="6"/>
        <v>450</v>
      </c>
      <c r="B474" s="33">
        <v>1</v>
      </c>
      <c r="C474" s="33">
        <v>10</v>
      </c>
      <c r="D474" s="33">
        <v>35</v>
      </c>
      <c r="E474" s="143">
        <v>2033</v>
      </c>
      <c r="F474" s="159">
        <v>2033</v>
      </c>
      <c r="G474" s="33">
        <v>2</v>
      </c>
      <c r="H474" s="33">
        <v>35</v>
      </c>
      <c r="I474" s="33">
        <v>0</v>
      </c>
      <c r="J474" s="33">
        <v>0</v>
      </c>
      <c r="K474" s="33">
        <v>0</v>
      </c>
      <c r="L474" s="101">
        <v>4.5</v>
      </c>
      <c r="M474" s="108">
        <v>8525</v>
      </c>
      <c r="N474" s="108">
        <v>5550</v>
      </c>
      <c r="O474" s="142">
        <v>2217</v>
      </c>
      <c r="P474" s="142">
        <v>1443</v>
      </c>
      <c r="Q474" s="160">
        <v>920</v>
      </c>
      <c r="R474" s="160">
        <v>599</v>
      </c>
      <c r="S474" s="116">
        <v>0</v>
      </c>
      <c r="T474" s="116">
        <v>0</v>
      </c>
      <c r="U474" s="33" t="s">
        <v>226</v>
      </c>
      <c r="V474" s="33">
        <v>2015</v>
      </c>
      <c r="W474" s="33">
        <v>1</v>
      </c>
      <c r="X474" s="33">
        <v>0</v>
      </c>
      <c r="Y474" s="33">
        <v>-1.8E-3</v>
      </c>
      <c r="Z474" s="33">
        <v>-1.2E-2</v>
      </c>
      <c r="AA474" s="33">
        <v>0</v>
      </c>
      <c r="AB474" s="33">
        <v>0</v>
      </c>
      <c r="AC474" s="33" t="s">
        <v>350</v>
      </c>
      <c r="AD474" s="158"/>
    </row>
    <row r="475" spans="1:30" customFormat="1" x14ac:dyDescent="0.2">
      <c r="A475" s="153">
        <f t="shared" ref="A475:A538" si="7">A474+1</f>
        <v>451</v>
      </c>
      <c r="B475" s="33">
        <v>1</v>
      </c>
      <c r="C475" s="33">
        <v>10</v>
      </c>
      <c r="D475" s="33">
        <v>35</v>
      </c>
      <c r="E475" s="143">
        <v>2033</v>
      </c>
      <c r="F475" s="159">
        <v>2033</v>
      </c>
      <c r="G475" s="33">
        <v>3</v>
      </c>
      <c r="H475" s="33">
        <v>35</v>
      </c>
      <c r="I475" s="33">
        <v>0</v>
      </c>
      <c r="J475" s="33">
        <v>0</v>
      </c>
      <c r="K475" s="33">
        <v>0</v>
      </c>
      <c r="L475" s="101">
        <v>4.5</v>
      </c>
      <c r="M475" s="108">
        <v>8525</v>
      </c>
      <c r="N475" s="108">
        <v>5550</v>
      </c>
      <c r="O475" s="142">
        <v>2217</v>
      </c>
      <c r="P475" s="142">
        <v>1443</v>
      </c>
      <c r="Q475" s="160">
        <v>451</v>
      </c>
      <c r="R475" s="160">
        <v>293</v>
      </c>
      <c r="S475" s="116">
        <v>0</v>
      </c>
      <c r="T475" s="116">
        <v>0</v>
      </c>
      <c r="U475" s="33" t="s">
        <v>226</v>
      </c>
      <c r="V475" s="33">
        <v>2015</v>
      </c>
      <c r="W475" s="33">
        <v>1</v>
      </c>
      <c r="X475" s="33">
        <v>0</v>
      </c>
      <c r="Y475" s="33">
        <v>-1.8E-3</v>
      </c>
      <c r="Z475" s="33">
        <v>-1.2E-2</v>
      </c>
      <c r="AA475" s="33">
        <v>0</v>
      </c>
      <c r="AB475" s="33">
        <v>0</v>
      </c>
      <c r="AC475" s="33" t="s">
        <v>350</v>
      </c>
      <c r="AD475" s="158"/>
    </row>
    <row r="476" spans="1:30" customFormat="1" hidden="1" x14ac:dyDescent="0.2">
      <c r="A476" s="153">
        <f t="shared" si="7"/>
        <v>452</v>
      </c>
      <c r="B476" s="33">
        <v>1</v>
      </c>
      <c r="C476" s="33">
        <v>10</v>
      </c>
      <c r="D476" s="33">
        <v>35</v>
      </c>
      <c r="E476" s="143">
        <v>2033</v>
      </c>
      <c r="F476" s="159">
        <v>2033</v>
      </c>
      <c r="G476" s="33">
        <v>4</v>
      </c>
      <c r="H476" s="33">
        <v>35</v>
      </c>
      <c r="I476" s="33">
        <v>0</v>
      </c>
      <c r="J476" s="33">
        <v>0</v>
      </c>
      <c r="K476" s="33">
        <v>0</v>
      </c>
      <c r="L476" s="101">
        <v>4.5</v>
      </c>
      <c r="M476" s="108">
        <v>8525</v>
      </c>
      <c r="N476" s="108">
        <v>5550</v>
      </c>
      <c r="O476" s="142">
        <v>2217</v>
      </c>
      <c r="P476" s="142">
        <v>1443</v>
      </c>
      <c r="Q476" s="160">
        <v>397</v>
      </c>
      <c r="R476" s="160">
        <v>259</v>
      </c>
      <c r="S476" s="116">
        <v>0</v>
      </c>
      <c r="T476" s="116">
        <v>0</v>
      </c>
      <c r="U476" s="33" t="s">
        <v>226</v>
      </c>
      <c r="V476" s="33">
        <v>2015</v>
      </c>
      <c r="W476" s="33">
        <v>1</v>
      </c>
      <c r="X476" s="33">
        <v>0</v>
      </c>
      <c r="Y476" s="33">
        <v>-1.8E-3</v>
      </c>
      <c r="Z476" s="33">
        <v>-1.2E-2</v>
      </c>
      <c r="AA476" s="33">
        <v>0</v>
      </c>
      <c r="AB476" s="33">
        <v>0</v>
      </c>
      <c r="AC476" s="33" t="s">
        <v>350</v>
      </c>
      <c r="AD476" s="158"/>
    </row>
    <row r="477" spans="1:30" customFormat="1" hidden="1" x14ac:dyDescent="0.2">
      <c r="A477" s="153">
        <f t="shared" si="7"/>
        <v>453</v>
      </c>
      <c r="B477" s="33">
        <v>1</v>
      </c>
      <c r="C477" s="33">
        <v>10</v>
      </c>
      <c r="D477" s="33">
        <v>35</v>
      </c>
      <c r="E477" s="143">
        <v>2033</v>
      </c>
      <c r="F477" s="159">
        <v>2033</v>
      </c>
      <c r="G477" s="33">
        <v>5</v>
      </c>
      <c r="H477" s="33">
        <v>35</v>
      </c>
      <c r="I477" s="33">
        <v>0</v>
      </c>
      <c r="J477" s="33">
        <v>0</v>
      </c>
      <c r="K477" s="33">
        <v>0</v>
      </c>
      <c r="L477" s="101">
        <v>4.5</v>
      </c>
      <c r="M477" s="108">
        <v>8525</v>
      </c>
      <c r="N477" s="108">
        <v>5550</v>
      </c>
      <c r="O477" s="142">
        <v>2217</v>
      </c>
      <c r="P477" s="142">
        <v>1443</v>
      </c>
      <c r="Q477" s="160">
        <v>205</v>
      </c>
      <c r="R477" s="160">
        <v>134</v>
      </c>
      <c r="S477" s="116">
        <v>0</v>
      </c>
      <c r="T477" s="116">
        <v>0</v>
      </c>
      <c r="U477" s="33" t="s">
        <v>226</v>
      </c>
      <c r="V477" s="33">
        <v>2015</v>
      </c>
      <c r="W477" s="33">
        <v>1</v>
      </c>
      <c r="X477" s="33">
        <v>0</v>
      </c>
      <c r="Y477" s="33">
        <v>-1.8E-3</v>
      </c>
      <c r="Z477" s="33">
        <v>-1.2E-2</v>
      </c>
      <c r="AA477" s="33">
        <v>0</v>
      </c>
      <c r="AB477" s="33">
        <v>0</v>
      </c>
      <c r="AC477" s="33" t="s">
        <v>350</v>
      </c>
      <c r="AD477" s="158"/>
    </row>
    <row r="478" spans="1:30" customFormat="1" hidden="1" x14ac:dyDescent="0.2">
      <c r="A478" s="153">
        <f t="shared" si="7"/>
        <v>454</v>
      </c>
      <c r="B478" s="33">
        <v>1</v>
      </c>
      <c r="C478" s="33">
        <v>10</v>
      </c>
      <c r="D478" s="33">
        <v>35</v>
      </c>
      <c r="E478" s="143">
        <v>2033</v>
      </c>
      <c r="F478" s="159">
        <v>2033</v>
      </c>
      <c r="G478" s="33">
        <v>6</v>
      </c>
      <c r="H478" s="33">
        <v>35</v>
      </c>
      <c r="I478" s="33">
        <v>0</v>
      </c>
      <c r="J478" s="33">
        <v>0</v>
      </c>
      <c r="K478" s="33">
        <v>0</v>
      </c>
      <c r="L478" s="101">
        <v>4.5</v>
      </c>
      <c r="M478" s="108">
        <v>8525</v>
      </c>
      <c r="N478" s="108">
        <v>5550</v>
      </c>
      <c r="O478" s="142">
        <v>2217</v>
      </c>
      <c r="P478" s="142">
        <v>1443</v>
      </c>
      <c r="Q478" s="160">
        <v>41</v>
      </c>
      <c r="R478" s="160">
        <v>27</v>
      </c>
      <c r="S478" s="116">
        <v>0</v>
      </c>
      <c r="T478" s="116">
        <v>0</v>
      </c>
      <c r="U478" s="33" t="s">
        <v>226</v>
      </c>
      <c r="V478" s="33">
        <v>2015</v>
      </c>
      <c r="W478" s="33">
        <v>1</v>
      </c>
      <c r="X478" s="33">
        <v>0</v>
      </c>
      <c r="Y478" s="33">
        <v>-1.8E-3</v>
      </c>
      <c r="Z478" s="33">
        <v>-1.2E-2</v>
      </c>
      <c r="AA478" s="33">
        <v>0</v>
      </c>
      <c r="AB478" s="33">
        <v>0</v>
      </c>
      <c r="AC478" s="33" t="s">
        <v>350</v>
      </c>
      <c r="AD478" s="158"/>
    </row>
    <row r="479" spans="1:30" customFormat="1" hidden="1" x14ac:dyDescent="0.2">
      <c r="A479" s="153">
        <f t="shared" si="7"/>
        <v>455</v>
      </c>
      <c r="B479" s="33">
        <v>1</v>
      </c>
      <c r="C479" s="33">
        <v>10</v>
      </c>
      <c r="D479" s="33">
        <v>35</v>
      </c>
      <c r="E479" s="143">
        <v>2033</v>
      </c>
      <c r="F479" s="159">
        <v>2033</v>
      </c>
      <c r="G479" s="33">
        <v>7</v>
      </c>
      <c r="H479" s="33">
        <v>35</v>
      </c>
      <c r="I479" s="33">
        <v>0</v>
      </c>
      <c r="J479" s="33">
        <v>0</v>
      </c>
      <c r="K479" s="33">
        <v>0</v>
      </c>
      <c r="L479" s="101">
        <v>4.5</v>
      </c>
      <c r="M479" s="108">
        <v>8525</v>
      </c>
      <c r="N479" s="108">
        <v>5550</v>
      </c>
      <c r="O479" s="142">
        <v>2217</v>
      </c>
      <c r="P479" s="142">
        <v>1443</v>
      </c>
      <c r="Q479" s="160">
        <v>82</v>
      </c>
      <c r="R479" s="160">
        <v>53</v>
      </c>
      <c r="S479" s="116">
        <v>0</v>
      </c>
      <c r="T479" s="116">
        <v>0</v>
      </c>
      <c r="U479" s="33" t="s">
        <v>226</v>
      </c>
      <c r="V479" s="33">
        <v>2015</v>
      </c>
      <c r="W479" s="33">
        <v>1</v>
      </c>
      <c r="X479" s="33">
        <v>0</v>
      </c>
      <c r="Y479" s="33">
        <v>-1.8E-3</v>
      </c>
      <c r="Z479" s="33">
        <v>-1.2E-2</v>
      </c>
      <c r="AA479" s="33">
        <v>0</v>
      </c>
      <c r="AB479" s="33">
        <v>0</v>
      </c>
      <c r="AC479" s="33" t="s">
        <v>350</v>
      </c>
      <c r="AD479" s="158"/>
    </row>
    <row r="480" spans="1:30" customFormat="1" hidden="1" x14ac:dyDescent="0.2">
      <c r="A480" s="153">
        <f t="shared" si="7"/>
        <v>456</v>
      </c>
      <c r="B480" s="33">
        <v>1</v>
      </c>
      <c r="C480" s="33">
        <v>10</v>
      </c>
      <c r="D480" s="33">
        <v>35</v>
      </c>
      <c r="E480" s="143">
        <v>2033</v>
      </c>
      <c r="F480" s="159">
        <v>2033</v>
      </c>
      <c r="G480" s="33">
        <v>8</v>
      </c>
      <c r="H480" s="33">
        <v>35</v>
      </c>
      <c r="I480" s="33">
        <v>0</v>
      </c>
      <c r="J480" s="33">
        <v>0</v>
      </c>
      <c r="K480" s="33">
        <v>0</v>
      </c>
      <c r="L480" s="101">
        <v>4.5</v>
      </c>
      <c r="M480" s="108">
        <v>8525</v>
      </c>
      <c r="N480" s="108">
        <v>5550</v>
      </c>
      <c r="O480" s="142">
        <v>2217</v>
      </c>
      <c r="P480" s="142">
        <v>1443</v>
      </c>
      <c r="Q480" s="160">
        <v>305</v>
      </c>
      <c r="R480" s="160">
        <v>199</v>
      </c>
      <c r="S480" s="116">
        <v>0</v>
      </c>
      <c r="T480" s="116">
        <v>0</v>
      </c>
      <c r="U480" s="33" t="s">
        <v>226</v>
      </c>
      <c r="V480" s="33">
        <v>2015</v>
      </c>
      <c r="W480" s="33">
        <v>1</v>
      </c>
      <c r="X480" s="33">
        <v>0</v>
      </c>
      <c r="Y480" s="33">
        <v>-1.8E-3</v>
      </c>
      <c r="Z480" s="33">
        <v>-1.2E-2</v>
      </c>
      <c r="AA480" s="33">
        <v>0</v>
      </c>
      <c r="AB480" s="33">
        <v>0</v>
      </c>
      <c r="AC480" s="33" t="s">
        <v>350</v>
      </c>
      <c r="AD480" s="158"/>
    </row>
    <row r="481" spans="1:30" customFormat="1" hidden="1" x14ac:dyDescent="0.2">
      <c r="A481" s="153">
        <f t="shared" si="7"/>
        <v>457</v>
      </c>
      <c r="B481" s="33">
        <v>1</v>
      </c>
      <c r="C481" s="33">
        <v>10</v>
      </c>
      <c r="D481" s="33">
        <v>35</v>
      </c>
      <c r="E481" s="143">
        <v>2033</v>
      </c>
      <c r="F481" s="159">
        <v>2033</v>
      </c>
      <c r="G481" s="33">
        <v>9</v>
      </c>
      <c r="H481" s="33">
        <v>35</v>
      </c>
      <c r="I481" s="33">
        <v>0</v>
      </c>
      <c r="J481" s="33">
        <v>0</v>
      </c>
      <c r="K481" s="33">
        <v>0</v>
      </c>
      <c r="L481" s="101">
        <v>4.5</v>
      </c>
      <c r="M481" s="108">
        <v>8525</v>
      </c>
      <c r="N481" s="108">
        <v>5550</v>
      </c>
      <c r="O481" s="142">
        <v>2217</v>
      </c>
      <c r="P481" s="142">
        <v>1443</v>
      </c>
      <c r="Q481" s="160">
        <v>171</v>
      </c>
      <c r="R481" s="160">
        <v>111</v>
      </c>
      <c r="S481" s="116">
        <v>0</v>
      </c>
      <c r="T481" s="116">
        <v>0</v>
      </c>
      <c r="U481" s="33" t="s">
        <v>226</v>
      </c>
      <c r="V481" s="33">
        <v>2015</v>
      </c>
      <c r="W481" s="33">
        <v>1</v>
      </c>
      <c r="X481" s="33">
        <v>0</v>
      </c>
      <c r="Y481" s="33">
        <v>-1.8E-3</v>
      </c>
      <c r="Z481" s="33">
        <v>-1.2E-2</v>
      </c>
      <c r="AA481" s="33">
        <v>0</v>
      </c>
      <c r="AB481" s="33">
        <v>0</v>
      </c>
      <c r="AC481" s="33" t="s">
        <v>350</v>
      </c>
      <c r="AD481" s="158"/>
    </row>
    <row r="482" spans="1:30" customFormat="1" hidden="1" x14ac:dyDescent="0.2">
      <c r="A482" s="153">
        <f t="shared" si="7"/>
        <v>458</v>
      </c>
      <c r="B482" s="33">
        <v>1</v>
      </c>
      <c r="C482" s="33">
        <v>10</v>
      </c>
      <c r="D482" s="33">
        <v>35</v>
      </c>
      <c r="E482" s="143">
        <v>2034</v>
      </c>
      <c r="F482" s="159">
        <v>2034</v>
      </c>
      <c r="G482" s="33">
        <v>1</v>
      </c>
      <c r="H482" s="33">
        <v>35</v>
      </c>
      <c r="I482" s="33">
        <v>0</v>
      </c>
      <c r="J482" s="33">
        <v>0</v>
      </c>
      <c r="K482" s="33">
        <v>0</v>
      </c>
      <c r="L482" s="101">
        <v>4.5</v>
      </c>
      <c r="M482" s="108">
        <v>8525</v>
      </c>
      <c r="N482" s="108">
        <v>5550</v>
      </c>
      <c r="O482" s="142">
        <v>1876</v>
      </c>
      <c r="P482" s="142">
        <v>1221</v>
      </c>
      <c r="Q482" s="141">
        <v>1769</v>
      </c>
      <c r="R482" s="141">
        <v>1152</v>
      </c>
      <c r="S482" s="116">
        <v>0</v>
      </c>
      <c r="T482" s="116">
        <v>0</v>
      </c>
      <c r="U482" s="33" t="s">
        <v>226</v>
      </c>
      <c r="V482" s="33">
        <v>2015</v>
      </c>
      <c r="W482" s="33">
        <v>1</v>
      </c>
      <c r="X482" s="33">
        <v>0</v>
      </c>
      <c r="Y482" s="33">
        <v>-1.8E-3</v>
      </c>
      <c r="Z482" s="33">
        <v>-1.2E-2</v>
      </c>
      <c r="AA482" s="33">
        <v>0</v>
      </c>
      <c r="AB482" s="33">
        <v>0</v>
      </c>
      <c r="AC482" s="33" t="s">
        <v>350</v>
      </c>
      <c r="AD482" s="158"/>
    </row>
    <row r="483" spans="1:30" customFormat="1" hidden="1" x14ac:dyDescent="0.2">
      <c r="A483" s="153">
        <f t="shared" si="7"/>
        <v>459</v>
      </c>
      <c r="B483" s="33">
        <v>1</v>
      </c>
      <c r="C483" s="33">
        <v>10</v>
      </c>
      <c r="D483" s="33">
        <v>35</v>
      </c>
      <c r="E483" s="143">
        <v>2034</v>
      </c>
      <c r="F483" s="159">
        <v>2034</v>
      </c>
      <c r="G483" s="33">
        <v>2</v>
      </c>
      <c r="H483" s="33">
        <v>35</v>
      </c>
      <c r="I483" s="33">
        <v>0</v>
      </c>
      <c r="J483" s="33">
        <v>0</v>
      </c>
      <c r="K483" s="33">
        <v>0</v>
      </c>
      <c r="L483" s="101">
        <v>4.5</v>
      </c>
      <c r="M483" s="108">
        <v>8525</v>
      </c>
      <c r="N483" s="108">
        <v>5550</v>
      </c>
      <c r="O483" s="142">
        <v>1876</v>
      </c>
      <c r="P483" s="142">
        <v>1221</v>
      </c>
      <c r="Q483" s="141">
        <v>920</v>
      </c>
      <c r="R483" s="141">
        <v>599</v>
      </c>
      <c r="S483" s="116">
        <v>0</v>
      </c>
      <c r="T483" s="116">
        <v>0</v>
      </c>
      <c r="U483" s="33" t="s">
        <v>226</v>
      </c>
      <c r="V483" s="33">
        <v>2015</v>
      </c>
      <c r="W483" s="33">
        <v>1</v>
      </c>
      <c r="X483" s="33">
        <v>0</v>
      </c>
      <c r="Y483" s="33">
        <v>-1.8E-3</v>
      </c>
      <c r="Z483" s="33">
        <v>-1.2E-2</v>
      </c>
      <c r="AA483" s="33">
        <v>0</v>
      </c>
      <c r="AB483" s="33">
        <v>0</v>
      </c>
      <c r="AC483" s="33" t="s">
        <v>350</v>
      </c>
      <c r="AD483" s="158"/>
    </row>
    <row r="484" spans="1:30" customFormat="1" x14ac:dyDescent="0.2">
      <c r="A484" s="153">
        <f t="shared" si="7"/>
        <v>460</v>
      </c>
      <c r="B484" s="33">
        <v>1</v>
      </c>
      <c r="C484" s="33">
        <v>10</v>
      </c>
      <c r="D484" s="33">
        <v>35</v>
      </c>
      <c r="E484" s="143">
        <v>2034</v>
      </c>
      <c r="F484" s="159">
        <v>2034</v>
      </c>
      <c r="G484" s="33">
        <v>3</v>
      </c>
      <c r="H484" s="33">
        <v>35</v>
      </c>
      <c r="I484" s="33">
        <v>0</v>
      </c>
      <c r="J484" s="33">
        <v>0</v>
      </c>
      <c r="K484" s="33">
        <v>0</v>
      </c>
      <c r="L484" s="101">
        <v>4.5</v>
      </c>
      <c r="M484" s="108">
        <v>8525</v>
      </c>
      <c r="N484" s="108">
        <v>5550</v>
      </c>
      <c r="O484" s="142">
        <v>1876</v>
      </c>
      <c r="P484" s="142">
        <v>1221</v>
      </c>
      <c r="Q484" s="141">
        <v>451</v>
      </c>
      <c r="R484" s="141">
        <v>293</v>
      </c>
      <c r="S484" s="116">
        <v>0</v>
      </c>
      <c r="T484" s="116">
        <v>0</v>
      </c>
      <c r="U484" s="33" t="s">
        <v>226</v>
      </c>
      <c r="V484" s="33">
        <v>2015</v>
      </c>
      <c r="W484" s="33">
        <v>1</v>
      </c>
      <c r="X484" s="33">
        <v>0</v>
      </c>
      <c r="Y484" s="33">
        <v>-1.8E-3</v>
      </c>
      <c r="Z484" s="33">
        <v>-1.2E-2</v>
      </c>
      <c r="AA484" s="33">
        <v>0</v>
      </c>
      <c r="AB484" s="33">
        <v>0</v>
      </c>
      <c r="AC484" s="33" t="s">
        <v>350</v>
      </c>
      <c r="AD484" s="158"/>
    </row>
    <row r="485" spans="1:30" hidden="1" x14ac:dyDescent="0.2">
      <c r="A485" s="153">
        <f t="shared" si="7"/>
        <v>461</v>
      </c>
      <c r="B485" s="33">
        <v>1</v>
      </c>
      <c r="C485" s="33">
        <v>10</v>
      </c>
      <c r="D485" s="33">
        <v>35</v>
      </c>
      <c r="E485" s="143">
        <v>2034</v>
      </c>
      <c r="F485" s="159">
        <v>2034</v>
      </c>
      <c r="G485" s="33">
        <v>4</v>
      </c>
      <c r="H485" s="33">
        <v>35</v>
      </c>
      <c r="I485" s="33">
        <v>0</v>
      </c>
      <c r="J485" s="33">
        <v>0</v>
      </c>
      <c r="K485" s="33">
        <v>0</v>
      </c>
      <c r="L485" s="101">
        <v>4.5</v>
      </c>
      <c r="M485" s="108">
        <v>8525</v>
      </c>
      <c r="N485" s="108">
        <v>5550</v>
      </c>
      <c r="O485" s="142">
        <v>1876</v>
      </c>
      <c r="P485" s="142">
        <v>1221</v>
      </c>
      <c r="Q485" s="141">
        <v>397</v>
      </c>
      <c r="R485" s="141">
        <v>259</v>
      </c>
      <c r="S485" s="116">
        <v>0</v>
      </c>
      <c r="T485" s="116">
        <v>0</v>
      </c>
      <c r="U485" s="33" t="s">
        <v>226</v>
      </c>
      <c r="V485" s="33">
        <v>2015</v>
      </c>
      <c r="W485" s="33">
        <v>1</v>
      </c>
      <c r="X485" s="33">
        <v>0</v>
      </c>
      <c r="Y485" s="33">
        <v>-1.8E-3</v>
      </c>
      <c r="Z485" s="33">
        <v>-1.2E-2</v>
      </c>
      <c r="AA485" s="33">
        <v>0</v>
      </c>
      <c r="AB485" s="33">
        <v>0</v>
      </c>
      <c r="AC485" s="33" t="s">
        <v>350</v>
      </c>
    </row>
    <row r="486" spans="1:30" hidden="1" x14ac:dyDescent="0.2">
      <c r="A486" s="153">
        <f t="shared" si="7"/>
        <v>462</v>
      </c>
      <c r="B486" s="33">
        <v>1</v>
      </c>
      <c r="C486" s="33">
        <v>10</v>
      </c>
      <c r="D486" s="33">
        <v>35</v>
      </c>
      <c r="E486" s="143">
        <v>2034</v>
      </c>
      <c r="F486" s="159">
        <v>2034</v>
      </c>
      <c r="G486" s="33">
        <v>5</v>
      </c>
      <c r="H486" s="33">
        <v>35</v>
      </c>
      <c r="I486" s="33">
        <v>0</v>
      </c>
      <c r="J486" s="33">
        <v>0</v>
      </c>
      <c r="K486" s="33">
        <v>0</v>
      </c>
      <c r="L486" s="101">
        <v>4.5</v>
      </c>
      <c r="M486" s="108">
        <v>8525</v>
      </c>
      <c r="N486" s="108">
        <v>5550</v>
      </c>
      <c r="O486" s="142">
        <v>1876</v>
      </c>
      <c r="P486" s="142">
        <v>1221</v>
      </c>
      <c r="Q486" s="141">
        <v>205</v>
      </c>
      <c r="R486" s="141">
        <v>134</v>
      </c>
      <c r="S486" s="116">
        <v>0</v>
      </c>
      <c r="T486" s="116">
        <v>0</v>
      </c>
      <c r="U486" s="33" t="s">
        <v>226</v>
      </c>
      <c r="V486" s="33">
        <v>2015</v>
      </c>
      <c r="W486" s="33">
        <v>1</v>
      </c>
      <c r="X486" s="33">
        <v>0</v>
      </c>
      <c r="Y486" s="33">
        <v>-1.8E-3</v>
      </c>
      <c r="Z486" s="33">
        <v>-1.2E-2</v>
      </c>
      <c r="AA486" s="33">
        <v>0</v>
      </c>
      <c r="AB486" s="33">
        <v>0</v>
      </c>
      <c r="AC486" s="33" t="s">
        <v>350</v>
      </c>
    </row>
    <row r="487" spans="1:30" hidden="1" x14ac:dyDescent="0.2">
      <c r="A487" s="153">
        <f t="shared" si="7"/>
        <v>463</v>
      </c>
      <c r="B487" s="33">
        <v>1</v>
      </c>
      <c r="C487" s="33">
        <v>10</v>
      </c>
      <c r="D487" s="33">
        <v>35</v>
      </c>
      <c r="E487" s="143">
        <v>2034</v>
      </c>
      <c r="F487" s="159">
        <v>2034</v>
      </c>
      <c r="G487" s="33">
        <v>6</v>
      </c>
      <c r="H487" s="33">
        <v>35</v>
      </c>
      <c r="I487" s="33">
        <v>0</v>
      </c>
      <c r="J487" s="33">
        <v>0</v>
      </c>
      <c r="K487" s="33">
        <v>0</v>
      </c>
      <c r="L487" s="101">
        <v>4.5</v>
      </c>
      <c r="M487" s="108">
        <v>8525</v>
      </c>
      <c r="N487" s="108">
        <v>5550</v>
      </c>
      <c r="O487" s="142">
        <v>1876</v>
      </c>
      <c r="P487" s="142">
        <v>1221</v>
      </c>
      <c r="Q487" s="141">
        <v>41</v>
      </c>
      <c r="R487" s="141">
        <v>27</v>
      </c>
      <c r="S487" s="116">
        <v>0</v>
      </c>
      <c r="T487" s="116">
        <v>0</v>
      </c>
      <c r="U487" s="33" t="s">
        <v>226</v>
      </c>
      <c r="V487" s="33">
        <v>2015</v>
      </c>
      <c r="W487" s="33">
        <v>1</v>
      </c>
      <c r="X487" s="33">
        <v>0</v>
      </c>
      <c r="Y487" s="33">
        <v>-1.8E-3</v>
      </c>
      <c r="Z487" s="33">
        <v>-1.2E-2</v>
      </c>
      <c r="AA487" s="33">
        <v>0</v>
      </c>
      <c r="AB487" s="33">
        <v>0</v>
      </c>
      <c r="AC487" s="33" t="s">
        <v>350</v>
      </c>
    </row>
    <row r="488" spans="1:30" hidden="1" x14ac:dyDescent="0.2">
      <c r="A488" s="153">
        <f t="shared" si="7"/>
        <v>464</v>
      </c>
      <c r="B488" s="33">
        <v>1</v>
      </c>
      <c r="C488" s="33">
        <v>10</v>
      </c>
      <c r="D488" s="33">
        <v>35</v>
      </c>
      <c r="E488" s="143">
        <v>2034</v>
      </c>
      <c r="F488" s="159">
        <v>2034</v>
      </c>
      <c r="G488" s="33">
        <v>7</v>
      </c>
      <c r="H488" s="33">
        <v>35</v>
      </c>
      <c r="I488" s="33">
        <v>0</v>
      </c>
      <c r="J488" s="33">
        <v>0</v>
      </c>
      <c r="K488" s="33">
        <v>0</v>
      </c>
      <c r="L488" s="101">
        <v>4.5</v>
      </c>
      <c r="M488" s="108">
        <v>8525</v>
      </c>
      <c r="N488" s="108">
        <v>5550</v>
      </c>
      <c r="O488" s="142">
        <v>1876</v>
      </c>
      <c r="P488" s="142">
        <v>1221</v>
      </c>
      <c r="Q488" s="141">
        <v>82</v>
      </c>
      <c r="R488" s="141">
        <v>53</v>
      </c>
      <c r="S488" s="116">
        <v>0</v>
      </c>
      <c r="T488" s="116">
        <v>0</v>
      </c>
      <c r="U488" s="33" t="s">
        <v>226</v>
      </c>
      <c r="V488" s="33">
        <v>2015</v>
      </c>
      <c r="W488" s="33">
        <v>1</v>
      </c>
      <c r="X488" s="33">
        <v>0</v>
      </c>
      <c r="Y488" s="33">
        <v>-1.8E-3</v>
      </c>
      <c r="Z488" s="33">
        <v>-1.2E-2</v>
      </c>
      <c r="AA488" s="33">
        <v>0</v>
      </c>
      <c r="AB488" s="33">
        <v>0</v>
      </c>
      <c r="AC488" s="33" t="s">
        <v>350</v>
      </c>
    </row>
    <row r="489" spans="1:30" hidden="1" x14ac:dyDescent="0.2">
      <c r="A489" s="153">
        <f t="shared" si="7"/>
        <v>465</v>
      </c>
      <c r="B489" s="33">
        <v>1</v>
      </c>
      <c r="C489" s="33">
        <v>10</v>
      </c>
      <c r="D489" s="33">
        <v>35</v>
      </c>
      <c r="E489" s="143">
        <v>2034</v>
      </c>
      <c r="F489" s="159">
        <v>2034</v>
      </c>
      <c r="G489" s="33">
        <v>8</v>
      </c>
      <c r="H489" s="33">
        <v>35</v>
      </c>
      <c r="I489" s="33">
        <v>0</v>
      </c>
      <c r="J489" s="33">
        <v>0</v>
      </c>
      <c r="K489" s="33">
        <v>0</v>
      </c>
      <c r="L489" s="101">
        <v>4.5</v>
      </c>
      <c r="M489" s="108">
        <v>8525</v>
      </c>
      <c r="N489" s="108">
        <v>5550</v>
      </c>
      <c r="O489" s="142">
        <v>1876</v>
      </c>
      <c r="P489" s="142">
        <v>1221</v>
      </c>
      <c r="Q489" s="141">
        <v>305</v>
      </c>
      <c r="R489" s="141">
        <v>199</v>
      </c>
      <c r="S489" s="116">
        <v>0</v>
      </c>
      <c r="T489" s="116">
        <v>0</v>
      </c>
      <c r="U489" s="33" t="s">
        <v>226</v>
      </c>
      <c r="V489" s="33">
        <v>2015</v>
      </c>
      <c r="W489" s="33">
        <v>1</v>
      </c>
      <c r="X489" s="33">
        <v>0</v>
      </c>
      <c r="Y489" s="33">
        <v>-1.8E-3</v>
      </c>
      <c r="Z489" s="33">
        <v>-1.2E-2</v>
      </c>
      <c r="AA489" s="33">
        <v>0</v>
      </c>
      <c r="AB489" s="33">
        <v>0</v>
      </c>
      <c r="AC489" s="33" t="s">
        <v>350</v>
      </c>
    </row>
    <row r="490" spans="1:30" hidden="1" x14ac:dyDescent="0.2">
      <c r="A490" s="153">
        <f t="shared" si="7"/>
        <v>466</v>
      </c>
      <c r="B490" s="33">
        <v>1</v>
      </c>
      <c r="C490" s="33">
        <v>10</v>
      </c>
      <c r="D490" s="33">
        <v>35</v>
      </c>
      <c r="E490" s="143">
        <v>2034</v>
      </c>
      <c r="F490" s="159">
        <v>2034</v>
      </c>
      <c r="G490" s="33">
        <v>9</v>
      </c>
      <c r="H490" s="33">
        <v>35</v>
      </c>
      <c r="I490" s="33">
        <v>0</v>
      </c>
      <c r="J490" s="33">
        <v>0</v>
      </c>
      <c r="K490" s="33">
        <v>0</v>
      </c>
      <c r="L490" s="101">
        <v>4.5</v>
      </c>
      <c r="M490" s="108">
        <v>8525</v>
      </c>
      <c r="N490" s="108">
        <v>5550</v>
      </c>
      <c r="O490" s="142">
        <v>1876</v>
      </c>
      <c r="P490" s="142">
        <v>1221</v>
      </c>
      <c r="Q490" s="141">
        <v>171</v>
      </c>
      <c r="R490" s="141">
        <v>111</v>
      </c>
      <c r="S490" s="116">
        <v>0</v>
      </c>
      <c r="T490" s="116">
        <v>0</v>
      </c>
      <c r="U490" s="33" t="s">
        <v>226</v>
      </c>
      <c r="V490" s="33">
        <v>2015</v>
      </c>
      <c r="W490" s="33">
        <v>1</v>
      </c>
      <c r="X490" s="33">
        <v>0</v>
      </c>
      <c r="Y490" s="33">
        <v>-1.8E-3</v>
      </c>
      <c r="Z490" s="33">
        <v>-1.2E-2</v>
      </c>
      <c r="AA490" s="33">
        <v>0</v>
      </c>
      <c r="AB490" s="33">
        <v>0</v>
      </c>
      <c r="AC490" s="33" t="s">
        <v>350</v>
      </c>
    </row>
    <row r="491" spans="1:30" customFormat="1" hidden="1" x14ac:dyDescent="0.2">
      <c r="A491" s="153">
        <f t="shared" si="7"/>
        <v>467</v>
      </c>
      <c r="B491" s="33">
        <v>1</v>
      </c>
      <c r="C491" s="33">
        <v>10</v>
      </c>
      <c r="D491" s="33">
        <v>35</v>
      </c>
      <c r="E491" s="143">
        <v>2035</v>
      </c>
      <c r="F491" s="33">
        <v>2050</v>
      </c>
      <c r="G491" s="33">
        <v>1</v>
      </c>
      <c r="H491" s="33">
        <v>35</v>
      </c>
      <c r="I491" s="33">
        <v>0</v>
      </c>
      <c r="J491" s="33">
        <v>0</v>
      </c>
      <c r="K491" s="33">
        <v>0</v>
      </c>
      <c r="L491" s="101">
        <v>4.5</v>
      </c>
      <c r="M491" s="108">
        <v>8525</v>
      </c>
      <c r="N491" s="108">
        <v>5550</v>
      </c>
      <c r="O491" s="142">
        <v>0</v>
      </c>
      <c r="P491" s="142">
        <v>0</v>
      </c>
      <c r="Q491" s="141">
        <v>1769</v>
      </c>
      <c r="R491" s="141">
        <v>1152</v>
      </c>
      <c r="S491" s="116">
        <v>0</v>
      </c>
      <c r="T491" s="116">
        <v>0</v>
      </c>
      <c r="U491" s="33" t="s">
        <v>226</v>
      </c>
      <c r="V491" s="33">
        <v>2015</v>
      </c>
      <c r="W491" s="33">
        <v>1</v>
      </c>
      <c r="X491" s="33">
        <v>0</v>
      </c>
      <c r="Y491" s="33">
        <v>-1.8E-3</v>
      </c>
      <c r="Z491" s="33">
        <v>-1.2E-2</v>
      </c>
      <c r="AA491" s="33">
        <v>0</v>
      </c>
      <c r="AB491" s="33">
        <v>0</v>
      </c>
      <c r="AC491" s="33" t="s">
        <v>350</v>
      </c>
      <c r="AD491" s="158"/>
    </row>
    <row r="492" spans="1:30" customFormat="1" hidden="1" x14ac:dyDescent="0.2">
      <c r="A492" s="153">
        <f t="shared" si="7"/>
        <v>468</v>
      </c>
      <c r="B492" s="33">
        <v>1</v>
      </c>
      <c r="C492" s="33">
        <v>10</v>
      </c>
      <c r="D492" s="33">
        <v>35</v>
      </c>
      <c r="E492" s="143">
        <v>2035</v>
      </c>
      <c r="F492" s="33">
        <v>2050</v>
      </c>
      <c r="G492" s="33">
        <v>2</v>
      </c>
      <c r="H492" s="33">
        <v>35</v>
      </c>
      <c r="I492" s="33">
        <v>0</v>
      </c>
      <c r="J492" s="33">
        <v>0</v>
      </c>
      <c r="K492" s="33">
        <v>0</v>
      </c>
      <c r="L492" s="101">
        <v>4.5</v>
      </c>
      <c r="M492" s="108">
        <v>8525</v>
      </c>
      <c r="N492" s="108">
        <v>5550</v>
      </c>
      <c r="O492" s="142">
        <v>0</v>
      </c>
      <c r="P492" s="142">
        <v>0</v>
      </c>
      <c r="Q492" s="141">
        <v>920</v>
      </c>
      <c r="R492" s="141">
        <v>599</v>
      </c>
      <c r="S492" s="116">
        <v>0</v>
      </c>
      <c r="T492" s="116">
        <v>0</v>
      </c>
      <c r="U492" s="33" t="s">
        <v>226</v>
      </c>
      <c r="V492" s="33">
        <v>2015</v>
      </c>
      <c r="W492" s="33">
        <v>1</v>
      </c>
      <c r="X492" s="33">
        <v>0</v>
      </c>
      <c r="Y492" s="33">
        <v>-1.8E-3</v>
      </c>
      <c r="Z492" s="33">
        <v>-1.2E-2</v>
      </c>
      <c r="AA492" s="33">
        <v>0</v>
      </c>
      <c r="AB492" s="33">
        <v>0</v>
      </c>
      <c r="AC492" s="33" t="s">
        <v>350</v>
      </c>
      <c r="AD492" s="158"/>
    </row>
    <row r="493" spans="1:30" customFormat="1" x14ac:dyDescent="0.2">
      <c r="A493" s="153">
        <f t="shared" si="7"/>
        <v>469</v>
      </c>
      <c r="B493" s="33">
        <v>1</v>
      </c>
      <c r="C493" s="33">
        <v>10</v>
      </c>
      <c r="D493" s="33">
        <v>35</v>
      </c>
      <c r="E493" s="143">
        <v>2035</v>
      </c>
      <c r="F493" s="33">
        <v>2050</v>
      </c>
      <c r="G493" s="33">
        <v>3</v>
      </c>
      <c r="H493" s="33">
        <v>35</v>
      </c>
      <c r="I493" s="33">
        <v>0</v>
      </c>
      <c r="J493" s="33">
        <v>0</v>
      </c>
      <c r="K493" s="33">
        <v>0</v>
      </c>
      <c r="L493" s="101">
        <v>4.5</v>
      </c>
      <c r="M493" s="108">
        <v>8525</v>
      </c>
      <c r="N493" s="108">
        <v>5550</v>
      </c>
      <c r="O493" s="142">
        <v>0</v>
      </c>
      <c r="P493" s="142">
        <v>0</v>
      </c>
      <c r="Q493" s="141">
        <v>451</v>
      </c>
      <c r="R493" s="141">
        <v>293</v>
      </c>
      <c r="S493" s="116">
        <v>0</v>
      </c>
      <c r="T493" s="116">
        <v>0</v>
      </c>
      <c r="U493" s="33" t="s">
        <v>226</v>
      </c>
      <c r="V493" s="33">
        <v>2015</v>
      </c>
      <c r="W493" s="33">
        <v>1</v>
      </c>
      <c r="X493" s="33">
        <v>0</v>
      </c>
      <c r="Y493" s="33">
        <v>-1.8E-3</v>
      </c>
      <c r="Z493" s="33">
        <v>-1.2E-2</v>
      </c>
      <c r="AA493" s="33">
        <v>0</v>
      </c>
      <c r="AB493" s="33">
        <v>0</v>
      </c>
      <c r="AC493" s="33" t="s">
        <v>350</v>
      </c>
      <c r="AD493" s="158"/>
    </row>
    <row r="494" spans="1:30" customFormat="1" hidden="1" x14ac:dyDescent="0.2">
      <c r="A494" s="153">
        <f t="shared" si="7"/>
        <v>470</v>
      </c>
      <c r="B494" s="33">
        <v>1</v>
      </c>
      <c r="C494" s="33">
        <v>10</v>
      </c>
      <c r="D494" s="33">
        <v>35</v>
      </c>
      <c r="E494" s="143">
        <v>2035</v>
      </c>
      <c r="F494" s="33">
        <v>2050</v>
      </c>
      <c r="G494" s="33">
        <v>4</v>
      </c>
      <c r="H494" s="33">
        <v>35</v>
      </c>
      <c r="I494" s="33">
        <v>0</v>
      </c>
      <c r="J494" s="33">
        <v>0</v>
      </c>
      <c r="K494" s="33">
        <v>0</v>
      </c>
      <c r="L494" s="101">
        <v>4.5</v>
      </c>
      <c r="M494" s="108">
        <v>8525</v>
      </c>
      <c r="N494" s="108">
        <v>5550</v>
      </c>
      <c r="O494" s="142">
        <v>0</v>
      </c>
      <c r="P494" s="142">
        <v>0</v>
      </c>
      <c r="Q494" s="141">
        <v>397</v>
      </c>
      <c r="R494" s="141">
        <v>259</v>
      </c>
      <c r="S494" s="116">
        <v>0</v>
      </c>
      <c r="T494" s="116">
        <v>0</v>
      </c>
      <c r="U494" s="33" t="s">
        <v>226</v>
      </c>
      <c r="V494" s="33">
        <v>2015</v>
      </c>
      <c r="W494" s="33">
        <v>1</v>
      </c>
      <c r="X494" s="33">
        <v>0</v>
      </c>
      <c r="Y494" s="33">
        <v>-1.8E-3</v>
      </c>
      <c r="Z494" s="33">
        <v>-1.2E-2</v>
      </c>
      <c r="AA494" s="33">
        <v>0</v>
      </c>
      <c r="AB494" s="33">
        <v>0</v>
      </c>
      <c r="AC494" s="33" t="s">
        <v>350</v>
      </c>
      <c r="AD494" s="158"/>
    </row>
    <row r="495" spans="1:30" customFormat="1" hidden="1" x14ac:dyDescent="0.2">
      <c r="A495" s="153">
        <f t="shared" si="7"/>
        <v>471</v>
      </c>
      <c r="B495" s="33">
        <v>1</v>
      </c>
      <c r="C495" s="33">
        <v>10</v>
      </c>
      <c r="D495" s="33">
        <v>35</v>
      </c>
      <c r="E495" s="143">
        <v>2035</v>
      </c>
      <c r="F495" s="33">
        <v>2050</v>
      </c>
      <c r="G495" s="33">
        <v>5</v>
      </c>
      <c r="H495" s="33">
        <v>35</v>
      </c>
      <c r="I495" s="33">
        <v>0</v>
      </c>
      <c r="J495" s="33">
        <v>0</v>
      </c>
      <c r="K495" s="33">
        <v>0</v>
      </c>
      <c r="L495" s="101">
        <v>4.5</v>
      </c>
      <c r="M495" s="108">
        <v>8525</v>
      </c>
      <c r="N495" s="108">
        <v>5550</v>
      </c>
      <c r="O495" s="142">
        <v>0</v>
      </c>
      <c r="P495" s="142">
        <v>0</v>
      </c>
      <c r="Q495" s="141">
        <v>205</v>
      </c>
      <c r="R495" s="141">
        <v>134</v>
      </c>
      <c r="S495" s="116">
        <v>0</v>
      </c>
      <c r="T495" s="116">
        <v>0</v>
      </c>
      <c r="U495" s="33" t="s">
        <v>226</v>
      </c>
      <c r="V495" s="33">
        <v>2015</v>
      </c>
      <c r="W495" s="33">
        <v>1</v>
      </c>
      <c r="X495" s="33">
        <v>0</v>
      </c>
      <c r="Y495" s="33">
        <v>-1.8E-3</v>
      </c>
      <c r="Z495" s="33">
        <v>-1.2E-2</v>
      </c>
      <c r="AA495" s="33">
        <v>0</v>
      </c>
      <c r="AB495" s="33">
        <v>0</v>
      </c>
      <c r="AC495" s="33" t="s">
        <v>350</v>
      </c>
      <c r="AD495" s="158"/>
    </row>
    <row r="496" spans="1:30" customFormat="1" hidden="1" x14ac:dyDescent="0.2">
      <c r="A496" s="153">
        <f t="shared" si="7"/>
        <v>472</v>
      </c>
      <c r="B496" s="33">
        <v>1</v>
      </c>
      <c r="C496" s="33">
        <v>10</v>
      </c>
      <c r="D496" s="33">
        <v>35</v>
      </c>
      <c r="E496" s="143">
        <v>2035</v>
      </c>
      <c r="F496" s="33">
        <v>2050</v>
      </c>
      <c r="G496" s="33">
        <v>6</v>
      </c>
      <c r="H496" s="33">
        <v>35</v>
      </c>
      <c r="I496" s="33">
        <v>0</v>
      </c>
      <c r="J496" s="33">
        <v>0</v>
      </c>
      <c r="K496" s="33">
        <v>0</v>
      </c>
      <c r="L496" s="101">
        <v>4.5</v>
      </c>
      <c r="M496" s="108">
        <v>8525</v>
      </c>
      <c r="N496" s="108">
        <v>5550</v>
      </c>
      <c r="O496" s="142">
        <v>0</v>
      </c>
      <c r="P496" s="142">
        <v>0</v>
      </c>
      <c r="Q496" s="141">
        <v>41</v>
      </c>
      <c r="R496" s="141">
        <v>27</v>
      </c>
      <c r="S496" s="116">
        <v>0</v>
      </c>
      <c r="T496" s="116">
        <v>0</v>
      </c>
      <c r="U496" s="33" t="s">
        <v>226</v>
      </c>
      <c r="V496" s="33">
        <v>2015</v>
      </c>
      <c r="W496" s="33">
        <v>1</v>
      </c>
      <c r="X496" s="33">
        <v>0</v>
      </c>
      <c r="Y496" s="33">
        <v>-1.8E-3</v>
      </c>
      <c r="Z496" s="33">
        <v>-1.2E-2</v>
      </c>
      <c r="AA496" s="33">
        <v>0</v>
      </c>
      <c r="AB496" s="33">
        <v>0</v>
      </c>
      <c r="AC496" s="33" t="s">
        <v>350</v>
      </c>
      <c r="AD496" s="158"/>
    </row>
    <row r="497" spans="1:30" customFormat="1" hidden="1" x14ac:dyDescent="0.2">
      <c r="A497" s="153">
        <f t="shared" si="7"/>
        <v>473</v>
      </c>
      <c r="B497" s="33">
        <v>1</v>
      </c>
      <c r="C497" s="33">
        <v>10</v>
      </c>
      <c r="D497" s="33">
        <v>35</v>
      </c>
      <c r="E497" s="143">
        <v>2035</v>
      </c>
      <c r="F497" s="33">
        <v>2050</v>
      </c>
      <c r="G497" s="33">
        <v>7</v>
      </c>
      <c r="H497" s="33">
        <v>35</v>
      </c>
      <c r="I497" s="33">
        <v>0</v>
      </c>
      <c r="J497" s="33">
        <v>0</v>
      </c>
      <c r="K497" s="33">
        <v>0</v>
      </c>
      <c r="L497" s="101">
        <v>4.5</v>
      </c>
      <c r="M497" s="108">
        <v>8525</v>
      </c>
      <c r="N497" s="108">
        <v>5550</v>
      </c>
      <c r="O497" s="142">
        <v>0</v>
      </c>
      <c r="P497" s="142">
        <v>0</v>
      </c>
      <c r="Q497" s="141">
        <v>82</v>
      </c>
      <c r="R497" s="141">
        <v>53</v>
      </c>
      <c r="S497" s="116">
        <v>0</v>
      </c>
      <c r="T497" s="116">
        <v>0</v>
      </c>
      <c r="U497" s="33" t="s">
        <v>226</v>
      </c>
      <c r="V497" s="33">
        <v>2015</v>
      </c>
      <c r="W497" s="33">
        <v>1</v>
      </c>
      <c r="X497" s="33">
        <v>0</v>
      </c>
      <c r="Y497" s="33">
        <v>-1.8E-3</v>
      </c>
      <c r="Z497" s="33">
        <v>-1.2E-2</v>
      </c>
      <c r="AA497" s="33">
        <v>0</v>
      </c>
      <c r="AB497" s="33">
        <v>0</v>
      </c>
      <c r="AC497" s="33" t="s">
        <v>350</v>
      </c>
      <c r="AD497" s="158"/>
    </row>
    <row r="498" spans="1:30" customFormat="1" hidden="1" x14ac:dyDescent="0.2">
      <c r="A498" s="153">
        <f t="shared" si="7"/>
        <v>474</v>
      </c>
      <c r="B498" s="33">
        <v>1</v>
      </c>
      <c r="C498" s="33">
        <v>10</v>
      </c>
      <c r="D498" s="33">
        <v>35</v>
      </c>
      <c r="E498" s="143">
        <v>2035</v>
      </c>
      <c r="F498" s="33">
        <v>2050</v>
      </c>
      <c r="G498" s="33">
        <v>8</v>
      </c>
      <c r="H498" s="33">
        <v>35</v>
      </c>
      <c r="I498" s="33">
        <v>0</v>
      </c>
      <c r="J498" s="33">
        <v>0</v>
      </c>
      <c r="K498" s="33">
        <v>0</v>
      </c>
      <c r="L498" s="101">
        <v>4.5</v>
      </c>
      <c r="M498" s="108">
        <v>8525</v>
      </c>
      <c r="N498" s="108">
        <v>5550</v>
      </c>
      <c r="O498" s="142">
        <v>0</v>
      </c>
      <c r="P498" s="142">
        <v>0</v>
      </c>
      <c r="Q498" s="141">
        <v>305</v>
      </c>
      <c r="R498" s="141">
        <v>199</v>
      </c>
      <c r="S498" s="116">
        <v>0</v>
      </c>
      <c r="T498" s="116">
        <v>0</v>
      </c>
      <c r="U498" s="33" t="s">
        <v>226</v>
      </c>
      <c r="V498" s="33">
        <v>2015</v>
      </c>
      <c r="W498" s="33">
        <v>1</v>
      </c>
      <c r="X498" s="33">
        <v>0</v>
      </c>
      <c r="Y498" s="33">
        <v>-1.8E-3</v>
      </c>
      <c r="Z498" s="33">
        <v>-1.2E-2</v>
      </c>
      <c r="AA498" s="33">
        <v>0</v>
      </c>
      <c r="AB498" s="33">
        <v>0</v>
      </c>
      <c r="AC498" s="33" t="s">
        <v>350</v>
      </c>
      <c r="AD498" s="158"/>
    </row>
    <row r="499" spans="1:30" customFormat="1" hidden="1" x14ac:dyDescent="0.2">
      <c r="A499" s="153">
        <f t="shared" si="7"/>
        <v>475</v>
      </c>
      <c r="B499" s="33">
        <v>1</v>
      </c>
      <c r="C499" s="33">
        <v>10</v>
      </c>
      <c r="D499" s="33">
        <v>35</v>
      </c>
      <c r="E499" s="143">
        <v>2035</v>
      </c>
      <c r="F499" s="33">
        <v>2050</v>
      </c>
      <c r="G499" s="33">
        <v>9</v>
      </c>
      <c r="H499" s="33">
        <v>35</v>
      </c>
      <c r="I499" s="33">
        <v>0</v>
      </c>
      <c r="J499" s="33">
        <v>0</v>
      </c>
      <c r="K499" s="33">
        <v>0</v>
      </c>
      <c r="L499" s="101">
        <v>4.5</v>
      </c>
      <c r="M499" s="108">
        <v>8525</v>
      </c>
      <c r="N499" s="108">
        <v>5550</v>
      </c>
      <c r="O499" s="142">
        <v>0</v>
      </c>
      <c r="P499" s="142">
        <v>0</v>
      </c>
      <c r="Q499" s="141">
        <v>171</v>
      </c>
      <c r="R499" s="141">
        <v>111</v>
      </c>
      <c r="S499" s="116">
        <v>0</v>
      </c>
      <c r="T499" s="116">
        <v>0</v>
      </c>
      <c r="U499" s="33" t="s">
        <v>226</v>
      </c>
      <c r="V499" s="33">
        <v>2015</v>
      </c>
      <c r="W499" s="33">
        <v>1</v>
      </c>
      <c r="X499" s="33">
        <v>0</v>
      </c>
      <c r="Y499" s="33">
        <v>-1.8E-3</v>
      </c>
      <c r="Z499" s="33">
        <v>-1.2E-2</v>
      </c>
      <c r="AA499" s="33">
        <v>0</v>
      </c>
      <c r="AB499" s="33">
        <v>0</v>
      </c>
      <c r="AC499" s="33" t="s">
        <v>350</v>
      </c>
      <c r="AD499" s="158"/>
    </row>
    <row r="500" spans="1:30" s="139" customFormat="1" hidden="1" x14ac:dyDescent="0.2">
      <c r="A500" s="153">
        <f t="shared" si="7"/>
        <v>476</v>
      </c>
      <c r="B500" s="33">
        <v>1</v>
      </c>
      <c r="C500" s="33">
        <v>11</v>
      </c>
      <c r="D500" s="33">
        <v>36</v>
      </c>
      <c r="E500" s="104">
        <v>2016</v>
      </c>
      <c r="F500" s="33">
        <v>2019</v>
      </c>
      <c r="G500" s="33">
        <v>11</v>
      </c>
      <c r="H500" s="33">
        <v>36</v>
      </c>
      <c r="I500" s="33">
        <v>0</v>
      </c>
      <c r="J500" s="33">
        <v>0</v>
      </c>
      <c r="K500" s="33">
        <v>0</v>
      </c>
      <c r="L500" s="101">
        <v>1.3</v>
      </c>
      <c r="M500" s="108">
        <v>6800</v>
      </c>
      <c r="N500" s="108">
        <v>11600</v>
      </c>
      <c r="O500" s="142">
        <v>0</v>
      </c>
      <c r="P500" s="142">
        <v>0</v>
      </c>
      <c r="Q500" s="142">
        <v>0</v>
      </c>
      <c r="R500" s="142">
        <v>0</v>
      </c>
      <c r="S500" s="116">
        <v>0</v>
      </c>
      <c r="T500" s="116">
        <v>0</v>
      </c>
      <c r="U500" s="33" t="s">
        <v>226</v>
      </c>
      <c r="V500" s="33">
        <v>2015</v>
      </c>
      <c r="W500" s="33">
        <v>1</v>
      </c>
      <c r="X500" s="33">
        <v>0</v>
      </c>
      <c r="Y500" s="33">
        <v>-1.8E-3</v>
      </c>
      <c r="Z500" s="33">
        <v>-1.2E-2</v>
      </c>
      <c r="AA500" s="33">
        <v>0</v>
      </c>
      <c r="AB500" s="33">
        <v>0</v>
      </c>
      <c r="AC500" s="33" t="s">
        <v>351</v>
      </c>
      <c r="AD500" s="158"/>
    </row>
    <row r="501" spans="1:30" s="139" customFormat="1" hidden="1" x14ac:dyDescent="0.2">
      <c r="A501" s="153">
        <f t="shared" si="7"/>
        <v>477</v>
      </c>
      <c r="B501" s="33">
        <v>1</v>
      </c>
      <c r="C501" s="33">
        <v>11</v>
      </c>
      <c r="D501" s="33">
        <v>36</v>
      </c>
      <c r="E501" s="104">
        <v>2020</v>
      </c>
      <c r="F501" s="33">
        <v>2050</v>
      </c>
      <c r="G501" s="33">
        <v>11</v>
      </c>
      <c r="H501" s="33">
        <v>36</v>
      </c>
      <c r="I501" s="33">
        <v>0</v>
      </c>
      <c r="J501" s="33">
        <v>0</v>
      </c>
      <c r="K501" s="33">
        <v>0</v>
      </c>
      <c r="L501" s="101">
        <v>1.3</v>
      </c>
      <c r="M501" s="108">
        <v>6800</v>
      </c>
      <c r="N501" s="108">
        <v>11600</v>
      </c>
      <c r="O501" s="142">
        <v>0</v>
      </c>
      <c r="P501" s="142">
        <v>0</v>
      </c>
      <c r="Q501" s="142">
        <v>0</v>
      </c>
      <c r="R501" s="142">
        <v>0</v>
      </c>
      <c r="S501" s="116">
        <v>0</v>
      </c>
      <c r="T501" s="116">
        <v>0</v>
      </c>
      <c r="U501" s="33" t="s">
        <v>226</v>
      </c>
      <c r="V501" s="33">
        <v>2015</v>
      </c>
      <c r="W501" s="33">
        <v>1</v>
      </c>
      <c r="X501" s="33">
        <v>0</v>
      </c>
      <c r="Y501" s="33">
        <v>-1.8E-3</v>
      </c>
      <c r="Z501" s="33">
        <v>-1.2E-2</v>
      </c>
      <c r="AA501" s="33">
        <v>0</v>
      </c>
      <c r="AB501" s="33">
        <v>0</v>
      </c>
      <c r="AC501" s="33" t="s">
        <v>351</v>
      </c>
      <c r="AD501" s="158"/>
    </row>
    <row r="502" spans="1:30" customFormat="1" hidden="1" x14ac:dyDescent="0.2">
      <c r="A502" s="153">
        <f t="shared" si="7"/>
        <v>478</v>
      </c>
      <c r="B502" s="33">
        <v>2</v>
      </c>
      <c r="C502" s="33">
        <v>1</v>
      </c>
      <c r="D502" s="33">
        <v>1</v>
      </c>
      <c r="E502" s="104">
        <v>2016</v>
      </c>
      <c r="F502" s="33">
        <v>2050</v>
      </c>
      <c r="G502" s="33">
        <v>11</v>
      </c>
      <c r="H502" s="33">
        <v>37</v>
      </c>
      <c r="I502" s="33">
        <v>-1</v>
      </c>
      <c r="J502" s="33">
        <v>0</v>
      </c>
      <c r="K502" s="33">
        <v>0</v>
      </c>
      <c r="L502" s="101">
        <v>3.1946072684642441</v>
      </c>
      <c r="M502" s="108">
        <v>620</v>
      </c>
      <c r="N502" s="108">
        <v>535</v>
      </c>
      <c r="O502" s="142">
        <v>0</v>
      </c>
      <c r="P502" s="142">
        <v>0</v>
      </c>
      <c r="Q502" s="142">
        <v>0</v>
      </c>
      <c r="R502" s="142">
        <v>0</v>
      </c>
      <c r="S502" s="116">
        <v>0</v>
      </c>
      <c r="T502" s="116">
        <v>0</v>
      </c>
      <c r="U502" s="33" t="s">
        <v>226</v>
      </c>
      <c r="V502" s="33">
        <v>2015</v>
      </c>
      <c r="W502" s="33">
        <v>1</v>
      </c>
      <c r="X502" s="33">
        <v>0</v>
      </c>
      <c r="Y502" s="33">
        <v>-5.0000000000000001E-3</v>
      </c>
      <c r="Z502" s="33">
        <v>-1.2E-2</v>
      </c>
      <c r="AA502" s="33">
        <v>0</v>
      </c>
      <c r="AB502" s="33">
        <v>0</v>
      </c>
      <c r="AC502" s="33" t="s">
        <v>375</v>
      </c>
      <c r="AD502" s="158"/>
    </row>
    <row r="503" spans="1:30" customFormat="1" hidden="1" x14ac:dyDescent="0.2">
      <c r="A503" s="153">
        <f t="shared" si="7"/>
        <v>479</v>
      </c>
      <c r="B503" s="33">
        <v>2</v>
      </c>
      <c r="C503" s="33">
        <v>1</v>
      </c>
      <c r="D503" s="33">
        <v>2</v>
      </c>
      <c r="E503" s="104">
        <v>2016</v>
      </c>
      <c r="F503" s="33">
        <v>2029</v>
      </c>
      <c r="G503" s="33">
        <v>11</v>
      </c>
      <c r="H503" s="33">
        <v>38</v>
      </c>
      <c r="I503" s="33">
        <v>-1</v>
      </c>
      <c r="J503" s="33">
        <v>0</v>
      </c>
      <c r="K503" s="33">
        <v>0</v>
      </c>
      <c r="L503" s="101">
        <v>3.5169988276670576</v>
      </c>
      <c r="M503" s="108">
        <v>640</v>
      </c>
      <c r="N503" s="108">
        <v>555</v>
      </c>
      <c r="O503" s="142">
        <v>0</v>
      </c>
      <c r="P503" s="142">
        <v>0</v>
      </c>
      <c r="Q503" s="142">
        <v>0</v>
      </c>
      <c r="R503" s="142">
        <v>0</v>
      </c>
      <c r="S503" s="116">
        <v>0</v>
      </c>
      <c r="T503" s="116">
        <v>0</v>
      </c>
      <c r="U503" s="33" t="s">
        <v>226</v>
      </c>
      <c r="V503" s="33">
        <v>2015</v>
      </c>
      <c r="W503" s="33">
        <v>1</v>
      </c>
      <c r="X503" s="33">
        <v>0</v>
      </c>
      <c r="Y503" s="33">
        <v>-5.0000000000000001E-3</v>
      </c>
      <c r="Z503" s="33">
        <v>-1.2E-2</v>
      </c>
      <c r="AA503" s="33">
        <v>0</v>
      </c>
      <c r="AB503" s="33">
        <v>0</v>
      </c>
      <c r="AC503" s="33" t="s">
        <v>376</v>
      </c>
      <c r="AD503" s="158"/>
    </row>
    <row r="504" spans="1:30" customFormat="1" hidden="1" x14ac:dyDescent="0.2">
      <c r="A504" s="153">
        <f t="shared" si="7"/>
        <v>480</v>
      </c>
      <c r="B504" s="33">
        <v>2</v>
      </c>
      <c r="C504" s="33">
        <v>1</v>
      </c>
      <c r="D504" s="33">
        <v>2</v>
      </c>
      <c r="E504" s="104">
        <v>2030</v>
      </c>
      <c r="F504" s="33">
        <v>2039</v>
      </c>
      <c r="G504" s="33">
        <v>11</v>
      </c>
      <c r="H504" s="33">
        <v>38</v>
      </c>
      <c r="I504" s="33">
        <v>-1</v>
      </c>
      <c r="J504" s="33">
        <v>0</v>
      </c>
      <c r="K504" s="33">
        <v>0</v>
      </c>
      <c r="L504" s="101">
        <v>3.5902696365767879</v>
      </c>
      <c r="M504" s="108">
        <v>640</v>
      </c>
      <c r="N504" s="108">
        <v>555</v>
      </c>
      <c r="O504" s="142">
        <v>0</v>
      </c>
      <c r="P504" s="142">
        <v>0</v>
      </c>
      <c r="Q504" s="149">
        <v>0</v>
      </c>
      <c r="R504" s="149">
        <v>0</v>
      </c>
      <c r="S504" s="116">
        <v>0</v>
      </c>
      <c r="T504" s="116">
        <v>0</v>
      </c>
      <c r="U504" s="33" t="s">
        <v>226</v>
      </c>
      <c r="V504" s="33">
        <v>2015</v>
      </c>
      <c r="W504" s="33">
        <v>1</v>
      </c>
      <c r="X504" s="33">
        <v>0</v>
      </c>
      <c r="Y504" s="33">
        <v>-5.0000000000000001E-3</v>
      </c>
      <c r="Z504" s="33">
        <v>-1.2E-2</v>
      </c>
      <c r="AA504" s="33">
        <v>0</v>
      </c>
      <c r="AB504" s="33">
        <v>0</v>
      </c>
      <c r="AC504" s="33" t="s">
        <v>376</v>
      </c>
      <c r="AD504" s="158"/>
    </row>
    <row r="505" spans="1:30" customFormat="1" hidden="1" x14ac:dyDescent="0.2">
      <c r="A505" s="153">
        <f t="shared" si="7"/>
        <v>481</v>
      </c>
      <c r="B505" s="33">
        <v>2</v>
      </c>
      <c r="C505" s="33">
        <v>1</v>
      </c>
      <c r="D505" s="33">
        <v>2</v>
      </c>
      <c r="E505" s="104">
        <v>2040</v>
      </c>
      <c r="F505" s="33">
        <v>2050</v>
      </c>
      <c r="G505" s="33">
        <v>11</v>
      </c>
      <c r="H505" s="33">
        <v>38</v>
      </c>
      <c r="I505" s="33">
        <v>-1</v>
      </c>
      <c r="J505" s="33">
        <v>0</v>
      </c>
      <c r="K505" s="33">
        <v>0</v>
      </c>
      <c r="L505" s="101">
        <v>3.6635404454865181</v>
      </c>
      <c r="M505" s="108">
        <v>640</v>
      </c>
      <c r="N505" s="108">
        <v>555</v>
      </c>
      <c r="O505" s="142">
        <v>0</v>
      </c>
      <c r="P505" s="142">
        <v>0</v>
      </c>
      <c r="Q505" s="149">
        <v>0</v>
      </c>
      <c r="R505" s="149">
        <v>0</v>
      </c>
      <c r="S505" s="116">
        <v>0</v>
      </c>
      <c r="T505" s="116">
        <v>0</v>
      </c>
      <c r="U505" s="33" t="s">
        <v>226</v>
      </c>
      <c r="V505" s="33">
        <v>2015</v>
      </c>
      <c r="W505" s="33">
        <v>1</v>
      </c>
      <c r="X505" s="33">
        <v>0</v>
      </c>
      <c r="Y505" s="33">
        <v>-5.0000000000000001E-3</v>
      </c>
      <c r="Z505" s="33">
        <v>-1.2E-2</v>
      </c>
      <c r="AA505" s="33">
        <v>0</v>
      </c>
      <c r="AB505" s="33">
        <v>0</v>
      </c>
      <c r="AC505" s="33" t="s">
        <v>376</v>
      </c>
      <c r="AD505" s="158"/>
    </row>
    <row r="506" spans="1:30" customFormat="1" hidden="1" x14ac:dyDescent="0.2">
      <c r="A506" s="153">
        <f t="shared" si="7"/>
        <v>482</v>
      </c>
      <c r="B506" s="33">
        <v>2</v>
      </c>
      <c r="C506" s="33">
        <v>1</v>
      </c>
      <c r="D506" s="33">
        <v>3</v>
      </c>
      <c r="E506" s="104">
        <v>2016</v>
      </c>
      <c r="F506" s="33">
        <v>2050</v>
      </c>
      <c r="G506" s="33">
        <v>11</v>
      </c>
      <c r="H506" s="33">
        <v>39</v>
      </c>
      <c r="I506" s="33">
        <v>-1</v>
      </c>
      <c r="J506" s="33">
        <v>0</v>
      </c>
      <c r="K506" s="33">
        <v>0</v>
      </c>
      <c r="L506" s="101">
        <v>3.5169988276670576</v>
      </c>
      <c r="M506" s="108">
        <v>640</v>
      </c>
      <c r="N506" s="108">
        <v>555</v>
      </c>
      <c r="O506" s="142">
        <v>0</v>
      </c>
      <c r="P506" s="142">
        <v>0</v>
      </c>
      <c r="Q506" s="142">
        <v>0</v>
      </c>
      <c r="R506" s="142">
        <v>0</v>
      </c>
      <c r="S506" s="116">
        <v>0</v>
      </c>
      <c r="T506" s="116">
        <v>0</v>
      </c>
      <c r="U506" s="33" t="s">
        <v>226</v>
      </c>
      <c r="V506" s="33">
        <v>2015</v>
      </c>
      <c r="W506" s="33">
        <v>1</v>
      </c>
      <c r="X506" s="33">
        <v>0</v>
      </c>
      <c r="Y506" s="33">
        <v>-5.0000000000000001E-3</v>
      </c>
      <c r="Z506" s="33">
        <v>-1.2E-2</v>
      </c>
      <c r="AA506" s="33">
        <v>0</v>
      </c>
      <c r="AB506" s="33">
        <v>0</v>
      </c>
      <c r="AC506" s="33" t="s">
        <v>377</v>
      </c>
      <c r="AD506" s="158"/>
    </row>
    <row r="507" spans="1:30" customFormat="1" hidden="1" x14ac:dyDescent="0.2">
      <c r="A507" s="153">
        <f t="shared" si="7"/>
        <v>483</v>
      </c>
      <c r="B507" s="33">
        <v>2</v>
      </c>
      <c r="C507" s="33">
        <v>1</v>
      </c>
      <c r="D507" s="33">
        <v>4</v>
      </c>
      <c r="E507" s="104">
        <v>2016</v>
      </c>
      <c r="F507" s="33">
        <v>2050</v>
      </c>
      <c r="G507" s="33">
        <v>11</v>
      </c>
      <c r="H507" s="33">
        <v>40</v>
      </c>
      <c r="I507" s="33">
        <v>-1</v>
      </c>
      <c r="J507" s="33">
        <v>0</v>
      </c>
      <c r="K507" s="33">
        <v>0</v>
      </c>
      <c r="L507" s="101">
        <v>3.6049237983587341</v>
      </c>
      <c r="M507" s="108">
        <v>705</v>
      </c>
      <c r="N507" s="108">
        <v>620</v>
      </c>
      <c r="O507" s="142">
        <v>0</v>
      </c>
      <c r="P507" s="142">
        <v>0</v>
      </c>
      <c r="Q507" s="142">
        <v>0</v>
      </c>
      <c r="R507" s="142">
        <v>0</v>
      </c>
      <c r="S507" s="116">
        <v>0</v>
      </c>
      <c r="T507" s="116">
        <v>0</v>
      </c>
      <c r="U507" s="33" t="s">
        <v>226</v>
      </c>
      <c r="V507" s="33">
        <v>2015</v>
      </c>
      <c r="W507" s="33">
        <v>1</v>
      </c>
      <c r="X507" s="33">
        <v>0</v>
      </c>
      <c r="Y507" s="33">
        <v>-5.0000000000000001E-3</v>
      </c>
      <c r="Z507" s="33">
        <v>-1.2E-2</v>
      </c>
      <c r="AA507" s="33">
        <v>0</v>
      </c>
      <c r="AB507" s="33">
        <v>0</v>
      </c>
      <c r="AC507" s="33" t="s">
        <v>378</v>
      </c>
      <c r="AD507" s="158"/>
    </row>
    <row r="508" spans="1:30" customFormat="1" hidden="1" x14ac:dyDescent="0.2">
      <c r="A508" s="153">
        <f t="shared" si="7"/>
        <v>484</v>
      </c>
      <c r="B508" s="33">
        <v>2</v>
      </c>
      <c r="C508" s="33">
        <v>1</v>
      </c>
      <c r="D508" s="33">
        <v>4</v>
      </c>
      <c r="E508" s="104">
        <v>2022</v>
      </c>
      <c r="F508" s="33">
        <v>2050</v>
      </c>
      <c r="G508" s="33">
        <v>11</v>
      </c>
      <c r="H508" s="33">
        <v>40</v>
      </c>
      <c r="I508" s="33">
        <v>-1</v>
      </c>
      <c r="J508" s="33">
        <v>0</v>
      </c>
      <c r="K508" s="33">
        <v>0</v>
      </c>
      <c r="L508" s="101">
        <v>3.6635404454865181</v>
      </c>
      <c r="M508" s="108">
        <v>705</v>
      </c>
      <c r="N508" s="108">
        <v>620</v>
      </c>
      <c r="O508" s="142">
        <v>0</v>
      </c>
      <c r="P508" s="142">
        <v>0</v>
      </c>
      <c r="Q508" s="149">
        <v>0</v>
      </c>
      <c r="R508" s="149">
        <v>0</v>
      </c>
      <c r="S508" s="116">
        <v>0</v>
      </c>
      <c r="T508" s="116">
        <v>0</v>
      </c>
      <c r="U508" s="33" t="s">
        <v>226</v>
      </c>
      <c r="V508" s="33">
        <v>2015</v>
      </c>
      <c r="W508" s="33">
        <v>1</v>
      </c>
      <c r="X508" s="33">
        <v>0</v>
      </c>
      <c r="Y508" s="33">
        <v>-5.0000000000000001E-3</v>
      </c>
      <c r="Z508" s="33">
        <v>-1.2E-2</v>
      </c>
      <c r="AA508" s="33">
        <v>0</v>
      </c>
      <c r="AB508" s="33">
        <v>0</v>
      </c>
      <c r="AC508" s="33" t="s">
        <v>378</v>
      </c>
      <c r="AD508" s="158"/>
    </row>
    <row r="509" spans="1:30" customFormat="1" hidden="1" x14ac:dyDescent="0.2">
      <c r="A509" s="153">
        <f t="shared" si="7"/>
        <v>485</v>
      </c>
      <c r="B509" s="33">
        <v>2</v>
      </c>
      <c r="C509" s="33">
        <v>1</v>
      </c>
      <c r="D509" s="33">
        <v>4</v>
      </c>
      <c r="E509" s="104">
        <v>2030</v>
      </c>
      <c r="F509" s="33">
        <v>2039</v>
      </c>
      <c r="G509" s="33">
        <v>11</v>
      </c>
      <c r="H509" s="33">
        <v>40</v>
      </c>
      <c r="I509" s="33">
        <v>-1</v>
      </c>
      <c r="J509" s="33">
        <v>0</v>
      </c>
      <c r="K509" s="33">
        <v>0</v>
      </c>
      <c r="L509" s="101">
        <v>3.8100820633059791</v>
      </c>
      <c r="M509" s="108">
        <v>705</v>
      </c>
      <c r="N509" s="108">
        <v>620</v>
      </c>
      <c r="O509" s="142">
        <v>0</v>
      </c>
      <c r="P509" s="142">
        <v>0</v>
      </c>
      <c r="Q509" s="149">
        <v>0</v>
      </c>
      <c r="R509" s="149">
        <v>0</v>
      </c>
      <c r="S509" s="116">
        <v>0</v>
      </c>
      <c r="T509" s="116">
        <v>0</v>
      </c>
      <c r="U509" s="33" t="s">
        <v>226</v>
      </c>
      <c r="V509" s="33">
        <v>2015</v>
      </c>
      <c r="W509" s="33">
        <v>1</v>
      </c>
      <c r="X509" s="33">
        <v>0</v>
      </c>
      <c r="Y509" s="33">
        <v>-5.0000000000000001E-3</v>
      </c>
      <c r="Z509" s="33">
        <v>-1.2E-2</v>
      </c>
      <c r="AA509" s="33">
        <v>0</v>
      </c>
      <c r="AB509" s="33">
        <v>0</v>
      </c>
      <c r="AC509" s="33" t="s">
        <v>378</v>
      </c>
      <c r="AD509" s="158"/>
    </row>
    <row r="510" spans="1:30" customFormat="1" hidden="1" x14ac:dyDescent="0.2">
      <c r="A510" s="153">
        <f t="shared" si="7"/>
        <v>486</v>
      </c>
      <c r="B510" s="33">
        <v>2</v>
      </c>
      <c r="C510" s="33">
        <v>1</v>
      </c>
      <c r="D510" s="33">
        <v>4</v>
      </c>
      <c r="E510" s="104">
        <v>2040</v>
      </c>
      <c r="F510" s="33">
        <v>2050</v>
      </c>
      <c r="G510" s="33">
        <v>11</v>
      </c>
      <c r="H510" s="33">
        <v>40</v>
      </c>
      <c r="I510" s="33">
        <v>-1</v>
      </c>
      <c r="J510" s="33">
        <v>0</v>
      </c>
      <c r="K510" s="33">
        <v>0</v>
      </c>
      <c r="L510" s="101">
        <v>3.9566236811254396</v>
      </c>
      <c r="M510" s="108">
        <v>705</v>
      </c>
      <c r="N510" s="108">
        <v>620</v>
      </c>
      <c r="O510" s="142">
        <v>0</v>
      </c>
      <c r="P510" s="142">
        <v>0</v>
      </c>
      <c r="Q510" s="149">
        <v>0</v>
      </c>
      <c r="R510" s="149">
        <v>0</v>
      </c>
      <c r="S510" s="116">
        <v>0</v>
      </c>
      <c r="T510" s="116">
        <v>0</v>
      </c>
      <c r="U510" s="33" t="s">
        <v>226</v>
      </c>
      <c r="V510" s="33">
        <v>2015</v>
      </c>
      <c r="W510" s="33">
        <v>1</v>
      </c>
      <c r="X510" s="33">
        <v>0</v>
      </c>
      <c r="Y510" s="33">
        <v>-5.0000000000000001E-3</v>
      </c>
      <c r="Z510" s="33">
        <v>-1.2E-2</v>
      </c>
      <c r="AA510" s="33">
        <v>0</v>
      </c>
      <c r="AB510" s="33">
        <v>0</v>
      </c>
      <c r="AC510" s="33" t="s">
        <v>378</v>
      </c>
      <c r="AD510" s="158"/>
    </row>
    <row r="511" spans="1:30" customFormat="1" hidden="1" x14ac:dyDescent="0.2">
      <c r="A511" s="153">
        <f t="shared" si="7"/>
        <v>487</v>
      </c>
      <c r="B511" s="33">
        <v>2</v>
      </c>
      <c r="C511" s="33">
        <v>2</v>
      </c>
      <c r="D511" s="33">
        <v>5</v>
      </c>
      <c r="E511" s="104">
        <v>2016</v>
      </c>
      <c r="F511" s="33">
        <v>2022</v>
      </c>
      <c r="G511" s="33">
        <v>1</v>
      </c>
      <c r="H511" s="33">
        <v>41</v>
      </c>
      <c r="I511" s="33">
        <v>0</v>
      </c>
      <c r="J511" s="33">
        <v>0</v>
      </c>
      <c r="K511" s="33">
        <v>0</v>
      </c>
      <c r="L511" s="101">
        <v>3.8100820633059791</v>
      </c>
      <c r="M511" s="108">
        <v>3550</v>
      </c>
      <c r="N511" s="108">
        <v>2200</v>
      </c>
      <c r="O511" s="142">
        <v>0</v>
      </c>
      <c r="P511" s="142">
        <v>0</v>
      </c>
      <c r="Q511" s="142">
        <v>0</v>
      </c>
      <c r="R511" s="142">
        <v>0</v>
      </c>
      <c r="S511" s="116">
        <v>0</v>
      </c>
      <c r="T511" s="116">
        <v>0</v>
      </c>
      <c r="U511" s="33" t="s">
        <v>226</v>
      </c>
      <c r="V511" s="33">
        <v>2015</v>
      </c>
      <c r="W511" s="33">
        <v>1</v>
      </c>
      <c r="X511" s="33">
        <v>0</v>
      </c>
      <c r="Y511" s="33">
        <v>-1.8E-3</v>
      </c>
      <c r="Z511" s="33">
        <v>-1.2E-2</v>
      </c>
      <c r="AA511" s="33">
        <v>0</v>
      </c>
      <c r="AB511" s="33">
        <v>0</v>
      </c>
      <c r="AC511" s="33" t="s">
        <v>360</v>
      </c>
      <c r="AD511" s="158"/>
    </row>
    <row r="512" spans="1:30" customFormat="1" hidden="1" x14ac:dyDescent="0.2">
      <c r="A512" s="153">
        <f t="shared" si="7"/>
        <v>488</v>
      </c>
      <c r="B512" s="33">
        <v>2</v>
      </c>
      <c r="C512" s="33">
        <v>2</v>
      </c>
      <c r="D512" s="33">
        <v>5</v>
      </c>
      <c r="E512" s="104">
        <v>2016</v>
      </c>
      <c r="F512" s="33">
        <v>2022</v>
      </c>
      <c r="G512" s="33">
        <v>2</v>
      </c>
      <c r="H512" s="33">
        <v>41</v>
      </c>
      <c r="I512" s="33">
        <v>0</v>
      </c>
      <c r="J512" s="33">
        <v>0</v>
      </c>
      <c r="K512" s="33">
        <v>0</v>
      </c>
      <c r="L512" s="101">
        <v>3.8100820633059791</v>
      </c>
      <c r="M512" s="108">
        <v>3550</v>
      </c>
      <c r="N512" s="108">
        <v>2200</v>
      </c>
      <c r="O512" s="142">
        <v>0</v>
      </c>
      <c r="P512" s="142">
        <v>0</v>
      </c>
      <c r="Q512" s="142">
        <v>0</v>
      </c>
      <c r="R512" s="142">
        <v>0</v>
      </c>
      <c r="S512" s="116">
        <v>0</v>
      </c>
      <c r="T512" s="116">
        <v>0</v>
      </c>
      <c r="U512" s="33" t="s">
        <v>226</v>
      </c>
      <c r="V512" s="33">
        <v>2015</v>
      </c>
      <c r="W512" s="33">
        <v>1</v>
      </c>
      <c r="X512" s="33">
        <v>0</v>
      </c>
      <c r="Y512" s="33">
        <v>-1.8E-3</v>
      </c>
      <c r="Z512" s="33">
        <v>-1.2E-2</v>
      </c>
      <c r="AA512" s="33">
        <v>0</v>
      </c>
      <c r="AB512" s="33">
        <v>0</v>
      </c>
      <c r="AC512" s="33" t="s">
        <v>360</v>
      </c>
      <c r="AD512" s="158"/>
    </row>
    <row r="513" spans="1:30" customFormat="1" x14ac:dyDescent="0.2">
      <c r="A513" s="153">
        <f t="shared" si="7"/>
        <v>489</v>
      </c>
      <c r="B513" s="33">
        <v>2</v>
      </c>
      <c r="C513" s="33">
        <v>2</v>
      </c>
      <c r="D513" s="33">
        <v>5</v>
      </c>
      <c r="E513" s="104">
        <v>2016</v>
      </c>
      <c r="F513" s="33">
        <v>2022</v>
      </c>
      <c r="G513" s="33">
        <v>3</v>
      </c>
      <c r="H513" s="33">
        <v>41</v>
      </c>
      <c r="I513" s="33">
        <v>0</v>
      </c>
      <c r="J513" s="33">
        <v>0</v>
      </c>
      <c r="K513" s="33">
        <v>0</v>
      </c>
      <c r="L513" s="101">
        <v>3.8100820633059791</v>
      </c>
      <c r="M513" s="108">
        <v>3550</v>
      </c>
      <c r="N513" s="108">
        <v>2200</v>
      </c>
      <c r="O513" s="142">
        <v>0</v>
      </c>
      <c r="P513" s="142">
        <v>0</v>
      </c>
      <c r="Q513" s="142">
        <v>0</v>
      </c>
      <c r="R513" s="142">
        <v>0</v>
      </c>
      <c r="S513" s="116">
        <v>0</v>
      </c>
      <c r="T513" s="116">
        <v>0</v>
      </c>
      <c r="U513" s="33" t="s">
        <v>226</v>
      </c>
      <c r="V513" s="33">
        <v>2015</v>
      </c>
      <c r="W513" s="33">
        <v>1</v>
      </c>
      <c r="X513" s="33">
        <v>0</v>
      </c>
      <c r="Y513" s="33">
        <v>-1.8E-3</v>
      </c>
      <c r="Z513" s="33">
        <v>-1.2E-2</v>
      </c>
      <c r="AA513" s="33">
        <v>0</v>
      </c>
      <c r="AB513" s="33">
        <v>0</v>
      </c>
      <c r="AC513" s="33" t="s">
        <v>360</v>
      </c>
      <c r="AD513" s="158"/>
    </row>
    <row r="514" spans="1:30" customFormat="1" hidden="1" x14ac:dyDescent="0.2">
      <c r="A514" s="153">
        <f t="shared" si="7"/>
        <v>490</v>
      </c>
      <c r="B514" s="33">
        <v>2</v>
      </c>
      <c r="C514" s="33">
        <v>2</v>
      </c>
      <c r="D514" s="33">
        <v>5</v>
      </c>
      <c r="E514" s="104">
        <v>2016</v>
      </c>
      <c r="F514" s="33">
        <v>2022</v>
      </c>
      <c r="G514" s="33">
        <v>4</v>
      </c>
      <c r="H514" s="33">
        <v>41</v>
      </c>
      <c r="I514" s="33">
        <v>0</v>
      </c>
      <c r="J514" s="33">
        <v>0</v>
      </c>
      <c r="K514" s="33">
        <v>0</v>
      </c>
      <c r="L514" s="101">
        <v>3.8100820633059791</v>
      </c>
      <c r="M514" s="108">
        <v>3550</v>
      </c>
      <c r="N514" s="108">
        <v>2200</v>
      </c>
      <c r="O514" s="142">
        <v>0</v>
      </c>
      <c r="P514" s="142">
        <v>0</v>
      </c>
      <c r="Q514" s="142">
        <v>0</v>
      </c>
      <c r="R514" s="142">
        <v>0</v>
      </c>
      <c r="S514" s="116">
        <v>0</v>
      </c>
      <c r="T514" s="116">
        <v>0</v>
      </c>
      <c r="U514" s="33" t="s">
        <v>226</v>
      </c>
      <c r="V514" s="33">
        <v>2015</v>
      </c>
      <c r="W514" s="33">
        <v>1</v>
      </c>
      <c r="X514" s="33">
        <v>0</v>
      </c>
      <c r="Y514" s="33">
        <v>-1.8E-3</v>
      </c>
      <c r="Z514" s="33">
        <v>-1.2E-2</v>
      </c>
      <c r="AA514" s="33">
        <v>0</v>
      </c>
      <c r="AB514" s="33">
        <v>0</v>
      </c>
      <c r="AC514" s="33" t="s">
        <v>360</v>
      </c>
      <c r="AD514" s="158"/>
    </row>
    <row r="515" spans="1:30" customFormat="1" hidden="1" x14ac:dyDescent="0.2">
      <c r="A515" s="153">
        <f t="shared" si="7"/>
        <v>491</v>
      </c>
      <c r="B515" s="33">
        <v>2</v>
      </c>
      <c r="C515" s="33">
        <v>2</v>
      </c>
      <c r="D515" s="33">
        <v>5</v>
      </c>
      <c r="E515" s="104">
        <v>2016</v>
      </c>
      <c r="F515" s="33">
        <v>2022</v>
      </c>
      <c r="G515" s="33">
        <v>5</v>
      </c>
      <c r="H515" s="33">
        <v>41</v>
      </c>
      <c r="I515" s="33">
        <v>0</v>
      </c>
      <c r="J515" s="33">
        <v>0</v>
      </c>
      <c r="K515" s="33">
        <v>0</v>
      </c>
      <c r="L515" s="101">
        <v>4.1031652989449006</v>
      </c>
      <c r="M515" s="108">
        <v>3650</v>
      </c>
      <c r="N515" s="108">
        <v>2250</v>
      </c>
      <c r="O515" s="142">
        <v>0</v>
      </c>
      <c r="P515" s="142">
        <v>0</v>
      </c>
      <c r="Q515" s="142">
        <v>0</v>
      </c>
      <c r="R515" s="142">
        <v>0</v>
      </c>
      <c r="S515" s="116">
        <v>0</v>
      </c>
      <c r="T515" s="116">
        <v>0</v>
      </c>
      <c r="U515" s="33" t="s">
        <v>226</v>
      </c>
      <c r="V515" s="33">
        <v>2015</v>
      </c>
      <c r="W515" s="33">
        <v>1</v>
      </c>
      <c r="X515" s="33">
        <v>0</v>
      </c>
      <c r="Y515" s="33">
        <v>-1.8E-3</v>
      </c>
      <c r="Z515" s="33">
        <v>-1.2E-2</v>
      </c>
      <c r="AA515" s="33">
        <v>0</v>
      </c>
      <c r="AB515" s="33">
        <v>0</v>
      </c>
      <c r="AC515" s="33" t="s">
        <v>360</v>
      </c>
      <c r="AD515" s="158"/>
    </row>
    <row r="516" spans="1:30" customFormat="1" hidden="1" x14ac:dyDescent="0.2">
      <c r="A516" s="153">
        <f t="shared" si="7"/>
        <v>492</v>
      </c>
      <c r="B516" s="33">
        <v>2</v>
      </c>
      <c r="C516" s="33">
        <v>2</v>
      </c>
      <c r="D516" s="33">
        <v>5</v>
      </c>
      <c r="E516" s="104">
        <v>2016</v>
      </c>
      <c r="F516" s="33">
        <v>2022</v>
      </c>
      <c r="G516" s="33">
        <v>6</v>
      </c>
      <c r="H516" s="33">
        <v>41</v>
      </c>
      <c r="I516" s="33">
        <v>0</v>
      </c>
      <c r="J516" s="33">
        <v>0</v>
      </c>
      <c r="K516" s="33">
        <v>0</v>
      </c>
      <c r="L516" s="101">
        <v>4.1031652989449006</v>
      </c>
      <c r="M516" s="108">
        <v>3650</v>
      </c>
      <c r="N516" s="108">
        <v>2250</v>
      </c>
      <c r="O516" s="142">
        <v>0</v>
      </c>
      <c r="P516" s="142">
        <v>0</v>
      </c>
      <c r="Q516" s="142">
        <v>0</v>
      </c>
      <c r="R516" s="142">
        <v>0</v>
      </c>
      <c r="S516" s="116">
        <v>0</v>
      </c>
      <c r="T516" s="116">
        <v>0</v>
      </c>
      <c r="U516" s="33" t="s">
        <v>226</v>
      </c>
      <c r="V516" s="33">
        <v>2015</v>
      </c>
      <c r="W516" s="33">
        <v>1</v>
      </c>
      <c r="X516" s="33">
        <v>0</v>
      </c>
      <c r="Y516" s="33">
        <v>-1.8E-3</v>
      </c>
      <c r="Z516" s="33">
        <v>-1.2E-2</v>
      </c>
      <c r="AA516" s="33">
        <v>0</v>
      </c>
      <c r="AB516" s="33">
        <v>0</v>
      </c>
      <c r="AC516" s="33" t="s">
        <v>360</v>
      </c>
      <c r="AD516" s="158"/>
    </row>
    <row r="517" spans="1:30" customFormat="1" hidden="1" x14ac:dyDescent="0.2">
      <c r="A517" s="153">
        <f t="shared" si="7"/>
        <v>493</v>
      </c>
      <c r="B517" s="33">
        <v>2</v>
      </c>
      <c r="C517" s="33">
        <v>2</v>
      </c>
      <c r="D517" s="33">
        <v>5</v>
      </c>
      <c r="E517" s="104">
        <v>2016</v>
      </c>
      <c r="F517" s="33">
        <v>2022</v>
      </c>
      <c r="G517" s="33">
        <v>7</v>
      </c>
      <c r="H517" s="33">
        <v>41</v>
      </c>
      <c r="I517" s="33">
        <v>0</v>
      </c>
      <c r="J517" s="33">
        <v>0</v>
      </c>
      <c r="K517" s="33">
        <v>0</v>
      </c>
      <c r="L517" s="101">
        <v>4.1031652989449006</v>
      </c>
      <c r="M517" s="108">
        <v>3650</v>
      </c>
      <c r="N517" s="108">
        <v>2250</v>
      </c>
      <c r="O517" s="142">
        <v>0</v>
      </c>
      <c r="P517" s="142">
        <v>0</v>
      </c>
      <c r="Q517" s="142">
        <v>0</v>
      </c>
      <c r="R517" s="142">
        <v>0</v>
      </c>
      <c r="S517" s="116">
        <v>0</v>
      </c>
      <c r="T517" s="116">
        <v>0</v>
      </c>
      <c r="U517" s="33" t="s">
        <v>226</v>
      </c>
      <c r="V517" s="33">
        <v>2015</v>
      </c>
      <c r="W517" s="33">
        <v>1</v>
      </c>
      <c r="X517" s="33">
        <v>0</v>
      </c>
      <c r="Y517" s="33">
        <v>-1.8E-3</v>
      </c>
      <c r="Z517" s="33">
        <v>-1.2E-2</v>
      </c>
      <c r="AA517" s="33">
        <v>0</v>
      </c>
      <c r="AB517" s="33">
        <v>0</v>
      </c>
      <c r="AC517" s="33" t="s">
        <v>360</v>
      </c>
      <c r="AD517" s="158"/>
    </row>
    <row r="518" spans="1:30" customFormat="1" hidden="1" x14ac:dyDescent="0.2">
      <c r="A518" s="153">
        <f t="shared" si="7"/>
        <v>494</v>
      </c>
      <c r="B518" s="33">
        <v>2</v>
      </c>
      <c r="C518" s="33">
        <v>2</v>
      </c>
      <c r="D518" s="33">
        <v>5</v>
      </c>
      <c r="E518" s="104">
        <v>2016</v>
      </c>
      <c r="F518" s="33">
        <v>2022</v>
      </c>
      <c r="G518" s="33">
        <v>8</v>
      </c>
      <c r="H518" s="33">
        <v>41</v>
      </c>
      <c r="I518" s="33">
        <v>0</v>
      </c>
      <c r="J518" s="33">
        <v>0</v>
      </c>
      <c r="K518" s="33">
        <v>0</v>
      </c>
      <c r="L518" s="101">
        <v>4.1031652989449006</v>
      </c>
      <c r="M518" s="108">
        <v>3650</v>
      </c>
      <c r="N518" s="108">
        <v>2250</v>
      </c>
      <c r="O518" s="142">
        <v>0</v>
      </c>
      <c r="P518" s="142">
        <v>0</v>
      </c>
      <c r="Q518" s="142">
        <v>0</v>
      </c>
      <c r="R518" s="142">
        <v>0</v>
      </c>
      <c r="S518" s="116">
        <v>0</v>
      </c>
      <c r="T518" s="116">
        <v>0</v>
      </c>
      <c r="U518" s="33" t="s">
        <v>226</v>
      </c>
      <c r="V518" s="33">
        <v>2015</v>
      </c>
      <c r="W518" s="33">
        <v>1</v>
      </c>
      <c r="X518" s="33">
        <v>0</v>
      </c>
      <c r="Y518" s="33">
        <v>-1.8E-3</v>
      </c>
      <c r="Z518" s="33">
        <v>-1.2E-2</v>
      </c>
      <c r="AA518" s="33">
        <v>0</v>
      </c>
      <c r="AB518" s="33">
        <v>0</v>
      </c>
      <c r="AC518" s="33" t="s">
        <v>360</v>
      </c>
      <c r="AD518" s="158"/>
    </row>
    <row r="519" spans="1:30" customFormat="1" hidden="1" x14ac:dyDescent="0.2">
      <c r="A519" s="153">
        <f t="shared" si="7"/>
        <v>495</v>
      </c>
      <c r="B519" s="33">
        <v>2</v>
      </c>
      <c r="C519" s="33">
        <v>2</v>
      </c>
      <c r="D519" s="33">
        <v>5</v>
      </c>
      <c r="E519" s="104">
        <v>2016</v>
      </c>
      <c r="F519" s="33">
        <v>2022</v>
      </c>
      <c r="G519" s="33">
        <v>9</v>
      </c>
      <c r="H519" s="33">
        <v>41</v>
      </c>
      <c r="I519" s="33">
        <v>0</v>
      </c>
      <c r="J519" s="33">
        <v>0</v>
      </c>
      <c r="K519" s="33">
        <v>0</v>
      </c>
      <c r="L519" s="101">
        <v>4.1031652989449006</v>
      </c>
      <c r="M519" s="108">
        <v>3650</v>
      </c>
      <c r="N519" s="108">
        <v>2250</v>
      </c>
      <c r="O519" s="142">
        <v>0</v>
      </c>
      <c r="P519" s="142">
        <v>0</v>
      </c>
      <c r="Q519" s="142">
        <v>0</v>
      </c>
      <c r="R519" s="142">
        <v>0</v>
      </c>
      <c r="S519" s="116">
        <v>0</v>
      </c>
      <c r="T519" s="116">
        <v>0</v>
      </c>
      <c r="U519" s="33" t="s">
        <v>226</v>
      </c>
      <c r="V519" s="33">
        <v>2015</v>
      </c>
      <c r="W519" s="33">
        <v>1</v>
      </c>
      <c r="X519" s="33">
        <v>0</v>
      </c>
      <c r="Y519" s="33">
        <v>-1.8E-3</v>
      </c>
      <c r="Z519" s="33">
        <v>-1.2E-2</v>
      </c>
      <c r="AA519" s="33">
        <v>0</v>
      </c>
      <c r="AB519" s="33">
        <v>0</v>
      </c>
      <c r="AC519" s="33" t="s">
        <v>360</v>
      </c>
      <c r="AD519" s="158"/>
    </row>
    <row r="520" spans="1:30" customFormat="1" hidden="1" x14ac:dyDescent="0.2">
      <c r="A520" s="153">
        <f t="shared" si="7"/>
        <v>496</v>
      </c>
      <c r="B520" s="33">
        <v>2</v>
      </c>
      <c r="C520" s="33">
        <v>2</v>
      </c>
      <c r="D520" s="33">
        <v>5</v>
      </c>
      <c r="E520" s="104">
        <v>2023</v>
      </c>
      <c r="F520" s="33">
        <v>2050</v>
      </c>
      <c r="G520" s="33">
        <v>1</v>
      </c>
      <c r="H520" s="33">
        <v>41</v>
      </c>
      <c r="I520" s="33">
        <v>0</v>
      </c>
      <c r="J520" s="33">
        <v>0</v>
      </c>
      <c r="K520" s="33">
        <v>0</v>
      </c>
      <c r="L520" s="101">
        <v>3.8100820633059791</v>
      </c>
      <c r="M520" s="108">
        <v>3550</v>
      </c>
      <c r="N520" s="108">
        <v>2200</v>
      </c>
      <c r="O520" s="142">
        <v>0</v>
      </c>
      <c r="P520" s="142">
        <v>0</v>
      </c>
      <c r="Q520" s="149">
        <v>0</v>
      </c>
      <c r="R520" s="149">
        <v>0</v>
      </c>
      <c r="S520" s="116">
        <v>0</v>
      </c>
      <c r="T520" s="116">
        <v>0</v>
      </c>
      <c r="U520" s="33" t="s">
        <v>226</v>
      </c>
      <c r="V520" s="33">
        <v>2015</v>
      </c>
      <c r="W520" s="33">
        <v>1</v>
      </c>
      <c r="X520" s="33">
        <v>0</v>
      </c>
      <c r="Y520" s="145">
        <v>-1</v>
      </c>
      <c r="Z520" s="145">
        <v>-1</v>
      </c>
      <c r="AA520" s="33">
        <v>0</v>
      </c>
      <c r="AB520" s="33">
        <v>0</v>
      </c>
      <c r="AC520" s="33" t="s">
        <v>360</v>
      </c>
      <c r="AD520" s="158"/>
    </row>
    <row r="521" spans="1:30" customFormat="1" hidden="1" x14ac:dyDescent="0.2">
      <c r="A521" s="153">
        <f t="shared" si="7"/>
        <v>497</v>
      </c>
      <c r="B521" s="33">
        <v>2</v>
      </c>
      <c r="C521" s="33">
        <v>2</v>
      </c>
      <c r="D521" s="33">
        <v>5</v>
      </c>
      <c r="E521" s="104">
        <v>2023</v>
      </c>
      <c r="F521" s="33">
        <v>2050</v>
      </c>
      <c r="G521" s="33">
        <v>2</v>
      </c>
      <c r="H521" s="33">
        <v>41</v>
      </c>
      <c r="I521" s="33">
        <v>0</v>
      </c>
      <c r="J521" s="33">
        <v>0</v>
      </c>
      <c r="K521" s="33">
        <v>0</v>
      </c>
      <c r="L521" s="101">
        <v>3.8100820633059791</v>
      </c>
      <c r="M521" s="108">
        <v>3550</v>
      </c>
      <c r="N521" s="108">
        <v>2200</v>
      </c>
      <c r="O521" s="142">
        <v>0</v>
      </c>
      <c r="P521" s="142">
        <v>0</v>
      </c>
      <c r="Q521" s="149">
        <v>0</v>
      </c>
      <c r="R521" s="149">
        <v>0</v>
      </c>
      <c r="S521" s="116">
        <v>0</v>
      </c>
      <c r="T521" s="116">
        <v>0</v>
      </c>
      <c r="U521" s="33" t="s">
        <v>226</v>
      </c>
      <c r="V521" s="33">
        <v>2015</v>
      </c>
      <c r="W521" s="33">
        <v>1</v>
      </c>
      <c r="X521" s="33">
        <v>0</v>
      </c>
      <c r="Y521" s="145">
        <v>-1</v>
      </c>
      <c r="Z521" s="145">
        <v>-1</v>
      </c>
      <c r="AA521" s="33">
        <v>0</v>
      </c>
      <c r="AB521" s="33">
        <v>0</v>
      </c>
      <c r="AC521" s="33" t="s">
        <v>360</v>
      </c>
      <c r="AD521" s="158"/>
    </row>
    <row r="522" spans="1:30" customFormat="1" x14ac:dyDescent="0.2">
      <c r="A522" s="153">
        <f t="shared" si="7"/>
        <v>498</v>
      </c>
      <c r="B522" s="33">
        <v>2</v>
      </c>
      <c r="C522" s="33">
        <v>2</v>
      </c>
      <c r="D522" s="33">
        <v>5</v>
      </c>
      <c r="E522" s="104">
        <v>2023</v>
      </c>
      <c r="F522" s="33">
        <v>2050</v>
      </c>
      <c r="G522" s="33">
        <v>3</v>
      </c>
      <c r="H522" s="33">
        <v>41</v>
      </c>
      <c r="I522" s="33">
        <v>0</v>
      </c>
      <c r="J522" s="33">
        <v>0</v>
      </c>
      <c r="K522" s="33">
        <v>0</v>
      </c>
      <c r="L522" s="101">
        <v>3.8100820633059791</v>
      </c>
      <c r="M522" s="108">
        <v>3550</v>
      </c>
      <c r="N522" s="108">
        <v>2200</v>
      </c>
      <c r="O522" s="142">
        <v>0</v>
      </c>
      <c r="P522" s="142">
        <v>0</v>
      </c>
      <c r="Q522" s="149">
        <v>0</v>
      </c>
      <c r="R522" s="149">
        <v>0</v>
      </c>
      <c r="S522" s="116">
        <v>0</v>
      </c>
      <c r="T522" s="116">
        <v>0</v>
      </c>
      <c r="U522" s="33" t="s">
        <v>226</v>
      </c>
      <c r="V522" s="33">
        <v>2015</v>
      </c>
      <c r="W522" s="33">
        <v>1</v>
      </c>
      <c r="X522" s="33">
        <v>0</v>
      </c>
      <c r="Y522" s="145">
        <v>-1</v>
      </c>
      <c r="Z522" s="145">
        <v>-1</v>
      </c>
      <c r="AA522" s="33">
        <v>0</v>
      </c>
      <c r="AB522" s="33">
        <v>0</v>
      </c>
      <c r="AC522" s="33" t="s">
        <v>360</v>
      </c>
      <c r="AD522" s="158"/>
    </row>
    <row r="523" spans="1:30" customFormat="1" hidden="1" x14ac:dyDescent="0.2">
      <c r="A523" s="153">
        <f t="shared" si="7"/>
        <v>499</v>
      </c>
      <c r="B523" s="33">
        <v>2</v>
      </c>
      <c r="C523" s="33">
        <v>2</v>
      </c>
      <c r="D523" s="33">
        <v>5</v>
      </c>
      <c r="E523" s="104">
        <v>2023</v>
      </c>
      <c r="F523" s="33">
        <v>2050</v>
      </c>
      <c r="G523" s="33">
        <v>4</v>
      </c>
      <c r="H523" s="33">
        <v>41</v>
      </c>
      <c r="I523" s="33">
        <v>0</v>
      </c>
      <c r="J523" s="33">
        <v>0</v>
      </c>
      <c r="K523" s="33">
        <v>0</v>
      </c>
      <c r="L523" s="101">
        <v>3.8100820633059791</v>
      </c>
      <c r="M523" s="108">
        <v>3550</v>
      </c>
      <c r="N523" s="108">
        <v>2200</v>
      </c>
      <c r="O523" s="142">
        <v>0</v>
      </c>
      <c r="P523" s="142">
        <v>0</v>
      </c>
      <c r="Q523" s="149">
        <v>0</v>
      </c>
      <c r="R523" s="149">
        <v>0</v>
      </c>
      <c r="S523" s="116">
        <v>0</v>
      </c>
      <c r="T523" s="116">
        <v>0</v>
      </c>
      <c r="U523" s="33" t="s">
        <v>226</v>
      </c>
      <c r="V523" s="33">
        <v>2015</v>
      </c>
      <c r="W523" s="33">
        <v>1</v>
      </c>
      <c r="X523" s="33">
        <v>0</v>
      </c>
      <c r="Y523" s="145">
        <v>-1</v>
      </c>
      <c r="Z523" s="145">
        <v>-1</v>
      </c>
      <c r="AA523" s="33">
        <v>0</v>
      </c>
      <c r="AB523" s="33">
        <v>0</v>
      </c>
      <c r="AC523" s="33" t="s">
        <v>360</v>
      </c>
      <c r="AD523" s="158"/>
    </row>
    <row r="524" spans="1:30" customFormat="1" hidden="1" x14ac:dyDescent="0.2">
      <c r="A524" s="153">
        <f t="shared" si="7"/>
        <v>500</v>
      </c>
      <c r="B524" s="33">
        <v>2</v>
      </c>
      <c r="C524" s="33">
        <v>2</v>
      </c>
      <c r="D524" s="33">
        <v>5</v>
      </c>
      <c r="E524" s="104">
        <v>2023</v>
      </c>
      <c r="F524" s="33">
        <v>2050</v>
      </c>
      <c r="G524" s="33">
        <v>5</v>
      </c>
      <c r="H524" s="33">
        <v>41</v>
      </c>
      <c r="I524" s="33">
        <v>0</v>
      </c>
      <c r="J524" s="33">
        <v>0</v>
      </c>
      <c r="K524" s="33">
        <v>0</v>
      </c>
      <c r="L524" s="101">
        <v>4.1031652989449006</v>
      </c>
      <c r="M524" s="108">
        <v>3650</v>
      </c>
      <c r="N524" s="108">
        <v>2250</v>
      </c>
      <c r="O524" s="142">
        <v>0</v>
      </c>
      <c r="P524" s="142">
        <v>0</v>
      </c>
      <c r="Q524" s="149">
        <v>0</v>
      </c>
      <c r="R524" s="149">
        <v>0</v>
      </c>
      <c r="S524" s="116">
        <v>0</v>
      </c>
      <c r="T524" s="116">
        <v>0</v>
      </c>
      <c r="U524" s="33" t="s">
        <v>226</v>
      </c>
      <c r="V524" s="33">
        <v>2015</v>
      </c>
      <c r="W524" s="33">
        <v>1</v>
      </c>
      <c r="X524" s="33">
        <v>0</v>
      </c>
      <c r="Y524" s="145">
        <v>-1</v>
      </c>
      <c r="Z524" s="145">
        <v>-1</v>
      </c>
      <c r="AA524" s="33">
        <v>0</v>
      </c>
      <c r="AB524" s="33">
        <v>0</v>
      </c>
      <c r="AC524" s="33" t="s">
        <v>360</v>
      </c>
      <c r="AD524" s="158"/>
    </row>
    <row r="525" spans="1:30" customFormat="1" hidden="1" x14ac:dyDescent="0.2">
      <c r="A525" s="153">
        <f t="shared" si="7"/>
        <v>501</v>
      </c>
      <c r="B525" s="33">
        <v>2</v>
      </c>
      <c r="C525" s="33">
        <v>2</v>
      </c>
      <c r="D525" s="33">
        <v>5</v>
      </c>
      <c r="E525" s="104">
        <v>2023</v>
      </c>
      <c r="F525" s="33">
        <v>2050</v>
      </c>
      <c r="G525" s="33">
        <v>6</v>
      </c>
      <c r="H525" s="33">
        <v>41</v>
      </c>
      <c r="I525" s="33">
        <v>0</v>
      </c>
      <c r="J525" s="33">
        <v>0</v>
      </c>
      <c r="K525" s="33">
        <v>0</v>
      </c>
      <c r="L525" s="101">
        <v>4.1031652989449006</v>
      </c>
      <c r="M525" s="108">
        <v>3650</v>
      </c>
      <c r="N525" s="108">
        <v>2250</v>
      </c>
      <c r="O525" s="142">
        <v>0</v>
      </c>
      <c r="P525" s="142">
        <v>0</v>
      </c>
      <c r="Q525" s="149">
        <v>0</v>
      </c>
      <c r="R525" s="149">
        <v>0</v>
      </c>
      <c r="S525" s="116">
        <v>0</v>
      </c>
      <c r="T525" s="116">
        <v>0</v>
      </c>
      <c r="U525" s="33" t="s">
        <v>226</v>
      </c>
      <c r="V525" s="33">
        <v>2015</v>
      </c>
      <c r="W525" s="33">
        <v>1</v>
      </c>
      <c r="X525" s="33">
        <v>0</v>
      </c>
      <c r="Y525" s="145">
        <v>-1</v>
      </c>
      <c r="Z525" s="145">
        <v>-1</v>
      </c>
      <c r="AA525" s="33">
        <v>0</v>
      </c>
      <c r="AB525" s="33">
        <v>0</v>
      </c>
      <c r="AC525" s="33" t="s">
        <v>360</v>
      </c>
      <c r="AD525" s="158"/>
    </row>
    <row r="526" spans="1:30" customFormat="1" hidden="1" x14ac:dyDescent="0.2">
      <c r="A526" s="153">
        <f t="shared" si="7"/>
        <v>502</v>
      </c>
      <c r="B526" s="33">
        <v>2</v>
      </c>
      <c r="C526" s="33">
        <v>2</v>
      </c>
      <c r="D526" s="33">
        <v>5</v>
      </c>
      <c r="E526" s="104">
        <v>2023</v>
      </c>
      <c r="F526" s="33">
        <v>2050</v>
      </c>
      <c r="G526" s="33">
        <v>7</v>
      </c>
      <c r="H526" s="33">
        <v>41</v>
      </c>
      <c r="I526" s="33">
        <v>0</v>
      </c>
      <c r="J526" s="33">
        <v>0</v>
      </c>
      <c r="K526" s="33">
        <v>0</v>
      </c>
      <c r="L526" s="101">
        <v>4.1031652989449006</v>
      </c>
      <c r="M526" s="108">
        <v>3650</v>
      </c>
      <c r="N526" s="108">
        <v>2250</v>
      </c>
      <c r="O526" s="142">
        <v>0</v>
      </c>
      <c r="P526" s="142">
        <v>0</v>
      </c>
      <c r="Q526" s="149">
        <v>0</v>
      </c>
      <c r="R526" s="149">
        <v>0</v>
      </c>
      <c r="S526" s="116">
        <v>0</v>
      </c>
      <c r="T526" s="116">
        <v>0</v>
      </c>
      <c r="U526" s="33" t="s">
        <v>226</v>
      </c>
      <c r="V526" s="33">
        <v>2015</v>
      </c>
      <c r="W526" s="33">
        <v>1</v>
      </c>
      <c r="X526" s="33">
        <v>0</v>
      </c>
      <c r="Y526" s="145">
        <v>-1</v>
      </c>
      <c r="Z526" s="145">
        <v>-1</v>
      </c>
      <c r="AA526" s="33">
        <v>0</v>
      </c>
      <c r="AB526" s="33">
        <v>0</v>
      </c>
      <c r="AC526" s="33" t="s">
        <v>360</v>
      </c>
      <c r="AD526" s="158"/>
    </row>
    <row r="527" spans="1:30" customFormat="1" hidden="1" x14ac:dyDescent="0.2">
      <c r="A527" s="153">
        <f t="shared" si="7"/>
        <v>503</v>
      </c>
      <c r="B527" s="33">
        <v>2</v>
      </c>
      <c r="C527" s="33">
        <v>2</v>
      </c>
      <c r="D527" s="33">
        <v>5</v>
      </c>
      <c r="E527" s="104">
        <v>2023</v>
      </c>
      <c r="F527" s="33">
        <v>2050</v>
      </c>
      <c r="G527" s="33">
        <v>8</v>
      </c>
      <c r="H527" s="33">
        <v>41</v>
      </c>
      <c r="I527" s="33">
        <v>0</v>
      </c>
      <c r="J527" s="33">
        <v>0</v>
      </c>
      <c r="K527" s="33">
        <v>0</v>
      </c>
      <c r="L527" s="101">
        <v>4.1031652989449006</v>
      </c>
      <c r="M527" s="108">
        <v>3650</v>
      </c>
      <c r="N527" s="108">
        <v>2250</v>
      </c>
      <c r="O527" s="142">
        <v>0</v>
      </c>
      <c r="P527" s="142">
        <v>0</v>
      </c>
      <c r="Q527" s="149">
        <v>0</v>
      </c>
      <c r="R527" s="149">
        <v>0</v>
      </c>
      <c r="S527" s="116">
        <v>0</v>
      </c>
      <c r="T527" s="116">
        <v>0</v>
      </c>
      <c r="U527" s="33" t="s">
        <v>226</v>
      </c>
      <c r="V527" s="33">
        <v>2015</v>
      </c>
      <c r="W527" s="33">
        <v>1</v>
      </c>
      <c r="X527" s="33">
        <v>0</v>
      </c>
      <c r="Y527" s="145">
        <v>-1</v>
      </c>
      <c r="Z527" s="145">
        <v>-1</v>
      </c>
      <c r="AA527" s="33">
        <v>0</v>
      </c>
      <c r="AB527" s="33">
        <v>0</v>
      </c>
      <c r="AC527" s="33" t="s">
        <v>360</v>
      </c>
      <c r="AD527" s="158"/>
    </row>
    <row r="528" spans="1:30" customFormat="1" hidden="1" x14ac:dyDescent="0.2">
      <c r="A528" s="153">
        <f t="shared" si="7"/>
        <v>504</v>
      </c>
      <c r="B528" s="33">
        <v>2</v>
      </c>
      <c r="C528" s="33">
        <v>2</v>
      </c>
      <c r="D528" s="33">
        <v>5</v>
      </c>
      <c r="E528" s="104">
        <v>2023</v>
      </c>
      <c r="F528" s="33">
        <v>2050</v>
      </c>
      <c r="G528" s="33">
        <v>9</v>
      </c>
      <c r="H528" s="33">
        <v>41</v>
      </c>
      <c r="I528" s="33">
        <v>0</v>
      </c>
      <c r="J528" s="33">
        <v>0</v>
      </c>
      <c r="K528" s="33">
        <v>0</v>
      </c>
      <c r="L528" s="101">
        <v>4.1031652989449006</v>
      </c>
      <c r="M528" s="108">
        <v>3650</v>
      </c>
      <c r="N528" s="108">
        <v>2250</v>
      </c>
      <c r="O528" s="142">
        <v>0</v>
      </c>
      <c r="P528" s="142">
        <v>0</v>
      </c>
      <c r="Q528" s="149">
        <v>0</v>
      </c>
      <c r="R528" s="149">
        <v>0</v>
      </c>
      <c r="S528" s="116">
        <v>0</v>
      </c>
      <c r="T528" s="116">
        <v>0</v>
      </c>
      <c r="U528" s="33" t="s">
        <v>226</v>
      </c>
      <c r="V528" s="33">
        <v>2015</v>
      </c>
      <c r="W528" s="33">
        <v>1</v>
      </c>
      <c r="X528" s="33">
        <v>0</v>
      </c>
      <c r="Y528" s="145">
        <v>-1</v>
      </c>
      <c r="Z528" s="145">
        <v>-1</v>
      </c>
      <c r="AA528" s="33">
        <v>0</v>
      </c>
      <c r="AB528" s="33">
        <v>0</v>
      </c>
      <c r="AC528" s="33" t="s">
        <v>360</v>
      </c>
      <c r="AD528" s="158"/>
    </row>
    <row r="529" spans="1:30" customFormat="1" hidden="1" x14ac:dyDescent="0.2">
      <c r="A529" s="153">
        <f t="shared" si="7"/>
        <v>505</v>
      </c>
      <c r="B529" s="33">
        <v>2</v>
      </c>
      <c r="C529" s="33">
        <v>2</v>
      </c>
      <c r="D529" s="33">
        <v>6</v>
      </c>
      <c r="E529" s="104">
        <v>2016</v>
      </c>
      <c r="F529" s="33">
        <v>2022</v>
      </c>
      <c r="G529" s="33">
        <v>1</v>
      </c>
      <c r="H529" s="33">
        <v>42</v>
      </c>
      <c r="I529" s="33">
        <v>0</v>
      </c>
      <c r="J529" s="33">
        <v>0</v>
      </c>
      <c r="K529" s="33">
        <v>0</v>
      </c>
      <c r="L529" s="101">
        <v>4.0738569753810081</v>
      </c>
      <c r="M529" s="108">
        <v>3650</v>
      </c>
      <c r="N529" s="108">
        <v>2250</v>
      </c>
      <c r="O529" s="142">
        <v>0</v>
      </c>
      <c r="P529" s="142">
        <v>0</v>
      </c>
      <c r="Q529" s="142">
        <v>0</v>
      </c>
      <c r="R529" s="142">
        <v>0</v>
      </c>
      <c r="S529" s="116">
        <v>0</v>
      </c>
      <c r="T529" s="116">
        <v>0</v>
      </c>
      <c r="U529" s="33" t="s">
        <v>226</v>
      </c>
      <c r="V529" s="33">
        <v>2015</v>
      </c>
      <c r="W529" s="33">
        <v>1</v>
      </c>
      <c r="X529" s="33">
        <v>0</v>
      </c>
      <c r="Y529" s="33">
        <v>-1.8E-3</v>
      </c>
      <c r="Z529" s="33">
        <v>-1.2E-2</v>
      </c>
      <c r="AA529" s="33">
        <v>0</v>
      </c>
      <c r="AB529" s="33">
        <v>0</v>
      </c>
      <c r="AC529" s="33" t="s">
        <v>361</v>
      </c>
      <c r="AD529" s="158"/>
    </row>
    <row r="530" spans="1:30" customFormat="1" hidden="1" x14ac:dyDescent="0.2">
      <c r="A530" s="153">
        <f t="shared" si="7"/>
        <v>506</v>
      </c>
      <c r="B530" s="33">
        <v>2</v>
      </c>
      <c r="C530" s="33">
        <v>2</v>
      </c>
      <c r="D530" s="33">
        <v>6</v>
      </c>
      <c r="E530" s="104">
        <v>2016</v>
      </c>
      <c r="F530" s="33">
        <v>2022</v>
      </c>
      <c r="G530" s="33">
        <v>2</v>
      </c>
      <c r="H530" s="33">
        <v>42</v>
      </c>
      <c r="I530" s="33">
        <v>0</v>
      </c>
      <c r="J530" s="33">
        <v>0</v>
      </c>
      <c r="K530" s="33">
        <v>0</v>
      </c>
      <c r="L530" s="101">
        <v>4.0738569753810081</v>
      </c>
      <c r="M530" s="108">
        <v>3650</v>
      </c>
      <c r="N530" s="108">
        <v>2250</v>
      </c>
      <c r="O530" s="142">
        <v>0</v>
      </c>
      <c r="P530" s="142">
        <v>0</v>
      </c>
      <c r="Q530" s="142">
        <v>0</v>
      </c>
      <c r="R530" s="142">
        <v>0</v>
      </c>
      <c r="S530" s="116">
        <v>0</v>
      </c>
      <c r="T530" s="116">
        <v>0</v>
      </c>
      <c r="U530" s="33" t="s">
        <v>226</v>
      </c>
      <c r="V530" s="33">
        <v>2015</v>
      </c>
      <c r="W530" s="33">
        <v>1</v>
      </c>
      <c r="X530" s="33">
        <v>0</v>
      </c>
      <c r="Y530" s="33">
        <v>-1.8E-3</v>
      </c>
      <c r="Z530" s="33">
        <v>-1.2E-2</v>
      </c>
      <c r="AA530" s="33">
        <v>0</v>
      </c>
      <c r="AB530" s="33">
        <v>0</v>
      </c>
      <c r="AC530" s="33" t="s">
        <v>361</v>
      </c>
      <c r="AD530" s="158"/>
    </row>
    <row r="531" spans="1:30" customFormat="1" x14ac:dyDescent="0.2">
      <c r="A531" s="153">
        <f t="shared" si="7"/>
        <v>507</v>
      </c>
      <c r="B531" s="33">
        <v>2</v>
      </c>
      <c r="C531" s="33">
        <v>2</v>
      </c>
      <c r="D531" s="33">
        <v>6</v>
      </c>
      <c r="E531" s="104">
        <v>2016</v>
      </c>
      <c r="F531" s="33">
        <v>2022</v>
      </c>
      <c r="G531" s="33">
        <v>3</v>
      </c>
      <c r="H531" s="33">
        <v>42</v>
      </c>
      <c r="I531" s="33">
        <v>0</v>
      </c>
      <c r="J531" s="33">
        <v>0</v>
      </c>
      <c r="K531" s="33">
        <v>0</v>
      </c>
      <c r="L531" s="101">
        <v>4.0738569753810081</v>
      </c>
      <c r="M531" s="108">
        <v>3650</v>
      </c>
      <c r="N531" s="108">
        <v>2250</v>
      </c>
      <c r="O531" s="142">
        <v>0</v>
      </c>
      <c r="P531" s="142">
        <v>0</v>
      </c>
      <c r="Q531" s="142">
        <v>0</v>
      </c>
      <c r="R531" s="142">
        <v>0</v>
      </c>
      <c r="S531" s="116">
        <v>0</v>
      </c>
      <c r="T531" s="116">
        <v>0</v>
      </c>
      <c r="U531" s="33" t="s">
        <v>226</v>
      </c>
      <c r="V531" s="33">
        <v>2015</v>
      </c>
      <c r="W531" s="33">
        <v>1</v>
      </c>
      <c r="X531" s="33">
        <v>0</v>
      </c>
      <c r="Y531" s="33">
        <v>-1.8E-3</v>
      </c>
      <c r="Z531" s="33">
        <v>-1.2E-2</v>
      </c>
      <c r="AA531" s="33">
        <v>0</v>
      </c>
      <c r="AB531" s="33">
        <v>0</v>
      </c>
      <c r="AC531" s="33" t="s">
        <v>361</v>
      </c>
      <c r="AD531" s="158"/>
    </row>
    <row r="532" spans="1:30" customFormat="1" hidden="1" x14ac:dyDescent="0.2">
      <c r="A532" s="153">
        <f t="shared" si="7"/>
        <v>508</v>
      </c>
      <c r="B532" s="33">
        <v>2</v>
      </c>
      <c r="C532" s="33">
        <v>2</v>
      </c>
      <c r="D532" s="33">
        <v>6</v>
      </c>
      <c r="E532" s="104">
        <v>2016</v>
      </c>
      <c r="F532" s="33">
        <v>2022</v>
      </c>
      <c r="G532" s="33">
        <v>4</v>
      </c>
      <c r="H532" s="33">
        <v>42</v>
      </c>
      <c r="I532" s="33">
        <v>0</v>
      </c>
      <c r="J532" s="33">
        <v>0</v>
      </c>
      <c r="K532" s="33">
        <v>0</v>
      </c>
      <c r="L532" s="101">
        <v>4.0738569753810081</v>
      </c>
      <c r="M532" s="108">
        <v>3650</v>
      </c>
      <c r="N532" s="108">
        <v>2250</v>
      </c>
      <c r="O532" s="142">
        <v>0</v>
      </c>
      <c r="P532" s="142">
        <v>0</v>
      </c>
      <c r="Q532" s="142">
        <v>0</v>
      </c>
      <c r="R532" s="142">
        <v>0</v>
      </c>
      <c r="S532" s="116">
        <v>0</v>
      </c>
      <c r="T532" s="116">
        <v>0</v>
      </c>
      <c r="U532" s="33" t="s">
        <v>226</v>
      </c>
      <c r="V532" s="33">
        <v>2015</v>
      </c>
      <c r="W532" s="33">
        <v>1</v>
      </c>
      <c r="X532" s="33">
        <v>0</v>
      </c>
      <c r="Y532" s="33">
        <v>-1.8E-3</v>
      </c>
      <c r="Z532" s="33">
        <v>-1.2E-2</v>
      </c>
      <c r="AA532" s="33">
        <v>0</v>
      </c>
      <c r="AB532" s="33">
        <v>0</v>
      </c>
      <c r="AC532" s="33" t="s">
        <v>361</v>
      </c>
      <c r="AD532" s="158"/>
    </row>
    <row r="533" spans="1:30" customFormat="1" hidden="1" x14ac:dyDescent="0.2">
      <c r="A533" s="153">
        <f t="shared" si="7"/>
        <v>509</v>
      </c>
      <c r="B533" s="33">
        <v>2</v>
      </c>
      <c r="C533" s="33">
        <v>2</v>
      </c>
      <c r="D533" s="33">
        <v>6</v>
      </c>
      <c r="E533" s="104">
        <v>2016</v>
      </c>
      <c r="F533" s="33">
        <v>2022</v>
      </c>
      <c r="G533" s="33">
        <v>5</v>
      </c>
      <c r="H533" s="33">
        <v>42</v>
      </c>
      <c r="I533" s="33">
        <v>0</v>
      </c>
      <c r="J533" s="33">
        <v>0</v>
      </c>
      <c r="K533" s="33">
        <v>0</v>
      </c>
      <c r="L533" s="101">
        <v>4.2203985932004695</v>
      </c>
      <c r="M533" s="108">
        <v>3700</v>
      </c>
      <c r="N533" s="108">
        <v>2350</v>
      </c>
      <c r="O533" s="142">
        <v>0</v>
      </c>
      <c r="P533" s="142">
        <v>0</v>
      </c>
      <c r="Q533" s="142">
        <v>0</v>
      </c>
      <c r="R533" s="142">
        <v>0</v>
      </c>
      <c r="S533" s="116">
        <v>0</v>
      </c>
      <c r="T533" s="116">
        <v>0</v>
      </c>
      <c r="U533" s="33" t="s">
        <v>226</v>
      </c>
      <c r="V533" s="33">
        <v>2015</v>
      </c>
      <c r="W533" s="33">
        <v>1</v>
      </c>
      <c r="X533" s="33">
        <v>0</v>
      </c>
      <c r="Y533" s="33">
        <v>-1.8E-3</v>
      </c>
      <c r="Z533" s="33">
        <v>-1.2E-2</v>
      </c>
      <c r="AA533" s="33">
        <v>0</v>
      </c>
      <c r="AB533" s="33">
        <v>0</v>
      </c>
      <c r="AC533" s="33" t="s">
        <v>361</v>
      </c>
      <c r="AD533" s="158"/>
    </row>
    <row r="534" spans="1:30" customFormat="1" hidden="1" x14ac:dyDescent="0.2">
      <c r="A534" s="153">
        <f t="shared" si="7"/>
        <v>510</v>
      </c>
      <c r="B534" s="33">
        <v>2</v>
      </c>
      <c r="C534" s="33">
        <v>2</v>
      </c>
      <c r="D534" s="33">
        <v>6</v>
      </c>
      <c r="E534" s="104">
        <v>2016</v>
      </c>
      <c r="F534" s="33">
        <v>2022</v>
      </c>
      <c r="G534" s="33">
        <v>6</v>
      </c>
      <c r="H534" s="33">
        <v>42</v>
      </c>
      <c r="I534" s="33">
        <v>0</v>
      </c>
      <c r="J534" s="33">
        <v>0</v>
      </c>
      <c r="K534" s="33">
        <v>0</v>
      </c>
      <c r="L534" s="101">
        <v>4.2203985932004695</v>
      </c>
      <c r="M534" s="108">
        <v>3700</v>
      </c>
      <c r="N534" s="108">
        <v>2350</v>
      </c>
      <c r="O534" s="142">
        <v>0</v>
      </c>
      <c r="P534" s="142">
        <v>0</v>
      </c>
      <c r="Q534" s="142">
        <v>0</v>
      </c>
      <c r="R534" s="142">
        <v>0</v>
      </c>
      <c r="S534" s="116">
        <v>0</v>
      </c>
      <c r="T534" s="116">
        <v>0</v>
      </c>
      <c r="U534" s="33" t="s">
        <v>226</v>
      </c>
      <c r="V534" s="33">
        <v>2015</v>
      </c>
      <c r="W534" s="33">
        <v>1</v>
      </c>
      <c r="X534" s="33">
        <v>0</v>
      </c>
      <c r="Y534" s="33">
        <v>-1.8E-3</v>
      </c>
      <c r="Z534" s="33">
        <v>-1.2E-2</v>
      </c>
      <c r="AA534" s="33">
        <v>0</v>
      </c>
      <c r="AB534" s="33">
        <v>0</v>
      </c>
      <c r="AC534" s="33" t="s">
        <v>361</v>
      </c>
      <c r="AD534" s="158"/>
    </row>
    <row r="535" spans="1:30" customFormat="1" hidden="1" x14ac:dyDescent="0.2">
      <c r="A535" s="153">
        <f t="shared" si="7"/>
        <v>511</v>
      </c>
      <c r="B535" s="33">
        <v>2</v>
      </c>
      <c r="C535" s="33">
        <v>2</v>
      </c>
      <c r="D535" s="33">
        <v>6</v>
      </c>
      <c r="E535" s="104">
        <v>2016</v>
      </c>
      <c r="F535" s="33">
        <v>2022</v>
      </c>
      <c r="G535" s="33">
        <v>7</v>
      </c>
      <c r="H535" s="33">
        <v>42</v>
      </c>
      <c r="I535" s="33">
        <v>0</v>
      </c>
      <c r="J535" s="33">
        <v>0</v>
      </c>
      <c r="K535" s="33">
        <v>0</v>
      </c>
      <c r="L535" s="101">
        <v>4.2203985932004695</v>
      </c>
      <c r="M535" s="108">
        <v>3700</v>
      </c>
      <c r="N535" s="108">
        <v>2350</v>
      </c>
      <c r="O535" s="142">
        <v>0</v>
      </c>
      <c r="P535" s="142">
        <v>0</v>
      </c>
      <c r="Q535" s="142">
        <v>0</v>
      </c>
      <c r="R535" s="142">
        <v>0</v>
      </c>
      <c r="S535" s="116">
        <v>0</v>
      </c>
      <c r="T535" s="116">
        <v>0</v>
      </c>
      <c r="U535" s="33" t="s">
        <v>226</v>
      </c>
      <c r="V535" s="33">
        <v>2015</v>
      </c>
      <c r="W535" s="33">
        <v>1</v>
      </c>
      <c r="X535" s="33">
        <v>0</v>
      </c>
      <c r="Y535" s="33">
        <v>-1.8E-3</v>
      </c>
      <c r="Z535" s="33">
        <v>-1.2E-2</v>
      </c>
      <c r="AA535" s="33">
        <v>0</v>
      </c>
      <c r="AB535" s="33">
        <v>0</v>
      </c>
      <c r="AC535" s="33" t="s">
        <v>361</v>
      </c>
      <c r="AD535" s="158"/>
    </row>
    <row r="536" spans="1:30" customFormat="1" hidden="1" x14ac:dyDescent="0.2">
      <c r="A536" s="153">
        <f t="shared" si="7"/>
        <v>512</v>
      </c>
      <c r="B536" s="33">
        <v>2</v>
      </c>
      <c r="C536" s="33">
        <v>2</v>
      </c>
      <c r="D536" s="33">
        <v>6</v>
      </c>
      <c r="E536" s="104">
        <v>2016</v>
      </c>
      <c r="F536" s="33">
        <v>2022</v>
      </c>
      <c r="G536" s="33">
        <v>8</v>
      </c>
      <c r="H536" s="33">
        <v>42</v>
      </c>
      <c r="I536" s="33">
        <v>0</v>
      </c>
      <c r="J536" s="33">
        <v>0</v>
      </c>
      <c r="K536" s="33">
        <v>0</v>
      </c>
      <c r="L536" s="101">
        <v>4.2203985932004695</v>
      </c>
      <c r="M536" s="108">
        <v>3700</v>
      </c>
      <c r="N536" s="108">
        <v>2350</v>
      </c>
      <c r="O536" s="142">
        <v>0</v>
      </c>
      <c r="P536" s="142">
        <v>0</v>
      </c>
      <c r="Q536" s="142">
        <v>0</v>
      </c>
      <c r="R536" s="142">
        <v>0</v>
      </c>
      <c r="S536" s="116">
        <v>0</v>
      </c>
      <c r="T536" s="116">
        <v>0</v>
      </c>
      <c r="U536" s="33" t="s">
        <v>226</v>
      </c>
      <c r="V536" s="33">
        <v>2015</v>
      </c>
      <c r="W536" s="33">
        <v>1</v>
      </c>
      <c r="X536" s="33">
        <v>0</v>
      </c>
      <c r="Y536" s="33">
        <v>-1.8E-3</v>
      </c>
      <c r="Z536" s="33">
        <v>-1.2E-2</v>
      </c>
      <c r="AA536" s="33">
        <v>0</v>
      </c>
      <c r="AB536" s="33">
        <v>0</v>
      </c>
      <c r="AC536" s="33" t="s">
        <v>361</v>
      </c>
      <c r="AD536" s="158"/>
    </row>
    <row r="537" spans="1:30" customFormat="1" hidden="1" x14ac:dyDescent="0.2">
      <c r="A537" s="153">
        <f t="shared" si="7"/>
        <v>513</v>
      </c>
      <c r="B537" s="33">
        <v>2</v>
      </c>
      <c r="C537" s="33">
        <v>2</v>
      </c>
      <c r="D537" s="33">
        <v>6</v>
      </c>
      <c r="E537" s="104">
        <v>2016</v>
      </c>
      <c r="F537" s="33">
        <v>2022</v>
      </c>
      <c r="G537" s="33">
        <v>9</v>
      </c>
      <c r="H537" s="33">
        <v>42</v>
      </c>
      <c r="I537" s="33">
        <v>0</v>
      </c>
      <c r="J537" s="33">
        <v>0</v>
      </c>
      <c r="K537" s="33">
        <v>0</v>
      </c>
      <c r="L537" s="101">
        <v>4.2203985932004695</v>
      </c>
      <c r="M537" s="108">
        <v>3700</v>
      </c>
      <c r="N537" s="108">
        <v>2350</v>
      </c>
      <c r="O537" s="142">
        <v>0</v>
      </c>
      <c r="P537" s="142">
        <v>0</v>
      </c>
      <c r="Q537" s="142">
        <v>0</v>
      </c>
      <c r="R537" s="142">
        <v>0</v>
      </c>
      <c r="S537" s="116">
        <v>0</v>
      </c>
      <c r="T537" s="116">
        <v>0</v>
      </c>
      <c r="U537" s="33" t="s">
        <v>226</v>
      </c>
      <c r="V537" s="33">
        <v>2015</v>
      </c>
      <c r="W537" s="33">
        <v>1</v>
      </c>
      <c r="X537" s="33">
        <v>0</v>
      </c>
      <c r="Y537" s="33">
        <v>-1.8E-3</v>
      </c>
      <c r="Z537" s="33">
        <v>-1.2E-2</v>
      </c>
      <c r="AA537" s="33">
        <v>0</v>
      </c>
      <c r="AB537" s="33">
        <v>0</v>
      </c>
      <c r="AC537" s="33" t="s">
        <v>361</v>
      </c>
      <c r="AD537" s="158"/>
    </row>
    <row r="538" spans="1:30" customFormat="1" hidden="1" x14ac:dyDescent="0.2">
      <c r="A538" s="153">
        <f t="shared" si="7"/>
        <v>514</v>
      </c>
      <c r="B538" s="33">
        <v>2</v>
      </c>
      <c r="C538" s="33">
        <v>2</v>
      </c>
      <c r="D538" s="33">
        <v>6</v>
      </c>
      <c r="E538" s="104">
        <v>2023</v>
      </c>
      <c r="F538" s="33">
        <v>2050</v>
      </c>
      <c r="G538" s="33">
        <v>1</v>
      </c>
      <c r="H538" s="33">
        <v>42</v>
      </c>
      <c r="I538" s="33">
        <v>0</v>
      </c>
      <c r="J538" s="33">
        <v>0</v>
      </c>
      <c r="K538" s="33">
        <v>0</v>
      </c>
      <c r="L538" s="101">
        <v>4.2203985932004695</v>
      </c>
      <c r="M538" s="108">
        <v>3700</v>
      </c>
      <c r="N538" s="108">
        <v>2350</v>
      </c>
      <c r="O538" s="142">
        <v>0</v>
      </c>
      <c r="P538" s="142">
        <v>0</v>
      </c>
      <c r="Q538" s="149">
        <v>0</v>
      </c>
      <c r="R538" s="149">
        <v>0</v>
      </c>
      <c r="S538" s="116">
        <v>0</v>
      </c>
      <c r="T538" s="116">
        <v>0</v>
      </c>
      <c r="U538" s="33" t="s">
        <v>226</v>
      </c>
      <c r="V538" s="33">
        <v>2015</v>
      </c>
      <c r="W538" s="33">
        <v>1</v>
      </c>
      <c r="X538" s="33">
        <v>0</v>
      </c>
      <c r="Y538" s="33">
        <v>-1.8E-3</v>
      </c>
      <c r="Z538" s="33">
        <v>-1.2E-2</v>
      </c>
      <c r="AA538" s="33">
        <v>0</v>
      </c>
      <c r="AB538" s="33">
        <v>0</v>
      </c>
      <c r="AC538" s="33" t="s">
        <v>361</v>
      </c>
      <c r="AD538" s="158"/>
    </row>
    <row r="539" spans="1:30" customFormat="1" hidden="1" x14ac:dyDescent="0.2">
      <c r="A539" s="153">
        <f t="shared" ref="A539:A602" si="8">A538+1</f>
        <v>515</v>
      </c>
      <c r="B539" s="33">
        <v>2</v>
      </c>
      <c r="C539" s="33">
        <v>2</v>
      </c>
      <c r="D539" s="33">
        <v>6</v>
      </c>
      <c r="E539" s="104">
        <v>2023</v>
      </c>
      <c r="F539" s="33">
        <v>2050</v>
      </c>
      <c r="G539" s="33">
        <v>2</v>
      </c>
      <c r="H539" s="33">
        <v>42</v>
      </c>
      <c r="I539" s="33">
        <v>0</v>
      </c>
      <c r="J539" s="33">
        <v>0</v>
      </c>
      <c r="K539" s="33">
        <v>0</v>
      </c>
      <c r="L539" s="101">
        <v>4.2203985932004695</v>
      </c>
      <c r="M539" s="108">
        <v>3700</v>
      </c>
      <c r="N539" s="108">
        <v>2350</v>
      </c>
      <c r="O539" s="142">
        <v>0</v>
      </c>
      <c r="P539" s="142">
        <v>0</v>
      </c>
      <c r="Q539" s="149">
        <v>0</v>
      </c>
      <c r="R539" s="149">
        <v>0</v>
      </c>
      <c r="S539" s="116">
        <v>0</v>
      </c>
      <c r="T539" s="116">
        <v>0</v>
      </c>
      <c r="U539" s="33" t="s">
        <v>226</v>
      </c>
      <c r="V539" s="33">
        <v>2015</v>
      </c>
      <c r="W539" s="33">
        <v>1</v>
      </c>
      <c r="X539" s="33">
        <v>0</v>
      </c>
      <c r="Y539" s="33">
        <v>-1.8E-3</v>
      </c>
      <c r="Z539" s="33">
        <v>-1.2E-2</v>
      </c>
      <c r="AA539" s="33">
        <v>0</v>
      </c>
      <c r="AB539" s="33">
        <v>0</v>
      </c>
      <c r="AC539" s="33" t="s">
        <v>361</v>
      </c>
      <c r="AD539" s="158"/>
    </row>
    <row r="540" spans="1:30" customFormat="1" x14ac:dyDescent="0.2">
      <c r="A540" s="153">
        <f t="shared" si="8"/>
        <v>516</v>
      </c>
      <c r="B540" s="33">
        <v>2</v>
      </c>
      <c r="C540" s="33">
        <v>2</v>
      </c>
      <c r="D540" s="33">
        <v>6</v>
      </c>
      <c r="E540" s="104">
        <v>2023</v>
      </c>
      <c r="F540" s="33">
        <v>2050</v>
      </c>
      <c r="G540" s="33">
        <v>3</v>
      </c>
      <c r="H540" s="33">
        <v>42</v>
      </c>
      <c r="I540" s="33">
        <v>0</v>
      </c>
      <c r="J540" s="33">
        <v>0</v>
      </c>
      <c r="K540" s="33">
        <v>0</v>
      </c>
      <c r="L540" s="101">
        <v>4.2203985932004695</v>
      </c>
      <c r="M540" s="108">
        <v>3700</v>
      </c>
      <c r="N540" s="108">
        <v>2350</v>
      </c>
      <c r="O540" s="142">
        <v>0</v>
      </c>
      <c r="P540" s="142">
        <v>0</v>
      </c>
      <c r="Q540" s="149">
        <v>0</v>
      </c>
      <c r="R540" s="149">
        <v>0</v>
      </c>
      <c r="S540" s="116">
        <v>0</v>
      </c>
      <c r="T540" s="116">
        <v>0</v>
      </c>
      <c r="U540" s="33" t="s">
        <v>226</v>
      </c>
      <c r="V540" s="33">
        <v>2015</v>
      </c>
      <c r="W540" s="33">
        <v>1</v>
      </c>
      <c r="X540" s="33">
        <v>0</v>
      </c>
      <c r="Y540" s="33">
        <v>-1.8E-3</v>
      </c>
      <c r="Z540" s="33">
        <v>-1.2E-2</v>
      </c>
      <c r="AA540" s="33">
        <v>0</v>
      </c>
      <c r="AB540" s="33">
        <v>0</v>
      </c>
      <c r="AC540" s="33" t="s">
        <v>361</v>
      </c>
      <c r="AD540" s="158"/>
    </row>
    <row r="541" spans="1:30" customFormat="1" hidden="1" x14ac:dyDescent="0.2">
      <c r="A541" s="153">
        <f t="shared" si="8"/>
        <v>517</v>
      </c>
      <c r="B541" s="33">
        <v>2</v>
      </c>
      <c r="C541" s="33">
        <v>2</v>
      </c>
      <c r="D541" s="33">
        <v>6</v>
      </c>
      <c r="E541" s="104">
        <v>2023</v>
      </c>
      <c r="F541" s="33">
        <v>2050</v>
      </c>
      <c r="G541" s="33">
        <v>4</v>
      </c>
      <c r="H541" s="33">
        <v>42</v>
      </c>
      <c r="I541" s="33">
        <v>0</v>
      </c>
      <c r="J541" s="33">
        <v>0</v>
      </c>
      <c r="K541" s="33">
        <v>0</v>
      </c>
      <c r="L541" s="101">
        <v>4.2203985932004695</v>
      </c>
      <c r="M541" s="108">
        <v>3700</v>
      </c>
      <c r="N541" s="108">
        <v>2350</v>
      </c>
      <c r="O541" s="142">
        <v>0</v>
      </c>
      <c r="P541" s="142">
        <v>0</v>
      </c>
      <c r="Q541" s="149">
        <v>0</v>
      </c>
      <c r="R541" s="149">
        <v>0</v>
      </c>
      <c r="S541" s="116">
        <v>0</v>
      </c>
      <c r="T541" s="116">
        <v>0</v>
      </c>
      <c r="U541" s="33" t="s">
        <v>226</v>
      </c>
      <c r="V541" s="33">
        <v>2015</v>
      </c>
      <c r="W541" s="33">
        <v>1</v>
      </c>
      <c r="X541" s="33">
        <v>0</v>
      </c>
      <c r="Y541" s="33">
        <v>-1.8E-3</v>
      </c>
      <c r="Z541" s="33">
        <v>-1.2E-2</v>
      </c>
      <c r="AA541" s="33">
        <v>0</v>
      </c>
      <c r="AB541" s="33">
        <v>0</v>
      </c>
      <c r="AC541" s="33" t="s">
        <v>361</v>
      </c>
      <c r="AD541" s="158"/>
    </row>
    <row r="542" spans="1:30" customFormat="1" hidden="1" x14ac:dyDescent="0.2">
      <c r="A542" s="153">
        <f t="shared" si="8"/>
        <v>518</v>
      </c>
      <c r="B542" s="33">
        <v>2</v>
      </c>
      <c r="C542" s="33">
        <v>2</v>
      </c>
      <c r="D542" s="33">
        <v>6</v>
      </c>
      <c r="E542" s="104">
        <v>2023</v>
      </c>
      <c r="F542" s="33">
        <v>2050</v>
      </c>
      <c r="G542" s="33">
        <v>5</v>
      </c>
      <c r="H542" s="33">
        <v>42</v>
      </c>
      <c r="I542" s="33">
        <v>0</v>
      </c>
      <c r="J542" s="33">
        <v>0</v>
      </c>
      <c r="K542" s="33">
        <v>0</v>
      </c>
      <c r="L542" s="101">
        <v>4.425556858147714</v>
      </c>
      <c r="M542" s="108">
        <v>4100</v>
      </c>
      <c r="N542" s="108">
        <v>2700</v>
      </c>
      <c r="O542" s="142">
        <v>0</v>
      </c>
      <c r="P542" s="142">
        <v>0</v>
      </c>
      <c r="Q542" s="149">
        <v>0</v>
      </c>
      <c r="R542" s="149">
        <v>0</v>
      </c>
      <c r="S542" s="116">
        <v>0</v>
      </c>
      <c r="T542" s="116">
        <v>0</v>
      </c>
      <c r="U542" s="33" t="s">
        <v>226</v>
      </c>
      <c r="V542" s="33">
        <v>2015</v>
      </c>
      <c r="W542" s="33">
        <v>1</v>
      </c>
      <c r="X542" s="33">
        <v>0</v>
      </c>
      <c r="Y542" s="33">
        <v>-1.8E-3</v>
      </c>
      <c r="Z542" s="33">
        <v>-1.2E-2</v>
      </c>
      <c r="AA542" s="33">
        <v>0</v>
      </c>
      <c r="AB542" s="33">
        <v>0</v>
      </c>
      <c r="AC542" s="33" t="s">
        <v>361</v>
      </c>
      <c r="AD542" s="158"/>
    </row>
    <row r="543" spans="1:30" customFormat="1" hidden="1" x14ac:dyDescent="0.2">
      <c r="A543" s="153">
        <f t="shared" si="8"/>
        <v>519</v>
      </c>
      <c r="B543" s="33">
        <v>2</v>
      </c>
      <c r="C543" s="33">
        <v>2</v>
      </c>
      <c r="D543" s="33">
        <v>6</v>
      </c>
      <c r="E543" s="104">
        <v>2023</v>
      </c>
      <c r="F543" s="33">
        <v>2050</v>
      </c>
      <c r="G543" s="33">
        <v>6</v>
      </c>
      <c r="H543" s="33">
        <v>42</v>
      </c>
      <c r="I543" s="33">
        <v>0</v>
      </c>
      <c r="J543" s="33">
        <v>0</v>
      </c>
      <c r="K543" s="33">
        <v>0</v>
      </c>
      <c r="L543" s="101">
        <v>4.425556858147714</v>
      </c>
      <c r="M543" s="108">
        <v>4100</v>
      </c>
      <c r="N543" s="108">
        <v>2700</v>
      </c>
      <c r="O543" s="142">
        <v>0</v>
      </c>
      <c r="P543" s="142">
        <v>0</v>
      </c>
      <c r="Q543" s="149">
        <v>0</v>
      </c>
      <c r="R543" s="149">
        <v>0</v>
      </c>
      <c r="S543" s="116">
        <v>0</v>
      </c>
      <c r="T543" s="116">
        <v>0</v>
      </c>
      <c r="U543" s="33" t="s">
        <v>226</v>
      </c>
      <c r="V543" s="33">
        <v>2015</v>
      </c>
      <c r="W543" s="33">
        <v>1</v>
      </c>
      <c r="X543" s="33">
        <v>0</v>
      </c>
      <c r="Y543" s="33">
        <v>-1.8E-3</v>
      </c>
      <c r="Z543" s="33">
        <v>-1.2E-2</v>
      </c>
      <c r="AA543" s="33">
        <v>0</v>
      </c>
      <c r="AB543" s="33">
        <v>0</v>
      </c>
      <c r="AC543" s="33" t="s">
        <v>361</v>
      </c>
      <c r="AD543" s="158"/>
    </row>
    <row r="544" spans="1:30" customFormat="1" hidden="1" x14ac:dyDescent="0.2">
      <c r="A544" s="153">
        <f t="shared" si="8"/>
        <v>520</v>
      </c>
      <c r="B544" s="33">
        <v>2</v>
      </c>
      <c r="C544" s="33">
        <v>2</v>
      </c>
      <c r="D544" s="33">
        <v>6</v>
      </c>
      <c r="E544" s="104">
        <v>2023</v>
      </c>
      <c r="F544" s="33">
        <v>2050</v>
      </c>
      <c r="G544" s="33">
        <v>7</v>
      </c>
      <c r="H544" s="33">
        <v>42</v>
      </c>
      <c r="I544" s="33">
        <v>0</v>
      </c>
      <c r="J544" s="33">
        <v>0</v>
      </c>
      <c r="K544" s="33">
        <v>0</v>
      </c>
      <c r="L544" s="101">
        <v>4.425556858147714</v>
      </c>
      <c r="M544" s="108">
        <v>4100</v>
      </c>
      <c r="N544" s="108">
        <v>2700</v>
      </c>
      <c r="O544" s="142">
        <v>0</v>
      </c>
      <c r="P544" s="142">
        <v>0</v>
      </c>
      <c r="Q544" s="149">
        <v>0</v>
      </c>
      <c r="R544" s="149">
        <v>0</v>
      </c>
      <c r="S544" s="116">
        <v>0</v>
      </c>
      <c r="T544" s="116">
        <v>0</v>
      </c>
      <c r="U544" s="33" t="s">
        <v>226</v>
      </c>
      <c r="V544" s="33">
        <v>2015</v>
      </c>
      <c r="W544" s="33">
        <v>1</v>
      </c>
      <c r="X544" s="33">
        <v>0</v>
      </c>
      <c r="Y544" s="33">
        <v>-1.8E-3</v>
      </c>
      <c r="Z544" s="33">
        <v>-1.2E-2</v>
      </c>
      <c r="AA544" s="33">
        <v>0</v>
      </c>
      <c r="AB544" s="33">
        <v>0</v>
      </c>
      <c r="AC544" s="33" t="s">
        <v>361</v>
      </c>
      <c r="AD544" s="158"/>
    </row>
    <row r="545" spans="1:30" customFormat="1" hidden="1" x14ac:dyDescent="0.2">
      <c r="A545" s="153">
        <f t="shared" si="8"/>
        <v>521</v>
      </c>
      <c r="B545" s="33">
        <v>2</v>
      </c>
      <c r="C545" s="33">
        <v>2</v>
      </c>
      <c r="D545" s="33">
        <v>6</v>
      </c>
      <c r="E545" s="104">
        <v>2023</v>
      </c>
      <c r="F545" s="33">
        <v>2050</v>
      </c>
      <c r="G545" s="33">
        <v>8</v>
      </c>
      <c r="H545" s="33">
        <v>42</v>
      </c>
      <c r="I545" s="33">
        <v>0</v>
      </c>
      <c r="J545" s="33">
        <v>0</v>
      </c>
      <c r="K545" s="33">
        <v>0</v>
      </c>
      <c r="L545" s="101">
        <v>4.425556858147714</v>
      </c>
      <c r="M545" s="108">
        <v>4100</v>
      </c>
      <c r="N545" s="108">
        <v>2700</v>
      </c>
      <c r="O545" s="142">
        <v>0</v>
      </c>
      <c r="P545" s="142">
        <v>0</v>
      </c>
      <c r="Q545" s="149">
        <v>0</v>
      </c>
      <c r="R545" s="149">
        <v>0</v>
      </c>
      <c r="S545" s="116">
        <v>0</v>
      </c>
      <c r="T545" s="116">
        <v>0</v>
      </c>
      <c r="U545" s="33" t="s">
        <v>226</v>
      </c>
      <c r="V545" s="33">
        <v>2015</v>
      </c>
      <c r="W545" s="33">
        <v>1</v>
      </c>
      <c r="X545" s="33">
        <v>0</v>
      </c>
      <c r="Y545" s="33">
        <v>-1.8E-3</v>
      </c>
      <c r="Z545" s="33">
        <v>-1.2E-2</v>
      </c>
      <c r="AA545" s="33">
        <v>0</v>
      </c>
      <c r="AB545" s="33">
        <v>0</v>
      </c>
      <c r="AC545" s="33" t="s">
        <v>361</v>
      </c>
      <c r="AD545" s="158"/>
    </row>
    <row r="546" spans="1:30" customFormat="1" hidden="1" x14ac:dyDescent="0.2">
      <c r="A546" s="153">
        <f t="shared" si="8"/>
        <v>522</v>
      </c>
      <c r="B546" s="33">
        <v>2</v>
      </c>
      <c r="C546" s="33">
        <v>2</v>
      </c>
      <c r="D546" s="33">
        <v>6</v>
      </c>
      <c r="E546" s="104">
        <v>2023</v>
      </c>
      <c r="F546" s="33">
        <v>2050</v>
      </c>
      <c r="G546" s="33">
        <v>9</v>
      </c>
      <c r="H546" s="33">
        <v>42</v>
      </c>
      <c r="I546" s="33">
        <v>0</v>
      </c>
      <c r="J546" s="33">
        <v>0</v>
      </c>
      <c r="K546" s="33">
        <v>0</v>
      </c>
      <c r="L546" s="101">
        <v>4.425556858147714</v>
      </c>
      <c r="M546" s="108">
        <v>4100</v>
      </c>
      <c r="N546" s="108">
        <v>2700</v>
      </c>
      <c r="O546" s="142">
        <v>0</v>
      </c>
      <c r="P546" s="142">
        <v>0</v>
      </c>
      <c r="Q546" s="149">
        <v>0</v>
      </c>
      <c r="R546" s="149">
        <v>0</v>
      </c>
      <c r="S546" s="116">
        <v>0</v>
      </c>
      <c r="T546" s="116">
        <v>0</v>
      </c>
      <c r="U546" s="33" t="s">
        <v>226</v>
      </c>
      <c r="V546" s="33">
        <v>2015</v>
      </c>
      <c r="W546" s="33">
        <v>1</v>
      </c>
      <c r="X546" s="33">
        <v>0</v>
      </c>
      <c r="Y546" s="33">
        <v>-1.8E-3</v>
      </c>
      <c r="Z546" s="33">
        <v>-1.2E-2</v>
      </c>
      <c r="AA546" s="33">
        <v>0</v>
      </c>
      <c r="AB546" s="33">
        <v>0</v>
      </c>
      <c r="AC546" s="33" t="s">
        <v>361</v>
      </c>
      <c r="AD546" s="158"/>
    </row>
    <row r="547" spans="1:30" customFormat="1" hidden="1" x14ac:dyDescent="0.2">
      <c r="A547" s="153">
        <f t="shared" si="8"/>
        <v>523</v>
      </c>
      <c r="B547" s="33">
        <v>2</v>
      </c>
      <c r="C547" s="33">
        <v>2</v>
      </c>
      <c r="D547" s="33">
        <v>7</v>
      </c>
      <c r="E547" s="104">
        <v>2016</v>
      </c>
      <c r="F547" s="33">
        <v>2022</v>
      </c>
      <c r="G547" s="33">
        <v>1</v>
      </c>
      <c r="H547" s="33">
        <v>43</v>
      </c>
      <c r="I547" s="33">
        <v>0</v>
      </c>
      <c r="J547" s="33">
        <v>0</v>
      </c>
      <c r="K547" s="33">
        <v>0</v>
      </c>
      <c r="L547" s="101">
        <v>4.3962485345838216</v>
      </c>
      <c r="M547" s="108">
        <v>4000</v>
      </c>
      <c r="N547" s="108">
        <v>2650</v>
      </c>
      <c r="O547" s="142">
        <v>0</v>
      </c>
      <c r="P547" s="142">
        <v>0</v>
      </c>
      <c r="Q547" s="142">
        <v>0</v>
      </c>
      <c r="R547" s="141">
        <v>0</v>
      </c>
      <c r="S547" s="116">
        <v>0</v>
      </c>
      <c r="T547" s="116">
        <v>0</v>
      </c>
      <c r="U547" s="33" t="s">
        <v>226</v>
      </c>
      <c r="V547" s="33">
        <v>2015</v>
      </c>
      <c r="W547" s="33">
        <v>1</v>
      </c>
      <c r="X547" s="33">
        <v>0</v>
      </c>
      <c r="Y547" s="33">
        <v>-1.8E-3</v>
      </c>
      <c r="Z547" s="33">
        <v>-1.2E-2</v>
      </c>
      <c r="AA547" s="33">
        <v>0</v>
      </c>
      <c r="AB547" s="33">
        <v>0</v>
      </c>
      <c r="AC547" s="33" t="s">
        <v>362</v>
      </c>
      <c r="AD547" s="158"/>
    </row>
    <row r="548" spans="1:30" customFormat="1" hidden="1" x14ac:dyDescent="0.2">
      <c r="A548" s="153">
        <f t="shared" si="8"/>
        <v>524</v>
      </c>
      <c r="B548" s="33">
        <v>2</v>
      </c>
      <c r="C548" s="33">
        <v>2</v>
      </c>
      <c r="D548" s="33">
        <v>7</v>
      </c>
      <c r="E548" s="104">
        <v>2016</v>
      </c>
      <c r="F548" s="33">
        <v>2022</v>
      </c>
      <c r="G548" s="33">
        <v>2</v>
      </c>
      <c r="H548" s="33">
        <v>43</v>
      </c>
      <c r="I548" s="33">
        <v>0</v>
      </c>
      <c r="J548" s="33">
        <v>0</v>
      </c>
      <c r="K548" s="33">
        <v>0</v>
      </c>
      <c r="L548" s="101">
        <v>4.3962485345838216</v>
      </c>
      <c r="M548" s="108">
        <v>4000</v>
      </c>
      <c r="N548" s="108">
        <v>2650</v>
      </c>
      <c r="O548" s="142">
        <v>0</v>
      </c>
      <c r="P548" s="142">
        <v>0</v>
      </c>
      <c r="Q548" s="142">
        <v>0</v>
      </c>
      <c r="R548" s="141">
        <v>0</v>
      </c>
      <c r="S548" s="116">
        <v>0</v>
      </c>
      <c r="T548" s="116">
        <v>0</v>
      </c>
      <c r="U548" s="33" t="s">
        <v>226</v>
      </c>
      <c r="V548" s="33">
        <v>2015</v>
      </c>
      <c r="W548" s="33">
        <v>1</v>
      </c>
      <c r="X548" s="33">
        <v>0</v>
      </c>
      <c r="Y548" s="33">
        <v>-1.8E-3</v>
      </c>
      <c r="Z548" s="33">
        <v>-1.2E-2</v>
      </c>
      <c r="AA548" s="33">
        <v>0</v>
      </c>
      <c r="AB548" s="33">
        <v>0</v>
      </c>
      <c r="AC548" s="33" t="s">
        <v>362</v>
      </c>
      <c r="AD548" s="158"/>
    </row>
    <row r="549" spans="1:30" customFormat="1" x14ac:dyDescent="0.2">
      <c r="A549" s="153">
        <f t="shared" si="8"/>
        <v>525</v>
      </c>
      <c r="B549" s="33">
        <v>2</v>
      </c>
      <c r="C549" s="33">
        <v>2</v>
      </c>
      <c r="D549" s="33">
        <v>7</v>
      </c>
      <c r="E549" s="104">
        <v>2016</v>
      </c>
      <c r="F549" s="33">
        <v>2022</v>
      </c>
      <c r="G549" s="33">
        <v>3</v>
      </c>
      <c r="H549" s="33">
        <v>43</v>
      </c>
      <c r="I549" s="33">
        <v>0</v>
      </c>
      <c r="J549" s="33">
        <v>0</v>
      </c>
      <c r="K549" s="33">
        <v>0</v>
      </c>
      <c r="L549" s="101">
        <v>4.3962485345838216</v>
      </c>
      <c r="M549" s="108">
        <v>4000</v>
      </c>
      <c r="N549" s="108">
        <v>2650</v>
      </c>
      <c r="O549" s="142">
        <v>0</v>
      </c>
      <c r="P549" s="142">
        <v>0</v>
      </c>
      <c r="Q549" s="142">
        <v>0</v>
      </c>
      <c r="R549" s="141">
        <v>0</v>
      </c>
      <c r="S549" s="116">
        <v>0</v>
      </c>
      <c r="T549" s="116">
        <v>0</v>
      </c>
      <c r="U549" s="33" t="s">
        <v>226</v>
      </c>
      <c r="V549" s="33">
        <v>2015</v>
      </c>
      <c r="W549" s="33">
        <v>1</v>
      </c>
      <c r="X549" s="33">
        <v>0</v>
      </c>
      <c r="Y549" s="33">
        <v>-1.8E-3</v>
      </c>
      <c r="Z549" s="33">
        <v>-1.2E-2</v>
      </c>
      <c r="AA549" s="33">
        <v>0</v>
      </c>
      <c r="AB549" s="33">
        <v>0</v>
      </c>
      <c r="AC549" s="33" t="s">
        <v>362</v>
      </c>
      <c r="AD549" s="158"/>
    </row>
    <row r="550" spans="1:30" customFormat="1" hidden="1" x14ac:dyDescent="0.2">
      <c r="A550" s="153">
        <f t="shared" si="8"/>
        <v>526</v>
      </c>
      <c r="B550" s="33">
        <v>2</v>
      </c>
      <c r="C550" s="33">
        <v>2</v>
      </c>
      <c r="D550" s="33">
        <v>7</v>
      </c>
      <c r="E550" s="104">
        <v>2016</v>
      </c>
      <c r="F550" s="33">
        <v>2022</v>
      </c>
      <c r="G550" s="33">
        <v>4</v>
      </c>
      <c r="H550" s="33">
        <v>43</v>
      </c>
      <c r="I550" s="33">
        <v>0</v>
      </c>
      <c r="J550" s="33">
        <v>0</v>
      </c>
      <c r="K550" s="33">
        <v>0</v>
      </c>
      <c r="L550" s="101">
        <v>4.3962485345838216</v>
      </c>
      <c r="M550" s="108">
        <v>4000</v>
      </c>
      <c r="N550" s="108">
        <v>2650</v>
      </c>
      <c r="O550" s="142">
        <v>0</v>
      </c>
      <c r="P550" s="142">
        <v>0</v>
      </c>
      <c r="Q550" s="142">
        <v>0</v>
      </c>
      <c r="R550" s="141">
        <v>0</v>
      </c>
      <c r="S550" s="116">
        <v>0</v>
      </c>
      <c r="T550" s="116">
        <v>0</v>
      </c>
      <c r="U550" s="33" t="s">
        <v>226</v>
      </c>
      <c r="V550" s="33">
        <v>2015</v>
      </c>
      <c r="W550" s="33">
        <v>1</v>
      </c>
      <c r="X550" s="33">
        <v>0</v>
      </c>
      <c r="Y550" s="33">
        <v>-1.8E-3</v>
      </c>
      <c r="Z550" s="33">
        <v>-1.2E-2</v>
      </c>
      <c r="AA550" s="33">
        <v>0</v>
      </c>
      <c r="AB550" s="33">
        <v>0</v>
      </c>
      <c r="AC550" s="33" t="s">
        <v>362</v>
      </c>
      <c r="AD550" s="158"/>
    </row>
    <row r="551" spans="1:30" customFormat="1" hidden="1" x14ac:dyDescent="0.2">
      <c r="A551" s="153">
        <f t="shared" si="8"/>
        <v>527</v>
      </c>
      <c r="B551" s="33">
        <v>2</v>
      </c>
      <c r="C551" s="33">
        <v>2</v>
      </c>
      <c r="D551" s="33">
        <v>7</v>
      </c>
      <c r="E551" s="104">
        <v>2016</v>
      </c>
      <c r="F551" s="33">
        <v>2022</v>
      </c>
      <c r="G551" s="33">
        <v>5</v>
      </c>
      <c r="H551" s="33">
        <v>43</v>
      </c>
      <c r="I551" s="33">
        <v>0</v>
      </c>
      <c r="J551" s="33">
        <v>0</v>
      </c>
      <c r="K551" s="33">
        <v>0</v>
      </c>
      <c r="L551" s="101">
        <v>4.3962485345838216</v>
      </c>
      <c r="M551" s="108">
        <v>4000</v>
      </c>
      <c r="N551" s="108">
        <v>2650</v>
      </c>
      <c r="O551" s="142">
        <v>0</v>
      </c>
      <c r="P551" s="142">
        <v>0</v>
      </c>
      <c r="Q551" s="142">
        <v>0</v>
      </c>
      <c r="R551" s="141">
        <v>0</v>
      </c>
      <c r="S551" s="116">
        <v>0</v>
      </c>
      <c r="T551" s="116">
        <v>0</v>
      </c>
      <c r="U551" s="33" t="s">
        <v>226</v>
      </c>
      <c r="V551" s="33">
        <v>2015</v>
      </c>
      <c r="W551" s="33">
        <v>1</v>
      </c>
      <c r="X551" s="33">
        <v>0</v>
      </c>
      <c r="Y551" s="33">
        <v>-1.8E-3</v>
      </c>
      <c r="Z551" s="33">
        <v>-1.2E-2</v>
      </c>
      <c r="AA551" s="33">
        <v>0</v>
      </c>
      <c r="AB551" s="33">
        <v>0</v>
      </c>
      <c r="AC551" s="33" t="s">
        <v>362</v>
      </c>
      <c r="AD551" s="158"/>
    </row>
    <row r="552" spans="1:30" customFormat="1" hidden="1" x14ac:dyDescent="0.2">
      <c r="A552" s="153">
        <f t="shared" si="8"/>
        <v>528</v>
      </c>
      <c r="B552" s="33">
        <v>2</v>
      </c>
      <c r="C552" s="33">
        <v>2</v>
      </c>
      <c r="D552" s="33">
        <v>7</v>
      </c>
      <c r="E552" s="104">
        <v>2016</v>
      </c>
      <c r="F552" s="33">
        <v>2022</v>
      </c>
      <c r="G552" s="33">
        <v>6</v>
      </c>
      <c r="H552" s="33">
        <v>43</v>
      </c>
      <c r="I552" s="33">
        <v>0</v>
      </c>
      <c r="J552" s="33">
        <v>0</v>
      </c>
      <c r="K552" s="33">
        <v>0</v>
      </c>
      <c r="L552" s="101">
        <v>4.3962485345838216</v>
      </c>
      <c r="M552" s="108">
        <v>4000</v>
      </c>
      <c r="N552" s="108">
        <v>2650</v>
      </c>
      <c r="O552" s="142">
        <v>0</v>
      </c>
      <c r="P552" s="142">
        <v>0</v>
      </c>
      <c r="Q552" s="142">
        <v>0</v>
      </c>
      <c r="R552" s="141">
        <v>0</v>
      </c>
      <c r="S552" s="116">
        <v>0</v>
      </c>
      <c r="T552" s="116">
        <v>0</v>
      </c>
      <c r="U552" s="33" t="s">
        <v>226</v>
      </c>
      <c r="V552" s="33">
        <v>2015</v>
      </c>
      <c r="W552" s="33">
        <v>1</v>
      </c>
      <c r="X552" s="33">
        <v>0</v>
      </c>
      <c r="Y552" s="33">
        <v>-1.8E-3</v>
      </c>
      <c r="Z552" s="33">
        <v>-1.2E-2</v>
      </c>
      <c r="AA552" s="33">
        <v>0</v>
      </c>
      <c r="AB552" s="33">
        <v>0</v>
      </c>
      <c r="AC552" s="33" t="s">
        <v>362</v>
      </c>
      <c r="AD552" s="158"/>
    </row>
    <row r="553" spans="1:30" customFormat="1" hidden="1" x14ac:dyDescent="0.2">
      <c r="A553" s="153">
        <f t="shared" si="8"/>
        <v>529</v>
      </c>
      <c r="B553" s="33">
        <v>2</v>
      </c>
      <c r="C553" s="33">
        <v>2</v>
      </c>
      <c r="D553" s="33">
        <v>7</v>
      </c>
      <c r="E553" s="104">
        <v>2016</v>
      </c>
      <c r="F553" s="33">
        <v>2022</v>
      </c>
      <c r="G553" s="33">
        <v>7</v>
      </c>
      <c r="H553" s="33">
        <v>43</v>
      </c>
      <c r="I553" s="33">
        <v>0</v>
      </c>
      <c r="J553" s="33">
        <v>0</v>
      </c>
      <c r="K553" s="33">
        <v>0</v>
      </c>
      <c r="L553" s="101">
        <v>4.3962485345838216</v>
      </c>
      <c r="M553" s="108">
        <v>4000</v>
      </c>
      <c r="N553" s="108">
        <v>2650</v>
      </c>
      <c r="O553" s="142">
        <v>0</v>
      </c>
      <c r="P553" s="142">
        <v>0</v>
      </c>
      <c r="Q553" s="142">
        <v>0</v>
      </c>
      <c r="R553" s="141">
        <v>0</v>
      </c>
      <c r="S553" s="116">
        <v>0</v>
      </c>
      <c r="T553" s="116">
        <v>0</v>
      </c>
      <c r="U553" s="33" t="s">
        <v>226</v>
      </c>
      <c r="V553" s="33">
        <v>2015</v>
      </c>
      <c r="W553" s="33">
        <v>1</v>
      </c>
      <c r="X553" s="33">
        <v>0</v>
      </c>
      <c r="Y553" s="33">
        <v>-1.8E-3</v>
      </c>
      <c r="Z553" s="33">
        <v>-1.2E-2</v>
      </c>
      <c r="AA553" s="33">
        <v>0</v>
      </c>
      <c r="AB553" s="33">
        <v>0</v>
      </c>
      <c r="AC553" s="33" t="s">
        <v>362</v>
      </c>
      <c r="AD553" s="158"/>
    </row>
    <row r="554" spans="1:30" customFormat="1" hidden="1" x14ac:dyDescent="0.2">
      <c r="A554" s="153">
        <f t="shared" si="8"/>
        <v>530</v>
      </c>
      <c r="B554" s="33">
        <v>2</v>
      </c>
      <c r="C554" s="33">
        <v>2</v>
      </c>
      <c r="D554" s="33">
        <v>7</v>
      </c>
      <c r="E554" s="104">
        <v>2016</v>
      </c>
      <c r="F554" s="33">
        <v>2022</v>
      </c>
      <c r="G554" s="33">
        <v>8</v>
      </c>
      <c r="H554" s="33">
        <v>43</v>
      </c>
      <c r="I554" s="33">
        <v>0</v>
      </c>
      <c r="J554" s="33">
        <v>0</v>
      </c>
      <c r="K554" s="33">
        <v>0</v>
      </c>
      <c r="L554" s="101">
        <v>4.3962485345838216</v>
      </c>
      <c r="M554" s="108">
        <v>4000</v>
      </c>
      <c r="N554" s="108">
        <v>2650</v>
      </c>
      <c r="O554" s="142">
        <v>0</v>
      </c>
      <c r="P554" s="142">
        <v>0</v>
      </c>
      <c r="Q554" s="142">
        <v>0</v>
      </c>
      <c r="R554" s="141">
        <v>0</v>
      </c>
      <c r="S554" s="116">
        <v>0</v>
      </c>
      <c r="T554" s="116">
        <v>0</v>
      </c>
      <c r="U554" s="33" t="s">
        <v>226</v>
      </c>
      <c r="V554" s="33">
        <v>2015</v>
      </c>
      <c r="W554" s="33">
        <v>1</v>
      </c>
      <c r="X554" s="33">
        <v>0</v>
      </c>
      <c r="Y554" s="33">
        <v>-1.8E-3</v>
      </c>
      <c r="Z554" s="33">
        <v>-1.2E-2</v>
      </c>
      <c r="AA554" s="33">
        <v>0</v>
      </c>
      <c r="AB554" s="33">
        <v>0</v>
      </c>
      <c r="AC554" s="33" t="s">
        <v>362</v>
      </c>
      <c r="AD554" s="158"/>
    </row>
    <row r="555" spans="1:30" customFormat="1" hidden="1" x14ac:dyDescent="0.2">
      <c r="A555" s="153">
        <f t="shared" si="8"/>
        <v>531</v>
      </c>
      <c r="B555" s="33">
        <v>2</v>
      </c>
      <c r="C555" s="33">
        <v>2</v>
      </c>
      <c r="D555" s="33">
        <v>7</v>
      </c>
      <c r="E555" s="104">
        <v>2016</v>
      </c>
      <c r="F555" s="33">
        <v>2022</v>
      </c>
      <c r="G555" s="33">
        <v>9</v>
      </c>
      <c r="H555" s="33">
        <v>43</v>
      </c>
      <c r="I555" s="33">
        <v>0</v>
      </c>
      <c r="J555" s="33">
        <v>0</v>
      </c>
      <c r="K555" s="33">
        <v>0</v>
      </c>
      <c r="L555" s="101">
        <v>4.3962485345838216</v>
      </c>
      <c r="M555" s="108">
        <v>4000</v>
      </c>
      <c r="N555" s="108">
        <v>2650</v>
      </c>
      <c r="O555" s="142">
        <v>0</v>
      </c>
      <c r="P555" s="142">
        <v>0</v>
      </c>
      <c r="Q555" s="142">
        <v>0</v>
      </c>
      <c r="R555" s="141">
        <v>0</v>
      </c>
      <c r="S555" s="116">
        <v>0</v>
      </c>
      <c r="T555" s="116">
        <v>0</v>
      </c>
      <c r="U555" s="33" t="s">
        <v>226</v>
      </c>
      <c r="V555" s="33">
        <v>2015</v>
      </c>
      <c r="W555" s="33">
        <v>1</v>
      </c>
      <c r="X555" s="33">
        <v>0</v>
      </c>
      <c r="Y555" s="33">
        <v>-1.8E-3</v>
      </c>
      <c r="Z555" s="33">
        <v>-1.2E-2</v>
      </c>
      <c r="AA555" s="33">
        <v>0</v>
      </c>
      <c r="AB555" s="33">
        <v>0</v>
      </c>
      <c r="AC555" s="33" t="s">
        <v>362</v>
      </c>
      <c r="AD555" s="158"/>
    </row>
    <row r="556" spans="1:30" s="139" customFormat="1" hidden="1" x14ac:dyDescent="0.2">
      <c r="A556" s="153">
        <f t="shared" si="8"/>
        <v>532</v>
      </c>
      <c r="B556" s="33">
        <v>2</v>
      </c>
      <c r="C556" s="33">
        <v>2</v>
      </c>
      <c r="D556" s="33">
        <v>7</v>
      </c>
      <c r="E556" s="104">
        <v>2023</v>
      </c>
      <c r="F556" s="159">
        <v>2032</v>
      </c>
      <c r="G556" s="33">
        <v>1</v>
      </c>
      <c r="H556" s="33">
        <v>43</v>
      </c>
      <c r="I556" s="33">
        <v>0</v>
      </c>
      <c r="J556" s="33">
        <v>0</v>
      </c>
      <c r="K556" s="33">
        <v>0</v>
      </c>
      <c r="L556" s="101">
        <v>4.6893317702227435</v>
      </c>
      <c r="M556" s="108">
        <v>4266.6666666666679</v>
      </c>
      <c r="N556" s="108">
        <v>2826.6666666666674</v>
      </c>
      <c r="O556" s="160">
        <v>2000</v>
      </c>
      <c r="P556" s="142">
        <v>0</v>
      </c>
      <c r="Q556" s="141">
        <v>0</v>
      </c>
      <c r="R556" s="141">
        <v>0</v>
      </c>
      <c r="S556" s="116">
        <v>0</v>
      </c>
      <c r="T556" s="116">
        <v>0</v>
      </c>
      <c r="U556" s="33" t="s">
        <v>226</v>
      </c>
      <c r="V556" s="33">
        <v>2015</v>
      </c>
      <c r="W556" s="33">
        <v>1</v>
      </c>
      <c r="X556" s="33">
        <v>0</v>
      </c>
      <c r="Y556" s="33">
        <v>-1.8E-3</v>
      </c>
      <c r="Z556" s="33">
        <v>-1.2E-2</v>
      </c>
      <c r="AA556" s="33">
        <v>0</v>
      </c>
      <c r="AB556" s="33">
        <v>0</v>
      </c>
      <c r="AC556" s="33" t="s">
        <v>362</v>
      </c>
      <c r="AD556" s="158"/>
    </row>
    <row r="557" spans="1:30" s="139" customFormat="1" hidden="1" x14ac:dyDescent="0.2">
      <c r="A557" s="153">
        <f t="shared" si="8"/>
        <v>533</v>
      </c>
      <c r="B557" s="33">
        <v>2</v>
      </c>
      <c r="C557" s="33">
        <v>2</v>
      </c>
      <c r="D557" s="33">
        <v>7</v>
      </c>
      <c r="E557" s="104">
        <v>2023</v>
      </c>
      <c r="F557" s="159">
        <v>2032</v>
      </c>
      <c r="G557" s="33">
        <v>2</v>
      </c>
      <c r="H557" s="33">
        <v>43</v>
      </c>
      <c r="I557" s="33">
        <v>0</v>
      </c>
      <c r="J557" s="33">
        <v>0</v>
      </c>
      <c r="K557" s="33">
        <v>0</v>
      </c>
      <c r="L557" s="101">
        <v>4.6893317702227435</v>
      </c>
      <c r="M557" s="108">
        <v>4266.6666666666679</v>
      </c>
      <c r="N557" s="108">
        <v>2826.6666666666674</v>
      </c>
      <c r="O557" s="160">
        <v>2000</v>
      </c>
      <c r="P557" s="142">
        <v>0</v>
      </c>
      <c r="Q557" s="141">
        <v>0</v>
      </c>
      <c r="R557" s="141">
        <v>0</v>
      </c>
      <c r="S557" s="116">
        <v>0</v>
      </c>
      <c r="T557" s="116">
        <v>0</v>
      </c>
      <c r="U557" s="33" t="s">
        <v>226</v>
      </c>
      <c r="V557" s="33">
        <v>2015</v>
      </c>
      <c r="W557" s="33">
        <v>1</v>
      </c>
      <c r="X557" s="33">
        <v>0</v>
      </c>
      <c r="Y557" s="33">
        <v>-1.8E-3</v>
      </c>
      <c r="Z557" s="33">
        <v>-1.2E-2</v>
      </c>
      <c r="AA557" s="33">
        <v>0</v>
      </c>
      <c r="AB557" s="33">
        <v>0</v>
      </c>
      <c r="AC557" s="33" t="s">
        <v>362</v>
      </c>
      <c r="AD557" s="158"/>
    </row>
    <row r="558" spans="1:30" s="139" customFormat="1" x14ac:dyDescent="0.2">
      <c r="A558" s="153">
        <f t="shared" si="8"/>
        <v>534</v>
      </c>
      <c r="B558" s="33">
        <v>2</v>
      </c>
      <c r="C558" s="33">
        <v>2</v>
      </c>
      <c r="D558" s="33">
        <v>7</v>
      </c>
      <c r="E558" s="104">
        <v>2023</v>
      </c>
      <c r="F558" s="159">
        <v>2032</v>
      </c>
      <c r="G558" s="33">
        <v>3</v>
      </c>
      <c r="H558" s="33">
        <v>43</v>
      </c>
      <c r="I558" s="33">
        <v>0</v>
      </c>
      <c r="J558" s="33">
        <v>0</v>
      </c>
      <c r="K558" s="33">
        <v>0</v>
      </c>
      <c r="L558" s="101">
        <v>4.6893317702227435</v>
      </c>
      <c r="M558" s="108">
        <v>4266.6666666666679</v>
      </c>
      <c r="N558" s="108">
        <v>2826.6666666666674</v>
      </c>
      <c r="O558" s="160">
        <v>2000</v>
      </c>
      <c r="P558" s="142">
        <v>0</v>
      </c>
      <c r="Q558" s="141">
        <v>0</v>
      </c>
      <c r="R558" s="141">
        <v>0</v>
      </c>
      <c r="S558" s="116">
        <v>0</v>
      </c>
      <c r="T558" s="116">
        <v>0</v>
      </c>
      <c r="U558" s="33" t="s">
        <v>226</v>
      </c>
      <c r="V558" s="33">
        <v>2015</v>
      </c>
      <c r="W558" s="33">
        <v>1</v>
      </c>
      <c r="X558" s="33">
        <v>0</v>
      </c>
      <c r="Y558" s="33">
        <v>-1.8E-3</v>
      </c>
      <c r="Z558" s="33">
        <v>-1.2E-2</v>
      </c>
      <c r="AA558" s="33">
        <v>0</v>
      </c>
      <c r="AB558" s="33">
        <v>0</v>
      </c>
      <c r="AC558" s="33" t="s">
        <v>362</v>
      </c>
      <c r="AD558" s="158"/>
    </row>
    <row r="559" spans="1:30" s="139" customFormat="1" hidden="1" x14ac:dyDescent="0.2">
      <c r="A559" s="153">
        <f t="shared" si="8"/>
        <v>535</v>
      </c>
      <c r="B559" s="33">
        <v>2</v>
      </c>
      <c r="C559" s="33">
        <v>2</v>
      </c>
      <c r="D559" s="33">
        <v>7</v>
      </c>
      <c r="E559" s="104">
        <v>2023</v>
      </c>
      <c r="F559" s="159">
        <v>2032</v>
      </c>
      <c r="G559" s="33">
        <v>4</v>
      </c>
      <c r="H559" s="33">
        <v>43</v>
      </c>
      <c r="I559" s="33">
        <v>0</v>
      </c>
      <c r="J559" s="33">
        <v>0</v>
      </c>
      <c r="K559" s="33">
        <v>0</v>
      </c>
      <c r="L559" s="101">
        <v>4.6893317702227435</v>
      </c>
      <c r="M559" s="108">
        <v>4266.6666666666679</v>
      </c>
      <c r="N559" s="108">
        <v>2826.6666666666674</v>
      </c>
      <c r="O559" s="160">
        <v>2000</v>
      </c>
      <c r="P559" s="142">
        <v>0</v>
      </c>
      <c r="Q559" s="141">
        <v>0</v>
      </c>
      <c r="R559" s="141">
        <v>0</v>
      </c>
      <c r="S559" s="116">
        <v>0</v>
      </c>
      <c r="T559" s="116">
        <v>0</v>
      </c>
      <c r="U559" s="33" t="s">
        <v>226</v>
      </c>
      <c r="V559" s="33">
        <v>2015</v>
      </c>
      <c r="W559" s="33">
        <v>1</v>
      </c>
      <c r="X559" s="33">
        <v>0</v>
      </c>
      <c r="Y559" s="33">
        <v>-1.8E-3</v>
      </c>
      <c r="Z559" s="33">
        <v>-1.2E-2</v>
      </c>
      <c r="AA559" s="33">
        <v>0</v>
      </c>
      <c r="AB559" s="33">
        <v>0</v>
      </c>
      <c r="AC559" s="33" t="s">
        <v>362</v>
      </c>
      <c r="AD559" s="158"/>
    </row>
    <row r="560" spans="1:30" s="139" customFormat="1" hidden="1" x14ac:dyDescent="0.2">
      <c r="A560" s="153">
        <f t="shared" si="8"/>
        <v>536</v>
      </c>
      <c r="B560" s="33">
        <v>2</v>
      </c>
      <c r="C560" s="33">
        <v>2</v>
      </c>
      <c r="D560" s="33">
        <v>7</v>
      </c>
      <c r="E560" s="104">
        <v>2023</v>
      </c>
      <c r="F560" s="159">
        <v>2032</v>
      </c>
      <c r="G560" s="33">
        <v>5</v>
      </c>
      <c r="H560" s="33">
        <v>43</v>
      </c>
      <c r="I560" s="33">
        <v>0</v>
      </c>
      <c r="J560" s="33">
        <v>0</v>
      </c>
      <c r="K560" s="33">
        <v>0</v>
      </c>
      <c r="L560" s="101">
        <v>4.6893317702227435</v>
      </c>
      <c r="M560" s="108">
        <v>4266.6666666666679</v>
      </c>
      <c r="N560" s="108">
        <v>2826.6666666666674</v>
      </c>
      <c r="O560" s="160">
        <v>2000</v>
      </c>
      <c r="P560" s="142">
        <v>0</v>
      </c>
      <c r="Q560" s="141">
        <v>0</v>
      </c>
      <c r="R560" s="141">
        <v>0</v>
      </c>
      <c r="S560" s="116">
        <v>0</v>
      </c>
      <c r="T560" s="116">
        <v>0</v>
      </c>
      <c r="U560" s="33" t="s">
        <v>226</v>
      </c>
      <c r="V560" s="33">
        <v>2015</v>
      </c>
      <c r="W560" s="33">
        <v>1</v>
      </c>
      <c r="X560" s="33">
        <v>0</v>
      </c>
      <c r="Y560" s="33">
        <v>-1.8E-3</v>
      </c>
      <c r="Z560" s="33">
        <v>-1.2E-2</v>
      </c>
      <c r="AA560" s="33">
        <v>0</v>
      </c>
      <c r="AB560" s="33">
        <v>0</v>
      </c>
      <c r="AC560" s="33" t="s">
        <v>362</v>
      </c>
      <c r="AD560" s="158"/>
    </row>
    <row r="561" spans="1:30" s="139" customFormat="1" hidden="1" x14ac:dyDescent="0.2">
      <c r="A561" s="153">
        <f t="shared" si="8"/>
        <v>537</v>
      </c>
      <c r="B561" s="33">
        <v>2</v>
      </c>
      <c r="C561" s="33">
        <v>2</v>
      </c>
      <c r="D561" s="33">
        <v>7</v>
      </c>
      <c r="E561" s="104">
        <v>2023</v>
      </c>
      <c r="F561" s="159">
        <v>2032</v>
      </c>
      <c r="G561" s="33">
        <v>6</v>
      </c>
      <c r="H561" s="33">
        <v>43</v>
      </c>
      <c r="I561" s="33">
        <v>0</v>
      </c>
      <c r="J561" s="33">
        <v>0</v>
      </c>
      <c r="K561" s="33">
        <v>0</v>
      </c>
      <c r="L561" s="101">
        <v>4.6893317702227435</v>
      </c>
      <c r="M561" s="108">
        <v>4266.6666666666679</v>
      </c>
      <c r="N561" s="108">
        <v>2826.6666666666674</v>
      </c>
      <c r="O561" s="160">
        <v>2000</v>
      </c>
      <c r="P561" s="142">
        <v>0</v>
      </c>
      <c r="Q561" s="141">
        <v>0</v>
      </c>
      <c r="R561" s="141">
        <v>0</v>
      </c>
      <c r="S561" s="116">
        <v>0</v>
      </c>
      <c r="T561" s="116">
        <v>0</v>
      </c>
      <c r="U561" s="33" t="s">
        <v>226</v>
      </c>
      <c r="V561" s="33">
        <v>2015</v>
      </c>
      <c r="W561" s="33">
        <v>1</v>
      </c>
      <c r="X561" s="33">
        <v>0</v>
      </c>
      <c r="Y561" s="33">
        <v>-1.8E-3</v>
      </c>
      <c r="Z561" s="33">
        <v>-1.2E-2</v>
      </c>
      <c r="AA561" s="33">
        <v>0</v>
      </c>
      <c r="AB561" s="33">
        <v>0</v>
      </c>
      <c r="AC561" s="33" t="s">
        <v>362</v>
      </c>
      <c r="AD561" s="158"/>
    </row>
    <row r="562" spans="1:30" s="139" customFormat="1" hidden="1" x14ac:dyDescent="0.2">
      <c r="A562" s="153">
        <f t="shared" si="8"/>
        <v>538</v>
      </c>
      <c r="B562" s="33">
        <v>2</v>
      </c>
      <c r="C562" s="33">
        <v>2</v>
      </c>
      <c r="D562" s="33">
        <v>7</v>
      </c>
      <c r="E562" s="104">
        <v>2023</v>
      </c>
      <c r="F562" s="159">
        <v>2032</v>
      </c>
      <c r="G562" s="33">
        <v>7</v>
      </c>
      <c r="H562" s="33">
        <v>43</v>
      </c>
      <c r="I562" s="33">
        <v>0</v>
      </c>
      <c r="J562" s="33">
        <v>0</v>
      </c>
      <c r="K562" s="33">
        <v>0</v>
      </c>
      <c r="L562" s="101">
        <v>4.6893317702227435</v>
      </c>
      <c r="M562" s="108">
        <v>4266.6666666666679</v>
      </c>
      <c r="N562" s="108">
        <v>2826.6666666666674</v>
      </c>
      <c r="O562" s="160">
        <v>2000</v>
      </c>
      <c r="P562" s="142">
        <v>0</v>
      </c>
      <c r="Q562" s="141">
        <v>0</v>
      </c>
      <c r="R562" s="141">
        <v>0</v>
      </c>
      <c r="S562" s="116">
        <v>0</v>
      </c>
      <c r="T562" s="116">
        <v>0</v>
      </c>
      <c r="U562" s="33" t="s">
        <v>226</v>
      </c>
      <c r="V562" s="33">
        <v>2015</v>
      </c>
      <c r="W562" s="33">
        <v>1</v>
      </c>
      <c r="X562" s="33">
        <v>0</v>
      </c>
      <c r="Y562" s="33">
        <v>-1.8E-3</v>
      </c>
      <c r="Z562" s="33">
        <v>-1.2E-2</v>
      </c>
      <c r="AA562" s="33">
        <v>0</v>
      </c>
      <c r="AB562" s="33">
        <v>0</v>
      </c>
      <c r="AC562" s="33" t="s">
        <v>362</v>
      </c>
      <c r="AD562" s="158"/>
    </row>
    <row r="563" spans="1:30" s="139" customFormat="1" hidden="1" x14ac:dyDescent="0.2">
      <c r="A563" s="153">
        <f t="shared" si="8"/>
        <v>539</v>
      </c>
      <c r="B563" s="33">
        <v>2</v>
      </c>
      <c r="C563" s="33">
        <v>2</v>
      </c>
      <c r="D563" s="33">
        <v>7</v>
      </c>
      <c r="E563" s="104">
        <v>2023</v>
      </c>
      <c r="F563" s="159">
        <v>2032</v>
      </c>
      <c r="G563" s="33">
        <v>8</v>
      </c>
      <c r="H563" s="33">
        <v>43</v>
      </c>
      <c r="I563" s="33">
        <v>0</v>
      </c>
      <c r="J563" s="33">
        <v>0</v>
      </c>
      <c r="K563" s="33">
        <v>0</v>
      </c>
      <c r="L563" s="101">
        <v>4.6893317702227435</v>
      </c>
      <c r="M563" s="108">
        <v>4266.6666666666679</v>
      </c>
      <c r="N563" s="108">
        <v>2826.6666666666674</v>
      </c>
      <c r="O563" s="160">
        <v>2000</v>
      </c>
      <c r="P563" s="142">
        <v>0</v>
      </c>
      <c r="Q563" s="141">
        <v>0</v>
      </c>
      <c r="R563" s="141">
        <v>0</v>
      </c>
      <c r="S563" s="116">
        <v>0</v>
      </c>
      <c r="T563" s="116">
        <v>0</v>
      </c>
      <c r="U563" s="33" t="s">
        <v>226</v>
      </c>
      <c r="V563" s="33">
        <v>2015</v>
      </c>
      <c r="W563" s="33">
        <v>1</v>
      </c>
      <c r="X563" s="33">
        <v>0</v>
      </c>
      <c r="Y563" s="33">
        <v>-1.8E-3</v>
      </c>
      <c r="Z563" s="33">
        <v>-1.2E-2</v>
      </c>
      <c r="AA563" s="33">
        <v>0</v>
      </c>
      <c r="AB563" s="33">
        <v>0</v>
      </c>
      <c r="AC563" s="33" t="s">
        <v>362</v>
      </c>
      <c r="AD563" s="158"/>
    </row>
    <row r="564" spans="1:30" s="139" customFormat="1" hidden="1" x14ac:dyDescent="0.2">
      <c r="A564" s="153">
        <f t="shared" si="8"/>
        <v>540</v>
      </c>
      <c r="B564" s="33">
        <v>2</v>
      </c>
      <c r="C564" s="33">
        <v>2</v>
      </c>
      <c r="D564" s="33">
        <v>7</v>
      </c>
      <c r="E564" s="104">
        <v>2023</v>
      </c>
      <c r="F564" s="159">
        <v>2032</v>
      </c>
      <c r="G564" s="33">
        <v>9</v>
      </c>
      <c r="H564" s="33">
        <v>43</v>
      </c>
      <c r="I564" s="33">
        <v>0</v>
      </c>
      <c r="J564" s="33">
        <v>0</v>
      </c>
      <c r="K564" s="33">
        <v>0</v>
      </c>
      <c r="L564" s="101">
        <v>4.6893317702227435</v>
      </c>
      <c r="M564" s="108">
        <v>4266.6666666666679</v>
      </c>
      <c r="N564" s="108">
        <v>2826.6666666666674</v>
      </c>
      <c r="O564" s="160">
        <v>2000</v>
      </c>
      <c r="P564" s="142">
        <v>0</v>
      </c>
      <c r="Q564" s="141">
        <v>0</v>
      </c>
      <c r="R564" s="141">
        <v>0</v>
      </c>
      <c r="S564" s="116">
        <v>0</v>
      </c>
      <c r="T564" s="116">
        <v>0</v>
      </c>
      <c r="U564" s="33" t="s">
        <v>226</v>
      </c>
      <c r="V564" s="33">
        <v>2015</v>
      </c>
      <c r="W564" s="33">
        <v>1</v>
      </c>
      <c r="X564" s="33">
        <v>0</v>
      </c>
      <c r="Y564" s="33">
        <v>-1.8E-3</v>
      </c>
      <c r="Z564" s="33">
        <v>-1.2E-2</v>
      </c>
      <c r="AA564" s="33">
        <v>0</v>
      </c>
      <c r="AB564" s="33">
        <v>0</v>
      </c>
      <c r="AC564" s="33" t="s">
        <v>362</v>
      </c>
      <c r="AD564" s="158"/>
    </row>
    <row r="565" spans="1:30" s="157" customFormat="1" hidden="1" x14ac:dyDescent="0.2">
      <c r="A565" s="153">
        <f t="shared" si="8"/>
        <v>541</v>
      </c>
      <c r="B565" s="49">
        <v>2</v>
      </c>
      <c r="C565" s="49">
        <v>2</v>
      </c>
      <c r="D565" s="49">
        <v>7</v>
      </c>
      <c r="E565" s="166">
        <v>2033</v>
      </c>
      <c r="F565" s="49">
        <v>2050</v>
      </c>
      <c r="G565" s="49">
        <v>1</v>
      </c>
      <c r="H565" s="49">
        <v>43</v>
      </c>
      <c r="I565" s="49">
        <v>0</v>
      </c>
      <c r="J565" s="49">
        <v>0</v>
      </c>
      <c r="K565" s="49">
        <v>0</v>
      </c>
      <c r="L565" s="167">
        <v>4.6893317702227435</v>
      </c>
      <c r="M565" s="168">
        <v>4266.6666666666679</v>
      </c>
      <c r="N565" s="168">
        <v>2826.6666666666674</v>
      </c>
      <c r="O565" s="51">
        <v>0</v>
      </c>
      <c r="P565" s="51">
        <v>0</v>
      </c>
      <c r="Q565" s="51">
        <v>0</v>
      </c>
      <c r="R565" s="51">
        <v>0</v>
      </c>
      <c r="S565" s="171">
        <v>0</v>
      </c>
      <c r="T565" s="171">
        <v>0</v>
      </c>
      <c r="U565" s="49" t="s">
        <v>226</v>
      </c>
      <c r="V565" s="49">
        <v>2015</v>
      </c>
      <c r="W565" s="49">
        <v>1</v>
      </c>
      <c r="X565" s="49">
        <v>0</v>
      </c>
      <c r="Y565" s="49">
        <v>-1.8E-3</v>
      </c>
      <c r="Z565" s="49">
        <v>-1.2E-2</v>
      </c>
      <c r="AA565" s="49">
        <v>0</v>
      </c>
      <c r="AB565" s="49">
        <v>0</v>
      </c>
      <c r="AC565" s="49" t="s">
        <v>362</v>
      </c>
      <c r="AD565" s="158"/>
    </row>
    <row r="566" spans="1:30" s="157" customFormat="1" hidden="1" x14ac:dyDescent="0.2">
      <c r="A566" s="153">
        <f t="shared" si="8"/>
        <v>542</v>
      </c>
      <c r="B566" s="49">
        <v>2</v>
      </c>
      <c r="C566" s="49">
        <v>2</v>
      </c>
      <c r="D566" s="49">
        <v>7</v>
      </c>
      <c r="E566" s="166">
        <v>2033</v>
      </c>
      <c r="F566" s="49">
        <v>2050</v>
      </c>
      <c r="G566" s="49">
        <v>2</v>
      </c>
      <c r="H566" s="49">
        <v>43</v>
      </c>
      <c r="I566" s="49">
        <v>0</v>
      </c>
      <c r="J566" s="49">
        <v>0</v>
      </c>
      <c r="K566" s="49">
        <v>0</v>
      </c>
      <c r="L566" s="167">
        <v>4.6893317702227435</v>
      </c>
      <c r="M566" s="168">
        <v>4266.6666666666679</v>
      </c>
      <c r="N566" s="168">
        <v>2826.6666666666674</v>
      </c>
      <c r="O566" s="51">
        <v>0</v>
      </c>
      <c r="P566" s="51">
        <v>0</v>
      </c>
      <c r="Q566" s="51">
        <v>0</v>
      </c>
      <c r="R566" s="51">
        <v>0</v>
      </c>
      <c r="S566" s="171">
        <v>0</v>
      </c>
      <c r="T566" s="171">
        <v>0</v>
      </c>
      <c r="U566" s="49" t="s">
        <v>226</v>
      </c>
      <c r="V566" s="49">
        <v>2015</v>
      </c>
      <c r="W566" s="49">
        <v>1</v>
      </c>
      <c r="X566" s="49">
        <v>0</v>
      </c>
      <c r="Y566" s="49">
        <v>-1.8E-3</v>
      </c>
      <c r="Z566" s="49">
        <v>-1.2E-2</v>
      </c>
      <c r="AA566" s="49">
        <v>0</v>
      </c>
      <c r="AB566" s="49">
        <v>0</v>
      </c>
      <c r="AC566" s="49" t="s">
        <v>362</v>
      </c>
      <c r="AD566" s="158"/>
    </row>
    <row r="567" spans="1:30" s="157" customFormat="1" x14ac:dyDescent="0.2">
      <c r="A567" s="153">
        <f t="shared" si="8"/>
        <v>543</v>
      </c>
      <c r="B567" s="49">
        <v>2</v>
      </c>
      <c r="C567" s="49">
        <v>2</v>
      </c>
      <c r="D567" s="49">
        <v>7</v>
      </c>
      <c r="E567" s="166">
        <v>2033</v>
      </c>
      <c r="F567" s="49">
        <v>2050</v>
      </c>
      <c r="G567" s="49">
        <v>3</v>
      </c>
      <c r="H567" s="49">
        <v>43</v>
      </c>
      <c r="I567" s="49">
        <v>0</v>
      </c>
      <c r="J567" s="49">
        <v>0</v>
      </c>
      <c r="K567" s="49">
        <v>0</v>
      </c>
      <c r="L567" s="167">
        <v>4.6893317702227435</v>
      </c>
      <c r="M567" s="168">
        <v>4266.6666666666679</v>
      </c>
      <c r="N567" s="168">
        <v>2826.6666666666674</v>
      </c>
      <c r="O567" s="51">
        <v>0</v>
      </c>
      <c r="P567" s="51">
        <v>0</v>
      </c>
      <c r="Q567" s="51">
        <v>0</v>
      </c>
      <c r="R567" s="51">
        <v>0</v>
      </c>
      <c r="S567" s="171">
        <v>0</v>
      </c>
      <c r="T567" s="171">
        <v>0</v>
      </c>
      <c r="U567" s="49" t="s">
        <v>226</v>
      </c>
      <c r="V567" s="49">
        <v>2015</v>
      </c>
      <c r="W567" s="49">
        <v>1</v>
      </c>
      <c r="X567" s="49">
        <v>0</v>
      </c>
      <c r="Y567" s="49">
        <v>-1.8E-3</v>
      </c>
      <c r="Z567" s="49">
        <v>-1.2E-2</v>
      </c>
      <c r="AA567" s="49">
        <v>0</v>
      </c>
      <c r="AB567" s="49">
        <v>0</v>
      </c>
      <c r="AC567" s="49" t="s">
        <v>362</v>
      </c>
      <c r="AD567" s="158"/>
    </row>
    <row r="568" spans="1:30" s="157" customFormat="1" hidden="1" x14ac:dyDescent="0.2">
      <c r="A568" s="153">
        <f t="shared" si="8"/>
        <v>544</v>
      </c>
      <c r="B568" s="49">
        <v>2</v>
      </c>
      <c r="C568" s="49">
        <v>2</v>
      </c>
      <c r="D568" s="49">
        <v>7</v>
      </c>
      <c r="E568" s="166">
        <v>2033</v>
      </c>
      <c r="F568" s="49">
        <v>2050</v>
      </c>
      <c r="G568" s="49">
        <v>4</v>
      </c>
      <c r="H568" s="49">
        <v>43</v>
      </c>
      <c r="I568" s="49">
        <v>0</v>
      </c>
      <c r="J568" s="49">
        <v>0</v>
      </c>
      <c r="K568" s="49">
        <v>0</v>
      </c>
      <c r="L568" s="167">
        <v>4.6893317702227435</v>
      </c>
      <c r="M568" s="168">
        <v>4266.6666666666679</v>
      </c>
      <c r="N568" s="168">
        <v>2826.6666666666674</v>
      </c>
      <c r="O568" s="51">
        <v>0</v>
      </c>
      <c r="P568" s="51">
        <v>0</v>
      </c>
      <c r="Q568" s="51">
        <v>0</v>
      </c>
      <c r="R568" s="51">
        <v>0</v>
      </c>
      <c r="S568" s="171">
        <v>0</v>
      </c>
      <c r="T568" s="171">
        <v>0</v>
      </c>
      <c r="U568" s="49" t="s">
        <v>226</v>
      </c>
      <c r="V568" s="49">
        <v>2015</v>
      </c>
      <c r="W568" s="49">
        <v>1</v>
      </c>
      <c r="X568" s="49">
        <v>0</v>
      </c>
      <c r="Y568" s="49">
        <v>-1.8E-3</v>
      </c>
      <c r="Z568" s="49">
        <v>-1.2E-2</v>
      </c>
      <c r="AA568" s="49">
        <v>0</v>
      </c>
      <c r="AB568" s="49">
        <v>0</v>
      </c>
      <c r="AC568" s="49" t="s">
        <v>362</v>
      </c>
      <c r="AD568" s="158"/>
    </row>
    <row r="569" spans="1:30" s="157" customFormat="1" hidden="1" x14ac:dyDescent="0.2">
      <c r="A569" s="153">
        <f t="shared" si="8"/>
        <v>545</v>
      </c>
      <c r="B569" s="49">
        <v>2</v>
      </c>
      <c r="C569" s="49">
        <v>2</v>
      </c>
      <c r="D569" s="49">
        <v>7</v>
      </c>
      <c r="E569" s="166">
        <v>2033</v>
      </c>
      <c r="F569" s="49">
        <v>2050</v>
      </c>
      <c r="G569" s="49">
        <v>5</v>
      </c>
      <c r="H569" s="49">
        <v>43</v>
      </c>
      <c r="I569" s="49">
        <v>0</v>
      </c>
      <c r="J569" s="49">
        <v>0</v>
      </c>
      <c r="K569" s="49">
        <v>0</v>
      </c>
      <c r="L569" s="167">
        <v>4.6893317702227435</v>
      </c>
      <c r="M569" s="168">
        <v>4266.6666666666679</v>
      </c>
      <c r="N569" s="168">
        <v>2826.6666666666674</v>
      </c>
      <c r="O569" s="51">
        <v>0</v>
      </c>
      <c r="P569" s="51">
        <v>0</v>
      </c>
      <c r="Q569" s="51">
        <v>0</v>
      </c>
      <c r="R569" s="51">
        <v>0</v>
      </c>
      <c r="S569" s="171">
        <v>0</v>
      </c>
      <c r="T569" s="171">
        <v>0</v>
      </c>
      <c r="U569" s="49" t="s">
        <v>226</v>
      </c>
      <c r="V569" s="49">
        <v>2015</v>
      </c>
      <c r="W569" s="49">
        <v>1</v>
      </c>
      <c r="X569" s="49">
        <v>0</v>
      </c>
      <c r="Y569" s="49">
        <v>-1.8E-3</v>
      </c>
      <c r="Z569" s="49">
        <v>-1.2E-2</v>
      </c>
      <c r="AA569" s="49">
        <v>0</v>
      </c>
      <c r="AB569" s="49">
        <v>0</v>
      </c>
      <c r="AC569" s="49" t="s">
        <v>362</v>
      </c>
      <c r="AD569" s="158"/>
    </row>
    <row r="570" spans="1:30" s="157" customFormat="1" hidden="1" x14ac:dyDescent="0.2">
      <c r="A570" s="153">
        <f t="shared" si="8"/>
        <v>546</v>
      </c>
      <c r="B570" s="49">
        <v>2</v>
      </c>
      <c r="C570" s="49">
        <v>2</v>
      </c>
      <c r="D570" s="49">
        <v>7</v>
      </c>
      <c r="E570" s="166">
        <v>2033</v>
      </c>
      <c r="F570" s="49">
        <v>2050</v>
      </c>
      <c r="G570" s="49">
        <v>6</v>
      </c>
      <c r="H570" s="49">
        <v>43</v>
      </c>
      <c r="I570" s="49">
        <v>0</v>
      </c>
      <c r="J570" s="49">
        <v>0</v>
      </c>
      <c r="K570" s="49">
        <v>0</v>
      </c>
      <c r="L570" s="167">
        <v>4.6893317702227435</v>
      </c>
      <c r="M570" s="168">
        <v>4266.6666666666679</v>
      </c>
      <c r="N570" s="168">
        <v>2826.6666666666674</v>
      </c>
      <c r="O570" s="51">
        <v>0</v>
      </c>
      <c r="P570" s="51">
        <v>0</v>
      </c>
      <c r="Q570" s="51">
        <v>0</v>
      </c>
      <c r="R570" s="51">
        <v>0</v>
      </c>
      <c r="S570" s="171">
        <v>0</v>
      </c>
      <c r="T570" s="171">
        <v>0</v>
      </c>
      <c r="U570" s="49" t="s">
        <v>226</v>
      </c>
      <c r="V570" s="49">
        <v>2015</v>
      </c>
      <c r="W570" s="49">
        <v>1</v>
      </c>
      <c r="X570" s="49">
        <v>0</v>
      </c>
      <c r="Y570" s="49">
        <v>-1.8E-3</v>
      </c>
      <c r="Z570" s="49">
        <v>-1.2E-2</v>
      </c>
      <c r="AA570" s="49">
        <v>0</v>
      </c>
      <c r="AB570" s="49">
        <v>0</v>
      </c>
      <c r="AC570" s="49" t="s">
        <v>362</v>
      </c>
      <c r="AD570" s="158"/>
    </row>
    <row r="571" spans="1:30" s="157" customFormat="1" hidden="1" x14ac:dyDescent="0.2">
      <c r="A571" s="153">
        <f t="shared" si="8"/>
        <v>547</v>
      </c>
      <c r="B571" s="49">
        <v>2</v>
      </c>
      <c r="C571" s="49">
        <v>2</v>
      </c>
      <c r="D571" s="49">
        <v>7</v>
      </c>
      <c r="E571" s="166">
        <v>2033</v>
      </c>
      <c r="F571" s="49">
        <v>2050</v>
      </c>
      <c r="G571" s="49">
        <v>7</v>
      </c>
      <c r="H571" s="49">
        <v>43</v>
      </c>
      <c r="I571" s="49">
        <v>0</v>
      </c>
      <c r="J571" s="49">
        <v>0</v>
      </c>
      <c r="K571" s="49">
        <v>0</v>
      </c>
      <c r="L571" s="167">
        <v>4.6893317702227435</v>
      </c>
      <c r="M571" s="168">
        <v>4266.6666666666679</v>
      </c>
      <c r="N571" s="168">
        <v>2826.6666666666674</v>
      </c>
      <c r="O571" s="51">
        <v>0</v>
      </c>
      <c r="P571" s="51">
        <v>0</v>
      </c>
      <c r="Q571" s="51">
        <v>0</v>
      </c>
      <c r="R571" s="51">
        <v>0</v>
      </c>
      <c r="S571" s="171">
        <v>0</v>
      </c>
      <c r="T571" s="171">
        <v>0</v>
      </c>
      <c r="U571" s="49" t="s">
        <v>226</v>
      </c>
      <c r="V571" s="49">
        <v>2015</v>
      </c>
      <c r="W571" s="49">
        <v>1</v>
      </c>
      <c r="X571" s="49">
        <v>0</v>
      </c>
      <c r="Y571" s="49">
        <v>-1.8E-3</v>
      </c>
      <c r="Z571" s="49">
        <v>-1.2E-2</v>
      </c>
      <c r="AA571" s="49">
        <v>0</v>
      </c>
      <c r="AB571" s="49">
        <v>0</v>
      </c>
      <c r="AC571" s="49" t="s">
        <v>362</v>
      </c>
      <c r="AD571" s="158"/>
    </row>
    <row r="572" spans="1:30" s="157" customFormat="1" hidden="1" x14ac:dyDescent="0.2">
      <c r="A572" s="153">
        <f t="shared" si="8"/>
        <v>548</v>
      </c>
      <c r="B572" s="49">
        <v>2</v>
      </c>
      <c r="C572" s="49">
        <v>2</v>
      </c>
      <c r="D572" s="49">
        <v>7</v>
      </c>
      <c r="E572" s="166">
        <v>2033</v>
      </c>
      <c r="F572" s="49">
        <v>2050</v>
      </c>
      <c r="G572" s="49">
        <v>8</v>
      </c>
      <c r="H572" s="49">
        <v>43</v>
      </c>
      <c r="I572" s="49">
        <v>0</v>
      </c>
      <c r="J572" s="49">
        <v>0</v>
      </c>
      <c r="K572" s="49">
        <v>0</v>
      </c>
      <c r="L572" s="167">
        <v>4.6893317702227435</v>
      </c>
      <c r="M572" s="168">
        <v>4266.6666666666679</v>
      </c>
      <c r="N572" s="168">
        <v>2826.6666666666674</v>
      </c>
      <c r="O572" s="51">
        <v>0</v>
      </c>
      <c r="P572" s="51">
        <v>0</v>
      </c>
      <c r="Q572" s="51">
        <v>0</v>
      </c>
      <c r="R572" s="51">
        <v>0</v>
      </c>
      <c r="S572" s="171">
        <v>0</v>
      </c>
      <c r="T572" s="171">
        <v>0</v>
      </c>
      <c r="U572" s="49" t="s">
        <v>226</v>
      </c>
      <c r="V572" s="49">
        <v>2015</v>
      </c>
      <c r="W572" s="49">
        <v>1</v>
      </c>
      <c r="X572" s="49">
        <v>0</v>
      </c>
      <c r="Y572" s="49">
        <v>-1.8E-3</v>
      </c>
      <c r="Z572" s="49">
        <v>-1.2E-2</v>
      </c>
      <c r="AA572" s="49">
        <v>0</v>
      </c>
      <c r="AB572" s="49">
        <v>0</v>
      </c>
      <c r="AC572" s="49" t="s">
        <v>362</v>
      </c>
      <c r="AD572" s="158"/>
    </row>
    <row r="573" spans="1:30" s="157" customFormat="1" hidden="1" x14ac:dyDescent="0.2">
      <c r="A573" s="153">
        <f t="shared" si="8"/>
        <v>549</v>
      </c>
      <c r="B573" s="49">
        <v>2</v>
      </c>
      <c r="C573" s="49">
        <v>2</v>
      </c>
      <c r="D573" s="49">
        <v>7</v>
      </c>
      <c r="E573" s="166">
        <v>2033</v>
      </c>
      <c r="F573" s="49">
        <v>2050</v>
      </c>
      <c r="G573" s="49">
        <v>9</v>
      </c>
      <c r="H573" s="49">
        <v>43</v>
      </c>
      <c r="I573" s="49">
        <v>0</v>
      </c>
      <c r="J573" s="49">
        <v>0</v>
      </c>
      <c r="K573" s="49">
        <v>0</v>
      </c>
      <c r="L573" s="167">
        <v>4.6893317702227435</v>
      </c>
      <c r="M573" s="168">
        <v>4266.6666666666679</v>
      </c>
      <c r="N573" s="168">
        <v>2826.6666666666674</v>
      </c>
      <c r="O573" s="51">
        <v>0</v>
      </c>
      <c r="P573" s="51">
        <v>0</v>
      </c>
      <c r="Q573" s="51">
        <v>0</v>
      </c>
      <c r="R573" s="51">
        <v>0</v>
      </c>
      <c r="S573" s="171">
        <v>0</v>
      </c>
      <c r="T573" s="171">
        <v>0</v>
      </c>
      <c r="U573" s="49" t="s">
        <v>226</v>
      </c>
      <c r="V573" s="49">
        <v>2015</v>
      </c>
      <c r="W573" s="49">
        <v>1</v>
      </c>
      <c r="X573" s="49">
        <v>0</v>
      </c>
      <c r="Y573" s="49">
        <v>-1.8E-3</v>
      </c>
      <c r="Z573" s="49">
        <v>-1.2E-2</v>
      </c>
      <c r="AA573" s="49">
        <v>0</v>
      </c>
      <c r="AB573" s="49">
        <v>0</v>
      </c>
      <c r="AC573" s="49" t="s">
        <v>362</v>
      </c>
      <c r="AD573" s="158"/>
    </row>
    <row r="574" spans="1:30" customFormat="1" hidden="1" x14ac:dyDescent="0.2">
      <c r="A574" s="153">
        <f t="shared" si="8"/>
        <v>550</v>
      </c>
      <c r="B574" s="33">
        <v>2</v>
      </c>
      <c r="C574" s="33">
        <v>2</v>
      </c>
      <c r="D574" s="33">
        <v>8</v>
      </c>
      <c r="E574" s="104">
        <v>2016</v>
      </c>
      <c r="F574" s="33">
        <v>2021</v>
      </c>
      <c r="G574" s="33">
        <v>1</v>
      </c>
      <c r="H574" s="33">
        <v>44</v>
      </c>
      <c r="I574" s="33">
        <v>0</v>
      </c>
      <c r="J574" s="33">
        <v>0</v>
      </c>
      <c r="K574" s="33">
        <v>0</v>
      </c>
      <c r="L574" s="101">
        <v>4.835873388042204</v>
      </c>
      <c r="M574" s="108">
        <v>4650</v>
      </c>
      <c r="N574" s="108">
        <v>3200</v>
      </c>
      <c r="O574" s="160">
        <v>300</v>
      </c>
      <c r="P574" s="142">
        <v>0</v>
      </c>
      <c r="Q574" s="160">
        <v>183</v>
      </c>
      <c r="R574" s="160">
        <v>126</v>
      </c>
      <c r="S574" s="116">
        <v>0</v>
      </c>
      <c r="T574" s="116">
        <v>0</v>
      </c>
      <c r="U574" s="33" t="s">
        <v>226</v>
      </c>
      <c r="V574" s="33">
        <v>2015</v>
      </c>
      <c r="W574" s="33">
        <v>1</v>
      </c>
      <c r="X574" s="33">
        <v>0</v>
      </c>
      <c r="Y574" s="33">
        <v>-1.8E-3</v>
      </c>
      <c r="Z574" s="33">
        <v>-1.2E-2</v>
      </c>
      <c r="AA574" s="33">
        <v>0</v>
      </c>
      <c r="AB574" s="33">
        <v>0</v>
      </c>
      <c r="AC574" s="33" t="s">
        <v>363</v>
      </c>
      <c r="AD574" s="158"/>
    </row>
    <row r="575" spans="1:30" customFormat="1" hidden="1" x14ac:dyDescent="0.2">
      <c r="A575" s="153">
        <f t="shared" si="8"/>
        <v>551</v>
      </c>
      <c r="B575" s="33">
        <v>2</v>
      </c>
      <c r="C575" s="33">
        <v>2</v>
      </c>
      <c r="D575" s="33">
        <v>8</v>
      </c>
      <c r="E575" s="104">
        <v>2016</v>
      </c>
      <c r="F575" s="33">
        <v>2021</v>
      </c>
      <c r="G575" s="33">
        <v>2</v>
      </c>
      <c r="H575" s="33">
        <v>44</v>
      </c>
      <c r="I575" s="33">
        <v>0</v>
      </c>
      <c r="J575" s="33">
        <v>0</v>
      </c>
      <c r="K575" s="33">
        <v>0</v>
      </c>
      <c r="L575" s="101">
        <v>4.835873388042204</v>
      </c>
      <c r="M575" s="108">
        <v>4650</v>
      </c>
      <c r="N575" s="108">
        <v>3200</v>
      </c>
      <c r="O575" s="160">
        <v>300</v>
      </c>
      <c r="P575" s="142">
        <v>0</v>
      </c>
      <c r="Q575" s="160">
        <v>272</v>
      </c>
      <c r="R575" s="160">
        <v>187</v>
      </c>
      <c r="S575" s="116">
        <v>0</v>
      </c>
      <c r="T575" s="116">
        <v>0</v>
      </c>
      <c r="U575" s="33" t="s">
        <v>226</v>
      </c>
      <c r="V575" s="33">
        <v>2015</v>
      </c>
      <c r="W575" s="33">
        <v>1</v>
      </c>
      <c r="X575" s="33">
        <v>0</v>
      </c>
      <c r="Y575" s="33">
        <v>-1.8E-3</v>
      </c>
      <c r="Z575" s="33">
        <v>-1.2E-2</v>
      </c>
      <c r="AA575" s="33">
        <v>0</v>
      </c>
      <c r="AB575" s="33">
        <v>0</v>
      </c>
      <c r="AC575" s="33" t="s">
        <v>363</v>
      </c>
      <c r="AD575" s="158"/>
    </row>
    <row r="576" spans="1:30" customFormat="1" x14ac:dyDescent="0.2">
      <c r="A576" s="153">
        <f t="shared" si="8"/>
        <v>552</v>
      </c>
      <c r="B576" s="33">
        <v>2</v>
      </c>
      <c r="C576" s="33">
        <v>2</v>
      </c>
      <c r="D576" s="33">
        <v>8</v>
      </c>
      <c r="E576" s="104">
        <v>2016</v>
      </c>
      <c r="F576" s="33">
        <v>2021</v>
      </c>
      <c r="G576" s="33">
        <v>3</v>
      </c>
      <c r="H576" s="33">
        <v>44</v>
      </c>
      <c r="I576" s="33">
        <v>0</v>
      </c>
      <c r="J576" s="33">
        <v>0</v>
      </c>
      <c r="K576" s="33">
        <v>0</v>
      </c>
      <c r="L576" s="101">
        <v>4.835873388042204</v>
      </c>
      <c r="M576" s="108">
        <v>4650</v>
      </c>
      <c r="N576" s="108">
        <v>3200</v>
      </c>
      <c r="O576" s="160">
        <v>300</v>
      </c>
      <c r="P576" s="142">
        <v>0</v>
      </c>
      <c r="Q576" s="160">
        <v>268</v>
      </c>
      <c r="R576" s="160">
        <v>184</v>
      </c>
      <c r="S576" s="116">
        <v>0</v>
      </c>
      <c r="T576" s="116">
        <v>0</v>
      </c>
      <c r="U576" s="33" t="s">
        <v>226</v>
      </c>
      <c r="V576" s="33">
        <v>2015</v>
      </c>
      <c r="W576" s="33">
        <v>1</v>
      </c>
      <c r="X576" s="33">
        <v>0</v>
      </c>
      <c r="Y576" s="33">
        <v>-1.8E-3</v>
      </c>
      <c r="Z576" s="33">
        <v>-1.2E-2</v>
      </c>
      <c r="AA576" s="33">
        <v>0</v>
      </c>
      <c r="AB576" s="33">
        <v>0</v>
      </c>
      <c r="AC576" s="33" t="s">
        <v>363</v>
      </c>
      <c r="AD576" s="158"/>
    </row>
    <row r="577" spans="1:30" customFormat="1" hidden="1" x14ac:dyDescent="0.2">
      <c r="A577" s="153">
        <f t="shared" si="8"/>
        <v>553</v>
      </c>
      <c r="B577" s="33">
        <v>2</v>
      </c>
      <c r="C577" s="33">
        <v>2</v>
      </c>
      <c r="D577" s="33">
        <v>8</v>
      </c>
      <c r="E577" s="104">
        <v>2016</v>
      </c>
      <c r="F577" s="33">
        <v>2021</v>
      </c>
      <c r="G577" s="33">
        <v>4</v>
      </c>
      <c r="H577" s="33">
        <v>44</v>
      </c>
      <c r="I577" s="33">
        <v>0</v>
      </c>
      <c r="J577" s="33">
        <v>0</v>
      </c>
      <c r="K577" s="33">
        <v>0</v>
      </c>
      <c r="L577" s="101">
        <v>4.835873388042204</v>
      </c>
      <c r="M577" s="108">
        <v>4650</v>
      </c>
      <c r="N577" s="108">
        <v>3200</v>
      </c>
      <c r="O577" s="160">
        <v>300</v>
      </c>
      <c r="P577" s="142">
        <v>0</v>
      </c>
      <c r="Q577" s="160">
        <v>270</v>
      </c>
      <c r="R577" s="160">
        <v>186</v>
      </c>
      <c r="S577" s="116">
        <v>0</v>
      </c>
      <c r="T577" s="116">
        <v>0</v>
      </c>
      <c r="U577" s="33" t="s">
        <v>226</v>
      </c>
      <c r="V577" s="33">
        <v>2015</v>
      </c>
      <c r="W577" s="33">
        <v>1</v>
      </c>
      <c r="X577" s="33">
        <v>0</v>
      </c>
      <c r="Y577" s="33">
        <v>-1.8E-3</v>
      </c>
      <c r="Z577" s="33">
        <v>-1.2E-2</v>
      </c>
      <c r="AA577" s="33">
        <v>0</v>
      </c>
      <c r="AB577" s="33">
        <v>0</v>
      </c>
      <c r="AC577" s="33" t="s">
        <v>363</v>
      </c>
      <c r="AD577" s="158"/>
    </row>
    <row r="578" spans="1:30" customFormat="1" hidden="1" x14ac:dyDescent="0.2">
      <c r="A578" s="153">
        <f t="shared" si="8"/>
        <v>554</v>
      </c>
      <c r="B578" s="33">
        <v>2</v>
      </c>
      <c r="C578" s="33">
        <v>2</v>
      </c>
      <c r="D578" s="33">
        <v>8</v>
      </c>
      <c r="E578" s="104">
        <v>2016</v>
      </c>
      <c r="F578" s="33">
        <v>2021</v>
      </c>
      <c r="G578" s="33">
        <v>5</v>
      </c>
      <c r="H578" s="33">
        <v>44</v>
      </c>
      <c r="I578" s="33">
        <v>0</v>
      </c>
      <c r="J578" s="33">
        <v>0</v>
      </c>
      <c r="K578" s="33">
        <v>0</v>
      </c>
      <c r="L578" s="101">
        <v>4.835873388042204</v>
      </c>
      <c r="M578" s="108">
        <v>4650</v>
      </c>
      <c r="N578" s="108">
        <v>3200</v>
      </c>
      <c r="O578" s="160">
        <v>300</v>
      </c>
      <c r="P578" s="142">
        <v>0</v>
      </c>
      <c r="Q578" s="160">
        <v>154</v>
      </c>
      <c r="R578" s="160">
        <v>106</v>
      </c>
      <c r="S578" s="116">
        <v>0</v>
      </c>
      <c r="T578" s="116">
        <v>0</v>
      </c>
      <c r="U578" s="33" t="s">
        <v>226</v>
      </c>
      <c r="V578" s="33">
        <v>2015</v>
      </c>
      <c r="W578" s="33">
        <v>1</v>
      </c>
      <c r="X578" s="33">
        <v>0</v>
      </c>
      <c r="Y578" s="33">
        <v>-1.8E-3</v>
      </c>
      <c r="Z578" s="33">
        <v>-1.2E-2</v>
      </c>
      <c r="AA578" s="33">
        <v>0</v>
      </c>
      <c r="AB578" s="33">
        <v>0</v>
      </c>
      <c r="AC578" s="33" t="s">
        <v>363</v>
      </c>
      <c r="AD578" s="158"/>
    </row>
    <row r="579" spans="1:30" customFormat="1" hidden="1" x14ac:dyDescent="0.2">
      <c r="A579" s="153">
        <f t="shared" si="8"/>
        <v>555</v>
      </c>
      <c r="B579" s="33">
        <v>2</v>
      </c>
      <c r="C579" s="33">
        <v>2</v>
      </c>
      <c r="D579" s="33">
        <v>8</v>
      </c>
      <c r="E579" s="104">
        <v>2016</v>
      </c>
      <c r="F579" s="33">
        <v>2021</v>
      </c>
      <c r="G579" s="33">
        <v>6</v>
      </c>
      <c r="H579" s="33">
        <v>44</v>
      </c>
      <c r="I579" s="33">
        <v>0</v>
      </c>
      <c r="J579" s="33">
        <v>0</v>
      </c>
      <c r="K579" s="33">
        <v>0</v>
      </c>
      <c r="L579" s="101">
        <v>4.835873388042204</v>
      </c>
      <c r="M579" s="108">
        <v>4650</v>
      </c>
      <c r="N579" s="108">
        <v>3200</v>
      </c>
      <c r="O579" s="160">
        <v>300</v>
      </c>
      <c r="P579" s="142">
        <v>0</v>
      </c>
      <c r="Q579" s="160">
        <v>64</v>
      </c>
      <c r="R579" s="160">
        <v>44</v>
      </c>
      <c r="S579" s="116">
        <v>0</v>
      </c>
      <c r="T579" s="116">
        <v>0</v>
      </c>
      <c r="U579" s="33" t="s">
        <v>226</v>
      </c>
      <c r="V579" s="33">
        <v>2015</v>
      </c>
      <c r="W579" s="33">
        <v>1</v>
      </c>
      <c r="X579" s="33">
        <v>0</v>
      </c>
      <c r="Y579" s="33">
        <v>-1.8E-3</v>
      </c>
      <c r="Z579" s="33">
        <v>-1.2E-2</v>
      </c>
      <c r="AA579" s="33">
        <v>0</v>
      </c>
      <c r="AB579" s="33">
        <v>0</v>
      </c>
      <c r="AC579" s="33" t="s">
        <v>363</v>
      </c>
      <c r="AD579" s="158"/>
    </row>
    <row r="580" spans="1:30" customFormat="1" hidden="1" x14ac:dyDescent="0.2">
      <c r="A580" s="153">
        <f t="shared" si="8"/>
        <v>556</v>
      </c>
      <c r="B580" s="33">
        <v>2</v>
      </c>
      <c r="C580" s="33">
        <v>2</v>
      </c>
      <c r="D580" s="33">
        <v>8</v>
      </c>
      <c r="E580" s="104">
        <v>2016</v>
      </c>
      <c r="F580" s="33">
        <v>2021</v>
      </c>
      <c r="G580" s="33">
        <v>7</v>
      </c>
      <c r="H580" s="33">
        <v>44</v>
      </c>
      <c r="I580" s="33">
        <v>0</v>
      </c>
      <c r="J580" s="33">
        <v>0</v>
      </c>
      <c r="K580" s="33">
        <v>0</v>
      </c>
      <c r="L580" s="101">
        <v>4.835873388042204</v>
      </c>
      <c r="M580" s="108">
        <v>4650</v>
      </c>
      <c r="N580" s="108">
        <v>3200</v>
      </c>
      <c r="O580" s="160">
        <v>300</v>
      </c>
      <c r="P580" s="142">
        <v>0</v>
      </c>
      <c r="Q580" s="160">
        <v>829</v>
      </c>
      <c r="R580" s="160">
        <v>571</v>
      </c>
      <c r="S580" s="116">
        <v>0</v>
      </c>
      <c r="T580" s="116">
        <v>0</v>
      </c>
      <c r="U580" s="33" t="s">
        <v>226</v>
      </c>
      <c r="V580" s="33">
        <v>2015</v>
      </c>
      <c r="W580" s="33">
        <v>1</v>
      </c>
      <c r="X580" s="33">
        <v>0</v>
      </c>
      <c r="Y580" s="33">
        <v>-1.8E-3</v>
      </c>
      <c r="Z580" s="33">
        <v>-1.2E-2</v>
      </c>
      <c r="AA580" s="33">
        <v>0</v>
      </c>
      <c r="AB580" s="33">
        <v>0</v>
      </c>
      <c r="AC580" s="33" t="s">
        <v>363</v>
      </c>
      <c r="AD580" s="158"/>
    </row>
    <row r="581" spans="1:30" customFormat="1" hidden="1" x14ac:dyDescent="0.2">
      <c r="A581" s="153">
        <f t="shared" si="8"/>
        <v>557</v>
      </c>
      <c r="B581" s="33">
        <v>2</v>
      </c>
      <c r="C581" s="33">
        <v>2</v>
      </c>
      <c r="D581" s="33">
        <v>8</v>
      </c>
      <c r="E581" s="104">
        <v>2016</v>
      </c>
      <c r="F581" s="33">
        <v>2021</v>
      </c>
      <c r="G581" s="33">
        <v>8</v>
      </c>
      <c r="H581" s="33">
        <v>44</v>
      </c>
      <c r="I581" s="33">
        <v>0</v>
      </c>
      <c r="J581" s="33">
        <v>0</v>
      </c>
      <c r="K581" s="33">
        <v>0</v>
      </c>
      <c r="L581" s="101">
        <v>4.835873388042204</v>
      </c>
      <c r="M581" s="108">
        <v>4650</v>
      </c>
      <c r="N581" s="108">
        <v>3200</v>
      </c>
      <c r="O581" s="160">
        <v>300</v>
      </c>
      <c r="P581" s="142">
        <v>0</v>
      </c>
      <c r="Q581" s="160">
        <v>178</v>
      </c>
      <c r="R581" s="160">
        <v>123</v>
      </c>
      <c r="S581" s="116">
        <v>0</v>
      </c>
      <c r="T581" s="116">
        <v>0</v>
      </c>
      <c r="U581" s="33" t="s">
        <v>226</v>
      </c>
      <c r="V581" s="33">
        <v>2015</v>
      </c>
      <c r="W581" s="33">
        <v>1</v>
      </c>
      <c r="X581" s="33">
        <v>0</v>
      </c>
      <c r="Y581" s="33">
        <v>-1.8E-3</v>
      </c>
      <c r="Z581" s="33">
        <v>-1.2E-2</v>
      </c>
      <c r="AA581" s="33">
        <v>0</v>
      </c>
      <c r="AB581" s="33">
        <v>0</v>
      </c>
      <c r="AC581" s="33" t="s">
        <v>363</v>
      </c>
      <c r="AD581" s="158"/>
    </row>
    <row r="582" spans="1:30" customFormat="1" hidden="1" x14ac:dyDescent="0.2">
      <c r="A582" s="153">
        <f t="shared" si="8"/>
        <v>558</v>
      </c>
      <c r="B582" s="33">
        <v>2</v>
      </c>
      <c r="C582" s="33">
        <v>2</v>
      </c>
      <c r="D582" s="33">
        <v>8</v>
      </c>
      <c r="E582" s="104">
        <v>2016</v>
      </c>
      <c r="F582" s="33">
        <v>2021</v>
      </c>
      <c r="G582" s="33">
        <v>9</v>
      </c>
      <c r="H582" s="33">
        <v>44</v>
      </c>
      <c r="I582" s="33">
        <v>0</v>
      </c>
      <c r="J582" s="33">
        <v>0</v>
      </c>
      <c r="K582" s="33">
        <v>0</v>
      </c>
      <c r="L582" s="101">
        <v>4.835873388042204</v>
      </c>
      <c r="M582" s="108">
        <v>4650</v>
      </c>
      <c r="N582" s="108">
        <v>3200</v>
      </c>
      <c r="O582" s="160">
        <v>300</v>
      </c>
      <c r="P582" s="142">
        <v>0</v>
      </c>
      <c r="Q582" s="160">
        <v>476</v>
      </c>
      <c r="R582" s="160">
        <v>328</v>
      </c>
      <c r="S582" s="116">
        <v>0</v>
      </c>
      <c r="T582" s="116">
        <v>0</v>
      </c>
      <c r="U582" s="33" t="s">
        <v>226</v>
      </c>
      <c r="V582" s="33">
        <v>2015</v>
      </c>
      <c r="W582" s="33">
        <v>1</v>
      </c>
      <c r="X582" s="33">
        <v>0</v>
      </c>
      <c r="Y582" s="33">
        <v>-1.8E-3</v>
      </c>
      <c r="Z582" s="33">
        <v>-1.2E-2</v>
      </c>
      <c r="AA582" s="33">
        <v>0</v>
      </c>
      <c r="AB582" s="33">
        <v>0</v>
      </c>
      <c r="AC582" s="33" t="s">
        <v>363</v>
      </c>
      <c r="AD582" s="158"/>
    </row>
    <row r="583" spans="1:30" customFormat="1" hidden="1" x14ac:dyDescent="0.2">
      <c r="A583" s="153">
        <f t="shared" si="8"/>
        <v>559</v>
      </c>
      <c r="B583" s="33">
        <v>2</v>
      </c>
      <c r="C583" s="33">
        <v>2</v>
      </c>
      <c r="D583" s="33">
        <v>8</v>
      </c>
      <c r="E583" s="104">
        <v>2022</v>
      </c>
      <c r="F583" s="159">
        <v>2032</v>
      </c>
      <c r="G583" s="33">
        <v>1</v>
      </c>
      <c r="H583" s="33">
        <v>44</v>
      </c>
      <c r="I583" s="33">
        <v>0</v>
      </c>
      <c r="J583" s="33">
        <v>0</v>
      </c>
      <c r="K583" s="33">
        <v>0</v>
      </c>
      <c r="L583" s="101">
        <v>4.835873388042204</v>
      </c>
      <c r="M583" s="108">
        <v>4650</v>
      </c>
      <c r="N583" s="108">
        <v>3200</v>
      </c>
      <c r="O583" s="160">
        <v>2000</v>
      </c>
      <c r="P583" s="142">
        <v>0</v>
      </c>
      <c r="Q583" s="141">
        <v>183</v>
      </c>
      <c r="R583" s="141">
        <v>126</v>
      </c>
      <c r="S583" s="116">
        <v>0</v>
      </c>
      <c r="T583" s="116">
        <v>0</v>
      </c>
      <c r="U583" s="33" t="s">
        <v>226</v>
      </c>
      <c r="V583" s="33">
        <v>2015</v>
      </c>
      <c r="W583" s="33">
        <v>1</v>
      </c>
      <c r="X583" s="33">
        <v>0</v>
      </c>
      <c r="Y583" s="33">
        <v>-1.8E-3</v>
      </c>
      <c r="Z583" s="33">
        <v>-1.2E-2</v>
      </c>
      <c r="AA583" s="33">
        <v>0</v>
      </c>
      <c r="AB583" s="33">
        <v>0</v>
      </c>
      <c r="AC583" s="33" t="s">
        <v>363</v>
      </c>
      <c r="AD583" s="158"/>
    </row>
    <row r="584" spans="1:30" customFormat="1" hidden="1" x14ac:dyDescent="0.2">
      <c r="A584" s="153">
        <f t="shared" si="8"/>
        <v>560</v>
      </c>
      <c r="B584" s="33">
        <v>2</v>
      </c>
      <c r="C584" s="33">
        <v>2</v>
      </c>
      <c r="D584" s="33">
        <v>8</v>
      </c>
      <c r="E584" s="104">
        <v>2022</v>
      </c>
      <c r="F584" s="159">
        <v>2032</v>
      </c>
      <c r="G584" s="33">
        <v>2</v>
      </c>
      <c r="H584" s="33">
        <v>44</v>
      </c>
      <c r="I584" s="33">
        <v>0</v>
      </c>
      <c r="J584" s="33">
        <v>0</v>
      </c>
      <c r="K584" s="33">
        <v>0</v>
      </c>
      <c r="L584" s="101">
        <v>4.835873388042204</v>
      </c>
      <c r="M584" s="108">
        <v>4650</v>
      </c>
      <c r="N584" s="108">
        <v>3200</v>
      </c>
      <c r="O584" s="160">
        <v>2000</v>
      </c>
      <c r="P584" s="142">
        <v>0</v>
      </c>
      <c r="Q584" s="141">
        <v>272</v>
      </c>
      <c r="R584" s="141">
        <v>187</v>
      </c>
      <c r="S584" s="116">
        <v>0</v>
      </c>
      <c r="T584" s="116">
        <v>0</v>
      </c>
      <c r="U584" s="33" t="s">
        <v>226</v>
      </c>
      <c r="V584" s="33">
        <v>2015</v>
      </c>
      <c r="W584" s="33">
        <v>1</v>
      </c>
      <c r="X584" s="33">
        <v>0</v>
      </c>
      <c r="Y584" s="33">
        <v>-1.8E-3</v>
      </c>
      <c r="Z584" s="33">
        <v>-1.2E-2</v>
      </c>
      <c r="AA584" s="33">
        <v>0</v>
      </c>
      <c r="AB584" s="33">
        <v>0</v>
      </c>
      <c r="AC584" s="33" t="s">
        <v>363</v>
      </c>
      <c r="AD584" s="158"/>
    </row>
    <row r="585" spans="1:30" customFormat="1" x14ac:dyDescent="0.2">
      <c r="A585" s="153">
        <f t="shared" si="8"/>
        <v>561</v>
      </c>
      <c r="B585" s="33">
        <v>2</v>
      </c>
      <c r="C585" s="33">
        <v>2</v>
      </c>
      <c r="D585" s="33">
        <v>8</v>
      </c>
      <c r="E585" s="104">
        <v>2022</v>
      </c>
      <c r="F585" s="159">
        <v>2032</v>
      </c>
      <c r="G585" s="33">
        <v>3</v>
      </c>
      <c r="H585" s="33">
        <v>44</v>
      </c>
      <c r="I585" s="33">
        <v>0</v>
      </c>
      <c r="J585" s="33">
        <v>0</v>
      </c>
      <c r="K585" s="33">
        <v>0</v>
      </c>
      <c r="L585" s="101">
        <v>4.835873388042204</v>
      </c>
      <c r="M585" s="108">
        <v>4650</v>
      </c>
      <c r="N585" s="108">
        <v>3200</v>
      </c>
      <c r="O585" s="160">
        <v>2000</v>
      </c>
      <c r="P585" s="142">
        <v>0</v>
      </c>
      <c r="Q585" s="141">
        <v>268</v>
      </c>
      <c r="R585" s="141">
        <v>184</v>
      </c>
      <c r="S585" s="116">
        <v>0</v>
      </c>
      <c r="T585" s="116">
        <v>0</v>
      </c>
      <c r="U585" s="33" t="s">
        <v>226</v>
      </c>
      <c r="V585" s="33">
        <v>2015</v>
      </c>
      <c r="W585" s="33">
        <v>1</v>
      </c>
      <c r="X585" s="33">
        <v>0</v>
      </c>
      <c r="Y585" s="33">
        <v>-1.8E-3</v>
      </c>
      <c r="Z585" s="33">
        <v>-1.2E-2</v>
      </c>
      <c r="AA585" s="33">
        <v>0</v>
      </c>
      <c r="AB585" s="33">
        <v>0</v>
      </c>
      <c r="AC585" s="33" t="s">
        <v>363</v>
      </c>
      <c r="AD585" s="158"/>
    </row>
    <row r="586" spans="1:30" customFormat="1" hidden="1" x14ac:dyDescent="0.2">
      <c r="A586" s="153">
        <f t="shared" si="8"/>
        <v>562</v>
      </c>
      <c r="B586" s="33">
        <v>2</v>
      </c>
      <c r="C586" s="33">
        <v>2</v>
      </c>
      <c r="D586" s="33">
        <v>8</v>
      </c>
      <c r="E586" s="104">
        <v>2022</v>
      </c>
      <c r="F586" s="159">
        <v>2032</v>
      </c>
      <c r="G586" s="33">
        <v>4</v>
      </c>
      <c r="H586" s="33">
        <v>44</v>
      </c>
      <c r="I586" s="33">
        <v>0</v>
      </c>
      <c r="J586" s="33">
        <v>0</v>
      </c>
      <c r="K586" s="33">
        <v>0</v>
      </c>
      <c r="L586" s="101">
        <v>4.835873388042204</v>
      </c>
      <c r="M586" s="108">
        <v>4650</v>
      </c>
      <c r="N586" s="108">
        <v>3200</v>
      </c>
      <c r="O586" s="160">
        <v>2000</v>
      </c>
      <c r="P586" s="142">
        <v>0</v>
      </c>
      <c r="Q586" s="141">
        <v>270</v>
      </c>
      <c r="R586" s="141">
        <v>186</v>
      </c>
      <c r="S586" s="116">
        <v>0</v>
      </c>
      <c r="T586" s="116">
        <v>0</v>
      </c>
      <c r="U586" s="33" t="s">
        <v>226</v>
      </c>
      <c r="V586" s="33">
        <v>2015</v>
      </c>
      <c r="W586" s="33">
        <v>1</v>
      </c>
      <c r="X586" s="33">
        <v>0</v>
      </c>
      <c r="Y586" s="33">
        <v>-1.8E-3</v>
      </c>
      <c r="Z586" s="33">
        <v>-1.2E-2</v>
      </c>
      <c r="AA586" s="33">
        <v>0</v>
      </c>
      <c r="AB586" s="33">
        <v>0</v>
      </c>
      <c r="AC586" s="33" t="s">
        <v>363</v>
      </c>
      <c r="AD586" s="158"/>
    </row>
    <row r="587" spans="1:30" customFormat="1" hidden="1" x14ac:dyDescent="0.2">
      <c r="A587" s="153">
        <f t="shared" si="8"/>
        <v>563</v>
      </c>
      <c r="B587" s="33">
        <v>2</v>
      </c>
      <c r="C587" s="33">
        <v>2</v>
      </c>
      <c r="D587" s="33">
        <v>8</v>
      </c>
      <c r="E587" s="104">
        <v>2022</v>
      </c>
      <c r="F587" s="159">
        <v>2032</v>
      </c>
      <c r="G587" s="33">
        <v>5</v>
      </c>
      <c r="H587" s="33">
        <v>44</v>
      </c>
      <c r="I587" s="33">
        <v>0</v>
      </c>
      <c r="J587" s="33">
        <v>0</v>
      </c>
      <c r="K587" s="33">
        <v>0</v>
      </c>
      <c r="L587" s="101">
        <v>4.835873388042204</v>
      </c>
      <c r="M587" s="108">
        <v>4650</v>
      </c>
      <c r="N587" s="108">
        <v>3200</v>
      </c>
      <c r="O587" s="160">
        <v>2000</v>
      </c>
      <c r="P587" s="142">
        <v>0</v>
      </c>
      <c r="Q587" s="141">
        <v>154</v>
      </c>
      <c r="R587" s="141">
        <v>106</v>
      </c>
      <c r="S587" s="116">
        <v>0</v>
      </c>
      <c r="T587" s="116">
        <v>0</v>
      </c>
      <c r="U587" s="33" t="s">
        <v>226</v>
      </c>
      <c r="V587" s="33">
        <v>2015</v>
      </c>
      <c r="W587" s="33">
        <v>1</v>
      </c>
      <c r="X587" s="33">
        <v>0</v>
      </c>
      <c r="Y587" s="33">
        <v>-1.8E-3</v>
      </c>
      <c r="Z587" s="33">
        <v>-1.2E-2</v>
      </c>
      <c r="AA587" s="33">
        <v>0</v>
      </c>
      <c r="AB587" s="33">
        <v>0</v>
      </c>
      <c r="AC587" s="33" t="s">
        <v>363</v>
      </c>
      <c r="AD587" s="158"/>
    </row>
    <row r="588" spans="1:30" customFormat="1" hidden="1" x14ac:dyDescent="0.2">
      <c r="A588" s="153">
        <f t="shared" si="8"/>
        <v>564</v>
      </c>
      <c r="B588" s="33">
        <v>2</v>
      </c>
      <c r="C588" s="33">
        <v>2</v>
      </c>
      <c r="D588" s="33">
        <v>8</v>
      </c>
      <c r="E588" s="104">
        <v>2022</v>
      </c>
      <c r="F588" s="159">
        <v>2032</v>
      </c>
      <c r="G588" s="33">
        <v>6</v>
      </c>
      <c r="H588" s="33">
        <v>44</v>
      </c>
      <c r="I588" s="33">
        <v>0</v>
      </c>
      <c r="J588" s="33">
        <v>0</v>
      </c>
      <c r="K588" s="33">
        <v>0</v>
      </c>
      <c r="L588" s="101">
        <v>4.835873388042204</v>
      </c>
      <c r="M588" s="108">
        <v>4650</v>
      </c>
      <c r="N588" s="108">
        <v>3200</v>
      </c>
      <c r="O588" s="160">
        <v>2000</v>
      </c>
      <c r="P588" s="142">
        <v>0</v>
      </c>
      <c r="Q588" s="141">
        <v>64</v>
      </c>
      <c r="R588" s="141">
        <v>44</v>
      </c>
      <c r="S588" s="116">
        <v>0</v>
      </c>
      <c r="T588" s="116">
        <v>0</v>
      </c>
      <c r="U588" s="33" t="s">
        <v>226</v>
      </c>
      <c r="V588" s="33">
        <v>2015</v>
      </c>
      <c r="W588" s="33">
        <v>1</v>
      </c>
      <c r="X588" s="33">
        <v>0</v>
      </c>
      <c r="Y588" s="33">
        <v>-1.8E-3</v>
      </c>
      <c r="Z588" s="33">
        <v>-1.2E-2</v>
      </c>
      <c r="AA588" s="33">
        <v>0</v>
      </c>
      <c r="AB588" s="33">
        <v>0</v>
      </c>
      <c r="AC588" s="33" t="s">
        <v>363</v>
      </c>
      <c r="AD588" s="158"/>
    </row>
    <row r="589" spans="1:30" customFormat="1" hidden="1" x14ac:dyDescent="0.2">
      <c r="A589" s="153">
        <f t="shared" si="8"/>
        <v>565</v>
      </c>
      <c r="B589" s="33">
        <v>2</v>
      </c>
      <c r="C589" s="33">
        <v>2</v>
      </c>
      <c r="D589" s="33">
        <v>8</v>
      </c>
      <c r="E589" s="104">
        <v>2022</v>
      </c>
      <c r="F589" s="159">
        <v>2032</v>
      </c>
      <c r="G589" s="33">
        <v>7</v>
      </c>
      <c r="H589" s="33">
        <v>44</v>
      </c>
      <c r="I589" s="33">
        <v>0</v>
      </c>
      <c r="J589" s="33">
        <v>0</v>
      </c>
      <c r="K589" s="33">
        <v>0</v>
      </c>
      <c r="L589" s="101">
        <v>4.835873388042204</v>
      </c>
      <c r="M589" s="108">
        <v>4650</v>
      </c>
      <c r="N589" s="108">
        <v>3200</v>
      </c>
      <c r="O589" s="160">
        <v>2000</v>
      </c>
      <c r="P589" s="142">
        <v>0</v>
      </c>
      <c r="Q589" s="141">
        <v>829</v>
      </c>
      <c r="R589" s="141">
        <v>571</v>
      </c>
      <c r="S589" s="116">
        <v>0</v>
      </c>
      <c r="T589" s="116">
        <v>0</v>
      </c>
      <c r="U589" s="33" t="s">
        <v>226</v>
      </c>
      <c r="V589" s="33">
        <v>2015</v>
      </c>
      <c r="W589" s="33">
        <v>1</v>
      </c>
      <c r="X589" s="33">
        <v>0</v>
      </c>
      <c r="Y589" s="33">
        <v>-1.8E-3</v>
      </c>
      <c r="Z589" s="33">
        <v>-1.2E-2</v>
      </c>
      <c r="AA589" s="33">
        <v>0</v>
      </c>
      <c r="AB589" s="33">
        <v>0</v>
      </c>
      <c r="AC589" s="33" t="s">
        <v>363</v>
      </c>
      <c r="AD589" s="158"/>
    </row>
    <row r="590" spans="1:30" customFormat="1" hidden="1" x14ac:dyDescent="0.2">
      <c r="A590" s="153">
        <f t="shared" si="8"/>
        <v>566</v>
      </c>
      <c r="B590" s="33">
        <v>2</v>
      </c>
      <c r="C590" s="33">
        <v>2</v>
      </c>
      <c r="D590" s="33">
        <v>8</v>
      </c>
      <c r="E590" s="104">
        <v>2022</v>
      </c>
      <c r="F590" s="159">
        <v>2032</v>
      </c>
      <c r="G590" s="33">
        <v>8</v>
      </c>
      <c r="H590" s="33">
        <v>44</v>
      </c>
      <c r="I590" s="33">
        <v>0</v>
      </c>
      <c r="J590" s="33">
        <v>0</v>
      </c>
      <c r="K590" s="33">
        <v>0</v>
      </c>
      <c r="L590" s="101">
        <v>4.835873388042204</v>
      </c>
      <c r="M590" s="108">
        <v>4650</v>
      </c>
      <c r="N590" s="108">
        <v>3200</v>
      </c>
      <c r="O590" s="160">
        <v>2000</v>
      </c>
      <c r="P590" s="142">
        <v>0</v>
      </c>
      <c r="Q590" s="141">
        <v>178</v>
      </c>
      <c r="R590" s="141">
        <v>123</v>
      </c>
      <c r="S590" s="116">
        <v>0</v>
      </c>
      <c r="T590" s="116">
        <v>0</v>
      </c>
      <c r="U590" s="33" t="s">
        <v>226</v>
      </c>
      <c r="V590" s="33">
        <v>2015</v>
      </c>
      <c r="W590" s="33">
        <v>1</v>
      </c>
      <c r="X590" s="33">
        <v>0</v>
      </c>
      <c r="Y590" s="33">
        <v>-1.8E-3</v>
      </c>
      <c r="Z590" s="33">
        <v>-1.2E-2</v>
      </c>
      <c r="AA590" s="33">
        <v>0</v>
      </c>
      <c r="AB590" s="33">
        <v>0</v>
      </c>
      <c r="AC590" s="33" t="s">
        <v>363</v>
      </c>
      <c r="AD590" s="158"/>
    </row>
    <row r="591" spans="1:30" customFormat="1" hidden="1" x14ac:dyDescent="0.2">
      <c r="A591" s="153">
        <f t="shared" si="8"/>
        <v>567</v>
      </c>
      <c r="B591" s="33">
        <v>2</v>
      </c>
      <c r="C591" s="33">
        <v>2</v>
      </c>
      <c r="D591" s="33">
        <v>8</v>
      </c>
      <c r="E591" s="104">
        <v>2022</v>
      </c>
      <c r="F591" s="159">
        <v>2032</v>
      </c>
      <c r="G591" s="33">
        <v>9</v>
      </c>
      <c r="H591" s="33">
        <v>44</v>
      </c>
      <c r="I591" s="33">
        <v>0</v>
      </c>
      <c r="J591" s="33">
        <v>0</v>
      </c>
      <c r="K591" s="33">
        <v>0</v>
      </c>
      <c r="L591" s="101">
        <v>4.835873388042204</v>
      </c>
      <c r="M591" s="108">
        <v>4650</v>
      </c>
      <c r="N591" s="108">
        <v>3200</v>
      </c>
      <c r="O591" s="160">
        <v>2000</v>
      </c>
      <c r="P591" s="142">
        <v>0</v>
      </c>
      <c r="Q591" s="141">
        <v>476</v>
      </c>
      <c r="R591" s="141">
        <v>328</v>
      </c>
      <c r="S591" s="116">
        <v>0</v>
      </c>
      <c r="T591" s="116">
        <v>0</v>
      </c>
      <c r="U591" s="33" t="s">
        <v>226</v>
      </c>
      <c r="V591" s="33">
        <v>2015</v>
      </c>
      <c r="W591" s="33">
        <v>1</v>
      </c>
      <c r="X591" s="33">
        <v>0</v>
      </c>
      <c r="Y591" s="33">
        <v>-1.8E-3</v>
      </c>
      <c r="Z591" s="33">
        <v>-1.2E-2</v>
      </c>
      <c r="AA591" s="33">
        <v>0</v>
      </c>
      <c r="AB591" s="33">
        <v>0</v>
      </c>
      <c r="AC591" s="33" t="s">
        <v>363</v>
      </c>
      <c r="AD591" s="158"/>
    </row>
    <row r="592" spans="1:30" s="157" customFormat="1" hidden="1" x14ac:dyDescent="0.2">
      <c r="A592" s="153">
        <f t="shared" si="8"/>
        <v>568</v>
      </c>
      <c r="B592" s="49">
        <v>2</v>
      </c>
      <c r="C592" s="49">
        <v>2</v>
      </c>
      <c r="D592" s="49">
        <v>8</v>
      </c>
      <c r="E592" s="166">
        <v>2033</v>
      </c>
      <c r="F592" s="49">
        <v>2050</v>
      </c>
      <c r="G592" s="49">
        <v>1</v>
      </c>
      <c r="H592" s="49">
        <v>44</v>
      </c>
      <c r="I592" s="49">
        <v>0</v>
      </c>
      <c r="J592" s="49">
        <v>0</v>
      </c>
      <c r="K592" s="49">
        <v>0</v>
      </c>
      <c r="L592" s="167">
        <v>4.835873388042204</v>
      </c>
      <c r="M592" s="168">
        <v>4650</v>
      </c>
      <c r="N592" s="168">
        <v>3200</v>
      </c>
      <c r="O592" s="51">
        <v>0</v>
      </c>
      <c r="P592" s="51">
        <v>0</v>
      </c>
      <c r="Q592" s="51">
        <v>183</v>
      </c>
      <c r="R592" s="51">
        <v>126</v>
      </c>
      <c r="S592" s="171">
        <v>0</v>
      </c>
      <c r="T592" s="171">
        <v>0</v>
      </c>
      <c r="U592" s="49" t="s">
        <v>226</v>
      </c>
      <c r="V592" s="49">
        <v>2015</v>
      </c>
      <c r="W592" s="49">
        <v>1</v>
      </c>
      <c r="X592" s="49">
        <v>0</v>
      </c>
      <c r="Y592" s="49">
        <v>-1.8E-3</v>
      </c>
      <c r="Z592" s="49">
        <v>-1.2E-2</v>
      </c>
      <c r="AA592" s="49">
        <v>0</v>
      </c>
      <c r="AB592" s="49">
        <v>0</v>
      </c>
      <c r="AC592" s="49" t="s">
        <v>363</v>
      </c>
      <c r="AD592" s="158"/>
    </row>
    <row r="593" spans="1:30" s="157" customFormat="1" hidden="1" x14ac:dyDescent="0.2">
      <c r="A593" s="153">
        <f t="shared" si="8"/>
        <v>569</v>
      </c>
      <c r="B593" s="49">
        <v>2</v>
      </c>
      <c r="C593" s="49">
        <v>2</v>
      </c>
      <c r="D593" s="49">
        <v>8</v>
      </c>
      <c r="E593" s="166">
        <v>2033</v>
      </c>
      <c r="F593" s="49">
        <v>2050</v>
      </c>
      <c r="G593" s="49">
        <v>2</v>
      </c>
      <c r="H593" s="49">
        <v>44</v>
      </c>
      <c r="I593" s="49">
        <v>0</v>
      </c>
      <c r="J593" s="49">
        <v>0</v>
      </c>
      <c r="K593" s="49">
        <v>0</v>
      </c>
      <c r="L593" s="167">
        <v>4.835873388042204</v>
      </c>
      <c r="M593" s="168">
        <v>4650</v>
      </c>
      <c r="N593" s="168">
        <v>3200</v>
      </c>
      <c r="O593" s="51">
        <v>0</v>
      </c>
      <c r="P593" s="51">
        <v>0</v>
      </c>
      <c r="Q593" s="51">
        <v>272</v>
      </c>
      <c r="R593" s="51">
        <v>187</v>
      </c>
      <c r="S593" s="171">
        <v>0</v>
      </c>
      <c r="T593" s="171">
        <v>0</v>
      </c>
      <c r="U593" s="49" t="s">
        <v>226</v>
      </c>
      <c r="V593" s="49">
        <v>2015</v>
      </c>
      <c r="W593" s="49">
        <v>1</v>
      </c>
      <c r="X593" s="49">
        <v>0</v>
      </c>
      <c r="Y593" s="49">
        <v>-1.8E-3</v>
      </c>
      <c r="Z593" s="49">
        <v>-1.2E-2</v>
      </c>
      <c r="AA593" s="49">
        <v>0</v>
      </c>
      <c r="AB593" s="49">
        <v>0</v>
      </c>
      <c r="AC593" s="49" t="s">
        <v>363</v>
      </c>
      <c r="AD593" s="158"/>
    </row>
    <row r="594" spans="1:30" s="157" customFormat="1" x14ac:dyDescent="0.2">
      <c r="A594" s="153">
        <f t="shared" si="8"/>
        <v>570</v>
      </c>
      <c r="B594" s="49">
        <v>2</v>
      </c>
      <c r="C594" s="49">
        <v>2</v>
      </c>
      <c r="D594" s="49">
        <v>8</v>
      </c>
      <c r="E594" s="166">
        <v>2033</v>
      </c>
      <c r="F594" s="49">
        <v>2050</v>
      </c>
      <c r="G594" s="49">
        <v>3</v>
      </c>
      <c r="H594" s="49">
        <v>44</v>
      </c>
      <c r="I594" s="49">
        <v>0</v>
      </c>
      <c r="J594" s="49">
        <v>0</v>
      </c>
      <c r="K594" s="49">
        <v>0</v>
      </c>
      <c r="L594" s="167">
        <v>4.835873388042204</v>
      </c>
      <c r="M594" s="168">
        <v>4650</v>
      </c>
      <c r="N594" s="168">
        <v>3200</v>
      </c>
      <c r="O594" s="51">
        <v>0</v>
      </c>
      <c r="P594" s="51">
        <v>0</v>
      </c>
      <c r="Q594" s="51">
        <v>268</v>
      </c>
      <c r="R594" s="51">
        <v>184</v>
      </c>
      <c r="S594" s="171">
        <v>0</v>
      </c>
      <c r="T594" s="171">
        <v>0</v>
      </c>
      <c r="U594" s="49" t="s">
        <v>226</v>
      </c>
      <c r="V594" s="49">
        <v>2015</v>
      </c>
      <c r="W594" s="49">
        <v>1</v>
      </c>
      <c r="X594" s="49">
        <v>0</v>
      </c>
      <c r="Y594" s="49">
        <v>-1.8E-3</v>
      </c>
      <c r="Z594" s="49">
        <v>-1.2E-2</v>
      </c>
      <c r="AA594" s="49">
        <v>0</v>
      </c>
      <c r="AB594" s="49">
        <v>0</v>
      </c>
      <c r="AC594" s="49" t="s">
        <v>363</v>
      </c>
      <c r="AD594" s="158"/>
    </row>
    <row r="595" spans="1:30" s="157" customFormat="1" hidden="1" x14ac:dyDescent="0.2">
      <c r="A595" s="153">
        <f t="shared" si="8"/>
        <v>571</v>
      </c>
      <c r="B595" s="49">
        <v>2</v>
      </c>
      <c r="C595" s="49">
        <v>2</v>
      </c>
      <c r="D595" s="49">
        <v>8</v>
      </c>
      <c r="E595" s="166">
        <v>2033</v>
      </c>
      <c r="F595" s="49">
        <v>2050</v>
      </c>
      <c r="G595" s="49">
        <v>4</v>
      </c>
      <c r="H595" s="49">
        <v>44</v>
      </c>
      <c r="I595" s="49">
        <v>0</v>
      </c>
      <c r="J595" s="49">
        <v>0</v>
      </c>
      <c r="K595" s="49">
        <v>0</v>
      </c>
      <c r="L595" s="167">
        <v>4.835873388042204</v>
      </c>
      <c r="M595" s="168">
        <v>4650</v>
      </c>
      <c r="N595" s="168">
        <v>3200</v>
      </c>
      <c r="O595" s="51">
        <v>0</v>
      </c>
      <c r="P595" s="51">
        <v>0</v>
      </c>
      <c r="Q595" s="51">
        <v>270</v>
      </c>
      <c r="R595" s="51">
        <v>186</v>
      </c>
      <c r="S595" s="171">
        <v>0</v>
      </c>
      <c r="T595" s="171">
        <v>0</v>
      </c>
      <c r="U595" s="49" t="s">
        <v>226</v>
      </c>
      <c r="V595" s="49">
        <v>2015</v>
      </c>
      <c r="W595" s="49">
        <v>1</v>
      </c>
      <c r="X595" s="49">
        <v>0</v>
      </c>
      <c r="Y595" s="49">
        <v>-1.8E-3</v>
      </c>
      <c r="Z595" s="49">
        <v>-1.2E-2</v>
      </c>
      <c r="AA595" s="49">
        <v>0</v>
      </c>
      <c r="AB595" s="49">
        <v>0</v>
      </c>
      <c r="AC595" s="49" t="s">
        <v>363</v>
      </c>
      <c r="AD595" s="158"/>
    </row>
    <row r="596" spans="1:30" s="157" customFormat="1" hidden="1" x14ac:dyDescent="0.2">
      <c r="A596" s="153">
        <f t="shared" si="8"/>
        <v>572</v>
      </c>
      <c r="B596" s="49">
        <v>2</v>
      </c>
      <c r="C596" s="49">
        <v>2</v>
      </c>
      <c r="D596" s="49">
        <v>8</v>
      </c>
      <c r="E596" s="166">
        <v>2033</v>
      </c>
      <c r="F596" s="49">
        <v>2050</v>
      </c>
      <c r="G596" s="49">
        <v>5</v>
      </c>
      <c r="H596" s="49">
        <v>44</v>
      </c>
      <c r="I596" s="49">
        <v>0</v>
      </c>
      <c r="J596" s="49">
        <v>0</v>
      </c>
      <c r="K596" s="49">
        <v>0</v>
      </c>
      <c r="L596" s="167">
        <v>4.835873388042204</v>
      </c>
      <c r="M596" s="168">
        <v>4650</v>
      </c>
      <c r="N596" s="168">
        <v>3200</v>
      </c>
      <c r="O596" s="51">
        <v>0</v>
      </c>
      <c r="P596" s="51">
        <v>0</v>
      </c>
      <c r="Q596" s="51">
        <v>154</v>
      </c>
      <c r="R596" s="51">
        <v>106</v>
      </c>
      <c r="S596" s="171">
        <v>0</v>
      </c>
      <c r="T596" s="171">
        <v>0</v>
      </c>
      <c r="U596" s="49" t="s">
        <v>226</v>
      </c>
      <c r="V596" s="49">
        <v>2015</v>
      </c>
      <c r="W596" s="49">
        <v>1</v>
      </c>
      <c r="X596" s="49">
        <v>0</v>
      </c>
      <c r="Y596" s="49">
        <v>-1.8E-3</v>
      </c>
      <c r="Z596" s="49">
        <v>-1.2E-2</v>
      </c>
      <c r="AA596" s="49">
        <v>0</v>
      </c>
      <c r="AB596" s="49">
        <v>0</v>
      </c>
      <c r="AC596" s="49" t="s">
        <v>363</v>
      </c>
      <c r="AD596" s="158"/>
    </row>
    <row r="597" spans="1:30" s="157" customFormat="1" hidden="1" x14ac:dyDescent="0.2">
      <c r="A597" s="153">
        <f t="shared" si="8"/>
        <v>573</v>
      </c>
      <c r="B597" s="49">
        <v>2</v>
      </c>
      <c r="C597" s="49">
        <v>2</v>
      </c>
      <c r="D597" s="49">
        <v>8</v>
      </c>
      <c r="E597" s="166">
        <v>2033</v>
      </c>
      <c r="F597" s="49">
        <v>2050</v>
      </c>
      <c r="G597" s="49">
        <v>6</v>
      </c>
      <c r="H597" s="49">
        <v>44</v>
      </c>
      <c r="I597" s="49">
        <v>0</v>
      </c>
      <c r="J597" s="49">
        <v>0</v>
      </c>
      <c r="K597" s="49">
        <v>0</v>
      </c>
      <c r="L597" s="167">
        <v>4.835873388042204</v>
      </c>
      <c r="M597" s="168">
        <v>4650</v>
      </c>
      <c r="N597" s="168">
        <v>3200</v>
      </c>
      <c r="O597" s="51">
        <v>0</v>
      </c>
      <c r="P597" s="51">
        <v>0</v>
      </c>
      <c r="Q597" s="51">
        <v>64</v>
      </c>
      <c r="R597" s="51">
        <v>44</v>
      </c>
      <c r="S597" s="171">
        <v>0</v>
      </c>
      <c r="T597" s="171">
        <v>0</v>
      </c>
      <c r="U597" s="49" t="s">
        <v>226</v>
      </c>
      <c r="V597" s="49">
        <v>2015</v>
      </c>
      <c r="W597" s="49">
        <v>1</v>
      </c>
      <c r="X597" s="49">
        <v>0</v>
      </c>
      <c r="Y597" s="49">
        <v>-1.8E-3</v>
      </c>
      <c r="Z597" s="49">
        <v>-1.2E-2</v>
      </c>
      <c r="AA597" s="49">
        <v>0</v>
      </c>
      <c r="AB597" s="49">
        <v>0</v>
      </c>
      <c r="AC597" s="49" t="s">
        <v>363</v>
      </c>
      <c r="AD597" s="158"/>
    </row>
    <row r="598" spans="1:30" s="157" customFormat="1" hidden="1" x14ac:dyDescent="0.2">
      <c r="A598" s="153">
        <f t="shared" si="8"/>
        <v>574</v>
      </c>
      <c r="B598" s="49">
        <v>2</v>
      </c>
      <c r="C598" s="49">
        <v>2</v>
      </c>
      <c r="D598" s="49">
        <v>8</v>
      </c>
      <c r="E598" s="166">
        <v>2033</v>
      </c>
      <c r="F598" s="49">
        <v>2050</v>
      </c>
      <c r="G598" s="49">
        <v>7</v>
      </c>
      <c r="H598" s="49">
        <v>44</v>
      </c>
      <c r="I598" s="49">
        <v>0</v>
      </c>
      <c r="J598" s="49">
        <v>0</v>
      </c>
      <c r="K598" s="49">
        <v>0</v>
      </c>
      <c r="L598" s="167">
        <v>4.835873388042204</v>
      </c>
      <c r="M598" s="168">
        <v>4650</v>
      </c>
      <c r="N598" s="168">
        <v>3200</v>
      </c>
      <c r="O598" s="51">
        <v>0</v>
      </c>
      <c r="P598" s="51">
        <v>0</v>
      </c>
      <c r="Q598" s="51">
        <v>829</v>
      </c>
      <c r="R598" s="51">
        <v>571</v>
      </c>
      <c r="S598" s="171">
        <v>0</v>
      </c>
      <c r="T598" s="171">
        <v>0</v>
      </c>
      <c r="U598" s="49" t="s">
        <v>226</v>
      </c>
      <c r="V598" s="49">
        <v>2015</v>
      </c>
      <c r="W598" s="49">
        <v>1</v>
      </c>
      <c r="X598" s="49">
        <v>0</v>
      </c>
      <c r="Y598" s="49">
        <v>-1.8E-3</v>
      </c>
      <c r="Z598" s="49">
        <v>-1.2E-2</v>
      </c>
      <c r="AA598" s="49">
        <v>0</v>
      </c>
      <c r="AB598" s="49">
        <v>0</v>
      </c>
      <c r="AC598" s="49" t="s">
        <v>363</v>
      </c>
      <c r="AD598" s="158"/>
    </row>
    <row r="599" spans="1:30" s="157" customFormat="1" hidden="1" x14ac:dyDescent="0.2">
      <c r="A599" s="153">
        <f t="shared" si="8"/>
        <v>575</v>
      </c>
      <c r="B599" s="49">
        <v>2</v>
      </c>
      <c r="C599" s="49">
        <v>2</v>
      </c>
      <c r="D599" s="49">
        <v>8</v>
      </c>
      <c r="E599" s="166">
        <v>2033</v>
      </c>
      <c r="F599" s="49">
        <v>2050</v>
      </c>
      <c r="G599" s="49">
        <v>8</v>
      </c>
      <c r="H599" s="49">
        <v>44</v>
      </c>
      <c r="I599" s="49">
        <v>0</v>
      </c>
      <c r="J599" s="49">
        <v>0</v>
      </c>
      <c r="K599" s="49">
        <v>0</v>
      </c>
      <c r="L599" s="167">
        <v>4.835873388042204</v>
      </c>
      <c r="M599" s="168">
        <v>4650</v>
      </c>
      <c r="N599" s="168">
        <v>3200</v>
      </c>
      <c r="O599" s="51">
        <v>0</v>
      </c>
      <c r="P599" s="51">
        <v>0</v>
      </c>
      <c r="Q599" s="51">
        <v>178</v>
      </c>
      <c r="R599" s="51">
        <v>123</v>
      </c>
      <c r="S599" s="171">
        <v>0</v>
      </c>
      <c r="T599" s="171">
        <v>0</v>
      </c>
      <c r="U599" s="49" t="s">
        <v>226</v>
      </c>
      <c r="V599" s="49">
        <v>2015</v>
      </c>
      <c r="W599" s="49">
        <v>1</v>
      </c>
      <c r="X599" s="49">
        <v>0</v>
      </c>
      <c r="Y599" s="49">
        <v>-1.8E-3</v>
      </c>
      <c r="Z599" s="49">
        <v>-1.2E-2</v>
      </c>
      <c r="AA599" s="49">
        <v>0</v>
      </c>
      <c r="AB599" s="49">
        <v>0</v>
      </c>
      <c r="AC599" s="49" t="s">
        <v>363</v>
      </c>
      <c r="AD599" s="158"/>
    </row>
    <row r="600" spans="1:30" s="157" customFormat="1" hidden="1" x14ac:dyDescent="0.2">
      <c r="A600" s="153">
        <f t="shared" si="8"/>
        <v>576</v>
      </c>
      <c r="B600" s="49">
        <v>2</v>
      </c>
      <c r="C600" s="49">
        <v>2</v>
      </c>
      <c r="D600" s="49">
        <v>8</v>
      </c>
      <c r="E600" s="166">
        <v>2033</v>
      </c>
      <c r="F600" s="49">
        <v>2050</v>
      </c>
      <c r="G600" s="49">
        <v>9</v>
      </c>
      <c r="H600" s="49">
        <v>44</v>
      </c>
      <c r="I600" s="49">
        <v>0</v>
      </c>
      <c r="J600" s="49">
        <v>0</v>
      </c>
      <c r="K600" s="49">
        <v>0</v>
      </c>
      <c r="L600" s="167">
        <v>4.835873388042204</v>
      </c>
      <c r="M600" s="168">
        <v>4650</v>
      </c>
      <c r="N600" s="168">
        <v>3200</v>
      </c>
      <c r="O600" s="51">
        <v>0</v>
      </c>
      <c r="P600" s="51">
        <v>0</v>
      </c>
      <c r="Q600" s="51">
        <v>476</v>
      </c>
      <c r="R600" s="51">
        <v>328</v>
      </c>
      <c r="S600" s="171">
        <v>0</v>
      </c>
      <c r="T600" s="171">
        <v>0</v>
      </c>
      <c r="U600" s="49" t="s">
        <v>226</v>
      </c>
      <c r="V600" s="49">
        <v>2015</v>
      </c>
      <c r="W600" s="49">
        <v>1</v>
      </c>
      <c r="X600" s="49">
        <v>0</v>
      </c>
      <c r="Y600" s="49">
        <v>-1.8E-3</v>
      </c>
      <c r="Z600" s="49">
        <v>-1.2E-2</v>
      </c>
      <c r="AA600" s="49">
        <v>0</v>
      </c>
      <c r="AB600" s="49">
        <v>0</v>
      </c>
      <c r="AC600" s="49" t="s">
        <v>363</v>
      </c>
      <c r="AD600" s="158"/>
    </row>
    <row r="601" spans="1:30" customFormat="1" hidden="1" x14ac:dyDescent="0.2">
      <c r="A601" s="153">
        <f t="shared" si="8"/>
        <v>577</v>
      </c>
      <c r="B601" s="33">
        <v>2</v>
      </c>
      <c r="C601" s="33">
        <v>3</v>
      </c>
      <c r="D601" s="33">
        <v>9</v>
      </c>
      <c r="E601" s="104">
        <v>2016</v>
      </c>
      <c r="F601" s="33">
        <v>2022</v>
      </c>
      <c r="G601" s="33">
        <v>11</v>
      </c>
      <c r="H601" s="33">
        <v>45</v>
      </c>
      <c r="I601" s="33">
        <v>2</v>
      </c>
      <c r="J601" s="33">
        <v>0</v>
      </c>
      <c r="K601" s="33">
        <v>0</v>
      </c>
      <c r="L601" s="101">
        <v>4.1031652989449006</v>
      </c>
      <c r="M601" s="108">
        <v>2425</v>
      </c>
      <c r="N601" s="108">
        <v>0</v>
      </c>
      <c r="O601" s="142">
        <v>0</v>
      </c>
      <c r="P601" s="142">
        <v>0</v>
      </c>
      <c r="Q601" s="142">
        <v>0</v>
      </c>
      <c r="R601" s="142">
        <v>0</v>
      </c>
      <c r="S601" s="116">
        <v>0</v>
      </c>
      <c r="T601" s="116">
        <v>0</v>
      </c>
      <c r="U601" s="33" t="s">
        <v>226</v>
      </c>
      <c r="V601" s="33">
        <v>2015</v>
      </c>
      <c r="W601" s="33">
        <v>1</v>
      </c>
      <c r="X601" s="33">
        <v>0</v>
      </c>
      <c r="Y601" s="33">
        <v>-1.8E-3</v>
      </c>
      <c r="Z601" s="33">
        <v>-1.2E-2</v>
      </c>
      <c r="AA601" s="33">
        <v>0</v>
      </c>
      <c r="AB601" s="33">
        <v>0</v>
      </c>
      <c r="AC601" s="33" t="s">
        <v>199</v>
      </c>
      <c r="AD601" s="158"/>
    </row>
    <row r="602" spans="1:30" customFormat="1" hidden="1" x14ac:dyDescent="0.2">
      <c r="A602" s="153">
        <f t="shared" si="8"/>
        <v>578</v>
      </c>
      <c r="B602" s="33">
        <v>2</v>
      </c>
      <c r="C602" s="33">
        <v>3</v>
      </c>
      <c r="D602" s="33">
        <v>9</v>
      </c>
      <c r="E602" s="104">
        <v>2023</v>
      </c>
      <c r="F602" s="33">
        <v>2050</v>
      </c>
      <c r="G602" s="33">
        <v>11</v>
      </c>
      <c r="H602" s="33">
        <v>45</v>
      </c>
      <c r="I602" s="33">
        <v>2</v>
      </c>
      <c r="J602" s="33">
        <v>0</v>
      </c>
      <c r="K602" s="33">
        <v>0</v>
      </c>
      <c r="L602" s="101">
        <v>4.1031652989449006</v>
      </c>
      <c r="M602" s="108">
        <v>2425</v>
      </c>
      <c r="N602" s="108">
        <v>0</v>
      </c>
      <c r="O602" s="142">
        <v>0</v>
      </c>
      <c r="P602" s="142">
        <v>0</v>
      </c>
      <c r="Q602" s="142">
        <v>0</v>
      </c>
      <c r="R602" s="142">
        <v>0</v>
      </c>
      <c r="S602" s="116">
        <v>0</v>
      </c>
      <c r="T602" s="116">
        <v>0</v>
      </c>
      <c r="U602" s="33" t="s">
        <v>226</v>
      </c>
      <c r="V602" s="33">
        <v>2015</v>
      </c>
      <c r="W602" s="33">
        <v>1</v>
      </c>
      <c r="X602" s="33">
        <v>0</v>
      </c>
      <c r="Y602" s="144">
        <v>-1</v>
      </c>
      <c r="Z602" s="144">
        <v>-1</v>
      </c>
      <c r="AA602" s="33">
        <v>0</v>
      </c>
      <c r="AB602" s="33">
        <v>0</v>
      </c>
      <c r="AC602" s="33" t="s">
        <v>199</v>
      </c>
      <c r="AD602" s="158"/>
    </row>
    <row r="603" spans="1:30" customFormat="1" hidden="1" x14ac:dyDescent="0.2">
      <c r="A603" s="153">
        <f t="shared" ref="A603:A666" si="9">A602+1</f>
        <v>579</v>
      </c>
      <c r="B603" s="33">
        <v>2</v>
      </c>
      <c r="C603" s="33">
        <v>3</v>
      </c>
      <c r="D603" s="33">
        <v>10</v>
      </c>
      <c r="E603" s="104">
        <v>2016</v>
      </c>
      <c r="F603" s="33">
        <v>2022</v>
      </c>
      <c r="G603" s="33">
        <v>11</v>
      </c>
      <c r="H603" s="33">
        <v>46</v>
      </c>
      <c r="I603" s="33">
        <v>3</v>
      </c>
      <c r="J603" s="33">
        <v>0</v>
      </c>
      <c r="K603" s="33">
        <v>0</v>
      </c>
      <c r="L603" s="101">
        <v>4.484173505275499</v>
      </c>
      <c r="M603" s="108">
        <v>2550</v>
      </c>
      <c r="N603" s="108">
        <v>0</v>
      </c>
      <c r="O603" s="160">
        <v>150</v>
      </c>
      <c r="P603" s="142">
        <v>0</v>
      </c>
      <c r="Q603" s="142">
        <v>0</v>
      </c>
      <c r="R603" s="142">
        <v>0</v>
      </c>
      <c r="S603" s="116">
        <v>0</v>
      </c>
      <c r="T603" s="116">
        <v>0</v>
      </c>
      <c r="U603" s="33" t="s">
        <v>226</v>
      </c>
      <c r="V603" s="33">
        <v>2015</v>
      </c>
      <c r="W603" s="33">
        <v>1</v>
      </c>
      <c r="X603" s="33">
        <v>0</v>
      </c>
      <c r="Y603" s="33">
        <v>-1.8E-3</v>
      </c>
      <c r="Z603" s="33">
        <v>-1.2E-2</v>
      </c>
      <c r="AA603" s="33">
        <v>0</v>
      </c>
      <c r="AB603" s="33">
        <v>0</v>
      </c>
      <c r="AC603" s="33" t="s">
        <v>200</v>
      </c>
      <c r="AD603" s="158"/>
    </row>
    <row r="604" spans="1:30" customFormat="1" hidden="1" x14ac:dyDescent="0.2">
      <c r="A604" s="153">
        <f t="shared" si="9"/>
        <v>580</v>
      </c>
      <c r="B604" s="33">
        <v>2</v>
      </c>
      <c r="C604" s="33">
        <v>3</v>
      </c>
      <c r="D604" s="33">
        <v>10</v>
      </c>
      <c r="E604" s="104">
        <v>2023</v>
      </c>
      <c r="F604" s="159">
        <v>2032</v>
      </c>
      <c r="G604" s="33">
        <v>11</v>
      </c>
      <c r="H604" s="33">
        <v>46</v>
      </c>
      <c r="I604" s="33">
        <v>3</v>
      </c>
      <c r="J604" s="33">
        <v>0</v>
      </c>
      <c r="K604" s="33">
        <v>0</v>
      </c>
      <c r="L604" s="101">
        <v>4.6307151230949595</v>
      </c>
      <c r="M604" s="108">
        <v>2575</v>
      </c>
      <c r="N604" s="108">
        <v>0</v>
      </c>
      <c r="O604" s="160">
        <v>1000</v>
      </c>
      <c r="P604" s="142">
        <v>0</v>
      </c>
      <c r="Q604" s="149">
        <v>0</v>
      </c>
      <c r="R604" s="149">
        <v>0</v>
      </c>
      <c r="S604" s="116">
        <v>0</v>
      </c>
      <c r="T604" s="116">
        <v>0</v>
      </c>
      <c r="U604" s="33" t="s">
        <v>226</v>
      </c>
      <c r="V604" s="33">
        <v>2015</v>
      </c>
      <c r="W604" s="33">
        <v>1</v>
      </c>
      <c r="X604" s="33">
        <v>0</v>
      </c>
      <c r="Y604" s="33">
        <v>-1.8E-3</v>
      </c>
      <c r="Z604" s="33">
        <v>-1.2E-2</v>
      </c>
      <c r="AA604" s="33">
        <v>0</v>
      </c>
      <c r="AB604" s="33">
        <v>0</v>
      </c>
      <c r="AC604" s="33" t="s">
        <v>200</v>
      </c>
      <c r="AD604" s="158"/>
    </row>
    <row r="605" spans="1:30" s="157" customFormat="1" hidden="1" x14ac:dyDescent="0.2">
      <c r="A605" s="153">
        <f t="shared" si="9"/>
        <v>581</v>
      </c>
      <c r="B605" s="49">
        <v>2</v>
      </c>
      <c r="C605" s="49">
        <v>3</v>
      </c>
      <c r="D605" s="49">
        <v>10</v>
      </c>
      <c r="E605" s="166">
        <v>2033</v>
      </c>
      <c r="F605" s="49">
        <v>2050</v>
      </c>
      <c r="G605" s="49">
        <v>11</v>
      </c>
      <c r="H605" s="49">
        <v>46</v>
      </c>
      <c r="I605" s="49">
        <v>3</v>
      </c>
      <c r="J605" s="49">
        <v>0</v>
      </c>
      <c r="K605" s="49">
        <v>0</v>
      </c>
      <c r="L605" s="167">
        <v>4.6307151230949595</v>
      </c>
      <c r="M605" s="168">
        <v>2575</v>
      </c>
      <c r="N605" s="168">
        <v>0</v>
      </c>
      <c r="O605" s="51">
        <v>0</v>
      </c>
      <c r="P605" s="51">
        <v>0</v>
      </c>
      <c r="Q605" s="175">
        <v>0</v>
      </c>
      <c r="R605" s="175">
        <v>0</v>
      </c>
      <c r="S605" s="171">
        <v>0</v>
      </c>
      <c r="T605" s="171">
        <v>0</v>
      </c>
      <c r="U605" s="49" t="s">
        <v>226</v>
      </c>
      <c r="V605" s="49">
        <v>2015</v>
      </c>
      <c r="W605" s="49">
        <v>1</v>
      </c>
      <c r="X605" s="49">
        <v>0</v>
      </c>
      <c r="Y605" s="49">
        <v>-1.8E-3</v>
      </c>
      <c r="Z605" s="49">
        <v>-1.2E-2</v>
      </c>
      <c r="AA605" s="49">
        <v>0</v>
      </c>
      <c r="AB605" s="49">
        <v>0</v>
      </c>
      <c r="AC605" s="49" t="s">
        <v>200</v>
      </c>
      <c r="AD605" s="158"/>
    </row>
    <row r="606" spans="1:30" customFormat="1" hidden="1" x14ac:dyDescent="0.2">
      <c r="A606" s="153">
        <f t="shared" si="9"/>
        <v>582</v>
      </c>
      <c r="B606" s="33">
        <v>2</v>
      </c>
      <c r="C606" s="33">
        <v>3</v>
      </c>
      <c r="D606" s="33">
        <v>11</v>
      </c>
      <c r="E606" s="104">
        <v>2016</v>
      </c>
      <c r="F606" s="33">
        <v>2021</v>
      </c>
      <c r="G606" s="33">
        <v>1</v>
      </c>
      <c r="H606" s="33">
        <v>47</v>
      </c>
      <c r="I606" s="33">
        <v>4</v>
      </c>
      <c r="J606" s="33">
        <v>0</v>
      </c>
      <c r="K606" s="33">
        <v>0</v>
      </c>
      <c r="L606" s="101">
        <v>4.3962485345838216</v>
      </c>
      <c r="M606" s="108">
        <v>2475</v>
      </c>
      <c r="N606" s="108">
        <v>0</v>
      </c>
      <c r="O606" s="142">
        <v>150</v>
      </c>
      <c r="P606" s="142">
        <v>0</v>
      </c>
      <c r="Q606" s="160">
        <v>650</v>
      </c>
      <c r="R606" s="142">
        <v>0</v>
      </c>
      <c r="S606" s="116">
        <v>0</v>
      </c>
      <c r="T606" s="116">
        <v>0</v>
      </c>
      <c r="U606" s="33" t="s">
        <v>226</v>
      </c>
      <c r="V606" s="33">
        <v>2015</v>
      </c>
      <c r="W606" s="33">
        <v>1</v>
      </c>
      <c r="X606" s="33">
        <v>0</v>
      </c>
      <c r="Y606" s="33">
        <v>-1.8E-3</v>
      </c>
      <c r="Z606" s="33">
        <v>-1.2E-2</v>
      </c>
      <c r="AA606" s="33">
        <v>0</v>
      </c>
      <c r="AB606" s="33">
        <v>0</v>
      </c>
      <c r="AC606" s="33" t="s">
        <v>201</v>
      </c>
      <c r="AD606" s="158"/>
    </row>
    <row r="607" spans="1:30" customFormat="1" hidden="1" x14ac:dyDescent="0.2">
      <c r="A607" s="153">
        <f t="shared" si="9"/>
        <v>583</v>
      </c>
      <c r="B607" s="33">
        <v>2</v>
      </c>
      <c r="C607" s="33">
        <v>3</v>
      </c>
      <c r="D607" s="33">
        <v>11</v>
      </c>
      <c r="E607" s="104">
        <v>2016</v>
      </c>
      <c r="F607" s="33">
        <v>2021</v>
      </c>
      <c r="G607" s="33">
        <v>2</v>
      </c>
      <c r="H607" s="33">
        <v>47</v>
      </c>
      <c r="I607" s="33">
        <v>4</v>
      </c>
      <c r="J607" s="33">
        <v>0</v>
      </c>
      <c r="K607" s="33">
        <v>0</v>
      </c>
      <c r="L607" s="101">
        <v>4.3962485345838216</v>
      </c>
      <c r="M607" s="108">
        <v>2475</v>
      </c>
      <c r="N607" s="108">
        <v>0</v>
      </c>
      <c r="O607" s="142">
        <v>150</v>
      </c>
      <c r="P607" s="142">
        <v>0</v>
      </c>
      <c r="Q607" s="160">
        <v>210</v>
      </c>
      <c r="R607" s="142">
        <v>0</v>
      </c>
      <c r="S607" s="116">
        <v>0</v>
      </c>
      <c r="T607" s="116">
        <v>0</v>
      </c>
      <c r="U607" s="33" t="s">
        <v>226</v>
      </c>
      <c r="V607" s="33">
        <v>2015</v>
      </c>
      <c r="W607" s="33">
        <v>1</v>
      </c>
      <c r="X607" s="33">
        <v>0</v>
      </c>
      <c r="Y607" s="33">
        <v>-1.8E-3</v>
      </c>
      <c r="Z607" s="33">
        <v>-1.2E-2</v>
      </c>
      <c r="AA607" s="33">
        <v>0</v>
      </c>
      <c r="AB607" s="33">
        <v>0</v>
      </c>
      <c r="AC607" s="33" t="s">
        <v>201</v>
      </c>
      <c r="AD607" s="158"/>
    </row>
    <row r="608" spans="1:30" customFormat="1" x14ac:dyDescent="0.2">
      <c r="A608" s="153">
        <f t="shared" si="9"/>
        <v>584</v>
      </c>
      <c r="B608" s="33">
        <v>2</v>
      </c>
      <c r="C608" s="33">
        <v>3</v>
      </c>
      <c r="D608" s="33">
        <v>11</v>
      </c>
      <c r="E608" s="104">
        <v>2016</v>
      </c>
      <c r="F608" s="33">
        <v>2021</v>
      </c>
      <c r="G608" s="33">
        <v>3</v>
      </c>
      <c r="H608" s="33">
        <v>47</v>
      </c>
      <c r="I608" s="33">
        <v>4</v>
      </c>
      <c r="J608" s="33">
        <v>0</v>
      </c>
      <c r="K608" s="33">
        <v>0</v>
      </c>
      <c r="L608" s="101">
        <v>4.3962485345838216</v>
      </c>
      <c r="M608" s="108">
        <v>2475</v>
      </c>
      <c r="N608" s="108">
        <v>0</v>
      </c>
      <c r="O608" s="142">
        <v>150</v>
      </c>
      <c r="P608" s="142">
        <v>0</v>
      </c>
      <c r="Q608" s="160">
        <v>157</v>
      </c>
      <c r="R608" s="142">
        <v>0</v>
      </c>
      <c r="S608" s="116">
        <v>0</v>
      </c>
      <c r="T608" s="116">
        <v>0</v>
      </c>
      <c r="U608" s="33" t="s">
        <v>226</v>
      </c>
      <c r="V608" s="33">
        <v>2015</v>
      </c>
      <c r="W608" s="33">
        <v>1</v>
      </c>
      <c r="X608" s="33">
        <v>0</v>
      </c>
      <c r="Y608" s="33">
        <v>-1.8E-3</v>
      </c>
      <c r="Z608" s="33">
        <v>-1.2E-2</v>
      </c>
      <c r="AA608" s="33">
        <v>0</v>
      </c>
      <c r="AB608" s="33">
        <v>0</v>
      </c>
      <c r="AC608" s="33" t="s">
        <v>201</v>
      </c>
      <c r="AD608" s="158"/>
    </row>
    <row r="609" spans="1:30" customFormat="1" hidden="1" x14ac:dyDescent="0.2">
      <c r="A609" s="153">
        <f t="shared" si="9"/>
        <v>585</v>
      </c>
      <c r="B609" s="33">
        <v>2</v>
      </c>
      <c r="C609" s="33">
        <v>3</v>
      </c>
      <c r="D609" s="33">
        <v>11</v>
      </c>
      <c r="E609" s="104">
        <v>2016</v>
      </c>
      <c r="F609" s="33">
        <v>2021</v>
      </c>
      <c r="G609" s="33">
        <v>4</v>
      </c>
      <c r="H609" s="33">
        <v>47</v>
      </c>
      <c r="I609" s="33">
        <v>4</v>
      </c>
      <c r="J609" s="33">
        <v>0</v>
      </c>
      <c r="K609" s="33">
        <v>0</v>
      </c>
      <c r="L609" s="101">
        <v>4.3962485345838216</v>
      </c>
      <c r="M609" s="108">
        <v>2475</v>
      </c>
      <c r="N609" s="108">
        <v>0</v>
      </c>
      <c r="O609" s="142">
        <v>150</v>
      </c>
      <c r="P609" s="142">
        <v>0</v>
      </c>
      <c r="Q609" s="160">
        <v>208</v>
      </c>
      <c r="R609" s="142">
        <v>0</v>
      </c>
      <c r="S609" s="116">
        <v>0</v>
      </c>
      <c r="T609" s="116">
        <v>0</v>
      </c>
      <c r="U609" s="33" t="s">
        <v>226</v>
      </c>
      <c r="V609" s="33">
        <v>2015</v>
      </c>
      <c r="W609" s="33">
        <v>1</v>
      </c>
      <c r="X609" s="33">
        <v>0</v>
      </c>
      <c r="Y609" s="33">
        <v>-1.8E-3</v>
      </c>
      <c r="Z609" s="33">
        <v>-1.2E-2</v>
      </c>
      <c r="AA609" s="33">
        <v>0</v>
      </c>
      <c r="AB609" s="33">
        <v>0</v>
      </c>
      <c r="AC609" s="33" t="s">
        <v>201</v>
      </c>
      <c r="AD609" s="158"/>
    </row>
    <row r="610" spans="1:30" customFormat="1" hidden="1" x14ac:dyDescent="0.2">
      <c r="A610" s="153">
        <f t="shared" si="9"/>
        <v>586</v>
      </c>
      <c r="B610" s="33">
        <v>2</v>
      </c>
      <c r="C610" s="33">
        <v>3</v>
      </c>
      <c r="D610" s="33">
        <v>11</v>
      </c>
      <c r="E610" s="104">
        <v>2016</v>
      </c>
      <c r="F610" s="33">
        <v>2021</v>
      </c>
      <c r="G610" s="33">
        <v>5</v>
      </c>
      <c r="H610" s="33">
        <v>47</v>
      </c>
      <c r="I610" s="33">
        <v>4</v>
      </c>
      <c r="J610" s="33">
        <v>0</v>
      </c>
      <c r="K610" s="33">
        <v>0</v>
      </c>
      <c r="L610" s="101">
        <v>4.3962485345838216</v>
      </c>
      <c r="M610" s="108">
        <v>2475</v>
      </c>
      <c r="N610" s="108">
        <v>0</v>
      </c>
      <c r="O610" s="142">
        <v>150</v>
      </c>
      <c r="P610" s="142">
        <v>0</v>
      </c>
      <c r="Q610" s="160">
        <v>119</v>
      </c>
      <c r="R610" s="142">
        <v>0</v>
      </c>
      <c r="S610" s="116">
        <v>0</v>
      </c>
      <c r="T610" s="116">
        <v>0</v>
      </c>
      <c r="U610" s="33" t="s">
        <v>226</v>
      </c>
      <c r="V610" s="33">
        <v>2015</v>
      </c>
      <c r="W610" s="33">
        <v>1</v>
      </c>
      <c r="X610" s="33">
        <v>0</v>
      </c>
      <c r="Y610" s="33">
        <v>-1.8E-3</v>
      </c>
      <c r="Z610" s="33">
        <v>-1.2E-2</v>
      </c>
      <c r="AA610" s="33">
        <v>0</v>
      </c>
      <c r="AB610" s="33">
        <v>0</v>
      </c>
      <c r="AC610" s="33" t="s">
        <v>201</v>
      </c>
      <c r="AD610" s="158"/>
    </row>
    <row r="611" spans="1:30" customFormat="1" hidden="1" x14ac:dyDescent="0.2">
      <c r="A611" s="153">
        <f t="shared" si="9"/>
        <v>587</v>
      </c>
      <c r="B611" s="33">
        <v>2</v>
      </c>
      <c r="C611" s="33">
        <v>3</v>
      </c>
      <c r="D611" s="33">
        <v>11</v>
      </c>
      <c r="E611" s="104">
        <v>2016</v>
      </c>
      <c r="F611" s="33">
        <v>2021</v>
      </c>
      <c r="G611" s="33">
        <v>6</v>
      </c>
      <c r="H611" s="33">
        <v>47</v>
      </c>
      <c r="I611" s="33">
        <v>4</v>
      </c>
      <c r="J611" s="33">
        <v>0</v>
      </c>
      <c r="K611" s="33">
        <v>0</v>
      </c>
      <c r="L611" s="101">
        <v>4.3962485345838216</v>
      </c>
      <c r="M611" s="108">
        <v>2475</v>
      </c>
      <c r="N611" s="108">
        <v>0</v>
      </c>
      <c r="O611" s="142">
        <v>150</v>
      </c>
      <c r="P611" s="142">
        <v>0</v>
      </c>
      <c r="Q611" s="160">
        <v>21</v>
      </c>
      <c r="R611" s="142">
        <v>0</v>
      </c>
      <c r="S611" s="116">
        <v>0</v>
      </c>
      <c r="T611" s="116">
        <v>0</v>
      </c>
      <c r="U611" s="33" t="s">
        <v>226</v>
      </c>
      <c r="V611" s="33">
        <v>2015</v>
      </c>
      <c r="W611" s="33">
        <v>1</v>
      </c>
      <c r="X611" s="33">
        <v>0</v>
      </c>
      <c r="Y611" s="33">
        <v>-1.8E-3</v>
      </c>
      <c r="Z611" s="33">
        <v>-1.2E-2</v>
      </c>
      <c r="AA611" s="33">
        <v>0</v>
      </c>
      <c r="AB611" s="33">
        <v>0</v>
      </c>
      <c r="AC611" s="33" t="s">
        <v>201</v>
      </c>
      <c r="AD611" s="158"/>
    </row>
    <row r="612" spans="1:30" customFormat="1" hidden="1" x14ac:dyDescent="0.2">
      <c r="A612" s="153">
        <f t="shared" si="9"/>
        <v>588</v>
      </c>
      <c r="B612" s="33">
        <v>2</v>
      </c>
      <c r="C612" s="33">
        <v>3</v>
      </c>
      <c r="D612" s="33">
        <v>11</v>
      </c>
      <c r="E612" s="104">
        <v>2016</v>
      </c>
      <c r="F612" s="33">
        <v>2021</v>
      </c>
      <c r="G612" s="33">
        <v>7</v>
      </c>
      <c r="H612" s="33">
        <v>47</v>
      </c>
      <c r="I612" s="33">
        <v>4</v>
      </c>
      <c r="J612" s="33">
        <v>0</v>
      </c>
      <c r="K612" s="33">
        <v>0</v>
      </c>
      <c r="L612" s="101">
        <v>4.3962485345838216</v>
      </c>
      <c r="M612" s="108">
        <v>2475</v>
      </c>
      <c r="N612" s="108">
        <v>0</v>
      </c>
      <c r="O612" s="142">
        <v>150</v>
      </c>
      <c r="P612" s="142">
        <v>0</v>
      </c>
      <c r="Q612" s="160">
        <v>948</v>
      </c>
      <c r="R612" s="142">
        <v>0</v>
      </c>
      <c r="S612" s="116">
        <v>0</v>
      </c>
      <c r="T612" s="116">
        <v>0</v>
      </c>
      <c r="U612" s="33" t="s">
        <v>226</v>
      </c>
      <c r="V612" s="33">
        <v>2015</v>
      </c>
      <c r="W612" s="33">
        <v>1</v>
      </c>
      <c r="X612" s="33">
        <v>0</v>
      </c>
      <c r="Y612" s="33">
        <v>-1.8E-3</v>
      </c>
      <c r="Z612" s="33">
        <v>-1.2E-2</v>
      </c>
      <c r="AA612" s="33">
        <v>0</v>
      </c>
      <c r="AB612" s="33">
        <v>0</v>
      </c>
      <c r="AC612" s="33" t="s">
        <v>201</v>
      </c>
      <c r="AD612" s="158"/>
    </row>
    <row r="613" spans="1:30" customFormat="1" hidden="1" x14ac:dyDescent="0.2">
      <c r="A613" s="153">
        <f t="shared" si="9"/>
        <v>589</v>
      </c>
      <c r="B613" s="33">
        <v>2</v>
      </c>
      <c r="C613" s="33">
        <v>3</v>
      </c>
      <c r="D613" s="33">
        <v>11</v>
      </c>
      <c r="E613" s="104">
        <v>2016</v>
      </c>
      <c r="F613" s="33">
        <v>2021</v>
      </c>
      <c r="G613" s="33">
        <v>8</v>
      </c>
      <c r="H613" s="33">
        <v>47</v>
      </c>
      <c r="I613" s="33">
        <v>4</v>
      </c>
      <c r="J613" s="33">
        <v>0</v>
      </c>
      <c r="K613" s="33">
        <v>0</v>
      </c>
      <c r="L613" s="101">
        <v>4.3962485345838216</v>
      </c>
      <c r="M613" s="108">
        <v>2475</v>
      </c>
      <c r="N613" s="108">
        <v>0</v>
      </c>
      <c r="O613" s="142">
        <v>150</v>
      </c>
      <c r="P613" s="142">
        <v>0</v>
      </c>
      <c r="Q613" s="160">
        <v>172</v>
      </c>
      <c r="R613" s="142">
        <v>0</v>
      </c>
      <c r="S613" s="116">
        <v>0</v>
      </c>
      <c r="T613" s="116">
        <v>0</v>
      </c>
      <c r="U613" s="33" t="s">
        <v>226</v>
      </c>
      <c r="V613" s="33">
        <v>2015</v>
      </c>
      <c r="W613" s="33">
        <v>1</v>
      </c>
      <c r="X613" s="33">
        <v>0</v>
      </c>
      <c r="Y613" s="33">
        <v>-1.8E-3</v>
      </c>
      <c r="Z613" s="33">
        <v>-1.2E-2</v>
      </c>
      <c r="AA613" s="33">
        <v>0</v>
      </c>
      <c r="AB613" s="33">
        <v>0</v>
      </c>
      <c r="AC613" s="33" t="s">
        <v>201</v>
      </c>
      <c r="AD613" s="158"/>
    </row>
    <row r="614" spans="1:30" customFormat="1" hidden="1" x14ac:dyDescent="0.2">
      <c r="A614" s="153">
        <f t="shared" si="9"/>
        <v>590</v>
      </c>
      <c r="B614" s="33">
        <v>2</v>
      </c>
      <c r="C614" s="33">
        <v>3</v>
      </c>
      <c r="D614" s="33">
        <v>11</v>
      </c>
      <c r="E614" s="104">
        <v>2016</v>
      </c>
      <c r="F614" s="33">
        <v>2021</v>
      </c>
      <c r="G614" s="33">
        <v>9</v>
      </c>
      <c r="H614" s="33">
        <v>47</v>
      </c>
      <c r="I614" s="33">
        <v>4</v>
      </c>
      <c r="J614" s="33">
        <v>0</v>
      </c>
      <c r="K614" s="33">
        <v>0</v>
      </c>
      <c r="L614" s="101">
        <v>4.3962485345838216</v>
      </c>
      <c r="M614" s="108">
        <v>2475</v>
      </c>
      <c r="N614" s="108">
        <v>0</v>
      </c>
      <c r="O614" s="142">
        <v>150</v>
      </c>
      <c r="P614" s="142">
        <v>0</v>
      </c>
      <c r="Q614" s="160">
        <v>333</v>
      </c>
      <c r="R614" s="142">
        <v>0</v>
      </c>
      <c r="S614" s="116">
        <v>0</v>
      </c>
      <c r="T614" s="116">
        <v>0</v>
      </c>
      <c r="U614" s="33" t="s">
        <v>226</v>
      </c>
      <c r="V614" s="33">
        <v>2015</v>
      </c>
      <c r="W614" s="33">
        <v>1</v>
      </c>
      <c r="X614" s="33">
        <v>0</v>
      </c>
      <c r="Y614" s="33">
        <v>-1.8E-3</v>
      </c>
      <c r="Z614" s="33">
        <v>-1.2E-2</v>
      </c>
      <c r="AA614" s="33">
        <v>0</v>
      </c>
      <c r="AB614" s="33">
        <v>0</v>
      </c>
      <c r="AC614" s="33" t="s">
        <v>201</v>
      </c>
      <c r="AD614" s="158"/>
    </row>
    <row r="615" spans="1:30" customFormat="1" hidden="1" x14ac:dyDescent="0.2">
      <c r="A615" s="153">
        <f t="shared" si="9"/>
        <v>591</v>
      </c>
      <c r="B615" s="33">
        <v>2</v>
      </c>
      <c r="C615" s="33">
        <v>3</v>
      </c>
      <c r="D615" s="33">
        <v>11</v>
      </c>
      <c r="E615" s="104">
        <v>2022</v>
      </c>
      <c r="F615" s="33">
        <v>2022</v>
      </c>
      <c r="G615" s="33">
        <v>1</v>
      </c>
      <c r="H615" s="33">
        <v>47</v>
      </c>
      <c r="I615" s="33">
        <v>4</v>
      </c>
      <c r="J615" s="33">
        <v>0</v>
      </c>
      <c r="K615" s="33">
        <v>0</v>
      </c>
      <c r="L615" s="101">
        <v>4.3962485345838216</v>
      </c>
      <c r="M615" s="108">
        <v>2475</v>
      </c>
      <c r="N615" s="108">
        <v>0</v>
      </c>
      <c r="O615" s="160">
        <v>1000</v>
      </c>
      <c r="P615" s="142">
        <v>0</v>
      </c>
      <c r="Q615" s="141">
        <v>650</v>
      </c>
      <c r="R615" s="142">
        <v>0</v>
      </c>
      <c r="S615" s="116">
        <v>0</v>
      </c>
      <c r="T615" s="116">
        <v>0</v>
      </c>
      <c r="U615" s="33" t="s">
        <v>226</v>
      </c>
      <c r="V615" s="33">
        <v>2015</v>
      </c>
      <c r="W615" s="33">
        <v>1</v>
      </c>
      <c r="X615" s="33">
        <v>0</v>
      </c>
      <c r="Y615" s="33">
        <v>-1.8E-3</v>
      </c>
      <c r="Z615" s="33">
        <v>-1.2E-2</v>
      </c>
      <c r="AA615" s="33">
        <v>0</v>
      </c>
      <c r="AB615" s="33">
        <v>0</v>
      </c>
      <c r="AC615" s="33" t="s">
        <v>201</v>
      </c>
      <c r="AD615" s="158"/>
    </row>
    <row r="616" spans="1:30" customFormat="1" hidden="1" x14ac:dyDescent="0.2">
      <c r="A616" s="153">
        <f t="shared" si="9"/>
        <v>592</v>
      </c>
      <c r="B616" s="33">
        <v>2</v>
      </c>
      <c r="C616" s="33">
        <v>3</v>
      </c>
      <c r="D616" s="33">
        <v>11</v>
      </c>
      <c r="E616" s="104">
        <v>2022</v>
      </c>
      <c r="F616" s="33">
        <v>2022</v>
      </c>
      <c r="G616" s="33">
        <v>2</v>
      </c>
      <c r="H616" s="33">
        <v>47</v>
      </c>
      <c r="I616" s="33">
        <v>4</v>
      </c>
      <c r="J616" s="33">
        <v>0</v>
      </c>
      <c r="K616" s="33">
        <v>0</v>
      </c>
      <c r="L616" s="101">
        <v>4.3962485345838216</v>
      </c>
      <c r="M616" s="108">
        <v>2475</v>
      </c>
      <c r="N616" s="108">
        <v>0</v>
      </c>
      <c r="O616" s="160">
        <v>1000</v>
      </c>
      <c r="P616" s="142">
        <v>0</v>
      </c>
      <c r="Q616" s="141">
        <v>210</v>
      </c>
      <c r="R616" s="142">
        <v>0</v>
      </c>
      <c r="S616" s="116">
        <v>0</v>
      </c>
      <c r="T616" s="116">
        <v>0</v>
      </c>
      <c r="U616" s="33" t="s">
        <v>226</v>
      </c>
      <c r="V616" s="33">
        <v>2015</v>
      </c>
      <c r="W616" s="33">
        <v>1</v>
      </c>
      <c r="X616" s="33">
        <v>0</v>
      </c>
      <c r="Y616" s="33">
        <v>-1.8E-3</v>
      </c>
      <c r="Z616" s="33">
        <v>-1.2E-2</v>
      </c>
      <c r="AA616" s="33">
        <v>0</v>
      </c>
      <c r="AB616" s="33">
        <v>0</v>
      </c>
      <c r="AC616" s="33" t="s">
        <v>201</v>
      </c>
      <c r="AD616" s="158"/>
    </row>
    <row r="617" spans="1:30" customFormat="1" x14ac:dyDescent="0.2">
      <c r="A617" s="153">
        <f t="shared" si="9"/>
        <v>593</v>
      </c>
      <c r="B617" s="33">
        <v>2</v>
      </c>
      <c r="C617" s="33">
        <v>3</v>
      </c>
      <c r="D617" s="33">
        <v>11</v>
      </c>
      <c r="E617" s="104">
        <v>2022</v>
      </c>
      <c r="F617" s="33">
        <v>2022</v>
      </c>
      <c r="G617" s="33">
        <v>3</v>
      </c>
      <c r="H617" s="33">
        <v>47</v>
      </c>
      <c r="I617" s="33">
        <v>4</v>
      </c>
      <c r="J617" s="33">
        <v>0</v>
      </c>
      <c r="K617" s="33">
        <v>0</v>
      </c>
      <c r="L617" s="101">
        <v>4.3962485345838216</v>
      </c>
      <c r="M617" s="108">
        <v>2475</v>
      </c>
      <c r="N617" s="108">
        <v>0</v>
      </c>
      <c r="O617" s="160">
        <v>1000</v>
      </c>
      <c r="P617" s="142">
        <v>0</v>
      </c>
      <c r="Q617" s="141">
        <v>157</v>
      </c>
      <c r="R617" s="142">
        <v>0</v>
      </c>
      <c r="S617" s="116">
        <v>0</v>
      </c>
      <c r="T617" s="116">
        <v>0</v>
      </c>
      <c r="U617" s="33" t="s">
        <v>226</v>
      </c>
      <c r="V617" s="33">
        <v>2015</v>
      </c>
      <c r="W617" s="33">
        <v>1</v>
      </c>
      <c r="X617" s="33">
        <v>0</v>
      </c>
      <c r="Y617" s="33">
        <v>-1.8E-3</v>
      </c>
      <c r="Z617" s="33">
        <v>-1.2E-2</v>
      </c>
      <c r="AA617" s="33">
        <v>0</v>
      </c>
      <c r="AB617" s="33">
        <v>0</v>
      </c>
      <c r="AC617" s="33" t="s">
        <v>201</v>
      </c>
      <c r="AD617" s="158"/>
    </row>
    <row r="618" spans="1:30" customFormat="1" hidden="1" x14ac:dyDescent="0.2">
      <c r="A618" s="153">
        <f t="shared" si="9"/>
        <v>594</v>
      </c>
      <c r="B618" s="33">
        <v>2</v>
      </c>
      <c r="C618" s="33">
        <v>3</v>
      </c>
      <c r="D618" s="33">
        <v>11</v>
      </c>
      <c r="E618" s="104">
        <v>2022</v>
      </c>
      <c r="F618" s="33">
        <v>2022</v>
      </c>
      <c r="G618" s="33">
        <v>4</v>
      </c>
      <c r="H618" s="33">
        <v>47</v>
      </c>
      <c r="I618" s="33">
        <v>4</v>
      </c>
      <c r="J618" s="33">
        <v>0</v>
      </c>
      <c r="K618" s="33">
        <v>0</v>
      </c>
      <c r="L618" s="101">
        <v>4.3962485345838216</v>
      </c>
      <c r="M618" s="108">
        <v>2475</v>
      </c>
      <c r="N618" s="108">
        <v>0</v>
      </c>
      <c r="O618" s="160">
        <v>1000</v>
      </c>
      <c r="P618" s="142">
        <v>0</v>
      </c>
      <c r="Q618" s="141">
        <v>208</v>
      </c>
      <c r="R618" s="142">
        <v>0</v>
      </c>
      <c r="S618" s="116">
        <v>0</v>
      </c>
      <c r="T618" s="116">
        <v>0</v>
      </c>
      <c r="U618" s="33" t="s">
        <v>226</v>
      </c>
      <c r="V618" s="33">
        <v>2015</v>
      </c>
      <c r="W618" s="33">
        <v>1</v>
      </c>
      <c r="X618" s="33">
        <v>0</v>
      </c>
      <c r="Y618" s="33">
        <v>-1.8E-3</v>
      </c>
      <c r="Z618" s="33">
        <v>-1.2E-2</v>
      </c>
      <c r="AA618" s="33">
        <v>0</v>
      </c>
      <c r="AB618" s="33">
        <v>0</v>
      </c>
      <c r="AC618" s="33" t="s">
        <v>201</v>
      </c>
      <c r="AD618" s="158"/>
    </row>
    <row r="619" spans="1:30" customFormat="1" hidden="1" x14ac:dyDescent="0.2">
      <c r="A619" s="153">
        <f t="shared" si="9"/>
        <v>595</v>
      </c>
      <c r="B619" s="33">
        <v>2</v>
      </c>
      <c r="C619" s="33">
        <v>3</v>
      </c>
      <c r="D619" s="33">
        <v>11</v>
      </c>
      <c r="E619" s="104">
        <v>2022</v>
      </c>
      <c r="F619" s="33">
        <v>2022</v>
      </c>
      <c r="G619" s="33">
        <v>5</v>
      </c>
      <c r="H619" s="33">
        <v>47</v>
      </c>
      <c r="I619" s="33">
        <v>4</v>
      </c>
      <c r="J619" s="33">
        <v>0</v>
      </c>
      <c r="K619" s="33">
        <v>0</v>
      </c>
      <c r="L619" s="101">
        <v>4.3962485345838216</v>
      </c>
      <c r="M619" s="108">
        <v>2475</v>
      </c>
      <c r="N619" s="108">
        <v>0</v>
      </c>
      <c r="O619" s="160">
        <v>1000</v>
      </c>
      <c r="P619" s="142">
        <v>0</v>
      </c>
      <c r="Q619" s="141">
        <v>119</v>
      </c>
      <c r="R619" s="142">
        <v>0</v>
      </c>
      <c r="S619" s="116">
        <v>0</v>
      </c>
      <c r="T619" s="116">
        <v>0</v>
      </c>
      <c r="U619" s="33" t="s">
        <v>226</v>
      </c>
      <c r="V619" s="33">
        <v>2015</v>
      </c>
      <c r="W619" s="33">
        <v>1</v>
      </c>
      <c r="X619" s="33">
        <v>0</v>
      </c>
      <c r="Y619" s="33">
        <v>-1.8E-3</v>
      </c>
      <c r="Z619" s="33">
        <v>-1.2E-2</v>
      </c>
      <c r="AA619" s="33">
        <v>0</v>
      </c>
      <c r="AB619" s="33">
        <v>0</v>
      </c>
      <c r="AC619" s="33" t="s">
        <v>201</v>
      </c>
      <c r="AD619" s="158"/>
    </row>
    <row r="620" spans="1:30" customFormat="1" hidden="1" x14ac:dyDescent="0.2">
      <c r="A620" s="153">
        <f t="shared" si="9"/>
        <v>596</v>
      </c>
      <c r="B620" s="33">
        <v>2</v>
      </c>
      <c r="C620" s="33">
        <v>3</v>
      </c>
      <c r="D620" s="33">
        <v>11</v>
      </c>
      <c r="E620" s="104">
        <v>2022</v>
      </c>
      <c r="F620" s="33">
        <v>2022</v>
      </c>
      <c r="G620" s="33">
        <v>6</v>
      </c>
      <c r="H620" s="33">
        <v>47</v>
      </c>
      <c r="I620" s="33">
        <v>4</v>
      </c>
      <c r="J620" s="33">
        <v>0</v>
      </c>
      <c r="K620" s="33">
        <v>0</v>
      </c>
      <c r="L620" s="101">
        <v>4.3962485345838216</v>
      </c>
      <c r="M620" s="108">
        <v>2475</v>
      </c>
      <c r="N620" s="108">
        <v>0</v>
      </c>
      <c r="O620" s="160">
        <v>1000</v>
      </c>
      <c r="P620" s="142">
        <v>0</v>
      </c>
      <c r="Q620" s="141">
        <v>21</v>
      </c>
      <c r="R620" s="142">
        <v>0</v>
      </c>
      <c r="S620" s="116">
        <v>0</v>
      </c>
      <c r="T620" s="116">
        <v>0</v>
      </c>
      <c r="U620" s="33" t="s">
        <v>226</v>
      </c>
      <c r="V620" s="33">
        <v>2015</v>
      </c>
      <c r="W620" s="33">
        <v>1</v>
      </c>
      <c r="X620" s="33">
        <v>0</v>
      </c>
      <c r="Y620" s="33">
        <v>-1.8E-3</v>
      </c>
      <c r="Z620" s="33">
        <v>-1.2E-2</v>
      </c>
      <c r="AA620" s="33">
        <v>0</v>
      </c>
      <c r="AB620" s="33">
        <v>0</v>
      </c>
      <c r="AC620" s="33" t="s">
        <v>201</v>
      </c>
      <c r="AD620" s="158"/>
    </row>
    <row r="621" spans="1:30" customFormat="1" hidden="1" x14ac:dyDescent="0.2">
      <c r="A621" s="153">
        <f t="shared" si="9"/>
        <v>597</v>
      </c>
      <c r="B621" s="33">
        <v>2</v>
      </c>
      <c r="C621" s="33">
        <v>3</v>
      </c>
      <c r="D621" s="33">
        <v>11</v>
      </c>
      <c r="E621" s="104">
        <v>2022</v>
      </c>
      <c r="F621" s="33">
        <v>2022</v>
      </c>
      <c r="G621" s="33">
        <v>7</v>
      </c>
      <c r="H621" s="33">
        <v>47</v>
      </c>
      <c r="I621" s="33">
        <v>4</v>
      </c>
      <c r="J621" s="33">
        <v>0</v>
      </c>
      <c r="K621" s="33">
        <v>0</v>
      </c>
      <c r="L621" s="101">
        <v>4.3962485345838216</v>
      </c>
      <c r="M621" s="108">
        <v>2475</v>
      </c>
      <c r="N621" s="108">
        <v>0</v>
      </c>
      <c r="O621" s="160">
        <v>1000</v>
      </c>
      <c r="P621" s="142">
        <v>0</v>
      </c>
      <c r="Q621" s="141">
        <v>948</v>
      </c>
      <c r="R621" s="142">
        <v>0</v>
      </c>
      <c r="S621" s="116">
        <v>0</v>
      </c>
      <c r="T621" s="116">
        <v>0</v>
      </c>
      <c r="U621" s="33" t="s">
        <v>226</v>
      </c>
      <c r="V621" s="33">
        <v>2015</v>
      </c>
      <c r="W621" s="33">
        <v>1</v>
      </c>
      <c r="X621" s="33">
        <v>0</v>
      </c>
      <c r="Y621" s="33">
        <v>-1.8E-3</v>
      </c>
      <c r="Z621" s="33">
        <v>-1.2E-2</v>
      </c>
      <c r="AA621" s="33">
        <v>0</v>
      </c>
      <c r="AB621" s="33">
        <v>0</v>
      </c>
      <c r="AC621" s="33" t="s">
        <v>201</v>
      </c>
      <c r="AD621" s="158"/>
    </row>
    <row r="622" spans="1:30" customFormat="1" hidden="1" x14ac:dyDescent="0.2">
      <c r="A622" s="153">
        <f t="shared" si="9"/>
        <v>598</v>
      </c>
      <c r="B622" s="33">
        <v>2</v>
      </c>
      <c r="C622" s="33">
        <v>3</v>
      </c>
      <c r="D622" s="33">
        <v>11</v>
      </c>
      <c r="E622" s="104">
        <v>2022</v>
      </c>
      <c r="F622" s="33">
        <v>2022</v>
      </c>
      <c r="G622" s="33">
        <v>8</v>
      </c>
      <c r="H622" s="33">
        <v>47</v>
      </c>
      <c r="I622" s="33">
        <v>4</v>
      </c>
      <c r="J622" s="33">
        <v>0</v>
      </c>
      <c r="K622" s="33">
        <v>0</v>
      </c>
      <c r="L622" s="101">
        <v>4.3962485345838216</v>
      </c>
      <c r="M622" s="108">
        <v>2475</v>
      </c>
      <c r="N622" s="108">
        <v>0</v>
      </c>
      <c r="O622" s="160">
        <v>1000</v>
      </c>
      <c r="P622" s="142">
        <v>0</v>
      </c>
      <c r="Q622" s="141">
        <v>172</v>
      </c>
      <c r="R622" s="142">
        <v>0</v>
      </c>
      <c r="S622" s="116">
        <v>0</v>
      </c>
      <c r="T622" s="116">
        <v>0</v>
      </c>
      <c r="U622" s="33" t="s">
        <v>226</v>
      </c>
      <c r="V622" s="33">
        <v>2015</v>
      </c>
      <c r="W622" s="33">
        <v>1</v>
      </c>
      <c r="X622" s="33">
        <v>0</v>
      </c>
      <c r="Y622" s="33">
        <v>-1.8E-3</v>
      </c>
      <c r="Z622" s="33">
        <v>-1.2E-2</v>
      </c>
      <c r="AA622" s="33">
        <v>0</v>
      </c>
      <c r="AB622" s="33">
        <v>0</v>
      </c>
      <c r="AC622" s="33" t="s">
        <v>201</v>
      </c>
      <c r="AD622" s="158"/>
    </row>
    <row r="623" spans="1:30" customFormat="1" hidden="1" x14ac:dyDescent="0.2">
      <c r="A623" s="153">
        <f t="shared" si="9"/>
        <v>599</v>
      </c>
      <c r="B623" s="33">
        <v>2</v>
      </c>
      <c r="C623" s="33">
        <v>3</v>
      </c>
      <c r="D623" s="33">
        <v>11</v>
      </c>
      <c r="E623" s="104">
        <v>2022</v>
      </c>
      <c r="F623" s="33">
        <v>2022</v>
      </c>
      <c r="G623" s="33">
        <v>9</v>
      </c>
      <c r="H623" s="33">
        <v>47</v>
      </c>
      <c r="I623" s="33">
        <v>4</v>
      </c>
      <c r="J623" s="33">
        <v>0</v>
      </c>
      <c r="K623" s="33">
        <v>0</v>
      </c>
      <c r="L623" s="101">
        <v>4.3962485345838216</v>
      </c>
      <c r="M623" s="108">
        <v>2475</v>
      </c>
      <c r="N623" s="108">
        <v>0</v>
      </c>
      <c r="O623" s="160">
        <v>1000</v>
      </c>
      <c r="P623" s="142">
        <v>0</v>
      </c>
      <c r="Q623" s="141">
        <v>333</v>
      </c>
      <c r="R623" s="142">
        <v>0</v>
      </c>
      <c r="S623" s="116">
        <v>0</v>
      </c>
      <c r="T623" s="116">
        <v>0</v>
      </c>
      <c r="U623" s="33" t="s">
        <v>226</v>
      </c>
      <c r="V623" s="33">
        <v>2015</v>
      </c>
      <c r="W623" s="33">
        <v>1</v>
      </c>
      <c r="X623" s="33">
        <v>0</v>
      </c>
      <c r="Y623" s="33">
        <v>-1.8E-3</v>
      </c>
      <c r="Z623" s="33">
        <v>-1.2E-2</v>
      </c>
      <c r="AA623" s="33">
        <v>0</v>
      </c>
      <c r="AB623" s="33">
        <v>0</v>
      </c>
      <c r="AC623" s="33" t="s">
        <v>201</v>
      </c>
      <c r="AD623" s="158"/>
    </row>
    <row r="624" spans="1:30" s="139" customFormat="1" hidden="1" x14ac:dyDescent="0.2">
      <c r="A624" s="153">
        <f t="shared" si="9"/>
        <v>600</v>
      </c>
      <c r="B624" s="33">
        <v>2</v>
      </c>
      <c r="C624" s="33">
        <v>3</v>
      </c>
      <c r="D624" s="33">
        <v>11</v>
      </c>
      <c r="E624" s="104">
        <v>2023</v>
      </c>
      <c r="F624" s="159">
        <v>2032</v>
      </c>
      <c r="G624" s="33">
        <v>1</v>
      </c>
      <c r="H624" s="33">
        <v>47</v>
      </c>
      <c r="I624" s="33">
        <v>4</v>
      </c>
      <c r="J624" s="33">
        <v>0</v>
      </c>
      <c r="K624" s="33">
        <v>0</v>
      </c>
      <c r="L624" s="101">
        <v>4.6893317702227435</v>
      </c>
      <c r="M624" s="108">
        <v>2678.8235294117644</v>
      </c>
      <c r="N624" s="108">
        <v>0</v>
      </c>
      <c r="O624" s="160">
        <v>1000</v>
      </c>
      <c r="P624" s="142">
        <v>0</v>
      </c>
      <c r="Q624" s="141">
        <v>704</v>
      </c>
      <c r="R624" s="149">
        <v>0</v>
      </c>
      <c r="S624" s="116">
        <v>0</v>
      </c>
      <c r="T624" s="116">
        <v>0</v>
      </c>
      <c r="U624" s="33" t="s">
        <v>226</v>
      </c>
      <c r="V624" s="33">
        <v>2015</v>
      </c>
      <c r="W624" s="33">
        <v>1</v>
      </c>
      <c r="X624" s="33">
        <v>0</v>
      </c>
      <c r="Y624" s="33">
        <v>-1.8E-3</v>
      </c>
      <c r="Z624" s="33">
        <v>-1.2E-2</v>
      </c>
      <c r="AA624" s="33">
        <v>0</v>
      </c>
      <c r="AB624" s="33">
        <v>0</v>
      </c>
      <c r="AC624" s="33" t="s">
        <v>201</v>
      </c>
      <c r="AD624" s="158"/>
    </row>
    <row r="625" spans="1:30" s="139" customFormat="1" hidden="1" x14ac:dyDescent="0.2">
      <c r="A625" s="153">
        <f t="shared" si="9"/>
        <v>601</v>
      </c>
      <c r="B625" s="33">
        <v>2</v>
      </c>
      <c r="C625" s="33">
        <v>3</v>
      </c>
      <c r="D625" s="33">
        <v>11</v>
      </c>
      <c r="E625" s="104">
        <v>2023</v>
      </c>
      <c r="F625" s="159">
        <v>2032</v>
      </c>
      <c r="G625" s="33">
        <v>2</v>
      </c>
      <c r="H625" s="33">
        <v>47</v>
      </c>
      <c r="I625" s="33">
        <v>4</v>
      </c>
      <c r="J625" s="33">
        <v>0</v>
      </c>
      <c r="K625" s="33">
        <v>0</v>
      </c>
      <c r="L625" s="101">
        <v>4.6893317702227435</v>
      </c>
      <c r="M625" s="108">
        <v>2678.8235294117644</v>
      </c>
      <c r="N625" s="108">
        <v>0</v>
      </c>
      <c r="O625" s="160">
        <v>1000</v>
      </c>
      <c r="P625" s="142">
        <v>0</v>
      </c>
      <c r="Q625" s="141">
        <v>228</v>
      </c>
      <c r="R625" s="149">
        <v>0</v>
      </c>
      <c r="S625" s="116">
        <v>0</v>
      </c>
      <c r="T625" s="116">
        <v>0</v>
      </c>
      <c r="U625" s="33" t="s">
        <v>226</v>
      </c>
      <c r="V625" s="33">
        <v>2015</v>
      </c>
      <c r="W625" s="33">
        <v>1</v>
      </c>
      <c r="X625" s="33">
        <v>0</v>
      </c>
      <c r="Y625" s="33">
        <v>-1.8E-3</v>
      </c>
      <c r="Z625" s="33">
        <v>-1.2E-2</v>
      </c>
      <c r="AA625" s="33">
        <v>0</v>
      </c>
      <c r="AB625" s="33">
        <v>0</v>
      </c>
      <c r="AC625" s="33" t="s">
        <v>201</v>
      </c>
      <c r="AD625" s="158"/>
    </row>
    <row r="626" spans="1:30" s="139" customFormat="1" x14ac:dyDescent="0.2">
      <c r="A626" s="153">
        <f t="shared" si="9"/>
        <v>602</v>
      </c>
      <c r="B626" s="33">
        <v>2</v>
      </c>
      <c r="C626" s="33">
        <v>3</v>
      </c>
      <c r="D626" s="33">
        <v>11</v>
      </c>
      <c r="E626" s="104">
        <v>2023</v>
      </c>
      <c r="F626" s="159">
        <v>2032</v>
      </c>
      <c r="G626" s="33">
        <v>3</v>
      </c>
      <c r="H626" s="33">
        <v>47</v>
      </c>
      <c r="I626" s="33">
        <v>4</v>
      </c>
      <c r="J626" s="33">
        <v>0</v>
      </c>
      <c r="K626" s="33">
        <v>0</v>
      </c>
      <c r="L626" s="101">
        <v>4.6893317702227435</v>
      </c>
      <c r="M626" s="108">
        <v>2678.8235294117644</v>
      </c>
      <c r="N626" s="108">
        <v>0</v>
      </c>
      <c r="O626" s="160">
        <v>1000</v>
      </c>
      <c r="P626" s="142">
        <v>0</v>
      </c>
      <c r="Q626" s="141">
        <v>170</v>
      </c>
      <c r="R626" s="149">
        <v>0</v>
      </c>
      <c r="S626" s="116">
        <v>0</v>
      </c>
      <c r="T626" s="116">
        <v>0</v>
      </c>
      <c r="U626" s="33" t="s">
        <v>226</v>
      </c>
      <c r="V626" s="33">
        <v>2015</v>
      </c>
      <c r="W626" s="33">
        <v>1</v>
      </c>
      <c r="X626" s="33">
        <v>0</v>
      </c>
      <c r="Y626" s="33">
        <v>-1.8E-3</v>
      </c>
      <c r="Z626" s="33">
        <v>-1.2E-2</v>
      </c>
      <c r="AA626" s="33">
        <v>0</v>
      </c>
      <c r="AB626" s="33">
        <v>0</v>
      </c>
      <c r="AC626" s="33" t="s">
        <v>201</v>
      </c>
      <c r="AD626" s="158"/>
    </row>
    <row r="627" spans="1:30" s="139" customFormat="1" hidden="1" x14ac:dyDescent="0.2">
      <c r="A627" s="153">
        <f t="shared" si="9"/>
        <v>603</v>
      </c>
      <c r="B627" s="33">
        <v>2</v>
      </c>
      <c r="C627" s="33">
        <v>3</v>
      </c>
      <c r="D627" s="33">
        <v>11</v>
      </c>
      <c r="E627" s="104">
        <v>2023</v>
      </c>
      <c r="F627" s="159">
        <v>2032</v>
      </c>
      <c r="G627" s="33">
        <v>4</v>
      </c>
      <c r="H627" s="33">
        <v>47</v>
      </c>
      <c r="I627" s="33">
        <v>4</v>
      </c>
      <c r="J627" s="33">
        <v>0</v>
      </c>
      <c r="K627" s="33">
        <v>0</v>
      </c>
      <c r="L627" s="101">
        <v>4.6893317702227435</v>
      </c>
      <c r="M627" s="108">
        <v>2678.8235294117644</v>
      </c>
      <c r="N627" s="108">
        <v>0</v>
      </c>
      <c r="O627" s="160">
        <v>1000</v>
      </c>
      <c r="P627" s="142">
        <v>0</v>
      </c>
      <c r="Q627" s="141">
        <v>225</v>
      </c>
      <c r="R627" s="149">
        <v>0</v>
      </c>
      <c r="S627" s="116">
        <v>0</v>
      </c>
      <c r="T627" s="116">
        <v>0</v>
      </c>
      <c r="U627" s="33" t="s">
        <v>226</v>
      </c>
      <c r="V627" s="33">
        <v>2015</v>
      </c>
      <c r="W627" s="33">
        <v>1</v>
      </c>
      <c r="X627" s="33">
        <v>0</v>
      </c>
      <c r="Y627" s="33">
        <v>-1.8E-3</v>
      </c>
      <c r="Z627" s="33">
        <v>-1.2E-2</v>
      </c>
      <c r="AA627" s="33">
        <v>0</v>
      </c>
      <c r="AB627" s="33">
        <v>0</v>
      </c>
      <c r="AC627" s="33" t="s">
        <v>201</v>
      </c>
      <c r="AD627" s="158"/>
    </row>
    <row r="628" spans="1:30" s="139" customFormat="1" hidden="1" x14ac:dyDescent="0.2">
      <c r="A628" s="153">
        <f t="shared" si="9"/>
        <v>604</v>
      </c>
      <c r="B628" s="33">
        <v>2</v>
      </c>
      <c r="C628" s="33">
        <v>3</v>
      </c>
      <c r="D628" s="33">
        <v>11</v>
      </c>
      <c r="E628" s="104">
        <v>2023</v>
      </c>
      <c r="F628" s="159">
        <v>2032</v>
      </c>
      <c r="G628" s="33">
        <v>5</v>
      </c>
      <c r="H628" s="33">
        <v>47</v>
      </c>
      <c r="I628" s="33">
        <v>4</v>
      </c>
      <c r="J628" s="33">
        <v>0</v>
      </c>
      <c r="K628" s="33">
        <v>0</v>
      </c>
      <c r="L628" s="101">
        <v>4.6893317702227435</v>
      </c>
      <c r="M628" s="108">
        <v>2678.8235294117644</v>
      </c>
      <c r="N628" s="108">
        <v>0</v>
      </c>
      <c r="O628" s="160">
        <v>1000</v>
      </c>
      <c r="P628" s="142">
        <v>0</v>
      </c>
      <c r="Q628" s="141">
        <v>129</v>
      </c>
      <c r="R628" s="149">
        <v>0</v>
      </c>
      <c r="S628" s="116">
        <v>0</v>
      </c>
      <c r="T628" s="116">
        <v>0</v>
      </c>
      <c r="U628" s="33" t="s">
        <v>226</v>
      </c>
      <c r="V628" s="33">
        <v>2015</v>
      </c>
      <c r="W628" s="33">
        <v>1</v>
      </c>
      <c r="X628" s="33">
        <v>0</v>
      </c>
      <c r="Y628" s="33">
        <v>-1.8E-3</v>
      </c>
      <c r="Z628" s="33">
        <v>-1.2E-2</v>
      </c>
      <c r="AA628" s="33">
        <v>0</v>
      </c>
      <c r="AB628" s="33">
        <v>0</v>
      </c>
      <c r="AC628" s="33" t="s">
        <v>201</v>
      </c>
      <c r="AD628" s="158"/>
    </row>
    <row r="629" spans="1:30" s="139" customFormat="1" hidden="1" x14ac:dyDescent="0.2">
      <c r="A629" s="153">
        <f t="shared" si="9"/>
        <v>605</v>
      </c>
      <c r="B629" s="33">
        <v>2</v>
      </c>
      <c r="C629" s="33">
        <v>3</v>
      </c>
      <c r="D629" s="33">
        <v>11</v>
      </c>
      <c r="E629" s="104">
        <v>2023</v>
      </c>
      <c r="F629" s="159">
        <v>2032</v>
      </c>
      <c r="G629" s="33">
        <v>6</v>
      </c>
      <c r="H629" s="33">
        <v>47</v>
      </c>
      <c r="I629" s="33">
        <v>4</v>
      </c>
      <c r="J629" s="33">
        <v>0</v>
      </c>
      <c r="K629" s="33">
        <v>0</v>
      </c>
      <c r="L629" s="101">
        <v>4.6893317702227435</v>
      </c>
      <c r="M629" s="108">
        <v>2678.8235294117644</v>
      </c>
      <c r="N629" s="108">
        <v>0</v>
      </c>
      <c r="O629" s="160">
        <v>1000</v>
      </c>
      <c r="P629" s="142">
        <v>0</v>
      </c>
      <c r="Q629" s="141">
        <v>23</v>
      </c>
      <c r="R629" s="149">
        <v>0</v>
      </c>
      <c r="S629" s="116">
        <v>0</v>
      </c>
      <c r="T629" s="116">
        <v>0</v>
      </c>
      <c r="U629" s="33" t="s">
        <v>226</v>
      </c>
      <c r="V629" s="33">
        <v>2015</v>
      </c>
      <c r="W629" s="33">
        <v>1</v>
      </c>
      <c r="X629" s="33">
        <v>0</v>
      </c>
      <c r="Y629" s="33">
        <v>-1.8E-3</v>
      </c>
      <c r="Z629" s="33">
        <v>-1.2E-2</v>
      </c>
      <c r="AA629" s="33">
        <v>0</v>
      </c>
      <c r="AB629" s="33">
        <v>0</v>
      </c>
      <c r="AC629" s="33" t="s">
        <v>201</v>
      </c>
      <c r="AD629" s="158"/>
    </row>
    <row r="630" spans="1:30" s="139" customFormat="1" hidden="1" x14ac:dyDescent="0.2">
      <c r="A630" s="153">
        <f t="shared" si="9"/>
        <v>606</v>
      </c>
      <c r="B630" s="33">
        <v>2</v>
      </c>
      <c r="C630" s="33">
        <v>3</v>
      </c>
      <c r="D630" s="33">
        <v>11</v>
      </c>
      <c r="E630" s="104">
        <v>2023</v>
      </c>
      <c r="F630" s="159">
        <v>2032</v>
      </c>
      <c r="G630" s="33">
        <v>7</v>
      </c>
      <c r="H630" s="33">
        <v>47</v>
      </c>
      <c r="I630" s="33">
        <v>4</v>
      </c>
      <c r="J630" s="33">
        <v>0</v>
      </c>
      <c r="K630" s="33">
        <v>0</v>
      </c>
      <c r="L630" s="101">
        <v>4.6893317702227435</v>
      </c>
      <c r="M630" s="108">
        <v>2678.8235294117644</v>
      </c>
      <c r="N630" s="108">
        <v>0</v>
      </c>
      <c r="O630" s="160">
        <v>1000</v>
      </c>
      <c r="P630" s="142">
        <v>0</v>
      </c>
      <c r="Q630" s="141">
        <v>1026</v>
      </c>
      <c r="R630" s="149">
        <v>0</v>
      </c>
      <c r="S630" s="116">
        <v>0</v>
      </c>
      <c r="T630" s="116">
        <v>0</v>
      </c>
      <c r="U630" s="33" t="s">
        <v>226</v>
      </c>
      <c r="V630" s="33">
        <v>2015</v>
      </c>
      <c r="W630" s="33">
        <v>1</v>
      </c>
      <c r="X630" s="33">
        <v>0</v>
      </c>
      <c r="Y630" s="33">
        <v>-1.8E-3</v>
      </c>
      <c r="Z630" s="33">
        <v>-1.2E-2</v>
      </c>
      <c r="AA630" s="33">
        <v>0</v>
      </c>
      <c r="AB630" s="33">
        <v>0</v>
      </c>
      <c r="AC630" s="33" t="s">
        <v>201</v>
      </c>
      <c r="AD630" s="158"/>
    </row>
    <row r="631" spans="1:30" s="139" customFormat="1" hidden="1" x14ac:dyDescent="0.2">
      <c r="A631" s="153">
        <f t="shared" si="9"/>
        <v>607</v>
      </c>
      <c r="B631" s="33">
        <v>2</v>
      </c>
      <c r="C631" s="33">
        <v>3</v>
      </c>
      <c r="D631" s="33">
        <v>11</v>
      </c>
      <c r="E631" s="104">
        <v>2023</v>
      </c>
      <c r="F631" s="159">
        <v>2032</v>
      </c>
      <c r="G631" s="33">
        <v>8</v>
      </c>
      <c r="H631" s="33">
        <v>47</v>
      </c>
      <c r="I631" s="33">
        <v>4</v>
      </c>
      <c r="J631" s="33">
        <v>0</v>
      </c>
      <c r="K631" s="33">
        <v>0</v>
      </c>
      <c r="L631" s="101">
        <v>4.6893317702227435</v>
      </c>
      <c r="M631" s="108">
        <v>2678.8235294117644</v>
      </c>
      <c r="N631" s="108">
        <v>0</v>
      </c>
      <c r="O631" s="160">
        <v>1000</v>
      </c>
      <c r="P631" s="142">
        <v>0</v>
      </c>
      <c r="Q631" s="141">
        <v>186</v>
      </c>
      <c r="R631" s="149">
        <v>0</v>
      </c>
      <c r="S631" s="116">
        <v>0</v>
      </c>
      <c r="T631" s="116">
        <v>0</v>
      </c>
      <c r="U631" s="33" t="s">
        <v>226</v>
      </c>
      <c r="V631" s="33">
        <v>2015</v>
      </c>
      <c r="W631" s="33">
        <v>1</v>
      </c>
      <c r="X631" s="33">
        <v>0</v>
      </c>
      <c r="Y631" s="33">
        <v>-1.8E-3</v>
      </c>
      <c r="Z631" s="33">
        <v>-1.2E-2</v>
      </c>
      <c r="AA631" s="33">
        <v>0</v>
      </c>
      <c r="AB631" s="33">
        <v>0</v>
      </c>
      <c r="AC631" s="33" t="s">
        <v>201</v>
      </c>
      <c r="AD631" s="158"/>
    </row>
    <row r="632" spans="1:30" s="139" customFormat="1" hidden="1" x14ac:dyDescent="0.2">
      <c r="A632" s="153">
        <f t="shared" si="9"/>
        <v>608</v>
      </c>
      <c r="B632" s="33">
        <v>2</v>
      </c>
      <c r="C632" s="33">
        <v>3</v>
      </c>
      <c r="D632" s="33">
        <v>11</v>
      </c>
      <c r="E632" s="104">
        <v>2023</v>
      </c>
      <c r="F632" s="159">
        <v>2032</v>
      </c>
      <c r="G632" s="33">
        <v>9</v>
      </c>
      <c r="H632" s="33">
        <v>47</v>
      </c>
      <c r="I632" s="33">
        <v>4</v>
      </c>
      <c r="J632" s="33">
        <v>0</v>
      </c>
      <c r="K632" s="33">
        <v>0</v>
      </c>
      <c r="L632" s="101">
        <v>4.6893317702227435</v>
      </c>
      <c r="M632" s="108">
        <v>2678.8235294117644</v>
      </c>
      <c r="N632" s="108">
        <v>0</v>
      </c>
      <c r="O632" s="160">
        <v>1000</v>
      </c>
      <c r="P632" s="142">
        <v>0</v>
      </c>
      <c r="Q632" s="141">
        <v>361</v>
      </c>
      <c r="R632" s="149">
        <v>0</v>
      </c>
      <c r="S632" s="116">
        <v>0</v>
      </c>
      <c r="T632" s="116">
        <v>0</v>
      </c>
      <c r="U632" s="33" t="s">
        <v>226</v>
      </c>
      <c r="V632" s="33">
        <v>2015</v>
      </c>
      <c r="W632" s="33">
        <v>1</v>
      </c>
      <c r="X632" s="33">
        <v>0</v>
      </c>
      <c r="Y632" s="33">
        <v>-1.8E-3</v>
      </c>
      <c r="Z632" s="33">
        <v>-1.2E-2</v>
      </c>
      <c r="AA632" s="33">
        <v>0</v>
      </c>
      <c r="AB632" s="33">
        <v>0</v>
      </c>
      <c r="AC632" s="33" t="s">
        <v>201</v>
      </c>
      <c r="AD632" s="158"/>
    </row>
    <row r="633" spans="1:30" s="157" customFormat="1" hidden="1" x14ac:dyDescent="0.2">
      <c r="A633" s="153">
        <f t="shared" si="9"/>
        <v>609</v>
      </c>
      <c r="B633" s="49">
        <v>2</v>
      </c>
      <c r="C633" s="49">
        <v>3</v>
      </c>
      <c r="D633" s="49">
        <v>11</v>
      </c>
      <c r="E633" s="166">
        <v>2033</v>
      </c>
      <c r="F633" s="49">
        <v>2050</v>
      </c>
      <c r="G633" s="49">
        <v>1</v>
      </c>
      <c r="H633" s="49">
        <v>47</v>
      </c>
      <c r="I633" s="49">
        <v>4</v>
      </c>
      <c r="J633" s="49">
        <v>0</v>
      </c>
      <c r="K633" s="49">
        <v>0</v>
      </c>
      <c r="L633" s="167">
        <v>4.6893317702227435</v>
      </c>
      <c r="M633" s="168">
        <v>2678.8235294117644</v>
      </c>
      <c r="N633" s="168">
        <v>0</v>
      </c>
      <c r="O633" s="51">
        <v>0</v>
      </c>
      <c r="P633" s="51">
        <v>0</v>
      </c>
      <c r="Q633" s="51">
        <v>704</v>
      </c>
      <c r="R633" s="175">
        <v>0</v>
      </c>
      <c r="S633" s="171">
        <v>0</v>
      </c>
      <c r="T633" s="171">
        <v>0</v>
      </c>
      <c r="U633" s="49" t="s">
        <v>226</v>
      </c>
      <c r="V633" s="49">
        <v>2015</v>
      </c>
      <c r="W633" s="49">
        <v>1</v>
      </c>
      <c r="X633" s="49">
        <v>0</v>
      </c>
      <c r="Y633" s="49">
        <v>-1.8E-3</v>
      </c>
      <c r="Z633" s="49">
        <v>-1.2E-2</v>
      </c>
      <c r="AA633" s="49">
        <v>0</v>
      </c>
      <c r="AB633" s="49">
        <v>0</v>
      </c>
      <c r="AC633" s="49" t="s">
        <v>201</v>
      </c>
      <c r="AD633" s="158"/>
    </row>
    <row r="634" spans="1:30" s="157" customFormat="1" hidden="1" x14ac:dyDescent="0.2">
      <c r="A634" s="153">
        <f t="shared" si="9"/>
        <v>610</v>
      </c>
      <c r="B634" s="49">
        <v>2</v>
      </c>
      <c r="C634" s="49">
        <v>3</v>
      </c>
      <c r="D634" s="49">
        <v>11</v>
      </c>
      <c r="E634" s="166">
        <v>2033</v>
      </c>
      <c r="F634" s="49">
        <v>2050</v>
      </c>
      <c r="G634" s="49">
        <v>2</v>
      </c>
      <c r="H634" s="49">
        <v>47</v>
      </c>
      <c r="I634" s="49">
        <v>4</v>
      </c>
      <c r="J634" s="49">
        <v>0</v>
      </c>
      <c r="K634" s="49">
        <v>0</v>
      </c>
      <c r="L634" s="167">
        <v>4.6893317702227435</v>
      </c>
      <c r="M634" s="168">
        <v>2678.8235294117644</v>
      </c>
      <c r="N634" s="168">
        <v>0</v>
      </c>
      <c r="O634" s="51">
        <v>0</v>
      </c>
      <c r="P634" s="51">
        <v>0</v>
      </c>
      <c r="Q634" s="51">
        <v>228</v>
      </c>
      <c r="R634" s="175">
        <v>0</v>
      </c>
      <c r="S634" s="171">
        <v>0</v>
      </c>
      <c r="T634" s="171">
        <v>0</v>
      </c>
      <c r="U634" s="49" t="s">
        <v>226</v>
      </c>
      <c r="V634" s="49">
        <v>2015</v>
      </c>
      <c r="W634" s="49">
        <v>1</v>
      </c>
      <c r="X634" s="49">
        <v>0</v>
      </c>
      <c r="Y634" s="49">
        <v>-1.8E-3</v>
      </c>
      <c r="Z634" s="49">
        <v>-1.2E-2</v>
      </c>
      <c r="AA634" s="49">
        <v>0</v>
      </c>
      <c r="AB634" s="49">
        <v>0</v>
      </c>
      <c r="AC634" s="49" t="s">
        <v>201</v>
      </c>
      <c r="AD634" s="158"/>
    </row>
    <row r="635" spans="1:30" s="157" customFormat="1" x14ac:dyDescent="0.2">
      <c r="A635" s="153">
        <f t="shared" si="9"/>
        <v>611</v>
      </c>
      <c r="B635" s="49">
        <v>2</v>
      </c>
      <c r="C635" s="49">
        <v>3</v>
      </c>
      <c r="D635" s="49">
        <v>11</v>
      </c>
      <c r="E635" s="166">
        <v>2033</v>
      </c>
      <c r="F635" s="49">
        <v>2050</v>
      </c>
      <c r="G635" s="49">
        <v>3</v>
      </c>
      <c r="H635" s="49">
        <v>47</v>
      </c>
      <c r="I635" s="49">
        <v>4</v>
      </c>
      <c r="J635" s="49">
        <v>0</v>
      </c>
      <c r="K635" s="49">
        <v>0</v>
      </c>
      <c r="L635" s="167">
        <v>4.6893317702227435</v>
      </c>
      <c r="M635" s="168">
        <v>2678.8235294117644</v>
      </c>
      <c r="N635" s="168">
        <v>0</v>
      </c>
      <c r="O635" s="51">
        <v>0</v>
      </c>
      <c r="P635" s="51">
        <v>0</v>
      </c>
      <c r="Q635" s="51">
        <v>170</v>
      </c>
      <c r="R635" s="175">
        <v>0</v>
      </c>
      <c r="S635" s="171">
        <v>0</v>
      </c>
      <c r="T635" s="171">
        <v>0</v>
      </c>
      <c r="U635" s="49" t="s">
        <v>226</v>
      </c>
      <c r="V635" s="49">
        <v>2015</v>
      </c>
      <c r="W635" s="49">
        <v>1</v>
      </c>
      <c r="X635" s="49">
        <v>0</v>
      </c>
      <c r="Y635" s="49">
        <v>-1.8E-3</v>
      </c>
      <c r="Z635" s="49">
        <v>-1.2E-2</v>
      </c>
      <c r="AA635" s="49">
        <v>0</v>
      </c>
      <c r="AB635" s="49">
        <v>0</v>
      </c>
      <c r="AC635" s="49" t="s">
        <v>201</v>
      </c>
      <c r="AD635" s="158"/>
    </row>
    <row r="636" spans="1:30" s="157" customFormat="1" hidden="1" x14ac:dyDescent="0.2">
      <c r="A636" s="153">
        <f t="shared" si="9"/>
        <v>612</v>
      </c>
      <c r="B636" s="49">
        <v>2</v>
      </c>
      <c r="C636" s="49">
        <v>3</v>
      </c>
      <c r="D636" s="49">
        <v>11</v>
      </c>
      <c r="E636" s="166">
        <v>2033</v>
      </c>
      <c r="F636" s="49">
        <v>2050</v>
      </c>
      <c r="G636" s="49">
        <v>4</v>
      </c>
      <c r="H636" s="49">
        <v>47</v>
      </c>
      <c r="I636" s="49">
        <v>4</v>
      </c>
      <c r="J636" s="49">
        <v>0</v>
      </c>
      <c r="K636" s="49">
        <v>0</v>
      </c>
      <c r="L636" s="167">
        <v>4.6893317702227435</v>
      </c>
      <c r="M636" s="168">
        <v>2678.8235294117644</v>
      </c>
      <c r="N636" s="168">
        <v>0</v>
      </c>
      <c r="O636" s="51">
        <v>0</v>
      </c>
      <c r="P636" s="51">
        <v>0</v>
      </c>
      <c r="Q636" s="51">
        <v>225</v>
      </c>
      <c r="R636" s="175">
        <v>0</v>
      </c>
      <c r="S636" s="171">
        <v>0</v>
      </c>
      <c r="T636" s="171">
        <v>0</v>
      </c>
      <c r="U636" s="49" t="s">
        <v>226</v>
      </c>
      <c r="V636" s="49">
        <v>2015</v>
      </c>
      <c r="W636" s="49">
        <v>1</v>
      </c>
      <c r="X636" s="49">
        <v>0</v>
      </c>
      <c r="Y636" s="49">
        <v>-1.8E-3</v>
      </c>
      <c r="Z636" s="49">
        <v>-1.2E-2</v>
      </c>
      <c r="AA636" s="49">
        <v>0</v>
      </c>
      <c r="AB636" s="49">
        <v>0</v>
      </c>
      <c r="AC636" s="49" t="s">
        <v>201</v>
      </c>
      <c r="AD636" s="158"/>
    </row>
    <row r="637" spans="1:30" s="157" customFormat="1" hidden="1" x14ac:dyDescent="0.2">
      <c r="A637" s="153">
        <f t="shared" si="9"/>
        <v>613</v>
      </c>
      <c r="B637" s="49">
        <v>2</v>
      </c>
      <c r="C637" s="49">
        <v>3</v>
      </c>
      <c r="D637" s="49">
        <v>11</v>
      </c>
      <c r="E637" s="166">
        <v>2033</v>
      </c>
      <c r="F637" s="49">
        <v>2050</v>
      </c>
      <c r="G637" s="49">
        <v>5</v>
      </c>
      <c r="H637" s="49">
        <v>47</v>
      </c>
      <c r="I637" s="49">
        <v>4</v>
      </c>
      <c r="J637" s="49">
        <v>0</v>
      </c>
      <c r="K637" s="49">
        <v>0</v>
      </c>
      <c r="L637" s="167">
        <v>4.6893317702227435</v>
      </c>
      <c r="M637" s="168">
        <v>2678.8235294117644</v>
      </c>
      <c r="N637" s="168">
        <v>0</v>
      </c>
      <c r="O637" s="51">
        <v>0</v>
      </c>
      <c r="P637" s="51">
        <v>0</v>
      </c>
      <c r="Q637" s="51">
        <v>129</v>
      </c>
      <c r="R637" s="175">
        <v>0</v>
      </c>
      <c r="S637" s="171">
        <v>0</v>
      </c>
      <c r="T637" s="171">
        <v>0</v>
      </c>
      <c r="U637" s="49" t="s">
        <v>226</v>
      </c>
      <c r="V637" s="49">
        <v>2015</v>
      </c>
      <c r="W637" s="49">
        <v>1</v>
      </c>
      <c r="X637" s="49">
        <v>0</v>
      </c>
      <c r="Y637" s="49">
        <v>-1.8E-3</v>
      </c>
      <c r="Z637" s="49">
        <v>-1.2E-2</v>
      </c>
      <c r="AA637" s="49">
        <v>0</v>
      </c>
      <c r="AB637" s="49">
        <v>0</v>
      </c>
      <c r="AC637" s="49" t="s">
        <v>201</v>
      </c>
      <c r="AD637" s="158"/>
    </row>
    <row r="638" spans="1:30" s="157" customFormat="1" hidden="1" x14ac:dyDescent="0.2">
      <c r="A638" s="153">
        <f t="shared" si="9"/>
        <v>614</v>
      </c>
      <c r="B638" s="49">
        <v>2</v>
      </c>
      <c r="C638" s="49">
        <v>3</v>
      </c>
      <c r="D638" s="49">
        <v>11</v>
      </c>
      <c r="E638" s="166">
        <v>2033</v>
      </c>
      <c r="F638" s="49">
        <v>2050</v>
      </c>
      <c r="G638" s="49">
        <v>6</v>
      </c>
      <c r="H638" s="49">
        <v>47</v>
      </c>
      <c r="I638" s="49">
        <v>4</v>
      </c>
      <c r="J638" s="49">
        <v>0</v>
      </c>
      <c r="K638" s="49">
        <v>0</v>
      </c>
      <c r="L638" s="167">
        <v>4.6893317702227435</v>
      </c>
      <c r="M638" s="168">
        <v>2678.8235294117644</v>
      </c>
      <c r="N638" s="168">
        <v>0</v>
      </c>
      <c r="O638" s="51">
        <v>0</v>
      </c>
      <c r="P638" s="51">
        <v>0</v>
      </c>
      <c r="Q638" s="51">
        <v>23</v>
      </c>
      <c r="R638" s="175">
        <v>0</v>
      </c>
      <c r="S638" s="171">
        <v>0</v>
      </c>
      <c r="T638" s="171">
        <v>0</v>
      </c>
      <c r="U638" s="49" t="s">
        <v>226</v>
      </c>
      <c r="V638" s="49">
        <v>2015</v>
      </c>
      <c r="W638" s="49">
        <v>1</v>
      </c>
      <c r="X638" s="49">
        <v>0</v>
      </c>
      <c r="Y638" s="49">
        <v>-1.8E-3</v>
      </c>
      <c r="Z638" s="49">
        <v>-1.2E-2</v>
      </c>
      <c r="AA638" s="49">
        <v>0</v>
      </c>
      <c r="AB638" s="49">
        <v>0</v>
      </c>
      <c r="AC638" s="49" t="s">
        <v>201</v>
      </c>
      <c r="AD638" s="158"/>
    </row>
    <row r="639" spans="1:30" s="157" customFormat="1" hidden="1" x14ac:dyDescent="0.2">
      <c r="A639" s="153">
        <f t="shared" si="9"/>
        <v>615</v>
      </c>
      <c r="B639" s="49">
        <v>2</v>
      </c>
      <c r="C639" s="49">
        <v>3</v>
      </c>
      <c r="D639" s="49">
        <v>11</v>
      </c>
      <c r="E639" s="166">
        <v>2033</v>
      </c>
      <c r="F639" s="49">
        <v>2050</v>
      </c>
      <c r="G639" s="49">
        <v>7</v>
      </c>
      <c r="H639" s="49">
        <v>47</v>
      </c>
      <c r="I639" s="49">
        <v>4</v>
      </c>
      <c r="J639" s="49">
        <v>0</v>
      </c>
      <c r="K639" s="49">
        <v>0</v>
      </c>
      <c r="L639" s="167">
        <v>4.6893317702227435</v>
      </c>
      <c r="M639" s="168">
        <v>2678.8235294117644</v>
      </c>
      <c r="N639" s="168">
        <v>0</v>
      </c>
      <c r="O639" s="51">
        <v>0</v>
      </c>
      <c r="P639" s="51">
        <v>0</v>
      </c>
      <c r="Q639" s="51">
        <v>1026</v>
      </c>
      <c r="R639" s="175">
        <v>0</v>
      </c>
      <c r="S639" s="171">
        <v>0</v>
      </c>
      <c r="T639" s="171">
        <v>0</v>
      </c>
      <c r="U639" s="49" t="s">
        <v>226</v>
      </c>
      <c r="V639" s="49">
        <v>2015</v>
      </c>
      <c r="W639" s="49">
        <v>1</v>
      </c>
      <c r="X639" s="49">
        <v>0</v>
      </c>
      <c r="Y639" s="49">
        <v>-1.8E-3</v>
      </c>
      <c r="Z639" s="49">
        <v>-1.2E-2</v>
      </c>
      <c r="AA639" s="49">
        <v>0</v>
      </c>
      <c r="AB639" s="49">
        <v>0</v>
      </c>
      <c r="AC639" s="49" t="s">
        <v>201</v>
      </c>
      <c r="AD639" s="158"/>
    </row>
    <row r="640" spans="1:30" s="157" customFormat="1" hidden="1" x14ac:dyDescent="0.2">
      <c r="A640" s="153">
        <f t="shared" si="9"/>
        <v>616</v>
      </c>
      <c r="B640" s="49">
        <v>2</v>
      </c>
      <c r="C640" s="49">
        <v>3</v>
      </c>
      <c r="D640" s="49">
        <v>11</v>
      </c>
      <c r="E640" s="166">
        <v>2033</v>
      </c>
      <c r="F640" s="49">
        <v>2050</v>
      </c>
      <c r="G640" s="49">
        <v>8</v>
      </c>
      <c r="H640" s="49">
        <v>47</v>
      </c>
      <c r="I640" s="49">
        <v>4</v>
      </c>
      <c r="J640" s="49">
        <v>0</v>
      </c>
      <c r="K640" s="49">
        <v>0</v>
      </c>
      <c r="L640" s="167">
        <v>4.6893317702227435</v>
      </c>
      <c r="M640" s="168">
        <v>2678.8235294117644</v>
      </c>
      <c r="N640" s="168">
        <v>0</v>
      </c>
      <c r="O640" s="51">
        <v>0</v>
      </c>
      <c r="P640" s="51">
        <v>0</v>
      </c>
      <c r="Q640" s="51">
        <v>186</v>
      </c>
      <c r="R640" s="175">
        <v>0</v>
      </c>
      <c r="S640" s="171">
        <v>0</v>
      </c>
      <c r="T640" s="171">
        <v>0</v>
      </c>
      <c r="U640" s="49" t="s">
        <v>226</v>
      </c>
      <c r="V640" s="49">
        <v>2015</v>
      </c>
      <c r="W640" s="49">
        <v>1</v>
      </c>
      <c r="X640" s="49">
        <v>0</v>
      </c>
      <c r="Y640" s="49">
        <v>-1.8E-3</v>
      </c>
      <c r="Z640" s="49">
        <v>-1.2E-2</v>
      </c>
      <c r="AA640" s="49">
        <v>0</v>
      </c>
      <c r="AB640" s="49">
        <v>0</v>
      </c>
      <c r="AC640" s="49" t="s">
        <v>201</v>
      </c>
      <c r="AD640" s="158"/>
    </row>
    <row r="641" spans="1:30" s="157" customFormat="1" hidden="1" x14ac:dyDescent="0.2">
      <c r="A641" s="153">
        <f t="shared" si="9"/>
        <v>617</v>
      </c>
      <c r="B641" s="49">
        <v>2</v>
      </c>
      <c r="C641" s="49">
        <v>3</v>
      </c>
      <c r="D641" s="49">
        <v>11</v>
      </c>
      <c r="E641" s="166">
        <v>2033</v>
      </c>
      <c r="F641" s="49">
        <v>2050</v>
      </c>
      <c r="G641" s="49">
        <v>9</v>
      </c>
      <c r="H641" s="49">
        <v>47</v>
      </c>
      <c r="I641" s="49">
        <v>4</v>
      </c>
      <c r="J641" s="49">
        <v>0</v>
      </c>
      <c r="K641" s="49">
        <v>0</v>
      </c>
      <c r="L641" s="167">
        <v>4.6893317702227435</v>
      </c>
      <c r="M641" s="168">
        <v>2678.8235294117644</v>
      </c>
      <c r="N641" s="168">
        <v>0</v>
      </c>
      <c r="O641" s="51">
        <v>0</v>
      </c>
      <c r="P641" s="51">
        <v>0</v>
      </c>
      <c r="Q641" s="51">
        <v>361</v>
      </c>
      <c r="R641" s="175">
        <v>0</v>
      </c>
      <c r="S641" s="171">
        <v>0</v>
      </c>
      <c r="T641" s="171">
        <v>0</v>
      </c>
      <c r="U641" s="49" t="s">
        <v>226</v>
      </c>
      <c r="V641" s="49">
        <v>2015</v>
      </c>
      <c r="W641" s="49">
        <v>1</v>
      </c>
      <c r="X641" s="49">
        <v>0</v>
      </c>
      <c r="Y641" s="49">
        <v>-1.8E-3</v>
      </c>
      <c r="Z641" s="49">
        <v>-1.2E-2</v>
      </c>
      <c r="AA641" s="49">
        <v>0</v>
      </c>
      <c r="AB641" s="49">
        <v>0</v>
      </c>
      <c r="AC641" s="49" t="s">
        <v>201</v>
      </c>
      <c r="AD641" s="158"/>
    </row>
    <row r="642" spans="1:30" customFormat="1" hidden="1" x14ac:dyDescent="0.2">
      <c r="A642" s="153">
        <f t="shared" si="9"/>
        <v>618</v>
      </c>
      <c r="B642" s="33">
        <v>2</v>
      </c>
      <c r="C642" s="33">
        <v>3</v>
      </c>
      <c r="D642" s="33">
        <v>12</v>
      </c>
      <c r="E642" s="104">
        <v>2016</v>
      </c>
      <c r="F642" s="33">
        <v>2021</v>
      </c>
      <c r="G642" s="33">
        <v>1</v>
      </c>
      <c r="H642" s="33">
        <v>48</v>
      </c>
      <c r="I642" s="33">
        <v>5</v>
      </c>
      <c r="J642" s="33">
        <v>0</v>
      </c>
      <c r="K642" s="33">
        <v>0</v>
      </c>
      <c r="L642" s="101">
        <v>5.5685814771395075</v>
      </c>
      <c r="M642" s="108">
        <v>3050</v>
      </c>
      <c r="N642" s="108">
        <v>0</v>
      </c>
      <c r="O642" s="142">
        <v>150</v>
      </c>
      <c r="P642" s="142">
        <v>0</v>
      </c>
      <c r="Q642" s="160">
        <v>801</v>
      </c>
      <c r="R642" s="142">
        <v>0</v>
      </c>
      <c r="S642" s="116">
        <v>0</v>
      </c>
      <c r="T642" s="116">
        <v>0</v>
      </c>
      <c r="U642" s="33" t="s">
        <v>226</v>
      </c>
      <c r="V642" s="33">
        <v>2015</v>
      </c>
      <c r="W642" s="33">
        <v>1</v>
      </c>
      <c r="X642" s="33">
        <v>0</v>
      </c>
      <c r="Y642" s="33">
        <v>-1.8E-3</v>
      </c>
      <c r="Z642" s="33">
        <v>-1.2E-2</v>
      </c>
      <c r="AA642" s="33">
        <v>0</v>
      </c>
      <c r="AB642" s="33">
        <v>0</v>
      </c>
      <c r="AC642" s="33" t="s">
        <v>202</v>
      </c>
      <c r="AD642" s="158"/>
    </row>
    <row r="643" spans="1:30" customFormat="1" hidden="1" x14ac:dyDescent="0.2">
      <c r="A643" s="153">
        <f t="shared" si="9"/>
        <v>619</v>
      </c>
      <c r="B643" s="33">
        <v>2</v>
      </c>
      <c r="C643" s="33">
        <v>3</v>
      </c>
      <c r="D643" s="33">
        <v>12</v>
      </c>
      <c r="E643" s="104">
        <v>2016</v>
      </c>
      <c r="F643" s="33">
        <v>2021</v>
      </c>
      <c r="G643" s="33">
        <v>2</v>
      </c>
      <c r="H643" s="33">
        <v>48</v>
      </c>
      <c r="I643" s="33">
        <v>5</v>
      </c>
      <c r="J643" s="33">
        <v>0</v>
      </c>
      <c r="K643" s="33">
        <v>0</v>
      </c>
      <c r="L643" s="101">
        <v>5.5685814771395075</v>
      </c>
      <c r="M643" s="108">
        <v>3050</v>
      </c>
      <c r="N643" s="108">
        <v>0</v>
      </c>
      <c r="O643" s="142">
        <v>150</v>
      </c>
      <c r="P643" s="142">
        <v>0</v>
      </c>
      <c r="Q643" s="160">
        <v>259</v>
      </c>
      <c r="R643" s="142">
        <v>0</v>
      </c>
      <c r="S643" s="116">
        <v>0</v>
      </c>
      <c r="T643" s="116">
        <v>0</v>
      </c>
      <c r="U643" s="33" t="s">
        <v>226</v>
      </c>
      <c r="V643" s="33">
        <v>2015</v>
      </c>
      <c r="W643" s="33">
        <v>1</v>
      </c>
      <c r="X643" s="33">
        <v>0</v>
      </c>
      <c r="Y643" s="33">
        <v>-1.8E-3</v>
      </c>
      <c r="Z643" s="33">
        <v>-1.2E-2</v>
      </c>
      <c r="AA643" s="33">
        <v>0</v>
      </c>
      <c r="AB643" s="33">
        <v>0</v>
      </c>
      <c r="AC643" s="33" t="s">
        <v>202</v>
      </c>
      <c r="AD643" s="158"/>
    </row>
    <row r="644" spans="1:30" customFormat="1" x14ac:dyDescent="0.2">
      <c r="A644" s="153">
        <f t="shared" si="9"/>
        <v>620</v>
      </c>
      <c r="B644" s="33">
        <v>2</v>
      </c>
      <c r="C644" s="33">
        <v>3</v>
      </c>
      <c r="D644" s="33">
        <v>12</v>
      </c>
      <c r="E644" s="104">
        <v>2016</v>
      </c>
      <c r="F644" s="33">
        <v>2021</v>
      </c>
      <c r="G644" s="33">
        <v>3</v>
      </c>
      <c r="H644" s="33">
        <v>48</v>
      </c>
      <c r="I644" s="33">
        <v>5</v>
      </c>
      <c r="J644" s="33">
        <v>0</v>
      </c>
      <c r="K644" s="33">
        <v>0</v>
      </c>
      <c r="L644" s="101">
        <v>5.5685814771395075</v>
      </c>
      <c r="M644" s="108">
        <v>3050</v>
      </c>
      <c r="N644" s="108">
        <v>0</v>
      </c>
      <c r="O644" s="142">
        <v>150</v>
      </c>
      <c r="P644" s="142">
        <v>0</v>
      </c>
      <c r="Q644" s="160">
        <v>193</v>
      </c>
      <c r="R644" s="142">
        <v>0</v>
      </c>
      <c r="S644" s="116">
        <v>0</v>
      </c>
      <c r="T644" s="116">
        <v>0</v>
      </c>
      <c r="U644" s="33" t="s">
        <v>226</v>
      </c>
      <c r="V644" s="33">
        <v>2015</v>
      </c>
      <c r="W644" s="33">
        <v>1</v>
      </c>
      <c r="X644" s="33">
        <v>0</v>
      </c>
      <c r="Y644" s="33">
        <v>-1.8E-3</v>
      </c>
      <c r="Z644" s="33">
        <v>-1.2E-2</v>
      </c>
      <c r="AA644" s="33">
        <v>0</v>
      </c>
      <c r="AB644" s="33">
        <v>0</v>
      </c>
      <c r="AC644" s="33" t="s">
        <v>202</v>
      </c>
      <c r="AD644" s="158"/>
    </row>
    <row r="645" spans="1:30" customFormat="1" hidden="1" x14ac:dyDescent="0.2">
      <c r="A645" s="153">
        <f t="shared" si="9"/>
        <v>621</v>
      </c>
      <c r="B645" s="33">
        <v>2</v>
      </c>
      <c r="C645" s="33">
        <v>3</v>
      </c>
      <c r="D645" s="33">
        <v>12</v>
      </c>
      <c r="E645" s="104">
        <v>2016</v>
      </c>
      <c r="F645" s="33">
        <v>2021</v>
      </c>
      <c r="G645" s="33">
        <v>4</v>
      </c>
      <c r="H645" s="33">
        <v>48</v>
      </c>
      <c r="I645" s="33">
        <v>5</v>
      </c>
      <c r="J645" s="33">
        <v>0</v>
      </c>
      <c r="K645" s="33">
        <v>0</v>
      </c>
      <c r="L645" s="101">
        <v>5.5685814771395075</v>
      </c>
      <c r="M645" s="108">
        <v>3050</v>
      </c>
      <c r="N645" s="108">
        <v>0</v>
      </c>
      <c r="O645" s="142">
        <v>150</v>
      </c>
      <c r="P645" s="142">
        <v>0</v>
      </c>
      <c r="Q645" s="160">
        <v>256</v>
      </c>
      <c r="R645" s="142">
        <v>0</v>
      </c>
      <c r="S645" s="116">
        <v>0</v>
      </c>
      <c r="T645" s="116">
        <v>0</v>
      </c>
      <c r="U645" s="33" t="s">
        <v>226</v>
      </c>
      <c r="V645" s="33">
        <v>2015</v>
      </c>
      <c r="W645" s="33">
        <v>1</v>
      </c>
      <c r="X645" s="33">
        <v>0</v>
      </c>
      <c r="Y645" s="33">
        <v>-1.8E-3</v>
      </c>
      <c r="Z645" s="33">
        <v>-1.2E-2</v>
      </c>
      <c r="AA645" s="33">
        <v>0</v>
      </c>
      <c r="AB645" s="33">
        <v>0</v>
      </c>
      <c r="AC645" s="33" t="s">
        <v>202</v>
      </c>
      <c r="AD645" s="158"/>
    </row>
    <row r="646" spans="1:30" customFormat="1" hidden="1" x14ac:dyDescent="0.2">
      <c r="A646" s="153">
        <f t="shared" si="9"/>
        <v>622</v>
      </c>
      <c r="B646" s="33">
        <v>2</v>
      </c>
      <c r="C646" s="33">
        <v>3</v>
      </c>
      <c r="D646" s="33">
        <v>12</v>
      </c>
      <c r="E646" s="104">
        <v>2016</v>
      </c>
      <c r="F646" s="33">
        <v>2021</v>
      </c>
      <c r="G646" s="33">
        <v>5</v>
      </c>
      <c r="H646" s="33">
        <v>48</v>
      </c>
      <c r="I646" s="33">
        <v>5</v>
      </c>
      <c r="J646" s="33">
        <v>0</v>
      </c>
      <c r="K646" s="33">
        <v>0</v>
      </c>
      <c r="L646" s="101">
        <v>5.5685814771395075</v>
      </c>
      <c r="M646" s="108">
        <v>3050</v>
      </c>
      <c r="N646" s="108">
        <v>0</v>
      </c>
      <c r="O646" s="142">
        <v>150</v>
      </c>
      <c r="P646" s="142">
        <v>0</v>
      </c>
      <c r="Q646" s="160">
        <v>147</v>
      </c>
      <c r="R646" s="142">
        <v>0</v>
      </c>
      <c r="S646" s="116">
        <v>0</v>
      </c>
      <c r="T646" s="116">
        <v>0</v>
      </c>
      <c r="U646" s="33" t="s">
        <v>226</v>
      </c>
      <c r="V646" s="33">
        <v>2015</v>
      </c>
      <c r="W646" s="33">
        <v>1</v>
      </c>
      <c r="X646" s="33">
        <v>0</v>
      </c>
      <c r="Y646" s="33">
        <v>-1.8E-3</v>
      </c>
      <c r="Z646" s="33">
        <v>-1.2E-2</v>
      </c>
      <c r="AA646" s="33">
        <v>0</v>
      </c>
      <c r="AB646" s="33">
        <v>0</v>
      </c>
      <c r="AC646" s="33" t="s">
        <v>202</v>
      </c>
      <c r="AD646" s="158"/>
    </row>
    <row r="647" spans="1:30" customFormat="1" hidden="1" x14ac:dyDescent="0.2">
      <c r="A647" s="153">
        <f t="shared" si="9"/>
        <v>623</v>
      </c>
      <c r="B647" s="33">
        <v>2</v>
      </c>
      <c r="C647" s="33">
        <v>3</v>
      </c>
      <c r="D647" s="33">
        <v>12</v>
      </c>
      <c r="E647" s="104">
        <v>2016</v>
      </c>
      <c r="F647" s="33">
        <v>2021</v>
      </c>
      <c r="G647" s="33">
        <v>6</v>
      </c>
      <c r="H647" s="33">
        <v>48</v>
      </c>
      <c r="I647" s="33">
        <v>5</v>
      </c>
      <c r="J647" s="33">
        <v>0</v>
      </c>
      <c r="K647" s="33">
        <v>0</v>
      </c>
      <c r="L647" s="101">
        <v>5.5685814771395075</v>
      </c>
      <c r="M647" s="108">
        <v>3050</v>
      </c>
      <c r="N647" s="108">
        <v>0</v>
      </c>
      <c r="O647" s="142">
        <v>150</v>
      </c>
      <c r="P647" s="142">
        <v>0</v>
      </c>
      <c r="Q647" s="160">
        <v>26</v>
      </c>
      <c r="R647" s="142">
        <v>0</v>
      </c>
      <c r="S647" s="116">
        <v>0</v>
      </c>
      <c r="T647" s="116">
        <v>0</v>
      </c>
      <c r="U647" s="33" t="s">
        <v>226</v>
      </c>
      <c r="V647" s="33">
        <v>2015</v>
      </c>
      <c r="W647" s="33">
        <v>1</v>
      </c>
      <c r="X647" s="33">
        <v>0</v>
      </c>
      <c r="Y647" s="33">
        <v>-1.8E-3</v>
      </c>
      <c r="Z647" s="33">
        <v>-1.2E-2</v>
      </c>
      <c r="AA647" s="33">
        <v>0</v>
      </c>
      <c r="AB647" s="33">
        <v>0</v>
      </c>
      <c r="AC647" s="33" t="s">
        <v>202</v>
      </c>
      <c r="AD647" s="158"/>
    </row>
    <row r="648" spans="1:30" customFormat="1" hidden="1" x14ac:dyDescent="0.2">
      <c r="A648" s="153">
        <f t="shared" si="9"/>
        <v>624</v>
      </c>
      <c r="B648" s="33">
        <v>2</v>
      </c>
      <c r="C648" s="33">
        <v>3</v>
      </c>
      <c r="D648" s="33">
        <v>12</v>
      </c>
      <c r="E648" s="104">
        <v>2016</v>
      </c>
      <c r="F648" s="33">
        <v>2021</v>
      </c>
      <c r="G648" s="33">
        <v>7</v>
      </c>
      <c r="H648" s="33">
        <v>48</v>
      </c>
      <c r="I648" s="33">
        <v>5</v>
      </c>
      <c r="J648" s="33">
        <v>0</v>
      </c>
      <c r="K648" s="33">
        <v>0</v>
      </c>
      <c r="L648" s="101">
        <v>5.5685814771395075</v>
      </c>
      <c r="M648" s="108">
        <v>3050</v>
      </c>
      <c r="N648" s="108">
        <v>0</v>
      </c>
      <c r="O648" s="142">
        <v>150</v>
      </c>
      <c r="P648" s="142">
        <v>0</v>
      </c>
      <c r="Q648" s="160">
        <v>1168</v>
      </c>
      <c r="R648" s="142">
        <v>0</v>
      </c>
      <c r="S648" s="116">
        <v>0</v>
      </c>
      <c r="T648" s="116">
        <v>0</v>
      </c>
      <c r="U648" s="33" t="s">
        <v>226</v>
      </c>
      <c r="V648" s="33">
        <v>2015</v>
      </c>
      <c r="W648" s="33">
        <v>1</v>
      </c>
      <c r="X648" s="33">
        <v>0</v>
      </c>
      <c r="Y648" s="33">
        <v>-1.8E-3</v>
      </c>
      <c r="Z648" s="33">
        <v>-1.2E-2</v>
      </c>
      <c r="AA648" s="33">
        <v>0</v>
      </c>
      <c r="AB648" s="33">
        <v>0</v>
      </c>
      <c r="AC648" s="33" t="s">
        <v>202</v>
      </c>
      <c r="AD648" s="158"/>
    </row>
    <row r="649" spans="1:30" customFormat="1" hidden="1" x14ac:dyDescent="0.2">
      <c r="A649" s="153">
        <f t="shared" si="9"/>
        <v>625</v>
      </c>
      <c r="B649" s="33">
        <v>2</v>
      </c>
      <c r="C649" s="33">
        <v>3</v>
      </c>
      <c r="D649" s="33">
        <v>12</v>
      </c>
      <c r="E649" s="104">
        <v>2016</v>
      </c>
      <c r="F649" s="33">
        <v>2021</v>
      </c>
      <c r="G649" s="33">
        <v>8</v>
      </c>
      <c r="H649" s="33">
        <v>48</v>
      </c>
      <c r="I649" s="33">
        <v>5</v>
      </c>
      <c r="J649" s="33">
        <v>0</v>
      </c>
      <c r="K649" s="33">
        <v>0</v>
      </c>
      <c r="L649" s="101">
        <v>5.5685814771395075</v>
      </c>
      <c r="M649" s="108">
        <v>3050</v>
      </c>
      <c r="N649" s="108">
        <v>0</v>
      </c>
      <c r="O649" s="142">
        <v>150</v>
      </c>
      <c r="P649" s="142">
        <v>0</v>
      </c>
      <c r="Q649" s="160">
        <v>212</v>
      </c>
      <c r="R649" s="142">
        <v>0</v>
      </c>
      <c r="S649" s="116">
        <v>0</v>
      </c>
      <c r="T649" s="116">
        <v>0</v>
      </c>
      <c r="U649" s="33" t="s">
        <v>226</v>
      </c>
      <c r="V649" s="33">
        <v>2015</v>
      </c>
      <c r="W649" s="33">
        <v>1</v>
      </c>
      <c r="X649" s="33">
        <v>0</v>
      </c>
      <c r="Y649" s="33">
        <v>-1.8E-3</v>
      </c>
      <c r="Z649" s="33">
        <v>-1.2E-2</v>
      </c>
      <c r="AA649" s="33">
        <v>0</v>
      </c>
      <c r="AB649" s="33">
        <v>0</v>
      </c>
      <c r="AC649" s="33" t="s">
        <v>202</v>
      </c>
      <c r="AD649" s="158"/>
    </row>
    <row r="650" spans="1:30" customFormat="1" hidden="1" x14ac:dyDescent="0.2">
      <c r="A650" s="153">
        <f t="shared" si="9"/>
        <v>626</v>
      </c>
      <c r="B650" s="33">
        <v>2</v>
      </c>
      <c r="C650" s="33">
        <v>3</v>
      </c>
      <c r="D650" s="33">
        <v>12</v>
      </c>
      <c r="E650" s="104">
        <v>2016</v>
      </c>
      <c r="F650" s="33">
        <v>2021</v>
      </c>
      <c r="G650" s="33">
        <v>9</v>
      </c>
      <c r="H650" s="33">
        <v>48</v>
      </c>
      <c r="I650" s="33">
        <v>5</v>
      </c>
      <c r="J650" s="33">
        <v>0</v>
      </c>
      <c r="K650" s="33">
        <v>0</v>
      </c>
      <c r="L650" s="101">
        <v>5.5685814771395075</v>
      </c>
      <c r="M650" s="108">
        <v>3050</v>
      </c>
      <c r="N650" s="108">
        <v>0</v>
      </c>
      <c r="O650" s="142">
        <v>150</v>
      </c>
      <c r="P650" s="142">
        <v>0</v>
      </c>
      <c r="Q650" s="160">
        <v>411</v>
      </c>
      <c r="R650" s="142">
        <v>0</v>
      </c>
      <c r="S650" s="116">
        <v>0</v>
      </c>
      <c r="T650" s="116">
        <v>0</v>
      </c>
      <c r="U650" s="33" t="s">
        <v>226</v>
      </c>
      <c r="V650" s="33">
        <v>2015</v>
      </c>
      <c r="W650" s="33">
        <v>1</v>
      </c>
      <c r="X650" s="33">
        <v>0</v>
      </c>
      <c r="Y650" s="33">
        <v>-1.8E-3</v>
      </c>
      <c r="Z650" s="33">
        <v>-1.2E-2</v>
      </c>
      <c r="AA650" s="33">
        <v>0</v>
      </c>
      <c r="AB650" s="33">
        <v>0</v>
      </c>
      <c r="AC650" s="33" t="s">
        <v>202</v>
      </c>
      <c r="AD650" s="158"/>
    </row>
    <row r="651" spans="1:30" s="157" customFormat="1" hidden="1" x14ac:dyDescent="0.2">
      <c r="A651" s="153">
        <f t="shared" si="9"/>
        <v>627</v>
      </c>
      <c r="B651" s="33">
        <v>2</v>
      </c>
      <c r="C651" s="33">
        <v>3</v>
      </c>
      <c r="D651" s="33">
        <v>12</v>
      </c>
      <c r="E651" s="104">
        <v>2022</v>
      </c>
      <c r="F651" s="159">
        <v>2032</v>
      </c>
      <c r="G651" s="33">
        <v>1</v>
      </c>
      <c r="H651" s="33">
        <v>48</v>
      </c>
      <c r="I651" s="33">
        <v>5</v>
      </c>
      <c r="J651" s="33">
        <v>0</v>
      </c>
      <c r="K651" s="33">
        <v>0</v>
      </c>
      <c r="L651" s="101">
        <v>5.8616647127784294</v>
      </c>
      <c r="M651" s="108">
        <v>3210.5263157894738</v>
      </c>
      <c r="N651" s="108">
        <v>0</v>
      </c>
      <c r="O651" s="160">
        <v>1000</v>
      </c>
      <c r="P651" s="142">
        <v>0</v>
      </c>
      <c r="Q651" s="160">
        <v>843</v>
      </c>
      <c r="R651" s="149">
        <v>0</v>
      </c>
      <c r="S651" s="116">
        <v>0</v>
      </c>
      <c r="T651" s="116">
        <v>0</v>
      </c>
      <c r="U651" s="33" t="s">
        <v>226</v>
      </c>
      <c r="V651" s="33">
        <v>2015</v>
      </c>
      <c r="W651" s="33">
        <v>1</v>
      </c>
      <c r="X651" s="33">
        <v>0</v>
      </c>
      <c r="Y651" s="33">
        <v>-1.8E-3</v>
      </c>
      <c r="Z651" s="33">
        <v>-1.2E-2</v>
      </c>
      <c r="AA651" s="33">
        <v>0</v>
      </c>
      <c r="AB651" s="33">
        <v>0</v>
      </c>
      <c r="AC651" s="33" t="s">
        <v>202</v>
      </c>
      <c r="AD651" s="158"/>
    </row>
    <row r="652" spans="1:30" s="157" customFormat="1" hidden="1" x14ac:dyDescent="0.2">
      <c r="A652" s="153">
        <f t="shared" si="9"/>
        <v>628</v>
      </c>
      <c r="B652" s="33">
        <v>2</v>
      </c>
      <c r="C652" s="33">
        <v>3</v>
      </c>
      <c r="D652" s="33">
        <v>12</v>
      </c>
      <c r="E652" s="104">
        <v>2022</v>
      </c>
      <c r="F652" s="159">
        <v>2032</v>
      </c>
      <c r="G652" s="33">
        <v>2</v>
      </c>
      <c r="H652" s="33">
        <v>48</v>
      </c>
      <c r="I652" s="33">
        <v>5</v>
      </c>
      <c r="J652" s="33">
        <v>0</v>
      </c>
      <c r="K652" s="33">
        <v>0</v>
      </c>
      <c r="L652" s="101">
        <v>5.8616647127784294</v>
      </c>
      <c r="M652" s="108">
        <v>3210.5263157894738</v>
      </c>
      <c r="N652" s="108">
        <v>0</v>
      </c>
      <c r="O652" s="160">
        <v>1000</v>
      </c>
      <c r="P652" s="142">
        <v>0</v>
      </c>
      <c r="Q652" s="160">
        <v>273</v>
      </c>
      <c r="R652" s="149">
        <v>0</v>
      </c>
      <c r="S652" s="116">
        <v>0</v>
      </c>
      <c r="T652" s="116">
        <v>0</v>
      </c>
      <c r="U652" s="33" t="s">
        <v>226</v>
      </c>
      <c r="V652" s="33">
        <v>2015</v>
      </c>
      <c r="W652" s="33">
        <v>1</v>
      </c>
      <c r="X652" s="33">
        <v>0</v>
      </c>
      <c r="Y652" s="33">
        <v>-1.8E-3</v>
      </c>
      <c r="Z652" s="33">
        <v>-1.2E-2</v>
      </c>
      <c r="AA652" s="33">
        <v>0</v>
      </c>
      <c r="AB652" s="33">
        <v>0</v>
      </c>
      <c r="AC652" s="33" t="s">
        <v>202</v>
      </c>
      <c r="AD652" s="158"/>
    </row>
    <row r="653" spans="1:30" s="157" customFormat="1" x14ac:dyDescent="0.2">
      <c r="A653" s="153">
        <f t="shared" si="9"/>
        <v>629</v>
      </c>
      <c r="B653" s="33">
        <v>2</v>
      </c>
      <c r="C653" s="33">
        <v>3</v>
      </c>
      <c r="D653" s="33">
        <v>12</v>
      </c>
      <c r="E653" s="104">
        <v>2022</v>
      </c>
      <c r="F653" s="159">
        <v>2032</v>
      </c>
      <c r="G653" s="33">
        <v>3</v>
      </c>
      <c r="H653" s="33">
        <v>48</v>
      </c>
      <c r="I653" s="33">
        <v>5</v>
      </c>
      <c r="J653" s="33">
        <v>0</v>
      </c>
      <c r="K653" s="33">
        <v>0</v>
      </c>
      <c r="L653" s="101">
        <v>5.8616647127784294</v>
      </c>
      <c r="M653" s="108">
        <v>3210.5263157894738</v>
      </c>
      <c r="N653" s="108">
        <v>0</v>
      </c>
      <c r="O653" s="160">
        <v>1000</v>
      </c>
      <c r="P653" s="142">
        <v>0</v>
      </c>
      <c r="Q653" s="160">
        <v>203</v>
      </c>
      <c r="R653" s="149">
        <v>0</v>
      </c>
      <c r="S653" s="116">
        <v>0</v>
      </c>
      <c r="T653" s="116">
        <v>0</v>
      </c>
      <c r="U653" s="33" t="s">
        <v>226</v>
      </c>
      <c r="V653" s="33">
        <v>2015</v>
      </c>
      <c r="W653" s="33">
        <v>1</v>
      </c>
      <c r="X653" s="33">
        <v>0</v>
      </c>
      <c r="Y653" s="33">
        <v>-1.8E-3</v>
      </c>
      <c r="Z653" s="33">
        <v>-1.2E-2</v>
      </c>
      <c r="AA653" s="33">
        <v>0</v>
      </c>
      <c r="AB653" s="33">
        <v>0</v>
      </c>
      <c r="AC653" s="33" t="s">
        <v>202</v>
      </c>
      <c r="AD653" s="158"/>
    </row>
    <row r="654" spans="1:30" s="157" customFormat="1" hidden="1" x14ac:dyDescent="0.2">
      <c r="A654" s="153">
        <f t="shared" si="9"/>
        <v>630</v>
      </c>
      <c r="B654" s="33">
        <v>2</v>
      </c>
      <c r="C654" s="33">
        <v>3</v>
      </c>
      <c r="D654" s="33">
        <v>12</v>
      </c>
      <c r="E654" s="104">
        <v>2022</v>
      </c>
      <c r="F654" s="159">
        <v>2032</v>
      </c>
      <c r="G654" s="33">
        <v>4</v>
      </c>
      <c r="H654" s="33">
        <v>48</v>
      </c>
      <c r="I654" s="33">
        <v>5</v>
      </c>
      <c r="J654" s="33">
        <v>0</v>
      </c>
      <c r="K654" s="33">
        <v>0</v>
      </c>
      <c r="L654" s="101">
        <v>5.8616647127784294</v>
      </c>
      <c r="M654" s="108">
        <v>3210.5263157894738</v>
      </c>
      <c r="N654" s="108">
        <v>0</v>
      </c>
      <c r="O654" s="160">
        <v>1000</v>
      </c>
      <c r="P654" s="142">
        <v>0</v>
      </c>
      <c r="Q654" s="160">
        <v>270</v>
      </c>
      <c r="R654" s="149">
        <v>0</v>
      </c>
      <c r="S654" s="116">
        <v>0</v>
      </c>
      <c r="T654" s="116">
        <v>0</v>
      </c>
      <c r="U654" s="33" t="s">
        <v>226</v>
      </c>
      <c r="V654" s="33">
        <v>2015</v>
      </c>
      <c r="W654" s="33">
        <v>1</v>
      </c>
      <c r="X654" s="33">
        <v>0</v>
      </c>
      <c r="Y654" s="33">
        <v>-1.8E-3</v>
      </c>
      <c r="Z654" s="33">
        <v>-1.2E-2</v>
      </c>
      <c r="AA654" s="33">
        <v>0</v>
      </c>
      <c r="AB654" s="33">
        <v>0</v>
      </c>
      <c r="AC654" s="33" t="s">
        <v>202</v>
      </c>
      <c r="AD654" s="158"/>
    </row>
    <row r="655" spans="1:30" s="157" customFormat="1" hidden="1" x14ac:dyDescent="0.2">
      <c r="A655" s="153">
        <f t="shared" si="9"/>
        <v>631</v>
      </c>
      <c r="B655" s="33">
        <v>2</v>
      </c>
      <c r="C655" s="33">
        <v>3</v>
      </c>
      <c r="D655" s="33">
        <v>12</v>
      </c>
      <c r="E655" s="104">
        <v>2022</v>
      </c>
      <c r="F655" s="159">
        <v>2032</v>
      </c>
      <c r="G655" s="33">
        <v>5</v>
      </c>
      <c r="H655" s="33">
        <v>48</v>
      </c>
      <c r="I655" s="33">
        <v>5</v>
      </c>
      <c r="J655" s="33">
        <v>0</v>
      </c>
      <c r="K655" s="33">
        <v>0</v>
      </c>
      <c r="L655" s="101">
        <v>5.8616647127784294</v>
      </c>
      <c r="M655" s="108">
        <v>3210.5263157894738</v>
      </c>
      <c r="N655" s="108">
        <v>0</v>
      </c>
      <c r="O655" s="160">
        <v>1000</v>
      </c>
      <c r="P655" s="142">
        <v>0</v>
      </c>
      <c r="Q655" s="160">
        <v>154</v>
      </c>
      <c r="R655" s="149">
        <v>0</v>
      </c>
      <c r="S655" s="116">
        <v>0</v>
      </c>
      <c r="T655" s="116">
        <v>0</v>
      </c>
      <c r="U655" s="33" t="s">
        <v>226</v>
      </c>
      <c r="V655" s="33">
        <v>2015</v>
      </c>
      <c r="W655" s="33">
        <v>1</v>
      </c>
      <c r="X655" s="33">
        <v>0</v>
      </c>
      <c r="Y655" s="33">
        <v>-1.8E-3</v>
      </c>
      <c r="Z655" s="33">
        <v>-1.2E-2</v>
      </c>
      <c r="AA655" s="33">
        <v>0</v>
      </c>
      <c r="AB655" s="33">
        <v>0</v>
      </c>
      <c r="AC655" s="33" t="s">
        <v>202</v>
      </c>
      <c r="AD655" s="158"/>
    </row>
    <row r="656" spans="1:30" s="157" customFormat="1" hidden="1" x14ac:dyDescent="0.2">
      <c r="A656" s="153">
        <f t="shared" si="9"/>
        <v>632</v>
      </c>
      <c r="B656" s="33">
        <v>2</v>
      </c>
      <c r="C656" s="33">
        <v>3</v>
      </c>
      <c r="D656" s="33">
        <v>12</v>
      </c>
      <c r="E656" s="104">
        <v>2022</v>
      </c>
      <c r="F656" s="159">
        <v>2032</v>
      </c>
      <c r="G656" s="33">
        <v>6</v>
      </c>
      <c r="H656" s="33">
        <v>48</v>
      </c>
      <c r="I656" s="33">
        <v>5</v>
      </c>
      <c r="J656" s="33">
        <v>0</v>
      </c>
      <c r="K656" s="33">
        <v>0</v>
      </c>
      <c r="L656" s="101">
        <v>5.8616647127784294</v>
      </c>
      <c r="M656" s="108">
        <v>3210.5263157894738</v>
      </c>
      <c r="N656" s="108">
        <v>0</v>
      </c>
      <c r="O656" s="160">
        <v>1000</v>
      </c>
      <c r="P656" s="142">
        <v>0</v>
      </c>
      <c r="Q656" s="160">
        <v>27</v>
      </c>
      <c r="R656" s="149">
        <v>0</v>
      </c>
      <c r="S656" s="116">
        <v>0</v>
      </c>
      <c r="T656" s="116">
        <v>0</v>
      </c>
      <c r="U656" s="33" t="s">
        <v>226</v>
      </c>
      <c r="V656" s="33">
        <v>2015</v>
      </c>
      <c r="W656" s="33">
        <v>1</v>
      </c>
      <c r="X656" s="33">
        <v>0</v>
      </c>
      <c r="Y656" s="33">
        <v>-1.8E-3</v>
      </c>
      <c r="Z656" s="33">
        <v>-1.2E-2</v>
      </c>
      <c r="AA656" s="33">
        <v>0</v>
      </c>
      <c r="AB656" s="33">
        <v>0</v>
      </c>
      <c r="AC656" s="33" t="s">
        <v>202</v>
      </c>
      <c r="AD656" s="158"/>
    </row>
    <row r="657" spans="1:30" s="157" customFormat="1" hidden="1" x14ac:dyDescent="0.2">
      <c r="A657" s="153">
        <f t="shared" si="9"/>
        <v>633</v>
      </c>
      <c r="B657" s="33">
        <v>2</v>
      </c>
      <c r="C657" s="33">
        <v>3</v>
      </c>
      <c r="D657" s="33">
        <v>12</v>
      </c>
      <c r="E657" s="104">
        <v>2022</v>
      </c>
      <c r="F657" s="159">
        <v>2032</v>
      </c>
      <c r="G657" s="33">
        <v>7</v>
      </c>
      <c r="H657" s="33">
        <v>48</v>
      </c>
      <c r="I657" s="33">
        <v>5</v>
      </c>
      <c r="J657" s="33">
        <v>0</v>
      </c>
      <c r="K657" s="33">
        <v>0</v>
      </c>
      <c r="L657" s="101">
        <v>5.8616647127784294</v>
      </c>
      <c r="M657" s="108">
        <v>3210.5263157894738</v>
      </c>
      <c r="N657" s="108">
        <v>0</v>
      </c>
      <c r="O657" s="160">
        <v>1000</v>
      </c>
      <c r="P657" s="142">
        <v>0</v>
      </c>
      <c r="Q657" s="160">
        <v>1230</v>
      </c>
      <c r="R657" s="149">
        <v>0</v>
      </c>
      <c r="S657" s="116">
        <v>0</v>
      </c>
      <c r="T657" s="116">
        <v>0</v>
      </c>
      <c r="U657" s="33" t="s">
        <v>226</v>
      </c>
      <c r="V657" s="33">
        <v>2015</v>
      </c>
      <c r="W657" s="33">
        <v>1</v>
      </c>
      <c r="X657" s="33">
        <v>0</v>
      </c>
      <c r="Y657" s="33">
        <v>-1.8E-3</v>
      </c>
      <c r="Z657" s="33">
        <v>-1.2E-2</v>
      </c>
      <c r="AA657" s="33">
        <v>0</v>
      </c>
      <c r="AB657" s="33">
        <v>0</v>
      </c>
      <c r="AC657" s="33" t="s">
        <v>202</v>
      </c>
      <c r="AD657" s="158"/>
    </row>
    <row r="658" spans="1:30" s="157" customFormat="1" hidden="1" x14ac:dyDescent="0.2">
      <c r="A658" s="153">
        <f t="shared" si="9"/>
        <v>634</v>
      </c>
      <c r="B658" s="33">
        <v>2</v>
      </c>
      <c r="C658" s="33">
        <v>3</v>
      </c>
      <c r="D658" s="33">
        <v>12</v>
      </c>
      <c r="E658" s="104">
        <v>2022</v>
      </c>
      <c r="F658" s="159">
        <v>2032</v>
      </c>
      <c r="G658" s="33">
        <v>8</v>
      </c>
      <c r="H658" s="33">
        <v>48</v>
      </c>
      <c r="I658" s="33">
        <v>5</v>
      </c>
      <c r="J658" s="33">
        <v>0</v>
      </c>
      <c r="K658" s="33">
        <v>0</v>
      </c>
      <c r="L658" s="101">
        <v>5.8616647127784294</v>
      </c>
      <c r="M658" s="108">
        <v>3210.5263157894738</v>
      </c>
      <c r="N658" s="108">
        <v>0</v>
      </c>
      <c r="O658" s="160">
        <v>1000</v>
      </c>
      <c r="P658" s="142">
        <v>0</v>
      </c>
      <c r="Q658" s="160">
        <v>223</v>
      </c>
      <c r="R658" s="149">
        <v>0</v>
      </c>
      <c r="S658" s="116">
        <v>0</v>
      </c>
      <c r="T658" s="116">
        <v>0</v>
      </c>
      <c r="U658" s="33" t="s">
        <v>226</v>
      </c>
      <c r="V658" s="33">
        <v>2015</v>
      </c>
      <c r="W658" s="33">
        <v>1</v>
      </c>
      <c r="X658" s="33">
        <v>0</v>
      </c>
      <c r="Y658" s="33">
        <v>-1.8E-3</v>
      </c>
      <c r="Z658" s="33">
        <v>-1.2E-2</v>
      </c>
      <c r="AA658" s="33">
        <v>0</v>
      </c>
      <c r="AB658" s="33">
        <v>0</v>
      </c>
      <c r="AC658" s="33" t="s">
        <v>202</v>
      </c>
      <c r="AD658" s="158"/>
    </row>
    <row r="659" spans="1:30" s="157" customFormat="1" hidden="1" x14ac:dyDescent="0.2">
      <c r="A659" s="153">
        <f t="shared" si="9"/>
        <v>635</v>
      </c>
      <c r="B659" s="33">
        <v>2</v>
      </c>
      <c r="C659" s="33">
        <v>3</v>
      </c>
      <c r="D659" s="33">
        <v>12</v>
      </c>
      <c r="E659" s="104">
        <v>2022</v>
      </c>
      <c r="F659" s="159">
        <v>2032</v>
      </c>
      <c r="G659" s="33">
        <v>9</v>
      </c>
      <c r="H659" s="33">
        <v>48</v>
      </c>
      <c r="I659" s="33">
        <v>5</v>
      </c>
      <c r="J659" s="33">
        <v>0</v>
      </c>
      <c r="K659" s="33">
        <v>0</v>
      </c>
      <c r="L659" s="101">
        <v>5.8616647127784294</v>
      </c>
      <c r="M659" s="108">
        <v>3210.5263157894738</v>
      </c>
      <c r="N659" s="108">
        <v>0</v>
      </c>
      <c r="O659" s="160">
        <v>1000</v>
      </c>
      <c r="P659" s="142">
        <v>0</v>
      </c>
      <c r="Q659" s="160">
        <v>432</v>
      </c>
      <c r="R659" s="149">
        <v>0</v>
      </c>
      <c r="S659" s="116">
        <v>0</v>
      </c>
      <c r="T659" s="116">
        <v>0</v>
      </c>
      <c r="U659" s="33" t="s">
        <v>226</v>
      </c>
      <c r="V659" s="33">
        <v>2015</v>
      </c>
      <c r="W659" s="33">
        <v>1</v>
      </c>
      <c r="X659" s="33">
        <v>0</v>
      </c>
      <c r="Y659" s="33">
        <v>-1.8E-3</v>
      </c>
      <c r="Z659" s="33">
        <v>-1.2E-2</v>
      </c>
      <c r="AA659" s="33">
        <v>0</v>
      </c>
      <c r="AB659" s="33">
        <v>0</v>
      </c>
      <c r="AC659" s="33" t="s">
        <v>202</v>
      </c>
      <c r="AD659" s="158"/>
    </row>
    <row r="660" spans="1:30" s="157" customFormat="1" hidden="1" x14ac:dyDescent="0.2">
      <c r="A660" s="153">
        <f t="shared" si="9"/>
        <v>636</v>
      </c>
      <c r="B660" s="49">
        <v>2</v>
      </c>
      <c r="C660" s="49">
        <v>3</v>
      </c>
      <c r="D660" s="49">
        <v>12</v>
      </c>
      <c r="E660" s="166">
        <v>2033</v>
      </c>
      <c r="F660" s="49">
        <v>2050</v>
      </c>
      <c r="G660" s="49">
        <v>1</v>
      </c>
      <c r="H660" s="49">
        <v>48</v>
      </c>
      <c r="I660" s="49">
        <v>5</v>
      </c>
      <c r="J660" s="49">
        <v>0</v>
      </c>
      <c r="K660" s="49">
        <v>0</v>
      </c>
      <c r="L660" s="167">
        <v>5.8616647127784294</v>
      </c>
      <c r="M660" s="168">
        <v>3210.5263157894738</v>
      </c>
      <c r="N660" s="168">
        <v>0</v>
      </c>
      <c r="O660" s="51">
        <v>0</v>
      </c>
      <c r="P660" s="51">
        <v>0</v>
      </c>
      <c r="Q660" s="51">
        <v>843</v>
      </c>
      <c r="R660" s="175">
        <v>0</v>
      </c>
      <c r="S660" s="171">
        <v>0</v>
      </c>
      <c r="T660" s="171">
        <v>0</v>
      </c>
      <c r="U660" s="49" t="s">
        <v>226</v>
      </c>
      <c r="V660" s="49">
        <v>2015</v>
      </c>
      <c r="W660" s="49">
        <v>1</v>
      </c>
      <c r="X660" s="49">
        <v>0</v>
      </c>
      <c r="Y660" s="49">
        <v>-1.8E-3</v>
      </c>
      <c r="Z660" s="49">
        <v>-1.2E-2</v>
      </c>
      <c r="AA660" s="49">
        <v>0</v>
      </c>
      <c r="AB660" s="49">
        <v>0</v>
      </c>
      <c r="AC660" s="49" t="s">
        <v>202</v>
      </c>
      <c r="AD660" s="158"/>
    </row>
    <row r="661" spans="1:30" s="157" customFormat="1" hidden="1" x14ac:dyDescent="0.2">
      <c r="A661" s="153">
        <f t="shared" si="9"/>
        <v>637</v>
      </c>
      <c r="B661" s="49">
        <v>2</v>
      </c>
      <c r="C661" s="49">
        <v>3</v>
      </c>
      <c r="D661" s="49">
        <v>12</v>
      </c>
      <c r="E661" s="166">
        <v>2033</v>
      </c>
      <c r="F661" s="49">
        <v>2050</v>
      </c>
      <c r="G661" s="49">
        <v>2</v>
      </c>
      <c r="H661" s="49">
        <v>48</v>
      </c>
      <c r="I661" s="49">
        <v>5</v>
      </c>
      <c r="J661" s="49">
        <v>0</v>
      </c>
      <c r="K661" s="49">
        <v>0</v>
      </c>
      <c r="L661" s="167">
        <v>5.8616647127784294</v>
      </c>
      <c r="M661" s="168">
        <v>3210.5263157894738</v>
      </c>
      <c r="N661" s="168">
        <v>0</v>
      </c>
      <c r="O661" s="51">
        <v>0</v>
      </c>
      <c r="P661" s="51">
        <v>0</v>
      </c>
      <c r="Q661" s="51">
        <v>273</v>
      </c>
      <c r="R661" s="175">
        <v>0</v>
      </c>
      <c r="S661" s="171">
        <v>0</v>
      </c>
      <c r="T661" s="171">
        <v>0</v>
      </c>
      <c r="U661" s="49" t="s">
        <v>226</v>
      </c>
      <c r="V661" s="49">
        <v>2015</v>
      </c>
      <c r="W661" s="49">
        <v>1</v>
      </c>
      <c r="X661" s="49">
        <v>0</v>
      </c>
      <c r="Y661" s="49">
        <v>-1.8E-3</v>
      </c>
      <c r="Z661" s="49">
        <v>-1.2E-2</v>
      </c>
      <c r="AA661" s="49">
        <v>0</v>
      </c>
      <c r="AB661" s="49">
        <v>0</v>
      </c>
      <c r="AC661" s="49" t="s">
        <v>202</v>
      </c>
      <c r="AD661" s="158"/>
    </row>
    <row r="662" spans="1:30" s="157" customFormat="1" x14ac:dyDescent="0.2">
      <c r="A662" s="153">
        <f t="shared" si="9"/>
        <v>638</v>
      </c>
      <c r="B662" s="49">
        <v>2</v>
      </c>
      <c r="C662" s="49">
        <v>3</v>
      </c>
      <c r="D662" s="49">
        <v>12</v>
      </c>
      <c r="E662" s="166">
        <v>2033</v>
      </c>
      <c r="F662" s="49">
        <v>2050</v>
      </c>
      <c r="G662" s="49">
        <v>3</v>
      </c>
      <c r="H662" s="49">
        <v>48</v>
      </c>
      <c r="I662" s="49">
        <v>5</v>
      </c>
      <c r="J662" s="49">
        <v>0</v>
      </c>
      <c r="K662" s="49">
        <v>0</v>
      </c>
      <c r="L662" s="167">
        <v>5.8616647127784294</v>
      </c>
      <c r="M662" s="168">
        <v>3210.5263157894738</v>
      </c>
      <c r="N662" s="168">
        <v>0</v>
      </c>
      <c r="O662" s="51">
        <v>0</v>
      </c>
      <c r="P662" s="51">
        <v>0</v>
      </c>
      <c r="Q662" s="51">
        <v>203</v>
      </c>
      <c r="R662" s="175">
        <v>0</v>
      </c>
      <c r="S662" s="171">
        <v>0</v>
      </c>
      <c r="T662" s="171">
        <v>0</v>
      </c>
      <c r="U662" s="49" t="s">
        <v>226</v>
      </c>
      <c r="V662" s="49">
        <v>2015</v>
      </c>
      <c r="W662" s="49">
        <v>1</v>
      </c>
      <c r="X662" s="49">
        <v>0</v>
      </c>
      <c r="Y662" s="49">
        <v>-1.8E-3</v>
      </c>
      <c r="Z662" s="49">
        <v>-1.2E-2</v>
      </c>
      <c r="AA662" s="49">
        <v>0</v>
      </c>
      <c r="AB662" s="49">
        <v>0</v>
      </c>
      <c r="AC662" s="49" t="s">
        <v>202</v>
      </c>
      <c r="AD662" s="158"/>
    </row>
    <row r="663" spans="1:30" s="157" customFormat="1" hidden="1" x14ac:dyDescent="0.2">
      <c r="A663" s="153">
        <f t="shared" si="9"/>
        <v>639</v>
      </c>
      <c r="B663" s="49">
        <v>2</v>
      </c>
      <c r="C663" s="49">
        <v>3</v>
      </c>
      <c r="D663" s="49">
        <v>12</v>
      </c>
      <c r="E663" s="166">
        <v>2033</v>
      </c>
      <c r="F663" s="49">
        <v>2050</v>
      </c>
      <c r="G663" s="49">
        <v>4</v>
      </c>
      <c r="H663" s="49">
        <v>48</v>
      </c>
      <c r="I663" s="49">
        <v>5</v>
      </c>
      <c r="J663" s="49">
        <v>0</v>
      </c>
      <c r="K663" s="49">
        <v>0</v>
      </c>
      <c r="L663" s="167">
        <v>5.8616647127784294</v>
      </c>
      <c r="M663" s="168">
        <v>3210.5263157894738</v>
      </c>
      <c r="N663" s="168">
        <v>0</v>
      </c>
      <c r="O663" s="51">
        <v>0</v>
      </c>
      <c r="P663" s="51">
        <v>0</v>
      </c>
      <c r="Q663" s="51">
        <v>270</v>
      </c>
      <c r="R663" s="175">
        <v>0</v>
      </c>
      <c r="S663" s="171">
        <v>0</v>
      </c>
      <c r="T663" s="171">
        <v>0</v>
      </c>
      <c r="U663" s="49" t="s">
        <v>226</v>
      </c>
      <c r="V663" s="49">
        <v>2015</v>
      </c>
      <c r="W663" s="49">
        <v>1</v>
      </c>
      <c r="X663" s="49">
        <v>0</v>
      </c>
      <c r="Y663" s="49">
        <v>-1.8E-3</v>
      </c>
      <c r="Z663" s="49">
        <v>-1.2E-2</v>
      </c>
      <c r="AA663" s="49">
        <v>0</v>
      </c>
      <c r="AB663" s="49">
        <v>0</v>
      </c>
      <c r="AC663" s="49" t="s">
        <v>202</v>
      </c>
      <c r="AD663" s="158"/>
    </row>
    <row r="664" spans="1:30" s="157" customFormat="1" hidden="1" x14ac:dyDescent="0.2">
      <c r="A664" s="153">
        <f t="shared" si="9"/>
        <v>640</v>
      </c>
      <c r="B664" s="49">
        <v>2</v>
      </c>
      <c r="C664" s="49">
        <v>3</v>
      </c>
      <c r="D664" s="49">
        <v>12</v>
      </c>
      <c r="E664" s="166">
        <v>2033</v>
      </c>
      <c r="F664" s="49">
        <v>2050</v>
      </c>
      <c r="G664" s="49">
        <v>5</v>
      </c>
      <c r="H664" s="49">
        <v>48</v>
      </c>
      <c r="I664" s="49">
        <v>5</v>
      </c>
      <c r="J664" s="49">
        <v>0</v>
      </c>
      <c r="K664" s="49">
        <v>0</v>
      </c>
      <c r="L664" s="167">
        <v>5.8616647127784294</v>
      </c>
      <c r="M664" s="168">
        <v>3210.5263157894738</v>
      </c>
      <c r="N664" s="168">
        <v>0</v>
      </c>
      <c r="O664" s="51">
        <v>0</v>
      </c>
      <c r="P664" s="51">
        <v>0</v>
      </c>
      <c r="Q664" s="51">
        <v>154</v>
      </c>
      <c r="R664" s="175">
        <v>0</v>
      </c>
      <c r="S664" s="171">
        <v>0</v>
      </c>
      <c r="T664" s="171">
        <v>0</v>
      </c>
      <c r="U664" s="49" t="s">
        <v>226</v>
      </c>
      <c r="V664" s="49">
        <v>2015</v>
      </c>
      <c r="W664" s="49">
        <v>1</v>
      </c>
      <c r="X664" s="49">
        <v>0</v>
      </c>
      <c r="Y664" s="49">
        <v>-1.8E-3</v>
      </c>
      <c r="Z664" s="49">
        <v>-1.2E-2</v>
      </c>
      <c r="AA664" s="49">
        <v>0</v>
      </c>
      <c r="AB664" s="49">
        <v>0</v>
      </c>
      <c r="AC664" s="49" t="s">
        <v>202</v>
      </c>
      <c r="AD664" s="158"/>
    </row>
    <row r="665" spans="1:30" s="157" customFormat="1" hidden="1" x14ac:dyDescent="0.2">
      <c r="A665" s="153">
        <f t="shared" si="9"/>
        <v>641</v>
      </c>
      <c r="B665" s="49">
        <v>2</v>
      </c>
      <c r="C665" s="49">
        <v>3</v>
      </c>
      <c r="D665" s="49">
        <v>12</v>
      </c>
      <c r="E665" s="166">
        <v>2033</v>
      </c>
      <c r="F665" s="49">
        <v>2050</v>
      </c>
      <c r="G665" s="49">
        <v>6</v>
      </c>
      <c r="H665" s="49">
        <v>48</v>
      </c>
      <c r="I665" s="49">
        <v>5</v>
      </c>
      <c r="J665" s="49">
        <v>0</v>
      </c>
      <c r="K665" s="49">
        <v>0</v>
      </c>
      <c r="L665" s="167">
        <v>5.8616647127784294</v>
      </c>
      <c r="M665" s="168">
        <v>3210.5263157894738</v>
      </c>
      <c r="N665" s="168">
        <v>0</v>
      </c>
      <c r="O665" s="51">
        <v>0</v>
      </c>
      <c r="P665" s="51">
        <v>0</v>
      </c>
      <c r="Q665" s="51">
        <v>27</v>
      </c>
      <c r="R665" s="175">
        <v>0</v>
      </c>
      <c r="S665" s="171">
        <v>0</v>
      </c>
      <c r="T665" s="171">
        <v>0</v>
      </c>
      <c r="U665" s="49" t="s">
        <v>226</v>
      </c>
      <c r="V665" s="49">
        <v>2015</v>
      </c>
      <c r="W665" s="49">
        <v>1</v>
      </c>
      <c r="X665" s="49">
        <v>0</v>
      </c>
      <c r="Y665" s="49">
        <v>-1.8E-3</v>
      </c>
      <c r="Z665" s="49">
        <v>-1.2E-2</v>
      </c>
      <c r="AA665" s="49">
        <v>0</v>
      </c>
      <c r="AB665" s="49">
        <v>0</v>
      </c>
      <c r="AC665" s="49" t="s">
        <v>202</v>
      </c>
      <c r="AD665" s="158"/>
    </row>
    <row r="666" spans="1:30" s="157" customFormat="1" hidden="1" x14ac:dyDescent="0.2">
      <c r="A666" s="153">
        <f t="shared" si="9"/>
        <v>642</v>
      </c>
      <c r="B666" s="49">
        <v>2</v>
      </c>
      <c r="C666" s="49">
        <v>3</v>
      </c>
      <c r="D666" s="49">
        <v>12</v>
      </c>
      <c r="E666" s="166">
        <v>2033</v>
      </c>
      <c r="F666" s="49">
        <v>2050</v>
      </c>
      <c r="G666" s="49">
        <v>7</v>
      </c>
      <c r="H666" s="49">
        <v>48</v>
      </c>
      <c r="I666" s="49">
        <v>5</v>
      </c>
      <c r="J666" s="49">
        <v>0</v>
      </c>
      <c r="K666" s="49">
        <v>0</v>
      </c>
      <c r="L666" s="167">
        <v>5.8616647127784294</v>
      </c>
      <c r="M666" s="168">
        <v>3210.5263157894738</v>
      </c>
      <c r="N666" s="168">
        <v>0</v>
      </c>
      <c r="O666" s="51">
        <v>0</v>
      </c>
      <c r="P666" s="51">
        <v>0</v>
      </c>
      <c r="Q666" s="51">
        <v>1230</v>
      </c>
      <c r="R666" s="175">
        <v>0</v>
      </c>
      <c r="S666" s="171">
        <v>0</v>
      </c>
      <c r="T666" s="171">
        <v>0</v>
      </c>
      <c r="U666" s="49" t="s">
        <v>226</v>
      </c>
      <c r="V666" s="49">
        <v>2015</v>
      </c>
      <c r="W666" s="49">
        <v>1</v>
      </c>
      <c r="X666" s="49">
        <v>0</v>
      </c>
      <c r="Y666" s="49">
        <v>-1.8E-3</v>
      </c>
      <c r="Z666" s="49">
        <v>-1.2E-2</v>
      </c>
      <c r="AA666" s="49">
        <v>0</v>
      </c>
      <c r="AB666" s="49">
        <v>0</v>
      </c>
      <c r="AC666" s="49" t="s">
        <v>202</v>
      </c>
      <c r="AD666" s="158"/>
    </row>
    <row r="667" spans="1:30" s="157" customFormat="1" hidden="1" x14ac:dyDescent="0.2">
      <c r="A667" s="153">
        <f t="shared" ref="A667:A730" si="10">A666+1</f>
        <v>643</v>
      </c>
      <c r="B667" s="49">
        <v>2</v>
      </c>
      <c r="C667" s="49">
        <v>3</v>
      </c>
      <c r="D667" s="49">
        <v>12</v>
      </c>
      <c r="E667" s="166">
        <v>2033</v>
      </c>
      <c r="F667" s="49">
        <v>2050</v>
      </c>
      <c r="G667" s="49">
        <v>8</v>
      </c>
      <c r="H667" s="49">
        <v>48</v>
      </c>
      <c r="I667" s="49">
        <v>5</v>
      </c>
      <c r="J667" s="49">
        <v>0</v>
      </c>
      <c r="K667" s="49">
        <v>0</v>
      </c>
      <c r="L667" s="167">
        <v>5.8616647127784294</v>
      </c>
      <c r="M667" s="168">
        <v>3210.5263157894738</v>
      </c>
      <c r="N667" s="168">
        <v>0</v>
      </c>
      <c r="O667" s="51">
        <v>0</v>
      </c>
      <c r="P667" s="51">
        <v>0</v>
      </c>
      <c r="Q667" s="51">
        <v>223</v>
      </c>
      <c r="R667" s="175">
        <v>0</v>
      </c>
      <c r="S667" s="171">
        <v>0</v>
      </c>
      <c r="T667" s="171">
        <v>0</v>
      </c>
      <c r="U667" s="49" t="s">
        <v>226</v>
      </c>
      <c r="V667" s="49">
        <v>2015</v>
      </c>
      <c r="W667" s="49">
        <v>1</v>
      </c>
      <c r="X667" s="49">
        <v>0</v>
      </c>
      <c r="Y667" s="49">
        <v>-1.8E-3</v>
      </c>
      <c r="Z667" s="49">
        <v>-1.2E-2</v>
      </c>
      <c r="AA667" s="49">
        <v>0</v>
      </c>
      <c r="AB667" s="49">
        <v>0</v>
      </c>
      <c r="AC667" s="49" t="s">
        <v>202</v>
      </c>
      <c r="AD667" s="158"/>
    </row>
    <row r="668" spans="1:30" s="157" customFormat="1" hidden="1" x14ac:dyDescent="0.2">
      <c r="A668" s="153">
        <f t="shared" si="10"/>
        <v>644</v>
      </c>
      <c r="B668" s="49">
        <v>2</v>
      </c>
      <c r="C668" s="49">
        <v>3</v>
      </c>
      <c r="D668" s="49">
        <v>12</v>
      </c>
      <c r="E668" s="166">
        <v>2033</v>
      </c>
      <c r="F668" s="49">
        <v>2050</v>
      </c>
      <c r="G668" s="49">
        <v>9</v>
      </c>
      <c r="H668" s="49">
        <v>48</v>
      </c>
      <c r="I668" s="49">
        <v>5</v>
      </c>
      <c r="J668" s="49">
        <v>0</v>
      </c>
      <c r="K668" s="49">
        <v>0</v>
      </c>
      <c r="L668" s="167">
        <v>5.8616647127784294</v>
      </c>
      <c r="M668" s="168">
        <v>3210.5263157894738</v>
      </c>
      <c r="N668" s="168">
        <v>0</v>
      </c>
      <c r="O668" s="51">
        <v>0</v>
      </c>
      <c r="P668" s="51">
        <v>0</v>
      </c>
      <c r="Q668" s="51">
        <v>432</v>
      </c>
      <c r="R668" s="175">
        <v>0</v>
      </c>
      <c r="S668" s="171">
        <v>0</v>
      </c>
      <c r="T668" s="171">
        <v>0</v>
      </c>
      <c r="U668" s="49" t="s">
        <v>226</v>
      </c>
      <c r="V668" s="49">
        <v>2015</v>
      </c>
      <c r="W668" s="49">
        <v>1</v>
      </c>
      <c r="X668" s="49">
        <v>0</v>
      </c>
      <c r="Y668" s="49">
        <v>-1.8E-3</v>
      </c>
      <c r="Z668" s="49">
        <v>-1.2E-2</v>
      </c>
      <c r="AA668" s="49">
        <v>0</v>
      </c>
      <c r="AB668" s="49">
        <v>0</v>
      </c>
      <c r="AC668" s="49" t="s">
        <v>202</v>
      </c>
      <c r="AD668" s="158"/>
    </row>
    <row r="669" spans="1:30" s="139" customFormat="1" hidden="1" x14ac:dyDescent="0.2">
      <c r="A669" s="153">
        <f t="shared" si="10"/>
        <v>645</v>
      </c>
      <c r="B669" s="33">
        <v>2</v>
      </c>
      <c r="C669" s="33">
        <v>4</v>
      </c>
      <c r="D669" s="33">
        <v>13</v>
      </c>
      <c r="E669" s="104">
        <v>2016</v>
      </c>
      <c r="F669" s="33">
        <v>2050</v>
      </c>
      <c r="G669" s="33">
        <v>11</v>
      </c>
      <c r="H669" s="33">
        <v>49</v>
      </c>
      <c r="I669" s="33">
        <v>32</v>
      </c>
      <c r="J669" s="33">
        <v>0</v>
      </c>
      <c r="K669" s="33">
        <v>0</v>
      </c>
      <c r="L669" s="101">
        <v>14.1</v>
      </c>
      <c r="M669" s="108">
        <v>7800</v>
      </c>
      <c r="N669" s="108">
        <v>0</v>
      </c>
      <c r="O669" s="142">
        <v>0</v>
      </c>
      <c r="P669" s="142">
        <v>0</v>
      </c>
      <c r="Q669" s="142">
        <v>0</v>
      </c>
      <c r="R669" s="142">
        <v>0</v>
      </c>
      <c r="S669" s="116">
        <v>0</v>
      </c>
      <c r="T669" s="116">
        <v>0</v>
      </c>
      <c r="U669" s="33" t="s">
        <v>226</v>
      </c>
      <c r="V669" s="33">
        <v>2015</v>
      </c>
      <c r="W669" s="33">
        <v>1</v>
      </c>
      <c r="X669" s="33">
        <v>0</v>
      </c>
      <c r="Y669" s="33">
        <v>-1.8E-3</v>
      </c>
      <c r="Z669" s="33">
        <v>-1.2E-2</v>
      </c>
      <c r="AA669" s="33">
        <v>0</v>
      </c>
      <c r="AB669" s="33">
        <v>0</v>
      </c>
      <c r="AC669" s="33" t="s">
        <v>212</v>
      </c>
      <c r="AD669" s="158"/>
    </row>
    <row r="670" spans="1:30" s="139" customFormat="1" hidden="1" x14ac:dyDescent="0.2">
      <c r="A670" s="153">
        <f t="shared" si="10"/>
        <v>646</v>
      </c>
      <c r="B670" s="33">
        <v>2</v>
      </c>
      <c r="C670" s="33">
        <v>4</v>
      </c>
      <c r="D670" s="33">
        <v>14</v>
      </c>
      <c r="E670" s="104">
        <v>2016</v>
      </c>
      <c r="F670" s="33">
        <v>2050</v>
      </c>
      <c r="G670" s="33">
        <v>11</v>
      </c>
      <c r="H670" s="33">
        <v>50</v>
      </c>
      <c r="I670" s="33">
        <v>33</v>
      </c>
      <c r="J670" s="33">
        <v>0</v>
      </c>
      <c r="K670" s="33">
        <v>0</v>
      </c>
      <c r="L670" s="101">
        <v>17.3</v>
      </c>
      <c r="M670" s="108">
        <v>8075</v>
      </c>
      <c r="N670" s="108">
        <v>0</v>
      </c>
      <c r="O670" s="142">
        <v>0</v>
      </c>
      <c r="P670" s="142">
        <v>0</v>
      </c>
      <c r="Q670" s="142">
        <v>0</v>
      </c>
      <c r="R670" s="142">
        <v>0</v>
      </c>
      <c r="S670" s="116">
        <v>0</v>
      </c>
      <c r="T670" s="116">
        <v>0</v>
      </c>
      <c r="U670" s="33" t="s">
        <v>226</v>
      </c>
      <c r="V670" s="33">
        <v>2015</v>
      </c>
      <c r="W670" s="33">
        <v>1</v>
      </c>
      <c r="X670" s="33">
        <v>0</v>
      </c>
      <c r="Y670" s="33">
        <v>-1.8E-3</v>
      </c>
      <c r="Z670" s="33">
        <v>-1.2E-2</v>
      </c>
      <c r="AA670" s="33">
        <v>0</v>
      </c>
      <c r="AB670" s="33">
        <v>0</v>
      </c>
      <c r="AC670" s="33" t="s">
        <v>213</v>
      </c>
      <c r="AD670" s="158"/>
    </row>
    <row r="671" spans="1:30" customFormat="1" hidden="1" x14ac:dyDescent="0.2">
      <c r="A671" s="153">
        <f t="shared" si="10"/>
        <v>647</v>
      </c>
      <c r="B671" s="33">
        <v>2</v>
      </c>
      <c r="C671" s="33">
        <v>4</v>
      </c>
      <c r="D671" s="33">
        <v>15</v>
      </c>
      <c r="E671" s="104">
        <v>2016</v>
      </c>
      <c r="F671" s="159">
        <v>2019</v>
      </c>
      <c r="G671" s="33">
        <v>1</v>
      </c>
      <c r="H671" s="33">
        <v>51</v>
      </c>
      <c r="I671" s="33">
        <v>34</v>
      </c>
      <c r="J671" s="33">
        <v>0</v>
      </c>
      <c r="K671" s="33">
        <v>0</v>
      </c>
      <c r="L671" s="101">
        <v>17.100000000000001</v>
      </c>
      <c r="M671" s="108">
        <v>8075</v>
      </c>
      <c r="N671" s="108">
        <v>0</v>
      </c>
      <c r="O671" s="142">
        <v>2423</v>
      </c>
      <c r="P671" s="142">
        <v>0</v>
      </c>
      <c r="Q671" s="160">
        <v>1675</v>
      </c>
      <c r="R671" s="142">
        <v>0</v>
      </c>
      <c r="S671" s="116">
        <v>0</v>
      </c>
      <c r="T671" s="116">
        <v>0</v>
      </c>
      <c r="U671" s="33" t="s">
        <v>226</v>
      </c>
      <c r="V671" s="33">
        <v>2015</v>
      </c>
      <c r="W671" s="33">
        <v>1</v>
      </c>
      <c r="X671" s="33">
        <v>0</v>
      </c>
      <c r="Y671" s="33">
        <v>-1.8E-3</v>
      </c>
      <c r="Z671" s="33">
        <v>-1.2E-2</v>
      </c>
      <c r="AA671" s="33">
        <v>0</v>
      </c>
      <c r="AB671" s="33">
        <v>0</v>
      </c>
      <c r="AC671" s="33" t="s">
        <v>349</v>
      </c>
      <c r="AD671" s="158"/>
    </row>
    <row r="672" spans="1:30" customFormat="1" hidden="1" x14ac:dyDescent="0.2">
      <c r="A672" s="153">
        <f t="shared" si="10"/>
        <v>648</v>
      </c>
      <c r="B672" s="33">
        <v>2</v>
      </c>
      <c r="C672" s="33">
        <v>4</v>
      </c>
      <c r="D672" s="33">
        <v>15</v>
      </c>
      <c r="E672" s="104">
        <v>2016</v>
      </c>
      <c r="F672" s="159">
        <v>2019</v>
      </c>
      <c r="G672" s="33">
        <v>2</v>
      </c>
      <c r="H672" s="33">
        <v>51</v>
      </c>
      <c r="I672" s="33">
        <v>34</v>
      </c>
      <c r="J672" s="33">
        <v>0</v>
      </c>
      <c r="K672" s="33">
        <v>0</v>
      </c>
      <c r="L672" s="101">
        <v>17.100000000000001</v>
      </c>
      <c r="M672" s="108">
        <v>8075</v>
      </c>
      <c r="N672" s="108">
        <v>0</v>
      </c>
      <c r="O672" s="142">
        <v>2423</v>
      </c>
      <c r="P672" s="142">
        <v>0</v>
      </c>
      <c r="Q672" s="160">
        <v>871</v>
      </c>
      <c r="R672" s="142">
        <v>0</v>
      </c>
      <c r="S672" s="116">
        <v>0</v>
      </c>
      <c r="T672" s="116">
        <v>0</v>
      </c>
      <c r="U672" s="33" t="s">
        <v>226</v>
      </c>
      <c r="V672" s="33">
        <v>2015</v>
      </c>
      <c r="W672" s="33">
        <v>1</v>
      </c>
      <c r="X672" s="33">
        <v>0</v>
      </c>
      <c r="Y672" s="33">
        <v>-1.8E-3</v>
      </c>
      <c r="Z672" s="33">
        <v>-1.2E-2</v>
      </c>
      <c r="AA672" s="33">
        <v>0</v>
      </c>
      <c r="AB672" s="33">
        <v>0</v>
      </c>
      <c r="AC672" s="33" t="s">
        <v>349</v>
      </c>
      <c r="AD672" s="158"/>
    </row>
    <row r="673" spans="1:30" customFormat="1" x14ac:dyDescent="0.2">
      <c r="A673" s="153">
        <f t="shared" si="10"/>
        <v>649</v>
      </c>
      <c r="B673" s="33">
        <v>2</v>
      </c>
      <c r="C673" s="33">
        <v>4</v>
      </c>
      <c r="D673" s="33">
        <v>15</v>
      </c>
      <c r="E673" s="104">
        <v>2016</v>
      </c>
      <c r="F673" s="159">
        <v>2019</v>
      </c>
      <c r="G673" s="33">
        <v>3</v>
      </c>
      <c r="H673" s="33">
        <v>51</v>
      </c>
      <c r="I673" s="33">
        <v>34</v>
      </c>
      <c r="J673" s="33">
        <v>0</v>
      </c>
      <c r="K673" s="33">
        <v>0</v>
      </c>
      <c r="L673" s="101">
        <v>17.100000000000001</v>
      </c>
      <c r="M673" s="108">
        <v>8075</v>
      </c>
      <c r="N673" s="108">
        <v>0</v>
      </c>
      <c r="O673" s="142">
        <v>2423</v>
      </c>
      <c r="P673" s="142">
        <v>0</v>
      </c>
      <c r="Q673" s="160">
        <v>427</v>
      </c>
      <c r="R673" s="142">
        <v>0</v>
      </c>
      <c r="S673" s="116">
        <v>0</v>
      </c>
      <c r="T673" s="116">
        <v>0</v>
      </c>
      <c r="U673" s="33" t="s">
        <v>226</v>
      </c>
      <c r="V673" s="33">
        <v>2015</v>
      </c>
      <c r="W673" s="33">
        <v>1</v>
      </c>
      <c r="X673" s="33">
        <v>0</v>
      </c>
      <c r="Y673" s="33">
        <v>-1.8E-3</v>
      </c>
      <c r="Z673" s="33">
        <v>-1.2E-2</v>
      </c>
      <c r="AA673" s="33">
        <v>0</v>
      </c>
      <c r="AB673" s="33">
        <v>0</v>
      </c>
      <c r="AC673" s="33" t="s">
        <v>349</v>
      </c>
      <c r="AD673" s="158"/>
    </row>
    <row r="674" spans="1:30" customFormat="1" hidden="1" x14ac:dyDescent="0.2">
      <c r="A674" s="153">
        <f t="shared" si="10"/>
        <v>650</v>
      </c>
      <c r="B674" s="33">
        <v>2</v>
      </c>
      <c r="C674" s="33">
        <v>4</v>
      </c>
      <c r="D674" s="33">
        <v>15</v>
      </c>
      <c r="E674" s="104">
        <v>2016</v>
      </c>
      <c r="F674" s="159">
        <v>2019</v>
      </c>
      <c r="G674" s="33">
        <v>4</v>
      </c>
      <c r="H674" s="33">
        <v>51</v>
      </c>
      <c r="I674" s="33">
        <v>34</v>
      </c>
      <c r="J674" s="33">
        <v>0</v>
      </c>
      <c r="K674" s="33">
        <v>0</v>
      </c>
      <c r="L674" s="101">
        <v>17.100000000000001</v>
      </c>
      <c r="M674" s="108">
        <v>8075</v>
      </c>
      <c r="N674" s="108">
        <v>0</v>
      </c>
      <c r="O674" s="142">
        <v>2423</v>
      </c>
      <c r="P674" s="142">
        <v>0</v>
      </c>
      <c r="Q674" s="160">
        <v>376</v>
      </c>
      <c r="R674" s="142">
        <v>0</v>
      </c>
      <c r="S674" s="116">
        <v>0</v>
      </c>
      <c r="T674" s="116">
        <v>0</v>
      </c>
      <c r="U674" s="33" t="s">
        <v>226</v>
      </c>
      <c r="V674" s="33">
        <v>2015</v>
      </c>
      <c r="W674" s="33">
        <v>1</v>
      </c>
      <c r="X674" s="33">
        <v>0</v>
      </c>
      <c r="Y674" s="33">
        <v>-1.8E-3</v>
      </c>
      <c r="Z674" s="33">
        <v>-1.2E-2</v>
      </c>
      <c r="AA674" s="33">
        <v>0</v>
      </c>
      <c r="AB674" s="33">
        <v>0</v>
      </c>
      <c r="AC674" s="33" t="s">
        <v>349</v>
      </c>
      <c r="AD674" s="158"/>
    </row>
    <row r="675" spans="1:30" customFormat="1" hidden="1" x14ac:dyDescent="0.2">
      <c r="A675" s="153">
        <f t="shared" si="10"/>
        <v>651</v>
      </c>
      <c r="B675" s="33">
        <v>2</v>
      </c>
      <c r="C675" s="33">
        <v>4</v>
      </c>
      <c r="D675" s="33">
        <v>15</v>
      </c>
      <c r="E675" s="104">
        <v>2016</v>
      </c>
      <c r="F675" s="159">
        <v>2019</v>
      </c>
      <c r="G675" s="33">
        <v>5</v>
      </c>
      <c r="H675" s="33">
        <v>51</v>
      </c>
      <c r="I675" s="33">
        <v>34</v>
      </c>
      <c r="J675" s="33">
        <v>0</v>
      </c>
      <c r="K675" s="33">
        <v>0</v>
      </c>
      <c r="L675" s="101">
        <v>17.100000000000001</v>
      </c>
      <c r="M675" s="108">
        <v>8075</v>
      </c>
      <c r="N675" s="108">
        <v>0</v>
      </c>
      <c r="O675" s="142">
        <v>2423</v>
      </c>
      <c r="P675" s="142">
        <v>0</v>
      </c>
      <c r="Q675" s="160">
        <v>194</v>
      </c>
      <c r="R675" s="142">
        <v>0</v>
      </c>
      <c r="S675" s="116">
        <v>0</v>
      </c>
      <c r="T675" s="116">
        <v>0</v>
      </c>
      <c r="U675" s="33" t="s">
        <v>226</v>
      </c>
      <c r="V675" s="33">
        <v>2015</v>
      </c>
      <c r="W675" s="33">
        <v>1</v>
      </c>
      <c r="X675" s="33">
        <v>0</v>
      </c>
      <c r="Y675" s="33">
        <v>-1.8E-3</v>
      </c>
      <c r="Z675" s="33">
        <v>-1.2E-2</v>
      </c>
      <c r="AA675" s="33">
        <v>0</v>
      </c>
      <c r="AB675" s="33">
        <v>0</v>
      </c>
      <c r="AC675" s="33" t="s">
        <v>349</v>
      </c>
      <c r="AD675" s="158"/>
    </row>
    <row r="676" spans="1:30" customFormat="1" hidden="1" x14ac:dyDescent="0.2">
      <c r="A676" s="153">
        <f t="shared" si="10"/>
        <v>652</v>
      </c>
      <c r="B676" s="33">
        <v>2</v>
      </c>
      <c r="C676" s="33">
        <v>4</v>
      </c>
      <c r="D676" s="33">
        <v>15</v>
      </c>
      <c r="E676" s="104">
        <v>2016</v>
      </c>
      <c r="F676" s="159">
        <v>2019</v>
      </c>
      <c r="G676" s="33">
        <v>6</v>
      </c>
      <c r="H676" s="33">
        <v>51</v>
      </c>
      <c r="I676" s="33">
        <v>34</v>
      </c>
      <c r="J676" s="33">
        <v>0</v>
      </c>
      <c r="K676" s="33">
        <v>0</v>
      </c>
      <c r="L676" s="101">
        <v>17.100000000000001</v>
      </c>
      <c r="M676" s="108">
        <v>8075</v>
      </c>
      <c r="N676" s="108">
        <v>0</v>
      </c>
      <c r="O676" s="142">
        <v>2423</v>
      </c>
      <c r="P676" s="142">
        <v>0</v>
      </c>
      <c r="Q676" s="160">
        <v>39</v>
      </c>
      <c r="R676" s="142">
        <v>0</v>
      </c>
      <c r="S676" s="116">
        <v>0</v>
      </c>
      <c r="T676" s="116">
        <v>0</v>
      </c>
      <c r="U676" s="33" t="s">
        <v>226</v>
      </c>
      <c r="V676" s="33">
        <v>2015</v>
      </c>
      <c r="W676" s="33">
        <v>1</v>
      </c>
      <c r="X676" s="33">
        <v>0</v>
      </c>
      <c r="Y676" s="33">
        <v>-1.8E-3</v>
      </c>
      <c r="Z676" s="33">
        <v>-1.2E-2</v>
      </c>
      <c r="AA676" s="33">
        <v>0</v>
      </c>
      <c r="AB676" s="33">
        <v>0</v>
      </c>
      <c r="AC676" s="33" t="s">
        <v>349</v>
      </c>
      <c r="AD676" s="158"/>
    </row>
    <row r="677" spans="1:30" customFormat="1" hidden="1" x14ac:dyDescent="0.2">
      <c r="A677" s="153">
        <f t="shared" si="10"/>
        <v>653</v>
      </c>
      <c r="B677" s="33">
        <v>2</v>
      </c>
      <c r="C677" s="33">
        <v>4</v>
      </c>
      <c r="D677" s="33">
        <v>15</v>
      </c>
      <c r="E677" s="104">
        <v>2016</v>
      </c>
      <c r="F677" s="159">
        <v>2019</v>
      </c>
      <c r="G677" s="33">
        <v>7</v>
      </c>
      <c r="H677" s="33">
        <v>51</v>
      </c>
      <c r="I677" s="33">
        <v>34</v>
      </c>
      <c r="J677" s="33">
        <v>0</v>
      </c>
      <c r="K677" s="33">
        <v>0</v>
      </c>
      <c r="L677" s="101">
        <v>17.100000000000001</v>
      </c>
      <c r="M677" s="108">
        <v>8075</v>
      </c>
      <c r="N677" s="108">
        <v>0</v>
      </c>
      <c r="O677" s="142">
        <v>2423</v>
      </c>
      <c r="P677" s="142">
        <v>0</v>
      </c>
      <c r="Q677" s="160">
        <v>77</v>
      </c>
      <c r="R677" s="142">
        <v>0</v>
      </c>
      <c r="S677" s="116">
        <v>0</v>
      </c>
      <c r="T677" s="116">
        <v>0</v>
      </c>
      <c r="U677" s="33" t="s">
        <v>226</v>
      </c>
      <c r="V677" s="33">
        <v>2015</v>
      </c>
      <c r="W677" s="33">
        <v>1</v>
      </c>
      <c r="X677" s="33">
        <v>0</v>
      </c>
      <c r="Y677" s="33">
        <v>-1.8E-3</v>
      </c>
      <c r="Z677" s="33">
        <v>-1.2E-2</v>
      </c>
      <c r="AA677" s="33">
        <v>0</v>
      </c>
      <c r="AB677" s="33">
        <v>0</v>
      </c>
      <c r="AC677" s="33" t="s">
        <v>349</v>
      </c>
      <c r="AD677" s="158"/>
    </row>
    <row r="678" spans="1:30" customFormat="1" hidden="1" x14ac:dyDescent="0.2">
      <c r="A678" s="153">
        <f t="shared" si="10"/>
        <v>654</v>
      </c>
      <c r="B678" s="33">
        <v>2</v>
      </c>
      <c r="C678" s="33">
        <v>4</v>
      </c>
      <c r="D678" s="33">
        <v>15</v>
      </c>
      <c r="E678" s="104">
        <v>2016</v>
      </c>
      <c r="F678" s="159">
        <v>2019</v>
      </c>
      <c r="G678" s="33">
        <v>8</v>
      </c>
      <c r="H678" s="33">
        <v>51</v>
      </c>
      <c r="I678" s="33">
        <v>34</v>
      </c>
      <c r="J678" s="33">
        <v>0</v>
      </c>
      <c r="K678" s="33">
        <v>0</v>
      </c>
      <c r="L678" s="101">
        <v>17.100000000000001</v>
      </c>
      <c r="M678" s="108">
        <v>8075</v>
      </c>
      <c r="N678" s="108">
        <v>0</v>
      </c>
      <c r="O678" s="142">
        <v>2423</v>
      </c>
      <c r="P678" s="142">
        <v>0</v>
      </c>
      <c r="Q678" s="160">
        <v>289</v>
      </c>
      <c r="R678" s="142">
        <v>0</v>
      </c>
      <c r="S678" s="116">
        <v>0</v>
      </c>
      <c r="T678" s="116">
        <v>0</v>
      </c>
      <c r="U678" s="33" t="s">
        <v>226</v>
      </c>
      <c r="V678" s="33">
        <v>2015</v>
      </c>
      <c r="W678" s="33">
        <v>1</v>
      </c>
      <c r="X678" s="33">
        <v>0</v>
      </c>
      <c r="Y678" s="33">
        <v>-1.8E-3</v>
      </c>
      <c r="Z678" s="33">
        <v>-1.2E-2</v>
      </c>
      <c r="AA678" s="33">
        <v>0</v>
      </c>
      <c r="AB678" s="33">
        <v>0</v>
      </c>
      <c r="AC678" s="33" t="s">
        <v>349</v>
      </c>
      <c r="AD678" s="158"/>
    </row>
    <row r="679" spans="1:30" customFormat="1" hidden="1" x14ac:dyDescent="0.2">
      <c r="A679" s="153">
        <f t="shared" si="10"/>
        <v>655</v>
      </c>
      <c r="B679" s="33">
        <v>2</v>
      </c>
      <c r="C679" s="33">
        <v>4</v>
      </c>
      <c r="D679" s="33">
        <v>15</v>
      </c>
      <c r="E679" s="104">
        <v>2016</v>
      </c>
      <c r="F679" s="159">
        <v>2019</v>
      </c>
      <c r="G679" s="33">
        <v>9</v>
      </c>
      <c r="H679" s="33">
        <v>51</v>
      </c>
      <c r="I679" s="33">
        <v>34</v>
      </c>
      <c r="J679" s="33">
        <v>0</v>
      </c>
      <c r="K679" s="33">
        <v>0</v>
      </c>
      <c r="L679" s="101">
        <v>17.100000000000001</v>
      </c>
      <c r="M679" s="108">
        <v>8075</v>
      </c>
      <c r="N679" s="108">
        <v>0</v>
      </c>
      <c r="O679" s="142">
        <v>2423</v>
      </c>
      <c r="P679" s="142">
        <v>0</v>
      </c>
      <c r="Q679" s="160">
        <v>162</v>
      </c>
      <c r="R679" s="142">
        <v>0</v>
      </c>
      <c r="S679" s="116">
        <v>0</v>
      </c>
      <c r="T679" s="116">
        <v>0</v>
      </c>
      <c r="U679" s="33" t="s">
        <v>226</v>
      </c>
      <c r="V679" s="33">
        <v>2015</v>
      </c>
      <c r="W679" s="33">
        <v>1</v>
      </c>
      <c r="X679" s="33">
        <v>0</v>
      </c>
      <c r="Y679" s="33">
        <v>-1.8E-3</v>
      </c>
      <c r="Z679" s="33">
        <v>-1.2E-2</v>
      </c>
      <c r="AA679" s="33">
        <v>0</v>
      </c>
      <c r="AB679" s="33">
        <v>0</v>
      </c>
      <c r="AC679" s="33" t="s">
        <v>349</v>
      </c>
      <c r="AD679" s="158"/>
    </row>
    <row r="680" spans="1:30" s="157" customFormat="1" hidden="1" x14ac:dyDescent="0.2">
      <c r="A680" s="153">
        <f t="shared" si="10"/>
        <v>656</v>
      </c>
      <c r="B680" s="49">
        <v>2</v>
      </c>
      <c r="C680" s="49">
        <v>4</v>
      </c>
      <c r="D680" s="49">
        <v>15</v>
      </c>
      <c r="E680" s="166">
        <v>2020</v>
      </c>
      <c r="F680" s="49">
        <v>2021</v>
      </c>
      <c r="G680" s="49">
        <v>1</v>
      </c>
      <c r="H680" s="49">
        <v>51</v>
      </c>
      <c r="I680" s="49">
        <v>34</v>
      </c>
      <c r="J680" s="49">
        <v>0</v>
      </c>
      <c r="K680" s="49">
        <v>0</v>
      </c>
      <c r="L680" s="167">
        <v>17.100000000000001</v>
      </c>
      <c r="M680" s="168">
        <v>8075</v>
      </c>
      <c r="N680" s="168">
        <v>0</v>
      </c>
      <c r="O680" s="51">
        <v>2100</v>
      </c>
      <c r="P680" s="51">
        <v>0</v>
      </c>
      <c r="Q680" s="51">
        <v>1675</v>
      </c>
      <c r="R680" s="51">
        <v>0</v>
      </c>
      <c r="S680" s="171">
        <v>0</v>
      </c>
      <c r="T680" s="171">
        <v>0</v>
      </c>
      <c r="U680" s="49" t="s">
        <v>226</v>
      </c>
      <c r="V680" s="49">
        <v>2015</v>
      </c>
      <c r="W680" s="49">
        <v>1</v>
      </c>
      <c r="X680" s="49">
        <v>0</v>
      </c>
      <c r="Y680" s="49">
        <v>-1.8E-3</v>
      </c>
      <c r="Z680" s="49">
        <v>-1.2E-2</v>
      </c>
      <c r="AA680" s="49">
        <v>0</v>
      </c>
      <c r="AB680" s="49">
        <v>0</v>
      </c>
      <c r="AC680" s="49" t="s">
        <v>349</v>
      </c>
      <c r="AD680" s="158"/>
    </row>
    <row r="681" spans="1:30" s="157" customFormat="1" hidden="1" x14ac:dyDescent="0.2">
      <c r="A681" s="153">
        <f t="shared" si="10"/>
        <v>657</v>
      </c>
      <c r="B681" s="49">
        <v>2</v>
      </c>
      <c r="C681" s="49">
        <v>4</v>
      </c>
      <c r="D681" s="49">
        <v>15</v>
      </c>
      <c r="E681" s="166">
        <v>2020</v>
      </c>
      <c r="F681" s="49">
        <v>2021</v>
      </c>
      <c r="G681" s="49">
        <v>2</v>
      </c>
      <c r="H681" s="49">
        <v>51</v>
      </c>
      <c r="I681" s="49">
        <v>34</v>
      </c>
      <c r="J681" s="49">
        <v>0</v>
      </c>
      <c r="K681" s="49">
        <v>0</v>
      </c>
      <c r="L681" s="167">
        <v>17.100000000000001</v>
      </c>
      <c r="M681" s="168">
        <v>8075</v>
      </c>
      <c r="N681" s="168">
        <v>0</v>
      </c>
      <c r="O681" s="51">
        <v>2100</v>
      </c>
      <c r="P681" s="51">
        <v>0</v>
      </c>
      <c r="Q681" s="51">
        <v>871</v>
      </c>
      <c r="R681" s="51">
        <v>0</v>
      </c>
      <c r="S681" s="171">
        <v>0</v>
      </c>
      <c r="T681" s="171">
        <v>0</v>
      </c>
      <c r="U681" s="49" t="s">
        <v>226</v>
      </c>
      <c r="V681" s="49">
        <v>2015</v>
      </c>
      <c r="W681" s="49">
        <v>1</v>
      </c>
      <c r="X681" s="49">
        <v>0</v>
      </c>
      <c r="Y681" s="49">
        <v>-1.8E-3</v>
      </c>
      <c r="Z681" s="49">
        <v>-1.2E-2</v>
      </c>
      <c r="AA681" s="49">
        <v>0</v>
      </c>
      <c r="AB681" s="49">
        <v>0</v>
      </c>
      <c r="AC681" s="49" t="s">
        <v>349</v>
      </c>
      <c r="AD681" s="158"/>
    </row>
    <row r="682" spans="1:30" s="157" customFormat="1" x14ac:dyDescent="0.2">
      <c r="A682" s="153">
        <f t="shared" si="10"/>
        <v>658</v>
      </c>
      <c r="B682" s="49">
        <v>2</v>
      </c>
      <c r="C682" s="49">
        <v>4</v>
      </c>
      <c r="D682" s="49">
        <v>15</v>
      </c>
      <c r="E682" s="166">
        <v>2020</v>
      </c>
      <c r="F682" s="49">
        <v>2021</v>
      </c>
      <c r="G682" s="49">
        <v>3</v>
      </c>
      <c r="H682" s="49">
        <v>51</v>
      </c>
      <c r="I682" s="49">
        <v>34</v>
      </c>
      <c r="J682" s="49">
        <v>0</v>
      </c>
      <c r="K682" s="49">
        <v>0</v>
      </c>
      <c r="L682" s="167">
        <v>17.100000000000001</v>
      </c>
      <c r="M682" s="168">
        <v>8075</v>
      </c>
      <c r="N682" s="168">
        <v>0</v>
      </c>
      <c r="O682" s="51">
        <v>2100</v>
      </c>
      <c r="P682" s="51">
        <v>0</v>
      </c>
      <c r="Q682" s="51">
        <v>427</v>
      </c>
      <c r="R682" s="51">
        <v>0</v>
      </c>
      <c r="S682" s="171">
        <v>0</v>
      </c>
      <c r="T682" s="171">
        <v>0</v>
      </c>
      <c r="U682" s="49" t="s">
        <v>226</v>
      </c>
      <c r="V682" s="49">
        <v>2015</v>
      </c>
      <c r="W682" s="49">
        <v>1</v>
      </c>
      <c r="X682" s="49">
        <v>0</v>
      </c>
      <c r="Y682" s="49">
        <v>-1.8E-3</v>
      </c>
      <c r="Z682" s="49">
        <v>-1.2E-2</v>
      </c>
      <c r="AA682" s="49">
        <v>0</v>
      </c>
      <c r="AB682" s="49">
        <v>0</v>
      </c>
      <c r="AC682" s="49" t="s">
        <v>349</v>
      </c>
      <c r="AD682" s="158"/>
    </row>
    <row r="683" spans="1:30" s="157" customFormat="1" hidden="1" x14ac:dyDescent="0.2">
      <c r="A683" s="153">
        <f t="shared" si="10"/>
        <v>659</v>
      </c>
      <c r="B683" s="49">
        <v>2</v>
      </c>
      <c r="C683" s="49">
        <v>4</v>
      </c>
      <c r="D683" s="49">
        <v>15</v>
      </c>
      <c r="E683" s="166">
        <v>2020</v>
      </c>
      <c r="F683" s="49">
        <v>2021</v>
      </c>
      <c r="G683" s="49">
        <v>4</v>
      </c>
      <c r="H683" s="49">
        <v>51</v>
      </c>
      <c r="I683" s="49">
        <v>34</v>
      </c>
      <c r="J683" s="49">
        <v>0</v>
      </c>
      <c r="K683" s="49">
        <v>0</v>
      </c>
      <c r="L683" s="167">
        <v>17.100000000000001</v>
      </c>
      <c r="M683" s="168">
        <v>8075</v>
      </c>
      <c r="N683" s="168">
        <v>0</v>
      </c>
      <c r="O683" s="51">
        <v>2100</v>
      </c>
      <c r="P683" s="51">
        <v>0</v>
      </c>
      <c r="Q683" s="51">
        <v>376</v>
      </c>
      <c r="R683" s="51">
        <v>0</v>
      </c>
      <c r="S683" s="171">
        <v>0</v>
      </c>
      <c r="T683" s="171">
        <v>0</v>
      </c>
      <c r="U683" s="49" t="s">
        <v>226</v>
      </c>
      <c r="V683" s="49">
        <v>2015</v>
      </c>
      <c r="W683" s="49">
        <v>1</v>
      </c>
      <c r="X683" s="49">
        <v>0</v>
      </c>
      <c r="Y683" s="49">
        <v>-1.8E-3</v>
      </c>
      <c r="Z683" s="49">
        <v>-1.2E-2</v>
      </c>
      <c r="AA683" s="49">
        <v>0</v>
      </c>
      <c r="AB683" s="49">
        <v>0</v>
      </c>
      <c r="AC683" s="49" t="s">
        <v>349</v>
      </c>
      <c r="AD683" s="158"/>
    </row>
    <row r="684" spans="1:30" s="157" customFormat="1" hidden="1" x14ac:dyDescent="0.2">
      <c r="A684" s="153">
        <f t="shared" si="10"/>
        <v>660</v>
      </c>
      <c r="B684" s="49">
        <v>2</v>
      </c>
      <c r="C684" s="49">
        <v>4</v>
      </c>
      <c r="D684" s="49">
        <v>15</v>
      </c>
      <c r="E684" s="166">
        <v>2020</v>
      </c>
      <c r="F684" s="49">
        <v>2021</v>
      </c>
      <c r="G684" s="49">
        <v>5</v>
      </c>
      <c r="H684" s="49">
        <v>51</v>
      </c>
      <c r="I684" s="49">
        <v>34</v>
      </c>
      <c r="J684" s="49">
        <v>0</v>
      </c>
      <c r="K684" s="49">
        <v>0</v>
      </c>
      <c r="L684" s="167">
        <v>17.100000000000001</v>
      </c>
      <c r="M684" s="168">
        <v>8075</v>
      </c>
      <c r="N684" s="168">
        <v>0</v>
      </c>
      <c r="O684" s="51">
        <v>2100</v>
      </c>
      <c r="P684" s="51">
        <v>0</v>
      </c>
      <c r="Q684" s="51">
        <v>194</v>
      </c>
      <c r="R684" s="51">
        <v>0</v>
      </c>
      <c r="S684" s="171">
        <v>0</v>
      </c>
      <c r="T684" s="171">
        <v>0</v>
      </c>
      <c r="U684" s="49" t="s">
        <v>226</v>
      </c>
      <c r="V684" s="49">
        <v>2015</v>
      </c>
      <c r="W684" s="49">
        <v>1</v>
      </c>
      <c r="X684" s="49">
        <v>0</v>
      </c>
      <c r="Y684" s="49">
        <v>-1.8E-3</v>
      </c>
      <c r="Z684" s="49">
        <v>-1.2E-2</v>
      </c>
      <c r="AA684" s="49">
        <v>0</v>
      </c>
      <c r="AB684" s="49">
        <v>0</v>
      </c>
      <c r="AC684" s="49" t="s">
        <v>349</v>
      </c>
      <c r="AD684" s="158"/>
    </row>
    <row r="685" spans="1:30" s="157" customFormat="1" hidden="1" x14ac:dyDescent="0.2">
      <c r="A685" s="153">
        <f t="shared" si="10"/>
        <v>661</v>
      </c>
      <c r="B685" s="49">
        <v>2</v>
      </c>
      <c r="C685" s="49">
        <v>4</v>
      </c>
      <c r="D685" s="49">
        <v>15</v>
      </c>
      <c r="E685" s="166">
        <v>2020</v>
      </c>
      <c r="F685" s="49">
        <v>2021</v>
      </c>
      <c r="G685" s="49">
        <v>6</v>
      </c>
      <c r="H685" s="49">
        <v>51</v>
      </c>
      <c r="I685" s="49">
        <v>34</v>
      </c>
      <c r="J685" s="49">
        <v>0</v>
      </c>
      <c r="K685" s="49">
        <v>0</v>
      </c>
      <c r="L685" s="167">
        <v>17.100000000000001</v>
      </c>
      <c r="M685" s="168">
        <v>8075</v>
      </c>
      <c r="N685" s="168">
        <v>0</v>
      </c>
      <c r="O685" s="51">
        <v>2100</v>
      </c>
      <c r="P685" s="51">
        <v>0</v>
      </c>
      <c r="Q685" s="51">
        <v>39</v>
      </c>
      <c r="R685" s="51">
        <v>0</v>
      </c>
      <c r="S685" s="171">
        <v>0</v>
      </c>
      <c r="T685" s="171">
        <v>0</v>
      </c>
      <c r="U685" s="49" t="s">
        <v>226</v>
      </c>
      <c r="V685" s="49">
        <v>2015</v>
      </c>
      <c r="W685" s="49">
        <v>1</v>
      </c>
      <c r="X685" s="49">
        <v>0</v>
      </c>
      <c r="Y685" s="49">
        <v>-1.8E-3</v>
      </c>
      <c r="Z685" s="49">
        <v>-1.2E-2</v>
      </c>
      <c r="AA685" s="49">
        <v>0</v>
      </c>
      <c r="AB685" s="49">
        <v>0</v>
      </c>
      <c r="AC685" s="49" t="s">
        <v>349</v>
      </c>
      <c r="AD685" s="158"/>
    </row>
    <row r="686" spans="1:30" s="157" customFormat="1" hidden="1" x14ac:dyDescent="0.2">
      <c r="A686" s="153">
        <f t="shared" si="10"/>
        <v>662</v>
      </c>
      <c r="B686" s="49">
        <v>2</v>
      </c>
      <c r="C686" s="49">
        <v>4</v>
      </c>
      <c r="D686" s="49">
        <v>15</v>
      </c>
      <c r="E686" s="166">
        <v>2020</v>
      </c>
      <c r="F686" s="49">
        <v>2021</v>
      </c>
      <c r="G686" s="49">
        <v>7</v>
      </c>
      <c r="H686" s="49">
        <v>51</v>
      </c>
      <c r="I686" s="49">
        <v>34</v>
      </c>
      <c r="J686" s="49">
        <v>0</v>
      </c>
      <c r="K686" s="49">
        <v>0</v>
      </c>
      <c r="L686" s="167">
        <v>17.100000000000001</v>
      </c>
      <c r="M686" s="168">
        <v>8075</v>
      </c>
      <c r="N686" s="168">
        <v>0</v>
      </c>
      <c r="O686" s="51">
        <v>2100</v>
      </c>
      <c r="P686" s="51">
        <v>0</v>
      </c>
      <c r="Q686" s="51">
        <v>77</v>
      </c>
      <c r="R686" s="51">
        <v>0</v>
      </c>
      <c r="S686" s="171">
        <v>0</v>
      </c>
      <c r="T686" s="171">
        <v>0</v>
      </c>
      <c r="U686" s="49" t="s">
        <v>226</v>
      </c>
      <c r="V686" s="49">
        <v>2015</v>
      </c>
      <c r="W686" s="49">
        <v>1</v>
      </c>
      <c r="X686" s="49">
        <v>0</v>
      </c>
      <c r="Y686" s="49">
        <v>-1.8E-3</v>
      </c>
      <c r="Z686" s="49">
        <v>-1.2E-2</v>
      </c>
      <c r="AA686" s="49">
        <v>0</v>
      </c>
      <c r="AB686" s="49">
        <v>0</v>
      </c>
      <c r="AC686" s="49" t="s">
        <v>349</v>
      </c>
      <c r="AD686" s="158"/>
    </row>
    <row r="687" spans="1:30" s="157" customFormat="1" hidden="1" x14ac:dyDescent="0.2">
      <c r="A687" s="153">
        <f t="shared" si="10"/>
        <v>663</v>
      </c>
      <c r="B687" s="49">
        <v>2</v>
      </c>
      <c r="C687" s="49">
        <v>4</v>
      </c>
      <c r="D687" s="49">
        <v>15</v>
      </c>
      <c r="E687" s="166">
        <v>2020</v>
      </c>
      <c r="F687" s="49">
        <v>2021</v>
      </c>
      <c r="G687" s="49">
        <v>8</v>
      </c>
      <c r="H687" s="49">
        <v>51</v>
      </c>
      <c r="I687" s="49">
        <v>34</v>
      </c>
      <c r="J687" s="49">
        <v>0</v>
      </c>
      <c r="K687" s="49">
        <v>0</v>
      </c>
      <c r="L687" s="167">
        <v>17.100000000000001</v>
      </c>
      <c r="M687" s="168">
        <v>8075</v>
      </c>
      <c r="N687" s="168">
        <v>0</v>
      </c>
      <c r="O687" s="51">
        <v>2100</v>
      </c>
      <c r="P687" s="51">
        <v>0</v>
      </c>
      <c r="Q687" s="51">
        <v>289</v>
      </c>
      <c r="R687" s="51">
        <v>0</v>
      </c>
      <c r="S687" s="171">
        <v>0</v>
      </c>
      <c r="T687" s="171">
        <v>0</v>
      </c>
      <c r="U687" s="49" t="s">
        <v>226</v>
      </c>
      <c r="V687" s="49">
        <v>2015</v>
      </c>
      <c r="W687" s="49">
        <v>1</v>
      </c>
      <c r="X687" s="49">
        <v>0</v>
      </c>
      <c r="Y687" s="49">
        <v>-1.8E-3</v>
      </c>
      <c r="Z687" s="49">
        <v>-1.2E-2</v>
      </c>
      <c r="AA687" s="49">
        <v>0</v>
      </c>
      <c r="AB687" s="49">
        <v>0</v>
      </c>
      <c r="AC687" s="49" t="s">
        <v>349</v>
      </c>
      <c r="AD687" s="158"/>
    </row>
    <row r="688" spans="1:30" s="157" customFormat="1" hidden="1" x14ac:dyDescent="0.2">
      <c r="A688" s="153">
        <f t="shared" si="10"/>
        <v>664</v>
      </c>
      <c r="B688" s="49">
        <v>2</v>
      </c>
      <c r="C688" s="49">
        <v>4</v>
      </c>
      <c r="D688" s="49">
        <v>15</v>
      </c>
      <c r="E688" s="166">
        <v>2020</v>
      </c>
      <c r="F688" s="49">
        <v>2021</v>
      </c>
      <c r="G688" s="49">
        <v>9</v>
      </c>
      <c r="H688" s="49">
        <v>51</v>
      </c>
      <c r="I688" s="49">
        <v>34</v>
      </c>
      <c r="J688" s="49">
        <v>0</v>
      </c>
      <c r="K688" s="49">
        <v>0</v>
      </c>
      <c r="L688" s="167">
        <v>17.100000000000001</v>
      </c>
      <c r="M688" s="168">
        <v>8075</v>
      </c>
      <c r="N688" s="168">
        <v>0</v>
      </c>
      <c r="O688" s="51">
        <v>2100</v>
      </c>
      <c r="P688" s="51">
        <v>0</v>
      </c>
      <c r="Q688" s="51">
        <v>162</v>
      </c>
      <c r="R688" s="51">
        <v>0</v>
      </c>
      <c r="S688" s="171">
        <v>0</v>
      </c>
      <c r="T688" s="171">
        <v>0</v>
      </c>
      <c r="U688" s="49" t="s">
        <v>226</v>
      </c>
      <c r="V688" s="49">
        <v>2015</v>
      </c>
      <c r="W688" s="49">
        <v>1</v>
      </c>
      <c r="X688" s="49">
        <v>0</v>
      </c>
      <c r="Y688" s="49">
        <v>-1.8E-3</v>
      </c>
      <c r="Z688" s="49">
        <v>-1.2E-2</v>
      </c>
      <c r="AA688" s="49">
        <v>0</v>
      </c>
      <c r="AB688" s="49">
        <v>0</v>
      </c>
      <c r="AC688" s="49" t="s">
        <v>349</v>
      </c>
      <c r="AD688" s="158"/>
    </row>
    <row r="689" spans="1:30" s="157" customFormat="1" hidden="1" x14ac:dyDescent="0.2">
      <c r="A689" s="153">
        <f t="shared" si="10"/>
        <v>665</v>
      </c>
      <c r="B689" s="49">
        <v>2</v>
      </c>
      <c r="C689" s="49">
        <v>4</v>
      </c>
      <c r="D689" s="49">
        <v>15</v>
      </c>
      <c r="E689" s="166">
        <v>2022</v>
      </c>
      <c r="F689" s="49">
        <v>2032</v>
      </c>
      <c r="G689" s="49">
        <v>1</v>
      </c>
      <c r="H689" s="49">
        <v>51</v>
      </c>
      <c r="I689" s="49">
        <v>34</v>
      </c>
      <c r="J689" s="49">
        <v>0</v>
      </c>
      <c r="K689" s="49">
        <v>0</v>
      </c>
      <c r="L689" s="167">
        <v>17.100000000000001</v>
      </c>
      <c r="M689" s="168">
        <v>8075</v>
      </c>
      <c r="N689" s="168">
        <v>0</v>
      </c>
      <c r="O689" s="51">
        <v>2423</v>
      </c>
      <c r="P689" s="51">
        <v>0</v>
      </c>
      <c r="Q689" s="51">
        <v>1675</v>
      </c>
      <c r="R689" s="51">
        <v>0</v>
      </c>
      <c r="S689" s="171">
        <v>0</v>
      </c>
      <c r="T689" s="171">
        <v>0</v>
      </c>
      <c r="U689" s="49" t="s">
        <v>226</v>
      </c>
      <c r="V689" s="49">
        <v>2015</v>
      </c>
      <c r="W689" s="49">
        <v>1</v>
      </c>
      <c r="X689" s="49">
        <v>0</v>
      </c>
      <c r="Y689" s="49">
        <v>-1.8E-3</v>
      </c>
      <c r="Z689" s="49">
        <v>-1.2E-2</v>
      </c>
      <c r="AA689" s="49">
        <v>0</v>
      </c>
      <c r="AB689" s="49">
        <v>0</v>
      </c>
      <c r="AC689" s="49" t="s">
        <v>349</v>
      </c>
      <c r="AD689" s="158"/>
    </row>
    <row r="690" spans="1:30" s="157" customFormat="1" hidden="1" x14ac:dyDescent="0.2">
      <c r="A690" s="153">
        <f t="shared" si="10"/>
        <v>666</v>
      </c>
      <c r="B690" s="49">
        <v>2</v>
      </c>
      <c r="C690" s="49">
        <v>4</v>
      </c>
      <c r="D690" s="49">
        <v>15</v>
      </c>
      <c r="E690" s="166">
        <v>2022</v>
      </c>
      <c r="F690" s="49">
        <v>2032</v>
      </c>
      <c r="G690" s="49">
        <v>2</v>
      </c>
      <c r="H690" s="49">
        <v>51</v>
      </c>
      <c r="I690" s="49">
        <v>34</v>
      </c>
      <c r="J690" s="49">
        <v>0</v>
      </c>
      <c r="K690" s="49">
        <v>0</v>
      </c>
      <c r="L690" s="167">
        <v>17.100000000000001</v>
      </c>
      <c r="M690" s="168">
        <v>8075</v>
      </c>
      <c r="N690" s="168">
        <v>0</v>
      </c>
      <c r="O690" s="51">
        <v>2423</v>
      </c>
      <c r="P690" s="51">
        <v>0</v>
      </c>
      <c r="Q690" s="51">
        <v>871</v>
      </c>
      <c r="R690" s="51">
        <v>0</v>
      </c>
      <c r="S690" s="171">
        <v>0</v>
      </c>
      <c r="T690" s="171">
        <v>0</v>
      </c>
      <c r="U690" s="49" t="s">
        <v>226</v>
      </c>
      <c r="V690" s="49">
        <v>2015</v>
      </c>
      <c r="W690" s="49">
        <v>1</v>
      </c>
      <c r="X690" s="49">
        <v>0</v>
      </c>
      <c r="Y690" s="49">
        <v>-1.8E-3</v>
      </c>
      <c r="Z690" s="49">
        <v>-1.2E-2</v>
      </c>
      <c r="AA690" s="49">
        <v>0</v>
      </c>
      <c r="AB690" s="49">
        <v>0</v>
      </c>
      <c r="AC690" s="49" t="s">
        <v>349</v>
      </c>
      <c r="AD690" s="158"/>
    </row>
    <row r="691" spans="1:30" s="157" customFormat="1" x14ac:dyDescent="0.2">
      <c r="A691" s="153">
        <f t="shared" si="10"/>
        <v>667</v>
      </c>
      <c r="B691" s="49">
        <v>2</v>
      </c>
      <c r="C691" s="49">
        <v>4</v>
      </c>
      <c r="D691" s="49">
        <v>15</v>
      </c>
      <c r="E691" s="166">
        <v>2022</v>
      </c>
      <c r="F691" s="49">
        <v>2032</v>
      </c>
      <c r="G691" s="49">
        <v>3</v>
      </c>
      <c r="H691" s="49">
        <v>51</v>
      </c>
      <c r="I691" s="49">
        <v>34</v>
      </c>
      <c r="J691" s="49">
        <v>0</v>
      </c>
      <c r="K691" s="49">
        <v>0</v>
      </c>
      <c r="L691" s="167">
        <v>17.100000000000001</v>
      </c>
      <c r="M691" s="168">
        <v>8075</v>
      </c>
      <c r="N691" s="168">
        <v>0</v>
      </c>
      <c r="O691" s="51">
        <v>2423</v>
      </c>
      <c r="P691" s="51">
        <v>0</v>
      </c>
      <c r="Q691" s="51">
        <v>427</v>
      </c>
      <c r="R691" s="51">
        <v>0</v>
      </c>
      <c r="S691" s="171">
        <v>0</v>
      </c>
      <c r="T691" s="171">
        <v>0</v>
      </c>
      <c r="U691" s="49" t="s">
        <v>226</v>
      </c>
      <c r="V691" s="49">
        <v>2015</v>
      </c>
      <c r="W691" s="49">
        <v>1</v>
      </c>
      <c r="X691" s="49">
        <v>0</v>
      </c>
      <c r="Y691" s="49">
        <v>-1.8E-3</v>
      </c>
      <c r="Z691" s="49">
        <v>-1.2E-2</v>
      </c>
      <c r="AA691" s="49">
        <v>0</v>
      </c>
      <c r="AB691" s="49">
        <v>0</v>
      </c>
      <c r="AC691" s="49" t="s">
        <v>349</v>
      </c>
      <c r="AD691" s="158"/>
    </row>
    <row r="692" spans="1:30" s="157" customFormat="1" hidden="1" x14ac:dyDescent="0.2">
      <c r="A692" s="153">
        <f t="shared" si="10"/>
        <v>668</v>
      </c>
      <c r="B692" s="49">
        <v>2</v>
      </c>
      <c r="C692" s="49">
        <v>4</v>
      </c>
      <c r="D692" s="49">
        <v>15</v>
      </c>
      <c r="E692" s="166">
        <v>2022</v>
      </c>
      <c r="F692" s="49">
        <v>2032</v>
      </c>
      <c r="G692" s="49">
        <v>4</v>
      </c>
      <c r="H692" s="49">
        <v>51</v>
      </c>
      <c r="I692" s="49">
        <v>34</v>
      </c>
      <c r="J692" s="49">
        <v>0</v>
      </c>
      <c r="K692" s="49">
        <v>0</v>
      </c>
      <c r="L692" s="167">
        <v>17.100000000000001</v>
      </c>
      <c r="M692" s="168">
        <v>8075</v>
      </c>
      <c r="N692" s="168">
        <v>0</v>
      </c>
      <c r="O692" s="51">
        <v>2423</v>
      </c>
      <c r="P692" s="51">
        <v>0</v>
      </c>
      <c r="Q692" s="51">
        <v>376</v>
      </c>
      <c r="R692" s="51">
        <v>0</v>
      </c>
      <c r="S692" s="171">
        <v>0</v>
      </c>
      <c r="T692" s="171">
        <v>0</v>
      </c>
      <c r="U692" s="49" t="s">
        <v>226</v>
      </c>
      <c r="V692" s="49">
        <v>2015</v>
      </c>
      <c r="W692" s="49">
        <v>1</v>
      </c>
      <c r="X692" s="49">
        <v>0</v>
      </c>
      <c r="Y692" s="49">
        <v>-1.8E-3</v>
      </c>
      <c r="Z692" s="49">
        <v>-1.2E-2</v>
      </c>
      <c r="AA692" s="49">
        <v>0</v>
      </c>
      <c r="AB692" s="49">
        <v>0</v>
      </c>
      <c r="AC692" s="49" t="s">
        <v>349</v>
      </c>
      <c r="AD692" s="158"/>
    </row>
    <row r="693" spans="1:30" s="157" customFormat="1" hidden="1" x14ac:dyDescent="0.2">
      <c r="A693" s="153">
        <f t="shared" si="10"/>
        <v>669</v>
      </c>
      <c r="B693" s="49">
        <v>2</v>
      </c>
      <c r="C693" s="49">
        <v>4</v>
      </c>
      <c r="D693" s="49">
        <v>15</v>
      </c>
      <c r="E693" s="166">
        <v>2022</v>
      </c>
      <c r="F693" s="49">
        <v>2032</v>
      </c>
      <c r="G693" s="49">
        <v>5</v>
      </c>
      <c r="H693" s="49">
        <v>51</v>
      </c>
      <c r="I693" s="49">
        <v>34</v>
      </c>
      <c r="J693" s="49">
        <v>0</v>
      </c>
      <c r="K693" s="49">
        <v>0</v>
      </c>
      <c r="L693" s="167">
        <v>17.100000000000001</v>
      </c>
      <c r="M693" s="168">
        <v>8075</v>
      </c>
      <c r="N693" s="168">
        <v>0</v>
      </c>
      <c r="O693" s="51">
        <v>2423</v>
      </c>
      <c r="P693" s="51">
        <v>0</v>
      </c>
      <c r="Q693" s="51">
        <v>194</v>
      </c>
      <c r="R693" s="51">
        <v>0</v>
      </c>
      <c r="S693" s="171">
        <v>0</v>
      </c>
      <c r="T693" s="171">
        <v>0</v>
      </c>
      <c r="U693" s="49" t="s">
        <v>226</v>
      </c>
      <c r="V693" s="49">
        <v>2015</v>
      </c>
      <c r="W693" s="49">
        <v>1</v>
      </c>
      <c r="X693" s="49">
        <v>0</v>
      </c>
      <c r="Y693" s="49">
        <v>-1.8E-3</v>
      </c>
      <c r="Z693" s="49">
        <v>-1.2E-2</v>
      </c>
      <c r="AA693" s="49">
        <v>0</v>
      </c>
      <c r="AB693" s="49">
        <v>0</v>
      </c>
      <c r="AC693" s="49" t="s">
        <v>349</v>
      </c>
      <c r="AD693" s="158"/>
    </row>
    <row r="694" spans="1:30" s="157" customFormat="1" hidden="1" x14ac:dyDescent="0.2">
      <c r="A694" s="153">
        <f t="shared" si="10"/>
        <v>670</v>
      </c>
      <c r="B694" s="49">
        <v>2</v>
      </c>
      <c r="C694" s="49">
        <v>4</v>
      </c>
      <c r="D694" s="49">
        <v>15</v>
      </c>
      <c r="E694" s="166">
        <v>2022</v>
      </c>
      <c r="F694" s="49">
        <v>2032</v>
      </c>
      <c r="G694" s="49">
        <v>6</v>
      </c>
      <c r="H694" s="49">
        <v>51</v>
      </c>
      <c r="I694" s="49">
        <v>34</v>
      </c>
      <c r="J694" s="49">
        <v>0</v>
      </c>
      <c r="K694" s="49">
        <v>0</v>
      </c>
      <c r="L694" s="167">
        <v>17.100000000000001</v>
      </c>
      <c r="M694" s="168">
        <v>8075</v>
      </c>
      <c r="N694" s="168">
        <v>0</v>
      </c>
      <c r="O694" s="51">
        <v>2423</v>
      </c>
      <c r="P694" s="51">
        <v>0</v>
      </c>
      <c r="Q694" s="51">
        <v>39</v>
      </c>
      <c r="R694" s="51">
        <v>0</v>
      </c>
      <c r="S694" s="171">
        <v>0</v>
      </c>
      <c r="T694" s="171">
        <v>0</v>
      </c>
      <c r="U694" s="49" t="s">
        <v>226</v>
      </c>
      <c r="V694" s="49">
        <v>2015</v>
      </c>
      <c r="W694" s="49">
        <v>1</v>
      </c>
      <c r="X694" s="49">
        <v>0</v>
      </c>
      <c r="Y694" s="49">
        <v>-1.8E-3</v>
      </c>
      <c r="Z694" s="49">
        <v>-1.2E-2</v>
      </c>
      <c r="AA694" s="49">
        <v>0</v>
      </c>
      <c r="AB694" s="49">
        <v>0</v>
      </c>
      <c r="AC694" s="49" t="s">
        <v>349</v>
      </c>
      <c r="AD694" s="158"/>
    </row>
    <row r="695" spans="1:30" s="157" customFormat="1" hidden="1" x14ac:dyDescent="0.2">
      <c r="A695" s="153">
        <f t="shared" si="10"/>
        <v>671</v>
      </c>
      <c r="B695" s="49">
        <v>2</v>
      </c>
      <c r="C695" s="49">
        <v>4</v>
      </c>
      <c r="D695" s="49">
        <v>15</v>
      </c>
      <c r="E695" s="166">
        <v>2022</v>
      </c>
      <c r="F695" s="49">
        <v>2032</v>
      </c>
      <c r="G695" s="49">
        <v>7</v>
      </c>
      <c r="H695" s="49">
        <v>51</v>
      </c>
      <c r="I695" s="49">
        <v>34</v>
      </c>
      <c r="J695" s="49">
        <v>0</v>
      </c>
      <c r="K695" s="49">
        <v>0</v>
      </c>
      <c r="L695" s="167">
        <v>17.100000000000001</v>
      </c>
      <c r="M695" s="168">
        <v>8075</v>
      </c>
      <c r="N695" s="168">
        <v>0</v>
      </c>
      <c r="O695" s="51">
        <v>2423</v>
      </c>
      <c r="P695" s="51">
        <v>0</v>
      </c>
      <c r="Q695" s="51">
        <v>77</v>
      </c>
      <c r="R695" s="51">
        <v>0</v>
      </c>
      <c r="S695" s="171">
        <v>0</v>
      </c>
      <c r="T695" s="171">
        <v>0</v>
      </c>
      <c r="U695" s="49" t="s">
        <v>226</v>
      </c>
      <c r="V695" s="49">
        <v>2015</v>
      </c>
      <c r="W695" s="49">
        <v>1</v>
      </c>
      <c r="X695" s="49">
        <v>0</v>
      </c>
      <c r="Y695" s="49">
        <v>-1.8E-3</v>
      </c>
      <c r="Z695" s="49">
        <v>-1.2E-2</v>
      </c>
      <c r="AA695" s="49">
        <v>0</v>
      </c>
      <c r="AB695" s="49">
        <v>0</v>
      </c>
      <c r="AC695" s="49" t="s">
        <v>349</v>
      </c>
      <c r="AD695" s="158"/>
    </row>
    <row r="696" spans="1:30" s="157" customFormat="1" hidden="1" x14ac:dyDescent="0.2">
      <c r="A696" s="153">
        <f t="shared" si="10"/>
        <v>672</v>
      </c>
      <c r="B696" s="49">
        <v>2</v>
      </c>
      <c r="C696" s="49">
        <v>4</v>
      </c>
      <c r="D696" s="49">
        <v>15</v>
      </c>
      <c r="E696" s="166">
        <v>2022</v>
      </c>
      <c r="F696" s="49">
        <v>2032</v>
      </c>
      <c r="G696" s="49">
        <v>8</v>
      </c>
      <c r="H696" s="49">
        <v>51</v>
      </c>
      <c r="I696" s="49">
        <v>34</v>
      </c>
      <c r="J696" s="49">
        <v>0</v>
      </c>
      <c r="K696" s="49">
        <v>0</v>
      </c>
      <c r="L696" s="167">
        <v>17.100000000000001</v>
      </c>
      <c r="M696" s="168">
        <v>8075</v>
      </c>
      <c r="N696" s="168">
        <v>0</v>
      </c>
      <c r="O696" s="51">
        <v>2423</v>
      </c>
      <c r="P696" s="51">
        <v>0</v>
      </c>
      <c r="Q696" s="51">
        <v>289</v>
      </c>
      <c r="R696" s="51">
        <v>0</v>
      </c>
      <c r="S696" s="171">
        <v>0</v>
      </c>
      <c r="T696" s="171">
        <v>0</v>
      </c>
      <c r="U696" s="49" t="s">
        <v>226</v>
      </c>
      <c r="V696" s="49">
        <v>2015</v>
      </c>
      <c r="W696" s="49">
        <v>1</v>
      </c>
      <c r="X696" s="49">
        <v>0</v>
      </c>
      <c r="Y696" s="49">
        <v>-1.8E-3</v>
      </c>
      <c r="Z696" s="49">
        <v>-1.2E-2</v>
      </c>
      <c r="AA696" s="49">
        <v>0</v>
      </c>
      <c r="AB696" s="49">
        <v>0</v>
      </c>
      <c r="AC696" s="49" t="s">
        <v>349</v>
      </c>
      <c r="AD696" s="158"/>
    </row>
    <row r="697" spans="1:30" s="157" customFormat="1" hidden="1" x14ac:dyDescent="0.2">
      <c r="A697" s="153">
        <f t="shared" si="10"/>
        <v>673</v>
      </c>
      <c r="B697" s="49">
        <v>2</v>
      </c>
      <c r="C697" s="49">
        <v>4</v>
      </c>
      <c r="D697" s="49">
        <v>15</v>
      </c>
      <c r="E697" s="166">
        <v>2022</v>
      </c>
      <c r="F697" s="49">
        <v>2032</v>
      </c>
      <c r="G697" s="49">
        <v>9</v>
      </c>
      <c r="H697" s="49">
        <v>51</v>
      </c>
      <c r="I697" s="49">
        <v>34</v>
      </c>
      <c r="J697" s="49">
        <v>0</v>
      </c>
      <c r="K697" s="49">
        <v>0</v>
      </c>
      <c r="L697" s="167">
        <v>17.100000000000001</v>
      </c>
      <c r="M697" s="168">
        <v>8075</v>
      </c>
      <c r="N697" s="168">
        <v>0</v>
      </c>
      <c r="O697" s="51">
        <v>2423</v>
      </c>
      <c r="P697" s="51">
        <v>0</v>
      </c>
      <c r="Q697" s="51">
        <v>162</v>
      </c>
      <c r="R697" s="51">
        <v>0</v>
      </c>
      <c r="S697" s="171">
        <v>0</v>
      </c>
      <c r="T697" s="171">
        <v>0</v>
      </c>
      <c r="U697" s="49" t="s">
        <v>226</v>
      </c>
      <c r="V697" s="49">
        <v>2015</v>
      </c>
      <c r="W697" s="49">
        <v>1</v>
      </c>
      <c r="X697" s="49">
        <v>0</v>
      </c>
      <c r="Y697" s="49">
        <v>-1.8E-3</v>
      </c>
      <c r="Z697" s="49">
        <v>-1.2E-2</v>
      </c>
      <c r="AA697" s="49">
        <v>0</v>
      </c>
      <c r="AB697" s="49">
        <v>0</v>
      </c>
      <c r="AC697" s="49" t="s">
        <v>349</v>
      </c>
      <c r="AD697" s="158"/>
    </row>
    <row r="698" spans="1:30" hidden="1" x14ac:dyDescent="0.2">
      <c r="A698" s="153">
        <f t="shared" si="10"/>
        <v>674</v>
      </c>
      <c r="B698" s="33">
        <v>2</v>
      </c>
      <c r="C698" s="33">
        <v>4</v>
      </c>
      <c r="D698" s="33">
        <v>15</v>
      </c>
      <c r="E698" s="143">
        <v>2033</v>
      </c>
      <c r="F698" s="159">
        <v>2033</v>
      </c>
      <c r="G698" s="33">
        <v>1</v>
      </c>
      <c r="H698" s="33">
        <v>51</v>
      </c>
      <c r="I698" s="33">
        <v>34</v>
      </c>
      <c r="J698" s="33">
        <v>0</v>
      </c>
      <c r="K698" s="33">
        <v>0</v>
      </c>
      <c r="L698" s="101">
        <v>17.100000000000001</v>
      </c>
      <c r="M698" s="108">
        <v>8075</v>
      </c>
      <c r="N698" s="108">
        <v>0</v>
      </c>
      <c r="O698" s="142">
        <v>2100</v>
      </c>
      <c r="P698" s="142">
        <v>0</v>
      </c>
      <c r="Q698" s="160">
        <v>1675</v>
      </c>
      <c r="R698" s="142">
        <v>0</v>
      </c>
      <c r="S698" s="116">
        <v>0</v>
      </c>
      <c r="T698" s="116">
        <v>0</v>
      </c>
      <c r="U698" s="33" t="s">
        <v>226</v>
      </c>
      <c r="V698" s="33">
        <v>2015</v>
      </c>
      <c r="W698" s="33">
        <v>1</v>
      </c>
      <c r="X698" s="33">
        <v>0</v>
      </c>
      <c r="Y698" s="33">
        <v>-1.8E-3</v>
      </c>
      <c r="Z698" s="33">
        <v>-1.2E-2</v>
      </c>
      <c r="AA698" s="33">
        <v>0</v>
      </c>
      <c r="AB698" s="33">
        <v>0</v>
      </c>
      <c r="AC698" s="33" t="s">
        <v>349</v>
      </c>
    </row>
    <row r="699" spans="1:30" hidden="1" x14ac:dyDescent="0.2">
      <c r="A699" s="153">
        <f t="shared" si="10"/>
        <v>675</v>
      </c>
      <c r="B699" s="33">
        <v>2</v>
      </c>
      <c r="C699" s="33">
        <v>4</v>
      </c>
      <c r="D699" s="33">
        <v>15</v>
      </c>
      <c r="E699" s="143">
        <v>2033</v>
      </c>
      <c r="F699" s="159">
        <v>2033</v>
      </c>
      <c r="G699" s="33">
        <v>2</v>
      </c>
      <c r="H699" s="33">
        <v>51</v>
      </c>
      <c r="I699" s="33">
        <v>34</v>
      </c>
      <c r="J699" s="33">
        <v>0</v>
      </c>
      <c r="K699" s="33">
        <v>0</v>
      </c>
      <c r="L699" s="101">
        <v>17.100000000000001</v>
      </c>
      <c r="M699" s="108">
        <v>8075</v>
      </c>
      <c r="N699" s="108">
        <v>0</v>
      </c>
      <c r="O699" s="142">
        <v>2100</v>
      </c>
      <c r="P699" s="142">
        <v>0</v>
      </c>
      <c r="Q699" s="160">
        <v>871</v>
      </c>
      <c r="R699" s="142">
        <v>0</v>
      </c>
      <c r="S699" s="116">
        <v>0</v>
      </c>
      <c r="T699" s="116">
        <v>0</v>
      </c>
      <c r="U699" s="33" t="s">
        <v>226</v>
      </c>
      <c r="V699" s="33">
        <v>2015</v>
      </c>
      <c r="W699" s="33">
        <v>1</v>
      </c>
      <c r="X699" s="33">
        <v>0</v>
      </c>
      <c r="Y699" s="33">
        <v>-1.8E-3</v>
      </c>
      <c r="Z699" s="33">
        <v>-1.2E-2</v>
      </c>
      <c r="AA699" s="33">
        <v>0</v>
      </c>
      <c r="AB699" s="33">
        <v>0</v>
      </c>
      <c r="AC699" s="33" t="s">
        <v>349</v>
      </c>
    </row>
    <row r="700" spans="1:30" x14ac:dyDescent="0.2">
      <c r="A700" s="153">
        <f t="shared" si="10"/>
        <v>676</v>
      </c>
      <c r="B700" s="33">
        <v>2</v>
      </c>
      <c r="C700" s="33">
        <v>4</v>
      </c>
      <c r="D700" s="33">
        <v>15</v>
      </c>
      <c r="E700" s="143">
        <v>2033</v>
      </c>
      <c r="F700" s="159">
        <v>2033</v>
      </c>
      <c r="G700" s="33">
        <v>3</v>
      </c>
      <c r="H700" s="33">
        <v>51</v>
      </c>
      <c r="I700" s="33">
        <v>34</v>
      </c>
      <c r="J700" s="33">
        <v>0</v>
      </c>
      <c r="K700" s="33">
        <v>0</v>
      </c>
      <c r="L700" s="101">
        <v>17.100000000000001</v>
      </c>
      <c r="M700" s="108">
        <v>8075</v>
      </c>
      <c r="N700" s="108">
        <v>0</v>
      </c>
      <c r="O700" s="142">
        <v>2100</v>
      </c>
      <c r="P700" s="142">
        <v>0</v>
      </c>
      <c r="Q700" s="160">
        <v>427</v>
      </c>
      <c r="R700" s="142">
        <v>0</v>
      </c>
      <c r="S700" s="116">
        <v>0</v>
      </c>
      <c r="T700" s="116">
        <v>0</v>
      </c>
      <c r="U700" s="33" t="s">
        <v>226</v>
      </c>
      <c r="V700" s="33">
        <v>2015</v>
      </c>
      <c r="W700" s="33">
        <v>1</v>
      </c>
      <c r="X700" s="33">
        <v>0</v>
      </c>
      <c r="Y700" s="33">
        <v>-1.8E-3</v>
      </c>
      <c r="Z700" s="33">
        <v>-1.2E-2</v>
      </c>
      <c r="AA700" s="33">
        <v>0</v>
      </c>
      <c r="AB700" s="33">
        <v>0</v>
      </c>
      <c r="AC700" s="33" t="s">
        <v>349</v>
      </c>
    </row>
    <row r="701" spans="1:30" hidden="1" x14ac:dyDescent="0.2">
      <c r="A701" s="153">
        <f t="shared" si="10"/>
        <v>677</v>
      </c>
      <c r="B701" s="33">
        <v>2</v>
      </c>
      <c r="C701" s="33">
        <v>4</v>
      </c>
      <c r="D701" s="33">
        <v>15</v>
      </c>
      <c r="E701" s="143">
        <v>2033</v>
      </c>
      <c r="F701" s="159">
        <v>2033</v>
      </c>
      <c r="G701" s="33">
        <v>4</v>
      </c>
      <c r="H701" s="33">
        <v>51</v>
      </c>
      <c r="I701" s="33">
        <v>34</v>
      </c>
      <c r="J701" s="33">
        <v>0</v>
      </c>
      <c r="K701" s="33">
        <v>0</v>
      </c>
      <c r="L701" s="101">
        <v>17.100000000000001</v>
      </c>
      <c r="M701" s="108">
        <v>8075</v>
      </c>
      <c r="N701" s="108">
        <v>0</v>
      </c>
      <c r="O701" s="142">
        <v>2100</v>
      </c>
      <c r="P701" s="142">
        <v>0</v>
      </c>
      <c r="Q701" s="160">
        <v>376</v>
      </c>
      <c r="R701" s="142">
        <v>0</v>
      </c>
      <c r="S701" s="116">
        <v>0</v>
      </c>
      <c r="T701" s="116">
        <v>0</v>
      </c>
      <c r="U701" s="33" t="s">
        <v>226</v>
      </c>
      <c r="V701" s="33">
        <v>2015</v>
      </c>
      <c r="W701" s="33">
        <v>1</v>
      </c>
      <c r="X701" s="33">
        <v>0</v>
      </c>
      <c r="Y701" s="33">
        <v>-1.8E-3</v>
      </c>
      <c r="Z701" s="33">
        <v>-1.2E-2</v>
      </c>
      <c r="AA701" s="33">
        <v>0</v>
      </c>
      <c r="AB701" s="33">
        <v>0</v>
      </c>
      <c r="AC701" s="33" t="s">
        <v>349</v>
      </c>
    </row>
    <row r="702" spans="1:30" hidden="1" x14ac:dyDescent="0.2">
      <c r="A702" s="153">
        <f t="shared" si="10"/>
        <v>678</v>
      </c>
      <c r="B702" s="33">
        <v>2</v>
      </c>
      <c r="C702" s="33">
        <v>4</v>
      </c>
      <c r="D702" s="33">
        <v>15</v>
      </c>
      <c r="E702" s="143">
        <v>2033</v>
      </c>
      <c r="F702" s="159">
        <v>2033</v>
      </c>
      <c r="G702" s="33">
        <v>5</v>
      </c>
      <c r="H702" s="33">
        <v>51</v>
      </c>
      <c r="I702" s="33">
        <v>34</v>
      </c>
      <c r="J702" s="33">
        <v>0</v>
      </c>
      <c r="K702" s="33">
        <v>0</v>
      </c>
      <c r="L702" s="101">
        <v>17.100000000000001</v>
      </c>
      <c r="M702" s="108">
        <v>8075</v>
      </c>
      <c r="N702" s="108">
        <v>0</v>
      </c>
      <c r="O702" s="142">
        <v>2100</v>
      </c>
      <c r="P702" s="142">
        <v>0</v>
      </c>
      <c r="Q702" s="160">
        <v>194</v>
      </c>
      <c r="R702" s="142">
        <v>0</v>
      </c>
      <c r="S702" s="116">
        <v>0</v>
      </c>
      <c r="T702" s="116">
        <v>0</v>
      </c>
      <c r="U702" s="33" t="s">
        <v>226</v>
      </c>
      <c r="V702" s="33">
        <v>2015</v>
      </c>
      <c r="W702" s="33">
        <v>1</v>
      </c>
      <c r="X702" s="33">
        <v>0</v>
      </c>
      <c r="Y702" s="33">
        <v>-1.8E-3</v>
      </c>
      <c r="Z702" s="33">
        <v>-1.2E-2</v>
      </c>
      <c r="AA702" s="33">
        <v>0</v>
      </c>
      <c r="AB702" s="33">
        <v>0</v>
      </c>
      <c r="AC702" s="33" t="s">
        <v>349</v>
      </c>
    </row>
    <row r="703" spans="1:30" hidden="1" x14ac:dyDescent="0.2">
      <c r="A703" s="153">
        <f t="shared" si="10"/>
        <v>679</v>
      </c>
      <c r="B703" s="33">
        <v>2</v>
      </c>
      <c r="C703" s="33">
        <v>4</v>
      </c>
      <c r="D703" s="33">
        <v>15</v>
      </c>
      <c r="E703" s="143">
        <v>2033</v>
      </c>
      <c r="F703" s="159">
        <v>2033</v>
      </c>
      <c r="G703" s="33">
        <v>6</v>
      </c>
      <c r="H703" s="33">
        <v>51</v>
      </c>
      <c r="I703" s="33">
        <v>34</v>
      </c>
      <c r="J703" s="33">
        <v>0</v>
      </c>
      <c r="K703" s="33">
        <v>0</v>
      </c>
      <c r="L703" s="101">
        <v>17.100000000000001</v>
      </c>
      <c r="M703" s="108">
        <v>8075</v>
      </c>
      <c r="N703" s="108">
        <v>0</v>
      </c>
      <c r="O703" s="142">
        <v>2100</v>
      </c>
      <c r="P703" s="142">
        <v>0</v>
      </c>
      <c r="Q703" s="160">
        <v>39</v>
      </c>
      <c r="R703" s="142">
        <v>0</v>
      </c>
      <c r="S703" s="116">
        <v>0</v>
      </c>
      <c r="T703" s="116">
        <v>0</v>
      </c>
      <c r="U703" s="33" t="s">
        <v>226</v>
      </c>
      <c r="V703" s="33">
        <v>2015</v>
      </c>
      <c r="W703" s="33">
        <v>1</v>
      </c>
      <c r="X703" s="33">
        <v>0</v>
      </c>
      <c r="Y703" s="33">
        <v>-1.8E-3</v>
      </c>
      <c r="Z703" s="33">
        <v>-1.2E-2</v>
      </c>
      <c r="AA703" s="33">
        <v>0</v>
      </c>
      <c r="AB703" s="33">
        <v>0</v>
      </c>
      <c r="AC703" s="33" t="s">
        <v>349</v>
      </c>
    </row>
    <row r="704" spans="1:30" hidden="1" x14ac:dyDescent="0.2">
      <c r="A704" s="153">
        <f t="shared" si="10"/>
        <v>680</v>
      </c>
      <c r="B704" s="33">
        <v>2</v>
      </c>
      <c r="C704" s="33">
        <v>4</v>
      </c>
      <c r="D704" s="33">
        <v>15</v>
      </c>
      <c r="E704" s="143">
        <v>2033</v>
      </c>
      <c r="F704" s="159">
        <v>2033</v>
      </c>
      <c r="G704" s="33">
        <v>7</v>
      </c>
      <c r="H704" s="33">
        <v>51</v>
      </c>
      <c r="I704" s="33">
        <v>34</v>
      </c>
      <c r="J704" s="33">
        <v>0</v>
      </c>
      <c r="K704" s="33">
        <v>0</v>
      </c>
      <c r="L704" s="101">
        <v>17.100000000000001</v>
      </c>
      <c r="M704" s="108">
        <v>8075</v>
      </c>
      <c r="N704" s="108">
        <v>0</v>
      </c>
      <c r="O704" s="142">
        <v>2100</v>
      </c>
      <c r="P704" s="142">
        <v>0</v>
      </c>
      <c r="Q704" s="160">
        <v>77</v>
      </c>
      <c r="R704" s="142">
        <v>0</v>
      </c>
      <c r="S704" s="116">
        <v>0</v>
      </c>
      <c r="T704" s="116">
        <v>0</v>
      </c>
      <c r="U704" s="33" t="s">
        <v>226</v>
      </c>
      <c r="V704" s="33">
        <v>2015</v>
      </c>
      <c r="W704" s="33">
        <v>1</v>
      </c>
      <c r="X704" s="33">
        <v>0</v>
      </c>
      <c r="Y704" s="33">
        <v>-1.8E-3</v>
      </c>
      <c r="Z704" s="33">
        <v>-1.2E-2</v>
      </c>
      <c r="AA704" s="33">
        <v>0</v>
      </c>
      <c r="AB704" s="33">
        <v>0</v>
      </c>
      <c r="AC704" s="33" t="s">
        <v>349</v>
      </c>
    </row>
    <row r="705" spans="1:30" hidden="1" x14ac:dyDescent="0.2">
      <c r="A705" s="153">
        <f t="shared" si="10"/>
        <v>681</v>
      </c>
      <c r="B705" s="33">
        <v>2</v>
      </c>
      <c r="C705" s="33">
        <v>4</v>
      </c>
      <c r="D705" s="33">
        <v>15</v>
      </c>
      <c r="E705" s="143">
        <v>2033</v>
      </c>
      <c r="F705" s="159">
        <v>2033</v>
      </c>
      <c r="G705" s="33">
        <v>8</v>
      </c>
      <c r="H705" s="33">
        <v>51</v>
      </c>
      <c r="I705" s="33">
        <v>34</v>
      </c>
      <c r="J705" s="33">
        <v>0</v>
      </c>
      <c r="K705" s="33">
        <v>0</v>
      </c>
      <c r="L705" s="101">
        <v>17.100000000000001</v>
      </c>
      <c r="M705" s="108">
        <v>8075</v>
      </c>
      <c r="N705" s="108">
        <v>0</v>
      </c>
      <c r="O705" s="142">
        <v>2100</v>
      </c>
      <c r="P705" s="142">
        <v>0</v>
      </c>
      <c r="Q705" s="160">
        <v>289</v>
      </c>
      <c r="R705" s="142">
        <v>0</v>
      </c>
      <c r="S705" s="116">
        <v>0</v>
      </c>
      <c r="T705" s="116">
        <v>0</v>
      </c>
      <c r="U705" s="33" t="s">
        <v>226</v>
      </c>
      <c r="V705" s="33">
        <v>2015</v>
      </c>
      <c r="W705" s="33">
        <v>1</v>
      </c>
      <c r="X705" s="33">
        <v>0</v>
      </c>
      <c r="Y705" s="33">
        <v>-1.8E-3</v>
      </c>
      <c r="Z705" s="33">
        <v>-1.2E-2</v>
      </c>
      <c r="AA705" s="33">
        <v>0</v>
      </c>
      <c r="AB705" s="33">
        <v>0</v>
      </c>
      <c r="AC705" s="33" t="s">
        <v>349</v>
      </c>
    </row>
    <row r="706" spans="1:30" hidden="1" x14ac:dyDescent="0.2">
      <c r="A706" s="153">
        <f t="shared" si="10"/>
        <v>682</v>
      </c>
      <c r="B706" s="33">
        <v>2</v>
      </c>
      <c r="C706" s="33">
        <v>4</v>
      </c>
      <c r="D706" s="33">
        <v>15</v>
      </c>
      <c r="E706" s="143">
        <v>2033</v>
      </c>
      <c r="F706" s="159">
        <v>2033</v>
      </c>
      <c r="G706" s="33">
        <v>9</v>
      </c>
      <c r="H706" s="33">
        <v>51</v>
      </c>
      <c r="I706" s="33">
        <v>34</v>
      </c>
      <c r="J706" s="33">
        <v>0</v>
      </c>
      <c r="K706" s="33">
        <v>0</v>
      </c>
      <c r="L706" s="101">
        <v>17.100000000000001</v>
      </c>
      <c r="M706" s="108">
        <v>8075</v>
      </c>
      <c r="N706" s="108">
        <v>0</v>
      </c>
      <c r="O706" s="142">
        <v>2100</v>
      </c>
      <c r="P706" s="142">
        <v>0</v>
      </c>
      <c r="Q706" s="160">
        <v>162</v>
      </c>
      <c r="R706" s="142">
        <v>0</v>
      </c>
      <c r="S706" s="116">
        <v>0</v>
      </c>
      <c r="T706" s="116">
        <v>0</v>
      </c>
      <c r="U706" s="33" t="s">
        <v>226</v>
      </c>
      <c r="V706" s="33">
        <v>2015</v>
      </c>
      <c r="W706" s="33">
        <v>1</v>
      </c>
      <c r="X706" s="33">
        <v>0</v>
      </c>
      <c r="Y706" s="33">
        <v>-1.8E-3</v>
      </c>
      <c r="Z706" s="33">
        <v>-1.2E-2</v>
      </c>
      <c r="AA706" s="33">
        <v>0</v>
      </c>
      <c r="AB706" s="33">
        <v>0</v>
      </c>
      <c r="AC706" s="33" t="s">
        <v>349</v>
      </c>
    </row>
    <row r="707" spans="1:30" customFormat="1" hidden="1" x14ac:dyDescent="0.2">
      <c r="A707" s="153">
        <f t="shared" si="10"/>
        <v>683</v>
      </c>
      <c r="B707" s="33">
        <v>2</v>
      </c>
      <c r="C707" s="33">
        <v>4</v>
      </c>
      <c r="D707" s="33">
        <v>15</v>
      </c>
      <c r="E707" s="143">
        <v>2034</v>
      </c>
      <c r="F707" s="159">
        <v>2034</v>
      </c>
      <c r="G707" s="33">
        <v>1</v>
      </c>
      <c r="H707" s="33">
        <v>51</v>
      </c>
      <c r="I707" s="33">
        <v>34</v>
      </c>
      <c r="J707" s="33">
        <v>0</v>
      </c>
      <c r="K707" s="33">
        <v>0</v>
      </c>
      <c r="L707" s="101">
        <v>17.100000000000001</v>
      </c>
      <c r="M707" s="108">
        <v>8075</v>
      </c>
      <c r="N707" s="108">
        <v>0</v>
      </c>
      <c r="O707" s="142">
        <v>1777</v>
      </c>
      <c r="P707" s="142">
        <v>0</v>
      </c>
      <c r="Q707" s="141">
        <v>1675</v>
      </c>
      <c r="R707" s="149">
        <v>0</v>
      </c>
      <c r="S707" s="116">
        <v>0</v>
      </c>
      <c r="T707" s="116">
        <v>0</v>
      </c>
      <c r="U707" s="33" t="s">
        <v>226</v>
      </c>
      <c r="V707" s="33">
        <v>2015</v>
      </c>
      <c r="W707" s="33">
        <v>1</v>
      </c>
      <c r="X707" s="33">
        <v>0</v>
      </c>
      <c r="Y707" s="33">
        <v>-1.8E-3</v>
      </c>
      <c r="Z707" s="33">
        <v>-1.2E-2</v>
      </c>
      <c r="AA707" s="33">
        <v>0</v>
      </c>
      <c r="AB707" s="33">
        <v>0</v>
      </c>
      <c r="AC707" s="33" t="s">
        <v>349</v>
      </c>
      <c r="AD707" s="158"/>
    </row>
    <row r="708" spans="1:30" customFormat="1" hidden="1" x14ac:dyDescent="0.2">
      <c r="A708" s="153">
        <f t="shared" si="10"/>
        <v>684</v>
      </c>
      <c r="B708" s="33">
        <v>2</v>
      </c>
      <c r="C708" s="33">
        <v>4</v>
      </c>
      <c r="D708" s="33">
        <v>15</v>
      </c>
      <c r="E708" s="143">
        <v>2034</v>
      </c>
      <c r="F708" s="159">
        <v>2034</v>
      </c>
      <c r="G708" s="33">
        <v>2</v>
      </c>
      <c r="H708" s="33">
        <v>51</v>
      </c>
      <c r="I708" s="33">
        <v>34</v>
      </c>
      <c r="J708" s="33">
        <v>0</v>
      </c>
      <c r="K708" s="33">
        <v>0</v>
      </c>
      <c r="L708" s="101">
        <v>17.100000000000001</v>
      </c>
      <c r="M708" s="108">
        <v>8075</v>
      </c>
      <c r="N708" s="108">
        <v>0</v>
      </c>
      <c r="O708" s="142">
        <v>1777</v>
      </c>
      <c r="P708" s="142">
        <v>0</v>
      </c>
      <c r="Q708" s="141">
        <v>871</v>
      </c>
      <c r="R708" s="149">
        <v>0</v>
      </c>
      <c r="S708" s="116">
        <v>0</v>
      </c>
      <c r="T708" s="116">
        <v>0</v>
      </c>
      <c r="U708" s="33" t="s">
        <v>226</v>
      </c>
      <c r="V708" s="33">
        <v>2015</v>
      </c>
      <c r="W708" s="33">
        <v>1</v>
      </c>
      <c r="X708" s="33">
        <v>0</v>
      </c>
      <c r="Y708" s="33">
        <v>-1.8E-3</v>
      </c>
      <c r="Z708" s="33">
        <v>-1.2E-2</v>
      </c>
      <c r="AA708" s="33">
        <v>0</v>
      </c>
      <c r="AB708" s="33">
        <v>0</v>
      </c>
      <c r="AC708" s="33" t="s">
        <v>349</v>
      </c>
      <c r="AD708" s="158"/>
    </row>
    <row r="709" spans="1:30" customFormat="1" x14ac:dyDescent="0.2">
      <c r="A709" s="153">
        <f t="shared" si="10"/>
        <v>685</v>
      </c>
      <c r="B709" s="33">
        <v>2</v>
      </c>
      <c r="C709" s="33">
        <v>4</v>
      </c>
      <c r="D709" s="33">
        <v>15</v>
      </c>
      <c r="E709" s="143">
        <v>2034</v>
      </c>
      <c r="F709" s="159">
        <v>2034</v>
      </c>
      <c r="G709" s="33">
        <v>3</v>
      </c>
      <c r="H709" s="33">
        <v>51</v>
      </c>
      <c r="I709" s="33">
        <v>34</v>
      </c>
      <c r="J709" s="33">
        <v>0</v>
      </c>
      <c r="K709" s="33">
        <v>0</v>
      </c>
      <c r="L709" s="101">
        <v>17.100000000000001</v>
      </c>
      <c r="M709" s="108">
        <v>8075</v>
      </c>
      <c r="N709" s="108">
        <v>0</v>
      </c>
      <c r="O709" s="142">
        <v>1777</v>
      </c>
      <c r="P709" s="142">
        <v>0</v>
      </c>
      <c r="Q709" s="141">
        <v>427</v>
      </c>
      <c r="R709" s="149">
        <v>0</v>
      </c>
      <c r="S709" s="116">
        <v>0</v>
      </c>
      <c r="T709" s="116">
        <v>0</v>
      </c>
      <c r="U709" s="33" t="s">
        <v>226</v>
      </c>
      <c r="V709" s="33">
        <v>2015</v>
      </c>
      <c r="W709" s="33">
        <v>1</v>
      </c>
      <c r="X709" s="33">
        <v>0</v>
      </c>
      <c r="Y709" s="33">
        <v>-1.8E-3</v>
      </c>
      <c r="Z709" s="33">
        <v>-1.2E-2</v>
      </c>
      <c r="AA709" s="33">
        <v>0</v>
      </c>
      <c r="AB709" s="33">
        <v>0</v>
      </c>
      <c r="AC709" s="33" t="s">
        <v>349</v>
      </c>
      <c r="AD709" s="158"/>
    </row>
    <row r="710" spans="1:30" customFormat="1" hidden="1" x14ac:dyDescent="0.2">
      <c r="A710" s="153">
        <f t="shared" si="10"/>
        <v>686</v>
      </c>
      <c r="B710" s="33">
        <v>2</v>
      </c>
      <c r="C710" s="33">
        <v>4</v>
      </c>
      <c r="D710" s="33">
        <v>15</v>
      </c>
      <c r="E710" s="143">
        <v>2034</v>
      </c>
      <c r="F710" s="159">
        <v>2034</v>
      </c>
      <c r="G710" s="33">
        <v>4</v>
      </c>
      <c r="H710" s="33">
        <v>51</v>
      </c>
      <c r="I710" s="33">
        <v>34</v>
      </c>
      <c r="J710" s="33">
        <v>0</v>
      </c>
      <c r="K710" s="33">
        <v>0</v>
      </c>
      <c r="L710" s="101">
        <v>17.100000000000001</v>
      </c>
      <c r="M710" s="108">
        <v>8075</v>
      </c>
      <c r="N710" s="108">
        <v>0</v>
      </c>
      <c r="O710" s="142">
        <v>1777</v>
      </c>
      <c r="P710" s="142">
        <v>0</v>
      </c>
      <c r="Q710" s="141">
        <v>376</v>
      </c>
      <c r="R710" s="149">
        <v>0</v>
      </c>
      <c r="S710" s="116">
        <v>0</v>
      </c>
      <c r="T710" s="116">
        <v>0</v>
      </c>
      <c r="U710" s="33" t="s">
        <v>226</v>
      </c>
      <c r="V710" s="33">
        <v>2015</v>
      </c>
      <c r="W710" s="33">
        <v>1</v>
      </c>
      <c r="X710" s="33">
        <v>0</v>
      </c>
      <c r="Y710" s="33">
        <v>-1.8E-3</v>
      </c>
      <c r="Z710" s="33">
        <v>-1.2E-2</v>
      </c>
      <c r="AA710" s="33">
        <v>0</v>
      </c>
      <c r="AB710" s="33">
        <v>0</v>
      </c>
      <c r="AC710" s="33" t="s">
        <v>349</v>
      </c>
      <c r="AD710" s="158"/>
    </row>
    <row r="711" spans="1:30" customFormat="1" hidden="1" x14ac:dyDescent="0.2">
      <c r="A711" s="153">
        <f t="shared" si="10"/>
        <v>687</v>
      </c>
      <c r="B711" s="33">
        <v>2</v>
      </c>
      <c r="C711" s="33">
        <v>4</v>
      </c>
      <c r="D711" s="33">
        <v>15</v>
      </c>
      <c r="E711" s="143">
        <v>2034</v>
      </c>
      <c r="F711" s="159">
        <v>2034</v>
      </c>
      <c r="G711" s="33">
        <v>5</v>
      </c>
      <c r="H711" s="33">
        <v>51</v>
      </c>
      <c r="I711" s="33">
        <v>34</v>
      </c>
      <c r="J711" s="33">
        <v>0</v>
      </c>
      <c r="K711" s="33">
        <v>0</v>
      </c>
      <c r="L711" s="101">
        <v>17.100000000000001</v>
      </c>
      <c r="M711" s="108">
        <v>8075</v>
      </c>
      <c r="N711" s="108">
        <v>0</v>
      </c>
      <c r="O711" s="142">
        <v>1777</v>
      </c>
      <c r="P711" s="142">
        <v>0</v>
      </c>
      <c r="Q711" s="141">
        <v>194</v>
      </c>
      <c r="R711" s="149">
        <v>0</v>
      </c>
      <c r="S711" s="116">
        <v>0</v>
      </c>
      <c r="T711" s="116">
        <v>0</v>
      </c>
      <c r="U711" s="33" t="s">
        <v>226</v>
      </c>
      <c r="V711" s="33">
        <v>2015</v>
      </c>
      <c r="W711" s="33">
        <v>1</v>
      </c>
      <c r="X711" s="33">
        <v>0</v>
      </c>
      <c r="Y711" s="33">
        <v>-1.8E-3</v>
      </c>
      <c r="Z711" s="33">
        <v>-1.2E-2</v>
      </c>
      <c r="AA711" s="33">
        <v>0</v>
      </c>
      <c r="AB711" s="33">
        <v>0</v>
      </c>
      <c r="AC711" s="33" t="s">
        <v>349</v>
      </c>
      <c r="AD711" s="158"/>
    </row>
    <row r="712" spans="1:30" customFormat="1" hidden="1" x14ac:dyDescent="0.2">
      <c r="A712" s="153">
        <f t="shared" si="10"/>
        <v>688</v>
      </c>
      <c r="B712" s="33">
        <v>2</v>
      </c>
      <c r="C712" s="33">
        <v>4</v>
      </c>
      <c r="D712" s="33">
        <v>15</v>
      </c>
      <c r="E712" s="143">
        <v>2034</v>
      </c>
      <c r="F712" s="159">
        <v>2034</v>
      </c>
      <c r="G712" s="33">
        <v>6</v>
      </c>
      <c r="H712" s="33">
        <v>51</v>
      </c>
      <c r="I712" s="33">
        <v>34</v>
      </c>
      <c r="J712" s="33">
        <v>0</v>
      </c>
      <c r="K712" s="33">
        <v>0</v>
      </c>
      <c r="L712" s="101">
        <v>17.100000000000001</v>
      </c>
      <c r="M712" s="108">
        <v>8075</v>
      </c>
      <c r="N712" s="108">
        <v>0</v>
      </c>
      <c r="O712" s="142">
        <v>1777</v>
      </c>
      <c r="P712" s="142">
        <v>0</v>
      </c>
      <c r="Q712" s="141">
        <v>39</v>
      </c>
      <c r="R712" s="149">
        <v>0</v>
      </c>
      <c r="S712" s="116">
        <v>0</v>
      </c>
      <c r="T712" s="116">
        <v>0</v>
      </c>
      <c r="U712" s="33" t="s">
        <v>226</v>
      </c>
      <c r="V712" s="33">
        <v>2015</v>
      </c>
      <c r="W712" s="33">
        <v>1</v>
      </c>
      <c r="X712" s="33">
        <v>0</v>
      </c>
      <c r="Y712" s="33">
        <v>-1.8E-3</v>
      </c>
      <c r="Z712" s="33">
        <v>-1.2E-2</v>
      </c>
      <c r="AA712" s="33">
        <v>0</v>
      </c>
      <c r="AB712" s="33">
        <v>0</v>
      </c>
      <c r="AC712" s="33" t="s">
        <v>349</v>
      </c>
      <c r="AD712" s="158"/>
    </row>
    <row r="713" spans="1:30" customFormat="1" hidden="1" x14ac:dyDescent="0.2">
      <c r="A713" s="153">
        <f t="shared" si="10"/>
        <v>689</v>
      </c>
      <c r="B713" s="33">
        <v>2</v>
      </c>
      <c r="C713" s="33">
        <v>4</v>
      </c>
      <c r="D713" s="33">
        <v>15</v>
      </c>
      <c r="E713" s="143">
        <v>2034</v>
      </c>
      <c r="F713" s="159">
        <v>2034</v>
      </c>
      <c r="G713" s="33">
        <v>7</v>
      </c>
      <c r="H713" s="33">
        <v>51</v>
      </c>
      <c r="I713" s="33">
        <v>34</v>
      </c>
      <c r="J713" s="33">
        <v>0</v>
      </c>
      <c r="K713" s="33">
        <v>0</v>
      </c>
      <c r="L713" s="101">
        <v>17.100000000000001</v>
      </c>
      <c r="M713" s="108">
        <v>8075</v>
      </c>
      <c r="N713" s="108">
        <v>0</v>
      </c>
      <c r="O713" s="142">
        <v>1777</v>
      </c>
      <c r="P713" s="142">
        <v>0</v>
      </c>
      <c r="Q713" s="141">
        <v>77</v>
      </c>
      <c r="R713" s="149">
        <v>0</v>
      </c>
      <c r="S713" s="116">
        <v>0</v>
      </c>
      <c r="T713" s="116">
        <v>0</v>
      </c>
      <c r="U713" s="33" t="s">
        <v>226</v>
      </c>
      <c r="V713" s="33">
        <v>2015</v>
      </c>
      <c r="W713" s="33">
        <v>1</v>
      </c>
      <c r="X713" s="33">
        <v>0</v>
      </c>
      <c r="Y713" s="33">
        <v>-1.8E-3</v>
      </c>
      <c r="Z713" s="33">
        <v>-1.2E-2</v>
      </c>
      <c r="AA713" s="33">
        <v>0</v>
      </c>
      <c r="AB713" s="33">
        <v>0</v>
      </c>
      <c r="AC713" s="33" t="s">
        <v>349</v>
      </c>
      <c r="AD713" s="158"/>
    </row>
    <row r="714" spans="1:30" customFormat="1" hidden="1" x14ac:dyDescent="0.2">
      <c r="A714" s="153">
        <f t="shared" si="10"/>
        <v>690</v>
      </c>
      <c r="B714" s="33">
        <v>2</v>
      </c>
      <c r="C714" s="33">
        <v>4</v>
      </c>
      <c r="D714" s="33">
        <v>15</v>
      </c>
      <c r="E714" s="143">
        <v>2034</v>
      </c>
      <c r="F714" s="159">
        <v>2034</v>
      </c>
      <c r="G714" s="33">
        <v>8</v>
      </c>
      <c r="H714" s="33">
        <v>51</v>
      </c>
      <c r="I714" s="33">
        <v>34</v>
      </c>
      <c r="J714" s="33">
        <v>0</v>
      </c>
      <c r="K714" s="33">
        <v>0</v>
      </c>
      <c r="L714" s="101">
        <v>17.100000000000001</v>
      </c>
      <c r="M714" s="108">
        <v>8075</v>
      </c>
      <c r="N714" s="108">
        <v>0</v>
      </c>
      <c r="O714" s="142">
        <v>1777</v>
      </c>
      <c r="P714" s="142">
        <v>0</v>
      </c>
      <c r="Q714" s="141">
        <v>289</v>
      </c>
      <c r="R714" s="149">
        <v>0</v>
      </c>
      <c r="S714" s="116">
        <v>0</v>
      </c>
      <c r="T714" s="116">
        <v>0</v>
      </c>
      <c r="U714" s="33" t="s">
        <v>226</v>
      </c>
      <c r="V714" s="33">
        <v>2015</v>
      </c>
      <c r="W714" s="33">
        <v>1</v>
      </c>
      <c r="X714" s="33">
        <v>0</v>
      </c>
      <c r="Y714" s="33">
        <v>-1.8E-3</v>
      </c>
      <c r="Z714" s="33">
        <v>-1.2E-2</v>
      </c>
      <c r="AA714" s="33">
        <v>0</v>
      </c>
      <c r="AB714" s="33">
        <v>0</v>
      </c>
      <c r="AC714" s="33" t="s">
        <v>349</v>
      </c>
      <c r="AD714" s="158"/>
    </row>
    <row r="715" spans="1:30" customFormat="1" hidden="1" x14ac:dyDescent="0.2">
      <c r="A715" s="153">
        <f t="shared" si="10"/>
        <v>691</v>
      </c>
      <c r="B715" s="33">
        <v>2</v>
      </c>
      <c r="C715" s="33">
        <v>4</v>
      </c>
      <c r="D715" s="33">
        <v>15</v>
      </c>
      <c r="E715" s="143">
        <v>2034</v>
      </c>
      <c r="F715" s="159">
        <v>2034</v>
      </c>
      <c r="G715" s="33">
        <v>9</v>
      </c>
      <c r="H715" s="33">
        <v>51</v>
      </c>
      <c r="I715" s="33">
        <v>34</v>
      </c>
      <c r="J715" s="33">
        <v>0</v>
      </c>
      <c r="K715" s="33">
        <v>0</v>
      </c>
      <c r="L715" s="101">
        <v>17.100000000000001</v>
      </c>
      <c r="M715" s="108">
        <v>8075</v>
      </c>
      <c r="N715" s="108">
        <v>0</v>
      </c>
      <c r="O715" s="142">
        <v>1777</v>
      </c>
      <c r="P715" s="142">
        <v>0</v>
      </c>
      <c r="Q715" s="141">
        <v>162</v>
      </c>
      <c r="R715" s="149">
        <v>0</v>
      </c>
      <c r="S715" s="116">
        <v>0</v>
      </c>
      <c r="T715" s="116">
        <v>0</v>
      </c>
      <c r="U715" s="33" t="s">
        <v>226</v>
      </c>
      <c r="V715" s="33">
        <v>2015</v>
      </c>
      <c r="W715" s="33">
        <v>1</v>
      </c>
      <c r="X715" s="33">
        <v>0</v>
      </c>
      <c r="Y715" s="33">
        <v>-1.8E-3</v>
      </c>
      <c r="Z715" s="33">
        <v>-1.2E-2</v>
      </c>
      <c r="AA715" s="33">
        <v>0</v>
      </c>
      <c r="AB715" s="33">
        <v>0</v>
      </c>
      <c r="AC715" s="33" t="s">
        <v>349</v>
      </c>
      <c r="AD715" s="158"/>
    </row>
    <row r="716" spans="1:30" customFormat="1" hidden="1" x14ac:dyDescent="0.2">
      <c r="A716" s="153">
        <f t="shared" si="10"/>
        <v>692</v>
      </c>
      <c r="B716" s="33">
        <v>2</v>
      </c>
      <c r="C716" s="33">
        <v>4</v>
      </c>
      <c r="D716" s="33">
        <v>15</v>
      </c>
      <c r="E716" s="143">
        <v>2035</v>
      </c>
      <c r="F716" s="33">
        <v>2050</v>
      </c>
      <c r="G716" s="33">
        <v>1</v>
      </c>
      <c r="H716" s="33">
        <v>51</v>
      </c>
      <c r="I716" s="33">
        <v>34</v>
      </c>
      <c r="J716" s="33">
        <v>0</v>
      </c>
      <c r="K716" s="33">
        <v>0</v>
      </c>
      <c r="L716" s="101">
        <v>17.100000000000001</v>
      </c>
      <c r="M716" s="108">
        <v>8075</v>
      </c>
      <c r="N716" s="108">
        <v>0</v>
      </c>
      <c r="O716" s="142">
        <v>0</v>
      </c>
      <c r="P716" s="142">
        <v>0</v>
      </c>
      <c r="Q716" s="141">
        <v>1675</v>
      </c>
      <c r="R716" s="149">
        <v>0</v>
      </c>
      <c r="S716" s="116">
        <v>0</v>
      </c>
      <c r="T716" s="116">
        <v>0</v>
      </c>
      <c r="U716" s="33" t="s">
        <v>226</v>
      </c>
      <c r="V716" s="33">
        <v>2015</v>
      </c>
      <c r="W716" s="33">
        <v>1</v>
      </c>
      <c r="X716" s="33">
        <v>0</v>
      </c>
      <c r="Y716" s="33">
        <v>-1.8E-3</v>
      </c>
      <c r="Z716" s="33">
        <v>-1.2E-2</v>
      </c>
      <c r="AA716" s="33">
        <v>0</v>
      </c>
      <c r="AB716" s="33">
        <v>0</v>
      </c>
      <c r="AC716" s="33" t="s">
        <v>349</v>
      </c>
      <c r="AD716" s="158"/>
    </row>
    <row r="717" spans="1:30" customFormat="1" hidden="1" x14ac:dyDescent="0.2">
      <c r="A717" s="153">
        <f t="shared" si="10"/>
        <v>693</v>
      </c>
      <c r="B717" s="33">
        <v>2</v>
      </c>
      <c r="C717" s="33">
        <v>4</v>
      </c>
      <c r="D717" s="33">
        <v>15</v>
      </c>
      <c r="E717" s="143">
        <v>2035</v>
      </c>
      <c r="F717" s="33">
        <v>2050</v>
      </c>
      <c r="G717" s="33">
        <v>2</v>
      </c>
      <c r="H717" s="33">
        <v>51</v>
      </c>
      <c r="I717" s="33">
        <v>34</v>
      </c>
      <c r="J717" s="33">
        <v>0</v>
      </c>
      <c r="K717" s="33">
        <v>0</v>
      </c>
      <c r="L717" s="101">
        <v>17.100000000000001</v>
      </c>
      <c r="M717" s="108">
        <v>8075</v>
      </c>
      <c r="N717" s="108">
        <v>0</v>
      </c>
      <c r="O717" s="142">
        <v>0</v>
      </c>
      <c r="P717" s="142">
        <v>0</v>
      </c>
      <c r="Q717" s="141">
        <v>871</v>
      </c>
      <c r="R717" s="149">
        <v>0</v>
      </c>
      <c r="S717" s="116">
        <v>0</v>
      </c>
      <c r="T717" s="116">
        <v>0</v>
      </c>
      <c r="U717" s="33" t="s">
        <v>226</v>
      </c>
      <c r="V717" s="33">
        <v>2015</v>
      </c>
      <c r="W717" s="33">
        <v>1</v>
      </c>
      <c r="X717" s="33">
        <v>0</v>
      </c>
      <c r="Y717" s="33">
        <v>-1.8E-3</v>
      </c>
      <c r="Z717" s="33">
        <v>-1.2E-2</v>
      </c>
      <c r="AA717" s="33">
        <v>0</v>
      </c>
      <c r="AB717" s="33">
        <v>0</v>
      </c>
      <c r="AC717" s="33" t="s">
        <v>349</v>
      </c>
      <c r="AD717" s="158"/>
    </row>
    <row r="718" spans="1:30" customFormat="1" x14ac:dyDescent="0.2">
      <c r="A718" s="153">
        <f t="shared" si="10"/>
        <v>694</v>
      </c>
      <c r="B718" s="33">
        <v>2</v>
      </c>
      <c r="C718" s="33">
        <v>4</v>
      </c>
      <c r="D718" s="33">
        <v>15</v>
      </c>
      <c r="E718" s="143">
        <v>2035</v>
      </c>
      <c r="F718" s="33">
        <v>2050</v>
      </c>
      <c r="G718" s="33">
        <v>3</v>
      </c>
      <c r="H718" s="33">
        <v>51</v>
      </c>
      <c r="I718" s="33">
        <v>34</v>
      </c>
      <c r="J718" s="33">
        <v>0</v>
      </c>
      <c r="K718" s="33">
        <v>0</v>
      </c>
      <c r="L718" s="101">
        <v>17.100000000000001</v>
      </c>
      <c r="M718" s="108">
        <v>8075</v>
      </c>
      <c r="N718" s="108">
        <v>0</v>
      </c>
      <c r="O718" s="142">
        <v>0</v>
      </c>
      <c r="P718" s="142">
        <v>0</v>
      </c>
      <c r="Q718" s="141">
        <v>427</v>
      </c>
      <c r="R718" s="149">
        <v>0</v>
      </c>
      <c r="S718" s="116">
        <v>0</v>
      </c>
      <c r="T718" s="116">
        <v>0</v>
      </c>
      <c r="U718" s="33" t="s">
        <v>226</v>
      </c>
      <c r="V718" s="33">
        <v>2015</v>
      </c>
      <c r="W718" s="33">
        <v>1</v>
      </c>
      <c r="X718" s="33">
        <v>0</v>
      </c>
      <c r="Y718" s="33">
        <v>-1.8E-3</v>
      </c>
      <c r="Z718" s="33">
        <v>-1.2E-2</v>
      </c>
      <c r="AA718" s="33">
        <v>0</v>
      </c>
      <c r="AB718" s="33">
        <v>0</v>
      </c>
      <c r="AC718" s="33" t="s">
        <v>349</v>
      </c>
      <c r="AD718" s="158"/>
    </row>
    <row r="719" spans="1:30" customFormat="1" hidden="1" x14ac:dyDescent="0.2">
      <c r="A719" s="153">
        <f t="shared" si="10"/>
        <v>695</v>
      </c>
      <c r="B719" s="33">
        <v>2</v>
      </c>
      <c r="C719" s="33">
        <v>4</v>
      </c>
      <c r="D719" s="33">
        <v>15</v>
      </c>
      <c r="E719" s="143">
        <v>2035</v>
      </c>
      <c r="F719" s="33">
        <v>2050</v>
      </c>
      <c r="G719" s="33">
        <v>4</v>
      </c>
      <c r="H719" s="33">
        <v>51</v>
      </c>
      <c r="I719" s="33">
        <v>34</v>
      </c>
      <c r="J719" s="33">
        <v>0</v>
      </c>
      <c r="K719" s="33">
        <v>0</v>
      </c>
      <c r="L719" s="101">
        <v>17.100000000000001</v>
      </c>
      <c r="M719" s="108">
        <v>8075</v>
      </c>
      <c r="N719" s="108">
        <v>0</v>
      </c>
      <c r="O719" s="142">
        <v>0</v>
      </c>
      <c r="P719" s="142">
        <v>0</v>
      </c>
      <c r="Q719" s="141">
        <v>376</v>
      </c>
      <c r="R719" s="149">
        <v>0</v>
      </c>
      <c r="S719" s="116">
        <v>0</v>
      </c>
      <c r="T719" s="116">
        <v>0</v>
      </c>
      <c r="U719" s="33" t="s">
        <v>226</v>
      </c>
      <c r="V719" s="33">
        <v>2015</v>
      </c>
      <c r="W719" s="33">
        <v>1</v>
      </c>
      <c r="X719" s="33">
        <v>0</v>
      </c>
      <c r="Y719" s="33">
        <v>-1.8E-3</v>
      </c>
      <c r="Z719" s="33">
        <v>-1.2E-2</v>
      </c>
      <c r="AA719" s="33">
        <v>0</v>
      </c>
      <c r="AB719" s="33">
        <v>0</v>
      </c>
      <c r="AC719" s="33" t="s">
        <v>349</v>
      </c>
      <c r="AD719" s="158"/>
    </row>
    <row r="720" spans="1:30" customFormat="1" hidden="1" x14ac:dyDescent="0.2">
      <c r="A720" s="153">
        <f t="shared" si="10"/>
        <v>696</v>
      </c>
      <c r="B720" s="33">
        <v>2</v>
      </c>
      <c r="C720" s="33">
        <v>4</v>
      </c>
      <c r="D720" s="33">
        <v>15</v>
      </c>
      <c r="E720" s="143">
        <v>2035</v>
      </c>
      <c r="F720" s="33">
        <v>2050</v>
      </c>
      <c r="G720" s="33">
        <v>5</v>
      </c>
      <c r="H720" s="33">
        <v>51</v>
      </c>
      <c r="I720" s="33">
        <v>34</v>
      </c>
      <c r="J720" s="33">
        <v>0</v>
      </c>
      <c r="K720" s="33">
        <v>0</v>
      </c>
      <c r="L720" s="101">
        <v>17.100000000000001</v>
      </c>
      <c r="M720" s="108">
        <v>8075</v>
      </c>
      <c r="N720" s="108">
        <v>0</v>
      </c>
      <c r="O720" s="142">
        <v>0</v>
      </c>
      <c r="P720" s="142">
        <v>0</v>
      </c>
      <c r="Q720" s="141">
        <v>194</v>
      </c>
      <c r="R720" s="149">
        <v>0</v>
      </c>
      <c r="S720" s="116">
        <v>0</v>
      </c>
      <c r="T720" s="116">
        <v>0</v>
      </c>
      <c r="U720" s="33" t="s">
        <v>226</v>
      </c>
      <c r="V720" s="33">
        <v>2015</v>
      </c>
      <c r="W720" s="33">
        <v>1</v>
      </c>
      <c r="X720" s="33">
        <v>0</v>
      </c>
      <c r="Y720" s="33">
        <v>-1.8E-3</v>
      </c>
      <c r="Z720" s="33">
        <v>-1.2E-2</v>
      </c>
      <c r="AA720" s="33">
        <v>0</v>
      </c>
      <c r="AB720" s="33">
        <v>0</v>
      </c>
      <c r="AC720" s="33" t="s">
        <v>349</v>
      </c>
      <c r="AD720" s="158"/>
    </row>
    <row r="721" spans="1:30" customFormat="1" hidden="1" x14ac:dyDescent="0.2">
      <c r="A721" s="153">
        <f t="shared" si="10"/>
        <v>697</v>
      </c>
      <c r="B721" s="33">
        <v>2</v>
      </c>
      <c r="C721" s="33">
        <v>4</v>
      </c>
      <c r="D721" s="33">
        <v>15</v>
      </c>
      <c r="E721" s="143">
        <v>2035</v>
      </c>
      <c r="F721" s="33">
        <v>2050</v>
      </c>
      <c r="G721" s="33">
        <v>6</v>
      </c>
      <c r="H721" s="33">
        <v>51</v>
      </c>
      <c r="I721" s="33">
        <v>34</v>
      </c>
      <c r="J721" s="33">
        <v>0</v>
      </c>
      <c r="K721" s="33">
        <v>0</v>
      </c>
      <c r="L721" s="101">
        <v>17.100000000000001</v>
      </c>
      <c r="M721" s="108">
        <v>8075</v>
      </c>
      <c r="N721" s="108">
        <v>0</v>
      </c>
      <c r="O721" s="142">
        <v>0</v>
      </c>
      <c r="P721" s="142">
        <v>0</v>
      </c>
      <c r="Q721" s="141">
        <v>39</v>
      </c>
      <c r="R721" s="149">
        <v>0</v>
      </c>
      <c r="S721" s="116">
        <v>0</v>
      </c>
      <c r="T721" s="116">
        <v>0</v>
      </c>
      <c r="U721" s="33" t="s">
        <v>226</v>
      </c>
      <c r="V721" s="33">
        <v>2015</v>
      </c>
      <c r="W721" s="33">
        <v>1</v>
      </c>
      <c r="X721" s="33">
        <v>0</v>
      </c>
      <c r="Y721" s="33">
        <v>-1.8E-3</v>
      </c>
      <c r="Z721" s="33">
        <v>-1.2E-2</v>
      </c>
      <c r="AA721" s="33">
        <v>0</v>
      </c>
      <c r="AB721" s="33">
        <v>0</v>
      </c>
      <c r="AC721" s="33" t="s">
        <v>349</v>
      </c>
      <c r="AD721" s="158"/>
    </row>
    <row r="722" spans="1:30" customFormat="1" hidden="1" x14ac:dyDescent="0.2">
      <c r="A722" s="153">
        <f t="shared" si="10"/>
        <v>698</v>
      </c>
      <c r="B722" s="33">
        <v>2</v>
      </c>
      <c r="C722" s="33">
        <v>4</v>
      </c>
      <c r="D722" s="33">
        <v>15</v>
      </c>
      <c r="E722" s="143">
        <v>2035</v>
      </c>
      <c r="F722" s="33">
        <v>2050</v>
      </c>
      <c r="G722" s="33">
        <v>7</v>
      </c>
      <c r="H722" s="33">
        <v>51</v>
      </c>
      <c r="I722" s="33">
        <v>34</v>
      </c>
      <c r="J722" s="33">
        <v>0</v>
      </c>
      <c r="K722" s="33">
        <v>0</v>
      </c>
      <c r="L722" s="101">
        <v>17.100000000000001</v>
      </c>
      <c r="M722" s="108">
        <v>8075</v>
      </c>
      <c r="N722" s="108">
        <v>0</v>
      </c>
      <c r="O722" s="142">
        <v>0</v>
      </c>
      <c r="P722" s="142">
        <v>0</v>
      </c>
      <c r="Q722" s="141">
        <v>77</v>
      </c>
      <c r="R722" s="149">
        <v>0</v>
      </c>
      <c r="S722" s="116">
        <v>0</v>
      </c>
      <c r="T722" s="116">
        <v>0</v>
      </c>
      <c r="U722" s="33" t="s">
        <v>226</v>
      </c>
      <c r="V722" s="33">
        <v>2015</v>
      </c>
      <c r="W722" s="33">
        <v>1</v>
      </c>
      <c r="X722" s="33">
        <v>0</v>
      </c>
      <c r="Y722" s="33">
        <v>-1.8E-3</v>
      </c>
      <c r="Z722" s="33">
        <v>-1.2E-2</v>
      </c>
      <c r="AA722" s="33">
        <v>0</v>
      </c>
      <c r="AB722" s="33">
        <v>0</v>
      </c>
      <c r="AC722" s="33" t="s">
        <v>349</v>
      </c>
      <c r="AD722" s="158"/>
    </row>
    <row r="723" spans="1:30" customFormat="1" hidden="1" x14ac:dyDescent="0.2">
      <c r="A723" s="153">
        <f t="shared" si="10"/>
        <v>699</v>
      </c>
      <c r="B723" s="33">
        <v>2</v>
      </c>
      <c r="C723" s="33">
        <v>4</v>
      </c>
      <c r="D723" s="33">
        <v>15</v>
      </c>
      <c r="E723" s="143">
        <v>2035</v>
      </c>
      <c r="F723" s="33">
        <v>2050</v>
      </c>
      <c r="G723" s="33">
        <v>8</v>
      </c>
      <c r="H723" s="33">
        <v>51</v>
      </c>
      <c r="I723" s="33">
        <v>34</v>
      </c>
      <c r="J723" s="33">
        <v>0</v>
      </c>
      <c r="K723" s="33">
        <v>0</v>
      </c>
      <c r="L723" s="101">
        <v>17.100000000000001</v>
      </c>
      <c r="M723" s="108">
        <v>8075</v>
      </c>
      <c r="N723" s="108">
        <v>0</v>
      </c>
      <c r="O723" s="142">
        <v>0</v>
      </c>
      <c r="P723" s="142">
        <v>0</v>
      </c>
      <c r="Q723" s="141">
        <v>289</v>
      </c>
      <c r="R723" s="149">
        <v>0</v>
      </c>
      <c r="S723" s="116">
        <v>0</v>
      </c>
      <c r="T723" s="116">
        <v>0</v>
      </c>
      <c r="U723" s="33" t="s">
        <v>226</v>
      </c>
      <c r="V723" s="33">
        <v>2015</v>
      </c>
      <c r="W723" s="33">
        <v>1</v>
      </c>
      <c r="X723" s="33">
        <v>0</v>
      </c>
      <c r="Y723" s="33">
        <v>-1.8E-3</v>
      </c>
      <c r="Z723" s="33">
        <v>-1.2E-2</v>
      </c>
      <c r="AA723" s="33">
        <v>0</v>
      </c>
      <c r="AB723" s="33">
        <v>0</v>
      </c>
      <c r="AC723" s="33" t="s">
        <v>349</v>
      </c>
      <c r="AD723" s="158"/>
    </row>
    <row r="724" spans="1:30" customFormat="1" hidden="1" x14ac:dyDescent="0.2">
      <c r="A724" s="153">
        <f t="shared" si="10"/>
        <v>700</v>
      </c>
      <c r="B724" s="33">
        <v>2</v>
      </c>
      <c r="C724" s="33">
        <v>4</v>
      </c>
      <c r="D724" s="33">
        <v>15</v>
      </c>
      <c r="E724" s="143">
        <v>2035</v>
      </c>
      <c r="F724" s="33">
        <v>2050</v>
      </c>
      <c r="G724" s="33">
        <v>9</v>
      </c>
      <c r="H724" s="33">
        <v>51</v>
      </c>
      <c r="I724" s="33">
        <v>34</v>
      </c>
      <c r="J724" s="33">
        <v>0</v>
      </c>
      <c r="K724" s="33">
        <v>0</v>
      </c>
      <c r="L724" s="101">
        <v>17.100000000000001</v>
      </c>
      <c r="M724" s="108">
        <v>8075</v>
      </c>
      <c r="N724" s="108">
        <v>0</v>
      </c>
      <c r="O724" s="142">
        <v>0</v>
      </c>
      <c r="P724" s="142">
        <v>0</v>
      </c>
      <c r="Q724" s="141">
        <v>162</v>
      </c>
      <c r="R724" s="149">
        <v>0</v>
      </c>
      <c r="S724" s="116">
        <v>0</v>
      </c>
      <c r="T724" s="116">
        <v>0</v>
      </c>
      <c r="U724" s="33" t="s">
        <v>226</v>
      </c>
      <c r="V724" s="33">
        <v>2015</v>
      </c>
      <c r="W724" s="33">
        <v>1</v>
      </c>
      <c r="X724" s="33">
        <v>0</v>
      </c>
      <c r="Y724" s="33">
        <v>-1.8E-3</v>
      </c>
      <c r="Z724" s="33">
        <v>-1.2E-2</v>
      </c>
      <c r="AA724" s="33">
        <v>0</v>
      </c>
      <c r="AB724" s="33">
        <v>0</v>
      </c>
      <c r="AC724" s="33" t="s">
        <v>349</v>
      </c>
      <c r="AD724" s="158"/>
    </row>
    <row r="725" spans="1:30" customFormat="1" hidden="1" x14ac:dyDescent="0.2">
      <c r="A725" s="153">
        <f t="shared" si="10"/>
        <v>701</v>
      </c>
      <c r="B725" s="33">
        <v>2</v>
      </c>
      <c r="C725" s="33">
        <v>4</v>
      </c>
      <c r="D725" s="33">
        <v>16</v>
      </c>
      <c r="E725" s="104">
        <v>2016</v>
      </c>
      <c r="F725" s="159">
        <v>2019</v>
      </c>
      <c r="G725" s="33">
        <v>1</v>
      </c>
      <c r="H725" s="33">
        <v>52</v>
      </c>
      <c r="I725" s="33">
        <v>35</v>
      </c>
      <c r="J725" s="33">
        <v>0</v>
      </c>
      <c r="K725" s="33">
        <v>0</v>
      </c>
      <c r="L725" s="101">
        <v>22.4</v>
      </c>
      <c r="M725" s="108">
        <v>8525</v>
      </c>
      <c r="N725" s="108">
        <v>0</v>
      </c>
      <c r="O725" s="142">
        <v>2558</v>
      </c>
      <c r="P725" s="142">
        <v>0</v>
      </c>
      <c r="Q725" s="160">
        <v>1769</v>
      </c>
      <c r="R725" s="142">
        <v>0</v>
      </c>
      <c r="S725" s="116">
        <v>0</v>
      </c>
      <c r="T725" s="116">
        <v>0</v>
      </c>
      <c r="U725" s="33" t="s">
        <v>226</v>
      </c>
      <c r="V725" s="33">
        <v>2015</v>
      </c>
      <c r="W725" s="33">
        <v>1</v>
      </c>
      <c r="X725" s="33">
        <v>0</v>
      </c>
      <c r="Y725" s="33">
        <v>-1.8E-3</v>
      </c>
      <c r="Z725" s="33">
        <v>-1.2E-2</v>
      </c>
      <c r="AA725" s="33">
        <v>0</v>
      </c>
      <c r="AB725" s="33">
        <v>0</v>
      </c>
      <c r="AC725" s="33" t="s">
        <v>350</v>
      </c>
      <c r="AD725" s="158"/>
    </row>
    <row r="726" spans="1:30" customFormat="1" hidden="1" x14ac:dyDescent="0.2">
      <c r="A726" s="153">
        <f t="shared" si="10"/>
        <v>702</v>
      </c>
      <c r="B726" s="33">
        <v>2</v>
      </c>
      <c r="C726" s="33">
        <v>4</v>
      </c>
      <c r="D726" s="33">
        <v>16</v>
      </c>
      <c r="E726" s="104">
        <v>2016</v>
      </c>
      <c r="F726" s="159">
        <v>2019</v>
      </c>
      <c r="G726" s="33">
        <v>2</v>
      </c>
      <c r="H726" s="33">
        <v>52</v>
      </c>
      <c r="I726" s="33">
        <v>35</v>
      </c>
      <c r="J726" s="33">
        <v>0</v>
      </c>
      <c r="K726" s="33">
        <v>0</v>
      </c>
      <c r="L726" s="101">
        <v>22.4</v>
      </c>
      <c r="M726" s="108">
        <v>8525</v>
      </c>
      <c r="N726" s="108">
        <v>0</v>
      </c>
      <c r="O726" s="142">
        <v>2558</v>
      </c>
      <c r="P726" s="142">
        <v>0</v>
      </c>
      <c r="Q726" s="160">
        <v>920</v>
      </c>
      <c r="R726" s="142">
        <v>0</v>
      </c>
      <c r="S726" s="116">
        <v>0</v>
      </c>
      <c r="T726" s="116">
        <v>0</v>
      </c>
      <c r="U726" s="33" t="s">
        <v>226</v>
      </c>
      <c r="V726" s="33">
        <v>2015</v>
      </c>
      <c r="W726" s="33">
        <v>1</v>
      </c>
      <c r="X726" s="33">
        <v>0</v>
      </c>
      <c r="Y726" s="33">
        <v>-1.8E-3</v>
      </c>
      <c r="Z726" s="33">
        <v>-1.2E-2</v>
      </c>
      <c r="AA726" s="33">
        <v>0</v>
      </c>
      <c r="AB726" s="33">
        <v>0</v>
      </c>
      <c r="AC726" s="33" t="s">
        <v>350</v>
      </c>
      <c r="AD726" s="158"/>
    </row>
    <row r="727" spans="1:30" customFormat="1" x14ac:dyDescent="0.2">
      <c r="A727" s="153">
        <f t="shared" si="10"/>
        <v>703</v>
      </c>
      <c r="B727" s="33">
        <v>2</v>
      </c>
      <c r="C727" s="33">
        <v>4</v>
      </c>
      <c r="D727" s="33">
        <v>16</v>
      </c>
      <c r="E727" s="104">
        <v>2016</v>
      </c>
      <c r="F727" s="159">
        <v>2019</v>
      </c>
      <c r="G727" s="33">
        <v>3</v>
      </c>
      <c r="H727" s="33">
        <v>52</v>
      </c>
      <c r="I727" s="33">
        <v>35</v>
      </c>
      <c r="J727" s="33">
        <v>0</v>
      </c>
      <c r="K727" s="33">
        <v>0</v>
      </c>
      <c r="L727" s="101">
        <v>22.4</v>
      </c>
      <c r="M727" s="108">
        <v>8525</v>
      </c>
      <c r="N727" s="108">
        <v>0</v>
      </c>
      <c r="O727" s="142">
        <v>2558</v>
      </c>
      <c r="P727" s="142">
        <v>0</v>
      </c>
      <c r="Q727" s="160">
        <v>451</v>
      </c>
      <c r="R727" s="142">
        <v>0</v>
      </c>
      <c r="S727" s="116">
        <v>0</v>
      </c>
      <c r="T727" s="116">
        <v>0</v>
      </c>
      <c r="U727" s="33" t="s">
        <v>226</v>
      </c>
      <c r="V727" s="33">
        <v>2015</v>
      </c>
      <c r="W727" s="33">
        <v>1</v>
      </c>
      <c r="X727" s="33">
        <v>0</v>
      </c>
      <c r="Y727" s="33">
        <v>-1.8E-3</v>
      </c>
      <c r="Z727" s="33">
        <v>-1.2E-2</v>
      </c>
      <c r="AA727" s="33">
        <v>0</v>
      </c>
      <c r="AB727" s="33">
        <v>0</v>
      </c>
      <c r="AC727" s="33" t="s">
        <v>350</v>
      </c>
      <c r="AD727" s="158"/>
    </row>
    <row r="728" spans="1:30" customFormat="1" hidden="1" x14ac:dyDescent="0.2">
      <c r="A728" s="153">
        <f t="shared" si="10"/>
        <v>704</v>
      </c>
      <c r="B728" s="33">
        <v>2</v>
      </c>
      <c r="C728" s="33">
        <v>4</v>
      </c>
      <c r="D728" s="33">
        <v>16</v>
      </c>
      <c r="E728" s="104">
        <v>2016</v>
      </c>
      <c r="F728" s="159">
        <v>2019</v>
      </c>
      <c r="G728" s="33">
        <v>4</v>
      </c>
      <c r="H728" s="33">
        <v>52</v>
      </c>
      <c r="I728" s="33">
        <v>35</v>
      </c>
      <c r="J728" s="33">
        <v>0</v>
      </c>
      <c r="K728" s="33">
        <v>0</v>
      </c>
      <c r="L728" s="101">
        <v>22.4</v>
      </c>
      <c r="M728" s="108">
        <v>8525</v>
      </c>
      <c r="N728" s="108">
        <v>0</v>
      </c>
      <c r="O728" s="142">
        <v>2558</v>
      </c>
      <c r="P728" s="142">
        <v>0</v>
      </c>
      <c r="Q728" s="160">
        <v>397</v>
      </c>
      <c r="R728" s="142">
        <v>0</v>
      </c>
      <c r="S728" s="116">
        <v>0</v>
      </c>
      <c r="T728" s="116">
        <v>0</v>
      </c>
      <c r="U728" s="33" t="s">
        <v>226</v>
      </c>
      <c r="V728" s="33">
        <v>2015</v>
      </c>
      <c r="W728" s="33">
        <v>1</v>
      </c>
      <c r="X728" s="33">
        <v>0</v>
      </c>
      <c r="Y728" s="33">
        <v>-1.8E-3</v>
      </c>
      <c r="Z728" s="33">
        <v>-1.2E-2</v>
      </c>
      <c r="AA728" s="33">
        <v>0</v>
      </c>
      <c r="AB728" s="33">
        <v>0</v>
      </c>
      <c r="AC728" s="33" t="s">
        <v>350</v>
      </c>
      <c r="AD728" s="158"/>
    </row>
    <row r="729" spans="1:30" customFormat="1" hidden="1" x14ac:dyDescent="0.2">
      <c r="A729" s="153">
        <f t="shared" si="10"/>
        <v>705</v>
      </c>
      <c r="B729" s="33">
        <v>2</v>
      </c>
      <c r="C729" s="33">
        <v>4</v>
      </c>
      <c r="D729" s="33">
        <v>16</v>
      </c>
      <c r="E729" s="104">
        <v>2016</v>
      </c>
      <c r="F729" s="159">
        <v>2019</v>
      </c>
      <c r="G729" s="33">
        <v>5</v>
      </c>
      <c r="H729" s="33">
        <v>52</v>
      </c>
      <c r="I729" s="33">
        <v>35</v>
      </c>
      <c r="J729" s="33">
        <v>0</v>
      </c>
      <c r="K729" s="33">
        <v>0</v>
      </c>
      <c r="L729" s="101">
        <v>22.4</v>
      </c>
      <c r="M729" s="108">
        <v>8525</v>
      </c>
      <c r="N729" s="108">
        <v>0</v>
      </c>
      <c r="O729" s="142">
        <v>2558</v>
      </c>
      <c r="P729" s="142">
        <v>0</v>
      </c>
      <c r="Q729" s="160">
        <v>205</v>
      </c>
      <c r="R729" s="142">
        <v>0</v>
      </c>
      <c r="S729" s="116">
        <v>0</v>
      </c>
      <c r="T729" s="116">
        <v>0</v>
      </c>
      <c r="U729" s="33" t="s">
        <v>226</v>
      </c>
      <c r="V729" s="33">
        <v>2015</v>
      </c>
      <c r="W729" s="33">
        <v>1</v>
      </c>
      <c r="X729" s="33">
        <v>0</v>
      </c>
      <c r="Y729" s="33">
        <v>-1.8E-3</v>
      </c>
      <c r="Z729" s="33">
        <v>-1.2E-2</v>
      </c>
      <c r="AA729" s="33">
        <v>0</v>
      </c>
      <c r="AB729" s="33">
        <v>0</v>
      </c>
      <c r="AC729" s="33" t="s">
        <v>350</v>
      </c>
      <c r="AD729" s="158"/>
    </row>
    <row r="730" spans="1:30" customFormat="1" hidden="1" x14ac:dyDescent="0.2">
      <c r="A730" s="153">
        <f t="shared" si="10"/>
        <v>706</v>
      </c>
      <c r="B730" s="33">
        <v>2</v>
      </c>
      <c r="C730" s="33">
        <v>4</v>
      </c>
      <c r="D730" s="33">
        <v>16</v>
      </c>
      <c r="E730" s="104">
        <v>2016</v>
      </c>
      <c r="F730" s="159">
        <v>2019</v>
      </c>
      <c r="G730" s="33">
        <v>6</v>
      </c>
      <c r="H730" s="33">
        <v>52</v>
      </c>
      <c r="I730" s="33">
        <v>35</v>
      </c>
      <c r="J730" s="33">
        <v>0</v>
      </c>
      <c r="K730" s="33">
        <v>0</v>
      </c>
      <c r="L730" s="101">
        <v>22.4</v>
      </c>
      <c r="M730" s="108">
        <v>8525</v>
      </c>
      <c r="N730" s="108">
        <v>0</v>
      </c>
      <c r="O730" s="142">
        <v>2558</v>
      </c>
      <c r="P730" s="142">
        <v>0</v>
      </c>
      <c r="Q730" s="160">
        <v>41</v>
      </c>
      <c r="R730" s="142">
        <v>0</v>
      </c>
      <c r="S730" s="116">
        <v>0</v>
      </c>
      <c r="T730" s="116">
        <v>0</v>
      </c>
      <c r="U730" s="33" t="s">
        <v>226</v>
      </c>
      <c r="V730" s="33">
        <v>2015</v>
      </c>
      <c r="W730" s="33">
        <v>1</v>
      </c>
      <c r="X730" s="33">
        <v>0</v>
      </c>
      <c r="Y730" s="33">
        <v>-1.8E-3</v>
      </c>
      <c r="Z730" s="33">
        <v>-1.2E-2</v>
      </c>
      <c r="AA730" s="33">
        <v>0</v>
      </c>
      <c r="AB730" s="33">
        <v>0</v>
      </c>
      <c r="AC730" s="33" t="s">
        <v>350</v>
      </c>
      <c r="AD730" s="158"/>
    </row>
    <row r="731" spans="1:30" customFormat="1" hidden="1" x14ac:dyDescent="0.2">
      <c r="A731" s="153">
        <f t="shared" ref="A731:A794" si="11">A730+1</f>
        <v>707</v>
      </c>
      <c r="B731" s="33">
        <v>2</v>
      </c>
      <c r="C731" s="33">
        <v>4</v>
      </c>
      <c r="D731" s="33">
        <v>16</v>
      </c>
      <c r="E731" s="104">
        <v>2016</v>
      </c>
      <c r="F731" s="159">
        <v>2019</v>
      </c>
      <c r="G731" s="33">
        <v>7</v>
      </c>
      <c r="H731" s="33">
        <v>52</v>
      </c>
      <c r="I731" s="33">
        <v>35</v>
      </c>
      <c r="J731" s="33">
        <v>0</v>
      </c>
      <c r="K731" s="33">
        <v>0</v>
      </c>
      <c r="L731" s="101">
        <v>22.4</v>
      </c>
      <c r="M731" s="108">
        <v>8525</v>
      </c>
      <c r="N731" s="108">
        <v>0</v>
      </c>
      <c r="O731" s="142">
        <v>2558</v>
      </c>
      <c r="P731" s="142">
        <v>0</v>
      </c>
      <c r="Q731" s="160">
        <v>82</v>
      </c>
      <c r="R731" s="142">
        <v>0</v>
      </c>
      <c r="S731" s="116">
        <v>0</v>
      </c>
      <c r="T731" s="116">
        <v>0</v>
      </c>
      <c r="U731" s="33" t="s">
        <v>226</v>
      </c>
      <c r="V731" s="33">
        <v>2015</v>
      </c>
      <c r="W731" s="33">
        <v>1</v>
      </c>
      <c r="X731" s="33">
        <v>0</v>
      </c>
      <c r="Y731" s="33">
        <v>-1.8E-3</v>
      </c>
      <c r="Z731" s="33">
        <v>-1.2E-2</v>
      </c>
      <c r="AA731" s="33">
        <v>0</v>
      </c>
      <c r="AB731" s="33">
        <v>0</v>
      </c>
      <c r="AC731" s="33" t="s">
        <v>350</v>
      </c>
      <c r="AD731" s="158"/>
    </row>
    <row r="732" spans="1:30" customFormat="1" hidden="1" x14ac:dyDescent="0.2">
      <c r="A732" s="153">
        <f t="shared" si="11"/>
        <v>708</v>
      </c>
      <c r="B732" s="33">
        <v>2</v>
      </c>
      <c r="C732" s="33">
        <v>4</v>
      </c>
      <c r="D732" s="33">
        <v>16</v>
      </c>
      <c r="E732" s="104">
        <v>2016</v>
      </c>
      <c r="F732" s="159">
        <v>2019</v>
      </c>
      <c r="G732" s="33">
        <v>8</v>
      </c>
      <c r="H732" s="33">
        <v>52</v>
      </c>
      <c r="I732" s="33">
        <v>35</v>
      </c>
      <c r="J732" s="33">
        <v>0</v>
      </c>
      <c r="K732" s="33">
        <v>0</v>
      </c>
      <c r="L732" s="101">
        <v>22.4</v>
      </c>
      <c r="M732" s="108">
        <v>8525</v>
      </c>
      <c r="N732" s="108">
        <v>0</v>
      </c>
      <c r="O732" s="142">
        <v>2558</v>
      </c>
      <c r="P732" s="142">
        <v>0</v>
      </c>
      <c r="Q732" s="160">
        <v>305</v>
      </c>
      <c r="R732" s="142">
        <v>0</v>
      </c>
      <c r="S732" s="116">
        <v>0</v>
      </c>
      <c r="T732" s="116">
        <v>0</v>
      </c>
      <c r="U732" s="33" t="s">
        <v>226</v>
      </c>
      <c r="V732" s="33">
        <v>2015</v>
      </c>
      <c r="W732" s="33">
        <v>1</v>
      </c>
      <c r="X732" s="33">
        <v>0</v>
      </c>
      <c r="Y732" s="33">
        <v>-1.8E-3</v>
      </c>
      <c r="Z732" s="33">
        <v>-1.2E-2</v>
      </c>
      <c r="AA732" s="33">
        <v>0</v>
      </c>
      <c r="AB732" s="33">
        <v>0</v>
      </c>
      <c r="AC732" s="33" t="s">
        <v>350</v>
      </c>
      <c r="AD732" s="158"/>
    </row>
    <row r="733" spans="1:30" customFormat="1" hidden="1" x14ac:dyDescent="0.2">
      <c r="A733" s="153">
        <f t="shared" si="11"/>
        <v>709</v>
      </c>
      <c r="B733" s="33">
        <v>2</v>
      </c>
      <c r="C733" s="33">
        <v>4</v>
      </c>
      <c r="D733" s="33">
        <v>16</v>
      </c>
      <c r="E733" s="104">
        <v>2016</v>
      </c>
      <c r="F733" s="159">
        <v>2019</v>
      </c>
      <c r="G733" s="33">
        <v>9</v>
      </c>
      <c r="H733" s="33">
        <v>52</v>
      </c>
      <c r="I733" s="33">
        <v>35</v>
      </c>
      <c r="J733" s="33">
        <v>0</v>
      </c>
      <c r="K733" s="33">
        <v>0</v>
      </c>
      <c r="L733" s="101">
        <v>22.4</v>
      </c>
      <c r="M733" s="108">
        <v>8525</v>
      </c>
      <c r="N733" s="108">
        <v>0</v>
      </c>
      <c r="O733" s="142">
        <v>2558</v>
      </c>
      <c r="P733" s="142">
        <v>0</v>
      </c>
      <c r="Q733" s="160">
        <v>171</v>
      </c>
      <c r="R733" s="142">
        <v>0</v>
      </c>
      <c r="S733" s="116">
        <v>0</v>
      </c>
      <c r="T733" s="116">
        <v>0</v>
      </c>
      <c r="U733" s="33" t="s">
        <v>226</v>
      </c>
      <c r="V733" s="33">
        <v>2015</v>
      </c>
      <c r="W733" s="33">
        <v>1</v>
      </c>
      <c r="X733" s="33">
        <v>0</v>
      </c>
      <c r="Y733" s="33">
        <v>-1.8E-3</v>
      </c>
      <c r="Z733" s="33">
        <v>-1.2E-2</v>
      </c>
      <c r="AA733" s="33">
        <v>0</v>
      </c>
      <c r="AB733" s="33">
        <v>0</v>
      </c>
      <c r="AC733" s="33" t="s">
        <v>350</v>
      </c>
      <c r="AD733" s="158"/>
    </row>
    <row r="734" spans="1:30" s="157" customFormat="1" hidden="1" x14ac:dyDescent="0.2">
      <c r="A734" s="153">
        <f t="shared" si="11"/>
        <v>710</v>
      </c>
      <c r="B734" s="49">
        <v>2</v>
      </c>
      <c r="C734" s="49">
        <v>4</v>
      </c>
      <c r="D734" s="49">
        <v>16</v>
      </c>
      <c r="E734" s="166">
        <v>2020</v>
      </c>
      <c r="F734" s="49">
        <v>2021</v>
      </c>
      <c r="G734" s="49">
        <v>1</v>
      </c>
      <c r="H734" s="49">
        <v>52</v>
      </c>
      <c r="I734" s="49">
        <v>35</v>
      </c>
      <c r="J734" s="49">
        <v>0</v>
      </c>
      <c r="K734" s="49">
        <v>0</v>
      </c>
      <c r="L734" s="167">
        <v>22.4</v>
      </c>
      <c r="M734" s="168">
        <v>8525</v>
      </c>
      <c r="N734" s="168">
        <v>0</v>
      </c>
      <c r="O734" s="51">
        <v>2217</v>
      </c>
      <c r="P734" s="51">
        <v>0</v>
      </c>
      <c r="Q734" s="51">
        <v>1769</v>
      </c>
      <c r="R734" s="51">
        <v>0</v>
      </c>
      <c r="S734" s="171">
        <v>0</v>
      </c>
      <c r="T734" s="171">
        <v>0</v>
      </c>
      <c r="U734" s="49" t="s">
        <v>226</v>
      </c>
      <c r="V734" s="49">
        <v>2015</v>
      </c>
      <c r="W734" s="49">
        <v>1</v>
      </c>
      <c r="X734" s="49">
        <v>0</v>
      </c>
      <c r="Y734" s="49">
        <v>-1.8E-3</v>
      </c>
      <c r="Z734" s="49">
        <v>-1.2E-2</v>
      </c>
      <c r="AA734" s="49">
        <v>0</v>
      </c>
      <c r="AB734" s="49">
        <v>0</v>
      </c>
      <c r="AC734" s="49" t="s">
        <v>350</v>
      </c>
      <c r="AD734" s="158"/>
    </row>
    <row r="735" spans="1:30" s="157" customFormat="1" hidden="1" x14ac:dyDescent="0.2">
      <c r="A735" s="153">
        <f t="shared" si="11"/>
        <v>711</v>
      </c>
      <c r="B735" s="49">
        <v>2</v>
      </c>
      <c r="C735" s="49">
        <v>4</v>
      </c>
      <c r="D735" s="49">
        <v>16</v>
      </c>
      <c r="E735" s="166">
        <v>2020</v>
      </c>
      <c r="F735" s="49">
        <v>2021</v>
      </c>
      <c r="G735" s="49">
        <v>2</v>
      </c>
      <c r="H735" s="49">
        <v>52</v>
      </c>
      <c r="I735" s="49">
        <v>35</v>
      </c>
      <c r="J735" s="49">
        <v>0</v>
      </c>
      <c r="K735" s="49">
        <v>0</v>
      </c>
      <c r="L735" s="167">
        <v>22.4</v>
      </c>
      <c r="M735" s="168">
        <v>8525</v>
      </c>
      <c r="N735" s="168">
        <v>0</v>
      </c>
      <c r="O735" s="51">
        <v>2217</v>
      </c>
      <c r="P735" s="51">
        <v>0</v>
      </c>
      <c r="Q735" s="51">
        <v>920</v>
      </c>
      <c r="R735" s="51">
        <v>0</v>
      </c>
      <c r="S735" s="171">
        <v>0</v>
      </c>
      <c r="T735" s="171">
        <v>0</v>
      </c>
      <c r="U735" s="49" t="s">
        <v>226</v>
      </c>
      <c r="V735" s="49">
        <v>2015</v>
      </c>
      <c r="W735" s="49">
        <v>1</v>
      </c>
      <c r="X735" s="49">
        <v>0</v>
      </c>
      <c r="Y735" s="49">
        <v>-1.8E-3</v>
      </c>
      <c r="Z735" s="49">
        <v>-1.2E-2</v>
      </c>
      <c r="AA735" s="49">
        <v>0</v>
      </c>
      <c r="AB735" s="49">
        <v>0</v>
      </c>
      <c r="AC735" s="49" t="s">
        <v>350</v>
      </c>
      <c r="AD735" s="158"/>
    </row>
    <row r="736" spans="1:30" s="157" customFormat="1" x14ac:dyDescent="0.2">
      <c r="A736" s="153">
        <f t="shared" si="11"/>
        <v>712</v>
      </c>
      <c r="B736" s="49">
        <v>2</v>
      </c>
      <c r="C736" s="49">
        <v>4</v>
      </c>
      <c r="D736" s="49">
        <v>16</v>
      </c>
      <c r="E736" s="166">
        <v>2020</v>
      </c>
      <c r="F736" s="49">
        <v>2021</v>
      </c>
      <c r="G736" s="49">
        <v>3</v>
      </c>
      <c r="H736" s="49">
        <v>52</v>
      </c>
      <c r="I736" s="49">
        <v>35</v>
      </c>
      <c r="J736" s="49">
        <v>0</v>
      </c>
      <c r="K736" s="49">
        <v>0</v>
      </c>
      <c r="L736" s="167">
        <v>22.4</v>
      </c>
      <c r="M736" s="168">
        <v>8525</v>
      </c>
      <c r="N736" s="168">
        <v>0</v>
      </c>
      <c r="O736" s="51">
        <v>2217</v>
      </c>
      <c r="P736" s="51">
        <v>0</v>
      </c>
      <c r="Q736" s="51">
        <v>451</v>
      </c>
      <c r="R736" s="51">
        <v>0</v>
      </c>
      <c r="S736" s="171">
        <v>0</v>
      </c>
      <c r="T736" s="171">
        <v>0</v>
      </c>
      <c r="U736" s="49" t="s">
        <v>226</v>
      </c>
      <c r="V736" s="49">
        <v>2015</v>
      </c>
      <c r="W736" s="49">
        <v>1</v>
      </c>
      <c r="X736" s="49">
        <v>0</v>
      </c>
      <c r="Y736" s="49">
        <v>-1.8E-3</v>
      </c>
      <c r="Z736" s="49">
        <v>-1.2E-2</v>
      </c>
      <c r="AA736" s="49">
        <v>0</v>
      </c>
      <c r="AB736" s="49">
        <v>0</v>
      </c>
      <c r="AC736" s="49" t="s">
        <v>350</v>
      </c>
      <c r="AD736" s="158"/>
    </row>
    <row r="737" spans="1:30" s="157" customFormat="1" hidden="1" x14ac:dyDescent="0.2">
      <c r="A737" s="153">
        <f t="shared" si="11"/>
        <v>713</v>
      </c>
      <c r="B737" s="49">
        <v>2</v>
      </c>
      <c r="C737" s="49">
        <v>4</v>
      </c>
      <c r="D737" s="49">
        <v>16</v>
      </c>
      <c r="E737" s="166">
        <v>2020</v>
      </c>
      <c r="F737" s="49">
        <v>2021</v>
      </c>
      <c r="G737" s="49">
        <v>4</v>
      </c>
      <c r="H737" s="49">
        <v>52</v>
      </c>
      <c r="I737" s="49">
        <v>35</v>
      </c>
      <c r="J737" s="49">
        <v>0</v>
      </c>
      <c r="K737" s="49">
        <v>0</v>
      </c>
      <c r="L737" s="167">
        <v>22.4</v>
      </c>
      <c r="M737" s="168">
        <v>8525</v>
      </c>
      <c r="N737" s="168">
        <v>0</v>
      </c>
      <c r="O737" s="51">
        <v>2217</v>
      </c>
      <c r="P737" s="51">
        <v>0</v>
      </c>
      <c r="Q737" s="51">
        <v>397</v>
      </c>
      <c r="R737" s="51">
        <v>0</v>
      </c>
      <c r="S737" s="171">
        <v>0</v>
      </c>
      <c r="T737" s="171">
        <v>0</v>
      </c>
      <c r="U737" s="49" t="s">
        <v>226</v>
      </c>
      <c r="V737" s="49">
        <v>2015</v>
      </c>
      <c r="W737" s="49">
        <v>1</v>
      </c>
      <c r="X737" s="49">
        <v>0</v>
      </c>
      <c r="Y737" s="49">
        <v>-1.8E-3</v>
      </c>
      <c r="Z737" s="49">
        <v>-1.2E-2</v>
      </c>
      <c r="AA737" s="49">
        <v>0</v>
      </c>
      <c r="AB737" s="49">
        <v>0</v>
      </c>
      <c r="AC737" s="49" t="s">
        <v>350</v>
      </c>
      <c r="AD737" s="158"/>
    </row>
    <row r="738" spans="1:30" s="157" customFormat="1" hidden="1" x14ac:dyDescent="0.2">
      <c r="A738" s="153">
        <f t="shared" si="11"/>
        <v>714</v>
      </c>
      <c r="B738" s="49">
        <v>2</v>
      </c>
      <c r="C738" s="49">
        <v>4</v>
      </c>
      <c r="D738" s="49">
        <v>16</v>
      </c>
      <c r="E738" s="166">
        <v>2020</v>
      </c>
      <c r="F738" s="49">
        <v>2021</v>
      </c>
      <c r="G738" s="49">
        <v>5</v>
      </c>
      <c r="H738" s="49">
        <v>52</v>
      </c>
      <c r="I738" s="49">
        <v>35</v>
      </c>
      <c r="J738" s="49">
        <v>0</v>
      </c>
      <c r="K738" s="49">
        <v>0</v>
      </c>
      <c r="L738" s="167">
        <v>22.4</v>
      </c>
      <c r="M738" s="168">
        <v>8525</v>
      </c>
      <c r="N738" s="168">
        <v>0</v>
      </c>
      <c r="O738" s="51">
        <v>2217</v>
      </c>
      <c r="P738" s="51">
        <v>0</v>
      </c>
      <c r="Q738" s="51">
        <v>205</v>
      </c>
      <c r="R738" s="51">
        <v>0</v>
      </c>
      <c r="S738" s="171">
        <v>0</v>
      </c>
      <c r="T738" s="171">
        <v>0</v>
      </c>
      <c r="U738" s="49" t="s">
        <v>226</v>
      </c>
      <c r="V738" s="49">
        <v>2015</v>
      </c>
      <c r="W738" s="49">
        <v>1</v>
      </c>
      <c r="X738" s="49">
        <v>0</v>
      </c>
      <c r="Y738" s="49">
        <v>-1.8E-3</v>
      </c>
      <c r="Z738" s="49">
        <v>-1.2E-2</v>
      </c>
      <c r="AA738" s="49">
        <v>0</v>
      </c>
      <c r="AB738" s="49">
        <v>0</v>
      </c>
      <c r="AC738" s="49" t="s">
        <v>350</v>
      </c>
      <c r="AD738" s="158"/>
    </row>
    <row r="739" spans="1:30" s="157" customFormat="1" hidden="1" x14ac:dyDescent="0.2">
      <c r="A739" s="153">
        <f t="shared" si="11"/>
        <v>715</v>
      </c>
      <c r="B739" s="49">
        <v>2</v>
      </c>
      <c r="C739" s="49">
        <v>4</v>
      </c>
      <c r="D739" s="49">
        <v>16</v>
      </c>
      <c r="E739" s="166">
        <v>2020</v>
      </c>
      <c r="F739" s="49">
        <v>2021</v>
      </c>
      <c r="G739" s="49">
        <v>6</v>
      </c>
      <c r="H739" s="49">
        <v>52</v>
      </c>
      <c r="I739" s="49">
        <v>35</v>
      </c>
      <c r="J739" s="49">
        <v>0</v>
      </c>
      <c r="K739" s="49">
        <v>0</v>
      </c>
      <c r="L739" s="167">
        <v>22.4</v>
      </c>
      <c r="M739" s="168">
        <v>8525</v>
      </c>
      <c r="N739" s="168">
        <v>0</v>
      </c>
      <c r="O739" s="51">
        <v>2217</v>
      </c>
      <c r="P739" s="51">
        <v>0</v>
      </c>
      <c r="Q739" s="51">
        <v>41</v>
      </c>
      <c r="R739" s="51">
        <v>0</v>
      </c>
      <c r="S739" s="171">
        <v>0</v>
      </c>
      <c r="T739" s="171">
        <v>0</v>
      </c>
      <c r="U739" s="49" t="s">
        <v>226</v>
      </c>
      <c r="V739" s="49">
        <v>2015</v>
      </c>
      <c r="W739" s="49">
        <v>1</v>
      </c>
      <c r="X739" s="49">
        <v>0</v>
      </c>
      <c r="Y739" s="49">
        <v>-1.8E-3</v>
      </c>
      <c r="Z739" s="49">
        <v>-1.2E-2</v>
      </c>
      <c r="AA739" s="49">
        <v>0</v>
      </c>
      <c r="AB739" s="49">
        <v>0</v>
      </c>
      <c r="AC739" s="49" t="s">
        <v>350</v>
      </c>
      <c r="AD739" s="158"/>
    </row>
    <row r="740" spans="1:30" s="157" customFormat="1" hidden="1" x14ac:dyDescent="0.2">
      <c r="A740" s="153">
        <f t="shared" si="11"/>
        <v>716</v>
      </c>
      <c r="B740" s="49">
        <v>2</v>
      </c>
      <c r="C740" s="49">
        <v>4</v>
      </c>
      <c r="D740" s="49">
        <v>16</v>
      </c>
      <c r="E740" s="166">
        <v>2020</v>
      </c>
      <c r="F740" s="49">
        <v>2021</v>
      </c>
      <c r="G740" s="49">
        <v>7</v>
      </c>
      <c r="H740" s="49">
        <v>52</v>
      </c>
      <c r="I740" s="49">
        <v>35</v>
      </c>
      <c r="J740" s="49">
        <v>0</v>
      </c>
      <c r="K740" s="49">
        <v>0</v>
      </c>
      <c r="L740" s="167">
        <v>22.4</v>
      </c>
      <c r="M740" s="168">
        <v>8525</v>
      </c>
      <c r="N740" s="168">
        <v>0</v>
      </c>
      <c r="O740" s="51">
        <v>2217</v>
      </c>
      <c r="P740" s="51">
        <v>0</v>
      </c>
      <c r="Q740" s="51">
        <v>82</v>
      </c>
      <c r="R740" s="51">
        <v>0</v>
      </c>
      <c r="S740" s="171">
        <v>0</v>
      </c>
      <c r="T740" s="171">
        <v>0</v>
      </c>
      <c r="U740" s="49" t="s">
        <v>226</v>
      </c>
      <c r="V740" s="49">
        <v>2015</v>
      </c>
      <c r="W740" s="49">
        <v>1</v>
      </c>
      <c r="X740" s="49">
        <v>0</v>
      </c>
      <c r="Y740" s="49">
        <v>-1.8E-3</v>
      </c>
      <c r="Z740" s="49">
        <v>-1.2E-2</v>
      </c>
      <c r="AA740" s="49">
        <v>0</v>
      </c>
      <c r="AB740" s="49">
        <v>0</v>
      </c>
      <c r="AC740" s="49" t="s">
        <v>350</v>
      </c>
      <c r="AD740" s="158"/>
    </row>
    <row r="741" spans="1:30" s="157" customFormat="1" hidden="1" x14ac:dyDescent="0.2">
      <c r="A741" s="153">
        <f t="shared" si="11"/>
        <v>717</v>
      </c>
      <c r="B741" s="49">
        <v>2</v>
      </c>
      <c r="C741" s="49">
        <v>4</v>
      </c>
      <c r="D741" s="49">
        <v>16</v>
      </c>
      <c r="E741" s="166">
        <v>2020</v>
      </c>
      <c r="F741" s="49">
        <v>2021</v>
      </c>
      <c r="G741" s="49">
        <v>8</v>
      </c>
      <c r="H741" s="49">
        <v>52</v>
      </c>
      <c r="I741" s="49">
        <v>35</v>
      </c>
      <c r="J741" s="49">
        <v>0</v>
      </c>
      <c r="K741" s="49">
        <v>0</v>
      </c>
      <c r="L741" s="167">
        <v>22.4</v>
      </c>
      <c r="M741" s="168">
        <v>8525</v>
      </c>
      <c r="N741" s="168">
        <v>0</v>
      </c>
      <c r="O741" s="51">
        <v>2217</v>
      </c>
      <c r="P741" s="51">
        <v>0</v>
      </c>
      <c r="Q741" s="51">
        <v>305</v>
      </c>
      <c r="R741" s="51">
        <v>0</v>
      </c>
      <c r="S741" s="171">
        <v>0</v>
      </c>
      <c r="T741" s="171">
        <v>0</v>
      </c>
      <c r="U741" s="49" t="s">
        <v>226</v>
      </c>
      <c r="V741" s="49">
        <v>2015</v>
      </c>
      <c r="W741" s="49">
        <v>1</v>
      </c>
      <c r="X741" s="49">
        <v>0</v>
      </c>
      <c r="Y741" s="49">
        <v>-1.8E-3</v>
      </c>
      <c r="Z741" s="49">
        <v>-1.2E-2</v>
      </c>
      <c r="AA741" s="49">
        <v>0</v>
      </c>
      <c r="AB741" s="49">
        <v>0</v>
      </c>
      <c r="AC741" s="49" t="s">
        <v>350</v>
      </c>
      <c r="AD741" s="158"/>
    </row>
    <row r="742" spans="1:30" s="157" customFormat="1" hidden="1" x14ac:dyDescent="0.2">
      <c r="A742" s="153">
        <f t="shared" si="11"/>
        <v>718</v>
      </c>
      <c r="B742" s="49">
        <v>2</v>
      </c>
      <c r="C742" s="49">
        <v>4</v>
      </c>
      <c r="D742" s="49">
        <v>16</v>
      </c>
      <c r="E742" s="166">
        <v>2020</v>
      </c>
      <c r="F742" s="49">
        <v>2021</v>
      </c>
      <c r="G742" s="49">
        <v>9</v>
      </c>
      <c r="H742" s="49">
        <v>52</v>
      </c>
      <c r="I742" s="49">
        <v>35</v>
      </c>
      <c r="J742" s="49">
        <v>0</v>
      </c>
      <c r="K742" s="49">
        <v>0</v>
      </c>
      <c r="L742" s="167">
        <v>22.4</v>
      </c>
      <c r="M742" s="168">
        <v>8525</v>
      </c>
      <c r="N742" s="168">
        <v>0</v>
      </c>
      <c r="O742" s="51">
        <v>2217</v>
      </c>
      <c r="P742" s="51">
        <v>0</v>
      </c>
      <c r="Q742" s="51">
        <v>171</v>
      </c>
      <c r="R742" s="51">
        <v>0</v>
      </c>
      <c r="S742" s="171">
        <v>0</v>
      </c>
      <c r="T742" s="171">
        <v>0</v>
      </c>
      <c r="U742" s="49" t="s">
        <v>226</v>
      </c>
      <c r="V742" s="49">
        <v>2015</v>
      </c>
      <c r="W742" s="49">
        <v>1</v>
      </c>
      <c r="X742" s="49">
        <v>0</v>
      </c>
      <c r="Y742" s="49">
        <v>-1.8E-3</v>
      </c>
      <c r="Z742" s="49">
        <v>-1.2E-2</v>
      </c>
      <c r="AA742" s="49">
        <v>0</v>
      </c>
      <c r="AB742" s="49">
        <v>0</v>
      </c>
      <c r="AC742" s="49" t="s">
        <v>350</v>
      </c>
      <c r="AD742" s="158"/>
    </row>
    <row r="743" spans="1:30" s="157" customFormat="1" hidden="1" x14ac:dyDescent="0.2">
      <c r="A743" s="153">
        <f t="shared" si="11"/>
        <v>719</v>
      </c>
      <c r="B743" s="49">
        <v>2</v>
      </c>
      <c r="C743" s="49">
        <v>4</v>
      </c>
      <c r="D743" s="49">
        <v>16</v>
      </c>
      <c r="E743" s="166">
        <v>2022</v>
      </c>
      <c r="F743" s="49">
        <v>2032</v>
      </c>
      <c r="G743" s="49">
        <v>1</v>
      </c>
      <c r="H743" s="49">
        <v>52</v>
      </c>
      <c r="I743" s="49">
        <v>35</v>
      </c>
      <c r="J743" s="49">
        <v>0</v>
      </c>
      <c r="K743" s="49">
        <v>0</v>
      </c>
      <c r="L743" s="167">
        <v>22.4</v>
      </c>
      <c r="M743" s="168">
        <v>8525</v>
      </c>
      <c r="N743" s="168">
        <v>0</v>
      </c>
      <c r="O743" s="51">
        <v>2558</v>
      </c>
      <c r="P743" s="51">
        <v>0</v>
      </c>
      <c r="Q743" s="51">
        <v>1769</v>
      </c>
      <c r="R743" s="51">
        <v>0</v>
      </c>
      <c r="S743" s="171">
        <v>0</v>
      </c>
      <c r="T743" s="171">
        <v>0</v>
      </c>
      <c r="U743" s="49" t="s">
        <v>226</v>
      </c>
      <c r="V743" s="49">
        <v>2015</v>
      </c>
      <c r="W743" s="49">
        <v>1</v>
      </c>
      <c r="X743" s="49">
        <v>0</v>
      </c>
      <c r="Y743" s="49">
        <v>-1.8E-3</v>
      </c>
      <c r="Z743" s="49">
        <v>-1.2E-2</v>
      </c>
      <c r="AA743" s="49">
        <v>0</v>
      </c>
      <c r="AB743" s="49">
        <v>0</v>
      </c>
      <c r="AC743" s="49" t="s">
        <v>350</v>
      </c>
      <c r="AD743" s="158"/>
    </row>
    <row r="744" spans="1:30" s="157" customFormat="1" hidden="1" x14ac:dyDescent="0.2">
      <c r="A744" s="153">
        <f t="shared" si="11"/>
        <v>720</v>
      </c>
      <c r="B744" s="49">
        <v>2</v>
      </c>
      <c r="C744" s="49">
        <v>4</v>
      </c>
      <c r="D744" s="49">
        <v>16</v>
      </c>
      <c r="E744" s="166">
        <v>2022</v>
      </c>
      <c r="F744" s="49">
        <v>2032</v>
      </c>
      <c r="G744" s="49">
        <v>2</v>
      </c>
      <c r="H744" s="49">
        <v>52</v>
      </c>
      <c r="I744" s="49">
        <v>35</v>
      </c>
      <c r="J744" s="49">
        <v>0</v>
      </c>
      <c r="K744" s="49">
        <v>0</v>
      </c>
      <c r="L744" s="167">
        <v>22.4</v>
      </c>
      <c r="M744" s="168">
        <v>8525</v>
      </c>
      <c r="N744" s="168">
        <v>0</v>
      </c>
      <c r="O744" s="51">
        <v>2558</v>
      </c>
      <c r="P744" s="51">
        <v>0</v>
      </c>
      <c r="Q744" s="51">
        <v>920</v>
      </c>
      <c r="R744" s="51">
        <v>0</v>
      </c>
      <c r="S744" s="171">
        <v>0</v>
      </c>
      <c r="T744" s="171">
        <v>0</v>
      </c>
      <c r="U744" s="49" t="s">
        <v>226</v>
      </c>
      <c r="V744" s="49">
        <v>2015</v>
      </c>
      <c r="W744" s="49">
        <v>1</v>
      </c>
      <c r="X744" s="49">
        <v>0</v>
      </c>
      <c r="Y744" s="49">
        <v>-1.8E-3</v>
      </c>
      <c r="Z744" s="49">
        <v>-1.2E-2</v>
      </c>
      <c r="AA744" s="49">
        <v>0</v>
      </c>
      <c r="AB744" s="49">
        <v>0</v>
      </c>
      <c r="AC744" s="49" t="s">
        <v>350</v>
      </c>
      <c r="AD744" s="158"/>
    </row>
    <row r="745" spans="1:30" s="157" customFormat="1" x14ac:dyDescent="0.2">
      <c r="A745" s="153">
        <f t="shared" si="11"/>
        <v>721</v>
      </c>
      <c r="B745" s="49">
        <v>2</v>
      </c>
      <c r="C745" s="49">
        <v>4</v>
      </c>
      <c r="D745" s="49">
        <v>16</v>
      </c>
      <c r="E745" s="166">
        <v>2022</v>
      </c>
      <c r="F745" s="49">
        <v>2032</v>
      </c>
      <c r="G745" s="49">
        <v>3</v>
      </c>
      <c r="H745" s="49">
        <v>52</v>
      </c>
      <c r="I745" s="49">
        <v>35</v>
      </c>
      <c r="J745" s="49">
        <v>0</v>
      </c>
      <c r="K745" s="49">
        <v>0</v>
      </c>
      <c r="L745" s="167">
        <v>22.4</v>
      </c>
      <c r="M745" s="168">
        <v>8525</v>
      </c>
      <c r="N745" s="168">
        <v>0</v>
      </c>
      <c r="O745" s="51">
        <v>2558</v>
      </c>
      <c r="P745" s="51">
        <v>0</v>
      </c>
      <c r="Q745" s="51">
        <v>451</v>
      </c>
      <c r="R745" s="51">
        <v>0</v>
      </c>
      <c r="S745" s="171">
        <v>0</v>
      </c>
      <c r="T745" s="171">
        <v>0</v>
      </c>
      <c r="U745" s="49" t="s">
        <v>226</v>
      </c>
      <c r="V745" s="49">
        <v>2015</v>
      </c>
      <c r="W745" s="49">
        <v>1</v>
      </c>
      <c r="X745" s="49">
        <v>0</v>
      </c>
      <c r="Y745" s="49">
        <v>-1.8E-3</v>
      </c>
      <c r="Z745" s="49">
        <v>-1.2E-2</v>
      </c>
      <c r="AA745" s="49">
        <v>0</v>
      </c>
      <c r="AB745" s="49">
        <v>0</v>
      </c>
      <c r="AC745" s="49" t="s">
        <v>350</v>
      </c>
      <c r="AD745" s="158"/>
    </row>
    <row r="746" spans="1:30" s="157" customFormat="1" hidden="1" x14ac:dyDescent="0.2">
      <c r="A746" s="153">
        <f t="shared" si="11"/>
        <v>722</v>
      </c>
      <c r="B746" s="49">
        <v>2</v>
      </c>
      <c r="C746" s="49">
        <v>4</v>
      </c>
      <c r="D746" s="49">
        <v>16</v>
      </c>
      <c r="E746" s="166">
        <v>2022</v>
      </c>
      <c r="F746" s="49">
        <v>2032</v>
      </c>
      <c r="G746" s="49">
        <v>4</v>
      </c>
      <c r="H746" s="49">
        <v>52</v>
      </c>
      <c r="I746" s="49">
        <v>35</v>
      </c>
      <c r="J746" s="49">
        <v>0</v>
      </c>
      <c r="K746" s="49">
        <v>0</v>
      </c>
      <c r="L746" s="167">
        <v>22.4</v>
      </c>
      <c r="M746" s="168">
        <v>8525</v>
      </c>
      <c r="N746" s="168">
        <v>0</v>
      </c>
      <c r="O746" s="51">
        <v>2558</v>
      </c>
      <c r="P746" s="51">
        <v>0</v>
      </c>
      <c r="Q746" s="51">
        <v>397</v>
      </c>
      <c r="R746" s="51">
        <v>0</v>
      </c>
      <c r="S746" s="171">
        <v>0</v>
      </c>
      <c r="T746" s="171">
        <v>0</v>
      </c>
      <c r="U746" s="49" t="s">
        <v>226</v>
      </c>
      <c r="V746" s="49">
        <v>2015</v>
      </c>
      <c r="W746" s="49">
        <v>1</v>
      </c>
      <c r="X746" s="49">
        <v>0</v>
      </c>
      <c r="Y746" s="49">
        <v>-1.8E-3</v>
      </c>
      <c r="Z746" s="49">
        <v>-1.2E-2</v>
      </c>
      <c r="AA746" s="49">
        <v>0</v>
      </c>
      <c r="AB746" s="49">
        <v>0</v>
      </c>
      <c r="AC746" s="49" t="s">
        <v>350</v>
      </c>
      <c r="AD746" s="158"/>
    </row>
    <row r="747" spans="1:30" s="157" customFormat="1" hidden="1" x14ac:dyDescent="0.2">
      <c r="A747" s="153">
        <f t="shared" si="11"/>
        <v>723</v>
      </c>
      <c r="B747" s="49">
        <v>2</v>
      </c>
      <c r="C747" s="49">
        <v>4</v>
      </c>
      <c r="D747" s="49">
        <v>16</v>
      </c>
      <c r="E747" s="166">
        <v>2022</v>
      </c>
      <c r="F747" s="49">
        <v>2032</v>
      </c>
      <c r="G747" s="49">
        <v>5</v>
      </c>
      <c r="H747" s="49">
        <v>52</v>
      </c>
      <c r="I747" s="49">
        <v>35</v>
      </c>
      <c r="J747" s="49">
        <v>0</v>
      </c>
      <c r="K747" s="49">
        <v>0</v>
      </c>
      <c r="L747" s="167">
        <v>22.4</v>
      </c>
      <c r="M747" s="168">
        <v>8525</v>
      </c>
      <c r="N747" s="168">
        <v>0</v>
      </c>
      <c r="O747" s="51">
        <v>2558</v>
      </c>
      <c r="P747" s="51">
        <v>0</v>
      </c>
      <c r="Q747" s="51">
        <v>205</v>
      </c>
      <c r="R747" s="51">
        <v>0</v>
      </c>
      <c r="S747" s="171">
        <v>0</v>
      </c>
      <c r="T747" s="171">
        <v>0</v>
      </c>
      <c r="U747" s="49" t="s">
        <v>226</v>
      </c>
      <c r="V747" s="49">
        <v>2015</v>
      </c>
      <c r="W747" s="49">
        <v>1</v>
      </c>
      <c r="X747" s="49">
        <v>0</v>
      </c>
      <c r="Y747" s="49">
        <v>-1.8E-3</v>
      </c>
      <c r="Z747" s="49">
        <v>-1.2E-2</v>
      </c>
      <c r="AA747" s="49">
        <v>0</v>
      </c>
      <c r="AB747" s="49">
        <v>0</v>
      </c>
      <c r="AC747" s="49" t="s">
        <v>350</v>
      </c>
      <c r="AD747" s="158"/>
    </row>
    <row r="748" spans="1:30" s="157" customFormat="1" hidden="1" x14ac:dyDescent="0.2">
      <c r="A748" s="153">
        <f t="shared" si="11"/>
        <v>724</v>
      </c>
      <c r="B748" s="49">
        <v>2</v>
      </c>
      <c r="C748" s="49">
        <v>4</v>
      </c>
      <c r="D748" s="49">
        <v>16</v>
      </c>
      <c r="E748" s="166">
        <v>2022</v>
      </c>
      <c r="F748" s="49">
        <v>2032</v>
      </c>
      <c r="G748" s="49">
        <v>6</v>
      </c>
      <c r="H748" s="49">
        <v>52</v>
      </c>
      <c r="I748" s="49">
        <v>35</v>
      </c>
      <c r="J748" s="49">
        <v>0</v>
      </c>
      <c r="K748" s="49">
        <v>0</v>
      </c>
      <c r="L748" s="167">
        <v>22.4</v>
      </c>
      <c r="M748" s="168">
        <v>8525</v>
      </c>
      <c r="N748" s="168">
        <v>0</v>
      </c>
      <c r="O748" s="51">
        <v>2558</v>
      </c>
      <c r="P748" s="51">
        <v>0</v>
      </c>
      <c r="Q748" s="51">
        <v>41</v>
      </c>
      <c r="R748" s="51">
        <v>0</v>
      </c>
      <c r="S748" s="171">
        <v>0</v>
      </c>
      <c r="T748" s="171">
        <v>0</v>
      </c>
      <c r="U748" s="49" t="s">
        <v>226</v>
      </c>
      <c r="V748" s="49">
        <v>2015</v>
      </c>
      <c r="W748" s="49">
        <v>1</v>
      </c>
      <c r="X748" s="49">
        <v>0</v>
      </c>
      <c r="Y748" s="49">
        <v>-1.8E-3</v>
      </c>
      <c r="Z748" s="49">
        <v>-1.2E-2</v>
      </c>
      <c r="AA748" s="49">
        <v>0</v>
      </c>
      <c r="AB748" s="49">
        <v>0</v>
      </c>
      <c r="AC748" s="49" t="s">
        <v>350</v>
      </c>
      <c r="AD748" s="158"/>
    </row>
    <row r="749" spans="1:30" s="157" customFormat="1" hidden="1" x14ac:dyDescent="0.2">
      <c r="A749" s="153">
        <f t="shared" si="11"/>
        <v>725</v>
      </c>
      <c r="B749" s="49">
        <v>2</v>
      </c>
      <c r="C749" s="49">
        <v>4</v>
      </c>
      <c r="D749" s="49">
        <v>16</v>
      </c>
      <c r="E749" s="166">
        <v>2022</v>
      </c>
      <c r="F749" s="49">
        <v>2032</v>
      </c>
      <c r="G749" s="49">
        <v>7</v>
      </c>
      <c r="H749" s="49">
        <v>52</v>
      </c>
      <c r="I749" s="49">
        <v>35</v>
      </c>
      <c r="J749" s="49">
        <v>0</v>
      </c>
      <c r="K749" s="49">
        <v>0</v>
      </c>
      <c r="L749" s="167">
        <v>22.4</v>
      </c>
      <c r="M749" s="168">
        <v>8525</v>
      </c>
      <c r="N749" s="168">
        <v>0</v>
      </c>
      <c r="O749" s="51">
        <v>2558</v>
      </c>
      <c r="P749" s="51">
        <v>0</v>
      </c>
      <c r="Q749" s="51">
        <v>82</v>
      </c>
      <c r="R749" s="51">
        <v>0</v>
      </c>
      <c r="S749" s="171">
        <v>0</v>
      </c>
      <c r="T749" s="171">
        <v>0</v>
      </c>
      <c r="U749" s="49" t="s">
        <v>226</v>
      </c>
      <c r="V749" s="49">
        <v>2015</v>
      </c>
      <c r="W749" s="49">
        <v>1</v>
      </c>
      <c r="X749" s="49">
        <v>0</v>
      </c>
      <c r="Y749" s="49">
        <v>-1.8E-3</v>
      </c>
      <c r="Z749" s="49">
        <v>-1.2E-2</v>
      </c>
      <c r="AA749" s="49">
        <v>0</v>
      </c>
      <c r="AB749" s="49">
        <v>0</v>
      </c>
      <c r="AC749" s="49" t="s">
        <v>350</v>
      </c>
      <c r="AD749" s="158"/>
    </row>
    <row r="750" spans="1:30" s="157" customFormat="1" hidden="1" x14ac:dyDescent="0.2">
      <c r="A750" s="153">
        <f t="shared" si="11"/>
        <v>726</v>
      </c>
      <c r="B750" s="49">
        <v>2</v>
      </c>
      <c r="C750" s="49">
        <v>4</v>
      </c>
      <c r="D750" s="49">
        <v>16</v>
      </c>
      <c r="E750" s="166">
        <v>2022</v>
      </c>
      <c r="F750" s="49">
        <v>2032</v>
      </c>
      <c r="G750" s="49">
        <v>8</v>
      </c>
      <c r="H750" s="49">
        <v>52</v>
      </c>
      <c r="I750" s="49">
        <v>35</v>
      </c>
      <c r="J750" s="49">
        <v>0</v>
      </c>
      <c r="K750" s="49">
        <v>0</v>
      </c>
      <c r="L750" s="167">
        <v>22.4</v>
      </c>
      <c r="M750" s="168">
        <v>8525</v>
      </c>
      <c r="N750" s="168">
        <v>0</v>
      </c>
      <c r="O750" s="51">
        <v>2558</v>
      </c>
      <c r="P750" s="51">
        <v>0</v>
      </c>
      <c r="Q750" s="51">
        <v>305</v>
      </c>
      <c r="R750" s="51">
        <v>0</v>
      </c>
      <c r="S750" s="171">
        <v>0</v>
      </c>
      <c r="T750" s="171">
        <v>0</v>
      </c>
      <c r="U750" s="49" t="s">
        <v>226</v>
      </c>
      <c r="V750" s="49">
        <v>2015</v>
      </c>
      <c r="W750" s="49">
        <v>1</v>
      </c>
      <c r="X750" s="49">
        <v>0</v>
      </c>
      <c r="Y750" s="49">
        <v>-1.8E-3</v>
      </c>
      <c r="Z750" s="49">
        <v>-1.2E-2</v>
      </c>
      <c r="AA750" s="49">
        <v>0</v>
      </c>
      <c r="AB750" s="49">
        <v>0</v>
      </c>
      <c r="AC750" s="49" t="s">
        <v>350</v>
      </c>
      <c r="AD750" s="158"/>
    </row>
    <row r="751" spans="1:30" s="157" customFormat="1" hidden="1" x14ac:dyDescent="0.2">
      <c r="A751" s="153">
        <f t="shared" si="11"/>
        <v>727</v>
      </c>
      <c r="B751" s="49">
        <v>2</v>
      </c>
      <c r="C751" s="49">
        <v>4</v>
      </c>
      <c r="D751" s="49">
        <v>16</v>
      </c>
      <c r="E751" s="166">
        <v>2022</v>
      </c>
      <c r="F751" s="49">
        <v>2032</v>
      </c>
      <c r="G751" s="49">
        <v>9</v>
      </c>
      <c r="H751" s="49">
        <v>52</v>
      </c>
      <c r="I751" s="49">
        <v>35</v>
      </c>
      <c r="J751" s="49">
        <v>0</v>
      </c>
      <c r="K751" s="49">
        <v>0</v>
      </c>
      <c r="L751" s="167">
        <v>22.4</v>
      </c>
      <c r="M751" s="168">
        <v>8525</v>
      </c>
      <c r="N751" s="168">
        <v>0</v>
      </c>
      <c r="O751" s="51">
        <v>2558</v>
      </c>
      <c r="P751" s="51">
        <v>0</v>
      </c>
      <c r="Q751" s="51">
        <v>171</v>
      </c>
      <c r="R751" s="51">
        <v>0</v>
      </c>
      <c r="S751" s="171">
        <v>0</v>
      </c>
      <c r="T751" s="171">
        <v>0</v>
      </c>
      <c r="U751" s="49" t="s">
        <v>226</v>
      </c>
      <c r="V751" s="49">
        <v>2015</v>
      </c>
      <c r="W751" s="49">
        <v>1</v>
      </c>
      <c r="X751" s="49">
        <v>0</v>
      </c>
      <c r="Y751" s="49">
        <v>-1.8E-3</v>
      </c>
      <c r="Z751" s="49">
        <v>-1.2E-2</v>
      </c>
      <c r="AA751" s="49">
        <v>0</v>
      </c>
      <c r="AB751" s="49">
        <v>0</v>
      </c>
      <c r="AC751" s="49" t="s">
        <v>350</v>
      </c>
      <c r="AD751" s="158"/>
    </row>
    <row r="752" spans="1:30" customFormat="1" hidden="1" x14ac:dyDescent="0.2">
      <c r="A752" s="153">
        <f t="shared" si="11"/>
        <v>728</v>
      </c>
      <c r="B752" s="33">
        <v>2</v>
      </c>
      <c r="C752" s="33">
        <v>4</v>
      </c>
      <c r="D752" s="33">
        <v>16</v>
      </c>
      <c r="E752" s="143">
        <v>2033</v>
      </c>
      <c r="F752" s="159">
        <v>2033</v>
      </c>
      <c r="G752" s="33">
        <v>1</v>
      </c>
      <c r="H752" s="33">
        <v>52</v>
      </c>
      <c r="I752" s="33">
        <v>35</v>
      </c>
      <c r="J752" s="33">
        <v>0</v>
      </c>
      <c r="K752" s="33">
        <v>0</v>
      </c>
      <c r="L752" s="101">
        <v>22.4</v>
      </c>
      <c r="M752" s="108">
        <v>8525</v>
      </c>
      <c r="N752" s="108">
        <v>0</v>
      </c>
      <c r="O752" s="142">
        <v>2217</v>
      </c>
      <c r="P752" s="142">
        <v>0</v>
      </c>
      <c r="Q752" s="160">
        <v>1769</v>
      </c>
      <c r="R752" s="149">
        <v>0</v>
      </c>
      <c r="S752" s="116">
        <v>0</v>
      </c>
      <c r="T752" s="116">
        <v>0</v>
      </c>
      <c r="U752" s="33" t="s">
        <v>226</v>
      </c>
      <c r="V752" s="33">
        <v>2015</v>
      </c>
      <c r="W752" s="33">
        <v>1</v>
      </c>
      <c r="X752" s="33">
        <v>0</v>
      </c>
      <c r="Y752" s="33">
        <v>-1.8E-3</v>
      </c>
      <c r="Z752" s="33">
        <v>-1.2E-2</v>
      </c>
      <c r="AA752" s="33">
        <v>0</v>
      </c>
      <c r="AB752" s="33">
        <v>0</v>
      </c>
      <c r="AC752" s="33" t="s">
        <v>350</v>
      </c>
      <c r="AD752" s="158"/>
    </row>
    <row r="753" spans="1:30" customFormat="1" hidden="1" x14ac:dyDescent="0.2">
      <c r="A753" s="153">
        <f t="shared" si="11"/>
        <v>729</v>
      </c>
      <c r="B753" s="33">
        <v>2</v>
      </c>
      <c r="C753" s="33">
        <v>4</v>
      </c>
      <c r="D753" s="33">
        <v>16</v>
      </c>
      <c r="E753" s="143">
        <v>2033</v>
      </c>
      <c r="F753" s="159">
        <v>2033</v>
      </c>
      <c r="G753" s="33">
        <v>2</v>
      </c>
      <c r="H753" s="33">
        <v>52</v>
      </c>
      <c r="I753" s="33">
        <v>35</v>
      </c>
      <c r="J753" s="33">
        <v>0</v>
      </c>
      <c r="K753" s="33">
        <v>0</v>
      </c>
      <c r="L753" s="101">
        <v>22.4</v>
      </c>
      <c r="M753" s="108">
        <v>8525</v>
      </c>
      <c r="N753" s="108">
        <v>0</v>
      </c>
      <c r="O753" s="142">
        <v>2217</v>
      </c>
      <c r="P753" s="142">
        <v>0</v>
      </c>
      <c r="Q753" s="160">
        <v>920</v>
      </c>
      <c r="R753" s="149">
        <v>0</v>
      </c>
      <c r="S753" s="116">
        <v>0</v>
      </c>
      <c r="T753" s="116">
        <v>0</v>
      </c>
      <c r="U753" s="33" t="s">
        <v>226</v>
      </c>
      <c r="V753" s="33">
        <v>2015</v>
      </c>
      <c r="W753" s="33">
        <v>1</v>
      </c>
      <c r="X753" s="33">
        <v>0</v>
      </c>
      <c r="Y753" s="33">
        <v>-1.8E-3</v>
      </c>
      <c r="Z753" s="33">
        <v>-1.2E-2</v>
      </c>
      <c r="AA753" s="33">
        <v>0</v>
      </c>
      <c r="AB753" s="33">
        <v>0</v>
      </c>
      <c r="AC753" s="33" t="s">
        <v>350</v>
      </c>
      <c r="AD753" s="158"/>
    </row>
    <row r="754" spans="1:30" customFormat="1" x14ac:dyDescent="0.2">
      <c r="A754" s="153">
        <f t="shared" si="11"/>
        <v>730</v>
      </c>
      <c r="B754" s="33">
        <v>2</v>
      </c>
      <c r="C754" s="33">
        <v>4</v>
      </c>
      <c r="D754" s="33">
        <v>16</v>
      </c>
      <c r="E754" s="143">
        <v>2033</v>
      </c>
      <c r="F754" s="159">
        <v>2033</v>
      </c>
      <c r="G754" s="33">
        <v>3</v>
      </c>
      <c r="H754" s="33">
        <v>52</v>
      </c>
      <c r="I754" s="33">
        <v>35</v>
      </c>
      <c r="J754" s="33">
        <v>0</v>
      </c>
      <c r="K754" s="33">
        <v>0</v>
      </c>
      <c r="L754" s="101">
        <v>22.4</v>
      </c>
      <c r="M754" s="108">
        <v>8525</v>
      </c>
      <c r="N754" s="108">
        <v>0</v>
      </c>
      <c r="O754" s="142">
        <v>2217</v>
      </c>
      <c r="P754" s="142">
        <v>0</v>
      </c>
      <c r="Q754" s="160">
        <v>451</v>
      </c>
      <c r="R754" s="149">
        <v>0</v>
      </c>
      <c r="S754" s="116">
        <v>0</v>
      </c>
      <c r="T754" s="116">
        <v>0</v>
      </c>
      <c r="U754" s="33" t="s">
        <v>226</v>
      </c>
      <c r="V754" s="33">
        <v>2015</v>
      </c>
      <c r="W754" s="33">
        <v>1</v>
      </c>
      <c r="X754" s="33">
        <v>0</v>
      </c>
      <c r="Y754" s="33">
        <v>-1.8E-3</v>
      </c>
      <c r="Z754" s="33">
        <v>-1.2E-2</v>
      </c>
      <c r="AA754" s="33">
        <v>0</v>
      </c>
      <c r="AB754" s="33">
        <v>0</v>
      </c>
      <c r="AC754" s="33" t="s">
        <v>350</v>
      </c>
      <c r="AD754" s="158"/>
    </row>
    <row r="755" spans="1:30" customFormat="1" hidden="1" x14ac:dyDescent="0.2">
      <c r="A755" s="153">
        <f t="shared" si="11"/>
        <v>731</v>
      </c>
      <c r="B755" s="33">
        <v>2</v>
      </c>
      <c r="C755" s="33">
        <v>4</v>
      </c>
      <c r="D755" s="33">
        <v>16</v>
      </c>
      <c r="E755" s="143">
        <v>2033</v>
      </c>
      <c r="F755" s="159">
        <v>2033</v>
      </c>
      <c r="G755" s="33">
        <v>4</v>
      </c>
      <c r="H755" s="33">
        <v>52</v>
      </c>
      <c r="I755" s="33">
        <v>35</v>
      </c>
      <c r="J755" s="33">
        <v>0</v>
      </c>
      <c r="K755" s="33">
        <v>0</v>
      </c>
      <c r="L755" s="101">
        <v>22.4</v>
      </c>
      <c r="M755" s="108">
        <v>8525</v>
      </c>
      <c r="N755" s="108">
        <v>0</v>
      </c>
      <c r="O755" s="142">
        <v>2217</v>
      </c>
      <c r="P755" s="142">
        <v>0</v>
      </c>
      <c r="Q755" s="160">
        <v>397</v>
      </c>
      <c r="R755" s="149">
        <v>0</v>
      </c>
      <c r="S755" s="116">
        <v>0</v>
      </c>
      <c r="T755" s="116">
        <v>0</v>
      </c>
      <c r="U755" s="33" t="s">
        <v>226</v>
      </c>
      <c r="V755" s="33">
        <v>2015</v>
      </c>
      <c r="W755" s="33">
        <v>1</v>
      </c>
      <c r="X755" s="33">
        <v>0</v>
      </c>
      <c r="Y755" s="33">
        <v>-1.8E-3</v>
      </c>
      <c r="Z755" s="33">
        <v>-1.2E-2</v>
      </c>
      <c r="AA755" s="33">
        <v>0</v>
      </c>
      <c r="AB755" s="33">
        <v>0</v>
      </c>
      <c r="AC755" s="33" t="s">
        <v>350</v>
      </c>
      <c r="AD755" s="158"/>
    </row>
    <row r="756" spans="1:30" customFormat="1" hidden="1" x14ac:dyDescent="0.2">
      <c r="A756" s="153">
        <f t="shared" si="11"/>
        <v>732</v>
      </c>
      <c r="B756" s="33">
        <v>2</v>
      </c>
      <c r="C756" s="33">
        <v>4</v>
      </c>
      <c r="D756" s="33">
        <v>16</v>
      </c>
      <c r="E756" s="143">
        <v>2033</v>
      </c>
      <c r="F756" s="159">
        <v>2033</v>
      </c>
      <c r="G756" s="33">
        <v>5</v>
      </c>
      <c r="H756" s="33">
        <v>52</v>
      </c>
      <c r="I756" s="33">
        <v>35</v>
      </c>
      <c r="J756" s="33">
        <v>0</v>
      </c>
      <c r="K756" s="33">
        <v>0</v>
      </c>
      <c r="L756" s="101">
        <v>22.4</v>
      </c>
      <c r="M756" s="108">
        <v>8525</v>
      </c>
      <c r="N756" s="108">
        <v>0</v>
      </c>
      <c r="O756" s="142">
        <v>2217</v>
      </c>
      <c r="P756" s="142">
        <v>0</v>
      </c>
      <c r="Q756" s="160">
        <v>205</v>
      </c>
      <c r="R756" s="149">
        <v>0</v>
      </c>
      <c r="S756" s="116">
        <v>0</v>
      </c>
      <c r="T756" s="116">
        <v>0</v>
      </c>
      <c r="U756" s="33" t="s">
        <v>226</v>
      </c>
      <c r="V756" s="33">
        <v>2015</v>
      </c>
      <c r="W756" s="33">
        <v>1</v>
      </c>
      <c r="X756" s="33">
        <v>0</v>
      </c>
      <c r="Y756" s="33">
        <v>-1.8E-3</v>
      </c>
      <c r="Z756" s="33">
        <v>-1.2E-2</v>
      </c>
      <c r="AA756" s="33">
        <v>0</v>
      </c>
      <c r="AB756" s="33">
        <v>0</v>
      </c>
      <c r="AC756" s="33" t="s">
        <v>350</v>
      </c>
      <c r="AD756" s="158"/>
    </row>
    <row r="757" spans="1:30" customFormat="1" hidden="1" x14ac:dyDescent="0.2">
      <c r="A757" s="153">
        <f t="shared" si="11"/>
        <v>733</v>
      </c>
      <c r="B757" s="33">
        <v>2</v>
      </c>
      <c r="C757" s="33">
        <v>4</v>
      </c>
      <c r="D757" s="33">
        <v>16</v>
      </c>
      <c r="E757" s="143">
        <v>2033</v>
      </c>
      <c r="F757" s="159">
        <v>2033</v>
      </c>
      <c r="G757" s="33">
        <v>6</v>
      </c>
      <c r="H757" s="33">
        <v>52</v>
      </c>
      <c r="I757" s="33">
        <v>35</v>
      </c>
      <c r="J757" s="33">
        <v>0</v>
      </c>
      <c r="K757" s="33">
        <v>0</v>
      </c>
      <c r="L757" s="101">
        <v>22.4</v>
      </c>
      <c r="M757" s="108">
        <v>8525</v>
      </c>
      <c r="N757" s="108">
        <v>0</v>
      </c>
      <c r="O757" s="142">
        <v>2217</v>
      </c>
      <c r="P757" s="142">
        <v>0</v>
      </c>
      <c r="Q757" s="160">
        <v>41</v>
      </c>
      <c r="R757" s="149">
        <v>0</v>
      </c>
      <c r="S757" s="116">
        <v>0</v>
      </c>
      <c r="T757" s="116">
        <v>0</v>
      </c>
      <c r="U757" s="33" t="s">
        <v>226</v>
      </c>
      <c r="V757" s="33">
        <v>2015</v>
      </c>
      <c r="W757" s="33">
        <v>1</v>
      </c>
      <c r="X757" s="33">
        <v>0</v>
      </c>
      <c r="Y757" s="33">
        <v>-1.8E-3</v>
      </c>
      <c r="Z757" s="33">
        <v>-1.2E-2</v>
      </c>
      <c r="AA757" s="33">
        <v>0</v>
      </c>
      <c r="AB757" s="33">
        <v>0</v>
      </c>
      <c r="AC757" s="33" t="s">
        <v>350</v>
      </c>
      <c r="AD757" s="158"/>
    </row>
    <row r="758" spans="1:30" customFormat="1" hidden="1" x14ac:dyDescent="0.2">
      <c r="A758" s="153">
        <f t="shared" si="11"/>
        <v>734</v>
      </c>
      <c r="B758" s="33">
        <v>2</v>
      </c>
      <c r="C758" s="33">
        <v>4</v>
      </c>
      <c r="D758" s="33">
        <v>16</v>
      </c>
      <c r="E758" s="143">
        <v>2033</v>
      </c>
      <c r="F758" s="159">
        <v>2033</v>
      </c>
      <c r="G758" s="33">
        <v>7</v>
      </c>
      <c r="H758" s="33">
        <v>52</v>
      </c>
      <c r="I758" s="33">
        <v>35</v>
      </c>
      <c r="J758" s="33">
        <v>0</v>
      </c>
      <c r="K758" s="33">
        <v>0</v>
      </c>
      <c r="L758" s="101">
        <v>22.4</v>
      </c>
      <c r="M758" s="108">
        <v>8525</v>
      </c>
      <c r="N758" s="108">
        <v>0</v>
      </c>
      <c r="O758" s="142">
        <v>2217</v>
      </c>
      <c r="P758" s="142">
        <v>0</v>
      </c>
      <c r="Q758" s="160">
        <v>82</v>
      </c>
      <c r="R758" s="149">
        <v>0</v>
      </c>
      <c r="S758" s="116">
        <v>0</v>
      </c>
      <c r="T758" s="116">
        <v>0</v>
      </c>
      <c r="U758" s="33" t="s">
        <v>226</v>
      </c>
      <c r="V758" s="33">
        <v>2015</v>
      </c>
      <c r="W758" s="33">
        <v>1</v>
      </c>
      <c r="X758" s="33">
        <v>0</v>
      </c>
      <c r="Y758" s="33">
        <v>-1.8E-3</v>
      </c>
      <c r="Z758" s="33">
        <v>-1.2E-2</v>
      </c>
      <c r="AA758" s="33">
        <v>0</v>
      </c>
      <c r="AB758" s="33">
        <v>0</v>
      </c>
      <c r="AC758" s="33" t="s">
        <v>350</v>
      </c>
      <c r="AD758" s="158"/>
    </row>
    <row r="759" spans="1:30" customFormat="1" hidden="1" x14ac:dyDescent="0.2">
      <c r="A759" s="153">
        <f t="shared" si="11"/>
        <v>735</v>
      </c>
      <c r="B759" s="33">
        <v>2</v>
      </c>
      <c r="C759" s="33">
        <v>4</v>
      </c>
      <c r="D759" s="33">
        <v>16</v>
      </c>
      <c r="E759" s="143">
        <v>2033</v>
      </c>
      <c r="F759" s="159">
        <v>2033</v>
      </c>
      <c r="G759" s="33">
        <v>8</v>
      </c>
      <c r="H759" s="33">
        <v>52</v>
      </c>
      <c r="I759" s="33">
        <v>35</v>
      </c>
      <c r="J759" s="33">
        <v>0</v>
      </c>
      <c r="K759" s="33">
        <v>0</v>
      </c>
      <c r="L759" s="101">
        <v>22.4</v>
      </c>
      <c r="M759" s="108">
        <v>8525</v>
      </c>
      <c r="N759" s="108">
        <v>0</v>
      </c>
      <c r="O759" s="142">
        <v>2217</v>
      </c>
      <c r="P759" s="142">
        <v>0</v>
      </c>
      <c r="Q759" s="160">
        <v>305</v>
      </c>
      <c r="R759" s="149">
        <v>0</v>
      </c>
      <c r="S759" s="116">
        <v>0</v>
      </c>
      <c r="T759" s="116">
        <v>0</v>
      </c>
      <c r="U759" s="33" t="s">
        <v>226</v>
      </c>
      <c r="V759" s="33">
        <v>2015</v>
      </c>
      <c r="W759" s="33">
        <v>1</v>
      </c>
      <c r="X759" s="33">
        <v>0</v>
      </c>
      <c r="Y759" s="33">
        <v>-1.8E-3</v>
      </c>
      <c r="Z759" s="33">
        <v>-1.2E-2</v>
      </c>
      <c r="AA759" s="33">
        <v>0</v>
      </c>
      <c r="AB759" s="33">
        <v>0</v>
      </c>
      <c r="AC759" s="33" t="s">
        <v>350</v>
      </c>
      <c r="AD759" s="158"/>
    </row>
    <row r="760" spans="1:30" customFormat="1" hidden="1" x14ac:dyDescent="0.2">
      <c r="A760" s="153">
        <f t="shared" si="11"/>
        <v>736</v>
      </c>
      <c r="B760" s="33">
        <v>2</v>
      </c>
      <c r="C760" s="33">
        <v>4</v>
      </c>
      <c r="D760" s="33">
        <v>16</v>
      </c>
      <c r="E760" s="143">
        <v>2033</v>
      </c>
      <c r="F760" s="159">
        <v>2033</v>
      </c>
      <c r="G760" s="33">
        <v>9</v>
      </c>
      <c r="H760" s="33">
        <v>52</v>
      </c>
      <c r="I760" s="33">
        <v>35</v>
      </c>
      <c r="J760" s="33">
        <v>0</v>
      </c>
      <c r="K760" s="33">
        <v>0</v>
      </c>
      <c r="L760" s="101">
        <v>22.4</v>
      </c>
      <c r="M760" s="108">
        <v>8525</v>
      </c>
      <c r="N760" s="108">
        <v>0</v>
      </c>
      <c r="O760" s="142">
        <v>2217</v>
      </c>
      <c r="P760" s="142">
        <v>0</v>
      </c>
      <c r="Q760" s="160">
        <v>171</v>
      </c>
      <c r="R760" s="149">
        <v>0</v>
      </c>
      <c r="S760" s="116">
        <v>0</v>
      </c>
      <c r="T760" s="116">
        <v>0</v>
      </c>
      <c r="U760" s="33" t="s">
        <v>226</v>
      </c>
      <c r="V760" s="33">
        <v>2015</v>
      </c>
      <c r="W760" s="33">
        <v>1</v>
      </c>
      <c r="X760" s="33">
        <v>0</v>
      </c>
      <c r="Y760" s="33">
        <v>-1.8E-3</v>
      </c>
      <c r="Z760" s="33">
        <v>-1.2E-2</v>
      </c>
      <c r="AA760" s="33">
        <v>0</v>
      </c>
      <c r="AB760" s="33">
        <v>0</v>
      </c>
      <c r="AC760" s="33" t="s">
        <v>350</v>
      </c>
      <c r="AD760" s="158"/>
    </row>
    <row r="761" spans="1:30" hidden="1" x14ac:dyDescent="0.2">
      <c r="A761" s="153">
        <f t="shared" si="11"/>
        <v>737</v>
      </c>
      <c r="B761" s="33">
        <v>2</v>
      </c>
      <c r="C761" s="33">
        <v>4</v>
      </c>
      <c r="D761" s="33">
        <v>16</v>
      </c>
      <c r="E761" s="143">
        <v>2034</v>
      </c>
      <c r="F761" s="159">
        <v>2034</v>
      </c>
      <c r="G761" s="33">
        <v>1</v>
      </c>
      <c r="H761" s="33">
        <v>52</v>
      </c>
      <c r="I761" s="33">
        <v>35</v>
      </c>
      <c r="J761" s="33">
        <v>0</v>
      </c>
      <c r="K761" s="33">
        <v>0</v>
      </c>
      <c r="L761" s="101">
        <v>22.4</v>
      </c>
      <c r="M761" s="108">
        <v>8525</v>
      </c>
      <c r="N761" s="108">
        <v>0</v>
      </c>
      <c r="O761" s="142">
        <v>1876</v>
      </c>
      <c r="P761" s="142">
        <v>0</v>
      </c>
      <c r="Q761" s="160">
        <v>1769</v>
      </c>
      <c r="R761" s="149">
        <v>0</v>
      </c>
      <c r="S761" s="116">
        <v>0</v>
      </c>
      <c r="T761" s="116">
        <v>0</v>
      </c>
      <c r="U761" s="33" t="s">
        <v>226</v>
      </c>
      <c r="V761" s="33">
        <v>2015</v>
      </c>
      <c r="W761" s="33">
        <v>1</v>
      </c>
      <c r="X761" s="33">
        <v>0</v>
      </c>
      <c r="Y761" s="33">
        <v>-1.8E-3</v>
      </c>
      <c r="Z761" s="33">
        <v>-1.2E-2</v>
      </c>
      <c r="AA761" s="33">
        <v>0</v>
      </c>
      <c r="AB761" s="33">
        <v>0</v>
      </c>
      <c r="AC761" s="33" t="s">
        <v>350</v>
      </c>
    </row>
    <row r="762" spans="1:30" hidden="1" x14ac:dyDescent="0.2">
      <c r="A762" s="153">
        <f t="shared" si="11"/>
        <v>738</v>
      </c>
      <c r="B762" s="33">
        <v>2</v>
      </c>
      <c r="C762" s="33">
        <v>4</v>
      </c>
      <c r="D762" s="33">
        <v>16</v>
      </c>
      <c r="E762" s="143">
        <v>2034</v>
      </c>
      <c r="F762" s="159">
        <v>2034</v>
      </c>
      <c r="G762" s="33">
        <v>2</v>
      </c>
      <c r="H762" s="33">
        <v>52</v>
      </c>
      <c r="I762" s="33">
        <v>35</v>
      </c>
      <c r="J762" s="33">
        <v>0</v>
      </c>
      <c r="K762" s="33">
        <v>0</v>
      </c>
      <c r="L762" s="101">
        <v>22.4</v>
      </c>
      <c r="M762" s="108">
        <v>8525</v>
      </c>
      <c r="N762" s="108">
        <v>0</v>
      </c>
      <c r="O762" s="142">
        <v>1876</v>
      </c>
      <c r="P762" s="142">
        <v>0</v>
      </c>
      <c r="Q762" s="160">
        <v>920</v>
      </c>
      <c r="R762" s="149">
        <v>0</v>
      </c>
      <c r="S762" s="116">
        <v>0</v>
      </c>
      <c r="T762" s="116">
        <v>0</v>
      </c>
      <c r="U762" s="33" t="s">
        <v>226</v>
      </c>
      <c r="V762" s="33">
        <v>2015</v>
      </c>
      <c r="W762" s="33">
        <v>1</v>
      </c>
      <c r="X762" s="33">
        <v>0</v>
      </c>
      <c r="Y762" s="33">
        <v>-1.8E-3</v>
      </c>
      <c r="Z762" s="33">
        <v>-1.2E-2</v>
      </c>
      <c r="AA762" s="33">
        <v>0</v>
      </c>
      <c r="AB762" s="33">
        <v>0</v>
      </c>
      <c r="AC762" s="33" t="s">
        <v>350</v>
      </c>
    </row>
    <row r="763" spans="1:30" x14ac:dyDescent="0.2">
      <c r="A763" s="153">
        <f t="shared" si="11"/>
        <v>739</v>
      </c>
      <c r="B763" s="33">
        <v>2</v>
      </c>
      <c r="C763" s="33">
        <v>4</v>
      </c>
      <c r="D763" s="33">
        <v>16</v>
      </c>
      <c r="E763" s="143">
        <v>2034</v>
      </c>
      <c r="F763" s="159">
        <v>2034</v>
      </c>
      <c r="G763" s="33">
        <v>3</v>
      </c>
      <c r="H763" s="33">
        <v>52</v>
      </c>
      <c r="I763" s="33">
        <v>35</v>
      </c>
      <c r="J763" s="33">
        <v>0</v>
      </c>
      <c r="K763" s="33">
        <v>0</v>
      </c>
      <c r="L763" s="101">
        <v>22.4</v>
      </c>
      <c r="M763" s="108">
        <v>8525</v>
      </c>
      <c r="N763" s="108">
        <v>0</v>
      </c>
      <c r="O763" s="142">
        <v>1876</v>
      </c>
      <c r="P763" s="142">
        <v>0</v>
      </c>
      <c r="Q763" s="160">
        <v>451</v>
      </c>
      <c r="R763" s="149">
        <v>0</v>
      </c>
      <c r="S763" s="116">
        <v>0</v>
      </c>
      <c r="T763" s="116">
        <v>0</v>
      </c>
      <c r="U763" s="33" t="s">
        <v>226</v>
      </c>
      <c r="V763" s="33">
        <v>2015</v>
      </c>
      <c r="W763" s="33">
        <v>1</v>
      </c>
      <c r="X763" s="33">
        <v>0</v>
      </c>
      <c r="Y763" s="33">
        <v>-1.8E-3</v>
      </c>
      <c r="Z763" s="33">
        <v>-1.2E-2</v>
      </c>
      <c r="AA763" s="33">
        <v>0</v>
      </c>
      <c r="AB763" s="33">
        <v>0</v>
      </c>
      <c r="AC763" s="33" t="s">
        <v>350</v>
      </c>
    </row>
    <row r="764" spans="1:30" hidden="1" x14ac:dyDescent="0.2">
      <c r="A764" s="153">
        <f t="shared" si="11"/>
        <v>740</v>
      </c>
      <c r="B764" s="33">
        <v>2</v>
      </c>
      <c r="C764" s="33">
        <v>4</v>
      </c>
      <c r="D764" s="33">
        <v>16</v>
      </c>
      <c r="E764" s="143">
        <v>2034</v>
      </c>
      <c r="F764" s="159">
        <v>2034</v>
      </c>
      <c r="G764" s="33">
        <v>4</v>
      </c>
      <c r="H764" s="33">
        <v>52</v>
      </c>
      <c r="I764" s="33">
        <v>35</v>
      </c>
      <c r="J764" s="33">
        <v>0</v>
      </c>
      <c r="K764" s="33">
        <v>0</v>
      </c>
      <c r="L764" s="101">
        <v>22.4</v>
      </c>
      <c r="M764" s="108">
        <v>8525</v>
      </c>
      <c r="N764" s="108">
        <v>0</v>
      </c>
      <c r="O764" s="142">
        <v>1876</v>
      </c>
      <c r="P764" s="142">
        <v>0</v>
      </c>
      <c r="Q764" s="160">
        <v>397</v>
      </c>
      <c r="R764" s="149">
        <v>0</v>
      </c>
      <c r="S764" s="116">
        <v>0</v>
      </c>
      <c r="T764" s="116">
        <v>0</v>
      </c>
      <c r="U764" s="33" t="s">
        <v>226</v>
      </c>
      <c r="V764" s="33">
        <v>2015</v>
      </c>
      <c r="W764" s="33">
        <v>1</v>
      </c>
      <c r="X764" s="33">
        <v>0</v>
      </c>
      <c r="Y764" s="33">
        <v>-1.8E-3</v>
      </c>
      <c r="Z764" s="33">
        <v>-1.2E-2</v>
      </c>
      <c r="AA764" s="33">
        <v>0</v>
      </c>
      <c r="AB764" s="33">
        <v>0</v>
      </c>
      <c r="AC764" s="33" t="s">
        <v>350</v>
      </c>
    </row>
    <row r="765" spans="1:30" hidden="1" x14ac:dyDescent="0.2">
      <c r="A765" s="153">
        <f t="shared" si="11"/>
        <v>741</v>
      </c>
      <c r="B765" s="33">
        <v>2</v>
      </c>
      <c r="C765" s="33">
        <v>4</v>
      </c>
      <c r="D765" s="33">
        <v>16</v>
      </c>
      <c r="E765" s="143">
        <v>2034</v>
      </c>
      <c r="F765" s="159">
        <v>2034</v>
      </c>
      <c r="G765" s="33">
        <v>5</v>
      </c>
      <c r="H765" s="33">
        <v>52</v>
      </c>
      <c r="I765" s="33">
        <v>35</v>
      </c>
      <c r="J765" s="33">
        <v>0</v>
      </c>
      <c r="K765" s="33">
        <v>0</v>
      </c>
      <c r="L765" s="101">
        <v>22.4</v>
      </c>
      <c r="M765" s="108">
        <v>8525</v>
      </c>
      <c r="N765" s="108">
        <v>0</v>
      </c>
      <c r="O765" s="142">
        <v>1876</v>
      </c>
      <c r="P765" s="142">
        <v>0</v>
      </c>
      <c r="Q765" s="160">
        <v>205</v>
      </c>
      <c r="R765" s="149">
        <v>0</v>
      </c>
      <c r="S765" s="116">
        <v>0</v>
      </c>
      <c r="T765" s="116">
        <v>0</v>
      </c>
      <c r="U765" s="33" t="s">
        <v>226</v>
      </c>
      <c r="V765" s="33">
        <v>2015</v>
      </c>
      <c r="W765" s="33">
        <v>1</v>
      </c>
      <c r="X765" s="33">
        <v>0</v>
      </c>
      <c r="Y765" s="33">
        <v>-1.8E-3</v>
      </c>
      <c r="Z765" s="33">
        <v>-1.2E-2</v>
      </c>
      <c r="AA765" s="33">
        <v>0</v>
      </c>
      <c r="AB765" s="33">
        <v>0</v>
      </c>
      <c r="AC765" s="33" t="s">
        <v>350</v>
      </c>
    </row>
    <row r="766" spans="1:30" hidden="1" x14ac:dyDescent="0.2">
      <c r="A766" s="153">
        <f t="shared" si="11"/>
        <v>742</v>
      </c>
      <c r="B766" s="33">
        <v>2</v>
      </c>
      <c r="C766" s="33">
        <v>4</v>
      </c>
      <c r="D766" s="33">
        <v>16</v>
      </c>
      <c r="E766" s="143">
        <v>2034</v>
      </c>
      <c r="F766" s="159">
        <v>2034</v>
      </c>
      <c r="G766" s="33">
        <v>6</v>
      </c>
      <c r="H766" s="33">
        <v>52</v>
      </c>
      <c r="I766" s="33">
        <v>35</v>
      </c>
      <c r="J766" s="33">
        <v>0</v>
      </c>
      <c r="K766" s="33">
        <v>0</v>
      </c>
      <c r="L766" s="101">
        <v>22.4</v>
      </c>
      <c r="M766" s="108">
        <v>8525</v>
      </c>
      <c r="N766" s="108">
        <v>0</v>
      </c>
      <c r="O766" s="142">
        <v>1876</v>
      </c>
      <c r="P766" s="142">
        <v>0</v>
      </c>
      <c r="Q766" s="160">
        <v>41</v>
      </c>
      <c r="R766" s="149">
        <v>0</v>
      </c>
      <c r="S766" s="116">
        <v>0</v>
      </c>
      <c r="T766" s="116">
        <v>0</v>
      </c>
      <c r="U766" s="33" t="s">
        <v>226</v>
      </c>
      <c r="V766" s="33">
        <v>2015</v>
      </c>
      <c r="W766" s="33">
        <v>1</v>
      </c>
      <c r="X766" s="33">
        <v>0</v>
      </c>
      <c r="Y766" s="33">
        <v>-1.8E-3</v>
      </c>
      <c r="Z766" s="33">
        <v>-1.2E-2</v>
      </c>
      <c r="AA766" s="33">
        <v>0</v>
      </c>
      <c r="AB766" s="33">
        <v>0</v>
      </c>
      <c r="AC766" s="33" t="s">
        <v>350</v>
      </c>
    </row>
    <row r="767" spans="1:30" hidden="1" x14ac:dyDescent="0.2">
      <c r="A767" s="153">
        <f t="shared" si="11"/>
        <v>743</v>
      </c>
      <c r="B767" s="33">
        <v>2</v>
      </c>
      <c r="C767" s="33">
        <v>4</v>
      </c>
      <c r="D767" s="33">
        <v>16</v>
      </c>
      <c r="E767" s="143">
        <v>2034</v>
      </c>
      <c r="F767" s="159">
        <v>2034</v>
      </c>
      <c r="G767" s="33">
        <v>7</v>
      </c>
      <c r="H767" s="33">
        <v>52</v>
      </c>
      <c r="I767" s="33">
        <v>35</v>
      </c>
      <c r="J767" s="33">
        <v>0</v>
      </c>
      <c r="K767" s="33">
        <v>0</v>
      </c>
      <c r="L767" s="101">
        <v>22.4</v>
      </c>
      <c r="M767" s="108">
        <v>8525</v>
      </c>
      <c r="N767" s="108">
        <v>0</v>
      </c>
      <c r="O767" s="142">
        <v>1876</v>
      </c>
      <c r="P767" s="142">
        <v>0</v>
      </c>
      <c r="Q767" s="160">
        <v>82</v>
      </c>
      <c r="R767" s="149">
        <v>0</v>
      </c>
      <c r="S767" s="116">
        <v>0</v>
      </c>
      <c r="T767" s="116">
        <v>0</v>
      </c>
      <c r="U767" s="33" t="s">
        <v>226</v>
      </c>
      <c r="V767" s="33">
        <v>2015</v>
      </c>
      <c r="W767" s="33">
        <v>1</v>
      </c>
      <c r="X767" s="33">
        <v>0</v>
      </c>
      <c r="Y767" s="33">
        <v>-1.8E-3</v>
      </c>
      <c r="Z767" s="33">
        <v>-1.2E-2</v>
      </c>
      <c r="AA767" s="33">
        <v>0</v>
      </c>
      <c r="AB767" s="33">
        <v>0</v>
      </c>
      <c r="AC767" s="33" t="s">
        <v>350</v>
      </c>
    </row>
    <row r="768" spans="1:30" hidden="1" x14ac:dyDescent="0.2">
      <c r="A768" s="153">
        <f t="shared" si="11"/>
        <v>744</v>
      </c>
      <c r="B768" s="33">
        <v>2</v>
      </c>
      <c r="C768" s="33">
        <v>4</v>
      </c>
      <c r="D768" s="33">
        <v>16</v>
      </c>
      <c r="E768" s="143">
        <v>2034</v>
      </c>
      <c r="F768" s="159">
        <v>2034</v>
      </c>
      <c r="G768" s="33">
        <v>8</v>
      </c>
      <c r="H768" s="33">
        <v>52</v>
      </c>
      <c r="I768" s="33">
        <v>35</v>
      </c>
      <c r="J768" s="33">
        <v>0</v>
      </c>
      <c r="K768" s="33">
        <v>0</v>
      </c>
      <c r="L768" s="101">
        <v>22.4</v>
      </c>
      <c r="M768" s="108">
        <v>8525</v>
      </c>
      <c r="N768" s="108">
        <v>0</v>
      </c>
      <c r="O768" s="142">
        <v>1876</v>
      </c>
      <c r="P768" s="142">
        <v>0</v>
      </c>
      <c r="Q768" s="160">
        <v>305</v>
      </c>
      <c r="R768" s="149">
        <v>0</v>
      </c>
      <c r="S768" s="116">
        <v>0</v>
      </c>
      <c r="T768" s="116">
        <v>0</v>
      </c>
      <c r="U768" s="33" t="s">
        <v>226</v>
      </c>
      <c r="V768" s="33">
        <v>2015</v>
      </c>
      <c r="W768" s="33">
        <v>1</v>
      </c>
      <c r="X768" s="33">
        <v>0</v>
      </c>
      <c r="Y768" s="33">
        <v>-1.8E-3</v>
      </c>
      <c r="Z768" s="33">
        <v>-1.2E-2</v>
      </c>
      <c r="AA768" s="33">
        <v>0</v>
      </c>
      <c r="AB768" s="33">
        <v>0</v>
      </c>
      <c r="AC768" s="33" t="s">
        <v>350</v>
      </c>
    </row>
    <row r="769" spans="1:30" hidden="1" x14ac:dyDescent="0.2">
      <c r="A769" s="153">
        <f t="shared" si="11"/>
        <v>745</v>
      </c>
      <c r="B769" s="33">
        <v>2</v>
      </c>
      <c r="C769" s="33">
        <v>4</v>
      </c>
      <c r="D769" s="33">
        <v>16</v>
      </c>
      <c r="E769" s="143">
        <v>2034</v>
      </c>
      <c r="F769" s="159">
        <v>2034</v>
      </c>
      <c r="G769" s="33">
        <v>9</v>
      </c>
      <c r="H769" s="33">
        <v>52</v>
      </c>
      <c r="I769" s="33">
        <v>35</v>
      </c>
      <c r="J769" s="33">
        <v>0</v>
      </c>
      <c r="K769" s="33">
        <v>0</v>
      </c>
      <c r="L769" s="101">
        <v>22.4</v>
      </c>
      <c r="M769" s="108">
        <v>8525</v>
      </c>
      <c r="N769" s="108">
        <v>0</v>
      </c>
      <c r="O769" s="142">
        <v>1876</v>
      </c>
      <c r="P769" s="142">
        <v>0</v>
      </c>
      <c r="Q769" s="160">
        <v>171</v>
      </c>
      <c r="R769" s="149">
        <v>0</v>
      </c>
      <c r="S769" s="116">
        <v>0</v>
      </c>
      <c r="T769" s="116">
        <v>0</v>
      </c>
      <c r="U769" s="33" t="s">
        <v>226</v>
      </c>
      <c r="V769" s="33">
        <v>2015</v>
      </c>
      <c r="W769" s="33">
        <v>1</v>
      </c>
      <c r="X769" s="33">
        <v>0</v>
      </c>
      <c r="Y769" s="33">
        <v>-1.8E-3</v>
      </c>
      <c r="Z769" s="33">
        <v>-1.2E-2</v>
      </c>
      <c r="AA769" s="33">
        <v>0</v>
      </c>
      <c r="AB769" s="33">
        <v>0</v>
      </c>
      <c r="AC769" s="33" t="s">
        <v>350</v>
      </c>
    </row>
    <row r="770" spans="1:30" customFormat="1" hidden="1" x14ac:dyDescent="0.2">
      <c r="A770" s="153">
        <f t="shared" si="11"/>
        <v>746</v>
      </c>
      <c r="B770" s="33">
        <v>2</v>
      </c>
      <c r="C770" s="33">
        <v>4</v>
      </c>
      <c r="D770" s="33">
        <v>16</v>
      </c>
      <c r="E770" s="143">
        <v>2035</v>
      </c>
      <c r="F770" s="33">
        <v>2050</v>
      </c>
      <c r="G770" s="33">
        <v>1</v>
      </c>
      <c r="H770" s="33">
        <v>52</v>
      </c>
      <c r="I770" s="33">
        <v>35</v>
      </c>
      <c r="J770" s="33">
        <v>0</v>
      </c>
      <c r="K770" s="33">
        <v>0</v>
      </c>
      <c r="L770" s="101">
        <v>22.4</v>
      </c>
      <c r="M770" s="108">
        <v>8525</v>
      </c>
      <c r="N770" s="108">
        <v>0</v>
      </c>
      <c r="O770" s="142">
        <v>0</v>
      </c>
      <c r="P770" s="142">
        <v>0</v>
      </c>
      <c r="Q770" s="160">
        <v>1769</v>
      </c>
      <c r="R770" s="149">
        <v>0</v>
      </c>
      <c r="S770" s="116">
        <v>0</v>
      </c>
      <c r="T770" s="116">
        <v>0</v>
      </c>
      <c r="U770" s="33" t="s">
        <v>226</v>
      </c>
      <c r="V770" s="33">
        <v>2015</v>
      </c>
      <c r="W770" s="33">
        <v>1</v>
      </c>
      <c r="X770" s="33">
        <v>0</v>
      </c>
      <c r="Y770" s="33">
        <v>-1.8E-3</v>
      </c>
      <c r="Z770" s="33">
        <v>-1.2E-2</v>
      </c>
      <c r="AA770" s="33">
        <v>0</v>
      </c>
      <c r="AB770" s="33">
        <v>0</v>
      </c>
      <c r="AC770" s="33" t="s">
        <v>350</v>
      </c>
      <c r="AD770" s="158"/>
    </row>
    <row r="771" spans="1:30" customFormat="1" hidden="1" x14ac:dyDescent="0.2">
      <c r="A771" s="153">
        <f t="shared" si="11"/>
        <v>747</v>
      </c>
      <c r="B771" s="33">
        <v>2</v>
      </c>
      <c r="C771" s="33">
        <v>4</v>
      </c>
      <c r="D771" s="33">
        <v>16</v>
      </c>
      <c r="E771" s="143">
        <v>2035</v>
      </c>
      <c r="F771" s="33">
        <v>2050</v>
      </c>
      <c r="G771" s="33">
        <v>2</v>
      </c>
      <c r="H771" s="33">
        <v>52</v>
      </c>
      <c r="I771" s="33">
        <v>35</v>
      </c>
      <c r="J771" s="33">
        <v>0</v>
      </c>
      <c r="K771" s="33">
        <v>0</v>
      </c>
      <c r="L771" s="101">
        <v>22.4</v>
      </c>
      <c r="M771" s="108">
        <v>8525</v>
      </c>
      <c r="N771" s="108">
        <v>0</v>
      </c>
      <c r="O771" s="142">
        <v>0</v>
      </c>
      <c r="P771" s="142">
        <v>0</v>
      </c>
      <c r="Q771" s="160">
        <v>920</v>
      </c>
      <c r="R771" s="149">
        <v>0</v>
      </c>
      <c r="S771" s="116">
        <v>0</v>
      </c>
      <c r="T771" s="116">
        <v>0</v>
      </c>
      <c r="U771" s="33" t="s">
        <v>226</v>
      </c>
      <c r="V771" s="33">
        <v>2015</v>
      </c>
      <c r="W771" s="33">
        <v>1</v>
      </c>
      <c r="X771" s="33">
        <v>0</v>
      </c>
      <c r="Y771" s="33">
        <v>-1.8E-3</v>
      </c>
      <c r="Z771" s="33">
        <v>-1.2E-2</v>
      </c>
      <c r="AA771" s="33">
        <v>0</v>
      </c>
      <c r="AB771" s="33">
        <v>0</v>
      </c>
      <c r="AC771" s="33" t="s">
        <v>350</v>
      </c>
      <c r="AD771" s="158"/>
    </row>
    <row r="772" spans="1:30" customFormat="1" x14ac:dyDescent="0.2">
      <c r="A772" s="153">
        <f t="shared" si="11"/>
        <v>748</v>
      </c>
      <c r="B772" s="33">
        <v>2</v>
      </c>
      <c r="C772" s="33">
        <v>4</v>
      </c>
      <c r="D772" s="33">
        <v>16</v>
      </c>
      <c r="E772" s="143">
        <v>2035</v>
      </c>
      <c r="F772" s="33">
        <v>2050</v>
      </c>
      <c r="G772" s="33">
        <v>3</v>
      </c>
      <c r="H772" s="33">
        <v>52</v>
      </c>
      <c r="I772" s="33">
        <v>35</v>
      </c>
      <c r="J772" s="33">
        <v>0</v>
      </c>
      <c r="K772" s="33">
        <v>0</v>
      </c>
      <c r="L772" s="101">
        <v>22.4</v>
      </c>
      <c r="M772" s="108">
        <v>8525</v>
      </c>
      <c r="N772" s="108">
        <v>0</v>
      </c>
      <c r="O772" s="142">
        <v>0</v>
      </c>
      <c r="P772" s="142">
        <v>0</v>
      </c>
      <c r="Q772" s="160">
        <v>451</v>
      </c>
      <c r="R772" s="149">
        <v>0</v>
      </c>
      <c r="S772" s="116">
        <v>0</v>
      </c>
      <c r="T772" s="116">
        <v>0</v>
      </c>
      <c r="U772" s="33" t="s">
        <v>226</v>
      </c>
      <c r="V772" s="33">
        <v>2015</v>
      </c>
      <c r="W772" s="33">
        <v>1</v>
      </c>
      <c r="X772" s="33">
        <v>0</v>
      </c>
      <c r="Y772" s="33">
        <v>-1.8E-3</v>
      </c>
      <c r="Z772" s="33">
        <v>-1.2E-2</v>
      </c>
      <c r="AA772" s="33">
        <v>0</v>
      </c>
      <c r="AB772" s="33">
        <v>0</v>
      </c>
      <c r="AC772" s="33" t="s">
        <v>350</v>
      </c>
      <c r="AD772" s="158"/>
    </row>
    <row r="773" spans="1:30" customFormat="1" hidden="1" x14ac:dyDescent="0.2">
      <c r="A773" s="153">
        <f t="shared" si="11"/>
        <v>749</v>
      </c>
      <c r="B773" s="33">
        <v>2</v>
      </c>
      <c r="C773" s="33">
        <v>4</v>
      </c>
      <c r="D773" s="33">
        <v>16</v>
      </c>
      <c r="E773" s="143">
        <v>2035</v>
      </c>
      <c r="F773" s="33">
        <v>2050</v>
      </c>
      <c r="G773" s="33">
        <v>4</v>
      </c>
      <c r="H773" s="33">
        <v>52</v>
      </c>
      <c r="I773" s="33">
        <v>35</v>
      </c>
      <c r="J773" s="33">
        <v>0</v>
      </c>
      <c r="K773" s="33">
        <v>0</v>
      </c>
      <c r="L773" s="101">
        <v>22.4</v>
      </c>
      <c r="M773" s="108">
        <v>8525</v>
      </c>
      <c r="N773" s="108">
        <v>0</v>
      </c>
      <c r="O773" s="142">
        <v>0</v>
      </c>
      <c r="P773" s="142">
        <v>0</v>
      </c>
      <c r="Q773" s="160">
        <v>397</v>
      </c>
      <c r="R773" s="149">
        <v>0</v>
      </c>
      <c r="S773" s="116">
        <v>0</v>
      </c>
      <c r="T773" s="116">
        <v>0</v>
      </c>
      <c r="U773" s="33" t="s">
        <v>226</v>
      </c>
      <c r="V773" s="33">
        <v>2015</v>
      </c>
      <c r="W773" s="33">
        <v>1</v>
      </c>
      <c r="X773" s="33">
        <v>0</v>
      </c>
      <c r="Y773" s="33">
        <v>-1.8E-3</v>
      </c>
      <c r="Z773" s="33">
        <v>-1.2E-2</v>
      </c>
      <c r="AA773" s="33">
        <v>0</v>
      </c>
      <c r="AB773" s="33">
        <v>0</v>
      </c>
      <c r="AC773" s="33" t="s">
        <v>350</v>
      </c>
      <c r="AD773" s="158"/>
    </row>
    <row r="774" spans="1:30" customFormat="1" hidden="1" x14ac:dyDescent="0.2">
      <c r="A774" s="153">
        <f t="shared" si="11"/>
        <v>750</v>
      </c>
      <c r="B774" s="33">
        <v>2</v>
      </c>
      <c r="C774" s="33">
        <v>4</v>
      </c>
      <c r="D774" s="33">
        <v>16</v>
      </c>
      <c r="E774" s="143">
        <v>2035</v>
      </c>
      <c r="F774" s="33">
        <v>2050</v>
      </c>
      <c r="G774" s="33">
        <v>5</v>
      </c>
      <c r="H774" s="33">
        <v>52</v>
      </c>
      <c r="I774" s="33">
        <v>35</v>
      </c>
      <c r="J774" s="33">
        <v>0</v>
      </c>
      <c r="K774" s="33">
        <v>0</v>
      </c>
      <c r="L774" s="101">
        <v>22.4</v>
      </c>
      <c r="M774" s="108">
        <v>8525</v>
      </c>
      <c r="N774" s="108">
        <v>0</v>
      </c>
      <c r="O774" s="142">
        <v>0</v>
      </c>
      <c r="P774" s="142">
        <v>0</v>
      </c>
      <c r="Q774" s="160">
        <v>205</v>
      </c>
      <c r="R774" s="149">
        <v>0</v>
      </c>
      <c r="S774" s="116">
        <v>0</v>
      </c>
      <c r="T774" s="116">
        <v>0</v>
      </c>
      <c r="U774" s="33" t="s">
        <v>226</v>
      </c>
      <c r="V774" s="33">
        <v>2015</v>
      </c>
      <c r="W774" s="33">
        <v>1</v>
      </c>
      <c r="X774" s="33">
        <v>0</v>
      </c>
      <c r="Y774" s="33">
        <v>-1.8E-3</v>
      </c>
      <c r="Z774" s="33">
        <v>-1.2E-2</v>
      </c>
      <c r="AA774" s="33">
        <v>0</v>
      </c>
      <c r="AB774" s="33">
        <v>0</v>
      </c>
      <c r="AC774" s="33" t="s">
        <v>350</v>
      </c>
      <c r="AD774" s="158"/>
    </row>
    <row r="775" spans="1:30" customFormat="1" hidden="1" x14ac:dyDescent="0.2">
      <c r="A775" s="153">
        <f t="shared" si="11"/>
        <v>751</v>
      </c>
      <c r="B775" s="33">
        <v>2</v>
      </c>
      <c r="C775" s="33">
        <v>4</v>
      </c>
      <c r="D775" s="33">
        <v>16</v>
      </c>
      <c r="E775" s="143">
        <v>2035</v>
      </c>
      <c r="F775" s="33">
        <v>2050</v>
      </c>
      <c r="G775" s="33">
        <v>6</v>
      </c>
      <c r="H775" s="33">
        <v>52</v>
      </c>
      <c r="I775" s="33">
        <v>35</v>
      </c>
      <c r="J775" s="33">
        <v>0</v>
      </c>
      <c r="K775" s="33">
        <v>0</v>
      </c>
      <c r="L775" s="101">
        <v>22.4</v>
      </c>
      <c r="M775" s="108">
        <v>8525</v>
      </c>
      <c r="N775" s="108">
        <v>0</v>
      </c>
      <c r="O775" s="142">
        <v>0</v>
      </c>
      <c r="P775" s="142">
        <v>0</v>
      </c>
      <c r="Q775" s="160">
        <v>41</v>
      </c>
      <c r="R775" s="149">
        <v>0</v>
      </c>
      <c r="S775" s="116">
        <v>0</v>
      </c>
      <c r="T775" s="116">
        <v>0</v>
      </c>
      <c r="U775" s="33" t="s">
        <v>226</v>
      </c>
      <c r="V775" s="33">
        <v>2015</v>
      </c>
      <c r="W775" s="33">
        <v>1</v>
      </c>
      <c r="X775" s="33">
        <v>0</v>
      </c>
      <c r="Y775" s="33">
        <v>-1.8E-3</v>
      </c>
      <c r="Z775" s="33">
        <v>-1.2E-2</v>
      </c>
      <c r="AA775" s="33">
        <v>0</v>
      </c>
      <c r="AB775" s="33">
        <v>0</v>
      </c>
      <c r="AC775" s="33" t="s">
        <v>350</v>
      </c>
      <c r="AD775" s="158"/>
    </row>
    <row r="776" spans="1:30" customFormat="1" hidden="1" x14ac:dyDescent="0.2">
      <c r="A776" s="153">
        <f t="shared" si="11"/>
        <v>752</v>
      </c>
      <c r="B776" s="33">
        <v>2</v>
      </c>
      <c r="C776" s="33">
        <v>4</v>
      </c>
      <c r="D776" s="33">
        <v>16</v>
      </c>
      <c r="E776" s="143">
        <v>2035</v>
      </c>
      <c r="F776" s="33">
        <v>2050</v>
      </c>
      <c r="G776" s="33">
        <v>7</v>
      </c>
      <c r="H776" s="33">
        <v>52</v>
      </c>
      <c r="I776" s="33">
        <v>35</v>
      </c>
      <c r="J776" s="33">
        <v>0</v>
      </c>
      <c r="K776" s="33">
        <v>0</v>
      </c>
      <c r="L776" s="101">
        <v>22.4</v>
      </c>
      <c r="M776" s="108">
        <v>8525</v>
      </c>
      <c r="N776" s="108">
        <v>0</v>
      </c>
      <c r="O776" s="142">
        <v>0</v>
      </c>
      <c r="P776" s="142">
        <v>0</v>
      </c>
      <c r="Q776" s="160">
        <v>82</v>
      </c>
      <c r="R776" s="149">
        <v>0</v>
      </c>
      <c r="S776" s="116">
        <v>0</v>
      </c>
      <c r="T776" s="116">
        <v>0</v>
      </c>
      <c r="U776" s="33" t="s">
        <v>226</v>
      </c>
      <c r="V776" s="33">
        <v>2015</v>
      </c>
      <c r="W776" s="33">
        <v>1</v>
      </c>
      <c r="X776" s="33">
        <v>0</v>
      </c>
      <c r="Y776" s="33">
        <v>-1.8E-3</v>
      </c>
      <c r="Z776" s="33">
        <v>-1.2E-2</v>
      </c>
      <c r="AA776" s="33">
        <v>0</v>
      </c>
      <c r="AB776" s="33">
        <v>0</v>
      </c>
      <c r="AC776" s="33" t="s">
        <v>350</v>
      </c>
      <c r="AD776" s="158"/>
    </row>
    <row r="777" spans="1:30" customFormat="1" hidden="1" x14ac:dyDescent="0.2">
      <c r="A777" s="153">
        <f t="shared" si="11"/>
        <v>753</v>
      </c>
      <c r="B777" s="33">
        <v>2</v>
      </c>
      <c r="C777" s="33">
        <v>4</v>
      </c>
      <c r="D777" s="33">
        <v>16</v>
      </c>
      <c r="E777" s="143">
        <v>2035</v>
      </c>
      <c r="F777" s="33">
        <v>2050</v>
      </c>
      <c r="G777" s="33">
        <v>8</v>
      </c>
      <c r="H777" s="33">
        <v>52</v>
      </c>
      <c r="I777" s="33">
        <v>35</v>
      </c>
      <c r="J777" s="33">
        <v>0</v>
      </c>
      <c r="K777" s="33">
        <v>0</v>
      </c>
      <c r="L777" s="101">
        <v>22.4</v>
      </c>
      <c r="M777" s="108">
        <v>8525</v>
      </c>
      <c r="N777" s="108">
        <v>0</v>
      </c>
      <c r="O777" s="142">
        <v>0</v>
      </c>
      <c r="P777" s="142">
        <v>0</v>
      </c>
      <c r="Q777" s="160">
        <v>305</v>
      </c>
      <c r="R777" s="149">
        <v>0</v>
      </c>
      <c r="S777" s="116">
        <v>0</v>
      </c>
      <c r="T777" s="116">
        <v>0</v>
      </c>
      <c r="U777" s="33" t="s">
        <v>226</v>
      </c>
      <c r="V777" s="33">
        <v>2015</v>
      </c>
      <c r="W777" s="33">
        <v>1</v>
      </c>
      <c r="X777" s="33">
        <v>0</v>
      </c>
      <c r="Y777" s="33">
        <v>-1.8E-3</v>
      </c>
      <c r="Z777" s="33">
        <v>-1.2E-2</v>
      </c>
      <c r="AA777" s="33">
        <v>0</v>
      </c>
      <c r="AB777" s="33">
        <v>0</v>
      </c>
      <c r="AC777" s="33" t="s">
        <v>350</v>
      </c>
      <c r="AD777" s="158"/>
    </row>
    <row r="778" spans="1:30" customFormat="1" hidden="1" x14ac:dyDescent="0.2">
      <c r="A778" s="153">
        <f t="shared" si="11"/>
        <v>754</v>
      </c>
      <c r="B778" s="33">
        <v>2</v>
      </c>
      <c r="C778" s="33">
        <v>4</v>
      </c>
      <c r="D778" s="33">
        <v>16</v>
      </c>
      <c r="E778" s="143">
        <v>2035</v>
      </c>
      <c r="F778" s="33">
        <v>2050</v>
      </c>
      <c r="G778" s="33">
        <v>9</v>
      </c>
      <c r="H778" s="33">
        <v>52</v>
      </c>
      <c r="I778" s="33">
        <v>35</v>
      </c>
      <c r="J778" s="33">
        <v>0</v>
      </c>
      <c r="K778" s="33">
        <v>0</v>
      </c>
      <c r="L778" s="101">
        <v>22.4</v>
      </c>
      <c r="M778" s="108">
        <v>8525</v>
      </c>
      <c r="N778" s="108">
        <v>0</v>
      </c>
      <c r="O778" s="142">
        <v>0</v>
      </c>
      <c r="P778" s="142">
        <v>0</v>
      </c>
      <c r="Q778" s="160">
        <v>171</v>
      </c>
      <c r="R778" s="149">
        <v>0</v>
      </c>
      <c r="S778" s="116">
        <v>0</v>
      </c>
      <c r="T778" s="116">
        <v>0</v>
      </c>
      <c r="U778" s="33" t="s">
        <v>226</v>
      </c>
      <c r="V778" s="33">
        <v>2015</v>
      </c>
      <c r="W778" s="33">
        <v>1</v>
      </c>
      <c r="X778" s="33">
        <v>0</v>
      </c>
      <c r="Y778" s="33">
        <v>-1.8E-3</v>
      </c>
      <c r="Z778" s="33">
        <v>-1.2E-2</v>
      </c>
      <c r="AA778" s="33">
        <v>0</v>
      </c>
      <c r="AB778" s="33">
        <v>0</v>
      </c>
      <c r="AC778" s="33" t="s">
        <v>350</v>
      </c>
      <c r="AD778" s="158"/>
    </row>
    <row r="779" spans="1:30" s="139" customFormat="1" hidden="1" x14ac:dyDescent="0.2">
      <c r="A779" s="153">
        <f t="shared" si="11"/>
        <v>755</v>
      </c>
      <c r="B779" s="33">
        <v>2</v>
      </c>
      <c r="C779" s="33">
        <v>5</v>
      </c>
      <c r="D779" s="33">
        <v>17</v>
      </c>
      <c r="E779" s="104">
        <v>2016</v>
      </c>
      <c r="F779" s="33">
        <v>2019</v>
      </c>
      <c r="G779" s="33">
        <v>11</v>
      </c>
      <c r="H779" s="33">
        <v>53</v>
      </c>
      <c r="I779" s="33">
        <v>36</v>
      </c>
      <c r="J779" s="33">
        <v>0</v>
      </c>
      <c r="K779" s="33">
        <v>0</v>
      </c>
      <c r="L779" s="101">
        <v>0.6</v>
      </c>
      <c r="M779" s="108">
        <v>6800</v>
      </c>
      <c r="N779" s="108">
        <v>0</v>
      </c>
      <c r="O779" s="142">
        <v>0</v>
      </c>
      <c r="P779" s="142">
        <v>0</v>
      </c>
      <c r="Q779" s="142">
        <v>0</v>
      </c>
      <c r="R779" s="142">
        <v>0</v>
      </c>
      <c r="S779" s="116">
        <v>0</v>
      </c>
      <c r="T779" s="116">
        <v>0</v>
      </c>
      <c r="U779" s="33" t="s">
        <v>226</v>
      </c>
      <c r="V779" s="33">
        <v>2015</v>
      </c>
      <c r="W779" s="33">
        <v>1</v>
      </c>
      <c r="X779" s="33">
        <v>0</v>
      </c>
      <c r="Y779" s="33">
        <v>-1.8E-3</v>
      </c>
      <c r="Z779" s="33">
        <v>-1.2E-2</v>
      </c>
      <c r="AA779" s="33">
        <v>0</v>
      </c>
      <c r="AB779" s="33">
        <v>0</v>
      </c>
      <c r="AC779" s="33" t="s">
        <v>351</v>
      </c>
      <c r="AD779" s="158"/>
    </row>
    <row r="780" spans="1:30" s="139" customFormat="1" hidden="1" x14ac:dyDescent="0.2">
      <c r="A780" s="153">
        <f t="shared" si="11"/>
        <v>756</v>
      </c>
      <c r="B780" s="33">
        <v>2</v>
      </c>
      <c r="C780" s="33">
        <v>5</v>
      </c>
      <c r="D780" s="33">
        <v>17</v>
      </c>
      <c r="E780" s="104">
        <v>2020</v>
      </c>
      <c r="F780" s="33">
        <v>2050</v>
      </c>
      <c r="G780" s="33">
        <v>11</v>
      </c>
      <c r="H780" s="33">
        <v>53</v>
      </c>
      <c r="I780" s="33">
        <v>36</v>
      </c>
      <c r="J780" s="33">
        <v>0</v>
      </c>
      <c r="K780" s="33">
        <v>0</v>
      </c>
      <c r="L780" s="101">
        <v>0.7</v>
      </c>
      <c r="M780" s="108">
        <v>6800</v>
      </c>
      <c r="N780" s="108">
        <v>0</v>
      </c>
      <c r="O780" s="142">
        <v>0</v>
      </c>
      <c r="P780" s="142">
        <v>0</v>
      </c>
      <c r="Q780" s="142">
        <v>0</v>
      </c>
      <c r="R780" s="149">
        <v>0</v>
      </c>
      <c r="S780" s="116">
        <v>0</v>
      </c>
      <c r="T780" s="116">
        <v>0</v>
      </c>
      <c r="U780" s="33" t="s">
        <v>226</v>
      </c>
      <c r="V780" s="33">
        <v>2015</v>
      </c>
      <c r="W780" s="33">
        <v>1</v>
      </c>
      <c r="X780" s="33">
        <v>0</v>
      </c>
      <c r="Y780" s="33">
        <v>-1.8E-3</v>
      </c>
      <c r="Z780" s="33">
        <v>-1.2E-2</v>
      </c>
      <c r="AA780" s="33">
        <v>0</v>
      </c>
      <c r="AB780" s="33">
        <v>0</v>
      </c>
      <c r="AC780" s="33" t="s">
        <v>351</v>
      </c>
      <c r="AD780" s="158"/>
    </row>
    <row r="781" spans="1:30" customFormat="1" hidden="1" x14ac:dyDescent="0.2">
      <c r="A781" s="153">
        <f t="shared" si="11"/>
        <v>757</v>
      </c>
      <c r="B781" s="33">
        <v>3</v>
      </c>
      <c r="C781" s="33">
        <v>1</v>
      </c>
      <c r="D781" s="33">
        <v>1</v>
      </c>
      <c r="E781" s="104">
        <v>2016</v>
      </c>
      <c r="F781" s="33">
        <v>2050</v>
      </c>
      <c r="G781" s="33">
        <v>11</v>
      </c>
      <c r="H781" s="33">
        <v>0</v>
      </c>
      <c r="I781" s="33">
        <v>0</v>
      </c>
      <c r="J781" s="33">
        <v>1.29</v>
      </c>
      <c r="K781" s="101">
        <v>0.85710311956242902</v>
      </c>
      <c r="L781" s="101">
        <v>0.26</v>
      </c>
      <c r="M781" s="108">
        <v>650</v>
      </c>
      <c r="N781" s="108">
        <v>500</v>
      </c>
      <c r="O781" s="142">
        <v>0</v>
      </c>
      <c r="P781" s="142">
        <v>0</v>
      </c>
      <c r="Q781" s="142">
        <v>0</v>
      </c>
      <c r="R781" s="142">
        <v>0</v>
      </c>
      <c r="S781" s="116">
        <v>0</v>
      </c>
      <c r="T781" s="116">
        <v>0</v>
      </c>
      <c r="U781" s="33" t="s">
        <v>226</v>
      </c>
      <c r="V781" s="33">
        <v>2015</v>
      </c>
      <c r="W781" s="33">
        <v>1</v>
      </c>
      <c r="X781" s="33">
        <v>0</v>
      </c>
      <c r="Y781" s="33">
        <v>-2.7400000000000001E-2</v>
      </c>
      <c r="Z781" s="33">
        <v>-9.1300000000000006E-2</v>
      </c>
      <c r="AA781" s="33">
        <v>0</v>
      </c>
      <c r="AB781" s="33">
        <v>0</v>
      </c>
      <c r="AC781" s="33" t="s">
        <v>383</v>
      </c>
      <c r="AD781" s="158"/>
    </row>
    <row r="782" spans="1:30" customFormat="1" hidden="1" x14ac:dyDescent="0.2">
      <c r="A782" s="153">
        <f t="shared" si="11"/>
        <v>758</v>
      </c>
      <c r="B782" s="33">
        <v>3</v>
      </c>
      <c r="C782" s="33">
        <v>1</v>
      </c>
      <c r="D782" s="33">
        <v>2</v>
      </c>
      <c r="E782" s="104">
        <v>2016</v>
      </c>
      <c r="F782" s="33">
        <v>2019</v>
      </c>
      <c r="G782" s="33">
        <v>11</v>
      </c>
      <c r="H782" s="33">
        <v>0</v>
      </c>
      <c r="I782" s="33">
        <v>0</v>
      </c>
      <c r="J782" s="33">
        <v>1.29</v>
      </c>
      <c r="K782" s="101">
        <v>0.85710311956242902</v>
      </c>
      <c r="L782" s="101">
        <v>0.26</v>
      </c>
      <c r="M782" s="108">
        <v>650</v>
      </c>
      <c r="N782" s="108">
        <v>500</v>
      </c>
      <c r="O782" s="142">
        <v>0</v>
      </c>
      <c r="P782" s="142">
        <v>0</v>
      </c>
      <c r="Q782" s="142">
        <v>0</v>
      </c>
      <c r="R782" s="142">
        <v>0</v>
      </c>
      <c r="S782" s="116">
        <v>0</v>
      </c>
      <c r="T782" s="116">
        <v>0</v>
      </c>
      <c r="U782" s="33" t="s">
        <v>226</v>
      </c>
      <c r="V782" s="33">
        <v>2015</v>
      </c>
      <c r="W782" s="33">
        <v>1</v>
      </c>
      <c r="X782" s="33">
        <v>0</v>
      </c>
      <c r="Y782" s="33">
        <v>-2.7400000000000001E-2</v>
      </c>
      <c r="Z782" s="33">
        <v>-9.1300000000000006E-2</v>
      </c>
      <c r="AA782" s="33">
        <v>0</v>
      </c>
      <c r="AB782" s="33">
        <v>0</v>
      </c>
      <c r="AC782" s="33" t="s">
        <v>384</v>
      </c>
      <c r="AD782" s="158"/>
    </row>
    <row r="783" spans="1:30" customFormat="1" hidden="1" x14ac:dyDescent="0.2">
      <c r="A783" s="153">
        <f t="shared" si="11"/>
        <v>759</v>
      </c>
      <c r="B783" s="33">
        <v>3</v>
      </c>
      <c r="C783" s="33">
        <v>1</v>
      </c>
      <c r="D783" s="33">
        <v>2</v>
      </c>
      <c r="E783" s="104">
        <v>2020</v>
      </c>
      <c r="F783" s="33">
        <v>2050</v>
      </c>
      <c r="G783" s="33">
        <v>11</v>
      </c>
      <c r="H783" s="33">
        <v>0</v>
      </c>
      <c r="I783" s="33">
        <v>0</v>
      </c>
      <c r="J783" s="33">
        <v>2.06</v>
      </c>
      <c r="K783" s="101">
        <v>0.79031586349262928</v>
      </c>
      <c r="L783" s="101">
        <v>0.24</v>
      </c>
      <c r="M783" s="108">
        <v>750</v>
      </c>
      <c r="N783" s="108">
        <v>600</v>
      </c>
      <c r="O783" s="142">
        <v>0</v>
      </c>
      <c r="P783" s="142">
        <v>0</v>
      </c>
      <c r="Q783" s="149">
        <v>0</v>
      </c>
      <c r="R783" s="149">
        <v>0</v>
      </c>
      <c r="S783" s="116">
        <v>0</v>
      </c>
      <c r="T783" s="116">
        <v>0</v>
      </c>
      <c r="U783" s="33" t="s">
        <v>226</v>
      </c>
      <c r="V783" s="33">
        <v>2015</v>
      </c>
      <c r="W783" s="33">
        <v>1</v>
      </c>
      <c r="X783" s="33">
        <v>0</v>
      </c>
      <c r="Y783" s="33">
        <v>-2.7400000000000001E-2</v>
      </c>
      <c r="Z783" s="33">
        <v>-9.1300000000000006E-2</v>
      </c>
      <c r="AA783" s="33">
        <v>0</v>
      </c>
      <c r="AB783" s="33">
        <v>0</v>
      </c>
      <c r="AC783" s="33" t="s">
        <v>384</v>
      </c>
      <c r="AD783" s="158"/>
    </row>
    <row r="784" spans="1:30" customFormat="1" hidden="1" x14ac:dyDescent="0.2">
      <c r="A784" s="153">
        <f t="shared" si="11"/>
        <v>760</v>
      </c>
      <c r="B784" s="33">
        <v>3</v>
      </c>
      <c r="C784" s="33">
        <v>1</v>
      </c>
      <c r="D784" s="33">
        <v>3</v>
      </c>
      <c r="E784" s="104">
        <v>2016</v>
      </c>
      <c r="F784" s="33">
        <v>2050</v>
      </c>
      <c r="G784" s="33">
        <v>1</v>
      </c>
      <c r="H784" s="33">
        <v>0</v>
      </c>
      <c r="I784" s="33">
        <v>0</v>
      </c>
      <c r="J784" s="33">
        <v>2.06</v>
      </c>
      <c r="K784" s="101">
        <v>0.40072353641879793</v>
      </c>
      <c r="L784" s="101">
        <v>0.15</v>
      </c>
      <c r="M784" s="108">
        <v>950</v>
      </c>
      <c r="N784" s="108">
        <v>800</v>
      </c>
      <c r="O784" s="142">
        <v>0</v>
      </c>
      <c r="P784" s="142">
        <v>0</v>
      </c>
      <c r="Q784" s="142">
        <v>0</v>
      </c>
      <c r="R784" s="142">
        <v>0</v>
      </c>
      <c r="S784" s="116">
        <v>0</v>
      </c>
      <c r="T784" s="116">
        <v>0</v>
      </c>
      <c r="U784" s="33" t="s">
        <v>226</v>
      </c>
      <c r="V784" s="33">
        <v>2015</v>
      </c>
      <c r="W784" s="33">
        <v>1</v>
      </c>
      <c r="X784" s="33">
        <v>0</v>
      </c>
      <c r="Y784" s="33">
        <v>-2.7400000000000001E-2</v>
      </c>
      <c r="Z784" s="33">
        <v>-9.1300000000000006E-2</v>
      </c>
      <c r="AA784" s="33">
        <v>0</v>
      </c>
      <c r="AB784" s="33">
        <v>0</v>
      </c>
      <c r="AC784" s="33" t="s">
        <v>385</v>
      </c>
      <c r="AD784" s="158"/>
    </row>
    <row r="785" spans="1:30" customFormat="1" hidden="1" x14ac:dyDescent="0.2">
      <c r="A785" s="153">
        <f t="shared" si="11"/>
        <v>761</v>
      </c>
      <c r="B785" s="33">
        <v>3</v>
      </c>
      <c r="C785" s="33">
        <v>1</v>
      </c>
      <c r="D785" s="33">
        <v>3</v>
      </c>
      <c r="E785" s="104">
        <v>2016</v>
      </c>
      <c r="F785" s="33">
        <v>2050</v>
      </c>
      <c r="G785" s="33">
        <v>2</v>
      </c>
      <c r="H785" s="33">
        <v>0</v>
      </c>
      <c r="I785" s="33">
        <v>0</v>
      </c>
      <c r="J785" s="33">
        <v>2.06</v>
      </c>
      <c r="K785" s="101">
        <v>0.40072353641879793</v>
      </c>
      <c r="L785" s="101">
        <v>0.15</v>
      </c>
      <c r="M785" s="108">
        <v>950</v>
      </c>
      <c r="N785" s="108">
        <v>800</v>
      </c>
      <c r="O785" s="142">
        <v>0</v>
      </c>
      <c r="P785" s="142">
        <v>0</v>
      </c>
      <c r="Q785" s="142">
        <v>0</v>
      </c>
      <c r="R785" s="142">
        <v>0</v>
      </c>
      <c r="S785" s="116">
        <v>0</v>
      </c>
      <c r="T785" s="116">
        <v>0</v>
      </c>
      <c r="U785" s="33" t="s">
        <v>226</v>
      </c>
      <c r="V785" s="33">
        <v>2015</v>
      </c>
      <c r="W785" s="33">
        <v>1</v>
      </c>
      <c r="X785" s="33">
        <v>0</v>
      </c>
      <c r="Y785" s="33">
        <v>-2.7400000000000001E-2</v>
      </c>
      <c r="Z785" s="33">
        <v>-9.1300000000000006E-2</v>
      </c>
      <c r="AA785" s="33">
        <v>0</v>
      </c>
      <c r="AB785" s="33">
        <v>0</v>
      </c>
      <c r="AC785" s="33" t="s">
        <v>385</v>
      </c>
      <c r="AD785" s="158"/>
    </row>
    <row r="786" spans="1:30" customFormat="1" x14ac:dyDescent="0.2">
      <c r="A786" s="153">
        <f t="shared" si="11"/>
        <v>762</v>
      </c>
      <c r="B786" s="33">
        <v>3</v>
      </c>
      <c r="C786" s="33">
        <v>1</v>
      </c>
      <c r="D786" s="33">
        <v>3</v>
      </c>
      <c r="E786" s="104">
        <v>2016</v>
      </c>
      <c r="F786" s="33">
        <v>2050</v>
      </c>
      <c r="G786" s="33">
        <v>3</v>
      </c>
      <c r="H786" s="33">
        <v>0</v>
      </c>
      <c r="I786" s="33">
        <v>0</v>
      </c>
      <c r="J786" s="33">
        <v>2.06</v>
      </c>
      <c r="K786" s="101">
        <v>0.40072353641879793</v>
      </c>
      <c r="L786" s="101">
        <v>0.15</v>
      </c>
      <c r="M786" s="108">
        <v>950</v>
      </c>
      <c r="N786" s="108">
        <v>800</v>
      </c>
      <c r="O786" s="142">
        <v>0</v>
      </c>
      <c r="P786" s="142">
        <v>0</v>
      </c>
      <c r="Q786" s="142">
        <v>0</v>
      </c>
      <c r="R786" s="142">
        <v>0</v>
      </c>
      <c r="S786" s="116">
        <v>0</v>
      </c>
      <c r="T786" s="116">
        <v>0</v>
      </c>
      <c r="U786" s="33" t="s">
        <v>226</v>
      </c>
      <c r="V786" s="33">
        <v>2015</v>
      </c>
      <c r="W786" s="33">
        <v>1</v>
      </c>
      <c r="X786" s="33">
        <v>0</v>
      </c>
      <c r="Y786" s="33">
        <v>-2.7400000000000001E-2</v>
      </c>
      <c r="Z786" s="33">
        <v>-9.1300000000000006E-2</v>
      </c>
      <c r="AA786" s="33">
        <v>0</v>
      </c>
      <c r="AB786" s="33">
        <v>0</v>
      </c>
      <c r="AC786" s="33" t="s">
        <v>385</v>
      </c>
      <c r="AD786" s="158"/>
    </row>
    <row r="787" spans="1:30" customFormat="1" hidden="1" x14ac:dyDescent="0.2">
      <c r="A787" s="153">
        <f t="shared" si="11"/>
        <v>763</v>
      </c>
      <c r="B787" s="33">
        <v>3</v>
      </c>
      <c r="C787" s="33">
        <v>1</v>
      </c>
      <c r="D787" s="33">
        <v>3</v>
      </c>
      <c r="E787" s="104">
        <v>2016</v>
      </c>
      <c r="F787" s="33">
        <v>2050</v>
      </c>
      <c r="G787" s="33">
        <v>4</v>
      </c>
      <c r="H787" s="33">
        <v>0</v>
      </c>
      <c r="I787" s="33">
        <v>0</v>
      </c>
      <c r="J787" s="33">
        <v>2.06</v>
      </c>
      <c r="K787" s="101">
        <v>0.40072353641879793</v>
      </c>
      <c r="L787" s="101">
        <v>0.15</v>
      </c>
      <c r="M787" s="108">
        <v>950</v>
      </c>
      <c r="N787" s="108">
        <v>800</v>
      </c>
      <c r="O787" s="142">
        <v>0</v>
      </c>
      <c r="P787" s="142">
        <v>0</v>
      </c>
      <c r="Q787" s="142">
        <v>0</v>
      </c>
      <c r="R787" s="142">
        <v>0</v>
      </c>
      <c r="S787" s="116">
        <v>0</v>
      </c>
      <c r="T787" s="116">
        <v>0</v>
      </c>
      <c r="U787" s="33" t="s">
        <v>226</v>
      </c>
      <c r="V787" s="33">
        <v>2015</v>
      </c>
      <c r="W787" s="33">
        <v>1</v>
      </c>
      <c r="X787" s="33">
        <v>0</v>
      </c>
      <c r="Y787" s="33">
        <v>-2.7400000000000001E-2</v>
      </c>
      <c r="Z787" s="33">
        <v>-9.1300000000000006E-2</v>
      </c>
      <c r="AA787" s="33">
        <v>0</v>
      </c>
      <c r="AB787" s="33">
        <v>0</v>
      </c>
      <c r="AC787" s="33" t="s">
        <v>385</v>
      </c>
      <c r="AD787" s="158"/>
    </row>
    <row r="788" spans="1:30" customFormat="1" hidden="1" x14ac:dyDescent="0.2">
      <c r="A788" s="153">
        <f t="shared" si="11"/>
        <v>764</v>
      </c>
      <c r="B788" s="33">
        <v>3</v>
      </c>
      <c r="C788" s="33">
        <v>1</v>
      </c>
      <c r="D788" s="33">
        <v>3</v>
      </c>
      <c r="E788" s="104">
        <v>2016</v>
      </c>
      <c r="F788" s="33">
        <v>2050</v>
      </c>
      <c r="G788" s="33">
        <v>5</v>
      </c>
      <c r="H788" s="33">
        <v>0</v>
      </c>
      <c r="I788" s="33">
        <v>0</v>
      </c>
      <c r="J788" s="33">
        <v>2.06</v>
      </c>
      <c r="K788" s="101">
        <v>0.40072353641879793</v>
      </c>
      <c r="L788" s="101">
        <v>0.15</v>
      </c>
      <c r="M788" s="108">
        <v>950</v>
      </c>
      <c r="N788" s="108">
        <v>800</v>
      </c>
      <c r="O788" s="142">
        <v>0</v>
      </c>
      <c r="P788" s="142">
        <v>0</v>
      </c>
      <c r="Q788" s="142">
        <v>0</v>
      </c>
      <c r="R788" s="142">
        <v>0</v>
      </c>
      <c r="S788" s="116">
        <v>0</v>
      </c>
      <c r="T788" s="116">
        <v>0</v>
      </c>
      <c r="U788" s="33" t="s">
        <v>226</v>
      </c>
      <c r="V788" s="33">
        <v>2015</v>
      </c>
      <c r="W788" s="33">
        <v>1</v>
      </c>
      <c r="X788" s="33">
        <v>0</v>
      </c>
      <c r="Y788" s="33">
        <v>-2.7400000000000001E-2</v>
      </c>
      <c r="Z788" s="33">
        <v>-9.1300000000000006E-2</v>
      </c>
      <c r="AA788" s="33">
        <v>0</v>
      </c>
      <c r="AB788" s="33">
        <v>0</v>
      </c>
      <c r="AC788" s="33" t="s">
        <v>385</v>
      </c>
      <c r="AD788" s="158"/>
    </row>
    <row r="789" spans="1:30" customFormat="1" hidden="1" x14ac:dyDescent="0.2">
      <c r="A789" s="153">
        <f t="shared" si="11"/>
        <v>765</v>
      </c>
      <c r="B789" s="33">
        <v>3</v>
      </c>
      <c r="C789" s="33">
        <v>1</v>
      </c>
      <c r="D789" s="33">
        <v>3</v>
      </c>
      <c r="E789" s="104">
        <v>2016</v>
      </c>
      <c r="F789" s="33">
        <v>2050</v>
      </c>
      <c r="G789" s="33">
        <v>6</v>
      </c>
      <c r="H789" s="33">
        <v>0</v>
      </c>
      <c r="I789" s="33">
        <v>0</v>
      </c>
      <c r="J789" s="33">
        <v>2.06</v>
      </c>
      <c r="K789" s="101">
        <v>0.40072353641879793</v>
      </c>
      <c r="L789" s="101">
        <v>0.15</v>
      </c>
      <c r="M789" s="108">
        <v>950</v>
      </c>
      <c r="N789" s="108">
        <v>800</v>
      </c>
      <c r="O789" s="142">
        <v>0</v>
      </c>
      <c r="P789" s="142">
        <v>0</v>
      </c>
      <c r="Q789" s="142">
        <v>0</v>
      </c>
      <c r="R789" s="142">
        <v>0</v>
      </c>
      <c r="S789" s="116">
        <v>0</v>
      </c>
      <c r="T789" s="116">
        <v>0</v>
      </c>
      <c r="U789" s="33" t="s">
        <v>226</v>
      </c>
      <c r="V789" s="33">
        <v>2015</v>
      </c>
      <c r="W789" s="33">
        <v>1</v>
      </c>
      <c r="X789" s="33">
        <v>0</v>
      </c>
      <c r="Y789" s="33">
        <v>-2.7400000000000001E-2</v>
      </c>
      <c r="Z789" s="33">
        <v>-9.1300000000000006E-2</v>
      </c>
      <c r="AA789" s="33">
        <v>0</v>
      </c>
      <c r="AB789" s="33">
        <v>0</v>
      </c>
      <c r="AC789" s="33" t="s">
        <v>385</v>
      </c>
      <c r="AD789" s="158"/>
    </row>
    <row r="790" spans="1:30" customFormat="1" hidden="1" x14ac:dyDescent="0.2">
      <c r="A790" s="153">
        <f t="shared" si="11"/>
        <v>766</v>
      </c>
      <c r="B790" s="33">
        <v>3</v>
      </c>
      <c r="C790" s="33">
        <v>1</v>
      </c>
      <c r="D790" s="33">
        <v>3</v>
      </c>
      <c r="E790" s="104">
        <v>2016</v>
      </c>
      <c r="F790" s="33">
        <v>2050</v>
      </c>
      <c r="G790" s="33">
        <v>7</v>
      </c>
      <c r="H790" s="33">
        <v>0</v>
      </c>
      <c r="I790" s="33">
        <v>0</v>
      </c>
      <c r="J790" s="33">
        <v>2.06</v>
      </c>
      <c r="K790" s="101">
        <v>0.40072353641879793</v>
      </c>
      <c r="L790" s="101">
        <v>0.15</v>
      </c>
      <c r="M790" s="108">
        <v>950</v>
      </c>
      <c r="N790" s="108">
        <v>800</v>
      </c>
      <c r="O790" s="142">
        <v>0</v>
      </c>
      <c r="P790" s="142">
        <v>0</v>
      </c>
      <c r="Q790" s="142">
        <v>0</v>
      </c>
      <c r="R790" s="142">
        <v>0</v>
      </c>
      <c r="S790" s="116">
        <v>0</v>
      </c>
      <c r="T790" s="116">
        <v>0</v>
      </c>
      <c r="U790" s="33" t="s">
        <v>226</v>
      </c>
      <c r="V790" s="33">
        <v>2015</v>
      </c>
      <c r="W790" s="33">
        <v>1</v>
      </c>
      <c r="X790" s="33">
        <v>0</v>
      </c>
      <c r="Y790" s="33">
        <v>-2.7400000000000001E-2</v>
      </c>
      <c r="Z790" s="33">
        <v>-9.1300000000000006E-2</v>
      </c>
      <c r="AA790" s="33">
        <v>0</v>
      </c>
      <c r="AB790" s="33">
        <v>0</v>
      </c>
      <c r="AC790" s="33" t="s">
        <v>385</v>
      </c>
      <c r="AD790" s="158"/>
    </row>
    <row r="791" spans="1:30" customFormat="1" hidden="1" x14ac:dyDescent="0.2">
      <c r="A791" s="153">
        <f t="shared" si="11"/>
        <v>767</v>
      </c>
      <c r="B791" s="33">
        <v>3</v>
      </c>
      <c r="C791" s="33">
        <v>1</v>
      </c>
      <c r="D791" s="33">
        <v>3</v>
      </c>
      <c r="E791" s="104">
        <v>2016</v>
      </c>
      <c r="F791" s="33">
        <v>2050</v>
      </c>
      <c r="G791" s="33">
        <v>8</v>
      </c>
      <c r="H791" s="33">
        <v>0</v>
      </c>
      <c r="I791" s="33">
        <v>0</v>
      </c>
      <c r="J791" s="33">
        <v>2.06</v>
      </c>
      <c r="K791" s="101">
        <v>0.40072353641879793</v>
      </c>
      <c r="L791" s="101">
        <v>0.15</v>
      </c>
      <c r="M791" s="108">
        <v>950</v>
      </c>
      <c r="N791" s="108">
        <v>800</v>
      </c>
      <c r="O791" s="142">
        <v>0</v>
      </c>
      <c r="P791" s="142">
        <v>0</v>
      </c>
      <c r="Q791" s="142">
        <v>0</v>
      </c>
      <c r="R791" s="142">
        <v>0</v>
      </c>
      <c r="S791" s="116">
        <v>0</v>
      </c>
      <c r="T791" s="116">
        <v>0</v>
      </c>
      <c r="U791" s="33" t="s">
        <v>226</v>
      </c>
      <c r="V791" s="33">
        <v>2015</v>
      </c>
      <c r="W791" s="33">
        <v>1</v>
      </c>
      <c r="X791" s="33">
        <v>0</v>
      </c>
      <c r="Y791" s="33">
        <v>-2.7400000000000001E-2</v>
      </c>
      <c r="Z791" s="33">
        <v>-9.1300000000000006E-2</v>
      </c>
      <c r="AA791" s="33">
        <v>0</v>
      </c>
      <c r="AB791" s="33">
        <v>0</v>
      </c>
      <c r="AC791" s="33" t="s">
        <v>385</v>
      </c>
      <c r="AD791" s="158"/>
    </row>
    <row r="792" spans="1:30" customFormat="1" hidden="1" x14ac:dyDescent="0.2">
      <c r="A792" s="153">
        <f t="shared" si="11"/>
        <v>768</v>
      </c>
      <c r="B792" s="33">
        <v>3</v>
      </c>
      <c r="C792" s="33">
        <v>1</v>
      </c>
      <c r="D792" s="33">
        <v>3</v>
      </c>
      <c r="E792" s="104">
        <v>2016</v>
      </c>
      <c r="F792" s="33">
        <v>2050</v>
      </c>
      <c r="G792" s="33">
        <v>9</v>
      </c>
      <c r="H792" s="33">
        <v>0</v>
      </c>
      <c r="I792" s="33">
        <v>0</v>
      </c>
      <c r="J792" s="33">
        <v>2.06</v>
      </c>
      <c r="K792" s="101">
        <v>0.40072353641879793</v>
      </c>
      <c r="L792" s="101">
        <v>0.15</v>
      </c>
      <c r="M792" s="108">
        <v>950</v>
      </c>
      <c r="N792" s="108">
        <v>800</v>
      </c>
      <c r="O792" s="142">
        <v>0</v>
      </c>
      <c r="P792" s="142">
        <v>0</v>
      </c>
      <c r="Q792" s="142">
        <v>0</v>
      </c>
      <c r="R792" s="142">
        <v>0</v>
      </c>
      <c r="S792" s="116">
        <v>0</v>
      </c>
      <c r="T792" s="116">
        <v>0</v>
      </c>
      <c r="U792" s="33" t="s">
        <v>226</v>
      </c>
      <c r="V792" s="33">
        <v>2015</v>
      </c>
      <c r="W792" s="33">
        <v>1</v>
      </c>
      <c r="X792" s="33">
        <v>0</v>
      </c>
      <c r="Y792" s="33">
        <v>-2.7400000000000001E-2</v>
      </c>
      <c r="Z792" s="33">
        <v>-9.1300000000000006E-2</v>
      </c>
      <c r="AA792" s="33">
        <v>0</v>
      </c>
      <c r="AB792" s="33">
        <v>0</v>
      </c>
      <c r="AC792" s="33" t="s">
        <v>385</v>
      </c>
      <c r="AD792" s="158"/>
    </row>
    <row r="793" spans="1:30" customFormat="1" hidden="1" x14ac:dyDescent="0.2">
      <c r="A793" s="153">
        <f t="shared" si="11"/>
        <v>769</v>
      </c>
      <c r="B793" s="33">
        <v>3</v>
      </c>
      <c r="C793" s="33">
        <v>1</v>
      </c>
      <c r="D793" s="33">
        <v>4</v>
      </c>
      <c r="E793" s="104">
        <v>2016</v>
      </c>
      <c r="F793" s="33">
        <v>2050</v>
      </c>
      <c r="G793" s="33">
        <v>1</v>
      </c>
      <c r="H793" s="33">
        <v>0</v>
      </c>
      <c r="I793" s="33">
        <v>0</v>
      </c>
      <c r="J793" s="33">
        <v>2.76</v>
      </c>
      <c r="K793" s="101">
        <v>0.20036176820939897</v>
      </c>
      <c r="L793" s="101">
        <v>0.12</v>
      </c>
      <c r="M793" s="108">
        <v>1125</v>
      </c>
      <c r="N793" s="108">
        <v>975</v>
      </c>
      <c r="O793" s="142">
        <v>0</v>
      </c>
      <c r="P793" s="142">
        <v>0</v>
      </c>
      <c r="Q793" s="160">
        <v>120</v>
      </c>
      <c r="R793" s="160">
        <v>104</v>
      </c>
      <c r="S793" s="116">
        <v>0</v>
      </c>
      <c r="T793" s="116">
        <v>0</v>
      </c>
      <c r="U793" s="33" t="s">
        <v>226</v>
      </c>
      <c r="V793" s="33">
        <v>2015</v>
      </c>
      <c r="W793" s="33">
        <v>1</v>
      </c>
      <c r="X793" s="33">
        <v>0</v>
      </c>
      <c r="Y793" s="33">
        <v>-2.7400000000000001E-2</v>
      </c>
      <c r="Z793" s="33">
        <v>-9.1300000000000006E-2</v>
      </c>
      <c r="AA793" s="33">
        <v>0</v>
      </c>
      <c r="AB793" s="33">
        <v>0</v>
      </c>
      <c r="AC793" s="33" t="s">
        <v>386</v>
      </c>
      <c r="AD793" s="158"/>
    </row>
    <row r="794" spans="1:30" customFormat="1" hidden="1" x14ac:dyDescent="0.2">
      <c r="A794" s="153">
        <f t="shared" si="11"/>
        <v>770</v>
      </c>
      <c r="B794" s="33">
        <v>3</v>
      </c>
      <c r="C794" s="33">
        <v>1</v>
      </c>
      <c r="D794" s="33">
        <v>4</v>
      </c>
      <c r="E794" s="104">
        <v>2016</v>
      </c>
      <c r="F794" s="33">
        <v>2050</v>
      </c>
      <c r="G794" s="33">
        <v>2</v>
      </c>
      <c r="H794" s="33">
        <v>0</v>
      </c>
      <c r="I794" s="33">
        <v>0</v>
      </c>
      <c r="J794" s="33">
        <v>2.76</v>
      </c>
      <c r="K794" s="101">
        <v>0.20036176820939897</v>
      </c>
      <c r="L794" s="101">
        <v>0.12</v>
      </c>
      <c r="M794" s="108">
        <v>1125</v>
      </c>
      <c r="N794" s="108">
        <v>975</v>
      </c>
      <c r="O794" s="142">
        <v>0</v>
      </c>
      <c r="P794" s="142">
        <v>0</v>
      </c>
      <c r="Q794" s="160">
        <v>30</v>
      </c>
      <c r="R794" s="160">
        <v>26</v>
      </c>
      <c r="S794" s="116">
        <v>0</v>
      </c>
      <c r="T794" s="116">
        <v>0</v>
      </c>
      <c r="U794" s="33" t="s">
        <v>226</v>
      </c>
      <c r="V794" s="33">
        <v>2015</v>
      </c>
      <c r="W794" s="33">
        <v>1</v>
      </c>
      <c r="X794" s="33">
        <v>0</v>
      </c>
      <c r="Y794" s="33">
        <v>-2.7400000000000001E-2</v>
      </c>
      <c r="Z794" s="33">
        <v>-9.1300000000000006E-2</v>
      </c>
      <c r="AA794" s="33">
        <v>0</v>
      </c>
      <c r="AB794" s="33">
        <v>0</v>
      </c>
      <c r="AC794" s="33" t="s">
        <v>386</v>
      </c>
      <c r="AD794" s="158"/>
    </row>
    <row r="795" spans="1:30" customFormat="1" x14ac:dyDescent="0.2">
      <c r="A795" s="153">
        <f t="shared" ref="A795:A858" si="12">A794+1</f>
        <v>771</v>
      </c>
      <c r="B795" s="33">
        <v>3</v>
      </c>
      <c r="C795" s="33">
        <v>1</v>
      </c>
      <c r="D795" s="33">
        <v>4</v>
      </c>
      <c r="E795" s="104">
        <v>2016</v>
      </c>
      <c r="F795" s="33">
        <v>2050</v>
      </c>
      <c r="G795" s="33">
        <v>3</v>
      </c>
      <c r="H795" s="33">
        <v>0</v>
      </c>
      <c r="I795" s="33">
        <v>0</v>
      </c>
      <c r="J795" s="33">
        <v>2.76</v>
      </c>
      <c r="K795" s="101">
        <v>0.20036176820939897</v>
      </c>
      <c r="L795" s="101">
        <v>0.12</v>
      </c>
      <c r="M795" s="108">
        <v>1125</v>
      </c>
      <c r="N795" s="108">
        <v>975</v>
      </c>
      <c r="O795" s="142">
        <v>0</v>
      </c>
      <c r="P795" s="142">
        <v>0</v>
      </c>
      <c r="Q795" s="160">
        <v>25</v>
      </c>
      <c r="R795" s="160">
        <v>21</v>
      </c>
      <c r="S795" s="116">
        <v>0</v>
      </c>
      <c r="T795" s="116">
        <v>0</v>
      </c>
      <c r="U795" s="33" t="s">
        <v>226</v>
      </c>
      <c r="V795" s="33">
        <v>2015</v>
      </c>
      <c r="W795" s="33">
        <v>1</v>
      </c>
      <c r="X795" s="33">
        <v>0</v>
      </c>
      <c r="Y795" s="33">
        <v>-2.7400000000000001E-2</v>
      </c>
      <c r="Z795" s="33">
        <v>-9.1300000000000006E-2</v>
      </c>
      <c r="AA795" s="33">
        <v>0</v>
      </c>
      <c r="AB795" s="33">
        <v>0</v>
      </c>
      <c r="AC795" s="33" t="s">
        <v>386</v>
      </c>
      <c r="AD795" s="158"/>
    </row>
    <row r="796" spans="1:30" customFormat="1" hidden="1" x14ac:dyDescent="0.2">
      <c r="A796" s="153">
        <f t="shared" si="12"/>
        <v>772</v>
      </c>
      <c r="B796" s="33">
        <v>3</v>
      </c>
      <c r="C796" s="33">
        <v>1</v>
      </c>
      <c r="D796" s="33">
        <v>4</v>
      </c>
      <c r="E796" s="104">
        <v>2016</v>
      </c>
      <c r="F796" s="33">
        <v>2050</v>
      </c>
      <c r="G796" s="33">
        <v>4</v>
      </c>
      <c r="H796" s="33">
        <v>0</v>
      </c>
      <c r="I796" s="33">
        <v>0</v>
      </c>
      <c r="J796" s="33">
        <v>2.76</v>
      </c>
      <c r="K796" s="101">
        <v>0.20036176820939897</v>
      </c>
      <c r="L796" s="101">
        <v>0.12</v>
      </c>
      <c r="M796" s="108">
        <v>1125</v>
      </c>
      <c r="N796" s="108">
        <v>975</v>
      </c>
      <c r="O796" s="142">
        <v>0</v>
      </c>
      <c r="P796" s="142">
        <v>0</v>
      </c>
      <c r="Q796" s="160">
        <v>19</v>
      </c>
      <c r="R796" s="160">
        <v>16</v>
      </c>
      <c r="S796" s="116">
        <v>0</v>
      </c>
      <c r="T796" s="116">
        <v>0</v>
      </c>
      <c r="U796" s="33" t="s">
        <v>226</v>
      </c>
      <c r="V796" s="33">
        <v>2015</v>
      </c>
      <c r="W796" s="33">
        <v>1</v>
      </c>
      <c r="X796" s="33">
        <v>0</v>
      </c>
      <c r="Y796" s="33">
        <v>-2.7400000000000001E-2</v>
      </c>
      <c r="Z796" s="33">
        <v>-9.1300000000000006E-2</v>
      </c>
      <c r="AA796" s="33">
        <v>0</v>
      </c>
      <c r="AB796" s="33">
        <v>0</v>
      </c>
      <c r="AC796" s="33" t="s">
        <v>386</v>
      </c>
      <c r="AD796" s="158"/>
    </row>
    <row r="797" spans="1:30" customFormat="1" hidden="1" x14ac:dyDescent="0.2">
      <c r="A797" s="153">
        <f t="shared" si="12"/>
        <v>773</v>
      </c>
      <c r="B797" s="33">
        <v>3</v>
      </c>
      <c r="C797" s="33">
        <v>1</v>
      </c>
      <c r="D797" s="33">
        <v>4</v>
      </c>
      <c r="E797" s="104">
        <v>2016</v>
      </c>
      <c r="F797" s="33">
        <v>2050</v>
      </c>
      <c r="G797" s="33">
        <v>5</v>
      </c>
      <c r="H797" s="33">
        <v>0</v>
      </c>
      <c r="I797" s="33">
        <v>0</v>
      </c>
      <c r="J797" s="33">
        <v>2.76</v>
      </c>
      <c r="K797" s="101">
        <v>0.20036176820939897</v>
      </c>
      <c r="L797" s="101">
        <v>0.12</v>
      </c>
      <c r="M797" s="108">
        <v>1125</v>
      </c>
      <c r="N797" s="108">
        <v>975</v>
      </c>
      <c r="O797" s="142">
        <v>0</v>
      </c>
      <c r="P797" s="142">
        <v>0</v>
      </c>
      <c r="Q797" s="160">
        <v>33</v>
      </c>
      <c r="R797" s="160">
        <v>29</v>
      </c>
      <c r="S797" s="116">
        <v>0</v>
      </c>
      <c r="T797" s="116">
        <v>0</v>
      </c>
      <c r="U797" s="33" t="s">
        <v>226</v>
      </c>
      <c r="V797" s="33">
        <v>2015</v>
      </c>
      <c r="W797" s="33">
        <v>1</v>
      </c>
      <c r="X797" s="33">
        <v>0</v>
      </c>
      <c r="Y797" s="33">
        <v>-2.7400000000000001E-2</v>
      </c>
      <c r="Z797" s="33">
        <v>-9.1300000000000006E-2</v>
      </c>
      <c r="AA797" s="33">
        <v>0</v>
      </c>
      <c r="AB797" s="33">
        <v>0</v>
      </c>
      <c r="AC797" s="33" t="s">
        <v>386</v>
      </c>
      <c r="AD797" s="158"/>
    </row>
    <row r="798" spans="1:30" customFormat="1" hidden="1" x14ac:dyDescent="0.2">
      <c r="A798" s="153">
        <f t="shared" si="12"/>
        <v>774</v>
      </c>
      <c r="B798" s="33">
        <v>3</v>
      </c>
      <c r="C798" s="33">
        <v>1</v>
      </c>
      <c r="D798" s="33">
        <v>4</v>
      </c>
      <c r="E798" s="104">
        <v>2016</v>
      </c>
      <c r="F798" s="33">
        <v>2050</v>
      </c>
      <c r="G798" s="33">
        <v>6</v>
      </c>
      <c r="H798" s="33">
        <v>0</v>
      </c>
      <c r="I798" s="33">
        <v>0</v>
      </c>
      <c r="J798" s="33">
        <v>2.76</v>
      </c>
      <c r="K798" s="101">
        <v>0.20036176820939897</v>
      </c>
      <c r="L798" s="101">
        <v>0.12</v>
      </c>
      <c r="M798" s="108">
        <v>1125</v>
      </c>
      <c r="N798" s="108">
        <v>975</v>
      </c>
      <c r="O798" s="142">
        <v>0</v>
      </c>
      <c r="P798" s="142">
        <v>0</v>
      </c>
      <c r="Q798" s="160">
        <v>0</v>
      </c>
      <c r="R798" s="160">
        <v>0</v>
      </c>
      <c r="S798" s="116">
        <v>0</v>
      </c>
      <c r="T798" s="116">
        <v>0</v>
      </c>
      <c r="U798" s="33" t="s">
        <v>226</v>
      </c>
      <c r="V798" s="33">
        <v>2015</v>
      </c>
      <c r="W798" s="33">
        <v>1</v>
      </c>
      <c r="X798" s="33">
        <v>0</v>
      </c>
      <c r="Y798" s="33">
        <v>-2.7400000000000001E-2</v>
      </c>
      <c r="Z798" s="33">
        <v>-9.1300000000000006E-2</v>
      </c>
      <c r="AA798" s="33">
        <v>0</v>
      </c>
      <c r="AB798" s="33">
        <v>0</v>
      </c>
      <c r="AC798" s="33" t="s">
        <v>386</v>
      </c>
      <c r="AD798" s="158"/>
    </row>
    <row r="799" spans="1:30" customFormat="1" hidden="1" x14ac:dyDescent="0.2">
      <c r="A799" s="153">
        <f t="shared" si="12"/>
        <v>775</v>
      </c>
      <c r="B799" s="33">
        <v>3</v>
      </c>
      <c r="C799" s="33">
        <v>1</v>
      </c>
      <c r="D799" s="33">
        <v>4</v>
      </c>
      <c r="E799" s="104">
        <v>2016</v>
      </c>
      <c r="F799" s="33">
        <v>2050</v>
      </c>
      <c r="G799" s="33">
        <v>7</v>
      </c>
      <c r="H799" s="33">
        <v>0</v>
      </c>
      <c r="I799" s="33">
        <v>0</v>
      </c>
      <c r="J799" s="33">
        <v>2.76</v>
      </c>
      <c r="K799" s="101">
        <v>0.20036176820939897</v>
      </c>
      <c r="L799" s="101">
        <v>0.12</v>
      </c>
      <c r="M799" s="108">
        <v>1125</v>
      </c>
      <c r="N799" s="108">
        <v>975</v>
      </c>
      <c r="O799" s="142">
        <v>0</v>
      </c>
      <c r="P799" s="142">
        <v>0</v>
      </c>
      <c r="Q799" s="160">
        <v>7</v>
      </c>
      <c r="R799" s="160">
        <v>6</v>
      </c>
      <c r="S799" s="116">
        <v>0</v>
      </c>
      <c r="T799" s="116">
        <v>0</v>
      </c>
      <c r="U799" s="33" t="s">
        <v>226</v>
      </c>
      <c r="V799" s="33">
        <v>2015</v>
      </c>
      <c r="W799" s="33">
        <v>1</v>
      </c>
      <c r="X799" s="33">
        <v>0</v>
      </c>
      <c r="Y799" s="33">
        <v>-2.7400000000000001E-2</v>
      </c>
      <c r="Z799" s="33">
        <v>-9.1300000000000006E-2</v>
      </c>
      <c r="AA799" s="33">
        <v>0</v>
      </c>
      <c r="AB799" s="33">
        <v>0</v>
      </c>
      <c r="AC799" s="33" t="s">
        <v>386</v>
      </c>
      <c r="AD799" s="158"/>
    </row>
    <row r="800" spans="1:30" customFormat="1" hidden="1" x14ac:dyDescent="0.2">
      <c r="A800" s="153">
        <f t="shared" si="12"/>
        <v>776</v>
      </c>
      <c r="B800" s="33">
        <v>3</v>
      </c>
      <c r="C800" s="33">
        <v>1</v>
      </c>
      <c r="D800" s="33">
        <v>4</v>
      </c>
      <c r="E800" s="104">
        <v>2016</v>
      </c>
      <c r="F800" s="33">
        <v>2050</v>
      </c>
      <c r="G800" s="33">
        <v>8</v>
      </c>
      <c r="H800" s="33">
        <v>0</v>
      </c>
      <c r="I800" s="33">
        <v>0</v>
      </c>
      <c r="J800" s="33">
        <v>2.76</v>
      </c>
      <c r="K800" s="101">
        <v>0.20036176820939897</v>
      </c>
      <c r="L800" s="101">
        <v>0.12</v>
      </c>
      <c r="M800" s="108">
        <v>1125</v>
      </c>
      <c r="N800" s="108">
        <v>975</v>
      </c>
      <c r="O800" s="142">
        <v>0</v>
      </c>
      <c r="P800" s="142">
        <v>0</v>
      </c>
      <c r="Q800" s="160">
        <v>23</v>
      </c>
      <c r="R800" s="160">
        <v>20</v>
      </c>
      <c r="S800" s="116">
        <v>0</v>
      </c>
      <c r="T800" s="116">
        <v>0</v>
      </c>
      <c r="U800" s="33" t="s">
        <v>226</v>
      </c>
      <c r="V800" s="33">
        <v>2015</v>
      </c>
      <c r="W800" s="33">
        <v>1</v>
      </c>
      <c r="X800" s="33">
        <v>0</v>
      </c>
      <c r="Y800" s="33">
        <v>-2.7400000000000001E-2</v>
      </c>
      <c r="Z800" s="33">
        <v>-9.1300000000000006E-2</v>
      </c>
      <c r="AA800" s="33">
        <v>0</v>
      </c>
      <c r="AB800" s="33">
        <v>0</v>
      </c>
      <c r="AC800" s="33" t="s">
        <v>386</v>
      </c>
      <c r="AD800" s="158"/>
    </row>
    <row r="801" spans="1:30" customFormat="1" hidden="1" x14ac:dyDescent="0.2">
      <c r="A801" s="153">
        <f t="shared" si="12"/>
        <v>777</v>
      </c>
      <c r="B801" s="33">
        <v>3</v>
      </c>
      <c r="C801" s="33">
        <v>1</v>
      </c>
      <c r="D801" s="33">
        <v>4</v>
      </c>
      <c r="E801" s="104">
        <v>2016</v>
      </c>
      <c r="F801" s="33">
        <v>2050</v>
      </c>
      <c r="G801" s="33">
        <v>9</v>
      </c>
      <c r="H801" s="33">
        <v>0</v>
      </c>
      <c r="I801" s="33">
        <v>0</v>
      </c>
      <c r="J801" s="33">
        <v>2.76</v>
      </c>
      <c r="K801" s="101">
        <v>0.20036176820939897</v>
      </c>
      <c r="L801" s="101">
        <v>0.12</v>
      </c>
      <c r="M801" s="108">
        <v>1125</v>
      </c>
      <c r="N801" s="108">
        <v>975</v>
      </c>
      <c r="O801" s="142">
        <v>0</v>
      </c>
      <c r="P801" s="142">
        <v>0</v>
      </c>
      <c r="Q801" s="160">
        <v>75</v>
      </c>
      <c r="R801" s="160">
        <v>65</v>
      </c>
      <c r="S801" s="116">
        <v>0</v>
      </c>
      <c r="T801" s="116">
        <v>0</v>
      </c>
      <c r="U801" s="33" t="s">
        <v>226</v>
      </c>
      <c r="V801" s="33">
        <v>2015</v>
      </c>
      <c r="W801" s="33">
        <v>1</v>
      </c>
      <c r="X801" s="33">
        <v>0</v>
      </c>
      <c r="Y801" s="33">
        <v>-2.7400000000000001E-2</v>
      </c>
      <c r="Z801" s="33">
        <v>-9.1300000000000006E-2</v>
      </c>
      <c r="AA801" s="33">
        <v>0</v>
      </c>
      <c r="AB801" s="33">
        <v>0</v>
      </c>
      <c r="AC801" s="33" t="s">
        <v>386</v>
      </c>
      <c r="AD801" s="158"/>
    </row>
    <row r="802" spans="1:30" customFormat="1" hidden="1" x14ac:dyDescent="0.2">
      <c r="A802" s="153">
        <f t="shared" si="12"/>
        <v>778</v>
      </c>
      <c r="B802" s="33">
        <v>3</v>
      </c>
      <c r="C802" s="33">
        <v>1</v>
      </c>
      <c r="D802" s="33">
        <v>5</v>
      </c>
      <c r="E802" s="104">
        <v>2016</v>
      </c>
      <c r="F802" s="33">
        <v>2050</v>
      </c>
      <c r="G802" s="33">
        <v>11</v>
      </c>
      <c r="H802" s="33">
        <v>0</v>
      </c>
      <c r="I802" s="33">
        <v>0</v>
      </c>
      <c r="J802" s="33">
        <v>1.84</v>
      </c>
      <c r="K802" s="101">
        <v>1</v>
      </c>
      <c r="L802" s="101">
        <v>0.15</v>
      </c>
      <c r="M802" s="108">
        <v>950</v>
      </c>
      <c r="N802" s="108">
        <v>800</v>
      </c>
      <c r="O802" s="142">
        <v>0</v>
      </c>
      <c r="P802" s="142">
        <v>0</v>
      </c>
      <c r="Q802" s="142">
        <v>0</v>
      </c>
      <c r="R802" s="142">
        <v>0</v>
      </c>
      <c r="S802" s="116">
        <v>0</v>
      </c>
      <c r="T802" s="116">
        <v>0</v>
      </c>
      <c r="U802" s="33" t="s">
        <v>226</v>
      </c>
      <c r="V802" s="33">
        <v>2015</v>
      </c>
      <c r="W802" s="33">
        <v>1</v>
      </c>
      <c r="X802" s="33">
        <v>0</v>
      </c>
      <c r="Y802" s="33">
        <v>-2.7400000000000001E-2</v>
      </c>
      <c r="Z802" s="33">
        <v>-9.1300000000000006E-2</v>
      </c>
      <c r="AA802" s="33">
        <v>0</v>
      </c>
      <c r="AB802" s="33">
        <v>0</v>
      </c>
      <c r="AC802" s="33" t="s">
        <v>387</v>
      </c>
      <c r="AD802" s="158"/>
    </row>
    <row r="803" spans="1:30" customFormat="1" hidden="1" x14ac:dyDescent="0.2">
      <c r="A803" s="153">
        <f t="shared" si="12"/>
        <v>779</v>
      </c>
      <c r="B803" s="33">
        <v>3</v>
      </c>
      <c r="C803" s="33">
        <v>1</v>
      </c>
      <c r="D803" s="33">
        <v>6</v>
      </c>
      <c r="E803" s="104">
        <v>2016</v>
      </c>
      <c r="F803" s="33">
        <v>2029</v>
      </c>
      <c r="G803" s="33">
        <v>11</v>
      </c>
      <c r="H803" s="33">
        <v>0</v>
      </c>
      <c r="I803" s="33">
        <v>0</v>
      </c>
      <c r="J803" s="33">
        <v>2.76</v>
      </c>
      <c r="K803" s="101">
        <v>0.80952380952380965</v>
      </c>
      <c r="L803" s="101">
        <v>0.21</v>
      </c>
      <c r="M803" s="108">
        <v>1000</v>
      </c>
      <c r="N803" s="108">
        <v>850</v>
      </c>
      <c r="O803" s="142">
        <v>0</v>
      </c>
      <c r="P803" s="142">
        <v>0</v>
      </c>
      <c r="Q803" s="142">
        <v>0</v>
      </c>
      <c r="R803" s="142">
        <v>0</v>
      </c>
      <c r="S803" s="116">
        <v>0</v>
      </c>
      <c r="T803" s="116">
        <v>0</v>
      </c>
      <c r="U803" s="33" t="s">
        <v>226</v>
      </c>
      <c r="V803" s="33">
        <v>2015</v>
      </c>
      <c r="W803" s="33">
        <v>1</v>
      </c>
      <c r="X803" s="33">
        <v>0</v>
      </c>
      <c r="Y803" s="33">
        <v>-2.7400000000000001E-2</v>
      </c>
      <c r="Z803" s="33">
        <v>-9.1300000000000006E-2</v>
      </c>
      <c r="AA803" s="33">
        <v>0</v>
      </c>
      <c r="AB803" s="33">
        <v>0</v>
      </c>
      <c r="AC803" s="33" t="s">
        <v>388</v>
      </c>
      <c r="AD803" s="158"/>
    </row>
    <row r="804" spans="1:30" customFormat="1" hidden="1" x14ac:dyDescent="0.2">
      <c r="A804" s="153">
        <f t="shared" si="12"/>
        <v>780</v>
      </c>
      <c r="B804" s="33">
        <v>3</v>
      </c>
      <c r="C804" s="33">
        <v>1</v>
      </c>
      <c r="D804" s="33">
        <v>6</v>
      </c>
      <c r="E804" s="104">
        <v>2030</v>
      </c>
      <c r="F804" s="33">
        <v>2050</v>
      </c>
      <c r="G804" s="33">
        <v>11</v>
      </c>
      <c r="H804" s="33">
        <v>0</v>
      </c>
      <c r="I804" s="33">
        <v>0</v>
      </c>
      <c r="J804" s="33">
        <v>2.92</v>
      </c>
      <c r="K804" s="101">
        <v>0.66666666666666674</v>
      </c>
      <c r="L804" s="101">
        <v>0.17</v>
      </c>
      <c r="M804" s="108">
        <v>1050</v>
      </c>
      <c r="N804" s="108">
        <v>950</v>
      </c>
      <c r="O804" s="142">
        <v>0</v>
      </c>
      <c r="P804" s="142">
        <v>0</v>
      </c>
      <c r="Q804" s="149">
        <v>0</v>
      </c>
      <c r="R804" s="149">
        <v>0</v>
      </c>
      <c r="S804" s="116">
        <v>0</v>
      </c>
      <c r="T804" s="116">
        <v>0</v>
      </c>
      <c r="U804" s="33" t="s">
        <v>226</v>
      </c>
      <c r="V804" s="33">
        <v>2015</v>
      </c>
      <c r="W804" s="33">
        <v>1</v>
      </c>
      <c r="X804" s="33">
        <v>0</v>
      </c>
      <c r="Y804" s="33">
        <v>-2.7400000000000001E-2</v>
      </c>
      <c r="Z804" s="33">
        <v>-9.1300000000000006E-2</v>
      </c>
      <c r="AA804" s="33">
        <v>0</v>
      </c>
      <c r="AB804" s="33">
        <v>0</v>
      </c>
      <c r="AC804" s="33" t="s">
        <v>388</v>
      </c>
      <c r="AD804" s="158"/>
    </row>
    <row r="805" spans="1:30" customFormat="1" hidden="1" x14ac:dyDescent="0.2">
      <c r="A805" s="153">
        <f t="shared" si="12"/>
        <v>781</v>
      </c>
      <c r="B805" s="33">
        <v>3</v>
      </c>
      <c r="C805" s="33">
        <v>1</v>
      </c>
      <c r="D805" s="33">
        <v>7</v>
      </c>
      <c r="E805" s="104">
        <v>2016</v>
      </c>
      <c r="F805" s="33">
        <v>2050</v>
      </c>
      <c r="G805" s="33">
        <v>1</v>
      </c>
      <c r="H805" s="33">
        <v>0</v>
      </c>
      <c r="I805" s="33">
        <v>0</v>
      </c>
      <c r="J805" s="33">
        <v>2.38</v>
      </c>
      <c r="K805" s="101">
        <v>1</v>
      </c>
      <c r="L805" s="101">
        <v>0.28999999999999998</v>
      </c>
      <c r="M805" s="108">
        <v>950</v>
      </c>
      <c r="N805" s="108">
        <v>800</v>
      </c>
      <c r="O805" s="142">
        <v>0</v>
      </c>
      <c r="P805" s="142">
        <v>0</v>
      </c>
      <c r="Q805" s="141">
        <v>0</v>
      </c>
      <c r="R805" s="160">
        <v>0</v>
      </c>
      <c r="S805" s="116">
        <v>0</v>
      </c>
      <c r="T805" s="116">
        <v>0</v>
      </c>
      <c r="U805" s="33" t="s">
        <v>226</v>
      </c>
      <c r="V805" s="33">
        <v>2015</v>
      </c>
      <c r="W805" s="33">
        <v>1</v>
      </c>
      <c r="X805" s="33">
        <v>0</v>
      </c>
      <c r="Y805" s="33">
        <v>-2.7400000000000001E-2</v>
      </c>
      <c r="Z805" s="33">
        <v>-9.1300000000000006E-2</v>
      </c>
      <c r="AA805" s="33">
        <v>0</v>
      </c>
      <c r="AB805" s="33">
        <v>0</v>
      </c>
      <c r="AC805" s="33" t="s">
        <v>389</v>
      </c>
      <c r="AD805" s="158"/>
    </row>
    <row r="806" spans="1:30" customFormat="1" hidden="1" x14ac:dyDescent="0.2">
      <c r="A806" s="153">
        <f t="shared" si="12"/>
        <v>782</v>
      </c>
      <c r="B806" s="33">
        <v>3</v>
      </c>
      <c r="C806" s="33">
        <v>1</v>
      </c>
      <c r="D806" s="33">
        <v>7</v>
      </c>
      <c r="E806" s="104">
        <v>2016</v>
      </c>
      <c r="F806" s="33">
        <v>2050</v>
      </c>
      <c r="G806" s="33">
        <v>2</v>
      </c>
      <c r="H806" s="33">
        <v>0</v>
      </c>
      <c r="I806" s="33">
        <v>0</v>
      </c>
      <c r="J806" s="33">
        <v>2.38</v>
      </c>
      <c r="K806" s="101">
        <v>1</v>
      </c>
      <c r="L806" s="101">
        <v>0.28999999999999998</v>
      </c>
      <c r="M806" s="108">
        <v>950</v>
      </c>
      <c r="N806" s="108">
        <v>800</v>
      </c>
      <c r="O806" s="142">
        <v>0</v>
      </c>
      <c r="P806" s="142">
        <v>0</v>
      </c>
      <c r="Q806" s="141">
        <v>0</v>
      </c>
      <c r="R806" s="160">
        <v>0</v>
      </c>
      <c r="S806" s="116">
        <v>0</v>
      </c>
      <c r="T806" s="116">
        <v>0</v>
      </c>
      <c r="U806" s="33" t="s">
        <v>226</v>
      </c>
      <c r="V806" s="33">
        <v>2015</v>
      </c>
      <c r="W806" s="33">
        <v>1</v>
      </c>
      <c r="X806" s="33">
        <v>0</v>
      </c>
      <c r="Y806" s="33">
        <v>-2.7400000000000001E-2</v>
      </c>
      <c r="Z806" s="33">
        <v>-9.1300000000000006E-2</v>
      </c>
      <c r="AA806" s="33">
        <v>0</v>
      </c>
      <c r="AB806" s="33">
        <v>0</v>
      </c>
      <c r="AC806" s="33" t="s">
        <v>389</v>
      </c>
      <c r="AD806" s="158"/>
    </row>
    <row r="807" spans="1:30" customFormat="1" x14ac:dyDescent="0.2">
      <c r="A807" s="153">
        <f t="shared" si="12"/>
        <v>783</v>
      </c>
      <c r="B807" s="33">
        <v>3</v>
      </c>
      <c r="C807" s="33">
        <v>1</v>
      </c>
      <c r="D807" s="33">
        <v>7</v>
      </c>
      <c r="E807" s="104">
        <v>2016</v>
      </c>
      <c r="F807" s="33">
        <v>2050</v>
      </c>
      <c r="G807" s="33">
        <v>3</v>
      </c>
      <c r="H807" s="33">
        <v>0</v>
      </c>
      <c r="I807" s="33">
        <v>0</v>
      </c>
      <c r="J807" s="33">
        <v>2.38</v>
      </c>
      <c r="K807" s="101">
        <v>1</v>
      </c>
      <c r="L807" s="101">
        <v>0.28999999999999998</v>
      </c>
      <c r="M807" s="108">
        <v>950</v>
      </c>
      <c r="N807" s="108">
        <v>800</v>
      </c>
      <c r="O807" s="142">
        <v>0</v>
      </c>
      <c r="P807" s="142">
        <v>0</v>
      </c>
      <c r="Q807" s="141">
        <v>0</v>
      </c>
      <c r="R807" s="160">
        <v>0</v>
      </c>
      <c r="S807" s="116">
        <v>0</v>
      </c>
      <c r="T807" s="116">
        <v>0</v>
      </c>
      <c r="U807" s="33" t="s">
        <v>226</v>
      </c>
      <c r="V807" s="33">
        <v>2015</v>
      </c>
      <c r="W807" s="33">
        <v>1</v>
      </c>
      <c r="X807" s="33">
        <v>0</v>
      </c>
      <c r="Y807" s="33">
        <v>-2.7400000000000001E-2</v>
      </c>
      <c r="Z807" s="33">
        <v>-9.1300000000000006E-2</v>
      </c>
      <c r="AA807" s="33">
        <v>0</v>
      </c>
      <c r="AB807" s="33">
        <v>0</v>
      </c>
      <c r="AC807" s="33" t="s">
        <v>389</v>
      </c>
      <c r="AD807" s="158"/>
    </row>
    <row r="808" spans="1:30" customFormat="1" hidden="1" x14ac:dyDescent="0.2">
      <c r="A808" s="153">
        <f t="shared" si="12"/>
        <v>784</v>
      </c>
      <c r="B808" s="33">
        <v>3</v>
      </c>
      <c r="C808" s="33">
        <v>1</v>
      </c>
      <c r="D808" s="33">
        <v>7</v>
      </c>
      <c r="E808" s="104">
        <v>2016</v>
      </c>
      <c r="F808" s="33">
        <v>2050</v>
      </c>
      <c r="G808" s="33">
        <v>4</v>
      </c>
      <c r="H808" s="33">
        <v>0</v>
      </c>
      <c r="I808" s="33">
        <v>0</v>
      </c>
      <c r="J808" s="33">
        <v>2.38</v>
      </c>
      <c r="K808" s="101">
        <v>1</v>
      </c>
      <c r="L808" s="101">
        <v>0.28999999999999998</v>
      </c>
      <c r="M808" s="108">
        <v>950</v>
      </c>
      <c r="N808" s="108">
        <v>800</v>
      </c>
      <c r="O808" s="142">
        <v>0</v>
      </c>
      <c r="P808" s="142">
        <v>0</v>
      </c>
      <c r="Q808" s="141">
        <v>0</v>
      </c>
      <c r="R808" s="160">
        <v>0</v>
      </c>
      <c r="S808" s="116">
        <v>0</v>
      </c>
      <c r="T808" s="116">
        <v>0</v>
      </c>
      <c r="U808" s="33" t="s">
        <v>226</v>
      </c>
      <c r="V808" s="33">
        <v>2015</v>
      </c>
      <c r="W808" s="33">
        <v>1</v>
      </c>
      <c r="X808" s="33">
        <v>0</v>
      </c>
      <c r="Y808" s="33">
        <v>-2.7400000000000001E-2</v>
      </c>
      <c r="Z808" s="33">
        <v>-9.1300000000000006E-2</v>
      </c>
      <c r="AA808" s="33">
        <v>0</v>
      </c>
      <c r="AB808" s="33">
        <v>0</v>
      </c>
      <c r="AC808" s="33" t="s">
        <v>389</v>
      </c>
      <c r="AD808" s="158"/>
    </row>
    <row r="809" spans="1:30" customFormat="1" hidden="1" x14ac:dyDescent="0.2">
      <c r="A809" s="153">
        <f t="shared" si="12"/>
        <v>785</v>
      </c>
      <c r="B809" s="33">
        <v>3</v>
      </c>
      <c r="C809" s="33">
        <v>1</v>
      </c>
      <c r="D809" s="33">
        <v>7</v>
      </c>
      <c r="E809" s="104">
        <v>2016</v>
      </c>
      <c r="F809" s="33">
        <v>2050</v>
      </c>
      <c r="G809" s="33">
        <v>5</v>
      </c>
      <c r="H809" s="33">
        <v>0</v>
      </c>
      <c r="I809" s="33">
        <v>0</v>
      </c>
      <c r="J809" s="33">
        <v>2.38</v>
      </c>
      <c r="K809" s="101">
        <v>1</v>
      </c>
      <c r="L809" s="101">
        <v>0.28999999999999998</v>
      </c>
      <c r="M809" s="108">
        <v>950</v>
      </c>
      <c r="N809" s="108">
        <v>800</v>
      </c>
      <c r="O809" s="142">
        <v>0</v>
      </c>
      <c r="P809" s="142">
        <v>0</v>
      </c>
      <c r="Q809" s="141">
        <v>0</v>
      </c>
      <c r="R809" s="160">
        <v>0</v>
      </c>
      <c r="S809" s="116">
        <v>0</v>
      </c>
      <c r="T809" s="116">
        <v>0</v>
      </c>
      <c r="U809" s="33" t="s">
        <v>226</v>
      </c>
      <c r="V809" s="33">
        <v>2015</v>
      </c>
      <c r="W809" s="33">
        <v>1</v>
      </c>
      <c r="X809" s="33">
        <v>0</v>
      </c>
      <c r="Y809" s="33">
        <v>-2.7400000000000001E-2</v>
      </c>
      <c r="Z809" s="33">
        <v>-9.1300000000000006E-2</v>
      </c>
      <c r="AA809" s="33">
        <v>0</v>
      </c>
      <c r="AB809" s="33">
        <v>0</v>
      </c>
      <c r="AC809" s="33" t="s">
        <v>389</v>
      </c>
      <c r="AD809" s="158"/>
    </row>
    <row r="810" spans="1:30" customFormat="1" hidden="1" x14ac:dyDescent="0.2">
      <c r="A810" s="153">
        <f t="shared" si="12"/>
        <v>786</v>
      </c>
      <c r="B810" s="33">
        <v>3</v>
      </c>
      <c r="C810" s="33">
        <v>1</v>
      </c>
      <c r="D810" s="33">
        <v>7</v>
      </c>
      <c r="E810" s="104">
        <v>2016</v>
      </c>
      <c r="F810" s="33">
        <v>2050</v>
      </c>
      <c r="G810" s="33">
        <v>6</v>
      </c>
      <c r="H810" s="33">
        <v>0</v>
      </c>
      <c r="I810" s="33">
        <v>0</v>
      </c>
      <c r="J810" s="33">
        <v>2.38</v>
      </c>
      <c r="K810" s="101">
        <v>1</v>
      </c>
      <c r="L810" s="101">
        <v>0.28999999999999998</v>
      </c>
      <c r="M810" s="108">
        <v>950</v>
      </c>
      <c r="N810" s="108">
        <v>800</v>
      </c>
      <c r="O810" s="142">
        <v>0</v>
      </c>
      <c r="P810" s="142">
        <v>0</v>
      </c>
      <c r="Q810" s="141">
        <v>0</v>
      </c>
      <c r="R810" s="160">
        <v>0</v>
      </c>
      <c r="S810" s="116">
        <v>0</v>
      </c>
      <c r="T810" s="116">
        <v>0</v>
      </c>
      <c r="U810" s="33" t="s">
        <v>226</v>
      </c>
      <c r="V810" s="33">
        <v>2015</v>
      </c>
      <c r="W810" s="33">
        <v>1</v>
      </c>
      <c r="X810" s="33">
        <v>0</v>
      </c>
      <c r="Y810" s="33">
        <v>-2.7400000000000001E-2</v>
      </c>
      <c r="Z810" s="33">
        <v>-9.1300000000000006E-2</v>
      </c>
      <c r="AA810" s="33">
        <v>0</v>
      </c>
      <c r="AB810" s="33">
        <v>0</v>
      </c>
      <c r="AC810" s="33" t="s">
        <v>389</v>
      </c>
      <c r="AD810" s="158"/>
    </row>
    <row r="811" spans="1:30" customFormat="1" hidden="1" x14ac:dyDescent="0.2">
      <c r="A811" s="153">
        <f t="shared" si="12"/>
        <v>787</v>
      </c>
      <c r="B811" s="33">
        <v>3</v>
      </c>
      <c r="C811" s="33">
        <v>1</v>
      </c>
      <c r="D811" s="33">
        <v>7</v>
      </c>
      <c r="E811" s="104">
        <v>2016</v>
      </c>
      <c r="F811" s="33">
        <v>2050</v>
      </c>
      <c r="G811" s="33">
        <v>7</v>
      </c>
      <c r="H811" s="33">
        <v>0</v>
      </c>
      <c r="I811" s="33">
        <v>0</v>
      </c>
      <c r="J811" s="33">
        <v>2.38</v>
      </c>
      <c r="K811" s="101">
        <v>1</v>
      </c>
      <c r="L811" s="101">
        <v>0.28999999999999998</v>
      </c>
      <c r="M811" s="108">
        <v>950</v>
      </c>
      <c r="N811" s="108">
        <v>800</v>
      </c>
      <c r="O811" s="142">
        <v>0</v>
      </c>
      <c r="P811" s="142">
        <v>0</v>
      </c>
      <c r="Q811" s="141">
        <v>0</v>
      </c>
      <c r="R811" s="160">
        <v>0</v>
      </c>
      <c r="S811" s="116">
        <v>0</v>
      </c>
      <c r="T811" s="116">
        <v>0</v>
      </c>
      <c r="U811" s="33" t="s">
        <v>226</v>
      </c>
      <c r="V811" s="33">
        <v>2015</v>
      </c>
      <c r="W811" s="33">
        <v>1</v>
      </c>
      <c r="X811" s="33">
        <v>0</v>
      </c>
      <c r="Y811" s="33">
        <v>-2.7400000000000001E-2</v>
      </c>
      <c r="Z811" s="33">
        <v>-9.1300000000000006E-2</v>
      </c>
      <c r="AA811" s="33">
        <v>0</v>
      </c>
      <c r="AB811" s="33">
        <v>0</v>
      </c>
      <c r="AC811" s="33" t="s">
        <v>389</v>
      </c>
      <c r="AD811" s="158"/>
    </row>
    <row r="812" spans="1:30" customFormat="1" hidden="1" x14ac:dyDescent="0.2">
      <c r="A812" s="153">
        <f t="shared" si="12"/>
        <v>788</v>
      </c>
      <c r="B812" s="33">
        <v>3</v>
      </c>
      <c r="C812" s="33">
        <v>1</v>
      </c>
      <c r="D812" s="33">
        <v>7</v>
      </c>
      <c r="E812" s="104">
        <v>2016</v>
      </c>
      <c r="F812" s="33">
        <v>2050</v>
      </c>
      <c r="G812" s="33">
        <v>8</v>
      </c>
      <c r="H812" s="33">
        <v>0</v>
      </c>
      <c r="I812" s="33">
        <v>0</v>
      </c>
      <c r="J812" s="33">
        <v>2.38</v>
      </c>
      <c r="K812" s="101">
        <v>1</v>
      </c>
      <c r="L812" s="101">
        <v>0.28999999999999998</v>
      </c>
      <c r="M812" s="108">
        <v>950</v>
      </c>
      <c r="N812" s="108">
        <v>800</v>
      </c>
      <c r="O812" s="142">
        <v>0</v>
      </c>
      <c r="P812" s="142">
        <v>0</v>
      </c>
      <c r="Q812" s="141">
        <v>0</v>
      </c>
      <c r="R812" s="160">
        <v>0</v>
      </c>
      <c r="S812" s="116">
        <v>0</v>
      </c>
      <c r="T812" s="116">
        <v>0</v>
      </c>
      <c r="U812" s="33" t="s">
        <v>226</v>
      </c>
      <c r="V812" s="33">
        <v>2015</v>
      </c>
      <c r="W812" s="33">
        <v>1</v>
      </c>
      <c r="X812" s="33">
        <v>0</v>
      </c>
      <c r="Y812" s="33">
        <v>-2.7400000000000001E-2</v>
      </c>
      <c r="Z812" s="33">
        <v>-9.1300000000000006E-2</v>
      </c>
      <c r="AA812" s="33">
        <v>0</v>
      </c>
      <c r="AB812" s="33">
        <v>0</v>
      </c>
      <c r="AC812" s="33" t="s">
        <v>389</v>
      </c>
      <c r="AD812" s="158"/>
    </row>
    <row r="813" spans="1:30" customFormat="1" hidden="1" x14ac:dyDescent="0.2">
      <c r="A813" s="153">
        <f t="shared" si="12"/>
        <v>789</v>
      </c>
      <c r="B813" s="33">
        <v>3</v>
      </c>
      <c r="C813" s="33">
        <v>1</v>
      </c>
      <c r="D813" s="33">
        <v>7</v>
      </c>
      <c r="E813" s="104">
        <v>2016</v>
      </c>
      <c r="F813" s="33">
        <v>2050</v>
      </c>
      <c r="G813" s="33">
        <v>9</v>
      </c>
      <c r="H813" s="33">
        <v>0</v>
      </c>
      <c r="I813" s="33">
        <v>0</v>
      </c>
      <c r="J813" s="33">
        <v>2.38</v>
      </c>
      <c r="K813" s="101">
        <v>1</v>
      </c>
      <c r="L813" s="101">
        <v>0.28999999999999998</v>
      </c>
      <c r="M813" s="108">
        <v>950</v>
      </c>
      <c r="N813" s="108">
        <v>800</v>
      </c>
      <c r="O813" s="142">
        <v>0</v>
      </c>
      <c r="P813" s="142">
        <v>0</v>
      </c>
      <c r="Q813" s="141">
        <v>0</v>
      </c>
      <c r="R813" s="160">
        <v>0</v>
      </c>
      <c r="S813" s="116">
        <v>0</v>
      </c>
      <c r="T813" s="116">
        <v>0</v>
      </c>
      <c r="U813" s="33" t="s">
        <v>226</v>
      </c>
      <c r="V813" s="33">
        <v>2015</v>
      </c>
      <c r="W813" s="33">
        <v>1</v>
      </c>
      <c r="X813" s="33">
        <v>0</v>
      </c>
      <c r="Y813" s="33">
        <v>-2.7400000000000001E-2</v>
      </c>
      <c r="Z813" s="33">
        <v>-9.1300000000000006E-2</v>
      </c>
      <c r="AA813" s="33">
        <v>0</v>
      </c>
      <c r="AB813" s="33">
        <v>0</v>
      </c>
      <c r="AC813" s="33" t="s">
        <v>389</v>
      </c>
      <c r="AD813" s="158"/>
    </row>
    <row r="814" spans="1:30" customFormat="1" hidden="1" x14ac:dyDescent="0.2">
      <c r="A814" s="153">
        <f t="shared" si="12"/>
        <v>790</v>
      </c>
      <c r="B814" s="33">
        <v>3</v>
      </c>
      <c r="C814" s="33">
        <v>1</v>
      </c>
      <c r="D814" s="33">
        <v>8</v>
      </c>
      <c r="E814" s="104">
        <v>2016</v>
      </c>
      <c r="F814" s="33">
        <v>2019</v>
      </c>
      <c r="G814" s="33">
        <v>1</v>
      </c>
      <c r="H814" s="33">
        <v>0</v>
      </c>
      <c r="I814" s="33">
        <v>0</v>
      </c>
      <c r="J814" s="33">
        <v>2.92</v>
      </c>
      <c r="K814" s="101">
        <v>0.66666666666666674</v>
      </c>
      <c r="L814" s="101">
        <v>0.17</v>
      </c>
      <c r="M814" s="108">
        <v>1050</v>
      </c>
      <c r="N814" s="108">
        <v>900</v>
      </c>
      <c r="O814" s="142">
        <v>0</v>
      </c>
      <c r="P814" s="142">
        <v>0</v>
      </c>
      <c r="Q814" s="160">
        <v>112</v>
      </c>
      <c r="R814" s="160">
        <v>96</v>
      </c>
      <c r="S814" s="116">
        <v>0</v>
      </c>
      <c r="T814" s="116">
        <v>0</v>
      </c>
      <c r="U814" s="33" t="s">
        <v>226</v>
      </c>
      <c r="V814" s="33">
        <v>2015</v>
      </c>
      <c r="W814" s="33">
        <v>1</v>
      </c>
      <c r="X814" s="33">
        <v>0</v>
      </c>
      <c r="Y814" s="33">
        <v>-2.7400000000000001E-2</v>
      </c>
      <c r="Z814" s="33">
        <v>-9.1300000000000006E-2</v>
      </c>
      <c r="AA814" s="33">
        <v>0</v>
      </c>
      <c r="AB814" s="33">
        <v>0</v>
      </c>
      <c r="AC814" s="33" t="s">
        <v>390</v>
      </c>
      <c r="AD814" s="158"/>
    </row>
    <row r="815" spans="1:30" customFormat="1" hidden="1" x14ac:dyDescent="0.2">
      <c r="A815" s="153">
        <f t="shared" si="12"/>
        <v>791</v>
      </c>
      <c r="B815" s="33">
        <v>3</v>
      </c>
      <c r="C815" s="33">
        <v>1</v>
      </c>
      <c r="D815" s="33">
        <v>8</v>
      </c>
      <c r="E815" s="104">
        <v>2016</v>
      </c>
      <c r="F815" s="33">
        <v>2019</v>
      </c>
      <c r="G815" s="33">
        <v>2</v>
      </c>
      <c r="H815" s="33">
        <v>0</v>
      </c>
      <c r="I815" s="33">
        <v>0</v>
      </c>
      <c r="J815" s="33">
        <v>2.92</v>
      </c>
      <c r="K815" s="101">
        <v>0.66666666666666674</v>
      </c>
      <c r="L815" s="101">
        <v>0.17</v>
      </c>
      <c r="M815" s="108">
        <v>1050</v>
      </c>
      <c r="N815" s="108">
        <v>900</v>
      </c>
      <c r="O815" s="142">
        <v>0</v>
      </c>
      <c r="P815" s="142">
        <v>0</v>
      </c>
      <c r="Q815" s="160">
        <v>28</v>
      </c>
      <c r="R815" s="160">
        <v>24</v>
      </c>
      <c r="S815" s="116">
        <v>0</v>
      </c>
      <c r="T815" s="116">
        <v>0</v>
      </c>
      <c r="U815" s="33" t="s">
        <v>226</v>
      </c>
      <c r="V815" s="33">
        <v>2015</v>
      </c>
      <c r="W815" s="33">
        <v>1</v>
      </c>
      <c r="X815" s="33">
        <v>0</v>
      </c>
      <c r="Y815" s="33">
        <v>-2.7400000000000001E-2</v>
      </c>
      <c r="Z815" s="33">
        <v>-9.1300000000000006E-2</v>
      </c>
      <c r="AA815" s="33">
        <v>0</v>
      </c>
      <c r="AB815" s="33">
        <v>0</v>
      </c>
      <c r="AC815" s="33" t="s">
        <v>390</v>
      </c>
      <c r="AD815" s="158"/>
    </row>
    <row r="816" spans="1:30" customFormat="1" x14ac:dyDescent="0.2">
      <c r="A816" s="153">
        <f t="shared" si="12"/>
        <v>792</v>
      </c>
      <c r="B816" s="33">
        <v>3</v>
      </c>
      <c r="C816" s="33">
        <v>1</v>
      </c>
      <c r="D816" s="33">
        <v>8</v>
      </c>
      <c r="E816" s="104">
        <v>2016</v>
      </c>
      <c r="F816" s="33">
        <v>2019</v>
      </c>
      <c r="G816" s="33">
        <v>3</v>
      </c>
      <c r="H816" s="33">
        <v>0</v>
      </c>
      <c r="I816" s="33">
        <v>0</v>
      </c>
      <c r="J816" s="33">
        <v>2.92</v>
      </c>
      <c r="K816" s="101">
        <v>0.66666666666666674</v>
      </c>
      <c r="L816" s="101">
        <v>0.17</v>
      </c>
      <c r="M816" s="108">
        <v>1050</v>
      </c>
      <c r="N816" s="108">
        <v>900</v>
      </c>
      <c r="O816" s="142">
        <v>0</v>
      </c>
      <c r="P816" s="142">
        <v>0</v>
      </c>
      <c r="Q816" s="160">
        <v>23</v>
      </c>
      <c r="R816" s="160">
        <v>20</v>
      </c>
      <c r="S816" s="116">
        <v>0</v>
      </c>
      <c r="T816" s="116">
        <v>0</v>
      </c>
      <c r="U816" s="33" t="s">
        <v>226</v>
      </c>
      <c r="V816" s="33">
        <v>2015</v>
      </c>
      <c r="W816" s="33">
        <v>1</v>
      </c>
      <c r="X816" s="33">
        <v>0</v>
      </c>
      <c r="Y816" s="33">
        <v>-2.7400000000000001E-2</v>
      </c>
      <c r="Z816" s="33">
        <v>-9.1300000000000006E-2</v>
      </c>
      <c r="AA816" s="33">
        <v>0</v>
      </c>
      <c r="AB816" s="33">
        <v>0</v>
      </c>
      <c r="AC816" s="33" t="s">
        <v>390</v>
      </c>
      <c r="AD816" s="158"/>
    </row>
    <row r="817" spans="1:30" customFormat="1" hidden="1" x14ac:dyDescent="0.2">
      <c r="A817" s="153">
        <f t="shared" si="12"/>
        <v>793</v>
      </c>
      <c r="B817" s="33">
        <v>3</v>
      </c>
      <c r="C817" s="33">
        <v>1</v>
      </c>
      <c r="D817" s="33">
        <v>8</v>
      </c>
      <c r="E817" s="104">
        <v>2016</v>
      </c>
      <c r="F817" s="33">
        <v>2019</v>
      </c>
      <c r="G817" s="33">
        <v>4</v>
      </c>
      <c r="H817" s="33">
        <v>0</v>
      </c>
      <c r="I817" s="33">
        <v>0</v>
      </c>
      <c r="J817" s="33">
        <v>2.92</v>
      </c>
      <c r="K817" s="101">
        <v>0.66666666666666674</v>
      </c>
      <c r="L817" s="101">
        <v>0.17</v>
      </c>
      <c r="M817" s="108">
        <v>1050</v>
      </c>
      <c r="N817" s="108">
        <v>900</v>
      </c>
      <c r="O817" s="142">
        <v>0</v>
      </c>
      <c r="P817" s="142">
        <v>0</v>
      </c>
      <c r="Q817" s="160">
        <v>18</v>
      </c>
      <c r="R817" s="160">
        <v>15</v>
      </c>
      <c r="S817" s="116">
        <v>0</v>
      </c>
      <c r="T817" s="116">
        <v>0</v>
      </c>
      <c r="U817" s="33" t="s">
        <v>226</v>
      </c>
      <c r="V817" s="33">
        <v>2015</v>
      </c>
      <c r="W817" s="33">
        <v>1</v>
      </c>
      <c r="X817" s="33">
        <v>0</v>
      </c>
      <c r="Y817" s="33">
        <v>-2.7400000000000001E-2</v>
      </c>
      <c r="Z817" s="33">
        <v>-9.1300000000000006E-2</v>
      </c>
      <c r="AA817" s="33">
        <v>0</v>
      </c>
      <c r="AB817" s="33">
        <v>0</v>
      </c>
      <c r="AC817" s="33" t="s">
        <v>390</v>
      </c>
      <c r="AD817" s="158"/>
    </row>
    <row r="818" spans="1:30" customFormat="1" hidden="1" x14ac:dyDescent="0.2">
      <c r="A818" s="153">
        <f t="shared" si="12"/>
        <v>794</v>
      </c>
      <c r="B818" s="33">
        <v>3</v>
      </c>
      <c r="C818" s="33">
        <v>1</v>
      </c>
      <c r="D818" s="33">
        <v>8</v>
      </c>
      <c r="E818" s="104">
        <v>2016</v>
      </c>
      <c r="F818" s="33">
        <v>2019</v>
      </c>
      <c r="G818" s="33">
        <v>5</v>
      </c>
      <c r="H818" s="33">
        <v>0</v>
      </c>
      <c r="I818" s="33">
        <v>0</v>
      </c>
      <c r="J818" s="33">
        <v>2.92</v>
      </c>
      <c r="K818" s="101">
        <v>0.66666666666666674</v>
      </c>
      <c r="L818" s="101">
        <v>0.17</v>
      </c>
      <c r="M818" s="108">
        <v>1050</v>
      </c>
      <c r="N818" s="108">
        <v>900</v>
      </c>
      <c r="O818" s="142">
        <v>0</v>
      </c>
      <c r="P818" s="142">
        <v>0</v>
      </c>
      <c r="Q818" s="160">
        <v>31</v>
      </c>
      <c r="R818" s="160">
        <v>26</v>
      </c>
      <c r="S818" s="116">
        <v>0</v>
      </c>
      <c r="T818" s="116">
        <v>0</v>
      </c>
      <c r="U818" s="33" t="s">
        <v>226</v>
      </c>
      <c r="V818" s="33">
        <v>2015</v>
      </c>
      <c r="W818" s="33">
        <v>1</v>
      </c>
      <c r="X818" s="33">
        <v>0</v>
      </c>
      <c r="Y818" s="33">
        <v>-2.7400000000000001E-2</v>
      </c>
      <c r="Z818" s="33">
        <v>-9.1300000000000006E-2</v>
      </c>
      <c r="AA818" s="33">
        <v>0</v>
      </c>
      <c r="AB818" s="33">
        <v>0</v>
      </c>
      <c r="AC818" s="33" t="s">
        <v>390</v>
      </c>
      <c r="AD818" s="158"/>
    </row>
    <row r="819" spans="1:30" customFormat="1" hidden="1" x14ac:dyDescent="0.2">
      <c r="A819" s="153">
        <f t="shared" si="12"/>
        <v>795</v>
      </c>
      <c r="B819" s="33">
        <v>3</v>
      </c>
      <c r="C819" s="33">
        <v>1</v>
      </c>
      <c r="D819" s="33">
        <v>8</v>
      </c>
      <c r="E819" s="104">
        <v>2016</v>
      </c>
      <c r="F819" s="33">
        <v>2019</v>
      </c>
      <c r="G819" s="33">
        <v>6</v>
      </c>
      <c r="H819" s="33">
        <v>0</v>
      </c>
      <c r="I819" s="33">
        <v>0</v>
      </c>
      <c r="J819" s="33">
        <v>2.92</v>
      </c>
      <c r="K819" s="101">
        <v>0.66666666666666674</v>
      </c>
      <c r="L819" s="101">
        <v>0.17</v>
      </c>
      <c r="M819" s="108">
        <v>1050</v>
      </c>
      <c r="N819" s="108">
        <v>900</v>
      </c>
      <c r="O819" s="142">
        <v>0</v>
      </c>
      <c r="P819" s="142">
        <v>0</v>
      </c>
      <c r="Q819" s="160">
        <v>0</v>
      </c>
      <c r="R819" s="160">
        <v>0</v>
      </c>
      <c r="S819" s="116">
        <v>0</v>
      </c>
      <c r="T819" s="116">
        <v>0</v>
      </c>
      <c r="U819" s="33" t="s">
        <v>226</v>
      </c>
      <c r="V819" s="33">
        <v>2015</v>
      </c>
      <c r="W819" s="33">
        <v>1</v>
      </c>
      <c r="X819" s="33">
        <v>0</v>
      </c>
      <c r="Y819" s="33">
        <v>-2.7400000000000001E-2</v>
      </c>
      <c r="Z819" s="33">
        <v>-9.1300000000000006E-2</v>
      </c>
      <c r="AA819" s="33">
        <v>0</v>
      </c>
      <c r="AB819" s="33">
        <v>0</v>
      </c>
      <c r="AC819" s="33" t="s">
        <v>390</v>
      </c>
      <c r="AD819" s="158"/>
    </row>
    <row r="820" spans="1:30" customFormat="1" hidden="1" x14ac:dyDescent="0.2">
      <c r="A820" s="153">
        <f t="shared" si="12"/>
        <v>796</v>
      </c>
      <c r="B820" s="33">
        <v>3</v>
      </c>
      <c r="C820" s="33">
        <v>1</v>
      </c>
      <c r="D820" s="33">
        <v>8</v>
      </c>
      <c r="E820" s="104">
        <v>2016</v>
      </c>
      <c r="F820" s="33">
        <v>2019</v>
      </c>
      <c r="G820" s="33">
        <v>7</v>
      </c>
      <c r="H820" s="33">
        <v>0</v>
      </c>
      <c r="I820" s="33">
        <v>0</v>
      </c>
      <c r="J820" s="33">
        <v>2.92</v>
      </c>
      <c r="K820" s="101">
        <v>0.66666666666666674</v>
      </c>
      <c r="L820" s="101">
        <v>0.17</v>
      </c>
      <c r="M820" s="108">
        <v>1050</v>
      </c>
      <c r="N820" s="108">
        <v>900</v>
      </c>
      <c r="O820" s="142">
        <v>0</v>
      </c>
      <c r="P820" s="142">
        <v>0</v>
      </c>
      <c r="Q820" s="160">
        <v>7</v>
      </c>
      <c r="R820" s="160">
        <v>6</v>
      </c>
      <c r="S820" s="116">
        <v>0</v>
      </c>
      <c r="T820" s="116">
        <v>0</v>
      </c>
      <c r="U820" s="33" t="s">
        <v>226</v>
      </c>
      <c r="V820" s="33">
        <v>2015</v>
      </c>
      <c r="W820" s="33">
        <v>1</v>
      </c>
      <c r="X820" s="33">
        <v>0</v>
      </c>
      <c r="Y820" s="33">
        <v>-2.7400000000000001E-2</v>
      </c>
      <c r="Z820" s="33">
        <v>-9.1300000000000006E-2</v>
      </c>
      <c r="AA820" s="33">
        <v>0</v>
      </c>
      <c r="AB820" s="33">
        <v>0</v>
      </c>
      <c r="AC820" s="33" t="s">
        <v>390</v>
      </c>
      <c r="AD820" s="158"/>
    </row>
    <row r="821" spans="1:30" customFormat="1" hidden="1" x14ac:dyDescent="0.2">
      <c r="A821" s="153">
        <f t="shared" si="12"/>
        <v>797</v>
      </c>
      <c r="B821" s="33">
        <v>3</v>
      </c>
      <c r="C821" s="33">
        <v>1</v>
      </c>
      <c r="D821" s="33">
        <v>8</v>
      </c>
      <c r="E821" s="104">
        <v>2016</v>
      </c>
      <c r="F821" s="33">
        <v>2019</v>
      </c>
      <c r="G821" s="33">
        <v>8</v>
      </c>
      <c r="H821" s="33">
        <v>0</v>
      </c>
      <c r="I821" s="33">
        <v>0</v>
      </c>
      <c r="J821" s="33">
        <v>2.92</v>
      </c>
      <c r="K821" s="101">
        <v>0.66666666666666674</v>
      </c>
      <c r="L821" s="101">
        <v>0.17</v>
      </c>
      <c r="M821" s="108">
        <v>1050</v>
      </c>
      <c r="N821" s="108">
        <v>900</v>
      </c>
      <c r="O821" s="142">
        <v>0</v>
      </c>
      <c r="P821" s="142">
        <v>0</v>
      </c>
      <c r="Q821" s="160">
        <v>22</v>
      </c>
      <c r="R821" s="160">
        <v>19</v>
      </c>
      <c r="S821" s="116">
        <v>0</v>
      </c>
      <c r="T821" s="116">
        <v>0</v>
      </c>
      <c r="U821" s="33" t="s">
        <v>226</v>
      </c>
      <c r="V821" s="33">
        <v>2015</v>
      </c>
      <c r="W821" s="33">
        <v>1</v>
      </c>
      <c r="X821" s="33">
        <v>0</v>
      </c>
      <c r="Y821" s="33">
        <v>-2.7400000000000001E-2</v>
      </c>
      <c r="Z821" s="33">
        <v>-9.1300000000000006E-2</v>
      </c>
      <c r="AA821" s="33">
        <v>0</v>
      </c>
      <c r="AB821" s="33">
        <v>0</v>
      </c>
      <c r="AC821" s="33" t="s">
        <v>390</v>
      </c>
      <c r="AD821" s="158"/>
    </row>
    <row r="822" spans="1:30" customFormat="1" hidden="1" x14ac:dyDescent="0.2">
      <c r="A822" s="153">
        <f t="shared" si="12"/>
        <v>798</v>
      </c>
      <c r="B822" s="33">
        <v>3</v>
      </c>
      <c r="C822" s="33">
        <v>1</v>
      </c>
      <c r="D822" s="33">
        <v>8</v>
      </c>
      <c r="E822" s="104">
        <v>2016</v>
      </c>
      <c r="F822" s="33">
        <v>2019</v>
      </c>
      <c r="G822" s="33">
        <v>9</v>
      </c>
      <c r="H822" s="33">
        <v>0</v>
      </c>
      <c r="I822" s="33">
        <v>0</v>
      </c>
      <c r="J822" s="33">
        <v>2.92</v>
      </c>
      <c r="K822" s="101">
        <v>0.66666666666666674</v>
      </c>
      <c r="L822" s="101">
        <v>0.17</v>
      </c>
      <c r="M822" s="108">
        <v>1050</v>
      </c>
      <c r="N822" s="108">
        <v>900</v>
      </c>
      <c r="O822" s="142">
        <v>0</v>
      </c>
      <c r="P822" s="142">
        <v>0</v>
      </c>
      <c r="Q822" s="160">
        <v>70</v>
      </c>
      <c r="R822" s="160">
        <v>60</v>
      </c>
      <c r="S822" s="116">
        <v>0</v>
      </c>
      <c r="T822" s="116">
        <v>0</v>
      </c>
      <c r="U822" s="33" t="s">
        <v>226</v>
      </c>
      <c r="V822" s="33">
        <v>2015</v>
      </c>
      <c r="W822" s="33">
        <v>1</v>
      </c>
      <c r="X822" s="33">
        <v>0</v>
      </c>
      <c r="Y822" s="33">
        <v>-2.7400000000000001E-2</v>
      </c>
      <c r="Z822" s="33">
        <v>-9.1300000000000006E-2</v>
      </c>
      <c r="AA822" s="33">
        <v>0</v>
      </c>
      <c r="AB822" s="33">
        <v>0</v>
      </c>
      <c r="AC822" s="33" t="s">
        <v>390</v>
      </c>
      <c r="AD822" s="158"/>
    </row>
    <row r="823" spans="1:30" customFormat="1" hidden="1" x14ac:dyDescent="0.2">
      <c r="A823" s="153">
        <f t="shared" si="12"/>
        <v>799</v>
      </c>
      <c r="B823" s="33">
        <v>3</v>
      </c>
      <c r="C823" s="33">
        <v>1</v>
      </c>
      <c r="D823" s="33">
        <v>8</v>
      </c>
      <c r="E823" s="104">
        <v>2020</v>
      </c>
      <c r="F823" s="33">
        <v>2029</v>
      </c>
      <c r="G823" s="33">
        <v>1</v>
      </c>
      <c r="H823" s="33">
        <v>0</v>
      </c>
      <c r="I823" s="33">
        <v>0</v>
      </c>
      <c r="J823" s="33">
        <v>3.1</v>
      </c>
      <c r="K823" s="101">
        <v>0.7142857142857143</v>
      </c>
      <c r="L823" s="101">
        <v>0.28000000000000003</v>
      </c>
      <c r="M823" s="108">
        <v>1350</v>
      </c>
      <c r="N823" s="108">
        <v>900</v>
      </c>
      <c r="O823" s="142">
        <v>0</v>
      </c>
      <c r="P823" s="142">
        <v>0</v>
      </c>
      <c r="Q823" s="160">
        <v>144</v>
      </c>
      <c r="R823" s="160">
        <v>96</v>
      </c>
      <c r="S823" s="116">
        <v>0</v>
      </c>
      <c r="T823" s="116">
        <v>0</v>
      </c>
      <c r="U823" s="33" t="s">
        <v>226</v>
      </c>
      <c r="V823" s="33">
        <v>2015</v>
      </c>
      <c r="W823" s="33">
        <v>1</v>
      </c>
      <c r="X823" s="33">
        <v>0</v>
      </c>
      <c r="Y823" s="33">
        <v>-2.7400000000000001E-2</v>
      </c>
      <c r="Z823" s="33">
        <v>-9.1300000000000006E-2</v>
      </c>
      <c r="AA823" s="33">
        <v>0</v>
      </c>
      <c r="AB823" s="33">
        <v>0</v>
      </c>
      <c r="AC823" s="33" t="s">
        <v>390</v>
      </c>
      <c r="AD823" s="158"/>
    </row>
    <row r="824" spans="1:30" customFormat="1" hidden="1" x14ac:dyDescent="0.2">
      <c r="A824" s="153">
        <f t="shared" si="12"/>
        <v>800</v>
      </c>
      <c r="B824" s="33">
        <v>3</v>
      </c>
      <c r="C824" s="33">
        <v>1</v>
      </c>
      <c r="D824" s="33">
        <v>8</v>
      </c>
      <c r="E824" s="104">
        <v>2020</v>
      </c>
      <c r="F824" s="33">
        <v>2029</v>
      </c>
      <c r="G824" s="33">
        <v>2</v>
      </c>
      <c r="H824" s="33">
        <v>0</v>
      </c>
      <c r="I824" s="33">
        <v>0</v>
      </c>
      <c r="J824" s="33">
        <v>3.1</v>
      </c>
      <c r="K824" s="101">
        <v>0.7142857142857143</v>
      </c>
      <c r="L824" s="101">
        <v>0.28000000000000003</v>
      </c>
      <c r="M824" s="108">
        <v>1350</v>
      </c>
      <c r="N824" s="108">
        <v>900</v>
      </c>
      <c r="O824" s="142">
        <v>0</v>
      </c>
      <c r="P824" s="142">
        <v>0</v>
      </c>
      <c r="Q824" s="160">
        <v>36</v>
      </c>
      <c r="R824" s="160">
        <v>24</v>
      </c>
      <c r="S824" s="116">
        <v>0</v>
      </c>
      <c r="T824" s="116">
        <v>0</v>
      </c>
      <c r="U824" s="33" t="s">
        <v>226</v>
      </c>
      <c r="V824" s="33">
        <v>2015</v>
      </c>
      <c r="W824" s="33">
        <v>1</v>
      </c>
      <c r="X824" s="33">
        <v>0</v>
      </c>
      <c r="Y824" s="33">
        <v>-2.7400000000000001E-2</v>
      </c>
      <c r="Z824" s="33">
        <v>-9.1300000000000006E-2</v>
      </c>
      <c r="AA824" s="33">
        <v>0</v>
      </c>
      <c r="AB824" s="33">
        <v>0</v>
      </c>
      <c r="AC824" s="33" t="s">
        <v>390</v>
      </c>
      <c r="AD824" s="158"/>
    </row>
    <row r="825" spans="1:30" customFormat="1" x14ac:dyDescent="0.2">
      <c r="A825" s="153">
        <f t="shared" si="12"/>
        <v>801</v>
      </c>
      <c r="B825" s="33">
        <v>3</v>
      </c>
      <c r="C825" s="33">
        <v>1</v>
      </c>
      <c r="D825" s="33">
        <v>8</v>
      </c>
      <c r="E825" s="104">
        <v>2020</v>
      </c>
      <c r="F825" s="33">
        <v>2029</v>
      </c>
      <c r="G825" s="33">
        <v>3</v>
      </c>
      <c r="H825" s="33">
        <v>0</v>
      </c>
      <c r="I825" s="33">
        <v>0</v>
      </c>
      <c r="J825" s="33">
        <v>3.1</v>
      </c>
      <c r="K825" s="101">
        <v>0.7142857142857143</v>
      </c>
      <c r="L825" s="101">
        <v>0.28000000000000003</v>
      </c>
      <c r="M825" s="108">
        <v>1350</v>
      </c>
      <c r="N825" s="108">
        <v>900</v>
      </c>
      <c r="O825" s="142">
        <v>0</v>
      </c>
      <c r="P825" s="142">
        <v>0</v>
      </c>
      <c r="Q825" s="160">
        <v>29</v>
      </c>
      <c r="R825" s="160">
        <v>20</v>
      </c>
      <c r="S825" s="116">
        <v>0</v>
      </c>
      <c r="T825" s="116">
        <v>0</v>
      </c>
      <c r="U825" s="33" t="s">
        <v>226</v>
      </c>
      <c r="V825" s="33">
        <v>2015</v>
      </c>
      <c r="W825" s="33">
        <v>1</v>
      </c>
      <c r="X825" s="33">
        <v>0</v>
      </c>
      <c r="Y825" s="33">
        <v>-2.7400000000000001E-2</v>
      </c>
      <c r="Z825" s="33">
        <v>-9.1300000000000006E-2</v>
      </c>
      <c r="AA825" s="33">
        <v>0</v>
      </c>
      <c r="AB825" s="33">
        <v>0</v>
      </c>
      <c r="AC825" s="33" t="s">
        <v>390</v>
      </c>
      <c r="AD825" s="158"/>
    </row>
    <row r="826" spans="1:30" customFormat="1" hidden="1" x14ac:dyDescent="0.2">
      <c r="A826" s="153">
        <f t="shared" si="12"/>
        <v>802</v>
      </c>
      <c r="B826" s="33">
        <v>3</v>
      </c>
      <c r="C826" s="33">
        <v>1</v>
      </c>
      <c r="D826" s="33">
        <v>8</v>
      </c>
      <c r="E826" s="104">
        <v>2020</v>
      </c>
      <c r="F826" s="33">
        <v>2029</v>
      </c>
      <c r="G826" s="33">
        <v>4</v>
      </c>
      <c r="H826" s="33">
        <v>0</v>
      </c>
      <c r="I826" s="33">
        <v>0</v>
      </c>
      <c r="J826" s="33">
        <v>3.1</v>
      </c>
      <c r="K826" s="101">
        <v>0.7142857142857143</v>
      </c>
      <c r="L826" s="101">
        <v>0.28000000000000003</v>
      </c>
      <c r="M826" s="108">
        <v>1350</v>
      </c>
      <c r="N826" s="108">
        <v>900</v>
      </c>
      <c r="O826" s="142">
        <v>0</v>
      </c>
      <c r="P826" s="142">
        <v>0</v>
      </c>
      <c r="Q826" s="160">
        <v>23</v>
      </c>
      <c r="R826" s="160">
        <v>15</v>
      </c>
      <c r="S826" s="116">
        <v>0</v>
      </c>
      <c r="T826" s="116">
        <v>0</v>
      </c>
      <c r="U826" s="33" t="s">
        <v>226</v>
      </c>
      <c r="V826" s="33">
        <v>2015</v>
      </c>
      <c r="W826" s="33">
        <v>1</v>
      </c>
      <c r="X826" s="33">
        <v>0</v>
      </c>
      <c r="Y826" s="33">
        <v>-2.7400000000000001E-2</v>
      </c>
      <c r="Z826" s="33">
        <v>-9.1300000000000006E-2</v>
      </c>
      <c r="AA826" s="33">
        <v>0</v>
      </c>
      <c r="AB826" s="33">
        <v>0</v>
      </c>
      <c r="AC826" s="33" t="s">
        <v>390</v>
      </c>
      <c r="AD826" s="158"/>
    </row>
    <row r="827" spans="1:30" customFormat="1" hidden="1" x14ac:dyDescent="0.2">
      <c r="A827" s="153">
        <f t="shared" si="12"/>
        <v>803</v>
      </c>
      <c r="B827" s="33">
        <v>3</v>
      </c>
      <c r="C827" s="33">
        <v>1</v>
      </c>
      <c r="D827" s="33">
        <v>8</v>
      </c>
      <c r="E827" s="104">
        <v>2020</v>
      </c>
      <c r="F827" s="33">
        <v>2029</v>
      </c>
      <c r="G827" s="33">
        <v>5</v>
      </c>
      <c r="H827" s="33">
        <v>0</v>
      </c>
      <c r="I827" s="33">
        <v>0</v>
      </c>
      <c r="J827" s="33">
        <v>3.1</v>
      </c>
      <c r="K827" s="101">
        <v>0.7142857142857143</v>
      </c>
      <c r="L827" s="101">
        <v>0.28000000000000003</v>
      </c>
      <c r="M827" s="108">
        <v>1350</v>
      </c>
      <c r="N827" s="108">
        <v>900</v>
      </c>
      <c r="O827" s="142">
        <v>0</v>
      </c>
      <c r="P827" s="142">
        <v>0</v>
      </c>
      <c r="Q827" s="160">
        <v>40</v>
      </c>
      <c r="R827" s="160">
        <v>26</v>
      </c>
      <c r="S827" s="116">
        <v>0</v>
      </c>
      <c r="T827" s="116">
        <v>0</v>
      </c>
      <c r="U827" s="33" t="s">
        <v>226</v>
      </c>
      <c r="V827" s="33">
        <v>2015</v>
      </c>
      <c r="W827" s="33">
        <v>1</v>
      </c>
      <c r="X827" s="33">
        <v>0</v>
      </c>
      <c r="Y827" s="33">
        <v>-2.7400000000000001E-2</v>
      </c>
      <c r="Z827" s="33">
        <v>-9.1300000000000006E-2</v>
      </c>
      <c r="AA827" s="33">
        <v>0</v>
      </c>
      <c r="AB827" s="33">
        <v>0</v>
      </c>
      <c r="AC827" s="33" t="s">
        <v>390</v>
      </c>
      <c r="AD827" s="158"/>
    </row>
    <row r="828" spans="1:30" customFormat="1" hidden="1" x14ac:dyDescent="0.2">
      <c r="A828" s="153">
        <f t="shared" si="12"/>
        <v>804</v>
      </c>
      <c r="B828" s="33">
        <v>3</v>
      </c>
      <c r="C828" s="33">
        <v>1</v>
      </c>
      <c r="D828" s="33">
        <v>8</v>
      </c>
      <c r="E828" s="104">
        <v>2020</v>
      </c>
      <c r="F828" s="33">
        <v>2029</v>
      </c>
      <c r="G828" s="33">
        <v>6</v>
      </c>
      <c r="H828" s="33">
        <v>0</v>
      </c>
      <c r="I828" s="33">
        <v>0</v>
      </c>
      <c r="J828" s="33">
        <v>3.1</v>
      </c>
      <c r="K828" s="101">
        <v>0.7142857142857143</v>
      </c>
      <c r="L828" s="101">
        <v>0.28000000000000003</v>
      </c>
      <c r="M828" s="108">
        <v>1350</v>
      </c>
      <c r="N828" s="108">
        <v>900</v>
      </c>
      <c r="O828" s="142">
        <v>0</v>
      </c>
      <c r="P828" s="142">
        <v>0</v>
      </c>
      <c r="Q828" s="160">
        <v>0</v>
      </c>
      <c r="R828" s="160">
        <v>0</v>
      </c>
      <c r="S828" s="116">
        <v>0</v>
      </c>
      <c r="T828" s="116">
        <v>0</v>
      </c>
      <c r="U828" s="33" t="s">
        <v>226</v>
      </c>
      <c r="V828" s="33">
        <v>2015</v>
      </c>
      <c r="W828" s="33">
        <v>1</v>
      </c>
      <c r="X828" s="33">
        <v>0</v>
      </c>
      <c r="Y828" s="33">
        <v>-2.7400000000000001E-2</v>
      </c>
      <c r="Z828" s="33">
        <v>-9.1300000000000006E-2</v>
      </c>
      <c r="AA828" s="33">
        <v>0</v>
      </c>
      <c r="AB828" s="33">
        <v>0</v>
      </c>
      <c r="AC828" s="33" t="s">
        <v>390</v>
      </c>
      <c r="AD828" s="158"/>
    </row>
    <row r="829" spans="1:30" customFormat="1" hidden="1" x14ac:dyDescent="0.2">
      <c r="A829" s="153">
        <f t="shared" si="12"/>
        <v>805</v>
      </c>
      <c r="B829" s="33">
        <v>3</v>
      </c>
      <c r="C829" s="33">
        <v>1</v>
      </c>
      <c r="D829" s="33">
        <v>8</v>
      </c>
      <c r="E829" s="104">
        <v>2020</v>
      </c>
      <c r="F829" s="33">
        <v>2029</v>
      </c>
      <c r="G829" s="33">
        <v>7</v>
      </c>
      <c r="H829" s="33">
        <v>0</v>
      </c>
      <c r="I829" s="33">
        <v>0</v>
      </c>
      <c r="J829" s="33">
        <v>3.1</v>
      </c>
      <c r="K829" s="101">
        <v>0.7142857142857143</v>
      </c>
      <c r="L829" s="101">
        <v>0.28000000000000003</v>
      </c>
      <c r="M829" s="108">
        <v>1350</v>
      </c>
      <c r="N829" s="108">
        <v>900</v>
      </c>
      <c r="O829" s="142">
        <v>0</v>
      </c>
      <c r="P829" s="142">
        <v>0</v>
      </c>
      <c r="Q829" s="160">
        <v>9</v>
      </c>
      <c r="R829" s="160">
        <v>6</v>
      </c>
      <c r="S829" s="116">
        <v>0</v>
      </c>
      <c r="T829" s="116">
        <v>0</v>
      </c>
      <c r="U829" s="33" t="s">
        <v>226</v>
      </c>
      <c r="V829" s="33">
        <v>2015</v>
      </c>
      <c r="W829" s="33">
        <v>1</v>
      </c>
      <c r="X829" s="33">
        <v>0</v>
      </c>
      <c r="Y829" s="33">
        <v>-2.7400000000000001E-2</v>
      </c>
      <c r="Z829" s="33">
        <v>-9.1300000000000006E-2</v>
      </c>
      <c r="AA829" s="33">
        <v>0</v>
      </c>
      <c r="AB829" s="33">
        <v>0</v>
      </c>
      <c r="AC829" s="33" t="s">
        <v>390</v>
      </c>
      <c r="AD829" s="158"/>
    </row>
    <row r="830" spans="1:30" customFormat="1" hidden="1" x14ac:dyDescent="0.2">
      <c r="A830" s="153">
        <f t="shared" si="12"/>
        <v>806</v>
      </c>
      <c r="B830" s="33">
        <v>3</v>
      </c>
      <c r="C830" s="33">
        <v>1</v>
      </c>
      <c r="D830" s="33">
        <v>8</v>
      </c>
      <c r="E830" s="104">
        <v>2020</v>
      </c>
      <c r="F830" s="33">
        <v>2029</v>
      </c>
      <c r="G830" s="33">
        <v>8</v>
      </c>
      <c r="H830" s="33">
        <v>0</v>
      </c>
      <c r="I830" s="33">
        <v>0</v>
      </c>
      <c r="J830" s="33">
        <v>3.1</v>
      </c>
      <c r="K830" s="101">
        <v>0.7142857142857143</v>
      </c>
      <c r="L830" s="101">
        <v>0.28000000000000003</v>
      </c>
      <c r="M830" s="108">
        <v>1350</v>
      </c>
      <c r="N830" s="108">
        <v>900</v>
      </c>
      <c r="O830" s="142">
        <v>0</v>
      </c>
      <c r="P830" s="142">
        <v>0</v>
      </c>
      <c r="Q830" s="160">
        <v>28</v>
      </c>
      <c r="R830" s="160">
        <v>19</v>
      </c>
      <c r="S830" s="116">
        <v>0</v>
      </c>
      <c r="T830" s="116">
        <v>0</v>
      </c>
      <c r="U830" s="33" t="s">
        <v>226</v>
      </c>
      <c r="V830" s="33">
        <v>2015</v>
      </c>
      <c r="W830" s="33">
        <v>1</v>
      </c>
      <c r="X830" s="33">
        <v>0</v>
      </c>
      <c r="Y830" s="33">
        <v>-2.7400000000000001E-2</v>
      </c>
      <c r="Z830" s="33">
        <v>-9.1300000000000006E-2</v>
      </c>
      <c r="AA830" s="33">
        <v>0</v>
      </c>
      <c r="AB830" s="33">
        <v>0</v>
      </c>
      <c r="AC830" s="33" t="s">
        <v>390</v>
      </c>
      <c r="AD830" s="158"/>
    </row>
    <row r="831" spans="1:30" customFormat="1" hidden="1" x14ac:dyDescent="0.2">
      <c r="A831" s="153">
        <f t="shared" si="12"/>
        <v>807</v>
      </c>
      <c r="B831" s="33">
        <v>3</v>
      </c>
      <c r="C831" s="33">
        <v>1</v>
      </c>
      <c r="D831" s="33">
        <v>8</v>
      </c>
      <c r="E831" s="104">
        <v>2020</v>
      </c>
      <c r="F831" s="33">
        <v>2029</v>
      </c>
      <c r="G831" s="33">
        <v>9</v>
      </c>
      <c r="H831" s="33">
        <v>0</v>
      </c>
      <c r="I831" s="33">
        <v>0</v>
      </c>
      <c r="J831" s="33">
        <v>3.1</v>
      </c>
      <c r="K831" s="101">
        <v>0.7142857142857143</v>
      </c>
      <c r="L831" s="101">
        <v>0.28000000000000003</v>
      </c>
      <c r="M831" s="108">
        <v>1350</v>
      </c>
      <c r="N831" s="108">
        <v>900</v>
      </c>
      <c r="O831" s="142">
        <v>0</v>
      </c>
      <c r="P831" s="142">
        <v>0</v>
      </c>
      <c r="Q831" s="160">
        <v>90</v>
      </c>
      <c r="R831" s="160">
        <v>60</v>
      </c>
      <c r="S831" s="116">
        <v>0</v>
      </c>
      <c r="T831" s="116">
        <v>0</v>
      </c>
      <c r="U831" s="33" t="s">
        <v>226</v>
      </c>
      <c r="V831" s="33">
        <v>2015</v>
      </c>
      <c r="W831" s="33">
        <v>1</v>
      </c>
      <c r="X831" s="33">
        <v>0</v>
      </c>
      <c r="Y831" s="33">
        <v>-2.7400000000000001E-2</v>
      </c>
      <c r="Z831" s="33">
        <v>-9.1300000000000006E-2</v>
      </c>
      <c r="AA831" s="33">
        <v>0</v>
      </c>
      <c r="AB831" s="33">
        <v>0</v>
      </c>
      <c r="AC831" s="33" t="s">
        <v>390</v>
      </c>
      <c r="AD831" s="158"/>
    </row>
    <row r="832" spans="1:30" customFormat="1" hidden="1" x14ac:dyDescent="0.2">
      <c r="A832" s="153">
        <f t="shared" si="12"/>
        <v>808</v>
      </c>
      <c r="B832" s="33">
        <v>3</v>
      </c>
      <c r="C832" s="33">
        <v>1</v>
      </c>
      <c r="D832" s="33">
        <v>8</v>
      </c>
      <c r="E832" s="104">
        <v>2030</v>
      </c>
      <c r="F832" s="33">
        <v>2050</v>
      </c>
      <c r="G832" s="33">
        <v>1</v>
      </c>
      <c r="H832" s="33">
        <v>0</v>
      </c>
      <c r="I832" s="33">
        <v>0</v>
      </c>
      <c r="J832" s="33">
        <v>3.1</v>
      </c>
      <c r="K832" s="101">
        <v>0.7142857142857143</v>
      </c>
      <c r="L832" s="101">
        <v>0.28000000000000003</v>
      </c>
      <c r="M832" s="108">
        <v>1350</v>
      </c>
      <c r="N832" s="108">
        <v>1000</v>
      </c>
      <c r="O832" s="142">
        <v>0</v>
      </c>
      <c r="P832" s="142">
        <v>0</v>
      </c>
      <c r="Q832" s="160">
        <v>144</v>
      </c>
      <c r="R832" s="160">
        <v>107</v>
      </c>
      <c r="S832" s="116">
        <v>0</v>
      </c>
      <c r="T832" s="116">
        <v>0</v>
      </c>
      <c r="U832" s="33" t="s">
        <v>226</v>
      </c>
      <c r="V832" s="33">
        <v>2015</v>
      </c>
      <c r="W832" s="33">
        <v>1</v>
      </c>
      <c r="X832" s="33">
        <v>0</v>
      </c>
      <c r="Y832" s="33">
        <v>-2.7400000000000001E-2</v>
      </c>
      <c r="Z832" s="33">
        <v>-9.1300000000000006E-2</v>
      </c>
      <c r="AA832" s="33">
        <v>0</v>
      </c>
      <c r="AB832" s="33">
        <v>0</v>
      </c>
      <c r="AC832" s="33" t="s">
        <v>390</v>
      </c>
      <c r="AD832" s="158"/>
    </row>
    <row r="833" spans="1:30" customFormat="1" hidden="1" x14ac:dyDescent="0.2">
      <c r="A833" s="153">
        <f t="shared" si="12"/>
        <v>809</v>
      </c>
      <c r="B833" s="33">
        <v>3</v>
      </c>
      <c r="C833" s="33">
        <v>1</v>
      </c>
      <c r="D833" s="33">
        <v>8</v>
      </c>
      <c r="E833" s="104">
        <v>2030</v>
      </c>
      <c r="F833" s="33">
        <v>2050</v>
      </c>
      <c r="G833" s="33">
        <v>2</v>
      </c>
      <c r="H833" s="33">
        <v>0</v>
      </c>
      <c r="I833" s="33">
        <v>0</v>
      </c>
      <c r="J833" s="33">
        <v>3.1</v>
      </c>
      <c r="K833" s="101">
        <v>0.7142857142857143</v>
      </c>
      <c r="L833" s="101">
        <v>0.28000000000000003</v>
      </c>
      <c r="M833" s="108">
        <v>1350</v>
      </c>
      <c r="N833" s="108">
        <v>1000</v>
      </c>
      <c r="O833" s="142">
        <v>0</v>
      </c>
      <c r="P833" s="142">
        <v>0</v>
      </c>
      <c r="Q833" s="160">
        <v>36</v>
      </c>
      <c r="R833" s="160">
        <v>27</v>
      </c>
      <c r="S833" s="116">
        <v>0</v>
      </c>
      <c r="T833" s="116">
        <v>0</v>
      </c>
      <c r="U833" s="33" t="s">
        <v>226</v>
      </c>
      <c r="V833" s="33">
        <v>2015</v>
      </c>
      <c r="W833" s="33">
        <v>1</v>
      </c>
      <c r="X833" s="33">
        <v>0</v>
      </c>
      <c r="Y833" s="33">
        <v>-2.7400000000000001E-2</v>
      </c>
      <c r="Z833" s="33">
        <v>-9.1300000000000006E-2</v>
      </c>
      <c r="AA833" s="33">
        <v>0</v>
      </c>
      <c r="AB833" s="33">
        <v>0</v>
      </c>
      <c r="AC833" s="33" t="s">
        <v>390</v>
      </c>
      <c r="AD833" s="158"/>
    </row>
    <row r="834" spans="1:30" customFormat="1" x14ac:dyDescent="0.2">
      <c r="A834" s="153">
        <f t="shared" si="12"/>
        <v>810</v>
      </c>
      <c r="B834" s="33">
        <v>3</v>
      </c>
      <c r="C834" s="33">
        <v>1</v>
      </c>
      <c r="D834" s="33">
        <v>8</v>
      </c>
      <c r="E834" s="104">
        <v>2030</v>
      </c>
      <c r="F834" s="33">
        <v>2050</v>
      </c>
      <c r="G834" s="33">
        <v>3</v>
      </c>
      <c r="H834" s="33">
        <v>0</v>
      </c>
      <c r="I834" s="33">
        <v>0</v>
      </c>
      <c r="J834" s="33">
        <v>3.1</v>
      </c>
      <c r="K834" s="101">
        <v>0.7142857142857143</v>
      </c>
      <c r="L834" s="101">
        <v>0.28000000000000003</v>
      </c>
      <c r="M834" s="108">
        <v>1350</v>
      </c>
      <c r="N834" s="108">
        <v>1000</v>
      </c>
      <c r="O834" s="142">
        <v>0</v>
      </c>
      <c r="P834" s="142">
        <v>0</v>
      </c>
      <c r="Q834" s="160">
        <v>29</v>
      </c>
      <c r="R834" s="160">
        <v>22</v>
      </c>
      <c r="S834" s="116">
        <v>0</v>
      </c>
      <c r="T834" s="116">
        <v>0</v>
      </c>
      <c r="U834" s="33" t="s">
        <v>226</v>
      </c>
      <c r="V834" s="33">
        <v>2015</v>
      </c>
      <c r="W834" s="33">
        <v>1</v>
      </c>
      <c r="X834" s="33">
        <v>0</v>
      </c>
      <c r="Y834" s="33">
        <v>-2.7400000000000001E-2</v>
      </c>
      <c r="Z834" s="33">
        <v>-9.1300000000000006E-2</v>
      </c>
      <c r="AA834" s="33">
        <v>0</v>
      </c>
      <c r="AB834" s="33">
        <v>0</v>
      </c>
      <c r="AC834" s="33" t="s">
        <v>390</v>
      </c>
      <c r="AD834" s="158"/>
    </row>
    <row r="835" spans="1:30" customFormat="1" hidden="1" x14ac:dyDescent="0.2">
      <c r="A835" s="153">
        <f t="shared" si="12"/>
        <v>811</v>
      </c>
      <c r="B835" s="33">
        <v>3</v>
      </c>
      <c r="C835" s="33">
        <v>1</v>
      </c>
      <c r="D835" s="33">
        <v>8</v>
      </c>
      <c r="E835" s="104">
        <v>2030</v>
      </c>
      <c r="F835" s="33">
        <v>2050</v>
      </c>
      <c r="G835" s="33">
        <v>4</v>
      </c>
      <c r="H835" s="33">
        <v>0</v>
      </c>
      <c r="I835" s="33">
        <v>0</v>
      </c>
      <c r="J835" s="33">
        <v>3.1</v>
      </c>
      <c r="K835" s="101">
        <v>0.7142857142857143</v>
      </c>
      <c r="L835" s="101">
        <v>0.28000000000000003</v>
      </c>
      <c r="M835" s="108">
        <v>1350</v>
      </c>
      <c r="N835" s="108">
        <v>1000</v>
      </c>
      <c r="O835" s="142">
        <v>0</v>
      </c>
      <c r="P835" s="142">
        <v>0</v>
      </c>
      <c r="Q835" s="160">
        <v>23</v>
      </c>
      <c r="R835" s="160">
        <v>17</v>
      </c>
      <c r="S835" s="116">
        <v>0</v>
      </c>
      <c r="T835" s="116">
        <v>0</v>
      </c>
      <c r="U835" s="33" t="s">
        <v>226</v>
      </c>
      <c r="V835" s="33">
        <v>2015</v>
      </c>
      <c r="W835" s="33">
        <v>1</v>
      </c>
      <c r="X835" s="33">
        <v>0</v>
      </c>
      <c r="Y835" s="33">
        <v>-2.7400000000000001E-2</v>
      </c>
      <c r="Z835" s="33">
        <v>-9.1300000000000006E-2</v>
      </c>
      <c r="AA835" s="33">
        <v>0</v>
      </c>
      <c r="AB835" s="33">
        <v>0</v>
      </c>
      <c r="AC835" s="33" t="s">
        <v>390</v>
      </c>
      <c r="AD835" s="158"/>
    </row>
    <row r="836" spans="1:30" customFormat="1" hidden="1" x14ac:dyDescent="0.2">
      <c r="A836" s="153">
        <f t="shared" si="12"/>
        <v>812</v>
      </c>
      <c r="B836" s="33">
        <v>3</v>
      </c>
      <c r="C836" s="33">
        <v>1</v>
      </c>
      <c r="D836" s="33">
        <v>8</v>
      </c>
      <c r="E836" s="104">
        <v>2030</v>
      </c>
      <c r="F836" s="33">
        <v>2050</v>
      </c>
      <c r="G836" s="33">
        <v>5</v>
      </c>
      <c r="H836" s="33">
        <v>0</v>
      </c>
      <c r="I836" s="33">
        <v>0</v>
      </c>
      <c r="J836" s="33">
        <v>3.1</v>
      </c>
      <c r="K836" s="101">
        <v>0.7142857142857143</v>
      </c>
      <c r="L836" s="101">
        <v>0.28000000000000003</v>
      </c>
      <c r="M836" s="108">
        <v>1350</v>
      </c>
      <c r="N836" s="108">
        <v>1000</v>
      </c>
      <c r="O836" s="142">
        <v>0</v>
      </c>
      <c r="P836" s="142">
        <v>0</v>
      </c>
      <c r="Q836" s="160">
        <v>40</v>
      </c>
      <c r="R836" s="160">
        <v>29</v>
      </c>
      <c r="S836" s="116">
        <v>0</v>
      </c>
      <c r="T836" s="116">
        <v>0</v>
      </c>
      <c r="U836" s="33" t="s">
        <v>226</v>
      </c>
      <c r="V836" s="33">
        <v>2015</v>
      </c>
      <c r="W836" s="33">
        <v>1</v>
      </c>
      <c r="X836" s="33">
        <v>0</v>
      </c>
      <c r="Y836" s="33">
        <v>-2.7400000000000001E-2</v>
      </c>
      <c r="Z836" s="33">
        <v>-9.1300000000000006E-2</v>
      </c>
      <c r="AA836" s="33">
        <v>0</v>
      </c>
      <c r="AB836" s="33">
        <v>0</v>
      </c>
      <c r="AC836" s="33" t="s">
        <v>390</v>
      </c>
      <c r="AD836" s="158"/>
    </row>
    <row r="837" spans="1:30" customFormat="1" hidden="1" x14ac:dyDescent="0.2">
      <c r="A837" s="153">
        <f t="shared" si="12"/>
        <v>813</v>
      </c>
      <c r="B837" s="33">
        <v>3</v>
      </c>
      <c r="C837" s="33">
        <v>1</v>
      </c>
      <c r="D837" s="33">
        <v>8</v>
      </c>
      <c r="E837" s="104">
        <v>2030</v>
      </c>
      <c r="F837" s="33">
        <v>2050</v>
      </c>
      <c r="G837" s="33">
        <v>6</v>
      </c>
      <c r="H837" s="33">
        <v>0</v>
      </c>
      <c r="I837" s="33">
        <v>0</v>
      </c>
      <c r="J837" s="33">
        <v>3.1</v>
      </c>
      <c r="K837" s="101">
        <v>0.7142857142857143</v>
      </c>
      <c r="L837" s="101">
        <v>0.28000000000000003</v>
      </c>
      <c r="M837" s="108">
        <v>1350</v>
      </c>
      <c r="N837" s="108">
        <v>1000</v>
      </c>
      <c r="O837" s="142">
        <v>0</v>
      </c>
      <c r="P837" s="142">
        <v>0</v>
      </c>
      <c r="Q837" s="160">
        <v>0</v>
      </c>
      <c r="R837" s="160">
        <v>0</v>
      </c>
      <c r="S837" s="116">
        <v>0</v>
      </c>
      <c r="T837" s="116">
        <v>0</v>
      </c>
      <c r="U837" s="33" t="s">
        <v>226</v>
      </c>
      <c r="V837" s="33">
        <v>2015</v>
      </c>
      <c r="W837" s="33">
        <v>1</v>
      </c>
      <c r="X837" s="33">
        <v>0</v>
      </c>
      <c r="Y837" s="33">
        <v>-2.7400000000000001E-2</v>
      </c>
      <c r="Z837" s="33">
        <v>-9.1300000000000006E-2</v>
      </c>
      <c r="AA837" s="33">
        <v>0</v>
      </c>
      <c r="AB837" s="33">
        <v>0</v>
      </c>
      <c r="AC837" s="33" t="s">
        <v>390</v>
      </c>
      <c r="AD837" s="158"/>
    </row>
    <row r="838" spans="1:30" customFormat="1" hidden="1" x14ac:dyDescent="0.2">
      <c r="A838" s="153">
        <f t="shared" si="12"/>
        <v>814</v>
      </c>
      <c r="B838" s="33">
        <v>3</v>
      </c>
      <c r="C838" s="33">
        <v>1</v>
      </c>
      <c r="D838" s="33">
        <v>8</v>
      </c>
      <c r="E838" s="104">
        <v>2030</v>
      </c>
      <c r="F838" s="33">
        <v>2050</v>
      </c>
      <c r="G838" s="33">
        <v>7</v>
      </c>
      <c r="H838" s="33">
        <v>0</v>
      </c>
      <c r="I838" s="33">
        <v>0</v>
      </c>
      <c r="J838" s="33">
        <v>3.1</v>
      </c>
      <c r="K838" s="101">
        <v>0.7142857142857143</v>
      </c>
      <c r="L838" s="101">
        <v>0.28000000000000003</v>
      </c>
      <c r="M838" s="108">
        <v>1350</v>
      </c>
      <c r="N838" s="108">
        <v>1000</v>
      </c>
      <c r="O838" s="142">
        <v>0</v>
      </c>
      <c r="P838" s="142">
        <v>0</v>
      </c>
      <c r="Q838" s="160">
        <v>9</v>
      </c>
      <c r="R838" s="160">
        <v>7</v>
      </c>
      <c r="S838" s="116">
        <v>0</v>
      </c>
      <c r="T838" s="116">
        <v>0</v>
      </c>
      <c r="U838" s="33" t="s">
        <v>226</v>
      </c>
      <c r="V838" s="33">
        <v>2015</v>
      </c>
      <c r="W838" s="33">
        <v>1</v>
      </c>
      <c r="X838" s="33">
        <v>0</v>
      </c>
      <c r="Y838" s="33">
        <v>-2.7400000000000001E-2</v>
      </c>
      <c r="Z838" s="33">
        <v>-9.1300000000000006E-2</v>
      </c>
      <c r="AA838" s="33">
        <v>0</v>
      </c>
      <c r="AB838" s="33">
        <v>0</v>
      </c>
      <c r="AC838" s="33" t="s">
        <v>390</v>
      </c>
      <c r="AD838" s="158"/>
    </row>
    <row r="839" spans="1:30" customFormat="1" hidden="1" x14ac:dyDescent="0.2">
      <c r="A839" s="153">
        <f t="shared" si="12"/>
        <v>815</v>
      </c>
      <c r="B839" s="33">
        <v>3</v>
      </c>
      <c r="C839" s="33">
        <v>1</v>
      </c>
      <c r="D839" s="33">
        <v>8</v>
      </c>
      <c r="E839" s="104">
        <v>2030</v>
      </c>
      <c r="F839" s="33">
        <v>2050</v>
      </c>
      <c r="G839" s="33">
        <v>8</v>
      </c>
      <c r="H839" s="33">
        <v>0</v>
      </c>
      <c r="I839" s="33">
        <v>0</v>
      </c>
      <c r="J839" s="33">
        <v>3.1</v>
      </c>
      <c r="K839" s="101">
        <v>0.7142857142857143</v>
      </c>
      <c r="L839" s="101">
        <v>0.28000000000000003</v>
      </c>
      <c r="M839" s="108">
        <v>1350</v>
      </c>
      <c r="N839" s="108">
        <v>1000</v>
      </c>
      <c r="O839" s="142">
        <v>0</v>
      </c>
      <c r="P839" s="142">
        <v>0</v>
      </c>
      <c r="Q839" s="160">
        <v>28</v>
      </c>
      <c r="R839" s="160">
        <v>21</v>
      </c>
      <c r="S839" s="116">
        <v>0</v>
      </c>
      <c r="T839" s="116">
        <v>0</v>
      </c>
      <c r="U839" s="33" t="s">
        <v>226</v>
      </c>
      <c r="V839" s="33">
        <v>2015</v>
      </c>
      <c r="W839" s="33">
        <v>1</v>
      </c>
      <c r="X839" s="33">
        <v>0</v>
      </c>
      <c r="Y839" s="33">
        <v>-2.7400000000000001E-2</v>
      </c>
      <c r="Z839" s="33">
        <v>-9.1300000000000006E-2</v>
      </c>
      <c r="AA839" s="33">
        <v>0</v>
      </c>
      <c r="AB839" s="33">
        <v>0</v>
      </c>
      <c r="AC839" s="33" t="s">
        <v>390</v>
      </c>
      <c r="AD839" s="158"/>
    </row>
    <row r="840" spans="1:30" customFormat="1" hidden="1" x14ac:dyDescent="0.2">
      <c r="A840" s="153">
        <f t="shared" si="12"/>
        <v>816</v>
      </c>
      <c r="B840" s="33">
        <v>3</v>
      </c>
      <c r="C840" s="33">
        <v>1</v>
      </c>
      <c r="D840" s="33">
        <v>8</v>
      </c>
      <c r="E840" s="104">
        <v>2030</v>
      </c>
      <c r="F840" s="33">
        <v>2050</v>
      </c>
      <c r="G840" s="33">
        <v>9</v>
      </c>
      <c r="H840" s="33">
        <v>0</v>
      </c>
      <c r="I840" s="33">
        <v>0</v>
      </c>
      <c r="J840" s="33">
        <v>3.1</v>
      </c>
      <c r="K840" s="101">
        <v>0.7142857142857143</v>
      </c>
      <c r="L840" s="101">
        <v>0.28000000000000003</v>
      </c>
      <c r="M840" s="108">
        <v>1350</v>
      </c>
      <c r="N840" s="108">
        <v>1000</v>
      </c>
      <c r="O840" s="142">
        <v>0</v>
      </c>
      <c r="P840" s="142">
        <v>0</v>
      </c>
      <c r="Q840" s="160">
        <v>90</v>
      </c>
      <c r="R840" s="160">
        <v>67</v>
      </c>
      <c r="S840" s="116">
        <v>0</v>
      </c>
      <c r="T840" s="116">
        <v>0</v>
      </c>
      <c r="U840" s="33" t="s">
        <v>226</v>
      </c>
      <c r="V840" s="33">
        <v>2015</v>
      </c>
      <c r="W840" s="33">
        <v>1</v>
      </c>
      <c r="X840" s="33">
        <v>0</v>
      </c>
      <c r="Y840" s="33">
        <v>-2.7400000000000001E-2</v>
      </c>
      <c r="Z840" s="33">
        <v>-9.1300000000000006E-2</v>
      </c>
      <c r="AA840" s="33">
        <v>0</v>
      </c>
      <c r="AB840" s="33">
        <v>0</v>
      </c>
      <c r="AC840" s="33" t="s">
        <v>390</v>
      </c>
      <c r="AD840" s="158"/>
    </row>
    <row r="841" spans="1:30" customFormat="1" hidden="1" x14ac:dyDescent="0.2">
      <c r="A841" s="153">
        <f t="shared" si="12"/>
        <v>817</v>
      </c>
      <c r="B841" s="33">
        <v>4</v>
      </c>
      <c r="C841" s="33">
        <v>1</v>
      </c>
      <c r="D841" s="33">
        <v>1</v>
      </c>
      <c r="E841" s="104">
        <v>2016</v>
      </c>
      <c r="F841" s="33">
        <v>2050</v>
      </c>
      <c r="G841" s="33">
        <v>11</v>
      </c>
      <c r="H841" s="33">
        <v>0</v>
      </c>
      <c r="I841" s="33">
        <v>0</v>
      </c>
      <c r="J841" s="33">
        <v>0</v>
      </c>
      <c r="K841" s="101">
        <v>0.78031478607847482</v>
      </c>
      <c r="L841" s="101">
        <v>0.70032573289902278</v>
      </c>
      <c r="M841" s="108">
        <v>425</v>
      </c>
      <c r="N841" s="108">
        <v>260</v>
      </c>
      <c r="O841" s="142">
        <v>0</v>
      </c>
      <c r="P841" s="142">
        <v>0</v>
      </c>
      <c r="Q841" s="142">
        <v>0</v>
      </c>
      <c r="R841" s="142">
        <v>0</v>
      </c>
      <c r="S841" s="116">
        <v>0</v>
      </c>
      <c r="T841" s="116">
        <v>0</v>
      </c>
      <c r="U841" s="33" t="s">
        <v>226</v>
      </c>
      <c r="V841" s="33">
        <v>2015</v>
      </c>
      <c r="W841" s="33">
        <v>1</v>
      </c>
      <c r="X841" s="33">
        <v>0</v>
      </c>
      <c r="Y841" s="33">
        <v>-2.7400000000000001E-2</v>
      </c>
      <c r="Z841" s="33">
        <v>-0.1825</v>
      </c>
      <c r="AA841" s="33">
        <v>0</v>
      </c>
      <c r="AB841" s="33">
        <v>0</v>
      </c>
      <c r="AC841" s="33" t="s">
        <v>379</v>
      </c>
      <c r="AD841" s="158"/>
    </row>
    <row r="842" spans="1:30" customFormat="1" hidden="1" x14ac:dyDescent="0.2">
      <c r="A842" s="153">
        <f t="shared" si="12"/>
        <v>818</v>
      </c>
      <c r="B842" s="33">
        <v>4</v>
      </c>
      <c r="C842" s="33">
        <v>1</v>
      </c>
      <c r="D842" s="33">
        <v>2</v>
      </c>
      <c r="E842" s="104">
        <v>2016</v>
      </c>
      <c r="F842" s="33">
        <v>2050</v>
      </c>
      <c r="G842" s="33">
        <v>11</v>
      </c>
      <c r="H842" s="33">
        <v>0</v>
      </c>
      <c r="I842" s="33">
        <v>0</v>
      </c>
      <c r="J842" s="33">
        <v>0</v>
      </c>
      <c r="K842" s="101">
        <v>0.55420084238528045</v>
      </c>
      <c r="L842" s="101">
        <v>0.79629629629629628</v>
      </c>
      <c r="M842" s="108">
        <v>485</v>
      </c>
      <c r="N842" s="108">
        <v>320</v>
      </c>
      <c r="O842" s="142">
        <v>0</v>
      </c>
      <c r="P842" s="142">
        <v>0</v>
      </c>
      <c r="Q842" s="142">
        <v>0</v>
      </c>
      <c r="R842" s="142">
        <v>0</v>
      </c>
      <c r="S842" s="116">
        <v>0</v>
      </c>
      <c r="T842" s="116">
        <v>0</v>
      </c>
      <c r="U842" s="33" t="s">
        <v>226</v>
      </c>
      <c r="V842" s="33">
        <v>2015</v>
      </c>
      <c r="W842" s="33">
        <v>1</v>
      </c>
      <c r="X842" s="33">
        <v>0</v>
      </c>
      <c r="Y842" s="33">
        <v>-2.7400000000000001E-2</v>
      </c>
      <c r="Z842" s="33">
        <v>-0.1825</v>
      </c>
      <c r="AA842" s="33">
        <v>0</v>
      </c>
      <c r="AB842" s="33">
        <v>0</v>
      </c>
      <c r="AC842" s="33" t="s">
        <v>380</v>
      </c>
      <c r="AD842" s="158"/>
    </row>
    <row r="843" spans="1:30" customFormat="1" hidden="1" x14ac:dyDescent="0.2">
      <c r="A843" s="153">
        <f t="shared" si="12"/>
        <v>819</v>
      </c>
      <c r="B843" s="33">
        <v>4</v>
      </c>
      <c r="C843" s="33">
        <v>1</v>
      </c>
      <c r="D843" s="33">
        <v>3</v>
      </c>
      <c r="E843" s="104">
        <v>2016</v>
      </c>
      <c r="F843" s="33">
        <v>2050</v>
      </c>
      <c r="G843" s="33">
        <v>11</v>
      </c>
      <c r="H843" s="33">
        <v>0</v>
      </c>
      <c r="I843" s="33">
        <v>0</v>
      </c>
      <c r="J843" s="33">
        <v>0</v>
      </c>
      <c r="K843" s="101">
        <v>0.55420084238528045</v>
      </c>
      <c r="L843" s="101">
        <v>0.79629629629629628</v>
      </c>
      <c r="M843" s="108">
        <v>485</v>
      </c>
      <c r="N843" s="108">
        <v>320</v>
      </c>
      <c r="O843" s="142">
        <v>0</v>
      </c>
      <c r="P843" s="142">
        <v>0</v>
      </c>
      <c r="Q843" s="142">
        <v>0</v>
      </c>
      <c r="R843" s="142">
        <v>0</v>
      </c>
      <c r="S843" s="116">
        <v>0</v>
      </c>
      <c r="T843" s="116">
        <v>0</v>
      </c>
      <c r="U843" s="33" t="s">
        <v>226</v>
      </c>
      <c r="V843" s="33">
        <v>2015</v>
      </c>
      <c r="W843" s="33">
        <v>1</v>
      </c>
      <c r="X843" s="33">
        <v>0</v>
      </c>
      <c r="Y843" s="33">
        <v>-2.7400000000000001E-2</v>
      </c>
      <c r="Z843" s="33">
        <v>-0.1825</v>
      </c>
      <c r="AA843" s="33">
        <v>0</v>
      </c>
      <c r="AB843" s="33">
        <v>0</v>
      </c>
      <c r="AC843" s="33" t="s">
        <v>381</v>
      </c>
      <c r="AD843" s="158"/>
    </row>
    <row r="844" spans="1:30" customFormat="1" hidden="1" x14ac:dyDescent="0.2">
      <c r="A844" s="153">
        <f t="shared" si="12"/>
        <v>820</v>
      </c>
      <c r="B844" s="33">
        <v>4</v>
      </c>
      <c r="C844" s="33">
        <v>1</v>
      </c>
      <c r="D844" s="33">
        <v>4</v>
      </c>
      <c r="E844" s="104">
        <v>2016</v>
      </c>
      <c r="F844" s="33">
        <v>2050</v>
      </c>
      <c r="G844" s="33">
        <v>11</v>
      </c>
      <c r="H844" s="33">
        <v>0</v>
      </c>
      <c r="I844" s="33">
        <v>0</v>
      </c>
      <c r="J844" s="33">
        <v>0</v>
      </c>
      <c r="K844" s="101">
        <v>0.38129017956107292</v>
      </c>
      <c r="L844" s="101">
        <v>0.9555555555555556</v>
      </c>
      <c r="M844" s="108">
        <v>555</v>
      </c>
      <c r="N844" s="108">
        <v>390</v>
      </c>
      <c r="O844" s="142">
        <v>0</v>
      </c>
      <c r="P844" s="142">
        <v>0</v>
      </c>
      <c r="Q844" s="142">
        <v>0</v>
      </c>
      <c r="R844" s="142">
        <v>0</v>
      </c>
      <c r="S844" s="116">
        <v>0</v>
      </c>
      <c r="T844" s="116">
        <v>0</v>
      </c>
      <c r="U844" s="33" t="s">
        <v>226</v>
      </c>
      <c r="V844" s="33">
        <v>2015</v>
      </c>
      <c r="W844" s="33">
        <v>1</v>
      </c>
      <c r="X844" s="33">
        <v>0</v>
      </c>
      <c r="Y844" s="33">
        <v>-2.7400000000000001E-2</v>
      </c>
      <c r="Z844" s="33">
        <v>-0.1825</v>
      </c>
      <c r="AA844" s="33">
        <v>0</v>
      </c>
      <c r="AB844" s="33">
        <v>0</v>
      </c>
      <c r="AC844" s="33" t="s">
        <v>382</v>
      </c>
      <c r="AD844" s="158"/>
    </row>
    <row r="845" spans="1:30" customFormat="1" hidden="1" x14ac:dyDescent="0.2">
      <c r="A845" s="153">
        <f t="shared" si="12"/>
        <v>821</v>
      </c>
      <c r="B845" s="33">
        <v>5</v>
      </c>
      <c r="C845" s="33">
        <v>1</v>
      </c>
      <c r="D845" s="33">
        <v>1</v>
      </c>
      <c r="E845" s="104">
        <v>2016</v>
      </c>
      <c r="F845" s="33">
        <v>2050</v>
      </c>
      <c r="G845" s="33">
        <v>11</v>
      </c>
      <c r="H845" s="33">
        <v>0</v>
      </c>
      <c r="I845" s="33">
        <v>0</v>
      </c>
      <c r="J845" s="33">
        <v>0</v>
      </c>
      <c r="K845" s="33">
        <v>0</v>
      </c>
      <c r="L845" s="101">
        <v>0.61014999999999997</v>
      </c>
      <c r="M845" s="108">
        <v>1825</v>
      </c>
      <c r="N845" s="108">
        <v>850</v>
      </c>
      <c r="O845" s="142">
        <v>0</v>
      </c>
      <c r="P845" s="142">
        <v>0</v>
      </c>
      <c r="Q845" s="142">
        <v>0</v>
      </c>
      <c r="R845" s="142">
        <v>0</v>
      </c>
      <c r="S845" s="116">
        <v>0</v>
      </c>
      <c r="T845" s="116">
        <v>0</v>
      </c>
      <c r="U845" s="33" t="s">
        <v>226</v>
      </c>
      <c r="V845" s="33">
        <v>2015</v>
      </c>
      <c r="W845" s="33">
        <v>1</v>
      </c>
      <c r="X845" s="33">
        <v>0</v>
      </c>
      <c r="Y845" s="33">
        <v>-1.6199999999999999E-2</v>
      </c>
      <c r="Z845" s="33">
        <v>-5.3999999999999999E-2</v>
      </c>
      <c r="AA845" s="33">
        <v>0</v>
      </c>
      <c r="AB845" s="33">
        <v>0</v>
      </c>
      <c r="AC845" s="33" t="s">
        <v>352</v>
      </c>
      <c r="AD845" s="158"/>
    </row>
    <row r="846" spans="1:30" customFormat="1" hidden="1" x14ac:dyDescent="0.2">
      <c r="A846" s="153">
        <f t="shared" si="12"/>
        <v>822</v>
      </c>
      <c r="B846" s="33">
        <v>5</v>
      </c>
      <c r="C846" s="33">
        <v>1</v>
      </c>
      <c r="D846" s="33">
        <v>2</v>
      </c>
      <c r="E846" s="104">
        <v>2016</v>
      </c>
      <c r="F846" s="33">
        <v>2050</v>
      </c>
      <c r="G846" s="33">
        <v>11</v>
      </c>
      <c r="H846" s="33">
        <v>0</v>
      </c>
      <c r="I846" s="33">
        <v>0</v>
      </c>
      <c r="J846" s="33">
        <v>0</v>
      </c>
      <c r="K846" s="33">
        <v>0</v>
      </c>
      <c r="L846" s="101">
        <v>0.63</v>
      </c>
      <c r="M846" s="108">
        <v>1925</v>
      </c>
      <c r="N846" s="108">
        <v>975</v>
      </c>
      <c r="O846" s="142">
        <v>0</v>
      </c>
      <c r="P846" s="142">
        <v>0</v>
      </c>
      <c r="Q846" s="142">
        <v>0</v>
      </c>
      <c r="R846" s="142">
        <v>0</v>
      </c>
      <c r="S846" s="116">
        <v>0</v>
      </c>
      <c r="T846" s="116">
        <v>0</v>
      </c>
      <c r="U846" s="33" t="s">
        <v>226</v>
      </c>
      <c r="V846" s="33">
        <v>2015</v>
      </c>
      <c r="W846" s="33">
        <v>1</v>
      </c>
      <c r="X846" s="33">
        <v>0</v>
      </c>
      <c r="Y846" s="33">
        <v>-1.6199999999999999E-2</v>
      </c>
      <c r="Z846" s="33">
        <v>-5.3999999999999999E-2</v>
      </c>
      <c r="AA846" s="33">
        <v>0</v>
      </c>
      <c r="AB846" s="33">
        <v>0</v>
      </c>
      <c r="AC846" s="33" t="s">
        <v>353</v>
      </c>
      <c r="AD846" s="158"/>
    </row>
    <row r="847" spans="1:30" customFormat="1" hidden="1" x14ac:dyDescent="0.2">
      <c r="A847" s="153">
        <f t="shared" si="12"/>
        <v>823</v>
      </c>
      <c r="B847" s="33">
        <v>5</v>
      </c>
      <c r="C847" s="33">
        <v>1</v>
      </c>
      <c r="D847" s="33">
        <v>3</v>
      </c>
      <c r="E847" s="104">
        <v>2016</v>
      </c>
      <c r="F847" s="159">
        <v>2022</v>
      </c>
      <c r="G847" s="33">
        <v>1</v>
      </c>
      <c r="H847" s="33">
        <v>0</v>
      </c>
      <c r="I847" s="33">
        <v>0</v>
      </c>
      <c r="J847" s="33">
        <v>0</v>
      </c>
      <c r="K847" s="33">
        <v>0</v>
      </c>
      <c r="L847" s="101">
        <v>0.66</v>
      </c>
      <c r="M847" s="108">
        <v>2025</v>
      </c>
      <c r="N847" s="108">
        <v>1075</v>
      </c>
      <c r="O847" s="142">
        <v>0</v>
      </c>
      <c r="P847" s="142">
        <v>0</v>
      </c>
      <c r="Q847" s="160">
        <v>353</v>
      </c>
      <c r="R847" s="160">
        <v>188</v>
      </c>
      <c r="S847" s="116">
        <v>0</v>
      </c>
      <c r="T847" s="116">
        <v>0</v>
      </c>
      <c r="U847" s="33" t="s">
        <v>226</v>
      </c>
      <c r="V847" s="33">
        <v>2015</v>
      </c>
      <c r="W847" s="33">
        <v>1</v>
      </c>
      <c r="X847" s="33">
        <v>0</v>
      </c>
      <c r="Y847" s="33">
        <v>-1.6199999999999999E-2</v>
      </c>
      <c r="Z847" s="33">
        <v>-5.3999999999999999E-2</v>
      </c>
      <c r="AA847" s="33">
        <v>0</v>
      </c>
      <c r="AB847" s="33">
        <v>0</v>
      </c>
      <c r="AC847" s="33" t="s">
        <v>354</v>
      </c>
      <c r="AD847" s="158"/>
    </row>
    <row r="848" spans="1:30" customFormat="1" hidden="1" x14ac:dyDescent="0.2">
      <c r="A848" s="153">
        <f t="shared" si="12"/>
        <v>824</v>
      </c>
      <c r="B848" s="33">
        <v>5</v>
      </c>
      <c r="C848" s="33">
        <v>1</v>
      </c>
      <c r="D848" s="33">
        <v>3</v>
      </c>
      <c r="E848" s="104">
        <v>2016</v>
      </c>
      <c r="F848" s="159">
        <v>2022</v>
      </c>
      <c r="G848" s="33">
        <v>2</v>
      </c>
      <c r="H848" s="33">
        <v>0</v>
      </c>
      <c r="I848" s="33">
        <v>0</v>
      </c>
      <c r="J848" s="33">
        <v>0</v>
      </c>
      <c r="K848" s="33">
        <v>0</v>
      </c>
      <c r="L848" s="101">
        <v>0.66</v>
      </c>
      <c r="M848" s="108">
        <v>2025</v>
      </c>
      <c r="N848" s="108">
        <v>1075</v>
      </c>
      <c r="O848" s="142">
        <v>0</v>
      </c>
      <c r="P848" s="142">
        <v>0</v>
      </c>
      <c r="Q848" s="160">
        <v>199</v>
      </c>
      <c r="R848" s="160">
        <v>106</v>
      </c>
      <c r="S848" s="116">
        <v>0</v>
      </c>
      <c r="T848" s="116">
        <v>0</v>
      </c>
      <c r="U848" s="33" t="s">
        <v>226</v>
      </c>
      <c r="V848" s="33">
        <v>2015</v>
      </c>
      <c r="W848" s="33">
        <v>1</v>
      </c>
      <c r="X848" s="33">
        <v>0</v>
      </c>
      <c r="Y848" s="33">
        <v>-1.6199999999999999E-2</v>
      </c>
      <c r="Z848" s="33">
        <v>-5.3999999999999999E-2</v>
      </c>
      <c r="AA848" s="33">
        <v>0</v>
      </c>
      <c r="AB848" s="33">
        <v>0</v>
      </c>
      <c r="AC848" s="33" t="s">
        <v>354</v>
      </c>
      <c r="AD848" s="158"/>
    </row>
    <row r="849" spans="1:30" customFormat="1" x14ac:dyDescent="0.2">
      <c r="A849" s="153">
        <f t="shared" si="12"/>
        <v>825</v>
      </c>
      <c r="B849" s="33">
        <v>5</v>
      </c>
      <c r="C849" s="33">
        <v>1</v>
      </c>
      <c r="D849" s="33">
        <v>3</v>
      </c>
      <c r="E849" s="104">
        <v>2016</v>
      </c>
      <c r="F849" s="159">
        <v>2022</v>
      </c>
      <c r="G849" s="33">
        <v>3</v>
      </c>
      <c r="H849" s="33">
        <v>0</v>
      </c>
      <c r="I849" s="33">
        <v>0</v>
      </c>
      <c r="J849" s="33">
        <v>0</v>
      </c>
      <c r="K849" s="33">
        <v>0</v>
      </c>
      <c r="L849" s="101">
        <v>0.66</v>
      </c>
      <c r="M849" s="108">
        <v>2025</v>
      </c>
      <c r="N849" s="108">
        <v>1075</v>
      </c>
      <c r="O849" s="142">
        <v>0</v>
      </c>
      <c r="P849" s="142">
        <v>0</v>
      </c>
      <c r="Q849" s="160">
        <v>42</v>
      </c>
      <c r="R849" s="160">
        <v>22</v>
      </c>
      <c r="S849" s="116">
        <v>0</v>
      </c>
      <c r="T849" s="116">
        <v>0</v>
      </c>
      <c r="U849" s="33" t="s">
        <v>226</v>
      </c>
      <c r="V849" s="33">
        <v>2015</v>
      </c>
      <c r="W849" s="33">
        <v>1</v>
      </c>
      <c r="X849" s="33">
        <v>0</v>
      </c>
      <c r="Y849" s="33">
        <v>-1.6199999999999999E-2</v>
      </c>
      <c r="Z849" s="33">
        <v>-5.3999999999999999E-2</v>
      </c>
      <c r="AA849" s="33">
        <v>0</v>
      </c>
      <c r="AB849" s="33">
        <v>0</v>
      </c>
      <c r="AC849" s="33" t="s">
        <v>354</v>
      </c>
      <c r="AD849" s="158"/>
    </row>
    <row r="850" spans="1:30" customFormat="1" hidden="1" x14ac:dyDescent="0.2">
      <c r="A850" s="153">
        <f t="shared" si="12"/>
        <v>826</v>
      </c>
      <c r="B850" s="33">
        <v>5</v>
      </c>
      <c r="C850" s="33">
        <v>1</v>
      </c>
      <c r="D850" s="33">
        <v>3</v>
      </c>
      <c r="E850" s="104">
        <v>2016</v>
      </c>
      <c r="F850" s="159">
        <v>2022</v>
      </c>
      <c r="G850" s="33">
        <v>4</v>
      </c>
      <c r="H850" s="33">
        <v>0</v>
      </c>
      <c r="I850" s="33">
        <v>0</v>
      </c>
      <c r="J850" s="33">
        <v>0</v>
      </c>
      <c r="K850" s="33">
        <v>0</v>
      </c>
      <c r="L850" s="101">
        <v>0.66</v>
      </c>
      <c r="M850" s="108">
        <v>2025</v>
      </c>
      <c r="N850" s="108">
        <v>1075</v>
      </c>
      <c r="O850" s="142">
        <v>0</v>
      </c>
      <c r="P850" s="142">
        <v>0</v>
      </c>
      <c r="Q850" s="160">
        <v>44</v>
      </c>
      <c r="R850" s="160">
        <v>23</v>
      </c>
      <c r="S850" s="116">
        <v>0</v>
      </c>
      <c r="T850" s="116">
        <v>0</v>
      </c>
      <c r="U850" s="33" t="s">
        <v>226</v>
      </c>
      <c r="V850" s="33">
        <v>2015</v>
      </c>
      <c r="W850" s="33">
        <v>1</v>
      </c>
      <c r="X850" s="33">
        <v>0</v>
      </c>
      <c r="Y850" s="33">
        <v>-1.6199999999999999E-2</v>
      </c>
      <c r="Z850" s="33">
        <v>-5.3999999999999999E-2</v>
      </c>
      <c r="AA850" s="33">
        <v>0</v>
      </c>
      <c r="AB850" s="33">
        <v>0</v>
      </c>
      <c r="AC850" s="33" t="s">
        <v>354</v>
      </c>
      <c r="AD850" s="158"/>
    </row>
    <row r="851" spans="1:30" customFormat="1" hidden="1" x14ac:dyDescent="0.2">
      <c r="A851" s="153">
        <f t="shared" si="12"/>
        <v>827</v>
      </c>
      <c r="B851" s="33">
        <v>5</v>
      </c>
      <c r="C851" s="33">
        <v>1</v>
      </c>
      <c r="D851" s="33">
        <v>3</v>
      </c>
      <c r="E851" s="104">
        <v>2016</v>
      </c>
      <c r="F851" s="159">
        <v>2022</v>
      </c>
      <c r="G851" s="33">
        <v>5</v>
      </c>
      <c r="H851" s="33">
        <v>0</v>
      </c>
      <c r="I851" s="33">
        <v>0</v>
      </c>
      <c r="J851" s="33">
        <v>0</v>
      </c>
      <c r="K851" s="33">
        <v>0</v>
      </c>
      <c r="L851" s="101">
        <v>0.66</v>
      </c>
      <c r="M851" s="108">
        <v>2025</v>
      </c>
      <c r="N851" s="108">
        <v>1075</v>
      </c>
      <c r="O851" s="142">
        <v>0</v>
      </c>
      <c r="P851" s="142">
        <v>0</v>
      </c>
      <c r="Q851" s="160">
        <v>127</v>
      </c>
      <c r="R851" s="160">
        <v>67</v>
      </c>
      <c r="S851" s="116">
        <v>0</v>
      </c>
      <c r="T851" s="116">
        <v>0</v>
      </c>
      <c r="U851" s="33" t="s">
        <v>226</v>
      </c>
      <c r="V851" s="33">
        <v>2015</v>
      </c>
      <c r="W851" s="33">
        <v>1</v>
      </c>
      <c r="X851" s="33">
        <v>0</v>
      </c>
      <c r="Y851" s="33">
        <v>-1.6199999999999999E-2</v>
      </c>
      <c r="Z851" s="33">
        <v>-5.3999999999999999E-2</v>
      </c>
      <c r="AA851" s="33">
        <v>0</v>
      </c>
      <c r="AB851" s="33">
        <v>0</v>
      </c>
      <c r="AC851" s="33" t="s">
        <v>354</v>
      </c>
      <c r="AD851" s="158"/>
    </row>
    <row r="852" spans="1:30" customFormat="1" hidden="1" x14ac:dyDescent="0.2">
      <c r="A852" s="153">
        <f t="shared" si="12"/>
        <v>828</v>
      </c>
      <c r="B852" s="33">
        <v>5</v>
      </c>
      <c r="C852" s="33">
        <v>1</v>
      </c>
      <c r="D852" s="33">
        <v>3</v>
      </c>
      <c r="E852" s="104">
        <v>2016</v>
      </c>
      <c r="F852" s="159">
        <v>2022</v>
      </c>
      <c r="G852" s="33">
        <v>6</v>
      </c>
      <c r="H852" s="33">
        <v>0</v>
      </c>
      <c r="I852" s="33">
        <v>0</v>
      </c>
      <c r="J852" s="33">
        <v>0</v>
      </c>
      <c r="K852" s="33">
        <v>0</v>
      </c>
      <c r="L852" s="101">
        <v>0.66</v>
      </c>
      <c r="M852" s="108">
        <v>2025</v>
      </c>
      <c r="N852" s="108">
        <v>1075</v>
      </c>
      <c r="O852" s="142">
        <v>0</v>
      </c>
      <c r="P852" s="142">
        <v>0</v>
      </c>
      <c r="Q852" s="160">
        <v>14</v>
      </c>
      <c r="R852" s="160">
        <v>8</v>
      </c>
      <c r="S852" s="116">
        <v>0</v>
      </c>
      <c r="T852" s="116">
        <v>0</v>
      </c>
      <c r="U852" s="33" t="s">
        <v>226</v>
      </c>
      <c r="V852" s="33">
        <v>2015</v>
      </c>
      <c r="W852" s="33">
        <v>1</v>
      </c>
      <c r="X852" s="33">
        <v>0</v>
      </c>
      <c r="Y852" s="33">
        <v>-1.6199999999999999E-2</v>
      </c>
      <c r="Z852" s="33">
        <v>-5.3999999999999999E-2</v>
      </c>
      <c r="AA852" s="33">
        <v>0</v>
      </c>
      <c r="AB852" s="33">
        <v>0</v>
      </c>
      <c r="AC852" s="33" t="s">
        <v>354</v>
      </c>
      <c r="AD852" s="158"/>
    </row>
    <row r="853" spans="1:30" customFormat="1" hidden="1" x14ac:dyDescent="0.2">
      <c r="A853" s="153">
        <f t="shared" si="12"/>
        <v>829</v>
      </c>
      <c r="B853" s="33">
        <v>5</v>
      </c>
      <c r="C853" s="33">
        <v>1</v>
      </c>
      <c r="D853" s="33">
        <v>3</v>
      </c>
      <c r="E853" s="104">
        <v>2016</v>
      </c>
      <c r="F853" s="159">
        <v>2022</v>
      </c>
      <c r="G853" s="33">
        <v>7</v>
      </c>
      <c r="H853" s="33">
        <v>0</v>
      </c>
      <c r="I853" s="33">
        <v>0</v>
      </c>
      <c r="J853" s="33">
        <v>0</v>
      </c>
      <c r="K853" s="33">
        <v>0</v>
      </c>
      <c r="L853" s="101">
        <v>0.66</v>
      </c>
      <c r="M853" s="108">
        <v>2025</v>
      </c>
      <c r="N853" s="108">
        <v>1075</v>
      </c>
      <c r="O853" s="142">
        <v>0</v>
      </c>
      <c r="P853" s="142">
        <v>0</v>
      </c>
      <c r="Q853" s="160">
        <v>0</v>
      </c>
      <c r="R853" s="160">
        <v>0</v>
      </c>
      <c r="S853" s="116">
        <v>0</v>
      </c>
      <c r="T853" s="116">
        <v>0</v>
      </c>
      <c r="U853" s="33" t="s">
        <v>226</v>
      </c>
      <c r="V853" s="33">
        <v>2015</v>
      </c>
      <c r="W853" s="33">
        <v>1</v>
      </c>
      <c r="X853" s="33">
        <v>0</v>
      </c>
      <c r="Y853" s="33">
        <v>-1.6199999999999999E-2</v>
      </c>
      <c r="Z853" s="33">
        <v>-5.3999999999999999E-2</v>
      </c>
      <c r="AA853" s="33">
        <v>0</v>
      </c>
      <c r="AB853" s="33">
        <v>0</v>
      </c>
      <c r="AC853" s="33" t="s">
        <v>354</v>
      </c>
      <c r="AD853" s="158"/>
    </row>
    <row r="854" spans="1:30" customFormat="1" hidden="1" x14ac:dyDescent="0.2">
      <c r="A854" s="153">
        <f t="shared" si="12"/>
        <v>830</v>
      </c>
      <c r="B854" s="33">
        <v>5</v>
      </c>
      <c r="C854" s="33">
        <v>1</v>
      </c>
      <c r="D854" s="33">
        <v>3</v>
      </c>
      <c r="E854" s="104">
        <v>2016</v>
      </c>
      <c r="F854" s="159">
        <v>2022</v>
      </c>
      <c r="G854" s="33">
        <v>8</v>
      </c>
      <c r="H854" s="33">
        <v>0</v>
      </c>
      <c r="I854" s="33">
        <v>0</v>
      </c>
      <c r="J854" s="33">
        <v>0</v>
      </c>
      <c r="K854" s="33">
        <v>0</v>
      </c>
      <c r="L854" s="101">
        <v>0.66</v>
      </c>
      <c r="M854" s="108">
        <v>2025</v>
      </c>
      <c r="N854" s="108">
        <v>1075</v>
      </c>
      <c r="O854" s="142">
        <v>0</v>
      </c>
      <c r="P854" s="142">
        <v>0</v>
      </c>
      <c r="Q854" s="160">
        <v>35</v>
      </c>
      <c r="R854" s="160">
        <v>19</v>
      </c>
      <c r="S854" s="116">
        <v>0</v>
      </c>
      <c r="T854" s="116">
        <v>0</v>
      </c>
      <c r="U854" s="33" t="s">
        <v>226</v>
      </c>
      <c r="V854" s="33">
        <v>2015</v>
      </c>
      <c r="W854" s="33">
        <v>1</v>
      </c>
      <c r="X854" s="33">
        <v>0</v>
      </c>
      <c r="Y854" s="33">
        <v>-1.6199999999999999E-2</v>
      </c>
      <c r="Z854" s="33">
        <v>-5.3999999999999999E-2</v>
      </c>
      <c r="AA854" s="33">
        <v>0</v>
      </c>
      <c r="AB854" s="33">
        <v>0</v>
      </c>
      <c r="AC854" s="33" t="s">
        <v>354</v>
      </c>
      <c r="AD854" s="158"/>
    </row>
    <row r="855" spans="1:30" customFormat="1" hidden="1" x14ac:dyDescent="0.2">
      <c r="A855" s="153">
        <f t="shared" si="12"/>
        <v>831</v>
      </c>
      <c r="B855" s="33">
        <v>5</v>
      </c>
      <c r="C855" s="33">
        <v>1</v>
      </c>
      <c r="D855" s="33">
        <v>3</v>
      </c>
      <c r="E855" s="104">
        <v>2016</v>
      </c>
      <c r="F855" s="159">
        <v>2022</v>
      </c>
      <c r="G855" s="33">
        <v>9</v>
      </c>
      <c r="H855" s="33">
        <v>0</v>
      </c>
      <c r="I855" s="33">
        <v>0</v>
      </c>
      <c r="J855" s="33">
        <v>0</v>
      </c>
      <c r="K855" s="33">
        <v>0</v>
      </c>
      <c r="L855" s="101">
        <v>0.66</v>
      </c>
      <c r="M855" s="108">
        <v>2025</v>
      </c>
      <c r="N855" s="108">
        <v>1075</v>
      </c>
      <c r="O855" s="142">
        <v>0</v>
      </c>
      <c r="P855" s="142">
        <v>0</v>
      </c>
      <c r="Q855" s="160">
        <v>175</v>
      </c>
      <c r="R855" s="160">
        <v>93</v>
      </c>
      <c r="S855" s="116">
        <v>0</v>
      </c>
      <c r="T855" s="116">
        <v>0</v>
      </c>
      <c r="U855" s="33" t="s">
        <v>226</v>
      </c>
      <c r="V855" s="33">
        <v>2015</v>
      </c>
      <c r="W855" s="33">
        <v>1</v>
      </c>
      <c r="X855" s="33">
        <v>0</v>
      </c>
      <c r="Y855" s="33">
        <v>-1.6199999999999999E-2</v>
      </c>
      <c r="Z855" s="33">
        <v>-5.3999999999999999E-2</v>
      </c>
      <c r="AA855" s="33">
        <v>0</v>
      </c>
      <c r="AB855" s="33">
        <v>0</v>
      </c>
      <c r="AC855" s="33" t="s">
        <v>354</v>
      </c>
      <c r="AD855" s="158"/>
    </row>
    <row r="856" spans="1:30" s="139" customFormat="1" hidden="1" x14ac:dyDescent="0.2">
      <c r="A856" s="153">
        <f t="shared" si="12"/>
        <v>832</v>
      </c>
      <c r="B856" s="33">
        <v>5</v>
      </c>
      <c r="C856" s="33">
        <v>1</v>
      </c>
      <c r="D856" s="33">
        <v>3</v>
      </c>
      <c r="E856" s="143">
        <v>2023</v>
      </c>
      <c r="F856" s="159">
        <v>2032</v>
      </c>
      <c r="G856" s="33">
        <v>1</v>
      </c>
      <c r="H856" s="33">
        <v>0</v>
      </c>
      <c r="I856" s="33">
        <v>0</v>
      </c>
      <c r="J856" s="33">
        <v>0</v>
      </c>
      <c r="K856" s="33">
        <v>0</v>
      </c>
      <c r="L856" s="164">
        <v>0.83499999999999996</v>
      </c>
      <c r="M856" s="165">
        <v>3169.9074074074074</v>
      </c>
      <c r="N856" s="165">
        <v>2035.9567901234566</v>
      </c>
      <c r="O856" s="160">
        <v>600</v>
      </c>
      <c r="P856" s="142">
        <v>0</v>
      </c>
      <c r="Q856" s="160">
        <v>553</v>
      </c>
      <c r="R856" s="160">
        <v>355</v>
      </c>
      <c r="S856" s="116">
        <v>0</v>
      </c>
      <c r="T856" s="116">
        <v>0</v>
      </c>
      <c r="U856" s="33" t="s">
        <v>226</v>
      </c>
      <c r="V856" s="33">
        <v>2015</v>
      </c>
      <c r="W856" s="33">
        <v>1</v>
      </c>
      <c r="X856" s="33">
        <v>0</v>
      </c>
      <c r="Y856" s="33">
        <v>-1.6199999999999999E-2</v>
      </c>
      <c r="Z856" s="33">
        <v>-5.3999999999999999E-2</v>
      </c>
      <c r="AA856" s="33">
        <v>0</v>
      </c>
      <c r="AB856" s="33">
        <v>0</v>
      </c>
      <c r="AC856" s="33" t="s">
        <v>354</v>
      </c>
      <c r="AD856" s="158"/>
    </row>
    <row r="857" spans="1:30" s="139" customFormat="1" hidden="1" x14ac:dyDescent="0.2">
      <c r="A857" s="153">
        <f t="shared" si="12"/>
        <v>833</v>
      </c>
      <c r="B857" s="33">
        <v>5</v>
      </c>
      <c r="C857" s="33">
        <v>1</v>
      </c>
      <c r="D857" s="33">
        <v>3</v>
      </c>
      <c r="E857" s="143">
        <v>2023</v>
      </c>
      <c r="F857" s="159">
        <v>2032</v>
      </c>
      <c r="G857" s="33">
        <v>2</v>
      </c>
      <c r="H857" s="33">
        <v>0</v>
      </c>
      <c r="I857" s="33">
        <v>0</v>
      </c>
      <c r="J857" s="33">
        <v>0</v>
      </c>
      <c r="K857" s="33">
        <v>0</v>
      </c>
      <c r="L857" s="164">
        <v>0.83499999999999996</v>
      </c>
      <c r="M857" s="165">
        <v>3169.9074074074074</v>
      </c>
      <c r="N857" s="165">
        <v>2035.9567901234566</v>
      </c>
      <c r="O857" s="160">
        <v>600</v>
      </c>
      <c r="P857" s="142">
        <v>0</v>
      </c>
      <c r="Q857" s="160">
        <v>312</v>
      </c>
      <c r="R857" s="160">
        <v>200</v>
      </c>
      <c r="S857" s="116">
        <v>0</v>
      </c>
      <c r="T857" s="116">
        <v>0</v>
      </c>
      <c r="U857" s="33" t="s">
        <v>226</v>
      </c>
      <c r="V857" s="33">
        <v>2015</v>
      </c>
      <c r="W857" s="33">
        <v>1</v>
      </c>
      <c r="X857" s="33">
        <v>0</v>
      </c>
      <c r="Y857" s="33">
        <v>-1.6199999999999999E-2</v>
      </c>
      <c r="Z857" s="33">
        <v>-5.3999999999999999E-2</v>
      </c>
      <c r="AA857" s="33">
        <v>0</v>
      </c>
      <c r="AB857" s="33">
        <v>0</v>
      </c>
      <c r="AC857" s="33" t="s">
        <v>354</v>
      </c>
      <c r="AD857" s="158"/>
    </row>
    <row r="858" spans="1:30" s="139" customFormat="1" x14ac:dyDescent="0.2">
      <c r="A858" s="153">
        <f t="shared" si="12"/>
        <v>834</v>
      </c>
      <c r="B858" s="33">
        <v>5</v>
      </c>
      <c r="C858" s="33">
        <v>1</v>
      </c>
      <c r="D858" s="33">
        <v>3</v>
      </c>
      <c r="E858" s="143">
        <v>2023</v>
      </c>
      <c r="F858" s="159">
        <v>2032</v>
      </c>
      <c r="G858" s="33">
        <v>3</v>
      </c>
      <c r="H858" s="33">
        <v>0</v>
      </c>
      <c r="I858" s="33">
        <v>0</v>
      </c>
      <c r="J858" s="33">
        <v>0</v>
      </c>
      <c r="K858" s="33">
        <v>0</v>
      </c>
      <c r="L858" s="164">
        <v>0.83499999999999996</v>
      </c>
      <c r="M858" s="165">
        <v>3169.9074074074074</v>
      </c>
      <c r="N858" s="165">
        <v>2035.9567901234566</v>
      </c>
      <c r="O858" s="160">
        <v>600</v>
      </c>
      <c r="P858" s="142">
        <v>0</v>
      </c>
      <c r="Q858" s="160">
        <v>66</v>
      </c>
      <c r="R858" s="160">
        <v>42</v>
      </c>
      <c r="S858" s="116">
        <v>0</v>
      </c>
      <c r="T858" s="116">
        <v>0</v>
      </c>
      <c r="U858" s="33" t="s">
        <v>226</v>
      </c>
      <c r="V858" s="33">
        <v>2015</v>
      </c>
      <c r="W858" s="33">
        <v>1</v>
      </c>
      <c r="X858" s="33">
        <v>0</v>
      </c>
      <c r="Y858" s="33">
        <v>-1.6199999999999999E-2</v>
      </c>
      <c r="Z858" s="33">
        <v>-5.3999999999999999E-2</v>
      </c>
      <c r="AA858" s="33">
        <v>0</v>
      </c>
      <c r="AB858" s="33">
        <v>0</v>
      </c>
      <c r="AC858" s="33" t="s">
        <v>354</v>
      </c>
      <c r="AD858" s="158"/>
    </row>
    <row r="859" spans="1:30" s="139" customFormat="1" hidden="1" x14ac:dyDescent="0.2">
      <c r="A859" s="153">
        <f t="shared" ref="A859:A922" si="13">A858+1</f>
        <v>835</v>
      </c>
      <c r="B859" s="33">
        <v>5</v>
      </c>
      <c r="C859" s="33">
        <v>1</v>
      </c>
      <c r="D859" s="33">
        <v>3</v>
      </c>
      <c r="E859" s="143">
        <v>2023</v>
      </c>
      <c r="F859" s="159">
        <v>2032</v>
      </c>
      <c r="G859" s="33">
        <v>4</v>
      </c>
      <c r="H859" s="33">
        <v>0</v>
      </c>
      <c r="I859" s="33">
        <v>0</v>
      </c>
      <c r="J859" s="33">
        <v>0</v>
      </c>
      <c r="K859" s="33">
        <v>0</v>
      </c>
      <c r="L859" s="164">
        <v>0.83499999999999996</v>
      </c>
      <c r="M859" s="165">
        <v>3169.9074074074074</v>
      </c>
      <c r="N859" s="165">
        <v>2035.9567901234566</v>
      </c>
      <c r="O859" s="160">
        <v>600</v>
      </c>
      <c r="P859" s="142">
        <v>0</v>
      </c>
      <c r="Q859" s="160">
        <v>69</v>
      </c>
      <c r="R859" s="160">
        <v>44</v>
      </c>
      <c r="S859" s="116">
        <v>0</v>
      </c>
      <c r="T859" s="116">
        <v>0</v>
      </c>
      <c r="U859" s="33" t="s">
        <v>226</v>
      </c>
      <c r="V859" s="33">
        <v>2015</v>
      </c>
      <c r="W859" s="33">
        <v>1</v>
      </c>
      <c r="X859" s="33">
        <v>0</v>
      </c>
      <c r="Y859" s="33">
        <v>-1.6199999999999999E-2</v>
      </c>
      <c r="Z859" s="33">
        <v>-5.3999999999999999E-2</v>
      </c>
      <c r="AA859" s="33">
        <v>0</v>
      </c>
      <c r="AB859" s="33">
        <v>0</v>
      </c>
      <c r="AC859" s="33" t="s">
        <v>354</v>
      </c>
      <c r="AD859" s="158"/>
    </row>
    <row r="860" spans="1:30" s="139" customFormat="1" hidden="1" x14ac:dyDescent="0.2">
      <c r="A860" s="153">
        <f t="shared" si="13"/>
        <v>836</v>
      </c>
      <c r="B860" s="33">
        <v>5</v>
      </c>
      <c r="C860" s="33">
        <v>1</v>
      </c>
      <c r="D860" s="33">
        <v>3</v>
      </c>
      <c r="E860" s="143">
        <v>2023</v>
      </c>
      <c r="F860" s="159">
        <v>2032</v>
      </c>
      <c r="G860" s="33">
        <v>5</v>
      </c>
      <c r="H860" s="33">
        <v>0</v>
      </c>
      <c r="I860" s="33">
        <v>0</v>
      </c>
      <c r="J860" s="33">
        <v>0</v>
      </c>
      <c r="K860" s="33">
        <v>0</v>
      </c>
      <c r="L860" s="164">
        <v>0.83499999999999996</v>
      </c>
      <c r="M860" s="165">
        <v>3169.9074074074074</v>
      </c>
      <c r="N860" s="165">
        <v>2035.9567901234566</v>
      </c>
      <c r="O860" s="160">
        <v>600</v>
      </c>
      <c r="P860" s="142">
        <v>0</v>
      </c>
      <c r="Q860" s="160">
        <v>198</v>
      </c>
      <c r="R860" s="160">
        <v>127</v>
      </c>
      <c r="S860" s="116">
        <v>0</v>
      </c>
      <c r="T860" s="116">
        <v>0</v>
      </c>
      <c r="U860" s="33" t="s">
        <v>226</v>
      </c>
      <c r="V860" s="33">
        <v>2015</v>
      </c>
      <c r="W860" s="33">
        <v>1</v>
      </c>
      <c r="X860" s="33">
        <v>0</v>
      </c>
      <c r="Y860" s="33">
        <v>-1.6199999999999999E-2</v>
      </c>
      <c r="Z860" s="33">
        <v>-5.3999999999999999E-2</v>
      </c>
      <c r="AA860" s="33">
        <v>0</v>
      </c>
      <c r="AB860" s="33">
        <v>0</v>
      </c>
      <c r="AC860" s="33" t="s">
        <v>354</v>
      </c>
      <c r="AD860" s="158"/>
    </row>
    <row r="861" spans="1:30" s="139" customFormat="1" hidden="1" x14ac:dyDescent="0.2">
      <c r="A861" s="153">
        <f t="shared" si="13"/>
        <v>837</v>
      </c>
      <c r="B861" s="33">
        <v>5</v>
      </c>
      <c r="C861" s="33">
        <v>1</v>
      </c>
      <c r="D861" s="33">
        <v>3</v>
      </c>
      <c r="E861" s="143">
        <v>2023</v>
      </c>
      <c r="F861" s="159">
        <v>2032</v>
      </c>
      <c r="G861" s="33">
        <v>6</v>
      </c>
      <c r="H861" s="33">
        <v>0</v>
      </c>
      <c r="I861" s="33">
        <v>0</v>
      </c>
      <c r="J861" s="33">
        <v>0</v>
      </c>
      <c r="K861" s="33">
        <v>0</v>
      </c>
      <c r="L861" s="164">
        <v>0.83499999999999996</v>
      </c>
      <c r="M861" s="165">
        <v>3169.9074074074074</v>
      </c>
      <c r="N861" s="165">
        <v>2035.9567901234566</v>
      </c>
      <c r="O861" s="160">
        <v>600</v>
      </c>
      <c r="P861" s="142">
        <v>0</v>
      </c>
      <c r="Q861" s="160">
        <v>22</v>
      </c>
      <c r="R861" s="160">
        <v>14</v>
      </c>
      <c r="S861" s="116">
        <v>0</v>
      </c>
      <c r="T861" s="116">
        <v>0</v>
      </c>
      <c r="U861" s="33" t="s">
        <v>226</v>
      </c>
      <c r="V861" s="33">
        <v>2015</v>
      </c>
      <c r="W861" s="33">
        <v>1</v>
      </c>
      <c r="X861" s="33">
        <v>0</v>
      </c>
      <c r="Y861" s="33">
        <v>-1.6199999999999999E-2</v>
      </c>
      <c r="Z861" s="33">
        <v>-5.3999999999999999E-2</v>
      </c>
      <c r="AA861" s="33">
        <v>0</v>
      </c>
      <c r="AB861" s="33">
        <v>0</v>
      </c>
      <c r="AC861" s="33" t="s">
        <v>354</v>
      </c>
      <c r="AD861" s="158"/>
    </row>
    <row r="862" spans="1:30" s="139" customFormat="1" hidden="1" x14ac:dyDescent="0.2">
      <c r="A862" s="153">
        <f t="shared" si="13"/>
        <v>838</v>
      </c>
      <c r="B862" s="33">
        <v>5</v>
      </c>
      <c r="C862" s="33">
        <v>1</v>
      </c>
      <c r="D862" s="33">
        <v>3</v>
      </c>
      <c r="E862" s="143">
        <v>2023</v>
      </c>
      <c r="F862" s="159">
        <v>2032</v>
      </c>
      <c r="G862" s="33">
        <v>7</v>
      </c>
      <c r="H862" s="33">
        <v>0</v>
      </c>
      <c r="I862" s="33">
        <v>0</v>
      </c>
      <c r="J862" s="33">
        <v>0</v>
      </c>
      <c r="K862" s="33">
        <v>0</v>
      </c>
      <c r="L862" s="164">
        <v>0.83499999999999996</v>
      </c>
      <c r="M862" s="165">
        <v>3169.9074074074074</v>
      </c>
      <c r="N862" s="165">
        <v>2035.9567901234566</v>
      </c>
      <c r="O862" s="160">
        <v>600</v>
      </c>
      <c r="P862" s="142">
        <v>0</v>
      </c>
      <c r="Q862" s="160">
        <v>0</v>
      </c>
      <c r="R862" s="160">
        <v>0</v>
      </c>
      <c r="S862" s="116">
        <v>0</v>
      </c>
      <c r="T862" s="116">
        <v>0</v>
      </c>
      <c r="U862" s="33" t="s">
        <v>226</v>
      </c>
      <c r="V862" s="33">
        <v>2015</v>
      </c>
      <c r="W862" s="33">
        <v>1</v>
      </c>
      <c r="X862" s="33">
        <v>0</v>
      </c>
      <c r="Y862" s="33">
        <v>-1.6199999999999999E-2</v>
      </c>
      <c r="Z862" s="33">
        <v>-5.3999999999999999E-2</v>
      </c>
      <c r="AA862" s="33">
        <v>0</v>
      </c>
      <c r="AB862" s="33">
        <v>0</v>
      </c>
      <c r="AC862" s="33" t="s">
        <v>354</v>
      </c>
      <c r="AD862" s="158"/>
    </row>
    <row r="863" spans="1:30" s="139" customFormat="1" hidden="1" x14ac:dyDescent="0.2">
      <c r="A863" s="153">
        <f t="shared" si="13"/>
        <v>839</v>
      </c>
      <c r="B863" s="33">
        <v>5</v>
      </c>
      <c r="C863" s="33">
        <v>1</v>
      </c>
      <c r="D863" s="33">
        <v>3</v>
      </c>
      <c r="E863" s="143">
        <v>2023</v>
      </c>
      <c r="F863" s="159">
        <v>2032</v>
      </c>
      <c r="G863" s="33">
        <v>8</v>
      </c>
      <c r="H863" s="33">
        <v>0</v>
      </c>
      <c r="I863" s="33">
        <v>0</v>
      </c>
      <c r="J863" s="33">
        <v>0</v>
      </c>
      <c r="K863" s="33">
        <v>0</v>
      </c>
      <c r="L863" s="164">
        <v>0.83499999999999996</v>
      </c>
      <c r="M863" s="165">
        <v>3169.9074074074074</v>
      </c>
      <c r="N863" s="165">
        <v>2035.9567901234566</v>
      </c>
      <c r="O863" s="160">
        <v>600</v>
      </c>
      <c r="P863" s="142">
        <v>0</v>
      </c>
      <c r="Q863" s="160">
        <v>56</v>
      </c>
      <c r="R863" s="160">
        <v>36</v>
      </c>
      <c r="S863" s="116">
        <v>0</v>
      </c>
      <c r="T863" s="116">
        <v>0</v>
      </c>
      <c r="U863" s="33" t="s">
        <v>226</v>
      </c>
      <c r="V863" s="33">
        <v>2015</v>
      </c>
      <c r="W863" s="33">
        <v>1</v>
      </c>
      <c r="X863" s="33">
        <v>0</v>
      </c>
      <c r="Y863" s="33">
        <v>-1.6199999999999999E-2</v>
      </c>
      <c r="Z863" s="33">
        <v>-5.3999999999999999E-2</v>
      </c>
      <c r="AA863" s="33">
        <v>0</v>
      </c>
      <c r="AB863" s="33">
        <v>0</v>
      </c>
      <c r="AC863" s="33" t="s">
        <v>354</v>
      </c>
      <c r="AD863" s="158"/>
    </row>
    <row r="864" spans="1:30" s="139" customFormat="1" hidden="1" x14ac:dyDescent="0.2">
      <c r="A864" s="153">
        <f t="shared" si="13"/>
        <v>840</v>
      </c>
      <c r="B864" s="33">
        <v>5</v>
      </c>
      <c r="C864" s="33">
        <v>1</v>
      </c>
      <c r="D864" s="33">
        <v>3</v>
      </c>
      <c r="E864" s="143">
        <v>2023</v>
      </c>
      <c r="F864" s="159">
        <v>2032</v>
      </c>
      <c r="G864" s="33">
        <v>9</v>
      </c>
      <c r="H864" s="33">
        <v>0</v>
      </c>
      <c r="I864" s="33">
        <v>0</v>
      </c>
      <c r="J864" s="33">
        <v>0</v>
      </c>
      <c r="K864" s="33">
        <v>0</v>
      </c>
      <c r="L864" s="164">
        <v>0.83499999999999996</v>
      </c>
      <c r="M864" s="165">
        <v>3169.9074074074074</v>
      </c>
      <c r="N864" s="165">
        <v>2035.9567901234566</v>
      </c>
      <c r="O864" s="160">
        <v>600</v>
      </c>
      <c r="P864" s="142">
        <v>0</v>
      </c>
      <c r="Q864" s="160">
        <v>273</v>
      </c>
      <c r="R864" s="160">
        <v>176</v>
      </c>
      <c r="S864" s="116">
        <v>0</v>
      </c>
      <c r="T864" s="116">
        <v>0</v>
      </c>
      <c r="U864" s="33" t="s">
        <v>226</v>
      </c>
      <c r="V864" s="33">
        <v>2015</v>
      </c>
      <c r="W864" s="33">
        <v>1</v>
      </c>
      <c r="X864" s="33">
        <v>0</v>
      </c>
      <c r="Y864" s="33">
        <v>-1.6199999999999999E-2</v>
      </c>
      <c r="Z864" s="33">
        <v>-5.3999999999999999E-2</v>
      </c>
      <c r="AA864" s="33">
        <v>0</v>
      </c>
      <c r="AB864" s="33">
        <v>0</v>
      </c>
      <c r="AC864" s="33" t="s">
        <v>354</v>
      </c>
      <c r="AD864" s="158"/>
    </row>
    <row r="865" spans="1:30" s="157" customFormat="1" hidden="1" x14ac:dyDescent="0.2">
      <c r="A865" s="153">
        <f t="shared" si="13"/>
        <v>841</v>
      </c>
      <c r="B865" s="49">
        <v>5</v>
      </c>
      <c r="C865" s="49">
        <v>1</v>
      </c>
      <c r="D865" s="49">
        <v>3</v>
      </c>
      <c r="E865" s="166">
        <v>2033</v>
      </c>
      <c r="F865" s="49">
        <v>2050</v>
      </c>
      <c r="G865" s="49">
        <v>1</v>
      </c>
      <c r="H865" s="49">
        <v>0</v>
      </c>
      <c r="I865" s="49">
        <v>0</v>
      </c>
      <c r="J865" s="49">
        <v>0</v>
      </c>
      <c r="K865" s="49">
        <v>0</v>
      </c>
      <c r="L865" s="167">
        <v>0.83499999999999996</v>
      </c>
      <c r="M865" s="168">
        <v>3169.9074074074074</v>
      </c>
      <c r="N865" s="168">
        <v>2035.9567901234566</v>
      </c>
      <c r="O865" s="51">
        <v>0</v>
      </c>
      <c r="P865" s="51">
        <v>0</v>
      </c>
      <c r="Q865" s="51">
        <v>553</v>
      </c>
      <c r="R865" s="51">
        <v>355</v>
      </c>
      <c r="S865" s="171">
        <v>0</v>
      </c>
      <c r="T865" s="171">
        <v>0</v>
      </c>
      <c r="U865" s="49" t="s">
        <v>226</v>
      </c>
      <c r="V865" s="49">
        <v>2015</v>
      </c>
      <c r="W865" s="49">
        <v>1</v>
      </c>
      <c r="X865" s="49">
        <v>0</v>
      </c>
      <c r="Y865" s="49">
        <v>-1.6199999999999999E-2</v>
      </c>
      <c r="Z865" s="49">
        <v>-5.3999999999999999E-2</v>
      </c>
      <c r="AA865" s="49">
        <v>0</v>
      </c>
      <c r="AB865" s="49">
        <v>0</v>
      </c>
      <c r="AC865" s="49" t="s">
        <v>354</v>
      </c>
      <c r="AD865" s="158"/>
    </row>
    <row r="866" spans="1:30" s="157" customFormat="1" hidden="1" x14ac:dyDescent="0.2">
      <c r="A866" s="153">
        <f t="shared" si="13"/>
        <v>842</v>
      </c>
      <c r="B866" s="49">
        <v>5</v>
      </c>
      <c r="C866" s="49">
        <v>1</v>
      </c>
      <c r="D866" s="49">
        <v>3</v>
      </c>
      <c r="E866" s="166">
        <v>2033</v>
      </c>
      <c r="F866" s="49">
        <v>2050</v>
      </c>
      <c r="G866" s="49">
        <v>2</v>
      </c>
      <c r="H866" s="49">
        <v>0</v>
      </c>
      <c r="I866" s="49">
        <v>0</v>
      </c>
      <c r="J866" s="49">
        <v>0</v>
      </c>
      <c r="K866" s="49">
        <v>0</v>
      </c>
      <c r="L866" s="167">
        <v>0.83499999999999996</v>
      </c>
      <c r="M866" s="168">
        <v>3169.9074074074074</v>
      </c>
      <c r="N866" s="168">
        <v>2035.9567901234566</v>
      </c>
      <c r="O866" s="51">
        <v>0</v>
      </c>
      <c r="P866" s="51">
        <v>0</v>
      </c>
      <c r="Q866" s="51">
        <v>312</v>
      </c>
      <c r="R866" s="51">
        <v>200</v>
      </c>
      <c r="S866" s="171">
        <v>0</v>
      </c>
      <c r="T866" s="171">
        <v>0</v>
      </c>
      <c r="U866" s="49" t="s">
        <v>226</v>
      </c>
      <c r="V866" s="49">
        <v>2015</v>
      </c>
      <c r="W866" s="49">
        <v>1</v>
      </c>
      <c r="X866" s="49">
        <v>0</v>
      </c>
      <c r="Y866" s="49">
        <v>-1.6199999999999999E-2</v>
      </c>
      <c r="Z866" s="49">
        <v>-5.3999999999999999E-2</v>
      </c>
      <c r="AA866" s="49">
        <v>0</v>
      </c>
      <c r="AB866" s="49">
        <v>0</v>
      </c>
      <c r="AC866" s="49" t="s">
        <v>354</v>
      </c>
      <c r="AD866" s="158"/>
    </row>
    <row r="867" spans="1:30" s="157" customFormat="1" x14ac:dyDescent="0.2">
      <c r="A867" s="153">
        <f t="shared" si="13"/>
        <v>843</v>
      </c>
      <c r="B867" s="49">
        <v>5</v>
      </c>
      <c r="C867" s="49">
        <v>1</v>
      </c>
      <c r="D867" s="49">
        <v>3</v>
      </c>
      <c r="E867" s="166">
        <v>2033</v>
      </c>
      <c r="F867" s="49">
        <v>2050</v>
      </c>
      <c r="G867" s="49">
        <v>3</v>
      </c>
      <c r="H867" s="49">
        <v>0</v>
      </c>
      <c r="I867" s="49">
        <v>0</v>
      </c>
      <c r="J867" s="49">
        <v>0</v>
      </c>
      <c r="K867" s="49">
        <v>0</v>
      </c>
      <c r="L867" s="167">
        <v>0.83499999999999996</v>
      </c>
      <c r="M867" s="168">
        <v>3169.9074074074074</v>
      </c>
      <c r="N867" s="168">
        <v>2035.9567901234566</v>
      </c>
      <c r="O867" s="51">
        <v>0</v>
      </c>
      <c r="P867" s="51">
        <v>0</v>
      </c>
      <c r="Q867" s="51">
        <v>66</v>
      </c>
      <c r="R867" s="51">
        <v>42</v>
      </c>
      <c r="S867" s="171">
        <v>0</v>
      </c>
      <c r="T867" s="171">
        <v>0</v>
      </c>
      <c r="U867" s="49" t="s">
        <v>226</v>
      </c>
      <c r="V867" s="49">
        <v>2015</v>
      </c>
      <c r="W867" s="49">
        <v>1</v>
      </c>
      <c r="X867" s="49">
        <v>0</v>
      </c>
      <c r="Y867" s="49">
        <v>-1.6199999999999999E-2</v>
      </c>
      <c r="Z867" s="49">
        <v>-5.3999999999999999E-2</v>
      </c>
      <c r="AA867" s="49">
        <v>0</v>
      </c>
      <c r="AB867" s="49">
        <v>0</v>
      </c>
      <c r="AC867" s="49" t="s">
        <v>354</v>
      </c>
      <c r="AD867" s="158"/>
    </row>
    <row r="868" spans="1:30" s="157" customFormat="1" hidden="1" x14ac:dyDescent="0.2">
      <c r="A868" s="153">
        <f t="shared" si="13"/>
        <v>844</v>
      </c>
      <c r="B868" s="49">
        <v>5</v>
      </c>
      <c r="C868" s="49">
        <v>1</v>
      </c>
      <c r="D868" s="49">
        <v>3</v>
      </c>
      <c r="E868" s="166">
        <v>2033</v>
      </c>
      <c r="F868" s="49">
        <v>2050</v>
      </c>
      <c r="G868" s="49">
        <v>4</v>
      </c>
      <c r="H868" s="49">
        <v>0</v>
      </c>
      <c r="I868" s="49">
        <v>0</v>
      </c>
      <c r="J868" s="49">
        <v>0</v>
      </c>
      <c r="K868" s="49">
        <v>0</v>
      </c>
      <c r="L868" s="167">
        <v>0.83499999999999996</v>
      </c>
      <c r="M868" s="168">
        <v>3169.9074074074074</v>
      </c>
      <c r="N868" s="168">
        <v>2035.9567901234566</v>
      </c>
      <c r="O868" s="51">
        <v>0</v>
      </c>
      <c r="P868" s="51">
        <v>0</v>
      </c>
      <c r="Q868" s="51">
        <v>69</v>
      </c>
      <c r="R868" s="51">
        <v>44</v>
      </c>
      <c r="S868" s="171">
        <v>0</v>
      </c>
      <c r="T868" s="171">
        <v>0</v>
      </c>
      <c r="U868" s="49" t="s">
        <v>226</v>
      </c>
      <c r="V868" s="49">
        <v>2015</v>
      </c>
      <c r="W868" s="49">
        <v>1</v>
      </c>
      <c r="X868" s="49">
        <v>0</v>
      </c>
      <c r="Y868" s="49">
        <v>-1.6199999999999999E-2</v>
      </c>
      <c r="Z868" s="49">
        <v>-5.3999999999999999E-2</v>
      </c>
      <c r="AA868" s="49">
        <v>0</v>
      </c>
      <c r="AB868" s="49">
        <v>0</v>
      </c>
      <c r="AC868" s="49" t="s">
        <v>354</v>
      </c>
      <c r="AD868" s="158"/>
    </row>
    <row r="869" spans="1:30" s="157" customFormat="1" hidden="1" x14ac:dyDescent="0.2">
      <c r="A869" s="153">
        <f t="shared" si="13"/>
        <v>845</v>
      </c>
      <c r="B869" s="49">
        <v>5</v>
      </c>
      <c r="C869" s="49">
        <v>1</v>
      </c>
      <c r="D869" s="49">
        <v>3</v>
      </c>
      <c r="E869" s="166">
        <v>2033</v>
      </c>
      <c r="F869" s="49">
        <v>2050</v>
      </c>
      <c r="G869" s="49">
        <v>5</v>
      </c>
      <c r="H869" s="49">
        <v>0</v>
      </c>
      <c r="I869" s="49">
        <v>0</v>
      </c>
      <c r="J869" s="49">
        <v>0</v>
      </c>
      <c r="K869" s="49">
        <v>0</v>
      </c>
      <c r="L869" s="167">
        <v>0.83499999999999996</v>
      </c>
      <c r="M869" s="168">
        <v>3169.9074074074074</v>
      </c>
      <c r="N869" s="168">
        <v>2035.9567901234566</v>
      </c>
      <c r="O869" s="51">
        <v>0</v>
      </c>
      <c r="P869" s="51">
        <v>0</v>
      </c>
      <c r="Q869" s="51">
        <v>198</v>
      </c>
      <c r="R869" s="51">
        <v>127</v>
      </c>
      <c r="S869" s="171">
        <v>0</v>
      </c>
      <c r="T869" s="171">
        <v>0</v>
      </c>
      <c r="U869" s="49" t="s">
        <v>226</v>
      </c>
      <c r="V869" s="49">
        <v>2015</v>
      </c>
      <c r="W869" s="49">
        <v>1</v>
      </c>
      <c r="X869" s="49">
        <v>0</v>
      </c>
      <c r="Y869" s="49">
        <v>-1.6199999999999999E-2</v>
      </c>
      <c r="Z869" s="49">
        <v>-5.3999999999999999E-2</v>
      </c>
      <c r="AA869" s="49">
        <v>0</v>
      </c>
      <c r="AB869" s="49">
        <v>0</v>
      </c>
      <c r="AC869" s="49" t="s">
        <v>354</v>
      </c>
      <c r="AD869" s="158"/>
    </row>
    <row r="870" spans="1:30" s="157" customFormat="1" hidden="1" x14ac:dyDescent="0.2">
      <c r="A870" s="153">
        <f t="shared" si="13"/>
        <v>846</v>
      </c>
      <c r="B870" s="49">
        <v>5</v>
      </c>
      <c r="C870" s="49">
        <v>1</v>
      </c>
      <c r="D870" s="49">
        <v>3</v>
      </c>
      <c r="E870" s="166">
        <v>2033</v>
      </c>
      <c r="F870" s="49">
        <v>2050</v>
      </c>
      <c r="G870" s="49">
        <v>6</v>
      </c>
      <c r="H870" s="49">
        <v>0</v>
      </c>
      <c r="I870" s="49">
        <v>0</v>
      </c>
      <c r="J870" s="49">
        <v>0</v>
      </c>
      <c r="K870" s="49">
        <v>0</v>
      </c>
      <c r="L870" s="167">
        <v>0.83499999999999996</v>
      </c>
      <c r="M870" s="168">
        <v>3169.9074074074074</v>
      </c>
      <c r="N870" s="168">
        <v>2035.9567901234566</v>
      </c>
      <c r="O870" s="51">
        <v>0</v>
      </c>
      <c r="P870" s="51">
        <v>0</v>
      </c>
      <c r="Q870" s="51">
        <v>22</v>
      </c>
      <c r="R870" s="51">
        <v>14</v>
      </c>
      <c r="S870" s="171">
        <v>0</v>
      </c>
      <c r="T870" s="171">
        <v>0</v>
      </c>
      <c r="U870" s="49" t="s">
        <v>226</v>
      </c>
      <c r="V870" s="49">
        <v>2015</v>
      </c>
      <c r="W870" s="49">
        <v>1</v>
      </c>
      <c r="X870" s="49">
        <v>0</v>
      </c>
      <c r="Y870" s="49">
        <v>-1.6199999999999999E-2</v>
      </c>
      <c r="Z870" s="49">
        <v>-5.3999999999999999E-2</v>
      </c>
      <c r="AA870" s="49">
        <v>0</v>
      </c>
      <c r="AB870" s="49">
        <v>0</v>
      </c>
      <c r="AC870" s="49" t="s">
        <v>354</v>
      </c>
      <c r="AD870" s="158"/>
    </row>
    <row r="871" spans="1:30" s="157" customFormat="1" hidden="1" x14ac:dyDescent="0.2">
      <c r="A871" s="153">
        <f t="shared" si="13"/>
        <v>847</v>
      </c>
      <c r="B871" s="49">
        <v>5</v>
      </c>
      <c r="C871" s="49">
        <v>1</v>
      </c>
      <c r="D871" s="49">
        <v>3</v>
      </c>
      <c r="E871" s="166">
        <v>2033</v>
      </c>
      <c r="F871" s="49">
        <v>2050</v>
      </c>
      <c r="G871" s="49">
        <v>7</v>
      </c>
      <c r="H871" s="49">
        <v>0</v>
      </c>
      <c r="I871" s="49">
        <v>0</v>
      </c>
      <c r="J871" s="49">
        <v>0</v>
      </c>
      <c r="K871" s="49">
        <v>0</v>
      </c>
      <c r="L871" s="167">
        <v>0.83499999999999996</v>
      </c>
      <c r="M871" s="168">
        <v>3169.9074074074074</v>
      </c>
      <c r="N871" s="168">
        <v>2035.9567901234566</v>
      </c>
      <c r="O871" s="51">
        <v>0</v>
      </c>
      <c r="P871" s="51">
        <v>0</v>
      </c>
      <c r="Q871" s="51">
        <v>0</v>
      </c>
      <c r="R871" s="51">
        <v>0</v>
      </c>
      <c r="S871" s="171">
        <v>0</v>
      </c>
      <c r="T871" s="171">
        <v>0</v>
      </c>
      <c r="U871" s="49" t="s">
        <v>226</v>
      </c>
      <c r="V871" s="49">
        <v>2015</v>
      </c>
      <c r="W871" s="49">
        <v>1</v>
      </c>
      <c r="X871" s="49">
        <v>0</v>
      </c>
      <c r="Y871" s="49">
        <v>-1.6199999999999999E-2</v>
      </c>
      <c r="Z871" s="49">
        <v>-5.3999999999999999E-2</v>
      </c>
      <c r="AA871" s="49">
        <v>0</v>
      </c>
      <c r="AB871" s="49">
        <v>0</v>
      </c>
      <c r="AC871" s="49" t="s">
        <v>354</v>
      </c>
      <c r="AD871" s="158"/>
    </row>
    <row r="872" spans="1:30" s="157" customFormat="1" hidden="1" x14ac:dyDescent="0.2">
      <c r="A872" s="153">
        <f t="shared" si="13"/>
        <v>848</v>
      </c>
      <c r="B872" s="49">
        <v>5</v>
      </c>
      <c r="C872" s="49">
        <v>1</v>
      </c>
      <c r="D872" s="49">
        <v>3</v>
      </c>
      <c r="E872" s="166">
        <v>2033</v>
      </c>
      <c r="F872" s="49">
        <v>2050</v>
      </c>
      <c r="G872" s="49">
        <v>8</v>
      </c>
      <c r="H872" s="49">
        <v>0</v>
      </c>
      <c r="I872" s="49">
        <v>0</v>
      </c>
      <c r="J872" s="49">
        <v>0</v>
      </c>
      <c r="K872" s="49">
        <v>0</v>
      </c>
      <c r="L872" s="167">
        <v>0.83499999999999996</v>
      </c>
      <c r="M872" s="168">
        <v>3169.9074074074074</v>
      </c>
      <c r="N872" s="168">
        <v>2035.9567901234566</v>
      </c>
      <c r="O872" s="51">
        <v>0</v>
      </c>
      <c r="P872" s="51">
        <v>0</v>
      </c>
      <c r="Q872" s="51">
        <v>56</v>
      </c>
      <c r="R872" s="51">
        <v>36</v>
      </c>
      <c r="S872" s="171">
        <v>0</v>
      </c>
      <c r="T872" s="171">
        <v>0</v>
      </c>
      <c r="U872" s="49" t="s">
        <v>226</v>
      </c>
      <c r="V872" s="49">
        <v>2015</v>
      </c>
      <c r="W872" s="49">
        <v>1</v>
      </c>
      <c r="X872" s="49">
        <v>0</v>
      </c>
      <c r="Y872" s="49">
        <v>-1.6199999999999999E-2</v>
      </c>
      <c r="Z872" s="49">
        <v>-5.3999999999999999E-2</v>
      </c>
      <c r="AA872" s="49">
        <v>0</v>
      </c>
      <c r="AB872" s="49">
        <v>0</v>
      </c>
      <c r="AC872" s="49" t="s">
        <v>354</v>
      </c>
      <c r="AD872" s="158"/>
    </row>
    <row r="873" spans="1:30" s="157" customFormat="1" hidden="1" x14ac:dyDescent="0.2">
      <c r="A873" s="153">
        <f t="shared" si="13"/>
        <v>849</v>
      </c>
      <c r="B873" s="49">
        <v>5</v>
      </c>
      <c r="C873" s="49">
        <v>1</v>
      </c>
      <c r="D873" s="49">
        <v>3</v>
      </c>
      <c r="E873" s="166">
        <v>2033</v>
      </c>
      <c r="F873" s="49">
        <v>2050</v>
      </c>
      <c r="G873" s="49">
        <v>9</v>
      </c>
      <c r="H873" s="49">
        <v>0</v>
      </c>
      <c r="I873" s="49">
        <v>0</v>
      </c>
      <c r="J873" s="49">
        <v>0</v>
      </c>
      <c r="K873" s="49">
        <v>0</v>
      </c>
      <c r="L873" s="167">
        <v>0.83499999999999996</v>
      </c>
      <c r="M873" s="168">
        <v>3169.9074074074074</v>
      </c>
      <c r="N873" s="168">
        <v>2035.9567901234566</v>
      </c>
      <c r="O873" s="51">
        <v>0</v>
      </c>
      <c r="P873" s="51">
        <v>0</v>
      </c>
      <c r="Q873" s="51">
        <v>273</v>
      </c>
      <c r="R873" s="51">
        <v>176</v>
      </c>
      <c r="S873" s="171">
        <v>0</v>
      </c>
      <c r="T873" s="171">
        <v>0</v>
      </c>
      <c r="U873" s="49" t="s">
        <v>226</v>
      </c>
      <c r="V873" s="49">
        <v>2015</v>
      </c>
      <c r="W873" s="49">
        <v>1</v>
      </c>
      <c r="X873" s="49">
        <v>0</v>
      </c>
      <c r="Y873" s="49">
        <v>-1.6199999999999999E-2</v>
      </c>
      <c r="Z873" s="49">
        <v>-5.3999999999999999E-2</v>
      </c>
      <c r="AA873" s="49">
        <v>0</v>
      </c>
      <c r="AB873" s="49">
        <v>0</v>
      </c>
      <c r="AC873" s="49" t="s">
        <v>354</v>
      </c>
      <c r="AD873" s="158"/>
    </row>
    <row r="874" spans="1:30" customFormat="1" hidden="1" x14ac:dyDescent="0.2">
      <c r="A874" s="153">
        <f t="shared" si="13"/>
        <v>850</v>
      </c>
      <c r="B874" s="33">
        <v>5</v>
      </c>
      <c r="C874" s="33">
        <v>1</v>
      </c>
      <c r="D874" s="33">
        <v>4</v>
      </c>
      <c r="E874" s="104">
        <v>2016</v>
      </c>
      <c r="F874" s="159">
        <v>2021</v>
      </c>
      <c r="G874" s="33">
        <v>1</v>
      </c>
      <c r="H874" s="33">
        <v>0</v>
      </c>
      <c r="I874" s="33">
        <v>0</v>
      </c>
      <c r="J874" s="33">
        <v>0</v>
      </c>
      <c r="K874" s="33">
        <v>0</v>
      </c>
      <c r="L874" s="101">
        <v>0.81</v>
      </c>
      <c r="M874" s="108">
        <v>3075</v>
      </c>
      <c r="N874" s="108">
        <v>1975</v>
      </c>
      <c r="O874" s="142">
        <v>300</v>
      </c>
      <c r="P874" s="142">
        <v>0</v>
      </c>
      <c r="Q874" s="160">
        <v>537</v>
      </c>
      <c r="R874" s="160">
        <v>345</v>
      </c>
      <c r="S874" s="116">
        <v>0</v>
      </c>
      <c r="T874" s="116">
        <v>0</v>
      </c>
      <c r="U874" s="33" t="s">
        <v>226</v>
      </c>
      <c r="V874" s="33">
        <v>2015</v>
      </c>
      <c r="W874" s="33">
        <v>1</v>
      </c>
      <c r="X874" s="33">
        <v>0</v>
      </c>
      <c r="Y874" s="33">
        <v>-1.6199999999999999E-2</v>
      </c>
      <c r="Z874" s="33">
        <v>-5.3999999999999999E-2</v>
      </c>
      <c r="AA874" s="33">
        <v>0</v>
      </c>
      <c r="AB874" s="33">
        <v>0</v>
      </c>
      <c r="AC874" s="33" t="s">
        <v>355</v>
      </c>
      <c r="AD874" s="158"/>
    </row>
    <row r="875" spans="1:30" customFormat="1" hidden="1" x14ac:dyDescent="0.2">
      <c r="A875" s="153">
        <f t="shared" si="13"/>
        <v>851</v>
      </c>
      <c r="B875" s="33">
        <v>5</v>
      </c>
      <c r="C875" s="33">
        <v>1</v>
      </c>
      <c r="D875" s="33">
        <v>4</v>
      </c>
      <c r="E875" s="104">
        <v>2016</v>
      </c>
      <c r="F875" s="159">
        <v>2021</v>
      </c>
      <c r="G875" s="33">
        <v>2</v>
      </c>
      <c r="H875" s="33">
        <v>0</v>
      </c>
      <c r="I875" s="33">
        <v>0</v>
      </c>
      <c r="J875" s="33">
        <v>0</v>
      </c>
      <c r="K875" s="33">
        <v>0</v>
      </c>
      <c r="L875" s="101">
        <v>0.81</v>
      </c>
      <c r="M875" s="108">
        <v>3075</v>
      </c>
      <c r="N875" s="108">
        <v>1975</v>
      </c>
      <c r="O875" s="142">
        <v>300</v>
      </c>
      <c r="P875" s="142">
        <v>0</v>
      </c>
      <c r="Q875" s="160">
        <v>303</v>
      </c>
      <c r="R875" s="160">
        <v>194</v>
      </c>
      <c r="S875" s="116">
        <v>0</v>
      </c>
      <c r="T875" s="116">
        <v>0</v>
      </c>
      <c r="U875" s="33" t="s">
        <v>226</v>
      </c>
      <c r="V875" s="33">
        <v>2015</v>
      </c>
      <c r="W875" s="33">
        <v>1</v>
      </c>
      <c r="X875" s="33">
        <v>0</v>
      </c>
      <c r="Y875" s="33">
        <v>-1.6199999999999999E-2</v>
      </c>
      <c r="Z875" s="33">
        <v>-5.3999999999999999E-2</v>
      </c>
      <c r="AA875" s="33">
        <v>0</v>
      </c>
      <c r="AB875" s="33">
        <v>0</v>
      </c>
      <c r="AC875" s="33" t="s">
        <v>355</v>
      </c>
      <c r="AD875" s="158"/>
    </row>
    <row r="876" spans="1:30" customFormat="1" x14ac:dyDescent="0.2">
      <c r="A876" s="153">
        <f t="shared" si="13"/>
        <v>852</v>
      </c>
      <c r="B876" s="33">
        <v>5</v>
      </c>
      <c r="C876" s="33">
        <v>1</v>
      </c>
      <c r="D876" s="33">
        <v>4</v>
      </c>
      <c r="E876" s="104">
        <v>2016</v>
      </c>
      <c r="F876" s="159">
        <v>2021</v>
      </c>
      <c r="G876" s="33">
        <v>3</v>
      </c>
      <c r="H876" s="33">
        <v>0</v>
      </c>
      <c r="I876" s="33">
        <v>0</v>
      </c>
      <c r="J876" s="33">
        <v>0</v>
      </c>
      <c r="K876" s="33">
        <v>0</v>
      </c>
      <c r="L876" s="101">
        <v>0.81</v>
      </c>
      <c r="M876" s="108">
        <v>3075</v>
      </c>
      <c r="N876" s="108">
        <v>1975</v>
      </c>
      <c r="O876" s="142">
        <v>300</v>
      </c>
      <c r="P876" s="142">
        <v>0</v>
      </c>
      <c r="Q876" s="160">
        <v>64</v>
      </c>
      <c r="R876" s="160">
        <v>41</v>
      </c>
      <c r="S876" s="116">
        <v>0</v>
      </c>
      <c r="T876" s="116">
        <v>0</v>
      </c>
      <c r="U876" s="33" t="s">
        <v>226</v>
      </c>
      <c r="V876" s="33">
        <v>2015</v>
      </c>
      <c r="W876" s="33">
        <v>1</v>
      </c>
      <c r="X876" s="33">
        <v>0</v>
      </c>
      <c r="Y876" s="33">
        <v>-1.6199999999999999E-2</v>
      </c>
      <c r="Z876" s="33">
        <v>-5.3999999999999999E-2</v>
      </c>
      <c r="AA876" s="33">
        <v>0</v>
      </c>
      <c r="AB876" s="33">
        <v>0</v>
      </c>
      <c r="AC876" s="33" t="s">
        <v>355</v>
      </c>
      <c r="AD876" s="158"/>
    </row>
    <row r="877" spans="1:30" customFormat="1" hidden="1" x14ac:dyDescent="0.2">
      <c r="A877" s="153">
        <f t="shared" si="13"/>
        <v>853</v>
      </c>
      <c r="B877" s="33">
        <v>5</v>
      </c>
      <c r="C877" s="33">
        <v>1</v>
      </c>
      <c r="D877" s="33">
        <v>4</v>
      </c>
      <c r="E877" s="104">
        <v>2016</v>
      </c>
      <c r="F877" s="159">
        <v>2021</v>
      </c>
      <c r="G877" s="33">
        <v>4</v>
      </c>
      <c r="H877" s="33">
        <v>0</v>
      </c>
      <c r="I877" s="33">
        <v>0</v>
      </c>
      <c r="J877" s="33">
        <v>0</v>
      </c>
      <c r="K877" s="33">
        <v>0</v>
      </c>
      <c r="L877" s="101">
        <v>0.81</v>
      </c>
      <c r="M877" s="108">
        <v>3075</v>
      </c>
      <c r="N877" s="108">
        <v>1975</v>
      </c>
      <c r="O877" s="142">
        <v>300</v>
      </c>
      <c r="P877" s="142">
        <v>0</v>
      </c>
      <c r="Q877" s="160">
        <v>67</v>
      </c>
      <c r="R877" s="160">
        <v>43</v>
      </c>
      <c r="S877" s="116">
        <v>0</v>
      </c>
      <c r="T877" s="116">
        <v>0</v>
      </c>
      <c r="U877" s="33" t="s">
        <v>226</v>
      </c>
      <c r="V877" s="33">
        <v>2015</v>
      </c>
      <c r="W877" s="33">
        <v>1</v>
      </c>
      <c r="X877" s="33">
        <v>0</v>
      </c>
      <c r="Y877" s="33">
        <v>-1.6199999999999999E-2</v>
      </c>
      <c r="Z877" s="33">
        <v>-5.3999999999999999E-2</v>
      </c>
      <c r="AA877" s="33">
        <v>0</v>
      </c>
      <c r="AB877" s="33">
        <v>0</v>
      </c>
      <c r="AC877" s="33" t="s">
        <v>355</v>
      </c>
      <c r="AD877" s="158"/>
    </row>
    <row r="878" spans="1:30" customFormat="1" hidden="1" x14ac:dyDescent="0.2">
      <c r="A878" s="153">
        <f t="shared" si="13"/>
        <v>854</v>
      </c>
      <c r="B878" s="33">
        <v>5</v>
      </c>
      <c r="C878" s="33">
        <v>1</v>
      </c>
      <c r="D878" s="33">
        <v>4</v>
      </c>
      <c r="E878" s="104">
        <v>2016</v>
      </c>
      <c r="F878" s="159">
        <v>2021</v>
      </c>
      <c r="G878" s="33">
        <v>5</v>
      </c>
      <c r="H878" s="33">
        <v>0</v>
      </c>
      <c r="I878" s="33">
        <v>0</v>
      </c>
      <c r="J878" s="33">
        <v>0</v>
      </c>
      <c r="K878" s="33">
        <v>0</v>
      </c>
      <c r="L878" s="101">
        <v>0.81</v>
      </c>
      <c r="M878" s="108">
        <v>3075</v>
      </c>
      <c r="N878" s="108">
        <v>1975</v>
      </c>
      <c r="O878" s="142">
        <v>300</v>
      </c>
      <c r="P878" s="142">
        <v>0</v>
      </c>
      <c r="Q878" s="160">
        <v>192</v>
      </c>
      <c r="R878" s="160">
        <v>123</v>
      </c>
      <c r="S878" s="116">
        <v>0</v>
      </c>
      <c r="T878" s="116">
        <v>0</v>
      </c>
      <c r="U878" s="33" t="s">
        <v>226</v>
      </c>
      <c r="V878" s="33">
        <v>2015</v>
      </c>
      <c r="W878" s="33">
        <v>1</v>
      </c>
      <c r="X878" s="33">
        <v>0</v>
      </c>
      <c r="Y878" s="33">
        <v>-1.6199999999999999E-2</v>
      </c>
      <c r="Z878" s="33">
        <v>-5.3999999999999999E-2</v>
      </c>
      <c r="AA878" s="33">
        <v>0</v>
      </c>
      <c r="AB878" s="33">
        <v>0</v>
      </c>
      <c r="AC878" s="33" t="s">
        <v>355</v>
      </c>
      <c r="AD878" s="158"/>
    </row>
    <row r="879" spans="1:30" customFormat="1" hidden="1" x14ac:dyDescent="0.2">
      <c r="A879" s="153">
        <f t="shared" si="13"/>
        <v>855</v>
      </c>
      <c r="B879" s="33">
        <v>5</v>
      </c>
      <c r="C879" s="33">
        <v>1</v>
      </c>
      <c r="D879" s="33">
        <v>4</v>
      </c>
      <c r="E879" s="104">
        <v>2016</v>
      </c>
      <c r="F879" s="159">
        <v>2021</v>
      </c>
      <c r="G879" s="33">
        <v>6</v>
      </c>
      <c r="H879" s="33">
        <v>0</v>
      </c>
      <c r="I879" s="33">
        <v>0</v>
      </c>
      <c r="J879" s="33">
        <v>0</v>
      </c>
      <c r="K879" s="33">
        <v>0</v>
      </c>
      <c r="L879" s="101">
        <v>0.81</v>
      </c>
      <c r="M879" s="108">
        <v>3075</v>
      </c>
      <c r="N879" s="108">
        <v>1975</v>
      </c>
      <c r="O879" s="142">
        <v>300</v>
      </c>
      <c r="P879" s="142">
        <v>0</v>
      </c>
      <c r="Q879" s="160">
        <v>22</v>
      </c>
      <c r="R879" s="160">
        <v>14</v>
      </c>
      <c r="S879" s="116">
        <v>0</v>
      </c>
      <c r="T879" s="116">
        <v>0</v>
      </c>
      <c r="U879" s="33" t="s">
        <v>226</v>
      </c>
      <c r="V879" s="33">
        <v>2015</v>
      </c>
      <c r="W879" s="33">
        <v>1</v>
      </c>
      <c r="X879" s="33">
        <v>0</v>
      </c>
      <c r="Y879" s="33">
        <v>-1.6199999999999999E-2</v>
      </c>
      <c r="Z879" s="33">
        <v>-5.3999999999999999E-2</v>
      </c>
      <c r="AA879" s="33">
        <v>0</v>
      </c>
      <c r="AB879" s="33">
        <v>0</v>
      </c>
      <c r="AC879" s="33" t="s">
        <v>355</v>
      </c>
      <c r="AD879" s="158"/>
    </row>
    <row r="880" spans="1:30" customFormat="1" hidden="1" x14ac:dyDescent="0.2">
      <c r="A880" s="153">
        <f t="shared" si="13"/>
        <v>856</v>
      </c>
      <c r="B880" s="33">
        <v>5</v>
      </c>
      <c r="C880" s="33">
        <v>1</v>
      </c>
      <c r="D880" s="33">
        <v>4</v>
      </c>
      <c r="E880" s="104">
        <v>2016</v>
      </c>
      <c r="F880" s="159">
        <v>2021</v>
      </c>
      <c r="G880" s="33">
        <v>7</v>
      </c>
      <c r="H880" s="33">
        <v>0</v>
      </c>
      <c r="I880" s="33">
        <v>0</v>
      </c>
      <c r="J880" s="33">
        <v>0</v>
      </c>
      <c r="K880" s="33">
        <v>0</v>
      </c>
      <c r="L880" s="101">
        <v>0.81</v>
      </c>
      <c r="M880" s="108">
        <v>3075</v>
      </c>
      <c r="N880" s="108">
        <v>1975</v>
      </c>
      <c r="O880" s="142">
        <v>300</v>
      </c>
      <c r="P880" s="142">
        <v>0</v>
      </c>
      <c r="Q880" s="160">
        <v>0</v>
      </c>
      <c r="R880" s="160">
        <v>0</v>
      </c>
      <c r="S880" s="116">
        <v>0</v>
      </c>
      <c r="T880" s="116">
        <v>0</v>
      </c>
      <c r="U880" s="33" t="s">
        <v>226</v>
      </c>
      <c r="V880" s="33">
        <v>2015</v>
      </c>
      <c r="W880" s="33">
        <v>1</v>
      </c>
      <c r="X880" s="33">
        <v>0</v>
      </c>
      <c r="Y880" s="33">
        <v>-1.6199999999999999E-2</v>
      </c>
      <c r="Z880" s="33">
        <v>-5.3999999999999999E-2</v>
      </c>
      <c r="AA880" s="33">
        <v>0</v>
      </c>
      <c r="AB880" s="33">
        <v>0</v>
      </c>
      <c r="AC880" s="33" t="s">
        <v>355</v>
      </c>
      <c r="AD880" s="158"/>
    </row>
    <row r="881" spans="1:30" customFormat="1" hidden="1" x14ac:dyDescent="0.2">
      <c r="A881" s="153">
        <f t="shared" si="13"/>
        <v>857</v>
      </c>
      <c r="B881" s="33">
        <v>5</v>
      </c>
      <c r="C881" s="33">
        <v>1</v>
      </c>
      <c r="D881" s="33">
        <v>4</v>
      </c>
      <c r="E881" s="104">
        <v>2016</v>
      </c>
      <c r="F881" s="159">
        <v>2021</v>
      </c>
      <c r="G881" s="33">
        <v>8</v>
      </c>
      <c r="H881" s="33">
        <v>0</v>
      </c>
      <c r="I881" s="33">
        <v>0</v>
      </c>
      <c r="J881" s="33">
        <v>0</v>
      </c>
      <c r="K881" s="33">
        <v>0</v>
      </c>
      <c r="L881" s="101">
        <v>0.81</v>
      </c>
      <c r="M881" s="108">
        <v>3075</v>
      </c>
      <c r="N881" s="108">
        <v>1975</v>
      </c>
      <c r="O881" s="142">
        <v>300</v>
      </c>
      <c r="P881" s="142">
        <v>0</v>
      </c>
      <c r="Q881" s="160">
        <v>54</v>
      </c>
      <c r="R881" s="160">
        <v>35</v>
      </c>
      <c r="S881" s="116">
        <v>0</v>
      </c>
      <c r="T881" s="116">
        <v>0</v>
      </c>
      <c r="U881" s="33" t="s">
        <v>226</v>
      </c>
      <c r="V881" s="33">
        <v>2015</v>
      </c>
      <c r="W881" s="33">
        <v>1</v>
      </c>
      <c r="X881" s="33">
        <v>0</v>
      </c>
      <c r="Y881" s="33">
        <v>-1.6199999999999999E-2</v>
      </c>
      <c r="Z881" s="33">
        <v>-5.3999999999999999E-2</v>
      </c>
      <c r="AA881" s="33">
        <v>0</v>
      </c>
      <c r="AB881" s="33">
        <v>0</v>
      </c>
      <c r="AC881" s="33" t="s">
        <v>355</v>
      </c>
      <c r="AD881" s="158"/>
    </row>
    <row r="882" spans="1:30" customFormat="1" hidden="1" x14ac:dyDescent="0.2">
      <c r="A882" s="153">
        <f t="shared" si="13"/>
        <v>858</v>
      </c>
      <c r="B882" s="33">
        <v>5</v>
      </c>
      <c r="C882" s="33">
        <v>1</v>
      </c>
      <c r="D882" s="33">
        <v>4</v>
      </c>
      <c r="E882" s="104">
        <v>2016</v>
      </c>
      <c r="F882" s="159">
        <v>2021</v>
      </c>
      <c r="G882" s="33">
        <v>9</v>
      </c>
      <c r="H882" s="33">
        <v>0</v>
      </c>
      <c r="I882" s="33">
        <v>0</v>
      </c>
      <c r="J882" s="33">
        <v>0</v>
      </c>
      <c r="K882" s="33">
        <v>0</v>
      </c>
      <c r="L882" s="101">
        <v>0.81</v>
      </c>
      <c r="M882" s="108">
        <v>3075</v>
      </c>
      <c r="N882" s="108">
        <v>1975</v>
      </c>
      <c r="O882" s="142">
        <v>300</v>
      </c>
      <c r="P882" s="142">
        <v>0</v>
      </c>
      <c r="Q882" s="160">
        <v>265</v>
      </c>
      <c r="R882" s="160">
        <v>170</v>
      </c>
      <c r="S882" s="116">
        <v>0</v>
      </c>
      <c r="T882" s="116">
        <v>0</v>
      </c>
      <c r="U882" s="33" t="s">
        <v>226</v>
      </c>
      <c r="V882" s="33">
        <v>2015</v>
      </c>
      <c r="W882" s="33">
        <v>1</v>
      </c>
      <c r="X882" s="33">
        <v>0</v>
      </c>
      <c r="Y882" s="33">
        <v>-1.6199999999999999E-2</v>
      </c>
      <c r="Z882" s="33">
        <v>-5.3999999999999999E-2</v>
      </c>
      <c r="AA882" s="33">
        <v>0</v>
      </c>
      <c r="AB882" s="33">
        <v>0</v>
      </c>
      <c r="AC882" s="33" t="s">
        <v>355</v>
      </c>
      <c r="AD882" s="158"/>
    </row>
    <row r="883" spans="1:30" s="157" customFormat="1" hidden="1" x14ac:dyDescent="0.2">
      <c r="A883" s="153">
        <f t="shared" si="13"/>
        <v>859</v>
      </c>
      <c r="B883" s="49">
        <v>5</v>
      </c>
      <c r="C883" s="49">
        <v>1</v>
      </c>
      <c r="D883" s="49">
        <v>4</v>
      </c>
      <c r="E883" s="166">
        <v>2022</v>
      </c>
      <c r="F883" s="49">
        <v>2032</v>
      </c>
      <c r="G883" s="49">
        <v>1</v>
      </c>
      <c r="H883" s="49">
        <v>0</v>
      </c>
      <c r="I883" s="49">
        <v>0</v>
      </c>
      <c r="J883" s="49">
        <v>0</v>
      </c>
      <c r="K883" s="49">
        <v>0</v>
      </c>
      <c r="L883" s="167">
        <v>0.81</v>
      </c>
      <c r="M883" s="168">
        <v>3075</v>
      </c>
      <c r="N883" s="168">
        <v>1975</v>
      </c>
      <c r="O883" s="51">
        <v>600</v>
      </c>
      <c r="P883" s="51">
        <v>0</v>
      </c>
      <c r="Q883" s="51">
        <v>537</v>
      </c>
      <c r="R883" s="51">
        <v>345</v>
      </c>
      <c r="S883" s="171">
        <v>0</v>
      </c>
      <c r="T883" s="171">
        <v>0</v>
      </c>
      <c r="U883" s="49" t="s">
        <v>226</v>
      </c>
      <c r="V883" s="49">
        <v>2015</v>
      </c>
      <c r="W883" s="49">
        <v>1</v>
      </c>
      <c r="X883" s="49">
        <v>0</v>
      </c>
      <c r="Y883" s="49">
        <v>-1.6199999999999999E-2</v>
      </c>
      <c r="Z883" s="49">
        <v>-5.3999999999999999E-2</v>
      </c>
      <c r="AA883" s="49">
        <v>0</v>
      </c>
      <c r="AB883" s="49">
        <v>0</v>
      </c>
      <c r="AC883" s="49" t="s">
        <v>355</v>
      </c>
      <c r="AD883" s="158"/>
    </row>
    <row r="884" spans="1:30" s="157" customFormat="1" hidden="1" x14ac:dyDescent="0.2">
      <c r="A884" s="153">
        <f t="shared" si="13"/>
        <v>860</v>
      </c>
      <c r="B884" s="49">
        <v>5</v>
      </c>
      <c r="C884" s="49">
        <v>1</v>
      </c>
      <c r="D884" s="49">
        <v>4</v>
      </c>
      <c r="E884" s="166">
        <v>2022</v>
      </c>
      <c r="F884" s="49">
        <v>2032</v>
      </c>
      <c r="G884" s="49">
        <v>2</v>
      </c>
      <c r="H884" s="49">
        <v>0</v>
      </c>
      <c r="I884" s="49">
        <v>0</v>
      </c>
      <c r="J884" s="49">
        <v>0</v>
      </c>
      <c r="K884" s="49">
        <v>0</v>
      </c>
      <c r="L884" s="167">
        <v>0.81</v>
      </c>
      <c r="M884" s="168">
        <v>3075</v>
      </c>
      <c r="N884" s="168">
        <v>1975</v>
      </c>
      <c r="O884" s="51">
        <v>600</v>
      </c>
      <c r="P884" s="51">
        <v>0</v>
      </c>
      <c r="Q884" s="51">
        <v>303</v>
      </c>
      <c r="R884" s="51">
        <v>194</v>
      </c>
      <c r="S884" s="171">
        <v>0</v>
      </c>
      <c r="T884" s="171">
        <v>0</v>
      </c>
      <c r="U884" s="49" t="s">
        <v>226</v>
      </c>
      <c r="V884" s="49">
        <v>2015</v>
      </c>
      <c r="W884" s="49">
        <v>1</v>
      </c>
      <c r="X884" s="49">
        <v>0</v>
      </c>
      <c r="Y884" s="49">
        <v>-1.6199999999999999E-2</v>
      </c>
      <c r="Z884" s="49">
        <v>-5.3999999999999999E-2</v>
      </c>
      <c r="AA884" s="49">
        <v>0</v>
      </c>
      <c r="AB884" s="49">
        <v>0</v>
      </c>
      <c r="AC884" s="49" t="s">
        <v>355</v>
      </c>
      <c r="AD884" s="158"/>
    </row>
    <row r="885" spans="1:30" s="157" customFormat="1" x14ac:dyDescent="0.2">
      <c r="A885" s="153">
        <f t="shared" si="13"/>
        <v>861</v>
      </c>
      <c r="B885" s="49">
        <v>5</v>
      </c>
      <c r="C885" s="49">
        <v>1</v>
      </c>
      <c r="D885" s="49">
        <v>4</v>
      </c>
      <c r="E885" s="166">
        <v>2022</v>
      </c>
      <c r="F885" s="49">
        <v>2032</v>
      </c>
      <c r="G885" s="49">
        <v>3</v>
      </c>
      <c r="H885" s="49">
        <v>0</v>
      </c>
      <c r="I885" s="49">
        <v>0</v>
      </c>
      <c r="J885" s="49">
        <v>0</v>
      </c>
      <c r="K885" s="49">
        <v>0</v>
      </c>
      <c r="L885" s="167">
        <v>0.81</v>
      </c>
      <c r="M885" s="168">
        <v>3075</v>
      </c>
      <c r="N885" s="168">
        <v>1975</v>
      </c>
      <c r="O885" s="51">
        <v>600</v>
      </c>
      <c r="P885" s="51">
        <v>0</v>
      </c>
      <c r="Q885" s="51">
        <v>64</v>
      </c>
      <c r="R885" s="51">
        <v>41</v>
      </c>
      <c r="S885" s="171">
        <v>0</v>
      </c>
      <c r="T885" s="171">
        <v>0</v>
      </c>
      <c r="U885" s="49" t="s">
        <v>226</v>
      </c>
      <c r="V885" s="49">
        <v>2015</v>
      </c>
      <c r="W885" s="49">
        <v>1</v>
      </c>
      <c r="X885" s="49">
        <v>0</v>
      </c>
      <c r="Y885" s="49">
        <v>-1.6199999999999999E-2</v>
      </c>
      <c r="Z885" s="49">
        <v>-5.3999999999999999E-2</v>
      </c>
      <c r="AA885" s="49">
        <v>0</v>
      </c>
      <c r="AB885" s="49">
        <v>0</v>
      </c>
      <c r="AC885" s="49" t="s">
        <v>355</v>
      </c>
      <c r="AD885" s="158"/>
    </row>
    <row r="886" spans="1:30" s="157" customFormat="1" hidden="1" x14ac:dyDescent="0.2">
      <c r="A886" s="153">
        <f t="shared" si="13"/>
        <v>862</v>
      </c>
      <c r="B886" s="49">
        <v>5</v>
      </c>
      <c r="C886" s="49">
        <v>1</v>
      </c>
      <c r="D886" s="49">
        <v>4</v>
      </c>
      <c r="E886" s="166">
        <v>2022</v>
      </c>
      <c r="F886" s="49">
        <v>2032</v>
      </c>
      <c r="G886" s="49">
        <v>4</v>
      </c>
      <c r="H886" s="49">
        <v>0</v>
      </c>
      <c r="I886" s="49">
        <v>0</v>
      </c>
      <c r="J886" s="49">
        <v>0</v>
      </c>
      <c r="K886" s="49">
        <v>0</v>
      </c>
      <c r="L886" s="167">
        <v>0.81</v>
      </c>
      <c r="M886" s="168">
        <v>3075</v>
      </c>
      <c r="N886" s="168">
        <v>1975</v>
      </c>
      <c r="O886" s="51">
        <v>600</v>
      </c>
      <c r="P886" s="51">
        <v>0</v>
      </c>
      <c r="Q886" s="51">
        <v>67</v>
      </c>
      <c r="R886" s="51">
        <v>43</v>
      </c>
      <c r="S886" s="171">
        <v>0</v>
      </c>
      <c r="T886" s="171">
        <v>0</v>
      </c>
      <c r="U886" s="49" t="s">
        <v>226</v>
      </c>
      <c r="V886" s="49">
        <v>2015</v>
      </c>
      <c r="W886" s="49">
        <v>1</v>
      </c>
      <c r="X886" s="49">
        <v>0</v>
      </c>
      <c r="Y886" s="49">
        <v>-1.6199999999999999E-2</v>
      </c>
      <c r="Z886" s="49">
        <v>-5.3999999999999999E-2</v>
      </c>
      <c r="AA886" s="49">
        <v>0</v>
      </c>
      <c r="AB886" s="49">
        <v>0</v>
      </c>
      <c r="AC886" s="49" t="s">
        <v>355</v>
      </c>
      <c r="AD886" s="158"/>
    </row>
    <row r="887" spans="1:30" s="157" customFormat="1" hidden="1" x14ac:dyDescent="0.2">
      <c r="A887" s="153">
        <f t="shared" si="13"/>
        <v>863</v>
      </c>
      <c r="B887" s="49">
        <v>5</v>
      </c>
      <c r="C887" s="49">
        <v>1</v>
      </c>
      <c r="D887" s="49">
        <v>4</v>
      </c>
      <c r="E887" s="166">
        <v>2022</v>
      </c>
      <c r="F887" s="49">
        <v>2032</v>
      </c>
      <c r="G887" s="49">
        <v>5</v>
      </c>
      <c r="H887" s="49">
        <v>0</v>
      </c>
      <c r="I887" s="49">
        <v>0</v>
      </c>
      <c r="J887" s="49">
        <v>0</v>
      </c>
      <c r="K887" s="49">
        <v>0</v>
      </c>
      <c r="L887" s="167">
        <v>0.81</v>
      </c>
      <c r="M887" s="168">
        <v>3075</v>
      </c>
      <c r="N887" s="168">
        <v>1975</v>
      </c>
      <c r="O887" s="51">
        <v>600</v>
      </c>
      <c r="P887" s="51">
        <v>0</v>
      </c>
      <c r="Q887" s="51">
        <v>192</v>
      </c>
      <c r="R887" s="51">
        <v>123</v>
      </c>
      <c r="S887" s="171">
        <v>0</v>
      </c>
      <c r="T887" s="171">
        <v>0</v>
      </c>
      <c r="U887" s="49" t="s">
        <v>226</v>
      </c>
      <c r="V887" s="49">
        <v>2015</v>
      </c>
      <c r="W887" s="49">
        <v>1</v>
      </c>
      <c r="X887" s="49">
        <v>0</v>
      </c>
      <c r="Y887" s="49">
        <v>-1.6199999999999999E-2</v>
      </c>
      <c r="Z887" s="49">
        <v>-5.3999999999999999E-2</v>
      </c>
      <c r="AA887" s="49">
        <v>0</v>
      </c>
      <c r="AB887" s="49">
        <v>0</v>
      </c>
      <c r="AC887" s="49" t="s">
        <v>355</v>
      </c>
      <c r="AD887" s="158"/>
    </row>
    <row r="888" spans="1:30" s="157" customFormat="1" hidden="1" x14ac:dyDescent="0.2">
      <c r="A888" s="153">
        <f t="shared" si="13"/>
        <v>864</v>
      </c>
      <c r="B888" s="49">
        <v>5</v>
      </c>
      <c r="C888" s="49">
        <v>1</v>
      </c>
      <c r="D888" s="49">
        <v>4</v>
      </c>
      <c r="E888" s="166">
        <v>2022</v>
      </c>
      <c r="F888" s="49">
        <v>2032</v>
      </c>
      <c r="G888" s="49">
        <v>6</v>
      </c>
      <c r="H888" s="49">
        <v>0</v>
      </c>
      <c r="I888" s="49">
        <v>0</v>
      </c>
      <c r="J888" s="49">
        <v>0</v>
      </c>
      <c r="K888" s="49">
        <v>0</v>
      </c>
      <c r="L888" s="167">
        <v>0.81</v>
      </c>
      <c r="M888" s="168">
        <v>3075</v>
      </c>
      <c r="N888" s="168">
        <v>1975</v>
      </c>
      <c r="O888" s="51">
        <v>600</v>
      </c>
      <c r="P888" s="51">
        <v>0</v>
      </c>
      <c r="Q888" s="51">
        <v>22</v>
      </c>
      <c r="R888" s="51">
        <v>14</v>
      </c>
      <c r="S888" s="171">
        <v>0</v>
      </c>
      <c r="T888" s="171">
        <v>0</v>
      </c>
      <c r="U888" s="49" t="s">
        <v>226</v>
      </c>
      <c r="V888" s="49">
        <v>2015</v>
      </c>
      <c r="W888" s="49">
        <v>1</v>
      </c>
      <c r="X888" s="49">
        <v>0</v>
      </c>
      <c r="Y888" s="49">
        <v>-1.6199999999999999E-2</v>
      </c>
      <c r="Z888" s="49">
        <v>-5.3999999999999999E-2</v>
      </c>
      <c r="AA888" s="49">
        <v>0</v>
      </c>
      <c r="AB888" s="49">
        <v>0</v>
      </c>
      <c r="AC888" s="49" t="s">
        <v>355</v>
      </c>
      <c r="AD888" s="158"/>
    </row>
    <row r="889" spans="1:30" s="157" customFormat="1" hidden="1" x14ac:dyDescent="0.2">
      <c r="A889" s="153">
        <f t="shared" si="13"/>
        <v>865</v>
      </c>
      <c r="B889" s="49">
        <v>5</v>
      </c>
      <c r="C889" s="49">
        <v>1</v>
      </c>
      <c r="D889" s="49">
        <v>4</v>
      </c>
      <c r="E889" s="166">
        <v>2022</v>
      </c>
      <c r="F889" s="49">
        <v>2032</v>
      </c>
      <c r="G889" s="49">
        <v>7</v>
      </c>
      <c r="H889" s="49">
        <v>0</v>
      </c>
      <c r="I889" s="49">
        <v>0</v>
      </c>
      <c r="J889" s="49">
        <v>0</v>
      </c>
      <c r="K889" s="49">
        <v>0</v>
      </c>
      <c r="L889" s="167">
        <v>0.81</v>
      </c>
      <c r="M889" s="168">
        <v>3075</v>
      </c>
      <c r="N889" s="168">
        <v>1975</v>
      </c>
      <c r="O889" s="51">
        <v>600</v>
      </c>
      <c r="P889" s="51">
        <v>0</v>
      </c>
      <c r="Q889" s="51">
        <v>0</v>
      </c>
      <c r="R889" s="51">
        <v>0</v>
      </c>
      <c r="S889" s="171">
        <v>0</v>
      </c>
      <c r="T889" s="171">
        <v>0</v>
      </c>
      <c r="U889" s="49" t="s">
        <v>226</v>
      </c>
      <c r="V889" s="49">
        <v>2015</v>
      </c>
      <c r="W889" s="49">
        <v>1</v>
      </c>
      <c r="X889" s="49">
        <v>0</v>
      </c>
      <c r="Y889" s="49">
        <v>-1.6199999999999999E-2</v>
      </c>
      <c r="Z889" s="49">
        <v>-5.3999999999999999E-2</v>
      </c>
      <c r="AA889" s="49">
        <v>0</v>
      </c>
      <c r="AB889" s="49">
        <v>0</v>
      </c>
      <c r="AC889" s="49" t="s">
        <v>355</v>
      </c>
      <c r="AD889" s="158"/>
    </row>
    <row r="890" spans="1:30" s="157" customFormat="1" hidden="1" x14ac:dyDescent="0.2">
      <c r="A890" s="153">
        <f t="shared" si="13"/>
        <v>866</v>
      </c>
      <c r="B890" s="49">
        <v>5</v>
      </c>
      <c r="C890" s="49">
        <v>1</v>
      </c>
      <c r="D890" s="49">
        <v>4</v>
      </c>
      <c r="E890" s="166">
        <v>2022</v>
      </c>
      <c r="F890" s="49">
        <v>2032</v>
      </c>
      <c r="G890" s="49">
        <v>8</v>
      </c>
      <c r="H890" s="49">
        <v>0</v>
      </c>
      <c r="I890" s="49">
        <v>0</v>
      </c>
      <c r="J890" s="49">
        <v>0</v>
      </c>
      <c r="K890" s="49">
        <v>0</v>
      </c>
      <c r="L890" s="167">
        <v>0.81</v>
      </c>
      <c r="M890" s="168">
        <v>3075</v>
      </c>
      <c r="N890" s="168">
        <v>1975</v>
      </c>
      <c r="O890" s="51">
        <v>600</v>
      </c>
      <c r="P890" s="51">
        <v>0</v>
      </c>
      <c r="Q890" s="51">
        <v>54</v>
      </c>
      <c r="R890" s="51">
        <v>35</v>
      </c>
      <c r="S890" s="171">
        <v>0</v>
      </c>
      <c r="T890" s="171">
        <v>0</v>
      </c>
      <c r="U890" s="49" t="s">
        <v>226</v>
      </c>
      <c r="V890" s="49">
        <v>2015</v>
      </c>
      <c r="W890" s="49">
        <v>1</v>
      </c>
      <c r="X890" s="49">
        <v>0</v>
      </c>
      <c r="Y890" s="49">
        <v>-1.6199999999999999E-2</v>
      </c>
      <c r="Z890" s="49">
        <v>-5.3999999999999999E-2</v>
      </c>
      <c r="AA890" s="49">
        <v>0</v>
      </c>
      <c r="AB890" s="49">
        <v>0</v>
      </c>
      <c r="AC890" s="49" t="s">
        <v>355</v>
      </c>
      <c r="AD890" s="158"/>
    </row>
    <row r="891" spans="1:30" s="157" customFormat="1" hidden="1" x14ac:dyDescent="0.2">
      <c r="A891" s="153">
        <f t="shared" si="13"/>
        <v>867</v>
      </c>
      <c r="B891" s="49">
        <v>5</v>
      </c>
      <c r="C891" s="49">
        <v>1</v>
      </c>
      <c r="D891" s="49">
        <v>4</v>
      </c>
      <c r="E891" s="166">
        <v>2022</v>
      </c>
      <c r="F891" s="49">
        <v>2032</v>
      </c>
      <c r="G891" s="49">
        <v>9</v>
      </c>
      <c r="H891" s="49">
        <v>0</v>
      </c>
      <c r="I891" s="49">
        <v>0</v>
      </c>
      <c r="J891" s="49">
        <v>0</v>
      </c>
      <c r="K891" s="49">
        <v>0</v>
      </c>
      <c r="L891" s="167">
        <v>0.81</v>
      </c>
      <c r="M891" s="168">
        <v>3075</v>
      </c>
      <c r="N891" s="168">
        <v>1975</v>
      </c>
      <c r="O891" s="51">
        <v>600</v>
      </c>
      <c r="P891" s="51">
        <v>0</v>
      </c>
      <c r="Q891" s="51">
        <v>265</v>
      </c>
      <c r="R891" s="51">
        <v>170</v>
      </c>
      <c r="S891" s="171">
        <v>0</v>
      </c>
      <c r="T891" s="171">
        <v>0</v>
      </c>
      <c r="U891" s="49" t="s">
        <v>226</v>
      </c>
      <c r="V891" s="49">
        <v>2015</v>
      </c>
      <c r="W891" s="49">
        <v>1</v>
      </c>
      <c r="X891" s="49">
        <v>0</v>
      </c>
      <c r="Y891" s="49">
        <v>-1.6199999999999999E-2</v>
      </c>
      <c r="Z891" s="49">
        <v>-5.3999999999999999E-2</v>
      </c>
      <c r="AA891" s="49">
        <v>0</v>
      </c>
      <c r="AB891" s="49">
        <v>0</v>
      </c>
      <c r="AC891" s="49" t="s">
        <v>355</v>
      </c>
      <c r="AD891" s="158"/>
    </row>
    <row r="892" spans="1:30" s="139" customFormat="1" hidden="1" x14ac:dyDescent="0.2">
      <c r="A892" s="153">
        <f t="shared" si="13"/>
        <v>868</v>
      </c>
      <c r="B892" s="33">
        <v>5</v>
      </c>
      <c r="C892" s="33">
        <v>1</v>
      </c>
      <c r="D892" s="33">
        <v>4</v>
      </c>
      <c r="E892" s="143">
        <v>2033</v>
      </c>
      <c r="F892" s="33">
        <v>2050</v>
      </c>
      <c r="G892" s="33">
        <v>1</v>
      </c>
      <c r="H892" s="33">
        <v>0</v>
      </c>
      <c r="I892" s="33">
        <v>0</v>
      </c>
      <c r="J892" s="33">
        <v>0</v>
      </c>
      <c r="K892" s="33">
        <v>0</v>
      </c>
      <c r="L892" s="101">
        <v>0.81</v>
      </c>
      <c r="M892" s="108">
        <v>3075</v>
      </c>
      <c r="N892" s="108">
        <v>1975</v>
      </c>
      <c r="O892" s="142">
        <v>0</v>
      </c>
      <c r="P892" s="142">
        <v>0</v>
      </c>
      <c r="Q892" s="160">
        <v>537</v>
      </c>
      <c r="R892" s="160">
        <v>345</v>
      </c>
      <c r="S892" s="116">
        <v>0</v>
      </c>
      <c r="T892" s="116">
        <v>0</v>
      </c>
      <c r="U892" s="33" t="s">
        <v>226</v>
      </c>
      <c r="V892" s="33">
        <v>2015</v>
      </c>
      <c r="W892" s="33">
        <v>1</v>
      </c>
      <c r="X892" s="33">
        <v>0</v>
      </c>
      <c r="Y892" s="33">
        <v>-1.6199999999999999E-2</v>
      </c>
      <c r="Z892" s="33">
        <v>-5.3999999999999999E-2</v>
      </c>
      <c r="AA892" s="33">
        <v>0</v>
      </c>
      <c r="AB892" s="33">
        <v>0</v>
      </c>
      <c r="AC892" s="33" t="s">
        <v>355</v>
      </c>
      <c r="AD892" s="158"/>
    </row>
    <row r="893" spans="1:30" s="139" customFormat="1" hidden="1" x14ac:dyDescent="0.2">
      <c r="A893" s="153">
        <f t="shared" si="13"/>
        <v>869</v>
      </c>
      <c r="B893" s="33">
        <v>5</v>
      </c>
      <c r="C893" s="33">
        <v>1</v>
      </c>
      <c r="D893" s="33">
        <v>4</v>
      </c>
      <c r="E893" s="143">
        <v>2033</v>
      </c>
      <c r="F893" s="33">
        <v>2050</v>
      </c>
      <c r="G893" s="33">
        <v>2</v>
      </c>
      <c r="H893" s="33">
        <v>0</v>
      </c>
      <c r="I893" s="33">
        <v>0</v>
      </c>
      <c r="J893" s="33">
        <v>0</v>
      </c>
      <c r="K893" s="33">
        <v>0</v>
      </c>
      <c r="L893" s="101">
        <v>0.81</v>
      </c>
      <c r="M893" s="108">
        <v>3075</v>
      </c>
      <c r="N893" s="108">
        <v>1975</v>
      </c>
      <c r="O893" s="142">
        <v>0</v>
      </c>
      <c r="P893" s="142">
        <v>0</v>
      </c>
      <c r="Q893" s="160">
        <v>303</v>
      </c>
      <c r="R893" s="160">
        <v>194</v>
      </c>
      <c r="S893" s="116">
        <v>0</v>
      </c>
      <c r="T893" s="116">
        <v>0</v>
      </c>
      <c r="U893" s="33" t="s">
        <v>226</v>
      </c>
      <c r="V893" s="33">
        <v>2015</v>
      </c>
      <c r="W893" s="33">
        <v>1</v>
      </c>
      <c r="X893" s="33">
        <v>0</v>
      </c>
      <c r="Y893" s="33">
        <v>-1.6199999999999999E-2</v>
      </c>
      <c r="Z893" s="33">
        <v>-5.3999999999999999E-2</v>
      </c>
      <c r="AA893" s="33">
        <v>0</v>
      </c>
      <c r="AB893" s="33">
        <v>0</v>
      </c>
      <c r="AC893" s="33" t="s">
        <v>355</v>
      </c>
      <c r="AD893" s="158"/>
    </row>
    <row r="894" spans="1:30" s="139" customFormat="1" x14ac:dyDescent="0.2">
      <c r="A894" s="153">
        <f t="shared" si="13"/>
        <v>870</v>
      </c>
      <c r="B894" s="33">
        <v>5</v>
      </c>
      <c r="C894" s="33">
        <v>1</v>
      </c>
      <c r="D894" s="33">
        <v>4</v>
      </c>
      <c r="E894" s="143">
        <v>2033</v>
      </c>
      <c r="F894" s="33">
        <v>2050</v>
      </c>
      <c r="G894" s="33">
        <v>3</v>
      </c>
      <c r="H894" s="33">
        <v>0</v>
      </c>
      <c r="I894" s="33">
        <v>0</v>
      </c>
      <c r="J894" s="33">
        <v>0</v>
      </c>
      <c r="K894" s="33">
        <v>0</v>
      </c>
      <c r="L894" s="101">
        <v>0.81</v>
      </c>
      <c r="M894" s="108">
        <v>3075</v>
      </c>
      <c r="N894" s="108">
        <v>1975</v>
      </c>
      <c r="O894" s="142">
        <v>0</v>
      </c>
      <c r="P894" s="142">
        <v>0</v>
      </c>
      <c r="Q894" s="160">
        <v>64</v>
      </c>
      <c r="R894" s="160">
        <v>41</v>
      </c>
      <c r="S894" s="116">
        <v>0</v>
      </c>
      <c r="T894" s="116">
        <v>0</v>
      </c>
      <c r="U894" s="33" t="s">
        <v>226</v>
      </c>
      <c r="V894" s="33">
        <v>2015</v>
      </c>
      <c r="W894" s="33">
        <v>1</v>
      </c>
      <c r="X894" s="33">
        <v>0</v>
      </c>
      <c r="Y894" s="33">
        <v>-1.6199999999999999E-2</v>
      </c>
      <c r="Z894" s="33">
        <v>-5.3999999999999999E-2</v>
      </c>
      <c r="AA894" s="33">
        <v>0</v>
      </c>
      <c r="AB894" s="33">
        <v>0</v>
      </c>
      <c r="AC894" s="33" t="s">
        <v>355</v>
      </c>
      <c r="AD894" s="158"/>
    </row>
    <row r="895" spans="1:30" s="139" customFormat="1" hidden="1" x14ac:dyDescent="0.2">
      <c r="A895" s="153">
        <f t="shared" si="13"/>
        <v>871</v>
      </c>
      <c r="B895" s="33">
        <v>5</v>
      </c>
      <c r="C895" s="33">
        <v>1</v>
      </c>
      <c r="D895" s="33">
        <v>4</v>
      </c>
      <c r="E895" s="143">
        <v>2033</v>
      </c>
      <c r="F895" s="33">
        <v>2050</v>
      </c>
      <c r="G895" s="33">
        <v>4</v>
      </c>
      <c r="H895" s="33">
        <v>0</v>
      </c>
      <c r="I895" s="33">
        <v>0</v>
      </c>
      <c r="J895" s="33">
        <v>0</v>
      </c>
      <c r="K895" s="33">
        <v>0</v>
      </c>
      <c r="L895" s="101">
        <v>0.81</v>
      </c>
      <c r="M895" s="108">
        <v>3075</v>
      </c>
      <c r="N895" s="108">
        <v>1975</v>
      </c>
      <c r="O895" s="142">
        <v>0</v>
      </c>
      <c r="P895" s="142">
        <v>0</v>
      </c>
      <c r="Q895" s="160">
        <v>67</v>
      </c>
      <c r="R895" s="160">
        <v>43</v>
      </c>
      <c r="S895" s="116">
        <v>0</v>
      </c>
      <c r="T895" s="116">
        <v>0</v>
      </c>
      <c r="U895" s="33" t="s">
        <v>226</v>
      </c>
      <c r="V895" s="33">
        <v>2015</v>
      </c>
      <c r="W895" s="33">
        <v>1</v>
      </c>
      <c r="X895" s="33">
        <v>0</v>
      </c>
      <c r="Y895" s="33">
        <v>-1.6199999999999999E-2</v>
      </c>
      <c r="Z895" s="33">
        <v>-5.3999999999999999E-2</v>
      </c>
      <c r="AA895" s="33">
        <v>0</v>
      </c>
      <c r="AB895" s="33">
        <v>0</v>
      </c>
      <c r="AC895" s="33" t="s">
        <v>355</v>
      </c>
      <c r="AD895" s="158"/>
    </row>
    <row r="896" spans="1:30" s="139" customFormat="1" hidden="1" x14ac:dyDescent="0.2">
      <c r="A896" s="153">
        <f t="shared" si="13"/>
        <v>872</v>
      </c>
      <c r="B896" s="33">
        <v>5</v>
      </c>
      <c r="C896" s="33">
        <v>1</v>
      </c>
      <c r="D896" s="33">
        <v>4</v>
      </c>
      <c r="E896" s="143">
        <v>2033</v>
      </c>
      <c r="F896" s="33">
        <v>2050</v>
      </c>
      <c r="G896" s="33">
        <v>5</v>
      </c>
      <c r="H896" s="33">
        <v>0</v>
      </c>
      <c r="I896" s="33">
        <v>0</v>
      </c>
      <c r="J896" s="33">
        <v>0</v>
      </c>
      <c r="K896" s="33">
        <v>0</v>
      </c>
      <c r="L896" s="101">
        <v>0.81</v>
      </c>
      <c r="M896" s="108">
        <v>3075</v>
      </c>
      <c r="N896" s="108">
        <v>1975</v>
      </c>
      <c r="O896" s="142">
        <v>0</v>
      </c>
      <c r="P896" s="142">
        <v>0</v>
      </c>
      <c r="Q896" s="160">
        <v>192</v>
      </c>
      <c r="R896" s="160">
        <v>123</v>
      </c>
      <c r="S896" s="116">
        <v>0</v>
      </c>
      <c r="T896" s="116">
        <v>0</v>
      </c>
      <c r="U896" s="33" t="s">
        <v>226</v>
      </c>
      <c r="V896" s="33">
        <v>2015</v>
      </c>
      <c r="W896" s="33">
        <v>1</v>
      </c>
      <c r="X896" s="33">
        <v>0</v>
      </c>
      <c r="Y896" s="33">
        <v>-1.6199999999999999E-2</v>
      </c>
      <c r="Z896" s="33">
        <v>-5.3999999999999999E-2</v>
      </c>
      <c r="AA896" s="33">
        <v>0</v>
      </c>
      <c r="AB896" s="33">
        <v>0</v>
      </c>
      <c r="AC896" s="33" t="s">
        <v>355</v>
      </c>
      <c r="AD896" s="158"/>
    </row>
    <row r="897" spans="1:31" s="139" customFormat="1" hidden="1" x14ac:dyDescent="0.2">
      <c r="A897" s="153">
        <f t="shared" si="13"/>
        <v>873</v>
      </c>
      <c r="B897" s="33">
        <v>5</v>
      </c>
      <c r="C897" s="33">
        <v>1</v>
      </c>
      <c r="D897" s="33">
        <v>4</v>
      </c>
      <c r="E897" s="143">
        <v>2033</v>
      </c>
      <c r="F897" s="33">
        <v>2050</v>
      </c>
      <c r="G897" s="33">
        <v>6</v>
      </c>
      <c r="H897" s="33">
        <v>0</v>
      </c>
      <c r="I897" s="33">
        <v>0</v>
      </c>
      <c r="J897" s="33">
        <v>0</v>
      </c>
      <c r="K897" s="33">
        <v>0</v>
      </c>
      <c r="L897" s="101">
        <v>0.81</v>
      </c>
      <c r="M897" s="108">
        <v>3075</v>
      </c>
      <c r="N897" s="108">
        <v>1975</v>
      </c>
      <c r="O897" s="142">
        <v>0</v>
      </c>
      <c r="P897" s="142">
        <v>0</v>
      </c>
      <c r="Q897" s="160">
        <v>22</v>
      </c>
      <c r="R897" s="160">
        <v>14</v>
      </c>
      <c r="S897" s="116">
        <v>0</v>
      </c>
      <c r="T897" s="116">
        <v>0</v>
      </c>
      <c r="U897" s="33" t="s">
        <v>226</v>
      </c>
      <c r="V897" s="33">
        <v>2015</v>
      </c>
      <c r="W897" s="33">
        <v>1</v>
      </c>
      <c r="X897" s="33">
        <v>0</v>
      </c>
      <c r="Y897" s="33">
        <v>-1.6199999999999999E-2</v>
      </c>
      <c r="Z897" s="33">
        <v>-5.3999999999999999E-2</v>
      </c>
      <c r="AA897" s="33">
        <v>0</v>
      </c>
      <c r="AB897" s="33">
        <v>0</v>
      </c>
      <c r="AC897" s="33" t="s">
        <v>355</v>
      </c>
      <c r="AD897" s="158"/>
    </row>
    <row r="898" spans="1:31" s="139" customFormat="1" hidden="1" x14ac:dyDescent="0.2">
      <c r="A898" s="153">
        <f t="shared" si="13"/>
        <v>874</v>
      </c>
      <c r="B898" s="33">
        <v>5</v>
      </c>
      <c r="C898" s="33">
        <v>1</v>
      </c>
      <c r="D898" s="33">
        <v>4</v>
      </c>
      <c r="E898" s="143">
        <v>2033</v>
      </c>
      <c r="F898" s="33">
        <v>2050</v>
      </c>
      <c r="G898" s="33">
        <v>7</v>
      </c>
      <c r="H898" s="33">
        <v>0</v>
      </c>
      <c r="I898" s="33">
        <v>0</v>
      </c>
      <c r="J898" s="33">
        <v>0</v>
      </c>
      <c r="K898" s="33">
        <v>0</v>
      </c>
      <c r="L898" s="101">
        <v>0.81</v>
      </c>
      <c r="M898" s="108">
        <v>3075</v>
      </c>
      <c r="N898" s="108">
        <v>1975</v>
      </c>
      <c r="O898" s="142">
        <v>0</v>
      </c>
      <c r="P898" s="142">
        <v>0</v>
      </c>
      <c r="Q898" s="160">
        <v>0</v>
      </c>
      <c r="R898" s="160">
        <v>0</v>
      </c>
      <c r="S898" s="116">
        <v>0</v>
      </c>
      <c r="T898" s="116">
        <v>0</v>
      </c>
      <c r="U898" s="33" t="s">
        <v>226</v>
      </c>
      <c r="V898" s="33">
        <v>2015</v>
      </c>
      <c r="W898" s="33">
        <v>1</v>
      </c>
      <c r="X898" s="33">
        <v>0</v>
      </c>
      <c r="Y898" s="33">
        <v>-1.6199999999999999E-2</v>
      </c>
      <c r="Z898" s="33">
        <v>-5.3999999999999999E-2</v>
      </c>
      <c r="AA898" s="33">
        <v>0</v>
      </c>
      <c r="AB898" s="33">
        <v>0</v>
      </c>
      <c r="AC898" s="33" t="s">
        <v>355</v>
      </c>
      <c r="AD898" s="158"/>
    </row>
    <row r="899" spans="1:31" s="139" customFormat="1" hidden="1" x14ac:dyDescent="0.2">
      <c r="A899" s="153">
        <f t="shared" si="13"/>
        <v>875</v>
      </c>
      <c r="B899" s="33">
        <v>5</v>
      </c>
      <c r="C899" s="33">
        <v>1</v>
      </c>
      <c r="D899" s="33">
        <v>4</v>
      </c>
      <c r="E899" s="143">
        <v>2033</v>
      </c>
      <c r="F899" s="33">
        <v>2050</v>
      </c>
      <c r="G899" s="33">
        <v>8</v>
      </c>
      <c r="H899" s="33">
        <v>0</v>
      </c>
      <c r="I899" s="33">
        <v>0</v>
      </c>
      <c r="J899" s="33">
        <v>0</v>
      </c>
      <c r="K899" s="33">
        <v>0</v>
      </c>
      <c r="L899" s="101">
        <v>0.81</v>
      </c>
      <c r="M899" s="108">
        <v>3075</v>
      </c>
      <c r="N899" s="108">
        <v>1975</v>
      </c>
      <c r="O899" s="142">
        <v>0</v>
      </c>
      <c r="P899" s="142">
        <v>0</v>
      </c>
      <c r="Q899" s="160">
        <v>54</v>
      </c>
      <c r="R899" s="160">
        <v>35</v>
      </c>
      <c r="S899" s="116">
        <v>0</v>
      </c>
      <c r="T899" s="116">
        <v>0</v>
      </c>
      <c r="U899" s="33" t="s">
        <v>226</v>
      </c>
      <c r="V899" s="33">
        <v>2015</v>
      </c>
      <c r="W899" s="33">
        <v>1</v>
      </c>
      <c r="X899" s="33">
        <v>0</v>
      </c>
      <c r="Y899" s="33">
        <v>-1.6199999999999999E-2</v>
      </c>
      <c r="Z899" s="33">
        <v>-5.3999999999999999E-2</v>
      </c>
      <c r="AA899" s="33">
        <v>0</v>
      </c>
      <c r="AB899" s="33">
        <v>0</v>
      </c>
      <c r="AC899" s="33" t="s">
        <v>355</v>
      </c>
      <c r="AD899" s="158"/>
    </row>
    <row r="900" spans="1:31" s="139" customFormat="1" hidden="1" x14ac:dyDescent="0.2">
      <c r="A900" s="153">
        <f t="shared" si="13"/>
        <v>876</v>
      </c>
      <c r="B900" s="33">
        <v>5</v>
      </c>
      <c r="C900" s="33">
        <v>1</v>
      </c>
      <c r="D900" s="33">
        <v>4</v>
      </c>
      <c r="E900" s="143">
        <v>2033</v>
      </c>
      <c r="F900" s="33">
        <v>2050</v>
      </c>
      <c r="G900" s="33">
        <v>9</v>
      </c>
      <c r="H900" s="33">
        <v>0</v>
      </c>
      <c r="I900" s="33">
        <v>0</v>
      </c>
      <c r="J900" s="33">
        <v>0</v>
      </c>
      <c r="K900" s="33">
        <v>0</v>
      </c>
      <c r="L900" s="101">
        <v>0.81</v>
      </c>
      <c r="M900" s="108">
        <v>3075</v>
      </c>
      <c r="N900" s="108">
        <v>1975</v>
      </c>
      <c r="O900" s="142">
        <v>0</v>
      </c>
      <c r="P900" s="142">
        <v>0</v>
      </c>
      <c r="Q900" s="160">
        <v>265</v>
      </c>
      <c r="R900" s="160">
        <v>170</v>
      </c>
      <c r="S900" s="116">
        <v>0</v>
      </c>
      <c r="T900" s="116">
        <v>0</v>
      </c>
      <c r="U900" s="33" t="s">
        <v>226</v>
      </c>
      <c r="V900" s="33">
        <v>2015</v>
      </c>
      <c r="W900" s="33">
        <v>1</v>
      </c>
      <c r="X900" s="33">
        <v>0</v>
      </c>
      <c r="Y900" s="33">
        <v>-1.6199999999999999E-2</v>
      </c>
      <c r="Z900" s="33">
        <v>-5.3999999999999999E-2</v>
      </c>
      <c r="AA900" s="33">
        <v>0</v>
      </c>
      <c r="AB900" s="33">
        <v>0</v>
      </c>
      <c r="AC900" s="33" t="s">
        <v>355</v>
      </c>
      <c r="AD900" s="158"/>
    </row>
    <row r="901" spans="1:31" s="139" customFormat="1" hidden="1" x14ac:dyDescent="0.2">
      <c r="A901" s="153">
        <f t="shared" si="13"/>
        <v>877</v>
      </c>
      <c r="B901" s="33">
        <v>5</v>
      </c>
      <c r="C901" s="33">
        <v>2</v>
      </c>
      <c r="D901" s="33">
        <v>5</v>
      </c>
      <c r="E901" s="104">
        <v>2016</v>
      </c>
      <c r="F901" s="33">
        <v>2050</v>
      </c>
      <c r="G901" s="33">
        <v>11</v>
      </c>
      <c r="H901" s="33">
        <v>0</v>
      </c>
      <c r="I901" s="33">
        <v>0</v>
      </c>
      <c r="J901" s="33">
        <v>0</v>
      </c>
      <c r="K901" s="33">
        <v>0</v>
      </c>
      <c r="L901" s="101">
        <v>0.91554999999999997</v>
      </c>
      <c r="M901" s="108">
        <v>775</v>
      </c>
      <c r="N901" s="108">
        <v>375</v>
      </c>
      <c r="O901" s="142">
        <v>0</v>
      </c>
      <c r="P901" s="142">
        <v>0</v>
      </c>
      <c r="Q901" s="142">
        <v>0</v>
      </c>
      <c r="R901" s="142">
        <v>0</v>
      </c>
      <c r="S901" s="116">
        <v>0</v>
      </c>
      <c r="T901" s="116">
        <v>0</v>
      </c>
      <c r="U901" s="33" t="s">
        <v>226</v>
      </c>
      <c r="V901" s="33">
        <v>2015</v>
      </c>
      <c r="W901" s="33">
        <v>1</v>
      </c>
      <c r="X901" s="33">
        <v>0</v>
      </c>
      <c r="Y901" s="33">
        <v>-1.6199999999999999E-2</v>
      </c>
      <c r="Z901" s="33">
        <v>-3.2399999999999998E-2</v>
      </c>
      <c r="AA901" s="33">
        <v>0</v>
      </c>
      <c r="AB901" s="33">
        <v>0</v>
      </c>
      <c r="AC901" s="33" t="s">
        <v>214</v>
      </c>
      <c r="AD901" s="158"/>
    </row>
    <row r="902" spans="1:31" s="139" customFormat="1" hidden="1" x14ac:dyDescent="0.2">
      <c r="A902" s="153">
        <f t="shared" si="13"/>
        <v>878</v>
      </c>
      <c r="B902" s="33">
        <v>5</v>
      </c>
      <c r="C902" s="33">
        <v>2</v>
      </c>
      <c r="D902" s="33">
        <v>6</v>
      </c>
      <c r="E902" s="104">
        <v>2016</v>
      </c>
      <c r="F902" s="33">
        <v>2050</v>
      </c>
      <c r="G902" s="33">
        <v>11</v>
      </c>
      <c r="H902" s="33">
        <v>0</v>
      </c>
      <c r="I902" s="33">
        <v>0</v>
      </c>
      <c r="J902" s="33">
        <v>0</v>
      </c>
      <c r="K902" s="33">
        <v>0</v>
      </c>
      <c r="L902" s="101">
        <v>0.93</v>
      </c>
      <c r="M902" s="108">
        <v>850</v>
      </c>
      <c r="N902" s="108">
        <v>425</v>
      </c>
      <c r="O902" s="142">
        <v>0</v>
      </c>
      <c r="P902" s="142">
        <v>0</v>
      </c>
      <c r="Q902" s="142">
        <v>0</v>
      </c>
      <c r="R902" s="142">
        <v>0</v>
      </c>
      <c r="S902" s="116">
        <v>0</v>
      </c>
      <c r="T902" s="116">
        <v>0</v>
      </c>
      <c r="U902" s="33" t="s">
        <v>226</v>
      </c>
      <c r="V902" s="33">
        <v>2015</v>
      </c>
      <c r="W902" s="33">
        <v>1</v>
      </c>
      <c r="X902" s="33">
        <v>0</v>
      </c>
      <c r="Y902" s="33">
        <v>-1.6199999999999999E-2</v>
      </c>
      <c r="Z902" s="33">
        <v>-3.2399999999999998E-2</v>
      </c>
      <c r="AA902" s="33">
        <v>0</v>
      </c>
      <c r="AB902" s="33">
        <v>0</v>
      </c>
      <c r="AC902" s="33" t="s">
        <v>215</v>
      </c>
      <c r="AD902" s="158"/>
    </row>
    <row r="903" spans="1:31" s="139" customFormat="1" hidden="1" x14ac:dyDescent="0.2">
      <c r="A903" s="153">
        <f t="shared" si="13"/>
        <v>879</v>
      </c>
      <c r="B903" s="33">
        <v>5</v>
      </c>
      <c r="C903" s="33">
        <v>2</v>
      </c>
      <c r="D903" s="33">
        <v>7</v>
      </c>
      <c r="E903" s="104">
        <v>2016</v>
      </c>
      <c r="F903" s="33">
        <v>2050</v>
      </c>
      <c r="G903" s="33">
        <v>11</v>
      </c>
      <c r="H903" s="33">
        <v>0</v>
      </c>
      <c r="I903" s="33">
        <v>0</v>
      </c>
      <c r="J903" s="33">
        <v>0</v>
      </c>
      <c r="K903" s="33">
        <v>0</v>
      </c>
      <c r="L903" s="101">
        <v>0.95</v>
      </c>
      <c r="M903" s="108">
        <v>1225</v>
      </c>
      <c r="N903" s="108">
        <v>800</v>
      </c>
      <c r="O903" s="142">
        <v>0</v>
      </c>
      <c r="P903" s="142">
        <v>0</v>
      </c>
      <c r="Q903" s="142">
        <v>0</v>
      </c>
      <c r="R903" s="142">
        <v>0</v>
      </c>
      <c r="S903" s="116">
        <v>0</v>
      </c>
      <c r="T903" s="116">
        <v>0</v>
      </c>
      <c r="U903" s="33" t="s">
        <v>226</v>
      </c>
      <c r="V903" s="33">
        <v>2015</v>
      </c>
      <c r="W903" s="33">
        <v>1</v>
      </c>
      <c r="X903" s="33">
        <v>0</v>
      </c>
      <c r="Y903" s="33">
        <v>-1.6199999999999999E-2</v>
      </c>
      <c r="Z903" s="33">
        <v>-3.2399999999999998E-2</v>
      </c>
      <c r="AA903" s="33">
        <v>0</v>
      </c>
      <c r="AB903" s="33">
        <v>0</v>
      </c>
      <c r="AC903" s="33" t="s">
        <v>216</v>
      </c>
      <c r="AD903" s="158"/>
    </row>
    <row r="904" spans="1:31" customFormat="1" hidden="1" x14ac:dyDescent="0.2">
      <c r="A904" s="153">
        <f t="shared" si="13"/>
        <v>880</v>
      </c>
      <c r="B904" s="33">
        <v>5</v>
      </c>
      <c r="C904" s="33">
        <v>2</v>
      </c>
      <c r="D904" s="33">
        <v>8</v>
      </c>
      <c r="E904" s="104">
        <v>2016</v>
      </c>
      <c r="F904" s="159">
        <v>2032</v>
      </c>
      <c r="G904" s="33">
        <v>11</v>
      </c>
      <c r="H904" s="33">
        <v>0</v>
      </c>
      <c r="I904" s="33">
        <v>0</v>
      </c>
      <c r="J904" s="33">
        <v>0</v>
      </c>
      <c r="K904" s="33">
        <v>0</v>
      </c>
      <c r="L904" s="101">
        <v>3.28</v>
      </c>
      <c r="M904" s="108">
        <v>2075</v>
      </c>
      <c r="N904" s="108">
        <v>1350</v>
      </c>
      <c r="O904" s="142">
        <v>300</v>
      </c>
      <c r="P904" s="142">
        <v>0</v>
      </c>
      <c r="Q904" s="142">
        <v>0</v>
      </c>
      <c r="R904" s="142">
        <v>0</v>
      </c>
      <c r="S904" s="116">
        <v>0</v>
      </c>
      <c r="T904" s="116">
        <v>0</v>
      </c>
      <c r="U904" s="33" t="s">
        <v>226</v>
      </c>
      <c r="V904" s="33">
        <v>2015</v>
      </c>
      <c r="W904" s="33">
        <v>1</v>
      </c>
      <c r="X904" s="33">
        <v>0</v>
      </c>
      <c r="Y904" s="33">
        <v>-2.2700000000000001E-2</v>
      </c>
      <c r="Z904" s="33">
        <v>-3.2399999999999998E-2</v>
      </c>
      <c r="AA904" s="33">
        <v>0</v>
      </c>
      <c r="AB904" s="33">
        <v>0</v>
      </c>
      <c r="AC904" s="33" t="s">
        <v>458</v>
      </c>
      <c r="AD904" s="158" t="s">
        <v>365</v>
      </c>
      <c r="AE904" s="157"/>
    </row>
    <row r="905" spans="1:31" customFormat="1" hidden="1" x14ac:dyDescent="0.2">
      <c r="A905" s="153">
        <f t="shared" si="13"/>
        <v>881</v>
      </c>
      <c r="B905" s="33">
        <v>5</v>
      </c>
      <c r="C905" s="33">
        <v>2</v>
      </c>
      <c r="D905" s="33">
        <v>8</v>
      </c>
      <c r="E905" s="143">
        <v>2033</v>
      </c>
      <c r="F905" s="33">
        <v>2050</v>
      </c>
      <c r="G905" s="33">
        <v>11</v>
      </c>
      <c r="H905" s="33">
        <v>0</v>
      </c>
      <c r="I905" s="33">
        <v>0</v>
      </c>
      <c r="J905" s="33">
        <v>0</v>
      </c>
      <c r="K905" s="33">
        <v>0</v>
      </c>
      <c r="L905" s="101">
        <v>3.28</v>
      </c>
      <c r="M905" s="108">
        <v>2075</v>
      </c>
      <c r="N905" s="108">
        <v>1350</v>
      </c>
      <c r="O905" s="142">
        <v>0</v>
      </c>
      <c r="P905" s="142">
        <v>0</v>
      </c>
      <c r="Q905" s="160">
        <v>0</v>
      </c>
      <c r="R905" s="160">
        <v>0</v>
      </c>
      <c r="S905" s="116">
        <v>0</v>
      </c>
      <c r="T905" s="116">
        <v>0</v>
      </c>
      <c r="U905" s="33" t="s">
        <v>226</v>
      </c>
      <c r="V905" s="33">
        <v>2015</v>
      </c>
      <c r="W905" s="33">
        <v>1</v>
      </c>
      <c r="X905" s="33">
        <v>0</v>
      </c>
      <c r="Y905" s="33">
        <v>-2.2700000000000001E-2</v>
      </c>
      <c r="Z905" s="33">
        <v>-3.2399999999999998E-2</v>
      </c>
      <c r="AA905" s="33">
        <v>0</v>
      </c>
      <c r="AB905" s="33">
        <v>0</v>
      </c>
      <c r="AC905" s="33" t="s">
        <v>458</v>
      </c>
      <c r="AD905" s="158" t="s">
        <v>365</v>
      </c>
      <c r="AE905" s="157"/>
    </row>
    <row r="906" spans="1:31" customFormat="1" hidden="1" x14ac:dyDescent="0.2">
      <c r="A906" s="153">
        <f t="shared" si="13"/>
        <v>882</v>
      </c>
      <c r="B906" s="33">
        <v>5</v>
      </c>
      <c r="C906" s="33">
        <v>2</v>
      </c>
      <c r="D906" s="33">
        <v>9</v>
      </c>
      <c r="E906" s="104">
        <v>2016</v>
      </c>
      <c r="F906" s="33">
        <v>2021</v>
      </c>
      <c r="G906" s="33">
        <v>1</v>
      </c>
      <c r="H906" s="33">
        <v>0</v>
      </c>
      <c r="I906" s="33">
        <v>0</v>
      </c>
      <c r="J906" s="33">
        <v>0</v>
      </c>
      <c r="K906" s="33">
        <v>0</v>
      </c>
      <c r="L906" s="101">
        <v>2</v>
      </c>
      <c r="M906" s="108">
        <v>1900</v>
      </c>
      <c r="N906" s="108">
        <v>1200</v>
      </c>
      <c r="O906" s="142">
        <v>300</v>
      </c>
      <c r="P906" s="142">
        <v>0</v>
      </c>
      <c r="Q906" s="160">
        <v>588</v>
      </c>
      <c r="R906" s="160">
        <v>371</v>
      </c>
      <c r="S906" s="116">
        <v>0</v>
      </c>
      <c r="T906" s="116">
        <v>0</v>
      </c>
      <c r="U906" s="33" t="s">
        <v>226</v>
      </c>
      <c r="V906" s="33">
        <v>2015</v>
      </c>
      <c r="W906" s="33">
        <v>1</v>
      </c>
      <c r="X906" s="33">
        <v>0</v>
      </c>
      <c r="Y906" s="33">
        <v>-2.2700000000000001E-2</v>
      </c>
      <c r="Z906" s="33">
        <v>-3.2399999999999998E-2</v>
      </c>
      <c r="AA906" s="33">
        <v>0</v>
      </c>
      <c r="AB906" s="33">
        <v>0</v>
      </c>
      <c r="AC906" s="33" t="s">
        <v>459</v>
      </c>
      <c r="AD906" s="158" t="s">
        <v>366</v>
      </c>
      <c r="AE906" s="157"/>
    </row>
    <row r="907" spans="1:31" customFormat="1" hidden="1" x14ac:dyDescent="0.2">
      <c r="A907" s="153">
        <f t="shared" si="13"/>
        <v>883</v>
      </c>
      <c r="B907" s="33">
        <v>5</v>
      </c>
      <c r="C907" s="33">
        <v>2</v>
      </c>
      <c r="D907" s="33">
        <v>9</v>
      </c>
      <c r="E907" s="104">
        <v>2016</v>
      </c>
      <c r="F907" s="33">
        <v>2021</v>
      </c>
      <c r="G907" s="33">
        <v>2</v>
      </c>
      <c r="H907" s="33">
        <v>0</v>
      </c>
      <c r="I907" s="33">
        <v>0</v>
      </c>
      <c r="J907" s="33">
        <v>0</v>
      </c>
      <c r="K907" s="33">
        <v>0</v>
      </c>
      <c r="L907" s="101">
        <v>2</v>
      </c>
      <c r="M907" s="108">
        <v>1900</v>
      </c>
      <c r="N907" s="108">
        <v>1200</v>
      </c>
      <c r="O907" s="142">
        <v>300</v>
      </c>
      <c r="P907" s="142">
        <v>0</v>
      </c>
      <c r="Q907" s="160">
        <v>572</v>
      </c>
      <c r="R907" s="160">
        <v>362</v>
      </c>
      <c r="S907" s="116">
        <v>0</v>
      </c>
      <c r="T907" s="116">
        <v>0</v>
      </c>
      <c r="U907" s="33" t="s">
        <v>226</v>
      </c>
      <c r="V907" s="33">
        <v>2015</v>
      </c>
      <c r="W907" s="33">
        <v>1</v>
      </c>
      <c r="X907" s="33">
        <v>0</v>
      </c>
      <c r="Y907" s="33">
        <v>-2.2700000000000001E-2</v>
      </c>
      <c r="Z907" s="33">
        <v>-3.2399999999999998E-2</v>
      </c>
      <c r="AA907" s="33">
        <v>0</v>
      </c>
      <c r="AB907" s="33">
        <v>0</v>
      </c>
      <c r="AC907" s="33" t="s">
        <v>459</v>
      </c>
      <c r="AD907" s="158" t="s">
        <v>366</v>
      </c>
      <c r="AE907" s="157"/>
    </row>
    <row r="908" spans="1:31" customFormat="1" x14ac:dyDescent="0.2">
      <c r="A908" s="153">
        <f t="shared" si="13"/>
        <v>884</v>
      </c>
      <c r="B908" s="33">
        <v>5</v>
      </c>
      <c r="C908" s="33">
        <v>2</v>
      </c>
      <c r="D908" s="33">
        <v>9</v>
      </c>
      <c r="E908" s="104">
        <v>2016</v>
      </c>
      <c r="F908" s="33">
        <v>2021</v>
      </c>
      <c r="G908" s="33">
        <v>3</v>
      </c>
      <c r="H908" s="33">
        <v>0</v>
      </c>
      <c r="I908" s="33">
        <v>0</v>
      </c>
      <c r="J908" s="33">
        <v>0</v>
      </c>
      <c r="K908" s="33">
        <v>0</v>
      </c>
      <c r="L908" s="101">
        <v>2</v>
      </c>
      <c r="M908" s="108">
        <v>1900</v>
      </c>
      <c r="N908" s="108">
        <v>1200</v>
      </c>
      <c r="O908" s="142">
        <v>300</v>
      </c>
      <c r="P908" s="142">
        <v>0</v>
      </c>
      <c r="Q908" s="160">
        <v>203</v>
      </c>
      <c r="R908" s="160">
        <v>128</v>
      </c>
      <c r="S908" s="116">
        <v>0</v>
      </c>
      <c r="T908" s="116">
        <v>0</v>
      </c>
      <c r="U908" s="33" t="s">
        <v>226</v>
      </c>
      <c r="V908" s="33">
        <v>2015</v>
      </c>
      <c r="W908" s="33">
        <v>1</v>
      </c>
      <c r="X908" s="33">
        <v>0</v>
      </c>
      <c r="Y908" s="33">
        <v>-2.2700000000000001E-2</v>
      </c>
      <c r="Z908" s="33">
        <v>-3.2399999999999998E-2</v>
      </c>
      <c r="AA908" s="33">
        <v>0</v>
      </c>
      <c r="AB908" s="33">
        <v>0</v>
      </c>
      <c r="AC908" s="33" t="s">
        <v>459</v>
      </c>
      <c r="AD908" s="158" t="s">
        <v>366</v>
      </c>
      <c r="AE908" s="157"/>
    </row>
    <row r="909" spans="1:31" customFormat="1" hidden="1" x14ac:dyDescent="0.2">
      <c r="A909" s="153">
        <f t="shared" si="13"/>
        <v>885</v>
      </c>
      <c r="B909" s="33">
        <v>5</v>
      </c>
      <c r="C909" s="33">
        <v>2</v>
      </c>
      <c r="D909" s="33">
        <v>9</v>
      </c>
      <c r="E909" s="104">
        <v>2016</v>
      </c>
      <c r="F909" s="33">
        <v>2021</v>
      </c>
      <c r="G909" s="33">
        <v>4</v>
      </c>
      <c r="H909" s="33">
        <v>0</v>
      </c>
      <c r="I909" s="33">
        <v>0</v>
      </c>
      <c r="J909" s="33">
        <v>0</v>
      </c>
      <c r="K909" s="33">
        <v>0</v>
      </c>
      <c r="L909" s="101">
        <v>2</v>
      </c>
      <c r="M909" s="108">
        <v>1900</v>
      </c>
      <c r="N909" s="108">
        <v>1200</v>
      </c>
      <c r="O909" s="142">
        <v>300</v>
      </c>
      <c r="P909" s="142">
        <v>0</v>
      </c>
      <c r="Q909" s="160">
        <v>173</v>
      </c>
      <c r="R909" s="160">
        <v>109</v>
      </c>
      <c r="S909" s="116">
        <v>0</v>
      </c>
      <c r="T909" s="116">
        <v>0</v>
      </c>
      <c r="U909" s="33" t="s">
        <v>226</v>
      </c>
      <c r="V909" s="33">
        <v>2015</v>
      </c>
      <c r="W909" s="33">
        <v>1</v>
      </c>
      <c r="X909" s="33">
        <v>0</v>
      </c>
      <c r="Y909" s="33">
        <v>-2.2700000000000001E-2</v>
      </c>
      <c r="Z909" s="33">
        <v>-3.2399999999999998E-2</v>
      </c>
      <c r="AA909" s="33">
        <v>0</v>
      </c>
      <c r="AB909" s="33">
        <v>0</v>
      </c>
      <c r="AC909" s="33" t="s">
        <v>459</v>
      </c>
      <c r="AD909" s="158" t="s">
        <v>366</v>
      </c>
      <c r="AE909" s="157"/>
    </row>
    <row r="910" spans="1:31" customFormat="1" hidden="1" x14ac:dyDescent="0.2">
      <c r="A910" s="153">
        <f t="shared" si="13"/>
        <v>886</v>
      </c>
      <c r="B910" s="33">
        <v>5</v>
      </c>
      <c r="C910" s="33">
        <v>2</v>
      </c>
      <c r="D910" s="33">
        <v>9</v>
      </c>
      <c r="E910" s="104">
        <v>2016</v>
      </c>
      <c r="F910" s="33">
        <v>2021</v>
      </c>
      <c r="G910" s="33">
        <v>5</v>
      </c>
      <c r="H910" s="33">
        <v>0</v>
      </c>
      <c r="I910" s="33">
        <v>0</v>
      </c>
      <c r="J910" s="33">
        <v>0</v>
      </c>
      <c r="K910" s="33">
        <v>0</v>
      </c>
      <c r="L910" s="101">
        <v>2</v>
      </c>
      <c r="M910" s="108">
        <v>1900</v>
      </c>
      <c r="N910" s="108">
        <v>1200</v>
      </c>
      <c r="O910" s="142">
        <v>300</v>
      </c>
      <c r="P910" s="142">
        <v>0</v>
      </c>
      <c r="Q910" s="160">
        <v>276</v>
      </c>
      <c r="R910" s="160">
        <v>174</v>
      </c>
      <c r="S910" s="116">
        <v>0</v>
      </c>
      <c r="T910" s="116">
        <v>0</v>
      </c>
      <c r="U910" s="33" t="s">
        <v>226</v>
      </c>
      <c r="V910" s="33">
        <v>2015</v>
      </c>
      <c r="W910" s="33">
        <v>1</v>
      </c>
      <c r="X910" s="33">
        <v>0</v>
      </c>
      <c r="Y910" s="33">
        <v>-2.2700000000000001E-2</v>
      </c>
      <c r="Z910" s="33">
        <v>-3.2399999999999998E-2</v>
      </c>
      <c r="AA910" s="33">
        <v>0</v>
      </c>
      <c r="AB910" s="33">
        <v>0</v>
      </c>
      <c r="AC910" s="33" t="s">
        <v>459</v>
      </c>
      <c r="AD910" s="158" t="s">
        <v>366</v>
      </c>
      <c r="AE910" s="157"/>
    </row>
    <row r="911" spans="1:31" customFormat="1" hidden="1" x14ac:dyDescent="0.2">
      <c r="A911" s="153">
        <f t="shared" si="13"/>
        <v>887</v>
      </c>
      <c r="B911" s="33">
        <v>5</v>
      </c>
      <c r="C911" s="33">
        <v>2</v>
      </c>
      <c r="D911" s="33">
        <v>9</v>
      </c>
      <c r="E911" s="104">
        <v>2016</v>
      </c>
      <c r="F911" s="33">
        <v>2021</v>
      </c>
      <c r="G911" s="33">
        <v>6</v>
      </c>
      <c r="H911" s="33">
        <v>0</v>
      </c>
      <c r="I911" s="33">
        <v>0</v>
      </c>
      <c r="J911" s="33">
        <v>0</v>
      </c>
      <c r="K911" s="33">
        <v>0</v>
      </c>
      <c r="L911" s="101">
        <v>2</v>
      </c>
      <c r="M911" s="108">
        <v>1900</v>
      </c>
      <c r="N911" s="108">
        <v>1200</v>
      </c>
      <c r="O911" s="142">
        <v>300</v>
      </c>
      <c r="P911" s="142">
        <v>0</v>
      </c>
      <c r="Q911" s="160">
        <v>113</v>
      </c>
      <c r="R911" s="160">
        <v>71</v>
      </c>
      <c r="S911" s="116">
        <v>0</v>
      </c>
      <c r="T911" s="116">
        <v>0</v>
      </c>
      <c r="U911" s="33" t="s">
        <v>226</v>
      </c>
      <c r="V911" s="33">
        <v>2015</v>
      </c>
      <c r="W911" s="33">
        <v>1</v>
      </c>
      <c r="X911" s="33">
        <v>0</v>
      </c>
      <c r="Y911" s="33">
        <v>-2.2700000000000001E-2</v>
      </c>
      <c r="Z911" s="33">
        <v>-3.2399999999999998E-2</v>
      </c>
      <c r="AA911" s="33">
        <v>0</v>
      </c>
      <c r="AB911" s="33">
        <v>0</v>
      </c>
      <c r="AC911" s="33" t="s">
        <v>459</v>
      </c>
      <c r="AD911" s="158" t="s">
        <v>366</v>
      </c>
      <c r="AE911" s="157"/>
    </row>
    <row r="912" spans="1:31" customFormat="1" hidden="1" x14ac:dyDescent="0.2">
      <c r="A912" s="153">
        <f t="shared" si="13"/>
        <v>888</v>
      </c>
      <c r="B912" s="33">
        <v>5</v>
      </c>
      <c r="C912" s="33">
        <v>2</v>
      </c>
      <c r="D912" s="33">
        <v>9</v>
      </c>
      <c r="E912" s="104">
        <v>2016</v>
      </c>
      <c r="F912" s="33">
        <v>2021</v>
      </c>
      <c r="G912" s="33">
        <v>7</v>
      </c>
      <c r="H912" s="33">
        <v>0</v>
      </c>
      <c r="I912" s="33">
        <v>0</v>
      </c>
      <c r="J912" s="33">
        <v>0</v>
      </c>
      <c r="K912" s="33">
        <v>0</v>
      </c>
      <c r="L912" s="101">
        <v>2</v>
      </c>
      <c r="M912" s="108">
        <v>1900</v>
      </c>
      <c r="N912" s="108">
        <v>1200</v>
      </c>
      <c r="O912" s="142">
        <v>300</v>
      </c>
      <c r="P912" s="142">
        <v>0</v>
      </c>
      <c r="Q912" s="160">
        <v>460</v>
      </c>
      <c r="R912" s="160">
        <v>291</v>
      </c>
      <c r="S912" s="116">
        <v>0</v>
      </c>
      <c r="T912" s="116">
        <v>0</v>
      </c>
      <c r="U912" s="33" t="s">
        <v>226</v>
      </c>
      <c r="V912" s="33">
        <v>2015</v>
      </c>
      <c r="W912" s="33">
        <v>1</v>
      </c>
      <c r="X912" s="33">
        <v>0</v>
      </c>
      <c r="Y912" s="33">
        <v>-2.2700000000000001E-2</v>
      </c>
      <c r="Z912" s="33">
        <v>-3.2399999999999998E-2</v>
      </c>
      <c r="AA912" s="33">
        <v>0</v>
      </c>
      <c r="AB912" s="33">
        <v>0</v>
      </c>
      <c r="AC912" s="33" t="s">
        <v>459</v>
      </c>
      <c r="AD912" s="158" t="s">
        <v>366</v>
      </c>
      <c r="AE912" s="157"/>
    </row>
    <row r="913" spans="1:31" customFormat="1" hidden="1" x14ac:dyDescent="0.2">
      <c r="A913" s="153">
        <f t="shared" si="13"/>
        <v>889</v>
      </c>
      <c r="B913" s="33">
        <v>5</v>
      </c>
      <c r="C913" s="33">
        <v>2</v>
      </c>
      <c r="D913" s="33">
        <v>9</v>
      </c>
      <c r="E913" s="104">
        <v>2016</v>
      </c>
      <c r="F913" s="33">
        <v>2021</v>
      </c>
      <c r="G913" s="33">
        <v>8</v>
      </c>
      <c r="H913" s="33">
        <v>0</v>
      </c>
      <c r="I913" s="33">
        <v>0</v>
      </c>
      <c r="J913" s="33">
        <v>0</v>
      </c>
      <c r="K913" s="33">
        <v>0</v>
      </c>
      <c r="L913" s="101">
        <v>2</v>
      </c>
      <c r="M913" s="108">
        <v>1900</v>
      </c>
      <c r="N913" s="108">
        <v>1200</v>
      </c>
      <c r="O913" s="142">
        <v>300</v>
      </c>
      <c r="P913" s="142">
        <v>0</v>
      </c>
      <c r="Q913" s="160">
        <v>186</v>
      </c>
      <c r="R913" s="160">
        <v>117</v>
      </c>
      <c r="S913" s="116">
        <v>0</v>
      </c>
      <c r="T913" s="116">
        <v>0</v>
      </c>
      <c r="U913" s="33" t="s">
        <v>226</v>
      </c>
      <c r="V913" s="33">
        <v>2015</v>
      </c>
      <c r="W913" s="33">
        <v>1</v>
      </c>
      <c r="X913" s="33">
        <v>0</v>
      </c>
      <c r="Y913" s="33">
        <v>-2.2700000000000001E-2</v>
      </c>
      <c r="Z913" s="33">
        <v>-3.2399999999999998E-2</v>
      </c>
      <c r="AA913" s="33">
        <v>0</v>
      </c>
      <c r="AB913" s="33">
        <v>0</v>
      </c>
      <c r="AC913" s="33" t="s">
        <v>459</v>
      </c>
      <c r="AD913" s="158" t="s">
        <v>366</v>
      </c>
      <c r="AE913" s="157"/>
    </row>
    <row r="914" spans="1:31" customFormat="1" hidden="1" x14ac:dyDescent="0.2">
      <c r="A914" s="153">
        <f t="shared" si="13"/>
        <v>890</v>
      </c>
      <c r="B914" s="33">
        <v>5</v>
      </c>
      <c r="C914" s="33">
        <v>2</v>
      </c>
      <c r="D914" s="33">
        <v>9</v>
      </c>
      <c r="E914" s="104">
        <v>2016</v>
      </c>
      <c r="F914" s="33">
        <v>2021</v>
      </c>
      <c r="G914" s="33">
        <v>9</v>
      </c>
      <c r="H914" s="33">
        <v>0</v>
      </c>
      <c r="I914" s="33">
        <v>0</v>
      </c>
      <c r="J914" s="33">
        <v>0</v>
      </c>
      <c r="K914" s="33">
        <v>0</v>
      </c>
      <c r="L914" s="101">
        <v>2</v>
      </c>
      <c r="M914" s="108">
        <v>1900</v>
      </c>
      <c r="N914" s="108">
        <v>1200</v>
      </c>
      <c r="O914" s="142">
        <v>300</v>
      </c>
      <c r="P914" s="142">
        <v>0</v>
      </c>
      <c r="Q914" s="160">
        <v>450</v>
      </c>
      <c r="R914" s="160">
        <v>284</v>
      </c>
      <c r="S914" s="116">
        <v>0</v>
      </c>
      <c r="T914" s="116">
        <v>0</v>
      </c>
      <c r="U914" s="33" t="s">
        <v>226</v>
      </c>
      <c r="V914" s="33">
        <v>2015</v>
      </c>
      <c r="W914" s="33">
        <v>1</v>
      </c>
      <c r="X914" s="33">
        <v>0</v>
      </c>
      <c r="Y914" s="33">
        <v>-2.2700000000000001E-2</v>
      </c>
      <c r="Z914" s="33">
        <v>-3.2399999999999998E-2</v>
      </c>
      <c r="AA914" s="33">
        <v>0</v>
      </c>
      <c r="AB914" s="33">
        <v>0</v>
      </c>
      <c r="AC914" s="33" t="s">
        <v>459</v>
      </c>
      <c r="AD914" s="158" t="s">
        <v>366</v>
      </c>
      <c r="AE914" s="157"/>
    </row>
    <row r="915" spans="1:31" customFormat="1" hidden="1" x14ac:dyDescent="0.2">
      <c r="A915" s="153">
        <f t="shared" si="13"/>
        <v>891</v>
      </c>
      <c r="B915" s="33">
        <v>5</v>
      </c>
      <c r="C915" s="33">
        <v>2</v>
      </c>
      <c r="D915" s="33">
        <v>9</v>
      </c>
      <c r="E915" s="143">
        <v>2022</v>
      </c>
      <c r="F915" s="159">
        <v>2032</v>
      </c>
      <c r="G915" s="33">
        <v>1</v>
      </c>
      <c r="H915" s="33">
        <v>0</v>
      </c>
      <c r="I915" s="33">
        <v>0</v>
      </c>
      <c r="J915" s="33">
        <v>0</v>
      </c>
      <c r="K915" s="33">
        <v>0</v>
      </c>
      <c r="L915" s="101">
        <v>3.3</v>
      </c>
      <c r="M915" s="108">
        <v>2300.7042253521126</v>
      </c>
      <c r="N915" s="108">
        <v>1626.7605633802816</v>
      </c>
      <c r="O915" s="160">
        <v>600</v>
      </c>
      <c r="P915" s="142">
        <v>0</v>
      </c>
      <c r="Q915" s="160">
        <v>712</v>
      </c>
      <c r="R915" s="160">
        <v>503</v>
      </c>
      <c r="S915" s="116">
        <v>0</v>
      </c>
      <c r="T915" s="116">
        <v>0</v>
      </c>
      <c r="U915" s="33" t="s">
        <v>226</v>
      </c>
      <c r="V915" s="33">
        <v>2015</v>
      </c>
      <c r="W915" s="33">
        <v>1</v>
      </c>
      <c r="X915" s="33">
        <v>0</v>
      </c>
      <c r="Y915" s="33">
        <v>-2.2700000000000001E-2</v>
      </c>
      <c r="Z915" s="33">
        <v>-3.2399999999999998E-2</v>
      </c>
      <c r="AA915" s="33">
        <v>0</v>
      </c>
      <c r="AB915" s="33">
        <v>0</v>
      </c>
      <c r="AC915" s="33" t="s">
        <v>459</v>
      </c>
      <c r="AD915" s="158" t="s">
        <v>366</v>
      </c>
      <c r="AE915" s="157"/>
    </row>
    <row r="916" spans="1:31" customFormat="1" hidden="1" x14ac:dyDescent="0.2">
      <c r="A916" s="153">
        <f t="shared" si="13"/>
        <v>892</v>
      </c>
      <c r="B916" s="33">
        <v>5</v>
      </c>
      <c r="C916" s="33">
        <v>2</v>
      </c>
      <c r="D916" s="33">
        <v>9</v>
      </c>
      <c r="E916" s="143">
        <v>2022</v>
      </c>
      <c r="F916" s="159">
        <v>2032</v>
      </c>
      <c r="G916" s="33">
        <v>2</v>
      </c>
      <c r="H916" s="33">
        <v>0</v>
      </c>
      <c r="I916" s="33">
        <v>0</v>
      </c>
      <c r="J916" s="33">
        <v>0</v>
      </c>
      <c r="K916" s="33">
        <v>0</v>
      </c>
      <c r="L916" s="101">
        <v>3.3</v>
      </c>
      <c r="M916" s="108">
        <v>2300.7042253521126</v>
      </c>
      <c r="N916" s="108">
        <v>1626.7605633802816</v>
      </c>
      <c r="O916" s="160">
        <v>600</v>
      </c>
      <c r="P916" s="142">
        <v>0</v>
      </c>
      <c r="Q916" s="160">
        <v>693</v>
      </c>
      <c r="R916" s="160">
        <v>490</v>
      </c>
      <c r="S916" s="116">
        <v>0</v>
      </c>
      <c r="T916" s="116">
        <v>0</v>
      </c>
      <c r="U916" s="33" t="s">
        <v>226</v>
      </c>
      <c r="V916" s="33">
        <v>2015</v>
      </c>
      <c r="W916" s="33">
        <v>1</v>
      </c>
      <c r="X916" s="33">
        <v>0</v>
      </c>
      <c r="Y916" s="33">
        <v>-2.2700000000000001E-2</v>
      </c>
      <c r="Z916" s="33">
        <v>-3.2399999999999998E-2</v>
      </c>
      <c r="AA916" s="33">
        <v>0</v>
      </c>
      <c r="AB916" s="33">
        <v>0</v>
      </c>
      <c r="AC916" s="33" t="s">
        <v>459</v>
      </c>
      <c r="AD916" s="158" t="s">
        <v>366</v>
      </c>
      <c r="AE916" s="157"/>
    </row>
    <row r="917" spans="1:31" customFormat="1" x14ac:dyDescent="0.2">
      <c r="A917" s="153">
        <f t="shared" si="13"/>
        <v>893</v>
      </c>
      <c r="B917" s="33">
        <v>5</v>
      </c>
      <c r="C917" s="33">
        <v>2</v>
      </c>
      <c r="D917" s="33">
        <v>9</v>
      </c>
      <c r="E917" s="143">
        <v>2022</v>
      </c>
      <c r="F917" s="159">
        <v>2032</v>
      </c>
      <c r="G917" s="33">
        <v>3</v>
      </c>
      <c r="H917" s="33">
        <v>0</v>
      </c>
      <c r="I917" s="33">
        <v>0</v>
      </c>
      <c r="J917" s="33">
        <v>0</v>
      </c>
      <c r="K917" s="33">
        <v>0</v>
      </c>
      <c r="L917" s="101">
        <v>3.3</v>
      </c>
      <c r="M917" s="108">
        <v>2300.7042253521126</v>
      </c>
      <c r="N917" s="108">
        <v>1626.7605633802816</v>
      </c>
      <c r="O917" s="160">
        <v>600</v>
      </c>
      <c r="P917" s="142">
        <v>0</v>
      </c>
      <c r="Q917" s="160">
        <v>246</v>
      </c>
      <c r="R917" s="160">
        <v>174</v>
      </c>
      <c r="S917" s="116">
        <v>0</v>
      </c>
      <c r="T917" s="116">
        <v>0</v>
      </c>
      <c r="U917" s="33" t="s">
        <v>226</v>
      </c>
      <c r="V917" s="33">
        <v>2015</v>
      </c>
      <c r="W917" s="33">
        <v>1</v>
      </c>
      <c r="X917" s="33">
        <v>0</v>
      </c>
      <c r="Y917" s="33">
        <v>-2.2700000000000001E-2</v>
      </c>
      <c r="Z917" s="33">
        <v>-3.2399999999999998E-2</v>
      </c>
      <c r="AA917" s="33">
        <v>0</v>
      </c>
      <c r="AB917" s="33">
        <v>0</v>
      </c>
      <c r="AC917" s="33" t="s">
        <v>459</v>
      </c>
      <c r="AD917" s="158" t="s">
        <v>366</v>
      </c>
      <c r="AE917" s="157"/>
    </row>
    <row r="918" spans="1:31" customFormat="1" hidden="1" x14ac:dyDescent="0.2">
      <c r="A918" s="153">
        <f t="shared" si="13"/>
        <v>894</v>
      </c>
      <c r="B918" s="33">
        <v>5</v>
      </c>
      <c r="C918" s="33">
        <v>2</v>
      </c>
      <c r="D918" s="33">
        <v>9</v>
      </c>
      <c r="E918" s="143">
        <v>2022</v>
      </c>
      <c r="F918" s="159">
        <v>2032</v>
      </c>
      <c r="G918" s="33">
        <v>4</v>
      </c>
      <c r="H918" s="33">
        <v>0</v>
      </c>
      <c r="I918" s="33">
        <v>0</v>
      </c>
      <c r="J918" s="33">
        <v>0</v>
      </c>
      <c r="K918" s="33">
        <v>0</v>
      </c>
      <c r="L918" s="101">
        <v>3.3</v>
      </c>
      <c r="M918" s="108">
        <v>2300.7042253521126</v>
      </c>
      <c r="N918" s="108">
        <v>1626.7605633802816</v>
      </c>
      <c r="O918" s="160">
        <v>600</v>
      </c>
      <c r="P918" s="142">
        <v>0</v>
      </c>
      <c r="Q918" s="160">
        <v>209</v>
      </c>
      <c r="R918" s="160">
        <v>148</v>
      </c>
      <c r="S918" s="116">
        <v>0</v>
      </c>
      <c r="T918" s="116">
        <v>0</v>
      </c>
      <c r="U918" s="33" t="s">
        <v>226</v>
      </c>
      <c r="V918" s="33">
        <v>2015</v>
      </c>
      <c r="W918" s="33">
        <v>1</v>
      </c>
      <c r="X918" s="33">
        <v>0</v>
      </c>
      <c r="Y918" s="33">
        <v>-2.2700000000000001E-2</v>
      </c>
      <c r="Z918" s="33">
        <v>-3.2399999999999998E-2</v>
      </c>
      <c r="AA918" s="33">
        <v>0</v>
      </c>
      <c r="AB918" s="33">
        <v>0</v>
      </c>
      <c r="AC918" s="33" t="s">
        <v>459</v>
      </c>
      <c r="AD918" s="158" t="s">
        <v>366</v>
      </c>
      <c r="AE918" s="157"/>
    </row>
    <row r="919" spans="1:31" customFormat="1" hidden="1" x14ac:dyDescent="0.2">
      <c r="A919" s="153">
        <f t="shared" si="13"/>
        <v>895</v>
      </c>
      <c r="B919" s="33">
        <v>5</v>
      </c>
      <c r="C919" s="33">
        <v>2</v>
      </c>
      <c r="D919" s="33">
        <v>9</v>
      </c>
      <c r="E919" s="143">
        <v>2022</v>
      </c>
      <c r="F919" s="159">
        <v>2032</v>
      </c>
      <c r="G919" s="33">
        <v>5</v>
      </c>
      <c r="H919" s="33">
        <v>0</v>
      </c>
      <c r="I919" s="33">
        <v>0</v>
      </c>
      <c r="J919" s="33">
        <v>0</v>
      </c>
      <c r="K919" s="33">
        <v>0</v>
      </c>
      <c r="L919" s="101">
        <v>3.3</v>
      </c>
      <c r="M919" s="108">
        <v>2300.7042253521126</v>
      </c>
      <c r="N919" s="108">
        <v>1626.7605633802816</v>
      </c>
      <c r="O919" s="160">
        <v>600</v>
      </c>
      <c r="P919" s="142">
        <v>0</v>
      </c>
      <c r="Q919" s="160">
        <v>334</v>
      </c>
      <c r="R919" s="160">
        <v>236</v>
      </c>
      <c r="S919" s="116">
        <v>0</v>
      </c>
      <c r="T919" s="116">
        <v>0</v>
      </c>
      <c r="U919" s="33" t="s">
        <v>226</v>
      </c>
      <c r="V919" s="33">
        <v>2015</v>
      </c>
      <c r="W919" s="33">
        <v>1</v>
      </c>
      <c r="X919" s="33">
        <v>0</v>
      </c>
      <c r="Y919" s="33">
        <v>-2.2700000000000001E-2</v>
      </c>
      <c r="Z919" s="33">
        <v>-3.2399999999999998E-2</v>
      </c>
      <c r="AA919" s="33">
        <v>0</v>
      </c>
      <c r="AB919" s="33">
        <v>0</v>
      </c>
      <c r="AC919" s="33" t="s">
        <v>459</v>
      </c>
      <c r="AD919" s="158" t="s">
        <v>366</v>
      </c>
      <c r="AE919" s="157"/>
    </row>
    <row r="920" spans="1:31" customFormat="1" hidden="1" x14ac:dyDescent="0.2">
      <c r="A920" s="153">
        <f t="shared" si="13"/>
        <v>896</v>
      </c>
      <c r="B920" s="33">
        <v>5</v>
      </c>
      <c r="C920" s="33">
        <v>2</v>
      </c>
      <c r="D920" s="33">
        <v>9</v>
      </c>
      <c r="E920" s="143">
        <v>2022</v>
      </c>
      <c r="F920" s="159">
        <v>2032</v>
      </c>
      <c r="G920" s="33">
        <v>6</v>
      </c>
      <c r="H920" s="33">
        <v>0</v>
      </c>
      <c r="I920" s="33">
        <v>0</v>
      </c>
      <c r="J920" s="33">
        <v>0</v>
      </c>
      <c r="K920" s="33">
        <v>0</v>
      </c>
      <c r="L920" s="101">
        <v>3.3</v>
      </c>
      <c r="M920" s="108">
        <v>2300.7042253521126</v>
      </c>
      <c r="N920" s="108">
        <v>1626.7605633802816</v>
      </c>
      <c r="O920" s="160">
        <v>600</v>
      </c>
      <c r="P920" s="142">
        <v>0</v>
      </c>
      <c r="Q920" s="160">
        <v>137</v>
      </c>
      <c r="R920" s="160">
        <v>97</v>
      </c>
      <c r="S920" s="116">
        <v>0</v>
      </c>
      <c r="T920" s="116">
        <v>0</v>
      </c>
      <c r="U920" s="33" t="s">
        <v>226</v>
      </c>
      <c r="V920" s="33">
        <v>2015</v>
      </c>
      <c r="W920" s="33">
        <v>1</v>
      </c>
      <c r="X920" s="33">
        <v>0</v>
      </c>
      <c r="Y920" s="33">
        <v>-2.2700000000000001E-2</v>
      </c>
      <c r="Z920" s="33">
        <v>-3.2399999999999998E-2</v>
      </c>
      <c r="AA920" s="33">
        <v>0</v>
      </c>
      <c r="AB920" s="33">
        <v>0</v>
      </c>
      <c r="AC920" s="33" t="s">
        <v>459</v>
      </c>
      <c r="AD920" s="158" t="s">
        <v>366</v>
      </c>
      <c r="AE920" s="157"/>
    </row>
    <row r="921" spans="1:31" customFormat="1" hidden="1" x14ac:dyDescent="0.2">
      <c r="A921" s="153">
        <f t="shared" si="13"/>
        <v>897</v>
      </c>
      <c r="B921" s="33">
        <v>5</v>
      </c>
      <c r="C921" s="33">
        <v>2</v>
      </c>
      <c r="D921" s="33">
        <v>9</v>
      </c>
      <c r="E921" s="143">
        <v>2022</v>
      </c>
      <c r="F921" s="159">
        <v>2032</v>
      </c>
      <c r="G921" s="33">
        <v>7</v>
      </c>
      <c r="H921" s="33">
        <v>0</v>
      </c>
      <c r="I921" s="33">
        <v>0</v>
      </c>
      <c r="J921" s="33">
        <v>0</v>
      </c>
      <c r="K921" s="33">
        <v>0</v>
      </c>
      <c r="L921" s="101">
        <v>3.3</v>
      </c>
      <c r="M921" s="108">
        <v>2300.7042253521126</v>
      </c>
      <c r="N921" s="108">
        <v>1626.7605633802816</v>
      </c>
      <c r="O921" s="160">
        <v>600</v>
      </c>
      <c r="P921" s="142">
        <v>0</v>
      </c>
      <c r="Q921" s="160">
        <v>558</v>
      </c>
      <c r="R921" s="160">
        <v>394</v>
      </c>
      <c r="S921" s="116">
        <v>0</v>
      </c>
      <c r="T921" s="116">
        <v>0</v>
      </c>
      <c r="U921" s="33" t="s">
        <v>226</v>
      </c>
      <c r="V921" s="33">
        <v>2015</v>
      </c>
      <c r="W921" s="33">
        <v>1</v>
      </c>
      <c r="X921" s="33">
        <v>0</v>
      </c>
      <c r="Y921" s="33">
        <v>-2.2700000000000001E-2</v>
      </c>
      <c r="Z921" s="33">
        <v>-3.2399999999999998E-2</v>
      </c>
      <c r="AA921" s="33">
        <v>0</v>
      </c>
      <c r="AB921" s="33">
        <v>0</v>
      </c>
      <c r="AC921" s="33" t="s">
        <v>459</v>
      </c>
      <c r="AD921" s="158" t="s">
        <v>366</v>
      </c>
      <c r="AE921" s="157"/>
    </row>
    <row r="922" spans="1:31" customFormat="1" hidden="1" x14ac:dyDescent="0.2">
      <c r="A922" s="153">
        <f t="shared" si="13"/>
        <v>898</v>
      </c>
      <c r="B922" s="33">
        <v>5</v>
      </c>
      <c r="C922" s="33">
        <v>2</v>
      </c>
      <c r="D922" s="33">
        <v>9</v>
      </c>
      <c r="E922" s="143">
        <v>2022</v>
      </c>
      <c r="F922" s="159">
        <v>2032</v>
      </c>
      <c r="G922" s="33">
        <v>8</v>
      </c>
      <c r="H922" s="33">
        <v>0</v>
      </c>
      <c r="I922" s="33">
        <v>0</v>
      </c>
      <c r="J922" s="33">
        <v>0</v>
      </c>
      <c r="K922" s="33">
        <v>0</v>
      </c>
      <c r="L922" s="101">
        <v>3.3</v>
      </c>
      <c r="M922" s="108">
        <v>2300.7042253521126</v>
      </c>
      <c r="N922" s="108">
        <v>1626.7605633802816</v>
      </c>
      <c r="O922" s="160">
        <v>600</v>
      </c>
      <c r="P922" s="142">
        <v>0</v>
      </c>
      <c r="Q922" s="160">
        <v>225</v>
      </c>
      <c r="R922" s="160">
        <v>159</v>
      </c>
      <c r="S922" s="116">
        <v>0</v>
      </c>
      <c r="T922" s="116">
        <v>0</v>
      </c>
      <c r="U922" s="33" t="s">
        <v>226</v>
      </c>
      <c r="V922" s="33">
        <v>2015</v>
      </c>
      <c r="W922" s="33">
        <v>1</v>
      </c>
      <c r="X922" s="33">
        <v>0</v>
      </c>
      <c r="Y922" s="33">
        <v>-2.2700000000000001E-2</v>
      </c>
      <c r="Z922" s="33">
        <v>-3.2399999999999998E-2</v>
      </c>
      <c r="AA922" s="33">
        <v>0</v>
      </c>
      <c r="AB922" s="33">
        <v>0</v>
      </c>
      <c r="AC922" s="33" t="s">
        <v>459</v>
      </c>
      <c r="AD922" s="158" t="s">
        <v>366</v>
      </c>
      <c r="AE922" s="157"/>
    </row>
    <row r="923" spans="1:31" customFormat="1" hidden="1" x14ac:dyDescent="0.2">
      <c r="A923" s="153">
        <f t="shared" ref="A923:A986" si="14">A922+1</f>
        <v>899</v>
      </c>
      <c r="B923" s="33">
        <v>5</v>
      </c>
      <c r="C923" s="33">
        <v>2</v>
      </c>
      <c r="D923" s="33">
        <v>9</v>
      </c>
      <c r="E923" s="143">
        <v>2022</v>
      </c>
      <c r="F923" s="159">
        <v>2032</v>
      </c>
      <c r="G923" s="33">
        <v>9</v>
      </c>
      <c r="H923" s="33">
        <v>0</v>
      </c>
      <c r="I923" s="33">
        <v>0</v>
      </c>
      <c r="J923" s="33">
        <v>0</v>
      </c>
      <c r="K923" s="33">
        <v>0</v>
      </c>
      <c r="L923" s="101">
        <v>3.3</v>
      </c>
      <c r="M923" s="108">
        <v>2300.7042253521126</v>
      </c>
      <c r="N923" s="108">
        <v>1626.7605633802816</v>
      </c>
      <c r="O923" s="160">
        <v>600</v>
      </c>
      <c r="P923" s="142">
        <v>0</v>
      </c>
      <c r="Q923" s="160">
        <v>545</v>
      </c>
      <c r="R923" s="160">
        <v>385</v>
      </c>
      <c r="S923" s="116">
        <v>0</v>
      </c>
      <c r="T923" s="116">
        <v>0</v>
      </c>
      <c r="U923" s="33" t="s">
        <v>226</v>
      </c>
      <c r="V923" s="33">
        <v>2015</v>
      </c>
      <c r="W923" s="33">
        <v>1</v>
      </c>
      <c r="X923" s="33">
        <v>0</v>
      </c>
      <c r="Y923" s="33">
        <v>-2.2700000000000001E-2</v>
      </c>
      <c r="Z923" s="33">
        <v>-3.2399999999999998E-2</v>
      </c>
      <c r="AA923" s="33">
        <v>0</v>
      </c>
      <c r="AB923" s="33">
        <v>0</v>
      </c>
      <c r="AC923" s="33" t="s">
        <v>459</v>
      </c>
      <c r="AD923" s="158" t="s">
        <v>366</v>
      </c>
      <c r="AE923" s="157"/>
    </row>
    <row r="924" spans="1:31" s="157" customFormat="1" hidden="1" x14ac:dyDescent="0.2">
      <c r="A924" s="153">
        <f t="shared" si="14"/>
        <v>900</v>
      </c>
      <c r="B924" s="49">
        <v>5</v>
      </c>
      <c r="C924" s="49">
        <v>2</v>
      </c>
      <c r="D924" s="49">
        <v>9</v>
      </c>
      <c r="E924" s="166">
        <v>2033</v>
      </c>
      <c r="F924" s="49">
        <v>2050</v>
      </c>
      <c r="G924" s="49">
        <v>1</v>
      </c>
      <c r="H924" s="49">
        <v>0</v>
      </c>
      <c r="I924" s="49">
        <v>0</v>
      </c>
      <c r="J924" s="49">
        <v>0</v>
      </c>
      <c r="K924" s="49">
        <v>0</v>
      </c>
      <c r="L924" s="167">
        <v>3.3</v>
      </c>
      <c r="M924" s="168">
        <v>2300.7042253521126</v>
      </c>
      <c r="N924" s="168">
        <v>1626.7605633802816</v>
      </c>
      <c r="O924" s="51">
        <v>0</v>
      </c>
      <c r="P924" s="51">
        <v>0</v>
      </c>
      <c r="Q924" s="51">
        <v>712</v>
      </c>
      <c r="R924" s="51">
        <v>503</v>
      </c>
      <c r="S924" s="171">
        <v>0</v>
      </c>
      <c r="T924" s="171">
        <v>0</v>
      </c>
      <c r="U924" s="49" t="s">
        <v>226</v>
      </c>
      <c r="V924" s="49">
        <v>2015</v>
      </c>
      <c r="W924" s="49">
        <v>1</v>
      </c>
      <c r="X924" s="49">
        <v>0</v>
      </c>
      <c r="Y924" s="49">
        <v>-2.2700000000000001E-2</v>
      </c>
      <c r="Z924" s="49">
        <v>-3.2399999999999998E-2</v>
      </c>
      <c r="AA924" s="49">
        <v>0</v>
      </c>
      <c r="AB924" s="49">
        <v>0</v>
      </c>
      <c r="AC924" s="49" t="s">
        <v>459</v>
      </c>
      <c r="AD924" s="158" t="s">
        <v>366</v>
      </c>
    </row>
    <row r="925" spans="1:31" s="157" customFormat="1" hidden="1" x14ac:dyDescent="0.2">
      <c r="A925" s="153">
        <f t="shared" si="14"/>
        <v>901</v>
      </c>
      <c r="B925" s="49">
        <v>5</v>
      </c>
      <c r="C925" s="49">
        <v>2</v>
      </c>
      <c r="D925" s="49">
        <v>9</v>
      </c>
      <c r="E925" s="166">
        <v>2033</v>
      </c>
      <c r="F925" s="49">
        <v>2050</v>
      </c>
      <c r="G925" s="49">
        <v>2</v>
      </c>
      <c r="H925" s="49">
        <v>0</v>
      </c>
      <c r="I925" s="49">
        <v>0</v>
      </c>
      <c r="J925" s="49">
        <v>0</v>
      </c>
      <c r="K925" s="49">
        <v>0</v>
      </c>
      <c r="L925" s="167">
        <v>3.3</v>
      </c>
      <c r="M925" s="168">
        <v>2300.7042253521126</v>
      </c>
      <c r="N925" s="168">
        <v>1626.7605633802816</v>
      </c>
      <c r="O925" s="51">
        <v>0</v>
      </c>
      <c r="P925" s="51">
        <v>0</v>
      </c>
      <c r="Q925" s="51">
        <v>693</v>
      </c>
      <c r="R925" s="51">
        <v>490</v>
      </c>
      <c r="S925" s="171">
        <v>0</v>
      </c>
      <c r="T925" s="171">
        <v>0</v>
      </c>
      <c r="U925" s="49" t="s">
        <v>226</v>
      </c>
      <c r="V925" s="49">
        <v>2015</v>
      </c>
      <c r="W925" s="49">
        <v>1</v>
      </c>
      <c r="X925" s="49">
        <v>0</v>
      </c>
      <c r="Y925" s="49">
        <v>-2.2700000000000001E-2</v>
      </c>
      <c r="Z925" s="49">
        <v>-3.2399999999999998E-2</v>
      </c>
      <c r="AA925" s="49">
        <v>0</v>
      </c>
      <c r="AB925" s="49">
        <v>0</v>
      </c>
      <c r="AC925" s="49" t="s">
        <v>459</v>
      </c>
      <c r="AD925" s="158" t="s">
        <v>366</v>
      </c>
    </row>
    <row r="926" spans="1:31" s="157" customFormat="1" x14ac:dyDescent="0.2">
      <c r="A926" s="153">
        <f t="shared" si="14"/>
        <v>902</v>
      </c>
      <c r="B926" s="49">
        <v>5</v>
      </c>
      <c r="C926" s="49">
        <v>2</v>
      </c>
      <c r="D926" s="49">
        <v>9</v>
      </c>
      <c r="E926" s="166">
        <v>2033</v>
      </c>
      <c r="F926" s="49">
        <v>2050</v>
      </c>
      <c r="G926" s="49">
        <v>3</v>
      </c>
      <c r="H926" s="49">
        <v>0</v>
      </c>
      <c r="I926" s="49">
        <v>0</v>
      </c>
      <c r="J926" s="49">
        <v>0</v>
      </c>
      <c r="K926" s="49">
        <v>0</v>
      </c>
      <c r="L926" s="167">
        <v>3.3</v>
      </c>
      <c r="M926" s="168">
        <v>2300.7042253521126</v>
      </c>
      <c r="N926" s="168">
        <v>1626.7605633802816</v>
      </c>
      <c r="O926" s="51">
        <v>0</v>
      </c>
      <c r="P926" s="51">
        <v>0</v>
      </c>
      <c r="Q926" s="51">
        <v>246</v>
      </c>
      <c r="R926" s="51">
        <v>174</v>
      </c>
      <c r="S926" s="171">
        <v>0</v>
      </c>
      <c r="T926" s="171">
        <v>0</v>
      </c>
      <c r="U926" s="49" t="s">
        <v>226</v>
      </c>
      <c r="V926" s="49">
        <v>2015</v>
      </c>
      <c r="W926" s="49">
        <v>1</v>
      </c>
      <c r="X926" s="49">
        <v>0</v>
      </c>
      <c r="Y926" s="49">
        <v>-2.2700000000000001E-2</v>
      </c>
      <c r="Z926" s="49">
        <v>-3.2399999999999998E-2</v>
      </c>
      <c r="AA926" s="49">
        <v>0</v>
      </c>
      <c r="AB926" s="49">
        <v>0</v>
      </c>
      <c r="AC926" s="49" t="s">
        <v>459</v>
      </c>
      <c r="AD926" s="158" t="s">
        <v>366</v>
      </c>
    </row>
    <row r="927" spans="1:31" s="157" customFormat="1" hidden="1" x14ac:dyDescent="0.2">
      <c r="A927" s="153">
        <f t="shared" si="14"/>
        <v>903</v>
      </c>
      <c r="B927" s="49">
        <v>5</v>
      </c>
      <c r="C927" s="49">
        <v>2</v>
      </c>
      <c r="D927" s="49">
        <v>9</v>
      </c>
      <c r="E927" s="166">
        <v>2033</v>
      </c>
      <c r="F927" s="49">
        <v>2050</v>
      </c>
      <c r="G927" s="49">
        <v>4</v>
      </c>
      <c r="H927" s="49">
        <v>0</v>
      </c>
      <c r="I927" s="49">
        <v>0</v>
      </c>
      <c r="J927" s="49">
        <v>0</v>
      </c>
      <c r="K927" s="49">
        <v>0</v>
      </c>
      <c r="L927" s="167">
        <v>3.3</v>
      </c>
      <c r="M927" s="168">
        <v>2300.7042253521126</v>
      </c>
      <c r="N927" s="168">
        <v>1626.7605633802816</v>
      </c>
      <c r="O927" s="51">
        <v>0</v>
      </c>
      <c r="P927" s="51">
        <v>0</v>
      </c>
      <c r="Q927" s="51">
        <v>209</v>
      </c>
      <c r="R927" s="51">
        <v>148</v>
      </c>
      <c r="S927" s="171">
        <v>0</v>
      </c>
      <c r="T927" s="171">
        <v>0</v>
      </c>
      <c r="U927" s="49" t="s">
        <v>226</v>
      </c>
      <c r="V927" s="49">
        <v>2015</v>
      </c>
      <c r="W927" s="49">
        <v>1</v>
      </c>
      <c r="X927" s="49">
        <v>0</v>
      </c>
      <c r="Y927" s="49">
        <v>-2.2700000000000001E-2</v>
      </c>
      <c r="Z927" s="49">
        <v>-3.2399999999999998E-2</v>
      </c>
      <c r="AA927" s="49">
        <v>0</v>
      </c>
      <c r="AB927" s="49">
        <v>0</v>
      </c>
      <c r="AC927" s="49" t="s">
        <v>459</v>
      </c>
      <c r="AD927" s="158" t="s">
        <v>366</v>
      </c>
    </row>
    <row r="928" spans="1:31" s="157" customFormat="1" hidden="1" x14ac:dyDescent="0.2">
      <c r="A928" s="153">
        <f t="shared" si="14"/>
        <v>904</v>
      </c>
      <c r="B928" s="49">
        <v>5</v>
      </c>
      <c r="C928" s="49">
        <v>2</v>
      </c>
      <c r="D928" s="49">
        <v>9</v>
      </c>
      <c r="E928" s="166">
        <v>2033</v>
      </c>
      <c r="F928" s="49">
        <v>2050</v>
      </c>
      <c r="G928" s="49">
        <v>5</v>
      </c>
      <c r="H928" s="49">
        <v>0</v>
      </c>
      <c r="I928" s="49">
        <v>0</v>
      </c>
      <c r="J928" s="49">
        <v>0</v>
      </c>
      <c r="K928" s="49">
        <v>0</v>
      </c>
      <c r="L928" s="167">
        <v>3.3</v>
      </c>
      <c r="M928" s="168">
        <v>2300.7042253521126</v>
      </c>
      <c r="N928" s="168">
        <v>1626.7605633802816</v>
      </c>
      <c r="O928" s="51">
        <v>0</v>
      </c>
      <c r="P928" s="51">
        <v>0</v>
      </c>
      <c r="Q928" s="51">
        <v>334</v>
      </c>
      <c r="R928" s="51">
        <v>236</v>
      </c>
      <c r="S928" s="171">
        <v>0</v>
      </c>
      <c r="T928" s="171">
        <v>0</v>
      </c>
      <c r="U928" s="49" t="s">
        <v>226</v>
      </c>
      <c r="V928" s="49">
        <v>2015</v>
      </c>
      <c r="W928" s="49">
        <v>1</v>
      </c>
      <c r="X928" s="49">
        <v>0</v>
      </c>
      <c r="Y928" s="49">
        <v>-2.2700000000000001E-2</v>
      </c>
      <c r="Z928" s="49">
        <v>-3.2399999999999998E-2</v>
      </c>
      <c r="AA928" s="49">
        <v>0</v>
      </c>
      <c r="AB928" s="49">
        <v>0</v>
      </c>
      <c r="AC928" s="49" t="s">
        <v>459</v>
      </c>
      <c r="AD928" s="158" t="s">
        <v>366</v>
      </c>
    </row>
    <row r="929" spans="1:31" s="157" customFormat="1" hidden="1" x14ac:dyDescent="0.2">
      <c r="A929" s="153">
        <f t="shared" si="14"/>
        <v>905</v>
      </c>
      <c r="B929" s="49">
        <v>5</v>
      </c>
      <c r="C929" s="49">
        <v>2</v>
      </c>
      <c r="D929" s="49">
        <v>9</v>
      </c>
      <c r="E929" s="166">
        <v>2033</v>
      </c>
      <c r="F929" s="49">
        <v>2050</v>
      </c>
      <c r="G929" s="49">
        <v>6</v>
      </c>
      <c r="H929" s="49">
        <v>0</v>
      </c>
      <c r="I929" s="49">
        <v>0</v>
      </c>
      <c r="J929" s="49">
        <v>0</v>
      </c>
      <c r="K929" s="49">
        <v>0</v>
      </c>
      <c r="L929" s="167">
        <v>3.3</v>
      </c>
      <c r="M929" s="168">
        <v>2300.7042253521126</v>
      </c>
      <c r="N929" s="168">
        <v>1626.7605633802816</v>
      </c>
      <c r="O929" s="51">
        <v>0</v>
      </c>
      <c r="P929" s="51">
        <v>0</v>
      </c>
      <c r="Q929" s="51">
        <v>137</v>
      </c>
      <c r="R929" s="51">
        <v>97</v>
      </c>
      <c r="S929" s="171">
        <v>0</v>
      </c>
      <c r="T929" s="171">
        <v>0</v>
      </c>
      <c r="U929" s="49" t="s">
        <v>226</v>
      </c>
      <c r="V929" s="49">
        <v>2015</v>
      </c>
      <c r="W929" s="49">
        <v>1</v>
      </c>
      <c r="X929" s="49">
        <v>0</v>
      </c>
      <c r="Y929" s="49">
        <v>-2.2700000000000001E-2</v>
      </c>
      <c r="Z929" s="49">
        <v>-3.2399999999999998E-2</v>
      </c>
      <c r="AA929" s="49">
        <v>0</v>
      </c>
      <c r="AB929" s="49">
        <v>0</v>
      </c>
      <c r="AC929" s="49" t="s">
        <v>459</v>
      </c>
      <c r="AD929" s="158" t="s">
        <v>366</v>
      </c>
    </row>
    <row r="930" spans="1:31" s="157" customFormat="1" hidden="1" x14ac:dyDescent="0.2">
      <c r="A930" s="153">
        <f t="shared" si="14"/>
        <v>906</v>
      </c>
      <c r="B930" s="49">
        <v>5</v>
      </c>
      <c r="C930" s="49">
        <v>2</v>
      </c>
      <c r="D930" s="49">
        <v>9</v>
      </c>
      <c r="E930" s="166">
        <v>2033</v>
      </c>
      <c r="F930" s="49">
        <v>2050</v>
      </c>
      <c r="G930" s="49">
        <v>7</v>
      </c>
      <c r="H930" s="49">
        <v>0</v>
      </c>
      <c r="I930" s="49">
        <v>0</v>
      </c>
      <c r="J930" s="49">
        <v>0</v>
      </c>
      <c r="K930" s="49">
        <v>0</v>
      </c>
      <c r="L930" s="167">
        <v>3.3</v>
      </c>
      <c r="M930" s="168">
        <v>2300.7042253521126</v>
      </c>
      <c r="N930" s="168">
        <v>1626.7605633802816</v>
      </c>
      <c r="O930" s="51">
        <v>0</v>
      </c>
      <c r="P930" s="51">
        <v>0</v>
      </c>
      <c r="Q930" s="51">
        <v>558</v>
      </c>
      <c r="R930" s="51">
        <v>394</v>
      </c>
      <c r="S930" s="171">
        <v>0</v>
      </c>
      <c r="T930" s="171">
        <v>0</v>
      </c>
      <c r="U930" s="49" t="s">
        <v>226</v>
      </c>
      <c r="V930" s="49">
        <v>2015</v>
      </c>
      <c r="W930" s="49">
        <v>1</v>
      </c>
      <c r="X930" s="49">
        <v>0</v>
      </c>
      <c r="Y930" s="49">
        <v>-2.2700000000000001E-2</v>
      </c>
      <c r="Z930" s="49">
        <v>-3.2399999999999998E-2</v>
      </c>
      <c r="AA930" s="49">
        <v>0</v>
      </c>
      <c r="AB930" s="49">
        <v>0</v>
      </c>
      <c r="AC930" s="49" t="s">
        <v>459</v>
      </c>
      <c r="AD930" s="158" t="s">
        <v>366</v>
      </c>
    </row>
    <row r="931" spans="1:31" s="157" customFormat="1" hidden="1" x14ac:dyDescent="0.2">
      <c r="A931" s="153">
        <f t="shared" si="14"/>
        <v>907</v>
      </c>
      <c r="B931" s="49">
        <v>5</v>
      </c>
      <c r="C931" s="49">
        <v>2</v>
      </c>
      <c r="D931" s="49">
        <v>9</v>
      </c>
      <c r="E931" s="166">
        <v>2033</v>
      </c>
      <c r="F931" s="49">
        <v>2050</v>
      </c>
      <c r="G931" s="49">
        <v>8</v>
      </c>
      <c r="H931" s="49">
        <v>0</v>
      </c>
      <c r="I931" s="49">
        <v>0</v>
      </c>
      <c r="J931" s="49">
        <v>0</v>
      </c>
      <c r="K931" s="49">
        <v>0</v>
      </c>
      <c r="L931" s="167">
        <v>3.3</v>
      </c>
      <c r="M931" s="168">
        <v>2300.7042253521126</v>
      </c>
      <c r="N931" s="168">
        <v>1626.7605633802816</v>
      </c>
      <c r="O931" s="51">
        <v>0</v>
      </c>
      <c r="P931" s="51">
        <v>0</v>
      </c>
      <c r="Q931" s="51">
        <v>225</v>
      </c>
      <c r="R931" s="51">
        <v>159</v>
      </c>
      <c r="S931" s="171">
        <v>0</v>
      </c>
      <c r="T931" s="171">
        <v>0</v>
      </c>
      <c r="U931" s="49" t="s">
        <v>226</v>
      </c>
      <c r="V931" s="49">
        <v>2015</v>
      </c>
      <c r="W931" s="49">
        <v>1</v>
      </c>
      <c r="X931" s="49">
        <v>0</v>
      </c>
      <c r="Y931" s="49">
        <v>-2.2700000000000001E-2</v>
      </c>
      <c r="Z931" s="49">
        <v>-3.2399999999999998E-2</v>
      </c>
      <c r="AA931" s="49">
        <v>0</v>
      </c>
      <c r="AB931" s="49">
        <v>0</v>
      </c>
      <c r="AC931" s="49" t="s">
        <v>459</v>
      </c>
      <c r="AD931" s="158" t="s">
        <v>366</v>
      </c>
    </row>
    <row r="932" spans="1:31" s="157" customFormat="1" hidden="1" x14ac:dyDescent="0.2">
      <c r="A932" s="153">
        <f t="shared" si="14"/>
        <v>908</v>
      </c>
      <c r="B932" s="49">
        <v>5</v>
      </c>
      <c r="C932" s="49">
        <v>2</v>
      </c>
      <c r="D932" s="49">
        <v>9</v>
      </c>
      <c r="E932" s="166">
        <v>2033</v>
      </c>
      <c r="F932" s="49">
        <v>2050</v>
      </c>
      <c r="G932" s="49">
        <v>9</v>
      </c>
      <c r="H932" s="49">
        <v>0</v>
      </c>
      <c r="I932" s="49">
        <v>0</v>
      </c>
      <c r="J932" s="49">
        <v>0</v>
      </c>
      <c r="K932" s="49">
        <v>0</v>
      </c>
      <c r="L932" s="167">
        <v>3.3</v>
      </c>
      <c r="M932" s="168">
        <v>2300.7042253521126</v>
      </c>
      <c r="N932" s="168">
        <v>1626.7605633802816</v>
      </c>
      <c r="O932" s="51">
        <v>0</v>
      </c>
      <c r="P932" s="51">
        <v>0</v>
      </c>
      <c r="Q932" s="51">
        <v>545</v>
      </c>
      <c r="R932" s="51">
        <v>385</v>
      </c>
      <c r="S932" s="171">
        <v>0</v>
      </c>
      <c r="T932" s="171">
        <v>0</v>
      </c>
      <c r="U932" s="49" t="s">
        <v>226</v>
      </c>
      <c r="V932" s="49">
        <v>2015</v>
      </c>
      <c r="W932" s="49">
        <v>1</v>
      </c>
      <c r="X932" s="49">
        <v>0</v>
      </c>
      <c r="Y932" s="49">
        <v>-2.2700000000000001E-2</v>
      </c>
      <c r="Z932" s="49">
        <v>-3.2399999999999998E-2</v>
      </c>
      <c r="AA932" s="49">
        <v>0</v>
      </c>
      <c r="AB932" s="49">
        <v>0</v>
      </c>
      <c r="AC932" s="49" t="s">
        <v>459</v>
      </c>
      <c r="AD932" s="158" t="s">
        <v>366</v>
      </c>
    </row>
    <row r="933" spans="1:31" customFormat="1" hidden="1" x14ac:dyDescent="0.2">
      <c r="A933" s="153">
        <f t="shared" si="14"/>
        <v>909</v>
      </c>
      <c r="B933" s="33">
        <v>5</v>
      </c>
      <c r="C933" s="33">
        <v>2</v>
      </c>
      <c r="D933" s="33">
        <v>10</v>
      </c>
      <c r="E933" s="104">
        <v>2016</v>
      </c>
      <c r="F933" s="159">
        <v>2021</v>
      </c>
      <c r="G933" s="33">
        <v>1</v>
      </c>
      <c r="H933" s="33">
        <v>0</v>
      </c>
      <c r="I933" s="33">
        <v>0</v>
      </c>
      <c r="J933" s="33">
        <v>0</v>
      </c>
      <c r="K933" s="33">
        <v>0</v>
      </c>
      <c r="L933" s="101">
        <v>3.55</v>
      </c>
      <c r="M933" s="108">
        <v>2475</v>
      </c>
      <c r="N933" s="108">
        <v>1750</v>
      </c>
      <c r="O933" s="142">
        <v>300</v>
      </c>
      <c r="P933" s="142">
        <v>0</v>
      </c>
      <c r="Q933" s="160">
        <v>766</v>
      </c>
      <c r="R933" s="160">
        <v>542</v>
      </c>
      <c r="S933" s="116">
        <v>0</v>
      </c>
      <c r="T933" s="116">
        <v>0</v>
      </c>
      <c r="U933" s="33" t="s">
        <v>226</v>
      </c>
      <c r="V933" s="33">
        <v>2015</v>
      </c>
      <c r="W933" s="33">
        <v>1</v>
      </c>
      <c r="X933" s="33">
        <v>0</v>
      </c>
      <c r="Y933" s="33">
        <v>-2.2700000000000001E-2</v>
      </c>
      <c r="Z933" s="33">
        <v>-3.2399999999999998E-2</v>
      </c>
      <c r="AA933" s="33">
        <v>0</v>
      </c>
      <c r="AB933" s="33">
        <v>0</v>
      </c>
      <c r="AC933" s="33" t="s">
        <v>460</v>
      </c>
      <c r="AD933" s="158" t="s">
        <v>367</v>
      </c>
      <c r="AE933" s="157"/>
    </row>
    <row r="934" spans="1:31" customFormat="1" hidden="1" x14ac:dyDescent="0.2">
      <c r="A934" s="153">
        <f t="shared" si="14"/>
        <v>910</v>
      </c>
      <c r="B934" s="33">
        <v>5</v>
      </c>
      <c r="C934" s="33">
        <v>2</v>
      </c>
      <c r="D934" s="33">
        <v>10</v>
      </c>
      <c r="E934" s="104">
        <v>2016</v>
      </c>
      <c r="F934" s="159">
        <v>2021</v>
      </c>
      <c r="G934" s="33">
        <v>2</v>
      </c>
      <c r="H934" s="33">
        <v>0</v>
      </c>
      <c r="I934" s="33">
        <v>0</v>
      </c>
      <c r="J934" s="33">
        <v>0</v>
      </c>
      <c r="K934" s="33">
        <v>0</v>
      </c>
      <c r="L934" s="101">
        <v>3.55</v>
      </c>
      <c r="M934" s="108">
        <v>2475</v>
      </c>
      <c r="N934" s="108">
        <v>1750</v>
      </c>
      <c r="O934" s="142">
        <v>300</v>
      </c>
      <c r="P934" s="142">
        <v>0</v>
      </c>
      <c r="Q934" s="160">
        <v>746</v>
      </c>
      <c r="R934" s="160">
        <v>527</v>
      </c>
      <c r="S934" s="116">
        <v>0</v>
      </c>
      <c r="T934" s="116">
        <v>0</v>
      </c>
      <c r="U934" s="33" t="s">
        <v>226</v>
      </c>
      <c r="V934" s="33">
        <v>2015</v>
      </c>
      <c r="W934" s="33">
        <v>1</v>
      </c>
      <c r="X934" s="33">
        <v>0</v>
      </c>
      <c r="Y934" s="33">
        <v>-2.2700000000000001E-2</v>
      </c>
      <c r="Z934" s="33">
        <v>-3.2399999999999998E-2</v>
      </c>
      <c r="AA934" s="33">
        <v>0</v>
      </c>
      <c r="AB934" s="33">
        <v>0</v>
      </c>
      <c r="AC934" s="33" t="s">
        <v>460</v>
      </c>
      <c r="AD934" s="158" t="s">
        <v>367</v>
      </c>
      <c r="AE934" s="157"/>
    </row>
    <row r="935" spans="1:31" customFormat="1" x14ac:dyDescent="0.2">
      <c r="A935" s="153">
        <f t="shared" si="14"/>
        <v>911</v>
      </c>
      <c r="B935" s="33">
        <v>5</v>
      </c>
      <c r="C935" s="33">
        <v>2</v>
      </c>
      <c r="D935" s="33">
        <v>10</v>
      </c>
      <c r="E935" s="104">
        <v>2016</v>
      </c>
      <c r="F935" s="159">
        <v>2021</v>
      </c>
      <c r="G935" s="33">
        <v>3</v>
      </c>
      <c r="H935" s="33">
        <v>0</v>
      </c>
      <c r="I935" s="33">
        <v>0</v>
      </c>
      <c r="J935" s="33">
        <v>0</v>
      </c>
      <c r="K935" s="33">
        <v>0</v>
      </c>
      <c r="L935" s="101">
        <v>3.55</v>
      </c>
      <c r="M935" s="108">
        <v>2475</v>
      </c>
      <c r="N935" s="108">
        <v>1750</v>
      </c>
      <c r="O935" s="142">
        <v>300</v>
      </c>
      <c r="P935" s="142">
        <v>0</v>
      </c>
      <c r="Q935" s="160">
        <v>265</v>
      </c>
      <c r="R935" s="160">
        <v>187</v>
      </c>
      <c r="S935" s="116">
        <v>0</v>
      </c>
      <c r="T935" s="116">
        <v>0</v>
      </c>
      <c r="U935" s="33" t="s">
        <v>226</v>
      </c>
      <c r="V935" s="33">
        <v>2015</v>
      </c>
      <c r="W935" s="33">
        <v>1</v>
      </c>
      <c r="X935" s="33">
        <v>0</v>
      </c>
      <c r="Y935" s="33">
        <v>-2.2700000000000001E-2</v>
      </c>
      <c r="Z935" s="33">
        <v>-3.2399999999999998E-2</v>
      </c>
      <c r="AA935" s="33">
        <v>0</v>
      </c>
      <c r="AB935" s="33">
        <v>0</v>
      </c>
      <c r="AC935" s="33" t="s">
        <v>460</v>
      </c>
      <c r="AD935" s="158" t="s">
        <v>367</v>
      </c>
      <c r="AE935" s="157"/>
    </row>
    <row r="936" spans="1:31" customFormat="1" hidden="1" x14ac:dyDescent="0.2">
      <c r="A936" s="153">
        <f t="shared" si="14"/>
        <v>912</v>
      </c>
      <c r="B936" s="33">
        <v>5</v>
      </c>
      <c r="C936" s="33">
        <v>2</v>
      </c>
      <c r="D936" s="33">
        <v>10</v>
      </c>
      <c r="E936" s="104">
        <v>2016</v>
      </c>
      <c r="F936" s="159">
        <v>2021</v>
      </c>
      <c r="G936" s="33">
        <v>4</v>
      </c>
      <c r="H936" s="33">
        <v>0</v>
      </c>
      <c r="I936" s="33">
        <v>0</v>
      </c>
      <c r="J936" s="33">
        <v>0</v>
      </c>
      <c r="K936" s="33">
        <v>0</v>
      </c>
      <c r="L936" s="101">
        <v>3.55</v>
      </c>
      <c r="M936" s="108">
        <v>2475</v>
      </c>
      <c r="N936" s="108">
        <v>1750</v>
      </c>
      <c r="O936" s="142">
        <v>300</v>
      </c>
      <c r="P936" s="142">
        <v>0</v>
      </c>
      <c r="Q936" s="160">
        <v>225</v>
      </c>
      <c r="R936" s="160">
        <v>159</v>
      </c>
      <c r="S936" s="116">
        <v>0</v>
      </c>
      <c r="T936" s="116">
        <v>0</v>
      </c>
      <c r="U936" s="33" t="s">
        <v>226</v>
      </c>
      <c r="V936" s="33">
        <v>2015</v>
      </c>
      <c r="W936" s="33">
        <v>1</v>
      </c>
      <c r="X936" s="33">
        <v>0</v>
      </c>
      <c r="Y936" s="33">
        <v>-2.2700000000000001E-2</v>
      </c>
      <c r="Z936" s="33">
        <v>-3.2399999999999998E-2</v>
      </c>
      <c r="AA936" s="33">
        <v>0</v>
      </c>
      <c r="AB936" s="33">
        <v>0</v>
      </c>
      <c r="AC936" s="33" t="s">
        <v>460</v>
      </c>
      <c r="AD936" s="158" t="s">
        <v>367</v>
      </c>
      <c r="AE936" s="157"/>
    </row>
    <row r="937" spans="1:31" customFormat="1" hidden="1" x14ac:dyDescent="0.2">
      <c r="A937" s="153">
        <f t="shared" si="14"/>
        <v>913</v>
      </c>
      <c r="B937" s="33">
        <v>5</v>
      </c>
      <c r="C937" s="33">
        <v>2</v>
      </c>
      <c r="D937" s="33">
        <v>10</v>
      </c>
      <c r="E937" s="104">
        <v>2016</v>
      </c>
      <c r="F937" s="159">
        <v>2021</v>
      </c>
      <c r="G937" s="33">
        <v>5</v>
      </c>
      <c r="H937" s="33">
        <v>0</v>
      </c>
      <c r="I937" s="33">
        <v>0</v>
      </c>
      <c r="J937" s="33">
        <v>0</v>
      </c>
      <c r="K937" s="33">
        <v>0</v>
      </c>
      <c r="L937" s="101">
        <v>3.55</v>
      </c>
      <c r="M937" s="108">
        <v>2475</v>
      </c>
      <c r="N937" s="108">
        <v>1750</v>
      </c>
      <c r="O937" s="142">
        <v>300</v>
      </c>
      <c r="P937" s="142">
        <v>0</v>
      </c>
      <c r="Q937" s="160">
        <v>360</v>
      </c>
      <c r="R937" s="160">
        <v>254</v>
      </c>
      <c r="S937" s="116">
        <v>0</v>
      </c>
      <c r="T937" s="116">
        <v>0</v>
      </c>
      <c r="U937" s="33" t="s">
        <v>226</v>
      </c>
      <c r="V937" s="33">
        <v>2015</v>
      </c>
      <c r="W937" s="33">
        <v>1</v>
      </c>
      <c r="X937" s="33">
        <v>0</v>
      </c>
      <c r="Y937" s="33">
        <v>-2.2700000000000001E-2</v>
      </c>
      <c r="Z937" s="33">
        <v>-3.2399999999999998E-2</v>
      </c>
      <c r="AA937" s="33">
        <v>0</v>
      </c>
      <c r="AB937" s="33">
        <v>0</v>
      </c>
      <c r="AC937" s="33" t="s">
        <v>460</v>
      </c>
      <c r="AD937" s="158" t="s">
        <v>367</v>
      </c>
      <c r="AE937" s="157"/>
    </row>
    <row r="938" spans="1:31" customFormat="1" hidden="1" x14ac:dyDescent="0.2">
      <c r="A938" s="153">
        <f t="shared" si="14"/>
        <v>914</v>
      </c>
      <c r="B938" s="33">
        <v>5</v>
      </c>
      <c r="C938" s="33">
        <v>2</v>
      </c>
      <c r="D938" s="33">
        <v>10</v>
      </c>
      <c r="E938" s="104">
        <v>2016</v>
      </c>
      <c r="F938" s="159">
        <v>2021</v>
      </c>
      <c r="G938" s="33">
        <v>6</v>
      </c>
      <c r="H938" s="33">
        <v>0</v>
      </c>
      <c r="I938" s="33">
        <v>0</v>
      </c>
      <c r="J938" s="33">
        <v>0</v>
      </c>
      <c r="K938" s="33">
        <v>0</v>
      </c>
      <c r="L938" s="101">
        <v>3.55</v>
      </c>
      <c r="M938" s="108">
        <v>2475</v>
      </c>
      <c r="N938" s="108">
        <v>1750</v>
      </c>
      <c r="O938" s="142">
        <v>300</v>
      </c>
      <c r="P938" s="142">
        <v>0</v>
      </c>
      <c r="Q938" s="160">
        <v>147</v>
      </c>
      <c r="R938" s="160">
        <v>104</v>
      </c>
      <c r="S938" s="116">
        <v>0</v>
      </c>
      <c r="T938" s="116">
        <v>0</v>
      </c>
      <c r="U938" s="33" t="s">
        <v>226</v>
      </c>
      <c r="V938" s="33">
        <v>2015</v>
      </c>
      <c r="W938" s="33">
        <v>1</v>
      </c>
      <c r="X938" s="33">
        <v>0</v>
      </c>
      <c r="Y938" s="33">
        <v>-2.2700000000000001E-2</v>
      </c>
      <c r="Z938" s="33">
        <v>-3.2399999999999998E-2</v>
      </c>
      <c r="AA938" s="33">
        <v>0</v>
      </c>
      <c r="AB938" s="33">
        <v>0</v>
      </c>
      <c r="AC938" s="33" t="s">
        <v>460</v>
      </c>
      <c r="AD938" s="158" t="s">
        <v>367</v>
      </c>
      <c r="AE938" s="157"/>
    </row>
    <row r="939" spans="1:31" customFormat="1" hidden="1" x14ac:dyDescent="0.2">
      <c r="A939" s="153">
        <f t="shared" si="14"/>
        <v>915</v>
      </c>
      <c r="B939" s="33">
        <v>5</v>
      </c>
      <c r="C939" s="33">
        <v>2</v>
      </c>
      <c r="D939" s="33">
        <v>10</v>
      </c>
      <c r="E939" s="104">
        <v>2016</v>
      </c>
      <c r="F939" s="159">
        <v>2021</v>
      </c>
      <c r="G939" s="33">
        <v>7</v>
      </c>
      <c r="H939" s="33">
        <v>0</v>
      </c>
      <c r="I939" s="33">
        <v>0</v>
      </c>
      <c r="J939" s="33">
        <v>0</v>
      </c>
      <c r="K939" s="33">
        <v>0</v>
      </c>
      <c r="L939" s="101">
        <v>3.55</v>
      </c>
      <c r="M939" s="108">
        <v>2475</v>
      </c>
      <c r="N939" s="108">
        <v>1750</v>
      </c>
      <c r="O939" s="142">
        <v>300</v>
      </c>
      <c r="P939" s="142">
        <v>0</v>
      </c>
      <c r="Q939" s="160">
        <v>600</v>
      </c>
      <c r="R939" s="160">
        <v>424</v>
      </c>
      <c r="S939" s="116">
        <v>0</v>
      </c>
      <c r="T939" s="116">
        <v>0</v>
      </c>
      <c r="U939" s="33" t="s">
        <v>226</v>
      </c>
      <c r="V939" s="33">
        <v>2015</v>
      </c>
      <c r="W939" s="33">
        <v>1</v>
      </c>
      <c r="X939" s="33">
        <v>0</v>
      </c>
      <c r="Y939" s="33">
        <v>-2.2700000000000001E-2</v>
      </c>
      <c r="Z939" s="33">
        <v>-3.2399999999999998E-2</v>
      </c>
      <c r="AA939" s="33">
        <v>0</v>
      </c>
      <c r="AB939" s="33">
        <v>0</v>
      </c>
      <c r="AC939" s="33" t="s">
        <v>460</v>
      </c>
      <c r="AD939" s="158" t="s">
        <v>367</v>
      </c>
      <c r="AE939" s="157"/>
    </row>
    <row r="940" spans="1:31" customFormat="1" hidden="1" x14ac:dyDescent="0.2">
      <c r="A940" s="153">
        <f t="shared" si="14"/>
        <v>916</v>
      </c>
      <c r="B940" s="33">
        <v>5</v>
      </c>
      <c r="C940" s="33">
        <v>2</v>
      </c>
      <c r="D940" s="33">
        <v>10</v>
      </c>
      <c r="E940" s="104">
        <v>2016</v>
      </c>
      <c r="F940" s="159">
        <v>2021</v>
      </c>
      <c r="G940" s="33">
        <v>8</v>
      </c>
      <c r="H940" s="33">
        <v>0</v>
      </c>
      <c r="I940" s="33">
        <v>0</v>
      </c>
      <c r="J940" s="33">
        <v>0</v>
      </c>
      <c r="K940" s="33">
        <v>0</v>
      </c>
      <c r="L940" s="101">
        <v>3.55</v>
      </c>
      <c r="M940" s="108">
        <v>2475</v>
      </c>
      <c r="N940" s="108">
        <v>1750</v>
      </c>
      <c r="O940" s="142">
        <v>300</v>
      </c>
      <c r="P940" s="142">
        <v>0</v>
      </c>
      <c r="Q940" s="160">
        <v>242</v>
      </c>
      <c r="R940" s="160">
        <v>171</v>
      </c>
      <c r="S940" s="116">
        <v>0</v>
      </c>
      <c r="T940" s="116">
        <v>0</v>
      </c>
      <c r="U940" s="33" t="s">
        <v>226</v>
      </c>
      <c r="V940" s="33">
        <v>2015</v>
      </c>
      <c r="W940" s="33">
        <v>1</v>
      </c>
      <c r="X940" s="33">
        <v>0</v>
      </c>
      <c r="Y940" s="33">
        <v>-2.2700000000000001E-2</v>
      </c>
      <c r="Z940" s="33">
        <v>-3.2399999999999998E-2</v>
      </c>
      <c r="AA940" s="33">
        <v>0</v>
      </c>
      <c r="AB940" s="33">
        <v>0</v>
      </c>
      <c r="AC940" s="33" t="s">
        <v>460</v>
      </c>
      <c r="AD940" s="158" t="s">
        <v>367</v>
      </c>
      <c r="AE940" s="157"/>
    </row>
    <row r="941" spans="1:31" customFormat="1" hidden="1" x14ac:dyDescent="0.2">
      <c r="A941" s="153">
        <f t="shared" si="14"/>
        <v>917</v>
      </c>
      <c r="B941" s="33">
        <v>5</v>
      </c>
      <c r="C941" s="33">
        <v>2</v>
      </c>
      <c r="D941" s="33">
        <v>10</v>
      </c>
      <c r="E941" s="104">
        <v>2016</v>
      </c>
      <c r="F941" s="159">
        <v>2021</v>
      </c>
      <c r="G941" s="33">
        <v>9</v>
      </c>
      <c r="H941" s="33">
        <v>0</v>
      </c>
      <c r="I941" s="33">
        <v>0</v>
      </c>
      <c r="J941" s="33">
        <v>0</v>
      </c>
      <c r="K941" s="33">
        <v>0</v>
      </c>
      <c r="L941" s="101">
        <v>3.55</v>
      </c>
      <c r="M941" s="108">
        <v>2475</v>
      </c>
      <c r="N941" s="108">
        <v>1750</v>
      </c>
      <c r="O941" s="142">
        <v>300</v>
      </c>
      <c r="P941" s="142">
        <v>0</v>
      </c>
      <c r="Q941" s="160">
        <v>586</v>
      </c>
      <c r="R941" s="160">
        <v>415</v>
      </c>
      <c r="S941" s="116">
        <v>0</v>
      </c>
      <c r="T941" s="116">
        <v>0</v>
      </c>
      <c r="U941" s="33" t="s">
        <v>226</v>
      </c>
      <c r="V941" s="33">
        <v>2015</v>
      </c>
      <c r="W941" s="33">
        <v>1</v>
      </c>
      <c r="X941" s="33">
        <v>0</v>
      </c>
      <c r="Y941" s="33">
        <v>-2.2700000000000001E-2</v>
      </c>
      <c r="Z941" s="33">
        <v>-3.2399999999999998E-2</v>
      </c>
      <c r="AA941" s="33">
        <v>0</v>
      </c>
      <c r="AB941" s="33">
        <v>0</v>
      </c>
      <c r="AC941" s="33" t="s">
        <v>460</v>
      </c>
      <c r="AD941" s="158" t="s">
        <v>367</v>
      </c>
      <c r="AE941" s="157"/>
    </row>
    <row r="942" spans="1:31" s="157" customFormat="1" hidden="1" x14ac:dyDescent="0.2">
      <c r="A942" s="153">
        <f t="shared" si="14"/>
        <v>918</v>
      </c>
      <c r="B942" s="49">
        <v>5</v>
      </c>
      <c r="C942" s="49">
        <v>2</v>
      </c>
      <c r="D942" s="49">
        <v>10</v>
      </c>
      <c r="E942" s="166">
        <v>2022</v>
      </c>
      <c r="F942" s="49">
        <v>2032</v>
      </c>
      <c r="G942" s="49">
        <v>1</v>
      </c>
      <c r="H942" s="49">
        <v>0</v>
      </c>
      <c r="I942" s="49">
        <v>0</v>
      </c>
      <c r="J942" s="49">
        <v>0</v>
      </c>
      <c r="K942" s="49">
        <v>0</v>
      </c>
      <c r="L942" s="167">
        <v>3.55</v>
      </c>
      <c r="M942" s="168">
        <v>2475</v>
      </c>
      <c r="N942" s="168">
        <v>1750</v>
      </c>
      <c r="O942" s="51">
        <v>600</v>
      </c>
      <c r="P942" s="51">
        <v>0</v>
      </c>
      <c r="Q942" s="51">
        <v>766</v>
      </c>
      <c r="R942" s="51">
        <v>542</v>
      </c>
      <c r="S942" s="171">
        <v>0</v>
      </c>
      <c r="T942" s="171">
        <v>0</v>
      </c>
      <c r="U942" s="49" t="s">
        <v>226</v>
      </c>
      <c r="V942" s="49">
        <v>2015</v>
      </c>
      <c r="W942" s="49">
        <v>1</v>
      </c>
      <c r="X942" s="49">
        <v>0</v>
      </c>
      <c r="Y942" s="49">
        <v>-2.2700000000000001E-2</v>
      </c>
      <c r="Z942" s="49">
        <v>-3.2399999999999998E-2</v>
      </c>
      <c r="AA942" s="49">
        <v>0</v>
      </c>
      <c r="AB942" s="49">
        <v>0</v>
      </c>
      <c r="AC942" s="49" t="s">
        <v>460</v>
      </c>
      <c r="AD942" s="158" t="s">
        <v>367</v>
      </c>
    </row>
    <row r="943" spans="1:31" s="157" customFormat="1" hidden="1" x14ac:dyDescent="0.2">
      <c r="A943" s="153">
        <f t="shared" si="14"/>
        <v>919</v>
      </c>
      <c r="B943" s="49">
        <v>5</v>
      </c>
      <c r="C943" s="49">
        <v>2</v>
      </c>
      <c r="D943" s="49">
        <v>10</v>
      </c>
      <c r="E943" s="166">
        <v>2022</v>
      </c>
      <c r="F943" s="49">
        <v>2032</v>
      </c>
      <c r="G943" s="49">
        <v>2</v>
      </c>
      <c r="H943" s="49">
        <v>0</v>
      </c>
      <c r="I943" s="49">
        <v>0</v>
      </c>
      <c r="J943" s="49">
        <v>0</v>
      </c>
      <c r="K943" s="49">
        <v>0</v>
      </c>
      <c r="L943" s="167">
        <v>3.55</v>
      </c>
      <c r="M943" s="168">
        <v>2475</v>
      </c>
      <c r="N943" s="168">
        <v>1750</v>
      </c>
      <c r="O943" s="51">
        <v>600</v>
      </c>
      <c r="P943" s="51">
        <v>0</v>
      </c>
      <c r="Q943" s="51">
        <v>746</v>
      </c>
      <c r="R943" s="51">
        <v>527</v>
      </c>
      <c r="S943" s="171">
        <v>0</v>
      </c>
      <c r="T943" s="171">
        <v>0</v>
      </c>
      <c r="U943" s="49" t="s">
        <v>226</v>
      </c>
      <c r="V943" s="49">
        <v>2015</v>
      </c>
      <c r="W943" s="49">
        <v>1</v>
      </c>
      <c r="X943" s="49">
        <v>0</v>
      </c>
      <c r="Y943" s="49">
        <v>-2.2700000000000001E-2</v>
      </c>
      <c r="Z943" s="49">
        <v>-3.2399999999999998E-2</v>
      </c>
      <c r="AA943" s="49">
        <v>0</v>
      </c>
      <c r="AB943" s="49">
        <v>0</v>
      </c>
      <c r="AC943" s="49" t="s">
        <v>460</v>
      </c>
      <c r="AD943" s="158" t="s">
        <v>367</v>
      </c>
    </row>
    <row r="944" spans="1:31" s="157" customFormat="1" x14ac:dyDescent="0.2">
      <c r="A944" s="153">
        <f t="shared" si="14"/>
        <v>920</v>
      </c>
      <c r="B944" s="49">
        <v>5</v>
      </c>
      <c r="C944" s="49">
        <v>2</v>
      </c>
      <c r="D944" s="49">
        <v>10</v>
      </c>
      <c r="E944" s="166">
        <v>2022</v>
      </c>
      <c r="F944" s="49">
        <v>2032</v>
      </c>
      <c r="G944" s="49">
        <v>3</v>
      </c>
      <c r="H944" s="49">
        <v>0</v>
      </c>
      <c r="I944" s="49">
        <v>0</v>
      </c>
      <c r="J944" s="49">
        <v>0</v>
      </c>
      <c r="K944" s="49">
        <v>0</v>
      </c>
      <c r="L944" s="167">
        <v>3.55</v>
      </c>
      <c r="M944" s="168">
        <v>2475</v>
      </c>
      <c r="N944" s="168">
        <v>1750</v>
      </c>
      <c r="O944" s="51">
        <v>600</v>
      </c>
      <c r="P944" s="51">
        <v>0</v>
      </c>
      <c r="Q944" s="51">
        <v>265</v>
      </c>
      <c r="R944" s="51">
        <v>187</v>
      </c>
      <c r="S944" s="171">
        <v>0</v>
      </c>
      <c r="T944" s="171">
        <v>0</v>
      </c>
      <c r="U944" s="49" t="s">
        <v>226</v>
      </c>
      <c r="V944" s="49">
        <v>2015</v>
      </c>
      <c r="W944" s="49">
        <v>1</v>
      </c>
      <c r="X944" s="49">
        <v>0</v>
      </c>
      <c r="Y944" s="49">
        <v>-2.2700000000000001E-2</v>
      </c>
      <c r="Z944" s="49">
        <v>-3.2399999999999998E-2</v>
      </c>
      <c r="AA944" s="49">
        <v>0</v>
      </c>
      <c r="AB944" s="49">
        <v>0</v>
      </c>
      <c r="AC944" s="49" t="s">
        <v>460</v>
      </c>
      <c r="AD944" s="158" t="s">
        <v>367</v>
      </c>
    </row>
    <row r="945" spans="1:31" s="157" customFormat="1" hidden="1" x14ac:dyDescent="0.2">
      <c r="A945" s="153">
        <f t="shared" si="14"/>
        <v>921</v>
      </c>
      <c r="B945" s="49">
        <v>5</v>
      </c>
      <c r="C945" s="49">
        <v>2</v>
      </c>
      <c r="D945" s="49">
        <v>10</v>
      </c>
      <c r="E945" s="166">
        <v>2022</v>
      </c>
      <c r="F945" s="49">
        <v>2032</v>
      </c>
      <c r="G945" s="49">
        <v>4</v>
      </c>
      <c r="H945" s="49">
        <v>0</v>
      </c>
      <c r="I945" s="49">
        <v>0</v>
      </c>
      <c r="J945" s="49">
        <v>0</v>
      </c>
      <c r="K945" s="49">
        <v>0</v>
      </c>
      <c r="L945" s="167">
        <v>3.55</v>
      </c>
      <c r="M945" s="168">
        <v>2475</v>
      </c>
      <c r="N945" s="168">
        <v>1750</v>
      </c>
      <c r="O945" s="51">
        <v>600</v>
      </c>
      <c r="P945" s="51">
        <v>0</v>
      </c>
      <c r="Q945" s="51">
        <v>225</v>
      </c>
      <c r="R945" s="51">
        <v>159</v>
      </c>
      <c r="S945" s="171">
        <v>0</v>
      </c>
      <c r="T945" s="171">
        <v>0</v>
      </c>
      <c r="U945" s="49" t="s">
        <v>226</v>
      </c>
      <c r="V945" s="49">
        <v>2015</v>
      </c>
      <c r="W945" s="49">
        <v>1</v>
      </c>
      <c r="X945" s="49">
        <v>0</v>
      </c>
      <c r="Y945" s="49">
        <v>-2.2700000000000001E-2</v>
      </c>
      <c r="Z945" s="49">
        <v>-3.2399999999999998E-2</v>
      </c>
      <c r="AA945" s="49">
        <v>0</v>
      </c>
      <c r="AB945" s="49">
        <v>0</v>
      </c>
      <c r="AC945" s="49" t="s">
        <v>460</v>
      </c>
      <c r="AD945" s="158" t="s">
        <v>367</v>
      </c>
    </row>
    <row r="946" spans="1:31" s="157" customFormat="1" hidden="1" x14ac:dyDescent="0.2">
      <c r="A946" s="153">
        <f t="shared" si="14"/>
        <v>922</v>
      </c>
      <c r="B946" s="49">
        <v>5</v>
      </c>
      <c r="C946" s="49">
        <v>2</v>
      </c>
      <c r="D946" s="49">
        <v>10</v>
      </c>
      <c r="E946" s="166">
        <v>2022</v>
      </c>
      <c r="F946" s="49">
        <v>2032</v>
      </c>
      <c r="G946" s="49">
        <v>5</v>
      </c>
      <c r="H946" s="49">
        <v>0</v>
      </c>
      <c r="I946" s="49">
        <v>0</v>
      </c>
      <c r="J946" s="49">
        <v>0</v>
      </c>
      <c r="K946" s="49">
        <v>0</v>
      </c>
      <c r="L946" s="167">
        <v>3.55</v>
      </c>
      <c r="M946" s="168">
        <v>2475</v>
      </c>
      <c r="N946" s="168">
        <v>1750</v>
      </c>
      <c r="O946" s="51">
        <v>600</v>
      </c>
      <c r="P946" s="51">
        <v>0</v>
      </c>
      <c r="Q946" s="51">
        <v>360</v>
      </c>
      <c r="R946" s="51">
        <v>254</v>
      </c>
      <c r="S946" s="171">
        <v>0</v>
      </c>
      <c r="T946" s="171">
        <v>0</v>
      </c>
      <c r="U946" s="49" t="s">
        <v>226</v>
      </c>
      <c r="V946" s="49">
        <v>2015</v>
      </c>
      <c r="W946" s="49">
        <v>1</v>
      </c>
      <c r="X946" s="49">
        <v>0</v>
      </c>
      <c r="Y946" s="49">
        <v>-2.2700000000000001E-2</v>
      </c>
      <c r="Z946" s="49">
        <v>-3.2399999999999998E-2</v>
      </c>
      <c r="AA946" s="49">
        <v>0</v>
      </c>
      <c r="AB946" s="49">
        <v>0</v>
      </c>
      <c r="AC946" s="49" t="s">
        <v>460</v>
      </c>
      <c r="AD946" s="158" t="s">
        <v>367</v>
      </c>
    </row>
    <row r="947" spans="1:31" s="157" customFormat="1" hidden="1" x14ac:dyDescent="0.2">
      <c r="A947" s="153">
        <f t="shared" si="14"/>
        <v>923</v>
      </c>
      <c r="B947" s="49">
        <v>5</v>
      </c>
      <c r="C947" s="49">
        <v>2</v>
      </c>
      <c r="D947" s="49">
        <v>10</v>
      </c>
      <c r="E947" s="166">
        <v>2022</v>
      </c>
      <c r="F947" s="49">
        <v>2032</v>
      </c>
      <c r="G947" s="49">
        <v>6</v>
      </c>
      <c r="H947" s="49">
        <v>0</v>
      </c>
      <c r="I947" s="49">
        <v>0</v>
      </c>
      <c r="J947" s="49">
        <v>0</v>
      </c>
      <c r="K947" s="49">
        <v>0</v>
      </c>
      <c r="L947" s="167">
        <v>3.55</v>
      </c>
      <c r="M947" s="168">
        <v>2475</v>
      </c>
      <c r="N947" s="168">
        <v>1750</v>
      </c>
      <c r="O947" s="51">
        <v>600</v>
      </c>
      <c r="P947" s="51">
        <v>0</v>
      </c>
      <c r="Q947" s="51">
        <v>147</v>
      </c>
      <c r="R947" s="51">
        <v>104</v>
      </c>
      <c r="S947" s="171">
        <v>0</v>
      </c>
      <c r="T947" s="171">
        <v>0</v>
      </c>
      <c r="U947" s="49" t="s">
        <v>226</v>
      </c>
      <c r="V947" s="49">
        <v>2015</v>
      </c>
      <c r="W947" s="49">
        <v>1</v>
      </c>
      <c r="X947" s="49">
        <v>0</v>
      </c>
      <c r="Y947" s="49">
        <v>-2.2700000000000001E-2</v>
      </c>
      <c r="Z947" s="49">
        <v>-3.2399999999999998E-2</v>
      </c>
      <c r="AA947" s="49">
        <v>0</v>
      </c>
      <c r="AB947" s="49">
        <v>0</v>
      </c>
      <c r="AC947" s="49" t="s">
        <v>460</v>
      </c>
      <c r="AD947" s="158" t="s">
        <v>367</v>
      </c>
    </row>
    <row r="948" spans="1:31" s="157" customFormat="1" hidden="1" x14ac:dyDescent="0.2">
      <c r="A948" s="153">
        <f t="shared" si="14"/>
        <v>924</v>
      </c>
      <c r="B948" s="49">
        <v>5</v>
      </c>
      <c r="C948" s="49">
        <v>2</v>
      </c>
      <c r="D948" s="49">
        <v>10</v>
      </c>
      <c r="E948" s="166">
        <v>2022</v>
      </c>
      <c r="F948" s="49">
        <v>2032</v>
      </c>
      <c r="G948" s="49">
        <v>7</v>
      </c>
      <c r="H948" s="49">
        <v>0</v>
      </c>
      <c r="I948" s="49">
        <v>0</v>
      </c>
      <c r="J948" s="49">
        <v>0</v>
      </c>
      <c r="K948" s="49">
        <v>0</v>
      </c>
      <c r="L948" s="167">
        <v>3.55</v>
      </c>
      <c r="M948" s="168">
        <v>2475</v>
      </c>
      <c r="N948" s="168">
        <v>1750</v>
      </c>
      <c r="O948" s="51">
        <v>600</v>
      </c>
      <c r="P948" s="51">
        <v>0</v>
      </c>
      <c r="Q948" s="51">
        <v>600</v>
      </c>
      <c r="R948" s="51">
        <v>424</v>
      </c>
      <c r="S948" s="171">
        <v>0</v>
      </c>
      <c r="T948" s="171">
        <v>0</v>
      </c>
      <c r="U948" s="49" t="s">
        <v>226</v>
      </c>
      <c r="V948" s="49">
        <v>2015</v>
      </c>
      <c r="W948" s="49">
        <v>1</v>
      </c>
      <c r="X948" s="49">
        <v>0</v>
      </c>
      <c r="Y948" s="49">
        <v>-2.2700000000000001E-2</v>
      </c>
      <c r="Z948" s="49">
        <v>-3.2399999999999998E-2</v>
      </c>
      <c r="AA948" s="49">
        <v>0</v>
      </c>
      <c r="AB948" s="49">
        <v>0</v>
      </c>
      <c r="AC948" s="49" t="s">
        <v>460</v>
      </c>
      <c r="AD948" s="158" t="s">
        <v>367</v>
      </c>
    </row>
    <row r="949" spans="1:31" s="157" customFormat="1" hidden="1" x14ac:dyDescent="0.2">
      <c r="A949" s="153">
        <f t="shared" si="14"/>
        <v>925</v>
      </c>
      <c r="B949" s="49">
        <v>5</v>
      </c>
      <c r="C949" s="49">
        <v>2</v>
      </c>
      <c r="D949" s="49">
        <v>10</v>
      </c>
      <c r="E949" s="166">
        <v>2022</v>
      </c>
      <c r="F949" s="49">
        <v>2032</v>
      </c>
      <c r="G949" s="49">
        <v>8</v>
      </c>
      <c r="H949" s="49">
        <v>0</v>
      </c>
      <c r="I949" s="49">
        <v>0</v>
      </c>
      <c r="J949" s="49">
        <v>0</v>
      </c>
      <c r="K949" s="49">
        <v>0</v>
      </c>
      <c r="L949" s="167">
        <v>3.55</v>
      </c>
      <c r="M949" s="168">
        <v>2475</v>
      </c>
      <c r="N949" s="168">
        <v>1750</v>
      </c>
      <c r="O949" s="51">
        <v>600</v>
      </c>
      <c r="P949" s="51">
        <v>0</v>
      </c>
      <c r="Q949" s="51">
        <v>242</v>
      </c>
      <c r="R949" s="51">
        <v>171</v>
      </c>
      <c r="S949" s="171">
        <v>0</v>
      </c>
      <c r="T949" s="171">
        <v>0</v>
      </c>
      <c r="U949" s="49" t="s">
        <v>226</v>
      </c>
      <c r="V949" s="49">
        <v>2015</v>
      </c>
      <c r="W949" s="49">
        <v>1</v>
      </c>
      <c r="X949" s="49">
        <v>0</v>
      </c>
      <c r="Y949" s="49">
        <v>-2.2700000000000001E-2</v>
      </c>
      <c r="Z949" s="49">
        <v>-3.2399999999999998E-2</v>
      </c>
      <c r="AA949" s="49">
        <v>0</v>
      </c>
      <c r="AB949" s="49">
        <v>0</v>
      </c>
      <c r="AC949" s="49" t="s">
        <v>460</v>
      </c>
      <c r="AD949" s="158" t="s">
        <v>367</v>
      </c>
    </row>
    <row r="950" spans="1:31" s="157" customFormat="1" hidden="1" x14ac:dyDescent="0.2">
      <c r="A950" s="153">
        <f t="shared" si="14"/>
        <v>926</v>
      </c>
      <c r="B950" s="49">
        <v>5</v>
      </c>
      <c r="C950" s="49">
        <v>2</v>
      </c>
      <c r="D950" s="49">
        <v>10</v>
      </c>
      <c r="E950" s="166">
        <v>2022</v>
      </c>
      <c r="F950" s="49">
        <v>2032</v>
      </c>
      <c r="G950" s="49">
        <v>9</v>
      </c>
      <c r="H950" s="49">
        <v>0</v>
      </c>
      <c r="I950" s="49">
        <v>0</v>
      </c>
      <c r="J950" s="49">
        <v>0</v>
      </c>
      <c r="K950" s="49">
        <v>0</v>
      </c>
      <c r="L950" s="167">
        <v>3.55</v>
      </c>
      <c r="M950" s="168">
        <v>2475</v>
      </c>
      <c r="N950" s="168">
        <v>1750</v>
      </c>
      <c r="O950" s="51">
        <v>600</v>
      </c>
      <c r="P950" s="51">
        <v>0</v>
      </c>
      <c r="Q950" s="51">
        <v>586</v>
      </c>
      <c r="R950" s="51">
        <v>415</v>
      </c>
      <c r="S950" s="171">
        <v>0</v>
      </c>
      <c r="T950" s="171">
        <v>0</v>
      </c>
      <c r="U950" s="49" t="s">
        <v>226</v>
      </c>
      <c r="V950" s="49">
        <v>2015</v>
      </c>
      <c r="W950" s="49">
        <v>1</v>
      </c>
      <c r="X950" s="49">
        <v>0</v>
      </c>
      <c r="Y950" s="49">
        <v>-2.2700000000000001E-2</v>
      </c>
      <c r="Z950" s="49">
        <v>-3.2399999999999998E-2</v>
      </c>
      <c r="AA950" s="49">
        <v>0</v>
      </c>
      <c r="AB950" s="49">
        <v>0</v>
      </c>
      <c r="AC950" s="49" t="s">
        <v>460</v>
      </c>
      <c r="AD950" s="158" t="s">
        <v>367</v>
      </c>
    </row>
    <row r="951" spans="1:31" customFormat="1" hidden="1" x14ac:dyDescent="0.2">
      <c r="A951" s="153">
        <f t="shared" si="14"/>
        <v>927</v>
      </c>
      <c r="B951" s="33">
        <v>5</v>
      </c>
      <c r="C951" s="33">
        <v>2</v>
      </c>
      <c r="D951" s="33">
        <v>10</v>
      </c>
      <c r="E951" s="143">
        <v>2033</v>
      </c>
      <c r="F951" s="33">
        <v>2050</v>
      </c>
      <c r="G951" s="33">
        <v>1</v>
      </c>
      <c r="H951" s="33">
        <v>0</v>
      </c>
      <c r="I951" s="33">
        <v>0</v>
      </c>
      <c r="J951" s="33">
        <v>0</v>
      </c>
      <c r="K951" s="33">
        <v>0</v>
      </c>
      <c r="L951" s="101">
        <v>3.55</v>
      </c>
      <c r="M951" s="108">
        <v>2475</v>
      </c>
      <c r="N951" s="108">
        <v>1750</v>
      </c>
      <c r="O951" s="142">
        <v>0</v>
      </c>
      <c r="P951" s="142">
        <v>0</v>
      </c>
      <c r="Q951" s="160">
        <v>766</v>
      </c>
      <c r="R951" s="160">
        <v>542</v>
      </c>
      <c r="S951" s="116">
        <v>0</v>
      </c>
      <c r="T951" s="116">
        <v>0</v>
      </c>
      <c r="U951" s="33" t="s">
        <v>226</v>
      </c>
      <c r="V951" s="33">
        <v>2015</v>
      </c>
      <c r="W951" s="33">
        <v>1</v>
      </c>
      <c r="X951" s="33">
        <v>0</v>
      </c>
      <c r="Y951" s="33">
        <v>-2.2700000000000001E-2</v>
      </c>
      <c r="Z951" s="33">
        <v>-3.2399999999999998E-2</v>
      </c>
      <c r="AA951" s="33">
        <v>0</v>
      </c>
      <c r="AB951" s="33">
        <v>0</v>
      </c>
      <c r="AC951" s="33" t="s">
        <v>460</v>
      </c>
      <c r="AD951" s="158" t="s">
        <v>367</v>
      </c>
      <c r="AE951" s="157"/>
    </row>
    <row r="952" spans="1:31" customFormat="1" hidden="1" x14ac:dyDescent="0.2">
      <c r="A952" s="153">
        <f t="shared" si="14"/>
        <v>928</v>
      </c>
      <c r="B952" s="33">
        <v>5</v>
      </c>
      <c r="C952" s="33">
        <v>2</v>
      </c>
      <c r="D952" s="33">
        <v>10</v>
      </c>
      <c r="E952" s="143">
        <v>2033</v>
      </c>
      <c r="F952" s="33">
        <v>2050</v>
      </c>
      <c r="G952" s="33">
        <v>2</v>
      </c>
      <c r="H952" s="33">
        <v>0</v>
      </c>
      <c r="I952" s="33">
        <v>0</v>
      </c>
      <c r="J952" s="33">
        <v>0</v>
      </c>
      <c r="K952" s="33">
        <v>0</v>
      </c>
      <c r="L952" s="101">
        <v>3.55</v>
      </c>
      <c r="M952" s="108">
        <v>2475</v>
      </c>
      <c r="N952" s="108">
        <v>1750</v>
      </c>
      <c r="O952" s="142">
        <v>0</v>
      </c>
      <c r="P952" s="142">
        <v>0</v>
      </c>
      <c r="Q952" s="160">
        <v>746</v>
      </c>
      <c r="R952" s="160">
        <v>527</v>
      </c>
      <c r="S952" s="116">
        <v>0</v>
      </c>
      <c r="T952" s="116">
        <v>0</v>
      </c>
      <c r="U952" s="33" t="s">
        <v>226</v>
      </c>
      <c r="V952" s="33">
        <v>2015</v>
      </c>
      <c r="W952" s="33">
        <v>1</v>
      </c>
      <c r="X952" s="33">
        <v>0</v>
      </c>
      <c r="Y952" s="33">
        <v>-2.2700000000000001E-2</v>
      </c>
      <c r="Z952" s="33">
        <v>-3.2399999999999998E-2</v>
      </c>
      <c r="AA952" s="33">
        <v>0</v>
      </c>
      <c r="AB952" s="33">
        <v>0</v>
      </c>
      <c r="AC952" s="33" t="s">
        <v>460</v>
      </c>
      <c r="AD952" s="158" t="s">
        <v>367</v>
      </c>
      <c r="AE952" s="157"/>
    </row>
    <row r="953" spans="1:31" customFormat="1" x14ac:dyDescent="0.2">
      <c r="A953" s="153">
        <f t="shared" si="14"/>
        <v>929</v>
      </c>
      <c r="B953" s="33">
        <v>5</v>
      </c>
      <c r="C953" s="33">
        <v>2</v>
      </c>
      <c r="D953" s="33">
        <v>10</v>
      </c>
      <c r="E953" s="143">
        <v>2033</v>
      </c>
      <c r="F953" s="33">
        <v>2050</v>
      </c>
      <c r="G953" s="33">
        <v>3</v>
      </c>
      <c r="H953" s="33">
        <v>0</v>
      </c>
      <c r="I953" s="33">
        <v>0</v>
      </c>
      <c r="J953" s="33">
        <v>0</v>
      </c>
      <c r="K953" s="33">
        <v>0</v>
      </c>
      <c r="L953" s="101">
        <v>3.55</v>
      </c>
      <c r="M953" s="108">
        <v>2475</v>
      </c>
      <c r="N953" s="108">
        <v>1750</v>
      </c>
      <c r="O953" s="142">
        <v>0</v>
      </c>
      <c r="P953" s="142">
        <v>0</v>
      </c>
      <c r="Q953" s="160">
        <v>265</v>
      </c>
      <c r="R953" s="160">
        <v>187</v>
      </c>
      <c r="S953" s="116">
        <v>0</v>
      </c>
      <c r="T953" s="116">
        <v>0</v>
      </c>
      <c r="U953" s="33" t="s">
        <v>226</v>
      </c>
      <c r="V953" s="33">
        <v>2015</v>
      </c>
      <c r="W953" s="33">
        <v>1</v>
      </c>
      <c r="X953" s="33">
        <v>0</v>
      </c>
      <c r="Y953" s="33">
        <v>-2.2700000000000001E-2</v>
      </c>
      <c r="Z953" s="33">
        <v>-3.2399999999999998E-2</v>
      </c>
      <c r="AA953" s="33">
        <v>0</v>
      </c>
      <c r="AB953" s="33">
        <v>0</v>
      </c>
      <c r="AC953" s="33" t="s">
        <v>460</v>
      </c>
      <c r="AD953" s="158" t="s">
        <v>367</v>
      </c>
      <c r="AE953" s="157"/>
    </row>
    <row r="954" spans="1:31" customFormat="1" hidden="1" x14ac:dyDescent="0.2">
      <c r="A954" s="153">
        <f t="shared" si="14"/>
        <v>930</v>
      </c>
      <c r="B954" s="33">
        <v>5</v>
      </c>
      <c r="C954" s="33">
        <v>2</v>
      </c>
      <c r="D954" s="33">
        <v>10</v>
      </c>
      <c r="E954" s="143">
        <v>2033</v>
      </c>
      <c r="F954" s="33">
        <v>2050</v>
      </c>
      <c r="G954" s="33">
        <v>4</v>
      </c>
      <c r="H954" s="33">
        <v>0</v>
      </c>
      <c r="I954" s="33">
        <v>0</v>
      </c>
      <c r="J954" s="33">
        <v>0</v>
      </c>
      <c r="K954" s="33">
        <v>0</v>
      </c>
      <c r="L954" s="101">
        <v>3.55</v>
      </c>
      <c r="M954" s="108">
        <v>2475</v>
      </c>
      <c r="N954" s="108">
        <v>1750</v>
      </c>
      <c r="O954" s="142">
        <v>0</v>
      </c>
      <c r="P954" s="142">
        <v>0</v>
      </c>
      <c r="Q954" s="160">
        <v>225</v>
      </c>
      <c r="R954" s="160">
        <v>159</v>
      </c>
      <c r="S954" s="116">
        <v>0</v>
      </c>
      <c r="T954" s="116">
        <v>0</v>
      </c>
      <c r="U954" s="33" t="s">
        <v>226</v>
      </c>
      <c r="V954" s="33">
        <v>2015</v>
      </c>
      <c r="W954" s="33">
        <v>1</v>
      </c>
      <c r="X954" s="33">
        <v>0</v>
      </c>
      <c r="Y954" s="33">
        <v>-2.2700000000000001E-2</v>
      </c>
      <c r="Z954" s="33">
        <v>-3.2399999999999998E-2</v>
      </c>
      <c r="AA954" s="33">
        <v>0</v>
      </c>
      <c r="AB954" s="33">
        <v>0</v>
      </c>
      <c r="AC954" s="33" t="s">
        <v>460</v>
      </c>
      <c r="AD954" s="158" t="s">
        <v>367</v>
      </c>
      <c r="AE954" s="157"/>
    </row>
    <row r="955" spans="1:31" customFormat="1" hidden="1" x14ac:dyDescent="0.2">
      <c r="A955" s="153">
        <f t="shared" si="14"/>
        <v>931</v>
      </c>
      <c r="B955" s="33">
        <v>5</v>
      </c>
      <c r="C955" s="33">
        <v>2</v>
      </c>
      <c r="D955" s="33">
        <v>10</v>
      </c>
      <c r="E955" s="143">
        <v>2033</v>
      </c>
      <c r="F955" s="33">
        <v>2050</v>
      </c>
      <c r="G955" s="33">
        <v>5</v>
      </c>
      <c r="H955" s="33">
        <v>0</v>
      </c>
      <c r="I955" s="33">
        <v>0</v>
      </c>
      <c r="J955" s="33">
        <v>0</v>
      </c>
      <c r="K955" s="33">
        <v>0</v>
      </c>
      <c r="L955" s="101">
        <v>3.55</v>
      </c>
      <c r="M955" s="108">
        <v>2475</v>
      </c>
      <c r="N955" s="108">
        <v>1750</v>
      </c>
      <c r="O955" s="142">
        <v>0</v>
      </c>
      <c r="P955" s="142">
        <v>0</v>
      </c>
      <c r="Q955" s="160">
        <v>360</v>
      </c>
      <c r="R955" s="160">
        <v>254</v>
      </c>
      <c r="S955" s="116">
        <v>0</v>
      </c>
      <c r="T955" s="116">
        <v>0</v>
      </c>
      <c r="U955" s="33" t="s">
        <v>226</v>
      </c>
      <c r="V955" s="33">
        <v>2015</v>
      </c>
      <c r="W955" s="33">
        <v>1</v>
      </c>
      <c r="X955" s="33">
        <v>0</v>
      </c>
      <c r="Y955" s="33">
        <v>-2.2700000000000001E-2</v>
      </c>
      <c r="Z955" s="33">
        <v>-3.2399999999999998E-2</v>
      </c>
      <c r="AA955" s="33">
        <v>0</v>
      </c>
      <c r="AB955" s="33">
        <v>0</v>
      </c>
      <c r="AC955" s="33" t="s">
        <v>460</v>
      </c>
      <c r="AD955" s="158" t="s">
        <v>367</v>
      </c>
      <c r="AE955" s="157"/>
    </row>
    <row r="956" spans="1:31" customFormat="1" hidden="1" x14ac:dyDescent="0.2">
      <c r="A956" s="153">
        <f t="shared" si="14"/>
        <v>932</v>
      </c>
      <c r="B956" s="33">
        <v>5</v>
      </c>
      <c r="C956" s="33">
        <v>2</v>
      </c>
      <c r="D956" s="33">
        <v>10</v>
      </c>
      <c r="E956" s="143">
        <v>2033</v>
      </c>
      <c r="F956" s="33">
        <v>2050</v>
      </c>
      <c r="G956" s="33">
        <v>6</v>
      </c>
      <c r="H956" s="33">
        <v>0</v>
      </c>
      <c r="I956" s="33">
        <v>0</v>
      </c>
      <c r="J956" s="33">
        <v>0</v>
      </c>
      <c r="K956" s="33">
        <v>0</v>
      </c>
      <c r="L956" s="101">
        <v>3.55</v>
      </c>
      <c r="M956" s="108">
        <v>2475</v>
      </c>
      <c r="N956" s="108">
        <v>1750</v>
      </c>
      <c r="O956" s="142">
        <v>0</v>
      </c>
      <c r="P956" s="142">
        <v>0</v>
      </c>
      <c r="Q956" s="160">
        <v>147</v>
      </c>
      <c r="R956" s="160">
        <v>104</v>
      </c>
      <c r="S956" s="116">
        <v>0</v>
      </c>
      <c r="T956" s="116">
        <v>0</v>
      </c>
      <c r="U956" s="33" t="s">
        <v>226</v>
      </c>
      <c r="V956" s="33">
        <v>2015</v>
      </c>
      <c r="W956" s="33">
        <v>1</v>
      </c>
      <c r="X956" s="33">
        <v>0</v>
      </c>
      <c r="Y956" s="33">
        <v>-2.2700000000000001E-2</v>
      </c>
      <c r="Z956" s="33">
        <v>-3.2399999999999998E-2</v>
      </c>
      <c r="AA956" s="33">
        <v>0</v>
      </c>
      <c r="AB956" s="33">
        <v>0</v>
      </c>
      <c r="AC956" s="33" t="s">
        <v>460</v>
      </c>
      <c r="AD956" s="158" t="s">
        <v>367</v>
      </c>
      <c r="AE956" s="157"/>
    </row>
    <row r="957" spans="1:31" customFormat="1" hidden="1" x14ac:dyDescent="0.2">
      <c r="A957" s="153">
        <f t="shared" si="14"/>
        <v>933</v>
      </c>
      <c r="B957" s="33">
        <v>5</v>
      </c>
      <c r="C957" s="33">
        <v>2</v>
      </c>
      <c r="D957" s="33">
        <v>10</v>
      </c>
      <c r="E957" s="143">
        <v>2033</v>
      </c>
      <c r="F957" s="33">
        <v>2050</v>
      </c>
      <c r="G957" s="33">
        <v>7</v>
      </c>
      <c r="H957" s="33">
        <v>0</v>
      </c>
      <c r="I957" s="33">
        <v>0</v>
      </c>
      <c r="J957" s="33">
        <v>0</v>
      </c>
      <c r="K957" s="33">
        <v>0</v>
      </c>
      <c r="L957" s="101">
        <v>3.55</v>
      </c>
      <c r="M957" s="108">
        <v>2475</v>
      </c>
      <c r="N957" s="108">
        <v>1750</v>
      </c>
      <c r="O957" s="142">
        <v>0</v>
      </c>
      <c r="P957" s="142">
        <v>0</v>
      </c>
      <c r="Q957" s="160">
        <v>600</v>
      </c>
      <c r="R957" s="160">
        <v>424</v>
      </c>
      <c r="S957" s="116">
        <v>0</v>
      </c>
      <c r="T957" s="116">
        <v>0</v>
      </c>
      <c r="U957" s="33" t="s">
        <v>226</v>
      </c>
      <c r="V957" s="33">
        <v>2015</v>
      </c>
      <c r="W957" s="33">
        <v>1</v>
      </c>
      <c r="X957" s="33">
        <v>0</v>
      </c>
      <c r="Y957" s="33">
        <v>-2.2700000000000001E-2</v>
      </c>
      <c r="Z957" s="33">
        <v>-3.2399999999999998E-2</v>
      </c>
      <c r="AA957" s="33">
        <v>0</v>
      </c>
      <c r="AB957" s="33">
        <v>0</v>
      </c>
      <c r="AC957" s="33" t="s">
        <v>460</v>
      </c>
      <c r="AD957" s="158" t="s">
        <v>367</v>
      </c>
      <c r="AE957" s="157"/>
    </row>
    <row r="958" spans="1:31" customFormat="1" hidden="1" x14ac:dyDescent="0.2">
      <c r="A958" s="153">
        <f t="shared" si="14"/>
        <v>934</v>
      </c>
      <c r="B958" s="33">
        <v>5</v>
      </c>
      <c r="C958" s="33">
        <v>2</v>
      </c>
      <c r="D958" s="33">
        <v>10</v>
      </c>
      <c r="E958" s="143">
        <v>2033</v>
      </c>
      <c r="F958" s="33">
        <v>2050</v>
      </c>
      <c r="G958" s="33">
        <v>8</v>
      </c>
      <c r="H958" s="33">
        <v>0</v>
      </c>
      <c r="I958" s="33">
        <v>0</v>
      </c>
      <c r="J958" s="33">
        <v>0</v>
      </c>
      <c r="K958" s="33">
        <v>0</v>
      </c>
      <c r="L958" s="101">
        <v>3.55</v>
      </c>
      <c r="M958" s="108">
        <v>2475</v>
      </c>
      <c r="N958" s="108">
        <v>1750</v>
      </c>
      <c r="O958" s="142">
        <v>0</v>
      </c>
      <c r="P958" s="142">
        <v>0</v>
      </c>
      <c r="Q958" s="160">
        <v>242</v>
      </c>
      <c r="R958" s="160">
        <v>171</v>
      </c>
      <c r="S958" s="116">
        <v>0</v>
      </c>
      <c r="T958" s="116">
        <v>0</v>
      </c>
      <c r="U958" s="33" t="s">
        <v>226</v>
      </c>
      <c r="V958" s="33">
        <v>2015</v>
      </c>
      <c r="W958" s="33">
        <v>1</v>
      </c>
      <c r="X958" s="33">
        <v>0</v>
      </c>
      <c r="Y958" s="33">
        <v>-2.2700000000000001E-2</v>
      </c>
      <c r="Z958" s="33">
        <v>-3.2399999999999998E-2</v>
      </c>
      <c r="AA958" s="33">
        <v>0</v>
      </c>
      <c r="AB958" s="33">
        <v>0</v>
      </c>
      <c r="AC958" s="33" t="s">
        <v>460</v>
      </c>
      <c r="AD958" s="158" t="s">
        <v>367</v>
      </c>
      <c r="AE958" s="157"/>
    </row>
    <row r="959" spans="1:31" customFormat="1" hidden="1" x14ac:dyDescent="0.2">
      <c r="A959" s="153">
        <f t="shared" si="14"/>
        <v>935</v>
      </c>
      <c r="B959" s="33">
        <v>5</v>
      </c>
      <c r="C959" s="33">
        <v>2</v>
      </c>
      <c r="D959" s="33">
        <v>10</v>
      </c>
      <c r="E959" s="143">
        <v>2033</v>
      </c>
      <c r="F959" s="33">
        <v>2050</v>
      </c>
      <c r="G959" s="33">
        <v>9</v>
      </c>
      <c r="H959" s="33">
        <v>0</v>
      </c>
      <c r="I959" s="33">
        <v>0</v>
      </c>
      <c r="J959" s="33">
        <v>0</v>
      </c>
      <c r="K959" s="33">
        <v>0</v>
      </c>
      <c r="L959" s="101">
        <v>3.55</v>
      </c>
      <c r="M959" s="108">
        <v>2475</v>
      </c>
      <c r="N959" s="108">
        <v>1750</v>
      </c>
      <c r="O959" s="142">
        <v>0</v>
      </c>
      <c r="P959" s="142">
        <v>0</v>
      </c>
      <c r="Q959" s="160">
        <v>586</v>
      </c>
      <c r="R959" s="160">
        <v>415</v>
      </c>
      <c r="S959" s="116">
        <v>0</v>
      </c>
      <c r="T959" s="116">
        <v>0</v>
      </c>
      <c r="U959" s="33" t="s">
        <v>226</v>
      </c>
      <c r="V959" s="33">
        <v>2015</v>
      </c>
      <c r="W959" s="33">
        <v>1</v>
      </c>
      <c r="X959" s="33">
        <v>0</v>
      </c>
      <c r="Y959" s="33">
        <v>-2.2700000000000001E-2</v>
      </c>
      <c r="Z959" s="33">
        <v>-3.2399999999999998E-2</v>
      </c>
      <c r="AA959" s="33">
        <v>0</v>
      </c>
      <c r="AB959" s="33">
        <v>0</v>
      </c>
      <c r="AC959" s="33" t="s">
        <v>460</v>
      </c>
      <c r="AD959" s="158" t="s">
        <v>367</v>
      </c>
      <c r="AE959" s="157"/>
    </row>
    <row r="960" spans="1:31" customFormat="1" hidden="1" x14ac:dyDescent="0.2">
      <c r="A960" s="153">
        <f t="shared" si="14"/>
        <v>936</v>
      </c>
      <c r="B960" s="33">
        <v>5</v>
      </c>
      <c r="C960" s="33">
        <v>3</v>
      </c>
      <c r="D960" s="33">
        <v>11</v>
      </c>
      <c r="E960" s="104">
        <v>2016</v>
      </c>
      <c r="F960" s="33">
        <v>2050</v>
      </c>
      <c r="G960" s="33">
        <v>11</v>
      </c>
      <c r="H960" s="33">
        <v>0</v>
      </c>
      <c r="I960" s="33">
        <v>0</v>
      </c>
      <c r="J960" s="33">
        <v>0</v>
      </c>
      <c r="K960" s="33">
        <v>0</v>
      </c>
      <c r="L960" s="101">
        <v>0.63670000000000004</v>
      </c>
      <c r="M960" s="108">
        <v>2400</v>
      </c>
      <c r="N960" s="108">
        <v>1700</v>
      </c>
      <c r="O960" s="142">
        <v>0</v>
      </c>
      <c r="P960" s="142">
        <v>0</v>
      </c>
      <c r="Q960" s="142">
        <v>0</v>
      </c>
      <c r="R960" s="142">
        <v>0</v>
      </c>
      <c r="S960" s="116">
        <v>0</v>
      </c>
      <c r="T960" s="116">
        <v>0</v>
      </c>
      <c r="U960" s="33" t="s">
        <v>226</v>
      </c>
      <c r="V960" s="33">
        <v>2015</v>
      </c>
      <c r="W960" s="33">
        <v>1</v>
      </c>
      <c r="X960" s="33">
        <v>0</v>
      </c>
      <c r="Y960" s="33">
        <v>-1.8E-3</v>
      </c>
      <c r="Z960" s="33">
        <v>-1.2E-2</v>
      </c>
      <c r="AA960" s="33">
        <v>0</v>
      </c>
      <c r="AB960" s="33">
        <v>0</v>
      </c>
      <c r="AC960" s="33" t="s">
        <v>217</v>
      </c>
      <c r="AD960" s="158"/>
    </row>
    <row r="961" spans="1:30" customFormat="1" hidden="1" x14ac:dyDescent="0.2">
      <c r="A961" s="153">
        <f t="shared" si="14"/>
        <v>937</v>
      </c>
      <c r="B961" s="33">
        <v>5</v>
      </c>
      <c r="C961" s="33">
        <v>3</v>
      </c>
      <c r="D961" s="33">
        <v>12</v>
      </c>
      <c r="E961" s="104">
        <v>2016</v>
      </c>
      <c r="F961" s="33">
        <v>2050</v>
      </c>
      <c r="G961" s="33">
        <v>11</v>
      </c>
      <c r="H961" s="33">
        <v>0</v>
      </c>
      <c r="I961" s="33">
        <v>0</v>
      </c>
      <c r="J961" s="33">
        <v>0</v>
      </c>
      <c r="K961" s="33">
        <v>0</v>
      </c>
      <c r="L961" s="101">
        <v>0.67</v>
      </c>
      <c r="M961" s="108">
        <v>2550</v>
      </c>
      <c r="N961" s="108">
        <v>1825</v>
      </c>
      <c r="O961" s="142">
        <v>0</v>
      </c>
      <c r="P961" s="142">
        <v>0</v>
      </c>
      <c r="Q961" s="142">
        <v>0</v>
      </c>
      <c r="R961" s="142">
        <v>0</v>
      </c>
      <c r="S961" s="116">
        <v>0</v>
      </c>
      <c r="T961" s="116">
        <v>0</v>
      </c>
      <c r="U961" s="33" t="s">
        <v>226</v>
      </c>
      <c r="V961" s="33">
        <v>2015</v>
      </c>
      <c r="W961" s="33">
        <v>1</v>
      </c>
      <c r="X961" s="33">
        <v>0</v>
      </c>
      <c r="Y961" s="33">
        <v>-1.8E-3</v>
      </c>
      <c r="Z961" s="33">
        <v>-1.2E-2</v>
      </c>
      <c r="AA961" s="33">
        <v>0</v>
      </c>
      <c r="AB961" s="33">
        <v>0</v>
      </c>
      <c r="AC961" s="33" t="s">
        <v>218</v>
      </c>
      <c r="AD961" s="158"/>
    </row>
    <row r="962" spans="1:30" customFormat="1" hidden="1" x14ac:dyDescent="0.2">
      <c r="A962" s="153">
        <f t="shared" si="14"/>
        <v>938</v>
      </c>
      <c r="B962" s="33">
        <v>5</v>
      </c>
      <c r="C962" s="33">
        <v>3</v>
      </c>
      <c r="D962" s="33">
        <v>13</v>
      </c>
      <c r="E962" s="104">
        <v>2016</v>
      </c>
      <c r="F962" s="33">
        <v>2050</v>
      </c>
      <c r="G962" s="33">
        <v>11</v>
      </c>
      <c r="H962" s="33">
        <v>0</v>
      </c>
      <c r="I962" s="33">
        <v>0</v>
      </c>
      <c r="J962" s="33">
        <v>0</v>
      </c>
      <c r="K962" s="33">
        <v>0</v>
      </c>
      <c r="L962" s="101">
        <v>0.69</v>
      </c>
      <c r="M962" s="108">
        <v>2525</v>
      </c>
      <c r="N962" s="108">
        <v>1825</v>
      </c>
      <c r="O962" s="142">
        <v>0</v>
      </c>
      <c r="P962" s="142">
        <v>0</v>
      </c>
      <c r="Q962" s="142">
        <v>0</v>
      </c>
      <c r="R962" s="142">
        <v>0</v>
      </c>
      <c r="S962" s="116">
        <v>0</v>
      </c>
      <c r="T962" s="116">
        <v>0</v>
      </c>
      <c r="U962" s="33" t="s">
        <v>226</v>
      </c>
      <c r="V962" s="33">
        <v>2015</v>
      </c>
      <c r="W962" s="33">
        <v>1</v>
      </c>
      <c r="X962" s="33">
        <v>0</v>
      </c>
      <c r="Y962" s="33">
        <v>-1.8E-3</v>
      </c>
      <c r="Z962" s="33">
        <v>-1.2E-2</v>
      </c>
      <c r="AA962" s="33">
        <v>0</v>
      </c>
      <c r="AB962" s="33">
        <v>0</v>
      </c>
      <c r="AC962" s="33" t="s">
        <v>368</v>
      </c>
      <c r="AD962" s="158"/>
    </row>
    <row r="963" spans="1:30" customFormat="1" hidden="1" x14ac:dyDescent="0.2">
      <c r="A963" s="153">
        <f t="shared" si="14"/>
        <v>939</v>
      </c>
      <c r="B963" s="33">
        <v>5</v>
      </c>
      <c r="C963" s="33">
        <v>4</v>
      </c>
      <c r="D963" s="33">
        <v>14</v>
      </c>
      <c r="E963" s="104">
        <v>2016</v>
      </c>
      <c r="F963" s="33">
        <v>2050</v>
      </c>
      <c r="G963" s="33">
        <v>11</v>
      </c>
      <c r="H963" s="33">
        <v>0</v>
      </c>
      <c r="I963" s="33">
        <v>0</v>
      </c>
      <c r="J963" s="33">
        <v>0</v>
      </c>
      <c r="K963" s="33">
        <v>0</v>
      </c>
      <c r="L963" s="101">
        <v>0.61014999999999997</v>
      </c>
      <c r="M963" s="108">
        <v>1825</v>
      </c>
      <c r="N963" s="108">
        <v>850</v>
      </c>
      <c r="O963" s="142">
        <v>0</v>
      </c>
      <c r="P963" s="142">
        <v>0</v>
      </c>
      <c r="Q963" s="142">
        <v>0</v>
      </c>
      <c r="R963" s="142">
        <v>0</v>
      </c>
      <c r="S963" s="116">
        <v>0</v>
      </c>
      <c r="T963" s="116">
        <v>0</v>
      </c>
      <c r="U963" s="33" t="s">
        <v>226</v>
      </c>
      <c r="V963" s="33">
        <v>2015</v>
      </c>
      <c r="W963" s="33">
        <v>1</v>
      </c>
      <c r="X963" s="33">
        <v>0</v>
      </c>
      <c r="Y963" s="33">
        <v>-1.6199999999999999E-2</v>
      </c>
      <c r="Z963" s="33">
        <v>-5.3999999999999999E-2</v>
      </c>
      <c r="AA963" s="33">
        <v>0</v>
      </c>
      <c r="AB963" s="33">
        <v>0</v>
      </c>
      <c r="AC963" s="33" t="s">
        <v>356</v>
      </c>
      <c r="AD963" s="158"/>
    </row>
    <row r="964" spans="1:30" customFormat="1" hidden="1" x14ac:dyDescent="0.2">
      <c r="A964" s="153">
        <f t="shared" si="14"/>
        <v>940</v>
      </c>
      <c r="B964" s="33">
        <v>5</v>
      </c>
      <c r="C964" s="33">
        <v>4</v>
      </c>
      <c r="D964" s="33">
        <v>15</v>
      </c>
      <c r="E964" s="104">
        <v>2016</v>
      </c>
      <c r="F964" s="33">
        <v>2050</v>
      </c>
      <c r="G964" s="33">
        <v>11</v>
      </c>
      <c r="H964" s="33">
        <v>0</v>
      </c>
      <c r="I964" s="33">
        <v>0</v>
      </c>
      <c r="J964" s="33">
        <v>0</v>
      </c>
      <c r="K964" s="33">
        <v>0</v>
      </c>
      <c r="L964" s="101">
        <v>0.63</v>
      </c>
      <c r="M964" s="108">
        <v>1925</v>
      </c>
      <c r="N964" s="108">
        <v>975</v>
      </c>
      <c r="O964" s="142">
        <v>0</v>
      </c>
      <c r="P964" s="142">
        <v>0</v>
      </c>
      <c r="Q964" s="142">
        <v>0</v>
      </c>
      <c r="R964" s="142">
        <v>0</v>
      </c>
      <c r="S964" s="116">
        <v>0</v>
      </c>
      <c r="T964" s="116">
        <v>0</v>
      </c>
      <c r="U964" s="33" t="s">
        <v>226</v>
      </c>
      <c r="V964" s="33">
        <v>2015</v>
      </c>
      <c r="W964" s="33">
        <v>1</v>
      </c>
      <c r="X964" s="33">
        <v>0</v>
      </c>
      <c r="Y964" s="33">
        <v>-1.6199999999999999E-2</v>
      </c>
      <c r="Z964" s="33">
        <v>-5.3999999999999999E-2</v>
      </c>
      <c r="AA964" s="33">
        <v>0</v>
      </c>
      <c r="AB964" s="33">
        <v>0</v>
      </c>
      <c r="AC964" s="33" t="s">
        <v>357</v>
      </c>
      <c r="AD964" s="158"/>
    </row>
    <row r="965" spans="1:30" customFormat="1" hidden="1" x14ac:dyDescent="0.2">
      <c r="A965" s="153">
        <f t="shared" si="14"/>
        <v>941</v>
      </c>
      <c r="B965" s="33">
        <v>5</v>
      </c>
      <c r="C965" s="33">
        <v>4</v>
      </c>
      <c r="D965" s="33">
        <v>16</v>
      </c>
      <c r="E965" s="104">
        <v>2016</v>
      </c>
      <c r="F965" s="159">
        <v>2022</v>
      </c>
      <c r="G965" s="33">
        <v>11</v>
      </c>
      <c r="H965" s="33">
        <v>0</v>
      </c>
      <c r="I965" s="33">
        <v>0</v>
      </c>
      <c r="J965" s="33">
        <v>0</v>
      </c>
      <c r="K965" s="33">
        <v>0</v>
      </c>
      <c r="L965" s="101">
        <v>0.66</v>
      </c>
      <c r="M965" s="108">
        <v>2025</v>
      </c>
      <c r="N965" s="108">
        <v>1075</v>
      </c>
      <c r="O965" s="142">
        <v>0</v>
      </c>
      <c r="P965" s="142">
        <v>0</v>
      </c>
      <c r="Q965" s="142">
        <v>0</v>
      </c>
      <c r="R965" s="142">
        <v>0</v>
      </c>
      <c r="S965" s="116">
        <v>0</v>
      </c>
      <c r="T965" s="116">
        <v>0</v>
      </c>
      <c r="U965" s="33" t="s">
        <v>226</v>
      </c>
      <c r="V965" s="33">
        <v>2015</v>
      </c>
      <c r="W965" s="33">
        <v>1</v>
      </c>
      <c r="X965" s="33">
        <v>0</v>
      </c>
      <c r="Y965" s="33">
        <v>-1.6199999999999999E-2</v>
      </c>
      <c r="Z965" s="33">
        <v>-5.3999999999999999E-2</v>
      </c>
      <c r="AA965" s="33">
        <v>0</v>
      </c>
      <c r="AB965" s="33">
        <v>0</v>
      </c>
      <c r="AC965" s="33" t="s">
        <v>358</v>
      </c>
      <c r="AD965" s="158"/>
    </row>
    <row r="966" spans="1:30" s="157" customFormat="1" hidden="1" x14ac:dyDescent="0.2">
      <c r="A966" s="153">
        <f t="shared" si="14"/>
        <v>942</v>
      </c>
      <c r="B966" s="33">
        <v>5</v>
      </c>
      <c r="C966" s="33">
        <v>4</v>
      </c>
      <c r="D966" s="33">
        <v>16</v>
      </c>
      <c r="E966" s="143">
        <v>2023</v>
      </c>
      <c r="F966" s="159">
        <v>2032</v>
      </c>
      <c r="G966" s="33">
        <v>11</v>
      </c>
      <c r="H966" s="33">
        <v>0</v>
      </c>
      <c r="I966" s="33">
        <v>0</v>
      </c>
      <c r="J966" s="33">
        <v>0</v>
      </c>
      <c r="K966" s="33">
        <v>0</v>
      </c>
      <c r="L966" s="164">
        <v>0.83499999999999996</v>
      </c>
      <c r="M966" s="165">
        <v>3169.9074074074074</v>
      </c>
      <c r="N966" s="165">
        <v>2035.9567901234566</v>
      </c>
      <c r="O966" s="160">
        <v>600</v>
      </c>
      <c r="P966" s="142">
        <v>0</v>
      </c>
      <c r="Q966" s="149">
        <v>0</v>
      </c>
      <c r="R966" s="149">
        <v>0</v>
      </c>
      <c r="S966" s="116">
        <v>0</v>
      </c>
      <c r="T966" s="116">
        <v>0</v>
      </c>
      <c r="U966" s="33" t="s">
        <v>226</v>
      </c>
      <c r="V966" s="33">
        <v>2015</v>
      </c>
      <c r="W966" s="33">
        <v>1</v>
      </c>
      <c r="X966" s="33">
        <v>0</v>
      </c>
      <c r="Y966" s="33">
        <v>-1.6199999999999999E-2</v>
      </c>
      <c r="Z966" s="33">
        <v>-5.3999999999999999E-2</v>
      </c>
      <c r="AA966" s="33">
        <v>0</v>
      </c>
      <c r="AB966" s="33">
        <v>0</v>
      </c>
      <c r="AC966" s="33" t="s">
        <v>358</v>
      </c>
      <c r="AD966" s="158"/>
    </row>
    <row r="967" spans="1:30" s="139" customFormat="1" hidden="1" x14ac:dyDescent="0.2">
      <c r="A967" s="153">
        <f t="shared" si="14"/>
        <v>943</v>
      </c>
      <c r="B967" s="33">
        <v>5</v>
      </c>
      <c r="C967" s="33">
        <v>4</v>
      </c>
      <c r="D967" s="33">
        <v>16</v>
      </c>
      <c r="E967" s="143">
        <v>2033</v>
      </c>
      <c r="F967" s="33">
        <v>2050</v>
      </c>
      <c r="G967" s="33">
        <v>11</v>
      </c>
      <c r="H967" s="33">
        <v>0</v>
      </c>
      <c r="I967" s="33">
        <v>0</v>
      </c>
      <c r="J967" s="33">
        <v>0</v>
      </c>
      <c r="K967" s="33">
        <v>0</v>
      </c>
      <c r="L967" s="164">
        <v>0.83499999999999996</v>
      </c>
      <c r="M967" s="165">
        <v>3169.9074074074074</v>
      </c>
      <c r="N967" s="165">
        <v>2035.9567901234566</v>
      </c>
      <c r="O967" s="142">
        <v>0</v>
      </c>
      <c r="P967" s="142">
        <v>0</v>
      </c>
      <c r="Q967" s="149">
        <v>0</v>
      </c>
      <c r="R967" s="149">
        <v>0</v>
      </c>
      <c r="S967" s="116">
        <v>0</v>
      </c>
      <c r="T967" s="116">
        <v>0</v>
      </c>
      <c r="U967" s="33" t="s">
        <v>226</v>
      </c>
      <c r="V967" s="33">
        <v>2015</v>
      </c>
      <c r="W967" s="33">
        <v>1</v>
      </c>
      <c r="X967" s="33">
        <v>0</v>
      </c>
      <c r="Y967" s="33">
        <v>-1.6199999999999999E-2</v>
      </c>
      <c r="Z967" s="33">
        <v>-5.3999999999999999E-2</v>
      </c>
      <c r="AA967" s="33">
        <v>0</v>
      </c>
      <c r="AB967" s="33">
        <v>0</v>
      </c>
      <c r="AC967" s="33" t="s">
        <v>358</v>
      </c>
      <c r="AD967" s="158"/>
    </row>
    <row r="968" spans="1:30" customFormat="1" hidden="1" x14ac:dyDescent="0.2">
      <c r="A968" s="153">
        <f t="shared" si="14"/>
        <v>944</v>
      </c>
      <c r="B968" s="33">
        <v>5</v>
      </c>
      <c r="C968" s="33">
        <v>4</v>
      </c>
      <c r="D968" s="33">
        <v>17</v>
      </c>
      <c r="E968" s="104">
        <v>2016</v>
      </c>
      <c r="F968" s="159">
        <v>2021</v>
      </c>
      <c r="G968" s="33">
        <v>11</v>
      </c>
      <c r="H968" s="33">
        <v>0</v>
      </c>
      <c r="I968" s="33">
        <v>0</v>
      </c>
      <c r="J968" s="33">
        <v>0</v>
      </c>
      <c r="K968" s="33">
        <v>0</v>
      </c>
      <c r="L968" s="101">
        <v>0.81</v>
      </c>
      <c r="M968" s="108">
        <v>3075</v>
      </c>
      <c r="N968" s="108">
        <v>1975</v>
      </c>
      <c r="O968" s="142">
        <v>300</v>
      </c>
      <c r="P968" s="142">
        <v>0</v>
      </c>
      <c r="Q968" s="142">
        <v>0</v>
      </c>
      <c r="R968" s="142">
        <v>0</v>
      </c>
      <c r="S968" s="116">
        <v>0</v>
      </c>
      <c r="T968" s="116">
        <v>0</v>
      </c>
      <c r="U968" s="33" t="s">
        <v>226</v>
      </c>
      <c r="V968" s="33">
        <v>2015</v>
      </c>
      <c r="W968" s="33">
        <v>1</v>
      </c>
      <c r="X968" s="33">
        <v>0</v>
      </c>
      <c r="Y968" s="33">
        <v>-1.6199999999999999E-2</v>
      </c>
      <c r="Z968" s="33">
        <v>-5.3999999999999999E-2</v>
      </c>
      <c r="AA968" s="33">
        <v>0</v>
      </c>
      <c r="AB968" s="33">
        <v>0</v>
      </c>
      <c r="AC968" s="33" t="s">
        <v>359</v>
      </c>
      <c r="AD968" s="158"/>
    </row>
    <row r="969" spans="1:30" s="157" customFormat="1" hidden="1" x14ac:dyDescent="0.2">
      <c r="A969" s="153">
        <f t="shared" si="14"/>
        <v>945</v>
      </c>
      <c r="B969" s="49">
        <v>5</v>
      </c>
      <c r="C969" s="49">
        <v>4</v>
      </c>
      <c r="D969" s="49">
        <v>17</v>
      </c>
      <c r="E969" s="166">
        <v>2022</v>
      </c>
      <c r="F969" s="49">
        <v>2032</v>
      </c>
      <c r="G969" s="49">
        <v>11</v>
      </c>
      <c r="H969" s="49">
        <v>0</v>
      </c>
      <c r="I969" s="49">
        <v>0</v>
      </c>
      <c r="J969" s="49">
        <v>0</v>
      </c>
      <c r="K969" s="49">
        <v>0</v>
      </c>
      <c r="L969" s="167">
        <v>0.81</v>
      </c>
      <c r="M969" s="168">
        <v>3075</v>
      </c>
      <c r="N969" s="168">
        <v>1975</v>
      </c>
      <c r="O969" s="51">
        <v>600</v>
      </c>
      <c r="P969" s="51">
        <v>0</v>
      </c>
      <c r="Q969" s="51">
        <v>0</v>
      </c>
      <c r="R969" s="51">
        <v>0</v>
      </c>
      <c r="S969" s="171">
        <v>0</v>
      </c>
      <c r="T969" s="171">
        <v>0</v>
      </c>
      <c r="U969" s="49" t="s">
        <v>226</v>
      </c>
      <c r="V969" s="49">
        <v>2015</v>
      </c>
      <c r="W969" s="49">
        <v>1</v>
      </c>
      <c r="X969" s="49">
        <v>0</v>
      </c>
      <c r="Y969" s="49">
        <v>-1.6199999999999999E-2</v>
      </c>
      <c r="Z969" s="49">
        <v>-5.3999999999999999E-2</v>
      </c>
      <c r="AA969" s="49">
        <v>0</v>
      </c>
      <c r="AB969" s="49">
        <v>0</v>
      </c>
      <c r="AC969" s="49" t="s">
        <v>359</v>
      </c>
      <c r="AD969" s="158"/>
    </row>
    <row r="970" spans="1:30" customFormat="1" hidden="1" x14ac:dyDescent="0.2">
      <c r="A970" s="153">
        <f t="shared" si="14"/>
        <v>946</v>
      </c>
      <c r="B970" s="33">
        <v>5</v>
      </c>
      <c r="C970" s="33">
        <v>4</v>
      </c>
      <c r="D970" s="33">
        <v>17</v>
      </c>
      <c r="E970" s="143">
        <v>2033</v>
      </c>
      <c r="F970" s="33">
        <v>2050</v>
      </c>
      <c r="G970" s="33">
        <v>11</v>
      </c>
      <c r="H970" s="33">
        <v>0</v>
      </c>
      <c r="I970" s="33">
        <v>0</v>
      </c>
      <c r="J970" s="33">
        <v>0</v>
      </c>
      <c r="K970" s="33">
        <v>0</v>
      </c>
      <c r="L970" s="101">
        <v>0.81</v>
      </c>
      <c r="M970" s="108">
        <v>3075</v>
      </c>
      <c r="N970" s="108">
        <v>1975</v>
      </c>
      <c r="O970" s="142">
        <v>0</v>
      </c>
      <c r="P970" s="142">
        <v>0</v>
      </c>
      <c r="Q970" s="142">
        <v>0</v>
      </c>
      <c r="R970" s="142">
        <v>0</v>
      </c>
      <c r="S970" s="116">
        <v>0</v>
      </c>
      <c r="T970" s="116">
        <v>0</v>
      </c>
      <c r="U970" s="33" t="s">
        <v>226</v>
      </c>
      <c r="V970" s="33">
        <v>2015</v>
      </c>
      <c r="W970" s="33">
        <v>1</v>
      </c>
      <c r="X970" s="33">
        <v>0</v>
      </c>
      <c r="Y970" s="33">
        <v>-1.6199999999999999E-2</v>
      </c>
      <c r="Z970" s="33">
        <v>-5.3999999999999999E-2</v>
      </c>
      <c r="AA970" s="33">
        <v>0</v>
      </c>
      <c r="AB970" s="33">
        <v>0</v>
      </c>
      <c r="AC970" s="33" t="s">
        <v>359</v>
      </c>
      <c r="AD970" s="158"/>
    </row>
    <row r="971" spans="1:30" customFormat="1" hidden="1" x14ac:dyDescent="0.2">
      <c r="A971" s="153">
        <f t="shared" si="14"/>
        <v>947</v>
      </c>
      <c r="B971" s="33">
        <v>5</v>
      </c>
      <c r="C971" s="33">
        <v>5</v>
      </c>
      <c r="D971" s="33">
        <v>18</v>
      </c>
      <c r="E971" s="104">
        <v>2016</v>
      </c>
      <c r="F971" s="159">
        <v>2019</v>
      </c>
      <c r="G971" s="33">
        <v>1</v>
      </c>
      <c r="H971" s="33">
        <v>0</v>
      </c>
      <c r="I971" s="33">
        <v>0</v>
      </c>
      <c r="J971" s="33">
        <v>0</v>
      </c>
      <c r="K971" s="33">
        <v>0</v>
      </c>
      <c r="L971" s="101">
        <v>1</v>
      </c>
      <c r="M971" s="108">
        <v>11000</v>
      </c>
      <c r="N971" s="108">
        <v>8300</v>
      </c>
      <c r="O971" s="142">
        <v>3300</v>
      </c>
      <c r="P971" s="142">
        <v>2490</v>
      </c>
      <c r="Q971" s="142">
        <v>0</v>
      </c>
      <c r="R971" s="142">
        <v>0</v>
      </c>
      <c r="S971" s="116">
        <v>0</v>
      </c>
      <c r="T971" s="116">
        <v>0</v>
      </c>
      <c r="U971" s="33" t="s">
        <v>226</v>
      </c>
      <c r="V971" s="33">
        <v>2015</v>
      </c>
      <c r="W971" s="33">
        <v>1</v>
      </c>
      <c r="X971" s="33">
        <v>0</v>
      </c>
      <c r="Y971" s="33">
        <v>-1.6199999999999999E-2</v>
      </c>
      <c r="Z971" s="33">
        <v>-5.3999999999999999E-2</v>
      </c>
      <c r="AA971" s="33">
        <v>0</v>
      </c>
      <c r="AB971" s="33">
        <v>0</v>
      </c>
      <c r="AC971" s="33" t="s">
        <v>391</v>
      </c>
      <c r="AD971" s="158"/>
    </row>
    <row r="972" spans="1:30" customFormat="1" hidden="1" x14ac:dyDescent="0.2">
      <c r="A972" s="153">
        <f t="shared" si="14"/>
        <v>948</v>
      </c>
      <c r="B972" s="33">
        <v>5</v>
      </c>
      <c r="C972" s="33">
        <v>5</v>
      </c>
      <c r="D972" s="33">
        <v>18</v>
      </c>
      <c r="E972" s="104">
        <v>2016</v>
      </c>
      <c r="F972" s="159">
        <v>2019</v>
      </c>
      <c r="G972" s="33">
        <v>2</v>
      </c>
      <c r="H972" s="33">
        <v>0</v>
      </c>
      <c r="I972" s="33">
        <v>0</v>
      </c>
      <c r="J972" s="33">
        <v>0</v>
      </c>
      <c r="K972" s="33">
        <v>0</v>
      </c>
      <c r="L972" s="101">
        <v>1</v>
      </c>
      <c r="M972" s="108">
        <v>11000</v>
      </c>
      <c r="N972" s="108">
        <v>8300</v>
      </c>
      <c r="O972" s="142">
        <v>3300</v>
      </c>
      <c r="P972" s="142">
        <v>2490</v>
      </c>
      <c r="Q972" s="142">
        <v>0</v>
      </c>
      <c r="R972" s="142">
        <v>0</v>
      </c>
      <c r="S972" s="116">
        <v>0</v>
      </c>
      <c r="T972" s="116">
        <v>0</v>
      </c>
      <c r="U972" s="33" t="s">
        <v>226</v>
      </c>
      <c r="V972" s="33">
        <v>2015</v>
      </c>
      <c r="W972" s="33">
        <v>1</v>
      </c>
      <c r="X972" s="33">
        <v>0</v>
      </c>
      <c r="Y972" s="33">
        <v>-1.6199999999999999E-2</v>
      </c>
      <c r="Z972" s="33">
        <v>-5.3999999999999999E-2</v>
      </c>
      <c r="AA972" s="33">
        <v>0</v>
      </c>
      <c r="AB972" s="33">
        <v>0</v>
      </c>
      <c r="AC972" s="33" t="s">
        <v>391</v>
      </c>
      <c r="AD972" s="158"/>
    </row>
    <row r="973" spans="1:30" customFormat="1" x14ac:dyDescent="0.2">
      <c r="A973" s="153">
        <f t="shared" si="14"/>
        <v>949</v>
      </c>
      <c r="B973" s="33">
        <v>5</v>
      </c>
      <c r="C973" s="33">
        <v>5</v>
      </c>
      <c r="D973" s="33">
        <v>18</v>
      </c>
      <c r="E973" s="104">
        <v>2016</v>
      </c>
      <c r="F973" s="159">
        <v>2019</v>
      </c>
      <c r="G973" s="33">
        <v>3</v>
      </c>
      <c r="H973" s="33">
        <v>0</v>
      </c>
      <c r="I973" s="33">
        <v>0</v>
      </c>
      <c r="J973" s="33">
        <v>0</v>
      </c>
      <c r="K973" s="33">
        <v>0</v>
      </c>
      <c r="L973" s="101">
        <v>1</v>
      </c>
      <c r="M973" s="108">
        <v>11000</v>
      </c>
      <c r="N973" s="108">
        <v>8300</v>
      </c>
      <c r="O973" s="142">
        <v>3300</v>
      </c>
      <c r="P973" s="142">
        <v>2490</v>
      </c>
      <c r="Q973" s="142">
        <v>0</v>
      </c>
      <c r="R973" s="142">
        <v>0</v>
      </c>
      <c r="S973" s="116">
        <v>0</v>
      </c>
      <c r="T973" s="116">
        <v>0</v>
      </c>
      <c r="U973" s="33" t="s">
        <v>226</v>
      </c>
      <c r="V973" s="33">
        <v>2015</v>
      </c>
      <c r="W973" s="33">
        <v>1</v>
      </c>
      <c r="X973" s="33">
        <v>0</v>
      </c>
      <c r="Y973" s="33">
        <v>-1.6199999999999999E-2</v>
      </c>
      <c r="Z973" s="33">
        <v>-5.3999999999999999E-2</v>
      </c>
      <c r="AA973" s="33">
        <v>0</v>
      </c>
      <c r="AB973" s="33">
        <v>0</v>
      </c>
      <c r="AC973" s="33" t="s">
        <v>391</v>
      </c>
      <c r="AD973" s="158"/>
    </row>
    <row r="974" spans="1:30" customFormat="1" hidden="1" x14ac:dyDescent="0.2">
      <c r="A974" s="153">
        <f t="shared" si="14"/>
        <v>950</v>
      </c>
      <c r="B974" s="33">
        <v>5</v>
      </c>
      <c r="C974" s="33">
        <v>5</v>
      </c>
      <c r="D974" s="33">
        <v>18</v>
      </c>
      <c r="E974" s="104">
        <v>2016</v>
      </c>
      <c r="F974" s="159">
        <v>2019</v>
      </c>
      <c r="G974" s="33">
        <v>4</v>
      </c>
      <c r="H974" s="33">
        <v>0</v>
      </c>
      <c r="I974" s="33">
        <v>0</v>
      </c>
      <c r="J974" s="33">
        <v>0</v>
      </c>
      <c r="K974" s="33">
        <v>0</v>
      </c>
      <c r="L974" s="101">
        <v>1</v>
      </c>
      <c r="M974" s="108">
        <v>11000</v>
      </c>
      <c r="N974" s="108">
        <v>8300</v>
      </c>
      <c r="O974" s="142">
        <v>3300</v>
      </c>
      <c r="P974" s="142">
        <v>2490</v>
      </c>
      <c r="Q974" s="142">
        <v>0</v>
      </c>
      <c r="R974" s="142">
        <v>0</v>
      </c>
      <c r="S974" s="116">
        <v>0</v>
      </c>
      <c r="T974" s="116">
        <v>0</v>
      </c>
      <c r="U974" s="33" t="s">
        <v>226</v>
      </c>
      <c r="V974" s="33">
        <v>2015</v>
      </c>
      <c r="W974" s="33">
        <v>1</v>
      </c>
      <c r="X974" s="33">
        <v>0</v>
      </c>
      <c r="Y974" s="33">
        <v>-1.6199999999999999E-2</v>
      </c>
      <c r="Z974" s="33">
        <v>-5.3999999999999999E-2</v>
      </c>
      <c r="AA974" s="33">
        <v>0</v>
      </c>
      <c r="AB974" s="33">
        <v>0</v>
      </c>
      <c r="AC974" s="33" t="s">
        <v>391</v>
      </c>
      <c r="AD974" s="158"/>
    </row>
    <row r="975" spans="1:30" customFormat="1" hidden="1" x14ac:dyDescent="0.2">
      <c r="A975" s="153">
        <f t="shared" si="14"/>
        <v>951</v>
      </c>
      <c r="B975" s="33">
        <v>5</v>
      </c>
      <c r="C975" s="33">
        <v>5</v>
      </c>
      <c r="D975" s="33">
        <v>18</v>
      </c>
      <c r="E975" s="104">
        <v>2016</v>
      </c>
      <c r="F975" s="159">
        <v>2019</v>
      </c>
      <c r="G975" s="33">
        <v>5</v>
      </c>
      <c r="H975" s="33">
        <v>0</v>
      </c>
      <c r="I975" s="33">
        <v>0</v>
      </c>
      <c r="J975" s="33">
        <v>0</v>
      </c>
      <c r="K975" s="33">
        <v>0</v>
      </c>
      <c r="L975" s="101">
        <v>1</v>
      </c>
      <c r="M975" s="108">
        <v>7100</v>
      </c>
      <c r="N975" s="108">
        <v>4800</v>
      </c>
      <c r="O975" s="142">
        <v>2130</v>
      </c>
      <c r="P975" s="142">
        <v>1440</v>
      </c>
      <c r="Q975" s="142">
        <v>0</v>
      </c>
      <c r="R975" s="142">
        <v>0</v>
      </c>
      <c r="S975" s="116">
        <v>0</v>
      </c>
      <c r="T975" s="116">
        <v>0</v>
      </c>
      <c r="U975" s="33" t="s">
        <v>226</v>
      </c>
      <c r="V975" s="33">
        <v>2015</v>
      </c>
      <c r="W975" s="33">
        <v>1</v>
      </c>
      <c r="X975" s="33">
        <v>0</v>
      </c>
      <c r="Y975" s="33">
        <v>-1.6199999999999999E-2</v>
      </c>
      <c r="Z975" s="33">
        <v>-5.3999999999999999E-2</v>
      </c>
      <c r="AA975" s="33">
        <v>0</v>
      </c>
      <c r="AB975" s="33">
        <v>0</v>
      </c>
      <c r="AC975" s="33" t="s">
        <v>391</v>
      </c>
      <c r="AD975" s="158"/>
    </row>
    <row r="976" spans="1:30" customFormat="1" hidden="1" x14ac:dyDescent="0.2">
      <c r="A976" s="153">
        <f t="shared" si="14"/>
        <v>952</v>
      </c>
      <c r="B976" s="33">
        <v>5</v>
      </c>
      <c r="C976" s="33">
        <v>5</v>
      </c>
      <c r="D976" s="33">
        <v>18</v>
      </c>
      <c r="E976" s="104">
        <v>2016</v>
      </c>
      <c r="F976" s="159">
        <v>2019</v>
      </c>
      <c r="G976" s="33">
        <v>6</v>
      </c>
      <c r="H976" s="33">
        <v>0</v>
      </c>
      <c r="I976" s="33">
        <v>0</v>
      </c>
      <c r="J976" s="33">
        <v>0</v>
      </c>
      <c r="K976" s="33">
        <v>0</v>
      </c>
      <c r="L976" s="101">
        <v>1</v>
      </c>
      <c r="M976" s="108">
        <v>7100</v>
      </c>
      <c r="N976" s="108">
        <v>4800</v>
      </c>
      <c r="O976" s="142">
        <v>2130</v>
      </c>
      <c r="P976" s="142">
        <v>1440</v>
      </c>
      <c r="Q976" s="142">
        <v>0</v>
      </c>
      <c r="R976" s="142">
        <v>0</v>
      </c>
      <c r="S976" s="116">
        <v>0</v>
      </c>
      <c r="T976" s="116">
        <v>0</v>
      </c>
      <c r="U976" s="33" t="s">
        <v>226</v>
      </c>
      <c r="V976" s="33">
        <v>2015</v>
      </c>
      <c r="W976" s="33">
        <v>1</v>
      </c>
      <c r="X976" s="33">
        <v>0</v>
      </c>
      <c r="Y976" s="33">
        <v>-1.6199999999999999E-2</v>
      </c>
      <c r="Z976" s="33">
        <v>-5.3999999999999999E-2</v>
      </c>
      <c r="AA976" s="33">
        <v>0</v>
      </c>
      <c r="AB976" s="33">
        <v>0</v>
      </c>
      <c r="AC976" s="33" t="s">
        <v>391</v>
      </c>
      <c r="AD976" s="158"/>
    </row>
    <row r="977" spans="1:30" customFormat="1" hidden="1" x14ac:dyDescent="0.2">
      <c r="A977" s="153">
        <f t="shared" si="14"/>
        <v>953</v>
      </c>
      <c r="B977" s="33">
        <v>5</v>
      </c>
      <c r="C977" s="33">
        <v>5</v>
      </c>
      <c r="D977" s="33">
        <v>18</v>
      </c>
      <c r="E977" s="104">
        <v>2016</v>
      </c>
      <c r="F977" s="159">
        <v>2019</v>
      </c>
      <c r="G977" s="33">
        <v>7</v>
      </c>
      <c r="H977" s="33">
        <v>0</v>
      </c>
      <c r="I977" s="33">
        <v>0</v>
      </c>
      <c r="J977" s="33">
        <v>0</v>
      </c>
      <c r="K977" s="33">
        <v>0</v>
      </c>
      <c r="L977" s="101">
        <v>1</v>
      </c>
      <c r="M977" s="108">
        <v>7100</v>
      </c>
      <c r="N977" s="108">
        <v>4800</v>
      </c>
      <c r="O977" s="142">
        <v>2130</v>
      </c>
      <c r="P977" s="142">
        <v>1440</v>
      </c>
      <c r="Q977" s="142">
        <v>0</v>
      </c>
      <c r="R977" s="142">
        <v>0</v>
      </c>
      <c r="S977" s="116">
        <v>0</v>
      </c>
      <c r="T977" s="116">
        <v>0</v>
      </c>
      <c r="U977" s="33" t="s">
        <v>226</v>
      </c>
      <c r="V977" s="33">
        <v>2015</v>
      </c>
      <c r="W977" s="33">
        <v>1</v>
      </c>
      <c r="X977" s="33">
        <v>0</v>
      </c>
      <c r="Y977" s="33">
        <v>-1.6199999999999999E-2</v>
      </c>
      <c r="Z977" s="33">
        <v>-5.3999999999999999E-2</v>
      </c>
      <c r="AA977" s="33">
        <v>0</v>
      </c>
      <c r="AB977" s="33">
        <v>0</v>
      </c>
      <c r="AC977" s="33" t="s">
        <v>391</v>
      </c>
      <c r="AD977" s="158"/>
    </row>
    <row r="978" spans="1:30" customFormat="1" hidden="1" x14ac:dyDescent="0.2">
      <c r="A978" s="153">
        <f t="shared" si="14"/>
        <v>954</v>
      </c>
      <c r="B978" s="33">
        <v>5</v>
      </c>
      <c r="C978" s="33">
        <v>5</v>
      </c>
      <c r="D978" s="33">
        <v>18</v>
      </c>
      <c r="E978" s="104">
        <v>2016</v>
      </c>
      <c r="F978" s="159">
        <v>2019</v>
      </c>
      <c r="G978" s="33">
        <v>8</v>
      </c>
      <c r="H978" s="33">
        <v>0</v>
      </c>
      <c r="I978" s="33">
        <v>0</v>
      </c>
      <c r="J978" s="33">
        <v>0</v>
      </c>
      <c r="K978" s="33">
        <v>0</v>
      </c>
      <c r="L978" s="101">
        <v>1</v>
      </c>
      <c r="M978" s="108">
        <v>7100</v>
      </c>
      <c r="N978" s="108">
        <v>4800</v>
      </c>
      <c r="O978" s="142">
        <v>2130</v>
      </c>
      <c r="P978" s="142">
        <v>1440</v>
      </c>
      <c r="Q978" s="142">
        <v>0</v>
      </c>
      <c r="R978" s="142">
        <v>0</v>
      </c>
      <c r="S978" s="116">
        <v>0</v>
      </c>
      <c r="T978" s="116">
        <v>0</v>
      </c>
      <c r="U978" s="33" t="s">
        <v>226</v>
      </c>
      <c r="V978" s="33">
        <v>2015</v>
      </c>
      <c r="W978" s="33">
        <v>1</v>
      </c>
      <c r="X978" s="33">
        <v>0</v>
      </c>
      <c r="Y978" s="33">
        <v>-1.6199999999999999E-2</v>
      </c>
      <c r="Z978" s="33">
        <v>-5.3999999999999999E-2</v>
      </c>
      <c r="AA978" s="33">
        <v>0</v>
      </c>
      <c r="AB978" s="33">
        <v>0</v>
      </c>
      <c r="AC978" s="33" t="s">
        <v>391</v>
      </c>
      <c r="AD978" s="158"/>
    </row>
    <row r="979" spans="1:30" customFormat="1" hidden="1" x14ac:dyDescent="0.2">
      <c r="A979" s="153">
        <f t="shared" si="14"/>
        <v>955</v>
      </c>
      <c r="B979" s="33">
        <v>5</v>
      </c>
      <c r="C979" s="33">
        <v>5</v>
      </c>
      <c r="D979" s="33">
        <v>18</v>
      </c>
      <c r="E979" s="104">
        <v>2016</v>
      </c>
      <c r="F979" s="159">
        <v>2019</v>
      </c>
      <c r="G979" s="33">
        <v>9</v>
      </c>
      <c r="H979" s="33">
        <v>0</v>
      </c>
      <c r="I979" s="33">
        <v>0</v>
      </c>
      <c r="J979" s="33">
        <v>0</v>
      </c>
      <c r="K979" s="33">
        <v>0</v>
      </c>
      <c r="L979" s="101">
        <v>1</v>
      </c>
      <c r="M979" s="108">
        <v>7100</v>
      </c>
      <c r="N979" s="108">
        <v>4800</v>
      </c>
      <c r="O979" s="142">
        <v>2130</v>
      </c>
      <c r="P979" s="142">
        <v>1440</v>
      </c>
      <c r="Q979" s="142">
        <v>0</v>
      </c>
      <c r="R979" s="142">
        <v>0</v>
      </c>
      <c r="S979" s="116">
        <v>0</v>
      </c>
      <c r="T979" s="116">
        <v>0</v>
      </c>
      <c r="U979" s="33" t="s">
        <v>226</v>
      </c>
      <c r="V979" s="33">
        <v>2015</v>
      </c>
      <c r="W979" s="33">
        <v>1</v>
      </c>
      <c r="X979" s="33">
        <v>0</v>
      </c>
      <c r="Y979" s="33">
        <v>-1.6199999999999999E-2</v>
      </c>
      <c r="Z979" s="33">
        <v>-5.3999999999999999E-2</v>
      </c>
      <c r="AA979" s="33">
        <v>0</v>
      </c>
      <c r="AB979" s="33">
        <v>0</v>
      </c>
      <c r="AC979" s="33" t="s">
        <v>391</v>
      </c>
      <c r="AD979" s="158"/>
    </row>
    <row r="980" spans="1:30" s="157" customFormat="1" hidden="1" x14ac:dyDescent="0.2">
      <c r="A980" s="153">
        <f t="shared" si="14"/>
        <v>956</v>
      </c>
      <c r="B980" s="49">
        <v>5</v>
      </c>
      <c r="C980" s="49">
        <v>5</v>
      </c>
      <c r="D980" s="49">
        <v>18</v>
      </c>
      <c r="E980" s="166">
        <v>2020</v>
      </c>
      <c r="F980" s="49">
        <v>2021</v>
      </c>
      <c r="G980" s="49">
        <v>1</v>
      </c>
      <c r="H980" s="49">
        <v>0</v>
      </c>
      <c r="I980" s="49">
        <v>0</v>
      </c>
      <c r="J980" s="49">
        <v>0</v>
      </c>
      <c r="K980" s="49">
        <v>0</v>
      </c>
      <c r="L980" s="167">
        <v>1</v>
      </c>
      <c r="M980" s="168">
        <v>11000</v>
      </c>
      <c r="N980" s="168">
        <v>8300</v>
      </c>
      <c r="O980" s="51">
        <v>2860</v>
      </c>
      <c r="P980" s="51">
        <v>2158</v>
      </c>
      <c r="Q980" s="51">
        <v>0</v>
      </c>
      <c r="R980" s="51">
        <v>0</v>
      </c>
      <c r="S980" s="171">
        <v>0</v>
      </c>
      <c r="T980" s="171">
        <v>0</v>
      </c>
      <c r="U980" s="49" t="s">
        <v>226</v>
      </c>
      <c r="V980" s="49">
        <v>2015</v>
      </c>
      <c r="W980" s="49">
        <v>1</v>
      </c>
      <c r="X980" s="49">
        <v>0</v>
      </c>
      <c r="Y980" s="49">
        <v>-1.6199999999999999E-2</v>
      </c>
      <c r="Z980" s="49">
        <v>-5.3999999999999999E-2</v>
      </c>
      <c r="AA980" s="49">
        <v>0</v>
      </c>
      <c r="AB980" s="49">
        <v>0</v>
      </c>
      <c r="AC980" s="49" t="s">
        <v>391</v>
      </c>
      <c r="AD980" s="158"/>
    </row>
    <row r="981" spans="1:30" s="157" customFormat="1" hidden="1" x14ac:dyDescent="0.2">
      <c r="A981" s="153">
        <f t="shared" si="14"/>
        <v>957</v>
      </c>
      <c r="B981" s="49">
        <v>5</v>
      </c>
      <c r="C981" s="49">
        <v>5</v>
      </c>
      <c r="D981" s="49">
        <v>18</v>
      </c>
      <c r="E981" s="166">
        <v>2020</v>
      </c>
      <c r="F981" s="49">
        <v>2021</v>
      </c>
      <c r="G981" s="49">
        <v>2</v>
      </c>
      <c r="H981" s="49">
        <v>0</v>
      </c>
      <c r="I981" s="49">
        <v>0</v>
      </c>
      <c r="J981" s="49">
        <v>0</v>
      </c>
      <c r="K981" s="49">
        <v>0</v>
      </c>
      <c r="L981" s="167">
        <v>1</v>
      </c>
      <c r="M981" s="168">
        <v>11000</v>
      </c>
      <c r="N981" s="168">
        <v>8300</v>
      </c>
      <c r="O981" s="51">
        <v>2860</v>
      </c>
      <c r="P981" s="51">
        <v>2158</v>
      </c>
      <c r="Q981" s="51">
        <v>0</v>
      </c>
      <c r="R981" s="51">
        <v>0</v>
      </c>
      <c r="S981" s="171">
        <v>0</v>
      </c>
      <c r="T981" s="171">
        <v>0</v>
      </c>
      <c r="U981" s="49" t="s">
        <v>226</v>
      </c>
      <c r="V981" s="49">
        <v>2015</v>
      </c>
      <c r="W981" s="49">
        <v>1</v>
      </c>
      <c r="X981" s="49">
        <v>0</v>
      </c>
      <c r="Y981" s="49">
        <v>-1.6199999999999999E-2</v>
      </c>
      <c r="Z981" s="49">
        <v>-5.3999999999999999E-2</v>
      </c>
      <c r="AA981" s="49">
        <v>0</v>
      </c>
      <c r="AB981" s="49">
        <v>0</v>
      </c>
      <c r="AC981" s="49" t="s">
        <v>391</v>
      </c>
      <c r="AD981" s="158"/>
    </row>
    <row r="982" spans="1:30" s="157" customFormat="1" x14ac:dyDescent="0.2">
      <c r="A982" s="153">
        <f t="shared" si="14"/>
        <v>958</v>
      </c>
      <c r="B982" s="49">
        <v>5</v>
      </c>
      <c r="C982" s="49">
        <v>5</v>
      </c>
      <c r="D982" s="49">
        <v>18</v>
      </c>
      <c r="E982" s="166">
        <v>2020</v>
      </c>
      <c r="F982" s="49">
        <v>2021</v>
      </c>
      <c r="G982" s="49">
        <v>3</v>
      </c>
      <c r="H982" s="49">
        <v>0</v>
      </c>
      <c r="I982" s="49">
        <v>0</v>
      </c>
      <c r="J982" s="49">
        <v>0</v>
      </c>
      <c r="K982" s="49">
        <v>0</v>
      </c>
      <c r="L982" s="167">
        <v>1</v>
      </c>
      <c r="M982" s="168">
        <v>11000</v>
      </c>
      <c r="N982" s="168">
        <v>8300</v>
      </c>
      <c r="O982" s="51">
        <v>2860</v>
      </c>
      <c r="P982" s="51">
        <v>2158</v>
      </c>
      <c r="Q982" s="51">
        <v>0</v>
      </c>
      <c r="R982" s="51">
        <v>0</v>
      </c>
      <c r="S982" s="171">
        <v>0</v>
      </c>
      <c r="T982" s="171">
        <v>0</v>
      </c>
      <c r="U982" s="49" t="s">
        <v>226</v>
      </c>
      <c r="V982" s="49">
        <v>2015</v>
      </c>
      <c r="W982" s="49">
        <v>1</v>
      </c>
      <c r="X982" s="49">
        <v>0</v>
      </c>
      <c r="Y982" s="49">
        <v>-1.6199999999999999E-2</v>
      </c>
      <c r="Z982" s="49">
        <v>-5.3999999999999999E-2</v>
      </c>
      <c r="AA982" s="49">
        <v>0</v>
      </c>
      <c r="AB982" s="49">
        <v>0</v>
      </c>
      <c r="AC982" s="49" t="s">
        <v>391</v>
      </c>
      <c r="AD982" s="158"/>
    </row>
    <row r="983" spans="1:30" s="157" customFormat="1" hidden="1" x14ac:dyDescent="0.2">
      <c r="A983" s="153">
        <f t="shared" si="14"/>
        <v>959</v>
      </c>
      <c r="B983" s="49">
        <v>5</v>
      </c>
      <c r="C983" s="49">
        <v>5</v>
      </c>
      <c r="D983" s="49">
        <v>18</v>
      </c>
      <c r="E983" s="166">
        <v>2020</v>
      </c>
      <c r="F983" s="49">
        <v>2021</v>
      </c>
      <c r="G983" s="49">
        <v>4</v>
      </c>
      <c r="H983" s="49">
        <v>0</v>
      </c>
      <c r="I983" s="49">
        <v>0</v>
      </c>
      <c r="J983" s="49">
        <v>0</v>
      </c>
      <c r="K983" s="49">
        <v>0</v>
      </c>
      <c r="L983" s="167">
        <v>1</v>
      </c>
      <c r="M983" s="168">
        <v>11000</v>
      </c>
      <c r="N983" s="168">
        <v>8300</v>
      </c>
      <c r="O983" s="51">
        <v>2860</v>
      </c>
      <c r="P983" s="51">
        <v>2158</v>
      </c>
      <c r="Q983" s="51">
        <v>0</v>
      </c>
      <c r="R983" s="51">
        <v>0</v>
      </c>
      <c r="S983" s="171">
        <v>0</v>
      </c>
      <c r="T983" s="171">
        <v>0</v>
      </c>
      <c r="U983" s="49" t="s">
        <v>226</v>
      </c>
      <c r="V983" s="49">
        <v>2015</v>
      </c>
      <c r="W983" s="49">
        <v>1</v>
      </c>
      <c r="X983" s="49">
        <v>0</v>
      </c>
      <c r="Y983" s="49">
        <v>-1.6199999999999999E-2</v>
      </c>
      <c r="Z983" s="49">
        <v>-5.3999999999999999E-2</v>
      </c>
      <c r="AA983" s="49">
        <v>0</v>
      </c>
      <c r="AB983" s="49">
        <v>0</v>
      </c>
      <c r="AC983" s="49" t="s">
        <v>391</v>
      </c>
      <c r="AD983" s="158"/>
    </row>
    <row r="984" spans="1:30" s="157" customFormat="1" hidden="1" x14ac:dyDescent="0.2">
      <c r="A984" s="153">
        <f t="shared" si="14"/>
        <v>960</v>
      </c>
      <c r="B984" s="49">
        <v>5</v>
      </c>
      <c r="C984" s="49">
        <v>5</v>
      </c>
      <c r="D984" s="49">
        <v>18</v>
      </c>
      <c r="E984" s="166">
        <v>2020</v>
      </c>
      <c r="F984" s="49">
        <v>2021</v>
      </c>
      <c r="G984" s="49">
        <v>5</v>
      </c>
      <c r="H984" s="49">
        <v>0</v>
      </c>
      <c r="I984" s="49">
        <v>0</v>
      </c>
      <c r="J984" s="49">
        <v>0</v>
      </c>
      <c r="K984" s="49">
        <v>0</v>
      </c>
      <c r="L984" s="167">
        <v>1</v>
      </c>
      <c r="M984" s="168">
        <v>7100</v>
      </c>
      <c r="N984" s="168">
        <v>4800</v>
      </c>
      <c r="O984" s="51">
        <v>1846</v>
      </c>
      <c r="P984" s="51">
        <v>1248</v>
      </c>
      <c r="Q984" s="51">
        <v>0</v>
      </c>
      <c r="R984" s="51">
        <v>0</v>
      </c>
      <c r="S984" s="171">
        <v>0</v>
      </c>
      <c r="T984" s="171">
        <v>0</v>
      </c>
      <c r="U984" s="49" t="s">
        <v>226</v>
      </c>
      <c r="V984" s="49">
        <v>2015</v>
      </c>
      <c r="W984" s="49">
        <v>1</v>
      </c>
      <c r="X984" s="49">
        <v>0</v>
      </c>
      <c r="Y984" s="49">
        <v>-1.6199999999999999E-2</v>
      </c>
      <c r="Z984" s="49">
        <v>-5.3999999999999999E-2</v>
      </c>
      <c r="AA984" s="49">
        <v>0</v>
      </c>
      <c r="AB984" s="49">
        <v>0</v>
      </c>
      <c r="AC984" s="49" t="s">
        <v>391</v>
      </c>
      <c r="AD984" s="158"/>
    </row>
    <row r="985" spans="1:30" s="157" customFormat="1" hidden="1" x14ac:dyDescent="0.2">
      <c r="A985" s="153">
        <f t="shared" si="14"/>
        <v>961</v>
      </c>
      <c r="B985" s="49">
        <v>5</v>
      </c>
      <c r="C985" s="49">
        <v>5</v>
      </c>
      <c r="D985" s="49">
        <v>18</v>
      </c>
      <c r="E985" s="166">
        <v>2020</v>
      </c>
      <c r="F985" s="49">
        <v>2021</v>
      </c>
      <c r="G985" s="49">
        <v>6</v>
      </c>
      <c r="H985" s="49">
        <v>0</v>
      </c>
      <c r="I985" s="49">
        <v>0</v>
      </c>
      <c r="J985" s="49">
        <v>0</v>
      </c>
      <c r="K985" s="49">
        <v>0</v>
      </c>
      <c r="L985" s="167">
        <v>1</v>
      </c>
      <c r="M985" s="168">
        <v>7100</v>
      </c>
      <c r="N985" s="168">
        <v>4800</v>
      </c>
      <c r="O985" s="51">
        <v>1846</v>
      </c>
      <c r="P985" s="51">
        <v>1248</v>
      </c>
      <c r="Q985" s="51">
        <v>0</v>
      </c>
      <c r="R985" s="51">
        <v>0</v>
      </c>
      <c r="S985" s="171">
        <v>0</v>
      </c>
      <c r="T985" s="171">
        <v>0</v>
      </c>
      <c r="U985" s="49" t="s">
        <v>226</v>
      </c>
      <c r="V985" s="49">
        <v>2015</v>
      </c>
      <c r="W985" s="49">
        <v>1</v>
      </c>
      <c r="X985" s="49">
        <v>0</v>
      </c>
      <c r="Y985" s="49">
        <v>-1.6199999999999999E-2</v>
      </c>
      <c r="Z985" s="49">
        <v>-5.3999999999999999E-2</v>
      </c>
      <c r="AA985" s="49">
        <v>0</v>
      </c>
      <c r="AB985" s="49">
        <v>0</v>
      </c>
      <c r="AC985" s="49" t="s">
        <v>391</v>
      </c>
      <c r="AD985" s="158"/>
    </row>
    <row r="986" spans="1:30" s="157" customFormat="1" hidden="1" x14ac:dyDescent="0.2">
      <c r="A986" s="153">
        <f t="shared" si="14"/>
        <v>962</v>
      </c>
      <c r="B986" s="49">
        <v>5</v>
      </c>
      <c r="C986" s="49">
        <v>5</v>
      </c>
      <c r="D986" s="49">
        <v>18</v>
      </c>
      <c r="E986" s="166">
        <v>2020</v>
      </c>
      <c r="F986" s="49">
        <v>2021</v>
      </c>
      <c r="G986" s="49">
        <v>7</v>
      </c>
      <c r="H986" s="49">
        <v>0</v>
      </c>
      <c r="I986" s="49">
        <v>0</v>
      </c>
      <c r="J986" s="49">
        <v>0</v>
      </c>
      <c r="K986" s="49">
        <v>0</v>
      </c>
      <c r="L986" s="167">
        <v>1</v>
      </c>
      <c r="M986" s="168">
        <v>7100</v>
      </c>
      <c r="N986" s="168">
        <v>4800</v>
      </c>
      <c r="O986" s="51">
        <v>1846</v>
      </c>
      <c r="P986" s="51">
        <v>1248</v>
      </c>
      <c r="Q986" s="51">
        <v>0</v>
      </c>
      <c r="R986" s="51">
        <v>0</v>
      </c>
      <c r="S986" s="171">
        <v>0</v>
      </c>
      <c r="T986" s="171">
        <v>0</v>
      </c>
      <c r="U986" s="49" t="s">
        <v>226</v>
      </c>
      <c r="V986" s="49">
        <v>2015</v>
      </c>
      <c r="W986" s="49">
        <v>1</v>
      </c>
      <c r="X986" s="49">
        <v>0</v>
      </c>
      <c r="Y986" s="49">
        <v>-1.6199999999999999E-2</v>
      </c>
      <c r="Z986" s="49">
        <v>-5.3999999999999999E-2</v>
      </c>
      <c r="AA986" s="49">
        <v>0</v>
      </c>
      <c r="AB986" s="49">
        <v>0</v>
      </c>
      <c r="AC986" s="49" t="s">
        <v>391</v>
      </c>
      <c r="AD986" s="158"/>
    </row>
    <row r="987" spans="1:30" s="157" customFormat="1" hidden="1" x14ac:dyDescent="0.2">
      <c r="A987" s="153">
        <f t="shared" ref="A987:A1050" si="15">A986+1</f>
        <v>963</v>
      </c>
      <c r="B987" s="49">
        <v>5</v>
      </c>
      <c r="C987" s="49">
        <v>5</v>
      </c>
      <c r="D987" s="49">
        <v>18</v>
      </c>
      <c r="E987" s="166">
        <v>2020</v>
      </c>
      <c r="F987" s="49">
        <v>2021</v>
      </c>
      <c r="G987" s="49">
        <v>8</v>
      </c>
      <c r="H987" s="49">
        <v>0</v>
      </c>
      <c r="I987" s="49">
        <v>0</v>
      </c>
      <c r="J987" s="49">
        <v>0</v>
      </c>
      <c r="K987" s="49">
        <v>0</v>
      </c>
      <c r="L987" s="167">
        <v>1</v>
      </c>
      <c r="M987" s="168">
        <v>7100</v>
      </c>
      <c r="N987" s="168">
        <v>4800</v>
      </c>
      <c r="O987" s="51">
        <v>1846</v>
      </c>
      <c r="P987" s="51">
        <v>1248</v>
      </c>
      <c r="Q987" s="51">
        <v>0</v>
      </c>
      <c r="R987" s="51">
        <v>0</v>
      </c>
      <c r="S987" s="171">
        <v>0</v>
      </c>
      <c r="T987" s="171">
        <v>0</v>
      </c>
      <c r="U987" s="49" t="s">
        <v>226</v>
      </c>
      <c r="V987" s="49">
        <v>2015</v>
      </c>
      <c r="W987" s="49">
        <v>1</v>
      </c>
      <c r="X987" s="49">
        <v>0</v>
      </c>
      <c r="Y987" s="49">
        <v>-1.6199999999999999E-2</v>
      </c>
      <c r="Z987" s="49">
        <v>-5.3999999999999999E-2</v>
      </c>
      <c r="AA987" s="49">
        <v>0</v>
      </c>
      <c r="AB987" s="49">
        <v>0</v>
      </c>
      <c r="AC987" s="49" t="s">
        <v>391</v>
      </c>
      <c r="AD987" s="158"/>
    </row>
    <row r="988" spans="1:30" s="157" customFormat="1" hidden="1" x14ac:dyDescent="0.2">
      <c r="A988" s="153">
        <f t="shared" si="15"/>
        <v>964</v>
      </c>
      <c r="B988" s="49">
        <v>5</v>
      </c>
      <c r="C988" s="49">
        <v>5</v>
      </c>
      <c r="D988" s="49">
        <v>18</v>
      </c>
      <c r="E988" s="166">
        <v>2020</v>
      </c>
      <c r="F988" s="49">
        <v>2021</v>
      </c>
      <c r="G988" s="49">
        <v>9</v>
      </c>
      <c r="H988" s="49">
        <v>0</v>
      </c>
      <c r="I988" s="49">
        <v>0</v>
      </c>
      <c r="J988" s="49">
        <v>0</v>
      </c>
      <c r="K988" s="49">
        <v>0</v>
      </c>
      <c r="L988" s="167">
        <v>1</v>
      </c>
      <c r="M988" s="168">
        <v>7100</v>
      </c>
      <c r="N988" s="168">
        <v>4800</v>
      </c>
      <c r="O988" s="51">
        <v>1846</v>
      </c>
      <c r="P988" s="51">
        <v>1248</v>
      </c>
      <c r="Q988" s="51">
        <v>0</v>
      </c>
      <c r="R988" s="51">
        <v>0</v>
      </c>
      <c r="S988" s="171">
        <v>0</v>
      </c>
      <c r="T988" s="171">
        <v>0</v>
      </c>
      <c r="U988" s="49" t="s">
        <v>226</v>
      </c>
      <c r="V988" s="49">
        <v>2015</v>
      </c>
      <c r="W988" s="49">
        <v>1</v>
      </c>
      <c r="X988" s="49">
        <v>0</v>
      </c>
      <c r="Y988" s="49">
        <v>-1.6199999999999999E-2</v>
      </c>
      <c r="Z988" s="49">
        <v>-5.3999999999999999E-2</v>
      </c>
      <c r="AA988" s="49">
        <v>0</v>
      </c>
      <c r="AB988" s="49">
        <v>0</v>
      </c>
      <c r="AC988" s="49" t="s">
        <v>391</v>
      </c>
      <c r="AD988" s="158"/>
    </row>
    <row r="989" spans="1:30" s="157" customFormat="1" hidden="1" x14ac:dyDescent="0.2">
      <c r="A989" s="153">
        <f t="shared" si="15"/>
        <v>965</v>
      </c>
      <c r="B989" s="49">
        <v>5</v>
      </c>
      <c r="C989" s="49">
        <v>5</v>
      </c>
      <c r="D989" s="49">
        <v>18</v>
      </c>
      <c r="E989" s="166">
        <v>2022</v>
      </c>
      <c r="F989" s="49">
        <v>2032</v>
      </c>
      <c r="G989" s="49">
        <v>1</v>
      </c>
      <c r="H989" s="49">
        <v>0</v>
      </c>
      <c r="I989" s="49">
        <v>0</v>
      </c>
      <c r="J989" s="49">
        <v>0</v>
      </c>
      <c r="K989" s="49">
        <v>0</v>
      </c>
      <c r="L989" s="167">
        <v>1</v>
      </c>
      <c r="M989" s="168">
        <v>11000</v>
      </c>
      <c r="N989" s="168">
        <v>8300</v>
      </c>
      <c r="O989" s="51">
        <v>3300</v>
      </c>
      <c r="P989" s="51">
        <v>2490</v>
      </c>
      <c r="Q989" s="51">
        <v>0</v>
      </c>
      <c r="R989" s="51">
        <v>0</v>
      </c>
      <c r="S989" s="171">
        <v>0</v>
      </c>
      <c r="T989" s="171">
        <v>0</v>
      </c>
      <c r="U989" s="49" t="s">
        <v>226</v>
      </c>
      <c r="V989" s="49">
        <v>2015</v>
      </c>
      <c r="W989" s="49">
        <v>1</v>
      </c>
      <c r="X989" s="49">
        <v>0</v>
      </c>
      <c r="Y989" s="49">
        <v>-1.6199999999999999E-2</v>
      </c>
      <c r="Z989" s="49">
        <v>-5.3999999999999999E-2</v>
      </c>
      <c r="AA989" s="49">
        <v>0</v>
      </c>
      <c r="AB989" s="49">
        <v>0</v>
      </c>
      <c r="AC989" s="49" t="s">
        <v>391</v>
      </c>
      <c r="AD989" s="158"/>
    </row>
    <row r="990" spans="1:30" s="157" customFormat="1" hidden="1" x14ac:dyDescent="0.2">
      <c r="A990" s="153">
        <f t="shared" si="15"/>
        <v>966</v>
      </c>
      <c r="B990" s="49">
        <v>5</v>
      </c>
      <c r="C990" s="49">
        <v>5</v>
      </c>
      <c r="D990" s="49">
        <v>18</v>
      </c>
      <c r="E990" s="166">
        <v>2022</v>
      </c>
      <c r="F990" s="49">
        <v>2032</v>
      </c>
      <c r="G990" s="49">
        <v>2</v>
      </c>
      <c r="H990" s="49">
        <v>0</v>
      </c>
      <c r="I990" s="49">
        <v>0</v>
      </c>
      <c r="J990" s="49">
        <v>0</v>
      </c>
      <c r="K990" s="49">
        <v>0</v>
      </c>
      <c r="L990" s="167">
        <v>1</v>
      </c>
      <c r="M990" s="168">
        <v>11000</v>
      </c>
      <c r="N990" s="168">
        <v>8300</v>
      </c>
      <c r="O990" s="51">
        <v>3300</v>
      </c>
      <c r="P990" s="51">
        <v>2490</v>
      </c>
      <c r="Q990" s="51">
        <v>0</v>
      </c>
      <c r="R990" s="51">
        <v>0</v>
      </c>
      <c r="S990" s="171">
        <v>0</v>
      </c>
      <c r="T990" s="171">
        <v>0</v>
      </c>
      <c r="U990" s="49" t="s">
        <v>226</v>
      </c>
      <c r="V990" s="49">
        <v>2015</v>
      </c>
      <c r="W990" s="49">
        <v>1</v>
      </c>
      <c r="X990" s="49">
        <v>0</v>
      </c>
      <c r="Y990" s="49">
        <v>-1.6199999999999999E-2</v>
      </c>
      <c r="Z990" s="49">
        <v>-5.3999999999999999E-2</v>
      </c>
      <c r="AA990" s="49">
        <v>0</v>
      </c>
      <c r="AB990" s="49">
        <v>0</v>
      </c>
      <c r="AC990" s="49" t="s">
        <v>391</v>
      </c>
      <c r="AD990" s="158"/>
    </row>
    <row r="991" spans="1:30" s="157" customFormat="1" x14ac:dyDescent="0.2">
      <c r="A991" s="153">
        <f t="shared" si="15"/>
        <v>967</v>
      </c>
      <c r="B991" s="49">
        <v>5</v>
      </c>
      <c r="C991" s="49">
        <v>5</v>
      </c>
      <c r="D991" s="49">
        <v>18</v>
      </c>
      <c r="E991" s="166">
        <v>2022</v>
      </c>
      <c r="F991" s="49">
        <v>2032</v>
      </c>
      <c r="G991" s="49">
        <v>3</v>
      </c>
      <c r="H991" s="49">
        <v>0</v>
      </c>
      <c r="I991" s="49">
        <v>0</v>
      </c>
      <c r="J991" s="49">
        <v>0</v>
      </c>
      <c r="K991" s="49">
        <v>0</v>
      </c>
      <c r="L991" s="167">
        <v>1</v>
      </c>
      <c r="M991" s="168">
        <v>11000</v>
      </c>
      <c r="N991" s="168">
        <v>8300</v>
      </c>
      <c r="O991" s="51">
        <v>3300</v>
      </c>
      <c r="P991" s="51">
        <v>2490</v>
      </c>
      <c r="Q991" s="51">
        <v>0</v>
      </c>
      <c r="R991" s="51">
        <v>0</v>
      </c>
      <c r="S991" s="171">
        <v>0</v>
      </c>
      <c r="T991" s="171">
        <v>0</v>
      </c>
      <c r="U991" s="49" t="s">
        <v>226</v>
      </c>
      <c r="V991" s="49">
        <v>2015</v>
      </c>
      <c r="W991" s="49">
        <v>1</v>
      </c>
      <c r="X991" s="49">
        <v>0</v>
      </c>
      <c r="Y991" s="49">
        <v>-1.6199999999999999E-2</v>
      </c>
      <c r="Z991" s="49">
        <v>-5.3999999999999999E-2</v>
      </c>
      <c r="AA991" s="49">
        <v>0</v>
      </c>
      <c r="AB991" s="49">
        <v>0</v>
      </c>
      <c r="AC991" s="49" t="s">
        <v>391</v>
      </c>
      <c r="AD991" s="158"/>
    </row>
    <row r="992" spans="1:30" s="157" customFormat="1" hidden="1" x14ac:dyDescent="0.2">
      <c r="A992" s="153">
        <f t="shared" si="15"/>
        <v>968</v>
      </c>
      <c r="B992" s="49">
        <v>5</v>
      </c>
      <c r="C992" s="49">
        <v>5</v>
      </c>
      <c r="D992" s="49">
        <v>18</v>
      </c>
      <c r="E992" s="166">
        <v>2022</v>
      </c>
      <c r="F992" s="49">
        <v>2032</v>
      </c>
      <c r="G992" s="49">
        <v>4</v>
      </c>
      <c r="H992" s="49">
        <v>0</v>
      </c>
      <c r="I992" s="49">
        <v>0</v>
      </c>
      <c r="J992" s="49">
        <v>0</v>
      </c>
      <c r="K992" s="49">
        <v>0</v>
      </c>
      <c r="L992" s="167">
        <v>1</v>
      </c>
      <c r="M992" s="168">
        <v>11000</v>
      </c>
      <c r="N992" s="168">
        <v>8300</v>
      </c>
      <c r="O992" s="51">
        <v>3300</v>
      </c>
      <c r="P992" s="51">
        <v>2490</v>
      </c>
      <c r="Q992" s="51">
        <v>0</v>
      </c>
      <c r="R992" s="51">
        <v>0</v>
      </c>
      <c r="S992" s="171">
        <v>0</v>
      </c>
      <c r="T992" s="171">
        <v>0</v>
      </c>
      <c r="U992" s="49" t="s">
        <v>226</v>
      </c>
      <c r="V992" s="49">
        <v>2015</v>
      </c>
      <c r="W992" s="49">
        <v>1</v>
      </c>
      <c r="X992" s="49">
        <v>0</v>
      </c>
      <c r="Y992" s="49">
        <v>-1.6199999999999999E-2</v>
      </c>
      <c r="Z992" s="49">
        <v>-5.3999999999999999E-2</v>
      </c>
      <c r="AA992" s="49">
        <v>0</v>
      </c>
      <c r="AB992" s="49">
        <v>0</v>
      </c>
      <c r="AC992" s="49" t="s">
        <v>391</v>
      </c>
      <c r="AD992" s="158"/>
    </row>
    <row r="993" spans="1:30" s="157" customFormat="1" hidden="1" x14ac:dyDescent="0.2">
      <c r="A993" s="153">
        <f t="shared" si="15"/>
        <v>969</v>
      </c>
      <c r="B993" s="49">
        <v>5</v>
      </c>
      <c r="C993" s="49">
        <v>5</v>
      </c>
      <c r="D993" s="49">
        <v>18</v>
      </c>
      <c r="E993" s="166">
        <v>2022</v>
      </c>
      <c r="F993" s="49">
        <v>2032</v>
      </c>
      <c r="G993" s="49">
        <v>5</v>
      </c>
      <c r="H993" s="49">
        <v>0</v>
      </c>
      <c r="I993" s="49">
        <v>0</v>
      </c>
      <c r="J993" s="49">
        <v>0</v>
      </c>
      <c r="K993" s="49">
        <v>0</v>
      </c>
      <c r="L993" s="167">
        <v>1</v>
      </c>
      <c r="M993" s="168">
        <v>7100</v>
      </c>
      <c r="N993" s="168">
        <v>4800</v>
      </c>
      <c r="O993" s="51">
        <v>2130</v>
      </c>
      <c r="P993" s="51">
        <v>1440</v>
      </c>
      <c r="Q993" s="51">
        <v>0</v>
      </c>
      <c r="R993" s="51">
        <v>0</v>
      </c>
      <c r="S993" s="171">
        <v>0</v>
      </c>
      <c r="T993" s="171">
        <v>0</v>
      </c>
      <c r="U993" s="49" t="s">
        <v>226</v>
      </c>
      <c r="V993" s="49">
        <v>2015</v>
      </c>
      <c r="W993" s="49">
        <v>1</v>
      </c>
      <c r="X993" s="49">
        <v>0</v>
      </c>
      <c r="Y993" s="49">
        <v>-1.6199999999999999E-2</v>
      </c>
      <c r="Z993" s="49">
        <v>-5.3999999999999999E-2</v>
      </c>
      <c r="AA993" s="49">
        <v>0</v>
      </c>
      <c r="AB993" s="49">
        <v>0</v>
      </c>
      <c r="AC993" s="49" t="s">
        <v>391</v>
      </c>
      <c r="AD993" s="158"/>
    </row>
    <row r="994" spans="1:30" s="157" customFormat="1" hidden="1" x14ac:dyDescent="0.2">
      <c r="A994" s="153">
        <f t="shared" si="15"/>
        <v>970</v>
      </c>
      <c r="B994" s="49">
        <v>5</v>
      </c>
      <c r="C994" s="49">
        <v>5</v>
      </c>
      <c r="D994" s="49">
        <v>18</v>
      </c>
      <c r="E994" s="166">
        <v>2022</v>
      </c>
      <c r="F994" s="49">
        <v>2032</v>
      </c>
      <c r="G994" s="49">
        <v>6</v>
      </c>
      <c r="H994" s="49">
        <v>0</v>
      </c>
      <c r="I994" s="49">
        <v>0</v>
      </c>
      <c r="J994" s="49">
        <v>0</v>
      </c>
      <c r="K994" s="49">
        <v>0</v>
      </c>
      <c r="L994" s="167">
        <v>1</v>
      </c>
      <c r="M994" s="168">
        <v>7100</v>
      </c>
      <c r="N994" s="168">
        <v>4800</v>
      </c>
      <c r="O994" s="51">
        <v>2130</v>
      </c>
      <c r="P994" s="51">
        <v>1440</v>
      </c>
      <c r="Q994" s="51">
        <v>0</v>
      </c>
      <c r="R994" s="51">
        <v>0</v>
      </c>
      <c r="S994" s="171">
        <v>0</v>
      </c>
      <c r="T994" s="171">
        <v>0</v>
      </c>
      <c r="U994" s="49" t="s">
        <v>226</v>
      </c>
      <c r="V994" s="49">
        <v>2015</v>
      </c>
      <c r="W994" s="49">
        <v>1</v>
      </c>
      <c r="X994" s="49">
        <v>0</v>
      </c>
      <c r="Y994" s="49">
        <v>-1.6199999999999999E-2</v>
      </c>
      <c r="Z994" s="49">
        <v>-5.3999999999999999E-2</v>
      </c>
      <c r="AA994" s="49">
        <v>0</v>
      </c>
      <c r="AB994" s="49">
        <v>0</v>
      </c>
      <c r="AC994" s="49" t="s">
        <v>391</v>
      </c>
      <c r="AD994" s="158"/>
    </row>
    <row r="995" spans="1:30" s="157" customFormat="1" hidden="1" x14ac:dyDescent="0.2">
      <c r="A995" s="153">
        <f t="shared" si="15"/>
        <v>971</v>
      </c>
      <c r="B995" s="49">
        <v>5</v>
      </c>
      <c r="C995" s="49">
        <v>5</v>
      </c>
      <c r="D995" s="49">
        <v>18</v>
      </c>
      <c r="E995" s="166">
        <v>2022</v>
      </c>
      <c r="F995" s="49">
        <v>2032</v>
      </c>
      <c r="G995" s="49">
        <v>7</v>
      </c>
      <c r="H995" s="49">
        <v>0</v>
      </c>
      <c r="I995" s="49">
        <v>0</v>
      </c>
      <c r="J995" s="49">
        <v>0</v>
      </c>
      <c r="K995" s="49">
        <v>0</v>
      </c>
      <c r="L995" s="167">
        <v>1</v>
      </c>
      <c r="M995" s="168">
        <v>7100</v>
      </c>
      <c r="N995" s="168">
        <v>4800</v>
      </c>
      <c r="O995" s="51">
        <v>2130</v>
      </c>
      <c r="P995" s="51">
        <v>1440</v>
      </c>
      <c r="Q995" s="51">
        <v>0</v>
      </c>
      <c r="R995" s="51">
        <v>0</v>
      </c>
      <c r="S995" s="171">
        <v>0</v>
      </c>
      <c r="T995" s="171">
        <v>0</v>
      </c>
      <c r="U995" s="49" t="s">
        <v>226</v>
      </c>
      <c r="V995" s="49">
        <v>2015</v>
      </c>
      <c r="W995" s="49">
        <v>1</v>
      </c>
      <c r="X995" s="49">
        <v>0</v>
      </c>
      <c r="Y995" s="49">
        <v>-1.6199999999999999E-2</v>
      </c>
      <c r="Z995" s="49">
        <v>-5.3999999999999999E-2</v>
      </c>
      <c r="AA995" s="49">
        <v>0</v>
      </c>
      <c r="AB995" s="49">
        <v>0</v>
      </c>
      <c r="AC995" s="49" t="s">
        <v>391</v>
      </c>
      <c r="AD995" s="158"/>
    </row>
    <row r="996" spans="1:30" s="157" customFormat="1" hidden="1" x14ac:dyDescent="0.2">
      <c r="A996" s="153">
        <f t="shared" si="15"/>
        <v>972</v>
      </c>
      <c r="B996" s="49">
        <v>5</v>
      </c>
      <c r="C996" s="49">
        <v>5</v>
      </c>
      <c r="D996" s="49">
        <v>18</v>
      </c>
      <c r="E996" s="166">
        <v>2022</v>
      </c>
      <c r="F996" s="49">
        <v>2032</v>
      </c>
      <c r="G996" s="49">
        <v>8</v>
      </c>
      <c r="H996" s="49">
        <v>0</v>
      </c>
      <c r="I996" s="49">
        <v>0</v>
      </c>
      <c r="J996" s="49">
        <v>0</v>
      </c>
      <c r="K996" s="49">
        <v>0</v>
      </c>
      <c r="L996" s="167">
        <v>1</v>
      </c>
      <c r="M996" s="168">
        <v>7100</v>
      </c>
      <c r="N996" s="168">
        <v>4800</v>
      </c>
      <c r="O996" s="51">
        <v>2130</v>
      </c>
      <c r="P996" s="51">
        <v>1440</v>
      </c>
      <c r="Q996" s="51">
        <v>0</v>
      </c>
      <c r="R996" s="51">
        <v>0</v>
      </c>
      <c r="S996" s="171">
        <v>0</v>
      </c>
      <c r="T996" s="171">
        <v>0</v>
      </c>
      <c r="U996" s="49" t="s">
        <v>226</v>
      </c>
      <c r="V996" s="49">
        <v>2015</v>
      </c>
      <c r="W996" s="49">
        <v>1</v>
      </c>
      <c r="X996" s="49">
        <v>0</v>
      </c>
      <c r="Y996" s="49">
        <v>-1.6199999999999999E-2</v>
      </c>
      <c r="Z996" s="49">
        <v>-5.3999999999999999E-2</v>
      </c>
      <c r="AA996" s="49">
        <v>0</v>
      </c>
      <c r="AB996" s="49">
        <v>0</v>
      </c>
      <c r="AC996" s="49" t="s">
        <v>391</v>
      </c>
      <c r="AD996" s="158"/>
    </row>
    <row r="997" spans="1:30" s="157" customFormat="1" hidden="1" x14ac:dyDescent="0.2">
      <c r="A997" s="153">
        <f t="shared" si="15"/>
        <v>973</v>
      </c>
      <c r="B997" s="49">
        <v>5</v>
      </c>
      <c r="C997" s="49">
        <v>5</v>
      </c>
      <c r="D997" s="49">
        <v>18</v>
      </c>
      <c r="E997" s="166">
        <v>2022</v>
      </c>
      <c r="F997" s="49">
        <v>2032</v>
      </c>
      <c r="G997" s="49">
        <v>9</v>
      </c>
      <c r="H997" s="49">
        <v>0</v>
      </c>
      <c r="I997" s="49">
        <v>0</v>
      </c>
      <c r="J997" s="49">
        <v>0</v>
      </c>
      <c r="K997" s="49">
        <v>0</v>
      </c>
      <c r="L997" s="167">
        <v>1</v>
      </c>
      <c r="M997" s="168">
        <v>7100</v>
      </c>
      <c r="N997" s="168">
        <v>4800</v>
      </c>
      <c r="O997" s="51">
        <v>2130</v>
      </c>
      <c r="P997" s="51">
        <v>1440</v>
      </c>
      <c r="Q997" s="51">
        <v>0</v>
      </c>
      <c r="R997" s="51">
        <v>0</v>
      </c>
      <c r="S997" s="171">
        <v>0</v>
      </c>
      <c r="T997" s="171">
        <v>0</v>
      </c>
      <c r="U997" s="49" t="s">
        <v>226</v>
      </c>
      <c r="V997" s="49">
        <v>2015</v>
      </c>
      <c r="W997" s="49">
        <v>1</v>
      </c>
      <c r="X997" s="49">
        <v>0</v>
      </c>
      <c r="Y997" s="49">
        <v>-1.6199999999999999E-2</v>
      </c>
      <c r="Z997" s="49">
        <v>-5.3999999999999999E-2</v>
      </c>
      <c r="AA997" s="49">
        <v>0</v>
      </c>
      <c r="AB997" s="49">
        <v>0</v>
      </c>
      <c r="AC997" s="49" t="s">
        <v>391</v>
      </c>
      <c r="AD997" s="158"/>
    </row>
    <row r="998" spans="1:30" customFormat="1" hidden="1" x14ac:dyDescent="0.2">
      <c r="A998" s="153">
        <f t="shared" si="15"/>
        <v>974</v>
      </c>
      <c r="B998" s="33">
        <v>5</v>
      </c>
      <c r="C998" s="33">
        <v>5</v>
      </c>
      <c r="D998" s="33">
        <v>18</v>
      </c>
      <c r="E998" s="143">
        <v>2033</v>
      </c>
      <c r="F998" s="159">
        <v>2033</v>
      </c>
      <c r="G998" s="33">
        <v>1</v>
      </c>
      <c r="H998" s="33">
        <v>0</v>
      </c>
      <c r="I998" s="33">
        <v>0</v>
      </c>
      <c r="J998" s="33">
        <v>0</v>
      </c>
      <c r="K998" s="33">
        <v>0</v>
      </c>
      <c r="L998" s="101">
        <v>1</v>
      </c>
      <c r="M998" s="108">
        <v>11000</v>
      </c>
      <c r="N998" s="108">
        <v>8300</v>
      </c>
      <c r="O998" s="142">
        <v>2860</v>
      </c>
      <c r="P998" s="142">
        <v>2158</v>
      </c>
      <c r="Q998" s="149">
        <v>0</v>
      </c>
      <c r="R998" s="149">
        <v>0</v>
      </c>
      <c r="S998" s="116">
        <v>0</v>
      </c>
      <c r="T998" s="116">
        <v>0</v>
      </c>
      <c r="U998" s="33" t="s">
        <v>226</v>
      </c>
      <c r="V998" s="33">
        <v>2015</v>
      </c>
      <c r="W998" s="33">
        <v>1</v>
      </c>
      <c r="X998" s="33">
        <v>0</v>
      </c>
      <c r="Y998" s="33">
        <v>-1.6199999999999999E-2</v>
      </c>
      <c r="Z998" s="33">
        <v>-5.3999999999999999E-2</v>
      </c>
      <c r="AA998" s="33">
        <v>0</v>
      </c>
      <c r="AB998" s="33">
        <v>0</v>
      </c>
      <c r="AC998" s="33" t="s">
        <v>391</v>
      </c>
      <c r="AD998" s="158"/>
    </row>
    <row r="999" spans="1:30" customFormat="1" hidden="1" x14ac:dyDescent="0.2">
      <c r="A999" s="153">
        <f t="shared" si="15"/>
        <v>975</v>
      </c>
      <c r="B999" s="33">
        <v>5</v>
      </c>
      <c r="C999" s="33">
        <v>5</v>
      </c>
      <c r="D999" s="33">
        <v>18</v>
      </c>
      <c r="E999" s="143">
        <v>2033</v>
      </c>
      <c r="F999" s="159">
        <v>2033</v>
      </c>
      <c r="G999" s="33">
        <v>2</v>
      </c>
      <c r="H999" s="33">
        <v>0</v>
      </c>
      <c r="I999" s="33">
        <v>0</v>
      </c>
      <c r="J999" s="33">
        <v>0</v>
      </c>
      <c r="K999" s="33">
        <v>0</v>
      </c>
      <c r="L999" s="101">
        <v>1</v>
      </c>
      <c r="M999" s="108">
        <v>11000</v>
      </c>
      <c r="N999" s="108">
        <v>8300</v>
      </c>
      <c r="O999" s="142">
        <v>2860</v>
      </c>
      <c r="P999" s="142">
        <v>2158</v>
      </c>
      <c r="Q999" s="149">
        <v>0</v>
      </c>
      <c r="R999" s="149">
        <v>0</v>
      </c>
      <c r="S999" s="116">
        <v>0</v>
      </c>
      <c r="T999" s="116">
        <v>0</v>
      </c>
      <c r="U999" s="33" t="s">
        <v>226</v>
      </c>
      <c r="V999" s="33">
        <v>2015</v>
      </c>
      <c r="W999" s="33">
        <v>1</v>
      </c>
      <c r="X999" s="33">
        <v>0</v>
      </c>
      <c r="Y999" s="33">
        <v>-1.6199999999999999E-2</v>
      </c>
      <c r="Z999" s="33">
        <v>-5.3999999999999999E-2</v>
      </c>
      <c r="AA999" s="33">
        <v>0</v>
      </c>
      <c r="AB999" s="33">
        <v>0</v>
      </c>
      <c r="AC999" s="33" t="s">
        <v>391</v>
      </c>
      <c r="AD999" s="158"/>
    </row>
    <row r="1000" spans="1:30" customFormat="1" x14ac:dyDescent="0.2">
      <c r="A1000" s="153">
        <f t="shared" si="15"/>
        <v>976</v>
      </c>
      <c r="B1000" s="33">
        <v>5</v>
      </c>
      <c r="C1000" s="33">
        <v>5</v>
      </c>
      <c r="D1000" s="33">
        <v>18</v>
      </c>
      <c r="E1000" s="143">
        <v>2033</v>
      </c>
      <c r="F1000" s="159">
        <v>2033</v>
      </c>
      <c r="G1000" s="33">
        <v>3</v>
      </c>
      <c r="H1000" s="33">
        <v>0</v>
      </c>
      <c r="I1000" s="33">
        <v>0</v>
      </c>
      <c r="J1000" s="33">
        <v>0</v>
      </c>
      <c r="K1000" s="33">
        <v>0</v>
      </c>
      <c r="L1000" s="101">
        <v>1</v>
      </c>
      <c r="M1000" s="108">
        <v>11000</v>
      </c>
      <c r="N1000" s="108">
        <v>8300</v>
      </c>
      <c r="O1000" s="142">
        <v>2860</v>
      </c>
      <c r="P1000" s="142">
        <v>2158</v>
      </c>
      <c r="Q1000" s="149">
        <v>0</v>
      </c>
      <c r="R1000" s="149">
        <v>0</v>
      </c>
      <c r="S1000" s="116">
        <v>0</v>
      </c>
      <c r="T1000" s="116">
        <v>0</v>
      </c>
      <c r="U1000" s="33" t="s">
        <v>226</v>
      </c>
      <c r="V1000" s="33">
        <v>2015</v>
      </c>
      <c r="W1000" s="33">
        <v>1</v>
      </c>
      <c r="X1000" s="33">
        <v>0</v>
      </c>
      <c r="Y1000" s="33">
        <v>-1.6199999999999999E-2</v>
      </c>
      <c r="Z1000" s="33">
        <v>-5.3999999999999999E-2</v>
      </c>
      <c r="AA1000" s="33">
        <v>0</v>
      </c>
      <c r="AB1000" s="33">
        <v>0</v>
      </c>
      <c r="AC1000" s="33" t="s">
        <v>391</v>
      </c>
      <c r="AD1000" s="158"/>
    </row>
    <row r="1001" spans="1:30" customFormat="1" hidden="1" x14ac:dyDescent="0.2">
      <c r="A1001" s="153">
        <f t="shared" si="15"/>
        <v>977</v>
      </c>
      <c r="B1001" s="33">
        <v>5</v>
      </c>
      <c r="C1001" s="33">
        <v>5</v>
      </c>
      <c r="D1001" s="33">
        <v>18</v>
      </c>
      <c r="E1001" s="143">
        <v>2033</v>
      </c>
      <c r="F1001" s="159">
        <v>2033</v>
      </c>
      <c r="G1001" s="33">
        <v>4</v>
      </c>
      <c r="H1001" s="33">
        <v>0</v>
      </c>
      <c r="I1001" s="33">
        <v>0</v>
      </c>
      <c r="J1001" s="33">
        <v>0</v>
      </c>
      <c r="K1001" s="33">
        <v>0</v>
      </c>
      <c r="L1001" s="101">
        <v>1</v>
      </c>
      <c r="M1001" s="108">
        <v>11000</v>
      </c>
      <c r="N1001" s="108">
        <v>8300</v>
      </c>
      <c r="O1001" s="142">
        <v>2860</v>
      </c>
      <c r="P1001" s="142">
        <v>2158</v>
      </c>
      <c r="Q1001" s="149">
        <v>0</v>
      </c>
      <c r="R1001" s="149">
        <v>0</v>
      </c>
      <c r="S1001" s="116">
        <v>0</v>
      </c>
      <c r="T1001" s="116">
        <v>0</v>
      </c>
      <c r="U1001" s="33" t="s">
        <v>226</v>
      </c>
      <c r="V1001" s="33">
        <v>2015</v>
      </c>
      <c r="W1001" s="33">
        <v>1</v>
      </c>
      <c r="X1001" s="33">
        <v>0</v>
      </c>
      <c r="Y1001" s="33">
        <v>-1.6199999999999999E-2</v>
      </c>
      <c r="Z1001" s="33">
        <v>-5.3999999999999999E-2</v>
      </c>
      <c r="AA1001" s="33">
        <v>0</v>
      </c>
      <c r="AB1001" s="33">
        <v>0</v>
      </c>
      <c r="AC1001" s="33" t="s">
        <v>391</v>
      </c>
      <c r="AD1001" s="158"/>
    </row>
    <row r="1002" spans="1:30" customFormat="1" hidden="1" x14ac:dyDescent="0.2">
      <c r="A1002" s="153">
        <f t="shared" si="15"/>
        <v>978</v>
      </c>
      <c r="B1002" s="33">
        <v>5</v>
      </c>
      <c r="C1002" s="33">
        <v>5</v>
      </c>
      <c r="D1002" s="33">
        <v>18</v>
      </c>
      <c r="E1002" s="143">
        <v>2033</v>
      </c>
      <c r="F1002" s="159">
        <v>2033</v>
      </c>
      <c r="G1002" s="33">
        <v>5</v>
      </c>
      <c r="H1002" s="33">
        <v>0</v>
      </c>
      <c r="I1002" s="33">
        <v>0</v>
      </c>
      <c r="J1002" s="33">
        <v>0</v>
      </c>
      <c r="K1002" s="33">
        <v>0</v>
      </c>
      <c r="L1002" s="101">
        <v>1</v>
      </c>
      <c r="M1002" s="108">
        <v>7100</v>
      </c>
      <c r="N1002" s="108">
        <v>4800</v>
      </c>
      <c r="O1002" s="142">
        <v>1846</v>
      </c>
      <c r="P1002" s="142">
        <v>1248</v>
      </c>
      <c r="Q1002" s="149">
        <v>0</v>
      </c>
      <c r="R1002" s="149">
        <v>0</v>
      </c>
      <c r="S1002" s="116">
        <v>0</v>
      </c>
      <c r="T1002" s="116">
        <v>0</v>
      </c>
      <c r="U1002" s="33" t="s">
        <v>226</v>
      </c>
      <c r="V1002" s="33">
        <v>2015</v>
      </c>
      <c r="W1002" s="33">
        <v>1</v>
      </c>
      <c r="X1002" s="33">
        <v>0</v>
      </c>
      <c r="Y1002" s="33">
        <v>-1.6199999999999999E-2</v>
      </c>
      <c r="Z1002" s="33">
        <v>-5.3999999999999999E-2</v>
      </c>
      <c r="AA1002" s="33">
        <v>0</v>
      </c>
      <c r="AB1002" s="33">
        <v>0</v>
      </c>
      <c r="AC1002" s="33" t="s">
        <v>391</v>
      </c>
      <c r="AD1002" s="158"/>
    </row>
    <row r="1003" spans="1:30" customFormat="1" hidden="1" x14ac:dyDescent="0.2">
      <c r="A1003" s="153">
        <f t="shared" si="15"/>
        <v>979</v>
      </c>
      <c r="B1003" s="33">
        <v>5</v>
      </c>
      <c r="C1003" s="33">
        <v>5</v>
      </c>
      <c r="D1003" s="33">
        <v>18</v>
      </c>
      <c r="E1003" s="143">
        <v>2033</v>
      </c>
      <c r="F1003" s="159">
        <v>2033</v>
      </c>
      <c r="G1003" s="33">
        <v>6</v>
      </c>
      <c r="H1003" s="33">
        <v>0</v>
      </c>
      <c r="I1003" s="33">
        <v>0</v>
      </c>
      <c r="J1003" s="33">
        <v>0</v>
      </c>
      <c r="K1003" s="33">
        <v>0</v>
      </c>
      <c r="L1003" s="101">
        <v>1</v>
      </c>
      <c r="M1003" s="108">
        <v>7100</v>
      </c>
      <c r="N1003" s="108">
        <v>4800</v>
      </c>
      <c r="O1003" s="142">
        <v>1846</v>
      </c>
      <c r="P1003" s="142">
        <v>1248</v>
      </c>
      <c r="Q1003" s="149">
        <v>0</v>
      </c>
      <c r="R1003" s="149">
        <v>0</v>
      </c>
      <c r="S1003" s="116">
        <v>0</v>
      </c>
      <c r="T1003" s="116">
        <v>0</v>
      </c>
      <c r="U1003" s="33" t="s">
        <v>226</v>
      </c>
      <c r="V1003" s="33">
        <v>2015</v>
      </c>
      <c r="W1003" s="33">
        <v>1</v>
      </c>
      <c r="X1003" s="33">
        <v>0</v>
      </c>
      <c r="Y1003" s="33">
        <v>-1.6199999999999999E-2</v>
      </c>
      <c r="Z1003" s="33">
        <v>-5.3999999999999999E-2</v>
      </c>
      <c r="AA1003" s="33">
        <v>0</v>
      </c>
      <c r="AB1003" s="33">
        <v>0</v>
      </c>
      <c r="AC1003" s="33" t="s">
        <v>391</v>
      </c>
      <c r="AD1003" s="158"/>
    </row>
    <row r="1004" spans="1:30" customFormat="1" hidden="1" x14ac:dyDescent="0.2">
      <c r="A1004" s="153">
        <f t="shared" si="15"/>
        <v>980</v>
      </c>
      <c r="B1004" s="33">
        <v>5</v>
      </c>
      <c r="C1004" s="33">
        <v>5</v>
      </c>
      <c r="D1004" s="33">
        <v>18</v>
      </c>
      <c r="E1004" s="143">
        <v>2033</v>
      </c>
      <c r="F1004" s="159">
        <v>2033</v>
      </c>
      <c r="G1004" s="33">
        <v>7</v>
      </c>
      <c r="H1004" s="33">
        <v>0</v>
      </c>
      <c r="I1004" s="33">
        <v>0</v>
      </c>
      <c r="J1004" s="33">
        <v>0</v>
      </c>
      <c r="K1004" s="33">
        <v>0</v>
      </c>
      <c r="L1004" s="101">
        <v>1</v>
      </c>
      <c r="M1004" s="108">
        <v>7100</v>
      </c>
      <c r="N1004" s="108">
        <v>4800</v>
      </c>
      <c r="O1004" s="142">
        <v>1846</v>
      </c>
      <c r="P1004" s="142">
        <v>1248</v>
      </c>
      <c r="Q1004" s="149">
        <v>0</v>
      </c>
      <c r="R1004" s="149">
        <v>0</v>
      </c>
      <c r="S1004" s="116">
        <v>0</v>
      </c>
      <c r="T1004" s="116">
        <v>0</v>
      </c>
      <c r="U1004" s="33" t="s">
        <v>226</v>
      </c>
      <c r="V1004" s="33">
        <v>2015</v>
      </c>
      <c r="W1004" s="33">
        <v>1</v>
      </c>
      <c r="X1004" s="33">
        <v>0</v>
      </c>
      <c r="Y1004" s="33">
        <v>-1.6199999999999999E-2</v>
      </c>
      <c r="Z1004" s="33">
        <v>-5.3999999999999999E-2</v>
      </c>
      <c r="AA1004" s="33">
        <v>0</v>
      </c>
      <c r="AB1004" s="33">
        <v>0</v>
      </c>
      <c r="AC1004" s="33" t="s">
        <v>391</v>
      </c>
      <c r="AD1004" s="158"/>
    </row>
    <row r="1005" spans="1:30" customFormat="1" hidden="1" x14ac:dyDescent="0.2">
      <c r="A1005" s="153">
        <f t="shared" si="15"/>
        <v>981</v>
      </c>
      <c r="B1005" s="33">
        <v>5</v>
      </c>
      <c r="C1005" s="33">
        <v>5</v>
      </c>
      <c r="D1005" s="33">
        <v>18</v>
      </c>
      <c r="E1005" s="143">
        <v>2033</v>
      </c>
      <c r="F1005" s="159">
        <v>2033</v>
      </c>
      <c r="G1005" s="33">
        <v>8</v>
      </c>
      <c r="H1005" s="33">
        <v>0</v>
      </c>
      <c r="I1005" s="33">
        <v>0</v>
      </c>
      <c r="J1005" s="33">
        <v>0</v>
      </c>
      <c r="K1005" s="33">
        <v>0</v>
      </c>
      <c r="L1005" s="101">
        <v>1</v>
      </c>
      <c r="M1005" s="108">
        <v>7100</v>
      </c>
      <c r="N1005" s="108">
        <v>4800</v>
      </c>
      <c r="O1005" s="142">
        <v>1846</v>
      </c>
      <c r="P1005" s="142">
        <v>1248</v>
      </c>
      <c r="Q1005" s="149">
        <v>0</v>
      </c>
      <c r="R1005" s="149">
        <v>0</v>
      </c>
      <c r="S1005" s="116">
        <v>0</v>
      </c>
      <c r="T1005" s="116">
        <v>0</v>
      </c>
      <c r="U1005" s="33" t="s">
        <v>226</v>
      </c>
      <c r="V1005" s="33">
        <v>2015</v>
      </c>
      <c r="W1005" s="33">
        <v>1</v>
      </c>
      <c r="X1005" s="33">
        <v>0</v>
      </c>
      <c r="Y1005" s="33">
        <v>-1.6199999999999999E-2</v>
      </c>
      <c r="Z1005" s="33">
        <v>-5.3999999999999999E-2</v>
      </c>
      <c r="AA1005" s="33">
        <v>0</v>
      </c>
      <c r="AB1005" s="33">
        <v>0</v>
      </c>
      <c r="AC1005" s="33" t="s">
        <v>391</v>
      </c>
      <c r="AD1005" s="158"/>
    </row>
    <row r="1006" spans="1:30" customFormat="1" hidden="1" x14ac:dyDescent="0.2">
      <c r="A1006" s="153">
        <f t="shared" si="15"/>
        <v>982</v>
      </c>
      <c r="B1006" s="33">
        <v>5</v>
      </c>
      <c r="C1006" s="33">
        <v>5</v>
      </c>
      <c r="D1006" s="33">
        <v>18</v>
      </c>
      <c r="E1006" s="143">
        <v>2033</v>
      </c>
      <c r="F1006" s="159">
        <v>2033</v>
      </c>
      <c r="G1006" s="33">
        <v>9</v>
      </c>
      <c r="H1006" s="33">
        <v>0</v>
      </c>
      <c r="I1006" s="33">
        <v>0</v>
      </c>
      <c r="J1006" s="33">
        <v>0</v>
      </c>
      <c r="K1006" s="33">
        <v>0</v>
      </c>
      <c r="L1006" s="101">
        <v>1</v>
      </c>
      <c r="M1006" s="108">
        <v>7100</v>
      </c>
      <c r="N1006" s="108">
        <v>4800</v>
      </c>
      <c r="O1006" s="142">
        <v>1846</v>
      </c>
      <c r="P1006" s="142">
        <v>1248</v>
      </c>
      <c r="Q1006" s="149">
        <v>0</v>
      </c>
      <c r="R1006" s="149">
        <v>0</v>
      </c>
      <c r="S1006" s="116">
        <v>0</v>
      </c>
      <c r="T1006" s="116">
        <v>0</v>
      </c>
      <c r="U1006" s="33" t="s">
        <v>226</v>
      </c>
      <c r="V1006" s="33">
        <v>2015</v>
      </c>
      <c r="W1006" s="33">
        <v>1</v>
      </c>
      <c r="X1006" s="33">
        <v>0</v>
      </c>
      <c r="Y1006" s="33">
        <v>-1.6199999999999999E-2</v>
      </c>
      <c r="Z1006" s="33">
        <v>-5.3999999999999999E-2</v>
      </c>
      <c r="AA1006" s="33">
        <v>0</v>
      </c>
      <c r="AB1006" s="33">
        <v>0</v>
      </c>
      <c r="AC1006" s="33" t="s">
        <v>391</v>
      </c>
      <c r="AD1006" s="158"/>
    </row>
    <row r="1007" spans="1:30" hidden="1" x14ac:dyDescent="0.2">
      <c r="A1007" s="153">
        <f t="shared" si="15"/>
        <v>983</v>
      </c>
      <c r="B1007" s="33">
        <v>5</v>
      </c>
      <c r="C1007" s="33">
        <v>5</v>
      </c>
      <c r="D1007" s="33">
        <v>18</v>
      </c>
      <c r="E1007" s="143">
        <v>2034</v>
      </c>
      <c r="F1007" s="159">
        <v>2034</v>
      </c>
      <c r="G1007" s="33">
        <v>1</v>
      </c>
      <c r="H1007" s="33">
        <v>0</v>
      </c>
      <c r="I1007" s="33">
        <v>0</v>
      </c>
      <c r="J1007" s="33">
        <v>0</v>
      </c>
      <c r="K1007" s="33">
        <v>0</v>
      </c>
      <c r="L1007" s="101">
        <v>1</v>
      </c>
      <c r="M1007" s="108">
        <v>11000</v>
      </c>
      <c r="N1007" s="108">
        <v>8300</v>
      </c>
      <c r="O1007" s="142">
        <v>2420</v>
      </c>
      <c r="P1007" s="142">
        <v>1826</v>
      </c>
      <c r="Q1007" s="149">
        <v>0</v>
      </c>
      <c r="R1007" s="149">
        <v>0</v>
      </c>
      <c r="S1007" s="116">
        <v>0</v>
      </c>
      <c r="T1007" s="116">
        <v>0</v>
      </c>
      <c r="U1007" s="33" t="s">
        <v>226</v>
      </c>
      <c r="V1007" s="33">
        <v>2015</v>
      </c>
      <c r="W1007" s="33">
        <v>1</v>
      </c>
      <c r="X1007" s="33">
        <v>0</v>
      </c>
      <c r="Y1007" s="33">
        <v>-1.6199999999999999E-2</v>
      </c>
      <c r="Z1007" s="33">
        <v>-5.3999999999999999E-2</v>
      </c>
      <c r="AA1007" s="33">
        <v>0</v>
      </c>
      <c r="AB1007" s="33">
        <v>0</v>
      </c>
      <c r="AC1007" s="33" t="s">
        <v>391</v>
      </c>
    </row>
    <row r="1008" spans="1:30" hidden="1" x14ac:dyDescent="0.2">
      <c r="A1008" s="153">
        <f t="shared" si="15"/>
        <v>984</v>
      </c>
      <c r="B1008" s="33">
        <v>5</v>
      </c>
      <c r="C1008" s="33">
        <v>5</v>
      </c>
      <c r="D1008" s="33">
        <v>18</v>
      </c>
      <c r="E1008" s="143">
        <v>2034</v>
      </c>
      <c r="F1008" s="159">
        <v>2034</v>
      </c>
      <c r="G1008" s="33">
        <v>2</v>
      </c>
      <c r="H1008" s="33">
        <v>0</v>
      </c>
      <c r="I1008" s="33">
        <v>0</v>
      </c>
      <c r="J1008" s="33">
        <v>0</v>
      </c>
      <c r="K1008" s="33">
        <v>0</v>
      </c>
      <c r="L1008" s="101">
        <v>1</v>
      </c>
      <c r="M1008" s="108">
        <v>11000</v>
      </c>
      <c r="N1008" s="108">
        <v>8300</v>
      </c>
      <c r="O1008" s="142">
        <v>2420</v>
      </c>
      <c r="P1008" s="142">
        <v>1826</v>
      </c>
      <c r="Q1008" s="149">
        <v>0</v>
      </c>
      <c r="R1008" s="149">
        <v>0</v>
      </c>
      <c r="S1008" s="116">
        <v>0</v>
      </c>
      <c r="T1008" s="116">
        <v>0</v>
      </c>
      <c r="U1008" s="33" t="s">
        <v>226</v>
      </c>
      <c r="V1008" s="33">
        <v>2015</v>
      </c>
      <c r="W1008" s="33">
        <v>1</v>
      </c>
      <c r="X1008" s="33">
        <v>0</v>
      </c>
      <c r="Y1008" s="33">
        <v>-1.6199999999999999E-2</v>
      </c>
      <c r="Z1008" s="33">
        <v>-5.3999999999999999E-2</v>
      </c>
      <c r="AA1008" s="33">
        <v>0</v>
      </c>
      <c r="AB1008" s="33">
        <v>0</v>
      </c>
      <c r="AC1008" s="33" t="s">
        <v>391</v>
      </c>
    </row>
    <row r="1009" spans="1:30" x14ac:dyDescent="0.2">
      <c r="A1009" s="153">
        <f t="shared" si="15"/>
        <v>985</v>
      </c>
      <c r="B1009" s="33">
        <v>5</v>
      </c>
      <c r="C1009" s="33">
        <v>5</v>
      </c>
      <c r="D1009" s="33">
        <v>18</v>
      </c>
      <c r="E1009" s="143">
        <v>2034</v>
      </c>
      <c r="F1009" s="159">
        <v>2034</v>
      </c>
      <c r="G1009" s="33">
        <v>3</v>
      </c>
      <c r="H1009" s="33">
        <v>0</v>
      </c>
      <c r="I1009" s="33">
        <v>0</v>
      </c>
      <c r="J1009" s="33">
        <v>0</v>
      </c>
      <c r="K1009" s="33">
        <v>0</v>
      </c>
      <c r="L1009" s="101">
        <v>1</v>
      </c>
      <c r="M1009" s="108">
        <v>11000</v>
      </c>
      <c r="N1009" s="108">
        <v>8300</v>
      </c>
      <c r="O1009" s="142">
        <v>2420</v>
      </c>
      <c r="P1009" s="142">
        <v>1826</v>
      </c>
      <c r="Q1009" s="149">
        <v>0</v>
      </c>
      <c r="R1009" s="149">
        <v>0</v>
      </c>
      <c r="S1009" s="116">
        <v>0</v>
      </c>
      <c r="T1009" s="116">
        <v>0</v>
      </c>
      <c r="U1009" s="33" t="s">
        <v>226</v>
      </c>
      <c r="V1009" s="33">
        <v>2015</v>
      </c>
      <c r="W1009" s="33">
        <v>1</v>
      </c>
      <c r="X1009" s="33">
        <v>0</v>
      </c>
      <c r="Y1009" s="33">
        <v>-1.6199999999999999E-2</v>
      </c>
      <c r="Z1009" s="33">
        <v>-5.3999999999999999E-2</v>
      </c>
      <c r="AA1009" s="33">
        <v>0</v>
      </c>
      <c r="AB1009" s="33">
        <v>0</v>
      </c>
      <c r="AC1009" s="33" t="s">
        <v>391</v>
      </c>
    </row>
    <row r="1010" spans="1:30" hidden="1" x14ac:dyDescent="0.2">
      <c r="A1010" s="153">
        <f t="shared" si="15"/>
        <v>986</v>
      </c>
      <c r="B1010" s="33">
        <v>5</v>
      </c>
      <c r="C1010" s="33">
        <v>5</v>
      </c>
      <c r="D1010" s="33">
        <v>18</v>
      </c>
      <c r="E1010" s="143">
        <v>2034</v>
      </c>
      <c r="F1010" s="159">
        <v>2034</v>
      </c>
      <c r="G1010" s="33">
        <v>4</v>
      </c>
      <c r="H1010" s="33">
        <v>0</v>
      </c>
      <c r="I1010" s="33">
        <v>0</v>
      </c>
      <c r="J1010" s="33">
        <v>0</v>
      </c>
      <c r="K1010" s="33">
        <v>0</v>
      </c>
      <c r="L1010" s="101">
        <v>1</v>
      </c>
      <c r="M1010" s="108">
        <v>11000</v>
      </c>
      <c r="N1010" s="108">
        <v>8300</v>
      </c>
      <c r="O1010" s="142">
        <v>2420</v>
      </c>
      <c r="P1010" s="142">
        <v>1826</v>
      </c>
      <c r="Q1010" s="149">
        <v>0</v>
      </c>
      <c r="R1010" s="149">
        <v>0</v>
      </c>
      <c r="S1010" s="116">
        <v>0</v>
      </c>
      <c r="T1010" s="116">
        <v>0</v>
      </c>
      <c r="U1010" s="33" t="s">
        <v>226</v>
      </c>
      <c r="V1010" s="33">
        <v>2015</v>
      </c>
      <c r="W1010" s="33">
        <v>1</v>
      </c>
      <c r="X1010" s="33">
        <v>0</v>
      </c>
      <c r="Y1010" s="33">
        <v>-1.6199999999999999E-2</v>
      </c>
      <c r="Z1010" s="33">
        <v>-5.3999999999999999E-2</v>
      </c>
      <c r="AA1010" s="33">
        <v>0</v>
      </c>
      <c r="AB1010" s="33">
        <v>0</v>
      </c>
      <c r="AC1010" s="33" t="s">
        <v>391</v>
      </c>
    </row>
    <row r="1011" spans="1:30" hidden="1" x14ac:dyDescent="0.2">
      <c r="A1011" s="153">
        <f t="shared" si="15"/>
        <v>987</v>
      </c>
      <c r="B1011" s="33">
        <v>5</v>
      </c>
      <c r="C1011" s="33">
        <v>5</v>
      </c>
      <c r="D1011" s="33">
        <v>18</v>
      </c>
      <c r="E1011" s="143">
        <v>2034</v>
      </c>
      <c r="F1011" s="159">
        <v>2034</v>
      </c>
      <c r="G1011" s="33">
        <v>5</v>
      </c>
      <c r="H1011" s="33">
        <v>0</v>
      </c>
      <c r="I1011" s="33">
        <v>0</v>
      </c>
      <c r="J1011" s="33">
        <v>0</v>
      </c>
      <c r="K1011" s="33">
        <v>0</v>
      </c>
      <c r="L1011" s="101">
        <v>1</v>
      </c>
      <c r="M1011" s="108">
        <v>7100</v>
      </c>
      <c r="N1011" s="108">
        <v>4800</v>
      </c>
      <c r="O1011" s="142">
        <v>1562</v>
      </c>
      <c r="P1011" s="142">
        <v>1056</v>
      </c>
      <c r="Q1011" s="149">
        <v>0</v>
      </c>
      <c r="R1011" s="149">
        <v>0</v>
      </c>
      <c r="S1011" s="116">
        <v>0</v>
      </c>
      <c r="T1011" s="116">
        <v>0</v>
      </c>
      <c r="U1011" s="33" t="s">
        <v>226</v>
      </c>
      <c r="V1011" s="33">
        <v>2015</v>
      </c>
      <c r="W1011" s="33">
        <v>1</v>
      </c>
      <c r="X1011" s="33">
        <v>0</v>
      </c>
      <c r="Y1011" s="33">
        <v>-1.6199999999999999E-2</v>
      </c>
      <c r="Z1011" s="33">
        <v>-5.3999999999999999E-2</v>
      </c>
      <c r="AA1011" s="33">
        <v>0</v>
      </c>
      <c r="AB1011" s="33">
        <v>0</v>
      </c>
      <c r="AC1011" s="33" t="s">
        <v>391</v>
      </c>
    </row>
    <row r="1012" spans="1:30" hidden="1" x14ac:dyDescent="0.2">
      <c r="A1012" s="153">
        <f t="shared" si="15"/>
        <v>988</v>
      </c>
      <c r="B1012" s="33">
        <v>5</v>
      </c>
      <c r="C1012" s="33">
        <v>5</v>
      </c>
      <c r="D1012" s="33">
        <v>18</v>
      </c>
      <c r="E1012" s="143">
        <v>2034</v>
      </c>
      <c r="F1012" s="159">
        <v>2034</v>
      </c>
      <c r="G1012" s="33">
        <v>6</v>
      </c>
      <c r="H1012" s="33">
        <v>0</v>
      </c>
      <c r="I1012" s="33">
        <v>0</v>
      </c>
      <c r="J1012" s="33">
        <v>0</v>
      </c>
      <c r="K1012" s="33">
        <v>0</v>
      </c>
      <c r="L1012" s="101">
        <v>1</v>
      </c>
      <c r="M1012" s="108">
        <v>7100</v>
      </c>
      <c r="N1012" s="108">
        <v>4800</v>
      </c>
      <c r="O1012" s="142">
        <v>1562</v>
      </c>
      <c r="P1012" s="142">
        <v>1056</v>
      </c>
      <c r="Q1012" s="149">
        <v>0</v>
      </c>
      <c r="R1012" s="149">
        <v>0</v>
      </c>
      <c r="S1012" s="116">
        <v>0</v>
      </c>
      <c r="T1012" s="116">
        <v>0</v>
      </c>
      <c r="U1012" s="33" t="s">
        <v>226</v>
      </c>
      <c r="V1012" s="33">
        <v>2015</v>
      </c>
      <c r="W1012" s="33">
        <v>1</v>
      </c>
      <c r="X1012" s="33">
        <v>0</v>
      </c>
      <c r="Y1012" s="33">
        <v>-1.6199999999999999E-2</v>
      </c>
      <c r="Z1012" s="33">
        <v>-5.3999999999999999E-2</v>
      </c>
      <c r="AA1012" s="33">
        <v>0</v>
      </c>
      <c r="AB1012" s="33">
        <v>0</v>
      </c>
      <c r="AC1012" s="33" t="s">
        <v>391</v>
      </c>
    </row>
    <row r="1013" spans="1:30" hidden="1" x14ac:dyDescent="0.2">
      <c r="A1013" s="153">
        <f t="shared" si="15"/>
        <v>989</v>
      </c>
      <c r="B1013" s="33">
        <v>5</v>
      </c>
      <c r="C1013" s="33">
        <v>5</v>
      </c>
      <c r="D1013" s="33">
        <v>18</v>
      </c>
      <c r="E1013" s="143">
        <v>2034</v>
      </c>
      <c r="F1013" s="159">
        <v>2034</v>
      </c>
      <c r="G1013" s="33">
        <v>7</v>
      </c>
      <c r="H1013" s="33">
        <v>0</v>
      </c>
      <c r="I1013" s="33">
        <v>0</v>
      </c>
      <c r="J1013" s="33">
        <v>0</v>
      </c>
      <c r="K1013" s="33">
        <v>0</v>
      </c>
      <c r="L1013" s="101">
        <v>1</v>
      </c>
      <c r="M1013" s="108">
        <v>7100</v>
      </c>
      <c r="N1013" s="108">
        <v>4800</v>
      </c>
      <c r="O1013" s="142">
        <v>1562</v>
      </c>
      <c r="P1013" s="142">
        <v>1056</v>
      </c>
      <c r="Q1013" s="149">
        <v>0</v>
      </c>
      <c r="R1013" s="149">
        <v>0</v>
      </c>
      <c r="S1013" s="116">
        <v>0</v>
      </c>
      <c r="T1013" s="116">
        <v>0</v>
      </c>
      <c r="U1013" s="33" t="s">
        <v>226</v>
      </c>
      <c r="V1013" s="33">
        <v>2015</v>
      </c>
      <c r="W1013" s="33">
        <v>1</v>
      </c>
      <c r="X1013" s="33">
        <v>0</v>
      </c>
      <c r="Y1013" s="33">
        <v>-1.6199999999999999E-2</v>
      </c>
      <c r="Z1013" s="33">
        <v>-5.3999999999999999E-2</v>
      </c>
      <c r="AA1013" s="33">
        <v>0</v>
      </c>
      <c r="AB1013" s="33">
        <v>0</v>
      </c>
      <c r="AC1013" s="33" t="s">
        <v>391</v>
      </c>
    </row>
    <row r="1014" spans="1:30" hidden="1" x14ac:dyDescent="0.2">
      <c r="A1014" s="153">
        <f t="shared" si="15"/>
        <v>990</v>
      </c>
      <c r="B1014" s="33">
        <v>5</v>
      </c>
      <c r="C1014" s="33">
        <v>5</v>
      </c>
      <c r="D1014" s="33">
        <v>18</v>
      </c>
      <c r="E1014" s="143">
        <v>2034</v>
      </c>
      <c r="F1014" s="159">
        <v>2034</v>
      </c>
      <c r="G1014" s="33">
        <v>8</v>
      </c>
      <c r="H1014" s="33">
        <v>0</v>
      </c>
      <c r="I1014" s="33">
        <v>0</v>
      </c>
      <c r="J1014" s="33">
        <v>0</v>
      </c>
      <c r="K1014" s="33">
        <v>0</v>
      </c>
      <c r="L1014" s="101">
        <v>1</v>
      </c>
      <c r="M1014" s="108">
        <v>7100</v>
      </c>
      <c r="N1014" s="108">
        <v>4800</v>
      </c>
      <c r="O1014" s="142">
        <v>1562</v>
      </c>
      <c r="P1014" s="142">
        <v>1056</v>
      </c>
      <c r="Q1014" s="149">
        <v>0</v>
      </c>
      <c r="R1014" s="149">
        <v>0</v>
      </c>
      <c r="S1014" s="116">
        <v>0</v>
      </c>
      <c r="T1014" s="116">
        <v>0</v>
      </c>
      <c r="U1014" s="33" t="s">
        <v>226</v>
      </c>
      <c r="V1014" s="33">
        <v>2015</v>
      </c>
      <c r="W1014" s="33">
        <v>1</v>
      </c>
      <c r="X1014" s="33">
        <v>0</v>
      </c>
      <c r="Y1014" s="33">
        <v>-1.6199999999999999E-2</v>
      </c>
      <c r="Z1014" s="33">
        <v>-5.3999999999999999E-2</v>
      </c>
      <c r="AA1014" s="33">
        <v>0</v>
      </c>
      <c r="AB1014" s="33">
        <v>0</v>
      </c>
      <c r="AC1014" s="33" t="s">
        <v>391</v>
      </c>
    </row>
    <row r="1015" spans="1:30" hidden="1" x14ac:dyDescent="0.2">
      <c r="A1015" s="153">
        <f t="shared" si="15"/>
        <v>991</v>
      </c>
      <c r="B1015" s="33">
        <v>5</v>
      </c>
      <c r="C1015" s="33">
        <v>5</v>
      </c>
      <c r="D1015" s="33">
        <v>18</v>
      </c>
      <c r="E1015" s="143">
        <v>2034</v>
      </c>
      <c r="F1015" s="159">
        <v>2034</v>
      </c>
      <c r="G1015" s="33">
        <v>9</v>
      </c>
      <c r="H1015" s="33">
        <v>0</v>
      </c>
      <c r="I1015" s="33">
        <v>0</v>
      </c>
      <c r="J1015" s="33">
        <v>0</v>
      </c>
      <c r="K1015" s="33">
        <v>0</v>
      </c>
      <c r="L1015" s="101">
        <v>1</v>
      </c>
      <c r="M1015" s="108">
        <v>7100</v>
      </c>
      <c r="N1015" s="108">
        <v>4800</v>
      </c>
      <c r="O1015" s="142">
        <v>1562</v>
      </c>
      <c r="P1015" s="142">
        <v>1056</v>
      </c>
      <c r="Q1015" s="149">
        <v>0</v>
      </c>
      <c r="R1015" s="149">
        <v>0</v>
      </c>
      <c r="S1015" s="116">
        <v>0</v>
      </c>
      <c r="T1015" s="116">
        <v>0</v>
      </c>
      <c r="U1015" s="33" t="s">
        <v>226</v>
      </c>
      <c r="V1015" s="33">
        <v>2015</v>
      </c>
      <c r="W1015" s="33">
        <v>1</v>
      </c>
      <c r="X1015" s="33">
        <v>0</v>
      </c>
      <c r="Y1015" s="33">
        <v>-1.6199999999999999E-2</v>
      </c>
      <c r="Z1015" s="33">
        <v>-5.3999999999999999E-2</v>
      </c>
      <c r="AA1015" s="33">
        <v>0</v>
      </c>
      <c r="AB1015" s="33">
        <v>0</v>
      </c>
      <c r="AC1015" s="33" t="s">
        <v>391</v>
      </c>
    </row>
    <row r="1016" spans="1:30" customFormat="1" hidden="1" x14ac:dyDescent="0.2">
      <c r="A1016" s="153">
        <f t="shared" si="15"/>
        <v>992</v>
      </c>
      <c r="B1016" s="33">
        <v>5</v>
      </c>
      <c r="C1016" s="33">
        <v>5</v>
      </c>
      <c r="D1016" s="33">
        <v>18</v>
      </c>
      <c r="E1016" s="143">
        <v>2035</v>
      </c>
      <c r="F1016" s="33">
        <v>2050</v>
      </c>
      <c r="G1016" s="33">
        <v>1</v>
      </c>
      <c r="H1016" s="33">
        <v>0</v>
      </c>
      <c r="I1016" s="33">
        <v>0</v>
      </c>
      <c r="J1016" s="33">
        <v>0</v>
      </c>
      <c r="K1016" s="33">
        <v>0</v>
      </c>
      <c r="L1016" s="101">
        <v>1</v>
      </c>
      <c r="M1016" s="108">
        <v>11000</v>
      </c>
      <c r="N1016" s="108">
        <v>8300</v>
      </c>
      <c r="O1016" s="142">
        <v>0</v>
      </c>
      <c r="P1016" s="142">
        <v>0</v>
      </c>
      <c r="Q1016" s="149">
        <v>0</v>
      </c>
      <c r="R1016" s="149">
        <v>0</v>
      </c>
      <c r="S1016" s="116">
        <v>0</v>
      </c>
      <c r="T1016" s="116">
        <v>0</v>
      </c>
      <c r="U1016" s="33" t="s">
        <v>226</v>
      </c>
      <c r="V1016" s="33">
        <v>2015</v>
      </c>
      <c r="W1016" s="33">
        <v>1</v>
      </c>
      <c r="X1016" s="33">
        <v>0</v>
      </c>
      <c r="Y1016" s="33">
        <v>-1.6199999999999999E-2</v>
      </c>
      <c r="Z1016" s="33">
        <v>-5.3999999999999999E-2</v>
      </c>
      <c r="AA1016" s="33">
        <v>0</v>
      </c>
      <c r="AB1016" s="33">
        <v>0</v>
      </c>
      <c r="AC1016" s="33" t="s">
        <v>391</v>
      </c>
      <c r="AD1016" s="158"/>
    </row>
    <row r="1017" spans="1:30" customFormat="1" hidden="1" x14ac:dyDescent="0.2">
      <c r="A1017" s="153">
        <f t="shared" si="15"/>
        <v>993</v>
      </c>
      <c r="B1017" s="33">
        <v>5</v>
      </c>
      <c r="C1017" s="33">
        <v>5</v>
      </c>
      <c r="D1017" s="33">
        <v>18</v>
      </c>
      <c r="E1017" s="143">
        <v>2035</v>
      </c>
      <c r="F1017" s="33">
        <v>2050</v>
      </c>
      <c r="G1017" s="33">
        <v>2</v>
      </c>
      <c r="H1017" s="33">
        <v>0</v>
      </c>
      <c r="I1017" s="33">
        <v>0</v>
      </c>
      <c r="J1017" s="33">
        <v>0</v>
      </c>
      <c r="K1017" s="33">
        <v>0</v>
      </c>
      <c r="L1017" s="101">
        <v>1</v>
      </c>
      <c r="M1017" s="108">
        <v>11000</v>
      </c>
      <c r="N1017" s="108">
        <v>8300</v>
      </c>
      <c r="O1017" s="142">
        <v>0</v>
      </c>
      <c r="P1017" s="142">
        <v>0</v>
      </c>
      <c r="Q1017" s="149">
        <v>0</v>
      </c>
      <c r="R1017" s="149">
        <v>0</v>
      </c>
      <c r="S1017" s="116">
        <v>0</v>
      </c>
      <c r="T1017" s="116">
        <v>0</v>
      </c>
      <c r="U1017" s="33" t="s">
        <v>226</v>
      </c>
      <c r="V1017" s="33">
        <v>2015</v>
      </c>
      <c r="W1017" s="33">
        <v>1</v>
      </c>
      <c r="X1017" s="33">
        <v>0</v>
      </c>
      <c r="Y1017" s="33">
        <v>-1.6199999999999999E-2</v>
      </c>
      <c r="Z1017" s="33">
        <v>-5.3999999999999999E-2</v>
      </c>
      <c r="AA1017" s="33">
        <v>0</v>
      </c>
      <c r="AB1017" s="33">
        <v>0</v>
      </c>
      <c r="AC1017" s="33" t="s">
        <v>391</v>
      </c>
      <c r="AD1017" s="158"/>
    </row>
    <row r="1018" spans="1:30" customFormat="1" x14ac:dyDescent="0.2">
      <c r="A1018" s="153">
        <f t="shared" si="15"/>
        <v>994</v>
      </c>
      <c r="B1018" s="33">
        <v>5</v>
      </c>
      <c r="C1018" s="33">
        <v>5</v>
      </c>
      <c r="D1018" s="33">
        <v>18</v>
      </c>
      <c r="E1018" s="143">
        <v>2035</v>
      </c>
      <c r="F1018" s="33">
        <v>2050</v>
      </c>
      <c r="G1018" s="33">
        <v>3</v>
      </c>
      <c r="H1018" s="33">
        <v>0</v>
      </c>
      <c r="I1018" s="33">
        <v>0</v>
      </c>
      <c r="J1018" s="33">
        <v>0</v>
      </c>
      <c r="K1018" s="33">
        <v>0</v>
      </c>
      <c r="L1018" s="101">
        <v>1</v>
      </c>
      <c r="M1018" s="108">
        <v>11000</v>
      </c>
      <c r="N1018" s="108">
        <v>8300</v>
      </c>
      <c r="O1018" s="142">
        <v>0</v>
      </c>
      <c r="P1018" s="142">
        <v>0</v>
      </c>
      <c r="Q1018" s="149">
        <v>0</v>
      </c>
      <c r="R1018" s="149">
        <v>0</v>
      </c>
      <c r="S1018" s="116">
        <v>0</v>
      </c>
      <c r="T1018" s="116">
        <v>0</v>
      </c>
      <c r="U1018" s="33" t="s">
        <v>226</v>
      </c>
      <c r="V1018" s="33">
        <v>2015</v>
      </c>
      <c r="W1018" s="33">
        <v>1</v>
      </c>
      <c r="X1018" s="33">
        <v>0</v>
      </c>
      <c r="Y1018" s="33">
        <v>-1.6199999999999999E-2</v>
      </c>
      <c r="Z1018" s="33">
        <v>-5.3999999999999999E-2</v>
      </c>
      <c r="AA1018" s="33">
        <v>0</v>
      </c>
      <c r="AB1018" s="33">
        <v>0</v>
      </c>
      <c r="AC1018" s="33" t="s">
        <v>391</v>
      </c>
      <c r="AD1018" s="158"/>
    </row>
    <row r="1019" spans="1:30" customFormat="1" hidden="1" x14ac:dyDescent="0.2">
      <c r="A1019" s="153">
        <f t="shared" si="15"/>
        <v>995</v>
      </c>
      <c r="B1019" s="33">
        <v>5</v>
      </c>
      <c r="C1019" s="33">
        <v>5</v>
      </c>
      <c r="D1019" s="33">
        <v>18</v>
      </c>
      <c r="E1019" s="143">
        <v>2035</v>
      </c>
      <c r="F1019" s="33">
        <v>2050</v>
      </c>
      <c r="G1019" s="33">
        <v>4</v>
      </c>
      <c r="H1019" s="33">
        <v>0</v>
      </c>
      <c r="I1019" s="33">
        <v>0</v>
      </c>
      <c r="J1019" s="33">
        <v>0</v>
      </c>
      <c r="K1019" s="33">
        <v>0</v>
      </c>
      <c r="L1019" s="101">
        <v>1</v>
      </c>
      <c r="M1019" s="108">
        <v>11000</v>
      </c>
      <c r="N1019" s="108">
        <v>8300</v>
      </c>
      <c r="O1019" s="142">
        <v>0</v>
      </c>
      <c r="P1019" s="142">
        <v>0</v>
      </c>
      <c r="Q1019" s="149">
        <v>0</v>
      </c>
      <c r="R1019" s="149">
        <v>0</v>
      </c>
      <c r="S1019" s="116">
        <v>0</v>
      </c>
      <c r="T1019" s="116">
        <v>0</v>
      </c>
      <c r="U1019" s="33" t="s">
        <v>226</v>
      </c>
      <c r="V1019" s="33">
        <v>2015</v>
      </c>
      <c r="W1019" s="33">
        <v>1</v>
      </c>
      <c r="X1019" s="33">
        <v>0</v>
      </c>
      <c r="Y1019" s="33">
        <v>-1.6199999999999999E-2</v>
      </c>
      <c r="Z1019" s="33">
        <v>-5.3999999999999999E-2</v>
      </c>
      <c r="AA1019" s="33">
        <v>0</v>
      </c>
      <c r="AB1019" s="33">
        <v>0</v>
      </c>
      <c r="AC1019" s="33" t="s">
        <v>391</v>
      </c>
      <c r="AD1019" s="158"/>
    </row>
    <row r="1020" spans="1:30" customFormat="1" hidden="1" x14ac:dyDescent="0.2">
      <c r="A1020" s="153">
        <f t="shared" si="15"/>
        <v>996</v>
      </c>
      <c r="B1020" s="33">
        <v>5</v>
      </c>
      <c r="C1020" s="33">
        <v>5</v>
      </c>
      <c r="D1020" s="33">
        <v>18</v>
      </c>
      <c r="E1020" s="143">
        <v>2035</v>
      </c>
      <c r="F1020" s="33">
        <v>2050</v>
      </c>
      <c r="G1020" s="33">
        <v>5</v>
      </c>
      <c r="H1020" s="33">
        <v>0</v>
      </c>
      <c r="I1020" s="33">
        <v>0</v>
      </c>
      <c r="J1020" s="33">
        <v>0</v>
      </c>
      <c r="K1020" s="33">
        <v>0</v>
      </c>
      <c r="L1020" s="101">
        <v>1</v>
      </c>
      <c r="M1020" s="108">
        <v>7100</v>
      </c>
      <c r="N1020" s="108">
        <v>4800</v>
      </c>
      <c r="O1020" s="142">
        <v>0</v>
      </c>
      <c r="P1020" s="142">
        <v>0</v>
      </c>
      <c r="Q1020" s="149">
        <v>0</v>
      </c>
      <c r="R1020" s="149">
        <v>0</v>
      </c>
      <c r="S1020" s="116">
        <v>0</v>
      </c>
      <c r="T1020" s="116">
        <v>0</v>
      </c>
      <c r="U1020" s="33" t="s">
        <v>226</v>
      </c>
      <c r="V1020" s="33">
        <v>2015</v>
      </c>
      <c r="W1020" s="33">
        <v>1</v>
      </c>
      <c r="X1020" s="33">
        <v>0</v>
      </c>
      <c r="Y1020" s="33">
        <v>-1.6199999999999999E-2</v>
      </c>
      <c r="Z1020" s="33">
        <v>-5.3999999999999999E-2</v>
      </c>
      <c r="AA1020" s="33">
        <v>0</v>
      </c>
      <c r="AB1020" s="33">
        <v>0</v>
      </c>
      <c r="AC1020" s="33" t="s">
        <v>391</v>
      </c>
      <c r="AD1020" s="158"/>
    </row>
    <row r="1021" spans="1:30" customFormat="1" hidden="1" x14ac:dyDescent="0.2">
      <c r="A1021" s="153">
        <f t="shared" si="15"/>
        <v>997</v>
      </c>
      <c r="B1021" s="33">
        <v>5</v>
      </c>
      <c r="C1021" s="33">
        <v>5</v>
      </c>
      <c r="D1021" s="33">
        <v>18</v>
      </c>
      <c r="E1021" s="143">
        <v>2035</v>
      </c>
      <c r="F1021" s="33">
        <v>2050</v>
      </c>
      <c r="G1021" s="33">
        <v>6</v>
      </c>
      <c r="H1021" s="33">
        <v>0</v>
      </c>
      <c r="I1021" s="33">
        <v>0</v>
      </c>
      <c r="J1021" s="33">
        <v>0</v>
      </c>
      <c r="K1021" s="33">
        <v>0</v>
      </c>
      <c r="L1021" s="101">
        <v>1</v>
      </c>
      <c r="M1021" s="108">
        <v>7100</v>
      </c>
      <c r="N1021" s="108">
        <v>4800</v>
      </c>
      <c r="O1021" s="142">
        <v>0</v>
      </c>
      <c r="P1021" s="142">
        <v>0</v>
      </c>
      <c r="Q1021" s="149">
        <v>0</v>
      </c>
      <c r="R1021" s="149">
        <v>0</v>
      </c>
      <c r="S1021" s="116">
        <v>0</v>
      </c>
      <c r="T1021" s="116">
        <v>0</v>
      </c>
      <c r="U1021" s="33" t="s">
        <v>226</v>
      </c>
      <c r="V1021" s="33">
        <v>2015</v>
      </c>
      <c r="W1021" s="33">
        <v>1</v>
      </c>
      <c r="X1021" s="33">
        <v>0</v>
      </c>
      <c r="Y1021" s="33">
        <v>-1.6199999999999999E-2</v>
      </c>
      <c r="Z1021" s="33">
        <v>-5.3999999999999999E-2</v>
      </c>
      <c r="AA1021" s="33">
        <v>0</v>
      </c>
      <c r="AB1021" s="33">
        <v>0</v>
      </c>
      <c r="AC1021" s="33" t="s">
        <v>391</v>
      </c>
      <c r="AD1021" s="158"/>
    </row>
    <row r="1022" spans="1:30" customFormat="1" hidden="1" x14ac:dyDescent="0.2">
      <c r="A1022" s="153">
        <f t="shared" si="15"/>
        <v>998</v>
      </c>
      <c r="B1022" s="33">
        <v>5</v>
      </c>
      <c r="C1022" s="33">
        <v>5</v>
      </c>
      <c r="D1022" s="33">
        <v>18</v>
      </c>
      <c r="E1022" s="143">
        <v>2035</v>
      </c>
      <c r="F1022" s="33">
        <v>2050</v>
      </c>
      <c r="G1022" s="33">
        <v>7</v>
      </c>
      <c r="H1022" s="33">
        <v>0</v>
      </c>
      <c r="I1022" s="33">
        <v>0</v>
      </c>
      <c r="J1022" s="33">
        <v>0</v>
      </c>
      <c r="K1022" s="33">
        <v>0</v>
      </c>
      <c r="L1022" s="101">
        <v>1</v>
      </c>
      <c r="M1022" s="108">
        <v>7100</v>
      </c>
      <c r="N1022" s="108">
        <v>4800</v>
      </c>
      <c r="O1022" s="142">
        <v>0</v>
      </c>
      <c r="P1022" s="142">
        <v>0</v>
      </c>
      <c r="Q1022" s="149">
        <v>0</v>
      </c>
      <c r="R1022" s="149">
        <v>0</v>
      </c>
      <c r="S1022" s="116">
        <v>0</v>
      </c>
      <c r="T1022" s="116">
        <v>0</v>
      </c>
      <c r="U1022" s="33" t="s">
        <v>226</v>
      </c>
      <c r="V1022" s="33">
        <v>2015</v>
      </c>
      <c r="W1022" s="33">
        <v>1</v>
      </c>
      <c r="X1022" s="33">
        <v>0</v>
      </c>
      <c r="Y1022" s="33">
        <v>-1.6199999999999999E-2</v>
      </c>
      <c r="Z1022" s="33">
        <v>-5.3999999999999999E-2</v>
      </c>
      <c r="AA1022" s="33">
        <v>0</v>
      </c>
      <c r="AB1022" s="33">
        <v>0</v>
      </c>
      <c r="AC1022" s="33" t="s">
        <v>391</v>
      </c>
      <c r="AD1022" s="158"/>
    </row>
    <row r="1023" spans="1:30" customFormat="1" hidden="1" x14ac:dyDescent="0.2">
      <c r="A1023" s="153">
        <f t="shared" si="15"/>
        <v>999</v>
      </c>
      <c r="B1023" s="33">
        <v>5</v>
      </c>
      <c r="C1023" s="33">
        <v>5</v>
      </c>
      <c r="D1023" s="33">
        <v>18</v>
      </c>
      <c r="E1023" s="143">
        <v>2035</v>
      </c>
      <c r="F1023" s="33">
        <v>2050</v>
      </c>
      <c r="G1023" s="33">
        <v>8</v>
      </c>
      <c r="H1023" s="33">
        <v>0</v>
      </c>
      <c r="I1023" s="33">
        <v>0</v>
      </c>
      <c r="J1023" s="33">
        <v>0</v>
      </c>
      <c r="K1023" s="33">
        <v>0</v>
      </c>
      <c r="L1023" s="101">
        <v>1</v>
      </c>
      <c r="M1023" s="108">
        <v>7100</v>
      </c>
      <c r="N1023" s="108">
        <v>4800</v>
      </c>
      <c r="O1023" s="142">
        <v>0</v>
      </c>
      <c r="P1023" s="142">
        <v>0</v>
      </c>
      <c r="Q1023" s="149">
        <v>0</v>
      </c>
      <c r="R1023" s="149">
        <v>0</v>
      </c>
      <c r="S1023" s="116">
        <v>0</v>
      </c>
      <c r="T1023" s="116">
        <v>0</v>
      </c>
      <c r="U1023" s="33" t="s">
        <v>226</v>
      </c>
      <c r="V1023" s="33">
        <v>2015</v>
      </c>
      <c r="W1023" s="33">
        <v>1</v>
      </c>
      <c r="X1023" s="33">
        <v>0</v>
      </c>
      <c r="Y1023" s="33">
        <v>-1.6199999999999999E-2</v>
      </c>
      <c r="Z1023" s="33">
        <v>-5.3999999999999999E-2</v>
      </c>
      <c r="AA1023" s="33">
        <v>0</v>
      </c>
      <c r="AB1023" s="33">
        <v>0</v>
      </c>
      <c r="AC1023" s="33" t="s">
        <v>391</v>
      </c>
      <c r="AD1023" s="158"/>
    </row>
    <row r="1024" spans="1:30" customFormat="1" hidden="1" x14ac:dyDescent="0.2">
      <c r="A1024" s="153">
        <f t="shared" si="15"/>
        <v>1000</v>
      </c>
      <c r="B1024" s="33">
        <v>5</v>
      </c>
      <c r="C1024" s="33">
        <v>5</v>
      </c>
      <c r="D1024" s="33">
        <v>18</v>
      </c>
      <c r="E1024" s="143">
        <v>2035</v>
      </c>
      <c r="F1024" s="33">
        <v>2050</v>
      </c>
      <c r="G1024" s="33">
        <v>9</v>
      </c>
      <c r="H1024" s="33">
        <v>0</v>
      </c>
      <c r="I1024" s="33">
        <v>0</v>
      </c>
      <c r="J1024" s="33">
        <v>0</v>
      </c>
      <c r="K1024" s="33">
        <v>0</v>
      </c>
      <c r="L1024" s="101">
        <v>1</v>
      </c>
      <c r="M1024" s="108">
        <v>7100</v>
      </c>
      <c r="N1024" s="108">
        <v>4800</v>
      </c>
      <c r="O1024" s="142">
        <v>0</v>
      </c>
      <c r="P1024" s="142">
        <v>0</v>
      </c>
      <c r="Q1024" s="149">
        <v>0</v>
      </c>
      <c r="R1024" s="149">
        <v>0</v>
      </c>
      <c r="S1024" s="116">
        <v>0</v>
      </c>
      <c r="T1024" s="116">
        <v>0</v>
      </c>
      <c r="U1024" s="33" t="s">
        <v>226</v>
      </c>
      <c r="V1024" s="33">
        <v>2015</v>
      </c>
      <c r="W1024" s="33">
        <v>1</v>
      </c>
      <c r="X1024" s="33">
        <v>0</v>
      </c>
      <c r="Y1024" s="33">
        <v>-1.6199999999999999E-2</v>
      </c>
      <c r="Z1024" s="33">
        <v>-5.3999999999999999E-2</v>
      </c>
      <c r="AA1024" s="33">
        <v>0</v>
      </c>
      <c r="AB1024" s="33">
        <v>0</v>
      </c>
      <c r="AC1024" s="33" t="s">
        <v>391</v>
      </c>
      <c r="AD1024" s="158"/>
    </row>
    <row r="1025" spans="1:30" customFormat="1" hidden="1" x14ac:dyDescent="0.2">
      <c r="A1025" s="153">
        <f t="shared" si="15"/>
        <v>1001</v>
      </c>
      <c r="B1025" s="33">
        <v>6</v>
      </c>
      <c r="C1025" s="33">
        <v>1</v>
      </c>
      <c r="D1025" s="33">
        <v>1</v>
      </c>
      <c r="E1025" s="104">
        <v>2016</v>
      </c>
      <c r="F1025" s="33">
        <v>2050</v>
      </c>
      <c r="G1025" s="33">
        <v>11</v>
      </c>
      <c r="H1025" s="33">
        <v>0</v>
      </c>
      <c r="I1025" s="33">
        <v>0</v>
      </c>
      <c r="J1025" s="33">
        <v>0</v>
      </c>
      <c r="K1025" s="33">
        <v>0</v>
      </c>
      <c r="L1025" s="101">
        <v>0.45</v>
      </c>
      <c r="M1025" s="108">
        <v>370</v>
      </c>
      <c r="N1025" s="108">
        <v>260</v>
      </c>
      <c r="O1025" s="142">
        <v>0</v>
      </c>
      <c r="P1025" s="142">
        <v>0</v>
      </c>
      <c r="Q1025" s="142">
        <v>0</v>
      </c>
      <c r="R1025" s="142">
        <v>0</v>
      </c>
      <c r="S1025" s="116">
        <v>0</v>
      </c>
      <c r="T1025" s="116">
        <v>0</v>
      </c>
      <c r="U1025" s="33" t="s">
        <v>226</v>
      </c>
      <c r="V1025" s="33">
        <v>2015</v>
      </c>
      <c r="W1025" s="33">
        <v>1</v>
      </c>
      <c r="X1025" s="33">
        <v>0</v>
      </c>
      <c r="Y1025" s="33">
        <v>-1.6199999999999999E-2</v>
      </c>
      <c r="Z1025" s="33">
        <v>-3.2399999999999998E-2</v>
      </c>
      <c r="AA1025" s="33">
        <v>0</v>
      </c>
      <c r="AB1025" s="33">
        <v>0</v>
      </c>
      <c r="AC1025" s="33" t="s">
        <v>219</v>
      </c>
      <c r="AD1025" s="158"/>
    </row>
    <row r="1026" spans="1:30" customFormat="1" hidden="1" x14ac:dyDescent="0.2">
      <c r="A1026" s="153">
        <f t="shared" si="15"/>
        <v>1002</v>
      </c>
      <c r="B1026" s="33">
        <v>6</v>
      </c>
      <c r="C1026" s="33">
        <v>1</v>
      </c>
      <c r="D1026" s="33">
        <v>2</v>
      </c>
      <c r="E1026" s="104">
        <v>2016</v>
      </c>
      <c r="F1026" s="33">
        <v>2050</v>
      </c>
      <c r="G1026" s="33">
        <v>11</v>
      </c>
      <c r="H1026" s="33">
        <v>0</v>
      </c>
      <c r="I1026" s="33">
        <v>0</v>
      </c>
      <c r="J1026" s="33">
        <v>0</v>
      </c>
      <c r="K1026" s="33">
        <v>0</v>
      </c>
      <c r="L1026" s="101">
        <v>0.52</v>
      </c>
      <c r="M1026" s="108">
        <v>427.55555555555554</v>
      </c>
      <c r="N1026" s="108">
        <v>300.44444444444446</v>
      </c>
      <c r="O1026" s="142">
        <v>0</v>
      </c>
      <c r="P1026" s="142">
        <v>0</v>
      </c>
      <c r="Q1026" s="142">
        <v>0</v>
      </c>
      <c r="R1026" s="142">
        <v>0</v>
      </c>
      <c r="S1026" s="116">
        <v>0</v>
      </c>
      <c r="T1026" s="116">
        <v>0</v>
      </c>
      <c r="U1026" s="33" t="s">
        <v>226</v>
      </c>
      <c r="V1026" s="33">
        <v>2015</v>
      </c>
      <c r="W1026" s="33">
        <v>1</v>
      </c>
      <c r="X1026" s="33">
        <v>0</v>
      </c>
      <c r="Y1026" s="33">
        <v>-1.6199999999999999E-2</v>
      </c>
      <c r="Z1026" s="33">
        <v>-3.2399999999999998E-2</v>
      </c>
      <c r="AA1026" s="33">
        <v>0</v>
      </c>
      <c r="AB1026" s="33">
        <v>0</v>
      </c>
      <c r="AC1026" s="33" t="s">
        <v>369</v>
      </c>
      <c r="AD1026" s="158"/>
    </row>
    <row r="1027" spans="1:30" customFormat="1" hidden="1" x14ac:dyDescent="0.2">
      <c r="A1027" s="153">
        <f t="shared" si="15"/>
        <v>1003</v>
      </c>
      <c r="B1027" s="33">
        <v>6</v>
      </c>
      <c r="C1027" s="33">
        <v>2</v>
      </c>
      <c r="D1027" s="33">
        <v>3</v>
      </c>
      <c r="E1027" s="104">
        <v>2016</v>
      </c>
      <c r="F1027" s="33">
        <v>2050</v>
      </c>
      <c r="G1027" s="33">
        <v>11</v>
      </c>
      <c r="H1027" s="33">
        <v>0</v>
      </c>
      <c r="I1027" s="33">
        <v>0</v>
      </c>
      <c r="J1027" s="33">
        <v>0</v>
      </c>
      <c r="K1027" s="33">
        <v>0</v>
      </c>
      <c r="L1027" s="101">
        <v>0.45</v>
      </c>
      <c r="M1027" s="108">
        <v>370</v>
      </c>
      <c r="N1027" s="108">
        <v>260</v>
      </c>
      <c r="O1027" s="142">
        <v>0</v>
      </c>
      <c r="P1027" s="142">
        <v>0</v>
      </c>
      <c r="Q1027" s="142">
        <v>0</v>
      </c>
      <c r="R1027" s="142">
        <v>0</v>
      </c>
      <c r="S1027" s="116">
        <v>0</v>
      </c>
      <c r="T1027" s="116">
        <v>0</v>
      </c>
      <c r="U1027" s="33" t="s">
        <v>226</v>
      </c>
      <c r="V1027" s="33">
        <v>2015</v>
      </c>
      <c r="W1027" s="33">
        <v>1</v>
      </c>
      <c r="X1027" s="33">
        <v>0</v>
      </c>
      <c r="Y1027" s="33">
        <v>-1.6199999999999999E-2</v>
      </c>
      <c r="Z1027" s="33">
        <v>-3.2399999999999998E-2</v>
      </c>
      <c r="AA1027" s="33">
        <v>0</v>
      </c>
      <c r="AB1027" s="33">
        <v>0</v>
      </c>
      <c r="AC1027" s="33" t="s">
        <v>220</v>
      </c>
      <c r="AD1027" s="158"/>
    </row>
    <row r="1028" spans="1:30" customFormat="1" hidden="1" x14ac:dyDescent="0.2">
      <c r="A1028" s="153">
        <f t="shared" si="15"/>
        <v>1004</v>
      </c>
      <c r="B1028" s="33">
        <v>6</v>
      </c>
      <c r="C1028" s="33">
        <v>2</v>
      </c>
      <c r="D1028" s="33">
        <v>4</v>
      </c>
      <c r="E1028" s="104">
        <v>2016</v>
      </c>
      <c r="F1028" s="33">
        <v>2050</v>
      </c>
      <c r="G1028" s="33">
        <v>11</v>
      </c>
      <c r="H1028" s="33">
        <v>0</v>
      </c>
      <c r="I1028" s="33">
        <v>0</v>
      </c>
      <c r="J1028" s="33">
        <v>0</v>
      </c>
      <c r="K1028" s="33">
        <v>0</v>
      </c>
      <c r="L1028" s="101">
        <v>0.52</v>
      </c>
      <c r="M1028" s="108">
        <v>427.55555555555554</v>
      </c>
      <c r="N1028" s="108">
        <v>300.44444444444446</v>
      </c>
      <c r="O1028" s="142">
        <v>0</v>
      </c>
      <c r="P1028" s="142">
        <v>0</v>
      </c>
      <c r="Q1028" s="142">
        <v>0</v>
      </c>
      <c r="R1028" s="142">
        <v>0</v>
      </c>
      <c r="S1028" s="116">
        <v>0</v>
      </c>
      <c r="T1028" s="116">
        <v>0</v>
      </c>
      <c r="U1028" s="33" t="s">
        <v>226</v>
      </c>
      <c r="V1028" s="33">
        <v>2015</v>
      </c>
      <c r="W1028" s="33">
        <v>1</v>
      </c>
      <c r="X1028" s="33">
        <v>0</v>
      </c>
      <c r="Y1028" s="33">
        <v>-1.6199999999999999E-2</v>
      </c>
      <c r="Z1028" s="33">
        <v>-3.2399999999999998E-2</v>
      </c>
      <c r="AA1028" s="33">
        <v>0</v>
      </c>
      <c r="AB1028" s="33">
        <v>0</v>
      </c>
      <c r="AC1028" s="33" t="s">
        <v>370</v>
      </c>
      <c r="AD1028" s="158"/>
    </row>
    <row r="1029" spans="1:30" customFormat="1" hidden="1" x14ac:dyDescent="0.2">
      <c r="A1029" s="153">
        <f t="shared" si="15"/>
        <v>1005</v>
      </c>
      <c r="B1029" s="104">
        <v>6</v>
      </c>
      <c r="C1029" s="104">
        <v>3</v>
      </c>
      <c r="D1029" s="104">
        <v>5</v>
      </c>
      <c r="E1029" s="104">
        <v>2016</v>
      </c>
      <c r="F1029" s="104">
        <v>2050</v>
      </c>
      <c r="G1029" s="104">
        <v>11</v>
      </c>
      <c r="H1029" s="104">
        <v>0</v>
      </c>
      <c r="I1029" s="104">
        <v>0</v>
      </c>
      <c r="J1029" s="104">
        <v>0</v>
      </c>
      <c r="K1029" s="104">
        <v>0</v>
      </c>
      <c r="L1029" s="118">
        <v>228.09136078098737</v>
      </c>
      <c r="M1029" s="118">
        <v>770</v>
      </c>
      <c r="N1029" s="118">
        <v>650</v>
      </c>
      <c r="O1029" s="142">
        <v>0</v>
      </c>
      <c r="P1029" s="142">
        <v>0</v>
      </c>
      <c r="Q1029" s="142">
        <v>0</v>
      </c>
      <c r="R1029" s="142">
        <v>0</v>
      </c>
      <c r="S1029" s="116">
        <v>0</v>
      </c>
      <c r="T1029" s="116">
        <v>0</v>
      </c>
      <c r="U1029" s="104" t="s">
        <v>226</v>
      </c>
      <c r="V1029" s="104">
        <v>2015</v>
      </c>
      <c r="W1029" s="104">
        <v>1</v>
      </c>
      <c r="X1029" s="104">
        <v>0</v>
      </c>
      <c r="Y1029" s="104">
        <v>-1.6199999999999999E-2</v>
      </c>
      <c r="Z1029" s="104">
        <v>-3.2399999999999998E-2</v>
      </c>
      <c r="AA1029" s="104">
        <v>0</v>
      </c>
      <c r="AB1029" s="104">
        <v>0</v>
      </c>
      <c r="AC1029" s="104" t="s">
        <v>392</v>
      </c>
      <c r="AD1029" s="158"/>
    </row>
    <row r="1030" spans="1:30" customFormat="1" hidden="1" x14ac:dyDescent="0.2">
      <c r="A1030" s="153">
        <f t="shared" si="15"/>
        <v>1006</v>
      </c>
      <c r="B1030" s="33">
        <v>7</v>
      </c>
      <c r="C1030" s="33">
        <v>1</v>
      </c>
      <c r="D1030" s="33">
        <v>1</v>
      </c>
      <c r="E1030" s="104">
        <v>2016</v>
      </c>
      <c r="F1030" s="33">
        <v>2050</v>
      </c>
      <c r="G1030" s="33">
        <v>11</v>
      </c>
      <c r="H1030" s="33">
        <v>0</v>
      </c>
      <c r="I1030" s="33">
        <v>0</v>
      </c>
      <c r="J1030" s="33">
        <v>0</v>
      </c>
      <c r="K1030" s="33">
        <v>0</v>
      </c>
      <c r="L1030" s="101">
        <v>3.3</v>
      </c>
      <c r="M1030" s="108">
        <v>650</v>
      </c>
      <c r="N1030" s="108">
        <v>480</v>
      </c>
      <c r="O1030" s="142">
        <v>0</v>
      </c>
      <c r="P1030" s="142">
        <v>0</v>
      </c>
      <c r="Q1030" s="142">
        <v>0</v>
      </c>
      <c r="R1030" s="142">
        <v>0</v>
      </c>
      <c r="S1030" s="116">
        <v>0</v>
      </c>
      <c r="T1030" s="116">
        <v>0</v>
      </c>
      <c r="U1030" s="33" t="s">
        <v>226</v>
      </c>
      <c r="V1030" s="33">
        <v>2015</v>
      </c>
      <c r="W1030" s="33">
        <v>1</v>
      </c>
      <c r="X1030" s="33">
        <v>0</v>
      </c>
      <c r="Y1030" s="33">
        <v>-4.65E-2</v>
      </c>
      <c r="Z1030" s="33">
        <v>-0.1</v>
      </c>
      <c r="AA1030" s="33">
        <v>0</v>
      </c>
      <c r="AB1030" s="33">
        <v>0</v>
      </c>
      <c r="AC1030" s="33" t="s">
        <v>221</v>
      </c>
      <c r="AD1030" s="158"/>
    </row>
    <row r="1031" spans="1:30" customFormat="1" hidden="1" x14ac:dyDescent="0.2">
      <c r="A1031" s="153">
        <f t="shared" si="15"/>
        <v>1007</v>
      </c>
      <c r="B1031" s="33">
        <v>7</v>
      </c>
      <c r="C1031" s="33">
        <v>1</v>
      </c>
      <c r="D1031" s="33">
        <v>2</v>
      </c>
      <c r="E1031" s="104">
        <v>2016</v>
      </c>
      <c r="F1031" s="33">
        <v>2050</v>
      </c>
      <c r="G1031" s="33">
        <v>11</v>
      </c>
      <c r="H1031" s="33">
        <v>0</v>
      </c>
      <c r="I1031" s="33">
        <v>0</v>
      </c>
      <c r="J1031" s="33">
        <v>0</v>
      </c>
      <c r="K1031" s="33">
        <v>0</v>
      </c>
      <c r="L1031" s="101">
        <v>3.32</v>
      </c>
      <c r="M1031" s="108">
        <v>660</v>
      </c>
      <c r="N1031" s="108">
        <v>500</v>
      </c>
      <c r="O1031" s="142">
        <v>0</v>
      </c>
      <c r="P1031" s="142">
        <v>0</v>
      </c>
      <c r="Q1031" s="142">
        <v>0</v>
      </c>
      <c r="R1031" s="142">
        <v>0</v>
      </c>
      <c r="S1031" s="116">
        <v>0</v>
      </c>
      <c r="T1031" s="116">
        <v>0</v>
      </c>
      <c r="U1031" s="33" t="s">
        <v>226</v>
      </c>
      <c r="V1031" s="33">
        <v>2015</v>
      </c>
      <c r="W1031" s="33">
        <v>1</v>
      </c>
      <c r="X1031" s="33">
        <v>0</v>
      </c>
      <c r="Y1031" s="33">
        <v>-4.65E-2</v>
      </c>
      <c r="Z1031" s="33">
        <v>-0.1</v>
      </c>
      <c r="AA1031" s="33">
        <v>0</v>
      </c>
      <c r="AB1031" s="33">
        <v>0</v>
      </c>
      <c r="AC1031" s="33" t="s">
        <v>222</v>
      </c>
      <c r="AD1031" s="158"/>
    </row>
    <row r="1032" spans="1:30" customFormat="1" hidden="1" x14ac:dyDescent="0.2">
      <c r="A1032" s="153">
        <f t="shared" si="15"/>
        <v>1008</v>
      </c>
      <c r="B1032" s="33">
        <v>7</v>
      </c>
      <c r="C1032" s="33">
        <v>1</v>
      </c>
      <c r="D1032" s="33">
        <v>3</v>
      </c>
      <c r="E1032" s="104">
        <v>2016</v>
      </c>
      <c r="F1032" s="33">
        <v>2050</v>
      </c>
      <c r="G1032" s="33">
        <v>11</v>
      </c>
      <c r="H1032" s="33">
        <v>0</v>
      </c>
      <c r="I1032" s="33">
        <v>0</v>
      </c>
      <c r="J1032" s="33">
        <v>0</v>
      </c>
      <c r="K1032" s="33">
        <v>0</v>
      </c>
      <c r="L1032" s="101">
        <v>3.48</v>
      </c>
      <c r="M1032" s="108">
        <v>691.80722891566279</v>
      </c>
      <c r="N1032" s="108">
        <v>524.09638554216872</v>
      </c>
      <c r="O1032" s="142">
        <v>0</v>
      </c>
      <c r="P1032" s="142">
        <v>0</v>
      </c>
      <c r="Q1032" s="142">
        <v>0</v>
      </c>
      <c r="R1032" s="142">
        <v>0</v>
      </c>
      <c r="S1032" s="116">
        <v>0</v>
      </c>
      <c r="T1032" s="116">
        <v>0</v>
      </c>
      <c r="U1032" s="33" t="s">
        <v>226</v>
      </c>
      <c r="V1032" s="33">
        <v>2015</v>
      </c>
      <c r="W1032" s="33">
        <v>1</v>
      </c>
      <c r="X1032" s="33">
        <v>0</v>
      </c>
      <c r="Y1032" s="33">
        <v>-4.65E-2</v>
      </c>
      <c r="Z1032" s="33">
        <v>-0.1</v>
      </c>
      <c r="AA1032" s="33">
        <v>0</v>
      </c>
      <c r="AB1032" s="33">
        <v>0</v>
      </c>
      <c r="AC1032" s="33" t="s">
        <v>311</v>
      </c>
      <c r="AD1032" s="158"/>
    </row>
    <row r="1033" spans="1:30" customFormat="1" hidden="1" x14ac:dyDescent="0.2">
      <c r="A1033" s="153">
        <f t="shared" si="15"/>
        <v>1009</v>
      </c>
      <c r="B1033" s="33">
        <v>7</v>
      </c>
      <c r="C1033" s="33">
        <v>1</v>
      </c>
      <c r="D1033" s="33">
        <v>4</v>
      </c>
      <c r="E1033" s="104">
        <v>2016</v>
      </c>
      <c r="F1033" s="33">
        <v>2029</v>
      </c>
      <c r="G1033" s="33">
        <v>11</v>
      </c>
      <c r="H1033" s="33">
        <v>0</v>
      </c>
      <c r="I1033" s="33">
        <v>0</v>
      </c>
      <c r="J1033" s="33">
        <v>0</v>
      </c>
      <c r="K1033" s="33">
        <v>0</v>
      </c>
      <c r="L1033" s="101">
        <v>3.49</v>
      </c>
      <c r="M1033" s="108">
        <v>770</v>
      </c>
      <c r="N1033" s="108">
        <v>610</v>
      </c>
      <c r="O1033" s="142">
        <v>0</v>
      </c>
      <c r="P1033" s="142">
        <v>0</v>
      </c>
      <c r="Q1033" s="142">
        <v>0</v>
      </c>
      <c r="R1033" s="142">
        <v>0</v>
      </c>
      <c r="S1033" s="116">
        <v>0</v>
      </c>
      <c r="T1033" s="116">
        <v>0</v>
      </c>
      <c r="U1033" s="33" t="s">
        <v>226</v>
      </c>
      <c r="V1033" s="33">
        <v>2015</v>
      </c>
      <c r="W1033" s="33">
        <v>1</v>
      </c>
      <c r="X1033" s="33">
        <v>0</v>
      </c>
      <c r="Y1033" s="33">
        <v>-4.65E-2</v>
      </c>
      <c r="Z1033" s="33">
        <v>-0.1</v>
      </c>
      <c r="AA1033" s="33">
        <v>0</v>
      </c>
      <c r="AB1033" s="33">
        <v>0</v>
      </c>
      <c r="AC1033" s="33" t="s">
        <v>312</v>
      </c>
      <c r="AD1033" s="158"/>
    </row>
    <row r="1034" spans="1:30" customFormat="1" hidden="1" x14ac:dyDescent="0.2">
      <c r="A1034" s="153">
        <f t="shared" si="15"/>
        <v>1010</v>
      </c>
      <c r="B1034" s="33">
        <v>7</v>
      </c>
      <c r="C1034" s="33">
        <v>1</v>
      </c>
      <c r="D1034" s="33">
        <v>4</v>
      </c>
      <c r="E1034" s="104">
        <v>2030</v>
      </c>
      <c r="F1034" s="33">
        <v>2050</v>
      </c>
      <c r="G1034" s="33">
        <v>11</v>
      </c>
      <c r="H1034" s="33">
        <v>0</v>
      </c>
      <c r="I1034" s="33">
        <v>0</v>
      </c>
      <c r="J1034" s="33">
        <v>0</v>
      </c>
      <c r="K1034" s="33">
        <v>0</v>
      </c>
      <c r="L1034" s="101">
        <v>3.61</v>
      </c>
      <c r="M1034" s="108">
        <v>810</v>
      </c>
      <c r="N1034" s="108">
        <v>640</v>
      </c>
      <c r="O1034" s="142">
        <v>0</v>
      </c>
      <c r="P1034" s="142">
        <v>0</v>
      </c>
      <c r="Q1034" s="149">
        <v>0</v>
      </c>
      <c r="R1034" s="149">
        <v>0</v>
      </c>
      <c r="S1034" s="116">
        <v>0</v>
      </c>
      <c r="T1034" s="116">
        <v>0</v>
      </c>
      <c r="U1034" s="33" t="s">
        <v>226</v>
      </c>
      <c r="V1034" s="33">
        <v>2015</v>
      </c>
      <c r="W1034" s="33">
        <v>1</v>
      </c>
      <c r="X1034" s="33">
        <v>0</v>
      </c>
      <c r="Y1034" s="33">
        <v>-4.65E-2</v>
      </c>
      <c r="Z1034" s="33">
        <v>-0.1</v>
      </c>
      <c r="AA1034" s="33">
        <v>0</v>
      </c>
      <c r="AB1034" s="33">
        <v>0</v>
      </c>
      <c r="AC1034" s="33" t="s">
        <v>312</v>
      </c>
      <c r="AD1034" s="158"/>
    </row>
    <row r="1035" spans="1:30" customFormat="1" hidden="1" x14ac:dyDescent="0.2">
      <c r="A1035" s="153">
        <f t="shared" si="15"/>
        <v>1011</v>
      </c>
      <c r="B1035" s="33">
        <v>7</v>
      </c>
      <c r="C1035" s="33">
        <v>2</v>
      </c>
      <c r="D1035" s="33">
        <v>5</v>
      </c>
      <c r="E1035" s="104">
        <v>2016</v>
      </c>
      <c r="F1035" s="33">
        <v>2050</v>
      </c>
      <c r="G1035" s="33">
        <v>11</v>
      </c>
      <c r="H1035" s="33">
        <v>0</v>
      </c>
      <c r="I1035" s="33">
        <v>0</v>
      </c>
      <c r="J1035" s="33">
        <v>0</v>
      </c>
      <c r="K1035" s="33">
        <v>0</v>
      </c>
      <c r="L1035" s="101">
        <v>3.73</v>
      </c>
      <c r="M1035" s="108">
        <v>530</v>
      </c>
      <c r="N1035" s="108">
        <v>420</v>
      </c>
      <c r="O1035" s="142">
        <v>0</v>
      </c>
      <c r="P1035" s="142">
        <v>0</v>
      </c>
      <c r="Q1035" s="142">
        <v>0</v>
      </c>
      <c r="R1035" s="142">
        <v>0</v>
      </c>
      <c r="S1035" s="116">
        <v>0</v>
      </c>
      <c r="T1035" s="116">
        <v>0</v>
      </c>
      <c r="U1035" s="33" t="s">
        <v>226</v>
      </c>
      <c r="V1035" s="33">
        <v>2015</v>
      </c>
      <c r="W1035" s="33">
        <v>1</v>
      </c>
      <c r="X1035" s="33">
        <v>0</v>
      </c>
      <c r="Y1035" s="33">
        <v>-0.09</v>
      </c>
      <c r="Z1035" s="33">
        <v>-0.1</v>
      </c>
      <c r="AA1035" s="33">
        <v>0</v>
      </c>
      <c r="AB1035" s="33">
        <v>0</v>
      </c>
      <c r="AC1035" s="33" t="s">
        <v>393</v>
      </c>
      <c r="AD1035" s="158"/>
    </row>
    <row r="1036" spans="1:30" customFormat="1" hidden="1" x14ac:dyDescent="0.2">
      <c r="A1036" s="153">
        <f t="shared" si="15"/>
        <v>1012</v>
      </c>
      <c r="B1036" s="33">
        <v>7</v>
      </c>
      <c r="C1036" s="33">
        <v>2</v>
      </c>
      <c r="D1036" s="33">
        <v>6</v>
      </c>
      <c r="E1036" s="104">
        <v>2016</v>
      </c>
      <c r="F1036" s="33">
        <v>2050</v>
      </c>
      <c r="G1036" s="33">
        <v>11</v>
      </c>
      <c r="H1036" s="33">
        <v>0</v>
      </c>
      <c r="I1036" s="33">
        <v>0</v>
      </c>
      <c r="J1036" s="33">
        <v>0</v>
      </c>
      <c r="K1036" s="33">
        <v>0</v>
      </c>
      <c r="L1036" s="101">
        <v>3.74</v>
      </c>
      <c r="M1036" s="108">
        <v>540</v>
      </c>
      <c r="N1036" s="108">
        <v>430</v>
      </c>
      <c r="O1036" s="142">
        <v>0</v>
      </c>
      <c r="P1036" s="142">
        <v>0</v>
      </c>
      <c r="Q1036" s="142">
        <v>0</v>
      </c>
      <c r="R1036" s="142">
        <v>0</v>
      </c>
      <c r="S1036" s="116">
        <v>0</v>
      </c>
      <c r="T1036" s="116">
        <v>0</v>
      </c>
      <c r="U1036" s="33" t="s">
        <v>226</v>
      </c>
      <c r="V1036" s="33">
        <v>2015</v>
      </c>
      <c r="W1036" s="33">
        <v>1</v>
      </c>
      <c r="X1036" s="33">
        <v>0</v>
      </c>
      <c r="Y1036" s="33">
        <v>-0.09</v>
      </c>
      <c r="Z1036" s="33">
        <v>-0.1</v>
      </c>
      <c r="AA1036" s="33">
        <v>0</v>
      </c>
      <c r="AB1036" s="33">
        <v>0</v>
      </c>
      <c r="AC1036" s="33" t="s">
        <v>394</v>
      </c>
      <c r="AD1036" s="158"/>
    </row>
    <row r="1037" spans="1:30" customFormat="1" hidden="1" x14ac:dyDescent="0.2">
      <c r="A1037" s="153">
        <f t="shared" si="15"/>
        <v>1013</v>
      </c>
      <c r="B1037" s="33">
        <v>7</v>
      </c>
      <c r="C1037" s="33">
        <v>2</v>
      </c>
      <c r="D1037" s="33">
        <v>7</v>
      </c>
      <c r="E1037" s="104">
        <v>2016</v>
      </c>
      <c r="F1037" s="33">
        <v>2050</v>
      </c>
      <c r="G1037" s="33">
        <v>11</v>
      </c>
      <c r="H1037" s="33">
        <v>0</v>
      </c>
      <c r="I1037" s="33">
        <v>0</v>
      </c>
      <c r="J1037" s="33">
        <v>0</v>
      </c>
      <c r="K1037" s="33">
        <v>0</v>
      </c>
      <c r="L1037" s="101">
        <v>3.93</v>
      </c>
      <c r="M1037" s="108">
        <v>567.43315508021385</v>
      </c>
      <c r="N1037" s="108">
        <v>451.84491978609623</v>
      </c>
      <c r="O1037" s="142">
        <v>0</v>
      </c>
      <c r="P1037" s="142">
        <v>0</v>
      </c>
      <c r="Q1037" s="142">
        <v>0</v>
      </c>
      <c r="R1037" s="142">
        <v>0</v>
      </c>
      <c r="S1037" s="116">
        <v>0</v>
      </c>
      <c r="T1037" s="116">
        <v>0</v>
      </c>
      <c r="U1037" s="33" t="s">
        <v>226</v>
      </c>
      <c r="V1037" s="33">
        <v>2015</v>
      </c>
      <c r="W1037" s="33">
        <v>1</v>
      </c>
      <c r="X1037" s="33">
        <v>0</v>
      </c>
      <c r="Y1037" s="33">
        <v>-0.09</v>
      </c>
      <c r="Z1037" s="33">
        <v>-0.1</v>
      </c>
      <c r="AA1037" s="33">
        <v>0</v>
      </c>
      <c r="AB1037" s="33">
        <v>0</v>
      </c>
      <c r="AC1037" s="33" t="s">
        <v>395</v>
      </c>
      <c r="AD1037" s="158"/>
    </row>
    <row r="1038" spans="1:30" customFormat="1" hidden="1" x14ac:dyDescent="0.2">
      <c r="A1038" s="153">
        <f t="shared" si="15"/>
        <v>1014</v>
      </c>
      <c r="B1038" s="33">
        <v>7</v>
      </c>
      <c r="C1038" s="33">
        <v>2</v>
      </c>
      <c r="D1038" s="33">
        <v>8</v>
      </c>
      <c r="E1038" s="104">
        <v>2016</v>
      </c>
      <c r="F1038" s="33">
        <v>2050</v>
      </c>
      <c r="G1038" s="33">
        <v>11</v>
      </c>
      <c r="H1038" s="33">
        <v>0</v>
      </c>
      <c r="I1038" s="33">
        <v>0</v>
      </c>
      <c r="J1038" s="33">
        <v>0</v>
      </c>
      <c r="K1038" s="33">
        <v>0</v>
      </c>
      <c r="L1038" s="101">
        <v>4.5</v>
      </c>
      <c r="M1038" s="108">
        <v>770</v>
      </c>
      <c r="N1038" s="108">
        <v>650</v>
      </c>
      <c r="O1038" s="142">
        <v>0</v>
      </c>
      <c r="P1038" s="142">
        <v>0</v>
      </c>
      <c r="Q1038" s="142">
        <v>0</v>
      </c>
      <c r="R1038" s="142">
        <v>0</v>
      </c>
      <c r="S1038" s="116">
        <v>0</v>
      </c>
      <c r="T1038" s="116">
        <v>0</v>
      </c>
      <c r="U1038" s="33" t="s">
        <v>226</v>
      </c>
      <c r="V1038" s="33">
        <v>2015</v>
      </c>
      <c r="W1038" s="33">
        <v>1</v>
      </c>
      <c r="X1038" s="33">
        <v>0</v>
      </c>
      <c r="Y1038" s="33">
        <v>-0.09</v>
      </c>
      <c r="Z1038" s="33">
        <v>-0.1</v>
      </c>
      <c r="AA1038" s="33">
        <v>0</v>
      </c>
      <c r="AB1038" s="33">
        <v>0</v>
      </c>
      <c r="AC1038" s="33" t="s">
        <v>396</v>
      </c>
      <c r="AD1038" s="158"/>
    </row>
    <row r="1039" spans="1:30" customFormat="1" hidden="1" x14ac:dyDescent="0.2">
      <c r="A1039" s="153">
        <f t="shared" si="15"/>
        <v>1015</v>
      </c>
      <c r="B1039" s="33">
        <v>8</v>
      </c>
      <c r="C1039" s="33">
        <v>1</v>
      </c>
      <c r="D1039" s="33">
        <v>1</v>
      </c>
      <c r="E1039" s="104">
        <v>2016</v>
      </c>
      <c r="F1039" s="33">
        <v>2050</v>
      </c>
      <c r="G1039" s="33">
        <v>11</v>
      </c>
      <c r="H1039" s="33">
        <v>0</v>
      </c>
      <c r="I1039" s="33">
        <v>0</v>
      </c>
      <c r="J1039" s="33">
        <v>0</v>
      </c>
      <c r="K1039" s="33">
        <v>0</v>
      </c>
      <c r="L1039" s="108">
        <v>404.78399999999999</v>
      </c>
      <c r="M1039" s="108">
        <v>700</v>
      </c>
      <c r="N1039" s="108">
        <v>700</v>
      </c>
      <c r="O1039" s="142">
        <v>0</v>
      </c>
      <c r="P1039" s="142">
        <v>0</v>
      </c>
      <c r="Q1039" s="142">
        <v>0</v>
      </c>
      <c r="R1039" s="142">
        <v>0</v>
      </c>
      <c r="S1039" s="116">
        <v>0</v>
      </c>
      <c r="T1039" s="116">
        <v>0</v>
      </c>
      <c r="U1039" s="33" t="s">
        <v>226</v>
      </c>
      <c r="V1039" s="33">
        <v>2015</v>
      </c>
      <c r="W1039" s="33">
        <v>1</v>
      </c>
      <c r="X1039" s="33">
        <v>0</v>
      </c>
      <c r="Y1039" s="33">
        <v>-1.21E-2</v>
      </c>
      <c r="Z1039" s="33">
        <v>-0.1207</v>
      </c>
      <c r="AA1039" s="33">
        <v>0</v>
      </c>
      <c r="AB1039" s="33">
        <v>0</v>
      </c>
      <c r="AC1039" s="33" t="s">
        <v>397</v>
      </c>
      <c r="AD1039" s="158"/>
    </row>
    <row r="1040" spans="1:30" customFormat="1" hidden="1" x14ac:dyDescent="0.2">
      <c r="A1040" s="153">
        <f t="shared" si="15"/>
        <v>1016</v>
      </c>
      <c r="B1040" s="33">
        <v>8</v>
      </c>
      <c r="C1040" s="33">
        <v>1</v>
      </c>
      <c r="D1040" s="33">
        <v>2</v>
      </c>
      <c r="E1040" s="104">
        <v>2016</v>
      </c>
      <c r="F1040" s="33">
        <v>2050</v>
      </c>
      <c r="G1040" s="33">
        <v>11</v>
      </c>
      <c r="H1040" s="33">
        <v>0</v>
      </c>
      <c r="I1040" s="33">
        <v>0</v>
      </c>
      <c r="J1040" s="33">
        <v>0</v>
      </c>
      <c r="K1040" s="33">
        <v>0</v>
      </c>
      <c r="L1040" s="108">
        <v>389</v>
      </c>
      <c r="M1040" s="108">
        <v>750</v>
      </c>
      <c r="N1040" s="108">
        <v>750</v>
      </c>
      <c r="O1040" s="142">
        <v>0</v>
      </c>
      <c r="P1040" s="142">
        <v>0</v>
      </c>
      <c r="Q1040" s="142">
        <v>0</v>
      </c>
      <c r="R1040" s="142">
        <v>0</v>
      </c>
      <c r="S1040" s="116">
        <v>0</v>
      </c>
      <c r="T1040" s="116">
        <v>0</v>
      </c>
      <c r="U1040" s="33" t="s">
        <v>226</v>
      </c>
      <c r="V1040" s="33">
        <v>2015</v>
      </c>
      <c r="W1040" s="33">
        <v>1</v>
      </c>
      <c r="X1040" s="33">
        <v>0</v>
      </c>
      <c r="Y1040" s="33">
        <v>-1.21E-2</v>
      </c>
      <c r="Z1040" s="33">
        <v>-0.1207</v>
      </c>
      <c r="AA1040" s="33">
        <v>0</v>
      </c>
      <c r="AB1040" s="33">
        <v>0</v>
      </c>
      <c r="AC1040" s="33" t="s">
        <v>398</v>
      </c>
      <c r="AD1040" s="158"/>
    </row>
    <row r="1041" spans="1:30" customFormat="1" hidden="1" x14ac:dyDescent="0.2">
      <c r="A1041" s="153">
        <f t="shared" si="15"/>
        <v>1017</v>
      </c>
      <c r="B1041" s="33">
        <v>8</v>
      </c>
      <c r="C1041" s="33">
        <v>1</v>
      </c>
      <c r="D1041" s="33">
        <v>3</v>
      </c>
      <c r="E1041" s="104">
        <v>2016</v>
      </c>
      <c r="F1041" s="33">
        <v>2050</v>
      </c>
      <c r="G1041" s="33">
        <v>1</v>
      </c>
      <c r="H1041" s="33">
        <v>0</v>
      </c>
      <c r="I1041" s="33">
        <v>0</v>
      </c>
      <c r="J1041" s="33">
        <v>0</v>
      </c>
      <c r="K1041" s="33">
        <v>0</v>
      </c>
      <c r="L1041" s="108">
        <v>364.30560000000003</v>
      </c>
      <c r="M1041" s="108">
        <v>850</v>
      </c>
      <c r="N1041" s="108">
        <v>850</v>
      </c>
      <c r="O1041" s="142">
        <v>0</v>
      </c>
      <c r="P1041" s="142">
        <v>0</v>
      </c>
      <c r="Q1041" s="142">
        <v>0</v>
      </c>
      <c r="R1041" s="142">
        <v>0</v>
      </c>
      <c r="S1041" s="116">
        <v>0</v>
      </c>
      <c r="T1041" s="116">
        <v>0</v>
      </c>
      <c r="U1041" s="33" t="s">
        <v>226</v>
      </c>
      <c r="V1041" s="33">
        <v>2015</v>
      </c>
      <c r="W1041" s="33">
        <v>1</v>
      </c>
      <c r="X1041" s="33">
        <v>0</v>
      </c>
      <c r="Y1041" s="33">
        <v>-1.21E-2</v>
      </c>
      <c r="Z1041" s="33">
        <v>-0.1207</v>
      </c>
      <c r="AA1041" s="33">
        <v>0</v>
      </c>
      <c r="AB1041" s="33">
        <v>0</v>
      </c>
      <c r="AC1041" s="33" t="s">
        <v>399</v>
      </c>
      <c r="AD1041" s="158"/>
    </row>
    <row r="1042" spans="1:30" customFormat="1" hidden="1" x14ac:dyDescent="0.2">
      <c r="A1042" s="153">
        <f t="shared" si="15"/>
        <v>1018</v>
      </c>
      <c r="B1042" s="33">
        <v>8</v>
      </c>
      <c r="C1042" s="33">
        <v>1</v>
      </c>
      <c r="D1042" s="33">
        <v>3</v>
      </c>
      <c r="E1042" s="104">
        <v>2016</v>
      </c>
      <c r="F1042" s="33">
        <v>2050</v>
      </c>
      <c r="G1042" s="33">
        <v>2</v>
      </c>
      <c r="H1042" s="33">
        <v>0</v>
      </c>
      <c r="I1042" s="33">
        <v>0</v>
      </c>
      <c r="J1042" s="33">
        <v>0</v>
      </c>
      <c r="K1042" s="33">
        <v>0</v>
      </c>
      <c r="L1042" s="108">
        <v>364.30560000000003</v>
      </c>
      <c r="M1042" s="108">
        <v>850</v>
      </c>
      <c r="N1042" s="108">
        <v>850</v>
      </c>
      <c r="O1042" s="142">
        <v>0</v>
      </c>
      <c r="P1042" s="142">
        <v>0</v>
      </c>
      <c r="Q1042" s="142">
        <v>0</v>
      </c>
      <c r="R1042" s="142">
        <v>0</v>
      </c>
      <c r="S1042" s="116">
        <v>0</v>
      </c>
      <c r="T1042" s="116">
        <v>0</v>
      </c>
      <c r="U1042" s="33" t="s">
        <v>226</v>
      </c>
      <c r="V1042" s="33">
        <v>2015</v>
      </c>
      <c r="W1042" s="33">
        <v>1</v>
      </c>
      <c r="X1042" s="33">
        <v>0</v>
      </c>
      <c r="Y1042" s="33">
        <v>-1.21E-2</v>
      </c>
      <c r="Z1042" s="33">
        <v>-0.1207</v>
      </c>
      <c r="AA1042" s="33">
        <v>0</v>
      </c>
      <c r="AB1042" s="33">
        <v>0</v>
      </c>
      <c r="AC1042" s="33" t="s">
        <v>399</v>
      </c>
      <c r="AD1042" s="158"/>
    </row>
    <row r="1043" spans="1:30" customFormat="1" x14ac:dyDescent="0.2">
      <c r="A1043" s="153">
        <f t="shared" si="15"/>
        <v>1019</v>
      </c>
      <c r="B1043" s="33">
        <v>8</v>
      </c>
      <c r="C1043" s="33">
        <v>1</v>
      </c>
      <c r="D1043" s="33">
        <v>3</v>
      </c>
      <c r="E1043" s="104">
        <v>2016</v>
      </c>
      <c r="F1043" s="33">
        <v>2050</v>
      </c>
      <c r="G1043" s="33">
        <v>3</v>
      </c>
      <c r="H1043" s="33">
        <v>0</v>
      </c>
      <c r="I1043" s="33">
        <v>0</v>
      </c>
      <c r="J1043" s="33">
        <v>0</v>
      </c>
      <c r="K1043" s="33">
        <v>0</v>
      </c>
      <c r="L1043" s="108">
        <v>364.30560000000003</v>
      </c>
      <c r="M1043" s="108">
        <v>850</v>
      </c>
      <c r="N1043" s="108">
        <v>850</v>
      </c>
      <c r="O1043" s="142">
        <v>0</v>
      </c>
      <c r="P1043" s="142">
        <v>0</v>
      </c>
      <c r="Q1043" s="142">
        <v>0</v>
      </c>
      <c r="R1043" s="142">
        <v>0</v>
      </c>
      <c r="S1043" s="116">
        <v>0</v>
      </c>
      <c r="T1043" s="116">
        <v>0</v>
      </c>
      <c r="U1043" s="33" t="s">
        <v>226</v>
      </c>
      <c r="V1043" s="33">
        <v>2015</v>
      </c>
      <c r="W1043" s="33">
        <v>1</v>
      </c>
      <c r="X1043" s="33">
        <v>0</v>
      </c>
      <c r="Y1043" s="33">
        <v>-1.21E-2</v>
      </c>
      <c r="Z1043" s="33">
        <v>-0.1207</v>
      </c>
      <c r="AA1043" s="33">
        <v>0</v>
      </c>
      <c r="AB1043" s="33">
        <v>0</v>
      </c>
      <c r="AC1043" s="33" t="s">
        <v>399</v>
      </c>
      <c r="AD1043" s="158"/>
    </row>
    <row r="1044" spans="1:30" customFormat="1" hidden="1" x14ac:dyDescent="0.2">
      <c r="A1044" s="153">
        <f t="shared" si="15"/>
        <v>1020</v>
      </c>
      <c r="B1044" s="33">
        <v>8</v>
      </c>
      <c r="C1044" s="33">
        <v>1</v>
      </c>
      <c r="D1044" s="33">
        <v>3</v>
      </c>
      <c r="E1044" s="104">
        <v>2016</v>
      </c>
      <c r="F1044" s="33">
        <v>2050</v>
      </c>
      <c r="G1044" s="33">
        <v>4</v>
      </c>
      <c r="H1044" s="33">
        <v>0</v>
      </c>
      <c r="I1044" s="33">
        <v>0</v>
      </c>
      <c r="J1044" s="33">
        <v>0</v>
      </c>
      <c r="K1044" s="33">
        <v>0</v>
      </c>
      <c r="L1044" s="108">
        <v>364.30560000000003</v>
      </c>
      <c r="M1044" s="108">
        <v>850</v>
      </c>
      <c r="N1044" s="108">
        <v>850</v>
      </c>
      <c r="O1044" s="142">
        <v>0</v>
      </c>
      <c r="P1044" s="142">
        <v>0</v>
      </c>
      <c r="Q1044" s="142">
        <v>0</v>
      </c>
      <c r="R1044" s="142">
        <v>0</v>
      </c>
      <c r="S1044" s="116">
        <v>0</v>
      </c>
      <c r="T1044" s="116">
        <v>0</v>
      </c>
      <c r="U1044" s="33" t="s">
        <v>226</v>
      </c>
      <c r="V1044" s="33">
        <v>2015</v>
      </c>
      <c r="W1044" s="33">
        <v>1</v>
      </c>
      <c r="X1044" s="33">
        <v>0</v>
      </c>
      <c r="Y1044" s="33">
        <v>-1.21E-2</v>
      </c>
      <c r="Z1044" s="33">
        <v>-0.1207</v>
      </c>
      <c r="AA1044" s="33">
        <v>0</v>
      </c>
      <c r="AB1044" s="33">
        <v>0</v>
      </c>
      <c r="AC1044" s="33" t="s">
        <v>399</v>
      </c>
      <c r="AD1044" s="158"/>
    </row>
    <row r="1045" spans="1:30" customFormat="1" hidden="1" x14ac:dyDescent="0.2">
      <c r="A1045" s="153">
        <f t="shared" si="15"/>
        <v>1021</v>
      </c>
      <c r="B1045" s="33">
        <v>8</v>
      </c>
      <c r="C1045" s="33">
        <v>1</v>
      </c>
      <c r="D1045" s="33">
        <v>3</v>
      </c>
      <c r="E1045" s="104">
        <v>2016</v>
      </c>
      <c r="F1045" s="33">
        <v>2050</v>
      </c>
      <c r="G1045" s="33">
        <v>5</v>
      </c>
      <c r="H1045" s="33">
        <v>0</v>
      </c>
      <c r="I1045" s="33">
        <v>0</v>
      </c>
      <c r="J1045" s="33">
        <v>0</v>
      </c>
      <c r="K1045" s="33">
        <v>0</v>
      </c>
      <c r="L1045" s="108">
        <v>364.30560000000003</v>
      </c>
      <c r="M1045" s="108">
        <v>850</v>
      </c>
      <c r="N1045" s="108">
        <v>850</v>
      </c>
      <c r="O1045" s="142">
        <v>0</v>
      </c>
      <c r="P1045" s="142">
        <v>0</v>
      </c>
      <c r="Q1045" s="142">
        <v>0</v>
      </c>
      <c r="R1045" s="142">
        <v>0</v>
      </c>
      <c r="S1045" s="116">
        <v>0</v>
      </c>
      <c r="T1045" s="116">
        <v>0</v>
      </c>
      <c r="U1045" s="33" t="s">
        <v>226</v>
      </c>
      <c r="V1045" s="33">
        <v>2015</v>
      </c>
      <c r="W1045" s="33">
        <v>1</v>
      </c>
      <c r="X1045" s="33">
        <v>0</v>
      </c>
      <c r="Y1045" s="33">
        <v>-1.21E-2</v>
      </c>
      <c r="Z1045" s="33">
        <v>-0.1207</v>
      </c>
      <c r="AA1045" s="33">
        <v>0</v>
      </c>
      <c r="AB1045" s="33">
        <v>0</v>
      </c>
      <c r="AC1045" s="33" t="s">
        <v>399</v>
      </c>
      <c r="AD1045" s="158"/>
    </row>
    <row r="1046" spans="1:30" customFormat="1" hidden="1" x14ac:dyDescent="0.2">
      <c r="A1046" s="153">
        <f t="shared" si="15"/>
        <v>1022</v>
      </c>
      <c r="B1046" s="33">
        <v>8</v>
      </c>
      <c r="C1046" s="33">
        <v>1</v>
      </c>
      <c r="D1046" s="33">
        <v>3</v>
      </c>
      <c r="E1046" s="104">
        <v>2016</v>
      </c>
      <c r="F1046" s="33">
        <v>2050</v>
      </c>
      <c r="G1046" s="33">
        <v>6</v>
      </c>
      <c r="H1046" s="33">
        <v>0</v>
      </c>
      <c r="I1046" s="33">
        <v>0</v>
      </c>
      <c r="J1046" s="33">
        <v>0</v>
      </c>
      <c r="K1046" s="33">
        <v>0</v>
      </c>
      <c r="L1046" s="108">
        <v>364.30560000000003</v>
      </c>
      <c r="M1046" s="108">
        <v>850</v>
      </c>
      <c r="N1046" s="108">
        <v>850</v>
      </c>
      <c r="O1046" s="142">
        <v>0</v>
      </c>
      <c r="P1046" s="142">
        <v>0</v>
      </c>
      <c r="Q1046" s="142">
        <v>0</v>
      </c>
      <c r="R1046" s="142">
        <v>0</v>
      </c>
      <c r="S1046" s="116">
        <v>0</v>
      </c>
      <c r="T1046" s="116">
        <v>0</v>
      </c>
      <c r="U1046" s="33" t="s">
        <v>226</v>
      </c>
      <c r="V1046" s="33">
        <v>2015</v>
      </c>
      <c r="W1046" s="33">
        <v>1</v>
      </c>
      <c r="X1046" s="33">
        <v>0</v>
      </c>
      <c r="Y1046" s="33">
        <v>-1.21E-2</v>
      </c>
      <c r="Z1046" s="33">
        <v>-0.1207</v>
      </c>
      <c r="AA1046" s="33">
        <v>0</v>
      </c>
      <c r="AB1046" s="33">
        <v>0</v>
      </c>
      <c r="AC1046" s="33" t="s">
        <v>399</v>
      </c>
      <c r="AD1046" s="158"/>
    </row>
    <row r="1047" spans="1:30" customFormat="1" hidden="1" x14ac:dyDescent="0.2">
      <c r="A1047" s="153">
        <f t="shared" si="15"/>
        <v>1023</v>
      </c>
      <c r="B1047" s="33">
        <v>8</v>
      </c>
      <c r="C1047" s="33">
        <v>1</v>
      </c>
      <c r="D1047" s="33">
        <v>3</v>
      </c>
      <c r="E1047" s="104">
        <v>2016</v>
      </c>
      <c r="F1047" s="33">
        <v>2050</v>
      </c>
      <c r="G1047" s="33">
        <v>7</v>
      </c>
      <c r="H1047" s="33">
        <v>0</v>
      </c>
      <c r="I1047" s="33">
        <v>0</v>
      </c>
      <c r="J1047" s="33">
        <v>0</v>
      </c>
      <c r="K1047" s="33">
        <v>0</v>
      </c>
      <c r="L1047" s="108">
        <v>364.30560000000003</v>
      </c>
      <c r="M1047" s="108">
        <v>850</v>
      </c>
      <c r="N1047" s="108">
        <v>850</v>
      </c>
      <c r="O1047" s="142">
        <v>0</v>
      </c>
      <c r="P1047" s="142">
        <v>0</v>
      </c>
      <c r="Q1047" s="142">
        <v>0</v>
      </c>
      <c r="R1047" s="142">
        <v>0</v>
      </c>
      <c r="S1047" s="116">
        <v>0</v>
      </c>
      <c r="T1047" s="116">
        <v>0</v>
      </c>
      <c r="U1047" s="33" t="s">
        <v>226</v>
      </c>
      <c r="V1047" s="33">
        <v>2015</v>
      </c>
      <c r="W1047" s="33">
        <v>1</v>
      </c>
      <c r="X1047" s="33">
        <v>0</v>
      </c>
      <c r="Y1047" s="33">
        <v>-1.21E-2</v>
      </c>
      <c r="Z1047" s="33">
        <v>-0.1207</v>
      </c>
      <c r="AA1047" s="33">
        <v>0</v>
      </c>
      <c r="AB1047" s="33">
        <v>0</v>
      </c>
      <c r="AC1047" s="33" t="s">
        <v>399</v>
      </c>
      <c r="AD1047" s="158"/>
    </row>
    <row r="1048" spans="1:30" customFormat="1" hidden="1" x14ac:dyDescent="0.2">
      <c r="A1048" s="153">
        <f t="shared" si="15"/>
        <v>1024</v>
      </c>
      <c r="B1048" s="33">
        <v>8</v>
      </c>
      <c r="C1048" s="33">
        <v>1</v>
      </c>
      <c r="D1048" s="33">
        <v>3</v>
      </c>
      <c r="E1048" s="104">
        <v>2016</v>
      </c>
      <c r="F1048" s="33">
        <v>2050</v>
      </c>
      <c r="G1048" s="33">
        <v>8</v>
      </c>
      <c r="H1048" s="33">
        <v>0</v>
      </c>
      <c r="I1048" s="33">
        <v>0</v>
      </c>
      <c r="J1048" s="33">
        <v>0</v>
      </c>
      <c r="K1048" s="33">
        <v>0</v>
      </c>
      <c r="L1048" s="108">
        <v>364.30560000000003</v>
      </c>
      <c r="M1048" s="108">
        <v>850</v>
      </c>
      <c r="N1048" s="108">
        <v>850</v>
      </c>
      <c r="O1048" s="142">
        <v>0</v>
      </c>
      <c r="P1048" s="142">
        <v>0</v>
      </c>
      <c r="Q1048" s="142">
        <v>0</v>
      </c>
      <c r="R1048" s="142">
        <v>0</v>
      </c>
      <c r="S1048" s="116">
        <v>0</v>
      </c>
      <c r="T1048" s="116">
        <v>0</v>
      </c>
      <c r="U1048" s="33" t="s">
        <v>226</v>
      </c>
      <c r="V1048" s="33">
        <v>2015</v>
      </c>
      <c r="W1048" s="33">
        <v>1</v>
      </c>
      <c r="X1048" s="33">
        <v>0</v>
      </c>
      <c r="Y1048" s="33">
        <v>-1.21E-2</v>
      </c>
      <c r="Z1048" s="33">
        <v>-0.1207</v>
      </c>
      <c r="AA1048" s="33">
        <v>0</v>
      </c>
      <c r="AB1048" s="33">
        <v>0</v>
      </c>
      <c r="AC1048" s="33" t="s">
        <v>399</v>
      </c>
      <c r="AD1048" s="158"/>
    </row>
    <row r="1049" spans="1:30" customFormat="1" hidden="1" x14ac:dyDescent="0.2">
      <c r="A1049" s="153">
        <f t="shared" si="15"/>
        <v>1025</v>
      </c>
      <c r="B1049" s="33">
        <v>8</v>
      </c>
      <c r="C1049" s="33">
        <v>1</v>
      </c>
      <c r="D1049" s="33">
        <v>3</v>
      </c>
      <c r="E1049" s="104">
        <v>2016</v>
      </c>
      <c r="F1049" s="33">
        <v>2050</v>
      </c>
      <c r="G1049" s="33">
        <v>9</v>
      </c>
      <c r="H1049" s="33">
        <v>0</v>
      </c>
      <c r="I1049" s="33">
        <v>0</v>
      </c>
      <c r="J1049" s="33">
        <v>0</v>
      </c>
      <c r="K1049" s="33">
        <v>0</v>
      </c>
      <c r="L1049" s="108">
        <v>364.30560000000003</v>
      </c>
      <c r="M1049" s="108">
        <v>850</v>
      </c>
      <c r="N1049" s="108">
        <v>850</v>
      </c>
      <c r="O1049" s="142">
        <v>0</v>
      </c>
      <c r="P1049" s="142">
        <v>0</v>
      </c>
      <c r="Q1049" s="142">
        <v>0</v>
      </c>
      <c r="R1049" s="142">
        <v>0</v>
      </c>
      <c r="S1049" s="116">
        <v>0</v>
      </c>
      <c r="T1049" s="116">
        <v>0</v>
      </c>
      <c r="U1049" s="33" t="s">
        <v>226</v>
      </c>
      <c r="V1049" s="33">
        <v>2015</v>
      </c>
      <c r="W1049" s="33">
        <v>1</v>
      </c>
      <c r="X1049" s="33">
        <v>0</v>
      </c>
      <c r="Y1049" s="33">
        <v>-1.21E-2</v>
      </c>
      <c r="Z1049" s="33">
        <v>-0.1207</v>
      </c>
      <c r="AA1049" s="33">
        <v>0</v>
      </c>
      <c r="AB1049" s="33">
        <v>0</v>
      </c>
      <c r="AC1049" s="33" t="s">
        <v>399</v>
      </c>
      <c r="AD1049" s="158"/>
    </row>
    <row r="1050" spans="1:30" customFormat="1" hidden="1" x14ac:dyDescent="0.2">
      <c r="A1050" s="153">
        <f t="shared" si="15"/>
        <v>1026</v>
      </c>
      <c r="B1050" s="33">
        <v>8</v>
      </c>
      <c r="C1050" s="33">
        <v>1</v>
      </c>
      <c r="D1050" s="33">
        <v>4</v>
      </c>
      <c r="E1050" s="104">
        <v>2016</v>
      </c>
      <c r="F1050" s="33">
        <v>2050</v>
      </c>
      <c r="G1050" s="33">
        <v>1</v>
      </c>
      <c r="H1050" s="33">
        <v>0</v>
      </c>
      <c r="I1050" s="33">
        <v>0</v>
      </c>
      <c r="J1050" s="33">
        <v>0</v>
      </c>
      <c r="K1050" s="33">
        <v>0</v>
      </c>
      <c r="L1050" s="108">
        <v>358</v>
      </c>
      <c r="M1050" s="108">
        <v>880</v>
      </c>
      <c r="N1050" s="108">
        <v>880</v>
      </c>
      <c r="O1050" s="142">
        <v>0</v>
      </c>
      <c r="P1050" s="142">
        <v>0</v>
      </c>
      <c r="Q1050" s="142">
        <v>0</v>
      </c>
      <c r="R1050" s="142">
        <v>0</v>
      </c>
      <c r="S1050" s="116">
        <v>0</v>
      </c>
      <c r="T1050" s="116">
        <v>0</v>
      </c>
      <c r="U1050" s="33" t="s">
        <v>226</v>
      </c>
      <c r="V1050" s="33">
        <v>2015</v>
      </c>
      <c r="W1050" s="33">
        <v>1</v>
      </c>
      <c r="X1050" s="33">
        <v>0</v>
      </c>
      <c r="Y1050" s="33">
        <v>-1.21E-2</v>
      </c>
      <c r="Z1050" s="33">
        <v>-0.1207</v>
      </c>
      <c r="AA1050" s="33">
        <v>0</v>
      </c>
      <c r="AB1050" s="33">
        <v>0</v>
      </c>
      <c r="AC1050" s="33" t="s">
        <v>400</v>
      </c>
      <c r="AD1050" s="158"/>
    </row>
    <row r="1051" spans="1:30" customFormat="1" hidden="1" x14ac:dyDescent="0.2">
      <c r="A1051" s="153">
        <f t="shared" ref="A1051:A1106" si="16">A1050+1</f>
        <v>1027</v>
      </c>
      <c r="B1051" s="33">
        <v>8</v>
      </c>
      <c r="C1051" s="33">
        <v>1</v>
      </c>
      <c r="D1051" s="33">
        <v>4</v>
      </c>
      <c r="E1051" s="104">
        <v>2016</v>
      </c>
      <c r="F1051" s="33">
        <v>2050</v>
      </c>
      <c r="G1051" s="33">
        <v>2</v>
      </c>
      <c r="H1051" s="33">
        <v>0</v>
      </c>
      <c r="I1051" s="33">
        <v>0</v>
      </c>
      <c r="J1051" s="33">
        <v>0</v>
      </c>
      <c r="K1051" s="33">
        <v>0</v>
      </c>
      <c r="L1051" s="108">
        <v>358</v>
      </c>
      <c r="M1051" s="108">
        <v>880</v>
      </c>
      <c r="N1051" s="108">
        <v>880</v>
      </c>
      <c r="O1051" s="142">
        <v>0</v>
      </c>
      <c r="P1051" s="142">
        <v>0</v>
      </c>
      <c r="Q1051" s="142">
        <v>0</v>
      </c>
      <c r="R1051" s="142">
        <v>0</v>
      </c>
      <c r="S1051" s="116">
        <v>0</v>
      </c>
      <c r="T1051" s="116">
        <v>0</v>
      </c>
      <c r="U1051" s="33" t="s">
        <v>226</v>
      </c>
      <c r="V1051" s="33">
        <v>2015</v>
      </c>
      <c r="W1051" s="33">
        <v>1</v>
      </c>
      <c r="X1051" s="33">
        <v>0</v>
      </c>
      <c r="Y1051" s="33">
        <v>-1.21E-2</v>
      </c>
      <c r="Z1051" s="33">
        <v>-0.1207</v>
      </c>
      <c r="AA1051" s="33">
        <v>0</v>
      </c>
      <c r="AB1051" s="33">
        <v>0</v>
      </c>
      <c r="AC1051" s="33" t="s">
        <v>400</v>
      </c>
      <c r="AD1051" s="158"/>
    </row>
    <row r="1052" spans="1:30" customFormat="1" x14ac:dyDescent="0.2">
      <c r="A1052" s="153">
        <f t="shared" si="16"/>
        <v>1028</v>
      </c>
      <c r="B1052" s="33">
        <v>8</v>
      </c>
      <c r="C1052" s="33">
        <v>1</v>
      </c>
      <c r="D1052" s="33">
        <v>4</v>
      </c>
      <c r="E1052" s="104">
        <v>2016</v>
      </c>
      <c r="F1052" s="33">
        <v>2050</v>
      </c>
      <c r="G1052" s="33">
        <v>3</v>
      </c>
      <c r="H1052" s="33">
        <v>0</v>
      </c>
      <c r="I1052" s="33">
        <v>0</v>
      </c>
      <c r="J1052" s="33">
        <v>0</v>
      </c>
      <c r="K1052" s="33">
        <v>0</v>
      </c>
      <c r="L1052" s="108">
        <v>358</v>
      </c>
      <c r="M1052" s="108">
        <v>880</v>
      </c>
      <c r="N1052" s="108">
        <v>880</v>
      </c>
      <c r="O1052" s="142">
        <v>0</v>
      </c>
      <c r="P1052" s="142">
        <v>0</v>
      </c>
      <c r="Q1052" s="142">
        <v>0</v>
      </c>
      <c r="R1052" s="142">
        <v>0</v>
      </c>
      <c r="S1052" s="116">
        <v>0</v>
      </c>
      <c r="T1052" s="116">
        <v>0</v>
      </c>
      <c r="U1052" s="33" t="s">
        <v>226</v>
      </c>
      <c r="V1052" s="33">
        <v>2015</v>
      </c>
      <c r="W1052" s="33">
        <v>1</v>
      </c>
      <c r="X1052" s="33">
        <v>0</v>
      </c>
      <c r="Y1052" s="33">
        <v>-1.21E-2</v>
      </c>
      <c r="Z1052" s="33">
        <v>-0.1207</v>
      </c>
      <c r="AA1052" s="33">
        <v>0</v>
      </c>
      <c r="AB1052" s="33">
        <v>0</v>
      </c>
      <c r="AC1052" s="33" t="s">
        <v>400</v>
      </c>
      <c r="AD1052" s="158"/>
    </row>
    <row r="1053" spans="1:30" customFormat="1" hidden="1" x14ac:dyDescent="0.2">
      <c r="A1053" s="153">
        <f t="shared" si="16"/>
        <v>1029</v>
      </c>
      <c r="B1053" s="33">
        <v>8</v>
      </c>
      <c r="C1053" s="33">
        <v>1</v>
      </c>
      <c r="D1053" s="33">
        <v>4</v>
      </c>
      <c r="E1053" s="104">
        <v>2016</v>
      </c>
      <c r="F1053" s="33">
        <v>2050</v>
      </c>
      <c r="G1053" s="33">
        <v>4</v>
      </c>
      <c r="H1053" s="33">
        <v>0</v>
      </c>
      <c r="I1053" s="33">
        <v>0</v>
      </c>
      <c r="J1053" s="33">
        <v>0</v>
      </c>
      <c r="K1053" s="33">
        <v>0</v>
      </c>
      <c r="L1053" s="108">
        <v>358</v>
      </c>
      <c r="M1053" s="108">
        <v>880</v>
      </c>
      <c r="N1053" s="108">
        <v>880</v>
      </c>
      <c r="O1053" s="142">
        <v>0</v>
      </c>
      <c r="P1053" s="142">
        <v>0</v>
      </c>
      <c r="Q1053" s="142">
        <v>0</v>
      </c>
      <c r="R1053" s="142">
        <v>0</v>
      </c>
      <c r="S1053" s="116">
        <v>0</v>
      </c>
      <c r="T1053" s="116">
        <v>0</v>
      </c>
      <c r="U1053" s="33" t="s">
        <v>226</v>
      </c>
      <c r="V1053" s="33">
        <v>2015</v>
      </c>
      <c r="W1053" s="33">
        <v>1</v>
      </c>
      <c r="X1053" s="33">
        <v>0</v>
      </c>
      <c r="Y1053" s="33">
        <v>-1.21E-2</v>
      </c>
      <c r="Z1053" s="33">
        <v>-0.1207</v>
      </c>
      <c r="AA1053" s="33">
        <v>0</v>
      </c>
      <c r="AB1053" s="33">
        <v>0</v>
      </c>
      <c r="AC1053" s="33" t="s">
        <v>400</v>
      </c>
      <c r="AD1053" s="158"/>
    </row>
    <row r="1054" spans="1:30" customFormat="1" hidden="1" x14ac:dyDescent="0.2">
      <c r="A1054" s="153">
        <f t="shared" si="16"/>
        <v>1030</v>
      </c>
      <c r="B1054" s="33">
        <v>8</v>
      </c>
      <c r="C1054" s="33">
        <v>1</v>
      </c>
      <c r="D1054" s="33">
        <v>4</v>
      </c>
      <c r="E1054" s="104">
        <v>2016</v>
      </c>
      <c r="F1054" s="33">
        <v>2050</v>
      </c>
      <c r="G1054" s="33">
        <v>5</v>
      </c>
      <c r="H1054" s="33">
        <v>0</v>
      </c>
      <c r="I1054" s="33">
        <v>0</v>
      </c>
      <c r="J1054" s="33">
        <v>0</v>
      </c>
      <c r="K1054" s="33">
        <v>0</v>
      </c>
      <c r="L1054" s="108">
        <v>358</v>
      </c>
      <c r="M1054" s="108">
        <v>880</v>
      </c>
      <c r="N1054" s="108">
        <v>880</v>
      </c>
      <c r="O1054" s="142">
        <v>0</v>
      </c>
      <c r="P1054" s="142">
        <v>0</v>
      </c>
      <c r="Q1054" s="142">
        <v>0</v>
      </c>
      <c r="R1054" s="142">
        <v>0</v>
      </c>
      <c r="S1054" s="116">
        <v>0</v>
      </c>
      <c r="T1054" s="116">
        <v>0</v>
      </c>
      <c r="U1054" s="33" t="s">
        <v>226</v>
      </c>
      <c r="V1054" s="33">
        <v>2015</v>
      </c>
      <c r="W1054" s="33">
        <v>1</v>
      </c>
      <c r="X1054" s="33">
        <v>0</v>
      </c>
      <c r="Y1054" s="33">
        <v>-1.21E-2</v>
      </c>
      <c r="Z1054" s="33">
        <v>-0.1207</v>
      </c>
      <c r="AA1054" s="33">
        <v>0</v>
      </c>
      <c r="AB1054" s="33">
        <v>0</v>
      </c>
      <c r="AC1054" s="33" t="s">
        <v>400</v>
      </c>
      <c r="AD1054" s="158"/>
    </row>
    <row r="1055" spans="1:30" customFormat="1" hidden="1" x14ac:dyDescent="0.2">
      <c r="A1055" s="153">
        <f t="shared" si="16"/>
        <v>1031</v>
      </c>
      <c r="B1055" s="33">
        <v>8</v>
      </c>
      <c r="C1055" s="33">
        <v>1</v>
      </c>
      <c r="D1055" s="33">
        <v>4</v>
      </c>
      <c r="E1055" s="104">
        <v>2016</v>
      </c>
      <c r="F1055" s="33">
        <v>2050</v>
      </c>
      <c r="G1055" s="33">
        <v>6</v>
      </c>
      <c r="H1055" s="33">
        <v>0</v>
      </c>
      <c r="I1055" s="33">
        <v>0</v>
      </c>
      <c r="J1055" s="33">
        <v>0</v>
      </c>
      <c r="K1055" s="33">
        <v>0</v>
      </c>
      <c r="L1055" s="108">
        <v>358</v>
      </c>
      <c r="M1055" s="108">
        <v>880</v>
      </c>
      <c r="N1055" s="108">
        <v>880</v>
      </c>
      <c r="O1055" s="142">
        <v>0</v>
      </c>
      <c r="P1055" s="142">
        <v>0</v>
      </c>
      <c r="Q1055" s="142">
        <v>0</v>
      </c>
      <c r="R1055" s="142">
        <v>0</v>
      </c>
      <c r="S1055" s="116">
        <v>0</v>
      </c>
      <c r="T1055" s="116">
        <v>0</v>
      </c>
      <c r="U1055" s="33" t="s">
        <v>226</v>
      </c>
      <c r="V1055" s="33">
        <v>2015</v>
      </c>
      <c r="W1055" s="33">
        <v>1</v>
      </c>
      <c r="X1055" s="33">
        <v>0</v>
      </c>
      <c r="Y1055" s="33">
        <v>-1.21E-2</v>
      </c>
      <c r="Z1055" s="33">
        <v>-0.1207</v>
      </c>
      <c r="AA1055" s="33">
        <v>0</v>
      </c>
      <c r="AB1055" s="33">
        <v>0</v>
      </c>
      <c r="AC1055" s="33" t="s">
        <v>400</v>
      </c>
      <c r="AD1055" s="158"/>
    </row>
    <row r="1056" spans="1:30" customFormat="1" hidden="1" x14ac:dyDescent="0.2">
      <c r="A1056" s="153">
        <f t="shared" si="16"/>
        <v>1032</v>
      </c>
      <c r="B1056" s="33">
        <v>8</v>
      </c>
      <c r="C1056" s="33">
        <v>1</v>
      </c>
      <c r="D1056" s="33">
        <v>4</v>
      </c>
      <c r="E1056" s="104">
        <v>2016</v>
      </c>
      <c r="F1056" s="33">
        <v>2050</v>
      </c>
      <c r="G1056" s="33">
        <v>7</v>
      </c>
      <c r="H1056" s="33">
        <v>0</v>
      </c>
      <c r="I1056" s="33">
        <v>0</v>
      </c>
      <c r="J1056" s="33">
        <v>0</v>
      </c>
      <c r="K1056" s="33">
        <v>0</v>
      </c>
      <c r="L1056" s="108">
        <v>358</v>
      </c>
      <c r="M1056" s="108">
        <v>880</v>
      </c>
      <c r="N1056" s="108">
        <v>880</v>
      </c>
      <c r="O1056" s="142">
        <v>0</v>
      </c>
      <c r="P1056" s="142">
        <v>0</v>
      </c>
      <c r="Q1056" s="142">
        <v>0</v>
      </c>
      <c r="R1056" s="142">
        <v>0</v>
      </c>
      <c r="S1056" s="116">
        <v>0</v>
      </c>
      <c r="T1056" s="116">
        <v>0</v>
      </c>
      <c r="U1056" s="33" t="s">
        <v>226</v>
      </c>
      <c r="V1056" s="33">
        <v>2015</v>
      </c>
      <c r="W1056" s="33">
        <v>1</v>
      </c>
      <c r="X1056" s="33">
        <v>0</v>
      </c>
      <c r="Y1056" s="33">
        <v>-1.21E-2</v>
      </c>
      <c r="Z1056" s="33">
        <v>-0.1207</v>
      </c>
      <c r="AA1056" s="33">
        <v>0</v>
      </c>
      <c r="AB1056" s="33">
        <v>0</v>
      </c>
      <c r="AC1056" s="33" t="s">
        <v>400</v>
      </c>
      <c r="AD1056" s="158"/>
    </row>
    <row r="1057" spans="1:30" customFormat="1" hidden="1" x14ac:dyDescent="0.2">
      <c r="A1057" s="153">
        <f t="shared" si="16"/>
        <v>1033</v>
      </c>
      <c r="B1057" s="33">
        <v>8</v>
      </c>
      <c r="C1057" s="33">
        <v>1</v>
      </c>
      <c r="D1057" s="33">
        <v>4</v>
      </c>
      <c r="E1057" s="104">
        <v>2016</v>
      </c>
      <c r="F1057" s="33">
        <v>2050</v>
      </c>
      <c r="G1057" s="33">
        <v>8</v>
      </c>
      <c r="H1057" s="33">
        <v>0</v>
      </c>
      <c r="I1057" s="33">
        <v>0</v>
      </c>
      <c r="J1057" s="33">
        <v>0</v>
      </c>
      <c r="K1057" s="33">
        <v>0</v>
      </c>
      <c r="L1057" s="108">
        <v>358</v>
      </c>
      <c r="M1057" s="108">
        <v>880</v>
      </c>
      <c r="N1057" s="108">
        <v>880</v>
      </c>
      <c r="O1057" s="142">
        <v>0</v>
      </c>
      <c r="P1057" s="142">
        <v>0</v>
      </c>
      <c r="Q1057" s="142">
        <v>0</v>
      </c>
      <c r="R1057" s="142">
        <v>0</v>
      </c>
      <c r="S1057" s="116">
        <v>0</v>
      </c>
      <c r="T1057" s="116">
        <v>0</v>
      </c>
      <c r="U1057" s="33" t="s">
        <v>226</v>
      </c>
      <c r="V1057" s="33">
        <v>2015</v>
      </c>
      <c r="W1057" s="33">
        <v>1</v>
      </c>
      <c r="X1057" s="33">
        <v>0</v>
      </c>
      <c r="Y1057" s="33">
        <v>-1.21E-2</v>
      </c>
      <c r="Z1057" s="33">
        <v>-0.1207</v>
      </c>
      <c r="AA1057" s="33">
        <v>0</v>
      </c>
      <c r="AB1057" s="33">
        <v>0</v>
      </c>
      <c r="AC1057" s="33" t="s">
        <v>400</v>
      </c>
      <c r="AD1057" s="158"/>
    </row>
    <row r="1058" spans="1:30" customFormat="1" hidden="1" x14ac:dyDescent="0.2">
      <c r="A1058" s="153">
        <f t="shared" si="16"/>
        <v>1034</v>
      </c>
      <c r="B1058" s="33">
        <v>8</v>
      </c>
      <c r="C1058" s="33">
        <v>1</v>
      </c>
      <c r="D1058" s="33">
        <v>4</v>
      </c>
      <c r="E1058" s="104">
        <v>2016</v>
      </c>
      <c r="F1058" s="33">
        <v>2050</v>
      </c>
      <c r="G1058" s="33">
        <v>9</v>
      </c>
      <c r="H1058" s="33">
        <v>0</v>
      </c>
      <c r="I1058" s="33">
        <v>0</v>
      </c>
      <c r="J1058" s="33">
        <v>0</v>
      </c>
      <c r="K1058" s="33">
        <v>0</v>
      </c>
      <c r="L1058" s="108">
        <v>358</v>
      </c>
      <c r="M1058" s="108">
        <v>880</v>
      </c>
      <c r="N1058" s="108">
        <v>880</v>
      </c>
      <c r="O1058" s="142">
        <v>0</v>
      </c>
      <c r="P1058" s="142">
        <v>0</v>
      </c>
      <c r="Q1058" s="142">
        <v>0</v>
      </c>
      <c r="R1058" s="142">
        <v>0</v>
      </c>
      <c r="S1058" s="116">
        <v>0</v>
      </c>
      <c r="T1058" s="116">
        <v>0</v>
      </c>
      <c r="U1058" s="33" t="s">
        <v>226</v>
      </c>
      <c r="V1058" s="33">
        <v>2015</v>
      </c>
      <c r="W1058" s="33">
        <v>1</v>
      </c>
      <c r="X1058" s="33">
        <v>0</v>
      </c>
      <c r="Y1058" s="33">
        <v>-1.21E-2</v>
      </c>
      <c r="Z1058" s="33">
        <v>-0.1207</v>
      </c>
      <c r="AA1058" s="33">
        <v>0</v>
      </c>
      <c r="AB1058" s="33">
        <v>0</v>
      </c>
      <c r="AC1058" s="33" t="s">
        <v>400</v>
      </c>
      <c r="AD1058" s="158"/>
    </row>
    <row r="1059" spans="1:30" customFormat="1" hidden="1" x14ac:dyDescent="0.2">
      <c r="A1059" s="153">
        <f t="shared" si="16"/>
        <v>1035</v>
      </c>
      <c r="B1059" s="33">
        <v>8</v>
      </c>
      <c r="C1059" s="33">
        <v>1</v>
      </c>
      <c r="D1059" s="33">
        <v>5</v>
      </c>
      <c r="E1059" s="104">
        <v>2016</v>
      </c>
      <c r="F1059" s="33">
        <v>2050</v>
      </c>
      <c r="G1059" s="33">
        <v>11</v>
      </c>
      <c r="H1059" s="33">
        <v>0</v>
      </c>
      <c r="I1059" s="33">
        <v>0</v>
      </c>
      <c r="J1059" s="33">
        <v>0</v>
      </c>
      <c r="K1059" s="33">
        <v>0</v>
      </c>
      <c r="L1059" s="108">
        <v>705.226</v>
      </c>
      <c r="M1059" s="108">
        <v>1310</v>
      </c>
      <c r="N1059" s="108">
        <v>1310</v>
      </c>
      <c r="O1059" s="142">
        <v>0</v>
      </c>
      <c r="P1059" s="142">
        <v>0</v>
      </c>
      <c r="Q1059" s="142">
        <v>0</v>
      </c>
      <c r="R1059" s="142">
        <v>0</v>
      </c>
      <c r="S1059" s="116">
        <v>0</v>
      </c>
      <c r="T1059" s="116">
        <v>0</v>
      </c>
      <c r="U1059" s="33" t="s">
        <v>226</v>
      </c>
      <c r="V1059" s="33">
        <v>2015</v>
      </c>
      <c r="W1059" s="33">
        <v>1</v>
      </c>
      <c r="X1059" s="33">
        <v>0</v>
      </c>
      <c r="Y1059" s="33">
        <v>-1.21E-2</v>
      </c>
      <c r="Z1059" s="33">
        <v>-0.1207</v>
      </c>
      <c r="AA1059" s="33">
        <v>0</v>
      </c>
      <c r="AB1059" s="33">
        <v>0</v>
      </c>
      <c r="AC1059" s="33" t="s">
        <v>401</v>
      </c>
      <c r="AD1059" s="158"/>
    </row>
    <row r="1060" spans="1:30" customFormat="1" hidden="1" x14ac:dyDescent="0.2">
      <c r="A1060" s="153">
        <f t="shared" si="16"/>
        <v>1036</v>
      </c>
      <c r="B1060" s="33">
        <v>8</v>
      </c>
      <c r="C1060" s="33">
        <v>1</v>
      </c>
      <c r="D1060" s="33">
        <v>6</v>
      </c>
      <c r="E1060" s="104">
        <v>2016</v>
      </c>
      <c r="F1060" s="33">
        <v>2050</v>
      </c>
      <c r="G1060" s="33">
        <v>11</v>
      </c>
      <c r="H1060" s="33">
        <v>0</v>
      </c>
      <c r="I1060" s="33">
        <v>0</v>
      </c>
      <c r="J1060" s="33">
        <v>0</v>
      </c>
      <c r="K1060" s="33">
        <v>0</v>
      </c>
      <c r="L1060" s="108">
        <v>671</v>
      </c>
      <c r="M1060" s="108">
        <v>1420</v>
      </c>
      <c r="N1060" s="108">
        <v>1420</v>
      </c>
      <c r="O1060" s="142">
        <v>0</v>
      </c>
      <c r="P1060" s="142">
        <v>0</v>
      </c>
      <c r="Q1060" s="142">
        <v>0</v>
      </c>
      <c r="R1060" s="142">
        <v>0</v>
      </c>
      <c r="S1060" s="116">
        <v>0</v>
      </c>
      <c r="T1060" s="116">
        <v>0</v>
      </c>
      <c r="U1060" s="33" t="s">
        <v>226</v>
      </c>
      <c r="V1060" s="33">
        <v>2015</v>
      </c>
      <c r="W1060" s="33">
        <v>1</v>
      </c>
      <c r="X1060" s="33">
        <v>0</v>
      </c>
      <c r="Y1060" s="33">
        <v>-1.21E-2</v>
      </c>
      <c r="Z1060" s="33">
        <v>-0.1207</v>
      </c>
      <c r="AA1060" s="33">
        <v>0</v>
      </c>
      <c r="AB1060" s="33">
        <v>0</v>
      </c>
      <c r="AC1060" s="33" t="s">
        <v>402</v>
      </c>
      <c r="AD1060" s="158"/>
    </row>
    <row r="1061" spans="1:30" customFormat="1" hidden="1" x14ac:dyDescent="0.2">
      <c r="A1061" s="153">
        <f t="shared" si="16"/>
        <v>1037</v>
      </c>
      <c r="B1061" s="33">
        <v>8</v>
      </c>
      <c r="C1061" s="33">
        <v>1</v>
      </c>
      <c r="D1061" s="33">
        <v>7</v>
      </c>
      <c r="E1061" s="104">
        <v>2016</v>
      </c>
      <c r="F1061" s="33">
        <v>2050</v>
      </c>
      <c r="G1061" s="33">
        <v>1</v>
      </c>
      <c r="H1061" s="33">
        <v>0</v>
      </c>
      <c r="I1061" s="33">
        <v>0</v>
      </c>
      <c r="J1061" s="33">
        <v>0</v>
      </c>
      <c r="K1061" s="33">
        <v>0</v>
      </c>
      <c r="L1061" s="108">
        <v>634.70339999999999</v>
      </c>
      <c r="M1061" s="108">
        <v>1550</v>
      </c>
      <c r="N1061" s="108">
        <v>1550</v>
      </c>
      <c r="O1061" s="142">
        <v>0</v>
      </c>
      <c r="P1061" s="142">
        <v>0</v>
      </c>
      <c r="Q1061" s="142">
        <v>0</v>
      </c>
      <c r="R1061" s="142">
        <v>0</v>
      </c>
      <c r="S1061" s="116">
        <v>0</v>
      </c>
      <c r="T1061" s="116">
        <v>0</v>
      </c>
      <c r="U1061" s="33" t="s">
        <v>226</v>
      </c>
      <c r="V1061" s="33">
        <v>2015</v>
      </c>
      <c r="W1061" s="33">
        <v>1</v>
      </c>
      <c r="X1061" s="33">
        <v>0</v>
      </c>
      <c r="Y1061" s="33">
        <v>-1.21E-2</v>
      </c>
      <c r="Z1061" s="33">
        <v>-0.1207</v>
      </c>
      <c r="AA1061" s="33">
        <v>0</v>
      </c>
      <c r="AB1061" s="33">
        <v>0</v>
      </c>
      <c r="AC1061" s="33" t="s">
        <v>403</v>
      </c>
      <c r="AD1061" s="158"/>
    </row>
    <row r="1062" spans="1:30" customFormat="1" hidden="1" x14ac:dyDescent="0.2">
      <c r="A1062" s="153">
        <f t="shared" si="16"/>
        <v>1038</v>
      </c>
      <c r="B1062" s="33">
        <v>8</v>
      </c>
      <c r="C1062" s="33">
        <v>1</v>
      </c>
      <c r="D1062" s="33">
        <v>7</v>
      </c>
      <c r="E1062" s="104">
        <v>2016</v>
      </c>
      <c r="F1062" s="33">
        <v>2050</v>
      </c>
      <c r="G1062" s="33">
        <v>2</v>
      </c>
      <c r="H1062" s="33">
        <v>0</v>
      </c>
      <c r="I1062" s="33">
        <v>0</v>
      </c>
      <c r="J1062" s="33">
        <v>0</v>
      </c>
      <c r="K1062" s="33">
        <v>0</v>
      </c>
      <c r="L1062" s="108">
        <v>634.70339999999999</v>
      </c>
      <c r="M1062" s="108">
        <v>1550</v>
      </c>
      <c r="N1062" s="108">
        <v>1550</v>
      </c>
      <c r="O1062" s="142">
        <v>0</v>
      </c>
      <c r="P1062" s="142">
        <v>0</v>
      </c>
      <c r="Q1062" s="142">
        <v>0</v>
      </c>
      <c r="R1062" s="142">
        <v>0</v>
      </c>
      <c r="S1062" s="116">
        <v>0</v>
      </c>
      <c r="T1062" s="116">
        <v>0</v>
      </c>
      <c r="U1062" s="33" t="s">
        <v>226</v>
      </c>
      <c r="V1062" s="33">
        <v>2015</v>
      </c>
      <c r="W1062" s="33">
        <v>1</v>
      </c>
      <c r="X1062" s="33">
        <v>0</v>
      </c>
      <c r="Y1062" s="33">
        <v>-1.21E-2</v>
      </c>
      <c r="Z1062" s="33">
        <v>-0.1207</v>
      </c>
      <c r="AA1062" s="33">
        <v>0</v>
      </c>
      <c r="AB1062" s="33">
        <v>0</v>
      </c>
      <c r="AC1062" s="33" t="s">
        <v>403</v>
      </c>
      <c r="AD1062" s="158"/>
    </row>
    <row r="1063" spans="1:30" customFormat="1" x14ac:dyDescent="0.2">
      <c r="A1063" s="153">
        <f t="shared" si="16"/>
        <v>1039</v>
      </c>
      <c r="B1063" s="33">
        <v>8</v>
      </c>
      <c r="C1063" s="33">
        <v>1</v>
      </c>
      <c r="D1063" s="33">
        <v>7</v>
      </c>
      <c r="E1063" s="104">
        <v>2016</v>
      </c>
      <c r="F1063" s="33">
        <v>2050</v>
      </c>
      <c r="G1063" s="33">
        <v>3</v>
      </c>
      <c r="H1063" s="33">
        <v>0</v>
      </c>
      <c r="I1063" s="33">
        <v>0</v>
      </c>
      <c r="J1063" s="33">
        <v>0</v>
      </c>
      <c r="K1063" s="33">
        <v>0</v>
      </c>
      <c r="L1063" s="108">
        <v>634.70339999999999</v>
      </c>
      <c r="M1063" s="108">
        <v>1550</v>
      </c>
      <c r="N1063" s="108">
        <v>1550</v>
      </c>
      <c r="O1063" s="142">
        <v>0</v>
      </c>
      <c r="P1063" s="142">
        <v>0</v>
      </c>
      <c r="Q1063" s="142">
        <v>0</v>
      </c>
      <c r="R1063" s="142">
        <v>0</v>
      </c>
      <c r="S1063" s="116">
        <v>0</v>
      </c>
      <c r="T1063" s="116">
        <v>0</v>
      </c>
      <c r="U1063" s="33" t="s">
        <v>226</v>
      </c>
      <c r="V1063" s="33">
        <v>2015</v>
      </c>
      <c r="W1063" s="33">
        <v>1</v>
      </c>
      <c r="X1063" s="33">
        <v>0</v>
      </c>
      <c r="Y1063" s="33">
        <v>-1.21E-2</v>
      </c>
      <c r="Z1063" s="33">
        <v>-0.1207</v>
      </c>
      <c r="AA1063" s="33">
        <v>0</v>
      </c>
      <c r="AB1063" s="33">
        <v>0</v>
      </c>
      <c r="AC1063" s="33" t="s">
        <v>403</v>
      </c>
      <c r="AD1063" s="158"/>
    </row>
    <row r="1064" spans="1:30" customFormat="1" hidden="1" x14ac:dyDescent="0.2">
      <c r="A1064" s="153">
        <f t="shared" si="16"/>
        <v>1040</v>
      </c>
      <c r="B1064" s="33">
        <v>8</v>
      </c>
      <c r="C1064" s="33">
        <v>1</v>
      </c>
      <c r="D1064" s="33">
        <v>7</v>
      </c>
      <c r="E1064" s="104">
        <v>2016</v>
      </c>
      <c r="F1064" s="33">
        <v>2050</v>
      </c>
      <c r="G1064" s="33">
        <v>4</v>
      </c>
      <c r="H1064" s="33">
        <v>0</v>
      </c>
      <c r="I1064" s="33">
        <v>0</v>
      </c>
      <c r="J1064" s="33">
        <v>0</v>
      </c>
      <c r="K1064" s="33">
        <v>0</v>
      </c>
      <c r="L1064" s="108">
        <v>634.70339999999999</v>
      </c>
      <c r="M1064" s="108">
        <v>1550</v>
      </c>
      <c r="N1064" s="108">
        <v>1550</v>
      </c>
      <c r="O1064" s="142">
        <v>0</v>
      </c>
      <c r="P1064" s="142">
        <v>0</v>
      </c>
      <c r="Q1064" s="142">
        <v>0</v>
      </c>
      <c r="R1064" s="142">
        <v>0</v>
      </c>
      <c r="S1064" s="116">
        <v>0</v>
      </c>
      <c r="T1064" s="116">
        <v>0</v>
      </c>
      <c r="U1064" s="33" t="s">
        <v>226</v>
      </c>
      <c r="V1064" s="33">
        <v>2015</v>
      </c>
      <c r="W1064" s="33">
        <v>1</v>
      </c>
      <c r="X1064" s="33">
        <v>0</v>
      </c>
      <c r="Y1064" s="33">
        <v>-1.21E-2</v>
      </c>
      <c r="Z1064" s="33">
        <v>-0.1207</v>
      </c>
      <c r="AA1064" s="33">
        <v>0</v>
      </c>
      <c r="AB1064" s="33">
        <v>0</v>
      </c>
      <c r="AC1064" s="33" t="s">
        <v>403</v>
      </c>
      <c r="AD1064" s="158"/>
    </row>
    <row r="1065" spans="1:30" customFormat="1" hidden="1" x14ac:dyDescent="0.2">
      <c r="A1065" s="153">
        <f t="shared" si="16"/>
        <v>1041</v>
      </c>
      <c r="B1065" s="33">
        <v>8</v>
      </c>
      <c r="C1065" s="33">
        <v>1</v>
      </c>
      <c r="D1065" s="33">
        <v>7</v>
      </c>
      <c r="E1065" s="104">
        <v>2016</v>
      </c>
      <c r="F1065" s="33">
        <v>2050</v>
      </c>
      <c r="G1065" s="33">
        <v>5</v>
      </c>
      <c r="H1065" s="33">
        <v>0</v>
      </c>
      <c r="I1065" s="33">
        <v>0</v>
      </c>
      <c r="J1065" s="33">
        <v>0</v>
      </c>
      <c r="K1065" s="33">
        <v>0</v>
      </c>
      <c r="L1065" s="108">
        <v>634.70339999999999</v>
      </c>
      <c r="M1065" s="108">
        <v>1550</v>
      </c>
      <c r="N1065" s="108">
        <v>1550</v>
      </c>
      <c r="O1065" s="142">
        <v>0</v>
      </c>
      <c r="P1065" s="142">
        <v>0</v>
      </c>
      <c r="Q1065" s="142">
        <v>0</v>
      </c>
      <c r="R1065" s="142">
        <v>0</v>
      </c>
      <c r="S1065" s="116">
        <v>0</v>
      </c>
      <c r="T1065" s="116">
        <v>0</v>
      </c>
      <c r="U1065" s="33" t="s">
        <v>226</v>
      </c>
      <c r="V1065" s="33">
        <v>2015</v>
      </c>
      <c r="W1065" s="33">
        <v>1</v>
      </c>
      <c r="X1065" s="33">
        <v>0</v>
      </c>
      <c r="Y1065" s="33">
        <v>-1.21E-2</v>
      </c>
      <c r="Z1065" s="33">
        <v>-0.1207</v>
      </c>
      <c r="AA1065" s="33">
        <v>0</v>
      </c>
      <c r="AB1065" s="33">
        <v>0</v>
      </c>
      <c r="AC1065" s="33" t="s">
        <v>403</v>
      </c>
      <c r="AD1065" s="158"/>
    </row>
    <row r="1066" spans="1:30" customFormat="1" hidden="1" x14ac:dyDescent="0.2">
      <c r="A1066" s="153">
        <f t="shared" si="16"/>
        <v>1042</v>
      </c>
      <c r="B1066" s="33">
        <v>8</v>
      </c>
      <c r="C1066" s="33">
        <v>1</v>
      </c>
      <c r="D1066" s="33">
        <v>7</v>
      </c>
      <c r="E1066" s="104">
        <v>2016</v>
      </c>
      <c r="F1066" s="33">
        <v>2050</v>
      </c>
      <c r="G1066" s="33">
        <v>6</v>
      </c>
      <c r="H1066" s="33">
        <v>0</v>
      </c>
      <c r="I1066" s="33">
        <v>0</v>
      </c>
      <c r="J1066" s="33">
        <v>0</v>
      </c>
      <c r="K1066" s="33">
        <v>0</v>
      </c>
      <c r="L1066" s="108">
        <v>634.70339999999999</v>
      </c>
      <c r="M1066" s="108">
        <v>1550</v>
      </c>
      <c r="N1066" s="108">
        <v>1550</v>
      </c>
      <c r="O1066" s="142">
        <v>0</v>
      </c>
      <c r="P1066" s="142">
        <v>0</v>
      </c>
      <c r="Q1066" s="142">
        <v>0</v>
      </c>
      <c r="R1066" s="142">
        <v>0</v>
      </c>
      <c r="S1066" s="116">
        <v>0</v>
      </c>
      <c r="T1066" s="116">
        <v>0</v>
      </c>
      <c r="U1066" s="33" t="s">
        <v>226</v>
      </c>
      <c r="V1066" s="33">
        <v>2015</v>
      </c>
      <c r="W1066" s="33">
        <v>1</v>
      </c>
      <c r="X1066" s="33">
        <v>0</v>
      </c>
      <c r="Y1066" s="33">
        <v>-1.21E-2</v>
      </c>
      <c r="Z1066" s="33">
        <v>-0.1207</v>
      </c>
      <c r="AA1066" s="33">
        <v>0</v>
      </c>
      <c r="AB1066" s="33">
        <v>0</v>
      </c>
      <c r="AC1066" s="33" t="s">
        <v>403</v>
      </c>
      <c r="AD1066" s="158"/>
    </row>
    <row r="1067" spans="1:30" customFormat="1" hidden="1" x14ac:dyDescent="0.2">
      <c r="A1067" s="153">
        <f t="shared" si="16"/>
        <v>1043</v>
      </c>
      <c r="B1067" s="33">
        <v>8</v>
      </c>
      <c r="C1067" s="33">
        <v>1</v>
      </c>
      <c r="D1067" s="33">
        <v>7</v>
      </c>
      <c r="E1067" s="104">
        <v>2016</v>
      </c>
      <c r="F1067" s="33">
        <v>2050</v>
      </c>
      <c r="G1067" s="33">
        <v>7</v>
      </c>
      <c r="H1067" s="33">
        <v>0</v>
      </c>
      <c r="I1067" s="33">
        <v>0</v>
      </c>
      <c r="J1067" s="33">
        <v>0</v>
      </c>
      <c r="K1067" s="33">
        <v>0</v>
      </c>
      <c r="L1067" s="108">
        <v>634.70339999999999</v>
      </c>
      <c r="M1067" s="108">
        <v>1550</v>
      </c>
      <c r="N1067" s="108">
        <v>1550</v>
      </c>
      <c r="O1067" s="142">
        <v>0</v>
      </c>
      <c r="P1067" s="142">
        <v>0</v>
      </c>
      <c r="Q1067" s="142">
        <v>0</v>
      </c>
      <c r="R1067" s="142">
        <v>0</v>
      </c>
      <c r="S1067" s="116">
        <v>0</v>
      </c>
      <c r="T1067" s="116">
        <v>0</v>
      </c>
      <c r="U1067" s="33" t="s">
        <v>226</v>
      </c>
      <c r="V1067" s="33">
        <v>2015</v>
      </c>
      <c r="W1067" s="33">
        <v>1</v>
      </c>
      <c r="X1067" s="33">
        <v>0</v>
      </c>
      <c r="Y1067" s="33">
        <v>-1.21E-2</v>
      </c>
      <c r="Z1067" s="33">
        <v>-0.1207</v>
      </c>
      <c r="AA1067" s="33">
        <v>0</v>
      </c>
      <c r="AB1067" s="33">
        <v>0</v>
      </c>
      <c r="AC1067" s="33" t="s">
        <v>403</v>
      </c>
      <c r="AD1067" s="158"/>
    </row>
    <row r="1068" spans="1:30" customFormat="1" hidden="1" x14ac:dyDescent="0.2">
      <c r="A1068" s="153">
        <f t="shared" si="16"/>
        <v>1044</v>
      </c>
      <c r="B1068" s="33">
        <v>8</v>
      </c>
      <c r="C1068" s="33">
        <v>1</v>
      </c>
      <c r="D1068" s="33">
        <v>7</v>
      </c>
      <c r="E1068" s="104">
        <v>2016</v>
      </c>
      <c r="F1068" s="33">
        <v>2050</v>
      </c>
      <c r="G1068" s="33">
        <v>8</v>
      </c>
      <c r="H1068" s="33">
        <v>0</v>
      </c>
      <c r="I1068" s="33">
        <v>0</v>
      </c>
      <c r="J1068" s="33">
        <v>0</v>
      </c>
      <c r="K1068" s="33">
        <v>0</v>
      </c>
      <c r="L1068" s="108">
        <v>634.70339999999999</v>
      </c>
      <c r="M1068" s="108">
        <v>1550</v>
      </c>
      <c r="N1068" s="108">
        <v>1550</v>
      </c>
      <c r="O1068" s="142">
        <v>0</v>
      </c>
      <c r="P1068" s="142">
        <v>0</v>
      </c>
      <c r="Q1068" s="142">
        <v>0</v>
      </c>
      <c r="R1068" s="142">
        <v>0</v>
      </c>
      <c r="S1068" s="116">
        <v>0</v>
      </c>
      <c r="T1068" s="116">
        <v>0</v>
      </c>
      <c r="U1068" s="33" t="s">
        <v>226</v>
      </c>
      <c r="V1068" s="33">
        <v>2015</v>
      </c>
      <c r="W1068" s="33">
        <v>1</v>
      </c>
      <c r="X1068" s="33">
        <v>0</v>
      </c>
      <c r="Y1068" s="33">
        <v>-1.21E-2</v>
      </c>
      <c r="Z1068" s="33">
        <v>-0.1207</v>
      </c>
      <c r="AA1068" s="33">
        <v>0</v>
      </c>
      <c r="AB1068" s="33">
        <v>0</v>
      </c>
      <c r="AC1068" s="33" t="s">
        <v>403</v>
      </c>
      <c r="AD1068" s="158"/>
    </row>
    <row r="1069" spans="1:30" customFormat="1" hidden="1" x14ac:dyDescent="0.2">
      <c r="A1069" s="153">
        <f t="shared" si="16"/>
        <v>1045</v>
      </c>
      <c r="B1069" s="33">
        <v>8</v>
      </c>
      <c r="C1069" s="33">
        <v>1</v>
      </c>
      <c r="D1069" s="33">
        <v>7</v>
      </c>
      <c r="E1069" s="104">
        <v>2016</v>
      </c>
      <c r="F1069" s="33">
        <v>2050</v>
      </c>
      <c r="G1069" s="33">
        <v>9</v>
      </c>
      <c r="H1069" s="33">
        <v>0</v>
      </c>
      <c r="I1069" s="33">
        <v>0</v>
      </c>
      <c r="J1069" s="33">
        <v>0</v>
      </c>
      <c r="K1069" s="33">
        <v>0</v>
      </c>
      <c r="L1069" s="108">
        <v>634.70339999999999</v>
      </c>
      <c r="M1069" s="108">
        <v>1550</v>
      </c>
      <c r="N1069" s="108">
        <v>1550</v>
      </c>
      <c r="O1069" s="142">
        <v>0</v>
      </c>
      <c r="P1069" s="142">
        <v>0</v>
      </c>
      <c r="Q1069" s="142">
        <v>0</v>
      </c>
      <c r="R1069" s="142">
        <v>0</v>
      </c>
      <c r="S1069" s="116">
        <v>0</v>
      </c>
      <c r="T1069" s="116">
        <v>0</v>
      </c>
      <c r="U1069" s="33" t="s">
        <v>226</v>
      </c>
      <c r="V1069" s="33">
        <v>2015</v>
      </c>
      <c r="W1069" s="33">
        <v>1</v>
      </c>
      <c r="X1069" s="33">
        <v>0</v>
      </c>
      <c r="Y1069" s="33">
        <v>-1.21E-2</v>
      </c>
      <c r="Z1069" s="33">
        <v>-0.1207</v>
      </c>
      <c r="AA1069" s="33">
        <v>0</v>
      </c>
      <c r="AB1069" s="33">
        <v>0</v>
      </c>
      <c r="AC1069" s="33" t="s">
        <v>403</v>
      </c>
      <c r="AD1069" s="158"/>
    </row>
    <row r="1070" spans="1:30" customFormat="1" hidden="1" x14ac:dyDescent="0.2">
      <c r="A1070" s="153">
        <f t="shared" si="16"/>
        <v>1046</v>
      </c>
      <c r="B1070" s="33">
        <v>8</v>
      </c>
      <c r="C1070" s="33">
        <v>1</v>
      </c>
      <c r="D1070" s="33">
        <v>8</v>
      </c>
      <c r="E1070" s="104">
        <v>2016</v>
      </c>
      <c r="F1070" s="33">
        <v>2050</v>
      </c>
      <c r="G1070" s="33">
        <v>1</v>
      </c>
      <c r="H1070" s="33">
        <v>0</v>
      </c>
      <c r="I1070" s="33">
        <v>0</v>
      </c>
      <c r="J1070" s="33">
        <v>0</v>
      </c>
      <c r="K1070" s="33">
        <v>0</v>
      </c>
      <c r="L1070" s="108">
        <v>509</v>
      </c>
      <c r="M1070" s="108">
        <v>1980</v>
      </c>
      <c r="N1070" s="108">
        <v>1980</v>
      </c>
      <c r="O1070" s="142">
        <v>0</v>
      </c>
      <c r="P1070" s="142">
        <v>0</v>
      </c>
      <c r="Q1070" s="142">
        <v>0</v>
      </c>
      <c r="R1070" s="142">
        <v>0</v>
      </c>
      <c r="S1070" s="116">
        <v>0</v>
      </c>
      <c r="T1070" s="116">
        <v>0</v>
      </c>
      <c r="U1070" s="33" t="s">
        <v>226</v>
      </c>
      <c r="V1070" s="33">
        <v>2015</v>
      </c>
      <c r="W1070" s="33">
        <v>1</v>
      </c>
      <c r="X1070" s="33">
        <v>0</v>
      </c>
      <c r="Y1070" s="33">
        <v>-1.21E-2</v>
      </c>
      <c r="Z1070" s="33">
        <v>-0.1207</v>
      </c>
      <c r="AA1070" s="33">
        <v>0</v>
      </c>
      <c r="AB1070" s="33">
        <v>0</v>
      </c>
      <c r="AC1070" s="33" t="s">
        <v>404</v>
      </c>
      <c r="AD1070" s="158"/>
    </row>
    <row r="1071" spans="1:30" customFormat="1" hidden="1" x14ac:dyDescent="0.2">
      <c r="A1071" s="153">
        <f t="shared" si="16"/>
        <v>1047</v>
      </c>
      <c r="B1071" s="33">
        <v>8</v>
      </c>
      <c r="C1071" s="33">
        <v>1</v>
      </c>
      <c r="D1071" s="33">
        <v>8</v>
      </c>
      <c r="E1071" s="104">
        <v>2016</v>
      </c>
      <c r="F1071" s="33">
        <v>2050</v>
      </c>
      <c r="G1071" s="33">
        <v>2</v>
      </c>
      <c r="H1071" s="33">
        <v>0</v>
      </c>
      <c r="I1071" s="33">
        <v>0</v>
      </c>
      <c r="J1071" s="33">
        <v>0</v>
      </c>
      <c r="K1071" s="33">
        <v>0</v>
      </c>
      <c r="L1071" s="108">
        <v>509</v>
      </c>
      <c r="M1071" s="108">
        <v>1980</v>
      </c>
      <c r="N1071" s="108">
        <v>1980</v>
      </c>
      <c r="O1071" s="142">
        <v>0</v>
      </c>
      <c r="P1071" s="142">
        <v>0</v>
      </c>
      <c r="Q1071" s="142">
        <v>0</v>
      </c>
      <c r="R1071" s="142">
        <v>0</v>
      </c>
      <c r="S1071" s="116">
        <v>0</v>
      </c>
      <c r="T1071" s="116">
        <v>0</v>
      </c>
      <c r="U1071" s="33" t="s">
        <v>226</v>
      </c>
      <c r="V1071" s="33">
        <v>2015</v>
      </c>
      <c r="W1071" s="33">
        <v>1</v>
      </c>
      <c r="X1071" s="33">
        <v>0</v>
      </c>
      <c r="Y1071" s="33">
        <v>-1.21E-2</v>
      </c>
      <c r="Z1071" s="33">
        <v>-0.1207</v>
      </c>
      <c r="AA1071" s="33">
        <v>0</v>
      </c>
      <c r="AB1071" s="33">
        <v>0</v>
      </c>
      <c r="AC1071" s="33" t="s">
        <v>404</v>
      </c>
      <c r="AD1071" s="158"/>
    </row>
    <row r="1072" spans="1:30" customFormat="1" x14ac:dyDescent="0.2">
      <c r="A1072" s="153">
        <f t="shared" si="16"/>
        <v>1048</v>
      </c>
      <c r="B1072" s="33">
        <v>8</v>
      </c>
      <c r="C1072" s="33">
        <v>1</v>
      </c>
      <c r="D1072" s="33">
        <v>8</v>
      </c>
      <c r="E1072" s="104">
        <v>2016</v>
      </c>
      <c r="F1072" s="33">
        <v>2050</v>
      </c>
      <c r="G1072" s="33">
        <v>3</v>
      </c>
      <c r="H1072" s="33">
        <v>0</v>
      </c>
      <c r="I1072" s="33">
        <v>0</v>
      </c>
      <c r="J1072" s="33">
        <v>0</v>
      </c>
      <c r="K1072" s="33">
        <v>0</v>
      </c>
      <c r="L1072" s="108">
        <v>509</v>
      </c>
      <c r="M1072" s="108">
        <v>1980</v>
      </c>
      <c r="N1072" s="108">
        <v>1980</v>
      </c>
      <c r="O1072" s="142">
        <v>0</v>
      </c>
      <c r="P1072" s="142">
        <v>0</v>
      </c>
      <c r="Q1072" s="142">
        <v>0</v>
      </c>
      <c r="R1072" s="142">
        <v>0</v>
      </c>
      <c r="S1072" s="116">
        <v>0</v>
      </c>
      <c r="T1072" s="116">
        <v>0</v>
      </c>
      <c r="U1072" s="33" t="s">
        <v>226</v>
      </c>
      <c r="V1072" s="33">
        <v>2015</v>
      </c>
      <c r="W1072" s="33">
        <v>1</v>
      </c>
      <c r="X1072" s="33">
        <v>0</v>
      </c>
      <c r="Y1072" s="33">
        <v>-1.21E-2</v>
      </c>
      <c r="Z1072" s="33">
        <v>-0.1207</v>
      </c>
      <c r="AA1072" s="33">
        <v>0</v>
      </c>
      <c r="AB1072" s="33">
        <v>0</v>
      </c>
      <c r="AC1072" s="33" t="s">
        <v>404</v>
      </c>
      <c r="AD1072" s="158"/>
    </row>
    <row r="1073" spans="1:30" customFormat="1" hidden="1" x14ac:dyDescent="0.2">
      <c r="A1073" s="153">
        <f t="shared" si="16"/>
        <v>1049</v>
      </c>
      <c r="B1073" s="33">
        <v>8</v>
      </c>
      <c r="C1073" s="33">
        <v>1</v>
      </c>
      <c r="D1073" s="33">
        <v>8</v>
      </c>
      <c r="E1073" s="104">
        <v>2016</v>
      </c>
      <c r="F1073" s="33">
        <v>2050</v>
      </c>
      <c r="G1073" s="33">
        <v>4</v>
      </c>
      <c r="H1073" s="33">
        <v>0</v>
      </c>
      <c r="I1073" s="33">
        <v>0</v>
      </c>
      <c r="J1073" s="33">
        <v>0</v>
      </c>
      <c r="K1073" s="33">
        <v>0</v>
      </c>
      <c r="L1073" s="108">
        <v>509</v>
      </c>
      <c r="M1073" s="108">
        <v>1980</v>
      </c>
      <c r="N1073" s="108">
        <v>1980</v>
      </c>
      <c r="O1073" s="142">
        <v>0</v>
      </c>
      <c r="P1073" s="142">
        <v>0</v>
      </c>
      <c r="Q1073" s="142">
        <v>0</v>
      </c>
      <c r="R1073" s="142">
        <v>0</v>
      </c>
      <c r="S1073" s="116">
        <v>0</v>
      </c>
      <c r="T1073" s="116">
        <v>0</v>
      </c>
      <c r="U1073" s="33" t="s">
        <v>226</v>
      </c>
      <c r="V1073" s="33">
        <v>2015</v>
      </c>
      <c r="W1073" s="33">
        <v>1</v>
      </c>
      <c r="X1073" s="33">
        <v>0</v>
      </c>
      <c r="Y1073" s="33">
        <v>-1.21E-2</v>
      </c>
      <c r="Z1073" s="33">
        <v>-0.1207</v>
      </c>
      <c r="AA1073" s="33">
        <v>0</v>
      </c>
      <c r="AB1073" s="33">
        <v>0</v>
      </c>
      <c r="AC1073" s="33" t="s">
        <v>404</v>
      </c>
      <c r="AD1073" s="158"/>
    </row>
    <row r="1074" spans="1:30" customFormat="1" hidden="1" x14ac:dyDescent="0.2">
      <c r="A1074" s="153">
        <f t="shared" si="16"/>
        <v>1050</v>
      </c>
      <c r="B1074" s="33">
        <v>8</v>
      </c>
      <c r="C1074" s="33">
        <v>1</v>
      </c>
      <c r="D1074" s="33">
        <v>8</v>
      </c>
      <c r="E1074" s="104">
        <v>2016</v>
      </c>
      <c r="F1074" s="33">
        <v>2050</v>
      </c>
      <c r="G1074" s="33">
        <v>5</v>
      </c>
      <c r="H1074" s="33">
        <v>0</v>
      </c>
      <c r="I1074" s="33">
        <v>0</v>
      </c>
      <c r="J1074" s="33">
        <v>0</v>
      </c>
      <c r="K1074" s="33">
        <v>0</v>
      </c>
      <c r="L1074" s="108">
        <v>509</v>
      </c>
      <c r="M1074" s="108">
        <v>1980</v>
      </c>
      <c r="N1074" s="108">
        <v>1980</v>
      </c>
      <c r="O1074" s="142">
        <v>0</v>
      </c>
      <c r="P1074" s="142">
        <v>0</v>
      </c>
      <c r="Q1074" s="142">
        <v>0</v>
      </c>
      <c r="R1074" s="142">
        <v>0</v>
      </c>
      <c r="S1074" s="116">
        <v>0</v>
      </c>
      <c r="T1074" s="116">
        <v>0</v>
      </c>
      <c r="U1074" s="33" t="s">
        <v>226</v>
      </c>
      <c r="V1074" s="33">
        <v>2015</v>
      </c>
      <c r="W1074" s="33">
        <v>1</v>
      </c>
      <c r="X1074" s="33">
        <v>0</v>
      </c>
      <c r="Y1074" s="33">
        <v>-1.21E-2</v>
      </c>
      <c r="Z1074" s="33">
        <v>-0.1207</v>
      </c>
      <c r="AA1074" s="33">
        <v>0</v>
      </c>
      <c r="AB1074" s="33">
        <v>0</v>
      </c>
      <c r="AC1074" s="33" t="s">
        <v>404</v>
      </c>
      <c r="AD1074" s="158"/>
    </row>
    <row r="1075" spans="1:30" customFormat="1" hidden="1" x14ac:dyDescent="0.2">
      <c r="A1075" s="153">
        <f t="shared" si="16"/>
        <v>1051</v>
      </c>
      <c r="B1075" s="33">
        <v>8</v>
      </c>
      <c r="C1075" s="33">
        <v>1</v>
      </c>
      <c r="D1075" s="33">
        <v>8</v>
      </c>
      <c r="E1075" s="104">
        <v>2016</v>
      </c>
      <c r="F1075" s="33">
        <v>2050</v>
      </c>
      <c r="G1075" s="33">
        <v>6</v>
      </c>
      <c r="H1075" s="33">
        <v>0</v>
      </c>
      <c r="I1075" s="33">
        <v>0</v>
      </c>
      <c r="J1075" s="33">
        <v>0</v>
      </c>
      <c r="K1075" s="33">
        <v>0</v>
      </c>
      <c r="L1075" s="108">
        <v>509</v>
      </c>
      <c r="M1075" s="108">
        <v>1980</v>
      </c>
      <c r="N1075" s="108">
        <v>1980</v>
      </c>
      <c r="O1075" s="142">
        <v>0</v>
      </c>
      <c r="P1075" s="142">
        <v>0</v>
      </c>
      <c r="Q1075" s="142">
        <v>0</v>
      </c>
      <c r="R1075" s="142">
        <v>0</v>
      </c>
      <c r="S1075" s="116">
        <v>0</v>
      </c>
      <c r="T1075" s="116">
        <v>0</v>
      </c>
      <c r="U1075" s="33" t="s">
        <v>226</v>
      </c>
      <c r="V1075" s="33">
        <v>2015</v>
      </c>
      <c r="W1075" s="33">
        <v>1</v>
      </c>
      <c r="X1075" s="33">
        <v>0</v>
      </c>
      <c r="Y1075" s="33">
        <v>-1.21E-2</v>
      </c>
      <c r="Z1075" s="33">
        <v>-0.1207</v>
      </c>
      <c r="AA1075" s="33">
        <v>0</v>
      </c>
      <c r="AB1075" s="33">
        <v>0</v>
      </c>
      <c r="AC1075" s="33" t="s">
        <v>404</v>
      </c>
      <c r="AD1075" s="158"/>
    </row>
    <row r="1076" spans="1:30" customFormat="1" hidden="1" x14ac:dyDescent="0.2">
      <c r="A1076" s="153">
        <f t="shared" si="16"/>
        <v>1052</v>
      </c>
      <c r="B1076" s="33">
        <v>8</v>
      </c>
      <c r="C1076" s="33">
        <v>1</v>
      </c>
      <c r="D1076" s="33">
        <v>8</v>
      </c>
      <c r="E1076" s="104">
        <v>2016</v>
      </c>
      <c r="F1076" s="33">
        <v>2050</v>
      </c>
      <c r="G1076" s="33">
        <v>7</v>
      </c>
      <c r="H1076" s="33">
        <v>0</v>
      </c>
      <c r="I1076" s="33">
        <v>0</v>
      </c>
      <c r="J1076" s="33">
        <v>0</v>
      </c>
      <c r="K1076" s="33">
        <v>0</v>
      </c>
      <c r="L1076" s="108">
        <v>509</v>
      </c>
      <c r="M1076" s="108">
        <v>1980</v>
      </c>
      <c r="N1076" s="108">
        <v>1980</v>
      </c>
      <c r="O1076" s="142">
        <v>0</v>
      </c>
      <c r="P1076" s="142">
        <v>0</v>
      </c>
      <c r="Q1076" s="142">
        <v>0</v>
      </c>
      <c r="R1076" s="142">
        <v>0</v>
      </c>
      <c r="S1076" s="116">
        <v>0</v>
      </c>
      <c r="T1076" s="116">
        <v>0</v>
      </c>
      <c r="U1076" s="33" t="s">
        <v>226</v>
      </c>
      <c r="V1076" s="33">
        <v>2015</v>
      </c>
      <c r="W1076" s="33">
        <v>1</v>
      </c>
      <c r="X1076" s="33">
        <v>0</v>
      </c>
      <c r="Y1076" s="33">
        <v>-1.21E-2</v>
      </c>
      <c r="Z1076" s="33">
        <v>-0.1207</v>
      </c>
      <c r="AA1076" s="33">
        <v>0</v>
      </c>
      <c r="AB1076" s="33">
        <v>0</v>
      </c>
      <c r="AC1076" s="33" t="s">
        <v>404</v>
      </c>
      <c r="AD1076" s="158"/>
    </row>
    <row r="1077" spans="1:30" customFormat="1" hidden="1" x14ac:dyDescent="0.2">
      <c r="A1077" s="153">
        <f t="shared" si="16"/>
        <v>1053</v>
      </c>
      <c r="B1077" s="33">
        <v>8</v>
      </c>
      <c r="C1077" s="33">
        <v>1</v>
      </c>
      <c r="D1077" s="33">
        <v>8</v>
      </c>
      <c r="E1077" s="104">
        <v>2016</v>
      </c>
      <c r="F1077" s="33">
        <v>2050</v>
      </c>
      <c r="G1077" s="33">
        <v>8</v>
      </c>
      <c r="H1077" s="33">
        <v>0</v>
      </c>
      <c r="I1077" s="33">
        <v>0</v>
      </c>
      <c r="J1077" s="33">
        <v>0</v>
      </c>
      <c r="K1077" s="33">
        <v>0</v>
      </c>
      <c r="L1077" s="108">
        <v>509</v>
      </c>
      <c r="M1077" s="108">
        <v>1980</v>
      </c>
      <c r="N1077" s="108">
        <v>1980</v>
      </c>
      <c r="O1077" s="142">
        <v>0</v>
      </c>
      <c r="P1077" s="142">
        <v>0</v>
      </c>
      <c r="Q1077" s="142">
        <v>0</v>
      </c>
      <c r="R1077" s="142">
        <v>0</v>
      </c>
      <c r="S1077" s="116">
        <v>0</v>
      </c>
      <c r="T1077" s="116">
        <v>0</v>
      </c>
      <c r="U1077" s="33" t="s">
        <v>226</v>
      </c>
      <c r="V1077" s="33">
        <v>2015</v>
      </c>
      <c r="W1077" s="33">
        <v>1</v>
      </c>
      <c r="X1077" s="33">
        <v>0</v>
      </c>
      <c r="Y1077" s="33">
        <v>-1.21E-2</v>
      </c>
      <c r="Z1077" s="33">
        <v>-0.1207</v>
      </c>
      <c r="AA1077" s="33">
        <v>0</v>
      </c>
      <c r="AB1077" s="33">
        <v>0</v>
      </c>
      <c r="AC1077" s="33" t="s">
        <v>404</v>
      </c>
      <c r="AD1077" s="158"/>
    </row>
    <row r="1078" spans="1:30" customFormat="1" hidden="1" x14ac:dyDescent="0.2">
      <c r="A1078" s="153">
        <f t="shared" si="16"/>
        <v>1054</v>
      </c>
      <c r="B1078" s="33">
        <v>8</v>
      </c>
      <c r="C1078" s="33">
        <v>1</v>
      </c>
      <c r="D1078" s="33">
        <v>8</v>
      </c>
      <c r="E1078" s="104">
        <v>2016</v>
      </c>
      <c r="F1078" s="33">
        <v>2050</v>
      </c>
      <c r="G1078" s="33">
        <v>9</v>
      </c>
      <c r="H1078" s="33">
        <v>0</v>
      </c>
      <c r="I1078" s="33">
        <v>0</v>
      </c>
      <c r="J1078" s="33">
        <v>0</v>
      </c>
      <c r="K1078" s="33">
        <v>0</v>
      </c>
      <c r="L1078" s="108">
        <v>509</v>
      </c>
      <c r="M1078" s="108">
        <v>1980</v>
      </c>
      <c r="N1078" s="108">
        <v>1980</v>
      </c>
      <c r="O1078" s="142">
        <v>0</v>
      </c>
      <c r="P1078" s="142">
        <v>0</v>
      </c>
      <c r="Q1078" s="142">
        <v>0</v>
      </c>
      <c r="R1078" s="142">
        <v>0</v>
      </c>
      <c r="S1078" s="116">
        <v>0</v>
      </c>
      <c r="T1078" s="116">
        <v>0</v>
      </c>
      <c r="U1078" s="33" t="s">
        <v>226</v>
      </c>
      <c r="V1078" s="33">
        <v>2015</v>
      </c>
      <c r="W1078" s="33">
        <v>1</v>
      </c>
      <c r="X1078" s="33">
        <v>0</v>
      </c>
      <c r="Y1078" s="33">
        <v>-1.21E-2</v>
      </c>
      <c r="Z1078" s="33">
        <v>-0.1207</v>
      </c>
      <c r="AA1078" s="33">
        <v>0</v>
      </c>
      <c r="AB1078" s="33">
        <v>0</v>
      </c>
      <c r="AC1078" s="33" t="s">
        <v>404</v>
      </c>
      <c r="AD1078" s="158"/>
    </row>
    <row r="1079" spans="1:30" customFormat="1" hidden="1" x14ac:dyDescent="0.2">
      <c r="A1079" s="153">
        <f t="shared" si="16"/>
        <v>1055</v>
      </c>
      <c r="B1079" s="33">
        <v>8</v>
      </c>
      <c r="C1079" s="33">
        <v>1</v>
      </c>
      <c r="D1079" s="33">
        <v>9</v>
      </c>
      <c r="E1079" s="104">
        <v>2016</v>
      </c>
      <c r="F1079" s="33">
        <v>2050</v>
      </c>
      <c r="G1079" s="33">
        <v>11</v>
      </c>
      <c r="H1079" s="33">
        <v>0</v>
      </c>
      <c r="I1079" s="33">
        <v>0</v>
      </c>
      <c r="J1079" s="33">
        <v>0</v>
      </c>
      <c r="K1079" s="33">
        <v>0</v>
      </c>
      <c r="L1079" s="108">
        <v>520.54999999999995</v>
      </c>
      <c r="M1079" s="108">
        <v>1030</v>
      </c>
      <c r="N1079" s="108">
        <v>1030</v>
      </c>
      <c r="O1079" s="142">
        <v>0</v>
      </c>
      <c r="P1079" s="142">
        <v>0</v>
      </c>
      <c r="Q1079" s="142">
        <v>0</v>
      </c>
      <c r="R1079" s="142">
        <v>0</v>
      </c>
      <c r="S1079" s="116">
        <v>0</v>
      </c>
      <c r="T1079" s="116">
        <v>0</v>
      </c>
      <c r="U1079" s="33" t="s">
        <v>226</v>
      </c>
      <c r="V1079" s="33">
        <v>2015</v>
      </c>
      <c r="W1079" s="33">
        <v>1</v>
      </c>
      <c r="X1079" s="33">
        <v>0</v>
      </c>
      <c r="Y1079" s="33">
        <v>-1.21E-2</v>
      </c>
      <c r="Z1079" s="33">
        <v>-0.1207</v>
      </c>
      <c r="AA1079" s="33">
        <v>0</v>
      </c>
      <c r="AB1079" s="33">
        <v>0</v>
      </c>
      <c r="AC1079" s="33" t="s">
        <v>405</v>
      </c>
      <c r="AD1079" s="158"/>
    </row>
    <row r="1080" spans="1:30" customFormat="1" hidden="1" x14ac:dyDescent="0.2">
      <c r="A1080" s="153">
        <f t="shared" si="16"/>
        <v>1056</v>
      </c>
      <c r="B1080" s="33">
        <v>8</v>
      </c>
      <c r="C1080" s="33">
        <v>1</v>
      </c>
      <c r="D1080" s="33">
        <v>10</v>
      </c>
      <c r="E1080" s="104">
        <v>2016</v>
      </c>
      <c r="F1080" s="33">
        <v>2050</v>
      </c>
      <c r="G1080" s="33">
        <v>11</v>
      </c>
      <c r="H1080" s="33">
        <v>0</v>
      </c>
      <c r="I1080" s="33">
        <v>0</v>
      </c>
      <c r="J1080" s="33">
        <v>0</v>
      </c>
      <c r="K1080" s="33">
        <v>0</v>
      </c>
      <c r="L1080" s="108">
        <v>480</v>
      </c>
      <c r="M1080" s="108">
        <v>1120</v>
      </c>
      <c r="N1080" s="108">
        <v>1120</v>
      </c>
      <c r="O1080" s="142">
        <v>0</v>
      </c>
      <c r="P1080" s="142">
        <v>0</v>
      </c>
      <c r="Q1080" s="142">
        <v>0</v>
      </c>
      <c r="R1080" s="142">
        <v>0</v>
      </c>
      <c r="S1080" s="116">
        <v>0</v>
      </c>
      <c r="T1080" s="116">
        <v>0</v>
      </c>
      <c r="U1080" s="33" t="s">
        <v>226</v>
      </c>
      <c r="V1080" s="33">
        <v>2015</v>
      </c>
      <c r="W1080" s="33">
        <v>1</v>
      </c>
      <c r="X1080" s="33">
        <v>0</v>
      </c>
      <c r="Y1080" s="33">
        <v>-1.21E-2</v>
      </c>
      <c r="Z1080" s="33">
        <v>-0.1207</v>
      </c>
      <c r="AA1080" s="33">
        <v>0</v>
      </c>
      <c r="AB1080" s="33">
        <v>0</v>
      </c>
      <c r="AC1080" s="33" t="s">
        <v>406</v>
      </c>
      <c r="AD1080" s="158"/>
    </row>
    <row r="1081" spans="1:30" customFormat="1" hidden="1" x14ac:dyDescent="0.2">
      <c r="A1081" s="153">
        <f t="shared" si="16"/>
        <v>1057</v>
      </c>
      <c r="B1081" s="33">
        <v>8</v>
      </c>
      <c r="C1081" s="33">
        <v>1</v>
      </c>
      <c r="D1081" s="33">
        <v>11</v>
      </c>
      <c r="E1081" s="104">
        <v>2016</v>
      </c>
      <c r="F1081" s="33">
        <v>2050</v>
      </c>
      <c r="G1081" s="33">
        <v>1</v>
      </c>
      <c r="H1081" s="33">
        <v>0</v>
      </c>
      <c r="I1081" s="33">
        <v>0</v>
      </c>
      <c r="J1081" s="33">
        <v>0</v>
      </c>
      <c r="K1081" s="33">
        <v>0</v>
      </c>
      <c r="L1081" s="108">
        <v>469</v>
      </c>
      <c r="M1081" s="108">
        <v>1160</v>
      </c>
      <c r="N1081" s="108">
        <v>1160</v>
      </c>
      <c r="O1081" s="142">
        <v>0</v>
      </c>
      <c r="P1081" s="142">
        <v>0</v>
      </c>
      <c r="Q1081" s="142">
        <v>0</v>
      </c>
      <c r="R1081" s="142">
        <v>0</v>
      </c>
      <c r="S1081" s="116">
        <v>0</v>
      </c>
      <c r="T1081" s="116">
        <v>0</v>
      </c>
      <c r="U1081" s="33" t="s">
        <v>226</v>
      </c>
      <c r="V1081" s="33">
        <v>2015</v>
      </c>
      <c r="W1081" s="33">
        <v>1</v>
      </c>
      <c r="X1081" s="33">
        <v>0</v>
      </c>
      <c r="Y1081" s="33">
        <v>-1.21E-2</v>
      </c>
      <c r="Z1081" s="33">
        <v>-0.1207</v>
      </c>
      <c r="AA1081" s="33">
        <v>0</v>
      </c>
      <c r="AB1081" s="33">
        <v>0</v>
      </c>
      <c r="AC1081" s="33" t="s">
        <v>407</v>
      </c>
      <c r="AD1081" s="158"/>
    </row>
    <row r="1082" spans="1:30" customFormat="1" hidden="1" x14ac:dyDescent="0.2">
      <c r="A1082" s="153">
        <f t="shared" si="16"/>
        <v>1058</v>
      </c>
      <c r="B1082" s="33">
        <v>8</v>
      </c>
      <c r="C1082" s="33">
        <v>1</v>
      </c>
      <c r="D1082" s="33">
        <v>11</v>
      </c>
      <c r="E1082" s="104">
        <v>2016</v>
      </c>
      <c r="F1082" s="33">
        <v>2050</v>
      </c>
      <c r="G1082" s="33">
        <v>2</v>
      </c>
      <c r="H1082" s="33">
        <v>0</v>
      </c>
      <c r="I1082" s="33">
        <v>0</v>
      </c>
      <c r="J1082" s="33">
        <v>0</v>
      </c>
      <c r="K1082" s="33">
        <v>0</v>
      </c>
      <c r="L1082" s="108">
        <v>469</v>
      </c>
      <c r="M1082" s="108">
        <v>1160</v>
      </c>
      <c r="N1082" s="108">
        <v>1160</v>
      </c>
      <c r="O1082" s="142">
        <v>0</v>
      </c>
      <c r="P1082" s="142">
        <v>0</v>
      </c>
      <c r="Q1082" s="142">
        <v>0</v>
      </c>
      <c r="R1082" s="142">
        <v>0</v>
      </c>
      <c r="S1082" s="116">
        <v>0</v>
      </c>
      <c r="T1082" s="116">
        <v>0</v>
      </c>
      <c r="U1082" s="33" t="s">
        <v>226</v>
      </c>
      <c r="V1082" s="33">
        <v>2015</v>
      </c>
      <c r="W1082" s="33">
        <v>1</v>
      </c>
      <c r="X1082" s="33">
        <v>0</v>
      </c>
      <c r="Y1082" s="33">
        <v>-1.21E-2</v>
      </c>
      <c r="Z1082" s="33">
        <v>-0.1207</v>
      </c>
      <c r="AA1082" s="33">
        <v>0</v>
      </c>
      <c r="AB1082" s="33">
        <v>0</v>
      </c>
      <c r="AC1082" s="33" t="s">
        <v>407</v>
      </c>
      <c r="AD1082" s="158"/>
    </row>
    <row r="1083" spans="1:30" customFormat="1" x14ac:dyDescent="0.2">
      <c r="A1083" s="153">
        <f t="shared" si="16"/>
        <v>1059</v>
      </c>
      <c r="B1083" s="33">
        <v>8</v>
      </c>
      <c r="C1083" s="33">
        <v>1</v>
      </c>
      <c r="D1083" s="33">
        <v>11</v>
      </c>
      <c r="E1083" s="104">
        <v>2016</v>
      </c>
      <c r="F1083" s="33">
        <v>2050</v>
      </c>
      <c r="G1083" s="33">
        <v>3</v>
      </c>
      <c r="H1083" s="33">
        <v>0</v>
      </c>
      <c r="I1083" s="33">
        <v>0</v>
      </c>
      <c r="J1083" s="33">
        <v>0</v>
      </c>
      <c r="K1083" s="33">
        <v>0</v>
      </c>
      <c r="L1083" s="108">
        <v>469</v>
      </c>
      <c r="M1083" s="108">
        <v>1160</v>
      </c>
      <c r="N1083" s="108">
        <v>1160</v>
      </c>
      <c r="O1083" s="142">
        <v>0</v>
      </c>
      <c r="P1083" s="142">
        <v>0</v>
      </c>
      <c r="Q1083" s="142">
        <v>0</v>
      </c>
      <c r="R1083" s="142">
        <v>0</v>
      </c>
      <c r="S1083" s="116">
        <v>0</v>
      </c>
      <c r="T1083" s="116">
        <v>0</v>
      </c>
      <c r="U1083" s="33" t="s">
        <v>226</v>
      </c>
      <c r="V1083" s="33">
        <v>2015</v>
      </c>
      <c r="W1083" s="33">
        <v>1</v>
      </c>
      <c r="X1083" s="33">
        <v>0</v>
      </c>
      <c r="Y1083" s="33">
        <v>-1.21E-2</v>
      </c>
      <c r="Z1083" s="33">
        <v>-0.1207</v>
      </c>
      <c r="AA1083" s="33">
        <v>0</v>
      </c>
      <c r="AB1083" s="33">
        <v>0</v>
      </c>
      <c r="AC1083" s="33" t="s">
        <v>407</v>
      </c>
      <c r="AD1083" s="158"/>
    </row>
    <row r="1084" spans="1:30" customFormat="1" hidden="1" x14ac:dyDescent="0.2">
      <c r="A1084" s="153">
        <f t="shared" si="16"/>
        <v>1060</v>
      </c>
      <c r="B1084" s="33">
        <v>8</v>
      </c>
      <c r="C1084" s="33">
        <v>1</v>
      </c>
      <c r="D1084" s="33">
        <v>11</v>
      </c>
      <c r="E1084" s="104">
        <v>2016</v>
      </c>
      <c r="F1084" s="33">
        <v>2050</v>
      </c>
      <c r="G1084" s="33">
        <v>4</v>
      </c>
      <c r="H1084" s="33">
        <v>0</v>
      </c>
      <c r="I1084" s="33">
        <v>0</v>
      </c>
      <c r="J1084" s="33">
        <v>0</v>
      </c>
      <c r="K1084" s="33">
        <v>0</v>
      </c>
      <c r="L1084" s="108">
        <v>469</v>
      </c>
      <c r="M1084" s="108">
        <v>1160</v>
      </c>
      <c r="N1084" s="108">
        <v>1160</v>
      </c>
      <c r="O1084" s="142">
        <v>0</v>
      </c>
      <c r="P1084" s="142">
        <v>0</v>
      </c>
      <c r="Q1084" s="142">
        <v>0</v>
      </c>
      <c r="R1084" s="142">
        <v>0</v>
      </c>
      <c r="S1084" s="116">
        <v>0</v>
      </c>
      <c r="T1084" s="116">
        <v>0</v>
      </c>
      <c r="U1084" s="33" t="s">
        <v>226</v>
      </c>
      <c r="V1084" s="33">
        <v>2015</v>
      </c>
      <c r="W1084" s="33">
        <v>1</v>
      </c>
      <c r="X1084" s="33">
        <v>0</v>
      </c>
      <c r="Y1084" s="33">
        <v>-1.21E-2</v>
      </c>
      <c r="Z1084" s="33">
        <v>-0.1207</v>
      </c>
      <c r="AA1084" s="33">
        <v>0</v>
      </c>
      <c r="AB1084" s="33">
        <v>0</v>
      </c>
      <c r="AC1084" s="33" t="s">
        <v>407</v>
      </c>
      <c r="AD1084" s="158"/>
    </row>
    <row r="1085" spans="1:30" customFormat="1" hidden="1" x14ac:dyDescent="0.2">
      <c r="A1085" s="153">
        <f t="shared" si="16"/>
        <v>1061</v>
      </c>
      <c r="B1085" s="33">
        <v>8</v>
      </c>
      <c r="C1085" s="33">
        <v>1</v>
      </c>
      <c r="D1085" s="33">
        <v>11</v>
      </c>
      <c r="E1085" s="104">
        <v>2016</v>
      </c>
      <c r="F1085" s="33">
        <v>2050</v>
      </c>
      <c r="G1085" s="33">
        <v>5</v>
      </c>
      <c r="H1085" s="33">
        <v>0</v>
      </c>
      <c r="I1085" s="33">
        <v>0</v>
      </c>
      <c r="J1085" s="33">
        <v>0</v>
      </c>
      <c r="K1085" s="33">
        <v>0</v>
      </c>
      <c r="L1085" s="108">
        <v>469</v>
      </c>
      <c r="M1085" s="108">
        <v>1160</v>
      </c>
      <c r="N1085" s="108">
        <v>1160</v>
      </c>
      <c r="O1085" s="142">
        <v>0</v>
      </c>
      <c r="P1085" s="142">
        <v>0</v>
      </c>
      <c r="Q1085" s="142">
        <v>0</v>
      </c>
      <c r="R1085" s="142">
        <v>0</v>
      </c>
      <c r="S1085" s="116">
        <v>0</v>
      </c>
      <c r="T1085" s="116">
        <v>0</v>
      </c>
      <c r="U1085" s="33" t="s">
        <v>226</v>
      </c>
      <c r="V1085" s="33">
        <v>2015</v>
      </c>
      <c r="W1085" s="33">
        <v>1</v>
      </c>
      <c r="X1085" s="33">
        <v>0</v>
      </c>
      <c r="Y1085" s="33">
        <v>-1.21E-2</v>
      </c>
      <c r="Z1085" s="33">
        <v>-0.1207</v>
      </c>
      <c r="AA1085" s="33">
        <v>0</v>
      </c>
      <c r="AB1085" s="33">
        <v>0</v>
      </c>
      <c r="AC1085" s="33" t="s">
        <v>407</v>
      </c>
      <c r="AD1085" s="158"/>
    </row>
    <row r="1086" spans="1:30" customFormat="1" hidden="1" x14ac:dyDescent="0.2">
      <c r="A1086" s="153">
        <f t="shared" si="16"/>
        <v>1062</v>
      </c>
      <c r="B1086" s="33">
        <v>8</v>
      </c>
      <c r="C1086" s="33">
        <v>1</v>
      </c>
      <c r="D1086" s="33">
        <v>11</v>
      </c>
      <c r="E1086" s="104">
        <v>2016</v>
      </c>
      <c r="F1086" s="33">
        <v>2050</v>
      </c>
      <c r="G1086" s="33">
        <v>6</v>
      </c>
      <c r="H1086" s="33">
        <v>0</v>
      </c>
      <c r="I1086" s="33">
        <v>0</v>
      </c>
      <c r="J1086" s="33">
        <v>0</v>
      </c>
      <c r="K1086" s="33">
        <v>0</v>
      </c>
      <c r="L1086" s="108">
        <v>469</v>
      </c>
      <c r="M1086" s="108">
        <v>1160</v>
      </c>
      <c r="N1086" s="108">
        <v>1160</v>
      </c>
      <c r="O1086" s="142">
        <v>0</v>
      </c>
      <c r="P1086" s="142">
        <v>0</v>
      </c>
      <c r="Q1086" s="142">
        <v>0</v>
      </c>
      <c r="R1086" s="142">
        <v>0</v>
      </c>
      <c r="S1086" s="116">
        <v>0</v>
      </c>
      <c r="T1086" s="116">
        <v>0</v>
      </c>
      <c r="U1086" s="33" t="s">
        <v>226</v>
      </c>
      <c r="V1086" s="33">
        <v>2015</v>
      </c>
      <c r="W1086" s="33">
        <v>1</v>
      </c>
      <c r="X1086" s="33">
        <v>0</v>
      </c>
      <c r="Y1086" s="33">
        <v>-1.21E-2</v>
      </c>
      <c r="Z1086" s="33">
        <v>-0.1207</v>
      </c>
      <c r="AA1086" s="33">
        <v>0</v>
      </c>
      <c r="AB1086" s="33">
        <v>0</v>
      </c>
      <c r="AC1086" s="33" t="s">
        <v>407</v>
      </c>
      <c r="AD1086" s="158"/>
    </row>
    <row r="1087" spans="1:30" customFormat="1" hidden="1" x14ac:dyDescent="0.2">
      <c r="A1087" s="153">
        <f t="shared" si="16"/>
        <v>1063</v>
      </c>
      <c r="B1087" s="33">
        <v>8</v>
      </c>
      <c r="C1087" s="33">
        <v>1</v>
      </c>
      <c r="D1087" s="33">
        <v>11</v>
      </c>
      <c r="E1087" s="104">
        <v>2016</v>
      </c>
      <c r="F1087" s="33">
        <v>2050</v>
      </c>
      <c r="G1087" s="33">
        <v>7</v>
      </c>
      <c r="H1087" s="33">
        <v>0</v>
      </c>
      <c r="I1087" s="33">
        <v>0</v>
      </c>
      <c r="J1087" s="33">
        <v>0</v>
      </c>
      <c r="K1087" s="33">
        <v>0</v>
      </c>
      <c r="L1087" s="108">
        <v>469</v>
      </c>
      <c r="M1087" s="108">
        <v>1160</v>
      </c>
      <c r="N1087" s="108">
        <v>1160</v>
      </c>
      <c r="O1087" s="142">
        <v>0</v>
      </c>
      <c r="P1087" s="142">
        <v>0</v>
      </c>
      <c r="Q1087" s="142">
        <v>0</v>
      </c>
      <c r="R1087" s="142">
        <v>0</v>
      </c>
      <c r="S1087" s="116">
        <v>0</v>
      </c>
      <c r="T1087" s="116">
        <v>0</v>
      </c>
      <c r="U1087" s="33" t="s">
        <v>226</v>
      </c>
      <c r="V1087" s="33">
        <v>2015</v>
      </c>
      <c r="W1087" s="33">
        <v>1</v>
      </c>
      <c r="X1087" s="33">
        <v>0</v>
      </c>
      <c r="Y1087" s="33">
        <v>-1.21E-2</v>
      </c>
      <c r="Z1087" s="33">
        <v>-0.1207</v>
      </c>
      <c r="AA1087" s="33">
        <v>0</v>
      </c>
      <c r="AB1087" s="33">
        <v>0</v>
      </c>
      <c r="AC1087" s="33" t="s">
        <v>407</v>
      </c>
      <c r="AD1087" s="158"/>
    </row>
    <row r="1088" spans="1:30" customFormat="1" hidden="1" x14ac:dyDescent="0.2">
      <c r="A1088" s="153">
        <f t="shared" si="16"/>
        <v>1064</v>
      </c>
      <c r="B1088" s="33">
        <v>8</v>
      </c>
      <c r="C1088" s="33">
        <v>1</v>
      </c>
      <c r="D1088" s="33">
        <v>11</v>
      </c>
      <c r="E1088" s="104">
        <v>2016</v>
      </c>
      <c r="F1088" s="33">
        <v>2050</v>
      </c>
      <c r="G1088" s="33">
        <v>8</v>
      </c>
      <c r="H1088" s="33">
        <v>0</v>
      </c>
      <c r="I1088" s="33">
        <v>0</v>
      </c>
      <c r="J1088" s="33">
        <v>0</v>
      </c>
      <c r="K1088" s="33">
        <v>0</v>
      </c>
      <c r="L1088" s="108">
        <v>469</v>
      </c>
      <c r="M1088" s="108">
        <v>1160</v>
      </c>
      <c r="N1088" s="108">
        <v>1160</v>
      </c>
      <c r="O1088" s="142">
        <v>0</v>
      </c>
      <c r="P1088" s="142">
        <v>0</v>
      </c>
      <c r="Q1088" s="142">
        <v>0</v>
      </c>
      <c r="R1088" s="142">
        <v>0</v>
      </c>
      <c r="S1088" s="116">
        <v>0</v>
      </c>
      <c r="T1088" s="116">
        <v>0</v>
      </c>
      <c r="U1088" s="33" t="s">
        <v>226</v>
      </c>
      <c r="V1088" s="33">
        <v>2015</v>
      </c>
      <c r="W1088" s="33">
        <v>1</v>
      </c>
      <c r="X1088" s="33">
        <v>0</v>
      </c>
      <c r="Y1088" s="33">
        <v>-1.21E-2</v>
      </c>
      <c r="Z1088" s="33">
        <v>-0.1207</v>
      </c>
      <c r="AA1088" s="33">
        <v>0</v>
      </c>
      <c r="AB1088" s="33">
        <v>0</v>
      </c>
      <c r="AC1088" s="33" t="s">
        <v>407</v>
      </c>
      <c r="AD1088" s="158"/>
    </row>
    <row r="1089" spans="1:30" customFormat="1" hidden="1" x14ac:dyDescent="0.2">
      <c r="A1089" s="153">
        <f t="shared" si="16"/>
        <v>1065</v>
      </c>
      <c r="B1089" s="33">
        <v>8</v>
      </c>
      <c r="C1089" s="33">
        <v>1</v>
      </c>
      <c r="D1089" s="33">
        <v>11</v>
      </c>
      <c r="E1089" s="104">
        <v>2016</v>
      </c>
      <c r="F1089" s="33">
        <v>2050</v>
      </c>
      <c r="G1089" s="33">
        <v>9</v>
      </c>
      <c r="H1089" s="33">
        <v>0</v>
      </c>
      <c r="I1089" s="33">
        <v>0</v>
      </c>
      <c r="J1089" s="33">
        <v>0</v>
      </c>
      <c r="K1089" s="33">
        <v>0</v>
      </c>
      <c r="L1089" s="108">
        <v>469</v>
      </c>
      <c r="M1089" s="108">
        <v>1160</v>
      </c>
      <c r="N1089" s="108">
        <v>1160</v>
      </c>
      <c r="O1089" s="142">
        <v>0</v>
      </c>
      <c r="P1089" s="142">
        <v>0</v>
      </c>
      <c r="Q1089" s="142">
        <v>0</v>
      </c>
      <c r="R1089" s="142">
        <v>0</v>
      </c>
      <c r="S1089" s="116">
        <v>0</v>
      </c>
      <c r="T1089" s="116">
        <v>0</v>
      </c>
      <c r="U1089" s="33" t="s">
        <v>226</v>
      </c>
      <c r="V1089" s="33">
        <v>2015</v>
      </c>
      <c r="W1089" s="33">
        <v>1</v>
      </c>
      <c r="X1089" s="33">
        <v>0</v>
      </c>
      <c r="Y1089" s="33">
        <v>-1.21E-2</v>
      </c>
      <c r="Z1089" s="33">
        <v>-0.1207</v>
      </c>
      <c r="AA1089" s="33">
        <v>0</v>
      </c>
      <c r="AB1089" s="33">
        <v>0</v>
      </c>
      <c r="AC1089" s="33" t="s">
        <v>407</v>
      </c>
      <c r="AD1089" s="158"/>
    </row>
    <row r="1090" spans="1:30" customFormat="1" hidden="1" x14ac:dyDescent="0.2">
      <c r="A1090" s="153">
        <f t="shared" si="16"/>
        <v>1066</v>
      </c>
      <c r="B1090" s="33">
        <v>8</v>
      </c>
      <c r="C1090" s="33">
        <v>1</v>
      </c>
      <c r="D1090" s="33">
        <v>12</v>
      </c>
      <c r="E1090" s="104">
        <v>2016</v>
      </c>
      <c r="F1090" s="33">
        <v>2050</v>
      </c>
      <c r="G1090" s="33">
        <v>1</v>
      </c>
      <c r="H1090" s="33">
        <v>0</v>
      </c>
      <c r="I1090" s="33">
        <v>0</v>
      </c>
      <c r="J1090" s="33">
        <v>0</v>
      </c>
      <c r="K1090" s="33">
        <v>0</v>
      </c>
      <c r="L1090" s="108">
        <v>469</v>
      </c>
      <c r="M1090" s="108">
        <v>1160</v>
      </c>
      <c r="N1090" s="108">
        <v>1160</v>
      </c>
      <c r="O1090" s="142">
        <v>0</v>
      </c>
      <c r="P1090" s="142">
        <v>0</v>
      </c>
      <c r="Q1090" s="142">
        <v>0</v>
      </c>
      <c r="R1090" s="142">
        <v>0</v>
      </c>
      <c r="S1090" s="116">
        <v>0</v>
      </c>
      <c r="T1090" s="116">
        <v>0</v>
      </c>
      <c r="U1090" s="33" t="s">
        <v>226</v>
      </c>
      <c r="V1090" s="33">
        <v>2015</v>
      </c>
      <c r="W1090" s="33">
        <v>1</v>
      </c>
      <c r="X1090" s="33">
        <v>0</v>
      </c>
      <c r="Y1090" s="33">
        <v>-1.21E-2</v>
      </c>
      <c r="Z1090" s="33">
        <v>-0.1207</v>
      </c>
      <c r="AA1090" s="33">
        <v>0</v>
      </c>
      <c r="AB1090" s="33">
        <v>0</v>
      </c>
      <c r="AC1090" s="33" t="s">
        <v>408</v>
      </c>
      <c r="AD1090" s="158"/>
    </row>
    <row r="1091" spans="1:30" customFormat="1" hidden="1" x14ac:dyDescent="0.2">
      <c r="A1091" s="153">
        <f t="shared" si="16"/>
        <v>1067</v>
      </c>
      <c r="B1091" s="33">
        <v>8</v>
      </c>
      <c r="C1091" s="33">
        <v>1</v>
      </c>
      <c r="D1091" s="33">
        <v>12</v>
      </c>
      <c r="E1091" s="104">
        <v>2016</v>
      </c>
      <c r="F1091" s="33">
        <v>2050</v>
      </c>
      <c r="G1091" s="33">
        <v>2</v>
      </c>
      <c r="H1091" s="33">
        <v>0</v>
      </c>
      <c r="I1091" s="33">
        <v>0</v>
      </c>
      <c r="J1091" s="33">
        <v>0</v>
      </c>
      <c r="K1091" s="33">
        <v>0</v>
      </c>
      <c r="L1091" s="108">
        <v>469</v>
      </c>
      <c r="M1091" s="108">
        <v>1160</v>
      </c>
      <c r="N1091" s="108">
        <v>1160</v>
      </c>
      <c r="O1091" s="142">
        <v>0</v>
      </c>
      <c r="P1091" s="142">
        <v>0</v>
      </c>
      <c r="Q1091" s="142">
        <v>0</v>
      </c>
      <c r="R1091" s="142">
        <v>0</v>
      </c>
      <c r="S1091" s="116">
        <v>0</v>
      </c>
      <c r="T1091" s="116">
        <v>0</v>
      </c>
      <c r="U1091" s="33" t="s">
        <v>226</v>
      </c>
      <c r="V1091" s="33">
        <v>2015</v>
      </c>
      <c r="W1091" s="33">
        <v>1</v>
      </c>
      <c r="X1091" s="33">
        <v>0</v>
      </c>
      <c r="Y1091" s="33">
        <v>-1.21E-2</v>
      </c>
      <c r="Z1091" s="33">
        <v>-0.1207</v>
      </c>
      <c r="AA1091" s="33">
        <v>0</v>
      </c>
      <c r="AB1091" s="33">
        <v>0</v>
      </c>
      <c r="AC1091" s="33" t="s">
        <v>408</v>
      </c>
      <c r="AD1091" s="158"/>
    </row>
    <row r="1092" spans="1:30" customFormat="1" x14ac:dyDescent="0.2">
      <c r="A1092" s="153">
        <f t="shared" si="16"/>
        <v>1068</v>
      </c>
      <c r="B1092" s="33">
        <v>8</v>
      </c>
      <c r="C1092" s="33">
        <v>1</v>
      </c>
      <c r="D1092" s="33">
        <v>12</v>
      </c>
      <c r="E1092" s="104">
        <v>2016</v>
      </c>
      <c r="F1092" s="33">
        <v>2050</v>
      </c>
      <c r="G1092" s="33">
        <v>3</v>
      </c>
      <c r="H1092" s="33">
        <v>0</v>
      </c>
      <c r="I1092" s="33">
        <v>0</v>
      </c>
      <c r="J1092" s="33">
        <v>0</v>
      </c>
      <c r="K1092" s="33">
        <v>0</v>
      </c>
      <c r="L1092" s="108">
        <v>469</v>
      </c>
      <c r="M1092" s="108">
        <v>1160</v>
      </c>
      <c r="N1092" s="108">
        <v>1160</v>
      </c>
      <c r="O1092" s="142">
        <v>0</v>
      </c>
      <c r="P1092" s="142">
        <v>0</v>
      </c>
      <c r="Q1092" s="142">
        <v>0</v>
      </c>
      <c r="R1092" s="142">
        <v>0</v>
      </c>
      <c r="S1092" s="116">
        <v>0</v>
      </c>
      <c r="T1092" s="116">
        <v>0</v>
      </c>
      <c r="U1092" s="33" t="s">
        <v>226</v>
      </c>
      <c r="V1092" s="33">
        <v>2015</v>
      </c>
      <c r="W1092" s="33">
        <v>1</v>
      </c>
      <c r="X1092" s="33">
        <v>0</v>
      </c>
      <c r="Y1092" s="33">
        <v>-1.21E-2</v>
      </c>
      <c r="Z1092" s="33">
        <v>-0.1207</v>
      </c>
      <c r="AA1092" s="33">
        <v>0</v>
      </c>
      <c r="AB1092" s="33">
        <v>0</v>
      </c>
      <c r="AC1092" s="33" t="s">
        <v>408</v>
      </c>
      <c r="AD1092" s="158"/>
    </row>
    <row r="1093" spans="1:30" customFormat="1" hidden="1" x14ac:dyDescent="0.2">
      <c r="A1093" s="153">
        <f t="shared" si="16"/>
        <v>1069</v>
      </c>
      <c r="B1093" s="33">
        <v>8</v>
      </c>
      <c r="C1093" s="33">
        <v>1</v>
      </c>
      <c r="D1093" s="33">
        <v>12</v>
      </c>
      <c r="E1093" s="104">
        <v>2016</v>
      </c>
      <c r="F1093" s="33">
        <v>2050</v>
      </c>
      <c r="G1093" s="33">
        <v>4</v>
      </c>
      <c r="H1093" s="33">
        <v>0</v>
      </c>
      <c r="I1093" s="33">
        <v>0</v>
      </c>
      <c r="J1093" s="33">
        <v>0</v>
      </c>
      <c r="K1093" s="33">
        <v>0</v>
      </c>
      <c r="L1093" s="108">
        <v>469</v>
      </c>
      <c r="M1093" s="108">
        <v>1160</v>
      </c>
      <c r="N1093" s="108">
        <v>1160</v>
      </c>
      <c r="O1093" s="142">
        <v>0</v>
      </c>
      <c r="P1093" s="142">
        <v>0</v>
      </c>
      <c r="Q1093" s="142">
        <v>0</v>
      </c>
      <c r="R1093" s="142">
        <v>0</v>
      </c>
      <c r="S1093" s="116">
        <v>0</v>
      </c>
      <c r="T1093" s="116">
        <v>0</v>
      </c>
      <c r="U1093" s="33" t="s">
        <v>226</v>
      </c>
      <c r="V1093" s="33">
        <v>2015</v>
      </c>
      <c r="W1093" s="33">
        <v>1</v>
      </c>
      <c r="X1093" s="33">
        <v>0</v>
      </c>
      <c r="Y1093" s="33">
        <v>-1.21E-2</v>
      </c>
      <c r="Z1093" s="33">
        <v>-0.1207</v>
      </c>
      <c r="AA1093" s="33">
        <v>0</v>
      </c>
      <c r="AB1093" s="33">
        <v>0</v>
      </c>
      <c r="AC1093" s="33" t="s">
        <v>408</v>
      </c>
      <c r="AD1093" s="158"/>
    </row>
    <row r="1094" spans="1:30" customFormat="1" hidden="1" x14ac:dyDescent="0.2">
      <c r="A1094" s="153">
        <f t="shared" si="16"/>
        <v>1070</v>
      </c>
      <c r="B1094" s="33">
        <v>8</v>
      </c>
      <c r="C1094" s="33">
        <v>1</v>
      </c>
      <c r="D1094" s="33">
        <v>12</v>
      </c>
      <c r="E1094" s="104">
        <v>2016</v>
      </c>
      <c r="F1094" s="33">
        <v>2050</v>
      </c>
      <c r="G1094" s="33">
        <v>5</v>
      </c>
      <c r="H1094" s="33">
        <v>0</v>
      </c>
      <c r="I1094" s="33">
        <v>0</v>
      </c>
      <c r="J1094" s="33">
        <v>0</v>
      </c>
      <c r="K1094" s="33">
        <v>0</v>
      </c>
      <c r="L1094" s="108">
        <v>469</v>
      </c>
      <c r="M1094" s="108">
        <v>1160</v>
      </c>
      <c r="N1094" s="108">
        <v>1160</v>
      </c>
      <c r="O1094" s="142">
        <v>0</v>
      </c>
      <c r="P1094" s="142">
        <v>0</v>
      </c>
      <c r="Q1094" s="142">
        <v>0</v>
      </c>
      <c r="R1094" s="142">
        <v>0</v>
      </c>
      <c r="S1094" s="116">
        <v>0</v>
      </c>
      <c r="T1094" s="116">
        <v>0</v>
      </c>
      <c r="U1094" s="33" t="s">
        <v>226</v>
      </c>
      <c r="V1094" s="33">
        <v>2015</v>
      </c>
      <c r="W1094" s="33">
        <v>1</v>
      </c>
      <c r="X1094" s="33">
        <v>0</v>
      </c>
      <c r="Y1094" s="33">
        <v>-1.21E-2</v>
      </c>
      <c r="Z1094" s="33">
        <v>-0.1207</v>
      </c>
      <c r="AA1094" s="33">
        <v>0</v>
      </c>
      <c r="AB1094" s="33">
        <v>0</v>
      </c>
      <c r="AC1094" s="33" t="s">
        <v>408</v>
      </c>
      <c r="AD1094" s="158"/>
    </row>
    <row r="1095" spans="1:30" customFormat="1" hidden="1" x14ac:dyDescent="0.2">
      <c r="A1095" s="153">
        <f t="shared" si="16"/>
        <v>1071</v>
      </c>
      <c r="B1095" s="33">
        <v>8</v>
      </c>
      <c r="C1095" s="33">
        <v>1</v>
      </c>
      <c r="D1095" s="33">
        <v>12</v>
      </c>
      <c r="E1095" s="104">
        <v>2016</v>
      </c>
      <c r="F1095" s="33">
        <v>2050</v>
      </c>
      <c r="G1095" s="33">
        <v>6</v>
      </c>
      <c r="H1095" s="33">
        <v>0</v>
      </c>
      <c r="I1095" s="33">
        <v>0</v>
      </c>
      <c r="J1095" s="33">
        <v>0</v>
      </c>
      <c r="K1095" s="33">
        <v>0</v>
      </c>
      <c r="L1095" s="108">
        <v>469</v>
      </c>
      <c r="M1095" s="108">
        <v>1160</v>
      </c>
      <c r="N1095" s="108">
        <v>1160</v>
      </c>
      <c r="O1095" s="142">
        <v>0</v>
      </c>
      <c r="P1095" s="142">
        <v>0</v>
      </c>
      <c r="Q1095" s="142">
        <v>0</v>
      </c>
      <c r="R1095" s="142">
        <v>0</v>
      </c>
      <c r="S1095" s="116">
        <v>0</v>
      </c>
      <c r="T1095" s="116">
        <v>0</v>
      </c>
      <c r="U1095" s="33" t="s">
        <v>226</v>
      </c>
      <c r="V1095" s="33">
        <v>2015</v>
      </c>
      <c r="W1095" s="33">
        <v>1</v>
      </c>
      <c r="X1095" s="33">
        <v>0</v>
      </c>
      <c r="Y1095" s="33">
        <v>-1.21E-2</v>
      </c>
      <c r="Z1095" s="33">
        <v>-0.1207</v>
      </c>
      <c r="AA1095" s="33">
        <v>0</v>
      </c>
      <c r="AB1095" s="33">
        <v>0</v>
      </c>
      <c r="AC1095" s="33" t="s">
        <v>408</v>
      </c>
      <c r="AD1095" s="158"/>
    </row>
    <row r="1096" spans="1:30" customFormat="1" hidden="1" x14ac:dyDescent="0.2">
      <c r="A1096" s="153">
        <f t="shared" si="16"/>
        <v>1072</v>
      </c>
      <c r="B1096" s="33">
        <v>8</v>
      </c>
      <c r="C1096" s="33">
        <v>1</v>
      </c>
      <c r="D1096" s="33">
        <v>12</v>
      </c>
      <c r="E1096" s="104">
        <v>2016</v>
      </c>
      <c r="F1096" s="33">
        <v>2050</v>
      </c>
      <c r="G1096" s="33">
        <v>7</v>
      </c>
      <c r="H1096" s="33">
        <v>0</v>
      </c>
      <c r="I1096" s="33">
        <v>0</v>
      </c>
      <c r="J1096" s="33">
        <v>0</v>
      </c>
      <c r="K1096" s="33">
        <v>0</v>
      </c>
      <c r="L1096" s="108">
        <v>469</v>
      </c>
      <c r="M1096" s="108">
        <v>1160</v>
      </c>
      <c r="N1096" s="108">
        <v>1160</v>
      </c>
      <c r="O1096" s="142">
        <v>0</v>
      </c>
      <c r="P1096" s="142">
        <v>0</v>
      </c>
      <c r="Q1096" s="142">
        <v>0</v>
      </c>
      <c r="R1096" s="142">
        <v>0</v>
      </c>
      <c r="S1096" s="116">
        <v>0</v>
      </c>
      <c r="T1096" s="116">
        <v>0</v>
      </c>
      <c r="U1096" s="33" t="s">
        <v>226</v>
      </c>
      <c r="V1096" s="33">
        <v>2015</v>
      </c>
      <c r="W1096" s="33">
        <v>1</v>
      </c>
      <c r="X1096" s="33">
        <v>0</v>
      </c>
      <c r="Y1096" s="33">
        <v>-1.21E-2</v>
      </c>
      <c r="Z1096" s="33">
        <v>-0.1207</v>
      </c>
      <c r="AA1096" s="33">
        <v>0</v>
      </c>
      <c r="AB1096" s="33">
        <v>0</v>
      </c>
      <c r="AC1096" s="33" t="s">
        <v>408</v>
      </c>
      <c r="AD1096" s="158"/>
    </row>
    <row r="1097" spans="1:30" customFormat="1" hidden="1" x14ac:dyDescent="0.2">
      <c r="A1097" s="153">
        <f t="shared" si="16"/>
        <v>1073</v>
      </c>
      <c r="B1097" s="33">
        <v>8</v>
      </c>
      <c r="C1097" s="33">
        <v>1</v>
      </c>
      <c r="D1097" s="33">
        <v>12</v>
      </c>
      <c r="E1097" s="104">
        <v>2016</v>
      </c>
      <c r="F1097" s="33">
        <v>2050</v>
      </c>
      <c r="G1097" s="33">
        <v>8</v>
      </c>
      <c r="H1097" s="33">
        <v>0</v>
      </c>
      <c r="I1097" s="33">
        <v>0</v>
      </c>
      <c r="J1097" s="33">
        <v>0</v>
      </c>
      <c r="K1097" s="33">
        <v>0</v>
      </c>
      <c r="L1097" s="108">
        <v>469</v>
      </c>
      <c r="M1097" s="108">
        <v>1160</v>
      </c>
      <c r="N1097" s="108">
        <v>1160</v>
      </c>
      <c r="O1097" s="142">
        <v>0</v>
      </c>
      <c r="P1097" s="142">
        <v>0</v>
      </c>
      <c r="Q1097" s="142">
        <v>0</v>
      </c>
      <c r="R1097" s="142">
        <v>0</v>
      </c>
      <c r="S1097" s="116">
        <v>0</v>
      </c>
      <c r="T1097" s="116">
        <v>0</v>
      </c>
      <c r="U1097" s="33" t="s">
        <v>226</v>
      </c>
      <c r="V1097" s="33">
        <v>2015</v>
      </c>
      <c r="W1097" s="33">
        <v>1</v>
      </c>
      <c r="X1097" s="33">
        <v>0</v>
      </c>
      <c r="Y1097" s="33">
        <v>-1.21E-2</v>
      </c>
      <c r="Z1097" s="33">
        <v>-0.1207</v>
      </c>
      <c r="AA1097" s="33">
        <v>0</v>
      </c>
      <c r="AB1097" s="33">
        <v>0</v>
      </c>
      <c r="AC1097" s="33" t="s">
        <v>408</v>
      </c>
      <c r="AD1097" s="158"/>
    </row>
    <row r="1098" spans="1:30" customFormat="1" hidden="1" x14ac:dyDescent="0.2">
      <c r="A1098" s="153">
        <f t="shared" si="16"/>
        <v>1074</v>
      </c>
      <c r="B1098" s="33">
        <v>8</v>
      </c>
      <c r="C1098" s="33">
        <v>1</v>
      </c>
      <c r="D1098" s="33">
        <v>12</v>
      </c>
      <c r="E1098" s="104">
        <v>2016</v>
      </c>
      <c r="F1098" s="33">
        <v>2050</v>
      </c>
      <c r="G1098" s="33">
        <v>9</v>
      </c>
      <c r="H1098" s="33">
        <v>0</v>
      </c>
      <c r="I1098" s="33">
        <v>0</v>
      </c>
      <c r="J1098" s="33">
        <v>0</v>
      </c>
      <c r="K1098" s="33">
        <v>0</v>
      </c>
      <c r="L1098" s="108">
        <v>469</v>
      </c>
      <c r="M1098" s="108">
        <v>1160</v>
      </c>
      <c r="N1098" s="108">
        <v>1160</v>
      </c>
      <c r="O1098" s="142">
        <v>0</v>
      </c>
      <c r="P1098" s="142">
        <v>0</v>
      </c>
      <c r="Q1098" s="142">
        <v>0</v>
      </c>
      <c r="R1098" s="142">
        <v>0</v>
      </c>
      <c r="S1098" s="116">
        <v>0</v>
      </c>
      <c r="T1098" s="116">
        <v>0</v>
      </c>
      <c r="U1098" s="33" t="s">
        <v>226</v>
      </c>
      <c r="V1098" s="33">
        <v>2015</v>
      </c>
      <c r="W1098" s="33">
        <v>1</v>
      </c>
      <c r="X1098" s="33">
        <v>0</v>
      </c>
      <c r="Y1098" s="33">
        <v>-1.21E-2</v>
      </c>
      <c r="Z1098" s="33">
        <v>-0.1207</v>
      </c>
      <c r="AA1098" s="33">
        <v>0</v>
      </c>
      <c r="AB1098" s="33">
        <v>0</v>
      </c>
      <c r="AC1098" s="33" t="s">
        <v>408</v>
      </c>
      <c r="AD1098" s="158"/>
    </row>
    <row r="1099" spans="1:30" customFormat="1" hidden="1" x14ac:dyDescent="0.2">
      <c r="A1099" s="153">
        <f t="shared" si="16"/>
        <v>1075</v>
      </c>
      <c r="B1099" s="33">
        <v>9</v>
      </c>
      <c r="C1099" s="33">
        <v>1</v>
      </c>
      <c r="D1099" s="33">
        <v>1</v>
      </c>
      <c r="E1099" s="104">
        <v>2016</v>
      </c>
      <c r="F1099" s="33">
        <v>2050</v>
      </c>
      <c r="G1099" s="33">
        <v>11</v>
      </c>
      <c r="H1099" s="33">
        <v>0</v>
      </c>
      <c r="I1099" s="33">
        <v>0</v>
      </c>
      <c r="J1099" s="33">
        <v>0</v>
      </c>
      <c r="K1099" s="33">
        <v>0</v>
      </c>
      <c r="L1099" s="108">
        <v>300.25599999999997</v>
      </c>
      <c r="M1099" s="108">
        <v>500</v>
      </c>
      <c r="N1099" s="108">
        <v>500</v>
      </c>
      <c r="O1099" s="142">
        <v>0</v>
      </c>
      <c r="P1099" s="142">
        <v>0</v>
      </c>
      <c r="Q1099" s="142">
        <v>0</v>
      </c>
      <c r="R1099" s="142">
        <v>0</v>
      </c>
      <c r="S1099" s="116">
        <v>0</v>
      </c>
      <c r="T1099" s="116">
        <v>0</v>
      </c>
      <c r="U1099" s="33" t="s">
        <v>226</v>
      </c>
      <c r="V1099" s="33">
        <v>2015</v>
      </c>
      <c r="W1099" s="33">
        <v>1</v>
      </c>
      <c r="X1099" s="33">
        <v>0</v>
      </c>
      <c r="Y1099" s="33">
        <v>-2.4E-2</v>
      </c>
      <c r="Z1099" s="33">
        <v>-6.5100000000000005E-2</v>
      </c>
      <c r="AA1099" s="33">
        <v>0</v>
      </c>
      <c r="AB1099" s="33">
        <v>0</v>
      </c>
      <c r="AC1099" s="33" t="s">
        <v>409</v>
      </c>
      <c r="AD1099" s="158"/>
    </row>
    <row r="1100" spans="1:30" customFormat="1" hidden="1" x14ac:dyDescent="0.2">
      <c r="A1100" s="153">
        <f t="shared" si="16"/>
        <v>1076</v>
      </c>
      <c r="B1100" s="33">
        <v>9</v>
      </c>
      <c r="C1100" s="33">
        <v>1</v>
      </c>
      <c r="D1100" s="33">
        <v>2</v>
      </c>
      <c r="E1100" s="104">
        <v>2016</v>
      </c>
      <c r="F1100" s="33">
        <v>2050</v>
      </c>
      <c r="G1100" s="33">
        <v>11</v>
      </c>
      <c r="H1100" s="33">
        <v>0</v>
      </c>
      <c r="I1100" s="33">
        <v>0</v>
      </c>
      <c r="J1100" s="33">
        <v>0</v>
      </c>
      <c r="K1100" s="33">
        <v>0</v>
      </c>
      <c r="L1100" s="108">
        <v>297</v>
      </c>
      <c r="M1100" s="108">
        <v>500</v>
      </c>
      <c r="N1100" s="108">
        <v>500</v>
      </c>
      <c r="O1100" s="142">
        <v>0</v>
      </c>
      <c r="P1100" s="142">
        <v>0</v>
      </c>
      <c r="Q1100" s="142">
        <v>0</v>
      </c>
      <c r="R1100" s="142">
        <v>0</v>
      </c>
      <c r="S1100" s="116">
        <v>0</v>
      </c>
      <c r="T1100" s="116">
        <v>0</v>
      </c>
      <c r="U1100" s="33" t="s">
        <v>226</v>
      </c>
      <c r="V1100" s="33">
        <v>2015</v>
      </c>
      <c r="W1100" s="33">
        <v>1</v>
      </c>
      <c r="X1100" s="33">
        <v>0</v>
      </c>
      <c r="Y1100" s="33">
        <v>-2.4E-2</v>
      </c>
      <c r="Z1100" s="33">
        <v>-6.5100000000000005E-2</v>
      </c>
      <c r="AA1100" s="33">
        <v>0</v>
      </c>
      <c r="AB1100" s="33">
        <v>0</v>
      </c>
      <c r="AC1100" s="33" t="s">
        <v>410</v>
      </c>
      <c r="AD1100" s="158"/>
    </row>
    <row r="1101" spans="1:30" customFormat="1" hidden="1" x14ac:dyDescent="0.2">
      <c r="A1101" s="153">
        <f t="shared" si="16"/>
        <v>1077</v>
      </c>
      <c r="B1101" s="33">
        <v>9</v>
      </c>
      <c r="C1101" s="33">
        <v>1</v>
      </c>
      <c r="D1101" s="33">
        <v>3</v>
      </c>
      <c r="E1101" s="104">
        <v>2016</v>
      </c>
      <c r="F1101" s="33">
        <v>2050</v>
      </c>
      <c r="G1101" s="33">
        <v>11</v>
      </c>
      <c r="H1101" s="33">
        <v>0</v>
      </c>
      <c r="I1101" s="33">
        <v>0</v>
      </c>
      <c r="J1101" s="33">
        <v>0</v>
      </c>
      <c r="K1101" s="33">
        <v>0</v>
      </c>
      <c r="L1101" s="108">
        <v>277</v>
      </c>
      <c r="M1101" s="108">
        <v>550</v>
      </c>
      <c r="N1101" s="108">
        <v>550</v>
      </c>
      <c r="O1101" s="142">
        <v>0</v>
      </c>
      <c r="P1101" s="142">
        <v>0</v>
      </c>
      <c r="Q1101" s="142">
        <v>0</v>
      </c>
      <c r="R1101" s="142">
        <v>0</v>
      </c>
      <c r="S1101" s="116">
        <v>0</v>
      </c>
      <c r="T1101" s="116">
        <v>0</v>
      </c>
      <c r="U1101" s="33" t="s">
        <v>226</v>
      </c>
      <c r="V1101" s="33">
        <v>2015</v>
      </c>
      <c r="W1101" s="33">
        <v>1</v>
      </c>
      <c r="X1101" s="33">
        <v>0</v>
      </c>
      <c r="Y1101" s="33">
        <v>-2.4E-2</v>
      </c>
      <c r="Z1101" s="33">
        <v>-6.5100000000000005E-2</v>
      </c>
      <c r="AA1101" s="33">
        <v>0</v>
      </c>
      <c r="AB1101" s="33">
        <v>0</v>
      </c>
      <c r="AC1101" s="33" t="s">
        <v>411</v>
      </c>
      <c r="AD1101" s="158"/>
    </row>
    <row r="1102" spans="1:30" customFormat="1" hidden="1" x14ac:dyDescent="0.2">
      <c r="A1102" s="153">
        <f t="shared" si="16"/>
        <v>1078</v>
      </c>
      <c r="B1102" s="33">
        <v>9</v>
      </c>
      <c r="C1102" s="33">
        <v>1</v>
      </c>
      <c r="D1102" s="33">
        <v>4</v>
      </c>
      <c r="E1102" s="104">
        <v>2016</v>
      </c>
      <c r="F1102" s="33">
        <v>2050</v>
      </c>
      <c r="G1102" s="33">
        <v>11</v>
      </c>
      <c r="H1102" s="33">
        <v>0</v>
      </c>
      <c r="I1102" s="33">
        <v>0</v>
      </c>
      <c r="J1102" s="33">
        <v>0</v>
      </c>
      <c r="K1102" s="33">
        <v>0</v>
      </c>
      <c r="L1102" s="108">
        <v>275</v>
      </c>
      <c r="M1102" s="108">
        <v>540</v>
      </c>
      <c r="N1102" s="108">
        <v>540</v>
      </c>
      <c r="O1102" s="142">
        <v>0</v>
      </c>
      <c r="P1102" s="142">
        <v>0</v>
      </c>
      <c r="Q1102" s="142">
        <v>0</v>
      </c>
      <c r="R1102" s="142">
        <v>0</v>
      </c>
      <c r="S1102" s="116">
        <v>0</v>
      </c>
      <c r="T1102" s="116">
        <v>0</v>
      </c>
      <c r="U1102" s="33" t="s">
        <v>226</v>
      </c>
      <c r="V1102" s="33">
        <v>2015</v>
      </c>
      <c r="W1102" s="33">
        <v>1</v>
      </c>
      <c r="X1102" s="33">
        <v>0</v>
      </c>
      <c r="Y1102" s="33">
        <v>-2.4E-2</v>
      </c>
      <c r="Z1102" s="33">
        <v>-6.5100000000000005E-2</v>
      </c>
      <c r="AA1102" s="33">
        <v>0</v>
      </c>
      <c r="AB1102" s="33">
        <v>0</v>
      </c>
      <c r="AC1102" s="33" t="s">
        <v>412</v>
      </c>
      <c r="AD1102" s="158"/>
    </row>
    <row r="1103" spans="1:30" customFormat="1" hidden="1" x14ac:dyDescent="0.2">
      <c r="A1103" s="153">
        <f t="shared" si="16"/>
        <v>1079</v>
      </c>
      <c r="B1103" s="33">
        <v>9</v>
      </c>
      <c r="C1103" s="33">
        <v>1</v>
      </c>
      <c r="D1103" s="33">
        <v>5</v>
      </c>
      <c r="E1103" s="104">
        <v>2016</v>
      </c>
      <c r="F1103" s="33">
        <v>2050</v>
      </c>
      <c r="G1103" s="33">
        <v>11</v>
      </c>
      <c r="H1103" s="33">
        <v>0</v>
      </c>
      <c r="I1103" s="33">
        <v>0</v>
      </c>
      <c r="J1103" s="33">
        <v>0</v>
      </c>
      <c r="K1103" s="33">
        <v>0</v>
      </c>
      <c r="L1103" s="108">
        <v>477.41800000000001</v>
      </c>
      <c r="M1103" s="108">
        <v>690</v>
      </c>
      <c r="N1103" s="108">
        <v>690</v>
      </c>
      <c r="O1103" s="142">
        <v>0</v>
      </c>
      <c r="P1103" s="142">
        <v>0</v>
      </c>
      <c r="Q1103" s="142">
        <v>0</v>
      </c>
      <c r="R1103" s="142">
        <v>0</v>
      </c>
      <c r="S1103" s="116">
        <v>0</v>
      </c>
      <c r="T1103" s="116">
        <v>0</v>
      </c>
      <c r="U1103" s="33" t="s">
        <v>226</v>
      </c>
      <c r="V1103" s="33">
        <v>2015</v>
      </c>
      <c r="W1103" s="33">
        <v>1</v>
      </c>
      <c r="X1103" s="33">
        <v>0</v>
      </c>
      <c r="Y1103" s="33">
        <v>-2.4E-2</v>
      </c>
      <c r="Z1103" s="33">
        <v>-6.5100000000000005E-2</v>
      </c>
      <c r="AA1103" s="33">
        <v>0</v>
      </c>
      <c r="AB1103" s="33">
        <v>0</v>
      </c>
      <c r="AC1103" s="33" t="s">
        <v>413</v>
      </c>
      <c r="AD1103" s="158"/>
    </row>
    <row r="1104" spans="1:30" customFormat="1" hidden="1" x14ac:dyDescent="0.2">
      <c r="A1104" s="153">
        <f t="shared" si="16"/>
        <v>1080</v>
      </c>
      <c r="B1104" s="33">
        <v>9</v>
      </c>
      <c r="C1104" s="33">
        <v>1</v>
      </c>
      <c r="D1104" s="33">
        <v>6</v>
      </c>
      <c r="E1104" s="104">
        <v>2016</v>
      </c>
      <c r="F1104" s="33">
        <v>2050</v>
      </c>
      <c r="G1104" s="33">
        <v>11</v>
      </c>
      <c r="H1104" s="33">
        <v>0</v>
      </c>
      <c r="I1104" s="33">
        <v>0</v>
      </c>
      <c r="J1104" s="33">
        <v>0</v>
      </c>
      <c r="K1104" s="33">
        <v>0</v>
      </c>
      <c r="L1104" s="108">
        <v>446</v>
      </c>
      <c r="M1104" s="108">
        <v>750</v>
      </c>
      <c r="N1104" s="108">
        <v>750</v>
      </c>
      <c r="O1104" s="142">
        <v>0</v>
      </c>
      <c r="P1104" s="142">
        <v>0</v>
      </c>
      <c r="Q1104" s="142">
        <v>0</v>
      </c>
      <c r="R1104" s="142">
        <v>0</v>
      </c>
      <c r="S1104" s="116">
        <v>0</v>
      </c>
      <c r="T1104" s="116">
        <v>0</v>
      </c>
      <c r="U1104" s="33" t="s">
        <v>226</v>
      </c>
      <c r="V1104" s="33">
        <v>2015</v>
      </c>
      <c r="W1104" s="33">
        <v>1</v>
      </c>
      <c r="X1104" s="33">
        <v>0</v>
      </c>
      <c r="Y1104" s="33">
        <v>-2.4E-2</v>
      </c>
      <c r="Z1104" s="33">
        <v>-6.5100000000000005E-2</v>
      </c>
      <c r="AA1104" s="33">
        <v>0</v>
      </c>
      <c r="AB1104" s="33">
        <v>0</v>
      </c>
      <c r="AC1104" s="33" t="s">
        <v>414</v>
      </c>
      <c r="AD1104" s="158"/>
    </row>
    <row r="1105" spans="1:30" customFormat="1" hidden="1" x14ac:dyDescent="0.2">
      <c r="A1105" s="153">
        <f t="shared" si="16"/>
        <v>1081</v>
      </c>
      <c r="B1105" s="33">
        <v>9</v>
      </c>
      <c r="C1105" s="33">
        <v>1</v>
      </c>
      <c r="D1105" s="33">
        <v>7</v>
      </c>
      <c r="E1105" s="104">
        <v>2016</v>
      </c>
      <c r="F1105" s="33">
        <v>2050</v>
      </c>
      <c r="G1105" s="33">
        <v>11</v>
      </c>
      <c r="H1105" s="33">
        <v>0</v>
      </c>
      <c r="I1105" s="33">
        <v>0</v>
      </c>
      <c r="J1105" s="33">
        <v>0</v>
      </c>
      <c r="K1105" s="33">
        <v>0</v>
      </c>
      <c r="L1105" s="108">
        <v>429.67619999999999</v>
      </c>
      <c r="M1105" s="108">
        <v>790</v>
      </c>
      <c r="N1105" s="108">
        <v>790</v>
      </c>
      <c r="O1105" s="142">
        <v>0</v>
      </c>
      <c r="P1105" s="142">
        <v>0</v>
      </c>
      <c r="Q1105" s="142">
        <v>0</v>
      </c>
      <c r="R1105" s="142">
        <v>0</v>
      </c>
      <c r="S1105" s="116">
        <v>0</v>
      </c>
      <c r="T1105" s="116">
        <v>0</v>
      </c>
      <c r="U1105" s="33" t="s">
        <v>226</v>
      </c>
      <c r="V1105" s="33">
        <v>2015</v>
      </c>
      <c r="W1105" s="33">
        <v>1</v>
      </c>
      <c r="X1105" s="33">
        <v>0</v>
      </c>
      <c r="Y1105" s="33">
        <v>-2.4E-2</v>
      </c>
      <c r="Z1105" s="33">
        <v>-6.5100000000000005E-2</v>
      </c>
      <c r="AA1105" s="33">
        <v>0</v>
      </c>
      <c r="AB1105" s="33">
        <v>0</v>
      </c>
      <c r="AC1105" s="33" t="s">
        <v>415</v>
      </c>
      <c r="AD1105" s="158"/>
    </row>
    <row r="1106" spans="1:30" customFormat="1" hidden="1" x14ac:dyDescent="0.2">
      <c r="A1106" s="153">
        <f t="shared" si="16"/>
        <v>1082</v>
      </c>
      <c r="B1106" s="33">
        <v>9</v>
      </c>
      <c r="C1106" s="33">
        <v>1</v>
      </c>
      <c r="D1106" s="33">
        <v>8</v>
      </c>
      <c r="E1106" s="104">
        <v>2016</v>
      </c>
      <c r="F1106" s="33">
        <v>2050</v>
      </c>
      <c r="G1106" s="33">
        <v>11</v>
      </c>
      <c r="H1106" s="33">
        <v>0</v>
      </c>
      <c r="I1106" s="33">
        <v>0</v>
      </c>
      <c r="J1106" s="33">
        <v>0</v>
      </c>
      <c r="K1106" s="33">
        <v>0</v>
      </c>
      <c r="L1106" s="108">
        <v>419</v>
      </c>
      <c r="M1106" s="108">
        <v>810</v>
      </c>
      <c r="N1106" s="108">
        <v>810</v>
      </c>
      <c r="O1106" s="142">
        <v>0</v>
      </c>
      <c r="P1106" s="142">
        <v>0</v>
      </c>
      <c r="Q1106" s="142">
        <v>0</v>
      </c>
      <c r="R1106" s="142">
        <v>0</v>
      </c>
      <c r="S1106" s="116">
        <v>0</v>
      </c>
      <c r="T1106" s="116">
        <v>0</v>
      </c>
      <c r="U1106" s="33" t="s">
        <v>226</v>
      </c>
      <c r="V1106" s="33">
        <v>2015</v>
      </c>
      <c r="W1106" s="33">
        <v>1</v>
      </c>
      <c r="X1106" s="33">
        <v>0</v>
      </c>
      <c r="Y1106" s="33">
        <v>-2.4E-2</v>
      </c>
      <c r="Z1106" s="33">
        <v>-6.5100000000000005E-2</v>
      </c>
      <c r="AA1106" s="33">
        <v>0</v>
      </c>
      <c r="AB1106" s="33">
        <v>0</v>
      </c>
      <c r="AC1106" s="33" t="s">
        <v>416</v>
      </c>
      <c r="AD1106" s="158"/>
    </row>
    <row r="1107" spans="1:30" customFormat="1" ht="15" hidden="1" x14ac:dyDescent="0.25">
      <c r="A1107" s="158"/>
      <c r="B1107" s="11" t="s">
        <v>486</v>
      </c>
      <c r="C1107" s="10"/>
      <c r="D1107" s="10"/>
      <c r="E1107" s="10"/>
      <c r="F1107" s="10"/>
      <c r="G1107" s="10"/>
      <c r="H1107" s="10"/>
      <c r="I1107" s="10"/>
      <c r="J1107" s="10"/>
      <c r="K1107" s="10"/>
      <c r="L1107" s="10"/>
      <c r="M1107" s="10"/>
      <c r="N1107" s="10"/>
      <c r="O1107" s="10"/>
      <c r="P1107" s="10"/>
      <c r="Q1107" s="10"/>
      <c r="R1107" s="10"/>
      <c r="S1107" s="10"/>
      <c r="T1107" s="10"/>
      <c r="U1107" s="10"/>
      <c r="V1107" s="10"/>
      <c r="W1107" s="10"/>
      <c r="X1107" s="10"/>
      <c r="Y1107" s="10"/>
      <c r="Z1107" s="10"/>
      <c r="AA1107" s="10"/>
      <c r="AB1107" s="10"/>
      <c r="AC1107" s="10"/>
      <c r="AD1107" s="158"/>
    </row>
    <row r="1110" spans="1:30" ht="15" x14ac:dyDescent="0.25">
      <c r="B1110" s="124">
        <v>1</v>
      </c>
      <c r="C1110" s="124">
        <v>2</v>
      </c>
      <c r="D1110" s="124">
        <v>3</v>
      </c>
      <c r="E1110" s="124">
        <v>4</v>
      </c>
      <c r="F1110" s="124">
        <v>5</v>
      </c>
      <c r="G1110" s="124">
        <v>6</v>
      </c>
      <c r="H1110" s="124">
        <v>7</v>
      </c>
      <c r="I1110" s="124">
        <v>8</v>
      </c>
      <c r="J1110" s="124">
        <v>9</v>
      </c>
    </row>
    <row r="1111" spans="1:30" ht="15" x14ac:dyDescent="0.25">
      <c r="B1111" s="15" t="s">
        <v>437</v>
      </c>
      <c r="C1111" s="15" t="s">
        <v>438</v>
      </c>
      <c r="D1111" s="15" t="s">
        <v>440</v>
      </c>
      <c r="E1111" s="15" t="s">
        <v>439</v>
      </c>
      <c r="F1111" s="15" t="s">
        <v>443</v>
      </c>
      <c r="G1111" s="15" t="s">
        <v>444</v>
      </c>
      <c r="H1111" s="15" t="s">
        <v>445</v>
      </c>
      <c r="I1111" s="15" t="s">
        <v>446</v>
      </c>
      <c r="J1111" s="15" t="s">
        <v>447</v>
      </c>
    </row>
    <row r="1112" spans="1:30" ht="15" x14ac:dyDescent="0.25">
      <c r="B1112" s="121" t="s">
        <v>434</v>
      </c>
      <c r="C1112" s="121" t="s">
        <v>435</v>
      </c>
      <c r="D1112" s="121" t="s">
        <v>441</v>
      </c>
      <c r="E1112" s="121" t="s">
        <v>429</v>
      </c>
      <c r="F1112" s="121" t="s">
        <v>430</v>
      </c>
      <c r="G1112" s="121" t="s">
        <v>431</v>
      </c>
      <c r="H1112" s="121" t="s">
        <v>442</v>
      </c>
      <c r="I1112" s="121" t="s">
        <v>432</v>
      </c>
      <c r="J1112" s="121" t="s">
        <v>433</v>
      </c>
    </row>
    <row r="1113" spans="1:30" x14ac:dyDescent="0.2">
      <c r="B1113" s="122">
        <v>36</v>
      </c>
      <c r="C1113" s="123">
        <v>17</v>
      </c>
      <c r="D1113" s="123">
        <v>8</v>
      </c>
      <c r="E1113" s="123">
        <v>4</v>
      </c>
      <c r="F1113" s="123">
        <v>18</v>
      </c>
      <c r="G1113" s="123">
        <v>5</v>
      </c>
      <c r="H1113" s="123">
        <v>8</v>
      </c>
      <c r="I1113" s="123">
        <v>12</v>
      </c>
      <c r="J1113" s="123">
        <v>8</v>
      </c>
    </row>
    <row r="1114" spans="1:30" x14ac:dyDescent="0.2">
      <c r="B1114" s="163" t="e">
        <f t="shared" ref="B1114:J1114" si="17">MAX(IF((xlRTTYENDU=B$1110),xlRTEQTYPE,0))</f>
        <v>#VALUE!</v>
      </c>
      <c r="C1114" s="163" t="e">
        <f t="shared" si="17"/>
        <v>#VALUE!</v>
      </c>
      <c r="D1114" s="163" t="e">
        <f t="shared" si="17"/>
        <v>#VALUE!</v>
      </c>
      <c r="E1114" s="163" t="e">
        <f t="shared" si="17"/>
        <v>#VALUE!</v>
      </c>
      <c r="F1114" s="163" t="e">
        <f t="shared" si="17"/>
        <v>#VALUE!</v>
      </c>
      <c r="G1114" s="163" t="e">
        <f t="shared" si="17"/>
        <v>#VALUE!</v>
      </c>
      <c r="H1114" s="163" t="e">
        <f t="shared" si="17"/>
        <v>#VALUE!</v>
      </c>
      <c r="I1114" s="163" t="e">
        <f t="shared" si="17"/>
        <v>#VALUE!</v>
      </c>
      <c r="J1114" s="163" t="e">
        <f t="shared" si="17"/>
        <v>#VALUE!</v>
      </c>
    </row>
    <row r="1115" spans="1:30" x14ac:dyDescent="0.2">
      <c r="B1115" s="125" t="s">
        <v>475</v>
      </c>
    </row>
  </sheetData>
  <autoFilter ref="A24:AC1107" xr:uid="{00000000-0009-0000-0000-000002000000}">
    <filterColumn colId="6">
      <filters>
        <filter val="3"/>
      </filters>
    </filterColumn>
  </autoFilter>
  <mergeCells count="2">
    <mergeCell ref="U21:X21"/>
    <mergeCell ref="Y21:AB21"/>
  </mergeCells>
  <dataValidations count="1">
    <dataValidation type="list" allowBlank="1" showInputMessage="1" showErrorMessage="1" sqref="U25:U1106" xr:uid="{00000000-0002-0000-0200-000000000000}">
      <formula1>"INFANT,ADOLESCENT,MATURE"</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9" tint="0.79998168889431442"/>
  </sheetPr>
  <dimension ref="A1:Y2560"/>
  <sheetViews>
    <sheetView zoomScale="55" zoomScaleNormal="55" workbookViewId="0">
      <selection activeCell="O24" sqref="O24"/>
    </sheetView>
  </sheetViews>
  <sheetFormatPr defaultColWidth="8.625" defaultRowHeight="14.25" x14ac:dyDescent="0.2"/>
  <cols>
    <col min="2" max="2" width="26" style="139" customWidth="1"/>
    <col min="3" max="3" width="17.875" style="139" customWidth="1"/>
    <col min="4" max="4" width="18" style="139" bestFit="1" customWidth="1"/>
    <col min="5" max="5" width="17.5" style="139" bestFit="1" customWidth="1"/>
    <col min="6" max="6" width="18" style="139" bestFit="1" customWidth="1"/>
    <col min="7" max="7" width="17.5" style="139" bestFit="1" customWidth="1"/>
    <col min="8" max="9" width="12.75" style="139" bestFit="1" customWidth="1"/>
    <col min="10" max="11" width="22.375" style="139" customWidth="1"/>
    <col min="12" max="12" width="15" style="139" bestFit="1" customWidth="1"/>
    <col min="13" max="13" width="14.75" style="139" bestFit="1" customWidth="1"/>
    <col min="14" max="14" width="20.625" style="139" bestFit="1" customWidth="1"/>
    <col min="15" max="15" width="20.5" style="139" bestFit="1" customWidth="1"/>
    <col min="16" max="16" width="16.375" style="139" customWidth="1"/>
    <col min="17" max="17" width="14.75" style="139" bestFit="1" customWidth="1"/>
    <col min="18" max="18" width="21.375" style="139" customWidth="1"/>
    <col min="19" max="19" width="16" style="139" bestFit="1" customWidth="1"/>
    <col min="20" max="20" width="18.5" style="139" bestFit="1" customWidth="1"/>
    <col min="22" max="22" width="12.125" style="139" bestFit="1" customWidth="1"/>
    <col min="23" max="23" width="12.125" style="139" customWidth="1"/>
    <col min="24" max="24" width="13.5" style="139" bestFit="1" customWidth="1"/>
    <col min="25" max="25" width="15.125" style="139" customWidth="1"/>
    <col min="26" max="16384" width="8.625" style="139"/>
  </cols>
  <sheetData>
    <row r="1" spans="2:24" x14ac:dyDescent="0.2">
      <c r="U1" s="158"/>
    </row>
    <row r="2" spans="2:24" ht="15" x14ac:dyDescent="0.25">
      <c r="B2" s="6" t="s">
        <v>75</v>
      </c>
      <c r="C2" s="139" t="s">
        <v>22</v>
      </c>
      <c r="K2" s="52" t="s">
        <v>249</v>
      </c>
      <c r="U2" s="158"/>
    </row>
    <row r="3" spans="2:24" ht="15" x14ac:dyDescent="0.25">
      <c r="B3" s="6" t="s">
        <v>76</v>
      </c>
      <c r="C3" s="20">
        <v>44867</v>
      </c>
      <c r="K3" s="53" t="s">
        <v>250</v>
      </c>
      <c r="U3" s="158"/>
    </row>
    <row r="4" spans="2:24" ht="15" x14ac:dyDescent="0.25">
      <c r="B4" s="6" t="s">
        <v>79</v>
      </c>
      <c r="C4" s="139" t="s">
        <v>94</v>
      </c>
      <c r="K4" s="54" t="s">
        <v>251</v>
      </c>
      <c r="U4" s="158"/>
    </row>
    <row r="5" spans="2:24" ht="15" x14ac:dyDescent="0.25">
      <c r="B5" s="6" t="s">
        <v>81</v>
      </c>
      <c r="C5" s="139" t="s">
        <v>93</v>
      </c>
      <c r="U5" s="158"/>
    </row>
    <row r="6" spans="2:24" ht="15" x14ac:dyDescent="0.25">
      <c r="B6" s="6" t="s">
        <v>82</v>
      </c>
      <c r="C6" s="139" t="s">
        <v>237</v>
      </c>
      <c r="U6" s="158"/>
    </row>
    <row r="7" spans="2:24" ht="15" x14ac:dyDescent="0.25">
      <c r="B7" s="6" t="s">
        <v>83</v>
      </c>
      <c r="C7" s="139" t="s">
        <v>426</v>
      </c>
      <c r="U7" s="158"/>
    </row>
    <row r="8" spans="2:24" ht="15" x14ac:dyDescent="0.25">
      <c r="B8" s="6" t="s">
        <v>90</v>
      </c>
      <c r="C8" s="139" t="s">
        <v>484</v>
      </c>
      <c r="U8" s="158"/>
    </row>
    <row r="9" spans="2:24" x14ac:dyDescent="0.2">
      <c r="C9" s="139" t="s">
        <v>483</v>
      </c>
      <c r="U9" s="158"/>
    </row>
    <row r="10" spans="2:24" ht="15" x14ac:dyDescent="0.25">
      <c r="B10" s="6" t="s">
        <v>88</v>
      </c>
      <c r="C10" s="139" t="s">
        <v>239</v>
      </c>
      <c r="U10" s="158"/>
      <c r="V10" s="139" t="s">
        <v>172</v>
      </c>
      <c r="W10" s="139" t="s">
        <v>183</v>
      </c>
    </row>
    <row r="11" spans="2:24" ht="15" x14ac:dyDescent="0.25">
      <c r="B11" s="6" t="s">
        <v>89</v>
      </c>
      <c r="C11" s="139" t="s">
        <v>494</v>
      </c>
      <c r="U11" s="158"/>
      <c r="V11" s="139" t="s">
        <v>173</v>
      </c>
      <c r="W11" s="139" t="s">
        <v>184</v>
      </c>
      <c r="X11" s="103" t="s">
        <v>421</v>
      </c>
    </row>
    <row r="12" spans="2:24" x14ac:dyDescent="0.2">
      <c r="C12" s="139" t="s">
        <v>482</v>
      </c>
      <c r="U12" s="158"/>
      <c r="V12" s="139" t="s">
        <v>174</v>
      </c>
      <c r="W12" s="139" t="s">
        <v>173</v>
      </c>
      <c r="X12" s="103" t="s">
        <v>420</v>
      </c>
    </row>
    <row r="13" spans="2:24" x14ac:dyDescent="0.2">
      <c r="U13" s="158"/>
      <c r="V13" s="139" t="s">
        <v>175</v>
      </c>
      <c r="W13" s="139" t="s">
        <v>181</v>
      </c>
      <c r="X13" s="103" t="s">
        <v>419</v>
      </c>
    </row>
    <row r="14" spans="2:24" ht="15" x14ac:dyDescent="0.25">
      <c r="B14" s="41">
        <f>MAX(xlHVPACKG)</f>
        <v>5</v>
      </c>
      <c r="C14" s="6" t="s">
        <v>436</v>
      </c>
      <c r="U14" s="206" t="s">
        <v>235</v>
      </c>
      <c r="V14" s="139" t="s">
        <v>176</v>
      </c>
      <c r="W14" s="139" t="s">
        <v>182</v>
      </c>
      <c r="X14" s="54" t="s">
        <v>461</v>
      </c>
    </row>
    <row r="15" spans="2:24" ht="15" x14ac:dyDescent="0.25">
      <c r="B15" s="41">
        <f>COUNTA(xlRSCENDIV)</f>
        <v>2527</v>
      </c>
      <c r="C15" s="6" t="s">
        <v>98</v>
      </c>
      <c r="U15" s="158"/>
      <c r="V15" s="139" t="s">
        <v>177</v>
      </c>
      <c r="X15" s="139" t="s">
        <v>418</v>
      </c>
    </row>
    <row r="16" spans="2:24" ht="15" x14ac:dyDescent="0.25">
      <c r="B16" s="30">
        <v>2008</v>
      </c>
      <c r="C16" s="6" t="s">
        <v>95</v>
      </c>
      <c r="U16" s="158"/>
      <c r="V16" s="139" t="s">
        <v>178</v>
      </c>
      <c r="X16" s="53" t="s">
        <v>462</v>
      </c>
    </row>
    <row r="17" spans="2:25" x14ac:dyDescent="0.2">
      <c r="U17" s="158"/>
      <c r="V17" s="139" t="s">
        <v>179</v>
      </c>
    </row>
    <row r="18" spans="2:25" x14ac:dyDescent="0.2">
      <c r="U18" s="158"/>
      <c r="V18" s="139" t="s">
        <v>180</v>
      </c>
      <c r="X18" s="54" t="s">
        <v>422</v>
      </c>
    </row>
    <row r="19" spans="2:25" x14ac:dyDescent="0.2">
      <c r="B19" s="9">
        <v>5</v>
      </c>
      <c r="C19" s="9">
        <v>1</v>
      </c>
      <c r="D19" s="9">
        <v>3</v>
      </c>
      <c r="E19" s="9">
        <v>6</v>
      </c>
      <c r="F19" s="9">
        <v>4</v>
      </c>
      <c r="G19" s="9">
        <v>7</v>
      </c>
      <c r="H19" s="9">
        <v>8</v>
      </c>
      <c r="S19" s="9">
        <v>2</v>
      </c>
      <c r="U19" s="156" t="s">
        <v>73</v>
      </c>
      <c r="V19" s="139" t="s">
        <v>181</v>
      </c>
    </row>
    <row r="20" spans="2:25" x14ac:dyDescent="0.2">
      <c r="B20" s="244" t="s">
        <v>31</v>
      </c>
      <c r="C20" s="246"/>
      <c r="D20" s="246"/>
      <c r="E20" s="246"/>
      <c r="F20" s="246"/>
      <c r="G20" s="245"/>
      <c r="H20" s="244" t="s">
        <v>32</v>
      </c>
      <c r="I20" s="245"/>
      <c r="J20" s="244" t="s">
        <v>33</v>
      </c>
      <c r="K20" s="245"/>
      <c r="L20" s="244" t="s">
        <v>34</v>
      </c>
      <c r="M20" s="245"/>
      <c r="N20" s="244" t="s">
        <v>35</v>
      </c>
      <c r="O20" s="245"/>
      <c r="P20" s="14" t="s">
        <v>15</v>
      </c>
      <c r="Q20" s="244" t="s">
        <v>38</v>
      </c>
      <c r="R20" s="245"/>
      <c r="S20" s="14" t="s">
        <v>37</v>
      </c>
      <c r="T20" s="140" t="s">
        <v>36</v>
      </c>
      <c r="U20" s="158"/>
      <c r="V20" s="139" t="s">
        <v>182</v>
      </c>
    </row>
    <row r="21" spans="2:25" ht="15" x14ac:dyDescent="0.25">
      <c r="B21" s="21" t="s">
        <v>103</v>
      </c>
      <c r="C21" s="22"/>
      <c r="D21" s="21" t="s">
        <v>151</v>
      </c>
      <c r="E21" s="21"/>
      <c r="F21" s="21" t="s">
        <v>151</v>
      </c>
      <c r="G21" s="21"/>
      <c r="H21" s="21"/>
      <c r="I21" s="21"/>
      <c r="J21" s="21"/>
      <c r="K21" s="21"/>
      <c r="L21" s="21"/>
      <c r="M21" s="21"/>
      <c r="N21" s="21"/>
      <c r="O21" s="21"/>
      <c r="P21" s="21"/>
      <c r="Q21" s="21"/>
      <c r="R21" s="21"/>
      <c r="S21" s="21"/>
      <c r="T21" s="21"/>
      <c r="U21" s="156" t="s">
        <v>39</v>
      </c>
    </row>
    <row r="22" spans="2:25" ht="15" x14ac:dyDescent="0.25">
      <c r="B22" s="23" t="s">
        <v>104</v>
      </c>
      <c r="C22" s="24"/>
      <c r="D22" s="23" t="s">
        <v>125</v>
      </c>
      <c r="E22" s="23" t="s">
        <v>105</v>
      </c>
      <c r="F22" s="23" t="s">
        <v>125</v>
      </c>
      <c r="G22" s="23" t="s">
        <v>105</v>
      </c>
      <c r="H22" s="23"/>
      <c r="I22" s="23"/>
      <c r="J22" s="23"/>
      <c r="K22" s="23"/>
      <c r="L22" s="23"/>
      <c r="M22" s="23"/>
      <c r="N22" s="23"/>
      <c r="O22" s="23"/>
      <c r="P22" s="23"/>
      <c r="Q22" s="23"/>
      <c r="R22" s="23"/>
      <c r="S22" s="23"/>
      <c r="T22" s="23"/>
      <c r="U22" s="156" t="s">
        <v>40</v>
      </c>
    </row>
    <row r="23" spans="2:25" ht="15" x14ac:dyDescent="0.25">
      <c r="B23" s="15" t="s">
        <v>106</v>
      </c>
      <c r="C23" s="16" t="s">
        <v>107</v>
      </c>
      <c r="D23" s="15" t="s">
        <v>108</v>
      </c>
      <c r="E23" s="15" t="s">
        <v>109</v>
      </c>
      <c r="F23" s="15" t="s">
        <v>110</v>
      </c>
      <c r="G23" s="15" t="s">
        <v>111</v>
      </c>
      <c r="H23" s="15" t="s">
        <v>112</v>
      </c>
      <c r="I23" s="15" t="s">
        <v>113</v>
      </c>
      <c r="J23" s="15" t="s">
        <v>114</v>
      </c>
      <c r="K23" s="15" t="s">
        <v>115</v>
      </c>
      <c r="L23" s="15" t="s">
        <v>116</v>
      </c>
      <c r="M23" s="15" t="s">
        <v>117</v>
      </c>
      <c r="N23" s="15" t="s">
        <v>118</v>
      </c>
      <c r="O23" s="15" t="s">
        <v>119</v>
      </c>
      <c r="P23" s="15" t="s">
        <v>120</v>
      </c>
      <c r="Q23" s="15" t="s">
        <v>121</v>
      </c>
      <c r="R23" s="172" t="s">
        <v>122</v>
      </c>
      <c r="S23" s="15" t="s">
        <v>123</v>
      </c>
      <c r="T23" s="15" t="s">
        <v>124</v>
      </c>
      <c r="U23" s="156" t="s">
        <v>41</v>
      </c>
      <c r="W23" s="120"/>
    </row>
    <row r="24" spans="2:25" ht="45" x14ac:dyDescent="0.25">
      <c r="B24" s="13" t="s">
        <v>52</v>
      </c>
      <c r="C24" s="13" t="s">
        <v>57</v>
      </c>
      <c r="D24" s="13" t="s">
        <v>58</v>
      </c>
      <c r="E24" s="13" t="s">
        <v>59</v>
      </c>
      <c r="F24" s="13" t="s">
        <v>60</v>
      </c>
      <c r="G24" s="13" t="s">
        <v>61</v>
      </c>
      <c r="H24" s="13" t="s">
        <v>3</v>
      </c>
      <c r="I24" s="13" t="s">
        <v>4</v>
      </c>
      <c r="J24" s="13" t="s">
        <v>62</v>
      </c>
      <c r="K24" s="13" t="s">
        <v>63</v>
      </c>
      <c r="L24" s="13" t="s">
        <v>64</v>
      </c>
      <c r="M24" s="13" t="s">
        <v>65</v>
      </c>
      <c r="N24" s="13" t="s">
        <v>66</v>
      </c>
      <c r="O24" s="13" t="s">
        <v>67</v>
      </c>
      <c r="P24" s="13" t="s">
        <v>68</v>
      </c>
      <c r="Q24" s="13" t="s">
        <v>69</v>
      </c>
      <c r="R24" s="173" t="s">
        <v>70</v>
      </c>
      <c r="S24" s="13" t="s">
        <v>71</v>
      </c>
      <c r="T24" s="13" t="s">
        <v>72</v>
      </c>
      <c r="V24" s="119" t="s">
        <v>425</v>
      </c>
      <c r="W24" s="119" t="s">
        <v>423</v>
      </c>
      <c r="X24" s="119" t="s">
        <v>417</v>
      </c>
      <c r="Y24" s="119" t="s">
        <v>424</v>
      </c>
    </row>
    <row r="25" spans="2:25" x14ac:dyDescent="0.2">
      <c r="B25" s="126">
        <v>1</v>
      </c>
      <c r="C25" s="126">
        <v>1</v>
      </c>
      <c r="D25" s="126">
        <v>1</v>
      </c>
      <c r="E25" s="126">
        <v>1</v>
      </c>
      <c r="F25" s="126">
        <v>2</v>
      </c>
      <c r="G25" s="126">
        <v>5</v>
      </c>
      <c r="H25" s="126">
        <v>2016</v>
      </c>
      <c r="I25" s="126">
        <v>2022</v>
      </c>
      <c r="J25" s="127">
        <v>1.077</v>
      </c>
      <c r="K25" s="127">
        <v>1.0444</v>
      </c>
      <c r="L25" s="127">
        <v>0.8891</v>
      </c>
      <c r="M25" s="127">
        <v>1.0285</v>
      </c>
      <c r="N25" s="127">
        <v>0.79779999999999995</v>
      </c>
      <c r="O25" s="127">
        <v>1.0538000000000001</v>
      </c>
      <c r="P25" s="126">
        <v>0</v>
      </c>
      <c r="Q25" s="128">
        <f t="array" ref="Q25">SUM(IF(($S25&gt;=4)*($C25='TaxCred&amp;Subs'!$D$123:$D$127)*($H25='TaxCred&amp;Subs'!$C$123:$C$127)*($H25&lt;='TaxCred&amp;Subs'!$C$129),'TaxCred&amp;Subs'!$E$123:$E$127,0))</f>
        <v>0</v>
      </c>
      <c r="R25" s="174">
        <v>0</v>
      </c>
      <c r="S25" s="126">
        <v>1</v>
      </c>
      <c r="T25" s="126" t="s">
        <v>223</v>
      </c>
      <c r="U25" s="158"/>
      <c r="V25" s="153" t="str">
        <f t="array" ref="V25">INDEX(xlRTCLNAME,MATCH(1,(xlRTCLENDU=1)*(xlRTCLEQCL=$D25),0))</f>
        <v>ELEC_RAD</v>
      </c>
      <c r="W25" s="153" t="str">
        <f t="array" ref="W25">INDEX(xlRTCLNAME,MATCH(1,(xlRTCLENDU=2)*(xlRTCLEQCL=$F25),0))</f>
        <v>CENT_AIR</v>
      </c>
      <c r="X25" s="153" t="str">
        <f t="array" ref="X25">INDEX(xlRTTYNAME,MATCH(1,(xlRTTYENDU=1)*(xlRTTYEQCL=$D25)*(xlRTEQTYPE=$E25),0))</f>
        <v>ELEC_RAD2</v>
      </c>
      <c r="Y25" s="153" t="str">
        <f t="array" ref="Y25">INDEX(xlRTTYNAME,MATCH(1,(xlRTTYENDU=2)*(xlRTTYEQCL=$F25)*(xlRTEQTYPE=$G25),0))</f>
        <v>CENT_AIR1</v>
      </c>
    </row>
    <row r="26" spans="2:25" x14ac:dyDescent="0.2">
      <c r="B26" s="126">
        <v>1</v>
      </c>
      <c r="C26" s="126">
        <v>1</v>
      </c>
      <c r="D26" s="126">
        <v>1</v>
      </c>
      <c r="E26" s="126">
        <v>1</v>
      </c>
      <c r="F26" s="126">
        <v>2</v>
      </c>
      <c r="G26" s="126">
        <v>6</v>
      </c>
      <c r="H26" s="126">
        <v>2023</v>
      </c>
      <c r="I26" s="126">
        <v>2050</v>
      </c>
      <c r="J26" s="127">
        <v>1.077</v>
      </c>
      <c r="K26" s="127">
        <v>1.0444</v>
      </c>
      <c r="L26" s="127">
        <v>0.8891</v>
      </c>
      <c r="M26" s="127">
        <v>1.0285</v>
      </c>
      <c r="N26" s="127">
        <v>0.79779999999999995</v>
      </c>
      <c r="O26" s="127">
        <v>1.0538000000000001</v>
      </c>
      <c r="P26" s="126">
        <v>0</v>
      </c>
      <c r="Q26" s="128">
        <f t="array" ref="Q26">SUM(IF(($S26&gt;=4)*($C26='TaxCred&amp;Subs'!$D$123:$D$127)*($H26='TaxCred&amp;Subs'!$C$123:$C$127)*($H26&lt;='TaxCred&amp;Subs'!$C$129),'TaxCred&amp;Subs'!$E$123:$E$127,0))</f>
        <v>0</v>
      </c>
      <c r="R26" s="174">
        <v>0</v>
      </c>
      <c r="S26" s="126">
        <v>1</v>
      </c>
      <c r="T26" s="126" t="s">
        <v>223</v>
      </c>
      <c r="U26" s="158"/>
      <c r="V26" s="153" t="str">
        <f t="array" ref="V26">INDEX(xlRTCLNAME,MATCH(1,(xlRTCLENDU=1)*(xlRTCLEQCL=$D26),0))</f>
        <v>ELEC_RAD</v>
      </c>
      <c r="W26" s="153" t="str">
        <f t="array" ref="W26">INDEX(xlRTCLNAME,MATCH(1,(xlRTCLENDU=2)*(xlRTCLEQCL=$F26),0))</f>
        <v>CENT_AIR</v>
      </c>
      <c r="X26" s="153" t="str">
        <f t="array" ref="X26">INDEX(xlRTTYNAME,MATCH(1,(xlRTTYENDU=1)*(xlRTTYEQCL=$D26)*(xlRTEQTYPE=$E26),0))</f>
        <v>ELEC_RAD2</v>
      </c>
      <c r="Y26" s="153" t="str">
        <f t="array" ref="Y26">INDEX(xlRTTYNAME,MATCH(1,(xlRTTYENDU=2)*(xlRTTYEQCL=$F26)*(xlRTEQTYPE=$G26),0))</f>
        <v>CENT_AIR2</v>
      </c>
    </row>
    <row r="27" spans="2:25" x14ac:dyDescent="0.2">
      <c r="B27" s="126">
        <v>2</v>
      </c>
      <c r="C27" s="126">
        <v>1</v>
      </c>
      <c r="D27" s="126">
        <v>1</v>
      </c>
      <c r="E27" s="126">
        <v>1</v>
      </c>
      <c r="F27" s="126">
        <v>2</v>
      </c>
      <c r="G27" s="126">
        <v>5</v>
      </c>
      <c r="H27" s="126">
        <v>2016</v>
      </c>
      <c r="I27" s="126">
        <v>2022</v>
      </c>
      <c r="J27" s="127">
        <v>1.0329999999999999</v>
      </c>
      <c r="K27" s="127">
        <v>1.0758000000000001</v>
      </c>
      <c r="L27" s="127">
        <v>1.0038</v>
      </c>
      <c r="M27" s="127">
        <v>0.95550000000000002</v>
      </c>
      <c r="N27" s="127">
        <v>0.93179999999999996</v>
      </c>
      <c r="O27" s="127">
        <v>1.0538000000000001</v>
      </c>
      <c r="P27" s="126">
        <v>0</v>
      </c>
      <c r="Q27" s="128">
        <f t="array" ref="Q27">SUM(IF(($S27&gt;=4)*($C27='TaxCred&amp;Subs'!$D$123:$D$127)*($H27='TaxCred&amp;Subs'!$C$123:$C$127)*($H27&lt;='TaxCred&amp;Subs'!$C$129),'TaxCred&amp;Subs'!$E$123:$E$127,0))</f>
        <v>0</v>
      </c>
      <c r="R27" s="174">
        <v>0</v>
      </c>
      <c r="S27" s="126">
        <v>1</v>
      </c>
      <c r="T27" s="126" t="s">
        <v>223</v>
      </c>
      <c r="U27" s="158"/>
      <c r="V27" s="153" t="str">
        <f t="array" ref="V27">INDEX(xlRTCLNAME,MATCH(1,(xlRTCLENDU=1)*(xlRTCLEQCL=$D27),0))</f>
        <v>ELEC_RAD</v>
      </c>
      <c r="W27" s="153" t="str">
        <f t="array" ref="W27">INDEX(xlRTCLNAME,MATCH(1,(xlRTCLENDU=2)*(xlRTCLEQCL=$F27),0))</f>
        <v>CENT_AIR</v>
      </c>
      <c r="X27" s="153" t="str">
        <f t="array" ref="X27">INDEX(xlRTTYNAME,MATCH(1,(xlRTTYENDU=1)*(xlRTTYEQCL=$D27)*(xlRTEQTYPE=$E27),0))</f>
        <v>ELEC_RAD2</v>
      </c>
      <c r="Y27" s="153" t="str">
        <f t="array" ref="Y27">INDEX(xlRTTYNAME,MATCH(1,(xlRTTYENDU=2)*(xlRTTYEQCL=$F27)*(xlRTEQTYPE=$G27),0))</f>
        <v>CENT_AIR1</v>
      </c>
    </row>
    <row r="28" spans="2:25" x14ac:dyDescent="0.2">
      <c r="B28" s="126">
        <v>2</v>
      </c>
      <c r="C28" s="126">
        <v>1</v>
      </c>
      <c r="D28" s="126">
        <v>1</v>
      </c>
      <c r="E28" s="126">
        <v>1</v>
      </c>
      <c r="F28" s="126">
        <v>2</v>
      </c>
      <c r="G28" s="126">
        <v>6</v>
      </c>
      <c r="H28" s="126">
        <v>2023</v>
      </c>
      <c r="I28" s="126">
        <v>2050</v>
      </c>
      <c r="J28" s="127">
        <v>1.0329999999999999</v>
      </c>
      <c r="K28" s="127">
        <v>1.0758000000000001</v>
      </c>
      <c r="L28" s="127">
        <v>1.0038</v>
      </c>
      <c r="M28" s="127">
        <v>0.95550000000000002</v>
      </c>
      <c r="N28" s="127">
        <v>0.93179999999999996</v>
      </c>
      <c r="O28" s="127">
        <v>1.0538000000000001</v>
      </c>
      <c r="P28" s="126">
        <v>0</v>
      </c>
      <c r="Q28" s="128">
        <f t="array" ref="Q28">SUM(IF(($S28&gt;=4)*($C28='TaxCred&amp;Subs'!$D$123:$D$127)*($H28='TaxCred&amp;Subs'!$C$123:$C$127)*($H28&lt;='TaxCred&amp;Subs'!$C$129),'TaxCred&amp;Subs'!$E$123:$E$127,0))</f>
        <v>0</v>
      </c>
      <c r="R28" s="174">
        <v>0</v>
      </c>
      <c r="S28" s="126">
        <v>1</v>
      </c>
      <c r="T28" s="126" t="s">
        <v>223</v>
      </c>
      <c r="U28" s="158"/>
      <c r="V28" s="153" t="str">
        <f t="array" ref="V28">INDEX(xlRTCLNAME,MATCH(1,(xlRTCLENDU=1)*(xlRTCLEQCL=$D28),0))</f>
        <v>ELEC_RAD</v>
      </c>
      <c r="W28" s="153" t="str">
        <f t="array" ref="W28">INDEX(xlRTCLNAME,MATCH(1,(xlRTCLENDU=2)*(xlRTCLEQCL=$F28),0))</f>
        <v>CENT_AIR</v>
      </c>
      <c r="X28" s="153" t="str">
        <f t="array" ref="X28">INDEX(xlRTTYNAME,MATCH(1,(xlRTTYENDU=1)*(xlRTTYEQCL=$D28)*(xlRTEQTYPE=$E28),0))</f>
        <v>ELEC_RAD2</v>
      </c>
      <c r="Y28" s="153" t="str">
        <f t="array" ref="Y28">INDEX(xlRTTYNAME,MATCH(1,(xlRTTYENDU=2)*(xlRTTYEQCL=$F28)*(xlRTEQTYPE=$G28),0))</f>
        <v>CENT_AIR2</v>
      </c>
    </row>
    <row r="29" spans="2:25" x14ac:dyDescent="0.2">
      <c r="B29" s="126">
        <v>3</v>
      </c>
      <c r="C29" s="126">
        <v>1</v>
      </c>
      <c r="D29" s="126">
        <v>1</v>
      </c>
      <c r="E29" s="126">
        <v>1</v>
      </c>
      <c r="F29" s="126">
        <v>2</v>
      </c>
      <c r="G29" s="126">
        <v>5</v>
      </c>
      <c r="H29" s="126">
        <v>2016</v>
      </c>
      <c r="I29" s="126">
        <v>2022</v>
      </c>
      <c r="J29" s="127">
        <v>1.0839000000000001</v>
      </c>
      <c r="K29" s="127">
        <v>1.0588</v>
      </c>
      <c r="L29" s="127">
        <v>0.93530000000000002</v>
      </c>
      <c r="M29" s="127">
        <v>0.9627</v>
      </c>
      <c r="N29" s="127">
        <v>0.91600000000000004</v>
      </c>
      <c r="O29" s="127">
        <v>1.0538000000000001</v>
      </c>
      <c r="P29" s="126">
        <v>0</v>
      </c>
      <c r="Q29" s="128">
        <f t="array" ref="Q29">SUM(IF(($S29&gt;=4)*($C29='TaxCred&amp;Subs'!$D$123:$D$127)*($H29='TaxCred&amp;Subs'!$C$123:$C$127)*($H29&lt;='TaxCred&amp;Subs'!$C$129),'TaxCred&amp;Subs'!$E$123:$E$127,0))</f>
        <v>0</v>
      </c>
      <c r="R29" s="174">
        <v>0</v>
      </c>
      <c r="S29" s="126">
        <v>1</v>
      </c>
      <c r="T29" s="126" t="s">
        <v>223</v>
      </c>
      <c r="U29" s="158"/>
      <c r="V29" s="153" t="str">
        <f t="array" ref="V29">INDEX(xlRTCLNAME,MATCH(1,(xlRTCLENDU=1)*(xlRTCLEQCL=$D29),0))</f>
        <v>ELEC_RAD</v>
      </c>
      <c r="W29" s="153" t="str">
        <f t="array" ref="W29">INDEX(xlRTCLNAME,MATCH(1,(xlRTCLENDU=2)*(xlRTCLEQCL=$F29),0))</f>
        <v>CENT_AIR</v>
      </c>
      <c r="X29" s="153" t="str">
        <f t="array" ref="X29">INDEX(xlRTTYNAME,MATCH(1,(xlRTTYENDU=1)*(xlRTTYEQCL=$D29)*(xlRTEQTYPE=$E29),0))</f>
        <v>ELEC_RAD2</v>
      </c>
      <c r="Y29" s="153" t="str">
        <f t="array" ref="Y29">INDEX(xlRTTYNAME,MATCH(1,(xlRTTYENDU=2)*(xlRTTYEQCL=$F29)*(xlRTEQTYPE=$G29),0))</f>
        <v>CENT_AIR1</v>
      </c>
    </row>
    <row r="30" spans="2:25" x14ac:dyDescent="0.2">
      <c r="B30" s="126">
        <v>3</v>
      </c>
      <c r="C30" s="126">
        <v>1</v>
      </c>
      <c r="D30" s="126">
        <v>1</v>
      </c>
      <c r="E30" s="126">
        <v>1</v>
      </c>
      <c r="F30" s="126">
        <v>2</v>
      </c>
      <c r="G30" s="126">
        <v>6</v>
      </c>
      <c r="H30" s="126">
        <v>2023</v>
      </c>
      <c r="I30" s="126">
        <v>2050</v>
      </c>
      <c r="J30" s="127">
        <v>1.0839000000000001</v>
      </c>
      <c r="K30" s="127">
        <v>1.0588</v>
      </c>
      <c r="L30" s="127">
        <v>0.93530000000000002</v>
      </c>
      <c r="M30" s="127">
        <v>0.9627</v>
      </c>
      <c r="N30" s="127">
        <v>0.91600000000000004</v>
      </c>
      <c r="O30" s="127">
        <v>1.0538000000000001</v>
      </c>
      <c r="P30" s="126">
        <v>0</v>
      </c>
      <c r="Q30" s="128">
        <f t="array" ref="Q30">SUM(IF(($S30&gt;=4)*($C30='TaxCred&amp;Subs'!$D$123:$D$127)*($H30='TaxCred&amp;Subs'!$C$123:$C$127)*($H30&lt;='TaxCred&amp;Subs'!$C$129),'TaxCred&amp;Subs'!$E$123:$E$127,0))</f>
        <v>0</v>
      </c>
      <c r="R30" s="174">
        <v>0</v>
      </c>
      <c r="S30" s="126">
        <v>1</v>
      </c>
      <c r="T30" s="126" t="s">
        <v>223</v>
      </c>
      <c r="U30" s="158"/>
      <c r="V30" s="153" t="str">
        <f t="array" ref="V30">INDEX(xlRTCLNAME,MATCH(1,(xlRTCLENDU=1)*(xlRTCLEQCL=$D30),0))</f>
        <v>ELEC_RAD</v>
      </c>
      <c r="W30" s="153" t="str">
        <f t="array" ref="W30">INDEX(xlRTCLNAME,MATCH(1,(xlRTCLENDU=2)*(xlRTCLEQCL=$F30),0))</f>
        <v>CENT_AIR</v>
      </c>
      <c r="X30" s="153" t="str">
        <f t="array" ref="X30">INDEX(xlRTTYNAME,MATCH(1,(xlRTTYENDU=1)*(xlRTTYEQCL=$D30)*(xlRTEQTYPE=$E30),0))</f>
        <v>ELEC_RAD2</v>
      </c>
      <c r="Y30" s="153" t="str">
        <f t="array" ref="Y30">INDEX(xlRTTYNAME,MATCH(1,(xlRTTYENDU=2)*(xlRTTYEQCL=$F30)*(xlRTEQTYPE=$G30),0))</f>
        <v>CENT_AIR2</v>
      </c>
    </row>
    <row r="31" spans="2:25" x14ac:dyDescent="0.2">
      <c r="B31" s="126">
        <v>4</v>
      </c>
      <c r="C31" s="126">
        <v>1</v>
      </c>
      <c r="D31" s="126">
        <v>1</v>
      </c>
      <c r="E31" s="126">
        <v>1</v>
      </c>
      <c r="F31" s="126">
        <v>2</v>
      </c>
      <c r="G31" s="126">
        <v>5</v>
      </c>
      <c r="H31" s="126">
        <v>2016</v>
      </c>
      <c r="I31" s="126">
        <v>2022</v>
      </c>
      <c r="J31" s="127">
        <v>1.0358000000000001</v>
      </c>
      <c r="K31" s="127">
        <v>1.0769</v>
      </c>
      <c r="L31" s="127">
        <v>0.87729999999999997</v>
      </c>
      <c r="M31" s="127">
        <v>0.87319999999999998</v>
      </c>
      <c r="N31" s="127">
        <v>0.85760000000000003</v>
      </c>
      <c r="O31" s="127">
        <v>1.0538000000000001</v>
      </c>
      <c r="P31" s="126">
        <v>0</v>
      </c>
      <c r="Q31" s="128">
        <f t="array" ref="Q31">SUM(IF(($S31&gt;=4)*($C31='TaxCred&amp;Subs'!$D$123:$D$127)*($H31='TaxCred&amp;Subs'!$C$123:$C$127)*($H31&lt;='TaxCred&amp;Subs'!$C$129),'TaxCred&amp;Subs'!$E$123:$E$127,0))</f>
        <v>0</v>
      </c>
      <c r="R31" s="174">
        <v>0</v>
      </c>
      <c r="S31" s="126">
        <v>1</v>
      </c>
      <c r="T31" s="126" t="s">
        <v>223</v>
      </c>
      <c r="U31" s="158"/>
      <c r="V31" s="153" t="str">
        <f t="array" ref="V31">INDEX(xlRTCLNAME,MATCH(1,(xlRTCLENDU=1)*(xlRTCLEQCL=$D31),0))</f>
        <v>ELEC_RAD</v>
      </c>
      <c r="W31" s="153" t="str">
        <f t="array" ref="W31">INDEX(xlRTCLNAME,MATCH(1,(xlRTCLENDU=2)*(xlRTCLEQCL=$F31),0))</f>
        <v>CENT_AIR</v>
      </c>
      <c r="X31" s="153" t="str">
        <f t="array" ref="X31">INDEX(xlRTTYNAME,MATCH(1,(xlRTTYENDU=1)*(xlRTTYEQCL=$D31)*(xlRTEQTYPE=$E31),0))</f>
        <v>ELEC_RAD2</v>
      </c>
      <c r="Y31" s="153" t="str">
        <f t="array" ref="Y31">INDEX(xlRTTYNAME,MATCH(1,(xlRTTYENDU=2)*(xlRTTYEQCL=$F31)*(xlRTEQTYPE=$G31),0))</f>
        <v>CENT_AIR1</v>
      </c>
    </row>
    <row r="32" spans="2:25" x14ac:dyDescent="0.2">
      <c r="B32" s="126">
        <v>4</v>
      </c>
      <c r="C32" s="126">
        <v>1</v>
      </c>
      <c r="D32" s="126">
        <v>1</v>
      </c>
      <c r="E32" s="126">
        <v>1</v>
      </c>
      <c r="F32" s="126">
        <v>2</v>
      </c>
      <c r="G32" s="126">
        <v>6</v>
      </c>
      <c r="H32" s="126">
        <v>2023</v>
      </c>
      <c r="I32" s="126">
        <v>2050</v>
      </c>
      <c r="J32" s="127">
        <v>1.0358000000000001</v>
      </c>
      <c r="K32" s="127">
        <v>1.0769</v>
      </c>
      <c r="L32" s="127">
        <v>0.87729999999999997</v>
      </c>
      <c r="M32" s="127">
        <v>0.87319999999999998</v>
      </c>
      <c r="N32" s="127">
        <v>0.85760000000000003</v>
      </c>
      <c r="O32" s="127">
        <v>1.0538000000000001</v>
      </c>
      <c r="P32" s="126">
        <v>0</v>
      </c>
      <c r="Q32" s="128">
        <f t="array" ref="Q32">SUM(IF(($S32&gt;=4)*($C32='TaxCred&amp;Subs'!$D$123:$D$127)*($H32='TaxCred&amp;Subs'!$C$123:$C$127)*($H32&lt;='TaxCred&amp;Subs'!$C$129),'TaxCred&amp;Subs'!$E$123:$E$127,0))</f>
        <v>0</v>
      </c>
      <c r="R32" s="174">
        <v>0</v>
      </c>
      <c r="S32" s="126">
        <v>1</v>
      </c>
      <c r="T32" s="126" t="s">
        <v>223</v>
      </c>
      <c r="U32" s="158"/>
      <c r="V32" s="153" t="str">
        <f t="array" ref="V32">INDEX(xlRTCLNAME,MATCH(1,(xlRTCLENDU=1)*(xlRTCLEQCL=$D32),0))</f>
        <v>ELEC_RAD</v>
      </c>
      <c r="W32" s="153" t="str">
        <f t="array" ref="W32">INDEX(xlRTCLNAME,MATCH(1,(xlRTCLENDU=2)*(xlRTCLEQCL=$F32),0))</f>
        <v>CENT_AIR</v>
      </c>
      <c r="X32" s="153" t="str">
        <f t="array" ref="X32">INDEX(xlRTTYNAME,MATCH(1,(xlRTTYENDU=1)*(xlRTTYEQCL=$D32)*(xlRTEQTYPE=$E32),0))</f>
        <v>ELEC_RAD2</v>
      </c>
      <c r="Y32" s="153" t="str">
        <f t="array" ref="Y32">INDEX(xlRTTYNAME,MATCH(1,(xlRTTYENDU=2)*(xlRTTYEQCL=$F32)*(xlRTEQTYPE=$G32),0))</f>
        <v>CENT_AIR2</v>
      </c>
    </row>
    <row r="33" spans="2:25" x14ac:dyDescent="0.2">
      <c r="B33" s="126">
        <v>5</v>
      </c>
      <c r="C33" s="126">
        <v>1</v>
      </c>
      <c r="D33" s="126">
        <v>1</v>
      </c>
      <c r="E33" s="126">
        <v>1</v>
      </c>
      <c r="F33" s="126">
        <v>2</v>
      </c>
      <c r="G33" s="126">
        <v>5</v>
      </c>
      <c r="H33" s="126">
        <v>2016</v>
      </c>
      <c r="I33" s="126">
        <v>2022</v>
      </c>
      <c r="J33" s="127">
        <v>1.0401</v>
      </c>
      <c r="K33" s="127">
        <v>1.032</v>
      </c>
      <c r="L33" s="127">
        <v>0.90529999999999999</v>
      </c>
      <c r="M33" s="127">
        <v>1.0934999999999999</v>
      </c>
      <c r="N33" s="127">
        <v>0.76090000000000002</v>
      </c>
      <c r="O33" s="127">
        <v>1.0538000000000001</v>
      </c>
      <c r="P33" s="126">
        <v>0</v>
      </c>
      <c r="Q33" s="128">
        <f t="array" ref="Q33">SUM(IF(($S33&gt;=4)*($C33='TaxCred&amp;Subs'!$D$123:$D$127)*($H33='TaxCred&amp;Subs'!$C$123:$C$127)*($H33&lt;='TaxCred&amp;Subs'!$C$129),'TaxCred&amp;Subs'!$E$123:$E$127,0))</f>
        <v>0</v>
      </c>
      <c r="R33" s="174">
        <v>0</v>
      </c>
      <c r="S33" s="126">
        <v>1</v>
      </c>
      <c r="T33" s="126" t="s">
        <v>223</v>
      </c>
      <c r="U33" s="158"/>
      <c r="V33" s="153" t="str">
        <f t="array" ref="V33">INDEX(xlRTCLNAME,MATCH(1,(xlRTCLENDU=1)*(xlRTCLEQCL=$D33),0))</f>
        <v>ELEC_RAD</v>
      </c>
      <c r="W33" s="153" t="str">
        <f t="array" ref="W33">INDEX(xlRTCLNAME,MATCH(1,(xlRTCLENDU=2)*(xlRTCLEQCL=$F33),0))</f>
        <v>CENT_AIR</v>
      </c>
      <c r="X33" s="153" t="str">
        <f t="array" ref="X33">INDEX(xlRTTYNAME,MATCH(1,(xlRTTYENDU=1)*(xlRTTYEQCL=$D33)*(xlRTEQTYPE=$E33),0))</f>
        <v>ELEC_RAD2</v>
      </c>
      <c r="Y33" s="153" t="str">
        <f t="array" ref="Y33">INDEX(xlRTTYNAME,MATCH(1,(xlRTTYENDU=2)*(xlRTTYEQCL=$F33)*(xlRTEQTYPE=$G33),0))</f>
        <v>CENT_AIR1</v>
      </c>
    </row>
    <row r="34" spans="2:25" x14ac:dyDescent="0.2">
      <c r="B34" s="126">
        <v>5</v>
      </c>
      <c r="C34" s="126">
        <v>1</v>
      </c>
      <c r="D34" s="126">
        <v>1</v>
      </c>
      <c r="E34" s="126">
        <v>1</v>
      </c>
      <c r="F34" s="126">
        <v>2</v>
      </c>
      <c r="G34" s="126">
        <v>6</v>
      </c>
      <c r="H34" s="126">
        <v>2023</v>
      </c>
      <c r="I34" s="126">
        <v>2050</v>
      </c>
      <c r="J34" s="127">
        <v>1.0401</v>
      </c>
      <c r="K34" s="127">
        <v>1.032</v>
      </c>
      <c r="L34" s="127">
        <v>0.90529999999999999</v>
      </c>
      <c r="M34" s="127">
        <v>1.0934999999999999</v>
      </c>
      <c r="N34" s="127">
        <v>0.76090000000000002</v>
      </c>
      <c r="O34" s="127">
        <v>1.0538000000000001</v>
      </c>
      <c r="P34" s="126">
        <v>0</v>
      </c>
      <c r="Q34" s="128">
        <f t="array" ref="Q34">SUM(IF(($S34&gt;=4)*($C34='TaxCred&amp;Subs'!$D$123:$D$127)*($H34='TaxCred&amp;Subs'!$C$123:$C$127)*($H34&lt;='TaxCred&amp;Subs'!$C$129),'TaxCred&amp;Subs'!$E$123:$E$127,0))</f>
        <v>0</v>
      </c>
      <c r="R34" s="174">
        <v>0</v>
      </c>
      <c r="S34" s="126">
        <v>1</v>
      </c>
      <c r="T34" s="126" t="s">
        <v>223</v>
      </c>
      <c r="U34" s="158"/>
      <c r="V34" s="153" t="str">
        <f t="array" ref="V34">INDEX(xlRTCLNAME,MATCH(1,(xlRTCLENDU=1)*(xlRTCLEQCL=$D34),0))</f>
        <v>ELEC_RAD</v>
      </c>
      <c r="W34" s="153" t="str">
        <f t="array" ref="W34">INDEX(xlRTCLNAME,MATCH(1,(xlRTCLENDU=2)*(xlRTCLEQCL=$F34),0))</f>
        <v>CENT_AIR</v>
      </c>
      <c r="X34" s="153" t="str">
        <f t="array" ref="X34">INDEX(xlRTTYNAME,MATCH(1,(xlRTTYENDU=1)*(xlRTTYEQCL=$D34)*(xlRTEQTYPE=$E34),0))</f>
        <v>ELEC_RAD2</v>
      </c>
      <c r="Y34" s="153" t="str">
        <f t="array" ref="Y34">INDEX(xlRTTYNAME,MATCH(1,(xlRTTYENDU=2)*(xlRTTYEQCL=$F34)*(xlRTEQTYPE=$G34),0))</f>
        <v>CENT_AIR2</v>
      </c>
    </row>
    <row r="35" spans="2:25" x14ac:dyDescent="0.2">
      <c r="B35" s="126">
        <v>6</v>
      </c>
      <c r="C35" s="126">
        <v>1</v>
      </c>
      <c r="D35" s="126">
        <v>1</v>
      </c>
      <c r="E35" s="126">
        <v>1</v>
      </c>
      <c r="F35" s="126">
        <v>2</v>
      </c>
      <c r="G35" s="126">
        <v>5</v>
      </c>
      <c r="H35" s="126">
        <v>2016</v>
      </c>
      <c r="I35" s="126">
        <v>2022</v>
      </c>
      <c r="J35" s="127">
        <v>1.0918000000000001</v>
      </c>
      <c r="K35" s="127">
        <v>1.0613999999999999</v>
      </c>
      <c r="L35" s="127">
        <v>1.0311999999999999</v>
      </c>
      <c r="M35" s="127">
        <v>1.1335999999999999</v>
      </c>
      <c r="N35" s="127">
        <v>0.89190000000000003</v>
      </c>
      <c r="O35" s="127">
        <v>1.0538000000000001</v>
      </c>
      <c r="P35" s="126">
        <v>0</v>
      </c>
      <c r="Q35" s="128">
        <f t="array" ref="Q35">SUM(IF(($S35&gt;=4)*($C35='TaxCred&amp;Subs'!$D$123:$D$127)*($H35='TaxCred&amp;Subs'!$C$123:$C$127)*($H35&lt;='TaxCred&amp;Subs'!$C$129),'TaxCred&amp;Subs'!$E$123:$E$127,0))</f>
        <v>0</v>
      </c>
      <c r="R35" s="174">
        <v>0</v>
      </c>
      <c r="S35" s="126">
        <v>1</v>
      </c>
      <c r="T35" s="126" t="s">
        <v>223</v>
      </c>
      <c r="U35" s="158"/>
      <c r="V35" s="153" t="str">
        <f t="array" ref="V35">INDEX(xlRTCLNAME,MATCH(1,(xlRTCLENDU=1)*(xlRTCLEQCL=$D35),0))</f>
        <v>ELEC_RAD</v>
      </c>
      <c r="W35" s="153" t="str">
        <f t="array" ref="W35">INDEX(xlRTCLNAME,MATCH(1,(xlRTCLENDU=2)*(xlRTCLEQCL=$F35),0))</f>
        <v>CENT_AIR</v>
      </c>
      <c r="X35" s="153" t="str">
        <f t="array" ref="X35">INDEX(xlRTTYNAME,MATCH(1,(xlRTTYENDU=1)*(xlRTTYEQCL=$D35)*(xlRTEQTYPE=$E35),0))</f>
        <v>ELEC_RAD2</v>
      </c>
      <c r="Y35" s="153" t="str">
        <f t="array" ref="Y35">INDEX(xlRTTYNAME,MATCH(1,(xlRTTYENDU=2)*(xlRTTYEQCL=$F35)*(xlRTEQTYPE=$G35),0))</f>
        <v>CENT_AIR1</v>
      </c>
    </row>
    <row r="36" spans="2:25" x14ac:dyDescent="0.2">
      <c r="B36" s="126">
        <v>6</v>
      </c>
      <c r="C36" s="126">
        <v>1</v>
      </c>
      <c r="D36" s="126">
        <v>1</v>
      </c>
      <c r="E36" s="126">
        <v>1</v>
      </c>
      <c r="F36" s="126">
        <v>2</v>
      </c>
      <c r="G36" s="126">
        <v>6</v>
      </c>
      <c r="H36" s="126">
        <v>2023</v>
      </c>
      <c r="I36" s="126">
        <v>2050</v>
      </c>
      <c r="J36" s="127">
        <v>1.0918000000000001</v>
      </c>
      <c r="K36" s="127">
        <v>1.0613999999999999</v>
      </c>
      <c r="L36" s="127">
        <v>1.0311999999999999</v>
      </c>
      <c r="M36" s="127">
        <v>1.1335999999999999</v>
      </c>
      <c r="N36" s="127">
        <v>0.89190000000000003</v>
      </c>
      <c r="O36" s="127">
        <v>1.0538000000000001</v>
      </c>
      <c r="P36" s="126">
        <v>0</v>
      </c>
      <c r="Q36" s="128">
        <f t="array" ref="Q36">SUM(IF(($S36&gt;=4)*($C36='TaxCred&amp;Subs'!$D$123:$D$127)*($H36='TaxCred&amp;Subs'!$C$123:$C$127)*($H36&lt;='TaxCred&amp;Subs'!$C$129),'TaxCred&amp;Subs'!$E$123:$E$127,0))</f>
        <v>0</v>
      </c>
      <c r="R36" s="174">
        <v>0</v>
      </c>
      <c r="S36" s="126">
        <v>1</v>
      </c>
      <c r="T36" s="126" t="s">
        <v>223</v>
      </c>
      <c r="U36" s="158"/>
      <c r="V36" s="153" t="str">
        <f t="array" ref="V36">INDEX(xlRTCLNAME,MATCH(1,(xlRTCLENDU=1)*(xlRTCLEQCL=$D36),0))</f>
        <v>ELEC_RAD</v>
      </c>
      <c r="W36" s="153" t="str">
        <f t="array" ref="W36">INDEX(xlRTCLNAME,MATCH(1,(xlRTCLENDU=2)*(xlRTCLEQCL=$F36),0))</f>
        <v>CENT_AIR</v>
      </c>
      <c r="X36" s="153" t="str">
        <f t="array" ref="X36">INDEX(xlRTTYNAME,MATCH(1,(xlRTTYENDU=1)*(xlRTTYEQCL=$D36)*(xlRTEQTYPE=$E36),0))</f>
        <v>ELEC_RAD2</v>
      </c>
      <c r="Y36" s="153" t="str">
        <f t="array" ref="Y36">INDEX(xlRTTYNAME,MATCH(1,(xlRTTYENDU=2)*(xlRTTYEQCL=$F36)*(xlRTEQTYPE=$G36),0))</f>
        <v>CENT_AIR2</v>
      </c>
    </row>
    <row r="37" spans="2:25" x14ac:dyDescent="0.2">
      <c r="B37" s="126">
        <v>7</v>
      </c>
      <c r="C37" s="126">
        <v>1</v>
      </c>
      <c r="D37" s="126">
        <v>1</v>
      </c>
      <c r="E37" s="126">
        <v>1</v>
      </c>
      <c r="F37" s="126">
        <v>2</v>
      </c>
      <c r="G37" s="126">
        <v>5</v>
      </c>
      <c r="H37" s="126">
        <v>2016</v>
      </c>
      <c r="I37" s="126">
        <v>2022</v>
      </c>
      <c r="J37" s="127">
        <v>1.0906</v>
      </c>
      <c r="K37" s="127">
        <v>1.0542</v>
      </c>
      <c r="L37" s="127">
        <v>1.0471999999999999</v>
      </c>
      <c r="M37" s="127">
        <v>1.0382</v>
      </c>
      <c r="N37" s="127">
        <v>0.87239999999999995</v>
      </c>
      <c r="O37" s="127">
        <v>1.0538000000000001</v>
      </c>
      <c r="P37" s="126">
        <v>0</v>
      </c>
      <c r="Q37" s="128">
        <f t="array" ref="Q37">SUM(IF(($S37&gt;=4)*($C37='TaxCred&amp;Subs'!$D$123:$D$127)*($H37='TaxCred&amp;Subs'!$C$123:$C$127)*($H37&lt;='TaxCred&amp;Subs'!$C$129),'TaxCred&amp;Subs'!$E$123:$E$127,0))</f>
        <v>0</v>
      </c>
      <c r="R37" s="174">
        <v>0</v>
      </c>
      <c r="S37" s="126">
        <v>1</v>
      </c>
      <c r="T37" s="126" t="s">
        <v>223</v>
      </c>
      <c r="U37" s="158"/>
      <c r="V37" s="153" t="str">
        <f t="array" ref="V37">INDEX(xlRTCLNAME,MATCH(1,(xlRTCLENDU=1)*(xlRTCLEQCL=$D37),0))</f>
        <v>ELEC_RAD</v>
      </c>
      <c r="W37" s="153" t="str">
        <f t="array" ref="W37">INDEX(xlRTCLNAME,MATCH(1,(xlRTCLENDU=2)*(xlRTCLEQCL=$F37),0))</f>
        <v>CENT_AIR</v>
      </c>
      <c r="X37" s="153" t="str">
        <f t="array" ref="X37">INDEX(xlRTTYNAME,MATCH(1,(xlRTTYENDU=1)*(xlRTTYEQCL=$D37)*(xlRTEQTYPE=$E37),0))</f>
        <v>ELEC_RAD2</v>
      </c>
      <c r="Y37" s="153" t="str">
        <f t="array" ref="Y37">INDEX(xlRTTYNAME,MATCH(1,(xlRTTYENDU=2)*(xlRTTYEQCL=$F37)*(xlRTEQTYPE=$G37),0))</f>
        <v>CENT_AIR1</v>
      </c>
    </row>
    <row r="38" spans="2:25" x14ac:dyDescent="0.2">
      <c r="B38" s="126">
        <v>7</v>
      </c>
      <c r="C38" s="126">
        <v>1</v>
      </c>
      <c r="D38" s="126">
        <v>1</v>
      </c>
      <c r="E38" s="126">
        <v>1</v>
      </c>
      <c r="F38" s="126">
        <v>2</v>
      </c>
      <c r="G38" s="126">
        <v>6</v>
      </c>
      <c r="H38" s="126">
        <v>2023</v>
      </c>
      <c r="I38" s="126">
        <v>2050</v>
      </c>
      <c r="J38" s="127">
        <v>1.0906</v>
      </c>
      <c r="K38" s="127">
        <v>1.0542</v>
      </c>
      <c r="L38" s="127">
        <v>1.0471999999999999</v>
      </c>
      <c r="M38" s="127">
        <v>1.0382</v>
      </c>
      <c r="N38" s="127">
        <v>0.87239999999999995</v>
      </c>
      <c r="O38" s="127">
        <v>1.0538000000000001</v>
      </c>
      <c r="P38" s="126">
        <v>0</v>
      </c>
      <c r="Q38" s="128">
        <f t="array" ref="Q38">SUM(IF(($S38&gt;=4)*($C38='TaxCred&amp;Subs'!$D$123:$D$127)*($H38='TaxCred&amp;Subs'!$C$123:$C$127)*($H38&lt;='TaxCred&amp;Subs'!$C$129),'TaxCred&amp;Subs'!$E$123:$E$127,0))</f>
        <v>0</v>
      </c>
      <c r="R38" s="174">
        <v>0</v>
      </c>
      <c r="S38" s="126">
        <v>1</v>
      </c>
      <c r="T38" s="126" t="s">
        <v>223</v>
      </c>
      <c r="U38" s="158"/>
      <c r="V38" s="153" t="str">
        <f t="array" ref="V38">INDEX(xlRTCLNAME,MATCH(1,(xlRTCLENDU=1)*(xlRTCLEQCL=$D38),0))</f>
        <v>ELEC_RAD</v>
      </c>
      <c r="W38" s="153" t="str">
        <f t="array" ref="W38">INDEX(xlRTCLNAME,MATCH(1,(xlRTCLENDU=2)*(xlRTCLEQCL=$F38),0))</f>
        <v>CENT_AIR</v>
      </c>
      <c r="X38" s="153" t="str">
        <f t="array" ref="X38">INDEX(xlRTTYNAME,MATCH(1,(xlRTTYENDU=1)*(xlRTTYEQCL=$D38)*(xlRTEQTYPE=$E38),0))</f>
        <v>ELEC_RAD2</v>
      </c>
      <c r="Y38" s="153" t="str">
        <f t="array" ref="Y38">INDEX(xlRTTYNAME,MATCH(1,(xlRTTYENDU=2)*(xlRTTYEQCL=$F38)*(xlRTEQTYPE=$G38),0))</f>
        <v>CENT_AIR2</v>
      </c>
    </row>
    <row r="39" spans="2:25" x14ac:dyDescent="0.2">
      <c r="B39" s="126">
        <v>8</v>
      </c>
      <c r="C39" s="126">
        <v>1</v>
      </c>
      <c r="D39" s="126">
        <v>1</v>
      </c>
      <c r="E39" s="126">
        <v>1</v>
      </c>
      <c r="F39" s="126">
        <v>2</v>
      </c>
      <c r="G39" s="126">
        <v>5</v>
      </c>
      <c r="H39" s="126">
        <v>2016</v>
      </c>
      <c r="I39" s="126">
        <v>2022</v>
      </c>
      <c r="J39" s="127">
        <v>1.0363</v>
      </c>
      <c r="K39" s="127">
        <v>1.0704</v>
      </c>
      <c r="L39" s="127">
        <v>0.97699999999999998</v>
      </c>
      <c r="M39" s="127">
        <v>1.0076000000000001</v>
      </c>
      <c r="N39" s="127">
        <v>0.86919999999999997</v>
      </c>
      <c r="O39" s="127">
        <v>1.0538000000000001</v>
      </c>
      <c r="P39" s="126">
        <v>0</v>
      </c>
      <c r="Q39" s="128">
        <f t="array" ref="Q39">SUM(IF(($S39&gt;=4)*($C39='TaxCred&amp;Subs'!$D$123:$D$127)*($H39='TaxCred&amp;Subs'!$C$123:$C$127)*($H39&lt;='TaxCred&amp;Subs'!$C$129),'TaxCred&amp;Subs'!$E$123:$E$127,0))</f>
        <v>0</v>
      </c>
      <c r="R39" s="174">
        <v>0</v>
      </c>
      <c r="S39" s="126">
        <v>1</v>
      </c>
      <c r="T39" s="126" t="s">
        <v>223</v>
      </c>
      <c r="U39" s="158"/>
      <c r="V39" s="153" t="str">
        <f t="array" ref="V39">INDEX(xlRTCLNAME,MATCH(1,(xlRTCLENDU=1)*(xlRTCLEQCL=$D39),0))</f>
        <v>ELEC_RAD</v>
      </c>
      <c r="W39" s="153" t="str">
        <f t="array" ref="W39">INDEX(xlRTCLNAME,MATCH(1,(xlRTCLENDU=2)*(xlRTCLEQCL=$F39),0))</f>
        <v>CENT_AIR</v>
      </c>
      <c r="X39" s="153" t="str">
        <f t="array" ref="X39">INDEX(xlRTTYNAME,MATCH(1,(xlRTTYENDU=1)*(xlRTTYEQCL=$D39)*(xlRTEQTYPE=$E39),0))</f>
        <v>ELEC_RAD2</v>
      </c>
      <c r="Y39" s="153" t="str">
        <f t="array" ref="Y39">INDEX(xlRTTYNAME,MATCH(1,(xlRTTYENDU=2)*(xlRTTYEQCL=$F39)*(xlRTEQTYPE=$G39),0))</f>
        <v>CENT_AIR1</v>
      </c>
    </row>
    <row r="40" spans="2:25" x14ac:dyDescent="0.2">
      <c r="B40" s="126">
        <v>8</v>
      </c>
      <c r="C40" s="126">
        <v>1</v>
      </c>
      <c r="D40" s="126">
        <v>1</v>
      </c>
      <c r="E40" s="126">
        <v>1</v>
      </c>
      <c r="F40" s="126">
        <v>2</v>
      </c>
      <c r="G40" s="126">
        <v>6</v>
      </c>
      <c r="H40" s="126">
        <v>2023</v>
      </c>
      <c r="I40" s="126">
        <v>2050</v>
      </c>
      <c r="J40" s="127">
        <v>1.0363</v>
      </c>
      <c r="K40" s="127">
        <v>1.0704</v>
      </c>
      <c r="L40" s="127">
        <v>0.97699999999999998</v>
      </c>
      <c r="M40" s="127">
        <v>1.0076000000000001</v>
      </c>
      <c r="N40" s="127">
        <v>0.86919999999999997</v>
      </c>
      <c r="O40" s="127">
        <v>1.0538000000000001</v>
      </c>
      <c r="P40" s="126">
        <v>0</v>
      </c>
      <c r="Q40" s="128">
        <f t="array" ref="Q40">SUM(IF(($S40&gt;=4)*($C40='TaxCred&amp;Subs'!$D$123:$D$127)*($H40='TaxCred&amp;Subs'!$C$123:$C$127)*($H40&lt;='TaxCred&amp;Subs'!$C$129),'TaxCred&amp;Subs'!$E$123:$E$127,0))</f>
        <v>0</v>
      </c>
      <c r="R40" s="174">
        <v>0</v>
      </c>
      <c r="S40" s="126">
        <v>1</v>
      </c>
      <c r="T40" s="126" t="s">
        <v>223</v>
      </c>
      <c r="U40" s="158"/>
      <c r="V40" s="153" t="str">
        <f t="array" ref="V40">INDEX(xlRTCLNAME,MATCH(1,(xlRTCLENDU=1)*(xlRTCLEQCL=$D40),0))</f>
        <v>ELEC_RAD</v>
      </c>
      <c r="W40" s="153" t="str">
        <f t="array" ref="W40">INDEX(xlRTCLNAME,MATCH(1,(xlRTCLENDU=2)*(xlRTCLEQCL=$F40),0))</f>
        <v>CENT_AIR</v>
      </c>
      <c r="X40" s="153" t="str">
        <f t="array" ref="X40">INDEX(xlRTTYNAME,MATCH(1,(xlRTTYENDU=1)*(xlRTTYEQCL=$D40)*(xlRTEQTYPE=$E40),0))</f>
        <v>ELEC_RAD2</v>
      </c>
      <c r="Y40" s="153" t="str">
        <f t="array" ref="Y40">INDEX(xlRTTYNAME,MATCH(1,(xlRTTYENDU=2)*(xlRTTYEQCL=$F40)*(xlRTEQTYPE=$G40),0))</f>
        <v>CENT_AIR2</v>
      </c>
    </row>
    <row r="41" spans="2:25" x14ac:dyDescent="0.2">
      <c r="B41" s="126">
        <v>9</v>
      </c>
      <c r="C41" s="126">
        <v>1</v>
      </c>
      <c r="D41" s="126">
        <v>1</v>
      </c>
      <c r="E41" s="126">
        <v>1</v>
      </c>
      <c r="F41" s="126">
        <v>2</v>
      </c>
      <c r="G41" s="126">
        <v>5</v>
      </c>
      <c r="H41" s="126">
        <v>2016</v>
      </c>
      <c r="I41" s="126">
        <v>2022</v>
      </c>
      <c r="J41" s="127">
        <v>1.0367</v>
      </c>
      <c r="K41" s="127">
        <v>1.0638000000000001</v>
      </c>
      <c r="L41" s="127">
        <v>1.1235999999999999</v>
      </c>
      <c r="M41" s="127">
        <v>1.1204000000000001</v>
      </c>
      <c r="N41" s="127">
        <v>1.0334000000000001</v>
      </c>
      <c r="O41" s="127">
        <v>1.0538000000000001</v>
      </c>
      <c r="P41" s="126">
        <v>0</v>
      </c>
      <c r="Q41" s="128">
        <f t="array" ref="Q41">SUM(IF(($S41&gt;=4)*($C41='TaxCred&amp;Subs'!$D$123:$D$127)*($H41='TaxCred&amp;Subs'!$C$123:$C$127)*($H41&lt;='TaxCred&amp;Subs'!$C$129),'TaxCred&amp;Subs'!$E$123:$E$127,0))</f>
        <v>0</v>
      </c>
      <c r="R41" s="174">
        <v>0</v>
      </c>
      <c r="S41" s="126">
        <v>1</v>
      </c>
      <c r="T41" s="126" t="s">
        <v>223</v>
      </c>
      <c r="U41" s="158"/>
      <c r="V41" s="153" t="str">
        <f t="array" ref="V41">INDEX(xlRTCLNAME,MATCH(1,(xlRTCLENDU=1)*(xlRTCLEQCL=$D41),0))</f>
        <v>ELEC_RAD</v>
      </c>
      <c r="W41" s="153" t="str">
        <f t="array" ref="W41">INDEX(xlRTCLNAME,MATCH(1,(xlRTCLENDU=2)*(xlRTCLEQCL=$F41),0))</f>
        <v>CENT_AIR</v>
      </c>
      <c r="X41" s="153" t="str">
        <f t="array" ref="X41">INDEX(xlRTTYNAME,MATCH(1,(xlRTTYENDU=1)*(xlRTTYEQCL=$D41)*(xlRTEQTYPE=$E41),0))</f>
        <v>ELEC_RAD2</v>
      </c>
      <c r="Y41" s="153" t="str">
        <f t="array" ref="Y41">INDEX(xlRTTYNAME,MATCH(1,(xlRTTYENDU=2)*(xlRTTYEQCL=$F41)*(xlRTEQTYPE=$G41),0))</f>
        <v>CENT_AIR1</v>
      </c>
    </row>
    <row r="42" spans="2:25" x14ac:dyDescent="0.2">
      <c r="B42" s="126">
        <v>9</v>
      </c>
      <c r="C42" s="126">
        <v>1</v>
      </c>
      <c r="D42" s="126">
        <v>1</v>
      </c>
      <c r="E42" s="126">
        <v>1</v>
      </c>
      <c r="F42" s="126">
        <v>2</v>
      </c>
      <c r="G42" s="126">
        <v>6</v>
      </c>
      <c r="H42" s="126">
        <v>2023</v>
      </c>
      <c r="I42" s="126">
        <v>2050</v>
      </c>
      <c r="J42" s="127">
        <v>1.0367</v>
      </c>
      <c r="K42" s="127">
        <v>1.0638000000000001</v>
      </c>
      <c r="L42" s="127">
        <v>1.1235999999999999</v>
      </c>
      <c r="M42" s="127">
        <v>1.1204000000000001</v>
      </c>
      <c r="N42" s="127">
        <v>1.0334000000000001</v>
      </c>
      <c r="O42" s="127">
        <v>1.0538000000000001</v>
      </c>
      <c r="P42" s="126">
        <v>0</v>
      </c>
      <c r="Q42" s="128">
        <f t="array" ref="Q42">SUM(IF(($S42&gt;=4)*($C42='TaxCred&amp;Subs'!$D$123:$D$127)*($H42='TaxCred&amp;Subs'!$C$123:$C$127)*($H42&lt;='TaxCred&amp;Subs'!$C$129),'TaxCred&amp;Subs'!$E$123:$E$127,0))</f>
        <v>0</v>
      </c>
      <c r="R42" s="174">
        <v>0</v>
      </c>
      <c r="S42" s="126">
        <v>1</v>
      </c>
      <c r="T42" s="126" t="s">
        <v>223</v>
      </c>
      <c r="U42" s="158"/>
      <c r="V42" s="153" t="str">
        <f t="array" ref="V42">INDEX(xlRTCLNAME,MATCH(1,(xlRTCLENDU=1)*(xlRTCLEQCL=$D42),0))</f>
        <v>ELEC_RAD</v>
      </c>
      <c r="W42" s="153" t="str">
        <f t="array" ref="W42">INDEX(xlRTCLNAME,MATCH(1,(xlRTCLENDU=2)*(xlRTCLEQCL=$F42),0))</f>
        <v>CENT_AIR</v>
      </c>
      <c r="X42" s="153" t="str">
        <f t="array" ref="X42">INDEX(xlRTTYNAME,MATCH(1,(xlRTTYENDU=1)*(xlRTTYEQCL=$D42)*(xlRTEQTYPE=$E42),0))</f>
        <v>ELEC_RAD2</v>
      </c>
      <c r="Y42" s="153" t="str">
        <f t="array" ref="Y42">INDEX(xlRTTYNAME,MATCH(1,(xlRTTYENDU=2)*(xlRTTYEQCL=$F42)*(xlRTEQTYPE=$G42),0))</f>
        <v>CENT_AIR2</v>
      </c>
    </row>
    <row r="43" spans="2:25" x14ac:dyDescent="0.2">
      <c r="B43" s="126">
        <v>1</v>
      </c>
      <c r="C43" s="126">
        <v>1</v>
      </c>
      <c r="D43" s="126">
        <v>2</v>
      </c>
      <c r="E43" s="126">
        <v>2</v>
      </c>
      <c r="F43" s="126">
        <v>3</v>
      </c>
      <c r="G43" s="126">
        <v>9</v>
      </c>
      <c r="H43" s="126">
        <v>2016</v>
      </c>
      <c r="I43" s="126">
        <v>2022</v>
      </c>
      <c r="J43" s="127">
        <v>1.0790999999999999</v>
      </c>
      <c r="K43" s="127">
        <v>1.0667</v>
      </c>
      <c r="L43" s="127">
        <v>0.89639999999999997</v>
      </c>
      <c r="M43" s="127">
        <v>1.0285</v>
      </c>
      <c r="N43" s="127">
        <v>0.80149999999999999</v>
      </c>
      <c r="O43" s="127">
        <v>1.0538000000000001</v>
      </c>
      <c r="P43" s="126">
        <v>0</v>
      </c>
      <c r="Q43" s="128">
        <f t="array" ref="Q43">SUM(IF(($S43&gt;=4)*($C43='TaxCred&amp;Subs'!$D$123:$D$127)*($H43='TaxCred&amp;Subs'!$C$123:$C$127)*($H43&lt;='TaxCred&amp;Subs'!$C$129),'TaxCred&amp;Subs'!$E$123:$E$127,0))</f>
        <v>0</v>
      </c>
      <c r="R43" s="174">
        <v>0</v>
      </c>
      <c r="S43" s="126">
        <v>1</v>
      </c>
      <c r="T43" s="126" t="s">
        <v>223</v>
      </c>
      <c r="U43" s="158"/>
      <c r="V43" s="153" t="str">
        <f t="array" ref="V43">INDEX(xlRTCLNAME,MATCH(1,(xlRTCLENDU=1)*(xlRTCLEQCL=$D43),0))</f>
        <v>ELEC_HP</v>
      </c>
      <c r="W43" s="153" t="str">
        <f t="array" ref="W43">INDEX(xlRTCLNAME,MATCH(1,(xlRTCLENDU=2)*(xlRTCLEQCL=$F43),0))</f>
        <v>ELEC_HP</v>
      </c>
      <c r="X43" s="153" t="str">
        <f t="array" ref="X43">INDEX(xlRTTYNAME,MATCH(1,(xlRTTYENDU=1)*(xlRTTYEQCL=$D43)*(xlRTEQTYPE=$E43),0))</f>
        <v>ELEC_HP1</v>
      </c>
      <c r="Y43" s="153" t="str">
        <f t="array" ref="Y43">INDEX(xlRTTYNAME,MATCH(1,(xlRTTYENDU=2)*(xlRTTYEQCL=$F43)*(xlRTEQTYPE=$G43),0))</f>
        <v>ELEC_HP1</v>
      </c>
    </row>
    <row r="44" spans="2:25" x14ac:dyDescent="0.2">
      <c r="B44" s="126">
        <v>1</v>
      </c>
      <c r="C44" s="126">
        <v>1</v>
      </c>
      <c r="D44" s="126">
        <v>2</v>
      </c>
      <c r="E44" s="126">
        <v>3</v>
      </c>
      <c r="F44" s="126">
        <v>3</v>
      </c>
      <c r="G44" s="126">
        <v>10</v>
      </c>
      <c r="H44" s="126">
        <v>2023</v>
      </c>
      <c r="I44" s="126">
        <v>2050</v>
      </c>
      <c r="J44" s="127">
        <v>1.0790999999999999</v>
      </c>
      <c r="K44" s="127">
        <v>1.0667</v>
      </c>
      <c r="L44" s="127">
        <v>0.89639999999999997</v>
      </c>
      <c r="M44" s="127">
        <v>1.0285</v>
      </c>
      <c r="N44" s="127">
        <v>0.80149999999999999</v>
      </c>
      <c r="O44" s="127">
        <v>1.0538000000000001</v>
      </c>
      <c r="P44" s="126">
        <v>0</v>
      </c>
      <c r="Q44" s="128">
        <f t="array" ref="Q44">SUM(IF(($S44&gt;=4)*($C44='TaxCred&amp;Subs'!$D$123:$D$127)*($H44='TaxCred&amp;Subs'!$C$123:$C$127)*($H44&lt;='TaxCred&amp;Subs'!$C$129),'TaxCred&amp;Subs'!$E$123:$E$127,0))</f>
        <v>0</v>
      </c>
      <c r="R44" s="174">
        <v>0</v>
      </c>
      <c r="S44" s="126">
        <v>1</v>
      </c>
      <c r="T44" s="126" t="s">
        <v>223</v>
      </c>
      <c r="U44" s="158"/>
      <c r="V44" s="153" t="str">
        <f t="array" ref="V44">INDEX(xlRTCLNAME,MATCH(1,(xlRTCLENDU=1)*(xlRTCLEQCL=$D44),0))</f>
        <v>ELEC_HP</v>
      </c>
      <c r="W44" s="153" t="str">
        <f t="array" ref="W44">INDEX(xlRTCLNAME,MATCH(1,(xlRTCLENDU=2)*(xlRTCLEQCL=$F44),0))</f>
        <v>ELEC_HP</v>
      </c>
      <c r="X44" s="153" t="str">
        <f t="array" ref="X44">INDEX(xlRTTYNAME,MATCH(1,(xlRTTYENDU=1)*(xlRTTYEQCL=$D44)*(xlRTEQTYPE=$E44),0))</f>
        <v>ELEC_HP2</v>
      </c>
      <c r="Y44" s="153" t="str">
        <f t="array" ref="Y44">INDEX(xlRTTYNAME,MATCH(1,(xlRTTYENDU=2)*(xlRTTYEQCL=$F44)*(xlRTEQTYPE=$G44),0))</f>
        <v>ELEC_HP2</v>
      </c>
    </row>
    <row r="45" spans="2:25" x14ac:dyDescent="0.2">
      <c r="B45" s="126">
        <v>2</v>
      </c>
      <c r="C45" s="126">
        <v>1</v>
      </c>
      <c r="D45" s="126">
        <v>2</v>
      </c>
      <c r="E45" s="126">
        <v>2</v>
      </c>
      <c r="F45" s="126">
        <v>3</v>
      </c>
      <c r="G45" s="126">
        <v>9</v>
      </c>
      <c r="H45" s="126">
        <v>2016</v>
      </c>
      <c r="I45" s="126">
        <v>2022</v>
      </c>
      <c r="J45" s="127">
        <v>1.0588</v>
      </c>
      <c r="K45" s="127">
        <v>1.0734999999999999</v>
      </c>
      <c r="L45" s="127">
        <v>1.0169999999999999</v>
      </c>
      <c r="M45" s="127">
        <v>0.95550000000000002</v>
      </c>
      <c r="N45" s="127">
        <v>0.93840000000000001</v>
      </c>
      <c r="O45" s="127">
        <v>1.0538000000000001</v>
      </c>
      <c r="P45" s="126">
        <v>0</v>
      </c>
      <c r="Q45" s="128">
        <f t="array" ref="Q45">SUM(IF(($S45&gt;=4)*($C45='TaxCred&amp;Subs'!$D$123:$D$127)*($H45='TaxCred&amp;Subs'!$C$123:$C$127)*($H45&lt;='TaxCred&amp;Subs'!$C$129),'TaxCred&amp;Subs'!$E$123:$E$127,0))</f>
        <v>0</v>
      </c>
      <c r="R45" s="174">
        <v>0</v>
      </c>
      <c r="S45" s="126">
        <v>1</v>
      </c>
      <c r="T45" s="126" t="s">
        <v>223</v>
      </c>
      <c r="U45" s="158"/>
      <c r="V45" s="153" t="str">
        <f t="array" ref="V45">INDEX(xlRTCLNAME,MATCH(1,(xlRTCLENDU=1)*(xlRTCLEQCL=$D45),0))</f>
        <v>ELEC_HP</v>
      </c>
      <c r="W45" s="153" t="str">
        <f t="array" ref="W45">INDEX(xlRTCLNAME,MATCH(1,(xlRTCLENDU=2)*(xlRTCLEQCL=$F45),0))</f>
        <v>ELEC_HP</v>
      </c>
      <c r="X45" s="153" t="str">
        <f t="array" ref="X45">INDEX(xlRTTYNAME,MATCH(1,(xlRTTYENDU=1)*(xlRTTYEQCL=$D45)*(xlRTEQTYPE=$E45),0))</f>
        <v>ELEC_HP1</v>
      </c>
      <c r="Y45" s="153" t="str">
        <f t="array" ref="Y45">INDEX(xlRTTYNAME,MATCH(1,(xlRTTYENDU=2)*(xlRTTYEQCL=$F45)*(xlRTEQTYPE=$G45),0))</f>
        <v>ELEC_HP1</v>
      </c>
    </row>
    <row r="46" spans="2:25" x14ac:dyDescent="0.2">
      <c r="B46" s="126">
        <v>2</v>
      </c>
      <c r="C46" s="126">
        <v>1</v>
      </c>
      <c r="D46" s="126">
        <v>2</v>
      </c>
      <c r="E46" s="126">
        <v>3</v>
      </c>
      <c r="F46" s="126">
        <v>3</v>
      </c>
      <c r="G46" s="126">
        <v>10</v>
      </c>
      <c r="H46" s="126">
        <v>2023</v>
      </c>
      <c r="I46" s="126">
        <v>2050</v>
      </c>
      <c r="J46" s="127">
        <v>1.0588</v>
      </c>
      <c r="K46" s="127">
        <v>1.0734999999999999</v>
      </c>
      <c r="L46" s="127">
        <v>1.0169999999999999</v>
      </c>
      <c r="M46" s="127">
        <v>0.95550000000000002</v>
      </c>
      <c r="N46" s="127">
        <v>0.93840000000000001</v>
      </c>
      <c r="O46" s="127">
        <v>1.0538000000000001</v>
      </c>
      <c r="P46" s="126">
        <v>0</v>
      </c>
      <c r="Q46" s="128">
        <f t="array" ref="Q46">SUM(IF(($S46&gt;=4)*($C46='TaxCred&amp;Subs'!$D$123:$D$127)*($H46='TaxCred&amp;Subs'!$C$123:$C$127)*($H46&lt;='TaxCred&amp;Subs'!$C$129),'TaxCred&amp;Subs'!$E$123:$E$127,0))</f>
        <v>0</v>
      </c>
      <c r="R46" s="174">
        <v>0</v>
      </c>
      <c r="S46" s="126">
        <v>1</v>
      </c>
      <c r="T46" s="126" t="s">
        <v>223</v>
      </c>
      <c r="U46" s="158"/>
      <c r="V46" s="153" t="str">
        <f t="array" ref="V46">INDEX(xlRTCLNAME,MATCH(1,(xlRTCLENDU=1)*(xlRTCLEQCL=$D46),0))</f>
        <v>ELEC_HP</v>
      </c>
      <c r="W46" s="153" t="str">
        <f t="array" ref="W46">INDEX(xlRTCLNAME,MATCH(1,(xlRTCLENDU=2)*(xlRTCLEQCL=$F46),0))</f>
        <v>ELEC_HP</v>
      </c>
      <c r="X46" s="153" t="str">
        <f t="array" ref="X46">INDEX(xlRTTYNAME,MATCH(1,(xlRTTYENDU=1)*(xlRTTYEQCL=$D46)*(xlRTEQTYPE=$E46),0))</f>
        <v>ELEC_HP2</v>
      </c>
      <c r="Y46" s="153" t="str">
        <f t="array" ref="Y46">INDEX(xlRTTYNAME,MATCH(1,(xlRTTYENDU=2)*(xlRTTYEQCL=$F46)*(xlRTEQTYPE=$G46),0))</f>
        <v>ELEC_HP2</v>
      </c>
    </row>
    <row r="47" spans="2:25" x14ac:dyDescent="0.2">
      <c r="B47" s="126">
        <v>3</v>
      </c>
      <c r="C47" s="126">
        <v>1</v>
      </c>
      <c r="D47" s="126">
        <v>2</v>
      </c>
      <c r="E47" s="126">
        <v>2</v>
      </c>
      <c r="F47" s="126">
        <v>3</v>
      </c>
      <c r="G47" s="126">
        <v>9</v>
      </c>
      <c r="H47" s="126">
        <v>2016</v>
      </c>
      <c r="I47" s="126">
        <v>2022</v>
      </c>
      <c r="J47" s="127">
        <v>1.0965</v>
      </c>
      <c r="K47" s="127">
        <v>1.0769</v>
      </c>
      <c r="L47" s="127">
        <v>0.93359999999999999</v>
      </c>
      <c r="M47" s="127">
        <v>0.9627</v>
      </c>
      <c r="N47" s="127">
        <v>0.91520000000000001</v>
      </c>
      <c r="O47" s="127">
        <v>1.0538000000000001</v>
      </c>
      <c r="P47" s="126">
        <v>0</v>
      </c>
      <c r="Q47" s="128">
        <f t="array" ref="Q47">SUM(IF(($S47&gt;=4)*($C47='TaxCred&amp;Subs'!$D$123:$D$127)*($H47='TaxCred&amp;Subs'!$C$123:$C$127)*($H47&lt;='TaxCred&amp;Subs'!$C$129),'TaxCred&amp;Subs'!$E$123:$E$127,0))</f>
        <v>0</v>
      </c>
      <c r="R47" s="174">
        <v>0</v>
      </c>
      <c r="S47" s="126">
        <v>1</v>
      </c>
      <c r="T47" s="126" t="s">
        <v>223</v>
      </c>
      <c r="U47" s="158"/>
      <c r="V47" s="153" t="str">
        <f t="array" ref="V47">INDEX(xlRTCLNAME,MATCH(1,(xlRTCLENDU=1)*(xlRTCLEQCL=$D47),0))</f>
        <v>ELEC_HP</v>
      </c>
      <c r="W47" s="153" t="str">
        <f t="array" ref="W47">INDEX(xlRTCLNAME,MATCH(1,(xlRTCLENDU=2)*(xlRTCLEQCL=$F47),0))</f>
        <v>ELEC_HP</v>
      </c>
      <c r="X47" s="153" t="str">
        <f t="array" ref="X47">INDEX(xlRTTYNAME,MATCH(1,(xlRTTYENDU=1)*(xlRTTYEQCL=$D47)*(xlRTEQTYPE=$E47),0))</f>
        <v>ELEC_HP1</v>
      </c>
      <c r="Y47" s="153" t="str">
        <f t="array" ref="Y47">INDEX(xlRTTYNAME,MATCH(1,(xlRTTYENDU=2)*(xlRTTYEQCL=$F47)*(xlRTEQTYPE=$G47),0))</f>
        <v>ELEC_HP1</v>
      </c>
    </row>
    <row r="48" spans="2:25" x14ac:dyDescent="0.2">
      <c r="B48" s="126">
        <v>3</v>
      </c>
      <c r="C48" s="126">
        <v>1</v>
      </c>
      <c r="D48" s="126">
        <v>2</v>
      </c>
      <c r="E48" s="126">
        <v>3</v>
      </c>
      <c r="F48" s="126">
        <v>3</v>
      </c>
      <c r="G48" s="126">
        <v>10</v>
      </c>
      <c r="H48" s="126">
        <v>2023</v>
      </c>
      <c r="I48" s="126">
        <v>2050</v>
      </c>
      <c r="J48" s="127">
        <v>1.0965</v>
      </c>
      <c r="K48" s="127">
        <v>1.0769</v>
      </c>
      <c r="L48" s="127">
        <v>0.93359999999999999</v>
      </c>
      <c r="M48" s="127">
        <v>0.9627</v>
      </c>
      <c r="N48" s="127">
        <v>0.91520000000000001</v>
      </c>
      <c r="O48" s="127">
        <v>1.0538000000000001</v>
      </c>
      <c r="P48" s="126">
        <v>0</v>
      </c>
      <c r="Q48" s="128">
        <f t="array" ref="Q48">SUM(IF(($S48&gt;=4)*($C48='TaxCred&amp;Subs'!$D$123:$D$127)*($H48='TaxCred&amp;Subs'!$C$123:$C$127)*($H48&lt;='TaxCred&amp;Subs'!$C$129),'TaxCred&amp;Subs'!$E$123:$E$127,0))</f>
        <v>0</v>
      </c>
      <c r="R48" s="174">
        <v>0</v>
      </c>
      <c r="S48" s="126">
        <v>1</v>
      </c>
      <c r="T48" s="126" t="s">
        <v>223</v>
      </c>
      <c r="U48" s="158"/>
      <c r="V48" s="153" t="str">
        <f t="array" ref="V48">INDEX(xlRTCLNAME,MATCH(1,(xlRTCLENDU=1)*(xlRTCLEQCL=$D48),0))</f>
        <v>ELEC_HP</v>
      </c>
      <c r="W48" s="153" t="str">
        <f t="array" ref="W48">INDEX(xlRTCLNAME,MATCH(1,(xlRTCLENDU=2)*(xlRTCLEQCL=$F48),0))</f>
        <v>ELEC_HP</v>
      </c>
      <c r="X48" s="153" t="str">
        <f t="array" ref="X48">INDEX(xlRTTYNAME,MATCH(1,(xlRTTYENDU=1)*(xlRTTYEQCL=$D48)*(xlRTEQTYPE=$E48),0))</f>
        <v>ELEC_HP2</v>
      </c>
      <c r="Y48" s="153" t="str">
        <f t="array" ref="Y48">INDEX(xlRTTYNAME,MATCH(1,(xlRTTYENDU=2)*(xlRTTYEQCL=$F48)*(xlRTEQTYPE=$G48),0))</f>
        <v>ELEC_HP2</v>
      </c>
    </row>
    <row r="49" spans="2:25" x14ac:dyDescent="0.2">
      <c r="B49" s="126">
        <v>4</v>
      </c>
      <c r="C49" s="126">
        <v>1</v>
      </c>
      <c r="D49" s="126">
        <v>2</v>
      </c>
      <c r="E49" s="126">
        <v>2</v>
      </c>
      <c r="F49" s="126">
        <v>3</v>
      </c>
      <c r="G49" s="126">
        <v>9</v>
      </c>
      <c r="H49" s="126">
        <v>2016</v>
      </c>
      <c r="I49" s="126">
        <v>2022</v>
      </c>
      <c r="J49" s="127">
        <v>1.1016999999999999</v>
      </c>
      <c r="K49" s="127">
        <v>1.0789</v>
      </c>
      <c r="L49" s="127">
        <v>0.86890000000000001</v>
      </c>
      <c r="M49" s="127">
        <v>0.87319999999999998</v>
      </c>
      <c r="N49" s="127">
        <v>0.85340000000000005</v>
      </c>
      <c r="O49" s="127">
        <v>1.0538000000000001</v>
      </c>
      <c r="P49" s="126">
        <v>0</v>
      </c>
      <c r="Q49" s="128">
        <f t="array" ref="Q49">SUM(IF(($S49&gt;=4)*($C49='TaxCred&amp;Subs'!$D$123:$D$127)*($H49='TaxCred&amp;Subs'!$C$123:$C$127)*($H49&lt;='TaxCred&amp;Subs'!$C$129),'TaxCred&amp;Subs'!$E$123:$E$127,0))</f>
        <v>0</v>
      </c>
      <c r="R49" s="174">
        <v>0</v>
      </c>
      <c r="S49" s="126">
        <v>1</v>
      </c>
      <c r="T49" s="126" t="s">
        <v>223</v>
      </c>
      <c r="U49" s="158"/>
      <c r="V49" s="153" t="str">
        <f t="array" ref="V49">INDEX(xlRTCLNAME,MATCH(1,(xlRTCLENDU=1)*(xlRTCLEQCL=$D49),0))</f>
        <v>ELEC_HP</v>
      </c>
      <c r="W49" s="153" t="str">
        <f t="array" ref="W49">INDEX(xlRTCLNAME,MATCH(1,(xlRTCLENDU=2)*(xlRTCLEQCL=$F49),0))</f>
        <v>ELEC_HP</v>
      </c>
      <c r="X49" s="153" t="str">
        <f t="array" ref="X49">INDEX(xlRTTYNAME,MATCH(1,(xlRTTYENDU=1)*(xlRTTYEQCL=$D49)*(xlRTEQTYPE=$E49),0))</f>
        <v>ELEC_HP1</v>
      </c>
      <c r="Y49" s="153" t="str">
        <f t="array" ref="Y49">INDEX(xlRTTYNAME,MATCH(1,(xlRTTYENDU=2)*(xlRTTYEQCL=$F49)*(xlRTEQTYPE=$G49),0))</f>
        <v>ELEC_HP1</v>
      </c>
    </row>
    <row r="50" spans="2:25" x14ac:dyDescent="0.2">
      <c r="B50" s="126">
        <v>4</v>
      </c>
      <c r="C50" s="126">
        <v>1</v>
      </c>
      <c r="D50" s="126">
        <v>2</v>
      </c>
      <c r="E50" s="126">
        <v>3</v>
      </c>
      <c r="F50" s="126">
        <v>3</v>
      </c>
      <c r="G50" s="126">
        <v>10</v>
      </c>
      <c r="H50" s="126">
        <v>2023</v>
      </c>
      <c r="I50" s="126">
        <v>2050</v>
      </c>
      <c r="J50" s="127">
        <v>1.1016999999999999</v>
      </c>
      <c r="K50" s="127">
        <v>1.0789</v>
      </c>
      <c r="L50" s="127">
        <v>0.86890000000000001</v>
      </c>
      <c r="M50" s="127">
        <v>0.87319999999999998</v>
      </c>
      <c r="N50" s="127">
        <v>0.85340000000000005</v>
      </c>
      <c r="O50" s="127">
        <v>1.0538000000000001</v>
      </c>
      <c r="P50" s="126">
        <v>0</v>
      </c>
      <c r="Q50" s="128">
        <f t="array" ref="Q50">SUM(IF(($S50&gt;=4)*($C50='TaxCred&amp;Subs'!$D$123:$D$127)*($H50='TaxCred&amp;Subs'!$C$123:$C$127)*($H50&lt;='TaxCred&amp;Subs'!$C$129),'TaxCred&amp;Subs'!$E$123:$E$127,0))</f>
        <v>0</v>
      </c>
      <c r="R50" s="174">
        <v>0</v>
      </c>
      <c r="S50" s="126">
        <v>1</v>
      </c>
      <c r="T50" s="126" t="s">
        <v>223</v>
      </c>
      <c r="U50" s="158"/>
      <c r="V50" s="153" t="str">
        <f t="array" ref="V50">INDEX(xlRTCLNAME,MATCH(1,(xlRTCLENDU=1)*(xlRTCLEQCL=$D50),0))</f>
        <v>ELEC_HP</v>
      </c>
      <c r="W50" s="153" t="str">
        <f t="array" ref="W50">INDEX(xlRTCLNAME,MATCH(1,(xlRTCLENDU=2)*(xlRTCLEQCL=$F50),0))</f>
        <v>ELEC_HP</v>
      </c>
      <c r="X50" s="153" t="str">
        <f t="array" ref="X50">INDEX(xlRTTYNAME,MATCH(1,(xlRTTYENDU=1)*(xlRTTYEQCL=$D50)*(xlRTEQTYPE=$E50),0))</f>
        <v>ELEC_HP2</v>
      </c>
      <c r="Y50" s="153" t="str">
        <f t="array" ref="Y50">INDEX(xlRTTYNAME,MATCH(1,(xlRTTYENDU=2)*(xlRTTYEQCL=$F50)*(xlRTEQTYPE=$G50),0))</f>
        <v>ELEC_HP2</v>
      </c>
    </row>
    <row r="51" spans="2:25" x14ac:dyDescent="0.2">
      <c r="B51" s="126">
        <v>5</v>
      </c>
      <c r="C51" s="126">
        <v>1</v>
      </c>
      <c r="D51" s="126">
        <v>2</v>
      </c>
      <c r="E51" s="126">
        <v>2</v>
      </c>
      <c r="F51" s="126">
        <v>3</v>
      </c>
      <c r="G51" s="126">
        <v>9</v>
      </c>
      <c r="H51" s="126">
        <v>2016</v>
      </c>
      <c r="I51" s="126">
        <v>2022</v>
      </c>
      <c r="J51" s="127">
        <v>1.0806</v>
      </c>
      <c r="K51" s="127">
        <v>1.0507</v>
      </c>
      <c r="L51" s="127">
        <v>0.96079999999999999</v>
      </c>
      <c r="M51" s="127">
        <v>1.1158999999999999</v>
      </c>
      <c r="N51" s="127">
        <v>0.78859999999999997</v>
      </c>
      <c r="O51" s="127">
        <v>1.0538000000000001</v>
      </c>
      <c r="P51" s="126">
        <v>0</v>
      </c>
      <c r="Q51" s="128">
        <f t="array" ref="Q51">SUM(IF(($S51&gt;=4)*($C51='TaxCred&amp;Subs'!$D$123:$D$127)*($H51='TaxCred&amp;Subs'!$C$123:$C$127)*($H51&lt;='TaxCred&amp;Subs'!$C$129),'TaxCred&amp;Subs'!$E$123:$E$127,0))</f>
        <v>0</v>
      </c>
      <c r="R51" s="174">
        <v>0</v>
      </c>
      <c r="S51" s="126">
        <v>1</v>
      </c>
      <c r="T51" s="126" t="s">
        <v>223</v>
      </c>
      <c r="U51" s="158"/>
      <c r="V51" s="153" t="str">
        <f t="array" ref="V51">INDEX(xlRTCLNAME,MATCH(1,(xlRTCLENDU=1)*(xlRTCLEQCL=$D51),0))</f>
        <v>ELEC_HP</v>
      </c>
      <c r="W51" s="153" t="str">
        <f t="array" ref="W51">INDEX(xlRTCLNAME,MATCH(1,(xlRTCLENDU=2)*(xlRTCLEQCL=$F51),0))</f>
        <v>ELEC_HP</v>
      </c>
      <c r="X51" s="153" t="str">
        <f t="array" ref="X51">INDEX(xlRTTYNAME,MATCH(1,(xlRTTYENDU=1)*(xlRTTYEQCL=$D51)*(xlRTEQTYPE=$E51),0))</f>
        <v>ELEC_HP1</v>
      </c>
      <c r="Y51" s="153" t="str">
        <f t="array" ref="Y51">INDEX(xlRTTYNAME,MATCH(1,(xlRTTYENDU=2)*(xlRTTYEQCL=$F51)*(xlRTEQTYPE=$G51),0))</f>
        <v>ELEC_HP1</v>
      </c>
    </row>
    <row r="52" spans="2:25" x14ac:dyDescent="0.2">
      <c r="B52" s="126">
        <v>5</v>
      </c>
      <c r="C52" s="126">
        <v>1</v>
      </c>
      <c r="D52" s="126">
        <v>2</v>
      </c>
      <c r="E52" s="126">
        <v>3</v>
      </c>
      <c r="F52" s="126">
        <v>3</v>
      </c>
      <c r="G52" s="126">
        <v>10</v>
      </c>
      <c r="H52" s="126">
        <v>2023</v>
      </c>
      <c r="I52" s="126">
        <v>2050</v>
      </c>
      <c r="J52" s="127">
        <v>1.0806</v>
      </c>
      <c r="K52" s="127">
        <v>1.0507</v>
      </c>
      <c r="L52" s="127">
        <v>0.96079999999999999</v>
      </c>
      <c r="M52" s="127">
        <v>1.1158999999999999</v>
      </c>
      <c r="N52" s="127">
        <v>0.78859999999999997</v>
      </c>
      <c r="O52" s="127">
        <v>1.0538000000000001</v>
      </c>
      <c r="P52" s="126">
        <v>0</v>
      </c>
      <c r="Q52" s="128">
        <f t="array" ref="Q52">SUM(IF(($S52&gt;=4)*($C52='TaxCred&amp;Subs'!$D$123:$D$127)*($H52='TaxCred&amp;Subs'!$C$123:$C$127)*($H52&lt;='TaxCred&amp;Subs'!$C$129),'TaxCred&amp;Subs'!$E$123:$E$127,0))</f>
        <v>0</v>
      </c>
      <c r="R52" s="174">
        <v>0</v>
      </c>
      <c r="S52" s="126">
        <v>1</v>
      </c>
      <c r="T52" s="126" t="s">
        <v>223</v>
      </c>
      <c r="U52" s="158"/>
      <c r="V52" s="153" t="str">
        <f t="array" ref="V52">INDEX(xlRTCLNAME,MATCH(1,(xlRTCLENDU=1)*(xlRTCLEQCL=$D52),0))</f>
        <v>ELEC_HP</v>
      </c>
      <c r="W52" s="153" t="str">
        <f t="array" ref="W52">INDEX(xlRTCLNAME,MATCH(1,(xlRTCLENDU=2)*(xlRTCLEQCL=$F52),0))</f>
        <v>ELEC_HP</v>
      </c>
      <c r="X52" s="153" t="str">
        <f t="array" ref="X52">INDEX(xlRTTYNAME,MATCH(1,(xlRTTYENDU=1)*(xlRTTYEQCL=$D52)*(xlRTEQTYPE=$E52),0))</f>
        <v>ELEC_HP2</v>
      </c>
      <c r="Y52" s="153" t="str">
        <f t="array" ref="Y52">INDEX(xlRTTYNAME,MATCH(1,(xlRTTYENDU=2)*(xlRTTYEQCL=$F52)*(xlRTEQTYPE=$G52),0))</f>
        <v>ELEC_HP2</v>
      </c>
    </row>
    <row r="53" spans="2:25" x14ac:dyDescent="0.2">
      <c r="B53" s="126">
        <v>6</v>
      </c>
      <c r="C53" s="126">
        <v>1</v>
      </c>
      <c r="D53" s="126">
        <v>2</v>
      </c>
      <c r="E53" s="126">
        <v>2</v>
      </c>
      <c r="F53" s="126">
        <v>3</v>
      </c>
      <c r="G53" s="126">
        <v>9</v>
      </c>
      <c r="H53" s="126">
        <v>2016</v>
      </c>
      <c r="I53" s="126">
        <v>2022</v>
      </c>
      <c r="J53" s="127">
        <v>1.0885</v>
      </c>
      <c r="K53" s="127">
        <v>1.0526</v>
      </c>
      <c r="L53" s="127">
        <v>1.0209999999999999</v>
      </c>
      <c r="M53" s="127">
        <v>1.1335999999999999</v>
      </c>
      <c r="N53" s="127">
        <v>0.88680000000000003</v>
      </c>
      <c r="O53" s="127">
        <v>1.0538000000000001</v>
      </c>
      <c r="P53" s="126">
        <v>0</v>
      </c>
      <c r="Q53" s="128">
        <f t="array" ref="Q53">SUM(IF(($S53&gt;=4)*($C53='TaxCred&amp;Subs'!$D$123:$D$127)*($H53='TaxCred&amp;Subs'!$C$123:$C$127)*($H53&lt;='TaxCred&amp;Subs'!$C$129),'TaxCred&amp;Subs'!$E$123:$E$127,0))</f>
        <v>0</v>
      </c>
      <c r="R53" s="174">
        <v>0</v>
      </c>
      <c r="S53" s="126">
        <v>1</v>
      </c>
      <c r="T53" s="126" t="s">
        <v>223</v>
      </c>
      <c r="U53" s="158"/>
      <c r="V53" s="153" t="str">
        <f t="array" ref="V53">INDEX(xlRTCLNAME,MATCH(1,(xlRTCLENDU=1)*(xlRTCLEQCL=$D53),0))</f>
        <v>ELEC_HP</v>
      </c>
      <c r="W53" s="153" t="str">
        <f t="array" ref="W53">INDEX(xlRTCLNAME,MATCH(1,(xlRTCLENDU=2)*(xlRTCLEQCL=$F53),0))</f>
        <v>ELEC_HP</v>
      </c>
      <c r="X53" s="153" t="str">
        <f t="array" ref="X53">INDEX(xlRTTYNAME,MATCH(1,(xlRTTYENDU=1)*(xlRTTYEQCL=$D53)*(xlRTEQTYPE=$E53),0))</f>
        <v>ELEC_HP1</v>
      </c>
      <c r="Y53" s="153" t="str">
        <f t="array" ref="Y53">INDEX(xlRTTYNAME,MATCH(1,(xlRTTYENDU=2)*(xlRTTYEQCL=$F53)*(xlRTEQTYPE=$G53),0))</f>
        <v>ELEC_HP1</v>
      </c>
    </row>
    <row r="54" spans="2:25" x14ac:dyDescent="0.2">
      <c r="B54" s="126">
        <v>6</v>
      </c>
      <c r="C54" s="126">
        <v>1</v>
      </c>
      <c r="D54" s="126">
        <v>2</v>
      </c>
      <c r="E54" s="126">
        <v>3</v>
      </c>
      <c r="F54" s="126">
        <v>3</v>
      </c>
      <c r="G54" s="126">
        <v>10</v>
      </c>
      <c r="H54" s="126">
        <v>2023</v>
      </c>
      <c r="I54" s="126">
        <v>2050</v>
      </c>
      <c r="J54" s="127">
        <v>1.0885</v>
      </c>
      <c r="K54" s="127">
        <v>1.0526</v>
      </c>
      <c r="L54" s="127">
        <v>1.0209999999999999</v>
      </c>
      <c r="M54" s="127">
        <v>1.1335999999999999</v>
      </c>
      <c r="N54" s="127">
        <v>0.88680000000000003</v>
      </c>
      <c r="O54" s="127">
        <v>1.0538000000000001</v>
      </c>
      <c r="P54" s="126">
        <v>0</v>
      </c>
      <c r="Q54" s="128">
        <f t="array" ref="Q54">SUM(IF(($S54&gt;=4)*($C54='TaxCred&amp;Subs'!$D$123:$D$127)*($H54='TaxCred&amp;Subs'!$C$123:$C$127)*($H54&lt;='TaxCred&amp;Subs'!$C$129),'TaxCred&amp;Subs'!$E$123:$E$127,0))</f>
        <v>0</v>
      </c>
      <c r="R54" s="174">
        <v>0</v>
      </c>
      <c r="S54" s="126">
        <v>1</v>
      </c>
      <c r="T54" s="126" t="s">
        <v>223</v>
      </c>
      <c r="U54" s="158"/>
      <c r="V54" s="153" t="str">
        <f t="array" ref="V54">INDEX(xlRTCLNAME,MATCH(1,(xlRTCLENDU=1)*(xlRTCLEQCL=$D54),0))</f>
        <v>ELEC_HP</v>
      </c>
      <c r="W54" s="153" t="str">
        <f t="array" ref="W54">INDEX(xlRTCLNAME,MATCH(1,(xlRTCLENDU=2)*(xlRTCLEQCL=$F54),0))</f>
        <v>ELEC_HP</v>
      </c>
      <c r="X54" s="153" t="str">
        <f t="array" ref="X54">INDEX(xlRTTYNAME,MATCH(1,(xlRTTYENDU=1)*(xlRTTYEQCL=$D54)*(xlRTEQTYPE=$E54),0))</f>
        <v>ELEC_HP2</v>
      </c>
      <c r="Y54" s="153" t="str">
        <f t="array" ref="Y54">INDEX(xlRTTYNAME,MATCH(1,(xlRTTYENDU=2)*(xlRTTYEQCL=$F54)*(xlRTEQTYPE=$G54),0))</f>
        <v>ELEC_HP2</v>
      </c>
    </row>
    <row r="55" spans="2:25" x14ac:dyDescent="0.2">
      <c r="B55" s="126">
        <v>7</v>
      </c>
      <c r="C55" s="126">
        <v>1</v>
      </c>
      <c r="D55" s="126">
        <v>2</v>
      </c>
      <c r="E55" s="126">
        <v>2</v>
      </c>
      <c r="F55" s="126">
        <v>3</v>
      </c>
      <c r="G55" s="126">
        <v>9</v>
      </c>
      <c r="H55" s="126">
        <v>2016</v>
      </c>
      <c r="I55" s="126">
        <v>2022</v>
      </c>
      <c r="J55" s="127">
        <v>1.0765</v>
      </c>
      <c r="K55" s="127">
        <v>1.0508</v>
      </c>
      <c r="L55" s="127">
        <v>1.0245</v>
      </c>
      <c r="M55" s="127">
        <v>1.0382</v>
      </c>
      <c r="N55" s="127">
        <v>0.86099999999999999</v>
      </c>
      <c r="O55" s="127">
        <v>1.0538000000000001</v>
      </c>
      <c r="P55" s="126">
        <v>0</v>
      </c>
      <c r="Q55" s="128">
        <f t="array" ref="Q55">SUM(IF(($S55&gt;=4)*($C55='TaxCred&amp;Subs'!$D$123:$D$127)*($H55='TaxCred&amp;Subs'!$C$123:$C$127)*($H55&lt;='TaxCred&amp;Subs'!$C$129),'TaxCred&amp;Subs'!$E$123:$E$127,0))</f>
        <v>0</v>
      </c>
      <c r="R55" s="174">
        <v>0</v>
      </c>
      <c r="S55" s="126">
        <v>1</v>
      </c>
      <c r="T55" s="126" t="s">
        <v>223</v>
      </c>
      <c r="U55" s="158"/>
      <c r="V55" s="153" t="str">
        <f t="array" ref="V55">INDEX(xlRTCLNAME,MATCH(1,(xlRTCLENDU=1)*(xlRTCLEQCL=$D55),0))</f>
        <v>ELEC_HP</v>
      </c>
      <c r="W55" s="153" t="str">
        <f t="array" ref="W55">INDEX(xlRTCLNAME,MATCH(1,(xlRTCLENDU=2)*(xlRTCLEQCL=$F55),0))</f>
        <v>ELEC_HP</v>
      </c>
      <c r="X55" s="153" t="str">
        <f t="array" ref="X55">INDEX(xlRTTYNAME,MATCH(1,(xlRTTYENDU=1)*(xlRTTYEQCL=$D55)*(xlRTEQTYPE=$E55),0))</f>
        <v>ELEC_HP1</v>
      </c>
      <c r="Y55" s="153" t="str">
        <f t="array" ref="Y55">INDEX(xlRTTYNAME,MATCH(1,(xlRTTYENDU=2)*(xlRTTYEQCL=$F55)*(xlRTEQTYPE=$G55),0))</f>
        <v>ELEC_HP1</v>
      </c>
    </row>
    <row r="56" spans="2:25" x14ac:dyDescent="0.2">
      <c r="B56" s="126">
        <v>7</v>
      </c>
      <c r="C56" s="126">
        <v>1</v>
      </c>
      <c r="D56" s="126">
        <v>2</v>
      </c>
      <c r="E56" s="126">
        <v>3</v>
      </c>
      <c r="F56" s="126">
        <v>3</v>
      </c>
      <c r="G56" s="126">
        <v>10</v>
      </c>
      <c r="H56" s="126">
        <v>2023</v>
      </c>
      <c r="I56" s="126">
        <v>2050</v>
      </c>
      <c r="J56" s="127">
        <v>1.0765</v>
      </c>
      <c r="K56" s="127">
        <v>1.0508</v>
      </c>
      <c r="L56" s="127">
        <v>1.0245</v>
      </c>
      <c r="M56" s="127">
        <v>1.0382</v>
      </c>
      <c r="N56" s="127">
        <v>0.86099999999999999</v>
      </c>
      <c r="O56" s="127">
        <v>1.0538000000000001</v>
      </c>
      <c r="P56" s="126">
        <v>0</v>
      </c>
      <c r="Q56" s="128">
        <f t="array" ref="Q56">SUM(IF(($S56&gt;=4)*($C56='TaxCred&amp;Subs'!$D$123:$D$127)*($H56='TaxCred&amp;Subs'!$C$123:$C$127)*($H56&lt;='TaxCred&amp;Subs'!$C$129),'TaxCred&amp;Subs'!$E$123:$E$127,0))</f>
        <v>0</v>
      </c>
      <c r="R56" s="174">
        <v>0</v>
      </c>
      <c r="S56" s="126">
        <v>1</v>
      </c>
      <c r="T56" s="126" t="s">
        <v>223</v>
      </c>
      <c r="U56" s="158"/>
      <c r="V56" s="153" t="str">
        <f t="array" ref="V56">INDEX(xlRTCLNAME,MATCH(1,(xlRTCLENDU=1)*(xlRTCLEQCL=$D56),0))</f>
        <v>ELEC_HP</v>
      </c>
      <c r="W56" s="153" t="str">
        <f t="array" ref="W56">INDEX(xlRTCLNAME,MATCH(1,(xlRTCLENDU=2)*(xlRTCLEQCL=$F56),0))</f>
        <v>ELEC_HP</v>
      </c>
      <c r="X56" s="153" t="str">
        <f t="array" ref="X56">INDEX(xlRTTYNAME,MATCH(1,(xlRTTYENDU=1)*(xlRTTYEQCL=$D56)*(xlRTEQTYPE=$E56),0))</f>
        <v>ELEC_HP2</v>
      </c>
      <c r="Y56" s="153" t="str">
        <f t="array" ref="Y56">INDEX(xlRTTYNAME,MATCH(1,(xlRTTYENDU=2)*(xlRTTYEQCL=$F56)*(xlRTEQTYPE=$G56),0))</f>
        <v>ELEC_HP2</v>
      </c>
    </row>
    <row r="57" spans="2:25" x14ac:dyDescent="0.2">
      <c r="B57" s="126">
        <v>8</v>
      </c>
      <c r="C57" s="126">
        <v>1</v>
      </c>
      <c r="D57" s="126">
        <v>2</v>
      </c>
      <c r="E57" s="126">
        <v>2</v>
      </c>
      <c r="F57" s="126">
        <v>3</v>
      </c>
      <c r="G57" s="126">
        <v>9</v>
      </c>
      <c r="H57" s="126">
        <v>2016</v>
      </c>
      <c r="I57" s="126">
        <v>2022</v>
      </c>
      <c r="J57" s="127">
        <v>1.0488999999999999</v>
      </c>
      <c r="K57" s="127">
        <v>1.0810999999999999</v>
      </c>
      <c r="L57" s="127">
        <v>0.98699999999999999</v>
      </c>
      <c r="M57" s="127">
        <v>1.0076000000000001</v>
      </c>
      <c r="N57" s="127">
        <v>0.87419999999999998</v>
      </c>
      <c r="O57" s="127">
        <v>1.0538000000000001</v>
      </c>
      <c r="P57" s="126">
        <v>0</v>
      </c>
      <c r="Q57" s="128">
        <f t="array" ref="Q57">SUM(IF(($S57&gt;=4)*($C57='TaxCred&amp;Subs'!$D$123:$D$127)*($H57='TaxCred&amp;Subs'!$C$123:$C$127)*($H57&lt;='TaxCred&amp;Subs'!$C$129),'TaxCred&amp;Subs'!$E$123:$E$127,0))</f>
        <v>0</v>
      </c>
      <c r="R57" s="174">
        <v>0</v>
      </c>
      <c r="S57" s="126">
        <v>1</v>
      </c>
      <c r="T57" s="126" t="s">
        <v>223</v>
      </c>
      <c r="U57" s="158"/>
      <c r="V57" s="153" t="str">
        <f t="array" ref="V57">INDEX(xlRTCLNAME,MATCH(1,(xlRTCLENDU=1)*(xlRTCLEQCL=$D57),0))</f>
        <v>ELEC_HP</v>
      </c>
      <c r="W57" s="153" t="str">
        <f t="array" ref="W57">INDEX(xlRTCLNAME,MATCH(1,(xlRTCLENDU=2)*(xlRTCLEQCL=$F57),0))</f>
        <v>ELEC_HP</v>
      </c>
      <c r="X57" s="153" t="str">
        <f t="array" ref="X57">INDEX(xlRTTYNAME,MATCH(1,(xlRTTYENDU=1)*(xlRTTYEQCL=$D57)*(xlRTEQTYPE=$E57),0))</f>
        <v>ELEC_HP1</v>
      </c>
      <c r="Y57" s="153" t="str">
        <f t="array" ref="Y57">INDEX(xlRTTYNAME,MATCH(1,(xlRTTYENDU=2)*(xlRTTYEQCL=$F57)*(xlRTEQTYPE=$G57),0))</f>
        <v>ELEC_HP1</v>
      </c>
    </row>
    <row r="58" spans="2:25" x14ac:dyDescent="0.2">
      <c r="B58" s="126">
        <v>8</v>
      </c>
      <c r="C58" s="126">
        <v>1</v>
      </c>
      <c r="D58" s="126">
        <v>2</v>
      </c>
      <c r="E58" s="126">
        <v>3</v>
      </c>
      <c r="F58" s="126">
        <v>3</v>
      </c>
      <c r="G58" s="126">
        <v>10</v>
      </c>
      <c r="H58" s="126">
        <v>2023</v>
      </c>
      <c r="I58" s="126">
        <v>2050</v>
      </c>
      <c r="J58" s="127">
        <v>1.0488999999999999</v>
      </c>
      <c r="K58" s="127">
        <v>1.0810999999999999</v>
      </c>
      <c r="L58" s="127">
        <v>0.98699999999999999</v>
      </c>
      <c r="M58" s="127">
        <v>1.0076000000000001</v>
      </c>
      <c r="N58" s="127">
        <v>0.87419999999999998</v>
      </c>
      <c r="O58" s="127">
        <v>1.0538000000000001</v>
      </c>
      <c r="P58" s="126">
        <v>0</v>
      </c>
      <c r="Q58" s="128">
        <f t="array" ref="Q58">SUM(IF(($S58&gt;=4)*($C58='TaxCred&amp;Subs'!$D$123:$D$127)*($H58='TaxCred&amp;Subs'!$C$123:$C$127)*($H58&lt;='TaxCred&amp;Subs'!$C$129),'TaxCred&amp;Subs'!$E$123:$E$127,0))</f>
        <v>0</v>
      </c>
      <c r="R58" s="174">
        <v>0</v>
      </c>
      <c r="S58" s="126">
        <v>1</v>
      </c>
      <c r="T58" s="126" t="s">
        <v>223</v>
      </c>
      <c r="U58" s="158"/>
      <c r="V58" s="153" t="str">
        <f t="array" ref="V58">INDEX(xlRTCLNAME,MATCH(1,(xlRTCLENDU=1)*(xlRTCLEQCL=$D58),0))</f>
        <v>ELEC_HP</v>
      </c>
      <c r="W58" s="153" t="str">
        <f t="array" ref="W58">INDEX(xlRTCLNAME,MATCH(1,(xlRTCLENDU=2)*(xlRTCLEQCL=$F58),0))</f>
        <v>ELEC_HP</v>
      </c>
      <c r="X58" s="153" t="str">
        <f t="array" ref="X58">INDEX(xlRTTYNAME,MATCH(1,(xlRTTYENDU=1)*(xlRTTYEQCL=$D58)*(xlRTEQTYPE=$E58),0))</f>
        <v>ELEC_HP2</v>
      </c>
      <c r="Y58" s="153" t="str">
        <f t="array" ref="Y58">INDEX(xlRTTYNAME,MATCH(1,(xlRTTYENDU=2)*(xlRTTYEQCL=$F58)*(xlRTEQTYPE=$G58),0))</f>
        <v>ELEC_HP2</v>
      </c>
    </row>
    <row r="59" spans="2:25" x14ac:dyDescent="0.2">
      <c r="B59" s="126">
        <v>9</v>
      </c>
      <c r="C59" s="126">
        <v>1</v>
      </c>
      <c r="D59" s="126">
        <v>2</v>
      </c>
      <c r="E59" s="126">
        <v>2</v>
      </c>
      <c r="F59" s="126">
        <v>3</v>
      </c>
      <c r="G59" s="126">
        <v>9</v>
      </c>
      <c r="H59" s="126">
        <v>2016</v>
      </c>
      <c r="I59" s="126">
        <v>2022</v>
      </c>
      <c r="J59" s="127">
        <v>1.0710999999999999</v>
      </c>
      <c r="K59" s="127">
        <v>1.0754999999999999</v>
      </c>
      <c r="L59" s="127">
        <v>1.1026</v>
      </c>
      <c r="M59" s="127">
        <v>1.1204000000000001</v>
      </c>
      <c r="N59" s="127">
        <v>1.0228999999999999</v>
      </c>
      <c r="O59" s="127">
        <v>1.0538000000000001</v>
      </c>
      <c r="P59" s="126">
        <v>0</v>
      </c>
      <c r="Q59" s="128">
        <f t="array" ref="Q59">SUM(IF(($S59&gt;=4)*($C59='TaxCred&amp;Subs'!$D$123:$D$127)*($H59='TaxCred&amp;Subs'!$C$123:$C$127)*($H59&lt;='TaxCred&amp;Subs'!$C$129),'TaxCred&amp;Subs'!$E$123:$E$127,0))</f>
        <v>0</v>
      </c>
      <c r="R59" s="174">
        <v>0</v>
      </c>
      <c r="S59" s="126">
        <v>1</v>
      </c>
      <c r="T59" s="126" t="s">
        <v>223</v>
      </c>
      <c r="U59" s="158"/>
      <c r="V59" s="153" t="str">
        <f t="array" ref="V59">INDEX(xlRTCLNAME,MATCH(1,(xlRTCLENDU=1)*(xlRTCLEQCL=$D59),0))</f>
        <v>ELEC_HP</v>
      </c>
      <c r="W59" s="153" t="str">
        <f t="array" ref="W59">INDEX(xlRTCLNAME,MATCH(1,(xlRTCLENDU=2)*(xlRTCLEQCL=$F59),0))</f>
        <v>ELEC_HP</v>
      </c>
      <c r="X59" s="153" t="str">
        <f t="array" ref="X59">INDEX(xlRTTYNAME,MATCH(1,(xlRTTYENDU=1)*(xlRTTYEQCL=$D59)*(xlRTEQTYPE=$E59),0))</f>
        <v>ELEC_HP1</v>
      </c>
      <c r="Y59" s="153" t="str">
        <f t="array" ref="Y59">INDEX(xlRTTYNAME,MATCH(1,(xlRTTYENDU=2)*(xlRTTYEQCL=$F59)*(xlRTEQTYPE=$G59),0))</f>
        <v>ELEC_HP1</v>
      </c>
    </row>
    <row r="60" spans="2:25" x14ac:dyDescent="0.2">
      <c r="B60" s="126">
        <v>9</v>
      </c>
      <c r="C60" s="126">
        <v>1</v>
      </c>
      <c r="D60" s="126">
        <v>2</v>
      </c>
      <c r="E60" s="126">
        <v>3</v>
      </c>
      <c r="F60" s="126">
        <v>3</v>
      </c>
      <c r="G60" s="126">
        <v>10</v>
      </c>
      <c r="H60" s="126">
        <v>2023</v>
      </c>
      <c r="I60" s="126">
        <v>2050</v>
      </c>
      <c r="J60" s="127">
        <v>1.0710999999999999</v>
      </c>
      <c r="K60" s="127">
        <v>1.0754999999999999</v>
      </c>
      <c r="L60" s="127">
        <v>1.1026</v>
      </c>
      <c r="M60" s="127">
        <v>1.1204000000000001</v>
      </c>
      <c r="N60" s="127">
        <v>1.0228999999999999</v>
      </c>
      <c r="O60" s="127">
        <v>1.0538000000000001</v>
      </c>
      <c r="P60" s="126">
        <v>0</v>
      </c>
      <c r="Q60" s="128">
        <f t="array" ref="Q60">SUM(IF(($S60&gt;=4)*($C60='TaxCred&amp;Subs'!$D$123:$D$127)*($H60='TaxCred&amp;Subs'!$C$123:$C$127)*($H60&lt;='TaxCred&amp;Subs'!$C$129),'TaxCred&amp;Subs'!$E$123:$E$127,0))</f>
        <v>0</v>
      </c>
      <c r="R60" s="174">
        <v>0</v>
      </c>
      <c r="S60" s="126">
        <v>1</v>
      </c>
      <c r="T60" s="126" t="s">
        <v>223</v>
      </c>
      <c r="U60" s="158"/>
      <c r="V60" s="153" t="str">
        <f t="array" ref="V60">INDEX(xlRTCLNAME,MATCH(1,(xlRTCLENDU=1)*(xlRTCLEQCL=$D60),0))</f>
        <v>ELEC_HP</v>
      </c>
      <c r="W60" s="153" t="str">
        <f t="array" ref="W60">INDEX(xlRTCLNAME,MATCH(1,(xlRTCLENDU=2)*(xlRTCLEQCL=$F60),0))</f>
        <v>ELEC_HP</v>
      </c>
      <c r="X60" s="153" t="str">
        <f t="array" ref="X60">INDEX(xlRTTYNAME,MATCH(1,(xlRTTYENDU=1)*(xlRTTYEQCL=$D60)*(xlRTEQTYPE=$E60),0))</f>
        <v>ELEC_HP2</v>
      </c>
      <c r="Y60" s="153" t="str">
        <f t="array" ref="Y60">INDEX(xlRTTYNAME,MATCH(1,(xlRTTYENDU=2)*(xlRTTYEQCL=$F60)*(xlRTEQTYPE=$G60),0))</f>
        <v>ELEC_HP2</v>
      </c>
    </row>
    <row r="61" spans="2:25" x14ac:dyDescent="0.2">
      <c r="B61" s="126">
        <v>1</v>
      </c>
      <c r="C61" s="126">
        <v>1</v>
      </c>
      <c r="D61" s="126">
        <v>3</v>
      </c>
      <c r="E61" s="126">
        <v>6</v>
      </c>
      <c r="F61" s="126">
        <v>2</v>
      </c>
      <c r="G61" s="126">
        <v>5</v>
      </c>
      <c r="H61" s="126">
        <v>2016</v>
      </c>
      <c r="I61" s="126">
        <v>2022</v>
      </c>
      <c r="J61" s="127">
        <v>1.0803</v>
      </c>
      <c r="K61" s="127">
        <v>1.0667</v>
      </c>
      <c r="L61" s="127">
        <v>0.88939999999999997</v>
      </c>
      <c r="M61" s="127">
        <v>1.0285</v>
      </c>
      <c r="N61" s="127">
        <v>0.79790000000000005</v>
      </c>
      <c r="O61" s="127">
        <v>1.0538000000000001</v>
      </c>
      <c r="P61" s="126">
        <v>0</v>
      </c>
      <c r="Q61" s="128">
        <f t="array" ref="Q61">SUM(IF(($S61&gt;=4)*($C61='TaxCred&amp;Subs'!$D$123:$D$127)*($H61='TaxCred&amp;Subs'!$C$123:$C$127)*($H61&lt;='TaxCred&amp;Subs'!$C$129),'TaxCred&amp;Subs'!$E$123:$E$127,0))</f>
        <v>0</v>
      </c>
      <c r="R61" s="174">
        <v>0</v>
      </c>
      <c r="S61" s="126">
        <v>1</v>
      </c>
      <c r="T61" s="126" t="s">
        <v>223</v>
      </c>
      <c r="U61" s="158"/>
      <c r="V61" s="153" t="str">
        <f t="array" ref="V61">INDEX(xlRTCLNAME,MATCH(1,(xlRTCLENDU=1)*(xlRTCLEQCL=$D61),0))</f>
        <v>NG_FA</v>
      </c>
      <c r="W61" s="153" t="str">
        <f t="array" ref="W61">INDEX(xlRTCLNAME,MATCH(1,(xlRTCLENDU=2)*(xlRTCLEQCL=$F61),0))</f>
        <v>CENT_AIR</v>
      </c>
      <c r="X61" s="153" t="str">
        <f t="array" ref="X61">INDEX(xlRTTYNAME,MATCH(1,(xlRTTYENDU=1)*(xlRTTYEQCL=$D61)*(xlRTEQTYPE=$E61),0))</f>
        <v>NG_FA1</v>
      </c>
      <c r="Y61" s="153" t="str">
        <f t="array" ref="Y61">INDEX(xlRTTYNAME,MATCH(1,(xlRTTYENDU=2)*(xlRTTYEQCL=$F61)*(xlRTEQTYPE=$G61),0))</f>
        <v>CENT_AIR1</v>
      </c>
    </row>
    <row r="62" spans="2:25" x14ac:dyDescent="0.2">
      <c r="B62" s="126">
        <v>1</v>
      </c>
      <c r="C62" s="126">
        <v>1</v>
      </c>
      <c r="D62" s="126">
        <v>3</v>
      </c>
      <c r="E62" s="126">
        <v>6</v>
      </c>
      <c r="F62" s="126">
        <v>2</v>
      </c>
      <c r="G62" s="126">
        <v>6</v>
      </c>
      <c r="H62" s="126">
        <v>2023</v>
      </c>
      <c r="I62" s="126">
        <v>2050</v>
      </c>
      <c r="J62" s="127">
        <v>1.0803</v>
      </c>
      <c r="K62" s="127">
        <v>1.0667</v>
      </c>
      <c r="L62" s="127">
        <v>0.88939999999999997</v>
      </c>
      <c r="M62" s="127">
        <v>1.0285</v>
      </c>
      <c r="N62" s="127">
        <v>0.79790000000000005</v>
      </c>
      <c r="O62" s="127">
        <v>1.0538000000000001</v>
      </c>
      <c r="P62" s="126">
        <v>0</v>
      </c>
      <c r="Q62" s="128">
        <f t="array" ref="Q62">SUM(IF(($S62&gt;=4)*($C62='TaxCred&amp;Subs'!$D$123:$D$127)*($H62='TaxCred&amp;Subs'!$C$123:$C$127)*($H62&lt;='TaxCred&amp;Subs'!$C$129),'TaxCred&amp;Subs'!$E$123:$E$127,0))</f>
        <v>0</v>
      </c>
      <c r="R62" s="174">
        <v>0</v>
      </c>
      <c r="S62" s="126">
        <v>1</v>
      </c>
      <c r="T62" s="126" t="s">
        <v>223</v>
      </c>
      <c r="U62" s="158"/>
      <c r="V62" s="153" t="str">
        <f t="array" ref="V62">INDEX(xlRTCLNAME,MATCH(1,(xlRTCLENDU=1)*(xlRTCLEQCL=$D62),0))</f>
        <v>NG_FA</v>
      </c>
      <c r="W62" s="153" t="str">
        <f t="array" ref="W62">INDEX(xlRTCLNAME,MATCH(1,(xlRTCLENDU=2)*(xlRTCLEQCL=$F62),0))</f>
        <v>CENT_AIR</v>
      </c>
      <c r="X62" s="153" t="str">
        <f t="array" ref="X62">INDEX(xlRTTYNAME,MATCH(1,(xlRTTYENDU=1)*(xlRTTYEQCL=$D62)*(xlRTEQTYPE=$E62),0))</f>
        <v>NG_FA1</v>
      </c>
      <c r="Y62" s="153" t="str">
        <f t="array" ref="Y62">INDEX(xlRTTYNAME,MATCH(1,(xlRTTYENDU=2)*(xlRTTYEQCL=$F62)*(xlRTEQTYPE=$G62),0))</f>
        <v>CENT_AIR2</v>
      </c>
    </row>
    <row r="63" spans="2:25" x14ac:dyDescent="0.2">
      <c r="B63" s="126">
        <v>2</v>
      </c>
      <c r="C63" s="126">
        <v>1</v>
      </c>
      <c r="D63" s="126">
        <v>3</v>
      </c>
      <c r="E63" s="126">
        <v>6</v>
      </c>
      <c r="F63" s="126">
        <v>2</v>
      </c>
      <c r="G63" s="126">
        <v>5</v>
      </c>
      <c r="H63" s="126">
        <v>2016</v>
      </c>
      <c r="I63" s="126">
        <v>2022</v>
      </c>
      <c r="J63" s="127">
        <v>1.0649</v>
      </c>
      <c r="K63" s="127">
        <v>1.0597000000000001</v>
      </c>
      <c r="L63" s="127">
        <v>1.0037</v>
      </c>
      <c r="M63" s="127">
        <v>0.95550000000000002</v>
      </c>
      <c r="N63" s="127">
        <v>0.93169999999999997</v>
      </c>
      <c r="O63" s="127">
        <v>1.0538000000000001</v>
      </c>
      <c r="P63" s="126">
        <v>0</v>
      </c>
      <c r="Q63" s="128">
        <f t="array" ref="Q63">SUM(IF(($S63&gt;=4)*($C63='TaxCred&amp;Subs'!$D$123:$D$127)*($H63='TaxCred&amp;Subs'!$C$123:$C$127)*($H63&lt;='TaxCred&amp;Subs'!$C$129),'TaxCred&amp;Subs'!$E$123:$E$127,0))</f>
        <v>0</v>
      </c>
      <c r="R63" s="174">
        <v>0</v>
      </c>
      <c r="S63" s="126">
        <v>1</v>
      </c>
      <c r="T63" s="126" t="s">
        <v>223</v>
      </c>
      <c r="U63" s="158"/>
      <c r="V63" s="153" t="str">
        <f t="array" ref="V63">INDEX(xlRTCLNAME,MATCH(1,(xlRTCLENDU=1)*(xlRTCLEQCL=$D63),0))</f>
        <v>NG_FA</v>
      </c>
      <c r="W63" s="153" t="str">
        <f t="array" ref="W63">INDEX(xlRTCLNAME,MATCH(1,(xlRTCLENDU=2)*(xlRTCLEQCL=$F63),0))</f>
        <v>CENT_AIR</v>
      </c>
      <c r="X63" s="153" t="str">
        <f t="array" ref="X63">INDEX(xlRTTYNAME,MATCH(1,(xlRTTYENDU=1)*(xlRTTYEQCL=$D63)*(xlRTEQTYPE=$E63),0))</f>
        <v>NG_FA1</v>
      </c>
      <c r="Y63" s="153" t="str">
        <f t="array" ref="Y63">INDEX(xlRTTYNAME,MATCH(1,(xlRTTYENDU=2)*(xlRTTYEQCL=$F63)*(xlRTEQTYPE=$G63),0))</f>
        <v>CENT_AIR1</v>
      </c>
    </row>
    <row r="64" spans="2:25" x14ac:dyDescent="0.2">
      <c r="B64" s="126">
        <v>2</v>
      </c>
      <c r="C64" s="126">
        <v>1</v>
      </c>
      <c r="D64" s="126">
        <v>3</v>
      </c>
      <c r="E64" s="126">
        <v>6</v>
      </c>
      <c r="F64" s="126">
        <v>2</v>
      </c>
      <c r="G64" s="126">
        <v>6</v>
      </c>
      <c r="H64" s="126">
        <v>2023</v>
      </c>
      <c r="I64" s="126">
        <v>2050</v>
      </c>
      <c r="J64" s="127">
        <v>1.0649</v>
      </c>
      <c r="K64" s="127">
        <v>1.0597000000000001</v>
      </c>
      <c r="L64" s="127">
        <v>1.0037</v>
      </c>
      <c r="M64" s="127">
        <v>0.95550000000000002</v>
      </c>
      <c r="N64" s="127">
        <v>0.93169999999999997</v>
      </c>
      <c r="O64" s="127">
        <v>1.0538000000000001</v>
      </c>
      <c r="P64" s="126">
        <v>0</v>
      </c>
      <c r="Q64" s="128">
        <f t="array" ref="Q64">SUM(IF(($S64&gt;=4)*($C64='TaxCred&amp;Subs'!$D$123:$D$127)*($H64='TaxCred&amp;Subs'!$C$123:$C$127)*($H64&lt;='TaxCred&amp;Subs'!$C$129),'TaxCred&amp;Subs'!$E$123:$E$127,0))</f>
        <v>0</v>
      </c>
      <c r="R64" s="174">
        <v>0</v>
      </c>
      <c r="S64" s="126">
        <v>1</v>
      </c>
      <c r="T64" s="126" t="s">
        <v>223</v>
      </c>
      <c r="U64" s="158"/>
      <c r="V64" s="153" t="str">
        <f t="array" ref="V64">INDEX(xlRTCLNAME,MATCH(1,(xlRTCLENDU=1)*(xlRTCLEQCL=$D64),0))</f>
        <v>NG_FA</v>
      </c>
      <c r="W64" s="153" t="str">
        <f t="array" ref="W64">INDEX(xlRTCLNAME,MATCH(1,(xlRTCLENDU=2)*(xlRTCLEQCL=$F64),0))</f>
        <v>CENT_AIR</v>
      </c>
      <c r="X64" s="153" t="str">
        <f t="array" ref="X64">INDEX(xlRTTYNAME,MATCH(1,(xlRTTYENDU=1)*(xlRTTYEQCL=$D64)*(xlRTEQTYPE=$E64),0))</f>
        <v>NG_FA1</v>
      </c>
      <c r="Y64" s="153" t="str">
        <f t="array" ref="Y64">INDEX(xlRTTYNAME,MATCH(1,(xlRTTYENDU=2)*(xlRTTYEQCL=$F64)*(xlRTEQTYPE=$G64),0))</f>
        <v>CENT_AIR2</v>
      </c>
    </row>
    <row r="65" spans="2:25" x14ac:dyDescent="0.2">
      <c r="B65" s="126">
        <v>3</v>
      </c>
      <c r="C65" s="126">
        <v>1</v>
      </c>
      <c r="D65" s="126">
        <v>3</v>
      </c>
      <c r="E65" s="126">
        <v>6</v>
      </c>
      <c r="F65" s="126">
        <v>2</v>
      </c>
      <c r="G65" s="126">
        <v>5</v>
      </c>
      <c r="H65" s="126">
        <v>2016</v>
      </c>
      <c r="I65" s="126">
        <v>2022</v>
      </c>
      <c r="J65" s="127">
        <v>1.0469999999999999</v>
      </c>
      <c r="K65" s="127">
        <v>1.0769</v>
      </c>
      <c r="L65" s="127">
        <v>0.93520000000000003</v>
      </c>
      <c r="M65" s="127">
        <v>0.9627</v>
      </c>
      <c r="N65" s="127">
        <v>0.91600000000000004</v>
      </c>
      <c r="O65" s="127">
        <v>1.0538000000000001</v>
      </c>
      <c r="P65" s="126">
        <v>0</v>
      </c>
      <c r="Q65" s="128">
        <f t="array" ref="Q65">SUM(IF(($S65&gt;=4)*($C65='TaxCred&amp;Subs'!$D$123:$D$127)*($H65='TaxCred&amp;Subs'!$C$123:$C$127)*($H65&lt;='TaxCred&amp;Subs'!$C$129),'TaxCred&amp;Subs'!$E$123:$E$127,0))</f>
        <v>0</v>
      </c>
      <c r="R65" s="174">
        <v>0</v>
      </c>
      <c r="S65" s="126">
        <v>1</v>
      </c>
      <c r="T65" s="126" t="s">
        <v>223</v>
      </c>
      <c r="U65" s="158"/>
      <c r="V65" s="153" t="str">
        <f t="array" ref="V65">INDEX(xlRTCLNAME,MATCH(1,(xlRTCLENDU=1)*(xlRTCLEQCL=$D65),0))</f>
        <v>NG_FA</v>
      </c>
      <c r="W65" s="153" t="str">
        <f t="array" ref="W65">INDEX(xlRTCLNAME,MATCH(1,(xlRTCLENDU=2)*(xlRTCLEQCL=$F65),0))</f>
        <v>CENT_AIR</v>
      </c>
      <c r="X65" s="153" t="str">
        <f t="array" ref="X65">INDEX(xlRTTYNAME,MATCH(1,(xlRTTYENDU=1)*(xlRTTYEQCL=$D65)*(xlRTEQTYPE=$E65),0))</f>
        <v>NG_FA1</v>
      </c>
      <c r="Y65" s="153" t="str">
        <f t="array" ref="Y65">INDEX(xlRTTYNAME,MATCH(1,(xlRTTYENDU=2)*(xlRTTYEQCL=$F65)*(xlRTEQTYPE=$G65),0))</f>
        <v>CENT_AIR1</v>
      </c>
    </row>
    <row r="66" spans="2:25" x14ac:dyDescent="0.2">
      <c r="B66" s="126">
        <v>3</v>
      </c>
      <c r="C66" s="126">
        <v>1</v>
      </c>
      <c r="D66" s="126">
        <v>3</v>
      </c>
      <c r="E66" s="126">
        <v>6</v>
      </c>
      <c r="F66" s="126">
        <v>2</v>
      </c>
      <c r="G66" s="126">
        <v>6</v>
      </c>
      <c r="H66" s="126">
        <v>2023</v>
      </c>
      <c r="I66" s="126">
        <v>2050</v>
      </c>
      <c r="J66" s="127">
        <v>1.0469999999999999</v>
      </c>
      <c r="K66" s="127">
        <v>1.0769</v>
      </c>
      <c r="L66" s="127">
        <v>0.93520000000000003</v>
      </c>
      <c r="M66" s="127">
        <v>0.9627</v>
      </c>
      <c r="N66" s="127">
        <v>0.91600000000000004</v>
      </c>
      <c r="O66" s="127">
        <v>1.0538000000000001</v>
      </c>
      <c r="P66" s="126">
        <v>0</v>
      </c>
      <c r="Q66" s="128">
        <f t="array" ref="Q66">SUM(IF(($S66&gt;=4)*($C66='TaxCred&amp;Subs'!$D$123:$D$127)*($H66='TaxCred&amp;Subs'!$C$123:$C$127)*($H66&lt;='TaxCred&amp;Subs'!$C$129),'TaxCred&amp;Subs'!$E$123:$E$127,0))</f>
        <v>0</v>
      </c>
      <c r="R66" s="174">
        <v>0</v>
      </c>
      <c r="S66" s="126">
        <v>1</v>
      </c>
      <c r="T66" s="126" t="s">
        <v>223</v>
      </c>
      <c r="U66" s="158"/>
      <c r="V66" s="153" t="str">
        <f t="array" ref="V66">INDEX(xlRTCLNAME,MATCH(1,(xlRTCLENDU=1)*(xlRTCLEQCL=$D66),0))</f>
        <v>NG_FA</v>
      </c>
      <c r="W66" s="153" t="str">
        <f t="array" ref="W66">INDEX(xlRTCLNAME,MATCH(1,(xlRTCLENDU=2)*(xlRTCLEQCL=$F66),0))</f>
        <v>CENT_AIR</v>
      </c>
      <c r="X66" s="153" t="str">
        <f t="array" ref="X66">INDEX(xlRTTYNAME,MATCH(1,(xlRTTYENDU=1)*(xlRTTYEQCL=$D66)*(xlRTEQTYPE=$E66),0))</f>
        <v>NG_FA1</v>
      </c>
      <c r="Y66" s="153" t="str">
        <f t="array" ref="Y66">INDEX(xlRTTYNAME,MATCH(1,(xlRTTYENDU=2)*(xlRTTYEQCL=$F66)*(xlRTEQTYPE=$G66),0))</f>
        <v>CENT_AIR2</v>
      </c>
    </row>
    <row r="67" spans="2:25" x14ac:dyDescent="0.2">
      <c r="B67" s="126">
        <v>4</v>
      </c>
      <c r="C67" s="126">
        <v>1</v>
      </c>
      <c r="D67" s="126">
        <v>3</v>
      </c>
      <c r="E67" s="126">
        <v>6</v>
      </c>
      <c r="F67" s="126">
        <v>2</v>
      </c>
      <c r="G67" s="126">
        <v>5</v>
      </c>
      <c r="H67" s="126">
        <v>2016</v>
      </c>
      <c r="I67" s="126">
        <v>2022</v>
      </c>
      <c r="J67" s="127">
        <v>1.0862000000000001</v>
      </c>
      <c r="K67" s="127">
        <v>1.0769</v>
      </c>
      <c r="L67" s="127">
        <v>0.87749999999999995</v>
      </c>
      <c r="M67" s="127">
        <v>0.87319999999999998</v>
      </c>
      <c r="N67" s="127">
        <v>0.85770000000000002</v>
      </c>
      <c r="O67" s="127">
        <v>1.0538000000000001</v>
      </c>
      <c r="P67" s="126">
        <v>0</v>
      </c>
      <c r="Q67" s="128">
        <f t="array" ref="Q67">SUM(IF(($S67&gt;=4)*($C67='TaxCred&amp;Subs'!$D$123:$D$127)*($H67='TaxCred&amp;Subs'!$C$123:$C$127)*($H67&lt;='TaxCred&amp;Subs'!$C$129),'TaxCred&amp;Subs'!$E$123:$E$127,0))</f>
        <v>0</v>
      </c>
      <c r="R67" s="174">
        <v>0</v>
      </c>
      <c r="S67" s="126">
        <v>1</v>
      </c>
      <c r="T67" s="126" t="s">
        <v>223</v>
      </c>
      <c r="U67" s="158"/>
      <c r="V67" s="153" t="str">
        <f t="array" ref="V67">INDEX(xlRTCLNAME,MATCH(1,(xlRTCLENDU=1)*(xlRTCLEQCL=$D67),0))</f>
        <v>NG_FA</v>
      </c>
      <c r="W67" s="153" t="str">
        <f t="array" ref="W67">INDEX(xlRTCLNAME,MATCH(1,(xlRTCLENDU=2)*(xlRTCLEQCL=$F67),0))</f>
        <v>CENT_AIR</v>
      </c>
      <c r="X67" s="153" t="str">
        <f t="array" ref="X67">INDEX(xlRTTYNAME,MATCH(1,(xlRTTYENDU=1)*(xlRTTYEQCL=$D67)*(xlRTEQTYPE=$E67),0))</f>
        <v>NG_FA1</v>
      </c>
      <c r="Y67" s="153" t="str">
        <f t="array" ref="Y67">INDEX(xlRTTYNAME,MATCH(1,(xlRTTYENDU=2)*(xlRTTYEQCL=$F67)*(xlRTEQTYPE=$G67),0))</f>
        <v>CENT_AIR1</v>
      </c>
    </row>
    <row r="68" spans="2:25" x14ac:dyDescent="0.2">
      <c r="B68" s="126">
        <v>4</v>
      </c>
      <c r="C68" s="126">
        <v>1</v>
      </c>
      <c r="D68" s="126">
        <v>3</v>
      </c>
      <c r="E68" s="126">
        <v>6</v>
      </c>
      <c r="F68" s="126">
        <v>2</v>
      </c>
      <c r="G68" s="126">
        <v>6</v>
      </c>
      <c r="H68" s="126">
        <v>2023</v>
      </c>
      <c r="I68" s="126">
        <v>2050</v>
      </c>
      <c r="J68" s="127">
        <v>1.0862000000000001</v>
      </c>
      <c r="K68" s="127">
        <v>1.0769</v>
      </c>
      <c r="L68" s="127">
        <v>0.87749999999999995</v>
      </c>
      <c r="M68" s="127">
        <v>0.87319999999999998</v>
      </c>
      <c r="N68" s="127">
        <v>0.85770000000000002</v>
      </c>
      <c r="O68" s="127">
        <v>1.0538000000000001</v>
      </c>
      <c r="P68" s="126">
        <v>0</v>
      </c>
      <c r="Q68" s="128">
        <f t="array" ref="Q68">SUM(IF(($S68&gt;=4)*($C68='TaxCred&amp;Subs'!$D$123:$D$127)*($H68='TaxCred&amp;Subs'!$C$123:$C$127)*($H68&lt;='TaxCred&amp;Subs'!$C$129),'TaxCred&amp;Subs'!$E$123:$E$127,0))</f>
        <v>0</v>
      </c>
      <c r="R68" s="174">
        <v>0</v>
      </c>
      <c r="S68" s="126">
        <v>1</v>
      </c>
      <c r="T68" s="126" t="s">
        <v>223</v>
      </c>
      <c r="U68" s="158"/>
      <c r="V68" s="153" t="str">
        <f t="array" ref="V68">INDEX(xlRTCLNAME,MATCH(1,(xlRTCLENDU=1)*(xlRTCLEQCL=$D68),0))</f>
        <v>NG_FA</v>
      </c>
      <c r="W68" s="153" t="str">
        <f t="array" ref="W68">INDEX(xlRTCLNAME,MATCH(1,(xlRTCLENDU=2)*(xlRTCLEQCL=$F68),0))</f>
        <v>CENT_AIR</v>
      </c>
      <c r="X68" s="153" t="str">
        <f t="array" ref="X68">INDEX(xlRTTYNAME,MATCH(1,(xlRTTYENDU=1)*(xlRTTYEQCL=$D68)*(xlRTEQTYPE=$E68),0))</f>
        <v>NG_FA1</v>
      </c>
      <c r="Y68" s="153" t="str">
        <f t="array" ref="Y68">INDEX(xlRTTYNAME,MATCH(1,(xlRTTYENDU=2)*(xlRTTYEQCL=$F68)*(xlRTEQTYPE=$G68),0))</f>
        <v>CENT_AIR2</v>
      </c>
    </row>
    <row r="69" spans="2:25" x14ac:dyDescent="0.2">
      <c r="B69" s="126">
        <v>5</v>
      </c>
      <c r="C69" s="126">
        <v>1</v>
      </c>
      <c r="D69" s="126">
        <v>3</v>
      </c>
      <c r="E69" s="126">
        <v>6</v>
      </c>
      <c r="F69" s="126">
        <v>2</v>
      </c>
      <c r="G69" s="126">
        <v>5</v>
      </c>
      <c r="H69" s="126">
        <v>2016</v>
      </c>
      <c r="I69" s="126">
        <v>2022</v>
      </c>
      <c r="J69" s="127">
        <v>1.0849</v>
      </c>
      <c r="K69" s="127">
        <v>1.0471999999999999</v>
      </c>
      <c r="L69" s="127">
        <v>0.90710000000000002</v>
      </c>
      <c r="M69" s="127">
        <v>1.0934999999999999</v>
      </c>
      <c r="N69" s="127">
        <v>0.76180000000000003</v>
      </c>
      <c r="O69" s="127">
        <v>1.0538000000000001</v>
      </c>
      <c r="P69" s="126">
        <v>0</v>
      </c>
      <c r="Q69" s="128">
        <f t="array" ref="Q69">SUM(IF(($S69&gt;=4)*($C69='TaxCred&amp;Subs'!$D$123:$D$127)*($H69='TaxCred&amp;Subs'!$C$123:$C$127)*($H69&lt;='TaxCred&amp;Subs'!$C$129),'TaxCred&amp;Subs'!$E$123:$E$127,0))</f>
        <v>0</v>
      </c>
      <c r="R69" s="174">
        <v>0</v>
      </c>
      <c r="S69" s="126">
        <v>1</v>
      </c>
      <c r="T69" s="126" t="s">
        <v>223</v>
      </c>
      <c r="U69" s="158"/>
      <c r="V69" s="153" t="str">
        <f t="array" ref="V69">INDEX(xlRTCLNAME,MATCH(1,(xlRTCLENDU=1)*(xlRTCLEQCL=$D69),0))</f>
        <v>NG_FA</v>
      </c>
      <c r="W69" s="153" t="str">
        <f t="array" ref="W69">INDEX(xlRTCLNAME,MATCH(1,(xlRTCLENDU=2)*(xlRTCLEQCL=$F69),0))</f>
        <v>CENT_AIR</v>
      </c>
      <c r="X69" s="153" t="str">
        <f t="array" ref="X69">INDEX(xlRTTYNAME,MATCH(1,(xlRTTYENDU=1)*(xlRTTYEQCL=$D69)*(xlRTEQTYPE=$E69),0))</f>
        <v>NG_FA1</v>
      </c>
      <c r="Y69" s="153" t="str">
        <f t="array" ref="Y69">INDEX(xlRTTYNAME,MATCH(1,(xlRTTYENDU=2)*(xlRTTYEQCL=$F69)*(xlRTEQTYPE=$G69),0))</f>
        <v>CENT_AIR1</v>
      </c>
    </row>
    <row r="70" spans="2:25" x14ac:dyDescent="0.2">
      <c r="B70" s="126">
        <v>5</v>
      </c>
      <c r="C70" s="126">
        <v>1</v>
      </c>
      <c r="D70" s="126">
        <v>3</v>
      </c>
      <c r="E70" s="126">
        <v>6</v>
      </c>
      <c r="F70" s="126">
        <v>2</v>
      </c>
      <c r="G70" s="126">
        <v>6</v>
      </c>
      <c r="H70" s="126">
        <v>2023</v>
      </c>
      <c r="I70" s="126">
        <v>2050</v>
      </c>
      <c r="J70" s="127">
        <v>1.0849</v>
      </c>
      <c r="K70" s="127">
        <v>1.0471999999999999</v>
      </c>
      <c r="L70" s="127">
        <v>0.90710000000000002</v>
      </c>
      <c r="M70" s="127">
        <v>1.0934999999999999</v>
      </c>
      <c r="N70" s="127">
        <v>0.76180000000000003</v>
      </c>
      <c r="O70" s="127">
        <v>1.0538000000000001</v>
      </c>
      <c r="P70" s="126">
        <v>0</v>
      </c>
      <c r="Q70" s="128">
        <f t="array" ref="Q70">SUM(IF(($S70&gt;=4)*($C70='TaxCred&amp;Subs'!$D$123:$D$127)*($H70='TaxCred&amp;Subs'!$C$123:$C$127)*($H70&lt;='TaxCred&amp;Subs'!$C$129),'TaxCred&amp;Subs'!$E$123:$E$127,0))</f>
        <v>0</v>
      </c>
      <c r="R70" s="174">
        <v>0</v>
      </c>
      <c r="S70" s="126">
        <v>1</v>
      </c>
      <c r="T70" s="126" t="s">
        <v>223</v>
      </c>
      <c r="U70" s="158"/>
      <c r="V70" s="153" t="str">
        <f t="array" ref="V70">INDEX(xlRTCLNAME,MATCH(1,(xlRTCLENDU=1)*(xlRTCLEQCL=$D70),0))</f>
        <v>NG_FA</v>
      </c>
      <c r="W70" s="153" t="str">
        <f t="array" ref="W70">INDEX(xlRTCLNAME,MATCH(1,(xlRTCLENDU=2)*(xlRTCLEQCL=$F70),0))</f>
        <v>CENT_AIR</v>
      </c>
      <c r="X70" s="153" t="str">
        <f t="array" ref="X70">INDEX(xlRTTYNAME,MATCH(1,(xlRTTYENDU=1)*(xlRTTYEQCL=$D70)*(xlRTEQTYPE=$E70),0))</f>
        <v>NG_FA1</v>
      </c>
      <c r="Y70" s="153" t="str">
        <f t="array" ref="Y70">INDEX(xlRTTYNAME,MATCH(1,(xlRTTYENDU=2)*(xlRTTYEQCL=$F70)*(xlRTEQTYPE=$G70),0))</f>
        <v>CENT_AIR2</v>
      </c>
    </row>
    <row r="71" spans="2:25" x14ac:dyDescent="0.2">
      <c r="B71" s="126">
        <v>6</v>
      </c>
      <c r="C71" s="126">
        <v>1</v>
      </c>
      <c r="D71" s="126">
        <v>3</v>
      </c>
      <c r="E71" s="126">
        <v>6</v>
      </c>
      <c r="F71" s="126">
        <v>2</v>
      </c>
      <c r="G71" s="126">
        <v>5</v>
      </c>
      <c r="H71" s="126">
        <v>2016</v>
      </c>
      <c r="I71" s="126">
        <v>2022</v>
      </c>
      <c r="J71" s="127">
        <v>1.0924</v>
      </c>
      <c r="K71" s="127">
        <v>1.0661</v>
      </c>
      <c r="L71" s="127">
        <v>1.0295000000000001</v>
      </c>
      <c r="M71" s="127">
        <v>1.1335999999999999</v>
      </c>
      <c r="N71" s="127">
        <v>0.89100000000000001</v>
      </c>
      <c r="O71" s="127">
        <v>1.0538000000000001</v>
      </c>
      <c r="P71" s="126">
        <v>0</v>
      </c>
      <c r="Q71" s="128">
        <f t="array" ref="Q71">SUM(IF(($S71&gt;=4)*($C71='TaxCred&amp;Subs'!$D$123:$D$127)*($H71='TaxCred&amp;Subs'!$C$123:$C$127)*($H71&lt;='TaxCred&amp;Subs'!$C$129),'TaxCred&amp;Subs'!$E$123:$E$127,0))</f>
        <v>0</v>
      </c>
      <c r="R71" s="174">
        <v>0</v>
      </c>
      <c r="S71" s="126">
        <v>1</v>
      </c>
      <c r="T71" s="126" t="s">
        <v>223</v>
      </c>
      <c r="U71" s="158"/>
      <c r="V71" s="153" t="str">
        <f t="array" ref="V71">INDEX(xlRTCLNAME,MATCH(1,(xlRTCLENDU=1)*(xlRTCLEQCL=$D71),0))</f>
        <v>NG_FA</v>
      </c>
      <c r="W71" s="153" t="str">
        <f t="array" ref="W71">INDEX(xlRTCLNAME,MATCH(1,(xlRTCLENDU=2)*(xlRTCLEQCL=$F71),0))</f>
        <v>CENT_AIR</v>
      </c>
      <c r="X71" s="153" t="str">
        <f t="array" ref="X71">INDEX(xlRTTYNAME,MATCH(1,(xlRTTYENDU=1)*(xlRTTYEQCL=$D71)*(xlRTEQTYPE=$E71),0))</f>
        <v>NG_FA1</v>
      </c>
      <c r="Y71" s="153" t="str">
        <f t="array" ref="Y71">INDEX(xlRTTYNAME,MATCH(1,(xlRTTYENDU=2)*(xlRTTYEQCL=$F71)*(xlRTEQTYPE=$G71),0))</f>
        <v>CENT_AIR1</v>
      </c>
    </row>
    <row r="72" spans="2:25" x14ac:dyDescent="0.2">
      <c r="B72" s="126">
        <v>6</v>
      </c>
      <c r="C72" s="126">
        <v>1</v>
      </c>
      <c r="D72" s="126">
        <v>3</v>
      </c>
      <c r="E72" s="126">
        <v>6</v>
      </c>
      <c r="F72" s="126">
        <v>2</v>
      </c>
      <c r="G72" s="126">
        <v>6</v>
      </c>
      <c r="H72" s="126">
        <v>2023</v>
      </c>
      <c r="I72" s="126">
        <v>2050</v>
      </c>
      <c r="J72" s="127">
        <v>1.0924</v>
      </c>
      <c r="K72" s="127">
        <v>1.0661</v>
      </c>
      <c r="L72" s="127">
        <v>1.0295000000000001</v>
      </c>
      <c r="M72" s="127">
        <v>1.1335999999999999</v>
      </c>
      <c r="N72" s="127">
        <v>0.89100000000000001</v>
      </c>
      <c r="O72" s="127">
        <v>1.0538000000000001</v>
      </c>
      <c r="P72" s="126">
        <v>0</v>
      </c>
      <c r="Q72" s="128">
        <f t="array" ref="Q72">SUM(IF(($S72&gt;=4)*($C72='TaxCred&amp;Subs'!$D$123:$D$127)*($H72='TaxCred&amp;Subs'!$C$123:$C$127)*($H72&lt;='TaxCred&amp;Subs'!$C$129),'TaxCred&amp;Subs'!$E$123:$E$127,0))</f>
        <v>0</v>
      </c>
      <c r="R72" s="174">
        <v>0</v>
      </c>
      <c r="S72" s="126">
        <v>1</v>
      </c>
      <c r="T72" s="126" t="s">
        <v>223</v>
      </c>
      <c r="U72" s="158"/>
      <c r="V72" s="153" t="str">
        <f t="array" ref="V72">INDEX(xlRTCLNAME,MATCH(1,(xlRTCLENDU=1)*(xlRTCLEQCL=$D72),0))</f>
        <v>NG_FA</v>
      </c>
      <c r="W72" s="153" t="str">
        <f t="array" ref="W72">INDEX(xlRTCLNAME,MATCH(1,(xlRTCLENDU=2)*(xlRTCLEQCL=$F72),0))</f>
        <v>CENT_AIR</v>
      </c>
      <c r="X72" s="153" t="str">
        <f t="array" ref="X72">INDEX(xlRTTYNAME,MATCH(1,(xlRTTYENDU=1)*(xlRTTYEQCL=$D72)*(xlRTEQTYPE=$E72),0))</f>
        <v>NG_FA1</v>
      </c>
      <c r="Y72" s="153" t="str">
        <f t="array" ref="Y72">INDEX(xlRTTYNAME,MATCH(1,(xlRTTYENDU=2)*(xlRTTYEQCL=$F72)*(xlRTEQTYPE=$G72),0))</f>
        <v>CENT_AIR2</v>
      </c>
    </row>
    <row r="73" spans="2:25" x14ac:dyDescent="0.2">
      <c r="B73" s="126">
        <v>7</v>
      </c>
      <c r="C73" s="126">
        <v>1</v>
      </c>
      <c r="D73" s="126">
        <v>3</v>
      </c>
      <c r="E73" s="126">
        <v>6</v>
      </c>
      <c r="F73" s="126">
        <v>2</v>
      </c>
      <c r="G73" s="126">
        <v>5</v>
      </c>
      <c r="H73" s="126">
        <v>2016</v>
      </c>
      <c r="I73" s="126">
        <v>2022</v>
      </c>
      <c r="J73" s="127">
        <v>1.0905</v>
      </c>
      <c r="K73" s="127">
        <v>1.0562</v>
      </c>
      <c r="L73" s="127">
        <v>1.046</v>
      </c>
      <c r="M73" s="127">
        <v>1.0382</v>
      </c>
      <c r="N73" s="127">
        <v>0.87180000000000002</v>
      </c>
      <c r="O73" s="127">
        <v>1.0538000000000001</v>
      </c>
      <c r="P73" s="126">
        <v>0</v>
      </c>
      <c r="Q73" s="128">
        <f t="array" ref="Q73">SUM(IF(($S73&gt;=4)*($C73='TaxCred&amp;Subs'!$D$123:$D$127)*($H73='TaxCred&amp;Subs'!$C$123:$C$127)*($H73&lt;='TaxCred&amp;Subs'!$C$129),'TaxCred&amp;Subs'!$E$123:$E$127,0))</f>
        <v>0</v>
      </c>
      <c r="R73" s="174">
        <v>0</v>
      </c>
      <c r="S73" s="126">
        <v>1</v>
      </c>
      <c r="T73" s="126" t="s">
        <v>223</v>
      </c>
      <c r="U73" s="158"/>
      <c r="V73" s="153" t="str">
        <f t="array" ref="V73">INDEX(xlRTCLNAME,MATCH(1,(xlRTCLENDU=1)*(xlRTCLEQCL=$D73),0))</f>
        <v>NG_FA</v>
      </c>
      <c r="W73" s="153" t="str">
        <f t="array" ref="W73">INDEX(xlRTCLNAME,MATCH(1,(xlRTCLENDU=2)*(xlRTCLEQCL=$F73),0))</f>
        <v>CENT_AIR</v>
      </c>
      <c r="X73" s="153" t="str">
        <f t="array" ref="X73">INDEX(xlRTTYNAME,MATCH(1,(xlRTTYENDU=1)*(xlRTTYEQCL=$D73)*(xlRTEQTYPE=$E73),0))</f>
        <v>NG_FA1</v>
      </c>
      <c r="Y73" s="153" t="str">
        <f t="array" ref="Y73">INDEX(xlRTTYNAME,MATCH(1,(xlRTTYENDU=2)*(xlRTTYEQCL=$F73)*(xlRTEQTYPE=$G73),0))</f>
        <v>CENT_AIR1</v>
      </c>
    </row>
    <row r="74" spans="2:25" x14ac:dyDescent="0.2">
      <c r="B74" s="126">
        <v>7</v>
      </c>
      <c r="C74" s="126">
        <v>1</v>
      </c>
      <c r="D74" s="126">
        <v>3</v>
      </c>
      <c r="E74" s="126">
        <v>6</v>
      </c>
      <c r="F74" s="126">
        <v>2</v>
      </c>
      <c r="G74" s="126">
        <v>6</v>
      </c>
      <c r="H74" s="126">
        <v>2023</v>
      </c>
      <c r="I74" s="126">
        <v>2050</v>
      </c>
      <c r="J74" s="127">
        <v>1.0905</v>
      </c>
      <c r="K74" s="127">
        <v>1.0562</v>
      </c>
      <c r="L74" s="127">
        <v>1.046</v>
      </c>
      <c r="M74" s="127">
        <v>1.0382</v>
      </c>
      <c r="N74" s="127">
        <v>0.87180000000000002</v>
      </c>
      <c r="O74" s="127">
        <v>1.0538000000000001</v>
      </c>
      <c r="P74" s="126">
        <v>0</v>
      </c>
      <c r="Q74" s="128">
        <f t="array" ref="Q74">SUM(IF(($S74&gt;=4)*($C74='TaxCred&amp;Subs'!$D$123:$D$127)*($H74='TaxCred&amp;Subs'!$C$123:$C$127)*($H74&lt;='TaxCred&amp;Subs'!$C$129),'TaxCred&amp;Subs'!$E$123:$E$127,0))</f>
        <v>0</v>
      </c>
      <c r="R74" s="174">
        <v>0</v>
      </c>
      <c r="S74" s="126">
        <v>1</v>
      </c>
      <c r="T74" s="126" t="s">
        <v>223</v>
      </c>
      <c r="U74" s="158"/>
      <c r="V74" s="153" t="str">
        <f t="array" ref="V74">INDEX(xlRTCLNAME,MATCH(1,(xlRTCLENDU=1)*(xlRTCLEQCL=$D74),0))</f>
        <v>NG_FA</v>
      </c>
      <c r="W74" s="153" t="str">
        <f t="array" ref="W74">INDEX(xlRTCLNAME,MATCH(1,(xlRTCLENDU=2)*(xlRTCLEQCL=$F74),0))</f>
        <v>CENT_AIR</v>
      </c>
      <c r="X74" s="153" t="str">
        <f t="array" ref="X74">INDEX(xlRTTYNAME,MATCH(1,(xlRTTYENDU=1)*(xlRTTYEQCL=$D74)*(xlRTEQTYPE=$E74),0))</f>
        <v>NG_FA1</v>
      </c>
      <c r="Y74" s="153" t="str">
        <f t="array" ref="Y74">INDEX(xlRTTYNAME,MATCH(1,(xlRTTYENDU=2)*(xlRTTYEQCL=$F74)*(xlRTEQTYPE=$G74),0))</f>
        <v>CENT_AIR2</v>
      </c>
    </row>
    <row r="75" spans="2:25" x14ac:dyDescent="0.2">
      <c r="B75" s="126">
        <v>8</v>
      </c>
      <c r="C75" s="126">
        <v>1</v>
      </c>
      <c r="D75" s="126">
        <v>3</v>
      </c>
      <c r="E75" s="126">
        <v>6</v>
      </c>
      <c r="F75" s="126">
        <v>2</v>
      </c>
      <c r="G75" s="126">
        <v>5</v>
      </c>
      <c r="H75" s="126">
        <v>2016</v>
      </c>
      <c r="I75" s="126">
        <v>2022</v>
      </c>
      <c r="J75" s="127">
        <v>1.0801000000000001</v>
      </c>
      <c r="K75" s="127">
        <v>1.0822000000000001</v>
      </c>
      <c r="L75" s="127">
        <v>0.97740000000000005</v>
      </c>
      <c r="M75" s="127">
        <v>1.0076000000000001</v>
      </c>
      <c r="N75" s="127">
        <v>0.86950000000000005</v>
      </c>
      <c r="O75" s="127">
        <v>1.0538000000000001</v>
      </c>
      <c r="P75" s="126">
        <v>0</v>
      </c>
      <c r="Q75" s="128">
        <f t="array" ref="Q75">SUM(IF(($S75&gt;=4)*($C75='TaxCred&amp;Subs'!$D$123:$D$127)*($H75='TaxCred&amp;Subs'!$C$123:$C$127)*($H75&lt;='TaxCred&amp;Subs'!$C$129),'TaxCred&amp;Subs'!$E$123:$E$127,0))</f>
        <v>0</v>
      </c>
      <c r="R75" s="174">
        <v>0</v>
      </c>
      <c r="S75" s="126">
        <v>1</v>
      </c>
      <c r="T75" s="126" t="s">
        <v>223</v>
      </c>
      <c r="U75" s="158"/>
      <c r="V75" s="153" t="str">
        <f t="array" ref="V75">INDEX(xlRTCLNAME,MATCH(1,(xlRTCLENDU=1)*(xlRTCLEQCL=$D75),0))</f>
        <v>NG_FA</v>
      </c>
      <c r="W75" s="153" t="str">
        <f t="array" ref="W75">INDEX(xlRTCLNAME,MATCH(1,(xlRTCLENDU=2)*(xlRTCLEQCL=$F75),0))</f>
        <v>CENT_AIR</v>
      </c>
      <c r="X75" s="153" t="str">
        <f t="array" ref="X75">INDEX(xlRTTYNAME,MATCH(1,(xlRTTYENDU=1)*(xlRTTYEQCL=$D75)*(xlRTEQTYPE=$E75),0))</f>
        <v>NG_FA1</v>
      </c>
      <c r="Y75" s="153" t="str">
        <f t="array" ref="Y75">INDEX(xlRTTYNAME,MATCH(1,(xlRTTYENDU=2)*(xlRTTYEQCL=$F75)*(xlRTEQTYPE=$G75),0))</f>
        <v>CENT_AIR1</v>
      </c>
    </row>
    <row r="76" spans="2:25" x14ac:dyDescent="0.2">
      <c r="B76" s="126">
        <v>8</v>
      </c>
      <c r="C76" s="126">
        <v>1</v>
      </c>
      <c r="D76" s="126">
        <v>3</v>
      </c>
      <c r="E76" s="126">
        <v>6</v>
      </c>
      <c r="F76" s="126">
        <v>2</v>
      </c>
      <c r="G76" s="126">
        <v>6</v>
      </c>
      <c r="H76" s="126">
        <v>2023</v>
      </c>
      <c r="I76" s="126">
        <v>2050</v>
      </c>
      <c r="J76" s="127">
        <v>1.0801000000000001</v>
      </c>
      <c r="K76" s="127">
        <v>1.0822000000000001</v>
      </c>
      <c r="L76" s="127">
        <v>0.97740000000000005</v>
      </c>
      <c r="M76" s="127">
        <v>1.0076000000000001</v>
      </c>
      <c r="N76" s="127">
        <v>0.86950000000000005</v>
      </c>
      <c r="O76" s="127">
        <v>1.0538000000000001</v>
      </c>
      <c r="P76" s="126">
        <v>0</v>
      </c>
      <c r="Q76" s="128">
        <f t="array" ref="Q76">SUM(IF(($S76&gt;=4)*($C76='TaxCred&amp;Subs'!$D$123:$D$127)*($H76='TaxCred&amp;Subs'!$C$123:$C$127)*($H76&lt;='TaxCred&amp;Subs'!$C$129),'TaxCred&amp;Subs'!$E$123:$E$127,0))</f>
        <v>0</v>
      </c>
      <c r="R76" s="174">
        <v>0</v>
      </c>
      <c r="S76" s="126">
        <v>1</v>
      </c>
      <c r="T76" s="126" t="s">
        <v>223</v>
      </c>
      <c r="U76" s="158"/>
      <c r="V76" s="153" t="str">
        <f t="array" ref="V76">INDEX(xlRTCLNAME,MATCH(1,(xlRTCLENDU=1)*(xlRTCLEQCL=$D76),0))</f>
        <v>NG_FA</v>
      </c>
      <c r="W76" s="153" t="str">
        <f t="array" ref="W76">INDEX(xlRTCLNAME,MATCH(1,(xlRTCLENDU=2)*(xlRTCLEQCL=$F76),0))</f>
        <v>CENT_AIR</v>
      </c>
      <c r="X76" s="153" t="str">
        <f t="array" ref="X76">INDEX(xlRTTYNAME,MATCH(1,(xlRTTYENDU=1)*(xlRTTYEQCL=$D76)*(xlRTEQTYPE=$E76),0))</f>
        <v>NG_FA1</v>
      </c>
      <c r="Y76" s="153" t="str">
        <f t="array" ref="Y76">INDEX(xlRTTYNAME,MATCH(1,(xlRTTYENDU=2)*(xlRTTYEQCL=$F76)*(xlRTEQTYPE=$G76),0))</f>
        <v>CENT_AIR2</v>
      </c>
    </row>
    <row r="77" spans="2:25" x14ac:dyDescent="0.2">
      <c r="B77" s="126">
        <v>9</v>
      </c>
      <c r="C77" s="126">
        <v>1</v>
      </c>
      <c r="D77" s="126">
        <v>3</v>
      </c>
      <c r="E77" s="126">
        <v>6</v>
      </c>
      <c r="F77" s="126">
        <v>2</v>
      </c>
      <c r="G77" s="126">
        <v>5</v>
      </c>
      <c r="H77" s="126">
        <v>2016</v>
      </c>
      <c r="I77" s="126">
        <v>2022</v>
      </c>
      <c r="J77" s="127">
        <v>1.0781000000000001</v>
      </c>
      <c r="K77" s="127">
        <v>1.0707</v>
      </c>
      <c r="L77" s="127">
        <v>1.1246</v>
      </c>
      <c r="M77" s="127">
        <v>1.1204000000000001</v>
      </c>
      <c r="N77" s="127">
        <v>1.0339</v>
      </c>
      <c r="O77" s="127">
        <v>1.0538000000000001</v>
      </c>
      <c r="P77" s="126">
        <v>0</v>
      </c>
      <c r="Q77" s="128">
        <f t="array" ref="Q77">SUM(IF(($S77&gt;=4)*($C77='TaxCred&amp;Subs'!$D$123:$D$127)*($H77='TaxCred&amp;Subs'!$C$123:$C$127)*($H77&lt;='TaxCred&amp;Subs'!$C$129),'TaxCred&amp;Subs'!$E$123:$E$127,0))</f>
        <v>0</v>
      </c>
      <c r="R77" s="174">
        <v>0</v>
      </c>
      <c r="S77" s="126">
        <v>1</v>
      </c>
      <c r="T77" s="126" t="s">
        <v>223</v>
      </c>
      <c r="U77" s="158"/>
      <c r="V77" s="153" t="str">
        <f t="array" ref="V77">INDEX(xlRTCLNAME,MATCH(1,(xlRTCLENDU=1)*(xlRTCLEQCL=$D77),0))</f>
        <v>NG_FA</v>
      </c>
      <c r="W77" s="153" t="str">
        <f t="array" ref="W77">INDEX(xlRTCLNAME,MATCH(1,(xlRTCLENDU=2)*(xlRTCLEQCL=$F77),0))</f>
        <v>CENT_AIR</v>
      </c>
      <c r="X77" s="153" t="str">
        <f t="array" ref="X77">INDEX(xlRTTYNAME,MATCH(1,(xlRTTYENDU=1)*(xlRTTYEQCL=$D77)*(xlRTEQTYPE=$E77),0))</f>
        <v>NG_FA1</v>
      </c>
      <c r="Y77" s="153" t="str">
        <f t="array" ref="Y77">INDEX(xlRTTYNAME,MATCH(1,(xlRTTYENDU=2)*(xlRTTYEQCL=$F77)*(xlRTEQTYPE=$G77),0))</f>
        <v>CENT_AIR1</v>
      </c>
    </row>
    <row r="78" spans="2:25" x14ac:dyDescent="0.2">
      <c r="B78" s="126">
        <v>9</v>
      </c>
      <c r="C78" s="126">
        <v>1</v>
      </c>
      <c r="D78" s="126">
        <v>3</v>
      </c>
      <c r="E78" s="126">
        <v>6</v>
      </c>
      <c r="F78" s="126">
        <v>2</v>
      </c>
      <c r="G78" s="126">
        <v>6</v>
      </c>
      <c r="H78" s="126">
        <v>2023</v>
      </c>
      <c r="I78" s="126">
        <v>2050</v>
      </c>
      <c r="J78" s="127">
        <v>1.0781000000000001</v>
      </c>
      <c r="K78" s="127">
        <v>1.0707</v>
      </c>
      <c r="L78" s="127">
        <v>1.1246</v>
      </c>
      <c r="M78" s="127">
        <v>1.1204000000000001</v>
      </c>
      <c r="N78" s="127">
        <v>1.0339</v>
      </c>
      <c r="O78" s="127">
        <v>1.0538000000000001</v>
      </c>
      <c r="P78" s="126">
        <v>0</v>
      </c>
      <c r="Q78" s="128">
        <f t="array" ref="Q78">SUM(IF(($S78&gt;=4)*($C78='TaxCred&amp;Subs'!$D$123:$D$127)*($H78='TaxCred&amp;Subs'!$C$123:$C$127)*($H78&lt;='TaxCred&amp;Subs'!$C$129),'TaxCred&amp;Subs'!$E$123:$E$127,0))</f>
        <v>0</v>
      </c>
      <c r="R78" s="174">
        <v>0</v>
      </c>
      <c r="S78" s="126">
        <v>1</v>
      </c>
      <c r="T78" s="126" t="s">
        <v>223</v>
      </c>
      <c r="U78" s="158"/>
      <c r="V78" s="153" t="str">
        <f t="array" ref="V78">INDEX(xlRTCLNAME,MATCH(1,(xlRTCLENDU=1)*(xlRTCLEQCL=$D78),0))</f>
        <v>NG_FA</v>
      </c>
      <c r="W78" s="153" t="str">
        <f t="array" ref="W78">INDEX(xlRTCLNAME,MATCH(1,(xlRTCLENDU=2)*(xlRTCLEQCL=$F78),0))</f>
        <v>CENT_AIR</v>
      </c>
      <c r="X78" s="153" t="str">
        <f t="array" ref="X78">INDEX(xlRTTYNAME,MATCH(1,(xlRTTYENDU=1)*(xlRTTYEQCL=$D78)*(xlRTEQTYPE=$E78),0))</f>
        <v>NG_FA1</v>
      </c>
      <c r="Y78" s="153" t="str">
        <f t="array" ref="Y78">INDEX(xlRTTYNAME,MATCH(1,(xlRTTYENDU=2)*(xlRTTYEQCL=$F78)*(xlRTEQTYPE=$G78),0))</f>
        <v>CENT_AIR2</v>
      </c>
    </row>
    <row r="79" spans="2:25" x14ac:dyDescent="0.2">
      <c r="B79" s="126">
        <v>1</v>
      </c>
      <c r="C79" s="126">
        <v>1</v>
      </c>
      <c r="D79" s="126">
        <v>4</v>
      </c>
      <c r="E79" s="126">
        <v>10</v>
      </c>
      <c r="F79" s="126">
        <v>2</v>
      </c>
      <c r="G79" s="126">
        <v>5</v>
      </c>
      <c r="H79" s="126">
        <v>2016</v>
      </c>
      <c r="I79" s="126">
        <v>2022</v>
      </c>
      <c r="J79" s="127">
        <v>1.0592999999999999</v>
      </c>
      <c r="K79" s="127">
        <v>1.0889</v>
      </c>
      <c r="L79" s="127">
        <v>0.91249999999999998</v>
      </c>
      <c r="M79" s="127">
        <v>1.0396000000000001</v>
      </c>
      <c r="N79" s="127">
        <v>0.8095</v>
      </c>
      <c r="O79" s="127">
        <v>1.0538000000000001</v>
      </c>
      <c r="P79" s="126">
        <v>0</v>
      </c>
      <c r="Q79" s="128">
        <f t="array" ref="Q79">SUM(IF(($S79&gt;=4)*($C79='TaxCred&amp;Subs'!$D$123:$D$127)*($H79='TaxCred&amp;Subs'!$C$123:$C$127)*($H79&lt;='TaxCred&amp;Subs'!$C$129),'TaxCred&amp;Subs'!$E$123:$E$127,0))</f>
        <v>0</v>
      </c>
      <c r="R79" s="174">
        <v>0</v>
      </c>
      <c r="S79" s="126">
        <v>1</v>
      </c>
      <c r="T79" s="126" t="s">
        <v>223</v>
      </c>
      <c r="U79" s="158"/>
      <c r="V79" s="153" t="str">
        <f t="array" ref="V79">INDEX(xlRTCLNAME,MATCH(1,(xlRTCLENDU=1)*(xlRTCLEQCL=$D79),0))</f>
        <v>NG_RAD</v>
      </c>
      <c r="W79" s="153" t="str">
        <f t="array" ref="W79">INDEX(xlRTCLNAME,MATCH(1,(xlRTCLENDU=2)*(xlRTCLEQCL=$F79),0))</f>
        <v>CENT_AIR</v>
      </c>
      <c r="X79" s="153" t="str">
        <f t="array" ref="X79">INDEX(xlRTTYNAME,MATCH(1,(xlRTTYENDU=1)*(xlRTTYEQCL=$D79)*(xlRTEQTYPE=$E79),0))</f>
        <v>NG_RAD1</v>
      </c>
      <c r="Y79" s="153" t="str">
        <f t="array" ref="Y79">INDEX(xlRTTYNAME,MATCH(1,(xlRTTYENDU=2)*(xlRTTYEQCL=$F79)*(xlRTEQTYPE=$G79),0))</f>
        <v>CENT_AIR1</v>
      </c>
    </row>
    <row r="80" spans="2:25" x14ac:dyDescent="0.2">
      <c r="B80" s="126">
        <v>1</v>
      </c>
      <c r="C80" s="126">
        <v>1</v>
      </c>
      <c r="D80" s="126">
        <v>4</v>
      </c>
      <c r="E80" s="126">
        <v>10</v>
      </c>
      <c r="F80" s="126">
        <v>2</v>
      </c>
      <c r="G80" s="126">
        <v>6</v>
      </c>
      <c r="H80" s="126">
        <v>2023</v>
      </c>
      <c r="I80" s="126">
        <v>2050</v>
      </c>
      <c r="J80" s="127">
        <v>1.0592999999999999</v>
      </c>
      <c r="K80" s="127">
        <v>1.0889</v>
      </c>
      <c r="L80" s="127">
        <v>0.91249999999999998</v>
      </c>
      <c r="M80" s="127">
        <v>1.0396000000000001</v>
      </c>
      <c r="N80" s="127">
        <v>0.8095</v>
      </c>
      <c r="O80" s="127">
        <v>1.0538000000000001</v>
      </c>
      <c r="P80" s="126">
        <v>0</v>
      </c>
      <c r="Q80" s="128">
        <f t="array" ref="Q80">SUM(IF(($S80&gt;=4)*($C80='TaxCred&amp;Subs'!$D$123:$D$127)*($H80='TaxCred&amp;Subs'!$C$123:$C$127)*($H80&lt;='TaxCred&amp;Subs'!$C$129),'TaxCred&amp;Subs'!$E$123:$E$127,0))</f>
        <v>0</v>
      </c>
      <c r="R80" s="174">
        <v>0</v>
      </c>
      <c r="S80" s="126">
        <v>1</v>
      </c>
      <c r="T80" s="126" t="s">
        <v>223</v>
      </c>
      <c r="U80" s="158"/>
      <c r="V80" s="153" t="str">
        <f t="array" ref="V80">INDEX(xlRTCLNAME,MATCH(1,(xlRTCLENDU=1)*(xlRTCLEQCL=$D80),0))</f>
        <v>NG_RAD</v>
      </c>
      <c r="W80" s="153" t="str">
        <f t="array" ref="W80">INDEX(xlRTCLNAME,MATCH(1,(xlRTCLENDU=2)*(xlRTCLEQCL=$F80),0))</f>
        <v>CENT_AIR</v>
      </c>
      <c r="X80" s="153" t="str">
        <f t="array" ref="X80">INDEX(xlRTTYNAME,MATCH(1,(xlRTTYENDU=1)*(xlRTTYEQCL=$D80)*(xlRTEQTYPE=$E80),0))</f>
        <v>NG_RAD1</v>
      </c>
      <c r="Y80" s="153" t="str">
        <f t="array" ref="Y80">INDEX(xlRTTYNAME,MATCH(1,(xlRTTYENDU=2)*(xlRTTYEQCL=$F80)*(xlRTEQTYPE=$G80),0))</f>
        <v>CENT_AIR2</v>
      </c>
    </row>
    <row r="81" spans="2:25" x14ac:dyDescent="0.2">
      <c r="B81" s="126">
        <v>2</v>
      </c>
      <c r="C81" s="126">
        <v>1</v>
      </c>
      <c r="D81" s="126">
        <v>4</v>
      </c>
      <c r="E81" s="126">
        <v>10</v>
      </c>
      <c r="F81" s="126">
        <v>2</v>
      </c>
      <c r="G81" s="126">
        <v>5</v>
      </c>
      <c r="H81" s="126">
        <v>2016</v>
      </c>
      <c r="I81" s="126">
        <v>2022</v>
      </c>
      <c r="J81" s="127">
        <v>1.0717000000000001</v>
      </c>
      <c r="K81" s="127">
        <v>1.0895999999999999</v>
      </c>
      <c r="L81" s="127">
        <v>0.9929</v>
      </c>
      <c r="M81" s="127">
        <v>0.95550000000000002</v>
      </c>
      <c r="N81" s="127">
        <v>0.92630000000000001</v>
      </c>
      <c r="O81" s="127">
        <v>1.0538000000000001</v>
      </c>
      <c r="P81" s="126">
        <v>0</v>
      </c>
      <c r="Q81" s="128">
        <f t="array" ref="Q81">SUM(IF(($S81&gt;=4)*($C81='TaxCred&amp;Subs'!$D$123:$D$127)*($H81='TaxCred&amp;Subs'!$C$123:$C$127)*($H81&lt;='TaxCred&amp;Subs'!$C$129),'TaxCred&amp;Subs'!$E$123:$E$127,0))</f>
        <v>0</v>
      </c>
      <c r="R81" s="174">
        <v>0</v>
      </c>
      <c r="S81" s="126">
        <v>1</v>
      </c>
      <c r="T81" s="126" t="s">
        <v>223</v>
      </c>
      <c r="U81" s="158"/>
      <c r="V81" s="153" t="str">
        <f t="array" ref="V81">INDEX(xlRTCLNAME,MATCH(1,(xlRTCLENDU=1)*(xlRTCLEQCL=$D81),0))</f>
        <v>NG_RAD</v>
      </c>
      <c r="W81" s="153" t="str">
        <f t="array" ref="W81">INDEX(xlRTCLNAME,MATCH(1,(xlRTCLENDU=2)*(xlRTCLEQCL=$F81),0))</f>
        <v>CENT_AIR</v>
      </c>
      <c r="X81" s="153" t="str">
        <f t="array" ref="X81">INDEX(xlRTTYNAME,MATCH(1,(xlRTTYENDU=1)*(xlRTTYEQCL=$D81)*(xlRTEQTYPE=$E81),0))</f>
        <v>NG_RAD1</v>
      </c>
      <c r="Y81" s="153" t="str">
        <f t="array" ref="Y81">INDEX(xlRTTYNAME,MATCH(1,(xlRTTYENDU=2)*(xlRTTYEQCL=$F81)*(xlRTEQTYPE=$G81),0))</f>
        <v>CENT_AIR1</v>
      </c>
    </row>
    <row r="82" spans="2:25" x14ac:dyDescent="0.2">
      <c r="B82" s="126">
        <v>2</v>
      </c>
      <c r="C82" s="126">
        <v>1</v>
      </c>
      <c r="D82" s="126">
        <v>4</v>
      </c>
      <c r="E82" s="126">
        <v>10</v>
      </c>
      <c r="F82" s="126">
        <v>2</v>
      </c>
      <c r="G82" s="126">
        <v>6</v>
      </c>
      <c r="H82" s="126">
        <v>2023</v>
      </c>
      <c r="I82" s="126">
        <v>2050</v>
      </c>
      <c r="J82" s="127">
        <v>1.0717000000000001</v>
      </c>
      <c r="K82" s="127">
        <v>1.0895999999999999</v>
      </c>
      <c r="L82" s="127">
        <v>0.9929</v>
      </c>
      <c r="M82" s="127">
        <v>0.95550000000000002</v>
      </c>
      <c r="N82" s="127">
        <v>0.92630000000000001</v>
      </c>
      <c r="O82" s="127">
        <v>1.0538000000000001</v>
      </c>
      <c r="P82" s="126">
        <v>0</v>
      </c>
      <c r="Q82" s="128">
        <f t="array" ref="Q82">SUM(IF(($S82&gt;=4)*($C82='TaxCred&amp;Subs'!$D$123:$D$127)*($H82='TaxCred&amp;Subs'!$C$123:$C$127)*($H82&lt;='TaxCred&amp;Subs'!$C$129),'TaxCred&amp;Subs'!$E$123:$E$127,0))</f>
        <v>0</v>
      </c>
      <c r="R82" s="174">
        <v>0</v>
      </c>
      <c r="S82" s="126">
        <v>1</v>
      </c>
      <c r="T82" s="126" t="s">
        <v>223</v>
      </c>
      <c r="U82" s="158"/>
      <c r="V82" s="153" t="str">
        <f t="array" ref="V82">INDEX(xlRTCLNAME,MATCH(1,(xlRTCLENDU=1)*(xlRTCLEQCL=$D82),0))</f>
        <v>NG_RAD</v>
      </c>
      <c r="W82" s="153" t="str">
        <f t="array" ref="W82">INDEX(xlRTCLNAME,MATCH(1,(xlRTCLENDU=2)*(xlRTCLEQCL=$F82),0))</f>
        <v>CENT_AIR</v>
      </c>
      <c r="X82" s="153" t="str">
        <f t="array" ref="X82">INDEX(xlRTTYNAME,MATCH(1,(xlRTTYENDU=1)*(xlRTTYEQCL=$D82)*(xlRTEQTYPE=$E82),0))</f>
        <v>NG_RAD1</v>
      </c>
      <c r="Y82" s="153" t="str">
        <f t="array" ref="Y82">INDEX(xlRTTYNAME,MATCH(1,(xlRTTYENDU=2)*(xlRTTYEQCL=$F82)*(xlRTEQTYPE=$G82),0))</f>
        <v>CENT_AIR2</v>
      </c>
    </row>
    <row r="83" spans="2:25" x14ac:dyDescent="0.2">
      <c r="B83" s="126">
        <v>3</v>
      </c>
      <c r="C83" s="126">
        <v>1</v>
      </c>
      <c r="D83" s="126">
        <v>4</v>
      </c>
      <c r="E83" s="126">
        <v>10</v>
      </c>
      <c r="F83" s="126">
        <v>2</v>
      </c>
      <c r="G83" s="126">
        <v>5</v>
      </c>
      <c r="H83" s="126">
        <v>2016</v>
      </c>
      <c r="I83" s="126">
        <v>2022</v>
      </c>
      <c r="J83" s="127">
        <v>1.0821000000000001</v>
      </c>
      <c r="K83" s="127">
        <v>1.0769</v>
      </c>
      <c r="L83" s="127">
        <v>0.93120000000000003</v>
      </c>
      <c r="M83" s="127">
        <v>0.9627</v>
      </c>
      <c r="N83" s="127">
        <v>0.91400000000000003</v>
      </c>
      <c r="O83" s="127">
        <v>1.0538000000000001</v>
      </c>
      <c r="P83" s="126">
        <v>0</v>
      </c>
      <c r="Q83" s="128">
        <f t="array" ref="Q83">SUM(IF(($S83&gt;=4)*($C83='TaxCred&amp;Subs'!$D$123:$D$127)*($H83='TaxCred&amp;Subs'!$C$123:$C$127)*($H83&lt;='TaxCred&amp;Subs'!$C$129),'TaxCred&amp;Subs'!$E$123:$E$127,0))</f>
        <v>0</v>
      </c>
      <c r="R83" s="174">
        <v>0</v>
      </c>
      <c r="S83" s="126">
        <v>1</v>
      </c>
      <c r="T83" s="126" t="s">
        <v>223</v>
      </c>
      <c r="U83" s="158"/>
      <c r="V83" s="153" t="str">
        <f t="array" ref="V83">INDEX(xlRTCLNAME,MATCH(1,(xlRTCLENDU=1)*(xlRTCLEQCL=$D83),0))</f>
        <v>NG_RAD</v>
      </c>
      <c r="W83" s="153" t="str">
        <f t="array" ref="W83">INDEX(xlRTCLNAME,MATCH(1,(xlRTCLENDU=2)*(xlRTCLEQCL=$F83),0))</f>
        <v>CENT_AIR</v>
      </c>
      <c r="X83" s="153" t="str">
        <f t="array" ref="X83">INDEX(xlRTTYNAME,MATCH(1,(xlRTTYENDU=1)*(xlRTTYEQCL=$D83)*(xlRTEQTYPE=$E83),0))</f>
        <v>NG_RAD1</v>
      </c>
      <c r="Y83" s="153" t="str">
        <f t="array" ref="Y83">INDEX(xlRTTYNAME,MATCH(1,(xlRTTYENDU=2)*(xlRTTYEQCL=$F83)*(xlRTEQTYPE=$G83),0))</f>
        <v>CENT_AIR1</v>
      </c>
    </row>
    <row r="84" spans="2:25" x14ac:dyDescent="0.2">
      <c r="B84" s="126">
        <v>3</v>
      </c>
      <c r="C84" s="126">
        <v>1</v>
      </c>
      <c r="D84" s="126">
        <v>4</v>
      </c>
      <c r="E84" s="126">
        <v>10</v>
      </c>
      <c r="F84" s="126">
        <v>2</v>
      </c>
      <c r="G84" s="126">
        <v>6</v>
      </c>
      <c r="H84" s="126">
        <v>2023</v>
      </c>
      <c r="I84" s="126">
        <v>2050</v>
      </c>
      <c r="J84" s="127">
        <v>1.0821000000000001</v>
      </c>
      <c r="K84" s="127">
        <v>1.0769</v>
      </c>
      <c r="L84" s="127">
        <v>0.93120000000000003</v>
      </c>
      <c r="M84" s="127">
        <v>0.9627</v>
      </c>
      <c r="N84" s="127">
        <v>0.91400000000000003</v>
      </c>
      <c r="O84" s="127">
        <v>1.0538000000000001</v>
      </c>
      <c r="P84" s="126">
        <v>0</v>
      </c>
      <c r="Q84" s="128">
        <f t="array" ref="Q84">SUM(IF(($S84&gt;=4)*($C84='TaxCred&amp;Subs'!$D$123:$D$127)*($H84='TaxCred&amp;Subs'!$C$123:$C$127)*($H84&lt;='TaxCred&amp;Subs'!$C$129),'TaxCred&amp;Subs'!$E$123:$E$127,0))</f>
        <v>0</v>
      </c>
      <c r="R84" s="174">
        <v>0</v>
      </c>
      <c r="S84" s="126">
        <v>1</v>
      </c>
      <c r="T84" s="126" t="s">
        <v>223</v>
      </c>
      <c r="U84" s="158"/>
      <c r="V84" s="153" t="str">
        <f t="array" ref="V84">INDEX(xlRTCLNAME,MATCH(1,(xlRTCLENDU=1)*(xlRTCLEQCL=$D84),0))</f>
        <v>NG_RAD</v>
      </c>
      <c r="W84" s="153" t="str">
        <f t="array" ref="W84">INDEX(xlRTCLNAME,MATCH(1,(xlRTCLENDU=2)*(xlRTCLEQCL=$F84),0))</f>
        <v>CENT_AIR</v>
      </c>
      <c r="X84" s="153" t="str">
        <f t="array" ref="X84">INDEX(xlRTTYNAME,MATCH(1,(xlRTTYENDU=1)*(xlRTTYEQCL=$D84)*(xlRTEQTYPE=$E84),0))</f>
        <v>NG_RAD1</v>
      </c>
      <c r="Y84" s="153" t="str">
        <f t="array" ref="Y84">INDEX(xlRTTYNAME,MATCH(1,(xlRTTYENDU=2)*(xlRTTYEQCL=$F84)*(xlRTEQTYPE=$G84),0))</f>
        <v>CENT_AIR2</v>
      </c>
    </row>
    <row r="85" spans="2:25" x14ac:dyDescent="0.2">
      <c r="B85" s="126">
        <v>4</v>
      </c>
      <c r="C85" s="126">
        <v>1</v>
      </c>
      <c r="D85" s="126">
        <v>4</v>
      </c>
      <c r="E85" s="126">
        <v>10</v>
      </c>
      <c r="F85" s="126">
        <v>2</v>
      </c>
      <c r="G85" s="126">
        <v>5</v>
      </c>
      <c r="H85" s="126">
        <v>2016</v>
      </c>
      <c r="I85" s="126">
        <v>2022</v>
      </c>
      <c r="J85" s="127">
        <v>1.0812999999999999</v>
      </c>
      <c r="K85" s="127">
        <v>1.0769</v>
      </c>
      <c r="L85" s="127">
        <v>0.87539999999999996</v>
      </c>
      <c r="M85" s="127">
        <v>0.87319999999999998</v>
      </c>
      <c r="N85" s="127">
        <v>0.85660000000000003</v>
      </c>
      <c r="O85" s="127">
        <v>1.0538000000000001</v>
      </c>
      <c r="P85" s="126">
        <v>0</v>
      </c>
      <c r="Q85" s="128">
        <f t="array" ref="Q85">SUM(IF(($S85&gt;=4)*($C85='TaxCred&amp;Subs'!$D$123:$D$127)*($H85='TaxCred&amp;Subs'!$C$123:$C$127)*($H85&lt;='TaxCred&amp;Subs'!$C$129),'TaxCred&amp;Subs'!$E$123:$E$127,0))</f>
        <v>0</v>
      </c>
      <c r="R85" s="174">
        <v>0</v>
      </c>
      <c r="S85" s="126">
        <v>1</v>
      </c>
      <c r="T85" s="126" t="s">
        <v>223</v>
      </c>
      <c r="U85" s="158"/>
      <c r="V85" s="153" t="str">
        <f t="array" ref="V85">INDEX(xlRTCLNAME,MATCH(1,(xlRTCLENDU=1)*(xlRTCLEQCL=$D85),0))</f>
        <v>NG_RAD</v>
      </c>
      <c r="W85" s="153" t="str">
        <f t="array" ref="W85">INDEX(xlRTCLNAME,MATCH(1,(xlRTCLENDU=2)*(xlRTCLEQCL=$F85),0))</f>
        <v>CENT_AIR</v>
      </c>
      <c r="X85" s="153" t="str">
        <f t="array" ref="X85">INDEX(xlRTTYNAME,MATCH(1,(xlRTTYENDU=1)*(xlRTTYEQCL=$D85)*(xlRTEQTYPE=$E85),0))</f>
        <v>NG_RAD1</v>
      </c>
      <c r="Y85" s="153" t="str">
        <f t="array" ref="Y85">INDEX(xlRTTYNAME,MATCH(1,(xlRTTYENDU=2)*(xlRTTYEQCL=$F85)*(xlRTEQTYPE=$G85),0))</f>
        <v>CENT_AIR1</v>
      </c>
    </row>
    <row r="86" spans="2:25" x14ac:dyDescent="0.2">
      <c r="B86" s="126">
        <v>4</v>
      </c>
      <c r="C86" s="126">
        <v>1</v>
      </c>
      <c r="D86" s="126">
        <v>4</v>
      </c>
      <c r="E86" s="126">
        <v>10</v>
      </c>
      <c r="F86" s="126">
        <v>2</v>
      </c>
      <c r="G86" s="126">
        <v>6</v>
      </c>
      <c r="H86" s="126">
        <v>2023</v>
      </c>
      <c r="I86" s="126">
        <v>2050</v>
      </c>
      <c r="J86" s="127">
        <v>1.0812999999999999</v>
      </c>
      <c r="K86" s="127">
        <v>1.0769</v>
      </c>
      <c r="L86" s="127">
        <v>0.87539999999999996</v>
      </c>
      <c r="M86" s="127">
        <v>0.87319999999999998</v>
      </c>
      <c r="N86" s="127">
        <v>0.85660000000000003</v>
      </c>
      <c r="O86" s="127">
        <v>1.0538000000000001</v>
      </c>
      <c r="P86" s="126">
        <v>0</v>
      </c>
      <c r="Q86" s="128">
        <f t="array" ref="Q86">SUM(IF(($S86&gt;=4)*($C86='TaxCred&amp;Subs'!$D$123:$D$127)*($H86='TaxCred&amp;Subs'!$C$123:$C$127)*($H86&lt;='TaxCred&amp;Subs'!$C$129),'TaxCred&amp;Subs'!$E$123:$E$127,0))</f>
        <v>0</v>
      </c>
      <c r="R86" s="174">
        <v>0</v>
      </c>
      <c r="S86" s="126">
        <v>1</v>
      </c>
      <c r="T86" s="126" t="s">
        <v>223</v>
      </c>
      <c r="U86" s="158"/>
      <c r="V86" s="153" t="str">
        <f t="array" ref="V86">INDEX(xlRTCLNAME,MATCH(1,(xlRTCLENDU=1)*(xlRTCLEQCL=$D86),0))</f>
        <v>NG_RAD</v>
      </c>
      <c r="W86" s="153" t="str">
        <f t="array" ref="W86">INDEX(xlRTCLNAME,MATCH(1,(xlRTCLENDU=2)*(xlRTCLEQCL=$F86),0))</f>
        <v>CENT_AIR</v>
      </c>
      <c r="X86" s="153" t="str">
        <f t="array" ref="X86">INDEX(xlRTTYNAME,MATCH(1,(xlRTTYENDU=1)*(xlRTTYEQCL=$D86)*(xlRTEQTYPE=$E86),0))</f>
        <v>NG_RAD1</v>
      </c>
      <c r="Y86" s="153" t="str">
        <f t="array" ref="Y86">INDEX(xlRTTYNAME,MATCH(1,(xlRTTYENDU=2)*(xlRTTYEQCL=$F86)*(xlRTEQTYPE=$G86),0))</f>
        <v>CENT_AIR2</v>
      </c>
    </row>
    <row r="87" spans="2:25" x14ac:dyDescent="0.2">
      <c r="B87" s="126">
        <v>5</v>
      </c>
      <c r="C87" s="126">
        <v>1</v>
      </c>
      <c r="D87" s="126">
        <v>4</v>
      </c>
      <c r="E87" s="126">
        <v>10</v>
      </c>
      <c r="F87" s="126">
        <v>2</v>
      </c>
      <c r="G87" s="126">
        <v>5</v>
      </c>
      <c r="H87" s="126">
        <v>2016</v>
      </c>
      <c r="I87" s="126">
        <v>2022</v>
      </c>
      <c r="J87" s="127">
        <v>1.0838000000000001</v>
      </c>
      <c r="K87" s="127">
        <v>1.0465</v>
      </c>
      <c r="L87" s="127">
        <v>0.89700000000000002</v>
      </c>
      <c r="M87" s="127">
        <v>1.0934999999999999</v>
      </c>
      <c r="N87" s="127">
        <v>0.75670000000000004</v>
      </c>
      <c r="O87" s="127">
        <v>1.0538000000000001</v>
      </c>
      <c r="P87" s="126">
        <v>0</v>
      </c>
      <c r="Q87" s="128">
        <f t="array" ref="Q87">SUM(IF(($S87&gt;=4)*($C87='TaxCred&amp;Subs'!$D$123:$D$127)*($H87='TaxCred&amp;Subs'!$C$123:$C$127)*($H87&lt;='TaxCred&amp;Subs'!$C$129),'TaxCred&amp;Subs'!$E$123:$E$127,0))</f>
        <v>0</v>
      </c>
      <c r="R87" s="174">
        <v>0</v>
      </c>
      <c r="S87" s="126">
        <v>1</v>
      </c>
      <c r="T87" s="126" t="s">
        <v>223</v>
      </c>
      <c r="U87" s="158"/>
      <c r="V87" s="153" t="str">
        <f t="array" ref="V87">INDEX(xlRTCLNAME,MATCH(1,(xlRTCLENDU=1)*(xlRTCLEQCL=$D87),0))</f>
        <v>NG_RAD</v>
      </c>
      <c r="W87" s="153" t="str">
        <f t="array" ref="W87">INDEX(xlRTCLNAME,MATCH(1,(xlRTCLENDU=2)*(xlRTCLEQCL=$F87),0))</f>
        <v>CENT_AIR</v>
      </c>
      <c r="X87" s="153" t="str">
        <f t="array" ref="X87">INDEX(xlRTTYNAME,MATCH(1,(xlRTTYENDU=1)*(xlRTTYEQCL=$D87)*(xlRTEQTYPE=$E87),0))</f>
        <v>NG_RAD1</v>
      </c>
      <c r="Y87" s="153" t="str">
        <f t="array" ref="Y87">INDEX(xlRTTYNAME,MATCH(1,(xlRTTYENDU=2)*(xlRTTYEQCL=$F87)*(xlRTEQTYPE=$G87),0))</f>
        <v>CENT_AIR1</v>
      </c>
    </row>
    <row r="88" spans="2:25" x14ac:dyDescent="0.2">
      <c r="B88" s="126">
        <v>5</v>
      </c>
      <c r="C88" s="126">
        <v>1</v>
      </c>
      <c r="D88" s="126">
        <v>4</v>
      </c>
      <c r="E88" s="126">
        <v>10</v>
      </c>
      <c r="F88" s="126">
        <v>2</v>
      </c>
      <c r="G88" s="126">
        <v>6</v>
      </c>
      <c r="H88" s="126">
        <v>2023</v>
      </c>
      <c r="I88" s="126">
        <v>2050</v>
      </c>
      <c r="J88" s="127">
        <v>1.0838000000000001</v>
      </c>
      <c r="K88" s="127">
        <v>1.0465</v>
      </c>
      <c r="L88" s="127">
        <v>0.89700000000000002</v>
      </c>
      <c r="M88" s="127">
        <v>1.0934999999999999</v>
      </c>
      <c r="N88" s="127">
        <v>0.75670000000000004</v>
      </c>
      <c r="O88" s="127">
        <v>1.0538000000000001</v>
      </c>
      <c r="P88" s="126">
        <v>0</v>
      </c>
      <c r="Q88" s="128">
        <f t="array" ref="Q88">SUM(IF(($S88&gt;=4)*($C88='TaxCred&amp;Subs'!$D$123:$D$127)*($H88='TaxCred&amp;Subs'!$C$123:$C$127)*($H88&lt;='TaxCred&amp;Subs'!$C$129),'TaxCred&amp;Subs'!$E$123:$E$127,0))</f>
        <v>0</v>
      </c>
      <c r="R88" s="174">
        <v>0</v>
      </c>
      <c r="S88" s="126">
        <v>1</v>
      </c>
      <c r="T88" s="126" t="s">
        <v>223</v>
      </c>
      <c r="U88" s="158"/>
      <c r="V88" s="153" t="str">
        <f t="array" ref="V88">INDEX(xlRTCLNAME,MATCH(1,(xlRTCLENDU=1)*(xlRTCLEQCL=$D88),0))</f>
        <v>NG_RAD</v>
      </c>
      <c r="W88" s="153" t="str">
        <f t="array" ref="W88">INDEX(xlRTCLNAME,MATCH(1,(xlRTCLENDU=2)*(xlRTCLEQCL=$F88),0))</f>
        <v>CENT_AIR</v>
      </c>
      <c r="X88" s="153" t="str">
        <f t="array" ref="X88">INDEX(xlRTTYNAME,MATCH(1,(xlRTTYENDU=1)*(xlRTTYEQCL=$D88)*(xlRTEQTYPE=$E88),0))</f>
        <v>NG_RAD1</v>
      </c>
      <c r="Y88" s="153" t="str">
        <f t="array" ref="Y88">INDEX(xlRTTYNAME,MATCH(1,(xlRTTYENDU=2)*(xlRTTYEQCL=$F88)*(xlRTEQTYPE=$G88),0))</f>
        <v>CENT_AIR2</v>
      </c>
    </row>
    <row r="89" spans="2:25" x14ac:dyDescent="0.2">
      <c r="B89" s="126">
        <v>6</v>
      </c>
      <c r="C89" s="126">
        <v>1</v>
      </c>
      <c r="D89" s="126">
        <v>4</v>
      </c>
      <c r="E89" s="126">
        <v>10</v>
      </c>
      <c r="F89" s="126">
        <v>2</v>
      </c>
      <c r="G89" s="126">
        <v>5</v>
      </c>
      <c r="H89" s="126">
        <v>2016</v>
      </c>
      <c r="I89" s="126">
        <v>2022</v>
      </c>
      <c r="J89" s="127">
        <v>1.089</v>
      </c>
      <c r="K89" s="127">
        <v>1.0583</v>
      </c>
      <c r="L89" s="127">
        <v>1.0245</v>
      </c>
      <c r="M89" s="127">
        <v>1.1335999999999999</v>
      </c>
      <c r="N89" s="127">
        <v>0.88849999999999996</v>
      </c>
      <c r="O89" s="127">
        <v>1.0538000000000001</v>
      </c>
      <c r="P89" s="126">
        <v>0</v>
      </c>
      <c r="Q89" s="128">
        <f t="array" ref="Q89">SUM(IF(($S89&gt;=4)*($C89='TaxCred&amp;Subs'!$D$123:$D$127)*($H89='TaxCred&amp;Subs'!$C$123:$C$127)*($H89&lt;='TaxCred&amp;Subs'!$C$129),'TaxCred&amp;Subs'!$E$123:$E$127,0))</f>
        <v>0</v>
      </c>
      <c r="R89" s="174">
        <v>0</v>
      </c>
      <c r="S89" s="126">
        <v>1</v>
      </c>
      <c r="T89" s="126" t="s">
        <v>223</v>
      </c>
      <c r="U89" s="158"/>
      <c r="V89" s="153" t="str">
        <f t="array" ref="V89">INDEX(xlRTCLNAME,MATCH(1,(xlRTCLENDU=1)*(xlRTCLEQCL=$D89),0))</f>
        <v>NG_RAD</v>
      </c>
      <c r="W89" s="153" t="str">
        <f t="array" ref="W89">INDEX(xlRTCLNAME,MATCH(1,(xlRTCLENDU=2)*(xlRTCLEQCL=$F89),0))</f>
        <v>CENT_AIR</v>
      </c>
      <c r="X89" s="153" t="str">
        <f t="array" ref="X89">INDEX(xlRTTYNAME,MATCH(1,(xlRTTYENDU=1)*(xlRTTYEQCL=$D89)*(xlRTEQTYPE=$E89),0))</f>
        <v>NG_RAD1</v>
      </c>
      <c r="Y89" s="153" t="str">
        <f t="array" ref="Y89">INDEX(xlRTTYNAME,MATCH(1,(xlRTTYENDU=2)*(xlRTTYEQCL=$F89)*(xlRTEQTYPE=$G89),0))</f>
        <v>CENT_AIR1</v>
      </c>
    </row>
    <row r="90" spans="2:25" x14ac:dyDescent="0.2">
      <c r="B90" s="126">
        <v>6</v>
      </c>
      <c r="C90" s="126">
        <v>1</v>
      </c>
      <c r="D90" s="126">
        <v>4</v>
      </c>
      <c r="E90" s="126">
        <v>10</v>
      </c>
      <c r="F90" s="126">
        <v>2</v>
      </c>
      <c r="G90" s="126">
        <v>6</v>
      </c>
      <c r="H90" s="126">
        <v>2023</v>
      </c>
      <c r="I90" s="126">
        <v>2050</v>
      </c>
      <c r="J90" s="127">
        <v>1.089</v>
      </c>
      <c r="K90" s="127">
        <v>1.0583</v>
      </c>
      <c r="L90" s="127">
        <v>1.0245</v>
      </c>
      <c r="M90" s="127">
        <v>1.1335999999999999</v>
      </c>
      <c r="N90" s="127">
        <v>0.88849999999999996</v>
      </c>
      <c r="O90" s="127">
        <v>1.0538000000000001</v>
      </c>
      <c r="P90" s="126">
        <v>0</v>
      </c>
      <c r="Q90" s="128">
        <f t="array" ref="Q90">SUM(IF(($S90&gt;=4)*($C90='TaxCred&amp;Subs'!$D$123:$D$127)*($H90='TaxCred&amp;Subs'!$C$123:$C$127)*($H90&lt;='TaxCred&amp;Subs'!$C$129),'TaxCred&amp;Subs'!$E$123:$E$127,0))</f>
        <v>0</v>
      </c>
      <c r="R90" s="174">
        <v>0</v>
      </c>
      <c r="S90" s="126">
        <v>1</v>
      </c>
      <c r="T90" s="126" t="s">
        <v>223</v>
      </c>
      <c r="U90" s="158"/>
      <c r="V90" s="153" t="str">
        <f t="array" ref="V90">INDEX(xlRTCLNAME,MATCH(1,(xlRTCLENDU=1)*(xlRTCLEQCL=$D90),0))</f>
        <v>NG_RAD</v>
      </c>
      <c r="W90" s="153" t="str">
        <f t="array" ref="W90">INDEX(xlRTCLNAME,MATCH(1,(xlRTCLENDU=2)*(xlRTCLEQCL=$F90),0))</f>
        <v>CENT_AIR</v>
      </c>
      <c r="X90" s="153" t="str">
        <f t="array" ref="X90">INDEX(xlRTTYNAME,MATCH(1,(xlRTTYENDU=1)*(xlRTTYEQCL=$D90)*(xlRTEQTYPE=$E90),0))</f>
        <v>NG_RAD1</v>
      </c>
      <c r="Y90" s="153" t="str">
        <f t="array" ref="Y90">INDEX(xlRTTYNAME,MATCH(1,(xlRTTYENDU=2)*(xlRTTYEQCL=$F90)*(xlRTEQTYPE=$G90),0))</f>
        <v>CENT_AIR2</v>
      </c>
    </row>
    <row r="91" spans="2:25" x14ac:dyDescent="0.2">
      <c r="B91" s="126">
        <v>7</v>
      </c>
      <c r="C91" s="126">
        <v>1</v>
      </c>
      <c r="D91" s="126">
        <v>4</v>
      </c>
      <c r="E91" s="126">
        <v>10</v>
      </c>
      <c r="F91" s="126">
        <v>2</v>
      </c>
      <c r="G91" s="126">
        <v>5</v>
      </c>
      <c r="H91" s="126">
        <v>2016</v>
      </c>
      <c r="I91" s="126">
        <v>2022</v>
      </c>
      <c r="J91" s="127">
        <v>1.0867</v>
      </c>
      <c r="K91" s="127">
        <v>1.0682</v>
      </c>
      <c r="L91" s="127">
        <v>1.046</v>
      </c>
      <c r="M91" s="127">
        <v>1.0382</v>
      </c>
      <c r="N91" s="127">
        <v>0.87180000000000002</v>
      </c>
      <c r="O91" s="127">
        <v>1.0538000000000001</v>
      </c>
      <c r="P91" s="126">
        <v>0</v>
      </c>
      <c r="Q91" s="128">
        <f t="array" ref="Q91">SUM(IF(($S91&gt;=4)*($C91='TaxCred&amp;Subs'!$D$123:$D$127)*($H91='TaxCred&amp;Subs'!$C$123:$C$127)*($H91&lt;='TaxCred&amp;Subs'!$C$129),'TaxCred&amp;Subs'!$E$123:$E$127,0))</f>
        <v>0</v>
      </c>
      <c r="R91" s="174">
        <v>0</v>
      </c>
      <c r="S91" s="126">
        <v>1</v>
      </c>
      <c r="T91" s="126" t="s">
        <v>223</v>
      </c>
      <c r="U91" s="158"/>
      <c r="V91" s="153" t="str">
        <f t="array" ref="V91">INDEX(xlRTCLNAME,MATCH(1,(xlRTCLENDU=1)*(xlRTCLEQCL=$D91),0))</f>
        <v>NG_RAD</v>
      </c>
      <c r="W91" s="153" t="str">
        <f t="array" ref="W91">INDEX(xlRTCLNAME,MATCH(1,(xlRTCLENDU=2)*(xlRTCLEQCL=$F91),0))</f>
        <v>CENT_AIR</v>
      </c>
      <c r="X91" s="153" t="str">
        <f t="array" ref="X91">INDEX(xlRTTYNAME,MATCH(1,(xlRTTYENDU=1)*(xlRTTYEQCL=$D91)*(xlRTEQTYPE=$E91),0))</f>
        <v>NG_RAD1</v>
      </c>
      <c r="Y91" s="153" t="str">
        <f t="array" ref="Y91">INDEX(xlRTTYNAME,MATCH(1,(xlRTTYENDU=2)*(xlRTTYEQCL=$F91)*(xlRTEQTYPE=$G91),0))</f>
        <v>CENT_AIR1</v>
      </c>
    </row>
    <row r="92" spans="2:25" x14ac:dyDescent="0.2">
      <c r="B92" s="126">
        <v>7</v>
      </c>
      <c r="C92" s="126">
        <v>1</v>
      </c>
      <c r="D92" s="126">
        <v>4</v>
      </c>
      <c r="E92" s="126">
        <v>10</v>
      </c>
      <c r="F92" s="126">
        <v>2</v>
      </c>
      <c r="G92" s="126">
        <v>6</v>
      </c>
      <c r="H92" s="126">
        <v>2023</v>
      </c>
      <c r="I92" s="126">
        <v>2050</v>
      </c>
      <c r="J92" s="127">
        <v>1.0867</v>
      </c>
      <c r="K92" s="127">
        <v>1.0682</v>
      </c>
      <c r="L92" s="127">
        <v>1.046</v>
      </c>
      <c r="M92" s="127">
        <v>1.0382</v>
      </c>
      <c r="N92" s="127">
        <v>0.87180000000000002</v>
      </c>
      <c r="O92" s="127">
        <v>1.0538000000000001</v>
      </c>
      <c r="P92" s="126">
        <v>0</v>
      </c>
      <c r="Q92" s="128">
        <f t="array" ref="Q92">SUM(IF(($S92&gt;=4)*($C92='TaxCred&amp;Subs'!$D$123:$D$127)*($H92='TaxCred&amp;Subs'!$C$123:$C$127)*($H92&lt;='TaxCred&amp;Subs'!$C$129),'TaxCred&amp;Subs'!$E$123:$E$127,0))</f>
        <v>0</v>
      </c>
      <c r="R92" s="174">
        <v>0</v>
      </c>
      <c r="S92" s="126">
        <v>1</v>
      </c>
      <c r="T92" s="126" t="s">
        <v>223</v>
      </c>
      <c r="U92" s="158"/>
      <c r="V92" s="153" t="str">
        <f t="array" ref="V92">INDEX(xlRTCLNAME,MATCH(1,(xlRTCLENDU=1)*(xlRTCLEQCL=$D92),0))</f>
        <v>NG_RAD</v>
      </c>
      <c r="W92" s="153" t="str">
        <f t="array" ref="W92">INDEX(xlRTCLNAME,MATCH(1,(xlRTCLENDU=2)*(xlRTCLEQCL=$F92),0))</f>
        <v>CENT_AIR</v>
      </c>
      <c r="X92" s="153" t="str">
        <f t="array" ref="X92">INDEX(xlRTTYNAME,MATCH(1,(xlRTTYENDU=1)*(xlRTTYEQCL=$D92)*(xlRTEQTYPE=$E92),0))</f>
        <v>NG_RAD1</v>
      </c>
      <c r="Y92" s="153" t="str">
        <f t="array" ref="Y92">INDEX(xlRTTYNAME,MATCH(1,(xlRTTYENDU=2)*(xlRTTYEQCL=$F92)*(xlRTEQTYPE=$G92),0))</f>
        <v>CENT_AIR2</v>
      </c>
    </row>
    <row r="93" spans="2:25" x14ac:dyDescent="0.2">
      <c r="B93" s="126">
        <v>8</v>
      </c>
      <c r="C93" s="126">
        <v>1</v>
      </c>
      <c r="D93" s="126">
        <v>4</v>
      </c>
      <c r="E93" s="126">
        <v>10</v>
      </c>
      <c r="F93" s="126">
        <v>2</v>
      </c>
      <c r="G93" s="126">
        <v>5</v>
      </c>
      <c r="H93" s="126">
        <v>2016</v>
      </c>
      <c r="I93" s="126">
        <v>2022</v>
      </c>
      <c r="J93" s="127">
        <v>1.0820000000000001</v>
      </c>
      <c r="K93" s="127">
        <v>1.0832999999999999</v>
      </c>
      <c r="L93" s="127">
        <v>0.96730000000000005</v>
      </c>
      <c r="M93" s="127">
        <v>1.0076000000000001</v>
      </c>
      <c r="N93" s="127">
        <v>0.86439999999999995</v>
      </c>
      <c r="O93" s="127">
        <v>1.0538000000000001</v>
      </c>
      <c r="P93" s="126">
        <v>0</v>
      </c>
      <c r="Q93" s="128">
        <f t="array" ref="Q93">SUM(IF(($S93&gt;=4)*($C93='TaxCred&amp;Subs'!$D$123:$D$127)*($H93='TaxCred&amp;Subs'!$C$123:$C$127)*($H93&lt;='TaxCred&amp;Subs'!$C$129),'TaxCred&amp;Subs'!$E$123:$E$127,0))</f>
        <v>0</v>
      </c>
      <c r="R93" s="174">
        <v>0</v>
      </c>
      <c r="S93" s="126">
        <v>1</v>
      </c>
      <c r="T93" s="126" t="s">
        <v>223</v>
      </c>
      <c r="U93" s="158"/>
      <c r="V93" s="153" t="str">
        <f t="array" ref="V93">INDEX(xlRTCLNAME,MATCH(1,(xlRTCLENDU=1)*(xlRTCLEQCL=$D93),0))</f>
        <v>NG_RAD</v>
      </c>
      <c r="W93" s="153" t="str">
        <f t="array" ref="W93">INDEX(xlRTCLNAME,MATCH(1,(xlRTCLENDU=2)*(xlRTCLEQCL=$F93),0))</f>
        <v>CENT_AIR</v>
      </c>
      <c r="X93" s="153" t="str">
        <f t="array" ref="X93">INDEX(xlRTTYNAME,MATCH(1,(xlRTTYENDU=1)*(xlRTTYEQCL=$D93)*(xlRTEQTYPE=$E93),0))</f>
        <v>NG_RAD1</v>
      </c>
      <c r="Y93" s="153" t="str">
        <f t="array" ref="Y93">INDEX(xlRTTYNAME,MATCH(1,(xlRTTYENDU=2)*(xlRTTYEQCL=$F93)*(xlRTEQTYPE=$G93),0))</f>
        <v>CENT_AIR1</v>
      </c>
    </row>
    <row r="94" spans="2:25" x14ac:dyDescent="0.2">
      <c r="B94" s="126">
        <v>8</v>
      </c>
      <c r="C94" s="126">
        <v>1</v>
      </c>
      <c r="D94" s="126">
        <v>4</v>
      </c>
      <c r="E94" s="126">
        <v>10</v>
      </c>
      <c r="F94" s="126">
        <v>2</v>
      </c>
      <c r="G94" s="126">
        <v>6</v>
      </c>
      <c r="H94" s="126">
        <v>2023</v>
      </c>
      <c r="I94" s="126">
        <v>2050</v>
      </c>
      <c r="J94" s="127">
        <v>1.0820000000000001</v>
      </c>
      <c r="K94" s="127">
        <v>1.0832999999999999</v>
      </c>
      <c r="L94" s="127">
        <v>0.96730000000000005</v>
      </c>
      <c r="M94" s="127">
        <v>1.0076000000000001</v>
      </c>
      <c r="N94" s="127">
        <v>0.86439999999999995</v>
      </c>
      <c r="O94" s="127">
        <v>1.0538000000000001</v>
      </c>
      <c r="P94" s="126">
        <v>0</v>
      </c>
      <c r="Q94" s="128">
        <f t="array" ref="Q94">SUM(IF(($S94&gt;=4)*($C94='TaxCred&amp;Subs'!$D$123:$D$127)*($H94='TaxCred&amp;Subs'!$C$123:$C$127)*($H94&lt;='TaxCred&amp;Subs'!$C$129),'TaxCred&amp;Subs'!$E$123:$E$127,0))</f>
        <v>0</v>
      </c>
      <c r="R94" s="174">
        <v>0</v>
      </c>
      <c r="S94" s="126">
        <v>1</v>
      </c>
      <c r="T94" s="126" t="s">
        <v>223</v>
      </c>
      <c r="U94" s="158"/>
      <c r="V94" s="153" t="str">
        <f t="array" ref="V94">INDEX(xlRTCLNAME,MATCH(1,(xlRTCLENDU=1)*(xlRTCLEQCL=$D94),0))</f>
        <v>NG_RAD</v>
      </c>
      <c r="W94" s="153" t="str">
        <f t="array" ref="W94">INDEX(xlRTCLNAME,MATCH(1,(xlRTCLENDU=2)*(xlRTCLEQCL=$F94),0))</f>
        <v>CENT_AIR</v>
      </c>
      <c r="X94" s="153" t="str">
        <f t="array" ref="X94">INDEX(xlRTTYNAME,MATCH(1,(xlRTTYENDU=1)*(xlRTTYEQCL=$D94)*(xlRTEQTYPE=$E94),0))</f>
        <v>NG_RAD1</v>
      </c>
      <c r="Y94" s="153" t="str">
        <f t="array" ref="Y94">INDEX(xlRTTYNAME,MATCH(1,(xlRTTYENDU=2)*(xlRTTYEQCL=$F94)*(xlRTEQTYPE=$G94),0))</f>
        <v>CENT_AIR2</v>
      </c>
    </row>
    <row r="95" spans="2:25" x14ac:dyDescent="0.2">
      <c r="B95" s="126">
        <v>9</v>
      </c>
      <c r="C95" s="126">
        <v>1</v>
      </c>
      <c r="D95" s="126">
        <v>4</v>
      </c>
      <c r="E95" s="126">
        <v>10</v>
      </c>
      <c r="F95" s="126">
        <v>2</v>
      </c>
      <c r="G95" s="126">
        <v>5</v>
      </c>
      <c r="H95" s="126">
        <v>2016</v>
      </c>
      <c r="I95" s="126">
        <v>2022</v>
      </c>
      <c r="J95" s="127">
        <v>1.0414000000000001</v>
      </c>
      <c r="K95" s="127">
        <v>1.07</v>
      </c>
      <c r="L95" s="127">
        <v>1.1088</v>
      </c>
      <c r="M95" s="127">
        <v>1.1204000000000001</v>
      </c>
      <c r="N95" s="127">
        <v>1.026</v>
      </c>
      <c r="O95" s="127">
        <v>1.0538000000000001</v>
      </c>
      <c r="P95" s="126">
        <v>0</v>
      </c>
      <c r="Q95" s="128">
        <f t="array" ref="Q95">SUM(IF(($S95&gt;=4)*($C95='TaxCred&amp;Subs'!$D$123:$D$127)*($H95='TaxCred&amp;Subs'!$C$123:$C$127)*($H95&lt;='TaxCred&amp;Subs'!$C$129),'TaxCred&amp;Subs'!$E$123:$E$127,0))</f>
        <v>0</v>
      </c>
      <c r="R95" s="174">
        <v>0</v>
      </c>
      <c r="S95" s="126">
        <v>1</v>
      </c>
      <c r="T95" s="126" t="s">
        <v>223</v>
      </c>
      <c r="U95" s="158"/>
      <c r="V95" s="153" t="str">
        <f t="array" ref="V95">INDEX(xlRTCLNAME,MATCH(1,(xlRTCLENDU=1)*(xlRTCLEQCL=$D95),0))</f>
        <v>NG_RAD</v>
      </c>
      <c r="W95" s="153" t="str">
        <f t="array" ref="W95">INDEX(xlRTCLNAME,MATCH(1,(xlRTCLENDU=2)*(xlRTCLEQCL=$F95),0))</f>
        <v>CENT_AIR</v>
      </c>
      <c r="X95" s="153" t="str">
        <f t="array" ref="X95">INDEX(xlRTTYNAME,MATCH(1,(xlRTTYENDU=1)*(xlRTTYEQCL=$D95)*(xlRTEQTYPE=$E95),0))</f>
        <v>NG_RAD1</v>
      </c>
      <c r="Y95" s="153" t="str">
        <f t="array" ref="Y95">INDEX(xlRTTYNAME,MATCH(1,(xlRTTYENDU=2)*(xlRTTYEQCL=$F95)*(xlRTEQTYPE=$G95),0))</f>
        <v>CENT_AIR1</v>
      </c>
    </row>
    <row r="96" spans="2:25" x14ac:dyDescent="0.2">
      <c r="B96" s="126">
        <v>9</v>
      </c>
      <c r="C96" s="126">
        <v>1</v>
      </c>
      <c r="D96" s="126">
        <v>4</v>
      </c>
      <c r="E96" s="126">
        <v>10</v>
      </c>
      <c r="F96" s="126">
        <v>2</v>
      </c>
      <c r="G96" s="126">
        <v>6</v>
      </c>
      <c r="H96" s="126">
        <v>2023</v>
      </c>
      <c r="I96" s="126">
        <v>2050</v>
      </c>
      <c r="J96" s="127">
        <v>1.0414000000000001</v>
      </c>
      <c r="K96" s="127">
        <v>1.07</v>
      </c>
      <c r="L96" s="127">
        <v>1.1088</v>
      </c>
      <c r="M96" s="127">
        <v>1.1204000000000001</v>
      </c>
      <c r="N96" s="127">
        <v>1.026</v>
      </c>
      <c r="O96" s="127">
        <v>1.0538000000000001</v>
      </c>
      <c r="P96" s="126">
        <v>0</v>
      </c>
      <c r="Q96" s="128">
        <f t="array" ref="Q96">SUM(IF(($S96&gt;=4)*($C96='TaxCred&amp;Subs'!$D$123:$D$127)*($H96='TaxCred&amp;Subs'!$C$123:$C$127)*($H96&lt;='TaxCred&amp;Subs'!$C$129),'TaxCred&amp;Subs'!$E$123:$E$127,0))</f>
        <v>0</v>
      </c>
      <c r="R96" s="174">
        <v>0</v>
      </c>
      <c r="S96" s="126">
        <v>1</v>
      </c>
      <c r="T96" s="126" t="s">
        <v>223</v>
      </c>
      <c r="U96" s="158"/>
      <c r="V96" s="153" t="str">
        <f t="array" ref="V96">INDEX(xlRTCLNAME,MATCH(1,(xlRTCLENDU=1)*(xlRTCLEQCL=$D96),0))</f>
        <v>NG_RAD</v>
      </c>
      <c r="W96" s="153" t="str">
        <f t="array" ref="W96">INDEX(xlRTCLNAME,MATCH(1,(xlRTCLENDU=2)*(xlRTCLEQCL=$F96),0))</f>
        <v>CENT_AIR</v>
      </c>
      <c r="X96" s="153" t="str">
        <f t="array" ref="X96">INDEX(xlRTTYNAME,MATCH(1,(xlRTTYENDU=1)*(xlRTTYEQCL=$D96)*(xlRTEQTYPE=$E96),0))</f>
        <v>NG_RAD1</v>
      </c>
      <c r="Y96" s="153" t="str">
        <f t="array" ref="Y96">INDEX(xlRTTYNAME,MATCH(1,(xlRTTYENDU=2)*(xlRTTYEQCL=$F96)*(xlRTEQTYPE=$G96),0))</f>
        <v>CENT_AIR2</v>
      </c>
    </row>
    <row r="97" spans="2:25" x14ac:dyDescent="0.2">
      <c r="B97" s="129">
        <v>1</v>
      </c>
      <c r="C97" s="129">
        <v>1</v>
      </c>
      <c r="D97" s="129">
        <v>5</v>
      </c>
      <c r="E97" s="129">
        <v>14</v>
      </c>
      <c r="F97" s="129">
        <v>2</v>
      </c>
      <c r="G97" s="129">
        <v>5</v>
      </c>
      <c r="H97" s="129">
        <v>2016</v>
      </c>
      <c r="I97" s="129">
        <v>2022</v>
      </c>
      <c r="J97" s="130">
        <v>1.0309999999999999</v>
      </c>
      <c r="K97" s="130">
        <v>1.0667</v>
      </c>
      <c r="L97" s="130">
        <v>0.88929999999999998</v>
      </c>
      <c r="M97" s="130">
        <v>1.0285</v>
      </c>
      <c r="N97" s="130">
        <v>0.79790000000000005</v>
      </c>
      <c r="O97" s="130">
        <v>1.0538000000000001</v>
      </c>
      <c r="P97" s="129">
        <v>0</v>
      </c>
      <c r="Q97" s="128">
        <f t="array" ref="Q97">SUM(IF(($S97&gt;=4)*($C97='TaxCred&amp;Subs'!$D$123:$D$127)*($H97='TaxCred&amp;Subs'!$C$123:$C$127)*($H97&lt;='TaxCred&amp;Subs'!$C$129),'TaxCred&amp;Subs'!$E$123:$E$127,0))</f>
        <v>0</v>
      </c>
      <c r="R97" s="174">
        <v>0</v>
      </c>
      <c r="S97" s="129">
        <v>1</v>
      </c>
      <c r="T97" s="129" t="s">
        <v>223</v>
      </c>
      <c r="U97" s="155" t="s">
        <v>235</v>
      </c>
      <c r="V97" s="153" t="str">
        <f t="array" ref="V97">INDEX(xlRTCLNAME,MATCH(1,(xlRTCLENDU=1)*(xlRTCLEQCL=$D97),0))</f>
        <v>KERO_FA</v>
      </c>
      <c r="W97" s="153" t="str">
        <f t="array" ref="W97">INDEX(xlRTCLNAME,MATCH(1,(xlRTCLENDU=2)*(xlRTCLEQCL=$F97),0))</f>
        <v>CENT_AIR</v>
      </c>
      <c r="X97" s="153" t="str">
        <f t="array" ref="X97">INDEX(xlRTTYNAME,MATCH(1,(xlRTTYENDU=1)*(xlRTTYEQCL=$D97)*(xlRTEQTYPE=$E97),0))</f>
        <v>KERO_FA1</v>
      </c>
      <c r="Y97" s="153" t="str">
        <f t="array" ref="Y97">INDEX(xlRTTYNAME,MATCH(1,(xlRTTYENDU=2)*(xlRTTYEQCL=$F97)*(xlRTEQTYPE=$G97),0))</f>
        <v>CENT_AIR1</v>
      </c>
    </row>
    <row r="98" spans="2:25" x14ac:dyDescent="0.2">
      <c r="B98" s="129">
        <v>1</v>
      </c>
      <c r="C98" s="129">
        <v>1</v>
      </c>
      <c r="D98" s="129">
        <v>5</v>
      </c>
      <c r="E98" s="129">
        <v>14</v>
      </c>
      <c r="F98" s="129">
        <v>2</v>
      </c>
      <c r="G98" s="129">
        <v>6</v>
      </c>
      <c r="H98" s="129">
        <v>2023</v>
      </c>
      <c r="I98" s="129">
        <v>2050</v>
      </c>
      <c r="J98" s="130">
        <v>1.0309999999999999</v>
      </c>
      <c r="K98" s="130">
        <v>1.0667</v>
      </c>
      <c r="L98" s="130">
        <v>0.88929999999999998</v>
      </c>
      <c r="M98" s="130">
        <v>1.0285</v>
      </c>
      <c r="N98" s="130">
        <v>0.79790000000000005</v>
      </c>
      <c r="O98" s="130">
        <v>1.0538000000000001</v>
      </c>
      <c r="P98" s="129">
        <v>0</v>
      </c>
      <c r="Q98" s="128">
        <f t="array" ref="Q98">SUM(IF(($S98&gt;=4)*($C98='TaxCred&amp;Subs'!$D$123:$D$127)*($H98='TaxCred&amp;Subs'!$C$123:$C$127)*($H98&lt;='TaxCred&amp;Subs'!$C$129),'TaxCred&amp;Subs'!$E$123:$E$127,0))</f>
        <v>0</v>
      </c>
      <c r="R98" s="174">
        <v>0</v>
      </c>
      <c r="S98" s="129">
        <v>1</v>
      </c>
      <c r="T98" s="129" t="s">
        <v>223</v>
      </c>
      <c r="U98" s="155" t="s">
        <v>235</v>
      </c>
      <c r="V98" s="153" t="str">
        <f t="array" ref="V98">INDEX(xlRTCLNAME,MATCH(1,(xlRTCLENDU=1)*(xlRTCLEQCL=$D98),0))</f>
        <v>KERO_FA</v>
      </c>
      <c r="W98" s="153" t="str">
        <f t="array" ref="W98">INDEX(xlRTCLNAME,MATCH(1,(xlRTCLENDU=2)*(xlRTCLEQCL=$F98),0))</f>
        <v>CENT_AIR</v>
      </c>
      <c r="X98" s="153" t="str">
        <f t="array" ref="X98">INDEX(xlRTTYNAME,MATCH(1,(xlRTTYENDU=1)*(xlRTTYEQCL=$D98)*(xlRTEQTYPE=$E98),0))</f>
        <v>KERO_FA1</v>
      </c>
      <c r="Y98" s="153" t="str">
        <f t="array" ref="Y98">INDEX(xlRTTYNAME,MATCH(1,(xlRTTYENDU=2)*(xlRTTYEQCL=$F98)*(xlRTEQTYPE=$G98),0))</f>
        <v>CENT_AIR2</v>
      </c>
    </row>
    <row r="99" spans="2:25" x14ac:dyDescent="0.2">
      <c r="B99" s="129">
        <v>2</v>
      </c>
      <c r="C99" s="129">
        <v>1</v>
      </c>
      <c r="D99" s="129">
        <v>5</v>
      </c>
      <c r="E99" s="129">
        <v>14</v>
      </c>
      <c r="F99" s="129">
        <v>2</v>
      </c>
      <c r="G99" s="129">
        <v>5</v>
      </c>
      <c r="H99" s="129">
        <v>2016</v>
      </c>
      <c r="I99" s="129">
        <v>2022</v>
      </c>
      <c r="J99" s="130">
        <v>1.0772999999999999</v>
      </c>
      <c r="K99" s="130">
        <v>1.0758000000000001</v>
      </c>
      <c r="L99" s="130">
        <v>1.0037</v>
      </c>
      <c r="M99" s="130">
        <v>0.95550000000000002</v>
      </c>
      <c r="N99" s="130">
        <v>0.93169999999999997</v>
      </c>
      <c r="O99" s="130">
        <v>1.0538000000000001</v>
      </c>
      <c r="P99" s="129">
        <v>0</v>
      </c>
      <c r="Q99" s="128">
        <f t="array" ref="Q99">SUM(IF(($S99&gt;=4)*($C99='TaxCred&amp;Subs'!$D$123:$D$127)*($H99='TaxCred&amp;Subs'!$C$123:$C$127)*($H99&lt;='TaxCred&amp;Subs'!$C$129),'TaxCred&amp;Subs'!$E$123:$E$127,0))</f>
        <v>0</v>
      </c>
      <c r="R99" s="174">
        <v>0</v>
      </c>
      <c r="S99" s="129">
        <v>1</v>
      </c>
      <c r="T99" s="129" t="s">
        <v>223</v>
      </c>
      <c r="U99" s="155" t="s">
        <v>235</v>
      </c>
      <c r="V99" s="153" t="str">
        <f t="array" ref="V99">INDEX(xlRTCLNAME,MATCH(1,(xlRTCLENDU=1)*(xlRTCLEQCL=$D99),0))</f>
        <v>KERO_FA</v>
      </c>
      <c r="W99" s="153" t="str">
        <f t="array" ref="W99">INDEX(xlRTCLNAME,MATCH(1,(xlRTCLENDU=2)*(xlRTCLEQCL=$F99),0))</f>
        <v>CENT_AIR</v>
      </c>
      <c r="X99" s="153" t="str">
        <f t="array" ref="X99">INDEX(xlRTTYNAME,MATCH(1,(xlRTTYENDU=1)*(xlRTTYEQCL=$D99)*(xlRTEQTYPE=$E99),0))</f>
        <v>KERO_FA1</v>
      </c>
      <c r="Y99" s="153" t="str">
        <f t="array" ref="Y99">INDEX(xlRTTYNAME,MATCH(1,(xlRTTYENDU=2)*(xlRTTYEQCL=$F99)*(xlRTEQTYPE=$G99),0))</f>
        <v>CENT_AIR1</v>
      </c>
    </row>
    <row r="100" spans="2:25" x14ac:dyDescent="0.2">
      <c r="B100" s="129">
        <v>2</v>
      </c>
      <c r="C100" s="129">
        <v>1</v>
      </c>
      <c r="D100" s="129">
        <v>5</v>
      </c>
      <c r="E100" s="129">
        <v>14</v>
      </c>
      <c r="F100" s="129">
        <v>2</v>
      </c>
      <c r="G100" s="129">
        <v>6</v>
      </c>
      <c r="H100" s="129">
        <v>2023</v>
      </c>
      <c r="I100" s="129">
        <v>2050</v>
      </c>
      <c r="J100" s="130">
        <v>1.0772999999999999</v>
      </c>
      <c r="K100" s="130">
        <v>1.0758000000000001</v>
      </c>
      <c r="L100" s="130">
        <v>1.0037</v>
      </c>
      <c r="M100" s="130">
        <v>0.95550000000000002</v>
      </c>
      <c r="N100" s="130">
        <v>0.93169999999999997</v>
      </c>
      <c r="O100" s="130">
        <v>1.0538000000000001</v>
      </c>
      <c r="P100" s="129">
        <v>0</v>
      </c>
      <c r="Q100" s="128">
        <f t="array" ref="Q100">SUM(IF(($S100&gt;=4)*($C100='TaxCred&amp;Subs'!$D$123:$D$127)*($H100='TaxCred&amp;Subs'!$C$123:$C$127)*($H100&lt;='TaxCred&amp;Subs'!$C$129),'TaxCred&amp;Subs'!$E$123:$E$127,0))</f>
        <v>0</v>
      </c>
      <c r="R100" s="174">
        <v>0</v>
      </c>
      <c r="S100" s="129">
        <v>1</v>
      </c>
      <c r="T100" s="129" t="s">
        <v>223</v>
      </c>
      <c r="U100" s="155" t="s">
        <v>235</v>
      </c>
      <c r="V100" s="153" t="str">
        <f t="array" ref="V100">INDEX(xlRTCLNAME,MATCH(1,(xlRTCLENDU=1)*(xlRTCLEQCL=$D100),0))</f>
        <v>KERO_FA</v>
      </c>
      <c r="W100" s="153" t="str">
        <f t="array" ref="W100">INDEX(xlRTCLNAME,MATCH(1,(xlRTCLENDU=2)*(xlRTCLEQCL=$F100),0))</f>
        <v>CENT_AIR</v>
      </c>
      <c r="X100" s="153" t="str">
        <f t="array" ref="X100">INDEX(xlRTTYNAME,MATCH(1,(xlRTTYENDU=1)*(xlRTTYEQCL=$D100)*(xlRTEQTYPE=$E100),0))</f>
        <v>KERO_FA1</v>
      </c>
      <c r="Y100" s="153" t="str">
        <f t="array" ref="Y100">INDEX(xlRTTYNAME,MATCH(1,(xlRTTYENDU=2)*(xlRTTYEQCL=$F100)*(xlRTEQTYPE=$G100),0))</f>
        <v>CENT_AIR2</v>
      </c>
    </row>
    <row r="101" spans="2:25" x14ac:dyDescent="0.2">
      <c r="B101" s="129">
        <v>3</v>
      </c>
      <c r="C101" s="129">
        <v>1</v>
      </c>
      <c r="D101" s="129">
        <v>5</v>
      </c>
      <c r="E101" s="129">
        <v>14</v>
      </c>
      <c r="F101" s="129">
        <v>2</v>
      </c>
      <c r="G101" s="129">
        <v>5</v>
      </c>
      <c r="H101" s="129">
        <v>2016</v>
      </c>
      <c r="I101" s="129">
        <v>2022</v>
      </c>
      <c r="J101" s="130">
        <v>1.0842000000000001</v>
      </c>
      <c r="K101" s="130">
        <v>1.0577000000000001</v>
      </c>
      <c r="L101" s="130">
        <v>0.92769999999999997</v>
      </c>
      <c r="M101" s="130">
        <v>0.9627</v>
      </c>
      <c r="N101" s="130">
        <v>0.91220000000000001</v>
      </c>
      <c r="O101" s="130">
        <v>1.0538000000000001</v>
      </c>
      <c r="P101" s="129">
        <v>0</v>
      </c>
      <c r="Q101" s="128">
        <f t="array" ref="Q101">SUM(IF(($S101&gt;=4)*($C101='TaxCred&amp;Subs'!$D$123:$D$127)*($H101='TaxCred&amp;Subs'!$C$123:$C$127)*($H101&lt;='TaxCred&amp;Subs'!$C$129),'TaxCred&amp;Subs'!$E$123:$E$127,0))</f>
        <v>0</v>
      </c>
      <c r="R101" s="174">
        <v>0</v>
      </c>
      <c r="S101" s="129">
        <v>1</v>
      </c>
      <c r="T101" s="129" t="s">
        <v>223</v>
      </c>
      <c r="U101" s="155" t="s">
        <v>235</v>
      </c>
      <c r="V101" s="153" t="str">
        <f t="array" ref="V101">INDEX(xlRTCLNAME,MATCH(1,(xlRTCLENDU=1)*(xlRTCLEQCL=$D101),0))</f>
        <v>KERO_FA</v>
      </c>
      <c r="W101" s="153" t="str">
        <f t="array" ref="W101">INDEX(xlRTCLNAME,MATCH(1,(xlRTCLENDU=2)*(xlRTCLEQCL=$F101),0))</f>
        <v>CENT_AIR</v>
      </c>
      <c r="X101" s="153" t="str">
        <f t="array" ref="X101">INDEX(xlRTTYNAME,MATCH(1,(xlRTTYENDU=1)*(xlRTTYEQCL=$D101)*(xlRTEQTYPE=$E101),0))</f>
        <v>KERO_FA1</v>
      </c>
      <c r="Y101" s="153" t="str">
        <f t="array" ref="Y101">INDEX(xlRTTYNAME,MATCH(1,(xlRTTYENDU=2)*(xlRTTYEQCL=$F101)*(xlRTEQTYPE=$G101),0))</f>
        <v>CENT_AIR1</v>
      </c>
    </row>
    <row r="102" spans="2:25" x14ac:dyDescent="0.2">
      <c r="B102" s="129">
        <v>3</v>
      </c>
      <c r="C102" s="129">
        <v>1</v>
      </c>
      <c r="D102" s="129">
        <v>5</v>
      </c>
      <c r="E102" s="129">
        <v>14</v>
      </c>
      <c r="F102" s="129">
        <v>2</v>
      </c>
      <c r="G102" s="129">
        <v>6</v>
      </c>
      <c r="H102" s="129">
        <v>2023</v>
      </c>
      <c r="I102" s="129">
        <v>2050</v>
      </c>
      <c r="J102" s="130">
        <v>1.0842000000000001</v>
      </c>
      <c r="K102" s="130">
        <v>1.0577000000000001</v>
      </c>
      <c r="L102" s="130">
        <v>0.92769999999999997</v>
      </c>
      <c r="M102" s="130">
        <v>0.9627</v>
      </c>
      <c r="N102" s="130">
        <v>0.91220000000000001</v>
      </c>
      <c r="O102" s="130">
        <v>1.0538000000000001</v>
      </c>
      <c r="P102" s="129">
        <v>0</v>
      </c>
      <c r="Q102" s="128">
        <f t="array" ref="Q102">SUM(IF(($S102&gt;=4)*($C102='TaxCred&amp;Subs'!$D$123:$D$127)*($H102='TaxCred&amp;Subs'!$C$123:$C$127)*($H102&lt;='TaxCred&amp;Subs'!$C$129),'TaxCred&amp;Subs'!$E$123:$E$127,0))</f>
        <v>0</v>
      </c>
      <c r="R102" s="174">
        <v>0</v>
      </c>
      <c r="S102" s="129">
        <v>1</v>
      </c>
      <c r="T102" s="129" t="s">
        <v>223</v>
      </c>
      <c r="U102" s="155" t="s">
        <v>235</v>
      </c>
      <c r="V102" s="153" t="str">
        <f t="array" ref="V102">INDEX(xlRTCLNAME,MATCH(1,(xlRTCLENDU=1)*(xlRTCLEQCL=$D102),0))</f>
        <v>KERO_FA</v>
      </c>
      <c r="W102" s="153" t="str">
        <f t="array" ref="W102">INDEX(xlRTCLNAME,MATCH(1,(xlRTCLENDU=2)*(xlRTCLEQCL=$F102),0))</f>
        <v>CENT_AIR</v>
      </c>
      <c r="X102" s="153" t="str">
        <f t="array" ref="X102">INDEX(xlRTTYNAME,MATCH(1,(xlRTTYENDU=1)*(xlRTTYEQCL=$D102)*(xlRTEQTYPE=$E102),0))</f>
        <v>KERO_FA1</v>
      </c>
      <c r="Y102" s="153" t="str">
        <f t="array" ref="Y102">INDEX(xlRTTYNAME,MATCH(1,(xlRTTYENDU=2)*(xlRTTYEQCL=$F102)*(xlRTEQTYPE=$G102),0))</f>
        <v>CENT_AIR2</v>
      </c>
    </row>
    <row r="103" spans="2:25" x14ac:dyDescent="0.2">
      <c r="B103" s="129">
        <v>4</v>
      </c>
      <c r="C103" s="129">
        <v>1</v>
      </c>
      <c r="D103" s="129">
        <v>5</v>
      </c>
      <c r="E103" s="129">
        <v>14</v>
      </c>
      <c r="F103" s="129">
        <v>2</v>
      </c>
      <c r="G103" s="129">
        <v>5</v>
      </c>
      <c r="H103" s="129">
        <v>2016</v>
      </c>
      <c r="I103" s="129">
        <v>2022</v>
      </c>
      <c r="J103" s="130">
        <v>1.0342</v>
      </c>
      <c r="K103" s="130">
        <v>1.0769</v>
      </c>
      <c r="L103" s="130">
        <v>0.87739999999999996</v>
      </c>
      <c r="M103" s="130">
        <v>0.87319999999999998</v>
      </c>
      <c r="N103" s="130">
        <v>0.85760000000000003</v>
      </c>
      <c r="O103" s="130">
        <v>1.0538000000000001</v>
      </c>
      <c r="P103" s="129">
        <v>0</v>
      </c>
      <c r="Q103" s="128">
        <f t="array" ref="Q103">SUM(IF(($S103&gt;=4)*($C103='TaxCred&amp;Subs'!$D$123:$D$127)*($H103='TaxCred&amp;Subs'!$C$123:$C$127)*($H103&lt;='TaxCred&amp;Subs'!$C$129),'TaxCred&amp;Subs'!$E$123:$E$127,0))</f>
        <v>0</v>
      </c>
      <c r="R103" s="174">
        <v>0</v>
      </c>
      <c r="S103" s="129">
        <v>1</v>
      </c>
      <c r="T103" s="129" t="s">
        <v>223</v>
      </c>
      <c r="U103" s="155" t="s">
        <v>235</v>
      </c>
      <c r="V103" s="153" t="str">
        <f t="array" ref="V103">INDEX(xlRTCLNAME,MATCH(1,(xlRTCLENDU=1)*(xlRTCLEQCL=$D103),0))</f>
        <v>KERO_FA</v>
      </c>
      <c r="W103" s="153" t="str">
        <f t="array" ref="W103">INDEX(xlRTCLNAME,MATCH(1,(xlRTCLENDU=2)*(xlRTCLEQCL=$F103),0))</f>
        <v>CENT_AIR</v>
      </c>
      <c r="X103" s="153" t="str">
        <f t="array" ref="X103">INDEX(xlRTTYNAME,MATCH(1,(xlRTTYENDU=1)*(xlRTTYEQCL=$D103)*(xlRTEQTYPE=$E103),0))</f>
        <v>KERO_FA1</v>
      </c>
      <c r="Y103" s="153" t="str">
        <f t="array" ref="Y103">INDEX(xlRTTYNAME,MATCH(1,(xlRTTYENDU=2)*(xlRTTYEQCL=$F103)*(xlRTEQTYPE=$G103),0))</f>
        <v>CENT_AIR1</v>
      </c>
    </row>
    <row r="104" spans="2:25" x14ac:dyDescent="0.2">
      <c r="B104" s="129">
        <v>4</v>
      </c>
      <c r="C104" s="129">
        <v>1</v>
      </c>
      <c r="D104" s="129">
        <v>5</v>
      </c>
      <c r="E104" s="129">
        <v>14</v>
      </c>
      <c r="F104" s="129">
        <v>2</v>
      </c>
      <c r="G104" s="129">
        <v>6</v>
      </c>
      <c r="H104" s="129">
        <v>2023</v>
      </c>
      <c r="I104" s="129">
        <v>2050</v>
      </c>
      <c r="J104" s="130">
        <v>1.0342</v>
      </c>
      <c r="K104" s="130">
        <v>1.0769</v>
      </c>
      <c r="L104" s="130">
        <v>0.87739999999999996</v>
      </c>
      <c r="M104" s="130">
        <v>0.87319999999999998</v>
      </c>
      <c r="N104" s="130">
        <v>0.85760000000000003</v>
      </c>
      <c r="O104" s="130">
        <v>1.0538000000000001</v>
      </c>
      <c r="P104" s="129">
        <v>0</v>
      </c>
      <c r="Q104" s="128">
        <f t="array" ref="Q104">SUM(IF(($S104&gt;=4)*($C104='TaxCred&amp;Subs'!$D$123:$D$127)*($H104='TaxCred&amp;Subs'!$C$123:$C$127)*($H104&lt;='TaxCred&amp;Subs'!$C$129),'TaxCred&amp;Subs'!$E$123:$E$127,0))</f>
        <v>0</v>
      </c>
      <c r="R104" s="174">
        <v>0</v>
      </c>
      <c r="S104" s="129">
        <v>1</v>
      </c>
      <c r="T104" s="129" t="s">
        <v>223</v>
      </c>
      <c r="U104" s="155" t="s">
        <v>235</v>
      </c>
      <c r="V104" s="153" t="str">
        <f t="array" ref="V104">INDEX(xlRTCLNAME,MATCH(1,(xlRTCLENDU=1)*(xlRTCLEQCL=$D104),0))</f>
        <v>KERO_FA</v>
      </c>
      <c r="W104" s="153" t="str">
        <f t="array" ref="W104">INDEX(xlRTCLNAME,MATCH(1,(xlRTCLENDU=2)*(xlRTCLEQCL=$F104),0))</f>
        <v>CENT_AIR</v>
      </c>
      <c r="X104" s="153" t="str">
        <f t="array" ref="X104">INDEX(xlRTTYNAME,MATCH(1,(xlRTTYENDU=1)*(xlRTTYEQCL=$D104)*(xlRTEQTYPE=$E104),0))</f>
        <v>KERO_FA1</v>
      </c>
      <c r="Y104" s="153" t="str">
        <f t="array" ref="Y104">INDEX(xlRTTYNAME,MATCH(1,(xlRTTYENDU=2)*(xlRTTYEQCL=$F104)*(xlRTEQTYPE=$G104),0))</f>
        <v>CENT_AIR2</v>
      </c>
    </row>
    <row r="105" spans="2:25" x14ac:dyDescent="0.2">
      <c r="B105" s="129">
        <v>5</v>
      </c>
      <c r="C105" s="129">
        <v>1</v>
      </c>
      <c r="D105" s="129">
        <v>5</v>
      </c>
      <c r="E105" s="129">
        <v>14</v>
      </c>
      <c r="F105" s="129">
        <v>2</v>
      </c>
      <c r="G105" s="129">
        <v>5</v>
      </c>
      <c r="H105" s="129">
        <v>2016</v>
      </c>
      <c r="I105" s="129">
        <v>2022</v>
      </c>
      <c r="J105" s="130">
        <v>1.0847</v>
      </c>
      <c r="K105" s="130">
        <v>1.056</v>
      </c>
      <c r="L105" s="130">
        <v>0.90920000000000001</v>
      </c>
      <c r="M105" s="130">
        <v>1.0934999999999999</v>
      </c>
      <c r="N105" s="130">
        <v>0.76280000000000003</v>
      </c>
      <c r="O105" s="130">
        <v>1.0538000000000001</v>
      </c>
      <c r="P105" s="129">
        <v>0</v>
      </c>
      <c r="Q105" s="128">
        <f t="array" ref="Q105">SUM(IF(($S105&gt;=4)*($C105='TaxCred&amp;Subs'!$D$123:$D$127)*($H105='TaxCred&amp;Subs'!$C$123:$C$127)*($H105&lt;='TaxCred&amp;Subs'!$C$129),'TaxCred&amp;Subs'!$E$123:$E$127,0))</f>
        <v>0</v>
      </c>
      <c r="R105" s="174">
        <v>0</v>
      </c>
      <c r="S105" s="129">
        <v>1</v>
      </c>
      <c r="T105" s="129" t="s">
        <v>223</v>
      </c>
      <c r="U105" s="155" t="s">
        <v>235</v>
      </c>
      <c r="V105" s="153" t="str">
        <f t="array" ref="V105">INDEX(xlRTCLNAME,MATCH(1,(xlRTCLENDU=1)*(xlRTCLEQCL=$D105),0))</f>
        <v>KERO_FA</v>
      </c>
      <c r="W105" s="153" t="str">
        <f t="array" ref="W105">INDEX(xlRTCLNAME,MATCH(1,(xlRTCLENDU=2)*(xlRTCLEQCL=$F105),0))</f>
        <v>CENT_AIR</v>
      </c>
      <c r="X105" s="153" t="str">
        <f t="array" ref="X105">INDEX(xlRTTYNAME,MATCH(1,(xlRTTYENDU=1)*(xlRTTYEQCL=$D105)*(xlRTEQTYPE=$E105),0))</f>
        <v>KERO_FA1</v>
      </c>
      <c r="Y105" s="153" t="str">
        <f t="array" ref="Y105">INDEX(xlRTTYNAME,MATCH(1,(xlRTTYENDU=2)*(xlRTTYEQCL=$F105)*(xlRTEQTYPE=$G105),0))</f>
        <v>CENT_AIR1</v>
      </c>
    </row>
    <row r="106" spans="2:25" x14ac:dyDescent="0.2">
      <c r="B106" s="129">
        <v>5</v>
      </c>
      <c r="C106" s="129">
        <v>1</v>
      </c>
      <c r="D106" s="129">
        <v>5</v>
      </c>
      <c r="E106" s="129">
        <v>14</v>
      </c>
      <c r="F106" s="129">
        <v>2</v>
      </c>
      <c r="G106" s="129">
        <v>6</v>
      </c>
      <c r="H106" s="129">
        <v>2023</v>
      </c>
      <c r="I106" s="129">
        <v>2050</v>
      </c>
      <c r="J106" s="130">
        <v>1.0847</v>
      </c>
      <c r="K106" s="130">
        <v>1.056</v>
      </c>
      <c r="L106" s="130">
        <v>0.90920000000000001</v>
      </c>
      <c r="M106" s="130">
        <v>1.0934999999999999</v>
      </c>
      <c r="N106" s="130">
        <v>0.76280000000000003</v>
      </c>
      <c r="O106" s="130">
        <v>1.0538000000000001</v>
      </c>
      <c r="P106" s="129">
        <v>0</v>
      </c>
      <c r="Q106" s="128">
        <f t="array" ref="Q106">SUM(IF(($S106&gt;=4)*($C106='TaxCred&amp;Subs'!$D$123:$D$127)*($H106='TaxCred&amp;Subs'!$C$123:$C$127)*($H106&lt;='TaxCred&amp;Subs'!$C$129),'TaxCred&amp;Subs'!$E$123:$E$127,0))</f>
        <v>0</v>
      </c>
      <c r="R106" s="174">
        <v>0</v>
      </c>
      <c r="S106" s="129">
        <v>1</v>
      </c>
      <c r="T106" s="129" t="s">
        <v>223</v>
      </c>
      <c r="U106" s="155" t="s">
        <v>235</v>
      </c>
      <c r="V106" s="153" t="str">
        <f t="array" ref="V106">INDEX(xlRTCLNAME,MATCH(1,(xlRTCLENDU=1)*(xlRTCLEQCL=$D106),0))</f>
        <v>KERO_FA</v>
      </c>
      <c r="W106" s="153" t="str">
        <f t="array" ref="W106">INDEX(xlRTCLNAME,MATCH(1,(xlRTCLENDU=2)*(xlRTCLEQCL=$F106),0))</f>
        <v>CENT_AIR</v>
      </c>
      <c r="X106" s="153" t="str">
        <f t="array" ref="X106">INDEX(xlRTTYNAME,MATCH(1,(xlRTTYENDU=1)*(xlRTTYEQCL=$D106)*(xlRTEQTYPE=$E106),0))</f>
        <v>KERO_FA1</v>
      </c>
      <c r="Y106" s="153" t="str">
        <f t="array" ref="Y106">INDEX(xlRTTYNAME,MATCH(1,(xlRTTYENDU=2)*(xlRTTYEQCL=$F106)*(xlRTEQTYPE=$G106),0))</f>
        <v>CENT_AIR2</v>
      </c>
    </row>
    <row r="107" spans="2:25" x14ac:dyDescent="0.2">
      <c r="B107" s="129">
        <v>6</v>
      </c>
      <c r="C107" s="129">
        <v>1</v>
      </c>
      <c r="D107" s="129">
        <v>5</v>
      </c>
      <c r="E107" s="129">
        <v>14</v>
      </c>
      <c r="F107" s="129">
        <v>2</v>
      </c>
      <c r="G107" s="129">
        <v>5</v>
      </c>
      <c r="H107" s="129">
        <v>2016</v>
      </c>
      <c r="I107" s="129">
        <v>2022</v>
      </c>
      <c r="J107" s="130">
        <v>1.0907</v>
      </c>
      <c r="K107" s="130">
        <v>1.0603</v>
      </c>
      <c r="L107" s="130">
        <v>1.0303</v>
      </c>
      <c r="M107" s="130">
        <v>1.1335999999999999</v>
      </c>
      <c r="N107" s="130">
        <v>0.89139999999999997</v>
      </c>
      <c r="O107" s="130">
        <v>1.0538000000000001</v>
      </c>
      <c r="P107" s="129">
        <v>0</v>
      </c>
      <c r="Q107" s="128">
        <f t="array" ref="Q107">SUM(IF(($S107&gt;=4)*($C107='TaxCred&amp;Subs'!$D$123:$D$127)*($H107='TaxCred&amp;Subs'!$C$123:$C$127)*($H107&lt;='TaxCred&amp;Subs'!$C$129),'TaxCred&amp;Subs'!$E$123:$E$127,0))</f>
        <v>0</v>
      </c>
      <c r="R107" s="174">
        <v>0</v>
      </c>
      <c r="S107" s="129">
        <v>1</v>
      </c>
      <c r="T107" s="129" t="s">
        <v>223</v>
      </c>
      <c r="U107" s="155" t="s">
        <v>235</v>
      </c>
      <c r="V107" s="153" t="str">
        <f t="array" ref="V107">INDEX(xlRTCLNAME,MATCH(1,(xlRTCLENDU=1)*(xlRTCLEQCL=$D107),0))</f>
        <v>KERO_FA</v>
      </c>
      <c r="W107" s="153" t="str">
        <f t="array" ref="W107">INDEX(xlRTCLNAME,MATCH(1,(xlRTCLENDU=2)*(xlRTCLEQCL=$F107),0))</f>
        <v>CENT_AIR</v>
      </c>
      <c r="X107" s="153" t="str">
        <f t="array" ref="X107">INDEX(xlRTTYNAME,MATCH(1,(xlRTTYENDU=1)*(xlRTTYEQCL=$D107)*(xlRTEQTYPE=$E107),0))</f>
        <v>KERO_FA1</v>
      </c>
      <c r="Y107" s="153" t="str">
        <f t="array" ref="Y107">INDEX(xlRTTYNAME,MATCH(1,(xlRTTYENDU=2)*(xlRTTYEQCL=$F107)*(xlRTEQTYPE=$G107),0))</f>
        <v>CENT_AIR1</v>
      </c>
    </row>
    <row r="108" spans="2:25" x14ac:dyDescent="0.2">
      <c r="B108" s="129">
        <v>6</v>
      </c>
      <c r="C108" s="129">
        <v>1</v>
      </c>
      <c r="D108" s="129">
        <v>5</v>
      </c>
      <c r="E108" s="129">
        <v>14</v>
      </c>
      <c r="F108" s="129">
        <v>2</v>
      </c>
      <c r="G108" s="129">
        <v>6</v>
      </c>
      <c r="H108" s="129">
        <v>2023</v>
      </c>
      <c r="I108" s="129">
        <v>2050</v>
      </c>
      <c r="J108" s="130">
        <v>1.0907</v>
      </c>
      <c r="K108" s="130">
        <v>1.0603</v>
      </c>
      <c r="L108" s="130">
        <v>1.0303</v>
      </c>
      <c r="M108" s="130">
        <v>1.1335999999999999</v>
      </c>
      <c r="N108" s="130">
        <v>0.89139999999999997</v>
      </c>
      <c r="O108" s="130">
        <v>1.0538000000000001</v>
      </c>
      <c r="P108" s="129">
        <v>0</v>
      </c>
      <c r="Q108" s="128">
        <f t="array" ref="Q108">SUM(IF(($S108&gt;=4)*($C108='TaxCred&amp;Subs'!$D$123:$D$127)*($H108='TaxCred&amp;Subs'!$C$123:$C$127)*($H108&lt;='TaxCred&amp;Subs'!$C$129),'TaxCred&amp;Subs'!$E$123:$E$127,0))</f>
        <v>0</v>
      </c>
      <c r="R108" s="174">
        <v>0</v>
      </c>
      <c r="S108" s="129">
        <v>1</v>
      </c>
      <c r="T108" s="129" t="s">
        <v>223</v>
      </c>
      <c r="U108" s="155" t="s">
        <v>235</v>
      </c>
      <c r="V108" s="153" t="str">
        <f t="array" ref="V108">INDEX(xlRTCLNAME,MATCH(1,(xlRTCLENDU=1)*(xlRTCLEQCL=$D108),0))</f>
        <v>KERO_FA</v>
      </c>
      <c r="W108" s="153" t="str">
        <f t="array" ref="W108">INDEX(xlRTCLNAME,MATCH(1,(xlRTCLENDU=2)*(xlRTCLEQCL=$F108),0))</f>
        <v>CENT_AIR</v>
      </c>
      <c r="X108" s="153" t="str">
        <f t="array" ref="X108">INDEX(xlRTTYNAME,MATCH(1,(xlRTTYENDU=1)*(xlRTTYEQCL=$D108)*(xlRTEQTYPE=$E108),0))</f>
        <v>KERO_FA1</v>
      </c>
      <c r="Y108" s="153" t="str">
        <f t="array" ref="Y108">INDEX(xlRTTYNAME,MATCH(1,(xlRTTYENDU=2)*(xlRTTYEQCL=$F108)*(xlRTEQTYPE=$G108),0))</f>
        <v>CENT_AIR2</v>
      </c>
    </row>
    <row r="109" spans="2:25" x14ac:dyDescent="0.2">
      <c r="B109" s="129">
        <v>7</v>
      </c>
      <c r="C109" s="129">
        <v>1</v>
      </c>
      <c r="D109" s="129">
        <v>5</v>
      </c>
      <c r="E109" s="129">
        <v>14</v>
      </c>
      <c r="F109" s="129">
        <v>2</v>
      </c>
      <c r="G109" s="129">
        <v>5</v>
      </c>
      <c r="H109" s="129">
        <v>2016</v>
      </c>
      <c r="I109" s="129">
        <v>2022</v>
      </c>
      <c r="J109" s="130">
        <v>1.0885</v>
      </c>
      <c r="K109" s="130">
        <v>1.0575000000000001</v>
      </c>
      <c r="L109" s="130">
        <v>1.0466</v>
      </c>
      <c r="M109" s="130">
        <v>1.0382</v>
      </c>
      <c r="N109" s="130">
        <v>0.872</v>
      </c>
      <c r="O109" s="130">
        <v>1.0538000000000001</v>
      </c>
      <c r="P109" s="129">
        <v>0</v>
      </c>
      <c r="Q109" s="128">
        <f t="array" ref="Q109">SUM(IF(($S109&gt;=4)*($C109='TaxCred&amp;Subs'!$D$123:$D$127)*($H109='TaxCred&amp;Subs'!$C$123:$C$127)*($H109&lt;='TaxCred&amp;Subs'!$C$129),'TaxCred&amp;Subs'!$E$123:$E$127,0))</f>
        <v>0</v>
      </c>
      <c r="R109" s="174">
        <v>0</v>
      </c>
      <c r="S109" s="129">
        <v>1</v>
      </c>
      <c r="T109" s="129" t="s">
        <v>223</v>
      </c>
      <c r="U109" s="155" t="s">
        <v>235</v>
      </c>
      <c r="V109" s="153" t="str">
        <f t="array" ref="V109">INDEX(xlRTCLNAME,MATCH(1,(xlRTCLENDU=1)*(xlRTCLEQCL=$D109),0))</f>
        <v>KERO_FA</v>
      </c>
      <c r="W109" s="153" t="str">
        <f t="array" ref="W109">INDEX(xlRTCLNAME,MATCH(1,(xlRTCLENDU=2)*(xlRTCLEQCL=$F109),0))</f>
        <v>CENT_AIR</v>
      </c>
      <c r="X109" s="153" t="str">
        <f t="array" ref="X109">INDEX(xlRTTYNAME,MATCH(1,(xlRTTYENDU=1)*(xlRTTYEQCL=$D109)*(xlRTEQTYPE=$E109),0))</f>
        <v>KERO_FA1</v>
      </c>
      <c r="Y109" s="153" t="str">
        <f t="array" ref="Y109">INDEX(xlRTTYNAME,MATCH(1,(xlRTTYENDU=2)*(xlRTTYEQCL=$F109)*(xlRTEQTYPE=$G109),0))</f>
        <v>CENT_AIR1</v>
      </c>
    </row>
    <row r="110" spans="2:25" x14ac:dyDescent="0.2">
      <c r="B110" s="129">
        <v>7</v>
      </c>
      <c r="C110" s="129">
        <v>1</v>
      </c>
      <c r="D110" s="129">
        <v>5</v>
      </c>
      <c r="E110" s="129">
        <v>14</v>
      </c>
      <c r="F110" s="129">
        <v>2</v>
      </c>
      <c r="G110" s="129">
        <v>6</v>
      </c>
      <c r="H110" s="129">
        <v>2023</v>
      </c>
      <c r="I110" s="129">
        <v>2050</v>
      </c>
      <c r="J110" s="130">
        <v>1.0885</v>
      </c>
      <c r="K110" s="130">
        <v>1.0575000000000001</v>
      </c>
      <c r="L110" s="130">
        <v>1.0466</v>
      </c>
      <c r="M110" s="130">
        <v>1.0382</v>
      </c>
      <c r="N110" s="130">
        <v>0.872</v>
      </c>
      <c r="O110" s="130">
        <v>1.0538000000000001</v>
      </c>
      <c r="P110" s="129">
        <v>0</v>
      </c>
      <c r="Q110" s="128">
        <f t="array" ref="Q110">SUM(IF(($S110&gt;=4)*($C110='TaxCred&amp;Subs'!$D$123:$D$127)*($H110='TaxCred&amp;Subs'!$C$123:$C$127)*($H110&lt;='TaxCred&amp;Subs'!$C$129),'TaxCred&amp;Subs'!$E$123:$E$127,0))</f>
        <v>0</v>
      </c>
      <c r="R110" s="174">
        <v>0</v>
      </c>
      <c r="S110" s="129">
        <v>1</v>
      </c>
      <c r="T110" s="129" t="s">
        <v>223</v>
      </c>
      <c r="U110" s="155" t="s">
        <v>235</v>
      </c>
      <c r="V110" s="153" t="str">
        <f t="array" ref="V110">INDEX(xlRTCLNAME,MATCH(1,(xlRTCLENDU=1)*(xlRTCLEQCL=$D110),0))</f>
        <v>KERO_FA</v>
      </c>
      <c r="W110" s="153" t="str">
        <f t="array" ref="W110">INDEX(xlRTCLNAME,MATCH(1,(xlRTCLENDU=2)*(xlRTCLEQCL=$F110),0))</f>
        <v>CENT_AIR</v>
      </c>
      <c r="X110" s="153" t="str">
        <f t="array" ref="X110">INDEX(xlRTTYNAME,MATCH(1,(xlRTTYENDU=1)*(xlRTTYEQCL=$D110)*(xlRTEQTYPE=$E110),0))</f>
        <v>KERO_FA1</v>
      </c>
      <c r="Y110" s="153" t="str">
        <f t="array" ref="Y110">INDEX(xlRTTYNAME,MATCH(1,(xlRTTYENDU=2)*(xlRTTYEQCL=$F110)*(xlRTEQTYPE=$G110),0))</f>
        <v>CENT_AIR2</v>
      </c>
    </row>
    <row r="111" spans="2:25" x14ac:dyDescent="0.2">
      <c r="B111" s="129">
        <v>8</v>
      </c>
      <c r="C111" s="129">
        <v>1</v>
      </c>
      <c r="D111" s="129">
        <v>5</v>
      </c>
      <c r="E111" s="129">
        <v>14</v>
      </c>
      <c r="F111" s="129">
        <v>2</v>
      </c>
      <c r="G111" s="129">
        <v>5</v>
      </c>
      <c r="H111" s="129">
        <v>2016</v>
      </c>
      <c r="I111" s="129">
        <v>2022</v>
      </c>
      <c r="J111" s="130">
        <v>1.0838000000000001</v>
      </c>
      <c r="K111" s="130">
        <v>1.0832999999999999</v>
      </c>
      <c r="L111" s="130">
        <v>0.97750000000000004</v>
      </c>
      <c r="M111" s="130">
        <v>1.0076000000000001</v>
      </c>
      <c r="N111" s="130">
        <v>0.86950000000000005</v>
      </c>
      <c r="O111" s="130">
        <v>1.0538000000000001</v>
      </c>
      <c r="P111" s="129">
        <v>0</v>
      </c>
      <c r="Q111" s="128">
        <f t="array" ref="Q111">SUM(IF(($S111&gt;=4)*($C111='TaxCred&amp;Subs'!$D$123:$D$127)*($H111='TaxCred&amp;Subs'!$C$123:$C$127)*($H111&lt;='TaxCred&amp;Subs'!$C$129),'TaxCred&amp;Subs'!$E$123:$E$127,0))</f>
        <v>0</v>
      </c>
      <c r="R111" s="174">
        <v>0</v>
      </c>
      <c r="S111" s="129">
        <v>1</v>
      </c>
      <c r="T111" s="129" t="s">
        <v>223</v>
      </c>
      <c r="U111" s="155" t="s">
        <v>235</v>
      </c>
      <c r="V111" s="153" t="str">
        <f t="array" ref="V111">INDEX(xlRTCLNAME,MATCH(1,(xlRTCLENDU=1)*(xlRTCLEQCL=$D111),0))</f>
        <v>KERO_FA</v>
      </c>
      <c r="W111" s="153" t="str">
        <f t="array" ref="W111">INDEX(xlRTCLNAME,MATCH(1,(xlRTCLENDU=2)*(xlRTCLEQCL=$F111),0))</f>
        <v>CENT_AIR</v>
      </c>
      <c r="X111" s="153" t="str">
        <f t="array" ref="X111">INDEX(xlRTTYNAME,MATCH(1,(xlRTTYENDU=1)*(xlRTTYEQCL=$D111)*(xlRTEQTYPE=$E111),0))</f>
        <v>KERO_FA1</v>
      </c>
      <c r="Y111" s="153" t="str">
        <f t="array" ref="Y111">INDEX(xlRTTYNAME,MATCH(1,(xlRTTYENDU=2)*(xlRTTYEQCL=$F111)*(xlRTEQTYPE=$G111),0))</f>
        <v>CENT_AIR1</v>
      </c>
    </row>
    <row r="112" spans="2:25" x14ac:dyDescent="0.2">
      <c r="B112" s="129">
        <v>8</v>
      </c>
      <c r="C112" s="129">
        <v>1</v>
      </c>
      <c r="D112" s="129">
        <v>5</v>
      </c>
      <c r="E112" s="129">
        <v>14</v>
      </c>
      <c r="F112" s="129">
        <v>2</v>
      </c>
      <c r="G112" s="129">
        <v>6</v>
      </c>
      <c r="H112" s="129">
        <v>2023</v>
      </c>
      <c r="I112" s="129">
        <v>2050</v>
      </c>
      <c r="J112" s="130">
        <v>1.0838000000000001</v>
      </c>
      <c r="K112" s="130">
        <v>1.0832999999999999</v>
      </c>
      <c r="L112" s="130">
        <v>0.97750000000000004</v>
      </c>
      <c r="M112" s="130">
        <v>1.0076000000000001</v>
      </c>
      <c r="N112" s="130">
        <v>0.86950000000000005</v>
      </c>
      <c r="O112" s="130">
        <v>1.0538000000000001</v>
      </c>
      <c r="P112" s="129">
        <v>0</v>
      </c>
      <c r="Q112" s="128">
        <f t="array" ref="Q112">SUM(IF(($S112&gt;=4)*($C112='TaxCred&amp;Subs'!$D$123:$D$127)*($H112='TaxCred&amp;Subs'!$C$123:$C$127)*($H112&lt;='TaxCred&amp;Subs'!$C$129),'TaxCred&amp;Subs'!$E$123:$E$127,0))</f>
        <v>0</v>
      </c>
      <c r="R112" s="174">
        <v>0</v>
      </c>
      <c r="S112" s="129">
        <v>1</v>
      </c>
      <c r="T112" s="129" t="s">
        <v>223</v>
      </c>
      <c r="U112" s="155" t="s">
        <v>235</v>
      </c>
      <c r="V112" s="153" t="str">
        <f t="array" ref="V112">INDEX(xlRTCLNAME,MATCH(1,(xlRTCLENDU=1)*(xlRTCLEQCL=$D112),0))</f>
        <v>KERO_FA</v>
      </c>
      <c r="W112" s="153" t="str">
        <f t="array" ref="W112">INDEX(xlRTCLNAME,MATCH(1,(xlRTCLENDU=2)*(xlRTCLEQCL=$F112),0))</f>
        <v>CENT_AIR</v>
      </c>
      <c r="X112" s="153" t="str">
        <f t="array" ref="X112">INDEX(xlRTTYNAME,MATCH(1,(xlRTTYENDU=1)*(xlRTTYEQCL=$D112)*(xlRTEQTYPE=$E112),0))</f>
        <v>KERO_FA1</v>
      </c>
      <c r="Y112" s="153" t="str">
        <f t="array" ref="Y112">INDEX(xlRTTYNAME,MATCH(1,(xlRTTYENDU=2)*(xlRTTYEQCL=$F112)*(xlRTEQTYPE=$G112),0))</f>
        <v>CENT_AIR2</v>
      </c>
    </row>
    <row r="113" spans="2:25" x14ac:dyDescent="0.2">
      <c r="B113" s="129">
        <v>9</v>
      </c>
      <c r="C113" s="129">
        <v>1</v>
      </c>
      <c r="D113" s="129">
        <v>5</v>
      </c>
      <c r="E113" s="129">
        <v>14</v>
      </c>
      <c r="F113" s="129">
        <v>2</v>
      </c>
      <c r="G113" s="129">
        <v>5</v>
      </c>
      <c r="H113" s="129">
        <v>2016</v>
      </c>
      <c r="I113" s="129">
        <v>2022</v>
      </c>
      <c r="J113" s="130">
        <v>1.0790999999999999</v>
      </c>
      <c r="K113" s="130">
        <v>1.0722</v>
      </c>
      <c r="L113" s="130">
        <v>1.1240000000000001</v>
      </c>
      <c r="M113" s="130">
        <v>1.1204000000000001</v>
      </c>
      <c r="N113" s="130">
        <v>1.0336000000000001</v>
      </c>
      <c r="O113" s="130">
        <v>1.0538000000000001</v>
      </c>
      <c r="P113" s="129">
        <v>0</v>
      </c>
      <c r="Q113" s="128">
        <f t="array" ref="Q113">SUM(IF(($S113&gt;=4)*($C113='TaxCred&amp;Subs'!$D$123:$D$127)*($H113='TaxCred&amp;Subs'!$C$123:$C$127)*($H113&lt;='TaxCred&amp;Subs'!$C$129),'TaxCred&amp;Subs'!$E$123:$E$127,0))</f>
        <v>0</v>
      </c>
      <c r="R113" s="174">
        <v>0</v>
      </c>
      <c r="S113" s="129">
        <v>1</v>
      </c>
      <c r="T113" s="129" t="s">
        <v>223</v>
      </c>
      <c r="U113" s="155" t="s">
        <v>235</v>
      </c>
      <c r="V113" s="153" t="str">
        <f t="array" ref="V113">INDEX(xlRTCLNAME,MATCH(1,(xlRTCLENDU=1)*(xlRTCLEQCL=$D113),0))</f>
        <v>KERO_FA</v>
      </c>
      <c r="W113" s="153" t="str">
        <f t="array" ref="W113">INDEX(xlRTCLNAME,MATCH(1,(xlRTCLENDU=2)*(xlRTCLEQCL=$F113),0))</f>
        <v>CENT_AIR</v>
      </c>
      <c r="X113" s="153" t="str">
        <f t="array" ref="X113">INDEX(xlRTTYNAME,MATCH(1,(xlRTTYENDU=1)*(xlRTTYEQCL=$D113)*(xlRTEQTYPE=$E113),0))</f>
        <v>KERO_FA1</v>
      </c>
      <c r="Y113" s="153" t="str">
        <f t="array" ref="Y113">INDEX(xlRTTYNAME,MATCH(1,(xlRTTYENDU=2)*(xlRTTYEQCL=$F113)*(xlRTEQTYPE=$G113),0))</f>
        <v>CENT_AIR1</v>
      </c>
    </row>
    <row r="114" spans="2:25" x14ac:dyDescent="0.2">
      <c r="B114" s="129">
        <v>9</v>
      </c>
      <c r="C114" s="129">
        <v>1</v>
      </c>
      <c r="D114" s="129">
        <v>5</v>
      </c>
      <c r="E114" s="129">
        <v>14</v>
      </c>
      <c r="F114" s="129">
        <v>2</v>
      </c>
      <c r="G114" s="129">
        <v>6</v>
      </c>
      <c r="H114" s="129">
        <v>2023</v>
      </c>
      <c r="I114" s="129">
        <v>2050</v>
      </c>
      <c r="J114" s="130">
        <v>1.0790999999999999</v>
      </c>
      <c r="K114" s="130">
        <v>1.0722</v>
      </c>
      <c r="L114" s="130">
        <v>1.1240000000000001</v>
      </c>
      <c r="M114" s="130">
        <v>1.1204000000000001</v>
      </c>
      <c r="N114" s="130">
        <v>1.0336000000000001</v>
      </c>
      <c r="O114" s="130">
        <v>1.0538000000000001</v>
      </c>
      <c r="P114" s="129">
        <v>0</v>
      </c>
      <c r="Q114" s="128">
        <f t="array" ref="Q114">SUM(IF(($S114&gt;=4)*($C114='TaxCred&amp;Subs'!$D$123:$D$127)*($H114='TaxCred&amp;Subs'!$C$123:$C$127)*($H114&lt;='TaxCred&amp;Subs'!$C$129),'TaxCred&amp;Subs'!$E$123:$E$127,0))</f>
        <v>0</v>
      </c>
      <c r="R114" s="174">
        <v>0</v>
      </c>
      <c r="S114" s="129">
        <v>1</v>
      </c>
      <c r="T114" s="129" t="s">
        <v>223</v>
      </c>
      <c r="U114" s="155" t="s">
        <v>235</v>
      </c>
      <c r="V114" s="153" t="str">
        <f t="array" ref="V114">INDEX(xlRTCLNAME,MATCH(1,(xlRTCLENDU=1)*(xlRTCLEQCL=$D114),0))</f>
        <v>KERO_FA</v>
      </c>
      <c r="W114" s="153" t="str">
        <f t="array" ref="W114">INDEX(xlRTCLNAME,MATCH(1,(xlRTCLENDU=2)*(xlRTCLEQCL=$F114),0))</f>
        <v>CENT_AIR</v>
      </c>
      <c r="X114" s="153" t="str">
        <f t="array" ref="X114">INDEX(xlRTTYNAME,MATCH(1,(xlRTTYENDU=1)*(xlRTTYEQCL=$D114)*(xlRTEQTYPE=$E114),0))</f>
        <v>KERO_FA1</v>
      </c>
      <c r="Y114" s="153" t="str">
        <f t="array" ref="Y114">INDEX(xlRTTYNAME,MATCH(1,(xlRTTYENDU=2)*(xlRTTYEQCL=$F114)*(xlRTEQTYPE=$G114),0))</f>
        <v>CENT_AIR2</v>
      </c>
    </row>
    <row r="115" spans="2:25" x14ac:dyDescent="0.2">
      <c r="B115" s="126">
        <v>1</v>
      </c>
      <c r="C115" s="126">
        <v>1</v>
      </c>
      <c r="D115" s="126">
        <v>6</v>
      </c>
      <c r="E115" s="126">
        <v>18</v>
      </c>
      <c r="F115" s="126">
        <v>2</v>
      </c>
      <c r="G115" s="126">
        <v>5</v>
      </c>
      <c r="H115" s="126">
        <v>2016</v>
      </c>
      <c r="I115" s="126">
        <v>2022</v>
      </c>
      <c r="J115" s="127">
        <v>1.0803</v>
      </c>
      <c r="K115" s="127">
        <v>1.0667</v>
      </c>
      <c r="L115" s="127">
        <v>0.88939999999999997</v>
      </c>
      <c r="M115" s="127">
        <v>1.0285</v>
      </c>
      <c r="N115" s="127">
        <v>0.79790000000000005</v>
      </c>
      <c r="O115" s="127">
        <v>1.0538000000000001</v>
      </c>
      <c r="P115" s="126">
        <v>0</v>
      </c>
      <c r="Q115" s="128">
        <f t="array" ref="Q115">SUM(IF(($S115&gt;=4)*($C115='TaxCred&amp;Subs'!$D$123:$D$127)*($H115='TaxCred&amp;Subs'!$C$123:$C$127)*($H115&lt;='TaxCred&amp;Subs'!$C$129),'TaxCred&amp;Subs'!$E$123:$E$127,0))</f>
        <v>0</v>
      </c>
      <c r="R115" s="174">
        <v>0</v>
      </c>
      <c r="S115" s="126">
        <v>1</v>
      </c>
      <c r="T115" s="126" t="s">
        <v>223</v>
      </c>
      <c r="U115" s="158"/>
      <c r="V115" s="153" t="str">
        <f t="array" ref="V115">INDEX(xlRTCLNAME,MATCH(1,(xlRTCLENDU=1)*(xlRTCLEQCL=$D115),0))</f>
        <v>LPG_FA</v>
      </c>
      <c r="W115" s="153" t="str">
        <f t="array" ref="W115">INDEX(xlRTCLNAME,MATCH(1,(xlRTCLENDU=2)*(xlRTCLEQCL=$F115),0))</f>
        <v>CENT_AIR</v>
      </c>
      <c r="X115" s="153" t="str">
        <f t="array" ref="X115">INDEX(xlRTTYNAME,MATCH(1,(xlRTTYENDU=1)*(xlRTTYEQCL=$D115)*(xlRTEQTYPE=$E115),0))</f>
        <v>LPG_FA1</v>
      </c>
      <c r="Y115" s="153" t="str">
        <f t="array" ref="Y115">INDEX(xlRTTYNAME,MATCH(1,(xlRTTYENDU=2)*(xlRTTYEQCL=$F115)*(xlRTEQTYPE=$G115),0))</f>
        <v>CENT_AIR1</v>
      </c>
    </row>
    <row r="116" spans="2:25" x14ac:dyDescent="0.2">
      <c r="B116" s="126">
        <v>1</v>
      </c>
      <c r="C116" s="126">
        <v>1</v>
      </c>
      <c r="D116" s="126">
        <v>6</v>
      </c>
      <c r="E116" s="126">
        <v>18</v>
      </c>
      <c r="F116" s="126">
        <v>2</v>
      </c>
      <c r="G116" s="126">
        <v>6</v>
      </c>
      <c r="H116" s="126">
        <v>2023</v>
      </c>
      <c r="I116" s="126">
        <v>2050</v>
      </c>
      <c r="J116" s="127">
        <v>1.0803</v>
      </c>
      <c r="K116" s="127">
        <v>1.0667</v>
      </c>
      <c r="L116" s="127">
        <v>0.88939999999999997</v>
      </c>
      <c r="M116" s="127">
        <v>1.0285</v>
      </c>
      <c r="N116" s="127">
        <v>0.79790000000000005</v>
      </c>
      <c r="O116" s="127">
        <v>1.0538000000000001</v>
      </c>
      <c r="P116" s="126">
        <v>0</v>
      </c>
      <c r="Q116" s="128">
        <f t="array" ref="Q116">SUM(IF(($S116&gt;=4)*($C116='TaxCred&amp;Subs'!$D$123:$D$127)*($H116='TaxCred&amp;Subs'!$C$123:$C$127)*($H116&lt;='TaxCred&amp;Subs'!$C$129),'TaxCred&amp;Subs'!$E$123:$E$127,0))</f>
        <v>0</v>
      </c>
      <c r="R116" s="174">
        <v>0</v>
      </c>
      <c r="S116" s="126">
        <v>1</v>
      </c>
      <c r="T116" s="126" t="s">
        <v>223</v>
      </c>
      <c r="U116" s="158"/>
      <c r="V116" s="153" t="str">
        <f t="array" ref="V116">INDEX(xlRTCLNAME,MATCH(1,(xlRTCLENDU=1)*(xlRTCLEQCL=$D116),0))</f>
        <v>LPG_FA</v>
      </c>
      <c r="W116" s="153" t="str">
        <f t="array" ref="W116">INDEX(xlRTCLNAME,MATCH(1,(xlRTCLENDU=2)*(xlRTCLEQCL=$F116),0))</f>
        <v>CENT_AIR</v>
      </c>
      <c r="X116" s="153" t="str">
        <f t="array" ref="X116">INDEX(xlRTTYNAME,MATCH(1,(xlRTTYENDU=1)*(xlRTTYEQCL=$D116)*(xlRTEQTYPE=$E116),0))</f>
        <v>LPG_FA1</v>
      </c>
      <c r="Y116" s="153" t="str">
        <f t="array" ref="Y116">INDEX(xlRTTYNAME,MATCH(1,(xlRTTYENDU=2)*(xlRTTYEQCL=$F116)*(xlRTEQTYPE=$G116),0))</f>
        <v>CENT_AIR2</v>
      </c>
    </row>
    <row r="117" spans="2:25" x14ac:dyDescent="0.2">
      <c r="B117" s="126">
        <v>2</v>
      </c>
      <c r="C117" s="126">
        <v>1</v>
      </c>
      <c r="D117" s="126">
        <v>6</v>
      </c>
      <c r="E117" s="126">
        <v>18</v>
      </c>
      <c r="F117" s="126">
        <v>2</v>
      </c>
      <c r="G117" s="126">
        <v>5</v>
      </c>
      <c r="H117" s="126">
        <v>2016</v>
      </c>
      <c r="I117" s="126">
        <v>2022</v>
      </c>
      <c r="J117" s="127">
        <v>1.0649</v>
      </c>
      <c r="K117" s="127">
        <v>1.0597000000000001</v>
      </c>
      <c r="L117" s="127">
        <v>1.0037</v>
      </c>
      <c r="M117" s="127">
        <v>0.95550000000000002</v>
      </c>
      <c r="N117" s="127">
        <v>0.93169999999999997</v>
      </c>
      <c r="O117" s="127">
        <v>1.0538000000000001</v>
      </c>
      <c r="P117" s="126">
        <v>0</v>
      </c>
      <c r="Q117" s="128">
        <f t="array" ref="Q117">SUM(IF(($S117&gt;=4)*($C117='TaxCred&amp;Subs'!$D$123:$D$127)*($H117='TaxCred&amp;Subs'!$C$123:$C$127)*($H117&lt;='TaxCred&amp;Subs'!$C$129),'TaxCred&amp;Subs'!$E$123:$E$127,0))</f>
        <v>0</v>
      </c>
      <c r="R117" s="174">
        <v>0</v>
      </c>
      <c r="S117" s="126">
        <v>1</v>
      </c>
      <c r="T117" s="126" t="s">
        <v>223</v>
      </c>
      <c r="U117" s="158"/>
      <c r="V117" s="153" t="str">
        <f t="array" ref="V117">INDEX(xlRTCLNAME,MATCH(1,(xlRTCLENDU=1)*(xlRTCLEQCL=$D117),0))</f>
        <v>LPG_FA</v>
      </c>
      <c r="W117" s="153" t="str">
        <f t="array" ref="W117">INDEX(xlRTCLNAME,MATCH(1,(xlRTCLENDU=2)*(xlRTCLEQCL=$F117),0))</f>
        <v>CENT_AIR</v>
      </c>
      <c r="X117" s="153" t="str">
        <f t="array" ref="X117">INDEX(xlRTTYNAME,MATCH(1,(xlRTTYENDU=1)*(xlRTTYEQCL=$D117)*(xlRTEQTYPE=$E117),0))</f>
        <v>LPG_FA1</v>
      </c>
      <c r="Y117" s="153" t="str">
        <f t="array" ref="Y117">INDEX(xlRTTYNAME,MATCH(1,(xlRTTYENDU=2)*(xlRTTYEQCL=$F117)*(xlRTEQTYPE=$G117),0))</f>
        <v>CENT_AIR1</v>
      </c>
    </row>
    <row r="118" spans="2:25" x14ac:dyDescent="0.2">
      <c r="B118" s="126">
        <v>2</v>
      </c>
      <c r="C118" s="126">
        <v>1</v>
      </c>
      <c r="D118" s="126">
        <v>6</v>
      </c>
      <c r="E118" s="126">
        <v>18</v>
      </c>
      <c r="F118" s="126">
        <v>2</v>
      </c>
      <c r="G118" s="126">
        <v>6</v>
      </c>
      <c r="H118" s="126">
        <v>2023</v>
      </c>
      <c r="I118" s="126">
        <v>2050</v>
      </c>
      <c r="J118" s="127">
        <v>1.0649</v>
      </c>
      <c r="K118" s="127">
        <v>1.0597000000000001</v>
      </c>
      <c r="L118" s="127">
        <v>1.0037</v>
      </c>
      <c r="M118" s="127">
        <v>0.95550000000000002</v>
      </c>
      <c r="N118" s="127">
        <v>0.93169999999999997</v>
      </c>
      <c r="O118" s="127">
        <v>1.0538000000000001</v>
      </c>
      <c r="P118" s="126">
        <v>0</v>
      </c>
      <c r="Q118" s="128">
        <f t="array" ref="Q118">SUM(IF(($S118&gt;=4)*($C118='TaxCred&amp;Subs'!$D$123:$D$127)*($H118='TaxCred&amp;Subs'!$C$123:$C$127)*($H118&lt;='TaxCred&amp;Subs'!$C$129),'TaxCred&amp;Subs'!$E$123:$E$127,0))</f>
        <v>0</v>
      </c>
      <c r="R118" s="174">
        <v>0</v>
      </c>
      <c r="S118" s="126">
        <v>1</v>
      </c>
      <c r="T118" s="126" t="s">
        <v>223</v>
      </c>
      <c r="U118" s="158"/>
      <c r="V118" s="153" t="str">
        <f t="array" ref="V118">INDEX(xlRTCLNAME,MATCH(1,(xlRTCLENDU=1)*(xlRTCLEQCL=$D118),0))</f>
        <v>LPG_FA</v>
      </c>
      <c r="W118" s="153" t="str">
        <f t="array" ref="W118">INDEX(xlRTCLNAME,MATCH(1,(xlRTCLENDU=2)*(xlRTCLEQCL=$F118),0))</f>
        <v>CENT_AIR</v>
      </c>
      <c r="X118" s="153" t="str">
        <f t="array" ref="X118">INDEX(xlRTTYNAME,MATCH(1,(xlRTTYENDU=1)*(xlRTTYEQCL=$D118)*(xlRTEQTYPE=$E118),0))</f>
        <v>LPG_FA1</v>
      </c>
      <c r="Y118" s="153" t="str">
        <f t="array" ref="Y118">INDEX(xlRTTYNAME,MATCH(1,(xlRTTYENDU=2)*(xlRTTYEQCL=$F118)*(xlRTEQTYPE=$G118),0))</f>
        <v>CENT_AIR2</v>
      </c>
    </row>
    <row r="119" spans="2:25" x14ac:dyDescent="0.2">
      <c r="B119" s="126">
        <v>3</v>
      </c>
      <c r="C119" s="126">
        <v>1</v>
      </c>
      <c r="D119" s="126">
        <v>6</v>
      </c>
      <c r="E119" s="126">
        <v>18</v>
      </c>
      <c r="F119" s="126">
        <v>2</v>
      </c>
      <c r="G119" s="126">
        <v>5</v>
      </c>
      <c r="H119" s="126">
        <v>2016</v>
      </c>
      <c r="I119" s="126">
        <v>2022</v>
      </c>
      <c r="J119" s="127">
        <v>1.0469999999999999</v>
      </c>
      <c r="K119" s="127">
        <v>1.0769</v>
      </c>
      <c r="L119" s="127">
        <v>0.93520000000000003</v>
      </c>
      <c r="M119" s="127">
        <v>0.9627</v>
      </c>
      <c r="N119" s="127">
        <v>0.91600000000000004</v>
      </c>
      <c r="O119" s="127">
        <v>1.0538000000000001</v>
      </c>
      <c r="P119" s="126">
        <v>0</v>
      </c>
      <c r="Q119" s="128">
        <f t="array" ref="Q119">SUM(IF(($S119&gt;=4)*($C119='TaxCred&amp;Subs'!$D$123:$D$127)*($H119='TaxCred&amp;Subs'!$C$123:$C$127)*($H119&lt;='TaxCred&amp;Subs'!$C$129),'TaxCred&amp;Subs'!$E$123:$E$127,0))</f>
        <v>0</v>
      </c>
      <c r="R119" s="174">
        <v>0</v>
      </c>
      <c r="S119" s="126">
        <v>1</v>
      </c>
      <c r="T119" s="126" t="s">
        <v>223</v>
      </c>
      <c r="U119" s="158"/>
      <c r="V119" s="153" t="str">
        <f t="array" ref="V119">INDEX(xlRTCLNAME,MATCH(1,(xlRTCLENDU=1)*(xlRTCLEQCL=$D119),0))</f>
        <v>LPG_FA</v>
      </c>
      <c r="W119" s="153" t="str">
        <f t="array" ref="W119">INDEX(xlRTCLNAME,MATCH(1,(xlRTCLENDU=2)*(xlRTCLEQCL=$F119),0))</f>
        <v>CENT_AIR</v>
      </c>
      <c r="X119" s="153" t="str">
        <f t="array" ref="X119">INDEX(xlRTTYNAME,MATCH(1,(xlRTTYENDU=1)*(xlRTTYEQCL=$D119)*(xlRTEQTYPE=$E119),0))</f>
        <v>LPG_FA1</v>
      </c>
      <c r="Y119" s="153" t="str">
        <f t="array" ref="Y119">INDEX(xlRTTYNAME,MATCH(1,(xlRTTYENDU=2)*(xlRTTYEQCL=$F119)*(xlRTEQTYPE=$G119),0))</f>
        <v>CENT_AIR1</v>
      </c>
    </row>
    <row r="120" spans="2:25" x14ac:dyDescent="0.2">
      <c r="B120" s="126">
        <v>3</v>
      </c>
      <c r="C120" s="126">
        <v>1</v>
      </c>
      <c r="D120" s="126">
        <v>6</v>
      </c>
      <c r="E120" s="126">
        <v>18</v>
      </c>
      <c r="F120" s="126">
        <v>2</v>
      </c>
      <c r="G120" s="126">
        <v>6</v>
      </c>
      <c r="H120" s="126">
        <v>2023</v>
      </c>
      <c r="I120" s="126">
        <v>2050</v>
      </c>
      <c r="J120" s="127">
        <v>1.0469999999999999</v>
      </c>
      <c r="K120" s="127">
        <v>1.0769</v>
      </c>
      <c r="L120" s="127">
        <v>0.93520000000000003</v>
      </c>
      <c r="M120" s="127">
        <v>0.9627</v>
      </c>
      <c r="N120" s="127">
        <v>0.91600000000000004</v>
      </c>
      <c r="O120" s="127">
        <v>1.0538000000000001</v>
      </c>
      <c r="P120" s="126">
        <v>0</v>
      </c>
      <c r="Q120" s="128">
        <f t="array" ref="Q120">SUM(IF(($S120&gt;=4)*($C120='TaxCred&amp;Subs'!$D$123:$D$127)*($H120='TaxCred&amp;Subs'!$C$123:$C$127)*($H120&lt;='TaxCred&amp;Subs'!$C$129),'TaxCred&amp;Subs'!$E$123:$E$127,0))</f>
        <v>0</v>
      </c>
      <c r="R120" s="174">
        <v>0</v>
      </c>
      <c r="S120" s="126">
        <v>1</v>
      </c>
      <c r="T120" s="126" t="s">
        <v>223</v>
      </c>
      <c r="U120" s="158"/>
      <c r="V120" s="153" t="str">
        <f t="array" ref="V120">INDEX(xlRTCLNAME,MATCH(1,(xlRTCLENDU=1)*(xlRTCLEQCL=$D120),0))</f>
        <v>LPG_FA</v>
      </c>
      <c r="W120" s="153" t="str">
        <f t="array" ref="W120">INDEX(xlRTCLNAME,MATCH(1,(xlRTCLENDU=2)*(xlRTCLEQCL=$F120),0))</f>
        <v>CENT_AIR</v>
      </c>
      <c r="X120" s="153" t="str">
        <f t="array" ref="X120">INDEX(xlRTTYNAME,MATCH(1,(xlRTTYENDU=1)*(xlRTTYEQCL=$D120)*(xlRTEQTYPE=$E120),0))</f>
        <v>LPG_FA1</v>
      </c>
      <c r="Y120" s="153" t="str">
        <f t="array" ref="Y120">INDEX(xlRTTYNAME,MATCH(1,(xlRTTYENDU=2)*(xlRTTYEQCL=$F120)*(xlRTEQTYPE=$G120),0))</f>
        <v>CENT_AIR2</v>
      </c>
    </row>
    <row r="121" spans="2:25" x14ac:dyDescent="0.2">
      <c r="B121" s="126">
        <v>4</v>
      </c>
      <c r="C121" s="126">
        <v>1</v>
      </c>
      <c r="D121" s="126">
        <v>6</v>
      </c>
      <c r="E121" s="126">
        <v>18</v>
      </c>
      <c r="F121" s="126">
        <v>2</v>
      </c>
      <c r="G121" s="126">
        <v>5</v>
      </c>
      <c r="H121" s="126">
        <v>2016</v>
      </c>
      <c r="I121" s="126">
        <v>2022</v>
      </c>
      <c r="J121" s="127">
        <v>1.0862000000000001</v>
      </c>
      <c r="K121" s="127">
        <v>1.0769</v>
      </c>
      <c r="L121" s="127">
        <v>0.87749999999999995</v>
      </c>
      <c r="M121" s="127">
        <v>0.87319999999999998</v>
      </c>
      <c r="N121" s="127">
        <v>0.85770000000000002</v>
      </c>
      <c r="O121" s="127">
        <v>1.0538000000000001</v>
      </c>
      <c r="P121" s="126">
        <v>0</v>
      </c>
      <c r="Q121" s="128">
        <f t="array" ref="Q121">SUM(IF(($S121&gt;=4)*($C121='TaxCred&amp;Subs'!$D$123:$D$127)*($H121='TaxCred&amp;Subs'!$C$123:$C$127)*($H121&lt;='TaxCred&amp;Subs'!$C$129),'TaxCred&amp;Subs'!$E$123:$E$127,0))</f>
        <v>0</v>
      </c>
      <c r="R121" s="174">
        <v>0</v>
      </c>
      <c r="S121" s="126">
        <v>1</v>
      </c>
      <c r="T121" s="126" t="s">
        <v>223</v>
      </c>
      <c r="U121" s="158"/>
      <c r="V121" s="153" t="str">
        <f t="array" ref="V121">INDEX(xlRTCLNAME,MATCH(1,(xlRTCLENDU=1)*(xlRTCLEQCL=$D121),0))</f>
        <v>LPG_FA</v>
      </c>
      <c r="W121" s="153" t="str">
        <f t="array" ref="W121">INDEX(xlRTCLNAME,MATCH(1,(xlRTCLENDU=2)*(xlRTCLEQCL=$F121),0))</f>
        <v>CENT_AIR</v>
      </c>
      <c r="X121" s="153" t="str">
        <f t="array" ref="X121">INDEX(xlRTTYNAME,MATCH(1,(xlRTTYENDU=1)*(xlRTTYEQCL=$D121)*(xlRTEQTYPE=$E121),0))</f>
        <v>LPG_FA1</v>
      </c>
      <c r="Y121" s="153" t="str">
        <f t="array" ref="Y121">INDEX(xlRTTYNAME,MATCH(1,(xlRTTYENDU=2)*(xlRTTYEQCL=$F121)*(xlRTEQTYPE=$G121),0))</f>
        <v>CENT_AIR1</v>
      </c>
    </row>
    <row r="122" spans="2:25" x14ac:dyDescent="0.2">
      <c r="B122" s="126">
        <v>4</v>
      </c>
      <c r="C122" s="126">
        <v>1</v>
      </c>
      <c r="D122" s="126">
        <v>6</v>
      </c>
      <c r="E122" s="126">
        <v>18</v>
      </c>
      <c r="F122" s="126">
        <v>2</v>
      </c>
      <c r="G122" s="126">
        <v>6</v>
      </c>
      <c r="H122" s="126">
        <v>2023</v>
      </c>
      <c r="I122" s="126">
        <v>2050</v>
      </c>
      <c r="J122" s="127">
        <v>1.0862000000000001</v>
      </c>
      <c r="K122" s="127">
        <v>1.0769</v>
      </c>
      <c r="L122" s="127">
        <v>0.87749999999999995</v>
      </c>
      <c r="M122" s="127">
        <v>0.87319999999999998</v>
      </c>
      <c r="N122" s="127">
        <v>0.85770000000000002</v>
      </c>
      <c r="O122" s="127">
        <v>1.0538000000000001</v>
      </c>
      <c r="P122" s="126">
        <v>0</v>
      </c>
      <c r="Q122" s="128">
        <f t="array" ref="Q122">SUM(IF(($S122&gt;=4)*($C122='TaxCred&amp;Subs'!$D$123:$D$127)*($H122='TaxCred&amp;Subs'!$C$123:$C$127)*($H122&lt;='TaxCred&amp;Subs'!$C$129),'TaxCred&amp;Subs'!$E$123:$E$127,0))</f>
        <v>0</v>
      </c>
      <c r="R122" s="174">
        <v>0</v>
      </c>
      <c r="S122" s="126">
        <v>1</v>
      </c>
      <c r="T122" s="126" t="s">
        <v>223</v>
      </c>
      <c r="U122" s="158"/>
      <c r="V122" s="153" t="str">
        <f t="array" ref="V122">INDEX(xlRTCLNAME,MATCH(1,(xlRTCLENDU=1)*(xlRTCLEQCL=$D122),0))</f>
        <v>LPG_FA</v>
      </c>
      <c r="W122" s="153" t="str">
        <f t="array" ref="W122">INDEX(xlRTCLNAME,MATCH(1,(xlRTCLENDU=2)*(xlRTCLEQCL=$F122),0))</f>
        <v>CENT_AIR</v>
      </c>
      <c r="X122" s="153" t="str">
        <f t="array" ref="X122">INDEX(xlRTTYNAME,MATCH(1,(xlRTTYENDU=1)*(xlRTTYEQCL=$D122)*(xlRTEQTYPE=$E122),0))</f>
        <v>LPG_FA1</v>
      </c>
      <c r="Y122" s="153" t="str">
        <f t="array" ref="Y122">INDEX(xlRTTYNAME,MATCH(1,(xlRTTYENDU=2)*(xlRTTYEQCL=$F122)*(xlRTEQTYPE=$G122),0))</f>
        <v>CENT_AIR2</v>
      </c>
    </row>
    <row r="123" spans="2:25" x14ac:dyDescent="0.2">
      <c r="B123" s="126">
        <v>5</v>
      </c>
      <c r="C123" s="126">
        <v>1</v>
      </c>
      <c r="D123" s="126">
        <v>6</v>
      </c>
      <c r="E123" s="126">
        <v>18</v>
      </c>
      <c r="F123" s="126">
        <v>2</v>
      </c>
      <c r="G123" s="126">
        <v>5</v>
      </c>
      <c r="H123" s="126">
        <v>2016</v>
      </c>
      <c r="I123" s="126">
        <v>2022</v>
      </c>
      <c r="J123" s="127">
        <v>1.0849</v>
      </c>
      <c r="K123" s="127">
        <v>1.0471999999999999</v>
      </c>
      <c r="L123" s="127">
        <v>0.90710000000000002</v>
      </c>
      <c r="M123" s="127">
        <v>1.0934999999999999</v>
      </c>
      <c r="N123" s="127">
        <v>0.76180000000000003</v>
      </c>
      <c r="O123" s="127">
        <v>1.0538000000000001</v>
      </c>
      <c r="P123" s="126">
        <v>0</v>
      </c>
      <c r="Q123" s="128">
        <f t="array" ref="Q123">SUM(IF(($S123&gt;=4)*($C123='TaxCred&amp;Subs'!$D$123:$D$127)*($H123='TaxCred&amp;Subs'!$C$123:$C$127)*($H123&lt;='TaxCred&amp;Subs'!$C$129),'TaxCred&amp;Subs'!$E$123:$E$127,0))</f>
        <v>0</v>
      </c>
      <c r="R123" s="174">
        <v>0</v>
      </c>
      <c r="S123" s="126">
        <v>1</v>
      </c>
      <c r="T123" s="126" t="s">
        <v>223</v>
      </c>
      <c r="U123" s="158"/>
      <c r="V123" s="153" t="str">
        <f t="array" ref="V123">INDEX(xlRTCLNAME,MATCH(1,(xlRTCLENDU=1)*(xlRTCLEQCL=$D123),0))</f>
        <v>LPG_FA</v>
      </c>
      <c r="W123" s="153" t="str">
        <f t="array" ref="W123">INDEX(xlRTCLNAME,MATCH(1,(xlRTCLENDU=2)*(xlRTCLEQCL=$F123),0))</f>
        <v>CENT_AIR</v>
      </c>
      <c r="X123" s="153" t="str">
        <f t="array" ref="X123">INDEX(xlRTTYNAME,MATCH(1,(xlRTTYENDU=1)*(xlRTTYEQCL=$D123)*(xlRTEQTYPE=$E123),0))</f>
        <v>LPG_FA1</v>
      </c>
      <c r="Y123" s="153" t="str">
        <f t="array" ref="Y123">INDEX(xlRTTYNAME,MATCH(1,(xlRTTYENDU=2)*(xlRTTYEQCL=$F123)*(xlRTEQTYPE=$G123),0))</f>
        <v>CENT_AIR1</v>
      </c>
    </row>
    <row r="124" spans="2:25" x14ac:dyDescent="0.2">
      <c r="B124" s="126">
        <v>5</v>
      </c>
      <c r="C124" s="126">
        <v>1</v>
      </c>
      <c r="D124" s="126">
        <v>6</v>
      </c>
      <c r="E124" s="126">
        <v>18</v>
      </c>
      <c r="F124" s="126">
        <v>2</v>
      </c>
      <c r="G124" s="126">
        <v>6</v>
      </c>
      <c r="H124" s="126">
        <v>2023</v>
      </c>
      <c r="I124" s="126">
        <v>2050</v>
      </c>
      <c r="J124" s="127">
        <v>1.0849</v>
      </c>
      <c r="K124" s="127">
        <v>1.0471999999999999</v>
      </c>
      <c r="L124" s="127">
        <v>0.90710000000000002</v>
      </c>
      <c r="M124" s="127">
        <v>1.0934999999999999</v>
      </c>
      <c r="N124" s="127">
        <v>0.76180000000000003</v>
      </c>
      <c r="O124" s="127">
        <v>1.0538000000000001</v>
      </c>
      <c r="P124" s="126">
        <v>0</v>
      </c>
      <c r="Q124" s="128">
        <f t="array" ref="Q124">SUM(IF(($S124&gt;=4)*($C124='TaxCred&amp;Subs'!$D$123:$D$127)*($H124='TaxCred&amp;Subs'!$C$123:$C$127)*($H124&lt;='TaxCred&amp;Subs'!$C$129),'TaxCred&amp;Subs'!$E$123:$E$127,0))</f>
        <v>0</v>
      </c>
      <c r="R124" s="174">
        <v>0</v>
      </c>
      <c r="S124" s="126">
        <v>1</v>
      </c>
      <c r="T124" s="126" t="s">
        <v>223</v>
      </c>
      <c r="U124" s="158"/>
      <c r="V124" s="153" t="str">
        <f t="array" ref="V124">INDEX(xlRTCLNAME,MATCH(1,(xlRTCLENDU=1)*(xlRTCLEQCL=$D124),0))</f>
        <v>LPG_FA</v>
      </c>
      <c r="W124" s="153" t="str">
        <f t="array" ref="W124">INDEX(xlRTCLNAME,MATCH(1,(xlRTCLENDU=2)*(xlRTCLEQCL=$F124),0))</f>
        <v>CENT_AIR</v>
      </c>
      <c r="X124" s="153" t="str">
        <f t="array" ref="X124">INDEX(xlRTTYNAME,MATCH(1,(xlRTTYENDU=1)*(xlRTTYEQCL=$D124)*(xlRTEQTYPE=$E124),0))</f>
        <v>LPG_FA1</v>
      </c>
      <c r="Y124" s="153" t="str">
        <f t="array" ref="Y124">INDEX(xlRTTYNAME,MATCH(1,(xlRTTYENDU=2)*(xlRTTYEQCL=$F124)*(xlRTEQTYPE=$G124),0))</f>
        <v>CENT_AIR2</v>
      </c>
    </row>
    <row r="125" spans="2:25" x14ac:dyDescent="0.2">
      <c r="B125" s="126">
        <v>6</v>
      </c>
      <c r="C125" s="126">
        <v>1</v>
      </c>
      <c r="D125" s="126">
        <v>6</v>
      </c>
      <c r="E125" s="126">
        <v>18</v>
      </c>
      <c r="F125" s="126">
        <v>2</v>
      </c>
      <c r="G125" s="126">
        <v>5</v>
      </c>
      <c r="H125" s="126">
        <v>2016</v>
      </c>
      <c r="I125" s="126">
        <v>2022</v>
      </c>
      <c r="J125" s="127">
        <v>1.0924</v>
      </c>
      <c r="K125" s="127">
        <v>1.0661</v>
      </c>
      <c r="L125" s="127">
        <v>1.0295000000000001</v>
      </c>
      <c r="M125" s="127">
        <v>1.1335999999999999</v>
      </c>
      <c r="N125" s="127">
        <v>0.89100000000000001</v>
      </c>
      <c r="O125" s="127">
        <v>1.0538000000000001</v>
      </c>
      <c r="P125" s="126">
        <v>0</v>
      </c>
      <c r="Q125" s="128">
        <f t="array" ref="Q125">SUM(IF(($S125&gt;=4)*($C125='TaxCred&amp;Subs'!$D$123:$D$127)*($H125='TaxCred&amp;Subs'!$C$123:$C$127)*($H125&lt;='TaxCred&amp;Subs'!$C$129),'TaxCred&amp;Subs'!$E$123:$E$127,0))</f>
        <v>0</v>
      </c>
      <c r="R125" s="174">
        <v>0</v>
      </c>
      <c r="S125" s="126">
        <v>1</v>
      </c>
      <c r="T125" s="126" t="s">
        <v>223</v>
      </c>
      <c r="U125" s="158"/>
      <c r="V125" s="153" t="str">
        <f t="array" ref="V125">INDEX(xlRTCLNAME,MATCH(1,(xlRTCLENDU=1)*(xlRTCLEQCL=$D125),0))</f>
        <v>LPG_FA</v>
      </c>
      <c r="W125" s="153" t="str">
        <f t="array" ref="W125">INDEX(xlRTCLNAME,MATCH(1,(xlRTCLENDU=2)*(xlRTCLEQCL=$F125),0))</f>
        <v>CENT_AIR</v>
      </c>
      <c r="X125" s="153" t="str">
        <f t="array" ref="X125">INDEX(xlRTTYNAME,MATCH(1,(xlRTTYENDU=1)*(xlRTTYEQCL=$D125)*(xlRTEQTYPE=$E125),0))</f>
        <v>LPG_FA1</v>
      </c>
      <c r="Y125" s="153" t="str">
        <f t="array" ref="Y125">INDEX(xlRTTYNAME,MATCH(1,(xlRTTYENDU=2)*(xlRTTYEQCL=$F125)*(xlRTEQTYPE=$G125),0))</f>
        <v>CENT_AIR1</v>
      </c>
    </row>
    <row r="126" spans="2:25" x14ac:dyDescent="0.2">
      <c r="B126" s="126">
        <v>6</v>
      </c>
      <c r="C126" s="126">
        <v>1</v>
      </c>
      <c r="D126" s="126">
        <v>6</v>
      </c>
      <c r="E126" s="126">
        <v>18</v>
      </c>
      <c r="F126" s="126">
        <v>2</v>
      </c>
      <c r="G126" s="126">
        <v>6</v>
      </c>
      <c r="H126" s="126">
        <v>2023</v>
      </c>
      <c r="I126" s="126">
        <v>2050</v>
      </c>
      <c r="J126" s="127">
        <v>1.0924</v>
      </c>
      <c r="K126" s="127">
        <v>1.0661</v>
      </c>
      <c r="L126" s="127">
        <v>1.0295000000000001</v>
      </c>
      <c r="M126" s="127">
        <v>1.1335999999999999</v>
      </c>
      <c r="N126" s="127">
        <v>0.89100000000000001</v>
      </c>
      <c r="O126" s="127">
        <v>1.0538000000000001</v>
      </c>
      <c r="P126" s="126">
        <v>0</v>
      </c>
      <c r="Q126" s="128">
        <f t="array" ref="Q126">SUM(IF(($S126&gt;=4)*($C126='TaxCred&amp;Subs'!$D$123:$D$127)*($H126='TaxCred&amp;Subs'!$C$123:$C$127)*($H126&lt;='TaxCred&amp;Subs'!$C$129),'TaxCred&amp;Subs'!$E$123:$E$127,0))</f>
        <v>0</v>
      </c>
      <c r="R126" s="174">
        <v>0</v>
      </c>
      <c r="S126" s="126">
        <v>1</v>
      </c>
      <c r="T126" s="126" t="s">
        <v>223</v>
      </c>
      <c r="U126" s="158"/>
      <c r="V126" s="153" t="str">
        <f t="array" ref="V126">INDEX(xlRTCLNAME,MATCH(1,(xlRTCLENDU=1)*(xlRTCLEQCL=$D126),0))</f>
        <v>LPG_FA</v>
      </c>
      <c r="W126" s="153" t="str">
        <f t="array" ref="W126">INDEX(xlRTCLNAME,MATCH(1,(xlRTCLENDU=2)*(xlRTCLEQCL=$F126),0))</f>
        <v>CENT_AIR</v>
      </c>
      <c r="X126" s="153" t="str">
        <f t="array" ref="X126">INDEX(xlRTTYNAME,MATCH(1,(xlRTTYENDU=1)*(xlRTTYEQCL=$D126)*(xlRTEQTYPE=$E126),0))</f>
        <v>LPG_FA1</v>
      </c>
      <c r="Y126" s="153" t="str">
        <f t="array" ref="Y126">INDEX(xlRTTYNAME,MATCH(1,(xlRTTYENDU=2)*(xlRTTYEQCL=$F126)*(xlRTEQTYPE=$G126),0))</f>
        <v>CENT_AIR2</v>
      </c>
    </row>
    <row r="127" spans="2:25" x14ac:dyDescent="0.2">
      <c r="B127" s="126">
        <v>7</v>
      </c>
      <c r="C127" s="126">
        <v>1</v>
      </c>
      <c r="D127" s="126">
        <v>6</v>
      </c>
      <c r="E127" s="126">
        <v>18</v>
      </c>
      <c r="F127" s="126">
        <v>2</v>
      </c>
      <c r="G127" s="126">
        <v>5</v>
      </c>
      <c r="H127" s="126">
        <v>2016</v>
      </c>
      <c r="I127" s="126">
        <v>2022</v>
      </c>
      <c r="J127" s="127">
        <v>1.0905</v>
      </c>
      <c r="K127" s="127">
        <v>1.0562</v>
      </c>
      <c r="L127" s="127">
        <v>1.046</v>
      </c>
      <c r="M127" s="127">
        <v>1.0382</v>
      </c>
      <c r="N127" s="127">
        <v>0.87180000000000002</v>
      </c>
      <c r="O127" s="127">
        <v>1.0538000000000001</v>
      </c>
      <c r="P127" s="126">
        <v>0</v>
      </c>
      <c r="Q127" s="128">
        <f t="array" ref="Q127">SUM(IF(($S127&gt;=4)*($C127='TaxCred&amp;Subs'!$D$123:$D$127)*($H127='TaxCred&amp;Subs'!$C$123:$C$127)*($H127&lt;='TaxCred&amp;Subs'!$C$129),'TaxCred&amp;Subs'!$E$123:$E$127,0))</f>
        <v>0</v>
      </c>
      <c r="R127" s="174">
        <v>0</v>
      </c>
      <c r="S127" s="126">
        <v>1</v>
      </c>
      <c r="T127" s="126" t="s">
        <v>223</v>
      </c>
      <c r="U127" s="158"/>
      <c r="V127" s="153" t="str">
        <f t="array" ref="V127">INDEX(xlRTCLNAME,MATCH(1,(xlRTCLENDU=1)*(xlRTCLEQCL=$D127),0))</f>
        <v>LPG_FA</v>
      </c>
      <c r="W127" s="153" t="str">
        <f t="array" ref="W127">INDEX(xlRTCLNAME,MATCH(1,(xlRTCLENDU=2)*(xlRTCLEQCL=$F127),0))</f>
        <v>CENT_AIR</v>
      </c>
      <c r="X127" s="153" t="str">
        <f t="array" ref="X127">INDEX(xlRTTYNAME,MATCH(1,(xlRTTYENDU=1)*(xlRTTYEQCL=$D127)*(xlRTEQTYPE=$E127),0))</f>
        <v>LPG_FA1</v>
      </c>
      <c r="Y127" s="153" t="str">
        <f t="array" ref="Y127">INDEX(xlRTTYNAME,MATCH(1,(xlRTTYENDU=2)*(xlRTTYEQCL=$F127)*(xlRTEQTYPE=$G127),0))</f>
        <v>CENT_AIR1</v>
      </c>
    </row>
    <row r="128" spans="2:25" x14ac:dyDescent="0.2">
      <c r="B128" s="126">
        <v>7</v>
      </c>
      <c r="C128" s="126">
        <v>1</v>
      </c>
      <c r="D128" s="126">
        <v>6</v>
      </c>
      <c r="E128" s="126">
        <v>18</v>
      </c>
      <c r="F128" s="126">
        <v>2</v>
      </c>
      <c r="G128" s="126">
        <v>6</v>
      </c>
      <c r="H128" s="126">
        <v>2023</v>
      </c>
      <c r="I128" s="126">
        <v>2050</v>
      </c>
      <c r="J128" s="127">
        <v>1.0905</v>
      </c>
      <c r="K128" s="127">
        <v>1.0562</v>
      </c>
      <c r="L128" s="127">
        <v>1.046</v>
      </c>
      <c r="M128" s="127">
        <v>1.0382</v>
      </c>
      <c r="N128" s="127">
        <v>0.87180000000000002</v>
      </c>
      <c r="O128" s="127">
        <v>1.0538000000000001</v>
      </c>
      <c r="P128" s="126">
        <v>0</v>
      </c>
      <c r="Q128" s="128">
        <f t="array" ref="Q128">SUM(IF(($S128&gt;=4)*($C128='TaxCred&amp;Subs'!$D$123:$D$127)*($H128='TaxCred&amp;Subs'!$C$123:$C$127)*($H128&lt;='TaxCred&amp;Subs'!$C$129),'TaxCred&amp;Subs'!$E$123:$E$127,0))</f>
        <v>0</v>
      </c>
      <c r="R128" s="174">
        <v>0</v>
      </c>
      <c r="S128" s="126">
        <v>1</v>
      </c>
      <c r="T128" s="126" t="s">
        <v>223</v>
      </c>
      <c r="U128" s="158"/>
      <c r="V128" s="153" t="str">
        <f t="array" ref="V128">INDEX(xlRTCLNAME,MATCH(1,(xlRTCLENDU=1)*(xlRTCLEQCL=$D128),0))</f>
        <v>LPG_FA</v>
      </c>
      <c r="W128" s="153" t="str">
        <f t="array" ref="W128">INDEX(xlRTCLNAME,MATCH(1,(xlRTCLENDU=2)*(xlRTCLEQCL=$F128),0))</f>
        <v>CENT_AIR</v>
      </c>
      <c r="X128" s="153" t="str">
        <f t="array" ref="X128">INDEX(xlRTTYNAME,MATCH(1,(xlRTTYENDU=1)*(xlRTTYEQCL=$D128)*(xlRTEQTYPE=$E128),0))</f>
        <v>LPG_FA1</v>
      </c>
      <c r="Y128" s="153" t="str">
        <f t="array" ref="Y128">INDEX(xlRTTYNAME,MATCH(1,(xlRTTYENDU=2)*(xlRTTYEQCL=$F128)*(xlRTEQTYPE=$G128),0))</f>
        <v>CENT_AIR2</v>
      </c>
    </row>
    <row r="129" spans="2:25" ht="12.75" customHeight="1" x14ac:dyDescent="0.2">
      <c r="B129" s="126">
        <v>8</v>
      </c>
      <c r="C129" s="126">
        <v>1</v>
      </c>
      <c r="D129" s="126">
        <v>6</v>
      </c>
      <c r="E129" s="126">
        <v>18</v>
      </c>
      <c r="F129" s="126">
        <v>2</v>
      </c>
      <c r="G129" s="126">
        <v>5</v>
      </c>
      <c r="H129" s="126">
        <v>2016</v>
      </c>
      <c r="I129" s="126">
        <v>2022</v>
      </c>
      <c r="J129" s="127">
        <v>1.0801000000000001</v>
      </c>
      <c r="K129" s="127">
        <v>1.0822000000000001</v>
      </c>
      <c r="L129" s="127">
        <v>0.97740000000000005</v>
      </c>
      <c r="M129" s="127">
        <v>1.0076000000000001</v>
      </c>
      <c r="N129" s="127">
        <v>0.86950000000000005</v>
      </c>
      <c r="O129" s="127">
        <v>1.0538000000000001</v>
      </c>
      <c r="P129" s="126">
        <v>0</v>
      </c>
      <c r="Q129" s="128">
        <f t="array" ref="Q129">SUM(IF(($S129&gt;=4)*($C129='TaxCred&amp;Subs'!$D$123:$D$127)*($H129='TaxCred&amp;Subs'!$C$123:$C$127)*($H129&lt;='TaxCred&amp;Subs'!$C$129),'TaxCred&amp;Subs'!$E$123:$E$127,0))</f>
        <v>0</v>
      </c>
      <c r="R129" s="174">
        <v>0</v>
      </c>
      <c r="S129" s="126">
        <v>1</v>
      </c>
      <c r="T129" s="126" t="s">
        <v>223</v>
      </c>
      <c r="U129" s="158"/>
      <c r="V129" s="153" t="str">
        <f t="array" ref="V129">INDEX(xlRTCLNAME,MATCH(1,(xlRTCLENDU=1)*(xlRTCLEQCL=$D129),0))</f>
        <v>LPG_FA</v>
      </c>
      <c r="W129" s="153" t="str">
        <f t="array" ref="W129">INDEX(xlRTCLNAME,MATCH(1,(xlRTCLENDU=2)*(xlRTCLEQCL=$F129),0))</f>
        <v>CENT_AIR</v>
      </c>
      <c r="X129" s="153" t="str">
        <f t="array" ref="X129">INDEX(xlRTTYNAME,MATCH(1,(xlRTTYENDU=1)*(xlRTTYEQCL=$D129)*(xlRTEQTYPE=$E129),0))</f>
        <v>LPG_FA1</v>
      </c>
      <c r="Y129" s="153" t="str">
        <f t="array" ref="Y129">INDEX(xlRTTYNAME,MATCH(1,(xlRTTYENDU=2)*(xlRTTYEQCL=$F129)*(xlRTEQTYPE=$G129),0))</f>
        <v>CENT_AIR1</v>
      </c>
    </row>
    <row r="130" spans="2:25" x14ac:dyDescent="0.2">
      <c r="B130" s="126">
        <v>8</v>
      </c>
      <c r="C130" s="126">
        <v>1</v>
      </c>
      <c r="D130" s="126">
        <v>6</v>
      </c>
      <c r="E130" s="126">
        <v>18</v>
      </c>
      <c r="F130" s="126">
        <v>2</v>
      </c>
      <c r="G130" s="126">
        <v>6</v>
      </c>
      <c r="H130" s="126">
        <v>2023</v>
      </c>
      <c r="I130" s="126">
        <v>2050</v>
      </c>
      <c r="J130" s="127">
        <v>1.0801000000000001</v>
      </c>
      <c r="K130" s="127">
        <v>1.0822000000000001</v>
      </c>
      <c r="L130" s="127">
        <v>0.97740000000000005</v>
      </c>
      <c r="M130" s="127">
        <v>1.0076000000000001</v>
      </c>
      <c r="N130" s="127">
        <v>0.86950000000000005</v>
      </c>
      <c r="O130" s="127">
        <v>1.0538000000000001</v>
      </c>
      <c r="P130" s="126">
        <v>0</v>
      </c>
      <c r="Q130" s="128">
        <f t="array" ref="Q130">SUM(IF(($S130&gt;=4)*($C130='TaxCred&amp;Subs'!$D$123:$D$127)*($H130='TaxCred&amp;Subs'!$C$123:$C$127)*($H130&lt;='TaxCred&amp;Subs'!$C$129),'TaxCred&amp;Subs'!$E$123:$E$127,0))</f>
        <v>0</v>
      </c>
      <c r="R130" s="174">
        <v>0</v>
      </c>
      <c r="S130" s="126">
        <v>1</v>
      </c>
      <c r="T130" s="126" t="s">
        <v>223</v>
      </c>
      <c r="U130" s="158"/>
      <c r="V130" s="153" t="str">
        <f t="array" ref="V130">INDEX(xlRTCLNAME,MATCH(1,(xlRTCLENDU=1)*(xlRTCLEQCL=$D130),0))</f>
        <v>LPG_FA</v>
      </c>
      <c r="W130" s="153" t="str">
        <f t="array" ref="W130">INDEX(xlRTCLNAME,MATCH(1,(xlRTCLENDU=2)*(xlRTCLEQCL=$F130),0))</f>
        <v>CENT_AIR</v>
      </c>
      <c r="X130" s="153" t="str">
        <f t="array" ref="X130">INDEX(xlRTTYNAME,MATCH(1,(xlRTTYENDU=1)*(xlRTTYEQCL=$D130)*(xlRTEQTYPE=$E130),0))</f>
        <v>LPG_FA1</v>
      </c>
      <c r="Y130" s="153" t="str">
        <f t="array" ref="Y130">INDEX(xlRTTYNAME,MATCH(1,(xlRTTYENDU=2)*(xlRTTYEQCL=$F130)*(xlRTEQTYPE=$G130),0))</f>
        <v>CENT_AIR2</v>
      </c>
    </row>
    <row r="131" spans="2:25" x14ac:dyDescent="0.2">
      <c r="B131" s="126">
        <v>9</v>
      </c>
      <c r="C131" s="126">
        <v>1</v>
      </c>
      <c r="D131" s="126">
        <v>6</v>
      </c>
      <c r="E131" s="126">
        <v>18</v>
      </c>
      <c r="F131" s="126">
        <v>2</v>
      </c>
      <c r="G131" s="126">
        <v>5</v>
      </c>
      <c r="H131" s="126">
        <v>2016</v>
      </c>
      <c r="I131" s="126">
        <v>2022</v>
      </c>
      <c r="J131" s="127">
        <v>1.0781000000000001</v>
      </c>
      <c r="K131" s="127">
        <v>1.0707</v>
      </c>
      <c r="L131" s="127">
        <v>1.1246</v>
      </c>
      <c r="M131" s="127">
        <v>1.1204000000000001</v>
      </c>
      <c r="N131" s="127">
        <v>1.0339</v>
      </c>
      <c r="O131" s="127">
        <v>1.0538000000000001</v>
      </c>
      <c r="P131" s="126">
        <v>0</v>
      </c>
      <c r="Q131" s="128">
        <f t="array" ref="Q131">SUM(IF(($S131&gt;=4)*($C131='TaxCred&amp;Subs'!$D$123:$D$127)*($H131='TaxCred&amp;Subs'!$C$123:$C$127)*($H131&lt;='TaxCred&amp;Subs'!$C$129),'TaxCred&amp;Subs'!$E$123:$E$127,0))</f>
        <v>0</v>
      </c>
      <c r="R131" s="174">
        <v>0</v>
      </c>
      <c r="S131" s="126">
        <v>1</v>
      </c>
      <c r="T131" s="126" t="s">
        <v>223</v>
      </c>
      <c r="U131" s="158"/>
      <c r="V131" s="153" t="str">
        <f t="array" ref="V131">INDEX(xlRTCLNAME,MATCH(1,(xlRTCLENDU=1)*(xlRTCLEQCL=$D131),0))</f>
        <v>LPG_FA</v>
      </c>
      <c r="W131" s="153" t="str">
        <f t="array" ref="W131">INDEX(xlRTCLNAME,MATCH(1,(xlRTCLENDU=2)*(xlRTCLEQCL=$F131),0))</f>
        <v>CENT_AIR</v>
      </c>
      <c r="X131" s="153" t="str">
        <f t="array" ref="X131">INDEX(xlRTTYNAME,MATCH(1,(xlRTTYENDU=1)*(xlRTTYEQCL=$D131)*(xlRTEQTYPE=$E131),0))</f>
        <v>LPG_FA1</v>
      </c>
      <c r="Y131" s="153" t="str">
        <f t="array" ref="Y131">INDEX(xlRTTYNAME,MATCH(1,(xlRTTYENDU=2)*(xlRTTYEQCL=$F131)*(xlRTEQTYPE=$G131),0))</f>
        <v>CENT_AIR1</v>
      </c>
    </row>
    <row r="132" spans="2:25" x14ac:dyDescent="0.2">
      <c r="B132" s="126">
        <v>9</v>
      </c>
      <c r="C132" s="126">
        <v>1</v>
      </c>
      <c r="D132" s="126">
        <v>6</v>
      </c>
      <c r="E132" s="126">
        <v>18</v>
      </c>
      <c r="F132" s="126">
        <v>2</v>
      </c>
      <c r="G132" s="126">
        <v>6</v>
      </c>
      <c r="H132" s="126">
        <v>2023</v>
      </c>
      <c r="I132" s="126">
        <v>2050</v>
      </c>
      <c r="J132" s="127">
        <v>1.0781000000000001</v>
      </c>
      <c r="K132" s="127">
        <v>1.0707</v>
      </c>
      <c r="L132" s="127">
        <v>1.1246</v>
      </c>
      <c r="M132" s="127">
        <v>1.1204000000000001</v>
      </c>
      <c r="N132" s="127">
        <v>1.0339</v>
      </c>
      <c r="O132" s="127">
        <v>1.0538000000000001</v>
      </c>
      <c r="P132" s="126">
        <v>0</v>
      </c>
      <c r="Q132" s="128">
        <f t="array" ref="Q132">SUM(IF(($S132&gt;=4)*($C132='TaxCred&amp;Subs'!$D$123:$D$127)*($H132='TaxCred&amp;Subs'!$C$123:$C$127)*($H132&lt;='TaxCred&amp;Subs'!$C$129),'TaxCred&amp;Subs'!$E$123:$E$127,0))</f>
        <v>0</v>
      </c>
      <c r="R132" s="174">
        <v>0</v>
      </c>
      <c r="S132" s="126">
        <v>1</v>
      </c>
      <c r="T132" s="126" t="s">
        <v>223</v>
      </c>
      <c r="U132" s="158"/>
      <c r="V132" s="153" t="str">
        <f t="array" ref="V132">INDEX(xlRTCLNAME,MATCH(1,(xlRTCLENDU=1)*(xlRTCLEQCL=$D132),0))</f>
        <v>LPG_FA</v>
      </c>
      <c r="W132" s="153" t="str">
        <f t="array" ref="W132">INDEX(xlRTCLNAME,MATCH(1,(xlRTCLENDU=2)*(xlRTCLEQCL=$F132),0))</f>
        <v>CENT_AIR</v>
      </c>
      <c r="X132" s="153" t="str">
        <f t="array" ref="X132">INDEX(xlRTTYNAME,MATCH(1,(xlRTTYENDU=1)*(xlRTTYEQCL=$D132)*(xlRTEQTYPE=$E132),0))</f>
        <v>LPG_FA1</v>
      </c>
      <c r="Y132" s="153" t="str">
        <f t="array" ref="Y132">INDEX(xlRTTYNAME,MATCH(1,(xlRTTYENDU=2)*(xlRTTYEQCL=$F132)*(xlRTEQTYPE=$G132),0))</f>
        <v>CENT_AIR2</v>
      </c>
    </row>
    <row r="133" spans="2:25" x14ac:dyDescent="0.2">
      <c r="B133" s="126">
        <v>1</v>
      </c>
      <c r="C133" s="126">
        <v>1</v>
      </c>
      <c r="D133" s="126">
        <v>7</v>
      </c>
      <c r="E133" s="126">
        <v>22</v>
      </c>
      <c r="F133" s="126">
        <v>2</v>
      </c>
      <c r="G133" s="126">
        <v>5</v>
      </c>
      <c r="H133" s="126">
        <v>2016</v>
      </c>
      <c r="I133" s="126">
        <v>2022</v>
      </c>
      <c r="J133" s="127">
        <v>1.0309999999999999</v>
      </c>
      <c r="K133" s="127">
        <v>1.0667</v>
      </c>
      <c r="L133" s="127">
        <v>0.88929999999999998</v>
      </c>
      <c r="M133" s="127">
        <v>1.0285</v>
      </c>
      <c r="N133" s="127">
        <v>0.79790000000000005</v>
      </c>
      <c r="O133" s="127">
        <v>1.0538000000000001</v>
      </c>
      <c r="P133" s="126">
        <v>0</v>
      </c>
      <c r="Q133" s="128">
        <f t="array" ref="Q133">SUM(IF(($S133&gt;=4)*($C133='TaxCred&amp;Subs'!$D$123:$D$127)*($H133='TaxCred&amp;Subs'!$C$123:$C$127)*($H133&lt;='TaxCred&amp;Subs'!$C$129),'TaxCred&amp;Subs'!$E$123:$E$127,0))</f>
        <v>0</v>
      </c>
      <c r="R133" s="174">
        <v>0</v>
      </c>
      <c r="S133" s="126">
        <v>1</v>
      </c>
      <c r="T133" s="126" t="s">
        <v>223</v>
      </c>
      <c r="U133" s="158"/>
      <c r="V133" s="153" t="str">
        <f t="array" ref="V133">INDEX(xlRTCLNAME,MATCH(1,(xlRTCLENDU=1)*(xlRTCLEQCL=$D133),0))</f>
        <v>DIST_FA</v>
      </c>
      <c r="W133" s="153" t="str">
        <f t="array" ref="W133">INDEX(xlRTCLNAME,MATCH(1,(xlRTCLENDU=2)*(xlRTCLEQCL=$F133),0))</f>
        <v>CENT_AIR</v>
      </c>
      <c r="X133" s="153" t="str">
        <f t="array" ref="X133">INDEX(xlRTTYNAME,MATCH(1,(xlRTTYENDU=1)*(xlRTTYEQCL=$D133)*(xlRTEQTYPE=$E133),0))</f>
        <v>DIST_FA1</v>
      </c>
      <c r="Y133" s="153" t="str">
        <f t="array" ref="Y133">INDEX(xlRTTYNAME,MATCH(1,(xlRTTYENDU=2)*(xlRTTYEQCL=$F133)*(xlRTEQTYPE=$G133),0))</f>
        <v>CENT_AIR1</v>
      </c>
    </row>
    <row r="134" spans="2:25" x14ac:dyDescent="0.2">
      <c r="B134" s="126">
        <v>1</v>
      </c>
      <c r="C134" s="126">
        <v>1</v>
      </c>
      <c r="D134" s="126">
        <v>7</v>
      </c>
      <c r="E134" s="126">
        <v>22</v>
      </c>
      <c r="F134" s="126">
        <v>2</v>
      </c>
      <c r="G134" s="126">
        <v>6</v>
      </c>
      <c r="H134" s="126">
        <v>2023</v>
      </c>
      <c r="I134" s="126">
        <v>2050</v>
      </c>
      <c r="J134" s="127">
        <v>1.0309999999999999</v>
      </c>
      <c r="K134" s="127">
        <v>1.0667</v>
      </c>
      <c r="L134" s="127">
        <v>0.88929999999999998</v>
      </c>
      <c r="M134" s="127">
        <v>1.0285</v>
      </c>
      <c r="N134" s="127">
        <v>0.79790000000000005</v>
      </c>
      <c r="O134" s="127">
        <v>1.0538000000000001</v>
      </c>
      <c r="P134" s="126">
        <v>0</v>
      </c>
      <c r="Q134" s="128">
        <f t="array" ref="Q134">SUM(IF(($S134&gt;=4)*($C134='TaxCred&amp;Subs'!$D$123:$D$127)*($H134='TaxCred&amp;Subs'!$C$123:$C$127)*($H134&lt;='TaxCred&amp;Subs'!$C$129),'TaxCred&amp;Subs'!$E$123:$E$127,0))</f>
        <v>0</v>
      </c>
      <c r="R134" s="174">
        <v>0</v>
      </c>
      <c r="S134" s="126">
        <v>1</v>
      </c>
      <c r="T134" s="126" t="s">
        <v>223</v>
      </c>
      <c r="U134" s="158"/>
      <c r="V134" s="153" t="str">
        <f t="array" ref="V134">INDEX(xlRTCLNAME,MATCH(1,(xlRTCLENDU=1)*(xlRTCLEQCL=$D134),0))</f>
        <v>DIST_FA</v>
      </c>
      <c r="W134" s="153" t="str">
        <f t="array" ref="W134">INDEX(xlRTCLNAME,MATCH(1,(xlRTCLENDU=2)*(xlRTCLEQCL=$F134),0))</f>
        <v>CENT_AIR</v>
      </c>
      <c r="X134" s="153" t="str">
        <f t="array" ref="X134">INDEX(xlRTTYNAME,MATCH(1,(xlRTTYENDU=1)*(xlRTTYEQCL=$D134)*(xlRTEQTYPE=$E134),0))</f>
        <v>DIST_FA1</v>
      </c>
      <c r="Y134" s="153" t="str">
        <f t="array" ref="Y134">INDEX(xlRTTYNAME,MATCH(1,(xlRTTYENDU=2)*(xlRTTYEQCL=$F134)*(xlRTEQTYPE=$G134),0))</f>
        <v>CENT_AIR2</v>
      </c>
    </row>
    <row r="135" spans="2:25" x14ac:dyDescent="0.2">
      <c r="B135" s="126">
        <v>2</v>
      </c>
      <c r="C135" s="126">
        <v>1</v>
      </c>
      <c r="D135" s="126">
        <v>7</v>
      </c>
      <c r="E135" s="126">
        <v>22</v>
      </c>
      <c r="F135" s="126">
        <v>2</v>
      </c>
      <c r="G135" s="126">
        <v>5</v>
      </c>
      <c r="H135" s="126">
        <v>2016</v>
      </c>
      <c r="I135" s="126">
        <v>2022</v>
      </c>
      <c r="J135" s="127">
        <v>1.0772999999999999</v>
      </c>
      <c r="K135" s="127">
        <v>1.0758000000000001</v>
      </c>
      <c r="L135" s="127">
        <v>1.0037</v>
      </c>
      <c r="M135" s="127">
        <v>0.95550000000000002</v>
      </c>
      <c r="N135" s="127">
        <v>0.93169999999999997</v>
      </c>
      <c r="O135" s="127">
        <v>1.0538000000000001</v>
      </c>
      <c r="P135" s="126">
        <v>0</v>
      </c>
      <c r="Q135" s="128">
        <f t="array" ref="Q135">SUM(IF(($S135&gt;=4)*($C135='TaxCred&amp;Subs'!$D$123:$D$127)*($H135='TaxCred&amp;Subs'!$C$123:$C$127)*($H135&lt;='TaxCred&amp;Subs'!$C$129),'TaxCred&amp;Subs'!$E$123:$E$127,0))</f>
        <v>0</v>
      </c>
      <c r="R135" s="174">
        <v>0</v>
      </c>
      <c r="S135" s="126">
        <v>1</v>
      </c>
      <c r="T135" s="126" t="s">
        <v>223</v>
      </c>
      <c r="U135" s="158"/>
      <c r="V135" s="153" t="str">
        <f t="array" ref="V135">INDEX(xlRTCLNAME,MATCH(1,(xlRTCLENDU=1)*(xlRTCLEQCL=$D135),0))</f>
        <v>DIST_FA</v>
      </c>
      <c r="W135" s="153" t="str">
        <f t="array" ref="W135">INDEX(xlRTCLNAME,MATCH(1,(xlRTCLENDU=2)*(xlRTCLEQCL=$F135),0))</f>
        <v>CENT_AIR</v>
      </c>
      <c r="X135" s="153" t="str">
        <f t="array" ref="X135">INDEX(xlRTTYNAME,MATCH(1,(xlRTTYENDU=1)*(xlRTTYEQCL=$D135)*(xlRTEQTYPE=$E135),0))</f>
        <v>DIST_FA1</v>
      </c>
      <c r="Y135" s="153" t="str">
        <f t="array" ref="Y135">INDEX(xlRTTYNAME,MATCH(1,(xlRTTYENDU=2)*(xlRTTYEQCL=$F135)*(xlRTEQTYPE=$G135),0))</f>
        <v>CENT_AIR1</v>
      </c>
    </row>
    <row r="136" spans="2:25" x14ac:dyDescent="0.2">
      <c r="B136" s="126">
        <v>2</v>
      </c>
      <c r="C136" s="126">
        <v>1</v>
      </c>
      <c r="D136" s="126">
        <v>7</v>
      </c>
      <c r="E136" s="126">
        <v>22</v>
      </c>
      <c r="F136" s="126">
        <v>2</v>
      </c>
      <c r="G136" s="126">
        <v>6</v>
      </c>
      <c r="H136" s="126">
        <v>2023</v>
      </c>
      <c r="I136" s="126">
        <v>2050</v>
      </c>
      <c r="J136" s="127">
        <v>1.0772999999999999</v>
      </c>
      <c r="K136" s="127">
        <v>1.0758000000000001</v>
      </c>
      <c r="L136" s="127">
        <v>1.0037</v>
      </c>
      <c r="M136" s="127">
        <v>0.95550000000000002</v>
      </c>
      <c r="N136" s="127">
        <v>0.93169999999999997</v>
      </c>
      <c r="O136" s="127">
        <v>1.0538000000000001</v>
      </c>
      <c r="P136" s="126">
        <v>0</v>
      </c>
      <c r="Q136" s="128">
        <f t="array" ref="Q136">SUM(IF(($S136&gt;=4)*($C136='TaxCred&amp;Subs'!$D$123:$D$127)*($H136='TaxCred&amp;Subs'!$C$123:$C$127)*($H136&lt;='TaxCred&amp;Subs'!$C$129),'TaxCred&amp;Subs'!$E$123:$E$127,0))</f>
        <v>0</v>
      </c>
      <c r="R136" s="174">
        <v>0</v>
      </c>
      <c r="S136" s="126">
        <v>1</v>
      </c>
      <c r="T136" s="126" t="s">
        <v>223</v>
      </c>
      <c r="U136" s="158"/>
      <c r="V136" s="153" t="str">
        <f t="array" ref="V136">INDEX(xlRTCLNAME,MATCH(1,(xlRTCLENDU=1)*(xlRTCLEQCL=$D136),0))</f>
        <v>DIST_FA</v>
      </c>
      <c r="W136" s="153" t="str">
        <f t="array" ref="W136">INDEX(xlRTCLNAME,MATCH(1,(xlRTCLENDU=2)*(xlRTCLEQCL=$F136),0))</f>
        <v>CENT_AIR</v>
      </c>
      <c r="X136" s="153" t="str">
        <f t="array" ref="X136">INDEX(xlRTTYNAME,MATCH(1,(xlRTTYENDU=1)*(xlRTTYEQCL=$D136)*(xlRTEQTYPE=$E136),0))</f>
        <v>DIST_FA1</v>
      </c>
      <c r="Y136" s="153" t="str">
        <f t="array" ref="Y136">INDEX(xlRTTYNAME,MATCH(1,(xlRTTYENDU=2)*(xlRTTYEQCL=$F136)*(xlRTEQTYPE=$G136),0))</f>
        <v>CENT_AIR2</v>
      </c>
    </row>
    <row r="137" spans="2:25" x14ac:dyDescent="0.2">
      <c r="B137" s="126">
        <v>3</v>
      </c>
      <c r="C137" s="126">
        <v>1</v>
      </c>
      <c r="D137" s="126">
        <v>7</v>
      </c>
      <c r="E137" s="126">
        <v>22</v>
      </c>
      <c r="F137" s="126">
        <v>2</v>
      </c>
      <c r="G137" s="126">
        <v>5</v>
      </c>
      <c r="H137" s="126">
        <v>2016</v>
      </c>
      <c r="I137" s="126">
        <v>2022</v>
      </c>
      <c r="J137" s="127">
        <v>1.0842000000000001</v>
      </c>
      <c r="K137" s="127">
        <v>1.0577000000000001</v>
      </c>
      <c r="L137" s="127">
        <v>0.92769999999999997</v>
      </c>
      <c r="M137" s="127">
        <v>0.9627</v>
      </c>
      <c r="N137" s="127">
        <v>0.91220000000000001</v>
      </c>
      <c r="O137" s="127">
        <v>1.0538000000000001</v>
      </c>
      <c r="P137" s="126">
        <v>0</v>
      </c>
      <c r="Q137" s="128">
        <f t="array" ref="Q137">SUM(IF(($S137&gt;=4)*($C137='TaxCred&amp;Subs'!$D$123:$D$127)*($H137='TaxCred&amp;Subs'!$C$123:$C$127)*($H137&lt;='TaxCred&amp;Subs'!$C$129),'TaxCred&amp;Subs'!$E$123:$E$127,0))</f>
        <v>0</v>
      </c>
      <c r="R137" s="174">
        <v>0</v>
      </c>
      <c r="S137" s="126">
        <v>1</v>
      </c>
      <c r="T137" s="126" t="s">
        <v>223</v>
      </c>
      <c r="U137" s="158"/>
      <c r="V137" s="153" t="str">
        <f t="array" ref="V137">INDEX(xlRTCLNAME,MATCH(1,(xlRTCLENDU=1)*(xlRTCLEQCL=$D137),0))</f>
        <v>DIST_FA</v>
      </c>
      <c r="W137" s="153" t="str">
        <f t="array" ref="W137">INDEX(xlRTCLNAME,MATCH(1,(xlRTCLENDU=2)*(xlRTCLEQCL=$F137),0))</f>
        <v>CENT_AIR</v>
      </c>
      <c r="X137" s="153" t="str">
        <f t="array" ref="X137">INDEX(xlRTTYNAME,MATCH(1,(xlRTTYENDU=1)*(xlRTTYEQCL=$D137)*(xlRTEQTYPE=$E137),0))</f>
        <v>DIST_FA1</v>
      </c>
      <c r="Y137" s="153" t="str">
        <f t="array" ref="Y137">INDEX(xlRTTYNAME,MATCH(1,(xlRTTYENDU=2)*(xlRTTYEQCL=$F137)*(xlRTEQTYPE=$G137),0))</f>
        <v>CENT_AIR1</v>
      </c>
    </row>
    <row r="138" spans="2:25" x14ac:dyDescent="0.2">
      <c r="B138" s="126">
        <v>3</v>
      </c>
      <c r="C138" s="126">
        <v>1</v>
      </c>
      <c r="D138" s="126">
        <v>7</v>
      </c>
      <c r="E138" s="126">
        <v>22</v>
      </c>
      <c r="F138" s="126">
        <v>2</v>
      </c>
      <c r="G138" s="126">
        <v>6</v>
      </c>
      <c r="H138" s="126">
        <v>2023</v>
      </c>
      <c r="I138" s="126">
        <v>2050</v>
      </c>
      <c r="J138" s="127">
        <v>1.0842000000000001</v>
      </c>
      <c r="K138" s="127">
        <v>1.0577000000000001</v>
      </c>
      <c r="L138" s="127">
        <v>0.92769999999999997</v>
      </c>
      <c r="M138" s="127">
        <v>0.9627</v>
      </c>
      <c r="N138" s="127">
        <v>0.91220000000000001</v>
      </c>
      <c r="O138" s="127">
        <v>1.0538000000000001</v>
      </c>
      <c r="P138" s="126">
        <v>0</v>
      </c>
      <c r="Q138" s="128">
        <f t="array" ref="Q138">SUM(IF(($S138&gt;=4)*($C138='TaxCred&amp;Subs'!$D$123:$D$127)*($H138='TaxCred&amp;Subs'!$C$123:$C$127)*($H138&lt;='TaxCred&amp;Subs'!$C$129),'TaxCred&amp;Subs'!$E$123:$E$127,0))</f>
        <v>0</v>
      </c>
      <c r="R138" s="174">
        <v>0</v>
      </c>
      <c r="S138" s="126">
        <v>1</v>
      </c>
      <c r="T138" s="126" t="s">
        <v>223</v>
      </c>
      <c r="U138" s="158"/>
      <c r="V138" s="153" t="str">
        <f t="array" ref="V138">INDEX(xlRTCLNAME,MATCH(1,(xlRTCLENDU=1)*(xlRTCLEQCL=$D138),0))</f>
        <v>DIST_FA</v>
      </c>
      <c r="W138" s="153" t="str">
        <f t="array" ref="W138">INDEX(xlRTCLNAME,MATCH(1,(xlRTCLENDU=2)*(xlRTCLEQCL=$F138),0))</f>
        <v>CENT_AIR</v>
      </c>
      <c r="X138" s="153" t="str">
        <f t="array" ref="X138">INDEX(xlRTTYNAME,MATCH(1,(xlRTTYENDU=1)*(xlRTTYEQCL=$D138)*(xlRTEQTYPE=$E138),0))</f>
        <v>DIST_FA1</v>
      </c>
      <c r="Y138" s="153" t="str">
        <f t="array" ref="Y138">INDEX(xlRTTYNAME,MATCH(1,(xlRTTYENDU=2)*(xlRTTYEQCL=$F138)*(xlRTEQTYPE=$G138),0))</f>
        <v>CENT_AIR2</v>
      </c>
    </row>
    <row r="139" spans="2:25" x14ac:dyDescent="0.2">
      <c r="B139" s="126">
        <v>4</v>
      </c>
      <c r="C139" s="126">
        <v>1</v>
      </c>
      <c r="D139" s="126">
        <v>7</v>
      </c>
      <c r="E139" s="126">
        <v>22</v>
      </c>
      <c r="F139" s="126">
        <v>2</v>
      </c>
      <c r="G139" s="126">
        <v>5</v>
      </c>
      <c r="H139" s="126">
        <v>2016</v>
      </c>
      <c r="I139" s="126">
        <v>2022</v>
      </c>
      <c r="J139" s="127">
        <v>1.0342</v>
      </c>
      <c r="K139" s="127">
        <v>1.0769</v>
      </c>
      <c r="L139" s="127">
        <v>0.87739999999999996</v>
      </c>
      <c r="M139" s="127">
        <v>0.87319999999999998</v>
      </c>
      <c r="N139" s="127">
        <v>0.85760000000000003</v>
      </c>
      <c r="O139" s="127">
        <v>1.0538000000000001</v>
      </c>
      <c r="P139" s="126">
        <v>0</v>
      </c>
      <c r="Q139" s="128">
        <f t="array" ref="Q139">SUM(IF(($S139&gt;=4)*($C139='TaxCred&amp;Subs'!$D$123:$D$127)*($H139='TaxCred&amp;Subs'!$C$123:$C$127)*($H139&lt;='TaxCred&amp;Subs'!$C$129),'TaxCred&amp;Subs'!$E$123:$E$127,0))</f>
        <v>0</v>
      </c>
      <c r="R139" s="174">
        <v>0</v>
      </c>
      <c r="S139" s="126">
        <v>1</v>
      </c>
      <c r="T139" s="126" t="s">
        <v>223</v>
      </c>
      <c r="U139" s="158"/>
      <c r="V139" s="153" t="str">
        <f t="array" ref="V139">INDEX(xlRTCLNAME,MATCH(1,(xlRTCLENDU=1)*(xlRTCLEQCL=$D139),0))</f>
        <v>DIST_FA</v>
      </c>
      <c r="W139" s="153" t="str">
        <f t="array" ref="W139">INDEX(xlRTCLNAME,MATCH(1,(xlRTCLENDU=2)*(xlRTCLEQCL=$F139),0))</f>
        <v>CENT_AIR</v>
      </c>
      <c r="X139" s="153" t="str">
        <f t="array" ref="X139">INDEX(xlRTTYNAME,MATCH(1,(xlRTTYENDU=1)*(xlRTTYEQCL=$D139)*(xlRTEQTYPE=$E139),0))</f>
        <v>DIST_FA1</v>
      </c>
      <c r="Y139" s="153" t="str">
        <f t="array" ref="Y139">INDEX(xlRTTYNAME,MATCH(1,(xlRTTYENDU=2)*(xlRTTYEQCL=$F139)*(xlRTEQTYPE=$G139),0))</f>
        <v>CENT_AIR1</v>
      </c>
    </row>
    <row r="140" spans="2:25" x14ac:dyDescent="0.2">
      <c r="B140" s="126">
        <v>4</v>
      </c>
      <c r="C140" s="126">
        <v>1</v>
      </c>
      <c r="D140" s="126">
        <v>7</v>
      </c>
      <c r="E140" s="126">
        <v>22</v>
      </c>
      <c r="F140" s="126">
        <v>2</v>
      </c>
      <c r="G140" s="126">
        <v>6</v>
      </c>
      <c r="H140" s="126">
        <v>2023</v>
      </c>
      <c r="I140" s="126">
        <v>2050</v>
      </c>
      <c r="J140" s="127">
        <v>1.0342</v>
      </c>
      <c r="K140" s="127">
        <v>1.0769</v>
      </c>
      <c r="L140" s="127">
        <v>0.87739999999999996</v>
      </c>
      <c r="M140" s="127">
        <v>0.87319999999999998</v>
      </c>
      <c r="N140" s="127">
        <v>0.85760000000000003</v>
      </c>
      <c r="O140" s="127">
        <v>1.0538000000000001</v>
      </c>
      <c r="P140" s="126">
        <v>0</v>
      </c>
      <c r="Q140" s="128">
        <f t="array" ref="Q140">SUM(IF(($S140&gt;=4)*($C140='TaxCred&amp;Subs'!$D$123:$D$127)*($H140='TaxCred&amp;Subs'!$C$123:$C$127)*($H140&lt;='TaxCred&amp;Subs'!$C$129),'TaxCred&amp;Subs'!$E$123:$E$127,0))</f>
        <v>0</v>
      </c>
      <c r="R140" s="174">
        <v>0</v>
      </c>
      <c r="S140" s="126">
        <v>1</v>
      </c>
      <c r="T140" s="126" t="s">
        <v>223</v>
      </c>
      <c r="U140" s="158"/>
      <c r="V140" s="153" t="str">
        <f t="array" ref="V140">INDEX(xlRTCLNAME,MATCH(1,(xlRTCLENDU=1)*(xlRTCLEQCL=$D140),0))</f>
        <v>DIST_FA</v>
      </c>
      <c r="W140" s="153" t="str">
        <f t="array" ref="W140">INDEX(xlRTCLNAME,MATCH(1,(xlRTCLENDU=2)*(xlRTCLEQCL=$F140),0))</f>
        <v>CENT_AIR</v>
      </c>
      <c r="X140" s="153" t="str">
        <f t="array" ref="X140">INDEX(xlRTTYNAME,MATCH(1,(xlRTTYENDU=1)*(xlRTTYEQCL=$D140)*(xlRTEQTYPE=$E140),0))</f>
        <v>DIST_FA1</v>
      </c>
      <c r="Y140" s="153" t="str">
        <f t="array" ref="Y140">INDEX(xlRTTYNAME,MATCH(1,(xlRTTYENDU=2)*(xlRTTYEQCL=$F140)*(xlRTEQTYPE=$G140),0))</f>
        <v>CENT_AIR2</v>
      </c>
    </row>
    <row r="141" spans="2:25" x14ac:dyDescent="0.2">
      <c r="B141" s="126">
        <v>5</v>
      </c>
      <c r="C141" s="126">
        <v>1</v>
      </c>
      <c r="D141" s="126">
        <v>7</v>
      </c>
      <c r="E141" s="126">
        <v>22</v>
      </c>
      <c r="F141" s="126">
        <v>2</v>
      </c>
      <c r="G141" s="126">
        <v>5</v>
      </c>
      <c r="H141" s="126">
        <v>2016</v>
      </c>
      <c r="I141" s="126">
        <v>2022</v>
      </c>
      <c r="J141" s="127">
        <v>1.0847</v>
      </c>
      <c r="K141" s="127">
        <v>1.056</v>
      </c>
      <c r="L141" s="127">
        <v>0.90920000000000001</v>
      </c>
      <c r="M141" s="127">
        <v>1.0934999999999999</v>
      </c>
      <c r="N141" s="127">
        <v>0.76280000000000003</v>
      </c>
      <c r="O141" s="127">
        <v>1.0538000000000001</v>
      </c>
      <c r="P141" s="126">
        <v>0</v>
      </c>
      <c r="Q141" s="128">
        <f t="array" ref="Q141">SUM(IF(($S141&gt;=4)*($C141='TaxCred&amp;Subs'!$D$123:$D$127)*($H141='TaxCred&amp;Subs'!$C$123:$C$127)*($H141&lt;='TaxCred&amp;Subs'!$C$129),'TaxCred&amp;Subs'!$E$123:$E$127,0))</f>
        <v>0</v>
      </c>
      <c r="R141" s="174">
        <v>0</v>
      </c>
      <c r="S141" s="126">
        <v>1</v>
      </c>
      <c r="T141" s="126" t="s">
        <v>223</v>
      </c>
      <c r="U141" s="158"/>
      <c r="V141" s="153" t="str">
        <f t="array" ref="V141">INDEX(xlRTCLNAME,MATCH(1,(xlRTCLENDU=1)*(xlRTCLEQCL=$D141),0))</f>
        <v>DIST_FA</v>
      </c>
      <c r="W141" s="153" t="str">
        <f t="array" ref="W141">INDEX(xlRTCLNAME,MATCH(1,(xlRTCLENDU=2)*(xlRTCLEQCL=$F141),0))</f>
        <v>CENT_AIR</v>
      </c>
      <c r="X141" s="153" t="str">
        <f t="array" ref="X141">INDEX(xlRTTYNAME,MATCH(1,(xlRTTYENDU=1)*(xlRTTYEQCL=$D141)*(xlRTEQTYPE=$E141),0))</f>
        <v>DIST_FA1</v>
      </c>
      <c r="Y141" s="153" t="str">
        <f t="array" ref="Y141">INDEX(xlRTTYNAME,MATCH(1,(xlRTTYENDU=2)*(xlRTTYEQCL=$F141)*(xlRTEQTYPE=$G141),0))</f>
        <v>CENT_AIR1</v>
      </c>
    </row>
    <row r="142" spans="2:25" x14ac:dyDescent="0.2">
      <c r="B142" s="126">
        <v>5</v>
      </c>
      <c r="C142" s="126">
        <v>1</v>
      </c>
      <c r="D142" s="126">
        <v>7</v>
      </c>
      <c r="E142" s="126">
        <v>22</v>
      </c>
      <c r="F142" s="126">
        <v>2</v>
      </c>
      <c r="G142" s="126">
        <v>6</v>
      </c>
      <c r="H142" s="126">
        <v>2023</v>
      </c>
      <c r="I142" s="126">
        <v>2050</v>
      </c>
      <c r="J142" s="127">
        <v>1.0847</v>
      </c>
      <c r="K142" s="127">
        <v>1.056</v>
      </c>
      <c r="L142" s="127">
        <v>0.90920000000000001</v>
      </c>
      <c r="M142" s="127">
        <v>1.0934999999999999</v>
      </c>
      <c r="N142" s="127">
        <v>0.76280000000000003</v>
      </c>
      <c r="O142" s="127">
        <v>1.0538000000000001</v>
      </c>
      <c r="P142" s="126">
        <v>0</v>
      </c>
      <c r="Q142" s="128">
        <f t="array" ref="Q142">SUM(IF(($S142&gt;=4)*($C142='TaxCred&amp;Subs'!$D$123:$D$127)*($H142='TaxCred&amp;Subs'!$C$123:$C$127)*($H142&lt;='TaxCred&amp;Subs'!$C$129),'TaxCred&amp;Subs'!$E$123:$E$127,0))</f>
        <v>0</v>
      </c>
      <c r="R142" s="174">
        <v>0</v>
      </c>
      <c r="S142" s="126">
        <v>1</v>
      </c>
      <c r="T142" s="126" t="s">
        <v>223</v>
      </c>
      <c r="U142" s="158"/>
      <c r="V142" s="153" t="str">
        <f t="array" ref="V142">INDEX(xlRTCLNAME,MATCH(1,(xlRTCLENDU=1)*(xlRTCLEQCL=$D142),0))</f>
        <v>DIST_FA</v>
      </c>
      <c r="W142" s="153" t="str">
        <f t="array" ref="W142">INDEX(xlRTCLNAME,MATCH(1,(xlRTCLENDU=2)*(xlRTCLEQCL=$F142),0))</f>
        <v>CENT_AIR</v>
      </c>
      <c r="X142" s="153" t="str">
        <f t="array" ref="X142">INDEX(xlRTTYNAME,MATCH(1,(xlRTTYENDU=1)*(xlRTTYEQCL=$D142)*(xlRTEQTYPE=$E142),0))</f>
        <v>DIST_FA1</v>
      </c>
      <c r="Y142" s="153" t="str">
        <f t="array" ref="Y142">INDEX(xlRTTYNAME,MATCH(1,(xlRTTYENDU=2)*(xlRTTYEQCL=$F142)*(xlRTEQTYPE=$G142),0))</f>
        <v>CENT_AIR2</v>
      </c>
    </row>
    <row r="143" spans="2:25" x14ac:dyDescent="0.2">
      <c r="B143" s="126">
        <v>6</v>
      </c>
      <c r="C143" s="126">
        <v>1</v>
      </c>
      <c r="D143" s="126">
        <v>7</v>
      </c>
      <c r="E143" s="126">
        <v>22</v>
      </c>
      <c r="F143" s="126">
        <v>2</v>
      </c>
      <c r="G143" s="126">
        <v>5</v>
      </c>
      <c r="H143" s="126">
        <v>2016</v>
      </c>
      <c r="I143" s="126">
        <v>2022</v>
      </c>
      <c r="J143" s="127">
        <v>1.0907</v>
      </c>
      <c r="K143" s="127">
        <v>1.0603</v>
      </c>
      <c r="L143" s="127">
        <v>1.0303</v>
      </c>
      <c r="M143" s="127">
        <v>1.1335999999999999</v>
      </c>
      <c r="N143" s="127">
        <v>0.89139999999999997</v>
      </c>
      <c r="O143" s="127">
        <v>1.0538000000000001</v>
      </c>
      <c r="P143" s="126">
        <v>0</v>
      </c>
      <c r="Q143" s="128">
        <f t="array" ref="Q143">SUM(IF(($S143&gt;=4)*($C143='TaxCred&amp;Subs'!$D$123:$D$127)*($H143='TaxCred&amp;Subs'!$C$123:$C$127)*($H143&lt;='TaxCred&amp;Subs'!$C$129),'TaxCred&amp;Subs'!$E$123:$E$127,0))</f>
        <v>0</v>
      </c>
      <c r="R143" s="174">
        <v>0</v>
      </c>
      <c r="S143" s="126">
        <v>1</v>
      </c>
      <c r="T143" s="126" t="s">
        <v>223</v>
      </c>
      <c r="U143" s="158"/>
      <c r="V143" s="153" t="str">
        <f t="array" ref="V143">INDEX(xlRTCLNAME,MATCH(1,(xlRTCLENDU=1)*(xlRTCLEQCL=$D143),0))</f>
        <v>DIST_FA</v>
      </c>
      <c r="W143" s="153" t="str">
        <f t="array" ref="W143">INDEX(xlRTCLNAME,MATCH(1,(xlRTCLENDU=2)*(xlRTCLEQCL=$F143),0))</f>
        <v>CENT_AIR</v>
      </c>
      <c r="X143" s="153" t="str">
        <f t="array" ref="X143">INDEX(xlRTTYNAME,MATCH(1,(xlRTTYENDU=1)*(xlRTTYEQCL=$D143)*(xlRTEQTYPE=$E143),0))</f>
        <v>DIST_FA1</v>
      </c>
      <c r="Y143" s="153" t="str">
        <f t="array" ref="Y143">INDEX(xlRTTYNAME,MATCH(1,(xlRTTYENDU=2)*(xlRTTYEQCL=$F143)*(xlRTEQTYPE=$G143),0))</f>
        <v>CENT_AIR1</v>
      </c>
    </row>
    <row r="144" spans="2:25" x14ac:dyDescent="0.2">
      <c r="B144" s="126">
        <v>6</v>
      </c>
      <c r="C144" s="126">
        <v>1</v>
      </c>
      <c r="D144" s="126">
        <v>7</v>
      </c>
      <c r="E144" s="126">
        <v>22</v>
      </c>
      <c r="F144" s="126">
        <v>2</v>
      </c>
      <c r="G144" s="126">
        <v>6</v>
      </c>
      <c r="H144" s="126">
        <v>2023</v>
      </c>
      <c r="I144" s="126">
        <v>2050</v>
      </c>
      <c r="J144" s="127">
        <v>1.0907</v>
      </c>
      <c r="K144" s="127">
        <v>1.0603</v>
      </c>
      <c r="L144" s="127">
        <v>1.0303</v>
      </c>
      <c r="M144" s="127">
        <v>1.1335999999999999</v>
      </c>
      <c r="N144" s="127">
        <v>0.89139999999999997</v>
      </c>
      <c r="O144" s="127">
        <v>1.0538000000000001</v>
      </c>
      <c r="P144" s="126">
        <v>0</v>
      </c>
      <c r="Q144" s="128">
        <f t="array" ref="Q144">SUM(IF(($S144&gt;=4)*($C144='TaxCred&amp;Subs'!$D$123:$D$127)*($H144='TaxCred&amp;Subs'!$C$123:$C$127)*($H144&lt;='TaxCred&amp;Subs'!$C$129),'TaxCred&amp;Subs'!$E$123:$E$127,0))</f>
        <v>0</v>
      </c>
      <c r="R144" s="174">
        <v>0</v>
      </c>
      <c r="S144" s="126">
        <v>1</v>
      </c>
      <c r="T144" s="126" t="s">
        <v>223</v>
      </c>
      <c r="U144" s="158"/>
      <c r="V144" s="153" t="str">
        <f t="array" ref="V144">INDEX(xlRTCLNAME,MATCH(1,(xlRTCLENDU=1)*(xlRTCLEQCL=$D144),0))</f>
        <v>DIST_FA</v>
      </c>
      <c r="W144" s="153" t="str">
        <f t="array" ref="W144">INDEX(xlRTCLNAME,MATCH(1,(xlRTCLENDU=2)*(xlRTCLEQCL=$F144),0))</f>
        <v>CENT_AIR</v>
      </c>
      <c r="X144" s="153" t="str">
        <f t="array" ref="X144">INDEX(xlRTTYNAME,MATCH(1,(xlRTTYENDU=1)*(xlRTTYEQCL=$D144)*(xlRTEQTYPE=$E144),0))</f>
        <v>DIST_FA1</v>
      </c>
      <c r="Y144" s="153" t="str">
        <f t="array" ref="Y144">INDEX(xlRTTYNAME,MATCH(1,(xlRTTYENDU=2)*(xlRTTYEQCL=$F144)*(xlRTEQTYPE=$G144),0))</f>
        <v>CENT_AIR2</v>
      </c>
    </row>
    <row r="145" spans="2:25" x14ac:dyDescent="0.2">
      <c r="B145" s="126">
        <v>7</v>
      </c>
      <c r="C145" s="126">
        <v>1</v>
      </c>
      <c r="D145" s="126">
        <v>7</v>
      </c>
      <c r="E145" s="126">
        <v>22</v>
      </c>
      <c r="F145" s="126">
        <v>2</v>
      </c>
      <c r="G145" s="126">
        <v>5</v>
      </c>
      <c r="H145" s="126">
        <v>2016</v>
      </c>
      <c r="I145" s="126">
        <v>2022</v>
      </c>
      <c r="J145" s="127">
        <v>1.0885</v>
      </c>
      <c r="K145" s="127">
        <v>1.0575000000000001</v>
      </c>
      <c r="L145" s="127">
        <v>1.0466</v>
      </c>
      <c r="M145" s="127">
        <v>1.0382</v>
      </c>
      <c r="N145" s="127">
        <v>0.872</v>
      </c>
      <c r="O145" s="127">
        <v>1.0538000000000001</v>
      </c>
      <c r="P145" s="126">
        <v>0</v>
      </c>
      <c r="Q145" s="128">
        <f t="array" ref="Q145">SUM(IF(($S145&gt;=4)*($C145='TaxCred&amp;Subs'!$D$123:$D$127)*($H145='TaxCred&amp;Subs'!$C$123:$C$127)*($H145&lt;='TaxCred&amp;Subs'!$C$129),'TaxCred&amp;Subs'!$E$123:$E$127,0))</f>
        <v>0</v>
      </c>
      <c r="R145" s="174">
        <v>0</v>
      </c>
      <c r="S145" s="126">
        <v>1</v>
      </c>
      <c r="T145" s="126" t="s">
        <v>223</v>
      </c>
      <c r="U145" s="158"/>
      <c r="V145" s="153" t="str">
        <f t="array" ref="V145">INDEX(xlRTCLNAME,MATCH(1,(xlRTCLENDU=1)*(xlRTCLEQCL=$D145),0))</f>
        <v>DIST_FA</v>
      </c>
      <c r="W145" s="153" t="str">
        <f t="array" ref="W145">INDEX(xlRTCLNAME,MATCH(1,(xlRTCLENDU=2)*(xlRTCLEQCL=$F145),0))</f>
        <v>CENT_AIR</v>
      </c>
      <c r="X145" s="153" t="str">
        <f t="array" ref="X145">INDEX(xlRTTYNAME,MATCH(1,(xlRTTYENDU=1)*(xlRTTYEQCL=$D145)*(xlRTEQTYPE=$E145),0))</f>
        <v>DIST_FA1</v>
      </c>
      <c r="Y145" s="153" t="str">
        <f t="array" ref="Y145">INDEX(xlRTTYNAME,MATCH(1,(xlRTTYENDU=2)*(xlRTTYEQCL=$F145)*(xlRTEQTYPE=$G145),0))</f>
        <v>CENT_AIR1</v>
      </c>
    </row>
    <row r="146" spans="2:25" x14ac:dyDescent="0.2">
      <c r="B146" s="126">
        <v>7</v>
      </c>
      <c r="C146" s="126">
        <v>1</v>
      </c>
      <c r="D146" s="126">
        <v>7</v>
      </c>
      <c r="E146" s="126">
        <v>22</v>
      </c>
      <c r="F146" s="126">
        <v>2</v>
      </c>
      <c r="G146" s="126">
        <v>6</v>
      </c>
      <c r="H146" s="126">
        <v>2023</v>
      </c>
      <c r="I146" s="126">
        <v>2050</v>
      </c>
      <c r="J146" s="127">
        <v>1.0885</v>
      </c>
      <c r="K146" s="127">
        <v>1.0575000000000001</v>
      </c>
      <c r="L146" s="127">
        <v>1.0466</v>
      </c>
      <c r="M146" s="127">
        <v>1.0382</v>
      </c>
      <c r="N146" s="127">
        <v>0.872</v>
      </c>
      <c r="O146" s="127">
        <v>1.0538000000000001</v>
      </c>
      <c r="P146" s="126">
        <v>0</v>
      </c>
      <c r="Q146" s="128">
        <f t="array" ref="Q146">SUM(IF(($S146&gt;=4)*($C146='TaxCred&amp;Subs'!$D$123:$D$127)*($H146='TaxCred&amp;Subs'!$C$123:$C$127)*($H146&lt;='TaxCred&amp;Subs'!$C$129),'TaxCred&amp;Subs'!$E$123:$E$127,0))</f>
        <v>0</v>
      </c>
      <c r="R146" s="174">
        <v>0</v>
      </c>
      <c r="S146" s="126">
        <v>1</v>
      </c>
      <c r="T146" s="126" t="s">
        <v>223</v>
      </c>
      <c r="U146" s="158"/>
      <c r="V146" s="153" t="str">
        <f t="array" ref="V146">INDEX(xlRTCLNAME,MATCH(1,(xlRTCLENDU=1)*(xlRTCLEQCL=$D146),0))</f>
        <v>DIST_FA</v>
      </c>
      <c r="W146" s="153" t="str">
        <f t="array" ref="W146">INDEX(xlRTCLNAME,MATCH(1,(xlRTCLENDU=2)*(xlRTCLEQCL=$F146),0))</f>
        <v>CENT_AIR</v>
      </c>
      <c r="X146" s="153" t="str">
        <f t="array" ref="X146">INDEX(xlRTTYNAME,MATCH(1,(xlRTTYENDU=1)*(xlRTTYEQCL=$D146)*(xlRTEQTYPE=$E146),0))</f>
        <v>DIST_FA1</v>
      </c>
      <c r="Y146" s="153" t="str">
        <f t="array" ref="Y146">INDEX(xlRTTYNAME,MATCH(1,(xlRTTYENDU=2)*(xlRTTYEQCL=$F146)*(xlRTEQTYPE=$G146),0))</f>
        <v>CENT_AIR2</v>
      </c>
    </row>
    <row r="147" spans="2:25" x14ac:dyDescent="0.2">
      <c r="B147" s="126">
        <v>8</v>
      </c>
      <c r="C147" s="126">
        <v>1</v>
      </c>
      <c r="D147" s="126">
        <v>7</v>
      </c>
      <c r="E147" s="126">
        <v>22</v>
      </c>
      <c r="F147" s="126">
        <v>2</v>
      </c>
      <c r="G147" s="126">
        <v>5</v>
      </c>
      <c r="H147" s="126">
        <v>2016</v>
      </c>
      <c r="I147" s="126">
        <v>2022</v>
      </c>
      <c r="J147" s="127">
        <v>1.0838000000000001</v>
      </c>
      <c r="K147" s="127">
        <v>1.0832999999999999</v>
      </c>
      <c r="L147" s="127">
        <v>0.97750000000000004</v>
      </c>
      <c r="M147" s="127">
        <v>1.0076000000000001</v>
      </c>
      <c r="N147" s="127">
        <v>0.86950000000000005</v>
      </c>
      <c r="O147" s="127">
        <v>1.0538000000000001</v>
      </c>
      <c r="P147" s="126">
        <v>0</v>
      </c>
      <c r="Q147" s="128">
        <f t="array" ref="Q147">SUM(IF(($S147&gt;=4)*($C147='TaxCred&amp;Subs'!$D$123:$D$127)*($H147='TaxCred&amp;Subs'!$C$123:$C$127)*($H147&lt;='TaxCred&amp;Subs'!$C$129),'TaxCred&amp;Subs'!$E$123:$E$127,0))</f>
        <v>0</v>
      </c>
      <c r="R147" s="174">
        <v>0</v>
      </c>
      <c r="S147" s="126">
        <v>1</v>
      </c>
      <c r="T147" s="126" t="s">
        <v>223</v>
      </c>
      <c r="U147" s="158"/>
      <c r="V147" s="153" t="str">
        <f t="array" ref="V147">INDEX(xlRTCLNAME,MATCH(1,(xlRTCLENDU=1)*(xlRTCLEQCL=$D147),0))</f>
        <v>DIST_FA</v>
      </c>
      <c r="W147" s="153" t="str">
        <f t="array" ref="W147">INDEX(xlRTCLNAME,MATCH(1,(xlRTCLENDU=2)*(xlRTCLEQCL=$F147),0))</f>
        <v>CENT_AIR</v>
      </c>
      <c r="X147" s="153" t="str">
        <f t="array" ref="X147">INDEX(xlRTTYNAME,MATCH(1,(xlRTTYENDU=1)*(xlRTTYEQCL=$D147)*(xlRTEQTYPE=$E147),0))</f>
        <v>DIST_FA1</v>
      </c>
      <c r="Y147" s="153" t="str">
        <f t="array" ref="Y147">INDEX(xlRTTYNAME,MATCH(1,(xlRTTYENDU=2)*(xlRTTYEQCL=$F147)*(xlRTEQTYPE=$G147),0))</f>
        <v>CENT_AIR1</v>
      </c>
    </row>
    <row r="148" spans="2:25" x14ac:dyDescent="0.2">
      <c r="B148" s="126">
        <v>8</v>
      </c>
      <c r="C148" s="126">
        <v>1</v>
      </c>
      <c r="D148" s="126">
        <v>7</v>
      </c>
      <c r="E148" s="126">
        <v>22</v>
      </c>
      <c r="F148" s="126">
        <v>2</v>
      </c>
      <c r="G148" s="126">
        <v>6</v>
      </c>
      <c r="H148" s="126">
        <v>2023</v>
      </c>
      <c r="I148" s="126">
        <v>2050</v>
      </c>
      <c r="J148" s="127">
        <v>1.0838000000000001</v>
      </c>
      <c r="K148" s="127">
        <v>1.0832999999999999</v>
      </c>
      <c r="L148" s="127">
        <v>0.97750000000000004</v>
      </c>
      <c r="M148" s="127">
        <v>1.0076000000000001</v>
      </c>
      <c r="N148" s="127">
        <v>0.86950000000000005</v>
      </c>
      <c r="O148" s="127">
        <v>1.0538000000000001</v>
      </c>
      <c r="P148" s="126">
        <v>0</v>
      </c>
      <c r="Q148" s="128">
        <f t="array" ref="Q148">SUM(IF(($S148&gt;=4)*($C148='TaxCred&amp;Subs'!$D$123:$D$127)*($H148='TaxCred&amp;Subs'!$C$123:$C$127)*($H148&lt;='TaxCred&amp;Subs'!$C$129),'TaxCred&amp;Subs'!$E$123:$E$127,0))</f>
        <v>0</v>
      </c>
      <c r="R148" s="174">
        <v>0</v>
      </c>
      <c r="S148" s="126">
        <v>1</v>
      </c>
      <c r="T148" s="126" t="s">
        <v>223</v>
      </c>
      <c r="U148" s="158"/>
      <c r="V148" s="153" t="str">
        <f t="array" ref="V148">INDEX(xlRTCLNAME,MATCH(1,(xlRTCLENDU=1)*(xlRTCLEQCL=$D148),0))</f>
        <v>DIST_FA</v>
      </c>
      <c r="W148" s="153" t="str">
        <f t="array" ref="W148">INDEX(xlRTCLNAME,MATCH(1,(xlRTCLENDU=2)*(xlRTCLEQCL=$F148),0))</f>
        <v>CENT_AIR</v>
      </c>
      <c r="X148" s="153" t="str">
        <f t="array" ref="X148">INDEX(xlRTTYNAME,MATCH(1,(xlRTTYENDU=1)*(xlRTTYEQCL=$D148)*(xlRTEQTYPE=$E148),0))</f>
        <v>DIST_FA1</v>
      </c>
      <c r="Y148" s="153" t="str">
        <f t="array" ref="Y148">INDEX(xlRTTYNAME,MATCH(1,(xlRTTYENDU=2)*(xlRTTYEQCL=$F148)*(xlRTEQTYPE=$G148),0))</f>
        <v>CENT_AIR2</v>
      </c>
    </row>
    <row r="149" spans="2:25" x14ac:dyDescent="0.2">
      <c r="B149" s="126">
        <v>9</v>
      </c>
      <c r="C149" s="126">
        <v>1</v>
      </c>
      <c r="D149" s="126">
        <v>7</v>
      </c>
      <c r="E149" s="126">
        <v>22</v>
      </c>
      <c r="F149" s="126">
        <v>2</v>
      </c>
      <c r="G149" s="126">
        <v>5</v>
      </c>
      <c r="H149" s="126">
        <v>2016</v>
      </c>
      <c r="I149" s="126">
        <v>2022</v>
      </c>
      <c r="J149" s="127">
        <v>1.0790999999999999</v>
      </c>
      <c r="K149" s="127">
        <v>1.0722</v>
      </c>
      <c r="L149" s="127">
        <v>1.1240000000000001</v>
      </c>
      <c r="M149" s="127">
        <v>1.1204000000000001</v>
      </c>
      <c r="N149" s="127">
        <v>1.0336000000000001</v>
      </c>
      <c r="O149" s="127">
        <v>1.0538000000000001</v>
      </c>
      <c r="P149" s="126">
        <v>0</v>
      </c>
      <c r="Q149" s="128">
        <f t="array" ref="Q149">SUM(IF(($S149&gt;=4)*($C149='TaxCred&amp;Subs'!$D$123:$D$127)*($H149='TaxCred&amp;Subs'!$C$123:$C$127)*($H149&lt;='TaxCred&amp;Subs'!$C$129),'TaxCred&amp;Subs'!$E$123:$E$127,0))</f>
        <v>0</v>
      </c>
      <c r="R149" s="174">
        <v>0</v>
      </c>
      <c r="S149" s="126">
        <v>1</v>
      </c>
      <c r="T149" s="126" t="s">
        <v>223</v>
      </c>
      <c r="U149" s="158"/>
      <c r="V149" s="153" t="str">
        <f t="array" ref="V149">INDEX(xlRTCLNAME,MATCH(1,(xlRTCLENDU=1)*(xlRTCLEQCL=$D149),0))</f>
        <v>DIST_FA</v>
      </c>
      <c r="W149" s="153" t="str">
        <f t="array" ref="W149">INDEX(xlRTCLNAME,MATCH(1,(xlRTCLENDU=2)*(xlRTCLEQCL=$F149),0))</f>
        <v>CENT_AIR</v>
      </c>
      <c r="X149" s="153" t="str">
        <f t="array" ref="X149">INDEX(xlRTTYNAME,MATCH(1,(xlRTTYENDU=1)*(xlRTTYEQCL=$D149)*(xlRTEQTYPE=$E149),0))</f>
        <v>DIST_FA1</v>
      </c>
      <c r="Y149" s="153" t="str">
        <f t="array" ref="Y149">INDEX(xlRTTYNAME,MATCH(1,(xlRTTYENDU=2)*(xlRTTYEQCL=$F149)*(xlRTEQTYPE=$G149),0))</f>
        <v>CENT_AIR1</v>
      </c>
    </row>
    <row r="150" spans="2:25" x14ac:dyDescent="0.2">
      <c r="B150" s="126">
        <v>9</v>
      </c>
      <c r="C150" s="126">
        <v>1</v>
      </c>
      <c r="D150" s="126">
        <v>7</v>
      </c>
      <c r="E150" s="126">
        <v>22</v>
      </c>
      <c r="F150" s="126">
        <v>2</v>
      </c>
      <c r="G150" s="126">
        <v>6</v>
      </c>
      <c r="H150" s="126">
        <v>2023</v>
      </c>
      <c r="I150" s="126">
        <v>2050</v>
      </c>
      <c r="J150" s="127">
        <v>1.0790999999999999</v>
      </c>
      <c r="K150" s="127">
        <v>1.0722</v>
      </c>
      <c r="L150" s="127">
        <v>1.1240000000000001</v>
      </c>
      <c r="M150" s="127">
        <v>1.1204000000000001</v>
      </c>
      <c r="N150" s="127">
        <v>1.0336000000000001</v>
      </c>
      <c r="O150" s="127">
        <v>1.0538000000000001</v>
      </c>
      <c r="P150" s="126">
        <v>0</v>
      </c>
      <c r="Q150" s="128">
        <f t="array" ref="Q150">SUM(IF(($S150&gt;=4)*($C150='TaxCred&amp;Subs'!$D$123:$D$127)*($H150='TaxCred&amp;Subs'!$C$123:$C$127)*($H150&lt;='TaxCred&amp;Subs'!$C$129),'TaxCred&amp;Subs'!$E$123:$E$127,0))</f>
        <v>0</v>
      </c>
      <c r="R150" s="174">
        <v>0</v>
      </c>
      <c r="S150" s="126">
        <v>1</v>
      </c>
      <c r="T150" s="126" t="s">
        <v>223</v>
      </c>
      <c r="U150" s="158"/>
      <c r="V150" s="153" t="str">
        <f t="array" ref="V150">INDEX(xlRTCLNAME,MATCH(1,(xlRTCLENDU=1)*(xlRTCLEQCL=$D150),0))</f>
        <v>DIST_FA</v>
      </c>
      <c r="W150" s="153" t="str">
        <f t="array" ref="W150">INDEX(xlRTCLNAME,MATCH(1,(xlRTCLENDU=2)*(xlRTCLEQCL=$F150),0))</f>
        <v>CENT_AIR</v>
      </c>
      <c r="X150" s="153" t="str">
        <f t="array" ref="X150">INDEX(xlRTTYNAME,MATCH(1,(xlRTTYENDU=1)*(xlRTTYEQCL=$D150)*(xlRTEQTYPE=$E150),0))</f>
        <v>DIST_FA1</v>
      </c>
      <c r="Y150" s="153" t="str">
        <f t="array" ref="Y150">INDEX(xlRTTYNAME,MATCH(1,(xlRTTYENDU=2)*(xlRTTYEQCL=$F150)*(xlRTEQTYPE=$G150),0))</f>
        <v>CENT_AIR2</v>
      </c>
    </row>
    <row r="151" spans="2:25" x14ac:dyDescent="0.2">
      <c r="B151" s="126">
        <v>1</v>
      </c>
      <c r="C151" s="126">
        <v>1</v>
      </c>
      <c r="D151" s="126">
        <v>8</v>
      </c>
      <c r="E151" s="126">
        <v>26</v>
      </c>
      <c r="F151" s="126">
        <v>2</v>
      </c>
      <c r="G151" s="126">
        <v>5</v>
      </c>
      <c r="H151" s="126">
        <v>2016</v>
      </c>
      <c r="I151" s="126">
        <v>2022</v>
      </c>
      <c r="J151" s="127">
        <v>1.0592999999999999</v>
      </c>
      <c r="K151" s="127">
        <v>1.0889</v>
      </c>
      <c r="L151" s="127">
        <v>0.91249999999999998</v>
      </c>
      <c r="M151" s="127">
        <v>1.0396000000000001</v>
      </c>
      <c r="N151" s="127">
        <v>0.8095</v>
      </c>
      <c r="O151" s="127">
        <v>1.0538000000000001</v>
      </c>
      <c r="P151" s="126">
        <v>0</v>
      </c>
      <c r="Q151" s="128">
        <f t="array" ref="Q151">SUM(IF(($S151&gt;=4)*($C151='TaxCred&amp;Subs'!$D$123:$D$127)*($H151='TaxCred&amp;Subs'!$C$123:$C$127)*($H151&lt;='TaxCred&amp;Subs'!$C$129),'TaxCred&amp;Subs'!$E$123:$E$127,0))</f>
        <v>0</v>
      </c>
      <c r="R151" s="174">
        <v>0</v>
      </c>
      <c r="S151" s="126">
        <v>1</v>
      </c>
      <c r="T151" s="126" t="s">
        <v>223</v>
      </c>
      <c r="U151" s="158"/>
      <c r="V151" s="153" t="str">
        <f t="array" ref="V151">INDEX(xlRTCLNAME,MATCH(1,(xlRTCLENDU=1)*(xlRTCLEQCL=$D151),0))</f>
        <v>DIST_RAD</v>
      </c>
      <c r="W151" s="153" t="str">
        <f t="array" ref="W151">INDEX(xlRTCLNAME,MATCH(1,(xlRTCLENDU=2)*(xlRTCLEQCL=$F151),0))</f>
        <v>CENT_AIR</v>
      </c>
      <c r="X151" s="153" t="str">
        <f t="array" ref="X151">INDEX(xlRTTYNAME,MATCH(1,(xlRTTYENDU=1)*(xlRTTYEQCL=$D151)*(xlRTEQTYPE=$E151),0))</f>
        <v>DIST_RAD1</v>
      </c>
      <c r="Y151" s="153" t="str">
        <f t="array" ref="Y151">INDEX(xlRTTYNAME,MATCH(1,(xlRTTYENDU=2)*(xlRTTYEQCL=$F151)*(xlRTEQTYPE=$G151),0))</f>
        <v>CENT_AIR1</v>
      </c>
    </row>
    <row r="152" spans="2:25" x14ac:dyDescent="0.2">
      <c r="B152" s="126">
        <v>1</v>
      </c>
      <c r="C152" s="126">
        <v>1</v>
      </c>
      <c r="D152" s="126">
        <v>8</v>
      </c>
      <c r="E152" s="126">
        <v>26</v>
      </c>
      <c r="F152" s="126">
        <v>2</v>
      </c>
      <c r="G152" s="126">
        <v>6</v>
      </c>
      <c r="H152" s="126">
        <v>2023</v>
      </c>
      <c r="I152" s="126">
        <v>2050</v>
      </c>
      <c r="J152" s="127">
        <v>1.0592999999999999</v>
      </c>
      <c r="K152" s="127">
        <v>1.0889</v>
      </c>
      <c r="L152" s="127">
        <v>0.91249999999999998</v>
      </c>
      <c r="M152" s="127">
        <v>1.0396000000000001</v>
      </c>
      <c r="N152" s="127">
        <v>0.8095</v>
      </c>
      <c r="O152" s="127">
        <v>1.0538000000000001</v>
      </c>
      <c r="P152" s="126">
        <v>0</v>
      </c>
      <c r="Q152" s="128">
        <f t="array" ref="Q152">SUM(IF(($S152&gt;=4)*($C152='TaxCred&amp;Subs'!$D$123:$D$127)*($H152='TaxCred&amp;Subs'!$C$123:$C$127)*($H152&lt;='TaxCred&amp;Subs'!$C$129),'TaxCred&amp;Subs'!$E$123:$E$127,0))</f>
        <v>0</v>
      </c>
      <c r="R152" s="174">
        <v>0</v>
      </c>
      <c r="S152" s="126">
        <v>1</v>
      </c>
      <c r="T152" s="126" t="s">
        <v>223</v>
      </c>
      <c r="U152" s="158"/>
      <c r="V152" s="153" t="str">
        <f t="array" ref="V152">INDEX(xlRTCLNAME,MATCH(1,(xlRTCLENDU=1)*(xlRTCLEQCL=$D152),0))</f>
        <v>DIST_RAD</v>
      </c>
      <c r="W152" s="153" t="str">
        <f t="array" ref="W152">INDEX(xlRTCLNAME,MATCH(1,(xlRTCLENDU=2)*(xlRTCLEQCL=$F152),0))</f>
        <v>CENT_AIR</v>
      </c>
      <c r="X152" s="153" t="str">
        <f t="array" ref="X152">INDEX(xlRTTYNAME,MATCH(1,(xlRTTYENDU=1)*(xlRTTYEQCL=$D152)*(xlRTEQTYPE=$E152),0))</f>
        <v>DIST_RAD1</v>
      </c>
      <c r="Y152" s="153" t="str">
        <f t="array" ref="Y152">INDEX(xlRTTYNAME,MATCH(1,(xlRTTYENDU=2)*(xlRTTYEQCL=$F152)*(xlRTEQTYPE=$G152),0))</f>
        <v>CENT_AIR2</v>
      </c>
    </row>
    <row r="153" spans="2:25" x14ac:dyDescent="0.2">
      <c r="B153" s="126">
        <v>2</v>
      </c>
      <c r="C153" s="126">
        <v>1</v>
      </c>
      <c r="D153" s="126">
        <v>8</v>
      </c>
      <c r="E153" s="126">
        <v>26</v>
      </c>
      <c r="F153" s="126">
        <v>2</v>
      </c>
      <c r="G153" s="126">
        <v>5</v>
      </c>
      <c r="H153" s="126">
        <v>2016</v>
      </c>
      <c r="I153" s="126">
        <v>2022</v>
      </c>
      <c r="J153" s="127">
        <v>1.0717000000000001</v>
      </c>
      <c r="K153" s="127">
        <v>1.0895999999999999</v>
      </c>
      <c r="L153" s="127">
        <v>0.9929</v>
      </c>
      <c r="M153" s="127">
        <v>0.95550000000000002</v>
      </c>
      <c r="N153" s="127">
        <v>0.92630000000000001</v>
      </c>
      <c r="O153" s="127">
        <v>1.0538000000000001</v>
      </c>
      <c r="P153" s="126">
        <v>0</v>
      </c>
      <c r="Q153" s="128">
        <f t="array" ref="Q153">SUM(IF(($S153&gt;=4)*($C153='TaxCred&amp;Subs'!$D$123:$D$127)*($H153='TaxCred&amp;Subs'!$C$123:$C$127)*($H153&lt;='TaxCred&amp;Subs'!$C$129),'TaxCred&amp;Subs'!$E$123:$E$127,0))</f>
        <v>0</v>
      </c>
      <c r="R153" s="174">
        <v>0</v>
      </c>
      <c r="S153" s="126">
        <v>1</v>
      </c>
      <c r="T153" s="126" t="s">
        <v>223</v>
      </c>
      <c r="U153" s="158"/>
      <c r="V153" s="153" t="str">
        <f t="array" ref="V153">INDEX(xlRTCLNAME,MATCH(1,(xlRTCLENDU=1)*(xlRTCLEQCL=$D153),0))</f>
        <v>DIST_RAD</v>
      </c>
      <c r="W153" s="153" t="str">
        <f t="array" ref="W153">INDEX(xlRTCLNAME,MATCH(1,(xlRTCLENDU=2)*(xlRTCLEQCL=$F153),0))</f>
        <v>CENT_AIR</v>
      </c>
      <c r="X153" s="153" t="str">
        <f t="array" ref="X153">INDEX(xlRTTYNAME,MATCH(1,(xlRTTYENDU=1)*(xlRTTYEQCL=$D153)*(xlRTEQTYPE=$E153),0))</f>
        <v>DIST_RAD1</v>
      </c>
      <c r="Y153" s="153" t="str">
        <f t="array" ref="Y153">INDEX(xlRTTYNAME,MATCH(1,(xlRTTYENDU=2)*(xlRTTYEQCL=$F153)*(xlRTEQTYPE=$G153),0))</f>
        <v>CENT_AIR1</v>
      </c>
    </row>
    <row r="154" spans="2:25" x14ac:dyDescent="0.2">
      <c r="B154" s="126">
        <v>2</v>
      </c>
      <c r="C154" s="126">
        <v>1</v>
      </c>
      <c r="D154" s="126">
        <v>8</v>
      </c>
      <c r="E154" s="126">
        <v>26</v>
      </c>
      <c r="F154" s="126">
        <v>2</v>
      </c>
      <c r="G154" s="126">
        <v>6</v>
      </c>
      <c r="H154" s="126">
        <v>2023</v>
      </c>
      <c r="I154" s="126">
        <v>2050</v>
      </c>
      <c r="J154" s="127">
        <v>1.0717000000000001</v>
      </c>
      <c r="K154" s="127">
        <v>1.0895999999999999</v>
      </c>
      <c r="L154" s="127">
        <v>0.9929</v>
      </c>
      <c r="M154" s="127">
        <v>0.95550000000000002</v>
      </c>
      <c r="N154" s="127">
        <v>0.92630000000000001</v>
      </c>
      <c r="O154" s="127">
        <v>1.0538000000000001</v>
      </c>
      <c r="P154" s="126">
        <v>0</v>
      </c>
      <c r="Q154" s="128">
        <f t="array" ref="Q154">SUM(IF(($S154&gt;=4)*($C154='TaxCred&amp;Subs'!$D$123:$D$127)*($H154='TaxCred&amp;Subs'!$C$123:$C$127)*($H154&lt;='TaxCred&amp;Subs'!$C$129),'TaxCred&amp;Subs'!$E$123:$E$127,0))</f>
        <v>0</v>
      </c>
      <c r="R154" s="174">
        <v>0</v>
      </c>
      <c r="S154" s="126">
        <v>1</v>
      </c>
      <c r="T154" s="126" t="s">
        <v>223</v>
      </c>
      <c r="U154" s="158"/>
      <c r="V154" s="153" t="str">
        <f t="array" ref="V154">INDEX(xlRTCLNAME,MATCH(1,(xlRTCLENDU=1)*(xlRTCLEQCL=$D154),0))</f>
        <v>DIST_RAD</v>
      </c>
      <c r="W154" s="153" t="str">
        <f t="array" ref="W154">INDEX(xlRTCLNAME,MATCH(1,(xlRTCLENDU=2)*(xlRTCLEQCL=$F154),0))</f>
        <v>CENT_AIR</v>
      </c>
      <c r="X154" s="153" t="str">
        <f t="array" ref="X154">INDEX(xlRTTYNAME,MATCH(1,(xlRTTYENDU=1)*(xlRTTYEQCL=$D154)*(xlRTEQTYPE=$E154),0))</f>
        <v>DIST_RAD1</v>
      </c>
      <c r="Y154" s="153" t="str">
        <f t="array" ref="Y154">INDEX(xlRTTYNAME,MATCH(1,(xlRTTYENDU=2)*(xlRTTYEQCL=$F154)*(xlRTEQTYPE=$G154),0))</f>
        <v>CENT_AIR2</v>
      </c>
    </row>
    <row r="155" spans="2:25" x14ac:dyDescent="0.2">
      <c r="B155" s="126">
        <v>3</v>
      </c>
      <c r="C155" s="126">
        <v>1</v>
      </c>
      <c r="D155" s="126">
        <v>8</v>
      </c>
      <c r="E155" s="126">
        <v>26</v>
      </c>
      <c r="F155" s="126">
        <v>2</v>
      </c>
      <c r="G155" s="126">
        <v>5</v>
      </c>
      <c r="H155" s="126">
        <v>2016</v>
      </c>
      <c r="I155" s="126">
        <v>2022</v>
      </c>
      <c r="J155" s="127">
        <v>1.0821000000000001</v>
      </c>
      <c r="K155" s="127">
        <v>1.0769</v>
      </c>
      <c r="L155" s="127">
        <v>0.93120000000000003</v>
      </c>
      <c r="M155" s="127">
        <v>0.9627</v>
      </c>
      <c r="N155" s="127">
        <v>0.91400000000000003</v>
      </c>
      <c r="O155" s="127">
        <v>1.0538000000000001</v>
      </c>
      <c r="P155" s="126">
        <v>0</v>
      </c>
      <c r="Q155" s="128">
        <f t="array" ref="Q155">SUM(IF(($S155&gt;=4)*($C155='TaxCred&amp;Subs'!$D$123:$D$127)*($H155='TaxCred&amp;Subs'!$C$123:$C$127)*($H155&lt;='TaxCred&amp;Subs'!$C$129),'TaxCred&amp;Subs'!$E$123:$E$127,0))</f>
        <v>0</v>
      </c>
      <c r="R155" s="174">
        <v>0</v>
      </c>
      <c r="S155" s="126">
        <v>1</v>
      </c>
      <c r="T155" s="126" t="s">
        <v>223</v>
      </c>
      <c r="U155" s="158"/>
      <c r="V155" s="153" t="str">
        <f t="array" ref="V155">INDEX(xlRTCLNAME,MATCH(1,(xlRTCLENDU=1)*(xlRTCLEQCL=$D155),0))</f>
        <v>DIST_RAD</v>
      </c>
      <c r="W155" s="153" t="str">
        <f t="array" ref="W155">INDEX(xlRTCLNAME,MATCH(1,(xlRTCLENDU=2)*(xlRTCLEQCL=$F155),0))</f>
        <v>CENT_AIR</v>
      </c>
      <c r="X155" s="153" t="str">
        <f t="array" ref="X155">INDEX(xlRTTYNAME,MATCH(1,(xlRTTYENDU=1)*(xlRTTYEQCL=$D155)*(xlRTEQTYPE=$E155),0))</f>
        <v>DIST_RAD1</v>
      </c>
      <c r="Y155" s="153" t="str">
        <f t="array" ref="Y155">INDEX(xlRTTYNAME,MATCH(1,(xlRTTYENDU=2)*(xlRTTYEQCL=$F155)*(xlRTEQTYPE=$G155),0))</f>
        <v>CENT_AIR1</v>
      </c>
    </row>
    <row r="156" spans="2:25" x14ac:dyDescent="0.2">
      <c r="B156" s="126">
        <v>3</v>
      </c>
      <c r="C156" s="126">
        <v>1</v>
      </c>
      <c r="D156" s="126">
        <v>8</v>
      </c>
      <c r="E156" s="126">
        <v>26</v>
      </c>
      <c r="F156" s="126">
        <v>2</v>
      </c>
      <c r="G156" s="126">
        <v>6</v>
      </c>
      <c r="H156" s="126">
        <v>2023</v>
      </c>
      <c r="I156" s="126">
        <v>2050</v>
      </c>
      <c r="J156" s="127">
        <v>1.0821000000000001</v>
      </c>
      <c r="K156" s="127">
        <v>1.0769</v>
      </c>
      <c r="L156" s="127">
        <v>0.93120000000000003</v>
      </c>
      <c r="M156" s="127">
        <v>0.9627</v>
      </c>
      <c r="N156" s="127">
        <v>0.91400000000000003</v>
      </c>
      <c r="O156" s="127">
        <v>1.0538000000000001</v>
      </c>
      <c r="P156" s="126">
        <v>0</v>
      </c>
      <c r="Q156" s="128">
        <f t="array" ref="Q156">SUM(IF(($S156&gt;=4)*($C156='TaxCred&amp;Subs'!$D$123:$D$127)*($H156='TaxCred&amp;Subs'!$C$123:$C$127)*($H156&lt;='TaxCred&amp;Subs'!$C$129),'TaxCred&amp;Subs'!$E$123:$E$127,0))</f>
        <v>0</v>
      </c>
      <c r="R156" s="174">
        <v>0</v>
      </c>
      <c r="S156" s="126">
        <v>1</v>
      </c>
      <c r="T156" s="126" t="s">
        <v>223</v>
      </c>
      <c r="U156" s="158"/>
      <c r="V156" s="153" t="str">
        <f t="array" ref="V156">INDEX(xlRTCLNAME,MATCH(1,(xlRTCLENDU=1)*(xlRTCLEQCL=$D156),0))</f>
        <v>DIST_RAD</v>
      </c>
      <c r="W156" s="153" t="str">
        <f t="array" ref="W156">INDEX(xlRTCLNAME,MATCH(1,(xlRTCLENDU=2)*(xlRTCLEQCL=$F156),0))</f>
        <v>CENT_AIR</v>
      </c>
      <c r="X156" s="153" t="str">
        <f t="array" ref="X156">INDEX(xlRTTYNAME,MATCH(1,(xlRTTYENDU=1)*(xlRTTYEQCL=$D156)*(xlRTEQTYPE=$E156),0))</f>
        <v>DIST_RAD1</v>
      </c>
      <c r="Y156" s="153" t="str">
        <f t="array" ref="Y156">INDEX(xlRTTYNAME,MATCH(1,(xlRTTYENDU=2)*(xlRTTYEQCL=$F156)*(xlRTEQTYPE=$G156),0))</f>
        <v>CENT_AIR2</v>
      </c>
    </row>
    <row r="157" spans="2:25" x14ac:dyDescent="0.2">
      <c r="B157" s="126">
        <v>4</v>
      </c>
      <c r="C157" s="126">
        <v>1</v>
      </c>
      <c r="D157" s="126">
        <v>8</v>
      </c>
      <c r="E157" s="126">
        <v>26</v>
      </c>
      <c r="F157" s="126">
        <v>2</v>
      </c>
      <c r="G157" s="126">
        <v>5</v>
      </c>
      <c r="H157" s="126">
        <v>2016</v>
      </c>
      <c r="I157" s="126">
        <v>2022</v>
      </c>
      <c r="J157" s="127">
        <v>1.0812999999999999</v>
      </c>
      <c r="K157" s="127">
        <v>1.0769</v>
      </c>
      <c r="L157" s="127">
        <v>0.87539999999999996</v>
      </c>
      <c r="M157" s="127">
        <v>0.87319999999999998</v>
      </c>
      <c r="N157" s="127">
        <v>0.85660000000000003</v>
      </c>
      <c r="O157" s="127">
        <v>1.0538000000000001</v>
      </c>
      <c r="P157" s="126">
        <v>0</v>
      </c>
      <c r="Q157" s="128">
        <f t="array" ref="Q157">SUM(IF(($S157&gt;=4)*($C157='TaxCred&amp;Subs'!$D$123:$D$127)*($H157='TaxCred&amp;Subs'!$C$123:$C$127)*($H157&lt;='TaxCred&amp;Subs'!$C$129),'TaxCred&amp;Subs'!$E$123:$E$127,0))</f>
        <v>0</v>
      </c>
      <c r="R157" s="174">
        <v>0</v>
      </c>
      <c r="S157" s="126">
        <v>1</v>
      </c>
      <c r="T157" s="126" t="s">
        <v>223</v>
      </c>
      <c r="U157" s="158"/>
      <c r="V157" s="153" t="str">
        <f t="array" ref="V157">INDEX(xlRTCLNAME,MATCH(1,(xlRTCLENDU=1)*(xlRTCLEQCL=$D157),0))</f>
        <v>DIST_RAD</v>
      </c>
      <c r="W157" s="153" t="str">
        <f t="array" ref="W157">INDEX(xlRTCLNAME,MATCH(1,(xlRTCLENDU=2)*(xlRTCLEQCL=$F157),0))</f>
        <v>CENT_AIR</v>
      </c>
      <c r="X157" s="153" t="str">
        <f t="array" ref="X157">INDEX(xlRTTYNAME,MATCH(1,(xlRTTYENDU=1)*(xlRTTYEQCL=$D157)*(xlRTEQTYPE=$E157),0))</f>
        <v>DIST_RAD1</v>
      </c>
      <c r="Y157" s="153" t="str">
        <f t="array" ref="Y157">INDEX(xlRTTYNAME,MATCH(1,(xlRTTYENDU=2)*(xlRTTYEQCL=$F157)*(xlRTEQTYPE=$G157),0))</f>
        <v>CENT_AIR1</v>
      </c>
    </row>
    <row r="158" spans="2:25" x14ac:dyDescent="0.2">
      <c r="B158" s="126">
        <v>4</v>
      </c>
      <c r="C158" s="126">
        <v>1</v>
      </c>
      <c r="D158" s="126">
        <v>8</v>
      </c>
      <c r="E158" s="126">
        <v>26</v>
      </c>
      <c r="F158" s="126">
        <v>2</v>
      </c>
      <c r="G158" s="126">
        <v>6</v>
      </c>
      <c r="H158" s="126">
        <v>2023</v>
      </c>
      <c r="I158" s="126">
        <v>2050</v>
      </c>
      <c r="J158" s="127">
        <v>1.0812999999999999</v>
      </c>
      <c r="K158" s="127">
        <v>1.0769</v>
      </c>
      <c r="L158" s="127">
        <v>0.87539999999999996</v>
      </c>
      <c r="M158" s="127">
        <v>0.87319999999999998</v>
      </c>
      <c r="N158" s="127">
        <v>0.85660000000000003</v>
      </c>
      <c r="O158" s="127">
        <v>1.0538000000000001</v>
      </c>
      <c r="P158" s="126">
        <v>0</v>
      </c>
      <c r="Q158" s="128">
        <f t="array" ref="Q158">SUM(IF(($S158&gt;=4)*($C158='TaxCred&amp;Subs'!$D$123:$D$127)*($H158='TaxCred&amp;Subs'!$C$123:$C$127)*($H158&lt;='TaxCred&amp;Subs'!$C$129),'TaxCred&amp;Subs'!$E$123:$E$127,0))</f>
        <v>0</v>
      </c>
      <c r="R158" s="174">
        <v>0</v>
      </c>
      <c r="S158" s="126">
        <v>1</v>
      </c>
      <c r="T158" s="126" t="s">
        <v>223</v>
      </c>
      <c r="U158" s="158"/>
      <c r="V158" s="153" t="str">
        <f t="array" ref="V158">INDEX(xlRTCLNAME,MATCH(1,(xlRTCLENDU=1)*(xlRTCLEQCL=$D158),0))</f>
        <v>DIST_RAD</v>
      </c>
      <c r="W158" s="153" t="str">
        <f t="array" ref="W158">INDEX(xlRTCLNAME,MATCH(1,(xlRTCLENDU=2)*(xlRTCLEQCL=$F158),0))</f>
        <v>CENT_AIR</v>
      </c>
      <c r="X158" s="153" t="str">
        <f t="array" ref="X158">INDEX(xlRTTYNAME,MATCH(1,(xlRTTYENDU=1)*(xlRTTYEQCL=$D158)*(xlRTEQTYPE=$E158),0))</f>
        <v>DIST_RAD1</v>
      </c>
      <c r="Y158" s="153" t="str">
        <f t="array" ref="Y158">INDEX(xlRTTYNAME,MATCH(1,(xlRTTYENDU=2)*(xlRTTYEQCL=$F158)*(xlRTEQTYPE=$G158),0))</f>
        <v>CENT_AIR2</v>
      </c>
    </row>
    <row r="159" spans="2:25" x14ac:dyDescent="0.2">
      <c r="B159" s="126">
        <v>5</v>
      </c>
      <c r="C159" s="126">
        <v>1</v>
      </c>
      <c r="D159" s="126">
        <v>8</v>
      </c>
      <c r="E159" s="126">
        <v>26</v>
      </c>
      <c r="F159" s="126">
        <v>2</v>
      </c>
      <c r="G159" s="126">
        <v>5</v>
      </c>
      <c r="H159" s="126">
        <v>2016</v>
      </c>
      <c r="I159" s="126">
        <v>2022</v>
      </c>
      <c r="J159" s="127">
        <v>1.0838000000000001</v>
      </c>
      <c r="K159" s="127">
        <v>1.0465</v>
      </c>
      <c r="L159" s="127">
        <v>0.89700000000000002</v>
      </c>
      <c r="M159" s="127">
        <v>1.0934999999999999</v>
      </c>
      <c r="N159" s="127">
        <v>0.75670000000000004</v>
      </c>
      <c r="O159" s="127">
        <v>1.0538000000000001</v>
      </c>
      <c r="P159" s="126">
        <v>0</v>
      </c>
      <c r="Q159" s="128">
        <f t="array" ref="Q159">SUM(IF(($S159&gt;=4)*($C159='TaxCred&amp;Subs'!$D$123:$D$127)*($H159='TaxCred&amp;Subs'!$C$123:$C$127)*($H159&lt;='TaxCred&amp;Subs'!$C$129),'TaxCred&amp;Subs'!$E$123:$E$127,0))</f>
        <v>0</v>
      </c>
      <c r="R159" s="174">
        <v>0</v>
      </c>
      <c r="S159" s="126">
        <v>1</v>
      </c>
      <c r="T159" s="126" t="s">
        <v>223</v>
      </c>
      <c r="U159" s="158"/>
      <c r="V159" s="153" t="str">
        <f t="array" ref="V159">INDEX(xlRTCLNAME,MATCH(1,(xlRTCLENDU=1)*(xlRTCLEQCL=$D159),0))</f>
        <v>DIST_RAD</v>
      </c>
      <c r="W159" s="153" t="str">
        <f t="array" ref="W159">INDEX(xlRTCLNAME,MATCH(1,(xlRTCLENDU=2)*(xlRTCLEQCL=$F159),0))</f>
        <v>CENT_AIR</v>
      </c>
      <c r="X159" s="153" t="str">
        <f t="array" ref="X159">INDEX(xlRTTYNAME,MATCH(1,(xlRTTYENDU=1)*(xlRTTYEQCL=$D159)*(xlRTEQTYPE=$E159),0))</f>
        <v>DIST_RAD1</v>
      </c>
      <c r="Y159" s="153" t="str">
        <f t="array" ref="Y159">INDEX(xlRTTYNAME,MATCH(1,(xlRTTYENDU=2)*(xlRTTYEQCL=$F159)*(xlRTEQTYPE=$G159),0))</f>
        <v>CENT_AIR1</v>
      </c>
    </row>
    <row r="160" spans="2:25" x14ac:dyDescent="0.2">
      <c r="B160" s="126">
        <v>5</v>
      </c>
      <c r="C160" s="126">
        <v>1</v>
      </c>
      <c r="D160" s="126">
        <v>8</v>
      </c>
      <c r="E160" s="126">
        <v>26</v>
      </c>
      <c r="F160" s="126">
        <v>2</v>
      </c>
      <c r="G160" s="126">
        <v>6</v>
      </c>
      <c r="H160" s="126">
        <v>2023</v>
      </c>
      <c r="I160" s="126">
        <v>2050</v>
      </c>
      <c r="J160" s="127">
        <v>1.0838000000000001</v>
      </c>
      <c r="K160" s="127">
        <v>1.0465</v>
      </c>
      <c r="L160" s="127">
        <v>0.89700000000000002</v>
      </c>
      <c r="M160" s="127">
        <v>1.0934999999999999</v>
      </c>
      <c r="N160" s="127">
        <v>0.75670000000000004</v>
      </c>
      <c r="O160" s="127">
        <v>1.0538000000000001</v>
      </c>
      <c r="P160" s="126">
        <v>0</v>
      </c>
      <c r="Q160" s="128">
        <f t="array" ref="Q160">SUM(IF(($S160&gt;=4)*($C160='TaxCred&amp;Subs'!$D$123:$D$127)*($H160='TaxCred&amp;Subs'!$C$123:$C$127)*($H160&lt;='TaxCred&amp;Subs'!$C$129),'TaxCred&amp;Subs'!$E$123:$E$127,0))</f>
        <v>0</v>
      </c>
      <c r="R160" s="174">
        <v>0</v>
      </c>
      <c r="S160" s="126">
        <v>1</v>
      </c>
      <c r="T160" s="126" t="s">
        <v>223</v>
      </c>
      <c r="U160" s="158"/>
      <c r="V160" s="153" t="str">
        <f t="array" ref="V160">INDEX(xlRTCLNAME,MATCH(1,(xlRTCLENDU=1)*(xlRTCLEQCL=$D160),0))</f>
        <v>DIST_RAD</v>
      </c>
      <c r="W160" s="153" t="str">
        <f t="array" ref="W160">INDEX(xlRTCLNAME,MATCH(1,(xlRTCLENDU=2)*(xlRTCLEQCL=$F160),0))</f>
        <v>CENT_AIR</v>
      </c>
      <c r="X160" s="153" t="str">
        <f t="array" ref="X160">INDEX(xlRTTYNAME,MATCH(1,(xlRTTYENDU=1)*(xlRTTYEQCL=$D160)*(xlRTEQTYPE=$E160),0))</f>
        <v>DIST_RAD1</v>
      </c>
      <c r="Y160" s="153" t="str">
        <f t="array" ref="Y160">INDEX(xlRTTYNAME,MATCH(1,(xlRTTYENDU=2)*(xlRTTYEQCL=$F160)*(xlRTEQTYPE=$G160),0))</f>
        <v>CENT_AIR2</v>
      </c>
    </row>
    <row r="161" spans="2:25" x14ac:dyDescent="0.2">
      <c r="B161" s="126">
        <v>6</v>
      </c>
      <c r="C161" s="126">
        <v>1</v>
      </c>
      <c r="D161" s="126">
        <v>8</v>
      </c>
      <c r="E161" s="126">
        <v>26</v>
      </c>
      <c r="F161" s="126">
        <v>2</v>
      </c>
      <c r="G161" s="126">
        <v>5</v>
      </c>
      <c r="H161" s="126">
        <v>2016</v>
      </c>
      <c r="I161" s="126">
        <v>2022</v>
      </c>
      <c r="J161" s="127">
        <v>1.089</v>
      </c>
      <c r="K161" s="127">
        <v>1.0583</v>
      </c>
      <c r="L161" s="127">
        <v>1.0245</v>
      </c>
      <c r="M161" s="127">
        <v>1.1335999999999999</v>
      </c>
      <c r="N161" s="127">
        <v>0.88849999999999996</v>
      </c>
      <c r="O161" s="127">
        <v>1.0538000000000001</v>
      </c>
      <c r="P161" s="126">
        <v>0</v>
      </c>
      <c r="Q161" s="128">
        <f t="array" ref="Q161">SUM(IF(($S161&gt;=4)*($C161='TaxCred&amp;Subs'!$D$123:$D$127)*($H161='TaxCred&amp;Subs'!$C$123:$C$127)*($H161&lt;='TaxCred&amp;Subs'!$C$129),'TaxCred&amp;Subs'!$E$123:$E$127,0))</f>
        <v>0</v>
      </c>
      <c r="R161" s="174">
        <v>0</v>
      </c>
      <c r="S161" s="126">
        <v>1</v>
      </c>
      <c r="T161" s="126" t="s">
        <v>223</v>
      </c>
      <c r="U161" s="158"/>
      <c r="V161" s="153" t="str">
        <f t="array" ref="V161">INDEX(xlRTCLNAME,MATCH(1,(xlRTCLENDU=1)*(xlRTCLEQCL=$D161),0))</f>
        <v>DIST_RAD</v>
      </c>
      <c r="W161" s="153" t="str">
        <f t="array" ref="W161">INDEX(xlRTCLNAME,MATCH(1,(xlRTCLENDU=2)*(xlRTCLEQCL=$F161),0))</f>
        <v>CENT_AIR</v>
      </c>
      <c r="X161" s="153" t="str">
        <f t="array" ref="X161">INDEX(xlRTTYNAME,MATCH(1,(xlRTTYENDU=1)*(xlRTTYEQCL=$D161)*(xlRTEQTYPE=$E161),0))</f>
        <v>DIST_RAD1</v>
      </c>
      <c r="Y161" s="153" t="str">
        <f t="array" ref="Y161">INDEX(xlRTTYNAME,MATCH(1,(xlRTTYENDU=2)*(xlRTTYEQCL=$F161)*(xlRTEQTYPE=$G161),0))</f>
        <v>CENT_AIR1</v>
      </c>
    </row>
    <row r="162" spans="2:25" x14ac:dyDescent="0.2">
      <c r="B162" s="126">
        <v>6</v>
      </c>
      <c r="C162" s="126">
        <v>1</v>
      </c>
      <c r="D162" s="126">
        <v>8</v>
      </c>
      <c r="E162" s="126">
        <v>26</v>
      </c>
      <c r="F162" s="126">
        <v>2</v>
      </c>
      <c r="G162" s="126">
        <v>6</v>
      </c>
      <c r="H162" s="126">
        <v>2023</v>
      </c>
      <c r="I162" s="126">
        <v>2050</v>
      </c>
      <c r="J162" s="127">
        <v>1.089</v>
      </c>
      <c r="K162" s="127">
        <v>1.0583</v>
      </c>
      <c r="L162" s="127">
        <v>1.0245</v>
      </c>
      <c r="M162" s="127">
        <v>1.1335999999999999</v>
      </c>
      <c r="N162" s="127">
        <v>0.88849999999999996</v>
      </c>
      <c r="O162" s="127">
        <v>1.0538000000000001</v>
      </c>
      <c r="P162" s="126">
        <v>0</v>
      </c>
      <c r="Q162" s="128">
        <f t="array" ref="Q162">SUM(IF(($S162&gt;=4)*($C162='TaxCred&amp;Subs'!$D$123:$D$127)*($H162='TaxCred&amp;Subs'!$C$123:$C$127)*($H162&lt;='TaxCred&amp;Subs'!$C$129),'TaxCred&amp;Subs'!$E$123:$E$127,0))</f>
        <v>0</v>
      </c>
      <c r="R162" s="174">
        <v>0</v>
      </c>
      <c r="S162" s="126">
        <v>1</v>
      </c>
      <c r="T162" s="126" t="s">
        <v>223</v>
      </c>
      <c r="U162" s="158"/>
      <c r="V162" s="153" t="str">
        <f t="array" ref="V162">INDEX(xlRTCLNAME,MATCH(1,(xlRTCLENDU=1)*(xlRTCLEQCL=$D162),0))</f>
        <v>DIST_RAD</v>
      </c>
      <c r="W162" s="153" t="str">
        <f t="array" ref="W162">INDEX(xlRTCLNAME,MATCH(1,(xlRTCLENDU=2)*(xlRTCLEQCL=$F162),0))</f>
        <v>CENT_AIR</v>
      </c>
      <c r="X162" s="153" t="str">
        <f t="array" ref="X162">INDEX(xlRTTYNAME,MATCH(1,(xlRTTYENDU=1)*(xlRTTYEQCL=$D162)*(xlRTEQTYPE=$E162),0))</f>
        <v>DIST_RAD1</v>
      </c>
      <c r="Y162" s="153" t="str">
        <f t="array" ref="Y162">INDEX(xlRTTYNAME,MATCH(1,(xlRTTYENDU=2)*(xlRTTYEQCL=$F162)*(xlRTEQTYPE=$G162),0))</f>
        <v>CENT_AIR2</v>
      </c>
    </row>
    <row r="163" spans="2:25" x14ac:dyDescent="0.2">
      <c r="B163" s="126">
        <v>7</v>
      </c>
      <c r="C163" s="126">
        <v>1</v>
      </c>
      <c r="D163" s="126">
        <v>8</v>
      </c>
      <c r="E163" s="126">
        <v>26</v>
      </c>
      <c r="F163" s="126">
        <v>2</v>
      </c>
      <c r="G163" s="126">
        <v>5</v>
      </c>
      <c r="H163" s="126">
        <v>2016</v>
      </c>
      <c r="I163" s="126">
        <v>2022</v>
      </c>
      <c r="J163" s="127">
        <v>1.0867</v>
      </c>
      <c r="K163" s="127">
        <v>1.0682</v>
      </c>
      <c r="L163" s="127">
        <v>1.046</v>
      </c>
      <c r="M163" s="127">
        <v>1.0382</v>
      </c>
      <c r="N163" s="127">
        <v>0.87180000000000002</v>
      </c>
      <c r="O163" s="127">
        <v>1.0538000000000001</v>
      </c>
      <c r="P163" s="126">
        <v>0</v>
      </c>
      <c r="Q163" s="128">
        <f t="array" ref="Q163">SUM(IF(($S163&gt;=4)*($C163='TaxCred&amp;Subs'!$D$123:$D$127)*($H163='TaxCred&amp;Subs'!$C$123:$C$127)*($H163&lt;='TaxCred&amp;Subs'!$C$129),'TaxCred&amp;Subs'!$E$123:$E$127,0))</f>
        <v>0</v>
      </c>
      <c r="R163" s="174">
        <v>0</v>
      </c>
      <c r="S163" s="126">
        <v>1</v>
      </c>
      <c r="T163" s="126" t="s">
        <v>223</v>
      </c>
      <c r="U163" s="158"/>
      <c r="V163" s="153" t="str">
        <f t="array" ref="V163">INDEX(xlRTCLNAME,MATCH(1,(xlRTCLENDU=1)*(xlRTCLEQCL=$D163),0))</f>
        <v>DIST_RAD</v>
      </c>
      <c r="W163" s="153" t="str">
        <f t="array" ref="W163">INDEX(xlRTCLNAME,MATCH(1,(xlRTCLENDU=2)*(xlRTCLEQCL=$F163),0))</f>
        <v>CENT_AIR</v>
      </c>
      <c r="X163" s="153" t="str">
        <f t="array" ref="X163">INDEX(xlRTTYNAME,MATCH(1,(xlRTTYENDU=1)*(xlRTTYEQCL=$D163)*(xlRTEQTYPE=$E163),0))</f>
        <v>DIST_RAD1</v>
      </c>
      <c r="Y163" s="153" t="str">
        <f t="array" ref="Y163">INDEX(xlRTTYNAME,MATCH(1,(xlRTTYENDU=2)*(xlRTTYEQCL=$F163)*(xlRTEQTYPE=$G163),0))</f>
        <v>CENT_AIR1</v>
      </c>
    </row>
    <row r="164" spans="2:25" x14ac:dyDescent="0.2">
      <c r="B164" s="126">
        <v>7</v>
      </c>
      <c r="C164" s="126">
        <v>1</v>
      </c>
      <c r="D164" s="126">
        <v>8</v>
      </c>
      <c r="E164" s="126">
        <v>26</v>
      </c>
      <c r="F164" s="126">
        <v>2</v>
      </c>
      <c r="G164" s="126">
        <v>6</v>
      </c>
      <c r="H164" s="126">
        <v>2023</v>
      </c>
      <c r="I164" s="126">
        <v>2050</v>
      </c>
      <c r="J164" s="127">
        <v>1.0867</v>
      </c>
      <c r="K164" s="127">
        <v>1.0682</v>
      </c>
      <c r="L164" s="127">
        <v>1.046</v>
      </c>
      <c r="M164" s="127">
        <v>1.0382</v>
      </c>
      <c r="N164" s="127">
        <v>0.87180000000000002</v>
      </c>
      <c r="O164" s="127">
        <v>1.0538000000000001</v>
      </c>
      <c r="P164" s="126">
        <v>0</v>
      </c>
      <c r="Q164" s="128">
        <f t="array" ref="Q164">SUM(IF(($S164&gt;=4)*($C164='TaxCred&amp;Subs'!$D$123:$D$127)*($H164='TaxCred&amp;Subs'!$C$123:$C$127)*($H164&lt;='TaxCred&amp;Subs'!$C$129),'TaxCred&amp;Subs'!$E$123:$E$127,0))</f>
        <v>0</v>
      </c>
      <c r="R164" s="174">
        <v>0</v>
      </c>
      <c r="S164" s="126">
        <v>1</v>
      </c>
      <c r="T164" s="126" t="s">
        <v>223</v>
      </c>
      <c r="U164" s="158"/>
      <c r="V164" s="153" t="str">
        <f t="array" ref="V164">INDEX(xlRTCLNAME,MATCH(1,(xlRTCLENDU=1)*(xlRTCLEQCL=$D164),0))</f>
        <v>DIST_RAD</v>
      </c>
      <c r="W164" s="153" t="str">
        <f t="array" ref="W164">INDEX(xlRTCLNAME,MATCH(1,(xlRTCLENDU=2)*(xlRTCLEQCL=$F164),0))</f>
        <v>CENT_AIR</v>
      </c>
      <c r="X164" s="153" t="str">
        <f t="array" ref="X164">INDEX(xlRTTYNAME,MATCH(1,(xlRTTYENDU=1)*(xlRTTYEQCL=$D164)*(xlRTEQTYPE=$E164),0))</f>
        <v>DIST_RAD1</v>
      </c>
      <c r="Y164" s="153" t="str">
        <f t="array" ref="Y164">INDEX(xlRTTYNAME,MATCH(1,(xlRTTYENDU=2)*(xlRTTYEQCL=$F164)*(xlRTEQTYPE=$G164),0))</f>
        <v>CENT_AIR2</v>
      </c>
    </row>
    <row r="165" spans="2:25" x14ac:dyDescent="0.2">
      <c r="B165" s="126">
        <v>8</v>
      </c>
      <c r="C165" s="126">
        <v>1</v>
      </c>
      <c r="D165" s="126">
        <v>8</v>
      </c>
      <c r="E165" s="126">
        <v>26</v>
      </c>
      <c r="F165" s="126">
        <v>2</v>
      </c>
      <c r="G165" s="126">
        <v>5</v>
      </c>
      <c r="H165" s="126">
        <v>2016</v>
      </c>
      <c r="I165" s="126">
        <v>2022</v>
      </c>
      <c r="J165" s="127">
        <v>1.0820000000000001</v>
      </c>
      <c r="K165" s="127">
        <v>1.0832999999999999</v>
      </c>
      <c r="L165" s="127">
        <v>0.96730000000000005</v>
      </c>
      <c r="M165" s="127">
        <v>1.0076000000000001</v>
      </c>
      <c r="N165" s="127">
        <v>0.86439999999999995</v>
      </c>
      <c r="O165" s="127">
        <v>1.0538000000000001</v>
      </c>
      <c r="P165" s="126">
        <v>0</v>
      </c>
      <c r="Q165" s="128">
        <f t="array" ref="Q165">SUM(IF(($S165&gt;=4)*($C165='TaxCred&amp;Subs'!$D$123:$D$127)*($H165='TaxCred&amp;Subs'!$C$123:$C$127)*($H165&lt;='TaxCred&amp;Subs'!$C$129),'TaxCred&amp;Subs'!$E$123:$E$127,0))</f>
        <v>0</v>
      </c>
      <c r="R165" s="174">
        <v>0</v>
      </c>
      <c r="S165" s="126">
        <v>1</v>
      </c>
      <c r="T165" s="126" t="s">
        <v>223</v>
      </c>
      <c r="U165" s="158"/>
      <c r="V165" s="153" t="str">
        <f t="array" ref="V165">INDEX(xlRTCLNAME,MATCH(1,(xlRTCLENDU=1)*(xlRTCLEQCL=$D165),0))</f>
        <v>DIST_RAD</v>
      </c>
      <c r="W165" s="153" t="str">
        <f t="array" ref="W165">INDEX(xlRTCLNAME,MATCH(1,(xlRTCLENDU=2)*(xlRTCLEQCL=$F165),0))</f>
        <v>CENT_AIR</v>
      </c>
      <c r="X165" s="153" t="str">
        <f t="array" ref="X165">INDEX(xlRTTYNAME,MATCH(1,(xlRTTYENDU=1)*(xlRTTYEQCL=$D165)*(xlRTEQTYPE=$E165),0))</f>
        <v>DIST_RAD1</v>
      </c>
      <c r="Y165" s="153" t="str">
        <f t="array" ref="Y165">INDEX(xlRTTYNAME,MATCH(1,(xlRTTYENDU=2)*(xlRTTYEQCL=$F165)*(xlRTEQTYPE=$G165),0))</f>
        <v>CENT_AIR1</v>
      </c>
    </row>
    <row r="166" spans="2:25" x14ac:dyDescent="0.2">
      <c r="B166" s="126">
        <v>8</v>
      </c>
      <c r="C166" s="126">
        <v>1</v>
      </c>
      <c r="D166" s="126">
        <v>8</v>
      </c>
      <c r="E166" s="126">
        <v>26</v>
      </c>
      <c r="F166" s="126">
        <v>2</v>
      </c>
      <c r="G166" s="126">
        <v>6</v>
      </c>
      <c r="H166" s="126">
        <v>2023</v>
      </c>
      <c r="I166" s="126">
        <v>2050</v>
      </c>
      <c r="J166" s="127">
        <v>1.0820000000000001</v>
      </c>
      <c r="K166" s="127">
        <v>1.0832999999999999</v>
      </c>
      <c r="L166" s="127">
        <v>0.96730000000000005</v>
      </c>
      <c r="M166" s="127">
        <v>1.0076000000000001</v>
      </c>
      <c r="N166" s="127">
        <v>0.86439999999999995</v>
      </c>
      <c r="O166" s="127">
        <v>1.0538000000000001</v>
      </c>
      <c r="P166" s="126">
        <v>0</v>
      </c>
      <c r="Q166" s="128">
        <f t="array" ref="Q166">SUM(IF(($S166&gt;=4)*($C166='TaxCred&amp;Subs'!$D$123:$D$127)*($H166='TaxCred&amp;Subs'!$C$123:$C$127)*($H166&lt;='TaxCred&amp;Subs'!$C$129),'TaxCred&amp;Subs'!$E$123:$E$127,0))</f>
        <v>0</v>
      </c>
      <c r="R166" s="174">
        <v>0</v>
      </c>
      <c r="S166" s="126">
        <v>1</v>
      </c>
      <c r="T166" s="126" t="s">
        <v>223</v>
      </c>
      <c r="U166" s="158"/>
      <c r="V166" s="153" t="str">
        <f t="array" ref="V166">INDEX(xlRTCLNAME,MATCH(1,(xlRTCLENDU=1)*(xlRTCLEQCL=$D166),0))</f>
        <v>DIST_RAD</v>
      </c>
      <c r="W166" s="153" t="str">
        <f t="array" ref="W166">INDEX(xlRTCLNAME,MATCH(1,(xlRTCLENDU=2)*(xlRTCLEQCL=$F166),0))</f>
        <v>CENT_AIR</v>
      </c>
      <c r="X166" s="153" t="str">
        <f t="array" ref="X166">INDEX(xlRTTYNAME,MATCH(1,(xlRTTYENDU=1)*(xlRTTYEQCL=$D166)*(xlRTEQTYPE=$E166),0))</f>
        <v>DIST_RAD1</v>
      </c>
      <c r="Y166" s="153" t="str">
        <f t="array" ref="Y166">INDEX(xlRTTYNAME,MATCH(1,(xlRTTYENDU=2)*(xlRTTYEQCL=$F166)*(xlRTEQTYPE=$G166),0))</f>
        <v>CENT_AIR2</v>
      </c>
    </row>
    <row r="167" spans="2:25" x14ac:dyDescent="0.2">
      <c r="B167" s="126">
        <v>9</v>
      </c>
      <c r="C167" s="126">
        <v>1</v>
      </c>
      <c r="D167" s="126">
        <v>8</v>
      </c>
      <c r="E167" s="126">
        <v>26</v>
      </c>
      <c r="F167" s="126">
        <v>2</v>
      </c>
      <c r="G167" s="126">
        <v>5</v>
      </c>
      <c r="H167" s="126">
        <v>2016</v>
      </c>
      <c r="I167" s="126">
        <v>2022</v>
      </c>
      <c r="J167" s="127">
        <v>1.0414000000000001</v>
      </c>
      <c r="K167" s="127">
        <v>1.07</v>
      </c>
      <c r="L167" s="127">
        <v>1.1088</v>
      </c>
      <c r="M167" s="127">
        <v>1.1204000000000001</v>
      </c>
      <c r="N167" s="127">
        <v>1.026</v>
      </c>
      <c r="O167" s="127">
        <v>1.0538000000000001</v>
      </c>
      <c r="P167" s="126">
        <v>0</v>
      </c>
      <c r="Q167" s="128">
        <f t="array" ref="Q167">SUM(IF(($S167&gt;=4)*($C167='TaxCred&amp;Subs'!$D$123:$D$127)*($H167='TaxCred&amp;Subs'!$C$123:$C$127)*($H167&lt;='TaxCred&amp;Subs'!$C$129),'TaxCred&amp;Subs'!$E$123:$E$127,0))</f>
        <v>0</v>
      </c>
      <c r="R167" s="174">
        <v>0</v>
      </c>
      <c r="S167" s="126">
        <v>1</v>
      </c>
      <c r="T167" s="126" t="s">
        <v>223</v>
      </c>
      <c r="U167" s="158"/>
      <c r="V167" s="153" t="str">
        <f t="array" ref="V167">INDEX(xlRTCLNAME,MATCH(1,(xlRTCLENDU=1)*(xlRTCLEQCL=$D167),0))</f>
        <v>DIST_RAD</v>
      </c>
      <c r="W167" s="153" t="str">
        <f t="array" ref="W167">INDEX(xlRTCLNAME,MATCH(1,(xlRTCLENDU=2)*(xlRTCLEQCL=$F167),0))</f>
        <v>CENT_AIR</v>
      </c>
      <c r="X167" s="153" t="str">
        <f t="array" ref="X167">INDEX(xlRTTYNAME,MATCH(1,(xlRTTYENDU=1)*(xlRTTYEQCL=$D167)*(xlRTEQTYPE=$E167),0))</f>
        <v>DIST_RAD1</v>
      </c>
      <c r="Y167" s="153" t="str">
        <f t="array" ref="Y167">INDEX(xlRTTYNAME,MATCH(1,(xlRTTYENDU=2)*(xlRTTYEQCL=$F167)*(xlRTEQTYPE=$G167),0))</f>
        <v>CENT_AIR1</v>
      </c>
    </row>
    <row r="168" spans="2:25" x14ac:dyDescent="0.2">
      <c r="B168" s="126">
        <v>9</v>
      </c>
      <c r="C168" s="126">
        <v>1</v>
      </c>
      <c r="D168" s="126">
        <v>8</v>
      </c>
      <c r="E168" s="126">
        <v>26</v>
      </c>
      <c r="F168" s="126">
        <v>2</v>
      </c>
      <c r="G168" s="126">
        <v>6</v>
      </c>
      <c r="H168" s="126">
        <v>2023</v>
      </c>
      <c r="I168" s="126">
        <v>2050</v>
      </c>
      <c r="J168" s="127">
        <v>1.0414000000000001</v>
      </c>
      <c r="K168" s="127">
        <v>1.07</v>
      </c>
      <c r="L168" s="127">
        <v>1.1088</v>
      </c>
      <c r="M168" s="127">
        <v>1.1204000000000001</v>
      </c>
      <c r="N168" s="127">
        <v>1.026</v>
      </c>
      <c r="O168" s="127">
        <v>1.0538000000000001</v>
      </c>
      <c r="P168" s="126">
        <v>0</v>
      </c>
      <c r="Q168" s="128">
        <f t="array" ref="Q168">SUM(IF(($S168&gt;=4)*($C168='TaxCred&amp;Subs'!$D$123:$D$127)*($H168='TaxCred&amp;Subs'!$C$123:$C$127)*($H168&lt;='TaxCred&amp;Subs'!$C$129),'TaxCred&amp;Subs'!$E$123:$E$127,0))</f>
        <v>0</v>
      </c>
      <c r="R168" s="174">
        <v>0</v>
      </c>
      <c r="S168" s="126">
        <v>1</v>
      </c>
      <c r="T168" s="126" t="s">
        <v>223</v>
      </c>
      <c r="U168" s="158"/>
      <c r="V168" s="153" t="str">
        <f t="array" ref="V168">INDEX(xlRTCLNAME,MATCH(1,(xlRTCLENDU=1)*(xlRTCLEQCL=$D168),0))</f>
        <v>DIST_RAD</v>
      </c>
      <c r="W168" s="153" t="str">
        <f t="array" ref="W168">INDEX(xlRTCLNAME,MATCH(1,(xlRTCLENDU=2)*(xlRTCLEQCL=$F168),0))</f>
        <v>CENT_AIR</v>
      </c>
      <c r="X168" s="153" t="str">
        <f t="array" ref="X168">INDEX(xlRTTYNAME,MATCH(1,(xlRTTYENDU=1)*(xlRTTYEQCL=$D168)*(xlRTEQTYPE=$E168),0))</f>
        <v>DIST_RAD1</v>
      </c>
      <c r="Y168" s="153" t="str">
        <f t="array" ref="Y168">INDEX(xlRTTYNAME,MATCH(1,(xlRTTYENDU=2)*(xlRTTYEQCL=$F168)*(xlRTEQTYPE=$G168),0))</f>
        <v>CENT_AIR2</v>
      </c>
    </row>
    <row r="169" spans="2:25" x14ac:dyDescent="0.2">
      <c r="B169" s="126">
        <v>1</v>
      </c>
      <c r="C169" s="126">
        <v>1</v>
      </c>
      <c r="D169" s="126">
        <v>9</v>
      </c>
      <c r="E169" s="126">
        <v>30</v>
      </c>
      <c r="F169" s="126">
        <v>2</v>
      </c>
      <c r="G169" s="126">
        <v>5</v>
      </c>
      <c r="H169" s="126">
        <v>2016</v>
      </c>
      <c r="I169" s="126">
        <v>2022</v>
      </c>
      <c r="J169" s="127">
        <v>1.0592999999999999</v>
      </c>
      <c r="K169" s="127">
        <v>1.0889</v>
      </c>
      <c r="L169" s="127">
        <v>0.91249999999999998</v>
      </c>
      <c r="M169" s="127">
        <v>1.0396000000000001</v>
      </c>
      <c r="N169" s="127">
        <v>0.8095</v>
      </c>
      <c r="O169" s="127">
        <v>1.0538000000000001</v>
      </c>
      <c r="P169" s="126">
        <v>0</v>
      </c>
      <c r="Q169" s="128">
        <f t="array" ref="Q169">SUM(IF(($S169&gt;=4)*($C169='TaxCred&amp;Subs'!$D$123:$D$127)*($H169='TaxCred&amp;Subs'!$C$123:$C$127)*($H169&lt;='TaxCred&amp;Subs'!$C$129),'TaxCred&amp;Subs'!$E$123:$E$127,0))</f>
        <v>0</v>
      </c>
      <c r="R169" s="174">
        <v>0</v>
      </c>
      <c r="S169" s="126">
        <v>1</v>
      </c>
      <c r="T169" s="126" t="s">
        <v>223</v>
      </c>
      <c r="U169" s="158"/>
      <c r="V169" s="153" t="str">
        <f t="array" ref="V169">INDEX(xlRTCLNAME,MATCH(1,(xlRTCLENDU=1)*(xlRTCLEQCL=$D169),0))</f>
        <v>WOOD_HT</v>
      </c>
      <c r="W169" s="153" t="str">
        <f t="array" ref="W169">INDEX(xlRTCLNAME,MATCH(1,(xlRTCLENDU=2)*(xlRTCLEQCL=$F169),0))</f>
        <v>CENT_AIR</v>
      </c>
      <c r="X169" s="153" t="str">
        <f t="array" ref="X169">INDEX(xlRTTYNAME,MATCH(1,(xlRTTYENDU=1)*(xlRTTYEQCL=$D169)*(xlRTEQTYPE=$E169),0))</f>
        <v>WOOD_HT2</v>
      </c>
      <c r="Y169" s="153" t="str">
        <f t="array" ref="Y169">INDEX(xlRTTYNAME,MATCH(1,(xlRTTYENDU=2)*(xlRTTYEQCL=$F169)*(xlRTEQTYPE=$G169),0))</f>
        <v>CENT_AIR1</v>
      </c>
    </row>
    <row r="170" spans="2:25" x14ac:dyDescent="0.2">
      <c r="B170" s="126">
        <v>1</v>
      </c>
      <c r="C170" s="126">
        <v>1</v>
      </c>
      <c r="D170" s="126">
        <v>9</v>
      </c>
      <c r="E170" s="126">
        <v>30</v>
      </c>
      <c r="F170" s="126">
        <v>2</v>
      </c>
      <c r="G170" s="126">
        <v>6</v>
      </c>
      <c r="H170" s="126">
        <v>2023</v>
      </c>
      <c r="I170" s="126">
        <v>2050</v>
      </c>
      <c r="J170" s="127">
        <v>1.0592999999999999</v>
      </c>
      <c r="K170" s="127">
        <v>1.0889</v>
      </c>
      <c r="L170" s="127">
        <v>0.91249999999999998</v>
      </c>
      <c r="M170" s="127">
        <v>1.0396000000000001</v>
      </c>
      <c r="N170" s="127">
        <v>0.8095</v>
      </c>
      <c r="O170" s="127">
        <v>1.0538000000000001</v>
      </c>
      <c r="P170" s="126">
        <v>0</v>
      </c>
      <c r="Q170" s="128">
        <f t="array" ref="Q170">SUM(IF(($S170&gt;=4)*($C170='TaxCred&amp;Subs'!$D$123:$D$127)*($H170='TaxCred&amp;Subs'!$C$123:$C$127)*($H170&lt;='TaxCred&amp;Subs'!$C$129),'TaxCred&amp;Subs'!$E$123:$E$127,0))</f>
        <v>0</v>
      </c>
      <c r="R170" s="174">
        <v>0</v>
      </c>
      <c r="S170" s="126">
        <v>1</v>
      </c>
      <c r="T170" s="126" t="s">
        <v>223</v>
      </c>
      <c r="U170" s="158"/>
      <c r="V170" s="153" t="str">
        <f t="array" ref="V170">INDEX(xlRTCLNAME,MATCH(1,(xlRTCLENDU=1)*(xlRTCLEQCL=$D170),0))</f>
        <v>WOOD_HT</v>
      </c>
      <c r="W170" s="153" t="str">
        <f t="array" ref="W170">INDEX(xlRTCLNAME,MATCH(1,(xlRTCLENDU=2)*(xlRTCLEQCL=$F170),0))</f>
        <v>CENT_AIR</v>
      </c>
      <c r="X170" s="153" t="str">
        <f t="array" ref="X170">INDEX(xlRTTYNAME,MATCH(1,(xlRTTYENDU=1)*(xlRTTYEQCL=$D170)*(xlRTEQTYPE=$E170),0))</f>
        <v>WOOD_HT2</v>
      </c>
      <c r="Y170" s="153" t="str">
        <f t="array" ref="Y170">INDEX(xlRTTYNAME,MATCH(1,(xlRTTYENDU=2)*(xlRTTYEQCL=$F170)*(xlRTEQTYPE=$G170),0))</f>
        <v>CENT_AIR2</v>
      </c>
    </row>
    <row r="171" spans="2:25" x14ac:dyDescent="0.2">
      <c r="B171" s="126">
        <v>2</v>
      </c>
      <c r="C171" s="126">
        <v>1</v>
      </c>
      <c r="D171" s="126">
        <v>9</v>
      </c>
      <c r="E171" s="126">
        <v>30</v>
      </c>
      <c r="F171" s="126">
        <v>2</v>
      </c>
      <c r="G171" s="126">
        <v>5</v>
      </c>
      <c r="H171" s="126">
        <v>2016</v>
      </c>
      <c r="I171" s="126">
        <v>2022</v>
      </c>
      <c r="J171" s="127">
        <v>1.0717000000000001</v>
      </c>
      <c r="K171" s="127">
        <v>1.0895999999999999</v>
      </c>
      <c r="L171" s="127">
        <v>0.9929</v>
      </c>
      <c r="M171" s="127">
        <v>0.95550000000000002</v>
      </c>
      <c r="N171" s="127">
        <v>0.92630000000000001</v>
      </c>
      <c r="O171" s="127">
        <v>1.0538000000000001</v>
      </c>
      <c r="P171" s="126">
        <v>0</v>
      </c>
      <c r="Q171" s="128">
        <f t="array" ref="Q171">SUM(IF(($S171&gt;=4)*($C171='TaxCred&amp;Subs'!$D$123:$D$127)*($H171='TaxCred&amp;Subs'!$C$123:$C$127)*($H171&lt;='TaxCred&amp;Subs'!$C$129),'TaxCred&amp;Subs'!$E$123:$E$127,0))</f>
        <v>0</v>
      </c>
      <c r="R171" s="174">
        <v>0</v>
      </c>
      <c r="S171" s="126">
        <v>1</v>
      </c>
      <c r="T171" s="126" t="s">
        <v>223</v>
      </c>
      <c r="U171" s="158"/>
      <c r="V171" s="153" t="str">
        <f t="array" ref="V171">INDEX(xlRTCLNAME,MATCH(1,(xlRTCLENDU=1)*(xlRTCLEQCL=$D171),0))</f>
        <v>WOOD_HT</v>
      </c>
      <c r="W171" s="153" t="str">
        <f t="array" ref="W171">INDEX(xlRTCLNAME,MATCH(1,(xlRTCLENDU=2)*(xlRTCLEQCL=$F171),0))</f>
        <v>CENT_AIR</v>
      </c>
      <c r="X171" s="153" t="str">
        <f t="array" ref="X171">INDEX(xlRTTYNAME,MATCH(1,(xlRTTYENDU=1)*(xlRTTYEQCL=$D171)*(xlRTEQTYPE=$E171),0))</f>
        <v>WOOD_HT2</v>
      </c>
      <c r="Y171" s="153" t="str">
        <f t="array" ref="Y171">INDEX(xlRTTYNAME,MATCH(1,(xlRTTYENDU=2)*(xlRTTYEQCL=$F171)*(xlRTEQTYPE=$G171),0))</f>
        <v>CENT_AIR1</v>
      </c>
    </row>
    <row r="172" spans="2:25" x14ac:dyDescent="0.2">
      <c r="B172" s="126">
        <v>2</v>
      </c>
      <c r="C172" s="126">
        <v>1</v>
      </c>
      <c r="D172" s="126">
        <v>9</v>
      </c>
      <c r="E172" s="126">
        <v>30</v>
      </c>
      <c r="F172" s="126">
        <v>2</v>
      </c>
      <c r="G172" s="126">
        <v>6</v>
      </c>
      <c r="H172" s="126">
        <v>2023</v>
      </c>
      <c r="I172" s="126">
        <v>2050</v>
      </c>
      <c r="J172" s="127">
        <v>1.0717000000000001</v>
      </c>
      <c r="K172" s="127">
        <v>1.0895999999999999</v>
      </c>
      <c r="L172" s="127">
        <v>0.9929</v>
      </c>
      <c r="M172" s="127">
        <v>0.95550000000000002</v>
      </c>
      <c r="N172" s="127">
        <v>0.92630000000000001</v>
      </c>
      <c r="O172" s="127">
        <v>1.0538000000000001</v>
      </c>
      <c r="P172" s="126">
        <v>0</v>
      </c>
      <c r="Q172" s="128">
        <f t="array" ref="Q172">SUM(IF(($S172&gt;=4)*($C172='TaxCred&amp;Subs'!$D$123:$D$127)*($H172='TaxCred&amp;Subs'!$C$123:$C$127)*($H172&lt;='TaxCred&amp;Subs'!$C$129),'TaxCred&amp;Subs'!$E$123:$E$127,0))</f>
        <v>0</v>
      </c>
      <c r="R172" s="174">
        <v>0</v>
      </c>
      <c r="S172" s="126">
        <v>1</v>
      </c>
      <c r="T172" s="126" t="s">
        <v>223</v>
      </c>
      <c r="U172" s="158"/>
      <c r="V172" s="153" t="str">
        <f t="array" ref="V172">INDEX(xlRTCLNAME,MATCH(1,(xlRTCLENDU=1)*(xlRTCLEQCL=$D172),0))</f>
        <v>WOOD_HT</v>
      </c>
      <c r="W172" s="153" t="str">
        <f t="array" ref="W172">INDEX(xlRTCLNAME,MATCH(1,(xlRTCLENDU=2)*(xlRTCLEQCL=$F172),0))</f>
        <v>CENT_AIR</v>
      </c>
      <c r="X172" s="153" t="str">
        <f t="array" ref="X172">INDEX(xlRTTYNAME,MATCH(1,(xlRTTYENDU=1)*(xlRTTYEQCL=$D172)*(xlRTEQTYPE=$E172),0))</f>
        <v>WOOD_HT2</v>
      </c>
      <c r="Y172" s="153" t="str">
        <f t="array" ref="Y172">INDEX(xlRTTYNAME,MATCH(1,(xlRTTYENDU=2)*(xlRTTYEQCL=$F172)*(xlRTEQTYPE=$G172),0))</f>
        <v>CENT_AIR2</v>
      </c>
    </row>
    <row r="173" spans="2:25" x14ac:dyDescent="0.2">
      <c r="B173" s="126">
        <v>3</v>
      </c>
      <c r="C173" s="126">
        <v>1</v>
      </c>
      <c r="D173" s="126">
        <v>9</v>
      </c>
      <c r="E173" s="126">
        <v>30</v>
      </c>
      <c r="F173" s="126">
        <v>2</v>
      </c>
      <c r="G173" s="126">
        <v>5</v>
      </c>
      <c r="H173" s="126">
        <v>2016</v>
      </c>
      <c r="I173" s="126">
        <v>2022</v>
      </c>
      <c r="J173" s="127">
        <v>1.0821000000000001</v>
      </c>
      <c r="K173" s="127">
        <v>1.0769</v>
      </c>
      <c r="L173" s="127">
        <v>0.93120000000000003</v>
      </c>
      <c r="M173" s="127">
        <v>0.9627</v>
      </c>
      <c r="N173" s="127">
        <v>0.91400000000000003</v>
      </c>
      <c r="O173" s="127">
        <v>1.0538000000000001</v>
      </c>
      <c r="P173" s="126">
        <v>0</v>
      </c>
      <c r="Q173" s="128">
        <f t="array" ref="Q173">SUM(IF(($S173&gt;=4)*($C173='TaxCred&amp;Subs'!$D$123:$D$127)*($H173='TaxCred&amp;Subs'!$C$123:$C$127)*($H173&lt;='TaxCred&amp;Subs'!$C$129),'TaxCred&amp;Subs'!$E$123:$E$127,0))</f>
        <v>0</v>
      </c>
      <c r="R173" s="174">
        <v>0</v>
      </c>
      <c r="S173" s="126">
        <v>1</v>
      </c>
      <c r="T173" s="126" t="s">
        <v>223</v>
      </c>
      <c r="U173" s="158"/>
      <c r="V173" s="153" t="str">
        <f t="array" ref="V173">INDEX(xlRTCLNAME,MATCH(1,(xlRTCLENDU=1)*(xlRTCLEQCL=$D173),0))</f>
        <v>WOOD_HT</v>
      </c>
      <c r="W173" s="153" t="str">
        <f t="array" ref="W173">INDEX(xlRTCLNAME,MATCH(1,(xlRTCLENDU=2)*(xlRTCLEQCL=$F173),0))</f>
        <v>CENT_AIR</v>
      </c>
      <c r="X173" s="153" t="str">
        <f t="array" ref="X173">INDEX(xlRTTYNAME,MATCH(1,(xlRTTYENDU=1)*(xlRTTYEQCL=$D173)*(xlRTEQTYPE=$E173),0))</f>
        <v>WOOD_HT2</v>
      </c>
      <c r="Y173" s="153" t="str">
        <f t="array" ref="Y173">INDEX(xlRTTYNAME,MATCH(1,(xlRTTYENDU=2)*(xlRTTYEQCL=$F173)*(xlRTEQTYPE=$G173),0))</f>
        <v>CENT_AIR1</v>
      </c>
    </row>
    <row r="174" spans="2:25" x14ac:dyDescent="0.2">
      <c r="B174" s="126">
        <v>3</v>
      </c>
      <c r="C174" s="126">
        <v>1</v>
      </c>
      <c r="D174" s="126">
        <v>9</v>
      </c>
      <c r="E174" s="126">
        <v>30</v>
      </c>
      <c r="F174" s="126">
        <v>2</v>
      </c>
      <c r="G174" s="126">
        <v>6</v>
      </c>
      <c r="H174" s="126">
        <v>2023</v>
      </c>
      <c r="I174" s="126">
        <v>2050</v>
      </c>
      <c r="J174" s="127">
        <v>1.0821000000000001</v>
      </c>
      <c r="K174" s="127">
        <v>1.0769</v>
      </c>
      <c r="L174" s="127">
        <v>0.93120000000000003</v>
      </c>
      <c r="M174" s="127">
        <v>0.9627</v>
      </c>
      <c r="N174" s="127">
        <v>0.91400000000000003</v>
      </c>
      <c r="O174" s="127">
        <v>1.0538000000000001</v>
      </c>
      <c r="P174" s="126">
        <v>0</v>
      </c>
      <c r="Q174" s="128">
        <f t="array" ref="Q174">SUM(IF(($S174&gt;=4)*($C174='TaxCred&amp;Subs'!$D$123:$D$127)*($H174='TaxCred&amp;Subs'!$C$123:$C$127)*($H174&lt;='TaxCred&amp;Subs'!$C$129),'TaxCred&amp;Subs'!$E$123:$E$127,0))</f>
        <v>0</v>
      </c>
      <c r="R174" s="174">
        <v>0</v>
      </c>
      <c r="S174" s="126">
        <v>1</v>
      </c>
      <c r="T174" s="126" t="s">
        <v>223</v>
      </c>
      <c r="U174" s="158"/>
      <c r="V174" s="153" t="str">
        <f t="array" ref="V174">INDEX(xlRTCLNAME,MATCH(1,(xlRTCLENDU=1)*(xlRTCLEQCL=$D174),0))</f>
        <v>WOOD_HT</v>
      </c>
      <c r="W174" s="153" t="str">
        <f t="array" ref="W174">INDEX(xlRTCLNAME,MATCH(1,(xlRTCLENDU=2)*(xlRTCLEQCL=$F174),0))</f>
        <v>CENT_AIR</v>
      </c>
      <c r="X174" s="153" t="str">
        <f t="array" ref="X174">INDEX(xlRTTYNAME,MATCH(1,(xlRTTYENDU=1)*(xlRTTYEQCL=$D174)*(xlRTEQTYPE=$E174),0))</f>
        <v>WOOD_HT2</v>
      </c>
      <c r="Y174" s="153" t="str">
        <f t="array" ref="Y174">INDEX(xlRTTYNAME,MATCH(1,(xlRTTYENDU=2)*(xlRTTYEQCL=$F174)*(xlRTEQTYPE=$G174),0))</f>
        <v>CENT_AIR2</v>
      </c>
    </row>
    <row r="175" spans="2:25" x14ac:dyDescent="0.2">
      <c r="B175" s="126">
        <v>4</v>
      </c>
      <c r="C175" s="126">
        <v>1</v>
      </c>
      <c r="D175" s="126">
        <v>9</v>
      </c>
      <c r="E175" s="126">
        <v>30</v>
      </c>
      <c r="F175" s="126">
        <v>2</v>
      </c>
      <c r="G175" s="126">
        <v>5</v>
      </c>
      <c r="H175" s="126">
        <v>2016</v>
      </c>
      <c r="I175" s="126">
        <v>2022</v>
      </c>
      <c r="J175" s="127">
        <v>1.0812999999999999</v>
      </c>
      <c r="K175" s="127">
        <v>1.0769</v>
      </c>
      <c r="L175" s="127">
        <v>0.87539999999999996</v>
      </c>
      <c r="M175" s="127">
        <v>0.87319999999999998</v>
      </c>
      <c r="N175" s="127">
        <v>0.85660000000000003</v>
      </c>
      <c r="O175" s="127">
        <v>1.0538000000000001</v>
      </c>
      <c r="P175" s="126">
        <v>0</v>
      </c>
      <c r="Q175" s="128">
        <f t="array" ref="Q175">SUM(IF(($S175&gt;=4)*($C175='TaxCred&amp;Subs'!$D$123:$D$127)*($H175='TaxCred&amp;Subs'!$C$123:$C$127)*($H175&lt;='TaxCred&amp;Subs'!$C$129),'TaxCred&amp;Subs'!$E$123:$E$127,0))</f>
        <v>0</v>
      </c>
      <c r="R175" s="174">
        <v>0</v>
      </c>
      <c r="S175" s="126">
        <v>1</v>
      </c>
      <c r="T175" s="126" t="s">
        <v>223</v>
      </c>
      <c r="U175" s="158"/>
      <c r="V175" s="153" t="str">
        <f t="array" ref="V175">INDEX(xlRTCLNAME,MATCH(1,(xlRTCLENDU=1)*(xlRTCLEQCL=$D175),0))</f>
        <v>WOOD_HT</v>
      </c>
      <c r="W175" s="153" t="str">
        <f t="array" ref="W175">INDEX(xlRTCLNAME,MATCH(1,(xlRTCLENDU=2)*(xlRTCLEQCL=$F175),0))</f>
        <v>CENT_AIR</v>
      </c>
      <c r="X175" s="153" t="str">
        <f t="array" ref="X175">INDEX(xlRTTYNAME,MATCH(1,(xlRTTYENDU=1)*(xlRTTYEQCL=$D175)*(xlRTEQTYPE=$E175),0))</f>
        <v>WOOD_HT2</v>
      </c>
      <c r="Y175" s="153" t="str">
        <f t="array" ref="Y175">INDEX(xlRTTYNAME,MATCH(1,(xlRTTYENDU=2)*(xlRTTYEQCL=$F175)*(xlRTEQTYPE=$G175),0))</f>
        <v>CENT_AIR1</v>
      </c>
    </row>
    <row r="176" spans="2:25" x14ac:dyDescent="0.2">
      <c r="B176" s="126">
        <v>4</v>
      </c>
      <c r="C176" s="126">
        <v>1</v>
      </c>
      <c r="D176" s="126">
        <v>9</v>
      </c>
      <c r="E176" s="126">
        <v>30</v>
      </c>
      <c r="F176" s="126">
        <v>2</v>
      </c>
      <c r="G176" s="126">
        <v>6</v>
      </c>
      <c r="H176" s="126">
        <v>2023</v>
      </c>
      <c r="I176" s="126">
        <v>2050</v>
      </c>
      <c r="J176" s="127">
        <v>1.0812999999999999</v>
      </c>
      <c r="K176" s="127">
        <v>1.0769</v>
      </c>
      <c r="L176" s="127">
        <v>0.87539999999999996</v>
      </c>
      <c r="M176" s="127">
        <v>0.87319999999999998</v>
      </c>
      <c r="N176" s="127">
        <v>0.85660000000000003</v>
      </c>
      <c r="O176" s="127">
        <v>1.0538000000000001</v>
      </c>
      <c r="P176" s="126">
        <v>0</v>
      </c>
      <c r="Q176" s="128">
        <f t="array" ref="Q176">SUM(IF(($S176&gt;=4)*($C176='TaxCred&amp;Subs'!$D$123:$D$127)*($H176='TaxCred&amp;Subs'!$C$123:$C$127)*($H176&lt;='TaxCred&amp;Subs'!$C$129),'TaxCred&amp;Subs'!$E$123:$E$127,0))</f>
        <v>0</v>
      </c>
      <c r="R176" s="174">
        <v>0</v>
      </c>
      <c r="S176" s="126">
        <v>1</v>
      </c>
      <c r="T176" s="126" t="s">
        <v>223</v>
      </c>
      <c r="U176" s="158"/>
      <c r="V176" s="153" t="str">
        <f t="array" ref="V176">INDEX(xlRTCLNAME,MATCH(1,(xlRTCLENDU=1)*(xlRTCLEQCL=$D176),0))</f>
        <v>WOOD_HT</v>
      </c>
      <c r="W176" s="153" t="str">
        <f t="array" ref="W176">INDEX(xlRTCLNAME,MATCH(1,(xlRTCLENDU=2)*(xlRTCLEQCL=$F176),0))</f>
        <v>CENT_AIR</v>
      </c>
      <c r="X176" s="153" t="str">
        <f t="array" ref="X176">INDEX(xlRTTYNAME,MATCH(1,(xlRTTYENDU=1)*(xlRTTYEQCL=$D176)*(xlRTEQTYPE=$E176),0))</f>
        <v>WOOD_HT2</v>
      </c>
      <c r="Y176" s="153" t="str">
        <f t="array" ref="Y176">INDEX(xlRTTYNAME,MATCH(1,(xlRTTYENDU=2)*(xlRTTYEQCL=$F176)*(xlRTEQTYPE=$G176),0))</f>
        <v>CENT_AIR2</v>
      </c>
    </row>
    <row r="177" spans="2:25" x14ac:dyDescent="0.2">
      <c r="B177" s="126">
        <v>5</v>
      </c>
      <c r="C177" s="126">
        <v>1</v>
      </c>
      <c r="D177" s="126">
        <v>9</v>
      </c>
      <c r="E177" s="126">
        <v>30</v>
      </c>
      <c r="F177" s="126">
        <v>2</v>
      </c>
      <c r="G177" s="126">
        <v>5</v>
      </c>
      <c r="H177" s="126">
        <v>2016</v>
      </c>
      <c r="I177" s="126">
        <v>2022</v>
      </c>
      <c r="J177" s="127">
        <v>1.0838000000000001</v>
      </c>
      <c r="K177" s="127">
        <v>1.0465</v>
      </c>
      <c r="L177" s="127">
        <v>0.89700000000000002</v>
      </c>
      <c r="M177" s="127">
        <v>1.0934999999999999</v>
      </c>
      <c r="N177" s="127">
        <v>0.75670000000000004</v>
      </c>
      <c r="O177" s="127">
        <v>1.0538000000000001</v>
      </c>
      <c r="P177" s="126">
        <v>0</v>
      </c>
      <c r="Q177" s="128">
        <f t="array" ref="Q177">SUM(IF(($S177&gt;=4)*($C177='TaxCred&amp;Subs'!$D$123:$D$127)*($H177='TaxCred&amp;Subs'!$C$123:$C$127)*($H177&lt;='TaxCred&amp;Subs'!$C$129),'TaxCred&amp;Subs'!$E$123:$E$127,0))</f>
        <v>0</v>
      </c>
      <c r="R177" s="174">
        <v>0</v>
      </c>
      <c r="S177" s="126">
        <v>1</v>
      </c>
      <c r="T177" s="126" t="s">
        <v>223</v>
      </c>
      <c r="U177" s="158"/>
      <c r="V177" s="153" t="str">
        <f t="array" ref="V177">INDEX(xlRTCLNAME,MATCH(1,(xlRTCLENDU=1)*(xlRTCLEQCL=$D177),0))</f>
        <v>WOOD_HT</v>
      </c>
      <c r="W177" s="153" t="str">
        <f t="array" ref="W177">INDEX(xlRTCLNAME,MATCH(1,(xlRTCLENDU=2)*(xlRTCLEQCL=$F177),0))</f>
        <v>CENT_AIR</v>
      </c>
      <c r="X177" s="153" t="str">
        <f t="array" ref="X177">INDEX(xlRTTYNAME,MATCH(1,(xlRTTYENDU=1)*(xlRTTYEQCL=$D177)*(xlRTEQTYPE=$E177),0))</f>
        <v>WOOD_HT2</v>
      </c>
      <c r="Y177" s="153" t="str">
        <f t="array" ref="Y177">INDEX(xlRTTYNAME,MATCH(1,(xlRTTYENDU=2)*(xlRTTYEQCL=$F177)*(xlRTEQTYPE=$G177),0))</f>
        <v>CENT_AIR1</v>
      </c>
    </row>
    <row r="178" spans="2:25" x14ac:dyDescent="0.2">
      <c r="B178" s="126">
        <v>5</v>
      </c>
      <c r="C178" s="126">
        <v>1</v>
      </c>
      <c r="D178" s="126">
        <v>9</v>
      </c>
      <c r="E178" s="126">
        <v>30</v>
      </c>
      <c r="F178" s="126">
        <v>2</v>
      </c>
      <c r="G178" s="126">
        <v>6</v>
      </c>
      <c r="H178" s="126">
        <v>2023</v>
      </c>
      <c r="I178" s="126">
        <v>2050</v>
      </c>
      <c r="J178" s="127">
        <v>1.0838000000000001</v>
      </c>
      <c r="K178" s="127">
        <v>1.0465</v>
      </c>
      <c r="L178" s="127">
        <v>0.89700000000000002</v>
      </c>
      <c r="M178" s="127">
        <v>1.0934999999999999</v>
      </c>
      <c r="N178" s="127">
        <v>0.75670000000000004</v>
      </c>
      <c r="O178" s="127">
        <v>1.0538000000000001</v>
      </c>
      <c r="P178" s="126">
        <v>0</v>
      </c>
      <c r="Q178" s="128">
        <f t="array" ref="Q178">SUM(IF(($S178&gt;=4)*($C178='TaxCred&amp;Subs'!$D$123:$D$127)*($H178='TaxCred&amp;Subs'!$C$123:$C$127)*($H178&lt;='TaxCred&amp;Subs'!$C$129),'TaxCred&amp;Subs'!$E$123:$E$127,0))</f>
        <v>0</v>
      </c>
      <c r="R178" s="174">
        <v>0</v>
      </c>
      <c r="S178" s="126">
        <v>1</v>
      </c>
      <c r="T178" s="126" t="s">
        <v>223</v>
      </c>
      <c r="U178" s="158"/>
      <c r="V178" s="153" t="str">
        <f t="array" ref="V178">INDEX(xlRTCLNAME,MATCH(1,(xlRTCLENDU=1)*(xlRTCLEQCL=$D178),0))</f>
        <v>WOOD_HT</v>
      </c>
      <c r="W178" s="153" t="str">
        <f t="array" ref="W178">INDEX(xlRTCLNAME,MATCH(1,(xlRTCLENDU=2)*(xlRTCLEQCL=$F178),0))</f>
        <v>CENT_AIR</v>
      </c>
      <c r="X178" s="153" t="str">
        <f t="array" ref="X178">INDEX(xlRTTYNAME,MATCH(1,(xlRTTYENDU=1)*(xlRTTYEQCL=$D178)*(xlRTEQTYPE=$E178),0))</f>
        <v>WOOD_HT2</v>
      </c>
      <c r="Y178" s="153" t="str">
        <f t="array" ref="Y178">INDEX(xlRTTYNAME,MATCH(1,(xlRTTYENDU=2)*(xlRTTYEQCL=$F178)*(xlRTEQTYPE=$G178),0))</f>
        <v>CENT_AIR2</v>
      </c>
    </row>
    <row r="179" spans="2:25" x14ac:dyDescent="0.2">
      <c r="B179" s="126">
        <v>6</v>
      </c>
      <c r="C179" s="126">
        <v>1</v>
      </c>
      <c r="D179" s="126">
        <v>9</v>
      </c>
      <c r="E179" s="126">
        <v>30</v>
      </c>
      <c r="F179" s="126">
        <v>2</v>
      </c>
      <c r="G179" s="126">
        <v>5</v>
      </c>
      <c r="H179" s="126">
        <v>2016</v>
      </c>
      <c r="I179" s="126">
        <v>2022</v>
      </c>
      <c r="J179" s="127">
        <v>1.089</v>
      </c>
      <c r="K179" s="127">
        <v>1.0583</v>
      </c>
      <c r="L179" s="127">
        <v>1.0245</v>
      </c>
      <c r="M179" s="127">
        <v>1.1335999999999999</v>
      </c>
      <c r="N179" s="127">
        <v>0.88849999999999996</v>
      </c>
      <c r="O179" s="127">
        <v>1.0538000000000001</v>
      </c>
      <c r="P179" s="126">
        <v>0</v>
      </c>
      <c r="Q179" s="128">
        <f t="array" ref="Q179">SUM(IF(($S179&gt;=4)*($C179='TaxCred&amp;Subs'!$D$123:$D$127)*($H179='TaxCred&amp;Subs'!$C$123:$C$127)*($H179&lt;='TaxCred&amp;Subs'!$C$129),'TaxCred&amp;Subs'!$E$123:$E$127,0))</f>
        <v>0</v>
      </c>
      <c r="R179" s="174">
        <v>0</v>
      </c>
      <c r="S179" s="126">
        <v>1</v>
      </c>
      <c r="T179" s="126" t="s">
        <v>223</v>
      </c>
      <c r="U179" s="158"/>
      <c r="V179" s="153" t="str">
        <f t="array" ref="V179">INDEX(xlRTCLNAME,MATCH(1,(xlRTCLENDU=1)*(xlRTCLEQCL=$D179),0))</f>
        <v>WOOD_HT</v>
      </c>
      <c r="W179" s="153" t="str">
        <f t="array" ref="W179">INDEX(xlRTCLNAME,MATCH(1,(xlRTCLENDU=2)*(xlRTCLEQCL=$F179),0))</f>
        <v>CENT_AIR</v>
      </c>
      <c r="X179" s="153" t="str">
        <f t="array" ref="X179">INDEX(xlRTTYNAME,MATCH(1,(xlRTTYENDU=1)*(xlRTTYEQCL=$D179)*(xlRTEQTYPE=$E179),0))</f>
        <v>WOOD_HT2</v>
      </c>
      <c r="Y179" s="153" t="str">
        <f t="array" ref="Y179">INDEX(xlRTTYNAME,MATCH(1,(xlRTTYENDU=2)*(xlRTTYEQCL=$F179)*(xlRTEQTYPE=$G179),0))</f>
        <v>CENT_AIR1</v>
      </c>
    </row>
    <row r="180" spans="2:25" x14ac:dyDescent="0.2">
      <c r="B180" s="126">
        <v>6</v>
      </c>
      <c r="C180" s="126">
        <v>1</v>
      </c>
      <c r="D180" s="126">
        <v>9</v>
      </c>
      <c r="E180" s="126">
        <v>30</v>
      </c>
      <c r="F180" s="126">
        <v>2</v>
      </c>
      <c r="G180" s="126">
        <v>6</v>
      </c>
      <c r="H180" s="126">
        <v>2023</v>
      </c>
      <c r="I180" s="126">
        <v>2050</v>
      </c>
      <c r="J180" s="127">
        <v>1.089</v>
      </c>
      <c r="K180" s="127">
        <v>1.0583</v>
      </c>
      <c r="L180" s="127">
        <v>1.0245</v>
      </c>
      <c r="M180" s="127">
        <v>1.1335999999999999</v>
      </c>
      <c r="N180" s="127">
        <v>0.88849999999999996</v>
      </c>
      <c r="O180" s="127">
        <v>1.0538000000000001</v>
      </c>
      <c r="P180" s="126">
        <v>0</v>
      </c>
      <c r="Q180" s="128">
        <f t="array" ref="Q180">SUM(IF(($S180&gt;=4)*($C180='TaxCred&amp;Subs'!$D$123:$D$127)*($H180='TaxCred&amp;Subs'!$C$123:$C$127)*($H180&lt;='TaxCred&amp;Subs'!$C$129),'TaxCred&amp;Subs'!$E$123:$E$127,0))</f>
        <v>0</v>
      </c>
      <c r="R180" s="174">
        <v>0</v>
      </c>
      <c r="S180" s="126">
        <v>1</v>
      </c>
      <c r="T180" s="126" t="s">
        <v>223</v>
      </c>
      <c r="U180" s="158"/>
      <c r="V180" s="153" t="str">
        <f t="array" ref="V180">INDEX(xlRTCLNAME,MATCH(1,(xlRTCLENDU=1)*(xlRTCLEQCL=$D180),0))</f>
        <v>WOOD_HT</v>
      </c>
      <c r="W180" s="153" t="str">
        <f t="array" ref="W180">INDEX(xlRTCLNAME,MATCH(1,(xlRTCLENDU=2)*(xlRTCLEQCL=$F180),0))</f>
        <v>CENT_AIR</v>
      </c>
      <c r="X180" s="153" t="str">
        <f t="array" ref="X180">INDEX(xlRTTYNAME,MATCH(1,(xlRTTYENDU=1)*(xlRTTYEQCL=$D180)*(xlRTEQTYPE=$E180),0))</f>
        <v>WOOD_HT2</v>
      </c>
      <c r="Y180" s="153" t="str">
        <f t="array" ref="Y180">INDEX(xlRTTYNAME,MATCH(1,(xlRTTYENDU=2)*(xlRTTYEQCL=$F180)*(xlRTEQTYPE=$G180),0))</f>
        <v>CENT_AIR2</v>
      </c>
    </row>
    <row r="181" spans="2:25" x14ac:dyDescent="0.2">
      <c r="B181" s="126">
        <v>7</v>
      </c>
      <c r="C181" s="126">
        <v>1</v>
      </c>
      <c r="D181" s="126">
        <v>9</v>
      </c>
      <c r="E181" s="126">
        <v>30</v>
      </c>
      <c r="F181" s="126">
        <v>2</v>
      </c>
      <c r="G181" s="126">
        <v>5</v>
      </c>
      <c r="H181" s="126">
        <v>2016</v>
      </c>
      <c r="I181" s="126">
        <v>2022</v>
      </c>
      <c r="J181" s="127">
        <v>1.0867</v>
      </c>
      <c r="K181" s="127">
        <v>1.0682</v>
      </c>
      <c r="L181" s="127">
        <v>1.046</v>
      </c>
      <c r="M181" s="127">
        <v>1.0382</v>
      </c>
      <c r="N181" s="127">
        <v>0.87180000000000002</v>
      </c>
      <c r="O181" s="127">
        <v>1.0538000000000001</v>
      </c>
      <c r="P181" s="126">
        <v>0</v>
      </c>
      <c r="Q181" s="128">
        <f t="array" ref="Q181">SUM(IF(($S181&gt;=4)*($C181='TaxCred&amp;Subs'!$D$123:$D$127)*($H181='TaxCred&amp;Subs'!$C$123:$C$127)*($H181&lt;='TaxCred&amp;Subs'!$C$129),'TaxCred&amp;Subs'!$E$123:$E$127,0))</f>
        <v>0</v>
      </c>
      <c r="R181" s="174">
        <v>0</v>
      </c>
      <c r="S181" s="126">
        <v>1</v>
      </c>
      <c r="T181" s="126" t="s">
        <v>223</v>
      </c>
      <c r="U181" s="158"/>
      <c r="V181" s="153" t="str">
        <f t="array" ref="V181">INDEX(xlRTCLNAME,MATCH(1,(xlRTCLENDU=1)*(xlRTCLEQCL=$D181),0))</f>
        <v>WOOD_HT</v>
      </c>
      <c r="W181" s="153" t="str">
        <f t="array" ref="W181">INDEX(xlRTCLNAME,MATCH(1,(xlRTCLENDU=2)*(xlRTCLEQCL=$F181),0))</f>
        <v>CENT_AIR</v>
      </c>
      <c r="X181" s="153" t="str">
        <f t="array" ref="X181">INDEX(xlRTTYNAME,MATCH(1,(xlRTTYENDU=1)*(xlRTTYEQCL=$D181)*(xlRTEQTYPE=$E181),0))</f>
        <v>WOOD_HT2</v>
      </c>
      <c r="Y181" s="153" t="str">
        <f t="array" ref="Y181">INDEX(xlRTTYNAME,MATCH(1,(xlRTTYENDU=2)*(xlRTTYEQCL=$F181)*(xlRTEQTYPE=$G181),0))</f>
        <v>CENT_AIR1</v>
      </c>
    </row>
    <row r="182" spans="2:25" x14ac:dyDescent="0.2">
      <c r="B182" s="126">
        <v>7</v>
      </c>
      <c r="C182" s="126">
        <v>1</v>
      </c>
      <c r="D182" s="126">
        <v>9</v>
      </c>
      <c r="E182" s="126">
        <v>30</v>
      </c>
      <c r="F182" s="126">
        <v>2</v>
      </c>
      <c r="G182" s="126">
        <v>6</v>
      </c>
      <c r="H182" s="126">
        <v>2023</v>
      </c>
      <c r="I182" s="126">
        <v>2050</v>
      </c>
      <c r="J182" s="127">
        <v>1.0867</v>
      </c>
      <c r="K182" s="127">
        <v>1.0682</v>
      </c>
      <c r="L182" s="127">
        <v>1.046</v>
      </c>
      <c r="M182" s="127">
        <v>1.0382</v>
      </c>
      <c r="N182" s="127">
        <v>0.87180000000000002</v>
      </c>
      <c r="O182" s="127">
        <v>1.0538000000000001</v>
      </c>
      <c r="P182" s="126">
        <v>0</v>
      </c>
      <c r="Q182" s="128">
        <f t="array" ref="Q182">SUM(IF(($S182&gt;=4)*($C182='TaxCred&amp;Subs'!$D$123:$D$127)*($H182='TaxCred&amp;Subs'!$C$123:$C$127)*($H182&lt;='TaxCred&amp;Subs'!$C$129),'TaxCred&amp;Subs'!$E$123:$E$127,0))</f>
        <v>0</v>
      </c>
      <c r="R182" s="174">
        <v>0</v>
      </c>
      <c r="S182" s="126">
        <v>1</v>
      </c>
      <c r="T182" s="126" t="s">
        <v>223</v>
      </c>
      <c r="U182" s="158"/>
      <c r="V182" s="153" t="str">
        <f t="array" ref="V182">INDEX(xlRTCLNAME,MATCH(1,(xlRTCLENDU=1)*(xlRTCLEQCL=$D182),0))</f>
        <v>WOOD_HT</v>
      </c>
      <c r="W182" s="153" t="str">
        <f t="array" ref="W182">INDEX(xlRTCLNAME,MATCH(1,(xlRTCLENDU=2)*(xlRTCLEQCL=$F182),0))</f>
        <v>CENT_AIR</v>
      </c>
      <c r="X182" s="153" t="str">
        <f t="array" ref="X182">INDEX(xlRTTYNAME,MATCH(1,(xlRTTYENDU=1)*(xlRTTYEQCL=$D182)*(xlRTEQTYPE=$E182),0))</f>
        <v>WOOD_HT2</v>
      </c>
      <c r="Y182" s="153" t="str">
        <f t="array" ref="Y182">INDEX(xlRTTYNAME,MATCH(1,(xlRTTYENDU=2)*(xlRTTYEQCL=$F182)*(xlRTEQTYPE=$G182),0))</f>
        <v>CENT_AIR2</v>
      </c>
    </row>
    <row r="183" spans="2:25" x14ac:dyDescent="0.2">
      <c r="B183" s="126">
        <v>8</v>
      </c>
      <c r="C183" s="126">
        <v>1</v>
      </c>
      <c r="D183" s="126">
        <v>9</v>
      </c>
      <c r="E183" s="126">
        <v>30</v>
      </c>
      <c r="F183" s="126">
        <v>2</v>
      </c>
      <c r="G183" s="126">
        <v>5</v>
      </c>
      <c r="H183" s="126">
        <v>2016</v>
      </c>
      <c r="I183" s="126">
        <v>2022</v>
      </c>
      <c r="J183" s="127">
        <v>1.0820000000000001</v>
      </c>
      <c r="K183" s="127">
        <v>1.0832999999999999</v>
      </c>
      <c r="L183" s="127">
        <v>0.96730000000000005</v>
      </c>
      <c r="M183" s="127">
        <v>1.0076000000000001</v>
      </c>
      <c r="N183" s="127">
        <v>0.86439999999999995</v>
      </c>
      <c r="O183" s="127">
        <v>1.0538000000000001</v>
      </c>
      <c r="P183" s="126">
        <v>0</v>
      </c>
      <c r="Q183" s="128">
        <f t="array" ref="Q183">SUM(IF(($S183&gt;=4)*($C183='TaxCred&amp;Subs'!$D$123:$D$127)*($H183='TaxCred&amp;Subs'!$C$123:$C$127)*($H183&lt;='TaxCred&amp;Subs'!$C$129),'TaxCred&amp;Subs'!$E$123:$E$127,0))</f>
        <v>0</v>
      </c>
      <c r="R183" s="174">
        <v>0</v>
      </c>
      <c r="S183" s="126">
        <v>1</v>
      </c>
      <c r="T183" s="126" t="s">
        <v>223</v>
      </c>
      <c r="U183" s="158"/>
      <c r="V183" s="153" t="str">
        <f t="array" ref="V183">INDEX(xlRTCLNAME,MATCH(1,(xlRTCLENDU=1)*(xlRTCLEQCL=$D183),0))</f>
        <v>WOOD_HT</v>
      </c>
      <c r="W183" s="153" t="str">
        <f t="array" ref="W183">INDEX(xlRTCLNAME,MATCH(1,(xlRTCLENDU=2)*(xlRTCLEQCL=$F183),0))</f>
        <v>CENT_AIR</v>
      </c>
      <c r="X183" s="153" t="str">
        <f t="array" ref="X183">INDEX(xlRTTYNAME,MATCH(1,(xlRTTYENDU=1)*(xlRTTYEQCL=$D183)*(xlRTEQTYPE=$E183),0))</f>
        <v>WOOD_HT2</v>
      </c>
      <c r="Y183" s="153" t="str">
        <f t="array" ref="Y183">INDEX(xlRTTYNAME,MATCH(1,(xlRTTYENDU=2)*(xlRTTYEQCL=$F183)*(xlRTEQTYPE=$G183),0))</f>
        <v>CENT_AIR1</v>
      </c>
    </row>
    <row r="184" spans="2:25" x14ac:dyDescent="0.2">
      <c r="B184" s="126">
        <v>8</v>
      </c>
      <c r="C184" s="126">
        <v>1</v>
      </c>
      <c r="D184" s="126">
        <v>9</v>
      </c>
      <c r="E184" s="126">
        <v>30</v>
      </c>
      <c r="F184" s="126">
        <v>2</v>
      </c>
      <c r="G184" s="126">
        <v>6</v>
      </c>
      <c r="H184" s="126">
        <v>2023</v>
      </c>
      <c r="I184" s="126">
        <v>2050</v>
      </c>
      <c r="J184" s="127">
        <v>1.0820000000000001</v>
      </c>
      <c r="K184" s="127">
        <v>1.0832999999999999</v>
      </c>
      <c r="L184" s="127">
        <v>0.96730000000000005</v>
      </c>
      <c r="M184" s="127">
        <v>1.0076000000000001</v>
      </c>
      <c r="N184" s="127">
        <v>0.86439999999999995</v>
      </c>
      <c r="O184" s="127">
        <v>1.0538000000000001</v>
      </c>
      <c r="P184" s="126">
        <v>0</v>
      </c>
      <c r="Q184" s="128">
        <f t="array" ref="Q184">SUM(IF(($S184&gt;=4)*($C184='TaxCred&amp;Subs'!$D$123:$D$127)*($H184='TaxCred&amp;Subs'!$C$123:$C$127)*($H184&lt;='TaxCred&amp;Subs'!$C$129),'TaxCred&amp;Subs'!$E$123:$E$127,0))</f>
        <v>0</v>
      </c>
      <c r="R184" s="174">
        <v>0</v>
      </c>
      <c r="S184" s="126">
        <v>1</v>
      </c>
      <c r="T184" s="126" t="s">
        <v>223</v>
      </c>
      <c r="U184" s="158"/>
      <c r="V184" s="153" t="str">
        <f t="array" ref="V184">INDEX(xlRTCLNAME,MATCH(1,(xlRTCLENDU=1)*(xlRTCLEQCL=$D184),0))</f>
        <v>WOOD_HT</v>
      </c>
      <c r="W184" s="153" t="str">
        <f t="array" ref="W184">INDEX(xlRTCLNAME,MATCH(1,(xlRTCLENDU=2)*(xlRTCLEQCL=$F184),0))</f>
        <v>CENT_AIR</v>
      </c>
      <c r="X184" s="153" t="str">
        <f t="array" ref="X184">INDEX(xlRTTYNAME,MATCH(1,(xlRTTYENDU=1)*(xlRTTYEQCL=$D184)*(xlRTEQTYPE=$E184),0))</f>
        <v>WOOD_HT2</v>
      </c>
      <c r="Y184" s="153" t="str">
        <f t="array" ref="Y184">INDEX(xlRTTYNAME,MATCH(1,(xlRTTYENDU=2)*(xlRTTYEQCL=$F184)*(xlRTEQTYPE=$G184),0))</f>
        <v>CENT_AIR2</v>
      </c>
    </row>
    <row r="185" spans="2:25" x14ac:dyDescent="0.2">
      <c r="B185" s="126">
        <v>9</v>
      </c>
      <c r="C185" s="126">
        <v>1</v>
      </c>
      <c r="D185" s="126">
        <v>9</v>
      </c>
      <c r="E185" s="126">
        <v>30</v>
      </c>
      <c r="F185" s="126">
        <v>2</v>
      </c>
      <c r="G185" s="126">
        <v>5</v>
      </c>
      <c r="H185" s="126">
        <v>2016</v>
      </c>
      <c r="I185" s="126">
        <v>2022</v>
      </c>
      <c r="J185" s="127">
        <v>1.0414000000000001</v>
      </c>
      <c r="K185" s="127">
        <v>1.07</v>
      </c>
      <c r="L185" s="127">
        <v>1.1088</v>
      </c>
      <c r="M185" s="127">
        <v>1.1204000000000001</v>
      </c>
      <c r="N185" s="127">
        <v>1.026</v>
      </c>
      <c r="O185" s="127">
        <v>1.0538000000000001</v>
      </c>
      <c r="P185" s="126">
        <v>0</v>
      </c>
      <c r="Q185" s="128">
        <f t="array" ref="Q185">SUM(IF(($S185&gt;=4)*($C185='TaxCred&amp;Subs'!$D$123:$D$127)*($H185='TaxCred&amp;Subs'!$C$123:$C$127)*($H185&lt;='TaxCred&amp;Subs'!$C$129),'TaxCred&amp;Subs'!$E$123:$E$127,0))</f>
        <v>0</v>
      </c>
      <c r="R185" s="174">
        <v>0</v>
      </c>
      <c r="S185" s="126">
        <v>1</v>
      </c>
      <c r="T185" s="126" t="s">
        <v>223</v>
      </c>
      <c r="U185" s="158"/>
      <c r="V185" s="153" t="str">
        <f t="array" ref="V185">INDEX(xlRTCLNAME,MATCH(1,(xlRTCLENDU=1)*(xlRTCLEQCL=$D185),0))</f>
        <v>WOOD_HT</v>
      </c>
      <c r="W185" s="153" t="str">
        <f t="array" ref="W185">INDEX(xlRTCLNAME,MATCH(1,(xlRTCLENDU=2)*(xlRTCLEQCL=$F185),0))</f>
        <v>CENT_AIR</v>
      </c>
      <c r="X185" s="153" t="str">
        <f t="array" ref="X185">INDEX(xlRTTYNAME,MATCH(1,(xlRTTYENDU=1)*(xlRTTYEQCL=$D185)*(xlRTEQTYPE=$E185),0))</f>
        <v>WOOD_HT2</v>
      </c>
      <c r="Y185" s="153" t="str">
        <f t="array" ref="Y185">INDEX(xlRTTYNAME,MATCH(1,(xlRTTYENDU=2)*(xlRTTYEQCL=$F185)*(xlRTEQTYPE=$G185),0))</f>
        <v>CENT_AIR1</v>
      </c>
    </row>
    <row r="186" spans="2:25" x14ac:dyDescent="0.2">
      <c r="B186" s="126">
        <v>9</v>
      </c>
      <c r="C186" s="126">
        <v>1</v>
      </c>
      <c r="D186" s="126">
        <v>9</v>
      </c>
      <c r="E186" s="126">
        <v>30</v>
      </c>
      <c r="F186" s="126">
        <v>2</v>
      </c>
      <c r="G186" s="126">
        <v>6</v>
      </c>
      <c r="H186" s="126">
        <v>2023</v>
      </c>
      <c r="I186" s="126">
        <v>2050</v>
      </c>
      <c r="J186" s="127">
        <v>1.0414000000000001</v>
      </c>
      <c r="K186" s="127">
        <v>1.07</v>
      </c>
      <c r="L186" s="127">
        <v>1.1088</v>
      </c>
      <c r="M186" s="127">
        <v>1.1204000000000001</v>
      </c>
      <c r="N186" s="127">
        <v>1.026</v>
      </c>
      <c r="O186" s="127">
        <v>1.0538000000000001</v>
      </c>
      <c r="P186" s="126">
        <v>0</v>
      </c>
      <c r="Q186" s="128">
        <f t="array" ref="Q186">SUM(IF(($S186&gt;=4)*($C186='TaxCred&amp;Subs'!$D$123:$D$127)*($H186='TaxCred&amp;Subs'!$C$123:$C$127)*($H186&lt;='TaxCred&amp;Subs'!$C$129),'TaxCred&amp;Subs'!$E$123:$E$127,0))</f>
        <v>0</v>
      </c>
      <c r="R186" s="174">
        <v>0</v>
      </c>
      <c r="S186" s="126">
        <v>1</v>
      </c>
      <c r="T186" s="126" t="s">
        <v>223</v>
      </c>
      <c r="U186" s="158"/>
      <c r="V186" s="153" t="str">
        <f t="array" ref="V186">INDEX(xlRTCLNAME,MATCH(1,(xlRTCLENDU=1)*(xlRTCLEQCL=$D186),0))</f>
        <v>WOOD_HT</v>
      </c>
      <c r="W186" s="153" t="str">
        <f t="array" ref="W186">INDEX(xlRTCLNAME,MATCH(1,(xlRTCLENDU=2)*(xlRTCLEQCL=$F186),0))</f>
        <v>CENT_AIR</v>
      </c>
      <c r="X186" s="153" t="str">
        <f t="array" ref="X186">INDEX(xlRTTYNAME,MATCH(1,(xlRTTYENDU=1)*(xlRTTYEQCL=$D186)*(xlRTEQTYPE=$E186),0))</f>
        <v>WOOD_HT2</v>
      </c>
      <c r="Y186" s="153" t="str">
        <f t="array" ref="Y186">INDEX(xlRTTYNAME,MATCH(1,(xlRTTYENDU=2)*(xlRTTYEQCL=$F186)*(xlRTEQTYPE=$G186),0))</f>
        <v>CENT_AIR2</v>
      </c>
    </row>
    <row r="187" spans="2:25" x14ac:dyDescent="0.2">
      <c r="B187" s="126">
        <v>1</v>
      </c>
      <c r="C187" s="126">
        <v>1</v>
      </c>
      <c r="D187" s="126">
        <v>10</v>
      </c>
      <c r="E187" s="126">
        <v>32</v>
      </c>
      <c r="F187" s="126">
        <v>4</v>
      </c>
      <c r="G187" s="126">
        <v>13</v>
      </c>
      <c r="H187" s="126">
        <v>2016</v>
      </c>
      <c r="I187" s="126">
        <v>2050</v>
      </c>
      <c r="J187" s="127">
        <v>1.1071</v>
      </c>
      <c r="K187" s="127">
        <v>1.0713999999999999</v>
      </c>
      <c r="L187" s="127">
        <v>0.90639999999999998</v>
      </c>
      <c r="M187" s="127">
        <v>1.0217000000000001</v>
      </c>
      <c r="N187" s="127">
        <v>0.80640000000000001</v>
      </c>
      <c r="O187" s="127">
        <v>1.0538000000000001</v>
      </c>
      <c r="P187" s="126">
        <v>0</v>
      </c>
      <c r="Q187" s="128">
        <f t="array" ref="Q187">SUM(IF(($S187&gt;=4)*($C187='TaxCred&amp;Subs'!$D$123:$D$127)*($H187='TaxCred&amp;Subs'!$C$123:$C$127)*($H187&lt;='TaxCred&amp;Subs'!$C$129),'TaxCred&amp;Subs'!$E$123:$E$127,0))</f>
        <v>0</v>
      </c>
      <c r="R187" s="174">
        <v>0</v>
      </c>
      <c r="S187" s="126">
        <v>1</v>
      </c>
      <c r="T187" s="126" t="s">
        <v>223</v>
      </c>
      <c r="U187" s="158"/>
      <c r="V187" s="153" t="str">
        <f t="array" ref="V187">INDEX(xlRTCLNAME,MATCH(1,(xlRTCLENDU=1)*(xlRTCLEQCL=$D187),0))</f>
        <v>GEO_HP</v>
      </c>
      <c r="W187" s="153" t="str">
        <f t="array" ref="W187">INDEX(xlRTCLNAME,MATCH(1,(xlRTCLENDU=2)*(xlRTCLEQCL=$F187),0))</f>
        <v>GEO_HP</v>
      </c>
      <c r="X187" s="153" t="str">
        <f t="array" ref="X187">INDEX(xlRTTYNAME,MATCH(1,(xlRTTYENDU=1)*(xlRTTYEQCL=$D187)*(xlRTEQTYPE=$E187),0))</f>
        <v>GEO_HP1</v>
      </c>
      <c r="Y187" s="153" t="str">
        <f t="array" ref="Y187">INDEX(xlRTTYNAME,MATCH(1,(xlRTTYENDU=2)*(xlRTTYEQCL=$F187)*(xlRTEQTYPE=$G187),0))</f>
        <v>GEO_HP1</v>
      </c>
    </row>
    <row r="188" spans="2:25" x14ac:dyDescent="0.2">
      <c r="B188" s="126">
        <v>2</v>
      </c>
      <c r="C188" s="126">
        <v>1</v>
      </c>
      <c r="D188" s="126">
        <v>10</v>
      </c>
      <c r="E188" s="126">
        <v>32</v>
      </c>
      <c r="F188" s="126">
        <v>4</v>
      </c>
      <c r="G188" s="126">
        <v>13</v>
      </c>
      <c r="H188" s="126">
        <v>2016</v>
      </c>
      <c r="I188" s="126">
        <v>2050</v>
      </c>
      <c r="J188" s="127">
        <v>1.0371999999999999</v>
      </c>
      <c r="K188" s="127">
        <v>1.0698000000000001</v>
      </c>
      <c r="L188" s="127">
        <v>1.0472999999999999</v>
      </c>
      <c r="M188" s="127">
        <v>0.96060000000000001</v>
      </c>
      <c r="N188" s="127">
        <v>0.95350000000000001</v>
      </c>
      <c r="O188" s="127">
        <v>1.0538000000000001</v>
      </c>
      <c r="P188" s="126">
        <v>0</v>
      </c>
      <c r="Q188" s="128">
        <f t="array" ref="Q188">SUM(IF(($S188&gt;=4)*($C188='TaxCred&amp;Subs'!$D$123:$D$127)*($H188='TaxCred&amp;Subs'!$C$123:$C$127)*($H188&lt;='TaxCred&amp;Subs'!$C$129),'TaxCred&amp;Subs'!$E$123:$E$127,0))</f>
        <v>0</v>
      </c>
      <c r="R188" s="174">
        <v>0</v>
      </c>
      <c r="S188" s="126">
        <v>1</v>
      </c>
      <c r="T188" s="126" t="s">
        <v>223</v>
      </c>
      <c r="U188" s="158"/>
      <c r="V188" s="153" t="str">
        <f t="array" ref="V188">INDEX(xlRTCLNAME,MATCH(1,(xlRTCLENDU=1)*(xlRTCLEQCL=$D188),0))</f>
        <v>GEO_HP</v>
      </c>
      <c r="W188" s="153" t="str">
        <f t="array" ref="W188">INDEX(xlRTCLNAME,MATCH(1,(xlRTCLENDU=2)*(xlRTCLEQCL=$F188),0))</f>
        <v>GEO_HP</v>
      </c>
      <c r="X188" s="153" t="str">
        <f t="array" ref="X188">INDEX(xlRTTYNAME,MATCH(1,(xlRTTYENDU=1)*(xlRTTYEQCL=$D188)*(xlRTEQTYPE=$E188),0))</f>
        <v>GEO_HP1</v>
      </c>
      <c r="Y188" s="153" t="str">
        <f t="array" ref="Y188">INDEX(xlRTTYNAME,MATCH(1,(xlRTTYENDU=2)*(xlRTTYEQCL=$F188)*(xlRTEQTYPE=$G188),0))</f>
        <v>GEO_HP1</v>
      </c>
    </row>
    <row r="189" spans="2:25" x14ac:dyDescent="0.2">
      <c r="B189" s="126">
        <v>3</v>
      </c>
      <c r="C189" s="126">
        <v>1</v>
      </c>
      <c r="D189" s="126">
        <v>10</v>
      </c>
      <c r="E189" s="126">
        <v>32</v>
      </c>
      <c r="F189" s="126">
        <v>4</v>
      </c>
      <c r="G189" s="126">
        <v>13</v>
      </c>
      <c r="H189" s="126">
        <v>2016</v>
      </c>
      <c r="I189" s="126">
        <v>2050</v>
      </c>
      <c r="J189" s="127">
        <v>1.0431999999999999</v>
      </c>
      <c r="K189" s="127">
        <v>1.0625</v>
      </c>
      <c r="L189" s="127">
        <v>0.92830000000000001</v>
      </c>
      <c r="M189" s="127">
        <v>0.94689999999999996</v>
      </c>
      <c r="N189" s="127">
        <v>0.91259999999999997</v>
      </c>
      <c r="O189" s="127">
        <v>1.0538000000000001</v>
      </c>
      <c r="P189" s="126">
        <v>0</v>
      </c>
      <c r="Q189" s="128">
        <f t="array" ref="Q189">SUM(IF(($S189&gt;=4)*($C189='TaxCred&amp;Subs'!$D$123:$D$127)*($H189='TaxCred&amp;Subs'!$C$123:$C$127)*($H189&lt;='TaxCred&amp;Subs'!$C$129),'TaxCred&amp;Subs'!$E$123:$E$127,0))</f>
        <v>0</v>
      </c>
      <c r="R189" s="174">
        <v>0</v>
      </c>
      <c r="S189" s="126">
        <v>1</v>
      </c>
      <c r="T189" s="126" t="s">
        <v>223</v>
      </c>
      <c r="U189" s="158"/>
      <c r="V189" s="153" t="str">
        <f t="array" ref="V189">INDEX(xlRTCLNAME,MATCH(1,(xlRTCLENDU=1)*(xlRTCLEQCL=$D189),0))</f>
        <v>GEO_HP</v>
      </c>
      <c r="W189" s="153" t="str">
        <f t="array" ref="W189">INDEX(xlRTCLNAME,MATCH(1,(xlRTCLENDU=2)*(xlRTCLEQCL=$F189),0))</f>
        <v>GEO_HP</v>
      </c>
      <c r="X189" s="153" t="str">
        <f t="array" ref="X189">INDEX(xlRTTYNAME,MATCH(1,(xlRTTYENDU=1)*(xlRTTYEQCL=$D189)*(xlRTEQTYPE=$E189),0))</f>
        <v>GEO_HP1</v>
      </c>
      <c r="Y189" s="153" t="str">
        <f t="array" ref="Y189">INDEX(xlRTTYNAME,MATCH(1,(xlRTTYENDU=2)*(xlRTTYEQCL=$F189)*(xlRTEQTYPE=$G189),0))</f>
        <v>GEO_HP1</v>
      </c>
    </row>
    <row r="190" spans="2:25" x14ac:dyDescent="0.2">
      <c r="B190" s="126">
        <v>4</v>
      </c>
      <c r="C190" s="126">
        <v>1</v>
      </c>
      <c r="D190" s="126">
        <v>10</v>
      </c>
      <c r="E190" s="126">
        <v>32</v>
      </c>
      <c r="F190" s="126">
        <v>4</v>
      </c>
      <c r="G190" s="126">
        <v>13</v>
      </c>
      <c r="H190" s="126">
        <v>2016</v>
      </c>
      <c r="I190" s="126">
        <v>2050</v>
      </c>
      <c r="J190" s="127">
        <v>1.0781000000000001</v>
      </c>
      <c r="K190" s="127">
        <v>1.087</v>
      </c>
      <c r="L190" s="127">
        <v>0.85909999999999997</v>
      </c>
      <c r="M190" s="127">
        <v>0.85840000000000005</v>
      </c>
      <c r="N190" s="127">
        <v>0.84850000000000003</v>
      </c>
      <c r="O190" s="127">
        <v>1.0538000000000001</v>
      </c>
      <c r="P190" s="126">
        <v>0</v>
      </c>
      <c r="Q190" s="128">
        <f t="array" ref="Q190">SUM(IF(($S190&gt;=4)*($C190='TaxCred&amp;Subs'!$D$123:$D$127)*($H190='TaxCred&amp;Subs'!$C$123:$C$127)*($H190&lt;='TaxCred&amp;Subs'!$C$129),'TaxCred&amp;Subs'!$E$123:$E$127,0))</f>
        <v>0</v>
      </c>
      <c r="R190" s="174">
        <v>0</v>
      </c>
      <c r="S190" s="126">
        <v>1</v>
      </c>
      <c r="T190" s="126" t="s">
        <v>223</v>
      </c>
      <c r="U190" s="158"/>
      <c r="V190" s="153" t="str">
        <f t="array" ref="V190">INDEX(xlRTCLNAME,MATCH(1,(xlRTCLENDU=1)*(xlRTCLEQCL=$D190),0))</f>
        <v>GEO_HP</v>
      </c>
      <c r="W190" s="153" t="str">
        <f t="array" ref="W190">INDEX(xlRTCLNAME,MATCH(1,(xlRTCLENDU=2)*(xlRTCLEQCL=$F190),0))</f>
        <v>GEO_HP</v>
      </c>
      <c r="X190" s="153" t="str">
        <f t="array" ref="X190">INDEX(xlRTTYNAME,MATCH(1,(xlRTTYENDU=1)*(xlRTTYEQCL=$D190)*(xlRTEQTYPE=$E190),0))</f>
        <v>GEO_HP1</v>
      </c>
      <c r="Y190" s="153" t="str">
        <f t="array" ref="Y190">INDEX(xlRTTYNAME,MATCH(1,(xlRTTYENDU=2)*(xlRTTYEQCL=$F190)*(xlRTEQTYPE=$G190),0))</f>
        <v>GEO_HP1</v>
      </c>
    </row>
    <row r="191" spans="2:25" x14ac:dyDescent="0.2">
      <c r="B191" s="126">
        <v>5</v>
      </c>
      <c r="C191" s="126">
        <v>1</v>
      </c>
      <c r="D191" s="126">
        <v>10</v>
      </c>
      <c r="E191" s="126">
        <v>32</v>
      </c>
      <c r="F191" s="126">
        <v>4</v>
      </c>
      <c r="G191" s="126">
        <v>13</v>
      </c>
      <c r="H191" s="126">
        <v>2016</v>
      </c>
      <c r="I191" s="126">
        <v>2050</v>
      </c>
      <c r="J191" s="127">
        <v>1.0843</v>
      </c>
      <c r="K191" s="127">
        <v>1.0722</v>
      </c>
      <c r="L191" s="127">
        <v>0.90459999999999996</v>
      </c>
      <c r="M191" s="127">
        <v>1.1495</v>
      </c>
      <c r="N191" s="127">
        <v>0.76049999999999995</v>
      </c>
      <c r="O191" s="127">
        <v>1.0538000000000001</v>
      </c>
      <c r="P191" s="126">
        <v>0</v>
      </c>
      <c r="Q191" s="128">
        <f t="array" ref="Q191">SUM(IF(($S191&gt;=4)*($C191='TaxCred&amp;Subs'!$D$123:$D$127)*($H191='TaxCred&amp;Subs'!$C$123:$C$127)*($H191&lt;='TaxCred&amp;Subs'!$C$129),'TaxCred&amp;Subs'!$E$123:$E$127,0))</f>
        <v>0</v>
      </c>
      <c r="R191" s="174">
        <v>0</v>
      </c>
      <c r="S191" s="126">
        <v>1</v>
      </c>
      <c r="T191" s="126" t="s">
        <v>223</v>
      </c>
      <c r="U191" s="158"/>
      <c r="V191" s="153" t="str">
        <f t="array" ref="V191">INDEX(xlRTCLNAME,MATCH(1,(xlRTCLENDU=1)*(xlRTCLEQCL=$D191),0))</f>
        <v>GEO_HP</v>
      </c>
      <c r="W191" s="153" t="str">
        <f t="array" ref="W191">INDEX(xlRTCLNAME,MATCH(1,(xlRTCLENDU=2)*(xlRTCLEQCL=$F191),0))</f>
        <v>GEO_HP</v>
      </c>
      <c r="X191" s="153" t="str">
        <f t="array" ref="X191">INDEX(xlRTTYNAME,MATCH(1,(xlRTTYENDU=1)*(xlRTTYEQCL=$D191)*(xlRTEQTYPE=$E191),0))</f>
        <v>GEO_HP1</v>
      </c>
      <c r="Y191" s="153" t="str">
        <f t="array" ref="Y191">INDEX(xlRTTYNAME,MATCH(1,(xlRTTYENDU=2)*(xlRTTYEQCL=$F191)*(xlRTEQTYPE=$G191),0))</f>
        <v>GEO_HP1</v>
      </c>
    </row>
    <row r="192" spans="2:25" x14ac:dyDescent="0.2">
      <c r="B192" s="126">
        <v>6</v>
      </c>
      <c r="C192" s="126">
        <v>1</v>
      </c>
      <c r="D192" s="126">
        <v>10</v>
      </c>
      <c r="E192" s="126">
        <v>32</v>
      </c>
      <c r="F192" s="126">
        <v>4</v>
      </c>
      <c r="G192" s="126">
        <v>13</v>
      </c>
      <c r="H192" s="126">
        <v>2016</v>
      </c>
      <c r="I192" s="126">
        <v>2050</v>
      </c>
      <c r="J192" s="127">
        <v>1.0982000000000001</v>
      </c>
      <c r="K192" s="127">
        <v>1.0805</v>
      </c>
      <c r="L192" s="127">
        <v>1.0209999999999999</v>
      </c>
      <c r="M192" s="127">
        <v>1.1335999999999999</v>
      </c>
      <c r="N192" s="127">
        <v>0.88680000000000003</v>
      </c>
      <c r="O192" s="127">
        <v>1.0538000000000001</v>
      </c>
      <c r="P192" s="126">
        <v>0</v>
      </c>
      <c r="Q192" s="128">
        <f t="array" ref="Q192">SUM(IF(($S192&gt;=4)*($C192='TaxCred&amp;Subs'!$D$123:$D$127)*($H192='TaxCred&amp;Subs'!$C$123:$C$127)*($H192&lt;='TaxCred&amp;Subs'!$C$129),'TaxCred&amp;Subs'!$E$123:$E$127,0))</f>
        <v>0</v>
      </c>
      <c r="R192" s="174">
        <v>0</v>
      </c>
      <c r="S192" s="126">
        <v>1</v>
      </c>
      <c r="T192" s="126" t="s">
        <v>223</v>
      </c>
      <c r="U192" s="158"/>
      <c r="V192" s="153" t="str">
        <f t="array" ref="V192">INDEX(xlRTCLNAME,MATCH(1,(xlRTCLENDU=1)*(xlRTCLEQCL=$D192),0))</f>
        <v>GEO_HP</v>
      </c>
      <c r="W192" s="153" t="str">
        <f t="array" ref="W192">INDEX(xlRTCLNAME,MATCH(1,(xlRTCLENDU=2)*(xlRTCLEQCL=$F192),0))</f>
        <v>GEO_HP</v>
      </c>
      <c r="X192" s="153" t="str">
        <f t="array" ref="X192">INDEX(xlRTTYNAME,MATCH(1,(xlRTTYENDU=1)*(xlRTTYEQCL=$D192)*(xlRTEQTYPE=$E192),0))</f>
        <v>GEO_HP1</v>
      </c>
      <c r="Y192" s="153" t="str">
        <f t="array" ref="Y192">INDEX(xlRTTYNAME,MATCH(1,(xlRTTYENDU=2)*(xlRTTYEQCL=$F192)*(xlRTEQTYPE=$G192),0))</f>
        <v>GEO_HP1</v>
      </c>
    </row>
    <row r="193" spans="2:25" x14ac:dyDescent="0.2">
      <c r="B193" s="126">
        <v>7</v>
      </c>
      <c r="C193" s="126">
        <v>1</v>
      </c>
      <c r="D193" s="126">
        <v>10</v>
      </c>
      <c r="E193" s="126">
        <v>32</v>
      </c>
      <c r="F193" s="126">
        <v>4</v>
      </c>
      <c r="G193" s="126">
        <v>13</v>
      </c>
      <c r="H193" s="126">
        <v>2016</v>
      </c>
      <c r="I193" s="126">
        <v>2050</v>
      </c>
      <c r="J193" s="127">
        <v>1.1200000000000001</v>
      </c>
      <c r="K193" s="127">
        <v>1.0769</v>
      </c>
      <c r="L193" s="127">
        <v>1.0767</v>
      </c>
      <c r="M193" s="127">
        <v>1.0451999999999999</v>
      </c>
      <c r="N193" s="127">
        <v>0.8871</v>
      </c>
      <c r="O193" s="127">
        <v>1.0538000000000001</v>
      </c>
      <c r="P193" s="126">
        <v>0</v>
      </c>
      <c r="Q193" s="128">
        <f t="array" ref="Q193">SUM(IF(($S193&gt;=4)*($C193='TaxCred&amp;Subs'!$D$123:$D$127)*($H193='TaxCred&amp;Subs'!$C$123:$C$127)*($H193&lt;='TaxCred&amp;Subs'!$C$129),'TaxCred&amp;Subs'!$E$123:$E$127,0))</f>
        <v>0</v>
      </c>
      <c r="R193" s="174">
        <v>0</v>
      </c>
      <c r="S193" s="126">
        <v>1</v>
      </c>
      <c r="T193" s="126" t="s">
        <v>223</v>
      </c>
      <c r="U193" s="158"/>
      <c r="V193" s="153" t="str">
        <f t="array" ref="V193">INDEX(xlRTCLNAME,MATCH(1,(xlRTCLENDU=1)*(xlRTCLEQCL=$D193),0))</f>
        <v>GEO_HP</v>
      </c>
      <c r="W193" s="153" t="str">
        <f t="array" ref="W193">INDEX(xlRTCLNAME,MATCH(1,(xlRTCLENDU=2)*(xlRTCLEQCL=$F193),0))</f>
        <v>GEO_HP</v>
      </c>
      <c r="X193" s="153" t="str">
        <f t="array" ref="X193">INDEX(xlRTTYNAME,MATCH(1,(xlRTTYENDU=1)*(xlRTTYEQCL=$D193)*(xlRTEQTYPE=$E193),0))</f>
        <v>GEO_HP1</v>
      </c>
      <c r="Y193" s="153" t="str">
        <f t="array" ref="Y193">INDEX(xlRTTYNAME,MATCH(1,(xlRTTYENDU=2)*(xlRTTYEQCL=$F193)*(xlRTEQTYPE=$G193),0))</f>
        <v>GEO_HP1</v>
      </c>
    </row>
    <row r="194" spans="2:25" x14ac:dyDescent="0.2">
      <c r="B194" s="126">
        <v>8</v>
      </c>
      <c r="C194" s="126">
        <v>1</v>
      </c>
      <c r="D194" s="126">
        <v>10</v>
      </c>
      <c r="E194" s="126">
        <v>32</v>
      </c>
      <c r="F194" s="126">
        <v>4</v>
      </c>
      <c r="G194" s="126">
        <v>13</v>
      </c>
      <c r="H194" s="126">
        <v>2016</v>
      </c>
      <c r="I194" s="126">
        <v>2050</v>
      </c>
      <c r="J194" s="127">
        <v>1.0417000000000001</v>
      </c>
      <c r="K194" s="127">
        <v>1.0667</v>
      </c>
      <c r="L194" s="127">
        <v>1.0044999999999999</v>
      </c>
      <c r="M194" s="127">
        <v>1.0254000000000001</v>
      </c>
      <c r="N194" s="127">
        <v>0.88300000000000001</v>
      </c>
      <c r="O194" s="127">
        <v>1.0538000000000001</v>
      </c>
      <c r="P194" s="126">
        <v>0</v>
      </c>
      <c r="Q194" s="128">
        <f t="array" ref="Q194">SUM(IF(($S194&gt;=4)*($C194='TaxCred&amp;Subs'!$D$123:$D$127)*($H194='TaxCred&amp;Subs'!$C$123:$C$127)*($H194&lt;='TaxCred&amp;Subs'!$C$129),'TaxCred&amp;Subs'!$E$123:$E$127,0))</f>
        <v>0</v>
      </c>
      <c r="R194" s="174">
        <v>0</v>
      </c>
      <c r="S194" s="126">
        <v>1</v>
      </c>
      <c r="T194" s="126" t="s">
        <v>223</v>
      </c>
      <c r="U194" s="158"/>
      <c r="V194" s="153" t="str">
        <f t="array" ref="V194">INDEX(xlRTCLNAME,MATCH(1,(xlRTCLENDU=1)*(xlRTCLEQCL=$D194),0))</f>
        <v>GEO_HP</v>
      </c>
      <c r="W194" s="153" t="str">
        <f t="array" ref="W194">INDEX(xlRTCLNAME,MATCH(1,(xlRTCLENDU=2)*(xlRTCLEQCL=$F194),0))</f>
        <v>GEO_HP</v>
      </c>
      <c r="X194" s="153" t="str">
        <f t="array" ref="X194">INDEX(xlRTTYNAME,MATCH(1,(xlRTTYENDU=1)*(xlRTTYEQCL=$D194)*(xlRTEQTYPE=$E194),0))</f>
        <v>GEO_HP1</v>
      </c>
      <c r="Y194" s="153" t="str">
        <f t="array" ref="Y194">INDEX(xlRTTYNAME,MATCH(1,(xlRTTYENDU=2)*(xlRTTYEQCL=$F194)*(xlRTEQTYPE=$G194),0))</f>
        <v>GEO_HP1</v>
      </c>
    </row>
    <row r="195" spans="2:25" x14ac:dyDescent="0.2">
      <c r="B195" s="126">
        <v>9</v>
      </c>
      <c r="C195" s="126">
        <v>1</v>
      </c>
      <c r="D195" s="126">
        <v>10</v>
      </c>
      <c r="E195" s="126">
        <v>32</v>
      </c>
      <c r="F195" s="126">
        <v>4</v>
      </c>
      <c r="G195" s="126">
        <v>13</v>
      </c>
      <c r="H195" s="126">
        <v>2016</v>
      </c>
      <c r="I195" s="126">
        <v>2050</v>
      </c>
      <c r="J195" s="127">
        <v>1.0611999999999999</v>
      </c>
      <c r="K195" s="127">
        <v>1.0428999999999999</v>
      </c>
      <c r="L195" s="127">
        <v>1.1268</v>
      </c>
      <c r="M195" s="127">
        <v>1.1483000000000001</v>
      </c>
      <c r="N195" s="127">
        <v>1.0349999999999999</v>
      </c>
      <c r="O195" s="127">
        <v>1.0538000000000001</v>
      </c>
      <c r="P195" s="126">
        <v>0</v>
      </c>
      <c r="Q195" s="128">
        <f t="array" ref="Q195">SUM(IF(($S195&gt;=4)*($C195='TaxCred&amp;Subs'!$D$123:$D$127)*($H195='TaxCred&amp;Subs'!$C$123:$C$127)*($H195&lt;='TaxCred&amp;Subs'!$C$129),'TaxCred&amp;Subs'!$E$123:$E$127,0))</f>
        <v>0</v>
      </c>
      <c r="R195" s="174">
        <v>0</v>
      </c>
      <c r="S195" s="126">
        <v>1</v>
      </c>
      <c r="T195" s="126" t="s">
        <v>223</v>
      </c>
      <c r="U195" s="158"/>
      <c r="V195" s="153" t="str">
        <f t="array" ref="V195">INDEX(xlRTCLNAME,MATCH(1,(xlRTCLENDU=1)*(xlRTCLEQCL=$D195),0))</f>
        <v>GEO_HP</v>
      </c>
      <c r="W195" s="153" t="str">
        <f t="array" ref="W195">INDEX(xlRTCLNAME,MATCH(1,(xlRTCLENDU=2)*(xlRTCLEQCL=$F195),0))</f>
        <v>GEO_HP</v>
      </c>
      <c r="X195" s="153" t="str">
        <f t="array" ref="X195">INDEX(xlRTTYNAME,MATCH(1,(xlRTTYENDU=1)*(xlRTTYEQCL=$D195)*(xlRTEQTYPE=$E195),0))</f>
        <v>GEO_HP1</v>
      </c>
      <c r="Y195" s="153" t="str">
        <f t="array" ref="Y195">INDEX(xlRTTYNAME,MATCH(1,(xlRTTYENDU=2)*(xlRTTYEQCL=$F195)*(xlRTEQTYPE=$G195),0))</f>
        <v>GEO_HP1</v>
      </c>
    </row>
    <row r="196" spans="2:25" x14ac:dyDescent="0.2">
      <c r="B196" s="126">
        <v>1</v>
      </c>
      <c r="C196" s="126">
        <v>1</v>
      </c>
      <c r="D196" s="126">
        <v>11</v>
      </c>
      <c r="E196" s="126">
        <v>36</v>
      </c>
      <c r="F196" s="126">
        <v>5</v>
      </c>
      <c r="G196" s="126">
        <v>17</v>
      </c>
      <c r="H196" s="126">
        <v>2016</v>
      </c>
      <c r="I196" s="126">
        <v>2050</v>
      </c>
      <c r="J196" s="127">
        <v>1.0803</v>
      </c>
      <c r="K196" s="127">
        <v>1.0667</v>
      </c>
      <c r="L196" s="127">
        <v>0.88939999999999997</v>
      </c>
      <c r="M196" s="127">
        <v>1.0285</v>
      </c>
      <c r="N196" s="127">
        <v>0.79790000000000005</v>
      </c>
      <c r="O196" s="127">
        <v>1.0538000000000001</v>
      </c>
      <c r="P196" s="126">
        <v>0</v>
      </c>
      <c r="Q196" s="128">
        <f t="array" ref="Q196">SUM(IF(($S196&gt;=4)*($C196='TaxCred&amp;Subs'!$D$123:$D$127)*($H196='TaxCred&amp;Subs'!$C$123:$C$127)*($H196&lt;='TaxCred&amp;Subs'!$C$129),'TaxCred&amp;Subs'!$E$123:$E$127,0))</f>
        <v>0</v>
      </c>
      <c r="R196" s="174">
        <v>0</v>
      </c>
      <c r="S196" s="126">
        <v>1</v>
      </c>
      <c r="T196" s="126" t="s">
        <v>223</v>
      </c>
      <c r="U196" s="158"/>
      <c r="V196" s="153" t="str">
        <f t="array" ref="V196">INDEX(xlRTCLNAME,MATCH(1,(xlRTCLENDU=1)*(xlRTCLEQCL=$D196),0))</f>
        <v>NG_HP</v>
      </c>
      <c r="W196" s="153" t="str">
        <f t="array" ref="W196">INDEX(xlRTCLNAME,MATCH(1,(xlRTCLENDU=2)*(xlRTCLEQCL=$F196),0))</f>
        <v>NG_HP</v>
      </c>
      <c r="X196" s="153" t="str">
        <f t="array" ref="X196">INDEX(xlRTTYNAME,MATCH(1,(xlRTTYENDU=1)*(xlRTTYEQCL=$D196)*(xlRTEQTYPE=$E196),0))</f>
        <v>NG_HP2</v>
      </c>
      <c r="Y196" s="153" t="str">
        <f t="array" ref="Y196">INDEX(xlRTTYNAME,MATCH(1,(xlRTTYENDU=2)*(xlRTTYEQCL=$F196)*(xlRTEQTYPE=$G196),0))</f>
        <v>NG_HP2</v>
      </c>
    </row>
    <row r="197" spans="2:25" x14ac:dyDescent="0.2">
      <c r="B197" s="126">
        <v>2</v>
      </c>
      <c r="C197" s="126">
        <v>1</v>
      </c>
      <c r="D197" s="126">
        <v>11</v>
      </c>
      <c r="E197" s="126">
        <v>36</v>
      </c>
      <c r="F197" s="126">
        <v>5</v>
      </c>
      <c r="G197" s="126">
        <v>17</v>
      </c>
      <c r="H197" s="126">
        <v>2016</v>
      </c>
      <c r="I197" s="126">
        <v>2050</v>
      </c>
      <c r="J197" s="127">
        <v>1.0649</v>
      </c>
      <c r="K197" s="127">
        <v>1.0597000000000001</v>
      </c>
      <c r="L197" s="127">
        <v>1.0037</v>
      </c>
      <c r="M197" s="127">
        <v>0.95550000000000002</v>
      </c>
      <c r="N197" s="127">
        <v>0.93169999999999997</v>
      </c>
      <c r="O197" s="127">
        <v>1.0538000000000001</v>
      </c>
      <c r="P197" s="126">
        <v>0</v>
      </c>
      <c r="Q197" s="128">
        <f t="array" ref="Q197">SUM(IF(($S197&gt;=4)*($C197='TaxCred&amp;Subs'!$D$123:$D$127)*($H197='TaxCred&amp;Subs'!$C$123:$C$127)*($H197&lt;='TaxCred&amp;Subs'!$C$129),'TaxCred&amp;Subs'!$E$123:$E$127,0))</f>
        <v>0</v>
      </c>
      <c r="R197" s="174">
        <v>0</v>
      </c>
      <c r="S197" s="126">
        <v>1</v>
      </c>
      <c r="T197" s="126" t="s">
        <v>223</v>
      </c>
      <c r="U197" s="158"/>
      <c r="V197" s="153" t="str">
        <f t="array" ref="V197">INDEX(xlRTCLNAME,MATCH(1,(xlRTCLENDU=1)*(xlRTCLEQCL=$D197),0))</f>
        <v>NG_HP</v>
      </c>
      <c r="W197" s="153" t="str">
        <f t="array" ref="W197">INDEX(xlRTCLNAME,MATCH(1,(xlRTCLENDU=2)*(xlRTCLEQCL=$F197),0))</f>
        <v>NG_HP</v>
      </c>
      <c r="X197" s="153" t="str">
        <f t="array" ref="X197">INDEX(xlRTTYNAME,MATCH(1,(xlRTTYENDU=1)*(xlRTTYEQCL=$D197)*(xlRTEQTYPE=$E197),0))</f>
        <v>NG_HP2</v>
      </c>
      <c r="Y197" s="153" t="str">
        <f t="array" ref="Y197">INDEX(xlRTTYNAME,MATCH(1,(xlRTTYENDU=2)*(xlRTTYEQCL=$F197)*(xlRTEQTYPE=$G197),0))</f>
        <v>NG_HP2</v>
      </c>
    </row>
    <row r="198" spans="2:25" x14ac:dyDescent="0.2">
      <c r="B198" s="126">
        <v>3</v>
      </c>
      <c r="C198" s="126">
        <v>1</v>
      </c>
      <c r="D198" s="126">
        <v>11</v>
      </c>
      <c r="E198" s="126">
        <v>36</v>
      </c>
      <c r="F198" s="126">
        <v>5</v>
      </c>
      <c r="G198" s="126">
        <v>17</v>
      </c>
      <c r="H198" s="126">
        <v>2016</v>
      </c>
      <c r="I198" s="126">
        <v>2050</v>
      </c>
      <c r="J198" s="127">
        <v>1.0469999999999999</v>
      </c>
      <c r="K198" s="127">
        <v>1.0769</v>
      </c>
      <c r="L198" s="127">
        <v>0.93520000000000003</v>
      </c>
      <c r="M198" s="127">
        <v>0.9627</v>
      </c>
      <c r="N198" s="127">
        <v>0.91600000000000004</v>
      </c>
      <c r="O198" s="127">
        <v>1.0538000000000001</v>
      </c>
      <c r="P198" s="126">
        <v>0</v>
      </c>
      <c r="Q198" s="128">
        <f t="array" ref="Q198">SUM(IF(($S198&gt;=4)*($C198='TaxCred&amp;Subs'!$D$123:$D$127)*($H198='TaxCred&amp;Subs'!$C$123:$C$127)*($H198&lt;='TaxCred&amp;Subs'!$C$129),'TaxCred&amp;Subs'!$E$123:$E$127,0))</f>
        <v>0</v>
      </c>
      <c r="R198" s="174">
        <v>0</v>
      </c>
      <c r="S198" s="126">
        <v>1</v>
      </c>
      <c r="T198" s="126" t="s">
        <v>223</v>
      </c>
      <c r="U198" s="158"/>
      <c r="V198" s="153" t="str">
        <f t="array" ref="V198">INDEX(xlRTCLNAME,MATCH(1,(xlRTCLENDU=1)*(xlRTCLEQCL=$D198),0))</f>
        <v>NG_HP</v>
      </c>
      <c r="W198" s="153" t="str">
        <f t="array" ref="W198">INDEX(xlRTCLNAME,MATCH(1,(xlRTCLENDU=2)*(xlRTCLEQCL=$F198),0))</f>
        <v>NG_HP</v>
      </c>
      <c r="X198" s="153" t="str">
        <f t="array" ref="X198">INDEX(xlRTTYNAME,MATCH(1,(xlRTTYENDU=1)*(xlRTTYEQCL=$D198)*(xlRTEQTYPE=$E198),0))</f>
        <v>NG_HP2</v>
      </c>
      <c r="Y198" s="153" t="str">
        <f t="array" ref="Y198">INDEX(xlRTTYNAME,MATCH(1,(xlRTTYENDU=2)*(xlRTTYEQCL=$F198)*(xlRTEQTYPE=$G198),0))</f>
        <v>NG_HP2</v>
      </c>
    </row>
    <row r="199" spans="2:25" x14ac:dyDescent="0.2">
      <c r="B199" s="126">
        <v>4</v>
      </c>
      <c r="C199" s="126">
        <v>1</v>
      </c>
      <c r="D199" s="126">
        <v>11</v>
      </c>
      <c r="E199" s="126">
        <v>36</v>
      </c>
      <c r="F199" s="126">
        <v>5</v>
      </c>
      <c r="G199" s="126">
        <v>17</v>
      </c>
      <c r="H199" s="126">
        <v>2016</v>
      </c>
      <c r="I199" s="126">
        <v>2050</v>
      </c>
      <c r="J199" s="127">
        <v>1.0862000000000001</v>
      </c>
      <c r="K199" s="127">
        <v>1.0769</v>
      </c>
      <c r="L199" s="127">
        <v>0.87749999999999995</v>
      </c>
      <c r="M199" s="127">
        <v>0.87319999999999998</v>
      </c>
      <c r="N199" s="127">
        <v>0.85770000000000002</v>
      </c>
      <c r="O199" s="127">
        <v>1.0538000000000001</v>
      </c>
      <c r="P199" s="126">
        <v>0</v>
      </c>
      <c r="Q199" s="128">
        <f t="array" ref="Q199">SUM(IF(($S199&gt;=4)*($C199='TaxCred&amp;Subs'!$D$123:$D$127)*($H199='TaxCred&amp;Subs'!$C$123:$C$127)*($H199&lt;='TaxCred&amp;Subs'!$C$129),'TaxCred&amp;Subs'!$E$123:$E$127,0))</f>
        <v>0</v>
      </c>
      <c r="R199" s="174">
        <v>0</v>
      </c>
      <c r="S199" s="126">
        <v>1</v>
      </c>
      <c r="T199" s="126" t="s">
        <v>223</v>
      </c>
      <c r="U199" s="158"/>
      <c r="V199" s="153" t="str">
        <f t="array" ref="V199">INDEX(xlRTCLNAME,MATCH(1,(xlRTCLENDU=1)*(xlRTCLEQCL=$D199),0))</f>
        <v>NG_HP</v>
      </c>
      <c r="W199" s="153" t="str">
        <f t="array" ref="W199">INDEX(xlRTCLNAME,MATCH(1,(xlRTCLENDU=2)*(xlRTCLEQCL=$F199),0))</f>
        <v>NG_HP</v>
      </c>
      <c r="X199" s="153" t="str">
        <f t="array" ref="X199">INDEX(xlRTTYNAME,MATCH(1,(xlRTTYENDU=1)*(xlRTTYEQCL=$D199)*(xlRTEQTYPE=$E199),0))</f>
        <v>NG_HP2</v>
      </c>
      <c r="Y199" s="153" t="str">
        <f t="array" ref="Y199">INDEX(xlRTTYNAME,MATCH(1,(xlRTTYENDU=2)*(xlRTTYEQCL=$F199)*(xlRTEQTYPE=$G199),0))</f>
        <v>NG_HP2</v>
      </c>
    </row>
    <row r="200" spans="2:25" x14ac:dyDescent="0.2">
      <c r="B200" s="126">
        <v>5</v>
      </c>
      <c r="C200" s="126">
        <v>1</v>
      </c>
      <c r="D200" s="126">
        <v>11</v>
      </c>
      <c r="E200" s="126">
        <v>36</v>
      </c>
      <c r="F200" s="126">
        <v>5</v>
      </c>
      <c r="G200" s="126">
        <v>17</v>
      </c>
      <c r="H200" s="126">
        <v>2016</v>
      </c>
      <c r="I200" s="126">
        <v>2050</v>
      </c>
      <c r="J200" s="127">
        <v>1.0849</v>
      </c>
      <c r="K200" s="127">
        <v>1.0471999999999999</v>
      </c>
      <c r="L200" s="127">
        <v>0.90710000000000002</v>
      </c>
      <c r="M200" s="127">
        <v>1.0934999999999999</v>
      </c>
      <c r="N200" s="127">
        <v>0.76180000000000003</v>
      </c>
      <c r="O200" s="127">
        <v>1.0538000000000001</v>
      </c>
      <c r="P200" s="126">
        <v>0</v>
      </c>
      <c r="Q200" s="128">
        <f t="array" ref="Q200">SUM(IF(($S200&gt;=4)*($C200='TaxCred&amp;Subs'!$D$123:$D$127)*($H200='TaxCred&amp;Subs'!$C$123:$C$127)*($H200&lt;='TaxCred&amp;Subs'!$C$129),'TaxCred&amp;Subs'!$E$123:$E$127,0))</f>
        <v>0</v>
      </c>
      <c r="R200" s="174">
        <v>0</v>
      </c>
      <c r="S200" s="126">
        <v>1</v>
      </c>
      <c r="T200" s="126" t="s">
        <v>223</v>
      </c>
      <c r="U200" s="158"/>
      <c r="V200" s="153" t="str">
        <f t="array" ref="V200">INDEX(xlRTCLNAME,MATCH(1,(xlRTCLENDU=1)*(xlRTCLEQCL=$D200),0))</f>
        <v>NG_HP</v>
      </c>
      <c r="W200" s="153" t="str">
        <f t="array" ref="W200">INDEX(xlRTCLNAME,MATCH(1,(xlRTCLENDU=2)*(xlRTCLEQCL=$F200),0))</f>
        <v>NG_HP</v>
      </c>
      <c r="X200" s="153" t="str">
        <f t="array" ref="X200">INDEX(xlRTTYNAME,MATCH(1,(xlRTTYENDU=1)*(xlRTTYEQCL=$D200)*(xlRTEQTYPE=$E200),0))</f>
        <v>NG_HP2</v>
      </c>
      <c r="Y200" s="153" t="str">
        <f t="array" ref="Y200">INDEX(xlRTTYNAME,MATCH(1,(xlRTTYENDU=2)*(xlRTTYEQCL=$F200)*(xlRTEQTYPE=$G200),0))</f>
        <v>NG_HP2</v>
      </c>
    </row>
    <row r="201" spans="2:25" x14ac:dyDescent="0.2">
      <c r="B201" s="126">
        <v>6</v>
      </c>
      <c r="C201" s="126">
        <v>1</v>
      </c>
      <c r="D201" s="126">
        <v>11</v>
      </c>
      <c r="E201" s="126">
        <v>36</v>
      </c>
      <c r="F201" s="126">
        <v>5</v>
      </c>
      <c r="G201" s="126">
        <v>17</v>
      </c>
      <c r="H201" s="126">
        <v>2016</v>
      </c>
      <c r="I201" s="126">
        <v>2050</v>
      </c>
      <c r="J201" s="127">
        <v>1.0924</v>
      </c>
      <c r="K201" s="127">
        <v>1.0661</v>
      </c>
      <c r="L201" s="127">
        <v>1.0295000000000001</v>
      </c>
      <c r="M201" s="127">
        <v>1.1335999999999999</v>
      </c>
      <c r="N201" s="127">
        <v>0.89100000000000001</v>
      </c>
      <c r="O201" s="127">
        <v>1.0538000000000001</v>
      </c>
      <c r="P201" s="126">
        <v>0</v>
      </c>
      <c r="Q201" s="128">
        <f t="array" ref="Q201">SUM(IF(($S201&gt;=4)*($C201='TaxCred&amp;Subs'!$D$123:$D$127)*($H201='TaxCred&amp;Subs'!$C$123:$C$127)*($H201&lt;='TaxCred&amp;Subs'!$C$129),'TaxCred&amp;Subs'!$E$123:$E$127,0))</f>
        <v>0</v>
      </c>
      <c r="R201" s="174">
        <v>0</v>
      </c>
      <c r="S201" s="126">
        <v>1</v>
      </c>
      <c r="T201" s="126" t="s">
        <v>223</v>
      </c>
      <c r="U201" s="158"/>
      <c r="V201" s="153" t="str">
        <f t="array" ref="V201">INDEX(xlRTCLNAME,MATCH(1,(xlRTCLENDU=1)*(xlRTCLEQCL=$D201),0))</f>
        <v>NG_HP</v>
      </c>
      <c r="W201" s="153" t="str">
        <f t="array" ref="W201">INDEX(xlRTCLNAME,MATCH(1,(xlRTCLENDU=2)*(xlRTCLEQCL=$F201),0))</f>
        <v>NG_HP</v>
      </c>
      <c r="X201" s="153" t="str">
        <f t="array" ref="X201">INDEX(xlRTTYNAME,MATCH(1,(xlRTTYENDU=1)*(xlRTTYEQCL=$D201)*(xlRTEQTYPE=$E201),0))</f>
        <v>NG_HP2</v>
      </c>
      <c r="Y201" s="153" t="str">
        <f t="array" ref="Y201">INDEX(xlRTTYNAME,MATCH(1,(xlRTTYENDU=2)*(xlRTTYEQCL=$F201)*(xlRTEQTYPE=$G201),0))</f>
        <v>NG_HP2</v>
      </c>
    </row>
    <row r="202" spans="2:25" x14ac:dyDescent="0.2">
      <c r="B202" s="126">
        <v>7</v>
      </c>
      <c r="C202" s="126">
        <v>1</v>
      </c>
      <c r="D202" s="126">
        <v>11</v>
      </c>
      <c r="E202" s="126">
        <v>36</v>
      </c>
      <c r="F202" s="126">
        <v>5</v>
      </c>
      <c r="G202" s="126">
        <v>17</v>
      </c>
      <c r="H202" s="126">
        <v>2016</v>
      </c>
      <c r="I202" s="126">
        <v>2050</v>
      </c>
      <c r="J202" s="127">
        <v>1.0905</v>
      </c>
      <c r="K202" s="127">
        <v>1.0562</v>
      </c>
      <c r="L202" s="127">
        <v>1.046</v>
      </c>
      <c r="M202" s="127">
        <v>1.0382</v>
      </c>
      <c r="N202" s="127">
        <v>0.87180000000000002</v>
      </c>
      <c r="O202" s="127">
        <v>1.0538000000000001</v>
      </c>
      <c r="P202" s="126">
        <v>0</v>
      </c>
      <c r="Q202" s="128">
        <f t="array" ref="Q202">SUM(IF(($S202&gt;=4)*($C202='TaxCred&amp;Subs'!$D$123:$D$127)*($H202='TaxCred&amp;Subs'!$C$123:$C$127)*($H202&lt;='TaxCred&amp;Subs'!$C$129),'TaxCred&amp;Subs'!$E$123:$E$127,0))</f>
        <v>0</v>
      </c>
      <c r="R202" s="174">
        <v>0</v>
      </c>
      <c r="S202" s="126">
        <v>1</v>
      </c>
      <c r="T202" s="126" t="s">
        <v>223</v>
      </c>
      <c r="U202" s="158"/>
      <c r="V202" s="153" t="str">
        <f t="array" ref="V202">INDEX(xlRTCLNAME,MATCH(1,(xlRTCLENDU=1)*(xlRTCLEQCL=$D202),0))</f>
        <v>NG_HP</v>
      </c>
      <c r="W202" s="153" t="str">
        <f t="array" ref="W202">INDEX(xlRTCLNAME,MATCH(1,(xlRTCLENDU=2)*(xlRTCLEQCL=$F202),0))</f>
        <v>NG_HP</v>
      </c>
      <c r="X202" s="153" t="str">
        <f t="array" ref="X202">INDEX(xlRTTYNAME,MATCH(1,(xlRTTYENDU=1)*(xlRTTYEQCL=$D202)*(xlRTEQTYPE=$E202),0))</f>
        <v>NG_HP2</v>
      </c>
      <c r="Y202" s="153" t="str">
        <f t="array" ref="Y202">INDEX(xlRTTYNAME,MATCH(1,(xlRTTYENDU=2)*(xlRTTYEQCL=$F202)*(xlRTEQTYPE=$G202),0))</f>
        <v>NG_HP2</v>
      </c>
    </row>
    <row r="203" spans="2:25" x14ac:dyDescent="0.2">
      <c r="B203" s="126">
        <v>8</v>
      </c>
      <c r="C203" s="126">
        <v>1</v>
      </c>
      <c r="D203" s="126">
        <v>11</v>
      </c>
      <c r="E203" s="126">
        <v>36</v>
      </c>
      <c r="F203" s="126">
        <v>5</v>
      </c>
      <c r="G203" s="126">
        <v>17</v>
      </c>
      <c r="H203" s="126">
        <v>2016</v>
      </c>
      <c r="I203" s="126">
        <v>2050</v>
      </c>
      <c r="J203" s="127">
        <v>1.0801000000000001</v>
      </c>
      <c r="K203" s="127">
        <v>1.0822000000000001</v>
      </c>
      <c r="L203" s="127">
        <v>0.97740000000000005</v>
      </c>
      <c r="M203" s="127">
        <v>1.0076000000000001</v>
      </c>
      <c r="N203" s="127">
        <v>0.86950000000000005</v>
      </c>
      <c r="O203" s="127">
        <v>1.0538000000000001</v>
      </c>
      <c r="P203" s="126">
        <v>0</v>
      </c>
      <c r="Q203" s="128">
        <f t="array" ref="Q203">SUM(IF(($S203&gt;=4)*($C203='TaxCred&amp;Subs'!$D$123:$D$127)*($H203='TaxCred&amp;Subs'!$C$123:$C$127)*($H203&lt;='TaxCred&amp;Subs'!$C$129),'TaxCred&amp;Subs'!$E$123:$E$127,0))</f>
        <v>0</v>
      </c>
      <c r="R203" s="174">
        <v>0</v>
      </c>
      <c r="S203" s="126">
        <v>1</v>
      </c>
      <c r="T203" s="126" t="s">
        <v>223</v>
      </c>
      <c r="U203" s="158"/>
      <c r="V203" s="153" t="str">
        <f t="array" ref="V203">INDEX(xlRTCLNAME,MATCH(1,(xlRTCLENDU=1)*(xlRTCLEQCL=$D203),0))</f>
        <v>NG_HP</v>
      </c>
      <c r="W203" s="153" t="str">
        <f t="array" ref="W203">INDEX(xlRTCLNAME,MATCH(1,(xlRTCLENDU=2)*(xlRTCLEQCL=$F203),0))</f>
        <v>NG_HP</v>
      </c>
      <c r="X203" s="153" t="str">
        <f t="array" ref="X203">INDEX(xlRTTYNAME,MATCH(1,(xlRTTYENDU=1)*(xlRTTYEQCL=$D203)*(xlRTEQTYPE=$E203),0))</f>
        <v>NG_HP2</v>
      </c>
      <c r="Y203" s="153" t="str">
        <f t="array" ref="Y203">INDEX(xlRTTYNAME,MATCH(1,(xlRTTYENDU=2)*(xlRTTYEQCL=$F203)*(xlRTEQTYPE=$G203),0))</f>
        <v>NG_HP2</v>
      </c>
    </row>
    <row r="204" spans="2:25" x14ac:dyDescent="0.2">
      <c r="B204" s="126">
        <v>9</v>
      </c>
      <c r="C204" s="126">
        <v>1</v>
      </c>
      <c r="D204" s="126">
        <v>11</v>
      </c>
      <c r="E204" s="126">
        <v>36</v>
      </c>
      <c r="F204" s="126">
        <v>5</v>
      </c>
      <c r="G204" s="126">
        <v>17</v>
      </c>
      <c r="H204" s="126">
        <v>2016</v>
      </c>
      <c r="I204" s="126">
        <v>2050</v>
      </c>
      <c r="J204" s="127">
        <v>1.0781000000000001</v>
      </c>
      <c r="K204" s="127">
        <v>1.0707</v>
      </c>
      <c r="L204" s="127">
        <v>1.1246</v>
      </c>
      <c r="M204" s="127">
        <v>1.1204000000000001</v>
      </c>
      <c r="N204" s="127">
        <v>1.0339</v>
      </c>
      <c r="O204" s="127">
        <v>1.0538000000000001</v>
      </c>
      <c r="P204" s="126">
        <v>0</v>
      </c>
      <c r="Q204" s="128">
        <f t="array" ref="Q204">SUM(IF(($S204&gt;=4)*($C204='TaxCred&amp;Subs'!$D$123:$D$127)*($H204='TaxCred&amp;Subs'!$C$123:$C$127)*($H204&lt;='TaxCred&amp;Subs'!$C$129),'TaxCred&amp;Subs'!$E$123:$E$127,0))</f>
        <v>0</v>
      </c>
      <c r="R204" s="174">
        <v>0</v>
      </c>
      <c r="S204" s="126">
        <v>1</v>
      </c>
      <c r="T204" s="126" t="s">
        <v>223</v>
      </c>
      <c r="U204" s="158"/>
      <c r="V204" s="153" t="str">
        <f t="array" ref="V204">INDEX(xlRTCLNAME,MATCH(1,(xlRTCLENDU=1)*(xlRTCLEQCL=$D204),0))</f>
        <v>NG_HP</v>
      </c>
      <c r="W204" s="153" t="str">
        <f t="array" ref="W204">INDEX(xlRTCLNAME,MATCH(1,(xlRTCLENDU=2)*(xlRTCLEQCL=$F204),0))</f>
        <v>NG_HP</v>
      </c>
      <c r="X204" s="153" t="str">
        <f t="array" ref="X204">INDEX(xlRTTYNAME,MATCH(1,(xlRTTYENDU=1)*(xlRTTYEQCL=$D204)*(xlRTEQTYPE=$E204),0))</f>
        <v>NG_HP2</v>
      </c>
      <c r="Y204" s="153" t="str">
        <f t="array" ref="Y204">INDEX(xlRTTYNAME,MATCH(1,(xlRTTYENDU=2)*(xlRTTYEQCL=$F204)*(xlRTEQTYPE=$G204),0))</f>
        <v>NG_HP2</v>
      </c>
    </row>
    <row r="205" spans="2:25" x14ac:dyDescent="0.2">
      <c r="B205" s="126">
        <v>1</v>
      </c>
      <c r="C205" s="126">
        <v>1</v>
      </c>
      <c r="D205" s="126">
        <v>1</v>
      </c>
      <c r="E205" s="126">
        <v>1</v>
      </c>
      <c r="F205" s="126">
        <v>2</v>
      </c>
      <c r="G205" s="126">
        <v>5</v>
      </c>
      <c r="H205" s="126">
        <v>2016</v>
      </c>
      <c r="I205" s="126">
        <v>2022</v>
      </c>
      <c r="J205" s="127">
        <v>1.077</v>
      </c>
      <c r="K205" s="127">
        <v>1.0444</v>
      </c>
      <c r="L205" s="127">
        <v>0.59379999999999999</v>
      </c>
      <c r="M205" s="127">
        <v>1.0176000000000001</v>
      </c>
      <c r="N205" s="127">
        <v>0.79779999999999995</v>
      </c>
      <c r="O205" s="127">
        <v>1.0538000000000001</v>
      </c>
      <c r="P205" s="126">
        <v>12824</v>
      </c>
      <c r="Q205" s="128">
        <f t="array" ref="Q205">SUM(IF(($S205&gt;=4)*($C205='TaxCred&amp;Subs'!$D$123:$D$127)*($H205='TaxCred&amp;Subs'!$C$123:$C$127)*($H205&lt;='TaxCred&amp;Subs'!$C$129),'TaxCred&amp;Subs'!$E$123:$E$127,0))</f>
        <v>0</v>
      </c>
      <c r="R205" s="174">
        <v>0</v>
      </c>
      <c r="S205" s="126">
        <v>2</v>
      </c>
      <c r="T205" s="126" t="s">
        <v>224</v>
      </c>
      <c r="U205" s="158"/>
      <c r="V205" s="153" t="str">
        <f t="array" ref="V205">INDEX(xlRTCLNAME,MATCH(1,(xlRTCLENDU=1)*(xlRTCLEQCL=$D205),0))</f>
        <v>ELEC_RAD</v>
      </c>
      <c r="W205" s="153" t="str">
        <f t="array" ref="W205">INDEX(xlRTCLNAME,MATCH(1,(xlRTCLENDU=2)*(xlRTCLEQCL=$F205),0))</f>
        <v>CENT_AIR</v>
      </c>
      <c r="X205" s="153" t="str">
        <f t="array" ref="X205">INDEX(xlRTTYNAME,MATCH(1,(xlRTTYENDU=1)*(xlRTTYEQCL=$D205)*(xlRTEQTYPE=$E205),0))</f>
        <v>ELEC_RAD2</v>
      </c>
      <c r="Y205" s="153" t="str">
        <f t="array" ref="Y205">INDEX(xlRTTYNAME,MATCH(1,(xlRTTYENDU=2)*(xlRTTYEQCL=$F205)*(xlRTEQTYPE=$G205),0))</f>
        <v>CENT_AIR1</v>
      </c>
    </row>
    <row r="206" spans="2:25" x14ac:dyDescent="0.2">
      <c r="B206" s="126">
        <v>1</v>
      </c>
      <c r="C206" s="126">
        <v>1</v>
      </c>
      <c r="D206" s="126">
        <v>1</v>
      </c>
      <c r="E206" s="126">
        <v>1</v>
      </c>
      <c r="F206" s="126">
        <v>2</v>
      </c>
      <c r="G206" s="126">
        <v>6</v>
      </c>
      <c r="H206" s="126">
        <v>2023</v>
      </c>
      <c r="I206" s="126">
        <v>2050</v>
      </c>
      <c r="J206" s="127">
        <v>1.077</v>
      </c>
      <c r="K206" s="127">
        <v>1.0444</v>
      </c>
      <c r="L206" s="127">
        <v>0.59379999999999999</v>
      </c>
      <c r="M206" s="127">
        <v>1.0176000000000001</v>
      </c>
      <c r="N206" s="127">
        <v>0.79779999999999995</v>
      </c>
      <c r="O206" s="127">
        <v>1.0538000000000001</v>
      </c>
      <c r="P206" s="126">
        <v>12824</v>
      </c>
      <c r="Q206" s="128">
        <f t="array" ref="Q206">SUM(IF(($S206&gt;=4)*($C206='TaxCred&amp;Subs'!$D$123:$D$127)*($H206='TaxCred&amp;Subs'!$C$123:$C$127)*($H206&lt;='TaxCred&amp;Subs'!$C$129),'TaxCred&amp;Subs'!$E$123:$E$127,0))</f>
        <v>0</v>
      </c>
      <c r="R206" s="174">
        <v>0</v>
      </c>
      <c r="S206" s="126">
        <v>2</v>
      </c>
      <c r="T206" s="126" t="s">
        <v>224</v>
      </c>
      <c r="U206" s="158"/>
      <c r="V206" s="153" t="str">
        <f t="array" ref="V206">INDEX(xlRTCLNAME,MATCH(1,(xlRTCLENDU=1)*(xlRTCLEQCL=$D206),0))</f>
        <v>ELEC_RAD</v>
      </c>
      <c r="W206" s="153" t="str">
        <f t="array" ref="W206">INDEX(xlRTCLNAME,MATCH(1,(xlRTCLENDU=2)*(xlRTCLEQCL=$F206),0))</f>
        <v>CENT_AIR</v>
      </c>
      <c r="X206" s="153" t="str">
        <f t="array" ref="X206">INDEX(xlRTTYNAME,MATCH(1,(xlRTTYENDU=1)*(xlRTTYEQCL=$D206)*(xlRTEQTYPE=$E206),0))</f>
        <v>ELEC_RAD2</v>
      </c>
      <c r="Y206" s="153" t="str">
        <f t="array" ref="Y206">INDEX(xlRTTYNAME,MATCH(1,(xlRTTYENDU=2)*(xlRTTYEQCL=$F206)*(xlRTEQTYPE=$G206),0))</f>
        <v>CENT_AIR2</v>
      </c>
    </row>
    <row r="207" spans="2:25" x14ac:dyDescent="0.2">
      <c r="B207" s="126">
        <v>2</v>
      </c>
      <c r="C207" s="126">
        <v>1</v>
      </c>
      <c r="D207" s="126">
        <v>1</v>
      </c>
      <c r="E207" s="126">
        <v>1</v>
      </c>
      <c r="F207" s="126">
        <v>2</v>
      </c>
      <c r="G207" s="126">
        <v>5</v>
      </c>
      <c r="H207" s="126">
        <v>2016</v>
      </c>
      <c r="I207" s="126">
        <v>2022</v>
      </c>
      <c r="J207" s="127">
        <v>1.0329999999999999</v>
      </c>
      <c r="K207" s="127">
        <v>1.0758000000000001</v>
      </c>
      <c r="L207" s="127">
        <v>0.71299999999999997</v>
      </c>
      <c r="M207" s="127">
        <v>0.87660000000000005</v>
      </c>
      <c r="N207" s="127">
        <v>0.93179999999999996</v>
      </c>
      <c r="O207" s="127">
        <v>1.0538000000000001</v>
      </c>
      <c r="P207" s="126">
        <v>10334</v>
      </c>
      <c r="Q207" s="128">
        <f t="array" ref="Q207">SUM(IF(($S207&gt;=4)*($C207='TaxCred&amp;Subs'!$D$123:$D$127)*($H207='TaxCred&amp;Subs'!$C$123:$C$127)*($H207&lt;='TaxCred&amp;Subs'!$C$129),'TaxCred&amp;Subs'!$E$123:$E$127,0))</f>
        <v>0</v>
      </c>
      <c r="R207" s="174">
        <v>0</v>
      </c>
      <c r="S207" s="126">
        <v>2</v>
      </c>
      <c r="T207" s="126" t="s">
        <v>224</v>
      </c>
      <c r="U207" s="158"/>
      <c r="V207" s="153" t="str">
        <f t="array" ref="V207">INDEX(xlRTCLNAME,MATCH(1,(xlRTCLENDU=1)*(xlRTCLEQCL=$D207),0))</f>
        <v>ELEC_RAD</v>
      </c>
      <c r="W207" s="153" t="str">
        <f t="array" ref="W207">INDEX(xlRTCLNAME,MATCH(1,(xlRTCLENDU=2)*(xlRTCLEQCL=$F207),0))</f>
        <v>CENT_AIR</v>
      </c>
      <c r="X207" s="153" t="str">
        <f t="array" ref="X207">INDEX(xlRTTYNAME,MATCH(1,(xlRTTYENDU=1)*(xlRTTYEQCL=$D207)*(xlRTEQTYPE=$E207),0))</f>
        <v>ELEC_RAD2</v>
      </c>
      <c r="Y207" s="153" t="str">
        <f t="array" ref="Y207">INDEX(xlRTTYNAME,MATCH(1,(xlRTTYENDU=2)*(xlRTTYEQCL=$F207)*(xlRTEQTYPE=$G207),0))</f>
        <v>CENT_AIR1</v>
      </c>
    </row>
    <row r="208" spans="2:25" x14ac:dyDescent="0.2">
      <c r="B208" s="126">
        <v>2</v>
      </c>
      <c r="C208" s="126">
        <v>1</v>
      </c>
      <c r="D208" s="126">
        <v>1</v>
      </c>
      <c r="E208" s="126">
        <v>1</v>
      </c>
      <c r="F208" s="126">
        <v>2</v>
      </c>
      <c r="G208" s="126">
        <v>6</v>
      </c>
      <c r="H208" s="126">
        <v>2023</v>
      </c>
      <c r="I208" s="126">
        <v>2050</v>
      </c>
      <c r="J208" s="127">
        <v>1.0329999999999999</v>
      </c>
      <c r="K208" s="127">
        <v>1.0758000000000001</v>
      </c>
      <c r="L208" s="127">
        <v>0.71299999999999997</v>
      </c>
      <c r="M208" s="127">
        <v>0.87660000000000005</v>
      </c>
      <c r="N208" s="127">
        <v>0.93179999999999996</v>
      </c>
      <c r="O208" s="127">
        <v>1.0538000000000001</v>
      </c>
      <c r="P208" s="126">
        <v>10334</v>
      </c>
      <c r="Q208" s="128">
        <f t="array" ref="Q208">SUM(IF(($S208&gt;=4)*($C208='TaxCred&amp;Subs'!$D$123:$D$127)*($H208='TaxCred&amp;Subs'!$C$123:$C$127)*($H208&lt;='TaxCred&amp;Subs'!$C$129),'TaxCred&amp;Subs'!$E$123:$E$127,0))</f>
        <v>0</v>
      </c>
      <c r="R208" s="174">
        <v>0</v>
      </c>
      <c r="S208" s="126">
        <v>2</v>
      </c>
      <c r="T208" s="126" t="s">
        <v>224</v>
      </c>
      <c r="U208" s="158"/>
      <c r="V208" s="153" t="str">
        <f t="array" ref="V208">INDEX(xlRTCLNAME,MATCH(1,(xlRTCLENDU=1)*(xlRTCLEQCL=$D208),0))</f>
        <v>ELEC_RAD</v>
      </c>
      <c r="W208" s="153" t="str">
        <f t="array" ref="W208">INDEX(xlRTCLNAME,MATCH(1,(xlRTCLENDU=2)*(xlRTCLEQCL=$F208),0))</f>
        <v>CENT_AIR</v>
      </c>
      <c r="X208" s="153" t="str">
        <f t="array" ref="X208">INDEX(xlRTTYNAME,MATCH(1,(xlRTTYENDU=1)*(xlRTTYEQCL=$D208)*(xlRTEQTYPE=$E208),0))</f>
        <v>ELEC_RAD2</v>
      </c>
      <c r="Y208" s="153" t="str">
        <f t="array" ref="Y208">INDEX(xlRTTYNAME,MATCH(1,(xlRTTYENDU=2)*(xlRTTYEQCL=$F208)*(xlRTEQTYPE=$G208),0))</f>
        <v>CENT_AIR2</v>
      </c>
    </row>
    <row r="209" spans="2:25" x14ac:dyDescent="0.2">
      <c r="B209" s="126">
        <v>3</v>
      </c>
      <c r="C209" s="126">
        <v>1</v>
      </c>
      <c r="D209" s="126">
        <v>1</v>
      </c>
      <c r="E209" s="126">
        <v>1</v>
      </c>
      <c r="F209" s="126">
        <v>2</v>
      </c>
      <c r="G209" s="126">
        <v>5</v>
      </c>
      <c r="H209" s="126">
        <v>2016</v>
      </c>
      <c r="I209" s="126">
        <v>2022</v>
      </c>
      <c r="J209" s="127">
        <v>1.0839000000000001</v>
      </c>
      <c r="K209" s="127">
        <v>1.0588</v>
      </c>
      <c r="L209" s="127">
        <v>0.5927</v>
      </c>
      <c r="M209" s="127">
        <v>0.94689999999999996</v>
      </c>
      <c r="N209" s="127">
        <v>0.91600000000000004</v>
      </c>
      <c r="O209" s="127">
        <v>1.0538000000000001</v>
      </c>
      <c r="P209" s="126">
        <v>9667</v>
      </c>
      <c r="Q209" s="128">
        <f t="array" ref="Q209">SUM(IF(($S209&gt;=4)*($C209='TaxCred&amp;Subs'!$D$123:$D$127)*($H209='TaxCred&amp;Subs'!$C$123:$C$127)*($H209&lt;='TaxCred&amp;Subs'!$C$129),'TaxCred&amp;Subs'!$E$123:$E$127,0))</f>
        <v>0</v>
      </c>
      <c r="R209" s="174">
        <v>0</v>
      </c>
      <c r="S209" s="126">
        <v>2</v>
      </c>
      <c r="T209" s="126" t="s">
        <v>224</v>
      </c>
      <c r="U209" s="158"/>
      <c r="V209" s="153" t="str">
        <f t="array" ref="V209">INDEX(xlRTCLNAME,MATCH(1,(xlRTCLENDU=1)*(xlRTCLEQCL=$D209),0))</f>
        <v>ELEC_RAD</v>
      </c>
      <c r="W209" s="153" t="str">
        <f t="array" ref="W209">INDEX(xlRTCLNAME,MATCH(1,(xlRTCLENDU=2)*(xlRTCLEQCL=$F209),0))</f>
        <v>CENT_AIR</v>
      </c>
      <c r="X209" s="153" t="str">
        <f t="array" ref="X209">INDEX(xlRTTYNAME,MATCH(1,(xlRTTYENDU=1)*(xlRTTYEQCL=$D209)*(xlRTEQTYPE=$E209),0))</f>
        <v>ELEC_RAD2</v>
      </c>
      <c r="Y209" s="153" t="str">
        <f t="array" ref="Y209">INDEX(xlRTTYNAME,MATCH(1,(xlRTTYENDU=2)*(xlRTTYEQCL=$F209)*(xlRTEQTYPE=$G209),0))</f>
        <v>CENT_AIR1</v>
      </c>
    </row>
    <row r="210" spans="2:25" x14ac:dyDescent="0.2">
      <c r="B210" s="126">
        <v>3</v>
      </c>
      <c r="C210" s="126">
        <v>1</v>
      </c>
      <c r="D210" s="126">
        <v>1</v>
      </c>
      <c r="E210" s="126">
        <v>1</v>
      </c>
      <c r="F210" s="126">
        <v>2</v>
      </c>
      <c r="G210" s="126">
        <v>6</v>
      </c>
      <c r="H210" s="126">
        <v>2023</v>
      </c>
      <c r="I210" s="126">
        <v>2050</v>
      </c>
      <c r="J210" s="127">
        <v>1.0839000000000001</v>
      </c>
      <c r="K210" s="127">
        <v>1.0588</v>
      </c>
      <c r="L210" s="127">
        <v>0.5927</v>
      </c>
      <c r="M210" s="127">
        <v>0.94689999999999996</v>
      </c>
      <c r="N210" s="127">
        <v>0.91600000000000004</v>
      </c>
      <c r="O210" s="127">
        <v>1.0538000000000001</v>
      </c>
      <c r="P210" s="126">
        <v>9667</v>
      </c>
      <c r="Q210" s="128">
        <f t="array" ref="Q210">SUM(IF(($S210&gt;=4)*($C210='TaxCred&amp;Subs'!$D$123:$D$127)*($H210='TaxCred&amp;Subs'!$C$123:$C$127)*($H210&lt;='TaxCred&amp;Subs'!$C$129),'TaxCred&amp;Subs'!$E$123:$E$127,0))</f>
        <v>0</v>
      </c>
      <c r="R210" s="174">
        <v>0</v>
      </c>
      <c r="S210" s="126">
        <v>2</v>
      </c>
      <c r="T210" s="126" t="s">
        <v>224</v>
      </c>
      <c r="U210" s="158"/>
      <c r="V210" s="153" t="str">
        <f t="array" ref="V210">INDEX(xlRTCLNAME,MATCH(1,(xlRTCLENDU=1)*(xlRTCLEQCL=$D210),0))</f>
        <v>ELEC_RAD</v>
      </c>
      <c r="W210" s="153" t="str">
        <f t="array" ref="W210">INDEX(xlRTCLNAME,MATCH(1,(xlRTCLENDU=2)*(xlRTCLEQCL=$F210),0))</f>
        <v>CENT_AIR</v>
      </c>
      <c r="X210" s="153" t="str">
        <f t="array" ref="X210">INDEX(xlRTTYNAME,MATCH(1,(xlRTTYENDU=1)*(xlRTTYEQCL=$D210)*(xlRTEQTYPE=$E210),0))</f>
        <v>ELEC_RAD2</v>
      </c>
      <c r="Y210" s="153" t="str">
        <f t="array" ref="Y210">INDEX(xlRTTYNAME,MATCH(1,(xlRTTYENDU=2)*(xlRTTYEQCL=$F210)*(xlRTEQTYPE=$G210),0))</f>
        <v>CENT_AIR2</v>
      </c>
    </row>
    <row r="211" spans="2:25" x14ac:dyDescent="0.2">
      <c r="B211" s="126">
        <v>4</v>
      </c>
      <c r="C211" s="126">
        <v>1</v>
      </c>
      <c r="D211" s="126">
        <v>1</v>
      </c>
      <c r="E211" s="126">
        <v>1</v>
      </c>
      <c r="F211" s="126">
        <v>2</v>
      </c>
      <c r="G211" s="126">
        <v>5</v>
      </c>
      <c r="H211" s="126">
        <v>2016</v>
      </c>
      <c r="I211" s="126">
        <v>2022</v>
      </c>
      <c r="J211" s="127">
        <v>1.0358000000000001</v>
      </c>
      <c r="K211" s="127">
        <v>1.0769</v>
      </c>
      <c r="L211" s="127">
        <v>0.57779999999999998</v>
      </c>
      <c r="M211" s="127">
        <v>0.90200000000000002</v>
      </c>
      <c r="N211" s="127">
        <v>0.85760000000000003</v>
      </c>
      <c r="O211" s="127">
        <v>1.0538000000000001</v>
      </c>
      <c r="P211" s="126">
        <v>7751</v>
      </c>
      <c r="Q211" s="128">
        <f t="array" ref="Q211">SUM(IF(($S211&gt;=4)*($C211='TaxCred&amp;Subs'!$D$123:$D$127)*($H211='TaxCred&amp;Subs'!$C$123:$C$127)*($H211&lt;='TaxCred&amp;Subs'!$C$129),'TaxCred&amp;Subs'!$E$123:$E$127,0))</f>
        <v>0</v>
      </c>
      <c r="R211" s="174">
        <v>0</v>
      </c>
      <c r="S211" s="126">
        <v>2</v>
      </c>
      <c r="T211" s="126" t="s">
        <v>224</v>
      </c>
      <c r="U211" s="158"/>
      <c r="V211" s="153" t="str">
        <f t="array" ref="V211">INDEX(xlRTCLNAME,MATCH(1,(xlRTCLENDU=1)*(xlRTCLEQCL=$D211),0))</f>
        <v>ELEC_RAD</v>
      </c>
      <c r="W211" s="153" t="str">
        <f t="array" ref="W211">INDEX(xlRTCLNAME,MATCH(1,(xlRTCLENDU=2)*(xlRTCLEQCL=$F211),0))</f>
        <v>CENT_AIR</v>
      </c>
      <c r="X211" s="153" t="str">
        <f t="array" ref="X211">INDEX(xlRTTYNAME,MATCH(1,(xlRTTYENDU=1)*(xlRTTYEQCL=$D211)*(xlRTEQTYPE=$E211),0))</f>
        <v>ELEC_RAD2</v>
      </c>
      <c r="Y211" s="153" t="str">
        <f t="array" ref="Y211">INDEX(xlRTTYNAME,MATCH(1,(xlRTTYENDU=2)*(xlRTTYEQCL=$F211)*(xlRTEQTYPE=$G211),0))</f>
        <v>CENT_AIR1</v>
      </c>
    </row>
    <row r="212" spans="2:25" x14ac:dyDescent="0.2">
      <c r="B212" s="126">
        <v>4</v>
      </c>
      <c r="C212" s="126">
        <v>1</v>
      </c>
      <c r="D212" s="126">
        <v>1</v>
      </c>
      <c r="E212" s="126">
        <v>1</v>
      </c>
      <c r="F212" s="126">
        <v>2</v>
      </c>
      <c r="G212" s="126">
        <v>6</v>
      </c>
      <c r="H212" s="126">
        <v>2023</v>
      </c>
      <c r="I212" s="126">
        <v>2050</v>
      </c>
      <c r="J212" s="127">
        <v>1.0358000000000001</v>
      </c>
      <c r="K212" s="127">
        <v>1.0769</v>
      </c>
      <c r="L212" s="127">
        <v>0.57779999999999998</v>
      </c>
      <c r="M212" s="127">
        <v>0.90200000000000002</v>
      </c>
      <c r="N212" s="127">
        <v>0.85760000000000003</v>
      </c>
      <c r="O212" s="127">
        <v>1.0538000000000001</v>
      </c>
      <c r="P212" s="126">
        <v>7751</v>
      </c>
      <c r="Q212" s="128">
        <f t="array" ref="Q212">SUM(IF(($S212&gt;=4)*($C212='TaxCred&amp;Subs'!$D$123:$D$127)*($H212='TaxCred&amp;Subs'!$C$123:$C$127)*($H212&lt;='TaxCred&amp;Subs'!$C$129),'TaxCred&amp;Subs'!$E$123:$E$127,0))</f>
        <v>0</v>
      </c>
      <c r="R212" s="174">
        <v>0</v>
      </c>
      <c r="S212" s="126">
        <v>2</v>
      </c>
      <c r="T212" s="126" t="s">
        <v>224</v>
      </c>
      <c r="U212" s="158"/>
      <c r="V212" s="153" t="str">
        <f t="array" ref="V212">INDEX(xlRTCLNAME,MATCH(1,(xlRTCLENDU=1)*(xlRTCLEQCL=$D212),0))</f>
        <v>ELEC_RAD</v>
      </c>
      <c r="W212" s="153" t="str">
        <f t="array" ref="W212">INDEX(xlRTCLNAME,MATCH(1,(xlRTCLENDU=2)*(xlRTCLEQCL=$F212),0))</f>
        <v>CENT_AIR</v>
      </c>
      <c r="X212" s="153" t="str">
        <f t="array" ref="X212">INDEX(xlRTTYNAME,MATCH(1,(xlRTTYENDU=1)*(xlRTTYEQCL=$D212)*(xlRTEQTYPE=$E212),0))</f>
        <v>ELEC_RAD2</v>
      </c>
      <c r="Y212" s="153" t="str">
        <f t="array" ref="Y212">INDEX(xlRTTYNAME,MATCH(1,(xlRTTYENDU=2)*(xlRTTYEQCL=$F212)*(xlRTEQTYPE=$G212),0))</f>
        <v>CENT_AIR2</v>
      </c>
    </row>
    <row r="213" spans="2:25" x14ac:dyDescent="0.2">
      <c r="B213" s="126">
        <v>5</v>
      </c>
      <c r="C213" s="126">
        <v>1</v>
      </c>
      <c r="D213" s="126">
        <v>1</v>
      </c>
      <c r="E213" s="126">
        <v>1</v>
      </c>
      <c r="F213" s="126">
        <v>2</v>
      </c>
      <c r="G213" s="126">
        <v>5</v>
      </c>
      <c r="H213" s="126">
        <v>2016</v>
      </c>
      <c r="I213" s="126">
        <v>2022</v>
      </c>
      <c r="J213" s="127">
        <v>1.0401</v>
      </c>
      <c r="K213" s="127">
        <v>1.032</v>
      </c>
      <c r="L213" s="127">
        <v>0.7107</v>
      </c>
      <c r="M213" s="127">
        <v>0.94750000000000001</v>
      </c>
      <c r="N213" s="127">
        <v>0.76090000000000002</v>
      </c>
      <c r="O213" s="127">
        <v>1.0538000000000001</v>
      </c>
      <c r="P213" s="126">
        <v>7761</v>
      </c>
      <c r="Q213" s="128">
        <f t="array" ref="Q213">SUM(IF(($S213&gt;=4)*($C213='TaxCred&amp;Subs'!$D$123:$D$127)*($H213='TaxCred&amp;Subs'!$C$123:$C$127)*($H213&lt;='TaxCred&amp;Subs'!$C$129),'TaxCred&amp;Subs'!$E$123:$E$127,0))</f>
        <v>0</v>
      </c>
      <c r="R213" s="174">
        <v>0</v>
      </c>
      <c r="S213" s="126">
        <v>2</v>
      </c>
      <c r="T213" s="126" t="s">
        <v>224</v>
      </c>
      <c r="U213" s="158"/>
      <c r="V213" s="153" t="str">
        <f t="array" ref="V213">INDEX(xlRTCLNAME,MATCH(1,(xlRTCLENDU=1)*(xlRTCLEQCL=$D213),0))</f>
        <v>ELEC_RAD</v>
      </c>
      <c r="W213" s="153" t="str">
        <f t="array" ref="W213">INDEX(xlRTCLNAME,MATCH(1,(xlRTCLENDU=2)*(xlRTCLEQCL=$F213),0))</f>
        <v>CENT_AIR</v>
      </c>
      <c r="X213" s="153" t="str">
        <f t="array" ref="X213">INDEX(xlRTTYNAME,MATCH(1,(xlRTTYENDU=1)*(xlRTTYEQCL=$D213)*(xlRTEQTYPE=$E213),0))</f>
        <v>ELEC_RAD2</v>
      </c>
      <c r="Y213" s="153" t="str">
        <f t="array" ref="Y213">INDEX(xlRTTYNAME,MATCH(1,(xlRTTYENDU=2)*(xlRTTYEQCL=$F213)*(xlRTEQTYPE=$G213),0))</f>
        <v>CENT_AIR1</v>
      </c>
    </row>
    <row r="214" spans="2:25" x14ac:dyDescent="0.2">
      <c r="B214" s="126">
        <v>5</v>
      </c>
      <c r="C214" s="126">
        <v>1</v>
      </c>
      <c r="D214" s="126">
        <v>1</v>
      </c>
      <c r="E214" s="126">
        <v>1</v>
      </c>
      <c r="F214" s="126">
        <v>2</v>
      </c>
      <c r="G214" s="126">
        <v>6</v>
      </c>
      <c r="H214" s="126">
        <v>2023</v>
      </c>
      <c r="I214" s="126">
        <v>2050</v>
      </c>
      <c r="J214" s="127">
        <v>1.0401</v>
      </c>
      <c r="K214" s="127">
        <v>1.032</v>
      </c>
      <c r="L214" s="127">
        <v>0.7107</v>
      </c>
      <c r="M214" s="127">
        <v>0.94750000000000001</v>
      </c>
      <c r="N214" s="127">
        <v>0.76090000000000002</v>
      </c>
      <c r="O214" s="127">
        <v>1.0538000000000001</v>
      </c>
      <c r="P214" s="126">
        <v>7761</v>
      </c>
      <c r="Q214" s="128">
        <f t="array" ref="Q214">SUM(IF(($S214&gt;=4)*($C214='TaxCred&amp;Subs'!$D$123:$D$127)*($H214='TaxCred&amp;Subs'!$C$123:$C$127)*($H214&lt;='TaxCred&amp;Subs'!$C$129),'TaxCred&amp;Subs'!$E$123:$E$127,0))</f>
        <v>0</v>
      </c>
      <c r="R214" s="174">
        <v>0</v>
      </c>
      <c r="S214" s="126">
        <v>2</v>
      </c>
      <c r="T214" s="126" t="s">
        <v>224</v>
      </c>
      <c r="U214" s="158"/>
      <c r="V214" s="153" t="str">
        <f t="array" ref="V214">INDEX(xlRTCLNAME,MATCH(1,(xlRTCLENDU=1)*(xlRTCLEQCL=$D214),0))</f>
        <v>ELEC_RAD</v>
      </c>
      <c r="W214" s="153" t="str">
        <f t="array" ref="W214">INDEX(xlRTCLNAME,MATCH(1,(xlRTCLENDU=2)*(xlRTCLEQCL=$F214),0))</f>
        <v>CENT_AIR</v>
      </c>
      <c r="X214" s="153" t="str">
        <f t="array" ref="X214">INDEX(xlRTTYNAME,MATCH(1,(xlRTTYENDU=1)*(xlRTTYEQCL=$D214)*(xlRTEQTYPE=$E214),0))</f>
        <v>ELEC_RAD2</v>
      </c>
      <c r="Y214" s="153" t="str">
        <f t="array" ref="Y214">INDEX(xlRTTYNAME,MATCH(1,(xlRTTYENDU=2)*(xlRTTYEQCL=$F214)*(xlRTEQTYPE=$G214),0))</f>
        <v>CENT_AIR2</v>
      </c>
    </row>
    <row r="215" spans="2:25" x14ac:dyDescent="0.2">
      <c r="B215" s="126">
        <v>6</v>
      </c>
      <c r="C215" s="126">
        <v>1</v>
      </c>
      <c r="D215" s="126">
        <v>1</v>
      </c>
      <c r="E215" s="126">
        <v>1</v>
      </c>
      <c r="F215" s="126">
        <v>2</v>
      </c>
      <c r="G215" s="126">
        <v>5</v>
      </c>
      <c r="H215" s="126">
        <v>2016</v>
      </c>
      <c r="I215" s="126">
        <v>2022</v>
      </c>
      <c r="J215" s="127">
        <v>1.0918000000000001</v>
      </c>
      <c r="K215" s="127">
        <v>1.0613999999999999</v>
      </c>
      <c r="L215" s="127">
        <v>0.82509999999999994</v>
      </c>
      <c r="M215" s="127">
        <v>0.93069999999999997</v>
      </c>
      <c r="N215" s="127">
        <v>0.89190000000000003</v>
      </c>
      <c r="O215" s="127">
        <v>1.0538000000000001</v>
      </c>
      <c r="P215" s="126">
        <v>7787</v>
      </c>
      <c r="Q215" s="128">
        <f t="array" ref="Q215">SUM(IF(($S215&gt;=4)*($C215='TaxCred&amp;Subs'!$D$123:$D$127)*($H215='TaxCred&amp;Subs'!$C$123:$C$127)*($H215&lt;='TaxCred&amp;Subs'!$C$129),'TaxCred&amp;Subs'!$E$123:$E$127,0))</f>
        <v>0</v>
      </c>
      <c r="R215" s="174">
        <v>0</v>
      </c>
      <c r="S215" s="126">
        <v>2</v>
      </c>
      <c r="T215" s="126" t="s">
        <v>224</v>
      </c>
      <c r="U215" s="158"/>
      <c r="V215" s="153" t="str">
        <f t="array" ref="V215">INDEX(xlRTCLNAME,MATCH(1,(xlRTCLENDU=1)*(xlRTCLEQCL=$D215),0))</f>
        <v>ELEC_RAD</v>
      </c>
      <c r="W215" s="153" t="str">
        <f t="array" ref="W215">INDEX(xlRTCLNAME,MATCH(1,(xlRTCLENDU=2)*(xlRTCLEQCL=$F215),0))</f>
        <v>CENT_AIR</v>
      </c>
      <c r="X215" s="153" t="str">
        <f t="array" ref="X215">INDEX(xlRTTYNAME,MATCH(1,(xlRTTYENDU=1)*(xlRTTYEQCL=$D215)*(xlRTEQTYPE=$E215),0))</f>
        <v>ELEC_RAD2</v>
      </c>
      <c r="Y215" s="153" t="str">
        <f t="array" ref="Y215">INDEX(xlRTTYNAME,MATCH(1,(xlRTTYENDU=2)*(xlRTTYEQCL=$F215)*(xlRTEQTYPE=$G215),0))</f>
        <v>CENT_AIR1</v>
      </c>
    </row>
    <row r="216" spans="2:25" x14ac:dyDescent="0.2">
      <c r="B216" s="126">
        <v>6</v>
      </c>
      <c r="C216" s="126">
        <v>1</v>
      </c>
      <c r="D216" s="126">
        <v>1</v>
      </c>
      <c r="E216" s="126">
        <v>1</v>
      </c>
      <c r="F216" s="126">
        <v>2</v>
      </c>
      <c r="G216" s="126">
        <v>6</v>
      </c>
      <c r="H216" s="126">
        <v>2023</v>
      </c>
      <c r="I216" s="126">
        <v>2050</v>
      </c>
      <c r="J216" s="127">
        <v>1.0918000000000001</v>
      </c>
      <c r="K216" s="127">
        <v>1.0613999999999999</v>
      </c>
      <c r="L216" s="127">
        <v>0.82509999999999994</v>
      </c>
      <c r="M216" s="127">
        <v>0.93069999999999997</v>
      </c>
      <c r="N216" s="127">
        <v>0.89190000000000003</v>
      </c>
      <c r="O216" s="127">
        <v>1.0538000000000001</v>
      </c>
      <c r="P216" s="126">
        <v>7787</v>
      </c>
      <c r="Q216" s="128">
        <f t="array" ref="Q216">SUM(IF(($S216&gt;=4)*($C216='TaxCred&amp;Subs'!$D$123:$D$127)*($H216='TaxCred&amp;Subs'!$C$123:$C$127)*($H216&lt;='TaxCred&amp;Subs'!$C$129),'TaxCred&amp;Subs'!$E$123:$E$127,0))</f>
        <v>0</v>
      </c>
      <c r="R216" s="174">
        <v>0</v>
      </c>
      <c r="S216" s="126">
        <v>2</v>
      </c>
      <c r="T216" s="126" t="s">
        <v>224</v>
      </c>
      <c r="U216" s="158"/>
      <c r="V216" s="153" t="str">
        <f t="array" ref="V216">INDEX(xlRTCLNAME,MATCH(1,(xlRTCLENDU=1)*(xlRTCLEQCL=$D216),0))</f>
        <v>ELEC_RAD</v>
      </c>
      <c r="W216" s="153" t="str">
        <f t="array" ref="W216">INDEX(xlRTCLNAME,MATCH(1,(xlRTCLENDU=2)*(xlRTCLEQCL=$F216),0))</f>
        <v>CENT_AIR</v>
      </c>
      <c r="X216" s="153" t="str">
        <f t="array" ref="X216">INDEX(xlRTTYNAME,MATCH(1,(xlRTTYENDU=1)*(xlRTTYEQCL=$D216)*(xlRTEQTYPE=$E216),0))</f>
        <v>ELEC_RAD2</v>
      </c>
      <c r="Y216" s="153" t="str">
        <f t="array" ref="Y216">INDEX(xlRTTYNAME,MATCH(1,(xlRTTYENDU=2)*(xlRTTYEQCL=$F216)*(xlRTEQTYPE=$G216),0))</f>
        <v>CENT_AIR2</v>
      </c>
    </row>
    <row r="217" spans="2:25" x14ac:dyDescent="0.2">
      <c r="B217" s="126">
        <v>7</v>
      </c>
      <c r="C217" s="126">
        <v>1</v>
      </c>
      <c r="D217" s="126">
        <v>1</v>
      </c>
      <c r="E217" s="126">
        <v>1</v>
      </c>
      <c r="F217" s="126">
        <v>2</v>
      </c>
      <c r="G217" s="126">
        <v>5</v>
      </c>
      <c r="H217" s="126">
        <v>2016</v>
      </c>
      <c r="I217" s="126">
        <v>2022</v>
      </c>
      <c r="J217" s="127">
        <v>1.0906</v>
      </c>
      <c r="K217" s="127">
        <v>1.0542</v>
      </c>
      <c r="L217" s="127">
        <v>0.8377</v>
      </c>
      <c r="M217" s="127">
        <v>0.84160000000000001</v>
      </c>
      <c r="N217" s="127">
        <v>0.87239999999999995</v>
      </c>
      <c r="O217" s="127">
        <v>1.0538000000000001</v>
      </c>
      <c r="P217" s="126">
        <v>6864</v>
      </c>
      <c r="Q217" s="128">
        <f t="array" ref="Q217">SUM(IF(($S217&gt;=4)*($C217='TaxCred&amp;Subs'!$D$123:$D$127)*($H217='TaxCred&amp;Subs'!$C$123:$C$127)*($H217&lt;='TaxCred&amp;Subs'!$C$129),'TaxCred&amp;Subs'!$E$123:$E$127,0))</f>
        <v>0</v>
      </c>
      <c r="R217" s="174">
        <v>0</v>
      </c>
      <c r="S217" s="126">
        <v>2</v>
      </c>
      <c r="T217" s="126" t="s">
        <v>224</v>
      </c>
      <c r="U217" s="158"/>
      <c r="V217" s="153" t="str">
        <f t="array" ref="V217">INDEX(xlRTCLNAME,MATCH(1,(xlRTCLENDU=1)*(xlRTCLEQCL=$D217),0))</f>
        <v>ELEC_RAD</v>
      </c>
      <c r="W217" s="153" t="str">
        <f t="array" ref="W217">INDEX(xlRTCLNAME,MATCH(1,(xlRTCLENDU=2)*(xlRTCLEQCL=$F217),0))</f>
        <v>CENT_AIR</v>
      </c>
      <c r="X217" s="153" t="str">
        <f t="array" ref="X217">INDEX(xlRTTYNAME,MATCH(1,(xlRTTYENDU=1)*(xlRTTYEQCL=$D217)*(xlRTEQTYPE=$E217),0))</f>
        <v>ELEC_RAD2</v>
      </c>
      <c r="Y217" s="153" t="str">
        <f t="array" ref="Y217">INDEX(xlRTTYNAME,MATCH(1,(xlRTTYENDU=2)*(xlRTTYEQCL=$F217)*(xlRTEQTYPE=$G217),0))</f>
        <v>CENT_AIR1</v>
      </c>
    </row>
    <row r="218" spans="2:25" x14ac:dyDescent="0.2">
      <c r="B218" s="126">
        <v>7</v>
      </c>
      <c r="C218" s="126">
        <v>1</v>
      </c>
      <c r="D218" s="126">
        <v>1</v>
      </c>
      <c r="E218" s="126">
        <v>1</v>
      </c>
      <c r="F218" s="126">
        <v>2</v>
      </c>
      <c r="G218" s="126">
        <v>6</v>
      </c>
      <c r="H218" s="126">
        <v>2023</v>
      </c>
      <c r="I218" s="126">
        <v>2050</v>
      </c>
      <c r="J218" s="127">
        <v>1.0906</v>
      </c>
      <c r="K218" s="127">
        <v>1.0542</v>
      </c>
      <c r="L218" s="127">
        <v>0.8377</v>
      </c>
      <c r="M218" s="127">
        <v>0.84160000000000001</v>
      </c>
      <c r="N218" s="127">
        <v>0.87239999999999995</v>
      </c>
      <c r="O218" s="127">
        <v>1.0538000000000001</v>
      </c>
      <c r="P218" s="126">
        <v>6864</v>
      </c>
      <c r="Q218" s="128">
        <f t="array" ref="Q218">SUM(IF(($S218&gt;=4)*($C218='TaxCred&amp;Subs'!$D$123:$D$127)*($H218='TaxCred&amp;Subs'!$C$123:$C$127)*($H218&lt;='TaxCred&amp;Subs'!$C$129),'TaxCred&amp;Subs'!$E$123:$E$127,0))</f>
        <v>0</v>
      </c>
      <c r="R218" s="174">
        <v>0</v>
      </c>
      <c r="S218" s="126">
        <v>2</v>
      </c>
      <c r="T218" s="126" t="s">
        <v>224</v>
      </c>
      <c r="U218" s="158"/>
      <c r="V218" s="153" t="str">
        <f t="array" ref="V218">INDEX(xlRTCLNAME,MATCH(1,(xlRTCLENDU=1)*(xlRTCLEQCL=$D218),0))</f>
        <v>ELEC_RAD</v>
      </c>
      <c r="W218" s="153" t="str">
        <f t="array" ref="W218">INDEX(xlRTCLNAME,MATCH(1,(xlRTCLENDU=2)*(xlRTCLEQCL=$F218),0))</f>
        <v>CENT_AIR</v>
      </c>
      <c r="X218" s="153" t="str">
        <f t="array" ref="X218">INDEX(xlRTTYNAME,MATCH(1,(xlRTTYENDU=1)*(xlRTTYEQCL=$D218)*(xlRTEQTYPE=$E218),0))</f>
        <v>ELEC_RAD2</v>
      </c>
      <c r="Y218" s="153" t="str">
        <f t="array" ref="Y218">INDEX(xlRTTYNAME,MATCH(1,(xlRTTYENDU=2)*(xlRTTYEQCL=$F218)*(xlRTEQTYPE=$G218),0))</f>
        <v>CENT_AIR2</v>
      </c>
    </row>
    <row r="219" spans="2:25" x14ac:dyDescent="0.2">
      <c r="B219" s="126">
        <v>8</v>
      </c>
      <c r="C219" s="126">
        <v>1</v>
      </c>
      <c r="D219" s="126">
        <v>1</v>
      </c>
      <c r="E219" s="126">
        <v>1</v>
      </c>
      <c r="F219" s="126">
        <v>2</v>
      </c>
      <c r="G219" s="126">
        <v>5</v>
      </c>
      <c r="H219" s="126">
        <v>2016</v>
      </c>
      <c r="I219" s="126">
        <v>2022</v>
      </c>
      <c r="J219" s="127">
        <v>1.0363</v>
      </c>
      <c r="K219" s="127">
        <v>1.0704</v>
      </c>
      <c r="L219" s="127">
        <v>0.58199999999999996</v>
      </c>
      <c r="M219" s="127">
        <v>0.90610000000000002</v>
      </c>
      <c r="N219" s="127">
        <v>0.86919999999999997</v>
      </c>
      <c r="O219" s="127">
        <v>1.0538000000000001</v>
      </c>
      <c r="P219" s="126">
        <v>10716</v>
      </c>
      <c r="Q219" s="128">
        <f t="array" ref="Q219">SUM(IF(($S219&gt;=4)*($C219='TaxCred&amp;Subs'!$D$123:$D$127)*($H219='TaxCred&amp;Subs'!$C$123:$C$127)*($H219&lt;='TaxCred&amp;Subs'!$C$129),'TaxCred&amp;Subs'!$E$123:$E$127,0))</f>
        <v>0</v>
      </c>
      <c r="R219" s="174">
        <v>0</v>
      </c>
      <c r="S219" s="126">
        <v>2</v>
      </c>
      <c r="T219" s="126" t="s">
        <v>224</v>
      </c>
      <c r="U219" s="158"/>
      <c r="V219" s="153" t="str">
        <f t="array" ref="V219">INDEX(xlRTCLNAME,MATCH(1,(xlRTCLENDU=1)*(xlRTCLEQCL=$D219),0))</f>
        <v>ELEC_RAD</v>
      </c>
      <c r="W219" s="153" t="str">
        <f t="array" ref="W219">INDEX(xlRTCLNAME,MATCH(1,(xlRTCLENDU=2)*(xlRTCLEQCL=$F219),0))</f>
        <v>CENT_AIR</v>
      </c>
      <c r="X219" s="153" t="str">
        <f t="array" ref="X219">INDEX(xlRTTYNAME,MATCH(1,(xlRTTYENDU=1)*(xlRTTYEQCL=$D219)*(xlRTEQTYPE=$E219),0))</f>
        <v>ELEC_RAD2</v>
      </c>
      <c r="Y219" s="153" t="str">
        <f t="array" ref="Y219">INDEX(xlRTTYNAME,MATCH(1,(xlRTTYENDU=2)*(xlRTTYEQCL=$F219)*(xlRTEQTYPE=$G219),0))</f>
        <v>CENT_AIR1</v>
      </c>
    </row>
    <row r="220" spans="2:25" x14ac:dyDescent="0.2">
      <c r="B220" s="126">
        <v>8</v>
      </c>
      <c r="C220" s="126">
        <v>1</v>
      </c>
      <c r="D220" s="126">
        <v>1</v>
      </c>
      <c r="E220" s="126">
        <v>1</v>
      </c>
      <c r="F220" s="126">
        <v>2</v>
      </c>
      <c r="G220" s="126">
        <v>6</v>
      </c>
      <c r="H220" s="126">
        <v>2023</v>
      </c>
      <c r="I220" s="126">
        <v>2050</v>
      </c>
      <c r="J220" s="127">
        <v>1.0363</v>
      </c>
      <c r="K220" s="127">
        <v>1.0704</v>
      </c>
      <c r="L220" s="127">
        <v>0.58199999999999996</v>
      </c>
      <c r="M220" s="127">
        <v>0.90610000000000002</v>
      </c>
      <c r="N220" s="127">
        <v>0.86919999999999997</v>
      </c>
      <c r="O220" s="127">
        <v>1.0538000000000001</v>
      </c>
      <c r="P220" s="126">
        <v>10716</v>
      </c>
      <c r="Q220" s="128">
        <f t="array" ref="Q220">SUM(IF(($S220&gt;=4)*($C220='TaxCred&amp;Subs'!$D$123:$D$127)*($H220='TaxCred&amp;Subs'!$C$123:$C$127)*($H220&lt;='TaxCred&amp;Subs'!$C$129),'TaxCred&amp;Subs'!$E$123:$E$127,0))</f>
        <v>0</v>
      </c>
      <c r="R220" s="174">
        <v>0</v>
      </c>
      <c r="S220" s="126">
        <v>2</v>
      </c>
      <c r="T220" s="126" t="s">
        <v>224</v>
      </c>
      <c r="U220" s="158"/>
      <c r="V220" s="153" t="str">
        <f t="array" ref="V220">INDEX(xlRTCLNAME,MATCH(1,(xlRTCLENDU=1)*(xlRTCLEQCL=$D220),0))</f>
        <v>ELEC_RAD</v>
      </c>
      <c r="W220" s="153" t="str">
        <f t="array" ref="W220">INDEX(xlRTCLNAME,MATCH(1,(xlRTCLENDU=2)*(xlRTCLEQCL=$F220),0))</f>
        <v>CENT_AIR</v>
      </c>
      <c r="X220" s="153" t="str">
        <f t="array" ref="X220">INDEX(xlRTTYNAME,MATCH(1,(xlRTTYENDU=1)*(xlRTTYEQCL=$D220)*(xlRTEQTYPE=$E220),0))</f>
        <v>ELEC_RAD2</v>
      </c>
      <c r="Y220" s="153" t="str">
        <f t="array" ref="Y220">INDEX(xlRTTYNAME,MATCH(1,(xlRTTYENDU=2)*(xlRTTYEQCL=$F220)*(xlRTEQTYPE=$G220),0))</f>
        <v>CENT_AIR2</v>
      </c>
    </row>
    <row r="221" spans="2:25" x14ac:dyDescent="0.2">
      <c r="B221" s="126">
        <v>9</v>
      </c>
      <c r="C221" s="126">
        <v>1</v>
      </c>
      <c r="D221" s="126">
        <v>1</v>
      </c>
      <c r="E221" s="126">
        <v>1</v>
      </c>
      <c r="F221" s="126">
        <v>2</v>
      </c>
      <c r="G221" s="126">
        <v>5</v>
      </c>
      <c r="H221" s="126">
        <v>2016</v>
      </c>
      <c r="I221" s="126">
        <v>2022</v>
      </c>
      <c r="J221" s="127">
        <v>1.0367</v>
      </c>
      <c r="K221" s="127">
        <v>1.0638000000000001</v>
      </c>
      <c r="L221" s="127">
        <v>0.88739999999999997</v>
      </c>
      <c r="M221" s="127">
        <v>0.91990000000000005</v>
      </c>
      <c r="N221" s="127">
        <v>1.0334000000000001</v>
      </c>
      <c r="O221" s="127">
        <v>1.0538000000000001</v>
      </c>
      <c r="P221" s="126">
        <v>11228</v>
      </c>
      <c r="Q221" s="128">
        <f t="array" ref="Q221">SUM(IF(($S221&gt;=4)*($C221='TaxCred&amp;Subs'!$D$123:$D$127)*($H221='TaxCred&amp;Subs'!$C$123:$C$127)*($H221&lt;='TaxCred&amp;Subs'!$C$129),'TaxCred&amp;Subs'!$E$123:$E$127,0))</f>
        <v>0</v>
      </c>
      <c r="R221" s="174">
        <v>0</v>
      </c>
      <c r="S221" s="126">
        <v>2</v>
      </c>
      <c r="T221" s="126" t="s">
        <v>224</v>
      </c>
      <c r="U221" s="158"/>
      <c r="V221" s="153" t="str">
        <f t="array" ref="V221">INDEX(xlRTCLNAME,MATCH(1,(xlRTCLENDU=1)*(xlRTCLEQCL=$D221),0))</f>
        <v>ELEC_RAD</v>
      </c>
      <c r="W221" s="153" t="str">
        <f t="array" ref="W221">INDEX(xlRTCLNAME,MATCH(1,(xlRTCLENDU=2)*(xlRTCLEQCL=$F221),0))</f>
        <v>CENT_AIR</v>
      </c>
      <c r="X221" s="153" t="str">
        <f t="array" ref="X221">INDEX(xlRTTYNAME,MATCH(1,(xlRTTYENDU=1)*(xlRTTYEQCL=$D221)*(xlRTEQTYPE=$E221),0))</f>
        <v>ELEC_RAD2</v>
      </c>
      <c r="Y221" s="153" t="str">
        <f t="array" ref="Y221">INDEX(xlRTTYNAME,MATCH(1,(xlRTTYENDU=2)*(xlRTTYEQCL=$F221)*(xlRTEQTYPE=$G221),0))</f>
        <v>CENT_AIR1</v>
      </c>
    </row>
    <row r="222" spans="2:25" x14ac:dyDescent="0.2">
      <c r="B222" s="126">
        <v>9</v>
      </c>
      <c r="C222" s="126">
        <v>1</v>
      </c>
      <c r="D222" s="126">
        <v>1</v>
      </c>
      <c r="E222" s="126">
        <v>1</v>
      </c>
      <c r="F222" s="126">
        <v>2</v>
      </c>
      <c r="G222" s="126">
        <v>6</v>
      </c>
      <c r="H222" s="126">
        <v>2023</v>
      </c>
      <c r="I222" s="126">
        <v>2050</v>
      </c>
      <c r="J222" s="127">
        <v>1.0367</v>
      </c>
      <c r="K222" s="127">
        <v>1.0638000000000001</v>
      </c>
      <c r="L222" s="127">
        <v>0.88739999999999997</v>
      </c>
      <c r="M222" s="127">
        <v>0.91990000000000005</v>
      </c>
      <c r="N222" s="127">
        <v>1.0334000000000001</v>
      </c>
      <c r="O222" s="127">
        <v>1.0538000000000001</v>
      </c>
      <c r="P222" s="126">
        <v>11228</v>
      </c>
      <c r="Q222" s="128">
        <f t="array" ref="Q222">SUM(IF(($S222&gt;=4)*($C222='TaxCred&amp;Subs'!$D$123:$D$127)*($H222='TaxCred&amp;Subs'!$C$123:$C$127)*($H222&lt;='TaxCred&amp;Subs'!$C$129),'TaxCred&amp;Subs'!$E$123:$E$127,0))</f>
        <v>0</v>
      </c>
      <c r="R222" s="174">
        <v>0</v>
      </c>
      <c r="S222" s="126">
        <v>2</v>
      </c>
      <c r="T222" s="126" t="s">
        <v>224</v>
      </c>
      <c r="U222" s="158"/>
      <c r="V222" s="153" t="str">
        <f t="array" ref="V222">INDEX(xlRTCLNAME,MATCH(1,(xlRTCLENDU=1)*(xlRTCLEQCL=$D222),0))</f>
        <v>ELEC_RAD</v>
      </c>
      <c r="W222" s="153" t="str">
        <f t="array" ref="W222">INDEX(xlRTCLNAME,MATCH(1,(xlRTCLENDU=2)*(xlRTCLEQCL=$F222),0))</f>
        <v>CENT_AIR</v>
      </c>
      <c r="X222" s="153" t="str">
        <f t="array" ref="X222">INDEX(xlRTTYNAME,MATCH(1,(xlRTTYENDU=1)*(xlRTTYEQCL=$D222)*(xlRTEQTYPE=$E222),0))</f>
        <v>ELEC_RAD2</v>
      </c>
      <c r="Y222" s="153" t="str">
        <f t="array" ref="Y222">INDEX(xlRTTYNAME,MATCH(1,(xlRTTYENDU=2)*(xlRTTYEQCL=$F222)*(xlRTEQTYPE=$G222),0))</f>
        <v>CENT_AIR2</v>
      </c>
    </row>
    <row r="223" spans="2:25" x14ac:dyDescent="0.2">
      <c r="B223" s="126">
        <v>1</v>
      </c>
      <c r="C223" s="126">
        <v>1</v>
      </c>
      <c r="D223" s="126">
        <v>2</v>
      </c>
      <c r="E223" s="126">
        <v>2</v>
      </c>
      <c r="F223" s="126">
        <v>3</v>
      </c>
      <c r="G223" s="126">
        <v>9</v>
      </c>
      <c r="H223" s="126">
        <v>2016</v>
      </c>
      <c r="I223" s="126">
        <v>2022</v>
      </c>
      <c r="J223" s="127">
        <v>1.0790999999999999</v>
      </c>
      <c r="K223" s="127">
        <v>1.0667</v>
      </c>
      <c r="L223" s="127">
        <v>0.62670000000000003</v>
      </c>
      <c r="M223" s="127">
        <v>1.0176000000000001</v>
      </c>
      <c r="N223" s="127">
        <v>0.80149999999999999</v>
      </c>
      <c r="O223" s="127">
        <v>1.0538000000000001</v>
      </c>
      <c r="P223" s="126">
        <v>8614</v>
      </c>
      <c r="Q223" s="128">
        <f t="array" ref="Q223">SUM(IF(($S223&gt;=4)*($C223='TaxCred&amp;Subs'!$D$123:$D$127)*($H223='TaxCred&amp;Subs'!$C$123:$C$127)*($H223&lt;='TaxCred&amp;Subs'!$C$129),'TaxCred&amp;Subs'!$E$123:$E$127,0))</f>
        <v>0</v>
      </c>
      <c r="R223" s="174">
        <v>0</v>
      </c>
      <c r="S223" s="126">
        <v>2</v>
      </c>
      <c r="T223" s="126" t="s">
        <v>224</v>
      </c>
      <c r="U223" s="158"/>
      <c r="V223" s="153" t="str">
        <f t="array" ref="V223">INDEX(xlRTCLNAME,MATCH(1,(xlRTCLENDU=1)*(xlRTCLEQCL=$D223),0))</f>
        <v>ELEC_HP</v>
      </c>
      <c r="W223" s="153" t="str">
        <f t="array" ref="W223">INDEX(xlRTCLNAME,MATCH(1,(xlRTCLENDU=2)*(xlRTCLEQCL=$F223),0))</f>
        <v>ELEC_HP</v>
      </c>
      <c r="X223" s="153" t="str">
        <f t="array" ref="X223">INDEX(xlRTTYNAME,MATCH(1,(xlRTTYENDU=1)*(xlRTTYEQCL=$D223)*(xlRTEQTYPE=$E223),0))</f>
        <v>ELEC_HP1</v>
      </c>
      <c r="Y223" s="153" t="str">
        <f t="array" ref="Y223">INDEX(xlRTTYNAME,MATCH(1,(xlRTTYENDU=2)*(xlRTTYEQCL=$F223)*(xlRTEQTYPE=$G223),0))</f>
        <v>ELEC_HP1</v>
      </c>
    </row>
    <row r="224" spans="2:25" x14ac:dyDescent="0.2">
      <c r="B224" s="126">
        <v>1</v>
      </c>
      <c r="C224" s="126">
        <v>1</v>
      </c>
      <c r="D224" s="126">
        <v>2</v>
      </c>
      <c r="E224" s="126">
        <v>3</v>
      </c>
      <c r="F224" s="126">
        <v>3</v>
      </c>
      <c r="G224" s="126">
        <v>10</v>
      </c>
      <c r="H224" s="126">
        <v>2023</v>
      </c>
      <c r="I224" s="126">
        <v>2050</v>
      </c>
      <c r="J224" s="127">
        <v>1.0790999999999999</v>
      </c>
      <c r="K224" s="127">
        <v>1.0667</v>
      </c>
      <c r="L224" s="127">
        <v>0.62670000000000003</v>
      </c>
      <c r="M224" s="127">
        <v>1.0176000000000001</v>
      </c>
      <c r="N224" s="127">
        <v>0.80149999999999999</v>
      </c>
      <c r="O224" s="127">
        <v>1.0538000000000001</v>
      </c>
      <c r="P224" s="126">
        <v>8614</v>
      </c>
      <c r="Q224" s="128">
        <f t="array" ref="Q224">SUM(IF(($S224&gt;=4)*($C224='TaxCred&amp;Subs'!$D$123:$D$127)*($H224='TaxCred&amp;Subs'!$C$123:$C$127)*($H224&lt;='TaxCred&amp;Subs'!$C$129),'TaxCred&amp;Subs'!$E$123:$E$127,0))</f>
        <v>0</v>
      </c>
      <c r="R224" s="174">
        <v>0</v>
      </c>
      <c r="S224" s="126">
        <v>2</v>
      </c>
      <c r="T224" s="126" t="s">
        <v>224</v>
      </c>
      <c r="U224" s="158"/>
      <c r="V224" s="153" t="str">
        <f t="array" ref="V224">INDEX(xlRTCLNAME,MATCH(1,(xlRTCLENDU=1)*(xlRTCLEQCL=$D224),0))</f>
        <v>ELEC_HP</v>
      </c>
      <c r="W224" s="153" t="str">
        <f t="array" ref="W224">INDEX(xlRTCLNAME,MATCH(1,(xlRTCLENDU=2)*(xlRTCLEQCL=$F224),0))</f>
        <v>ELEC_HP</v>
      </c>
      <c r="X224" s="153" t="str">
        <f t="array" ref="X224">INDEX(xlRTTYNAME,MATCH(1,(xlRTTYENDU=1)*(xlRTTYEQCL=$D224)*(xlRTEQTYPE=$E224),0))</f>
        <v>ELEC_HP2</v>
      </c>
      <c r="Y224" s="153" t="str">
        <f t="array" ref="Y224">INDEX(xlRTTYNAME,MATCH(1,(xlRTTYENDU=2)*(xlRTTYEQCL=$F224)*(xlRTEQTYPE=$G224),0))</f>
        <v>ELEC_HP2</v>
      </c>
    </row>
    <row r="225" spans="2:25" x14ac:dyDescent="0.2">
      <c r="B225" s="126">
        <v>2</v>
      </c>
      <c r="C225" s="126">
        <v>1</v>
      </c>
      <c r="D225" s="126">
        <v>2</v>
      </c>
      <c r="E225" s="126">
        <v>2</v>
      </c>
      <c r="F225" s="126">
        <v>3</v>
      </c>
      <c r="G225" s="126">
        <v>9</v>
      </c>
      <c r="H225" s="126">
        <v>2016</v>
      </c>
      <c r="I225" s="126">
        <v>2022</v>
      </c>
      <c r="J225" s="127">
        <v>1.0588</v>
      </c>
      <c r="K225" s="127">
        <v>1.0734999999999999</v>
      </c>
      <c r="L225" s="127">
        <v>0.73580000000000001</v>
      </c>
      <c r="M225" s="127">
        <v>0.89180000000000004</v>
      </c>
      <c r="N225" s="127">
        <v>0.93840000000000001</v>
      </c>
      <c r="O225" s="127">
        <v>1.0538000000000001</v>
      </c>
      <c r="P225" s="126">
        <v>9736</v>
      </c>
      <c r="Q225" s="128">
        <f t="array" ref="Q225">SUM(IF(($S225&gt;=4)*($C225='TaxCred&amp;Subs'!$D$123:$D$127)*($H225='TaxCred&amp;Subs'!$C$123:$C$127)*($H225&lt;='TaxCred&amp;Subs'!$C$129),'TaxCred&amp;Subs'!$E$123:$E$127,0))</f>
        <v>0</v>
      </c>
      <c r="R225" s="174">
        <v>0</v>
      </c>
      <c r="S225" s="126">
        <v>2</v>
      </c>
      <c r="T225" s="126" t="s">
        <v>224</v>
      </c>
      <c r="U225" s="158"/>
      <c r="V225" s="153" t="str">
        <f t="array" ref="V225">INDEX(xlRTCLNAME,MATCH(1,(xlRTCLENDU=1)*(xlRTCLEQCL=$D225),0))</f>
        <v>ELEC_HP</v>
      </c>
      <c r="W225" s="153" t="str">
        <f t="array" ref="W225">INDEX(xlRTCLNAME,MATCH(1,(xlRTCLENDU=2)*(xlRTCLEQCL=$F225),0))</f>
        <v>ELEC_HP</v>
      </c>
      <c r="X225" s="153" t="str">
        <f t="array" ref="X225">INDEX(xlRTTYNAME,MATCH(1,(xlRTTYENDU=1)*(xlRTTYEQCL=$D225)*(xlRTEQTYPE=$E225),0))</f>
        <v>ELEC_HP1</v>
      </c>
      <c r="Y225" s="153" t="str">
        <f t="array" ref="Y225">INDEX(xlRTTYNAME,MATCH(1,(xlRTTYENDU=2)*(xlRTTYEQCL=$F225)*(xlRTEQTYPE=$G225),0))</f>
        <v>ELEC_HP1</v>
      </c>
    </row>
    <row r="226" spans="2:25" x14ac:dyDescent="0.2">
      <c r="B226" s="126">
        <v>2</v>
      </c>
      <c r="C226" s="126">
        <v>1</v>
      </c>
      <c r="D226" s="126">
        <v>2</v>
      </c>
      <c r="E226" s="126">
        <v>3</v>
      </c>
      <c r="F226" s="126">
        <v>3</v>
      </c>
      <c r="G226" s="126">
        <v>10</v>
      </c>
      <c r="H226" s="126">
        <v>2023</v>
      </c>
      <c r="I226" s="126">
        <v>2050</v>
      </c>
      <c r="J226" s="127">
        <v>1.0588</v>
      </c>
      <c r="K226" s="127">
        <v>1.0734999999999999</v>
      </c>
      <c r="L226" s="127">
        <v>0.73580000000000001</v>
      </c>
      <c r="M226" s="127">
        <v>0.89180000000000004</v>
      </c>
      <c r="N226" s="127">
        <v>0.93840000000000001</v>
      </c>
      <c r="O226" s="127">
        <v>1.0538000000000001</v>
      </c>
      <c r="P226" s="126">
        <v>9736</v>
      </c>
      <c r="Q226" s="128">
        <f t="array" ref="Q226">SUM(IF(($S226&gt;=4)*($C226='TaxCred&amp;Subs'!$D$123:$D$127)*($H226='TaxCred&amp;Subs'!$C$123:$C$127)*($H226&lt;='TaxCred&amp;Subs'!$C$129),'TaxCred&amp;Subs'!$E$123:$E$127,0))</f>
        <v>0</v>
      </c>
      <c r="R226" s="174">
        <v>0</v>
      </c>
      <c r="S226" s="126">
        <v>2</v>
      </c>
      <c r="T226" s="126" t="s">
        <v>224</v>
      </c>
      <c r="U226" s="158"/>
      <c r="V226" s="153" t="str">
        <f t="array" ref="V226">INDEX(xlRTCLNAME,MATCH(1,(xlRTCLENDU=1)*(xlRTCLEQCL=$D226),0))</f>
        <v>ELEC_HP</v>
      </c>
      <c r="W226" s="153" t="str">
        <f t="array" ref="W226">INDEX(xlRTCLNAME,MATCH(1,(xlRTCLENDU=2)*(xlRTCLEQCL=$F226),0))</f>
        <v>ELEC_HP</v>
      </c>
      <c r="X226" s="153" t="str">
        <f t="array" ref="X226">INDEX(xlRTTYNAME,MATCH(1,(xlRTTYENDU=1)*(xlRTTYEQCL=$D226)*(xlRTEQTYPE=$E226),0))</f>
        <v>ELEC_HP2</v>
      </c>
      <c r="Y226" s="153" t="str">
        <f t="array" ref="Y226">INDEX(xlRTTYNAME,MATCH(1,(xlRTTYENDU=2)*(xlRTTYEQCL=$F226)*(xlRTEQTYPE=$G226),0))</f>
        <v>ELEC_HP2</v>
      </c>
    </row>
    <row r="227" spans="2:25" x14ac:dyDescent="0.2">
      <c r="B227" s="126">
        <v>3</v>
      </c>
      <c r="C227" s="126">
        <v>1</v>
      </c>
      <c r="D227" s="126">
        <v>2</v>
      </c>
      <c r="E227" s="126">
        <v>2</v>
      </c>
      <c r="F227" s="126">
        <v>3</v>
      </c>
      <c r="G227" s="126">
        <v>9</v>
      </c>
      <c r="H227" s="126">
        <v>2016</v>
      </c>
      <c r="I227" s="126">
        <v>2022</v>
      </c>
      <c r="J227" s="127">
        <v>1.0965</v>
      </c>
      <c r="K227" s="127">
        <v>1.0769</v>
      </c>
      <c r="L227" s="127">
        <v>0.62209999999999999</v>
      </c>
      <c r="M227" s="127">
        <v>0.95530000000000004</v>
      </c>
      <c r="N227" s="127">
        <v>0.91520000000000001</v>
      </c>
      <c r="O227" s="127">
        <v>1.0538000000000001</v>
      </c>
      <c r="P227" s="126">
        <v>9135</v>
      </c>
      <c r="Q227" s="128">
        <f t="array" ref="Q227">SUM(IF(($S227&gt;=4)*($C227='TaxCred&amp;Subs'!$D$123:$D$127)*($H227='TaxCred&amp;Subs'!$C$123:$C$127)*($H227&lt;='TaxCred&amp;Subs'!$C$129),'TaxCred&amp;Subs'!$E$123:$E$127,0))</f>
        <v>0</v>
      </c>
      <c r="R227" s="174">
        <v>0</v>
      </c>
      <c r="S227" s="126">
        <v>2</v>
      </c>
      <c r="T227" s="126" t="s">
        <v>224</v>
      </c>
      <c r="U227" s="158"/>
      <c r="V227" s="153" t="str">
        <f t="array" ref="V227">INDEX(xlRTCLNAME,MATCH(1,(xlRTCLENDU=1)*(xlRTCLEQCL=$D227),0))</f>
        <v>ELEC_HP</v>
      </c>
      <c r="W227" s="153" t="str">
        <f t="array" ref="W227">INDEX(xlRTCLNAME,MATCH(1,(xlRTCLENDU=2)*(xlRTCLEQCL=$F227),0))</f>
        <v>ELEC_HP</v>
      </c>
      <c r="X227" s="153" t="str">
        <f t="array" ref="X227">INDEX(xlRTTYNAME,MATCH(1,(xlRTTYENDU=1)*(xlRTTYEQCL=$D227)*(xlRTEQTYPE=$E227),0))</f>
        <v>ELEC_HP1</v>
      </c>
      <c r="Y227" s="153" t="str">
        <f t="array" ref="Y227">INDEX(xlRTTYNAME,MATCH(1,(xlRTTYENDU=2)*(xlRTTYEQCL=$F227)*(xlRTEQTYPE=$G227),0))</f>
        <v>ELEC_HP1</v>
      </c>
    </row>
    <row r="228" spans="2:25" x14ac:dyDescent="0.2">
      <c r="B228" s="126">
        <v>3</v>
      </c>
      <c r="C228" s="126">
        <v>1</v>
      </c>
      <c r="D228" s="126">
        <v>2</v>
      </c>
      <c r="E228" s="126">
        <v>3</v>
      </c>
      <c r="F228" s="126">
        <v>3</v>
      </c>
      <c r="G228" s="126">
        <v>10</v>
      </c>
      <c r="H228" s="126">
        <v>2023</v>
      </c>
      <c r="I228" s="126">
        <v>2050</v>
      </c>
      <c r="J228" s="127">
        <v>1.0965</v>
      </c>
      <c r="K228" s="127">
        <v>1.0769</v>
      </c>
      <c r="L228" s="127">
        <v>0.62209999999999999</v>
      </c>
      <c r="M228" s="127">
        <v>0.95530000000000004</v>
      </c>
      <c r="N228" s="127">
        <v>0.91520000000000001</v>
      </c>
      <c r="O228" s="127">
        <v>1.0538000000000001</v>
      </c>
      <c r="P228" s="126">
        <v>9135</v>
      </c>
      <c r="Q228" s="128">
        <f t="array" ref="Q228">SUM(IF(($S228&gt;=4)*($C228='TaxCred&amp;Subs'!$D$123:$D$127)*($H228='TaxCred&amp;Subs'!$C$123:$C$127)*($H228&lt;='TaxCred&amp;Subs'!$C$129),'TaxCred&amp;Subs'!$E$123:$E$127,0))</f>
        <v>0</v>
      </c>
      <c r="R228" s="174">
        <v>0</v>
      </c>
      <c r="S228" s="126">
        <v>2</v>
      </c>
      <c r="T228" s="126" t="s">
        <v>224</v>
      </c>
      <c r="U228" s="158"/>
      <c r="V228" s="153" t="str">
        <f t="array" ref="V228">INDEX(xlRTCLNAME,MATCH(1,(xlRTCLENDU=1)*(xlRTCLEQCL=$D228),0))</f>
        <v>ELEC_HP</v>
      </c>
      <c r="W228" s="153" t="str">
        <f t="array" ref="W228">INDEX(xlRTCLNAME,MATCH(1,(xlRTCLENDU=2)*(xlRTCLEQCL=$F228),0))</f>
        <v>ELEC_HP</v>
      </c>
      <c r="X228" s="153" t="str">
        <f t="array" ref="X228">INDEX(xlRTTYNAME,MATCH(1,(xlRTTYENDU=1)*(xlRTTYEQCL=$D228)*(xlRTEQTYPE=$E228),0))</f>
        <v>ELEC_HP2</v>
      </c>
      <c r="Y228" s="153" t="str">
        <f t="array" ref="Y228">INDEX(xlRTTYNAME,MATCH(1,(xlRTTYENDU=2)*(xlRTTYEQCL=$F228)*(xlRTEQTYPE=$G228),0))</f>
        <v>ELEC_HP2</v>
      </c>
    </row>
    <row r="229" spans="2:25" x14ac:dyDescent="0.2">
      <c r="B229" s="126">
        <v>4</v>
      </c>
      <c r="C229" s="126">
        <v>1</v>
      </c>
      <c r="D229" s="126">
        <v>2</v>
      </c>
      <c r="E229" s="126">
        <v>2</v>
      </c>
      <c r="F229" s="126">
        <v>3</v>
      </c>
      <c r="G229" s="126">
        <v>9</v>
      </c>
      <c r="H229" s="126">
        <v>2016</v>
      </c>
      <c r="I229" s="126">
        <v>2022</v>
      </c>
      <c r="J229" s="127">
        <v>1.1016999999999999</v>
      </c>
      <c r="K229" s="127">
        <v>1.0789</v>
      </c>
      <c r="L229" s="127">
        <v>0.60819999999999996</v>
      </c>
      <c r="M229" s="127">
        <v>0.89039999999999997</v>
      </c>
      <c r="N229" s="127">
        <v>0.85340000000000005</v>
      </c>
      <c r="O229" s="127">
        <v>1.0538000000000001</v>
      </c>
      <c r="P229" s="126">
        <v>7322</v>
      </c>
      <c r="Q229" s="128">
        <f t="array" ref="Q229">SUM(IF(($S229&gt;=4)*($C229='TaxCred&amp;Subs'!$D$123:$D$127)*($H229='TaxCred&amp;Subs'!$C$123:$C$127)*($H229&lt;='TaxCred&amp;Subs'!$C$129),'TaxCred&amp;Subs'!$E$123:$E$127,0))</f>
        <v>0</v>
      </c>
      <c r="R229" s="174">
        <v>0</v>
      </c>
      <c r="S229" s="126">
        <v>2</v>
      </c>
      <c r="T229" s="126" t="s">
        <v>224</v>
      </c>
      <c r="U229" s="158"/>
      <c r="V229" s="153" t="str">
        <f t="array" ref="V229">INDEX(xlRTCLNAME,MATCH(1,(xlRTCLENDU=1)*(xlRTCLEQCL=$D229),0))</f>
        <v>ELEC_HP</v>
      </c>
      <c r="W229" s="153" t="str">
        <f t="array" ref="W229">INDEX(xlRTCLNAME,MATCH(1,(xlRTCLENDU=2)*(xlRTCLEQCL=$F229),0))</f>
        <v>ELEC_HP</v>
      </c>
      <c r="X229" s="153" t="str">
        <f t="array" ref="X229">INDEX(xlRTTYNAME,MATCH(1,(xlRTTYENDU=1)*(xlRTTYEQCL=$D229)*(xlRTEQTYPE=$E229),0))</f>
        <v>ELEC_HP1</v>
      </c>
      <c r="Y229" s="153" t="str">
        <f t="array" ref="Y229">INDEX(xlRTTYNAME,MATCH(1,(xlRTTYENDU=2)*(xlRTTYEQCL=$F229)*(xlRTEQTYPE=$G229),0))</f>
        <v>ELEC_HP1</v>
      </c>
    </row>
    <row r="230" spans="2:25" x14ac:dyDescent="0.2">
      <c r="B230" s="126">
        <v>4</v>
      </c>
      <c r="C230" s="126">
        <v>1</v>
      </c>
      <c r="D230" s="126">
        <v>2</v>
      </c>
      <c r="E230" s="126">
        <v>3</v>
      </c>
      <c r="F230" s="126">
        <v>3</v>
      </c>
      <c r="G230" s="126">
        <v>10</v>
      </c>
      <c r="H230" s="126">
        <v>2023</v>
      </c>
      <c r="I230" s="126">
        <v>2050</v>
      </c>
      <c r="J230" s="127">
        <v>1.1016999999999999</v>
      </c>
      <c r="K230" s="127">
        <v>1.0789</v>
      </c>
      <c r="L230" s="127">
        <v>0.60819999999999996</v>
      </c>
      <c r="M230" s="127">
        <v>0.89039999999999997</v>
      </c>
      <c r="N230" s="127">
        <v>0.85340000000000005</v>
      </c>
      <c r="O230" s="127">
        <v>1.0538000000000001</v>
      </c>
      <c r="P230" s="126">
        <v>7322</v>
      </c>
      <c r="Q230" s="128">
        <f t="array" ref="Q230">SUM(IF(($S230&gt;=4)*($C230='TaxCred&amp;Subs'!$D$123:$D$127)*($H230='TaxCred&amp;Subs'!$C$123:$C$127)*($H230&lt;='TaxCred&amp;Subs'!$C$129),'TaxCred&amp;Subs'!$E$123:$E$127,0))</f>
        <v>0</v>
      </c>
      <c r="R230" s="174">
        <v>0</v>
      </c>
      <c r="S230" s="126">
        <v>2</v>
      </c>
      <c r="T230" s="126" t="s">
        <v>224</v>
      </c>
      <c r="U230" s="158"/>
      <c r="V230" s="153" t="str">
        <f t="array" ref="V230">INDEX(xlRTCLNAME,MATCH(1,(xlRTCLENDU=1)*(xlRTCLEQCL=$D230),0))</f>
        <v>ELEC_HP</v>
      </c>
      <c r="W230" s="153" t="str">
        <f t="array" ref="W230">INDEX(xlRTCLNAME,MATCH(1,(xlRTCLENDU=2)*(xlRTCLEQCL=$F230),0))</f>
        <v>ELEC_HP</v>
      </c>
      <c r="X230" s="153" t="str">
        <f t="array" ref="X230">INDEX(xlRTTYNAME,MATCH(1,(xlRTTYENDU=1)*(xlRTTYEQCL=$D230)*(xlRTEQTYPE=$E230),0))</f>
        <v>ELEC_HP2</v>
      </c>
      <c r="Y230" s="153" t="str">
        <f t="array" ref="Y230">INDEX(xlRTTYNAME,MATCH(1,(xlRTTYENDU=2)*(xlRTTYEQCL=$F230)*(xlRTEQTYPE=$G230),0))</f>
        <v>ELEC_HP2</v>
      </c>
    </row>
    <row r="231" spans="2:25" x14ac:dyDescent="0.2">
      <c r="B231" s="126">
        <v>5</v>
      </c>
      <c r="C231" s="126">
        <v>1</v>
      </c>
      <c r="D231" s="126">
        <v>2</v>
      </c>
      <c r="E231" s="126">
        <v>2</v>
      </c>
      <c r="F231" s="126">
        <v>3</v>
      </c>
      <c r="G231" s="126">
        <v>9</v>
      </c>
      <c r="H231" s="126">
        <v>2016</v>
      </c>
      <c r="I231" s="126">
        <v>2022</v>
      </c>
      <c r="J231" s="127">
        <v>1.0806</v>
      </c>
      <c r="K231" s="127">
        <v>1.0507</v>
      </c>
      <c r="L231" s="127">
        <v>0.88119999999999998</v>
      </c>
      <c r="M231" s="127">
        <v>0.99609999999999999</v>
      </c>
      <c r="N231" s="127">
        <v>0.78859999999999997</v>
      </c>
      <c r="O231" s="127">
        <v>1.0538000000000001</v>
      </c>
      <c r="P231" s="126">
        <v>6521</v>
      </c>
      <c r="Q231" s="128">
        <f t="array" ref="Q231">SUM(IF(($S231&gt;=4)*($C231='TaxCred&amp;Subs'!$D$123:$D$127)*($H231='TaxCred&amp;Subs'!$C$123:$C$127)*($H231&lt;='TaxCred&amp;Subs'!$C$129),'TaxCred&amp;Subs'!$E$123:$E$127,0))</f>
        <v>0</v>
      </c>
      <c r="R231" s="174">
        <v>0</v>
      </c>
      <c r="S231" s="126">
        <v>2</v>
      </c>
      <c r="T231" s="126" t="s">
        <v>224</v>
      </c>
      <c r="U231" s="158"/>
      <c r="V231" s="153" t="str">
        <f t="array" ref="V231">INDEX(xlRTCLNAME,MATCH(1,(xlRTCLENDU=1)*(xlRTCLEQCL=$D231),0))</f>
        <v>ELEC_HP</v>
      </c>
      <c r="W231" s="153" t="str">
        <f t="array" ref="W231">INDEX(xlRTCLNAME,MATCH(1,(xlRTCLENDU=2)*(xlRTCLEQCL=$F231),0))</f>
        <v>ELEC_HP</v>
      </c>
      <c r="X231" s="153" t="str">
        <f t="array" ref="X231">INDEX(xlRTTYNAME,MATCH(1,(xlRTTYENDU=1)*(xlRTTYEQCL=$D231)*(xlRTEQTYPE=$E231),0))</f>
        <v>ELEC_HP1</v>
      </c>
      <c r="Y231" s="153" t="str">
        <f t="array" ref="Y231">INDEX(xlRTTYNAME,MATCH(1,(xlRTTYENDU=2)*(xlRTTYEQCL=$F231)*(xlRTEQTYPE=$G231),0))</f>
        <v>ELEC_HP1</v>
      </c>
    </row>
    <row r="232" spans="2:25" x14ac:dyDescent="0.2">
      <c r="B232" s="126">
        <v>5</v>
      </c>
      <c r="C232" s="126">
        <v>1</v>
      </c>
      <c r="D232" s="126">
        <v>2</v>
      </c>
      <c r="E232" s="126">
        <v>3</v>
      </c>
      <c r="F232" s="126">
        <v>3</v>
      </c>
      <c r="G232" s="126">
        <v>10</v>
      </c>
      <c r="H232" s="126">
        <v>2023</v>
      </c>
      <c r="I232" s="126">
        <v>2050</v>
      </c>
      <c r="J232" s="127">
        <v>1.0806</v>
      </c>
      <c r="K232" s="127">
        <v>1.0507</v>
      </c>
      <c r="L232" s="127">
        <v>0.88119999999999998</v>
      </c>
      <c r="M232" s="127">
        <v>0.99609999999999999</v>
      </c>
      <c r="N232" s="127">
        <v>0.78859999999999997</v>
      </c>
      <c r="O232" s="127">
        <v>1.0538000000000001</v>
      </c>
      <c r="P232" s="126">
        <v>6521</v>
      </c>
      <c r="Q232" s="128">
        <f t="array" ref="Q232">SUM(IF(($S232&gt;=4)*($C232='TaxCred&amp;Subs'!$D$123:$D$127)*($H232='TaxCred&amp;Subs'!$C$123:$C$127)*($H232&lt;='TaxCred&amp;Subs'!$C$129),'TaxCred&amp;Subs'!$E$123:$E$127,0))</f>
        <v>0</v>
      </c>
      <c r="R232" s="174">
        <v>0</v>
      </c>
      <c r="S232" s="126">
        <v>2</v>
      </c>
      <c r="T232" s="126" t="s">
        <v>224</v>
      </c>
      <c r="U232" s="158"/>
      <c r="V232" s="153" t="str">
        <f t="array" ref="V232">INDEX(xlRTCLNAME,MATCH(1,(xlRTCLENDU=1)*(xlRTCLEQCL=$D232),0))</f>
        <v>ELEC_HP</v>
      </c>
      <c r="W232" s="153" t="str">
        <f t="array" ref="W232">INDEX(xlRTCLNAME,MATCH(1,(xlRTCLENDU=2)*(xlRTCLEQCL=$F232),0))</f>
        <v>ELEC_HP</v>
      </c>
      <c r="X232" s="153" t="str">
        <f t="array" ref="X232">INDEX(xlRTTYNAME,MATCH(1,(xlRTTYENDU=1)*(xlRTTYEQCL=$D232)*(xlRTEQTYPE=$E232),0))</f>
        <v>ELEC_HP2</v>
      </c>
      <c r="Y232" s="153" t="str">
        <f t="array" ref="Y232">INDEX(xlRTTYNAME,MATCH(1,(xlRTTYENDU=2)*(xlRTTYEQCL=$F232)*(xlRTEQTYPE=$G232),0))</f>
        <v>ELEC_HP2</v>
      </c>
    </row>
    <row r="233" spans="2:25" x14ac:dyDescent="0.2">
      <c r="B233" s="126">
        <v>6</v>
      </c>
      <c r="C233" s="126">
        <v>1</v>
      </c>
      <c r="D233" s="126">
        <v>2</v>
      </c>
      <c r="E233" s="126">
        <v>2</v>
      </c>
      <c r="F233" s="126">
        <v>3</v>
      </c>
      <c r="G233" s="126">
        <v>9</v>
      </c>
      <c r="H233" s="126">
        <v>2016</v>
      </c>
      <c r="I233" s="126">
        <v>2022</v>
      </c>
      <c r="J233" s="127">
        <v>1.0885</v>
      </c>
      <c r="K233" s="127">
        <v>1.0526</v>
      </c>
      <c r="L233" s="127">
        <v>1.0156000000000001</v>
      </c>
      <c r="M233" s="127">
        <v>1.0105</v>
      </c>
      <c r="N233" s="127">
        <v>0.88680000000000003</v>
      </c>
      <c r="O233" s="127">
        <v>1.0538000000000001</v>
      </c>
      <c r="P233" s="126">
        <v>5174</v>
      </c>
      <c r="Q233" s="128">
        <f t="array" ref="Q233">SUM(IF(($S233&gt;=4)*($C233='TaxCred&amp;Subs'!$D$123:$D$127)*($H233='TaxCred&amp;Subs'!$C$123:$C$127)*($H233&lt;='TaxCred&amp;Subs'!$C$129),'TaxCred&amp;Subs'!$E$123:$E$127,0))</f>
        <v>0</v>
      </c>
      <c r="R233" s="174">
        <v>0</v>
      </c>
      <c r="S233" s="126">
        <v>2</v>
      </c>
      <c r="T233" s="126" t="s">
        <v>224</v>
      </c>
      <c r="U233" s="158"/>
      <c r="V233" s="153" t="str">
        <f t="array" ref="V233">INDEX(xlRTCLNAME,MATCH(1,(xlRTCLENDU=1)*(xlRTCLEQCL=$D233),0))</f>
        <v>ELEC_HP</v>
      </c>
      <c r="W233" s="153" t="str">
        <f t="array" ref="W233">INDEX(xlRTCLNAME,MATCH(1,(xlRTCLENDU=2)*(xlRTCLEQCL=$F233),0))</f>
        <v>ELEC_HP</v>
      </c>
      <c r="X233" s="153" t="str">
        <f t="array" ref="X233">INDEX(xlRTTYNAME,MATCH(1,(xlRTTYENDU=1)*(xlRTTYEQCL=$D233)*(xlRTEQTYPE=$E233),0))</f>
        <v>ELEC_HP1</v>
      </c>
      <c r="Y233" s="153" t="str">
        <f t="array" ref="Y233">INDEX(xlRTTYNAME,MATCH(1,(xlRTTYENDU=2)*(xlRTTYEQCL=$F233)*(xlRTEQTYPE=$G233),0))</f>
        <v>ELEC_HP1</v>
      </c>
    </row>
    <row r="234" spans="2:25" x14ac:dyDescent="0.2">
      <c r="B234" s="126">
        <v>6</v>
      </c>
      <c r="C234" s="126">
        <v>1</v>
      </c>
      <c r="D234" s="126">
        <v>2</v>
      </c>
      <c r="E234" s="126">
        <v>3</v>
      </c>
      <c r="F234" s="126">
        <v>3</v>
      </c>
      <c r="G234" s="126">
        <v>10</v>
      </c>
      <c r="H234" s="126">
        <v>2023</v>
      </c>
      <c r="I234" s="126">
        <v>2050</v>
      </c>
      <c r="J234" s="127">
        <v>1.0885</v>
      </c>
      <c r="K234" s="127">
        <v>1.0526</v>
      </c>
      <c r="L234" s="127">
        <v>1.0156000000000001</v>
      </c>
      <c r="M234" s="127">
        <v>1.0105</v>
      </c>
      <c r="N234" s="127">
        <v>0.88680000000000003</v>
      </c>
      <c r="O234" s="127">
        <v>1.0538000000000001</v>
      </c>
      <c r="P234" s="126">
        <v>5174</v>
      </c>
      <c r="Q234" s="128">
        <f t="array" ref="Q234">SUM(IF(($S234&gt;=4)*($C234='TaxCred&amp;Subs'!$D$123:$D$127)*($H234='TaxCred&amp;Subs'!$C$123:$C$127)*($H234&lt;='TaxCred&amp;Subs'!$C$129),'TaxCred&amp;Subs'!$E$123:$E$127,0))</f>
        <v>0</v>
      </c>
      <c r="R234" s="174">
        <v>0</v>
      </c>
      <c r="S234" s="126">
        <v>2</v>
      </c>
      <c r="T234" s="126" t="s">
        <v>224</v>
      </c>
      <c r="U234" s="158"/>
      <c r="V234" s="153" t="str">
        <f t="array" ref="V234">INDEX(xlRTCLNAME,MATCH(1,(xlRTCLENDU=1)*(xlRTCLEQCL=$D234),0))</f>
        <v>ELEC_HP</v>
      </c>
      <c r="W234" s="153" t="str">
        <f t="array" ref="W234">INDEX(xlRTCLNAME,MATCH(1,(xlRTCLENDU=2)*(xlRTCLEQCL=$F234),0))</f>
        <v>ELEC_HP</v>
      </c>
      <c r="X234" s="153" t="str">
        <f t="array" ref="X234">INDEX(xlRTTYNAME,MATCH(1,(xlRTTYENDU=1)*(xlRTTYEQCL=$D234)*(xlRTEQTYPE=$E234),0))</f>
        <v>ELEC_HP2</v>
      </c>
      <c r="Y234" s="153" t="str">
        <f t="array" ref="Y234">INDEX(xlRTTYNAME,MATCH(1,(xlRTTYENDU=2)*(xlRTTYEQCL=$F234)*(xlRTEQTYPE=$G234),0))</f>
        <v>ELEC_HP2</v>
      </c>
    </row>
    <row r="235" spans="2:25" x14ac:dyDescent="0.2">
      <c r="B235" s="126">
        <v>7</v>
      </c>
      <c r="C235" s="126">
        <v>1</v>
      </c>
      <c r="D235" s="126">
        <v>2</v>
      </c>
      <c r="E235" s="126">
        <v>2</v>
      </c>
      <c r="F235" s="126">
        <v>3</v>
      </c>
      <c r="G235" s="126">
        <v>9</v>
      </c>
      <c r="H235" s="126">
        <v>2016</v>
      </c>
      <c r="I235" s="126">
        <v>2022</v>
      </c>
      <c r="J235" s="127">
        <v>1.0765</v>
      </c>
      <c r="K235" s="127">
        <v>1.0508</v>
      </c>
      <c r="L235" s="127">
        <v>1.0137</v>
      </c>
      <c r="M235" s="127">
        <v>0.93440000000000001</v>
      </c>
      <c r="N235" s="127">
        <v>0.86099999999999999</v>
      </c>
      <c r="O235" s="127">
        <v>1.0538000000000001</v>
      </c>
      <c r="P235" s="126">
        <v>5069</v>
      </c>
      <c r="Q235" s="128">
        <f t="array" ref="Q235">SUM(IF(($S235&gt;=4)*($C235='TaxCred&amp;Subs'!$D$123:$D$127)*($H235='TaxCred&amp;Subs'!$C$123:$C$127)*($H235&lt;='TaxCred&amp;Subs'!$C$129),'TaxCred&amp;Subs'!$E$123:$E$127,0))</f>
        <v>0</v>
      </c>
      <c r="R235" s="174">
        <v>0</v>
      </c>
      <c r="S235" s="126">
        <v>2</v>
      </c>
      <c r="T235" s="126" t="s">
        <v>224</v>
      </c>
      <c r="U235" s="158"/>
      <c r="V235" s="153" t="str">
        <f t="array" ref="V235">INDEX(xlRTCLNAME,MATCH(1,(xlRTCLENDU=1)*(xlRTCLEQCL=$D235),0))</f>
        <v>ELEC_HP</v>
      </c>
      <c r="W235" s="153" t="str">
        <f t="array" ref="W235">INDEX(xlRTCLNAME,MATCH(1,(xlRTCLENDU=2)*(xlRTCLEQCL=$F235),0))</f>
        <v>ELEC_HP</v>
      </c>
      <c r="X235" s="153" t="str">
        <f t="array" ref="X235">INDEX(xlRTTYNAME,MATCH(1,(xlRTTYENDU=1)*(xlRTTYEQCL=$D235)*(xlRTEQTYPE=$E235),0))</f>
        <v>ELEC_HP1</v>
      </c>
      <c r="Y235" s="153" t="str">
        <f t="array" ref="Y235">INDEX(xlRTTYNAME,MATCH(1,(xlRTTYENDU=2)*(xlRTTYEQCL=$F235)*(xlRTEQTYPE=$G235),0))</f>
        <v>ELEC_HP1</v>
      </c>
    </row>
    <row r="236" spans="2:25" x14ac:dyDescent="0.2">
      <c r="B236" s="126">
        <v>7</v>
      </c>
      <c r="C236" s="126">
        <v>1</v>
      </c>
      <c r="D236" s="126">
        <v>2</v>
      </c>
      <c r="E236" s="126">
        <v>3</v>
      </c>
      <c r="F236" s="126">
        <v>3</v>
      </c>
      <c r="G236" s="126">
        <v>10</v>
      </c>
      <c r="H236" s="126">
        <v>2023</v>
      </c>
      <c r="I236" s="126">
        <v>2050</v>
      </c>
      <c r="J236" s="127">
        <v>1.0765</v>
      </c>
      <c r="K236" s="127">
        <v>1.0508</v>
      </c>
      <c r="L236" s="127">
        <v>1.0137</v>
      </c>
      <c r="M236" s="127">
        <v>0.93440000000000001</v>
      </c>
      <c r="N236" s="127">
        <v>0.86099999999999999</v>
      </c>
      <c r="O236" s="127">
        <v>1.0538000000000001</v>
      </c>
      <c r="P236" s="126">
        <v>5069</v>
      </c>
      <c r="Q236" s="128">
        <f t="array" ref="Q236">SUM(IF(($S236&gt;=4)*($C236='TaxCred&amp;Subs'!$D$123:$D$127)*($H236='TaxCred&amp;Subs'!$C$123:$C$127)*($H236&lt;='TaxCred&amp;Subs'!$C$129),'TaxCred&amp;Subs'!$E$123:$E$127,0))</f>
        <v>0</v>
      </c>
      <c r="R236" s="174">
        <v>0</v>
      </c>
      <c r="S236" s="126">
        <v>2</v>
      </c>
      <c r="T236" s="126" t="s">
        <v>224</v>
      </c>
      <c r="U236" s="158"/>
      <c r="V236" s="153" t="str">
        <f t="array" ref="V236">INDEX(xlRTCLNAME,MATCH(1,(xlRTCLENDU=1)*(xlRTCLEQCL=$D236),0))</f>
        <v>ELEC_HP</v>
      </c>
      <c r="W236" s="153" t="str">
        <f t="array" ref="W236">INDEX(xlRTCLNAME,MATCH(1,(xlRTCLENDU=2)*(xlRTCLEQCL=$F236),0))</f>
        <v>ELEC_HP</v>
      </c>
      <c r="X236" s="153" t="str">
        <f t="array" ref="X236">INDEX(xlRTTYNAME,MATCH(1,(xlRTTYENDU=1)*(xlRTTYEQCL=$D236)*(xlRTEQTYPE=$E236),0))</f>
        <v>ELEC_HP2</v>
      </c>
      <c r="Y236" s="153" t="str">
        <f t="array" ref="Y236">INDEX(xlRTTYNAME,MATCH(1,(xlRTTYENDU=2)*(xlRTTYEQCL=$F236)*(xlRTEQTYPE=$G236),0))</f>
        <v>ELEC_HP2</v>
      </c>
    </row>
    <row r="237" spans="2:25" x14ac:dyDescent="0.2">
      <c r="B237" s="126">
        <v>8</v>
      </c>
      <c r="C237" s="126">
        <v>1</v>
      </c>
      <c r="D237" s="126">
        <v>2</v>
      </c>
      <c r="E237" s="126">
        <v>2</v>
      </c>
      <c r="F237" s="126">
        <v>3</v>
      </c>
      <c r="G237" s="126">
        <v>9</v>
      </c>
      <c r="H237" s="126">
        <v>2016</v>
      </c>
      <c r="I237" s="126">
        <v>2022</v>
      </c>
      <c r="J237" s="127">
        <v>1.0488999999999999</v>
      </c>
      <c r="K237" s="127">
        <v>1.0810999999999999</v>
      </c>
      <c r="L237" s="127">
        <v>0.68020000000000003</v>
      </c>
      <c r="M237" s="127">
        <v>0.92820000000000003</v>
      </c>
      <c r="N237" s="127">
        <v>0.87419999999999998</v>
      </c>
      <c r="O237" s="127">
        <v>1.0538000000000001</v>
      </c>
      <c r="P237" s="126">
        <v>7731</v>
      </c>
      <c r="Q237" s="128">
        <f t="array" ref="Q237">SUM(IF(($S237&gt;=4)*($C237='TaxCred&amp;Subs'!$D$123:$D$127)*($H237='TaxCred&amp;Subs'!$C$123:$C$127)*($H237&lt;='TaxCred&amp;Subs'!$C$129),'TaxCred&amp;Subs'!$E$123:$E$127,0))</f>
        <v>0</v>
      </c>
      <c r="R237" s="174">
        <v>0</v>
      </c>
      <c r="S237" s="126">
        <v>2</v>
      </c>
      <c r="T237" s="126" t="s">
        <v>224</v>
      </c>
      <c r="U237" s="158"/>
      <c r="V237" s="153" t="str">
        <f t="array" ref="V237">INDEX(xlRTCLNAME,MATCH(1,(xlRTCLENDU=1)*(xlRTCLEQCL=$D237),0))</f>
        <v>ELEC_HP</v>
      </c>
      <c r="W237" s="153" t="str">
        <f t="array" ref="W237">INDEX(xlRTCLNAME,MATCH(1,(xlRTCLENDU=2)*(xlRTCLEQCL=$F237),0))</f>
        <v>ELEC_HP</v>
      </c>
      <c r="X237" s="153" t="str">
        <f t="array" ref="X237">INDEX(xlRTTYNAME,MATCH(1,(xlRTTYENDU=1)*(xlRTTYEQCL=$D237)*(xlRTEQTYPE=$E237),0))</f>
        <v>ELEC_HP1</v>
      </c>
      <c r="Y237" s="153" t="str">
        <f t="array" ref="Y237">INDEX(xlRTTYNAME,MATCH(1,(xlRTTYENDU=2)*(xlRTTYEQCL=$F237)*(xlRTEQTYPE=$G237),0))</f>
        <v>ELEC_HP1</v>
      </c>
    </row>
    <row r="238" spans="2:25" x14ac:dyDescent="0.2">
      <c r="B238" s="126">
        <v>8</v>
      </c>
      <c r="C238" s="126">
        <v>1</v>
      </c>
      <c r="D238" s="126">
        <v>2</v>
      </c>
      <c r="E238" s="126">
        <v>3</v>
      </c>
      <c r="F238" s="126">
        <v>3</v>
      </c>
      <c r="G238" s="126">
        <v>10</v>
      </c>
      <c r="H238" s="126">
        <v>2023</v>
      </c>
      <c r="I238" s="126">
        <v>2050</v>
      </c>
      <c r="J238" s="127">
        <v>1.0488999999999999</v>
      </c>
      <c r="K238" s="127">
        <v>1.0810999999999999</v>
      </c>
      <c r="L238" s="127">
        <v>0.68020000000000003</v>
      </c>
      <c r="M238" s="127">
        <v>0.92820000000000003</v>
      </c>
      <c r="N238" s="127">
        <v>0.87419999999999998</v>
      </c>
      <c r="O238" s="127">
        <v>1.0538000000000001</v>
      </c>
      <c r="P238" s="126">
        <v>7731</v>
      </c>
      <c r="Q238" s="128">
        <f t="array" ref="Q238">SUM(IF(($S238&gt;=4)*($C238='TaxCred&amp;Subs'!$D$123:$D$127)*($H238='TaxCred&amp;Subs'!$C$123:$C$127)*($H238&lt;='TaxCred&amp;Subs'!$C$129),'TaxCred&amp;Subs'!$E$123:$E$127,0))</f>
        <v>0</v>
      </c>
      <c r="R238" s="174">
        <v>0</v>
      </c>
      <c r="S238" s="126">
        <v>2</v>
      </c>
      <c r="T238" s="126" t="s">
        <v>224</v>
      </c>
      <c r="U238" s="158"/>
      <c r="V238" s="153" t="str">
        <f t="array" ref="V238">INDEX(xlRTCLNAME,MATCH(1,(xlRTCLENDU=1)*(xlRTCLEQCL=$D238),0))</f>
        <v>ELEC_HP</v>
      </c>
      <c r="W238" s="153" t="str">
        <f t="array" ref="W238">INDEX(xlRTCLNAME,MATCH(1,(xlRTCLENDU=2)*(xlRTCLEQCL=$F238),0))</f>
        <v>ELEC_HP</v>
      </c>
      <c r="X238" s="153" t="str">
        <f t="array" ref="X238">INDEX(xlRTTYNAME,MATCH(1,(xlRTTYENDU=1)*(xlRTTYEQCL=$D238)*(xlRTEQTYPE=$E238),0))</f>
        <v>ELEC_HP2</v>
      </c>
      <c r="Y238" s="153" t="str">
        <f t="array" ref="Y238">INDEX(xlRTTYNAME,MATCH(1,(xlRTTYENDU=2)*(xlRTTYEQCL=$F238)*(xlRTEQTYPE=$G238),0))</f>
        <v>ELEC_HP2</v>
      </c>
    </row>
    <row r="239" spans="2:25" x14ac:dyDescent="0.2">
      <c r="B239" s="126">
        <v>9</v>
      </c>
      <c r="C239" s="126">
        <v>1</v>
      </c>
      <c r="D239" s="126">
        <v>2</v>
      </c>
      <c r="E239" s="126">
        <v>2</v>
      </c>
      <c r="F239" s="126">
        <v>3</v>
      </c>
      <c r="G239" s="126">
        <v>9</v>
      </c>
      <c r="H239" s="126">
        <v>2016</v>
      </c>
      <c r="I239" s="126">
        <v>2022</v>
      </c>
      <c r="J239" s="127">
        <v>1.0710999999999999</v>
      </c>
      <c r="K239" s="127">
        <v>1.0754999999999999</v>
      </c>
      <c r="L239" s="127">
        <v>1.0681</v>
      </c>
      <c r="M239" s="127">
        <v>0.98440000000000005</v>
      </c>
      <c r="N239" s="127">
        <v>1.0228999999999999</v>
      </c>
      <c r="O239" s="127">
        <v>1.0538000000000001</v>
      </c>
      <c r="P239" s="126">
        <v>8057</v>
      </c>
      <c r="Q239" s="128">
        <f t="array" ref="Q239">SUM(IF(($S239&gt;=4)*($C239='TaxCred&amp;Subs'!$D$123:$D$127)*($H239='TaxCred&amp;Subs'!$C$123:$C$127)*($H239&lt;='TaxCred&amp;Subs'!$C$129),'TaxCred&amp;Subs'!$E$123:$E$127,0))</f>
        <v>0</v>
      </c>
      <c r="R239" s="174">
        <v>0</v>
      </c>
      <c r="S239" s="126">
        <v>2</v>
      </c>
      <c r="T239" s="126" t="s">
        <v>224</v>
      </c>
      <c r="U239" s="158"/>
      <c r="V239" s="153" t="str">
        <f t="array" ref="V239">INDEX(xlRTCLNAME,MATCH(1,(xlRTCLENDU=1)*(xlRTCLEQCL=$D239),0))</f>
        <v>ELEC_HP</v>
      </c>
      <c r="W239" s="153" t="str">
        <f t="array" ref="W239">INDEX(xlRTCLNAME,MATCH(1,(xlRTCLENDU=2)*(xlRTCLEQCL=$F239),0))</f>
        <v>ELEC_HP</v>
      </c>
      <c r="X239" s="153" t="str">
        <f t="array" ref="X239">INDEX(xlRTTYNAME,MATCH(1,(xlRTTYENDU=1)*(xlRTTYEQCL=$D239)*(xlRTEQTYPE=$E239),0))</f>
        <v>ELEC_HP1</v>
      </c>
      <c r="Y239" s="153" t="str">
        <f t="array" ref="Y239">INDEX(xlRTTYNAME,MATCH(1,(xlRTTYENDU=2)*(xlRTTYEQCL=$F239)*(xlRTEQTYPE=$G239),0))</f>
        <v>ELEC_HP1</v>
      </c>
    </row>
    <row r="240" spans="2:25" x14ac:dyDescent="0.2">
      <c r="B240" s="126">
        <v>9</v>
      </c>
      <c r="C240" s="126">
        <v>1</v>
      </c>
      <c r="D240" s="126">
        <v>2</v>
      </c>
      <c r="E240" s="126">
        <v>3</v>
      </c>
      <c r="F240" s="126">
        <v>3</v>
      </c>
      <c r="G240" s="126">
        <v>10</v>
      </c>
      <c r="H240" s="126">
        <v>2023</v>
      </c>
      <c r="I240" s="126">
        <v>2050</v>
      </c>
      <c r="J240" s="127">
        <v>1.0710999999999999</v>
      </c>
      <c r="K240" s="127">
        <v>1.0754999999999999</v>
      </c>
      <c r="L240" s="127">
        <v>1.0681</v>
      </c>
      <c r="M240" s="127">
        <v>0.98440000000000005</v>
      </c>
      <c r="N240" s="127">
        <v>1.0228999999999999</v>
      </c>
      <c r="O240" s="127">
        <v>1.0538000000000001</v>
      </c>
      <c r="P240" s="126">
        <v>8057</v>
      </c>
      <c r="Q240" s="128">
        <f t="array" ref="Q240">SUM(IF(($S240&gt;=4)*($C240='TaxCred&amp;Subs'!$D$123:$D$127)*($H240='TaxCred&amp;Subs'!$C$123:$C$127)*($H240&lt;='TaxCred&amp;Subs'!$C$129),'TaxCred&amp;Subs'!$E$123:$E$127,0))</f>
        <v>0</v>
      </c>
      <c r="R240" s="174">
        <v>0</v>
      </c>
      <c r="S240" s="126">
        <v>2</v>
      </c>
      <c r="T240" s="126" t="s">
        <v>224</v>
      </c>
      <c r="U240" s="158"/>
      <c r="V240" s="153" t="str">
        <f t="array" ref="V240">INDEX(xlRTCLNAME,MATCH(1,(xlRTCLENDU=1)*(xlRTCLEQCL=$D240),0))</f>
        <v>ELEC_HP</v>
      </c>
      <c r="W240" s="153" t="str">
        <f t="array" ref="W240">INDEX(xlRTCLNAME,MATCH(1,(xlRTCLENDU=2)*(xlRTCLEQCL=$F240),0))</f>
        <v>ELEC_HP</v>
      </c>
      <c r="X240" s="153" t="str">
        <f t="array" ref="X240">INDEX(xlRTTYNAME,MATCH(1,(xlRTTYENDU=1)*(xlRTTYEQCL=$D240)*(xlRTEQTYPE=$E240),0))</f>
        <v>ELEC_HP2</v>
      </c>
      <c r="Y240" s="153" t="str">
        <f t="array" ref="Y240">INDEX(xlRTTYNAME,MATCH(1,(xlRTTYENDU=2)*(xlRTTYEQCL=$F240)*(xlRTEQTYPE=$G240),0))</f>
        <v>ELEC_HP2</v>
      </c>
    </row>
    <row r="241" spans="2:25" x14ac:dyDescent="0.2">
      <c r="B241" s="126">
        <v>1</v>
      </c>
      <c r="C241" s="126">
        <v>1</v>
      </c>
      <c r="D241" s="126">
        <v>3</v>
      </c>
      <c r="E241" s="126">
        <v>6</v>
      </c>
      <c r="F241" s="126">
        <v>2</v>
      </c>
      <c r="G241" s="126">
        <v>5</v>
      </c>
      <c r="H241" s="126">
        <v>2016</v>
      </c>
      <c r="I241" s="126">
        <v>2022</v>
      </c>
      <c r="J241" s="127">
        <v>1.0803</v>
      </c>
      <c r="K241" s="127">
        <v>1.0667</v>
      </c>
      <c r="L241" s="127">
        <v>0.59240000000000004</v>
      </c>
      <c r="M241" s="127">
        <v>1.0176000000000001</v>
      </c>
      <c r="N241" s="127">
        <v>0.79790000000000005</v>
      </c>
      <c r="O241" s="127">
        <v>1.0538000000000001</v>
      </c>
      <c r="P241" s="126">
        <v>10708</v>
      </c>
      <c r="Q241" s="128">
        <f t="array" ref="Q241">SUM(IF(($S241&gt;=4)*($C241='TaxCred&amp;Subs'!$D$123:$D$127)*($H241='TaxCred&amp;Subs'!$C$123:$C$127)*($H241&lt;='TaxCred&amp;Subs'!$C$129),'TaxCred&amp;Subs'!$E$123:$E$127,0))</f>
        <v>0</v>
      </c>
      <c r="R241" s="174">
        <v>0</v>
      </c>
      <c r="S241" s="126">
        <v>2</v>
      </c>
      <c r="T241" s="126" t="s">
        <v>224</v>
      </c>
      <c r="U241" s="158"/>
      <c r="V241" s="153" t="str">
        <f t="array" ref="V241">INDEX(xlRTCLNAME,MATCH(1,(xlRTCLENDU=1)*(xlRTCLEQCL=$D241),0))</f>
        <v>NG_FA</v>
      </c>
      <c r="W241" s="153" t="str">
        <f t="array" ref="W241">INDEX(xlRTCLNAME,MATCH(1,(xlRTCLENDU=2)*(xlRTCLEQCL=$F241),0))</f>
        <v>CENT_AIR</v>
      </c>
      <c r="X241" s="153" t="str">
        <f t="array" ref="X241">INDEX(xlRTTYNAME,MATCH(1,(xlRTTYENDU=1)*(xlRTTYEQCL=$D241)*(xlRTEQTYPE=$E241),0))</f>
        <v>NG_FA1</v>
      </c>
      <c r="Y241" s="153" t="str">
        <f t="array" ref="Y241">INDEX(xlRTTYNAME,MATCH(1,(xlRTTYENDU=2)*(xlRTTYEQCL=$F241)*(xlRTEQTYPE=$G241),0))</f>
        <v>CENT_AIR1</v>
      </c>
    </row>
    <row r="242" spans="2:25" x14ac:dyDescent="0.2">
      <c r="B242" s="126">
        <v>1</v>
      </c>
      <c r="C242" s="126">
        <v>1</v>
      </c>
      <c r="D242" s="126">
        <v>3</v>
      </c>
      <c r="E242" s="126">
        <v>6</v>
      </c>
      <c r="F242" s="126">
        <v>2</v>
      </c>
      <c r="G242" s="126">
        <v>6</v>
      </c>
      <c r="H242" s="126">
        <v>2023</v>
      </c>
      <c r="I242" s="126">
        <v>2050</v>
      </c>
      <c r="J242" s="127">
        <v>1.0803</v>
      </c>
      <c r="K242" s="127">
        <v>1.0667</v>
      </c>
      <c r="L242" s="127">
        <v>0.59240000000000004</v>
      </c>
      <c r="M242" s="127">
        <v>1.0176000000000001</v>
      </c>
      <c r="N242" s="127">
        <v>0.79790000000000005</v>
      </c>
      <c r="O242" s="127">
        <v>1.0538000000000001</v>
      </c>
      <c r="P242" s="126">
        <v>10708</v>
      </c>
      <c r="Q242" s="128">
        <f t="array" ref="Q242">SUM(IF(($S242&gt;=4)*($C242='TaxCred&amp;Subs'!$D$123:$D$127)*($H242='TaxCred&amp;Subs'!$C$123:$C$127)*($H242&lt;='TaxCred&amp;Subs'!$C$129),'TaxCred&amp;Subs'!$E$123:$E$127,0))</f>
        <v>0</v>
      </c>
      <c r="R242" s="174">
        <v>0</v>
      </c>
      <c r="S242" s="126">
        <v>2</v>
      </c>
      <c r="T242" s="126" t="s">
        <v>224</v>
      </c>
      <c r="U242" s="158"/>
      <c r="V242" s="153" t="str">
        <f t="array" ref="V242">INDEX(xlRTCLNAME,MATCH(1,(xlRTCLENDU=1)*(xlRTCLEQCL=$D242),0))</f>
        <v>NG_FA</v>
      </c>
      <c r="W242" s="153" t="str">
        <f t="array" ref="W242">INDEX(xlRTCLNAME,MATCH(1,(xlRTCLENDU=2)*(xlRTCLEQCL=$F242),0))</f>
        <v>CENT_AIR</v>
      </c>
      <c r="X242" s="153" t="str">
        <f t="array" ref="X242">INDEX(xlRTTYNAME,MATCH(1,(xlRTTYENDU=1)*(xlRTTYEQCL=$D242)*(xlRTEQTYPE=$E242),0))</f>
        <v>NG_FA1</v>
      </c>
      <c r="Y242" s="153" t="str">
        <f t="array" ref="Y242">INDEX(xlRTTYNAME,MATCH(1,(xlRTTYENDU=2)*(xlRTTYEQCL=$F242)*(xlRTEQTYPE=$G242),0))</f>
        <v>CENT_AIR2</v>
      </c>
    </row>
    <row r="243" spans="2:25" x14ac:dyDescent="0.2">
      <c r="B243" s="126">
        <v>2</v>
      </c>
      <c r="C243" s="126">
        <v>1</v>
      </c>
      <c r="D243" s="126">
        <v>3</v>
      </c>
      <c r="E243" s="126">
        <v>6</v>
      </c>
      <c r="F243" s="126">
        <v>2</v>
      </c>
      <c r="G243" s="126">
        <v>5</v>
      </c>
      <c r="H243" s="126">
        <v>2016</v>
      </c>
      <c r="I243" s="126">
        <v>2022</v>
      </c>
      <c r="J243" s="127">
        <v>1.0649</v>
      </c>
      <c r="K243" s="127">
        <v>1.0597000000000001</v>
      </c>
      <c r="L243" s="127">
        <v>0.70389999999999997</v>
      </c>
      <c r="M243" s="127">
        <v>0.88419999999999999</v>
      </c>
      <c r="N243" s="127">
        <v>0.93169999999999997</v>
      </c>
      <c r="O243" s="127">
        <v>1.0538000000000001</v>
      </c>
      <c r="P243" s="126">
        <v>10601</v>
      </c>
      <c r="Q243" s="128">
        <f t="array" ref="Q243">SUM(IF(($S243&gt;=4)*($C243='TaxCred&amp;Subs'!$D$123:$D$127)*($H243='TaxCred&amp;Subs'!$C$123:$C$127)*($H243&lt;='TaxCred&amp;Subs'!$C$129),'TaxCred&amp;Subs'!$E$123:$E$127,0))</f>
        <v>0</v>
      </c>
      <c r="R243" s="174">
        <v>0</v>
      </c>
      <c r="S243" s="126">
        <v>2</v>
      </c>
      <c r="T243" s="126" t="s">
        <v>224</v>
      </c>
      <c r="U243" s="158"/>
      <c r="V243" s="153" t="str">
        <f t="array" ref="V243">INDEX(xlRTCLNAME,MATCH(1,(xlRTCLENDU=1)*(xlRTCLEQCL=$D243),0))</f>
        <v>NG_FA</v>
      </c>
      <c r="W243" s="153" t="str">
        <f t="array" ref="W243">INDEX(xlRTCLNAME,MATCH(1,(xlRTCLENDU=2)*(xlRTCLEQCL=$F243),0))</f>
        <v>CENT_AIR</v>
      </c>
      <c r="X243" s="153" t="str">
        <f t="array" ref="X243">INDEX(xlRTTYNAME,MATCH(1,(xlRTTYENDU=1)*(xlRTTYEQCL=$D243)*(xlRTEQTYPE=$E243),0))</f>
        <v>NG_FA1</v>
      </c>
      <c r="Y243" s="153" t="str">
        <f t="array" ref="Y243">INDEX(xlRTTYNAME,MATCH(1,(xlRTTYENDU=2)*(xlRTTYEQCL=$F243)*(xlRTEQTYPE=$G243),0))</f>
        <v>CENT_AIR1</v>
      </c>
    </row>
    <row r="244" spans="2:25" x14ac:dyDescent="0.2">
      <c r="B244" s="126">
        <v>2</v>
      </c>
      <c r="C244" s="126">
        <v>1</v>
      </c>
      <c r="D244" s="126">
        <v>3</v>
      </c>
      <c r="E244" s="126">
        <v>6</v>
      </c>
      <c r="F244" s="126">
        <v>2</v>
      </c>
      <c r="G244" s="126">
        <v>6</v>
      </c>
      <c r="H244" s="126">
        <v>2023</v>
      </c>
      <c r="I244" s="126">
        <v>2050</v>
      </c>
      <c r="J244" s="127">
        <v>1.0649</v>
      </c>
      <c r="K244" s="127">
        <v>1.0597000000000001</v>
      </c>
      <c r="L244" s="127">
        <v>0.70389999999999997</v>
      </c>
      <c r="M244" s="127">
        <v>0.88419999999999999</v>
      </c>
      <c r="N244" s="127">
        <v>0.93169999999999997</v>
      </c>
      <c r="O244" s="127">
        <v>1.0538000000000001</v>
      </c>
      <c r="P244" s="126">
        <v>10601</v>
      </c>
      <c r="Q244" s="128">
        <f t="array" ref="Q244">SUM(IF(($S244&gt;=4)*($C244='TaxCred&amp;Subs'!$D$123:$D$127)*($H244='TaxCred&amp;Subs'!$C$123:$C$127)*($H244&lt;='TaxCred&amp;Subs'!$C$129),'TaxCred&amp;Subs'!$E$123:$E$127,0))</f>
        <v>0</v>
      </c>
      <c r="R244" s="174">
        <v>0</v>
      </c>
      <c r="S244" s="126">
        <v>2</v>
      </c>
      <c r="T244" s="126" t="s">
        <v>224</v>
      </c>
      <c r="U244" s="158"/>
      <c r="V244" s="153" t="str">
        <f t="array" ref="V244">INDEX(xlRTCLNAME,MATCH(1,(xlRTCLENDU=1)*(xlRTCLEQCL=$D244),0))</f>
        <v>NG_FA</v>
      </c>
      <c r="W244" s="153" t="str">
        <f t="array" ref="W244">INDEX(xlRTCLNAME,MATCH(1,(xlRTCLENDU=2)*(xlRTCLEQCL=$F244),0))</f>
        <v>CENT_AIR</v>
      </c>
      <c r="X244" s="153" t="str">
        <f t="array" ref="X244">INDEX(xlRTTYNAME,MATCH(1,(xlRTTYENDU=1)*(xlRTTYEQCL=$D244)*(xlRTEQTYPE=$E244),0))</f>
        <v>NG_FA1</v>
      </c>
      <c r="Y244" s="153" t="str">
        <f t="array" ref="Y244">INDEX(xlRTTYNAME,MATCH(1,(xlRTTYENDU=2)*(xlRTTYEQCL=$F244)*(xlRTEQTYPE=$G244),0))</f>
        <v>CENT_AIR2</v>
      </c>
    </row>
    <row r="245" spans="2:25" x14ac:dyDescent="0.2">
      <c r="B245" s="126">
        <v>3</v>
      </c>
      <c r="C245" s="126">
        <v>1</v>
      </c>
      <c r="D245" s="126">
        <v>3</v>
      </c>
      <c r="E245" s="126">
        <v>6</v>
      </c>
      <c r="F245" s="126">
        <v>2</v>
      </c>
      <c r="G245" s="126">
        <v>5</v>
      </c>
      <c r="H245" s="126">
        <v>2016</v>
      </c>
      <c r="I245" s="126">
        <v>2022</v>
      </c>
      <c r="J245" s="127">
        <v>1.0469999999999999</v>
      </c>
      <c r="K245" s="127">
        <v>1.0769</v>
      </c>
      <c r="L245" s="127">
        <v>0.58860000000000001</v>
      </c>
      <c r="M245" s="127">
        <v>0.95530000000000004</v>
      </c>
      <c r="N245" s="127">
        <v>0.91600000000000004</v>
      </c>
      <c r="O245" s="127">
        <v>1.0538000000000001</v>
      </c>
      <c r="P245" s="126">
        <v>9545</v>
      </c>
      <c r="Q245" s="128">
        <f t="array" ref="Q245">SUM(IF(($S245&gt;=4)*($C245='TaxCred&amp;Subs'!$D$123:$D$127)*($H245='TaxCred&amp;Subs'!$C$123:$C$127)*($H245&lt;='TaxCred&amp;Subs'!$C$129),'TaxCred&amp;Subs'!$E$123:$E$127,0))</f>
        <v>0</v>
      </c>
      <c r="R245" s="174">
        <v>0</v>
      </c>
      <c r="S245" s="126">
        <v>2</v>
      </c>
      <c r="T245" s="126" t="s">
        <v>224</v>
      </c>
      <c r="U245" s="158"/>
      <c r="V245" s="153" t="str">
        <f t="array" ref="V245">INDEX(xlRTCLNAME,MATCH(1,(xlRTCLENDU=1)*(xlRTCLEQCL=$D245),0))</f>
        <v>NG_FA</v>
      </c>
      <c r="W245" s="153" t="str">
        <f t="array" ref="W245">INDEX(xlRTCLNAME,MATCH(1,(xlRTCLENDU=2)*(xlRTCLEQCL=$F245),0))</f>
        <v>CENT_AIR</v>
      </c>
      <c r="X245" s="153" t="str">
        <f t="array" ref="X245">INDEX(xlRTTYNAME,MATCH(1,(xlRTTYENDU=1)*(xlRTTYEQCL=$D245)*(xlRTEQTYPE=$E245),0))</f>
        <v>NG_FA1</v>
      </c>
      <c r="Y245" s="153" t="str">
        <f t="array" ref="Y245">INDEX(xlRTTYNAME,MATCH(1,(xlRTTYENDU=2)*(xlRTTYEQCL=$F245)*(xlRTEQTYPE=$G245),0))</f>
        <v>CENT_AIR1</v>
      </c>
    </row>
    <row r="246" spans="2:25" x14ac:dyDescent="0.2">
      <c r="B246" s="126">
        <v>3</v>
      </c>
      <c r="C246" s="126">
        <v>1</v>
      </c>
      <c r="D246" s="126">
        <v>3</v>
      </c>
      <c r="E246" s="126">
        <v>6</v>
      </c>
      <c r="F246" s="126">
        <v>2</v>
      </c>
      <c r="G246" s="126">
        <v>6</v>
      </c>
      <c r="H246" s="126">
        <v>2023</v>
      </c>
      <c r="I246" s="126">
        <v>2050</v>
      </c>
      <c r="J246" s="127">
        <v>1.0469999999999999</v>
      </c>
      <c r="K246" s="127">
        <v>1.0769</v>
      </c>
      <c r="L246" s="127">
        <v>0.58860000000000001</v>
      </c>
      <c r="M246" s="127">
        <v>0.95530000000000004</v>
      </c>
      <c r="N246" s="127">
        <v>0.91600000000000004</v>
      </c>
      <c r="O246" s="127">
        <v>1.0538000000000001</v>
      </c>
      <c r="P246" s="126">
        <v>9545</v>
      </c>
      <c r="Q246" s="128">
        <f t="array" ref="Q246">SUM(IF(($S246&gt;=4)*($C246='TaxCred&amp;Subs'!$D$123:$D$127)*($H246='TaxCred&amp;Subs'!$C$123:$C$127)*($H246&lt;='TaxCred&amp;Subs'!$C$129),'TaxCred&amp;Subs'!$E$123:$E$127,0))</f>
        <v>0</v>
      </c>
      <c r="R246" s="174">
        <v>0</v>
      </c>
      <c r="S246" s="126">
        <v>2</v>
      </c>
      <c r="T246" s="126" t="s">
        <v>224</v>
      </c>
      <c r="U246" s="158"/>
      <c r="V246" s="153" t="str">
        <f t="array" ref="V246">INDEX(xlRTCLNAME,MATCH(1,(xlRTCLENDU=1)*(xlRTCLEQCL=$D246),0))</f>
        <v>NG_FA</v>
      </c>
      <c r="W246" s="153" t="str">
        <f t="array" ref="W246">INDEX(xlRTCLNAME,MATCH(1,(xlRTCLENDU=2)*(xlRTCLEQCL=$F246),0))</f>
        <v>CENT_AIR</v>
      </c>
      <c r="X246" s="153" t="str">
        <f t="array" ref="X246">INDEX(xlRTTYNAME,MATCH(1,(xlRTTYENDU=1)*(xlRTTYEQCL=$D246)*(xlRTEQTYPE=$E246),0))</f>
        <v>NG_FA1</v>
      </c>
      <c r="Y246" s="153" t="str">
        <f t="array" ref="Y246">INDEX(xlRTTYNAME,MATCH(1,(xlRTTYENDU=2)*(xlRTTYEQCL=$F246)*(xlRTEQTYPE=$G246),0))</f>
        <v>CENT_AIR2</v>
      </c>
    </row>
    <row r="247" spans="2:25" x14ac:dyDescent="0.2">
      <c r="B247" s="126">
        <v>4</v>
      </c>
      <c r="C247" s="126">
        <v>1</v>
      </c>
      <c r="D247" s="126">
        <v>3</v>
      </c>
      <c r="E247" s="126">
        <v>6</v>
      </c>
      <c r="F247" s="126">
        <v>2</v>
      </c>
      <c r="G247" s="126">
        <v>5</v>
      </c>
      <c r="H247" s="126">
        <v>2016</v>
      </c>
      <c r="I247" s="126">
        <v>2022</v>
      </c>
      <c r="J247" s="127">
        <v>1.0862000000000001</v>
      </c>
      <c r="K247" s="127">
        <v>1.0769</v>
      </c>
      <c r="L247" s="127">
        <v>0.57379999999999998</v>
      </c>
      <c r="M247" s="127">
        <v>0.90200000000000002</v>
      </c>
      <c r="N247" s="127">
        <v>0.85770000000000002</v>
      </c>
      <c r="O247" s="127">
        <v>1.0538000000000001</v>
      </c>
      <c r="P247" s="126">
        <v>7555</v>
      </c>
      <c r="Q247" s="128">
        <f t="array" ref="Q247">SUM(IF(($S247&gt;=4)*($C247='TaxCred&amp;Subs'!$D$123:$D$127)*($H247='TaxCred&amp;Subs'!$C$123:$C$127)*($H247&lt;='TaxCred&amp;Subs'!$C$129),'TaxCred&amp;Subs'!$E$123:$E$127,0))</f>
        <v>0</v>
      </c>
      <c r="R247" s="174">
        <v>0</v>
      </c>
      <c r="S247" s="126">
        <v>2</v>
      </c>
      <c r="T247" s="126" t="s">
        <v>224</v>
      </c>
      <c r="U247" s="158"/>
      <c r="V247" s="153" t="str">
        <f t="array" ref="V247">INDEX(xlRTCLNAME,MATCH(1,(xlRTCLENDU=1)*(xlRTCLEQCL=$D247),0))</f>
        <v>NG_FA</v>
      </c>
      <c r="W247" s="153" t="str">
        <f t="array" ref="W247">INDEX(xlRTCLNAME,MATCH(1,(xlRTCLENDU=2)*(xlRTCLEQCL=$F247),0))</f>
        <v>CENT_AIR</v>
      </c>
      <c r="X247" s="153" t="str">
        <f t="array" ref="X247">INDEX(xlRTTYNAME,MATCH(1,(xlRTTYENDU=1)*(xlRTTYEQCL=$D247)*(xlRTEQTYPE=$E247),0))</f>
        <v>NG_FA1</v>
      </c>
      <c r="Y247" s="153" t="str">
        <f t="array" ref="Y247">INDEX(xlRTTYNAME,MATCH(1,(xlRTTYENDU=2)*(xlRTTYEQCL=$F247)*(xlRTEQTYPE=$G247),0))</f>
        <v>CENT_AIR1</v>
      </c>
    </row>
    <row r="248" spans="2:25" x14ac:dyDescent="0.2">
      <c r="B248" s="126">
        <v>4</v>
      </c>
      <c r="C248" s="126">
        <v>1</v>
      </c>
      <c r="D248" s="126">
        <v>3</v>
      </c>
      <c r="E248" s="126">
        <v>6</v>
      </c>
      <c r="F248" s="126">
        <v>2</v>
      </c>
      <c r="G248" s="126">
        <v>6</v>
      </c>
      <c r="H248" s="126">
        <v>2023</v>
      </c>
      <c r="I248" s="126">
        <v>2050</v>
      </c>
      <c r="J248" s="127">
        <v>1.0862000000000001</v>
      </c>
      <c r="K248" s="127">
        <v>1.0769</v>
      </c>
      <c r="L248" s="127">
        <v>0.57379999999999998</v>
      </c>
      <c r="M248" s="127">
        <v>0.90200000000000002</v>
      </c>
      <c r="N248" s="127">
        <v>0.85770000000000002</v>
      </c>
      <c r="O248" s="127">
        <v>1.0538000000000001</v>
      </c>
      <c r="P248" s="126">
        <v>7555</v>
      </c>
      <c r="Q248" s="128">
        <f t="array" ref="Q248">SUM(IF(($S248&gt;=4)*($C248='TaxCred&amp;Subs'!$D$123:$D$127)*($H248='TaxCred&amp;Subs'!$C$123:$C$127)*($H248&lt;='TaxCred&amp;Subs'!$C$129),'TaxCred&amp;Subs'!$E$123:$E$127,0))</f>
        <v>0</v>
      </c>
      <c r="R248" s="174">
        <v>0</v>
      </c>
      <c r="S248" s="126">
        <v>2</v>
      </c>
      <c r="T248" s="126" t="s">
        <v>224</v>
      </c>
      <c r="U248" s="158"/>
      <c r="V248" s="153" t="str">
        <f t="array" ref="V248">INDEX(xlRTCLNAME,MATCH(1,(xlRTCLENDU=1)*(xlRTCLEQCL=$D248),0))</f>
        <v>NG_FA</v>
      </c>
      <c r="W248" s="153" t="str">
        <f t="array" ref="W248">INDEX(xlRTCLNAME,MATCH(1,(xlRTCLENDU=2)*(xlRTCLEQCL=$F248),0))</f>
        <v>CENT_AIR</v>
      </c>
      <c r="X248" s="153" t="str">
        <f t="array" ref="X248">INDEX(xlRTTYNAME,MATCH(1,(xlRTTYENDU=1)*(xlRTTYEQCL=$D248)*(xlRTEQTYPE=$E248),0))</f>
        <v>NG_FA1</v>
      </c>
      <c r="Y248" s="153" t="str">
        <f t="array" ref="Y248">INDEX(xlRTTYNAME,MATCH(1,(xlRTTYENDU=2)*(xlRTTYEQCL=$F248)*(xlRTEQTYPE=$G248),0))</f>
        <v>CENT_AIR2</v>
      </c>
    </row>
    <row r="249" spans="2:25" x14ac:dyDescent="0.2">
      <c r="B249" s="126">
        <v>5</v>
      </c>
      <c r="C249" s="126">
        <v>1</v>
      </c>
      <c r="D249" s="126">
        <v>3</v>
      </c>
      <c r="E249" s="126">
        <v>6</v>
      </c>
      <c r="F249" s="126">
        <v>2</v>
      </c>
      <c r="G249" s="126">
        <v>5</v>
      </c>
      <c r="H249" s="126">
        <v>2016</v>
      </c>
      <c r="I249" s="126">
        <v>2022</v>
      </c>
      <c r="J249" s="127">
        <v>1.0849</v>
      </c>
      <c r="K249" s="127">
        <v>1.0471999999999999</v>
      </c>
      <c r="L249" s="127">
        <v>0.77029999999999998</v>
      </c>
      <c r="M249" s="127">
        <v>0.95499999999999996</v>
      </c>
      <c r="N249" s="127">
        <v>0.76180000000000003</v>
      </c>
      <c r="O249" s="127">
        <v>1.0538000000000001</v>
      </c>
      <c r="P249" s="126">
        <v>7069</v>
      </c>
      <c r="Q249" s="128">
        <f t="array" ref="Q249">SUM(IF(($S249&gt;=4)*($C249='TaxCred&amp;Subs'!$D$123:$D$127)*($H249='TaxCred&amp;Subs'!$C$123:$C$127)*($H249&lt;='TaxCred&amp;Subs'!$C$129),'TaxCred&amp;Subs'!$E$123:$E$127,0))</f>
        <v>0</v>
      </c>
      <c r="R249" s="174">
        <v>0</v>
      </c>
      <c r="S249" s="126">
        <v>2</v>
      </c>
      <c r="T249" s="126" t="s">
        <v>224</v>
      </c>
      <c r="U249" s="158"/>
      <c r="V249" s="153" t="str">
        <f t="array" ref="V249">INDEX(xlRTCLNAME,MATCH(1,(xlRTCLENDU=1)*(xlRTCLEQCL=$D249),0))</f>
        <v>NG_FA</v>
      </c>
      <c r="W249" s="153" t="str">
        <f t="array" ref="W249">INDEX(xlRTCLNAME,MATCH(1,(xlRTCLENDU=2)*(xlRTCLEQCL=$F249),0))</f>
        <v>CENT_AIR</v>
      </c>
      <c r="X249" s="153" t="str">
        <f t="array" ref="X249">INDEX(xlRTTYNAME,MATCH(1,(xlRTTYENDU=1)*(xlRTTYEQCL=$D249)*(xlRTEQTYPE=$E249),0))</f>
        <v>NG_FA1</v>
      </c>
      <c r="Y249" s="153" t="str">
        <f t="array" ref="Y249">INDEX(xlRTTYNAME,MATCH(1,(xlRTTYENDU=2)*(xlRTTYEQCL=$F249)*(xlRTEQTYPE=$G249),0))</f>
        <v>CENT_AIR1</v>
      </c>
    </row>
    <row r="250" spans="2:25" x14ac:dyDescent="0.2">
      <c r="B250" s="126">
        <v>5</v>
      </c>
      <c r="C250" s="126">
        <v>1</v>
      </c>
      <c r="D250" s="126">
        <v>3</v>
      </c>
      <c r="E250" s="126">
        <v>6</v>
      </c>
      <c r="F250" s="126">
        <v>2</v>
      </c>
      <c r="G250" s="126">
        <v>6</v>
      </c>
      <c r="H250" s="126">
        <v>2023</v>
      </c>
      <c r="I250" s="126">
        <v>2050</v>
      </c>
      <c r="J250" s="127">
        <v>1.0849</v>
      </c>
      <c r="K250" s="127">
        <v>1.0471999999999999</v>
      </c>
      <c r="L250" s="127">
        <v>0.77029999999999998</v>
      </c>
      <c r="M250" s="127">
        <v>0.95499999999999996</v>
      </c>
      <c r="N250" s="127">
        <v>0.76180000000000003</v>
      </c>
      <c r="O250" s="127">
        <v>1.0538000000000001</v>
      </c>
      <c r="P250" s="126">
        <v>7069</v>
      </c>
      <c r="Q250" s="128">
        <f t="array" ref="Q250">SUM(IF(($S250&gt;=4)*($C250='TaxCred&amp;Subs'!$D$123:$D$127)*($H250='TaxCred&amp;Subs'!$C$123:$C$127)*($H250&lt;='TaxCred&amp;Subs'!$C$129),'TaxCred&amp;Subs'!$E$123:$E$127,0))</f>
        <v>0</v>
      </c>
      <c r="R250" s="174">
        <v>0</v>
      </c>
      <c r="S250" s="126">
        <v>2</v>
      </c>
      <c r="T250" s="126" t="s">
        <v>224</v>
      </c>
      <c r="U250" s="158"/>
      <c r="V250" s="153" t="str">
        <f t="array" ref="V250">INDEX(xlRTCLNAME,MATCH(1,(xlRTCLENDU=1)*(xlRTCLEQCL=$D250),0))</f>
        <v>NG_FA</v>
      </c>
      <c r="W250" s="153" t="str">
        <f t="array" ref="W250">INDEX(xlRTCLNAME,MATCH(1,(xlRTCLENDU=2)*(xlRTCLEQCL=$F250),0))</f>
        <v>CENT_AIR</v>
      </c>
      <c r="X250" s="153" t="str">
        <f t="array" ref="X250">INDEX(xlRTTYNAME,MATCH(1,(xlRTTYENDU=1)*(xlRTTYEQCL=$D250)*(xlRTEQTYPE=$E250),0))</f>
        <v>NG_FA1</v>
      </c>
      <c r="Y250" s="153" t="str">
        <f t="array" ref="Y250">INDEX(xlRTTYNAME,MATCH(1,(xlRTTYENDU=2)*(xlRTTYEQCL=$F250)*(xlRTEQTYPE=$G250),0))</f>
        <v>CENT_AIR2</v>
      </c>
    </row>
    <row r="251" spans="2:25" x14ac:dyDescent="0.2">
      <c r="B251" s="126">
        <v>6</v>
      </c>
      <c r="C251" s="126">
        <v>1</v>
      </c>
      <c r="D251" s="126">
        <v>3</v>
      </c>
      <c r="E251" s="126">
        <v>6</v>
      </c>
      <c r="F251" s="126">
        <v>2</v>
      </c>
      <c r="G251" s="126">
        <v>5</v>
      </c>
      <c r="H251" s="126">
        <v>2016</v>
      </c>
      <c r="I251" s="126">
        <v>2022</v>
      </c>
      <c r="J251" s="127">
        <v>1.0924</v>
      </c>
      <c r="K251" s="127">
        <v>1.0661</v>
      </c>
      <c r="L251" s="127">
        <v>0.87670000000000003</v>
      </c>
      <c r="M251" s="127">
        <v>0.96009999999999995</v>
      </c>
      <c r="N251" s="127">
        <v>0.89100000000000001</v>
      </c>
      <c r="O251" s="127">
        <v>1.0538000000000001</v>
      </c>
      <c r="P251" s="126">
        <v>7359</v>
      </c>
      <c r="Q251" s="128">
        <f t="array" ref="Q251">SUM(IF(($S251&gt;=4)*($C251='TaxCred&amp;Subs'!$D$123:$D$127)*($H251='TaxCred&amp;Subs'!$C$123:$C$127)*($H251&lt;='TaxCred&amp;Subs'!$C$129),'TaxCred&amp;Subs'!$E$123:$E$127,0))</f>
        <v>0</v>
      </c>
      <c r="R251" s="174">
        <v>0</v>
      </c>
      <c r="S251" s="126">
        <v>2</v>
      </c>
      <c r="T251" s="126" t="s">
        <v>224</v>
      </c>
      <c r="U251" s="158"/>
      <c r="V251" s="153" t="str">
        <f t="array" ref="V251">INDEX(xlRTCLNAME,MATCH(1,(xlRTCLENDU=1)*(xlRTCLEQCL=$D251),0))</f>
        <v>NG_FA</v>
      </c>
      <c r="W251" s="153" t="str">
        <f t="array" ref="W251">INDEX(xlRTCLNAME,MATCH(1,(xlRTCLENDU=2)*(xlRTCLEQCL=$F251),0))</f>
        <v>CENT_AIR</v>
      </c>
      <c r="X251" s="153" t="str">
        <f t="array" ref="X251">INDEX(xlRTTYNAME,MATCH(1,(xlRTTYENDU=1)*(xlRTTYEQCL=$D251)*(xlRTEQTYPE=$E251),0))</f>
        <v>NG_FA1</v>
      </c>
      <c r="Y251" s="153" t="str">
        <f t="array" ref="Y251">INDEX(xlRTTYNAME,MATCH(1,(xlRTTYENDU=2)*(xlRTTYEQCL=$F251)*(xlRTEQTYPE=$G251),0))</f>
        <v>CENT_AIR1</v>
      </c>
    </row>
    <row r="252" spans="2:25" x14ac:dyDescent="0.2">
      <c r="B252" s="126">
        <v>6</v>
      </c>
      <c r="C252" s="126">
        <v>1</v>
      </c>
      <c r="D252" s="126">
        <v>3</v>
      </c>
      <c r="E252" s="126">
        <v>6</v>
      </c>
      <c r="F252" s="126">
        <v>2</v>
      </c>
      <c r="G252" s="126">
        <v>6</v>
      </c>
      <c r="H252" s="126">
        <v>2023</v>
      </c>
      <c r="I252" s="126">
        <v>2050</v>
      </c>
      <c r="J252" s="127">
        <v>1.0924</v>
      </c>
      <c r="K252" s="127">
        <v>1.0661</v>
      </c>
      <c r="L252" s="127">
        <v>0.87670000000000003</v>
      </c>
      <c r="M252" s="127">
        <v>0.96009999999999995</v>
      </c>
      <c r="N252" s="127">
        <v>0.89100000000000001</v>
      </c>
      <c r="O252" s="127">
        <v>1.0538000000000001</v>
      </c>
      <c r="P252" s="126">
        <v>7359</v>
      </c>
      <c r="Q252" s="128">
        <f t="array" ref="Q252">SUM(IF(($S252&gt;=4)*($C252='TaxCred&amp;Subs'!$D$123:$D$127)*($H252='TaxCred&amp;Subs'!$C$123:$C$127)*($H252&lt;='TaxCred&amp;Subs'!$C$129),'TaxCred&amp;Subs'!$E$123:$E$127,0))</f>
        <v>0</v>
      </c>
      <c r="R252" s="174">
        <v>0</v>
      </c>
      <c r="S252" s="126">
        <v>2</v>
      </c>
      <c r="T252" s="126" t="s">
        <v>224</v>
      </c>
      <c r="U252" s="158"/>
      <c r="V252" s="153" t="str">
        <f t="array" ref="V252">INDEX(xlRTCLNAME,MATCH(1,(xlRTCLENDU=1)*(xlRTCLEQCL=$D252),0))</f>
        <v>NG_FA</v>
      </c>
      <c r="W252" s="153" t="str">
        <f t="array" ref="W252">INDEX(xlRTCLNAME,MATCH(1,(xlRTCLENDU=2)*(xlRTCLEQCL=$F252),0))</f>
        <v>CENT_AIR</v>
      </c>
      <c r="X252" s="153" t="str">
        <f t="array" ref="X252">INDEX(xlRTTYNAME,MATCH(1,(xlRTTYENDU=1)*(xlRTTYEQCL=$D252)*(xlRTEQTYPE=$E252),0))</f>
        <v>NG_FA1</v>
      </c>
      <c r="Y252" s="153" t="str">
        <f t="array" ref="Y252">INDEX(xlRTTYNAME,MATCH(1,(xlRTTYENDU=2)*(xlRTTYEQCL=$F252)*(xlRTEQTYPE=$G252),0))</f>
        <v>CENT_AIR2</v>
      </c>
    </row>
    <row r="253" spans="2:25" x14ac:dyDescent="0.2">
      <c r="B253" s="126">
        <v>7</v>
      </c>
      <c r="C253" s="126">
        <v>1</v>
      </c>
      <c r="D253" s="126">
        <v>3</v>
      </c>
      <c r="E253" s="126">
        <v>6</v>
      </c>
      <c r="F253" s="126">
        <v>2</v>
      </c>
      <c r="G253" s="126">
        <v>5</v>
      </c>
      <c r="H253" s="126">
        <v>2016</v>
      </c>
      <c r="I253" s="126">
        <v>2022</v>
      </c>
      <c r="J253" s="127">
        <v>1.0905</v>
      </c>
      <c r="K253" s="127">
        <v>1.0562</v>
      </c>
      <c r="L253" s="127">
        <v>0.89019999999999999</v>
      </c>
      <c r="M253" s="127">
        <v>0.87749999999999995</v>
      </c>
      <c r="N253" s="127">
        <v>0.87180000000000002</v>
      </c>
      <c r="O253" s="127">
        <v>1.0538000000000001</v>
      </c>
      <c r="P253" s="126">
        <v>6207</v>
      </c>
      <c r="Q253" s="128">
        <f t="array" ref="Q253">SUM(IF(($S253&gt;=4)*($C253='TaxCred&amp;Subs'!$D$123:$D$127)*($H253='TaxCred&amp;Subs'!$C$123:$C$127)*($H253&lt;='TaxCred&amp;Subs'!$C$129),'TaxCred&amp;Subs'!$E$123:$E$127,0))</f>
        <v>0</v>
      </c>
      <c r="R253" s="174">
        <v>0</v>
      </c>
      <c r="S253" s="126">
        <v>2</v>
      </c>
      <c r="T253" s="126" t="s">
        <v>224</v>
      </c>
      <c r="U253" s="158"/>
      <c r="V253" s="153" t="str">
        <f t="array" ref="V253">INDEX(xlRTCLNAME,MATCH(1,(xlRTCLENDU=1)*(xlRTCLEQCL=$D253),0))</f>
        <v>NG_FA</v>
      </c>
      <c r="W253" s="153" t="str">
        <f t="array" ref="W253">INDEX(xlRTCLNAME,MATCH(1,(xlRTCLENDU=2)*(xlRTCLEQCL=$F253),0))</f>
        <v>CENT_AIR</v>
      </c>
      <c r="X253" s="153" t="str">
        <f t="array" ref="X253">INDEX(xlRTTYNAME,MATCH(1,(xlRTTYENDU=1)*(xlRTTYEQCL=$D253)*(xlRTEQTYPE=$E253),0))</f>
        <v>NG_FA1</v>
      </c>
      <c r="Y253" s="153" t="str">
        <f t="array" ref="Y253">INDEX(xlRTTYNAME,MATCH(1,(xlRTTYENDU=2)*(xlRTTYEQCL=$F253)*(xlRTEQTYPE=$G253),0))</f>
        <v>CENT_AIR1</v>
      </c>
    </row>
    <row r="254" spans="2:25" x14ac:dyDescent="0.2">
      <c r="B254" s="126">
        <v>7</v>
      </c>
      <c r="C254" s="126">
        <v>1</v>
      </c>
      <c r="D254" s="126">
        <v>3</v>
      </c>
      <c r="E254" s="126">
        <v>6</v>
      </c>
      <c r="F254" s="126">
        <v>2</v>
      </c>
      <c r="G254" s="126">
        <v>6</v>
      </c>
      <c r="H254" s="126">
        <v>2023</v>
      </c>
      <c r="I254" s="126">
        <v>2050</v>
      </c>
      <c r="J254" s="127">
        <v>1.0905</v>
      </c>
      <c r="K254" s="127">
        <v>1.0562</v>
      </c>
      <c r="L254" s="127">
        <v>0.89019999999999999</v>
      </c>
      <c r="M254" s="127">
        <v>0.87749999999999995</v>
      </c>
      <c r="N254" s="127">
        <v>0.87180000000000002</v>
      </c>
      <c r="O254" s="127">
        <v>1.0538000000000001</v>
      </c>
      <c r="P254" s="126">
        <v>6207</v>
      </c>
      <c r="Q254" s="128">
        <f t="array" ref="Q254">SUM(IF(($S254&gt;=4)*($C254='TaxCred&amp;Subs'!$D$123:$D$127)*($H254='TaxCred&amp;Subs'!$C$123:$C$127)*($H254&lt;='TaxCred&amp;Subs'!$C$129),'TaxCred&amp;Subs'!$E$123:$E$127,0))</f>
        <v>0</v>
      </c>
      <c r="R254" s="174">
        <v>0</v>
      </c>
      <c r="S254" s="126">
        <v>2</v>
      </c>
      <c r="T254" s="126" t="s">
        <v>224</v>
      </c>
      <c r="U254" s="158"/>
      <c r="V254" s="153" t="str">
        <f t="array" ref="V254">INDEX(xlRTCLNAME,MATCH(1,(xlRTCLENDU=1)*(xlRTCLEQCL=$D254),0))</f>
        <v>NG_FA</v>
      </c>
      <c r="W254" s="153" t="str">
        <f t="array" ref="W254">INDEX(xlRTCLNAME,MATCH(1,(xlRTCLENDU=2)*(xlRTCLEQCL=$F254),0))</f>
        <v>CENT_AIR</v>
      </c>
      <c r="X254" s="153" t="str">
        <f t="array" ref="X254">INDEX(xlRTTYNAME,MATCH(1,(xlRTTYENDU=1)*(xlRTTYEQCL=$D254)*(xlRTEQTYPE=$E254),0))</f>
        <v>NG_FA1</v>
      </c>
      <c r="Y254" s="153" t="str">
        <f t="array" ref="Y254">INDEX(xlRTTYNAME,MATCH(1,(xlRTTYENDU=2)*(xlRTTYEQCL=$F254)*(xlRTEQTYPE=$G254),0))</f>
        <v>CENT_AIR2</v>
      </c>
    </row>
    <row r="255" spans="2:25" x14ac:dyDescent="0.2">
      <c r="B255" s="126">
        <v>8</v>
      </c>
      <c r="C255" s="126">
        <v>1</v>
      </c>
      <c r="D255" s="126">
        <v>3</v>
      </c>
      <c r="E255" s="126">
        <v>6</v>
      </c>
      <c r="F255" s="126">
        <v>2</v>
      </c>
      <c r="G255" s="126">
        <v>5</v>
      </c>
      <c r="H255" s="126">
        <v>2016</v>
      </c>
      <c r="I255" s="126">
        <v>2022</v>
      </c>
      <c r="J255" s="127">
        <v>1.0801000000000001</v>
      </c>
      <c r="K255" s="127">
        <v>1.0822000000000001</v>
      </c>
      <c r="L255" s="127">
        <v>0.59719999999999995</v>
      </c>
      <c r="M255" s="127">
        <v>0.92079999999999995</v>
      </c>
      <c r="N255" s="127">
        <v>0.86950000000000005</v>
      </c>
      <c r="O255" s="127">
        <v>1.0538000000000001</v>
      </c>
      <c r="P255" s="126">
        <v>8437</v>
      </c>
      <c r="Q255" s="128">
        <f t="array" ref="Q255">SUM(IF(($S255&gt;=4)*($C255='TaxCred&amp;Subs'!$D$123:$D$127)*($H255='TaxCred&amp;Subs'!$C$123:$C$127)*($H255&lt;='TaxCred&amp;Subs'!$C$129),'TaxCred&amp;Subs'!$E$123:$E$127,0))</f>
        <v>0</v>
      </c>
      <c r="R255" s="174">
        <v>0</v>
      </c>
      <c r="S255" s="126">
        <v>2</v>
      </c>
      <c r="T255" s="126" t="s">
        <v>224</v>
      </c>
      <c r="U255" s="158"/>
      <c r="V255" s="153" t="str">
        <f t="array" ref="V255">INDEX(xlRTCLNAME,MATCH(1,(xlRTCLENDU=1)*(xlRTCLEQCL=$D255),0))</f>
        <v>NG_FA</v>
      </c>
      <c r="W255" s="153" t="str">
        <f t="array" ref="W255">INDEX(xlRTCLNAME,MATCH(1,(xlRTCLENDU=2)*(xlRTCLEQCL=$F255),0))</f>
        <v>CENT_AIR</v>
      </c>
      <c r="X255" s="153" t="str">
        <f t="array" ref="X255">INDEX(xlRTTYNAME,MATCH(1,(xlRTTYENDU=1)*(xlRTTYEQCL=$D255)*(xlRTEQTYPE=$E255),0))</f>
        <v>NG_FA1</v>
      </c>
      <c r="Y255" s="153" t="str">
        <f t="array" ref="Y255">INDEX(xlRTTYNAME,MATCH(1,(xlRTTYENDU=2)*(xlRTTYEQCL=$F255)*(xlRTEQTYPE=$G255),0))</f>
        <v>CENT_AIR1</v>
      </c>
    </row>
    <row r="256" spans="2:25" x14ac:dyDescent="0.2">
      <c r="B256" s="126">
        <v>8</v>
      </c>
      <c r="C256" s="126">
        <v>1</v>
      </c>
      <c r="D256" s="126">
        <v>3</v>
      </c>
      <c r="E256" s="126">
        <v>6</v>
      </c>
      <c r="F256" s="126">
        <v>2</v>
      </c>
      <c r="G256" s="126">
        <v>6</v>
      </c>
      <c r="H256" s="126">
        <v>2023</v>
      </c>
      <c r="I256" s="126">
        <v>2050</v>
      </c>
      <c r="J256" s="127">
        <v>1.0801000000000001</v>
      </c>
      <c r="K256" s="127">
        <v>1.0822000000000001</v>
      </c>
      <c r="L256" s="127">
        <v>0.59719999999999995</v>
      </c>
      <c r="M256" s="127">
        <v>0.92079999999999995</v>
      </c>
      <c r="N256" s="127">
        <v>0.86950000000000005</v>
      </c>
      <c r="O256" s="127">
        <v>1.0538000000000001</v>
      </c>
      <c r="P256" s="126">
        <v>8437</v>
      </c>
      <c r="Q256" s="128">
        <f t="array" ref="Q256">SUM(IF(($S256&gt;=4)*($C256='TaxCred&amp;Subs'!$D$123:$D$127)*($H256='TaxCred&amp;Subs'!$C$123:$C$127)*($H256&lt;='TaxCred&amp;Subs'!$C$129),'TaxCred&amp;Subs'!$E$123:$E$127,0))</f>
        <v>0</v>
      </c>
      <c r="R256" s="174">
        <v>0</v>
      </c>
      <c r="S256" s="126">
        <v>2</v>
      </c>
      <c r="T256" s="126" t="s">
        <v>224</v>
      </c>
      <c r="U256" s="158"/>
      <c r="V256" s="153" t="str">
        <f t="array" ref="V256">INDEX(xlRTCLNAME,MATCH(1,(xlRTCLENDU=1)*(xlRTCLEQCL=$D256),0))</f>
        <v>NG_FA</v>
      </c>
      <c r="W256" s="153" t="str">
        <f t="array" ref="W256">INDEX(xlRTCLNAME,MATCH(1,(xlRTCLENDU=2)*(xlRTCLEQCL=$F256),0))</f>
        <v>CENT_AIR</v>
      </c>
      <c r="X256" s="153" t="str">
        <f t="array" ref="X256">INDEX(xlRTTYNAME,MATCH(1,(xlRTTYENDU=1)*(xlRTTYEQCL=$D256)*(xlRTEQTYPE=$E256),0))</f>
        <v>NG_FA1</v>
      </c>
      <c r="Y256" s="153" t="str">
        <f t="array" ref="Y256">INDEX(xlRTTYNAME,MATCH(1,(xlRTTYENDU=2)*(xlRTTYEQCL=$F256)*(xlRTEQTYPE=$G256),0))</f>
        <v>CENT_AIR2</v>
      </c>
    </row>
    <row r="257" spans="2:25" x14ac:dyDescent="0.2">
      <c r="B257" s="126">
        <v>9</v>
      </c>
      <c r="C257" s="126">
        <v>1</v>
      </c>
      <c r="D257" s="126">
        <v>3</v>
      </c>
      <c r="E257" s="126">
        <v>6</v>
      </c>
      <c r="F257" s="126">
        <v>2</v>
      </c>
      <c r="G257" s="126">
        <v>5</v>
      </c>
      <c r="H257" s="126">
        <v>2016</v>
      </c>
      <c r="I257" s="126">
        <v>2022</v>
      </c>
      <c r="J257" s="127">
        <v>1.0781000000000001</v>
      </c>
      <c r="K257" s="127">
        <v>1.0707</v>
      </c>
      <c r="L257" s="127">
        <v>0.98050000000000004</v>
      </c>
      <c r="M257" s="127">
        <v>0.94669999999999999</v>
      </c>
      <c r="N257" s="127">
        <v>1.0339</v>
      </c>
      <c r="O257" s="127">
        <v>1.0538000000000001</v>
      </c>
      <c r="P257" s="126">
        <v>9965</v>
      </c>
      <c r="Q257" s="128">
        <f t="array" ref="Q257">SUM(IF(($S257&gt;=4)*($C257='TaxCred&amp;Subs'!$D$123:$D$127)*($H257='TaxCred&amp;Subs'!$C$123:$C$127)*($H257&lt;='TaxCred&amp;Subs'!$C$129),'TaxCred&amp;Subs'!$E$123:$E$127,0))</f>
        <v>0</v>
      </c>
      <c r="R257" s="174">
        <v>0</v>
      </c>
      <c r="S257" s="126">
        <v>2</v>
      </c>
      <c r="T257" s="126" t="s">
        <v>224</v>
      </c>
      <c r="U257" s="158"/>
      <c r="V257" s="153" t="str">
        <f t="array" ref="V257">INDEX(xlRTCLNAME,MATCH(1,(xlRTCLENDU=1)*(xlRTCLEQCL=$D257),0))</f>
        <v>NG_FA</v>
      </c>
      <c r="W257" s="153" t="str">
        <f t="array" ref="W257">INDEX(xlRTCLNAME,MATCH(1,(xlRTCLENDU=2)*(xlRTCLEQCL=$F257),0))</f>
        <v>CENT_AIR</v>
      </c>
      <c r="X257" s="153" t="str">
        <f t="array" ref="X257">INDEX(xlRTTYNAME,MATCH(1,(xlRTTYENDU=1)*(xlRTTYEQCL=$D257)*(xlRTEQTYPE=$E257),0))</f>
        <v>NG_FA1</v>
      </c>
      <c r="Y257" s="153" t="str">
        <f t="array" ref="Y257">INDEX(xlRTTYNAME,MATCH(1,(xlRTTYENDU=2)*(xlRTTYEQCL=$F257)*(xlRTEQTYPE=$G257),0))</f>
        <v>CENT_AIR1</v>
      </c>
    </row>
    <row r="258" spans="2:25" x14ac:dyDescent="0.2">
      <c r="B258" s="126">
        <v>9</v>
      </c>
      <c r="C258" s="126">
        <v>1</v>
      </c>
      <c r="D258" s="126">
        <v>3</v>
      </c>
      <c r="E258" s="126">
        <v>6</v>
      </c>
      <c r="F258" s="126">
        <v>2</v>
      </c>
      <c r="G258" s="126">
        <v>6</v>
      </c>
      <c r="H258" s="126">
        <v>2023</v>
      </c>
      <c r="I258" s="126">
        <v>2050</v>
      </c>
      <c r="J258" s="127">
        <v>1.0781000000000001</v>
      </c>
      <c r="K258" s="127">
        <v>1.0707</v>
      </c>
      <c r="L258" s="127">
        <v>0.98050000000000004</v>
      </c>
      <c r="M258" s="127">
        <v>0.94669999999999999</v>
      </c>
      <c r="N258" s="127">
        <v>1.0339</v>
      </c>
      <c r="O258" s="127">
        <v>1.0538000000000001</v>
      </c>
      <c r="P258" s="126">
        <v>9965</v>
      </c>
      <c r="Q258" s="128">
        <f t="array" ref="Q258">SUM(IF(($S258&gt;=4)*($C258='TaxCred&amp;Subs'!$D$123:$D$127)*($H258='TaxCred&amp;Subs'!$C$123:$C$127)*($H258&lt;='TaxCred&amp;Subs'!$C$129),'TaxCred&amp;Subs'!$E$123:$E$127,0))</f>
        <v>0</v>
      </c>
      <c r="R258" s="174">
        <v>0</v>
      </c>
      <c r="S258" s="126">
        <v>2</v>
      </c>
      <c r="T258" s="126" t="s">
        <v>224</v>
      </c>
      <c r="U258" s="158"/>
      <c r="V258" s="153" t="str">
        <f t="array" ref="V258">INDEX(xlRTCLNAME,MATCH(1,(xlRTCLENDU=1)*(xlRTCLEQCL=$D258),0))</f>
        <v>NG_FA</v>
      </c>
      <c r="W258" s="153" t="str">
        <f t="array" ref="W258">INDEX(xlRTCLNAME,MATCH(1,(xlRTCLENDU=2)*(xlRTCLEQCL=$F258),0))</f>
        <v>CENT_AIR</v>
      </c>
      <c r="X258" s="153" t="str">
        <f t="array" ref="X258">INDEX(xlRTTYNAME,MATCH(1,(xlRTTYENDU=1)*(xlRTTYEQCL=$D258)*(xlRTEQTYPE=$E258),0))</f>
        <v>NG_FA1</v>
      </c>
      <c r="Y258" s="153" t="str">
        <f t="array" ref="Y258">INDEX(xlRTTYNAME,MATCH(1,(xlRTTYENDU=2)*(xlRTTYEQCL=$F258)*(xlRTEQTYPE=$G258),0))</f>
        <v>CENT_AIR2</v>
      </c>
    </row>
    <row r="259" spans="2:25" x14ac:dyDescent="0.2">
      <c r="B259" s="126">
        <v>1</v>
      </c>
      <c r="C259" s="126">
        <v>1</v>
      </c>
      <c r="D259" s="126">
        <v>4</v>
      </c>
      <c r="E259" s="126">
        <v>10</v>
      </c>
      <c r="F259" s="126">
        <v>2</v>
      </c>
      <c r="G259" s="126">
        <v>5</v>
      </c>
      <c r="H259" s="126">
        <v>2016</v>
      </c>
      <c r="I259" s="126">
        <v>2022</v>
      </c>
      <c r="J259" s="127">
        <v>1.0592999999999999</v>
      </c>
      <c r="K259" s="127">
        <v>1.0889</v>
      </c>
      <c r="L259" s="127">
        <v>0.57969999999999999</v>
      </c>
      <c r="M259" s="127">
        <v>1.0176000000000001</v>
      </c>
      <c r="N259" s="127">
        <v>0.8095</v>
      </c>
      <c r="O259" s="127">
        <v>1.0538000000000001</v>
      </c>
      <c r="P259" s="126">
        <v>10471</v>
      </c>
      <c r="Q259" s="128">
        <f t="array" ref="Q259">SUM(IF(($S259&gt;=4)*($C259='TaxCred&amp;Subs'!$D$123:$D$127)*($H259='TaxCred&amp;Subs'!$C$123:$C$127)*($H259&lt;='TaxCred&amp;Subs'!$C$129),'TaxCred&amp;Subs'!$E$123:$E$127,0))</f>
        <v>0</v>
      </c>
      <c r="R259" s="174">
        <v>0</v>
      </c>
      <c r="S259" s="126">
        <v>2</v>
      </c>
      <c r="T259" s="126" t="s">
        <v>224</v>
      </c>
      <c r="U259" s="158"/>
      <c r="V259" s="153" t="str">
        <f t="array" ref="V259">INDEX(xlRTCLNAME,MATCH(1,(xlRTCLENDU=1)*(xlRTCLEQCL=$D259),0))</f>
        <v>NG_RAD</v>
      </c>
      <c r="W259" s="153" t="str">
        <f t="array" ref="W259">INDEX(xlRTCLNAME,MATCH(1,(xlRTCLENDU=2)*(xlRTCLEQCL=$F259),0))</f>
        <v>CENT_AIR</v>
      </c>
      <c r="X259" s="153" t="str">
        <f t="array" ref="X259">INDEX(xlRTTYNAME,MATCH(1,(xlRTTYENDU=1)*(xlRTTYEQCL=$D259)*(xlRTEQTYPE=$E259),0))</f>
        <v>NG_RAD1</v>
      </c>
      <c r="Y259" s="153" t="str">
        <f t="array" ref="Y259">INDEX(xlRTTYNAME,MATCH(1,(xlRTTYENDU=2)*(xlRTTYEQCL=$F259)*(xlRTEQTYPE=$G259),0))</f>
        <v>CENT_AIR1</v>
      </c>
    </row>
    <row r="260" spans="2:25" x14ac:dyDescent="0.2">
      <c r="B260" s="126">
        <v>1</v>
      </c>
      <c r="C260" s="126">
        <v>1</v>
      </c>
      <c r="D260" s="126">
        <v>4</v>
      </c>
      <c r="E260" s="126">
        <v>10</v>
      </c>
      <c r="F260" s="126">
        <v>2</v>
      </c>
      <c r="G260" s="126">
        <v>6</v>
      </c>
      <c r="H260" s="126">
        <v>2023</v>
      </c>
      <c r="I260" s="126">
        <v>2050</v>
      </c>
      <c r="J260" s="127">
        <v>1.0592999999999999</v>
      </c>
      <c r="K260" s="127">
        <v>1.0889</v>
      </c>
      <c r="L260" s="127">
        <v>0.57969999999999999</v>
      </c>
      <c r="M260" s="127">
        <v>1.0176000000000001</v>
      </c>
      <c r="N260" s="127">
        <v>0.8095</v>
      </c>
      <c r="O260" s="127">
        <v>1.0538000000000001</v>
      </c>
      <c r="P260" s="126">
        <v>10471</v>
      </c>
      <c r="Q260" s="128">
        <f t="array" ref="Q260">SUM(IF(($S260&gt;=4)*($C260='TaxCred&amp;Subs'!$D$123:$D$127)*($H260='TaxCred&amp;Subs'!$C$123:$C$127)*($H260&lt;='TaxCred&amp;Subs'!$C$129),'TaxCred&amp;Subs'!$E$123:$E$127,0))</f>
        <v>0</v>
      </c>
      <c r="R260" s="174">
        <v>0</v>
      </c>
      <c r="S260" s="126">
        <v>2</v>
      </c>
      <c r="T260" s="126" t="s">
        <v>224</v>
      </c>
      <c r="U260" s="158"/>
      <c r="V260" s="153" t="str">
        <f t="array" ref="V260">INDEX(xlRTCLNAME,MATCH(1,(xlRTCLENDU=1)*(xlRTCLEQCL=$D260),0))</f>
        <v>NG_RAD</v>
      </c>
      <c r="W260" s="153" t="str">
        <f t="array" ref="W260">INDEX(xlRTCLNAME,MATCH(1,(xlRTCLENDU=2)*(xlRTCLEQCL=$F260),0))</f>
        <v>CENT_AIR</v>
      </c>
      <c r="X260" s="153" t="str">
        <f t="array" ref="X260">INDEX(xlRTTYNAME,MATCH(1,(xlRTTYENDU=1)*(xlRTTYEQCL=$D260)*(xlRTEQTYPE=$E260),0))</f>
        <v>NG_RAD1</v>
      </c>
      <c r="Y260" s="153" t="str">
        <f t="array" ref="Y260">INDEX(xlRTTYNAME,MATCH(1,(xlRTTYENDU=2)*(xlRTTYEQCL=$F260)*(xlRTEQTYPE=$G260),0))</f>
        <v>CENT_AIR2</v>
      </c>
    </row>
    <row r="261" spans="2:25" x14ac:dyDescent="0.2">
      <c r="B261" s="126">
        <v>2</v>
      </c>
      <c r="C261" s="126">
        <v>1</v>
      </c>
      <c r="D261" s="126">
        <v>4</v>
      </c>
      <c r="E261" s="126">
        <v>10</v>
      </c>
      <c r="F261" s="126">
        <v>2</v>
      </c>
      <c r="G261" s="126">
        <v>5</v>
      </c>
      <c r="H261" s="126">
        <v>2016</v>
      </c>
      <c r="I261" s="126">
        <v>2022</v>
      </c>
      <c r="J261" s="127">
        <v>1.0717000000000001</v>
      </c>
      <c r="K261" s="127">
        <v>1.0895999999999999</v>
      </c>
      <c r="L261" s="127">
        <v>0.6885</v>
      </c>
      <c r="M261" s="127">
        <v>0.88419999999999999</v>
      </c>
      <c r="N261" s="127">
        <v>0.92630000000000001</v>
      </c>
      <c r="O261" s="127">
        <v>1.0538000000000001</v>
      </c>
      <c r="P261" s="126">
        <v>10166</v>
      </c>
      <c r="Q261" s="128">
        <f t="array" ref="Q261">SUM(IF(($S261&gt;=4)*($C261='TaxCred&amp;Subs'!$D$123:$D$127)*($H261='TaxCred&amp;Subs'!$C$123:$C$127)*($H261&lt;='TaxCred&amp;Subs'!$C$129),'TaxCred&amp;Subs'!$E$123:$E$127,0))</f>
        <v>0</v>
      </c>
      <c r="R261" s="174">
        <v>0</v>
      </c>
      <c r="S261" s="126">
        <v>2</v>
      </c>
      <c r="T261" s="126" t="s">
        <v>224</v>
      </c>
      <c r="U261" s="158"/>
      <c r="V261" s="153" t="str">
        <f t="array" ref="V261">INDEX(xlRTCLNAME,MATCH(1,(xlRTCLENDU=1)*(xlRTCLEQCL=$D261),0))</f>
        <v>NG_RAD</v>
      </c>
      <c r="W261" s="153" t="str">
        <f t="array" ref="W261">INDEX(xlRTCLNAME,MATCH(1,(xlRTCLENDU=2)*(xlRTCLEQCL=$F261),0))</f>
        <v>CENT_AIR</v>
      </c>
      <c r="X261" s="153" t="str">
        <f t="array" ref="X261">INDEX(xlRTTYNAME,MATCH(1,(xlRTTYENDU=1)*(xlRTTYEQCL=$D261)*(xlRTEQTYPE=$E261),0))</f>
        <v>NG_RAD1</v>
      </c>
      <c r="Y261" s="153" t="str">
        <f t="array" ref="Y261">INDEX(xlRTTYNAME,MATCH(1,(xlRTTYENDU=2)*(xlRTTYEQCL=$F261)*(xlRTEQTYPE=$G261),0))</f>
        <v>CENT_AIR1</v>
      </c>
    </row>
    <row r="262" spans="2:25" x14ac:dyDescent="0.2">
      <c r="B262" s="126">
        <v>2</v>
      </c>
      <c r="C262" s="126">
        <v>1</v>
      </c>
      <c r="D262" s="126">
        <v>4</v>
      </c>
      <c r="E262" s="126">
        <v>10</v>
      </c>
      <c r="F262" s="126">
        <v>2</v>
      </c>
      <c r="G262" s="126">
        <v>6</v>
      </c>
      <c r="H262" s="126">
        <v>2023</v>
      </c>
      <c r="I262" s="126">
        <v>2050</v>
      </c>
      <c r="J262" s="127">
        <v>1.0717000000000001</v>
      </c>
      <c r="K262" s="127">
        <v>1.0895999999999999</v>
      </c>
      <c r="L262" s="127">
        <v>0.6885</v>
      </c>
      <c r="M262" s="127">
        <v>0.88419999999999999</v>
      </c>
      <c r="N262" s="127">
        <v>0.92630000000000001</v>
      </c>
      <c r="O262" s="127">
        <v>1.0538000000000001</v>
      </c>
      <c r="P262" s="126">
        <v>10166</v>
      </c>
      <c r="Q262" s="128">
        <f t="array" ref="Q262">SUM(IF(($S262&gt;=4)*($C262='TaxCred&amp;Subs'!$D$123:$D$127)*($H262='TaxCred&amp;Subs'!$C$123:$C$127)*($H262&lt;='TaxCred&amp;Subs'!$C$129),'TaxCred&amp;Subs'!$E$123:$E$127,0))</f>
        <v>0</v>
      </c>
      <c r="R262" s="174">
        <v>0</v>
      </c>
      <c r="S262" s="126">
        <v>2</v>
      </c>
      <c r="T262" s="126" t="s">
        <v>224</v>
      </c>
      <c r="U262" s="158"/>
      <c r="V262" s="153" t="str">
        <f t="array" ref="V262">INDEX(xlRTCLNAME,MATCH(1,(xlRTCLENDU=1)*(xlRTCLEQCL=$D262),0))</f>
        <v>NG_RAD</v>
      </c>
      <c r="W262" s="153" t="str">
        <f t="array" ref="W262">INDEX(xlRTCLNAME,MATCH(1,(xlRTCLENDU=2)*(xlRTCLEQCL=$F262),0))</f>
        <v>CENT_AIR</v>
      </c>
      <c r="X262" s="153" t="str">
        <f t="array" ref="X262">INDEX(xlRTTYNAME,MATCH(1,(xlRTTYENDU=1)*(xlRTTYEQCL=$D262)*(xlRTEQTYPE=$E262),0))</f>
        <v>NG_RAD1</v>
      </c>
      <c r="Y262" s="153" t="str">
        <f t="array" ref="Y262">INDEX(xlRTTYNAME,MATCH(1,(xlRTTYENDU=2)*(xlRTTYEQCL=$F262)*(xlRTEQTYPE=$G262),0))</f>
        <v>CENT_AIR2</v>
      </c>
    </row>
    <row r="263" spans="2:25" x14ac:dyDescent="0.2">
      <c r="B263" s="126">
        <v>3</v>
      </c>
      <c r="C263" s="126">
        <v>1</v>
      </c>
      <c r="D263" s="126">
        <v>4</v>
      </c>
      <c r="E263" s="126">
        <v>10</v>
      </c>
      <c r="F263" s="126">
        <v>2</v>
      </c>
      <c r="G263" s="126">
        <v>5</v>
      </c>
      <c r="H263" s="126">
        <v>2016</v>
      </c>
      <c r="I263" s="126">
        <v>2022</v>
      </c>
      <c r="J263" s="127">
        <v>1.0821000000000001</v>
      </c>
      <c r="K263" s="127">
        <v>1.0769</v>
      </c>
      <c r="L263" s="127">
        <v>0.5655</v>
      </c>
      <c r="M263" s="127">
        <v>0.95530000000000004</v>
      </c>
      <c r="N263" s="127">
        <v>0.91400000000000003</v>
      </c>
      <c r="O263" s="127">
        <v>1.0538000000000001</v>
      </c>
      <c r="P263" s="126">
        <v>9625</v>
      </c>
      <c r="Q263" s="128">
        <f t="array" ref="Q263">SUM(IF(($S263&gt;=4)*($C263='TaxCred&amp;Subs'!$D$123:$D$127)*($H263='TaxCred&amp;Subs'!$C$123:$C$127)*($H263&lt;='TaxCred&amp;Subs'!$C$129),'TaxCred&amp;Subs'!$E$123:$E$127,0))</f>
        <v>0</v>
      </c>
      <c r="R263" s="174">
        <v>0</v>
      </c>
      <c r="S263" s="126">
        <v>2</v>
      </c>
      <c r="T263" s="126" t="s">
        <v>224</v>
      </c>
      <c r="U263" s="158"/>
      <c r="V263" s="153" t="str">
        <f t="array" ref="V263">INDEX(xlRTCLNAME,MATCH(1,(xlRTCLENDU=1)*(xlRTCLEQCL=$D263),0))</f>
        <v>NG_RAD</v>
      </c>
      <c r="W263" s="153" t="str">
        <f t="array" ref="W263">INDEX(xlRTCLNAME,MATCH(1,(xlRTCLENDU=2)*(xlRTCLEQCL=$F263),0))</f>
        <v>CENT_AIR</v>
      </c>
      <c r="X263" s="153" t="str">
        <f t="array" ref="X263">INDEX(xlRTTYNAME,MATCH(1,(xlRTTYENDU=1)*(xlRTTYEQCL=$D263)*(xlRTEQTYPE=$E263),0))</f>
        <v>NG_RAD1</v>
      </c>
      <c r="Y263" s="153" t="str">
        <f t="array" ref="Y263">INDEX(xlRTTYNAME,MATCH(1,(xlRTTYENDU=2)*(xlRTTYEQCL=$F263)*(xlRTEQTYPE=$G263),0))</f>
        <v>CENT_AIR1</v>
      </c>
    </row>
    <row r="264" spans="2:25" x14ac:dyDescent="0.2">
      <c r="B264" s="126">
        <v>3</v>
      </c>
      <c r="C264" s="126">
        <v>1</v>
      </c>
      <c r="D264" s="126">
        <v>4</v>
      </c>
      <c r="E264" s="126">
        <v>10</v>
      </c>
      <c r="F264" s="126">
        <v>2</v>
      </c>
      <c r="G264" s="126">
        <v>6</v>
      </c>
      <c r="H264" s="126">
        <v>2023</v>
      </c>
      <c r="I264" s="126">
        <v>2050</v>
      </c>
      <c r="J264" s="127">
        <v>1.0821000000000001</v>
      </c>
      <c r="K264" s="127">
        <v>1.0769</v>
      </c>
      <c r="L264" s="127">
        <v>0.5655</v>
      </c>
      <c r="M264" s="127">
        <v>0.95530000000000004</v>
      </c>
      <c r="N264" s="127">
        <v>0.91400000000000003</v>
      </c>
      <c r="O264" s="127">
        <v>1.0538000000000001</v>
      </c>
      <c r="P264" s="126">
        <v>9625</v>
      </c>
      <c r="Q264" s="128">
        <f t="array" ref="Q264">SUM(IF(($S264&gt;=4)*($C264='TaxCred&amp;Subs'!$D$123:$D$127)*($H264='TaxCred&amp;Subs'!$C$123:$C$127)*($H264&lt;='TaxCred&amp;Subs'!$C$129),'TaxCred&amp;Subs'!$E$123:$E$127,0))</f>
        <v>0</v>
      </c>
      <c r="R264" s="174">
        <v>0</v>
      </c>
      <c r="S264" s="126">
        <v>2</v>
      </c>
      <c r="T264" s="126" t="s">
        <v>224</v>
      </c>
      <c r="U264" s="158"/>
      <c r="V264" s="153" t="str">
        <f t="array" ref="V264">INDEX(xlRTCLNAME,MATCH(1,(xlRTCLENDU=1)*(xlRTCLEQCL=$D264),0))</f>
        <v>NG_RAD</v>
      </c>
      <c r="W264" s="153" t="str">
        <f t="array" ref="W264">INDEX(xlRTCLNAME,MATCH(1,(xlRTCLENDU=2)*(xlRTCLEQCL=$F264),0))</f>
        <v>CENT_AIR</v>
      </c>
      <c r="X264" s="153" t="str">
        <f t="array" ref="X264">INDEX(xlRTTYNAME,MATCH(1,(xlRTTYENDU=1)*(xlRTTYEQCL=$D264)*(xlRTEQTYPE=$E264),0))</f>
        <v>NG_RAD1</v>
      </c>
      <c r="Y264" s="153" t="str">
        <f t="array" ref="Y264">INDEX(xlRTTYNAME,MATCH(1,(xlRTTYENDU=2)*(xlRTTYEQCL=$F264)*(xlRTEQTYPE=$G264),0))</f>
        <v>CENT_AIR2</v>
      </c>
    </row>
    <row r="265" spans="2:25" x14ac:dyDescent="0.2">
      <c r="B265" s="126">
        <v>4</v>
      </c>
      <c r="C265" s="126">
        <v>1</v>
      </c>
      <c r="D265" s="126">
        <v>4</v>
      </c>
      <c r="E265" s="126">
        <v>10</v>
      </c>
      <c r="F265" s="126">
        <v>2</v>
      </c>
      <c r="G265" s="126">
        <v>5</v>
      </c>
      <c r="H265" s="126">
        <v>2016</v>
      </c>
      <c r="I265" s="126">
        <v>2022</v>
      </c>
      <c r="J265" s="127">
        <v>1.0812999999999999</v>
      </c>
      <c r="K265" s="127">
        <v>1.0769</v>
      </c>
      <c r="L265" s="127">
        <v>0.55759999999999998</v>
      </c>
      <c r="M265" s="127">
        <v>0.90200000000000002</v>
      </c>
      <c r="N265" s="127">
        <v>0.85660000000000003</v>
      </c>
      <c r="O265" s="127">
        <v>1.0538000000000001</v>
      </c>
      <c r="P265" s="126">
        <v>7817</v>
      </c>
      <c r="Q265" s="128">
        <f t="array" ref="Q265">SUM(IF(($S265&gt;=4)*($C265='TaxCred&amp;Subs'!$D$123:$D$127)*($H265='TaxCred&amp;Subs'!$C$123:$C$127)*($H265&lt;='TaxCred&amp;Subs'!$C$129),'TaxCred&amp;Subs'!$E$123:$E$127,0))</f>
        <v>0</v>
      </c>
      <c r="R265" s="174">
        <v>0</v>
      </c>
      <c r="S265" s="126">
        <v>2</v>
      </c>
      <c r="T265" s="126" t="s">
        <v>224</v>
      </c>
      <c r="U265" s="158"/>
      <c r="V265" s="153" t="str">
        <f t="array" ref="V265">INDEX(xlRTCLNAME,MATCH(1,(xlRTCLENDU=1)*(xlRTCLEQCL=$D265),0))</f>
        <v>NG_RAD</v>
      </c>
      <c r="W265" s="153" t="str">
        <f t="array" ref="W265">INDEX(xlRTCLNAME,MATCH(1,(xlRTCLENDU=2)*(xlRTCLEQCL=$F265),0))</f>
        <v>CENT_AIR</v>
      </c>
      <c r="X265" s="153" t="str">
        <f t="array" ref="X265">INDEX(xlRTTYNAME,MATCH(1,(xlRTTYENDU=1)*(xlRTTYEQCL=$D265)*(xlRTEQTYPE=$E265),0))</f>
        <v>NG_RAD1</v>
      </c>
      <c r="Y265" s="153" t="str">
        <f t="array" ref="Y265">INDEX(xlRTTYNAME,MATCH(1,(xlRTTYENDU=2)*(xlRTTYEQCL=$F265)*(xlRTEQTYPE=$G265),0))</f>
        <v>CENT_AIR1</v>
      </c>
    </row>
    <row r="266" spans="2:25" x14ac:dyDescent="0.2">
      <c r="B266" s="126">
        <v>4</v>
      </c>
      <c r="C266" s="126">
        <v>1</v>
      </c>
      <c r="D266" s="126">
        <v>4</v>
      </c>
      <c r="E266" s="126">
        <v>10</v>
      </c>
      <c r="F266" s="126">
        <v>2</v>
      </c>
      <c r="G266" s="126">
        <v>6</v>
      </c>
      <c r="H266" s="126">
        <v>2023</v>
      </c>
      <c r="I266" s="126">
        <v>2050</v>
      </c>
      <c r="J266" s="127">
        <v>1.0812999999999999</v>
      </c>
      <c r="K266" s="127">
        <v>1.0769</v>
      </c>
      <c r="L266" s="127">
        <v>0.55759999999999998</v>
      </c>
      <c r="M266" s="127">
        <v>0.90200000000000002</v>
      </c>
      <c r="N266" s="127">
        <v>0.85660000000000003</v>
      </c>
      <c r="O266" s="127">
        <v>1.0538000000000001</v>
      </c>
      <c r="P266" s="126">
        <v>7817</v>
      </c>
      <c r="Q266" s="128">
        <f t="array" ref="Q266">SUM(IF(($S266&gt;=4)*($C266='TaxCred&amp;Subs'!$D$123:$D$127)*($H266='TaxCred&amp;Subs'!$C$123:$C$127)*($H266&lt;='TaxCred&amp;Subs'!$C$129),'TaxCred&amp;Subs'!$E$123:$E$127,0))</f>
        <v>0</v>
      </c>
      <c r="R266" s="174">
        <v>0</v>
      </c>
      <c r="S266" s="126">
        <v>2</v>
      </c>
      <c r="T266" s="126" t="s">
        <v>224</v>
      </c>
      <c r="U266" s="158"/>
      <c r="V266" s="153" t="str">
        <f t="array" ref="V266">INDEX(xlRTCLNAME,MATCH(1,(xlRTCLENDU=1)*(xlRTCLEQCL=$D266),0))</f>
        <v>NG_RAD</v>
      </c>
      <c r="W266" s="153" t="str">
        <f t="array" ref="W266">INDEX(xlRTCLNAME,MATCH(1,(xlRTCLENDU=2)*(xlRTCLEQCL=$F266),0))</f>
        <v>CENT_AIR</v>
      </c>
      <c r="X266" s="153" t="str">
        <f t="array" ref="X266">INDEX(xlRTTYNAME,MATCH(1,(xlRTTYENDU=1)*(xlRTTYEQCL=$D266)*(xlRTEQTYPE=$E266),0))</f>
        <v>NG_RAD1</v>
      </c>
      <c r="Y266" s="153" t="str">
        <f t="array" ref="Y266">INDEX(xlRTTYNAME,MATCH(1,(xlRTTYENDU=2)*(xlRTTYEQCL=$F266)*(xlRTEQTYPE=$G266),0))</f>
        <v>CENT_AIR2</v>
      </c>
    </row>
    <row r="267" spans="2:25" x14ac:dyDescent="0.2">
      <c r="B267" s="126">
        <v>5</v>
      </c>
      <c r="C267" s="126">
        <v>1</v>
      </c>
      <c r="D267" s="126">
        <v>4</v>
      </c>
      <c r="E267" s="126">
        <v>10</v>
      </c>
      <c r="F267" s="126">
        <v>2</v>
      </c>
      <c r="G267" s="126">
        <v>5</v>
      </c>
      <c r="H267" s="126">
        <v>2016</v>
      </c>
      <c r="I267" s="126">
        <v>2022</v>
      </c>
      <c r="J267" s="127">
        <v>1.0838000000000001</v>
      </c>
      <c r="K267" s="127">
        <v>1.0465</v>
      </c>
      <c r="L267" s="127">
        <v>0.76639999999999997</v>
      </c>
      <c r="M267" s="127">
        <v>0.96250000000000002</v>
      </c>
      <c r="N267" s="127">
        <v>0.75670000000000004</v>
      </c>
      <c r="O267" s="127">
        <v>1.0538000000000001</v>
      </c>
      <c r="P267" s="126">
        <v>6683</v>
      </c>
      <c r="Q267" s="128">
        <f t="array" ref="Q267">SUM(IF(($S267&gt;=4)*($C267='TaxCred&amp;Subs'!$D$123:$D$127)*($H267='TaxCred&amp;Subs'!$C$123:$C$127)*($H267&lt;='TaxCred&amp;Subs'!$C$129),'TaxCred&amp;Subs'!$E$123:$E$127,0))</f>
        <v>0</v>
      </c>
      <c r="R267" s="174">
        <v>0</v>
      </c>
      <c r="S267" s="126">
        <v>2</v>
      </c>
      <c r="T267" s="126" t="s">
        <v>224</v>
      </c>
      <c r="U267" s="158"/>
      <c r="V267" s="153" t="str">
        <f t="array" ref="V267">INDEX(xlRTCLNAME,MATCH(1,(xlRTCLENDU=1)*(xlRTCLEQCL=$D267),0))</f>
        <v>NG_RAD</v>
      </c>
      <c r="W267" s="153" t="str">
        <f t="array" ref="W267">INDEX(xlRTCLNAME,MATCH(1,(xlRTCLENDU=2)*(xlRTCLEQCL=$F267),0))</f>
        <v>CENT_AIR</v>
      </c>
      <c r="X267" s="153" t="str">
        <f t="array" ref="X267">INDEX(xlRTTYNAME,MATCH(1,(xlRTTYENDU=1)*(xlRTTYEQCL=$D267)*(xlRTEQTYPE=$E267),0))</f>
        <v>NG_RAD1</v>
      </c>
      <c r="Y267" s="153" t="str">
        <f t="array" ref="Y267">INDEX(xlRTTYNAME,MATCH(1,(xlRTTYENDU=2)*(xlRTTYEQCL=$F267)*(xlRTEQTYPE=$G267),0))</f>
        <v>CENT_AIR1</v>
      </c>
    </row>
    <row r="268" spans="2:25" x14ac:dyDescent="0.2">
      <c r="B268" s="126">
        <v>5</v>
      </c>
      <c r="C268" s="126">
        <v>1</v>
      </c>
      <c r="D268" s="126">
        <v>4</v>
      </c>
      <c r="E268" s="126">
        <v>10</v>
      </c>
      <c r="F268" s="126">
        <v>2</v>
      </c>
      <c r="G268" s="126">
        <v>6</v>
      </c>
      <c r="H268" s="126">
        <v>2023</v>
      </c>
      <c r="I268" s="126">
        <v>2050</v>
      </c>
      <c r="J268" s="127">
        <v>1.0838000000000001</v>
      </c>
      <c r="K268" s="127">
        <v>1.0465</v>
      </c>
      <c r="L268" s="127">
        <v>0.76639999999999997</v>
      </c>
      <c r="M268" s="127">
        <v>0.96250000000000002</v>
      </c>
      <c r="N268" s="127">
        <v>0.75670000000000004</v>
      </c>
      <c r="O268" s="127">
        <v>1.0538000000000001</v>
      </c>
      <c r="P268" s="126">
        <v>6683</v>
      </c>
      <c r="Q268" s="128">
        <f t="array" ref="Q268">SUM(IF(($S268&gt;=4)*($C268='TaxCred&amp;Subs'!$D$123:$D$127)*($H268='TaxCred&amp;Subs'!$C$123:$C$127)*($H268&lt;='TaxCred&amp;Subs'!$C$129),'TaxCred&amp;Subs'!$E$123:$E$127,0))</f>
        <v>0</v>
      </c>
      <c r="R268" s="174">
        <v>0</v>
      </c>
      <c r="S268" s="126">
        <v>2</v>
      </c>
      <c r="T268" s="126" t="s">
        <v>224</v>
      </c>
      <c r="U268" s="158"/>
      <c r="V268" s="153" t="str">
        <f t="array" ref="V268">INDEX(xlRTCLNAME,MATCH(1,(xlRTCLENDU=1)*(xlRTCLEQCL=$D268),0))</f>
        <v>NG_RAD</v>
      </c>
      <c r="W268" s="153" t="str">
        <f t="array" ref="W268">INDEX(xlRTCLNAME,MATCH(1,(xlRTCLENDU=2)*(xlRTCLEQCL=$F268),0))</f>
        <v>CENT_AIR</v>
      </c>
      <c r="X268" s="153" t="str">
        <f t="array" ref="X268">INDEX(xlRTTYNAME,MATCH(1,(xlRTTYENDU=1)*(xlRTTYEQCL=$D268)*(xlRTEQTYPE=$E268),0))</f>
        <v>NG_RAD1</v>
      </c>
      <c r="Y268" s="153" t="str">
        <f t="array" ref="Y268">INDEX(xlRTTYNAME,MATCH(1,(xlRTTYENDU=2)*(xlRTTYEQCL=$F268)*(xlRTEQTYPE=$G268),0))</f>
        <v>CENT_AIR2</v>
      </c>
    </row>
    <row r="269" spans="2:25" x14ac:dyDescent="0.2">
      <c r="B269" s="126">
        <v>6</v>
      </c>
      <c r="C269" s="126">
        <v>1</v>
      </c>
      <c r="D269" s="126">
        <v>4</v>
      </c>
      <c r="E269" s="126">
        <v>10</v>
      </c>
      <c r="F269" s="126">
        <v>2</v>
      </c>
      <c r="G269" s="126">
        <v>5</v>
      </c>
      <c r="H269" s="126">
        <v>2016</v>
      </c>
      <c r="I269" s="126">
        <v>2022</v>
      </c>
      <c r="J269" s="127">
        <v>1.089</v>
      </c>
      <c r="K269" s="127">
        <v>1.0583</v>
      </c>
      <c r="L269" s="127">
        <v>0.9</v>
      </c>
      <c r="M269" s="127">
        <v>0.95589999999999997</v>
      </c>
      <c r="N269" s="127">
        <v>0.88849999999999996</v>
      </c>
      <c r="O269" s="127">
        <v>1.0538000000000001</v>
      </c>
      <c r="P269" s="126">
        <v>6393</v>
      </c>
      <c r="Q269" s="128">
        <f t="array" ref="Q269">SUM(IF(($S269&gt;=4)*($C269='TaxCred&amp;Subs'!$D$123:$D$127)*($H269='TaxCred&amp;Subs'!$C$123:$C$127)*($H269&lt;='TaxCred&amp;Subs'!$C$129),'TaxCred&amp;Subs'!$E$123:$E$127,0))</f>
        <v>0</v>
      </c>
      <c r="R269" s="174">
        <v>0</v>
      </c>
      <c r="S269" s="126">
        <v>2</v>
      </c>
      <c r="T269" s="126" t="s">
        <v>224</v>
      </c>
      <c r="U269" s="158"/>
      <c r="V269" s="153" t="str">
        <f t="array" ref="V269">INDEX(xlRTCLNAME,MATCH(1,(xlRTCLENDU=1)*(xlRTCLEQCL=$D269),0))</f>
        <v>NG_RAD</v>
      </c>
      <c r="W269" s="153" t="str">
        <f t="array" ref="W269">INDEX(xlRTCLNAME,MATCH(1,(xlRTCLENDU=2)*(xlRTCLEQCL=$F269),0))</f>
        <v>CENT_AIR</v>
      </c>
      <c r="X269" s="153" t="str">
        <f t="array" ref="X269">INDEX(xlRTTYNAME,MATCH(1,(xlRTTYENDU=1)*(xlRTTYEQCL=$D269)*(xlRTEQTYPE=$E269),0))</f>
        <v>NG_RAD1</v>
      </c>
      <c r="Y269" s="153" t="str">
        <f t="array" ref="Y269">INDEX(xlRTTYNAME,MATCH(1,(xlRTTYENDU=2)*(xlRTTYEQCL=$F269)*(xlRTEQTYPE=$G269),0))</f>
        <v>CENT_AIR1</v>
      </c>
    </row>
    <row r="270" spans="2:25" x14ac:dyDescent="0.2">
      <c r="B270" s="126">
        <v>6</v>
      </c>
      <c r="C270" s="126">
        <v>1</v>
      </c>
      <c r="D270" s="126">
        <v>4</v>
      </c>
      <c r="E270" s="126">
        <v>10</v>
      </c>
      <c r="F270" s="126">
        <v>2</v>
      </c>
      <c r="G270" s="126">
        <v>6</v>
      </c>
      <c r="H270" s="126">
        <v>2023</v>
      </c>
      <c r="I270" s="126">
        <v>2050</v>
      </c>
      <c r="J270" s="127">
        <v>1.089</v>
      </c>
      <c r="K270" s="127">
        <v>1.0583</v>
      </c>
      <c r="L270" s="127">
        <v>0.9</v>
      </c>
      <c r="M270" s="127">
        <v>0.95589999999999997</v>
      </c>
      <c r="N270" s="127">
        <v>0.88849999999999996</v>
      </c>
      <c r="O270" s="127">
        <v>1.0538000000000001</v>
      </c>
      <c r="P270" s="126">
        <v>6393</v>
      </c>
      <c r="Q270" s="128">
        <f t="array" ref="Q270">SUM(IF(($S270&gt;=4)*($C270='TaxCred&amp;Subs'!$D$123:$D$127)*($H270='TaxCred&amp;Subs'!$C$123:$C$127)*($H270&lt;='TaxCred&amp;Subs'!$C$129),'TaxCred&amp;Subs'!$E$123:$E$127,0))</f>
        <v>0</v>
      </c>
      <c r="R270" s="174">
        <v>0</v>
      </c>
      <c r="S270" s="126">
        <v>2</v>
      </c>
      <c r="T270" s="126" t="s">
        <v>224</v>
      </c>
      <c r="U270" s="158"/>
      <c r="V270" s="153" t="str">
        <f t="array" ref="V270">INDEX(xlRTCLNAME,MATCH(1,(xlRTCLENDU=1)*(xlRTCLEQCL=$D270),0))</f>
        <v>NG_RAD</v>
      </c>
      <c r="W270" s="153" t="str">
        <f t="array" ref="W270">INDEX(xlRTCLNAME,MATCH(1,(xlRTCLENDU=2)*(xlRTCLEQCL=$F270),0))</f>
        <v>CENT_AIR</v>
      </c>
      <c r="X270" s="153" t="str">
        <f t="array" ref="X270">INDEX(xlRTTYNAME,MATCH(1,(xlRTTYENDU=1)*(xlRTTYEQCL=$D270)*(xlRTEQTYPE=$E270),0))</f>
        <v>NG_RAD1</v>
      </c>
      <c r="Y270" s="153" t="str">
        <f t="array" ref="Y270">INDEX(xlRTTYNAME,MATCH(1,(xlRTTYENDU=2)*(xlRTTYEQCL=$F270)*(xlRTEQTYPE=$G270),0))</f>
        <v>CENT_AIR2</v>
      </c>
    </row>
    <row r="271" spans="2:25" x14ac:dyDescent="0.2">
      <c r="B271" s="126">
        <v>7</v>
      </c>
      <c r="C271" s="126">
        <v>1</v>
      </c>
      <c r="D271" s="126">
        <v>4</v>
      </c>
      <c r="E271" s="126">
        <v>10</v>
      </c>
      <c r="F271" s="126">
        <v>2</v>
      </c>
      <c r="G271" s="126">
        <v>5</v>
      </c>
      <c r="H271" s="126">
        <v>2016</v>
      </c>
      <c r="I271" s="126">
        <v>2022</v>
      </c>
      <c r="J271" s="127">
        <v>1.0867</v>
      </c>
      <c r="K271" s="127">
        <v>1.0682</v>
      </c>
      <c r="L271" s="127">
        <v>0.81220000000000003</v>
      </c>
      <c r="M271" s="127">
        <v>0.87150000000000005</v>
      </c>
      <c r="N271" s="127">
        <v>0.87180000000000002</v>
      </c>
      <c r="O271" s="127">
        <v>1.0538000000000001</v>
      </c>
      <c r="P271" s="126">
        <v>6290</v>
      </c>
      <c r="Q271" s="128">
        <f t="array" ref="Q271">SUM(IF(($S271&gt;=4)*($C271='TaxCred&amp;Subs'!$D$123:$D$127)*($H271='TaxCred&amp;Subs'!$C$123:$C$127)*($H271&lt;='TaxCred&amp;Subs'!$C$129),'TaxCred&amp;Subs'!$E$123:$E$127,0))</f>
        <v>0</v>
      </c>
      <c r="R271" s="174">
        <v>0</v>
      </c>
      <c r="S271" s="126">
        <v>2</v>
      </c>
      <c r="T271" s="126" t="s">
        <v>224</v>
      </c>
      <c r="U271" s="158"/>
      <c r="V271" s="153" t="str">
        <f t="array" ref="V271">INDEX(xlRTCLNAME,MATCH(1,(xlRTCLENDU=1)*(xlRTCLEQCL=$D271),0))</f>
        <v>NG_RAD</v>
      </c>
      <c r="W271" s="153" t="str">
        <f t="array" ref="W271">INDEX(xlRTCLNAME,MATCH(1,(xlRTCLENDU=2)*(xlRTCLEQCL=$F271),0))</f>
        <v>CENT_AIR</v>
      </c>
      <c r="X271" s="153" t="str">
        <f t="array" ref="X271">INDEX(xlRTTYNAME,MATCH(1,(xlRTTYENDU=1)*(xlRTTYEQCL=$D271)*(xlRTEQTYPE=$E271),0))</f>
        <v>NG_RAD1</v>
      </c>
      <c r="Y271" s="153" t="str">
        <f t="array" ref="Y271">INDEX(xlRTTYNAME,MATCH(1,(xlRTTYENDU=2)*(xlRTTYEQCL=$F271)*(xlRTEQTYPE=$G271),0))</f>
        <v>CENT_AIR1</v>
      </c>
    </row>
    <row r="272" spans="2:25" x14ac:dyDescent="0.2">
      <c r="B272" s="126">
        <v>7</v>
      </c>
      <c r="C272" s="126">
        <v>1</v>
      </c>
      <c r="D272" s="126">
        <v>4</v>
      </c>
      <c r="E272" s="126">
        <v>10</v>
      </c>
      <c r="F272" s="126">
        <v>2</v>
      </c>
      <c r="G272" s="126">
        <v>6</v>
      </c>
      <c r="H272" s="126">
        <v>2023</v>
      </c>
      <c r="I272" s="126">
        <v>2050</v>
      </c>
      <c r="J272" s="127">
        <v>1.0867</v>
      </c>
      <c r="K272" s="127">
        <v>1.0682</v>
      </c>
      <c r="L272" s="127">
        <v>0.81220000000000003</v>
      </c>
      <c r="M272" s="127">
        <v>0.87150000000000005</v>
      </c>
      <c r="N272" s="127">
        <v>0.87180000000000002</v>
      </c>
      <c r="O272" s="127">
        <v>1.0538000000000001</v>
      </c>
      <c r="P272" s="126">
        <v>6290</v>
      </c>
      <c r="Q272" s="128">
        <f t="array" ref="Q272">SUM(IF(($S272&gt;=4)*($C272='TaxCred&amp;Subs'!$D$123:$D$127)*($H272='TaxCred&amp;Subs'!$C$123:$C$127)*($H272&lt;='TaxCred&amp;Subs'!$C$129),'TaxCred&amp;Subs'!$E$123:$E$127,0))</f>
        <v>0</v>
      </c>
      <c r="R272" s="174">
        <v>0</v>
      </c>
      <c r="S272" s="126">
        <v>2</v>
      </c>
      <c r="T272" s="126" t="s">
        <v>224</v>
      </c>
      <c r="U272" s="158"/>
      <c r="V272" s="153" t="str">
        <f t="array" ref="V272">INDEX(xlRTCLNAME,MATCH(1,(xlRTCLENDU=1)*(xlRTCLEQCL=$D272),0))</f>
        <v>NG_RAD</v>
      </c>
      <c r="W272" s="153" t="str">
        <f t="array" ref="W272">INDEX(xlRTCLNAME,MATCH(1,(xlRTCLENDU=2)*(xlRTCLEQCL=$F272),0))</f>
        <v>CENT_AIR</v>
      </c>
      <c r="X272" s="153" t="str">
        <f t="array" ref="X272">INDEX(xlRTTYNAME,MATCH(1,(xlRTTYENDU=1)*(xlRTTYEQCL=$D272)*(xlRTEQTYPE=$E272),0))</f>
        <v>NG_RAD1</v>
      </c>
      <c r="Y272" s="153" t="str">
        <f t="array" ref="Y272">INDEX(xlRTTYNAME,MATCH(1,(xlRTTYENDU=2)*(xlRTTYEQCL=$F272)*(xlRTEQTYPE=$G272),0))</f>
        <v>CENT_AIR2</v>
      </c>
    </row>
    <row r="273" spans="2:25" x14ac:dyDescent="0.2">
      <c r="B273" s="126">
        <v>8</v>
      </c>
      <c r="C273" s="126">
        <v>1</v>
      </c>
      <c r="D273" s="126">
        <v>4</v>
      </c>
      <c r="E273" s="126">
        <v>10</v>
      </c>
      <c r="F273" s="126">
        <v>2</v>
      </c>
      <c r="G273" s="126">
        <v>5</v>
      </c>
      <c r="H273" s="126">
        <v>2016</v>
      </c>
      <c r="I273" s="126">
        <v>2022</v>
      </c>
      <c r="J273" s="127">
        <v>1.0820000000000001</v>
      </c>
      <c r="K273" s="127">
        <v>1.0832999999999999</v>
      </c>
      <c r="L273" s="127">
        <v>0.5806</v>
      </c>
      <c r="M273" s="127">
        <v>0.91349999999999998</v>
      </c>
      <c r="N273" s="127">
        <v>0.86439999999999995</v>
      </c>
      <c r="O273" s="127">
        <v>1.0538000000000001</v>
      </c>
      <c r="P273" s="126">
        <v>9530</v>
      </c>
      <c r="Q273" s="128">
        <f t="array" ref="Q273">SUM(IF(($S273&gt;=4)*($C273='TaxCred&amp;Subs'!$D$123:$D$127)*($H273='TaxCred&amp;Subs'!$C$123:$C$127)*($H273&lt;='TaxCred&amp;Subs'!$C$129),'TaxCred&amp;Subs'!$E$123:$E$127,0))</f>
        <v>0</v>
      </c>
      <c r="R273" s="174">
        <v>0</v>
      </c>
      <c r="S273" s="126">
        <v>2</v>
      </c>
      <c r="T273" s="126" t="s">
        <v>224</v>
      </c>
      <c r="U273" s="158"/>
      <c r="V273" s="153" t="str">
        <f t="array" ref="V273">INDEX(xlRTCLNAME,MATCH(1,(xlRTCLENDU=1)*(xlRTCLEQCL=$D273),0))</f>
        <v>NG_RAD</v>
      </c>
      <c r="W273" s="153" t="str">
        <f t="array" ref="W273">INDEX(xlRTCLNAME,MATCH(1,(xlRTCLENDU=2)*(xlRTCLEQCL=$F273),0))</f>
        <v>CENT_AIR</v>
      </c>
      <c r="X273" s="153" t="str">
        <f t="array" ref="X273">INDEX(xlRTTYNAME,MATCH(1,(xlRTTYENDU=1)*(xlRTTYEQCL=$D273)*(xlRTEQTYPE=$E273),0))</f>
        <v>NG_RAD1</v>
      </c>
      <c r="Y273" s="153" t="str">
        <f t="array" ref="Y273">INDEX(xlRTTYNAME,MATCH(1,(xlRTTYENDU=2)*(xlRTTYEQCL=$F273)*(xlRTEQTYPE=$G273),0))</f>
        <v>CENT_AIR1</v>
      </c>
    </row>
    <row r="274" spans="2:25" x14ac:dyDescent="0.2">
      <c r="B274" s="126">
        <v>8</v>
      </c>
      <c r="C274" s="126">
        <v>1</v>
      </c>
      <c r="D274" s="126">
        <v>4</v>
      </c>
      <c r="E274" s="126">
        <v>10</v>
      </c>
      <c r="F274" s="126">
        <v>2</v>
      </c>
      <c r="G274" s="126">
        <v>6</v>
      </c>
      <c r="H274" s="126">
        <v>2023</v>
      </c>
      <c r="I274" s="126">
        <v>2050</v>
      </c>
      <c r="J274" s="127">
        <v>1.0820000000000001</v>
      </c>
      <c r="K274" s="127">
        <v>1.0832999999999999</v>
      </c>
      <c r="L274" s="127">
        <v>0.5806</v>
      </c>
      <c r="M274" s="127">
        <v>0.91349999999999998</v>
      </c>
      <c r="N274" s="127">
        <v>0.86439999999999995</v>
      </c>
      <c r="O274" s="127">
        <v>1.0538000000000001</v>
      </c>
      <c r="P274" s="126">
        <v>9530</v>
      </c>
      <c r="Q274" s="128">
        <f t="array" ref="Q274">SUM(IF(($S274&gt;=4)*($C274='TaxCred&amp;Subs'!$D$123:$D$127)*($H274='TaxCred&amp;Subs'!$C$123:$C$127)*($H274&lt;='TaxCred&amp;Subs'!$C$129),'TaxCred&amp;Subs'!$E$123:$E$127,0))</f>
        <v>0</v>
      </c>
      <c r="R274" s="174">
        <v>0</v>
      </c>
      <c r="S274" s="126">
        <v>2</v>
      </c>
      <c r="T274" s="126" t="s">
        <v>224</v>
      </c>
      <c r="U274" s="158"/>
      <c r="V274" s="153" t="str">
        <f t="array" ref="V274">INDEX(xlRTCLNAME,MATCH(1,(xlRTCLENDU=1)*(xlRTCLEQCL=$D274),0))</f>
        <v>NG_RAD</v>
      </c>
      <c r="W274" s="153" t="str">
        <f t="array" ref="W274">INDEX(xlRTCLNAME,MATCH(1,(xlRTCLENDU=2)*(xlRTCLEQCL=$F274),0))</f>
        <v>CENT_AIR</v>
      </c>
      <c r="X274" s="153" t="str">
        <f t="array" ref="X274">INDEX(xlRTTYNAME,MATCH(1,(xlRTTYENDU=1)*(xlRTTYEQCL=$D274)*(xlRTEQTYPE=$E274),0))</f>
        <v>NG_RAD1</v>
      </c>
      <c r="Y274" s="153" t="str">
        <f t="array" ref="Y274">INDEX(xlRTTYNAME,MATCH(1,(xlRTTYENDU=2)*(xlRTTYEQCL=$F274)*(xlRTEQTYPE=$G274),0))</f>
        <v>CENT_AIR2</v>
      </c>
    </row>
    <row r="275" spans="2:25" x14ac:dyDescent="0.2">
      <c r="B275" s="126">
        <v>9</v>
      </c>
      <c r="C275" s="126">
        <v>1</v>
      </c>
      <c r="D275" s="126">
        <v>4</v>
      </c>
      <c r="E275" s="126">
        <v>10</v>
      </c>
      <c r="F275" s="126">
        <v>2</v>
      </c>
      <c r="G275" s="126">
        <v>5</v>
      </c>
      <c r="H275" s="126">
        <v>2016</v>
      </c>
      <c r="I275" s="126">
        <v>2022</v>
      </c>
      <c r="J275" s="127">
        <v>1.0414000000000001</v>
      </c>
      <c r="K275" s="127">
        <v>1.07</v>
      </c>
      <c r="L275" s="127">
        <v>0.9869</v>
      </c>
      <c r="M275" s="127">
        <v>0.95209999999999995</v>
      </c>
      <c r="N275" s="127">
        <v>1.026</v>
      </c>
      <c r="O275" s="127">
        <v>1.0538000000000001</v>
      </c>
      <c r="P275" s="126">
        <v>9776</v>
      </c>
      <c r="Q275" s="128">
        <f t="array" ref="Q275">SUM(IF(($S275&gt;=4)*($C275='TaxCred&amp;Subs'!$D$123:$D$127)*($H275='TaxCred&amp;Subs'!$C$123:$C$127)*($H275&lt;='TaxCred&amp;Subs'!$C$129),'TaxCred&amp;Subs'!$E$123:$E$127,0))</f>
        <v>0</v>
      </c>
      <c r="R275" s="174">
        <v>0</v>
      </c>
      <c r="S275" s="126">
        <v>2</v>
      </c>
      <c r="T275" s="126" t="s">
        <v>224</v>
      </c>
      <c r="U275" s="158"/>
      <c r="V275" s="153" t="str">
        <f t="array" ref="V275">INDEX(xlRTCLNAME,MATCH(1,(xlRTCLENDU=1)*(xlRTCLEQCL=$D275),0))</f>
        <v>NG_RAD</v>
      </c>
      <c r="W275" s="153" t="str">
        <f t="array" ref="W275">INDEX(xlRTCLNAME,MATCH(1,(xlRTCLENDU=2)*(xlRTCLEQCL=$F275),0))</f>
        <v>CENT_AIR</v>
      </c>
      <c r="X275" s="153" t="str">
        <f t="array" ref="X275">INDEX(xlRTTYNAME,MATCH(1,(xlRTTYENDU=1)*(xlRTTYEQCL=$D275)*(xlRTEQTYPE=$E275),0))</f>
        <v>NG_RAD1</v>
      </c>
      <c r="Y275" s="153" t="str">
        <f t="array" ref="Y275">INDEX(xlRTTYNAME,MATCH(1,(xlRTTYENDU=2)*(xlRTTYEQCL=$F275)*(xlRTEQTYPE=$G275),0))</f>
        <v>CENT_AIR1</v>
      </c>
    </row>
    <row r="276" spans="2:25" x14ac:dyDescent="0.2">
      <c r="B276" s="126">
        <v>9</v>
      </c>
      <c r="C276" s="126">
        <v>1</v>
      </c>
      <c r="D276" s="126">
        <v>4</v>
      </c>
      <c r="E276" s="126">
        <v>10</v>
      </c>
      <c r="F276" s="126">
        <v>2</v>
      </c>
      <c r="G276" s="126">
        <v>6</v>
      </c>
      <c r="H276" s="126">
        <v>2023</v>
      </c>
      <c r="I276" s="126">
        <v>2050</v>
      </c>
      <c r="J276" s="127">
        <v>1.0414000000000001</v>
      </c>
      <c r="K276" s="127">
        <v>1.07</v>
      </c>
      <c r="L276" s="127">
        <v>0.9869</v>
      </c>
      <c r="M276" s="127">
        <v>0.95209999999999995</v>
      </c>
      <c r="N276" s="127">
        <v>1.026</v>
      </c>
      <c r="O276" s="127">
        <v>1.0538000000000001</v>
      </c>
      <c r="P276" s="126">
        <v>9776</v>
      </c>
      <c r="Q276" s="128">
        <f t="array" ref="Q276">SUM(IF(($S276&gt;=4)*($C276='TaxCred&amp;Subs'!$D$123:$D$127)*($H276='TaxCred&amp;Subs'!$C$123:$C$127)*($H276&lt;='TaxCred&amp;Subs'!$C$129),'TaxCred&amp;Subs'!$E$123:$E$127,0))</f>
        <v>0</v>
      </c>
      <c r="R276" s="174">
        <v>0</v>
      </c>
      <c r="S276" s="126">
        <v>2</v>
      </c>
      <c r="T276" s="126" t="s">
        <v>224</v>
      </c>
      <c r="U276" s="158"/>
      <c r="V276" s="153" t="str">
        <f t="array" ref="V276">INDEX(xlRTCLNAME,MATCH(1,(xlRTCLENDU=1)*(xlRTCLEQCL=$D276),0))</f>
        <v>NG_RAD</v>
      </c>
      <c r="W276" s="153" t="str">
        <f t="array" ref="W276">INDEX(xlRTCLNAME,MATCH(1,(xlRTCLENDU=2)*(xlRTCLEQCL=$F276),0))</f>
        <v>CENT_AIR</v>
      </c>
      <c r="X276" s="153" t="str">
        <f t="array" ref="X276">INDEX(xlRTTYNAME,MATCH(1,(xlRTTYENDU=1)*(xlRTTYEQCL=$D276)*(xlRTEQTYPE=$E276),0))</f>
        <v>NG_RAD1</v>
      </c>
      <c r="Y276" s="153" t="str">
        <f t="array" ref="Y276">INDEX(xlRTTYNAME,MATCH(1,(xlRTTYENDU=2)*(xlRTTYEQCL=$F276)*(xlRTEQTYPE=$G276),0))</f>
        <v>CENT_AIR2</v>
      </c>
    </row>
    <row r="277" spans="2:25" x14ac:dyDescent="0.2">
      <c r="B277" s="129">
        <v>1</v>
      </c>
      <c r="C277" s="129">
        <v>1</v>
      </c>
      <c r="D277" s="129">
        <v>5</v>
      </c>
      <c r="E277" s="129">
        <v>14</v>
      </c>
      <c r="F277" s="129">
        <v>2</v>
      </c>
      <c r="G277" s="129">
        <v>5</v>
      </c>
      <c r="H277" s="129">
        <v>2016</v>
      </c>
      <c r="I277" s="129">
        <v>2022</v>
      </c>
      <c r="J277" s="130">
        <v>1.0309999999999999</v>
      </c>
      <c r="K277" s="130">
        <v>1.0667</v>
      </c>
      <c r="L277" s="130">
        <v>0.59209999999999996</v>
      </c>
      <c r="M277" s="130">
        <v>1.0176000000000001</v>
      </c>
      <c r="N277" s="130">
        <v>0.79790000000000005</v>
      </c>
      <c r="O277" s="130">
        <v>1.0538000000000001</v>
      </c>
      <c r="P277" s="129">
        <v>10415</v>
      </c>
      <c r="Q277" s="128">
        <f t="array" ref="Q277">SUM(IF(($S277&gt;=4)*($C277='TaxCred&amp;Subs'!$D$123:$D$127)*($H277='TaxCred&amp;Subs'!$C$123:$C$127)*($H277&lt;='TaxCred&amp;Subs'!$C$129),'TaxCred&amp;Subs'!$E$123:$E$127,0))</f>
        <v>0</v>
      </c>
      <c r="R277" s="174">
        <v>0</v>
      </c>
      <c r="S277" s="129">
        <v>2</v>
      </c>
      <c r="T277" s="129" t="s">
        <v>224</v>
      </c>
      <c r="U277" s="155" t="s">
        <v>235</v>
      </c>
      <c r="V277" s="153" t="str">
        <f t="array" ref="V277">INDEX(xlRTCLNAME,MATCH(1,(xlRTCLENDU=1)*(xlRTCLEQCL=$D277),0))</f>
        <v>KERO_FA</v>
      </c>
      <c r="W277" s="153" t="str">
        <f t="array" ref="W277">INDEX(xlRTCLNAME,MATCH(1,(xlRTCLENDU=2)*(xlRTCLEQCL=$F277),0))</f>
        <v>CENT_AIR</v>
      </c>
      <c r="X277" s="153" t="str">
        <f t="array" ref="X277">INDEX(xlRTTYNAME,MATCH(1,(xlRTTYENDU=1)*(xlRTTYEQCL=$D277)*(xlRTEQTYPE=$E277),0))</f>
        <v>KERO_FA1</v>
      </c>
      <c r="Y277" s="153" t="str">
        <f t="array" ref="Y277">INDEX(xlRTTYNAME,MATCH(1,(xlRTTYENDU=2)*(xlRTTYEQCL=$F277)*(xlRTEQTYPE=$G277),0))</f>
        <v>CENT_AIR1</v>
      </c>
    </row>
    <row r="278" spans="2:25" x14ac:dyDescent="0.2">
      <c r="B278" s="129">
        <v>1</v>
      </c>
      <c r="C278" s="129">
        <v>1</v>
      </c>
      <c r="D278" s="129">
        <v>5</v>
      </c>
      <c r="E278" s="129">
        <v>14</v>
      </c>
      <c r="F278" s="129">
        <v>2</v>
      </c>
      <c r="G278" s="129">
        <v>6</v>
      </c>
      <c r="H278" s="129">
        <v>2023</v>
      </c>
      <c r="I278" s="129">
        <v>2050</v>
      </c>
      <c r="J278" s="130">
        <v>1.0309999999999999</v>
      </c>
      <c r="K278" s="130">
        <v>1.0667</v>
      </c>
      <c r="L278" s="130">
        <v>0.59209999999999996</v>
      </c>
      <c r="M278" s="130">
        <v>1.0176000000000001</v>
      </c>
      <c r="N278" s="130">
        <v>0.79790000000000005</v>
      </c>
      <c r="O278" s="130">
        <v>1.0538000000000001</v>
      </c>
      <c r="P278" s="129">
        <v>10415</v>
      </c>
      <c r="Q278" s="128">
        <f t="array" ref="Q278">SUM(IF(($S278&gt;=4)*($C278='TaxCred&amp;Subs'!$D$123:$D$127)*($H278='TaxCred&amp;Subs'!$C$123:$C$127)*($H278&lt;='TaxCred&amp;Subs'!$C$129),'TaxCred&amp;Subs'!$E$123:$E$127,0))</f>
        <v>0</v>
      </c>
      <c r="R278" s="174">
        <v>0</v>
      </c>
      <c r="S278" s="129">
        <v>2</v>
      </c>
      <c r="T278" s="129" t="s">
        <v>224</v>
      </c>
      <c r="U278" s="155" t="s">
        <v>235</v>
      </c>
      <c r="V278" s="153" t="str">
        <f t="array" ref="V278">INDEX(xlRTCLNAME,MATCH(1,(xlRTCLENDU=1)*(xlRTCLEQCL=$D278),0))</f>
        <v>KERO_FA</v>
      </c>
      <c r="W278" s="153" t="str">
        <f t="array" ref="W278">INDEX(xlRTCLNAME,MATCH(1,(xlRTCLENDU=2)*(xlRTCLEQCL=$F278),0))</f>
        <v>CENT_AIR</v>
      </c>
      <c r="X278" s="153" t="str">
        <f t="array" ref="X278">INDEX(xlRTTYNAME,MATCH(1,(xlRTTYENDU=1)*(xlRTTYEQCL=$D278)*(xlRTEQTYPE=$E278),0))</f>
        <v>KERO_FA1</v>
      </c>
      <c r="Y278" s="153" t="str">
        <f t="array" ref="Y278">INDEX(xlRTTYNAME,MATCH(1,(xlRTTYENDU=2)*(xlRTTYEQCL=$F278)*(xlRTEQTYPE=$G278),0))</f>
        <v>CENT_AIR2</v>
      </c>
    </row>
    <row r="279" spans="2:25" x14ac:dyDescent="0.2">
      <c r="B279" s="129">
        <v>2</v>
      </c>
      <c r="C279" s="129">
        <v>1</v>
      </c>
      <c r="D279" s="129">
        <v>5</v>
      </c>
      <c r="E279" s="129">
        <v>14</v>
      </c>
      <c r="F279" s="129">
        <v>2</v>
      </c>
      <c r="G279" s="129">
        <v>5</v>
      </c>
      <c r="H279" s="129">
        <v>2016</v>
      </c>
      <c r="I279" s="129">
        <v>2022</v>
      </c>
      <c r="J279" s="130">
        <v>1.0772999999999999</v>
      </c>
      <c r="K279" s="130">
        <v>1.0758000000000001</v>
      </c>
      <c r="L279" s="130">
        <v>0.70189999999999997</v>
      </c>
      <c r="M279" s="130">
        <v>0.87660000000000005</v>
      </c>
      <c r="N279" s="130">
        <v>0.93169999999999997</v>
      </c>
      <c r="O279" s="130">
        <v>1.0538000000000001</v>
      </c>
      <c r="P279" s="129">
        <v>10538</v>
      </c>
      <c r="Q279" s="128">
        <f t="array" ref="Q279">SUM(IF(($S279&gt;=4)*($C279='TaxCred&amp;Subs'!$D$123:$D$127)*($H279='TaxCred&amp;Subs'!$C$123:$C$127)*($H279&lt;='TaxCred&amp;Subs'!$C$129),'TaxCred&amp;Subs'!$E$123:$E$127,0))</f>
        <v>0</v>
      </c>
      <c r="R279" s="174">
        <v>0</v>
      </c>
      <c r="S279" s="129">
        <v>2</v>
      </c>
      <c r="T279" s="129" t="s">
        <v>224</v>
      </c>
      <c r="U279" s="155" t="s">
        <v>235</v>
      </c>
      <c r="V279" s="153" t="str">
        <f t="array" ref="V279">INDEX(xlRTCLNAME,MATCH(1,(xlRTCLENDU=1)*(xlRTCLEQCL=$D279),0))</f>
        <v>KERO_FA</v>
      </c>
      <c r="W279" s="153" t="str">
        <f t="array" ref="W279">INDEX(xlRTCLNAME,MATCH(1,(xlRTCLENDU=2)*(xlRTCLEQCL=$F279),0))</f>
        <v>CENT_AIR</v>
      </c>
      <c r="X279" s="153" t="str">
        <f t="array" ref="X279">INDEX(xlRTTYNAME,MATCH(1,(xlRTTYENDU=1)*(xlRTTYEQCL=$D279)*(xlRTEQTYPE=$E279),0))</f>
        <v>KERO_FA1</v>
      </c>
      <c r="Y279" s="153" t="str">
        <f t="array" ref="Y279">INDEX(xlRTTYNAME,MATCH(1,(xlRTTYENDU=2)*(xlRTTYEQCL=$F279)*(xlRTEQTYPE=$G279),0))</f>
        <v>CENT_AIR1</v>
      </c>
    </row>
    <row r="280" spans="2:25" x14ac:dyDescent="0.2">
      <c r="B280" s="129">
        <v>2</v>
      </c>
      <c r="C280" s="129">
        <v>1</v>
      </c>
      <c r="D280" s="129">
        <v>5</v>
      </c>
      <c r="E280" s="129">
        <v>14</v>
      </c>
      <c r="F280" s="129">
        <v>2</v>
      </c>
      <c r="G280" s="129">
        <v>6</v>
      </c>
      <c r="H280" s="129">
        <v>2023</v>
      </c>
      <c r="I280" s="129">
        <v>2050</v>
      </c>
      <c r="J280" s="130">
        <v>1.0772999999999999</v>
      </c>
      <c r="K280" s="130">
        <v>1.0758000000000001</v>
      </c>
      <c r="L280" s="130">
        <v>0.70189999999999997</v>
      </c>
      <c r="M280" s="130">
        <v>0.87660000000000005</v>
      </c>
      <c r="N280" s="130">
        <v>0.93169999999999997</v>
      </c>
      <c r="O280" s="130">
        <v>1.0538000000000001</v>
      </c>
      <c r="P280" s="129">
        <v>10538</v>
      </c>
      <c r="Q280" s="128">
        <f t="array" ref="Q280">SUM(IF(($S280&gt;=4)*($C280='TaxCred&amp;Subs'!$D$123:$D$127)*($H280='TaxCred&amp;Subs'!$C$123:$C$127)*($H280&lt;='TaxCred&amp;Subs'!$C$129),'TaxCred&amp;Subs'!$E$123:$E$127,0))</f>
        <v>0</v>
      </c>
      <c r="R280" s="174">
        <v>0</v>
      </c>
      <c r="S280" s="129">
        <v>2</v>
      </c>
      <c r="T280" s="129" t="s">
        <v>224</v>
      </c>
      <c r="U280" s="155" t="s">
        <v>235</v>
      </c>
      <c r="V280" s="153" t="str">
        <f t="array" ref="V280">INDEX(xlRTCLNAME,MATCH(1,(xlRTCLENDU=1)*(xlRTCLEQCL=$D280),0))</f>
        <v>KERO_FA</v>
      </c>
      <c r="W280" s="153" t="str">
        <f t="array" ref="W280">INDEX(xlRTCLNAME,MATCH(1,(xlRTCLENDU=2)*(xlRTCLEQCL=$F280),0))</f>
        <v>CENT_AIR</v>
      </c>
      <c r="X280" s="153" t="str">
        <f t="array" ref="X280">INDEX(xlRTTYNAME,MATCH(1,(xlRTTYENDU=1)*(xlRTTYEQCL=$D280)*(xlRTEQTYPE=$E280),0))</f>
        <v>KERO_FA1</v>
      </c>
      <c r="Y280" s="153" t="str">
        <f t="array" ref="Y280">INDEX(xlRTTYNAME,MATCH(1,(xlRTTYENDU=2)*(xlRTTYEQCL=$F280)*(xlRTEQTYPE=$G280),0))</f>
        <v>CENT_AIR2</v>
      </c>
    </row>
    <row r="281" spans="2:25" x14ac:dyDescent="0.2">
      <c r="B281" s="129">
        <v>3</v>
      </c>
      <c r="C281" s="129">
        <v>1</v>
      </c>
      <c r="D281" s="129">
        <v>5</v>
      </c>
      <c r="E281" s="129">
        <v>14</v>
      </c>
      <c r="F281" s="129">
        <v>2</v>
      </c>
      <c r="G281" s="129">
        <v>5</v>
      </c>
      <c r="H281" s="129">
        <v>2016</v>
      </c>
      <c r="I281" s="129">
        <v>2022</v>
      </c>
      <c r="J281" s="130">
        <v>1.0842000000000001</v>
      </c>
      <c r="K281" s="130">
        <v>1.0577000000000001</v>
      </c>
      <c r="L281" s="130">
        <v>0.58050000000000002</v>
      </c>
      <c r="M281" s="130">
        <v>0.95530000000000004</v>
      </c>
      <c r="N281" s="130">
        <v>0.91220000000000001</v>
      </c>
      <c r="O281" s="130">
        <v>1.0538000000000001</v>
      </c>
      <c r="P281" s="129">
        <v>9659</v>
      </c>
      <c r="Q281" s="128">
        <f t="array" ref="Q281">SUM(IF(($S281&gt;=4)*($C281='TaxCred&amp;Subs'!$D$123:$D$127)*($H281='TaxCred&amp;Subs'!$C$123:$C$127)*($H281&lt;='TaxCred&amp;Subs'!$C$129),'TaxCred&amp;Subs'!$E$123:$E$127,0))</f>
        <v>0</v>
      </c>
      <c r="R281" s="174">
        <v>0</v>
      </c>
      <c r="S281" s="129">
        <v>2</v>
      </c>
      <c r="T281" s="129" t="s">
        <v>224</v>
      </c>
      <c r="U281" s="155" t="s">
        <v>235</v>
      </c>
      <c r="V281" s="153" t="str">
        <f t="array" ref="V281">INDEX(xlRTCLNAME,MATCH(1,(xlRTCLENDU=1)*(xlRTCLEQCL=$D281),0))</f>
        <v>KERO_FA</v>
      </c>
      <c r="W281" s="153" t="str">
        <f t="array" ref="W281">INDEX(xlRTCLNAME,MATCH(1,(xlRTCLENDU=2)*(xlRTCLEQCL=$F281),0))</f>
        <v>CENT_AIR</v>
      </c>
      <c r="X281" s="153" t="str">
        <f t="array" ref="X281">INDEX(xlRTTYNAME,MATCH(1,(xlRTTYENDU=1)*(xlRTTYEQCL=$D281)*(xlRTEQTYPE=$E281),0))</f>
        <v>KERO_FA1</v>
      </c>
      <c r="Y281" s="153" t="str">
        <f t="array" ref="Y281">INDEX(xlRTTYNAME,MATCH(1,(xlRTTYENDU=2)*(xlRTTYEQCL=$F281)*(xlRTEQTYPE=$G281),0))</f>
        <v>CENT_AIR1</v>
      </c>
    </row>
    <row r="282" spans="2:25" x14ac:dyDescent="0.2">
      <c r="B282" s="129">
        <v>3</v>
      </c>
      <c r="C282" s="129">
        <v>1</v>
      </c>
      <c r="D282" s="129">
        <v>5</v>
      </c>
      <c r="E282" s="129">
        <v>14</v>
      </c>
      <c r="F282" s="129">
        <v>2</v>
      </c>
      <c r="G282" s="129">
        <v>6</v>
      </c>
      <c r="H282" s="129">
        <v>2023</v>
      </c>
      <c r="I282" s="129">
        <v>2050</v>
      </c>
      <c r="J282" s="130">
        <v>1.0842000000000001</v>
      </c>
      <c r="K282" s="130">
        <v>1.0577000000000001</v>
      </c>
      <c r="L282" s="130">
        <v>0.58050000000000002</v>
      </c>
      <c r="M282" s="130">
        <v>0.95530000000000004</v>
      </c>
      <c r="N282" s="130">
        <v>0.91220000000000001</v>
      </c>
      <c r="O282" s="130">
        <v>1.0538000000000001</v>
      </c>
      <c r="P282" s="129">
        <v>9659</v>
      </c>
      <c r="Q282" s="128">
        <f t="array" ref="Q282">SUM(IF(($S282&gt;=4)*($C282='TaxCred&amp;Subs'!$D$123:$D$127)*($H282='TaxCred&amp;Subs'!$C$123:$C$127)*($H282&lt;='TaxCred&amp;Subs'!$C$129),'TaxCred&amp;Subs'!$E$123:$E$127,0))</f>
        <v>0</v>
      </c>
      <c r="R282" s="174">
        <v>0</v>
      </c>
      <c r="S282" s="129">
        <v>2</v>
      </c>
      <c r="T282" s="129" t="s">
        <v>224</v>
      </c>
      <c r="U282" s="155" t="s">
        <v>235</v>
      </c>
      <c r="V282" s="153" t="str">
        <f t="array" ref="V282">INDEX(xlRTCLNAME,MATCH(1,(xlRTCLENDU=1)*(xlRTCLEQCL=$D282),0))</f>
        <v>KERO_FA</v>
      </c>
      <c r="W282" s="153" t="str">
        <f t="array" ref="W282">INDEX(xlRTCLNAME,MATCH(1,(xlRTCLENDU=2)*(xlRTCLEQCL=$F282),0))</f>
        <v>CENT_AIR</v>
      </c>
      <c r="X282" s="153" t="str">
        <f t="array" ref="X282">INDEX(xlRTTYNAME,MATCH(1,(xlRTTYENDU=1)*(xlRTTYEQCL=$D282)*(xlRTEQTYPE=$E282),0))</f>
        <v>KERO_FA1</v>
      </c>
      <c r="Y282" s="153" t="str">
        <f t="array" ref="Y282">INDEX(xlRTTYNAME,MATCH(1,(xlRTTYENDU=2)*(xlRTTYEQCL=$F282)*(xlRTEQTYPE=$G282),0))</f>
        <v>CENT_AIR2</v>
      </c>
    </row>
    <row r="283" spans="2:25" x14ac:dyDescent="0.2">
      <c r="B283" s="129">
        <v>4</v>
      </c>
      <c r="C283" s="129">
        <v>1</v>
      </c>
      <c r="D283" s="129">
        <v>5</v>
      </c>
      <c r="E283" s="129">
        <v>14</v>
      </c>
      <c r="F283" s="129">
        <v>2</v>
      </c>
      <c r="G283" s="129">
        <v>5</v>
      </c>
      <c r="H283" s="129">
        <v>2016</v>
      </c>
      <c r="I283" s="129">
        <v>2022</v>
      </c>
      <c r="J283" s="130">
        <v>1.0342</v>
      </c>
      <c r="K283" s="130">
        <v>1.0769</v>
      </c>
      <c r="L283" s="130">
        <v>0.5776</v>
      </c>
      <c r="M283" s="130">
        <v>0.90200000000000002</v>
      </c>
      <c r="N283" s="130">
        <v>0.85760000000000003</v>
      </c>
      <c r="O283" s="130">
        <v>1.0538000000000001</v>
      </c>
      <c r="P283" s="129">
        <v>7751</v>
      </c>
      <c r="Q283" s="128">
        <f t="array" ref="Q283">SUM(IF(($S283&gt;=4)*($C283='TaxCred&amp;Subs'!$D$123:$D$127)*($H283='TaxCred&amp;Subs'!$C$123:$C$127)*($H283&lt;='TaxCred&amp;Subs'!$C$129),'TaxCred&amp;Subs'!$E$123:$E$127,0))</f>
        <v>0</v>
      </c>
      <c r="R283" s="174">
        <v>0</v>
      </c>
      <c r="S283" s="129">
        <v>2</v>
      </c>
      <c r="T283" s="129" t="s">
        <v>224</v>
      </c>
      <c r="U283" s="155" t="s">
        <v>235</v>
      </c>
      <c r="V283" s="153" t="str">
        <f t="array" ref="V283">INDEX(xlRTCLNAME,MATCH(1,(xlRTCLENDU=1)*(xlRTCLEQCL=$D283),0))</f>
        <v>KERO_FA</v>
      </c>
      <c r="W283" s="153" t="str">
        <f t="array" ref="W283">INDEX(xlRTCLNAME,MATCH(1,(xlRTCLENDU=2)*(xlRTCLEQCL=$F283),0))</f>
        <v>CENT_AIR</v>
      </c>
      <c r="X283" s="153" t="str">
        <f t="array" ref="X283">INDEX(xlRTTYNAME,MATCH(1,(xlRTTYENDU=1)*(xlRTTYEQCL=$D283)*(xlRTEQTYPE=$E283),0))</f>
        <v>KERO_FA1</v>
      </c>
      <c r="Y283" s="153" t="str">
        <f t="array" ref="Y283">INDEX(xlRTTYNAME,MATCH(1,(xlRTTYENDU=2)*(xlRTTYEQCL=$F283)*(xlRTEQTYPE=$G283),0))</f>
        <v>CENT_AIR1</v>
      </c>
    </row>
    <row r="284" spans="2:25" x14ac:dyDescent="0.2">
      <c r="B284" s="129">
        <v>4</v>
      </c>
      <c r="C284" s="129">
        <v>1</v>
      </c>
      <c r="D284" s="129">
        <v>5</v>
      </c>
      <c r="E284" s="129">
        <v>14</v>
      </c>
      <c r="F284" s="129">
        <v>2</v>
      </c>
      <c r="G284" s="129">
        <v>6</v>
      </c>
      <c r="H284" s="129">
        <v>2023</v>
      </c>
      <c r="I284" s="129">
        <v>2050</v>
      </c>
      <c r="J284" s="130">
        <v>1.0342</v>
      </c>
      <c r="K284" s="130">
        <v>1.0769</v>
      </c>
      <c r="L284" s="130">
        <v>0.5776</v>
      </c>
      <c r="M284" s="130">
        <v>0.90200000000000002</v>
      </c>
      <c r="N284" s="130">
        <v>0.85760000000000003</v>
      </c>
      <c r="O284" s="130">
        <v>1.0538000000000001</v>
      </c>
      <c r="P284" s="129">
        <v>7751</v>
      </c>
      <c r="Q284" s="128">
        <f t="array" ref="Q284">SUM(IF(($S284&gt;=4)*($C284='TaxCred&amp;Subs'!$D$123:$D$127)*($H284='TaxCred&amp;Subs'!$C$123:$C$127)*($H284&lt;='TaxCred&amp;Subs'!$C$129),'TaxCred&amp;Subs'!$E$123:$E$127,0))</f>
        <v>0</v>
      </c>
      <c r="R284" s="174">
        <v>0</v>
      </c>
      <c r="S284" s="129">
        <v>2</v>
      </c>
      <c r="T284" s="129" t="s">
        <v>224</v>
      </c>
      <c r="U284" s="155" t="s">
        <v>235</v>
      </c>
      <c r="V284" s="153" t="str">
        <f t="array" ref="V284">INDEX(xlRTCLNAME,MATCH(1,(xlRTCLENDU=1)*(xlRTCLEQCL=$D284),0))</f>
        <v>KERO_FA</v>
      </c>
      <c r="W284" s="153" t="str">
        <f t="array" ref="W284">INDEX(xlRTCLNAME,MATCH(1,(xlRTCLENDU=2)*(xlRTCLEQCL=$F284),0))</f>
        <v>CENT_AIR</v>
      </c>
      <c r="X284" s="153" t="str">
        <f t="array" ref="X284">INDEX(xlRTTYNAME,MATCH(1,(xlRTTYENDU=1)*(xlRTTYEQCL=$D284)*(xlRTEQTYPE=$E284),0))</f>
        <v>KERO_FA1</v>
      </c>
      <c r="Y284" s="153" t="str">
        <f t="array" ref="Y284">INDEX(xlRTTYNAME,MATCH(1,(xlRTTYENDU=2)*(xlRTTYEQCL=$F284)*(xlRTEQTYPE=$G284),0))</f>
        <v>CENT_AIR2</v>
      </c>
    </row>
    <row r="285" spans="2:25" x14ac:dyDescent="0.2">
      <c r="B285" s="129">
        <v>5</v>
      </c>
      <c r="C285" s="129">
        <v>1</v>
      </c>
      <c r="D285" s="129">
        <v>5</v>
      </c>
      <c r="E285" s="129">
        <v>14</v>
      </c>
      <c r="F285" s="129">
        <v>2</v>
      </c>
      <c r="G285" s="129">
        <v>5</v>
      </c>
      <c r="H285" s="129">
        <v>2016</v>
      </c>
      <c r="I285" s="129">
        <v>2022</v>
      </c>
      <c r="J285" s="130">
        <v>1.0847</v>
      </c>
      <c r="K285" s="130">
        <v>1.056</v>
      </c>
      <c r="L285" s="130">
        <v>0.75639999999999996</v>
      </c>
      <c r="M285" s="130">
        <v>0.94750000000000001</v>
      </c>
      <c r="N285" s="130">
        <v>0.76280000000000003</v>
      </c>
      <c r="O285" s="130">
        <v>1.0538000000000001</v>
      </c>
      <c r="P285" s="129">
        <v>7228</v>
      </c>
      <c r="Q285" s="128">
        <f t="array" ref="Q285">SUM(IF(($S285&gt;=4)*($C285='TaxCred&amp;Subs'!$D$123:$D$127)*($H285='TaxCred&amp;Subs'!$C$123:$C$127)*($H285&lt;='TaxCred&amp;Subs'!$C$129),'TaxCred&amp;Subs'!$E$123:$E$127,0))</f>
        <v>0</v>
      </c>
      <c r="R285" s="174">
        <v>0</v>
      </c>
      <c r="S285" s="129">
        <v>2</v>
      </c>
      <c r="T285" s="129" t="s">
        <v>224</v>
      </c>
      <c r="U285" s="155" t="s">
        <v>235</v>
      </c>
      <c r="V285" s="153" t="str">
        <f t="array" ref="V285">INDEX(xlRTCLNAME,MATCH(1,(xlRTCLENDU=1)*(xlRTCLEQCL=$D285),0))</f>
        <v>KERO_FA</v>
      </c>
      <c r="W285" s="153" t="str">
        <f t="array" ref="W285">INDEX(xlRTCLNAME,MATCH(1,(xlRTCLENDU=2)*(xlRTCLEQCL=$F285),0))</f>
        <v>CENT_AIR</v>
      </c>
      <c r="X285" s="153" t="str">
        <f t="array" ref="X285">INDEX(xlRTTYNAME,MATCH(1,(xlRTTYENDU=1)*(xlRTTYEQCL=$D285)*(xlRTEQTYPE=$E285),0))</f>
        <v>KERO_FA1</v>
      </c>
      <c r="Y285" s="153" t="str">
        <f t="array" ref="Y285">INDEX(xlRTTYNAME,MATCH(1,(xlRTTYENDU=2)*(xlRTTYEQCL=$F285)*(xlRTEQTYPE=$G285),0))</f>
        <v>CENT_AIR1</v>
      </c>
    </row>
    <row r="286" spans="2:25" x14ac:dyDescent="0.2">
      <c r="B286" s="129">
        <v>5</v>
      </c>
      <c r="C286" s="129">
        <v>1</v>
      </c>
      <c r="D286" s="129">
        <v>5</v>
      </c>
      <c r="E286" s="129">
        <v>14</v>
      </c>
      <c r="F286" s="129">
        <v>2</v>
      </c>
      <c r="G286" s="129">
        <v>6</v>
      </c>
      <c r="H286" s="129">
        <v>2023</v>
      </c>
      <c r="I286" s="129">
        <v>2050</v>
      </c>
      <c r="J286" s="130">
        <v>1.0847</v>
      </c>
      <c r="K286" s="130">
        <v>1.056</v>
      </c>
      <c r="L286" s="130">
        <v>0.75639999999999996</v>
      </c>
      <c r="M286" s="130">
        <v>0.94750000000000001</v>
      </c>
      <c r="N286" s="130">
        <v>0.76280000000000003</v>
      </c>
      <c r="O286" s="130">
        <v>1.0538000000000001</v>
      </c>
      <c r="P286" s="129">
        <v>7228</v>
      </c>
      <c r="Q286" s="128">
        <f t="array" ref="Q286">SUM(IF(($S286&gt;=4)*($C286='TaxCred&amp;Subs'!$D$123:$D$127)*($H286='TaxCred&amp;Subs'!$C$123:$C$127)*($H286&lt;='TaxCred&amp;Subs'!$C$129),'TaxCred&amp;Subs'!$E$123:$E$127,0))</f>
        <v>0</v>
      </c>
      <c r="R286" s="174">
        <v>0</v>
      </c>
      <c r="S286" s="129">
        <v>2</v>
      </c>
      <c r="T286" s="129" t="s">
        <v>224</v>
      </c>
      <c r="U286" s="155" t="s">
        <v>235</v>
      </c>
      <c r="V286" s="153" t="str">
        <f t="array" ref="V286">INDEX(xlRTCLNAME,MATCH(1,(xlRTCLENDU=1)*(xlRTCLEQCL=$D286),0))</f>
        <v>KERO_FA</v>
      </c>
      <c r="W286" s="153" t="str">
        <f t="array" ref="W286">INDEX(xlRTCLNAME,MATCH(1,(xlRTCLENDU=2)*(xlRTCLEQCL=$F286),0))</f>
        <v>CENT_AIR</v>
      </c>
      <c r="X286" s="153" t="str">
        <f t="array" ref="X286">INDEX(xlRTTYNAME,MATCH(1,(xlRTTYENDU=1)*(xlRTTYEQCL=$D286)*(xlRTEQTYPE=$E286),0))</f>
        <v>KERO_FA1</v>
      </c>
      <c r="Y286" s="153" t="str">
        <f t="array" ref="Y286">INDEX(xlRTTYNAME,MATCH(1,(xlRTTYENDU=2)*(xlRTTYEQCL=$F286)*(xlRTEQTYPE=$G286),0))</f>
        <v>CENT_AIR2</v>
      </c>
    </row>
    <row r="287" spans="2:25" x14ac:dyDescent="0.2">
      <c r="B287" s="129">
        <v>6</v>
      </c>
      <c r="C287" s="129">
        <v>1</v>
      </c>
      <c r="D287" s="129">
        <v>5</v>
      </c>
      <c r="E287" s="129">
        <v>14</v>
      </c>
      <c r="F287" s="129">
        <v>2</v>
      </c>
      <c r="G287" s="129">
        <v>5</v>
      </c>
      <c r="H287" s="129">
        <v>2016</v>
      </c>
      <c r="I287" s="129">
        <v>2022</v>
      </c>
      <c r="J287" s="130">
        <v>1.0907</v>
      </c>
      <c r="K287" s="130">
        <v>1.0603</v>
      </c>
      <c r="L287" s="130">
        <v>0.88580000000000003</v>
      </c>
      <c r="M287" s="130">
        <v>0.93910000000000005</v>
      </c>
      <c r="N287" s="130">
        <v>0.89139999999999997</v>
      </c>
      <c r="O287" s="130">
        <v>1.0538000000000001</v>
      </c>
      <c r="P287" s="129">
        <v>6681</v>
      </c>
      <c r="Q287" s="128">
        <f t="array" ref="Q287">SUM(IF(($S287&gt;=4)*($C287='TaxCred&amp;Subs'!$D$123:$D$127)*($H287='TaxCred&amp;Subs'!$C$123:$C$127)*($H287&lt;='TaxCred&amp;Subs'!$C$129),'TaxCred&amp;Subs'!$E$123:$E$127,0))</f>
        <v>0</v>
      </c>
      <c r="R287" s="174">
        <v>0</v>
      </c>
      <c r="S287" s="129">
        <v>2</v>
      </c>
      <c r="T287" s="129" t="s">
        <v>224</v>
      </c>
      <c r="U287" s="155" t="s">
        <v>235</v>
      </c>
      <c r="V287" s="153" t="str">
        <f t="array" ref="V287">INDEX(xlRTCLNAME,MATCH(1,(xlRTCLENDU=1)*(xlRTCLEQCL=$D287),0))</f>
        <v>KERO_FA</v>
      </c>
      <c r="W287" s="153" t="str">
        <f t="array" ref="W287">INDEX(xlRTCLNAME,MATCH(1,(xlRTCLENDU=2)*(xlRTCLEQCL=$F287),0))</f>
        <v>CENT_AIR</v>
      </c>
      <c r="X287" s="153" t="str">
        <f t="array" ref="X287">INDEX(xlRTTYNAME,MATCH(1,(xlRTTYENDU=1)*(xlRTTYEQCL=$D287)*(xlRTEQTYPE=$E287),0))</f>
        <v>KERO_FA1</v>
      </c>
      <c r="Y287" s="153" t="str">
        <f t="array" ref="Y287">INDEX(xlRTTYNAME,MATCH(1,(xlRTTYENDU=2)*(xlRTTYEQCL=$F287)*(xlRTEQTYPE=$G287),0))</f>
        <v>CENT_AIR1</v>
      </c>
    </row>
    <row r="288" spans="2:25" x14ac:dyDescent="0.2">
      <c r="B288" s="129">
        <v>6</v>
      </c>
      <c r="C288" s="129">
        <v>1</v>
      </c>
      <c r="D288" s="129">
        <v>5</v>
      </c>
      <c r="E288" s="129">
        <v>14</v>
      </c>
      <c r="F288" s="129">
        <v>2</v>
      </c>
      <c r="G288" s="129">
        <v>6</v>
      </c>
      <c r="H288" s="129">
        <v>2023</v>
      </c>
      <c r="I288" s="129">
        <v>2050</v>
      </c>
      <c r="J288" s="130">
        <v>1.0907</v>
      </c>
      <c r="K288" s="130">
        <v>1.0603</v>
      </c>
      <c r="L288" s="130">
        <v>0.88580000000000003</v>
      </c>
      <c r="M288" s="130">
        <v>0.93910000000000005</v>
      </c>
      <c r="N288" s="130">
        <v>0.89139999999999997</v>
      </c>
      <c r="O288" s="130">
        <v>1.0538000000000001</v>
      </c>
      <c r="P288" s="129">
        <v>6681</v>
      </c>
      <c r="Q288" s="128">
        <f t="array" ref="Q288">SUM(IF(($S288&gt;=4)*($C288='TaxCred&amp;Subs'!$D$123:$D$127)*($H288='TaxCred&amp;Subs'!$C$123:$C$127)*($H288&lt;='TaxCred&amp;Subs'!$C$129),'TaxCred&amp;Subs'!$E$123:$E$127,0))</f>
        <v>0</v>
      </c>
      <c r="R288" s="174">
        <v>0</v>
      </c>
      <c r="S288" s="129">
        <v>2</v>
      </c>
      <c r="T288" s="129" t="s">
        <v>224</v>
      </c>
      <c r="U288" s="155" t="s">
        <v>235</v>
      </c>
      <c r="V288" s="153" t="str">
        <f t="array" ref="V288">INDEX(xlRTCLNAME,MATCH(1,(xlRTCLENDU=1)*(xlRTCLEQCL=$D288),0))</f>
        <v>KERO_FA</v>
      </c>
      <c r="W288" s="153" t="str">
        <f t="array" ref="W288">INDEX(xlRTCLNAME,MATCH(1,(xlRTCLENDU=2)*(xlRTCLEQCL=$F288),0))</f>
        <v>CENT_AIR</v>
      </c>
      <c r="X288" s="153" t="str">
        <f t="array" ref="X288">INDEX(xlRTTYNAME,MATCH(1,(xlRTTYENDU=1)*(xlRTTYEQCL=$D288)*(xlRTEQTYPE=$E288),0))</f>
        <v>KERO_FA1</v>
      </c>
      <c r="Y288" s="153" t="str">
        <f t="array" ref="Y288">INDEX(xlRTTYNAME,MATCH(1,(xlRTTYENDU=2)*(xlRTTYEQCL=$F288)*(xlRTEQTYPE=$G288),0))</f>
        <v>CENT_AIR2</v>
      </c>
    </row>
    <row r="289" spans="2:25" x14ac:dyDescent="0.2">
      <c r="B289" s="129">
        <v>7</v>
      </c>
      <c r="C289" s="129">
        <v>1</v>
      </c>
      <c r="D289" s="129">
        <v>5</v>
      </c>
      <c r="E289" s="129">
        <v>14</v>
      </c>
      <c r="F289" s="129">
        <v>2</v>
      </c>
      <c r="G289" s="129">
        <v>5</v>
      </c>
      <c r="H289" s="129">
        <v>2016</v>
      </c>
      <c r="I289" s="129">
        <v>2022</v>
      </c>
      <c r="J289" s="130">
        <v>1.0885</v>
      </c>
      <c r="K289" s="130">
        <v>1.0575000000000001</v>
      </c>
      <c r="L289" s="130">
        <v>0.89910000000000001</v>
      </c>
      <c r="M289" s="130">
        <v>0.86550000000000005</v>
      </c>
      <c r="N289" s="130">
        <v>0.872</v>
      </c>
      <c r="O289" s="130">
        <v>1.0538000000000001</v>
      </c>
      <c r="P289" s="129">
        <v>6258</v>
      </c>
      <c r="Q289" s="128">
        <f t="array" ref="Q289">SUM(IF(($S289&gt;=4)*($C289='TaxCred&amp;Subs'!$D$123:$D$127)*($H289='TaxCred&amp;Subs'!$C$123:$C$127)*($H289&lt;='TaxCred&amp;Subs'!$C$129),'TaxCred&amp;Subs'!$E$123:$E$127,0))</f>
        <v>0</v>
      </c>
      <c r="R289" s="174">
        <v>0</v>
      </c>
      <c r="S289" s="129">
        <v>2</v>
      </c>
      <c r="T289" s="129" t="s">
        <v>224</v>
      </c>
      <c r="U289" s="155" t="s">
        <v>235</v>
      </c>
      <c r="V289" s="153" t="str">
        <f t="array" ref="V289">INDEX(xlRTCLNAME,MATCH(1,(xlRTCLENDU=1)*(xlRTCLEQCL=$D289),0))</f>
        <v>KERO_FA</v>
      </c>
      <c r="W289" s="153" t="str">
        <f t="array" ref="W289">INDEX(xlRTCLNAME,MATCH(1,(xlRTCLENDU=2)*(xlRTCLEQCL=$F289),0))</f>
        <v>CENT_AIR</v>
      </c>
      <c r="X289" s="153" t="str">
        <f t="array" ref="X289">INDEX(xlRTTYNAME,MATCH(1,(xlRTTYENDU=1)*(xlRTTYEQCL=$D289)*(xlRTEQTYPE=$E289),0))</f>
        <v>KERO_FA1</v>
      </c>
      <c r="Y289" s="153" t="str">
        <f t="array" ref="Y289">INDEX(xlRTTYNAME,MATCH(1,(xlRTTYENDU=2)*(xlRTTYEQCL=$F289)*(xlRTEQTYPE=$G289),0))</f>
        <v>CENT_AIR1</v>
      </c>
    </row>
    <row r="290" spans="2:25" x14ac:dyDescent="0.2">
      <c r="B290" s="129">
        <v>7</v>
      </c>
      <c r="C290" s="129">
        <v>1</v>
      </c>
      <c r="D290" s="129">
        <v>5</v>
      </c>
      <c r="E290" s="129">
        <v>14</v>
      </c>
      <c r="F290" s="129">
        <v>2</v>
      </c>
      <c r="G290" s="129">
        <v>6</v>
      </c>
      <c r="H290" s="129">
        <v>2023</v>
      </c>
      <c r="I290" s="129">
        <v>2050</v>
      </c>
      <c r="J290" s="130">
        <v>1.0885</v>
      </c>
      <c r="K290" s="130">
        <v>1.0575000000000001</v>
      </c>
      <c r="L290" s="130">
        <v>0.89910000000000001</v>
      </c>
      <c r="M290" s="130">
        <v>0.86550000000000005</v>
      </c>
      <c r="N290" s="130">
        <v>0.872</v>
      </c>
      <c r="O290" s="130">
        <v>1.0538000000000001</v>
      </c>
      <c r="P290" s="129">
        <v>6258</v>
      </c>
      <c r="Q290" s="128">
        <f t="array" ref="Q290">SUM(IF(($S290&gt;=4)*($C290='TaxCred&amp;Subs'!$D$123:$D$127)*($H290='TaxCred&amp;Subs'!$C$123:$C$127)*($H290&lt;='TaxCred&amp;Subs'!$C$129),'TaxCred&amp;Subs'!$E$123:$E$127,0))</f>
        <v>0</v>
      </c>
      <c r="R290" s="174">
        <v>0</v>
      </c>
      <c r="S290" s="129">
        <v>2</v>
      </c>
      <c r="T290" s="129" t="s">
        <v>224</v>
      </c>
      <c r="U290" s="155" t="s">
        <v>235</v>
      </c>
      <c r="V290" s="153" t="str">
        <f t="array" ref="V290">INDEX(xlRTCLNAME,MATCH(1,(xlRTCLENDU=1)*(xlRTCLEQCL=$D290),0))</f>
        <v>KERO_FA</v>
      </c>
      <c r="W290" s="153" t="str">
        <f t="array" ref="W290">INDEX(xlRTCLNAME,MATCH(1,(xlRTCLENDU=2)*(xlRTCLEQCL=$F290),0))</f>
        <v>CENT_AIR</v>
      </c>
      <c r="X290" s="153" t="str">
        <f t="array" ref="X290">INDEX(xlRTTYNAME,MATCH(1,(xlRTTYENDU=1)*(xlRTTYEQCL=$D290)*(xlRTEQTYPE=$E290),0))</f>
        <v>KERO_FA1</v>
      </c>
      <c r="Y290" s="153" t="str">
        <f t="array" ref="Y290">INDEX(xlRTTYNAME,MATCH(1,(xlRTTYENDU=2)*(xlRTTYEQCL=$F290)*(xlRTEQTYPE=$G290),0))</f>
        <v>CENT_AIR2</v>
      </c>
    </row>
    <row r="291" spans="2:25" x14ac:dyDescent="0.2">
      <c r="B291" s="129">
        <v>8</v>
      </c>
      <c r="C291" s="129">
        <v>1</v>
      </c>
      <c r="D291" s="129">
        <v>5</v>
      </c>
      <c r="E291" s="129">
        <v>14</v>
      </c>
      <c r="F291" s="129">
        <v>2</v>
      </c>
      <c r="G291" s="129">
        <v>5</v>
      </c>
      <c r="H291" s="129">
        <v>2016</v>
      </c>
      <c r="I291" s="129">
        <v>2022</v>
      </c>
      <c r="J291" s="130">
        <v>1.0838000000000001</v>
      </c>
      <c r="K291" s="130">
        <v>1.0832999999999999</v>
      </c>
      <c r="L291" s="130">
        <v>0.5948</v>
      </c>
      <c r="M291" s="130">
        <v>0.91349999999999998</v>
      </c>
      <c r="N291" s="130">
        <v>0.86950000000000005</v>
      </c>
      <c r="O291" s="130">
        <v>1.0538000000000001</v>
      </c>
      <c r="P291" s="129">
        <v>9530</v>
      </c>
      <c r="Q291" s="128">
        <f t="array" ref="Q291">SUM(IF(($S291&gt;=4)*($C291='TaxCred&amp;Subs'!$D$123:$D$127)*($H291='TaxCred&amp;Subs'!$C$123:$C$127)*($H291&lt;='TaxCred&amp;Subs'!$C$129),'TaxCred&amp;Subs'!$E$123:$E$127,0))</f>
        <v>0</v>
      </c>
      <c r="R291" s="174">
        <v>0</v>
      </c>
      <c r="S291" s="129">
        <v>2</v>
      </c>
      <c r="T291" s="129" t="s">
        <v>224</v>
      </c>
      <c r="U291" s="155" t="s">
        <v>235</v>
      </c>
      <c r="V291" s="153" t="str">
        <f t="array" ref="V291">INDEX(xlRTCLNAME,MATCH(1,(xlRTCLENDU=1)*(xlRTCLEQCL=$D291),0))</f>
        <v>KERO_FA</v>
      </c>
      <c r="W291" s="153" t="str">
        <f t="array" ref="W291">INDEX(xlRTCLNAME,MATCH(1,(xlRTCLENDU=2)*(xlRTCLEQCL=$F291),0))</f>
        <v>CENT_AIR</v>
      </c>
      <c r="X291" s="153" t="str">
        <f t="array" ref="X291">INDEX(xlRTTYNAME,MATCH(1,(xlRTTYENDU=1)*(xlRTTYEQCL=$D291)*(xlRTEQTYPE=$E291),0))</f>
        <v>KERO_FA1</v>
      </c>
      <c r="Y291" s="153" t="str">
        <f t="array" ref="Y291">INDEX(xlRTTYNAME,MATCH(1,(xlRTTYENDU=2)*(xlRTTYEQCL=$F291)*(xlRTEQTYPE=$G291),0))</f>
        <v>CENT_AIR1</v>
      </c>
    </row>
    <row r="292" spans="2:25" x14ac:dyDescent="0.2">
      <c r="B292" s="129">
        <v>8</v>
      </c>
      <c r="C292" s="129">
        <v>1</v>
      </c>
      <c r="D292" s="129">
        <v>5</v>
      </c>
      <c r="E292" s="129">
        <v>14</v>
      </c>
      <c r="F292" s="129">
        <v>2</v>
      </c>
      <c r="G292" s="129">
        <v>6</v>
      </c>
      <c r="H292" s="129">
        <v>2023</v>
      </c>
      <c r="I292" s="129">
        <v>2050</v>
      </c>
      <c r="J292" s="130">
        <v>1.0838000000000001</v>
      </c>
      <c r="K292" s="130">
        <v>1.0832999999999999</v>
      </c>
      <c r="L292" s="130">
        <v>0.5948</v>
      </c>
      <c r="M292" s="130">
        <v>0.91349999999999998</v>
      </c>
      <c r="N292" s="130">
        <v>0.86950000000000005</v>
      </c>
      <c r="O292" s="130">
        <v>1.0538000000000001</v>
      </c>
      <c r="P292" s="129">
        <v>9530</v>
      </c>
      <c r="Q292" s="128">
        <f t="array" ref="Q292">SUM(IF(($S292&gt;=4)*($C292='TaxCred&amp;Subs'!$D$123:$D$127)*($H292='TaxCred&amp;Subs'!$C$123:$C$127)*($H292&lt;='TaxCred&amp;Subs'!$C$129),'TaxCred&amp;Subs'!$E$123:$E$127,0))</f>
        <v>0</v>
      </c>
      <c r="R292" s="174">
        <v>0</v>
      </c>
      <c r="S292" s="129">
        <v>2</v>
      </c>
      <c r="T292" s="129" t="s">
        <v>224</v>
      </c>
      <c r="U292" s="155" t="s">
        <v>235</v>
      </c>
      <c r="V292" s="153" t="str">
        <f t="array" ref="V292">INDEX(xlRTCLNAME,MATCH(1,(xlRTCLENDU=1)*(xlRTCLEQCL=$D292),0))</f>
        <v>KERO_FA</v>
      </c>
      <c r="W292" s="153" t="str">
        <f t="array" ref="W292">INDEX(xlRTCLNAME,MATCH(1,(xlRTCLENDU=2)*(xlRTCLEQCL=$F292),0))</f>
        <v>CENT_AIR</v>
      </c>
      <c r="X292" s="153" t="str">
        <f t="array" ref="X292">INDEX(xlRTTYNAME,MATCH(1,(xlRTTYENDU=1)*(xlRTTYEQCL=$D292)*(xlRTEQTYPE=$E292),0))</f>
        <v>KERO_FA1</v>
      </c>
      <c r="Y292" s="153" t="str">
        <f t="array" ref="Y292">INDEX(xlRTTYNAME,MATCH(1,(xlRTTYENDU=2)*(xlRTTYEQCL=$F292)*(xlRTEQTYPE=$G292),0))</f>
        <v>CENT_AIR2</v>
      </c>
    </row>
    <row r="293" spans="2:25" x14ac:dyDescent="0.2">
      <c r="B293" s="129">
        <v>9</v>
      </c>
      <c r="C293" s="129">
        <v>1</v>
      </c>
      <c r="D293" s="129">
        <v>5</v>
      </c>
      <c r="E293" s="129">
        <v>14</v>
      </c>
      <c r="F293" s="129">
        <v>2</v>
      </c>
      <c r="G293" s="129">
        <v>5</v>
      </c>
      <c r="H293" s="129">
        <v>2016</v>
      </c>
      <c r="I293" s="129">
        <v>2022</v>
      </c>
      <c r="J293" s="130">
        <v>1.0790999999999999</v>
      </c>
      <c r="K293" s="130">
        <v>1.0722</v>
      </c>
      <c r="L293" s="130">
        <v>0.95489999999999997</v>
      </c>
      <c r="M293" s="130">
        <v>0.93600000000000005</v>
      </c>
      <c r="N293" s="130">
        <v>1.0336000000000001</v>
      </c>
      <c r="O293" s="130">
        <v>1.0538000000000001</v>
      </c>
      <c r="P293" s="129">
        <v>10154</v>
      </c>
      <c r="Q293" s="128">
        <f t="array" ref="Q293">SUM(IF(($S293&gt;=4)*($C293='TaxCred&amp;Subs'!$D$123:$D$127)*($H293='TaxCred&amp;Subs'!$C$123:$C$127)*($H293&lt;='TaxCred&amp;Subs'!$C$129),'TaxCred&amp;Subs'!$E$123:$E$127,0))</f>
        <v>0</v>
      </c>
      <c r="R293" s="174">
        <v>0</v>
      </c>
      <c r="S293" s="129">
        <v>2</v>
      </c>
      <c r="T293" s="129" t="s">
        <v>224</v>
      </c>
      <c r="U293" s="155" t="s">
        <v>235</v>
      </c>
      <c r="V293" s="153" t="str">
        <f t="array" ref="V293">INDEX(xlRTCLNAME,MATCH(1,(xlRTCLENDU=1)*(xlRTCLEQCL=$D293),0))</f>
        <v>KERO_FA</v>
      </c>
      <c r="W293" s="153" t="str">
        <f t="array" ref="W293">INDEX(xlRTCLNAME,MATCH(1,(xlRTCLENDU=2)*(xlRTCLEQCL=$F293),0))</f>
        <v>CENT_AIR</v>
      </c>
      <c r="X293" s="153" t="str">
        <f t="array" ref="X293">INDEX(xlRTTYNAME,MATCH(1,(xlRTTYENDU=1)*(xlRTTYEQCL=$D293)*(xlRTEQTYPE=$E293),0))</f>
        <v>KERO_FA1</v>
      </c>
      <c r="Y293" s="153" t="str">
        <f t="array" ref="Y293">INDEX(xlRTTYNAME,MATCH(1,(xlRTTYENDU=2)*(xlRTTYEQCL=$F293)*(xlRTEQTYPE=$G293),0))</f>
        <v>CENT_AIR1</v>
      </c>
    </row>
    <row r="294" spans="2:25" x14ac:dyDescent="0.2">
      <c r="B294" s="129">
        <v>9</v>
      </c>
      <c r="C294" s="129">
        <v>1</v>
      </c>
      <c r="D294" s="129">
        <v>5</v>
      </c>
      <c r="E294" s="129">
        <v>14</v>
      </c>
      <c r="F294" s="129">
        <v>2</v>
      </c>
      <c r="G294" s="129">
        <v>6</v>
      </c>
      <c r="H294" s="129">
        <v>2023</v>
      </c>
      <c r="I294" s="129">
        <v>2050</v>
      </c>
      <c r="J294" s="130">
        <v>1.0790999999999999</v>
      </c>
      <c r="K294" s="130">
        <v>1.0722</v>
      </c>
      <c r="L294" s="130">
        <v>0.95489999999999997</v>
      </c>
      <c r="M294" s="130">
        <v>0.93600000000000005</v>
      </c>
      <c r="N294" s="130">
        <v>1.0336000000000001</v>
      </c>
      <c r="O294" s="130">
        <v>1.0538000000000001</v>
      </c>
      <c r="P294" s="129">
        <v>10154</v>
      </c>
      <c r="Q294" s="128">
        <f t="array" ref="Q294">SUM(IF(($S294&gt;=4)*($C294='TaxCred&amp;Subs'!$D$123:$D$127)*($H294='TaxCred&amp;Subs'!$C$123:$C$127)*($H294&lt;='TaxCred&amp;Subs'!$C$129),'TaxCred&amp;Subs'!$E$123:$E$127,0))</f>
        <v>0</v>
      </c>
      <c r="R294" s="174">
        <v>0</v>
      </c>
      <c r="S294" s="129">
        <v>2</v>
      </c>
      <c r="T294" s="129" t="s">
        <v>224</v>
      </c>
      <c r="U294" s="155" t="s">
        <v>235</v>
      </c>
      <c r="V294" s="153" t="str">
        <f t="array" ref="V294">INDEX(xlRTCLNAME,MATCH(1,(xlRTCLENDU=1)*(xlRTCLEQCL=$D294),0))</f>
        <v>KERO_FA</v>
      </c>
      <c r="W294" s="153" t="str">
        <f t="array" ref="W294">INDEX(xlRTCLNAME,MATCH(1,(xlRTCLENDU=2)*(xlRTCLEQCL=$F294),0))</f>
        <v>CENT_AIR</v>
      </c>
      <c r="X294" s="153" t="str">
        <f t="array" ref="X294">INDEX(xlRTTYNAME,MATCH(1,(xlRTTYENDU=1)*(xlRTTYEQCL=$D294)*(xlRTEQTYPE=$E294),0))</f>
        <v>KERO_FA1</v>
      </c>
      <c r="Y294" s="153" t="str">
        <f t="array" ref="Y294">INDEX(xlRTTYNAME,MATCH(1,(xlRTTYENDU=2)*(xlRTTYEQCL=$F294)*(xlRTEQTYPE=$G294),0))</f>
        <v>CENT_AIR2</v>
      </c>
    </row>
    <row r="295" spans="2:25" x14ac:dyDescent="0.2">
      <c r="B295" s="126">
        <v>1</v>
      </c>
      <c r="C295" s="126">
        <v>1</v>
      </c>
      <c r="D295" s="126">
        <v>6</v>
      </c>
      <c r="E295" s="126">
        <v>18</v>
      </c>
      <c r="F295" s="126">
        <v>2</v>
      </c>
      <c r="G295" s="126">
        <v>5</v>
      </c>
      <c r="H295" s="126">
        <v>2016</v>
      </c>
      <c r="I295" s="126">
        <v>2022</v>
      </c>
      <c r="J295" s="127">
        <v>1.0803</v>
      </c>
      <c r="K295" s="127">
        <v>1.0667</v>
      </c>
      <c r="L295" s="127">
        <v>0.59240000000000004</v>
      </c>
      <c r="M295" s="127">
        <v>1.0176000000000001</v>
      </c>
      <c r="N295" s="127">
        <v>0.79790000000000005</v>
      </c>
      <c r="O295" s="127">
        <v>1.0538000000000001</v>
      </c>
      <c r="P295" s="126">
        <v>10708</v>
      </c>
      <c r="Q295" s="128">
        <f t="array" ref="Q295">SUM(IF(($S295&gt;=4)*($C295='TaxCred&amp;Subs'!$D$123:$D$127)*($H295='TaxCred&amp;Subs'!$C$123:$C$127)*($H295&lt;='TaxCred&amp;Subs'!$C$129),'TaxCred&amp;Subs'!$E$123:$E$127,0))</f>
        <v>0</v>
      </c>
      <c r="R295" s="174">
        <v>0</v>
      </c>
      <c r="S295" s="126">
        <v>2</v>
      </c>
      <c r="T295" s="126" t="s">
        <v>224</v>
      </c>
      <c r="U295" s="158"/>
      <c r="V295" s="153" t="str">
        <f t="array" ref="V295">INDEX(xlRTCLNAME,MATCH(1,(xlRTCLENDU=1)*(xlRTCLEQCL=$D295),0))</f>
        <v>LPG_FA</v>
      </c>
      <c r="W295" s="153" t="str">
        <f t="array" ref="W295">INDEX(xlRTCLNAME,MATCH(1,(xlRTCLENDU=2)*(xlRTCLEQCL=$F295),0))</f>
        <v>CENT_AIR</v>
      </c>
      <c r="X295" s="153" t="str">
        <f t="array" ref="X295">INDEX(xlRTTYNAME,MATCH(1,(xlRTTYENDU=1)*(xlRTTYEQCL=$D295)*(xlRTEQTYPE=$E295),0))</f>
        <v>LPG_FA1</v>
      </c>
      <c r="Y295" s="153" t="str">
        <f t="array" ref="Y295">INDEX(xlRTTYNAME,MATCH(1,(xlRTTYENDU=2)*(xlRTTYEQCL=$F295)*(xlRTEQTYPE=$G295),0))</f>
        <v>CENT_AIR1</v>
      </c>
    </row>
    <row r="296" spans="2:25" x14ac:dyDescent="0.2">
      <c r="B296" s="126">
        <v>1</v>
      </c>
      <c r="C296" s="126">
        <v>1</v>
      </c>
      <c r="D296" s="126">
        <v>6</v>
      </c>
      <c r="E296" s="126">
        <v>18</v>
      </c>
      <c r="F296" s="126">
        <v>2</v>
      </c>
      <c r="G296" s="126">
        <v>6</v>
      </c>
      <c r="H296" s="126">
        <v>2023</v>
      </c>
      <c r="I296" s="126">
        <v>2050</v>
      </c>
      <c r="J296" s="127">
        <v>1.0803</v>
      </c>
      <c r="K296" s="127">
        <v>1.0667</v>
      </c>
      <c r="L296" s="127">
        <v>0.59240000000000004</v>
      </c>
      <c r="M296" s="127">
        <v>1.0176000000000001</v>
      </c>
      <c r="N296" s="127">
        <v>0.79790000000000005</v>
      </c>
      <c r="O296" s="127">
        <v>1.0538000000000001</v>
      </c>
      <c r="P296" s="126">
        <v>10708</v>
      </c>
      <c r="Q296" s="128">
        <f t="array" ref="Q296">SUM(IF(($S296&gt;=4)*($C296='TaxCred&amp;Subs'!$D$123:$D$127)*($H296='TaxCred&amp;Subs'!$C$123:$C$127)*($H296&lt;='TaxCred&amp;Subs'!$C$129),'TaxCred&amp;Subs'!$E$123:$E$127,0))</f>
        <v>0</v>
      </c>
      <c r="R296" s="174">
        <v>0</v>
      </c>
      <c r="S296" s="126">
        <v>2</v>
      </c>
      <c r="T296" s="126" t="s">
        <v>224</v>
      </c>
      <c r="U296" s="158"/>
      <c r="V296" s="153" t="str">
        <f t="array" ref="V296">INDEX(xlRTCLNAME,MATCH(1,(xlRTCLENDU=1)*(xlRTCLEQCL=$D296),0))</f>
        <v>LPG_FA</v>
      </c>
      <c r="W296" s="153" t="str">
        <f t="array" ref="W296">INDEX(xlRTCLNAME,MATCH(1,(xlRTCLENDU=2)*(xlRTCLEQCL=$F296),0))</f>
        <v>CENT_AIR</v>
      </c>
      <c r="X296" s="153" t="str">
        <f t="array" ref="X296">INDEX(xlRTTYNAME,MATCH(1,(xlRTTYENDU=1)*(xlRTTYEQCL=$D296)*(xlRTEQTYPE=$E296),0))</f>
        <v>LPG_FA1</v>
      </c>
      <c r="Y296" s="153" t="str">
        <f t="array" ref="Y296">INDEX(xlRTTYNAME,MATCH(1,(xlRTTYENDU=2)*(xlRTTYEQCL=$F296)*(xlRTEQTYPE=$G296),0))</f>
        <v>CENT_AIR2</v>
      </c>
    </row>
    <row r="297" spans="2:25" x14ac:dyDescent="0.2">
      <c r="B297" s="126">
        <v>2</v>
      </c>
      <c r="C297" s="126">
        <v>1</v>
      </c>
      <c r="D297" s="126">
        <v>6</v>
      </c>
      <c r="E297" s="126">
        <v>18</v>
      </c>
      <c r="F297" s="126">
        <v>2</v>
      </c>
      <c r="G297" s="126">
        <v>5</v>
      </c>
      <c r="H297" s="126">
        <v>2016</v>
      </c>
      <c r="I297" s="126">
        <v>2022</v>
      </c>
      <c r="J297" s="127">
        <v>1.0649</v>
      </c>
      <c r="K297" s="127">
        <v>1.0597000000000001</v>
      </c>
      <c r="L297" s="127">
        <v>0.70389999999999997</v>
      </c>
      <c r="M297" s="127">
        <v>0.88419999999999999</v>
      </c>
      <c r="N297" s="127">
        <v>0.93169999999999997</v>
      </c>
      <c r="O297" s="127">
        <v>1.0538000000000001</v>
      </c>
      <c r="P297" s="126">
        <v>10601</v>
      </c>
      <c r="Q297" s="128">
        <f t="array" ref="Q297">SUM(IF(($S297&gt;=4)*($C297='TaxCred&amp;Subs'!$D$123:$D$127)*($H297='TaxCred&amp;Subs'!$C$123:$C$127)*($H297&lt;='TaxCred&amp;Subs'!$C$129),'TaxCred&amp;Subs'!$E$123:$E$127,0))</f>
        <v>0</v>
      </c>
      <c r="R297" s="174">
        <v>0</v>
      </c>
      <c r="S297" s="126">
        <v>2</v>
      </c>
      <c r="T297" s="126" t="s">
        <v>224</v>
      </c>
      <c r="U297" s="158"/>
      <c r="V297" s="153" t="str">
        <f t="array" ref="V297">INDEX(xlRTCLNAME,MATCH(1,(xlRTCLENDU=1)*(xlRTCLEQCL=$D297),0))</f>
        <v>LPG_FA</v>
      </c>
      <c r="W297" s="153" t="str">
        <f t="array" ref="W297">INDEX(xlRTCLNAME,MATCH(1,(xlRTCLENDU=2)*(xlRTCLEQCL=$F297),0))</f>
        <v>CENT_AIR</v>
      </c>
      <c r="X297" s="153" t="str">
        <f t="array" ref="X297">INDEX(xlRTTYNAME,MATCH(1,(xlRTTYENDU=1)*(xlRTTYEQCL=$D297)*(xlRTEQTYPE=$E297),0))</f>
        <v>LPG_FA1</v>
      </c>
      <c r="Y297" s="153" t="str">
        <f t="array" ref="Y297">INDEX(xlRTTYNAME,MATCH(1,(xlRTTYENDU=2)*(xlRTTYEQCL=$F297)*(xlRTEQTYPE=$G297),0))</f>
        <v>CENT_AIR1</v>
      </c>
    </row>
    <row r="298" spans="2:25" x14ac:dyDescent="0.2">
      <c r="B298" s="126">
        <v>2</v>
      </c>
      <c r="C298" s="126">
        <v>1</v>
      </c>
      <c r="D298" s="126">
        <v>6</v>
      </c>
      <c r="E298" s="126">
        <v>18</v>
      </c>
      <c r="F298" s="126">
        <v>2</v>
      </c>
      <c r="G298" s="126">
        <v>6</v>
      </c>
      <c r="H298" s="126">
        <v>2023</v>
      </c>
      <c r="I298" s="126">
        <v>2050</v>
      </c>
      <c r="J298" s="127">
        <v>1.0649</v>
      </c>
      <c r="K298" s="127">
        <v>1.0597000000000001</v>
      </c>
      <c r="L298" s="127">
        <v>0.70389999999999997</v>
      </c>
      <c r="M298" s="127">
        <v>0.88419999999999999</v>
      </c>
      <c r="N298" s="127">
        <v>0.93169999999999997</v>
      </c>
      <c r="O298" s="127">
        <v>1.0538000000000001</v>
      </c>
      <c r="P298" s="126">
        <v>10601</v>
      </c>
      <c r="Q298" s="128">
        <f t="array" ref="Q298">SUM(IF(($S298&gt;=4)*($C298='TaxCred&amp;Subs'!$D$123:$D$127)*($H298='TaxCred&amp;Subs'!$C$123:$C$127)*($H298&lt;='TaxCred&amp;Subs'!$C$129),'TaxCred&amp;Subs'!$E$123:$E$127,0))</f>
        <v>0</v>
      </c>
      <c r="R298" s="174">
        <v>0</v>
      </c>
      <c r="S298" s="126">
        <v>2</v>
      </c>
      <c r="T298" s="126" t="s">
        <v>224</v>
      </c>
      <c r="U298" s="158"/>
      <c r="V298" s="153" t="str">
        <f t="array" ref="V298">INDEX(xlRTCLNAME,MATCH(1,(xlRTCLENDU=1)*(xlRTCLEQCL=$D298),0))</f>
        <v>LPG_FA</v>
      </c>
      <c r="W298" s="153" t="str">
        <f t="array" ref="W298">INDEX(xlRTCLNAME,MATCH(1,(xlRTCLENDU=2)*(xlRTCLEQCL=$F298),0))</f>
        <v>CENT_AIR</v>
      </c>
      <c r="X298" s="153" t="str">
        <f t="array" ref="X298">INDEX(xlRTTYNAME,MATCH(1,(xlRTTYENDU=1)*(xlRTTYEQCL=$D298)*(xlRTEQTYPE=$E298),0))</f>
        <v>LPG_FA1</v>
      </c>
      <c r="Y298" s="153" t="str">
        <f t="array" ref="Y298">INDEX(xlRTTYNAME,MATCH(1,(xlRTTYENDU=2)*(xlRTTYEQCL=$F298)*(xlRTEQTYPE=$G298),0))</f>
        <v>CENT_AIR2</v>
      </c>
    </row>
    <row r="299" spans="2:25" x14ac:dyDescent="0.2">
      <c r="B299" s="126">
        <v>3</v>
      </c>
      <c r="C299" s="126">
        <v>1</v>
      </c>
      <c r="D299" s="126">
        <v>6</v>
      </c>
      <c r="E299" s="126">
        <v>18</v>
      </c>
      <c r="F299" s="126">
        <v>2</v>
      </c>
      <c r="G299" s="126">
        <v>5</v>
      </c>
      <c r="H299" s="126">
        <v>2016</v>
      </c>
      <c r="I299" s="126">
        <v>2022</v>
      </c>
      <c r="J299" s="127">
        <v>1.0469999999999999</v>
      </c>
      <c r="K299" s="127">
        <v>1.0769</v>
      </c>
      <c r="L299" s="127">
        <v>0.58860000000000001</v>
      </c>
      <c r="M299" s="127">
        <v>0.95530000000000004</v>
      </c>
      <c r="N299" s="127">
        <v>0.91600000000000004</v>
      </c>
      <c r="O299" s="127">
        <v>1.0538000000000001</v>
      </c>
      <c r="P299" s="126">
        <v>9545</v>
      </c>
      <c r="Q299" s="128">
        <f t="array" ref="Q299">SUM(IF(($S299&gt;=4)*($C299='TaxCred&amp;Subs'!$D$123:$D$127)*($H299='TaxCred&amp;Subs'!$C$123:$C$127)*($H299&lt;='TaxCred&amp;Subs'!$C$129),'TaxCred&amp;Subs'!$E$123:$E$127,0))</f>
        <v>0</v>
      </c>
      <c r="R299" s="174">
        <v>0</v>
      </c>
      <c r="S299" s="126">
        <v>2</v>
      </c>
      <c r="T299" s="126" t="s">
        <v>224</v>
      </c>
      <c r="U299" s="158"/>
      <c r="V299" s="153" t="str">
        <f t="array" ref="V299">INDEX(xlRTCLNAME,MATCH(1,(xlRTCLENDU=1)*(xlRTCLEQCL=$D299),0))</f>
        <v>LPG_FA</v>
      </c>
      <c r="W299" s="153" t="str">
        <f t="array" ref="W299">INDEX(xlRTCLNAME,MATCH(1,(xlRTCLENDU=2)*(xlRTCLEQCL=$F299),0))</f>
        <v>CENT_AIR</v>
      </c>
      <c r="X299" s="153" t="str">
        <f t="array" ref="X299">INDEX(xlRTTYNAME,MATCH(1,(xlRTTYENDU=1)*(xlRTTYEQCL=$D299)*(xlRTEQTYPE=$E299),0))</f>
        <v>LPG_FA1</v>
      </c>
      <c r="Y299" s="153" t="str">
        <f t="array" ref="Y299">INDEX(xlRTTYNAME,MATCH(1,(xlRTTYENDU=2)*(xlRTTYEQCL=$F299)*(xlRTEQTYPE=$G299),0))</f>
        <v>CENT_AIR1</v>
      </c>
    </row>
    <row r="300" spans="2:25" x14ac:dyDescent="0.2">
      <c r="B300" s="126">
        <v>3</v>
      </c>
      <c r="C300" s="126">
        <v>1</v>
      </c>
      <c r="D300" s="126">
        <v>6</v>
      </c>
      <c r="E300" s="126">
        <v>18</v>
      </c>
      <c r="F300" s="126">
        <v>2</v>
      </c>
      <c r="G300" s="126">
        <v>6</v>
      </c>
      <c r="H300" s="126">
        <v>2023</v>
      </c>
      <c r="I300" s="126">
        <v>2050</v>
      </c>
      <c r="J300" s="127">
        <v>1.0469999999999999</v>
      </c>
      <c r="K300" s="127">
        <v>1.0769</v>
      </c>
      <c r="L300" s="127">
        <v>0.58860000000000001</v>
      </c>
      <c r="M300" s="127">
        <v>0.95530000000000004</v>
      </c>
      <c r="N300" s="127">
        <v>0.91600000000000004</v>
      </c>
      <c r="O300" s="127">
        <v>1.0538000000000001</v>
      </c>
      <c r="P300" s="126">
        <v>9545</v>
      </c>
      <c r="Q300" s="128">
        <f t="array" ref="Q300">SUM(IF(($S300&gt;=4)*($C300='TaxCred&amp;Subs'!$D$123:$D$127)*($H300='TaxCred&amp;Subs'!$C$123:$C$127)*($H300&lt;='TaxCred&amp;Subs'!$C$129),'TaxCred&amp;Subs'!$E$123:$E$127,0))</f>
        <v>0</v>
      </c>
      <c r="R300" s="174">
        <v>0</v>
      </c>
      <c r="S300" s="126">
        <v>2</v>
      </c>
      <c r="T300" s="126" t="s">
        <v>224</v>
      </c>
      <c r="U300" s="158"/>
      <c r="V300" s="153" t="str">
        <f t="array" ref="V300">INDEX(xlRTCLNAME,MATCH(1,(xlRTCLENDU=1)*(xlRTCLEQCL=$D300),0))</f>
        <v>LPG_FA</v>
      </c>
      <c r="W300" s="153" t="str">
        <f t="array" ref="W300">INDEX(xlRTCLNAME,MATCH(1,(xlRTCLENDU=2)*(xlRTCLEQCL=$F300),0))</f>
        <v>CENT_AIR</v>
      </c>
      <c r="X300" s="153" t="str">
        <f t="array" ref="X300">INDEX(xlRTTYNAME,MATCH(1,(xlRTTYENDU=1)*(xlRTTYEQCL=$D300)*(xlRTEQTYPE=$E300),0))</f>
        <v>LPG_FA1</v>
      </c>
      <c r="Y300" s="153" t="str">
        <f t="array" ref="Y300">INDEX(xlRTTYNAME,MATCH(1,(xlRTTYENDU=2)*(xlRTTYEQCL=$F300)*(xlRTEQTYPE=$G300),0))</f>
        <v>CENT_AIR2</v>
      </c>
    </row>
    <row r="301" spans="2:25" x14ac:dyDescent="0.2">
      <c r="B301" s="126">
        <v>4</v>
      </c>
      <c r="C301" s="126">
        <v>1</v>
      </c>
      <c r="D301" s="126">
        <v>6</v>
      </c>
      <c r="E301" s="126">
        <v>18</v>
      </c>
      <c r="F301" s="126">
        <v>2</v>
      </c>
      <c r="G301" s="126">
        <v>5</v>
      </c>
      <c r="H301" s="126">
        <v>2016</v>
      </c>
      <c r="I301" s="126">
        <v>2022</v>
      </c>
      <c r="J301" s="127">
        <v>1.0862000000000001</v>
      </c>
      <c r="K301" s="127">
        <v>1.0769</v>
      </c>
      <c r="L301" s="127">
        <v>0.57379999999999998</v>
      </c>
      <c r="M301" s="127">
        <v>0.90200000000000002</v>
      </c>
      <c r="N301" s="127">
        <v>0.85770000000000002</v>
      </c>
      <c r="O301" s="127">
        <v>1.0538000000000001</v>
      </c>
      <c r="P301" s="126">
        <v>7555</v>
      </c>
      <c r="Q301" s="128">
        <f t="array" ref="Q301">SUM(IF(($S301&gt;=4)*($C301='TaxCred&amp;Subs'!$D$123:$D$127)*($H301='TaxCred&amp;Subs'!$C$123:$C$127)*($H301&lt;='TaxCred&amp;Subs'!$C$129),'TaxCred&amp;Subs'!$E$123:$E$127,0))</f>
        <v>0</v>
      </c>
      <c r="R301" s="174">
        <v>0</v>
      </c>
      <c r="S301" s="126">
        <v>2</v>
      </c>
      <c r="T301" s="126" t="s">
        <v>224</v>
      </c>
      <c r="U301" s="158"/>
      <c r="V301" s="153" t="str">
        <f t="array" ref="V301">INDEX(xlRTCLNAME,MATCH(1,(xlRTCLENDU=1)*(xlRTCLEQCL=$D301),0))</f>
        <v>LPG_FA</v>
      </c>
      <c r="W301" s="153" t="str">
        <f t="array" ref="W301">INDEX(xlRTCLNAME,MATCH(1,(xlRTCLENDU=2)*(xlRTCLEQCL=$F301),0))</f>
        <v>CENT_AIR</v>
      </c>
      <c r="X301" s="153" t="str">
        <f t="array" ref="X301">INDEX(xlRTTYNAME,MATCH(1,(xlRTTYENDU=1)*(xlRTTYEQCL=$D301)*(xlRTEQTYPE=$E301),0))</f>
        <v>LPG_FA1</v>
      </c>
      <c r="Y301" s="153" t="str">
        <f t="array" ref="Y301">INDEX(xlRTTYNAME,MATCH(1,(xlRTTYENDU=2)*(xlRTTYEQCL=$F301)*(xlRTEQTYPE=$G301),0))</f>
        <v>CENT_AIR1</v>
      </c>
    </row>
    <row r="302" spans="2:25" x14ac:dyDescent="0.2">
      <c r="B302" s="126">
        <v>4</v>
      </c>
      <c r="C302" s="126">
        <v>1</v>
      </c>
      <c r="D302" s="126">
        <v>6</v>
      </c>
      <c r="E302" s="126">
        <v>18</v>
      </c>
      <c r="F302" s="126">
        <v>2</v>
      </c>
      <c r="G302" s="126">
        <v>6</v>
      </c>
      <c r="H302" s="126">
        <v>2023</v>
      </c>
      <c r="I302" s="126">
        <v>2050</v>
      </c>
      <c r="J302" s="127">
        <v>1.0862000000000001</v>
      </c>
      <c r="K302" s="127">
        <v>1.0769</v>
      </c>
      <c r="L302" s="127">
        <v>0.57379999999999998</v>
      </c>
      <c r="M302" s="127">
        <v>0.90200000000000002</v>
      </c>
      <c r="N302" s="127">
        <v>0.85770000000000002</v>
      </c>
      <c r="O302" s="127">
        <v>1.0538000000000001</v>
      </c>
      <c r="P302" s="126">
        <v>7555</v>
      </c>
      <c r="Q302" s="128">
        <f t="array" ref="Q302">SUM(IF(($S302&gt;=4)*($C302='TaxCred&amp;Subs'!$D$123:$D$127)*($H302='TaxCred&amp;Subs'!$C$123:$C$127)*($H302&lt;='TaxCred&amp;Subs'!$C$129),'TaxCred&amp;Subs'!$E$123:$E$127,0))</f>
        <v>0</v>
      </c>
      <c r="R302" s="174">
        <v>0</v>
      </c>
      <c r="S302" s="126">
        <v>2</v>
      </c>
      <c r="T302" s="126" t="s">
        <v>224</v>
      </c>
      <c r="U302" s="158"/>
      <c r="V302" s="153" t="str">
        <f t="array" ref="V302">INDEX(xlRTCLNAME,MATCH(1,(xlRTCLENDU=1)*(xlRTCLEQCL=$D302),0))</f>
        <v>LPG_FA</v>
      </c>
      <c r="W302" s="153" t="str">
        <f t="array" ref="W302">INDEX(xlRTCLNAME,MATCH(1,(xlRTCLENDU=2)*(xlRTCLEQCL=$F302),0))</f>
        <v>CENT_AIR</v>
      </c>
      <c r="X302" s="153" t="str">
        <f t="array" ref="X302">INDEX(xlRTTYNAME,MATCH(1,(xlRTTYENDU=1)*(xlRTTYEQCL=$D302)*(xlRTEQTYPE=$E302),0))</f>
        <v>LPG_FA1</v>
      </c>
      <c r="Y302" s="153" t="str">
        <f t="array" ref="Y302">INDEX(xlRTTYNAME,MATCH(1,(xlRTTYENDU=2)*(xlRTTYEQCL=$F302)*(xlRTEQTYPE=$G302),0))</f>
        <v>CENT_AIR2</v>
      </c>
    </row>
    <row r="303" spans="2:25" x14ac:dyDescent="0.2">
      <c r="B303" s="126">
        <v>5</v>
      </c>
      <c r="C303" s="126">
        <v>1</v>
      </c>
      <c r="D303" s="126">
        <v>6</v>
      </c>
      <c r="E303" s="126">
        <v>18</v>
      </c>
      <c r="F303" s="126">
        <v>2</v>
      </c>
      <c r="G303" s="126">
        <v>5</v>
      </c>
      <c r="H303" s="126">
        <v>2016</v>
      </c>
      <c r="I303" s="126">
        <v>2022</v>
      </c>
      <c r="J303" s="127">
        <v>1.0849</v>
      </c>
      <c r="K303" s="127">
        <v>1.0471999999999999</v>
      </c>
      <c r="L303" s="127">
        <v>0.77029999999999998</v>
      </c>
      <c r="M303" s="127">
        <v>0.95499999999999996</v>
      </c>
      <c r="N303" s="127">
        <v>0.76180000000000003</v>
      </c>
      <c r="O303" s="127">
        <v>1.0538000000000001</v>
      </c>
      <c r="P303" s="126">
        <v>7069</v>
      </c>
      <c r="Q303" s="128">
        <f t="array" ref="Q303">SUM(IF(($S303&gt;=4)*($C303='TaxCred&amp;Subs'!$D$123:$D$127)*($H303='TaxCred&amp;Subs'!$C$123:$C$127)*($H303&lt;='TaxCred&amp;Subs'!$C$129),'TaxCred&amp;Subs'!$E$123:$E$127,0))</f>
        <v>0</v>
      </c>
      <c r="R303" s="174">
        <v>0</v>
      </c>
      <c r="S303" s="126">
        <v>2</v>
      </c>
      <c r="T303" s="126" t="s">
        <v>224</v>
      </c>
      <c r="U303" s="158"/>
      <c r="V303" s="153" t="str">
        <f t="array" ref="V303">INDEX(xlRTCLNAME,MATCH(1,(xlRTCLENDU=1)*(xlRTCLEQCL=$D303),0))</f>
        <v>LPG_FA</v>
      </c>
      <c r="W303" s="153" t="str">
        <f t="array" ref="W303">INDEX(xlRTCLNAME,MATCH(1,(xlRTCLENDU=2)*(xlRTCLEQCL=$F303),0))</f>
        <v>CENT_AIR</v>
      </c>
      <c r="X303" s="153" t="str">
        <f t="array" ref="X303">INDEX(xlRTTYNAME,MATCH(1,(xlRTTYENDU=1)*(xlRTTYEQCL=$D303)*(xlRTEQTYPE=$E303),0))</f>
        <v>LPG_FA1</v>
      </c>
      <c r="Y303" s="153" t="str">
        <f t="array" ref="Y303">INDEX(xlRTTYNAME,MATCH(1,(xlRTTYENDU=2)*(xlRTTYEQCL=$F303)*(xlRTEQTYPE=$G303),0))</f>
        <v>CENT_AIR1</v>
      </c>
    </row>
    <row r="304" spans="2:25" x14ac:dyDescent="0.2">
      <c r="B304" s="126">
        <v>5</v>
      </c>
      <c r="C304" s="126">
        <v>1</v>
      </c>
      <c r="D304" s="126">
        <v>6</v>
      </c>
      <c r="E304" s="126">
        <v>18</v>
      </c>
      <c r="F304" s="126">
        <v>2</v>
      </c>
      <c r="G304" s="126">
        <v>6</v>
      </c>
      <c r="H304" s="126">
        <v>2023</v>
      </c>
      <c r="I304" s="126">
        <v>2050</v>
      </c>
      <c r="J304" s="127">
        <v>1.0849</v>
      </c>
      <c r="K304" s="127">
        <v>1.0471999999999999</v>
      </c>
      <c r="L304" s="127">
        <v>0.77029999999999998</v>
      </c>
      <c r="M304" s="127">
        <v>0.95499999999999996</v>
      </c>
      <c r="N304" s="127">
        <v>0.76180000000000003</v>
      </c>
      <c r="O304" s="127">
        <v>1.0538000000000001</v>
      </c>
      <c r="P304" s="126">
        <v>7069</v>
      </c>
      <c r="Q304" s="128">
        <f t="array" ref="Q304">SUM(IF(($S304&gt;=4)*($C304='TaxCred&amp;Subs'!$D$123:$D$127)*($H304='TaxCred&amp;Subs'!$C$123:$C$127)*($H304&lt;='TaxCred&amp;Subs'!$C$129),'TaxCred&amp;Subs'!$E$123:$E$127,0))</f>
        <v>0</v>
      </c>
      <c r="R304" s="174">
        <v>0</v>
      </c>
      <c r="S304" s="126">
        <v>2</v>
      </c>
      <c r="T304" s="126" t="s">
        <v>224</v>
      </c>
      <c r="U304" s="158"/>
      <c r="V304" s="153" t="str">
        <f t="array" ref="V304">INDEX(xlRTCLNAME,MATCH(1,(xlRTCLENDU=1)*(xlRTCLEQCL=$D304),0))</f>
        <v>LPG_FA</v>
      </c>
      <c r="W304" s="153" t="str">
        <f t="array" ref="W304">INDEX(xlRTCLNAME,MATCH(1,(xlRTCLENDU=2)*(xlRTCLEQCL=$F304),0))</f>
        <v>CENT_AIR</v>
      </c>
      <c r="X304" s="153" t="str">
        <f t="array" ref="X304">INDEX(xlRTTYNAME,MATCH(1,(xlRTTYENDU=1)*(xlRTTYEQCL=$D304)*(xlRTEQTYPE=$E304),0))</f>
        <v>LPG_FA1</v>
      </c>
      <c r="Y304" s="153" t="str">
        <f t="array" ref="Y304">INDEX(xlRTTYNAME,MATCH(1,(xlRTTYENDU=2)*(xlRTTYEQCL=$F304)*(xlRTEQTYPE=$G304),0))</f>
        <v>CENT_AIR2</v>
      </c>
    </row>
    <row r="305" spans="2:25" x14ac:dyDescent="0.2">
      <c r="B305" s="126">
        <v>6</v>
      </c>
      <c r="C305" s="126">
        <v>1</v>
      </c>
      <c r="D305" s="126">
        <v>6</v>
      </c>
      <c r="E305" s="126">
        <v>18</v>
      </c>
      <c r="F305" s="126">
        <v>2</v>
      </c>
      <c r="G305" s="126">
        <v>5</v>
      </c>
      <c r="H305" s="126">
        <v>2016</v>
      </c>
      <c r="I305" s="126">
        <v>2022</v>
      </c>
      <c r="J305" s="127">
        <v>1.0924</v>
      </c>
      <c r="K305" s="127">
        <v>1.0661</v>
      </c>
      <c r="L305" s="127">
        <v>0.87670000000000003</v>
      </c>
      <c r="M305" s="127">
        <v>0.96009999999999995</v>
      </c>
      <c r="N305" s="127">
        <v>0.89100000000000001</v>
      </c>
      <c r="O305" s="127">
        <v>1.0538000000000001</v>
      </c>
      <c r="P305" s="126">
        <v>7359</v>
      </c>
      <c r="Q305" s="128">
        <f t="array" ref="Q305">SUM(IF(($S305&gt;=4)*($C305='TaxCred&amp;Subs'!$D$123:$D$127)*($H305='TaxCred&amp;Subs'!$C$123:$C$127)*($H305&lt;='TaxCred&amp;Subs'!$C$129),'TaxCred&amp;Subs'!$E$123:$E$127,0))</f>
        <v>0</v>
      </c>
      <c r="R305" s="174">
        <v>0</v>
      </c>
      <c r="S305" s="126">
        <v>2</v>
      </c>
      <c r="T305" s="126" t="s">
        <v>224</v>
      </c>
      <c r="U305" s="158"/>
      <c r="V305" s="153" t="str">
        <f t="array" ref="V305">INDEX(xlRTCLNAME,MATCH(1,(xlRTCLENDU=1)*(xlRTCLEQCL=$D305),0))</f>
        <v>LPG_FA</v>
      </c>
      <c r="W305" s="153" t="str">
        <f t="array" ref="W305">INDEX(xlRTCLNAME,MATCH(1,(xlRTCLENDU=2)*(xlRTCLEQCL=$F305),0))</f>
        <v>CENT_AIR</v>
      </c>
      <c r="X305" s="153" t="str">
        <f t="array" ref="X305">INDEX(xlRTTYNAME,MATCH(1,(xlRTTYENDU=1)*(xlRTTYEQCL=$D305)*(xlRTEQTYPE=$E305),0))</f>
        <v>LPG_FA1</v>
      </c>
      <c r="Y305" s="153" t="str">
        <f t="array" ref="Y305">INDEX(xlRTTYNAME,MATCH(1,(xlRTTYENDU=2)*(xlRTTYEQCL=$F305)*(xlRTEQTYPE=$G305),0))</f>
        <v>CENT_AIR1</v>
      </c>
    </row>
    <row r="306" spans="2:25" x14ac:dyDescent="0.2">
      <c r="B306" s="126">
        <v>6</v>
      </c>
      <c r="C306" s="126">
        <v>1</v>
      </c>
      <c r="D306" s="126">
        <v>6</v>
      </c>
      <c r="E306" s="126">
        <v>18</v>
      </c>
      <c r="F306" s="126">
        <v>2</v>
      </c>
      <c r="G306" s="126">
        <v>6</v>
      </c>
      <c r="H306" s="126">
        <v>2023</v>
      </c>
      <c r="I306" s="126">
        <v>2050</v>
      </c>
      <c r="J306" s="127">
        <v>1.0924</v>
      </c>
      <c r="K306" s="127">
        <v>1.0661</v>
      </c>
      <c r="L306" s="127">
        <v>0.87670000000000003</v>
      </c>
      <c r="M306" s="127">
        <v>0.96009999999999995</v>
      </c>
      <c r="N306" s="127">
        <v>0.89100000000000001</v>
      </c>
      <c r="O306" s="127">
        <v>1.0538000000000001</v>
      </c>
      <c r="P306" s="126">
        <v>7359</v>
      </c>
      <c r="Q306" s="128">
        <f t="array" ref="Q306">SUM(IF(($S306&gt;=4)*($C306='TaxCred&amp;Subs'!$D$123:$D$127)*($H306='TaxCred&amp;Subs'!$C$123:$C$127)*($H306&lt;='TaxCred&amp;Subs'!$C$129),'TaxCred&amp;Subs'!$E$123:$E$127,0))</f>
        <v>0</v>
      </c>
      <c r="R306" s="174">
        <v>0</v>
      </c>
      <c r="S306" s="126">
        <v>2</v>
      </c>
      <c r="T306" s="126" t="s">
        <v>224</v>
      </c>
      <c r="U306" s="158"/>
      <c r="V306" s="153" t="str">
        <f t="array" ref="V306">INDEX(xlRTCLNAME,MATCH(1,(xlRTCLENDU=1)*(xlRTCLEQCL=$D306),0))</f>
        <v>LPG_FA</v>
      </c>
      <c r="W306" s="153" t="str">
        <f t="array" ref="W306">INDEX(xlRTCLNAME,MATCH(1,(xlRTCLENDU=2)*(xlRTCLEQCL=$F306),0))</f>
        <v>CENT_AIR</v>
      </c>
      <c r="X306" s="153" t="str">
        <f t="array" ref="X306">INDEX(xlRTTYNAME,MATCH(1,(xlRTTYENDU=1)*(xlRTTYEQCL=$D306)*(xlRTEQTYPE=$E306),0))</f>
        <v>LPG_FA1</v>
      </c>
      <c r="Y306" s="153" t="str">
        <f t="array" ref="Y306">INDEX(xlRTTYNAME,MATCH(1,(xlRTTYENDU=2)*(xlRTTYEQCL=$F306)*(xlRTEQTYPE=$G306),0))</f>
        <v>CENT_AIR2</v>
      </c>
    </row>
    <row r="307" spans="2:25" x14ac:dyDescent="0.2">
      <c r="B307" s="126">
        <v>7</v>
      </c>
      <c r="C307" s="126">
        <v>1</v>
      </c>
      <c r="D307" s="126">
        <v>6</v>
      </c>
      <c r="E307" s="126">
        <v>18</v>
      </c>
      <c r="F307" s="126">
        <v>2</v>
      </c>
      <c r="G307" s="126">
        <v>5</v>
      </c>
      <c r="H307" s="126">
        <v>2016</v>
      </c>
      <c r="I307" s="126">
        <v>2022</v>
      </c>
      <c r="J307" s="127">
        <v>1.0905</v>
      </c>
      <c r="K307" s="127">
        <v>1.0562</v>
      </c>
      <c r="L307" s="127">
        <v>0.89019999999999999</v>
      </c>
      <c r="M307" s="127">
        <v>0.87749999999999995</v>
      </c>
      <c r="N307" s="127">
        <v>0.87180000000000002</v>
      </c>
      <c r="O307" s="127">
        <v>1.0538000000000001</v>
      </c>
      <c r="P307" s="126">
        <v>6207</v>
      </c>
      <c r="Q307" s="128">
        <f t="array" ref="Q307">SUM(IF(($S307&gt;=4)*($C307='TaxCred&amp;Subs'!$D$123:$D$127)*($H307='TaxCred&amp;Subs'!$C$123:$C$127)*($H307&lt;='TaxCred&amp;Subs'!$C$129),'TaxCred&amp;Subs'!$E$123:$E$127,0))</f>
        <v>0</v>
      </c>
      <c r="R307" s="174">
        <v>0</v>
      </c>
      <c r="S307" s="126">
        <v>2</v>
      </c>
      <c r="T307" s="126" t="s">
        <v>224</v>
      </c>
      <c r="U307" s="158"/>
      <c r="V307" s="153" t="str">
        <f t="array" ref="V307">INDEX(xlRTCLNAME,MATCH(1,(xlRTCLENDU=1)*(xlRTCLEQCL=$D307),0))</f>
        <v>LPG_FA</v>
      </c>
      <c r="W307" s="153" t="str">
        <f t="array" ref="W307">INDEX(xlRTCLNAME,MATCH(1,(xlRTCLENDU=2)*(xlRTCLEQCL=$F307),0))</f>
        <v>CENT_AIR</v>
      </c>
      <c r="X307" s="153" t="str">
        <f t="array" ref="X307">INDEX(xlRTTYNAME,MATCH(1,(xlRTTYENDU=1)*(xlRTTYEQCL=$D307)*(xlRTEQTYPE=$E307),0))</f>
        <v>LPG_FA1</v>
      </c>
      <c r="Y307" s="153" t="str">
        <f t="array" ref="Y307">INDEX(xlRTTYNAME,MATCH(1,(xlRTTYENDU=2)*(xlRTTYEQCL=$F307)*(xlRTEQTYPE=$G307),0))</f>
        <v>CENT_AIR1</v>
      </c>
    </row>
    <row r="308" spans="2:25" x14ac:dyDescent="0.2">
      <c r="B308" s="126">
        <v>7</v>
      </c>
      <c r="C308" s="126">
        <v>1</v>
      </c>
      <c r="D308" s="126">
        <v>6</v>
      </c>
      <c r="E308" s="126">
        <v>18</v>
      </c>
      <c r="F308" s="126">
        <v>2</v>
      </c>
      <c r="G308" s="126">
        <v>6</v>
      </c>
      <c r="H308" s="126">
        <v>2023</v>
      </c>
      <c r="I308" s="126">
        <v>2050</v>
      </c>
      <c r="J308" s="127">
        <v>1.0905</v>
      </c>
      <c r="K308" s="127">
        <v>1.0562</v>
      </c>
      <c r="L308" s="127">
        <v>0.89019999999999999</v>
      </c>
      <c r="M308" s="127">
        <v>0.87749999999999995</v>
      </c>
      <c r="N308" s="127">
        <v>0.87180000000000002</v>
      </c>
      <c r="O308" s="127">
        <v>1.0538000000000001</v>
      </c>
      <c r="P308" s="126">
        <v>6207</v>
      </c>
      <c r="Q308" s="128">
        <f t="array" ref="Q308">SUM(IF(($S308&gt;=4)*($C308='TaxCred&amp;Subs'!$D$123:$D$127)*($H308='TaxCred&amp;Subs'!$C$123:$C$127)*($H308&lt;='TaxCred&amp;Subs'!$C$129),'TaxCred&amp;Subs'!$E$123:$E$127,0))</f>
        <v>0</v>
      </c>
      <c r="R308" s="174">
        <v>0</v>
      </c>
      <c r="S308" s="126">
        <v>2</v>
      </c>
      <c r="T308" s="126" t="s">
        <v>224</v>
      </c>
      <c r="U308" s="158"/>
      <c r="V308" s="153" t="str">
        <f t="array" ref="V308">INDEX(xlRTCLNAME,MATCH(1,(xlRTCLENDU=1)*(xlRTCLEQCL=$D308),0))</f>
        <v>LPG_FA</v>
      </c>
      <c r="W308" s="153" t="str">
        <f t="array" ref="W308">INDEX(xlRTCLNAME,MATCH(1,(xlRTCLENDU=2)*(xlRTCLEQCL=$F308),0))</f>
        <v>CENT_AIR</v>
      </c>
      <c r="X308" s="153" t="str">
        <f t="array" ref="X308">INDEX(xlRTTYNAME,MATCH(1,(xlRTTYENDU=1)*(xlRTTYEQCL=$D308)*(xlRTEQTYPE=$E308),0))</f>
        <v>LPG_FA1</v>
      </c>
      <c r="Y308" s="153" t="str">
        <f t="array" ref="Y308">INDEX(xlRTTYNAME,MATCH(1,(xlRTTYENDU=2)*(xlRTTYEQCL=$F308)*(xlRTEQTYPE=$G308),0))</f>
        <v>CENT_AIR2</v>
      </c>
    </row>
    <row r="309" spans="2:25" x14ac:dyDescent="0.2">
      <c r="B309" s="126">
        <v>8</v>
      </c>
      <c r="C309" s="126">
        <v>1</v>
      </c>
      <c r="D309" s="126">
        <v>6</v>
      </c>
      <c r="E309" s="126">
        <v>18</v>
      </c>
      <c r="F309" s="126">
        <v>2</v>
      </c>
      <c r="G309" s="126">
        <v>5</v>
      </c>
      <c r="H309" s="126">
        <v>2016</v>
      </c>
      <c r="I309" s="126">
        <v>2022</v>
      </c>
      <c r="J309" s="127">
        <v>1.0801000000000001</v>
      </c>
      <c r="K309" s="127">
        <v>1.0822000000000001</v>
      </c>
      <c r="L309" s="127">
        <v>0.59719999999999995</v>
      </c>
      <c r="M309" s="127">
        <v>0.92079999999999995</v>
      </c>
      <c r="N309" s="127">
        <v>0.86950000000000005</v>
      </c>
      <c r="O309" s="127">
        <v>1.0538000000000001</v>
      </c>
      <c r="P309" s="126">
        <v>8437</v>
      </c>
      <c r="Q309" s="128">
        <f t="array" ref="Q309">SUM(IF(($S309&gt;=4)*($C309='TaxCred&amp;Subs'!$D$123:$D$127)*($H309='TaxCred&amp;Subs'!$C$123:$C$127)*($H309&lt;='TaxCred&amp;Subs'!$C$129),'TaxCred&amp;Subs'!$E$123:$E$127,0))</f>
        <v>0</v>
      </c>
      <c r="R309" s="174">
        <v>0</v>
      </c>
      <c r="S309" s="126">
        <v>2</v>
      </c>
      <c r="T309" s="126" t="s">
        <v>224</v>
      </c>
      <c r="U309" s="158"/>
      <c r="V309" s="153" t="str">
        <f t="array" ref="V309">INDEX(xlRTCLNAME,MATCH(1,(xlRTCLENDU=1)*(xlRTCLEQCL=$D309),0))</f>
        <v>LPG_FA</v>
      </c>
      <c r="W309" s="153" t="str">
        <f t="array" ref="W309">INDEX(xlRTCLNAME,MATCH(1,(xlRTCLENDU=2)*(xlRTCLEQCL=$F309),0))</f>
        <v>CENT_AIR</v>
      </c>
      <c r="X309" s="153" t="str">
        <f t="array" ref="X309">INDEX(xlRTTYNAME,MATCH(1,(xlRTTYENDU=1)*(xlRTTYEQCL=$D309)*(xlRTEQTYPE=$E309),0))</f>
        <v>LPG_FA1</v>
      </c>
      <c r="Y309" s="153" t="str">
        <f t="array" ref="Y309">INDEX(xlRTTYNAME,MATCH(1,(xlRTTYENDU=2)*(xlRTTYEQCL=$F309)*(xlRTEQTYPE=$G309),0))</f>
        <v>CENT_AIR1</v>
      </c>
    </row>
    <row r="310" spans="2:25" x14ac:dyDescent="0.2">
      <c r="B310" s="126">
        <v>8</v>
      </c>
      <c r="C310" s="126">
        <v>1</v>
      </c>
      <c r="D310" s="126">
        <v>6</v>
      </c>
      <c r="E310" s="126">
        <v>18</v>
      </c>
      <c r="F310" s="126">
        <v>2</v>
      </c>
      <c r="G310" s="126">
        <v>6</v>
      </c>
      <c r="H310" s="126">
        <v>2023</v>
      </c>
      <c r="I310" s="126">
        <v>2050</v>
      </c>
      <c r="J310" s="127">
        <v>1.0801000000000001</v>
      </c>
      <c r="K310" s="127">
        <v>1.0822000000000001</v>
      </c>
      <c r="L310" s="127">
        <v>0.59719999999999995</v>
      </c>
      <c r="M310" s="127">
        <v>0.92079999999999995</v>
      </c>
      <c r="N310" s="127">
        <v>0.86950000000000005</v>
      </c>
      <c r="O310" s="127">
        <v>1.0538000000000001</v>
      </c>
      <c r="P310" s="126">
        <v>8437</v>
      </c>
      <c r="Q310" s="128">
        <f t="array" ref="Q310">SUM(IF(($S310&gt;=4)*($C310='TaxCred&amp;Subs'!$D$123:$D$127)*($H310='TaxCred&amp;Subs'!$C$123:$C$127)*($H310&lt;='TaxCred&amp;Subs'!$C$129),'TaxCred&amp;Subs'!$E$123:$E$127,0))</f>
        <v>0</v>
      </c>
      <c r="R310" s="174">
        <v>0</v>
      </c>
      <c r="S310" s="126">
        <v>2</v>
      </c>
      <c r="T310" s="126" t="s">
        <v>224</v>
      </c>
      <c r="U310" s="158"/>
      <c r="V310" s="153" t="str">
        <f t="array" ref="V310">INDEX(xlRTCLNAME,MATCH(1,(xlRTCLENDU=1)*(xlRTCLEQCL=$D310),0))</f>
        <v>LPG_FA</v>
      </c>
      <c r="W310" s="153" t="str">
        <f t="array" ref="W310">INDEX(xlRTCLNAME,MATCH(1,(xlRTCLENDU=2)*(xlRTCLEQCL=$F310),0))</f>
        <v>CENT_AIR</v>
      </c>
      <c r="X310" s="153" t="str">
        <f t="array" ref="X310">INDEX(xlRTTYNAME,MATCH(1,(xlRTTYENDU=1)*(xlRTTYEQCL=$D310)*(xlRTEQTYPE=$E310),0))</f>
        <v>LPG_FA1</v>
      </c>
      <c r="Y310" s="153" t="str">
        <f t="array" ref="Y310">INDEX(xlRTTYNAME,MATCH(1,(xlRTTYENDU=2)*(xlRTTYEQCL=$F310)*(xlRTEQTYPE=$G310),0))</f>
        <v>CENT_AIR2</v>
      </c>
    </row>
    <row r="311" spans="2:25" x14ac:dyDescent="0.2">
      <c r="B311" s="126">
        <v>9</v>
      </c>
      <c r="C311" s="126">
        <v>1</v>
      </c>
      <c r="D311" s="126">
        <v>6</v>
      </c>
      <c r="E311" s="126">
        <v>18</v>
      </c>
      <c r="F311" s="126">
        <v>2</v>
      </c>
      <c r="G311" s="126">
        <v>5</v>
      </c>
      <c r="H311" s="126">
        <v>2016</v>
      </c>
      <c r="I311" s="126">
        <v>2022</v>
      </c>
      <c r="J311" s="127">
        <v>1.0781000000000001</v>
      </c>
      <c r="K311" s="127">
        <v>1.0707</v>
      </c>
      <c r="L311" s="127">
        <v>0.98050000000000004</v>
      </c>
      <c r="M311" s="127">
        <v>0.94669999999999999</v>
      </c>
      <c r="N311" s="127">
        <v>1.0339</v>
      </c>
      <c r="O311" s="127">
        <v>1.0538000000000001</v>
      </c>
      <c r="P311" s="126">
        <v>9965</v>
      </c>
      <c r="Q311" s="128">
        <f t="array" ref="Q311">SUM(IF(($S311&gt;=4)*($C311='TaxCred&amp;Subs'!$D$123:$D$127)*($H311='TaxCred&amp;Subs'!$C$123:$C$127)*($H311&lt;='TaxCred&amp;Subs'!$C$129),'TaxCred&amp;Subs'!$E$123:$E$127,0))</f>
        <v>0</v>
      </c>
      <c r="R311" s="174">
        <v>0</v>
      </c>
      <c r="S311" s="126">
        <v>2</v>
      </c>
      <c r="T311" s="126" t="s">
        <v>224</v>
      </c>
      <c r="U311" s="158"/>
      <c r="V311" s="153" t="str">
        <f t="array" ref="V311">INDEX(xlRTCLNAME,MATCH(1,(xlRTCLENDU=1)*(xlRTCLEQCL=$D311),0))</f>
        <v>LPG_FA</v>
      </c>
      <c r="W311" s="153" t="str">
        <f t="array" ref="W311">INDEX(xlRTCLNAME,MATCH(1,(xlRTCLENDU=2)*(xlRTCLEQCL=$F311),0))</f>
        <v>CENT_AIR</v>
      </c>
      <c r="X311" s="153" t="str">
        <f t="array" ref="X311">INDEX(xlRTTYNAME,MATCH(1,(xlRTTYENDU=1)*(xlRTTYEQCL=$D311)*(xlRTEQTYPE=$E311),0))</f>
        <v>LPG_FA1</v>
      </c>
      <c r="Y311" s="153" t="str">
        <f t="array" ref="Y311">INDEX(xlRTTYNAME,MATCH(1,(xlRTTYENDU=2)*(xlRTTYEQCL=$F311)*(xlRTEQTYPE=$G311),0))</f>
        <v>CENT_AIR1</v>
      </c>
    </row>
    <row r="312" spans="2:25" x14ac:dyDescent="0.2">
      <c r="B312" s="126">
        <v>9</v>
      </c>
      <c r="C312" s="126">
        <v>1</v>
      </c>
      <c r="D312" s="126">
        <v>6</v>
      </c>
      <c r="E312" s="126">
        <v>18</v>
      </c>
      <c r="F312" s="126">
        <v>2</v>
      </c>
      <c r="G312" s="126">
        <v>6</v>
      </c>
      <c r="H312" s="126">
        <v>2023</v>
      </c>
      <c r="I312" s="126">
        <v>2050</v>
      </c>
      <c r="J312" s="127">
        <v>1.0781000000000001</v>
      </c>
      <c r="K312" s="127">
        <v>1.0707</v>
      </c>
      <c r="L312" s="127">
        <v>0.98050000000000004</v>
      </c>
      <c r="M312" s="127">
        <v>0.94669999999999999</v>
      </c>
      <c r="N312" s="127">
        <v>1.0339</v>
      </c>
      <c r="O312" s="127">
        <v>1.0538000000000001</v>
      </c>
      <c r="P312" s="126">
        <v>9965</v>
      </c>
      <c r="Q312" s="128">
        <f t="array" ref="Q312">SUM(IF(($S312&gt;=4)*($C312='TaxCred&amp;Subs'!$D$123:$D$127)*($H312='TaxCred&amp;Subs'!$C$123:$C$127)*($H312&lt;='TaxCred&amp;Subs'!$C$129),'TaxCred&amp;Subs'!$E$123:$E$127,0))</f>
        <v>0</v>
      </c>
      <c r="R312" s="174">
        <v>0</v>
      </c>
      <c r="S312" s="126">
        <v>2</v>
      </c>
      <c r="T312" s="126" t="s">
        <v>224</v>
      </c>
      <c r="U312" s="158"/>
      <c r="V312" s="153" t="str">
        <f t="array" ref="V312">INDEX(xlRTCLNAME,MATCH(1,(xlRTCLENDU=1)*(xlRTCLEQCL=$D312),0))</f>
        <v>LPG_FA</v>
      </c>
      <c r="W312" s="153" t="str">
        <f t="array" ref="W312">INDEX(xlRTCLNAME,MATCH(1,(xlRTCLENDU=2)*(xlRTCLEQCL=$F312),0))</f>
        <v>CENT_AIR</v>
      </c>
      <c r="X312" s="153" t="str">
        <f t="array" ref="X312">INDEX(xlRTTYNAME,MATCH(1,(xlRTTYENDU=1)*(xlRTTYEQCL=$D312)*(xlRTEQTYPE=$E312),0))</f>
        <v>LPG_FA1</v>
      </c>
      <c r="Y312" s="153" t="str">
        <f t="array" ref="Y312">INDEX(xlRTTYNAME,MATCH(1,(xlRTTYENDU=2)*(xlRTTYEQCL=$F312)*(xlRTEQTYPE=$G312),0))</f>
        <v>CENT_AIR2</v>
      </c>
    </row>
    <row r="313" spans="2:25" x14ac:dyDescent="0.2">
      <c r="B313" s="126">
        <v>1</v>
      </c>
      <c r="C313" s="126">
        <v>1</v>
      </c>
      <c r="D313" s="126">
        <v>7</v>
      </c>
      <c r="E313" s="126">
        <v>22</v>
      </c>
      <c r="F313" s="126">
        <v>2</v>
      </c>
      <c r="G313" s="126">
        <v>5</v>
      </c>
      <c r="H313" s="126">
        <v>2016</v>
      </c>
      <c r="I313" s="126">
        <v>2022</v>
      </c>
      <c r="J313" s="127">
        <v>1.0309999999999999</v>
      </c>
      <c r="K313" s="127">
        <v>1.0667</v>
      </c>
      <c r="L313" s="127">
        <v>0.59209999999999996</v>
      </c>
      <c r="M313" s="127">
        <v>1.0176000000000001</v>
      </c>
      <c r="N313" s="127">
        <v>0.79790000000000005</v>
      </c>
      <c r="O313" s="127">
        <v>1.0538000000000001</v>
      </c>
      <c r="P313" s="126">
        <v>10415</v>
      </c>
      <c r="Q313" s="128">
        <f t="array" ref="Q313">SUM(IF(($S313&gt;=4)*($C313='TaxCred&amp;Subs'!$D$123:$D$127)*($H313='TaxCred&amp;Subs'!$C$123:$C$127)*($H313&lt;='TaxCred&amp;Subs'!$C$129),'TaxCred&amp;Subs'!$E$123:$E$127,0))</f>
        <v>0</v>
      </c>
      <c r="R313" s="174">
        <v>0</v>
      </c>
      <c r="S313" s="126">
        <v>2</v>
      </c>
      <c r="T313" s="126" t="s">
        <v>224</v>
      </c>
      <c r="U313" s="158"/>
      <c r="V313" s="153" t="str">
        <f t="array" ref="V313">INDEX(xlRTCLNAME,MATCH(1,(xlRTCLENDU=1)*(xlRTCLEQCL=$D313),0))</f>
        <v>DIST_FA</v>
      </c>
      <c r="W313" s="153" t="str">
        <f t="array" ref="W313">INDEX(xlRTCLNAME,MATCH(1,(xlRTCLENDU=2)*(xlRTCLEQCL=$F313),0))</f>
        <v>CENT_AIR</v>
      </c>
      <c r="X313" s="153" t="str">
        <f t="array" ref="X313">INDEX(xlRTTYNAME,MATCH(1,(xlRTTYENDU=1)*(xlRTTYEQCL=$D313)*(xlRTEQTYPE=$E313),0))</f>
        <v>DIST_FA1</v>
      </c>
      <c r="Y313" s="153" t="str">
        <f t="array" ref="Y313">INDEX(xlRTTYNAME,MATCH(1,(xlRTTYENDU=2)*(xlRTTYEQCL=$F313)*(xlRTEQTYPE=$G313),0))</f>
        <v>CENT_AIR1</v>
      </c>
    </row>
    <row r="314" spans="2:25" x14ac:dyDescent="0.2">
      <c r="B314" s="126">
        <v>1</v>
      </c>
      <c r="C314" s="126">
        <v>1</v>
      </c>
      <c r="D314" s="126">
        <v>7</v>
      </c>
      <c r="E314" s="126">
        <v>22</v>
      </c>
      <c r="F314" s="126">
        <v>2</v>
      </c>
      <c r="G314" s="126">
        <v>6</v>
      </c>
      <c r="H314" s="126">
        <v>2023</v>
      </c>
      <c r="I314" s="126">
        <v>2050</v>
      </c>
      <c r="J314" s="127">
        <v>1.0309999999999999</v>
      </c>
      <c r="K314" s="127">
        <v>1.0667</v>
      </c>
      <c r="L314" s="127">
        <v>0.59209999999999996</v>
      </c>
      <c r="M314" s="127">
        <v>1.0176000000000001</v>
      </c>
      <c r="N314" s="127">
        <v>0.79790000000000005</v>
      </c>
      <c r="O314" s="127">
        <v>1.0538000000000001</v>
      </c>
      <c r="P314" s="126">
        <v>10415</v>
      </c>
      <c r="Q314" s="128">
        <f t="array" ref="Q314">SUM(IF(($S314&gt;=4)*($C314='TaxCred&amp;Subs'!$D$123:$D$127)*($H314='TaxCred&amp;Subs'!$C$123:$C$127)*($H314&lt;='TaxCred&amp;Subs'!$C$129),'TaxCred&amp;Subs'!$E$123:$E$127,0))</f>
        <v>0</v>
      </c>
      <c r="R314" s="174">
        <v>0</v>
      </c>
      <c r="S314" s="126">
        <v>2</v>
      </c>
      <c r="T314" s="126" t="s">
        <v>224</v>
      </c>
      <c r="U314" s="158"/>
      <c r="V314" s="153" t="str">
        <f t="array" ref="V314">INDEX(xlRTCLNAME,MATCH(1,(xlRTCLENDU=1)*(xlRTCLEQCL=$D314),0))</f>
        <v>DIST_FA</v>
      </c>
      <c r="W314" s="153" t="str">
        <f t="array" ref="W314">INDEX(xlRTCLNAME,MATCH(1,(xlRTCLENDU=2)*(xlRTCLEQCL=$F314),0))</f>
        <v>CENT_AIR</v>
      </c>
      <c r="X314" s="153" t="str">
        <f t="array" ref="X314">INDEX(xlRTTYNAME,MATCH(1,(xlRTTYENDU=1)*(xlRTTYEQCL=$D314)*(xlRTEQTYPE=$E314),0))</f>
        <v>DIST_FA1</v>
      </c>
      <c r="Y314" s="153" t="str">
        <f t="array" ref="Y314">INDEX(xlRTTYNAME,MATCH(1,(xlRTTYENDU=2)*(xlRTTYEQCL=$F314)*(xlRTEQTYPE=$G314),0))</f>
        <v>CENT_AIR2</v>
      </c>
    </row>
    <row r="315" spans="2:25" x14ac:dyDescent="0.2">
      <c r="B315" s="126">
        <v>2</v>
      </c>
      <c r="C315" s="126">
        <v>1</v>
      </c>
      <c r="D315" s="126">
        <v>7</v>
      </c>
      <c r="E315" s="126">
        <v>22</v>
      </c>
      <c r="F315" s="126">
        <v>2</v>
      </c>
      <c r="G315" s="126">
        <v>5</v>
      </c>
      <c r="H315" s="126">
        <v>2016</v>
      </c>
      <c r="I315" s="126">
        <v>2022</v>
      </c>
      <c r="J315" s="127">
        <v>1.0772999999999999</v>
      </c>
      <c r="K315" s="127">
        <v>1.0758000000000001</v>
      </c>
      <c r="L315" s="127">
        <v>0.70189999999999997</v>
      </c>
      <c r="M315" s="127">
        <v>0.87660000000000005</v>
      </c>
      <c r="N315" s="127">
        <v>0.93169999999999997</v>
      </c>
      <c r="O315" s="127">
        <v>1.0538000000000001</v>
      </c>
      <c r="P315" s="126">
        <v>10538</v>
      </c>
      <c r="Q315" s="128">
        <f t="array" ref="Q315">SUM(IF(($S315&gt;=4)*($C315='TaxCred&amp;Subs'!$D$123:$D$127)*($H315='TaxCred&amp;Subs'!$C$123:$C$127)*($H315&lt;='TaxCred&amp;Subs'!$C$129),'TaxCred&amp;Subs'!$E$123:$E$127,0))</f>
        <v>0</v>
      </c>
      <c r="R315" s="174">
        <v>0</v>
      </c>
      <c r="S315" s="126">
        <v>2</v>
      </c>
      <c r="T315" s="126" t="s">
        <v>224</v>
      </c>
      <c r="U315" s="158"/>
      <c r="V315" s="153" t="str">
        <f t="array" ref="V315">INDEX(xlRTCLNAME,MATCH(1,(xlRTCLENDU=1)*(xlRTCLEQCL=$D315),0))</f>
        <v>DIST_FA</v>
      </c>
      <c r="W315" s="153" t="str">
        <f t="array" ref="W315">INDEX(xlRTCLNAME,MATCH(1,(xlRTCLENDU=2)*(xlRTCLEQCL=$F315),0))</f>
        <v>CENT_AIR</v>
      </c>
      <c r="X315" s="153" t="str">
        <f t="array" ref="X315">INDEX(xlRTTYNAME,MATCH(1,(xlRTTYENDU=1)*(xlRTTYEQCL=$D315)*(xlRTEQTYPE=$E315),0))</f>
        <v>DIST_FA1</v>
      </c>
      <c r="Y315" s="153" t="str">
        <f t="array" ref="Y315">INDEX(xlRTTYNAME,MATCH(1,(xlRTTYENDU=2)*(xlRTTYEQCL=$F315)*(xlRTEQTYPE=$G315),0))</f>
        <v>CENT_AIR1</v>
      </c>
    </row>
    <row r="316" spans="2:25" x14ac:dyDescent="0.2">
      <c r="B316" s="126">
        <v>2</v>
      </c>
      <c r="C316" s="126">
        <v>1</v>
      </c>
      <c r="D316" s="126">
        <v>7</v>
      </c>
      <c r="E316" s="126">
        <v>22</v>
      </c>
      <c r="F316" s="126">
        <v>2</v>
      </c>
      <c r="G316" s="126">
        <v>6</v>
      </c>
      <c r="H316" s="126">
        <v>2023</v>
      </c>
      <c r="I316" s="126">
        <v>2050</v>
      </c>
      <c r="J316" s="127">
        <v>1.0772999999999999</v>
      </c>
      <c r="K316" s="127">
        <v>1.0758000000000001</v>
      </c>
      <c r="L316" s="127">
        <v>0.70189999999999997</v>
      </c>
      <c r="M316" s="127">
        <v>0.87660000000000005</v>
      </c>
      <c r="N316" s="127">
        <v>0.93169999999999997</v>
      </c>
      <c r="O316" s="127">
        <v>1.0538000000000001</v>
      </c>
      <c r="P316" s="126">
        <v>10538</v>
      </c>
      <c r="Q316" s="128">
        <f t="array" ref="Q316">SUM(IF(($S316&gt;=4)*($C316='TaxCred&amp;Subs'!$D$123:$D$127)*($H316='TaxCred&amp;Subs'!$C$123:$C$127)*($H316&lt;='TaxCred&amp;Subs'!$C$129),'TaxCred&amp;Subs'!$E$123:$E$127,0))</f>
        <v>0</v>
      </c>
      <c r="R316" s="174">
        <v>0</v>
      </c>
      <c r="S316" s="126">
        <v>2</v>
      </c>
      <c r="T316" s="126" t="s">
        <v>224</v>
      </c>
      <c r="U316" s="158"/>
      <c r="V316" s="153" t="str">
        <f t="array" ref="V316">INDEX(xlRTCLNAME,MATCH(1,(xlRTCLENDU=1)*(xlRTCLEQCL=$D316),0))</f>
        <v>DIST_FA</v>
      </c>
      <c r="W316" s="153" t="str">
        <f t="array" ref="W316">INDEX(xlRTCLNAME,MATCH(1,(xlRTCLENDU=2)*(xlRTCLEQCL=$F316),0))</f>
        <v>CENT_AIR</v>
      </c>
      <c r="X316" s="153" t="str">
        <f t="array" ref="X316">INDEX(xlRTTYNAME,MATCH(1,(xlRTTYENDU=1)*(xlRTTYEQCL=$D316)*(xlRTEQTYPE=$E316),0))</f>
        <v>DIST_FA1</v>
      </c>
      <c r="Y316" s="153" t="str">
        <f t="array" ref="Y316">INDEX(xlRTTYNAME,MATCH(1,(xlRTTYENDU=2)*(xlRTTYEQCL=$F316)*(xlRTEQTYPE=$G316),0))</f>
        <v>CENT_AIR2</v>
      </c>
    </row>
    <row r="317" spans="2:25" x14ac:dyDescent="0.2">
      <c r="B317" s="126">
        <v>3</v>
      </c>
      <c r="C317" s="126">
        <v>1</v>
      </c>
      <c r="D317" s="126">
        <v>7</v>
      </c>
      <c r="E317" s="126">
        <v>22</v>
      </c>
      <c r="F317" s="126">
        <v>2</v>
      </c>
      <c r="G317" s="126">
        <v>5</v>
      </c>
      <c r="H317" s="126">
        <v>2016</v>
      </c>
      <c r="I317" s="126">
        <v>2022</v>
      </c>
      <c r="J317" s="127">
        <v>1.0842000000000001</v>
      </c>
      <c r="K317" s="127">
        <v>1.0577000000000001</v>
      </c>
      <c r="L317" s="127">
        <v>0.58050000000000002</v>
      </c>
      <c r="M317" s="127">
        <v>0.95530000000000004</v>
      </c>
      <c r="N317" s="127">
        <v>0.91220000000000001</v>
      </c>
      <c r="O317" s="127">
        <v>1.0538000000000001</v>
      </c>
      <c r="P317" s="126">
        <v>9659</v>
      </c>
      <c r="Q317" s="128">
        <f t="array" ref="Q317">SUM(IF(($S317&gt;=4)*($C317='TaxCred&amp;Subs'!$D$123:$D$127)*($H317='TaxCred&amp;Subs'!$C$123:$C$127)*($H317&lt;='TaxCred&amp;Subs'!$C$129),'TaxCred&amp;Subs'!$E$123:$E$127,0))</f>
        <v>0</v>
      </c>
      <c r="R317" s="174">
        <v>0</v>
      </c>
      <c r="S317" s="126">
        <v>2</v>
      </c>
      <c r="T317" s="126" t="s">
        <v>224</v>
      </c>
      <c r="U317" s="158"/>
      <c r="V317" s="153" t="str">
        <f t="array" ref="V317">INDEX(xlRTCLNAME,MATCH(1,(xlRTCLENDU=1)*(xlRTCLEQCL=$D317),0))</f>
        <v>DIST_FA</v>
      </c>
      <c r="W317" s="153" t="str">
        <f t="array" ref="W317">INDEX(xlRTCLNAME,MATCH(1,(xlRTCLENDU=2)*(xlRTCLEQCL=$F317),0))</f>
        <v>CENT_AIR</v>
      </c>
      <c r="X317" s="153" t="str">
        <f t="array" ref="X317">INDEX(xlRTTYNAME,MATCH(1,(xlRTTYENDU=1)*(xlRTTYEQCL=$D317)*(xlRTEQTYPE=$E317),0))</f>
        <v>DIST_FA1</v>
      </c>
      <c r="Y317" s="153" t="str">
        <f t="array" ref="Y317">INDEX(xlRTTYNAME,MATCH(1,(xlRTTYENDU=2)*(xlRTTYEQCL=$F317)*(xlRTEQTYPE=$G317),0))</f>
        <v>CENT_AIR1</v>
      </c>
    </row>
    <row r="318" spans="2:25" x14ac:dyDescent="0.2">
      <c r="B318" s="126">
        <v>3</v>
      </c>
      <c r="C318" s="126">
        <v>1</v>
      </c>
      <c r="D318" s="126">
        <v>7</v>
      </c>
      <c r="E318" s="126">
        <v>22</v>
      </c>
      <c r="F318" s="126">
        <v>2</v>
      </c>
      <c r="G318" s="126">
        <v>6</v>
      </c>
      <c r="H318" s="126">
        <v>2023</v>
      </c>
      <c r="I318" s="126">
        <v>2050</v>
      </c>
      <c r="J318" s="127">
        <v>1.0842000000000001</v>
      </c>
      <c r="K318" s="127">
        <v>1.0577000000000001</v>
      </c>
      <c r="L318" s="127">
        <v>0.58050000000000002</v>
      </c>
      <c r="M318" s="127">
        <v>0.95530000000000004</v>
      </c>
      <c r="N318" s="127">
        <v>0.91220000000000001</v>
      </c>
      <c r="O318" s="127">
        <v>1.0538000000000001</v>
      </c>
      <c r="P318" s="126">
        <v>9659</v>
      </c>
      <c r="Q318" s="128">
        <f t="array" ref="Q318">SUM(IF(($S318&gt;=4)*($C318='TaxCred&amp;Subs'!$D$123:$D$127)*($H318='TaxCred&amp;Subs'!$C$123:$C$127)*($H318&lt;='TaxCred&amp;Subs'!$C$129),'TaxCred&amp;Subs'!$E$123:$E$127,0))</f>
        <v>0</v>
      </c>
      <c r="R318" s="174">
        <v>0</v>
      </c>
      <c r="S318" s="126">
        <v>2</v>
      </c>
      <c r="T318" s="126" t="s">
        <v>224</v>
      </c>
      <c r="U318" s="158"/>
      <c r="V318" s="153" t="str">
        <f t="array" ref="V318">INDEX(xlRTCLNAME,MATCH(1,(xlRTCLENDU=1)*(xlRTCLEQCL=$D318),0))</f>
        <v>DIST_FA</v>
      </c>
      <c r="W318" s="153" t="str">
        <f t="array" ref="W318">INDEX(xlRTCLNAME,MATCH(1,(xlRTCLENDU=2)*(xlRTCLEQCL=$F318),0))</f>
        <v>CENT_AIR</v>
      </c>
      <c r="X318" s="153" t="str">
        <f t="array" ref="X318">INDEX(xlRTTYNAME,MATCH(1,(xlRTTYENDU=1)*(xlRTTYEQCL=$D318)*(xlRTEQTYPE=$E318),0))</f>
        <v>DIST_FA1</v>
      </c>
      <c r="Y318" s="153" t="str">
        <f t="array" ref="Y318">INDEX(xlRTTYNAME,MATCH(1,(xlRTTYENDU=2)*(xlRTTYEQCL=$F318)*(xlRTEQTYPE=$G318),0))</f>
        <v>CENT_AIR2</v>
      </c>
    </row>
    <row r="319" spans="2:25" x14ac:dyDescent="0.2">
      <c r="B319" s="126">
        <v>4</v>
      </c>
      <c r="C319" s="126">
        <v>1</v>
      </c>
      <c r="D319" s="126">
        <v>7</v>
      </c>
      <c r="E319" s="126">
        <v>22</v>
      </c>
      <c r="F319" s="126">
        <v>2</v>
      </c>
      <c r="G319" s="126">
        <v>5</v>
      </c>
      <c r="H319" s="126">
        <v>2016</v>
      </c>
      <c r="I319" s="126">
        <v>2022</v>
      </c>
      <c r="J319" s="127">
        <v>1.0342</v>
      </c>
      <c r="K319" s="127">
        <v>1.0769</v>
      </c>
      <c r="L319" s="127">
        <v>0.5776</v>
      </c>
      <c r="M319" s="127">
        <v>0.90200000000000002</v>
      </c>
      <c r="N319" s="127">
        <v>0.85760000000000003</v>
      </c>
      <c r="O319" s="127">
        <v>1.0538000000000001</v>
      </c>
      <c r="P319" s="126">
        <v>7751</v>
      </c>
      <c r="Q319" s="128">
        <f t="array" ref="Q319">SUM(IF(($S319&gt;=4)*($C319='TaxCred&amp;Subs'!$D$123:$D$127)*($H319='TaxCred&amp;Subs'!$C$123:$C$127)*($H319&lt;='TaxCred&amp;Subs'!$C$129),'TaxCred&amp;Subs'!$E$123:$E$127,0))</f>
        <v>0</v>
      </c>
      <c r="R319" s="174">
        <v>0</v>
      </c>
      <c r="S319" s="126">
        <v>2</v>
      </c>
      <c r="T319" s="126" t="s">
        <v>224</v>
      </c>
      <c r="U319" s="158"/>
      <c r="V319" s="153" t="str">
        <f t="array" ref="V319">INDEX(xlRTCLNAME,MATCH(1,(xlRTCLENDU=1)*(xlRTCLEQCL=$D319),0))</f>
        <v>DIST_FA</v>
      </c>
      <c r="W319" s="153" t="str">
        <f t="array" ref="W319">INDEX(xlRTCLNAME,MATCH(1,(xlRTCLENDU=2)*(xlRTCLEQCL=$F319),0))</f>
        <v>CENT_AIR</v>
      </c>
      <c r="X319" s="153" t="str">
        <f t="array" ref="X319">INDEX(xlRTTYNAME,MATCH(1,(xlRTTYENDU=1)*(xlRTTYEQCL=$D319)*(xlRTEQTYPE=$E319),0))</f>
        <v>DIST_FA1</v>
      </c>
      <c r="Y319" s="153" t="str">
        <f t="array" ref="Y319">INDEX(xlRTTYNAME,MATCH(1,(xlRTTYENDU=2)*(xlRTTYEQCL=$F319)*(xlRTEQTYPE=$G319),0))</f>
        <v>CENT_AIR1</v>
      </c>
    </row>
    <row r="320" spans="2:25" x14ac:dyDescent="0.2">
      <c r="B320" s="126">
        <v>4</v>
      </c>
      <c r="C320" s="126">
        <v>1</v>
      </c>
      <c r="D320" s="126">
        <v>7</v>
      </c>
      <c r="E320" s="126">
        <v>22</v>
      </c>
      <c r="F320" s="126">
        <v>2</v>
      </c>
      <c r="G320" s="126">
        <v>6</v>
      </c>
      <c r="H320" s="126">
        <v>2023</v>
      </c>
      <c r="I320" s="126">
        <v>2050</v>
      </c>
      <c r="J320" s="127">
        <v>1.0342</v>
      </c>
      <c r="K320" s="127">
        <v>1.0769</v>
      </c>
      <c r="L320" s="127">
        <v>0.5776</v>
      </c>
      <c r="M320" s="127">
        <v>0.90200000000000002</v>
      </c>
      <c r="N320" s="127">
        <v>0.85760000000000003</v>
      </c>
      <c r="O320" s="127">
        <v>1.0538000000000001</v>
      </c>
      <c r="P320" s="126">
        <v>7751</v>
      </c>
      <c r="Q320" s="128">
        <f t="array" ref="Q320">SUM(IF(($S320&gt;=4)*($C320='TaxCred&amp;Subs'!$D$123:$D$127)*($H320='TaxCred&amp;Subs'!$C$123:$C$127)*($H320&lt;='TaxCred&amp;Subs'!$C$129),'TaxCred&amp;Subs'!$E$123:$E$127,0))</f>
        <v>0</v>
      </c>
      <c r="R320" s="174">
        <v>0</v>
      </c>
      <c r="S320" s="126">
        <v>2</v>
      </c>
      <c r="T320" s="126" t="s">
        <v>224</v>
      </c>
      <c r="U320" s="158"/>
      <c r="V320" s="153" t="str">
        <f t="array" ref="V320">INDEX(xlRTCLNAME,MATCH(1,(xlRTCLENDU=1)*(xlRTCLEQCL=$D320),0))</f>
        <v>DIST_FA</v>
      </c>
      <c r="W320" s="153" t="str">
        <f t="array" ref="W320">INDEX(xlRTCLNAME,MATCH(1,(xlRTCLENDU=2)*(xlRTCLEQCL=$F320),0))</f>
        <v>CENT_AIR</v>
      </c>
      <c r="X320" s="153" t="str">
        <f t="array" ref="X320">INDEX(xlRTTYNAME,MATCH(1,(xlRTTYENDU=1)*(xlRTTYEQCL=$D320)*(xlRTEQTYPE=$E320),0))</f>
        <v>DIST_FA1</v>
      </c>
      <c r="Y320" s="153" t="str">
        <f t="array" ref="Y320">INDEX(xlRTTYNAME,MATCH(1,(xlRTTYENDU=2)*(xlRTTYEQCL=$F320)*(xlRTEQTYPE=$G320),0))</f>
        <v>CENT_AIR2</v>
      </c>
    </row>
    <row r="321" spans="2:25" x14ac:dyDescent="0.2">
      <c r="B321" s="126">
        <v>5</v>
      </c>
      <c r="C321" s="126">
        <v>1</v>
      </c>
      <c r="D321" s="126">
        <v>7</v>
      </c>
      <c r="E321" s="126">
        <v>22</v>
      </c>
      <c r="F321" s="126">
        <v>2</v>
      </c>
      <c r="G321" s="126">
        <v>5</v>
      </c>
      <c r="H321" s="126">
        <v>2016</v>
      </c>
      <c r="I321" s="126">
        <v>2022</v>
      </c>
      <c r="J321" s="127">
        <v>1.0847</v>
      </c>
      <c r="K321" s="127">
        <v>1.056</v>
      </c>
      <c r="L321" s="127">
        <v>0.75639999999999996</v>
      </c>
      <c r="M321" s="127">
        <v>0.94750000000000001</v>
      </c>
      <c r="N321" s="127">
        <v>0.76280000000000003</v>
      </c>
      <c r="O321" s="127">
        <v>1.0538000000000001</v>
      </c>
      <c r="P321" s="126">
        <v>7228</v>
      </c>
      <c r="Q321" s="128">
        <f t="array" ref="Q321">SUM(IF(($S321&gt;=4)*($C321='TaxCred&amp;Subs'!$D$123:$D$127)*($H321='TaxCred&amp;Subs'!$C$123:$C$127)*($H321&lt;='TaxCred&amp;Subs'!$C$129),'TaxCred&amp;Subs'!$E$123:$E$127,0))</f>
        <v>0</v>
      </c>
      <c r="R321" s="174">
        <v>0</v>
      </c>
      <c r="S321" s="126">
        <v>2</v>
      </c>
      <c r="T321" s="126" t="s">
        <v>224</v>
      </c>
      <c r="U321" s="158"/>
      <c r="V321" s="153" t="str">
        <f t="array" ref="V321">INDEX(xlRTCLNAME,MATCH(1,(xlRTCLENDU=1)*(xlRTCLEQCL=$D321),0))</f>
        <v>DIST_FA</v>
      </c>
      <c r="W321" s="153" t="str">
        <f t="array" ref="W321">INDEX(xlRTCLNAME,MATCH(1,(xlRTCLENDU=2)*(xlRTCLEQCL=$F321),0))</f>
        <v>CENT_AIR</v>
      </c>
      <c r="X321" s="153" t="str">
        <f t="array" ref="X321">INDEX(xlRTTYNAME,MATCH(1,(xlRTTYENDU=1)*(xlRTTYEQCL=$D321)*(xlRTEQTYPE=$E321),0))</f>
        <v>DIST_FA1</v>
      </c>
      <c r="Y321" s="153" t="str">
        <f t="array" ref="Y321">INDEX(xlRTTYNAME,MATCH(1,(xlRTTYENDU=2)*(xlRTTYEQCL=$F321)*(xlRTEQTYPE=$G321),0))</f>
        <v>CENT_AIR1</v>
      </c>
    </row>
    <row r="322" spans="2:25" x14ac:dyDescent="0.2">
      <c r="B322" s="126">
        <v>5</v>
      </c>
      <c r="C322" s="126">
        <v>1</v>
      </c>
      <c r="D322" s="126">
        <v>7</v>
      </c>
      <c r="E322" s="126">
        <v>22</v>
      </c>
      <c r="F322" s="126">
        <v>2</v>
      </c>
      <c r="G322" s="126">
        <v>6</v>
      </c>
      <c r="H322" s="126">
        <v>2023</v>
      </c>
      <c r="I322" s="126">
        <v>2050</v>
      </c>
      <c r="J322" s="127">
        <v>1.0847</v>
      </c>
      <c r="K322" s="127">
        <v>1.056</v>
      </c>
      <c r="L322" s="127">
        <v>0.75639999999999996</v>
      </c>
      <c r="M322" s="127">
        <v>0.94750000000000001</v>
      </c>
      <c r="N322" s="127">
        <v>0.76280000000000003</v>
      </c>
      <c r="O322" s="127">
        <v>1.0538000000000001</v>
      </c>
      <c r="P322" s="126">
        <v>7228</v>
      </c>
      <c r="Q322" s="128">
        <f t="array" ref="Q322">SUM(IF(($S322&gt;=4)*($C322='TaxCred&amp;Subs'!$D$123:$D$127)*($H322='TaxCred&amp;Subs'!$C$123:$C$127)*($H322&lt;='TaxCred&amp;Subs'!$C$129),'TaxCred&amp;Subs'!$E$123:$E$127,0))</f>
        <v>0</v>
      </c>
      <c r="R322" s="174">
        <v>0</v>
      </c>
      <c r="S322" s="126">
        <v>2</v>
      </c>
      <c r="T322" s="126" t="s">
        <v>224</v>
      </c>
      <c r="U322" s="158"/>
      <c r="V322" s="153" t="str">
        <f t="array" ref="V322">INDEX(xlRTCLNAME,MATCH(1,(xlRTCLENDU=1)*(xlRTCLEQCL=$D322),0))</f>
        <v>DIST_FA</v>
      </c>
      <c r="W322" s="153" t="str">
        <f t="array" ref="W322">INDEX(xlRTCLNAME,MATCH(1,(xlRTCLENDU=2)*(xlRTCLEQCL=$F322),0))</f>
        <v>CENT_AIR</v>
      </c>
      <c r="X322" s="153" t="str">
        <f t="array" ref="X322">INDEX(xlRTTYNAME,MATCH(1,(xlRTTYENDU=1)*(xlRTTYEQCL=$D322)*(xlRTEQTYPE=$E322),0))</f>
        <v>DIST_FA1</v>
      </c>
      <c r="Y322" s="153" t="str">
        <f t="array" ref="Y322">INDEX(xlRTTYNAME,MATCH(1,(xlRTTYENDU=2)*(xlRTTYEQCL=$F322)*(xlRTEQTYPE=$G322),0))</f>
        <v>CENT_AIR2</v>
      </c>
    </row>
    <row r="323" spans="2:25" x14ac:dyDescent="0.2">
      <c r="B323" s="126">
        <v>6</v>
      </c>
      <c r="C323" s="126">
        <v>1</v>
      </c>
      <c r="D323" s="126">
        <v>7</v>
      </c>
      <c r="E323" s="126">
        <v>22</v>
      </c>
      <c r="F323" s="126">
        <v>2</v>
      </c>
      <c r="G323" s="126">
        <v>5</v>
      </c>
      <c r="H323" s="126">
        <v>2016</v>
      </c>
      <c r="I323" s="126">
        <v>2022</v>
      </c>
      <c r="J323" s="127">
        <v>1.0907</v>
      </c>
      <c r="K323" s="127">
        <v>1.0603</v>
      </c>
      <c r="L323" s="127">
        <v>0.88580000000000003</v>
      </c>
      <c r="M323" s="127">
        <v>0.93910000000000005</v>
      </c>
      <c r="N323" s="127">
        <v>0.89139999999999997</v>
      </c>
      <c r="O323" s="127">
        <v>1.0538000000000001</v>
      </c>
      <c r="P323" s="126">
        <v>6681</v>
      </c>
      <c r="Q323" s="128">
        <f t="array" ref="Q323">SUM(IF(($S323&gt;=4)*($C323='TaxCred&amp;Subs'!$D$123:$D$127)*($H323='TaxCred&amp;Subs'!$C$123:$C$127)*($H323&lt;='TaxCred&amp;Subs'!$C$129),'TaxCred&amp;Subs'!$E$123:$E$127,0))</f>
        <v>0</v>
      </c>
      <c r="R323" s="174">
        <v>0</v>
      </c>
      <c r="S323" s="126">
        <v>2</v>
      </c>
      <c r="T323" s="126" t="s">
        <v>224</v>
      </c>
      <c r="U323" s="158"/>
      <c r="V323" s="153" t="str">
        <f t="array" ref="V323">INDEX(xlRTCLNAME,MATCH(1,(xlRTCLENDU=1)*(xlRTCLEQCL=$D323),0))</f>
        <v>DIST_FA</v>
      </c>
      <c r="W323" s="153" t="str">
        <f t="array" ref="W323">INDEX(xlRTCLNAME,MATCH(1,(xlRTCLENDU=2)*(xlRTCLEQCL=$F323),0))</f>
        <v>CENT_AIR</v>
      </c>
      <c r="X323" s="153" t="str">
        <f t="array" ref="X323">INDEX(xlRTTYNAME,MATCH(1,(xlRTTYENDU=1)*(xlRTTYEQCL=$D323)*(xlRTEQTYPE=$E323),0))</f>
        <v>DIST_FA1</v>
      </c>
      <c r="Y323" s="153" t="str">
        <f t="array" ref="Y323">INDEX(xlRTTYNAME,MATCH(1,(xlRTTYENDU=2)*(xlRTTYEQCL=$F323)*(xlRTEQTYPE=$G323),0))</f>
        <v>CENT_AIR1</v>
      </c>
    </row>
    <row r="324" spans="2:25" x14ac:dyDescent="0.2">
      <c r="B324" s="126">
        <v>6</v>
      </c>
      <c r="C324" s="126">
        <v>1</v>
      </c>
      <c r="D324" s="126">
        <v>7</v>
      </c>
      <c r="E324" s="126">
        <v>22</v>
      </c>
      <c r="F324" s="126">
        <v>2</v>
      </c>
      <c r="G324" s="126">
        <v>6</v>
      </c>
      <c r="H324" s="126">
        <v>2023</v>
      </c>
      <c r="I324" s="126">
        <v>2050</v>
      </c>
      <c r="J324" s="127">
        <v>1.0907</v>
      </c>
      <c r="K324" s="127">
        <v>1.0603</v>
      </c>
      <c r="L324" s="127">
        <v>0.88580000000000003</v>
      </c>
      <c r="M324" s="127">
        <v>0.93910000000000005</v>
      </c>
      <c r="N324" s="127">
        <v>0.89139999999999997</v>
      </c>
      <c r="O324" s="127">
        <v>1.0538000000000001</v>
      </c>
      <c r="P324" s="126">
        <v>6681</v>
      </c>
      <c r="Q324" s="128">
        <f t="array" ref="Q324">SUM(IF(($S324&gt;=4)*($C324='TaxCred&amp;Subs'!$D$123:$D$127)*($H324='TaxCred&amp;Subs'!$C$123:$C$127)*($H324&lt;='TaxCred&amp;Subs'!$C$129),'TaxCred&amp;Subs'!$E$123:$E$127,0))</f>
        <v>0</v>
      </c>
      <c r="R324" s="174">
        <v>0</v>
      </c>
      <c r="S324" s="126">
        <v>2</v>
      </c>
      <c r="T324" s="126" t="s">
        <v>224</v>
      </c>
      <c r="U324" s="158"/>
      <c r="V324" s="153" t="str">
        <f t="array" ref="V324">INDEX(xlRTCLNAME,MATCH(1,(xlRTCLENDU=1)*(xlRTCLEQCL=$D324),0))</f>
        <v>DIST_FA</v>
      </c>
      <c r="W324" s="153" t="str">
        <f t="array" ref="W324">INDEX(xlRTCLNAME,MATCH(1,(xlRTCLENDU=2)*(xlRTCLEQCL=$F324),0))</f>
        <v>CENT_AIR</v>
      </c>
      <c r="X324" s="153" t="str">
        <f t="array" ref="X324">INDEX(xlRTTYNAME,MATCH(1,(xlRTTYENDU=1)*(xlRTTYEQCL=$D324)*(xlRTEQTYPE=$E324),0))</f>
        <v>DIST_FA1</v>
      </c>
      <c r="Y324" s="153" t="str">
        <f t="array" ref="Y324">INDEX(xlRTTYNAME,MATCH(1,(xlRTTYENDU=2)*(xlRTTYEQCL=$F324)*(xlRTEQTYPE=$G324),0))</f>
        <v>CENT_AIR2</v>
      </c>
    </row>
    <row r="325" spans="2:25" x14ac:dyDescent="0.2">
      <c r="B325" s="126">
        <v>7</v>
      </c>
      <c r="C325" s="126">
        <v>1</v>
      </c>
      <c r="D325" s="126">
        <v>7</v>
      </c>
      <c r="E325" s="126">
        <v>22</v>
      </c>
      <c r="F325" s="126">
        <v>2</v>
      </c>
      <c r="G325" s="126">
        <v>5</v>
      </c>
      <c r="H325" s="126">
        <v>2016</v>
      </c>
      <c r="I325" s="126">
        <v>2022</v>
      </c>
      <c r="J325" s="127">
        <v>1.0885</v>
      </c>
      <c r="K325" s="127">
        <v>1.0575000000000001</v>
      </c>
      <c r="L325" s="127">
        <v>0.89910000000000001</v>
      </c>
      <c r="M325" s="127">
        <v>0.86550000000000005</v>
      </c>
      <c r="N325" s="127">
        <v>0.872</v>
      </c>
      <c r="O325" s="127">
        <v>1.0538000000000001</v>
      </c>
      <c r="P325" s="126">
        <v>6258</v>
      </c>
      <c r="Q325" s="128">
        <f t="array" ref="Q325">SUM(IF(($S325&gt;=4)*($C325='TaxCred&amp;Subs'!$D$123:$D$127)*($H325='TaxCred&amp;Subs'!$C$123:$C$127)*($H325&lt;='TaxCred&amp;Subs'!$C$129),'TaxCred&amp;Subs'!$E$123:$E$127,0))</f>
        <v>0</v>
      </c>
      <c r="R325" s="174">
        <v>0</v>
      </c>
      <c r="S325" s="126">
        <v>2</v>
      </c>
      <c r="T325" s="126" t="s">
        <v>224</v>
      </c>
      <c r="U325" s="158"/>
      <c r="V325" s="153" t="str">
        <f t="array" ref="V325">INDEX(xlRTCLNAME,MATCH(1,(xlRTCLENDU=1)*(xlRTCLEQCL=$D325),0))</f>
        <v>DIST_FA</v>
      </c>
      <c r="W325" s="153" t="str">
        <f t="array" ref="W325">INDEX(xlRTCLNAME,MATCH(1,(xlRTCLENDU=2)*(xlRTCLEQCL=$F325),0))</f>
        <v>CENT_AIR</v>
      </c>
      <c r="X325" s="153" t="str">
        <f t="array" ref="X325">INDEX(xlRTTYNAME,MATCH(1,(xlRTTYENDU=1)*(xlRTTYEQCL=$D325)*(xlRTEQTYPE=$E325),0))</f>
        <v>DIST_FA1</v>
      </c>
      <c r="Y325" s="153" t="str">
        <f t="array" ref="Y325">INDEX(xlRTTYNAME,MATCH(1,(xlRTTYENDU=2)*(xlRTTYEQCL=$F325)*(xlRTEQTYPE=$G325),0))</f>
        <v>CENT_AIR1</v>
      </c>
    </row>
    <row r="326" spans="2:25" x14ac:dyDescent="0.2">
      <c r="B326" s="126">
        <v>7</v>
      </c>
      <c r="C326" s="126">
        <v>1</v>
      </c>
      <c r="D326" s="126">
        <v>7</v>
      </c>
      <c r="E326" s="126">
        <v>22</v>
      </c>
      <c r="F326" s="126">
        <v>2</v>
      </c>
      <c r="G326" s="126">
        <v>6</v>
      </c>
      <c r="H326" s="126">
        <v>2023</v>
      </c>
      <c r="I326" s="126">
        <v>2050</v>
      </c>
      <c r="J326" s="127">
        <v>1.0885</v>
      </c>
      <c r="K326" s="127">
        <v>1.0575000000000001</v>
      </c>
      <c r="L326" s="127">
        <v>0.89910000000000001</v>
      </c>
      <c r="M326" s="127">
        <v>0.86550000000000005</v>
      </c>
      <c r="N326" s="127">
        <v>0.872</v>
      </c>
      <c r="O326" s="127">
        <v>1.0538000000000001</v>
      </c>
      <c r="P326" s="126">
        <v>6258</v>
      </c>
      <c r="Q326" s="128">
        <f t="array" ref="Q326">SUM(IF(($S326&gt;=4)*($C326='TaxCred&amp;Subs'!$D$123:$D$127)*($H326='TaxCred&amp;Subs'!$C$123:$C$127)*($H326&lt;='TaxCred&amp;Subs'!$C$129),'TaxCred&amp;Subs'!$E$123:$E$127,0))</f>
        <v>0</v>
      </c>
      <c r="R326" s="174">
        <v>0</v>
      </c>
      <c r="S326" s="126">
        <v>2</v>
      </c>
      <c r="T326" s="126" t="s">
        <v>224</v>
      </c>
      <c r="U326" s="158"/>
      <c r="V326" s="153" t="str">
        <f t="array" ref="V326">INDEX(xlRTCLNAME,MATCH(1,(xlRTCLENDU=1)*(xlRTCLEQCL=$D326),0))</f>
        <v>DIST_FA</v>
      </c>
      <c r="W326" s="153" t="str">
        <f t="array" ref="W326">INDEX(xlRTCLNAME,MATCH(1,(xlRTCLENDU=2)*(xlRTCLEQCL=$F326),0))</f>
        <v>CENT_AIR</v>
      </c>
      <c r="X326" s="153" t="str">
        <f t="array" ref="X326">INDEX(xlRTTYNAME,MATCH(1,(xlRTTYENDU=1)*(xlRTTYEQCL=$D326)*(xlRTEQTYPE=$E326),0))</f>
        <v>DIST_FA1</v>
      </c>
      <c r="Y326" s="153" t="str">
        <f t="array" ref="Y326">INDEX(xlRTTYNAME,MATCH(1,(xlRTTYENDU=2)*(xlRTTYEQCL=$F326)*(xlRTEQTYPE=$G326),0))</f>
        <v>CENT_AIR2</v>
      </c>
    </row>
    <row r="327" spans="2:25" x14ac:dyDescent="0.2">
      <c r="B327" s="126">
        <v>8</v>
      </c>
      <c r="C327" s="126">
        <v>1</v>
      </c>
      <c r="D327" s="126">
        <v>7</v>
      </c>
      <c r="E327" s="126">
        <v>22</v>
      </c>
      <c r="F327" s="126">
        <v>2</v>
      </c>
      <c r="G327" s="126">
        <v>5</v>
      </c>
      <c r="H327" s="126">
        <v>2016</v>
      </c>
      <c r="I327" s="126">
        <v>2022</v>
      </c>
      <c r="J327" s="127">
        <v>1.0838000000000001</v>
      </c>
      <c r="K327" s="127">
        <v>1.0832999999999999</v>
      </c>
      <c r="L327" s="127">
        <v>0.5948</v>
      </c>
      <c r="M327" s="127">
        <v>0.91349999999999998</v>
      </c>
      <c r="N327" s="127">
        <v>0.86950000000000005</v>
      </c>
      <c r="O327" s="127">
        <v>1.0538000000000001</v>
      </c>
      <c r="P327" s="126">
        <v>9530</v>
      </c>
      <c r="Q327" s="128">
        <f t="array" ref="Q327">SUM(IF(($S327&gt;=4)*($C327='TaxCred&amp;Subs'!$D$123:$D$127)*($H327='TaxCred&amp;Subs'!$C$123:$C$127)*($H327&lt;='TaxCred&amp;Subs'!$C$129),'TaxCred&amp;Subs'!$E$123:$E$127,0))</f>
        <v>0</v>
      </c>
      <c r="R327" s="174">
        <v>0</v>
      </c>
      <c r="S327" s="126">
        <v>2</v>
      </c>
      <c r="T327" s="126" t="s">
        <v>224</v>
      </c>
      <c r="U327" s="158"/>
      <c r="V327" s="153" t="str">
        <f t="array" ref="V327">INDEX(xlRTCLNAME,MATCH(1,(xlRTCLENDU=1)*(xlRTCLEQCL=$D327),0))</f>
        <v>DIST_FA</v>
      </c>
      <c r="W327" s="153" t="str">
        <f t="array" ref="W327">INDEX(xlRTCLNAME,MATCH(1,(xlRTCLENDU=2)*(xlRTCLEQCL=$F327),0))</f>
        <v>CENT_AIR</v>
      </c>
      <c r="X327" s="153" t="str">
        <f t="array" ref="X327">INDEX(xlRTTYNAME,MATCH(1,(xlRTTYENDU=1)*(xlRTTYEQCL=$D327)*(xlRTEQTYPE=$E327),0))</f>
        <v>DIST_FA1</v>
      </c>
      <c r="Y327" s="153" t="str">
        <f t="array" ref="Y327">INDEX(xlRTTYNAME,MATCH(1,(xlRTTYENDU=2)*(xlRTTYEQCL=$F327)*(xlRTEQTYPE=$G327),0))</f>
        <v>CENT_AIR1</v>
      </c>
    </row>
    <row r="328" spans="2:25" x14ac:dyDescent="0.2">
      <c r="B328" s="126">
        <v>8</v>
      </c>
      <c r="C328" s="126">
        <v>1</v>
      </c>
      <c r="D328" s="126">
        <v>7</v>
      </c>
      <c r="E328" s="126">
        <v>22</v>
      </c>
      <c r="F328" s="126">
        <v>2</v>
      </c>
      <c r="G328" s="126">
        <v>6</v>
      </c>
      <c r="H328" s="126">
        <v>2023</v>
      </c>
      <c r="I328" s="126">
        <v>2050</v>
      </c>
      <c r="J328" s="127">
        <v>1.0838000000000001</v>
      </c>
      <c r="K328" s="127">
        <v>1.0832999999999999</v>
      </c>
      <c r="L328" s="127">
        <v>0.5948</v>
      </c>
      <c r="M328" s="127">
        <v>0.91349999999999998</v>
      </c>
      <c r="N328" s="127">
        <v>0.86950000000000005</v>
      </c>
      <c r="O328" s="127">
        <v>1.0538000000000001</v>
      </c>
      <c r="P328" s="126">
        <v>9530</v>
      </c>
      <c r="Q328" s="128">
        <f t="array" ref="Q328">SUM(IF(($S328&gt;=4)*($C328='TaxCred&amp;Subs'!$D$123:$D$127)*($H328='TaxCred&amp;Subs'!$C$123:$C$127)*($H328&lt;='TaxCred&amp;Subs'!$C$129),'TaxCred&amp;Subs'!$E$123:$E$127,0))</f>
        <v>0</v>
      </c>
      <c r="R328" s="174">
        <v>0</v>
      </c>
      <c r="S328" s="126">
        <v>2</v>
      </c>
      <c r="T328" s="126" t="s">
        <v>224</v>
      </c>
      <c r="U328" s="158"/>
      <c r="V328" s="153" t="str">
        <f t="array" ref="V328">INDEX(xlRTCLNAME,MATCH(1,(xlRTCLENDU=1)*(xlRTCLEQCL=$D328),0))</f>
        <v>DIST_FA</v>
      </c>
      <c r="W328" s="153" t="str">
        <f t="array" ref="W328">INDEX(xlRTCLNAME,MATCH(1,(xlRTCLENDU=2)*(xlRTCLEQCL=$F328),0))</f>
        <v>CENT_AIR</v>
      </c>
      <c r="X328" s="153" t="str">
        <f t="array" ref="X328">INDEX(xlRTTYNAME,MATCH(1,(xlRTTYENDU=1)*(xlRTTYEQCL=$D328)*(xlRTEQTYPE=$E328),0))</f>
        <v>DIST_FA1</v>
      </c>
      <c r="Y328" s="153" t="str">
        <f t="array" ref="Y328">INDEX(xlRTTYNAME,MATCH(1,(xlRTTYENDU=2)*(xlRTTYEQCL=$F328)*(xlRTEQTYPE=$G328),0))</f>
        <v>CENT_AIR2</v>
      </c>
    </row>
    <row r="329" spans="2:25" x14ac:dyDescent="0.2">
      <c r="B329" s="126">
        <v>9</v>
      </c>
      <c r="C329" s="126">
        <v>1</v>
      </c>
      <c r="D329" s="126">
        <v>7</v>
      </c>
      <c r="E329" s="126">
        <v>22</v>
      </c>
      <c r="F329" s="126">
        <v>2</v>
      </c>
      <c r="G329" s="126">
        <v>5</v>
      </c>
      <c r="H329" s="126">
        <v>2016</v>
      </c>
      <c r="I329" s="126">
        <v>2022</v>
      </c>
      <c r="J329" s="127">
        <v>1.0790999999999999</v>
      </c>
      <c r="K329" s="127">
        <v>1.0722</v>
      </c>
      <c r="L329" s="127">
        <v>0.95489999999999997</v>
      </c>
      <c r="M329" s="127">
        <v>0.93600000000000005</v>
      </c>
      <c r="N329" s="127">
        <v>1.0336000000000001</v>
      </c>
      <c r="O329" s="127">
        <v>1.0538000000000001</v>
      </c>
      <c r="P329" s="126">
        <v>10154</v>
      </c>
      <c r="Q329" s="128">
        <f t="array" ref="Q329">SUM(IF(($S329&gt;=4)*($C329='TaxCred&amp;Subs'!$D$123:$D$127)*($H329='TaxCred&amp;Subs'!$C$123:$C$127)*($H329&lt;='TaxCred&amp;Subs'!$C$129),'TaxCred&amp;Subs'!$E$123:$E$127,0))</f>
        <v>0</v>
      </c>
      <c r="R329" s="174">
        <v>0</v>
      </c>
      <c r="S329" s="126">
        <v>2</v>
      </c>
      <c r="T329" s="126" t="s">
        <v>224</v>
      </c>
      <c r="U329" s="158"/>
      <c r="V329" s="153" t="str">
        <f t="array" ref="V329">INDEX(xlRTCLNAME,MATCH(1,(xlRTCLENDU=1)*(xlRTCLEQCL=$D329),0))</f>
        <v>DIST_FA</v>
      </c>
      <c r="W329" s="153" t="str">
        <f t="array" ref="W329">INDEX(xlRTCLNAME,MATCH(1,(xlRTCLENDU=2)*(xlRTCLEQCL=$F329),0))</f>
        <v>CENT_AIR</v>
      </c>
      <c r="X329" s="153" t="str">
        <f t="array" ref="X329">INDEX(xlRTTYNAME,MATCH(1,(xlRTTYENDU=1)*(xlRTTYEQCL=$D329)*(xlRTEQTYPE=$E329),0))</f>
        <v>DIST_FA1</v>
      </c>
      <c r="Y329" s="153" t="str">
        <f t="array" ref="Y329">INDEX(xlRTTYNAME,MATCH(1,(xlRTTYENDU=2)*(xlRTTYEQCL=$F329)*(xlRTEQTYPE=$G329),0))</f>
        <v>CENT_AIR1</v>
      </c>
    </row>
    <row r="330" spans="2:25" x14ac:dyDescent="0.2">
      <c r="B330" s="126">
        <v>9</v>
      </c>
      <c r="C330" s="126">
        <v>1</v>
      </c>
      <c r="D330" s="126">
        <v>7</v>
      </c>
      <c r="E330" s="126">
        <v>22</v>
      </c>
      <c r="F330" s="126">
        <v>2</v>
      </c>
      <c r="G330" s="126">
        <v>6</v>
      </c>
      <c r="H330" s="126">
        <v>2023</v>
      </c>
      <c r="I330" s="126">
        <v>2050</v>
      </c>
      <c r="J330" s="127">
        <v>1.0790999999999999</v>
      </c>
      <c r="K330" s="127">
        <v>1.0722</v>
      </c>
      <c r="L330" s="127">
        <v>0.95489999999999997</v>
      </c>
      <c r="M330" s="127">
        <v>0.93600000000000005</v>
      </c>
      <c r="N330" s="127">
        <v>1.0336000000000001</v>
      </c>
      <c r="O330" s="127">
        <v>1.0538000000000001</v>
      </c>
      <c r="P330" s="126">
        <v>10154</v>
      </c>
      <c r="Q330" s="128">
        <f t="array" ref="Q330">SUM(IF(($S330&gt;=4)*($C330='TaxCred&amp;Subs'!$D$123:$D$127)*($H330='TaxCred&amp;Subs'!$C$123:$C$127)*($H330&lt;='TaxCred&amp;Subs'!$C$129),'TaxCred&amp;Subs'!$E$123:$E$127,0))</f>
        <v>0</v>
      </c>
      <c r="R330" s="174">
        <v>0</v>
      </c>
      <c r="S330" s="126">
        <v>2</v>
      </c>
      <c r="T330" s="126" t="s">
        <v>224</v>
      </c>
      <c r="U330" s="158"/>
      <c r="V330" s="153" t="str">
        <f t="array" ref="V330">INDEX(xlRTCLNAME,MATCH(1,(xlRTCLENDU=1)*(xlRTCLEQCL=$D330),0))</f>
        <v>DIST_FA</v>
      </c>
      <c r="W330" s="153" t="str">
        <f t="array" ref="W330">INDEX(xlRTCLNAME,MATCH(1,(xlRTCLENDU=2)*(xlRTCLEQCL=$F330),0))</f>
        <v>CENT_AIR</v>
      </c>
      <c r="X330" s="153" t="str">
        <f t="array" ref="X330">INDEX(xlRTTYNAME,MATCH(1,(xlRTTYENDU=1)*(xlRTTYEQCL=$D330)*(xlRTEQTYPE=$E330),0))</f>
        <v>DIST_FA1</v>
      </c>
      <c r="Y330" s="153" t="str">
        <f t="array" ref="Y330">INDEX(xlRTTYNAME,MATCH(1,(xlRTTYENDU=2)*(xlRTTYEQCL=$F330)*(xlRTEQTYPE=$G330),0))</f>
        <v>CENT_AIR2</v>
      </c>
    </row>
    <row r="331" spans="2:25" x14ac:dyDescent="0.2">
      <c r="B331" s="126">
        <v>1</v>
      </c>
      <c r="C331" s="126">
        <v>1</v>
      </c>
      <c r="D331" s="126">
        <v>8</v>
      </c>
      <c r="E331" s="126">
        <v>26</v>
      </c>
      <c r="F331" s="126">
        <v>2</v>
      </c>
      <c r="G331" s="126">
        <v>5</v>
      </c>
      <c r="H331" s="126">
        <v>2016</v>
      </c>
      <c r="I331" s="126">
        <v>2022</v>
      </c>
      <c r="J331" s="127">
        <v>1.0592999999999999</v>
      </c>
      <c r="K331" s="127">
        <v>1.0889</v>
      </c>
      <c r="L331" s="127">
        <v>0.57969999999999999</v>
      </c>
      <c r="M331" s="127">
        <v>1.0176000000000001</v>
      </c>
      <c r="N331" s="127">
        <v>0.8095</v>
      </c>
      <c r="O331" s="127">
        <v>1.0538000000000001</v>
      </c>
      <c r="P331" s="126">
        <v>10471</v>
      </c>
      <c r="Q331" s="128">
        <f t="array" ref="Q331">SUM(IF(($S331&gt;=4)*($C331='TaxCred&amp;Subs'!$D$123:$D$127)*($H331='TaxCred&amp;Subs'!$C$123:$C$127)*($H331&lt;='TaxCred&amp;Subs'!$C$129),'TaxCred&amp;Subs'!$E$123:$E$127,0))</f>
        <v>0</v>
      </c>
      <c r="R331" s="174">
        <v>0</v>
      </c>
      <c r="S331" s="126">
        <v>2</v>
      </c>
      <c r="T331" s="126" t="s">
        <v>224</v>
      </c>
      <c r="U331" s="158"/>
      <c r="V331" s="153" t="str">
        <f t="array" ref="V331">INDEX(xlRTCLNAME,MATCH(1,(xlRTCLENDU=1)*(xlRTCLEQCL=$D331),0))</f>
        <v>DIST_RAD</v>
      </c>
      <c r="W331" s="153" t="str">
        <f t="array" ref="W331">INDEX(xlRTCLNAME,MATCH(1,(xlRTCLENDU=2)*(xlRTCLEQCL=$F331),0))</f>
        <v>CENT_AIR</v>
      </c>
      <c r="X331" s="153" t="str">
        <f t="array" ref="X331">INDEX(xlRTTYNAME,MATCH(1,(xlRTTYENDU=1)*(xlRTTYEQCL=$D331)*(xlRTEQTYPE=$E331),0))</f>
        <v>DIST_RAD1</v>
      </c>
      <c r="Y331" s="153" t="str">
        <f t="array" ref="Y331">INDEX(xlRTTYNAME,MATCH(1,(xlRTTYENDU=2)*(xlRTTYEQCL=$F331)*(xlRTEQTYPE=$G331),0))</f>
        <v>CENT_AIR1</v>
      </c>
    </row>
    <row r="332" spans="2:25" x14ac:dyDescent="0.2">
      <c r="B332" s="126">
        <v>1</v>
      </c>
      <c r="C332" s="126">
        <v>1</v>
      </c>
      <c r="D332" s="126">
        <v>8</v>
      </c>
      <c r="E332" s="126">
        <v>26</v>
      </c>
      <c r="F332" s="126">
        <v>2</v>
      </c>
      <c r="G332" s="126">
        <v>6</v>
      </c>
      <c r="H332" s="126">
        <v>2023</v>
      </c>
      <c r="I332" s="126">
        <v>2050</v>
      </c>
      <c r="J332" s="127">
        <v>1.0592999999999999</v>
      </c>
      <c r="K332" s="127">
        <v>1.0889</v>
      </c>
      <c r="L332" s="127">
        <v>0.57969999999999999</v>
      </c>
      <c r="M332" s="127">
        <v>1.0176000000000001</v>
      </c>
      <c r="N332" s="127">
        <v>0.8095</v>
      </c>
      <c r="O332" s="127">
        <v>1.0538000000000001</v>
      </c>
      <c r="P332" s="126">
        <v>10471</v>
      </c>
      <c r="Q332" s="128">
        <f t="array" ref="Q332">SUM(IF(($S332&gt;=4)*($C332='TaxCred&amp;Subs'!$D$123:$D$127)*($H332='TaxCred&amp;Subs'!$C$123:$C$127)*($H332&lt;='TaxCred&amp;Subs'!$C$129),'TaxCred&amp;Subs'!$E$123:$E$127,0))</f>
        <v>0</v>
      </c>
      <c r="R332" s="174">
        <v>0</v>
      </c>
      <c r="S332" s="126">
        <v>2</v>
      </c>
      <c r="T332" s="126" t="s">
        <v>224</v>
      </c>
      <c r="U332" s="158"/>
      <c r="V332" s="153" t="str">
        <f t="array" ref="V332">INDEX(xlRTCLNAME,MATCH(1,(xlRTCLENDU=1)*(xlRTCLEQCL=$D332),0))</f>
        <v>DIST_RAD</v>
      </c>
      <c r="W332" s="153" t="str">
        <f t="array" ref="W332">INDEX(xlRTCLNAME,MATCH(1,(xlRTCLENDU=2)*(xlRTCLEQCL=$F332),0))</f>
        <v>CENT_AIR</v>
      </c>
      <c r="X332" s="153" t="str">
        <f t="array" ref="X332">INDEX(xlRTTYNAME,MATCH(1,(xlRTTYENDU=1)*(xlRTTYEQCL=$D332)*(xlRTEQTYPE=$E332),0))</f>
        <v>DIST_RAD1</v>
      </c>
      <c r="Y332" s="153" t="str">
        <f t="array" ref="Y332">INDEX(xlRTTYNAME,MATCH(1,(xlRTTYENDU=2)*(xlRTTYEQCL=$F332)*(xlRTEQTYPE=$G332),0))</f>
        <v>CENT_AIR2</v>
      </c>
    </row>
    <row r="333" spans="2:25" x14ac:dyDescent="0.2">
      <c r="B333" s="126">
        <v>2</v>
      </c>
      <c r="C333" s="126">
        <v>1</v>
      </c>
      <c r="D333" s="126">
        <v>8</v>
      </c>
      <c r="E333" s="126">
        <v>26</v>
      </c>
      <c r="F333" s="126">
        <v>2</v>
      </c>
      <c r="G333" s="126">
        <v>5</v>
      </c>
      <c r="H333" s="126">
        <v>2016</v>
      </c>
      <c r="I333" s="126">
        <v>2022</v>
      </c>
      <c r="J333" s="127">
        <v>1.0717000000000001</v>
      </c>
      <c r="K333" s="127">
        <v>1.0895999999999999</v>
      </c>
      <c r="L333" s="127">
        <v>0.6885</v>
      </c>
      <c r="M333" s="127">
        <v>0.88419999999999999</v>
      </c>
      <c r="N333" s="127">
        <v>0.92630000000000001</v>
      </c>
      <c r="O333" s="127">
        <v>1.0538000000000001</v>
      </c>
      <c r="P333" s="126">
        <v>10166</v>
      </c>
      <c r="Q333" s="128">
        <f t="array" ref="Q333">SUM(IF(($S333&gt;=4)*($C333='TaxCred&amp;Subs'!$D$123:$D$127)*($H333='TaxCred&amp;Subs'!$C$123:$C$127)*($H333&lt;='TaxCred&amp;Subs'!$C$129),'TaxCred&amp;Subs'!$E$123:$E$127,0))</f>
        <v>0</v>
      </c>
      <c r="R333" s="174">
        <v>0</v>
      </c>
      <c r="S333" s="126">
        <v>2</v>
      </c>
      <c r="T333" s="126" t="s">
        <v>224</v>
      </c>
      <c r="U333" s="158"/>
      <c r="V333" s="153" t="str">
        <f t="array" ref="V333">INDEX(xlRTCLNAME,MATCH(1,(xlRTCLENDU=1)*(xlRTCLEQCL=$D333),0))</f>
        <v>DIST_RAD</v>
      </c>
      <c r="W333" s="153" t="str">
        <f t="array" ref="W333">INDEX(xlRTCLNAME,MATCH(1,(xlRTCLENDU=2)*(xlRTCLEQCL=$F333),0))</f>
        <v>CENT_AIR</v>
      </c>
      <c r="X333" s="153" t="str">
        <f t="array" ref="X333">INDEX(xlRTTYNAME,MATCH(1,(xlRTTYENDU=1)*(xlRTTYEQCL=$D333)*(xlRTEQTYPE=$E333),0))</f>
        <v>DIST_RAD1</v>
      </c>
      <c r="Y333" s="153" t="str">
        <f t="array" ref="Y333">INDEX(xlRTTYNAME,MATCH(1,(xlRTTYENDU=2)*(xlRTTYEQCL=$F333)*(xlRTEQTYPE=$G333),0))</f>
        <v>CENT_AIR1</v>
      </c>
    </row>
    <row r="334" spans="2:25" x14ac:dyDescent="0.2">
      <c r="B334" s="126">
        <v>2</v>
      </c>
      <c r="C334" s="126">
        <v>1</v>
      </c>
      <c r="D334" s="126">
        <v>8</v>
      </c>
      <c r="E334" s="126">
        <v>26</v>
      </c>
      <c r="F334" s="126">
        <v>2</v>
      </c>
      <c r="G334" s="126">
        <v>6</v>
      </c>
      <c r="H334" s="126">
        <v>2023</v>
      </c>
      <c r="I334" s="126">
        <v>2050</v>
      </c>
      <c r="J334" s="127">
        <v>1.0717000000000001</v>
      </c>
      <c r="K334" s="127">
        <v>1.0895999999999999</v>
      </c>
      <c r="L334" s="127">
        <v>0.6885</v>
      </c>
      <c r="M334" s="127">
        <v>0.88419999999999999</v>
      </c>
      <c r="N334" s="127">
        <v>0.92630000000000001</v>
      </c>
      <c r="O334" s="127">
        <v>1.0538000000000001</v>
      </c>
      <c r="P334" s="126">
        <v>10166</v>
      </c>
      <c r="Q334" s="128">
        <f t="array" ref="Q334">SUM(IF(($S334&gt;=4)*($C334='TaxCred&amp;Subs'!$D$123:$D$127)*($H334='TaxCred&amp;Subs'!$C$123:$C$127)*($H334&lt;='TaxCred&amp;Subs'!$C$129),'TaxCred&amp;Subs'!$E$123:$E$127,0))</f>
        <v>0</v>
      </c>
      <c r="R334" s="174">
        <v>0</v>
      </c>
      <c r="S334" s="126">
        <v>2</v>
      </c>
      <c r="T334" s="126" t="s">
        <v>224</v>
      </c>
      <c r="U334" s="158"/>
      <c r="V334" s="153" t="str">
        <f t="array" ref="V334">INDEX(xlRTCLNAME,MATCH(1,(xlRTCLENDU=1)*(xlRTCLEQCL=$D334),0))</f>
        <v>DIST_RAD</v>
      </c>
      <c r="W334" s="153" t="str">
        <f t="array" ref="W334">INDEX(xlRTCLNAME,MATCH(1,(xlRTCLENDU=2)*(xlRTCLEQCL=$F334),0))</f>
        <v>CENT_AIR</v>
      </c>
      <c r="X334" s="153" t="str">
        <f t="array" ref="X334">INDEX(xlRTTYNAME,MATCH(1,(xlRTTYENDU=1)*(xlRTTYEQCL=$D334)*(xlRTEQTYPE=$E334),0))</f>
        <v>DIST_RAD1</v>
      </c>
      <c r="Y334" s="153" t="str">
        <f t="array" ref="Y334">INDEX(xlRTTYNAME,MATCH(1,(xlRTTYENDU=2)*(xlRTTYEQCL=$F334)*(xlRTEQTYPE=$G334),0))</f>
        <v>CENT_AIR2</v>
      </c>
    </row>
    <row r="335" spans="2:25" x14ac:dyDescent="0.2">
      <c r="B335" s="126">
        <v>3</v>
      </c>
      <c r="C335" s="126">
        <v>1</v>
      </c>
      <c r="D335" s="126">
        <v>8</v>
      </c>
      <c r="E335" s="126">
        <v>26</v>
      </c>
      <c r="F335" s="126">
        <v>2</v>
      </c>
      <c r="G335" s="126">
        <v>5</v>
      </c>
      <c r="H335" s="126">
        <v>2016</v>
      </c>
      <c r="I335" s="126">
        <v>2022</v>
      </c>
      <c r="J335" s="127">
        <v>1.0821000000000001</v>
      </c>
      <c r="K335" s="127">
        <v>1.0769</v>
      </c>
      <c r="L335" s="127">
        <v>0.5655</v>
      </c>
      <c r="M335" s="127">
        <v>0.95530000000000004</v>
      </c>
      <c r="N335" s="127">
        <v>0.91400000000000003</v>
      </c>
      <c r="O335" s="127">
        <v>1.0538000000000001</v>
      </c>
      <c r="P335" s="126">
        <v>9625</v>
      </c>
      <c r="Q335" s="128">
        <f t="array" ref="Q335">SUM(IF(($S335&gt;=4)*($C335='TaxCred&amp;Subs'!$D$123:$D$127)*($H335='TaxCred&amp;Subs'!$C$123:$C$127)*($H335&lt;='TaxCred&amp;Subs'!$C$129),'TaxCred&amp;Subs'!$E$123:$E$127,0))</f>
        <v>0</v>
      </c>
      <c r="R335" s="174">
        <v>0</v>
      </c>
      <c r="S335" s="126">
        <v>2</v>
      </c>
      <c r="T335" s="126" t="s">
        <v>224</v>
      </c>
      <c r="U335" s="158"/>
      <c r="V335" s="153" t="str">
        <f t="array" ref="V335">INDEX(xlRTCLNAME,MATCH(1,(xlRTCLENDU=1)*(xlRTCLEQCL=$D335),0))</f>
        <v>DIST_RAD</v>
      </c>
      <c r="W335" s="153" t="str">
        <f t="array" ref="W335">INDEX(xlRTCLNAME,MATCH(1,(xlRTCLENDU=2)*(xlRTCLEQCL=$F335),0))</f>
        <v>CENT_AIR</v>
      </c>
      <c r="X335" s="153" t="str">
        <f t="array" ref="X335">INDEX(xlRTTYNAME,MATCH(1,(xlRTTYENDU=1)*(xlRTTYEQCL=$D335)*(xlRTEQTYPE=$E335),0))</f>
        <v>DIST_RAD1</v>
      </c>
      <c r="Y335" s="153" t="str">
        <f t="array" ref="Y335">INDEX(xlRTTYNAME,MATCH(1,(xlRTTYENDU=2)*(xlRTTYEQCL=$F335)*(xlRTEQTYPE=$G335),0))</f>
        <v>CENT_AIR1</v>
      </c>
    </row>
    <row r="336" spans="2:25" x14ac:dyDescent="0.2">
      <c r="B336" s="126">
        <v>3</v>
      </c>
      <c r="C336" s="126">
        <v>1</v>
      </c>
      <c r="D336" s="126">
        <v>8</v>
      </c>
      <c r="E336" s="126">
        <v>26</v>
      </c>
      <c r="F336" s="126">
        <v>2</v>
      </c>
      <c r="G336" s="126">
        <v>6</v>
      </c>
      <c r="H336" s="126">
        <v>2023</v>
      </c>
      <c r="I336" s="126">
        <v>2050</v>
      </c>
      <c r="J336" s="127">
        <v>1.0821000000000001</v>
      </c>
      <c r="K336" s="127">
        <v>1.0769</v>
      </c>
      <c r="L336" s="127">
        <v>0.5655</v>
      </c>
      <c r="M336" s="127">
        <v>0.95530000000000004</v>
      </c>
      <c r="N336" s="127">
        <v>0.91400000000000003</v>
      </c>
      <c r="O336" s="127">
        <v>1.0538000000000001</v>
      </c>
      <c r="P336" s="126">
        <v>9625</v>
      </c>
      <c r="Q336" s="128">
        <f t="array" ref="Q336">SUM(IF(($S336&gt;=4)*($C336='TaxCred&amp;Subs'!$D$123:$D$127)*($H336='TaxCred&amp;Subs'!$C$123:$C$127)*($H336&lt;='TaxCred&amp;Subs'!$C$129),'TaxCred&amp;Subs'!$E$123:$E$127,0))</f>
        <v>0</v>
      </c>
      <c r="R336" s="174">
        <v>0</v>
      </c>
      <c r="S336" s="126">
        <v>2</v>
      </c>
      <c r="T336" s="126" t="s">
        <v>224</v>
      </c>
      <c r="U336" s="158"/>
      <c r="V336" s="153" t="str">
        <f t="array" ref="V336">INDEX(xlRTCLNAME,MATCH(1,(xlRTCLENDU=1)*(xlRTCLEQCL=$D336),0))</f>
        <v>DIST_RAD</v>
      </c>
      <c r="W336" s="153" t="str">
        <f t="array" ref="W336">INDEX(xlRTCLNAME,MATCH(1,(xlRTCLENDU=2)*(xlRTCLEQCL=$F336),0))</f>
        <v>CENT_AIR</v>
      </c>
      <c r="X336" s="153" t="str">
        <f t="array" ref="X336">INDEX(xlRTTYNAME,MATCH(1,(xlRTTYENDU=1)*(xlRTTYEQCL=$D336)*(xlRTEQTYPE=$E336),0))</f>
        <v>DIST_RAD1</v>
      </c>
      <c r="Y336" s="153" t="str">
        <f t="array" ref="Y336">INDEX(xlRTTYNAME,MATCH(1,(xlRTTYENDU=2)*(xlRTTYEQCL=$F336)*(xlRTEQTYPE=$G336),0))</f>
        <v>CENT_AIR2</v>
      </c>
    </row>
    <row r="337" spans="2:25" x14ac:dyDescent="0.2">
      <c r="B337" s="126">
        <v>4</v>
      </c>
      <c r="C337" s="126">
        <v>1</v>
      </c>
      <c r="D337" s="126">
        <v>8</v>
      </c>
      <c r="E337" s="126">
        <v>26</v>
      </c>
      <c r="F337" s="126">
        <v>2</v>
      </c>
      <c r="G337" s="126">
        <v>5</v>
      </c>
      <c r="H337" s="126">
        <v>2016</v>
      </c>
      <c r="I337" s="126">
        <v>2022</v>
      </c>
      <c r="J337" s="127">
        <v>1.0812999999999999</v>
      </c>
      <c r="K337" s="127">
        <v>1.0769</v>
      </c>
      <c r="L337" s="127">
        <v>0.55759999999999998</v>
      </c>
      <c r="M337" s="127">
        <v>0.90200000000000002</v>
      </c>
      <c r="N337" s="127">
        <v>0.85660000000000003</v>
      </c>
      <c r="O337" s="127">
        <v>1.0538000000000001</v>
      </c>
      <c r="P337" s="126">
        <v>7817</v>
      </c>
      <c r="Q337" s="128">
        <f t="array" ref="Q337">SUM(IF(($S337&gt;=4)*($C337='TaxCred&amp;Subs'!$D$123:$D$127)*($H337='TaxCred&amp;Subs'!$C$123:$C$127)*($H337&lt;='TaxCred&amp;Subs'!$C$129),'TaxCred&amp;Subs'!$E$123:$E$127,0))</f>
        <v>0</v>
      </c>
      <c r="R337" s="174">
        <v>0</v>
      </c>
      <c r="S337" s="126">
        <v>2</v>
      </c>
      <c r="T337" s="126" t="s">
        <v>224</v>
      </c>
      <c r="U337" s="158"/>
      <c r="V337" s="153" t="str">
        <f t="array" ref="V337">INDEX(xlRTCLNAME,MATCH(1,(xlRTCLENDU=1)*(xlRTCLEQCL=$D337),0))</f>
        <v>DIST_RAD</v>
      </c>
      <c r="W337" s="153" t="str">
        <f t="array" ref="W337">INDEX(xlRTCLNAME,MATCH(1,(xlRTCLENDU=2)*(xlRTCLEQCL=$F337),0))</f>
        <v>CENT_AIR</v>
      </c>
      <c r="X337" s="153" t="str">
        <f t="array" ref="X337">INDEX(xlRTTYNAME,MATCH(1,(xlRTTYENDU=1)*(xlRTTYEQCL=$D337)*(xlRTEQTYPE=$E337),0))</f>
        <v>DIST_RAD1</v>
      </c>
      <c r="Y337" s="153" t="str">
        <f t="array" ref="Y337">INDEX(xlRTTYNAME,MATCH(1,(xlRTTYENDU=2)*(xlRTTYEQCL=$F337)*(xlRTEQTYPE=$G337),0))</f>
        <v>CENT_AIR1</v>
      </c>
    </row>
    <row r="338" spans="2:25" x14ac:dyDescent="0.2">
      <c r="B338" s="126">
        <v>4</v>
      </c>
      <c r="C338" s="126">
        <v>1</v>
      </c>
      <c r="D338" s="126">
        <v>8</v>
      </c>
      <c r="E338" s="126">
        <v>26</v>
      </c>
      <c r="F338" s="126">
        <v>2</v>
      </c>
      <c r="G338" s="126">
        <v>6</v>
      </c>
      <c r="H338" s="126">
        <v>2023</v>
      </c>
      <c r="I338" s="126">
        <v>2050</v>
      </c>
      <c r="J338" s="127">
        <v>1.0812999999999999</v>
      </c>
      <c r="K338" s="127">
        <v>1.0769</v>
      </c>
      <c r="L338" s="127">
        <v>0.55759999999999998</v>
      </c>
      <c r="M338" s="127">
        <v>0.90200000000000002</v>
      </c>
      <c r="N338" s="127">
        <v>0.85660000000000003</v>
      </c>
      <c r="O338" s="127">
        <v>1.0538000000000001</v>
      </c>
      <c r="P338" s="126">
        <v>7817</v>
      </c>
      <c r="Q338" s="128">
        <f t="array" ref="Q338">SUM(IF(($S338&gt;=4)*($C338='TaxCred&amp;Subs'!$D$123:$D$127)*($H338='TaxCred&amp;Subs'!$C$123:$C$127)*($H338&lt;='TaxCred&amp;Subs'!$C$129),'TaxCred&amp;Subs'!$E$123:$E$127,0))</f>
        <v>0</v>
      </c>
      <c r="R338" s="174">
        <v>0</v>
      </c>
      <c r="S338" s="126">
        <v>2</v>
      </c>
      <c r="T338" s="126" t="s">
        <v>224</v>
      </c>
      <c r="U338" s="158"/>
      <c r="V338" s="153" t="str">
        <f t="array" ref="V338">INDEX(xlRTCLNAME,MATCH(1,(xlRTCLENDU=1)*(xlRTCLEQCL=$D338),0))</f>
        <v>DIST_RAD</v>
      </c>
      <c r="W338" s="153" t="str">
        <f t="array" ref="W338">INDEX(xlRTCLNAME,MATCH(1,(xlRTCLENDU=2)*(xlRTCLEQCL=$F338),0))</f>
        <v>CENT_AIR</v>
      </c>
      <c r="X338" s="153" t="str">
        <f t="array" ref="X338">INDEX(xlRTTYNAME,MATCH(1,(xlRTTYENDU=1)*(xlRTTYEQCL=$D338)*(xlRTEQTYPE=$E338),0))</f>
        <v>DIST_RAD1</v>
      </c>
      <c r="Y338" s="153" t="str">
        <f t="array" ref="Y338">INDEX(xlRTTYNAME,MATCH(1,(xlRTTYENDU=2)*(xlRTTYEQCL=$F338)*(xlRTEQTYPE=$G338),0))</f>
        <v>CENT_AIR2</v>
      </c>
    </row>
    <row r="339" spans="2:25" x14ac:dyDescent="0.2">
      <c r="B339" s="126">
        <v>5</v>
      </c>
      <c r="C339" s="126">
        <v>1</v>
      </c>
      <c r="D339" s="126">
        <v>8</v>
      </c>
      <c r="E339" s="126">
        <v>26</v>
      </c>
      <c r="F339" s="126">
        <v>2</v>
      </c>
      <c r="G339" s="126">
        <v>5</v>
      </c>
      <c r="H339" s="126">
        <v>2016</v>
      </c>
      <c r="I339" s="126">
        <v>2022</v>
      </c>
      <c r="J339" s="127">
        <v>1.0838000000000001</v>
      </c>
      <c r="K339" s="127">
        <v>1.0465</v>
      </c>
      <c r="L339" s="127">
        <v>0.76639999999999997</v>
      </c>
      <c r="M339" s="127">
        <v>0.96250000000000002</v>
      </c>
      <c r="N339" s="127">
        <v>0.75670000000000004</v>
      </c>
      <c r="O339" s="127">
        <v>1.0538000000000001</v>
      </c>
      <c r="P339" s="126">
        <v>6683</v>
      </c>
      <c r="Q339" s="128">
        <f t="array" ref="Q339">SUM(IF(($S339&gt;=4)*($C339='TaxCred&amp;Subs'!$D$123:$D$127)*($H339='TaxCred&amp;Subs'!$C$123:$C$127)*($H339&lt;='TaxCred&amp;Subs'!$C$129),'TaxCred&amp;Subs'!$E$123:$E$127,0))</f>
        <v>0</v>
      </c>
      <c r="R339" s="174">
        <v>0</v>
      </c>
      <c r="S339" s="126">
        <v>2</v>
      </c>
      <c r="T339" s="126" t="s">
        <v>224</v>
      </c>
      <c r="U339" s="158"/>
      <c r="V339" s="153" t="str">
        <f t="array" ref="V339">INDEX(xlRTCLNAME,MATCH(1,(xlRTCLENDU=1)*(xlRTCLEQCL=$D339),0))</f>
        <v>DIST_RAD</v>
      </c>
      <c r="W339" s="153" t="str">
        <f t="array" ref="W339">INDEX(xlRTCLNAME,MATCH(1,(xlRTCLENDU=2)*(xlRTCLEQCL=$F339),0))</f>
        <v>CENT_AIR</v>
      </c>
      <c r="X339" s="153" t="str">
        <f t="array" ref="X339">INDEX(xlRTTYNAME,MATCH(1,(xlRTTYENDU=1)*(xlRTTYEQCL=$D339)*(xlRTEQTYPE=$E339),0))</f>
        <v>DIST_RAD1</v>
      </c>
      <c r="Y339" s="153" t="str">
        <f t="array" ref="Y339">INDEX(xlRTTYNAME,MATCH(1,(xlRTTYENDU=2)*(xlRTTYEQCL=$F339)*(xlRTEQTYPE=$G339),0))</f>
        <v>CENT_AIR1</v>
      </c>
    </row>
    <row r="340" spans="2:25" x14ac:dyDescent="0.2">
      <c r="B340" s="126">
        <v>5</v>
      </c>
      <c r="C340" s="126">
        <v>1</v>
      </c>
      <c r="D340" s="126">
        <v>8</v>
      </c>
      <c r="E340" s="126">
        <v>26</v>
      </c>
      <c r="F340" s="126">
        <v>2</v>
      </c>
      <c r="G340" s="126">
        <v>6</v>
      </c>
      <c r="H340" s="126">
        <v>2023</v>
      </c>
      <c r="I340" s="126">
        <v>2050</v>
      </c>
      <c r="J340" s="127">
        <v>1.0838000000000001</v>
      </c>
      <c r="K340" s="127">
        <v>1.0465</v>
      </c>
      <c r="L340" s="127">
        <v>0.76639999999999997</v>
      </c>
      <c r="M340" s="127">
        <v>0.96250000000000002</v>
      </c>
      <c r="N340" s="127">
        <v>0.75670000000000004</v>
      </c>
      <c r="O340" s="127">
        <v>1.0538000000000001</v>
      </c>
      <c r="P340" s="126">
        <v>6683</v>
      </c>
      <c r="Q340" s="128">
        <f t="array" ref="Q340">SUM(IF(($S340&gt;=4)*($C340='TaxCred&amp;Subs'!$D$123:$D$127)*($H340='TaxCred&amp;Subs'!$C$123:$C$127)*($H340&lt;='TaxCred&amp;Subs'!$C$129),'TaxCred&amp;Subs'!$E$123:$E$127,0))</f>
        <v>0</v>
      </c>
      <c r="R340" s="174">
        <v>0</v>
      </c>
      <c r="S340" s="126">
        <v>2</v>
      </c>
      <c r="T340" s="126" t="s">
        <v>224</v>
      </c>
      <c r="U340" s="158"/>
      <c r="V340" s="153" t="str">
        <f t="array" ref="V340">INDEX(xlRTCLNAME,MATCH(1,(xlRTCLENDU=1)*(xlRTCLEQCL=$D340),0))</f>
        <v>DIST_RAD</v>
      </c>
      <c r="W340" s="153" t="str">
        <f t="array" ref="W340">INDEX(xlRTCLNAME,MATCH(1,(xlRTCLENDU=2)*(xlRTCLEQCL=$F340),0))</f>
        <v>CENT_AIR</v>
      </c>
      <c r="X340" s="153" t="str">
        <f t="array" ref="X340">INDEX(xlRTTYNAME,MATCH(1,(xlRTTYENDU=1)*(xlRTTYEQCL=$D340)*(xlRTEQTYPE=$E340),0))</f>
        <v>DIST_RAD1</v>
      </c>
      <c r="Y340" s="153" t="str">
        <f t="array" ref="Y340">INDEX(xlRTTYNAME,MATCH(1,(xlRTTYENDU=2)*(xlRTTYEQCL=$F340)*(xlRTEQTYPE=$G340),0))</f>
        <v>CENT_AIR2</v>
      </c>
    </row>
    <row r="341" spans="2:25" x14ac:dyDescent="0.2">
      <c r="B341" s="126">
        <v>6</v>
      </c>
      <c r="C341" s="126">
        <v>1</v>
      </c>
      <c r="D341" s="126">
        <v>8</v>
      </c>
      <c r="E341" s="126">
        <v>26</v>
      </c>
      <c r="F341" s="126">
        <v>2</v>
      </c>
      <c r="G341" s="126">
        <v>5</v>
      </c>
      <c r="H341" s="126">
        <v>2016</v>
      </c>
      <c r="I341" s="126">
        <v>2022</v>
      </c>
      <c r="J341" s="127">
        <v>1.089</v>
      </c>
      <c r="K341" s="127">
        <v>1.0583</v>
      </c>
      <c r="L341" s="127">
        <v>0.9</v>
      </c>
      <c r="M341" s="127">
        <v>0.95589999999999997</v>
      </c>
      <c r="N341" s="127">
        <v>0.88849999999999996</v>
      </c>
      <c r="O341" s="127">
        <v>1.0538000000000001</v>
      </c>
      <c r="P341" s="126">
        <v>6393</v>
      </c>
      <c r="Q341" s="128">
        <f t="array" ref="Q341">SUM(IF(($S341&gt;=4)*($C341='TaxCred&amp;Subs'!$D$123:$D$127)*($H341='TaxCred&amp;Subs'!$C$123:$C$127)*($H341&lt;='TaxCred&amp;Subs'!$C$129),'TaxCred&amp;Subs'!$E$123:$E$127,0))</f>
        <v>0</v>
      </c>
      <c r="R341" s="174">
        <v>0</v>
      </c>
      <c r="S341" s="126">
        <v>2</v>
      </c>
      <c r="T341" s="126" t="s">
        <v>224</v>
      </c>
      <c r="U341" s="158"/>
      <c r="V341" s="153" t="str">
        <f t="array" ref="V341">INDEX(xlRTCLNAME,MATCH(1,(xlRTCLENDU=1)*(xlRTCLEQCL=$D341),0))</f>
        <v>DIST_RAD</v>
      </c>
      <c r="W341" s="153" t="str">
        <f t="array" ref="W341">INDEX(xlRTCLNAME,MATCH(1,(xlRTCLENDU=2)*(xlRTCLEQCL=$F341),0))</f>
        <v>CENT_AIR</v>
      </c>
      <c r="X341" s="153" t="str">
        <f t="array" ref="X341">INDEX(xlRTTYNAME,MATCH(1,(xlRTTYENDU=1)*(xlRTTYEQCL=$D341)*(xlRTEQTYPE=$E341),0))</f>
        <v>DIST_RAD1</v>
      </c>
      <c r="Y341" s="153" t="str">
        <f t="array" ref="Y341">INDEX(xlRTTYNAME,MATCH(1,(xlRTTYENDU=2)*(xlRTTYEQCL=$F341)*(xlRTEQTYPE=$G341),0))</f>
        <v>CENT_AIR1</v>
      </c>
    </row>
    <row r="342" spans="2:25" x14ac:dyDescent="0.2">
      <c r="B342" s="126">
        <v>6</v>
      </c>
      <c r="C342" s="126">
        <v>1</v>
      </c>
      <c r="D342" s="126">
        <v>8</v>
      </c>
      <c r="E342" s="126">
        <v>26</v>
      </c>
      <c r="F342" s="126">
        <v>2</v>
      </c>
      <c r="G342" s="126">
        <v>6</v>
      </c>
      <c r="H342" s="126">
        <v>2023</v>
      </c>
      <c r="I342" s="126">
        <v>2050</v>
      </c>
      <c r="J342" s="127">
        <v>1.089</v>
      </c>
      <c r="K342" s="127">
        <v>1.0583</v>
      </c>
      <c r="L342" s="127">
        <v>0.9</v>
      </c>
      <c r="M342" s="127">
        <v>0.95589999999999997</v>
      </c>
      <c r="N342" s="127">
        <v>0.88849999999999996</v>
      </c>
      <c r="O342" s="127">
        <v>1.0538000000000001</v>
      </c>
      <c r="P342" s="126">
        <v>6393</v>
      </c>
      <c r="Q342" s="128">
        <f t="array" ref="Q342">SUM(IF(($S342&gt;=4)*($C342='TaxCred&amp;Subs'!$D$123:$D$127)*($H342='TaxCred&amp;Subs'!$C$123:$C$127)*($H342&lt;='TaxCred&amp;Subs'!$C$129),'TaxCred&amp;Subs'!$E$123:$E$127,0))</f>
        <v>0</v>
      </c>
      <c r="R342" s="174">
        <v>0</v>
      </c>
      <c r="S342" s="126">
        <v>2</v>
      </c>
      <c r="T342" s="126" t="s">
        <v>224</v>
      </c>
      <c r="U342" s="158"/>
      <c r="V342" s="153" t="str">
        <f t="array" ref="V342">INDEX(xlRTCLNAME,MATCH(1,(xlRTCLENDU=1)*(xlRTCLEQCL=$D342),0))</f>
        <v>DIST_RAD</v>
      </c>
      <c r="W342" s="153" t="str">
        <f t="array" ref="W342">INDEX(xlRTCLNAME,MATCH(1,(xlRTCLENDU=2)*(xlRTCLEQCL=$F342),0))</f>
        <v>CENT_AIR</v>
      </c>
      <c r="X342" s="153" t="str">
        <f t="array" ref="X342">INDEX(xlRTTYNAME,MATCH(1,(xlRTTYENDU=1)*(xlRTTYEQCL=$D342)*(xlRTEQTYPE=$E342),0))</f>
        <v>DIST_RAD1</v>
      </c>
      <c r="Y342" s="153" t="str">
        <f t="array" ref="Y342">INDEX(xlRTTYNAME,MATCH(1,(xlRTTYENDU=2)*(xlRTTYEQCL=$F342)*(xlRTEQTYPE=$G342),0))</f>
        <v>CENT_AIR2</v>
      </c>
    </row>
    <row r="343" spans="2:25" x14ac:dyDescent="0.2">
      <c r="B343" s="126">
        <v>7</v>
      </c>
      <c r="C343" s="126">
        <v>1</v>
      </c>
      <c r="D343" s="126">
        <v>8</v>
      </c>
      <c r="E343" s="126">
        <v>26</v>
      </c>
      <c r="F343" s="126">
        <v>2</v>
      </c>
      <c r="G343" s="126">
        <v>5</v>
      </c>
      <c r="H343" s="126">
        <v>2016</v>
      </c>
      <c r="I343" s="126">
        <v>2022</v>
      </c>
      <c r="J343" s="127">
        <v>1.0867</v>
      </c>
      <c r="K343" s="127">
        <v>1.0682</v>
      </c>
      <c r="L343" s="127">
        <v>0.81220000000000003</v>
      </c>
      <c r="M343" s="127">
        <v>0.87150000000000005</v>
      </c>
      <c r="N343" s="127">
        <v>0.87180000000000002</v>
      </c>
      <c r="O343" s="127">
        <v>1.0538000000000001</v>
      </c>
      <c r="P343" s="126">
        <v>6290</v>
      </c>
      <c r="Q343" s="128">
        <f t="array" ref="Q343">SUM(IF(($S343&gt;=4)*($C343='TaxCred&amp;Subs'!$D$123:$D$127)*($H343='TaxCred&amp;Subs'!$C$123:$C$127)*($H343&lt;='TaxCred&amp;Subs'!$C$129),'TaxCred&amp;Subs'!$E$123:$E$127,0))</f>
        <v>0</v>
      </c>
      <c r="R343" s="174">
        <v>0</v>
      </c>
      <c r="S343" s="126">
        <v>2</v>
      </c>
      <c r="T343" s="126" t="s">
        <v>224</v>
      </c>
      <c r="U343" s="158"/>
      <c r="V343" s="153" t="str">
        <f t="array" ref="V343">INDEX(xlRTCLNAME,MATCH(1,(xlRTCLENDU=1)*(xlRTCLEQCL=$D343),0))</f>
        <v>DIST_RAD</v>
      </c>
      <c r="W343" s="153" t="str">
        <f t="array" ref="W343">INDEX(xlRTCLNAME,MATCH(1,(xlRTCLENDU=2)*(xlRTCLEQCL=$F343),0))</f>
        <v>CENT_AIR</v>
      </c>
      <c r="X343" s="153" t="str">
        <f t="array" ref="X343">INDEX(xlRTTYNAME,MATCH(1,(xlRTTYENDU=1)*(xlRTTYEQCL=$D343)*(xlRTEQTYPE=$E343),0))</f>
        <v>DIST_RAD1</v>
      </c>
      <c r="Y343" s="153" t="str">
        <f t="array" ref="Y343">INDEX(xlRTTYNAME,MATCH(1,(xlRTTYENDU=2)*(xlRTTYEQCL=$F343)*(xlRTEQTYPE=$G343),0))</f>
        <v>CENT_AIR1</v>
      </c>
    </row>
    <row r="344" spans="2:25" x14ac:dyDescent="0.2">
      <c r="B344" s="126">
        <v>7</v>
      </c>
      <c r="C344" s="126">
        <v>1</v>
      </c>
      <c r="D344" s="126">
        <v>8</v>
      </c>
      <c r="E344" s="126">
        <v>26</v>
      </c>
      <c r="F344" s="126">
        <v>2</v>
      </c>
      <c r="G344" s="126">
        <v>6</v>
      </c>
      <c r="H344" s="126">
        <v>2023</v>
      </c>
      <c r="I344" s="126">
        <v>2050</v>
      </c>
      <c r="J344" s="127">
        <v>1.0867</v>
      </c>
      <c r="K344" s="127">
        <v>1.0682</v>
      </c>
      <c r="L344" s="127">
        <v>0.81220000000000003</v>
      </c>
      <c r="M344" s="127">
        <v>0.87150000000000005</v>
      </c>
      <c r="N344" s="127">
        <v>0.87180000000000002</v>
      </c>
      <c r="O344" s="127">
        <v>1.0538000000000001</v>
      </c>
      <c r="P344" s="126">
        <v>6290</v>
      </c>
      <c r="Q344" s="128">
        <f t="array" ref="Q344">SUM(IF(($S344&gt;=4)*($C344='TaxCred&amp;Subs'!$D$123:$D$127)*($H344='TaxCred&amp;Subs'!$C$123:$C$127)*($H344&lt;='TaxCred&amp;Subs'!$C$129),'TaxCred&amp;Subs'!$E$123:$E$127,0))</f>
        <v>0</v>
      </c>
      <c r="R344" s="174">
        <v>0</v>
      </c>
      <c r="S344" s="126">
        <v>2</v>
      </c>
      <c r="T344" s="126" t="s">
        <v>224</v>
      </c>
      <c r="U344" s="158"/>
      <c r="V344" s="153" t="str">
        <f t="array" ref="V344">INDEX(xlRTCLNAME,MATCH(1,(xlRTCLENDU=1)*(xlRTCLEQCL=$D344),0))</f>
        <v>DIST_RAD</v>
      </c>
      <c r="W344" s="153" t="str">
        <f t="array" ref="W344">INDEX(xlRTCLNAME,MATCH(1,(xlRTCLENDU=2)*(xlRTCLEQCL=$F344),0))</f>
        <v>CENT_AIR</v>
      </c>
      <c r="X344" s="153" t="str">
        <f t="array" ref="X344">INDEX(xlRTTYNAME,MATCH(1,(xlRTTYENDU=1)*(xlRTTYEQCL=$D344)*(xlRTEQTYPE=$E344),0))</f>
        <v>DIST_RAD1</v>
      </c>
      <c r="Y344" s="153" t="str">
        <f t="array" ref="Y344">INDEX(xlRTTYNAME,MATCH(1,(xlRTTYENDU=2)*(xlRTTYEQCL=$F344)*(xlRTEQTYPE=$G344),0))</f>
        <v>CENT_AIR2</v>
      </c>
    </row>
    <row r="345" spans="2:25" x14ac:dyDescent="0.2">
      <c r="B345" s="126">
        <v>8</v>
      </c>
      <c r="C345" s="126">
        <v>1</v>
      </c>
      <c r="D345" s="126">
        <v>8</v>
      </c>
      <c r="E345" s="126">
        <v>26</v>
      </c>
      <c r="F345" s="126">
        <v>2</v>
      </c>
      <c r="G345" s="126">
        <v>5</v>
      </c>
      <c r="H345" s="126">
        <v>2016</v>
      </c>
      <c r="I345" s="126">
        <v>2022</v>
      </c>
      <c r="J345" s="127">
        <v>1.0820000000000001</v>
      </c>
      <c r="K345" s="127">
        <v>1.0832999999999999</v>
      </c>
      <c r="L345" s="127">
        <v>0.5806</v>
      </c>
      <c r="M345" s="127">
        <v>0.91349999999999998</v>
      </c>
      <c r="N345" s="127">
        <v>0.86439999999999995</v>
      </c>
      <c r="O345" s="127">
        <v>1.0538000000000001</v>
      </c>
      <c r="P345" s="126">
        <v>9530</v>
      </c>
      <c r="Q345" s="128">
        <f t="array" ref="Q345">SUM(IF(($S345&gt;=4)*($C345='TaxCred&amp;Subs'!$D$123:$D$127)*($H345='TaxCred&amp;Subs'!$C$123:$C$127)*($H345&lt;='TaxCred&amp;Subs'!$C$129),'TaxCred&amp;Subs'!$E$123:$E$127,0))</f>
        <v>0</v>
      </c>
      <c r="R345" s="174">
        <v>0</v>
      </c>
      <c r="S345" s="126">
        <v>2</v>
      </c>
      <c r="T345" s="126" t="s">
        <v>224</v>
      </c>
      <c r="U345" s="158"/>
      <c r="V345" s="153" t="str">
        <f t="array" ref="V345">INDEX(xlRTCLNAME,MATCH(1,(xlRTCLENDU=1)*(xlRTCLEQCL=$D345),0))</f>
        <v>DIST_RAD</v>
      </c>
      <c r="W345" s="153" t="str">
        <f t="array" ref="W345">INDEX(xlRTCLNAME,MATCH(1,(xlRTCLENDU=2)*(xlRTCLEQCL=$F345),0))</f>
        <v>CENT_AIR</v>
      </c>
      <c r="X345" s="153" t="str">
        <f t="array" ref="X345">INDEX(xlRTTYNAME,MATCH(1,(xlRTTYENDU=1)*(xlRTTYEQCL=$D345)*(xlRTEQTYPE=$E345),0))</f>
        <v>DIST_RAD1</v>
      </c>
      <c r="Y345" s="153" t="str">
        <f t="array" ref="Y345">INDEX(xlRTTYNAME,MATCH(1,(xlRTTYENDU=2)*(xlRTTYEQCL=$F345)*(xlRTEQTYPE=$G345),0))</f>
        <v>CENT_AIR1</v>
      </c>
    </row>
    <row r="346" spans="2:25" x14ac:dyDescent="0.2">
      <c r="B346" s="126">
        <v>8</v>
      </c>
      <c r="C346" s="126">
        <v>1</v>
      </c>
      <c r="D346" s="126">
        <v>8</v>
      </c>
      <c r="E346" s="126">
        <v>26</v>
      </c>
      <c r="F346" s="126">
        <v>2</v>
      </c>
      <c r="G346" s="126">
        <v>6</v>
      </c>
      <c r="H346" s="126">
        <v>2023</v>
      </c>
      <c r="I346" s="126">
        <v>2050</v>
      </c>
      <c r="J346" s="127">
        <v>1.0820000000000001</v>
      </c>
      <c r="K346" s="127">
        <v>1.0832999999999999</v>
      </c>
      <c r="L346" s="127">
        <v>0.5806</v>
      </c>
      <c r="M346" s="127">
        <v>0.91349999999999998</v>
      </c>
      <c r="N346" s="127">
        <v>0.86439999999999995</v>
      </c>
      <c r="O346" s="127">
        <v>1.0538000000000001</v>
      </c>
      <c r="P346" s="126">
        <v>9530</v>
      </c>
      <c r="Q346" s="128">
        <f t="array" ref="Q346">SUM(IF(($S346&gt;=4)*($C346='TaxCred&amp;Subs'!$D$123:$D$127)*($H346='TaxCred&amp;Subs'!$C$123:$C$127)*($H346&lt;='TaxCred&amp;Subs'!$C$129),'TaxCred&amp;Subs'!$E$123:$E$127,0))</f>
        <v>0</v>
      </c>
      <c r="R346" s="174">
        <v>0</v>
      </c>
      <c r="S346" s="126">
        <v>2</v>
      </c>
      <c r="T346" s="126" t="s">
        <v>224</v>
      </c>
      <c r="U346" s="158"/>
      <c r="V346" s="153" t="str">
        <f t="array" ref="V346">INDEX(xlRTCLNAME,MATCH(1,(xlRTCLENDU=1)*(xlRTCLEQCL=$D346),0))</f>
        <v>DIST_RAD</v>
      </c>
      <c r="W346" s="153" t="str">
        <f t="array" ref="W346">INDEX(xlRTCLNAME,MATCH(1,(xlRTCLENDU=2)*(xlRTCLEQCL=$F346),0))</f>
        <v>CENT_AIR</v>
      </c>
      <c r="X346" s="153" t="str">
        <f t="array" ref="X346">INDEX(xlRTTYNAME,MATCH(1,(xlRTTYENDU=1)*(xlRTTYEQCL=$D346)*(xlRTEQTYPE=$E346),0))</f>
        <v>DIST_RAD1</v>
      </c>
      <c r="Y346" s="153" t="str">
        <f t="array" ref="Y346">INDEX(xlRTTYNAME,MATCH(1,(xlRTTYENDU=2)*(xlRTTYEQCL=$F346)*(xlRTEQTYPE=$G346),0))</f>
        <v>CENT_AIR2</v>
      </c>
    </row>
    <row r="347" spans="2:25" x14ac:dyDescent="0.2">
      <c r="B347" s="126">
        <v>9</v>
      </c>
      <c r="C347" s="126">
        <v>1</v>
      </c>
      <c r="D347" s="126">
        <v>8</v>
      </c>
      <c r="E347" s="126">
        <v>26</v>
      </c>
      <c r="F347" s="126">
        <v>2</v>
      </c>
      <c r="G347" s="126">
        <v>5</v>
      </c>
      <c r="H347" s="126">
        <v>2016</v>
      </c>
      <c r="I347" s="126">
        <v>2022</v>
      </c>
      <c r="J347" s="127">
        <v>1.0414000000000001</v>
      </c>
      <c r="K347" s="127">
        <v>1.07</v>
      </c>
      <c r="L347" s="127">
        <v>0.9869</v>
      </c>
      <c r="M347" s="127">
        <v>0.95209999999999995</v>
      </c>
      <c r="N347" s="127">
        <v>1.026</v>
      </c>
      <c r="O347" s="127">
        <v>1.0538000000000001</v>
      </c>
      <c r="P347" s="126">
        <v>9776</v>
      </c>
      <c r="Q347" s="128">
        <f t="array" ref="Q347">SUM(IF(($S347&gt;=4)*($C347='TaxCred&amp;Subs'!$D$123:$D$127)*($H347='TaxCred&amp;Subs'!$C$123:$C$127)*($H347&lt;='TaxCred&amp;Subs'!$C$129),'TaxCred&amp;Subs'!$E$123:$E$127,0))</f>
        <v>0</v>
      </c>
      <c r="R347" s="174">
        <v>0</v>
      </c>
      <c r="S347" s="126">
        <v>2</v>
      </c>
      <c r="T347" s="126" t="s">
        <v>224</v>
      </c>
      <c r="U347" s="158"/>
      <c r="V347" s="153" t="str">
        <f t="array" ref="V347">INDEX(xlRTCLNAME,MATCH(1,(xlRTCLENDU=1)*(xlRTCLEQCL=$D347),0))</f>
        <v>DIST_RAD</v>
      </c>
      <c r="W347" s="153" t="str">
        <f t="array" ref="W347">INDEX(xlRTCLNAME,MATCH(1,(xlRTCLENDU=2)*(xlRTCLEQCL=$F347),0))</f>
        <v>CENT_AIR</v>
      </c>
      <c r="X347" s="153" t="str">
        <f t="array" ref="X347">INDEX(xlRTTYNAME,MATCH(1,(xlRTTYENDU=1)*(xlRTTYEQCL=$D347)*(xlRTEQTYPE=$E347),0))</f>
        <v>DIST_RAD1</v>
      </c>
      <c r="Y347" s="153" t="str">
        <f t="array" ref="Y347">INDEX(xlRTTYNAME,MATCH(1,(xlRTTYENDU=2)*(xlRTTYEQCL=$F347)*(xlRTEQTYPE=$G347),0))</f>
        <v>CENT_AIR1</v>
      </c>
    </row>
    <row r="348" spans="2:25" x14ac:dyDescent="0.2">
      <c r="B348" s="126">
        <v>9</v>
      </c>
      <c r="C348" s="126">
        <v>1</v>
      </c>
      <c r="D348" s="126">
        <v>8</v>
      </c>
      <c r="E348" s="126">
        <v>26</v>
      </c>
      <c r="F348" s="126">
        <v>2</v>
      </c>
      <c r="G348" s="126">
        <v>6</v>
      </c>
      <c r="H348" s="126">
        <v>2023</v>
      </c>
      <c r="I348" s="126">
        <v>2050</v>
      </c>
      <c r="J348" s="127">
        <v>1.0414000000000001</v>
      </c>
      <c r="K348" s="127">
        <v>1.07</v>
      </c>
      <c r="L348" s="127">
        <v>0.9869</v>
      </c>
      <c r="M348" s="127">
        <v>0.95209999999999995</v>
      </c>
      <c r="N348" s="127">
        <v>1.026</v>
      </c>
      <c r="O348" s="127">
        <v>1.0538000000000001</v>
      </c>
      <c r="P348" s="126">
        <v>9776</v>
      </c>
      <c r="Q348" s="128">
        <f t="array" ref="Q348">SUM(IF(($S348&gt;=4)*($C348='TaxCred&amp;Subs'!$D$123:$D$127)*($H348='TaxCred&amp;Subs'!$C$123:$C$127)*($H348&lt;='TaxCred&amp;Subs'!$C$129),'TaxCred&amp;Subs'!$E$123:$E$127,0))</f>
        <v>0</v>
      </c>
      <c r="R348" s="174">
        <v>0</v>
      </c>
      <c r="S348" s="126">
        <v>2</v>
      </c>
      <c r="T348" s="126" t="s">
        <v>224</v>
      </c>
      <c r="U348" s="158"/>
      <c r="V348" s="153" t="str">
        <f t="array" ref="V348">INDEX(xlRTCLNAME,MATCH(1,(xlRTCLENDU=1)*(xlRTCLEQCL=$D348),0))</f>
        <v>DIST_RAD</v>
      </c>
      <c r="W348" s="153" t="str">
        <f t="array" ref="W348">INDEX(xlRTCLNAME,MATCH(1,(xlRTCLENDU=2)*(xlRTCLEQCL=$F348),0))</f>
        <v>CENT_AIR</v>
      </c>
      <c r="X348" s="153" t="str">
        <f t="array" ref="X348">INDEX(xlRTTYNAME,MATCH(1,(xlRTTYENDU=1)*(xlRTTYEQCL=$D348)*(xlRTEQTYPE=$E348),0))</f>
        <v>DIST_RAD1</v>
      </c>
      <c r="Y348" s="153" t="str">
        <f t="array" ref="Y348">INDEX(xlRTTYNAME,MATCH(1,(xlRTTYENDU=2)*(xlRTTYEQCL=$F348)*(xlRTEQTYPE=$G348),0))</f>
        <v>CENT_AIR2</v>
      </c>
    </row>
    <row r="349" spans="2:25" x14ac:dyDescent="0.2">
      <c r="B349" s="126">
        <v>1</v>
      </c>
      <c r="C349" s="126">
        <v>1</v>
      </c>
      <c r="D349" s="126">
        <v>9</v>
      </c>
      <c r="E349" s="126">
        <v>30</v>
      </c>
      <c r="F349" s="126">
        <v>2</v>
      </c>
      <c r="G349" s="126">
        <v>5</v>
      </c>
      <c r="H349" s="126">
        <v>2016</v>
      </c>
      <c r="I349" s="126">
        <v>2022</v>
      </c>
      <c r="J349" s="127">
        <v>1.0592999999999999</v>
      </c>
      <c r="K349" s="127">
        <v>1.0889</v>
      </c>
      <c r="L349" s="127">
        <v>0.57969999999999999</v>
      </c>
      <c r="M349" s="127">
        <v>1.0176000000000001</v>
      </c>
      <c r="N349" s="127">
        <v>0.8095</v>
      </c>
      <c r="O349" s="127">
        <v>1.0538000000000001</v>
      </c>
      <c r="P349" s="126">
        <v>10471</v>
      </c>
      <c r="Q349" s="128">
        <f t="array" ref="Q349">SUM(IF(($S349&gt;=4)*($C349='TaxCred&amp;Subs'!$D$123:$D$127)*($H349='TaxCred&amp;Subs'!$C$123:$C$127)*($H349&lt;='TaxCred&amp;Subs'!$C$129),'TaxCred&amp;Subs'!$E$123:$E$127,0))</f>
        <v>0</v>
      </c>
      <c r="R349" s="174">
        <v>0</v>
      </c>
      <c r="S349" s="126">
        <v>2</v>
      </c>
      <c r="T349" s="126" t="s">
        <v>224</v>
      </c>
      <c r="U349" s="158"/>
      <c r="V349" s="153" t="str">
        <f t="array" ref="V349">INDEX(xlRTCLNAME,MATCH(1,(xlRTCLENDU=1)*(xlRTCLEQCL=$D349),0))</f>
        <v>WOOD_HT</v>
      </c>
      <c r="W349" s="153" t="str">
        <f t="array" ref="W349">INDEX(xlRTCLNAME,MATCH(1,(xlRTCLENDU=2)*(xlRTCLEQCL=$F349),0))</f>
        <v>CENT_AIR</v>
      </c>
      <c r="X349" s="153" t="str">
        <f t="array" ref="X349">INDEX(xlRTTYNAME,MATCH(1,(xlRTTYENDU=1)*(xlRTTYEQCL=$D349)*(xlRTEQTYPE=$E349),0))</f>
        <v>WOOD_HT2</v>
      </c>
      <c r="Y349" s="153" t="str">
        <f t="array" ref="Y349">INDEX(xlRTTYNAME,MATCH(1,(xlRTTYENDU=2)*(xlRTTYEQCL=$F349)*(xlRTEQTYPE=$G349),0))</f>
        <v>CENT_AIR1</v>
      </c>
    </row>
    <row r="350" spans="2:25" x14ac:dyDescent="0.2">
      <c r="B350" s="126">
        <v>1</v>
      </c>
      <c r="C350" s="126">
        <v>1</v>
      </c>
      <c r="D350" s="126">
        <v>9</v>
      </c>
      <c r="E350" s="126">
        <v>30</v>
      </c>
      <c r="F350" s="126">
        <v>2</v>
      </c>
      <c r="G350" s="126">
        <v>6</v>
      </c>
      <c r="H350" s="126">
        <v>2023</v>
      </c>
      <c r="I350" s="126">
        <v>2050</v>
      </c>
      <c r="J350" s="127">
        <v>1.0592999999999999</v>
      </c>
      <c r="K350" s="127">
        <v>1.0889</v>
      </c>
      <c r="L350" s="127">
        <v>0.57969999999999999</v>
      </c>
      <c r="M350" s="127">
        <v>1.0176000000000001</v>
      </c>
      <c r="N350" s="127">
        <v>0.8095</v>
      </c>
      <c r="O350" s="127">
        <v>1.0538000000000001</v>
      </c>
      <c r="P350" s="126">
        <v>10471</v>
      </c>
      <c r="Q350" s="128">
        <f t="array" ref="Q350">SUM(IF(($S350&gt;=4)*($C350='TaxCred&amp;Subs'!$D$123:$D$127)*($H350='TaxCred&amp;Subs'!$C$123:$C$127)*($H350&lt;='TaxCred&amp;Subs'!$C$129),'TaxCred&amp;Subs'!$E$123:$E$127,0))</f>
        <v>0</v>
      </c>
      <c r="R350" s="174">
        <v>0</v>
      </c>
      <c r="S350" s="126">
        <v>2</v>
      </c>
      <c r="T350" s="126" t="s">
        <v>224</v>
      </c>
      <c r="U350" s="158"/>
      <c r="V350" s="153" t="str">
        <f t="array" ref="V350">INDEX(xlRTCLNAME,MATCH(1,(xlRTCLENDU=1)*(xlRTCLEQCL=$D350),0))</f>
        <v>WOOD_HT</v>
      </c>
      <c r="W350" s="153" t="str">
        <f t="array" ref="W350">INDEX(xlRTCLNAME,MATCH(1,(xlRTCLENDU=2)*(xlRTCLEQCL=$F350),0))</f>
        <v>CENT_AIR</v>
      </c>
      <c r="X350" s="153" t="str">
        <f t="array" ref="X350">INDEX(xlRTTYNAME,MATCH(1,(xlRTTYENDU=1)*(xlRTTYEQCL=$D350)*(xlRTEQTYPE=$E350),0))</f>
        <v>WOOD_HT2</v>
      </c>
      <c r="Y350" s="153" t="str">
        <f t="array" ref="Y350">INDEX(xlRTTYNAME,MATCH(1,(xlRTTYENDU=2)*(xlRTTYEQCL=$F350)*(xlRTEQTYPE=$G350),0))</f>
        <v>CENT_AIR2</v>
      </c>
    </row>
    <row r="351" spans="2:25" x14ac:dyDescent="0.2">
      <c r="B351" s="126">
        <v>2</v>
      </c>
      <c r="C351" s="126">
        <v>1</v>
      </c>
      <c r="D351" s="126">
        <v>9</v>
      </c>
      <c r="E351" s="126">
        <v>30</v>
      </c>
      <c r="F351" s="126">
        <v>2</v>
      </c>
      <c r="G351" s="126">
        <v>5</v>
      </c>
      <c r="H351" s="126">
        <v>2016</v>
      </c>
      <c r="I351" s="126">
        <v>2022</v>
      </c>
      <c r="J351" s="127">
        <v>1.0717000000000001</v>
      </c>
      <c r="K351" s="127">
        <v>1.0895999999999999</v>
      </c>
      <c r="L351" s="127">
        <v>0.6885</v>
      </c>
      <c r="M351" s="127">
        <v>0.88419999999999999</v>
      </c>
      <c r="N351" s="127">
        <v>0.92630000000000001</v>
      </c>
      <c r="O351" s="127">
        <v>1.0538000000000001</v>
      </c>
      <c r="P351" s="126">
        <v>10166</v>
      </c>
      <c r="Q351" s="128">
        <f t="array" ref="Q351">SUM(IF(($S351&gt;=4)*($C351='TaxCred&amp;Subs'!$D$123:$D$127)*($H351='TaxCred&amp;Subs'!$C$123:$C$127)*($H351&lt;='TaxCred&amp;Subs'!$C$129),'TaxCred&amp;Subs'!$E$123:$E$127,0))</f>
        <v>0</v>
      </c>
      <c r="R351" s="174">
        <v>0</v>
      </c>
      <c r="S351" s="126">
        <v>2</v>
      </c>
      <c r="T351" s="126" t="s">
        <v>224</v>
      </c>
      <c r="U351" s="158"/>
      <c r="V351" s="153" t="str">
        <f t="array" ref="V351">INDEX(xlRTCLNAME,MATCH(1,(xlRTCLENDU=1)*(xlRTCLEQCL=$D351),0))</f>
        <v>WOOD_HT</v>
      </c>
      <c r="W351" s="153" t="str">
        <f t="array" ref="W351">INDEX(xlRTCLNAME,MATCH(1,(xlRTCLENDU=2)*(xlRTCLEQCL=$F351),0))</f>
        <v>CENT_AIR</v>
      </c>
      <c r="X351" s="153" t="str">
        <f t="array" ref="X351">INDEX(xlRTTYNAME,MATCH(1,(xlRTTYENDU=1)*(xlRTTYEQCL=$D351)*(xlRTEQTYPE=$E351),0))</f>
        <v>WOOD_HT2</v>
      </c>
      <c r="Y351" s="153" t="str">
        <f t="array" ref="Y351">INDEX(xlRTTYNAME,MATCH(1,(xlRTTYENDU=2)*(xlRTTYEQCL=$F351)*(xlRTEQTYPE=$G351),0))</f>
        <v>CENT_AIR1</v>
      </c>
    </row>
    <row r="352" spans="2:25" x14ac:dyDescent="0.2">
      <c r="B352" s="126">
        <v>2</v>
      </c>
      <c r="C352" s="126">
        <v>1</v>
      </c>
      <c r="D352" s="126">
        <v>9</v>
      </c>
      <c r="E352" s="126">
        <v>30</v>
      </c>
      <c r="F352" s="126">
        <v>2</v>
      </c>
      <c r="G352" s="126">
        <v>6</v>
      </c>
      <c r="H352" s="126">
        <v>2023</v>
      </c>
      <c r="I352" s="126">
        <v>2050</v>
      </c>
      <c r="J352" s="127">
        <v>1.0717000000000001</v>
      </c>
      <c r="K352" s="127">
        <v>1.0895999999999999</v>
      </c>
      <c r="L352" s="127">
        <v>0.6885</v>
      </c>
      <c r="M352" s="127">
        <v>0.88419999999999999</v>
      </c>
      <c r="N352" s="127">
        <v>0.92630000000000001</v>
      </c>
      <c r="O352" s="127">
        <v>1.0538000000000001</v>
      </c>
      <c r="P352" s="126">
        <v>10166</v>
      </c>
      <c r="Q352" s="128">
        <f t="array" ref="Q352">SUM(IF(($S352&gt;=4)*($C352='TaxCred&amp;Subs'!$D$123:$D$127)*($H352='TaxCred&amp;Subs'!$C$123:$C$127)*($H352&lt;='TaxCred&amp;Subs'!$C$129),'TaxCred&amp;Subs'!$E$123:$E$127,0))</f>
        <v>0</v>
      </c>
      <c r="R352" s="174">
        <v>0</v>
      </c>
      <c r="S352" s="126">
        <v>2</v>
      </c>
      <c r="T352" s="126" t="s">
        <v>224</v>
      </c>
      <c r="U352" s="158"/>
      <c r="V352" s="153" t="str">
        <f t="array" ref="V352">INDEX(xlRTCLNAME,MATCH(1,(xlRTCLENDU=1)*(xlRTCLEQCL=$D352),0))</f>
        <v>WOOD_HT</v>
      </c>
      <c r="W352" s="153" t="str">
        <f t="array" ref="W352">INDEX(xlRTCLNAME,MATCH(1,(xlRTCLENDU=2)*(xlRTCLEQCL=$F352),0))</f>
        <v>CENT_AIR</v>
      </c>
      <c r="X352" s="153" t="str">
        <f t="array" ref="X352">INDEX(xlRTTYNAME,MATCH(1,(xlRTTYENDU=1)*(xlRTTYEQCL=$D352)*(xlRTEQTYPE=$E352),0))</f>
        <v>WOOD_HT2</v>
      </c>
      <c r="Y352" s="153" t="str">
        <f t="array" ref="Y352">INDEX(xlRTTYNAME,MATCH(1,(xlRTTYENDU=2)*(xlRTTYEQCL=$F352)*(xlRTEQTYPE=$G352),0))</f>
        <v>CENT_AIR2</v>
      </c>
    </row>
    <row r="353" spans="2:25" x14ac:dyDescent="0.2">
      <c r="B353" s="126">
        <v>3</v>
      </c>
      <c r="C353" s="126">
        <v>1</v>
      </c>
      <c r="D353" s="126">
        <v>9</v>
      </c>
      <c r="E353" s="126">
        <v>30</v>
      </c>
      <c r="F353" s="126">
        <v>2</v>
      </c>
      <c r="G353" s="126">
        <v>5</v>
      </c>
      <c r="H353" s="126">
        <v>2016</v>
      </c>
      <c r="I353" s="126">
        <v>2022</v>
      </c>
      <c r="J353" s="127">
        <v>1.0821000000000001</v>
      </c>
      <c r="K353" s="127">
        <v>1.0769</v>
      </c>
      <c r="L353" s="127">
        <v>0.5655</v>
      </c>
      <c r="M353" s="127">
        <v>0.95530000000000004</v>
      </c>
      <c r="N353" s="127">
        <v>0.91400000000000003</v>
      </c>
      <c r="O353" s="127">
        <v>1.0538000000000001</v>
      </c>
      <c r="P353" s="126">
        <v>9625</v>
      </c>
      <c r="Q353" s="128">
        <f t="array" ref="Q353">SUM(IF(($S353&gt;=4)*($C353='TaxCred&amp;Subs'!$D$123:$D$127)*($H353='TaxCred&amp;Subs'!$C$123:$C$127)*($H353&lt;='TaxCred&amp;Subs'!$C$129),'TaxCred&amp;Subs'!$E$123:$E$127,0))</f>
        <v>0</v>
      </c>
      <c r="R353" s="174">
        <v>0</v>
      </c>
      <c r="S353" s="126">
        <v>2</v>
      </c>
      <c r="T353" s="126" t="s">
        <v>224</v>
      </c>
      <c r="U353" s="158"/>
      <c r="V353" s="153" t="str">
        <f t="array" ref="V353">INDEX(xlRTCLNAME,MATCH(1,(xlRTCLENDU=1)*(xlRTCLEQCL=$D353),0))</f>
        <v>WOOD_HT</v>
      </c>
      <c r="W353" s="153" t="str">
        <f t="array" ref="W353">INDEX(xlRTCLNAME,MATCH(1,(xlRTCLENDU=2)*(xlRTCLEQCL=$F353),0))</f>
        <v>CENT_AIR</v>
      </c>
      <c r="X353" s="153" t="str">
        <f t="array" ref="X353">INDEX(xlRTTYNAME,MATCH(1,(xlRTTYENDU=1)*(xlRTTYEQCL=$D353)*(xlRTEQTYPE=$E353),0))</f>
        <v>WOOD_HT2</v>
      </c>
      <c r="Y353" s="153" t="str">
        <f t="array" ref="Y353">INDEX(xlRTTYNAME,MATCH(1,(xlRTTYENDU=2)*(xlRTTYEQCL=$F353)*(xlRTEQTYPE=$G353),0))</f>
        <v>CENT_AIR1</v>
      </c>
    </row>
    <row r="354" spans="2:25" x14ac:dyDescent="0.2">
      <c r="B354" s="126">
        <v>3</v>
      </c>
      <c r="C354" s="126">
        <v>1</v>
      </c>
      <c r="D354" s="126">
        <v>9</v>
      </c>
      <c r="E354" s="126">
        <v>30</v>
      </c>
      <c r="F354" s="126">
        <v>2</v>
      </c>
      <c r="G354" s="126">
        <v>6</v>
      </c>
      <c r="H354" s="126">
        <v>2023</v>
      </c>
      <c r="I354" s="126">
        <v>2050</v>
      </c>
      <c r="J354" s="127">
        <v>1.0821000000000001</v>
      </c>
      <c r="K354" s="127">
        <v>1.0769</v>
      </c>
      <c r="L354" s="127">
        <v>0.5655</v>
      </c>
      <c r="M354" s="127">
        <v>0.95530000000000004</v>
      </c>
      <c r="N354" s="127">
        <v>0.91400000000000003</v>
      </c>
      <c r="O354" s="127">
        <v>1.0538000000000001</v>
      </c>
      <c r="P354" s="126">
        <v>9625</v>
      </c>
      <c r="Q354" s="128">
        <f t="array" ref="Q354">SUM(IF(($S354&gt;=4)*($C354='TaxCred&amp;Subs'!$D$123:$D$127)*($H354='TaxCred&amp;Subs'!$C$123:$C$127)*($H354&lt;='TaxCred&amp;Subs'!$C$129),'TaxCred&amp;Subs'!$E$123:$E$127,0))</f>
        <v>0</v>
      </c>
      <c r="R354" s="174">
        <v>0</v>
      </c>
      <c r="S354" s="126">
        <v>2</v>
      </c>
      <c r="T354" s="126" t="s">
        <v>224</v>
      </c>
      <c r="U354" s="158"/>
      <c r="V354" s="153" t="str">
        <f t="array" ref="V354">INDEX(xlRTCLNAME,MATCH(1,(xlRTCLENDU=1)*(xlRTCLEQCL=$D354),0))</f>
        <v>WOOD_HT</v>
      </c>
      <c r="W354" s="153" t="str">
        <f t="array" ref="W354">INDEX(xlRTCLNAME,MATCH(1,(xlRTCLENDU=2)*(xlRTCLEQCL=$F354),0))</f>
        <v>CENT_AIR</v>
      </c>
      <c r="X354" s="153" t="str">
        <f t="array" ref="X354">INDEX(xlRTTYNAME,MATCH(1,(xlRTTYENDU=1)*(xlRTTYEQCL=$D354)*(xlRTEQTYPE=$E354),0))</f>
        <v>WOOD_HT2</v>
      </c>
      <c r="Y354" s="153" t="str">
        <f t="array" ref="Y354">INDEX(xlRTTYNAME,MATCH(1,(xlRTTYENDU=2)*(xlRTTYEQCL=$F354)*(xlRTEQTYPE=$G354),0))</f>
        <v>CENT_AIR2</v>
      </c>
    </row>
    <row r="355" spans="2:25" x14ac:dyDescent="0.2">
      <c r="B355" s="126">
        <v>4</v>
      </c>
      <c r="C355" s="126">
        <v>1</v>
      </c>
      <c r="D355" s="126">
        <v>9</v>
      </c>
      <c r="E355" s="126">
        <v>30</v>
      </c>
      <c r="F355" s="126">
        <v>2</v>
      </c>
      <c r="G355" s="126">
        <v>5</v>
      </c>
      <c r="H355" s="126">
        <v>2016</v>
      </c>
      <c r="I355" s="126">
        <v>2022</v>
      </c>
      <c r="J355" s="127">
        <v>1.0812999999999999</v>
      </c>
      <c r="K355" s="127">
        <v>1.0769</v>
      </c>
      <c r="L355" s="127">
        <v>0.55759999999999998</v>
      </c>
      <c r="M355" s="127">
        <v>0.90200000000000002</v>
      </c>
      <c r="N355" s="127">
        <v>0.85660000000000003</v>
      </c>
      <c r="O355" s="127">
        <v>1.0538000000000001</v>
      </c>
      <c r="P355" s="126">
        <v>7817</v>
      </c>
      <c r="Q355" s="128">
        <f t="array" ref="Q355">SUM(IF(($S355&gt;=4)*($C355='TaxCred&amp;Subs'!$D$123:$D$127)*($H355='TaxCred&amp;Subs'!$C$123:$C$127)*($H355&lt;='TaxCred&amp;Subs'!$C$129),'TaxCred&amp;Subs'!$E$123:$E$127,0))</f>
        <v>0</v>
      </c>
      <c r="R355" s="174">
        <v>0</v>
      </c>
      <c r="S355" s="126">
        <v>2</v>
      </c>
      <c r="T355" s="126" t="s">
        <v>224</v>
      </c>
      <c r="U355" s="158"/>
      <c r="V355" s="153" t="str">
        <f t="array" ref="V355">INDEX(xlRTCLNAME,MATCH(1,(xlRTCLENDU=1)*(xlRTCLEQCL=$D355),0))</f>
        <v>WOOD_HT</v>
      </c>
      <c r="W355" s="153" t="str">
        <f t="array" ref="W355">INDEX(xlRTCLNAME,MATCH(1,(xlRTCLENDU=2)*(xlRTCLEQCL=$F355),0))</f>
        <v>CENT_AIR</v>
      </c>
      <c r="X355" s="153" t="str">
        <f t="array" ref="X355">INDEX(xlRTTYNAME,MATCH(1,(xlRTTYENDU=1)*(xlRTTYEQCL=$D355)*(xlRTEQTYPE=$E355),0))</f>
        <v>WOOD_HT2</v>
      </c>
      <c r="Y355" s="153" t="str">
        <f t="array" ref="Y355">INDEX(xlRTTYNAME,MATCH(1,(xlRTTYENDU=2)*(xlRTTYEQCL=$F355)*(xlRTEQTYPE=$G355),0))</f>
        <v>CENT_AIR1</v>
      </c>
    </row>
    <row r="356" spans="2:25" x14ac:dyDescent="0.2">
      <c r="B356" s="126">
        <v>4</v>
      </c>
      <c r="C356" s="126">
        <v>1</v>
      </c>
      <c r="D356" s="126">
        <v>9</v>
      </c>
      <c r="E356" s="126">
        <v>30</v>
      </c>
      <c r="F356" s="126">
        <v>2</v>
      </c>
      <c r="G356" s="126">
        <v>6</v>
      </c>
      <c r="H356" s="126">
        <v>2023</v>
      </c>
      <c r="I356" s="126">
        <v>2050</v>
      </c>
      <c r="J356" s="127">
        <v>1.0812999999999999</v>
      </c>
      <c r="K356" s="127">
        <v>1.0769</v>
      </c>
      <c r="L356" s="127">
        <v>0.55759999999999998</v>
      </c>
      <c r="M356" s="127">
        <v>0.90200000000000002</v>
      </c>
      <c r="N356" s="127">
        <v>0.85660000000000003</v>
      </c>
      <c r="O356" s="127">
        <v>1.0538000000000001</v>
      </c>
      <c r="P356" s="126">
        <v>7817</v>
      </c>
      <c r="Q356" s="128">
        <f t="array" ref="Q356">SUM(IF(($S356&gt;=4)*($C356='TaxCred&amp;Subs'!$D$123:$D$127)*($H356='TaxCred&amp;Subs'!$C$123:$C$127)*($H356&lt;='TaxCred&amp;Subs'!$C$129),'TaxCred&amp;Subs'!$E$123:$E$127,0))</f>
        <v>0</v>
      </c>
      <c r="R356" s="174">
        <v>0</v>
      </c>
      <c r="S356" s="126">
        <v>2</v>
      </c>
      <c r="T356" s="126" t="s">
        <v>224</v>
      </c>
      <c r="U356" s="158"/>
      <c r="V356" s="153" t="str">
        <f t="array" ref="V356">INDEX(xlRTCLNAME,MATCH(1,(xlRTCLENDU=1)*(xlRTCLEQCL=$D356),0))</f>
        <v>WOOD_HT</v>
      </c>
      <c r="W356" s="153" t="str">
        <f t="array" ref="W356">INDEX(xlRTCLNAME,MATCH(1,(xlRTCLENDU=2)*(xlRTCLEQCL=$F356),0))</f>
        <v>CENT_AIR</v>
      </c>
      <c r="X356" s="153" t="str">
        <f t="array" ref="X356">INDEX(xlRTTYNAME,MATCH(1,(xlRTTYENDU=1)*(xlRTTYEQCL=$D356)*(xlRTEQTYPE=$E356),0))</f>
        <v>WOOD_HT2</v>
      </c>
      <c r="Y356" s="153" t="str">
        <f t="array" ref="Y356">INDEX(xlRTTYNAME,MATCH(1,(xlRTTYENDU=2)*(xlRTTYEQCL=$F356)*(xlRTEQTYPE=$G356),0))</f>
        <v>CENT_AIR2</v>
      </c>
    </row>
    <row r="357" spans="2:25" x14ac:dyDescent="0.2">
      <c r="B357" s="126">
        <v>5</v>
      </c>
      <c r="C357" s="126">
        <v>1</v>
      </c>
      <c r="D357" s="126">
        <v>9</v>
      </c>
      <c r="E357" s="126">
        <v>30</v>
      </c>
      <c r="F357" s="126">
        <v>2</v>
      </c>
      <c r="G357" s="126">
        <v>5</v>
      </c>
      <c r="H357" s="126">
        <v>2016</v>
      </c>
      <c r="I357" s="126">
        <v>2022</v>
      </c>
      <c r="J357" s="127">
        <v>1.0838000000000001</v>
      </c>
      <c r="K357" s="127">
        <v>1.0465</v>
      </c>
      <c r="L357" s="127">
        <v>0.76639999999999997</v>
      </c>
      <c r="M357" s="127">
        <v>0.96250000000000002</v>
      </c>
      <c r="N357" s="127">
        <v>0.75670000000000004</v>
      </c>
      <c r="O357" s="127">
        <v>1.0538000000000001</v>
      </c>
      <c r="P357" s="126">
        <v>6683</v>
      </c>
      <c r="Q357" s="128">
        <f t="array" ref="Q357">SUM(IF(($S357&gt;=4)*($C357='TaxCred&amp;Subs'!$D$123:$D$127)*($H357='TaxCred&amp;Subs'!$C$123:$C$127)*($H357&lt;='TaxCred&amp;Subs'!$C$129),'TaxCred&amp;Subs'!$E$123:$E$127,0))</f>
        <v>0</v>
      </c>
      <c r="R357" s="174">
        <v>0</v>
      </c>
      <c r="S357" s="126">
        <v>2</v>
      </c>
      <c r="T357" s="126" t="s">
        <v>224</v>
      </c>
      <c r="U357" s="158"/>
      <c r="V357" s="153" t="str">
        <f t="array" ref="V357">INDEX(xlRTCLNAME,MATCH(1,(xlRTCLENDU=1)*(xlRTCLEQCL=$D357),0))</f>
        <v>WOOD_HT</v>
      </c>
      <c r="W357" s="153" t="str">
        <f t="array" ref="W357">INDEX(xlRTCLNAME,MATCH(1,(xlRTCLENDU=2)*(xlRTCLEQCL=$F357),0))</f>
        <v>CENT_AIR</v>
      </c>
      <c r="X357" s="153" t="str">
        <f t="array" ref="X357">INDEX(xlRTTYNAME,MATCH(1,(xlRTTYENDU=1)*(xlRTTYEQCL=$D357)*(xlRTEQTYPE=$E357),0))</f>
        <v>WOOD_HT2</v>
      </c>
      <c r="Y357" s="153" t="str">
        <f t="array" ref="Y357">INDEX(xlRTTYNAME,MATCH(1,(xlRTTYENDU=2)*(xlRTTYEQCL=$F357)*(xlRTEQTYPE=$G357),0))</f>
        <v>CENT_AIR1</v>
      </c>
    </row>
    <row r="358" spans="2:25" x14ac:dyDescent="0.2">
      <c r="B358" s="126">
        <v>5</v>
      </c>
      <c r="C358" s="126">
        <v>1</v>
      </c>
      <c r="D358" s="126">
        <v>9</v>
      </c>
      <c r="E358" s="126">
        <v>30</v>
      </c>
      <c r="F358" s="126">
        <v>2</v>
      </c>
      <c r="G358" s="126">
        <v>6</v>
      </c>
      <c r="H358" s="126">
        <v>2023</v>
      </c>
      <c r="I358" s="126">
        <v>2050</v>
      </c>
      <c r="J358" s="127">
        <v>1.0838000000000001</v>
      </c>
      <c r="K358" s="127">
        <v>1.0465</v>
      </c>
      <c r="L358" s="127">
        <v>0.76639999999999997</v>
      </c>
      <c r="M358" s="127">
        <v>0.96250000000000002</v>
      </c>
      <c r="N358" s="127">
        <v>0.75670000000000004</v>
      </c>
      <c r="O358" s="127">
        <v>1.0538000000000001</v>
      </c>
      <c r="P358" s="126">
        <v>6683</v>
      </c>
      <c r="Q358" s="128">
        <f t="array" ref="Q358">SUM(IF(($S358&gt;=4)*($C358='TaxCred&amp;Subs'!$D$123:$D$127)*($H358='TaxCred&amp;Subs'!$C$123:$C$127)*($H358&lt;='TaxCred&amp;Subs'!$C$129),'TaxCred&amp;Subs'!$E$123:$E$127,0))</f>
        <v>0</v>
      </c>
      <c r="R358" s="174">
        <v>0</v>
      </c>
      <c r="S358" s="126">
        <v>2</v>
      </c>
      <c r="T358" s="126" t="s">
        <v>224</v>
      </c>
      <c r="U358" s="158"/>
      <c r="V358" s="153" t="str">
        <f t="array" ref="V358">INDEX(xlRTCLNAME,MATCH(1,(xlRTCLENDU=1)*(xlRTCLEQCL=$D358),0))</f>
        <v>WOOD_HT</v>
      </c>
      <c r="W358" s="153" t="str">
        <f t="array" ref="W358">INDEX(xlRTCLNAME,MATCH(1,(xlRTCLENDU=2)*(xlRTCLEQCL=$F358),0))</f>
        <v>CENT_AIR</v>
      </c>
      <c r="X358" s="153" t="str">
        <f t="array" ref="X358">INDEX(xlRTTYNAME,MATCH(1,(xlRTTYENDU=1)*(xlRTTYEQCL=$D358)*(xlRTEQTYPE=$E358),0))</f>
        <v>WOOD_HT2</v>
      </c>
      <c r="Y358" s="153" t="str">
        <f t="array" ref="Y358">INDEX(xlRTTYNAME,MATCH(1,(xlRTTYENDU=2)*(xlRTTYEQCL=$F358)*(xlRTEQTYPE=$G358),0))</f>
        <v>CENT_AIR2</v>
      </c>
    </row>
    <row r="359" spans="2:25" x14ac:dyDescent="0.2">
      <c r="B359" s="126">
        <v>6</v>
      </c>
      <c r="C359" s="126">
        <v>1</v>
      </c>
      <c r="D359" s="126">
        <v>9</v>
      </c>
      <c r="E359" s="126">
        <v>30</v>
      </c>
      <c r="F359" s="126">
        <v>2</v>
      </c>
      <c r="G359" s="126">
        <v>5</v>
      </c>
      <c r="H359" s="126">
        <v>2016</v>
      </c>
      <c r="I359" s="126">
        <v>2022</v>
      </c>
      <c r="J359" s="127">
        <v>1.089</v>
      </c>
      <c r="K359" s="127">
        <v>1.0583</v>
      </c>
      <c r="L359" s="127">
        <v>0.9</v>
      </c>
      <c r="M359" s="127">
        <v>0.95589999999999997</v>
      </c>
      <c r="N359" s="127">
        <v>0.88849999999999996</v>
      </c>
      <c r="O359" s="127">
        <v>1.0538000000000001</v>
      </c>
      <c r="P359" s="126">
        <v>6393</v>
      </c>
      <c r="Q359" s="128">
        <f t="array" ref="Q359">SUM(IF(($S359&gt;=4)*($C359='TaxCred&amp;Subs'!$D$123:$D$127)*($H359='TaxCred&amp;Subs'!$C$123:$C$127)*($H359&lt;='TaxCred&amp;Subs'!$C$129),'TaxCred&amp;Subs'!$E$123:$E$127,0))</f>
        <v>0</v>
      </c>
      <c r="R359" s="174">
        <v>0</v>
      </c>
      <c r="S359" s="126">
        <v>2</v>
      </c>
      <c r="T359" s="126" t="s">
        <v>224</v>
      </c>
      <c r="U359" s="158"/>
      <c r="V359" s="153" t="str">
        <f t="array" ref="V359">INDEX(xlRTCLNAME,MATCH(1,(xlRTCLENDU=1)*(xlRTCLEQCL=$D359),0))</f>
        <v>WOOD_HT</v>
      </c>
      <c r="W359" s="153" t="str">
        <f t="array" ref="W359">INDEX(xlRTCLNAME,MATCH(1,(xlRTCLENDU=2)*(xlRTCLEQCL=$F359),0))</f>
        <v>CENT_AIR</v>
      </c>
      <c r="X359" s="153" t="str">
        <f t="array" ref="X359">INDEX(xlRTTYNAME,MATCH(1,(xlRTTYENDU=1)*(xlRTTYEQCL=$D359)*(xlRTEQTYPE=$E359),0))</f>
        <v>WOOD_HT2</v>
      </c>
      <c r="Y359" s="153" t="str">
        <f t="array" ref="Y359">INDEX(xlRTTYNAME,MATCH(1,(xlRTTYENDU=2)*(xlRTTYEQCL=$F359)*(xlRTEQTYPE=$G359),0))</f>
        <v>CENT_AIR1</v>
      </c>
    </row>
    <row r="360" spans="2:25" x14ac:dyDescent="0.2">
      <c r="B360" s="126">
        <v>6</v>
      </c>
      <c r="C360" s="126">
        <v>1</v>
      </c>
      <c r="D360" s="126">
        <v>9</v>
      </c>
      <c r="E360" s="126">
        <v>30</v>
      </c>
      <c r="F360" s="126">
        <v>2</v>
      </c>
      <c r="G360" s="126">
        <v>6</v>
      </c>
      <c r="H360" s="126">
        <v>2023</v>
      </c>
      <c r="I360" s="126">
        <v>2050</v>
      </c>
      <c r="J360" s="127">
        <v>1.089</v>
      </c>
      <c r="K360" s="127">
        <v>1.0583</v>
      </c>
      <c r="L360" s="127">
        <v>0.9</v>
      </c>
      <c r="M360" s="127">
        <v>0.95589999999999997</v>
      </c>
      <c r="N360" s="127">
        <v>0.88849999999999996</v>
      </c>
      <c r="O360" s="127">
        <v>1.0538000000000001</v>
      </c>
      <c r="P360" s="126">
        <v>6393</v>
      </c>
      <c r="Q360" s="128">
        <f t="array" ref="Q360">SUM(IF(($S360&gt;=4)*($C360='TaxCred&amp;Subs'!$D$123:$D$127)*($H360='TaxCred&amp;Subs'!$C$123:$C$127)*($H360&lt;='TaxCred&amp;Subs'!$C$129),'TaxCred&amp;Subs'!$E$123:$E$127,0))</f>
        <v>0</v>
      </c>
      <c r="R360" s="174">
        <v>0</v>
      </c>
      <c r="S360" s="126">
        <v>2</v>
      </c>
      <c r="T360" s="126" t="s">
        <v>224</v>
      </c>
      <c r="U360" s="158"/>
      <c r="V360" s="153" t="str">
        <f t="array" ref="V360">INDEX(xlRTCLNAME,MATCH(1,(xlRTCLENDU=1)*(xlRTCLEQCL=$D360),0))</f>
        <v>WOOD_HT</v>
      </c>
      <c r="W360" s="153" t="str">
        <f t="array" ref="W360">INDEX(xlRTCLNAME,MATCH(1,(xlRTCLENDU=2)*(xlRTCLEQCL=$F360),0))</f>
        <v>CENT_AIR</v>
      </c>
      <c r="X360" s="153" t="str">
        <f t="array" ref="X360">INDEX(xlRTTYNAME,MATCH(1,(xlRTTYENDU=1)*(xlRTTYEQCL=$D360)*(xlRTEQTYPE=$E360),0))</f>
        <v>WOOD_HT2</v>
      </c>
      <c r="Y360" s="153" t="str">
        <f t="array" ref="Y360">INDEX(xlRTTYNAME,MATCH(1,(xlRTTYENDU=2)*(xlRTTYEQCL=$F360)*(xlRTEQTYPE=$G360),0))</f>
        <v>CENT_AIR2</v>
      </c>
    </row>
    <row r="361" spans="2:25" x14ac:dyDescent="0.2">
      <c r="B361" s="126">
        <v>7</v>
      </c>
      <c r="C361" s="126">
        <v>1</v>
      </c>
      <c r="D361" s="126">
        <v>9</v>
      </c>
      <c r="E361" s="126">
        <v>30</v>
      </c>
      <c r="F361" s="126">
        <v>2</v>
      </c>
      <c r="G361" s="126">
        <v>5</v>
      </c>
      <c r="H361" s="126">
        <v>2016</v>
      </c>
      <c r="I361" s="126">
        <v>2022</v>
      </c>
      <c r="J361" s="127">
        <v>1.0867</v>
      </c>
      <c r="K361" s="127">
        <v>1.0682</v>
      </c>
      <c r="L361" s="127">
        <v>0.81220000000000003</v>
      </c>
      <c r="M361" s="127">
        <v>0.87150000000000005</v>
      </c>
      <c r="N361" s="127">
        <v>0.87180000000000002</v>
      </c>
      <c r="O361" s="127">
        <v>1.0538000000000001</v>
      </c>
      <c r="P361" s="126">
        <v>6290</v>
      </c>
      <c r="Q361" s="128">
        <f t="array" ref="Q361">SUM(IF(($S361&gt;=4)*($C361='TaxCred&amp;Subs'!$D$123:$D$127)*($H361='TaxCred&amp;Subs'!$C$123:$C$127)*($H361&lt;='TaxCred&amp;Subs'!$C$129),'TaxCred&amp;Subs'!$E$123:$E$127,0))</f>
        <v>0</v>
      </c>
      <c r="R361" s="174">
        <v>0</v>
      </c>
      <c r="S361" s="126">
        <v>2</v>
      </c>
      <c r="T361" s="126" t="s">
        <v>224</v>
      </c>
      <c r="U361" s="158"/>
      <c r="V361" s="153" t="str">
        <f t="array" ref="V361">INDEX(xlRTCLNAME,MATCH(1,(xlRTCLENDU=1)*(xlRTCLEQCL=$D361),0))</f>
        <v>WOOD_HT</v>
      </c>
      <c r="W361" s="153" t="str">
        <f t="array" ref="W361">INDEX(xlRTCLNAME,MATCH(1,(xlRTCLENDU=2)*(xlRTCLEQCL=$F361),0))</f>
        <v>CENT_AIR</v>
      </c>
      <c r="X361" s="153" t="str">
        <f t="array" ref="X361">INDEX(xlRTTYNAME,MATCH(1,(xlRTTYENDU=1)*(xlRTTYEQCL=$D361)*(xlRTEQTYPE=$E361),0))</f>
        <v>WOOD_HT2</v>
      </c>
      <c r="Y361" s="153" t="str">
        <f t="array" ref="Y361">INDEX(xlRTTYNAME,MATCH(1,(xlRTTYENDU=2)*(xlRTTYEQCL=$F361)*(xlRTEQTYPE=$G361),0))</f>
        <v>CENT_AIR1</v>
      </c>
    </row>
    <row r="362" spans="2:25" x14ac:dyDescent="0.2">
      <c r="B362" s="126">
        <v>7</v>
      </c>
      <c r="C362" s="126">
        <v>1</v>
      </c>
      <c r="D362" s="126">
        <v>9</v>
      </c>
      <c r="E362" s="126">
        <v>30</v>
      </c>
      <c r="F362" s="126">
        <v>2</v>
      </c>
      <c r="G362" s="126">
        <v>6</v>
      </c>
      <c r="H362" s="126">
        <v>2023</v>
      </c>
      <c r="I362" s="126">
        <v>2050</v>
      </c>
      <c r="J362" s="127">
        <v>1.0867</v>
      </c>
      <c r="K362" s="127">
        <v>1.0682</v>
      </c>
      <c r="L362" s="127">
        <v>0.81220000000000003</v>
      </c>
      <c r="M362" s="127">
        <v>0.87150000000000005</v>
      </c>
      <c r="N362" s="127">
        <v>0.87180000000000002</v>
      </c>
      <c r="O362" s="127">
        <v>1.0538000000000001</v>
      </c>
      <c r="P362" s="126">
        <v>6290</v>
      </c>
      <c r="Q362" s="128">
        <f t="array" ref="Q362">SUM(IF(($S362&gt;=4)*($C362='TaxCred&amp;Subs'!$D$123:$D$127)*($H362='TaxCred&amp;Subs'!$C$123:$C$127)*($H362&lt;='TaxCred&amp;Subs'!$C$129),'TaxCred&amp;Subs'!$E$123:$E$127,0))</f>
        <v>0</v>
      </c>
      <c r="R362" s="174">
        <v>0</v>
      </c>
      <c r="S362" s="126">
        <v>2</v>
      </c>
      <c r="T362" s="126" t="s">
        <v>224</v>
      </c>
      <c r="U362" s="158"/>
      <c r="V362" s="153" t="str">
        <f t="array" ref="V362">INDEX(xlRTCLNAME,MATCH(1,(xlRTCLENDU=1)*(xlRTCLEQCL=$D362),0))</f>
        <v>WOOD_HT</v>
      </c>
      <c r="W362" s="153" t="str">
        <f t="array" ref="W362">INDEX(xlRTCLNAME,MATCH(1,(xlRTCLENDU=2)*(xlRTCLEQCL=$F362),0))</f>
        <v>CENT_AIR</v>
      </c>
      <c r="X362" s="153" t="str">
        <f t="array" ref="X362">INDEX(xlRTTYNAME,MATCH(1,(xlRTTYENDU=1)*(xlRTTYEQCL=$D362)*(xlRTEQTYPE=$E362),0))</f>
        <v>WOOD_HT2</v>
      </c>
      <c r="Y362" s="153" t="str">
        <f t="array" ref="Y362">INDEX(xlRTTYNAME,MATCH(1,(xlRTTYENDU=2)*(xlRTTYEQCL=$F362)*(xlRTEQTYPE=$G362),0))</f>
        <v>CENT_AIR2</v>
      </c>
    </row>
    <row r="363" spans="2:25" x14ac:dyDescent="0.2">
      <c r="B363" s="126">
        <v>8</v>
      </c>
      <c r="C363" s="126">
        <v>1</v>
      </c>
      <c r="D363" s="126">
        <v>9</v>
      </c>
      <c r="E363" s="126">
        <v>30</v>
      </c>
      <c r="F363" s="126">
        <v>2</v>
      </c>
      <c r="G363" s="126">
        <v>5</v>
      </c>
      <c r="H363" s="126">
        <v>2016</v>
      </c>
      <c r="I363" s="126">
        <v>2022</v>
      </c>
      <c r="J363" s="127">
        <v>1.0820000000000001</v>
      </c>
      <c r="K363" s="127">
        <v>1.0832999999999999</v>
      </c>
      <c r="L363" s="127">
        <v>0.5806</v>
      </c>
      <c r="M363" s="127">
        <v>0.91349999999999998</v>
      </c>
      <c r="N363" s="127">
        <v>0.86439999999999995</v>
      </c>
      <c r="O363" s="127">
        <v>1.0538000000000001</v>
      </c>
      <c r="P363" s="126">
        <v>9530</v>
      </c>
      <c r="Q363" s="128">
        <f t="array" ref="Q363">SUM(IF(($S363&gt;=4)*($C363='TaxCred&amp;Subs'!$D$123:$D$127)*($H363='TaxCred&amp;Subs'!$C$123:$C$127)*($H363&lt;='TaxCred&amp;Subs'!$C$129),'TaxCred&amp;Subs'!$E$123:$E$127,0))</f>
        <v>0</v>
      </c>
      <c r="R363" s="174">
        <v>0</v>
      </c>
      <c r="S363" s="126">
        <v>2</v>
      </c>
      <c r="T363" s="126" t="s">
        <v>224</v>
      </c>
      <c r="U363" s="158"/>
      <c r="V363" s="153" t="str">
        <f t="array" ref="V363">INDEX(xlRTCLNAME,MATCH(1,(xlRTCLENDU=1)*(xlRTCLEQCL=$D363),0))</f>
        <v>WOOD_HT</v>
      </c>
      <c r="W363" s="153" t="str">
        <f t="array" ref="W363">INDEX(xlRTCLNAME,MATCH(1,(xlRTCLENDU=2)*(xlRTCLEQCL=$F363),0))</f>
        <v>CENT_AIR</v>
      </c>
      <c r="X363" s="153" t="str">
        <f t="array" ref="X363">INDEX(xlRTTYNAME,MATCH(1,(xlRTTYENDU=1)*(xlRTTYEQCL=$D363)*(xlRTEQTYPE=$E363),0))</f>
        <v>WOOD_HT2</v>
      </c>
      <c r="Y363" s="153" t="str">
        <f t="array" ref="Y363">INDEX(xlRTTYNAME,MATCH(1,(xlRTTYENDU=2)*(xlRTTYEQCL=$F363)*(xlRTEQTYPE=$G363),0))</f>
        <v>CENT_AIR1</v>
      </c>
    </row>
    <row r="364" spans="2:25" x14ac:dyDescent="0.2">
      <c r="B364" s="126">
        <v>8</v>
      </c>
      <c r="C364" s="126">
        <v>1</v>
      </c>
      <c r="D364" s="126">
        <v>9</v>
      </c>
      <c r="E364" s="126">
        <v>30</v>
      </c>
      <c r="F364" s="126">
        <v>2</v>
      </c>
      <c r="G364" s="126">
        <v>6</v>
      </c>
      <c r="H364" s="126">
        <v>2023</v>
      </c>
      <c r="I364" s="126">
        <v>2050</v>
      </c>
      <c r="J364" s="127">
        <v>1.0820000000000001</v>
      </c>
      <c r="K364" s="127">
        <v>1.0832999999999999</v>
      </c>
      <c r="L364" s="127">
        <v>0.5806</v>
      </c>
      <c r="M364" s="127">
        <v>0.91349999999999998</v>
      </c>
      <c r="N364" s="127">
        <v>0.86439999999999995</v>
      </c>
      <c r="O364" s="127">
        <v>1.0538000000000001</v>
      </c>
      <c r="P364" s="126">
        <v>9530</v>
      </c>
      <c r="Q364" s="128">
        <f t="array" ref="Q364">SUM(IF(($S364&gt;=4)*($C364='TaxCred&amp;Subs'!$D$123:$D$127)*($H364='TaxCred&amp;Subs'!$C$123:$C$127)*($H364&lt;='TaxCred&amp;Subs'!$C$129),'TaxCred&amp;Subs'!$E$123:$E$127,0))</f>
        <v>0</v>
      </c>
      <c r="R364" s="174">
        <v>0</v>
      </c>
      <c r="S364" s="126">
        <v>2</v>
      </c>
      <c r="T364" s="126" t="s">
        <v>224</v>
      </c>
      <c r="U364" s="158"/>
      <c r="V364" s="153" t="str">
        <f t="array" ref="V364">INDEX(xlRTCLNAME,MATCH(1,(xlRTCLENDU=1)*(xlRTCLEQCL=$D364),0))</f>
        <v>WOOD_HT</v>
      </c>
      <c r="W364" s="153" t="str">
        <f t="array" ref="W364">INDEX(xlRTCLNAME,MATCH(1,(xlRTCLENDU=2)*(xlRTCLEQCL=$F364),0))</f>
        <v>CENT_AIR</v>
      </c>
      <c r="X364" s="153" t="str">
        <f t="array" ref="X364">INDEX(xlRTTYNAME,MATCH(1,(xlRTTYENDU=1)*(xlRTTYEQCL=$D364)*(xlRTEQTYPE=$E364),0))</f>
        <v>WOOD_HT2</v>
      </c>
      <c r="Y364" s="153" t="str">
        <f t="array" ref="Y364">INDEX(xlRTTYNAME,MATCH(1,(xlRTTYENDU=2)*(xlRTTYEQCL=$F364)*(xlRTEQTYPE=$G364),0))</f>
        <v>CENT_AIR2</v>
      </c>
    </row>
    <row r="365" spans="2:25" x14ac:dyDescent="0.2">
      <c r="B365" s="126">
        <v>9</v>
      </c>
      <c r="C365" s="126">
        <v>1</v>
      </c>
      <c r="D365" s="126">
        <v>9</v>
      </c>
      <c r="E365" s="126">
        <v>30</v>
      </c>
      <c r="F365" s="126">
        <v>2</v>
      </c>
      <c r="G365" s="126">
        <v>5</v>
      </c>
      <c r="H365" s="126">
        <v>2016</v>
      </c>
      <c r="I365" s="126">
        <v>2022</v>
      </c>
      <c r="J365" s="127">
        <v>1.0414000000000001</v>
      </c>
      <c r="K365" s="127">
        <v>1.07</v>
      </c>
      <c r="L365" s="127">
        <v>0.9869</v>
      </c>
      <c r="M365" s="127">
        <v>0.95209999999999995</v>
      </c>
      <c r="N365" s="127">
        <v>1.026</v>
      </c>
      <c r="O365" s="127">
        <v>1.0538000000000001</v>
      </c>
      <c r="P365" s="126">
        <v>9776</v>
      </c>
      <c r="Q365" s="128">
        <f t="array" ref="Q365">SUM(IF(($S365&gt;=4)*($C365='TaxCred&amp;Subs'!$D$123:$D$127)*($H365='TaxCred&amp;Subs'!$C$123:$C$127)*($H365&lt;='TaxCred&amp;Subs'!$C$129),'TaxCred&amp;Subs'!$E$123:$E$127,0))</f>
        <v>0</v>
      </c>
      <c r="R365" s="174">
        <v>0</v>
      </c>
      <c r="S365" s="126">
        <v>2</v>
      </c>
      <c r="T365" s="126" t="s">
        <v>224</v>
      </c>
      <c r="U365" s="158"/>
      <c r="V365" s="153" t="str">
        <f t="array" ref="V365">INDEX(xlRTCLNAME,MATCH(1,(xlRTCLENDU=1)*(xlRTCLEQCL=$D365),0))</f>
        <v>WOOD_HT</v>
      </c>
      <c r="W365" s="153" t="str">
        <f t="array" ref="W365">INDEX(xlRTCLNAME,MATCH(1,(xlRTCLENDU=2)*(xlRTCLEQCL=$F365),0))</f>
        <v>CENT_AIR</v>
      </c>
      <c r="X365" s="153" t="str">
        <f t="array" ref="X365">INDEX(xlRTTYNAME,MATCH(1,(xlRTTYENDU=1)*(xlRTTYEQCL=$D365)*(xlRTEQTYPE=$E365),0))</f>
        <v>WOOD_HT2</v>
      </c>
      <c r="Y365" s="153" t="str">
        <f t="array" ref="Y365">INDEX(xlRTTYNAME,MATCH(1,(xlRTTYENDU=2)*(xlRTTYEQCL=$F365)*(xlRTEQTYPE=$G365),0))</f>
        <v>CENT_AIR1</v>
      </c>
    </row>
    <row r="366" spans="2:25" x14ac:dyDescent="0.2">
      <c r="B366" s="126">
        <v>9</v>
      </c>
      <c r="C366" s="126">
        <v>1</v>
      </c>
      <c r="D366" s="126">
        <v>9</v>
      </c>
      <c r="E366" s="126">
        <v>30</v>
      </c>
      <c r="F366" s="126">
        <v>2</v>
      </c>
      <c r="G366" s="126">
        <v>6</v>
      </c>
      <c r="H366" s="126">
        <v>2023</v>
      </c>
      <c r="I366" s="126">
        <v>2050</v>
      </c>
      <c r="J366" s="127">
        <v>1.0414000000000001</v>
      </c>
      <c r="K366" s="127">
        <v>1.07</v>
      </c>
      <c r="L366" s="127">
        <v>0.9869</v>
      </c>
      <c r="M366" s="127">
        <v>0.95209999999999995</v>
      </c>
      <c r="N366" s="127">
        <v>1.026</v>
      </c>
      <c r="O366" s="127">
        <v>1.0538000000000001</v>
      </c>
      <c r="P366" s="126">
        <v>9776</v>
      </c>
      <c r="Q366" s="128">
        <f t="array" ref="Q366">SUM(IF(($S366&gt;=4)*($C366='TaxCred&amp;Subs'!$D$123:$D$127)*($H366='TaxCred&amp;Subs'!$C$123:$C$127)*($H366&lt;='TaxCred&amp;Subs'!$C$129),'TaxCred&amp;Subs'!$E$123:$E$127,0))</f>
        <v>0</v>
      </c>
      <c r="R366" s="174">
        <v>0</v>
      </c>
      <c r="S366" s="126">
        <v>2</v>
      </c>
      <c r="T366" s="126" t="s">
        <v>224</v>
      </c>
      <c r="U366" s="158"/>
      <c r="V366" s="153" t="str">
        <f t="array" ref="V366">INDEX(xlRTCLNAME,MATCH(1,(xlRTCLENDU=1)*(xlRTCLEQCL=$D366),0))</f>
        <v>WOOD_HT</v>
      </c>
      <c r="W366" s="153" t="str">
        <f t="array" ref="W366">INDEX(xlRTCLNAME,MATCH(1,(xlRTCLENDU=2)*(xlRTCLEQCL=$F366),0))</f>
        <v>CENT_AIR</v>
      </c>
      <c r="X366" s="153" t="str">
        <f t="array" ref="X366">INDEX(xlRTTYNAME,MATCH(1,(xlRTTYENDU=1)*(xlRTTYEQCL=$D366)*(xlRTEQTYPE=$E366),0))</f>
        <v>WOOD_HT2</v>
      </c>
      <c r="Y366" s="153" t="str">
        <f t="array" ref="Y366">INDEX(xlRTTYNAME,MATCH(1,(xlRTTYENDU=2)*(xlRTTYEQCL=$F366)*(xlRTEQTYPE=$G366),0))</f>
        <v>CENT_AIR2</v>
      </c>
    </row>
    <row r="367" spans="2:25" x14ac:dyDescent="0.2">
      <c r="B367" s="126">
        <v>1</v>
      </c>
      <c r="C367" s="126">
        <v>1</v>
      </c>
      <c r="D367" s="126">
        <v>10</v>
      </c>
      <c r="E367" s="126">
        <v>32</v>
      </c>
      <c r="F367" s="126">
        <v>4</v>
      </c>
      <c r="G367" s="126">
        <v>13</v>
      </c>
      <c r="H367" s="126">
        <v>2016</v>
      </c>
      <c r="I367" s="126">
        <v>2050</v>
      </c>
      <c r="J367" s="127">
        <v>1.1071</v>
      </c>
      <c r="K367" s="127">
        <v>1.0713999999999999</v>
      </c>
      <c r="L367" s="127">
        <v>0.52259999999999995</v>
      </c>
      <c r="M367" s="127">
        <v>1.0176000000000001</v>
      </c>
      <c r="N367" s="127">
        <v>0.80640000000000001</v>
      </c>
      <c r="O367" s="127">
        <v>1.0538000000000001</v>
      </c>
      <c r="P367" s="126">
        <v>10598</v>
      </c>
      <c r="Q367" s="128">
        <f t="array" ref="Q367">SUM(IF(($S367&gt;=4)*($C367='TaxCred&amp;Subs'!$D$123:$D$127)*($H367='TaxCred&amp;Subs'!$C$123:$C$127)*($H367&lt;='TaxCred&amp;Subs'!$C$129),'TaxCred&amp;Subs'!$E$123:$E$127,0))</f>
        <v>0</v>
      </c>
      <c r="R367" s="174">
        <v>0</v>
      </c>
      <c r="S367" s="126">
        <v>2</v>
      </c>
      <c r="T367" s="126" t="s">
        <v>224</v>
      </c>
      <c r="U367" s="158"/>
      <c r="V367" s="153" t="str">
        <f t="array" ref="V367">INDEX(xlRTCLNAME,MATCH(1,(xlRTCLENDU=1)*(xlRTCLEQCL=$D367),0))</f>
        <v>GEO_HP</v>
      </c>
      <c r="W367" s="153" t="str">
        <f t="array" ref="W367">INDEX(xlRTCLNAME,MATCH(1,(xlRTCLENDU=2)*(xlRTCLEQCL=$F367),0))</f>
        <v>GEO_HP</v>
      </c>
      <c r="X367" s="153" t="str">
        <f t="array" ref="X367">INDEX(xlRTTYNAME,MATCH(1,(xlRTTYENDU=1)*(xlRTTYEQCL=$D367)*(xlRTEQTYPE=$E367),0))</f>
        <v>GEO_HP1</v>
      </c>
      <c r="Y367" s="153" t="str">
        <f t="array" ref="Y367">INDEX(xlRTTYNAME,MATCH(1,(xlRTTYENDU=2)*(xlRTTYEQCL=$F367)*(xlRTEQTYPE=$G367),0))</f>
        <v>GEO_HP1</v>
      </c>
    </row>
    <row r="368" spans="2:25" x14ac:dyDescent="0.2">
      <c r="B368" s="126">
        <v>2</v>
      </c>
      <c r="C368" s="126">
        <v>1</v>
      </c>
      <c r="D368" s="126">
        <v>10</v>
      </c>
      <c r="E368" s="126">
        <v>32</v>
      </c>
      <c r="F368" s="126">
        <v>4</v>
      </c>
      <c r="G368" s="126">
        <v>13</v>
      </c>
      <c r="H368" s="126">
        <v>2016</v>
      </c>
      <c r="I368" s="126">
        <v>2050</v>
      </c>
      <c r="J368" s="127">
        <v>1.0371999999999999</v>
      </c>
      <c r="K368" s="127">
        <v>1.0698000000000001</v>
      </c>
      <c r="L368" s="127">
        <v>0.66810000000000003</v>
      </c>
      <c r="M368" s="127">
        <v>0.87660000000000005</v>
      </c>
      <c r="N368" s="127">
        <v>0.95350000000000001</v>
      </c>
      <c r="O368" s="127">
        <v>1.0538000000000001</v>
      </c>
      <c r="P368" s="126">
        <v>10334</v>
      </c>
      <c r="Q368" s="128">
        <f t="array" ref="Q368">SUM(IF(($S368&gt;=4)*($C368='TaxCred&amp;Subs'!$D$123:$D$127)*($H368='TaxCred&amp;Subs'!$C$123:$C$127)*($H368&lt;='TaxCred&amp;Subs'!$C$129),'TaxCred&amp;Subs'!$E$123:$E$127,0))</f>
        <v>0</v>
      </c>
      <c r="R368" s="174">
        <v>0</v>
      </c>
      <c r="S368" s="126">
        <v>2</v>
      </c>
      <c r="T368" s="126" t="s">
        <v>224</v>
      </c>
      <c r="U368" s="158"/>
      <c r="V368" s="153" t="str">
        <f t="array" ref="V368">INDEX(xlRTCLNAME,MATCH(1,(xlRTCLENDU=1)*(xlRTCLEQCL=$D368),0))</f>
        <v>GEO_HP</v>
      </c>
      <c r="W368" s="153" t="str">
        <f t="array" ref="W368">INDEX(xlRTCLNAME,MATCH(1,(xlRTCLENDU=2)*(xlRTCLEQCL=$F368),0))</f>
        <v>GEO_HP</v>
      </c>
      <c r="X368" s="153" t="str">
        <f t="array" ref="X368">INDEX(xlRTTYNAME,MATCH(1,(xlRTTYENDU=1)*(xlRTTYEQCL=$D368)*(xlRTEQTYPE=$E368),0))</f>
        <v>GEO_HP1</v>
      </c>
      <c r="Y368" s="153" t="str">
        <f t="array" ref="Y368">INDEX(xlRTTYNAME,MATCH(1,(xlRTTYENDU=2)*(xlRTTYEQCL=$F368)*(xlRTEQTYPE=$G368),0))</f>
        <v>GEO_HP1</v>
      </c>
    </row>
    <row r="369" spans="2:25" x14ac:dyDescent="0.2">
      <c r="B369" s="126">
        <v>3</v>
      </c>
      <c r="C369" s="126">
        <v>1</v>
      </c>
      <c r="D369" s="126">
        <v>10</v>
      </c>
      <c r="E369" s="126">
        <v>32</v>
      </c>
      <c r="F369" s="126">
        <v>4</v>
      </c>
      <c r="G369" s="126">
        <v>13</v>
      </c>
      <c r="H369" s="126">
        <v>2016</v>
      </c>
      <c r="I369" s="126">
        <v>2050</v>
      </c>
      <c r="J369" s="127">
        <v>1.0431999999999999</v>
      </c>
      <c r="K369" s="127">
        <v>1.0625</v>
      </c>
      <c r="L369" s="127">
        <v>0.53139999999999998</v>
      </c>
      <c r="M369" s="127">
        <v>0.94299999999999995</v>
      </c>
      <c r="N369" s="127">
        <v>0.91259999999999997</v>
      </c>
      <c r="O369" s="127">
        <v>1.0538000000000001</v>
      </c>
      <c r="P369" s="126">
        <v>9579</v>
      </c>
      <c r="Q369" s="128">
        <f t="array" ref="Q369">SUM(IF(($S369&gt;=4)*($C369='TaxCred&amp;Subs'!$D$123:$D$127)*($H369='TaxCred&amp;Subs'!$C$123:$C$127)*($H369&lt;='TaxCred&amp;Subs'!$C$129),'TaxCred&amp;Subs'!$E$123:$E$127,0))</f>
        <v>0</v>
      </c>
      <c r="R369" s="174">
        <v>0</v>
      </c>
      <c r="S369" s="126">
        <v>2</v>
      </c>
      <c r="T369" s="126" t="s">
        <v>224</v>
      </c>
      <c r="U369" s="158"/>
      <c r="V369" s="153" t="str">
        <f t="array" ref="V369">INDEX(xlRTCLNAME,MATCH(1,(xlRTCLENDU=1)*(xlRTCLEQCL=$D369),0))</f>
        <v>GEO_HP</v>
      </c>
      <c r="W369" s="153" t="str">
        <f t="array" ref="W369">INDEX(xlRTCLNAME,MATCH(1,(xlRTCLENDU=2)*(xlRTCLEQCL=$F369),0))</f>
        <v>GEO_HP</v>
      </c>
      <c r="X369" s="153" t="str">
        <f t="array" ref="X369">INDEX(xlRTTYNAME,MATCH(1,(xlRTTYENDU=1)*(xlRTTYEQCL=$D369)*(xlRTEQTYPE=$E369),0))</f>
        <v>GEO_HP1</v>
      </c>
      <c r="Y369" s="153" t="str">
        <f t="array" ref="Y369">INDEX(xlRTTYNAME,MATCH(1,(xlRTTYENDU=2)*(xlRTTYEQCL=$F369)*(xlRTEQTYPE=$G369),0))</f>
        <v>GEO_HP1</v>
      </c>
    </row>
    <row r="370" spans="2:25" x14ac:dyDescent="0.2">
      <c r="B370" s="126">
        <v>4</v>
      </c>
      <c r="C370" s="126">
        <v>1</v>
      </c>
      <c r="D370" s="126">
        <v>10</v>
      </c>
      <c r="E370" s="126">
        <v>32</v>
      </c>
      <c r="F370" s="126">
        <v>4</v>
      </c>
      <c r="G370" s="126">
        <v>13</v>
      </c>
      <c r="H370" s="126">
        <v>2016</v>
      </c>
      <c r="I370" s="126">
        <v>2050</v>
      </c>
      <c r="J370" s="127">
        <v>1.0781000000000001</v>
      </c>
      <c r="K370" s="127">
        <v>1.087</v>
      </c>
      <c r="L370" s="127">
        <v>0.50970000000000004</v>
      </c>
      <c r="M370" s="127">
        <v>0.89080000000000004</v>
      </c>
      <c r="N370" s="127">
        <v>0.84850000000000003</v>
      </c>
      <c r="O370" s="127">
        <v>1.0538000000000001</v>
      </c>
      <c r="P370" s="126">
        <v>7751</v>
      </c>
      <c r="Q370" s="128">
        <f t="array" ref="Q370">SUM(IF(($S370&gt;=4)*($C370='TaxCred&amp;Subs'!$D$123:$D$127)*($H370='TaxCred&amp;Subs'!$C$123:$C$127)*($H370&lt;='TaxCred&amp;Subs'!$C$129),'TaxCred&amp;Subs'!$E$123:$E$127,0))</f>
        <v>0</v>
      </c>
      <c r="R370" s="174">
        <v>0</v>
      </c>
      <c r="S370" s="126">
        <v>2</v>
      </c>
      <c r="T370" s="126" t="s">
        <v>224</v>
      </c>
      <c r="U370" s="158"/>
      <c r="V370" s="153" t="str">
        <f t="array" ref="V370">INDEX(xlRTCLNAME,MATCH(1,(xlRTCLENDU=1)*(xlRTCLEQCL=$D370),0))</f>
        <v>GEO_HP</v>
      </c>
      <c r="W370" s="153" t="str">
        <f t="array" ref="W370">INDEX(xlRTCLNAME,MATCH(1,(xlRTCLENDU=2)*(xlRTCLEQCL=$F370),0))</f>
        <v>GEO_HP</v>
      </c>
      <c r="X370" s="153" t="str">
        <f t="array" ref="X370">INDEX(xlRTTYNAME,MATCH(1,(xlRTTYENDU=1)*(xlRTTYEQCL=$D370)*(xlRTEQTYPE=$E370),0))</f>
        <v>GEO_HP1</v>
      </c>
      <c r="Y370" s="153" t="str">
        <f t="array" ref="Y370">INDEX(xlRTTYNAME,MATCH(1,(xlRTTYENDU=2)*(xlRTTYEQCL=$F370)*(xlRTEQTYPE=$G370),0))</f>
        <v>GEO_HP1</v>
      </c>
    </row>
    <row r="371" spans="2:25" x14ac:dyDescent="0.2">
      <c r="B371" s="126">
        <v>5</v>
      </c>
      <c r="C371" s="126">
        <v>1</v>
      </c>
      <c r="D371" s="126">
        <v>10</v>
      </c>
      <c r="E371" s="126">
        <v>32</v>
      </c>
      <c r="F371" s="126">
        <v>4</v>
      </c>
      <c r="G371" s="126">
        <v>13</v>
      </c>
      <c r="H371" s="126">
        <v>2016</v>
      </c>
      <c r="I371" s="126">
        <v>2050</v>
      </c>
      <c r="J371" s="127">
        <v>1.0843</v>
      </c>
      <c r="K371" s="127">
        <v>1.0722</v>
      </c>
      <c r="L371" s="127">
        <v>0.77729999999999999</v>
      </c>
      <c r="M371" s="127">
        <v>0.94299999999999995</v>
      </c>
      <c r="N371" s="127">
        <v>0.76049999999999995</v>
      </c>
      <c r="O371" s="127">
        <v>1.0538000000000001</v>
      </c>
      <c r="P371" s="126">
        <v>7236</v>
      </c>
      <c r="Q371" s="128">
        <f t="array" ref="Q371">SUM(IF(($S371&gt;=4)*($C371='TaxCred&amp;Subs'!$D$123:$D$127)*($H371='TaxCred&amp;Subs'!$C$123:$C$127)*($H371&lt;='TaxCred&amp;Subs'!$C$129),'TaxCred&amp;Subs'!$E$123:$E$127,0))</f>
        <v>0</v>
      </c>
      <c r="R371" s="174">
        <v>0</v>
      </c>
      <c r="S371" s="126">
        <v>2</v>
      </c>
      <c r="T371" s="126" t="s">
        <v>224</v>
      </c>
      <c r="U371" s="158"/>
      <c r="V371" s="153" t="str">
        <f t="array" ref="V371">INDEX(xlRTCLNAME,MATCH(1,(xlRTCLENDU=1)*(xlRTCLEQCL=$D371),0))</f>
        <v>GEO_HP</v>
      </c>
      <c r="W371" s="153" t="str">
        <f t="array" ref="W371">INDEX(xlRTCLNAME,MATCH(1,(xlRTCLENDU=2)*(xlRTCLEQCL=$F371),0))</f>
        <v>GEO_HP</v>
      </c>
      <c r="X371" s="153" t="str">
        <f t="array" ref="X371">INDEX(xlRTTYNAME,MATCH(1,(xlRTTYENDU=1)*(xlRTTYEQCL=$D371)*(xlRTEQTYPE=$E371),0))</f>
        <v>GEO_HP1</v>
      </c>
      <c r="Y371" s="153" t="str">
        <f t="array" ref="Y371">INDEX(xlRTTYNAME,MATCH(1,(xlRTTYENDU=2)*(xlRTTYEQCL=$F371)*(xlRTEQTYPE=$G371),0))</f>
        <v>GEO_HP1</v>
      </c>
    </row>
    <row r="372" spans="2:25" x14ac:dyDescent="0.2">
      <c r="B372" s="126">
        <v>6</v>
      </c>
      <c r="C372" s="126">
        <v>1</v>
      </c>
      <c r="D372" s="126">
        <v>10</v>
      </c>
      <c r="E372" s="126">
        <v>32</v>
      </c>
      <c r="F372" s="126">
        <v>4</v>
      </c>
      <c r="G372" s="126">
        <v>13</v>
      </c>
      <c r="H372" s="126">
        <v>2016</v>
      </c>
      <c r="I372" s="126">
        <v>2050</v>
      </c>
      <c r="J372" s="127">
        <v>1.0982000000000001</v>
      </c>
      <c r="K372" s="127">
        <v>1.0805</v>
      </c>
      <c r="L372" s="127">
        <v>0.62609999999999999</v>
      </c>
      <c r="M372" s="127">
        <v>0.81720000000000004</v>
      </c>
      <c r="N372" s="127">
        <v>0.88680000000000003</v>
      </c>
      <c r="O372" s="127">
        <v>1.0538000000000001</v>
      </c>
      <c r="P372" s="126">
        <v>6219</v>
      </c>
      <c r="Q372" s="128">
        <f t="array" ref="Q372">SUM(IF(($S372&gt;=4)*($C372='TaxCred&amp;Subs'!$D$123:$D$127)*($H372='TaxCred&amp;Subs'!$C$123:$C$127)*($H372&lt;='TaxCred&amp;Subs'!$C$129),'TaxCred&amp;Subs'!$E$123:$E$127,0))</f>
        <v>0</v>
      </c>
      <c r="R372" s="174">
        <v>0</v>
      </c>
      <c r="S372" s="126">
        <v>2</v>
      </c>
      <c r="T372" s="126" t="s">
        <v>224</v>
      </c>
      <c r="U372" s="158"/>
      <c r="V372" s="153" t="str">
        <f t="array" ref="V372">INDEX(xlRTCLNAME,MATCH(1,(xlRTCLENDU=1)*(xlRTCLEQCL=$D372),0))</f>
        <v>GEO_HP</v>
      </c>
      <c r="W372" s="153" t="str">
        <f t="array" ref="W372">INDEX(xlRTCLNAME,MATCH(1,(xlRTCLENDU=2)*(xlRTCLEQCL=$F372),0))</f>
        <v>GEO_HP</v>
      </c>
      <c r="X372" s="153" t="str">
        <f t="array" ref="X372">INDEX(xlRTTYNAME,MATCH(1,(xlRTTYENDU=1)*(xlRTTYEQCL=$D372)*(xlRTEQTYPE=$E372),0))</f>
        <v>GEO_HP1</v>
      </c>
      <c r="Y372" s="153" t="str">
        <f t="array" ref="Y372">INDEX(xlRTTYNAME,MATCH(1,(xlRTTYENDU=2)*(xlRTTYEQCL=$F372)*(xlRTEQTYPE=$G372),0))</f>
        <v>GEO_HP1</v>
      </c>
    </row>
    <row r="373" spans="2:25" x14ac:dyDescent="0.2">
      <c r="B373" s="126">
        <v>7</v>
      </c>
      <c r="C373" s="126">
        <v>1</v>
      </c>
      <c r="D373" s="126">
        <v>10</v>
      </c>
      <c r="E373" s="126">
        <v>32</v>
      </c>
      <c r="F373" s="126">
        <v>4</v>
      </c>
      <c r="G373" s="126">
        <v>13</v>
      </c>
      <c r="H373" s="126">
        <v>2016</v>
      </c>
      <c r="I373" s="126">
        <v>2050</v>
      </c>
      <c r="J373" s="127">
        <v>1.1200000000000001</v>
      </c>
      <c r="K373" s="127">
        <v>1.0769</v>
      </c>
      <c r="L373" s="127">
        <v>0.95389999999999997</v>
      </c>
      <c r="M373" s="127">
        <v>0.89039999999999997</v>
      </c>
      <c r="N373" s="127">
        <v>0.8871</v>
      </c>
      <c r="O373" s="127">
        <v>1.0538000000000001</v>
      </c>
      <c r="P373" s="126">
        <v>6140</v>
      </c>
      <c r="Q373" s="128">
        <f t="array" ref="Q373">SUM(IF(($S373&gt;=4)*($C373='TaxCred&amp;Subs'!$D$123:$D$127)*($H373='TaxCred&amp;Subs'!$C$123:$C$127)*($H373&lt;='TaxCred&amp;Subs'!$C$129),'TaxCred&amp;Subs'!$E$123:$E$127,0))</f>
        <v>0</v>
      </c>
      <c r="R373" s="174">
        <v>0</v>
      </c>
      <c r="S373" s="126">
        <v>2</v>
      </c>
      <c r="T373" s="126" t="s">
        <v>224</v>
      </c>
      <c r="U373" s="158"/>
      <c r="V373" s="153" t="str">
        <f t="array" ref="V373">INDEX(xlRTCLNAME,MATCH(1,(xlRTCLENDU=1)*(xlRTCLEQCL=$D373),0))</f>
        <v>GEO_HP</v>
      </c>
      <c r="W373" s="153" t="str">
        <f t="array" ref="W373">INDEX(xlRTCLNAME,MATCH(1,(xlRTCLENDU=2)*(xlRTCLEQCL=$F373),0))</f>
        <v>GEO_HP</v>
      </c>
      <c r="X373" s="153" t="str">
        <f t="array" ref="X373">INDEX(xlRTTYNAME,MATCH(1,(xlRTTYENDU=1)*(xlRTTYEQCL=$D373)*(xlRTEQTYPE=$E373),0))</f>
        <v>GEO_HP1</v>
      </c>
      <c r="Y373" s="153" t="str">
        <f t="array" ref="Y373">INDEX(xlRTTYNAME,MATCH(1,(xlRTTYENDU=2)*(xlRTTYEQCL=$F373)*(xlRTEQTYPE=$G373),0))</f>
        <v>GEO_HP1</v>
      </c>
    </row>
    <row r="374" spans="2:25" x14ac:dyDescent="0.2">
      <c r="B374" s="126">
        <v>8</v>
      </c>
      <c r="C374" s="126">
        <v>1</v>
      </c>
      <c r="D374" s="126">
        <v>10</v>
      </c>
      <c r="E374" s="126">
        <v>32</v>
      </c>
      <c r="F374" s="126">
        <v>4</v>
      </c>
      <c r="G374" s="126">
        <v>13</v>
      </c>
      <c r="H374" s="126">
        <v>2016</v>
      </c>
      <c r="I374" s="126">
        <v>2050</v>
      </c>
      <c r="J374" s="127">
        <v>1.0417000000000001</v>
      </c>
      <c r="K374" s="127">
        <v>1.0667</v>
      </c>
      <c r="L374" s="127">
        <v>0.56799999999999995</v>
      </c>
      <c r="M374" s="127">
        <v>0.91979999999999995</v>
      </c>
      <c r="N374" s="127">
        <v>0.88300000000000001</v>
      </c>
      <c r="O374" s="127">
        <v>1.0538000000000001</v>
      </c>
      <c r="P374" s="126">
        <v>10157</v>
      </c>
      <c r="Q374" s="128">
        <f t="array" ref="Q374">SUM(IF(($S374&gt;=4)*($C374='TaxCred&amp;Subs'!$D$123:$D$127)*($H374='TaxCred&amp;Subs'!$C$123:$C$127)*($H374&lt;='TaxCred&amp;Subs'!$C$129),'TaxCred&amp;Subs'!$E$123:$E$127,0))</f>
        <v>0</v>
      </c>
      <c r="R374" s="174">
        <v>0</v>
      </c>
      <c r="S374" s="126">
        <v>2</v>
      </c>
      <c r="T374" s="126" t="s">
        <v>224</v>
      </c>
      <c r="U374" s="158"/>
      <c r="V374" s="153" t="str">
        <f t="array" ref="V374">INDEX(xlRTCLNAME,MATCH(1,(xlRTCLENDU=1)*(xlRTCLEQCL=$D374),0))</f>
        <v>GEO_HP</v>
      </c>
      <c r="W374" s="153" t="str">
        <f t="array" ref="W374">INDEX(xlRTCLNAME,MATCH(1,(xlRTCLENDU=2)*(xlRTCLEQCL=$F374),0))</f>
        <v>GEO_HP</v>
      </c>
      <c r="X374" s="153" t="str">
        <f t="array" ref="X374">INDEX(xlRTTYNAME,MATCH(1,(xlRTTYENDU=1)*(xlRTTYEQCL=$D374)*(xlRTEQTYPE=$E374),0))</f>
        <v>GEO_HP1</v>
      </c>
      <c r="Y374" s="153" t="str">
        <f t="array" ref="Y374">INDEX(xlRTTYNAME,MATCH(1,(xlRTTYENDU=2)*(xlRTTYEQCL=$F374)*(xlRTEQTYPE=$G374),0))</f>
        <v>GEO_HP1</v>
      </c>
    </row>
    <row r="375" spans="2:25" x14ac:dyDescent="0.2">
      <c r="B375" s="126">
        <v>9</v>
      </c>
      <c r="C375" s="126">
        <v>1</v>
      </c>
      <c r="D375" s="126">
        <v>10</v>
      </c>
      <c r="E375" s="126">
        <v>32</v>
      </c>
      <c r="F375" s="126">
        <v>4</v>
      </c>
      <c r="G375" s="126">
        <v>13</v>
      </c>
      <c r="H375" s="126">
        <v>2016</v>
      </c>
      <c r="I375" s="126">
        <v>2050</v>
      </c>
      <c r="J375" s="127">
        <v>1.0611999999999999</v>
      </c>
      <c r="K375" s="127">
        <v>1.0428999999999999</v>
      </c>
      <c r="L375" s="127">
        <v>0.9617</v>
      </c>
      <c r="M375" s="127">
        <v>0.95289999999999997</v>
      </c>
      <c r="N375" s="127">
        <v>1.0349999999999999</v>
      </c>
      <c r="O375" s="127">
        <v>1.0538000000000001</v>
      </c>
      <c r="P375" s="126">
        <v>8801</v>
      </c>
      <c r="Q375" s="128">
        <f t="array" ref="Q375">SUM(IF(($S375&gt;=4)*($C375='TaxCred&amp;Subs'!$D$123:$D$127)*($H375='TaxCred&amp;Subs'!$C$123:$C$127)*($H375&lt;='TaxCred&amp;Subs'!$C$129),'TaxCred&amp;Subs'!$E$123:$E$127,0))</f>
        <v>0</v>
      </c>
      <c r="R375" s="174">
        <v>0</v>
      </c>
      <c r="S375" s="126">
        <v>2</v>
      </c>
      <c r="T375" s="126" t="s">
        <v>224</v>
      </c>
      <c r="U375" s="158"/>
      <c r="V375" s="153" t="str">
        <f t="array" ref="V375">INDEX(xlRTCLNAME,MATCH(1,(xlRTCLENDU=1)*(xlRTCLEQCL=$D375),0))</f>
        <v>GEO_HP</v>
      </c>
      <c r="W375" s="153" t="str">
        <f t="array" ref="W375">INDEX(xlRTCLNAME,MATCH(1,(xlRTCLENDU=2)*(xlRTCLEQCL=$F375),0))</f>
        <v>GEO_HP</v>
      </c>
      <c r="X375" s="153" t="str">
        <f t="array" ref="X375">INDEX(xlRTTYNAME,MATCH(1,(xlRTTYENDU=1)*(xlRTTYEQCL=$D375)*(xlRTEQTYPE=$E375),0))</f>
        <v>GEO_HP1</v>
      </c>
      <c r="Y375" s="153" t="str">
        <f t="array" ref="Y375">INDEX(xlRTTYNAME,MATCH(1,(xlRTTYENDU=2)*(xlRTTYEQCL=$F375)*(xlRTEQTYPE=$G375),0))</f>
        <v>GEO_HP1</v>
      </c>
    </row>
    <row r="376" spans="2:25" x14ac:dyDescent="0.2">
      <c r="B376" s="126">
        <v>1</v>
      </c>
      <c r="C376" s="126">
        <v>1</v>
      </c>
      <c r="D376" s="126">
        <v>11</v>
      </c>
      <c r="E376" s="126">
        <v>36</v>
      </c>
      <c r="F376" s="126">
        <v>5</v>
      </c>
      <c r="G376" s="126">
        <v>17</v>
      </c>
      <c r="H376" s="126">
        <v>2016</v>
      </c>
      <c r="I376" s="126">
        <v>2050</v>
      </c>
      <c r="J376" s="127">
        <v>1.0803</v>
      </c>
      <c r="K376" s="127">
        <v>1.0667</v>
      </c>
      <c r="L376" s="127">
        <v>0.59240000000000004</v>
      </c>
      <c r="M376" s="127">
        <v>1.0176000000000001</v>
      </c>
      <c r="N376" s="127">
        <v>0.79790000000000005</v>
      </c>
      <c r="O376" s="127">
        <v>1.0538000000000001</v>
      </c>
      <c r="P376" s="126">
        <v>10708</v>
      </c>
      <c r="Q376" s="128">
        <f t="array" ref="Q376">SUM(IF(($S376&gt;=4)*($C376='TaxCred&amp;Subs'!$D$123:$D$127)*($H376='TaxCred&amp;Subs'!$C$123:$C$127)*($H376&lt;='TaxCred&amp;Subs'!$C$129),'TaxCred&amp;Subs'!$E$123:$E$127,0))</f>
        <v>0</v>
      </c>
      <c r="R376" s="174">
        <v>0</v>
      </c>
      <c r="S376" s="126">
        <v>2</v>
      </c>
      <c r="T376" s="126" t="s">
        <v>224</v>
      </c>
      <c r="U376" s="158"/>
      <c r="V376" s="153" t="str">
        <f t="array" ref="V376">INDEX(xlRTCLNAME,MATCH(1,(xlRTCLENDU=1)*(xlRTCLEQCL=$D376),0))</f>
        <v>NG_HP</v>
      </c>
      <c r="W376" s="153" t="str">
        <f t="array" ref="W376">INDEX(xlRTCLNAME,MATCH(1,(xlRTCLENDU=2)*(xlRTCLEQCL=$F376),0))</f>
        <v>NG_HP</v>
      </c>
      <c r="X376" s="153" t="str">
        <f t="array" ref="X376">INDEX(xlRTTYNAME,MATCH(1,(xlRTTYENDU=1)*(xlRTTYEQCL=$D376)*(xlRTEQTYPE=$E376),0))</f>
        <v>NG_HP2</v>
      </c>
      <c r="Y376" s="153" t="str">
        <f t="array" ref="Y376">INDEX(xlRTTYNAME,MATCH(1,(xlRTTYENDU=2)*(xlRTTYEQCL=$F376)*(xlRTEQTYPE=$G376),0))</f>
        <v>NG_HP2</v>
      </c>
    </row>
    <row r="377" spans="2:25" x14ac:dyDescent="0.2">
      <c r="B377" s="126">
        <v>2</v>
      </c>
      <c r="C377" s="126">
        <v>1</v>
      </c>
      <c r="D377" s="126">
        <v>11</v>
      </c>
      <c r="E377" s="126">
        <v>36</v>
      </c>
      <c r="F377" s="126">
        <v>5</v>
      </c>
      <c r="G377" s="126">
        <v>17</v>
      </c>
      <c r="H377" s="126">
        <v>2016</v>
      </c>
      <c r="I377" s="126">
        <v>2050</v>
      </c>
      <c r="J377" s="127">
        <v>1.0649</v>
      </c>
      <c r="K377" s="127">
        <v>1.0597000000000001</v>
      </c>
      <c r="L377" s="127">
        <v>0.70389999999999997</v>
      </c>
      <c r="M377" s="127">
        <v>0.88419999999999999</v>
      </c>
      <c r="N377" s="127">
        <v>0.93169999999999997</v>
      </c>
      <c r="O377" s="127">
        <v>1.0538000000000001</v>
      </c>
      <c r="P377" s="126">
        <v>10601</v>
      </c>
      <c r="Q377" s="128">
        <f t="array" ref="Q377">SUM(IF(($S377&gt;=4)*($C377='TaxCred&amp;Subs'!$D$123:$D$127)*($H377='TaxCred&amp;Subs'!$C$123:$C$127)*($H377&lt;='TaxCred&amp;Subs'!$C$129),'TaxCred&amp;Subs'!$E$123:$E$127,0))</f>
        <v>0</v>
      </c>
      <c r="R377" s="174">
        <v>0</v>
      </c>
      <c r="S377" s="126">
        <v>2</v>
      </c>
      <c r="T377" s="126" t="s">
        <v>224</v>
      </c>
      <c r="U377" s="158"/>
      <c r="V377" s="153" t="str">
        <f t="array" ref="V377">INDEX(xlRTCLNAME,MATCH(1,(xlRTCLENDU=1)*(xlRTCLEQCL=$D377),0))</f>
        <v>NG_HP</v>
      </c>
      <c r="W377" s="153" t="str">
        <f t="array" ref="W377">INDEX(xlRTCLNAME,MATCH(1,(xlRTCLENDU=2)*(xlRTCLEQCL=$F377),0))</f>
        <v>NG_HP</v>
      </c>
      <c r="X377" s="153" t="str">
        <f t="array" ref="X377">INDEX(xlRTTYNAME,MATCH(1,(xlRTTYENDU=1)*(xlRTTYEQCL=$D377)*(xlRTEQTYPE=$E377),0))</f>
        <v>NG_HP2</v>
      </c>
      <c r="Y377" s="153" t="str">
        <f t="array" ref="Y377">INDEX(xlRTTYNAME,MATCH(1,(xlRTTYENDU=2)*(xlRTTYEQCL=$F377)*(xlRTEQTYPE=$G377),0))</f>
        <v>NG_HP2</v>
      </c>
    </row>
    <row r="378" spans="2:25" x14ac:dyDescent="0.2">
      <c r="B378" s="126">
        <v>3</v>
      </c>
      <c r="C378" s="126">
        <v>1</v>
      </c>
      <c r="D378" s="126">
        <v>11</v>
      </c>
      <c r="E378" s="126">
        <v>36</v>
      </c>
      <c r="F378" s="126">
        <v>5</v>
      </c>
      <c r="G378" s="126">
        <v>17</v>
      </c>
      <c r="H378" s="126">
        <v>2016</v>
      </c>
      <c r="I378" s="126">
        <v>2050</v>
      </c>
      <c r="J378" s="127">
        <v>1.0469999999999999</v>
      </c>
      <c r="K378" s="127">
        <v>1.0769</v>
      </c>
      <c r="L378" s="127">
        <v>0.58860000000000001</v>
      </c>
      <c r="M378" s="127">
        <v>0.95530000000000004</v>
      </c>
      <c r="N378" s="127">
        <v>0.91600000000000004</v>
      </c>
      <c r="O378" s="127">
        <v>1.0538000000000001</v>
      </c>
      <c r="P378" s="126">
        <v>9545</v>
      </c>
      <c r="Q378" s="128">
        <f t="array" ref="Q378">SUM(IF(($S378&gt;=4)*($C378='TaxCred&amp;Subs'!$D$123:$D$127)*($H378='TaxCred&amp;Subs'!$C$123:$C$127)*($H378&lt;='TaxCred&amp;Subs'!$C$129),'TaxCred&amp;Subs'!$E$123:$E$127,0))</f>
        <v>0</v>
      </c>
      <c r="R378" s="174">
        <v>0</v>
      </c>
      <c r="S378" s="126">
        <v>2</v>
      </c>
      <c r="T378" s="126" t="s">
        <v>224</v>
      </c>
      <c r="U378" s="158"/>
      <c r="V378" s="153" t="str">
        <f t="array" ref="V378">INDEX(xlRTCLNAME,MATCH(1,(xlRTCLENDU=1)*(xlRTCLEQCL=$D378),0))</f>
        <v>NG_HP</v>
      </c>
      <c r="W378" s="153" t="str">
        <f t="array" ref="W378">INDEX(xlRTCLNAME,MATCH(1,(xlRTCLENDU=2)*(xlRTCLEQCL=$F378),0))</f>
        <v>NG_HP</v>
      </c>
      <c r="X378" s="153" t="str">
        <f t="array" ref="X378">INDEX(xlRTTYNAME,MATCH(1,(xlRTTYENDU=1)*(xlRTTYEQCL=$D378)*(xlRTEQTYPE=$E378),0))</f>
        <v>NG_HP2</v>
      </c>
      <c r="Y378" s="153" t="str">
        <f t="array" ref="Y378">INDEX(xlRTTYNAME,MATCH(1,(xlRTTYENDU=2)*(xlRTTYEQCL=$F378)*(xlRTEQTYPE=$G378),0))</f>
        <v>NG_HP2</v>
      </c>
    </row>
    <row r="379" spans="2:25" x14ac:dyDescent="0.2">
      <c r="B379" s="126">
        <v>4</v>
      </c>
      <c r="C379" s="126">
        <v>1</v>
      </c>
      <c r="D379" s="126">
        <v>11</v>
      </c>
      <c r="E379" s="126">
        <v>36</v>
      </c>
      <c r="F379" s="126">
        <v>5</v>
      </c>
      <c r="G379" s="126">
        <v>17</v>
      </c>
      <c r="H379" s="126">
        <v>2016</v>
      </c>
      <c r="I379" s="126">
        <v>2050</v>
      </c>
      <c r="J379" s="127">
        <v>1.0862000000000001</v>
      </c>
      <c r="K379" s="127">
        <v>1.0769</v>
      </c>
      <c r="L379" s="127">
        <v>0.57379999999999998</v>
      </c>
      <c r="M379" s="127">
        <v>0.90200000000000002</v>
      </c>
      <c r="N379" s="127">
        <v>0.85770000000000002</v>
      </c>
      <c r="O379" s="127">
        <v>1.0538000000000001</v>
      </c>
      <c r="P379" s="126">
        <v>7555</v>
      </c>
      <c r="Q379" s="128">
        <f t="array" ref="Q379">SUM(IF(($S379&gt;=4)*($C379='TaxCred&amp;Subs'!$D$123:$D$127)*($H379='TaxCred&amp;Subs'!$C$123:$C$127)*($H379&lt;='TaxCred&amp;Subs'!$C$129),'TaxCred&amp;Subs'!$E$123:$E$127,0))</f>
        <v>0</v>
      </c>
      <c r="R379" s="174">
        <v>0</v>
      </c>
      <c r="S379" s="126">
        <v>2</v>
      </c>
      <c r="T379" s="126" t="s">
        <v>224</v>
      </c>
      <c r="U379" s="158"/>
      <c r="V379" s="153" t="str">
        <f t="array" ref="V379">INDEX(xlRTCLNAME,MATCH(1,(xlRTCLENDU=1)*(xlRTCLEQCL=$D379),0))</f>
        <v>NG_HP</v>
      </c>
      <c r="W379" s="153" t="str">
        <f t="array" ref="W379">INDEX(xlRTCLNAME,MATCH(1,(xlRTCLENDU=2)*(xlRTCLEQCL=$F379),0))</f>
        <v>NG_HP</v>
      </c>
      <c r="X379" s="153" t="str">
        <f t="array" ref="X379">INDEX(xlRTTYNAME,MATCH(1,(xlRTTYENDU=1)*(xlRTTYEQCL=$D379)*(xlRTEQTYPE=$E379),0))</f>
        <v>NG_HP2</v>
      </c>
      <c r="Y379" s="153" t="str">
        <f t="array" ref="Y379">INDEX(xlRTTYNAME,MATCH(1,(xlRTTYENDU=2)*(xlRTTYEQCL=$F379)*(xlRTEQTYPE=$G379),0))</f>
        <v>NG_HP2</v>
      </c>
    </row>
    <row r="380" spans="2:25" x14ac:dyDescent="0.2">
      <c r="B380" s="126">
        <v>5</v>
      </c>
      <c r="C380" s="126">
        <v>1</v>
      </c>
      <c r="D380" s="126">
        <v>11</v>
      </c>
      <c r="E380" s="126">
        <v>36</v>
      </c>
      <c r="F380" s="126">
        <v>5</v>
      </c>
      <c r="G380" s="126">
        <v>17</v>
      </c>
      <c r="H380" s="126">
        <v>2016</v>
      </c>
      <c r="I380" s="126">
        <v>2050</v>
      </c>
      <c r="J380" s="127">
        <v>1.0849</v>
      </c>
      <c r="K380" s="127">
        <v>1.0471999999999999</v>
      </c>
      <c r="L380" s="127">
        <v>0.77029999999999998</v>
      </c>
      <c r="M380" s="127">
        <v>0.95499999999999996</v>
      </c>
      <c r="N380" s="127">
        <v>0.76180000000000003</v>
      </c>
      <c r="O380" s="127">
        <v>1.0538000000000001</v>
      </c>
      <c r="P380" s="126">
        <v>7069</v>
      </c>
      <c r="Q380" s="128">
        <f t="array" ref="Q380">SUM(IF(($S380&gt;=4)*($C380='TaxCred&amp;Subs'!$D$123:$D$127)*($H380='TaxCred&amp;Subs'!$C$123:$C$127)*($H380&lt;='TaxCred&amp;Subs'!$C$129),'TaxCred&amp;Subs'!$E$123:$E$127,0))</f>
        <v>0</v>
      </c>
      <c r="R380" s="174">
        <v>0</v>
      </c>
      <c r="S380" s="126">
        <v>2</v>
      </c>
      <c r="T380" s="126" t="s">
        <v>224</v>
      </c>
      <c r="U380" s="158"/>
      <c r="V380" s="153" t="str">
        <f t="array" ref="V380">INDEX(xlRTCLNAME,MATCH(1,(xlRTCLENDU=1)*(xlRTCLEQCL=$D380),0))</f>
        <v>NG_HP</v>
      </c>
      <c r="W380" s="153" t="str">
        <f t="array" ref="W380">INDEX(xlRTCLNAME,MATCH(1,(xlRTCLENDU=2)*(xlRTCLEQCL=$F380),0))</f>
        <v>NG_HP</v>
      </c>
      <c r="X380" s="153" t="str">
        <f t="array" ref="X380">INDEX(xlRTTYNAME,MATCH(1,(xlRTTYENDU=1)*(xlRTTYEQCL=$D380)*(xlRTEQTYPE=$E380),0))</f>
        <v>NG_HP2</v>
      </c>
      <c r="Y380" s="153" t="str">
        <f t="array" ref="Y380">INDEX(xlRTTYNAME,MATCH(1,(xlRTTYENDU=2)*(xlRTTYEQCL=$F380)*(xlRTEQTYPE=$G380),0))</f>
        <v>NG_HP2</v>
      </c>
    </row>
    <row r="381" spans="2:25" x14ac:dyDescent="0.2">
      <c r="B381" s="126">
        <v>6</v>
      </c>
      <c r="C381" s="126">
        <v>1</v>
      </c>
      <c r="D381" s="126">
        <v>11</v>
      </c>
      <c r="E381" s="126">
        <v>36</v>
      </c>
      <c r="F381" s="126">
        <v>5</v>
      </c>
      <c r="G381" s="126">
        <v>17</v>
      </c>
      <c r="H381" s="126">
        <v>2016</v>
      </c>
      <c r="I381" s="126">
        <v>2050</v>
      </c>
      <c r="J381" s="127">
        <v>1.0924</v>
      </c>
      <c r="K381" s="127">
        <v>1.0661</v>
      </c>
      <c r="L381" s="127">
        <v>0.87670000000000003</v>
      </c>
      <c r="M381" s="127">
        <v>0.96009999999999995</v>
      </c>
      <c r="N381" s="127">
        <v>0.89100000000000001</v>
      </c>
      <c r="O381" s="127">
        <v>1.0538000000000001</v>
      </c>
      <c r="P381" s="126">
        <v>7359</v>
      </c>
      <c r="Q381" s="128">
        <f t="array" ref="Q381">SUM(IF(($S381&gt;=4)*($C381='TaxCred&amp;Subs'!$D$123:$D$127)*($H381='TaxCred&amp;Subs'!$C$123:$C$127)*($H381&lt;='TaxCred&amp;Subs'!$C$129),'TaxCred&amp;Subs'!$E$123:$E$127,0))</f>
        <v>0</v>
      </c>
      <c r="R381" s="174">
        <v>0</v>
      </c>
      <c r="S381" s="126">
        <v>2</v>
      </c>
      <c r="T381" s="126" t="s">
        <v>224</v>
      </c>
      <c r="U381" s="158"/>
      <c r="V381" s="153" t="str">
        <f t="array" ref="V381">INDEX(xlRTCLNAME,MATCH(1,(xlRTCLENDU=1)*(xlRTCLEQCL=$D381),0))</f>
        <v>NG_HP</v>
      </c>
      <c r="W381" s="153" t="str">
        <f t="array" ref="W381">INDEX(xlRTCLNAME,MATCH(1,(xlRTCLENDU=2)*(xlRTCLEQCL=$F381),0))</f>
        <v>NG_HP</v>
      </c>
      <c r="X381" s="153" t="str">
        <f t="array" ref="X381">INDEX(xlRTTYNAME,MATCH(1,(xlRTTYENDU=1)*(xlRTTYEQCL=$D381)*(xlRTEQTYPE=$E381),0))</f>
        <v>NG_HP2</v>
      </c>
      <c r="Y381" s="153" t="str">
        <f t="array" ref="Y381">INDEX(xlRTTYNAME,MATCH(1,(xlRTTYENDU=2)*(xlRTTYEQCL=$F381)*(xlRTEQTYPE=$G381),0))</f>
        <v>NG_HP2</v>
      </c>
    </row>
    <row r="382" spans="2:25" x14ac:dyDescent="0.2">
      <c r="B382" s="126">
        <v>7</v>
      </c>
      <c r="C382" s="126">
        <v>1</v>
      </c>
      <c r="D382" s="126">
        <v>11</v>
      </c>
      <c r="E382" s="126">
        <v>36</v>
      </c>
      <c r="F382" s="126">
        <v>5</v>
      </c>
      <c r="G382" s="126">
        <v>17</v>
      </c>
      <c r="H382" s="126">
        <v>2016</v>
      </c>
      <c r="I382" s="126">
        <v>2050</v>
      </c>
      <c r="J382" s="127">
        <v>1.0905</v>
      </c>
      <c r="K382" s="127">
        <v>1.0562</v>
      </c>
      <c r="L382" s="127">
        <v>0.89019999999999999</v>
      </c>
      <c r="M382" s="127">
        <v>0.87749999999999995</v>
      </c>
      <c r="N382" s="127">
        <v>0.87180000000000002</v>
      </c>
      <c r="O382" s="127">
        <v>1.0538000000000001</v>
      </c>
      <c r="P382" s="126">
        <v>6207</v>
      </c>
      <c r="Q382" s="128">
        <f t="array" ref="Q382">SUM(IF(($S382&gt;=4)*($C382='TaxCred&amp;Subs'!$D$123:$D$127)*($H382='TaxCred&amp;Subs'!$C$123:$C$127)*($H382&lt;='TaxCred&amp;Subs'!$C$129),'TaxCred&amp;Subs'!$E$123:$E$127,0))</f>
        <v>0</v>
      </c>
      <c r="R382" s="174">
        <v>0</v>
      </c>
      <c r="S382" s="126">
        <v>2</v>
      </c>
      <c r="T382" s="126" t="s">
        <v>224</v>
      </c>
      <c r="U382" s="158"/>
      <c r="V382" s="153" t="str">
        <f t="array" ref="V382">INDEX(xlRTCLNAME,MATCH(1,(xlRTCLENDU=1)*(xlRTCLEQCL=$D382),0))</f>
        <v>NG_HP</v>
      </c>
      <c r="W382" s="153" t="str">
        <f t="array" ref="W382">INDEX(xlRTCLNAME,MATCH(1,(xlRTCLENDU=2)*(xlRTCLEQCL=$F382),0))</f>
        <v>NG_HP</v>
      </c>
      <c r="X382" s="153" t="str">
        <f t="array" ref="X382">INDEX(xlRTTYNAME,MATCH(1,(xlRTTYENDU=1)*(xlRTTYEQCL=$D382)*(xlRTEQTYPE=$E382),0))</f>
        <v>NG_HP2</v>
      </c>
      <c r="Y382" s="153" t="str">
        <f t="array" ref="Y382">INDEX(xlRTTYNAME,MATCH(1,(xlRTTYENDU=2)*(xlRTTYEQCL=$F382)*(xlRTEQTYPE=$G382),0))</f>
        <v>NG_HP2</v>
      </c>
    </row>
    <row r="383" spans="2:25" x14ac:dyDescent="0.2">
      <c r="B383" s="126">
        <v>8</v>
      </c>
      <c r="C383" s="126">
        <v>1</v>
      </c>
      <c r="D383" s="126">
        <v>11</v>
      </c>
      <c r="E383" s="126">
        <v>36</v>
      </c>
      <c r="F383" s="126">
        <v>5</v>
      </c>
      <c r="G383" s="126">
        <v>17</v>
      </c>
      <c r="H383" s="126">
        <v>2016</v>
      </c>
      <c r="I383" s="126">
        <v>2050</v>
      </c>
      <c r="J383" s="127">
        <v>1.0801000000000001</v>
      </c>
      <c r="K383" s="127">
        <v>1.0822000000000001</v>
      </c>
      <c r="L383" s="127">
        <v>0.59719999999999995</v>
      </c>
      <c r="M383" s="127">
        <v>0.92079999999999995</v>
      </c>
      <c r="N383" s="127">
        <v>0.86950000000000005</v>
      </c>
      <c r="O383" s="127">
        <v>1.0538000000000001</v>
      </c>
      <c r="P383" s="126">
        <v>8437</v>
      </c>
      <c r="Q383" s="128">
        <f t="array" ref="Q383">SUM(IF(($S383&gt;=4)*($C383='TaxCred&amp;Subs'!$D$123:$D$127)*($H383='TaxCred&amp;Subs'!$C$123:$C$127)*($H383&lt;='TaxCred&amp;Subs'!$C$129),'TaxCred&amp;Subs'!$E$123:$E$127,0))</f>
        <v>0</v>
      </c>
      <c r="R383" s="174">
        <v>0</v>
      </c>
      <c r="S383" s="126">
        <v>2</v>
      </c>
      <c r="T383" s="126" t="s">
        <v>224</v>
      </c>
      <c r="U383" s="158"/>
      <c r="V383" s="153" t="str">
        <f t="array" ref="V383">INDEX(xlRTCLNAME,MATCH(1,(xlRTCLENDU=1)*(xlRTCLEQCL=$D383),0))</f>
        <v>NG_HP</v>
      </c>
      <c r="W383" s="153" t="str">
        <f t="array" ref="W383">INDEX(xlRTCLNAME,MATCH(1,(xlRTCLENDU=2)*(xlRTCLEQCL=$F383),0))</f>
        <v>NG_HP</v>
      </c>
      <c r="X383" s="153" t="str">
        <f t="array" ref="X383">INDEX(xlRTTYNAME,MATCH(1,(xlRTTYENDU=1)*(xlRTTYEQCL=$D383)*(xlRTEQTYPE=$E383),0))</f>
        <v>NG_HP2</v>
      </c>
      <c r="Y383" s="153" t="str">
        <f t="array" ref="Y383">INDEX(xlRTTYNAME,MATCH(1,(xlRTTYENDU=2)*(xlRTTYEQCL=$F383)*(xlRTEQTYPE=$G383),0))</f>
        <v>NG_HP2</v>
      </c>
    </row>
    <row r="384" spans="2:25" x14ac:dyDescent="0.2">
      <c r="B384" s="126">
        <v>9</v>
      </c>
      <c r="C384" s="126">
        <v>1</v>
      </c>
      <c r="D384" s="126">
        <v>11</v>
      </c>
      <c r="E384" s="126">
        <v>36</v>
      </c>
      <c r="F384" s="126">
        <v>5</v>
      </c>
      <c r="G384" s="126">
        <v>17</v>
      </c>
      <c r="H384" s="126">
        <v>2016</v>
      </c>
      <c r="I384" s="126">
        <v>2050</v>
      </c>
      <c r="J384" s="127">
        <v>1.0781000000000001</v>
      </c>
      <c r="K384" s="127">
        <v>1.0707</v>
      </c>
      <c r="L384" s="127">
        <v>0.98050000000000004</v>
      </c>
      <c r="M384" s="127">
        <v>0.94669999999999999</v>
      </c>
      <c r="N384" s="127">
        <v>1.0339</v>
      </c>
      <c r="O384" s="127">
        <v>1.0538000000000001</v>
      </c>
      <c r="P384" s="126">
        <v>9965</v>
      </c>
      <c r="Q384" s="128">
        <f t="array" ref="Q384">SUM(IF(($S384&gt;=4)*($C384='TaxCred&amp;Subs'!$D$123:$D$127)*($H384='TaxCred&amp;Subs'!$C$123:$C$127)*($H384&lt;='TaxCred&amp;Subs'!$C$129),'TaxCred&amp;Subs'!$E$123:$E$127,0))</f>
        <v>0</v>
      </c>
      <c r="R384" s="174">
        <v>0</v>
      </c>
      <c r="S384" s="126">
        <v>2</v>
      </c>
      <c r="T384" s="126" t="s">
        <v>224</v>
      </c>
      <c r="U384" s="158"/>
      <c r="V384" s="153" t="str">
        <f t="array" ref="V384">INDEX(xlRTCLNAME,MATCH(1,(xlRTCLENDU=1)*(xlRTCLEQCL=$D384),0))</f>
        <v>NG_HP</v>
      </c>
      <c r="W384" s="153" t="str">
        <f t="array" ref="W384">INDEX(xlRTCLNAME,MATCH(1,(xlRTCLENDU=2)*(xlRTCLEQCL=$F384),0))</f>
        <v>NG_HP</v>
      </c>
      <c r="X384" s="153" t="str">
        <f t="array" ref="X384">INDEX(xlRTTYNAME,MATCH(1,(xlRTTYENDU=1)*(xlRTTYEQCL=$D384)*(xlRTEQTYPE=$E384),0))</f>
        <v>NG_HP2</v>
      </c>
      <c r="Y384" s="153" t="str">
        <f t="array" ref="Y384">INDEX(xlRTTYNAME,MATCH(1,(xlRTTYENDU=2)*(xlRTTYEQCL=$F384)*(xlRTEQTYPE=$G384),0))</f>
        <v>NG_HP2</v>
      </c>
    </row>
    <row r="385" spans="2:25" x14ac:dyDescent="0.2">
      <c r="B385" s="126">
        <v>1</v>
      </c>
      <c r="C385" s="126">
        <v>1</v>
      </c>
      <c r="D385" s="126">
        <v>1</v>
      </c>
      <c r="E385" s="126">
        <v>1</v>
      </c>
      <c r="F385" s="126">
        <v>2</v>
      </c>
      <c r="G385" s="126">
        <v>7</v>
      </c>
      <c r="H385" s="126">
        <v>2016</v>
      </c>
      <c r="I385" s="126">
        <v>2050</v>
      </c>
      <c r="J385" s="127">
        <v>1.077</v>
      </c>
      <c r="K385" s="127">
        <v>1.0444</v>
      </c>
      <c r="L385" s="127">
        <v>0.50060000000000004</v>
      </c>
      <c r="M385" s="127">
        <v>0.95909999999999995</v>
      </c>
      <c r="N385" s="127">
        <v>0.79779999999999995</v>
      </c>
      <c r="O385" s="127">
        <v>1.0538000000000001</v>
      </c>
      <c r="P385" s="126">
        <v>14685</v>
      </c>
      <c r="Q385" s="128">
        <f t="array" ref="Q385">SUM(IF(($S385&gt;=4)*($C385='TaxCred&amp;Subs'!$D$123:$D$127)*($H385='TaxCred&amp;Subs'!$C$123:$C$127)*($H385&lt;='TaxCred&amp;Subs'!$C$129),'TaxCred&amp;Subs'!$E$123:$E$127,0))</f>
        <v>0</v>
      </c>
      <c r="R385" s="174">
        <v>0</v>
      </c>
      <c r="S385" s="126">
        <v>3</v>
      </c>
      <c r="T385" s="126" t="s">
        <v>247</v>
      </c>
      <c r="U385" s="158"/>
      <c r="V385" s="153" t="str">
        <f t="array" ref="V385">INDEX(xlRTCLNAME,MATCH(1,(xlRTCLENDU=1)*(xlRTCLEQCL=$D385),0))</f>
        <v>ELEC_RAD</v>
      </c>
      <c r="W385" s="153" t="str">
        <f t="array" ref="W385">INDEX(xlRTCLNAME,MATCH(1,(xlRTCLENDU=2)*(xlRTCLEQCL=$F385),0))</f>
        <v>CENT_AIR</v>
      </c>
      <c r="X385" s="153" t="str">
        <f t="array" ref="X385">INDEX(xlRTTYNAME,MATCH(1,(xlRTTYENDU=1)*(xlRTTYEQCL=$D385)*(xlRTEQTYPE=$E385),0))</f>
        <v>ELEC_RAD2</v>
      </c>
      <c r="Y385" s="153" t="str">
        <f t="array" ref="Y385">INDEX(xlRTTYNAME,MATCH(1,(xlRTTYENDU=2)*(xlRTTYEQCL=$F385)*(xlRTEQTYPE=$G385),0))</f>
        <v>CENT_AIR3</v>
      </c>
    </row>
    <row r="386" spans="2:25" x14ac:dyDescent="0.2">
      <c r="B386" s="126">
        <v>2</v>
      </c>
      <c r="C386" s="126">
        <v>1</v>
      </c>
      <c r="D386" s="126">
        <v>1</v>
      </c>
      <c r="E386" s="126">
        <v>1</v>
      </c>
      <c r="F386" s="126">
        <v>2</v>
      </c>
      <c r="G386" s="126">
        <v>7</v>
      </c>
      <c r="H386" s="126">
        <v>2016</v>
      </c>
      <c r="I386" s="126">
        <v>2050</v>
      </c>
      <c r="J386" s="127">
        <v>1.0329999999999999</v>
      </c>
      <c r="K386" s="127">
        <v>1.0758000000000001</v>
      </c>
      <c r="L386" s="127">
        <v>0.52890000000000004</v>
      </c>
      <c r="M386" s="127">
        <v>0.81789999999999996</v>
      </c>
      <c r="N386" s="127">
        <v>0.93179999999999996</v>
      </c>
      <c r="O386" s="127">
        <v>1.0538000000000001</v>
      </c>
      <c r="P386" s="126">
        <v>16678</v>
      </c>
      <c r="Q386" s="128">
        <f t="array" ref="Q386">SUM(IF(($S386&gt;=4)*($C386='TaxCred&amp;Subs'!$D$123:$D$127)*($H386='TaxCred&amp;Subs'!$C$123:$C$127)*($H386&lt;='TaxCred&amp;Subs'!$C$129),'TaxCred&amp;Subs'!$E$123:$E$127,0))</f>
        <v>0</v>
      </c>
      <c r="R386" s="174">
        <v>0</v>
      </c>
      <c r="S386" s="126">
        <v>3</v>
      </c>
      <c r="T386" s="126" t="s">
        <v>247</v>
      </c>
      <c r="U386" s="158"/>
      <c r="V386" s="153" t="str">
        <f t="array" ref="V386">INDEX(xlRTCLNAME,MATCH(1,(xlRTCLENDU=1)*(xlRTCLEQCL=$D386),0))</f>
        <v>ELEC_RAD</v>
      </c>
      <c r="W386" s="153" t="str">
        <f t="array" ref="W386">INDEX(xlRTCLNAME,MATCH(1,(xlRTCLENDU=2)*(xlRTCLEQCL=$F386),0))</f>
        <v>CENT_AIR</v>
      </c>
      <c r="X386" s="153" t="str">
        <f t="array" ref="X386">INDEX(xlRTTYNAME,MATCH(1,(xlRTTYENDU=1)*(xlRTTYEQCL=$D386)*(xlRTEQTYPE=$E386),0))</f>
        <v>ELEC_RAD2</v>
      </c>
      <c r="Y386" s="153" t="str">
        <f t="array" ref="Y386">INDEX(xlRTTYNAME,MATCH(1,(xlRTTYENDU=2)*(xlRTTYEQCL=$F386)*(xlRTEQTYPE=$G386),0))</f>
        <v>CENT_AIR3</v>
      </c>
    </row>
    <row r="387" spans="2:25" x14ac:dyDescent="0.2">
      <c r="B387" s="126">
        <v>3</v>
      </c>
      <c r="C387" s="126">
        <v>1</v>
      </c>
      <c r="D387" s="126">
        <v>1</v>
      </c>
      <c r="E387" s="126">
        <v>1</v>
      </c>
      <c r="F387" s="126">
        <v>2</v>
      </c>
      <c r="G387" s="126">
        <v>7</v>
      </c>
      <c r="H387" s="126">
        <v>2016</v>
      </c>
      <c r="I387" s="126">
        <v>2050</v>
      </c>
      <c r="J387" s="127">
        <v>1.0839000000000001</v>
      </c>
      <c r="K387" s="127">
        <v>1.0588</v>
      </c>
      <c r="L387" s="127">
        <v>0.48930000000000001</v>
      </c>
      <c r="M387" s="127">
        <v>0.90269999999999995</v>
      </c>
      <c r="N387" s="127">
        <v>0.91600000000000004</v>
      </c>
      <c r="O387" s="127">
        <v>1.0538000000000001</v>
      </c>
      <c r="P387" s="126">
        <v>12841</v>
      </c>
      <c r="Q387" s="128">
        <f t="array" ref="Q387">SUM(IF(($S387&gt;=4)*($C387='TaxCred&amp;Subs'!$D$123:$D$127)*($H387='TaxCred&amp;Subs'!$C$123:$C$127)*($H387&lt;='TaxCred&amp;Subs'!$C$129),'TaxCred&amp;Subs'!$E$123:$E$127,0))</f>
        <v>0</v>
      </c>
      <c r="R387" s="174">
        <v>0</v>
      </c>
      <c r="S387" s="126">
        <v>3</v>
      </c>
      <c r="T387" s="126" t="s">
        <v>247</v>
      </c>
      <c r="U387" s="158"/>
      <c r="V387" s="153" t="str">
        <f t="array" ref="V387">INDEX(xlRTCLNAME,MATCH(1,(xlRTCLENDU=1)*(xlRTCLEQCL=$D387),0))</f>
        <v>ELEC_RAD</v>
      </c>
      <c r="W387" s="153" t="str">
        <f t="array" ref="W387">INDEX(xlRTCLNAME,MATCH(1,(xlRTCLENDU=2)*(xlRTCLEQCL=$F387),0))</f>
        <v>CENT_AIR</v>
      </c>
      <c r="X387" s="153" t="str">
        <f t="array" ref="X387">INDEX(xlRTTYNAME,MATCH(1,(xlRTTYENDU=1)*(xlRTTYEQCL=$D387)*(xlRTEQTYPE=$E387),0))</f>
        <v>ELEC_RAD2</v>
      </c>
      <c r="Y387" s="153" t="str">
        <f t="array" ref="Y387">INDEX(xlRTTYNAME,MATCH(1,(xlRTTYENDU=2)*(xlRTTYEQCL=$F387)*(xlRTEQTYPE=$G387),0))</f>
        <v>CENT_AIR3</v>
      </c>
    </row>
    <row r="388" spans="2:25" x14ac:dyDescent="0.2">
      <c r="B388" s="126">
        <v>4</v>
      </c>
      <c r="C388" s="126">
        <v>1</v>
      </c>
      <c r="D388" s="126">
        <v>1</v>
      </c>
      <c r="E388" s="126">
        <v>1</v>
      </c>
      <c r="F388" s="126">
        <v>2</v>
      </c>
      <c r="G388" s="126">
        <v>7</v>
      </c>
      <c r="H388" s="126">
        <v>2016</v>
      </c>
      <c r="I388" s="126">
        <v>2050</v>
      </c>
      <c r="J388" s="127">
        <v>1.0358000000000001</v>
      </c>
      <c r="K388" s="127">
        <v>1.0769</v>
      </c>
      <c r="L388" s="127">
        <v>0.49880000000000002</v>
      </c>
      <c r="M388" s="127">
        <v>0.86580000000000001</v>
      </c>
      <c r="N388" s="127">
        <v>0.85760000000000003</v>
      </c>
      <c r="O388" s="127">
        <v>1.0538000000000001</v>
      </c>
      <c r="P388" s="126">
        <v>10457</v>
      </c>
      <c r="Q388" s="128">
        <f t="array" ref="Q388">SUM(IF(($S388&gt;=4)*($C388='TaxCred&amp;Subs'!$D$123:$D$127)*($H388='TaxCred&amp;Subs'!$C$123:$C$127)*($H388&lt;='TaxCred&amp;Subs'!$C$129),'TaxCred&amp;Subs'!$E$123:$E$127,0))</f>
        <v>0</v>
      </c>
      <c r="R388" s="174">
        <v>0</v>
      </c>
      <c r="S388" s="126">
        <v>3</v>
      </c>
      <c r="T388" s="126" t="s">
        <v>247</v>
      </c>
      <c r="U388" s="158"/>
      <c r="V388" s="153" t="str">
        <f t="array" ref="V388">INDEX(xlRTCLNAME,MATCH(1,(xlRTCLENDU=1)*(xlRTCLEQCL=$D388),0))</f>
        <v>ELEC_RAD</v>
      </c>
      <c r="W388" s="153" t="str">
        <f t="array" ref="W388">INDEX(xlRTCLNAME,MATCH(1,(xlRTCLENDU=2)*(xlRTCLEQCL=$F388),0))</f>
        <v>CENT_AIR</v>
      </c>
      <c r="X388" s="153" t="str">
        <f t="array" ref="X388">INDEX(xlRTTYNAME,MATCH(1,(xlRTTYENDU=1)*(xlRTTYEQCL=$D388)*(xlRTEQTYPE=$E388),0))</f>
        <v>ELEC_RAD2</v>
      </c>
      <c r="Y388" s="153" t="str">
        <f t="array" ref="Y388">INDEX(xlRTTYNAME,MATCH(1,(xlRTTYENDU=2)*(xlRTTYEQCL=$F388)*(xlRTEQTYPE=$G388),0))</f>
        <v>CENT_AIR3</v>
      </c>
    </row>
    <row r="389" spans="2:25" x14ac:dyDescent="0.2">
      <c r="B389" s="126">
        <v>5</v>
      </c>
      <c r="C389" s="126">
        <v>1</v>
      </c>
      <c r="D389" s="126">
        <v>1</v>
      </c>
      <c r="E389" s="126">
        <v>1</v>
      </c>
      <c r="F389" s="126">
        <v>2</v>
      </c>
      <c r="G389" s="126">
        <v>7</v>
      </c>
      <c r="H389" s="126">
        <v>2016</v>
      </c>
      <c r="I389" s="126">
        <v>2050</v>
      </c>
      <c r="J389" s="127">
        <v>1.0401</v>
      </c>
      <c r="K389" s="127">
        <v>1.032</v>
      </c>
      <c r="L389" s="127">
        <v>0.44529999999999997</v>
      </c>
      <c r="M389" s="127">
        <v>0.79810000000000003</v>
      </c>
      <c r="N389" s="127">
        <v>0.76090000000000002</v>
      </c>
      <c r="O389" s="127">
        <v>1.0538000000000001</v>
      </c>
      <c r="P389" s="126">
        <v>11122</v>
      </c>
      <c r="Q389" s="128">
        <f t="array" ref="Q389">SUM(IF(($S389&gt;=4)*($C389='TaxCred&amp;Subs'!$D$123:$D$127)*($H389='TaxCred&amp;Subs'!$C$123:$C$127)*($H389&lt;='TaxCred&amp;Subs'!$C$129),'TaxCred&amp;Subs'!$E$123:$E$127,0))</f>
        <v>0</v>
      </c>
      <c r="R389" s="174">
        <v>0</v>
      </c>
      <c r="S389" s="126">
        <v>3</v>
      </c>
      <c r="T389" s="126" t="s">
        <v>247</v>
      </c>
      <c r="U389" s="158"/>
      <c r="V389" s="153" t="str">
        <f t="array" ref="V389">INDEX(xlRTCLNAME,MATCH(1,(xlRTCLENDU=1)*(xlRTCLEQCL=$D389),0))</f>
        <v>ELEC_RAD</v>
      </c>
      <c r="W389" s="153" t="str">
        <f t="array" ref="W389">INDEX(xlRTCLNAME,MATCH(1,(xlRTCLENDU=2)*(xlRTCLEQCL=$F389),0))</f>
        <v>CENT_AIR</v>
      </c>
      <c r="X389" s="153" t="str">
        <f t="array" ref="X389">INDEX(xlRTTYNAME,MATCH(1,(xlRTTYENDU=1)*(xlRTTYEQCL=$D389)*(xlRTEQTYPE=$E389),0))</f>
        <v>ELEC_RAD2</v>
      </c>
      <c r="Y389" s="153" t="str">
        <f t="array" ref="Y389">INDEX(xlRTTYNAME,MATCH(1,(xlRTTYENDU=2)*(xlRTTYEQCL=$F389)*(xlRTEQTYPE=$G389),0))</f>
        <v>CENT_AIR3</v>
      </c>
    </row>
    <row r="390" spans="2:25" x14ac:dyDescent="0.2">
      <c r="B390" s="126">
        <v>6</v>
      </c>
      <c r="C390" s="126">
        <v>1</v>
      </c>
      <c r="D390" s="126">
        <v>1</v>
      </c>
      <c r="E390" s="126">
        <v>1</v>
      </c>
      <c r="F390" s="126">
        <v>2</v>
      </c>
      <c r="G390" s="126">
        <v>7</v>
      </c>
      <c r="H390" s="126">
        <v>2016</v>
      </c>
      <c r="I390" s="126">
        <v>2050</v>
      </c>
      <c r="J390" s="127">
        <v>1.0918000000000001</v>
      </c>
      <c r="K390" s="127">
        <v>1.0613999999999999</v>
      </c>
      <c r="L390" s="127">
        <v>0.49719999999999998</v>
      </c>
      <c r="M390" s="127">
        <v>0.6845</v>
      </c>
      <c r="N390" s="127">
        <v>0.89190000000000003</v>
      </c>
      <c r="O390" s="127">
        <v>1.0538000000000001</v>
      </c>
      <c r="P390" s="126">
        <v>10593</v>
      </c>
      <c r="Q390" s="128">
        <f t="array" ref="Q390">SUM(IF(($S390&gt;=4)*($C390='TaxCred&amp;Subs'!$D$123:$D$127)*($H390='TaxCred&amp;Subs'!$C$123:$C$127)*($H390&lt;='TaxCred&amp;Subs'!$C$129),'TaxCred&amp;Subs'!$E$123:$E$127,0))</f>
        <v>0</v>
      </c>
      <c r="R390" s="174">
        <v>0</v>
      </c>
      <c r="S390" s="126">
        <v>3</v>
      </c>
      <c r="T390" s="126" t="s">
        <v>247</v>
      </c>
      <c r="U390" s="158"/>
      <c r="V390" s="153" t="str">
        <f t="array" ref="V390">INDEX(xlRTCLNAME,MATCH(1,(xlRTCLENDU=1)*(xlRTCLEQCL=$D390),0))</f>
        <v>ELEC_RAD</v>
      </c>
      <c r="W390" s="153" t="str">
        <f t="array" ref="W390">INDEX(xlRTCLNAME,MATCH(1,(xlRTCLENDU=2)*(xlRTCLEQCL=$F390),0))</f>
        <v>CENT_AIR</v>
      </c>
      <c r="X390" s="153" t="str">
        <f t="array" ref="X390">INDEX(xlRTTYNAME,MATCH(1,(xlRTTYENDU=1)*(xlRTTYEQCL=$D390)*(xlRTEQTYPE=$E390),0))</f>
        <v>ELEC_RAD2</v>
      </c>
      <c r="Y390" s="153" t="str">
        <f t="array" ref="Y390">INDEX(xlRTTYNAME,MATCH(1,(xlRTTYENDU=2)*(xlRTTYEQCL=$F390)*(xlRTEQTYPE=$G390),0))</f>
        <v>CENT_AIR3</v>
      </c>
    </row>
    <row r="391" spans="2:25" x14ac:dyDescent="0.2">
      <c r="B391" s="126">
        <v>7</v>
      </c>
      <c r="C391" s="126">
        <v>1</v>
      </c>
      <c r="D391" s="126">
        <v>1</v>
      </c>
      <c r="E391" s="126">
        <v>1</v>
      </c>
      <c r="F391" s="126">
        <v>2</v>
      </c>
      <c r="G391" s="126">
        <v>7</v>
      </c>
      <c r="H391" s="126">
        <v>2016</v>
      </c>
      <c r="I391" s="126">
        <v>2050</v>
      </c>
      <c r="J391" s="127">
        <v>1.0906</v>
      </c>
      <c r="K391" s="127">
        <v>1.0542</v>
      </c>
      <c r="L391" s="127">
        <v>0.54990000000000006</v>
      </c>
      <c r="M391" s="127">
        <v>0.72499999999999998</v>
      </c>
      <c r="N391" s="127">
        <v>0.87239999999999995</v>
      </c>
      <c r="O391" s="127">
        <v>1.0538000000000001</v>
      </c>
      <c r="P391" s="126">
        <v>9755</v>
      </c>
      <c r="Q391" s="128">
        <f t="array" ref="Q391">SUM(IF(($S391&gt;=4)*($C391='TaxCred&amp;Subs'!$D$123:$D$127)*($H391='TaxCred&amp;Subs'!$C$123:$C$127)*($H391&lt;='TaxCred&amp;Subs'!$C$129),'TaxCred&amp;Subs'!$E$123:$E$127,0))</f>
        <v>0</v>
      </c>
      <c r="R391" s="174">
        <v>0</v>
      </c>
      <c r="S391" s="126">
        <v>3</v>
      </c>
      <c r="T391" s="126" t="s">
        <v>247</v>
      </c>
      <c r="U391" s="158"/>
      <c r="V391" s="153" t="str">
        <f t="array" ref="V391">INDEX(xlRTCLNAME,MATCH(1,(xlRTCLENDU=1)*(xlRTCLEQCL=$D391),0))</f>
        <v>ELEC_RAD</v>
      </c>
      <c r="W391" s="153" t="str">
        <f t="array" ref="W391">INDEX(xlRTCLNAME,MATCH(1,(xlRTCLENDU=2)*(xlRTCLEQCL=$F391),0))</f>
        <v>CENT_AIR</v>
      </c>
      <c r="X391" s="153" t="str">
        <f t="array" ref="X391">INDEX(xlRTTYNAME,MATCH(1,(xlRTTYENDU=1)*(xlRTTYEQCL=$D391)*(xlRTEQTYPE=$E391),0))</f>
        <v>ELEC_RAD2</v>
      </c>
      <c r="Y391" s="153" t="str">
        <f t="array" ref="Y391">INDEX(xlRTTYNAME,MATCH(1,(xlRTTYENDU=2)*(xlRTTYEQCL=$F391)*(xlRTEQTYPE=$G391),0))</f>
        <v>CENT_AIR3</v>
      </c>
    </row>
    <row r="392" spans="2:25" x14ac:dyDescent="0.2">
      <c r="B392" s="126">
        <v>8</v>
      </c>
      <c r="C392" s="126">
        <v>1</v>
      </c>
      <c r="D392" s="126">
        <v>1</v>
      </c>
      <c r="E392" s="126">
        <v>1</v>
      </c>
      <c r="F392" s="126">
        <v>2</v>
      </c>
      <c r="G392" s="126">
        <v>7</v>
      </c>
      <c r="H392" s="126">
        <v>2016</v>
      </c>
      <c r="I392" s="126">
        <v>2050</v>
      </c>
      <c r="J392" s="127">
        <v>1.0363</v>
      </c>
      <c r="K392" s="127">
        <v>1.0704</v>
      </c>
      <c r="L392" s="127">
        <v>0.49819999999999998</v>
      </c>
      <c r="M392" s="127">
        <v>0.78159999999999996</v>
      </c>
      <c r="N392" s="127">
        <v>0.86919999999999997</v>
      </c>
      <c r="O392" s="127">
        <v>1.0538000000000001</v>
      </c>
      <c r="P392" s="126">
        <v>12094</v>
      </c>
      <c r="Q392" s="128">
        <f t="array" ref="Q392">SUM(IF(($S392&gt;=4)*($C392='TaxCred&amp;Subs'!$D$123:$D$127)*($H392='TaxCred&amp;Subs'!$C$123:$C$127)*($H392&lt;='TaxCred&amp;Subs'!$C$129),'TaxCred&amp;Subs'!$E$123:$E$127,0))</f>
        <v>0</v>
      </c>
      <c r="R392" s="174">
        <v>0</v>
      </c>
      <c r="S392" s="126">
        <v>3</v>
      </c>
      <c r="T392" s="126" t="s">
        <v>247</v>
      </c>
      <c r="U392" s="158"/>
      <c r="V392" s="153" t="str">
        <f t="array" ref="V392">INDEX(xlRTCLNAME,MATCH(1,(xlRTCLENDU=1)*(xlRTCLEQCL=$D392),0))</f>
        <v>ELEC_RAD</v>
      </c>
      <c r="W392" s="153" t="str">
        <f t="array" ref="W392">INDEX(xlRTCLNAME,MATCH(1,(xlRTCLENDU=2)*(xlRTCLEQCL=$F392),0))</f>
        <v>CENT_AIR</v>
      </c>
      <c r="X392" s="153" t="str">
        <f t="array" ref="X392">INDEX(xlRTTYNAME,MATCH(1,(xlRTTYENDU=1)*(xlRTTYEQCL=$D392)*(xlRTEQTYPE=$E392),0))</f>
        <v>ELEC_RAD2</v>
      </c>
      <c r="Y392" s="153" t="str">
        <f t="array" ref="Y392">INDEX(xlRTTYNAME,MATCH(1,(xlRTTYENDU=2)*(xlRTTYEQCL=$F392)*(xlRTEQTYPE=$G392),0))</f>
        <v>CENT_AIR3</v>
      </c>
    </row>
    <row r="393" spans="2:25" x14ac:dyDescent="0.2">
      <c r="B393" s="126">
        <v>9</v>
      </c>
      <c r="C393" s="126">
        <v>1</v>
      </c>
      <c r="D393" s="126">
        <v>1</v>
      </c>
      <c r="E393" s="126">
        <v>1</v>
      </c>
      <c r="F393" s="126">
        <v>2</v>
      </c>
      <c r="G393" s="126">
        <v>7</v>
      </c>
      <c r="H393" s="126">
        <v>2016</v>
      </c>
      <c r="I393" s="126">
        <v>2050</v>
      </c>
      <c r="J393" s="127">
        <v>1.0367</v>
      </c>
      <c r="K393" s="127">
        <v>1.0638000000000001</v>
      </c>
      <c r="L393" s="127">
        <v>0.66890000000000005</v>
      </c>
      <c r="M393" s="127">
        <v>0.8468</v>
      </c>
      <c r="N393" s="127">
        <v>1.0334000000000001</v>
      </c>
      <c r="O393" s="127">
        <v>1.0538000000000001</v>
      </c>
      <c r="P393" s="126">
        <v>12817</v>
      </c>
      <c r="Q393" s="128">
        <f t="array" ref="Q393">SUM(IF(($S393&gt;=4)*($C393='TaxCred&amp;Subs'!$D$123:$D$127)*($H393='TaxCred&amp;Subs'!$C$123:$C$127)*($H393&lt;='TaxCred&amp;Subs'!$C$129),'TaxCred&amp;Subs'!$E$123:$E$127,0))</f>
        <v>0</v>
      </c>
      <c r="R393" s="174">
        <v>0</v>
      </c>
      <c r="S393" s="126">
        <v>3</v>
      </c>
      <c r="T393" s="126" t="s">
        <v>247</v>
      </c>
      <c r="U393" s="158"/>
      <c r="V393" s="153" t="str">
        <f t="array" ref="V393">INDEX(xlRTCLNAME,MATCH(1,(xlRTCLENDU=1)*(xlRTCLEQCL=$D393),0))</f>
        <v>ELEC_RAD</v>
      </c>
      <c r="W393" s="153" t="str">
        <f t="array" ref="W393">INDEX(xlRTCLNAME,MATCH(1,(xlRTCLENDU=2)*(xlRTCLEQCL=$F393),0))</f>
        <v>CENT_AIR</v>
      </c>
      <c r="X393" s="153" t="str">
        <f t="array" ref="X393">INDEX(xlRTTYNAME,MATCH(1,(xlRTTYENDU=1)*(xlRTTYEQCL=$D393)*(xlRTEQTYPE=$E393),0))</f>
        <v>ELEC_RAD2</v>
      </c>
      <c r="Y393" s="153" t="str">
        <f t="array" ref="Y393">INDEX(xlRTTYNAME,MATCH(1,(xlRTTYENDU=2)*(xlRTTYEQCL=$F393)*(xlRTEQTYPE=$G393),0))</f>
        <v>CENT_AIR3</v>
      </c>
    </row>
    <row r="394" spans="2:25" x14ac:dyDescent="0.2">
      <c r="B394" s="126">
        <v>1</v>
      </c>
      <c r="C394" s="126">
        <v>1</v>
      </c>
      <c r="D394" s="126">
        <v>2</v>
      </c>
      <c r="E394" s="126">
        <v>4</v>
      </c>
      <c r="F394" s="126">
        <v>3</v>
      </c>
      <c r="G394" s="126">
        <v>11</v>
      </c>
      <c r="H394" s="126">
        <v>2016</v>
      </c>
      <c r="I394" s="126">
        <v>2050</v>
      </c>
      <c r="J394" s="127">
        <v>1.0790999999999999</v>
      </c>
      <c r="K394" s="127">
        <v>1.0667</v>
      </c>
      <c r="L394" s="127">
        <v>0.58940000000000003</v>
      </c>
      <c r="M394" s="127">
        <v>0.95909999999999995</v>
      </c>
      <c r="N394" s="127">
        <v>0.80149999999999999</v>
      </c>
      <c r="O394" s="127">
        <v>1.0538000000000001</v>
      </c>
      <c r="P394" s="126">
        <v>9047</v>
      </c>
      <c r="Q394" s="128">
        <f t="array" ref="Q394">SUM(IF(($S394&gt;=4)*($C394='TaxCred&amp;Subs'!$D$123:$D$127)*($H394='TaxCred&amp;Subs'!$C$123:$C$127)*($H394&lt;='TaxCred&amp;Subs'!$C$129),'TaxCred&amp;Subs'!$E$123:$E$127,0))</f>
        <v>0</v>
      </c>
      <c r="R394" s="174">
        <v>0</v>
      </c>
      <c r="S394" s="126">
        <v>3</v>
      </c>
      <c r="T394" s="126" t="s">
        <v>247</v>
      </c>
      <c r="U394" s="158"/>
      <c r="V394" s="153" t="str">
        <f t="array" ref="V394">INDEX(xlRTCLNAME,MATCH(1,(xlRTCLENDU=1)*(xlRTCLEQCL=$D394),0))</f>
        <v>ELEC_HP</v>
      </c>
      <c r="W394" s="153" t="str">
        <f t="array" ref="W394">INDEX(xlRTCLNAME,MATCH(1,(xlRTCLENDU=2)*(xlRTCLEQCL=$F394),0))</f>
        <v>ELEC_HP</v>
      </c>
      <c r="X394" s="153" t="str">
        <f t="array" ref="X394">INDEX(xlRTTYNAME,MATCH(1,(xlRTTYENDU=1)*(xlRTTYEQCL=$D394)*(xlRTEQTYPE=$E394),0))</f>
        <v>ELEC_HP3</v>
      </c>
      <c r="Y394" s="153" t="str">
        <f t="array" ref="Y394">INDEX(xlRTTYNAME,MATCH(1,(xlRTTYENDU=2)*(xlRTTYEQCL=$F394)*(xlRTEQTYPE=$G394),0))</f>
        <v>ELEC_HP3</v>
      </c>
    </row>
    <row r="395" spans="2:25" x14ac:dyDescent="0.2">
      <c r="B395" s="126">
        <v>2</v>
      </c>
      <c r="C395" s="126">
        <v>1</v>
      </c>
      <c r="D395" s="126">
        <v>2</v>
      </c>
      <c r="E395" s="126">
        <v>4</v>
      </c>
      <c r="F395" s="126">
        <v>3</v>
      </c>
      <c r="G395" s="126">
        <v>11</v>
      </c>
      <c r="H395" s="126">
        <v>2016</v>
      </c>
      <c r="I395" s="126">
        <v>2050</v>
      </c>
      <c r="J395" s="127">
        <v>1.0588</v>
      </c>
      <c r="K395" s="127">
        <v>1.0734999999999999</v>
      </c>
      <c r="L395" s="127">
        <v>0.63880000000000003</v>
      </c>
      <c r="M395" s="127">
        <v>0.85580000000000001</v>
      </c>
      <c r="N395" s="127">
        <v>0.93840000000000001</v>
      </c>
      <c r="O395" s="127">
        <v>1.0538000000000001</v>
      </c>
      <c r="P395" s="126">
        <v>10094</v>
      </c>
      <c r="Q395" s="128">
        <f t="array" ref="Q395">SUM(IF(($S395&gt;=4)*($C395='TaxCred&amp;Subs'!$D$123:$D$127)*($H395='TaxCred&amp;Subs'!$C$123:$C$127)*($H395&lt;='TaxCred&amp;Subs'!$C$129),'TaxCred&amp;Subs'!$E$123:$E$127,0))</f>
        <v>0</v>
      </c>
      <c r="R395" s="174">
        <v>0</v>
      </c>
      <c r="S395" s="126">
        <v>3</v>
      </c>
      <c r="T395" s="126" t="s">
        <v>247</v>
      </c>
      <c r="U395" s="158"/>
      <c r="V395" s="153" t="str">
        <f t="array" ref="V395">INDEX(xlRTCLNAME,MATCH(1,(xlRTCLENDU=1)*(xlRTCLEQCL=$D395),0))</f>
        <v>ELEC_HP</v>
      </c>
      <c r="W395" s="153" t="str">
        <f t="array" ref="W395">INDEX(xlRTCLNAME,MATCH(1,(xlRTCLENDU=2)*(xlRTCLEQCL=$F395),0))</f>
        <v>ELEC_HP</v>
      </c>
      <c r="X395" s="153" t="str">
        <f t="array" ref="X395">INDEX(xlRTTYNAME,MATCH(1,(xlRTTYENDU=1)*(xlRTTYEQCL=$D395)*(xlRTEQTYPE=$E395),0))</f>
        <v>ELEC_HP3</v>
      </c>
      <c r="Y395" s="153" t="str">
        <f t="array" ref="Y395">INDEX(xlRTTYNAME,MATCH(1,(xlRTTYENDU=2)*(xlRTTYEQCL=$F395)*(xlRTEQTYPE=$G395),0))</f>
        <v>ELEC_HP3</v>
      </c>
    </row>
    <row r="396" spans="2:25" x14ac:dyDescent="0.2">
      <c r="B396" s="126">
        <v>3</v>
      </c>
      <c r="C396" s="126">
        <v>1</v>
      </c>
      <c r="D396" s="126">
        <v>2</v>
      </c>
      <c r="E396" s="126">
        <v>4</v>
      </c>
      <c r="F396" s="126">
        <v>3</v>
      </c>
      <c r="G396" s="126">
        <v>11</v>
      </c>
      <c r="H396" s="126">
        <v>2016</v>
      </c>
      <c r="I396" s="126">
        <v>2050</v>
      </c>
      <c r="J396" s="127">
        <v>1.0965</v>
      </c>
      <c r="K396" s="127">
        <v>1.0769</v>
      </c>
      <c r="L396" s="127">
        <v>0.52059999999999995</v>
      </c>
      <c r="M396" s="127">
        <v>0.91110000000000002</v>
      </c>
      <c r="N396" s="127">
        <v>0.91520000000000001</v>
      </c>
      <c r="O396" s="127">
        <v>1.0538000000000001</v>
      </c>
      <c r="P396" s="126">
        <v>9759</v>
      </c>
      <c r="Q396" s="128">
        <f t="array" ref="Q396">SUM(IF(($S396&gt;=4)*($C396='TaxCred&amp;Subs'!$D$123:$D$127)*($H396='TaxCred&amp;Subs'!$C$123:$C$127)*($H396&lt;='TaxCred&amp;Subs'!$C$129),'TaxCred&amp;Subs'!$E$123:$E$127,0))</f>
        <v>0</v>
      </c>
      <c r="R396" s="174">
        <v>0</v>
      </c>
      <c r="S396" s="126">
        <v>3</v>
      </c>
      <c r="T396" s="126" t="s">
        <v>247</v>
      </c>
      <c r="U396" s="158"/>
      <c r="V396" s="153" t="str">
        <f t="array" ref="V396">INDEX(xlRTCLNAME,MATCH(1,(xlRTCLENDU=1)*(xlRTCLEQCL=$D396),0))</f>
        <v>ELEC_HP</v>
      </c>
      <c r="W396" s="153" t="str">
        <f t="array" ref="W396">INDEX(xlRTCLNAME,MATCH(1,(xlRTCLENDU=2)*(xlRTCLEQCL=$F396),0))</f>
        <v>ELEC_HP</v>
      </c>
      <c r="X396" s="153" t="str">
        <f t="array" ref="X396">INDEX(xlRTTYNAME,MATCH(1,(xlRTTYENDU=1)*(xlRTTYEQCL=$D396)*(xlRTEQTYPE=$E396),0))</f>
        <v>ELEC_HP3</v>
      </c>
      <c r="Y396" s="153" t="str">
        <f t="array" ref="Y396">INDEX(xlRTTYNAME,MATCH(1,(xlRTTYENDU=2)*(xlRTTYEQCL=$F396)*(xlRTEQTYPE=$G396),0))</f>
        <v>ELEC_HP3</v>
      </c>
    </row>
    <row r="397" spans="2:25" x14ac:dyDescent="0.2">
      <c r="B397" s="126">
        <v>4</v>
      </c>
      <c r="C397" s="126">
        <v>1</v>
      </c>
      <c r="D397" s="126">
        <v>2</v>
      </c>
      <c r="E397" s="126">
        <v>4</v>
      </c>
      <c r="F397" s="126">
        <v>3</v>
      </c>
      <c r="G397" s="126">
        <v>11</v>
      </c>
      <c r="H397" s="126">
        <v>2016</v>
      </c>
      <c r="I397" s="126">
        <v>2050</v>
      </c>
      <c r="J397" s="127">
        <v>1.1016999999999999</v>
      </c>
      <c r="K397" s="127">
        <v>1.0789</v>
      </c>
      <c r="L397" s="127">
        <v>0.5141</v>
      </c>
      <c r="M397" s="127">
        <v>0.86580000000000001</v>
      </c>
      <c r="N397" s="127">
        <v>0.85340000000000005</v>
      </c>
      <c r="O397" s="127">
        <v>1.0538000000000001</v>
      </c>
      <c r="P397" s="126">
        <v>8345</v>
      </c>
      <c r="Q397" s="128">
        <f t="array" ref="Q397">SUM(IF(($S397&gt;=4)*($C397='TaxCred&amp;Subs'!$D$123:$D$127)*($H397='TaxCred&amp;Subs'!$C$123:$C$127)*($H397&lt;='TaxCred&amp;Subs'!$C$129),'TaxCred&amp;Subs'!$E$123:$E$127,0))</f>
        <v>0</v>
      </c>
      <c r="R397" s="174">
        <v>0</v>
      </c>
      <c r="S397" s="126">
        <v>3</v>
      </c>
      <c r="T397" s="126" t="s">
        <v>247</v>
      </c>
      <c r="U397" s="158"/>
      <c r="V397" s="153" t="str">
        <f t="array" ref="V397">INDEX(xlRTCLNAME,MATCH(1,(xlRTCLENDU=1)*(xlRTCLEQCL=$D397),0))</f>
        <v>ELEC_HP</v>
      </c>
      <c r="W397" s="153" t="str">
        <f t="array" ref="W397">INDEX(xlRTCLNAME,MATCH(1,(xlRTCLENDU=2)*(xlRTCLEQCL=$F397),0))</f>
        <v>ELEC_HP</v>
      </c>
      <c r="X397" s="153" t="str">
        <f t="array" ref="X397">INDEX(xlRTTYNAME,MATCH(1,(xlRTTYENDU=1)*(xlRTTYEQCL=$D397)*(xlRTEQTYPE=$E397),0))</f>
        <v>ELEC_HP3</v>
      </c>
      <c r="Y397" s="153" t="str">
        <f t="array" ref="Y397">INDEX(xlRTTYNAME,MATCH(1,(xlRTTYENDU=2)*(xlRTTYEQCL=$F397)*(xlRTEQTYPE=$G397),0))</f>
        <v>ELEC_HP3</v>
      </c>
    </row>
    <row r="398" spans="2:25" x14ac:dyDescent="0.2">
      <c r="B398" s="126">
        <v>5</v>
      </c>
      <c r="C398" s="126">
        <v>1</v>
      </c>
      <c r="D398" s="126">
        <v>2</v>
      </c>
      <c r="E398" s="126">
        <v>4</v>
      </c>
      <c r="F398" s="126">
        <v>3</v>
      </c>
      <c r="G398" s="126">
        <v>11</v>
      </c>
      <c r="H398" s="126">
        <v>2016</v>
      </c>
      <c r="I398" s="126">
        <v>2050</v>
      </c>
      <c r="J398" s="127">
        <v>1.0806</v>
      </c>
      <c r="K398" s="127">
        <v>1.0507</v>
      </c>
      <c r="L398" s="127">
        <v>0.72019999999999995</v>
      </c>
      <c r="M398" s="127">
        <v>0.89510000000000001</v>
      </c>
      <c r="N398" s="127">
        <v>0.78859999999999997</v>
      </c>
      <c r="O398" s="127">
        <v>1.0538000000000001</v>
      </c>
      <c r="P398" s="126">
        <v>7040</v>
      </c>
      <c r="Q398" s="128">
        <f t="array" ref="Q398">SUM(IF(($S398&gt;=4)*($C398='TaxCred&amp;Subs'!$D$123:$D$127)*($H398='TaxCred&amp;Subs'!$C$123:$C$127)*($H398&lt;='TaxCred&amp;Subs'!$C$129),'TaxCred&amp;Subs'!$E$123:$E$127,0))</f>
        <v>0</v>
      </c>
      <c r="R398" s="174">
        <v>0</v>
      </c>
      <c r="S398" s="126">
        <v>3</v>
      </c>
      <c r="T398" s="126" t="s">
        <v>247</v>
      </c>
      <c r="U398" s="158"/>
      <c r="V398" s="153" t="str">
        <f t="array" ref="V398">INDEX(xlRTCLNAME,MATCH(1,(xlRTCLENDU=1)*(xlRTCLEQCL=$D398),0))</f>
        <v>ELEC_HP</v>
      </c>
      <c r="W398" s="153" t="str">
        <f t="array" ref="W398">INDEX(xlRTCLNAME,MATCH(1,(xlRTCLENDU=2)*(xlRTCLEQCL=$F398),0))</f>
        <v>ELEC_HP</v>
      </c>
      <c r="X398" s="153" t="str">
        <f t="array" ref="X398">INDEX(xlRTTYNAME,MATCH(1,(xlRTTYENDU=1)*(xlRTTYEQCL=$D398)*(xlRTEQTYPE=$E398),0))</f>
        <v>ELEC_HP3</v>
      </c>
      <c r="Y398" s="153" t="str">
        <f t="array" ref="Y398">INDEX(xlRTTYNAME,MATCH(1,(xlRTTYENDU=2)*(xlRTTYEQCL=$F398)*(xlRTEQTYPE=$G398),0))</f>
        <v>ELEC_HP3</v>
      </c>
    </row>
    <row r="399" spans="2:25" x14ac:dyDescent="0.2">
      <c r="B399" s="126">
        <v>6</v>
      </c>
      <c r="C399" s="126">
        <v>1</v>
      </c>
      <c r="D399" s="126">
        <v>2</v>
      </c>
      <c r="E399" s="126">
        <v>4</v>
      </c>
      <c r="F399" s="126">
        <v>3</v>
      </c>
      <c r="G399" s="126">
        <v>11</v>
      </c>
      <c r="H399" s="126">
        <v>2016</v>
      </c>
      <c r="I399" s="126">
        <v>2050</v>
      </c>
      <c r="J399" s="127">
        <v>1.0885</v>
      </c>
      <c r="K399" s="127">
        <v>1.0526</v>
      </c>
      <c r="L399" s="127">
        <v>0.78439999999999999</v>
      </c>
      <c r="M399" s="127">
        <v>0.89880000000000004</v>
      </c>
      <c r="N399" s="127">
        <v>0.88680000000000003</v>
      </c>
      <c r="O399" s="127">
        <v>1.0538000000000001</v>
      </c>
      <c r="P399" s="126">
        <v>6364</v>
      </c>
      <c r="Q399" s="128">
        <f t="array" ref="Q399">SUM(IF(($S399&gt;=4)*($C399='TaxCred&amp;Subs'!$D$123:$D$127)*($H399='TaxCred&amp;Subs'!$C$123:$C$127)*($H399&lt;='TaxCred&amp;Subs'!$C$129),'TaxCred&amp;Subs'!$E$123:$E$127,0))</f>
        <v>0</v>
      </c>
      <c r="R399" s="174">
        <v>0</v>
      </c>
      <c r="S399" s="126">
        <v>3</v>
      </c>
      <c r="T399" s="126" t="s">
        <v>247</v>
      </c>
      <c r="U399" s="158"/>
      <c r="V399" s="153" t="str">
        <f t="array" ref="V399">INDEX(xlRTCLNAME,MATCH(1,(xlRTCLENDU=1)*(xlRTCLEQCL=$D399),0))</f>
        <v>ELEC_HP</v>
      </c>
      <c r="W399" s="153" t="str">
        <f t="array" ref="W399">INDEX(xlRTCLNAME,MATCH(1,(xlRTCLENDU=2)*(xlRTCLEQCL=$F399),0))</f>
        <v>ELEC_HP</v>
      </c>
      <c r="X399" s="153" t="str">
        <f t="array" ref="X399">INDEX(xlRTTYNAME,MATCH(1,(xlRTTYENDU=1)*(xlRTTYEQCL=$D399)*(xlRTEQTYPE=$E399),0))</f>
        <v>ELEC_HP3</v>
      </c>
      <c r="Y399" s="153" t="str">
        <f t="array" ref="Y399">INDEX(xlRTTYNAME,MATCH(1,(xlRTTYENDU=2)*(xlRTTYEQCL=$F399)*(xlRTEQTYPE=$G399),0))</f>
        <v>ELEC_HP3</v>
      </c>
    </row>
    <row r="400" spans="2:25" x14ac:dyDescent="0.2">
      <c r="B400" s="126">
        <v>7</v>
      </c>
      <c r="C400" s="126">
        <v>1</v>
      </c>
      <c r="D400" s="126">
        <v>2</v>
      </c>
      <c r="E400" s="126">
        <v>4</v>
      </c>
      <c r="F400" s="126">
        <v>3</v>
      </c>
      <c r="G400" s="126">
        <v>11</v>
      </c>
      <c r="H400" s="126">
        <v>2016</v>
      </c>
      <c r="I400" s="126">
        <v>2050</v>
      </c>
      <c r="J400" s="127">
        <v>1.0765</v>
      </c>
      <c r="K400" s="127">
        <v>1.0508</v>
      </c>
      <c r="L400" s="127">
        <v>0.71970000000000001</v>
      </c>
      <c r="M400" s="127">
        <v>0.79990000000000006</v>
      </c>
      <c r="N400" s="127">
        <v>0.86099999999999999</v>
      </c>
      <c r="O400" s="127">
        <v>1.0538000000000001</v>
      </c>
      <c r="P400" s="126">
        <v>7702</v>
      </c>
      <c r="Q400" s="128">
        <f t="array" ref="Q400">SUM(IF(($S400&gt;=4)*($C400='TaxCred&amp;Subs'!$D$123:$D$127)*($H400='TaxCred&amp;Subs'!$C$123:$C$127)*($H400&lt;='TaxCred&amp;Subs'!$C$129),'TaxCred&amp;Subs'!$E$123:$E$127,0))</f>
        <v>0</v>
      </c>
      <c r="R400" s="174">
        <v>0</v>
      </c>
      <c r="S400" s="126">
        <v>3</v>
      </c>
      <c r="T400" s="126" t="s">
        <v>247</v>
      </c>
      <c r="U400" s="158"/>
      <c r="V400" s="153" t="str">
        <f t="array" ref="V400">INDEX(xlRTCLNAME,MATCH(1,(xlRTCLENDU=1)*(xlRTCLEQCL=$D400),0))</f>
        <v>ELEC_HP</v>
      </c>
      <c r="W400" s="153" t="str">
        <f t="array" ref="W400">INDEX(xlRTCLNAME,MATCH(1,(xlRTCLENDU=2)*(xlRTCLEQCL=$F400),0))</f>
        <v>ELEC_HP</v>
      </c>
      <c r="X400" s="153" t="str">
        <f t="array" ref="X400">INDEX(xlRTTYNAME,MATCH(1,(xlRTTYENDU=1)*(xlRTTYEQCL=$D400)*(xlRTEQTYPE=$E400),0))</f>
        <v>ELEC_HP3</v>
      </c>
      <c r="Y400" s="153" t="str">
        <f t="array" ref="Y400">INDEX(xlRTTYNAME,MATCH(1,(xlRTTYENDU=2)*(xlRTTYEQCL=$F400)*(xlRTEQTYPE=$G400),0))</f>
        <v>ELEC_HP3</v>
      </c>
    </row>
    <row r="401" spans="2:25" x14ac:dyDescent="0.2">
      <c r="B401" s="126">
        <v>8</v>
      </c>
      <c r="C401" s="126">
        <v>1</v>
      </c>
      <c r="D401" s="126">
        <v>2</v>
      </c>
      <c r="E401" s="126">
        <v>4</v>
      </c>
      <c r="F401" s="126">
        <v>3</v>
      </c>
      <c r="G401" s="126">
        <v>11</v>
      </c>
      <c r="H401" s="126">
        <v>2016</v>
      </c>
      <c r="I401" s="126">
        <v>2050</v>
      </c>
      <c r="J401" s="127">
        <v>1.0488999999999999</v>
      </c>
      <c r="K401" s="127">
        <v>1.0810999999999999</v>
      </c>
      <c r="L401" s="127">
        <v>0.52729999999999999</v>
      </c>
      <c r="M401" s="127">
        <v>0.89190000000000003</v>
      </c>
      <c r="N401" s="127">
        <v>0.87419999999999998</v>
      </c>
      <c r="O401" s="127">
        <v>1.0538000000000001</v>
      </c>
      <c r="P401" s="126">
        <v>8634</v>
      </c>
      <c r="Q401" s="128">
        <f t="array" ref="Q401">SUM(IF(($S401&gt;=4)*($C401='TaxCred&amp;Subs'!$D$123:$D$127)*($H401='TaxCred&amp;Subs'!$C$123:$C$127)*($H401&lt;='TaxCred&amp;Subs'!$C$129),'TaxCred&amp;Subs'!$E$123:$E$127,0))</f>
        <v>0</v>
      </c>
      <c r="R401" s="174">
        <v>0</v>
      </c>
      <c r="S401" s="126">
        <v>3</v>
      </c>
      <c r="T401" s="126" t="s">
        <v>247</v>
      </c>
      <c r="U401" s="158"/>
      <c r="V401" s="153" t="str">
        <f t="array" ref="V401">INDEX(xlRTCLNAME,MATCH(1,(xlRTCLENDU=1)*(xlRTCLEQCL=$D401),0))</f>
        <v>ELEC_HP</v>
      </c>
      <c r="W401" s="153" t="str">
        <f t="array" ref="W401">INDEX(xlRTCLNAME,MATCH(1,(xlRTCLENDU=2)*(xlRTCLEQCL=$F401),0))</f>
        <v>ELEC_HP</v>
      </c>
      <c r="X401" s="153" t="str">
        <f t="array" ref="X401">INDEX(xlRTTYNAME,MATCH(1,(xlRTTYENDU=1)*(xlRTTYEQCL=$D401)*(xlRTEQTYPE=$E401),0))</f>
        <v>ELEC_HP3</v>
      </c>
      <c r="Y401" s="153" t="str">
        <f t="array" ref="Y401">INDEX(xlRTTYNAME,MATCH(1,(xlRTTYENDU=2)*(xlRTTYEQCL=$F401)*(xlRTEQTYPE=$G401),0))</f>
        <v>ELEC_HP3</v>
      </c>
    </row>
    <row r="402" spans="2:25" x14ac:dyDescent="0.2">
      <c r="B402" s="126">
        <v>9</v>
      </c>
      <c r="C402" s="126">
        <v>1</v>
      </c>
      <c r="D402" s="126">
        <v>2</v>
      </c>
      <c r="E402" s="126">
        <v>4</v>
      </c>
      <c r="F402" s="126">
        <v>3</v>
      </c>
      <c r="G402" s="126">
        <v>11</v>
      </c>
      <c r="H402" s="126">
        <v>2016</v>
      </c>
      <c r="I402" s="126">
        <v>2050</v>
      </c>
      <c r="J402" s="127">
        <v>1.0710999999999999</v>
      </c>
      <c r="K402" s="127">
        <v>1.0754999999999999</v>
      </c>
      <c r="L402" s="127">
        <v>0.87009999999999998</v>
      </c>
      <c r="M402" s="127">
        <v>0.9274</v>
      </c>
      <c r="N402" s="127">
        <v>1.0228999999999999</v>
      </c>
      <c r="O402" s="127">
        <v>1.0538000000000001</v>
      </c>
      <c r="P402" s="126">
        <v>8843</v>
      </c>
      <c r="Q402" s="128">
        <f t="array" ref="Q402">SUM(IF(($S402&gt;=4)*($C402='TaxCred&amp;Subs'!$D$123:$D$127)*($H402='TaxCred&amp;Subs'!$C$123:$C$127)*($H402&lt;='TaxCred&amp;Subs'!$C$129),'TaxCred&amp;Subs'!$E$123:$E$127,0))</f>
        <v>0</v>
      </c>
      <c r="R402" s="174">
        <v>0</v>
      </c>
      <c r="S402" s="126">
        <v>3</v>
      </c>
      <c r="T402" s="126" t="s">
        <v>247</v>
      </c>
      <c r="U402" s="158"/>
      <c r="V402" s="153" t="str">
        <f t="array" ref="V402">INDEX(xlRTCLNAME,MATCH(1,(xlRTCLENDU=1)*(xlRTCLEQCL=$D402),0))</f>
        <v>ELEC_HP</v>
      </c>
      <c r="W402" s="153" t="str">
        <f t="array" ref="W402">INDEX(xlRTCLNAME,MATCH(1,(xlRTCLENDU=2)*(xlRTCLEQCL=$F402),0))</f>
        <v>ELEC_HP</v>
      </c>
      <c r="X402" s="153" t="str">
        <f t="array" ref="X402">INDEX(xlRTTYNAME,MATCH(1,(xlRTTYENDU=1)*(xlRTTYEQCL=$D402)*(xlRTEQTYPE=$E402),0))</f>
        <v>ELEC_HP3</v>
      </c>
      <c r="Y402" s="153" t="str">
        <f t="array" ref="Y402">INDEX(xlRTTYNAME,MATCH(1,(xlRTTYENDU=2)*(xlRTTYEQCL=$F402)*(xlRTEQTYPE=$G402),0))</f>
        <v>ELEC_HP3</v>
      </c>
    </row>
    <row r="403" spans="2:25" x14ac:dyDescent="0.2">
      <c r="B403" s="126">
        <v>1</v>
      </c>
      <c r="C403" s="126">
        <v>1</v>
      </c>
      <c r="D403" s="126">
        <v>3</v>
      </c>
      <c r="E403" s="126">
        <v>8</v>
      </c>
      <c r="F403" s="126">
        <v>2</v>
      </c>
      <c r="G403" s="126">
        <v>7</v>
      </c>
      <c r="H403" s="126">
        <v>2016</v>
      </c>
      <c r="I403" s="126">
        <v>2050</v>
      </c>
      <c r="J403" s="127">
        <v>1.0803</v>
      </c>
      <c r="K403" s="127">
        <v>1.0667</v>
      </c>
      <c r="L403" s="127">
        <v>0.57279999999999998</v>
      </c>
      <c r="M403" s="127">
        <v>0.95909999999999995</v>
      </c>
      <c r="N403" s="127">
        <v>0.79790000000000005</v>
      </c>
      <c r="O403" s="127">
        <v>1.0538000000000001</v>
      </c>
      <c r="P403" s="126">
        <v>10850</v>
      </c>
      <c r="Q403" s="128">
        <f t="array" ref="Q403">SUM(IF(($S403&gt;=4)*($C403='TaxCred&amp;Subs'!$D$123:$D$127)*($H403='TaxCred&amp;Subs'!$C$123:$C$127)*($H403&lt;='TaxCred&amp;Subs'!$C$129),'TaxCred&amp;Subs'!$E$123:$E$127,0))</f>
        <v>0</v>
      </c>
      <c r="R403" s="174">
        <v>0</v>
      </c>
      <c r="S403" s="126">
        <v>3</v>
      </c>
      <c r="T403" s="126" t="s">
        <v>247</v>
      </c>
      <c r="U403" s="158"/>
      <c r="V403" s="153" t="str">
        <f t="array" ref="V403">INDEX(xlRTCLNAME,MATCH(1,(xlRTCLENDU=1)*(xlRTCLEQCL=$D403),0))</f>
        <v>NG_FA</v>
      </c>
      <c r="W403" s="153" t="str">
        <f t="array" ref="W403">INDEX(xlRTCLNAME,MATCH(1,(xlRTCLENDU=2)*(xlRTCLEQCL=$F403),0))</f>
        <v>CENT_AIR</v>
      </c>
      <c r="X403" s="153" t="str">
        <f t="array" ref="X403">INDEX(xlRTTYNAME,MATCH(1,(xlRTTYENDU=1)*(xlRTTYEQCL=$D403)*(xlRTEQTYPE=$E403),0))</f>
        <v>NG_FA3</v>
      </c>
      <c r="Y403" s="153" t="str">
        <f t="array" ref="Y403">INDEX(xlRTTYNAME,MATCH(1,(xlRTTYENDU=2)*(xlRTTYEQCL=$F403)*(xlRTEQTYPE=$G403),0))</f>
        <v>CENT_AIR3</v>
      </c>
    </row>
    <row r="404" spans="2:25" x14ac:dyDescent="0.2">
      <c r="B404" s="126">
        <v>2</v>
      </c>
      <c r="C404" s="126">
        <v>1</v>
      </c>
      <c r="D404" s="126">
        <v>3</v>
      </c>
      <c r="E404" s="126">
        <v>8</v>
      </c>
      <c r="F404" s="126">
        <v>2</v>
      </c>
      <c r="G404" s="126">
        <v>7</v>
      </c>
      <c r="H404" s="126">
        <v>2016</v>
      </c>
      <c r="I404" s="126">
        <v>2050</v>
      </c>
      <c r="J404" s="127">
        <v>1.0649</v>
      </c>
      <c r="K404" s="127">
        <v>1.0597000000000001</v>
      </c>
      <c r="L404" s="127">
        <v>0.6411</v>
      </c>
      <c r="M404" s="127">
        <v>0.84060000000000001</v>
      </c>
      <c r="N404" s="127">
        <v>0.93169999999999997</v>
      </c>
      <c r="O404" s="127">
        <v>1.0538000000000001</v>
      </c>
      <c r="P404" s="126">
        <v>10767</v>
      </c>
      <c r="Q404" s="128">
        <f t="array" ref="Q404">SUM(IF(($S404&gt;=4)*($C404='TaxCred&amp;Subs'!$D$123:$D$127)*($H404='TaxCred&amp;Subs'!$C$123:$C$127)*($H404&lt;='TaxCred&amp;Subs'!$C$129),'TaxCred&amp;Subs'!$E$123:$E$127,0))</f>
        <v>0</v>
      </c>
      <c r="R404" s="174">
        <v>0</v>
      </c>
      <c r="S404" s="126">
        <v>3</v>
      </c>
      <c r="T404" s="126" t="s">
        <v>247</v>
      </c>
      <c r="U404" s="158"/>
      <c r="V404" s="153" t="str">
        <f t="array" ref="V404">INDEX(xlRTCLNAME,MATCH(1,(xlRTCLENDU=1)*(xlRTCLEQCL=$D404),0))</f>
        <v>NG_FA</v>
      </c>
      <c r="W404" s="153" t="str">
        <f t="array" ref="W404">INDEX(xlRTCLNAME,MATCH(1,(xlRTCLENDU=2)*(xlRTCLEQCL=$F404),0))</f>
        <v>CENT_AIR</v>
      </c>
      <c r="X404" s="153" t="str">
        <f t="array" ref="X404">INDEX(xlRTTYNAME,MATCH(1,(xlRTTYENDU=1)*(xlRTTYEQCL=$D404)*(xlRTEQTYPE=$E404),0))</f>
        <v>NG_FA3</v>
      </c>
      <c r="Y404" s="153" t="str">
        <f t="array" ref="Y404">INDEX(xlRTTYNAME,MATCH(1,(xlRTTYENDU=2)*(xlRTTYEQCL=$F404)*(xlRTEQTYPE=$G404),0))</f>
        <v>CENT_AIR3</v>
      </c>
    </row>
    <row r="405" spans="2:25" x14ac:dyDescent="0.2">
      <c r="B405" s="126">
        <v>3</v>
      </c>
      <c r="C405" s="126">
        <v>1</v>
      </c>
      <c r="D405" s="126">
        <v>3</v>
      </c>
      <c r="E405" s="126">
        <v>8</v>
      </c>
      <c r="F405" s="126">
        <v>2</v>
      </c>
      <c r="G405" s="126">
        <v>7</v>
      </c>
      <c r="H405" s="126">
        <v>2016</v>
      </c>
      <c r="I405" s="126">
        <v>2050</v>
      </c>
      <c r="J405" s="127">
        <v>1.0469999999999999</v>
      </c>
      <c r="K405" s="127">
        <v>1.0769</v>
      </c>
      <c r="L405" s="127">
        <v>0.52969999999999995</v>
      </c>
      <c r="M405" s="127">
        <v>0.9194</v>
      </c>
      <c r="N405" s="127">
        <v>0.91600000000000004</v>
      </c>
      <c r="O405" s="127">
        <v>1.0538000000000001</v>
      </c>
      <c r="P405" s="126">
        <v>9671</v>
      </c>
      <c r="Q405" s="128">
        <f t="array" ref="Q405">SUM(IF(($S405&gt;=4)*($C405='TaxCred&amp;Subs'!$D$123:$D$127)*($H405='TaxCred&amp;Subs'!$C$123:$C$127)*($H405&lt;='TaxCred&amp;Subs'!$C$129),'TaxCred&amp;Subs'!$E$123:$E$127,0))</f>
        <v>0</v>
      </c>
      <c r="R405" s="174">
        <v>0</v>
      </c>
      <c r="S405" s="126">
        <v>3</v>
      </c>
      <c r="T405" s="126" t="s">
        <v>247</v>
      </c>
      <c r="U405" s="158"/>
      <c r="V405" s="153" t="str">
        <f t="array" ref="V405">INDEX(xlRTCLNAME,MATCH(1,(xlRTCLENDU=1)*(xlRTCLEQCL=$D405),0))</f>
        <v>NG_FA</v>
      </c>
      <c r="W405" s="153" t="str">
        <f t="array" ref="W405">INDEX(xlRTCLNAME,MATCH(1,(xlRTCLENDU=2)*(xlRTCLEQCL=$F405),0))</f>
        <v>CENT_AIR</v>
      </c>
      <c r="X405" s="153" t="str">
        <f t="array" ref="X405">INDEX(xlRTTYNAME,MATCH(1,(xlRTTYENDU=1)*(xlRTTYEQCL=$D405)*(xlRTEQTYPE=$E405),0))</f>
        <v>NG_FA3</v>
      </c>
      <c r="Y405" s="153" t="str">
        <f t="array" ref="Y405">INDEX(xlRTTYNAME,MATCH(1,(xlRTTYENDU=2)*(xlRTTYEQCL=$F405)*(xlRTEQTYPE=$G405),0))</f>
        <v>CENT_AIR3</v>
      </c>
    </row>
    <row r="406" spans="2:25" x14ac:dyDescent="0.2">
      <c r="B406" s="126">
        <v>4</v>
      </c>
      <c r="C406" s="126">
        <v>1</v>
      </c>
      <c r="D406" s="126">
        <v>3</v>
      </c>
      <c r="E406" s="126">
        <v>8</v>
      </c>
      <c r="F406" s="126">
        <v>2</v>
      </c>
      <c r="G406" s="126">
        <v>7</v>
      </c>
      <c r="H406" s="126">
        <v>2016</v>
      </c>
      <c r="I406" s="126">
        <v>2050</v>
      </c>
      <c r="J406" s="127">
        <v>1.0862000000000001</v>
      </c>
      <c r="K406" s="127">
        <v>1.0769</v>
      </c>
      <c r="L406" s="127">
        <v>0.53590000000000004</v>
      </c>
      <c r="M406" s="127">
        <v>0.85419999999999996</v>
      </c>
      <c r="N406" s="127">
        <v>0.85770000000000002</v>
      </c>
      <c r="O406" s="127">
        <v>1.0538000000000001</v>
      </c>
      <c r="P406" s="126">
        <v>7732</v>
      </c>
      <c r="Q406" s="128">
        <f t="array" ref="Q406">SUM(IF(($S406&gt;=4)*($C406='TaxCred&amp;Subs'!$D$123:$D$127)*($H406='TaxCred&amp;Subs'!$C$123:$C$127)*($H406&lt;='TaxCred&amp;Subs'!$C$129),'TaxCred&amp;Subs'!$E$123:$E$127,0))</f>
        <v>0</v>
      </c>
      <c r="R406" s="174">
        <v>0</v>
      </c>
      <c r="S406" s="126">
        <v>3</v>
      </c>
      <c r="T406" s="126" t="s">
        <v>247</v>
      </c>
      <c r="U406" s="158"/>
      <c r="V406" s="153" t="str">
        <f t="array" ref="V406">INDEX(xlRTCLNAME,MATCH(1,(xlRTCLENDU=1)*(xlRTCLEQCL=$D406),0))</f>
        <v>NG_FA</v>
      </c>
      <c r="W406" s="153" t="str">
        <f t="array" ref="W406">INDEX(xlRTCLNAME,MATCH(1,(xlRTCLENDU=2)*(xlRTCLEQCL=$F406),0))</f>
        <v>CENT_AIR</v>
      </c>
      <c r="X406" s="153" t="str">
        <f t="array" ref="X406">INDEX(xlRTTYNAME,MATCH(1,(xlRTTYENDU=1)*(xlRTTYEQCL=$D406)*(xlRTEQTYPE=$E406),0))</f>
        <v>NG_FA3</v>
      </c>
      <c r="Y406" s="153" t="str">
        <f t="array" ref="Y406">INDEX(xlRTTYNAME,MATCH(1,(xlRTTYENDU=2)*(xlRTTYEQCL=$F406)*(xlRTEQTYPE=$G406),0))</f>
        <v>CENT_AIR3</v>
      </c>
    </row>
    <row r="407" spans="2:25" x14ac:dyDescent="0.2">
      <c r="B407" s="126">
        <v>5</v>
      </c>
      <c r="C407" s="126">
        <v>1</v>
      </c>
      <c r="D407" s="126">
        <v>3</v>
      </c>
      <c r="E407" s="126">
        <v>8</v>
      </c>
      <c r="F407" s="126">
        <v>2</v>
      </c>
      <c r="G407" s="126">
        <v>7</v>
      </c>
      <c r="H407" s="126">
        <v>2016</v>
      </c>
      <c r="I407" s="126">
        <v>2050</v>
      </c>
      <c r="J407" s="127">
        <v>1.0849</v>
      </c>
      <c r="K407" s="127">
        <v>1.0471999999999999</v>
      </c>
      <c r="L407" s="127">
        <v>0.6915</v>
      </c>
      <c r="M407" s="127">
        <v>0.88759999999999994</v>
      </c>
      <c r="N407" s="127">
        <v>0.76180000000000003</v>
      </c>
      <c r="O407" s="127">
        <v>1.0538000000000001</v>
      </c>
      <c r="P407" s="126">
        <v>7112</v>
      </c>
      <c r="Q407" s="128">
        <f t="array" ref="Q407">SUM(IF(($S407&gt;=4)*($C407='TaxCred&amp;Subs'!$D$123:$D$127)*($H407='TaxCred&amp;Subs'!$C$123:$C$127)*($H407&lt;='TaxCred&amp;Subs'!$C$129),'TaxCred&amp;Subs'!$E$123:$E$127,0))</f>
        <v>0</v>
      </c>
      <c r="R407" s="174">
        <v>0</v>
      </c>
      <c r="S407" s="126">
        <v>3</v>
      </c>
      <c r="T407" s="126" t="s">
        <v>247</v>
      </c>
      <c r="U407" s="158"/>
      <c r="V407" s="153" t="str">
        <f t="array" ref="V407">INDEX(xlRTCLNAME,MATCH(1,(xlRTCLENDU=1)*(xlRTCLEQCL=$D407),0))</f>
        <v>NG_FA</v>
      </c>
      <c r="W407" s="153" t="str">
        <f t="array" ref="W407">INDEX(xlRTCLNAME,MATCH(1,(xlRTCLENDU=2)*(xlRTCLEQCL=$F407),0))</f>
        <v>CENT_AIR</v>
      </c>
      <c r="X407" s="153" t="str">
        <f t="array" ref="X407">INDEX(xlRTTYNAME,MATCH(1,(xlRTTYENDU=1)*(xlRTTYEQCL=$D407)*(xlRTEQTYPE=$E407),0))</f>
        <v>NG_FA3</v>
      </c>
      <c r="Y407" s="153" t="str">
        <f t="array" ref="Y407">INDEX(xlRTTYNAME,MATCH(1,(xlRTTYENDU=2)*(xlRTTYEQCL=$F407)*(xlRTEQTYPE=$G407),0))</f>
        <v>CENT_AIR3</v>
      </c>
    </row>
    <row r="408" spans="2:25" x14ac:dyDescent="0.2">
      <c r="B408" s="126">
        <v>6</v>
      </c>
      <c r="C408" s="126">
        <v>1</v>
      </c>
      <c r="D408" s="126">
        <v>3</v>
      </c>
      <c r="E408" s="126">
        <v>8</v>
      </c>
      <c r="F408" s="126">
        <v>2</v>
      </c>
      <c r="G408" s="126">
        <v>7</v>
      </c>
      <c r="H408" s="126">
        <v>2016</v>
      </c>
      <c r="I408" s="126">
        <v>2050</v>
      </c>
      <c r="J408" s="127">
        <v>1.0924</v>
      </c>
      <c r="K408" s="127">
        <v>1.0661</v>
      </c>
      <c r="L408" s="127">
        <v>0.75209999999999999</v>
      </c>
      <c r="M408" s="127">
        <v>0.89880000000000004</v>
      </c>
      <c r="N408" s="127">
        <v>0.89100000000000001</v>
      </c>
      <c r="O408" s="127">
        <v>1.0538000000000001</v>
      </c>
      <c r="P408" s="126">
        <v>7692</v>
      </c>
      <c r="Q408" s="128">
        <f t="array" ref="Q408">SUM(IF(($S408&gt;=4)*($C408='TaxCred&amp;Subs'!$D$123:$D$127)*($H408='TaxCred&amp;Subs'!$C$123:$C$127)*($H408&lt;='TaxCred&amp;Subs'!$C$129),'TaxCred&amp;Subs'!$E$123:$E$127,0))</f>
        <v>0</v>
      </c>
      <c r="R408" s="174">
        <v>0</v>
      </c>
      <c r="S408" s="126">
        <v>3</v>
      </c>
      <c r="T408" s="126" t="s">
        <v>247</v>
      </c>
      <c r="U408" s="158"/>
      <c r="V408" s="153" t="str">
        <f t="array" ref="V408">INDEX(xlRTCLNAME,MATCH(1,(xlRTCLENDU=1)*(xlRTCLEQCL=$D408),0))</f>
        <v>NG_FA</v>
      </c>
      <c r="W408" s="153" t="str">
        <f t="array" ref="W408">INDEX(xlRTCLNAME,MATCH(1,(xlRTCLENDU=2)*(xlRTCLEQCL=$F408),0))</f>
        <v>CENT_AIR</v>
      </c>
      <c r="X408" s="153" t="str">
        <f t="array" ref="X408">INDEX(xlRTTYNAME,MATCH(1,(xlRTTYENDU=1)*(xlRTTYEQCL=$D408)*(xlRTEQTYPE=$E408),0))</f>
        <v>NG_FA3</v>
      </c>
      <c r="Y408" s="153" t="str">
        <f t="array" ref="Y408">INDEX(xlRTTYNAME,MATCH(1,(xlRTTYENDU=2)*(xlRTTYEQCL=$F408)*(xlRTEQTYPE=$G408),0))</f>
        <v>CENT_AIR3</v>
      </c>
    </row>
    <row r="409" spans="2:25" x14ac:dyDescent="0.2">
      <c r="B409" s="126">
        <v>7</v>
      </c>
      <c r="C409" s="126">
        <v>1</v>
      </c>
      <c r="D409" s="126">
        <v>3</v>
      </c>
      <c r="E409" s="126">
        <v>8</v>
      </c>
      <c r="F409" s="126">
        <v>2</v>
      </c>
      <c r="G409" s="126">
        <v>7</v>
      </c>
      <c r="H409" s="126">
        <v>2016</v>
      </c>
      <c r="I409" s="126">
        <v>2050</v>
      </c>
      <c r="J409" s="127">
        <v>1.0905</v>
      </c>
      <c r="K409" s="127">
        <v>1.0562</v>
      </c>
      <c r="L409" s="127">
        <v>0.77559999999999996</v>
      </c>
      <c r="M409" s="127">
        <v>0.80289999999999995</v>
      </c>
      <c r="N409" s="127">
        <v>0.87180000000000002</v>
      </c>
      <c r="O409" s="127">
        <v>1.0538000000000001</v>
      </c>
      <c r="P409" s="126">
        <v>6902</v>
      </c>
      <c r="Q409" s="128">
        <f t="array" ref="Q409">SUM(IF(($S409&gt;=4)*($C409='TaxCred&amp;Subs'!$D$123:$D$127)*($H409='TaxCred&amp;Subs'!$C$123:$C$127)*($H409&lt;='TaxCred&amp;Subs'!$C$129),'TaxCred&amp;Subs'!$E$123:$E$127,0))</f>
        <v>0</v>
      </c>
      <c r="R409" s="174">
        <v>0</v>
      </c>
      <c r="S409" s="126">
        <v>3</v>
      </c>
      <c r="T409" s="126" t="s">
        <v>247</v>
      </c>
      <c r="U409" s="158"/>
      <c r="V409" s="153" t="str">
        <f t="array" ref="V409">INDEX(xlRTCLNAME,MATCH(1,(xlRTCLENDU=1)*(xlRTCLEQCL=$D409),0))</f>
        <v>NG_FA</v>
      </c>
      <c r="W409" s="153" t="str">
        <f t="array" ref="W409">INDEX(xlRTCLNAME,MATCH(1,(xlRTCLENDU=2)*(xlRTCLEQCL=$F409),0))</f>
        <v>CENT_AIR</v>
      </c>
      <c r="X409" s="153" t="str">
        <f t="array" ref="X409">INDEX(xlRTTYNAME,MATCH(1,(xlRTTYENDU=1)*(xlRTTYEQCL=$D409)*(xlRTEQTYPE=$E409),0))</f>
        <v>NG_FA3</v>
      </c>
      <c r="Y409" s="153" t="str">
        <f t="array" ref="Y409">INDEX(xlRTTYNAME,MATCH(1,(xlRTTYENDU=2)*(xlRTTYEQCL=$F409)*(xlRTEQTYPE=$G409),0))</f>
        <v>CENT_AIR3</v>
      </c>
    </row>
    <row r="410" spans="2:25" x14ac:dyDescent="0.2">
      <c r="B410" s="126">
        <v>8</v>
      </c>
      <c r="C410" s="126">
        <v>1</v>
      </c>
      <c r="D410" s="126">
        <v>3</v>
      </c>
      <c r="E410" s="126">
        <v>8</v>
      </c>
      <c r="F410" s="126">
        <v>2</v>
      </c>
      <c r="G410" s="126">
        <v>7</v>
      </c>
      <c r="H410" s="126">
        <v>2016</v>
      </c>
      <c r="I410" s="126">
        <v>2050</v>
      </c>
      <c r="J410" s="127">
        <v>1.0801000000000001</v>
      </c>
      <c r="K410" s="127">
        <v>1.0822000000000001</v>
      </c>
      <c r="L410" s="127">
        <v>0.53920000000000001</v>
      </c>
      <c r="M410" s="127">
        <v>0.89190000000000003</v>
      </c>
      <c r="N410" s="127">
        <v>0.86950000000000005</v>
      </c>
      <c r="O410" s="127">
        <v>1.0538000000000001</v>
      </c>
      <c r="P410" s="126">
        <v>8560</v>
      </c>
      <c r="Q410" s="128">
        <f t="array" ref="Q410">SUM(IF(($S410&gt;=4)*($C410='TaxCred&amp;Subs'!$D$123:$D$127)*($H410='TaxCred&amp;Subs'!$C$123:$C$127)*($H410&lt;='TaxCred&amp;Subs'!$C$129),'TaxCred&amp;Subs'!$E$123:$E$127,0))</f>
        <v>0</v>
      </c>
      <c r="R410" s="174">
        <v>0</v>
      </c>
      <c r="S410" s="126">
        <v>3</v>
      </c>
      <c r="T410" s="126" t="s">
        <v>247</v>
      </c>
      <c r="U410" s="158"/>
      <c r="V410" s="153" t="str">
        <f t="array" ref="V410">INDEX(xlRTCLNAME,MATCH(1,(xlRTCLENDU=1)*(xlRTCLEQCL=$D410),0))</f>
        <v>NG_FA</v>
      </c>
      <c r="W410" s="153" t="str">
        <f t="array" ref="W410">INDEX(xlRTCLNAME,MATCH(1,(xlRTCLENDU=2)*(xlRTCLEQCL=$F410),0))</f>
        <v>CENT_AIR</v>
      </c>
      <c r="X410" s="153" t="str">
        <f t="array" ref="X410">INDEX(xlRTTYNAME,MATCH(1,(xlRTTYENDU=1)*(xlRTTYEQCL=$D410)*(xlRTEQTYPE=$E410),0))</f>
        <v>NG_FA3</v>
      </c>
      <c r="Y410" s="153" t="str">
        <f t="array" ref="Y410">INDEX(xlRTTYNAME,MATCH(1,(xlRTTYENDU=2)*(xlRTTYEQCL=$F410)*(xlRTEQTYPE=$G410),0))</f>
        <v>CENT_AIR3</v>
      </c>
    </row>
    <row r="411" spans="2:25" x14ac:dyDescent="0.2">
      <c r="B411" s="126">
        <v>9</v>
      </c>
      <c r="C411" s="126">
        <v>1</v>
      </c>
      <c r="D411" s="126">
        <v>3</v>
      </c>
      <c r="E411" s="126">
        <v>8</v>
      </c>
      <c r="F411" s="126">
        <v>2</v>
      </c>
      <c r="G411" s="126">
        <v>7</v>
      </c>
      <c r="H411" s="126">
        <v>2016</v>
      </c>
      <c r="I411" s="126">
        <v>2050</v>
      </c>
      <c r="J411" s="127">
        <v>1.0781000000000001</v>
      </c>
      <c r="K411" s="127">
        <v>1.0707</v>
      </c>
      <c r="L411" s="127">
        <v>0.89380000000000004</v>
      </c>
      <c r="M411" s="127">
        <v>0.90590000000000004</v>
      </c>
      <c r="N411" s="127">
        <v>1.0339</v>
      </c>
      <c r="O411" s="127">
        <v>1.0538000000000001</v>
      </c>
      <c r="P411" s="126">
        <v>10115</v>
      </c>
      <c r="Q411" s="128">
        <f t="array" ref="Q411">SUM(IF(($S411&gt;=4)*($C411='TaxCred&amp;Subs'!$D$123:$D$127)*($H411='TaxCred&amp;Subs'!$C$123:$C$127)*($H411&lt;='TaxCred&amp;Subs'!$C$129),'TaxCred&amp;Subs'!$E$123:$E$127,0))</f>
        <v>0</v>
      </c>
      <c r="R411" s="174">
        <v>0</v>
      </c>
      <c r="S411" s="126">
        <v>3</v>
      </c>
      <c r="T411" s="126" t="s">
        <v>247</v>
      </c>
      <c r="U411" s="158"/>
      <c r="V411" s="153" t="str">
        <f t="array" ref="V411">INDEX(xlRTCLNAME,MATCH(1,(xlRTCLENDU=1)*(xlRTCLEQCL=$D411),0))</f>
        <v>NG_FA</v>
      </c>
      <c r="W411" s="153" t="str">
        <f t="array" ref="W411">INDEX(xlRTCLNAME,MATCH(1,(xlRTCLENDU=2)*(xlRTCLEQCL=$F411),0))</f>
        <v>CENT_AIR</v>
      </c>
      <c r="X411" s="153" t="str">
        <f t="array" ref="X411">INDEX(xlRTTYNAME,MATCH(1,(xlRTTYENDU=1)*(xlRTTYEQCL=$D411)*(xlRTEQTYPE=$E411),0))</f>
        <v>NG_FA3</v>
      </c>
      <c r="Y411" s="153" t="str">
        <f t="array" ref="Y411">INDEX(xlRTTYNAME,MATCH(1,(xlRTTYENDU=2)*(xlRTTYEQCL=$F411)*(xlRTEQTYPE=$G411),0))</f>
        <v>CENT_AIR3</v>
      </c>
    </row>
    <row r="412" spans="2:25" x14ac:dyDescent="0.2">
      <c r="B412" s="126">
        <v>1</v>
      </c>
      <c r="C412" s="126">
        <v>1</v>
      </c>
      <c r="D412" s="126">
        <v>4</v>
      </c>
      <c r="E412" s="126">
        <v>12</v>
      </c>
      <c r="F412" s="126">
        <v>2</v>
      </c>
      <c r="G412" s="126">
        <v>7</v>
      </c>
      <c r="H412" s="126">
        <v>2016</v>
      </c>
      <c r="I412" s="126">
        <v>2050</v>
      </c>
      <c r="J412" s="127">
        <v>1.0592999999999999</v>
      </c>
      <c r="K412" s="127">
        <v>1.0889</v>
      </c>
      <c r="L412" s="127">
        <v>0.56459999999999999</v>
      </c>
      <c r="M412" s="127">
        <v>0.95909999999999995</v>
      </c>
      <c r="N412" s="127">
        <v>0.8095</v>
      </c>
      <c r="O412" s="127">
        <v>1.0538000000000001</v>
      </c>
      <c r="P412" s="126">
        <v>10713</v>
      </c>
      <c r="Q412" s="128">
        <f t="array" ref="Q412">SUM(IF(($S412&gt;=4)*($C412='TaxCred&amp;Subs'!$D$123:$D$127)*($H412='TaxCred&amp;Subs'!$C$123:$C$127)*($H412&lt;='TaxCred&amp;Subs'!$C$129),'TaxCred&amp;Subs'!$E$123:$E$127,0))</f>
        <v>0</v>
      </c>
      <c r="R412" s="174">
        <v>0</v>
      </c>
      <c r="S412" s="126">
        <v>3</v>
      </c>
      <c r="T412" s="126" t="s">
        <v>247</v>
      </c>
      <c r="U412" s="158"/>
      <c r="V412" s="153" t="str">
        <f t="array" ref="V412">INDEX(xlRTCLNAME,MATCH(1,(xlRTCLENDU=1)*(xlRTCLEQCL=$D412),0))</f>
        <v>NG_RAD</v>
      </c>
      <c r="W412" s="153" t="str">
        <f t="array" ref="W412">INDEX(xlRTCLNAME,MATCH(1,(xlRTCLENDU=2)*(xlRTCLEQCL=$F412),0))</f>
        <v>CENT_AIR</v>
      </c>
      <c r="X412" s="153" t="str">
        <f t="array" ref="X412">INDEX(xlRTTYNAME,MATCH(1,(xlRTTYENDU=1)*(xlRTTYEQCL=$D412)*(xlRTEQTYPE=$E412),0))</f>
        <v>NG_RAD3</v>
      </c>
      <c r="Y412" s="153" t="str">
        <f t="array" ref="Y412">INDEX(xlRTTYNAME,MATCH(1,(xlRTTYENDU=2)*(xlRTTYEQCL=$F412)*(xlRTEQTYPE=$G412),0))</f>
        <v>CENT_AIR3</v>
      </c>
    </row>
    <row r="413" spans="2:25" x14ac:dyDescent="0.2">
      <c r="B413" s="126">
        <v>2</v>
      </c>
      <c r="C413" s="126">
        <v>1</v>
      </c>
      <c r="D413" s="126">
        <v>4</v>
      </c>
      <c r="E413" s="126">
        <v>12</v>
      </c>
      <c r="F413" s="126">
        <v>2</v>
      </c>
      <c r="G413" s="126">
        <v>7</v>
      </c>
      <c r="H413" s="126">
        <v>2016</v>
      </c>
      <c r="I413" s="126">
        <v>2050</v>
      </c>
      <c r="J413" s="127">
        <v>1.0717000000000001</v>
      </c>
      <c r="K413" s="127">
        <v>1.0895999999999999</v>
      </c>
      <c r="L413" s="127">
        <v>0.622</v>
      </c>
      <c r="M413" s="127">
        <v>0.84060000000000001</v>
      </c>
      <c r="N413" s="127">
        <v>0.92630000000000001</v>
      </c>
      <c r="O413" s="127">
        <v>1.0538000000000001</v>
      </c>
      <c r="P413" s="126">
        <v>10433</v>
      </c>
      <c r="Q413" s="128">
        <f t="array" ref="Q413">SUM(IF(($S413&gt;=4)*($C413='TaxCred&amp;Subs'!$D$123:$D$127)*($H413='TaxCred&amp;Subs'!$C$123:$C$127)*($H413&lt;='TaxCred&amp;Subs'!$C$129),'TaxCred&amp;Subs'!$E$123:$E$127,0))</f>
        <v>0</v>
      </c>
      <c r="R413" s="174">
        <v>0</v>
      </c>
      <c r="S413" s="126">
        <v>3</v>
      </c>
      <c r="T413" s="126" t="s">
        <v>247</v>
      </c>
      <c r="U413" s="158"/>
      <c r="V413" s="153" t="str">
        <f t="array" ref="V413">INDEX(xlRTCLNAME,MATCH(1,(xlRTCLENDU=1)*(xlRTCLEQCL=$D413),0))</f>
        <v>NG_RAD</v>
      </c>
      <c r="W413" s="153" t="str">
        <f t="array" ref="W413">INDEX(xlRTCLNAME,MATCH(1,(xlRTCLENDU=2)*(xlRTCLEQCL=$F413),0))</f>
        <v>CENT_AIR</v>
      </c>
      <c r="X413" s="153" t="str">
        <f t="array" ref="X413">INDEX(xlRTTYNAME,MATCH(1,(xlRTTYENDU=1)*(xlRTTYEQCL=$D413)*(xlRTEQTYPE=$E413),0))</f>
        <v>NG_RAD3</v>
      </c>
      <c r="Y413" s="153" t="str">
        <f t="array" ref="Y413">INDEX(xlRTTYNAME,MATCH(1,(xlRTTYENDU=2)*(xlRTTYEQCL=$F413)*(xlRTEQTYPE=$G413),0))</f>
        <v>CENT_AIR3</v>
      </c>
    </row>
    <row r="414" spans="2:25" x14ac:dyDescent="0.2">
      <c r="B414" s="126">
        <v>3</v>
      </c>
      <c r="C414" s="126">
        <v>1</v>
      </c>
      <c r="D414" s="126">
        <v>4</v>
      </c>
      <c r="E414" s="126">
        <v>12</v>
      </c>
      <c r="F414" s="126">
        <v>2</v>
      </c>
      <c r="G414" s="126">
        <v>7</v>
      </c>
      <c r="H414" s="126">
        <v>2016</v>
      </c>
      <c r="I414" s="126">
        <v>2050</v>
      </c>
      <c r="J414" s="127">
        <v>1.0821000000000001</v>
      </c>
      <c r="K414" s="127">
        <v>1.0769</v>
      </c>
      <c r="L414" s="127">
        <v>0.52210000000000001</v>
      </c>
      <c r="M414" s="127">
        <v>0.9194</v>
      </c>
      <c r="N414" s="127">
        <v>0.91400000000000003</v>
      </c>
      <c r="O414" s="127">
        <v>1.0538000000000001</v>
      </c>
      <c r="P414" s="126">
        <v>9671</v>
      </c>
      <c r="Q414" s="128">
        <f t="array" ref="Q414">SUM(IF(($S414&gt;=4)*($C414='TaxCred&amp;Subs'!$D$123:$D$127)*($H414='TaxCred&amp;Subs'!$C$123:$C$127)*($H414&lt;='TaxCred&amp;Subs'!$C$129),'TaxCred&amp;Subs'!$E$123:$E$127,0))</f>
        <v>0</v>
      </c>
      <c r="R414" s="174">
        <v>0</v>
      </c>
      <c r="S414" s="126">
        <v>3</v>
      </c>
      <c r="T414" s="126" t="s">
        <v>247</v>
      </c>
      <c r="U414" s="158"/>
      <c r="V414" s="153" t="str">
        <f t="array" ref="V414">INDEX(xlRTCLNAME,MATCH(1,(xlRTCLENDU=1)*(xlRTCLEQCL=$D414),0))</f>
        <v>NG_RAD</v>
      </c>
      <c r="W414" s="153" t="str">
        <f t="array" ref="W414">INDEX(xlRTCLNAME,MATCH(1,(xlRTCLENDU=2)*(xlRTCLEQCL=$F414),0))</f>
        <v>CENT_AIR</v>
      </c>
      <c r="X414" s="153" t="str">
        <f t="array" ref="X414">INDEX(xlRTTYNAME,MATCH(1,(xlRTTYENDU=1)*(xlRTTYEQCL=$D414)*(xlRTEQTYPE=$E414),0))</f>
        <v>NG_RAD3</v>
      </c>
      <c r="Y414" s="153" t="str">
        <f t="array" ref="Y414">INDEX(xlRTTYNAME,MATCH(1,(xlRTTYENDU=2)*(xlRTTYEQCL=$F414)*(xlRTEQTYPE=$G414),0))</f>
        <v>CENT_AIR3</v>
      </c>
    </row>
    <row r="415" spans="2:25" x14ac:dyDescent="0.2">
      <c r="B415" s="126">
        <v>4</v>
      </c>
      <c r="C415" s="126">
        <v>1</v>
      </c>
      <c r="D415" s="126">
        <v>4</v>
      </c>
      <c r="E415" s="126">
        <v>12</v>
      </c>
      <c r="F415" s="126">
        <v>2</v>
      </c>
      <c r="G415" s="126">
        <v>7</v>
      </c>
      <c r="H415" s="126">
        <v>2016</v>
      </c>
      <c r="I415" s="126">
        <v>2050</v>
      </c>
      <c r="J415" s="127">
        <v>1.0812999999999999</v>
      </c>
      <c r="K415" s="127">
        <v>1.0769</v>
      </c>
      <c r="L415" s="127">
        <v>0.52690000000000003</v>
      </c>
      <c r="M415" s="127">
        <v>0.86580000000000001</v>
      </c>
      <c r="N415" s="127">
        <v>0.85660000000000003</v>
      </c>
      <c r="O415" s="127">
        <v>1.0538000000000001</v>
      </c>
      <c r="P415" s="126">
        <v>7922</v>
      </c>
      <c r="Q415" s="128">
        <f t="array" ref="Q415">SUM(IF(($S415&gt;=4)*($C415='TaxCred&amp;Subs'!$D$123:$D$127)*($H415='TaxCred&amp;Subs'!$C$123:$C$127)*($H415&lt;='TaxCred&amp;Subs'!$C$129),'TaxCred&amp;Subs'!$E$123:$E$127,0))</f>
        <v>0</v>
      </c>
      <c r="R415" s="174">
        <v>0</v>
      </c>
      <c r="S415" s="126">
        <v>3</v>
      </c>
      <c r="T415" s="126" t="s">
        <v>247</v>
      </c>
      <c r="U415" s="158"/>
      <c r="V415" s="153" t="str">
        <f t="array" ref="V415">INDEX(xlRTCLNAME,MATCH(1,(xlRTCLENDU=1)*(xlRTCLEQCL=$D415),0))</f>
        <v>NG_RAD</v>
      </c>
      <c r="W415" s="153" t="str">
        <f t="array" ref="W415">INDEX(xlRTCLNAME,MATCH(1,(xlRTCLENDU=2)*(xlRTCLEQCL=$F415),0))</f>
        <v>CENT_AIR</v>
      </c>
      <c r="X415" s="153" t="str">
        <f t="array" ref="X415">INDEX(xlRTTYNAME,MATCH(1,(xlRTTYENDU=1)*(xlRTTYEQCL=$D415)*(xlRTEQTYPE=$E415),0))</f>
        <v>NG_RAD3</v>
      </c>
      <c r="Y415" s="153" t="str">
        <f t="array" ref="Y415">INDEX(xlRTTYNAME,MATCH(1,(xlRTTYENDU=2)*(xlRTTYEQCL=$F415)*(xlRTEQTYPE=$G415),0))</f>
        <v>CENT_AIR3</v>
      </c>
    </row>
    <row r="416" spans="2:25" x14ac:dyDescent="0.2">
      <c r="B416" s="126">
        <v>5</v>
      </c>
      <c r="C416" s="126">
        <v>1</v>
      </c>
      <c r="D416" s="126">
        <v>4</v>
      </c>
      <c r="E416" s="126">
        <v>12</v>
      </c>
      <c r="F416" s="126">
        <v>2</v>
      </c>
      <c r="G416" s="126">
        <v>7</v>
      </c>
      <c r="H416" s="126">
        <v>2016</v>
      </c>
      <c r="I416" s="126">
        <v>2050</v>
      </c>
      <c r="J416" s="127">
        <v>1.0838000000000001</v>
      </c>
      <c r="K416" s="127">
        <v>1.0465</v>
      </c>
      <c r="L416" s="127">
        <v>0.67900000000000005</v>
      </c>
      <c r="M416" s="127">
        <v>0.88390000000000002</v>
      </c>
      <c r="N416" s="127">
        <v>0.75670000000000004</v>
      </c>
      <c r="O416" s="127">
        <v>1.0538000000000001</v>
      </c>
      <c r="P416" s="126">
        <v>7040</v>
      </c>
      <c r="Q416" s="128">
        <f t="array" ref="Q416">SUM(IF(($S416&gt;=4)*($C416='TaxCred&amp;Subs'!$D$123:$D$127)*($H416='TaxCred&amp;Subs'!$C$123:$C$127)*($H416&lt;='TaxCred&amp;Subs'!$C$129),'TaxCred&amp;Subs'!$E$123:$E$127,0))</f>
        <v>0</v>
      </c>
      <c r="R416" s="174">
        <v>0</v>
      </c>
      <c r="S416" s="126">
        <v>3</v>
      </c>
      <c r="T416" s="126" t="s">
        <v>247</v>
      </c>
      <c r="U416" s="158"/>
      <c r="V416" s="153" t="str">
        <f t="array" ref="V416">INDEX(xlRTCLNAME,MATCH(1,(xlRTCLENDU=1)*(xlRTCLEQCL=$D416),0))</f>
        <v>NG_RAD</v>
      </c>
      <c r="W416" s="153" t="str">
        <f t="array" ref="W416">INDEX(xlRTCLNAME,MATCH(1,(xlRTCLENDU=2)*(xlRTCLEQCL=$F416),0))</f>
        <v>CENT_AIR</v>
      </c>
      <c r="X416" s="153" t="str">
        <f t="array" ref="X416">INDEX(xlRTTYNAME,MATCH(1,(xlRTTYENDU=1)*(xlRTTYEQCL=$D416)*(xlRTEQTYPE=$E416),0))</f>
        <v>NG_RAD3</v>
      </c>
      <c r="Y416" s="153" t="str">
        <f t="array" ref="Y416">INDEX(xlRTTYNAME,MATCH(1,(xlRTTYENDU=2)*(xlRTTYEQCL=$F416)*(xlRTEQTYPE=$G416),0))</f>
        <v>CENT_AIR3</v>
      </c>
    </row>
    <row r="417" spans="2:25" x14ac:dyDescent="0.2">
      <c r="B417" s="126">
        <v>6</v>
      </c>
      <c r="C417" s="126">
        <v>1</v>
      </c>
      <c r="D417" s="126">
        <v>4</v>
      </c>
      <c r="E417" s="126">
        <v>12</v>
      </c>
      <c r="F417" s="126">
        <v>2</v>
      </c>
      <c r="G417" s="126">
        <v>7</v>
      </c>
      <c r="H417" s="126">
        <v>2016</v>
      </c>
      <c r="I417" s="126">
        <v>2050</v>
      </c>
      <c r="J417" s="127">
        <v>1.089</v>
      </c>
      <c r="K417" s="127">
        <v>1.0583</v>
      </c>
      <c r="L417" s="127">
        <v>0.7974</v>
      </c>
      <c r="M417" s="127">
        <v>0.89459999999999995</v>
      </c>
      <c r="N417" s="127">
        <v>0.88849999999999996</v>
      </c>
      <c r="O417" s="127">
        <v>1.0538000000000001</v>
      </c>
      <c r="P417" s="126">
        <v>6726</v>
      </c>
      <c r="Q417" s="128">
        <f t="array" ref="Q417">SUM(IF(($S417&gt;=4)*($C417='TaxCred&amp;Subs'!$D$123:$D$127)*($H417='TaxCred&amp;Subs'!$C$123:$C$127)*($H417&lt;='TaxCred&amp;Subs'!$C$129),'TaxCred&amp;Subs'!$E$123:$E$127,0))</f>
        <v>0</v>
      </c>
      <c r="R417" s="174">
        <v>0</v>
      </c>
      <c r="S417" s="126">
        <v>3</v>
      </c>
      <c r="T417" s="126" t="s">
        <v>247</v>
      </c>
      <c r="U417" s="158"/>
      <c r="V417" s="153" t="str">
        <f t="array" ref="V417">INDEX(xlRTCLNAME,MATCH(1,(xlRTCLENDU=1)*(xlRTCLEQCL=$D417),0))</f>
        <v>NG_RAD</v>
      </c>
      <c r="W417" s="153" t="str">
        <f t="array" ref="W417">INDEX(xlRTCLNAME,MATCH(1,(xlRTCLENDU=2)*(xlRTCLEQCL=$F417),0))</f>
        <v>CENT_AIR</v>
      </c>
      <c r="X417" s="153" t="str">
        <f t="array" ref="X417">INDEX(xlRTTYNAME,MATCH(1,(xlRTTYENDU=1)*(xlRTTYEQCL=$D417)*(xlRTEQTYPE=$E417),0))</f>
        <v>NG_RAD3</v>
      </c>
      <c r="Y417" s="153" t="str">
        <f t="array" ref="Y417">INDEX(xlRTTYNAME,MATCH(1,(xlRTTYENDU=2)*(xlRTTYEQCL=$F417)*(xlRTEQTYPE=$G417),0))</f>
        <v>CENT_AIR3</v>
      </c>
    </row>
    <row r="418" spans="2:25" x14ac:dyDescent="0.2">
      <c r="B418" s="126">
        <v>7</v>
      </c>
      <c r="C418" s="126">
        <v>1</v>
      </c>
      <c r="D418" s="126">
        <v>4</v>
      </c>
      <c r="E418" s="126">
        <v>12</v>
      </c>
      <c r="F418" s="126">
        <v>2</v>
      </c>
      <c r="G418" s="126">
        <v>7</v>
      </c>
      <c r="H418" s="126">
        <v>2016</v>
      </c>
      <c r="I418" s="126">
        <v>2050</v>
      </c>
      <c r="J418" s="127">
        <v>1.0867</v>
      </c>
      <c r="K418" s="127">
        <v>1.0682</v>
      </c>
      <c r="L418" s="127">
        <v>0.71750000000000003</v>
      </c>
      <c r="M418" s="127">
        <v>0.81489999999999996</v>
      </c>
      <c r="N418" s="127">
        <v>0.87180000000000002</v>
      </c>
      <c r="O418" s="127">
        <v>1.0538000000000001</v>
      </c>
      <c r="P418" s="126">
        <v>6395</v>
      </c>
      <c r="Q418" s="128">
        <f t="array" ref="Q418">SUM(IF(($S418&gt;=4)*($C418='TaxCred&amp;Subs'!$D$123:$D$127)*($H418='TaxCred&amp;Subs'!$C$123:$C$127)*($H418&lt;='TaxCred&amp;Subs'!$C$129),'TaxCred&amp;Subs'!$E$123:$E$127,0))</f>
        <v>0</v>
      </c>
      <c r="R418" s="174">
        <v>0</v>
      </c>
      <c r="S418" s="126">
        <v>3</v>
      </c>
      <c r="T418" s="126" t="s">
        <v>247</v>
      </c>
      <c r="U418" s="158"/>
      <c r="V418" s="153" t="str">
        <f t="array" ref="V418">INDEX(xlRTCLNAME,MATCH(1,(xlRTCLENDU=1)*(xlRTCLEQCL=$D418),0))</f>
        <v>NG_RAD</v>
      </c>
      <c r="W418" s="153" t="str">
        <f t="array" ref="W418">INDEX(xlRTCLNAME,MATCH(1,(xlRTCLENDU=2)*(xlRTCLEQCL=$F418),0))</f>
        <v>CENT_AIR</v>
      </c>
      <c r="X418" s="153" t="str">
        <f t="array" ref="X418">INDEX(xlRTTYNAME,MATCH(1,(xlRTTYENDU=1)*(xlRTTYEQCL=$D418)*(xlRTEQTYPE=$E418),0))</f>
        <v>NG_RAD3</v>
      </c>
      <c r="Y418" s="153" t="str">
        <f t="array" ref="Y418">INDEX(xlRTTYNAME,MATCH(1,(xlRTTYENDU=2)*(xlRTTYEQCL=$F418)*(xlRTEQTYPE=$G418),0))</f>
        <v>CENT_AIR3</v>
      </c>
    </row>
    <row r="419" spans="2:25" x14ac:dyDescent="0.2">
      <c r="B419" s="126">
        <v>8</v>
      </c>
      <c r="C419" s="126">
        <v>1</v>
      </c>
      <c r="D419" s="126">
        <v>4</v>
      </c>
      <c r="E419" s="126">
        <v>12</v>
      </c>
      <c r="F419" s="126">
        <v>2</v>
      </c>
      <c r="G419" s="126">
        <v>7</v>
      </c>
      <c r="H419" s="126">
        <v>2016</v>
      </c>
      <c r="I419" s="126">
        <v>2050</v>
      </c>
      <c r="J419" s="127">
        <v>1.0820000000000001</v>
      </c>
      <c r="K419" s="127">
        <v>1.0832999999999999</v>
      </c>
      <c r="L419" s="127">
        <v>0.58379999999999999</v>
      </c>
      <c r="M419" s="127">
        <v>0.79630000000000001</v>
      </c>
      <c r="N419" s="127">
        <v>0.86439999999999995</v>
      </c>
      <c r="O419" s="127">
        <v>1.0538000000000001</v>
      </c>
      <c r="P419" s="126">
        <v>10367</v>
      </c>
      <c r="Q419" s="128">
        <f t="array" ref="Q419">SUM(IF(($S419&gt;=4)*($C419='TaxCred&amp;Subs'!$D$123:$D$127)*($H419='TaxCred&amp;Subs'!$C$123:$C$127)*($H419&lt;='TaxCred&amp;Subs'!$C$129),'TaxCred&amp;Subs'!$E$123:$E$127,0))</f>
        <v>0</v>
      </c>
      <c r="R419" s="174">
        <v>0</v>
      </c>
      <c r="S419" s="126">
        <v>3</v>
      </c>
      <c r="T419" s="126" t="s">
        <v>247</v>
      </c>
      <c r="U419" s="158"/>
      <c r="V419" s="153" t="str">
        <f t="array" ref="V419">INDEX(xlRTCLNAME,MATCH(1,(xlRTCLENDU=1)*(xlRTCLEQCL=$D419),0))</f>
        <v>NG_RAD</v>
      </c>
      <c r="W419" s="153" t="str">
        <f t="array" ref="W419">INDEX(xlRTCLNAME,MATCH(1,(xlRTCLENDU=2)*(xlRTCLEQCL=$F419),0))</f>
        <v>CENT_AIR</v>
      </c>
      <c r="X419" s="153" t="str">
        <f t="array" ref="X419">INDEX(xlRTTYNAME,MATCH(1,(xlRTTYENDU=1)*(xlRTTYEQCL=$D419)*(xlRTEQTYPE=$E419),0))</f>
        <v>NG_RAD3</v>
      </c>
      <c r="Y419" s="153" t="str">
        <f t="array" ref="Y419">INDEX(xlRTTYNAME,MATCH(1,(xlRTTYENDU=2)*(xlRTTYEQCL=$F419)*(xlRTEQTYPE=$G419),0))</f>
        <v>CENT_AIR3</v>
      </c>
    </row>
    <row r="420" spans="2:25" x14ac:dyDescent="0.2">
      <c r="B420" s="126">
        <v>9</v>
      </c>
      <c r="C420" s="126">
        <v>1</v>
      </c>
      <c r="D420" s="126">
        <v>4</v>
      </c>
      <c r="E420" s="126">
        <v>12</v>
      </c>
      <c r="F420" s="126">
        <v>2</v>
      </c>
      <c r="G420" s="126">
        <v>7</v>
      </c>
      <c r="H420" s="126">
        <v>2016</v>
      </c>
      <c r="I420" s="126">
        <v>2050</v>
      </c>
      <c r="J420" s="127">
        <v>1.0414000000000001</v>
      </c>
      <c r="K420" s="127">
        <v>1.07</v>
      </c>
      <c r="L420" s="127">
        <v>0.89259999999999995</v>
      </c>
      <c r="M420" s="127">
        <v>0.90590000000000004</v>
      </c>
      <c r="N420" s="127">
        <v>1.026</v>
      </c>
      <c r="O420" s="127">
        <v>1.0538000000000001</v>
      </c>
      <c r="P420" s="126">
        <v>10115</v>
      </c>
      <c r="Q420" s="128">
        <f t="array" ref="Q420">SUM(IF(($S420&gt;=4)*($C420='TaxCred&amp;Subs'!$D$123:$D$127)*($H420='TaxCred&amp;Subs'!$C$123:$C$127)*($H420&lt;='TaxCred&amp;Subs'!$C$129),'TaxCred&amp;Subs'!$E$123:$E$127,0))</f>
        <v>0</v>
      </c>
      <c r="R420" s="174">
        <v>0</v>
      </c>
      <c r="S420" s="126">
        <v>3</v>
      </c>
      <c r="T420" s="126" t="s">
        <v>247</v>
      </c>
      <c r="U420" s="158"/>
      <c r="V420" s="153" t="str">
        <f t="array" ref="V420">INDEX(xlRTCLNAME,MATCH(1,(xlRTCLENDU=1)*(xlRTCLEQCL=$D420),0))</f>
        <v>NG_RAD</v>
      </c>
      <c r="W420" s="153" t="str">
        <f t="array" ref="W420">INDEX(xlRTCLNAME,MATCH(1,(xlRTCLENDU=2)*(xlRTCLEQCL=$F420),0))</f>
        <v>CENT_AIR</v>
      </c>
      <c r="X420" s="153" t="str">
        <f t="array" ref="X420">INDEX(xlRTTYNAME,MATCH(1,(xlRTTYENDU=1)*(xlRTTYEQCL=$D420)*(xlRTEQTYPE=$E420),0))</f>
        <v>NG_RAD3</v>
      </c>
      <c r="Y420" s="153" t="str">
        <f t="array" ref="Y420">INDEX(xlRTTYNAME,MATCH(1,(xlRTTYENDU=2)*(xlRTTYEQCL=$F420)*(xlRTEQTYPE=$G420),0))</f>
        <v>CENT_AIR3</v>
      </c>
    </row>
    <row r="421" spans="2:25" x14ac:dyDescent="0.2">
      <c r="B421" s="129">
        <v>1</v>
      </c>
      <c r="C421" s="129">
        <v>1</v>
      </c>
      <c r="D421" s="129">
        <v>5</v>
      </c>
      <c r="E421" s="129">
        <v>16</v>
      </c>
      <c r="F421" s="129">
        <v>2</v>
      </c>
      <c r="G421" s="129">
        <v>7</v>
      </c>
      <c r="H421" s="129">
        <v>2016</v>
      </c>
      <c r="I421" s="129">
        <v>2050</v>
      </c>
      <c r="J421" s="130">
        <v>1.0309999999999999</v>
      </c>
      <c r="K421" s="130">
        <v>1.0667</v>
      </c>
      <c r="L421" s="130">
        <v>0.57230000000000003</v>
      </c>
      <c r="M421" s="130">
        <v>0.95909999999999995</v>
      </c>
      <c r="N421" s="130">
        <v>0.79790000000000005</v>
      </c>
      <c r="O421" s="130">
        <v>1.0538000000000001</v>
      </c>
      <c r="P421" s="129">
        <v>10557</v>
      </c>
      <c r="Q421" s="128">
        <f t="array" ref="Q421">SUM(IF(($S421&gt;=4)*($C421='TaxCred&amp;Subs'!$D$123:$D$127)*($H421='TaxCred&amp;Subs'!$C$123:$C$127)*($H421&lt;='TaxCred&amp;Subs'!$C$129),'TaxCred&amp;Subs'!$E$123:$E$127,0))</f>
        <v>0</v>
      </c>
      <c r="R421" s="174">
        <v>0</v>
      </c>
      <c r="S421" s="129">
        <v>3</v>
      </c>
      <c r="T421" s="129" t="s">
        <v>247</v>
      </c>
      <c r="U421" s="155" t="s">
        <v>235</v>
      </c>
      <c r="V421" s="153" t="str">
        <f t="array" ref="V421">INDEX(xlRTCLNAME,MATCH(1,(xlRTCLENDU=1)*(xlRTCLEQCL=$D421),0))</f>
        <v>KERO_FA</v>
      </c>
      <c r="W421" s="153" t="str">
        <f t="array" ref="W421">INDEX(xlRTCLNAME,MATCH(1,(xlRTCLENDU=2)*(xlRTCLEQCL=$F421),0))</f>
        <v>CENT_AIR</v>
      </c>
      <c r="X421" s="153" t="str">
        <f t="array" ref="X421">INDEX(xlRTTYNAME,MATCH(1,(xlRTTYENDU=1)*(xlRTTYEQCL=$D421)*(xlRTEQTYPE=$E421),0))</f>
        <v>KERO_FA3</v>
      </c>
      <c r="Y421" s="153" t="str">
        <f t="array" ref="Y421">INDEX(xlRTTYNAME,MATCH(1,(xlRTTYENDU=2)*(xlRTTYEQCL=$F421)*(xlRTEQTYPE=$G421),0))</f>
        <v>CENT_AIR3</v>
      </c>
    </row>
    <row r="422" spans="2:25" x14ac:dyDescent="0.2">
      <c r="B422" s="129">
        <v>2</v>
      </c>
      <c r="C422" s="129">
        <v>1</v>
      </c>
      <c r="D422" s="129">
        <v>5</v>
      </c>
      <c r="E422" s="129">
        <v>16</v>
      </c>
      <c r="F422" s="129">
        <v>2</v>
      </c>
      <c r="G422" s="129">
        <v>7</v>
      </c>
      <c r="H422" s="129">
        <v>2016</v>
      </c>
      <c r="I422" s="129">
        <v>2050</v>
      </c>
      <c r="J422" s="130">
        <v>1.0772999999999999</v>
      </c>
      <c r="K422" s="130">
        <v>1.0758000000000001</v>
      </c>
      <c r="L422" s="130">
        <v>0.6431</v>
      </c>
      <c r="M422" s="130">
        <v>0.84060000000000001</v>
      </c>
      <c r="N422" s="130">
        <v>0.93169999999999997</v>
      </c>
      <c r="O422" s="130">
        <v>1.0538000000000001</v>
      </c>
      <c r="P422" s="129">
        <v>10592</v>
      </c>
      <c r="Q422" s="128">
        <f t="array" ref="Q422">SUM(IF(($S422&gt;=4)*($C422='TaxCred&amp;Subs'!$D$123:$D$127)*($H422='TaxCred&amp;Subs'!$C$123:$C$127)*($H422&lt;='TaxCred&amp;Subs'!$C$129),'TaxCred&amp;Subs'!$E$123:$E$127,0))</f>
        <v>0</v>
      </c>
      <c r="R422" s="174">
        <v>0</v>
      </c>
      <c r="S422" s="129">
        <v>3</v>
      </c>
      <c r="T422" s="129" t="s">
        <v>247</v>
      </c>
      <c r="U422" s="155" t="s">
        <v>235</v>
      </c>
      <c r="V422" s="153" t="str">
        <f t="array" ref="V422">INDEX(xlRTCLNAME,MATCH(1,(xlRTCLENDU=1)*(xlRTCLEQCL=$D422),0))</f>
        <v>KERO_FA</v>
      </c>
      <c r="W422" s="153" t="str">
        <f t="array" ref="W422">INDEX(xlRTCLNAME,MATCH(1,(xlRTCLENDU=2)*(xlRTCLEQCL=$F422),0))</f>
        <v>CENT_AIR</v>
      </c>
      <c r="X422" s="153" t="str">
        <f t="array" ref="X422">INDEX(xlRTTYNAME,MATCH(1,(xlRTTYENDU=1)*(xlRTTYEQCL=$D422)*(xlRTEQTYPE=$E422),0))</f>
        <v>KERO_FA3</v>
      </c>
      <c r="Y422" s="153" t="str">
        <f t="array" ref="Y422">INDEX(xlRTTYNAME,MATCH(1,(xlRTTYENDU=2)*(xlRTTYEQCL=$F422)*(xlRTEQTYPE=$G422),0))</f>
        <v>CENT_AIR3</v>
      </c>
    </row>
    <row r="423" spans="2:25" x14ac:dyDescent="0.2">
      <c r="B423" s="129">
        <v>3</v>
      </c>
      <c r="C423" s="129">
        <v>1</v>
      </c>
      <c r="D423" s="129">
        <v>5</v>
      </c>
      <c r="E423" s="129">
        <v>16</v>
      </c>
      <c r="F423" s="129">
        <v>2</v>
      </c>
      <c r="G423" s="129">
        <v>7</v>
      </c>
      <c r="H423" s="129">
        <v>2016</v>
      </c>
      <c r="I423" s="129">
        <v>2050</v>
      </c>
      <c r="J423" s="130">
        <v>1.0842000000000001</v>
      </c>
      <c r="K423" s="130">
        <v>1.0577000000000001</v>
      </c>
      <c r="L423" s="130">
        <v>0.52149999999999996</v>
      </c>
      <c r="M423" s="130">
        <v>0.9194</v>
      </c>
      <c r="N423" s="130">
        <v>0.91220000000000001</v>
      </c>
      <c r="O423" s="130">
        <v>1.0538000000000001</v>
      </c>
      <c r="P423" s="129">
        <v>9784</v>
      </c>
      <c r="Q423" s="128">
        <f t="array" ref="Q423">SUM(IF(($S423&gt;=4)*($C423='TaxCred&amp;Subs'!$D$123:$D$127)*($H423='TaxCred&amp;Subs'!$C$123:$C$127)*($H423&lt;='TaxCred&amp;Subs'!$C$129),'TaxCred&amp;Subs'!$E$123:$E$127,0))</f>
        <v>0</v>
      </c>
      <c r="R423" s="174">
        <v>0</v>
      </c>
      <c r="S423" s="129">
        <v>3</v>
      </c>
      <c r="T423" s="129" t="s">
        <v>247</v>
      </c>
      <c r="U423" s="155" t="s">
        <v>235</v>
      </c>
      <c r="V423" s="153" t="str">
        <f t="array" ref="V423">INDEX(xlRTCLNAME,MATCH(1,(xlRTCLENDU=1)*(xlRTCLEQCL=$D423),0))</f>
        <v>KERO_FA</v>
      </c>
      <c r="W423" s="153" t="str">
        <f t="array" ref="W423">INDEX(xlRTCLNAME,MATCH(1,(xlRTCLENDU=2)*(xlRTCLEQCL=$F423),0))</f>
        <v>CENT_AIR</v>
      </c>
      <c r="X423" s="153" t="str">
        <f t="array" ref="X423">INDEX(xlRTTYNAME,MATCH(1,(xlRTTYENDU=1)*(xlRTTYEQCL=$D423)*(xlRTEQTYPE=$E423),0))</f>
        <v>KERO_FA3</v>
      </c>
      <c r="Y423" s="153" t="str">
        <f t="array" ref="Y423">INDEX(xlRTTYNAME,MATCH(1,(xlRTTYENDU=2)*(xlRTTYEQCL=$F423)*(xlRTEQTYPE=$G423),0))</f>
        <v>CENT_AIR3</v>
      </c>
    </row>
    <row r="424" spans="2:25" x14ac:dyDescent="0.2">
      <c r="B424" s="129">
        <v>4</v>
      </c>
      <c r="C424" s="129">
        <v>1</v>
      </c>
      <c r="D424" s="129">
        <v>5</v>
      </c>
      <c r="E424" s="129">
        <v>16</v>
      </c>
      <c r="F424" s="129">
        <v>2</v>
      </c>
      <c r="G424" s="129">
        <v>7</v>
      </c>
      <c r="H424" s="129">
        <v>2016</v>
      </c>
      <c r="I424" s="129">
        <v>2050</v>
      </c>
      <c r="J424" s="130">
        <v>1.0342</v>
      </c>
      <c r="K424" s="130">
        <v>1.0769</v>
      </c>
      <c r="L424" s="130">
        <v>0.53280000000000005</v>
      </c>
      <c r="M424" s="130">
        <v>0.86580000000000001</v>
      </c>
      <c r="N424" s="130">
        <v>0.85760000000000003</v>
      </c>
      <c r="O424" s="130">
        <v>1.0538000000000001</v>
      </c>
      <c r="P424" s="129">
        <v>7922</v>
      </c>
      <c r="Q424" s="128">
        <f t="array" ref="Q424">SUM(IF(($S424&gt;=4)*($C424='TaxCred&amp;Subs'!$D$123:$D$127)*($H424='TaxCred&amp;Subs'!$C$123:$C$127)*($H424&lt;='TaxCred&amp;Subs'!$C$129),'TaxCred&amp;Subs'!$E$123:$E$127,0))</f>
        <v>0</v>
      </c>
      <c r="R424" s="174">
        <v>0</v>
      </c>
      <c r="S424" s="129">
        <v>3</v>
      </c>
      <c r="T424" s="129" t="s">
        <v>247</v>
      </c>
      <c r="U424" s="155" t="s">
        <v>235</v>
      </c>
      <c r="V424" s="153" t="str">
        <f t="array" ref="V424">INDEX(xlRTCLNAME,MATCH(1,(xlRTCLENDU=1)*(xlRTCLEQCL=$D424),0))</f>
        <v>KERO_FA</v>
      </c>
      <c r="W424" s="153" t="str">
        <f t="array" ref="W424">INDEX(xlRTCLNAME,MATCH(1,(xlRTCLENDU=2)*(xlRTCLEQCL=$F424),0))</f>
        <v>CENT_AIR</v>
      </c>
      <c r="X424" s="153" t="str">
        <f t="array" ref="X424">INDEX(xlRTTYNAME,MATCH(1,(xlRTTYENDU=1)*(xlRTTYEQCL=$D424)*(xlRTEQTYPE=$E424),0))</f>
        <v>KERO_FA3</v>
      </c>
      <c r="Y424" s="153" t="str">
        <f t="array" ref="Y424">INDEX(xlRTTYNAME,MATCH(1,(xlRTTYENDU=2)*(xlRTTYEQCL=$F424)*(xlRTEQTYPE=$G424),0))</f>
        <v>CENT_AIR3</v>
      </c>
    </row>
    <row r="425" spans="2:25" x14ac:dyDescent="0.2">
      <c r="B425" s="129">
        <v>5</v>
      </c>
      <c r="C425" s="129">
        <v>1</v>
      </c>
      <c r="D425" s="129">
        <v>5</v>
      </c>
      <c r="E425" s="129">
        <v>16</v>
      </c>
      <c r="F425" s="129">
        <v>2</v>
      </c>
      <c r="G425" s="129">
        <v>7</v>
      </c>
      <c r="H425" s="129">
        <v>2016</v>
      </c>
      <c r="I425" s="129">
        <v>2050</v>
      </c>
      <c r="J425" s="130">
        <v>1.0847</v>
      </c>
      <c r="K425" s="130">
        <v>1.056</v>
      </c>
      <c r="L425" s="130">
        <v>0.64970000000000006</v>
      </c>
      <c r="M425" s="130">
        <v>0.88019999999999998</v>
      </c>
      <c r="N425" s="130">
        <v>0.76280000000000003</v>
      </c>
      <c r="O425" s="130">
        <v>1.0538000000000001</v>
      </c>
      <c r="P425" s="129">
        <v>7497</v>
      </c>
      <c r="Q425" s="128">
        <f t="array" ref="Q425">SUM(IF(($S425&gt;=4)*($C425='TaxCred&amp;Subs'!$D$123:$D$127)*($H425='TaxCred&amp;Subs'!$C$123:$C$127)*($H425&lt;='TaxCred&amp;Subs'!$C$129),'TaxCred&amp;Subs'!$E$123:$E$127,0))</f>
        <v>0</v>
      </c>
      <c r="R425" s="174">
        <v>0</v>
      </c>
      <c r="S425" s="129">
        <v>3</v>
      </c>
      <c r="T425" s="129" t="s">
        <v>247</v>
      </c>
      <c r="U425" s="155" t="s">
        <v>235</v>
      </c>
      <c r="V425" s="153" t="str">
        <f t="array" ref="V425">INDEX(xlRTCLNAME,MATCH(1,(xlRTCLENDU=1)*(xlRTCLEQCL=$D425),0))</f>
        <v>KERO_FA</v>
      </c>
      <c r="W425" s="153" t="str">
        <f t="array" ref="W425">INDEX(xlRTCLNAME,MATCH(1,(xlRTCLENDU=2)*(xlRTCLEQCL=$F425),0))</f>
        <v>CENT_AIR</v>
      </c>
      <c r="X425" s="153" t="str">
        <f t="array" ref="X425">INDEX(xlRTTYNAME,MATCH(1,(xlRTTYENDU=1)*(xlRTTYEQCL=$D425)*(xlRTEQTYPE=$E425),0))</f>
        <v>KERO_FA3</v>
      </c>
      <c r="Y425" s="153" t="str">
        <f t="array" ref="Y425">INDEX(xlRTTYNAME,MATCH(1,(xlRTTYENDU=2)*(xlRTTYEQCL=$F425)*(xlRTEQTYPE=$G425),0))</f>
        <v>CENT_AIR3</v>
      </c>
    </row>
    <row r="426" spans="2:25" x14ac:dyDescent="0.2">
      <c r="B426" s="129">
        <v>6</v>
      </c>
      <c r="C426" s="129">
        <v>1</v>
      </c>
      <c r="D426" s="129">
        <v>5</v>
      </c>
      <c r="E426" s="129">
        <v>16</v>
      </c>
      <c r="F426" s="129">
        <v>2</v>
      </c>
      <c r="G426" s="129">
        <v>7</v>
      </c>
      <c r="H426" s="129">
        <v>2016</v>
      </c>
      <c r="I426" s="129">
        <v>2050</v>
      </c>
      <c r="J426" s="130">
        <v>1.0907</v>
      </c>
      <c r="K426" s="130">
        <v>1.0603</v>
      </c>
      <c r="L426" s="130">
        <v>0.77010000000000001</v>
      </c>
      <c r="M426" s="130">
        <v>0.88619999999999999</v>
      </c>
      <c r="N426" s="130">
        <v>0.89139999999999997</v>
      </c>
      <c r="O426" s="130">
        <v>1.0538000000000001</v>
      </c>
      <c r="P426" s="129">
        <v>6793</v>
      </c>
      <c r="Q426" s="128">
        <f t="array" ref="Q426">SUM(IF(($S426&gt;=4)*($C426='TaxCred&amp;Subs'!$D$123:$D$127)*($H426='TaxCred&amp;Subs'!$C$123:$C$127)*($H426&lt;='TaxCred&amp;Subs'!$C$129),'TaxCred&amp;Subs'!$E$123:$E$127,0))</f>
        <v>0</v>
      </c>
      <c r="R426" s="174">
        <v>0</v>
      </c>
      <c r="S426" s="129">
        <v>3</v>
      </c>
      <c r="T426" s="129" t="s">
        <v>247</v>
      </c>
      <c r="U426" s="155" t="s">
        <v>235</v>
      </c>
      <c r="V426" s="153" t="str">
        <f t="array" ref="V426">INDEX(xlRTCLNAME,MATCH(1,(xlRTCLENDU=1)*(xlRTCLEQCL=$D426),0))</f>
        <v>KERO_FA</v>
      </c>
      <c r="W426" s="153" t="str">
        <f t="array" ref="W426">INDEX(xlRTCLNAME,MATCH(1,(xlRTCLENDU=2)*(xlRTCLEQCL=$F426),0))</f>
        <v>CENT_AIR</v>
      </c>
      <c r="X426" s="153" t="str">
        <f t="array" ref="X426">INDEX(xlRTTYNAME,MATCH(1,(xlRTTYENDU=1)*(xlRTTYEQCL=$D426)*(xlRTEQTYPE=$E426),0))</f>
        <v>KERO_FA3</v>
      </c>
      <c r="Y426" s="153" t="str">
        <f t="array" ref="Y426">INDEX(xlRTTYNAME,MATCH(1,(xlRTTYENDU=2)*(xlRTTYEQCL=$F426)*(xlRTEQTYPE=$G426),0))</f>
        <v>CENT_AIR3</v>
      </c>
    </row>
    <row r="427" spans="2:25" x14ac:dyDescent="0.2">
      <c r="B427" s="129">
        <v>7</v>
      </c>
      <c r="C427" s="129">
        <v>1</v>
      </c>
      <c r="D427" s="129">
        <v>5</v>
      </c>
      <c r="E427" s="129">
        <v>16</v>
      </c>
      <c r="F427" s="129">
        <v>2</v>
      </c>
      <c r="G427" s="129">
        <v>7</v>
      </c>
      <c r="H427" s="129">
        <v>2016</v>
      </c>
      <c r="I427" s="129">
        <v>2050</v>
      </c>
      <c r="J427" s="130">
        <v>1.0885</v>
      </c>
      <c r="K427" s="130">
        <v>1.0575000000000001</v>
      </c>
      <c r="L427" s="130">
        <v>0.79630000000000001</v>
      </c>
      <c r="M427" s="130">
        <v>0.80589999999999995</v>
      </c>
      <c r="N427" s="130">
        <v>0.872</v>
      </c>
      <c r="O427" s="130">
        <v>1.0538000000000001</v>
      </c>
      <c r="P427" s="129">
        <v>6363</v>
      </c>
      <c r="Q427" s="128">
        <f t="array" ref="Q427">SUM(IF(($S427&gt;=4)*($C427='TaxCred&amp;Subs'!$D$123:$D$127)*($H427='TaxCred&amp;Subs'!$C$123:$C$127)*($H427&lt;='TaxCred&amp;Subs'!$C$129),'TaxCred&amp;Subs'!$E$123:$E$127,0))</f>
        <v>0</v>
      </c>
      <c r="R427" s="174">
        <v>0</v>
      </c>
      <c r="S427" s="129">
        <v>3</v>
      </c>
      <c r="T427" s="129" t="s">
        <v>247</v>
      </c>
      <c r="U427" s="155" t="s">
        <v>235</v>
      </c>
      <c r="V427" s="153" t="str">
        <f t="array" ref="V427">INDEX(xlRTCLNAME,MATCH(1,(xlRTCLENDU=1)*(xlRTCLEQCL=$D427),0))</f>
        <v>KERO_FA</v>
      </c>
      <c r="W427" s="153" t="str">
        <f t="array" ref="W427">INDEX(xlRTCLNAME,MATCH(1,(xlRTCLENDU=2)*(xlRTCLEQCL=$F427),0))</f>
        <v>CENT_AIR</v>
      </c>
      <c r="X427" s="153" t="str">
        <f t="array" ref="X427">INDEX(xlRTTYNAME,MATCH(1,(xlRTTYENDU=1)*(xlRTTYEQCL=$D427)*(xlRTEQTYPE=$E427),0))</f>
        <v>KERO_FA3</v>
      </c>
      <c r="Y427" s="153" t="str">
        <f t="array" ref="Y427">INDEX(xlRTTYNAME,MATCH(1,(xlRTTYENDU=2)*(xlRTTYEQCL=$F427)*(xlRTEQTYPE=$G427),0))</f>
        <v>CENT_AIR3</v>
      </c>
    </row>
    <row r="428" spans="2:25" x14ac:dyDescent="0.2">
      <c r="B428" s="129">
        <v>8</v>
      </c>
      <c r="C428" s="129">
        <v>1</v>
      </c>
      <c r="D428" s="129">
        <v>5</v>
      </c>
      <c r="E428" s="129">
        <v>16</v>
      </c>
      <c r="F428" s="129">
        <v>2</v>
      </c>
      <c r="G428" s="129">
        <v>7</v>
      </c>
      <c r="H428" s="129">
        <v>2016</v>
      </c>
      <c r="I428" s="129">
        <v>2050</v>
      </c>
      <c r="J428" s="130">
        <v>1.0838000000000001</v>
      </c>
      <c r="K428" s="130">
        <v>1.0832999999999999</v>
      </c>
      <c r="L428" s="130">
        <v>0.57709999999999995</v>
      </c>
      <c r="M428" s="130">
        <v>0.80369999999999997</v>
      </c>
      <c r="N428" s="130">
        <v>0.86950000000000005</v>
      </c>
      <c r="O428" s="130">
        <v>1.0538000000000001</v>
      </c>
      <c r="P428" s="129">
        <v>10442</v>
      </c>
      <c r="Q428" s="128">
        <f t="array" ref="Q428">SUM(IF(($S428&gt;=4)*($C428='TaxCred&amp;Subs'!$D$123:$D$127)*($H428='TaxCred&amp;Subs'!$C$123:$C$127)*($H428&lt;='TaxCred&amp;Subs'!$C$129),'TaxCred&amp;Subs'!$E$123:$E$127,0))</f>
        <v>0</v>
      </c>
      <c r="R428" s="174">
        <v>0</v>
      </c>
      <c r="S428" s="129">
        <v>3</v>
      </c>
      <c r="T428" s="129" t="s">
        <v>247</v>
      </c>
      <c r="U428" s="155" t="s">
        <v>235</v>
      </c>
      <c r="V428" s="153" t="str">
        <f t="array" ref="V428">INDEX(xlRTCLNAME,MATCH(1,(xlRTCLENDU=1)*(xlRTCLEQCL=$D428),0))</f>
        <v>KERO_FA</v>
      </c>
      <c r="W428" s="153" t="str">
        <f t="array" ref="W428">INDEX(xlRTCLNAME,MATCH(1,(xlRTCLENDU=2)*(xlRTCLEQCL=$F428),0))</f>
        <v>CENT_AIR</v>
      </c>
      <c r="X428" s="153" t="str">
        <f t="array" ref="X428">INDEX(xlRTTYNAME,MATCH(1,(xlRTTYENDU=1)*(xlRTTYEQCL=$D428)*(xlRTEQTYPE=$E428),0))</f>
        <v>KERO_FA3</v>
      </c>
      <c r="Y428" s="153" t="str">
        <f t="array" ref="Y428">INDEX(xlRTTYNAME,MATCH(1,(xlRTTYENDU=2)*(xlRTTYEQCL=$F428)*(xlRTEQTYPE=$G428),0))</f>
        <v>CENT_AIR3</v>
      </c>
    </row>
    <row r="429" spans="2:25" x14ac:dyDescent="0.2">
      <c r="B429" s="129">
        <v>9</v>
      </c>
      <c r="C429" s="129">
        <v>1</v>
      </c>
      <c r="D429" s="129">
        <v>5</v>
      </c>
      <c r="E429" s="129">
        <v>16</v>
      </c>
      <c r="F429" s="129">
        <v>2</v>
      </c>
      <c r="G429" s="129">
        <v>7</v>
      </c>
      <c r="H429" s="129">
        <v>2016</v>
      </c>
      <c r="I429" s="129">
        <v>2050</v>
      </c>
      <c r="J429" s="130">
        <v>1.0790999999999999</v>
      </c>
      <c r="K429" s="130">
        <v>1.0722</v>
      </c>
      <c r="L429" s="130">
        <v>0.87480000000000002</v>
      </c>
      <c r="M429" s="130">
        <v>0.90590000000000004</v>
      </c>
      <c r="N429" s="130">
        <v>1.0336000000000001</v>
      </c>
      <c r="O429" s="130">
        <v>1.0538000000000001</v>
      </c>
      <c r="P429" s="129">
        <v>10205</v>
      </c>
      <c r="Q429" s="128">
        <f t="array" ref="Q429">SUM(IF(($S429&gt;=4)*($C429='TaxCred&amp;Subs'!$D$123:$D$127)*($H429='TaxCred&amp;Subs'!$C$123:$C$127)*($H429&lt;='TaxCred&amp;Subs'!$C$129),'TaxCred&amp;Subs'!$E$123:$E$127,0))</f>
        <v>0</v>
      </c>
      <c r="R429" s="174">
        <v>0</v>
      </c>
      <c r="S429" s="129">
        <v>3</v>
      </c>
      <c r="T429" s="129" t="s">
        <v>247</v>
      </c>
      <c r="U429" s="155" t="s">
        <v>235</v>
      </c>
      <c r="V429" s="153" t="str">
        <f t="array" ref="V429">INDEX(xlRTCLNAME,MATCH(1,(xlRTCLENDU=1)*(xlRTCLEQCL=$D429),0))</f>
        <v>KERO_FA</v>
      </c>
      <c r="W429" s="153" t="str">
        <f t="array" ref="W429">INDEX(xlRTCLNAME,MATCH(1,(xlRTCLENDU=2)*(xlRTCLEQCL=$F429),0))</f>
        <v>CENT_AIR</v>
      </c>
      <c r="X429" s="153" t="str">
        <f t="array" ref="X429">INDEX(xlRTTYNAME,MATCH(1,(xlRTTYENDU=1)*(xlRTTYEQCL=$D429)*(xlRTEQTYPE=$E429),0))</f>
        <v>KERO_FA3</v>
      </c>
      <c r="Y429" s="153" t="str">
        <f t="array" ref="Y429">INDEX(xlRTTYNAME,MATCH(1,(xlRTTYENDU=2)*(xlRTTYEQCL=$F429)*(xlRTEQTYPE=$G429),0))</f>
        <v>CENT_AIR3</v>
      </c>
    </row>
    <row r="430" spans="2:25" x14ac:dyDescent="0.2">
      <c r="B430" s="126">
        <v>1</v>
      </c>
      <c r="C430" s="126">
        <v>1</v>
      </c>
      <c r="D430" s="126">
        <v>6</v>
      </c>
      <c r="E430" s="126">
        <v>20</v>
      </c>
      <c r="F430" s="126">
        <v>2</v>
      </c>
      <c r="G430" s="126">
        <v>7</v>
      </c>
      <c r="H430" s="126">
        <v>2016</v>
      </c>
      <c r="I430" s="126">
        <v>2050</v>
      </c>
      <c r="J430" s="127">
        <v>1.0803</v>
      </c>
      <c r="K430" s="127">
        <v>1.0667</v>
      </c>
      <c r="L430" s="127">
        <v>0.57279999999999998</v>
      </c>
      <c r="M430" s="127">
        <v>0.95909999999999995</v>
      </c>
      <c r="N430" s="127">
        <v>0.79790000000000005</v>
      </c>
      <c r="O430" s="127">
        <v>1.0538000000000001</v>
      </c>
      <c r="P430" s="126">
        <v>10850</v>
      </c>
      <c r="Q430" s="128">
        <f t="array" ref="Q430">SUM(IF(($S430&gt;=4)*($C430='TaxCred&amp;Subs'!$D$123:$D$127)*($H430='TaxCred&amp;Subs'!$C$123:$C$127)*($H430&lt;='TaxCred&amp;Subs'!$C$129),'TaxCred&amp;Subs'!$E$123:$E$127,0))</f>
        <v>0</v>
      </c>
      <c r="R430" s="174">
        <v>0</v>
      </c>
      <c r="S430" s="126">
        <v>3</v>
      </c>
      <c r="T430" s="126" t="s">
        <v>247</v>
      </c>
      <c r="U430" s="158"/>
      <c r="V430" s="153" t="str">
        <f t="array" ref="V430">INDEX(xlRTCLNAME,MATCH(1,(xlRTCLENDU=1)*(xlRTCLEQCL=$D430),0))</f>
        <v>LPG_FA</v>
      </c>
      <c r="W430" s="153" t="str">
        <f t="array" ref="W430">INDEX(xlRTCLNAME,MATCH(1,(xlRTCLENDU=2)*(xlRTCLEQCL=$F430),0))</f>
        <v>CENT_AIR</v>
      </c>
      <c r="X430" s="153" t="str">
        <f t="array" ref="X430">INDEX(xlRTTYNAME,MATCH(1,(xlRTTYENDU=1)*(xlRTTYEQCL=$D430)*(xlRTEQTYPE=$E430),0))</f>
        <v>LPG_FA3</v>
      </c>
      <c r="Y430" s="153" t="str">
        <f t="array" ref="Y430">INDEX(xlRTTYNAME,MATCH(1,(xlRTTYENDU=2)*(xlRTTYEQCL=$F430)*(xlRTEQTYPE=$G430),0))</f>
        <v>CENT_AIR3</v>
      </c>
    </row>
    <row r="431" spans="2:25" x14ac:dyDescent="0.2">
      <c r="B431" s="126">
        <v>2</v>
      </c>
      <c r="C431" s="126">
        <v>1</v>
      </c>
      <c r="D431" s="126">
        <v>6</v>
      </c>
      <c r="E431" s="126">
        <v>20</v>
      </c>
      <c r="F431" s="126">
        <v>2</v>
      </c>
      <c r="G431" s="126">
        <v>7</v>
      </c>
      <c r="H431" s="126">
        <v>2016</v>
      </c>
      <c r="I431" s="126">
        <v>2050</v>
      </c>
      <c r="J431" s="127">
        <v>1.0649</v>
      </c>
      <c r="K431" s="127">
        <v>1.0597000000000001</v>
      </c>
      <c r="L431" s="127">
        <v>0.6411</v>
      </c>
      <c r="M431" s="127">
        <v>0.84060000000000001</v>
      </c>
      <c r="N431" s="127">
        <v>0.93169999999999997</v>
      </c>
      <c r="O431" s="127">
        <v>1.0538000000000001</v>
      </c>
      <c r="P431" s="126">
        <v>10767</v>
      </c>
      <c r="Q431" s="128">
        <f t="array" ref="Q431">SUM(IF(($S431&gt;=4)*($C431='TaxCred&amp;Subs'!$D$123:$D$127)*($H431='TaxCred&amp;Subs'!$C$123:$C$127)*($H431&lt;='TaxCred&amp;Subs'!$C$129),'TaxCred&amp;Subs'!$E$123:$E$127,0))</f>
        <v>0</v>
      </c>
      <c r="R431" s="174">
        <v>0</v>
      </c>
      <c r="S431" s="126">
        <v>3</v>
      </c>
      <c r="T431" s="126" t="s">
        <v>247</v>
      </c>
      <c r="U431" s="158"/>
      <c r="V431" s="153" t="str">
        <f t="array" ref="V431">INDEX(xlRTCLNAME,MATCH(1,(xlRTCLENDU=1)*(xlRTCLEQCL=$D431),0))</f>
        <v>LPG_FA</v>
      </c>
      <c r="W431" s="153" t="str">
        <f t="array" ref="W431">INDEX(xlRTCLNAME,MATCH(1,(xlRTCLENDU=2)*(xlRTCLEQCL=$F431),0))</f>
        <v>CENT_AIR</v>
      </c>
      <c r="X431" s="153" t="str">
        <f t="array" ref="X431">INDEX(xlRTTYNAME,MATCH(1,(xlRTTYENDU=1)*(xlRTTYEQCL=$D431)*(xlRTEQTYPE=$E431),0))</f>
        <v>LPG_FA3</v>
      </c>
      <c r="Y431" s="153" t="str">
        <f t="array" ref="Y431">INDEX(xlRTTYNAME,MATCH(1,(xlRTTYENDU=2)*(xlRTTYEQCL=$F431)*(xlRTEQTYPE=$G431),0))</f>
        <v>CENT_AIR3</v>
      </c>
    </row>
    <row r="432" spans="2:25" x14ac:dyDescent="0.2">
      <c r="B432" s="126">
        <v>3</v>
      </c>
      <c r="C432" s="126">
        <v>1</v>
      </c>
      <c r="D432" s="126">
        <v>6</v>
      </c>
      <c r="E432" s="126">
        <v>20</v>
      </c>
      <c r="F432" s="126">
        <v>2</v>
      </c>
      <c r="G432" s="126">
        <v>7</v>
      </c>
      <c r="H432" s="126">
        <v>2016</v>
      </c>
      <c r="I432" s="126">
        <v>2050</v>
      </c>
      <c r="J432" s="127">
        <v>1.0469999999999999</v>
      </c>
      <c r="K432" s="127">
        <v>1.0769</v>
      </c>
      <c r="L432" s="127">
        <v>0.52969999999999995</v>
      </c>
      <c r="M432" s="127">
        <v>0.9194</v>
      </c>
      <c r="N432" s="127">
        <v>0.91600000000000004</v>
      </c>
      <c r="O432" s="127">
        <v>1.0538000000000001</v>
      </c>
      <c r="P432" s="126">
        <v>9671</v>
      </c>
      <c r="Q432" s="128">
        <f t="array" ref="Q432">SUM(IF(($S432&gt;=4)*($C432='TaxCred&amp;Subs'!$D$123:$D$127)*($H432='TaxCred&amp;Subs'!$C$123:$C$127)*($H432&lt;='TaxCred&amp;Subs'!$C$129),'TaxCred&amp;Subs'!$E$123:$E$127,0))</f>
        <v>0</v>
      </c>
      <c r="R432" s="174">
        <v>0</v>
      </c>
      <c r="S432" s="126">
        <v>3</v>
      </c>
      <c r="T432" s="126" t="s">
        <v>247</v>
      </c>
      <c r="U432" s="158"/>
      <c r="V432" s="153" t="str">
        <f t="array" ref="V432">INDEX(xlRTCLNAME,MATCH(1,(xlRTCLENDU=1)*(xlRTCLEQCL=$D432),0))</f>
        <v>LPG_FA</v>
      </c>
      <c r="W432" s="153" t="str">
        <f t="array" ref="W432">INDEX(xlRTCLNAME,MATCH(1,(xlRTCLENDU=2)*(xlRTCLEQCL=$F432),0))</f>
        <v>CENT_AIR</v>
      </c>
      <c r="X432" s="153" t="str">
        <f t="array" ref="X432">INDEX(xlRTTYNAME,MATCH(1,(xlRTTYENDU=1)*(xlRTTYEQCL=$D432)*(xlRTEQTYPE=$E432),0))</f>
        <v>LPG_FA3</v>
      </c>
      <c r="Y432" s="153" t="str">
        <f t="array" ref="Y432">INDEX(xlRTTYNAME,MATCH(1,(xlRTTYENDU=2)*(xlRTTYEQCL=$F432)*(xlRTEQTYPE=$G432),0))</f>
        <v>CENT_AIR3</v>
      </c>
    </row>
    <row r="433" spans="2:25" x14ac:dyDescent="0.2">
      <c r="B433" s="126">
        <v>4</v>
      </c>
      <c r="C433" s="126">
        <v>1</v>
      </c>
      <c r="D433" s="126">
        <v>6</v>
      </c>
      <c r="E433" s="126">
        <v>20</v>
      </c>
      <c r="F433" s="126">
        <v>2</v>
      </c>
      <c r="G433" s="126">
        <v>7</v>
      </c>
      <c r="H433" s="126">
        <v>2016</v>
      </c>
      <c r="I433" s="126">
        <v>2050</v>
      </c>
      <c r="J433" s="127">
        <v>1.0862000000000001</v>
      </c>
      <c r="K433" s="127">
        <v>1.0769</v>
      </c>
      <c r="L433" s="127">
        <v>0.53590000000000004</v>
      </c>
      <c r="M433" s="127">
        <v>0.85419999999999996</v>
      </c>
      <c r="N433" s="127">
        <v>0.85770000000000002</v>
      </c>
      <c r="O433" s="127">
        <v>1.0538000000000001</v>
      </c>
      <c r="P433" s="126">
        <v>7732</v>
      </c>
      <c r="Q433" s="128">
        <f t="array" ref="Q433">SUM(IF(($S433&gt;=4)*($C433='TaxCred&amp;Subs'!$D$123:$D$127)*($H433='TaxCred&amp;Subs'!$C$123:$C$127)*($H433&lt;='TaxCred&amp;Subs'!$C$129),'TaxCred&amp;Subs'!$E$123:$E$127,0))</f>
        <v>0</v>
      </c>
      <c r="R433" s="174">
        <v>0</v>
      </c>
      <c r="S433" s="126">
        <v>3</v>
      </c>
      <c r="T433" s="126" t="s">
        <v>247</v>
      </c>
      <c r="U433" s="158"/>
      <c r="V433" s="153" t="str">
        <f t="array" ref="V433">INDEX(xlRTCLNAME,MATCH(1,(xlRTCLENDU=1)*(xlRTCLEQCL=$D433),0))</f>
        <v>LPG_FA</v>
      </c>
      <c r="W433" s="153" t="str">
        <f t="array" ref="W433">INDEX(xlRTCLNAME,MATCH(1,(xlRTCLENDU=2)*(xlRTCLEQCL=$F433),0))</f>
        <v>CENT_AIR</v>
      </c>
      <c r="X433" s="153" t="str">
        <f t="array" ref="X433">INDEX(xlRTTYNAME,MATCH(1,(xlRTTYENDU=1)*(xlRTTYEQCL=$D433)*(xlRTEQTYPE=$E433),0))</f>
        <v>LPG_FA3</v>
      </c>
      <c r="Y433" s="153" t="str">
        <f t="array" ref="Y433">INDEX(xlRTTYNAME,MATCH(1,(xlRTTYENDU=2)*(xlRTTYEQCL=$F433)*(xlRTEQTYPE=$G433),0))</f>
        <v>CENT_AIR3</v>
      </c>
    </row>
    <row r="434" spans="2:25" x14ac:dyDescent="0.2">
      <c r="B434" s="126">
        <v>5</v>
      </c>
      <c r="C434" s="126">
        <v>1</v>
      </c>
      <c r="D434" s="126">
        <v>6</v>
      </c>
      <c r="E434" s="126">
        <v>20</v>
      </c>
      <c r="F434" s="126">
        <v>2</v>
      </c>
      <c r="G434" s="126">
        <v>7</v>
      </c>
      <c r="H434" s="126">
        <v>2016</v>
      </c>
      <c r="I434" s="126">
        <v>2050</v>
      </c>
      <c r="J434" s="127">
        <v>1.0849</v>
      </c>
      <c r="K434" s="127">
        <v>1.0471999999999999</v>
      </c>
      <c r="L434" s="127">
        <v>0.6915</v>
      </c>
      <c r="M434" s="127">
        <v>0.88759999999999994</v>
      </c>
      <c r="N434" s="127">
        <v>0.76180000000000003</v>
      </c>
      <c r="O434" s="127">
        <v>1.0538000000000001</v>
      </c>
      <c r="P434" s="126">
        <v>7112</v>
      </c>
      <c r="Q434" s="128">
        <f t="array" ref="Q434">SUM(IF(($S434&gt;=4)*($C434='TaxCred&amp;Subs'!$D$123:$D$127)*($H434='TaxCred&amp;Subs'!$C$123:$C$127)*($H434&lt;='TaxCred&amp;Subs'!$C$129),'TaxCred&amp;Subs'!$E$123:$E$127,0))</f>
        <v>0</v>
      </c>
      <c r="R434" s="174">
        <v>0</v>
      </c>
      <c r="S434" s="126">
        <v>3</v>
      </c>
      <c r="T434" s="126" t="s">
        <v>247</v>
      </c>
      <c r="U434" s="158"/>
      <c r="V434" s="153" t="str">
        <f t="array" ref="V434">INDEX(xlRTCLNAME,MATCH(1,(xlRTCLENDU=1)*(xlRTCLEQCL=$D434),0))</f>
        <v>LPG_FA</v>
      </c>
      <c r="W434" s="153" t="str">
        <f t="array" ref="W434">INDEX(xlRTCLNAME,MATCH(1,(xlRTCLENDU=2)*(xlRTCLEQCL=$F434),0))</f>
        <v>CENT_AIR</v>
      </c>
      <c r="X434" s="153" t="str">
        <f t="array" ref="X434">INDEX(xlRTTYNAME,MATCH(1,(xlRTTYENDU=1)*(xlRTTYEQCL=$D434)*(xlRTEQTYPE=$E434),0))</f>
        <v>LPG_FA3</v>
      </c>
      <c r="Y434" s="153" t="str">
        <f t="array" ref="Y434">INDEX(xlRTTYNAME,MATCH(1,(xlRTTYENDU=2)*(xlRTTYEQCL=$F434)*(xlRTEQTYPE=$G434),0))</f>
        <v>CENT_AIR3</v>
      </c>
    </row>
    <row r="435" spans="2:25" x14ac:dyDescent="0.2">
      <c r="B435" s="126">
        <v>6</v>
      </c>
      <c r="C435" s="126">
        <v>1</v>
      </c>
      <c r="D435" s="126">
        <v>6</v>
      </c>
      <c r="E435" s="126">
        <v>20</v>
      </c>
      <c r="F435" s="126">
        <v>2</v>
      </c>
      <c r="G435" s="126">
        <v>7</v>
      </c>
      <c r="H435" s="126">
        <v>2016</v>
      </c>
      <c r="I435" s="126">
        <v>2050</v>
      </c>
      <c r="J435" s="127">
        <v>1.0924</v>
      </c>
      <c r="K435" s="127">
        <v>1.0661</v>
      </c>
      <c r="L435" s="127">
        <v>0.75209999999999999</v>
      </c>
      <c r="M435" s="127">
        <v>0.89880000000000004</v>
      </c>
      <c r="N435" s="127">
        <v>0.89100000000000001</v>
      </c>
      <c r="O435" s="127">
        <v>1.0538000000000001</v>
      </c>
      <c r="P435" s="126">
        <v>7692</v>
      </c>
      <c r="Q435" s="128">
        <f t="array" ref="Q435">SUM(IF(($S435&gt;=4)*($C435='TaxCred&amp;Subs'!$D$123:$D$127)*($H435='TaxCred&amp;Subs'!$C$123:$C$127)*($H435&lt;='TaxCred&amp;Subs'!$C$129),'TaxCred&amp;Subs'!$E$123:$E$127,0))</f>
        <v>0</v>
      </c>
      <c r="R435" s="174">
        <v>0</v>
      </c>
      <c r="S435" s="126">
        <v>3</v>
      </c>
      <c r="T435" s="126" t="s">
        <v>247</v>
      </c>
      <c r="U435" s="158"/>
      <c r="V435" s="153" t="str">
        <f t="array" ref="V435">INDEX(xlRTCLNAME,MATCH(1,(xlRTCLENDU=1)*(xlRTCLEQCL=$D435),0))</f>
        <v>LPG_FA</v>
      </c>
      <c r="W435" s="153" t="str">
        <f t="array" ref="W435">INDEX(xlRTCLNAME,MATCH(1,(xlRTCLENDU=2)*(xlRTCLEQCL=$F435),0))</f>
        <v>CENT_AIR</v>
      </c>
      <c r="X435" s="153" t="str">
        <f t="array" ref="X435">INDEX(xlRTTYNAME,MATCH(1,(xlRTTYENDU=1)*(xlRTTYEQCL=$D435)*(xlRTEQTYPE=$E435),0))</f>
        <v>LPG_FA3</v>
      </c>
      <c r="Y435" s="153" t="str">
        <f t="array" ref="Y435">INDEX(xlRTTYNAME,MATCH(1,(xlRTTYENDU=2)*(xlRTTYEQCL=$F435)*(xlRTEQTYPE=$G435),0))</f>
        <v>CENT_AIR3</v>
      </c>
    </row>
    <row r="436" spans="2:25" x14ac:dyDescent="0.2">
      <c r="B436" s="126">
        <v>7</v>
      </c>
      <c r="C436" s="126">
        <v>1</v>
      </c>
      <c r="D436" s="126">
        <v>6</v>
      </c>
      <c r="E436" s="126">
        <v>20</v>
      </c>
      <c r="F436" s="126">
        <v>2</v>
      </c>
      <c r="G436" s="126">
        <v>7</v>
      </c>
      <c r="H436" s="126">
        <v>2016</v>
      </c>
      <c r="I436" s="126">
        <v>2050</v>
      </c>
      <c r="J436" s="127">
        <v>1.0905</v>
      </c>
      <c r="K436" s="127">
        <v>1.0562</v>
      </c>
      <c r="L436" s="127">
        <v>0.77559999999999996</v>
      </c>
      <c r="M436" s="127">
        <v>0.80289999999999995</v>
      </c>
      <c r="N436" s="127">
        <v>0.87180000000000002</v>
      </c>
      <c r="O436" s="127">
        <v>1.0538000000000001</v>
      </c>
      <c r="P436" s="126">
        <v>6902</v>
      </c>
      <c r="Q436" s="128">
        <f t="array" ref="Q436">SUM(IF(($S436&gt;=4)*($C436='TaxCred&amp;Subs'!$D$123:$D$127)*($H436='TaxCred&amp;Subs'!$C$123:$C$127)*($H436&lt;='TaxCred&amp;Subs'!$C$129),'TaxCred&amp;Subs'!$E$123:$E$127,0))</f>
        <v>0</v>
      </c>
      <c r="R436" s="174">
        <v>0</v>
      </c>
      <c r="S436" s="126">
        <v>3</v>
      </c>
      <c r="T436" s="126" t="s">
        <v>247</v>
      </c>
      <c r="U436" s="158"/>
      <c r="V436" s="153" t="str">
        <f t="array" ref="V436">INDEX(xlRTCLNAME,MATCH(1,(xlRTCLENDU=1)*(xlRTCLEQCL=$D436),0))</f>
        <v>LPG_FA</v>
      </c>
      <c r="W436" s="153" t="str">
        <f t="array" ref="W436">INDEX(xlRTCLNAME,MATCH(1,(xlRTCLENDU=2)*(xlRTCLEQCL=$F436),0))</f>
        <v>CENT_AIR</v>
      </c>
      <c r="X436" s="153" t="str">
        <f t="array" ref="X436">INDEX(xlRTTYNAME,MATCH(1,(xlRTTYENDU=1)*(xlRTTYEQCL=$D436)*(xlRTEQTYPE=$E436),0))</f>
        <v>LPG_FA3</v>
      </c>
      <c r="Y436" s="153" t="str">
        <f t="array" ref="Y436">INDEX(xlRTTYNAME,MATCH(1,(xlRTTYENDU=2)*(xlRTTYEQCL=$F436)*(xlRTEQTYPE=$G436),0))</f>
        <v>CENT_AIR3</v>
      </c>
    </row>
    <row r="437" spans="2:25" x14ac:dyDescent="0.2">
      <c r="B437" s="126">
        <v>8</v>
      </c>
      <c r="C437" s="126">
        <v>1</v>
      </c>
      <c r="D437" s="126">
        <v>6</v>
      </c>
      <c r="E437" s="126">
        <v>20</v>
      </c>
      <c r="F437" s="126">
        <v>2</v>
      </c>
      <c r="G437" s="126">
        <v>7</v>
      </c>
      <c r="H437" s="126">
        <v>2016</v>
      </c>
      <c r="I437" s="126">
        <v>2050</v>
      </c>
      <c r="J437" s="127">
        <v>1.0801000000000001</v>
      </c>
      <c r="K437" s="127">
        <v>1.0822000000000001</v>
      </c>
      <c r="L437" s="127">
        <v>0.53920000000000001</v>
      </c>
      <c r="M437" s="127">
        <v>0.89190000000000003</v>
      </c>
      <c r="N437" s="127">
        <v>0.86950000000000005</v>
      </c>
      <c r="O437" s="127">
        <v>1.0538000000000001</v>
      </c>
      <c r="P437" s="126">
        <v>8560</v>
      </c>
      <c r="Q437" s="128">
        <f t="array" ref="Q437">SUM(IF(($S437&gt;=4)*($C437='TaxCred&amp;Subs'!$D$123:$D$127)*($H437='TaxCred&amp;Subs'!$C$123:$C$127)*($H437&lt;='TaxCred&amp;Subs'!$C$129),'TaxCred&amp;Subs'!$E$123:$E$127,0))</f>
        <v>0</v>
      </c>
      <c r="R437" s="174">
        <v>0</v>
      </c>
      <c r="S437" s="126">
        <v>3</v>
      </c>
      <c r="T437" s="126" t="s">
        <v>247</v>
      </c>
      <c r="U437" s="158"/>
      <c r="V437" s="153" t="str">
        <f t="array" ref="V437">INDEX(xlRTCLNAME,MATCH(1,(xlRTCLENDU=1)*(xlRTCLEQCL=$D437),0))</f>
        <v>LPG_FA</v>
      </c>
      <c r="W437" s="153" t="str">
        <f t="array" ref="W437">INDEX(xlRTCLNAME,MATCH(1,(xlRTCLENDU=2)*(xlRTCLEQCL=$F437),0))</f>
        <v>CENT_AIR</v>
      </c>
      <c r="X437" s="153" t="str">
        <f t="array" ref="X437">INDEX(xlRTTYNAME,MATCH(1,(xlRTTYENDU=1)*(xlRTTYEQCL=$D437)*(xlRTEQTYPE=$E437),0))</f>
        <v>LPG_FA3</v>
      </c>
      <c r="Y437" s="153" t="str">
        <f t="array" ref="Y437">INDEX(xlRTTYNAME,MATCH(1,(xlRTTYENDU=2)*(xlRTTYEQCL=$F437)*(xlRTEQTYPE=$G437),0))</f>
        <v>CENT_AIR3</v>
      </c>
    </row>
    <row r="438" spans="2:25" x14ac:dyDescent="0.2">
      <c r="B438" s="126">
        <v>9</v>
      </c>
      <c r="C438" s="126">
        <v>1</v>
      </c>
      <c r="D438" s="126">
        <v>6</v>
      </c>
      <c r="E438" s="126">
        <v>20</v>
      </c>
      <c r="F438" s="126">
        <v>2</v>
      </c>
      <c r="G438" s="126">
        <v>7</v>
      </c>
      <c r="H438" s="126">
        <v>2016</v>
      </c>
      <c r="I438" s="126">
        <v>2050</v>
      </c>
      <c r="J438" s="127">
        <v>1.0781000000000001</v>
      </c>
      <c r="K438" s="127">
        <v>1.0707</v>
      </c>
      <c r="L438" s="127">
        <v>0.89380000000000004</v>
      </c>
      <c r="M438" s="127">
        <v>0.90590000000000004</v>
      </c>
      <c r="N438" s="127">
        <v>1.0339</v>
      </c>
      <c r="O438" s="127">
        <v>1.0538000000000001</v>
      </c>
      <c r="P438" s="126">
        <v>10115</v>
      </c>
      <c r="Q438" s="128">
        <f t="array" ref="Q438">SUM(IF(($S438&gt;=4)*($C438='TaxCred&amp;Subs'!$D$123:$D$127)*($H438='TaxCred&amp;Subs'!$C$123:$C$127)*($H438&lt;='TaxCred&amp;Subs'!$C$129),'TaxCred&amp;Subs'!$E$123:$E$127,0))</f>
        <v>0</v>
      </c>
      <c r="R438" s="174">
        <v>0</v>
      </c>
      <c r="S438" s="126">
        <v>3</v>
      </c>
      <c r="T438" s="126" t="s">
        <v>247</v>
      </c>
      <c r="U438" s="158"/>
      <c r="V438" s="153" t="str">
        <f t="array" ref="V438">INDEX(xlRTCLNAME,MATCH(1,(xlRTCLENDU=1)*(xlRTCLEQCL=$D438),0))</f>
        <v>LPG_FA</v>
      </c>
      <c r="W438" s="153" t="str">
        <f t="array" ref="W438">INDEX(xlRTCLNAME,MATCH(1,(xlRTCLENDU=2)*(xlRTCLEQCL=$F438),0))</f>
        <v>CENT_AIR</v>
      </c>
      <c r="X438" s="153" t="str">
        <f t="array" ref="X438">INDEX(xlRTTYNAME,MATCH(1,(xlRTTYENDU=1)*(xlRTTYEQCL=$D438)*(xlRTEQTYPE=$E438),0))</f>
        <v>LPG_FA3</v>
      </c>
      <c r="Y438" s="153" t="str">
        <f t="array" ref="Y438">INDEX(xlRTTYNAME,MATCH(1,(xlRTTYENDU=2)*(xlRTTYEQCL=$F438)*(xlRTEQTYPE=$G438),0))</f>
        <v>CENT_AIR3</v>
      </c>
    </row>
    <row r="439" spans="2:25" x14ac:dyDescent="0.2">
      <c r="B439" s="126">
        <v>1</v>
      </c>
      <c r="C439" s="126">
        <v>1</v>
      </c>
      <c r="D439" s="126">
        <v>7</v>
      </c>
      <c r="E439" s="126">
        <v>24</v>
      </c>
      <c r="F439" s="126">
        <v>2</v>
      </c>
      <c r="G439" s="126">
        <v>7</v>
      </c>
      <c r="H439" s="126">
        <v>2016</v>
      </c>
      <c r="I439" s="126">
        <v>2050</v>
      </c>
      <c r="J439" s="127">
        <v>1.0309999999999999</v>
      </c>
      <c r="K439" s="127">
        <v>1.0667</v>
      </c>
      <c r="L439" s="127">
        <v>0.57230000000000003</v>
      </c>
      <c r="M439" s="127">
        <v>0.95909999999999995</v>
      </c>
      <c r="N439" s="127">
        <v>0.79790000000000005</v>
      </c>
      <c r="O439" s="127">
        <v>1.0538000000000001</v>
      </c>
      <c r="P439" s="126">
        <v>10557</v>
      </c>
      <c r="Q439" s="128">
        <f t="array" ref="Q439">SUM(IF(($S439&gt;=4)*($C439='TaxCred&amp;Subs'!$D$123:$D$127)*($H439='TaxCred&amp;Subs'!$C$123:$C$127)*($H439&lt;='TaxCred&amp;Subs'!$C$129),'TaxCred&amp;Subs'!$E$123:$E$127,0))</f>
        <v>0</v>
      </c>
      <c r="R439" s="174">
        <v>0</v>
      </c>
      <c r="S439" s="126">
        <v>3</v>
      </c>
      <c r="T439" s="126" t="s">
        <v>247</v>
      </c>
      <c r="U439" s="158"/>
      <c r="V439" s="153" t="str">
        <f t="array" ref="V439">INDEX(xlRTCLNAME,MATCH(1,(xlRTCLENDU=1)*(xlRTCLEQCL=$D439),0))</f>
        <v>DIST_FA</v>
      </c>
      <c r="W439" s="153" t="str">
        <f t="array" ref="W439">INDEX(xlRTCLNAME,MATCH(1,(xlRTCLENDU=2)*(xlRTCLEQCL=$F439),0))</f>
        <v>CENT_AIR</v>
      </c>
      <c r="X439" s="153" t="str">
        <f t="array" ref="X439">INDEX(xlRTTYNAME,MATCH(1,(xlRTTYENDU=1)*(xlRTTYEQCL=$D439)*(xlRTEQTYPE=$E439),0))</f>
        <v>DIST_FA3</v>
      </c>
      <c r="Y439" s="153" t="str">
        <f t="array" ref="Y439">INDEX(xlRTTYNAME,MATCH(1,(xlRTTYENDU=2)*(xlRTTYEQCL=$F439)*(xlRTEQTYPE=$G439),0))</f>
        <v>CENT_AIR3</v>
      </c>
    </row>
    <row r="440" spans="2:25" x14ac:dyDescent="0.2">
      <c r="B440" s="126">
        <v>2</v>
      </c>
      <c r="C440" s="126">
        <v>1</v>
      </c>
      <c r="D440" s="126">
        <v>7</v>
      </c>
      <c r="E440" s="126">
        <v>24</v>
      </c>
      <c r="F440" s="126">
        <v>2</v>
      </c>
      <c r="G440" s="126">
        <v>7</v>
      </c>
      <c r="H440" s="126">
        <v>2016</v>
      </c>
      <c r="I440" s="126">
        <v>2050</v>
      </c>
      <c r="J440" s="127">
        <v>1.0772999999999999</v>
      </c>
      <c r="K440" s="127">
        <v>1.0758000000000001</v>
      </c>
      <c r="L440" s="127">
        <v>0.6431</v>
      </c>
      <c r="M440" s="127">
        <v>0.84060000000000001</v>
      </c>
      <c r="N440" s="127">
        <v>0.93169999999999997</v>
      </c>
      <c r="O440" s="127">
        <v>1.0538000000000001</v>
      </c>
      <c r="P440" s="126">
        <v>10592</v>
      </c>
      <c r="Q440" s="128">
        <f t="array" ref="Q440">SUM(IF(($S440&gt;=4)*($C440='TaxCred&amp;Subs'!$D$123:$D$127)*($H440='TaxCred&amp;Subs'!$C$123:$C$127)*($H440&lt;='TaxCred&amp;Subs'!$C$129),'TaxCred&amp;Subs'!$E$123:$E$127,0))</f>
        <v>0</v>
      </c>
      <c r="R440" s="174">
        <v>0</v>
      </c>
      <c r="S440" s="126">
        <v>3</v>
      </c>
      <c r="T440" s="126" t="s">
        <v>247</v>
      </c>
      <c r="U440" s="158"/>
      <c r="V440" s="153" t="str">
        <f t="array" ref="V440">INDEX(xlRTCLNAME,MATCH(1,(xlRTCLENDU=1)*(xlRTCLEQCL=$D440),0))</f>
        <v>DIST_FA</v>
      </c>
      <c r="W440" s="153" t="str">
        <f t="array" ref="W440">INDEX(xlRTCLNAME,MATCH(1,(xlRTCLENDU=2)*(xlRTCLEQCL=$F440),0))</f>
        <v>CENT_AIR</v>
      </c>
      <c r="X440" s="153" t="str">
        <f t="array" ref="X440">INDEX(xlRTTYNAME,MATCH(1,(xlRTTYENDU=1)*(xlRTTYEQCL=$D440)*(xlRTEQTYPE=$E440),0))</f>
        <v>DIST_FA3</v>
      </c>
      <c r="Y440" s="153" t="str">
        <f t="array" ref="Y440">INDEX(xlRTTYNAME,MATCH(1,(xlRTTYENDU=2)*(xlRTTYEQCL=$F440)*(xlRTEQTYPE=$G440),0))</f>
        <v>CENT_AIR3</v>
      </c>
    </row>
    <row r="441" spans="2:25" x14ac:dyDescent="0.2">
      <c r="B441" s="126">
        <v>3</v>
      </c>
      <c r="C441" s="126">
        <v>1</v>
      </c>
      <c r="D441" s="126">
        <v>7</v>
      </c>
      <c r="E441" s="126">
        <v>24</v>
      </c>
      <c r="F441" s="126">
        <v>2</v>
      </c>
      <c r="G441" s="126">
        <v>7</v>
      </c>
      <c r="H441" s="126">
        <v>2016</v>
      </c>
      <c r="I441" s="126">
        <v>2050</v>
      </c>
      <c r="J441" s="127">
        <v>1.0842000000000001</v>
      </c>
      <c r="K441" s="127">
        <v>1.0577000000000001</v>
      </c>
      <c r="L441" s="127">
        <v>0.52149999999999996</v>
      </c>
      <c r="M441" s="127">
        <v>0.9194</v>
      </c>
      <c r="N441" s="127">
        <v>0.91220000000000001</v>
      </c>
      <c r="O441" s="127">
        <v>1.0538000000000001</v>
      </c>
      <c r="P441" s="126">
        <v>9784</v>
      </c>
      <c r="Q441" s="128">
        <f t="array" ref="Q441">SUM(IF(($S441&gt;=4)*($C441='TaxCred&amp;Subs'!$D$123:$D$127)*($H441='TaxCred&amp;Subs'!$C$123:$C$127)*($H441&lt;='TaxCred&amp;Subs'!$C$129),'TaxCred&amp;Subs'!$E$123:$E$127,0))</f>
        <v>0</v>
      </c>
      <c r="R441" s="174">
        <v>0</v>
      </c>
      <c r="S441" s="126">
        <v>3</v>
      </c>
      <c r="T441" s="126" t="s">
        <v>247</v>
      </c>
      <c r="U441" s="158"/>
      <c r="V441" s="153" t="str">
        <f t="array" ref="V441">INDEX(xlRTCLNAME,MATCH(1,(xlRTCLENDU=1)*(xlRTCLEQCL=$D441),0))</f>
        <v>DIST_FA</v>
      </c>
      <c r="W441" s="153" t="str">
        <f t="array" ref="W441">INDEX(xlRTCLNAME,MATCH(1,(xlRTCLENDU=2)*(xlRTCLEQCL=$F441),0))</f>
        <v>CENT_AIR</v>
      </c>
      <c r="X441" s="153" t="str">
        <f t="array" ref="X441">INDEX(xlRTTYNAME,MATCH(1,(xlRTTYENDU=1)*(xlRTTYEQCL=$D441)*(xlRTEQTYPE=$E441),0))</f>
        <v>DIST_FA3</v>
      </c>
      <c r="Y441" s="153" t="str">
        <f t="array" ref="Y441">INDEX(xlRTTYNAME,MATCH(1,(xlRTTYENDU=2)*(xlRTTYEQCL=$F441)*(xlRTEQTYPE=$G441),0))</f>
        <v>CENT_AIR3</v>
      </c>
    </row>
    <row r="442" spans="2:25" x14ac:dyDescent="0.2">
      <c r="B442" s="126">
        <v>4</v>
      </c>
      <c r="C442" s="126">
        <v>1</v>
      </c>
      <c r="D442" s="126">
        <v>7</v>
      </c>
      <c r="E442" s="126">
        <v>24</v>
      </c>
      <c r="F442" s="126">
        <v>2</v>
      </c>
      <c r="G442" s="126">
        <v>7</v>
      </c>
      <c r="H442" s="126">
        <v>2016</v>
      </c>
      <c r="I442" s="126">
        <v>2050</v>
      </c>
      <c r="J442" s="127">
        <v>1.0342</v>
      </c>
      <c r="K442" s="127">
        <v>1.0769</v>
      </c>
      <c r="L442" s="127">
        <v>0.53280000000000005</v>
      </c>
      <c r="M442" s="127">
        <v>0.86580000000000001</v>
      </c>
      <c r="N442" s="127">
        <v>0.85760000000000003</v>
      </c>
      <c r="O442" s="127">
        <v>1.0538000000000001</v>
      </c>
      <c r="P442" s="126">
        <v>7922</v>
      </c>
      <c r="Q442" s="128">
        <f t="array" ref="Q442">SUM(IF(($S442&gt;=4)*($C442='TaxCred&amp;Subs'!$D$123:$D$127)*($H442='TaxCred&amp;Subs'!$C$123:$C$127)*($H442&lt;='TaxCred&amp;Subs'!$C$129),'TaxCred&amp;Subs'!$E$123:$E$127,0))</f>
        <v>0</v>
      </c>
      <c r="R442" s="174">
        <v>0</v>
      </c>
      <c r="S442" s="126">
        <v>3</v>
      </c>
      <c r="T442" s="126" t="s">
        <v>247</v>
      </c>
      <c r="U442" s="158"/>
      <c r="V442" s="153" t="str">
        <f t="array" ref="V442">INDEX(xlRTCLNAME,MATCH(1,(xlRTCLENDU=1)*(xlRTCLEQCL=$D442),0))</f>
        <v>DIST_FA</v>
      </c>
      <c r="W442" s="153" t="str">
        <f t="array" ref="W442">INDEX(xlRTCLNAME,MATCH(1,(xlRTCLENDU=2)*(xlRTCLEQCL=$F442),0))</f>
        <v>CENT_AIR</v>
      </c>
      <c r="X442" s="153" t="str">
        <f t="array" ref="X442">INDEX(xlRTTYNAME,MATCH(1,(xlRTTYENDU=1)*(xlRTTYEQCL=$D442)*(xlRTEQTYPE=$E442),0))</f>
        <v>DIST_FA3</v>
      </c>
      <c r="Y442" s="153" t="str">
        <f t="array" ref="Y442">INDEX(xlRTTYNAME,MATCH(1,(xlRTTYENDU=2)*(xlRTTYEQCL=$F442)*(xlRTEQTYPE=$G442),0))</f>
        <v>CENT_AIR3</v>
      </c>
    </row>
    <row r="443" spans="2:25" x14ac:dyDescent="0.2">
      <c r="B443" s="126">
        <v>5</v>
      </c>
      <c r="C443" s="126">
        <v>1</v>
      </c>
      <c r="D443" s="126">
        <v>7</v>
      </c>
      <c r="E443" s="126">
        <v>24</v>
      </c>
      <c r="F443" s="126">
        <v>2</v>
      </c>
      <c r="G443" s="126">
        <v>7</v>
      </c>
      <c r="H443" s="126">
        <v>2016</v>
      </c>
      <c r="I443" s="126">
        <v>2050</v>
      </c>
      <c r="J443" s="127">
        <v>1.0847</v>
      </c>
      <c r="K443" s="127">
        <v>1.056</v>
      </c>
      <c r="L443" s="127">
        <v>0.64970000000000006</v>
      </c>
      <c r="M443" s="127">
        <v>0.88019999999999998</v>
      </c>
      <c r="N443" s="127">
        <v>0.76280000000000003</v>
      </c>
      <c r="O443" s="127">
        <v>1.0538000000000001</v>
      </c>
      <c r="P443" s="126">
        <v>7497</v>
      </c>
      <c r="Q443" s="128">
        <f t="array" ref="Q443">SUM(IF(($S443&gt;=4)*($C443='TaxCred&amp;Subs'!$D$123:$D$127)*($H443='TaxCred&amp;Subs'!$C$123:$C$127)*($H443&lt;='TaxCred&amp;Subs'!$C$129),'TaxCred&amp;Subs'!$E$123:$E$127,0))</f>
        <v>0</v>
      </c>
      <c r="R443" s="174">
        <v>0</v>
      </c>
      <c r="S443" s="126">
        <v>3</v>
      </c>
      <c r="T443" s="126" t="s">
        <v>247</v>
      </c>
      <c r="U443" s="158"/>
      <c r="V443" s="153" t="str">
        <f t="array" ref="V443">INDEX(xlRTCLNAME,MATCH(1,(xlRTCLENDU=1)*(xlRTCLEQCL=$D443),0))</f>
        <v>DIST_FA</v>
      </c>
      <c r="W443" s="153" t="str">
        <f t="array" ref="W443">INDEX(xlRTCLNAME,MATCH(1,(xlRTCLENDU=2)*(xlRTCLEQCL=$F443),0))</f>
        <v>CENT_AIR</v>
      </c>
      <c r="X443" s="153" t="str">
        <f t="array" ref="X443">INDEX(xlRTTYNAME,MATCH(1,(xlRTTYENDU=1)*(xlRTTYEQCL=$D443)*(xlRTEQTYPE=$E443),0))</f>
        <v>DIST_FA3</v>
      </c>
      <c r="Y443" s="153" t="str">
        <f t="array" ref="Y443">INDEX(xlRTTYNAME,MATCH(1,(xlRTTYENDU=2)*(xlRTTYEQCL=$F443)*(xlRTEQTYPE=$G443),0))</f>
        <v>CENT_AIR3</v>
      </c>
    </row>
    <row r="444" spans="2:25" x14ac:dyDescent="0.2">
      <c r="B444" s="126">
        <v>6</v>
      </c>
      <c r="C444" s="126">
        <v>1</v>
      </c>
      <c r="D444" s="126">
        <v>7</v>
      </c>
      <c r="E444" s="126">
        <v>24</v>
      </c>
      <c r="F444" s="126">
        <v>2</v>
      </c>
      <c r="G444" s="126">
        <v>7</v>
      </c>
      <c r="H444" s="126">
        <v>2016</v>
      </c>
      <c r="I444" s="126">
        <v>2050</v>
      </c>
      <c r="J444" s="127">
        <v>1.0907</v>
      </c>
      <c r="K444" s="127">
        <v>1.0603</v>
      </c>
      <c r="L444" s="127">
        <v>0.77010000000000001</v>
      </c>
      <c r="M444" s="127">
        <v>0.88619999999999999</v>
      </c>
      <c r="N444" s="127">
        <v>0.89139999999999997</v>
      </c>
      <c r="O444" s="127">
        <v>1.0538000000000001</v>
      </c>
      <c r="P444" s="126">
        <v>6793</v>
      </c>
      <c r="Q444" s="128">
        <f t="array" ref="Q444">SUM(IF(($S444&gt;=4)*($C444='TaxCred&amp;Subs'!$D$123:$D$127)*($H444='TaxCred&amp;Subs'!$C$123:$C$127)*($H444&lt;='TaxCred&amp;Subs'!$C$129),'TaxCred&amp;Subs'!$E$123:$E$127,0))</f>
        <v>0</v>
      </c>
      <c r="R444" s="174">
        <v>0</v>
      </c>
      <c r="S444" s="126">
        <v>3</v>
      </c>
      <c r="T444" s="126" t="s">
        <v>247</v>
      </c>
      <c r="U444" s="158"/>
      <c r="V444" s="153" t="str">
        <f t="array" ref="V444">INDEX(xlRTCLNAME,MATCH(1,(xlRTCLENDU=1)*(xlRTCLEQCL=$D444),0))</f>
        <v>DIST_FA</v>
      </c>
      <c r="W444" s="153" t="str">
        <f t="array" ref="W444">INDEX(xlRTCLNAME,MATCH(1,(xlRTCLENDU=2)*(xlRTCLEQCL=$F444),0))</f>
        <v>CENT_AIR</v>
      </c>
      <c r="X444" s="153" t="str">
        <f t="array" ref="X444">INDEX(xlRTTYNAME,MATCH(1,(xlRTTYENDU=1)*(xlRTTYEQCL=$D444)*(xlRTEQTYPE=$E444),0))</f>
        <v>DIST_FA3</v>
      </c>
      <c r="Y444" s="153" t="str">
        <f t="array" ref="Y444">INDEX(xlRTTYNAME,MATCH(1,(xlRTTYENDU=2)*(xlRTTYEQCL=$F444)*(xlRTEQTYPE=$G444),0))</f>
        <v>CENT_AIR3</v>
      </c>
    </row>
    <row r="445" spans="2:25" x14ac:dyDescent="0.2">
      <c r="B445" s="126">
        <v>7</v>
      </c>
      <c r="C445" s="126">
        <v>1</v>
      </c>
      <c r="D445" s="126">
        <v>7</v>
      </c>
      <c r="E445" s="126">
        <v>24</v>
      </c>
      <c r="F445" s="126">
        <v>2</v>
      </c>
      <c r="G445" s="126">
        <v>7</v>
      </c>
      <c r="H445" s="126">
        <v>2016</v>
      </c>
      <c r="I445" s="126">
        <v>2050</v>
      </c>
      <c r="J445" s="127">
        <v>1.0885</v>
      </c>
      <c r="K445" s="127">
        <v>1.0575000000000001</v>
      </c>
      <c r="L445" s="127">
        <v>0.79630000000000001</v>
      </c>
      <c r="M445" s="127">
        <v>0.80589999999999995</v>
      </c>
      <c r="N445" s="127">
        <v>0.872</v>
      </c>
      <c r="O445" s="127">
        <v>1.0538000000000001</v>
      </c>
      <c r="P445" s="126">
        <v>6363</v>
      </c>
      <c r="Q445" s="128">
        <f t="array" ref="Q445">SUM(IF(($S445&gt;=4)*($C445='TaxCred&amp;Subs'!$D$123:$D$127)*($H445='TaxCred&amp;Subs'!$C$123:$C$127)*($H445&lt;='TaxCred&amp;Subs'!$C$129),'TaxCred&amp;Subs'!$E$123:$E$127,0))</f>
        <v>0</v>
      </c>
      <c r="R445" s="174">
        <v>0</v>
      </c>
      <c r="S445" s="126">
        <v>3</v>
      </c>
      <c r="T445" s="126" t="s">
        <v>247</v>
      </c>
      <c r="U445" s="158"/>
      <c r="V445" s="153" t="str">
        <f t="array" ref="V445">INDEX(xlRTCLNAME,MATCH(1,(xlRTCLENDU=1)*(xlRTCLEQCL=$D445),0))</f>
        <v>DIST_FA</v>
      </c>
      <c r="W445" s="153" t="str">
        <f t="array" ref="W445">INDEX(xlRTCLNAME,MATCH(1,(xlRTCLENDU=2)*(xlRTCLEQCL=$F445),0))</f>
        <v>CENT_AIR</v>
      </c>
      <c r="X445" s="153" t="str">
        <f t="array" ref="X445">INDEX(xlRTTYNAME,MATCH(1,(xlRTTYENDU=1)*(xlRTTYEQCL=$D445)*(xlRTEQTYPE=$E445),0))</f>
        <v>DIST_FA3</v>
      </c>
      <c r="Y445" s="153" t="str">
        <f t="array" ref="Y445">INDEX(xlRTTYNAME,MATCH(1,(xlRTTYENDU=2)*(xlRTTYEQCL=$F445)*(xlRTEQTYPE=$G445),0))</f>
        <v>CENT_AIR3</v>
      </c>
    </row>
    <row r="446" spans="2:25" x14ac:dyDescent="0.2">
      <c r="B446" s="126">
        <v>8</v>
      </c>
      <c r="C446" s="126">
        <v>1</v>
      </c>
      <c r="D446" s="126">
        <v>7</v>
      </c>
      <c r="E446" s="126">
        <v>24</v>
      </c>
      <c r="F446" s="126">
        <v>2</v>
      </c>
      <c r="G446" s="126">
        <v>7</v>
      </c>
      <c r="H446" s="126">
        <v>2016</v>
      </c>
      <c r="I446" s="126">
        <v>2050</v>
      </c>
      <c r="J446" s="127">
        <v>1.0838000000000001</v>
      </c>
      <c r="K446" s="127">
        <v>1.0832999999999999</v>
      </c>
      <c r="L446" s="127">
        <v>0.57709999999999995</v>
      </c>
      <c r="M446" s="127">
        <v>0.80369999999999997</v>
      </c>
      <c r="N446" s="127">
        <v>0.86950000000000005</v>
      </c>
      <c r="O446" s="127">
        <v>1.0538000000000001</v>
      </c>
      <c r="P446" s="126">
        <v>10442</v>
      </c>
      <c r="Q446" s="128">
        <f t="array" ref="Q446">SUM(IF(($S446&gt;=4)*($C446='TaxCred&amp;Subs'!$D$123:$D$127)*($H446='TaxCred&amp;Subs'!$C$123:$C$127)*($H446&lt;='TaxCred&amp;Subs'!$C$129),'TaxCred&amp;Subs'!$E$123:$E$127,0))</f>
        <v>0</v>
      </c>
      <c r="R446" s="174">
        <v>0</v>
      </c>
      <c r="S446" s="126">
        <v>3</v>
      </c>
      <c r="T446" s="126" t="s">
        <v>247</v>
      </c>
      <c r="U446" s="158"/>
      <c r="V446" s="153" t="str">
        <f t="array" ref="V446">INDEX(xlRTCLNAME,MATCH(1,(xlRTCLENDU=1)*(xlRTCLEQCL=$D446),0))</f>
        <v>DIST_FA</v>
      </c>
      <c r="W446" s="153" t="str">
        <f t="array" ref="W446">INDEX(xlRTCLNAME,MATCH(1,(xlRTCLENDU=2)*(xlRTCLEQCL=$F446),0))</f>
        <v>CENT_AIR</v>
      </c>
      <c r="X446" s="153" t="str">
        <f t="array" ref="X446">INDEX(xlRTTYNAME,MATCH(1,(xlRTTYENDU=1)*(xlRTTYEQCL=$D446)*(xlRTEQTYPE=$E446),0))</f>
        <v>DIST_FA3</v>
      </c>
      <c r="Y446" s="153" t="str">
        <f t="array" ref="Y446">INDEX(xlRTTYNAME,MATCH(1,(xlRTTYENDU=2)*(xlRTTYEQCL=$F446)*(xlRTEQTYPE=$G446),0))</f>
        <v>CENT_AIR3</v>
      </c>
    </row>
    <row r="447" spans="2:25" x14ac:dyDescent="0.2">
      <c r="B447" s="126">
        <v>9</v>
      </c>
      <c r="C447" s="126">
        <v>1</v>
      </c>
      <c r="D447" s="126">
        <v>7</v>
      </c>
      <c r="E447" s="126">
        <v>24</v>
      </c>
      <c r="F447" s="126">
        <v>2</v>
      </c>
      <c r="G447" s="126">
        <v>7</v>
      </c>
      <c r="H447" s="126">
        <v>2016</v>
      </c>
      <c r="I447" s="126">
        <v>2050</v>
      </c>
      <c r="J447" s="127">
        <v>1.0790999999999999</v>
      </c>
      <c r="K447" s="127">
        <v>1.0722</v>
      </c>
      <c r="L447" s="127">
        <v>0.87480000000000002</v>
      </c>
      <c r="M447" s="127">
        <v>0.90590000000000004</v>
      </c>
      <c r="N447" s="127">
        <v>1.0336000000000001</v>
      </c>
      <c r="O447" s="127">
        <v>1.0538000000000001</v>
      </c>
      <c r="P447" s="126">
        <v>10205</v>
      </c>
      <c r="Q447" s="128">
        <f t="array" ref="Q447">SUM(IF(($S447&gt;=4)*($C447='TaxCred&amp;Subs'!$D$123:$D$127)*($H447='TaxCred&amp;Subs'!$C$123:$C$127)*($H447&lt;='TaxCred&amp;Subs'!$C$129),'TaxCred&amp;Subs'!$E$123:$E$127,0))</f>
        <v>0</v>
      </c>
      <c r="R447" s="174">
        <v>0</v>
      </c>
      <c r="S447" s="126">
        <v>3</v>
      </c>
      <c r="T447" s="126" t="s">
        <v>247</v>
      </c>
      <c r="U447" s="158"/>
      <c r="V447" s="153" t="str">
        <f t="array" ref="V447">INDEX(xlRTCLNAME,MATCH(1,(xlRTCLENDU=1)*(xlRTCLEQCL=$D447),0))</f>
        <v>DIST_FA</v>
      </c>
      <c r="W447" s="153" t="str">
        <f t="array" ref="W447">INDEX(xlRTCLNAME,MATCH(1,(xlRTCLENDU=2)*(xlRTCLEQCL=$F447),0))</f>
        <v>CENT_AIR</v>
      </c>
      <c r="X447" s="153" t="str">
        <f t="array" ref="X447">INDEX(xlRTTYNAME,MATCH(1,(xlRTTYENDU=1)*(xlRTTYEQCL=$D447)*(xlRTEQTYPE=$E447),0))</f>
        <v>DIST_FA3</v>
      </c>
      <c r="Y447" s="153" t="str">
        <f t="array" ref="Y447">INDEX(xlRTTYNAME,MATCH(1,(xlRTTYENDU=2)*(xlRTTYEQCL=$F447)*(xlRTEQTYPE=$G447),0))</f>
        <v>CENT_AIR3</v>
      </c>
    </row>
    <row r="448" spans="2:25" x14ac:dyDescent="0.2">
      <c r="B448" s="126">
        <v>1</v>
      </c>
      <c r="C448" s="126">
        <v>1</v>
      </c>
      <c r="D448" s="126">
        <v>8</v>
      </c>
      <c r="E448" s="126">
        <v>28</v>
      </c>
      <c r="F448" s="126">
        <v>2</v>
      </c>
      <c r="G448" s="126">
        <v>7</v>
      </c>
      <c r="H448" s="126">
        <v>2016</v>
      </c>
      <c r="I448" s="126">
        <v>2050</v>
      </c>
      <c r="J448" s="127">
        <v>1.0592999999999999</v>
      </c>
      <c r="K448" s="127">
        <v>1.0889</v>
      </c>
      <c r="L448" s="127">
        <v>0.56459999999999999</v>
      </c>
      <c r="M448" s="127">
        <v>0.95909999999999995</v>
      </c>
      <c r="N448" s="127">
        <v>0.8095</v>
      </c>
      <c r="O448" s="127">
        <v>1.0538000000000001</v>
      </c>
      <c r="P448" s="126">
        <v>10713</v>
      </c>
      <c r="Q448" s="128">
        <f t="array" ref="Q448">SUM(IF(($S448&gt;=4)*($C448='TaxCred&amp;Subs'!$D$123:$D$127)*($H448='TaxCred&amp;Subs'!$C$123:$C$127)*($H448&lt;='TaxCred&amp;Subs'!$C$129),'TaxCred&amp;Subs'!$E$123:$E$127,0))</f>
        <v>0</v>
      </c>
      <c r="R448" s="174">
        <v>0</v>
      </c>
      <c r="S448" s="126">
        <v>3</v>
      </c>
      <c r="T448" s="126" t="s">
        <v>247</v>
      </c>
      <c r="U448" s="158"/>
      <c r="V448" s="153" t="str">
        <f t="array" ref="V448">INDEX(xlRTCLNAME,MATCH(1,(xlRTCLENDU=1)*(xlRTCLEQCL=$D448),0))</f>
        <v>DIST_RAD</v>
      </c>
      <c r="W448" s="153" t="str">
        <f t="array" ref="W448">INDEX(xlRTCLNAME,MATCH(1,(xlRTCLENDU=2)*(xlRTCLEQCL=$F448),0))</f>
        <v>CENT_AIR</v>
      </c>
      <c r="X448" s="153" t="str">
        <f t="array" ref="X448">INDEX(xlRTTYNAME,MATCH(1,(xlRTTYENDU=1)*(xlRTTYEQCL=$D448)*(xlRTEQTYPE=$E448),0))</f>
        <v>DIST_RAD3</v>
      </c>
      <c r="Y448" s="153" t="str">
        <f t="array" ref="Y448">INDEX(xlRTTYNAME,MATCH(1,(xlRTTYENDU=2)*(xlRTTYEQCL=$F448)*(xlRTEQTYPE=$G448),0))</f>
        <v>CENT_AIR3</v>
      </c>
    </row>
    <row r="449" spans="2:25" x14ac:dyDescent="0.2">
      <c r="B449" s="126">
        <v>2</v>
      </c>
      <c r="C449" s="126">
        <v>1</v>
      </c>
      <c r="D449" s="126">
        <v>8</v>
      </c>
      <c r="E449" s="126">
        <v>28</v>
      </c>
      <c r="F449" s="126">
        <v>2</v>
      </c>
      <c r="G449" s="126">
        <v>7</v>
      </c>
      <c r="H449" s="126">
        <v>2016</v>
      </c>
      <c r="I449" s="126">
        <v>2050</v>
      </c>
      <c r="J449" s="127">
        <v>1.0717000000000001</v>
      </c>
      <c r="K449" s="127">
        <v>1.0895999999999999</v>
      </c>
      <c r="L449" s="127">
        <v>0.622</v>
      </c>
      <c r="M449" s="127">
        <v>0.84060000000000001</v>
      </c>
      <c r="N449" s="127">
        <v>0.92630000000000001</v>
      </c>
      <c r="O449" s="127">
        <v>1.0538000000000001</v>
      </c>
      <c r="P449" s="126">
        <v>10433</v>
      </c>
      <c r="Q449" s="128">
        <f t="array" ref="Q449">SUM(IF(($S449&gt;=4)*($C449='TaxCred&amp;Subs'!$D$123:$D$127)*($H449='TaxCred&amp;Subs'!$C$123:$C$127)*($H449&lt;='TaxCred&amp;Subs'!$C$129),'TaxCred&amp;Subs'!$E$123:$E$127,0))</f>
        <v>0</v>
      </c>
      <c r="R449" s="174">
        <v>0</v>
      </c>
      <c r="S449" s="126">
        <v>3</v>
      </c>
      <c r="T449" s="126" t="s">
        <v>247</v>
      </c>
      <c r="U449" s="158"/>
      <c r="V449" s="153" t="str">
        <f t="array" ref="V449">INDEX(xlRTCLNAME,MATCH(1,(xlRTCLENDU=1)*(xlRTCLEQCL=$D449),0))</f>
        <v>DIST_RAD</v>
      </c>
      <c r="W449" s="153" t="str">
        <f t="array" ref="W449">INDEX(xlRTCLNAME,MATCH(1,(xlRTCLENDU=2)*(xlRTCLEQCL=$F449),0))</f>
        <v>CENT_AIR</v>
      </c>
      <c r="X449" s="153" t="str">
        <f t="array" ref="X449">INDEX(xlRTTYNAME,MATCH(1,(xlRTTYENDU=1)*(xlRTTYEQCL=$D449)*(xlRTEQTYPE=$E449),0))</f>
        <v>DIST_RAD3</v>
      </c>
      <c r="Y449" s="153" t="str">
        <f t="array" ref="Y449">INDEX(xlRTTYNAME,MATCH(1,(xlRTTYENDU=2)*(xlRTTYEQCL=$F449)*(xlRTEQTYPE=$G449),0))</f>
        <v>CENT_AIR3</v>
      </c>
    </row>
    <row r="450" spans="2:25" x14ac:dyDescent="0.2">
      <c r="B450" s="126">
        <v>3</v>
      </c>
      <c r="C450" s="126">
        <v>1</v>
      </c>
      <c r="D450" s="126">
        <v>8</v>
      </c>
      <c r="E450" s="126">
        <v>28</v>
      </c>
      <c r="F450" s="126">
        <v>2</v>
      </c>
      <c r="G450" s="126">
        <v>7</v>
      </c>
      <c r="H450" s="126">
        <v>2016</v>
      </c>
      <c r="I450" s="126">
        <v>2050</v>
      </c>
      <c r="J450" s="127">
        <v>1.0821000000000001</v>
      </c>
      <c r="K450" s="127">
        <v>1.0769</v>
      </c>
      <c r="L450" s="127">
        <v>0.52210000000000001</v>
      </c>
      <c r="M450" s="127">
        <v>0.9194</v>
      </c>
      <c r="N450" s="127">
        <v>0.91400000000000003</v>
      </c>
      <c r="O450" s="127">
        <v>1.0538000000000001</v>
      </c>
      <c r="P450" s="126">
        <v>9671</v>
      </c>
      <c r="Q450" s="128">
        <f t="array" ref="Q450">SUM(IF(($S450&gt;=4)*($C450='TaxCred&amp;Subs'!$D$123:$D$127)*($H450='TaxCred&amp;Subs'!$C$123:$C$127)*($H450&lt;='TaxCred&amp;Subs'!$C$129),'TaxCred&amp;Subs'!$E$123:$E$127,0))</f>
        <v>0</v>
      </c>
      <c r="R450" s="174">
        <v>0</v>
      </c>
      <c r="S450" s="126">
        <v>3</v>
      </c>
      <c r="T450" s="126" t="s">
        <v>247</v>
      </c>
      <c r="U450" s="158"/>
      <c r="V450" s="153" t="str">
        <f t="array" ref="V450">INDEX(xlRTCLNAME,MATCH(1,(xlRTCLENDU=1)*(xlRTCLEQCL=$D450),0))</f>
        <v>DIST_RAD</v>
      </c>
      <c r="W450" s="153" t="str">
        <f t="array" ref="W450">INDEX(xlRTCLNAME,MATCH(1,(xlRTCLENDU=2)*(xlRTCLEQCL=$F450),0))</f>
        <v>CENT_AIR</v>
      </c>
      <c r="X450" s="153" t="str">
        <f t="array" ref="X450">INDEX(xlRTTYNAME,MATCH(1,(xlRTTYENDU=1)*(xlRTTYEQCL=$D450)*(xlRTEQTYPE=$E450),0))</f>
        <v>DIST_RAD3</v>
      </c>
      <c r="Y450" s="153" t="str">
        <f t="array" ref="Y450">INDEX(xlRTTYNAME,MATCH(1,(xlRTTYENDU=2)*(xlRTTYEQCL=$F450)*(xlRTEQTYPE=$G450),0))</f>
        <v>CENT_AIR3</v>
      </c>
    </row>
    <row r="451" spans="2:25" x14ac:dyDescent="0.2">
      <c r="B451" s="126">
        <v>4</v>
      </c>
      <c r="C451" s="126">
        <v>1</v>
      </c>
      <c r="D451" s="126">
        <v>8</v>
      </c>
      <c r="E451" s="126">
        <v>28</v>
      </c>
      <c r="F451" s="126">
        <v>2</v>
      </c>
      <c r="G451" s="126">
        <v>7</v>
      </c>
      <c r="H451" s="126">
        <v>2016</v>
      </c>
      <c r="I451" s="126">
        <v>2050</v>
      </c>
      <c r="J451" s="127">
        <v>1.0812999999999999</v>
      </c>
      <c r="K451" s="127">
        <v>1.0769</v>
      </c>
      <c r="L451" s="127">
        <v>0.52690000000000003</v>
      </c>
      <c r="M451" s="127">
        <v>0.86580000000000001</v>
      </c>
      <c r="N451" s="127">
        <v>0.85660000000000003</v>
      </c>
      <c r="O451" s="127">
        <v>1.0538000000000001</v>
      </c>
      <c r="P451" s="126">
        <v>7922</v>
      </c>
      <c r="Q451" s="128">
        <f t="array" ref="Q451">SUM(IF(($S451&gt;=4)*($C451='TaxCred&amp;Subs'!$D$123:$D$127)*($H451='TaxCred&amp;Subs'!$C$123:$C$127)*($H451&lt;='TaxCred&amp;Subs'!$C$129),'TaxCred&amp;Subs'!$E$123:$E$127,0))</f>
        <v>0</v>
      </c>
      <c r="R451" s="174">
        <v>0</v>
      </c>
      <c r="S451" s="126">
        <v>3</v>
      </c>
      <c r="T451" s="126" t="s">
        <v>247</v>
      </c>
      <c r="U451" s="158"/>
      <c r="V451" s="153" t="str">
        <f t="array" ref="V451">INDEX(xlRTCLNAME,MATCH(1,(xlRTCLENDU=1)*(xlRTCLEQCL=$D451),0))</f>
        <v>DIST_RAD</v>
      </c>
      <c r="W451" s="153" t="str">
        <f t="array" ref="W451">INDEX(xlRTCLNAME,MATCH(1,(xlRTCLENDU=2)*(xlRTCLEQCL=$F451),0))</f>
        <v>CENT_AIR</v>
      </c>
      <c r="X451" s="153" t="str">
        <f t="array" ref="X451">INDEX(xlRTTYNAME,MATCH(1,(xlRTTYENDU=1)*(xlRTTYEQCL=$D451)*(xlRTEQTYPE=$E451),0))</f>
        <v>DIST_RAD3</v>
      </c>
      <c r="Y451" s="153" t="str">
        <f t="array" ref="Y451">INDEX(xlRTTYNAME,MATCH(1,(xlRTTYENDU=2)*(xlRTTYEQCL=$F451)*(xlRTEQTYPE=$G451),0))</f>
        <v>CENT_AIR3</v>
      </c>
    </row>
    <row r="452" spans="2:25" x14ac:dyDescent="0.2">
      <c r="B452" s="126">
        <v>5</v>
      </c>
      <c r="C452" s="126">
        <v>1</v>
      </c>
      <c r="D452" s="126">
        <v>8</v>
      </c>
      <c r="E452" s="126">
        <v>28</v>
      </c>
      <c r="F452" s="126">
        <v>2</v>
      </c>
      <c r="G452" s="126">
        <v>7</v>
      </c>
      <c r="H452" s="126">
        <v>2016</v>
      </c>
      <c r="I452" s="126">
        <v>2050</v>
      </c>
      <c r="J452" s="127">
        <v>1.0838000000000001</v>
      </c>
      <c r="K452" s="127">
        <v>1.0465</v>
      </c>
      <c r="L452" s="127">
        <v>0.67900000000000005</v>
      </c>
      <c r="M452" s="127">
        <v>0.88390000000000002</v>
      </c>
      <c r="N452" s="127">
        <v>0.75670000000000004</v>
      </c>
      <c r="O452" s="127">
        <v>1.0538000000000001</v>
      </c>
      <c r="P452" s="126">
        <v>7040</v>
      </c>
      <c r="Q452" s="128">
        <f t="array" ref="Q452">SUM(IF(($S452&gt;=4)*($C452='TaxCred&amp;Subs'!$D$123:$D$127)*($H452='TaxCred&amp;Subs'!$C$123:$C$127)*($H452&lt;='TaxCred&amp;Subs'!$C$129),'TaxCred&amp;Subs'!$E$123:$E$127,0))</f>
        <v>0</v>
      </c>
      <c r="R452" s="174">
        <v>0</v>
      </c>
      <c r="S452" s="126">
        <v>3</v>
      </c>
      <c r="T452" s="126" t="s">
        <v>247</v>
      </c>
      <c r="U452" s="158"/>
      <c r="V452" s="153" t="str">
        <f t="array" ref="V452">INDEX(xlRTCLNAME,MATCH(1,(xlRTCLENDU=1)*(xlRTCLEQCL=$D452),0))</f>
        <v>DIST_RAD</v>
      </c>
      <c r="W452" s="153" t="str">
        <f t="array" ref="W452">INDEX(xlRTCLNAME,MATCH(1,(xlRTCLENDU=2)*(xlRTCLEQCL=$F452),0))</f>
        <v>CENT_AIR</v>
      </c>
      <c r="X452" s="153" t="str">
        <f t="array" ref="X452">INDEX(xlRTTYNAME,MATCH(1,(xlRTTYENDU=1)*(xlRTTYEQCL=$D452)*(xlRTEQTYPE=$E452),0))</f>
        <v>DIST_RAD3</v>
      </c>
      <c r="Y452" s="153" t="str">
        <f t="array" ref="Y452">INDEX(xlRTTYNAME,MATCH(1,(xlRTTYENDU=2)*(xlRTTYEQCL=$F452)*(xlRTEQTYPE=$G452),0))</f>
        <v>CENT_AIR3</v>
      </c>
    </row>
    <row r="453" spans="2:25" x14ac:dyDescent="0.2">
      <c r="B453" s="126">
        <v>6</v>
      </c>
      <c r="C453" s="126">
        <v>1</v>
      </c>
      <c r="D453" s="126">
        <v>8</v>
      </c>
      <c r="E453" s="126">
        <v>28</v>
      </c>
      <c r="F453" s="126">
        <v>2</v>
      </c>
      <c r="G453" s="126">
        <v>7</v>
      </c>
      <c r="H453" s="126">
        <v>2016</v>
      </c>
      <c r="I453" s="126">
        <v>2050</v>
      </c>
      <c r="J453" s="127">
        <v>1.089</v>
      </c>
      <c r="K453" s="127">
        <v>1.0583</v>
      </c>
      <c r="L453" s="127">
        <v>0.7974</v>
      </c>
      <c r="M453" s="127">
        <v>0.89459999999999995</v>
      </c>
      <c r="N453" s="127">
        <v>0.88849999999999996</v>
      </c>
      <c r="O453" s="127">
        <v>1.0538000000000001</v>
      </c>
      <c r="P453" s="126">
        <v>6726</v>
      </c>
      <c r="Q453" s="128">
        <f t="array" ref="Q453">SUM(IF(($S453&gt;=4)*($C453='TaxCred&amp;Subs'!$D$123:$D$127)*($H453='TaxCred&amp;Subs'!$C$123:$C$127)*($H453&lt;='TaxCred&amp;Subs'!$C$129),'TaxCred&amp;Subs'!$E$123:$E$127,0))</f>
        <v>0</v>
      </c>
      <c r="R453" s="174">
        <v>0</v>
      </c>
      <c r="S453" s="126">
        <v>3</v>
      </c>
      <c r="T453" s="126" t="s">
        <v>247</v>
      </c>
      <c r="U453" s="158"/>
      <c r="V453" s="153" t="str">
        <f t="array" ref="V453">INDEX(xlRTCLNAME,MATCH(1,(xlRTCLENDU=1)*(xlRTCLEQCL=$D453),0))</f>
        <v>DIST_RAD</v>
      </c>
      <c r="W453" s="153" t="str">
        <f t="array" ref="W453">INDEX(xlRTCLNAME,MATCH(1,(xlRTCLENDU=2)*(xlRTCLEQCL=$F453),0))</f>
        <v>CENT_AIR</v>
      </c>
      <c r="X453" s="153" t="str">
        <f t="array" ref="X453">INDEX(xlRTTYNAME,MATCH(1,(xlRTTYENDU=1)*(xlRTTYEQCL=$D453)*(xlRTEQTYPE=$E453),0))</f>
        <v>DIST_RAD3</v>
      </c>
      <c r="Y453" s="153" t="str">
        <f t="array" ref="Y453">INDEX(xlRTTYNAME,MATCH(1,(xlRTTYENDU=2)*(xlRTTYEQCL=$F453)*(xlRTEQTYPE=$G453),0))</f>
        <v>CENT_AIR3</v>
      </c>
    </row>
    <row r="454" spans="2:25" x14ac:dyDescent="0.2">
      <c r="B454" s="126">
        <v>7</v>
      </c>
      <c r="C454" s="126">
        <v>1</v>
      </c>
      <c r="D454" s="126">
        <v>8</v>
      </c>
      <c r="E454" s="126">
        <v>28</v>
      </c>
      <c r="F454" s="126">
        <v>2</v>
      </c>
      <c r="G454" s="126">
        <v>7</v>
      </c>
      <c r="H454" s="126">
        <v>2016</v>
      </c>
      <c r="I454" s="126">
        <v>2050</v>
      </c>
      <c r="J454" s="127">
        <v>1.0867</v>
      </c>
      <c r="K454" s="127">
        <v>1.0682</v>
      </c>
      <c r="L454" s="127">
        <v>0.71750000000000003</v>
      </c>
      <c r="M454" s="127">
        <v>0.81489999999999996</v>
      </c>
      <c r="N454" s="127">
        <v>0.87180000000000002</v>
      </c>
      <c r="O454" s="127">
        <v>1.0538000000000001</v>
      </c>
      <c r="P454" s="126">
        <v>6395</v>
      </c>
      <c r="Q454" s="128">
        <f t="array" ref="Q454">SUM(IF(($S454&gt;=4)*($C454='TaxCred&amp;Subs'!$D$123:$D$127)*($H454='TaxCred&amp;Subs'!$C$123:$C$127)*($H454&lt;='TaxCred&amp;Subs'!$C$129),'TaxCred&amp;Subs'!$E$123:$E$127,0))</f>
        <v>0</v>
      </c>
      <c r="R454" s="174">
        <v>0</v>
      </c>
      <c r="S454" s="126">
        <v>3</v>
      </c>
      <c r="T454" s="126" t="s">
        <v>247</v>
      </c>
      <c r="U454" s="158"/>
      <c r="V454" s="153" t="str">
        <f t="array" ref="V454">INDEX(xlRTCLNAME,MATCH(1,(xlRTCLENDU=1)*(xlRTCLEQCL=$D454),0))</f>
        <v>DIST_RAD</v>
      </c>
      <c r="W454" s="153" t="str">
        <f t="array" ref="W454">INDEX(xlRTCLNAME,MATCH(1,(xlRTCLENDU=2)*(xlRTCLEQCL=$F454),0))</f>
        <v>CENT_AIR</v>
      </c>
      <c r="X454" s="153" t="str">
        <f t="array" ref="X454">INDEX(xlRTTYNAME,MATCH(1,(xlRTTYENDU=1)*(xlRTTYEQCL=$D454)*(xlRTEQTYPE=$E454),0))</f>
        <v>DIST_RAD3</v>
      </c>
      <c r="Y454" s="153" t="str">
        <f t="array" ref="Y454">INDEX(xlRTTYNAME,MATCH(1,(xlRTTYENDU=2)*(xlRTTYEQCL=$F454)*(xlRTEQTYPE=$G454),0))</f>
        <v>CENT_AIR3</v>
      </c>
    </row>
    <row r="455" spans="2:25" x14ac:dyDescent="0.2">
      <c r="B455" s="126">
        <v>8</v>
      </c>
      <c r="C455" s="126">
        <v>1</v>
      </c>
      <c r="D455" s="126">
        <v>8</v>
      </c>
      <c r="E455" s="126">
        <v>28</v>
      </c>
      <c r="F455" s="126">
        <v>2</v>
      </c>
      <c r="G455" s="126">
        <v>7</v>
      </c>
      <c r="H455" s="126">
        <v>2016</v>
      </c>
      <c r="I455" s="126">
        <v>2050</v>
      </c>
      <c r="J455" s="127">
        <v>1.0820000000000001</v>
      </c>
      <c r="K455" s="127">
        <v>1.0832999999999999</v>
      </c>
      <c r="L455" s="127">
        <v>0.58379999999999999</v>
      </c>
      <c r="M455" s="127">
        <v>0.79630000000000001</v>
      </c>
      <c r="N455" s="127">
        <v>0.86439999999999995</v>
      </c>
      <c r="O455" s="127">
        <v>1.0538000000000001</v>
      </c>
      <c r="P455" s="126">
        <v>10367</v>
      </c>
      <c r="Q455" s="128">
        <f t="array" ref="Q455">SUM(IF(($S455&gt;=4)*($C455='TaxCred&amp;Subs'!$D$123:$D$127)*($H455='TaxCred&amp;Subs'!$C$123:$C$127)*($H455&lt;='TaxCred&amp;Subs'!$C$129),'TaxCred&amp;Subs'!$E$123:$E$127,0))</f>
        <v>0</v>
      </c>
      <c r="R455" s="174">
        <v>0</v>
      </c>
      <c r="S455" s="126">
        <v>3</v>
      </c>
      <c r="T455" s="126" t="s">
        <v>247</v>
      </c>
      <c r="U455" s="158"/>
      <c r="V455" s="153" t="str">
        <f t="array" ref="V455">INDEX(xlRTCLNAME,MATCH(1,(xlRTCLENDU=1)*(xlRTCLEQCL=$D455),0))</f>
        <v>DIST_RAD</v>
      </c>
      <c r="W455" s="153" t="str">
        <f t="array" ref="W455">INDEX(xlRTCLNAME,MATCH(1,(xlRTCLENDU=2)*(xlRTCLEQCL=$F455),0))</f>
        <v>CENT_AIR</v>
      </c>
      <c r="X455" s="153" t="str">
        <f t="array" ref="X455">INDEX(xlRTTYNAME,MATCH(1,(xlRTTYENDU=1)*(xlRTTYEQCL=$D455)*(xlRTEQTYPE=$E455),0))</f>
        <v>DIST_RAD3</v>
      </c>
      <c r="Y455" s="153" t="str">
        <f t="array" ref="Y455">INDEX(xlRTTYNAME,MATCH(1,(xlRTTYENDU=2)*(xlRTTYEQCL=$F455)*(xlRTEQTYPE=$G455),0))</f>
        <v>CENT_AIR3</v>
      </c>
    </row>
    <row r="456" spans="2:25" x14ac:dyDescent="0.2">
      <c r="B456" s="126">
        <v>9</v>
      </c>
      <c r="C456" s="126">
        <v>1</v>
      </c>
      <c r="D456" s="126">
        <v>8</v>
      </c>
      <c r="E456" s="126">
        <v>28</v>
      </c>
      <c r="F456" s="126">
        <v>2</v>
      </c>
      <c r="G456" s="126">
        <v>7</v>
      </c>
      <c r="H456" s="126">
        <v>2016</v>
      </c>
      <c r="I456" s="126">
        <v>2050</v>
      </c>
      <c r="J456" s="127">
        <v>1.0414000000000001</v>
      </c>
      <c r="K456" s="127">
        <v>1.07</v>
      </c>
      <c r="L456" s="127">
        <v>0.89259999999999995</v>
      </c>
      <c r="M456" s="127">
        <v>0.90590000000000004</v>
      </c>
      <c r="N456" s="127">
        <v>1.026</v>
      </c>
      <c r="O456" s="127">
        <v>1.0538000000000001</v>
      </c>
      <c r="P456" s="126">
        <v>10115</v>
      </c>
      <c r="Q456" s="128">
        <f t="array" ref="Q456">SUM(IF(($S456&gt;=4)*($C456='TaxCred&amp;Subs'!$D$123:$D$127)*($H456='TaxCred&amp;Subs'!$C$123:$C$127)*($H456&lt;='TaxCred&amp;Subs'!$C$129),'TaxCred&amp;Subs'!$E$123:$E$127,0))</f>
        <v>0</v>
      </c>
      <c r="R456" s="174">
        <v>0</v>
      </c>
      <c r="S456" s="126">
        <v>3</v>
      </c>
      <c r="T456" s="126" t="s">
        <v>247</v>
      </c>
      <c r="U456" s="158"/>
      <c r="V456" s="153" t="str">
        <f t="array" ref="V456">INDEX(xlRTCLNAME,MATCH(1,(xlRTCLENDU=1)*(xlRTCLEQCL=$D456),0))</f>
        <v>DIST_RAD</v>
      </c>
      <c r="W456" s="153" t="str">
        <f t="array" ref="W456">INDEX(xlRTCLNAME,MATCH(1,(xlRTCLENDU=2)*(xlRTCLEQCL=$F456),0))</f>
        <v>CENT_AIR</v>
      </c>
      <c r="X456" s="153" t="str">
        <f t="array" ref="X456">INDEX(xlRTTYNAME,MATCH(1,(xlRTTYENDU=1)*(xlRTTYEQCL=$D456)*(xlRTEQTYPE=$E456),0))</f>
        <v>DIST_RAD3</v>
      </c>
      <c r="Y456" s="153" t="str">
        <f t="array" ref="Y456">INDEX(xlRTTYNAME,MATCH(1,(xlRTTYENDU=2)*(xlRTTYEQCL=$F456)*(xlRTEQTYPE=$G456),0))</f>
        <v>CENT_AIR3</v>
      </c>
    </row>
    <row r="457" spans="2:25" x14ac:dyDescent="0.2">
      <c r="B457" s="126">
        <v>1</v>
      </c>
      <c r="C457" s="126">
        <v>1</v>
      </c>
      <c r="D457" s="126">
        <v>9</v>
      </c>
      <c r="E457" s="126">
        <v>30</v>
      </c>
      <c r="F457" s="126">
        <v>2</v>
      </c>
      <c r="G457" s="126">
        <v>7</v>
      </c>
      <c r="H457" s="126">
        <v>2016</v>
      </c>
      <c r="I457" s="126">
        <v>2050</v>
      </c>
      <c r="J457" s="127">
        <v>1.0592999999999999</v>
      </c>
      <c r="K457" s="127">
        <v>1.0889</v>
      </c>
      <c r="L457" s="127">
        <v>0.56459999999999999</v>
      </c>
      <c r="M457" s="127">
        <v>0.95909999999999995</v>
      </c>
      <c r="N457" s="127">
        <v>0.8095</v>
      </c>
      <c r="O457" s="127">
        <v>1.0538000000000001</v>
      </c>
      <c r="P457" s="126">
        <v>10713</v>
      </c>
      <c r="Q457" s="128">
        <f t="array" ref="Q457">SUM(IF(($S457&gt;=4)*($C457='TaxCred&amp;Subs'!$D$123:$D$127)*($H457='TaxCred&amp;Subs'!$C$123:$C$127)*($H457&lt;='TaxCred&amp;Subs'!$C$129),'TaxCred&amp;Subs'!$E$123:$E$127,0))</f>
        <v>0</v>
      </c>
      <c r="R457" s="174">
        <v>0</v>
      </c>
      <c r="S457" s="126">
        <v>3</v>
      </c>
      <c r="T457" s="126" t="s">
        <v>247</v>
      </c>
      <c r="U457" s="158"/>
      <c r="V457" s="153" t="str">
        <f t="array" ref="V457">INDEX(xlRTCLNAME,MATCH(1,(xlRTCLENDU=1)*(xlRTCLEQCL=$D457),0))</f>
        <v>WOOD_HT</v>
      </c>
      <c r="W457" s="153" t="str">
        <f t="array" ref="W457">INDEX(xlRTCLNAME,MATCH(1,(xlRTCLENDU=2)*(xlRTCLEQCL=$F457),0))</f>
        <v>CENT_AIR</v>
      </c>
      <c r="X457" s="153" t="str">
        <f t="array" ref="X457">INDEX(xlRTTYNAME,MATCH(1,(xlRTTYENDU=1)*(xlRTTYEQCL=$D457)*(xlRTEQTYPE=$E457),0))</f>
        <v>WOOD_HT2</v>
      </c>
      <c r="Y457" s="153" t="str">
        <f t="array" ref="Y457">INDEX(xlRTTYNAME,MATCH(1,(xlRTTYENDU=2)*(xlRTTYEQCL=$F457)*(xlRTEQTYPE=$G457),0))</f>
        <v>CENT_AIR3</v>
      </c>
    </row>
    <row r="458" spans="2:25" x14ac:dyDescent="0.2">
      <c r="B458" s="126">
        <v>2</v>
      </c>
      <c r="C458" s="126">
        <v>1</v>
      </c>
      <c r="D458" s="126">
        <v>9</v>
      </c>
      <c r="E458" s="126">
        <v>30</v>
      </c>
      <c r="F458" s="126">
        <v>2</v>
      </c>
      <c r="G458" s="126">
        <v>7</v>
      </c>
      <c r="H458" s="126">
        <v>2016</v>
      </c>
      <c r="I458" s="126">
        <v>2050</v>
      </c>
      <c r="J458" s="127">
        <v>1.0717000000000001</v>
      </c>
      <c r="K458" s="127">
        <v>1.0895999999999999</v>
      </c>
      <c r="L458" s="127">
        <v>0.622</v>
      </c>
      <c r="M458" s="127">
        <v>0.84060000000000001</v>
      </c>
      <c r="N458" s="127">
        <v>0.92630000000000001</v>
      </c>
      <c r="O458" s="127">
        <v>1.0538000000000001</v>
      </c>
      <c r="P458" s="126">
        <v>10433</v>
      </c>
      <c r="Q458" s="128">
        <f t="array" ref="Q458">SUM(IF(($S458&gt;=4)*($C458='TaxCred&amp;Subs'!$D$123:$D$127)*($H458='TaxCred&amp;Subs'!$C$123:$C$127)*($H458&lt;='TaxCred&amp;Subs'!$C$129),'TaxCred&amp;Subs'!$E$123:$E$127,0))</f>
        <v>0</v>
      </c>
      <c r="R458" s="174">
        <v>0</v>
      </c>
      <c r="S458" s="126">
        <v>3</v>
      </c>
      <c r="T458" s="126" t="s">
        <v>247</v>
      </c>
      <c r="U458" s="158"/>
      <c r="V458" s="153" t="str">
        <f t="array" ref="V458">INDEX(xlRTCLNAME,MATCH(1,(xlRTCLENDU=1)*(xlRTCLEQCL=$D458),0))</f>
        <v>WOOD_HT</v>
      </c>
      <c r="W458" s="153" t="str">
        <f t="array" ref="W458">INDEX(xlRTCLNAME,MATCH(1,(xlRTCLENDU=2)*(xlRTCLEQCL=$F458),0))</f>
        <v>CENT_AIR</v>
      </c>
      <c r="X458" s="153" t="str">
        <f t="array" ref="X458">INDEX(xlRTTYNAME,MATCH(1,(xlRTTYENDU=1)*(xlRTTYEQCL=$D458)*(xlRTEQTYPE=$E458),0))</f>
        <v>WOOD_HT2</v>
      </c>
      <c r="Y458" s="153" t="str">
        <f t="array" ref="Y458">INDEX(xlRTTYNAME,MATCH(1,(xlRTTYENDU=2)*(xlRTTYEQCL=$F458)*(xlRTEQTYPE=$G458),0))</f>
        <v>CENT_AIR3</v>
      </c>
    </row>
    <row r="459" spans="2:25" x14ac:dyDescent="0.2">
      <c r="B459" s="126">
        <v>3</v>
      </c>
      <c r="C459" s="126">
        <v>1</v>
      </c>
      <c r="D459" s="126">
        <v>9</v>
      </c>
      <c r="E459" s="126">
        <v>30</v>
      </c>
      <c r="F459" s="126">
        <v>2</v>
      </c>
      <c r="G459" s="126">
        <v>7</v>
      </c>
      <c r="H459" s="126">
        <v>2016</v>
      </c>
      <c r="I459" s="126">
        <v>2050</v>
      </c>
      <c r="J459" s="127">
        <v>1.0821000000000001</v>
      </c>
      <c r="K459" s="127">
        <v>1.0769</v>
      </c>
      <c r="L459" s="127">
        <v>0.52210000000000001</v>
      </c>
      <c r="M459" s="127">
        <v>0.9194</v>
      </c>
      <c r="N459" s="127">
        <v>0.91400000000000003</v>
      </c>
      <c r="O459" s="127">
        <v>1.0538000000000001</v>
      </c>
      <c r="P459" s="126">
        <v>9671</v>
      </c>
      <c r="Q459" s="128">
        <f t="array" ref="Q459">SUM(IF(($S459&gt;=4)*($C459='TaxCred&amp;Subs'!$D$123:$D$127)*($H459='TaxCred&amp;Subs'!$C$123:$C$127)*($H459&lt;='TaxCred&amp;Subs'!$C$129),'TaxCred&amp;Subs'!$E$123:$E$127,0))</f>
        <v>0</v>
      </c>
      <c r="R459" s="174">
        <v>0</v>
      </c>
      <c r="S459" s="126">
        <v>3</v>
      </c>
      <c r="T459" s="126" t="s">
        <v>247</v>
      </c>
      <c r="U459" s="158"/>
      <c r="V459" s="153" t="str">
        <f t="array" ref="V459">INDEX(xlRTCLNAME,MATCH(1,(xlRTCLENDU=1)*(xlRTCLEQCL=$D459),0))</f>
        <v>WOOD_HT</v>
      </c>
      <c r="W459" s="153" t="str">
        <f t="array" ref="W459">INDEX(xlRTCLNAME,MATCH(1,(xlRTCLENDU=2)*(xlRTCLEQCL=$F459),0))</f>
        <v>CENT_AIR</v>
      </c>
      <c r="X459" s="153" t="str">
        <f t="array" ref="X459">INDEX(xlRTTYNAME,MATCH(1,(xlRTTYENDU=1)*(xlRTTYEQCL=$D459)*(xlRTEQTYPE=$E459),0))</f>
        <v>WOOD_HT2</v>
      </c>
      <c r="Y459" s="153" t="str">
        <f t="array" ref="Y459">INDEX(xlRTTYNAME,MATCH(1,(xlRTTYENDU=2)*(xlRTTYEQCL=$F459)*(xlRTEQTYPE=$G459),0))</f>
        <v>CENT_AIR3</v>
      </c>
    </row>
    <row r="460" spans="2:25" x14ac:dyDescent="0.2">
      <c r="B460" s="126">
        <v>4</v>
      </c>
      <c r="C460" s="126">
        <v>1</v>
      </c>
      <c r="D460" s="126">
        <v>9</v>
      </c>
      <c r="E460" s="126">
        <v>30</v>
      </c>
      <c r="F460" s="126">
        <v>2</v>
      </c>
      <c r="G460" s="126">
        <v>7</v>
      </c>
      <c r="H460" s="126">
        <v>2016</v>
      </c>
      <c r="I460" s="126">
        <v>2050</v>
      </c>
      <c r="J460" s="127">
        <v>1.0812999999999999</v>
      </c>
      <c r="K460" s="127">
        <v>1.0769</v>
      </c>
      <c r="L460" s="127">
        <v>0.52690000000000003</v>
      </c>
      <c r="M460" s="127">
        <v>0.86580000000000001</v>
      </c>
      <c r="N460" s="127">
        <v>0.85660000000000003</v>
      </c>
      <c r="O460" s="127">
        <v>1.0538000000000001</v>
      </c>
      <c r="P460" s="126">
        <v>7922</v>
      </c>
      <c r="Q460" s="128">
        <f t="array" ref="Q460">SUM(IF(($S460&gt;=4)*($C460='TaxCred&amp;Subs'!$D$123:$D$127)*($H460='TaxCred&amp;Subs'!$C$123:$C$127)*($H460&lt;='TaxCred&amp;Subs'!$C$129),'TaxCred&amp;Subs'!$E$123:$E$127,0))</f>
        <v>0</v>
      </c>
      <c r="R460" s="174">
        <v>0</v>
      </c>
      <c r="S460" s="126">
        <v>3</v>
      </c>
      <c r="T460" s="126" t="s">
        <v>247</v>
      </c>
      <c r="U460" s="158"/>
      <c r="V460" s="153" t="str">
        <f t="array" ref="V460">INDEX(xlRTCLNAME,MATCH(1,(xlRTCLENDU=1)*(xlRTCLEQCL=$D460),0))</f>
        <v>WOOD_HT</v>
      </c>
      <c r="W460" s="153" t="str">
        <f t="array" ref="W460">INDEX(xlRTCLNAME,MATCH(1,(xlRTCLENDU=2)*(xlRTCLEQCL=$F460),0))</f>
        <v>CENT_AIR</v>
      </c>
      <c r="X460" s="153" t="str">
        <f t="array" ref="X460">INDEX(xlRTTYNAME,MATCH(1,(xlRTTYENDU=1)*(xlRTTYEQCL=$D460)*(xlRTEQTYPE=$E460),0))</f>
        <v>WOOD_HT2</v>
      </c>
      <c r="Y460" s="153" t="str">
        <f t="array" ref="Y460">INDEX(xlRTTYNAME,MATCH(1,(xlRTTYENDU=2)*(xlRTTYEQCL=$F460)*(xlRTEQTYPE=$G460),0))</f>
        <v>CENT_AIR3</v>
      </c>
    </row>
    <row r="461" spans="2:25" x14ac:dyDescent="0.2">
      <c r="B461" s="126">
        <v>5</v>
      </c>
      <c r="C461" s="126">
        <v>1</v>
      </c>
      <c r="D461" s="126">
        <v>9</v>
      </c>
      <c r="E461" s="126">
        <v>30</v>
      </c>
      <c r="F461" s="126">
        <v>2</v>
      </c>
      <c r="G461" s="126">
        <v>7</v>
      </c>
      <c r="H461" s="126">
        <v>2016</v>
      </c>
      <c r="I461" s="126">
        <v>2050</v>
      </c>
      <c r="J461" s="127">
        <v>1.0838000000000001</v>
      </c>
      <c r="K461" s="127">
        <v>1.0465</v>
      </c>
      <c r="L461" s="127">
        <v>0.67900000000000005</v>
      </c>
      <c r="M461" s="127">
        <v>0.88390000000000002</v>
      </c>
      <c r="N461" s="127">
        <v>0.75670000000000004</v>
      </c>
      <c r="O461" s="127">
        <v>1.0538000000000001</v>
      </c>
      <c r="P461" s="126">
        <v>7040</v>
      </c>
      <c r="Q461" s="128">
        <f t="array" ref="Q461">SUM(IF(($S461&gt;=4)*($C461='TaxCred&amp;Subs'!$D$123:$D$127)*($H461='TaxCred&amp;Subs'!$C$123:$C$127)*($H461&lt;='TaxCred&amp;Subs'!$C$129),'TaxCred&amp;Subs'!$E$123:$E$127,0))</f>
        <v>0</v>
      </c>
      <c r="R461" s="174">
        <v>0</v>
      </c>
      <c r="S461" s="126">
        <v>3</v>
      </c>
      <c r="T461" s="126" t="s">
        <v>247</v>
      </c>
      <c r="U461" s="158"/>
      <c r="V461" s="153" t="str">
        <f t="array" ref="V461">INDEX(xlRTCLNAME,MATCH(1,(xlRTCLENDU=1)*(xlRTCLEQCL=$D461),0))</f>
        <v>WOOD_HT</v>
      </c>
      <c r="W461" s="153" t="str">
        <f t="array" ref="W461">INDEX(xlRTCLNAME,MATCH(1,(xlRTCLENDU=2)*(xlRTCLEQCL=$F461),0))</f>
        <v>CENT_AIR</v>
      </c>
      <c r="X461" s="153" t="str">
        <f t="array" ref="X461">INDEX(xlRTTYNAME,MATCH(1,(xlRTTYENDU=1)*(xlRTTYEQCL=$D461)*(xlRTEQTYPE=$E461),0))</f>
        <v>WOOD_HT2</v>
      </c>
      <c r="Y461" s="153" t="str">
        <f t="array" ref="Y461">INDEX(xlRTTYNAME,MATCH(1,(xlRTTYENDU=2)*(xlRTTYEQCL=$F461)*(xlRTEQTYPE=$G461),0))</f>
        <v>CENT_AIR3</v>
      </c>
    </row>
    <row r="462" spans="2:25" x14ac:dyDescent="0.2">
      <c r="B462" s="126">
        <v>6</v>
      </c>
      <c r="C462" s="126">
        <v>1</v>
      </c>
      <c r="D462" s="126">
        <v>9</v>
      </c>
      <c r="E462" s="126">
        <v>30</v>
      </c>
      <c r="F462" s="126">
        <v>2</v>
      </c>
      <c r="G462" s="126">
        <v>7</v>
      </c>
      <c r="H462" s="126">
        <v>2016</v>
      </c>
      <c r="I462" s="126">
        <v>2050</v>
      </c>
      <c r="J462" s="127">
        <v>1.089</v>
      </c>
      <c r="K462" s="127">
        <v>1.0583</v>
      </c>
      <c r="L462" s="127">
        <v>0.7974</v>
      </c>
      <c r="M462" s="127">
        <v>0.89459999999999995</v>
      </c>
      <c r="N462" s="127">
        <v>0.88849999999999996</v>
      </c>
      <c r="O462" s="127">
        <v>1.0538000000000001</v>
      </c>
      <c r="P462" s="126">
        <v>6726</v>
      </c>
      <c r="Q462" s="128">
        <f t="array" ref="Q462">SUM(IF(($S462&gt;=4)*($C462='TaxCred&amp;Subs'!$D$123:$D$127)*($H462='TaxCred&amp;Subs'!$C$123:$C$127)*($H462&lt;='TaxCred&amp;Subs'!$C$129),'TaxCred&amp;Subs'!$E$123:$E$127,0))</f>
        <v>0</v>
      </c>
      <c r="R462" s="174">
        <v>0</v>
      </c>
      <c r="S462" s="126">
        <v>3</v>
      </c>
      <c r="T462" s="126" t="s">
        <v>247</v>
      </c>
      <c r="U462" s="158"/>
      <c r="V462" s="153" t="str">
        <f t="array" ref="V462">INDEX(xlRTCLNAME,MATCH(1,(xlRTCLENDU=1)*(xlRTCLEQCL=$D462),0))</f>
        <v>WOOD_HT</v>
      </c>
      <c r="W462" s="153" t="str">
        <f t="array" ref="W462">INDEX(xlRTCLNAME,MATCH(1,(xlRTCLENDU=2)*(xlRTCLEQCL=$F462),0))</f>
        <v>CENT_AIR</v>
      </c>
      <c r="X462" s="153" t="str">
        <f t="array" ref="X462">INDEX(xlRTTYNAME,MATCH(1,(xlRTTYENDU=1)*(xlRTTYEQCL=$D462)*(xlRTEQTYPE=$E462),0))</f>
        <v>WOOD_HT2</v>
      </c>
      <c r="Y462" s="153" t="str">
        <f t="array" ref="Y462">INDEX(xlRTTYNAME,MATCH(1,(xlRTTYENDU=2)*(xlRTTYEQCL=$F462)*(xlRTEQTYPE=$G462),0))</f>
        <v>CENT_AIR3</v>
      </c>
    </row>
    <row r="463" spans="2:25" x14ac:dyDescent="0.2">
      <c r="B463" s="126">
        <v>7</v>
      </c>
      <c r="C463" s="126">
        <v>1</v>
      </c>
      <c r="D463" s="126">
        <v>9</v>
      </c>
      <c r="E463" s="126">
        <v>30</v>
      </c>
      <c r="F463" s="126">
        <v>2</v>
      </c>
      <c r="G463" s="126">
        <v>7</v>
      </c>
      <c r="H463" s="126">
        <v>2016</v>
      </c>
      <c r="I463" s="126">
        <v>2050</v>
      </c>
      <c r="J463" s="127">
        <v>1.0867</v>
      </c>
      <c r="K463" s="127">
        <v>1.0682</v>
      </c>
      <c r="L463" s="127">
        <v>0.71750000000000003</v>
      </c>
      <c r="M463" s="127">
        <v>0.81489999999999996</v>
      </c>
      <c r="N463" s="127">
        <v>0.87180000000000002</v>
      </c>
      <c r="O463" s="127">
        <v>1.0538000000000001</v>
      </c>
      <c r="P463" s="126">
        <v>6395</v>
      </c>
      <c r="Q463" s="128">
        <f t="array" ref="Q463">SUM(IF(($S463&gt;=4)*($C463='TaxCred&amp;Subs'!$D$123:$D$127)*($H463='TaxCred&amp;Subs'!$C$123:$C$127)*($H463&lt;='TaxCred&amp;Subs'!$C$129),'TaxCred&amp;Subs'!$E$123:$E$127,0))</f>
        <v>0</v>
      </c>
      <c r="R463" s="174">
        <v>0</v>
      </c>
      <c r="S463" s="126">
        <v>3</v>
      </c>
      <c r="T463" s="126" t="s">
        <v>247</v>
      </c>
      <c r="U463" s="158"/>
      <c r="V463" s="153" t="str">
        <f t="array" ref="V463">INDEX(xlRTCLNAME,MATCH(1,(xlRTCLENDU=1)*(xlRTCLEQCL=$D463),0))</f>
        <v>WOOD_HT</v>
      </c>
      <c r="W463" s="153" t="str">
        <f t="array" ref="W463">INDEX(xlRTCLNAME,MATCH(1,(xlRTCLENDU=2)*(xlRTCLEQCL=$F463),0))</f>
        <v>CENT_AIR</v>
      </c>
      <c r="X463" s="153" t="str">
        <f t="array" ref="X463">INDEX(xlRTTYNAME,MATCH(1,(xlRTTYENDU=1)*(xlRTTYEQCL=$D463)*(xlRTEQTYPE=$E463),0))</f>
        <v>WOOD_HT2</v>
      </c>
      <c r="Y463" s="153" t="str">
        <f t="array" ref="Y463">INDEX(xlRTTYNAME,MATCH(1,(xlRTTYENDU=2)*(xlRTTYEQCL=$F463)*(xlRTEQTYPE=$G463),0))</f>
        <v>CENT_AIR3</v>
      </c>
    </row>
    <row r="464" spans="2:25" x14ac:dyDescent="0.2">
      <c r="B464" s="126">
        <v>8</v>
      </c>
      <c r="C464" s="126">
        <v>1</v>
      </c>
      <c r="D464" s="126">
        <v>9</v>
      </c>
      <c r="E464" s="126">
        <v>30</v>
      </c>
      <c r="F464" s="126">
        <v>2</v>
      </c>
      <c r="G464" s="126">
        <v>7</v>
      </c>
      <c r="H464" s="126">
        <v>2016</v>
      </c>
      <c r="I464" s="126">
        <v>2050</v>
      </c>
      <c r="J464" s="127">
        <v>1.0820000000000001</v>
      </c>
      <c r="K464" s="127">
        <v>1.0832999999999999</v>
      </c>
      <c r="L464" s="127">
        <v>0.58379999999999999</v>
      </c>
      <c r="M464" s="127">
        <v>0.79630000000000001</v>
      </c>
      <c r="N464" s="127">
        <v>0.86439999999999995</v>
      </c>
      <c r="O464" s="127">
        <v>1.0538000000000001</v>
      </c>
      <c r="P464" s="126">
        <v>10367</v>
      </c>
      <c r="Q464" s="128">
        <f t="array" ref="Q464">SUM(IF(($S464&gt;=4)*($C464='TaxCred&amp;Subs'!$D$123:$D$127)*($H464='TaxCred&amp;Subs'!$C$123:$C$127)*($H464&lt;='TaxCred&amp;Subs'!$C$129),'TaxCred&amp;Subs'!$E$123:$E$127,0))</f>
        <v>0</v>
      </c>
      <c r="R464" s="174">
        <v>0</v>
      </c>
      <c r="S464" s="126">
        <v>3</v>
      </c>
      <c r="T464" s="126" t="s">
        <v>247</v>
      </c>
      <c r="U464" s="158"/>
      <c r="V464" s="153" t="str">
        <f t="array" ref="V464">INDEX(xlRTCLNAME,MATCH(1,(xlRTCLENDU=1)*(xlRTCLEQCL=$D464),0))</f>
        <v>WOOD_HT</v>
      </c>
      <c r="W464" s="153" t="str">
        <f t="array" ref="W464">INDEX(xlRTCLNAME,MATCH(1,(xlRTCLENDU=2)*(xlRTCLEQCL=$F464),0))</f>
        <v>CENT_AIR</v>
      </c>
      <c r="X464" s="153" t="str">
        <f t="array" ref="X464">INDEX(xlRTTYNAME,MATCH(1,(xlRTTYENDU=1)*(xlRTTYEQCL=$D464)*(xlRTEQTYPE=$E464),0))</f>
        <v>WOOD_HT2</v>
      </c>
      <c r="Y464" s="153" t="str">
        <f t="array" ref="Y464">INDEX(xlRTTYNAME,MATCH(1,(xlRTTYENDU=2)*(xlRTTYEQCL=$F464)*(xlRTEQTYPE=$G464),0))</f>
        <v>CENT_AIR3</v>
      </c>
    </row>
    <row r="465" spans="2:25" x14ac:dyDescent="0.2">
      <c r="B465" s="126">
        <v>9</v>
      </c>
      <c r="C465" s="126">
        <v>1</v>
      </c>
      <c r="D465" s="126">
        <v>9</v>
      </c>
      <c r="E465" s="126">
        <v>30</v>
      </c>
      <c r="F465" s="126">
        <v>2</v>
      </c>
      <c r="G465" s="126">
        <v>7</v>
      </c>
      <c r="H465" s="126">
        <v>2016</v>
      </c>
      <c r="I465" s="126">
        <v>2050</v>
      </c>
      <c r="J465" s="127">
        <v>1.0414000000000001</v>
      </c>
      <c r="K465" s="127">
        <v>1.07</v>
      </c>
      <c r="L465" s="127">
        <v>0.89259999999999995</v>
      </c>
      <c r="M465" s="127">
        <v>0.90590000000000004</v>
      </c>
      <c r="N465" s="127">
        <v>1.026</v>
      </c>
      <c r="O465" s="127">
        <v>1.0538000000000001</v>
      </c>
      <c r="P465" s="126">
        <v>10115</v>
      </c>
      <c r="Q465" s="128">
        <f t="array" ref="Q465">SUM(IF(($S465&gt;=4)*($C465='TaxCred&amp;Subs'!$D$123:$D$127)*($H465='TaxCred&amp;Subs'!$C$123:$C$127)*($H465&lt;='TaxCred&amp;Subs'!$C$129),'TaxCred&amp;Subs'!$E$123:$E$127,0))</f>
        <v>0</v>
      </c>
      <c r="R465" s="174">
        <v>0</v>
      </c>
      <c r="S465" s="126">
        <v>3</v>
      </c>
      <c r="T465" s="126" t="s">
        <v>247</v>
      </c>
      <c r="U465" s="158"/>
      <c r="V465" s="153" t="str">
        <f t="array" ref="V465">INDEX(xlRTCLNAME,MATCH(1,(xlRTCLENDU=1)*(xlRTCLEQCL=$D465),0))</f>
        <v>WOOD_HT</v>
      </c>
      <c r="W465" s="153" t="str">
        <f t="array" ref="W465">INDEX(xlRTCLNAME,MATCH(1,(xlRTCLENDU=2)*(xlRTCLEQCL=$F465),0))</f>
        <v>CENT_AIR</v>
      </c>
      <c r="X465" s="153" t="str">
        <f t="array" ref="X465">INDEX(xlRTTYNAME,MATCH(1,(xlRTTYENDU=1)*(xlRTTYEQCL=$D465)*(xlRTEQTYPE=$E465),0))</f>
        <v>WOOD_HT2</v>
      </c>
      <c r="Y465" s="153" t="str">
        <f t="array" ref="Y465">INDEX(xlRTTYNAME,MATCH(1,(xlRTTYENDU=2)*(xlRTTYEQCL=$F465)*(xlRTEQTYPE=$G465),0))</f>
        <v>CENT_AIR3</v>
      </c>
    </row>
    <row r="466" spans="2:25" x14ac:dyDescent="0.2">
      <c r="B466" s="126">
        <v>1</v>
      </c>
      <c r="C466" s="126">
        <v>1</v>
      </c>
      <c r="D466" s="126">
        <v>10</v>
      </c>
      <c r="E466" s="126">
        <v>34</v>
      </c>
      <c r="F466" s="126">
        <v>4</v>
      </c>
      <c r="G466" s="126">
        <v>15</v>
      </c>
      <c r="H466" s="126">
        <v>2016</v>
      </c>
      <c r="I466" s="159">
        <v>2050</v>
      </c>
      <c r="J466" s="127">
        <v>1.1071</v>
      </c>
      <c r="K466" s="127">
        <v>1.0713999999999999</v>
      </c>
      <c r="L466" s="127">
        <v>0.50919999999999999</v>
      </c>
      <c r="M466" s="127">
        <v>0.96350000000000002</v>
      </c>
      <c r="N466" s="127">
        <v>0.80640000000000001</v>
      </c>
      <c r="O466" s="127">
        <v>1.0538000000000001</v>
      </c>
      <c r="P466" s="126">
        <v>10850</v>
      </c>
      <c r="Q466" s="128">
        <f t="array" ref="Q466">SUM(IF(($S466&gt;=4)*($C466='TaxCred&amp;Subs'!$D$123:$D$127)*($H466='TaxCred&amp;Subs'!$C$123:$C$127)*($H466&lt;='TaxCred&amp;Subs'!$C$129),'TaxCred&amp;Subs'!$E$123:$E$127,0))</f>
        <v>0</v>
      </c>
      <c r="R466" s="174">
        <v>0</v>
      </c>
      <c r="S466" s="126">
        <v>3</v>
      </c>
      <c r="T466" s="126" t="s">
        <v>247</v>
      </c>
      <c r="U466" s="158"/>
      <c r="V466" s="153" t="str">
        <f t="array" ref="V466">INDEX(xlRTCLNAME,MATCH(1,(xlRTCLENDU=1)*(xlRTCLEQCL=$D466),0))</f>
        <v>GEO_HP</v>
      </c>
      <c r="W466" s="153" t="str">
        <f t="array" ref="W466">INDEX(xlRTCLNAME,MATCH(1,(xlRTCLENDU=2)*(xlRTCLEQCL=$F466),0))</f>
        <v>GEO_HP</v>
      </c>
      <c r="X466" s="153" t="str">
        <f t="array" ref="X466">INDEX(xlRTTYNAME,MATCH(1,(xlRTTYENDU=1)*(xlRTTYEQCL=$D466)*(xlRTEQTYPE=$E466),0))</f>
        <v>GEO_HP3</v>
      </c>
      <c r="Y466" s="153" t="str">
        <f t="array" ref="Y466">INDEX(xlRTTYNAME,MATCH(1,(xlRTTYENDU=2)*(xlRTTYEQCL=$F466)*(xlRTEQTYPE=$G466),0))</f>
        <v>GEO_HP3</v>
      </c>
    </row>
    <row r="467" spans="2:25" x14ac:dyDescent="0.2">
      <c r="B467" s="126">
        <v>2</v>
      </c>
      <c r="C467" s="126">
        <v>1</v>
      </c>
      <c r="D467" s="126">
        <v>10</v>
      </c>
      <c r="E467" s="126">
        <v>34</v>
      </c>
      <c r="F467" s="126">
        <v>4</v>
      </c>
      <c r="G467" s="126">
        <v>15</v>
      </c>
      <c r="H467" s="126">
        <v>2016</v>
      </c>
      <c r="I467" s="159">
        <v>2050</v>
      </c>
      <c r="J467" s="127">
        <v>1.0371999999999999</v>
      </c>
      <c r="K467" s="127">
        <v>1.0698000000000001</v>
      </c>
      <c r="L467" s="127">
        <v>0.58069999999999999</v>
      </c>
      <c r="M467" s="127">
        <v>0.83250000000000002</v>
      </c>
      <c r="N467" s="127">
        <v>0.95350000000000001</v>
      </c>
      <c r="O467" s="127">
        <v>1.0538000000000001</v>
      </c>
      <c r="P467" s="126">
        <v>10590</v>
      </c>
      <c r="Q467" s="128">
        <f t="array" ref="Q467">SUM(IF(($S467&gt;=4)*($C467='TaxCred&amp;Subs'!$D$123:$D$127)*($H467='TaxCred&amp;Subs'!$C$123:$C$127)*($H467&lt;='TaxCred&amp;Subs'!$C$129),'TaxCred&amp;Subs'!$E$123:$E$127,0))</f>
        <v>0</v>
      </c>
      <c r="R467" s="174">
        <v>0</v>
      </c>
      <c r="S467" s="126">
        <v>3</v>
      </c>
      <c r="T467" s="126" t="s">
        <v>247</v>
      </c>
      <c r="U467" s="158"/>
      <c r="V467" s="153" t="str">
        <f t="array" ref="V467">INDEX(xlRTCLNAME,MATCH(1,(xlRTCLENDU=1)*(xlRTCLEQCL=$D467),0))</f>
        <v>GEO_HP</v>
      </c>
      <c r="W467" s="153" t="str">
        <f t="array" ref="W467">INDEX(xlRTCLNAME,MATCH(1,(xlRTCLENDU=2)*(xlRTCLEQCL=$F467),0))</f>
        <v>GEO_HP</v>
      </c>
      <c r="X467" s="153" t="str">
        <f t="array" ref="X467">INDEX(xlRTTYNAME,MATCH(1,(xlRTTYENDU=1)*(xlRTTYEQCL=$D467)*(xlRTEQTYPE=$E467),0))</f>
        <v>GEO_HP3</v>
      </c>
      <c r="Y467" s="153" t="str">
        <f t="array" ref="Y467">INDEX(xlRTTYNAME,MATCH(1,(xlRTTYENDU=2)*(xlRTTYEQCL=$F467)*(xlRTEQTYPE=$G467),0))</f>
        <v>GEO_HP3</v>
      </c>
    </row>
    <row r="468" spans="2:25" x14ac:dyDescent="0.2">
      <c r="B468" s="126">
        <v>3</v>
      </c>
      <c r="C468" s="126">
        <v>1</v>
      </c>
      <c r="D468" s="126">
        <v>10</v>
      </c>
      <c r="E468" s="126">
        <v>34</v>
      </c>
      <c r="F468" s="126">
        <v>4</v>
      </c>
      <c r="G468" s="126">
        <v>15</v>
      </c>
      <c r="H468" s="126">
        <v>2016</v>
      </c>
      <c r="I468" s="159">
        <v>2050</v>
      </c>
      <c r="J468" s="127">
        <v>1.0431999999999999</v>
      </c>
      <c r="K468" s="127">
        <v>1.0625</v>
      </c>
      <c r="L468" s="127">
        <v>0.4728</v>
      </c>
      <c r="M468" s="127">
        <v>0.89749999999999996</v>
      </c>
      <c r="N468" s="127">
        <v>0.91259999999999997</v>
      </c>
      <c r="O468" s="127">
        <v>1.0538000000000001</v>
      </c>
      <c r="P468" s="126">
        <v>9704</v>
      </c>
      <c r="Q468" s="128">
        <f t="array" ref="Q468">SUM(IF(($S468&gt;=4)*($C468='TaxCred&amp;Subs'!$D$123:$D$127)*($H468='TaxCred&amp;Subs'!$C$123:$C$127)*($H468&lt;='TaxCred&amp;Subs'!$C$129),'TaxCred&amp;Subs'!$E$123:$E$127,0))</f>
        <v>0</v>
      </c>
      <c r="R468" s="174">
        <v>0</v>
      </c>
      <c r="S468" s="126">
        <v>3</v>
      </c>
      <c r="T468" s="126" t="s">
        <v>247</v>
      </c>
      <c r="U468" s="158"/>
      <c r="V468" s="153" t="str">
        <f t="array" ref="V468">INDEX(xlRTCLNAME,MATCH(1,(xlRTCLENDU=1)*(xlRTCLEQCL=$D468),0))</f>
        <v>GEO_HP</v>
      </c>
      <c r="W468" s="153" t="str">
        <f t="array" ref="W468">INDEX(xlRTCLNAME,MATCH(1,(xlRTCLENDU=2)*(xlRTCLEQCL=$F468),0))</f>
        <v>GEO_HP</v>
      </c>
      <c r="X468" s="153" t="str">
        <f t="array" ref="X468">INDEX(xlRTTYNAME,MATCH(1,(xlRTTYENDU=1)*(xlRTTYEQCL=$D468)*(xlRTEQTYPE=$E468),0))</f>
        <v>GEO_HP3</v>
      </c>
      <c r="Y468" s="153" t="str">
        <f t="array" ref="Y468">INDEX(xlRTTYNAME,MATCH(1,(xlRTTYENDU=2)*(xlRTTYEQCL=$F468)*(xlRTEQTYPE=$G468),0))</f>
        <v>GEO_HP3</v>
      </c>
    </row>
    <row r="469" spans="2:25" x14ac:dyDescent="0.2">
      <c r="B469" s="126">
        <v>4</v>
      </c>
      <c r="C469" s="126">
        <v>1</v>
      </c>
      <c r="D469" s="126">
        <v>10</v>
      </c>
      <c r="E469" s="126">
        <v>34</v>
      </c>
      <c r="F469" s="126">
        <v>4</v>
      </c>
      <c r="G469" s="126">
        <v>15</v>
      </c>
      <c r="H469" s="126">
        <v>2016</v>
      </c>
      <c r="I469" s="159">
        <v>2050</v>
      </c>
      <c r="J469" s="127">
        <v>1.0781000000000001</v>
      </c>
      <c r="K469" s="127">
        <v>1.087</v>
      </c>
      <c r="L469" s="127">
        <v>0.47520000000000001</v>
      </c>
      <c r="M469" s="127">
        <v>0.84709999999999996</v>
      </c>
      <c r="N469" s="127">
        <v>0.84850000000000003</v>
      </c>
      <c r="O469" s="127">
        <v>1.0538000000000001</v>
      </c>
      <c r="P469" s="126">
        <v>7856</v>
      </c>
      <c r="Q469" s="128">
        <f t="array" ref="Q469">SUM(IF(($S469&gt;=4)*($C469='TaxCred&amp;Subs'!$D$123:$D$127)*($H469='TaxCred&amp;Subs'!$C$123:$C$127)*($H469&lt;='TaxCred&amp;Subs'!$C$129),'TaxCred&amp;Subs'!$E$123:$E$127,0))</f>
        <v>0</v>
      </c>
      <c r="R469" s="174">
        <v>0</v>
      </c>
      <c r="S469" s="126">
        <v>3</v>
      </c>
      <c r="T469" s="126" t="s">
        <v>247</v>
      </c>
      <c r="U469" s="158"/>
      <c r="V469" s="153" t="str">
        <f t="array" ref="V469">INDEX(xlRTCLNAME,MATCH(1,(xlRTCLENDU=1)*(xlRTCLEQCL=$D469),0))</f>
        <v>GEO_HP</v>
      </c>
      <c r="W469" s="153" t="str">
        <f t="array" ref="W469">INDEX(xlRTCLNAME,MATCH(1,(xlRTCLENDU=2)*(xlRTCLEQCL=$F469),0))</f>
        <v>GEO_HP</v>
      </c>
      <c r="X469" s="153" t="str">
        <f t="array" ref="X469">INDEX(xlRTTYNAME,MATCH(1,(xlRTTYENDU=1)*(xlRTTYEQCL=$D469)*(xlRTEQTYPE=$E469),0))</f>
        <v>GEO_HP3</v>
      </c>
      <c r="Y469" s="153" t="str">
        <f t="array" ref="Y469">INDEX(xlRTTYNAME,MATCH(1,(xlRTTYENDU=2)*(xlRTTYEQCL=$F469)*(xlRTEQTYPE=$G469),0))</f>
        <v>GEO_HP3</v>
      </c>
    </row>
    <row r="470" spans="2:25" x14ac:dyDescent="0.2">
      <c r="B470" s="126">
        <v>5</v>
      </c>
      <c r="C470" s="126">
        <v>1</v>
      </c>
      <c r="D470" s="126">
        <v>10</v>
      </c>
      <c r="E470" s="126">
        <v>34</v>
      </c>
      <c r="F470" s="126">
        <v>4</v>
      </c>
      <c r="G470" s="126">
        <v>15</v>
      </c>
      <c r="H470" s="126">
        <v>2016</v>
      </c>
      <c r="I470" s="159">
        <v>2050</v>
      </c>
      <c r="J470" s="127">
        <v>1.0843</v>
      </c>
      <c r="K470" s="127">
        <v>1.0722</v>
      </c>
      <c r="L470" s="127">
        <v>0.67849999999999999</v>
      </c>
      <c r="M470" s="127">
        <v>0.87050000000000005</v>
      </c>
      <c r="N470" s="127">
        <v>0.76049999999999995</v>
      </c>
      <c r="O470" s="127">
        <v>1.0538000000000001</v>
      </c>
      <c r="P470" s="126">
        <v>7354</v>
      </c>
      <c r="Q470" s="128">
        <f t="array" ref="Q470">SUM(IF(($S470&gt;=4)*($C470='TaxCred&amp;Subs'!$D$123:$D$127)*($H470='TaxCred&amp;Subs'!$C$123:$C$127)*($H470&lt;='TaxCred&amp;Subs'!$C$129),'TaxCred&amp;Subs'!$E$123:$E$127,0))</f>
        <v>0</v>
      </c>
      <c r="R470" s="174">
        <v>0</v>
      </c>
      <c r="S470" s="126">
        <v>3</v>
      </c>
      <c r="T470" s="126" t="s">
        <v>247</v>
      </c>
      <c r="U470" s="158"/>
      <c r="V470" s="153" t="str">
        <f t="array" ref="V470">INDEX(xlRTCLNAME,MATCH(1,(xlRTCLENDU=1)*(xlRTCLEQCL=$D470),0))</f>
        <v>GEO_HP</v>
      </c>
      <c r="W470" s="153" t="str">
        <f t="array" ref="W470">INDEX(xlRTCLNAME,MATCH(1,(xlRTCLENDU=2)*(xlRTCLEQCL=$F470),0))</f>
        <v>GEO_HP</v>
      </c>
      <c r="X470" s="153" t="str">
        <f t="array" ref="X470">INDEX(xlRTTYNAME,MATCH(1,(xlRTTYENDU=1)*(xlRTTYEQCL=$D470)*(xlRTEQTYPE=$E470),0))</f>
        <v>GEO_HP3</v>
      </c>
      <c r="Y470" s="153" t="str">
        <f t="array" ref="Y470">INDEX(xlRTTYNAME,MATCH(1,(xlRTTYENDU=2)*(xlRTTYEQCL=$F470)*(xlRTEQTYPE=$G470),0))</f>
        <v>GEO_HP3</v>
      </c>
    </row>
    <row r="471" spans="2:25" x14ac:dyDescent="0.2">
      <c r="B471" s="126">
        <v>6</v>
      </c>
      <c r="C471" s="126">
        <v>1</v>
      </c>
      <c r="D471" s="126">
        <v>10</v>
      </c>
      <c r="E471" s="126">
        <v>34</v>
      </c>
      <c r="F471" s="126">
        <v>4</v>
      </c>
      <c r="G471" s="126">
        <v>15</v>
      </c>
      <c r="H471" s="126">
        <v>2016</v>
      </c>
      <c r="I471" s="159">
        <v>2050</v>
      </c>
      <c r="J471" s="127">
        <v>1.0982000000000001</v>
      </c>
      <c r="K471" s="127">
        <v>1.0805</v>
      </c>
      <c r="L471" s="127">
        <v>0.5081</v>
      </c>
      <c r="M471" s="127">
        <v>0.76859999999999995</v>
      </c>
      <c r="N471" s="127">
        <v>0.88680000000000003</v>
      </c>
      <c r="O471" s="127">
        <v>1.0538000000000001</v>
      </c>
      <c r="P471" s="126">
        <v>6323</v>
      </c>
      <c r="Q471" s="128">
        <f t="array" ref="Q471">SUM(IF(($S471&gt;=4)*($C471='TaxCred&amp;Subs'!$D$123:$D$127)*($H471='TaxCred&amp;Subs'!$C$123:$C$127)*($H471&lt;='TaxCred&amp;Subs'!$C$129),'TaxCred&amp;Subs'!$E$123:$E$127,0))</f>
        <v>0</v>
      </c>
      <c r="R471" s="174">
        <v>0</v>
      </c>
      <c r="S471" s="126">
        <v>3</v>
      </c>
      <c r="T471" s="126" t="s">
        <v>247</v>
      </c>
      <c r="U471" s="158"/>
      <c r="V471" s="153" t="str">
        <f t="array" ref="V471">INDEX(xlRTCLNAME,MATCH(1,(xlRTCLENDU=1)*(xlRTCLEQCL=$D471),0))</f>
        <v>GEO_HP</v>
      </c>
      <c r="W471" s="153" t="str">
        <f t="array" ref="W471">INDEX(xlRTCLNAME,MATCH(1,(xlRTCLENDU=2)*(xlRTCLEQCL=$F471),0))</f>
        <v>GEO_HP</v>
      </c>
      <c r="X471" s="153" t="str">
        <f t="array" ref="X471">INDEX(xlRTTYNAME,MATCH(1,(xlRTTYENDU=1)*(xlRTTYEQCL=$D471)*(xlRTEQTYPE=$E471),0))</f>
        <v>GEO_HP3</v>
      </c>
      <c r="Y471" s="153" t="str">
        <f t="array" ref="Y471">INDEX(xlRTTYNAME,MATCH(1,(xlRTTYENDU=2)*(xlRTTYEQCL=$F471)*(xlRTEQTYPE=$G471),0))</f>
        <v>GEO_HP3</v>
      </c>
    </row>
    <row r="472" spans="2:25" x14ac:dyDescent="0.2">
      <c r="B472" s="126">
        <v>7</v>
      </c>
      <c r="C472" s="126">
        <v>1</v>
      </c>
      <c r="D472" s="126">
        <v>10</v>
      </c>
      <c r="E472" s="126">
        <v>34</v>
      </c>
      <c r="F472" s="126">
        <v>4</v>
      </c>
      <c r="G472" s="126">
        <v>15</v>
      </c>
      <c r="H472" s="126">
        <v>2016</v>
      </c>
      <c r="I472" s="159">
        <v>2050</v>
      </c>
      <c r="J472" s="127">
        <v>1.1200000000000001</v>
      </c>
      <c r="K472" s="127">
        <v>1.0769</v>
      </c>
      <c r="L472" s="127">
        <v>0.86129999999999995</v>
      </c>
      <c r="M472" s="127">
        <v>0.82499999999999996</v>
      </c>
      <c r="N472" s="127">
        <v>0.8871</v>
      </c>
      <c r="O472" s="127">
        <v>1.0538000000000001</v>
      </c>
      <c r="P472" s="126">
        <v>6327</v>
      </c>
      <c r="Q472" s="128">
        <f t="array" ref="Q472">SUM(IF(($S472&gt;=4)*($C472='TaxCred&amp;Subs'!$D$123:$D$127)*($H472='TaxCred&amp;Subs'!$C$123:$C$127)*($H472&lt;='TaxCred&amp;Subs'!$C$129),'TaxCred&amp;Subs'!$E$123:$E$127,0))</f>
        <v>0</v>
      </c>
      <c r="R472" s="174">
        <v>0</v>
      </c>
      <c r="S472" s="126">
        <v>3</v>
      </c>
      <c r="T472" s="126" t="s">
        <v>247</v>
      </c>
      <c r="U472" s="158"/>
      <c r="V472" s="153" t="str">
        <f t="array" ref="V472">INDEX(xlRTCLNAME,MATCH(1,(xlRTCLENDU=1)*(xlRTCLEQCL=$D472),0))</f>
        <v>GEO_HP</v>
      </c>
      <c r="W472" s="153" t="str">
        <f t="array" ref="W472">INDEX(xlRTCLNAME,MATCH(1,(xlRTCLENDU=2)*(xlRTCLEQCL=$F472),0))</f>
        <v>GEO_HP</v>
      </c>
      <c r="X472" s="153" t="str">
        <f t="array" ref="X472">INDEX(xlRTTYNAME,MATCH(1,(xlRTTYENDU=1)*(xlRTTYEQCL=$D472)*(xlRTEQTYPE=$E472),0))</f>
        <v>GEO_HP3</v>
      </c>
      <c r="Y472" s="153" t="str">
        <f t="array" ref="Y472">INDEX(xlRTTYNAME,MATCH(1,(xlRTTYENDU=2)*(xlRTTYEQCL=$F472)*(xlRTEQTYPE=$G472),0))</f>
        <v>GEO_HP3</v>
      </c>
    </row>
    <row r="473" spans="2:25" x14ac:dyDescent="0.2">
      <c r="B473" s="126">
        <v>8</v>
      </c>
      <c r="C473" s="126">
        <v>1</v>
      </c>
      <c r="D473" s="126">
        <v>10</v>
      </c>
      <c r="E473" s="126">
        <v>34</v>
      </c>
      <c r="F473" s="126">
        <v>4</v>
      </c>
      <c r="G473" s="126">
        <v>15</v>
      </c>
      <c r="H473" s="126">
        <v>2016</v>
      </c>
      <c r="I473" s="159">
        <v>2050</v>
      </c>
      <c r="J473" s="127">
        <v>1.0417000000000001</v>
      </c>
      <c r="K473" s="127">
        <v>1.0667</v>
      </c>
      <c r="L473" s="127">
        <v>0.49790000000000001</v>
      </c>
      <c r="M473" s="127">
        <v>0.87719999999999998</v>
      </c>
      <c r="N473" s="127">
        <v>0.88300000000000001</v>
      </c>
      <c r="O473" s="127">
        <v>1.0538000000000001</v>
      </c>
      <c r="P473" s="126">
        <v>10355</v>
      </c>
      <c r="Q473" s="128">
        <f t="array" ref="Q473">SUM(IF(($S473&gt;=4)*($C473='TaxCred&amp;Subs'!$D$123:$D$127)*($H473='TaxCred&amp;Subs'!$C$123:$C$127)*($H473&lt;='TaxCred&amp;Subs'!$C$129),'TaxCred&amp;Subs'!$E$123:$E$127,0))</f>
        <v>0</v>
      </c>
      <c r="R473" s="174">
        <v>0</v>
      </c>
      <c r="S473" s="126">
        <v>3</v>
      </c>
      <c r="T473" s="126" t="s">
        <v>247</v>
      </c>
      <c r="U473" s="158"/>
      <c r="V473" s="153" t="str">
        <f t="array" ref="V473">INDEX(xlRTCLNAME,MATCH(1,(xlRTCLENDU=1)*(xlRTCLEQCL=$D473),0))</f>
        <v>GEO_HP</v>
      </c>
      <c r="W473" s="153" t="str">
        <f t="array" ref="W473">INDEX(xlRTCLNAME,MATCH(1,(xlRTCLENDU=2)*(xlRTCLEQCL=$F473),0))</f>
        <v>GEO_HP</v>
      </c>
      <c r="X473" s="153" t="str">
        <f t="array" ref="X473">INDEX(xlRTTYNAME,MATCH(1,(xlRTTYENDU=1)*(xlRTTYEQCL=$D473)*(xlRTEQTYPE=$E473),0))</f>
        <v>GEO_HP3</v>
      </c>
      <c r="Y473" s="153" t="str">
        <f t="array" ref="Y473">INDEX(xlRTTYNAME,MATCH(1,(xlRTTYENDU=2)*(xlRTTYEQCL=$F473)*(xlRTEQTYPE=$G473),0))</f>
        <v>GEO_HP3</v>
      </c>
    </row>
    <row r="474" spans="2:25" x14ac:dyDescent="0.2">
      <c r="B474" s="126">
        <v>9</v>
      </c>
      <c r="C474" s="126">
        <v>1</v>
      </c>
      <c r="D474" s="126">
        <v>10</v>
      </c>
      <c r="E474" s="126">
        <v>34</v>
      </c>
      <c r="F474" s="126">
        <v>4</v>
      </c>
      <c r="G474" s="126">
        <v>15</v>
      </c>
      <c r="H474" s="126">
        <v>2016</v>
      </c>
      <c r="I474" s="159">
        <v>2050</v>
      </c>
      <c r="J474" s="127">
        <v>1.0611999999999999</v>
      </c>
      <c r="K474" s="127">
        <v>1.0428999999999999</v>
      </c>
      <c r="L474" s="127">
        <v>0.84819999999999995</v>
      </c>
      <c r="M474" s="127">
        <v>0.90049999999999997</v>
      </c>
      <c r="N474" s="127">
        <v>1.0349999999999999</v>
      </c>
      <c r="O474" s="127">
        <v>1.0538000000000001</v>
      </c>
      <c r="P474" s="126">
        <v>9338</v>
      </c>
      <c r="Q474" s="128">
        <f t="array" ref="Q474">SUM(IF(($S474&gt;=4)*($C474='TaxCred&amp;Subs'!$D$123:$D$127)*($H474='TaxCred&amp;Subs'!$C$123:$C$127)*($H474&lt;='TaxCred&amp;Subs'!$C$129),'TaxCred&amp;Subs'!$E$123:$E$127,0))</f>
        <v>0</v>
      </c>
      <c r="R474" s="174">
        <v>0</v>
      </c>
      <c r="S474" s="126">
        <v>3</v>
      </c>
      <c r="T474" s="126" t="s">
        <v>247</v>
      </c>
      <c r="U474" s="158"/>
      <c r="V474" s="153" t="str">
        <f t="array" ref="V474">INDEX(xlRTCLNAME,MATCH(1,(xlRTCLENDU=1)*(xlRTCLEQCL=$D474),0))</f>
        <v>GEO_HP</v>
      </c>
      <c r="W474" s="153" t="str">
        <f t="array" ref="W474">INDEX(xlRTCLNAME,MATCH(1,(xlRTCLENDU=2)*(xlRTCLEQCL=$F474),0))</f>
        <v>GEO_HP</v>
      </c>
      <c r="X474" s="153" t="str">
        <f t="array" ref="X474">INDEX(xlRTTYNAME,MATCH(1,(xlRTTYENDU=1)*(xlRTTYEQCL=$D474)*(xlRTEQTYPE=$E474),0))</f>
        <v>GEO_HP3</v>
      </c>
      <c r="Y474" s="153" t="str">
        <f t="array" ref="Y474">INDEX(xlRTTYNAME,MATCH(1,(xlRTTYENDU=2)*(xlRTTYEQCL=$F474)*(xlRTEQTYPE=$G474),0))</f>
        <v>GEO_HP3</v>
      </c>
    </row>
    <row r="475" spans="2:25" x14ac:dyDescent="0.2">
      <c r="B475" s="126">
        <v>1</v>
      </c>
      <c r="C475" s="126">
        <v>1</v>
      </c>
      <c r="D475" s="126">
        <v>11</v>
      </c>
      <c r="E475" s="126">
        <v>36</v>
      </c>
      <c r="F475" s="126">
        <v>5</v>
      </c>
      <c r="G475" s="126">
        <v>17</v>
      </c>
      <c r="H475" s="126">
        <v>2016</v>
      </c>
      <c r="I475" s="126">
        <v>2050</v>
      </c>
      <c r="J475" s="127">
        <v>1.0803</v>
      </c>
      <c r="K475" s="127">
        <v>1.0667</v>
      </c>
      <c r="L475" s="127">
        <v>0.57279999999999998</v>
      </c>
      <c r="M475" s="127">
        <v>0.95909999999999995</v>
      </c>
      <c r="N475" s="127">
        <v>0.79790000000000005</v>
      </c>
      <c r="O475" s="127">
        <v>1.0538000000000001</v>
      </c>
      <c r="P475" s="126">
        <v>10850</v>
      </c>
      <c r="Q475" s="128">
        <f t="array" ref="Q475">SUM(IF(($S475&gt;=4)*($C475='TaxCred&amp;Subs'!$D$123:$D$127)*($H475='TaxCred&amp;Subs'!$C$123:$C$127)*($H475&lt;='TaxCred&amp;Subs'!$C$129),'TaxCred&amp;Subs'!$E$123:$E$127,0))</f>
        <v>0</v>
      </c>
      <c r="R475" s="174">
        <v>0</v>
      </c>
      <c r="S475" s="126">
        <v>3</v>
      </c>
      <c r="T475" s="126" t="s">
        <v>247</v>
      </c>
      <c r="U475" s="158"/>
      <c r="V475" s="153" t="str">
        <f t="array" ref="V475">INDEX(xlRTCLNAME,MATCH(1,(xlRTCLENDU=1)*(xlRTCLEQCL=$D475),0))</f>
        <v>NG_HP</v>
      </c>
      <c r="W475" s="153" t="str">
        <f t="array" ref="W475">INDEX(xlRTCLNAME,MATCH(1,(xlRTCLENDU=2)*(xlRTCLEQCL=$F475),0))</f>
        <v>NG_HP</v>
      </c>
      <c r="X475" s="153" t="str">
        <f t="array" ref="X475">INDEX(xlRTTYNAME,MATCH(1,(xlRTTYENDU=1)*(xlRTTYEQCL=$D475)*(xlRTEQTYPE=$E475),0))</f>
        <v>NG_HP2</v>
      </c>
      <c r="Y475" s="153" t="str">
        <f t="array" ref="Y475">INDEX(xlRTTYNAME,MATCH(1,(xlRTTYENDU=2)*(xlRTTYEQCL=$F475)*(xlRTEQTYPE=$G475),0))</f>
        <v>NG_HP2</v>
      </c>
    </row>
    <row r="476" spans="2:25" x14ac:dyDescent="0.2">
      <c r="B476" s="126">
        <v>2</v>
      </c>
      <c r="C476" s="126">
        <v>1</v>
      </c>
      <c r="D476" s="126">
        <v>11</v>
      </c>
      <c r="E476" s="126">
        <v>36</v>
      </c>
      <c r="F476" s="126">
        <v>5</v>
      </c>
      <c r="G476" s="126">
        <v>17</v>
      </c>
      <c r="H476" s="126">
        <v>2016</v>
      </c>
      <c r="I476" s="126">
        <v>2050</v>
      </c>
      <c r="J476" s="127">
        <v>1.0649</v>
      </c>
      <c r="K476" s="127">
        <v>1.0597000000000001</v>
      </c>
      <c r="L476" s="127">
        <v>0.6411</v>
      </c>
      <c r="M476" s="127">
        <v>0.84060000000000001</v>
      </c>
      <c r="N476" s="127">
        <v>0.93169999999999997</v>
      </c>
      <c r="O476" s="127">
        <v>1.0538000000000001</v>
      </c>
      <c r="P476" s="126">
        <v>10767</v>
      </c>
      <c r="Q476" s="128">
        <f t="array" ref="Q476">SUM(IF(($S476&gt;=4)*($C476='TaxCred&amp;Subs'!$D$123:$D$127)*($H476='TaxCred&amp;Subs'!$C$123:$C$127)*($H476&lt;='TaxCred&amp;Subs'!$C$129),'TaxCred&amp;Subs'!$E$123:$E$127,0))</f>
        <v>0</v>
      </c>
      <c r="R476" s="174">
        <v>0</v>
      </c>
      <c r="S476" s="126">
        <v>3</v>
      </c>
      <c r="T476" s="126" t="s">
        <v>247</v>
      </c>
      <c r="U476" s="158"/>
      <c r="V476" s="153" t="str">
        <f t="array" ref="V476">INDEX(xlRTCLNAME,MATCH(1,(xlRTCLENDU=1)*(xlRTCLEQCL=$D476),0))</f>
        <v>NG_HP</v>
      </c>
      <c r="W476" s="153" t="str">
        <f t="array" ref="W476">INDEX(xlRTCLNAME,MATCH(1,(xlRTCLENDU=2)*(xlRTCLEQCL=$F476),0))</f>
        <v>NG_HP</v>
      </c>
      <c r="X476" s="153" t="str">
        <f t="array" ref="X476">INDEX(xlRTTYNAME,MATCH(1,(xlRTTYENDU=1)*(xlRTTYEQCL=$D476)*(xlRTEQTYPE=$E476),0))</f>
        <v>NG_HP2</v>
      </c>
      <c r="Y476" s="153" t="str">
        <f t="array" ref="Y476">INDEX(xlRTTYNAME,MATCH(1,(xlRTTYENDU=2)*(xlRTTYEQCL=$F476)*(xlRTEQTYPE=$G476),0))</f>
        <v>NG_HP2</v>
      </c>
    </row>
    <row r="477" spans="2:25" x14ac:dyDescent="0.2">
      <c r="B477" s="126">
        <v>3</v>
      </c>
      <c r="C477" s="126">
        <v>1</v>
      </c>
      <c r="D477" s="126">
        <v>11</v>
      </c>
      <c r="E477" s="126">
        <v>36</v>
      </c>
      <c r="F477" s="126">
        <v>5</v>
      </c>
      <c r="G477" s="126">
        <v>17</v>
      </c>
      <c r="H477" s="126">
        <v>2016</v>
      </c>
      <c r="I477" s="126">
        <v>2050</v>
      </c>
      <c r="J477" s="127">
        <v>1.0469999999999999</v>
      </c>
      <c r="K477" s="127">
        <v>1.0769</v>
      </c>
      <c r="L477" s="127">
        <v>0.52969999999999995</v>
      </c>
      <c r="M477" s="127">
        <v>0.9194</v>
      </c>
      <c r="N477" s="127">
        <v>0.91600000000000004</v>
      </c>
      <c r="O477" s="127">
        <v>1.0538000000000001</v>
      </c>
      <c r="P477" s="126">
        <v>9671</v>
      </c>
      <c r="Q477" s="128">
        <f t="array" ref="Q477">SUM(IF(($S477&gt;=4)*($C477='TaxCred&amp;Subs'!$D$123:$D$127)*($H477='TaxCred&amp;Subs'!$C$123:$C$127)*($H477&lt;='TaxCred&amp;Subs'!$C$129),'TaxCred&amp;Subs'!$E$123:$E$127,0))</f>
        <v>0</v>
      </c>
      <c r="R477" s="174">
        <v>0</v>
      </c>
      <c r="S477" s="126">
        <v>3</v>
      </c>
      <c r="T477" s="126" t="s">
        <v>247</v>
      </c>
      <c r="U477" s="158"/>
      <c r="V477" s="153" t="str">
        <f t="array" ref="V477">INDEX(xlRTCLNAME,MATCH(1,(xlRTCLENDU=1)*(xlRTCLEQCL=$D477),0))</f>
        <v>NG_HP</v>
      </c>
      <c r="W477" s="153" t="str">
        <f t="array" ref="W477">INDEX(xlRTCLNAME,MATCH(1,(xlRTCLENDU=2)*(xlRTCLEQCL=$F477),0))</f>
        <v>NG_HP</v>
      </c>
      <c r="X477" s="153" t="str">
        <f t="array" ref="X477">INDEX(xlRTTYNAME,MATCH(1,(xlRTTYENDU=1)*(xlRTTYEQCL=$D477)*(xlRTEQTYPE=$E477),0))</f>
        <v>NG_HP2</v>
      </c>
      <c r="Y477" s="153" t="str">
        <f t="array" ref="Y477">INDEX(xlRTTYNAME,MATCH(1,(xlRTTYENDU=2)*(xlRTTYEQCL=$F477)*(xlRTEQTYPE=$G477),0))</f>
        <v>NG_HP2</v>
      </c>
    </row>
    <row r="478" spans="2:25" x14ac:dyDescent="0.2">
      <c r="B478" s="126">
        <v>4</v>
      </c>
      <c r="C478" s="126">
        <v>1</v>
      </c>
      <c r="D478" s="126">
        <v>11</v>
      </c>
      <c r="E478" s="126">
        <v>36</v>
      </c>
      <c r="F478" s="126">
        <v>5</v>
      </c>
      <c r="G478" s="126">
        <v>17</v>
      </c>
      <c r="H478" s="126">
        <v>2016</v>
      </c>
      <c r="I478" s="126">
        <v>2050</v>
      </c>
      <c r="J478" s="127">
        <v>1.0862000000000001</v>
      </c>
      <c r="K478" s="127">
        <v>1.0769</v>
      </c>
      <c r="L478" s="127">
        <v>0.53590000000000004</v>
      </c>
      <c r="M478" s="127">
        <v>0.85419999999999996</v>
      </c>
      <c r="N478" s="127">
        <v>0.85770000000000002</v>
      </c>
      <c r="O478" s="127">
        <v>1.0538000000000001</v>
      </c>
      <c r="P478" s="126">
        <v>7732</v>
      </c>
      <c r="Q478" s="128">
        <f t="array" ref="Q478">SUM(IF(($S478&gt;=4)*($C478='TaxCred&amp;Subs'!$D$123:$D$127)*($H478='TaxCred&amp;Subs'!$C$123:$C$127)*($H478&lt;='TaxCred&amp;Subs'!$C$129),'TaxCred&amp;Subs'!$E$123:$E$127,0))</f>
        <v>0</v>
      </c>
      <c r="R478" s="174">
        <v>0</v>
      </c>
      <c r="S478" s="126">
        <v>3</v>
      </c>
      <c r="T478" s="126" t="s">
        <v>247</v>
      </c>
      <c r="U478" s="158"/>
      <c r="V478" s="153" t="str">
        <f t="array" ref="V478">INDEX(xlRTCLNAME,MATCH(1,(xlRTCLENDU=1)*(xlRTCLEQCL=$D478),0))</f>
        <v>NG_HP</v>
      </c>
      <c r="W478" s="153" t="str">
        <f t="array" ref="W478">INDEX(xlRTCLNAME,MATCH(1,(xlRTCLENDU=2)*(xlRTCLEQCL=$F478),0))</f>
        <v>NG_HP</v>
      </c>
      <c r="X478" s="153" t="str">
        <f t="array" ref="X478">INDEX(xlRTTYNAME,MATCH(1,(xlRTTYENDU=1)*(xlRTTYEQCL=$D478)*(xlRTEQTYPE=$E478),0))</f>
        <v>NG_HP2</v>
      </c>
      <c r="Y478" s="153" t="str">
        <f t="array" ref="Y478">INDEX(xlRTTYNAME,MATCH(1,(xlRTTYENDU=2)*(xlRTTYEQCL=$F478)*(xlRTEQTYPE=$G478),0))</f>
        <v>NG_HP2</v>
      </c>
    </row>
    <row r="479" spans="2:25" x14ac:dyDescent="0.2">
      <c r="B479" s="126">
        <v>5</v>
      </c>
      <c r="C479" s="126">
        <v>1</v>
      </c>
      <c r="D479" s="126">
        <v>11</v>
      </c>
      <c r="E479" s="126">
        <v>36</v>
      </c>
      <c r="F479" s="126">
        <v>5</v>
      </c>
      <c r="G479" s="126">
        <v>17</v>
      </c>
      <c r="H479" s="126">
        <v>2016</v>
      </c>
      <c r="I479" s="126">
        <v>2050</v>
      </c>
      <c r="J479" s="127">
        <v>1.0849</v>
      </c>
      <c r="K479" s="127">
        <v>1.0471999999999999</v>
      </c>
      <c r="L479" s="127">
        <v>0.6915</v>
      </c>
      <c r="M479" s="127">
        <v>0.88759999999999994</v>
      </c>
      <c r="N479" s="127">
        <v>0.76180000000000003</v>
      </c>
      <c r="O479" s="127">
        <v>1.0538000000000001</v>
      </c>
      <c r="P479" s="126">
        <v>7112</v>
      </c>
      <c r="Q479" s="128">
        <f t="array" ref="Q479">SUM(IF(($S479&gt;=4)*($C479='TaxCred&amp;Subs'!$D$123:$D$127)*($H479='TaxCred&amp;Subs'!$C$123:$C$127)*($H479&lt;='TaxCred&amp;Subs'!$C$129),'TaxCred&amp;Subs'!$E$123:$E$127,0))</f>
        <v>0</v>
      </c>
      <c r="R479" s="174">
        <v>0</v>
      </c>
      <c r="S479" s="126">
        <v>3</v>
      </c>
      <c r="T479" s="126" t="s">
        <v>247</v>
      </c>
      <c r="U479" s="158"/>
      <c r="V479" s="153" t="str">
        <f t="array" ref="V479">INDEX(xlRTCLNAME,MATCH(1,(xlRTCLENDU=1)*(xlRTCLEQCL=$D479),0))</f>
        <v>NG_HP</v>
      </c>
      <c r="W479" s="153" t="str">
        <f t="array" ref="W479">INDEX(xlRTCLNAME,MATCH(1,(xlRTCLENDU=2)*(xlRTCLEQCL=$F479),0))</f>
        <v>NG_HP</v>
      </c>
      <c r="X479" s="153" t="str">
        <f t="array" ref="X479">INDEX(xlRTTYNAME,MATCH(1,(xlRTTYENDU=1)*(xlRTTYEQCL=$D479)*(xlRTEQTYPE=$E479),0))</f>
        <v>NG_HP2</v>
      </c>
      <c r="Y479" s="153" t="str">
        <f t="array" ref="Y479">INDEX(xlRTTYNAME,MATCH(1,(xlRTTYENDU=2)*(xlRTTYEQCL=$F479)*(xlRTEQTYPE=$G479),0))</f>
        <v>NG_HP2</v>
      </c>
    </row>
    <row r="480" spans="2:25" x14ac:dyDescent="0.2">
      <c r="B480" s="126">
        <v>6</v>
      </c>
      <c r="C480" s="126">
        <v>1</v>
      </c>
      <c r="D480" s="126">
        <v>11</v>
      </c>
      <c r="E480" s="126">
        <v>36</v>
      </c>
      <c r="F480" s="126">
        <v>5</v>
      </c>
      <c r="G480" s="126">
        <v>17</v>
      </c>
      <c r="H480" s="126">
        <v>2016</v>
      </c>
      <c r="I480" s="126">
        <v>2050</v>
      </c>
      <c r="J480" s="127">
        <v>1.0924</v>
      </c>
      <c r="K480" s="127">
        <v>1.0661</v>
      </c>
      <c r="L480" s="127">
        <v>0.75209999999999999</v>
      </c>
      <c r="M480" s="127">
        <v>0.89880000000000004</v>
      </c>
      <c r="N480" s="127">
        <v>0.89100000000000001</v>
      </c>
      <c r="O480" s="127">
        <v>1.0538000000000001</v>
      </c>
      <c r="P480" s="126">
        <v>7692</v>
      </c>
      <c r="Q480" s="128">
        <f t="array" ref="Q480">SUM(IF(($S480&gt;=4)*($C480='TaxCred&amp;Subs'!$D$123:$D$127)*($H480='TaxCred&amp;Subs'!$C$123:$C$127)*($H480&lt;='TaxCred&amp;Subs'!$C$129),'TaxCred&amp;Subs'!$E$123:$E$127,0))</f>
        <v>0</v>
      </c>
      <c r="R480" s="174">
        <v>0</v>
      </c>
      <c r="S480" s="126">
        <v>3</v>
      </c>
      <c r="T480" s="126" t="s">
        <v>247</v>
      </c>
      <c r="U480" s="158"/>
      <c r="V480" s="153" t="str">
        <f t="array" ref="V480">INDEX(xlRTCLNAME,MATCH(1,(xlRTCLENDU=1)*(xlRTCLEQCL=$D480),0))</f>
        <v>NG_HP</v>
      </c>
      <c r="W480" s="153" t="str">
        <f t="array" ref="W480">INDEX(xlRTCLNAME,MATCH(1,(xlRTCLENDU=2)*(xlRTCLEQCL=$F480),0))</f>
        <v>NG_HP</v>
      </c>
      <c r="X480" s="153" t="str">
        <f t="array" ref="X480">INDEX(xlRTTYNAME,MATCH(1,(xlRTTYENDU=1)*(xlRTTYEQCL=$D480)*(xlRTEQTYPE=$E480),0))</f>
        <v>NG_HP2</v>
      </c>
      <c r="Y480" s="153" t="str">
        <f t="array" ref="Y480">INDEX(xlRTTYNAME,MATCH(1,(xlRTTYENDU=2)*(xlRTTYEQCL=$F480)*(xlRTEQTYPE=$G480),0))</f>
        <v>NG_HP2</v>
      </c>
    </row>
    <row r="481" spans="1:25" x14ac:dyDescent="0.2">
      <c r="B481" s="126">
        <v>7</v>
      </c>
      <c r="C481" s="126">
        <v>1</v>
      </c>
      <c r="D481" s="126">
        <v>11</v>
      </c>
      <c r="E481" s="126">
        <v>36</v>
      </c>
      <c r="F481" s="126">
        <v>5</v>
      </c>
      <c r="G481" s="126">
        <v>17</v>
      </c>
      <c r="H481" s="126">
        <v>2016</v>
      </c>
      <c r="I481" s="126">
        <v>2050</v>
      </c>
      <c r="J481" s="127">
        <v>1.0905</v>
      </c>
      <c r="K481" s="127">
        <v>1.0562</v>
      </c>
      <c r="L481" s="127">
        <v>0.77559999999999996</v>
      </c>
      <c r="M481" s="127">
        <v>0.80289999999999995</v>
      </c>
      <c r="N481" s="127">
        <v>0.87180000000000002</v>
      </c>
      <c r="O481" s="127">
        <v>1.0538000000000001</v>
      </c>
      <c r="P481" s="126">
        <v>6902</v>
      </c>
      <c r="Q481" s="128">
        <f t="array" ref="Q481">SUM(IF(($S481&gt;=4)*($C481='TaxCred&amp;Subs'!$D$123:$D$127)*($H481='TaxCred&amp;Subs'!$C$123:$C$127)*($H481&lt;='TaxCred&amp;Subs'!$C$129),'TaxCred&amp;Subs'!$E$123:$E$127,0))</f>
        <v>0</v>
      </c>
      <c r="R481" s="174">
        <v>0</v>
      </c>
      <c r="S481" s="126">
        <v>3</v>
      </c>
      <c r="T481" s="126" t="s">
        <v>247</v>
      </c>
      <c r="U481" s="158"/>
      <c r="V481" s="153" t="str">
        <f t="array" ref="V481">INDEX(xlRTCLNAME,MATCH(1,(xlRTCLENDU=1)*(xlRTCLEQCL=$D481),0))</f>
        <v>NG_HP</v>
      </c>
      <c r="W481" s="153" t="str">
        <f t="array" ref="W481">INDEX(xlRTCLNAME,MATCH(1,(xlRTCLENDU=2)*(xlRTCLEQCL=$F481),0))</f>
        <v>NG_HP</v>
      </c>
      <c r="X481" s="153" t="str">
        <f t="array" ref="X481">INDEX(xlRTTYNAME,MATCH(1,(xlRTTYENDU=1)*(xlRTTYEQCL=$D481)*(xlRTEQTYPE=$E481),0))</f>
        <v>NG_HP2</v>
      </c>
      <c r="Y481" s="153" t="str">
        <f t="array" ref="Y481">INDEX(xlRTTYNAME,MATCH(1,(xlRTTYENDU=2)*(xlRTTYEQCL=$F481)*(xlRTEQTYPE=$G481),0))</f>
        <v>NG_HP2</v>
      </c>
    </row>
    <row r="482" spans="1:25" x14ac:dyDescent="0.2">
      <c r="B482" s="126">
        <v>8</v>
      </c>
      <c r="C482" s="126">
        <v>1</v>
      </c>
      <c r="D482" s="126">
        <v>11</v>
      </c>
      <c r="E482" s="126">
        <v>36</v>
      </c>
      <c r="F482" s="126">
        <v>5</v>
      </c>
      <c r="G482" s="126">
        <v>17</v>
      </c>
      <c r="H482" s="126">
        <v>2016</v>
      </c>
      <c r="I482" s="126">
        <v>2050</v>
      </c>
      <c r="J482" s="127">
        <v>1.0801000000000001</v>
      </c>
      <c r="K482" s="127">
        <v>1.0822000000000001</v>
      </c>
      <c r="L482" s="127">
        <v>0.53920000000000001</v>
      </c>
      <c r="M482" s="127">
        <v>0.89190000000000003</v>
      </c>
      <c r="N482" s="127">
        <v>0.86950000000000005</v>
      </c>
      <c r="O482" s="127">
        <v>1.0538000000000001</v>
      </c>
      <c r="P482" s="126">
        <v>8560</v>
      </c>
      <c r="Q482" s="128">
        <f t="array" ref="Q482">SUM(IF(($S482&gt;=4)*($C482='TaxCred&amp;Subs'!$D$123:$D$127)*($H482='TaxCred&amp;Subs'!$C$123:$C$127)*($H482&lt;='TaxCred&amp;Subs'!$C$129),'TaxCred&amp;Subs'!$E$123:$E$127,0))</f>
        <v>0</v>
      </c>
      <c r="R482" s="174">
        <v>0</v>
      </c>
      <c r="S482" s="126">
        <v>3</v>
      </c>
      <c r="T482" s="126" t="s">
        <v>247</v>
      </c>
      <c r="U482" s="158"/>
      <c r="V482" s="153" t="str">
        <f t="array" ref="V482">INDEX(xlRTCLNAME,MATCH(1,(xlRTCLENDU=1)*(xlRTCLEQCL=$D482),0))</f>
        <v>NG_HP</v>
      </c>
      <c r="W482" s="153" t="str">
        <f t="array" ref="W482">INDEX(xlRTCLNAME,MATCH(1,(xlRTCLENDU=2)*(xlRTCLEQCL=$F482),0))</f>
        <v>NG_HP</v>
      </c>
      <c r="X482" s="153" t="str">
        <f t="array" ref="X482">INDEX(xlRTTYNAME,MATCH(1,(xlRTTYENDU=1)*(xlRTTYEQCL=$D482)*(xlRTEQTYPE=$E482),0))</f>
        <v>NG_HP2</v>
      </c>
      <c r="Y482" s="153" t="str">
        <f t="array" ref="Y482">INDEX(xlRTTYNAME,MATCH(1,(xlRTTYENDU=2)*(xlRTTYEQCL=$F482)*(xlRTEQTYPE=$G482),0))</f>
        <v>NG_HP2</v>
      </c>
    </row>
    <row r="483" spans="1:25" x14ac:dyDescent="0.2">
      <c r="B483" s="126">
        <v>9</v>
      </c>
      <c r="C483" s="126">
        <v>1</v>
      </c>
      <c r="D483" s="126">
        <v>11</v>
      </c>
      <c r="E483" s="126">
        <v>36</v>
      </c>
      <c r="F483" s="126">
        <v>5</v>
      </c>
      <c r="G483" s="126">
        <v>17</v>
      </c>
      <c r="H483" s="126">
        <v>2016</v>
      </c>
      <c r="I483" s="126">
        <v>2050</v>
      </c>
      <c r="J483" s="127">
        <v>1.0781000000000001</v>
      </c>
      <c r="K483" s="127">
        <v>1.0707</v>
      </c>
      <c r="L483" s="127">
        <v>0.89380000000000004</v>
      </c>
      <c r="M483" s="127">
        <v>0.90590000000000004</v>
      </c>
      <c r="N483" s="127">
        <v>1.0339</v>
      </c>
      <c r="O483" s="127">
        <v>1.0538000000000001</v>
      </c>
      <c r="P483" s="126">
        <v>10115</v>
      </c>
      <c r="Q483" s="128">
        <f t="array" ref="Q483">SUM(IF(($S483&gt;=4)*($C483='TaxCred&amp;Subs'!$D$123:$D$127)*($H483='TaxCred&amp;Subs'!$C$123:$C$127)*($H483&lt;='TaxCred&amp;Subs'!$C$129),'TaxCred&amp;Subs'!$E$123:$E$127,0))</f>
        <v>0</v>
      </c>
      <c r="R483" s="174">
        <v>0</v>
      </c>
      <c r="S483" s="126">
        <v>3</v>
      </c>
      <c r="T483" s="126" t="s">
        <v>247</v>
      </c>
      <c r="U483" s="158"/>
      <c r="V483" s="153" t="str">
        <f t="array" ref="V483">INDEX(xlRTCLNAME,MATCH(1,(xlRTCLENDU=1)*(xlRTCLEQCL=$D483),0))</f>
        <v>NG_HP</v>
      </c>
      <c r="W483" s="153" t="str">
        <f t="array" ref="W483">INDEX(xlRTCLNAME,MATCH(1,(xlRTCLENDU=2)*(xlRTCLEQCL=$F483),0))</f>
        <v>NG_HP</v>
      </c>
      <c r="X483" s="153" t="str">
        <f t="array" ref="X483">INDEX(xlRTTYNAME,MATCH(1,(xlRTTYENDU=1)*(xlRTTYEQCL=$D483)*(xlRTEQTYPE=$E483),0))</f>
        <v>NG_HP2</v>
      </c>
      <c r="Y483" s="153" t="str">
        <f t="array" ref="Y483">INDEX(xlRTTYNAME,MATCH(1,(xlRTTYENDU=2)*(xlRTTYEQCL=$F483)*(xlRTEQTYPE=$G483),0))</f>
        <v>NG_HP2</v>
      </c>
    </row>
    <row r="484" spans="1:25" x14ac:dyDescent="0.2">
      <c r="B484" s="126">
        <v>5</v>
      </c>
      <c r="C484" s="126">
        <v>1</v>
      </c>
      <c r="D484" s="126">
        <v>1</v>
      </c>
      <c r="E484" s="126">
        <v>1</v>
      </c>
      <c r="F484" s="126">
        <v>2</v>
      </c>
      <c r="G484" s="126">
        <v>7</v>
      </c>
      <c r="H484" s="126">
        <v>2016</v>
      </c>
      <c r="I484" s="159">
        <v>2022</v>
      </c>
      <c r="J484" s="127">
        <v>1.0401</v>
      </c>
      <c r="K484" s="127">
        <v>1.032</v>
      </c>
      <c r="L484" s="127">
        <v>0.36320000000000002</v>
      </c>
      <c r="M484" s="127">
        <v>0.75860000000000005</v>
      </c>
      <c r="N484" s="127">
        <v>0.76090000000000002</v>
      </c>
      <c r="O484" s="127">
        <v>1.0538000000000001</v>
      </c>
      <c r="P484" s="126">
        <v>11579</v>
      </c>
      <c r="Q484" s="128">
        <f t="array" ref="Q484">SUM(IF(($S484&gt;=4)*($C484='TaxCred&amp;Subs'!$D$123:$D$127)*($H484='TaxCred&amp;Subs'!$C$123:$C$127)*($H484&lt;='TaxCred&amp;Subs'!$C$129),'TaxCred&amp;Subs'!$E$123:$E$127,0))</f>
        <v>2000</v>
      </c>
      <c r="R484" s="174">
        <v>0</v>
      </c>
      <c r="S484" s="126">
        <v>4</v>
      </c>
      <c r="T484" s="126" t="s">
        <v>248</v>
      </c>
      <c r="V484" s="153" t="str">
        <f t="array" ref="V484">INDEX(xlRTCLNAME,MATCH(1,(xlRTCLENDU=1)*(xlRTCLEQCL=$D484),0))</f>
        <v>ELEC_RAD</v>
      </c>
      <c r="W484" s="153" t="str">
        <f t="array" ref="W484">INDEX(xlRTCLNAME,MATCH(1,(xlRTCLENDU=2)*(xlRTCLEQCL=$F484),0))</f>
        <v>CENT_AIR</v>
      </c>
      <c r="X484" s="153" t="str">
        <f t="array" ref="X484">INDEX(xlRTTYNAME,MATCH(1,(xlRTTYENDU=1)*(xlRTTYEQCL=$D484)*(xlRTEQTYPE=$E484),0))</f>
        <v>ELEC_RAD2</v>
      </c>
      <c r="Y484" s="153" t="str">
        <f t="array" ref="Y484">INDEX(xlRTTYNAME,MATCH(1,(xlRTTYENDU=2)*(xlRTTYEQCL=$F484)*(xlRTEQTYPE=$G484),0))</f>
        <v>CENT_AIR3</v>
      </c>
    </row>
    <row r="485" spans="1:25" s="158" customFormat="1" x14ac:dyDescent="0.2">
      <c r="A485"/>
      <c r="B485" s="49">
        <v>5</v>
      </c>
      <c r="C485" s="49">
        <v>1</v>
      </c>
      <c r="D485" s="49">
        <v>1</v>
      </c>
      <c r="E485" s="49">
        <v>1</v>
      </c>
      <c r="F485" s="49">
        <v>2</v>
      </c>
      <c r="G485" s="49">
        <v>7</v>
      </c>
      <c r="H485" s="49">
        <v>2023</v>
      </c>
      <c r="I485" s="49">
        <v>2032</v>
      </c>
      <c r="J485" s="50">
        <v>1.0401</v>
      </c>
      <c r="K485" s="50">
        <v>1.032</v>
      </c>
      <c r="L485" s="50">
        <v>0.36320000000000002</v>
      </c>
      <c r="M485" s="50">
        <v>0.75860000000000005</v>
      </c>
      <c r="N485" s="50">
        <v>0.76090000000000002</v>
      </c>
      <c r="O485" s="50">
        <v>1.0538000000000001</v>
      </c>
      <c r="P485" s="49">
        <v>11579</v>
      </c>
      <c r="Q485" s="51">
        <f t="array" ref="Q485">SUM(IF(($S485&gt;=4)*($C485='TaxCred&amp;Subs'!$D$123:$D$127)*($H485='TaxCred&amp;Subs'!$C$123:$C$127)*($H485&lt;='TaxCred&amp;Subs'!$C$129),'TaxCred&amp;Subs'!$E$123:$E$127,0))</f>
        <v>2500</v>
      </c>
      <c r="R485" s="171">
        <v>0</v>
      </c>
      <c r="S485" s="49">
        <v>4</v>
      </c>
      <c r="T485" s="49" t="s">
        <v>248</v>
      </c>
      <c r="U485"/>
      <c r="V485" s="153" t="str">
        <f t="array" ref="V485">INDEX(xlRTCLNAME,MATCH(1,(xlRTCLENDU=1)*(xlRTCLEQCL=$D485),0))</f>
        <v>ELEC_RAD</v>
      </c>
      <c r="W485" s="153" t="str">
        <f t="array" ref="W485">INDEX(xlRTCLNAME,MATCH(1,(xlRTCLENDU=2)*(xlRTCLEQCL=$F485),0))</f>
        <v>CENT_AIR</v>
      </c>
      <c r="X485" s="153" t="str">
        <f t="array" ref="X485">INDEX(xlRTTYNAME,MATCH(1,(xlRTTYENDU=1)*(xlRTTYEQCL=$D485)*(xlRTEQTYPE=$E485),0))</f>
        <v>ELEC_RAD2</v>
      </c>
      <c r="Y485" s="153" t="str">
        <f t="array" ref="Y485">INDEX(xlRTTYNAME,MATCH(1,(xlRTTYENDU=2)*(xlRTTYEQCL=$F485)*(xlRTEQTYPE=$G485),0))</f>
        <v>CENT_AIR3</v>
      </c>
    </row>
    <row r="486" spans="1:25" s="158" customFormat="1" x14ac:dyDescent="0.2">
      <c r="A486"/>
      <c r="B486" s="126">
        <v>5</v>
      </c>
      <c r="C486" s="126">
        <v>1</v>
      </c>
      <c r="D486" s="126">
        <v>1</v>
      </c>
      <c r="E486" s="126">
        <v>1</v>
      </c>
      <c r="F486" s="126">
        <v>2</v>
      </c>
      <c r="G486" s="126">
        <v>7</v>
      </c>
      <c r="H486" s="159">
        <v>2033</v>
      </c>
      <c r="I486" s="126">
        <v>2050</v>
      </c>
      <c r="J486" s="127">
        <v>1.0401</v>
      </c>
      <c r="K486" s="127">
        <v>1.032</v>
      </c>
      <c r="L486" s="127">
        <v>0.36320000000000002</v>
      </c>
      <c r="M486" s="127">
        <v>0.75860000000000005</v>
      </c>
      <c r="N486" s="127">
        <v>0.76090000000000002</v>
      </c>
      <c r="O486" s="127">
        <v>1.0538000000000001</v>
      </c>
      <c r="P486" s="126">
        <v>11579</v>
      </c>
      <c r="Q486" s="128">
        <f t="array" ref="Q486">SUM(IF(($S486&gt;=4)*($C486='TaxCred&amp;Subs'!$D$123:$D$127)*($H486='TaxCred&amp;Subs'!$C$123:$C$127)*($H486&lt;='TaxCred&amp;Subs'!$C$129),'TaxCred&amp;Subs'!$E$123:$E$127,0))</f>
        <v>0</v>
      </c>
      <c r="R486" s="174">
        <v>0</v>
      </c>
      <c r="S486" s="126">
        <v>4</v>
      </c>
      <c r="T486" s="126" t="s">
        <v>248</v>
      </c>
      <c r="U486"/>
      <c r="V486" s="153" t="str">
        <f t="array" ref="V486">INDEX(xlRTCLNAME,MATCH(1,(xlRTCLENDU=1)*(xlRTCLEQCL=$D486),0))</f>
        <v>ELEC_RAD</v>
      </c>
      <c r="W486" s="153" t="str">
        <f t="array" ref="W486">INDEX(xlRTCLNAME,MATCH(1,(xlRTCLENDU=2)*(xlRTCLEQCL=$F486),0))</f>
        <v>CENT_AIR</v>
      </c>
      <c r="X486" s="153" t="str">
        <f t="array" ref="X486">INDEX(xlRTTYNAME,MATCH(1,(xlRTTYENDU=1)*(xlRTTYEQCL=$D486)*(xlRTEQTYPE=$E486),0))</f>
        <v>ELEC_RAD2</v>
      </c>
      <c r="Y486" s="153" t="str">
        <f t="array" ref="Y486">INDEX(xlRTTYNAME,MATCH(1,(xlRTTYENDU=2)*(xlRTTYEQCL=$F486)*(xlRTEQTYPE=$G486),0))</f>
        <v>CENT_AIR3</v>
      </c>
    </row>
    <row r="487" spans="1:25" x14ac:dyDescent="0.2">
      <c r="B487" s="126">
        <v>6</v>
      </c>
      <c r="C487" s="126">
        <v>1</v>
      </c>
      <c r="D487" s="126">
        <v>1</v>
      </c>
      <c r="E487" s="126">
        <v>1</v>
      </c>
      <c r="F487" s="126">
        <v>2</v>
      </c>
      <c r="G487" s="126">
        <v>7</v>
      </c>
      <c r="H487" s="126">
        <v>2016</v>
      </c>
      <c r="I487" s="159">
        <v>2022</v>
      </c>
      <c r="J487" s="127">
        <v>1.0918000000000001</v>
      </c>
      <c r="K487" s="127">
        <v>1.0613999999999999</v>
      </c>
      <c r="L487" s="127">
        <v>0.48459999999999998</v>
      </c>
      <c r="M487" s="127">
        <v>0.79949999999999999</v>
      </c>
      <c r="N487" s="127">
        <v>0.89190000000000003</v>
      </c>
      <c r="O487" s="127">
        <v>1.0538000000000001</v>
      </c>
      <c r="P487" s="126">
        <v>11441</v>
      </c>
      <c r="Q487" s="128">
        <f t="array" ref="Q487">SUM(IF(($S487&gt;=4)*($C487='TaxCred&amp;Subs'!$D$123:$D$127)*($H487='TaxCred&amp;Subs'!$C$123:$C$127)*($H487&lt;='TaxCred&amp;Subs'!$C$129),'TaxCred&amp;Subs'!$E$123:$E$127,0))</f>
        <v>2000</v>
      </c>
      <c r="R487" s="174">
        <v>0</v>
      </c>
      <c r="S487" s="126">
        <v>4</v>
      </c>
      <c r="T487" s="126" t="s">
        <v>248</v>
      </c>
      <c r="V487" s="153" t="str">
        <f t="array" ref="V487">INDEX(xlRTCLNAME,MATCH(1,(xlRTCLENDU=1)*(xlRTCLEQCL=$D487),0))</f>
        <v>ELEC_RAD</v>
      </c>
      <c r="W487" s="153" t="str">
        <f t="array" ref="W487">INDEX(xlRTCLNAME,MATCH(1,(xlRTCLENDU=2)*(xlRTCLEQCL=$F487),0))</f>
        <v>CENT_AIR</v>
      </c>
      <c r="X487" s="153" t="str">
        <f t="array" ref="X487">INDEX(xlRTTYNAME,MATCH(1,(xlRTTYENDU=1)*(xlRTTYEQCL=$D487)*(xlRTEQTYPE=$E487),0))</f>
        <v>ELEC_RAD2</v>
      </c>
      <c r="Y487" s="153" t="str">
        <f t="array" ref="Y487">INDEX(xlRTTYNAME,MATCH(1,(xlRTTYENDU=2)*(xlRTTYEQCL=$F487)*(xlRTEQTYPE=$G487),0))</f>
        <v>CENT_AIR3</v>
      </c>
    </row>
    <row r="488" spans="1:25" s="158" customFormat="1" x14ac:dyDescent="0.2">
      <c r="A488"/>
      <c r="B488" s="49">
        <v>6</v>
      </c>
      <c r="C488" s="49">
        <v>1</v>
      </c>
      <c r="D488" s="49">
        <v>1</v>
      </c>
      <c r="E488" s="49">
        <v>1</v>
      </c>
      <c r="F488" s="49">
        <v>2</v>
      </c>
      <c r="G488" s="49">
        <v>7</v>
      </c>
      <c r="H488" s="49">
        <v>2023</v>
      </c>
      <c r="I488" s="49">
        <v>2032</v>
      </c>
      <c r="J488" s="50">
        <v>1.0918000000000001</v>
      </c>
      <c r="K488" s="50">
        <v>1.0613999999999999</v>
      </c>
      <c r="L488" s="50">
        <v>0.48459999999999998</v>
      </c>
      <c r="M488" s="50">
        <v>0.79949999999999999</v>
      </c>
      <c r="N488" s="50">
        <v>0.89190000000000003</v>
      </c>
      <c r="O488" s="50">
        <v>1.0538000000000001</v>
      </c>
      <c r="P488" s="49">
        <v>11441</v>
      </c>
      <c r="Q488" s="51">
        <f t="array" ref="Q488">SUM(IF(($S488&gt;=4)*($C488='TaxCred&amp;Subs'!$D$123:$D$127)*($H488='TaxCred&amp;Subs'!$C$123:$C$127)*($H488&lt;='TaxCred&amp;Subs'!$C$129),'TaxCred&amp;Subs'!$E$123:$E$127,0))</f>
        <v>2500</v>
      </c>
      <c r="R488" s="171">
        <v>0</v>
      </c>
      <c r="S488" s="49">
        <v>4</v>
      </c>
      <c r="T488" s="49" t="s">
        <v>248</v>
      </c>
      <c r="U488"/>
      <c r="V488" s="153" t="str">
        <f t="array" ref="V488">INDEX(xlRTCLNAME,MATCH(1,(xlRTCLENDU=1)*(xlRTCLEQCL=$D488),0))</f>
        <v>ELEC_RAD</v>
      </c>
      <c r="W488" s="153" t="str">
        <f t="array" ref="W488">INDEX(xlRTCLNAME,MATCH(1,(xlRTCLENDU=2)*(xlRTCLEQCL=$F488),0))</f>
        <v>CENT_AIR</v>
      </c>
      <c r="X488" s="153" t="str">
        <f t="array" ref="X488">INDEX(xlRTTYNAME,MATCH(1,(xlRTTYENDU=1)*(xlRTTYEQCL=$D488)*(xlRTEQTYPE=$E488),0))</f>
        <v>ELEC_RAD2</v>
      </c>
      <c r="Y488" s="153" t="str">
        <f t="array" ref="Y488">INDEX(xlRTTYNAME,MATCH(1,(xlRTTYENDU=2)*(xlRTTYEQCL=$F488)*(xlRTEQTYPE=$G488),0))</f>
        <v>CENT_AIR3</v>
      </c>
    </row>
    <row r="489" spans="1:25" s="158" customFormat="1" x14ac:dyDescent="0.2">
      <c r="A489"/>
      <c r="B489" s="126">
        <v>6</v>
      </c>
      <c r="C489" s="126">
        <v>1</v>
      </c>
      <c r="D489" s="126">
        <v>1</v>
      </c>
      <c r="E489" s="126">
        <v>1</v>
      </c>
      <c r="F489" s="126">
        <v>2</v>
      </c>
      <c r="G489" s="126">
        <v>7</v>
      </c>
      <c r="H489" s="159">
        <v>2033</v>
      </c>
      <c r="I489" s="126">
        <v>2050</v>
      </c>
      <c r="J489" s="127">
        <v>1.0918000000000001</v>
      </c>
      <c r="K489" s="127">
        <v>1.0613999999999999</v>
      </c>
      <c r="L489" s="127">
        <v>0.48459999999999998</v>
      </c>
      <c r="M489" s="127">
        <v>0.79949999999999999</v>
      </c>
      <c r="N489" s="127">
        <v>0.89190000000000003</v>
      </c>
      <c r="O489" s="127">
        <v>1.0538000000000001</v>
      </c>
      <c r="P489" s="126">
        <v>11441</v>
      </c>
      <c r="Q489" s="128">
        <f t="array" ref="Q489">SUM(IF(($S489&gt;=4)*($C489='TaxCred&amp;Subs'!$D$123:$D$127)*($H489='TaxCred&amp;Subs'!$C$123:$C$127)*($H489&lt;='TaxCred&amp;Subs'!$C$129),'TaxCred&amp;Subs'!$E$123:$E$127,0))</f>
        <v>0</v>
      </c>
      <c r="R489" s="174">
        <v>0</v>
      </c>
      <c r="S489" s="126">
        <v>4</v>
      </c>
      <c r="T489" s="126" t="s">
        <v>248</v>
      </c>
      <c r="U489"/>
      <c r="V489" s="153" t="str">
        <f t="array" ref="V489">INDEX(xlRTCLNAME,MATCH(1,(xlRTCLENDU=1)*(xlRTCLEQCL=$D489),0))</f>
        <v>ELEC_RAD</v>
      </c>
      <c r="W489" s="153" t="str">
        <f t="array" ref="W489">INDEX(xlRTCLNAME,MATCH(1,(xlRTCLENDU=2)*(xlRTCLEQCL=$F489),0))</f>
        <v>CENT_AIR</v>
      </c>
      <c r="X489" s="153" t="str">
        <f t="array" ref="X489">INDEX(xlRTTYNAME,MATCH(1,(xlRTTYENDU=1)*(xlRTTYEQCL=$D489)*(xlRTEQTYPE=$E489),0))</f>
        <v>ELEC_RAD2</v>
      </c>
      <c r="Y489" s="153" t="str">
        <f t="array" ref="Y489">INDEX(xlRTTYNAME,MATCH(1,(xlRTTYENDU=2)*(xlRTTYEQCL=$F489)*(xlRTEQTYPE=$G489),0))</f>
        <v>CENT_AIR3</v>
      </c>
    </row>
    <row r="490" spans="1:25" x14ac:dyDescent="0.2">
      <c r="B490" s="126">
        <v>7</v>
      </c>
      <c r="C490" s="126">
        <v>1</v>
      </c>
      <c r="D490" s="126">
        <v>1</v>
      </c>
      <c r="E490" s="126">
        <v>1</v>
      </c>
      <c r="F490" s="126">
        <v>2</v>
      </c>
      <c r="G490" s="126">
        <v>7</v>
      </c>
      <c r="H490" s="126">
        <v>2016</v>
      </c>
      <c r="I490" s="159">
        <v>2022</v>
      </c>
      <c r="J490" s="127">
        <v>1.0906</v>
      </c>
      <c r="K490" s="127">
        <v>1.0542</v>
      </c>
      <c r="L490" s="127">
        <v>0.41959999999999997</v>
      </c>
      <c r="M490" s="127">
        <v>0.67279999999999995</v>
      </c>
      <c r="N490" s="127">
        <v>0.87239999999999995</v>
      </c>
      <c r="O490" s="127">
        <v>1.0538000000000001</v>
      </c>
      <c r="P490" s="126">
        <v>11603</v>
      </c>
      <c r="Q490" s="128">
        <f t="array" ref="Q490">SUM(IF(($S490&gt;=4)*($C490='TaxCred&amp;Subs'!$D$123:$D$127)*($H490='TaxCred&amp;Subs'!$C$123:$C$127)*($H490&lt;='TaxCred&amp;Subs'!$C$129),'TaxCred&amp;Subs'!$E$123:$E$127,0))</f>
        <v>2000</v>
      </c>
      <c r="R490" s="174">
        <v>0</v>
      </c>
      <c r="S490" s="126">
        <v>4</v>
      </c>
      <c r="T490" s="126" t="s">
        <v>248</v>
      </c>
      <c r="V490" s="153" t="str">
        <f t="array" ref="V490">INDEX(xlRTCLNAME,MATCH(1,(xlRTCLENDU=1)*(xlRTCLEQCL=$D490),0))</f>
        <v>ELEC_RAD</v>
      </c>
      <c r="W490" s="153" t="str">
        <f t="array" ref="W490">INDEX(xlRTCLNAME,MATCH(1,(xlRTCLENDU=2)*(xlRTCLEQCL=$F490),0))</f>
        <v>CENT_AIR</v>
      </c>
      <c r="X490" s="153" t="str">
        <f t="array" ref="X490">INDEX(xlRTTYNAME,MATCH(1,(xlRTTYENDU=1)*(xlRTTYEQCL=$D490)*(xlRTEQTYPE=$E490),0))</f>
        <v>ELEC_RAD2</v>
      </c>
      <c r="Y490" s="153" t="str">
        <f t="array" ref="Y490">INDEX(xlRTTYNAME,MATCH(1,(xlRTTYENDU=2)*(xlRTTYEQCL=$F490)*(xlRTEQTYPE=$G490),0))</f>
        <v>CENT_AIR3</v>
      </c>
    </row>
    <row r="491" spans="1:25" s="158" customFormat="1" x14ac:dyDescent="0.2">
      <c r="A491"/>
      <c r="B491" s="49">
        <v>7</v>
      </c>
      <c r="C491" s="49">
        <v>1</v>
      </c>
      <c r="D491" s="49">
        <v>1</v>
      </c>
      <c r="E491" s="49">
        <v>1</v>
      </c>
      <c r="F491" s="49">
        <v>2</v>
      </c>
      <c r="G491" s="49">
        <v>7</v>
      </c>
      <c r="H491" s="49">
        <v>2023</v>
      </c>
      <c r="I491" s="49">
        <v>2032</v>
      </c>
      <c r="J491" s="50">
        <v>1.0906</v>
      </c>
      <c r="K491" s="50">
        <v>1.0542</v>
      </c>
      <c r="L491" s="50">
        <v>0.41959999999999997</v>
      </c>
      <c r="M491" s="50">
        <v>0.67279999999999995</v>
      </c>
      <c r="N491" s="50">
        <v>0.87239999999999995</v>
      </c>
      <c r="O491" s="50">
        <v>1.0538000000000001</v>
      </c>
      <c r="P491" s="49">
        <v>11603</v>
      </c>
      <c r="Q491" s="51">
        <f t="array" ref="Q491">SUM(IF(($S491&gt;=4)*($C491='TaxCred&amp;Subs'!$D$123:$D$127)*($H491='TaxCred&amp;Subs'!$C$123:$C$127)*($H491&lt;='TaxCred&amp;Subs'!$C$129),'TaxCred&amp;Subs'!$E$123:$E$127,0))</f>
        <v>2500</v>
      </c>
      <c r="R491" s="171">
        <v>0</v>
      </c>
      <c r="S491" s="49">
        <v>4</v>
      </c>
      <c r="T491" s="49" t="s">
        <v>248</v>
      </c>
      <c r="U491"/>
      <c r="V491" s="153" t="str">
        <f t="array" ref="V491">INDEX(xlRTCLNAME,MATCH(1,(xlRTCLENDU=1)*(xlRTCLEQCL=$D491),0))</f>
        <v>ELEC_RAD</v>
      </c>
      <c r="W491" s="153" t="str">
        <f t="array" ref="W491">INDEX(xlRTCLNAME,MATCH(1,(xlRTCLENDU=2)*(xlRTCLEQCL=$F491),0))</f>
        <v>CENT_AIR</v>
      </c>
      <c r="X491" s="153" t="str">
        <f t="array" ref="X491">INDEX(xlRTTYNAME,MATCH(1,(xlRTTYENDU=1)*(xlRTTYEQCL=$D491)*(xlRTEQTYPE=$E491),0))</f>
        <v>ELEC_RAD2</v>
      </c>
      <c r="Y491" s="153" t="str">
        <f t="array" ref="Y491">INDEX(xlRTTYNAME,MATCH(1,(xlRTTYENDU=2)*(xlRTTYEQCL=$F491)*(xlRTEQTYPE=$G491),0))</f>
        <v>CENT_AIR3</v>
      </c>
    </row>
    <row r="492" spans="1:25" s="158" customFormat="1" x14ac:dyDescent="0.2">
      <c r="A492"/>
      <c r="B492" s="126">
        <v>7</v>
      </c>
      <c r="C492" s="126">
        <v>1</v>
      </c>
      <c r="D492" s="126">
        <v>1</v>
      </c>
      <c r="E492" s="126">
        <v>1</v>
      </c>
      <c r="F492" s="126">
        <v>2</v>
      </c>
      <c r="G492" s="126">
        <v>7</v>
      </c>
      <c r="H492" s="159">
        <v>2033</v>
      </c>
      <c r="I492" s="126">
        <v>2050</v>
      </c>
      <c r="J492" s="127">
        <v>1.0906</v>
      </c>
      <c r="K492" s="127">
        <v>1.0542</v>
      </c>
      <c r="L492" s="127">
        <v>0.41959999999999997</v>
      </c>
      <c r="M492" s="127">
        <v>0.67279999999999995</v>
      </c>
      <c r="N492" s="127">
        <v>0.87239999999999995</v>
      </c>
      <c r="O492" s="127">
        <v>1.0538000000000001</v>
      </c>
      <c r="P492" s="126">
        <v>11603</v>
      </c>
      <c r="Q492" s="128">
        <f t="array" ref="Q492">SUM(IF(($S492&gt;=4)*($C492='TaxCred&amp;Subs'!$D$123:$D$127)*($H492='TaxCred&amp;Subs'!$C$123:$C$127)*($H492&lt;='TaxCred&amp;Subs'!$C$129),'TaxCred&amp;Subs'!$E$123:$E$127,0))</f>
        <v>0</v>
      </c>
      <c r="R492" s="174">
        <v>0</v>
      </c>
      <c r="S492" s="126">
        <v>4</v>
      </c>
      <c r="T492" s="126" t="s">
        <v>248</v>
      </c>
      <c r="U492"/>
      <c r="V492" s="153" t="str">
        <f t="array" ref="V492">INDEX(xlRTCLNAME,MATCH(1,(xlRTCLENDU=1)*(xlRTCLEQCL=$D492),0))</f>
        <v>ELEC_RAD</v>
      </c>
      <c r="W492" s="153" t="str">
        <f t="array" ref="W492">INDEX(xlRTCLNAME,MATCH(1,(xlRTCLENDU=2)*(xlRTCLEQCL=$F492),0))</f>
        <v>CENT_AIR</v>
      </c>
      <c r="X492" s="153" t="str">
        <f t="array" ref="X492">INDEX(xlRTTYNAME,MATCH(1,(xlRTTYENDU=1)*(xlRTTYEQCL=$D492)*(xlRTEQTYPE=$E492),0))</f>
        <v>ELEC_RAD2</v>
      </c>
      <c r="Y492" s="153" t="str">
        <f t="array" ref="Y492">INDEX(xlRTTYNAME,MATCH(1,(xlRTTYENDU=2)*(xlRTTYEQCL=$F492)*(xlRTEQTYPE=$G492),0))</f>
        <v>CENT_AIR3</v>
      </c>
    </row>
    <row r="493" spans="1:25" x14ac:dyDescent="0.2">
      <c r="B493" s="126">
        <v>9</v>
      </c>
      <c r="C493" s="126">
        <v>1</v>
      </c>
      <c r="D493" s="126">
        <v>1</v>
      </c>
      <c r="E493" s="126">
        <v>1</v>
      </c>
      <c r="F493" s="126">
        <v>2</v>
      </c>
      <c r="G493" s="126">
        <v>7</v>
      </c>
      <c r="H493" s="126">
        <v>2016</v>
      </c>
      <c r="I493" s="159">
        <v>2022</v>
      </c>
      <c r="J493" s="127">
        <v>1.0367</v>
      </c>
      <c r="K493" s="127">
        <v>1.0638000000000001</v>
      </c>
      <c r="L493" s="127">
        <v>0.48180000000000001</v>
      </c>
      <c r="M493" s="127">
        <v>0.79649999999999999</v>
      </c>
      <c r="N493" s="127">
        <v>1.0334000000000001</v>
      </c>
      <c r="O493" s="127">
        <v>1.0538000000000001</v>
      </c>
      <c r="P493" s="126">
        <v>14738</v>
      </c>
      <c r="Q493" s="128">
        <f t="array" ref="Q493">SUM(IF(($S493&gt;=4)*($C493='TaxCred&amp;Subs'!$D$123:$D$127)*($H493='TaxCred&amp;Subs'!$C$123:$C$127)*($H493&lt;='TaxCred&amp;Subs'!$C$129),'TaxCred&amp;Subs'!$E$123:$E$127,0))</f>
        <v>2000</v>
      </c>
      <c r="R493" s="174">
        <v>0</v>
      </c>
      <c r="S493" s="126">
        <v>4</v>
      </c>
      <c r="T493" s="126" t="s">
        <v>248</v>
      </c>
      <c r="V493" s="153" t="str">
        <f t="array" ref="V493">INDEX(xlRTCLNAME,MATCH(1,(xlRTCLENDU=1)*(xlRTCLEQCL=$D493),0))</f>
        <v>ELEC_RAD</v>
      </c>
      <c r="W493" s="153" t="str">
        <f t="array" ref="W493">INDEX(xlRTCLNAME,MATCH(1,(xlRTCLENDU=2)*(xlRTCLEQCL=$F493),0))</f>
        <v>CENT_AIR</v>
      </c>
      <c r="X493" s="153" t="str">
        <f t="array" ref="X493">INDEX(xlRTTYNAME,MATCH(1,(xlRTTYENDU=1)*(xlRTTYEQCL=$D493)*(xlRTEQTYPE=$E493),0))</f>
        <v>ELEC_RAD2</v>
      </c>
      <c r="Y493" s="153" t="str">
        <f t="array" ref="Y493">INDEX(xlRTTYNAME,MATCH(1,(xlRTTYENDU=2)*(xlRTTYEQCL=$F493)*(xlRTEQTYPE=$G493),0))</f>
        <v>CENT_AIR3</v>
      </c>
    </row>
    <row r="494" spans="1:25" s="158" customFormat="1" x14ac:dyDescent="0.2">
      <c r="A494"/>
      <c r="B494" s="49">
        <v>9</v>
      </c>
      <c r="C494" s="49">
        <v>1</v>
      </c>
      <c r="D494" s="49">
        <v>1</v>
      </c>
      <c r="E494" s="49">
        <v>1</v>
      </c>
      <c r="F494" s="49">
        <v>2</v>
      </c>
      <c r="G494" s="49">
        <v>7</v>
      </c>
      <c r="H494" s="49">
        <v>2023</v>
      </c>
      <c r="I494" s="49">
        <v>2032</v>
      </c>
      <c r="J494" s="50">
        <v>1.0367</v>
      </c>
      <c r="K494" s="50">
        <v>1.0638000000000001</v>
      </c>
      <c r="L494" s="50">
        <v>0.48180000000000001</v>
      </c>
      <c r="M494" s="50">
        <v>0.79649999999999999</v>
      </c>
      <c r="N494" s="50">
        <v>1.0334000000000001</v>
      </c>
      <c r="O494" s="50">
        <v>1.0538000000000001</v>
      </c>
      <c r="P494" s="49">
        <v>14738</v>
      </c>
      <c r="Q494" s="51">
        <f t="array" ref="Q494">SUM(IF(($S494&gt;=4)*($C494='TaxCred&amp;Subs'!$D$123:$D$127)*($H494='TaxCred&amp;Subs'!$C$123:$C$127)*($H494&lt;='TaxCred&amp;Subs'!$C$129),'TaxCred&amp;Subs'!$E$123:$E$127,0))</f>
        <v>2500</v>
      </c>
      <c r="R494" s="171">
        <v>0</v>
      </c>
      <c r="S494" s="49">
        <v>4</v>
      </c>
      <c r="T494" s="49" t="s">
        <v>248</v>
      </c>
      <c r="U494"/>
      <c r="V494" s="153" t="str">
        <f t="array" ref="V494">INDEX(xlRTCLNAME,MATCH(1,(xlRTCLENDU=1)*(xlRTCLEQCL=$D494),0))</f>
        <v>ELEC_RAD</v>
      </c>
      <c r="W494" s="153" t="str">
        <f t="array" ref="W494">INDEX(xlRTCLNAME,MATCH(1,(xlRTCLENDU=2)*(xlRTCLEQCL=$F494),0))</f>
        <v>CENT_AIR</v>
      </c>
      <c r="X494" s="153" t="str">
        <f t="array" ref="X494">INDEX(xlRTTYNAME,MATCH(1,(xlRTTYENDU=1)*(xlRTTYEQCL=$D494)*(xlRTEQTYPE=$E494),0))</f>
        <v>ELEC_RAD2</v>
      </c>
      <c r="Y494" s="153" t="str">
        <f t="array" ref="Y494">INDEX(xlRTTYNAME,MATCH(1,(xlRTTYENDU=2)*(xlRTTYEQCL=$F494)*(xlRTEQTYPE=$G494),0))</f>
        <v>CENT_AIR3</v>
      </c>
    </row>
    <row r="495" spans="1:25" s="158" customFormat="1" x14ac:dyDescent="0.2">
      <c r="A495"/>
      <c r="B495" s="126">
        <v>9</v>
      </c>
      <c r="C495" s="126">
        <v>1</v>
      </c>
      <c r="D495" s="126">
        <v>1</v>
      </c>
      <c r="E495" s="126">
        <v>1</v>
      </c>
      <c r="F495" s="126">
        <v>2</v>
      </c>
      <c r="G495" s="126">
        <v>7</v>
      </c>
      <c r="H495" s="159">
        <v>2033</v>
      </c>
      <c r="I495" s="126">
        <v>2050</v>
      </c>
      <c r="J495" s="127">
        <v>1.0367</v>
      </c>
      <c r="K495" s="127">
        <v>1.0638000000000001</v>
      </c>
      <c r="L495" s="127">
        <v>0.48180000000000001</v>
      </c>
      <c r="M495" s="127">
        <v>0.79649999999999999</v>
      </c>
      <c r="N495" s="127">
        <v>1.0334000000000001</v>
      </c>
      <c r="O495" s="127">
        <v>1.0538000000000001</v>
      </c>
      <c r="P495" s="126">
        <v>14738</v>
      </c>
      <c r="Q495" s="128">
        <f t="array" ref="Q495">SUM(IF(($S495&gt;=4)*($C495='TaxCred&amp;Subs'!$D$123:$D$127)*($H495='TaxCred&amp;Subs'!$C$123:$C$127)*($H495&lt;='TaxCred&amp;Subs'!$C$129),'TaxCred&amp;Subs'!$E$123:$E$127,0))</f>
        <v>0</v>
      </c>
      <c r="R495" s="174">
        <v>0</v>
      </c>
      <c r="S495" s="126">
        <v>4</v>
      </c>
      <c r="T495" s="126" t="s">
        <v>248</v>
      </c>
      <c r="U495"/>
      <c r="V495" s="153" t="str">
        <f t="array" ref="V495">INDEX(xlRTCLNAME,MATCH(1,(xlRTCLENDU=1)*(xlRTCLEQCL=$D495),0))</f>
        <v>ELEC_RAD</v>
      </c>
      <c r="W495" s="153" t="str">
        <f t="array" ref="W495">INDEX(xlRTCLNAME,MATCH(1,(xlRTCLENDU=2)*(xlRTCLEQCL=$F495),0))</f>
        <v>CENT_AIR</v>
      </c>
      <c r="X495" s="153" t="str">
        <f t="array" ref="X495">INDEX(xlRTTYNAME,MATCH(1,(xlRTTYENDU=1)*(xlRTTYEQCL=$D495)*(xlRTEQTYPE=$E495),0))</f>
        <v>ELEC_RAD2</v>
      </c>
      <c r="Y495" s="153" t="str">
        <f t="array" ref="Y495">INDEX(xlRTTYNAME,MATCH(1,(xlRTTYENDU=2)*(xlRTTYEQCL=$F495)*(xlRTEQTYPE=$G495),0))</f>
        <v>CENT_AIR3</v>
      </c>
    </row>
    <row r="496" spans="1:25" x14ac:dyDescent="0.2">
      <c r="B496" s="126">
        <v>1</v>
      </c>
      <c r="C496" s="126">
        <v>1</v>
      </c>
      <c r="D496" s="126">
        <v>2</v>
      </c>
      <c r="E496" s="126">
        <v>4</v>
      </c>
      <c r="F496" s="126">
        <v>3</v>
      </c>
      <c r="G496" s="126">
        <v>11</v>
      </c>
      <c r="H496" s="126">
        <v>2016</v>
      </c>
      <c r="I496" s="159">
        <v>2022</v>
      </c>
      <c r="J496" s="127">
        <v>1.0790999999999999</v>
      </c>
      <c r="K496" s="127">
        <v>1.0667</v>
      </c>
      <c r="L496" s="127">
        <v>0.45689999999999997</v>
      </c>
      <c r="M496" s="127">
        <v>0.95850000000000002</v>
      </c>
      <c r="N496" s="127">
        <v>0.80149999999999999</v>
      </c>
      <c r="O496" s="127">
        <v>1.0538000000000001</v>
      </c>
      <c r="P496" s="126">
        <v>14685</v>
      </c>
      <c r="Q496" s="128">
        <f t="array" ref="Q496">SUM(IF(($S496&gt;=4)*($C496='TaxCred&amp;Subs'!$D$123:$D$127)*($H496='TaxCred&amp;Subs'!$C$123:$C$127)*($H496&lt;='TaxCred&amp;Subs'!$C$129),'TaxCred&amp;Subs'!$E$123:$E$127,0))</f>
        <v>2000</v>
      </c>
      <c r="R496" s="174">
        <v>0</v>
      </c>
      <c r="S496" s="126">
        <v>4</v>
      </c>
      <c r="T496" s="126" t="s">
        <v>248</v>
      </c>
      <c r="V496" s="153" t="str">
        <f t="array" ref="V496">INDEX(xlRTCLNAME,MATCH(1,(xlRTCLENDU=1)*(xlRTCLEQCL=$D496),0))</f>
        <v>ELEC_HP</v>
      </c>
      <c r="W496" s="153" t="str">
        <f t="array" ref="W496">INDEX(xlRTCLNAME,MATCH(1,(xlRTCLENDU=2)*(xlRTCLEQCL=$F496),0))</f>
        <v>ELEC_HP</v>
      </c>
      <c r="X496" s="153" t="str">
        <f t="array" ref="X496">INDEX(xlRTTYNAME,MATCH(1,(xlRTTYENDU=1)*(xlRTTYEQCL=$D496)*(xlRTEQTYPE=$E496),0))</f>
        <v>ELEC_HP3</v>
      </c>
      <c r="Y496" s="153" t="str">
        <f t="array" ref="Y496">INDEX(xlRTTYNAME,MATCH(1,(xlRTTYENDU=2)*(xlRTTYEQCL=$F496)*(xlRTEQTYPE=$G496),0))</f>
        <v>ELEC_HP3</v>
      </c>
    </row>
    <row r="497" spans="1:25" x14ac:dyDescent="0.2">
      <c r="B497" s="49">
        <v>1</v>
      </c>
      <c r="C497" s="49">
        <v>1</v>
      </c>
      <c r="D497" s="49">
        <v>2</v>
      </c>
      <c r="E497" s="49">
        <v>4</v>
      </c>
      <c r="F497" s="49">
        <v>3</v>
      </c>
      <c r="G497" s="49">
        <v>11</v>
      </c>
      <c r="H497" s="49">
        <v>2023</v>
      </c>
      <c r="I497" s="49">
        <v>2032</v>
      </c>
      <c r="J497" s="50">
        <v>1.0790999999999999</v>
      </c>
      <c r="K497" s="50">
        <v>1.0667</v>
      </c>
      <c r="L497" s="50">
        <v>0.45689999999999997</v>
      </c>
      <c r="M497" s="50">
        <v>0.95850000000000002</v>
      </c>
      <c r="N497" s="50">
        <v>0.80149999999999999</v>
      </c>
      <c r="O497" s="50">
        <v>1.0538000000000001</v>
      </c>
      <c r="P497" s="49">
        <v>14685</v>
      </c>
      <c r="Q497" s="51">
        <f t="array" ref="Q497">SUM(IF(($S497&gt;=4)*($C497='TaxCred&amp;Subs'!$D$123:$D$127)*($H497='TaxCred&amp;Subs'!$C$123:$C$127)*($H497&lt;='TaxCred&amp;Subs'!$C$129),'TaxCred&amp;Subs'!$E$123:$E$127,0))</f>
        <v>2500</v>
      </c>
      <c r="R497" s="171">
        <v>0</v>
      </c>
      <c r="S497" s="49">
        <v>4</v>
      </c>
      <c r="T497" s="49" t="s">
        <v>248</v>
      </c>
      <c r="V497" s="153" t="str">
        <f t="array" ref="V497">INDEX(xlRTCLNAME,MATCH(1,(xlRTCLENDU=1)*(xlRTCLEQCL=$D497),0))</f>
        <v>ELEC_HP</v>
      </c>
      <c r="W497" s="153" t="str">
        <f t="array" ref="W497">INDEX(xlRTCLNAME,MATCH(1,(xlRTCLENDU=2)*(xlRTCLEQCL=$F497),0))</f>
        <v>ELEC_HP</v>
      </c>
      <c r="X497" s="153" t="str">
        <f t="array" ref="X497">INDEX(xlRTTYNAME,MATCH(1,(xlRTTYENDU=1)*(xlRTTYEQCL=$D497)*(xlRTEQTYPE=$E497),0))</f>
        <v>ELEC_HP3</v>
      </c>
      <c r="Y497" s="153" t="str">
        <f t="array" ref="Y497">INDEX(xlRTTYNAME,MATCH(1,(xlRTTYENDU=2)*(xlRTTYEQCL=$F497)*(xlRTEQTYPE=$G497),0))</f>
        <v>ELEC_HP3</v>
      </c>
    </row>
    <row r="498" spans="1:25" x14ac:dyDescent="0.2">
      <c r="B498" s="126">
        <v>1</v>
      </c>
      <c r="C498" s="126">
        <v>1</v>
      </c>
      <c r="D498" s="126">
        <v>2</v>
      </c>
      <c r="E498" s="126">
        <v>4</v>
      </c>
      <c r="F498" s="126">
        <v>3</v>
      </c>
      <c r="G498" s="126">
        <v>11</v>
      </c>
      <c r="H498" s="159">
        <v>2033</v>
      </c>
      <c r="I498" s="126">
        <v>2050</v>
      </c>
      <c r="J498" s="127">
        <v>1.0790999999999999</v>
      </c>
      <c r="K498" s="127">
        <v>1.0667</v>
      </c>
      <c r="L498" s="127">
        <v>0.45689999999999997</v>
      </c>
      <c r="M498" s="127">
        <v>0.95850000000000002</v>
      </c>
      <c r="N498" s="127">
        <v>0.80149999999999999</v>
      </c>
      <c r="O498" s="127">
        <v>1.0538000000000001</v>
      </c>
      <c r="P498" s="126">
        <v>14685</v>
      </c>
      <c r="Q498" s="128">
        <f t="array" ref="Q498">SUM(IF(($S498&gt;=4)*($C498='TaxCred&amp;Subs'!$D$123:$D$127)*($H498='TaxCred&amp;Subs'!$C$123:$C$127)*($H498&lt;='TaxCred&amp;Subs'!$C$129),'TaxCred&amp;Subs'!$E$123:$E$127,0))</f>
        <v>0</v>
      </c>
      <c r="R498" s="174">
        <v>0</v>
      </c>
      <c r="S498" s="126">
        <v>4</v>
      </c>
      <c r="T498" s="126" t="s">
        <v>248</v>
      </c>
      <c r="V498" s="153" t="str">
        <f t="array" ref="V498">INDEX(xlRTCLNAME,MATCH(1,(xlRTCLENDU=1)*(xlRTCLEQCL=$D498),0))</f>
        <v>ELEC_HP</v>
      </c>
      <c r="W498" s="153" t="str">
        <f t="array" ref="W498">INDEX(xlRTCLNAME,MATCH(1,(xlRTCLENDU=2)*(xlRTCLEQCL=$F498),0))</f>
        <v>ELEC_HP</v>
      </c>
      <c r="X498" s="153" t="str">
        <f t="array" ref="X498">INDEX(xlRTTYNAME,MATCH(1,(xlRTTYENDU=1)*(xlRTTYEQCL=$D498)*(xlRTEQTYPE=$E498),0))</f>
        <v>ELEC_HP3</v>
      </c>
      <c r="Y498" s="153" t="str">
        <f t="array" ref="Y498">INDEX(xlRTTYNAME,MATCH(1,(xlRTTYENDU=2)*(xlRTTYEQCL=$F498)*(xlRTEQTYPE=$G498),0))</f>
        <v>ELEC_HP3</v>
      </c>
    </row>
    <row r="499" spans="1:25" x14ac:dyDescent="0.2">
      <c r="B499" s="126">
        <v>2</v>
      </c>
      <c r="C499" s="126">
        <v>1</v>
      </c>
      <c r="D499" s="126">
        <v>2</v>
      </c>
      <c r="E499" s="126">
        <v>4</v>
      </c>
      <c r="F499" s="126">
        <v>3</v>
      </c>
      <c r="G499" s="126">
        <v>11</v>
      </c>
      <c r="H499" s="126">
        <v>2016</v>
      </c>
      <c r="I499" s="159">
        <v>2022</v>
      </c>
      <c r="J499" s="127">
        <v>1.0588</v>
      </c>
      <c r="K499" s="127">
        <v>1.0734999999999999</v>
      </c>
      <c r="L499" s="127">
        <v>0.49159999999999998</v>
      </c>
      <c r="M499" s="127">
        <v>0.82399999999999995</v>
      </c>
      <c r="N499" s="127">
        <v>0.93840000000000001</v>
      </c>
      <c r="O499" s="127">
        <v>1.0538000000000001</v>
      </c>
      <c r="P499" s="126">
        <v>16565</v>
      </c>
      <c r="Q499" s="128">
        <f t="array" ref="Q499">SUM(IF(($S499&gt;=4)*($C499='TaxCred&amp;Subs'!$D$123:$D$127)*($H499='TaxCred&amp;Subs'!$C$123:$C$127)*($H499&lt;='TaxCred&amp;Subs'!$C$129),'TaxCred&amp;Subs'!$E$123:$E$127,0))</f>
        <v>2000</v>
      </c>
      <c r="R499" s="174">
        <v>0</v>
      </c>
      <c r="S499" s="126">
        <v>4</v>
      </c>
      <c r="T499" s="126" t="s">
        <v>248</v>
      </c>
      <c r="V499" s="153" t="str">
        <f t="array" ref="V499">INDEX(xlRTCLNAME,MATCH(1,(xlRTCLENDU=1)*(xlRTCLEQCL=$D499),0))</f>
        <v>ELEC_HP</v>
      </c>
      <c r="W499" s="153" t="str">
        <f t="array" ref="W499">INDEX(xlRTCLNAME,MATCH(1,(xlRTCLENDU=2)*(xlRTCLEQCL=$F499),0))</f>
        <v>ELEC_HP</v>
      </c>
      <c r="X499" s="153" t="str">
        <f t="array" ref="X499">INDEX(xlRTTYNAME,MATCH(1,(xlRTTYENDU=1)*(xlRTTYEQCL=$D499)*(xlRTEQTYPE=$E499),0))</f>
        <v>ELEC_HP3</v>
      </c>
      <c r="Y499" s="153" t="str">
        <f t="array" ref="Y499">INDEX(xlRTTYNAME,MATCH(1,(xlRTTYENDU=2)*(xlRTTYEQCL=$F499)*(xlRTEQTYPE=$G499),0))</f>
        <v>ELEC_HP3</v>
      </c>
    </row>
    <row r="500" spans="1:25" x14ac:dyDescent="0.2">
      <c r="B500" s="49">
        <v>2</v>
      </c>
      <c r="C500" s="49">
        <v>1</v>
      </c>
      <c r="D500" s="49">
        <v>2</v>
      </c>
      <c r="E500" s="49">
        <v>4</v>
      </c>
      <c r="F500" s="49">
        <v>3</v>
      </c>
      <c r="G500" s="49">
        <v>11</v>
      </c>
      <c r="H500" s="49">
        <v>2023</v>
      </c>
      <c r="I500" s="49">
        <v>2032</v>
      </c>
      <c r="J500" s="50">
        <v>1.0588</v>
      </c>
      <c r="K500" s="50">
        <v>1.0734999999999999</v>
      </c>
      <c r="L500" s="50">
        <v>0.49159999999999998</v>
      </c>
      <c r="M500" s="50">
        <v>0.82399999999999995</v>
      </c>
      <c r="N500" s="50">
        <v>0.93840000000000001</v>
      </c>
      <c r="O500" s="50">
        <v>1.0538000000000001</v>
      </c>
      <c r="P500" s="49">
        <v>16565</v>
      </c>
      <c r="Q500" s="51">
        <f t="array" ref="Q500">SUM(IF(($S500&gt;=4)*($C500='TaxCred&amp;Subs'!$D$123:$D$127)*($H500='TaxCred&amp;Subs'!$C$123:$C$127)*($H500&lt;='TaxCred&amp;Subs'!$C$129),'TaxCred&amp;Subs'!$E$123:$E$127,0))</f>
        <v>2500</v>
      </c>
      <c r="R500" s="171">
        <v>0</v>
      </c>
      <c r="S500" s="49">
        <v>4</v>
      </c>
      <c r="T500" s="49" t="s">
        <v>248</v>
      </c>
      <c r="V500" s="153" t="str">
        <f t="array" ref="V500">INDEX(xlRTCLNAME,MATCH(1,(xlRTCLENDU=1)*(xlRTCLEQCL=$D500),0))</f>
        <v>ELEC_HP</v>
      </c>
      <c r="W500" s="153" t="str">
        <f t="array" ref="W500">INDEX(xlRTCLNAME,MATCH(1,(xlRTCLENDU=2)*(xlRTCLEQCL=$F500),0))</f>
        <v>ELEC_HP</v>
      </c>
      <c r="X500" s="153" t="str">
        <f t="array" ref="X500">INDEX(xlRTTYNAME,MATCH(1,(xlRTTYENDU=1)*(xlRTTYEQCL=$D500)*(xlRTEQTYPE=$E500),0))</f>
        <v>ELEC_HP3</v>
      </c>
      <c r="Y500" s="153" t="str">
        <f t="array" ref="Y500">INDEX(xlRTTYNAME,MATCH(1,(xlRTTYENDU=2)*(xlRTTYEQCL=$F500)*(xlRTEQTYPE=$G500),0))</f>
        <v>ELEC_HP3</v>
      </c>
    </row>
    <row r="501" spans="1:25" s="158" customFormat="1" x14ac:dyDescent="0.2">
      <c r="A501"/>
      <c r="B501" s="126">
        <v>2</v>
      </c>
      <c r="C501" s="126">
        <v>1</v>
      </c>
      <c r="D501" s="126">
        <v>2</v>
      </c>
      <c r="E501" s="126">
        <v>4</v>
      </c>
      <c r="F501" s="126">
        <v>3</v>
      </c>
      <c r="G501" s="126">
        <v>11</v>
      </c>
      <c r="H501" s="159">
        <v>2033</v>
      </c>
      <c r="I501" s="126">
        <v>2050</v>
      </c>
      <c r="J501" s="127">
        <v>1.0588</v>
      </c>
      <c r="K501" s="127">
        <v>1.0734999999999999</v>
      </c>
      <c r="L501" s="127">
        <v>0.49159999999999998</v>
      </c>
      <c r="M501" s="127">
        <v>0.82399999999999995</v>
      </c>
      <c r="N501" s="127">
        <v>0.93840000000000001</v>
      </c>
      <c r="O501" s="127">
        <v>1.0538000000000001</v>
      </c>
      <c r="P501" s="126">
        <v>16565</v>
      </c>
      <c r="Q501" s="128">
        <f t="array" ref="Q501">SUM(IF(($S501&gt;=4)*($C501='TaxCred&amp;Subs'!$D$123:$D$127)*($H501='TaxCred&amp;Subs'!$C$123:$C$127)*($H501&lt;='TaxCred&amp;Subs'!$C$129),'TaxCred&amp;Subs'!$E$123:$E$127,0))</f>
        <v>0</v>
      </c>
      <c r="R501" s="174">
        <v>0</v>
      </c>
      <c r="S501" s="126">
        <v>4</v>
      </c>
      <c r="T501" s="126" t="s">
        <v>248</v>
      </c>
      <c r="U501"/>
      <c r="V501" s="153" t="str">
        <f t="array" ref="V501">INDEX(xlRTCLNAME,MATCH(1,(xlRTCLENDU=1)*(xlRTCLEQCL=$D501),0))</f>
        <v>ELEC_HP</v>
      </c>
      <c r="W501" s="153" t="str">
        <f t="array" ref="W501">INDEX(xlRTCLNAME,MATCH(1,(xlRTCLENDU=2)*(xlRTCLEQCL=$F501),0))</f>
        <v>ELEC_HP</v>
      </c>
      <c r="X501" s="153" t="str">
        <f t="array" ref="X501">INDEX(xlRTTYNAME,MATCH(1,(xlRTTYENDU=1)*(xlRTTYEQCL=$D501)*(xlRTEQTYPE=$E501),0))</f>
        <v>ELEC_HP3</v>
      </c>
      <c r="Y501" s="153" t="str">
        <f t="array" ref="Y501">INDEX(xlRTTYNAME,MATCH(1,(xlRTTYENDU=2)*(xlRTTYEQCL=$F501)*(xlRTEQTYPE=$G501),0))</f>
        <v>ELEC_HP3</v>
      </c>
    </row>
    <row r="502" spans="1:25" x14ac:dyDescent="0.2">
      <c r="B502" s="126">
        <v>3</v>
      </c>
      <c r="C502" s="126">
        <v>1</v>
      </c>
      <c r="D502" s="126">
        <v>2</v>
      </c>
      <c r="E502" s="126">
        <v>4</v>
      </c>
      <c r="F502" s="126">
        <v>3</v>
      </c>
      <c r="G502" s="126">
        <v>11</v>
      </c>
      <c r="H502" s="126">
        <v>2016</v>
      </c>
      <c r="I502" s="126">
        <v>2022</v>
      </c>
      <c r="J502" s="127">
        <v>1.0965</v>
      </c>
      <c r="K502" s="127">
        <v>1.0769</v>
      </c>
      <c r="L502" s="127">
        <v>0.45319999999999999</v>
      </c>
      <c r="M502" s="127">
        <v>0.90190000000000003</v>
      </c>
      <c r="N502" s="127">
        <v>0.91520000000000001</v>
      </c>
      <c r="O502" s="127">
        <v>1.0538000000000001</v>
      </c>
      <c r="P502" s="126">
        <v>12841</v>
      </c>
      <c r="Q502" s="128">
        <f t="array" ref="Q502">SUM(IF(($S502&gt;=4)*($C502='TaxCred&amp;Subs'!$D$123:$D$127)*($H502='TaxCred&amp;Subs'!$C$123:$C$127)*($H502&lt;='TaxCred&amp;Subs'!$C$129),'TaxCred&amp;Subs'!$E$123:$E$127,0))</f>
        <v>2000</v>
      </c>
      <c r="R502" s="174">
        <v>0</v>
      </c>
      <c r="S502" s="126">
        <v>4</v>
      </c>
      <c r="T502" s="126" t="s">
        <v>248</v>
      </c>
      <c r="V502" s="153" t="str">
        <f t="array" ref="V502">INDEX(xlRTCLNAME,MATCH(1,(xlRTCLENDU=1)*(xlRTCLEQCL=$D502),0))</f>
        <v>ELEC_HP</v>
      </c>
      <c r="W502" s="153" t="str">
        <f t="array" ref="W502">INDEX(xlRTCLNAME,MATCH(1,(xlRTCLENDU=2)*(xlRTCLEQCL=$F502),0))</f>
        <v>ELEC_HP</v>
      </c>
      <c r="X502" s="153" t="str">
        <f t="array" ref="X502">INDEX(xlRTTYNAME,MATCH(1,(xlRTTYENDU=1)*(xlRTTYEQCL=$D502)*(xlRTEQTYPE=$E502),0))</f>
        <v>ELEC_HP3</v>
      </c>
      <c r="Y502" s="153" t="str">
        <f t="array" ref="Y502">INDEX(xlRTTYNAME,MATCH(1,(xlRTTYENDU=2)*(xlRTTYEQCL=$F502)*(xlRTEQTYPE=$G502),0))</f>
        <v>ELEC_HP3</v>
      </c>
    </row>
    <row r="503" spans="1:25" x14ac:dyDescent="0.2">
      <c r="B503" s="49">
        <v>3</v>
      </c>
      <c r="C503" s="49">
        <v>1</v>
      </c>
      <c r="D503" s="49">
        <v>2</v>
      </c>
      <c r="E503" s="49">
        <v>4</v>
      </c>
      <c r="F503" s="49">
        <v>3</v>
      </c>
      <c r="G503" s="49">
        <v>11</v>
      </c>
      <c r="H503" s="49">
        <v>2023</v>
      </c>
      <c r="I503" s="49">
        <v>2032</v>
      </c>
      <c r="J503" s="50">
        <v>1.0965</v>
      </c>
      <c r="K503" s="50">
        <v>1.0769</v>
      </c>
      <c r="L503" s="50">
        <v>0.45319999999999999</v>
      </c>
      <c r="M503" s="50">
        <v>0.90190000000000003</v>
      </c>
      <c r="N503" s="50">
        <v>0.91520000000000001</v>
      </c>
      <c r="O503" s="50">
        <v>1.0538000000000001</v>
      </c>
      <c r="P503" s="49">
        <v>12841</v>
      </c>
      <c r="Q503" s="51">
        <f t="array" ref="Q503">SUM(IF(($S503&gt;=4)*($C503='TaxCred&amp;Subs'!$D$123:$D$127)*($H503='TaxCred&amp;Subs'!$C$123:$C$127)*($H503&lt;='TaxCred&amp;Subs'!$C$129),'TaxCred&amp;Subs'!$E$123:$E$127,0))</f>
        <v>2500</v>
      </c>
      <c r="R503" s="171">
        <v>0</v>
      </c>
      <c r="S503" s="49">
        <v>4</v>
      </c>
      <c r="T503" s="49" t="s">
        <v>248</v>
      </c>
      <c r="V503" s="153" t="str">
        <f t="array" ref="V503">INDEX(xlRTCLNAME,MATCH(1,(xlRTCLENDU=1)*(xlRTCLEQCL=$D503),0))</f>
        <v>ELEC_HP</v>
      </c>
      <c r="W503" s="153" t="str">
        <f t="array" ref="W503">INDEX(xlRTCLNAME,MATCH(1,(xlRTCLENDU=2)*(xlRTCLEQCL=$F503),0))</f>
        <v>ELEC_HP</v>
      </c>
      <c r="X503" s="153" t="str">
        <f t="array" ref="X503">INDEX(xlRTTYNAME,MATCH(1,(xlRTTYENDU=1)*(xlRTTYEQCL=$D503)*(xlRTEQTYPE=$E503),0))</f>
        <v>ELEC_HP3</v>
      </c>
      <c r="Y503" s="153" t="str">
        <f t="array" ref="Y503">INDEX(xlRTTYNAME,MATCH(1,(xlRTTYENDU=2)*(xlRTTYEQCL=$F503)*(xlRTEQTYPE=$G503),0))</f>
        <v>ELEC_HP3</v>
      </c>
    </row>
    <row r="504" spans="1:25" x14ac:dyDescent="0.2">
      <c r="B504" s="126">
        <v>3</v>
      </c>
      <c r="C504" s="126">
        <v>1</v>
      </c>
      <c r="D504" s="126">
        <v>2</v>
      </c>
      <c r="E504" s="126">
        <v>4</v>
      </c>
      <c r="F504" s="126">
        <v>3</v>
      </c>
      <c r="G504" s="126">
        <v>11</v>
      </c>
      <c r="H504" s="159">
        <v>2033</v>
      </c>
      <c r="I504" s="126">
        <v>2050</v>
      </c>
      <c r="J504" s="127">
        <v>1.0965</v>
      </c>
      <c r="K504" s="127">
        <v>1.0769</v>
      </c>
      <c r="L504" s="127">
        <v>0.45319999999999999</v>
      </c>
      <c r="M504" s="127">
        <v>0.90190000000000003</v>
      </c>
      <c r="N504" s="127">
        <v>0.91520000000000001</v>
      </c>
      <c r="O504" s="127">
        <v>1.0538000000000001</v>
      </c>
      <c r="P504" s="126">
        <v>12841</v>
      </c>
      <c r="Q504" s="128">
        <f t="array" ref="Q504">SUM(IF(($S504&gt;=4)*($C504='TaxCred&amp;Subs'!$D$123:$D$127)*($H504='TaxCred&amp;Subs'!$C$123:$C$127)*($H504&lt;='TaxCred&amp;Subs'!$C$129),'TaxCred&amp;Subs'!$E$123:$E$127,0))</f>
        <v>0</v>
      </c>
      <c r="R504" s="174">
        <v>0</v>
      </c>
      <c r="S504" s="126">
        <v>4</v>
      </c>
      <c r="T504" s="126" t="s">
        <v>248</v>
      </c>
      <c r="V504" s="153" t="str">
        <f t="array" ref="V504">INDEX(xlRTCLNAME,MATCH(1,(xlRTCLENDU=1)*(xlRTCLEQCL=$D504),0))</f>
        <v>ELEC_HP</v>
      </c>
      <c r="W504" s="153" t="str">
        <f t="array" ref="W504">INDEX(xlRTCLNAME,MATCH(1,(xlRTCLENDU=2)*(xlRTCLEQCL=$F504),0))</f>
        <v>ELEC_HP</v>
      </c>
      <c r="X504" s="153" t="str">
        <f t="array" ref="X504">INDEX(xlRTTYNAME,MATCH(1,(xlRTTYENDU=1)*(xlRTTYEQCL=$D504)*(xlRTEQTYPE=$E504),0))</f>
        <v>ELEC_HP3</v>
      </c>
      <c r="Y504" s="153" t="str">
        <f t="array" ref="Y504">INDEX(xlRTTYNAME,MATCH(1,(xlRTTYENDU=2)*(xlRTTYEQCL=$F504)*(xlRTEQTYPE=$G504),0))</f>
        <v>ELEC_HP3</v>
      </c>
    </row>
    <row r="505" spans="1:25" x14ac:dyDescent="0.2">
      <c r="B505" s="126">
        <v>4</v>
      </c>
      <c r="C505" s="126">
        <v>1</v>
      </c>
      <c r="D505" s="126">
        <v>2</v>
      </c>
      <c r="E505" s="126">
        <v>4</v>
      </c>
      <c r="F505" s="126">
        <v>3</v>
      </c>
      <c r="G505" s="126">
        <v>11</v>
      </c>
      <c r="H505" s="126">
        <v>2016</v>
      </c>
      <c r="I505" s="159">
        <v>2022</v>
      </c>
      <c r="J505" s="127">
        <v>1.1016999999999999</v>
      </c>
      <c r="K505" s="127">
        <v>1.0789</v>
      </c>
      <c r="L505" s="127">
        <v>0.45269999999999999</v>
      </c>
      <c r="M505" s="127">
        <v>0.85729999999999995</v>
      </c>
      <c r="N505" s="127">
        <v>0.85340000000000005</v>
      </c>
      <c r="O505" s="127">
        <v>1.0538000000000001</v>
      </c>
      <c r="P505" s="126">
        <v>10457</v>
      </c>
      <c r="Q505" s="128">
        <f t="array" ref="Q505">SUM(IF(($S505&gt;=4)*($C505='TaxCred&amp;Subs'!$D$123:$D$127)*($H505='TaxCred&amp;Subs'!$C$123:$C$127)*($H505&lt;='TaxCred&amp;Subs'!$C$129),'TaxCred&amp;Subs'!$E$123:$E$127,0))</f>
        <v>2000</v>
      </c>
      <c r="R505" s="174">
        <v>0</v>
      </c>
      <c r="S505" s="126">
        <v>4</v>
      </c>
      <c r="T505" s="126" t="s">
        <v>248</v>
      </c>
      <c r="V505" s="153" t="str">
        <f t="array" ref="V505">INDEX(xlRTCLNAME,MATCH(1,(xlRTCLENDU=1)*(xlRTCLEQCL=$D505),0))</f>
        <v>ELEC_HP</v>
      </c>
      <c r="W505" s="153" t="str">
        <f t="array" ref="W505">INDEX(xlRTCLNAME,MATCH(1,(xlRTCLENDU=2)*(xlRTCLEQCL=$F505),0))</f>
        <v>ELEC_HP</v>
      </c>
      <c r="X505" s="153" t="str">
        <f t="array" ref="X505">INDEX(xlRTTYNAME,MATCH(1,(xlRTTYENDU=1)*(xlRTTYEQCL=$D505)*(xlRTEQTYPE=$E505),0))</f>
        <v>ELEC_HP3</v>
      </c>
      <c r="Y505" s="153" t="str">
        <f t="array" ref="Y505">INDEX(xlRTTYNAME,MATCH(1,(xlRTTYENDU=2)*(xlRTTYEQCL=$F505)*(xlRTEQTYPE=$G505),0))</f>
        <v>ELEC_HP3</v>
      </c>
    </row>
    <row r="506" spans="1:25" x14ac:dyDescent="0.2">
      <c r="B506" s="49">
        <v>4</v>
      </c>
      <c r="C506" s="49">
        <v>1</v>
      </c>
      <c r="D506" s="49">
        <v>2</v>
      </c>
      <c r="E506" s="49">
        <v>4</v>
      </c>
      <c r="F506" s="49">
        <v>3</v>
      </c>
      <c r="G506" s="49">
        <v>11</v>
      </c>
      <c r="H506" s="49">
        <v>2023</v>
      </c>
      <c r="I506" s="49">
        <v>2032</v>
      </c>
      <c r="J506" s="50">
        <v>1.1016999999999999</v>
      </c>
      <c r="K506" s="50">
        <v>1.0789</v>
      </c>
      <c r="L506" s="50">
        <v>0.45269999999999999</v>
      </c>
      <c r="M506" s="50">
        <v>0.85729999999999995</v>
      </c>
      <c r="N506" s="50">
        <v>0.85340000000000005</v>
      </c>
      <c r="O506" s="50">
        <v>1.0538000000000001</v>
      </c>
      <c r="P506" s="49">
        <v>10457</v>
      </c>
      <c r="Q506" s="51">
        <f t="array" ref="Q506">SUM(IF(($S506&gt;=4)*($C506='TaxCred&amp;Subs'!$D$123:$D$127)*($H506='TaxCred&amp;Subs'!$C$123:$C$127)*($H506&lt;='TaxCred&amp;Subs'!$C$129),'TaxCred&amp;Subs'!$E$123:$E$127,0))</f>
        <v>2500</v>
      </c>
      <c r="R506" s="171">
        <v>0</v>
      </c>
      <c r="S506" s="49">
        <v>4</v>
      </c>
      <c r="T506" s="49" t="s">
        <v>248</v>
      </c>
      <c r="V506" s="153" t="str">
        <f t="array" ref="V506">INDEX(xlRTCLNAME,MATCH(1,(xlRTCLENDU=1)*(xlRTCLEQCL=$D506),0))</f>
        <v>ELEC_HP</v>
      </c>
      <c r="W506" s="153" t="str">
        <f t="array" ref="W506">INDEX(xlRTCLNAME,MATCH(1,(xlRTCLENDU=2)*(xlRTCLEQCL=$F506),0))</f>
        <v>ELEC_HP</v>
      </c>
      <c r="X506" s="153" t="str">
        <f t="array" ref="X506">INDEX(xlRTTYNAME,MATCH(1,(xlRTTYENDU=1)*(xlRTTYEQCL=$D506)*(xlRTEQTYPE=$E506),0))</f>
        <v>ELEC_HP3</v>
      </c>
      <c r="Y506" s="153" t="str">
        <f t="array" ref="Y506">INDEX(xlRTTYNAME,MATCH(1,(xlRTTYENDU=2)*(xlRTTYEQCL=$F506)*(xlRTEQTYPE=$G506),0))</f>
        <v>ELEC_HP3</v>
      </c>
    </row>
    <row r="507" spans="1:25" x14ac:dyDescent="0.2">
      <c r="B507" s="126">
        <v>4</v>
      </c>
      <c r="C507" s="126">
        <v>1</v>
      </c>
      <c r="D507" s="126">
        <v>2</v>
      </c>
      <c r="E507" s="126">
        <v>4</v>
      </c>
      <c r="F507" s="126">
        <v>3</v>
      </c>
      <c r="G507" s="126">
        <v>11</v>
      </c>
      <c r="H507" s="159">
        <v>2033</v>
      </c>
      <c r="I507" s="126">
        <v>2050</v>
      </c>
      <c r="J507" s="127">
        <v>1.1016999999999999</v>
      </c>
      <c r="K507" s="127">
        <v>1.0789</v>
      </c>
      <c r="L507" s="127">
        <v>0.45269999999999999</v>
      </c>
      <c r="M507" s="127">
        <v>0.85729999999999995</v>
      </c>
      <c r="N507" s="127">
        <v>0.85340000000000005</v>
      </c>
      <c r="O507" s="127">
        <v>1.0538000000000001</v>
      </c>
      <c r="P507" s="126">
        <v>10457</v>
      </c>
      <c r="Q507" s="128">
        <f t="array" ref="Q507">SUM(IF(($S507&gt;=4)*($C507='TaxCred&amp;Subs'!$D$123:$D$127)*($H507='TaxCred&amp;Subs'!$C$123:$C$127)*($H507&lt;='TaxCred&amp;Subs'!$C$129),'TaxCred&amp;Subs'!$E$123:$E$127,0))</f>
        <v>0</v>
      </c>
      <c r="R507" s="174">
        <v>0</v>
      </c>
      <c r="S507" s="126">
        <v>4</v>
      </c>
      <c r="T507" s="126" t="s">
        <v>248</v>
      </c>
      <c r="V507" s="153" t="str">
        <f t="array" ref="V507">INDEX(xlRTCLNAME,MATCH(1,(xlRTCLENDU=1)*(xlRTCLEQCL=$D507),0))</f>
        <v>ELEC_HP</v>
      </c>
      <c r="W507" s="153" t="str">
        <f t="array" ref="W507">INDEX(xlRTCLNAME,MATCH(1,(xlRTCLENDU=2)*(xlRTCLEQCL=$F507),0))</f>
        <v>ELEC_HP</v>
      </c>
      <c r="X507" s="153" t="str">
        <f t="array" ref="X507">INDEX(xlRTTYNAME,MATCH(1,(xlRTTYENDU=1)*(xlRTTYEQCL=$D507)*(xlRTEQTYPE=$E507),0))</f>
        <v>ELEC_HP3</v>
      </c>
      <c r="Y507" s="153" t="str">
        <f t="array" ref="Y507">INDEX(xlRTTYNAME,MATCH(1,(xlRTTYENDU=2)*(xlRTTYEQCL=$F507)*(xlRTEQTYPE=$G507),0))</f>
        <v>ELEC_HP3</v>
      </c>
    </row>
    <row r="508" spans="1:25" x14ac:dyDescent="0.2">
      <c r="B508" s="126">
        <v>5</v>
      </c>
      <c r="C508" s="126">
        <v>1</v>
      </c>
      <c r="D508" s="126">
        <v>2</v>
      </c>
      <c r="E508" s="126">
        <v>4</v>
      </c>
      <c r="F508" s="126">
        <v>3</v>
      </c>
      <c r="G508" s="126">
        <v>11</v>
      </c>
      <c r="H508" s="126">
        <v>2016</v>
      </c>
      <c r="I508" s="159">
        <v>2022</v>
      </c>
      <c r="J508" s="127">
        <v>1.0806</v>
      </c>
      <c r="K508" s="127">
        <v>1.0507</v>
      </c>
      <c r="L508" s="127">
        <v>0.42309999999999998</v>
      </c>
      <c r="M508" s="127">
        <v>0.79590000000000005</v>
      </c>
      <c r="N508" s="127">
        <v>0.78859999999999997</v>
      </c>
      <c r="O508" s="127">
        <v>1.0538000000000001</v>
      </c>
      <c r="P508" s="126">
        <v>10634</v>
      </c>
      <c r="Q508" s="128">
        <f t="array" ref="Q508">SUM(IF(($S508&gt;=4)*($C508='TaxCred&amp;Subs'!$D$123:$D$127)*($H508='TaxCred&amp;Subs'!$C$123:$C$127)*($H508&lt;='TaxCred&amp;Subs'!$C$129),'TaxCred&amp;Subs'!$E$123:$E$127,0))</f>
        <v>2000</v>
      </c>
      <c r="R508" s="174">
        <v>0</v>
      </c>
      <c r="S508" s="126">
        <v>4</v>
      </c>
      <c r="T508" s="126" t="s">
        <v>248</v>
      </c>
      <c r="V508" s="153" t="str">
        <f t="array" ref="V508">INDEX(xlRTCLNAME,MATCH(1,(xlRTCLENDU=1)*(xlRTCLEQCL=$D508),0))</f>
        <v>ELEC_HP</v>
      </c>
      <c r="W508" s="153" t="str">
        <f t="array" ref="W508">INDEX(xlRTCLNAME,MATCH(1,(xlRTCLENDU=2)*(xlRTCLEQCL=$F508),0))</f>
        <v>ELEC_HP</v>
      </c>
      <c r="X508" s="153" t="str">
        <f t="array" ref="X508">INDEX(xlRTTYNAME,MATCH(1,(xlRTTYENDU=1)*(xlRTTYEQCL=$D508)*(xlRTEQTYPE=$E508),0))</f>
        <v>ELEC_HP3</v>
      </c>
      <c r="Y508" s="153" t="str">
        <f t="array" ref="Y508">INDEX(xlRTTYNAME,MATCH(1,(xlRTTYENDU=2)*(xlRTTYEQCL=$F508)*(xlRTEQTYPE=$G508),0))</f>
        <v>ELEC_HP3</v>
      </c>
    </row>
    <row r="509" spans="1:25" x14ac:dyDescent="0.2">
      <c r="B509" s="49">
        <v>5</v>
      </c>
      <c r="C509" s="49">
        <v>1</v>
      </c>
      <c r="D509" s="49">
        <v>2</v>
      </c>
      <c r="E509" s="49">
        <v>4</v>
      </c>
      <c r="F509" s="49">
        <v>3</v>
      </c>
      <c r="G509" s="49">
        <v>11</v>
      </c>
      <c r="H509" s="49">
        <v>2023</v>
      </c>
      <c r="I509" s="49">
        <v>2032</v>
      </c>
      <c r="J509" s="50">
        <v>1.0806</v>
      </c>
      <c r="K509" s="50">
        <v>1.0507</v>
      </c>
      <c r="L509" s="50">
        <v>0.42309999999999998</v>
      </c>
      <c r="M509" s="50">
        <v>0.79590000000000005</v>
      </c>
      <c r="N509" s="50">
        <v>0.78859999999999997</v>
      </c>
      <c r="O509" s="50">
        <v>1.0538000000000001</v>
      </c>
      <c r="P509" s="49">
        <v>10634</v>
      </c>
      <c r="Q509" s="51">
        <f t="array" ref="Q509">SUM(IF(($S509&gt;=4)*($C509='TaxCred&amp;Subs'!$D$123:$D$127)*($H509='TaxCred&amp;Subs'!$C$123:$C$127)*($H509&lt;='TaxCred&amp;Subs'!$C$129),'TaxCred&amp;Subs'!$E$123:$E$127,0))</f>
        <v>2500</v>
      </c>
      <c r="R509" s="171">
        <v>0</v>
      </c>
      <c r="S509" s="49">
        <v>4</v>
      </c>
      <c r="T509" s="49" t="s">
        <v>248</v>
      </c>
      <c r="V509" s="153" t="str">
        <f t="array" ref="V509">INDEX(xlRTCLNAME,MATCH(1,(xlRTCLENDU=1)*(xlRTCLEQCL=$D509),0))</f>
        <v>ELEC_HP</v>
      </c>
      <c r="W509" s="153" t="str">
        <f t="array" ref="W509">INDEX(xlRTCLNAME,MATCH(1,(xlRTCLENDU=2)*(xlRTCLEQCL=$F509),0))</f>
        <v>ELEC_HP</v>
      </c>
      <c r="X509" s="153" t="str">
        <f t="array" ref="X509">INDEX(xlRTTYNAME,MATCH(1,(xlRTTYENDU=1)*(xlRTTYEQCL=$D509)*(xlRTEQTYPE=$E509),0))</f>
        <v>ELEC_HP3</v>
      </c>
      <c r="Y509" s="153" t="str">
        <f t="array" ref="Y509">INDEX(xlRTTYNAME,MATCH(1,(xlRTTYENDU=2)*(xlRTTYEQCL=$F509)*(xlRTEQTYPE=$G509),0))</f>
        <v>ELEC_HP3</v>
      </c>
    </row>
    <row r="510" spans="1:25" x14ac:dyDescent="0.2">
      <c r="B510" s="126">
        <v>5</v>
      </c>
      <c r="C510" s="126">
        <v>1</v>
      </c>
      <c r="D510" s="126">
        <v>2</v>
      </c>
      <c r="E510" s="126">
        <v>4</v>
      </c>
      <c r="F510" s="126">
        <v>3</v>
      </c>
      <c r="G510" s="126">
        <v>11</v>
      </c>
      <c r="H510" s="159">
        <v>2033</v>
      </c>
      <c r="I510" s="126">
        <v>2050</v>
      </c>
      <c r="J510" s="127">
        <v>1.0806</v>
      </c>
      <c r="K510" s="127">
        <v>1.0507</v>
      </c>
      <c r="L510" s="127">
        <v>0.42309999999999998</v>
      </c>
      <c r="M510" s="127">
        <v>0.79590000000000005</v>
      </c>
      <c r="N510" s="127">
        <v>0.78859999999999997</v>
      </c>
      <c r="O510" s="127">
        <v>1.0538000000000001</v>
      </c>
      <c r="P510" s="126">
        <v>10634</v>
      </c>
      <c r="Q510" s="128">
        <f t="array" ref="Q510">SUM(IF(($S510&gt;=4)*($C510='TaxCred&amp;Subs'!$D$123:$D$127)*($H510='TaxCred&amp;Subs'!$C$123:$C$127)*($H510&lt;='TaxCred&amp;Subs'!$C$129),'TaxCred&amp;Subs'!$E$123:$E$127,0))</f>
        <v>0</v>
      </c>
      <c r="R510" s="174">
        <v>0</v>
      </c>
      <c r="S510" s="126">
        <v>4</v>
      </c>
      <c r="T510" s="126" t="s">
        <v>248</v>
      </c>
      <c r="V510" s="153" t="str">
        <f t="array" ref="V510">INDEX(xlRTCLNAME,MATCH(1,(xlRTCLENDU=1)*(xlRTCLEQCL=$D510),0))</f>
        <v>ELEC_HP</v>
      </c>
      <c r="W510" s="153" t="str">
        <f t="array" ref="W510">INDEX(xlRTCLNAME,MATCH(1,(xlRTCLENDU=2)*(xlRTCLEQCL=$F510),0))</f>
        <v>ELEC_HP</v>
      </c>
      <c r="X510" s="153" t="str">
        <f t="array" ref="X510">INDEX(xlRTTYNAME,MATCH(1,(xlRTTYENDU=1)*(xlRTTYEQCL=$D510)*(xlRTEQTYPE=$E510),0))</f>
        <v>ELEC_HP3</v>
      </c>
      <c r="Y510" s="153" t="str">
        <f t="array" ref="Y510">INDEX(xlRTTYNAME,MATCH(1,(xlRTTYENDU=2)*(xlRTTYEQCL=$F510)*(xlRTEQTYPE=$G510),0))</f>
        <v>ELEC_HP3</v>
      </c>
    </row>
    <row r="511" spans="1:25" x14ac:dyDescent="0.2">
      <c r="B511" s="126">
        <v>6</v>
      </c>
      <c r="C511" s="126">
        <v>1</v>
      </c>
      <c r="D511" s="126">
        <v>2</v>
      </c>
      <c r="E511" s="126">
        <v>4</v>
      </c>
      <c r="F511" s="126">
        <v>3</v>
      </c>
      <c r="G511" s="126">
        <v>11</v>
      </c>
      <c r="H511" s="126">
        <v>2016</v>
      </c>
      <c r="I511" s="159">
        <v>2022</v>
      </c>
      <c r="J511" s="127">
        <v>1.0885</v>
      </c>
      <c r="K511" s="127">
        <v>1.0526</v>
      </c>
      <c r="L511" s="127">
        <v>0.54320000000000002</v>
      </c>
      <c r="M511" s="127">
        <v>0.83309999999999995</v>
      </c>
      <c r="N511" s="127">
        <v>0.88680000000000003</v>
      </c>
      <c r="O511" s="127">
        <v>1.0538000000000001</v>
      </c>
      <c r="P511" s="126">
        <v>8935</v>
      </c>
      <c r="Q511" s="128">
        <f t="array" ref="Q511">SUM(IF(($S511&gt;=4)*($C511='TaxCred&amp;Subs'!$D$123:$D$127)*($H511='TaxCred&amp;Subs'!$C$123:$C$127)*($H511&lt;='TaxCred&amp;Subs'!$C$129),'TaxCred&amp;Subs'!$E$123:$E$127,0))</f>
        <v>2000</v>
      </c>
      <c r="R511" s="174">
        <v>0</v>
      </c>
      <c r="S511" s="126">
        <v>4</v>
      </c>
      <c r="T511" s="126" t="s">
        <v>248</v>
      </c>
      <c r="V511" s="153" t="str">
        <f t="array" ref="V511">INDEX(xlRTCLNAME,MATCH(1,(xlRTCLENDU=1)*(xlRTCLEQCL=$D511),0))</f>
        <v>ELEC_HP</v>
      </c>
      <c r="W511" s="153" t="str">
        <f t="array" ref="W511">INDEX(xlRTCLNAME,MATCH(1,(xlRTCLENDU=2)*(xlRTCLEQCL=$F511),0))</f>
        <v>ELEC_HP</v>
      </c>
      <c r="X511" s="153" t="str">
        <f t="array" ref="X511">INDEX(xlRTTYNAME,MATCH(1,(xlRTTYENDU=1)*(xlRTTYEQCL=$D511)*(xlRTEQTYPE=$E511),0))</f>
        <v>ELEC_HP3</v>
      </c>
      <c r="Y511" s="153" t="str">
        <f t="array" ref="Y511">INDEX(xlRTTYNAME,MATCH(1,(xlRTTYENDU=2)*(xlRTTYEQCL=$F511)*(xlRTEQTYPE=$G511),0))</f>
        <v>ELEC_HP3</v>
      </c>
    </row>
    <row r="512" spans="1:25" x14ac:dyDescent="0.2">
      <c r="B512" s="49">
        <v>6</v>
      </c>
      <c r="C512" s="49">
        <v>1</v>
      </c>
      <c r="D512" s="49">
        <v>2</v>
      </c>
      <c r="E512" s="49">
        <v>4</v>
      </c>
      <c r="F512" s="49">
        <v>3</v>
      </c>
      <c r="G512" s="49">
        <v>11</v>
      </c>
      <c r="H512" s="49">
        <v>2023</v>
      </c>
      <c r="I512" s="49">
        <v>2032</v>
      </c>
      <c r="J512" s="50">
        <v>1.0885</v>
      </c>
      <c r="K512" s="50">
        <v>1.0526</v>
      </c>
      <c r="L512" s="50">
        <v>0.54320000000000002</v>
      </c>
      <c r="M512" s="50">
        <v>0.83309999999999995</v>
      </c>
      <c r="N512" s="50">
        <v>0.88680000000000003</v>
      </c>
      <c r="O512" s="50">
        <v>1.0538000000000001</v>
      </c>
      <c r="P512" s="49">
        <v>8935</v>
      </c>
      <c r="Q512" s="51">
        <f t="array" ref="Q512">SUM(IF(($S512&gt;=4)*($C512='TaxCred&amp;Subs'!$D$123:$D$127)*($H512='TaxCred&amp;Subs'!$C$123:$C$127)*($H512&lt;='TaxCred&amp;Subs'!$C$129),'TaxCred&amp;Subs'!$E$123:$E$127,0))</f>
        <v>2500</v>
      </c>
      <c r="R512" s="171">
        <v>0</v>
      </c>
      <c r="S512" s="49">
        <v>4</v>
      </c>
      <c r="T512" s="49" t="s">
        <v>248</v>
      </c>
      <c r="V512" s="153" t="str">
        <f t="array" ref="V512">INDEX(xlRTCLNAME,MATCH(1,(xlRTCLENDU=1)*(xlRTCLEQCL=$D512),0))</f>
        <v>ELEC_HP</v>
      </c>
      <c r="W512" s="153" t="str">
        <f t="array" ref="W512">INDEX(xlRTCLNAME,MATCH(1,(xlRTCLENDU=2)*(xlRTCLEQCL=$F512),0))</f>
        <v>ELEC_HP</v>
      </c>
      <c r="X512" s="153" t="str">
        <f t="array" ref="X512">INDEX(xlRTTYNAME,MATCH(1,(xlRTTYENDU=1)*(xlRTTYEQCL=$D512)*(xlRTEQTYPE=$E512),0))</f>
        <v>ELEC_HP3</v>
      </c>
      <c r="Y512" s="153" t="str">
        <f t="array" ref="Y512">INDEX(xlRTTYNAME,MATCH(1,(xlRTTYENDU=2)*(xlRTTYEQCL=$F512)*(xlRTEQTYPE=$G512),0))</f>
        <v>ELEC_HP3</v>
      </c>
    </row>
    <row r="513" spans="2:25" x14ac:dyDescent="0.2">
      <c r="B513" s="126">
        <v>6</v>
      </c>
      <c r="C513" s="126">
        <v>1</v>
      </c>
      <c r="D513" s="126">
        <v>2</v>
      </c>
      <c r="E513" s="126">
        <v>4</v>
      </c>
      <c r="F513" s="126">
        <v>3</v>
      </c>
      <c r="G513" s="126">
        <v>11</v>
      </c>
      <c r="H513" s="159">
        <v>2033</v>
      </c>
      <c r="I513" s="126">
        <v>2050</v>
      </c>
      <c r="J513" s="127">
        <v>1.0885</v>
      </c>
      <c r="K513" s="127">
        <v>1.0526</v>
      </c>
      <c r="L513" s="127">
        <v>0.54320000000000002</v>
      </c>
      <c r="M513" s="127">
        <v>0.83309999999999995</v>
      </c>
      <c r="N513" s="127">
        <v>0.88680000000000003</v>
      </c>
      <c r="O513" s="127">
        <v>1.0538000000000001</v>
      </c>
      <c r="P513" s="126">
        <v>8935</v>
      </c>
      <c r="Q513" s="128">
        <f t="array" ref="Q513">SUM(IF(($S513&gt;=4)*($C513='TaxCred&amp;Subs'!$D$123:$D$127)*($H513='TaxCred&amp;Subs'!$C$123:$C$127)*($H513&lt;='TaxCred&amp;Subs'!$C$129),'TaxCred&amp;Subs'!$E$123:$E$127,0))</f>
        <v>0</v>
      </c>
      <c r="R513" s="174">
        <v>0</v>
      </c>
      <c r="S513" s="126">
        <v>4</v>
      </c>
      <c r="T513" s="126" t="s">
        <v>248</v>
      </c>
      <c r="V513" s="153" t="str">
        <f t="array" ref="V513">INDEX(xlRTCLNAME,MATCH(1,(xlRTCLENDU=1)*(xlRTCLEQCL=$D513),0))</f>
        <v>ELEC_HP</v>
      </c>
      <c r="W513" s="153" t="str">
        <f t="array" ref="W513">INDEX(xlRTCLNAME,MATCH(1,(xlRTCLENDU=2)*(xlRTCLEQCL=$F513),0))</f>
        <v>ELEC_HP</v>
      </c>
      <c r="X513" s="153" t="str">
        <f t="array" ref="X513">INDEX(xlRTTYNAME,MATCH(1,(xlRTTYENDU=1)*(xlRTTYEQCL=$D513)*(xlRTEQTYPE=$E513),0))</f>
        <v>ELEC_HP3</v>
      </c>
      <c r="Y513" s="153" t="str">
        <f t="array" ref="Y513">INDEX(xlRTTYNAME,MATCH(1,(xlRTTYENDU=2)*(xlRTTYEQCL=$F513)*(xlRTEQTYPE=$G513),0))</f>
        <v>ELEC_HP3</v>
      </c>
    </row>
    <row r="514" spans="2:25" x14ac:dyDescent="0.2">
      <c r="B514" s="126">
        <v>7</v>
      </c>
      <c r="C514" s="126">
        <v>1</v>
      </c>
      <c r="D514" s="126">
        <v>2</v>
      </c>
      <c r="E514" s="126">
        <v>4</v>
      </c>
      <c r="F514" s="126">
        <v>3</v>
      </c>
      <c r="G514" s="126">
        <v>11</v>
      </c>
      <c r="H514" s="126">
        <v>2016</v>
      </c>
      <c r="I514" s="159">
        <v>2022</v>
      </c>
      <c r="J514" s="127">
        <v>1.0765</v>
      </c>
      <c r="K514" s="127">
        <v>1.0508</v>
      </c>
      <c r="L514" s="127">
        <v>0.4753</v>
      </c>
      <c r="M514" s="127">
        <v>0.69379999999999997</v>
      </c>
      <c r="N514" s="127">
        <v>0.86099999999999999</v>
      </c>
      <c r="O514" s="127">
        <v>1.0538000000000001</v>
      </c>
      <c r="P514" s="126">
        <v>9233</v>
      </c>
      <c r="Q514" s="128">
        <f t="array" ref="Q514">SUM(IF(($S514&gt;=4)*($C514='TaxCred&amp;Subs'!$D$123:$D$127)*($H514='TaxCred&amp;Subs'!$C$123:$C$127)*($H514&lt;='TaxCred&amp;Subs'!$C$129),'TaxCred&amp;Subs'!$E$123:$E$127,0))</f>
        <v>2000</v>
      </c>
      <c r="R514" s="174">
        <v>0</v>
      </c>
      <c r="S514" s="126">
        <v>4</v>
      </c>
      <c r="T514" s="126" t="s">
        <v>248</v>
      </c>
      <c r="V514" s="153" t="str">
        <f t="array" ref="V514">INDEX(xlRTCLNAME,MATCH(1,(xlRTCLENDU=1)*(xlRTCLEQCL=$D514),0))</f>
        <v>ELEC_HP</v>
      </c>
      <c r="W514" s="153" t="str">
        <f t="array" ref="W514">INDEX(xlRTCLNAME,MATCH(1,(xlRTCLENDU=2)*(xlRTCLEQCL=$F514),0))</f>
        <v>ELEC_HP</v>
      </c>
      <c r="X514" s="153" t="str">
        <f t="array" ref="X514">INDEX(xlRTTYNAME,MATCH(1,(xlRTTYENDU=1)*(xlRTTYEQCL=$D514)*(xlRTEQTYPE=$E514),0))</f>
        <v>ELEC_HP3</v>
      </c>
      <c r="Y514" s="153" t="str">
        <f t="array" ref="Y514">INDEX(xlRTTYNAME,MATCH(1,(xlRTTYENDU=2)*(xlRTTYEQCL=$F514)*(xlRTEQTYPE=$G514),0))</f>
        <v>ELEC_HP3</v>
      </c>
    </row>
    <row r="515" spans="2:25" x14ac:dyDescent="0.2">
      <c r="B515" s="49">
        <v>7</v>
      </c>
      <c r="C515" s="49">
        <v>1</v>
      </c>
      <c r="D515" s="49">
        <v>2</v>
      </c>
      <c r="E515" s="49">
        <v>4</v>
      </c>
      <c r="F515" s="49">
        <v>3</v>
      </c>
      <c r="G515" s="49">
        <v>11</v>
      </c>
      <c r="H515" s="49">
        <v>2023</v>
      </c>
      <c r="I515" s="49">
        <v>2032</v>
      </c>
      <c r="J515" s="50">
        <v>1.0765</v>
      </c>
      <c r="K515" s="50">
        <v>1.0508</v>
      </c>
      <c r="L515" s="50">
        <v>0.4753</v>
      </c>
      <c r="M515" s="50">
        <v>0.69379999999999997</v>
      </c>
      <c r="N515" s="50">
        <v>0.86099999999999999</v>
      </c>
      <c r="O515" s="50">
        <v>1.0538000000000001</v>
      </c>
      <c r="P515" s="49">
        <v>9233</v>
      </c>
      <c r="Q515" s="51">
        <f t="array" ref="Q515">SUM(IF(($S515&gt;=4)*($C515='TaxCred&amp;Subs'!$D$123:$D$127)*($H515='TaxCred&amp;Subs'!$C$123:$C$127)*($H515&lt;='TaxCred&amp;Subs'!$C$129),'TaxCred&amp;Subs'!$E$123:$E$127,0))</f>
        <v>2500</v>
      </c>
      <c r="R515" s="171">
        <v>0</v>
      </c>
      <c r="S515" s="49">
        <v>4</v>
      </c>
      <c r="T515" s="49" t="s">
        <v>248</v>
      </c>
      <c r="V515" s="153" t="str">
        <f t="array" ref="V515">INDEX(xlRTCLNAME,MATCH(1,(xlRTCLENDU=1)*(xlRTCLEQCL=$D515),0))</f>
        <v>ELEC_HP</v>
      </c>
      <c r="W515" s="153" t="str">
        <f t="array" ref="W515">INDEX(xlRTCLNAME,MATCH(1,(xlRTCLENDU=2)*(xlRTCLEQCL=$F515),0))</f>
        <v>ELEC_HP</v>
      </c>
      <c r="X515" s="153" t="str">
        <f t="array" ref="X515">INDEX(xlRTTYNAME,MATCH(1,(xlRTTYENDU=1)*(xlRTTYEQCL=$D515)*(xlRTEQTYPE=$E515),0))</f>
        <v>ELEC_HP3</v>
      </c>
      <c r="Y515" s="153" t="str">
        <f t="array" ref="Y515">INDEX(xlRTTYNAME,MATCH(1,(xlRTTYENDU=2)*(xlRTTYEQCL=$F515)*(xlRTEQTYPE=$G515),0))</f>
        <v>ELEC_HP3</v>
      </c>
    </row>
    <row r="516" spans="2:25" x14ac:dyDescent="0.2">
      <c r="B516" s="126">
        <v>7</v>
      </c>
      <c r="C516" s="126">
        <v>1</v>
      </c>
      <c r="D516" s="126">
        <v>2</v>
      </c>
      <c r="E516" s="126">
        <v>4</v>
      </c>
      <c r="F516" s="126">
        <v>3</v>
      </c>
      <c r="G516" s="126">
        <v>11</v>
      </c>
      <c r="H516" s="159">
        <v>2033</v>
      </c>
      <c r="I516" s="126">
        <v>2050</v>
      </c>
      <c r="J516" s="127">
        <v>1.0765</v>
      </c>
      <c r="K516" s="127">
        <v>1.0508</v>
      </c>
      <c r="L516" s="127">
        <v>0.4753</v>
      </c>
      <c r="M516" s="127">
        <v>0.69379999999999997</v>
      </c>
      <c r="N516" s="127">
        <v>0.86099999999999999</v>
      </c>
      <c r="O516" s="127">
        <v>1.0538000000000001</v>
      </c>
      <c r="P516" s="126">
        <v>9233</v>
      </c>
      <c r="Q516" s="128">
        <f t="array" ref="Q516">SUM(IF(($S516&gt;=4)*($C516='TaxCred&amp;Subs'!$D$123:$D$127)*($H516='TaxCred&amp;Subs'!$C$123:$C$127)*($H516&lt;='TaxCred&amp;Subs'!$C$129),'TaxCred&amp;Subs'!$E$123:$E$127,0))</f>
        <v>0</v>
      </c>
      <c r="R516" s="174">
        <v>0</v>
      </c>
      <c r="S516" s="126">
        <v>4</v>
      </c>
      <c r="T516" s="126" t="s">
        <v>248</v>
      </c>
      <c r="V516" s="153" t="str">
        <f t="array" ref="V516">INDEX(xlRTCLNAME,MATCH(1,(xlRTCLENDU=1)*(xlRTCLEQCL=$D516),0))</f>
        <v>ELEC_HP</v>
      </c>
      <c r="W516" s="153" t="str">
        <f t="array" ref="W516">INDEX(xlRTCLNAME,MATCH(1,(xlRTCLENDU=2)*(xlRTCLEQCL=$F516),0))</f>
        <v>ELEC_HP</v>
      </c>
      <c r="X516" s="153" t="str">
        <f t="array" ref="X516">INDEX(xlRTTYNAME,MATCH(1,(xlRTTYENDU=1)*(xlRTTYEQCL=$D516)*(xlRTEQTYPE=$E516),0))</f>
        <v>ELEC_HP3</v>
      </c>
      <c r="Y516" s="153" t="str">
        <f t="array" ref="Y516">INDEX(xlRTTYNAME,MATCH(1,(xlRTTYENDU=2)*(xlRTTYEQCL=$F516)*(xlRTEQTYPE=$G516),0))</f>
        <v>ELEC_HP3</v>
      </c>
    </row>
    <row r="517" spans="2:25" x14ac:dyDescent="0.2">
      <c r="B517" s="126">
        <v>8</v>
      </c>
      <c r="C517" s="126">
        <v>1</v>
      </c>
      <c r="D517" s="126">
        <v>2</v>
      </c>
      <c r="E517" s="126">
        <v>4</v>
      </c>
      <c r="F517" s="126">
        <v>3</v>
      </c>
      <c r="G517" s="126">
        <v>11</v>
      </c>
      <c r="H517" s="126">
        <v>2016</v>
      </c>
      <c r="I517" s="159">
        <v>2022</v>
      </c>
      <c r="J517" s="127">
        <v>1.0488999999999999</v>
      </c>
      <c r="K517" s="127">
        <v>1.0810999999999999</v>
      </c>
      <c r="L517" s="127">
        <v>0.45029999999999998</v>
      </c>
      <c r="M517" s="127">
        <v>0.77290000000000003</v>
      </c>
      <c r="N517" s="127">
        <v>0.87419999999999998</v>
      </c>
      <c r="O517" s="127">
        <v>1.0538000000000001</v>
      </c>
      <c r="P517" s="126">
        <v>12094</v>
      </c>
      <c r="Q517" s="128">
        <f t="array" ref="Q517">SUM(IF(($S517&gt;=4)*($C517='TaxCred&amp;Subs'!$D$123:$D$127)*($H517='TaxCred&amp;Subs'!$C$123:$C$127)*($H517&lt;='TaxCred&amp;Subs'!$C$129),'TaxCred&amp;Subs'!$E$123:$E$127,0))</f>
        <v>2000</v>
      </c>
      <c r="R517" s="174">
        <v>0</v>
      </c>
      <c r="S517" s="126">
        <v>4</v>
      </c>
      <c r="T517" s="126" t="s">
        <v>248</v>
      </c>
      <c r="V517" s="153" t="str">
        <f t="array" ref="V517">INDEX(xlRTCLNAME,MATCH(1,(xlRTCLENDU=1)*(xlRTCLEQCL=$D517),0))</f>
        <v>ELEC_HP</v>
      </c>
      <c r="W517" s="153" t="str">
        <f t="array" ref="W517">INDEX(xlRTCLNAME,MATCH(1,(xlRTCLENDU=2)*(xlRTCLEQCL=$F517),0))</f>
        <v>ELEC_HP</v>
      </c>
      <c r="X517" s="153" t="str">
        <f t="array" ref="X517">INDEX(xlRTTYNAME,MATCH(1,(xlRTTYENDU=1)*(xlRTTYEQCL=$D517)*(xlRTEQTYPE=$E517),0))</f>
        <v>ELEC_HP3</v>
      </c>
      <c r="Y517" s="153" t="str">
        <f t="array" ref="Y517">INDEX(xlRTTYNAME,MATCH(1,(xlRTTYENDU=2)*(xlRTTYEQCL=$F517)*(xlRTEQTYPE=$G517),0))</f>
        <v>ELEC_HP3</v>
      </c>
    </row>
    <row r="518" spans="2:25" x14ac:dyDescent="0.2">
      <c r="B518" s="49">
        <v>8</v>
      </c>
      <c r="C518" s="49">
        <v>1</v>
      </c>
      <c r="D518" s="49">
        <v>2</v>
      </c>
      <c r="E518" s="49">
        <v>4</v>
      </c>
      <c r="F518" s="49">
        <v>3</v>
      </c>
      <c r="G518" s="49">
        <v>11</v>
      </c>
      <c r="H518" s="49">
        <v>2023</v>
      </c>
      <c r="I518" s="49">
        <v>2032</v>
      </c>
      <c r="J518" s="50">
        <v>1.0488999999999999</v>
      </c>
      <c r="K518" s="50">
        <v>1.0810999999999999</v>
      </c>
      <c r="L518" s="50">
        <v>0.45029999999999998</v>
      </c>
      <c r="M518" s="50">
        <v>0.77290000000000003</v>
      </c>
      <c r="N518" s="50">
        <v>0.87419999999999998</v>
      </c>
      <c r="O518" s="50">
        <v>1.0538000000000001</v>
      </c>
      <c r="P518" s="49">
        <v>12094</v>
      </c>
      <c r="Q518" s="51">
        <f t="array" ref="Q518">SUM(IF(($S518&gt;=4)*($C518='TaxCred&amp;Subs'!$D$123:$D$127)*($H518='TaxCred&amp;Subs'!$C$123:$C$127)*($H518&lt;='TaxCred&amp;Subs'!$C$129),'TaxCred&amp;Subs'!$E$123:$E$127,0))</f>
        <v>2500</v>
      </c>
      <c r="R518" s="171">
        <v>0</v>
      </c>
      <c r="S518" s="49">
        <v>4</v>
      </c>
      <c r="T518" s="49" t="s">
        <v>248</v>
      </c>
      <c r="V518" s="153" t="str">
        <f t="array" ref="V518">INDEX(xlRTCLNAME,MATCH(1,(xlRTCLENDU=1)*(xlRTCLEQCL=$D518),0))</f>
        <v>ELEC_HP</v>
      </c>
      <c r="W518" s="153" t="str">
        <f t="array" ref="W518">INDEX(xlRTCLNAME,MATCH(1,(xlRTCLENDU=2)*(xlRTCLEQCL=$F518),0))</f>
        <v>ELEC_HP</v>
      </c>
      <c r="X518" s="153" t="str">
        <f t="array" ref="X518">INDEX(xlRTTYNAME,MATCH(1,(xlRTTYENDU=1)*(xlRTTYEQCL=$D518)*(xlRTEQTYPE=$E518),0))</f>
        <v>ELEC_HP3</v>
      </c>
      <c r="Y518" s="153" t="str">
        <f t="array" ref="Y518">INDEX(xlRTTYNAME,MATCH(1,(xlRTTYENDU=2)*(xlRTTYEQCL=$F518)*(xlRTEQTYPE=$G518),0))</f>
        <v>ELEC_HP3</v>
      </c>
    </row>
    <row r="519" spans="2:25" x14ac:dyDescent="0.2">
      <c r="B519" s="126">
        <v>8</v>
      </c>
      <c r="C519" s="126">
        <v>1</v>
      </c>
      <c r="D519" s="126">
        <v>2</v>
      </c>
      <c r="E519" s="126">
        <v>4</v>
      </c>
      <c r="F519" s="126">
        <v>3</v>
      </c>
      <c r="G519" s="126">
        <v>11</v>
      </c>
      <c r="H519" s="159">
        <v>2033</v>
      </c>
      <c r="I519" s="126">
        <v>2050</v>
      </c>
      <c r="J519" s="127">
        <v>1.0488999999999999</v>
      </c>
      <c r="K519" s="127">
        <v>1.0810999999999999</v>
      </c>
      <c r="L519" s="127">
        <v>0.45029999999999998</v>
      </c>
      <c r="M519" s="127">
        <v>0.77290000000000003</v>
      </c>
      <c r="N519" s="127">
        <v>0.87419999999999998</v>
      </c>
      <c r="O519" s="127">
        <v>1.0538000000000001</v>
      </c>
      <c r="P519" s="126">
        <v>12094</v>
      </c>
      <c r="Q519" s="128">
        <f t="array" ref="Q519">SUM(IF(($S519&gt;=4)*($C519='TaxCred&amp;Subs'!$D$123:$D$127)*($H519='TaxCred&amp;Subs'!$C$123:$C$127)*($H519&lt;='TaxCred&amp;Subs'!$C$129),'TaxCred&amp;Subs'!$E$123:$E$127,0))</f>
        <v>0</v>
      </c>
      <c r="R519" s="174">
        <v>0</v>
      </c>
      <c r="S519" s="126">
        <v>4</v>
      </c>
      <c r="T519" s="126" t="s">
        <v>248</v>
      </c>
      <c r="V519" s="153" t="str">
        <f t="array" ref="V519">INDEX(xlRTCLNAME,MATCH(1,(xlRTCLENDU=1)*(xlRTCLEQCL=$D519),0))</f>
        <v>ELEC_HP</v>
      </c>
      <c r="W519" s="153" t="str">
        <f t="array" ref="W519">INDEX(xlRTCLNAME,MATCH(1,(xlRTCLENDU=2)*(xlRTCLEQCL=$F519),0))</f>
        <v>ELEC_HP</v>
      </c>
      <c r="X519" s="153" t="str">
        <f t="array" ref="X519">INDEX(xlRTTYNAME,MATCH(1,(xlRTTYENDU=1)*(xlRTTYEQCL=$D519)*(xlRTEQTYPE=$E519),0))</f>
        <v>ELEC_HP3</v>
      </c>
      <c r="Y519" s="153" t="str">
        <f t="array" ref="Y519">INDEX(xlRTTYNAME,MATCH(1,(xlRTTYENDU=2)*(xlRTTYEQCL=$F519)*(xlRTEQTYPE=$G519),0))</f>
        <v>ELEC_HP3</v>
      </c>
    </row>
    <row r="520" spans="2:25" x14ac:dyDescent="0.2">
      <c r="B520" s="126">
        <v>9</v>
      </c>
      <c r="C520" s="126">
        <v>1</v>
      </c>
      <c r="D520" s="126">
        <v>2</v>
      </c>
      <c r="E520" s="126">
        <v>4</v>
      </c>
      <c r="F520" s="126">
        <v>3</v>
      </c>
      <c r="G520" s="126">
        <v>11</v>
      </c>
      <c r="H520" s="126">
        <v>2016</v>
      </c>
      <c r="I520" s="159">
        <v>2022</v>
      </c>
      <c r="J520" s="127">
        <v>1.0710999999999999</v>
      </c>
      <c r="K520" s="127">
        <v>1.0754999999999999</v>
      </c>
      <c r="L520" s="127">
        <v>0.58599999999999997</v>
      </c>
      <c r="M520" s="127">
        <v>0.83950000000000002</v>
      </c>
      <c r="N520" s="127">
        <v>1.0228999999999999</v>
      </c>
      <c r="O520" s="127">
        <v>1.0538000000000001</v>
      </c>
      <c r="P520" s="126">
        <v>12353</v>
      </c>
      <c r="Q520" s="128">
        <f t="array" ref="Q520">SUM(IF(($S520&gt;=4)*($C520='TaxCred&amp;Subs'!$D$123:$D$127)*($H520='TaxCred&amp;Subs'!$C$123:$C$127)*($H520&lt;='TaxCred&amp;Subs'!$C$129),'TaxCred&amp;Subs'!$E$123:$E$127,0))</f>
        <v>2000</v>
      </c>
      <c r="R520" s="174">
        <v>0</v>
      </c>
      <c r="S520" s="126">
        <v>4</v>
      </c>
      <c r="T520" s="126" t="s">
        <v>248</v>
      </c>
      <c r="V520" s="153" t="str">
        <f t="array" ref="V520">INDEX(xlRTCLNAME,MATCH(1,(xlRTCLENDU=1)*(xlRTCLEQCL=$D520),0))</f>
        <v>ELEC_HP</v>
      </c>
      <c r="W520" s="153" t="str">
        <f t="array" ref="W520">INDEX(xlRTCLNAME,MATCH(1,(xlRTCLENDU=2)*(xlRTCLEQCL=$F520),0))</f>
        <v>ELEC_HP</v>
      </c>
      <c r="X520" s="153" t="str">
        <f t="array" ref="X520">INDEX(xlRTTYNAME,MATCH(1,(xlRTTYENDU=1)*(xlRTTYEQCL=$D520)*(xlRTEQTYPE=$E520),0))</f>
        <v>ELEC_HP3</v>
      </c>
      <c r="Y520" s="153" t="str">
        <f t="array" ref="Y520">INDEX(xlRTTYNAME,MATCH(1,(xlRTTYENDU=2)*(xlRTTYEQCL=$F520)*(xlRTEQTYPE=$G520),0))</f>
        <v>ELEC_HP3</v>
      </c>
    </row>
    <row r="521" spans="2:25" x14ac:dyDescent="0.2">
      <c r="B521" s="49">
        <v>9</v>
      </c>
      <c r="C521" s="49">
        <v>1</v>
      </c>
      <c r="D521" s="49">
        <v>2</v>
      </c>
      <c r="E521" s="49">
        <v>4</v>
      </c>
      <c r="F521" s="49">
        <v>3</v>
      </c>
      <c r="G521" s="49">
        <v>11</v>
      </c>
      <c r="H521" s="49">
        <v>2023</v>
      </c>
      <c r="I521" s="49">
        <v>2032</v>
      </c>
      <c r="J521" s="50">
        <v>1.0710999999999999</v>
      </c>
      <c r="K521" s="50">
        <v>1.0754999999999999</v>
      </c>
      <c r="L521" s="50">
        <v>0.58599999999999997</v>
      </c>
      <c r="M521" s="50">
        <v>0.83950000000000002</v>
      </c>
      <c r="N521" s="50">
        <v>1.0228999999999999</v>
      </c>
      <c r="O521" s="50">
        <v>1.0538000000000001</v>
      </c>
      <c r="P521" s="49">
        <v>12353</v>
      </c>
      <c r="Q521" s="51">
        <f t="array" ref="Q521">SUM(IF(($S521&gt;=4)*($C521='TaxCred&amp;Subs'!$D$123:$D$127)*($H521='TaxCred&amp;Subs'!$C$123:$C$127)*($H521&lt;='TaxCred&amp;Subs'!$C$129),'TaxCred&amp;Subs'!$E$123:$E$127,0))</f>
        <v>2500</v>
      </c>
      <c r="R521" s="171">
        <v>0</v>
      </c>
      <c r="S521" s="49">
        <v>4</v>
      </c>
      <c r="T521" s="49" t="s">
        <v>248</v>
      </c>
      <c r="V521" s="153" t="str">
        <f t="array" ref="V521">INDEX(xlRTCLNAME,MATCH(1,(xlRTCLENDU=1)*(xlRTCLEQCL=$D521),0))</f>
        <v>ELEC_HP</v>
      </c>
      <c r="W521" s="153" t="str">
        <f t="array" ref="W521">INDEX(xlRTCLNAME,MATCH(1,(xlRTCLENDU=2)*(xlRTCLEQCL=$F521),0))</f>
        <v>ELEC_HP</v>
      </c>
      <c r="X521" s="153" t="str">
        <f t="array" ref="X521">INDEX(xlRTTYNAME,MATCH(1,(xlRTTYENDU=1)*(xlRTTYEQCL=$D521)*(xlRTEQTYPE=$E521),0))</f>
        <v>ELEC_HP3</v>
      </c>
      <c r="Y521" s="153" t="str">
        <f t="array" ref="Y521">INDEX(xlRTTYNAME,MATCH(1,(xlRTTYENDU=2)*(xlRTTYEQCL=$F521)*(xlRTEQTYPE=$G521),0))</f>
        <v>ELEC_HP3</v>
      </c>
    </row>
    <row r="522" spans="2:25" x14ac:dyDescent="0.2">
      <c r="B522" s="126">
        <v>9</v>
      </c>
      <c r="C522" s="126">
        <v>1</v>
      </c>
      <c r="D522" s="126">
        <v>2</v>
      </c>
      <c r="E522" s="126">
        <v>4</v>
      </c>
      <c r="F522" s="126">
        <v>3</v>
      </c>
      <c r="G522" s="126">
        <v>11</v>
      </c>
      <c r="H522" s="159">
        <v>2033</v>
      </c>
      <c r="I522" s="126">
        <v>2050</v>
      </c>
      <c r="J522" s="127">
        <v>1.0710999999999999</v>
      </c>
      <c r="K522" s="127">
        <v>1.0754999999999999</v>
      </c>
      <c r="L522" s="127">
        <v>0.58599999999999997</v>
      </c>
      <c r="M522" s="127">
        <v>0.83950000000000002</v>
      </c>
      <c r="N522" s="127">
        <v>1.0228999999999999</v>
      </c>
      <c r="O522" s="127">
        <v>1.0538000000000001</v>
      </c>
      <c r="P522" s="126">
        <v>12353</v>
      </c>
      <c r="Q522" s="128">
        <f t="array" ref="Q522">SUM(IF(($S522&gt;=4)*($C522='TaxCred&amp;Subs'!$D$123:$D$127)*($H522='TaxCred&amp;Subs'!$C$123:$C$127)*($H522&lt;='TaxCred&amp;Subs'!$C$129),'TaxCred&amp;Subs'!$E$123:$E$127,0))</f>
        <v>0</v>
      </c>
      <c r="R522" s="174">
        <v>0</v>
      </c>
      <c r="S522" s="126">
        <v>4</v>
      </c>
      <c r="T522" s="126" t="s">
        <v>248</v>
      </c>
      <c r="V522" s="153" t="str">
        <f t="array" ref="V522">INDEX(xlRTCLNAME,MATCH(1,(xlRTCLENDU=1)*(xlRTCLEQCL=$D522),0))</f>
        <v>ELEC_HP</v>
      </c>
      <c r="W522" s="153" t="str">
        <f t="array" ref="W522">INDEX(xlRTCLNAME,MATCH(1,(xlRTCLENDU=2)*(xlRTCLEQCL=$F522),0))</f>
        <v>ELEC_HP</v>
      </c>
      <c r="X522" s="153" t="str">
        <f t="array" ref="X522">INDEX(xlRTTYNAME,MATCH(1,(xlRTTYENDU=1)*(xlRTTYEQCL=$D522)*(xlRTEQTYPE=$E522),0))</f>
        <v>ELEC_HP3</v>
      </c>
      <c r="Y522" s="153" t="str">
        <f t="array" ref="Y522">INDEX(xlRTTYNAME,MATCH(1,(xlRTTYENDU=2)*(xlRTTYEQCL=$F522)*(xlRTEQTYPE=$G522),0))</f>
        <v>ELEC_HP3</v>
      </c>
    </row>
    <row r="523" spans="2:25" x14ac:dyDescent="0.2">
      <c r="B523" s="126">
        <v>1</v>
      </c>
      <c r="C523" s="126">
        <v>1</v>
      </c>
      <c r="D523" s="126">
        <v>3</v>
      </c>
      <c r="E523" s="126">
        <v>8</v>
      </c>
      <c r="F523" s="126">
        <v>2</v>
      </c>
      <c r="G523" s="126">
        <v>7</v>
      </c>
      <c r="H523" s="126">
        <v>2016</v>
      </c>
      <c r="I523" s="159">
        <v>2022</v>
      </c>
      <c r="J523" s="127">
        <v>1.0803</v>
      </c>
      <c r="K523" s="127">
        <v>1.0667</v>
      </c>
      <c r="L523" s="127">
        <v>0.46639999999999998</v>
      </c>
      <c r="M523" s="127">
        <v>0.94740000000000002</v>
      </c>
      <c r="N523" s="127">
        <v>0.79790000000000005</v>
      </c>
      <c r="O523" s="127">
        <v>1.0538000000000001</v>
      </c>
      <c r="P523" s="126">
        <v>12599</v>
      </c>
      <c r="Q523" s="128">
        <f t="array" ref="Q523">SUM(IF(($S523&gt;=4)*($C523='TaxCred&amp;Subs'!$D$123:$D$127)*($H523='TaxCred&amp;Subs'!$C$123:$C$127)*($H523&lt;='TaxCred&amp;Subs'!$C$129),'TaxCred&amp;Subs'!$E$123:$E$127,0))</f>
        <v>2000</v>
      </c>
      <c r="R523" s="174">
        <v>0</v>
      </c>
      <c r="S523" s="126">
        <v>4</v>
      </c>
      <c r="T523" s="126" t="s">
        <v>248</v>
      </c>
      <c r="V523" s="153" t="str">
        <f t="array" ref="V523">INDEX(xlRTCLNAME,MATCH(1,(xlRTCLENDU=1)*(xlRTCLEQCL=$D523),0))</f>
        <v>NG_FA</v>
      </c>
      <c r="W523" s="153" t="str">
        <f t="array" ref="W523">INDEX(xlRTCLNAME,MATCH(1,(xlRTCLENDU=2)*(xlRTCLEQCL=$F523),0))</f>
        <v>CENT_AIR</v>
      </c>
      <c r="X523" s="153" t="str">
        <f t="array" ref="X523">INDEX(xlRTTYNAME,MATCH(1,(xlRTTYENDU=1)*(xlRTTYEQCL=$D523)*(xlRTEQTYPE=$E523),0))</f>
        <v>NG_FA3</v>
      </c>
      <c r="Y523" s="153" t="str">
        <f t="array" ref="Y523">INDEX(xlRTTYNAME,MATCH(1,(xlRTTYENDU=2)*(xlRTTYEQCL=$F523)*(xlRTEQTYPE=$G523),0))</f>
        <v>CENT_AIR3</v>
      </c>
    </row>
    <row r="524" spans="2:25" x14ac:dyDescent="0.2">
      <c r="B524" s="49">
        <v>1</v>
      </c>
      <c r="C524" s="49">
        <v>1</v>
      </c>
      <c r="D524" s="49">
        <v>3</v>
      </c>
      <c r="E524" s="49">
        <v>8</v>
      </c>
      <c r="F524" s="49">
        <v>2</v>
      </c>
      <c r="G524" s="49">
        <v>7</v>
      </c>
      <c r="H524" s="49">
        <v>2023</v>
      </c>
      <c r="I524" s="49">
        <v>2032</v>
      </c>
      <c r="J524" s="50">
        <v>1.0803</v>
      </c>
      <c r="K524" s="50">
        <v>1.0667</v>
      </c>
      <c r="L524" s="50">
        <v>0.46639999999999998</v>
      </c>
      <c r="M524" s="50">
        <v>0.94740000000000002</v>
      </c>
      <c r="N524" s="50">
        <v>0.79790000000000005</v>
      </c>
      <c r="O524" s="50">
        <v>1.0538000000000001</v>
      </c>
      <c r="P524" s="49">
        <v>12599</v>
      </c>
      <c r="Q524" s="51">
        <f t="array" ref="Q524">SUM(IF(($S524&gt;=4)*($C524='TaxCred&amp;Subs'!$D$123:$D$127)*($H524='TaxCred&amp;Subs'!$C$123:$C$127)*($H524&lt;='TaxCred&amp;Subs'!$C$129),'TaxCred&amp;Subs'!$E$123:$E$127,0))</f>
        <v>2500</v>
      </c>
      <c r="R524" s="171">
        <v>0</v>
      </c>
      <c r="S524" s="49">
        <v>4</v>
      </c>
      <c r="T524" s="49" t="s">
        <v>248</v>
      </c>
      <c r="V524" s="153" t="str">
        <f t="array" ref="V524">INDEX(xlRTCLNAME,MATCH(1,(xlRTCLENDU=1)*(xlRTCLEQCL=$D524),0))</f>
        <v>NG_FA</v>
      </c>
      <c r="W524" s="153" t="str">
        <f t="array" ref="W524">INDEX(xlRTCLNAME,MATCH(1,(xlRTCLENDU=2)*(xlRTCLEQCL=$F524),0))</f>
        <v>CENT_AIR</v>
      </c>
      <c r="X524" s="153" t="str">
        <f t="array" ref="X524">INDEX(xlRTTYNAME,MATCH(1,(xlRTTYENDU=1)*(xlRTTYEQCL=$D524)*(xlRTEQTYPE=$E524),0))</f>
        <v>NG_FA3</v>
      </c>
      <c r="Y524" s="153" t="str">
        <f t="array" ref="Y524">INDEX(xlRTTYNAME,MATCH(1,(xlRTTYENDU=2)*(xlRTTYEQCL=$F524)*(xlRTEQTYPE=$G524),0))</f>
        <v>CENT_AIR3</v>
      </c>
    </row>
    <row r="525" spans="2:25" x14ac:dyDescent="0.2">
      <c r="B525" s="126">
        <v>1</v>
      </c>
      <c r="C525" s="126">
        <v>1</v>
      </c>
      <c r="D525" s="126">
        <v>3</v>
      </c>
      <c r="E525" s="126">
        <v>8</v>
      </c>
      <c r="F525" s="126">
        <v>2</v>
      </c>
      <c r="G525" s="126">
        <v>7</v>
      </c>
      <c r="H525" s="159">
        <v>2033</v>
      </c>
      <c r="I525" s="126">
        <v>2050</v>
      </c>
      <c r="J525" s="127">
        <v>1.0803</v>
      </c>
      <c r="K525" s="127">
        <v>1.0667</v>
      </c>
      <c r="L525" s="127">
        <v>0.46639999999999998</v>
      </c>
      <c r="M525" s="127">
        <v>0.94740000000000002</v>
      </c>
      <c r="N525" s="127">
        <v>0.79790000000000005</v>
      </c>
      <c r="O525" s="127">
        <v>1.0538000000000001</v>
      </c>
      <c r="P525" s="126">
        <v>12599</v>
      </c>
      <c r="Q525" s="128">
        <f t="array" ref="Q525">SUM(IF(($S525&gt;=4)*($C525='TaxCred&amp;Subs'!$D$123:$D$127)*($H525='TaxCred&amp;Subs'!$C$123:$C$127)*($H525&lt;='TaxCred&amp;Subs'!$C$129),'TaxCred&amp;Subs'!$E$123:$E$127,0))</f>
        <v>0</v>
      </c>
      <c r="R525" s="174">
        <v>0</v>
      </c>
      <c r="S525" s="126">
        <v>4</v>
      </c>
      <c r="T525" s="126" t="s">
        <v>248</v>
      </c>
      <c r="V525" s="153" t="str">
        <f t="array" ref="V525">INDEX(xlRTCLNAME,MATCH(1,(xlRTCLENDU=1)*(xlRTCLEQCL=$D525),0))</f>
        <v>NG_FA</v>
      </c>
      <c r="W525" s="153" t="str">
        <f t="array" ref="W525">INDEX(xlRTCLNAME,MATCH(1,(xlRTCLENDU=2)*(xlRTCLEQCL=$F525),0))</f>
        <v>CENT_AIR</v>
      </c>
      <c r="X525" s="153" t="str">
        <f t="array" ref="X525">INDEX(xlRTTYNAME,MATCH(1,(xlRTTYENDU=1)*(xlRTTYEQCL=$D525)*(xlRTEQTYPE=$E525),0))</f>
        <v>NG_FA3</v>
      </c>
      <c r="Y525" s="153" t="str">
        <f t="array" ref="Y525">INDEX(xlRTTYNAME,MATCH(1,(xlRTTYENDU=2)*(xlRTTYEQCL=$F525)*(xlRTEQTYPE=$G525),0))</f>
        <v>CENT_AIR3</v>
      </c>
    </row>
    <row r="526" spans="2:25" x14ac:dyDescent="0.2">
      <c r="B526" s="126">
        <v>2</v>
      </c>
      <c r="C526" s="126">
        <v>1</v>
      </c>
      <c r="D526" s="126">
        <v>3</v>
      </c>
      <c r="E526" s="126">
        <v>8</v>
      </c>
      <c r="F526" s="126">
        <v>2</v>
      </c>
      <c r="G526" s="126">
        <v>7</v>
      </c>
      <c r="H526" s="126">
        <v>2016</v>
      </c>
      <c r="I526" s="159">
        <v>2022</v>
      </c>
      <c r="J526" s="127">
        <v>1.0649</v>
      </c>
      <c r="K526" s="127">
        <v>1.0597000000000001</v>
      </c>
      <c r="L526" s="127">
        <v>0.49669999999999997</v>
      </c>
      <c r="M526" s="127">
        <v>0.82399999999999995</v>
      </c>
      <c r="N526" s="127">
        <v>0.93169999999999997</v>
      </c>
      <c r="O526" s="127">
        <v>1.0538000000000001</v>
      </c>
      <c r="P526" s="126">
        <v>14975</v>
      </c>
      <c r="Q526" s="128">
        <f t="array" ref="Q526">SUM(IF(($S526&gt;=4)*($C526='TaxCred&amp;Subs'!$D$123:$D$127)*($H526='TaxCred&amp;Subs'!$C$123:$C$127)*($H526&lt;='TaxCred&amp;Subs'!$C$129),'TaxCred&amp;Subs'!$E$123:$E$127,0))</f>
        <v>2000</v>
      </c>
      <c r="R526" s="174">
        <v>0</v>
      </c>
      <c r="S526" s="126">
        <v>4</v>
      </c>
      <c r="T526" s="126" t="s">
        <v>248</v>
      </c>
      <c r="V526" s="153" t="str">
        <f t="array" ref="V526">INDEX(xlRTCLNAME,MATCH(1,(xlRTCLENDU=1)*(xlRTCLEQCL=$D526),0))</f>
        <v>NG_FA</v>
      </c>
      <c r="W526" s="153" t="str">
        <f t="array" ref="W526">INDEX(xlRTCLNAME,MATCH(1,(xlRTCLENDU=2)*(xlRTCLEQCL=$F526),0))</f>
        <v>CENT_AIR</v>
      </c>
      <c r="X526" s="153" t="str">
        <f t="array" ref="X526">INDEX(xlRTTYNAME,MATCH(1,(xlRTTYENDU=1)*(xlRTTYEQCL=$D526)*(xlRTEQTYPE=$E526),0))</f>
        <v>NG_FA3</v>
      </c>
      <c r="Y526" s="153" t="str">
        <f t="array" ref="Y526">INDEX(xlRTTYNAME,MATCH(1,(xlRTTYENDU=2)*(xlRTTYEQCL=$F526)*(xlRTEQTYPE=$G526),0))</f>
        <v>CENT_AIR3</v>
      </c>
    </row>
    <row r="527" spans="2:25" x14ac:dyDescent="0.2">
      <c r="B527" s="49">
        <v>2</v>
      </c>
      <c r="C527" s="49">
        <v>1</v>
      </c>
      <c r="D527" s="49">
        <v>3</v>
      </c>
      <c r="E527" s="49">
        <v>8</v>
      </c>
      <c r="F527" s="49">
        <v>2</v>
      </c>
      <c r="G527" s="49">
        <v>7</v>
      </c>
      <c r="H527" s="49">
        <v>2023</v>
      </c>
      <c r="I527" s="49">
        <v>2032</v>
      </c>
      <c r="J527" s="50">
        <v>1.0649</v>
      </c>
      <c r="K527" s="50">
        <v>1.0597000000000001</v>
      </c>
      <c r="L527" s="50">
        <v>0.49669999999999997</v>
      </c>
      <c r="M527" s="50">
        <v>0.82399999999999995</v>
      </c>
      <c r="N527" s="50">
        <v>0.93169999999999997</v>
      </c>
      <c r="O527" s="50">
        <v>1.0538000000000001</v>
      </c>
      <c r="P527" s="49">
        <v>14975</v>
      </c>
      <c r="Q527" s="51">
        <f t="array" ref="Q527">SUM(IF(($S527&gt;=4)*($C527='TaxCred&amp;Subs'!$D$123:$D$127)*($H527='TaxCred&amp;Subs'!$C$123:$C$127)*($H527&lt;='TaxCred&amp;Subs'!$C$129),'TaxCred&amp;Subs'!$E$123:$E$127,0))</f>
        <v>2500</v>
      </c>
      <c r="R527" s="171">
        <v>0</v>
      </c>
      <c r="S527" s="49">
        <v>4</v>
      </c>
      <c r="T527" s="49" t="s">
        <v>248</v>
      </c>
      <c r="V527" s="153" t="str">
        <f t="array" ref="V527">INDEX(xlRTCLNAME,MATCH(1,(xlRTCLENDU=1)*(xlRTCLEQCL=$D527),0))</f>
        <v>NG_FA</v>
      </c>
      <c r="W527" s="153" t="str">
        <f t="array" ref="W527">INDEX(xlRTCLNAME,MATCH(1,(xlRTCLENDU=2)*(xlRTCLEQCL=$F527),0))</f>
        <v>CENT_AIR</v>
      </c>
      <c r="X527" s="153" t="str">
        <f t="array" ref="X527">INDEX(xlRTTYNAME,MATCH(1,(xlRTTYENDU=1)*(xlRTTYEQCL=$D527)*(xlRTEQTYPE=$E527),0))</f>
        <v>NG_FA3</v>
      </c>
      <c r="Y527" s="153" t="str">
        <f t="array" ref="Y527">INDEX(xlRTTYNAME,MATCH(1,(xlRTTYENDU=2)*(xlRTTYEQCL=$F527)*(xlRTEQTYPE=$G527),0))</f>
        <v>CENT_AIR3</v>
      </c>
    </row>
    <row r="528" spans="2:25" x14ac:dyDescent="0.2">
      <c r="B528" s="126">
        <v>2</v>
      </c>
      <c r="C528" s="126">
        <v>1</v>
      </c>
      <c r="D528" s="126">
        <v>3</v>
      </c>
      <c r="E528" s="126">
        <v>8</v>
      </c>
      <c r="F528" s="126">
        <v>2</v>
      </c>
      <c r="G528" s="126">
        <v>7</v>
      </c>
      <c r="H528" s="159">
        <v>2033</v>
      </c>
      <c r="I528" s="126">
        <v>2050</v>
      </c>
      <c r="J528" s="127">
        <v>1.0649</v>
      </c>
      <c r="K528" s="127">
        <v>1.0597000000000001</v>
      </c>
      <c r="L528" s="127">
        <v>0.49669999999999997</v>
      </c>
      <c r="M528" s="127">
        <v>0.82399999999999995</v>
      </c>
      <c r="N528" s="127">
        <v>0.93169999999999997</v>
      </c>
      <c r="O528" s="127">
        <v>1.0538000000000001</v>
      </c>
      <c r="P528" s="126">
        <v>14975</v>
      </c>
      <c r="Q528" s="128">
        <f t="array" ref="Q528">SUM(IF(($S528&gt;=4)*($C528='TaxCred&amp;Subs'!$D$123:$D$127)*($H528='TaxCred&amp;Subs'!$C$123:$C$127)*($H528&lt;='TaxCred&amp;Subs'!$C$129),'TaxCred&amp;Subs'!$E$123:$E$127,0))</f>
        <v>0</v>
      </c>
      <c r="R528" s="174">
        <v>0</v>
      </c>
      <c r="S528" s="126">
        <v>4</v>
      </c>
      <c r="T528" s="126" t="s">
        <v>248</v>
      </c>
      <c r="V528" s="153" t="str">
        <f t="array" ref="V528">INDEX(xlRTCLNAME,MATCH(1,(xlRTCLENDU=1)*(xlRTCLEQCL=$D528),0))</f>
        <v>NG_FA</v>
      </c>
      <c r="W528" s="153" t="str">
        <f t="array" ref="W528">INDEX(xlRTCLNAME,MATCH(1,(xlRTCLENDU=2)*(xlRTCLEQCL=$F528),0))</f>
        <v>CENT_AIR</v>
      </c>
      <c r="X528" s="153" t="str">
        <f t="array" ref="X528">INDEX(xlRTTYNAME,MATCH(1,(xlRTTYENDU=1)*(xlRTTYEQCL=$D528)*(xlRTEQTYPE=$E528),0))</f>
        <v>NG_FA3</v>
      </c>
      <c r="Y528" s="153" t="str">
        <f t="array" ref="Y528">INDEX(xlRTTYNAME,MATCH(1,(xlRTTYENDU=2)*(xlRTTYEQCL=$F528)*(xlRTEQTYPE=$G528),0))</f>
        <v>CENT_AIR3</v>
      </c>
    </row>
    <row r="529" spans="2:25" x14ac:dyDescent="0.2">
      <c r="B529" s="126">
        <v>3</v>
      </c>
      <c r="C529" s="126">
        <v>1</v>
      </c>
      <c r="D529" s="126">
        <v>3</v>
      </c>
      <c r="E529" s="126">
        <v>8</v>
      </c>
      <c r="F529" s="126">
        <v>2</v>
      </c>
      <c r="G529" s="126">
        <v>7</v>
      </c>
      <c r="H529" s="126">
        <v>2016</v>
      </c>
      <c r="I529" s="159">
        <v>2022</v>
      </c>
      <c r="J529" s="127">
        <v>1.0469999999999999</v>
      </c>
      <c r="K529" s="127">
        <v>1.0769</v>
      </c>
      <c r="L529" s="127">
        <v>0.45619999999999999</v>
      </c>
      <c r="M529" s="127">
        <v>0.90190000000000003</v>
      </c>
      <c r="N529" s="127">
        <v>0.91600000000000004</v>
      </c>
      <c r="O529" s="127">
        <v>1.0538000000000001</v>
      </c>
      <c r="P529" s="126">
        <v>12841</v>
      </c>
      <c r="Q529" s="128">
        <f t="array" ref="Q529">SUM(IF(($S529&gt;=4)*($C529='TaxCred&amp;Subs'!$D$123:$D$127)*($H529='TaxCred&amp;Subs'!$C$123:$C$127)*($H529&lt;='TaxCred&amp;Subs'!$C$129),'TaxCred&amp;Subs'!$E$123:$E$127,0))</f>
        <v>2000</v>
      </c>
      <c r="R529" s="174">
        <v>0</v>
      </c>
      <c r="S529" s="126">
        <v>4</v>
      </c>
      <c r="T529" s="126" t="s">
        <v>248</v>
      </c>
      <c r="V529" s="153" t="str">
        <f t="array" ref="V529">INDEX(xlRTCLNAME,MATCH(1,(xlRTCLENDU=1)*(xlRTCLEQCL=$D529),0))</f>
        <v>NG_FA</v>
      </c>
      <c r="W529" s="153" t="str">
        <f t="array" ref="W529">INDEX(xlRTCLNAME,MATCH(1,(xlRTCLENDU=2)*(xlRTCLEQCL=$F529),0))</f>
        <v>CENT_AIR</v>
      </c>
      <c r="X529" s="153" t="str">
        <f t="array" ref="X529">INDEX(xlRTTYNAME,MATCH(1,(xlRTTYENDU=1)*(xlRTTYEQCL=$D529)*(xlRTEQTYPE=$E529),0))</f>
        <v>NG_FA3</v>
      </c>
      <c r="Y529" s="153" t="str">
        <f t="array" ref="Y529">INDEX(xlRTTYNAME,MATCH(1,(xlRTTYENDU=2)*(xlRTTYEQCL=$F529)*(xlRTEQTYPE=$G529),0))</f>
        <v>CENT_AIR3</v>
      </c>
    </row>
    <row r="530" spans="2:25" x14ac:dyDescent="0.2">
      <c r="B530" s="49">
        <v>3</v>
      </c>
      <c r="C530" s="49">
        <v>1</v>
      </c>
      <c r="D530" s="49">
        <v>3</v>
      </c>
      <c r="E530" s="49">
        <v>8</v>
      </c>
      <c r="F530" s="49">
        <v>2</v>
      </c>
      <c r="G530" s="49">
        <v>7</v>
      </c>
      <c r="H530" s="49">
        <v>2023</v>
      </c>
      <c r="I530" s="49">
        <v>2032</v>
      </c>
      <c r="J530" s="50">
        <v>1.0469999999999999</v>
      </c>
      <c r="K530" s="50">
        <v>1.0769</v>
      </c>
      <c r="L530" s="50">
        <v>0.45619999999999999</v>
      </c>
      <c r="M530" s="50">
        <v>0.90190000000000003</v>
      </c>
      <c r="N530" s="50">
        <v>0.91600000000000004</v>
      </c>
      <c r="O530" s="50">
        <v>1.0538000000000001</v>
      </c>
      <c r="P530" s="49">
        <v>12841</v>
      </c>
      <c r="Q530" s="51">
        <f t="array" ref="Q530">SUM(IF(($S530&gt;=4)*($C530='TaxCred&amp;Subs'!$D$123:$D$127)*($H530='TaxCred&amp;Subs'!$C$123:$C$127)*($H530&lt;='TaxCred&amp;Subs'!$C$129),'TaxCred&amp;Subs'!$E$123:$E$127,0))</f>
        <v>2500</v>
      </c>
      <c r="R530" s="171">
        <v>0</v>
      </c>
      <c r="S530" s="49">
        <v>4</v>
      </c>
      <c r="T530" s="49" t="s">
        <v>248</v>
      </c>
      <c r="V530" s="153" t="str">
        <f t="array" ref="V530">INDEX(xlRTCLNAME,MATCH(1,(xlRTCLENDU=1)*(xlRTCLEQCL=$D530),0))</f>
        <v>NG_FA</v>
      </c>
      <c r="W530" s="153" t="str">
        <f t="array" ref="W530">INDEX(xlRTCLNAME,MATCH(1,(xlRTCLENDU=2)*(xlRTCLEQCL=$F530),0))</f>
        <v>CENT_AIR</v>
      </c>
      <c r="X530" s="153" t="str">
        <f t="array" ref="X530">INDEX(xlRTTYNAME,MATCH(1,(xlRTTYENDU=1)*(xlRTTYEQCL=$D530)*(xlRTEQTYPE=$E530),0))</f>
        <v>NG_FA3</v>
      </c>
      <c r="Y530" s="153" t="str">
        <f t="array" ref="Y530">INDEX(xlRTTYNAME,MATCH(1,(xlRTTYENDU=2)*(xlRTTYEQCL=$F530)*(xlRTEQTYPE=$G530),0))</f>
        <v>CENT_AIR3</v>
      </c>
    </row>
    <row r="531" spans="2:25" x14ac:dyDescent="0.2">
      <c r="B531" s="126">
        <v>3</v>
      </c>
      <c r="C531" s="126">
        <v>1</v>
      </c>
      <c r="D531" s="126">
        <v>3</v>
      </c>
      <c r="E531" s="126">
        <v>8</v>
      </c>
      <c r="F531" s="126">
        <v>2</v>
      </c>
      <c r="G531" s="126">
        <v>7</v>
      </c>
      <c r="H531" s="159">
        <v>2033</v>
      </c>
      <c r="I531" s="126">
        <v>2050</v>
      </c>
      <c r="J531" s="127">
        <v>1.0469999999999999</v>
      </c>
      <c r="K531" s="127">
        <v>1.0769</v>
      </c>
      <c r="L531" s="127">
        <v>0.45619999999999999</v>
      </c>
      <c r="M531" s="127">
        <v>0.90190000000000003</v>
      </c>
      <c r="N531" s="127">
        <v>0.91600000000000004</v>
      </c>
      <c r="O531" s="127">
        <v>1.0538000000000001</v>
      </c>
      <c r="P531" s="126">
        <v>12841</v>
      </c>
      <c r="Q531" s="128">
        <f t="array" ref="Q531">SUM(IF(($S531&gt;=4)*($C531='TaxCred&amp;Subs'!$D$123:$D$127)*($H531='TaxCred&amp;Subs'!$C$123:$C$127)*($H531&lt;='TaxCred&amp;Subs'!$C$129),'TaxCred&amp;Subs'!$E$123:$E$127,0))</f>
        <v>0</v>
      </c>
      <c r="R531" s="174">
        <v>0</v>
      </c>
      <c r="S531" s="126">
        <v>4</v>
      </c>
      <c r="T531" s="126" t="s">
        <v>248</v>
      </c>
      <c r="V531" s="153" t="str">
        <f t="array" ref="V531">INDEX(xlRTCLNAME,MATCH(1,(xlRTCLENDU=1)*(xlRTCLEQCL=$D531),0))</f>
        <v>NG_FA</v>
      </c>
      <c r="W531" s="153" t="str">
        <f t="array" ref="W531">INDEX(xlRTCLNAME,MATCH(1,(xlRTCLENDU=2)*(xlRTCLEQCL=$F531),0))</f>
        <v>CENT_AIR</v>
      </c>
      <c r="X531" s="153" t="str">
        <f t="array" ref="X531">INDEX(xlRTTYNAME,MATCH(1,(xlRTTYENDU=1)*(xlRTTYEQCL=$D531)*(xlRTEQTYPE=$E531),0))</f>
        <v>NG_FA3</v>
      </c>
      <c r="Y531" s="153" t="str">
        <f t="array" ref="Y531">INDEX(xlRTTYNAME,MATCH(1,(xlRTTYENDU=2)*(xlRTTYEQCL=$F531)*(xlRTEQTYPE=$G531),0))</f>
        <v>CENT_AIR3</v>
      </c>
    </row>
    <row r="532" spans="2:25" x14ac:dyDescent="0.2">
      <c r="B532" s="126">
        <v>4</v>
      </c>
      <c r="C532" s="126">
        <v>1</v>
      </c>
      <c r="D532" s="126">
        <v>3</v>
      </c>
      <c r="E532" s="126">
        <v>8</v>
      </c>
      <c r="F532" s="126">
        <v>2</v>
      </c>
      <c r="G532" s="126">
        <v>7</v>
      </c>
      <c r="H532" s="126">
        <v>2016</v>
      </c>
      <c r="I532" s="159">
        <v>2022</v>
      </c>
      <c r="J532" s="127">
        <v>1.0862000000000001</v>
      </c>
      <c r="K532" s="127">
        <v>1.0769</v>
      </c>
      <c r="L532" s="127">
        <v>0.45779999999999998</v>
      </c>
      <c r="M532" s="127">
        <v>0.85729999999999995</v>
      </c>
      <c r="N532" s="127">
        <v>0.85770000000000002</v>
      </c>
      <c r="O532" s="127">
        <v>1.0538000000000001</v>
      </c>
      <c r="P532" s="126">
        <v>10457</v>
      </c>
      <c r="Q532" s="128">
        <f t="array" ref="Q532">SUM(IF(($S532&gt;=4)*($C532='TaxCred&amp;Subs'!$D$123:$D$127)*($H532='TaxCred&amp;Subs'!$C$123:$C$127)*($H532&lt;='TaxCred&amp;Subs'!$C$129),'TaxCred&amp;Subs'!$E$123:$E$127,0))</f>
        <v>2000</v>
      </c>
      <c r="R532" s="174">
        <v>0</v>
      </c>
      <c r="S532" s="126">
        <v>4</v>
      </c>
      <c r="T532" s="126" t="s">
        <v>248</v>
      </c>
      <c r="V532" s="153" t="str">
        <f t="array" ref="V532">INDEX(xlRTCLNAME,MATCH(1,(xlRTCLENDU=1)*(xlRTCLEQCL=$D532),0))</f>
        <v>NG_FA</v>
      </c>
      <c r="W532" s="153" t="str">
        <f t="array" ref="W532">INDEX(xlRTCLNAME,MATCH(1,(xlRTCLENDU=2)*(xlRTCLEQCL=$F532),0))</f>
        <v>CENT_AIR</v>
      </c>
      <c r="X532" s="153" t="str">
        <f t="array" ref="X532">INDEX(xlRTTYNAME,MATCH(1,(xlRTTYENDU=1)*(xlRTTYEQCL=$D532)*(xlRTEQTYPE=$E532),0))</f>
        <v>NG_FA3</v>
      </c>
      <c r="Y532" s="153" t="str">
        <f t="array" ref="Y532">INDEX(xlRTTYNAME,MATCH(1,(xlRTTYENDU=2)*(xlRTTYEQCL=$F532)*(xlRTEQTYPE=$G532),0))</f>
        <v>CENT_AIR3</v>
      </c>
    </row>
    <row r="533" spans="2:25" x14ac:dyDescent="0.2">
      <c r="B533" s="49">
        <v>4</v>
      </c>
      <c r="C533" s="49">
        <v>1</v>
      </c>
      <c r="D533" s="49">
        <v>3</v>
      </c>
      <c r="E533" s="49">
        <v>8</v>
      </c>
      <c r="F533" s="49">
        <v>2</v>
      </c>
      <c r="G533" s="49">
        <v>7</v>
      </c>
      <c r="H533" s="49">
        <v>2023</v>
      </c>
      <c r="I533" s="49">
        <v>2032</v>
      </c>
      <c r="J533" s="50">
        <v>1.0862000000000001</v>
      </c>
      <c r="K533" s="50">
        <v>1.0769</v>
      </c>
      <c r="L533" s="50">
        <v>0.45779999999999998</v>
      </c>
      <c r="M533" s="50">
        <v>0.85729999999999995</v>
      </c>
      <c r="N533" s="50">
        <v>0.85770000000000002</v>
      </c>
      <c r="O533" s="50">
        <v>1.0538000000000001</v>
      </c>
      <c r="P533" s="49">
        <v>10457</v>
      </c>
      <c r="Q533" s="51">
        <f t="array" ref="Q533">SUM(IF(($S533&gt;=4)*($C533='TaxCred&amp;Subs'!$D$123:$D$127)*($H533='TaxCred&amp;Subs'!$C$123:$C$127)*($H533&lt;='TaxCred&amp;Subs'!$C$129),'TaxCred&amp;Subs'!$E$123:$E$127,0))</f>
        <v>2500</v>
      </c>
      <c r="R533" s="171">
        <v>0</v>
      </c>
      <c r="S533" s="49">
        <v>4</v>
      </c>
      <c r="T533" s="49" t="s">
        <v>248</v>
      </c>
      <c r="V533" s="153" t="str">
        <f t="array" ref="V533">INDEX(xlRTCLNAME,MATCH(1,(xlRTCLENDU=1)*(xlRTCLEQCL=$D533),0))</f>
        <v>NG_FA</v>
      </c>
      <c r="W533" s="153" t="str">
        <f t="array" ref="W533">INDEX(xlRTCLNAME,MATCH(1,(xlRTCLENDU=2)*(xlRTCLEQCL=$F533),0))</f>
        <v>CENT_AIR</v>
      </c>
      <c r="X533" s="153" t="str">
        <f t="array" ref="X533">INDEX(xlRTTYNAME,MATCH(1,(xlRTTYENDU=1)*(xlRTTYEQCL=$D533)*(xlRTEQTYPE=$E533),0))</f>
        <v>NG_FA3</v>
      </c>
      <c r="Y533" s="153" t="str">
        <f t="array" ref="Y533">INDEX(xlRTTYNAME,MATCH(1,(xlRTTYENDU=2)*(xlRTTYEQCL=$F533)*(xlRTEQTYPE=$G533),0))</f>
        <v>CENT_AIR3</v>
      </c>
    </row>
    <row r="534" spans="2:25" x14ac:dyDescent="0.2">
      <c r="B534" s="126">
        <v>4</v>
      </c>
      <c r="C534" s="126">
        <v>1</v>
      </c>
      <c r="D534" s="126">
        <v>3</v>
      </c>
      <c r="E534" s="126">
        <v>8</v>
      </c>
      <c r="F534" s="126">
        <v>2</v>
      </c>
      <c r="G534" s="126">
        <v>7</v>
      </c>
      <c r="H534" s="159">
        <v>2033</v>
      </c>
      <c r="I534" s="126">
        <v>2050</v>
      </c>
      <c r="J534" s="127">
        <v>1.0862000000000001</v>
      </c>
      <c r="K534" s="127">
        <v>1.0769</v>
      </c>
      <c r="L534" s="127">
        <v>0.45779999999999998</v>
      </c>
      <c r="M534" s="127">
        <v>0.85729999999999995</v>
      </c>
      <c r="N534" s="127">
        <v>0.85770000000000002</v>
      </c>
      <c r="O534" s="127">
        <v>1.0538000000000001</v>
      </c>
      <c r="P534" s="126">
        <v>10457</v>
      </c>
      <c r="Q534" s="128">
        <f t="array" ref="Q534">SUM(IF(($S534&gt;=4)*($C534='TaxCred&amp;Subs'!$D$123:$D$127)*($H534='TaxCred&amp;Subs'!$C$123:$C$127)*($H534&lt;='TaxCred&amp;Subs'!$C$129),'TaxCred&amp;Subs'!$E$123:$E$127,0))</f>
        <v>0</v>
      </c>
      <c r="R534" s="174">
        <v>0</v>
      </c>
      <c r="S534" s="126">
        <v>4</v>
      </c>
      <c r="T534" s="126" t="s">
        <v>248</v>
      </c>
      <c r="V534" s="153" t="str">
        <f t="array" ref="V534">INDEX(xlRTCLNAME,MATCH(1,(xlRTCLENDU=1)*(xlRTCLEQCL=$D534),0))</f>
        <v>NG_FA</v>
      </c>
      <c r="W534" s="153" t="str">
        <f t="array" ref="W534">INDEX(xlRTCLNAME,MATCH(1,(xlRTCLENDU=2)*(xlRTCLEQCL=$F534),0))</f>
        <v>CENT_AIR</v>
      </c>
      <c r="X534" s="153" t="str">
        <f t="array" ref="X534">INDEX(xlRTTYNAME,MATCH(1,(xlRTTYENDU=1)*(xlRTTYEQCL=$D534)*(xlRTEQTYPE=$E534),0))</f>
        <v>NG_FA3</v>
      </c>
      <c r="Y534" s="153" t="str">
        <f t="array" ref="Y534">INDEX(xlRTTYNAME,MATCH(1,(xlRTTYENDU=2)*(xlRTTYEQCL=$F534)*(xlRTEQTYPE=$G534),0))</f>
        <v>CENT_AIR3</v>
      </c>
    </row>
    <row r="535" spans="2:25" x14ac:dyDescent="0.2">
      <c r="B535" s="126">
        <v>5</v>
      </c>
      <c r="C535" s="126">
        <v>1</v>
      </c>
      <c r="D535" s="126">
        <v>3</v>
      </c>
      <c r="E535" s="126">
        <v>8</v>
      </c>
      <c r="F535" s="126">
        <v>2</v>
      </c>
      <c r="G535" s="126">
        <v>7</v>
      </c>
      <c r="H535" s="126">
        <v>2016</v>
      </c>
      <c r="I535" s="159">
        <v>2022</v>
      </c>
      <c r="J535" s="127">
        <v>1.0849</v>
      </c>
      <c r="K535" s="127">
        <v>1.0471999999999999</v>
      </c>
      <c r="L535" s="127">
        <v>0.41520000000000001</v>
      </c>
      <c r="M535" s="127">
        <v>0.77729999999999999</v>
      </c>
      <c r="N535" s="127">
        <v>0.76180000000000003</v>
      </c>
      <c r="O535" s="127">
        <v>1.0538000000000001</v>
      </c>
      <c r="P535" s="126">
        <v>9750</v>
      </c>
      <c r="Q535" s="128">
        <f t="array" ref="Q535">SUM(IF(($S535&gt;=4)*($C535='TaxCred&amp;Subs'!$D$123:$D$127)*($H535='TaxCred&amp;Subs'!$C$123:$C$127)*($H535&lt;='TaxCred&amp;Subs'!$C$129),'TaxCred&amp;Subs'!$E$123:$E$127,0))</f>
        <v>2000</v>
      </c>
      <c r="R535" s="174">
        <v>0</v>
      </c>
      <c r="S535" s="126">
        <v>4</v>
      </c>
      <c r="T535" s="126" t="s">
        <v>248</v>
      </c>
      <c r="V535" s="153" t="str">
        <f t="array" ref="V535">INDEX(xlRTCLNAME,MATCH(1,(xlRTCLENDU=1)*(xlRTCLEQCL=$D535),0))</f>
        <v>NG_FA</v>
      </c>
      <c r="W535" s="153" t="str">
        <f t="array" ref="W535">INDEX(xlRTCLNAME,MATCH(1,(xlRTCLENDU=2)*(xlRTCLEQCL=$F535),0))</f>
        <v>CENT_AIR</v>
      </c>
      <c r="X535" s="153" t="str">
        <f t="array" ref="X535">INDEX(xlRTTYNAME,MATCH(1,(xlRTTYENDU=1)*(xlRTTYEQCL=$D535)*(xlRTEQTYPE=$E535),0))</f>
        <v>NG_FA3</v>
      </c>
      <c r="Y535" s="153" t="str">
        <f t="array" ref="Y535">INDEX(xlRTTYNAME,MATCH(1,(xlRTTYENDU=2)*(xlRTTYEQCL=$F535)*(xlRTEQTYPE=$G535),0))</f>
        <v>CENT_AIR3</v>
      </c>
    </row>
    <row r="536" spans="2:25" x14ac:dyDescent="0.2">
      <c r="B536" s="49">
        <v>5</v>
      </c>
      <c r="C536" s="49">
        <v>1</v>
      </c>
      <c r="D536" s="49">
        <v>3</v>
      </c>
      <c r="E536" s="49">
        <v>8</v>
      </c>
      <c r="F536" s="49">
        <v>2</v>
      </c>
      <c r="G536" s="49">
        <v>7</v>
      </c>
      <c r="H536" s="49">
        <v>2023</v>
      </c>
      <c r="I536" s="49">
        <v>2032</v>
      </c>
      <c r="J536" s="50">
        <v>1.0849</v>
      </c>
      <c r="K536" s="50">
        <v>1.0471999999999999</v>
      </c>
      <c r="L536" s="50">
        <v>0.41520000000000001</v>
      </c>
      <c r="M536" s="50">
        <v>0.77729999999999999</v>
      </c>
      <c r="N536" s="50">
        <v>0.76180000000000003</v>
      </c>
      <c r="O536" s="50">
        <v>1.0538000000000001</v>
      </c>
      <c r="P536" s="49">
        <v>9750</v>
      </c>
      <c r="Q536" s="51">
        <f t="array" ref="Q536">SUM(IF(($S536&gt;=4)*($C536='TaxCred&amp;Subs'!$D$123:$D$127)*($H536='TaxCred&amp;Subs'!$C$123:$C$127)*($H536&lt;='TaxCred&amp;Subs'!$C$129),'TaxCred&amp;Subs'!$E$123:$E$127,0))</f>
        <v>2500</v>
      </c>
      <c r="R536" s="171">
        <v>0</v>
      </c>
      <c r="S536" s="49">
        <v>4</v>
      </c>
      <c r="T536" s="49" t="s">
        <v>248</v>
      </c>
      <c r="V536" s="153" t="str">
        <f t="array" ref="V536">INDEX(xlRTCLNAME,MATCH(1,(xlRTCLENDU=1)*(xlRTCLEQCL=$D536),0))</f>
        <v>NG_FA</v>
      </c>
      <c r="W536" s="153" t="str">
        <f t="array" ref="W536">INDEX(xlRTCLNAME,MATCH(1,(xlRTCLENDU=2)*(xlRTCLEQCL=$F536),0))</f>
        <v>CENT_AIR</v>
      </c>
      <c r="X536" s="153" t="str">
        <f t="array" ref="X536">INDEX(xlRTTYNAME,MATCH(1,(xlRTTYENDU=1)*(xlRTTYEQCL=$D536)*(xlRTEQTYPE=$E536),0))</f>
        <v>NG_FA3</v>
      </c>
      <c r="Y536" s="153" t="str">
        <f t="array" ref="Y536">INDEX(xlRTTYNAME,MATCH(1,(xlRTTYENDU=2)*(xlRTTYEQCL=$F536)*(xlRTEQTYPE=$G536),0))</f>
        <v>CENT_AIR3</v>
      </c>
    </row>
    <row r="537" spans="2:25" x14ac:dyDescent="0.2">
      <c r="B537" s="126">
        <v>5</v>
      </c>
      <c r="C537" s="126">
        <v>1</v>
      </c>
      <c r="D537" s="126">
        <v>3</v>
      </c>
      <c r="E537" s="126">
        <v>8</v>
      </c>
      <c r="F537" s="126">
        <v>2</v>
      </c>
      <c r="G537" s="126">
        <v>7</v>
      </c>
      <c r="H537" s="159">
        <v>2033</v>
      </c>
      <c r="I537" s="126">
        <v>2050</v>
      </c>
      <c r="J537" s="127">
        <v>1.0849</v>
      </c>
      <c r="K537" s="127">
        <v>1.0471999999999999</v>
      </c>
      <c r="L537" s="127">
        <v>0.41520000000000001</v>
      </c>
      <c r="M537" s="127">
        <v>0.77729999999999999</v>
      </c>
      <c r="N537" s="127">
        <v>0.76180000000000003</v>
      </c>
      <c r="O537" s="127">
        <v>1.0538000000000001</v>
      </c>
      <c r="P537" s="126">
        <v>9750</v>
      </c>
      <c r="Q537" s="128">
        <f t="array" ref="Q537">SUM(IF(($S537&gt;=4)*($C537='TaxCred&amp;Subs'!$D$123:$D$127)*($H537='TaxCred&amp;Subs'!$C$123:$C$127)*($H537&lt;='TaxCred&amp;Subs'!$C$129),'TaxCred&amp;Subs'!$E$123:$E$127,0))</f>
        <v>0</v>
      </c>
      <c r="R537" s="174">
        <v>0</v>
      </c>
      <c r="S537" s="126">
        <v>4</v>
      </c>
      <c r="T537" s="126" t="s">
        <v>248</v>
      </c>
      <c r="V537" s="153" t="str">
        <f t="array" ref="V537">INDEX(xlRTCLNAME,MATCH(1,(xlRTCLENDU=1)*(xlRTCLEQCL=$D537),0))</f>
        <v>NG_FA</v>
      </c>
      <c r="W537" s="153" t="str">
        <f t="array" ref="W537">INDEX(xlRTCLNAME,MATCH(1,(xlRTCLENDU=2)*(xlRTCLEQCL=$F537),0))</f>
        <v>CENT_AIR</v>
      </c>
      <c r="X537" s="153" t="str">
        <f t="array" ref="X537">INDEX(xlRTTYNAME,MATCH(1,(xlRTTYENDU=1)*(xlRTTYEQCL=$D537)*(xlRTEQTYPE=$E537),0))</f>
        <v>NG_FA3</v>
      </c>
      <c r="Y537" s="153" t="str">
        <f t="array" ref="Y537">INDEX(xlRTTYNAME,MATCH(1,(xlRTTYENDU=2)*(xlRTTYEQCL=$F537)*(xlRTEQTYPE=$G537),0))</f>
        <v>CENT_AIR3</v>
      </c>
    </row>
    <row r="538" spans="2:25" x14ac:dyDescent="0.2">
      <c r="B538" s="126">
        <v>6</v>
      </c>
      <c r="C538" s="126">
        <v>1</v>
      </c>
      <c r="D538" s="126">
        <v>3</v>
      </c>
      <c r="E538" s="126">
        <v>8</v>
      </c>
      <c r="F538" s="126">
        <v>2</v>
      </c>
      <c r="G538" s="126">
        <v>7</v>
      </c>
      <c r="H538" s="126">
        <v>2016</v>
      </c>
      <c r="I538" s="159">
        <v>2022</v>
      </c>
      <c r="J538" s="127">
        <v>1.0924</v>
      </c>
      <c r="K538" s="127">
        <v>1.0661</v>
      </c>
      <c r="L538" s="127">
        <v>0.57899999999999996</v>
      </c>
      <c r="M538" s="127">
        <v>0.84570000000000001</v>
      </c>
      <c r="N538" s="127">
        <v>0.89100000000000001</v>
      </c>
      <c r="O538" s="127">
        <v>1.0538000000000001</v>
      </c>
      <c r="P538" s="126">
        <v>8802</v>
      </c>
      <c r="Q538" s="128">
        <f t="array" ref="Q538">SUM(IF(($S538&gt;=4)*($C538='TaxCred&amp;Subs'!$D$123:$D$127)*($H538='TaxCred&amp;Subs'!$C$123:$C$127)*($H538&lt;='TaxCred&amp;Subs'!$C$129),'TaxCred&amp;Subs'!$E$123:$E$127,0))</f>
        <v>2000</v>
      </c>
      <c r="R538" s="174">
        <v>0</v>
      </c>
      <c r="S538" s="126">
        <v>4</v>
      </c>
      <c r="T538" s="126" t="s">
        <v>248</v>
      </c>
      <c r="V538" s="153" t="str">
        <f t="array" ref="V538">INDEX(xlRTCLNAME,MATCH(1,(xlRTCLENDU=1)*(xlRTCLEQCL=$D538),0))</f>
        <v>NG_FA</v>
      </c>
      <c r="W538" s="153" t="str">
        <f t="array" ref="W538">INDEX(xlRTCLNAME,MATCH(1,(xlRTCLENDU=2)*(xlRTCLEQCL=$F538),0))</f>
        <v>CENT_AIR</v>
      </c>
      <c r="X538" s="153" t="str">
        <f t="array" ref="X538">INDEX(xlRTTYNAME,MATCH(1,(xlRTTYENDU=1)*(xlRTTYEQCL=$D538)*(xlRTEQTYPE=$E538),0))</f>
        <v>NG_FA3</v>
      </c>
      <c r="Y538" s="153" t="str">
        <f t="array" ref="Y538">INDEX(xlRTTYNAME,MATCH(1,(xlRTTYENDU=2)*(xlRTTYEQCL=$F538)*(xlRTEQTYPE=$G538),0))</f>
        <v>CENT_AIR3</v>
      </c>
    </row>
    <row r="539" spans="2:25" x14ac:dyDescent="0.2">
      <c r="B539" s="49">
        <v>6</v>
      </c>
      <c r="C539" s="49">
        <v>1</v>
      </c>
      <c r="D539" s="49">
        <v>3</v>
      </c>
      <c r="E539" s="49">
        <v>8</v>
      </c>
      <c r="F539" s="49">
        <v>2</v>
      </c>
      <c r="G539" s="49">
        <v>7</v>
      </c>
      <c r="H539" s="49">
        <v>2023</v>
      </c>
      <c r="I539" s="49">
        <v>2032</v>
      </c>
      <c r="J539" s="50">
        <v>1.0924</v>
      </c>
      <c r="K539" s="50">
        <v>1.0661</v>
      </c>
      <c r="L539" s="50">
        <v>0.57899999999999996</v>
      </c>
      <c r="M539" s="50">
        <v>0.84570000000000001</v>
      </c>
      <c r="N539" s="50">
        <v>0.89100000000000001</v>
      </c>
      <c r="O539" s="50">
        <v>1.0538000000000001</v>
      </c>
      <c r="P539" s="49">
        <v>8802</v>
      </c>
      <c r="Q539" s="51">
        <f t="array" ref="Q539">SUM(IF(($S539&gt;=4)*($C539='TaxCred&amp;Subs'!$D$123:$D$127)*($H539='TaxCred&amp;Subs'!$C$123:$C$127)*($H539&lt;='TaxCred&amp;Subs'!$C$129),'TaxCred&amp;Subs'!$E$123:$E$127,0))</f>
        <v>2500</v>
      </c>
      <c r="R539" s="171">
        <v>0</v>
      </c>
      <c r="S539" s="49">
        <v>4</v>
      </c>
      <c r="T539" s="49" t="s">
        <v>248</v>
      </c>
      <c r="V539" s="153" t="str">
        <f t="array" ref="V539">INDEX(xlRTCLNAME,MATCH(1,(xlRTCLENDU=1)*(xlRTCLEQCL=$D539),0))</f>
        <v>NG_FA</v>
      </c>
      <c r="W539" s="153" t="str">
        <f t="array" ref="W539">INDEX(xlRTCLNAME,MATCH(1,(xlRTCLENDU=2)*(xlRTCLEQCL=$F539),0))</f>
        <v>CENT_AIR</v>
      </c>
      <c r="X539" s="153" t="str">
        <f t="array" ref="X539">INDEX(xlRTTYNAME,MATCH(1,(xlRTTYENDU=1)*(xlRTTYEQCL=$D539)*(xlRTEQTYPE=$E539),0))</f>
        <v>NG_FA3</v>
      </c>
      <c r="Y539" s="153" t="str">
        <f t="array" ref="Y539">INDEX(xlRTTYNAME,MATCH(1,(xlRTTYENDU=2)*(xlRTTYEQCL=$F539)*(xlRTEQTYPE=$G539),0))</f>
        <v>CENT_AIR3</v>
      </c>
    </row>
    <row r="540" spans="2:25" x14ac:dyDescent="0.2">
      <c r="B540" s="126">
        <v>6</v>
      </c>
      <c r="C540" s="126">
        <v>1</v>
      </c>
      <c r="D540" s="126">
        <v>3</v>
      </c>
      <c r="E540" s="126">
        <v>8</v>
      </c>
      <c r="F540" s="126">
        <v>2</v>
      </c>
      <c r="G540" s="126">
        <v>7</v>
      </c>
      <c r="H540" s="159">
        <v>2033</v>
      </c>
      <c r="I540" s="126">
        <v>2050</v>
      </c>
      <c r="J540" s="127">
        <v>1.0924</v>
      </c>
      <c r="K540" s="127">
        <v>1.0661</v>
      </c>
      <c r="L540" s="127">
        <v>0.57899999999999996</v>
      </c>
      <c r="M540" s="127">
        <v>0.84570000000000001</v>
      </c>
      <c r="N540" s="127">
        <v>0.89100000000000001</v>
      </c>
      <c r="O540" s="127">
        <v>1.0538000000000001</v>
      </c>
      <c r="P540" s="126">
        <v>8802</v>
      </c>
      <c r="Q540" s="128">
        <f t="array" ref="Q540">SUM(IF(($S540&gt;=4)*($C540='TaxCred&amp;Subs'!$D$123:$D$127)*($H540='TaxCred&amp;Subs'!$C$123:$C$127)*($H540&lt;='TaxCred&amp;Subs'!$C$129),'TaxCred&amp;Subs'!$E$123:$E$127,0))</f>
        <v>0</v>
      </c>
      <c r="R540" s="174">
        <v>0</v>
      </c>
      <c r="S540" s="126">
        <v>4</v>
      </c>
      <c r="T540" s="126" t="s">
        <v>248</v>
      </c>
      <c r="V540" s="153" t="str">
        <f t="array" ref="V540">INDEX(xlRTCLNAME,MATCH(1,(xlRTCLENDU=1)*(xlRTCLEQCL=$D540),0))</f>
        <v>NG_FA</v>
      </c>
      <c r="W540" s="153" t="str">
        <f t="array" ref="W540">INDEX(xlRTCLNAME,MATCH(1,(xlRTCLENDU=2)*(xlRTCLEQCL=$F540),0))</f>
        <v>CENT_AIR</v>
      </c>
      <c r="X540" s="153" t="str">
        <f t="array" ref="X540">INDEX(xlRTTYNAME,MATCH(1,(xlRTTYENDU=1)*(xlRTTYEQCL=$D540)*(xlRTEQTYPE=$E540),0))</f>
        <v>NG_FA3</v>
      </c>
      <c r="Y540" s="153" t="str">
        <f t="array" ref="Y540">INDEX(xlRTTYNAME,MATCH(1,(xlRTTYENDU=2)*(xlRTTYEQCL=$F540)*(xlRTEQTYPE=$G540),0))</f>
        <v>CENT_AIR3</v>
      </c>
    </row>
    <row r="541" spans="2:25" x14ac:dyDescent="0.2">
      <c r="B541" s="126">
        <v>7</v>
      </c>
      <c r="C541" s="126">
        <v>1</v>
      </c>
      <c r="D541" s="126">
        <v>3</v>
      </c>
      <c r="E541" s="126">
        <v>8</v>
      </c>
      <c r="F541" s="126">
        <v>2</v>
      </c>
      <c r="G541" s="126">
        <v>7</v>
      </c>
      <c r="H541" s="126">
        <v>2016</v>
      </c>
      <c r="I541" s="159">
        <v>2022</v>
      </c>
      <c r="J541" s="127">
        <v>1.0905</v>
      </c>
      <c r="K541" s="127">
        <v>1.0562</v>
      </c>
      <c r="L541" s="127">
        <v>0.48959999999999998</v>
      </c>
      <c r="M541" s="127">
        <v>0.70569999999999999</v>
      </c>
      <c r="N541" s="127">
        <v>0.87180000000000002</v>
      </c>
      <c r="O541" s="127">
        <v>1.0538000000000001</v>
      </c>
      <c r="P541" s="126">
        <v>9755</v>
      </c>
      <c r="Q541" s="128">
        <f t="array" ref="Q541">SUM(IF(($S541&gt;=4)*($C541='TaxCred&amp;Subs'!$D$123:$D$127)*($H541='TaxCred&amp;Subs'!$C$123:$C$127)*($H541&lt;='TaxCred&amp;Subs'!$C$129),'TaxCred&amp;Subs'!$E$123:$E$127,0))</f>
        <v>2000</v>
      </c>
      <c r="R541" s="174">
        <v>0</v>
      </c>
      <c r="S541" s="126">
        <v>4</v>
      </c>
      <c r="T541" s="126" t="s">
        <v>248</v>
      </c>
      <c r="V541" s="153" t="str">
        <f t="array" ref="V541">INDEX(xlRTCLNAME,MATCH(1,(xlRTCLENDU=1)*(xlRTCLEQCL=$D541),0))</f>
        <v>NG_FA</v>
      </c>
      <c r="W541" s="153" t="str">
        <f t="array" ref="W541">INDEX(xlRTCLNAME,MATCH(1,(xlRTCLENDU=2)*(xlRTCLEQCL=$F541),0))</f>
        <v>CENT_AIR</v>
      </c>
      <c r="X541" s="153" t="str">
        <f t="array" ref="X541">INDEX(xlRTTYNAME,MATCH(1,(xlRTTYENDU=1)*(xlRTTYEQCL=$D541)*(xlRTEQTYPE=$E541),0))</f>
        <v>NG_FA3</v>
      </c>
      <c r="Y541" s="153" t="str">
        <f t="array" ref="Y541">INDEX(xlRTTYNAME,MATCH(1,(xlRTTYENDU=2)*(xlRTTYEQCL=$F541)*(xlRTEQTYPE=$G541),0))</f>
        <v>CENT_AIR3</v>
      </c>
    </row>
    <row r="542" spans="2:25" x14ac:dyDescent="0.2">
      <c r="B542" s="49">
        <v>7</v>
      </c>
      <c r="C542" s="49">
        <v>1</v>
      </c>
      <c r="D542" s="49">
        <v>3</v>
      </c>
      <c r="E542" s="49">
        <v>8</v>
      </c>
      <c r="F542" s="49">
        <v>2</v>
      </c>
      <c r="G542" s="49">
        <v>7</v>
      </c>
      <c r="H542" s="49">
        <v>2023</v>
      </c>
      <c r="I542" s="49">
        <v>2032</v>
      </c>
      <c r="J542" s="50">
        <v>1.0905</v>
      </c>
      <c r="K542" s="50">
        <v>1.0562</v>
      </c>
      <c r="L542" s="50">
        <v>0.48959999999999998</v>
      </c>
      <c r="M542" s="50">
        <v>0.70569999999999999</v>
      </c>
      <c r="N542" s="50">
        <v>0.87180000000000002</v>
      </c>
      <c r="O542" s="50">
        <v>1.0538000000000001</v>
      </c>
      <c r="P542" s="49">
        <v>9755</v>
      </c>
      <c r="Q542" s="51">
        <f t="array" ref="Q542">SUM(IF(($S542&gt;=4)*($C542='TaxCred&amp;Subs'!$D$123:$D$127)*($H542='TaxCred&amp;Subs'!$C$123:$C$127)*($H542&lt;='TaxCred&amp;Subs'!$C$129),'TaxCred&amp;Subs'!$E$123:$E$127,0))</f>
        <v>2500</v>
      </c>
      <c r="R542" s="171">
        <v>0</v>
      </c>
      <c r="S542" s="49">
        <v>4</v>
      </c>
      <c r="T542" s="49" t="s">
        <v>248</v>
      </c>
      <c r="V542" s="153" t="str">
        <f t="array" ref="V542">INDEX(xlRTCLNAME,MATCH(1,(xlRTCLENDU=1)*(xlRTCLEQCL=$D542),0))</f>
        <v>NG_FA</v>
      </c>
      <c r="W542" s="153" t="str">
        <f t="array" ref="W542">INDEX(xlRTCLNAME,MATCH(1,(xlRTCLENDU=2)*(xlRTCLEQCL=$F542),0))</f>
        <v>CENT_AIR</v>
      </c>
      <c r="X542" s="153" t="str">
        <f t="array" ref="X542">INDEX(xlRTTYNAME,MATCH(1,(xlRTTYENDU=1)*(xlRTTYEQCL=$D542)*(xlRTEQTYPE=$E542),0))</f>
        <v>NG_FA3</v>
      </c>
      <c r="Y542" s="153" t="str">
        <f t="array" ref="Y542">INDEX(xlRTTYNAME,MATCH(1,(xlRTTYENDU=2)*(xlRTTYEQCL=$F542)*(xlRTEQTYPE=$G542),0))</f>
        <v>CENT_AIR3</v>
      </c>
    </row>
    <row r="543" spans="2:25" x14ac:dyDescent="0.2">
      <c r="B543" s="126">
        <v>7</v>
      </c>
      <c r="C543" s="126">
        <v>1</v>
      </c>
      <c r="D543" s="126">
        <v>3</v>
      </c>
      <c r="E543" s="126">
        <v>8</v>
      </c>
      <c r="F543" s="126">
        <v>2</v>
      </c>
      <c r="G543" s="126">
        <v>7</v>
      </c>
      <c r="H543" s="159">
        <v>2033</v>
      </c>
      <c r="I543" s="126">
        <v>2050</v>
      </c>
      <c r="J543" s="127">
        <v>1.0905</v>
      </c>
      <c r="K543" s="127">
        <v>1.0562</v>
      </c>
      <c r="L543" s="127">
        <v>0.48959999999999998</v>
      </c>
      <c r="M543" s="127">
        <v>0.70569999999999999</v>
      </c>
      <c r="N543" s="127">
        <v>0.87180000000000002</v>
      </c>
      <c r="O543" s="127">
        <v>1.0538000000000001</v>
      </c>
      <c r="P543" s="126">
        <v>9755</v>
      </c>
      <c r="Q543" s="128">
        <f t="array" ref="Q543">SUM(IF(($S543&gt;=4)*($C543='TaxCred&amp;Subs'!$D$123:$D$127)*($H543='TaxCred&amp;Subs'!$C$123:$C$127)*($H543&lt;='TaxCred&amp;Subs'!$C$129),'TaxCred&amp;Subs'!$E$123:$E$127,0))</f>
        <v>0</v>
      </c>
      <c r="R543" s="174">
        <v>0</v>
      </c>
      <c r="S543" s="126">
        <v>4</v>
      </c>
      <c r="T543" s="126" t="s">
        <v>248</v>
      </c>
      <c r="V543" s="153" t="str">
        <f t="array" ref="V543">INDEX(xlRTCLNAME,MATCH(1,(xlRTCLENDU=1)*(xlRTCLEQCL=$D543),0))</f>
        <v>NG_FA</v>
      </c>
      <c r="W543" s="153" t="str">
        <f t="array" ref="W543">INDEX(xlRTCLNAME,MATCH(1,(xlRTCLENDU=2)*(xlRTCLEQCL=$F543),0))</f>
        <v>CENT_AIR</v>
      </c>
      <c r="X543" s="153" t="str">
        <f t="array" ref="X543">INDEX(xlRTTYNAME,MATCH(1,(xlRTTYENDU=1)*(xlRTTYEQCL=$D543)*(xlRTEQTYPE=$E543),0))</f>
        <v>NG_FA3</v>
      </c>
      <c r="Y543" s="153" t="str">
        <f t="array" ref="Y543">INDEX(xlRTTYNAME,MATCH(1,(xlRTTYENDU=2)*(xlRTTYEQCL=$F543)*(xlRTEQTYPE=$G543),0))</f>
        <v>CENT_AIR3</v>
      </c>
    </row>
    <row r="544" spans="2:25" x14ac:dyDescent="0.2">
      <c r="B544" s="126">
        <v>8</v>
      </c>
      <c r="C544" s="126">
        <v>1</v>
      </c>
      <c r="D544" s="126">
        <v>3</v>
      </c>
      <c r="E544" s="126">
        <v>8</v>
      </c>
      <c r="F544" s="126">
        <v>2</v>
      </c>
      <c r="G544" s="126">
        <v>7</v>
      </c>
      <c r="H544" s="126">
        <v>2016</v>
      </c>
      <c r="I544" s="159">
        <v>2022</v>
      </c>
      <c r="J544" s="127">
        <v>1.0801000000000001</v>
      </c>
      <c r="K544" s="127">
        <v>1.0822000000000001</v>
      </c>
      <c r="L544" s="127">
        <v>0.44240000000000002</v>
      </c>
      <c r="M544" s="127">
        <v>0.77290000000000003</v>
      </c>
      <c r="N544" s="127">
        <v>0.86950000000000005</v>
      </c>
      <c r="O544" s="127">
        <v>1.0538000000000001</v>
      </c>
      <c r="P544" s="126">
        <v>12094</v>
      </c>
      <c r="Q544" s="128">
        <f t="array" ref="Q544">SUM(IF(($S544&gt;=4)*($C544='TaxCred&amp;Subs'!$D$123:$D$127)*($H544='TaxCred&amp;Subs'!$C$123:$C$127)*($H544&lt;='TaxCred&amp;Subs'!$C$129),'TaxCred&amp;Subs'!$E$123:$E$127,0))</f>
        <v>2000</v>
      </c>
      <c r="R544" s="174">
        <v>0</v>
      </c>
      <c r="S544" s="126">
        <v>4</v>
      </c>
      <c r="T544" s="126" t="s">
        <v>248</v>
      </c>
      <c r="V544" s="153" t="str">
        <f t="array" ref="V544">INDEX(xlRTCLNAME,MATCH(1,(xlRTCLENDU=1)*(xlRTCLEQCL=$D544),0))</f>
        <v>NG_FA</v>
      </c>
      <c r="W544" s="153" t="str">
        <f t="array" ref="W544">INDEX(xlRTCLNAME,MATCH(1,(xlRTCLENDU=2)*(xlRTCLEQCL=$F544),0))</f>
        <v>CENT_AIR</v>
      </c>
      <c r="X544" s="153" t="str">
        <f t="array" ref="X544">INDEX(xlRTTYNAME,MATCH(1,(xlRTTYENDU=1)*(xlRTTYEQCL=$D544)*(xlRTEQTYPE=$E544),0))</f>
        <v>NG_FA3</v>
      </c>
      <c r="Y544" s="153" t="str">
        <f t="array" ref="Y544">INDEX(xlRTTYNAME,MATCH(1,(xlRTTYENDU=2)*(xlRTTYEQCL=$F544)*(xlRTEQTYPE=$G544),0))</f>
        <v>CENT_AIR3</v>
      </c>
    </row>
    <row r="545" spans="2:25" x14ac:dyDescent="0.2">
      <c r="B545" s="49">
        <v>8</v>
      </c>
      <c r="C545" s="49">
        <v>1</v>
      </c>
      <c r="D545" s="49">
        <v>3</v>
      </c>
      <c r="E545" s="49">
        <v>8</v>
      </c>
      <c r="F545" s="49">
        <v>2</v>
      </c>
      <c r="G545" s="49">
        <v>7</v>
      </c>
      <c r="H545" s="49">
        <v>2023</v>
      </c>
      <c r="I545" s="49">
        <v>2032</v>
      </c>
      <c r="J545" s="50">
        <v>1.0801000000000001</v>
      </c>
      <c r="K545" s="50">
        <v>1.0822000000000001</v>
      </c>
      <c r="L545" s="50">
        <v>0.44240000000000002</v>
      </c>
      <c r="M545" s="50">
        <v>0.77290000000000003</v>
      </c>
      <c r="N545" s="50">
        <v>0.86950000000000005</v>
      </c>
      <c r="O545" s="50">
        <v>1.0538000000000001</v>
      </c>
      <c r="P545" s="49">
        <v>12094</v>
      </c>
      <c r="Q545" s="51">
        <f t="array" ref="Q545">SUM(IF(($S545&gt;=4)*($C545='TaxCred&amp;Subs'!$D$123:$D$127)*($H545='TaxCred&amp;Subs'!$C$123:$C$127)*($H545&lt;='TaxCred&amp;Subs'!$C$129),'TaxCred&amp;Subs'!$E$123:$E$127,0))</f>
        <v>2500</v>
      </c>
      <c r="R545" s="171">
        <v>0</v>
      </c>
      <c r="S545" s="49">
        <v>4</v>
      </c>
      <c r="T545" s="49" t="s">
        <v>248</v>
      </c>
      <c r="V545" s="153" t="str">
        <f t="array" ref="V545">INDEX(xlRTCLNAME,MATCH(1,(xlRTCLENDU=1)*(xlRTCLEQCL=$D545),0))</f>
        <v>NG_FA</v>
      </c>
      <c r="W545" s="153" t="str">
        <f t="array" ref="W545">INDEX(xlRTCLNAME,MATCH(1,(xlRTCLENDU=2)*(xlRTCLEQCL=$F545),0))</f>
        <v>CENT_AIR</v>
      </c>
      <c r="X545" s="153" t="str">
        <f t="array" ref="X545">INDEX(xlRTTYNAME,MATCH(1,(xlRTTYENDU=1)*(xlRTTYEQCL=$D545)*(xlRTEQTYPE=$E545),0))</f>
        <v>NG_FA3</v>
      </c>
      <c r="Y545" s="153" t="str">
        <f t="array" ref="Y545">INDEX(xlRTTYNAME,MATCH(1,(xlRTTYENDU=2)*(xlRTTYEQCL=$F545)*(xlRTEQTYPE=$G545),0))</f>
        <v>CENT_AIR3</v>
      </c>
    </row>
    <row r="546" spans="2:25" x14ac:dyDescent="0.2">
      <c r="B546" s="126">
        <v>8</v>
      </c>
      <c r="C546" s="126">
        <v>1</v>
      </c>
      <c r="D546" s="126">
        <v>3</v>
      </c>
      <c r="E546" s="126">
        <v>8</v>
      </c>
      <c r="F546" s="126">
        <v>2</v>
      </c>
      <c r="G546" s="126">
        <v>7</v>
      </c>
      <c r="H546" s="159">
        <v>2033</v>
      </c>
      <c r="I546" s="126">
        <v>2050</v>
      </c>
      <c r="J546" s="127">
        <v>1.0801000000000001</v>
      </c>
      <c r="K546" s="127">
        <v>1.0822000000000001</v>
      </c>
      <c r="L546" s="127">
        <v>0.44240000000000002</v>
      </c>
      <c r="M546" s="127">
        <v>0.77290000000000003</v>
      </c>
      <c r="N546" s="127">
        <v>0.86950000000000005</v>
      </c>
      <c r="O546" s="127">
        <v>1.0538000000000001</v>
      </c>
      <c r="P546" s="126">
        <v>12094</v>
      </c>
      <c r="Q546" s="128">
        <f t="array" ref="Q546">SUM(IF(($S546&gt;=4)*($C546='TaxCred&amp;Subs'!$D$123:$D$127)*($H546='TaxCred&amp;Subs'!$C$123:$C$127)*($H546&lt;='TaxCred&amp;Subs'!$C$129),'TaxCred&amp;Subs'!$E$123:$E$127,0))</f>
        <v>0</v>
      </c>
      <c r="R546" s="174">
        <v>0</v>
      </c>
      <c r="S546" s="126">
        <v>4</v>
      </c>
      <c r="T546" s="126" t="s">
        <v>248</v>
      </c>
      <c r="V546" s="153" t="str">
        <f t="array" ref="V546">INDEX(xlRTCLNAME,MATCH(1,(xlRTCLENDU=1)*(xlRTCLEQCL=$D546),0))</f>
        <v>NG_FA</v>
      </c>
      <c r="W546" s="153" t="str">
        <f t="array" ref="W546">INDEX(xlRTCLNAME,MATCH(1,(xlRTCLENDU=2)*(xlRTCLEQCL=$F546),0))</f>
        <v>CENT_AIR</v>
      </c>
      <c r="X546" s="153" t="str">
        <f t="array" ref="X546">INDEX(xlRTTYNAME,MATCH(1,(xlRTTYENDU=1)*(xlRTTYEQCL=$D546)*(xlRTEQTYPE=$E546),0))</f>
        <v>NG_FA3</v>
      </c>
      <c r="Y546" s="153" t="str">
        <f t="array" ref="Y546">INDEX(xlRTTYNAME,MATCH(1,(xlRTTYENDU=2)*(xlRTTYEQCL=$F546)*(xlRTEQTYPE=$G546),0))</f>
        <v>CENT_AIR3</v>
      </c>
    </row>
    <row r="547" spans="2:25" x14ac:dyDescent="0.2">
      <c r="B547" s="126">
        <v>9</v>
      </c>
      <c r="C547" s="126">
        <v>1</v>
      </c>
      <c r="D547" s="126">
        <v>3</v>
      </c>
      <c r="E547" s="126">
        <v>8</v>
      </c>
      <c r="F547" s="126">
        <v>2</v>
      </c>
      <c r="G547" s="126">
        <v>7</v>
      </c>
      <c r="H547" s="126">
        <v>2016</v>
      </c>
      <c r="I547" s="159">
        <v>2022</v>
      </c>
      <c r="J547" s="127">
        <v>1.0781000000000001</v>
      </c>
      <c r="K547" s="127">
        <v>1.0707</v>
      </c>
      <c r="L547" s="127">
        <v>0.55130000000000001</v>
      </c>
      <c r="M547" s="127">
        <v>0.82869999999999999</v>
      </c>
      <c r="N547" s="127">
        <v>1.0339</v>
      </c>
      <c r="O547" s="127">
        <v>1.0538000000000001</v>
      </c>
      <c r="P547" s="126">
        <v>12618</v>
      </c>
      <c r="Q547" s="128">
        <f t="array" ref="Q547">SUM(IF(($S547&gt;=4)*($C547='TaxCred&amp;Subs'!$D$123:$D$127)*($H547='TaxCred&amp;Subs'!$C$123:$C$127)*($H547&lt;='TaxCred&amp;Subs'!$C$129),'TaxCred&amp;Subs'!$E$123:$E$127,0))</f>
        <v>2000</v>
      </c>
      <c r="R547" s="174">
        <v>0</v>
      </c>
      <c r="S547" s="126">
        <v>4</v>
      </c>
      <c r="T547" s="126" t="s">
        <v>248</v>
      </c>
      <c r="V547" s="153" t="str">
        <f t="array" ref="V547">INDEX(xlRTCLNAME,MATCH(1,(xlRTCLENDU=1)*(xlRTCLEQCL=$D547),0))</f>
        <v>NG_FA</v>
      </c>
      <c r="W547" s="153" t="str">
        <f t="array" ref="W547">INDEX(xlRTCLNAME,MATCH(1,(xlRTCLENDU=2)*(xlRTCLEQCL=$F547),0))</f>
        <v>CENT_AIR</v>
      </c>
      <c r="X547" s="153" t="str">
        <f t="array" ref="X547">INDEX(xlRTTYNAME,MATCH(1,(xlRTTYENDU=1)*(xlRTTYEQCL=$D547)*(xlRTEQTYPE=$E547),0))</f>
        <v>NG_FA3</v>
      </c>
      <c r="Y547" s="153" t="str">
        <f t="array" ref="Y547">INDEX(xlRTTYNAME,MATCH(1,(xlRTTYENDU=2)*(xlRTTYEQCL=$F547)*(xlRTEQTYPE=$G547),0))</f>
        <v>CENT_AIR3</v>
      </c>
    </row>
    <row r="548" spans="2:25" x14ac:dyDescent="0.2">
      <c r="B548" s="49">
        <v>9</v>
      </c>
      <c r="C548" s="49">
        <v>1</v>
      </c>
      <c r="D548" s="49">
        <v>3</v>
      </c>
      <c r="E548" s="49">
        <v>8</v>
      </c>
      <c r="F548" s="49">
        <v>2</v>
      </c>
      <c r="G548" s="49">
        <v>7</v>
      </c>
      <c r="H548" s="49">
        <v>2023</v>
      </c>
      <c r="I548" s="49">
        <v>2032</v>
      </c>
      <c r="J548" s="50">
        <v>1.0781000000000001</v>
      </c>
      <c r="K548" s="50">
        <v>1.0707</v>
      </c>
      <c r="L548" s="50">
        <v>0.55130000000000001</v>
      </c>
      <c r="M548" s="50">
        <v>0.82869999999999999</v>
      </c>
      <c r="N548" s="50">
        <v>1.0339</v>
      </c>
      <c r="O548" s="50">
        <v>1.0538000000000001</v>
      </c>
      <c r="P548" s="49">
        <v>12618</v>
      </c>
      <c r="Q548" s="51">
        <f t="array" ref="Q548">SUM(IF(($S548&gt;=4)*($C548='TaxCred&amp;Subs'!$D$123:$D$127)*($H548='TaxCred&amp;Subs'!$C$123:$C$127)*($H548&lt;='TaxCred&amp;Subs'!$C$129),'TaxCred&amp;Subs'!$E$123:$E$127,0))</f>
        <v>2500</v>
      </c>
      <c r="R548" s="171">
        <v>0</v>
      </c>
      <c r="S548" s="49">
        <v>4</v>
      </c>
      <c r="T548" s="49" t="s">
        <v>248</v>
      </c>
      <c r="V548" s="153" t="str">
        <f t="array" ref="V548">INDEX(xlRTCLNAME,MATCH(1,(xlRTCLENDU=1)*(xlRTCLEQCL=$D548),0))</f>
        <v>NG_FA</v>
      </c>
      <c r="W548" s="153" t="str">
        <f t="array" ref="W548">INDEX(xlRTCLNAME,MATCH(1,(xlRTCLENDU=2)*(xlRTCLEQCL=$F548),0))</f>
        <v>CENT_AIR</v>
      </c>
      <c r="X548" s="153" t="str">
        <f t="array" ref="X548">INDEX(xlRTTYNAME,MATCH(1,(xlRTTYENDU=1)*(xlRTTYEQCL=$D548)*(xlRTEQTYPE=$E548),0))</f>
        <v>NG_FA3</v>
      </c>
      <c r="Y548" s="153" t="str">
        <f t="array" ref="Y548">INDEX(xlRTTYNAME,MATCH(1,(xlRTTYENDU=2)*(xlRTTYEQCL=$F548)*(xlRTEQTYPE=$G548),0))</f>
        <v>CENT_AIR3</v>
      </c>
    </row>
    <row r="549" spans="2:25" x14ac:dyDescent="0.2">
      <c r="B549" s="126">
        <v>9</v>
      </c>
      <c r="C549" s="126">
        <v>1</v>
      </c>
      <c r="D549" s="126">
        <v>3</v>
      </c>
      <c r="E549" s="126">
        <v>8</v>
      </c>
      <c r="F549" s="126">
        <v>2</v>
      </c>
      <c r="G549" s="126">
        <v>7</v>
      </c>
      <c r="H549" s="159">
        <v>2033</v>
      </c>
      <c r="I549" s="126">
        <v>2050</v>
      </c>
      <c r="J549" s="127">
        <v>1.0781000000000001</v>
      </c>
      <c r="K549" s="127">
        <v>1.0707</v>
      </c>
      <c r="L549" s="127">
        <v>0.55130000000000001</v>
      </c>
      <c r="M549" s="127">
        <v>0.82869999999999999</v>
      </c>
      <c r="N549" s="127">
        <v>1.0339</v>
      </c>
      <c r="O549" s="127">
        <v>1.0538000000000001</v>
      </c>
      <c r="P549" s="126">
        <v>12618</v>
      </c>
      <c r="Q549" s="128">
        <f t="array" ref="Q549">SUM(IF(($S549&gt;=4)*($C549='TaxCred&amp;Subs'!$D$123:$D$127)*($H549='TaxCred&amp;Subs'!$C$123:$C$127)*($H549&lt;='TaxCred&amp;Subs'!$C$129),'TaxCred&amp;Subs'!$E$123:$E$127,0))</f>
        <v>0</v>
      </c>
      <c r="R549" s="174">
        <v>0</v>
      </c>
      <c r="S549" s="126">
        <v>4</v>
      </c>
      <c r="T549" s="126" t="s">
        <v>248</v>
      </c>
      <c r="V549" s="153" t="str">
        <f t="array" ref="V549">INDEX(xlRTCLNAME,MATCH(1,(xlRTCLENDU=1)*(xlRTCLEQCL=$D549),0))</f>
        <v>NG_FA</v>
      </c>
      <c r="W549" s="153" t="str">
        <f t="array" ref="W549">INDEX(xlRTCLNAME,MATCH(1,(xlRTCLENDU=2)*(xlRTCLEQCL=$F549),0))</f>
        <v>CENT_AIR</v>
      </c>
      <c r="X549" s="153" t="str">
        <f t="array" ref="X549">INDEX(xlRTTYNAME,MATCH(1,(xlRTTYENDU=1)*(xlRTTYEQCL=$D549)*(xlRTEQTYPE=$E549),0))</f>
        <v>NG_FA3</v>
      </c>
      <c r="Y549" s="153" t="str">
        <f t="array" ref="Y549">INDEX(xlRTTYNAME,MATCH(1,(xlRTTYENDU=2)*(xlRTTYEQCL=$F549)*(xlRTEQTYPE=$G549),0))</f>
        <v>CENT_AIR3</v>
      </c>
    </row>
    <row r="550" spans="2:25" x14ac:dyDescent="0.2">
      <c r="B550" s="126">
        <v>1</v>
      </c>
      <c r="C550" s="126">
        <v>1</v>
      </c>
      <c r="D550" s="126">
        <v>4</v>
      </c>
      <c r="E550" s="126">
        <v>12</v>
      </c>
      <c r="F550" s="126">
        <v>2</v>
      </c>
      <c r="G550" s="126">
        <v>7</v>
      </c>
      <c r="H550" s="126">
        <v>2016</v>
      </c>
      <c r="I550" s="159">
        <v>2022</v>
      </c>
      <c r="J550" s="127">
        <v>1.0592999999999999</v>
      </c>
      <c r="K550" s="127">
        <v>1.0889</v>
      </c>
      <c r="L550" s="127">
        <v>0.4773</v>
      </c>
      <c r="M550" s="127">
        <v>0.95850000000000002</v>
      </c>
      <c r="N550" s="127">
        <v>0.8095</v>
      </c>
      <c r="O550" s="127">
        <v>1.0538000000000001</v>
      </c>
      <c r="P550" s="126">
        <v>12309</v>
      </c>
      <c r="Q550" s="128">
        <f t="array" ref="Q550">SUM(IF(($S550&gt;=4)*($C550='TaxCred&amp;Subs'!$D$123:$D$127)*($H550='TaxCred&amp;Subs'!$C$123:$C$127)*($H550&lt;='TaxCred&amp;Subs'!$C$129),'TaxCred&amp;Subs'!$E$123:$E$127,0))</f>
        <v>2000</v>
      </c>
      <c r="R550" s="174">
        <v>0</v>
      </c>
      <c r="S550" s="126">
        <v>4</v>
      </c>
      <c r="T550" s="126" t="s">
        <v>248</v>
      </c>
      <c r="V550" s="153" t="str">
        <f t="array" ref="V550">INDEX(xlRTCLNAME,MATCH(1,(xlRTCLENDU=1)*(xlRTCLEQCL=$D550),0))</f>
        <v>NG_RAD</v>
      </c>
      <c r="W550" s="153" t="str">
        <f t="array" ref="W550">INDEX(xlRTCLNAME,MATCH(1,(xlRTCLENDU=2)*(xlRTCLEQCL=$F550),0))</f>
        <v>CENT_AIR</v>
      </c>
      <c r="X550" s="153" t="str">
        <f t="array" ref="X550">INDEX(xlRTTYNAME,MATCH(1,(xlRTTYENDU=1)*(xlRTTYEQCL=$D550)*(xlRTEQTYPE=$E550),0))</f>
        <v>NG_RAD3</v>
      </c>
      <c r="Y550" s="153" t="str">
        <f t="array" ref="Y550">INDEX(xlRTTYNAME,MATCH(1,(xlRTTYENDU=2)*(xlRTTYEQCL=$F550)*(xlRTEQTYPE=$G550),0))</f>
        <v>CENT_AIR3</v>
      </c>
    </row>
    <row r="551" spans="2:25" x14ac:dyDescent="0.2">
      <c r="B551" s="49">
        <v>1</v>
      </c>
      <c r="C551" s="49">
        <v>1</v>
      </c>
      <c r="D551" s="49">
        <v>4</v>
      </c>
      <c r="E551" s="49">
        <v>12</v>
      </c>
      <c r="F551" s="49">
        <v>2</v>
      </c>
      <c r="G551" s="49">
        <v>7</v>
      </c>
      <c r="H551" s="49">
        <v>2023</v>
      </c>
      <c r="I551" s="49">
        <v>2032</v>
      </c>
      <c r="J551" s="50">
        <v>1.0592999999999999</v>
      </c>
      <c r="K551" s="50">
        <v>1.0889</v>
      </c>
      <c r="L551" s="50">
        <v>0.4773</v>
      </c>
      <c r="M551" s="50">
        <v>0.95850000000000002</v>
      </c>
      <c r="N551" s="50">
        <v>0.8095</v>
      </c>
      <c r="O551" s="50">
        <v>1.0538000000000001</v>
      </c>
      <c r="P551" s="49">
        <v>12309</v>
      </c>
      <c r="Q551" s="51">
        <f t="array" ref="Q551">SUM(IF(($S551&gt;=4)*($C551='TaxCred&amp;Subs'!$D$123:$D$127)*($H551='TaxCred&amp;Subs'!$C$123:$C$127)*($H551&lt;='TaxCred&amp;Subs'!$C$129),'TaxCred&amp;Subs'!$E$123:$E$127,0))</f>
        <v>2500</v>
      </c>
      <c r="R551" s="171">
        <v>0</v>
      </c>
      <c r="S551" s="49">
        <v>4</v>
      </c>
      <c r="T551" s="49" t="s">
        <v>248</v>
      </c>
      <c r="V551" s="153" t="str">
        <f t="array" ref="V551">INDEX(xlRTCLNAME,MATCH(1,(xlRTCLENDU=1)*(xlRTCLEQCL=$D551),0))</f>
        <v>NG_RAD</v>
      </c>
      <c r="W551" s="153" t="str">
        <f t="array" ref="W551">INDEX(xlRTCLNAME,MATCH(1,(xlRTCLENDU=2)*(xlRTCLEQCL=$F551),0))</f>
        <v>CENT_AIR</v>
      </c>
      <c r="X551" s="153" t="str">
        <f t="array" ref="X551">INDEX(xlRTTYNAME,MATCH(1,(xlRTTYENDU=1)*(xlRTTYEQCL=$D551)*(xlRTEQTYPE=$E551),0))</f>
        <v>NG_RAD3</v>
      </c>
      <c r="Y551" s="153" t="str">
        <f t="array" ref="Y551">INDEX(xlRTTYNAME,MATCH(1,(xlRTTYENDU=2)*(xlRTTYEQCL=$F551)*(xlRTEQTYPE=$G551),0))</f>
        <v>CENT_AIR3</v>
      </c>
    </row>
    <row r="552" spans="2:25" x14ac:dyDescent="0.2">
      <c r="B552" s="126">
        <v>1</v>
      </c>
      <c r="C552" s="126">
        <v>1</v>
      </c>
      <c r="D552" s="126">
        <v>4</v>
      </c>
      <c r="E552" s="126">
        <v>12</v>
      </c>
      <c r="F552" s="126">
        <v>2</v>
      </c>
      <c r="G552" s="126">
        <v>7</v>
      </c>
      <c r="H552" s="159">
        <v>2033</v>
      </c>
      <c r="I552" s="126">
        <v>2050</v>
      </c>
      <c r="J552" s="127">
        <v>1.0592999999999999</v>
      </c>
      <c r="K552" s="127">
        <v>1.0889</v>
      </c>
      <c r="L552" s="127">
        <v>0.4773</v>
      </c>
      <c r="M552" s="127">
        <v>0.95850000000000002</v>
      </c>
      <c r="N552" s="127">
        <v>0.8095</v>
      </c>
      <c r="O552" s="127">
        <v>1.0538000000000001</v>
      </c>
      <c r="P552" s="126">
        <v>12309</v>
      </c>
      <c r="Q552" s="128">
        <f t="array" ref="Q552">SUM(IF(($S552&gt;=4)*($C552='TaxCred&amp;Subs'!$D$123:$D$127)*($H552='TaxCred&amp;Subs'!$C$123:$C$127)*($H552&lt;='TaxCred&amp;Subs'!$C$129),'TaxCred&amp;Subs'!$E$123:$E$127,0))</f>
        <v>0</v>
      </c>
      <c r="R552" s="174">
        <v>0</v>
      </c>
      <c r="S552" s="126">
        <v>4</v>
      </c>
      <c r="T552" s="126" t="s">
        <v>248</v>
      </c>
      <c r="V552" s="153" t="str">
        <f t="array" ref="V552">INDEX(xlRTCLNAME,MATCH(1,(xlRTCLENDU=1)*(xlRTCLEQCL=$D552),0))</f>
        <v>NG_RAD</v>
      </c>
      <c r="W552" s="153" t="str">
        <f t="array" ref="W552">INDEX(xlRTCLNAME,MATCH(1,(xlRTCLENDU=2)*(xlRTCLEQCL=$F552),0))</f>
        <v>CENT_AIR</v>
      </c>
      <c r="X552" s="153" t="str">
        <f t="array" ref="X552">INDEX(xlRTTYNAME,MATCH(1,(xlRTTYENDU=1)*(xlRTTYEQCL=$D552)*(xlRTEQTYPE=$E552),0))</f>
        <v>NG_RAD3</v>
      </c>
      <c r="Y552" s="153" t="str">
        <f t="array" ref="Y552">INDEX(xlRTTYNAME,MATCH(1,(xlRTTYENDU=2)*(xlRTTYEQCL=$F552)*(xlRTEQTYPE=$G552),0))</f>
        <v>CENT_AIR3</v>
      </c>
    </row>
    <row r="553" spans="2:25" x14ac:dyDescent="0.2">
      <c r="B553" s="126">
        <v>2</v>
      </c>
      <c r="C553" s="126">
        <v>1</v>
      </c>
      <c r="D553" s="126">
        <v>4</v>
      </c>
      <c r="E553" s="126">
        <v>12</v>
      </c>
      <c r="F553" s="126">
        <v>2</v>
      </c>
      <c r="G553" s="126">
        <v>7</v>
      </c>
      <c r="H553" s="126">
        <v>2016</v>
      </c>
      <c r="I553" s="159">
        <v>2022</v>
      </c>
      <c r="J553" s="127">
        <v>1.0717000000000001</v>
      </c>
      <c r="K553" s="127">
        <v>1.0895999999999999</v>
      </c>
      <c r="L553" s="127">
        <v>0.52270000000000005</v>
      </c>
      <c r="M553" s="127">
        <v>0.83919999999999995</v>
      </c>
      <c r="N553" s="127">
        <v>0.92630000000000001</v>
      </c>
      <c r="O553" s="127">
        <v>1.0538000000000001</v>
      </c>
      <c r="P553" s="126">
        <v>12689</v>
      </c>
      <c r="Q553" s="128">
        <f t="array" ref="Q553">SUM(IF(($S553&gt;=4)*($C553='TaxCred&amp;Subs'!$D$123:$D$127)*($H553='TaxCred&amp;Subs'!$C$123:$C$127)*($H553&lt;='TaxCred&amp;Subs'!$C$129),'TaxCred&amp;Subs'!$E$123:$E$127,0))</f>
        <v>2000</v>
      </c>
      <c r="R553" s="174">
        <v>0</v>
      </c>
      <c r="S553" s="126">
        <v>4</v>
      </c>
      <c r="T553" s="126" t="s">
        <v>248</v>
      </c>
      <c r="V553" s="153" t="str">
        <f t="array" ref="V553">INDEX(xlRTCLNAME,MATCH(1,(xlRTCLENDU=1)*(xlRTCLEQCL=$D553),0))</f>
        <v>NG_RAD</v>
      </c>
      <c r="W553" s="153" t="str">
        <f t="array" ref="W553">INDEX(xlRTCLNAME,MATCH(1,(xlRTCLENDU=2)*(xlRTCLEQCL=$F553),0))</f>
        <v>CENT_AIR</v>
      </c>
      <c r="X553" s="153" t="str">
        <f t="array" ref="X553">INDEX(xlRTTYNAME,MATCH(1,(xlRTTYENDU=1)*(xlRTTYEQCL=$D553)*(xlRTEQTYPE=$E553),0))</f>
        <v>NG_RAD3</v>
      </c>
      <c r="Y553" s="153" t="str">
        <f t="array" ref="Y553">INDEX(xlRTTYNAME,MATCH(1,(xlRTTYENDU=2)*(xlRTTYEQCL=$F553)*(xlRTEQTYPE=$G553),0))</f>
        <v>CENT_AIR3</v>
      </c>
    </row>
    <row r="554" spans="2:25" x14ac:dyDescent="0.2">
      <c r="B554" s="49">
        <v>2</v>
      </c>
      <c r="C554" s="49">
        <v>1</v>
      </c>
      <c r="D554" s="49">
        <v>4</v>
      </c>
      <c r="E554" s="49">
        <v>12</v>
      </c>
      <c r="F554" s="49">
        <v>2</v>
      </c>
      <c r="G554" s="49">
        <v>7</v>
      </c>
      <c r="H554" s="49">
        <v>2023</v>
      </c>
      <c r="I554" s="49">
        <v>2032</v>
      </c>
      <c r="J554" s="50">
        <v>1.0717000000000001</v>
      </c>
      <c r="K554" s="50">
        <v>1.0895999999999999</v>
      </c>
      <c r="L554" s="50">
        <v>0.52270000000000005</v>
      </c>
      <c r="M554" s="50">
        <v>0.83919999999999995</v>
      </c>
      <c r="N554" s="50">
        <v>0.92630000000000001</v>
      </c>
      <c r="O554" s="50">
        <v>1.0538000000000001</v>
      </c>
      <c r="P554" s="49">
        <v>12689</v>
      </c>
      <c r="Q554" s="51">
        <f t="array" ref="Q554">SUM(IF(($S554&gt;=4)*($C554='TaxCred&amp;Subs'!$D$123:$D$127)*($H554='TaxCred&amp;Subs'!$C$123:$C$127)*($H554&lt;='TaxCred&amp;Subs'!$C$129),'TaxCred&amp;Subs'!$E$123:$E$127,0))</f>
        <v>2500</v>
      </c>
      <c r="R554" s="171">
        <v>0</v>
      </c>
      <c r="S554" s="49">
        <v>4</v>
      </c>
      <c r="T554" s="49" t="s">
        <v>248</v>
      </c>
      <c r="V554" s="153" t="str">
        <f t="array" ref="V554">INDEX(xlRTCLNAME,MATCH(1,(xlRTCLENDU=1)*(xlRTCLEQCL=$D554),0))</f>
        <v>NG_RAD</v>
      </c>
      <c r="W554" s="153" t="str">
        <f t="array" ref="W554">INDEX(xlRTCLNAME,MATCH(1,(xlRTCLENDU=2)*(xlRTCLEQCL=$F554),0))</f>
        <v>CENT_AIR</v>
      </c>
      <c r="X554" s="153" t="str">
        <f t="array" ref="X554">INDEX(xlRTTYNAME,MATCH(1,(xlRTTYENDU=1)*(xlRTTYEQCL=$D554)*(xlRTEQTYPE=$E554),0))</f>
        <v>NG_RAD3</v>
      </c>
      <c r="Y554" s="153" t="str">
        <f t="array" ref="Y554">INDEX(xlRTTYNAME,MATCH(1,(xlRTTYENDU=2)*(xlRTTYEQCL=$F554)*(xlRTEQTYPE=$G554),0))</f>
        <v>CENT_AIR3</v>
      </c>
    </row>
    <row r="555" spans="2:25" x14ac:dyDescent="0.2">
      <c r="B555" s="126">
        <v>2</v>
      </c>
      <c r="C555" s="126">
        <v>1</v>
      </c>
      <c r="D555" s="126">
        <v>4</v>
      </c>
      <c r="E555" s="126">
        <v>12</v>
      </c>
      <c r="F555" s="126">
        <v>2</v>
      </c>
      <c r="G555" s="126">
        <v>7</v>
      </c>
      <c r="H555" s="159">
        <v>2033</v>
      </c>
      <c r="I555" s="126">
        <v>2050</v>
      </c>
      <c r="J555" s="127">
        <v>1.0717000000000001</v>
      </c>
      <c r="K555" s="127">
        <v>1.0895999999999999</v>
      </c>
      <c r="L555" s="127">
        <v>0.52270000000000005</v>
      </c>
      <c r="M555" s="127">
        <v>0.83919999999999995</v>
      </c>
      <c r="N555" s="127">
        <v>0.92630000000000001</v>
      </c>
      <c r="O555" s="127">
        <v>1.0538000000000001</v>
      </c>
      <c r="P555" s="126">
        <v>12689</v>
      </c>
      <c r="Q555" s="128">
        <f t="array" ref="Q555">SUM(IF(($S555&gt;=4)*($C555='TaxCred&amp;Subs'!$D$123:$D$127)*($H555='TaxCred&amp;Subs'!$C$123:$C$127)*($H555&lt;='TaxCred&amp;Subs'!$C$129),'TaxCred&amp;Subs'!$E$123:$E$127,0))</f>
        <v>0</v>
      </c>
      <c r="R555" s="174">
        <v>0</v>
      </c>
      <c r="S555" s="126">
        <v>4</v>
      </c>
      <c r="T555" s="126" t="s">
        <v>248</v>
      </c>
      <c r="V555" s="153" t="str">
        <f t="array" ref="V555">INDEX(xlRTCLNAME,MATCH(1,(xlRTCLENDU=1)*(xlRTCLEQCL=$D555),0))</f>
        <v>NG_RAD</v>
      </c>
      <c r="W555" s="153" t="str">
        <f t="array" ref="W555">INDEX(xlRTCLNAME,MATCH(1,(xlRTCLENDU=2)*(xlRTCLEQCL=$F555),0))</f>
        <v>CENT_AIR</v>
      </c>
      <c r="X555" s="153" t="str">
        <f t="array" ref="X555">INDEX(xlRTTYNAME,MATCH(1,(xlRTTYENDU=1)*(xlRTTYEQCL=$D555)*(xlRTEQTYPE=$E555),0))</f>
        <v>NG_RAD3</v>
      </c>
      <c r="Y555" s="153" t="str">
        <f t="array" ref="Y555">INDEX(xlRTTYNAME,MATCH(1,(xlRTTYENDU=2)*(xlRTTYEQCL=$F555)*(xlRTEQTYPE=$G555),0))</f>
        <v>CENT_AIR3</v>
      </c>
    </row>
    <row r="556" spans="2:25" x14ac:dyDescent="0.2">
      <c r="B556" s="126">
        <v>3</v>
      </c>
      <c r="C556" s="126">
        <v>1</v>
      </c>
      <c r="D556" s="126">
        <v>4</v>
      </c>
      <c r="E556" s="126">
        <v>12</v>
      </c>
      <c r="F556" s="126">
        <v>2</v>
      </c>
      <c r="G556" s="126">
        <v>7</v>
      </c>
      <c r="H556" s="126">
        <v>2016</v>
      </c>
      <c r="I556" s="159">
        <v>2022</v>
      </c>
      <c r="J556" s="127">
        <v>1.0821000000000001</v>
      </c>
      <c r="K556" s="127">
        <v>1.0769</v>
      </c>
      <c r="L556" s="127">
        <v>0.46970000000000001</v>
      </c>
      <c r="M556" s="127">
        <v>0.91859999999999997</v>
      </c>
      <c r="N556" s="127">
        <v>0.91400000000000003</v>
      </c>
      <c r="O556" s="127">
        <v>1.0538000000000001</v>
      </c>
      <c r="P556" s="126">
        <v>10994</v>
      </c>
      <c r="Q556" s="128">
        <f t="array" ref="Q556">SUM(IF(($S556&gt;=4)*($C556='TaxCred&amp;Subs'!$D$123:$D$127)*($H556='TaxCred&amp;Subs'!$C$123:$C$127)*($H556&lt;='TaxCred&amp;Subs'!$C$129),'TaxCred&amp;Subs'!$E$123:$E$127,0))</f>
        <v>2000</v>
      </c>
      <c r="R556" s="174">
        <v>0</v>
      </c>
      <c r="S556" s="126">
        <v>4</v>
      </c>
      <c r="T556" s="126" t="s">
        <v>248</v>
      </c>
      <c r="V556" s="153" t="str">
        <f t="array" ref="V556">INDEX(xlRTCLNAME,MATCH(1,(xlRTCLENDU=1)*(xlRTCLEQCL=$D556),0))</f>
        <v>NG_RAD</v>
      </c>
      <c r="W556" s="153" t="str">
        <f t="array" ref="W556">INDEX(xlRTCLNAME,MATCH(1,(xlRTCLENDU=2)*(xlRTCLEQCL=$F556),0))</f>
        <v>CENT_AIR</v>
      </c>
      <c r="X556" s="153" t="str">
        <f t="array" ref="X556">INDEX(xlRTTYNAME,MATCH(1,(xlRTTYENDU=1)*(xlRTTYEQCL=$D556)*(xlRTEQTYPE=$E556),0))</f>
        <v>NG_RAD3</v>
      </c>
      <c r="Y556" s="153" t="str">
        <f t="array" ref="Y556">INDEX(xlRTTYNAME,MATCH(1,(xlRTTYENDU=2)*(xlRTTYEQCL=$F556)*(xlRTEQTYPE=$G556),0))</f>
        <v>CENT_AIR3</v>
      </c>
    </row>
    <row r="557" spans="2:25" x14ac:dyDescent="0.2">
      <c r="B557" s="49">
        <v>3</v>
      </c>
      <c r="C557" s="49">
        <v>1</v>
      </c>
      <c r="D557" s="49">
        <v>4</v>
      </c>
      <c r="E557" s="49">
        <v>12</v>
      </c>
      <c r="F557" s="49">
        <v>2</v>
      </c>
      <c r="G557" s="49">
        <v>7</v>
      </c>
      <c r="H557" s="49">
        <v>2023</v>
      </c>
      <c r="I557" s="49">
        <v>2032</v>
      </c>
      <c r="J557" s="50">
        <v>1.0821000000000001</v>
      </c>
      <c r="K557" s="50">
        <v>1.0769</v>
      </c>
      <c r="L557" s="50">
        <v>0.46970000000000001</v>
      </c>
      <c r="M557" s="50">
        <v>0.91859999999999997</v>
      </c>
      <c r="N557" s="50">
        <v>0.91400000000000003</v>
      </c>
      <c r="O557" s="50">
        <v>1.0538000000000001</v>
      </c>
      <c r="P557" s="49">
        <v>10994</v>
      </c>
      <c r="Q557" s="51">
        <f t="array" ref="Q557">SUM(IF(($S557&gt;=4)*($C557='TaxCred&amp;Subs'!$D$123:$D$127)*($H557='TaxCred&amp;Subs'!$C$123:$C$127)*($H557&lt;='TaxCred&amp;Subs'!$C$129),'TaxCred&amp;Subs'!$E$123:$E$127,0))</f>
        <v>2500</v>
      </c>
      <c r="R557" s="171">
        <v>0</v>
      </c>
      <c r="S557" s="49">
        <v>4</v>
      </c>
      <c r="T557" s="49" t="s">
        <v>248</v>
      </c>
      <c r="V557" s="153" t="str">
        <f t="array" ref="V557">INDEX(xlRTCLNAME,MATCH(1,(xlRTCLENDU=1)*(xlRTCLEQCL=$D557),0))</f>
        <v>NG_RAD</v>
      </c>
      <c r="W557" s="153" t="str">
        <f t="array" ref="W557">INDEX(xlRTCLNAME,MATCH(1,(xlRTCLENDU=2)*(xlRTCLEQCL=$F557),0))</f>
        <v>CENT_AIR</v>
      </c>
      <c r="X557" s="153" t="str">
        <f t="array" ref="X557">INDEX(xlRTTYNAME,MATCH(1,(xlRTTYENDU=1)*(xlRTTYEQCL=$D557)*(xlRTEQTYPE=$E557),0))</f>
        <v>NG_RAD3</v>
      </c>
      <c r="Y557" s="153" t="str">
        <f t="array" ref="Y557">INDEX(xlRTTYNAME,MATCH(1,(xlRTTYENDU=2)*(xlRTTYEQCL=$F557)*(xlRTEQTYPE=$G557),0))</f>
        <v>CENT_AIR3</v>
      </c>
    </row>
    <row r="558" spans="2:25" x14ac:dyDescent="0.2">
      <c r="B558" s="126">
        <v>3</v>
      </c>
      <c r="C558" s="126">
        <v>1</v>
      </c>
      <c r="D558" s="126">
        <v>4</v>
      </c>
      <c r="E558" s="126">
        <v>12</v>
      </c>
      <c r="F558" s="126">
        <v>2</v>
      </c>
      <c r="G558" s="126">
        <v>7</v>
      </c>
      <c r="H558" s="159">
        <v>2033</v>
      </c>
      <c r="I558" s="126">
        <v>2050</v>
      </c>
      <c r="J558" s="127">
        <v>1.0821000000000001</v>
      </c>
      <c r="K558" s="127">
        <v>1.0769</v>
      </c>
      <c r="L558" s="127">
        <v>0.46970000000000001</v>
      </c>
      <c r="M558" s="127">
        <v>0.91859999999999997</v>
      </c>
      <c r="N558" s="127">
        <v>0.91400000000000003</v>
      </c>
      <c r="O558" s="127">
        <v>1.0538000000000001</v>
      </c>
      <c r="P558" s="126">
        <v>10994</v>
      </c>
      <c r="Q558" s="128">
        <f t="array" ref="Q558">SUM(IF(($S558&gt;=4)*($C558='TaxCred&amp;Subs'!$D$123:$D$127)*($H558='TaxCred&amp;Subs'!$C$123:$C$127)*($H558&lt;='TaxCred&amp;Subs'!$C$129),'TaxCred&amp;Subs'!$E$123:$E$127,0))</f>
        <v>0</v>
      </c>
      <c r="R558" s="174">
        <v>0</v>
      </c>
      <c r="S558" s="126">
        <v>4</v>
      </c>
      <c r="T558" s="126" t="s">
        <v>248</v>
      </c>
      <c r="V558" s="153" t="str">
        <f t="array" ref="V558">INDEX(xlRTCLNAME,MATCH(1,(xlRTCLENDU=1)*(xlRTCLEQCL=$D558),0))</f>
        <v>NG_RAD</v>
      </c>
      <c r="W558" s="153" t="str">
        <f t="array" ref="W558">INDEX(xlRTCLNAME,MATCH(1,(xlRTCLENDU=2)*(xlRTCLEQCL=$F558),0))</f>
        <v>CENT_AIR</v>
      </c>
      <c r="X558" s="153" t="str">
        <f t="array" ref="X558">INDEX(xlRTTYNAME,MATCH(1,(xlRTTYENDU=1)*(xlRTTYEQCL=$D558)*(xlRTEQTYPE=$E558),0))</f>
        <v>NG_RAD3</v>
      </c>
      <c r="Y558" s="153" t="str">
        <f t="array" ref="Y558">INDEX(xlRTTYNAME,MATCH(1,(xlRTTYENDU=2)*(xlRTTYEQCL=$F558)*(xlRTEQTYPE=$G558),0))</f>
        <v>CENT_AIR3</v>
      </c>
    </row>
    <row r="559" spans="2:25" x14ac:dyDescent="0.2">
      <c r="B559" s="126">
        <v>4</v>
      </c>
      <c r="C559" s="126">
        <v>1</v>
      </c>
      <c r="D559" s="126">
        <v>4</v>
      </c>
      <c r="E559" s="126">
        <v>12</v>
      </c>
      <c r="F559" s="126">
        <v>2</v>
      </c>
      <c r="G559" s="126">
        <v>7</v>
      </c>
      <c r="H559" s="126">
        <v>2016</v>
      </c>
      <c r="I559" s="159">
        <v>2022</v>
      </c>
      <c r="J559" s="127">
        <v>1.0812999999999999</v>
      </c>
      <c r="K559" s="127">
        <v>1.0769</v>
      </c>
      <c r="L559" s="127">
        <v>0.47370000000000001</v>
      </c>
      <c r="M559" s="127">
        <v>0.85729999999999995</v>
      </c>
      <c r="N559" s="127">
        <v>0.85660000000000003</v>
      </c>
      <c r="O559" s="127">
        <v>1.0538000000000001</v>
      </c>
      <c r="P559" s="126">
        <v>9227</v>
      </c>
      <c r="Q559" s="128">
        <f t="array" ref="Q559">SUM(IF(($S559&gt;=4)*($C559='TaxCred&amp;Subs'!$D$123:$D$127)*($H559='TaxCred&amp;Subs'!$C$123:$C$127)*($H559&lt;='TaxCred&amp;Subs'!$C$129),'TaxCred&amp;Subs'!$E$123:$E$127,0))</f>
        <v>2000</v>
      </c>
      <c r="R559" s="174">
        <v>0</v>
      </c>
      <c r="S559" s="126">
        <v>4</v>
      </c>
      <c r="T559" s="126" t="s">
        <v>248</v>
      </c>
      <c r="V559" s="153" t="str">
        <f t="array" ref="V559">INDEX(xlRTCLNAME,MATCH(1,(xlRTCLENDU=1)*(xlRTCLEQCL=$D559),0))</f>
        <v>NG_RAD</v>
      </c>
      <c r="W559" s="153" t="str">
        <f t="array" ref="W559">INDEX(xlRTCLNAME,MATCH(1,(xlRTCLENDU=2)*(xlRTCLEQCL=$F559),0))</f>
        <v>CENT_AIR</v>
      </c>
      <c r="X559" s="153" t="str">
        <f t="array" ref="X559">INDEX(xlRTTYNAME,MATCH(1,(xlRTTYENDU=1)*(xlRTTYEQCL=$D559)*(xlRTEQTYPE=$E559),0))</f>
        <v>NG_RAD3</v>
      </c>
      <c r="Y559" s="153" t="str">
        <f t="array" ref="Y559">INDEX(xlRTTYNAME,MATCH(1,(xlRTTYENDU=2)*(xlRTTYEQCL=$F559)*(xlRTEQTYPE=$G559),0))</f>
        <v>CENT_AIR3</v>
      </c>
    </row>
    <row r="560" spans="2:25" x14ac:dyDescent="0.2">
      <c r="B560" s="49">
        <v>4</v>
      </c>
      <c r="C560" s="49">
        <v>1</v>
      </c>
      <c r="D560" s="49">
        <v>4</v>
      </c>
      <c r="E560" s="49">
        <v>12</v>
      </c>
      <c r="F560" s="49">
        <v>2</v>
      </c>
      <c r="G560" s="49">
        <v>7</v>
      </c>
      <c r="H560" s="49">
        <v>2023</v>
      </c>
      <c r="I560" s="49">
        <v>2032</v>
      </c>
      <c r="J560" s="50">
        <v>1.0812999999999999</v>
      </c>
      <c r="K560" s="50">
        <v>1.0769</v>
      </c>
      <c r="L560" s="50">
        <v>0.47370000000000001</v>
      </c>
      <c r="M560" s="50">
        <v>0.85729999999999995</v>
      </c>
      <c r="N560" s="50">
        <v>0.85660000000000003</v>
      </c>
      <c r="O560" s="50">
        <v>1.0538000000000001</v>
      </c>
      <c r="P560" s="49">
        <v>9227</v>
      </c>
      <c r="Q560" s="51">
        <f t="array" ref="Q560">SUM(IF(($S560&gt;=4)*($C560='TaxCred&amp;Subs'!$D$123:$D$127)*($H560='TaxCred&amp;Subs'!$C$123:$C$127)*($H560&lt;='TaxCred&amp;Subs'!$C$129),'TaxCred&amp;Subs'!$E$123:$E$127,0))</f>
        <v>2500</v>
      </c>
      <c r="R560" s="171">
        <v>0</v>
      </c>
      <c r="S560" s="49">
        <v>4</v>
      </c>
      <c r="T560" s="49" t="s">
        <v>248</v>
      </c>
      <c r="V560" s="153" t="str">
        <f t="array" ref="V560">INDEX(xlRTCLNAME,MATCH(1,(xlRTCLENDU=1)*(xlRTCLEQCL=$D560),0))</f>
        <v>NG_RAD</v>
      </c>
      <c r="W560" s="153" t="str">
        <f t="array" ref="W560">INDEX(xlRTCLNAME,MATCH(1,(xlRTCLENDU=2)*(xlRTCLEQCL=$F560),0))</f>
        <v>CENT_AIR</v>
      </c>
      <c r="X560" s="153" t="str">
        <f t="array" ref="X560">INDEX(xlRTTYNAME,MATCH(1,(xlRTTYENDU=1)*(xlRTTYEQCL=$D560)*(xlRTEQTYPE=$E560),0))</f>
        <v>NG_RAD3</v>
      </c>
      <c r="Y560" s="153" t="str">
        <f t="array" ref="Y560">INDEX(xlRTTYNAME,MATCH(1,(xlRTTYENDU=2)*(xlRTTYEQCL=$F560)*(xlRTEQTYPE=$G560),0))</f>
        <v>CENT_AIR3</v>
      </c>
    </row>
    <row r="561" spans="2:25" x14ac:dyDescent="0.2">
      <c r="B561" s="126">
        <v>4</v>
      </c>
      <c r="C561" s="126">
        <v>1</v>
      </c>
      <c r="D561" s="126">
        <v>4</v>
      </c>
      <c r="E561" s="126">
        <v>12</v>
      </c>
      <c r="F561" s="126">
        <v>2</v>
      </c>
      <c r="G561" s="126">
        <v>7</v>
      </c>
      <c r="H561" s="159">
        <v>2033</v>
      </c>
      <c r="I561" s="126">
        <v>2050</v>
      </c>
      <c r="J561" s="127">
        <v>1.0812999999999999</v>
      </c>
      <c r="K561" s="127">
        <v>1.0769</v>
      </c>
      <c r="L561" s="127">
        <v>0.47370000000000001</v>
      </c>
      <c r="M561" s="127">
        <v>0.85729999999999995</v>
      </c>
      <c r="N561" s="127">
        <v>0.85660000000000003</v>
      </c>
      <c r="O561" s="127">
        <v>1.0538000000000001</v>
      </c>
      <c r="P561" s="126">
        <v>9227</v>
      </c>
      <c r="Q561" s="128">
        <f t="array" ref="Q561">SUM(IF(($S561&gt;=4)*($C561='TaxCred&amp;Subs'!$D$123:$D$127)*($H561='TaxCred&amp;Subs'!$C$123:$C$127)*($H561&lt;='TaxCred&amp;Subs'!$C$129),'TaxCred&amp;Subs'!$E$123:$E$127,0))</f>
        <v>0</v>
      </c>
      <c r="R561" s="174">
        <v>0</v>
      </c>
      <c r="S561" s="126">
        <v>4</v>
      </c>
      <c r="T561" s="126" t="s">
        <v>248</v>
      </c>
      <c r="V561" s="153" t="str">
        <f t="array" ref="V561">INDEX(xlRTCLNAME,MATCH(1,(xlRTCLENDU=1)*(xlRTCLEQCL=$D561),0))</f>
        <v>NG_RAD</v>
      </c>
      <c r="W561" s="153" t="str">
        <f t="array" ref="W561">INDEX(xlRTCLNAME,MATCH(1,(xlRTCLENDU=2)*(xlRTCLEQCL=$F561),0))</f>
        <v>CENT_AIR</v>
      </c>
      <c r="X561" s="153" t="str">
        <f t="array" ref="X561">INDEX(xlRTTYNAME,MATCH(1,(xlRTTYENDU=1)*(xlRTTYEQCL=$D561)*(xlRTEQTYPE=$E561),0))</f>
        <v>NG_RAD3</v>
      </c>
      <c r="Y561" s="153" t="str">
        <f t="array" ref="Y561">INDEX(xlRTTYNAME,MATCH(1,(xlRTTYENDU=2)*(xlRTTYEQCL=$F561)*(xlRTEQTYPE=$G561),0))</f>
        <v>CENT_AIR3</v>
      </c>
    </row>
    <row r="562" spans="2:25" x14ac:dyDescent="0.2">
      <c r="B562" s="126">
        <v>5</v>
      </c>
      <c r="C562" s="126">
        <v>1</v>
      </c>
      <c r="D562" s="126">
        <v>4</v>
      </c>
      <c r="E562" s="126">
        <v>12</v>
      </c>
      <c r="F562" s="126">
        <v>2</v>
      </c>
      <c r="G562" s="126">
        <v>7</v>
      </c>
      <c r="H562" s="126">
        <v>2016</v>
      </c>
      <c r="I562" s="159">
        <v>2022</v>
      </c>
      <c r="J562" s="127">
        <v>1.0838000000000001</v>
      </c>
      <c r="K562" s="127">
        <v>1.0465</v>
      </c>
      <c r="L562" s="127">
        <v>0.40329999999999999</v>
      </c>
      <c r="M562" s="127">
        <v>0.77349999999999997</v>
      </c>
      <c r="N562" s="127">
        <v>0.75670000000000004</v>
      </c>
      <c r="O562" s="127">
        <v>1.0538000000000001</v>
      </c>
      <c r="P562" s="126">
        <v>9903</v>
      </c>
      <c r="Q562" s="128">
        <f t="array" ref="Q562">SUM(IF(($S562&gt;=4)*($C562='TaxCred&amp;Subs'!$D$123:$D$127)*($H562='TaxCred&amp;Subs'!$C$123:$C$127)*($H562&lt;='TaxCred&amp;Subs'!$C$129),'TaxCred&amp;Subs'!$E$123:$E$127,0))</f>
        <v>2000</v>
      </c>
      <c r="R562" s="174">
        <v>0</v>
      </c>
      <c r="S562" s="126">
        <v>4</v>
      </c>
      <c r="T562" s="126" t="s">
        <v>248</v>
      </c>
      <c r="V562" s="153" t="str">
        <f t="array" ref="V562">INDEX(xlRTCLNAME,MATCH(1,(xlRTCLENDU=1)*(xlRTCLEQCL=$D562),0))</f>
        <v>NG_RAD</v>
      </c>
      <c r="W562" s="153" t="str">
        <f t="array" ref="W562">INDEX(xlRTCLNAME,MATCH(1,(xlRTCLENDU=2)*(xlRTCLEQCL=$F562),0))</f>
        <v>CENT_AIR</v>
      </c>
      <c r="X562" s="153" t="str">
        <f t="array" ref="X562">INDEX(xlRTTYNAME,MATCH(1,(xlRTTYENDU=1)*(xlRTTYEQCL=$D562)*(xlRTEQTYPE=$E562),0))</f>
        <v>NG_RAD3</v>
      </c>
      <c r="Y562" s="153" t="str">
        <f t="array" ref="Y562">INDEX(xlRTTYNAME,MATCH(1,(xlRTTYENDU=2)*(xlRTTYEQCL=$F562)*(xlRTEQTYPE=$G562),0))</f>
        <v>CENT_AIR3</v>
      </c>
    </row>
    <row r="563" spans="2:25" x14ac:dyDescent="0.2">
      <c r="B563" s="49">
        <v>5</v>
      </c>
      <c r="C563" s="49">
        <v>1</v>
      </c>
      <c r="D563" s="49">
        <v>4</v>
      </c>
      <c r="E563" s="49">
        <v>12</v>
      </c>
      <c r="F563" s="49">
        <v>2</v>
      </c>
      <c r="G563" s="49">
        <v>7</v>
      </c>
      <c r="H563" s="49">
        <v>2023</v>
      </c>
      <c r="I563" s="49">
        <v>2032</v>
      </c>
      <c r="J563" s="50">
        <v>1.0838000000000001</v>
      </c>
      <c r="K563" s="50">
        <v>1.0465</v>
      </c>
      <c r="L563" s="50">
        <v>0.40329999999999999</v>
      </c>
      <c r="M563" s="50">
        <v>0.77349999999999997</v>
      </c>
      <c r="N563" s="50">
        <v>0.75670000000000004</v>
      </c>
      <c r="O563" s="50">
        <v>1.0538000000000001</v>
      </c>
      <c r="P563" s="49">
        <v>9903</v>
      </c>
      <c r="Q563" s="51">
        <f t="array" ref="Q563">SUM(IF(($S563&gt;=4)*($C563='TaxCred&amp;Subs'!$D$123:$D$127)*($H563='TaxCred&amp;Subs'!$C$123:$C$127)*($H563&lt;='TaxCred&amp;Subs'!$C$129),'TaxCred&amp;Subs'!$E$123:$E$127,0))</f>
        <v>2500</v>
      </c>
      <c r="R563" s="171">
        <v>0</v>
      </c>
      <c r="S563" s="49">
        <v>4</v>
      </c>
      <c r="T563" s="49" t="s">
        <v>248</v>
      </c>
      <c r="V563" s="153" t="str">
        <f t="array" ref="V563">INDEX(xlRTCLNAME,MATCH(1,(xlRTCLENDU=1)*(xlRTCLEQCL=$D563),0))</f>
        <v>NG_RAD</v>
      </c>
      <c r="W563" s="153" t="str">
        <f t="array" ref="W563">INDEX(xlRTCLNAME,MATCH(1,(xlRTCLENDU=2)*(xlRTCLEQCL=$F563),0))</f>
        <v>CENT_AIR</v>
      </c>
      <c r="X563" s="153" t="str">
        <f t="array" ref="X563">INDEX(xlRTTYNAME,MATCH(1,(xlRTTYENDU=1)*(xlRTTYEQCL=$D563)*(xlRTEQTYPE=$E563),0))</f>
        <v>NG_RAD3</v>
      </c>
      <c r="Y563" s="153" t="str">
        <f t="array" ref="Y563">INDEX(xlRTTYNAME,MATCH(1,(xlRTTYENDU=2)*(xlRTTYEQCL=$F563)*(xlRTEQTYPE=$G563),0))</f>
        <v>CENT_AIR3</v>
      </c>
    </row>
    <row r="564" spans="2:25" x14ac:dyDescent="0.2">
      <c r="B564" s="126">
        <v>5</v>
      </c>
      <c r="C564" s="126">
        <v>1</v>
      </c>
      <c r="D564" s="126">
        <v>4</v>
      </c>
      <c r="E564" s="126">
        <v>12</v>
      </c>
      <c r="F564" s="126">
        <v>2</v>
      </c>
      <c r="G564" s="126">
        <v>7</v>
      </c>
      <c r="H564" s="159">
        <v>2033</v>
      </c>
      <c r="I564" s="126">
        <v>2050</v>
      </c>
      <c r="J564" s="127">
        <v>1.0838000000000001</v>
      </c>
      <c r="K564" s="127">
        <v>1.0465</v>
      </c>
      <c r="L564" s="127">
        <v>0.40329999999999999</v>
      </c>
      <c r="M564" s="127">
        <v>0.77349999999999997</v>
      </c>
      <c r="N564" s="127">
        <v>0.75670000000000004</v>
      </c>
      <c r="O564" s="127">
        <v>1.0538000000000001</v>
      </c>
      <c r="P564" s="126">
        <v>9903</v>
      </c>
      <c r="Q564" s="128">
        <f t="array" ref="Q564">SUM(IF(($S564&gt;=4)*($C564='TaxCred&amp;Subs'!$D$123:$D$127)*($H564='TaxCred&amp;Subs'!$C$123:$C$127)*($H564&lt;='TaxCred&amp;Subs'!$C$129),'TaxCred&amp;Subs'!$E$123:$E$127,0))</f>
        <v>0</v>
      </c>
      <c r="R564" s="174">
        <v>0</v>
      </c>
      <c r="S564" s="126">
        <v>4</v>
      </c>
      <c r="T564" s="126" t="s">
        <v>248</v>
      </c>
      <c r="V564" s="153" t="str">
        <f t="array" ref="V564">INDEX(xlRTCLNAME,MATCH(1,(xlRTCLENDU=1)*(xlRTCLEQCL=$D564),0))</f>
        <v>NG_RAD</v>
      </c>
      <c r="W564" s="153" t="str">
        <f t="array" ref="W564">INDEX(xlRTCLNAME,MATCH(1,(xlRTCLENDU=2)*(xlRTCLEQCL=$F564),0))</f>
        <v>CENT_AIR</v>
      </c>
      <c r="X564" s="153" t="str">
        <f t="array" ref="X564">INDEX(xlRTTYNAME,MATCH(1,(xlRTTYENDU=1)*(xlRTTYEQCL=$D564)*(xlRTEQTYPE=$E564),0))</f>
        <v>NG_RAD3</v>
      </c>
      <c r="Y564" s="153" t="str">
        <f t="array" ref="Y564">INDEX(xlRTTYNAME,MATCH(1,(xlRTTYENDU=2)*(xlRTTYEQCL=$F564)*(xlRTEQTYPE=$G564),0))</f>
        <v>CENT_AIR3</v>
      </c>
    </row>
    <row r="565" spans="2:25" x14ac:dyDescent="0.2">
      <c r="B565" s="126">
        <v>6</v>
      </c>
      <c r="C565" s="126">
        <v>1</v>
      </c>
      <c r="D565" s="126">
        <v>4</v>
      </c>
      <c r="E565" s="126">
        <v>12</v>
      </c>
      <c r="F565" s="126">
        <v>2</v>
      </c>
      <c r="G565" s="126">
        <v>7</v>
      </c>
      <c r="H565" s="126">
        <v>2016</v>
      </c>
      <c r="I565" s="159">
        <v>2022</v>
      </c>
      <c r="J565" s="127">
        <v>1.089</v>
      </c>
      <c r="K565" s="127">
        <v>1.0583</v>
      </c>
      <c r="L565" s="127">
        <v>0.60009999999999997</v>
      </c>
      <c r="M565" s="127">
        <v>0.85409999999999997</v>
      </c>
      <c r="N565" s="127">
        <v>0.88849999999999996</v>
      </c>
      <c r="O565" s="127">
        <v>1.0538000000000001</v>
      </c>
      <c r="P565" s="126">
        <v>9341</v>
      </c>
      <c r="Q565" s="128">
        <f t="array" ref="Q565">SUM(IF(($S565&gt;=4)*($C565='TaxCred&amp;Subs'!$D$123:$D$127)*($H565='TaxCred&amp;Subs'!$C$123:$C$127)*($H565&lt;='TaxCred&amp;Subs'!$C$129),'TaxCred&amp;Subs'!$E$123:$E$127,0))</f>
        <v>2000</v>
      </c>
      <c r="R565" s="174">
        <v>0</v>
      </c>
      <c r="S565" s="126">
        <v>4</v>
      </c>
      <c r="T565" s="126" t="s">
        <v>248</v>
      </c>
      <c r="V565" s="153" t="str">
        <f t="array" ref="V565">INDEX(xlRTCLNAME,MATCH(1,(xlRTCLENDU=1)*(xlRTCLEQCL=$D565),0))</f>
        <v>NG_RAD</v>
      </c>
      <c r="W565" s="153" t="str">
        <f t="array" ref="W565">INDEX(xlRTCLNAME,MATCH(1,(xlRTCLENDU=2)*(xlRTCLEQCL=$F565),0))</f>
        <v>CENT_AIR</v>
      </c>
      <c r="X565" s="153" t="str">
        <f t="array" ref="X565">INDEX(xlRTTYNAME,MATCH(1,(xlRTTYENDU=1)*(xlRTTYEQCL=$D565)*(xlRTEQTYPE=$E565),0))</f>
        <v>NG_RAD3</v>
      </c>
      <c r="Y565" s="153" t="str">
        <f t="array" ref="Y565">INDEX(xlRTTYNAME,MATCH(1,(xlRTTYENDU=2)*(xlRTTYEQCL=$F565)*(xlRTEQTYPE=$G565),0))</f>
        <v>CENT_AIR3</v>
      </c>
    </row>
    <row r="566" spans="2:25" x14ac:dyDescent="0.2">
      <c r="B566" s="49">
        <v>6</v>
      </c>
      <c r="C566" s="49">
        <v>1</v>
      </c>
      <c r="D566" s="49">
        <v>4</v>
      </c>
      <c r="E566" s="49">
        <v>12</v>
      </c>
      <c r="F566" s="49">
        <v>2</v>
      </c>
      <c r="G566" s="49">
        <v>7</v>
      </c>
      <c r="H566" s="49">
        <v>2023</v>
      </c>
      <c r="I566" s="49">
        <v>2032</v>
      </c>
      <c r="J566" s="50">
        <v>1.089</v>
      </c>
      <c r="K566" s="50">
        <v>1.0583</v>
      </c>
      <c r="L566" s="50">
        <v>0.60009999999999997</v>
      </c>
      <c r="M566" s="50">
        <v>0.85409999999999997</v>
      </c>
      <c r="N566" s="50">
        <v>0.88849999999999996</v>
      </c>
      <c r="O566" s="50">
        <v>1.0538000000000001</v>
      </c>
      <c r="P566" s="49">
        <v>9341</v>
      </c>
      <c r="Q566" s="51">
        <f t="array" ref="Q566">SUM(IF(($S566&gt;=4)*($C566='TaxCred&amp;Subs'!$D$123:$D$127)*($H566='TaxCred&amp;Subs'!$C$123:$C$127)*($H566&lt;='TaxCred&amp;Subs'!$C$129),'TaxCred&amp;Subs'!$E$123:$E$127,0))</f>
        <v>2500</v>
      </c>
      <c r="R566" s="171">
        <v>0</v>
      </c>
      <c r="S566" s="49">
        <v>4</v>
      </c>
      <c r="T566" s="49" t="s">
        <v>248</v>
      </c>
      <c r="V566" s="153" t="str">
        <f t="array" ref="V566">INDEX(xlRTCLNAME,MATCH(1,(xlRTCLENDU=1)*(xlRTCLEQCL=$D566),0))</f>
        <v>NG_RAD</v>
      </c>
      <c r="W566" s="153" t="str">
        <f t="array" ref="W566">INDEX(xlRTCLNAME,MATCH(1,(xlRTCLENDU=2)*(xlRTCLEQCL=$F566),0))</f>
        <v>CENT_AIR</v>
      </c>
      <c r="X566" s="153" t="str">
        <f t="array" ref="X566">INDEX(xlRTTYNAME,MATCH(1,(xlRTTYENDU=1)*(xlRTTYEQCL=$D566)*(xlRTEQTYPE=$E566),0))</f>
        <v>NG_RAD3</v>
      </c>
      <c r="Y566" s="153" t="str">
        <f t="array" ref="Y566">INDEX(xlRTTYNAME,MATCH(1,(xlRTTYENDU=2)*(xlRTTYEQCL=$F566)*(xlRTEQTYPE=$G566),0))</f>
        <v>CENT_AIR3</v>
      </c>
    </row>
    <row r="567" spans="2:25" x14ac:dyDescent="0.2">
      <c r="B567" s="126">
        <v>6</v>
      </c>
      <c r="C567" s="126">
        <v>1</v>
      </c>
      <c r="D567" s="126">
        <v>4</v>
      </c>
      <c r="E567" s="126">
        <v>12</v>
      </c>
      <c r="F567" s="126">
        <v>2</v>
      </c>
      <c r="G567" s="126">
        <v>7</v>
      </c>
      <c r="H567" s="159">
        <v>2033</v>
      </c>
      <c r="I567" s="126">
        <v>2050</v>
      </c>
      <c r="J567" s="127">
        <v>1.089</v>
      </c>
      <c r="K567" s="127">
        <v>1.0583</v>
      </c>
      <c r="L567" s="127">
        <v>0.60009999999999997</v>
      </c>
      <c r="M567" s="127">
        <v>0.85409999999999997</v>
      </c>
      <c r="N567" s="127">
        <v>0.88849999999999996</v>
      </c>
      <c r="O567" s="127">
        <v>1.0538000000000001</v>
      </c>
      <c r="P567" s="126">
        <v>9341</v>
      </c>
      <c r="Q567" s="128">
        <f t="array" ref="Q567">SUM(IF(($S567&gt;=4)*($C567='TaxCred&amp;Subs'!$D$123:$D$127)*($H567='TaxCred&amp;Subs'!$C$123:$C$127)*($H567&lt;='TaxCred&amp;Subs'!$C$129),'TaxCred&amp;Subs'!$E$123:$E$127,0))</f>
        <v>0</v>
      </c>
      <c r="R567" s="174">
        <v>0</v>
      </c>
      <c r="S567" s="126">
        <v>4</v>
      </c>
      <c r="T567" s="126" t="s">
        <v>248</v>
      </c>
      <c r="V567" s="153" t="str">
        <f t="array" ref="V567">INDEX(xlRTCLNAME,MATCH(1,(xlRTCLENDU=1)*(xlRTCLEQCL=$D567),0))</f>
        <v>NG_RAD</v>
      </c>
      <c r="W567" s="153" t="str">
        <f t="array" ref="W567">INDEX(xlRTCLNAME,MATCH(1,(xlRTCLENDU=2)*(xlRTCLEQCL=$F567),0))</f>
        <v>CENT_AIR</v>
      </c>
      <c r="X567" s="153" t="str">
        <f t="array" ref="X567">INDEX(xlRTTYNAME,MATCH(1,(xlRTTYENDU=1)*(xlRTTYEQCL=$D567)*(xlRTEQTYPE=$E567),0))</f>
        <v>NG_RAD3</v>
      </c>
      <c r="Y567" s="153" t="str">
        <f t="array" ref="Y567">INDEX(xlRTTYNAME,MATCH(1,(xlRTTYENDU=2)*(xlRTTYEQCL=$F567)*(xlRTEQTYPE=$G567),0))</f>
        <v>CENT_AIR3</v>
      </c>
    </row>
    <row r="568" spans="2:25" x14ac:dyDescent="0.2">
      <c r="B568" s="126">
        <v>7</v>
      </c>
      <c r="C568" s="126">
        <v>1</v>
      </c>
      <c r="D568" s="126">
        <v>4</v>
      </c>
      <c r="E568" s="126">
        <v>12</v>
      </c>
      <c r="F568" s="126">
        <v>2</v>
      </c>
      <c r="G568" s="126">
        <v>7</v>
      </c>
      <c r="H568" s="126">
        <v>2016</v>
      </c>
      <c r="I568" s="159">
        <v>2022</v>
      </c>
      <c r="J568" s="127">
        <v>1.0867</v>
      </c>
      <c r="K568" s="127">
        <v>1.0682</v>
      </c>
      <c r="L568" s="127">
        <v>0.47589999999999999</v>
      </c>
      <c r="M568" s="127">
        <v>0.73570000000000002</v>
      </c>
      <c r="N568" s="127">
        <v>0.87180000000000002</v>
      </c>
      <c r="O568" s="127">
        <v>1.0538000000000001</v>
      </c>
      <c r="P568" s="126">
        <v>8879</v>
      </c>
      <c r="Q568" s="128">
        <f t="array" ref="Q568">SUM(IF(($S568&gt;=4)*($C568='TaxCred&amp;Subs'!$D$123:$D$127)*($H568='TaxCred&amp;Subs'!$C$123:$C$127)*($H568&lt;='TaxCred&amp;Subs'!$C$129),'TaxCred&amp;Subs'!$E$123:$E$127,0))</f>
        <v>2000</v>
      </c>
      <c r="R568" s="174">
        <v>0</v>
      </c>
      <c r="S568" s="126">
        <v>4</v>
      </c>
      <c r="T568" s="126" t="s">
        <v>248</v>
      </c>
      <c r="V568" s="153" t="str">
        <f t="array" ref="V568">INDEX(xlRTCLNAME,MATCH(1,(xlRTCLENDU=1)*(xlRTCLEQCL=$D568),0))</f>
        <v>NG_RAD</v>
      </c>
      <c r="W568" s="153" t="str">
        <f t="array" ref="W568">INDEX(xlRTCLNAME,MATCH(1,(xlRTCLENDU=2)*(xlRTCLEQCL=$F568),0))</f>
        <v>CENT_AIR</v>
      </c>
      <c r="X568" s="153" t="str">
        <f t="array" ref="X568">INDEX(xlRTTYNAME,MATCH(1,(xlRTTYENDU=1)*(xlRTTYEQCL=$D568)*(xlRTEQTYPE=$E568),0))</f>
        <v>NG_RAD3</v>
      </c>
      <c r="Y568" s="153" t="str">
        <f t="array" ref="Y568">INDEX(xlRTTYNAME,MATCH(1,(xlRTTYENDU=2)*(xlRTTYEQCL=$F568)*(xlRTEQTYPE=$G568),0))</f>
        <v>CENT_AIR3</v>
      </c>
    </row>
    <row r="569" spans="2:25" x14ac:dyDescent="0.2">
      <c r="B569" s="49">
        <v>7</v>
      </c>
      <c r="C569" s="49">
        <v>1</v>
      </c>
      <c r="D569" s="49">
        <v>4</v>
      </c>
      <c r="E569" s="49">
        <v>12</v>
      </c>
      <c r="F569" s="49">
        <v>2</v>
      </c>
      <c r="G569" s="49">
        <v>7</v>
      </c>
      <c r="H569" s="49">
        <v>2023</v>
      </c>
      <c r="I569" s="49">
        <v>2032</v>
      </c>
      <c r="J569" s="50">
        <v>1.0867</v>
      </c>
      <c r="K569" s="50">
        <v>1.0682</v>
      </c>
      <c r="L569" s="50">
        <v>0.47589999999999999</v>
      </c>
      <c r="M569" s="50">
        <v>0.73570000000000002</v>
      </c>
      <c r="N569" s="50">
        <v>0.87180000000000002</v>
      </c>
      <c r="O569" s="50">
        <v>1.0538000000000001</v>
      </c>
      <c r="P569" s="49">
        <v>8879</v>
      </c>
      <c r="Q569" s="51">
        <f t="array" ref="Q569">SUM(IF(($S569&gt;=4)*($C569='TaxCred&amp;Subs'!$D$123:$D$127)*($H569='TaxCred&amp;Subs'!$C$123:$C$127)*($H569&lt;='TaxCred&amp;Subs'!$C$129),'TaxCred&amp;Subs'!$E$123:$E$127,0))</f>
        <v>2500</v>
      </c>
      <c r="R569" s="171">
        <v>0</v>
      </c>
      <c r="S569" s="49">
        <v>4</v>
      </c>
      <c r="T569" s="49" t="s">
        <v>248</v>
      </c>
      <c r="V569" s="153" t="str">
        <f t="array" ref="V569">INDEX(xlRTCLNAME,MATCH(1,(xlRTCLENDU=1)*(xlRTCLEQCL=$D569),0))</f>
        <v>NG_RAD</v>
      </c>
      <c r="W569" s="153" t="str">
        <f t="array" ref="W569">INDEX(xlRTCLNAME,MATCH(1,(xlRTCLENDU=2)*(xlRTCLEQCL=$F569),0))</f>
        <v>CENT_AIR</v>
      </c>
      <c r="X569" s="153" t="str">
        <f t="array" ref="X569">INDEX(xlRTTYNAME,MATCH(1,(xlRTTYENDU=1)*(xlRTTYEQCL=$D569)*(xlRTEQTYPE=$E569),0))</f>
        <v>NG_RAD3</v>
      </c>
      <c r="Y569" s="153" t="str">
        <f t="array" ref="Y569">INDEX(xlRTTYNAME,MATCH(1,(xlRTTYENDU=2)*(xlRTTYEQCL=$F569)*(xlRTEQTYPE=$G569),0))</f>
        <v>CENT_AIR3</v>
      </c>
    </row>
    <row r="570" spans="2:25" x14ac:dyDescent="0.2">
      <c r="B570" s="126">
        <v>7</v>
      </c>
      <c r="C570" s="126">
        <v>1</v>
      </c>
      <c r="D570" s="126">
        <v>4</v>
      </c>
      <c r="E570" s="126">
        <v>12</v>
      </c>
      <c r="F570" s="126">
        <v>2</v>
      </c>
      <c r="G570" s="126">
        <v>7</v>
      </c>
      <c r="H570" s="159">
        <v>2033</v>
      </c>
      <c r="I570" s="126">
        <v>2050</v>
      </c>
      <c r="J570" s="127">
        <v>1.0867</v>
      </c>
      <c r="K570" s="127">
        <v>1.0682</v>
      </c>
      <c r="L570" s="127">
        <v>0.47589999999999999</v>
      </c>
      <c r="M570" s="127">
        <v>0.73570000000000002</v>
      </c>
      <c r="N570" s="127">
        <v>0.87180000000000002</v>
      </c>
      <c r="O570" s="127">
        <v>1.0538000000000001</v>
      </c>
      <c r="P570" s="126">
        <v>8879</v>
      </c>
      <c r="Q570" s="128">
        <f t="array" ref="Q570">SUM(IF(($S570&gt;=4)*($C570='TaxCred&amp;Subs'!$D$123:$D$127)*($H570='TaxCred&amp;Subs'!$C$123:$C$127)*($H570&lt;='TaxCred&amp;Subs'!$C$129),'TaxCred&amp;Subs'!$E$123:$E$127,0))</f>
        <v>0</v>
      </c>
      <c r="R570" s="174">
        <v>0</v>
      </c>
      <c r="S570" s="126">
        <v>4</v>
      </c>
      <c r="T570" s="126" t="s">
        <v>248</v>
      </c>
      <c r="V570" s="153" t="str">
        <f t="array" ref="V570">INDEX(xlRTCLNAME,MATCH(1,(xlRTCLENDU=1)*(xlRTCLEQCL=$D570),0))</f>
        <v>NG_RAD</v>
      </c>
      <c r="W570" s="153" t="str">
        <f t="array" ref="W570">INDEX(xlRTCLNAME,MATCH(1,(xlRTCLENDU=2)*(xlRTCLEQCL=$F570),0))</f>
        <v>CENT_AIR</v>
      </c>
      <c r="X570" s="153" t="str">
        <f t="array" ref="X570">INDEX(xlRTTYNAME,MATCH(1,(xlRTTYENDU=1)*(xlRTTYEQCL=$D570)*(xlRTEQTYPE=$E570),0))</f>
        <v>NG_RAD3</v>
      </c>
      <c r="Y570" s="153" t="str">
        <f t="array" ref="Y570">INDEX(xlRTTYNAME,MATCH(1,(xlRTTYENDU=2)*(xlRTTYEQCL=$F570)*(xlRTEQTYPE=$G570),0))</f>
        <v>CENT_AIR3</v>
      </c>
    </row>
    <row r="571" spans="2:25" x14ac:dyDescent="0.2">
      <c r="B571" s="126">
        <v>8</v>
      </c>
      <c r="C571" s="126">
        <v>1</v>
      </c>
      <c r="D571" s="126">
        <v>4</v>
      </c>
      <c r="E571" s="126">
        <v>12</v>
      </c>
      <c r="F571" s="126">
        <v>2</v>
      </c>
      <c r="G571" s="126">
        <v>7</v>
      </c>
      <c r="H571" s="126">
        <v>2016</v>
      </c>
      <c r="I571" s="159">
        <v>2022</v>
      </c>
      <c r="J571" s="127">
        <v>1.0820000000000001</v>
      </c>
      <c r="K571" s="127">
        <v>1.0832999999999999</v>
      </c>
      <c r="L571" s="127">
        <v>0.46889999999999998</v>
      </c>
      <c r="M571" s="127">
        <v>0.7802</v>
      </c>
      <c r="N571" s="127">
        <v>0.86439999999999995</v>
      </c>
      <c r="O571" s="127">
        <v>1.0538000000000001</v>
      </c>
      <c r="P571" s="126">
        <v>11704</v>
      </c>
      <c r="Q571" s="128">
        <f t="array" ref="Q571">SUM(IF(($S571&gt;=4)*($C571='TaxCred&amp;Subs'!$D$123:$D$127)*($H571='TaxCred&amp;Subs'!$C$123:$C$127)*($H571&lt;='TaxCred&amp;Subs'!$C$129),'TaxCred&amp;Subs'!$E$123:$E$127,0))</f>
        <v>2000</v>
      </c>
      <c r="R571" s="174">
        <v>0</v>
      </c>
      <c r="S571" s="126">
        <v>4</v>
      </c>
      <c r="T571" s="126" t="s">
        <v>248</v>
      </c>
      <c r="V571" s="153" t="str">
        <f t="array" ref="V571">INDEX(xlRTCLNAME,MATCH(1,(xlRTCLENDU=1)*(xlRTCLEQCL=$D571),0))</f>
        <v>NG_RAD</v>
      </c>
      <c r="W571" s="153" t="str">
        <f t="array" ref="W571">INDEX(xlRTCLNAME,MATCH(1,(xlRTCLENDU=2)*(xlRTCLEQCL=$F571),0))</f>
        <v>CENT_AIR</v>
      </c>
      <c r="X571" s="153" t="str">
        <f t="array" ref="X571">INDEX(xlRTTYNAME,MATCH(1,(xlRTTYENDU=1)*(xlRTTYEQCL=$D571)*(xlRTEQTYPE=$E571),0))</f>
        <v>NG_RAD3</v>
      </c>
      <c r="Y571" s="153" t="str">
        <f t="array" ref="Y571">INDEX(xlRTTYNAME,MATCH(1,(xlRTTYENDU=2)*(xlRTTYEQCL=$F571)*(xlRTEQTYPE=$G571),0))</f>
        <v>CENT_AIR3</v>
      </c>
    </row>
    <row r="572" spans="2:25" x14ac:dyDescent="0.2">
      <c r="B572" s="49">
        <v>8</v>
      </c>
      <c r="C572" s="49">
        <v>1</v>
      </c>
      <c r="D572" s="49">
        <v>4</v>
      </c>
      <c r="E572" s="49">
        <v>12</v>
      </c>
      <c r="F572" s="49">
        <v>2</v>
      </c>
      <c r="G572" s="49">
        <v>7</v>
      </c>
      <c r="H572" s="49">
        <v>2023</v>
      </c>
      <c r="I572" s="49">
        <v>2032</v>
      </c>
      <c r="J572" s="50">
        <v>1.0820000000000001</v>
      </c>
      <c r="K572" s="50">
        <v>1.0832999999999999</v>
      </c>
      <c r="L572" s="50">
        <v>0.46889999999999998</v>
      </c>
      <c r="M572" s="50">
        <v>0.7802</v>
      </c>
      <c r="N572" s="50">
        <v>0.86439999999999995</v>
      </c>
      <c r="O572" s="50">
        <v>1.0538000000000001</v>
      </c>
      <c r="P572" s="49">
        <v>11704</v>
      </c>
      <c r="Q572" s="51">
        <f t="array" ref="Q572">SUM(IF(($S572&gt;=4)*($C572='TaxCred&amp;Subs'!$D$123:$D$127)*($H572='TaxCred&amp;Subs'!$C$123:$C$127)*($H572&lt;='TaxCred&amp;Subs'!$C$129),'TaxCred&amp;Subs'!$E$123:$E$127,0))</f>
        <v>2500</v>
      </c>
      <c r="R572" s="171">
        <v>0</v>
      </c>
      <c r="S572" s="49">
        <v>4</v>
      </c>
      <c r="T572" s="49" t="s">
        <v>248</v>
      </c>
      <c r="V572" s="153" t="str">
        <f t="array" ref="V572">INDEX(xlRTCLNAME,MATCH(1,(xlRTCLENDU=1)*(xlRTCLEQCL=$D572),0))</f>
        <v>NG_RAD</v>
      </c>
      <c r="W572" s="153" t="str">
        <f t="array" ref="W572">INDEX(xlRTCLNAME,MATCH(1,(xlRTCLENDU=2)*(xlRTCLEQCL=$F572),0))</f>
        <v>CENT_AIR</v>
      </c>
      <c r="X572" s="153" t="str">
        <f t="array" ref="X572">INDEX(xlRTTYNAME,MATCH(1,(xlRTTYENDU=1)*(xlRTTYEQCL=$D572)*(xlRTEQTYPE=$E572),0))</f>
        <v>NG_RAD3</v>
      </c>
      <c r="Y572" s="153" t="str">
        <f t="array" ref="Y572">INDEX(xlRTTYNAME,MATCH(1,(xlRTTYENDU=2)*(xlRTTYEQCL=$F572)*(xlRTEQTYPE=$G572),0))</f>
        <v>CENT_AIR3</v>
      </c>
    </row>
    <row r="573" spans="2:25" x14ac:dyDescent="0.2">
      <c r="B573" s="126">
        <v>8</v>
      </c>
      <c r="C573" s="126">
        <v>1</v>
      </c>
      <c r="D573" s="126">
        <v>4</v>
      </c>
      <c r="E573" s="126">
        <v>12</v>
      </c>
      <c r="F573" s="126">
        <v>2</v>
      </c>
      <c r="G573" s="126">
        <v>7</v>
      </c>
      <c r="H573" s="159">
        <v>2033</v>
      </c>
      <c r="I573" s="126">
        <v>2050</v>
      </c>
      <c r="J573" s="127">
        <v>1.0820000000000001</v>
      </c>
      <c r="K573" s="127">
        <v>1.0832999999999999</v>
      </c>
      <c r="L573" s="127">
        <v>0.46889999999999998</v>
      </c>
      <c r="M573" s="127">
        <v>0.7802</v>
      </c>
      <c r="N573" s="127">
        <v>0.86439999999999995</v>
      </c>
      <c r="O573" s="127">
        <v>1.0538000000000001</v>
      </c>
      <c r="P573" s="126">
        <v>11704</v>
      </c>
      <c r="Q573" s="128">
        <f t="array" ref="Q573">SUM(IF(($S573&gt;=4)*($C573='TaxCred&amp;Subs'!$D$123:$D$127)*($H573='TaxCred&amp;Subs'!$C$123:$C$127)*($H573&lt;='TaxCred&amp;Subs'!$C$129),'TaxCred&amp;Subs'!$E$123:$E$127,0))</f>
        <v>0</v>
      </c>
      <c r="R573" s="174">
        <v>0</v>
      </c>
      <c r="S573" s="126">
        <v>4</v>
      </c>
      <c r="T573" s="126" t="s">
        <v>248</v>
      </c>
      <c r="V573" s="153" t="str">
        <f t="array" ref="V573">INDEX(xlRTCLNAME,MATCH(1,(xlRTCLENDU=1)*(xlRTCLEQCL=$D573),0))</f>
        <v>NG_RAD</v>
      </c>
      <c r="W573" s="153" t="str">
        <f t="array" ref="W573">INDEX(xlRTCLNAME,MATCH(1,(xlRTCLENDU=2)*(xlRTCLEQCL=$F573),0))</f>
        <v>CENT_AIR</v>
      </c>
      <c r="X573" s="153" t="str">
        <f t="array" ref="X573">INDEX(xlRTTYNAME,MATCH(1,(xlRTTYENDU=1)*(xlRTTYEQCL=$D573)*(xlRTEQTYPE=$E573),0))</f>
        <v>NG_RAD3</v>
      </c>
      <c r="Y573" s="153" t="str">
        <f t="array" ref="Y573">INDEX(xlRTTYNAME,MATCH(1,(xlRTTYENDU=2)*(xlRTTYEQCL=$F573)*(xlRTEQTYPE=$G573),0))</f>
        <v>CENT_AIR3</v>
      </c>
    </row>
    <row r="574" spans="2:25" x14ac:dyDescent="0.2">
      <c r="B574" s="126">
        <v>9</v>
      </c>
      <c r="C574" s="126">
        <v>1</v>
      </c>
      <c r="D574" s="126">
        <v>4</v>
      </c>
      <c r="E574" s="126">
        <v>12</v>
      </c>
      <c r="F574" s="126">
        <v>2</v>
      </c>
      <c r="G574" s="126">
        <v>7</v>
      </c>
      <c r="H574" s="126">
        <v>2016</v>
      </c>
      <c r="I574" s="159">
        <v>2022</v>
      </c>
      <c r="J574" s="127">
        <v>1.0414000000000001</v>
      </c>
      <c r="K574" s="127">
        <v>1.07</v>
      </c>
      <c r="L574" s="127">
        <v>0.56499999999999995</v>
      </c>
      <c r="M574" s="127">
        <v>0.82869999999999999</v>
      </c>
      <c r="N574" s="127">
        <v>1.026</v>
      </c>
      <c r="O574" s="127">
        <v>1.0538000000000001</v>
      </c>
      <c r="P574" s="126">
        <v>12242</v>
      </c>
      <c r="Q574" s="128">
        <f t="array" ref="Q574">SUM(IF(($S574&gt;=4)*($C574='TaxCred&amp;Subs'!$D$123:$D$127)*($H574='TaxCred&amp;Subs'!$C$123:$C$127)*($H574&lt;='TaxCred&amp;Subs'!$C$129),'TaxCred&amp;Subs'!$E$123:$E$127,0))</f>
        <v>2000</v>
      </c>
      <c r="R574" s="174">
        <v>0</v>
      </c>
      <c r="S574" s="126">
        <v>4</v>
      </c>
      <c r="T574" s="126" t="s">
        <v>248</v>
      </c>
      <c r="V574" s="153" t="str">
        <f t="array" ref="V574">INDEX(xlRTCLNAME,MATCH(1,(xlRTCLENDU=1)*(xlRTCLEQCL=$D574),0))</f>
        <v>NG_RAD</v>
      </c>
      <c r="W574" s="153" t="str">
        <f t="array" ref="W574">INDEX(xlRTCLNAME,MATCH(1,(xlRTCLENDU=2)*(xlRTCLEQCL=$F574),0))</f>
        <v>CENT_AIR</v>
      </c>
      <c r="X574" s="153" t="str">
        <f t="array" ref="X574">INDEX(xlRTTYNAME,MATCH(1,(xlRTTYENDU=1)*(xlRTTYEQCL=$D574)*(xlRTEQTYPE=$E574),0))</f>
        <v>NG_RAD3</v>
      </c>
      <c r="Y574" s="153" t="str">
        <f t="array" ref="Y574">INDEX(xlRTTYNAME,MATCH(1,(xlRTTYENDU=2)*(xlRTTYEQCL=$F574)*(xlRTEQTYPE=$G574),0))</f>
        <v>CENT_AIR3</v>
      </c>
    </row>
    <row r="575" spans="2:25" x14ac:dyDescent="0.2">
      <c r="B575" s="49">
        <v>9</v>
      </c>
      <c r="C575" s="49">
        <v>1</v>
      </c>
      <c r="D575" s="49">
        <v>4</v>
      </c>
      <c r="E575" s="49">
        <v>12</v>
      </c>
      <c r="F575" s="49">
        <v>2</v>
      </c>
      <c r="G575" s="49">
        <v>7</v>
      </c>
      <c r="H575" s="49">
        <v>2023</v>
      </c>
      <c r="I575" s="49">
        <v>2032</v>
      </c>
      <c r="J575" s="50">
        <v>1.0414000000000001</v>
      </c>
      <c r="K575" s="50">
        <v>1.07</v>
      </c>
      <c r="L575" s="50">
        <v>0.56499999999999995</v>
      </c>
      <c r="M575" s="50">
        <v>0.82869999999999999</v>
      </c>
      <c r="N575" s="50">
        <v>1.026</v>
      </c>
      <c r="O575" s="50">
        <v>1.0538000000000001</v>
      </c>
      <c r="P575" s="49">
        <v>12242</v>
      </c>
      <c r="Q575" s="51">
        <f t="array" ref="Q575">SUM(IF(($S575&gt;=4)*($C575='TaxCred&amp;Subs'!$D$123:$D$127)*($H575='TaxCred&amp;Subs'!$C$123:$C$127)*($H575&lt;='TaxCred&amp;Subs'!$C$129),'TaxCred&amp;Subs'!$E$123:$E$127,0))</f>
        <v>2500</v>
      </c>
      <c r="R575" s="171">
        <v>0</v>
      </c>
      <c r="S575" s="49">
        <v>4</v>
      </c>
      <c r="T575" s="49" t="s">
        <v>248</v>
      </c>
      <c r="V575" s="153" t="str">
        <f t="array" ref="V575">INDEX(xlRTCLNAME,MATCH(1,(xlRTCLENDU=1)*(xlRTCLEQCL=$D575),0))</f>
        <v>NG_RAD</v>
      </c>
      <c r="W575" s="153" t="str">
        <f t="array" ref="W575">INDEX(xlRTCLNAME,MATCH(1,(xlRTCLENDU=2)*(xlRTCLEQCL=$F575),0))</f>
        <v>CENT_AIR</v>
      </c>
      <c r="X575" s="153" t="str">
        <f t="array" ref="X575">INDEX(xlRTTYNAME,MATCH(1,(xlRTTYENDU=1)*(xlRTTYEQCL=$D575)*(xlRTEQTYPE=$E575),0))</f>
        <v>NG_RAD3</v>
      </c>
      <c r="Y575" s="153" t="str">
        <f t="array" ref="Y575">INDEX(xlRTTYNAME,MATCH(1,(xlRTTYENDU=2)*(xlRTTYEQCL=$F575)*(xlRTEQTYPE=$G575),0))</f>
        <v>CENT_AIR3</v>
      </c>
    </row>
    <row r="576" spans="2:25" x14ac:dyDescent="0.2">
      <c r="B576" s="126">
        <v>9</v>
      </c>
      <c r="C576" s="126">
        <v>1</v>
      </c>
      <c r="D576" s="126">
        <v>4</v>
      </c>
      <c r="E576" s="126">
        <v>12</v>
      </c>
      <c r="F576" s="126">
        <v>2</v>
      </c>
      <c r="G576" s="126">
        <v>7</v>
      </c>
      <c r="H576" s="159">
        <v>2033</v>
      </c>
      <c r="I576" s="126">
        <v>2050</v>
      </c>
      <c r="J576" s="127">
        <v>1.0414000000000001</v>
      </c>
      <c r="K576" s="127">
        <v>1.07</v>
      </c>
      <c r="L576" s="127">
        <v>0.56499999999999995</v>
      </c>
      <c r="M576" s="127">
        <v>0.82869999999999999</v>
      </c>
      <c r="N576" s="127">
        <v>1.026</v>
      </c>
      <c r="O576" s="127">
        <v>1.0538000000000001</v>
      </c>
      <c r="P576" s="126">
        <v>12242</v>
      </c>
      <c r="Q576" s="128">
        <f t="array" ref="Q576">SUM(IF(($S576&gt;=4)*($C576='TaxCred&amp;Subs'!$D$123:$D$127)*($H576='TaxCred&amp;Subs'!$C$123:$C$127)*($H576&lt;='TaxCred&amp;Subs'!$C$129),'TaxCred&amp;Subs'!$E$123:$E$127,0))</f>
        <v>0</v>
      </c>
      <c r="R576" s="174">
        <v>0</v>
      </c>
      <c r="S576" s="126">
        <v>4</v>
      </c>
      <c r="T576" s="126" t="s">
        <v>248</v>
      </c>
      <c r="V576" s="153" t="str">
        <f t="array" ref="V576">INDEX(xlRTCLNAME,MATCH(1,(xlRTCLENDU=1)*(xlRTCLEQCL=$D576),0))</f>
        <v>NG_RAD</v>
      </c>
      <c r="W576" s="153" t="str">
        <f t="array" ref="W576">INDEX(xlRTCLNAME,MATCH(1,(xlRTCLENDU=2)*(xlRTCLEQCL=$F576),0))</f>
        <v>CENT_AIR</v>
      </c>
      <c r="X576" s="153" t="str">
        <f t="array" ref="X576">INDEX(xlRTTYNAME,MATCH(1,(xlRTTYENDU=1)*(xlRTTYEQCL=$D576)*(xlRTEQTYPE=$E576),0))</f>
        <v>NG_RAD3</v>
      </c>
      <c r="Y576" s="153" t="str">
        <f t="array" ref="Y576">INDEX(xlRTTYNAME,MATCH(1,(xlRTTYENDU=2)*(xlRTTYEQCL=$F576)*(xlRTEQTYPE=$G576),0))</f>
        <v>CENT_AIR3</v>
      </c>
    </row>
    <row r="577" spans="1:25" x14ac:dyDescent="0.2">
      <c r="B577" s="129">
        <v>1</v>
      </c>
      <c r="C577" s="129">
        <v>1</v>
      </c>
      <c r="D577" s="129">
        <v>5</v>
      </c>
      <c r="E577" s="129">
        <v>16</v>
      </c>
      <c r="F577" s="129">
        <v>2</v>
      </c>
      <c r="G577" s="129">
        <v>7</v>
      </c>
      <c r="H577" s="126">
        <v>2016</v>
      </c>
      <c r="I577" s="159">
        <v>2022</v>
      </c>
      <c r="J577" s="130">
        <v>1.0309999999999999</v>
      </c>
      <c r="K577" s="130">
        <v>1.0667</v>
      </c>
      <c r="L577" s="130">
        <v>0.46589999999999998</v>
      </c>
      <c r="M577" s="130">
        <v>0.95850000000000002</v>
      </c>
      <c r="N577" s="130">
        <v>0.79790000000000005</v>
      </c>
      <c r="O577" s="130">
        <v>1.0538000000000001</v>
      </c>
      <c r="P577" s="129">
        <v>13172</v>
      </c>
      <c r="Q577" s="128">
        <f t="array" ref="Q577">SUM(IF(($S577&gt;=4)*($C577='TaxCred&amp;Subs'!$D$123:$D$127)*($H577='TaxCred&amp;Subs'!$C$123:$C$127)*($H577&lt;='TaxCred&amp;Subs'!$C$129),'TaxCred&amp;Subs'!$E$123:$E$127,0))</f>
        <v>2000</v>
      </c>
      <c r="R577" s="174">
        <v>0</v>
      </c>
      <c r="S577" s="129">
        <v>4</v>
      </c>
      <c r="T577" s="129" t="s">
        <v>248</v>
      </c>
      <c r="U577" s="155" t="s">
        <v>235</v>
      </c>
      <c r="V577" s="153" t="str">
        <f t="array" ref="V577">INDEX(xlRTCLNAME,MATCH(1,(xlRTCLENDU=1)*(xlRTCLEQCL=$D577),0))</f>
        <v>KERO_FA</v>
      </c>
      <c r="W577" s="153" t="str">
        <f t="array" ref="W577">INDEX(xlRTCLNAME,MATCH(1,(xlRTCLENDU=2)*(xlRTCLEQCL=$F577),0))</f>
        <v>CENT_AIR</v>
      </c>
      <c r="X577" s="153" t="str">
        <f t="array" ref="X577">INDEX(xlRTTYNAME,MATCH(1,(xlRTTYENDU=1)*(xlRTTYEQCL=$D577)*(xlRTEQTYPE=$E577),0))</f>
        <v>KERO_FA3</v>
      </c>
      <c r="Y577" s="153" t="str">
        <f t="array" ref="Y577">INDEX(xlRTTYNAME,MATCH(1,(xlRTTYENDU=2)*(xlRTTYEQCL=$F577)*(xlRTEQTYPE=$G577),0))</f>
        <v>CENT_AIR3</v>
      </c>
    </row>
    <row r="578" spans="1:25" x14ac:dyDescent="0.2">
      <c r="B578" s="131">
        <v>1</v>
      </c>
      <c r="C578" s="131">
        <v>1</v>
      </c>
      <c r="D578" s="131">
        <v>5</v>
      </c>
      <c r="E578" s="131">
        <v>16</v>
      </c>
      <c r="F578" s="131">
        <v>2</v>
      </c>
      <c r="G578" s="131">
        <v>7</v>
      </c>
      <c r="H578" s="49">
        <v>2023</v>
      </c>
      <c r="I578" s="49">
        <v>2032</v>
      </c>
      <c r="J578" s="132">
        <v>1.0309999999999999</v>
      </c>
      <c r="K578" s="132">
        <v>1.0667</v>
      </c>
      <c r="L578" s="132">
        <v>0.46589999999999998</v>
      </c>
      <c r="M578" s="132">
        <v>0.95850000000000002</v>
      </c>
      <c r="N578" s="132">
        <v>0.79790000000000005</v>
      </c>
      <c r="O578" s="132">
        <v>1.0538000000000001</v>
      </c>
      <c r="P578" s="131">
        <v>13172</v>
      </c>
      <c r="Q578" s="51">
        <f t="array" ref="Q578">SUM(IF(($S578&gt;=4)*($C578='TaxCred&amp;Subs'!$D$123:$D$127)*($H578='TaxCred&amp;Subs'!$C$123:$C$127)*($H578&lt;='TaxCred&amp;Subs'!$C$129),'TaxCred&amp;Subs'!$E$123:$E$127,0))</f>
        <v>2500</v>
      </c>
      <c r="R578" s="171">
        <v>0</v>
      </c>
      <c r="S578" s="131">
        <v>4</v>
      </c>
      <c r="T578" s="131" t="s">
        <v>248</v>
      </c>
      <c r="U578" s="155" t="s">
        <v>235</v>
      </c>
      <c r="V578" s="153" t="str">
        <f t="array" ref="V578">INDEX(xlRTCLNAME,MATCH(1,(xlRTCLENDU=1)*(xlRTCLEQCL=$D578),0))</f>
        <v>KERO_FA</v>
      </c>
      <c r="W578" s="153" t="str">
        <f t="array" ref="W578">INDEX(xlRTCLNAME,MATCH(1,(xlRTCLENDU=2)*(xlRTCLEQCL=$F578),0))</f>
        <v>CENT_AIR</v>
      </c>
      <c r="X578" s="153" t="str">
        <f t="array" ref="X578">INDEX(xlRTTYNAME,MATCH(1,(xlRTTYENDU=1)*(xlRTTYEQCL=$D578)*(xlRTEQTYPE=$E578),0))</f>
        <v>KERO_FA3</v>
      </c>
      <c r="Y578" s="153" t="str">
        <f t="array" ref="Y578">INDEX(xlRTTYNAME,MATCH(1,(xlRTTYENDU=2)*(xlRTTYEQCL=$F578)*(xlRTEQTYPE=$G578),0))</f>
        <v>CENT_AIR3</v>
      </c>
    </row>
    <row r="579" spans="1:25" x14ac:dyDescent="0.2">
      <c r="B579" s="129">
        <v>1</v>
      </c>
      <c r="C579" s="129">
        <v>1</v>
      </c>
      <c r="D579" s="129">
        <v>5</v>
      </c>
      <c r="E579" s="129">
        <v>16</v>
      </c>
      <c r="F579" s="129">
        <v>2</v>
      </c>
      <c r="G579" s="129">
        <v>7</v>
      </c>
      <c r="H579" s="159">
        <v>2033</v>
      </c>
      <c r="I579" s="126">
        <v>2050</v>
      </c>
      <c r="J579" s="130">
        <v>1.0309999999999999</v>
      </c>
      <c r="K579" s="130">
        <v>1.0667</v>
      </c>
      <c r="L579" s="130">
        <v>0.46589999999999998</v>
      </c>
      <c r="M579" s="130">
        <v>0.95850000000000002</v>
      </c>
      <c r="N579" s="130">
        <v>0.79790000000000005</v>
      </c>
      <c r="O579" s="130">
        <v>1.0538000000000001</v>
      </c>
      <c r="P579" s="129">
        <v>13172</v>
      </c>
      <c r="Q579" s="128">
        <f t="array" ref="Q579">SUM(IF(($S579&gt;=4)*($C579='TaxCred&amp;Subs'!$D$123:$D$127)*($H579='TaxCred&amp;Subs'!$C$123:$C$127)*($H579&lt;='TaxCred&amp;Subs'!$C$129),'TaxCred&amp;Subs'!$E$123:$E$127,0))</f>
        <v>0</v>
      </c>
      <c r="R579" s="174">
        <v>0</v>
      </c>
      <c r="S579" s="129">
        <v>4</v>
      </c>
      <c r="T579" s="129" t="s">
        <v>248</v>
      </c>
      <c r="U579" s="155" t="s">
        <v>235</v>
      </c>
      <c r="V579" s="153" t="str">
        <f t="array" ref="V579">INDEX(xlRTCLNAME,MATCH(1,(xlRTCLENDU=1)*(xlRTCLEQCL=$D579),0))</f>
        <v>KERO_FA</v>
      </c>
      <c r="W579" s="153" t="str">
        <f t="array" ref="W579">INDEX(xlRTCLNAME,MATCH(1,(xlRTCLENDU=2)*(xlRTCLEQCL=$F579),0))</f>
        <v>CENT_AIR</v>
      </c>
      <c r="X579" s="153" t="str">
        <f t="array" ref="X579">INDEX(xlRTTYNAME,MATCH(1,(xlRTTYENDU=1)*(xlRTTYEQCL=$D579)*(xlRTEQTYPE=$E579),0))</f>
        <v>KERO_FA3</v>
      </c>
      <c r="Y579" s="153" t="str">
        <f t="array" ref="Y579">INDEX(xlRTTYNAME,MATCH(1,(xlRTTYENDU=2)*(xlRTTYEQCL=$F579)*(xlRTEQTYPE=$G579),0))</f>
        <v>CENT_AIR3</v>
      </c>
    </row>
    <row r="580" spans="1:25" x14ac:dyDescent="0.2">
      <c r="B580" s="129">
        <v>2</v>
      </c>
      <c r="C580" s="129">
        <v>1</v>
      </c>
      <c r="D580" s="129">
        <v>5</v>
      </c>
      <c r="E580" s="129">
        <v>16</v>
      </c>
      <c r="F580" s="129">
        <v>2</v>
      </c>
      <c r="G580" s="129">
        <v>7</v>
      </c>
      <c r="H580" s="126">
        <v>2016</v>
      </c>
      <c r="I580" s="159">
        <v>2022</v>
      </c>
      <c r="J580" s="130">
        <v>1.0772999999999999</v>
      </c>
      <c r="K580" s="130">
        <v>1.0758000000000001</v>
      </c>
      <c r="L580" s="130">
        <v>0.51419999999999999</v>
      </c>
      <c r="M580" s="130">
        <v>0.83919999999999995</v>
      </c>
      <c r="N580" s="130">
        <v>0.93169999999999997</v>
      </c>
      <c r="O580" s="130">
        <v>1.0538000000000001</v>
      </c>
      <c r="P580" s="129">
        <v>13964</v>
      </c>
      <c r="Q580" s="128">
        <f t="array" ref="Q580">SUM(IF(($S580&gt;=4)*($C580='TaxCred&amp;Subs'!$D$123:$D$127)*($H580='TaxCred&amp;Subs'!$C$123:$C$127)*($H580&lt;='TaxCred&amp;Subs'!$C$129),'TaxCred&amp;Subs'!$E$123:$E$127,0))</f>
        <v>2000</v>
      </c>
      <c r="R580" s="174">
        <v>0</v>
      </c>
      <c r="S580" s="129">
        <v>4</v>
      </c>
      <c r="T580" s="129" t="s">
        <v>248</v>
      </c>
      <c r="U580" s="155" t="s">
        <v>235</v>
      </c>
      <c r="V580" s="153" t="str">
        <f t="array" ref="V580">INDEX(xlRTCLNAME,MATCH(1,(xlRTCLENDU=1)*(xlRTCLEQCL=$D580),0))</f>
        <v>KERO_FA</v>
      </c>
      <c r="W580" s="153" t="str">
        <f t="array" ref="W580">INDEX(xlRTCLNAME,MATCH(1,(xlRTCLENDU=2)*(xlRTCLEQCL=$F580),0))</f>
        <v>CENT_AIR</v>
      </c>
      <c r="X580" s="153" t="str">
        <f t="array" ref="X580">INDEX(xlRTTYNAME,MATCH(1,(xlRTTYENDU=1)*(xlRTTYEQCL=$D580)*(xlRTEQTYPE=$E580),0))</f>
        <v>KERO_FA3</v>
      </c>
      <c r="Y580" s="153" t="str">
        <f t="array" ref="Y580">INDEX(xlRTTYNAME,MATCH(1,(xlRTTYENDU=2)*(xlRTTYEQCL=$F580)*(xlRTEQTYPE=$G580),0))</f>
        <v>CENT_AIR3</v>
      </c>
    </row>
    <row r="581" spans="1:25" x14ac:dyDescent="0.2">
      <c r="B581" s="131">
        <v>2</v>
      </c>
      <c r="C581" s="131">
        <v>1</v>
      </c>
      <c r="D581" s="131">
        <v>5</v>
      </c>
      <c r="E581" s="131">
        <v>16</v>
      </c>
      <c r="F581" s="131">
        <v>2</v>
      </c>
      <c r="G581" s="131">
        <v>7</v>
      </c>
      <c r="H581" s="49">
        <v>2023</v>
      </c>
      <c r="I581" s="49">
        <v>2032</v>
      </c>
      <c r="J581" s="132">
        <v>1.0772999999999999</v>
      </c>
      <c r="K581" s="132">
        <v>1.0758000000000001</v>
      </c>
      <c r="L581" s="132">
        <v>0.51419999999999999</v>
      </c>
      <c r="M581" s="132">
        <v>0.83919999999999995</v>
      </c>
      <c r="N581" s="132">
        <v>0.93169999999999997</v>
      </c>
      <c r="O581" s="132">
        <v>1.0538000000000001</v>
      </c>
      <c r="P581" s="131">
        <v>13964</v>
      </c>
      <c r="Q581" s="51">
        <f t="array" ref="Q581">SUM(IF(($S581&gt;=4)*($C581='TaxCred&amp;Subs'!$D$123:$D$127)*($H581='TaxCred&amp;Subs'!$C$123:$C$127)*($H581&lt;='TaxCred&amp;Subs'!$C$129),'TaxCred&amp;Subs'!$E$123:$E$127,0))</f>
        <v>2500</v>
      </c>
      <c r="R581" s="171">
        <v>0</v>
      </c>
      <c r="S581" s="131">
        <v>4</v>
      </c>
      <c r="T581" s="131" t="s">
        <v>248</v>
      </c>
      <c r="U581" s="155" t="s">
        <v>235</v>
      </c>
      <c r="V581" s="153" t="str">
        <f t="array" ref="V581">INDEX(xlRTCLNAME,MATCH(1,(xlRTCLENDU=1)*(xlRTCLEQCL=$D581),0))</f>
        <v>KERO_FA</v>
      </c>
      <c r="W581" s="153" t="str">
        <f t="array" ref="W581">INDEX(xlRTCLNAME,MATCH(1,(xlRTCLENDU=2)*(xlRTCLEQCL=$F581),0))</f>
        <v>CENT_AIR</v>
      </c>
      <c r="X581" s="153" t="str">
        <f t="array" ref="X581">INDEX(xlRTTYNAME,MATCH(1,(xlRTTYENDU=1)*(xlRTTYEQCL=$D581)*(xlRTEQTYPE=$E581),0))</f>
        <v>KERO_FA3</v>
      </c>
      <c r="Y581" s="153" t="str">
        <f t="array" ref="Y581">INDEX(xlRTTYNAME,MATCH(1,(xlRTTYENDU=2)*(xlRTTYEQCL=$F581)*(xlRTEQTYPE=$G581),0))</f>
        <v>CENT_AIR3</v>
      </c>
    </row>
    <row r="582" spans="1:25" x14ac:dyDescent="0.2">
      <c r="B582" s="129">
        <v>2</v>
      </c>
      <c r="C582" s="129">
        <v>1</v>
      </c>
      <c r="D582" s="129">
        <v>5</v>
      </c>
      <c r="E582" s="129">
        <v>16</v>
      </c>
      <c r="F582" s="129">
        <v>2</v>
      </c>
      <c r="G582" s="129">
        <v>7</v>
      </c>
      <c r="H582" s="159">
        <v>2033</v>
      </c>
      <c r="I582" s="126">
        <v>2050</v>
      </c>
      <c r="J582" s="130">
        <v>1.0772999999999999</v>
      </c>
      <c r="K582" s="130">
        <v>1.0758000000000001</v>
      </c>
      <c r="L582" s="130">
        <v>0.51419999999999999</v>
      </c>
      <c r="M582" s="130">
        <v>0.83919999999999995</v>
      </c>
      <c r="N582" s="130">
        <v>0.93169999999999997</v>
      </c>
      <c r="O582" s="130">
        <v>1.0538000000000001</v>
      </c>
      <c r="P582" s="129">
        <v>13964</v>
      </c>
      <c r="Q582" s="128">
        <f t="array" ref="Q582">SUM(IF(($S582&gt;=4)*($C582='TaxCred&amp;Subs'!$D$123:$D$127)*($H582='TaxCred&amp;Subs'!$C$123:$C$127)*($H582&lt;='TaxCred&amp;Subs'!$C$129),'TaxCred&amp;Subs'!$E$123:$E$127,0))</f>
        <v>0</v>
      </c>
      <c r="R582" s="174">
        <v>0</v>
      </c>
      <c r="S582" s="129">
        <v>4</v>
      </c>
      <c r="T582" s="129" t="s">
        <v>248</v>
      </c>
      <c r="U582" s="155" t="s">
        <v>235</v>
      </c>
      <c r="V582" s="153" t="str">
        <f t="array" ref="V582">INDEX(xlRTCLNAME,MATCH(1,(xlRTCLENDU=1)*(xlRTCLEQCL=$D582),0))</f>
        <v>KERO_FA</v>
      </c>
      <c r="W582" s="153" t="str">
        <f t="array" ref="W582">INDEX(xlRTCLNAME,MATCH(1,(xlRTCLENDU=2)*(xlRTCLEQCL=$F582),0))</f>
        <v>CENT_AIR</v>
      </c>
      <c r="X582" s="153" t="str">
        <f t="array" ref="X582">INDEX(xlRTTYNAME,MATCH(1,(xlRTTYENDU=1)*(xlRTTYEQCL=$D582)*(xlRTEQTYPE=$E582),0))</f>
        <v>KERO_FA3</v>
      </c>
      <c r="Y582" s="153" t="str">
        <f t="array" ref="Y582">INDEX(xlRTTYNAME,MATCH(1,(xlRTTYENDU=2)*(xlRTTYEQCL=$F582)*(xlRTEQTYPE=$G582),0))</f>
        <v>CENT_AIR3</v>
      </c>
    </row>
    <row r="583" spans="1:25" x14ac:dyDescent="0.2">
      <c r="B583" s="129">
        <v>3</v>
      </c>
      <c r="C583" s="129">
        <v>1</v>
      </c>
      <c r="D583" s="129">
        <v>5</v>
      </c>
      <c r="E583" s="129">
        <v>16</v>
      </c>
      <c r="F583" s="129">
        <v>2</v>
      </c>
      <c r="G583" s="129">
        <v>7</v>
      </c>
      <c r="H583" s="126">
        <v>2016</v>
      </c>
      <c r="I583" s="159">
        <v>2022</v>
      </c>
      <c r="J583" s="130">
        <v>1.0842000000000001</v>
      </c>
      <c r="K583" s="130">
        <v>1.0577000000000001</v>
      </c>
      <c r="L583" s="130">
        <v>0.4531</v>
      </c>
      <c r="M583" s="130">
        <v>0.90190000000000003</v>
      </c>
      <c r="N583" s="130">
        <v>0.91220000000000001</v>
      </c>
      <c r="O583" s="130">
        <v>1.0538000000000001</v>
      </c>
      <c r="P583" s="129">
        <v>12841</v>
      </c>
      <c r="Q583" s="128">
        <f t="array" ref="Q583">SUM(IF(($S583&gt;=4)*($C583='TaxCred&amp;Subs'!$D$123:$D$127)*($H583='TaxCred&amp;Subs'!$C$123:$C$127)*($H583&lt;='TaxCred&amp;Subs'!$C$129),'TaxCred&amp;Subs'!$E$123:$E$127,0))</f>
        <v>2000</v>
      </c>
      <c r="R583" s="174">
        <v>0</v>
      </c>
      <c r="S583" s="129">
        <v>4</v>
      </c>
      <c r="T583" s="129" t="s">
        <v>248</v>
      </c>
      <c r="U583" s="155" t="s">
        <v>235</v>
      </c>
      <c r="V583" s="153" t="str">
        <f t="array" ref="V583">INDEX(xlRTCLNAME,MATCH(1,(xlRTCLENDU=1)*(xlRTCLEQCL=$D583),0))</f>
        <v>KERO_FA</v>
      </c>
      <c r="W583" s="153" t="str">
        <f t="array" ref="W583">INDEX(xlRTCLNAME,MATCH(1,(xlRTCLENDU=2)*(xlRTCLEQCL=$F583),0))</f>
        <v>CENT_AIR</v>
      </c>
      <c r="X583" s="153" t="str">
        <f t="array" ref="X583">INDEX(xlRTTYNAME,MATCH(1,(xlRTTYENDU=1)*(xlRTTYEQCL=$D583)*(xlRTEQTYPE=$E583),0))</f>
        <v>KERO_FA3</v>
      </c>
      <c r="Y583" s="153" t="str">
        <f t="array" ref="Y583">INDEX(xlRTTYNAME,MATCH(1,(xlRTTYENDU=2)*(xlRTTYEQCL=$F583)*(xlRTEQTYPE=$G583),0))</f>
        <v>CENT_AIR3</v>
      </c>
    </row>
    <row r="584" spans="1:25" x14ac:dyDescent="0.2">
      <c r="B584" s="131">
        <v>3</v>
      </c>
      <c r="C584" s="131">
        <v>1</v>
      </c>
      <c r="D584" s="131">
        <v>5</v>
      </c>
      <c r="E584" s="131">
        <v>16</v>
      </c>
      <c r="F584" s="131">
        <v>2</v>
      </c>
      <c r="G584" s="131">
        <v>7</v>
      </c>
      <c r="H584" s="49">
        <v>2023</v>
      </c>
      <c r="I584" s="49">
        <v>2032</v>
      </c>
      <c r="J584" s="132">
        <v>1.0842000000000001</v>
      </c>
      <c r="K584" s="132">
        <v>1.0577000000000001</v>
      </c>
      <c r="L584" s="132">
        <v>0.4531</v>
      </c>
      <c r="M584" s="132">
        <v>0.90190000000000003</v>
      </c>
      <c r="N584" s="132">
        <v>0.91220000000000001</v>
      </c>
      <c r="O584" s="132">
        <v>1.0538000000000001</v>
      </c>
      <c r="P584" s="131">
        <v>12841</v>
      </c>
      <c r="Q584" s="51">
        <f t="array" ref="Q584">SUM(IF(($S584&gt;=4)*($C584='TaxCred&amp;Subs'!$D$123:$D$127)*($H584='TaxCred&amp;Subs'!$C$123:$C$127)*($H584&lt;='TaxCred&amp;Subs'!$C$129),'TaxCred&amp;Subs'!$E$123:$E$127,0))</f>
        <v>2500</v>
      </c>
      <c r="R584" s="171">
        <v>0</v>
      </c>
      <c r="S584" s="131">
        <v>4</v>
      </c>
      <c r="T584" s="131" t="s">
        <v>248</v>
      </c>
      <c r="U584" s="155" t="s">
        <v>235</v>
      </c>
      <c r="V584" s="153" t="str">
        <f t="array" ref="V584">INDEX(xlRTCLNAME,MATCH(1,(xlRTCLENDU=1)*(xlRTCLEQCL=$D584),0))</f>
        <v>KERO_FA</v>
      </c>
      <c r="W584" s="153" t="str">
        <f t="array" ref="W584">INDEX(xlRTCLNAME,MATCH(1,(xlRTCLENDU=2)*(xlRTCLEQCL=$F584),0))</f>
        <v>CENT_AIR</v>
      </c>
      <c r="X584" s="153" t="str">
        <f t="array" ref="X584">INDEX(xlRTTYNAME,MATCH(1,(xlRTTYENDU=1)*(xlRTTYEQCL=$D584)*(xlRTEQTYPE=$E584),0))</f>
        <v>KERO_FA3</v>
      </c>
      <c r="Y584" s="153" t="str">
        <f t="array" ref="Y584">INDEX(xlRTTYNAME,MATCH(1,(xlRTTYENDU=2)*(xlRTTYEQCL=$F584)*(xlRTEQTYPE=$G584),0))</f>
        <v>CENT_AIR3</v>
      </c>
    </row>
    <row r="585" spans="1:25" s="157" customFormat="1" x14ac:dyDescent="0.2">
      <c r="A585"/>
      <c r="B585" s="129">
        <v>3</v>
      </c>
      <c r="C585" s="129">
        <v>1</v>
      </c>
      <c r="D585" s="129">
        <v>5</v>
      </c>
      <c r="E585" s="129">
        <v>16</v>
      </c>
      <c r="F585" s="129">
        <v>2</v>
      </c>
      <c r="G585" s="129">
        <v>7</v>
      </c>
      <c r="H585" s="159">
        <v>2033</v>
      </c>
      <c r="I585" s="126">
        <v>2050</v>
      </c>
      <c r="J585" s="130">
        <v>1.0842000000000001</v>
      </c>
      <c r="K585" s="130">
        <v>1.0577000000000001</v>
      </c>
      <c r="L585" s="130">
        <v>0.4531</v>
      </c>
      <c r="M585" s="130">
        <v>0.90190000000000003</v>
      </c>
      <c r="N585" s="130">
        <v>0.91220000000000001</v>
      </c>
      <c r="O585" s="130">
        <v>1.0538000000000001</v>
      </c>
      <c r="P585" s="129">
        <v>12841</v>
      </c>
      <c r="Q585" s="128">
        <f t="array" ref="Q585">SUM(IF(($S585&gt;=4)*($C585='TaxCred&amp;Subs'!$D$123:$D$127)*($H585='TaxCred&amp;Subs'!$C$123:$C$127)*($H585&lt;='TaxCred&amp;Subs'!$C$129),'TaxCred&amp;Subs'!$E$123:$E$127,0))</f>
        <v>0</v>
      </c>
      <c r="R585" s="174">
        <v>0</v>
      </c>
      <c r="S585" s="129">
        <v>4</v>
      </c>
      <c r="T585" s="129" t="s">
        <v>248</v>
      </c>
      <c r="U585" s="155" t="s">
        <v>235</v>
      </c>
      <c r="V585" s="153" t="str">
        <f t="array" ref="V585">INDEX(xlRTCLNAME,MATCH(1,(xlRTCLENDU=1)*(xlRTCLEQCL=$D585),0))</f>
        <v>KERO_FA</v>
      </c>
      <c r="W585" s="153" t="str">
        <f t="array" ref="W585">INDEX(xlRTCLNAME,MATCH(1,(xlRTCLENDU=2)*(xlRTCLEQCL=$F585),0))</f>
        <v>CENT_AIR</v>
      </c>
      <c r="X585" s="153" t="str">
        <f t="array" ref="X585">INDEX(xlRTTYNAME,MATCH(1,(xlRTTYENDU=1)*(xlRTTYEQCL=$D585)*(xlRTEQTYPE=$E585),0))</f>
        <v>KERO_FA3</v>
      </c>
      <c r="Y585" s="153" t="str">
        <f t="array" ref="Y585">INDEX(xlRTTYNAME,MATCH(1,(xlRTTYENDU=2)*(xlRTTYEQCL=$F585)*(xlRTEQTYPE=$G585),0))</f>
        <v>CENT_AIR3</v>
      </c>
    </row>
    <row r="586" spans="1:25" s="157" customFormat="1" x14ac:dyDescent="0.2">
      <c r="A586"/>
      <c r="B586" s="129">
        <v>4</v>
      </c>
      <c r="C586" s="129">
        <v>1</v>
      </c>
      <c r="D586" s="129">
        <v>5</v>
      </c>
      <c r="E586" s="129">
        <v>16</v>
      </c>
      <c r="F586" s="129">
        <v>2</v>
      </c>
      <c r="G586" s="129">
        <v>7</v>
      </c>
      <c r="H586" s="126">
        <v>2016</v>
      </c>
      <c r="I586" s="159">
        <v>2022</v>
      </c>
      <c r="J586" s="130">
        <v>1.0342</v>
      </c>
      <c r="K586" s="130">
        <v>1.0769</v>
      </c>
      <c r="L586" s="130">
        <v>0.45760000000000001</v>
      </c>
      <c r="M586" s="130">
        <v>0.85729999999999995</v>
      </c>
      <c r="N586" s="130">
        <v>0.85760000000000003</v>
      </c>
      <c r="O586" s="130">
        <v>1.0538000000000001</v>
      </c>
      <c r="P586" s="129">
        <v>10457</v>
      </c>
      <c r="Q586" s="128">
        <f t="array" ref="Q586">SUM(IF(($S586&gt;=4)*($C586='TaxCred&amp;Subs'!$D$123:$D$127)*($H586='TaxCred&amp;Subs'!$C$123:$C$127)*($H586&lt;='TaxCred&amp;Subs'!$C$129),'TaxCred&amp;Subs'!$E$123:$E$127,0))</f>
        <v>2000</v>
      </c>
      <c r="R586" s="174">
        <v>0</v>
      </c>
      <c r="S586" s="129">
        <v>4</v>
      </c>
      <c r="T586" s="129" t="s">
        <v>248</v>
      </c>
      <c r="U586" s="155" t="s">
        <v>235</v>
      </c>
      <c r="V586" s="153" t="str">
        <f t="array" ref="V586">INDEX(xlRTCLNAME,MATCH(1,(xlRTCLENDU=1)*(xlRTCLEQCL=$D586),0))</f>
        <v>KERO_FA</v>
      </c>
      <c r="W586" s="153" t="str">
        <f t="array" ref="W586">INDEX(xlRTCLNAME,MATCH(1,(xlRTCLENDU=2)*(xlRTCLEQCL=$F586),0))</f>
        <v>CENT_AIR</v>
      </c>
      <c r="X586" s="153" t="str">
        <f t="array" ref="X586">INDEX(xlRTTYNAME,MATCH(1,(xlRTTYENDU=1)*(xlRTTYEQCL=$D586)*(xlRTEQTYPE=$E586),0))</f>
        <v>KERO_FA3</v>
      </c>
      <c r="Y586" s="153" t="str">
        <f t="array" ref="Y586">INDEX(xlRTTYNAME,MATCH(1,(xlRTTYENDU=2)*(xlRTTYEQCL=$F586)*(xlRTEQTYPE=$G586),0))</f>
        <v>CENT_AIR3</v>
      </c>
    </row>
    <row r="587" spans="1:25" x14ac:dyDescent="0.2">
      <c r="B587" s="131">
        <v>4</v>
      </c>
      <c r="C587" s="131">
        <v>1</v>
      </c>
      <c r="D587" s="131">
        <v>5</v>
      </c>
      <c r="E587" s="131">
        <v>16</v>
      </c>
      <c r="F587" s="131">
        <v>2</v>
      </c>
      <c r="G587" s="131">
        <v>7</v>
      </c>
      <c r="H587" s="49">
        <v>2023</v>
      </c>
      <c r="I587" s="49">
        <v>2032</v>
      </c>
      <c r="J587" s="132">
        <v>1.0342</v>
      </c>
      <c r="K587" s="132">
        <v>1.0769</v>
      </c>
      <c r="L587" s="132">
        <v>0.45760000000000001</v>
      </c>
      <c r="M587" s="132">
        <v>0.85729999999999995</v>
      </c>
      <c r="N587" s="132">
        <v>0.85760000000000003</v>
      </c>
      <c r="O587" s="132">
        <v>1.0538000000000001</v>
      </c>
      <c r="P587" s="131">
        <v>10457</v>
      </c>
      <c r="Q587" s="51">
        <f t="array" ref="Q587">SUM(IF(($S587&gt;=4)*($C587='TaxCred&amp;Subs'!$D$123:$D$127)*($H587='TaxCred&amp;Subs'!$C$123:$C$127)*($H587&lt;='TaxCred&amp;Subs'!$C$129),'TaxCred&amp;Subs'!$E$123:$E$127,0))</f>
        <v>2500</v>
      </c>
      <c r="R587" s="171">
        <v>0</v>
      </c>
      <c r="S587" s="131">
        <v>4</v>
      </c>
      <c r="T587" s="131" t="s">
        <v>248</v>
      </c>
      <c r="U587" s="155" t="s">
        <v>235</v>
      </c>
      <c r="V587" s="153" t="str">
        <f t="array" ref="V587">INDEX(xlRTCLNAME,MATCH(1,(xlRTCLENDU=1)*(xlRTCLEQCL=$D587),0))</f>
        <v>KERO_FA</v>
      </c>
      <c r="W587" s="153" t="str">
        <f t="array" ref="W587">INDEX(xlRTCLNAME,MATCH(1,(xlRTCLENDU=2)*(xlRTCLEQCL=$F587),0))</f>
        <v>CENT_AIR</v>
      </c>
      <c r="X587" s="153" t="str">
        <f t="array" ref="X587">INDEX(xlRTTYNAME,MATCH(1,(xlRTTYENDU=1)*(xlRTTYEQCL=$D587)*(xlRTEQTYPE=$E587),0))</f>
        <v>KERO_FA3</v>
      </c>
      <c r="Y587" s="153" t="str">
        <f t="array" ref="Y587">INDEX(xlRTTYNAME,MATCH(1,(xlRTTYENDU=2)*(xlRTTYEQCL=$F587)*(xlRTEQTYPE=$G587),0))</f>
        <v>CENT_AIR3</v>
      </c>
    </row>
    <row r="588" spans="1:25" x14ac:dyDescent="0.2">
      <c r="B588" s="129">
        <v>4</v>
      </c>
      <c r="C588" s="129">
        <v>1</v>
      </c>
      <c r="D588" s="129">
        <v>5</v>
      </c>
      <c r="E588" s="129">
        <v>16</v>
      </c>
      <c r="F588" s="129">
        <v>2</v>
      </c>
      <c r="G588" s="129">
        <v>7</v>
      </c>
      <c r="H588" s="159">
        <v>2033</v>
      </c>
      <c r="I588" s="126">
        <v>2050</v>
      </c>
      <c r="J588" s="130">
        <v>1.0342</v>
      </c>
      <c r="K588" s="130">
        <v>1.0769</v>
      </c>
      <c r="L588" s="130">
        <v>0.45760000000000001</v>
      </c>
      <c r="M588" s="130">
        <v>0.85729999999999995</v>
      </c>
      <c r="N588" s="130">
        <v>0.85760000000000003</v>
      </c>
      <c r="O588" s="130">
        <v>1.0538000000000001</v>
      </c>
      <c r="P588" s="129">
        <v>10457</v>
      </c>
      <c r="Q588" s="128">
        <f t="array" ref="Q588">SUM(IF(($S588&gt;=4)*($C588='TaxCred&amp;Subs'!$D$123:$D$127)*($H588='TaxCred&amp;Subs'!$C$123:$C$127)*($H588&lt;='TaxCred&amp;Subs'!$C$129),'TaxCred&amp;Subs'!$E$123:$E$127,0))</f>
        <v>0</v>
      </c>
      <c r="R588" s="174">
        <v>0</v>
      </c>
      <c r="S588" s="129">
        <v>4</v>
      </c>
      <c r="T588" s="129" t="s">
        <v>248</v>
      </c>
      <c r="U588" s="155" t="s">
        <v>235</v>
      </c>
      <c r="V588" s="153" t="str">
        <f t="array" ref="V588">INDEX(xlRTCLNAME,MATCH(1,(xlRTCLENDU=1)*(xlRTCLEQCL=$D588),0))</f>
        <v>KERO_FA</v>
      </c>
      <c r="W588" s="153" t="str">
        <f t="array" ref="W588">INDEX(xlRTCLNAME,MATCH(1,(xlRTCLENDU=2)*(xlRTCLEQCL=$F588),0))</f>
        <v>CENT_AIR</v>
      </c>
      <c r="X588" s="153" t="str">
        <f t="array" ref="X588">INDEX(xlRTTYNAME,MATCH(1,(xlRTTYENDU=1)*(xlRTTYEQCL=$D588)*(xlRTEQTYPE=$E588),0))</f>
        <v>KERO_FA3</v>
      </c>
      <c r="Y588" s="153" t="str">
        <f t="array" ref="Y588">INDEX(xlRTTYNAME,MATCH(1,(xlRTTYENDU=2)*(xlRTTYEQCL=$F588)*(xlRTEQTYPE=$G588),0))</f>
        <v>CENT_AIR3</v>
      </c>
    </row>
    <row r="589" spans="1:25" x14ac:dyDescent="0.2">
      <c r="B589" s="129">
        <v>5</v>
      </c>
      <c r="C589" s="129">
        <v>1</v>
      </c>
      <c r="D589" s="129">
        <v>5</v>
      </c>
      <c r="E589" s="129">
        <v>16</v>
      </c>
      <c r="F589" s="129">
        <v>2</v>
      </c>
      <c r="G589" s="129">
        <v>7</v>
      </c>
      <c r="H589" s="126">
        <v>2016</v>
      </c>
      <c r="I589" s="159">
        <v>2022</v>
      </c>
      <c r="J589" s="130">
        <v>1.0847</v>
      </c>
      <c r="K589" s="130">
        <v>1.056</v>
      </c>
      <c r="L589" s="130">
        <v>0.43070000000000003</v>
      </c>
      <c r="M589" s="130">
        <v>0.79220000000000002</v>
      </c>
      <c r="N589" s="130">
        <v>0.76280000000000003</v>
      </c>
      <c r="O589" s="130">
        <v>1.0538000000000001</v>
      </c>
      <c r="P589" s="129">
        <v>9599</v>
      </c>
      <c r="Q589" s="128">
        <f t="array" ref="Q589">SUM(IF(($S589&gt;=4)*($C589='TaxCred&amp;Subs'!$D$123:$D$127)*($H589='TaxCred&amp;Subs'!$C$123:$C$127)*($H589&lt;='TaxCred&amp;Subs'!$C$129),'TaxCred&amp;Subs'!$E$123:$E$127,0))</f>
        <v>2000</v>
      </c>
      <c r="R589" s="174">
        <v>0</v>
      </c>
      <c r="S589" s="129">
        <v>4</v>
      </c>
      <c r="T589" s="129" t="s">
        <v>248</v>
      </c>
      <c r="U589" s="155" t="s">
        <v>235</v>
      </c>
      <c r="V589" s="153" t="str">
        <f t="array" ref="V589">INDEX(xlRTCLNAME,MATCH(1,(xlRTCLENDU=1)*(xlRTCLEQCL=$D589),0))</f>
        <v>KERO_FA</v>
      </c>
      <c r="W589" s="153" t="str">
        <f t="array" ref="W589">INDEX(xlRTCLNAME,MATCH(1,(xlRTCLENDU=2)*(xlRTCLEQCL=$F589),0))</f>
        <v>CENT_AIR</v>
      </c>
      <c r="X589" s="153" t="str">
        <f t="array" ref="X589">INDEX(xlRTTYNAME,MATCH(1,(xlRTTYENDU=1)*(xlRTTYEQCL=$D589)*(xlRTEQTYPE=$E589),0))</f>
        <v>KERO_FA3</v>
      </c>
      <c r="Y589" s="153" t="str">
        <f t="array" ref="Y589">INDEX(xlRTTYNAME,MATCH(1,(xlRTTYENDU=2)*(xlRTTYEQCL=$F589)*(xlRTEQTYPE=$G589),0))</f>
        <v>CENT_AIR3</v>
      </c>
    </row>
    <row r="590" spans="1:25" x14ac:dyDescent="0.2">
      <c r="B590" s="131">
        <v>5</v>
      </c>
      <c r="C590" s="131">
        <v>1</v>
      </c>
      <c r="D590" s="131">
        <v>5</v>
      </c>
      <c r="E590" s="131">
        <v>16</v>
      </c>
      <c r="F590" s="131">
        <v>2</v>
      </c>
      <c r="G590" s="131">
        <v>7</v>
      </c>
      <c r="H590" s="49">
        <v>2023</v>
      </c>
      <c r="I590" s="49">
        <v>2032</v>
      </c>
      <c r="J590" s="132">
        <v>1.0847</v>
      </c>
      <c r="K590" s="132">
        <v>1.056</v>
      </c>
      <c r="L590" s="132">
        <v>0.43070000000000003</v>
      </c>
      <c r="M590" s="132">
        <v>0.79220000000000002</v>
      </c>
      <c r="N590" s="132">
        <v>0.76280000000000003</v>
      </c>
      <c r="O590" s="132">
        <v>1.0538000000000001</v>
      </c>
      <c r="P590" s="131">
        <v>9599</v>
      </c>
      <c r="Q590" s="51">
        <f t="array" ref="Q590">SUM(IF(($S590&gt;=4)*($C590='TaxCred&amp;Subs'!$D$123:$D$127)*($H590='TaxCred&amp;Subs'!$C$123:$C$127)*($H590&lt;='TaxCred&amp;Subs'!$C$129),'TaxCred&amp;Subs'!$E$123:$E$127,0))</f>
        <v>2500</v>
      </c>
      <c r="R590" s="171">
        <v>0</v>
      </c>
      <c r="S590" s="131">
        <v>4</v>
      </c>
      <c r="T590" s="131" t="s">
        <v>248</v>
      </c>
      <c r="U590" s="155" t="s">
        <v>235</v>
      </c>
      <c r="V590" s="153" t="str">
        <f t="array" ref="V590">INDEX(xlRTCLNAME,MATCH(1,(xlRTCLENDU=1)*(xlRTCLEQCL=$D590),0))</f>
        <v>KERO_FA</v>
      </c>
      <c r="W590" s="153" t="str">
        <f t="array" ref="W590">INDEX(xlRTCLNAME,MATCH(1,(xlRTCLENDU=2)*(xlRTCLEQCL=$F590),0))</f>
        <v>CENT_AIR</v>
      </c>
      <c r="X590" s="153" t="str">
        <f t="array" ref="X590">INDEX(xlRTTYNAME,MATCH(1,(xlRTTYENDU=1)*(xlRTTYEQCL=$D590)*(xlRTEQTYPE=$E590),0))</f>
        <v>KERO_FA3</v>
      </c>
      <c r="Y590" s="153" t="str">
        <f t="array" ref="Y590">INDEX(xlRTTYNAME,MATCH(1,(xlRTTYENDU=2)*(xlRTTYEQCL=$F590)*(xlRTEQTYPE=$G590),0))</f>
        <v>CENT_AIR3</v>
      </c>
    </row>
    <row r="591" spans="1:25" x14ac:dyDescent="0.2">
      <c r="B591" s="129">
        <v>5</v>
      </c>
      <c r="C591" s="129">
        <v>1</v>
      </c>
      <c r="D591" s="129">
        <v>5</v>
      </c>
      <c r="E591" s="129">
        <v>16</v>
      </c>
      <c r="F591" s="129">
        <v>2</v>
      </c>
      <c r="G591" s="129">
        <v>7</v>
      </c>
      <c r="H591" s="159">
        <v>2033</v>
      </c>
      <c r="I591" s="126">
        <v>2050</v>
      </c>
      <c r="J591" s="130">
        <v>1.0847</v>
      </c>
      <c r="K591" s="130">
        <v>1.056</v>
      </c>
      <c r="L591" s="130">
        <v>0.43070000000000003</v>
      </c>
      <c r="M591" s="130">
        <v>0.79220000000000002</v>
      </c>
      <c r="N591" s="130">
        <v>0.76280000000000003</v>
      </c>
      <c r="O591" s="130">
        <v>1.0538000000000001</v>
      </c>
      <c r="P591" s="129">
        <v>9599</v>
      </c>
      <c r="Q591" s="128">
        <f t="array" ref="Q591">SUM(IF(($S591&gt;=4)*($C591='TaxCred&amp;Subs'!$D$123:$D$127)*($H591='TaxCred&amp;Subs'!$C$123:$C$127)*($H591&lt;='TaxCred&amp;Subs'!$C$129),'TaxCred&amp;Subs'!$E$123:$E$127,0))</f>
        <v>0</v>
      </c>
      <c r="R591" s="174">
        <v>0</v>
      </c>
      <c r="S591" s="129">
        <v>4</v>
      </c>
      <c r="T591" s="129" t="s">
        <v>248</v>
      </c>
      <c r="U591" s="155" t="s">
        <v>235</v>
      </c>
      <c r="V591" s="153" t="str">
        <f t="array" ref="V591">INDEX(xlRTCLNAME,MATCH(1,(xlRTCLENDU=1)*(xlRTCLEQCL=$D591),0))</f>
        <v>KERO_FA</v>
      </c>
      <c r="W591" s="153" t="str">
        <f t="array" ref="W591">INDEX(xlRTCLNAME,MATCH(1,(xlRTCLENDU=2)*(xlRTCLEQCL=$F591),0))</f>
        <v>CENT_AIR</v>
      </c>
      <c r="X591" s="153" t="str">
        <f t="array" ref="X591">INDEX(xlRTTYNAME,MATCH(1,(xlRTTYENDU=1)*(xlRTTYEQCL=$D591)*(xlRTEQTYPE=$E591),0))</f>
        <v>KERO_FA3</v>
      </c>
      <c r="Y591" s="153" t="str">
        <f t="array" ref="Y591">INDEX(xlRTTYNAME,MATCH(1,(xlRTTYENDU=2)*(xlRTTYEQCL=$F591)*(xlRTEQTYPE=$G591),0))</f>
        <v>CENT_AIR3</v>
      </c>
    </row>
    <row r="592" spans="1:25" x14ac:dyDescent="0.2">
      <c r="B592" s="129">
        <v>6</v>
      </c>
      <c r="C592" s="129">
        <v>1</v>
      </c>
      <c r="D592" s="129">
        <v>5</v>
      </c>
      <c r="E592" s="129">
        <v>16</v>
      </c>
      <c r="F592" s="129">
        <v>2</v>
      </c>
      <c r="G592" s="129">
        <v>7</v>
      </c>
      <c r="H592" s="126">
        <v>2016</v>
      </c>
      <c r="I592" s="159">
        <v>2022</v>
      </c>
      <c r="J592" s="130">
        <v>1.0907</v>
      </c>
      <c r="K592" s="130">
        <v>1.0603</v>
      </c>
      <c r="L592" s="130">
        <v>0.5444</v>
      </c>
      <c r="M592" s="130">
        <v>0.82889999999999997</v>
      </c>
      <c r="N592" s="130">
        <v>0.89139999999999997</v>
      </c>
      <c r="O592" s="130">
        <v>1.0538000000000001</v>
      </c>
      <c r="P592" s="129">
        <v>9614</v>
      </c>
      <c r="Q592" s="128">
        <f t="array" ref="Q592">SUM(IF(($S592&gt;=4)*($C592='TaxCred&amp;Subs'!$D$123:$D$127)*($H592='TaxCred&amp;Subs'!$C$123:$C$127)*($H592&lt;='TaxCred&amp;Subs'!$C$129),'TaxCred&amp;Subs'!$E$123:$E$127,0))</f>
        <v>2000</v>
      </c>
      <c r="R592" s="174">
        <v>0</v>
      </c>
      <c r="S592" s="129">
        <v>4</v>
      </c>
      <c r="T592" s="129" t="s">
        <v>248</v>
      </c>
      <c r="U592" s="155" t="s">
        <v>235</v>
      </c>
      <c r="V592" s="153" t="str">
        <f t="array" ref="V592">INDEX(xlRTCLNAME,MATCH(1,(xlRTCLENDU=1)*(xlRTCLEQCL=$D592),0))</f>
        <v>KERO_FA</v>
      </c>
      <c r="W592" s="153" t="str">
        <f t="array" ref="W592">INDEX(xlRTCLNAME,MATCH(1,(xlRTCLENDU=2)*(xlRTCLEQCL=$F592),0))</f>
        <v>CENT_AIR</v>
      </c>
      <c r="X592" s="153" t="str">
        <f t="array" ref="X592">INDEX(xlRTTYNAME,MATCH(1,(xlRTTYENDU=1)*(xlRTTYEQCL=$D592)*(xlRTEQTYPE=$E592),0))</f>
        <v>KERO_FA3</v>
      </c>
      <c r="Y592" s="153" t="str">
        <f t="array" ref="Y592">INDEX(xlRTTYNAME,MATCH(1,(xlRTTYENDU=2)*(xlRTTYEQCL=$F592)*(xlRTEQTYPE=$G592),0))</f>
        <v>CENT_AIR3</v>
      </c>
    </row>
    <row r="593" spans="2:25" x14ac:dyDescent="0.2">
      <c r="B593" s="131">
        <v>6</v>
      </c>
      <c r="C593" s="131">
        <v>1</v>
      </c>
      <c r="D593" s="131">
        <v>5</v>
      </c>
      <c r="E593" s="131">
        <v>16</v>
      </c>
      <c r="F593" s="131">
        <v>2</v>
      </c>
      <c r="G593" s="131">
        <v>7</v>
      </c>
      <c r="H593" s="49">
        <v>2023</v>
      </c>
      <c r="I593" s="49">
        <v>2032</v>
      </c>
      <c r="J593" s="132">
        <v>1.0907</v>
      </c>
      <c r="K593" s="132">
        <v>1.0603</v>
      </c>
      <c r="L593" s="132">
        <v>0.5444</v>
      </c>
      <c r="M593" s="132">
        <v>0.82889999999999997</v>
      </c>
      <c r="N593" s="132">
        <v>0.89139999999999997</v>
      </c>
      <c r="O593" s="132">
        <v>1.0538000000000001</v>
      </c>
      <c r="P593" s="131">
        <v>9614</v>
      </c>
      <c r="Q593" s="51">
        <f t="array" ref="Q593">SUM(IF(($S593&gt;=4)*($C593='TaxCred&amp;Subs'!$D$123:$D$127)*($H593='TaxCred&amp;Subs'!$C$123:$C$127)*($H593&lt;='TaxCred&amp;Subs'!$C$129),'TaxCred&amp;Subs'!$E$123:$E$127,0))</f>
        <v>2500</v>
      </c>
      <c r="R593" s="171">
        <v>0</v>
      </c>
      <c r="S593" s="131">
        <v>4</v>
      </c>
      <c r="T593" s="131" t="s">
        <v>248</v>
      </c>
      <c r="U593" s="155" t="s">
        <v>235</v>
      </c>
      <c r="V593" s="153" t="str">
        <f t="array" ref="V593">INDEX(xlRTCLNAME,MATCH(1,(xlRTCLENDU=1)*(xlRTCLEQCL=$D593),0))</f>
        <v>KERO_FA</v>
      </c>
      <c r="W593" s="153" t="str">
        <f t="array" ref="W593">INDEX(xlRTCLNAME,MATCH(1,(xlRTCLENDU=2)*(xlRTCLEQCL=$F593),0))</f>
        <v>CENT_AIR</v>
      </c>
      <c r="X593" s="153" t="str">
        <f t="array" ref="X593">INDEX(xlRTTYNAME,MATCH(1,(xlRTTYENDU=1)*(xlRTTYEQCL=$D593)*(xlRTEQTYPE=$E593),0))</f>
        <v>KERO_FA3</v>
      </c>
      <c r="Y593" s="153" t="str">
        <f t="array" ref="Y593">INDEX(xlRTTYNAME,MATCH(1,(xlRTTYENDU=2)*(xlRTTYEQCL=$F593)*(xlRTEQTYPE=$G593),0))</f>
        <v>CENT_AIR3</v>
      </c>
    </row>
    <row r="594" spans="2:25" x14ac:dyDescent="0.2">
      <c r="B594" s="129">
        <v>6</v>
      </c>
      <c r="C594" s="129">
        <v>1</v>
      </c>
      <c r="D594" s="129">
        <v>5</v>
      </c>
      <c r="E594" s="129">
        <v>16</v>
      </c>
      <c r="F594" s="129">
        <v>2</v>
      </c>
      <c r="G594" s="129">
        <v>7</v>
      </c>
      <c r="H594" s="159">
        <v>2033</v>
      </c>
      <c r="I594" s="126">
        <v>2050</v>
      </c>
      <c r="J594" s="130">
        <v>1.0907</v>
      </c>
      <c r="K594" s="130">
        <v>1.0603</v>
      </c>
      <c r="L594" s="130">
        <v>0.5444</v>
      </c>
      <c r="M594" s="130">
        <v>0.82889999999999997</v>
      </c>
      <c r="N594" s="130">
        <v>0.89139999999999997</v>
      </c>
      <c r="O594" s="130">
        <v>1.0538000000000001</v>
      </c>
      <c r="P594" s="129">
        <v>9614</v>
      </c>
      <c r="Q594" s="128">
        <f t="array" ref="Q594">SUM(IF(($S594&gt;=4)*($C594='TaxCred&amp;Subs'!$D$123:$D$127)*($H594='TaxCred&amp;Subs'!$C$123:$C$127)*($H594&lt;='TaxCred&amp;Subs'!$C$129),'TaxCred&amp;Subs'!$E$123:$E$127,0))</f>
        <v>0</v>
      </c>
      <c r="R594" s="174">
        <v>0</v>
      </c>
      <c r="S594" s="129">
        <v>4</v>
      </c>
      <c r="T594" s="129" t="s">
        <v>248</v>
      </c>
      <c r="U594" s="155" t="s">
        <v>235</v>
      </c>
      <c r="V594" s="153" t="str">
        <f t="array" ref="V594">INDEX(xlRTCLNAME,MATCH(1,(xlRTCLENDU=1)*(xlRTCLEQCL=$D594),0))</f>
        <v>KERO_FA</v>
      </c>
      <c r="W594" s="153" t="str">
        <f t="array" ref="W594">INDEX(xlRTCLNAME,MATCH(1,(xlRTCLENDU=2)*(xlRTCLEQCL=$F594),0))</f>
        <v>CENT_AIR</v>
      </c>
      <c r="X594" s="153" t="str">
        <f t="array" ref="X594">INDEX(xlRTTYNAME,MATCH(1,(xlRTTYENDU=1)*(xlRTTYEQCL=$D594)*(xlRTEQTYPE=$E594),0))</f>
        <v>KERO_FA3</v>
      </c>
      <c r="Y594" s="153" t="str">
        <f t="array" ref="Y594">INDEX(xlRTTYNAME,MATCH(1,(xlRTTYENDU=2)*(xlRTTYEQCL=$F594)*(xlRTEQTYPE=$G594),0))</f>
        <v>CENT_AIR3</v>
      </c>
    </row>
    <row r="595" spans="2:25" x14ac:dyDescent="0.2">
      <c r="B595" s="129">
        <v>7</v>
      </c>
      <c r="C595" s="129">
        <v>1</v>
      </c>
      <c r="D595" s="129">
        <v>5</v>
      </c>
      <c r="E595" s="129">
        <v>16</v>
      </c>
      <c r="F595" s="129">
        <v>2</v>
      </c>
      <c r="G595" s="129">
        <v>7</v>
      </c>
      <c r="H595" s="126">
        <v>2016</v>
      </c>
      <c r="I595" s="159">
        <v>2022</v>
      </c>
      <c r="J595" s="130">
        <v>1.0885</v>
      </c>
      <c r="K595" s="130">
        <v>1.0575000000000001</v>
      </c>
      <c r="L595" s="130">
        <v>0.49830000000000002</v>
      </c>
      <c r="M595" s="130">
        <v>0.70269999999999999</v>
      </c>
      <c r="N595" s="130">
        <v>0.872</v>
      </c>
      <c r="O595" s="130">
        <v>1.0538000000000001</v>
      </c>
      <c r="P595" s="129">
        <v>9165</v>
      </c>
      <c r="Q595" s="128">
        <f t="array" ref="Q595">SUM(IF(($S595&gt;=4)*($C595='TaxCred&amp;Subs'!$D$123:$D$127)*($H595='TaxCred&amp;Subs'!$C$123:$C$127)*($H595&lt;='TaxCred&amp;Subs'!$C$129),'TaxCred&amp;Subs'!$E$123:$E$127,0))</f>
        <v>2000</v>
      </c>
      <c r="R595" s="174">
        <v>0</v>
      </c>
      <c r="S595" s="129">
        <v>4</v>
      </c>
      <c r="T595" s="129" t="s">
        <v>248</v>
      </c>
      <c r="U595" s="155" t="s">
        <v>235</v>
      </c>
      <c r="V595" s="153" t="str">
        <f t="array" ref="V595">INDEX(xlRTCLNAME,MATCH(1,(xlRTCLENDU=1)*(xlRTCLEQCL=$D595),0))</f>
        <v>KERO_FA</v>
      </c>
      <c r="W595" s="153" t="str">
        <f t="array" ref="W595">INDEX(xlRTCLNAME,MATCH(1,(xlRTCLENDU=2)*(xlRTCLEQCL=$F595),0))</f>
        <v>CENT_AIR</v>
      </c>
      <c r="X595" s="153" t="str">
        <f t="array" ref="X595">INDEX(xlRTTYNAME,MATCH(1,(xlRTTYENDU=1)*(xlRTTYEQCL=$D595)*(xlRTEQTYPE=$E595),0))</f>
        <v>KERO_FA3</v>
      </c>
      <c r="Y595" s="153" t="str">
        <f t="array" ref="Y595">INDEX(xlRTTYNAME,MATCH(1,(xlRTTYENDU=2)*(xlRTTYEQCL=$F595)*(xlRTEQTYPE=$G595),0))</f>
        <v>CENT_AIR3</v>
      </c>
    </row>
    <row r="596" spans="2:25" x14ac:dyDescent="0.2">
      <c r="B596" s="131">
        <v>7</v>
      </c>
      <c r="C596" s="131">
        <v>1</v>
      </c>
      <c r="D596" s="131">
        <v>5</v>
      </c>
      <c r="E596" s="131">
        <v>16</v>
      </c>
      <c r="F596" s="131">
        <v>2</v>
      </c>
      <c r="G596" s="131">
        <v>7</v>
      </c>
      <c r="H596" s="49">
        <v>2023</v>
      </c>
      <c r="I596" s="49">
        <v>2032</v>
      </c>
      <c r="J596" s="132">
        <v>1.0885</v>
      </c>
      <c r="K596" s="132">
        <v>1.0575000000000001</v>
      </c>
      <c r="L596" s="132">
        <v>0.49830000000000002</v>
      </c>
      <c r="M596" s="132">
        <v>0.70269999999999999</v>
      </c>
      <c r="N596" s="132">
        <v>0.872</v>
      </c>
      <c r="O596" s="132">
        <v>1.0538000000000001</v>
      </c>
      <c r="P596" s="131">
        <v>9165</v>
      </c>
      <c r="Q596" s="51">
        <f t="array" ref="Q596">SUM(IF(($S596&gt;=4)*($C596='TaxCred&amp;Subs'!$D$123:$D$127)*($H596='TaxCred&amp;Subs'!$C$123:$C$127)*($H596&lt;='TaxCred&amp;Subs'!$C$129),'TaxCred&amp;Subs'!$E$123:$E$127,0))</f>
        <v>2500</v>
      </c>
      <c r="R596" s="171">
        <v>0</v>
      </c>
      <c r="S596" s="131">
        <v>4</v>
      </c>
      <c r="T596" s="131" t="s">
        <v>248</v>
      </c>
      <c r="U596" s="155" t="s">
        <v>235</v>
      </c>
      <c r="V596" s="153" t="str">
        <f t="array" ref="V596">INDEX(xlRTCLNAME,MATCH(1,(xlRTCLENDU=1)*(xlRTCLEQCL=$D596),0))</f>
        <v>KERO_FA</v>
      </c>
      <c r="W596" s="153" t="str">
        <f t="array" ref="W596">INDEX(xlRTCLNAME,MATCH(1,(xlRTCLENDU=2)*(xlRTCLEQCL=$F596),0))</f>
        <v>CENT_AIR</v>
      </c>
      <c r="X596" s="153" t="str">
        <f t="array" ref="X596">INDEX(xlRTTYNAME,MATCH(1,(xlRTTYENDU=1)*(xlRTTYEQCL=$D596)*(xlRTEQTYPE=$E596),0))</f>
        <v>KERO_FA3</v>
      </c>
      <c r="Y596" s="153" t="str">
        <f t="array" ref="Y596">INDEX(xlRTTYNAME,MATCH(1,(xlRTTYENDU=2)*(xlRTTYEQCL=$F596)*(xlRTEQTYPE=$G596),0))</f>
        <v>CENT_AIR3</v>
      </c>
    </row>
    <row r="597" spans="2:25" x14ac:dyDescent="0.2">
      <c r="B597" s="129">
        <v>7</v>
      </c>
      <c r="C597" s="129">
        <v>1</v>
      </c>
      <c r="D597" s="129">
        <v>5</v>
      </c>
      <c r="E597" s="129">
        <v>16</v>
      </c>
      <c r="F597" s="129">
        <v>2</v>
      </c>
      <c r="G597" s="129">
        <v>7</v>
      </c>
      <c r="H597" s="159">
        <v>2033</v>
      </c>
      <c r="I597" s="126">
        <v>2050</v>
      </c>
      <c r="J597" s="130">
        <v>1.0885</v>
      </c>
      <c r="K597" s="130">
        <v>1.0575000000000001</v>
      </c>
      <c r="L597" s="130">
        <v>0.49830000000000002</v>
      </c>
      <c r="M597" s="130">
        <v>0.70269999999999999</v>
      </c>
      <c r="N597" s="130">
        <v>0.872</v>
      </c>
      <c r="O597" s="130">
        <v>1.0538000000000001</v>
      </c>
      <c r="P597" s="129">
        <v>9165</v>
      </c>
      <c r="Q597" s="128">
        <f t="array" ref="Q597">SUM(IF(($S597&gt;=4)*($C597='TaxCred&amp;Subs'!$D$123:$D$127)*($H597='TaxCred&amp;Subs'!$C$123:$C$127)*($H597&lt;='TaxCred&amp;Subs'!$C$129),'TaxCred&amp;Subs'!$E$123:$E$127,0))</f>
        <v>0</v>
      </c>
      <c r="R597" s="174">
        <v>0</v>
      </c>
      <c r="S597" s="129">
        <v>4</v>
      </c>
      <c r="T597" s="129" t="s">
        <v>248</v>
      </c>
      <c r="U597" s="155" t="s">
        <v>235</v>
      </c>
      <c r="V597" s="153" t="str">
        <f t="array" ref="V597">INDEX(xlRTCLNAME,MATCH(1,(xlRTCLENDU=1)*(xlRTCLEQCL=$D597),0))</f>
        <v>KERO_FA</v>
      </c>
      <c r="W597" s="153" t="str">
        <f t="array" ref="W597">INDEX(xlRTCLNAME,MATCH(1,(xlRTCLENDU=2)*(xlRTCLEQCL=$F597),0))</f>
        <v>CENT_AIR</v>
      </c>
      <c r="X597" s="153" t="str">
        <f t="array" ref="X597">INDEX(xlRTTYNAME,MATCH(1,(xlRTTYENDU=1)*(xlRTTYEQCL=$D597)*(xlRTEQTYPE=$E597),0))</f>
        <v>KERO_FA3</v>
      </c>
      <c r="Y597" s="153" t="str">
        <f t="array" ref="Y597">INDEX(xlRTTYNAME,MATCH(1,(xlRTTYENDU=2)*(xlRTTYEQCL=$F597)*(xlRTEQTYPE=$G597),0))</f>
        <v>CENT_AIR3</v>
      </c>
    </row>
    <row r="598" spans="2:25" x14ac:dyDescent="0.2">
      <c r="B598" s="129">
        <v>8</v>
      </c>
      <c r="C598" s="129">
        <v>1</v>
      </c>
      <c r="D598" s="129">
        <v>5</v>
      </c>
      <c r="E598" s="129">
        <v>16</v>
      </c>
      <c r="F598" s="129">
        <v>2</v>
      </c>
      <c r="G598" s="129">
        <v>7</v>
      </c>
      <c r="H598" s="126">
        <v>2016</v>
      </c>
      <c r="I598" s="159">
        <v>2022</v>
      </c>
      <c r="J598" s="130">
        <v>1.0838000000000001</v>
      </c>
      <c r="K598" s="130">
        <v>1.0832999999999999</v>
      </c>
      <c r="L598" s="130">
        <v>0.46579999999999999</v>
      </c>
      <c r="M598" s="130">
        <v>0.78759999999999997</v>
      </c>
      <c r="N598" s="130">
        <v>0.86950000000000005</v>
      </c>
      <c r="O598" s="130">
        <v>1.0538000000000001</v>
      </c>
      <c r="P598" s="129">
        <v>11853</v>
      </c>
      <c r="Q598" s="128">
        <f t="array" ref="Q598">SUM(IF(($S598&gt;=4)*($C598='TaxCred&amp;Subs'!$D$123:$D$127)*($H598='TaxCred&amp;Subs'!$C$123:$C$127)*($H598&lt;='TaxCred&amp;Subs'!$C$129),'TaxCred&amp;Subs'!$E$123:$E$127,0))</f>
        <v>2000</v>
      </c>
      <c r="R598" s="174">
        <v>0</v>
      </c>
      <c r="S598" s="129">
        <v>4</v>
      </c>
      <c r="T598" s="129" t="s">
        <v>248</v>
      </c>
      <c r="U598" s="155" t="s">
        <v>235</v>
      </c>
      <c r="V598" s="153" t="str">
        <f t="array" ref="V598">INDEX(xlRTCLNAME,MATCH(1,(xlRTCLENDU=1)*(xlRTCLEQCL=$D598),0))</f>
        <v>KERO_FA</v>
      </c>
      <c r="W598" s="153" t="str">
        <f t="array" ref="W598">INDEX(xlRTCLNAME,MATCH(1,(xlRTCLENDU=2)*(xlRTCLEQCL=$F598),0))</f>
        <v>CENT_AIR</v>
      </c>
      <c r="X598" s="153" t="str">
        <f t="array" ref="X598">INDEX(xlRTTYNAME,MATCH(1,(xlRTTYENDU=1)*(xlRTTYEQCL=$D598)*(xlRTEQTYPE=$E598),0))</f>
        <v>KERO_FA3</v>
      </c>
      <c r="Y598" s="153" t="str">
        <f t="array" ref="Y598">INDEX(xlRTTYNAME,MATCH(1,(xlRTTYENDU=2)*(xlRTTYEQCL=$F598)*(xlRTEQTYPE=$G598),0))</f>
        <v>CENT_AIR3</v>
      </c>
    </row>
    <row r="599" spans="2:25" x14ac:dyDescent="0.2">
      <c r="B599" s="131">
        <v>8</v>
      </c>
      <c r="C599" s="131">
        <v>1</v>
      </c>
      <c r="D599" s="131">
        <v>5</v>
      </c>
      <c r="E599" s="131">
        <v>16</v>
      </c>
      <c r="F599" s="131">
        <v>2</v>
      </c>
      <c r="G599" s="131">
        <v>7</v>
      </c>
      <c r="H599" s="49">
        <v>2023</v>
      </c>
      <c r="I599" s="49">
        <v>2032</v>
      </c>
      <c r="J599" s="132">
        <v>1.0838000000000001</v>
      </c>
      <c r="K599" s="132">
        <v>1.0832999999999999</v>
      </c>
      <c r="L599" s="132">
        <v>0.46579999999999999</v>
      </c>
      <c r="M599" s="132">
        <v>0.78759999999999997</v>
      </c>
      <c r="N599" s="132">
        <v>0.86950000000000005</v>
      </c>
      <c r="O599" s="132">
        <v>1.0538000000000001</v>
      </c>
      <c r="P599" s="131">
        <v>11853</v>
      </c>
      <c r="Q599" s="51">
        <f t="array" ref="Q599">SUM(IF(($S599&gt;=4)*($C599='TaxCred&amp;Subs'!$D$123:$D$127)*($H599='TaxCred&amp;Subs'!$C$123:$C$127)*($H599&lt;='TaxCred&amp;Subs'!$C$129),'TaxCred&amp;Subs'!$E$123:$E$127,0))</f>
        <v>2500</v>
      </c>
      <c r="R599" s="171">
        <v>0</v>
      </c>
      <c r="S599" s="131">
        <v>4</v>
      </c>
      <c r="T599" s="131" t="s">
        <v>248</v>
      </c>
      <c r="U599" s="155" t="s">
        <v>235</v>
      </c>
      <c r="V599" s="153" t="str">
        <f t="array" ref="V599">INDEX(xlRTCLNAME,MATCH(1,(xlRTCLENDU=1)*(xlRTCLEQCL=$D599),0))</f>
        <v>KERO_FA</v>
      </c>
      <c r="W599" s="153" t="str">
        <f t="array" ref="W599">INDEX(xlRTCLNAME,MATCH(1,(xlRTCLENDU=2)*(xlRTCLEQCL=$F599),0))</f>
        <v>CENT_AIR</v>
      </c>
      <c r="X599" s="153" t="str">
        <f t="array" ref="X599">INDEX(xlRTTYNAME,MATCH(1,(xlRTTYENDU=1)*(xlRTTYEQCL=$D599)*(xlRTEQTYPE=$E599),0))</f>
        <v>KERO_FA3</v>
      </c>
      <c r="Y599" s="153" t="str">
        <f t="array" ref="Y599">INDEX(xlRTTYNAME,MATCH(1,(xlRTTYENDU=2)*(xlRTTYEQCL=$F599)*(xlRTEQTYPE=$G599),0))</f>
        <v>CENT_AIR3</v>
      </c>
    </row>
    <row r="600" spans="2:25" x14ac:dyDescent="0.2">
      <c r="B600" s="129">
        <v>8</v>
      </c>
      <c r="C600" s="129">
        <v>1</v>
      </c>
      <c r="D600" s="129">
        <v>5</v>
      </c>
      <c r="E600" s="129">
        <v>16</v>
      </c>
      <c r="F600" s="129">
        <v>2</v>
      </c>
      <c r="G600" s="129">
        <v>7</v>
      </c>
      <c r="H600" s="159">
        <v>2033</v>
      </c>
      <c r="I600" s="126">
        <v>2050</v>
      </c>
      <c r="J600" s="130">
        <v>1.0838000000000001</v>
      </c>
      <c r="K600" s="130">
        <v>1.0832999999999999</v>
      </c>
      <c r="L600" s="130">
        <v>0.46579999999999999</v>
      </c>
      <c r="M600" s="130">
        <v>0.78759999999999997</v>
      </c>
      <c r="N600" s="130">
        <v>0.86950000000000005</v>
      </c>
      <c r="O600" s="130">
        <v>1.0538000000000001</v>
      </c>
      <c r="P600" s="129">
        <v>11853</v>
      </c>
      <c r="Q600" s="128">
        <f t="array" ref="Q600">SUM(IF(($S600&gt;=4)*($C600='TaxCred&amp;Subs'!$D$123:$D$127)*($H600='TaxCred&amp;Subs'!$C$123:$C$127)*($H600&lt;='TaxCred&amp;Subs'!$C$129),'TaxCred&amp;Subs'!$E$123:$E$127,0))</f>
        <v>0</v>
      </c>
      <c r="R600" s="174">
        <v>0</v>
      </c>
      <c r="S600" s="129">
        <v>4</v>
      </c>
      <c r="T600" s="129" t="s">
        <v>248</v>
      </c>
      <c r="U600" s="155" t="s">
        <v>235</v>
      </c>
      <c r="V600" s="153" t="str">
        <f t="array" ref="V600">INDEX(xlRTCLNAME,MATCH(1,(xlRTCLENDU=1)*(xlRTCLEQCL=$D600),0))</f>
        <v>KERO_FA</v>
      </c>
      <c r="W600" s="153" t="str">
        <f t="array" ref="W600">INDEX(xlRTCLNAME,MATCH(1,(xlRTCLENDU=2)*(xlRTCLEQCL=$F600),0))</f>
        <v>CENT_AIR</v>
      </c>
      <c r="X600" s="153" t="str">
        <f t="array" ref="X600">INDEX(xlRTTYNAME,MATCH(1,(xlRTTYENDU=1)*(xlRTTYEQCL=$D600)*(xlRTEQTYPE=$E600),0))</f>
        <v>KERO_FA3</v>
      </c>
      <c r="Y600" s="153" t="str">
        <f t="array" ref="Y600">INDEX(xlRTTYNAME,MATCH(1,(xlRTTYENDU=2)*(xlRTTYEQCL=$F600)*(xlRTEQTYPE=$G600),0))</f>
        <v>CENT_AIR3</v>
      </c>
    </row>
    <row r="601" spans="2:25" x14ac:dyDescent="0.2">
      <c r="B601" s="129">
        <v>9</v>
      </c>
      <c r="C601" s="129">
        <v>1</v>
      </c>
      <c r="D601" s="129">
        <v>5</v>
      </c>
      <c r="E601" s="129">
        <v>16</v>
      </c>
      <c r="F601" s="129">
        <v>2</v>
      </c>
      <c r="G601" s="129">
        <v>7</v>
      </c>
      <c r="H601" s="126">
        <v>2016</v>
      </c>
      <c r="I601" s="159">
        <v>2022</v>
      </c>
      <c r="J601" s="130">
        <v>1.0790999999999999</v>
      </c>
      <c r="K601" s="130">
        <v>1.0722</v>
      </c>
      <c r="L601" s="130">
        <v>0.5464</v>
      </c>
      <c r="M601" s="130">
        <v>0.82330000000000003</v>
      </c>
      <c r="N601" s="130">
        <v>1.0336000000000001</v>
      </c>
      <c r="O601" s="130">
        <v>1.0538000000000001</v>
      </c>
      <c r="P601" s="129">
        <v>12717</v>
      </c>
      <c r="Q601" s="128">
        <f t="array" ref="Q601">SUM(IF(($S601&gt;=4)*($C601='TaxCred&amp;Subs'!$D$123:$D$127)*($H601='TaxCred&amp;Subs'!$C$123:$C$127)*($H601&lt;='TaxCred&amp;Subs'!$C$129),'TaxCred&amp;Subs'!$E$123:$E$127,0))</f>
        <v>2000</v>
      </c>
      <c r="R601" s="174">
        <v>0</v>
      </c>
      <c r="S601" s="129">
        <v>4</v>
      </c>
      <c r="T601" s="129" t="s">
        <v>248</v>
      </c>
      <c r="U601" s="155" t="s">
        <v>235</v>
      </c>
      <c r="V601" s="153" t="str">
        <f t="array" ref="V601">INDEX(xlRTCLNAME,MATCH(1,(xlRTCLENDU=1)*(xlRTCLEQCL=$D601),0))</f>
        <v>KERO_FA</v>
      </c>
      <c r="W601" s="153" t="str">
        <f t="array" ref="W601">INDEX(xlRTCLNAME,MATCH(1,(xlRTCLENDU=2)*(xlRTCLEQCL=$F601),0))</f>
        <v>CENT_AIR</v>
      </c>
      <c r="X601" s="153" t="str">
        <f t="array" ref="X601">INDEX(xlRTTYNAME,MATCH(1,(xlRTTYENDU=1)*(xlRTTYEQCL=$D601)*(xlRTEQTYPE=$E601),0))</f>
        <v>KERO_FA3</v>
      </c>
      <c r="Y601" s="153" t="str">
        <f t="array" ref="Y601">INDEX(xlRTTYNAME,MATCH(1,(xlRTTYENDU=2)*(xlRTTYEQCL=$F601)*(xlRTEQTYPE=$G601),0))</f>
        <v>CENT_AIR3</v>
      </c>
    </row>
    <row r="602" spans="2:25" x14ac:dyDescent="0.2">
      <c r="B602" s="131">
        <v>9</v>
      </c>
      <c r="C602" s="131">
        <v>1</v>
      </c>
      <c r="D602" s="131">
        <v>5</v>
      </c>
      <c r="E602" s="131">
        <v>16</v>
      </c>
      <c r="F602" s="131">
        <v>2</v>
      </c>
      <c r="G602" s="131">
        <v>7</v>
      </c>
      <c r="H602" s="49">
        <v>2023</v>
      </c>
      <c r="I602" s="49">
        <v>2032</v>
      </c>
      <c r="J602" s="132">
        <v>1.0790999999999999</v>
      </c>
      <c r="K602" s="132">
        <v>1.0722</v>
      </c>
      <c r="L602" s="132">
        <v>0.5464</v>
      </c>
      <c r="M602" s="132">
        <v>0.82330000000000003</v>
      </c>
      <c r="N602" s="132">
        <v>1.0336000000000001</v>
      </c>
      <c r="O602" s="132">
        <v>1.0538000000000001</v>
      </c>
      <c r="P602" s="131">
        <v>12717</v>
      </c>
      <c r="Q602" s="51">
        <f t="array" ref="Q602">SUM(IF(($S602&gt;=4)*($C602='TaxCred&amp;Subs'!$D$123:$D$127)*($H602='TaxCred&amp;Subs'!$C$123:$C$127)*($H602&lt;='TaxCred&amp;Subs'!$C$129),'TaxCred&amp;Subs'!$E$123:$E$127,0))</f>
        <v>2500</v>
      </c>
      <c r="R602" s="171">
        <v>0</v>
      </c>
      <c r="S602" s="131">
        <v>4</v>
      </c>
      <c r="T602" s="131" t="s">
        <v>248</v>
      </c>
      <c r="U602" s="155" t="s">
        <v>235</v>
      </c>
      <c r="V602" s="153" t="str">
        <f t="array" ref="V602">INDEX(xlRTCLNAME,MATCH(1,(xlRTCLENDU=1)*(xlRTCLEQCL=$D602),0))</f>
        <v>KERO_FA</v>
      </c>
      <c r="W602" s="153" t="str">
        <f t="array" ref="W602">INDEX(xlRTCLNAME,MATCH(1,(xlRTCLENDU=2)*(xlRTCLEQCL=$F602),0))</f>
        <v>CENT_AIR</v>
      </c>
      <c r="X602" s="153" t="str">
        <f t="array" ref="X602">INDEX(xlRTTYNAME,MATCH(1,(xlRTTYENDU=1)*(xlRTTYEQCL=$D602)*(xlRTEQTYPE=$E602),0))</f>
        <v>KERO_FA3</v>
      </c>
      <c r="Y602" s="153" t="str">
        <f t="array" ref="Y602">INDEX(xlRTTYNAME,MATCH(1,(xlRTTYENDU=2)*(xlRTTYEQCL=$F602)*(xlRTEQTYPE=$G602),0))</f>
        <v>CENT_AIR3</v>
      </c>
    </row>
    <row r="603" spans="2:25" x14ac:dyDescent="0.2">
      <c r="B603" s="129">
        <v>9</v>
      </c>
      <c r="C603" s="129">
        <v>1</v>
      </c>
      <c r="D603" s="129">
        <v>5</v>
      </c>
      <c r="E603" s="129">
        <v>16</v>
      </c>
      <c r="F603" s="129">
        <v>2</v>
      </c>
      <c r="G603" s="129">
        <v>7</v>
      </c>
      <c r="H603" s="159">
        <v>2033</v>
      </c>
      <c r="I603" s="126">
        <v>2050</v>
      </c>
      <c r="J603" s="130">
        <v>1.0790999999999999</v>
      </c>
      <c r="K603" s="130">
        <v>1.0722</v>
      </c>
      <c r="L603" s="130">
        <v>0.5464</v>
      </c>
      <c r="M603" s="130">
        <v>0.82330000000000003</v>
      </c>
      <c r="N603" s="130">
        <v>1.0336000000000001</v>
      </c>
      <c r="O603" s="130">
        <v>1.0538000000000001</v>
      </c>
      <c r="P603" s="129">
        <v>12717</v>
      </c>
      <c r="Q603" s="128">
        <f t="array" ref="Q603">SUM(IF(($S603&gt;=4)*($C603='TaxCred&amp;Subs'!$D$123:$D$127)*($H603='TaxCred&amp;Subs'!$C$123:$C$127)*($H603&lt;='TaxCred&amp;Subs'!$C$129),'TaxCred&amp;Subs'!$E$123:$E$127,0))</f>
        <v>0</v>
      </c>
      <c r="R603" s="174">
        <v>0</v>
      </c>
      <c r="S603" s="129">
        <v>4</v>
      </c>
      <c r="T603" s="129" t="s">
        <v>248</v>
      </c>
      <c r="U603" s="155" t="s">
        <v>235</v>
      </c>
      <c r="V603" s="153" t="str">
        <f t="array" ref="V603">INDEX(xlRTCLNAME,MATCH(1,(xlRTCLENDU=1)*(xlRTCLEQCL=$D603),0))</f>
        <v>KERO_FA</v>
      </c>
      <c r="W603" s="153" t="str">
        <f t="array" ref="W603">INDEX(xlRTCLNAME,MATCH(1,(xlRTCLENDU=2)*(xlRTCLEQCL=$F603),0))</f>
        <v>CENT_AIR</v>
      </c>
      <c r="X603" s="153" t="str">
        <f t="array" ref="X603">INDEX(xlRTTYNAME,MATCH(1,(xlRTTYENDU=1)*(xlRTTYEQCL=$D603)*(xlRTEQTYPE=$E603),0))</f>
        <v>KERO_FA3</v>
      </c>
      <c r="Y603" s="153" t="str">
        <f t="array" ref="Y603">INDEX(xlRTTYNAME,MATCH(1,(xlRTTYENDU=2)*(xlRTTYEQCL=$F603)*(xlRTEQTYPE=$G603),0))</f>
        <v>CENT_AIR3</v>
      </c>
    </row>
    <row r="604" spans="2:25" x14ac:dyDescent="0.2">
      <c r="B604" s="126">
        <v>1</v>
      </c>
      <c r="C604" s="126">
        <v>1</v>
      </c>
      <c r="D604" s="126">
        <v>6</v>
      </c>
      <c r="E604" s="126">
        <v>20</v>
      </c>
      <c r="F604" s="126">
        <v>2</v>
      </c>
      <c r="G604" s="126">
        <v>7</v>
      </c>
      <c r="H604" s="126">
        <v>2016</v>
      </c>
      <c r="I604" s="159">
        <v>2022</v>
      </c>
      <c r="J604" s="127">
        <v>1.0803</v>
      </c>
      <c r="K604" s="127">
        <v>1.0667</v>
      </c>
      <c r="L604" s="127">
        <v>0.46639999999999998</v>
      </c>
      <c r="M604" s="127">
        <v>0.94740000000000002</v>
      </c>
      <c r="N604" s="127">
        <v>0.79790000000000005</v>
      </c>
      <c r="O604" s="127">
        <v>1.0538000000000001</v>
      </c>
      <c r="P604" s="126">
        <v>12599</v>
      </c>
      <c r="Q604" s="128">
        <f t="array" ref="Q604">SUM(IF(($S604&gt;=4)*($C604='TaxCred&amp;Subs'!$D$123:$D$127)*($H604='TaxCred&amp;Subs'!$C$123:$C$127)*($H604&lt;='TaxCred&amp;Subs'!$C$129),'TaxCred&amp;Subs'!$E$123:$E$127,0))</f>
        <v>2000</v>
      </c>
      <c r="R604" s="174">
        <v>0</v>
      </c>
      <c r="S604" s="126">
        <v>4</v>
      </c>
      <c r="T604" s="126" t="s">
        <v>248</v>
      </c>
      <c r="V604" s="153" t="str">
        <f t="array" ref="V604">INDEX(xlRTCLNAME,MATCH(1,(xlRTCLENDU=1)*(xlRTCLEQCL=$D604),0))</f>
        <v>LPG_FA</v>
      </c>
      <c r="W604" s="153" t="str">
        <f t="array" ref="W604">INDEX(xlRTCLNAME,MATCH(1,(xlRTCLENDU=2)*(xlRTCLEQCL=$F604),0))</f>
        <v>CENT_AIR</v>
      </c>
      <c r="X604" s="153" t="str">
        <f t="array" ref="X604">INDEX(xlRTTYNAME,MATCH(1,(xlRTTYENDU=1)*(xlRTTYEQCL=$D604)*(xlRTEQTYPE=$E604),0))</f>
        <v>LPG_FA3</v>
      </c>
      <c r="Y604" s="153" t="str">
        <f t="array" ref="Y604">INDEX(xlRTTYNAME,MATCH(1,(xlRTTYENDU=2)*(xlRTTYEQCL=$F604)*(xlRTEQTYPE=$G604),0))</f>
        <v>CENT_AIR3</v>
      </c>
    </row>
    <row r="605" spans="2:25" x14ac:dyDescent="0.2">
      <c r="B605" s="49">
        <v>1</v>
      </c>
      <c r="C605" s="49">
        <v>1</v>
      </c>
      <c r="D605" s="49">
        <v>6</v>
      </c>
      <c r="E605" s="49">
        <v>20</v>
      </c>
      <c r="F605" s="49">
        <v>2</v>
      </c>
      <c r="G605" s="49">
        <v>7</v>
      </c>
      <c r="H605" s="49">
        <v>2023</v>
      </c>
      <c r="I605" s="49">
        <v>2032</v>
      </c>
      <c r="J605" s="50">
        <v>1.0803</v>
      </c>
      <c r="K605" s="50">
        <v>1.0667</v>
      </c>
      <c r="L605" s="50">
        <v>0.46639999999999998</v>
      </c>
      <c r="M605" s="50">
        <v>0.94740000000000002</v>
      </c>
      <c r="N605" s="50">
        <v>0.79790000000000005</v>
      </c>
      <c r="O605" s="50">
        <v>1.0538000000000001</v>
      </c>
      <c r="P605" s="49">
        <v>12599</v>
      </c>
      <c r="Q605" s="51">
        <f t="array" ref="Q605">SUM(IF(($S605&gt;=4)*($C605='TaxCred&amp;Subs'!$D$123:$D$127)*($H605='TaxCred&amp;Subs'!$C$123:$C$127)*($H605&lt;='TaxCred&amp;Subs'!$C$129),'TaxCred&amp;Subs'!$E$123:$E$127,0))</f>
        <v>2500</v>
      </c>
      <c r="R605" s="171">
        <v>0</v>
      </c>
      <c r="S605" s="49">
        <v>4</v>
      </c>
      <c r="T605" s="49" t="s">
        <v>248</v>
      </c>
      <c r="V605" s="153" t="str">
        <f t="array" ref="V605">INDEX(xlRTCLNAME,MATCH(1,(xlRTCLENDU=1)*(xlRTCLEQCL=$D605),0))</f>
        <v>LPG_FA</v>
      </c>
      <c r="W605" s="153" t="str">
        <f t="array" ref="W605">INDEX(xlRTCLNAME,MATCH(1,(xlRTCLENDU=2)*(xlRTCLEQCL=$F605),0))</f>
        <v>CENT_AIR</v>
      </c>
      <c r="X605" s="153" t="str">
        <f t="array" ref="X605">INDEX(xlRTTYNAME,MATCH(1,(xlRTTYENDU=1)*(xlRTTYEQCL=$D605)*(xlRTEQTYPE=$E605),0))</f>
        <v>LPG_FA3</v>
      </c>
      <c r="Y605" s="153" t="str">
        <f t="array" ref="Y605">INDEX(xlRTTYNAME,MATCH(1,(xlRTTYENDU=2)*(xlRTTYEQCL=$F605)*(xlRTEQTYPE=$G605),0))</f>
        <v>CENT_AIR3</v>
      </c>
    </row>
    <row r="606" spans="2:25" x14ac:dyDescent="0.2">
      <c r="B606" s="126">
        <v>1</v>
      </c>
      <c r="C606" s="126">
        <v>1</v>
      </c>
      <c r="D606" s="126">
        <v>6</v>
      </c>
      <c r="E606" s="126">
        <v>20</v>
      </c>
      <c r="F606" s="126">
        <v>2</v>
      </c>
      <c r="G606" s="126">
        <v>7</v>
      </c>
      <c r="H606" s="159">
        <v>2033</v>
      </c>
      <c r="I606" s="126">
        <v>2050</v>
      </c>
      <c r="J606" s="127">
        <v>1.0803</v>
      </c>
      <c r="K606" s="127">
        <v>1.0667</v>
      </c>
      <c r="L606" s="127">
        <v>0.46639999999999998</v>
      </c>
      <c r="M606" s="127">
        <v>0.94740000000000002</v>
      </c>
      <c r="N606" s="127">
        <v>0.79790000000000005</v>
      </c>
      <c r="O606" s="127">
        <v>1.0538000000000001</v>
      </c>
      <c r="P606" s="126">
        <v>12599</v>
      </c>
      <c r="Q606" s="128">
        <f t="array" ref="Q606">SUM(IF(($S606&gt;=4)*($C606='TaxCred&amp;Subs'!$D$123:$D$127)*($H606='TaxCred&amp;Subs'!$C$123:$C$127)*($H606&lt;='TaxCred&amp;Subs'!$C$129),'TaxCred&amp;Subs'!$E$123:$E$127,0))</f>
        <v>0</v>
      </c>
      <c r="R606" s="174">
        <v>0</v>
      </c>
      <c r="S606" s="126">
        <v>4</v>
      </c>
      <c r="T606" s="126" t="s">
        <v>248</v>
      </c>
      <c r="V606" s="153" t="str">
        <f t="array" ref="V606">INDEX(xlRTCLNAME,MATCH(1,(xlRTCLENDU=1)*(xlRTCLEQCL=$D606),0))</f>
        <v>LPG_FA</v>
      </c>
      <c r="W606" s="153" t="str">
        <f t="array" ref="W606">INDEX(xlRTCLNAME,MATCH(1,(xlRTCLENDU=2)*(xlRTCLEQCL=$F606),0))</f>
        <v>CENT_AIR</v>
      </c>
      <c r="X606" s="153" t="str">
        <f t="array" ref="X606">INDEX(xlRTTYNAME,MATCH(1,(xlRTTYENDU=1)*(xlRTTYEQCL=$D606)*(xlRTEQTYPE=$E606),0))</f>
        <v>LPG_FA3</v>
      </c>
      <c r="Y606" s="153" t="str">
        <f t="array" ref="Y606">INDEX(xlRTTYNAME,MATCH(1,(xlRTTYENDU=2)*(xlRTTYEQCL=$F606)*(xlRTEQTYPE=$G606),0))</f>
        <v>CENT_AIR3</v>
      </c>
    </row>
    <row r="607" spans="2:25" x14ac:dyDescent="0.2">
      <c r="B607" s="126">
        <v>2</v>
      </c>
      <c r="C607" s="126">
        <v>1</v>
      </c>
      <c r="D607" s="126">
        <v>6</v>
      </c>
      <c r="E607" s="126">
        <v>20</v>
      </c>
      <c r="F607" s="126">
        <v>2</v>
      </c>
      <c r="G607" s="126">
        <v>7</v>
      </c>
      <c r="H607" s="126">
        <v>2016</v>
      </c>
      <c r="I607" s="159">
        <v>2022</v>
      </c>
      <c r="J607" s="127">
        <v>1.0649</v>
      </c>
      <c r="K607" s="127">
        <v>1.0597000000000001</v>
      </c>
      <c r="L607" s="127">
        <v>0.49669999999999997</v>
      </c>
      <c r="M607" s="127">
        <v>0.82399999999999995</v>
      </c>
      <c r="N607" s="127">
        <v>0.93169999999999997</v>
      </c>
      <c r="O607" s="127">
        <v>1.0538000000000001</v>
      </c>
      <c r="P607" s="126">
        <v>14975</v>
      </c>
      <c r="Q607" s="128">
        <f t="array" ref="Q607">SUM(IF(($S607&gt;=4)*($C607='TaxCred&amp;Subs'!$D$123:$D$127)*($H607='TaxCred&amp;Subs'!$C$123:$C$127)*($H607&lt;='TaxCred&amp;Subs'!$C$129),'TaxCred&amp;Subs'!$E$123:$E$127,0))</f>
        <v>2000</v>
      </c>
      <c r="R607" s="174">
        <v>0</v>
      </c>
      <c r="S607" s="126">
        <v>4</v>
      </c>
      <c r="T607" s="126" t="s">
        <v>248</v>
      </c>
      <c r="V607" s="153" t="str">
        <f t="array" ref="V607">INDEX(xlRTCLNAME,MATCH(1,(xlRTCLENDU=1)*(xlRTCLEQCL=$D607),0))</f>
        <v>LPG_FA</v>
      </c>
      <c r="W607" s="153" t="str">
        <f t="array" ref="W607">INDEX(xlRTCLNAME,MATCH(1,(xlRTCLENDU=2)*(xlRTCLEQCL=$F607),0))</f>
        <v>CENT_AIR</v>
      </c>
      <c r="X607" s="153" t="str">
        <f t="array" ref="X607">INDEX(xlRTTYNAME,MATCH(1,(xlRTTYENDU=1)*(xlRTTYEQCL=$D607)*(xlRTEQTYPE=$E607),0))</f>
        <v>LPG_FA3</v>
      </c>
      <c r="Y607" s="153" t="str">
        <f t="array" ref="Y607">INDEX(xlRTTYNAME,MATCH(1,(xlRTTYENDU=2)*(xlRTTYEQCL=$F607)*(xlRTEQTYPE=$G607),0))</f>
        <v>CENT_AIR3</v>
      </c>
    </row>
    <row r="608" spans="2:25" x14ac:dyDescent="0.2">
      <c r="B608" s="49">
        <v>2</v>
      </c>
      <c r="C608" s="49">
        <v>1</v>
      </c>
      <c r="D608" s="49">
        <v>6</v>
      </c>
      <c r="E608" s="49">
        <v>20</v>
      </c>
      <c r="F608" s="49">
        <v>2</v>
      </c>
      <c r="G608" s="49">
        <v>7</v>
      </c>
      <c r="H608" s="49">
        <v>2023</v>
      </c>
      <c r="I608" s="49">
        <v>2032</v>
      </c>
      <c r="J608" s="50">
        <v>1.0649</v>
      </c>
      <c r="K608" s="50">
        <v>1.0597000000000001</v>
      </c>
      <c r="L608" s="50">
        <v>0.49669999999999997</v>
      </c>
      <c r="M608" s="50">
        <v>0.82399999999999995</v>
      </c>
      <c r="N608" s="50">
        <v>0.93169999999999997</v>
      </c>
      <c r="O608" s="50">
        <v>1.0538000000000001</v>
      </c>
      <c r="P608" s="49">
        <v>14975</v>
      </c>
      <c r="Q608" s="51">
        <f t="array" ref="Q608">SUM(IF(($S608&gt;=4)*($C608='TaxCred&amp;Subs'!$D$123:$D$127)*($H608='TaxCred&amp;Subs'!$C$123:$C$127)*($H608&lt;='TaxCred&amp;Subs'!$C$129),'TaxCred&amp;Subs'!$E$123:$E$127,0))</f>
        <v>2500</v>
      </c>
      <c r="R608" s="171">
        <v>0</v>
      </c>
      <c r="S608" s="49">
        <v>4</v>
      </c>
      <c r="T608" s="49" t="s">
        <v>248</v>
      </c>
      <c r="V608" s="153" t="str">
        <f t="array" ref="V608">INDEX(xlRTCLNAME,MATCH(1,(xlRTCLENDU=1)*(xlRTCLEQCL=$D608),0))</f>
        <v>LPG_FA</v>
      </c>
      <c r="W608" s="153" t="str">
        <f t="array" ref="W608">INDEX(xlRTCLNAME,MATCH(1,(xlRTCLENDU=2)*(xlRTCLEQCL=$F608),0))</f>
        <v>CENT_AIR</v>
      </c>
      <c r="X608" s="153" t="str">
        <f t="array" ref="X608">INDEX(xlRTTYNAME,MATCH(1,(xlRTTYENDU=1)*(xlRTTYEQCL=$D608)*(xlRTEQTYPE=$E608),0))</f>
        <v>LPG_FA3</v>
      </c>
      <c r="Y608" s="153" t="str">
        <f t="array" ref="Y608">INDEX(xlRTTYNAME,MATCH(1,(xlRTTYENDU=2)*(xlRTTYEQCL=$F608)*(xlRTEQTYPE=$G608),0))</f>
        <v>CENT_AIR3</v>
      </c>
    </row>
    <row r="609" spans="1:25" x14ac:dyDescent="0.2">
      <c r="B609" s="126">
        <v>2</v>
      </c>
      <c r="C609" s="126">
        <v>1</v>
      </c>
      <c r="D609" s="126">
        <v>6</v>
      </c>
      <c r="E609" s="126">
        <v>20</v>
      </c>
      <c r="F609" s="126">
        <v>2</v>
      </c>
      <c r="G609" s="126">
        <v>7</v>
      </c>
      <c r="H609" s="159">
        <v>2033</v>
      </c>
      <c r="I609" s="126">
        <v>2050</v>
      </c>
      <c r="J609" s="127">
        <v>1.0649</v>
      </c>
      <c r="K609" s="127">
        <v>1.0597000000000001</v>
      </c>
      <c r="L609" s="127">
        <v>0.49669999999999997</v>
      </c>
      <c r="M609" s="127">
        <v>0.82399999999999995</v>
      </c>
      <c r="N609" s="127">
        <v>0.93169999999999997</v>
      </c>
      <c r="O609" s="127">
        <v>1.0538000000000001</v>
      </c>
      <c r="P609" s="126">
        <v>14975</v>
      </c>
      <c r="Q609" s="128">
        <f t="array" ref="Q609">SUM(IF(($S609&gt;=4)*($C609='TaxCred&amp;Subs'!$D$123:$D$127)*($H609='TaxCred&amp;Subs'!$C$123:$C$127)*($H609&lt;='TaxCred&amp;Subs'!$C$129),'TaxCred&amp;Subs'!$E$123:$E$127,0))</f>
        <v>0</v>
      </c>
      <c r="R609" s="174">
        <v>0</v>
      </c>
      <c r="S609" s="126">
        <v>4</v>
      </c>
      <c r="T609" s="126" t="s">
        <v>248</v>
      </c>
      <c r="V609" s="153" t="str">
        <f t="array" ref="V609">INDEX(xlRTCLNAME,MATCH(1,(xlRTCLENDU=1)*(xlRTCLEQCL=$D609),0))</f>
        <v>LPG_FA</v>
      </c>
      <c r="W609" s="153" t="str">
        <f t="array" ref="W609">INDEX(xlRTCLNAME,MATCH(1,(xlRTCLENDU=2)*(xlRTCLEQCL=$F609),0))</f>
        <v>CENT_AIR</v>
      </c>
      <c r="X609" s="153" t="str">
        <f t="array" ref="X609">INDEX(xlRTTYNAME,MATCH(1,(xlRTTYENDU=1)*(xlRTTYEQCL=$D609)*(xlRTEQTYPE=$E609),0))</f>
        <v>LPG_FA3</v>
      </c>
      <c r="Y609" s="153" t="str">
        <f t="array" ref="Y609">INDEX(xlRTTYNAME,MATCH(1,(xlRTTYENDU=2)*(xlRTTYEQCL=$F609)*(xlRTEQTYPE=$G609),0))</f>
        <v>CENT_AIR3</v>
      </c>
    </row>
    <row r="610" spans="1:25" x14ac:dyDescent="0.2">
      <c r="B610" s="126">
        <v>3</v>
      </c>
      <c r="C610" s="126">
        <v>1</v>
      </c>
      <c r="D610" s="126">
        <v>6</v>
      </c>
      <c r="E610" s="126">
        <v>20</v>
      </c>
      <c r="F610" s="126">
        <v>2</v>
      </c>
      <c r="G610" s="126">
        <v>7</v>
      </c>
      <c r="H610" s="126">
        <v>2016</v>
      </c>
      <c r="I610" s="159">
        <v>2022</v>
      </c>
      <c r="J610" s="127">
        <v>1.0469999999999999</v>
      </c>
      <c r="K610" s="127">
        <v>1.0769</v>
      </c>
      <c r="L610" s="127">
        <v>0.45619999999999999</v>
      </c>
      <c r="M610" s="127">
        <v>0.90190000000000003</v>
      </c>
      <c r="N610" s="127">
        <v>0.91600000000000004</v>
      </c>
      <c r="O610" s="127">
        <v>1.0538000000000001</v>
      </c>
      <c r="P610" s="126">
        <v>12841</v>
      </c>
      <c r="Q610" s="128">
        <f t="array" ref="Q610">SUM(IF(($S610&gt;=4)*($C610='TaxCred&amp;Subs'!$D$123:$D$127)*($H610='TaxCred&amp;Subs'!$C$123:$C$127)*($H610&lt;='TaxCred&amp;Subs'!$C$129),'TaxCred&amp;Subs'!$E$123:$E$127,0))</f>
        <v>2000</v>
      </c>
      <c r="R610" s="174">
        <v>0</v>
      </c>
      <c r="S610" s="126">
        <v>4</v>
      </c>
      <c r="T610" s="126" t="s">
        <v>248</v>
      </c>
      <c r="V610" s="153" t="str">
        <f t="array" ref="V610">INDEX(xlRTCLNAME,MATCH(1,(xlRTCLENDU=1)*(xlRTCLEQCL=$D610),0))</f>
        <v>LPG_FA</v>
      </c>
      <c r="W610" s="153" t="str">
        <f t="array" ref="W610">INDEX(xlRTCLNAME,MATCH(1,(xlRTCLENDU=2)*(xlRTCLEQCL=$F610),0))</f>
        <v>CENT_AIR</v>
      </c>
      <c r="X610" s="153" t="str">
        <f t="array" ref="X610">INDEX(xlRTTYNAME,MATCH(1,(xlRTTYENDU=1)*(xlRTTYEQCL=$D610)*(xlRTEQTYPE=$E610),0))</f>
        <v>LPG_FA3</v>
      </c>
      <c r="Y610" s="153" t="str">
        <f t="array" ref="Y610">INDEX(xlRTTYNAME,MATCH(1,(xlRTTYENDU=2)*(xlRTTYEQCL=$F610)*(xlRTEQTYPE=$G610),0))</f>
        <v>CENT_AIR3</v>
      </c>
    </row>
    <row r="611" spans="1:25" x14ac:dyDescent="0.2">
      <c r="B611" s="49">
        <v>3</v>
      </c>
      <c r="C611" s="49">
        <v>1</v>
      </c>
      <c r="D611" s="49">
        <v>6</v>
      </c>
      <c r="E611" s="49">
        <v>20</v>
      </c>
      <c r="F611" s="49">
        <v>2</v>
      </c>
      <c r="G611" s="49">
        <v>7</v>
      </c>
      <c r="H611" s="49">
        <v>2023</v>
      </c>
      <c r="I611" s="49">
        <v>2032</v>
      </c>
      <c r="J611" s="50">
        <v>1.0469999999999999</v>
      </c>
      <c r="K611" s="50">
        <v>1.0769</v>
      </c>
      <c r="L611" s="50">
        <v>0.45619999999999999</v>
      </c>
      <c r="M611" s="50">
        <v>0.90190000000000003</v>
      </c>
      <c r="N611" s="50">
        <v>0.91600000000000004</v>
      </c>
      <c r="O611" s="50">
        <v>1.0538000000000001</v>
      </c>
      <c r="P611" s="49">
        <v>12841</v>
      </c>
      <c r="Q611" s="51">
        <f t="array" ref="Q611">SUM(IF(($S611&gt;=4)*($C611='TaxCred&amp;Subs'!$D$123:$D$127)*($H611='TaxCred&amp;Subs'!$C$123:$C$127)*($H611&lt;='TaxCred&amp;Subs'!$C$129),'TaxCred&amp;Subs'!$E$123:$E$127,0))</f>
        <v>2500</v>
      </c>
      <c r="R611" s="171">
        <v>0</v>
      </c>
      <c r="S611" s="49">
        <v>4</v>
      </c>
      <c r="T611" s="49" t="s">
        <v>248</v>
      </c>
      <c r="V611" s="153" t="str">
        <f t="array" ref="V611">INDEX(xlRTCLNAME,MATCH(1,(xlRTCLENDU=1)*(xlRTCLEQCL=$D611),0))</f>
        <v>LPG_FA</v>
      </c>
      <c r="W611" s="153" t="str">
        <f t="array" ref="W611">INDEX(xlRTCLNAME,MATCH(1,(xlRTCLENDU=2)*(xlRTCLEQCL=$F611),0))</f>
        <v>CENT_AIR</v>
      </c>
      <c r="X611" s="153" t="str">
        <f t="array" ref="X611">INDEX(xlRTTYNAME,MATCH(1,(xlRTTYENDU=1)*(xlRTTYEQCL=$D611)*(xlRTEQTYPE=$E611),0))</f>
        <v>LPG_FA3</v>
      </c>
      <c r="Y611" s="153" t="str">
        <f t="array" ref="Y611">INDEX(xlRTTYNAME,MATCH(1,(xlRTTYENDU=2)*(xlRTTYEQCL=$F611)*(xlRTEQTYPE=$G611),0))</f>
        <v>CENT_AIR3</v>
      </c>
    </row>
    <row r="612" spans="1:25" s="157" customFormat="1" x14ac:dyDescent="0.2">
      <c r="A612"/>
      <c r="B612" s="126">
        <v>3</v>
      </c>
      <c r="C612" s="126">
        <v>1</v>
      </c>
      <c r="D612" s="126">
        <v>6</v>
      </c>
      <c r="E612" s="126">
        <v>20</v>
      </c>
      <c r="F612" s="126">
        <v>2</v>
      </c>
      <c r="G612" s="126">
        <v>7</v>
      </c>
      <c r="H612" s="159">
        <v>2033</v>
      </c>
      <c r="I612" s="126">
        <v>2050</v>
      </c>
      <c r="J612" s="127">
        <v>1.0469999999999999</v>
      </c>
      <c r="K612" s="127">
        <v>1.0769</v>
      </c>
      <c r="L612" s="127">
        <v>0.45619999999999999</v>
      </c>
      <c r="M612" s="127">
        <v>0.90190000000000003</v>
      </c>
      <c r="N612" s="127">
        <v>0.91600000000000004</v>
      </c>
      <c r="O612" s="127">
        <v>1.0538000000000001</v>
      </c>
      <c r="P612" s="126">
        <v>12841</v>
      </c>
      <c r="Q612" s="128">
        <f t="array" ref="Q612">SUM(IF(($S612&gt;=4)*($C612='TaxCred&amp;Subs'!$D$123:$D$127)*($H612='TaxCred&amp;Subs'!$C$123:$C$127)*($H612&lt;='TaxCred&amp;Subs'!$C$129),'TaxCred&amp;Subs'!$E$123:$E$127,0))</f>
        <v>0</v>
      </c>
      <c r="R612" s="174">
        <v>0</v>
      </c>
      <c r="S612" s="126">
        <v>4</v>
      </c>
      <c r="T612" s="126" t="s">
        <v>248</v>
      </c>
      <c r="U612"/>
      <c r="V612" s="153" t="str">
        <f t="array" ref="V612">INDEX(xlRTCLNAME,MATCH(1,(xlRTCLENDU=1)*(xlRTCLEQCL=$D612),0))</f>
        <v>LPG_FA</v>
      </c>
      <c r="W612" s="153" t="str">
        <f t="array" ref="W612">INDEX(xlRTCLNAME,MATCH(1,(xlRTCLENDU=2)*(xlRTCLEQCL=$F612),0))</f>
        <v>CENT_AIR</v>
      </c>
      <c r="X612" s="153" t="str">
        <f t="array" ref="X612">INDEX(xlRTTYNAME,MATCH(1,(xlRTTYENDU=1)*(xlRTTYEQCL=$D612)*(xlRTEQTYPE=$E612),0))</f>
        <v>LPG_FA3</v>
      </c>
      <c r="Y612" s="153" t="str">
        <f t="array" ref="Y612">INDEX(xlRTTYNAME,MATCH(1,(xlRTTYENDU=2)*(xlRTTYEQCL=$F612)*(xlRTEQTYPE=$G612),0))</f>
        <v>CENT_AIR3</v>
      </c>
    </row>
    <row r="613" spans="1:25" s="157" customFormat="1" x14ac:dyDescent="0.2">
      <c r="A613"/>
      <c r="B613" s="126">
        <v>4</v>
      </c>
      <c r="C613" s="126">
        <v>1</v>
      </c>
      <c r="D613" s="126">
        <v>6</v>
      </c>
      <c r="E613" s="126">
        <v>20</v>
      </c>
      <c r="F613" s="126">
        <v>2</v>
      </c>
      <c r="G613" s="126">
        <v>7</v>
      </c>
      <c r="H613" s="126">
        <v>2016</v>
      </c>
      <c r="I613" s="159">
        <v>2022</v>
      </c>
      <c r="J613" s="127">
        <v>1.0862000000000001</v>
      </c>
      <c r="K613" s="127">
        <v>1.0769</v>
      </c>
      <c r="L613" s="127">
        <v>0.45779999999999998</v>
      </c>
      <c r="M613" s="127">
        <v>0.85729999999999995</v>
      </c>
      <c r="N613" s="127">
        <v>0.85770000000000002</v>
      </c>
      <c r="O613" s="127">
        <v>1.0538000000000001</v>
      </c>
      <c r="P613" s="126">
        <v>10457</v>
      </c>
      <c r="Q613" s="128">
        <f t="array" ref="Q613">SUM(IF(($S613&gt;=4)*($C613='TaxCred&amp;Subs'!$D$123:$D$127)*($H613='TaxCred&amp;Subs'!$C$123:$C$127)*($H613&lt;='TaxCred&amp;Subs'!$C$129),'TaxCred&amp;Subs'!$E$123:$E$127,0))</f>
        <v>2000</v>
      </c>
      <c r="R613" s="174">
        <v>0</v>
      </c>
      <c r="S613" s="126">
        <v>4</v>
      </c>
      <c r="T613" s="126" t="s">
        <v>248</v>
      </c>
      <c r="U613"/>
      <c r="V613" s="153" t="str">
        <f t="array" ref="V613">INDEX(xlRTCLNAME,MATCH(1,(xlRTCLENDU=1)*(xlRTCLEQCL=$D613),0))</f>
        <v>LPG_FA</v>
      </c>
      <c r="W613" s="153" t="str">
        <f t="array" ref="W613">INDEX(xlRTCLNAME,MATCH(1,(xlRTCLENDU=2)*(xlRTCLEQCL=$F613),0))</f>
        <v>CENT_AIR</v>
      </c>
      <c r="X613" s="153" t="str">
        <f t="array" ref="X613">INDEX(xlRTTYNAME,MATCH(1,(xlRTTYENDU=1)*(xlRTTYEQCL=$D613)*(xlRTEQTYPE=$E613),0))</f>
        <v>LPG_FA3</v>
      </c>
      <c r="Y613" s="153" t="str">
        <f t="array" ref="Y613">INDEX(xlRTTYNAME,MATCH(1,(xlRTTYENDU=2)*(xlRTTYEQCL=$F613)*(xlRTEQTYPE=$G613),0))</f>
        <v>CENT_AIR3</v>
      </c>
    </row>
    <row r="614" spans="1:25" x14ac:dyDescent="0.2">
      <c r="B614" s="49">
        <v>4</v>
      </c>
      <c r="C614" s="49">
        <v>1</v>
      </c>
      <c r="D614" s="49">
        <v>6</v>
      </c>
      <c r="E614" s="49">
        <v>20</v>
      </c>
      <c r="F614" s="49">
        <v>2</v>
      </c>
      <c r="G614" s="49">
        <v>7</v>
      </c>
      <c r="H614" s="49">
        <v>2023</v>
      </c>
      <c r="I614" s="49">
        <v>2032</v>
      </c>
      <c r="J614" s="50">
        <v>1.0862000000000001</v>
      </c>
      <c r="K614" s="50">
        <v>1.0769</v>
      </c>
      <c r="L614" s="50">
        <v>0.45779999999999998</v>
      </c>
      <c r="M614" s="50">
        <v>0.85729999999999995</v>
      </c>
      <c r="N614" s="50">
        <v>0.85770000000000002</v>
      </c>
      <c r="O614" s="50">
        <v>1.0538000000000001</v>
      </c>
      <c r="P614" s="49">
        <v>10457</v>
      </c>
      <c r="Q614" s="51">
        <f t="array" ref="Q614">SUM(IF(($S614&gt;=4)*($C614='TaxCred&amp;Subs'!$D$123:$D$127)*($H614='TaxCred&amp;Subs'!$C$123:$C$127)*($H614&lt;='TaxCred&amp;Subs'!$C$129),'TaxCred&amp;Subs'!$E$123:$E$127,0))</f>
        <v>2500</v>
      </c>
      <c r="R614" s="171">
        <v>0</v>
      </c>
      <c r="S614" s="49">
        <v>4</v>
      </c>
      <c r="T614" s="49" t="s">
        <v>248</v>
      </c>
      <c r="V614" s="153" t="str">
        <f t="array" ref="V614">INDEX(xlRTCLNAME,MATCH(1,(xlRTCLENDU=1)*(xlRTCLEQCL=$D614),0))</f>
        <v>LPG_FA</v>
      </c>
      <c r="W614" s="153" t="str">
        <f t="array" ref="W614">INDEX(xlRTCLNAME,MATCH(1,(xlRTCLENDU=2)*(xlRTCLEQCL=$F614),0))</f>
        <v>CENT_AIR</v>
      </c>
      <c r="X614" s="153" t="str">
        <f t="array" ref="X614">INDEX(xlRTTYNAME,MATCH(1,(xlRTTYENDU=1)*(xlRTTYEQCL=$D614)*(xlRTEQTYPE=$E614),0))</f>
        <v>LPG_FA3</v>
      </c>
      <c r="Y614" s="153" t="str">
        <f t="array" ref="Y614">INDEX(xlRTTYNAME,MATCH(1,(xlRTTYENDU=2)*(xlRTTYEQCL=$F614)*(xlRTEQTYPE=$G614),0))</f>
        <v>CENT_AIR3</v>
      </c>
    </row>
    <row r="615" spans="1:25" x14ac:dyDescent="0.2">
      <c r="B615" s="126">
        <v>4</v>
      </c>
      <c r="C615" s="126">
        <v>1</v>
      </c>
      <c r="D615" s="126">
        <v>6</v>
      </c>
      <c r="E615" s="126">
        <v>20</v>
      </c>
      <c r="F615" s="126">
        <v>2</v>
      </c>
      <c r="G615" s="126">
        <v>7</v>
      </c>
      <c r="H615" s="159">
        <v>2033</v>
      </c>
      <c r="I615" s="126">
        <v>2050</v>
      </c>
      <c r="J615" s="127">
        <v>1.0862000000000001</v>
      </c>
      <c r="K615" s="127">
        <v>1.0769</v>
      </c>
      <c r="L615" s="127">
        <v>0.45779999999999998</v>
      </c>
      <c r="M615" s="127">
        <v>0.85729999999999995</v>
      </c>
      <c r="N615" s="127">
        <v>0.85770000000000002</v>
      </c>
      <c r="O615" s="127">
        <v>1.0538000000000001</v>
      </c>
      <c r="P615" s="126">
        <v>10457</v>
      </c>
      <c r="Q615" s="128">
        <f t="array" ref="Q615">SUM(IF(($S615&gt;=4)*($C615='TaxCred&amp;Subs'!$D$123:$D$127)*($H615='TaxCred&amp;Subs'!$C$123:$C$127)*($H615&lt;='TaxCred&amp;Subs'!$C$129),'TaxCred&amp;Subs'!$E$123:$E$127,0))</f>
        <v>0</v>
      </c>
      <c r="R615" s="174">
        <v>0</v>
      </c>
      <c r="S615" s="126">
        <v>4</v>
      </c>
      <c r="T615" s="126" t="s">
        <v>248</v>
      </c>
      <c r="V615" s="153" t="str">
        <f t="array" ref="V615">INDEX(xlRTCLNAME,MATCH(1,(xlRTCLENDU=1)*(xlRTCLEQCL=$D615),0))</f>
        <v>LPG_FA</v>
      </c>
      <c r="W615" s="153" t="str">
        <f t="array" ref="W615">INDEX(xlRTCLNAME,MATCH(1,(xlRTCLENDU=2)*(xlRTCLEQCL=$F615),0))</f>
        <v>CENT_AIR</v>
      </c>
      <c r="X615" s="153" t="str">
        <f t="array" ref="X615">INDEX(xlRTTYNAME,MATCH(1,(xlRTTYENDU=1)*(xlRTTYEQCL=$D615)*(xlRTEQTYPE=$E615),0))</f>
        <v>LPG_FA3</v>
      </c>
      <c r="Y615" s="153" t="str">
        <f t="array" ref="Y615">INDEX(xlRTTYNAME,MATCH(1,(xlRTTYENDU=2)*(xlRTTYEQCL=$F615)*(xlRTEQTYPE=$G615),0))</f>
        <v>CENT_AIR3</v>
      </c>
    </row>
    <row r="616" spans="1:25" x14ac:dyDescent="0.2">
      <c r="B616" s="126">
        <v>5</v>
      </c>
      <c r="C616" s="126">
        <v>1</v>
      </c>
      <c r="D616" s="126">
        <v>6</v>
      </c>
      <c r="E616" s="126">
        <v>20</v>
      </c>
      <c r="F616" s="126">
        <v>2</v>
      </c>
      <c r="G616" s="126">
        <v>7</v>
      </c>
      <c r="H616" s="126">
        <v>2016</v>
      </c>
      <c r="I616" s="159">
        <v>2022</v>
      </c>
      <c r="J616" s="127">
        <v>1.0849</v>
      </c>
      <c r="K616" s="127">
        <v>1.0471999999999999</v>
      </c>
      <c r="L616" s="127">
        <v>0.41520000000000001</v>
      </c>
      <c r="M616" s="127">
        <v>0.77729999999999999</v>
      </c>
      <c r="N616" s="127">
        <v>0.76180000000000003</v>
      </c>
      <c r="O616" s="127">
        <v>1.0538000000000001</v>
      </c>
      <c r="P616" s="126">
        <v>9750</v>
      </c>
      <c r="Q616" s="128">
        <f t="array" ref="Q616">SUM(IF(($S616&gt;=4)*($C616='TaxCred&amp;Subs'!$D$123:$D$127)*($H616='TaxCred&amp;Subs'!$C$123:$C$127)*($H616&lt;='TaxCred&amp;Subs'!$C$129),'TaxCred&amp;Subs'!$E$123:$E$127,0))</f>
        <v>2000</v>
      </c>
      <c r="R616" s="174">
        <v>0</v>
      </c>
      <c r="S616" s="126">
        <v>4</v>
      </c>
      <c r="T616" s="126" t="s">
        <v>248</v>
      </c>
      <c r="V616" s="153" t="str">
        <f t="array" ref="V616">INDEX(xlRTCLNAME,MATCH(1,(xlRTCLENDU=1)*(xlRTCLEQCL=$D616),0))</f>
        <v>LPG_FA</v>
      </c>
      <c r="W616" s="153" t="str">
        <f t="array" ref="W616">INDEX(xlRTCLNAME,MATCH(1,(xlRTCLENDU=2)*(xlRTCLEQCL=$F616),0))</f>
        <v>CENT_AIR</v>
      </c>
      <c r="X616" s="153" t="str">
        <f t="array" ref="X616">INDEX(xlRTTYNAME,MATCH(1,(xlRTTYENDU=1)*(xlRTTYEQCL=$D616)*(xlRTEQTYPE=$E616),0))</f>
        <v>LPG_FA3</v>
      </c>
      <c r="Y616" s="153" t="str">
        <f t="array" ref="Y616">INDEX(xlRTTYNAME,MATCH(1,(xlRTTYENDU=2)*(xlRTTYEQCL=$F616)*(xlRTEQTYPE=$G616),0))</f>
        <v>CENT_AIR3</v>
      </c>
    </row>
    <row r="617" spans="1:25" s="158" customFormat="1" x14ac:dyDescent="0.2">
      <c r="A617"/>
      <c r="B617" s="49">
        <v>5</v>
      </c>
      <c r="C617" s="49">
        <v>1</v>
      </c>
      <c r="D617" s="49">
        <v>6</v>
      </c>
      <c r="E617" s="49">
        <v>20</v>
      </c>
      <c r="F617" s="49">
        <v>2</v>
      </c>
      <c r="G617" s="49">
        <v>7</v>
      </c>
      <c r="H617" s="49">
        <v>2023</v>
      </c>
      <c r="I617" s="49">
        <v>2032</v>
      </c>
      <c r="J617" s="50">
        <v>1.0849</v>
      </c>
      <c r="K617" s="50">
        <v>1.0471999999999999</v>
      </c>
      <c r="L617" s="50">
        <v>0.41520000000000001</v>
      </c>
      <c r="M617" s="50">
        <v>0.77729999999999999</v>
      </c>
      <c r="N617" s="50">
        <v>0.76180000000000003</v>
      </c>
      <c r="O617" s="50">
        <v>1.0538000000000001</v>
      </c>
      <c r="P617" s="49">
        <v>9750</v>
      </c>
      <c r="Q617" s="51">
        <f t="array" ref="Q617">SUM(IF(($S617&gt;=4)*($C617='TaxCred&amp;Subs'!$D$123:$D$127)*($H617='TaxCred&amp;Subs'!$C$123:$C$127)*($H617&lt;='TaxCred&amp;Subs'!$C$129),'TaxCred&amp;Subs'!$E$123:$E$127,0))</f>
        <v>2500</v>
      </c>
      <c r="R617" s="171">
        <v>0</v>
      </c>
      <c r="S617" s="49">
        <v>4</v>
      </c>
      <c r="T617" s="49" t="s">
        <v>248</v>
      </c>
      <c r="U617"/>
      <c r="V617" s="153" t="str">
        <f t="array" ref="V617">INDEX(xlRTCLNAME,MATCH(1,(xlRTCLENDU=1)*(xlRTCLEQCL=$D617),0))</f>
        <v>LPG_FA</v>
      </c>
      <c r="W617" s="153" t="str">
        <f t="array" ref="W617">INDEX(xlRTCLNAME,MATCH(1,(xlRTCLENDU=2)*(xlRTCLEQCL=$F617),0))</f>
        <v>CENT_AIR</v>
      </c>
      <c r="X617" s="153" t="str">
        <f t="array" ref="X617">INDEX(xlRTTYNAME,MATCH(1,(xlRTTYENDU=1)*(xlRTTYEQCL=$D617)*(xlRTEQTYPE=$E617),0))</f>
        <v>LPG_FA3</v>
      </c>
      <c r="Y617" s="153" t="str">
        <f t="array" ref="Y617">INDEX(xlRTTYNAME,MATCH(1,(xlRTTYENDU=2)*(xlRTTYEQCL=$F617)*(xlRTEQTYPE=$G617),0))</f>
        <v>CENT_AIR3</v>
      </c>
    </row>
    <row r="618" spans="1:25" s="158" customFormat="1" x14ac:dyDescent="0.2">
      <c r="A618"/>
      <c r="B618" s="126">
        <v>5</v>
      </c>
      <c r="C618" s="126">
        <v>1</v>
      </c>
      <c r="D618" s="126">
        <v>6</v>
      </c>
      <c r="E618" s="126">
        <v>20</v>
      </c>
      <c r="F618" s="126">
        <v>2</v>
      </c>
      <c r="G618" s="126">
        <v>7</v>
      </c>
      <c r="H618" s="159">
        <v>2033</v>
      </c>
      <c r="I618" s="126">
        <v>2050</v>
      </c>
      <c r="J618" s="127">
        <v>1.0849</v>
      </c>
      <c r="K618" s="127">
        <v>1.0471999999999999</v>
      </c>
      <c r="L618" s="127">
        <v>0.41520000000000001</v>
      </c>
      <c r="M618" s="127">
        <v>0.77729999999999999</v>
      </c>
      <c r="N618" s="127">
        <v>0.76180000000000003</v>
      </c>
      <c r="O618" s="127">
        <v>1.0538000000000001</v>
      </c>
      <c r="P618" s="126">
        <v>9750</v>
      </c>
      <c r="Q618" s="128">
        <f t="array" ref="Q618">SUM(IF(($S618&gt;=4)*($C618='TaxCred&amp;Subs'!$D$123:$D$127)*($H618='TaxCred&amp;Subs'!$C$123:$C$127)*($H618&lt;='TaxCred&amp;Subs'!$C$129),'TaxCred&amp;Subs'!$E$123:$E$127,0))</f>
        <v>0</v>
      </c>
      <c r="R618" s="174">
        <v>0</v>
      </c>
      <c r="S618" s="126">
        <v>4</v>
      </c>
      <c r="T618" s="126" t="s">
        <v>248</v>
      </c>
      <c r="U618"/>
      <c r="V618" s="153" t="str">
        <f t="array" ref="V618">INDEX(xlRTCLNAME,MATCH(1,(xlRTCLENDU=1)*(xlRTCLEQCL=$D618),0))</f>
        <v>LPG_FA</v>
      </c>
      <c r="W618" s="153" t="str">
        <f t="array" ref="W618">INDEX(xlRTCLNAME,MATCH(1,(xlRTCLENDU=2)*(xlRTCLEQCL=$F618),0))</f>
        <v>CENT_AIR</v>
      </c>
      <c r="X618" s="153" t="str">
        <f t="array" ref="X618">INDEX(xlRTTYNAME,MATCH(1,(xlRTTYENDU=1)*(xlRTTYEQCL=$D618)*(xlRTEQTYPE=$E618),0))</f>
        <v>LPG_FA3</v>
      </c>
      <c r="Y618" s="153" t="str">
        <f t="array" ref="Y618">INDEX(xlRTTYNAME,MATCH(1,(xlRTTYENDU=2)*(xlRTTYEQCL=$F618)*(xlRTEQTYPE=$G618),0))</f>
        <v>CENT_AIR3</v>
      </c>
    </row>
    <row r="619" spans="1:25" x14ac:dyDescent="0.2">
      <c r="B619" s="126">
        <v>6</v>
      </c>
      <c r="C619" s="126">
        <v>1</v>
      </c>
      <c r="D619" s="126">
        <v>6</v>
      </c>
      <c r="E619" s="126">
        <v>20</v>
      </c>
      <c r="F619" s="126">
        <v>2</v>
      </c>
      <c r="G619" s="126">
        <v>7</v>
      </c>
      <c r="H619" s="126">
        <v>2016</v>
      </c>
      <c r="I619" s="159">
        <v>2022</v>
      </c>
      <c r="J619" s="127">
        <v>1.0924</v>
      </c>
      <c r="K619" s="127">
        <v>1.0661</v>
      </c>
      <c r="L619" s="127">
        <v>0.57899999999999996</v>
      </c>
      <c r="M619" s="127">
        <v>0.84570000000000001</v>
      </c>
      <c r="N619" s="127">
        <v>0.89100000000000001</v>
      </c>
      <c r="O619" s="127">
        <v>1.0538000000000001</v>
      </c>
      <c r="P619" s="126">
        <v>8802</v>
      </c>
      <c r="Q619" s="128">
        <f t="array" ref="Q619">SUM(IF(($S619&gt;=4)*($C619='TaxCred&amp;Subs'!$D$123:$D$127)*($H619='TaxCred&amp;Subs'!$C$123:$C$127)*($H619&lt;='TaxCred&amp;Subs'!$C$129),'TaxCred&amp;Subs'!$E$123:$E$127,0))</f>
        <v>2000</v>
      </c>
      <c r="R619" s="174">
        <v>0</v>
      </c>
      <c r="S619" s="126">
        <v>4</v>
      </c>
      <c r="T619" s="126" t="s">
        <v>248</v>
      </c>
      <c r="V619" s="153" t="str">
        <f t="array" ref="V619">INDEX(xlRTCLNAME,MATCH(1,(xlRTCLENDU=1)*(xlRTCLEQCL=$D619),0))</f>
        <v>LPG_FA</v>
      </c>
      <c r="W619" s="153" t="str">
        <f t="array" ref="W619">INDEX(xlRTCLNAME,MATCH(1,(xlRTCLENDU=2)*(xlRTCLEQCL=$F619),0))</f>
        <v>CENT_AIR</v>
      </c>
      <c r="X619" s="153" t="str">
        <f t="array" ref="X619">INDEX(xlRTTYNAME,MATCH(1,(xlRTTYENDU=1)*(xlRTTYEQCL=$D619)*(xlRTEQTYPE=$E619),0))</f>
        <v>LPG_FA3</v>
      </c>
      <c r="Y619" s="153" t="str">
        <f t="array" ref="Y619">INDEX(xlRTTYNAME,MATCH(1,(xlRTTYENDU=2)*(xlRTTYEQCL=$F619)*(xlRTEQTYPE=$G619),0))</f>
        <v>CENT_AIR3</v>
      </c>
    </row>
    <row r="620" spans="1:25" x14ac:dyDescent="0.2">
      <c r="B620" s="49">
        <v>6</v>
      </c>
      <c r="C620" s="49">
        <v>1</v>
      </c>
      <c r="D620" s="49">
        <v>6</v>
      </c>
      <c r="E620" s="49">
        <v>20</v>
      </c>
      <c r="F620" s="49">
        <v>2</v>
      </c>
      <c r="G620" s="49">
        <v>7</v>
      </c>
      <c r="H620" s="49">
        <v>2023</v>
      </c>
      <c r="I620" s="49">
        <v>2032</v>
      </c>
      <c r="J620" s="50">
        <v>1.0924</v>
      </c>
      <c r="K620" s="50">
        <v>1.0661</v>
      </c>
      <c r="L620" s="50">
        <v>0.57899999999999996</v>
      </c>
      <c r="M620" s="50">
        <v>0.84570000000000001</v>
      </c>
      <c r="N620" s="50">
        <v>0.89100000000000001</v>
      </c>
      <c r="O620" s="50">
        <v>1.0538000000000001</v>
      </c>
      <c r="P620" s="49">
        <v>8802</v>
      </c>
      <c r="Q620" s="51">
        <f t="array" ref="Q620">SUM(IF(($S620&gt;=4)*($C620='TaxCred&amp;Subs'!$D$123:$D$127)*($H620='TaxCred&amp;Subs'!$C$123:$C$127)*($H620&lt;='TaxCred&amp;Subs'!$C$129),'TaxCred&amp;Subs'!$E$123:$E$127,0))</f>
        <v>2500</v>
      </c>
      <c r="R620" s="171">
        <v>0</v>
      </c>
      <c r="S620" s="49">
        <v>4</v>
      </c>
      <c r="T620" s="49" t="s">
        <v>248</v>
      </c>
      <c r="V620" s="153" t="str">
        <f t="array" ref="V620">INDEX(xlRTCLNAME,MATCH(1,(xlRTCLENDU=1)*(xlRTCLEQCL=$D620),0))</f>
        <v>LPG_FA</v>
      </c>
      <c r="W620" s="153" t="str">
        <f t="array" ref="W620">INDEX(xlRTCLNAME,MATCH(1,(xlRTCLENDU=2)*(xlRTCLEQCL=$F620),0))</f>
        <v>CENT_AIR</v>
      </c>
      <c r="X620" s="153" t="str">
        <f t="array" ref="X620">INDEX(xlRTTYNAME,MATCH(1,(xlRTTYENDU=1)*(xlRTTYEQCL=$D620)*(xlRTEQTYPE=$E620),0))</f>
        <v>LPG_FA3</v>
      </c>
      <c r="Y620" s="153" t="str">
        <f t="array" ref="Y620">INDEX(xlRTTYNAME,MATCH(1,(xlRTTYENDU=2)*(xlRTTYEQCL=$F620)*(xlRTEQTYPE=$G620),0))</f>
        <v>CENT_AIR3</v>
      </c>
    </row>
    <row r="621" spans="1:25" x14ac:dyDescent="0.2">
      <c r="B621" s="126">
        <v>6</v>
      </c>
      <c r="C621" s="126">
        <v>1</v>
      </c>
      <c r="D621" s="126">
        <v>6</v>
      </c>
      <c r="E621" s="126">
        <v>20</v>
      </c>
      <c r="F621" s="126">
        <v>2</v>
      </c>
      <c r="G621" s="126">
        <v>7</v>
      </c>
      <c r="H621" s="159">
        <v>2033</v>
      </c>
      <c r="I621" s="126">
        <v>2050</v>
      </c>
      <c r="J621" s="127">
        <v>1.0924</v>
      </c>
      <c r="K621" s="127">
        <v>1.0661</v>
      </c>
      <c r="L621" s="127">
        <v>0.57899999999999996</v>
      </c>
      <c r="M621" s="127">
        <v>0.84570000000000001</v>
      </c>
      <c r="N621" s="127">
        <v>0.89100000000000001</v>
      </c>
      <c r="O621" s="127">
        <v>1.0538000000000001</v>
      </c>
      <c r="P621" s="126">
        <v>8802</v>
      </c>
      <c r="Q621" s="128">
        <f t="array" ref="Q621">SUM(IF(($S621&gt;=4)*($C621='TaxCred&amp;Subs'!$D$123:$D$127)*($H621='TaxCred&amp;Subs'!$C$123:$C$127)*($H621&lt;='TaxCred&amp;Subs'!$C$129),'TaxCred&amp;Subs'!$E$123:$E$127,0))</f>
        <v>0</v>
      </c>
      <c r="R621" s="174">
        <v>0</v>
      </c>
      <c r="S621" s="126">
        <v>4</v>
      </c>
      <c r="T621" s="126" t="s">
        <v>248</v>
      </c>
      <c r="V621" s="153" t="str">
        <f t="array" ref="V621">INDEX(xlRTCLNAME,MATCH(1,(xlRTCLENDU=1)*(xlRTCLEQCL=$D621),0))</f>
        <v>LPG_FA</v>
      </c>
      <c r="W621" s="153" t="str">
        <f t="array" ref="W621">INDEX(xlRTCLNAME,MATCH(1,(xlRTCLENDU=2)*(xlRTCLEQCL=$F621),0))</f>
        <v>CENT_AIR</v>
      </c>
      <c r="X621" s="153" t="str">
        <f t="array" ref="X621">INDEX(xlRTTYNAME,MATCH(1,(xlRTTYENDU=1)*(xlRTTYEQCL=$D621)*(xlRTEQTYPE=$E621),0))</f>
        <v>LPG_FA3</v>
      </c>
      <c r="Y621" s="153" t="str">
        <f t="array" ref="Y621">INDEX(xlRTTYNAME,MATCH(1,(xlRTTYENDU=2)*(xlRTTYEQCL=$F621)*(xlRTEQTYPE=$G621),0))</f>
        <v>CENT_AIR3</v>
      </c>
    </row>
    <row r="622" spans="1:25" x14ac:dyDescent="0.2">
      <c r="B622" s="126">
        <v>7</v>
      </c>
      <c r="C622" s="126">
        <v>1</v>
      </c>
      <c r="D622" s="126">
        <v>6</v>
      </c>
      <c r="E622" s="126">
        <v>20</v>
      </c>
      <c r="F622" s="126">
        <v>2</v>
      </c>
      <c r="G622" s="126">
        <v>7</v>
      </c>
      <c r="H622" s="126">
        <v>2016</v>
      </c>
      <c r="I622" s="159">
        <v>2022</v>
      </c>
      <c r="J622" s="127">
        <v>1.0905</v>
      </c>
      <c r="K622" s="127">
        <v>1.0562</v>
      </c>
      <c r="L622" s="127">
        <v>0.48959999999999998</v>
      </c>
      <c r="M622" s="127">
        <v>0.70569999999999999</v>
      </c>
      <c r="N622" s="127">
        <v>0.87180000000000002</v>
      </c>
      <c r="O622" s="127">
        <v>1.0538000000000001</v>
      </c>
      <c r="P622" s="126">
        <v>9755</v>
      </c>
      <c r="Q622" s="128">
        <f t="array" ref="Q622">SUM(IF(($S622&gt;=4)*($C622='TaxCred&amp;Subs'!$D$123:$D$127)*($H622='TaxCred&amp;Subs'!$C$123:$C$127)*($H622&lt;='TaxCred&amp;Subs'!$C$129),'TaxCred&amp;Subs'!$E$123:$E$127,0))</f>
        <v>2000</v>
      </c>
      <c r="R622" s="174">
        <v>0</v>
      </c>
      <c r="S622" s="126">
        <v>4</v>
      </c>
      <c r="T622" s="126" t="s">
        <v>248</v>
      </c>
      <c r="V622" s="153" t="str">
        <f t="array" ref="V622">INDEX(xlRTCLNAME,MATCH(1,(xlRTCLENDU=1)*(xlRTCLEQCL=$D622),0))</f>
        <v>LPG_FA</v>
      </c>
      <c r="W622" s="153" t="str">
        <f t="array" ref="W622">INDEX(xlRTCLNAME,MATCH(1,(xlRTCLENDU=2)*(xlRTCLEQCL=$F622),0))</f>
        <v>CENT_AIR</v>
      </c>
      <c r="X622" s="153" t="str">
        <f t="array" ref="X622">INDEX(xlRTTYNAME,MATCH(1,(xlRTTYENDU=1)*(xlRTTYEQCL=$D622)*(xlRTEQTYPE=$E622),0))</f>
        <v>LPG_FA3</v>
      </c>
      <c r="Y622" s="153" t="str">
        <f t="array" ref="Y622">INDEX(xlRTTYNAME,MATCH(1,(xlRTTYENDU=2)*(xlRTTYEQCL=$F622)*(xlRTEQTYPE=$G622),0))</f>
        <v>CENT_AIR3</v>
      </c>
    </row>
    <row r="623" spans="1:25" x14ac:dyDescent="0.2">
      <c r="B623" s="49">
        <v>7</v>
      </c>
      <c r="C623" s="49">
        <v>1</v>
      </c>
      <c r="D623" s="49">
        <v>6</v>
      </c>
      <c r="E623" s="49">
        <v>20</v>
      </c>
      <c r="F623" s="49">
        <v>2</v>
      </c>
      <c r="G623" s="49">
        <v>7</v>
      </c>
      <c r="H623" s="49">
        <v>2023</v>
      </c>
      <c r="I623" s="49">
        <v>2032</v>
      </c>
      <c r="J623" s="50">
        <v>1.0905</v>
      </c>
      <c r="K623" s="50">
        <v>1.0562</v>
      </c>
      <c r="L623" s="50">
        <v>0.48959999999999998</v>
      </c>
      <c r="M623" s="50">
        <v>0.70569999999999999</v>
      </c>
      <c r="N623" s="50">
        <v>0.87180000000000002</v>
      </c>
      <c r="O623" s="50">
        <v>1.0538000000000001</v>
      </c>
      <c r="P623" s="49">
        <v>9755</v>
      </c>
      <c r="Q623" s="51">
        <f t="array" ref="Q623">SUM(IF(($S623&gt;=4)*($C623='TaxCred&amp;Subs'!$D$123:$D$127)*($H623='TaxCred&amp;Subs'!$C$123:$C$127)*($H623&lt;='TaxCred&amp;Subs'!$C$129),'TaxCred&amp;Subs'!$E$123:$E$127,0))</f>
        <v>2500</v>
      </c>
      <c r="R623" s="171">
        <v>0</v>
      </c>
      <c r="S623" s="49">
        <v>4</v>
      </c>
      <c r="T623" s="49" t="s">
        <v>248</v>
      </c>
      <c r="V623" s="153" t="str">
        <f t="array" ref="V623">INDEX(xlRTCLNAME,MATCH(1,(xlRTCLENDU=1)*(xlRTCLEQCL=$D623),0))</f>
        <v>LPG_FA</v>
      </c>
      <c r="W623" s="153" t="str">
        <f t="array" ref="W623">INDEX(xlRTCLNAME,MATCH(1,(xlRTCLENDU=2)*(xlRTCLEQCL=$F623),0))</f>
        <v>CENT_AIR</v>
      </c>
      <c r="X623" s="153" t="str">
        <f t="array" ref="X623">INDEX(xlRTTYNAME,MATCH(1,(xlRTTYENDU=1)*(xlRTTYEQCL=$D623)*(xlRTEQTYPE=$E623),0))</f>
        <v>LPG_FA3</v>
      </c>
      <c r="Y623" s="153" t="str">
        <f t="array" ref="Y623">INDEX(xlRTTYNAME,MATCH(1,(xlRTTYENDU=2)*(xlRTTYEQCL=$F623)*(xlRTEQTYPE=$G623),0))</f>
        <v>CENT_AIR3</v>
      </c>
    </row>
    <row r="624" spans="1:25" x14ac:dyDescent="0.2">
      <c r="B624" s="126">
        <v>7</v>
      </c>
      <c r="C624" s="126">
        <v>1</v>
      </c>
      <c r="D624" s="126">
        <v>6</v>
      </c>
      <c r="E624" s="126">
        <v>20</v>
      </c>
      <c r="F624" s="126">
        <v>2</v>
      </c>
      <c r="G624" s="126">
        <v>7</v>
      </c>
      <c r="H624" s="159">
        <v>2033</v>
      </c>
      <c r="I624" s="126">
        <v>2050</v>
      </c>
      <c r="J624" s="127">
        <v>1.0905</v>
      </c>
      <c r="K624" s="127">
        <v>1.0562</v>
      </c>
      <c r="L624" s="127">
        <v>0.48959999999999998</v>
      </c>
      <c r="M624" s="127">
        <v>0.70569999999999999</v>
      </c>
      <c r="N624" s="127">
        <v>0.87180000000000002</v>
      </c>
      <c r="O624" s="127">
        <v>1.0538000000000001</v>
      </c>
      <c r="P624" s="126">
        <v>9755</v>
      </c>
      <c r="Q624" s="128">
        <f t="array" ref="Q624">SUM(IF(($S624&gt;=4)*($C624='TaxCred&amp;Subs'!$D$123:$D$127)*($H624='TaxCred&amp;Subs'!$C$123:$C$127)*($H624&lt;='TaxCred&amp;Subs'!$C$129),'TaxCred&amp;Subs'!$E$123:$E$127,0))</f>
        <v>0</v>
      </c>
      <c r="R624" s="174">
        <v>0</v>
      </c>
      <c r="S624" s="126">
        <v>4</v>
      </c>
      <c r="T624" s="126" t="s">
        <v>248</v>
      </c>
      <c r="V624" s="153" t="str">
        <f t="array" ref="V624">INDEX(xlRTCLNAME,MATCH(1,(xlRTCLENDU=1)*(xlRTCLEQCL=$D624),0))</f>
        <v>LPG_FA</v>
      </c>
      <c r="W624" s="153" t="str">
        <f t="array" ref="W624">INDEX(xlRTCLNAME,MATCH(1,(xlRTCLENDU=2)*(xlRTCLEQCL=$F624),0))</f>
        <v>CENT_AIR</v>
      </c>
      <c r="X624" s="153" t="str">
        <f t="array" ref="X624">INDEX(xlRTTYNAME,MATCH(1,(xlRTTYENDU=1)*(xlRTTYEQCL=$D624)*(xlRTEQTYPE=$E624),0))</f>
        <v>LPG_FA3</v>
      </c>
      <c r="Y624" s="153" t="str">
        <f t="array" ref="Y624">INDEX(xlRTTYNAME,MATCH(1,(xlRTTYENDU=2)*(xlRTTYEQCL=$F624)*(xlRTEQTYPE=$G624),0))</f>
        <v>CENT_AIR3</v>
      </c>
    </row>
    <row r="625" spans="1:25" x14ac:dyDescent="0.2">
      <c r="B625" s="126">
        <v>8</v>
      </c>
      <c r="C625" s="126">
        <v>1</v>
      </c>
      <c r="D625" s="126">
        <v>6</v>
      </c>
      <c r="E625" s="126">
        <v>20</v>
      </c>
      <c r="F625" s="126">
        <v>2</v>
      </c>
      <c r="G625" s="126">
        <v>7</v>
      </c>
      <c r="H625" s="126">
        <v>2016</v>
      </c>
      <c r="I625" s="159">
        <v>2022</v>
      </c>
      <c r="J625" s="127">
        <v>1.0801000000000001</v>
      </c>
      <c r="K625" s="127">
        <v>1.0822000000000001</v>
      </c>
      <c r="L625" s="127">
        <v>0.44240000000000002</v>
      </c>
      <c r="M625" s="127">
        <v>0.77290000000000003</v>
      </c>
      <c r="N625" s="127">
        <v>0.86950000000000005</v>
      </c>
      <c r="O625" s="127">
        <v>1.0538000000000001</v>
      </c>
      <c r="P625" s="126">
        <v>12094</v>
      </c>
      <c r="Q625" s="128">
        <f t="array" ref="Q625">SUM(IF(($S625&gt;=4)*($C625='TaxCred&amp;Subs'!$D$123:$D$127)*($H625='TaxCred&amp;Subs'!$C$123:$C$127)*($H625&lt;='TaxCred&amp;Subs'!$C$129),'TaxCred&amp;Subs'!$E$123:$E$127,0))</f>
        <v>2000</v>
      </c>
      <c r="R625" s="174">
        <v>0</v>
      </c>
      <c r="S625" s="126">
        <v>4</v>
      </c>
      <c r="T625" s="126" t="s">
        <v>248</v>
      </c>
      <c r="V625" s="153" t="str">
        <f t="array" ref="V625">INDEX(xlRTCLNAME,MATCH(1,(xlRTCLENDU=1)*(xlRTCLEQCL=$D625),0))</f>
        <v>LPG_FA</v>
      </c>
      <c r="W625" s="153" t="str">
        <f t="array" ref="W625">INDEX(xlRTCLNAME,MATCH(1,(xlRTCLENDU=2)*(xlRTCLEQCL=$F625),0))</f>
        <v>CENT_AIR</v>
      </c>
      <c r="X625" s="153" t="str">
        <f t="array" ref="X625">INDEX(xlRTTYNAME,MATCH(1,(xlRTTYENDU=1)*(xlRTTYEQCL=$D625)*(xlRTEQTYPE=$E625),0))</f>
        <v>LPG_FA3</v>
      </c>
      <c r="Y625" s="153" t="str">
        <f t="array" ref="Y625">INDEX(xlRTTYNAME,MATCH(1,(xlRTTYENDU=2)*(xlRTTYEQCL=$F625)*(xlRTEQTYPE=$G625),0))</f>
        <v>CENT_AIR3</v>
      </c>
    </row>
    <row r="626" spans="1:25" x14ac:dyDescent="0.2">
      <c r="B626" s="49">
        <v>8</v>
      </c>
      <c r="C626" s="49">
        <v>1</v>
      </c>
      <c r="D626" s="49">
        <v>6</v>
      </c>
      <c r="E626" s="49">
        <v>20</v>
      </c>
      <c r="F626" s="49">
        <v>2</v>
      </c>
      <c r="G626" s="49">
        <v>7</v>
      </c>
      <c r="H626" s="49">
        <v>2023</v>
      </c>
      <c r="I626" s="49">
        <v>2032</v>
      </c>
      <c r="J626" s="50">
        <v>1.0801000000000001</v>
      </c>
      <c r="K626" s="50">
        <v>1.0822000000000001</v>
      </c>
      <c r="L626" s="50">
        <v>0.44240000000000002</v>
      </c>
      <c r="M626" s="50">
        <v>0.77290000000000003</v>
      </c>
      <c r="N626" s="50">
        <v>0.86950000000000005</v>
      </c>
      <c r="O626" s="50">
        <v>1.0538000000000001</v>
      </c>
      <c r="P626" s="49">
        <v>12094</v>
      </c>
      <c r="Q626" s="51">
        <f t="array" ref="Q626">SUM(IF(($S626&gt;=4)*($C626='TaxCred&amp;Subs'!$D$123:$D$127)*($H626='TaxCred&amp;Subs'!$C$123:$C$127)*($H626&lt;='TaxCred&amp;Subs'!$C$129),'TaxCred&amp;Subs'!$E$123:$E$127,0))</f>
        <v>2500</v>
      </c>
      <c r="R626" s="171">
        <v>0</v>
      </c>
      <c r="S626" s="49">
        <v>4</v>
      </c>
      <c r="T626" s="49" t="s">
        <v>248</v>
      </c>
      <c r="V626" s="153" t="str">
        <f t="array" ref="V626">INDEX(xlRTCLNAME,MATCH(1,(xlRTCLENDU=1)*(xlRTCLEQCL=$D626),0))</f>
        <v>LPG_FA</v>
      </c>
      <c r="W626" s="153" t="str">
        <f t="array" ref="W626">INDEX(xlRTCLNAME,MATCH(1,(xlRTCLENDU=2)*(xlRTCLEQCL=$F626),0))</f>
        <v>CENT_AIR</v>
      </c>
      <c r="X626" s="153" t="str">
        <f t="array" ref="X626">INDEX(xlRTTYNAME,MATCH(1,(xlRTTYENDU=1)*(xlRTTYEQCL=$D626)*(xlRTEQTYPE=$E626),0))</f>
        <v>LPG_FA3</v>
      </c>
      <c r="Y626" s="153" t="str">
        <f t="array" ref="Y626">INDEX(xlRTTYNAME,MATCH(1,(xlRTTYENDU=2)*(xlRTTYEQCL=$F626)*(xlRTEQTYPE=$G626),0))</f>
        <v>CENT_AIR3</v>
      </c>
    </row>
    <row r="627" spans="1:25" x14ac:dyDescent="0.2">
      <c r="B627" s="126">
        <v>8</v>
      </c>
      <c r="C627" s="126">
        <v>1</v>
      </c>
      <c r="D627" s="126">
        <v>6</v>
      </c>
      <c r="E627" s="126">
        <v>20</v>
      </c>
      <c r="F627" s="126">
        <v>2</v>
      </c>
      <c r="G627" s="126">
        <v>7</v>
      </c>
      <c r="H627" s="159">
        <v>2033</v>
      </c>
      <c r="I627" s="126">
        <v>2050</v>
      </c>
      <c r="J627" s="127">
        <v>1.0801000000000001</v>
      </c>
      <c r="K627" s="127">
        <v>1.0822000000000001</v>
      </c>
      <c r="L627" s="127">
        <v>0.44240000000000002</v>
      </c>
      <c r="M627" s="127">
        <v>0.77290000000000003</v>
      </c>
      <c r="N627" s="127">
        <v>0.86950000000000005</v>
      </c>
      <c r="O627" s="127">
        <v>1.0538000000000001</v>
      </c>
      <c r="P627" s="126">
        <v>12094</v>
      </c>
      <c r="Q627" s="128">
        <f t="array" ref="Q627">SUM(IF(($S627&gt;=4)*($C627='TaxCred&amp;Subs'!$D$123:$D$127)*($H627='TaxCred&amp;Subs'!$C$123:$C$127)*($H627&lt;='TaxCred&amp;Subs'!$C$129),'TaxCred&amp;Subs'!$E$123:$E$127,0))</f>
        <v>0</v>
      </c>
      <c r="R627" s="174">
        <v>0</v>
      </c>
      <c r="S627" s="126">
        <v>4</v>
      </c>
      <c r="T627" s="126" t="s">
        <v>248</v>
      </c>
      <c r="V627" s="153" t="str">
        <f t="array" ref="V627">INDEX(xlRTCLNAME,MATCH(1,(xlRTCLENDU=1)*(xlRTCLEQCL=$D627),0))</f>
        <v>LPG_FA</v>
      </c>
      <c r="W627" s="153" t="str">
        <f t="array" ref="W627">INDEX(xlRTCLNAME,MATCH(1,(xlRTCLENDU=2)*(xlRTCLEQCL=$F627),0))</f>
        <v>CENT_AIR</v>
      </c>
      <c r="X627" s="153" t="str">
        <f t="array" ref="X627">INDEX(xlRTTYNAME,MATCH(1,(xlRTTYENDU=1)*(xlRTTYEQCL=$D627)*(xlRTEQTYPE=$E627),0))</f>
        <v>LPG_FA3</v>
      </c>
      <c r="Y627" s="153" t="str">
        <f t="array" ref="Y627">INDEX(xlRTTYNAME,MATCH(1,(xlRTTYENDU=2)*(xlRTTYEQCL=$F627)*(xlRTEQTYPE=$G627),0))</f>
        <v>CENT_AIR3</v>
      </c>
    </row>
    <row r="628" spans="1:25" x14ac:dyDescent="0.2">
      <c r="B628" s="126">
        <v>9</v>
      </c>
      <c r="C628" s="126">
        <v>1</v>
      </c>
      <c r="D628" s="126">
        <v>6</v>
      </c>
      <c r="E628" s="126">
        <v>20</v>
      </c>
      <c r="F628" s="126">
        <v>2</v>
      </c>
      <c r="G628" s="126">
        <v>7</v>
      </c>
      <c r="H628" s="126">
        <v>2016</v>
      </c>
      <c r="I628" s="159">
        <v>2022</v>
      </c>
      <c r="J628" s="127">
        <v>1.0781000000000001</v>
      </c>
      <c r="K628" s="127">
        <v>1.0707</v>
      </c>
      <c r="L628" s="127">
        <v>0.55130000000000001</v>
      </c>
      <c r="M628" s="127">
        <v>0.82869999999999999</v>
      </c>
      <c r="N628" s="127">
        <v>1.0339</v>
      </c>
      <c r="O628" s="127">
        <v>1.0538000000000001</v>
      </c>
      <c r="P628" s="126">
        <v>12618</v>
      </c>
      <c r="Q628" s="128">
        <f t="array" ref="Q628">SUM(IF(($S628&gt;=4)*($C628='TaxCred&amp;Subs'!$D$123:$D$127)*($H628='TaxCred&amp;Subs'!$C$123:$C$127)*($H628&lt;='TaxCred&amp;Subs'!$C$129),'TaxCred&amp;Subs'!$E$123:$E$127,0))</f>
        <v>2000</v>
      </c>
      <c r="R628" s="174">
        <v>0</v>
      </c>
      <c r="S628" s="126">
        <v>4</v>
      </c>
      <c r="T628" s="126" t="s">
        <v>248</v>
      </c>
      <c r="V628" s="153" t="str">
        <f t="array" ref="V628">INDEX(xlRTCLNAME,MATCH(1,(xlRTCLENDU=1)*(xlRTCLEQCL=$D628),0))</f>
        <v>LPG_FA</v>
      </c>
      <c r="W628" s="153" t="str">
        <f t="array" ref="W628">INDEX(xlRTCLNAME,MATCH(1,(xlRTCLENDU=2)*(xlRTCLEQCL=$F628),0))</f>
        <v>CENT_AIR</v>
      </c>
      <c r="X628" s="153" t="str">
        <f t="array" ref="X628">INDEX(xlRTTYNAME,MATCH(1,(xlRTTYENDU=1)*(xlRTTYEQCL=$D628)*(xlRTEQTYPE=$E628),0))</f>
        <v>LPG_FA3</v>
      </c>
      <c r="Y628" s="153" t="str">
        <f t="array" ref="Y628">INDEX(xlRTTYNAME,MATCH(1,(xlRTTYENDU=2)*(xlRTTYEQCL=$F628)*(xlRTEQTYPE=$G628),0))</f>
        <v>CENT_AIR3</v>
      </c>
    </row>
    <row r="629" spans="1:25" x14ac:dyDescent="0.2">
      <c r="B629" s="49">
        <v>9</v>
      </c>
      <c r="C629" s="49">
        <v>1</v>
      </c>
      <c r="D629" s="49">
        <v>6</v>
      </c>
      <c r="E629" s="49">
        <v>20</v>
      </c>
      <c r="F629" s="49">
        <v>2</v>
      </c>
      <c r="G629" s="49">
        <v>7</v>
      </c>
      <c r="H629" s="49">
        <v>2023</v>
      </c>
      <c r="I629" s="49">
        <v>2032</v>
      </c>
      <c r="J629" s="50">
        <v>1.0781000000000001</v>
      </c>
      <c r="K629" s="50">
        <v>1.0707</v>
      </c>
      <c r="L629" s="50">
        <v>0.55130000000000001</v>
      </c>
      <c r="M629" s="50">
        <v>0.82869999999999999</v>
      </c>
      <c r="N629" s="50">
        <v>1.0339</v>
      </c>
      <c r="O629" s="50">
        <v>1.0538000000000001</v>
      </c>
      <c r="P629" s="49">
        <v>12618</v>
      </c>
      <c r="Q629" s="51">
        <f t="array" ref="Q629">SUM(IF(($S629&gt;=4)*($C629='TaxCred&amp;Subs'!$D$123:$D$127)*($H629='TaxCred&amp;Subs'!$C$123:$C$127)*($H629&lt;='TaxCred&amp;Subs'!$C$129),'TaxCred&amp;Subs'!$E$123:$E$127,0))</f>
        <v>2500</v>
      </c>
      <c r="R629" s="171">
        <v>0</v>
      </c>
      <c r="S629" s="49">
        <v>4</v>
      </c>
      <c r="T629" s="49" t="s">
        <v>248</v>
      </c>
      <c r="V629" s="153" t="str">
        <f t="array" ref="V629">INDEX(xlRTCLNAME,MATCH(1,(xlRTCLENDU=1)*(xlRTCLEQCL=$D629),0))</f>
        <v>LPG_FA</v>
      </c>
      <c r="W629" s="153" t="str">
        <f t="array" ref="W629">INDEX(xlRTCLNAME,MATCH(1,(xlRTCLENDU=2)*(xlRTCLEQCL=$F629),0))</f>
        <v>CENT_AIR</v>
      </c>
      <c r="X629" s="153" t="str">
        <f t="array" ref="X629">INDEX(xlRTTYNAME,MATCH(1,(xlRTTYENDU=1)*(xlRTTYEQCL=$D629)*(xlRTEQTYPE=$E629),0))</f>
        <v>LPG_FA3</v>
      </c>
      <c r="Y629" s="153" t="str">
        <f t="array" ref="Y629">INDEX(xlRTTYNAME,MATCH(1,(xlRTTYENDU=2)*(xlRTTYEQCL=$F629)*(xlRTEQTYPE=$G629),0))</f>
        <v>CENT_AIR3</v>
      </c>
    </row>
    <row r="630" spans="1:25" x14ac:dyDescent="0.2">
      <c r="B630" s="126">
        <v>9</v>
      </c>
      <c r="C630" s="126">
        <v>1</v>
      </c>
      <c r="D630" s="126">
        <v>6</v>
      </c>
      <c r="E630" s="126">
        <v>20</v>
      </c>
      <c r="F630" s="126">
        <v>2</v>
      </c>
      <c r="G630" s="126">
        <v>7</v>
      </c>
      <c r="H630" s="159">
        <v>2033</v>
      </c>
      <c r="I630" s="126">
        <v>2050</v>
      </c>
      <c r="J630" s="127">
        <v>1.0781000000000001</v>
      </c>
      <c r="K630" s="127">
        <v>1.0707</v>
      </c>
      <c r="L630" s="127">
        <v>0.55130000000000001</v>
      </c>
      <c r="M630" s="127">
        <v>0.82869999999999999</v>
      </c>
      <c r="N630" s="127">
        <v>1.0339</v>
      </c>
      <c r="O630" s="127">
        <v>1.0538000000000001</v>
      </c>
      <c r="P630" s="126">
        <v>12618</v>
      </c>
      <c r="Q630" s="128">
        <f t="array" ref="Q630">SUM(IF(($S630&gt;=4)*($C630='TaxCred&amp;Subs'!$D$123:$D$127)*($H630='TaxCred&amp;Subs'!$C$123:$C$127)*($H630&lt;='TaxCred&amp;Subs'!$C$129),'TaxCred&amp;Subs'!$E$123:$E$127,0))</f>
        <v>0</v>
      </c>
      <c r="R630" s="174">
        <v>0</v>
      </c>
      <c r="S630" s="126">
        <v>4</v>
      </c>
      <c r="T630" s="126" t="s">
        <v>248</v>
      </c>
      <c r="V630" s="153" t="str">
        <f t="array" ref="V630">INDEX(xlRTCLNAME,MATCH(1,(xlRTCLENDU=1)*(xlRTCLEQCL=$D630),0))</f>
        <v>LPG_FA</v>
      </c>
      <c r="W630" s="153" t="str">
        <f t="array" ref="W630">INDEX(xlRTCLNAME,MATCH(1,(xlRTCLENDU=2)*(xlRTCLEQCL=$F630),0))</f>
        <v>CENT_AIR</v>
      </c>
      <c r="X630" s="153" t="str">
        <f t="array" ref="X630">INDEX(xlRTTYNAME,MATCH(1,(xlRTTYENDU=1)*(xlRTTYEQCL=$D630)*(xlRTEQTYPE=$E630),0))</f>
        <v>LPG_FA3</v>
      </c>
      <c r="Y630" s="153" t="str">
        <f t="array" ref="Y630">INDEX(xlRTTYNAME,MATCH(1,(xlRTTYENDU=2)*(xlRTTYEQCL=$F630)*(xlRTEQTYPE=$G630),0))</f>
        <v>CENT_AIR3</v>
      </c>
    </row>
    <row r="631" spans="1:25" x14ac:dyDescent="0.2">
      <c r="B631" s="126">
        <v>1</v>
      </c>
      <c r="C631" s="126">
        <v>1</v>
      </c>
      <c r="D631" s="126">
        <v>7</v>
      </c>
      <c r="E631" s="126">
        <v>24</v>
      </c>
      <c r="F631" s="126">
        <v>2</v>
      </c>
      <c r="G631" s="126">
        <v>7</v>
      </c>
      <c r="H631" s="126">
        <v>2016</v>
      </c>
      <c r="I631" s="159">
        <v>2022</v>
      </c>
      <c r="J631" s="127">
        <v>1.0309999999999999</v>
      </c>
      <c r="K631" s="127">
        <v>1.0667</v>
      </c>
      <c r="L631" s="127">
        <v>0.46589999999999998</v>
      </c>
      <c r="M631" s="127">
        <v>0.95850000000000002</v>
      </c>
      <c r="N631" s="127">
        <v>0.79790000000000005</v>
      </c>
      <c r="O631" s="127">
        <v>1.0538000000000001</v>
      </c>
      <c r="P631" s="126">
        <v>13172</v>
      </c>
      <c r="Q631" s="128">
        <f t="array" ref="Q631">SUM(IF(($S631&gt;=4)*($C631='TaxCred&amp;Subs'!$D$123:$D$127)*($H631='TaxCred&amp;Subs'!$C$123:$C$127)*($H631&lt;='TaxCred&amp;Subs'!$C$129),'TaxCred&amp;Subs'!$E$123:$E$127,0))</f>
        <v>2000</v>
      </c>
      <c r="R631" s="174">
        <v>0</v>
      </c>
      <c r="S631" s="126">
        <v>4</v>
      </c>
      <c r="T631" s="126" t="s">
        <v>248</v>
      </c>
      <c r="V631" s="153" t="str">
        <f t="array" ref="V631">INDEX(xlRTCLNAME,MATCH(1,(xlRTCLENDU=1)*(xlRTCLEQCL=$D631),0))</f>
        <v>DIST_FA</v>
      </c>
      <c r="W631" s="153" t="str">
        <f t="array" ref="W631">INDEX(xlRTCLNAME,MATCH(1,(xlRTCLENDU=2)*(xlRTCLEQCL=$F631),0))</f>
        <v>CENT_AIR</v>
      </c>
      <c r="X631" s="153" t="str">
        <f t="array" ref="X631">INDEX(xlRTTYNAME,MATCH(1,(xlRTTYENDU=1)*(xlRTTYEQCL=$D631)*(xlRTEQTYPE=$E631),0))</f>
        <v>DIST_FA3</v>
      </c>
      <c r="Y631" s="153" t="str">
        <f t="array" ref="Y631">INDEX(xlRTTYNAME,MATCH(1,(xlRTTYENDU=2)*(xlRTTYEQCL=$F631)*(xlRTEQTYPE=$G631),0))</f>
        <v>CENT_AIR3</v>
      </c>
    </row>
    <row r="632" spans="1:25" x14ac:dyDescent="0.2">
      <c r="B632" s="49">
        <v>1</v>
      </c>
      <c r="C632" s="49">
        <v>1</v>
      </c>
      <c r="D632" s="49">
        <v>7</v>
      </c>
      <c r="E632" s="49">
        <v>24</v>
      </c>
      <c r="F632" s="49">
        <v>2</v>
      </c>
      <c r="G632" s="49">
        <v>7</v>
      </c>
      <c r="H632" s="49">
        <v>2023</v>
      </c>
      <c r="I632" s="49">
        <v>2032</v>
      </c>
      <c r="J632" s="50">
        <v>1.0309999999999999</v>
      </c>
      <c r="K632" s="50">
        <v>1.0667</v>
      </c>
      <c r="L632" s="50">
        <v>0.46589999999999998</v>
      </c>
      <c r="M632" s="50">
        <v>0.95850000000000002</v>
      </c>
      <c r="N632" s="50">
        <v>0.79790000000000005</v>
      </c>
      <c r="O632" s="50">
        <v>1.0538000000000001</v>
      </c>
      <c r="P632" s="49">
        <v>13172</v>
      </c>
      <c r="Q632" s="51">
        <f t="array" ref="Q632">SUM(IF(($S632&gt;=4)*($C632='TaxCred&amp;Subs'!$D$123:$D$127)*($H632='TaxCred&amp;Subs'!$C$123:$C$127)*($H632&lt;='TaxCred&amp;Subs'!$C$129),'TaxCred&amp;Subs'!$E$123:$E$127,0))</f>
        <v>2500</v>
      </c>
      <c r="R632" s="171">
        <v>0</v>
      </c>
      <c r="S632" s="49">
        <v>4</v>
      </c>
      <c r="T632" s="49" t="s">
        <v>248</v>
      </c>
      <c r="V632" s="153" t="str">
        <f t="array" ref="V632">INDEX(xlRTCLNAME,MATCH(1,(xlRTCLENDU=1)*(xlRTCLEQCL=$D632),0))</f>
        <v>DIST_FA</v>
      </c>
      <c r="W632" s="153" t="str">
        <f t="array" ref="W632">INDEX(xlRTCLNAME,MATCH(1,(xlRTCLENDU=2)*(xlRTCLEQCL=$F632),0))</f>
        <v>CENT_AIR</v>
      </c>
      <c r="X632" s="153" t="str">
        <f t="array" ref="X632">INDEX(xlRTTYNAME,MATCH(1,(xlRTTYENDU=1)*(xlRTTYEQCL=$D632)*(xlRTEQTYPE=$E632),0))</f>
        <v>DIST_FA3</v>
      </c>
      <c r="Y632" s="153" t="str">
        <f t="array" ref="Y632">INDEX(xlRTTYNAME,MATCH(1,(xlRTTYENDU=2)*(xlRTTYEQCL=$F632)*(xlRTEQTYPE=$G632),0))</f>
        <v>CENT_AIR3</v>
      </c>
    </row>
    <row r="633" spans="1:25" x14ac:dyDescent="0.2">
      <c r="B633" s="126">
        <v>1</v>
      </c>
      <c r="C633" s="126">
        <v>1</v>
      </c>
      <c r="D633" s="126">
        <v>7</v>
      </c>
      <c r="E633" s="126">
        <v>24</v>
      </c>
      <c r="F633" s="126">
        <v>2</v>
      </c>
      <c r="G633" s="126">
        <v>7</v>
      </c>
      <c r="H633" s="159">
        <v>2033</v>
      </c>
      <c r="I633" s="126">
        <v>2050</v>
      </c>
      <c r="J633" s="127">
        <v>1.0309999999999999</v>
      </c>
      <c r="K633" s="127">
        <v>1.0667</v>
      </c>
      <c r="L633" s="127">
        <v>0.46589999999999998</v>
      </c>
      <c r="M633" s="127">
        <v>0.95850000000000002</v>
      </c>
      <c r="N633" s="127">
        <v>0.79790000000000005</v>
      </c>
      <c r="O633" s="127">
        <v>1.0538000000000001</v>
      </c>
      <c r="P633" s="126">
        <v>13172</v>
      </c>
      <c r="Q633" s="128">
        <f t="array" ref="Q633">SUM(IF(($S633&gt;=4)*($C633='TaxCred&amp;Subs'!$D$123:$D$127)*($H633='TaxCred&amp;Subs'!$C$123:$C$127)*($H633&lt;='TaxCred&amp;Subs'!$C$129),'TaxCred&amp;Subs'!$E$123:$E$127,0))</f>
        <v>0</v>
      </c>
      <c r="R633" s="174">
        <v>0</v>
      </c>
      <c r="S633" s="126">
        <v>4</v>
      </c>
      <c r="T633" s="126" t="s">
        <v>248</v>
      </c>
      <c r="V633" s="153" t="str">
        <f t="array" ref="V633">INDEX(xlRTCLNAME,MATCH(1,(xlRTCLENDU=1)*(xlRTCLEQCL=$D633),0))</f>
        <v>DIST_FA</v>
      </c>
      <c r="W633" s="153" t="str">
        <f t="array" ref="W633">INDEX(xlRTCLNAME,MATCH(1,(xlRTCLENDU=2)*(xlRTCLEQCL=$F633),0))</f>
        <v>CENT_AIR</v>
      </c>
      <c r="X633" s="153" t="str">
        <f t="array" ref="X633">INDEX(xlRTTYNAME,MATCH(1,(xlRTTYENDU=1)*(xlRTTYEQCL=$D633)*(xlRTEQTYPE=$E633),0))</f>
        <v>DIST_FA3</v>
      </c>
      <c r="Y633" s="153" t="str">
        <f t="array" ref="Y633">INDEX(xlRTTYNAME,MATCH(1,(xlRTTYENDU=2)*(xlRTTYEQCL=$F633)*(xlRTEQTYPE=$G633),0))</f>
        <v>CENT_AIR3</v>
      </c>
    </row>
    <row r="634" spans="1:25" x14ac:dyDescent="0.2">
      <c r="B634" s="126">
        <v>2</v>
      </c>
      <c r="C634" s="126">
        <v>1</v>
      </c>
      <c r="D634" s="126">
        <v>7</v>
      </c>
      <c r="E634" s="126">
        <v>24</v>
      </c>
      <c r="F634" s="126">
        <v>2</v>
      </c>
      <c r="G634" s="126">
        <v>7</v>
      </c>
      <c r="H634" s="126">
        <v>2016</v>
      </c>
      <c r="I634" s="159">
        <v>2022</v>
      </c>
      <c r="J634" s="127">
        <v>1.0772999999999999</v>
      </c>
      <c r="K634" s="127">
        <v>1.0758000000000001</v>
      </c>
      <c r="L634" s="127">
        <v>0.51419999999999999</v>
      </c>
      <c r="M634" s="127">
        <v>0.83919999999999995</v>
      </c>
      <c r="N634" s="127">
        <v>0.93169999999999997</v>
      </c>
      <c r="O634" s="127">
        <v>1.0538000000000001</v>
      </c>
      <c r="P634" s="126">
        <v>13964</v>
      </c>
      <c r="Q634" s="128">
        <f t="array" ref="Q634">SUM(IF(($S634&gt;=4)*($C634='TaxCred&amp;Subs'!$D$123:$D$127)*($H634='TaxCred&amp;Subs'!$C$123:$C$127)*($H634&lt;='TaxCred&amp;Subs'!$C$129),'TaxCred&amp;Subs'!$E$123:$E$127,0))</f>
        <v>2000</v>
      </c>
      <c r="R634" s="174">
        <v>0</v>
      </c>
      <c r="S634" s="126">
        <v>4</v>
      </c>
      <c r="T634" s="126" t="s">
        <v>248</v>
      </c>
      <c r="V634" s="153" t="str">
        <f t="array" ref="V634">INDEX(xlRTCLNAME,MATCH(1,(xlRTCLENDU=1)*(xlRTCLEQCL=$D634),0))</f>
        <v>DIST_FA</v>
      </c>
      <c r="W634" s="153" t="str">
        <f t="array" ref="W634">INDEX(xlRTCLNAME,MATCH(1,(xlRTCLENDU=2)*(xlRTCLEQCL=$F634),0))</f>
        <v>CENT_AIR</v>
      </c>
      <c r="X634" s="153" t="str">
        <f t="array" ref="X634">INDEX(xlRTTYNAME,MATCH(1,(xlRTTYENDU=1)*(xlRTTYEQCL=$D634)*(xlRTEQTYPE=$E634),0))</f>
        <v>DIST_FA3</v>
      </c>
      <c r="Y634" s="153" t="str">
        <f t="array" ref="Y634">INDEX(xlRTTYNAME,MATCH(1,(xlRTTYENDU=2)*(xlRTTYEQCL=$F634)*(xlRTEQTYPE=$G634),0))</f>
        <v>CENT_AIR3</v>
      </c>
    </row>
    <row r="635" spans="1:25" x14ac:dyDescent="0.2">
      <c r="B635" s="49">
        <v>2</v>
      </c>
      <c r="C635" s="49">
        <v>1</v>
      </c>
      <c r="D635" s="49">
        <v>7</v>
      </c>
      <c r="E635" s="49">
        <v>24</v>
      </c>
      <c r="F635" s="49">
        <v>2</v>
      </c>
      <c r="G635" s="49">
        <v>7</v>
      </c>
      <c r="H635" s="49">
        <v>2023</v>
      </c>
      <c r="I635" s="49">
        <v>2032</v>
      </c>
      <c r="J635" s="50">
        <v>1.0772999999999999</v>
      </c>
      <c r="K635" s="50">
        <v>1.0758000000000001</v>
      </c>
      <c r="L635" s="50">
        <v>0.51419999999999999</v>
      </c>
      <c r="M635" s="50">
        <v>0.83919999999999995</v>
      </c>
      <c r="N635" s="50">
        <v>0.93169999999999997</v>
      </c>
      <c r="O635" s="50">
        <v>1.0538000000000001</v>
      </c>
      <c r="P635" s="49">
        <v>13964</v>
      </c>
      <c r="Q635" s="51">
        <f t="array" ref="Q635">SUM(IF(($S635&gt;=4)*($C635='TaxCred&amp;Subs'!$D$123:$D$127)*($H635='TaxCred&amp;Subs'!$C$123:$C$127)*($H635&lt;='TaxCred&amp;Subs'!$C$129),'TaxCred&amp;Subs'!$E$123:$E$127,0))</f>
        <v>2500</v>
      </c>
      <c r="R635" s="171">
        <v>0</v>
      </c>
      <c r="S635" s="49">
        <v>4</v>
      </c>
      <c r="T635" s="49" t="s">
        <v>248</v>
      </c>
      <c r="V635" s="153" t="str">
        <f t="array" ref="V635">INDEX(xlRTCLNAME,MATCH(1,(xlRTCLENDU=1)*(xlRTCLEQCL=$D635),0))</f>
        <v>DIST_FA</v>
      </c>
      <c r="W635" s="153" t="str">
        <f t="array" ref="W635">INDEX(xlRTCLNAME,MATCH(1,(xlRTCLENDU=2)*(xlRTCLEQCL=$F635),0))</f>
        <v>CENT_AIR</v>
      </c>
      <c r="X635" s="153" t="str">
        <f t="array" ref="X635">INDEX(xlRTTYNAME,MATCH(1,(xlRTTYENDU=1)*(xlRTTYEQCL=$D635)*(xlRTEQTYPE=$E635),0))</f>
        <v>DIST_FA3</v>
      </c>
      <c r="Y635" s="153" t="str">
        <f t="array" ref="Y635">INDEX(xlRTTYNAME,MATCH(1,(xlRTTYENDU=2)*(xlRTTYEQCL=$F635)*(xlRTEQTYPE=$G635),0))</f>
        <v>CENT_AIR3</v>
      </c>
    </row>
    <row r="636" spans="1:25" x14ac:dyDescent="0.2">
      <c r="B636" s="126">
        <v>2</v>
      </c>
      <c r="C636" s="126">
        <v>1</v>
      </c>
      <c r="D636" s="126">
        <v>7</v>
      </c>
      <c r="E636" s="126">
        <v>24</v>
      </c>
      <c r="F636" s="126">
        <v>2</v>
      </c>
      <c r="G636" s="126">
        <v>7</v>
      </c>
      <c r="H636" s="159">
        <v>2033</v>
      </c>
      <c r="I636" s="126">
        <v>2050</v>
      </c>
      <c r="J636" s="127">
        <v>1.0772999999999999</v>
      </c>
      <c r="K636" s="127">
        <v>1.0758000000000001</v>
      </c>
      <c r="L636" s="127">
        <v>0.51419999999999999</v>
      </c>
      <c r="M636" s="127">
        <v>0.83919999999999995</v>
      </c>
      <c r="N636" s="127">
        <v>0.93169999999999997</v>
      </c>
      <c r="O636" s="127">
        <v>1.0538000000000001</v>
      </c>
      <c r="P636" s="126">
        <v>13964</v>
      </c>
      <c r="Q636" s="128">
        <f t="array" ref="Q636">SUM(IF(($S636&gt;=4)*($C636='TaxCred&amp;Subs'!$D$123:$D$127)*($H636='TaxCred&amp;Subs'!$C$123:$C$127)*($H636&lt;='TaxCred&amp;Subs'!$C$129),'TaxCred&amp;Subs'!$E$123:$E$127,0))</f>
        <v>0</v>
      </c>
      <c r="R636" s="174">
        <v>0</v>
      </c>
      <c r="S636" s="126">
        <v>4</v>
      </c>
      <c r="T636" s="126" t="s">
        <v>248</v>
      </c>
      <c r="V636" s="153" t="str">
        <f t="array" ref="V636">INDEX(xlRTCLNAME,MATCH(1,(xlRTCLENDU=1)*(xlRTCLEQCL=$D636),0))</f>
        <v>DIST_FA</v>
      </c>
      <c r="W636" s="153" t="str">
        <f t="array" ref="W636">INDEX(xlRTCLNAME,MATCH(1,(xlRTCLENDU=2)*(xlRTCLEQCL=$F636),0))</f>
        <v>CENT_AIR</v>
      </c>
      <c r="X636" s="153" t="str">
        <f t="array" ref="X636">INDEX(xlRTTYNAME,MATCH(1,(xlRTTYENDU=1)*(xlRTTYEQCL=$D636)*(xlRTEQTYPE=$E636),0))</f>
        <v>DIST_FA3</v>
      </c>
      <c r="Y636" s="153" t="str">
        <f t="array" ref="Y636">INDEX(xlRTTYNAME,MATCH(1,(xlRTTYENDU=2)*(xlRTTYEQCL=$F636)*(xlRTEQTYPE=$G636),0))</f>
        <v>CENT_AIR3</v>
      </c>
    </row>
    <row r="637" spans="1:25" x14ac:dyDescent="0.2">
      <c r="B637" s="126">
        <v>3</v>
      </c>
      <c r="C637" s="126">
        <v>1</v>
      </c>
      <c r="D637" s="126">
        <v>7</v>
      </c>
      <c r="E637" s="126">
        <v>24</v>
      </c>
      <c r="F637" s="126">
        <v>2</v>
      </c>
      <c r="G637" s="126">
        <v>7</v>
      </c>
      <c r="H637" s="126">
        <v>2016</v>
      </c>
      <c r="I637" s="159">
        <v>2022</v>
      </c>
      <c r="J637" s="127">
        <v>1.0842000000000001</v>
      </c>
      <c r="K637" s="127">
        <v>1.0577000000000001</v>
      </c>
      <c r="L637" s="127">
        <v>0.4531</v>
      </c>
      <c r="M637" s="127">
        <v>0.90190000000000003</v>
      </c>
      <c r="N637" s="127">
        <v>0.91220000000000001</v>
      </c>
      <c r="O637" s="127">
        <v>1.0538000000000001</v>
      </c>
      <c r="P637" s="126">
        <v>12841</v>
      </c>
      <c r="Q637" s="128">
        <f t="array" ref="Q637">SUM(IF(($S637&gt;=4)*($C637='TaxCred&amp;Subs'!$D$123:$D$127)*($H637='TaxCred&amp;Subs'!$C$123:$C$127)*($H637&lt;='TaxCred&amp;Subs'!$C$129),'TaxCred&amp;Subs'!$E$123:$E$127,0))</f>
        <v>2000</v>
      </c>
      <c r="R637" s="174">
        <v>0</v>
      </c>
      <c r="S637" s="126">
        <v>4</v>
      </c>
      <c r="T637" s="126" t="s">
        <v>248</v>
      </c>
      <c r="V637" s="153" t="str">
        <f t="array" ref="V637">INDEX(xlRTCLNAME,MATCH(1,(xlRTCLENDU=1)*(xlRTCLEQCL=$D637),0))</f>
        <v>DIST_FA</v>
      </c>
      <c r="W637" s="153" t="str">
        <f t="array" ref="W637">INDEX(xlRTCLNAME,MATCH(1,(xlRTCLENDU=2)*(xlRTCLEQCL=$F637),0))</f>
        <v>CENT_AIR</v>
      </c>
      <c r="X637" s="153" t="str">
        <f t="array" ref="X637">INDEX(xlRTTYNAME,MATCH(1,(xlRTTYENDU=1)*(xlRTTYEQCL=$D637)*(xlRTEQTYPE=$E637),0))</f>
        <v>DIST_FA3</v>
      </c>
      <c r="Y637" s="153" t="str">
        <f t="array" ref="Y637">INDEX(xlRTTYNAME,MATCH(1,(xlRTTYENDU=2)*(xlRTTYEQCL=$F637)*(xlRTEQTYPE=$G637),0))</f>
        <v>CENT_AIR3</v>
      </c>
    </row>
    <row r="638" spans="1:25" x14ac:dyDescent="0.2">
      <c r="B638" s="49">
        <v>3</v>
      </c>
      <c r="C638" s="49">
        <v>1</v>
      </c>
      <c r="D638" s="49">
        <v>7</v>
      </c>
      <c r="E638" s="49">
        <v>24</v>
      </c>
      <c r="F638" s="49">
        <v>2</v>
      </c>
      <c r="G638" s="49">
        <v>7</v>
      </c>
      <c r="H638" s="49">
        <v>2023</v>
      </c>
      <c r="I638" s="49">
        <v>2032</v>
      </c>
      <c r="J638" s="50">
        <v>1.0842000000000001</v>
      </c>
      <c r="K638" s="50">
        <v>1.0577000000000001</v>
      </c>
      <c r="L638" s="50">
        <v>0.4531</v>
      </c>
      <c r="M638" s="50">
        <v>0.90190000000000003</v>
      </c>
      <c r="N638" s="50">
        <v>0.91220000000000001</v>
      </c>
      <c r="O638" s="50">
        <v>1.0538000000000001</v>
      </c>
      <c r="P638" s="49">
        <v>12841</v>
      </c>
      <c r="Q638" s="51">
        <f t="array" ref="Q638">SUM(IF(($S638&gt;=4)*($C638='TaxCred&amp;Subs'!$D$123:$D$127)*($H638='TaxCred&amp;Subs'!$C$123:$C$127)*($H638&lt;='TaxCred&amp;Subs'!$C$129),'TaxCred&amp;Subs'!$E$123:$E$127,0))</f>
        <v>2500</v>
      </c>
      <c r="R638" s="171">
        <v>0</v>
      </c>
      <c r="S638" s="49">
        <v>4</v>
      </c>
      <c r="T638" s="49" t="s">
        <v>248</v>
      </c>
      <c r="V638" s="153" t="str">
        <f t="array" ref="V638">INDEX(xlRTCLNAME,MATCH(1,(xlRTCLENDU=1)*(xlRTCLEQCL=$D638),0))</f>
        <v>DIST_FA</v>
      </c>
      <c r="W638" s="153" t="str">
        <f t="array" ref="W638">INDEX(xlRTCLNAME,MATCH(1,(xlRTCLENDU=2)*(xlRTCLEQCL=$F638),0))</f>
        <v>CENT_AIR</v>
      </c>
      <c r="X638" s="153" t="str">
        <f t="array" ref="X638">INDEX(xlRTTYNAME,MATCH(1,(xlRTTYENDU=1)*(xlRTTYEQCL=$D638)*(xlRTEQTYPE=$E638),0))</f>
        <v>DIST_FA3</v>
      </c>
      <c r="Y638" s="153" t="str">
        <f t="array" ref="Y638">INDEX(xlRTTYNAME,MATCH(1,(xlRTTYENDU=2)*(xlRTTYEQCL=$F638)*(xlRTEQTYPE=$G638),0))</f>
        <v>CENT_AIR3</v>
      </c>
    </row>
    <row r="639" spans="1:25" s="157" customFormat="1" x14ac:dyDescent="0.2">
      <c r="A639"/>
      <c r="B639" s="126">
        <v>3</v>
      </c>
      <c r="C639" s="126">
        <v>1</v>
      </c>
      <c r="D639" s="126">
        <v>7</v>
      </c>
      <c r="E639" s="126">
        <v>24</v>
      </c>
      <c r="F639" s="126">
        <v>2</v>
      </c>
      <c r="G639" s="126">
        <v>7</v>
      </c>
      <c r="H639" s="159">
        <v>2033</v>
      </c>
      <c r="I639" s="126">
        <v>2050</v>
      </c>
      <c r="J639" s="127">
        <v>1.0842000000000001</v>
      </c>
      <c r="K639" s="127">
        <v>1.0577000000000001</v>
      </c>
      <c r="L639" s="127">
        <v>0.4531</v>
      </c>
      <c r="M639" s="127">
        <v>0.90190000000000003</v>
      </c>
      <c r="N639" s="127">
        <v>0.91220000000000001</v>
      </c>
      <c r="O639" s="127">
        <v>1.0538000000000001</v>
      </c>
      <c r="P639" s="126">
        <v>12841</v>
      </c>
      <c r="Q639" s="128">
        <f t="array" ref="Q639">SUM(IF(($S639&gt;=4)*($C639='TaxCred&amp;Subs'!$D$123:$D$127)*($H639='TaxCred&amp;Subs'!$C$123:$C$127)*($H639&lt;='TaxCred&amp;Subs'!$C$129),'TaxCred&amp;Subs'!$E$123:$E$127,0))</f>
        <v>0</v>
      </c>
      <c r="R639" s="174">
        <v>0</v>
      </c>
      <c r="S639" s="126">
        <v>4</v>
      </c>
      <c r="T639" s="126" t="s">
        <v>248</v>
      </c>
      <c r="U639"/>
      <c r="V639" s="153" t="str">
        <f t="array" ref="V639">INDEX(xlRTCLNAME,MATCH(1,(xlRTCLENDU=1)*(xlRTCLEQCL=$D639),0))</f>
        <v>DIST_FA</v>
      </c>
      <c r="W639" s="153" t="str">
        <f t="array" ref="W639">INDEX(xlRTCLNAME,MATCH(1,(xlRTCLENDU=2)*(xlRTCLEQCL=$F639),0))</f>
        <v>CENT_AIR</v>
      </c>
      <c r="X639" s="153" t="str">
        <f t="array" ref="X639">INDEX(xlRTTYNAME,MATCH(1,(xlRTTYENDU=1)*(xlRTTYEQCL=$D639)*(xlRTEQTYPE=$E639),0))</f>
        <v>DIST_FA3</v>
      </c>
      <c r="Y639" s="153" t="str">
        <f t="array" ref="Y639">INDEX(xlRTTYNAME,MATCH(1,(xlRTTYENDU=2)*(xlRTTYEQCL=$F639)*(xlRTEQTYPE=$G639),0))</f>
        <v>CENT_AIR3</v>
      </c>
    </row>
    <row r="640" spans="1:25" s="157" customFormat="1" x14ac:dyDescent="0.2">
      <c r="A640"/>
      <c r="B640" s="126">
        <v>4</v>
      </c>
      <c r="C640" s="126">
        <v>1</v>
      </c>
      <c r="D640" s="126">
        <v>7</v>
      </c>
      <c r="E640" s="126">
        <v>24</v>
      </c>
      <c r="F640" s="126">
        <v>2</v>
      </c>
      <c r="G640" s="126">
        <v>7</v>
      </c>
      <c r="H640" s="126">
        <v>2016</v>
      </c>
      <c r="I640" s="159">
        <v>2022</v>
      </c>
      <c r="J640" s="127">
        <v>1.0342</v>
      </c>
      <c r="K640" s="127">
        <v>1.0769</v>
      </c>
      <c r="L640" s="127">
        <v>0.45760000000000001</v>
      </c>
      <c r="M640" s="127">
        <v>0.85729999999999995</v>
      </c>
      <c r="N640" s="127">
        <v>0.85760000000000003</v>
      </c>
      <c r="O640" s="127">
        <v>1.0538000000000001</v>
      </c>
      <c r="P640" s="126">
        <v>10457</v>
      </c>
      <c r="Q640" s="128">
        <f t="array" ref="Q640">SUM(IF(($S640&gt;=4)*($C640='TaxCred&amp;Subs'!$D$123:$D$127)*($H640='TaxCred&amp;Subs'!$C$123:$C$127)*($H640&lt;='TaxCred&amp;Subs'!$C$129),'TaxCred&amp;Subs'!$E$123:$E$127,0))</f>
        <v>2000</v>
      </c>
      <c r="R640" s="174">
        <v>0</v>
      </c>
      <c r="S640" s="126">
        <v>4</v>
      </c>
      <c r="T640" s="126" t="s">
        <v>248</v>
      </c>
      <c r="U640"/>
      <c r="V640" s="153" t="str">
        <f t="array" ref="V640">INDEX(xlRTCLNAME,MATCH(1,(xlRTCLENDU=1)*(xlRTCLEQCL=$D640),0))</f>
        <v>DIST_FA</v>
      </c>
      <c r="W640" s="153" t="str">
        <f t="array" ref="W640">INDEX(xlRTCLNAME,MATCH(1,(xlRTCLENDU=2)*(xlRTCLEQCL=$F640),0))</f>
        <v>CENT_AIR</v>
      </c>
      <c r="X640" s="153" t="str">
        <f t="array" ref="X640">INDEX(xlRTTYNAME,MATCH(1,(xlRTTYENDU=1)*(xlRTTYEQCL=$D640)*(xlRTEQTYPE=$E640),0))</f>
        <v>DIST_FA3</v>
      </c>
      <c r="Y640" s="153" t="str">
        <f t="array" ref="Y640">INDEX(xlRTTYNAME,MATCH(1,(xlRTTYENDU=2)*(xlRTTYEQCL=$F640)*(xlRTEQTYPE=$G640),0))</f>
        <v>CENT_AIR3</v>
      </c>
    </row>
    <row r="641" spans="2:25" x14ac:dyDescent="0.2">
      <c r="B641" s="49">
        <v>4</v>
      </c>
      <c r="C641" s="49">
        <v>1</v>
      </c>
      <c r="D641" s="49">
        <v>7</v>
      </c>
      <c r="E641" s="49">
        <v>24</v>
      </c>
      <c r="F641" s="49">
        <v>2</v>
      </c>
      <c r="G641" s="49">
        <v>7</v>
      </c>
      <c r="H641" s="49">
        <v>2023</v>
      </c>
      <c r="I641" s="49">
        <v>2032</v>
      </c>
      <c r="J641" s="50">
        <v>1.0342</v>
      </c>
      <c r="K641" s="50">
        <v>1.0769</v>
      </c>
      <c r="L641" s="50">
        <v>0.45760000000000001</v>
      </c>
      <c r="M641" s="50">
        <v>0.85729999999999995</v>
      </c>
      <c r="N641" s="50">
        <v>0.85760000000000003</v>
      </c>
      <c r="O641" s="50">
        <v>1.0538000000000001</v>
      </c>
      <c r="P641" s="49">
        <v>10457</v>
      </c>
      <c r="Q641" s="51">
        <f t="array" ref="Q641">SUM(IF(($S641&gt;=4)*($C641='TaxCred&amp;Subs'!$D$123:$D$127)*($H641='TaxCred&amp;Subs'!$C$123:$C$127)*($H641&lt;='TaxCred&amp;Subs'!$C$129),'TaxCred&amp;Subs'!$E$123:$E$127,0))</f>
        <v>2500</v>
      </c>
      <c r="R641" s="171">
        <v>0</v>
      </c>
      <c r="S641" s="49">
        <v>4</v>
      </c>
      <c r="T641" s="49" t="s">
        <v>248</v>
      </c>
      <c r="V641" s="153" t="str">
        <f t="array" ref="V641">INDEX(xlRTCLNAME,MATCH(1,(xlRTCLENDU=1)*(xlRTCLEQCL=$D641),0))</f>
        <v>DIST_FA</v>
      </c>
      <c r="W641" s="153" t="str">
        <f t="array" ref="W641">INDEX(xlRTCLNAME,MATCH(1,(xlRTCLENDU=2)*(xlRTCLEQCL=$F641),0))</f>
        <v>CENT_AIR</v>
      </c>
      <c r="X641" s="153" t="str">
        <f t="array" ref="X641">INDEX(xlRTTYNAME,MATCH(1,(xlRTTYENDU=1)*(xlRTTYEQCL=$D641)*(xlRTEQTYPE=$E641),0))</f>
        <v>DIST_FA3</v>
      </c>
      <c r="Y641" s="153" t="str">
        <f t="array" ref="Y641">INDEX(xlRTTYNAME,MATCH(1,(xlRTTYENDU=2)*(xlRTTYEQCL=$F641)*(xlRTEQTYPE=$G641),0))</f>
        <v>CENT_AIR3</v>
      </c>
    </row>
    <row r="642" spans="2:25" x14ac:dyDescent="0.2">
      <c r="B642" s="126">
        <v>4</v>
      </c>
      <c r="C642" s="126">
        <v>1</v>
      </c>
      <c r="D642" s="126">
        <v>7</v>
      </c>
      <c r="E642" s="126">
        <v>24</v>
      </c>
      <c r="F642" s="126">
        <v>2</v>
      </c>
      <c r="G642" s="126">
        <v>7</v>
      </c>
      <c r="H642" s="159">
        <v>2033</v>
      </c>
      <c r="I642" s="126">
        <v>2050</v>
      </c>
      <c r="J642" s="127">
        <v>1.0342</v>
      </c>
      <c r="K642" s="127">
        <v>1.0769</v>
      </c>
      <c r="L642" s="127">
        <v>0.45760000000000001</v>
      </c>
      <c r="M642" s="127">
        <v>0.85729999999999995</v>
      </c>
      <c r="N642" s="127">
        <v>0.85760000000000003</v>
      </c>
      <c r="O642" s="127">
        <v>1.0538000000000001</v>
      </c>
      <c r="P642" s="126">
        <v>10457</v>
      </c>
      <c r="Q642" s="128">
        <f t="array" ref="Q642">SUM(IF(($S642&gt;=4)*($C642='TaxCred&amp;Subs'!$D$123:$D$127)*($H642='TaxCred&amp;Subs'!$C$123:$C$127)*($H642&lt;='TaxCred&amp;Subs'!$C$129),'TaxCred&amp;Subs'!$E$123:$E$127,0))</f>
        <v>0</v>
      </c>
      <c r="R642" s="174">
        <v>0</v>
      </c>
      <c r="S642" s="126">
        <v>4</v>
      </c>
      <c r="T642" s="126" t="s">
        <v>248</v>
      </c>
      <c r="V642" s="153" t="str">
        <f t="array" ref="V642">INDEX(xlRTCLNAME,MATCH(1,(xlRTCLENDU=1)*(xlRTCLEQCL=$D642),0))</f>
        <v>DIST_FA</v>
      </c>
      <c r="W642" s="153" t="str">
        <f t="array" ref="W642">INDEX(xlRTCLNAME,MATCH(1,(xlRTCLENDU=2)*(xlRTCLEQCL=$F642),0))</f>
        <v>CENT_AIR</v>
      </c>
      <c r="X642" s="153" t="str">
        <f t="array" ref="X642">INDEX(xlRTTYNAME,MATCH(1,(xlRTTYENDU=1)*(xlRTTYEQCL=$D642)*(xlRTEQTYPE=$E642),0))</f>
        <v>DIST_FA3</v>
      </c>
      <c r="Y642" s="153" t="str">
        <f t="array" ref="Y642">INDEX(xlRTTYNAME,MATCH(1,(xlRTTYENDU=2)*(xlRTTYEQCL=$F642)*(xlRTEQTYPE=$G642),0))</f>
        <v>CENT_AIR3</v>
      </c>
    </row>
    <row r="643" spans="2:25" x14ac:dyDescent="0.2">
      <c r="B643" s="126">
        <v>5</v>
      </c>
      <c r="C643" s="126">
        <v>1</v>
      </c>
      <c r="D643" s="126">
        <v>7</v>
      </c>
      <c r="E643" s="126">
        <v>24</v>
      </c>
      <c r="F643" s="126">
        <v>2</v>
      </c>
      <c r="G643" s="126">
        <v>7</v>
      </c>
      <c r="H643" s="126">
        <v>2016</v>
      </c>
      <c r="I643" s="159">
        <v>2022</v>
      </c>
      <c r="J643" s="127">
        <v>1.0847</v>
      </c>
      <c r="K643" s="127">
        <v>1.056</v>
      </c>
      <c r="L643" s="127">
        <v>0.43070000000000003</v>
      </c>
      <c r="M643" s="127">
        <v>0.79220000000000002</v>
      </c>
      <c r="N643" s="127">
        <v>0.76280000000000003</v>
      </c>
      <c r="O643" s="127">
        <v>1.0538000000000001</v>
      </c>
      <c r="P643" s="126">
        <v>9599</v>
      </c>
      <c r="Q643" s="128">
        <f t="array" ref="Q643">SUM(IF(($S643&gt;=4)*($C643='TaxCred&amp;Subs'!$D$123:$D$127)*($H643='TaxCred&amp;Subs'!$C$123:$C$127)*($H643&lt;='TaxCred&amp;Subs'!$C$129),'TaxCred&amp;Subs'!$E$123:$E$127,0))</f>
        <v>2000</v>
      </c>
      <c r="R643" s="174">
        <v>0</v>
      </c>
      <c r="S643" s="126">
        <v>4</v>
      </c>
      <c r="T643" s="126" t="s">
        <v>248</v>
      </c>
      <c r="V643" s="153" t="str">
        <f t="array" ref="V643">INDEX(xlRTCLNAME,MATCH(1,(xlRTCLENDU=1)*(xlRTCLEQCL=$D643),0))</f>
        <v>DIST_FA</v>
      </c>
      <c r="W643" s="153" t="str">
        <f t="array" ref="W643">INDEX(xlRTCLNAME,MATCH(1,(xlRTCLENDU=2)*(xlRTCLEQCL=$F643),0))</f>
        <v>CENT_AIR</v>
      </c>
      <c r="X643" s="153" t="str">
        <f t="array" ref="X643">INDEX(xlRTTYNAME,MATCH(1,(xlRTTYENDU=1)*(xlRTTYEQCL=$D643)*(xlRTEQTYPE=$E643),0))</f>
        <v>DIST_FA3</v>
      </c>
      <c r="Y643" s="153" t="str">
        <f t="array" ref="Y643">INDEX(xlRTTYNAME,MATCH(1,(xlRTTYENDU=2)*(xlRTTYEQCL=$F643)*(xlRTEQTYPE=$G643),0))</f>
        <v>CENT_AIR3</v>
      </c>
    </row>
    <row r="644" spans="2:25" x14ac:dyDescent="0.2">
      <c r="B644" s="49">
        <v>5</v>
      </c>
      <c r="C644" s="49">
        <v>1</v>
      </c>
      <c r="D644" s="49">
        <v>7</v>
      </c>
      <c r="E644" s="49">
        <v>24</v>
      </c>
      <c r="F644" s="49">
        <v>2</v>
      </c>
      <c r="G644" s="49">
        <v>7</v>
      </c>
      <c r="H644" s="49">
        <v>2023</v>
      </c>
      <c r="I644" s="49">
        <v>2032</v>
      </c>
      <c r="J644" s="50">
        <v>1.0847</v>
      </c>
      <c r="K644" s="50">
        <v>1.056</v>
      </c>
      <c r="L644" s="50">
        <v>0.43070000000000003</v>
      </c>
      <c r="M644" s="50">
        <v>0.79220000000000002</v>
      </c>
      <c r="N644" s="50">
        <v>0.76280000000000003</v>
      </c>
      <c r="O644" s="50">
        <v>1.0538000000000001</v>
      </c>
      <c r="P644" s="49">
        <v>9599</v>
      </c>
      <c r="Q644" s="51">
        <f t="array" ref="Q644">SUM(IF(($S644&gt;=4)*($C644='TaxCred&amp;Subs'!$D$123:$D$127)*($H644='TaxCred&amp;Subs'!$C$123:$C$127)*($H644&lt;='TaxCred&amp;Subs'!$C$129),'TaxCred&amp;Subs'!$E$123:$E$127,0))</f>
        <v>2500</v>
      </c>
      <c r="R644" s="171">
        <v>0</v>
      </c>
      <c r="S644" s="49">
        <v>4</v>
      </c>
      <c r="T644" s="49" t="s">
        <v>248</v>
      </c>
      <c r="V644" s="153" t="str">
        <f t="array" ref="V644">INDEX(xlRTCLNAME,MATCH(1,(xlRTCLENDU=1)*(xlRTCLEQCL=$D644),0))</f>
        <v>DIST_FA</v>
      </c>
      <c r="W644" s="153" t="str">
        <f t="array" ref="W644">INDEX(xlRTCLNAME,MATCH(1,(xlRTCLENDU=2)*(xlRTCLEQCL=$F644),0))</f>
        <v>CENT_AIR</v>
      </c>
      <c r="X644" s="153" t="str">
        <f t="array" ref="X644">INDEX(xlRTTYNAME,MATCH(1,(xlRTTYENDU=1)*(xlRTTYEQCL=$D644)*(xlRTEQTYPE=$E644),0))</f>
        <v>DIST_FA3</v>
      </c>
      <c r="Y644" s="153" t="str">
        <f t="array" ref="Y644">INDEX(xlRTTYNAME,MATCH(1,(xlRTTYENDU=2)*(xlRTTYEQCL=$F644)*(xlRTEQTYPE=$G644),0))</f>
        <v>CENT_AIR3</v>
      </c>
    </row>
    <row r="645" spans="2:25" x14ac:dyDescent="0.2">
      <c r="B645" s="126">
        <v>5</v>
      </c>
      <c r="C645" s="126">
        <v>1</v>
      </c>
      <c r="D645" s="126">
        <v>7</v>
      </c>
      <c r="E645" s="126">
        <v>24</v>
      </c>
      <c r="F645" s="126">
        <v>2</v>
      </c>
      <c r="G645" s="126">
        <v>7</v>
      </c>
      <c r="H645" s="159">
        <v>2033</v>
      </c>
      <c r="I645" s="126">
        <v>2050</v>
      </c>
      <c r="J645" s="127">
        <v>1.0847</v>
      </c>
      <c r="K645" s="127">
        <v>1.056</v>
      </c>
      <c r="L645" s="127">
        <v>0.43070000000000003</v>
      </c>
      <c r="M645" s="127">
        <v>0.79220000000000002</v>
      </c>
      <c r="N645" s="127">
        <v>0.76280000000000003</v>
      </c>
      <c r="O645" s="127">
        <v>1.0538000000000001</v>
      </c>
      <c r="P645" s="126">
        <v>9599</v>
      </c>
      <c r="Q645" s="128">
        <f t="array" ref="Q645">SUM(IF(($S645&gt;=4)*($C645='TaxCred&amp;Subs'!$D$123:$D$127)*($H645='TaxCred&amp;Subs'!$C$123:$C$127)*($H645&lt;='TaxCred&amp;Subs'!$C$129),'TaxCred&amp;Subs'!$E$123:$E$127,0))</f>
        <v>0</v>
      </c>
      <c r="R645" s="174">
        <v>0</v>
      </c>
      <c r="S645" s="126">
        <v>4</v>
      </c>
      <c r="T645" s="126" t="s">
        <v>248</v>
      </c>
      <c r="V645" s="153" t="str">
        <f t="array" ref="V645">INDEX(xlRTCLNAME,MATCH(1,(xlRTCLENDU=1)*(xlRTCLEQCL=$D645),0))</f>
        <v>DIST_FA</v>
      </c>
      <c r="W645" s="153" t="str">
        <f t="array" ref="W645">INDEX(xlRTCLNAME,MATCH(1,(xlRTCLENDU=2)*(xlRTCLEQCL=$F645),0))</f>
        <v>CENT_AIR</v>
      </c>
      <c r="X645" s="153" t="str">
        <f t="array" ref="X645">INDEX(xlRTTYNAME,MATCH(1,(xlRTTYENDU=1)*(xlRTTYEQCL=$D645)*(xlRTEQTYPE=$E645),0))</f>
        <v>DIST_FA3</v>
      </c>
      <c r="Y645" s="153" t="str">
        <f t="array" ref="Y645">INDEX(xlRTTYNAME,MATCH(1,(xlRTTYENDU=2)*(xlRTTYEQCL=$F645)*(xlRTEQTYPE=$G645),0))</f>
        <v>CENT_AIR3</v>
      </c>
    </row>
    <row r="646" spans="2:25" x14ac:dyDescent="0.2">
      <c r="B646" s="126">
        <v>6</v>
      </c>
      <c r="C646" s="126">
        <v>1</v>
      </c>
      <c r="D646" s="126">
        <v>7</v>
      </c>
      <c r="E646" s="126">
        <v>24</v>
      </c>
      <c r="F646" s="126">
        <v>2</v>
      </c>
      <c r="G646" s="126">
        <v>7</v>
      </c>
      <c r="H646" s="126">
        <v>2016</v>
      </c>
      <c r="I646" s="159">
        <v>2022</v>
      </c>
      <c r="J646" s="127">
        <v>1.0907</v>
      </c>
      <c r="K646" s="127">
        <v>1.0603</v>
      </c>
      <c r="L646" s="127">
        <v>0.5444</v>
      </c>
      <c r="M646" s="127">
        <v>0.82889999999999997</v>
      </c>
      <c r="N646" s="127">
        <v>0.89139999999999997</v>
      </c>
      <c r="O646" s="127">
        <v>1.0538000000000001</v>
      </c>
      <c r="P646" s="126">
        <v>9614</v>
      </c>
      <c r="Q646" s="128">
        <f t="array" ref="Q646">SUM(IF(($S646&gt;=4)*($C646='TaxCred&amp;Subs'!$D$123:$D$127)*($H646='TaxCred&amp;Subs'!$C$123:$C$127)*($H646&lt;='TaxCred&amp;Subs'!$C$129),'TaxCred&amp;Subs'!$E$123:$E$127,0))</f>
        <v>2000</v>
      </c>
      <c r="R646" s="174">
        <v>0</v>
      </c>
      <c r="S646" s="126">
        <v>4</v>
      </c>
      <c r="T646" s="126" t="s">
        <v>248</v>
      </c>
      <c r="V646" s="153" t="str">
        <f t="array" ref="V646">INDEX(xlRTCLNAME,MATCH(1,(xlRTCLENDU=1)*(xlRTCLEQCL=$D646),0))</f>
        <v>DIST_FA</v>
      </c>
      <c r="W646" s="153" t="str">
        <f t="array" ref="W646">INDEX(xlRTCLNAME,MATCH(1,(xlRTCLENDU=2)*(xlRTCLEQCL=$F646),0))</f>
        <v>CENT_AIR</v>
      </c>
      <c r="X646" s="153" t="str">
        <f t="array" ref="X646">INDEX(xlRTTYNAME,MATCH(1,(xlRTTYENDU=1)*(xlRTTYEQCL=$D646)*(xlRTEQTYPE=$E646),0))</f>
        <v>DIST_FA3</v>
      </c>
      <c r="Y646" s="153" t="str">
        <f t="array" ref="Y646">INDEX(xlRTTYNAME,MATCH(1,(xlRTTYENDU=2)*(xlRTTYEQCL=$F646)*(xlRTEQTYPE=$G646),0))</f>
        <v>CENT_AIR3</v>
      </c>
    </row>
    <row r="647" spans="2:25" x14ac:dyDescent="0.2">
      <c r="B647" s="49">
        <v>6</v>
      </c>
      <c r="C647" s="49">
        <v>1</v>
      </c>
      <c r="D647" s="49">
        <v>7</v>
      </c>
      <c r="E647" s="49">
        <v>24</v>
      </c>
      <c r="F647" s="49">
        <v>2</v>
      </c>
      <c r="G647" s="49">
        <v>7</v>
      </c>
      <c r="H647" s="49">
        <v>2023</v>
      </c>
      <c r="I647" s="49">
        <v>2032</v>
      </c>
      <c r="J647" s="50">
        <v>1.0907</v>
      </c>
      <c r="K647" s="50">
        <v>1.0603</v>
      </c>
      <c r="L647" s="50">
        <v>0.5444</v>
      </c>
      <c r="M647" s="50">
        <v>0.82889999999999997</v>
      </c>
      <c r="N647" s="50">
        <v>0.89139999999999997</v>
      </c>
      <c r="O647" s="50">
        <v>1.0538000000000001</v>
      </c>
      <c r="P647" s="49">
        <v>9614</v>
      </c>
      <c r="Q647" s="51">
        <f t="array" ref="Q647">SUM(IF(($S647&gt;=4)*($C647='TaxCred&amp;Subs'!$D$123:$D$127)*($H647='TaxCred&amp;Subs'!$C$123:$C$127)*($H647&lt;='TaxCred&amp;Subs'!$C$129),'TaxCred&amp;Subs'!$E$123:$E$127,0))</f>
        <v>2500</v>
      </c>
      <c r="R647" s="171">
        <v>0</v>
      </c>
      <c r="S647" s="49">
        <v>4</v>
      </c>
      <c r="T647" s="49" t="s">
        <v>248</v>
      </c>
      <c r="V647" s="153" t="str">
        <f t="array" ref="V647">INDEX(xlRTCLNAME,MATCH(1,(xlRTCLENDU=1)*(xlRTCLEQCL=$D647),0))</f>
        <v>DIST_FA</v>
      </c>
      <c r="W647" s="153" t="str">
        <f t="array" ref="W647">INDEX(xlRTCLNAME,MATCH(1,(xlRTCLENDU=2)*(xlRTCLEQCL=$F647),0))</f>
        <v>CENT_AIR</v>
      </c>
      <c r="X647" s="153" t="str">
        <f t="array" ref="X647">INDEX(xlRTTYNAME,MATCH(1,(xlRTTYENDU=1)*(xlRTTYEQCL=$D647)*(xlRTEQTYPE=$E647),0))</f>
        <v>DIST_FA3</v>
      </c>
      <c r="Y647" s="153" t="str">
        <f t="array" ref="Y647">INDEX(xlRTTYNAME,MATCH(1,(xlRTTYENDU=2)*(xlRTTYEQCL=$F647)*(xlRTEQTYPE=$G647),0))</f>
        <v>CENT_AIR3</v>
      </c>
    </row>
    <row r="648" spans="2:25" x14ac:dyDescent="0.2">
      <c r="B648" s="126">
        <v>6</v>
      </c>
      <c r="C648" s="126">
        <v>1</v>
      </c>
      <c r="D648" s="126">
        <v>7</v>
      </c>
      <c r="E648" s="126">
        <v>24</v>
      </c>
      <c r="F648" s="126">
        <v>2</v>
      </c>
      <c r="G648" s="126">
        <v>7</v>
      </c>
      <c r="H648" s="159">
        <v>2033</v>
      </c>
      <c r="I648" s="126">
        <v>2050</v>
      </c>
      <c r="J648" s="127">
        <v>1.0907</v>
      </c>
      <c r="K648" s="127">
        <v>1.0603</v>
      </c>
      <c r="L648" s="127">
        <v>0.5444</v>
      </c>
      <c r="M648" s="127">
        <v>0.82889999999999997</v>
      </c>
      <c r="N648" s="127">
        <v>0.89139999999999997</v>
      </c>
      <c r="O648" s="127">
        <v>1.0538000000000001</v>
      </c>
      <c r="P648" s="126">
        <v>9614</v>
      </c>
      <c r="Q648" s="128">
        <f t="array" ref="Q648">SUM(IF(($S648&gt;=4)*($C648='TaxCred&amp;Subs'!$D$123:$D$127)*($H648='TaxCred&amp;Subs'!$C$123:$C$127)*($H648&lt;='TaxCred&amp;Subs'!$C$129),'TaxCred&amp;Subs'!$E$123:$E$127,0))</f>
        <v>0</v>
      </c>
      <c r="R648" s="174">
        <v>0</v>
      </c>
      <c r="S648" s="126">
        <v>4</v>
      </c>
      <c r="T648" s="126" t="s">
        <v>248</v>
      </c>
      <c r="V648" s="153" t="str">
        <f t="array" ref="V648">INDEX(xlRTCLNAME,MATCH(1,(xlRTCLENDU=1)*(xlRTCLEQCL=$D648),0))</f>
        <v>DIST_FA</v>
      </c>
      <c r="W648" s="153" t="str">
        <f t="array" ref="W648">INDEX(xlRTCLNAME,MATCH(1,(xlRTCLENDU=2)*(xlRTCLEQCL=$F648),0))</f>
        <v>CENT_AIR</v>
      </c>
      <c r="X648" s="153" t="str">
        <f t="array" ref="X648">INDEX(xlRTTYNAME,MATCH(1,(xlRTTYENDU=1)*(xlRTTYEQCL=$D648)*(xlRTEQTYPE=$E648),0))</f>
        <v>DIST_FA3</v>
      </c>
      <c r="Y648" s="153" t="str">
        <f t="array" ref="Y648">INDEX(xlRTTYNAME,MATCH(1,(xlRTTYENDU=2)*(xlRTTYEQCL=$F648)*(xlRTEQTYPE=$G648),0))</f>
        <v>CENT_AIR3</v>
      </c>
    </row>
    <row r="649" spans="2:25" x14ac:dyDescent="0.2">
      <c r="B649" s="126">
        <v>7</v>
      </c>
      <c r="C649" s="126">
        <v>1</v>
      </c>
      <c r="D649" s="126">
        <v>7</v>
      </c>
      <c r="E649" s="126">
        <v>24</v>
      </c>
      <c r="F649" s="126">
        <v>2</v>
      </c>
      <c r="G649" s="126">
        <v>7</v>
      </c>
      <c r="H649" s="126">
        <v>2016</v>
      </c>
      <c r="I649" s="159">
        <v>2022</v>
      </c>
      <c r="J649" s="127">
        <v>1.0885</v>
      </c>
      <c r="K649" s="127">
        <v>1.0575000000000001</v>
      </c>
      <c r="L649" s="127">
        <v>0.49830000000000002</v>
      </c>
      <c r="M649" s="127">
        <v>0.70269999999999999</v>
      </c>
      <c r="N649" s="127">
        <v>0.872</v>
      </c>
      <c r="O649" s="127">
        <v>1.0538000000000001</v>
      </c>
      <c r="P649" s="126">
        <v>9165</v>
      </c>
      <c r="Q649" s="128">
        <f t="array" ref="Q649">SUM(IF(($S649&gt;=4)*($C649='TaxCred&amp;Subs'!$D$123:$D$127)*($H649='TaxCred&amp;Subs'!$C$123:$C$127)*($H649&lt;='TaxCred&amp;Subs'!$C$129),'TaxCred&amp;Subs'!$E$123:$E$127,0))</f>
        <v>2000</v>
      </c>
      <c r="R649" s="174">
        <v>0</v>
      </c>
      <c r="S649" s="126">
        <v>4</v>
      </c>
      <c r="T649" s="126" t="s">
        <v>248</v>
      </c>
      <c r="V649" s="153" t="str">
        <f t="array" ref="V649">INDEX(xlRTCLNAME,MATCH(1,(xlRTCLENDU=1)*(xlRTCLEQCL=$D649),0))</f>
        <v>DIST_FA</v>
      </c>
      <c r="W649" s="153" t="str">
        <f t="array" ref="W649">INDEX(xlRTCLNAME,MATCH(1,(xlRTCLENDU=2)*(xlRTCLEQCL=$F649),0))</f>
        <v>CENT_AIR</v>
      </c>
      <c r="X649" s="153" t="str">
        <f t="array" ref="X649">INDEX(xlRTTYNAME,MATCH(1,(xlRTTYENDU=1)*(xlRTTYEQCL=$D649)*(xlRTEQTYPE=$E649),0))</f>
        <v>DIST_FA3</v>
      </c>
      <c r="Y649" s="153" t="str">
        <f t="array" ref="Y649">INDEX(xlRTTYNAME,MATCH(1,(xlRTTYENDU=2)*(xlRTTYEQCL=$F649)*(xlRTEQTYPE=$G649),0))</f>
        <v>CENT_AIR3</v>
      </c>
    </row>
    <row r="650" spans="2:25" x14ac:dyDescent="0.2">
      <c r="B650" s="49">
        <v>7</v>
      </c>
      <c r="C650" s="49">
        <v>1</v>
      </c>
      <c r="D650" s="49">
        <v>7</v>
      </c>
      <c r="E650" s="49">
        <v>24</v>
      </c>
      <c r="F650" s="49">
        <v>2</v>
      </c>
      <c r="G650" s="49">
        <v>7</v>
      </c>
      <c r="H650" s="49">
        <v>2023</v>
      </c>
      <c r="I650" s="49">
        <v>2032</v>
      </c>
      <c r="J650" s="50">
        <v>1.0885</v>
      </c>
      <c r="K650" s="50">
        <v>1.0575000000000001</v>
      </c>
      <c r="L650" s="50">
        <v>0.49830000000000002</v>
      </c>
      <c r="M650" s="50">
        <v>0.70269999999999999</v>
      </c>
      <c r="N650" s="50">
        <v>0.872</v>
      </c>
      <c r="O650" s="50">
        <v>1.0538000000000001</v>
      </c>
      <c r="P650" s="49">
        <v>9165</v>
      </c>
      <c r="Q650" s="51">
        <f t="array" ref="Q650">SUM(IF(($S650&gt;=4)*($C650='TaxCred&amp;Subs'!$D$123:$D$127)*($H650='TaxCred&amp;Subs'!$C$123:$C$127)*($H650&lt;='TaxCred&amp;Subs'!$C$129),'TaxCred&amp;Subs'!$E$123:$E$127,0))</f>
        <v>2500</v>
      </c>
      <c r="R650" s="171">
        <v>0</v>
      </c>
      <c r="S650" s="49">
        <v>4</v>
      </c>
      <c r="T650" s="49" t="s">
        <v>248</v>
      </c>
      <c r="V650" s="153" t="str">
        <f t="array" ref="V650">INDEX(xlRTCLNAME,MATCH(1,(xlRTCLENDU=1)*(xlRTCLEQCL=$D650),0))</f>
        <v>DIST_FA</v>
      </c>
      <c r="W650" s="153" t="str">
        <f t="array" ref="W650">INDEX(xlRTCLNAME,MATCH(1,(xlRTCLENDU=2)*(xlRTCLEQCL=$F650),0))</f>
        <v>CENT_AIR</v>
      </c>
      <c r="X650" s="153" t="str">
        <f t="array" ref="X650">INDEX(xlRTTYNAME,MATCH(1,(xlRTTYENDU=1)*(xlRTTYEQCL=$D650)*(xlRTEQTYPE=$E650),0))</f>
        <v>DIST_FA3</v>
      </c>
      <c r="Y650" s="153" t="str">
        <f t="array" ref="Y650">INDEX(xlRTTYNAME,MATCH(1,(xlRTTYENDU=2)*(xlRTTYEQCL=$F650)*(xlRTEQTYPE=$G650),0))</f>
        <v>CENT_AIR3</v>
      </c>
    </row>
    <row r="651" spans="2:25" x14ac:dyDescent="0.2">
      <c r="B651" s="126">
        <v>7</v>
      </c>
      <c r="C651" s="126">
        <v>1</v>
      </c>
      <c r="D651" s="126">
        <v>7</v>
      </c>
      <c r="E651" s="126">
        <v>24</v>
      </c>
      <c r="F651" s="126">
        <v>2</v>
      </c>
      <c r="G651" s="126">
        <v>7</v>
      </c>
      <c r="H651" s="159">
        <v>2033</v>
      </c>
      <c r="I651" s="126">
        <v>2050</v>
      </c>
      <c r="J651" s="127">
        <v>1.0885</v>
      </c>
      <c r="K651" s="127">
        <v>1.0575000000000001</v>
      </c>
      <c r="L651" s="127">
        <v>0.49830000000000002</v>
      </c>
      <c r="M651" s="127">
        <v>0.70269999999999999</v>
      </c>
      <c r="N651" s="127">
        <v>0.872</v>
      </c>
      <c r="O651" s="127">
        <v>1.0538000000000001</v>
      </c>
      <c r="P651" s="126">
        <v>9165</v>
      </c>
      <c r="Q651" s="128">
        <f t="array" ref="Q651">SUM(IF(($S651&gt;=4)*($C651='TaxCred&amp;Subs'!$D$123:$D$127)*($H651='TaxCred&amp;Subs'!$C$123:$C$127)*($H651&lt;='TaxCred&amp;Subs'!$C$129),'TaxCred&amp;Subs'!$E$123:$E$127,0))</f>
        <v>0</v>
      </c>
      <c r="R651" s="174">
        <v>0</v>
      </c>
      <c r="S651" s="126">
        <v>4</v>
      </c>
      <c r="T651" s="126" t="s">
        <v>248</v>
      </c>
      <c r="V651" s="153" t="str">
        <f t="array" ref="V651">INDEX(xlRTCLNAME,MATCH(1,(xlRTCLENDU=1)*(xlRTCLEQCL=$D651),0))</f>
        <v>DIST_FA</v>
      </c>
      <c r="W651" s="153" t="str">
        <f t="array" ref="W651">INDEX(xlRTCLNAME,MATCH(1,(xlRTCLENDU=2)*(xlRTCLEQCL=$F651),0))</f>
        <v>CENT_AIR</v>
      </c>
      <c r="X651" s="153" t="str">
        <f t="array" ref="X651">INDEX(xlRTTYNAME,MATCH(1,(xlRTTYENDU=1)*(xlRTTYEQCL=$D651)*(xlRTEQTYPE=$E651),0))</f>
        <v>DIST_FA3</v>
      </c>
      <c r="Y651" s="153" t="str">
        <f t="array" ref="Y651">INDEX(xlRTTYNAME,MATCH(1,(xlRTTYENDU=2)*(xlRTTYEQCL=$F651)*(xlRTEQTYPE=$G651),0))</f>
        <v>CENT_AIR3</v>
      </c>
    </row>
    <row r="652" spans="2:25" x14ac:dyDescent="0.2">
      <c r="B652" s="126">
        <v>8</v>
      </c>
      <c r="C652" s="126">
        <v>1</v>
      </c>
      <c r="D652" s="126">
        <v>7</v>
      </c>
      <c r="E652" s="126">
        <v>24</v>
      </c>
      <c r="F652" s="126">
        <v>2</v>
      </c>
      <c r="G652" s="126">
        <v>7</v>
      </c>
      <c r="H652" s="126">
        <v>2016</v>
      </c>
      <c r="I652" s="159">
        <v>2022</v>
      </c>
      <c r="J652" s="127">
        <v>1.0838000000000001</v>
      </c>
      <c r="K652" s="127">
        <v>1.0832999999999999</v>
      </c>
      <c r="L652" s="127">
        <v>0.46579999999999999</v>
      </c>
      <c r="M652" s="127">
        <v>0.78759999999999997</v>
      </c>
      <c r="N652" s="127">
        <v>0.86950000000000005</v>
      </c>
      <c r="O652" s="127">
        <v>1.0538000000000001</v>
      </c>
      <c r="P652" s="126">
        <v>11853</v>
      </c>
      <c r="Q652" s="128">
        <f t="array" ref="Q652">SUM(IF(($S652&gt;=4)*($C652='TaxCred&amp;Subs'!$D$123:$D$127)*($H652='TaxCred&amp;Subs'!$C$123:$C$127)*($H652&lt;='TaxCred&amp;Subs'!$C$129),'TaxCred&amp;Subs'!$E$123:$E$127,0))</f>
        <v>2000</v>
      </c>
      <c r="R652" s="174">
        <v>0</v>
      </c>
      <c r="S652" s="126">
        <v>4</v>
      </c>
      <c r="T652" s="126" t="s">
        <v>248</v>
      </c>
      <c r="V652" s="153" t="str">
        <f t="array" ref="V652">INDEX(xlRTCLNAME,MATCH(1,(xlRTCLENDU=1)*(xlRTCLEQCL=$D652),0))</f>
        <v>DIST_FA</v>
      </c>
      <c r="W652" s="153" t="str">
        <f t="array" ref="W652">INDEX(xlRTCLNAME,MATCH(1,(xlRTCLENDU=2)*(xlRTCLEQCL=$F652),0))</f>
        <v>CENT_AIR</v>
      </c>
      <c r="X652" s="153" t="str">
        <f t="array" ref="X652">INDEX(xlRTTYNAME,MATCH(1,(xlRTTYENDU=1)*(xlRTTYEQCL=$D652)*(xlRTEQTYPE=$E652),0))</f>
        <v>DIST_FA3</v>
      </c>
      <c r="Y652" s="153" t="str">
        <f t="array" ref="Y652">INDEX(xlRTTYNAME,MATCH(1,(xlRTTYENDU=2)*(xlRTTYEQCL=$F652)*(xlRTEQTYPE=$G652),0))</f>
        <v>CENT_AIR3</v>
      </c>
    </row>
    <row r="653" spans="2:25" x14ac:dyDescent="0.2">
      <c r="B653" s="49">
        <v>8</v>
      </c>
      <c r="C653" s="49">
        <v>1</v>
      </c>
      <c r="D653" s="49">
        <v>7</v>
      </c>
      <c r="E653" s="49">
        <v>24</v>
      </c>
      <c r="F653" s="49">
        <v>2</v>
      </c>
      <c r="G653" s="49">
        <v>7</v>
      </c>
      <c r="H653" s="49">
        <v>2023</v>
      </c>
      <c r="I653" s="49">
        <v>2032</v>
      </c>
      <c r="J653" s="50">
        <v>1.0838000000000001</v>
      </c>
      <c r="K653" s="50">
        <v>1.0832999999999999</v>
      </c>
      <c r="L653" s="50">
        <v>0.46579999999999999</v>
      </c>
      <c r="M653" s="50">
        <v>0.78759999999999997</v>
      </c>
      <c r="N653" s="50">
        <v>0.86950000000000005</v>
      </c>
      <c r="O653" s="50">
        <v>1.0538000000000001</v>
      </c>
      <c r="P653" s="49">
        <v>11853</v>
      </c>
      <c r="Q653" s="51">
        <f t="array" ref="Q653">SUM(IF(($S653&gt;=4)*($C653='TaxCred&amp;Subs'!$D$123:$D$127)*($H653='TaxCred&amp;Subs'!$C$123:$C$127)*($H653&lt;='TaxCred&amp;Subs'!$C$129),'TaxCred&amp;Subs'!$E$123:$E$127,0))</f>
        <v>2500</v>
      </c>
      <c r="R653" s="171">
        <v>0</v>
      </c>
      <c r="S653" s="49">
        <v>4</v>
      </c>
      <c r="T653" s="49" t="s">
        <v>248</v>
      </c>
      <c r="V653" s="153" t="str">
        <f t="array" ref="V653">INDEX(xlRTCLNAME,MATCH(1,(xlRTCLENDU=1)*(xlRTCLEQCL=$D653),0))</f>
        <v>DIST_FA</v>
      </c>
      <c r="W653" s="153" t="str">
        <f t="array" ref="W653">INDEX(xlRTCLNAME,MATCH(1,(xlRTCLENDU=2)*(xlRTCLEQCL=$F653),0))</f>
        <v>CENT_AIR</v>
      </c>
      <c r="X653" s="153" t="str">
        <f t="array" ref="X653">INDEX(xlRTTYNAME,MATCH(1,(xlRTTYENDU=1)*(xlRTTYEQCL=$D653)*(xlRTEQTYPE=$E653),0))</f>
        <v>DIST_FA3</v>
      </c>
      <c r="Y653" s="153" t="str">
        <f t="array" ref="Y653">INDEX(xlRTTYNAME,MATCH(1,(xlRTTYENDU=2)*(xlRTTYEQCL=$F653)*(xlRTEQTYPE=$G653),0))</f>
        <v>CENT_AIR3</v>
      </c>
    </row>
    <row r="654" spans="2:25" x14ac:dyDescent="0.2">
      <c r="B654" s="126">
        <v>8</v>
      </c>
      <c r="C654" s="126">
        <v>1</v>
      </c>
      <c r="D654" s="126">
        <v>7</v>
      </c>
      <c r="E654" s="126">
        <v>24</v>
      </c>
      <c r="F654" s="126">
        <v>2</v>
      </c>
      <c r="G654" s="126">
        <v>7</v>
      </c>
      <c r="H654" s="159">
        <v>2033</v>
      </c>
      <c r="I654" s="126">
        <v>2050</v>
      </c>
      <c r="J654" s="127">
        <v>1.0838000000000001</v>
      </c>
      <c r="K654" s="127">
        <v>1.0832999999999999</v>
      </c>
      <c r="L654" s="127">
        <v>0.46579999999999999</v>
      </c>
      <c r="M654" s="127">
        <v>0.78759999999999997</v>
      </c>
      <c r="N654" s="127">
        <v>0.86950000000000005</v>
      </c>
      <c r="O654" s="127">
        <v>1.0538000000000001</v>
      </c>
      <c r="P654" s="126">
        <v>11853</v>
      </c>
      <c r="Q654" s="128">
        <f t="array" ref="Q654">SUM(IF(($S654&gt;=4)*($C654='TaxCred&amp;Subs'!$D$123:$D$127)*($H654='TaxCred&amp;Subs'!$C$123:$C$127)*($H654&lt;='TaxCred&amp;Subs'!$C$129),'TaxCred&amp;Subs'!$E$123:$E$127,0))</f>
        <v>0</v>
      </c>
      <c r="R654" s="174">
        <v>0</v>
      </c>
      <c r="S654" s="126">
        <v>4</v>
      </c>
      <c r="T654" s="126" t="s">
        <v>248</v>
      </c>
      <c r="V654" s="153" t="str">
        <f t="array" ref="V654">INDEX(xlRTCLNAME,MATCH(1,(xlRTCLENDU=1)*(xlRTCLEQCL=$D654),0))</f>
        <v>DIST_FA</v>
      </c>
      <c r="W654" s="153" t="str">
        <f t="array" ref="W654">INDEX(xlRTCLNAME,MATCH(1,(xlRTCLENDU=2)*(xlRTCLEQCL=$F654),0))</f>
        <v>CENT_AIR</v>
      </c>
      <c r="X654" s="153" t="str">
        <f t="array" ref="X654">INDEX(xlRTTYNAME,MATCH(1,(xlRTTYENDU=1)*(xlRTTYEQCL=$D654)*(xlRTEQTYPE=$E654),0))</f>
        <v>DIST_FA3</v>
      </c>
      <c r="Y654" s="153" t="str">
        <f t="array" ref="Y654">INDEX(xlRTTYNAME,MATCH(1,(xlRTTYENDU=2)*(xlRTTYEQCL=$F654)*(xlRTEQTYPE=$G654),0))</f>
        <v>CENT_AIR3</v>
      </c>
    </row>
    <row r="655" spans="2:25" x14ac:dyDescent="0.2">
      <c r="B655" s="126">
        <v>9</v>
      </c>
      <c r="C655" s="126">
        <v>1</v>
      </c>
      <c r="D655" s="126">
        <v>7</v>
      </c>
      <c r="E655" s="126">
        <v>24</v>
      </c>
      <c r="F655" s="126">
        <v>2</v>
      </c>
      <c r="G655" s="126">
        <v>7</v>
      </c>
      <c r="H655" s="126">
        <v>2016</v>
      </c>
      <c r="I655" s="159">
        <v>2022</v>
      </c>
      <c r="J655" s="127">
        <v>1.0790999999999999</v>
      </c>
      <c r="K655" s="127">
        <v>1.0722</v>
      </c>
      <c r="L655" s="127">
        <v>0.5464</v>
      </c>
      <c r="M655" s="127">
        <v>0.82330000000000003</v>
      </c>
      <c r="N655" s="127">
        <v>1.0336000000000001</v>
      </c>
      <c r="O655" s="127">
        <v>1.0538000000000001</v>
      </c>
      <c r="P655" s="126">
        <v>12717</v>
      </c>
      <c r="Q655" s="128">
        <f t="array" ref="Q655">SUM(IF(($S655&gt;=4)*($C655='TaxCred&amp;Subs'!$D$123:$D$127)*($H655='TaxCred&amp;Subs'!$C$123:$C$127)*($H655&lt;='TaxCred&amp;Subs'!$C$129),'TaxCred&amp;Subs'!$E$123:$E$127,0))</f>
        <v>2000</v>
      </c>
      <c r="R655" s="174">
        <v>0</v>
      </c>
      <c r="S655" s="126">
        <v>4</v>
      </c>
      <c r="T655" s="126" t="s">
        <v>248</v>
      </c>
      <c r="V655" s="153" t="str">
        <f t="array" ref="V655">INDEX(xlRTCLNAME,MATCH(1,(xlRTCLENDU=1)*(xlRTCLEQCL=$D655),0))</f>
        <v>DIST_FA</v>
      </c>
      <c r="W655" s="153" t="str">
        <f t="array" ref="W655">INDEX(xlRTCLNAME,MATCH(1,(xlRTCLENDU=2)*(xlRTCLEQCL=$F655),0))</f>
        <v>CENT_AIR</v>
      </c>
      <c r="X655" s="153" t="str">
        <f t="array" ref="X655">INDEX(xlRTTYNAME,MATCH(1,(xlRTTYENDU=1)*(xlRTTYEQCL=$D655)*(xlRTEQTYPE=$E655),0))</f>
        <v>DIST_FA3</v>
      </c>
      <c r="Y655" s="153" t="str">
        <f t="array" ref="Y655">INDEX(xlRTTYNAME,MATCH(1,(xlRTTYENDU=2)*(xlRTTYEQCL=$F655)*(xlRTEQTYPE=$G655),0))</f>
        <v>CENT_AIR3</v>
      </c>
    </row>
    <row r="656" spans="2:25" x14ac:dyDescent="0.2">
      <c r="B656" s="49">
        <v>9</v>
      </c>
      <c r="C656" s="49">
        <v>1</v>
      </c>
      <c r="D656" s="49">
        <v>7</v>
      </c>
      <c r="E656" s="49">
        <v>24</v>
      </c>
      <c r="F656" s="49">
        <v>2</v>
      </c>
      <c r="G656" s="49">
        <v>7</v>
      </c>
      <c r="H656" s="49">
        <v>2023</v>
      </c>
      <c r="I656" s="49">
        <v>2032</v>
      </c>
      <c r="J656" s="50">
        <v>1.0790999999999999</v>
      </c>
      <c r="K656" s="50">
        <v>1.0722</v>
      </c>
      <c r="L656" s="50">
        <v>0.5464</v>
      </c>
      <c r="M656" s="50">
        <v>0.82330000000000003</v>
      </c>
      <c r="N656" s="50">
        <v>1.0336000000000001</v>
      </c>
      <c r="O656" s="50">
        <v>1.0538000000000001</v>
      </c>
      <c r="P656" s="49">
        <v>12717</v>
      </c>
      <c r="Q656" s="51">
        <f t="array" ref="Q656">SUM(IF(($S656&gt;=4)*($C656='TaxCred&amp;Subs'!$D$123:$D$127)*($H656='TaxCred&amp;Subs'!$C$123:$C$127)*($H656&lt;='TaxCred&amp;Subs'!$C$129),'TaxCred&amp;Subs'!$E$123:$E$127,0))</f>
        <v>2500</v>
      </c>
      <c r="R656" s="171">
        <v>0</v>
      </c>
      <c r="S656" s="49">
        <v>4</v>
      </c>
      <c r="T656" s="49" t="s">
        <v>248</v>
      </c>
      <c r="V656" s="153" t="str">
        <f t="array" ref="V656">INDEX(xlRTCLNAME,MATCH(1,(xlRTCLENDU=1)*(xlRTCLEQCL=$D656),0))</f>
        <v>DIST_FA</v>
      </c>
      <c r="W656" s="153" t="str">
        <f t="array" ref="W656">INDEX(xlRTCLNAME,MATCH(1,(xlRTCLENDU=2)*(xlRTCLEQCL=$F656),0))</f>
        <v>CENT_AIR</v>
      </c>
      <c r="X656" s="153" t="str">
        <f t="array" ref="X656">INDEX(xlRTTYNAME,MATCH(1,(xlRTTYENDU=1)*(xlRTTYEQCL=$D656)*(xlRTEQTYPE=$E656),0))</f>
        <v>DIST_FA3</v>
      </c>
      <c r="Y656" s="153" t="str">
        <f t="array" ref="Y656">INDEX(xlRTTYNAME,MATCH(1,(xlRTTYENDU=2)*(xlRTTYEQCL=$F656)*(xlRTEQTYPE=$G656),0))</f>
        <v>CENT_AIR3</v>
      </c>
    </row>
    <row r="657" spans="2:25" x14ac:dyDescent="0.2">
      <c r="B657" s="126">
        <v>9</v>
      </c>
      <c r="C657" s="126">
        <v>1</v>
      </c>
      <c r="D657" s="126">
        <v>7</v>
      </c>
      <c r="E657" s="126">
        <v>24</v>
      </c>
      <c r="F657" s="126">
        <v>2</v>
      </c>
      <c r="G657" s="126">
        <v>7</v>
      </c>
      <c r="H657" s="159">
        <v>2033</v>
      </c>
      <c r="I657" s="126">
        <v>2050</v>
      </c>
      <c r="J657" s="127">
        <v>1.0790999999999999</v>
      </c>
      <c r="K657" s="127">
        <v>1.0722</v>
      </c>
      <c r="L657" s="127">
        <v>0.5464</v>
      </c>
      <c r="M657" s="127">
        <v>0.82330000000000003</v>
      </c>
      <c r="N657" s="127">
        <v>1.0336000000000001</v>
      </c>
      <c r="O657" s="127">
        <v>1.0538000000000001</v>
      </c>
      <c r="P657" s="126">
        <v>12717</v>
      </c>
      <c r="Q657" s="128">
        <f t="array" ref="Q657">SUM(IF(($S657&gt;=4)*($C657='TaxCred&amp;Subs'!$D$123:$D$127)*($H657='TaxCred&amp;Subs'!$C$123:$C$127)*($H657&lt;='TaxCred&amp;Subs'!$C$129),'TaxCred&amp;Subs'!$E$123:$E$127,0))</f>
        <v>0</v>
      </c>
      <c r="R657" s="174">
        <v>0</v>
      </c>
      <c r="S657" s="126">
        <v>4</v>
      </c>
      <c r="T657" s="126" t="s">
        <v>248</v>
      </c>
      <c r="V657" s="153" t="str">
        <f t="array" ref="V657">INDEX(xlRTCLNAME,MATCH(1,(xlRTCLENDU=1)*(xlRTCLEQCL=$D657),0))</f>
        <v>DIST_FA</v>
      </c>
      <c r="W657" s="153" t="str">
        <f t="array" ref="W657">INDEX(xlRTCLNAME,MATCH(1,(xlRTCLENDU=2)*(xlRTCLEQCL=$F657),0))</f>
        <v>CENT_AIR</v>
      </c>
      <c r="X657" s="153" t="str">
        <f t="array" ref="X657">INDEX(xlRTTYNAME,MATCH(1,(xlRTTYENDU=1)*(xlRTTYEQCL=$D657)*(xlRTEQTYPE=$E657),0))</f>
        <v>DIST_FA3</v>
      </c>
      <c r="Y657" s="153" t="str">
        <f t="array" ref="Y657">INDEX(xlRTTYNAME,MATCH(1,(xlRTTYENDU=2)*(xlRTTYEQCL=$F657)*(xlRTEQTYPE=$G657),0))</f>
        <v>CENT_AIR3</v>
      </c>
    </row>
    <row r="658" spans="2:25" x14ac:dyDescent="0.2">
      <c r="B658" s="126">
        <v>1</v>
      </c>
      <c r="C658" s="126">
        <v>1</v>
      </c>
      <c r="D658" s="126">
        <v>8</v>
      </c>
      <c r="E658" s="126">
        <v>28</v>
      </c>
      <c r="F658" s="126">
        <v>2</v>
      </c>
      <c r="G658" s="126">
        <v>7</v>
      </c>
      <c r="H658" s="126">
        <v>2016</v>
      </c>
      <c r="I658" s="159">
        <v>2022</v>
      </c>
      <c r="J658" s="127">
        <v>1.0592999999999999</v>
      </c>
      <c r="K658" s="127">
        <v>1.0889</v>
      </c>
      <c r="L658" s="127">
        <v>0.4773</v>
      </c>
      <c r="M658" s="127">
        <v>0.95850000000000002</v>
      </c>
      <c r="N658" s="127">
        <v>0.8095</v>
      </c>
      <c r="O658" s="127">
        <v>1.0538000000000001</v>
      </c>
      <c r="P658" s="126">
        <v>12309</v>
      </c>
      <c r="Q658" s="128">
        <f t="array" ref="Q658">SUM(IF(($S658&gt;=4)*($C658='TaxCred&amp;Subs'!$D$123:$D$127)*($H658='TaxCred&amp;Subs'!$C$123:$C$127)*($H658&lt;='TaxCred&amp;Subs'!$C$129),'TaxCred&amp;Subs'!$E$123:$E$127,0))</f>
        <v>2000</v>
      </c>
      <c r="R658" s="174">
        <v>0</v>
      </c>
      <c r="S658" s="126">
        <v>4</v>
      </c>
      <c r="T658" s="126" t="s">
        <v>248</v>
      </c>
      <c r="V658" s="153" t="str">
        <f t="array" ref="V658">INDEX(xlRTCLNAME,MATCH(1,(xlRTCLENDU=1)*(xlRTCLEQCL=$D658),0))</f>
        <v>DIST_RAD</v>
      </c>
      <c r="W658" s="153" t="str">
        <f t="array" ref="W658">INDEX(xlRTCLNAME,MATCH(1,(xlRTCLENDU=2)*(xlRTCLEQCL=$F658),0))</f>
        <v>CENT_AIR</v>
      </c>
      <c r="X658" s="153" t="str">
        <f t="array" ref="X658">INDEX(xlRTTYNAME,MATCH(1,(xlRTTYENDU=1)*(xlRTTYEQCL=$D658)*(xlRTEQTYPE=$E658),0))</f>
        <v>DIST_RAD3</v>
      </c>
      <c r="Y658" s="153" t="str">
        <f t="array" ref="Y658">INDEX(xlRTTYNAME,MATCH(1,(xlRTTYENDU=2)*(xlRTTYEQCL=$F658)*(xlRTEQTYPE=$G658),0))</f>
        <v>CENT_AIR3</v>
      </c>
    </row>
    <row r="659" spans="2:25" x14ac:dyDescent="0.2">
      <c r="B659" s="49">
        <v>1</v>
      </c>
      <c r="C659" s="49">
        <v>1</v>
      </c>
      <c r="D659" s="49">
        <v>8</v>
      </c>
      <c r="E659" s="49">
        <v>28</v>
      </c>
      <c r="F659" s="49">
        <v>2</v>
      </c>
      <c r="G659" s="49">
        <v>7</v>
      </c>
      <c r="H659" s="49">
        <v>2023</v>
      </c>
      <c r="I659" s="49">
        <v>2032</v>
      </c>
      <c r="J659" s="50">
        <v>1.0592999999999999</v>
      </c>
      <c r="K659" s="50">
        <v>1.0889</v>
      </c>
      <c r="L659" s="50">
        <v>0.4773</v>
      </c>
      <c r="M659" s="50">
        <v>0.95850000000000002</v>
      </c>
      <c r="N659" s="50">
        <v>0.8095</v>
      </c>
      <c r="O659" s="50">
        <v>1.0538000000000001</v>
      </c>
      <c r="P659" s="49">
        <v>12309</v>
      </c>
      <c r="Q659" s="51">
        <f t="array" ref="Q659">SUM(IF(($S659&gt;=4)*($C659='TaxCred&amp;Subs'!$D$123:$D$127)*($H659='TaxCred&amp;Subs'!$C$123:$C$127)*($H659&lt;='TaxCred&amp;Subs'!$C$129),'TaxCred&amp;Subs'!$E$123:$E$127,0))</f>
        <v>2500</v>
      </c>
      <c r="R659" s="171">
        <v>0</v>
      </c>
      <c r="S659" s="49">
        <v>4</v>
      </c>
      <c r="T659" s="49" t="s">
        <v>248</v>
      </c>
      <c r="V659" s="153" t="str">
        <f t="array" ref="V659">INDEX(xlRTCLNAME,MATCH(1,(xlRTCLENDU=1)*(xlRTCLEQCL=$D659),0))</f>
        <v>DIST_RAD</v>
      </c>
      <c r="W659" s="153" t="str">
        <f t="array" ref="W659">INDEX(xlRTCLNAME,MATCH(1,(xlRTCLENDU=2)*(xlRTCLEQCL=$F659),0))</f>
        <v>CENT_AIR</v>
      </c>
      <c r="X659" s="153" t="str">
        <f t="array" ref="X659">INDEX(xlRTTYNAME,MATCH(1,(xlRTTYENDU=1)*(xlRTTYEQCL=$D659)*(xlRTEQTYPE=$E659),0))</f>
        <v>DIST_RAD3</v>
      </c>
      <c r="Y659" s="153" t="str">
        <f t="array" ref="Y659">INDEX(xlRTTYNAME,MATCH(1,(xlRTTYENDU=2)*(xlRTTYEQCL=$F659)*(xlRTEQTYPE=$G659),0))</f>
        <v>CENT_AIR3</v>
      </c>
    </row>
    <row r="660" spans="2:25" x14ac:dyDescent="0.2">
      <c r="B660" s="126">
        <v>1</v>
      </c>
      <c r="C660" s="126">
        <v>1</v>
      </c>
      <c r="D660" s="126">
        <v>8</v>
      </c>
      <c r="E660" s="126">
        <v>28</v>
      </c>
      <c r="F660" s="126">
        <v>2</v>
      </c>
      <c r="G660" s="126">
        <v>7</v>
      </c>
      <c r="H660" s="159">
        <v>2033</v>
      </c>
      <c r="I660" s="126">
        <v>2050</v>
      </c>
      <c r="J660" s="127">
        <v>1.0592999999999999</v>
      </c>
      <c r="K660" s="127">
        <v>1.0889</v>
      </c>
      <c r="L660" s="127">
        <v>0.4773</v>
      </c>
      <c r="M660" s="127">
        <v>0.95850000000000002</v>
      </c>
      <c r="N660" s="127">
        <v>0.8095</v>
      </c>
      <c r="O660" s="127">
        <v>1.0538000000000001</v>
      </c>
      <c r="P660" s="126">
        <v>12309</v>
      </c>
      <c r="Q660" s="128">
        <f t="array" ref="Q660">SUM(IF(($S660&gt;=4)*($C660='TaxCred&amp;Subs'!$D$123:$D$127)*($H660='TaxCred&amp;Subs'!$C$123:$C$127)*($H660&lt;='TaxCred&amp;Subs'!$C$129),'TaxCred&amp;Subs'!$E$123:$E$127,0))</f>
        <v>0</v>
      </c>
      <c r="R660" s="174">
        <v>0</v>
      </c>
      <c r="S660" s="126">
        <v>4</v>
      </c>
      <c r="T660" s="126" t="s">
        <v>248</v>
      </c>
      <c r="V660" s="153" t="str">
        <f t="array" ref="V660">INDEX(xlRTCLNAME,MATCH(1,(xlRTCLENDU=1)*(xlRTCLEQCL=$D660),0))</f>
        <v>DIST_RAD</v>
      </c>
      <c r="W660" s="153" t="str">
        <f t="array" ref="W660">INDEX(xlRTCLNAME,MATCH(1,(xlRTCLENDU=2)*(xlRTCLEQCL=$F660),0))</f>
        <v>CENT_AIR</v>
      </c>
      <c r="X660" s="153" t="str">
        <f t="array" ref="X660">INDEX(xlRTTYNAME,MATCH(1,(xlRTTYENDU=1)*(xlRTTYEQCL=$D660)*(xlRTEQTYPE=$E660),0))</f>
        <v>DIST_RAD3</v>
      </c>
      <c r="Y660" s="153" t="str">
        <f t="array" ref="Y660">INDEX(xlRTTYNAME,MATCH(1,(xlRTTYENDU=2)*(xlRTTYEQCL=$F660)*(xlRTEQTYPE=$G660),0))</f>
        <v>CENT_AIR3</v>
      </c>
    </row>
    <row r="661" spans="2:25" x14ac:dyDescent="0.2">
      <c r="B661" s="126">
        <v>2</v>
      </c>
      <c r="C661" s="126">
        <v>1</v>
      </c>
      <c r="D661" s="126">
        <v>8</v>
      </c>
      <c r="E661" s="126">
        <v>28</v>
      </c>
      <c r="F661" s="126">
        <v>2</v>
      </c>
      <c r="G661" s="126">
        <v>7</v>
      </c>
      <c r="H661" s="126">
        <v>2016</v>
      </c>
      <c r="I661" s="159">
        <v>2022</v>
      </c>
      <c r="J661" s="127">
        <v>1.0717000000000001</v>
      </c>
      <c r="K661" s="127">
        <v>1.0895999999999999</v>
      </c>
      <c r="L661" s="127">
        <v>0.52270000000000005</v>
      </c>
      <c r="M661" s="127">
        <v>0.83919999999999995</v>
      </c>
      <c r="N661" s="127">
        <v>0.92630000000000001</v>
      </c>
      <c r="O661" s="127">
        <v>1.0538000000000001</v>
      </c>
      <c r="P661" s="126">
        <v>12689</v>
      </c>
      <c r="Q661" s="128">
        <f t="array" ref="Q661">SUM(IF(($S661&gt;=4)*($C661='TaxCred&amp;Subs'!$D$123:$D$127)*($H661='TaxCred&amp;Subs'!$C$123:$C$127)*($H661&lt;='TaxCred&amp;Subs'!$C$129),'TaxCred&amp;Subs'!$E$123:$E$127,0))</f>
        <v>2000</v>
      </c>
      <c r="R661" s="174">
        <v>0</v>
      </c>
      <c r="S661" s="126">
        <v>4</v>
      </c>
      <c r="T661" s="126" t="s">
        <v>248</v>
      </c>
      <c r="V661" s="153" t="str">
        <f t="array" ref="V661">INDEX(xlRTCLNAME,MATCH(1,(xlRTCLENDU=1)*(xlRTCLEQCL=$D661),0))</f>
        <v>DIST_RAD</v>
      </c>
      <c r="W661" s="153" t="str">
        <f t="array" ref="W661">INDEX(xlRTCLNAME,MATCH(1,(xlRTCLENDU=2)*(xlRTCLEQCL=$F661),0))</f>
        <v>CENT_AIR</v>
      </c>
      <c r="X661" s="153" t="str">
        <f t="array" ref="X661">INDEX(xlRTTYNAME,MATCH(1,(xlRTTYENDU=1)*(xlRTTYEQCL=$D661)*(xlRTEQTYPE=$E661),0))</f>
        <v>DIST_RAD3</v>
      </c>
      <c r="Y661" s="153" t="str">
        <f t="array" ref="Y661">INDEX(xlRTTYNAME,MATCH(1,(xlRTTYENDU=2)*(xlRTTYEQCL=$F661)*(xlRTEQTYPE=$G661),0))</f>
        <v>CENT_AIR3</v>
      </c>
    </row>
    <row r="662" spans="2:25" x14ac:dyDescent="0.2">
      <c r="B662" s="49">
        <v>2</v>
      </c>
      <c r="C662" s="49">
        <v>1</v>
      </c>
      <c r="D662" s="49">
        <v>8</v>
      </c>
      <c r="E662" s="49">
        <v>28</v>
      </c>
      <c r="F662" s="49">
        <v>2</v>
      </c>
      <c r="G662" s="49">
        <v>7</v>
      </c>
      <c r="H662" s="49">
        <v>2023</v>
      </c>
      <c r="I662" s="49">
        <v>2032</v>
      </c>
      <c r="J662" s="50">
        <v>1.0717000000000001</v>
      </c>
      <c r="K662" s="50">
        <v>1.0895999999999999</v>
      </c>
      <c r="L662" s="50">
        <v>0.52270000000000005</v>
      </c>
      <c r="M662" s="50">
        <v>0.83919999999999995</v>
      </c>
      <c r="N662" s="50">
        <v>0.92630000000000001</v>
      </c>
      <c r="O662" s="50">
        <v>1.0538000000000001</v>
      </c>
      <c r="P662" s="49">
        <v>12689</v>
      </c>
      <c r="Q662" s="51">
        <f t="array" ref="Q662">SUM(IF(($S662&gt;=4)*($C662='TaxCred&amp;Subs'!$D$123:$D$127)*($H662='TaxCred&amp;Subs'!$C$123:$C$127)*($H662&lt;='TaxCred&amp;Subs'!$C$129),'TaxCred&amp;Subs'!$E$123:$E$127,0))</f>
        <v>2500</v>
      </c>
      <c r="R662" s="171">
        <v>0</v>
      </c>
      <c r="S662" s="49">
        <v>4</v>
      </c>
      <c r="T662" s="49" t="s">
        <v>248</v>
      </c>
      <c r="V662" s="153" t="str">
        <f t="array" ref="V662">INDEX(xlRTCLNAME,MATCH(1,(xlRTCLENDU=1)*(xlRTCLEQCL=$D662),0))</f>
        <v>DIST_RAD</v>
      </c>
      <c r="W662" s="153" t="str">
        <f t="array" ref="W662">INDEX(xlRTCLNAME,MATCH(1,(xlRTCLENDU=2)*(xlRTCLEQCL=$F662),0))</f>
        <v>CENT_AIR</v>
      </c>
      <c r="X662" s="153" t="str">
        <f t="array" ref="X662">INDEX(xlRTTYNAME,MATCH(1,(xlRTTYENDU=1)*(xlRTTYEQCL=$D662)*(xlRTEQTYPE=$E662),0))</f>
        <v>DIST_RAD3</v>
      </c>
      <c r="Y662" s="153" t="str">
        <f t="array" ref="Y662">INDEX(xlRTTYNAME,MATCH(1,(xlRTTYENDU=2)*(xlRTTYEQCL=$F662)*(xlRTEQTYPE=$G662),0))</f>
        <v>CENT_AIR3</v>
      </c>
    </row>
    <row r="663" spans="2:25" x14ac:dyDescent="0.2">
      <c r="B663" s="126">
        <v>2</v>
      </c>
      <c r="C663" s="126">
        <v>1</v>
      </c>
      <c r="D663" s="126">
        <v>8</v>
      </c>
      <c r="E663" s="126">
        <v>28</v>
      </c>
      <c r="F663" s="126">
        <v>2</v>
      </c>
      <c r="G663" s="126">
        <v>7</v>
      </c>
      <c r="H663" s="159">
        <v>2033</v>
      </c>
      <c r="I663" s="126">
        <v>2050</v>
      </c>
      <c r="J663" s="127">
        <v>1.0717000000000001</v>
      </c>
      <c r="K663" s="127">
        <v>1.0895999999999999</v>
      </c>
      <c r="L663" s="127">
        <v>0.52270000000000005</v>
      </c>
      <c r="M663" s="127">
        <v>0.83919999999999995</v>
      </c>
      <c r="N663" s="127">
        <v>0.92630000000000001</v>
      </c>
      <c r="O663" s="127">
        <v>1.0538000000000001</v>
      </c>
      <c r="P663" s="126">
        <v>12689</v>
      </c>
      <c r="Q663" s="128">
        <f t="array" ref="Q663">SUM(IF(($S663&gt;=4)*($C663='TaxCred&amp;Subs'!$D$123:$D$127)*($H663='TaxCred&amp;Subs'!$C$123:$C$127)*($H663&lt;='TaxCred&amp;Subs'!$C$129),'TaxCred&amp;Subs'!$E$123:$E$127,0))</f>
        <v>0</v>
      </c>
      <c r="R663" s="174">
        <v>0</v>
      </c>
      <c r="S663" s="126">
        <v>4</v>
      </c>
      <c r="T663" s="126" t="s">
        <v>248</v>
      </c>
      <c r="V663" s="153" t="str">
        <f t="array" ref="V663">INDEX(xlRTCLNAME,MATCH(1,(xlRTCLENDU=1)*(xlRTCLEQCL=$D663),0))</f>
        <v>DIST_RAD</v>
      </c>
      <c r="W663" s="153" t="str">
        <f t="array" ref="W663">INDEX(xlRTCLNAME,MATCH(1,(xlRTCLENDU=2)*(xlRTCLEQCL=$F663),0))</f>
        <v>CENT_AIR</v>
      </c>
      <c r="X663" s="153" t="str">
        <f t="array" ref="X663">INDEX(xlRTTYNAME,MATCH(1,(xlRTTYENDU=1)*(xlRTTYEQCL=$D663)*(xlRTEQTYPE=$E663),0))</f>
        <v>DIST_RAD3</v>
      </c>
      <c r="Y663" s="153" t="str">
        <f t="array" ref="Y663">INDEX(xlRTTYNAME,MATCH(1,(xlRTTYENDU=2)*(xlRTTYEQCL=$F663)*(xlRTEQTYPE=$G663),0))</f>
        <v>CENT_AIR3</v>
      </c>
    </row>
    <row r="664" spans="2:25" x14ac:dyDescent="0.2">
      <c r="B664" s="126">
        <v>3</v>
      </c>
      <c r="C664" s="126">
        <v>1</v>
      </c>
      <c r="D664" s="126">
        <v>8</v>
      </c>
      <c r="E664" s="126">
        <v>28</v>
      </c>
      <c r="F664" s="126">
        <v>2</v>
      </c>
      <c r="G664" s="126">
        <v>7</v>
      </c>
      <c r="H664" s="126">
        <v>2016</v>
      </c>
      <c r="I664" s="159">
        <v>2022</v>
      </c>
      <c r="J664" s="127">
        <v>1.0821000000000001</v>
      </c>
      <c r="K664" s="127">
        <v>1.0769</v>
      </c>
      <c r="L664" s="127">
        <v>0.46970000000000001</v>
      </c>
      <c r="M664" s="127">
        <v>0.91859999999999997</v>
      </c>
      <c r="N664" s="127">
        <v>0.91400000000000003</v>
      </c>
      <c r="O664" s="127">
        <v>1.0538000000000001</v>
      </c>
      <c r="P664" s="126">
        <v>10994</v>
      </c>
      <c r="Q664" s="128">
        <f t="array" ref="Q664">SUM(IF(($S664&gt;=4)*($C664='TaxCred&amp;Subs'!$D$123:$D$127)*($H664='TaxCred&amp;Subs'!$C$123:$C$127)*($H664&lt;='TaxCred&amp;Subs'!$C$129),'TaxCred&amp;Subs'!$E$123:$E$127,0))</f>
        <v>2000</v>
      </c>
      <c r="R664" s="174">
        <v>0</v>
      </c>
      <c r="S664" s="126">
        <v>4</v>
      </c>
      <c r="T664" s="126" t="s">
        <v>248</v>
      </c>
      <c r="V664" s="153" t="str">
        <f t="array" ref="V664">INDEX(xlRTCLNAME,MATCH(1,(xlRTCLENDU=1)*(xlRTCLEQCL=$D664),0))</f>
        <v>DIST_RAD</v>
      </c>
      <c r="W664" s="153" t="str">
        <f t="array" ref="W664">INDEX(xlRTCLNAME,MATCH(1,(xlRTCLENDU=2)*(xlRTCLEQCL=$F664),0))</f>
        <v>CENT_AIR</v>
      </c>
      <c r="X664" s="153" t="str">
        <f t="array" ref="X664">INDEX(xlRTTYNAME,MATCH(1,(xlRTTYENDU=1)*(xlRTTYEQCL=$D664)*(xlRTEQTYPE=$E664),0))</f>
        <v>DIST_RAD3</v>
      </c>
      <c r="Y664" s="153" t="str">
        <f t="array" ref="Y664">INDEX(xlRTTYNAME,MATCH(1,(xlRTTYENDU=2)*(xlRTTYEQCL=$F664)*(xlRTEQTYPE=$G664),0))</f>
        <v>CENT_AIR3</v>
      </c>
    </row>
    <row r="665" spans="2:25" x14ac:dyDescent="0.2">
      <c r="B665" s="49">
        <v>3</v>
      </c>
      <c r="C665" s="49">
        <v>1</v>
      </c>
      <c r="D665" s="49">
        <v>8</v>
      </c>
      <c r="E665" s="49">
        <v>28</v>
      </c>
      <c r="F665" s="49">
        <v>2</v>
      </c>
      <c r="G665" s="49">
        <v>7</v>
      </c>
      <c r="H665" s="49">
        <v>2023</v>
      </c>
      <c r="I665" s="49">
        <v>2032</v>
      </c>
      <c r="J665" s="50">
        <v>1.0821000000000001</v>
      </c>
      <c r="K665" s="50">
        <v>1.0769</v>
      </c>
      <c r="L665" s="50">
        <v>0.46970000000000001</v>
      </c>
      <c r="M665" s="50">
        <v>0.91859999999999997</v>
      </c>
      <c r="N665" s="50">
        <v>0.91400000000000003</v>
      </c>
      <c r="O665" s="50">
        <v>1.0538000000000001</v>
      </c>
      <c r="P665" s="49">
        <v>10994</v>
      </c>
      <c r="Q665" s="51">
        <f t="array" ref="Q665">SUM(IF(($S665&gt;=4)*($C665='TaxCred&amp;Subs'!$D$123:$D$127)*($H665='TaxCred&amp;Subs'!$C$123:$C$127)*($H665&lt;='TaxCred&amp;Subs'!$C$129),'TaxCred&amp;Subs'!$E$123:$E$127,0))</f>
        <v>2500</v>
      </c>
      <c r="R665" s="171">
        <v>0</v>
      </c>
      <c r="S665" s="49">
        <v>4</v>
      </c>
      <c r="T665" s="49" t="s">
        <v>248</v>
      </c>
      <c r="V665" s="153" t="str">
        <f t="array" ref="V665">INDEX(xlRTCLNAME,MATCH(1,(xlRTCLENDU=1)*(xlRTCLEQCL=$D665),0))</f>
        <v>DIST_RAD</v>
      </c>
      <c r="W665" s="153" t="str">
        <f t="array" ref="W665">INDEX(xlRTCLNAME,MATCH(1,(xlRTCLENDU=2)*(xlRTCLEQCL=$F665),0))</f>
        <v>CENT_AIR</v>
      </c>
      <c r="X665" s="153" t="str">
        <f t="array" ref="X665">INDEX(xlRTTYNAME,MATCH(1,(xlRTTYENDU=1)*(xlRTTYEQCL=$D665)*(xlRTEQTYPE=$E665),0))</f>
        <v>DIST_RAD3</v>
      </c>
      <c r="Y665" s="153" t="str">
        <f t="array" ref="Y665">INDEX(xlRTTYNAME,MATCH(1,(xlRTTYENDU=2)*(xlRTTYEQCL=$F665)*(xlRTEQTYPE=$G665),0))</f>
        <v>CENT_AIR3</v>
      </c>
    </row>
    <row r="666" spans="2:25" x14ac:dyDescent="0.2">
      <c r="B666" s="126">
        <v>3</v>
      </c>
      <c r="C666" s="126">
        <v>1</v>
      </c>
      <c r="D666" s="126">
        <v>8</v>
      </c>
      <c r="E666" s="126">
        <v>28</v>
      </c>
      <c r="F666" s="126">
        <v>2</v>
      </c>
      <c r="G666" s="126">
        <v>7</v>
      </c>
      <c r="H666" s="159">
        <v>2033</v>
      </c>
      <c r="I666" s="126">
        <v>2050</v>
      </c>
      <c r="J666" s="127">
        <v>1.0821000000000001</v>
      </c>
      <c r="K666" s="127">
        <v>1.0769</v>
      </c>
      <c r="L666" s="127">
        <v>0.46970000000000001</v>
      </c>
      <c r="M666" s="127">
        <v>0.91859999999999997</v>
      </c>
      <c r="N666" s="127">
        <v>0.91400000000000003</v>
      </c>
      <c r="O666" s="127">
        <v>1.0538000000000001</v>
      </c>
      <c r="P666" s="126">
        <v>10994</v>
      </c>
      <c r="Q666" s="128">
        <f t="array" ref="Q666">SUM(IF(($S666&gt;=4)*($C666='TaxCred&amp;Subs'!$D$123:$D$127)*($H666='TaxCred&amp;Subs'!$C$123:$C$127)*($H666&lt;='TaxCred&amp;Subs'!$C$129),'TaxCred&amp;Subs'!$E$123:$E$127,0))</f>
        <v>0</v>
      </c>
      <c r="R666" s="174">
        <v>0</v>
      </c>
      <c r="S666" s="126">
        <v>4</v>
      </c>
      <c r="T666" s="126" t="s">
        <v>248</v>
      </c>
      <c r="V666" s="153" t="str">
        <f t="array" ref="V666">INDEX(xlRTCLNAME,MATCH(1,(xlRTCLENDU=1)*(xlRTCLEQCL=$D666),0))</f>
        <v>DIST_RAD</v>
      </c>
      <c r="W666" s="153" t="str">
        <f t="array" ref="W666">INDEX(xlRTCLNAME,MATCH(1,(xlRTCLENDU=2)*(xlRTCLEQCL=$F666),0))</f>
        <v>CENT_AIR</v>
      </c>
      <c r="X666" s="153" t="str">
        <f t="array" ref="X666">INDEX(xlRTTYNAME,MATCH(1,(xlRTTYENDU=1)*(xlRTTYEQCL=$D666)*(xlRTEQTYPE=$E666),0))</f>
        <v>DIST_RAD3</v>
      </c>
      <c r="Y666" s="153" t="str">
        <f t="array" ref="Y666">INDEX(xlRTTYNAME,MATCH(1,(xlRTTYENDU=2)*(xlRTTYEQCL=$F666)*(xlRTEQTYPE=$G666),0))</f>
        <v>CENT_AIR3</v>
      </c>
    </row>
    <row r="667" spans="2:25" x14ac:dyDescent="0.2">
      <c r="B667" s="126">
        <v>4</v>
      </c>
      <c r="C667" s="126">
        <v>1</v>
      </c>
      <c r="D667" s="126">
        <v>8</v>
      </c>
      <c r="E667" s="126">
        <v>28</v>
      </c>
      <c r="F667" s="126">
        <v>2</v>
      </c>
      <c r="G667" s="126">
        <v>7</v>
      </c>
      <c r="H667" s="126">
        <v>2016</v>
      </c>
      <c r="I667" s="159">
        <v>2022</v>
      </c>
      <c r="J667" s="127">
        <v>1.0812999999999999</v>
      </c>
      <c r="K667" s="127">
        <v>1.0769</v>
      </c>
      <c r="L667" s="127">
        <v>0.47370000000000001</v>
      </c>
      <c r="M667" s="127">
        <v>0.85729999999999995</v>
      </c>
      <c r="N667" s="127">
        <v>0.85660000000000003</v>
      </c>
      <c r="O667" s="127">
        <v>1.0538000000000001</v>
      </c>
      <c r="P667" s="126">
        <v>9227</v>
      </c>
      <c r="Q667" s="128">
        <f t="array" ref="Q667">SUM(IF(($S667&gt;=4)*($C667='TaxCred&amp;Subs'!$D$123:$D$127)*($H667='TaxCred&amp;Subs'!$C$123:$C$127)*($H667&lt;='TaxCred&amp;Subs'!$C$129),'TaxCred&amp;Subs'!$E$123:$E$127,0))</f>
        <v>2000</v>
      </c>
      <c r="R667" s="174">
        <v>0</v>
      </c>
      <c r="S667" s="126">
        <v>4</v>
      </c>
      <c r="T667" s="126" t="s">
        <v>248</v>
      </c>
      <c r="V667" s="153" t="str">
        <f t="array" ref="V667">INDEX(xlRTCLNAME,MATCH(1,(xlRTCLENDU=1)*(xlRTCLEQCL=$D667),0))</f>
        <v>DIST_RAD</v>
      </c>
      <c r="W667" s="153" t="str">
        <f t="array" ref="W667">INDEX(xlRTCLNAME,MATCH(1,(xlRTCLENDU=2)*(xlRTCLEQCL=$F667),0))</f>
        <v>CENT_AIR</v>
      </c>
      <c r="X667" s="153" t="str">
        <f t="array" ref="X667">INDEX(xlRTTYNAME,MATCH(1,(xlRTTYENDU=1)*(xlRTTYEQCL=$D667)*(xlRTEQTYPE=$E667),0))</f>
        <v>DIST_RAD3</v>
      </c>
      <c r="Y667" s="153" t="str">
        <f t="array" ref="Y667">INDEX(xlRTTYNAME,MATCH(1,(xlRTTYENDU=2)*(xlRTTYEQCL=$F667)*(xlRTEQTYPE=$G667),0))</f>
        <v>CENT_AIR3</v>
      </c>
    </row>
    <row r="668" spans="2:25" x14ac:dyDescent="0.2">
      <c r="B668" s="49">
        <v>4</v>
      </c>
      <c r="C668" s="49">
        <v>1</v>
      </c>
      <c r="D668" s="49">
        <v>8</v>
      </c>
      <c r="E668" s="49">
        <v>28</v>
      </c>
      <c r="F668" s="49">
        <v>2</v>
      </c>
      <c r="G668" s="49">
        <v>7</v>
      </c>
      <c r="H668" s="49">
        <v>2023</v>
      </c>
      <c r="I668" s="49">
        <v>2032</v>
      </c>
      <c r="J668" s="50">
        <v>1.0812999999999999</v>
      </c>
      <c r="K668" s="50">
        <v>1.0769</v>
      </c>
      <c r="L668" s="50">
        <v>0.47370000000000001</v>
      </c>
      <c r="M668" s="50">
        <v>0.85729999999999995</v>
      </c>
      <c r="N668" s="50">
        <v>0.85660000000000003</v>
      </c>
      <c r="O668" s="50">
        <v>1.0538000000000001</v>
      </c>
      <c r="P668" s="49">
        <v>9227</v>
      </c>
      <c r="Q668" s="51">
        <f t="array" ref="Q668">SUM(IF(($S668&gt;=4)*($C668='TaxCred&amp;Subs'!$D$123:$D$127)*($H668='TaxCred&amp;Subs'!$C$123:$C$127)*($H668&lt;='TaxCred&amp;Subs'!$C$129),'TaxCred&amp;Subs'!$E$123:$E$127,0))</f>
        <v>2500</v>
      </c>
      <c r="R668" s="171">
        <v>0</v>
      </c>
      <c r="S668" s="49">
        <v>4</v>
      </c>
      <c r="T668" s="49" t="s">
        <v>248</v>
      </c>
      <c r="V668" s="153" t="str">
        <f t="array" ref="V668">INDEX(xlRTCLNAME,MATCH(1,(xlRTCLENDU=1)*(xlRTCLEQCL=$D668),0))</f>
        <v>DIST_RAD</v>
      </c>
      <c r="W668" s="153" t="str">
        <f t="array" ref="W668">INDEX(xlRTCLNAME,MATCH(1,(xlRTCLENDU=2)*(xlRTCLEQCL=$F668),0))</f>
        <v>CENT_AIR</v>
      </c>
      <c r="X668" s="153" t="str">
        <f t="array" ref="X668">INDEX(xlRTTYNAME,MATCH(1,(xlRTTYENDU=1)*(xlRTTYEQCL=$D668)*(xlRTEQTYPE=$E668),0))</f>
        <v>DIST_RAD3</v>
      </c>
      <c r="Y668" s="153" t="str">
        <f t="array" ref="Y668">INDEX(xlRTTYNAME,MATCH(1,(xlRTTYENDU=2)*(xlRTTYEQCL=$F668)*(xlRTEQTYPE=$G668),0))</f>
        <v>CENT_AIR3</v>
      </c>
    </row>
    <row r="669" spans="2:25" x14ac:dyDescent="0.2">
      <c r="B669" s="126">
        <v>4</v>
      </c>
      <c r="C669" s="126">
        <v>1</v>
      </c>
      <c r="D669" s="126">
        <v>8</v>
      </c>
      <c r="E669" s="126">
        <v>28</v>
      </c>
      <c r="F669" s="126">
        <v>2</v>
      </c>
      <c r="G669" s="126">
        <v>7</v>
      </c>
      <c r="H669" s="159">
        <v>2033</v>
      </c>
      <c r="I669" s="126">
        <v>2050</v>
      </c>
      <c r="J669" s="127">
        <v>1.0812999999999999</v>
      </c>
      <c r="K669" s="127">
        <v>1.0769</v>
      </c>
      <c r="L669" s="127">
        <v>0.47370000000000001</v>
      </c>
      <c r="M669" s="127">
        <v>0.85729999999999995</v>
      </c>
      <c r="N669" s="127">
        <v>0.85660000000000003</v>
      </c>
      <c r="O669" s="127">
        <v>1.0538000000000001</v>
      </c>
      <c r="P669" s="126">
        <v>9227</v>
      </c>
      <c r="Q669" s="128">
        <f t="array" ref="Q669">SUM(IF(($S669&gt;=4)*($C669='TaxCred&amp;Subs'!$D$123:$D$127)*($H669='TaxCred&amp;Subs'!$C$123:$C$127)*($H669&lt;='TaxCred&amp;Subs'!$C$129),'TaxCred&amp;Subs'!$E$123:$E$127,0))</f>
        <v>0</v>
      </c>
      <c r="R669" s="174">
        <v>0</v>
      </c>
      <c r="S669" s="126">
        <v>4</v>
      </c>
      <c r="T669" s="126" t="s">
        <v>248</v>
      </c>
      <c r="V669" s="153" t="str">
        <f t="array" ref="V669">INDEX(xlRTCLNAME,MATCH(1,(xlRTCLENDU=1)*(xlRTCLEQCL=$D669),0))</f>
        <v>DIST_RAD</v>
      </c>
      <c r="W669" s="153" t="str">
        <f t="array" ref="W669">INDEX(xlRTCLNAME,MATCH(1,(xlRTCLENDU=2)*(xlRTCLEQCL=$F669),0))</f>
        <v>CENT_AIR</v>
      </c>
      <c r="X669" s="153" t="str">
        <f t="array" ref="X669">INDEX(xlRTTYNAME,MATCH(1,(xlRTTYENDU=1)*(xlRTTYEQCL=$D669)*(xlRTEQTYPE=$E669),0))</f>
        <v>DIST_RAD3</v>
      </c>
      <c r="Y669" s="153" t="str">
        <f t="array" ref="Y669">INDEX(xlRTTYNAME,MATCH(1,(xlRTTYENDU=2)*(xlRTTYEQCL=$F669)*(xlRTEQTYPE=$G669),0))</f>
        <v>CENT_AIR3</v>
      </c>
    </row>
    <row r="670" spans="2:25" x14ac:dyDescent="0.2">
      <c r="B670" s="126">
        <v>5</v>
      </c>
      <c r="C670" s="126">
        <v>1</v>
      </c>
      <c r="D670" s="126">
        <v>8</v>
      </c>
      <c r="E670" s="126">
        <v>28</v>
      </c>
      <c r="F670" s="126">
        <v>2</v>
      </c>
      <c r="G670" s="126">
        <v>7</v>
      </c>
      <c r="H670" s="126">
        <v>2016</v>
      </c>
      <c r="I670" s="159">
        <v>2022</v>
      </c>
      <c r="J670" s="127">
        <v>1.0838000000000001</v>
      </c>
      <c r="K670" s="127">
        <v>1.0465</v>
      </c>
      <c r="L670" s="127">
        <v>0.40329999999999999</v>
      </c>
      <c r="M670" s="127">
        <v>0.77349999999999997</v>
      </c>
      <c r="N670" s="127">
        <v>0.75670000000000004</v>
      </c>
      <c r="O670" s="127">
        <v>1.0538000000000001</v>
      </c>
      <c r="P670" s="126">
        <v>9903</v>
      </c>
      <c r="Q670" s="128">
        <f t="array" ref="Q670">SUM(IF(($S670&gt;=4)*($C670='TaxCred&amp;Subs'!$D$123:$D$127)*($H670='TaxCred&amp;Subs'!$C$123:$C$127)*($H670&lt;='TaxCred&amp;Subs'!$C$129),'TaxCred&amp;Subs'!$E$123:$E$127,0))</f>
        <v>2000</v>
      </c>
      <c r="R670" s="174">
        <v>0</v>
      </c>
      <c r="S670" s="126">
        <v>4</v>
      </c>
      <c r="T670" s="126" t="s">
        <v>248</v>
      </c>
      <c r="V670" s="153" t="str">
        <f t="array" ref="V670">INDEX(xlRTCLNAME,MATCH(1,(xlRTCLENDU=1)*(xlRTCLEQCL=$D670),0))</f>
        <v>DIST_RAD</v>
      </c>
      <c r="W670" s="153" t="str">
        <f t="array" ref="W670">INDEX(xlRTCLNAME,MATCH(1,(xlRTCLENDU=2)*(xlRTCLEQCL=$F670),0))</f>
        <v>CENT_AIR</v>
      </c>
      <c r="X670" s="153" t="str">
        <f t="array" ref="X670">INDEX(xlRTTYNAME,MATCH(1,(xlRTTYENDU=1)*(xlRTTYEQCL=$D670)*(xlRTEQTYPE=$E670),0))</f>
        <v>DIST_RAD3</v>
      </c>
      <c r="Y670" s="153" t="str">
        <f t="array" ref="Y670">INDEX(xlRTTYNAME,MATCH(1,(xlRTTYENDU=2)*(xlRTTYEQCL=$F670)*(xlRTEQTYPE=$G670),0))</f>
        <v>CENT_AIR3</v>
      </c>
    </row>
    <row r="671" spans="2:25" x14ac:dyDescent="0.2">
      <c r="B671" s="49">
        <v>5</v>
      </c>
      <c r="C671" s="49">
        <v>1</v>
      </c>
      <c r="D671" s="49">
        <v>8</v>
      </c>
      <c r="E671" s="49">
        <v>28</v>
      </c>
      <c r="F671" s="49">
        <v>2</v>
      </c>
      <c r="G671" s="49">
        <v>7</v>
      </c>
      <c r="H671" s="49">
        <v>2023</v>
      </c>
      <c r="I671" s="49">
        <v>2032</v>
      </c>
      <c r="J671" s="50">
        <v>1.0838000000000001</v>
      </c>
      <c r="K671" s="50">
        <v>1.0465</v>
      </c>
      <c r="L671" s="50">
        <v>0.40329999999999999</v>
      </c>
      <c r="M671" s="50">
        <v>0.77349999999999997</v>
      </c>
      <c r="N671" s="50">
        <v>0.75670000000000004</v>
      </c>
      <c r="O671" s="50">
        <v>1.0538000000000001</v>
      </c>
      <c r="P671" s="49">
        <v>9903</v>
      </c>
      <c r="Q671" s="51">
        <f t="array" ref="Q671">SUM(IF(($S671&gt;=4)*($C671='TaxCred&amp;Subs'!$D$123:$D$127)*($H671='TaxCred&amp;Subs'!$C$123:$C$127)*($H671&lt;='TaxCred&amp;Subs'!$C$129),'TaxCred&amp;Subs'!$E$123:$E$127,0))</f>
        <v>2500</v>
      </c>
      <c r="R671" s="171">
        <v>0</v>
      </c>
      <c r="S671" s="49">
        <v>4</v>
      </c>
      <c r="T671" s="49" t="s">
        <v>248</v>
      </c>
      <c r="V671" s="153" t="str">
        <f t="array" ref="V671">INDEX(xlRTCLNAME,MATCH(1,(xlRTCLENDU=1)*(xlRTCLEQCL=$D671),0))</f>
        <v>DIST_RAD</v>
      </c>
      <c r="W671" s="153" t="str">
        <f t="array" ref="W671">INDEX(xlRTCLNAME,MATCH(1,(xlRTCLENDU=2)*(xlRTCLEQCL=$F671),0))</f>
        <v>CENT_AIR</v>
      </c>
      <c r="X671" s="153" t="str">
        <f t="array" ref="X671">INDEX(xlRTTYNAME,MATCH(1,(xlRTTYENDU=1)*(xlRTTYEQCL=$D671)*(xlRTEQTYPE=$E671),0))</f>
        <v>DIST_RAD3</v>
      </c>
      <c r="Y671" s="153" t="str">
        <f t="array" ref="Y671">INDEX(xlRTTYNAME,MATCH(1,(xlRTTYENDU=2)*(xlRTTYEQCL=$F671)*(xlRTEQTYPE=$G671),0))</f>
        <v>CENT_AIR3</v>
      </c>
    </row>
    <row r="672" spans="2:25" x14ac:dyDescent="0.2">
      <c r="B672" s="126">
        <v>5</v>
      </c>
      <c r="C672" s="126">
        <v>1</v>
      </c>
      <c r="D672" s="126">
        <v>8</v>
      </c>
      <c r="E672" s="126">
        <v>28</v>
      </c>
      <c r="F672" s="126">
        <v>2</v>
      </c>
      <c r="G672" s="126">
        <v>7</v>
      </c>
      <c r="H672" s="159">
        <v>2033</v>
      </c>
      <c r="I672" s="126">
        <v>2050</v>
      </c>
      <c r="J672" s="127">
        <v>1.0838000000000001</v>
      </c>
      <c r="K672" s="127">
        <v>1.0465</v>
      </c>
      <c r="L672" s="127">
        <v>0.40329999999999999</v>
      </c>
      <c r="M672" s="127">
        <v>0.77349999999999997</v>
      </c>
      <c r="N672" s="127">
        <v>0.75670000000000004</v>
      </c>
      <c r="O672" s="127">
        <v>1.0538000000000001</v>
      </c>
      <c r="P672" s="126">
        <v>9903</v>
      </c>
      <c r="Q672" s="128">
        <f t="array" ref="Q672">SUM(IF(($S672&gt;=4)*($C672='TaxCred&amp;Subs'!$D$123:$D$127)*($H672='TaxCred&amp;Subs'!$C$123:$C$127)*($H672&lt;='TaxCred&amp;Subs'!$C$129),'TaxCred&amp;Subs'!$E$123:$E$127,0))</f>
        <v>0</v>
      </c>
      <c r="R672" s="174">
        <v>0</v>
      </c>
      <c r="S672" s="126">
        <v>4</v>
      </c>
      <c r="T672" s="126" t="s">
        <v>248</v>
      </c>
      <c r="V672" s="153" t="str">
        <f t="array" ref="V672">INDEX(xlRTCLNAME,MATCH(1,(xlRTCLENDU=1)*(xlRTCLEQCL=$D672),0))</f>
        <v>DIST_RAD</v>
      </c>
      <c r="W672" s="153" t="str">
        <f t="array" ref="W672">INDEX(xlRTCLNAME,MATCH(1,(xlRTCLENDU=2)*(xlRTCLEQCL=$F672),0))</f>
        <v>CENT_AIR</v>
      </c>
      <c r="X672" s="153" t="str">
        <f t="array" ref="X672">INDEX(xlRTTYNAME,MATCH(1,(xlRTTYENDU=1)*(xlRTTYEQCL=$D672)*(xlRTEQTYPE=$E672),0))</f>
        <v>DIST_RAD3</v>
      </c>
      <c r="Y672" s="153" t="str">
        <f t="array" ref="Y672">INDEX(xlRTTYNAME,MATCH(1,(xlRTTYENDU=2)*(xlRTTYEQCL=$F672)*(xlRTEQTYPE=$G672),0))</f>
        <v>CENT_AIR3</v>
      </c>
    </row>
    <row r="673" spans="2:25" x14ac:dyDescent="0.2">
      <c r="B673" s="126">
        <v>6</v>
      </c>
      <c r="C673" s="126">
        <v>1</v>
      </c>
      <c r="D673" s="126">
        <v>8</v>
      </c>
      <c r="E673" s="126">
        <v>28</v>
      </c>
      <c r="F673" s="126">
        <v>2</v>
      </c>
      <c r="G673" s="126">
        <v>7</v>
      </c>
      <c r="H673" s="126">
        <v>2016</v>
      </c>
      <c r="I673" s="159">
        <v>2022</v>
      </c>
      <c r="J673" s="127">
        <v>1.089</v>
      </c>
      <c r="K673" s="127">
        <v>1.0583</v>
      </c>
      <c r="L673" s="127">
        <v>0.60009999999999997</v>
      </c>
      <c r="M673" s="127">
        <v>0.85409999999999997</v>
      </c>
      <c r="N673" s="127">
        <v>0.88849999999999996</v>
      </c>
      <c r="O673" s="127">
        <v>1.0538000000000001</v>
      </c>
      <c r="P673" s="126">
        <v>9341</v>
      </c>
      <c r="Q673" s="128">
        <f t="array" ref="Q673">SUM(IF(($S673&gt;=4)*($C673='TaxCred&amp;Subs'!$D$123:$D$127)*($H673='TaxCred&amp;Subs'!$C$123:$C$127)*($H673&lt;='TaxCred&amp;Subs'!$C$129),'TaxCred&amp;Subs'!$E$123:$E$127,0))</f>
        <v>2000</v>
      </c>
      <c r="R673" s="174">
        <v>0</v>
      </c>
      <c r="S673" s="126">
        <v>4</v>
      </c>
      <c r="T673" s="126" t="s">
        <v>248</v>
      </c>
      <c r="V673" s="153" t="str">
        <f t="array" ref="V673">INDEX(xlRTCLNAME,MATCH(1,(xlRTCLENDU=1)*(xlRTCLEQCL=$D673),0))</f>
        <v>DIST_RAD</v>
      </c>
      <c r="W673" s="153" t="str">
        <f t="array" ref="W673">INDEX(xlRTCLNAME,MATCH(1,(xlRTCLENDU=2)*(xlRTCLEQCL=$F673),0))</f>
        <v>CENT_AIR</v>
      </c>
      <c r="X673" s="153" t="str">
        <f t="array" ref="X673">INDEX(xlRTTYNAME,MATCH(1,(xlRTTYENDU=1)*(xlRTTYEQCL=$D673)*(xlRTEQTYPE=$E673),0))</f>
        <v>DIST_RAD3</v>
      </c>
      <c r="Y673" s="153" t="str">
        <f t="array" ref="Y673">INDEX(xlRTTYNAME,MATCH(1,(xlRTTYENDU=2)*(xlRTTYEQCL=$F673)*(xlRTEQTYPE=$G673),0))</f>
        <v>CENT_AIR3</v>
      </c>
    </row>
    <row r="674" spans="2:25" x14ac:dyDescent="0.2">
      <c r="B674" s="49">
        <v>6</v>
      </c>
      <c r="C674" s="49">
        <v>1</v>
      </c>
      <c r="D674" s="49">
        <v>8</v>
      </c>
      <c r="E674" s="49">
        <v>28</v>
      </c>
      <c r="F674" s="49">
        <v>2</v>
      </c>
      <c r="G674" s="49">
        <v>7</v>
      </c>
      <c r="H674" s="49">
        <v>2023</v>
      </c>
      <c r="I674" s="49">
        <v>2032</v>
      </c>
      <c r="J674" s="50">
        <v>1.089</v>
      </c>
      <c r="K674" s="50">
        <v>1.0583</v>
      </c>
      <c r="L674" s="50">
        <v>0.60009999999999997</v>
      </c>
      <c r="M674" s="50">
        <v>0.85409999999999997</v>
      </c>
      <c r="N674" s="50">
        <v>0.88849999999999996</v>
      </c>
      <c r="O674" s="50">
        <v>1.0538000000000001</v>
      </c>
      <c r="P674" s="49">
        <v>9341</v>
      </c>
      <c r="Q674" s="51">
        <f t="array" ref="Q674">SUM(IF(($S674&gt;=4)*($C674='TaxCred&amp;Subs'!$D$123:$D$127)*($H674='TaxCred&amp;Subs'!$C$123:$C$127)*($H674&lt;='TaxCred&amp;Subs'!$C$129),'TaxCred&amp;Subs'!$E$123:$E$127,0))</f>
        <v>2500</v>
      </c>
      <c r="R674" s="171">
        <v>0</v>
      </c>
      <c r="S674" s="49">
        <v>4</v>
      </c>
      <c r="T674" s="49" t="s">
        <v>248</v>
      </c>
      <c r="V674" s="153" t="str">
        <f t="array" ref="V674">INDEX(xlRTCLNAME,MATCH(1,(xlRTCLENDU=1)*(xlRTCLEQCL=$D674),0))</f>
        <v>DIST_RAD</v>
      </c>
      <c r="W674" s="153" t="str">
        <f t="array" ref="W674">INDEX(xlRTCLNAME,MATCH(1,(xlRTCLENDU=2)*(xlRTCLEQCL=$F674),0))</f>
        <v>CENT_AIR</v>
      </c>
      <c r="X674" s="153" t="str">
        <f t="array" ref="X674">INDEX(xlRTTYNAME,MATCH(1,(xlRTTYENDU=1)*(xlRTTYEQCL=$D674)*(xlRTEQTYPE=$E674),0))</f>
        <v>DIST_RAD3</v>
      </c>
      <c r="Y674" s="153" t="str">
        <f t="array" ref="Y674">INDEX(xlRTTYNAME,MATCH(1,(xlRTTYENDU=2)*(xlRTTYEQCL=$F674)*(xlRTEQTYPE=$G674),0))</f>
        <v>CENT_AIR3</v>
      </c>
    </row>
    <row r="675" spans="2:25" x14ac:dyDescent="0.2">
      <c r="B675" s="126">
        <v>6</v>
      </c>
      <c r="C675" s="126">
        <v>1</v>
      </c>
      <c r="D675" s="126">
        <v>8</v>
      </c>
      <c r="E675" s="126">
        <v>28</v>
      </c>
      <c r="F675" s="126">
        <v>2</v>
      </c>
      <c r="G675" s="126">
        <v>7</v>
      </c>
      <c r="H675" s="159">
        <v>2033</v>
      </c>
      <c r="I675" s="126">
        <v>2050</v>
      </c>
      <c r="J675" s="127">
        <v>1.089</v>
      </c>
      <c r="K675" s="127">
        <v>1.0583</v>
      </c>
      <c r="L675" s="127">
        <v>0.60009999999999997</v>
      </c>
      <c r="M675" s="127">
        <v>0.85409999999999997</v>
      </c>
      <c r="N675" s="127">
        <v>0.88849999999999996</v>
      </c>
      <c r="O675" s="127">
        <v>1.0538000000000001</v>
      </c>
      <c r="P675" s="126">
        <v>9341</v>
      </c>
      <c r="Q675" s="128">
        <f t="array" ref="Q675">SUM(IF(($S675&gt;=4)*($C675='TaxCred&amp;Subs'!$D$123:$D$127)*($H675='TaxCred&amp;Subs'!$C$123:$C$127)*($H675&lt;='TaxCred&amp;Subs'!$C$129),'TaxCred&amp;Subs'!$E$123:$E$127,0))</f>
        <v>0</v>
      </c>
      <c r="R675" s="174">
        <v>0</v>
      </c>
      <c r="S675" s="126">
        <v>4</v>
      </c>
      <c r="T675" s="126" t="s">
        <v>248</v>
      </c>
      <c r="V675" s="153" t="str">
        <f t="array" ref="V675">INDEX(xlRTCLNAME,MATCH(1,(xlRTCLENDU=1)*(xlRTCLEQCL=$D675),0))</f>
        <v>DIST_RAD</v>
      </c>
      <c r="W675" s="153" t="str">
        <f t="array" ref="W675">INDEX(xlRTCLNAME,MATCH(1,(xlRTCLENDU=2)*(xlRTCLEQCL=$F675),0))</f>
        <v>CENT_AIR</v>
      </c>
      <c r="X675" s="153" t="str">
        <f t="array" ref="X675">INDEX(xlRTTYNAME,MATCH(1,(xlRTTYENDU=1)*(xlRTTYEQCL=$D675)*(xlRTEQTYPE=$E675),0))</f>
        <v>DIST_RAD3</v>
      </c>
      <c r="Y675" s="153" t="str">
        <f t="array" ref="Y675">INDEX(xlRTTYNAME,MATCH(1,(xlRTTYENDU=2)*(xlRTTYEQCL=$F675)*(xlRTEQTYPE=$G675),0))</f>
        <v>CENT_AIR3</v>
      </c>
    </row>
    <row r="676" spans="2:25" x14ac:dyDescent="0.2">
      <c r="B676" s="126">
        <v>7</v>
      </c>
      <c r="C676" s="126">
        <v>1</v>
      </c>
      <c r="D676" s="126">
        <v>8</v>
      </c>
      <c r="E676" s="126">
        <v>28</v>
      </c>
      <c r="F676" s="126">
        <v>2</v>
      </c>
      <c r="G676" s="126">
        <v>7</v>
      </c>
      <c r="H676" s="126">
        <v>2016</v>
      </c>
      <c r="I676" s="159">
        <v>2022</v>
      </c>
      <c r="J676" s="127">
        <v>1.0867</v>
      </c>
      <c r="K676" s="127">
        <v>1.0682</v>
      </c>
      <c r="L676" s="127">
        <v>0.47589999999999999</v>
      </c>
      <c r="M676" s="127">
        <v>0.73570000000000002</v>
      </c>
      <c r="N676" s="127">
        <v>0.87180000000000002</v>
      </c>
      <c r="O676" s="127">
        <v>1.0538000000000001</v>
      </c>
      <c r="P676" s="126">
        <v>8879</v>
      </c>
      <c r="Q676" s="128">
        <f t="array" ref="Q676">SUM(IF(($S676&gt;=4)*($C676='TaxCred&amp;Subs'!$D$123:$D$127)*($H676='TaxCred&amp;Subs'!$C$123:$C$127)*($H676&lt;='TaxCred&amp;Subs'!$C$129),'TaxCred&amp;Subs'!$E$123:$E$127,0))</f>
        <v>2000</v>
      </c>
      <c r="R676" s="174">
        <v>0</v>
      </c>
      <c r="S676" s="126">
        <v>4</v>
      </c>
      <c r="T676" s="126" t="s">
        <v>248</v>
      </c>
      <c r="V676" s="153" t="str">
        <f t="array" ref="V676">INDEX(xlRTCLNAME,MATCH(1,(xlRTCLENDU=1)*(xlRTCLEQCL=$D676),0))</f>
        <v>DIST_RAD</v>
      </c>
      <c r="W676" s="153" t="str">
        <f t="array" ref="W676">INDEX(xlRTCLNAME,MATCH(1,(xlRTCLENDU=2)*(xlRTCLEQCL=$F676),0))</f>
        <v>CENT_AIR</v>
      </c>
      <c r="X676" s="153" t="str">
        <f t="array" ref="X676">INDEX(xlRTTYNAME,MATCH(1,(xlRTTYENDU=1)*(xlRTTYEQCL=$D676)*(xlRTEQTYPE=$E676),0))</f>
        <v>DIST_RAD3</v>
      </c>
      <c r="Y676" s="153" t="str">
        <f t="array" ref="Y676">INDEX(xlRTTYNAME,MATCH(1,(xlRTTYENDU=2)*(xlRTTYEQCL=$F676)*(xlRTEQTYPE=$G676),0))</f>
        <v>CENT_AIR3</v>
      </c>
    </row>
    <row r="677" spans="2:25" x14ac:dyDescent="0.2">
      <c r="B677" s="49">
        <v>7</v>
      </c>
      <c r="C677" s="49">
        <v>1</v>
      </c>
      <c r="D677" s="49">
        <v>8</v>
      </c>
      <c r="E677" s="49">
        <v>28</v>
      </c>
      <c r="F677" s="49">
        <v>2</v>
      </c>
      <c r="G677" s="49">
        <v>7</v>
      </c>
      <c r="H677" s="49">
        <v>2023</v>
      </c>
      <c r="I677" s="49">
        <v>2032</v>
      </c>
      <c r="J677" s="50">
        <v>1.0867</v>
      </c>
      <c r="K677" s="50">
        <v>1.0682</v>
      </c>
      <c r="L677" s="50">
        <v>0.47589999999999999</v>
      </c>
      <c r="M677" s="50">
        <v>0.73570000000000002</v>
      </c>
      <c r="N677" s="50">
        <v>0.87180000000000002</v>
      </c>
      <c r="O677" s="50">
        <v>1.0538000000000001</v>
      </c>
      <c r="P677" s="49">
        <v>8879</v>
      </c>
      <c r="Q677" s="51">
        <f t="array" ref="Q677">SUM(IF(($S677&gt;=4)*($C677='TaxCred&amp;Subs'!$D$123:$D$127)*($H677='TaxCred&amp;Subs'!$C$123:$C$127)*($H677&lt;='TaxCred&amp;Subs'!$C$129),'TaxCred&amp;Subs'!$E$123:$E$127,0))</f>
        <v>2500</v>
      </c>
      <c r="R677" s="171">
        <v>0</v>
      </c>
      <c r="S677" s="49">
        <v>4</v>
      </c>
      <c r="T677" s="49" t="s">
        <v>248</v>
      </c>
      <c r="V677" s="153" t="str">
        <f t="array" ref="V677">INDEX(xlRTCLNAME,MATCH(1,(xlRTCLENDU=1)*(xlRTCLEQCL=$D677),0))</f>
        <v>DIST_RAD</v>
      </c>
      <c r="W677" s="153" t="str">
        <f t="array" ref="W677">INDEX(xlRTCLNAME,MATCH(1,(xlRTCLENDU=2)*(xlRTCLEQCL=$F677),0))</f>
        <v>CENT_AIR</v>
      </c>
      <c r="X677" s="153" t="str">
        <f t="array" ref="X677">INDEX(xlRTTYNAME,MATCH(1,(xlRTTYENDU=1)*(xlRTTYEQCL=$D677)*(xlRTEQTYPE=$E677),0))</f>
        <v>DIST_RAD3</v>
      </c>
      <c r="Y677" s="153" t="str">
        <f t="array" ref="Y677">INDEX(xlRTTYNAME,MATCH(1,(xlRTTYENDU=2)*(xlRTTYEQCL=$F677)*(xlRTEQTYPE=$G677),0))</f>
        <v>CENT_AIR3</v>
      </c>
    </row>
    <row r="678" spans="2:25" x14ac:dyDescent="0.2">
      <c r="B678" s="126">
        <v>7</v>
      </c>
      <c r="C678" s="126">
        <v>1</v>
      </c>
      <c r="D678" s="126">
        <v>8</v>
      </c>
      <c r="E678" s="126">
        <v>28</v>
      </c>
      <c r="F678" s="126">
        <v>2</v>
      </c>
      <c r="G678" s="126">
        <v>7</v>
      </c>
      <c r="H678" s="159">
        <v>2033</v>
      </c>
      <c r="I678" s="126">
        <v>2050</v>
      </c>
      <c r="J678" s="127">
        <v>1.0867</v>
      </c>
      <c r="K678" s="127">
        <v>1.0682</v>
      </c>
      <c r="L678" s="127">
        <v>0.47589999999999999</v>
      </c>
      <c r="M678" s="127">
        <v>0.73570000000000002</v>
      </c>
      <c r="N678" s="127">
        <v>0.87180000000000002</v>
      </c>
      <c r="O678" s="127">
        <v>1.0538000000000001</v>
      </c>
      <c r="P678" s="126">
        <v>8879</v>
      </c>
      <c r="Q678" s="128">
        <f t="array" ref="Q678">SUM(IF(($S678&gt;=4)*($C678='TaxCred&amp;Subs'!$D$123:$D$127)*($H678='TaxCred&amp;Subs'!$C$123:$C$127)*($H678&lt;='TaxCred&amp;Subs'!$C$129),'TaxCred&amp;Subs'!$E$123:$E$127,0))</f>
        <v>0</v>
      </c>
      <c r="R678" s="174">
        <v>0</v>
      </c>
      <c r="S678" s="126">
        <v>4</v>
      </c>
      <c r="T678" s="126" t="s">
        <v>248</v>
      </c>
      <c r="V678" s="153" t="str">
        <f t="array" ref="V678">INDEX(xlRTCLNAME,MATCH(1,(xlRTCLENDU=1)*(xlRTCLEQCL=$D678),0))</f>
        <v>DIST_RAD</v>
      </c>
      <c r="W678" s="153" t="str">
        <f t="array" ref="W678">INDEX(xlRTCLNAME,MATCH(1,(xlRTCLENDU=2)*(xlRTCLEQCL=$F678),0))</f>
        <v>CENT_AIR</v>
      </c>
      <c r="X678" s="153" t="str">
        <f t="array" ref="X678">INDEX(xlRTTYNAME,MATCH(1,(xlRTTYENDU=1)*(xlRTTYEQCL=$D678)*(xlRTEQTYPE=$E678),0))</f>
        <v>DIST_RAD3</v>
      </c>
      <c r="Y678" s="153" t="str">
        <f t="array" ref="Y678">INDEX(xlRTTYNAME,MATCH(1,(xlRTTYENDU=2)*(xlRTTYEQCL=$F678)*(xlRTEQTYPE=$G678),0))</f>
        <v>CENT_AIR3</v>
      </c>
    </row>
    <row r="679" spans="2:25" x14ac:dyDescent="0.2">
      <c r="B679" s="126">
        <v>8</v>
      </c>
      <c r="C679" s="126">
        <v>1</v>
      </c>
      <c r="D679" s="126">
        <v>8</v>
      </c>
      <c r="E679" s="126">
        <v>28</v>
      </c>
      <c r="F679" s="126">
        <v>2</v>
      </c>
      <c r="G679" s="126">
        <v>7</v>
      </c>
      <c r="H679" s="126">
        <v>2016</v>
      </c>
      <c r="I679" s="159">
        <v>2022</v>
      </c>
      <c r="J679" s="127">
        <v>1.0820000000000001</v>
      </c>
      <c r="K679" s="127">
        <v>1.0832999999999999</v>
      </c>
      <c r="L679" s="127">
        <v>0.46889999999999998</v>
      </c>
      <c r="M679" s="127">
        <v>0.7802</v>
      </c>
      <c r="N679" s="127">
        <v>0.86439999999999995</v>
      </c>
      <c r="O679" s="127">
        <v>1.0538000000000001</v>
      </c>
      <c r="P679" s="126">
        <v>11704</v>
      </c>
      <c r="Q679" s="128">
        <f t="array" ref="Q679">SUM(IF(($S679&gt;=4)*($C679='TaxCred&amp;Subs'!$D$123:$D$127)*($H679='TaxCred&amp;Subs'!$C$123:$C$127)*($H679&lt;='TaxCred&amp;Subs'!$C$129),'TaxCred&amp;Subs'!$E$123:$E$127,0))</f>
        <v>2000</v>
      </c>
      <c r="R679" s="174">
        <v>0</v>
      </c>
      <c r="S679" s="126">
        <v>4</v>
      </c>
      <c r="T679" s="126" t="s">
        <v>248</v>
      </c>
      <c r="V679" s="153" t="str">
        <f t="array" ref="V679">INDEX(xlRTCLNAME,MATCH(1,(xlRTCLENDU=1)*(xlRTCLEQCL=$D679),0))</f>
        <v>DIST_RAD</v>
      </c>
      <c r="W679" s="153" t="str">
        <f t="array" ref="W679">INDEX(xlRTCLNAME,MATCH(1,(xlRTCLENDU=2)*(xlRTCLEQCL=$F679),0))</f>
        <v>CENT_AIR</v>
      </c>
      <c r="X679" s="153" t="str">
        <f t="array" ref="X679">INDEX(xlRTTYNAME,MATCH(1,(xlRTTYENDU=1)*(xlRTTYEQCL=$D679)*(xlRTEQTYPE=$E679),0))</f>
        <v>DIST_RAD3</v>
      </c>
      <c r="Y679" s="153" t="str">
        <f t="array" ref="Y679">INDEX(xlRTTYNAME,MATCH(1,(xlRTTYENDU=2)*(xlRTTYEQCL=$F679)*(xlRTEQTYPE=$G679),0))</f>
        <v>CENT_AIR3</v>
      </c>
    </row>
    <row r="680" spans="2:25" x14ac:dyDescent="0.2">
      <c r="B680" s="49">
        <v>8</v>
      </c>
      <c r="C680" s="49">
        <v>1</v>
      </c>
      <c r="D680" s="49">
        <v>8</v>
      </c>
      <c r="E680" s="49">
        <v>28</v>
      </c>
      <c r="F680" s="49">
        <v>2</v>
      </c>
      <c r="G680" s="49">
        <v>7</v>
      </c>
      <c r="H680" s="49">
        <v>2023</v>
      </c>
      <c r="I680" s="49">
        <v>2032</v>
      </c>
      <c r="J680" s="50">
        <v>1.0820000000000001</v>
      </c>
      <c r="K680" s="50">
        <v>1.0832999999999999</v>
      </c>
      <c r="L680" s="50">
        <v>0.46889999999999998</v>
      </c>
      <c r="M680" s="50">
        <v>0.7802</v>
      </c>
      <c r="N680" s="50">
        <v>0.86439999999999995</v>
      </c>
      <c r="O680" s="50">
        <v>1.0538000000000001</v>
      </c>
      <c r="P680" s="49">
        <v>11704</v>
      </c>
      <c r="Q680" s="51">
        <f t="array" ref="Q680">SUM(IF(($S680&gt;=4)*($C680='TaxCred&amp;Subs'!$D$123:$D$127)*($H680='TaxCred&amp;Subs'!$C$123:$C$127)*($H680&lt;='TaxCred&amp;Subs'!$C$129),'TaxCred&amp;Subs'!$E$123:$E$127,0))</f>
        <v>2500</v>
      </c>
      <c r="R680" s="171">
        <v>0</v>
      </c>
      <c r="S680" s="49">
        <v>4</v>
      </c>
      <c r="T680" s="49" t="s">
        <v>248</v>
      </c>
      <c r="V680" s="153" t="str">
        <f t="array" ref="V680">INDEX(xlRTCLNAME,MATCH(1,(xlRTCLENDU=1)*(xlRTCLEQCL=$D680),0))</f>
        <v>DIST_RAD</v>
      </c>
      <c r="W680" s="153" t="str">
        <f t="array" ref="W680">INDEX(xlRTCLNAME,MATCH(1,(xlRTCLENDU=2)*(xlRTCLEQCL=$F680),0))</f>
        <v>CENT_AIR</v>
      </c>
      <c r="X680" s="153" t="str">
        <f t="array" ref="X680">INDEX(xlRTTYNAME,MATCH(1,(xlRTTYENDU=1)*(xlRTTYEQCL=$D680)*(xlRTEQTYPE=$E680),0))</f>
        <v>DIST_RAD3</v>
      </c>
      <c r="Y680" s="153" t="str">
        <f t="array" ref="Y680">INDEX(xlRTTYNAME,MATCH(1,(xlRTTYENDU=2)*(xlRTTYEQCL=$F680)*(xlRTEQTYPE=$G680),0))</f>
        <v>CENT_AIR3</v>
      </c>
    </row>
    <row r="681" spans="2:25" x14ac:dyDescent="0.2">
      <c r="B681" s="126">
        <v>8</v>
      </c>
      <c r="C681" s="126">
        <v>1</v>
      </c>
      <c r="D681" s="126">
        <v>8</v>
      </c>
      <c r="E681" s="126">
        <v>28</v>
      </c>
      <c r="F681" s="126">
        <v>2</v>
      </c>
      <c r="G681" s="126">
        <v>7</v>
      </c>
      <c r="H681" s="159">
        <v>2033</v>
      </c>
      <c r="I681" s="126">
        <v>2050</v>
      </c>
      <c r="J681" s="127">
        <v>1.0820000000000001</v>
      </c>
      <c r="K681" s="127">
        <v>1.0832999999999999</v>
      </c>
      <c r="L681" s="127">
        <v>0.46889999999999998</v>
      </c>
      <c r="M681" s="127">
        <v>0.7802</v>
      </c>
      <c r="N681" s="127">
        <v>0.86439999999999995</v>
      </c>
      <c r="O681" s="127">
        <v>1.0538000000000001</v>
      </c>
      <c r="P681" s="126">
        <v>11704</v>
      </c>
      <c r="Q681" s="128">
        <f t="array" ref="Q681">SUM(IF(($S681&gt;=4)*($C681='TaxCred&amp;Subs'!$D$123:$D$127)*($H681='TaxCred&amp;Subs'!$C$123:$C$127)*($H681&lt;='TaxCred&amp;Subs'!$C$129),'TaxCred&amp;Subs'!$E$123:$E$127,0))</f>
        <v>0</v>
      </c>
      <c r="R681" s="174">
        <v>0</v>
      </c>
      <c r="S681" s="126">
        <v>4</v>
      </c>
      <c r="T681" s="126" t="s">
        <v>248</v>
      </c>
      <c r="V681" s="153" t="str">
        <f t="array" ref="V681">INDEX(xlRTCLNAME,MATCH(1,(xlRTCLENDU=1)*(xlRTCLEQCL=$D681),0))</f>
        <v>DIST_RAD</v>
      </c>
      <c r="W681" s="153" t="str">
        <f t="array" ref="W681">INDEX(xlRTCLNAME,MATCH(1,(xlRTCLENDU=2)*(xlRTCLEQCL=$F681),0))</f>
        <v>CENT_AIR</v>
      </c>
      <c r="X681" s="153" t="str">
        <f t="array" ref="X681">INDEX(xlRTTYNAME,MATCH(1,(xlRTTYENDU=1)*(xlRTTYEQCL=$D681)*(xlRTEQTYPE=$E681),0))</f>
        <v>DIST_RAD3</v>
      </c>
      <c r="Y681" s="153" t="str">
        <f t="array" ref="Y681">INDEX(xlRTTYNAME,MATCH(1,(xlRTTYENDU=2)*(xlRTTYEQCL=$F681)*(xlRTEQTYPE=$G681),0))</f>
        <v>CENT_AIR3</v>
      </c>
    </row>
    <row r="682" spans="2:25" x14ac:dyDescent="0.2">
      <c r="B682" s="126">
        <v>9</v>
      </c>
      <c r="C682" s="126">
        <v>1</v>
      </c>
      <c r="D682" s="126">
        <v>8</v>
      </c>
      <c r="E682" s="126">
        <v>28</v>
      </c>
      <c r="F682" s="126">
        <v>2</v>
      </c>
      <c r="G682" s="126">
        <v>7</v>
      </c>
      <c r="H682" s="126">
        <v>2016</v>
      </c>
      <c r="I682" s="159">
        <v>2022</v>
      </c>
      <c r="J682" s="127">
        <v>1.0414000000000001</v>
      </c>
      <c r="K682" s="127">
        <v>1.07</v>
      </c>
      <c r="L682" s="127">
        <v>0.56499999999999995</v>
      </c>
      <c r="M682" s="127">
        <v>0.82869999999999999</v>
      </c>
      <c r="N682" s="127">
        <v>1.026</v>
      </c>
      <c r="O682" s="127">
        <v>1.0538000000000001</v>
      </c>
      <c r="P682" s="126">
        <v>12242</v>
      </c>
      <c r="Q682" s="128">
        <f t="array" ref="Q682">SUM(IF(($S682&gt;=4)*($C682='TaxCred&amp;Subs'!$D$123:$D$127)*($H682='TaxCred&amp;Subs'!$C$123:$C$127)*($H682&lt;='TaxCred&amp;Subs'!$C$129),'TaxCred&amp;Subs'!$E$123:$E$127,0))</f>
        <v>2000</v>
      </c>
      <c r="R682" s="174">
        <v>0</v>
      </c>
      <c r="S682" s="126">
        <v>4</v>
      </c>
      <c r="T682" s="126" t="s">
        <v>248</v>
      </c>
      <c r="V682" s="153" t="str">
        <f t="array" ref="V682">INDEX(xlRTCLNAME,MATCH(1,(xlRTCLENDU=1)*(xlRTCLEQCL=$D682),0))</f>
        <v>DIST_RAD</v>
      </c>
      <c r="W682" s="153" t="str">
        <f t="array" ref="W682">INDEX(xlRTCLNAME,MATCH(1,(xlRTCLENDU=2)*(xlRTCLEQCL=$F682),0))</f>
        <v>CENT_AIR</v>
      </c>
      <c r="X682" s="153" t="str">
        <f t="array" ref="X682">INDEX(xlRTTYNAME,MATCH(1,(xlRTTYENDU=1)*(xlRTTYEQCL=$D682)*(xlRTEQTYPE=$E682),0))</f>
        <v>DIST_RAD3</v>
      </c>
      <c r="Y682" s="153" t="str">
        <f t="array" ref="Y682">INDEX(xlRTTYNAME,MATCH(1,(xlRTTYENDU=2)*(xlRTTYEQCL=$F682)*(xlRTEQTYPE=$G682),0))</f>
        <v>CENT_AIR3</v>
      </c>
    </row>
    <row r="683" spans="2:25" x14ac:dyDescent="0.2">
      <c r="B683" s="49">
        <v>9</v>
      </c>
      <c r="C683" s="49">
        <v>1</v>
      </c>
      <c r="D683" s="49">
        <v>8</v>
      </c>
      <c r="E683" s="49">
        <v>28</v>
      </c>
      <c r="F683" s="49">
        <v>2</v>
      </c>
      <c r="G683" s="49">
        <v>7</v>
      </c>
      <c r="H683" s="49">
        <v>2023</v>
      </c>
      <c r="I683" s="49">
        <v>2032</v>
      </c>
      <c r="J683" s="50">
        <v>1.0414000000000001</v>
      </c>
      <c r="K683" s="50">
        <v>1.07</v>
      </c>
      <c r="L683" s="50">
        <v>0.56499999999999995</v>
      </c>
      <c r="M683" s="50">
        <v>0.82869999999999999</v>
      </c>
      <c r="N683" s="50">
        <v>1.026</v>
      </c>
      <c r="O683" s="50">
        <v>1.0538000000000001</v>
      </c>
      <c r="P683" s="49">
        <v>12242</v>
      </c>
      <c r="Q683" s="51">
        <f t="array" ref="Q683">SUM(IF(($S683&gt;=4)*($C683='TaxCred&amp;Subs'!$D$123:$D$127)*($H683='TaxCred&amp;Subs'!$C$123:$C$127)*($H683&lt;='TaxCred&amp;Subs'!$C$129),'TaxCred&amp;Subs'!$E$123:$E$127,0))</f>
        <v>2500</v>
      </c>
      <c r="R683" s="171">
        <v>0</v>
      </c>
      <c r="S683" s="49">
        <v>4</v>
      </c>
      <c r="T683" s="49" t="s">
        <v>248</v>
      </c>
      <c r="V683" s="153" t="str">
        <f t="array" ref="V683">INDEX(xlRTCLNAME,MATCH(1,(xlRTCLENDU=1)*(xlRTCLEQCL=$D683),0))</f>
        <v>DIST_RAD</v>
      </c>
      <c r="W683" s="153" t="str">
        <f t="array" ref="W683">INDEX(xlRTCLNAME,MATCH(1,(xlRTCLENDU=2)*(xlRTCLEQCL=$F683),0))</f>
        <v>CENT_AIR</v>
      </c>
      <c r="X683" s="153" t="str">
        <f t="array" ref="X683">INDEX(xlRTTYNAME,MATCH(1,(xlRTTYENDU=1)*(xlRTTYEQCL=$D683)*(xlRTEQTYPE=$E683),0))</f>
        <v>DIST_RAD3</v>
      </c>
      <c r="Y683" s="153" t="str">
        <f t="array" ref="Y683">INDEX(xlRTTYNAME,MATCH(1,(xlRTTYENDU=2)*(xlRTTYEQCL=$F683)*(xlRTEQTYPE=$G683),0))</f>
        <v>CENT_AIR3</v>
      </c>
    </row>
    <row r="684" spans="2:25" x14ac:dyDescent="0.2">
      <c r="B684" s="126">
        <v>9</v>
      </c>
      <c r="C684" s="126">
        <v>1</v>
      </c>
      <c r="D684" s="126">
        <v>8</v>
      </c>
      <c r="E684" s="126">
        <v>28</v>
      </c>
      <c r="F684" s="126">
        <v>2</v>
      </c>
      <c r="G684" s="126">
        <v>7</v>
      </c>
      <c r="H684" s="159">
        <v>2033</v>
      </c>
      <c r="I684" s="126">
        <v>2050</v>
      </c>
      <c r="J684" s="127">
        <v>1.0414000000000001</v>
      </c>
      <c r="K684" s="127">
        <v>1.07</v>
      </c>
      <c r="L684" s="127">
        <v>0.56499999999999995</v>
      </c>
      <c r="M684" s="127">
        <v>0.82869999999999999</v>
      </c>
      <c r="N684" s="127">
        <v>1.026</v>
      </c>
      <c r="O684" s="127">
        <v>1.0538000000000001</v>
      </c>
      <c r="P684" s="126">
        <v>12242</v>
      </c>
      <c r="Q684" s="128">
        <f t="array" ref="Q684">SUM(IF(($S684&gt;=4)*($C684='TaxCred&amp;Subs'!$D$123:$D$127)*($H684='TaxCred&amp;Subs'!$C$123:$C$127)*($H684&lt;='TaxCred&amp;Subs'!$C$129),'TaxCred&amp;Subs'!$E$123:$E$127,0))</f>
        <v>0</v>
      </c>
      <c r="R684" s="174">
        <v>0</v>
      </c>
      <c r="S684" s="126">
        <v>4</v>
      </c>
      <c r="T684" s="126" t="s">
        <v>248</v>
      </c>
      <c r="V684" s="153" t="str">
        <f t="array" ref="V684">INDEX(xlRTCLNAME,MATCH(1,(xlRTCLENDU=1)*(xlRTCLEQCL=$D684),0))</f>
        <v>DIST_RAD</v>
      </c>
      <c r="W684" s="153" t="str">
        <f t="array" ref="W684">INDEX(xlRTCLNAME,MATCH(1,(xlRTCLENDU=2)*(xlRTCLEQCL=$F684),0))</f>
        <v>CENT_AIR</v>
      </c>
      <c r="X684" s="153" t="str">
        <f t="array" ref="X684">INDEX(xlRTTYNAME,MATCH(1,(xlRTTYENDU=1)*(xlRTTYEQCL=$D684)*(xlRTEQTYPE=$E684),0))</f>
        <v>DIST_RAD3</v>
      </c>
      <c r="Y684" s="153" t="str">
        <f t="array" ref="Y684">INDEX(xlRTTYNAME,MATCH(1,(xlRTTYENDU=2)*(xlRTTYEQCL=$F684)*(xlRTEQTYPE=$G684),0))</f>
        <v>CENT_AIR3</v>
      </c>
    </row>
    <row r="685" spans="2:25" x14ac:dyDescent="0.2">
      <c r="B685" s="126">
        <v>1</v>
      </c>
      <c r="C685" s="126">
        <v>1</v>
      </c>
      <c r="D685" s="126">
        <v>9</v>
      </c>
      <c r="E685" s="126">
        <v>30</v>
      </c>
      <c r="F685" s="126">
        <v>2</v>
      </c>
      <c r="G685" s="126">
        <v>7</v>
      </c>
      <c r="H685" s="126">
        <v>2016</v>
      </c>
      <c r="I685" s="159">
        <v>2022</v>
      </c>
      <c r="J685" s="127">
        <v>1.0592999999999999</v>
      </c>
      <c r="K685" s="127">
        <v>1.0889</v>
      </c>
      <c r="L685" s="127">
        <v>0.4773</v>
      </c>
      <c r="M685" s="127">
        <v>0.95850000000000002</v>
      </c>
      <c r="N685" s="127">
        <v>0.8095</v>
      </c>
      <c r="O685" s="127">
        <v>1.0538000000000001</v>
      </c>
      <c r="P685" s="126">
        <v>12309</v>
      </c>
      <c r="Q685" s="128">
        <f t="array" ref="Q685">SUM(IF(($S685&gt;=4)*($C685='TaxCred&amp;Subs'!$D$123:$D$127)*($H685='TaxCred&amp;Subs'!$C$123:$C$127)*($H685&lt;='TaxCred&amp;Subs'!$C$129),'TaxCred&amp;Subs'!$E$123:$E$127,0))</f>
        <v>2000</v>
      </c>
      <c r="R685" s="174">
        <v>0</v>
      </c>
      <c r="S685" s="126">
        <v>4</v>
      </c>
      <c r="T685" s="126" t="s">
        <v>248</v>
      </c>
      <c r="V685" s="153" t="str">
        <f t="array" ref="V685">INDEX(xlRTCLNAME,MATCH(1,(xlRTCLENDU=1)*(xlRTCLEQCL=$D685),0))</f>
        <v>WOOD_HT</v>
      </c>
      <c r="W685" s="153" t="str">
        <f t="array" ref="W685">INDEX(xlRTCLNAME,MATCH(1,(xlRTCLENDU=2)*(xlRTCLEQCL=$F685),0))</f>
        <v>CENT_AIR</v>
      </c>
      <c r="X685" s="153" t="str">
        <f t="array" ref="X685">INDEX(xlRTTYNAME,MATCH(1,(xlRTTYENDU=1)*(xlRTTYEQCL=$D685)*(xlRTEQTYPE=$E685),0))</f>
        <v>WOOD_HT2</v>
      </c>
      <c r="Y685" s="153" t="str">
        <f t="array" ref="Y685">INDEX(xlRTTYNAME,MATCH(1,(xlRTTYENDU=2)*(xlRTTYEQCL=$F685)*(xlRTEQTYPE=$G685),0))</f>
        <v>CENT_AIR3</v>
      </c>
    </row>
    <row r="686" spans="2:25" x14ac:dyDescent="0.2">
      <c r="B686" s="49">
        <v>1</v>
      </c>
      <c r="C686" s="49">
        <v>1</v>
      </c>
      <c r="D686" s="49">
        <v>9</v>
      </c>
      <c r="E686" s="49">
        <v>30</v>
      </c>
      <c r="F686" s="49">
        <v>2</v>
      </c>
      <c r="G686" s="49">
        <v>7</v>
      </c>
      <c r="H686" s="49">
        <v>2023</v>
      </c>
      <c r="I686" s="49">
        <v>2032</v>
      </c>
      <c r="J686" s="50">
        <v>1.0592999999999999</v>
      </c>
      <c r="K686" s="50">
        <v>1.0889</v>
      </c>
      <c r="L686" s="50">
        <v>0.4773</v>
      </c>
      <c r="M686" s="50">
        <v>0.95850000000000002</v>
      </c>
      <c r="N686" s="50">
        <v>0.8095</v>
      </c>
      <c r="O686" s="50">
        <v>1.0538000000000001</v>
      </c>
      <c r="P686" s="49">
        <v>12309</v>
      </c>
      <c r="Q686" s="51">
        <f t="array" ref="Q686">SUM(IF(($S686&gt;=4)*($C686='TaxCred&amp;Subs'!$D$123:$D$127)*($H686='TaxCred&amp;Subs'!$C$123:$C$127)*($H686&lt;='TaxCred&amp;Subs'!$C$129),'TaxCred&amp;Subs'!$E$123:$E$127,0))</f>
        <v>2500</v>
      </c>
      <c r="R686" s="171">
        <v>0</v>
      </c>
      <c r="S686" s="49">
        <v>4</v>
      </c>
      <c r="T686" s="49" t="s">
        <v>248</v>
      </c>
      <c r="V686" s="153" t="str">
        <f t="array" ref="V686">INDEX(xlRTCLNAME,MATCH(1,(xlRTCLENDU=1)*(xlRTCLEQCL=$D686),0))</f>
        <v>WOOD_HT</v>
      </c>
      <c r="W686" s="153" t="str">
        <f t="array" ref="W686">INDEX(xlRTCLNAME,MATCH(1,(xlRTCLENDU=2)*(xlRTCLEQCL=$F686),0))</f>
        <v>CENT_AIR</v>
      </c>
      <c r="X686" s="153" t="str">
        <f t="array" ref="X686">INDEX(xlRTTYNAME,MATCH(1,(xlRTTYENDU=1)*(xlRTTYEQCL=$D686)*(xlRTEQTYPE=$E686),0))</f>
        <v>WOOD_HT2</v>
      </c>
      <c r="Y686" s="153" t="str">
        <f t="array" ref="Y686">INDEX(xlRTTYNAME,MATCH(1,(xlRTTYENDU=2)*(xlRTTYEQCL=$F686)*(xlRTEQTYPE=$G686),0))</f>
        <v>CENT_AIR3</v>
      </c>
    </row>
    <row r="687" spans="2:25" x14ac:dyDescent="0.2">
      <c r="B687" s="126">
        <v>1</v>
      </c>
      <c r="C687" s="126">
        <v>1</v>
      </c>
      <c r="D687" s="126">
        <v>9</v>
      </c>
      <c r="E687" s="126">
        <v>30</v>
      </c>
      <c r="F687" s="126">
        <v>2</v>
      </c>
      <c r="G687" s="126">
        <v>7</v>
      </c>
      <c r="H687" s="159">
        <v>2033</v>
      </c>
      <c r="I687" s="126">
        <v>2050</v>
      </c>
      <c r="J687" s="127">
        <v>1.0592999999999999</v>
      </c>
      <c r="K687" s="127">
        <v>1.0889</v>
      </c>
      <c r="L687" s="127">
        <v>0.4773</v>
      </c>
      <c r="M687" s="127">
        <v>0.95850000000000002</v>
      </c>
      <c r="N687" s="127">
        <v>0.8095</v>
      </c>
      <c r="O687" s="127">
        <v>1.0538000000000001</v>
      </c>
      <c r="P687" s="126">
        <v>12309</v>
      </c>
      <c r="Q687" s="128">
        <f t="array" ref="Q687">SUM(IF(($S687&gt;=4)*($C687='TaxCred&amp;Subs'!$D$123:$D$127)*($H687='TaxCred&amp;Subs'!$C$123:$C$127)*($H687&lt;='TaxCred&amp;Subs'!$C$129),'TaxCred&amp;Subs'!$E$123:$E$127,0))</f>
        <v>0</v>
      </c>
      <c r="R687" s="174">
        <v>0</v>
      </c>
      <c r="S687" s="126">
        <v>4</v>
      </c>
      <c r="T687" s="126" t="s">
        <v>248</v>
      </c>
      <c r="V687" s="153" t="str">
        <f t="array" ref="V687">INDEX(xlRTCLNAME,MATCH(1,(xlRTCLENDU=1)*(xlRTCLEQCL=$D687),0))</f>
        <v>WOOD_HT</v>
      </c>
      <c r="W687" s="153" t="str">
        <f t="array" ref="W687">INDEX(xlRTCLNAME,MATCH(1,(xlRTCLENDU=2)*(xlRTCLEQCL=$F687),0))</f>
        <v>CENT_AIR</v>
      </c>
      <c r="X687" s="153" t="str">
        <f t="array" ref="X687">INDEX(xlRTTYNAME,MATCH(1,(xlRTTYENDU=1)*(xlRTTYEQCL=$D687)*(xlRTEQTYPE=$E687),0))</f>
        <v>WOOD_HT2</v>
      </c>
      <c r="Y687" s="153" t="str">
        <f t="array" ref="Y687">INDEX(xlRTTYNAME,MATCH(1,(xlRTTYENDU=2)*(xlRTTYEQCL=$F687)*(xlRTEQTYPE=$G687),0))</f>
        <v>CENT_AIR3</v>
      </c>
    </row>
    <row r="688" spans="2:25" x14ac:dyDescent="0.2">
      <c r="B688" s="126">
        <v>2</v>
      </c>
      <c r="C688" s="126">
        <v>1</v>
      </c>
      <c r="D688" s="126">
        <v>9</v>
      </c>
      <c r="E688" s="126">
        <v>30</v>
      </c>
      <c r="F688" s="126">
        <v>2</v>
      </c>
      <c r="G688" s="126">
        <v>7</v>
      </c>
      <c r="H688" s="126">
        <v>2016</v>
      </c>
      <c r="I688" s="159">
        <v>2022</v>
      </c>
      <c r="J688" s="127">
        <v>1.0717000000000001</v>
      </c>
      <c r="K688" s="127">
        <v>1.0895999999999999</v>
      </c>
      <c r="L688" s="127">
        <v>0.52270000000000005</v>
      </c>
      <c r="M688" s="127">
        <v>0.83919999999999995</v>
      </c>
      <c r="N688" s="127">
        <v>0.92630000000000001</v>
      </c>
      <c r="O688" s="127">
        <v>1.0538000000000001</v>
      </c>
      <c r="P688" s="126">
        <v>12689</v>
      </c>
      <c r="Q688" s="128">
        <f t="array" ref="Q688">SUM(IF(($S688&gt;=4)*($C688='TaxCred&amp;Subs'!$D$123:$D$127)*($H688='TaxCred&amp;Subs'!$C$123:$C$127)*($H688&lt;='TaxCred&amp;Subs'!$C$129),'TaxCred&amp;Subs'!$E$123:$E$127,0))</f>
        <v>2000</v>
      </c>
      <c r="R688" s="174">
        <v>0</v>
      </c>
      <c r="S688" s="126">
        <v>4</v>
      </c>
      <c r="T688" s="126" t="s">
        <v>248</v>
      </c>
      <c r="V688" s="153" t="str">
        <f t="array" ref="V688">INDEX(xlRTCLNAME,MATCH(1,(xlRTCLENDU=1)*(xlRTCLEQCL=$D688),0))</f>
        <v>WOOD_HT</v>
      </c>
      <c r="W688" s="153" t="str">
        <f t="array" ref="W688">INDEX(xlRTCLNAME,MATCH(1,(xlRTCLENDU=2)*(xlRTCLEQCL=$F688),0))</f>
        <v>CENT_AIR</v>
      </c>
      <c r="X688" s="153" t="str">
        <f t="array" ref="X688">INDEX(xlRTTYNAME,MATCH(1,(xlRTTYENDU=1)*(xlRTTYEQCL=$D688)*(xlRTEQTYPE=$E688),0))</f>
        <v>WOOD_HT2</v>
      </c>
      <c r="Y688" s="153" t="str">
        <f t="array" ref="Y688">INDEX(xlRTTYNAME,MATCH(1,(xlRTTYENDU=2)*(xlRTTYEQCL=$F688)*(xlRTEQTYPE=$G688),0))</f>
        <v>CENT_AIR3</v>
      </c>
    </row>
    <row r="689" spans="2:25" x14ac:dyDescent="0.2">
      <c r="B689" s="49">
        <v>2</v>
      </c>
      <c r="C689" s="49">
        <v>1</v>
      </c>
      <c r="D689" s="49">
        <v>9</v>
      </c>
      <c r="E689" s="49">
        <v>30</v>
      </c>
      <c r="F689" s="49">
        <v>2</v>
      </c>
      <c r="G689" s="49">
        <v>7</v>
      </c>
      <c r="H689" s="49">
        <v>2023</v>
      </c>
      <c r="I689" s="49">
        <v>2032</v>
      </c>
      <c r="J689" s="50">
        <v>1.0717000000000001</v>
      </c>
      <c r="K689" s="50">
        <v>1.0895999999999999</v>
      </c>
      <c r="L689" s="50">
        <v>0.52270000000000005</v>
      </c>
      <c r="M689" s="50">
        <v>0.83919999999999995</v>
      </c>
      <c r="N689" s="50">
        <v>0.92630000000000001</v>
      </c>
      <c r="O689" s="50">
        <v>1.0538000000000001</v>
      </c>
      <c r="P689" s="49">
        <v>12689</v>
      </c>
      <c r="Q689" s="51">
        <f t="array" ref="Q689">SUM(IF(($S689&gt;=4)*($C689='TaxCred&amp;Subs'!$D$123:$D$127)*($H689='TaxCred&amp;Subs'!$C$123:$C$127)*($H689&lt;='TaxCred&amp;Subs'!$C$129),'TaxCred&amp;Subs'!$E$123:$E$127,0))</f>
        <v>2500</v>
      </c>
      <c r="R689" s="171">
        <v>0</v>
      </c>
      <c r="S689" s="49">
        <v>4</v>
      </c>
      <c r="T689" s="49" t="s">
        <v>248</v>
      </c>
      <c r="V689" s="153" t="str">
        <f t="array" ref="V689">INDEX(xlRTCLNAME,MATCH(1,(xlRTCLENDU=1)*(xlRTCLEQCL=$D689),0))</f>
        <v>WOOD_HT</v>
      </c>
      <c r="W689" s="153" t="str">
        <f t="array" ref="W689">INDEX(xlRTCLNAME,MATCH(1,(xlRTCLENDU=2)*(xlRTCLEQCL=$F689),0))</f>
        <v>CENT_AIR</v>
      </c>
      <c r="X689" s="153" t="str">
        <f t="array" ref="X689">INDEX(xlRTTYNAME,MATCH(1,(xlRTTYENDU=1)*(xlRTTYEQCL=$D689)*(xlRTEQTYPE=$E689),0))</f>
        <v>WOOD_HT2</v>
      </c>
      <c r="Y689" s="153" t="str">
        <f t="array" ref="Y689">INDEX(xlRTTYNAME,MATCH(1,(xlRTTYENDU=2)*(xlRTTYEQCL=$F689)*(xlRTEQTYPE=$G689),0))</f>
        <v>CENT_AIR3</v>
      </c>
    </row>
    <row r="690" spans="2:25" x14ac:dyDescent="0.2">
      <c r="B690" s="126">
        <v>2</v>
      </c>
      <c r="C690" s="126">
        <v>1</v>
      </c>
      <c r="D690" s="126">
        <v>9</v>
      </c>
      <c r="E690" s="126">
        <v>30</v>
      </c>
      <c r="F690" s="126">
        <v>2</v>
      </c>
      <c r="G690" s="126">
        <v>7</v>
      </c>
      <c r="H690" s="159">
        <v>2033</v>
      </c>
      <c r="I690" s="126">
        <v>2050</v>
      </c>
      <c r="J690" s="127">
        <v>1.0717000000000001</v>
      </c>
      <c r="K690" s="127">
        <v>1.0895999999999999</v>
      </c>
      <c r="L690" s="127">
        <v>0.52270000000000005</v>
      </c>
      <c r="M690" s="127">
        <v>0.83919999999999995</v>
      </c>
      <c r="N690" s="127">
        <v>0.92630000000000001</v>
      </c>
      <c r="O690" s="127">
        <v>1.0538000000000001</v>
      </c>
      <c r="P690" s="126">
        <v>12689</v>
      </c>
      <c r="Q690" s="128">
        <f t="array" ref="Q690">SUM(IF(($S690&gt;=4)*($C690='TaxCred&amp;Subs'!$D$123:$D$127)*($H690='TaxCred&amp;Subs'!$C$123:$C$127)*($H690&lt;='TaxCred&amp;Subs'!$C$129),'TaxCred&amp;Subs'!$E$123:$E$127,0))</f>
        <v>0</v>
      </c>
      <c r="R690" s="174">
        <v>0</v>
      </c>
      <c r="S690" s="126">
        <v>4</v>
      </c>
      <c r="T690" s="126" t="s">
        <v>248</v>
      </c>
      <c r="V690" s="153" t="str">
        <f t="array" ref="V690">INDEX(xlRTCLNAME,MATCH(1,(xlRTCLENDU=1)*(xlRTCLEQCL=$D690),0))</f>
        <v>WOOD_HT</v>
      </c>
      <c r="W690" s="153" t="str">
        <f t="array" ref="W690">INDEX(xlRTCLNAME,MATCH(1,(xlRTCLENDU=2)*(xlRTCLEQCL=$F690),0))</f>
        <v>CENT_AIR</v>
      </c>
      <c r="X690" s="153" t="str">
        <f t="array" ref="X690">INDEX(xlRTTYNAME,MATCH(1,(xlRTTYENDU=1)*(xlRTTYEQCL=$D690)*(xlRTEQTYPE=$E690),0))</f>
        <v>WOOD_HT2</v>
      </c>
      <c r="Y690" s="153" t="str">
        <f t="array" ref="Y690">INDEX(xlRTTYNAME,MATCH(1,(xlRTTYENDU=2)*(xlRTTYEQCL=$F690)*(xlRTEQTYPE=$G690),0))</f>
        <v>CENT_AIR3</v>
      </c>
    </row>
    <row r="691" spans="2:25" x14ac:dyDescent="0.2">
      <c r="B691" s="126">
        <v>3</v>
      </c>
      <c r="C691" s="126">
        <v>1</v>
      </c>
      <c r="D691" s="126">
        <v>9</v>
      </c>
      <c r="E691" s="126">
        <v>30</v>
      </c>
      <c r="F691" s="126">
        <v>2</v>
      </c>
      <c r="G691" s="126">
        <v>7</v>
      </c>
      <c r="H691" s="126">
        <v>2016</v>
      </c>
      <c r="I691" s="159">
        <v>2022</v>
      </c>
      <c r="J691" s="127">
        <v>1.0821000000000001</v>
      </c>
      <c r="K691" s="127">
        <v>1.0769</v>
      </c>
      <c r="L691" s="127">
        <v>0.46970000000000001</v>
      </c>
      <c r="M691" s="127">
        <v>0.91859999999999997</v>
      </c>
      <c r="N691" s="127">
        <v>0.91400000000000003</v>
      </c>
      <c r="O691" s="127">
        <v>1.0538000000000001</v>
      </c>
      <c r="P691" s="126">
        <v>10994</v>
      </c>
      <c r="Q691" s="128">
        <f t="array" ref="Q691">SUM(IF(($S691&gt;=4)*($C691='TaxCred&amp;Subs'!$D$123:$D$127)*($H691='TaxCred&amp;Subs'!$C$123:$C$127)*($H691&lt;='TaxCred&amp;Subs'!$C$129),'TaxCred&amp;Subs'!$E$123:$E$127,0))</f>
        <v>2000</v>
      </c>
      <c r="R691" s="174">
        <v>0</v>
      </c>
      <c r="S691" s="126">
        <v>4</v>
      </c>
      <c r="T691" s="126" t="s">
        <v>248</v>
      </c>
      <c r="V691" s="153" t="str">
        <f t="array" ref="V691">INDEX(xlRTCLNAME,MATCH(1,(xlRTCLENDU=1)*(xlRTCLEQCL=$D691),0))</f>
        <v>WOOD_HT</v>
      </c>
      <c r="W691" s="153" t="str">
        <f t="array" ref="W691">INDEX(xlRTCLNAME,MATCH(1,(xlRTCLENDU=2)*(xlRTCLEQCL=$F691),0))</f>
        <v>CENT_AIR</v>
      </c>
      <c r="X691" s="153" t="str">
        <f t="array" ref="X691">INDEX(xlRTTYNAME,MATCH(1,(xlRTTYENDU=1)*(xlRTTYEQCL=$D691)*(xlRTEQTYPE=$E691),0))</f>
        <v>WOOD_HT2</v>
      </c>
      <c r="Y691" s="153" t="str">
        <f t="array" ref="Y691">INDEX(xlRTTYNAME,MATCH(1,(xlRTTYENDU=2)*(xlRTTYEQCL=$F691)*(xlRTEQTYPE=$G691),0))</f>
        <v>CENT_AIR3</v>
      </c>
    </row>
    <row r="692" spans="2:25" x14ac:dyDescent="0.2">
      <c r="B692" s="49">
        <v>3</v>
      </c>
      <c r="C692" s="49">
        <v>1</v>
      </c>
      <c r="D692" s="49">
        <v>9</v>
      </c>
      <c r="E692" s="49">
        <v>30</v>
      </c>
      <c r="F692" s="49">
        <v>2</v>
      </c>
      <c r="G692" s="49">
        <v>7</v>
      </c>
      <c r="H692" s="49">
        <v>2023</v>
      </c>
      <c r="I692" s="49">
        <v>2032</v>
      </c>
      <c r="J692" s="50">
        <v>1.0821000000000001</v>
      </c>
      <c r="K692" s="50">
        <v>1.0769</v>
      </c>
      <c r="L692" s="50">
        <v>0.46970000000000001</v>
      </c>
      <c r="M692" s="50">
        <v>0.91859999999999997</v>
      </c>
      <c r="N692" s="50">
        <v>0.91400000000000003</v>
      </c>
      <c r="O692" s="50">
        <v>1.0538000000000001</v>
      </c>
      <c r="P692" s="49">
        <v>10994</v>
      </c>
      <c r="Q692" s="51">
        <f t="array" ref="Q692">SUM(IF(($S692&gt;=4)*($C692='TaxCred&amp;Subs'!$D$123:$D$127)*($H692='TaxCred&amp;Subs'!$C$123:$C$127)*($H692&lt;='TaxCred&amp;Subs'!$C$129),'TaxCred&amp;Subs'!$E$123:$E$127,0))</f>
        <v>2500</v>
      </c>
      <c r="R692" s="171">
        <v>0</v>
      </c>
      <c r="S692" s="49">
        <v>4</v>
      </c>
      <c r="T692" s="49" t="s">
        <v>248</v>
      </c>
      <c r="V692" s="153" t="str">
        <f t="array" ref="V692">INDEX(xlRTCLNAME,MATCH(1,(xlRTCLENDU=1)*(xlRTCLEQCL=$D692),0))</f>
        <v>WOOD_HT</v>
      </c>
      <c r="W692" s="153" t="str">
        <f t="array" ref="W692">INDEX(xlRTCLNAME,MATCH(1,(xlRTCLENDU=2)*(xlRTCLEQCL=$F692),0))</f>
        <v>CENT_AIR</v>
      </c>
      <c r="X692" s="153" t="str">
        <f t="array" ref="X692">INDEX(xlRTTYNAME,MATCH(1,(xlRTTYENDU=1)*(xlRTTYEQCL=$D692)*(xlRTEQTYPE=$E692),0))</f>
        <v>WOOD_HT2</v>
      </c>
      <c r="Y692" s="153" t="str">
        <f t="array" ref="Y692">INDEX(xlRTTYNAME,MATCH(1,(xlRTTYENDU=2)*(xlRTTYEQCL=$F692)*(xlRTEQTYPE=$G692),0))</f>
        <v>CENT_AIR3</v>
      </c>
    </row>
    <row r="693" spans="2:25" x14ac:dyDescent="0.2">
      <c r="B693" s="126">
        <v>3</v>
      </c>
      <c r="C693" s="126">
        <v>1</v>
      </c>
      <c r="D693" s="126">
        <v>9</v>
      </c>
      <c r="E693" s="126">
        <v>30</v>
      </c>
      <c r="F693" s="126">
        <v>2</v>
      </c>
      <c r="G693" s="126">
        <v>7</v>
      </c>
      <c r="H693" s="159">
        <v>2033</v>
      </c>
      <c r="I693" s="126">
        <v>2050</v>
      </c>
      <c r="J693" s="127">
        <v>1.0821000000000001</v>
      </c>
      <c r="K693" s="127">
        <v>1.0769</v>
      </c>
      <c r="L693" s="127">
        <v>0.46970000000000001</v>
      </c>
      <c r="M693" s="127">
        <v>0.91859999999999997</v>
      </c>
      <c r="N693" s="127">
        <v>0.91400000000000003</v>
      </c>
      <c r="O693" s="127">
        <v>1.0538000000000001</v>
      </c>
      <c r="P693" s="126">
        <v>10994</v>
      </c>
      <c r="Q693" s="128">
        <f t="array" ref="Q693">SUM(IF(($S693&gt;=4)*($C693='TaxCred&amp;Subs'!$D$123:$D$127)*($H693='TaxCred&amp;Subs'!$C$123:$C$127)*($H693&lt;='TaxCred&amp;Subs'!$C$129),'TaxCred&amp;Subs'!$E$123:$E$127,0))</f>
        <v>0</v>
      </c>
      <c r="R693" s="174">
        <v>0</v>
      </c>
      <c r="S693" s="126">
        <v>4</v>
      </c>
      <c r="T693" s="126" t="s">
        <v>248</v>
      </c>
      <c r="V693" s="153" t="str">
        <f t="array" ref="V693">INDEX(xlRTCLNAME,MATCH(1,(xlRTCLENDU=1)*(xlRTCLEQCL=$D693),0))</f>
        <v>WOOD_HT</v>
      </c>
      <c r="W693" s="153" t="str">
        <f t="array" ref="W693">INDEX(xlRTCLNAME,MATCH(1,(xlRTCLENDU=2)*(xlRTCLEQCL=$F693),0))</f>
        <v>CENT_AIR</v>
      </c>
      <c r="X693" s="153" t="str">
        <f t="array" ref="X693">INDEX(xlRTTYNAME,MATCH(1,(xlRTTYENDU=1)*(xlRTTYEQCL=$D693)*(xlRTEQTYPE=$E693),0))</f>
        <v>WOOD_HT2</v>
      </c>
      <c r="Y693" s="153" t="str">
        <f t="array" ref="Y693">INDEX(xlRTTYNAME,MATCH(1,(xlRTTYENDU=2)*(xlRTTYEQCL=$F693)*(xlRTEQTYPE=$G693),0))</f>
        <v>CENT_AIR3</v>
      </c>
    </row>
    <row r="694" spans="2:25" x14ac:dyDescent="0.2">
      <c r="B694" s="126">
        <v>4</v>
      </c>
      <c r="C694" s="126">
        <v>1</v>
      </c>
      <c r="D694" s="126">
        <v>9</v>
      </c>
      <c r="E694" s="126">
        <v>30</v>
      </c>
      <c r="F694" s="126">
        <v>2</v>
      </c>
      <c r="G694" s="126">
        <v>7</v>
      </c>
      <c r="H694" s="126">
        <v>2016</v>
      </c>
      <c r="I694" s="159">
        <v>2022</v>
      </c>
      <c r="J694" s="127">
        <v>1.0812999999999999</v>
      </c>
      <c r="K694" s="127">
        <v>1.0769</v>
      </c>
      <c r="L694" s="127">
        <v>0.47370000000000001</v>
      </c>
      <c r="M694" s="127">
        <v>0.85729999999999995</v>
      </c>
      <c r="N694" s="127">
        <v>0.85660000000000003</v>
      </c>
      <c r="O694" s="127">
        <v>1.0538000000000001</v>
      </c>
      <c r="P694" s="126">
        <v>9227</v>
      </c>
      <c r="Q694" s="128">
        <f t="array" ref="Q694">SUM(IF(($S694&gt;=4)*($C694='TaxCred&amp;Subs'!$D$123:$D$127)*($H694='TaxCred&amp;Subs'!$C$123:$C$127)*($H694&lt;='TaxCred&amp;Subs'!$C$129),'TaxCred&amp;Subs'!$E$123:$E$127,0))</f>
        <v>2000</v>
      </c>
      <c r="R694" s="174">
        <v>0</v>
      </c>
      <c r="S694" s="126">
        <v>4</v>
      </c>
      <c r="T694" s="126" t="s">
        <v>248</v>
      </c>
      <c r="V694" s="153" t="str">
        <f t="array" ref="V694">INDEX(xlRTCLNAME,MATCH(1,(xlRTCLENDU=1)*(xlRTCLEQCL=$D694),0))</f>
        <v>WOOD_HT</v>
      </c>
      <c r="W694" s="153" t="str">
        <f t="array" ref="W694">INDEX(xlRTCLNAME,MATCH(1,(xlRTCLENDU=2)*(xlRTCLEQCL=$F694),0))</f>
        <v>CENT_AIR</v>
      </c>
      <c r="X694" s="153" t="str">
        <f t="array" ref="X694">INDEX(xlRTTYNAME,MATCH(1,(xlRTTYENDU=1)*(xlRTTYEQCL=$D694)*(xlRTEQTYPE=$E694),0))</f>
        <v>WOOD_HT2</v>
      </c>
      <c r="Y694" s="153" t="str">
        <f t="array" ref="Y694">INDEX(xlRTTYNAME,MATCH(1,(xlRTTYENDU=2)*(xlRTTYEQCL=$F694)*(xlRTEQTYPE=$G694),0))</f>
        <v>CENT_AIR3</v>
      </c>
    </row>
    <row r="695" spans="2:25" x14ac:dyDescent="0.2">
      <c r="B695" s="49">
        <v>4</v>
      </c>
      <c r="C695" s="49">
        <v>1</v>
      </c>
      <c r="D695" s="49">
        <v>9</v>
      </c>
      <c r="E695" s="49">
        <v>30</v>
      </c>
      <c r="F695" s="49">
        <v>2</v>
      </c>
      <c r="G695" s="49">
        <v>7</v>
      </c>
      <c r="H695" s="49">
        <v>2023</v>
      </c>
      <c r="I695" s="49">
        <v>2032</v>
      </c>
      <c r="J695" s="50">
        <v>1.0812999999999999</v>
      </c>
      <c r="K695" s="50">
        <v>1.0769</v>
      </c>
      <c r="L695" s="50">
        <v>0.47370000000000001</v>
      </c>
      <c r="M695" s="50">
        <v>0.85729999999999995</v>
      </c>
      <c r="N695" s="50">
        <v>0.85660000000000003</v>
      </c>
      <c r="O695" s="50">
        <v>1.0538000000000001</v>
      </c>
      <c r="P695" s="49">
        <v>9227</v>
      </c>
      <c r="Q695" s="51">
        <f t="array" ref="Q695">SUM(IF(($S695&gt;=4)*($C695='TaxCred&amp;Subs'!$D$123:$D$127)*($H695='TaxCred&amp;Subs'!$C$123:$C$127)*($H695&lt;='TaxCred&amp;Subs'!$C$129),'TaxCred&amp;Subs'!$E$123:$E$127,0))</f>
        <v>2500</v>
      </c>
      <c r="R695" s="171">
        <v>0</v>
      </c>
      <c r="S695" s="49">
        <v>4</v>
      </c>
      <c r="T695" s="49" t="s">
        <v>248</v>
      </c>
      <c r="V695" s="153" t="str">
        <f t="array" ref="V695">INDEX(xlRTCLNAME,MATCH(1,(xlRTCLENDU=1)*(xlRTCLEQCL=$D695),0))</f>
        <v>WOOD_HT</v>
      </c>
      <c r="W695" s="153" t="str">
        <f t="array" ref="W695">INDEX(xlRTCLNAME,MATCH(1,(xlRTCLENDU=2)*(xlRTCLEQCL=$F695),0))</f>
        <v>CENT_AIR</v>
      </c>
      <c r="X695" s="153" t="str">
        <f t="array" ref="X695">INDEX(xlRTTYNAME,MATCH(1,(xlRTTYENDU=1)*(xlRTTYEQCL=$D695)*(xlRTEQTYPE=$E695),0))</f>
        <v>WOOD_HT2</v>
      </c>
      <c r="Y695" s="153" t="str">
        <f t="array" ref="Y695">INDEX(xlRTTYNAME,MATCH(1,(xlRTTYENDU=2)*(xlRTTYEQCL=$F695)*(xlRTEQTYPE=$G695),0))</f>
        <v>CENT_AIR3</v>
      </c>
    </row>
    <row r="696" spans="2:25" x14ac:dyDescent="0.2">
      <c r="B696" s="126">
        <v>4</v>
      </c>
      <c r="C696" s="126">
        <v>1</v>
      </c>
      <c r="D696" s="126">
        <v>9</v>
      </c>
      <c r="E696" s="126">
        <v>30</v>
      </c>
      <c r="F696" s="126">
        <v>2</v>
      </c>
      <c r="G696" s="126">
        <v>7</v>
      </c>
      <c r="H696" s="159">
        <v>2033</v>
      </c>
      <c r="I696" s="126">
        <v>2050</v>
      </c>
      <c r="J696" s="127">
        <v>1.0812999999999999</v>
      </c>
      <c r="K696" s="127">
        <v>1.0769</v>
      </c>
      <c r="L696" s="127">
        <v>0.47370000000000001</v>
      </c>
      <c r="M696" s="127">
        <v>0.85729999999999995</v>
      </c>
      <c r="N696" s="127">
        <v>0.85660000000000003</v>
      </c>
      <c r="O696" s="127">
        <v>1.0538000000000001</v>
      </c>
      <c r="P696" s="126">
        <v>9227</v>
      </c>
      <c r="Q696" s="128">
        <f t="array" ref="Q696">SUM(IF(($S696&gt;=4)*($C696='TaxCred&amp;Subs'!$D$123:$D$127)*($H696='TaxCred&amp;Subs'!$C$123:$C$127)*($H696&lt;='TaxCred&amp;Subs'!$C$129),'TaxCred&amp;Subs'!$E$123:$E$127,0))</f>
        <v>0</v>
      </c>
      <c r="R696" s="174">
        <v>0</v>
      </c>
      <c r="S696" s="126">
        <v>4</v>
      </c>
      <c r="T696" s="126" t="s">
        <v>248</v>
      </c>
      <c r="V696" s="153" t="str">
        <f t="array" ref="V696">INDEX(xlRTCLNAME,MATCH(1,(xlRTCLENDU=1)*(xlRTCLEQCL=$D696),0))</f>
        <v>WOOD_HT</v>
      </c>
      <c r="W696" s="153" t="str">
        <f t="array" ref="W696">INDEX(xlRTCLNAME,MATCH(1,(xlRTCLENDU=2)*(xlRTCLEQCL=$F696),0))</f>
        <v>CENT_AIR</v>
      </c>
      <c r="X696" s="153" t="str">
        <f t="array" ref="X696">INDEX(xlRTTYNAME,MATCH(1,(xlRTTYENDU=1)*(xlRTTYEQCL=$D696)*(xlRTEQTYPE=$E696),0))</f>
        <v>WOOD_HT2</v>
      </c>
      <c r="Y696" s="153" t="str">
        <f t="array" ref="Y696">INDEX(xlRTTYNAME,MATCH(1,(xlRTTYENDU=2)*(xlRTTYEQCL=$F696)*(xlRTEQTYPE=$G696),0))</f>
        <v>CENT_AIR3</v>
      </c>
    </row>
    <row r="697" spans="2:25" x14ac:dyDescent="0.2">
      <c r="B697" s="126">
        <v>5</v>
      </c>
      <c r="C697" s="126">
        <v>1</v>
      </c>
      <c r="D697" s="126">
        <v>9</v>
      </c>
      <c r="E697" s="126">
        <v>30</v>
      </c>
      <c r="F697" s="126">
        <v>2</v>
      </c>
      <c r="G697" s="126">
        <v>7</v>
      </c>
      <c r="H697" s="126">
        <v>2016</v>
      </c>
      <c r="I697" s="159">
        <v>2022</v>
      </c>
      <c r="J697" s="127">
        <v>1.0838000000000001</v>
      </c>
      <c r="K697" s="127">
        <v>1.0465</v>
      </c>
      <c r="L697" s="127">
        <v>0.40329999999999999</v>
      </c>
      <c r="M697" s="127">
        <v>0.77349999999999997</v>
      </c>
      <c r="N697" s="127">
        <v>0.75670000000000004</v>
      </c>
      <c r="O697" s="127">
        <v>1.0538000000000001</v>
      </c>
      <c r="P697" s="126">
        <v>9903</v>
      </c>
      <c r="Q697" s="128">
        <f t="array" ref="Q697">SUM(IF(($S697&gt;=4)*($C697='TaxCred&amp;Subs'!$D$123:$D$127)*($H697='TaxCred&amp;Subs'!$C$123:$C$127)*($H697&lt;='TaxCred&amp;Subs'!$C$129),'TaxCred&amp;Subs'!$E$123:$E$127,0))</f>
        <v>2000</v>
      </c>
      <c r="R697" s="174">
        <v>0</v>
      </c>
      <c r="S697" s="126">
        <v>4</v>
      </c>
      <c r="T697" s="126" t="s">
        <v>248</v>
      </c>
      <c r="V697" s="153" t="str">
        <f t="array" ref="V697">INDEX(xlRTCLNAME,MATCH(1,(xlRTCLENDU=1)*(xlRTCLEQCL=$D697),0))</f>
        <v>WOOD_HT</v>
      </c>
      <c r="W697" s="153" t="str">
        <f t="array" ref="W697">INDEX(xlRTCLNAME,MATCH(1,(xlRTCLENDU=2)*(xlRTCLEQCL=$F697),0))</f>
        <v>CENT_AIR</v>
      </c>
      <c r="X697" s="153" t="str">
        <f t="array" ref="X697">INDEX(xlRTTYNAME,MATCH(1,(xlRTTYENDU=1)*(xlRTTYEQCL=$D697)*(xlRTEQTYPE=$E697),0))</f>
        <v>WOOD_HT2</v>
      </c>
      <c r="Y697" s="153" t="str">
        <f t="array" ref="Y697">INDEX(xlRTTYNAME,MATCH(1,(xlRTTYENDU=2)*(xlRTTYEQCL=$F697)*(xlRTEQTYPE=$G697),0))</f>
        <v>CENT_AIR3</v>
      </c>
    </row>
    <row r="698" spans="2:25" x14ac:dyDescent="0.2">
      <c r="B698" s="49">
        <v>5</v>
      </c>
      <c r="C698" s="49">
        <v>1</v>
      </c>
      <c r="D698" s="49">
        <v>9</v>
      </c>
      <c r="E698" s="49">
        <v>30</v>
      </c>
      <c r="F698" s="49">
        <v>2</v>
      </c>
      <c r="G698" s="49">
        <v>7</v>
      </c>
      <c r="H698" s="49">
        <v>2023</v>
      </c>
      <c r="I698" s="49">
        <v>2032</v>
      </c>
      <c r="J698" s="50">
        <v>1.0838000000000001</v>
      </c>
      <c r="K698" s="50">
        <v>1.0465</v>
      </c>
      <c r="L698" s="50">
        <v>0.40329999999999999</v>
      </c>
      <c r="M698" s="50">
        <v>0.77349999999999997</v>
      </c>
      <c r="N698" s="50">
        <v>0.75670000000000004</v>
      </c>
      <c r="O698" s="50">
        <v>1.0538000000000001</v>
      </c>
      <c r="P698" s="49">
        <v>9903</v>
      </c>
      <c r="Q698" s="51">
        <f t="array" ref="Q698">SUM(IF(($S698&gt;=4)*($C698='TaxCred&amp;Subs'!$D$123:$D$127)*($H698='TaxCred&amp;Subs'!$C$123:$C$127)*($H698&lt;='TaxCred&amp;Subs'!$C$129),'TaxCred&amp;Subs'!$E$123:$E$127,0))</f>
        <v>2500</v>
      </c>
      <c r="R698" s="171">
        <v>0</v>
      </c>
      <c r="S698" s="49">
        <v>4</v>
      </c>
      <c r="T698" s="49" t="s">
        <v>248</v>
      </c>
      <c r="V698" s="153" t="str">
        <f t="array" ref="V698">INDEX(xlRTCLNAME,MATCH(1,(xlRTCLENDU=1)*(xlRTCLEQCL=$D698),0))</f>
        <v>WOOD_HT</v>
      </c>
      <c r="W698" s="153" t="str">
        <f t="array" ref="W698">INDEX(xlRTCLNAME,MATCH(1,(xlRTCLENDU=2)*(xlRTCLEQCL=$F698),0))</f>
        <v>CENT_AIR</v>
      </c>
      <c r="X698" s="153" t="str">
        <f t="array" ref="X698">INDEX(xlRTTYNAME,MATCH(1,(xlRTTYENDU=1)*(xlRTTYEQCL=$D698)*(xlRTEQTYPE=$E698),0))</f>
        <v>WOOD_HT2</v>
      </c>
      <c r="Y698" s="153" t="str">
        <f t="array" ref="Y698">INDEX(xlRTTYNAME,MATCH(1,(xlRTTYENDU=2)*(xlRTTYEQCL=$F698)*(xlRTEQTYPE=$G698),0))</f>
        <v>CENT_AIR3</v>
      </c>
    </row>
    <row r="699" spans="2:25" x14ac:dyDescent="0.2">
      <c r="B699" s="126">
        <v>5</v>
      </c>
      <c r="C699" s="126">
        <v>1</v>
      </c>
      <c r="D699" s="126">
        <v>9</v>
      </c>
      <c r="E699" s="126">
        <v>30</v>
      </c>
      <c r="F699" s="126">
        <v>2</v>
      </c>
      <c r="G699" s="126">
        <v>7</v>
      </c>
      <c r="H699" s="159">
        <v>2033</v>
      </c>
      <c r="I699" s="126">
        <v>2050</v>
      </c>
      <c r="J699" s="127">
        <v>1.0838000000000001</v>
      </c>
      <c r="K699" s="127">
        <v>1.0465</v>
      </c>
      <c r="L699" s="127">
        <v>0.40329999999999999</v>
      </c>
      <c r="M699" s="127">
        <v>0.77349999999999997</v>
      </c>
      <c r="N699" s="127">
        <v>0.75670000000000004</v>
      </c>
      <c r="O699" s="127">
        <v>1.0538000000000001</v>
      </c>
      <c r="P699" s="126">
        <v>9903</v>
      </c>
      <c r="Q699" s="128">
        <f t="array" ref="Q699">SUM(IF(($S699&gt;=4)*($C699='TaxCred&amp;Subs'!$D$123:$D$127)*($H699='TaxCred&amp;Subs'!$C$123:$C$127)*($H699&lt;='TaxCred&amp;Subs'!$C$129),'TaxCred&amp;Subs'!$E$123:$E$127,0))</f>
        <v>0</v>
      </c>
      <c r="R699" s="174">
        <v>0</v>
      </c>
      <c r="S699" s="126">
        <v>4</v>
      </c>
      <c r="T699" s="126" t="s">
        <v>248</v>
      </c>
      <c r="V699" s="153" t="str">
        <f t="array" ref="V699">INDEX(xlRTCLNAME,MATCH(1,(xlRTCLENDU=1)*(xlRTCLEQCL=$D699),0))</f>
        <v>WOOD_HT</v>
      </c>
      <c r="W699" s="153" t="str">
        <f t="array" ref="W699">INDEX(xlRTCLNAME,MATCH(1,(xlRTCLENDU=2)*(xlRTCLEQCL=$F699),0))</f>
        <v>CENT_AIR</v>
      </c>
      <c r="X699" s="153" t="str">
        <f t="array" ref="X699">INDEX(xlRTTYNAME,MATCH(1,(xlRTTYENDU=1)*(xlRTTYEQCL=$D699)*(xlRTEQTYPE=$E699),0))</f>
        <v>WOOD_HT2</v>
      </c>
      <c r="Y699" s="153" t="str">
        <f t="array" ref="Y699">INDEX(xlRTTYNAME,MATCH(1,(xlRTTYENDU=2)*(xlRTTYEQCL=$F699)*(xlRTEQTYPE=$G699),0))</f>
        <v>CENT_AIR3</v>
      </c>
    </row>
    <row r="700" spans="2:25" x14ac:dyDescent="0.2">
      <c r="B700" s="126">
        <v>6</v>
      </c>
      <c r="C700" s="126">
        <v>1</v>
      </c>
      <c r="D700" s="126">
        <v>9</v>
      </c>
      <c r="E700" s="126">
        <v>30</v>
      </c>
      <c r="F700" s="126">
        <v>2</v>
      </c>
      <c r="G700" s="126">
        <v>7</v>
      </c>
      <c r="H700" s="126">
        <v>2016</v>
      </c>
      <c r="I700" s="159">
        <v>2022</v>
      </c>
      <c r="J700" s="127">
        <v>1.089</v>
      </c>
      <c r="K700" s="127">
        <v>1.0583</v>
      </c>
      <c r="L700" s="127">
        <v>0.60009999999999997</v>
      </c>
      <c r="M700" s="127">
        <v>0.85409999999999997</v>
      </c>
      <c r="N700" s="127">
        <v>0.88849999999999996</v>
      </c>
      <c r="O700" s="127">
        <v>1.0538000000000001</v>
      </c>
      <c r="P700" s="126">
        <v>9341</v>
      </c>
      <c r="Q700" s="128">
        <f t="array" ref="Q700">SUM(IF(($S700&gt;=4)*($C700='TaxCred&amp;Subs'!$D$123:$D$127)*($H700='TaxCred&amp;Subs'!$C$123:$C$127)*($H700&lt;='TaxCred&amp;Subs'!$C$129),'TaxCred&amp;Subs'!$E$123:$E$127,0))</f>
        <v>2000</v>
      </c>
      <c r="R700" s="174">
        <v>0</v>
      </c>
      <c r="S700" s="126">
        <v>4</v>
      </c>
      <c r="T700" s="126" t="s">
        <v>248</v>
      </c>
      <c r="V700" s="153" t="str">
        <f t="array" ref="V700">INDEX(xlRTCLNAME,MATCH(1,(xlRTCLENDU=1)*(xlRTCLEQCL=$D700),0))</f>
        <v>WOOD_HT</v>
      </c>
      <c r="W700" s="153" t="str">
        <f t="array" ref="W700">INDEX(xlRTCLNAME,MATCH(1,(xlRTCLENDU=2)*(xlRTCLEQCL=$F700),0))</f>
        <v>CENT_AIR</v>
      </c>
      <c r="X700" s="153" t="str">
        <f t="array" ref="X700">INDEX(xlRTTYNAME,MATCH(1,(xlRTTYENDU=1)*(xlRTTYEQCL=$D700)*(xlRTEQTYPE=$E700),0))</f>
        <v>WOOD_HT2</v>
      </c>
      <c r="Y700" s="153" t="str">
        <f t="array" ref="Y700">INDEX(xlRTTYNAME,MATCH(1,(xlRTTYENDU=2)*(xlRTTYEQCL=$F700)*(xlRTEQTYPE=$G700),0))</f>
        <v>CENT_AIR3</v>
      </c>
    </row>
    <row r="701" spans="2:25" x14ac:dyDescent="0.2">
      <c r="B701" s="49">
        <v>6</v>
      </c>
      <c r="C701" s="49">
        <v>1</v>
      </c>
      <c r="D701" s="49">
        <v>9</v>
      </c>
      <c r="E701" s="49">
        <v>30</v>
      </c>
      <c r="F701" s="49">
        <v>2</v>
      </c>
      <c r="G701" s="49">
        <v>7</v>
      </c>
      <c r="H701" s="49">
        <v>2023</v>
      </c>
      <c r="I701" s="49">
        <v>2032</v>
      </c>
      <c r="J701" s="50">
        <v>1.089</v>
      </c>
      <c r="K701" s="50">
        <v>1.0583</v>
      </c>
      <c r="L701" s="50">
        <v>0.60009999999999997</v>
      </c>
      <c r="M701" s="50">
        <v>0.85409999999999997</v>
      </c>
      <c r="N701" s="50">
        <v>0.88849999999999996</v>
      </c>
      <c r="O701" s="50">
        <v>1.0538000000000001</v>
      </c>
      <c r="P701" s="49">
        <v>9341</v>
      </c>
      <c r="Q701" s="51">
        <f t="array" ref="Q701">SUM(IF(($S701&gt;=4)*($C701='TaxCred&amp;Subs'!$D$123:$D$127)*($H701='TaxCred&amp;Subs'!$C$123:$C$127)*($H701&lt;='TaxCred&amp;Subs'!$C$129),'TaxCred&amp;Subs'!$E$123:$E$127,0))</f>
        <v>2500</v>
      </c>
      <c r="R701" s="171">
        <v>0</v>
      </c>
      <c r="S701" s="49">
        <v>4</v>
      </c>
      <c r="T701" s="49" t="s">
        <v>248</v>
      </c>
      <c r="V701" s="153" t="str">
        <f t="array" ref="V701">INDEX(xlRTCLNAME,MATCH(1,(xlRTCLENDU=1)*(xlRTCLEQCL=$D701),0))</f>
        <v>WOOD_HT</v>
      </c>
      <c r="W701" s="153" t="str">
        <f t="array" ref="W701">INDEX(xlRTCLNAME,MATCH(1,(xlRTCLENDU=2)*(xlRTCLEQCL=$F701),0))</f>
        <v>CENT_AIR</v>
      </c>
      <c r="X701" s="153" t="str">
        <f t="array" ref="X701">INDEX(xlRTTYNAME,MATCH(1,(xlRTTYENDU=1)*(xlRTTYEQCL=$D701)*(xlRTEQTYPE=$E701),0))</f>
        <v>WOOD_HT2</v>
      </c>
      <c r="Y701" s="153" t="str">
        <f t="array" ref="Y701">INDEX(xlRTTYNAME,MATCH(1,(xlRTTYENDU=2)*(xlRTTYEQCL=$F701)*(xlRTEQTYPE=$G701),0))</f>
        <v>CENT_AIR3</v>
      </c>
    </row>
    <row r="702" spans="2:25" x14ac:dyDescent="0.2">
      <c r="B702" s="126">
        <v>6</v>
      </c>
      <c r="C702" s="126">
        <v>1</v>
      </c>
      <c r="D702" s="126">
        <v>9</v>
      </c>
      <c r="E702" s="126">
        <v>30</v>
      </c>
      <c r="F702" s="126">
        <v>2</v>
      </c>
      <c r="G702" s="126">
        <v>7</v>
      </c>
      <c r="H702" s="159">
        <v>2033</v>
      </c>
      <c r="I702" s="126">
        <v>2050</v>
      </c>
      <c r="J702" s="127">
        <v>1.089</v>
      </c>
      <c r="K702" s="127">
        <v>1.0583</v>
      </c>
      <c r="L702" s="127">
        <v>0.60009999999999997</v>
      </c>
      <c r="M702" s="127">
        <v>0.85409999999999997</v>
      </c>
      <c r="N702" s="127">
        <v>0.88849999999999996</v>
      </c>
      <c r="O702" s="127">
        <v>1.0538000000000001</v>
      </c>
      <c r="P702" s="126">
        <v>9341</v>
      </c>
      <c r="Q702" s="128">
        <f t="array" ref="Q702">SUM(IF(($S702&gt;=4)*($C702='TaxCred&amp;Subs'!$D$123:$D$127)*($H702='TaxCred&amp;Subs'!$C$123:$C$127)*($H702&lt;='TaxCred&amp;Subs'!$C$129),'TaxCred&amp;Subs'!$E$123:$E$127,0))</f>
        <v>0</v>
      </c>
      <c r="R702" s="174">
        <v>0</v>
      </c>
      <c r="S702" s="126">
        <v>4</v>
      </c>
      <c r="T702" s="126" t="s">
        <v>248</v>
      </c>
      <c r="V702" s="153" t="str">
        <f t="array" ref="V702">INDEX(xlRTCLNAME,MATCH(1,(xlRTCLENDU=1)*(xlRTCLEQCL=$D702),0))</f>
        <v>WOOD_HT</v>
      </c>
      <c r="W702" s="153" t="str">
        <f t="array" ref="W702">INDEX(xlRTCLNAME,MATCH(1,(xlRTCLENDU=2)*(xlRTCLEQCL=$F702),0))</f>
        <v>CENT_AIR</v>
      </c>
      <c r="X702" s="153" t="str">
        <f t="array" ref="X702">INDEX(xlRTTYNAME,MATCH(1,(xlRTTYENDU=1)*(xlRTTYEQCL=$D702)*(xlRTEQTYPE=$E702),0))</f>
        <v>WOOD_HT2</v>
      </c>
      <c r="Y702" s="153" t="str">
        <f t="array" ref="Y702">INDEX(xlRTTYNAME,MATCH(1,(xlRTTYENDU=2)*(xlRTTYEQCL=$F702)*(xlRTEQTYPE=$G702),0))</f>
        <v>CENT_AIR3</v>
      </c>
    </row>
    <row r="703" spans="2:25" x14ac:dyDescent="0.2">
      <c r="B703" s="126">
        <v>7</v>
      </c>
      <c r="C703" s="126">
        <v>1</v>
      </c>
      <c r="D703" s="126">
        <v>9</v>
      </c>
      <c r="E703" s="126">
        <v>30</v>
      </c>
      <c r="F703" s="126">
        <v>2</v>
      </c>
      <c r="G703" s="126">
        <v>7</v>
      </c>
      <c r="H703" s="126">
        <v>2016</v>
      </c>
      <c r="I703" s="159">
        <v>2022</v>
      </c>
      <c r="J703" s="127">
        <v>1.0867</v>
      </c>
      <c r="K703" s="127">
        <v>1.0682</v>
      </c>
      <c r="L703" s="127">
        <v>0.47589999999999999</v>
      </c>
      <c r="M703" s="127">
        <v>0.73570000000000002</v>
      </c>
      <c r="N703" s="127">
        <v>0.87180000000000002</v>
      </c>
      <c r="O703" s="127">
        <v>1.0538000000000001</v>
      </c>
      <c r="P703" s="126">
        <v>8879</v>
      </c>
      <c r="Q703" s="128">
        <f t="array" ref="Q703">SUM(IF(($S703&gt;=4)*($C703='TaxCred&amp;Subs'!$D$123:$D$127)*($H703='TaxCred&amp;Subs'!$C$123:$C$127)*($H703&lt;='TaxCred&amp;Subs'!$C$129),'TaxCred&amp;Subs'!$E$123:$E$127,0))</f>
        <v>2000</v>
      </c>
      <c r="R703" s="174">
        <v>0</v>
      </c>
      <c r="S703" s="126">
        <v>4</v>
      </c>
      <c r="T703" s="126" t="s">
        <v>248</v>
      </c>
      <c r="V703" s="153" t="str">
        <f t="array" ref="V703">INDEX(xlRTCLNAME,MATCH(1,(xlRTCLENDU=1)*(xlRTCLEQCL=$D703),0))</f>
        <v>WOOD_HT</v>
      </c>
      <c r="W703" s="153" t="str">
        <f t="array" ref="W703">INDEX(xlRTCLNAME,MATCH(1,(xlRTCLENDU=2)*(xlRTCLEQCL=$F703),0))</f>
        <v>CENT_AIR</v>
      </c>
      <c r="X703" s="153" t="str">
        <f t="array" ref="X703">INDEX(xlRTTYNAME,MATCH(1,(xlRTTYENDU=1)*(xlRTTYEQCL=$D703)*(xlRTEQTYPE=$E703),0))</f>
        <v>WOOD_HT2</v>
      </c>
      <c r="Y703" s="153" t="str">
        <f t="array" ref="Y703">INDEX(xlRTTYNAME,MATCH(1,(xlRTTYENDU=2)*(xlRTTYEQCL=$F703)*(xlRTEQTYPE=$G703),0))</f>
        <v>CENT_AIR3</v>
      </c>
    </row>
    <row r="704" spans="2:25" x14ac:dyDescent="0.2">
      <c r="B704" s="49">
        <v>7</v>
      </c>
      <c r="C704" s="49">
        <v>1</v>
      </c>
      <c r="D704" s="49">
        <v>9</v>
      </c>
      <c r="E704" s="49">
        <v>30</v>
      </c>
      <c r="F704" s="49">
        <v>2</v>
      </c>
      <c r="G704" s="49">
        <v>7</v>
      </c>
      <c r="H704" s="49">
        <v>2023</v>
      </c>
      <c r="I704" s="49">
        <v>2032</v>
      </c>
      <c r="J704" s="50">
        <v>1.0867</v>
      </c>
      <c r="K704" s="50">
        <v>1.0682</v>
      </c>
      <c r="L704" s="50">
        <v>0.47589999999999999</v>
      </c>
      <c r="M704" s="50">
        <v>0.73570000000000002</v>
      </c>
      <c r="N704" s="50">
        <v>0.87180000000000002</v>
      </c>
      <c r="O704" s="50">
        <v>1.0538000000000001</v>
      </c>
      <c r="P704" s="49">
        <v>8879</v>
      </c>
      <c r="Q704" s="51">
        <f t="array" ref="Q704">SUM(IF(($S704&gt;=4)*($C704='TaxCred&amp;Subs'!$D$123:$D$127)*($H704='TaxCred&amp;Subs'!$C$123:$C$127)*($H704&lt;='TaxCred&amp;Subs'!$C$129),'TaxCred&amp;Subs'!$E$123:$E$127,0))</f>
        <v>2500</v>
      </c>
      <c r="R704" s="171">
        <v>0</v>
      </c>
      <c r="S704" s="49">
        <v>4</v>
      </c>
      <c r="T704" s="49" t="s">
        <v>248</v>
      </c>
      <c r="V704" s="153" t="str">
        <f t="array" ref="V704">INDEX(xlRTCLNAME,MATCH(1,(xlRTCLENDU=1)*(xlRTCLEQCL=$D704),0))</f>
        <v>WOOD_HT</v>
      </c>
      <c r="W704" s="153" t="str">
        <f t="array" ref="W704">INDEX(xlRTCLNAME,MATCH(1,(xlRTCLENDU=2)*(xlRTCLEQCL=$F704),0))</f>
        <v>CENT_AIR</v>
      </c>
      <c r="X704" s="153" t="str">
        <f t="array" ref="X704">INDEX(xlRTTYNAME,MATCH(1,(xlRTTYENDU=1)*(xlRTTYEQCL=$D704)*(xlRTEQTYPE=$E704),0))</f>
        <v>WOOD_HT2</v>
      </c>
      <c r="Y704" s="153" t="str">
        <f t="array" ref="Y704">INDEX(xlRTTYNAME,MATCH(1,(xlRTTYENDU=2)*(xlRTTYEQCL=$F704)*(xlRTEQTYPE=$G704),0))</f>
        <v>CENT_AIR3</v>
      </c>
    </row>
    <row r="705" spans="2:25" x14ac:dyDescent="0.2">
      <c r="B705" s="126">
        <v>7</v>
      </c>
      <c r="C705" s="126">
        <v>1</v>
      </c>
      <c r="D705" s="126">
        <v>9</v>
      </c>
      <c r="E705" s="126">
        <v>30</v>
      </c>
      <c r="F705" s="126">
        <v>2</v>
      </c>
      <c r="G705" s="126">
        <v>7</v>
      </c>
      <c r="H705" s="159">
        <v>2033</v>
      </c>
      <c r="I705" s="126">
        <v>2050</v>
      </c>
      <c r="J705" s="127">
        <v>1.0867</v>
      </c>
      <c r="K705" s="127">
        <v>1.0682</v>
      </c>
      <c r="L705" s="127">
        <v>0.47589999999999999</v>
      </c>
      <c r="M705" s="127">
        <v>0.73570000000000002</v>
      </c>
      <c r="N705" s="127">
        <v>0.87180000000000002</v>
      </c>
      <c r="O705" s="127">
        <v>1.0538000000000001</v>
      </c>
      <c r="P705" s="126">
        <v>8879</v>
      </c>
      <c r="Q705" s="128">
        <f t="array" ref="Q705">SUM(IF(($S705&gt;=4)*($C705='TaxCred&amp;Subs'!$D$123:$D$127)*($H705='TaxCred&amp;Subs'!$C$123:$C$127)*($H705&lt;='TaxCred&amp;Subs'!$C$129),'TaxCred&amp;Subs'!$E$123:$E$127,0))</f>
        <v>0</v>
      </c>
      <c r="R705" s="174">
        <v>0</v>
      </c>
      <c r="S705" s="126">
        <v>4</v>
      </c>
      <c r="T705" s="126" t="s">
        <v>248</v>
      </c>
      <c r="V705" s="153" t="str">
        <f t="array" ref="V705">INDEX(xlRTCLNAME,MATCH(1,(xlRTCLENDU=1)*(xlRTCLEQCL=$D705),0))</f>
        <v>WOOD_HT</v>
      </c>
      <c r="W705" s="153" t="str">
        <f t="array" ref="W705">INDEX(xlRTCLNAME,MATCH(1,(xlRTCLENDU=2)*(xlRTCLEQCL=$F705),0))</f>
        <v>CENT_AIR</v>
      </c>
      <c r="X705" s="153" t="str">
        <f t="array" ref="X705">INDEX(xlRTTYNAME,MATCH(1,(xlRTTYENDU=1)*(xlRTTYEQCL=$D705)*(xlRTEQTYPE=$E705),0))</f>
        <v>WOOD_HT2</v>
      </c>
      <c r="Y705" s="153" t="str">
        <f t="array" ref="Y705">INDEX(xlRTTYNAME,MATCH(1,(xlRTTYENDU=2)*(xlRTTYEQCL=$F705)*(xlRTEQTYPE=$G705),0))</f>
        <v>CENT_AIR3</v>
      </c>
    </row>
    <row r="706" spans="2:25" x14ac:dyDescent="0.2">
      <c r="B706" s="126">
        <v>8</v>
      </c>
      <c r="C706" s="126">
        <v>1</v>
      </c>
      <c r="D706" s="126">
        <v>9</v>
      </c>
      <c r="E706" s="126">
        <v>30</v>
      </c>
      <c r="F706" s="126">
        <v>2</v>
      </c>
      <c r="G706" s="126">
        <v>7</v>
      </c>
      <c r="H706" s="126">
        <v>2016</v>
      </c>
      <c r="I706" s="159">
        <v>2022</v>
      </c>
      <c r="J706" s="127">
        <v>1.0820000000000001</v>
      </c>
      <c r="K706" s="127">
        <v>1.0832999999999999</v>
      </c>
      <c r="L706" s="127">
        <v>0.46889999999999998</v>
      </c>
      <c r="M706" s="127">
        <v>0.7802</v>
      </c>
      <c r="N706" s="127">
        <v>0.86439999999999995</v>
      </c>
      <c r="O706" s="127">
        <v>1.0538000000000001</v>
      </c>
      <c r="P706" s="126">
        <v>11704</v>
      </c>
      <c r="Q706" s="128">
        <f t="array" ref="Q706">SUM(IF(($S706&gt;=4)*($C706='TaxCred&amp;Subs'!$D$123:$D$127)*($H706='TaxCred&amp;Subs'!$C$123:$C$127)*($H706&lt;='TaxCred&amp;Subs'!$C$129),'TaxCred&amp;Subs'!$E$123:$E$127,0))</f>
        <v>2000</v>
      </c>
      <c r="R706" s="174">
        <v>0</v>
      </c>
      <c r="S706" s="126">
        <v>4</v>
      </c>
      <c r="T706" s="126" t="s">
        <v>248</v>
      </c>
      <c r="V706" s="153" t="str">
        <f t="array" ref="V706">INDEX(xlRTCLNAME,MATCH(1,(xlRTCLENDU=1)*(xlRTCLEQCL=$D706),0))</f>
        <v>WOOD_HT</v>
      </c>
      <c r="W706" s="153" t="str">
        <f t="array" ref="W706">INDEX(xlRTCLNAME,MATCH(1,(xlRTCLENDU=2)*(xlRTCLEQCL=$F706),0))</f>
        <v>CENT_AIR</v>
      </c>
      <c r="X706" s="153" t="str">
        <f t="array" ref="X706">INDEX(xlRTTYNAME,MATCH(1,(xlRTTYENDU=1)*(xlRTTYEQCL=$D706)*(xlRTEQTYPE=$E706),0))</f>
        <v>WOOD_HT2</v>
      </c>
      <c r="Y706" s="153" t="str">
        <f t="array" ref="Y706">INDEX(xlRTTYNAME,MATCH(1,(xlRTTYENDU=2)*(xlRTTYEQCL=$F706)*(xlRTEQTYPE=$G706),0))</f>
        <v>CENT_AIR3</v>
      </c>
    </row>
    <row r="707" spans="2:25" x14ac:dyDescent="0.2">
      <c r="B707" s="49">
        <v>8</v>
      </c>
      <c r="C707" s="49">
        <v>1</v>
      </c>
      <c r="D707" s="49">
        <v>9</v>
      </c>
      <c r="E707" s="49">
        <v>30</v>
      </c>
      <c r="F707" s="49">
        <v>2</v>
      </c>
      <c r="G707" s="49">
        <v>7</v>
      </c>
      <c r="H707" s="49">
        <v>2023</v>
      </c>
      <c r="I707" s="49">
        <v>2032</v>
      </c>
      <c r="J707" s="50">
        <v>1.0820000000000001</v>
      </c>
      <c r="K707" s="50">
        <v>1.0832999999999999</v>
      </c>
      <c r="L707" s="50">
        <v>0.46889999999999998</v>
      </c>
      <c r="M707" s="50">
        <v>0.7802</v>
      </c>
      <c r="N707" s="50">
        <v>0.86439999999999995</v>
      </c>
      <c r="O707" s="50">
        <v>1.0538000000000001</v>
      </c>
      <c r="P707" s="49">
        <v>11704</v>
      </c>
      <c r="Q707" s="51">
        <f t="array" ref="Q707">SUM(IF(($S707&gt;=4)*($C707='TaxCred&amp;Subs'!$D$123:$D$127)*($H707='TaxCred&amp;Subs'!$C$123:$C$127)*($H707&lt;='TaxCred&amp;Subs'!$C$129),'TaxCred&amp;Subs'!$E$123:$E$127,0))</f>
        <v>2500</v>
      </c>
      <c r="R707" s="171">
        <v>0</v>
      </c>
      <c r="S707" s="49">
        <v>4</v>
      </c>
      <c r="T707" s="49" t="s">
        <v>248</v>
      </c>
      <c r="V707" s="153" t="str">
        <f t="array" ref="V707">INDEX(xlRTCLNAME,MATCH(1,(xlRTCLENDU=1)*(xlRTCLEQCL=$D707),0))</f>
        <v>WOOD_HT</v>
      </c>
      <c r="W707" s="153" t="str">
        <f t="array" ref="W707">INDEX(xlRTCLNAME,MATCH(1,(xlRTCLENDU=2)*(xlRTCLEQCL=$F707),0))</f>
        <v>CENT_AIR</v>
      </c>
      <c r="X707" s="153" t="str">
        <f t="array" ref="X707">INDEX(xlRTTYNAME,MATCH(1,(xlRTTYENDU=1)*(xlRTTYEQCL=$D707)*(xlRTEQTYPE=$E707),0))</f>
        <v>WOOD_HT2</v>
      </c>
      <c r="Y707" s="153" t="str">
        <f t="array" ref="Y707">INDEX(xlRTTYNAME,MATCH(1,(xlRTTYENDU=2)*(xlRTTYEQCL=$F707)*(xlRTEQTYPE=$G707),0))</f>
        <v>CENT_AIR3</v>
      </c>
    </row>
    <row r="708" spans="2:25" x14ac:dyDescent="0.2">
      <c r="B708" s="126">
        <v>8</v>
      </c>
      <c r="C708" s="126">
        <v>1</v>
      </c>
      <c r="D708" s="126">
        <v>9</v>
      </c>
      <c r="E708" s="126">
        <v>30</v>
      </c>
      <c r="F708" s="126">
        <v>2</v>
      </c>
      <c r="G708" s="126">
        <v>7</v>
      </c>
      <c r="H708" s="159">
        <v>2033</v>
      </c>
      <c r="I708" s="126">
        <v>2050</v>
      </c>
      <c r="J708" s="127">
        <v>1.0820000000000001</v>
      </c>
      <c r="K708" s="127">
        <v>1.0832999999999999</v>
      </c>
      <c r="L708" s="127">
        <v>0.46889999999999998</v>
      </c>
      <c r="M708" s="127">
        <v>0.7802</v>
      </c>
      <c r="N708" s="127">
        <v>0.86439999999999995</v>
      </c>
      <c r="O708" s="127">
        <v>1.0538000000000001</v>
      </c>
      <c r="P708" s="126">
        <v>11704</v>
      </c>
      <c r="Q708" s="128">
        <f t="array" ref="Q708">SUM(IF(($S708&gt;=4)*($C708='TaxCred&amp;Subs'!$D$123:$D$127)*($H708='TaxCred&amp;Subs'!$C$123:$C$127)*($H708&lt;='TaxCred&amp;Subs'!$C$129),'TaxCred&amp;Subs'!$E$123:$E$127,0))</f>
        <v>0</v>
      </c>
      <c r="R708" s="174">
        <v>0</v>
      </c>
      <c r="S708" s="126">
        <v>4</v>
      </c>
      <c r="T708" s="126" t="s">
        <v>248</v>
      </c>
      <c r="V708" s="153" t="str">
        <f t="array" ref="V708">INDEX(xlRTCLNAME,MATCH(1,(xlRTCLENDU=1)*(xlRTCLEQCL=$D708),0))</f>
        <v>WOOD_HT</v>
      </c>
      <c r="W708" s="153" t="str">
        <f t="array" ref="W708">INDEX(xlRTCLNAME,MATCH(1,(xlRTCLENDU=2)*(xlRTCLEQCL=$F708),0))</f>
        <v>CENT_AIR</v>
      </c>
      <c r="X708" s="153" t="str">
        <f t="array" ref="X708">INDEX(xlRTTYNAME,MATCH(1,(xlRTTYENDU=1)*(xlRTTYEQCL=$D708)*(xlRTEQTYPE=$E708),0))</f>
        <v>WOOD_HT2</v>
      </c>
      <c r="Y708" s="153" t="str">
        <f t="array" ref="Y708">INDEX(xlRTTYNAME,MATCH(1,(xlRTTYENDU=2)*(xlRTTYEQCL=$F708)*(xlRTEQTYPE=$G708),0))</f>
        <v>CENT_AIR3</v>
      </c>
    </row>
    <row r="709" spans="2:25" x14ac:dyDescent="0.2">
      <c r="B709" s="126">
        <v>9</v>
      </c>
      <c r="C709" s="126">
        <v>1</v>
      </c>
      <c r="D709" s="126">
        <v>9</v>
      </c>
      <c r="E709" s="126">
        <v>30</v>
      </c>
      <c r="F709" s="126">
        <v>2</v>
      </c>
      <c r="G709" s="126">
        <v>7</v>
      </c>
      <c r="H709" s="126">
        <v>2016</v>
      </c>
      <c r="I709" s="159">
        <v>2022</v>
      </c>
      <c r="J709" s="127">
        <v>1.0414000000000001</v>
      </c>
      <c r="K709" s="127">
        <v>1.07</v>
      </c>
      <c r="L709" s="127">
        <v>0.56499999999999995</v>
      </c>
      <c r="M709" s="127">
        <v>0.82869999999999999</v>
      </c>
      <c r="N709" s="127">
        <v>1.026</v>
      </c>
      <c r="O709" s="127">
        <v>1.0538000000000001</v>
      </c>
      <c r="P709" s="126">
        <v>12242</v>
      </c>
      <c r="Q709" s="128">
        <f t="array" ref="Q709">SUM(IF(($S709&gt;=4)*($C709='TaxCred&amp;Subs'!$D$123:$D$127)*($H709='TaxCred&amp;Subs'!$C$123:$C$127)*($H709&lt;='TaxCred&amp;Subs'!$C$129),'TaxCred&amp;Subs'!$E$123:$E$127,0))</f>
        <v>2000</v>
      </c>
      <c r="R709" s="174">
        <v>0</v>
      </c>
      <c r="S709" s="126">
        <v>4</v>
      </c>
      <c r="T709" s="126" t="s">
        <v>248</v>
      </c>
      <c r="V709" s="153" t="str">
        <f t="array" ref="V709">INDEX(xlRTCLNAME,MATCH(1,(xlRTCLENDU=1)*(xlRTCLEQCL=$D709),0))</f>
        <v>WOOD_HT</v>
      </c>
      <c r="W709" s="153" t="str">
        <f t="array" ref="W709">INDEX(xlRTCLNAME,MATCH(1,(xlRTCLENDU=2)*(xlRTCLEQCL=$F709),0))</f>
        <v>CENT_AIR</v>
      </c>
      <c r="X709" s="153" t="str">
        <f t="array" ref="X709">INDEX(xlRTTYNAME,MATCH(1,(xlRTTYENDU=1)*(xlRTTYEQCL=$D709)*(xlRTEQTYPE=$E709),0))</f>
        <v>WOOD_HT2</v>
      </c>
      <c r="Y709" s="153" t="str">
        <f t="array" ref="Y709">INDEX(xlRTTYNAME,MATCH(1,(xlRTTYENDU=2)*(xlRTTYEQCL=$F709)*(xlRTEQTYPE=$G709),0))</f>
        <v>CENT_AIR3</v>
      </c>
    </row>
    <row r="710" spans="2:25" x14ac:dyDescent="0.2">
      <c r="B710" s="49">
        <v>9</v>
      </c>
      <c r="C710" s="49">
        <v>1</v>
      </c>
      <c r="D710" s="49">
        <v>9</v>
      </c>
      <c r="E710" s="49">
        <v>30</v>
      </c>
      <c r="F710" s="49">
        <v>2</v>
      </c>
      <c r="G710" s="49">
        <v>7</v>
      </c>
      <c r="H710" s="49">
        <v>2023</v>
      </c>
      <c r="I710" s="49">
        <v>2032</v>
      </c>
      <c r="J710" s="50">
        <v>1.0414000000000001</v>
      </c>
      <c r="K710" s="50">
        <v>1.07</v>
      </c>
      <c r="L710" s="50">
        <v>0.56499999999999995</v>
      </c>
      <c r="M710" s="50">
        <v>0.82869999999999999</v>
      </c>
      <c r="N710" s="50">
        <v>1.026</v>
      </c>
      <c r="O710" s="50">
        <v>1.0538000000000001</v>
      </c>
      <c r="P710" s="49">
        <v>12242</v>
      </c>
      <c r="Q710" s="51">
        <f t="array" ref="Q710">SUM(IF(($S710&gt;=4)*($C710='TaxCred&amp;Subs'!$D$123:$D$127)*($H710='TaxCred&amp;Subs'!$C$123:$C$127)*($H710&lt;='TaxCred&amp;Subs'!$C$129),'TaxCred&amp;Subs'!$E$123:$E$127,0))</f>
        <v>2500</v>
      </c>
      <c r="R710" s="171">
        <v>0</v>
      </c>
      <c r="S710" s="49">
        <v>4</v>
      </c>
      <c r="T710" s="49" t="s">
        <v>248</v>
      </c>
      <c r="V710" s="153" t="str">
        <f t="array" ref="V710">INDEX(xlRTCLNAME,MATCH(1,(xlRTCLENDU=1)*(xlRTCLEQCL=$D710),0))</f>
        <v>WOOD_HT</v>
      </c>
      <c r="W710" s="153" t="str">
        <f t="array" ref="W710">INDEX(xlRTCLNAME,MATCH(1,(xlRTCLENDU=2)*(xlRTCLEQCL=$F710),0))</f>
        <v>CENT_AIR</v>
      </c>
      <c r="X710" s="153" t="str">
        <f t="array" ref="X710">INDEX(xlRTTYNAME,MATCH(1,(xlRTTYENDU=1)*(xlRTTYEQCL=$D710)*(xlRTEQTYPE=$E710),0))</f>
        <v>WOOD_HT2</v>
      </c>
      <c r="Y710" s="153" t="str">
        <f t="array" ref="Y710">INDEX(xlRTTYNAME,MATCH(1,(xlRTTYENDU=2)*(xlRTTYEQCL=$F710)*(xlRTEQTYPE=$G710),0))</f>
        <v>CENT_AIR3</v>
      </c>
    </row>
    <row r="711" spans="2:25" x14ac:dyDescent="0.2">
      <c r="B711" s="126">
        <v>9</v>
      </c>
      <c r="C711" s="126">
        <v>1</v>
      </c>
      <c r="D711" s="126">
        <v>9</v>
      </c>
      <c r="E711" s="126">
        <v>30</v>
      </c>
      <c r="F711" s="126">
        <v>2</v>
      </c>
      <c r="G711" s="126">
        <v>7</v>
      </c>
      <c r="H711" s="159">
        <v>2033</v>
      </c>
      <c r="I711" s="126">
        <v>2050</v>
      </c>
      <c r="J711" s="127">
        <v>1.0414000000000001</v>
      </c>
      <c r="K711" s="127">
        <v>1.07</v>
      </c>
      <c r="L711" s="127">
        <v>0.56499999999999995</v>
      </c>
      <c r="M711" s="127">
        <v>0.82869999999999999</v>
      </c>
      <c r="N711" s="127">
        <v>1.026</v>
      </c>
      <c r="O711" s="127">
        <v>1.0538000000000001</v>
      </c>
      <c r="P711" s="126">
        <v>12242</v>
      </c>
      <c r="Q711" s="128">
        <f t="array" ref="Q711">SUM(IF(($S711&gt;=4)*($C711='TaxCred&amp;Subs'!$D$123:$D$127)*($H711='TaxCred&amp;Subs'!$C$123:$C$127)*($H711&lt;='TaxCred&amp;Subs'!$C$129),'TaxCred&amp;Subs'!$E$123:$E$127,0))</f>
        <v>0</v>
      </c>
      <c r="R711" s="174">
        <v>0</v>
      </c>
      <c r="S711" s="126">
        <v>4</v>
      </c>
      <c r="T711" s="126" t="s">
        <v>248</v>
      </c>
      <c r="V711" s="153" t="str">
        <f t="array" ref="V711">INDEX(xlRTCLNAME,MATCH(1,(xlRTCLENDU=1)*(xlRTCLEQCL=$D711),0))</f>
        <v>WOOD_HT</v>
      </c>
      <c r="W711" s="153" t="str">
        <f t="array" ref="W711">INDEX(xlRTCLNAME,MATCH(1,(xlRTCLENDU=2)*(xlRTCLEQCL=$F711),0))</f>
        <v>CENT_AIR</v>
      </c>
      <c r="X711" s="153" t="str">
        <f t="array" ref="X711">INDEX(xlRTTYNAME,MATCH(1,(xlRTTYENDU=1)*(xlRTTYEQCL=$D711)*(xlRTEQTYPE=$E711),0))</f>
        <v>WOOD_HT2</v>
      </c>
      <c r="Y711" s="153" t="str">
        <f t="array" ref="Y711">INDEX(xlRTTYNAME,MATCH(1,(xlRTTYENDU=2)*(xlRTTYEQCL=$F711)*(xlRTEQTYPE=$G711),0))</f>
        <v>CENT_AIR3</v>
      </c>
    </row>
    <row r="712" spans="2:25" x14ac:dyDescent="0.2">
      <c r="B712" s="126">
        <v>1</v>
      </c>
      <c r="C712" s="126">
        <v>1</v>
      </c>
      <c r="D712" s="126">
        <v>10</v>
      </c>
      <c r="E712" s="126">
        <v>34</v>
      </c>
      <c r="F712" s="126">
        <v>4</v>
      </c>
      <c r="G712" s="126">
        <v>15</v>
      </c>
      <c r="H712" s="126">
        <v>2016</v>
      </c>
      <c r="I712" s="159">
        <v>2022</v>
      </c>
      <c r="J712" s="127">
        <v>1.1071</v>
      </c>
      <c r="K712" s="127">
        <v>1.0713999999999999</v>
      </c>
      <c r="L712" s="127">
        <v>0.46389999999999998</v>
      </c>
      <c r="M712" s="127">
        <v>0.96289999999999998</v>
      </c>
      <c r="N712" s="127">
        <v>0.80640000000000001</v>
      </c>
      <c r="O712" s="127">
        <v>1.0538000000000001</v>
      </c>
      <c r="P712" s="126">
        <v>10850</v>
      </c>
      <c r="Q712" s="128">
        <f t="array" ref="Q712">SUM(IF(($S712&gt;=4)*($C712='TaxCred&amp;Subs'!$D$123:$D$127)*($H712='TaxCred&amp;Subs'!$C$123:$C$127)*($H712&lt;='TaxCred&amp;Subs'!$C$129),'TaxCred&amp;Subs'!$E$123:$E$127,0))</f>
        <v>2000</v>
      </c>
      <c r="R712" s="174">
        <v>0</v>
      </c>
      <c r="S712" s="126">
        <v>4</v>
      </c>
      <c r="T712" s="126" t="s">
        <v>248</v>
      </c>
      <c r="V712" s="153" t="str">
        <f t="array" ref="V712">INDEX(xlRTCLNAME,MATCH(1,(xlRTCLENDU=1)*(xlRTCLEQCL=$D712),0))</f>
        <v>GEO_HP</v>
      </c>
      <c r="W712" s="153" t="str">
        <f t="array" ref="W712">INDEX(xlRTCLNAME,MATCH(1,(xlRTCLENDU=2)*(xlRTCLEQCL=$F712),0))</f>
        <v>GEO_HP</v>
      </c>
      <c r="X712" s="153" t="str">
        <f t="array" ref="X712">INDEX(xlRTTYNAME,MATCH(1,(xlRTTYENDU=1)*(xlRTTYEQCL=$D712)*(xlRTEQTYPE=$E712),0))</f>
        <v>GEO_HP3</v>
      </c>
      <c r="Y712" s="153" t="str">
        <f t="array" ref="Y712">INDEX(xlRTTYNAME,MATCH(1,(xlRTTYENDU=2)*(xlRTTYEQCL=$F712)*(xlRTEQTYPE=$G712),0))</f>
        <v>GEO_HP3</v>
      </c>
    </row>
    <row r="713" spans="2:25" x14ac:dyDescent="0.2">
      <c r="B713" s="49">
        <v>1</v>
      </c>
      <c r="C713" s="49">
        <v>1</v>
      </c>
      <c r="D713" s="49">
        <v>10</v>
      </c>
      <c r="E713" s="49">
        <v>34</v>
      </c>
      <c r="F713" s="49">
        <v>4</v>
      </c>
      <c r="G713" s="49">
        <v>15</v>
      </c>
      <c r="H713" s="49">
        <v>2023</v>
      </c>
      <c r="I713" s="49">
        <v>2032</v>
      </c>
      <c r="J713" s="50">
        <v>1.1071</v>
      </c>
      <c r="K713" s="50">
        <v>1.0713999999999999</v>
      </c>
      <c r="L713" s="50">
        <v>0.46389999999999998</v>
      </c>
      <c r="M713" s="50">
        <v>0.96289999999999998</v>
      </c>
      <c r="N713" s="50">
        <v>0.80640000000000001</v>
      </c>
      <c r="O713" s="50">
        <v>1.0538000000000001</v>
      </c>
      <c r="P713" s="49">
        <v>10850</v>
      </c>
      <c r="Q713" s="51">
        <f t="array" ref="Q713">SUM(IF(($S713&gt;=4)*($C713='TaxCred&amp;Subs'!$D$123:$D$127)*($H713='TaxCred&amp;Subs'!$C$123:$C$127)*($H713&lt;='TaxCred&amp;Subs'!$C$129),'TaxCred&amp;Subs'!$E$123:$E$127,0))</f>
        <v>2500</v>
      </c>
      <c r="R713" s="171">
        <v>0</v>
      </c>
      <c r="S713" s="49">
        <v>4</v>
      </c>
      <c r="T713" s="49" t="s">
        <v>248</v>
      </c>
      <c r="V713" s="153" t="str">
        <f t="array" ref="V713">INDEX(xlRTCLNAME,MATCH(1,(xlRTCLENDU=1)*(xlRTCLEQCL=$D713),0))</f>
        <v>GEO_HP</v>
      </c>
      <c r="W713" s="153" t="str">
        <f t="array" ref="W713">INDEX(xlRTCLNAME,MATCH(1,(xlRTCLENDU=2)*(xlRTCLEQCL=$F713),0))</f>
        <v>GEO_HP</v>
      </c>
      <c r="X713" s="153" t="str">
        <f t="array" ref="X713">INDEX(xlRTTYNAME,MATCH(1,(xlRTTYENDU=1)*(xlRTTYEQCL=$D713)*(xlRTEQTYPE=$E713),0))</f>
        <v>GEO_HP3</v>
      </c>
      <c r="Y713" s="153" t="str">
        <f t="array" ref="Y713">INDEX(xlRTTYNAME,MATCH(1,(xlRTTYENDU=2)*(xlRTTYEQCL=$F713)*(xlRTEQTYPE=$G713),0))</f>
        <v>GEO_HP3</v>
      </c>
    </row>
    <row r="714" spans="2:25" x14ac:dyDescent="0.2">
      <c r="B714" s="126">
        <v>1</v>
      </c>
      <c r="C714" s="126">
        <v>1</v>
      </c>
      <c r="D714" s="126">
        <v>10</v>
      </c>
      <c r="E714" s="126">
        <v>34</v>
      </c>
      <c r="F714" s="126">
        <v>4</v>
      </c>
      <c r="G714" s="126">
        <v>15</v>
      </c>
      <c r="H714" s="159">
        <v>2033</v>
      </c>
      <c r="I714" s="126">
        <v>2050</v>
      </c>
      <c r="J714" s="127">
        <v>1.1071</v>
      </c>
      <c r="K714" s="127">
        <v>1.0713999999999999</v>
      </c>
      <c r="L714" s="127">
        <v>0.46389999999999998</v>
      </c>
      <c r="M714" s="127">
        <v>0.96289999999999998</v>
      </c>
      <c r="N714" s="127">
        <v>0.80640000000000001</v>
      </c>
      <c r="O714" s="127">
        <v>1.0538000000000001</v>
      </c>
      <c r="P714" s="126">
        <v>10850</v>
      </c>
      <c r="Q714" s="128">
        <f t="array" ref="Q714">SUM(IF(($S714&gt;=4)*($C714='TaxCred&amp;Subs'!$D$123:$D$127)*($H714='TaxCred&amp;Subs'!$C$123:$C$127)*($H714&lt;='TaxCred&amp;Subs'!$C$129),'TaxCred&amp;Subs'!$E$123:$E$127,0))</f>
        <v>0</v>
      </c>
      <c r="R714" s="174">
        <v>0</v>
      </c>
      <c r="S714" s="126">
        <v>4</v>
      </c>
      <c r="T714" s="126" t="s">
        <v>248</v>
      </c>
      <c r="V714" s="153" t="str">
        <f t="array" ref="V714">INDEX(xlRTCLNAME,MATCH(1,(xlRTCLENDU=1)*(xlRTCLEQCL=$D714),0))</f>
        <v>GEO_HP</v>
      </c>
      <c r="W714" s="153" t="str">
        <f t="array" ref="W714">INDEX(xlRTCLNAME,MATCH(1,(xlRTCLENDU=2)*(xlRTCLEQCL=$F714),0))</f>
        <v>GEO_HP</v>
      </c>
      <c r="X714" s="153" t="str">
        <f t="array" ref="X714">INDEX(xlRTTYNAME,MATCH(1,(xlRTTYENDU=1)*(xlRTTYEQCL=$D714)*(xlRTEQTYPE=$E714),0))</f>
        <v>GEO_HP3</v>
      </c>
      <c r="Y714" s="153" t="str">
        <f t="array" ref="Y714">INDEX(xlRTTYNAME,MATCH(1,(xlRTTYENDU=2)*(xlRTTYEQCL=$F714)*(xlRTEQTYPE=$G714),0))</f>
        <v>GEO_HP3</v>
      </c>
    </row>
    <row r="715" spans="2:25" x14ac:dyDescent="0.2">
      <c r="B715" s="126">
        <v>2</v>
      </c>
      <c r="C715" s="126">
        <v>1</v>
      </c>
      <c r="D715" s="126">
        <v>10</v>
      </c>
      <c r="E715" s="126">
        <v>34</v>
      </c>
      <c r="F715" s="126">
        <v>4</v>
      </c>
      <c r="G715" s="126">
        <v>15</v>
      </c>
      <c r="H715" s="126">
        <v>2016</v>
      </c>
      <c r="I715" s="159">
        <v>2022</v>
      </c>
      <c r="J715" s="127">
        <v>1.0371999999999999</v>
      </c>
      <c r="K715" s="127">
        <v>1.0698000000000001</v>
      </c>
      <c r="L715" s="127">
        <v>0.55069999999999997</v>
      </c>
      <c r="M715" s="127">
        <v>0.83109999999999995</v>
      </c>
      <c r="N715" s="127">
        <v>0.95350000000000001</v>
      </c>
      <c r="O715" s="127">
        <v>1.0538000000000001</v>
      </c>
      <c r="P715" s="126">
        <v>10489</v>
      </c>
      <c r="Q715" s="128">
        <f t="array" ref="Q715">SUM(IF(($S715&gt;=4)*($C715='TaxCred&amp;Subs'!$D$123:$D$127)*($H715='TaxCred&amp;Subs'!$C$123:$C$127)*($H715&lt;='TaxCred&amp;Subs'!$C$129),'TaxCred&amp;Subs'!$E$123:$E$127,0))</f>
        <v>2000</v>
      </c>
      <c r="R715" s="174">
        <v>0</v>
      </c>
      <c r="S715" s="126">
        <v>4</v>
      </c>
      <c r="T715" s="126" t="s">
        <v>248</v>
      </c>
      <c r="V715" s="153" t="str">
        <f t="array" ref="V715">INDEX(xlRTCLNAME,MATCH(1,(xlRTCLENDU=1)*(xlRTCLEQCL=$D715),0))</f>
        <v>GEO_HP</v>
      </c>
      <c r="W715" s="153" t="str">
        <f t="array" ref="W715">INDEX(xlRTCLNAME,MATCH(1,(xlRTCLENDU=2)*(xlRTCLEQCL=$F715),0))</f>
        <v>GEO_HP</v>
      </c>
      <c r="X715" s="153" t="str">
        <f t="array" ref="X715">INDEX(xlRTTYNAME,MATCH(1,(xlRTTYENDU=1)*(xlRTTYEQCL=$D715)*(xlRTEQTYPE=$E715),0))</f>
        <v>GEO_HP3</v>
      </c>
      <c r="Y715" s="153" t="str">
        <f t="array" ref="Y715">INDEX(xlRTTYNAME,MATCH(1,(xlRTTYENDU=2)*(xlRTTYEQCL=$F715)*(xlRTEQTYPE=$G715),0))</f>
        <v>GEO_HP3</v>
      </c>
    </row>
    <row r="716" spans="2:25" x14ac:dyDescent="0.2">
      <c r="B716" s="49">
        <v>2</v>
      </c>
      <c r="C716" s="49">
        <v>1</v>
      </c>
      <c r="D716" s="49">
        <v>10</v>
      </c>
      <c r="E716" s="49">
        <v>34</v>
      </c>
      <c r="F716" s="49">
        <v>4</v>
      </c>
      <c r="G716" s="49">
        <v>15</v>
      </c>
      <c r="H716" s="49">
        <v>2023</v>
      </c>
      <c r="I716" s="49">
        <v>2032</v>
      </c>
      <c r="J716" s="50">
        <v>1.0371999999999999</v>
      </c>
      <c r="K716" s="50">
        <v>1.0698000000000001</v>
      </c>
      <c r="L716" s="50">
        <v>0.55069999999999997</v>
      </c>
      <c r="M716" s="50">
        <v>0.83109999999999995</v>
      </c>
      <c r="N716" s="50">
        <v>0.95350000000000001</v>
      </c>
      <c r="O716" s="50">
        <v>1.0538000000000001</v>
      </c>
      <c r="P716" s="49">
        <v>10489</v>
      </c>
      <c r="Q716" s="51">
        <f t="array" ref="Q716">SUM(IF(($S716&gt;=4)*($C716='TaxCred&amp;Subs'!$D$123:$D$127)*($H716='TaxCred&amp;Subs'!$C$123:$C$127)*($H716&lt;='TaxCred&amp;Subs'!$C$129),'TaxCred&amp;Subs'!$E$123:$E$127,0))</f>
        <v>2500</v>
      </c>
      <c r="R716" s="171">
        <v>0</v>
      </c>
      <c r="S716" s="49">
        <v>4</v>
      </c>
      <c r="T716" s="49" t="s">
        <v>248</v>
      </c>
      <c r="V716" s="153" t="str">
        <f t="array" ref="V716">INDEX(xlRTCLNAME,MATCH(1,(xlRTCLENDU=1)*(xlRTCLEQCL=$D716),0))</f>
        <v>GEO_HP</v>
      </c>
      <c r="W716" s="153" t="str">
        <f t="array" ref="W716">INDEX(xlRTCLNAME,MATCH(1,(xlRTCLENDU=2)*(xlRTCLEQCL=$F716),0))</f>
        <v>GEO_HP</v>
      </c>
      <c r="X716" s="153" t="str">
        <f t="array" ref="X716">INDEX(xlRTTYNAME,MATCH(1,(xlRTTYENDU=1)*(xlRTTYEQCL=$D716)*(xlRTEQTYPE=$E716),0))</f>
        <v>GEO_HP3</v>
      </c>
      <c r="Y716" s="153" t="str">
        <f t="array" ref="Y716">INDEX(xlRTTYNAME,MATCH(1,(xlRTTYENDU=2)*(xlRTTYEQCL=$F716)*(xlRTEQTYPE=$G716),0))</f>
        <v>GEO_HP3</v>
      </c>
    </row>
    <row r="717" spans="2:25" x14ac:dyDescent="0.2">
      <c r="B717" s="126">
        <v>2</v>
      </c>
      <c r="C717" s="126">
        <v>1</v>
      </c>
      <c r="D717" s="126">
        <v>10</v>
      </c>
      <c r="E717" s="126">
        <v>34</v>
      </c>
      <c r="F717" s="126">
        <v>4</v>
      </c>
      <c r="G717" s="126">
        <v>15</v>
      </c>
      <c r="H717" s="159">
        <v>2033</v>
      </c>
      <c r="I717" s="126">
        <v>2050</v>
      </c>
      <c r="J717" s="127">
        <v>1.0371999999999999</v>
      </c>
      <c r="K717" s="127">
        <v>1.0698000000000001</v>
      </c>
      <c r="L717" s="127">
        <v>0.55069999999999997</v>
      </c>
      <c r="M717" s="127">
        <v>0.83109999999999995</v>
      </c>
      <c r="N717" s="127">
        <v>0.95350000000000001</v>
      </c>
      <c r="O717" s="127">
        <v>1.0538000000000001</v>
      </c>
      <c r="P717" s="126">
        <v>10489</v>
      </c>
      <c r="Q717" s="128">
        <f t="array" ref="Q717">SUM(IF(($S717&gt;=4)*($C717='TaxCred&amp;Subs'!$D$123:$D$127)*($H717='TaxCred&amp;Subs'!$C$123:$C$127)*($H717&lt;='TaxCred&amp;Subs'!$C$129),'TaxCred&amp;Subs'!$E$123:$E$127,0))</f>
        <v>0</v>
      </c>
      <c r="R717" s="174">
        <v>0</v>
      </c>
      <c r="S717" s="126">
        <v>4</v>
      </c>
      <c r="T717" s="126" t="s">
        <v>248</v>
      </c>
      <c r="V717" s="153" t="str">
        <f t="array" ref="V717">INDEX(xlRTCLNAME,MATCH(1,(xlRTCLENDU=1)*(xlRTCLEQCL=$D717),0))</f>
        <v>GEO_HP</v>
      </c>
      <c r="W717" s="153" t="str">
        <f t="array" ref="W717">INDEX(xlRTCLNAME,MATCH(1,(xlRTCLENDU=2)*(xlRTCLEQCL=$F717),0))</f>
        <v>GEO_HP</v>
      </c>
      <c r="X717" s="153" t="str">
        <f t="array" ref="X717">INDEX(xlRTTYNAME,MATCH(1,(xlRTTYENDU=1)*(xlRTTYEQCL=$D717)*(xlRTEQTYPE=$E717),0))</f>
        <v>GEO_HP3</v>
      </c>
      <c r="Y717" s="153" t="str">
        <f t="array" ref="Y717">INDEX(xlRTTYNAME,MATCH(1,(xlRTTYENDU=2)*(xlRTTYEQCL=$F717)*(xlRTEQTYPE=$G717),0))</f>
        <v>GEO_HP3</v>
      </c>
    </row>
    <row r="718" spans="2:25" x14ac:dyDescent="0.2">
      <c r="B718" s="126">
        <v>3</v>
      </c>
      <c r="C718" s="126">
        <v>1</v>
      </c>
      <c r="D718" s="126">
        <v>10</v>
      </c>
      <c r="E718" s="126">
        <v>34</v>
      </c>
      <c r="F718" s="126">
        <v>4</v>
      </c>
      <c r="G718" s="126">
        <v>15</v>
      </c>
      <c r="H718" s="126">
        <v>2016</v>
      </c>
      <c r="I718" s="159">
        <v>2022</v>
      </c>
      <c r="J718" s="127">
        <v>1.0431999999999999</v>
      </c>
      <c r="K718" s="127">
        <v>1.0625</v>
      </c>
      <c r="L718" s="127">
        <v>0.43969999999999998</v>
      </c>
      <c r="M718" s="127">
        <v>0.89670000000000005</v>
      </c>
      <c r="N718" s="127">
        <v>0.91259999999999997</v>
      </c>
      <c r="O718" s="127">
        <v>1.0538000000000001</v>
      </c>
      <c r="P718" s="126">
        <v>9704</v>
      </c>
      <c r="Q718" s="128">
        <f t="array" ref="Q718">SUM(IF(($S718&gt;=4)*($C718='TaxCred&amp;Subs'!$D$123:$D$127)*($H718='TaxCred&amp;Subs'!$C$123:$C$127)*($H718&lt;='TaxCred&amp;Subs'!$C$129),'TaxCred&amp;Subs'!$E$123:$E$127,0))</f>
        <v>2000</v>
      </c>
      <c r="R718" s="174">
        <v>0</v>
      </c>
      <c r="S718" s="126">
        <v>4</v>
      </c>
      <c r="T718" s="126" t="s">
        <v>248</v>
      </c>
      <c r="V718" s="153" t="str">
        <f t="array" ref="V718">INDEX(xlRTCLNAME,MATCH(1,(xlRTCLENDU=1)*(xlRTCLEQCL=$D718),0))</f>
        <v>GEO_HP</v>
      </c>
      <c r="W718" s="153" t="str">
        <f t="array" ref="W718">INDEX(xlRTCLNAME,MATCH(1,(xlRTCLENDU=2)*(xlRTCLEQCL=$F718),0))</f>
        <v>GEO_HP</v>
      </c>
      <c r="X718" s="153" t="str">
        <f t="array" ref="X718">INDEX(xlRTTYNAME,MATCH(1,(xlRTTYENDU=1)*(xlRTTYEQCL=$D718)*(xlRTEQTYPE=$E718),0))</f>
        <v>GEO_HP3</v>
      </c>
      <c r="Y718" s="153" t="str">
        <f t="array" ref="Y718">INDEX(xlRTTYNAME,MATCH(1,(xlRTTYENDU=2)*(xlRTTYEQCL=$F718)*(xlRTEQTYPE=$G718),0))</f>
        <v>GEO_HP3</v>
      </c>
    </row>
    <row r="719" spans="2:25" x14ac:dyDescent="0.2">
      <c r="B719" s="49">
        <v>3</v>
      </c>
      <c r="C719" s="49">
        <v>1</v>
      </c>
      <c r="D719" s="49">
        <v>10</v>
      </c>
      <c r="E719" s="49">
        <v>34</v>
      </c>
      <c r="F719" s="49">
        <v>4</v>
      </c>
      <c r="G719" s="49">
        <v>15</v>
      </c>
      <c r="H719" s="49">
        <v>2023</v>
      </c>
      <c r="I719" s="49">
        <v>2032</v>
      </c>
      <c r="J719" s="50">
        <v>1.0431999999999999</v>
      </c>
      <c r="K719" s="50">
        <v>1.0625</v>
      </c>
      <c r="L719" s="50">
        <v>0.43969999999999998</v>
      </c>
      <c r="M719" s="50">
        <v>0.89670000000000005</v>
      </c>
      <c r="N719" s="50">
        <v>0.91259999999999997</v>
      </c>
      <c r="O719" s="50">
        <v>1.0538000000000001</v>
      </c>
      <c r="P719" s="49">
        <v>9704</v>
      </c>
      <c r="Q719" s="51">
        <f t="array" ref="Q719">SUM(IF(($S719&gt;=4)*($C719='TaxCred&amp;Subs'!$D$123:$D$127)*($H719='TaxCred&amp;Subs'!$C$123:$C$127)*($H719&lt;='TaxCred&amp;Subs'!$C$129),'TaxCred&amp;Subs'!$E$123:$E$127,0))</f>
        <v>2500</v>
      </c>
      <c r="R719" s="171">
        <v>0</v>
      </c>
      <c r="S719" s="49">
        <v>4</v>
      </c>
      <c r="T719" s="49" t="s">
        <v>248</v>
      </c>
      <c r="V719" s="153" t="str">
        <f t="array" ref="V719">INDEX(xlRTCLNAME,MATCH(1,(xlRTCLENDU=1)*(xlRTCLEQCL=$D719),0))</f>
        <v>GEO_HP</v>
      </c>
      <c r="W719" s="153" t="str">
        <f t="array" ref="W719">INDEX(xlRTCLNAME,MATCH(1,(xlRTCLENDU=2)*(xlRTCLEQCL=$F719),0))</f>
        <v>GEO_HP</v>
      </c>
      <c r="X719" s="153" t="str">
        <f t="array" ref="X719">INDEX(xlRTTYNAME,MATCH(1,(xlRTTYENDU=1)*(xlRTTYEQCL=$D719)*(xlRTEQTYPE=$E719),0))</f>
        <v>GEO_HP3</v>
      </c>
      <c r="Y719" s="153" t="str">
        <f t="array" ref="Y719">INDEX(xlRTTYNAME,MATCH(1,(xlRTTYENDU=2)*(xlRTTYEQCL=$F719)*(xlRTEQTYPE=$G719),0))</f>
        <v>GEO_HP3</v>
      </c>
    </row>
    <row r="720" spans="2:25" x14ac:dyDescent="0.2">
      <c r="B720" s="126">
        <v>3</v>
      </c>
      <c r="C720" s="126">
        <v>1</v>
      </c>
      <c r="D720" s="126">
        <v>10</v>
      </c>
      <c r="E720" s="126">
        <v>34</v>
      </c>
      <c r="F720" s="126">
        <v>4</v>
      </c>
      <c r="G720" s="126">
        <v>15</v>
      </c>
      <c r="H720" s="159">
        <v>2033</v>
      </c>
      <c r="I720" s="126">
        <v>2050</v>
      </c>
      <c r="J720" s="127">
        <v>1.0431999999999999</v>
      </c>
      <c r="K720" s="127">
        <v>1.0625</v>
      </c>
      <c r="L720" s="127">
        <v>0.43969999999999998</v>
      </c>
      <c r="M720" s="127">
        <v>0.89670000000000005</v>
      </c>
      <c r="N720" s="127">
        <v>0.91259999999999997</v>
      </c>
      <c r="O720" s="127">
        <v>1.0538000000000001</v>
      </c>
      <c r="P720" s="126">
        <v>9704</v>
      </c>
      <c r="Q720" s="128">
        <f t="array" ref="Q720">SUM(IF(($S720&gt;=4)*($C720='TaxCred&amp;Subs'!$D$123:$D$127)*($H720='TaxCred&amp;Subs'!$C$123:$C$127)*($H720&lt;='TaxCred&amp;Subs'!$C$129),'TaxCred&amp;Subs'!$E$123:$E$127,0))</f>
        <v>0</v>
      </c>
      <c r="R720" s="174">
        <v>0</v>
      </c>
      <c r="S720" s="126">
        <v>4</v>
      </c>
      <c r="T720" s="126" t="s">
        <v>248</v>
      </c>
      <c r="V720" s="153" t="str">
        <f t="array" ref="V720">INDEX(xlRTCLNAME,MATCH(1,(xlRTCLENDU=1)*(xlRTCLEQCL=$D720),0))</f>
        <v>GEO_HP</v>
      </c>
      <c r="W720" s="153" t="str">
        <f t="array" ref="W720">INDEX(xlRTCLNAME,MATCH(1,(xlRTCLENDU=2)*(xlRTCLEQCL=$F720),0))</f>
        <v>GEO_HP</v>
      </c>
      <c r="X720" s="153" t="str">
        <f t="array" ref="X720">INDEX(xlRTTYNAME,MATCH(1,(xlRTTYENDU=1)*(xlRTTYEQCL=$D720)*(xlRTEQTYPE=$E720),0))</f>
        <v>GEO_HP3</v>
      </c>
      <c r="Y720" s="153" t="str">
        <f t="array" ref="Y720">INDEX(xlRTTYNAME,MATCH(1,(xlRTTYENDU=2)*(xlRTTYEQCL=$F720)*(xlRTEQTYPE=$G720),0))</f>
        <v>GEO_HP3</v>
      </c>
    </row>
    <row r="721" spans="2:25" x14ac:dyDescent="0.2">
      <c r="B721" s="126">
        <v>4</v>
      </c>
      <c r="C721" s="126">
        <v>1</v>
      </c>
      <c r="D721" s="126">
        <v>10</v>
      </c>
      <c r="E721" s="126">
        <v>34</v>
      </c>
      <c r="F721" s="126">
        <v>4</v>
      </c>
      <c r="G721" s="126">
        <v>15</v>
      </c>
      <c r="H721" s="126">
        <v>2016</v>
      </c>
      <c r="I721" s="159">
        <v>2022</v>
      </c>
      <c r="J721" s="127">
        <v>1.0781000000000001</v>
      </c>
      <c r="K721" s="127">
        <v>1.087</v>
      </c>
      <c r="L721" s="127">
        <v>0.43419999999999997</v>
      </c>
      <c r="M721" s="127">
        <v>0.83850000000000002</v>
      </c>
      <c r="N721" s="127">
        <v>0.84850000000000003</v>
      </c>
      <c r="O721" s="127">
        <v>1.0538000000000001</v>
      </c>
      <c r="P721" s="126">
        <v>7856</v>
      </c>
      <c r="Q721" s="128">
        <f t="array" ref="Q721">SUM(IF(($S721&gt;=4)*($C721='TaxCred&amp;Subs'!$D$123:$D$127)*($H721='TaxCred&amp;Subs'!$C$123:$C$127)*($H721&lt;='TaxCred&amp;Subs'!$C$129),'TaxCred&amp;Subs'!$E$123:$E$127,0))</f>
        <v>2000</v>
      </c>
      <c r="R721" s="174">
        <v>0</v>
      </c>
      <c r="S721" s="126">
        <v>4</v>
      </c>
      <c r="T721" s="126" t="s">
        <v>248</v>
      </c>
      <c r="V721" s="153" t="str">
        <f t="array" ref="V721">INDEX(xlRTCLNAME,MATCH(1,(xlRTCLENDU=1)*(xlRTCLEQCL=$D721),0))</f>
        <v>GEO_HP</v>
      </c>
      <c r="W721" s="153" t="str">
        <f t="array" ref="W721">INDEX(xlRTCLNAME,MATCH(1,(xlRTCLENDU=2)*(xlRTCLEQCL=$F721),0))</f>
        <v>GEO_HP</v>
      </c>
      <c r="X721" s="153" t="str">
        <f t="array" ref="X721">INDEX(xlRTTYNAME,MATCH(1,(xlRTTYENDU=1)*(xlRTTYEQCL=$D721)*(xlRTEQTYPE=$E721),0))</f>
        <v>GEO_HP3</v>
      </c>
      <c r="Y721" s="153" t="str">
        <f t="array" ref="Y721">INDEX(xlRTTYNAME,MATCH(1,(xlRTTYENDU=2)*(xlRTTYEQCL=$F721)*(xlRTEQTYPE=$G721),0))</f>
        <v>GEO_HP3</v>
      </c>
    </row>
    <row r="722" spans="2:25" x14ac:dyDescent="0.2">
      <c r="B722" s="49">
        <v>4</v>
      </c>
      <c r="C722" s="49">
        <v>1</v>
      </c>
      <c r="D722" s="49">
        <v>10</v>
      </c>
      <c r="E722" s="49">
        <v>34</v>
      </c>
      <c r="F722" s="49">
        <v>4</v>
      </c>
      <c r="G722" s="49">
        <v>15</v>
      </c>
      <c r="H722" s="49">
        <v>2023</v>
      </c>
      <c r="I722" s="49">
        <v>2032</v>
      </c>
      <c r="J722" s="50">
        <v>1.0781000000000001</v>
      </c>
      <c r="K722" s="50">
        <v>1.087</v>
      </c>
      <c r="L722" s="50">
        <v>0.43419999999999997</v>
      </c>
      <c r="M722" s="50">
        <v>0.83850000000000002</v>
      </c>
      <c r="N722" s="50">
        <v>0.84850000000000003</v>
      </c>
      <c r="O722" s="50">
        <v>1.0538000000000001</v>
      </c>
      <c r="P722" s="49">
        <v>7856</v>
      </c>
      <c r="Q722" s="51">
        <f t="array" ref="Q722">SUM(IF(($S722&gt;=4)*($C722='TaxCred&amp;Subs'!$D$123:$D$127)*($H722='TaxCred&amp;Subs'!$C$123:$C$127)*($H722&lt;='TaxCred&amp;Subs'!$C$129),'TaxCred&amp;Subs'!$E$123:$E$127,0))</f>
        <v>2500</v>
      </c>
      <c r="R722" s="171">
        <v>0</v>
      </c>
      <c r="S722" s="49">
        <v>4</v>
      </c>
      <c r="T722" s="49" t="s">
        <v>248</v>
      </c>
      <c r="V722" s="153" t="str">
        <f t="array" ref="V722">INDEX(xlRTCLNAME,MATCH(1,(xlRTCLENDU=1)*(xlRTCLEQCL=$D722),0))</f>
        <v>GEO_HP</v>
      </c>
      <c r="W722" s="153" t="str">
        <f t="array" ref="W722">INDEX(xlRTCLNAME,MATCH(1,(xlRTCLENDU=2)*(xlRTCLEQCL=$F722),0))</f>
        <v>GEO_HP</v>
      </c>
      <c r="X722" s="153" t="str">
        <f t="array" ref="X722">INDEX(xlRTTYNAME,MATCH(1,(xlRTTYENDU=1)*(xlRTTYEQCL=$D722)*(xlRTEQTYPE=$E722),0))</f>
        <v>GEO_HP3</v>
      </c>
      <c r="Y722" s="153" t="str">
        <f t="array" ref="Y722">INDEX(xlRTTYNAME,MATCH(1,(xlRTTYENDU=2)*(xlRTTYEQCL=$F722)*(xlRTEQTYPE=$G722),0))</f>
        <v>GEO_HP3</v>
      </c>
    </row>
    <row r="723" spans="2:25" x14ac:dyDescent="0.2">
      <c r="B723" s="126">
        <v>4</v>
      </c>
      <c r="C723" s="126">
        <v>1</v>
      </c>
      <c r="D723" s="126">
        <v>10</v>
      </c>
      <c r="E723" s="126">
        <v>34</v>
      </c>
      <c r="F723" s="126">
        <v>4</v>
      </c>
      <c r="G723" s="126">
        <v>15</v>
      </c>
      <c r="H723" s="159">
        <v>2033</v>
      </c>
      <c r="I723" s="126">
        <v>2050</v>
      </c>
      <c r="J723" s="127">
        <v>1.0781000000000001</v>
      </c>
      <c r="K723" s="127">
        <v>1.087</v>
      </c>
      <c r="L723" s="127">
        <v>0.43419999999999997</v>
      </c>
      <c r="M723" s="127">
        <v>0.83850000000000002</v>
      </c>
      <c r="N723" s="127">
        <v>0.84850000000000003</v>
      </c>
      <c r="O723" s="127">
        <v>1.0538000000000001</v>
      </c>
      <c r="P723" s="126">
        <v>7856</v>
      </c>
      <c r="Q723" s="128">
        <f t="array" ref="Q723">SUM(IF(($S723&gt;=4)*($C723='TaxCred&amp;Subs'!$D$123:$D$127)*($H723='TaxCred&amp;Subs'!$C$123:$C$127)*($H723&lt;='TaxCred&amp;Subs'!$C$129),'TaxCred&amp;Subs'!$E$123:$E$127,0))</f>
        <v>0</v>
      </c>
      <c r="R723" s="174">
        <v>0</v>
      </c>
      <c r="S723" s="126">
        <v>4</v>
      </c>
      <c r="T723" s="126" t="s">
        <v>248</v>
      </c>
      <c r="V723" s="153" t="str">
        <f t="array" ref="V723">INDEX(xlRTCLNAME,MATCH(1,(xlRTCLENDU=1)*(xlRTCLEQCL=$D723),0))</f>
        <v>GEO_HP</v>
      </c>
      <c r="W723" s="153" t="str">
        <f t="array" ref="W723">INDEX(xlRTCLNAME,MATCH(1,(xlRTCLENDU=2)*(xlRTCLEQCL=$F723),0))</f>
        <v>GEO_HP</v>
      </c>
      <c r="X723" s="153" t="str">
        <f t="array" ref="X723">INDEX(xlRTTYNAME,MATCH(1,(xlRTTYENDU=1)*(xlRTTYEQCL=$D723)*(xlRTEQTYPE=$E723),0))</f>
        <v>GEO_HP3</v>
      </c>
      <c r="Y723" s="153" t="str">
        <f t="array" ref="Y723">INDEX(xlRTTYNAME,MATCH(1,(xlRTTYENDU=2)*(xlRTTYEQCL=$F723)*(xlRTEQTYPE=$G723),0))</f>
        <v>GEO_HP3</v>
      </c>
    </row>
    <row r="724" spans="2:25" x14ac:dyDescent="0.2">
      <c r="B724" s="126">
        <v>5</v>
      </c>
      <c r="C724" s="126">
        <v>1</v>
      </c>
      <c r="D724" s="126">
        <v>10</v>
      </c>
      <c r="E724" s="126">
        <v>34</v>
      </c>
      <c r="F724" s="126">
        <v>4</v>
      </c>
      <c r="G724" s="126">
        <v>15</v>
      </c>
      <c r="H724" s="126">
        <v>2016</v>
      </c>
      <c r="I724" s="159">
        <v>2022</v>
      </c>
      <c r="J724" s="127">
        <v>1.0843</v>
      </c>
      <c r="K724" s="127">
        <v>1.0722</v>
      </c>
      <c r="L724" s="127">
        <v>0.60219999999999996</v>
      </c>
      <c r="M724" s="127">
        <v>0.83479999999999999</v>
      </c>
      <c r="N724" s="127">
        <v>0.76049999999999995</v>
      </c>
      <c r="O724" s="127">
        <v>1.0538000000000001</v>
      </c>
      <c r="P724" s="126">
        <v>7354</v>
      </c>
      <c r="Q724" s="128">
        <f t="array" ref="Q724">SUM(IF(($S724&gt;=4)*($C724='TaxCred&amp;Subs'!$D$123:$D$127)*($H724='TaxCred&amp;Subs'!$C$123:$C$127)*($H724&lt;='TaxCred&amp;Subs'!$C$129),'TaxCred&amp;Subs'!$E$123:$E$127,0))</f>
        <v>2000</v>
      </c>
      <c r="R724" s="174">
        <v>0</v>
      </c>
      <c r="S724" s="126">
        <v>4</v>
      </c>
      <c r="T724" s="126" t="s">
        <v>248</v>
      </c>
      <c r="V724" s="153" t="str">
        <f t="array" ref="V724">INDEX(xlRTCLNAME,MATCH(1,(xlRTCLENDU=1)*(xlRTCLEQCL=$D724),0))</f>
        <v>GEO_HP</v>
      </c>
      <c r="W724" s="153" t="str">
        <f t="array" ref="W724">INDEX(xlRTCLNAME,MATCH(1,(xlRTCLENDU=2)*(xlRTCLEQCL=$F724),0))</f>
        <v>GEO_HP</v>
      </c>
      <c r="X724" s="153" t="str">
        <f t="array" ref="X724">INDEX(xlRTTYNAME,MATCH(1,(xlRTTYENDU=1)*(xlRTTYEQCL=$D724)*(xlRTEQTYPE=$E724),0))</f>
        <v>GEO_HP3</v>
      </c>
      <c r="Y724" s="153" t="str">
        <f t="array" ref="Y724">INDEX(xlRTTYNAME,MATCH(1,(xlRTTYENDU=2)*(xlRTTYEQCL=$F724)*(xlRTEQTYPE=$G724),0))</f>
        <v>GEO_HP3</v>
      </c>
    </row>
    <row r="725" spans="2:25" x14ac:dyDescent="0.2">
      <c r="B725" s="49">
        <v>5</v>
      </c>
      <c r="C725" s="49">
        <v>1</v>
      </c>
      <c r="D725" s="49">
        <v>10</v>
      </c>
      <c r="E725" s="49">
        <v>34</v>
      </c>
      <c r="F725" s="49">
        <v>4</v>
      </c>
      <c r="G725" s="49">
        <v>15</v>
      </c>
      <c r="H725" s="49">
        <v>2023</v>
      </c>
      <c r="I725" s="49">
        <v>2032</v>
      </c>
      <c r="J725" s="50">
        <v>1.0843</v>
      </c>
      <c r="K725" s="50">
        <v>1.0722</v>
      </c>
      <c r="L725" s="50">
        <v>0.60219999999999996</v>
      </c>
      <c r="M725" s="50">
        <v>0.83479999999999999</v>
      </c>
      <c r="N725" s="50">
        <v>0.76049999999999995</v>
      </c>
      <c r="O725" s="50">
        <v>1.0538000000000001</v>
      </c>
      <c r="P725" s="49">
        <v>7354</v>
      </c>
      <c r="Q725" s="51">
        <f t="array" ref="Q725">SUM(IF(($S725&gt;=4)*($C725='TaxCred&amp;Subs'!$D$123:$D$127)*($H725='TaxCred&amp;Subs'!$C$123:$C$127)*($H725&lt;='TaxCred&amp;Subs'!$C$129),'TaxCred&amp;Subs'!$E$123:$E$127,0))</f>
        <v>2500</v>
      </c>
      <c r="R725" s="171">
        <v>0</v>
      </c>
      <c r="S725" s="49">
        <v>4</v>
      </c>
      <c r="T725" s="49" t="s">
        <v>248</v>
      </c>
      <c r="V725" s="153" t="str">
        <f t="array" ref="V725">INDEX(xlRTCLNAME,MATCH(1,(xlRTCLENDU=1)*(xlRTCLEQCL=$D725),0))</f>
        <v>GEO_HP</v>
      </c>
      <c r="W725" s="153" t="str">
        <f t="array" ref="W725">INDEX(xlRTCLNAME,MATCH(1,(xlRTCLENDU=2)*(xlRTCLEQCL=$F725),0))</f>
        <v>GEO_HP</v>
      </c>
      <c r="X725" s="153" t="str">
        <f t="array" ref="X725">INDEX(xlRTTYNAME,MATCH(1,(xlRTTYENDU=1)*(xlRTTYEQCL=$D725)*(xlRTEQTYPE=$E725),0))</f>
        <v>GEO_HP3</v>
      </c>
      <c r="Y725" s="153" t="str">
        <f t="array" ref="Y725">INDEX(xlRTTYNAME,MATCH(1,(xlRTTYENDU=2)*(xlRTTYEQCL=$F725)*(xlRTEQTYPE=$G725),0))</f>
        <v>GEO_HP3</v>
      </c>
    </row>
    <row r="726" spans="2:25" x14ac:dyDescent="0.2">
      <c r="B726" s="126">
        <v>5</v>
      </c>
      <c r="C726" s="126">
        <v>1</v>
      </c>
      <c r="D726" s="126">
        <v>10</v>
      </c>
      <c r="E726" s="126">
        <v>34</v>
      </c>
      <c r="F726" s="126">
        <v>4</v>
      </c>
      <c r="G726" s="126">
        <v>15</v>
      </c>
      <c r="H726" s="159">
        <v>2033</v>
      </c>
      <c r="I726" s="126">
        <v>2050</v>
      </c>
      <c r="J726" s="127">
        <v>1.0843</v>
      </c>
      <c r="K726" s="127">
        <v>1.0722</v>
      </c>
      <c r="L726" s="127">
        <v>0.60219999999999996</v>
      </c>
      <c r="M726" s="127">
        <v>0.83479999999999999</v>
      </c>
      <c r="N726" s="127">
        <v>0.76049999999999995</v>
      </c>
      <c r="O726" s="127">
        <v>1.0538000000000001</v>
      </c>
      <c r="P726" s="126">
        <v>7354</v>
      </c>
      <c r="Q726" s="128">
        <f t="array" ref="Q726">SUM(IF(($S726&gt;=4)*($C726='TaxCred&amp;Subs'!$D$123:$D$127)*($H726='TaxCred&amp;Subs'!$C$123:$C$127)*($H726&lt;='TaxCred&amp;Subs'!$C$129),'TaxCred&amp;Subs'!$E$123:$E$127,0))</f>
        <v>0</v>
      </c>
      <c r="R726" s="174">
        <v>0</v>
      </c>
      <c r="S726" s="126">
        <v>4</v>
      </c>
      <c r="T726" s="126" t="s">
        <v>248</v>
      </c>
      <c r="V726" s="153" t="str">
        <f t="array" ref="V726">INDEX(xlRTCLNAME,MATCH(1,(xlRTCLENDU=1)*(xlRTCLEQCL=$D726),0))</f>
        <v>GEO_HP</v>
      </c>
      <c r="W726" s="153" t="str">
        <f t="array" ref="W726">INDEX(xlRTCLNAME,MATCH(1,(xlRTCLENDU=2)*(xlRTCLEQCL=$F726),0))</f>
        <v>GEO_HP</v>
      </c>
      <c r="X726" s="153" t="str">
        <f t="array" ref="X726">INDEX(xlRTTYNAME,MATCH(1,(xlRTTYENDU=1)*(xlRTTYEQCL=$D726)*(xlRTEQTYPE=$E726),0))</f>
        <v>GEO_HP3</v>
      </c>
      <c r="Y726" s="153" t="str">
        <f t="array" ref="Y726">INDEX(xlRTTYNAME,MATCH(1,(xlRTTYENDU=2)*(xlRTTYEQCL=$F726)*(xlRTEQTYPE=$G726),0))</f>
        <v>GEO_HP3</v>
      </c>
    </row>
    <row r="727" spans="2:25" x14ac:dyDescent="0.2">
      <c r="B727" s="126">
        <v>6</v>
      </c>
      <c r="C727" s="126">
        <v>1</v>
      </c>
      <c r="D727" s="126">
        <v>10</v>
      </c>
      <c r="E727" s="126">
        <v>34</v>
      </c>
      <c r="F727" s="126">
        <v>4</v>
      </c>
      <c r="G727" s="126">
        <v>15</v>
      </c>
      <c r="H727" s="126">
        <v>2016</v>
      </c>
      <c r="I727" s="159">
        <v>2022</v>
      </c>
      <c r="J727" s="127">
        <v>1.0982000000000001</v>
      </c>
      <c r="K727" s="127">
        <v>1.0805</v>
      </c>
      <c r="L727" s="127">
        <v>0.45900000000000002</v>
      </c>
      <c r="M727" s="127">
        <v>0.76590000000000003</v>
      </c>
      <c r="N727" s="127">
        <v>0.88680000000000003</v>
      </c>
      <c r="O727" s="127">
        <v>1.0538000000000001</v>
      </c>
      <c r="P727" s="126">
        <v>6323</v>
      </c>
      <c r="Q727" s="128">
        <f t="array" ref="Q727">SUM(IF(($S727&gt;=4)*($C727='TaxCred&amp;Subs'!$D$123:$D$127)*($H727='TaxCred&amp;Subs'!$C$123:$C$127)*($H727&lt;='TaxCred&amp;Subs'!$C$129),'TaxCred&amp;Subs'!$E$123:$E$127,0))</f>
        <v>2000</v>
      </c>
      <c r="R727" s="174">
        <v>0</v>
      </c>
      <c r="S727" s="126">
        <v>4</v>
      </c>
      <c r="T727" s="126" t="s">
        <v>248</v>
      </c>
      <c r="V727" s="153" t="str">
        <f t="array" ref="V727">INDEX(xlRTCLNAME,MATCH(1,(xlRTCLENDU=1)*(xlRTCLEQCL=$D727),0))</f>
        <v>GEO_HP</v>
      </c>
      <c r="W727" s="153" t="str">
        <f t="array" ref="W727">INDEX(xlRTCLNAME,MATCH(1,(xlRTCLENDU=2)*(xlRTCLEQCL=$F727),0))</f>
        <v>GEO_HP</v>
      </c>
      <c r="X727" s="153" t="str">
        <f t="array" ref="X727">INDEX(xlRTTYNAME,MATCH(1,(xlRTTYENDU=1)*(xlRTTYEQCL=$D727)*(xlRTEQTYPE=$E727),0))</f>
        <v>GEO_HP3</v>
      </c>
      <c r="Y727" s="153" t="str">
        <f t="array" ref="Y727">INDEX(xlRTTYNAME,MATCH(1,(xlRTTYENDU=2)*(xlRTTYEQCL=$F727)*(xlRTEQTYPE=$G727),0))</f>
        <v>GEO_HP3</v>
      </c>
    </row>
    <row r="728" spans="2:25" x14ac:dyDescent="0.2">
      <c r="B728" s="49">
        <v>6</v>
      </c>
      <c r="C728" s="49">
        <v>1</v>
      </c>
      <c r="D728" s="49">
        <v>10</v>
      </c>
      <c r="E728" s="49">
        <v>34</v>
      </c>
      <c r="F728" s="49">
        <v>4</v>
      </c>
      <c r="G728" s="49">
        <v>15</v>
      </c>
      <c r="H728" s="49">
        <v>2023</v>
      </c>
      <c r="I728" s="49">
        <v>2032</v>
      </c>
      <c r="J728" s="50">
        <v>1.0982000000000001</v>
      </c>
      <c r="K728" s="50">
        <v>1.0805</v>
      </c>
      <c r="L728" s="50">
        <v>0.45900000000000002</v>
      </c>
      <c r="M728" s="50">
        <v>0.76590000000000003</v>
      </c>
      <c r="N728" s="50">
        <v>0.88680000000000003</v>
      </c>
      <c r="O728" s="50">
        <v>1.0538000000000001</v>
      </c>
      <c r="P728" s="49">
        <v>6323</v>
      </c>
      <c r="Q728" s="51">
        <f t="array" ref="Q728">SUM(IF(($S728&gt;=4)*($C728='TaxCred&amp;Subs'!$D$123:$D$127)*($H728='TaxCred&amp;Subs'!$C$123:$C$127)*($H728&lt;='TaxCred&amp;Subs'!$C$129),'TaxCred&amp;Subs'!$E$123:$E$127,0))</f>
        <v>2500</v>
      </c>
      <c r="R728" s="171">
        <v>0</v>
      </c>
      <c r="S728" s="49">
        <v>4</v>
      </c>
      <c r="T728" s="49" t="s">
        <v>248</v>
      </c>
      <c r="V728" s="153" t="str">
        <f t="array" ref="V728">INDEX(xlRTCLNAME,MATCH(1,(xlRTCLENDU=1)*(xlRTCLEQCL=$D728),0))</f>
        <v>GEO_HP</v>
      </c>
      <c r="W728" s="153" t="str">
        <f t="array" ref="W728">INDEX(xlRTCLNAME,MATCH(1,(xlRTCLENDU=2)*(xlRTCLEQCL=$F728),0))</f>
        <v>GEO_HP</v>
      </c>
      <c r="X728" s="153" t="str">
        <f t="array" ref="X728">INDEX(xlRTTYNAME,MATCH(1,(xlRTTYENDU=1)*(xlRTTYEQCL=$D728)*(xlRTEQTYPE=$E728),0))</f>
        <v>GEO_HP3</v>
      </c>
      <c r="Y728" s="153" t="str">
        <f t="array" ref="Y728">INDEX(xlRTTYNAME,MATCH(1,(xlRTTYENDU=2)*(xlRTTYEQCL=$F728)*(xlRTEQTYPE=$G728),0))</f>
        <v>GEO_HP3</v>
      </c>
    </row>
    <row r="729" spans="2:25" x14ac:dyDescent="0.2">
      <c r="B729" s="126">
        <v>6</v>
      </c>
      <c r="C729" s="126">
        <v>1</v>
      </c>
      <c r="D729" s="126">
        <v>10</v>
      </c>
      <c r="E729" s="126">
        <v>34</v>
      </c>
      <c r="F729" s="126">
        <v>4</v>
      </c>
      <c r="G729" s="126">
        <v>15</v>
      </c>
      <c r="H729" s="159">
        <v>2033</v>
      </c>
      <c r="I729" s="126">
        <v>2050</v>
      </c>
      <c r="J729" s="127">
        <v>1.0982000000000001</v>
      </c>
      <c r="K729" s="127">
        <v>1.0805</v>
      </c>
      <c r="L729" s="127">
        <v>0.45900000000000002</v>
      </c>
      <c r="M729" s="127">
        <v>0.76590000000000003</v>
      </c>
      <c r="N729" s="127">
        <v>0.88680000000000003</v>
      </c>
      <c r="O729" s="127">
        <v>1.0538000000000001</v>
      </c>
      <c r="P729" s="126">
        <v>6323</v>
      </c>
      <c r="Q729" s="128">
        <f t="array" ref="Q729">SUM(IF(($S729&gt;=4)*($C729='TaxCred&amp;Subs'!$D$123:$D$127)*($H729='TaxCred&amp;Subs'!$C$123:$C$127)*($H729&lt;='TaxCred&amp;Subs'!$C$129),'TaxCred&amp;Subs'!$E$123:$E$127,0))</f>
        <v>0</v>
      </c>
      <c r="R729" s="174">
        <v>0</v>
      </c>
      <c r="S729" s="126">
        <v>4</v>
      </c>
      <c r="T729" s="126" t="s">
        <v>248</v>
      </c>
      <c r="V729" s="153" t="str">
        <f t="array" ref="V729">INDEX(xlRTCLNAME,MATCH(1,(xlRTCLENDU=1)*(xlRTCLEQCL=$D729),0))</f>
        <v>GEO_HP</v>
      </c>
      <c r="W729" s="153" t="str">
        <f t="array" ref="W729">INDEX(xlRTCLNAME,MATCH(1,(xlRTCLENDU=2)*(xlRTCLEQCL=$F729),0))</f>
        <v>GEO_HP</v>
      </c>
      <c r="X729" s="153" t="str">
        <f t="array" ref="X729">INDEX(xlRTTYNAME,MATCH(1,(xlRTTYENDU=1)*(xlRTTYEQCL=$D729)*(xlRTEQTYPE=$E729),0))</f>
        <v>GEO_HP3</v>
      </c>
      <c r="Y729" s="153" t="str">
        <f t="array" ref="Y729">INDEX(xlRTTYNAME,MATCH(1,(xlRTTYENDU=2)*(xlRTTYEQCL=$F729)*(xlRTEQTYPE=$G729),0))</f>
        <v>GEO_HP3</v>
      </c>
    </row>
    <row r="730" spans="2:25" x14ac:dyDescent="0.2">
      <c r="B730" s="126">
        <v>7</v>
      </c>
      <c r="C730" s="126">
        <v>1</v>
      </c>
      <c r="D730" s="126">
        <v>10</v>
      </c>
      <c r="E730" s="126">
        <v>34</v>
      </c>
      <c r="F730" s="126">
        <v>4</v>
      </c>
      <c r="G730" s="126">
        <v>15</v>
      </c>
      <c r="H730" s="126">
        <v>2016</v>
      </c>
      <c r="I730" s="159">
        <v>2022</v>
      </c>
      <c r="J730" s="127">
        <v>1.1200000000000001</v>
      </c>
      <c r="K730" s="127">
        <v>1.0769</v>
      </c>
      <c r="L730" s="127">
        <v>0.52949999999999997</v>
      </c>
      <c r="M730" s="127">
        <v>0.72550000000000003</v>
      </c>
      <c r="N730" s="127">
        <v>0.8871</v>
      </c>
      <c r="O730" s="127">
        <v>1.0538000000000001</v>
      </c>
      <c r="P730" s="126">
        <v>8486</v>
      </c>
      <c r="Q730" s="128">
        <f t="array" ref="Q730">SUM(IF(($S730&gt;=4)*($C730='TaxCred&amp;Subs'!$D$123:$D$127)*($H730='TaxCred&amp;Subs'!$C$123:$C$127)*($H730&lt;='TaxCred&amp;Subs'!$C$129),'TaxCred&amp;Subs'!$E$123:$E$127,0))</f>
        <v>2000</v>
      </c>
      <c r="R730" s="174">
        <v>0</v>
      </c>
      <c r="S730" s="126">
        <v>4</v>
      </c>
      <c r="T730" s="126" t="s">
        <v>248</v>
      </c>
      <c r="V730" s="153" t="str">
        <f t="array" ref="V730">INDEX(xlRTCLNAME,MATCH(1,(xlRTCLENDU=1)*(xlRTCLEQCL=$D730),0))</f>
        <v>GEO_HP</v>
      </c>
      <c r="W730" s="153" t="str">
        <f t="array" ref="W730">INDEX(xlRTCLNAME,MATCH(1,(xlRTCLENDU=2)*(xlRTCLEQCL=$F730),0))</f>
        <v>GEO_HP</v>
      </c>
      <c r="X730" s="153" t="str">
        <f t="array" ref="X730">INDEX(xlRTTYNAME,MATCH(1,(xlRTTYENDU=1)*(xlRTTYEQCL=$D730)*(xlRTEQTYPE=$E730),0))</f>
        <v>GEO_HP3</v>
      </c>
      <c r="Y730" s="153" t="str">
        <f t="array" ref="Y730">INDEX(xlRTTYNAME,MATCH(1,(xlRTTYENDU=2)*(xlRTTYEQCL=$F730)*(xlRTEQTYPE=$G730),0))</f>
        <v>GEO_HP3</v>
      </c>
    </row>
    <row r="731" spans="2:25" x14ac:dyDescent="0.2">
      <c r="B731" s="49">
        <v>7</v>
      </c>
      <c r="C731" s="49">
        <v>1</v>
      </c>
      <c r="D731" s="49">
        <v>10</v>
      </c>
      <c r="E731" s="49">
        <v>34</v>
      </c>
      <c r="F731" s="49">
        <v>4</v>
      </c>
      <c r="G731" s="49">
        <v>15</v>
      </c>
      <c r="H731" s="49">
        <v>2023</v>
      </c>
      <c r="I731" s="49">
        <v>2032</v>
      </c>
      <c r="J731" s="50">
        <v>1.1200000000000001</v>
      </c>
      <c r="K731" s="50">
        <v>1.0769</v>
      </c>
      <c r="L731" s="50">
        <v>0.52949999999999997</v>
      </c>
      <c r="M731" s="50">
        <v>0.72550000000000003</v>
      </c>
      <c r="N731" s="50">
        <v>0.8871</v>
      </c>
      <c r="O731" s="50">
        <v>1.0538000000000001</v>
      </c>
      <c r="P731" s="49">
        <v>8486</v>
      </c>
      <c r="Q731" s="51">
        <f t="array" ref="Q731">SUM(IF(($S731&gt;=4)*($C731='TaxCred&amp;Subs'!$D$123:$D$127)*($H731='TaxCred&amp;Subs'!$C$123:$C$127)*($H731&lt;='TaxCred&amp;Subs'!$C$129),'TaxCred&amp;Subs'!$E$123:$E$127,0))</f>
        <v>2500</v>
      </c>
      <c r="R731" s="171">
        <v>0</v>
      </c>
      <c r="S731" s="49">
        <v>4</v>
      </c>
      <c r="T731" s="49" t="s">
        <v>248</v>
      </c>
      <c r="V731" s="153" t="str">
        <f t="array" ref="V731">INDEX(xlRTCLNAME,MATCH(1,(xlRTCLENDU=1)*(xlRTCLEQCL=$D731),0))</f>
        <v>GEO_HP</v>
      </c>
      <c r="W731" s="153" t="str">
        <f t="array" ref="W731">INDEX(xlRTCLNAME,MATCH(1,(xlRTCLENDU=2)*(xlRTCLEQCL=$F731),0))</f>
        <v>GEO_HP</v>
      </c>
      <c r="X731" s="153" t="str">
        <f t="array" ref="X731">INDEX(xlRTTYNAME,MATCH(1,(xlRTTYENDU=1)*(xlRTTYEQCL=$D731)*(xlRTEQTYPE=$E731),0))</f>
        <v>GEO_HP3</v>
      </c>
      <c r="Y731" s="153" t="str">
        <f t="array" ref="Y731">INDEX(xlRTTYNAME,MATCH(1,(xlRTTYENDU=2)*(xlRTTYEQCL=$F731)*(xlRTEQTYPE=$G731),0))</f>
        <v>GEO_HP3</v>
      </c>
    </row>
    <row r="732" spans="2:25" x14ac:dyDescent="0.2">
      <c r="B732" s="126">
        <v>7</v>
      </c>
      <c r="C732" s="126">
        <v>1</v>
      </c>
      <c r="D732" s="126">
        <v>10</v>
      </c>
      <c r="E732" s="126">
        <v>34</v>
      </c>
      <c r="F732" s="126">
        <v>4</v>
      </c>
      <c r="G732" s="126">
        <v>15</v>
      </c>
      <c r="H732" s="159">
        <v>2033</v>
      </c>
      <c r="I732" s="126">
        <v>2050</v>
      </c>
      <c r="J732" s="127">
        <v>1.1200000000000001</v>
      </c>
      <c r="K732" s="127">
        <v>1.0769</v>
      </c>
      <c r="L732" s="127">
        <v>0.52949999999999997</v>
      </c>
      <c r="M732" s="127">
        <v>0.72550000000000003</v>
      </c>
      <c r="N732" s="127">
        <v>0.8871</v>
      </c>
      <c r="O732" s="127">
        <v>1.0538000000000001</v>
      </c>
      <c r="P732" s="126">
        <v>8486</v>
      </c>
      <c r="Q732" s="128">
        <f t="array" ref="Q732">SUM(IF(($S732&gt;=4)*($C732='TaxCred&amp;Subs'!$D$123:$D$127)*($H732='TaxCred&amp;Subs'!$C$123:$C$127)*($H732&lt;='TaxCred&amp;Subs'!$C$129),'TaxCred&amp;Subs'!$E$123:$E$127,0))</f>
        <v>0</v>
      </c>
      <c r="R732" s="174">
        <v>0</v>
      </c>
      <c r="S732" s="126">
        <v>4</v>
      </c>
      <c r="T732" s="126" t="s">
        <v>248</v>
      </c>
      <c r="V732" s="153" t="str">
        <f t="array" ref="V732">INDEX(xlRTCLNAME,MATCH(1,(xlRTCLENDU=1)*(xlRTCLEQCL=$D732),0))</f>
        <v>GEO_HP</v>
      </c>
      <c r="W732" s="153" t="str">
        <f t="array" ref="W732">INDEX(xlRTCLNAME,MATCH(1,(xlRTCLENDU=2)*(xlRTCLEQCL=$F732),0))</f>
        <v>GEO_HP</v>
      </c>
      <c r="X732" s="153" t="str">
        <f t="array" ref="X732">INDEX(xlRTTYNAME,MATCH(1,(xlRTTYENDU=1)*(xlRTTYEQCL=$D732)*(xlRTEQTYPE=$E732),0))</f>
        <v>GEO_HP3</v>
      </c>
      <c r="Y732" s="153" t="str">
        <f t="array" ref="Y732">INDEX(xlRTTYNAME,MATCH(1,(xlRTTYENDU=2)*(xlRTTYEQCL=$F732)*(xlRTEQTYPE=$G732),0))</f>
        <v>GEO_HP3</v>
      </c>
    </row>
    <row r="733" spans="2:25" x14ac:dyDescent="0.2">
      <c r="B733" s="126">
        <v>8</v>
      </c>
      <c r="C733" s="126">
        <v>1</v>
      </c>
      <c r="D733" s="126">
        <v>10</v>
      </c>
      <c r="E733" s="126">
        <v>34</v>
      </c>
      <c r="F733" s="126">
        <v>4</v>
      </c>
      <c r="G733" s="126">
        <v>15</v>
      </c>
      <c r="H733" s="126">
        <v>2016</v>
      </c>
      <c r="I733" s="159">
        <v>2022</v>
      </c>
      <c r="J733" s="127">
        <v>1.0417000000000001</v>
      </c>
      <c r="K733" s="127">
        <v>1.0667</v>
      </c>
      <c r="L733" s="127">
        <v>0.46510000000000001</v>
      </c>
      <c r="M733" s="127">
        <v>0.7732</v>
      </c>
      <c r="N733" s="127">
        <v>0.88300000000000001</v>
      </c>
      <c r="O733" s="127">
        <v>1.0538000000000001</v>
      </c>
      <c r="P733" s="126">
        <v>11302</v>
      </c>
      <c r="Q733" s="128">
        <f t="array" ref="Q733">SUM(IF(($S733&gt;=4)*($C733='TaxCred&amp;Subs'!$D$123:$D$127)*($H733='TaxCred&amp;Subs'!$C$123:$C$127)*($H733&lt;='TaxCred&amp;Subs'!$C$129),'TaxCred&amp;Subs'!$E$123:$E$127,0))</f>
        <v>2000</v>
      </c>
      <c r="R733" s="174">
        <v>0</v>
      </c>
      <c r="S733" s="126">
        <v>4</v>
      </c>
      <c r="T733" s="126" t="s">
        <v>248</v>
      </c>
      <c r="V733" s="153" t="str">
        <f t="array" ref="V733">INDEX(xlRTCLNAME,MATCH(1,(xlRTCLENDU=1)*(xlRTCLEQCL=$D733),0))</f>
        <v>GEO_HP</v>
      </c>
      <c r="W733" s="153" t="str">
        <f t="array" ref="W733">INDEX(xlRTCLNAME,MATCH(1,(xlRTCLENDU=2)*(xlRTCLEQCL=$F733),0))</f>
        <v>GEO_HP</v>
      </c>
      <c r="X733" s="153" t="str">
        <f t="array" ref="X733">INDEX(xlRTTYNAME,MATCH(1,(xlRTTYENDU=1)*(xlRTTYEQCL=$D733)*(xlRTEQTYPE=$E733),0))</f>
        <v>GEO_HP3</v>
      </c>
      <c r="Y733" s="153" t="str">
        <f t="array" ref="Y733">INDEX(xlRTTYNAME,MATCH(1,(xlRTTYENDU=2)*(xlRTTYEQCL=$F733)*(xlRTEQTYPE=$G733),0))</f>
        <v>GEO_HP3</v>
      </c>
    </row>
    <row r="734" spans="2:25" x14ac:dyDescent="0.2">
      <c r="B734" s="49">
        <v>8</v>
      </c>
      <c r="C734" s="49">
        <v>1</v>
      </c>
      <c r="D734" s="49">
        <v>10</v>
      </c>
      <c r="E734" s="49">
        <v>34</v>
      </c>
      <c r="F734" s="49">
        <v>4</v>
      </c>
      <c r="G734" s="49">
        <v>15</v>
      </c>
      <c r="H734" s="49">
        <v>2023</v>
      </c>
      <c r="I734" s="49">
        <v>2032</v>
      </c>
      <c r="J734" s="50">
        <v>1.0417000000000001</v>
      </c>
      <c r="K734" s="50">
        <v>1.0667</v>
      </c>
      <c r="L734" s="50">
        <v>0.46510000000000001</v>
      </c>
      <c r="M734" s="50">
        <v>0.7732</v>
      </c>
      <c r="N734" s="50">
        <v>0.88300000000000001</v>
      </c>
      <c r="O734" s="50">
        <v>1.0538000000000001</v>
      </c>
      <c r="P734" s="49">
        <v>11302</v>
      </c>
      <c r="Q734" s="51">
        <f t="array" ref="Q734">SUM(IF(($S734&gt;=4)*($C734='TaxCred&amp;Subs'!$D$123:$D$127)*($H734='TaxCred&amp;Subs'!$C$123:$C$127)*($H734&lt;='TaxCred&amp;Subs'!$C$129),'TaxCred&amp;Subs'!$E$123:$E$127,0))</f>
        <v>2500</v>
      </c>
      <c r="R734" s="171">
        <v>0</v>
      </c>
      <c r="S734" s="49">
        <v>4</v>
      </c>
      <c r="T734" s="49" t="s">
        <v>248</v>
      </c>
      <c r="V734" s="153" t="str">
        <f t="array" ref="V734">INDEX(xlRTCLNAME,MATCH(1,(xlRTCLENDU=1)*(xlRTCLEQCL=$D734),0))</f>
        <v>GEO_HP</v>
      </c>
      <c r="W734" s="153" t="str">
        <f t="array" ref="W734">INDEX(xlRTCLNAME,MATCH(1,(xlRTCLENDU=2)*(xlRTCLEQCL=$F734),0))</f>
        <v>GEO_HP</v>
      </c>
      <c r="X734" s="153" t="str">
        <f t="array" ref="X734">INDEX(xlRTTYNAME,MATCH(1,(xlRTTYENDU=1)*(xlRTTYEQCL=$D734)*(xlRTEQTYPE=$E734),0))</f>
        <v>GEO_HP3</v>
      </c>
      <c r="Y734" s="153" t="str">
        <f t="array" ref="Y734">INDEX(xlRTTYNAME,MATCH(1,(xlRTTYENDU=2)*(xlRTTYEQCL=$F734)*(xlRTEQTYPE=$G734),0))</f>
        <v>GEO_HP3</v>
      </c>
    </row>
    <row r="735" spans="2:25" x14ac:dyDescent="0.2">
      <c r="B735" s="126">
        <v>8</v>
      </c>
      <c r="C735" s="126">
        <v>1</v>
      </c>
      <c r="D735" s="126">
        <v>10</v>
      </c>
      <c r="E735" s="126">
        <v>34</v>
      </c>
      <c r="F735" s="126">
        <v>4</v>
      </c>
      <c r="G735" s="126">
        <v>15</v>
      </c>
      <c r="H735" s="159">
        <v>2033</v>
      </c>
      <c r="I735" s="126">
        <v>2050</v>
      </c>
      <c r="J735" s="127">
        <v>1.0417000000000001</v>
      </c>
      <c r="K735" s="127">
        <v>1.0667</v>
      </c>
      <c r="L735" s="127">
        <v>0.46510000000000001</v>
      </c>
      <c r="M735" s="127">
        <v>0.7732</v>
      </c>
      <c r="N735" s="127">
        <v>0.88300000000000001</v>
      </c>
      <c r="O735" s="127">
        <v>1.0538000000000001</v>
      </c>
      <c r="P735" s="126">
        <v>11302</v>
      </c>
      <c r="Q735" s="128">
        <f t="array" ref="Q735">SUM(IF(($S735&gt;=4)*($C735='TaxCred&amp;Subs'!$D$123:$D$127)*($H735='TaxCred&amp;Subs'!$C$123:$C$127)*($H735&lt;='TaxCred&amp;Subs'!$C$129),'TaxCred&amp;Subs'!$E$123:$E$127,0))</f>
        <v>0</v>
      </c>
      <c r="R735" s="174">
        <v>0</v>
      </c>
      <c r="S735" s="126">
        <v>4</v>
      </c>
      <c r="T735" s="126" t="s">
        <v>248</v>
      </c>
      <c r="V735" s="153" t="str">
        <f t="array" ref="V735">INDEX(xlRTCLNAME,MATCH(1,(xlRTCLENDU=1)*(xlRTCLEQCL=$D735),0))</f>
        <v>GEO_HP</v>
      </c>
      <c r="W735" s="153" t="str">
        <f t="array" ref="W735">INDEX(xlRTCLNAME,MATCH(1,(xlRTCLENDU=2)*(xlRTCLEQCL=$F735),0))</f>
        <v>GEO_HP</v>
      </c>
      <c r="X735" s="153" t="str">
        <f t="array" ref="X735">INDEX(xlRTTYNAME,MATCH(1,(xlRTTYENDU=1)*(xlRTTYEQCL=$D735)*(xlRTEQTYPE=$E735),0))</f>
        <v>GEO_HP3</v>
      </c>
      <c r="Y735" s="153" t="str">
        <f t="array" ref="Y735">INDEX(xlRTTYNAME,MATCH(1,(xlRTTYENDU=2)*(xlRTTYEQCL=$F735)*(xlRTEQTYPE=$G735),0))</f>
        <v>GEO_HP3</v>
      </c>
    </row>
    <row r="736" spans="2:25" x14ac:dyDescent="0.2">
      <c r="B736" s="126">
        <v>9</v>
      </c>
      <c r="C736" s="126">
        <v>1</v>
      </c>
      <c r="D736" s="126">
        <v>10</v>
      </c>
      <c r="E736" s="126">
        <v>34</v>
      </c>
      <c r="F736" s="126">
        <v>4</v>
      </c>
      <c r="G736" s="126">
        <v>15</v>
      </c>
      <c r="H736" s="126">
        <v>2016</v>
      </c>
      <c r="I736" s="159">
        <v>2022</v>
      </c>
      <c r="J736" s="127">
        <v>1.0611999999999999</v>
      </c>
      <c r="K736" s="127">
        <v>1.0428999999999999</v>
      </c>
      <c r="L736" s="127">
        <v>0.72189999999999999</v>
      </c>
      <c r="M736" s="127">
        <v>0.87170000000000003</v>
      </c>
      <c r="N736" s="127">
        <v>1.0349999999999999</v>
      </c>
      <c r="O736" s="127">
        <v>1.0538000000000001</v>
      </c>
      <c r="P736" s="126">
        <v>9338</v>
      </c>
      <c r="Q736" s="128">
        <f t="array" ref="Q736">SUM(IF(($S736&gt;=4)*($C736='TaxCred&amp;Subs'!$D$123:$D$127)*($H736='TaxCred&amp;Subs'!$C$123:$C$127)*($H736&lt;='TaxCred&amp;Subs'!$C$129),'TaxCred&amp;Subs'!$E$123:$E$127,0))</f>
        <v>2000</v>
      </c>
      <c r="R736" s="174">
        <v>0</v>
      </c>
      <c r="S736" s="126">
        <v>4</v>
      </c>
      <c r="T736" s="126" t="s">
        <v>248</v>
      </c>
      <c r="V736" s="153" t="str">
        <f t="array" ref="V736">INDEX(xlRTCLNAME,MATCH(1,(xlRTCLENDU=1)*(xlRTCLEQCL=$D736),0))</f>
        <v>GEO_HP</v>
      </c>
      <c r="W736" s="153" t="str">
        <f t="array" ref="W736">INDEX(xlRTCLNAME,MATCH(1,(xlRTCLENDU=2)*(xlRTCLEQCL=$F736),0))</f>
        <v>GEO_HP</v>
      </c>
      <c r="X736" s="153" t="str">
        <f t="array" ref="X736">INDEX(xlRTTYNAME,MATCH(1,(xlRTTYENDU=1)*(xlRTTYEQCL=$D736)*(xlRTEQTYPE=$E736),0))</f>
        <v>GEO_HP3</v>
      </c>
      <c r="Y736" s="153" t="str">
        <f t="array" ref="Y736">INDEX(xlRTTYNAME,MATCH(1,(xlRTTYENDU=2)*(xlRTTYEQCL=$F736)*(xlRTEQTYPE=$G736),0))</f>
        <v>GEO_HP3</v>
      </c>
    </row>
    <row r="737" spans="1:25" x14ac:dyDescent="0.2">
      <c r="B737" s="49">
        <v>9</v>
      </c>
      <c r="C737" s="49">
        <v>1</v>
      </c>
      <c r="D737" s="49">
        <v>10</v>
      </c>
      <c r="E737" s="49">
        <v>34</v>
      </c>
      <c r="F737" s="49">
        <v>4</v>
      </c>
      <c r="G737" s="49">
        <v>15</v>
      </c>
      <c r="H737" s="49">
        <v>2023</v>
      </c>
      <c r="I737" s="49">
        <v>2032</v>
      </c>
      <c r="J737" s="50">
        <v>1.0611999999999999</v>
      </c>
      <c r="K737" s="50">
        <v>1.0428999999999999</v>
      </c>
      <c r="L737" s="50">
        <v>0.72189999999999999</v>
      </c>
      <c r="M737" s="50">
        <v>0.87170000000000003</v>
      </c>
      <c r="N737" s="50">
        <v>1.0349999999999999</v>
      </c>
      <c r="O737" s="50">
        <v>1.0538000000000001</v>
      </c>
      <c r="P737" s="49">
        <v>9338</v>
      </c>
      <c r="Q737" s="51">
        <f t="array" ref="Q737">SUM(IF(($S737&gt;=4)*($C737='TaxCred&amp;Subs'!$D$123:$D$127)*($H737='TaxCred&amp;Subs'!$C$123:$C$127)*($H737&lt;='TaxCred&amp;Subs'!$C$129),'TaxCred&amp;Subs'!$E$123:$E$127,0))</f>
        <v>2500</v>
      </c>
      <c r="R737" s="171">
        <v>0</v>
      </c>
      <c r="S737" s="49">
        <v>4</v>
      </c>
      <c r="T737" s="49" t="s">
        <v>248</v>
      </c>
      <c r="V737" s="153" t="str">
        <f t="array" ref="V737">INDEX(xlRTCLNAME,MATCH(1,(xlRTCLENDU=1)*(xlRTCLEQCL=$D737),0))</f>
        <v>GEO_HP</v>
      </c>
      <c r="W737" s="153" t="str">
        <f t="array" ref="W737">INDEX(xlRTCLNAME,MATCH(1,(xlRTCLENDU=2)*(xlRTCLEQCL=$F737),0))</f>
        <v>GEO_HP</v>
      </c>
      <c r="X737" s="153" t="str">
        <f t="array" ref="X737">INDEX(xlRTTYNAME,MATCH(1,(xlRTTYENDU=1)*(xlRTTYEQCL=$D737)*(xlRTEQTYPE=$E737),0))</f>
        <v>GEO_HP3</v>
      </c>
      <c r="Y737" s="153" t="str">
        <f t="array" ref="Y737">INDEX(xlRTTYNAME,MATCH(1,(xlRTTYENDU=2)*(xlRTTYEQCL=$F737)*(xlRTEQTYPE=$G737),0))</f>
        <v>GEO_HP3</v>
      </c>
    </row>
    <row r="738" spans="1:25" x14ac:dyDescent="0.2">
      <c r="B738" s="126">
        <v>9</v>
      </c>
      <c r="C738" s="126">
        <v>1</v>
      </c>
      <c r="D738" s="126">
        <v>10</v>
      </c>
      <c r="E738" s="126">
        <v>34</v>
      </c>
      <c r="F738" s="126">
        <v>4</v>
      </c>
      <c r="G738" s="126">
        <v>15</v>
      </c>
      <c r="H738" s="159">
        <v>2033</v>
      </c>
      <c r="I738" s="126">
        <v>2050</v>
      </c>
      <c r="J738" s="127">
        <v>1.0611999999999999</v>
      </c>
      <c r="K738" s="127">
        <v>1.0428999999999999</v>
      </c>
      <c r="L738" s="127">
        <v>0.72189999999999999</v>
      </c>
      <c r="M738" s="127">
        <v>0.87170000000000003</v>
      </c>
      <c r="N738" s="127">
        <v>1.0349999999999999</v>
      </c>
      <c r="O738" s="127">
        <v>1.0538000000000001</v>
      </c>
      <c r="P738" s="126">
        <v>9338</v>
      </c>
      <c r="Q738" s="128">
        <f t="array" ref="Q738">SUM(IF(($S738&gt;=4)*($C738='TaxCred&amp;Subs'!$D$123:$D$127)*($H738='TaxCred&amp;Subs'!$C$123:$C$127)*($H738&lt;='TaxCred&amp;Subs'!$C$129),'TaxCred&amp;Subs'!$E$123:$E$127,0))</f>
        <v>0</v>
      </c>
      <c r="R738" s="174">
        <v>0</v>
      </c>
      <c r="S738" s="126">
        <v>4</v>
      </c>
      <c r="T738" s="126" t="s">
        <v>248</v>
      </c>
      <c r="V738" s="153" t="str">
        <f t="array" ref="V738">INDEX(xlRTCLNAME,MATCH(1,(xlRTCLENDU=1)*(xlRTCLEQCL=$D738),0))</f>
        <v>GEO_HP</v>
      </c>
      <c r="W738" s="153" t="str">
        <f t="array" ref="W738">INDEX(xlRTCLNAME,MATCH(1,(xlRTCLENDU=2)*(xlRTCLEQCL=$F738),0))</f>
        <v>GEO_HP</v>
      </c>
      <c r="X738" s="153" t="str">
        <f t="array" ref="X738">INDEX(xlRTTYNAME,MATCH(1,(xlRTTYENDU=1)*(xlRTTYEQCL=$D738)*(xlRTEQTYPE=$E738),0))</f>
        <v>GEO_HP3</v>
      </c>
      <c r="Y738" s="153" t="str">
        <f t="array" ref="Y738">INDEX(xlRTTYNAME,MATCH(1,(xlRTTYENDU=2)*(xlRTTYEQCL=$F738)*(xlRTEQTYPE=$G738),0))</f>
        <v>GEO_HP3</v>
      </c>
    </row>
    <row r="739" spans="1:25" x14ac:dyDescent="0.2">
      <c r="B739" s="126">
        <v>1</v>
      </c>
      <c r="C739" s="126">
        <v>1</v>
      </c>
      <c r="D739" s="126">
        <v>11</v>
      </c>
      <c r="E739" s="126">
        <v>36</v>
      </c>
      <c r="F739" s="126">
        <v>5</v>
      </c>
      <c r="G739" s="126">
        <v>17</v>
      </c>
      <c r="H739" s="126">
        <v>2016</v>
      </c>
      <c r="I739" s="159">
        <v>2022</v>
      </c>
      <c r="J739" s="127">
        <v>1.0803</v>
      </c>
      <c r="K739" s="127">
        <v>1.0667</v>
      </c>
      <c r="L739" s="127">
        <v>0.46639999999999998</v>
      </c>
      <c r="M739" s="127">
        <v>0.94740000000000002</v>
      </c>
      <c r="N739" s="127">
        <v>0.79790000000000005</v>
      </c>
      <c r="O739" s="127">
        <v>1.0538000000000001</v>
      </c>
      <c r="P739" s="126">
        <v>12599</v>
      </c>
      <c r="Q739" s="128">
        <f t="array" ref="Q739">SUM(IF(($S739&gt;=4)*($C739='TaxCred&amp;Subs'!$D$123:$D$127)*($H739='TaxCred&amp;Subs'!$C$123:$C$127)*($H739&lt;='TaxCred&amp;Subs'!$C$129),'TaxCred&amp;Subs'!$E$123:$E$127,0))</f>
        <v>2000</v>
      </c>
      <c r="R739" s="174">
        <v>0</v>
      </c>
      <c r="S739" s="126">
        <v>4</v>
      </c>
      <c r="T739" s="126" t="s">
        <v>248</v>
      </c>
      <c r="V739" s="153" t="str">
        <f t="array" ref="V739">INDEX(xlRTCLNAME,MATCH(1,(xlRTCLENDU=1)*(xlRTCLEQCL=$D739),0))</f>
        <v>NG_HP</v>
      </c>
      <c r="W739" s="153" t="str">
        <f t="array" ref="W739">INDEX(xlRTCLNAME,MATCH(1,(xlRTCLENDU=2)*(xlRTCLEQCL=$F739),0))</f>
        <v>NG_HP</v>
      </c>
      <c r="X739" s="153" t="str">
        <f t="array" ref="X739">INDEX(xlRTTYNAME,MATCH(1,(xlRTTYENDU=1)*(xlRTTYEQCL=$D739)*(xlRTEQTYPE=$E739),0))</f>
        <v>NG_HP2</v>
      </c>
      <c r="Y739" s="153" t="str">
        <f t="array" ref="Y739">INDEX(xlRTTYNAME,MATCH(1,(xlRTTYENDU=2)*(xlRTTYEQCL=$F739)*(xlRTEQTYPE=$G739),0))</f>
        <v>NG_HP2</v>
      </c>
    </row>
    <row r="740" spans="1:25" x14ac:dyDescent="0.2">
      <c r="B740" s="49">
        <v>1</v>
      </c>
      <c r="C740" s="49">
        <v>1</v>
      </c>
      <c r="D740" s="49">
        <v>11</v>
      </c>
      <c r="E740" s="49">
        <v>36</v>
      </c>
      <c r="F740" s="49">
        <v>5</v>
      </c>
      <c r="G740" s="49">
        <v>17</v>
      </c>
      <c r="H740" s="49">
        <v>2023</v>
      </c>
      <c r="I740" s="49">
        <v>2032</v>
      </c>
      <c r="J740" s="50">
        <v>1.0803</v>
      </c>
      <c r="K740" s="50">
        <v>1.0667</v>
      </c>
      <c r="L740" s="50">
        <v>0.46639999999999998</v>
      </c>
      <c r="M740" s="50">
        <v>0.94740000000000002</v>
      </c>
      <c r="N740" s="50">
        <v>0.79790000000000005</v>
      </c>
      <c r="O740" s="50">
        <v>1.0538000000000001</v>
      </c>
      <c r="P740" s="49">
        <v>12599</v>
      </c>
      <c r="Q740" s="51">
        <f t="array" ref="Q740">SUM(IF(($S740&gt;=4)*($C740='TaxCred&amp;Subs'!$D$123:$D$127)*($H740='TaxCred&amp;Subs'!$C$123:$C$127)*($H740&lt;='TaxCred&amp;Subs'!$C$129),'TaxCred&amp;Subs'!$E$123:$E$127,0))</f>
        <v>2500</v>
      </c>
      <c r="R740" s="171">
        <v>0</v>
      </c>
      <c r="S740" s="49">
        <v>4</v>
      </c>
      <c r="T740" s="49" t="s">
        <v>248</v>
      </c>
      <c r="V740" s="153" t="str">
        <f t="array" ref="V740">INDEX(xlRTCLNAME,MATCH(1,(xlRTCLENDU=1)*(xlRTCLEQCL=$D740),0))</f>
        <v>NG_HP</v>
      </c>
      <c r="W740" s="153" t="str">
        <f t="array" ref="W740">INDEX(xlRTCLNAME,MATCH(1,(xlRTCLENDU=2)*(xlRTCLEQCL=$F740),0))</f>
        <v>NG_HP</v>
      </c>
      <c r="X740" s="153" t="str">
        <f t="array" ref="X740">INDEX(xlRTTYNAME,MATCH(1,(xlRTTYENDU=1)*(xlRTTYEQCL=$D740)*(xlRTEQTYPE=$E740),0))</f>
        <v>NG_HP2</v>
      </c>
      <c r="Y740" s="153" t="str">
        <f t="array" ref="Y740">INDEX(xlRTTYNAME,MATCH(1,(xlRTTYENDU=2)*(xlRTTYEQCL=$F740)*(xlRTEQTYPE=$G740),0))</f>
        <v>NG_HP2</v>
      </c>
    </row>
    <row r="741" spans="1:25" x14ac:dyDescent="0.2">
      <c r="B741" s="126">
        <v>1</v>
      </c>
      <c r="C741" s="126">
        <v>1</v>
      </c>
      <c r="D741" s="126">
        <v>11</v>
      </c>
      <c r="E741" s="126">
        <v>36</v>
      </c>
      <c r="F741" s="126">
        <v>5</v>
      </c>
      <c r="G741" s="126">
        <v>17</v>
      </c>
      <c r="H741" s="159">
        <v>2033</v>
      </c>
      <c r="I741" s="126">
        <v>2050</v>
      </c>
      <c r="J741" s="127">
        <v>1.0803</v>
      </c>
      <c r="K741" s="127">
        <v>1.0667</v>
      </c>
      <c r="L741" s="127">
        <v>0.46639999999999998</v>
      </c>
      <c r="M741" s="127">
        <v>0.94740000000000002</v>
      </c>
      <c r="N741" s="127">
        <v>0.79790000000000005</v>
      </c>
      <c r="O741" s="127">
        <v>1.0538000000000001</v>
      </c>
      <c r="P741" s="126">
        <v>12599</v>
      </c>
      <c r="Q741" s="128">
        <f t="array" ref="Q741">SUM(IF(($S741&gt;=4)*($C741='TaxCred&amp;Subs'!$D$123:$D$127)*($H741='TaxCred&amp;Subs'!$C$123:$C$127)*($H741&lt;='TaxCred&amp;Subs'!$C$129),'TaxCred&amp;Subs'!$E$123:$E$127,0))</f>
        <v>0</v>
      </c>
      <c r="R741" s="174">
        <v>0</v>
      </c>
      <c r="S741" s="126">
        <v>4</v>
      </c>
      <c r="T741" s="126" t="s">
        <v>248</v>
      </c>
      <c r="V741" s="153" t="str">
        <f t="array" ref="V741">INDEX(xlRTCLNAME,MATCH(1,(xlRTCLENDU=1)*(xlRTCLEQCL=$D741),0))</f>
        <v>NG_HP</v>
      </c>
      <c r="W741" s="153" t="str">
        <f t="array" ref="W741">INDEX(xlRTCLNAME,MATCH(1,(xlRTCLENDU=2)*(xlRTCLEQCL=$F741),0))</f>
        <v>NG_HP</v>
      </c>
      <c r="X741" s="153" t="str">
        <f t="array" ref="X741">INDEX(xlRTTYNAME,MATCH(1,(xlRTTYENDU=1)*(xlRTTYEQCL=$D741)*(xlRTEQTYPE=$E741),0))</f>
        <v>NG_HP2</v>
      </c>
      <c r="Y741" s="153" t="str">
        <f t="array" ref="Y741">INDEX(xlRTTYNAME,MATCH(1,(xlRTTYENDU=2)*(xlRTTYEQCL=$F741)*(xlRTEQTYPE=$G741),0))</f>
        <v>NG_HP2</v>
      </c>
    </row>
    <row r="742" spans="1:25" x14ac:dyDescent="0.2">
      <c r="B742" s="126">
        <v>2</v>
      </c>
      <c r="C742" s="126">
        <v>1</v>
      </c>
      <c r="D742" s="126">
        <v>11</v>
      </c>
      <c r="E742" s="126">
        <v>36</v>
      </c>
      <c r="F742" s="126">
        <v>5</v>
      </c>
      <c r="G742" s="126">
        <v>17</v>
      </c>
      <c r="H742" s="126">
        <v>2016</v>
      </c>
      <c r="I742" s="159">
        <v>2022</v>
      </c>
      <c r="J742" s="127">
        <v>1.0649</v>
      </c>
      <c r="K742" s="127">
        <v>1.0597000000000001</v>
      </c>
      <c r="L742" s="127">
        <v>0.49669999999999997</v>
      </c>
      <c r="M742" s="127">
        <v>0.82399999999999995</v>
      </c>
      <c r="N742" s="127">
        <v>0.93169999999999997</v>
      </c>
      <c r="O742" s="127">
        <v>1.0538000000000001</v>
      </c>
      <c r="P742" s="126">
        <v>14975</v>
      </c>
      <c r="Q742" s="128">
        <f t="array" ref="Q742">SUM(IF(($S742&gt;=4)*($C742='TaxCred&amp;Subs'!$D$123:$D$127)*($H742='TaxCred&amp;Subs'!$C$123:$C$127)*($H742&lt;='TaxCred&amp;Subs'!$C$129),'TaxCred&amp;Subs'!$E$123:$E$127,0))</f>
        <v>2000</v>
      </c>
      <c r="R742" s="174">
        <v>0</v>
      </c>
      <c r="S742" s="126">
        <v>4</v>
      </c>
      <c r="T742" s="126" t="s">
        <v>248</v>
      </c>
      <c r="V742" s="153" t="str">
        <f t="array" ref="V742">INDEX(xlRTCLNAME,MATCH(1,(xlRTCLENDU=1)*(xlRTCLEQCL=$D742),0))</f>
        <v>NG_HP</v>
      </c>
      <c r="W742" s="153" t="str">
        <f t="array" ref="W742">INDEX(xlRTCLNAME,MATCH(1,(xlRTCLENDU=2)*(xlRTCLEQCL=$F742),0))</f>
        <v>NG_HP</v>
      </c>
      <c r="X742" s="153" t="str">
        <f t="array" ref="X742">INDEX(xlRTTYNAME,MATCH(1,(xlRTTYENDU=1)*(xlRTTYEQCL=$D742)*(xlRTEQTYPE=$E742),0))</f>
        <v>NG_HP2</v>
      </c>
      <c r="Y742" s="153" t="str">
        <f t="array" ref="Y742">INDEX(xlRTTYNAME,MATCH(1,(xlRTTYENDU=2)*(xlRTTYEQCL=$F742)*(xlRTEQTYPE=$G742),0))</f>
        <v>NG_HP2</v>
      </c>
    </row>
    <row r="743" spans="1:25" x14ac:dyDescent="0.2">
      <c r="B743" s="49">
        <v>2</v>
      </c>
      <c r="C743" s="49">
        <v>1</v>
      </c>
      <c r="D743" s="49">
        <v>11</v>
      </c>
      <c r="E743" s="49">
        <v>36</v>
      </c>
      <c r="F743" s="49">
        <v>5</v>
      </c>
      <c r="G743" s="49">
        <v>17</v>
      </c>
      <c r="H743" s="49">
        <v>2023</v>
      </c>
      <c r="I743" s="49">
        <v>2032</v>
      </c>
      <c r="J743" s="50">
        <v>1.0649</v>
      </c>
      <c r="K743" s="50">
        <v>1.0597000000000001</v>
      </c>
      <c r="L743" s="50">
        <v>0.49669999999999997</v>
      </c>
      <c r="M743" s="50">
        <v>0.82399999999999995</v>
      </c>
      <c r="N743" s="50">
        <v>0.93169999999999997</v>
      </c>
      <c r="O743" s="50">
        <v>1.0538000000000001</v>
      </c>
      <c r="P743" s="49">
        <v>14975</v>
      </c>
      <c r="Q743" s="51">
        <f t="array" ref="Q743">SUM(IF(($S743&gt;=4)*($C743='TaxCred&amp;Subs'!$D$123:$D$127)*($H743='TaxCred&amp;Subs'!$C$123:$C$127)*($H743&lt;='TaxCred&amp;Subs'!$C$129),'TaxCred&amp;Subs'!$E$123:$E$127,0))</f>
        <v>2500</v>
      </c>
      <c r="R743" s="171">
        <v>0</v>
      </c>
      <c r="S743" s="49">
        <v>4</v>
      </c>
      <c r="T743" s="49" t="s">
        <v>248</v>
      </c>
      <c r="V743" s="153" t="str">
        <f t="array" ref="V743">INDEX(xlRTCLNAME,MATCH(1,(xlRTCLENDU=1)*(xlRTCLEQCL=$D743),0))</f>
        <v>NG_HP</v>
      </c>
      <c r="W743" s="153" t="str">
        <f t="array" ref="W743">INDEX(xlRTCLNAME,MATCH(1,(xlRTCLENDU=2)*(xlRTCLEQCL=$F743),0))</f>
        <v>NG_HP</v>
      </c>
      <c r="X743" s="153" t="str">
        <f t="array" ref="X743">INDEX(xlRTTYNAME,MATCH(1,(xlRTTYENDU=1)*(xlRTTYEQCL=$D743)*(xlRTEQTYPE=$E743),0))</f>
        <v>NG_HP2</v>
      </c>
      <c r="Y743" s="153" t="str">
        <f t="array" ref="Y743">INDEX(xlRTTYNAME,MATCH(1,(xlRTTYENDU=2)*(xlRTTYEQCL=$F743)*(xlRTEQTYPE=$G743),0))</f>
        <v>NG_HP2</v>
      </c>
    </row>
    <row r="744" spans="1:25" s="158" customFormat="1" x14ac:dyDescent="0.2">
      <c r="A744"/>
      <c r="B744" s="126">
        <v>2</v>
      </c>
      <c r="C744" s="126">
        <v>1</v>
      </c>
      <c r="D744" s="126">
        <v>11</v>
      </c>
      <c r="E744" s="126">
        <v>36</v>
      </c>
      <c r="F744" s="126">
        <v>5</v>
      </c>
      <c r="G744" s="126">
        <v>17</v>
      </c>
      <c r="H744" s="159">
        <v>2033</v>
      </c>
      <c r="I744" s="126">
        <v>2050</v>
      </c>
      <c r="J744" s="127">
        <v>1.0649</v>
      </c>
      <c r="K744" s="127">
        <v>1.0597000000000001</v>
      </c>
      <c r="L744" s="127">
        <v>0.49669999999999997</v>
      </c>
      <c r="M744" s="127">
        <v>0.82399999999999995</v>
      </c>
      <c r="N744" s="127">
        <v>0.93169999999999997</v>
      </c>
      <c r="O744" s="127">
        <v>1.0538000000000001</v>
      </c>
      <c r="P744" s="126">
        <v>14975</v>
      </c>
      <c r="Q744" s="128">
        <f t="array" ref="Q744">SUM(IF(($S744&gt;=4)*($C744='TaxCred&amp;Subs'!$D$123:$D$127)*($H744='TaxCred&amp;Subs'!$C$123:$C$127)*($H744&lt;='TaxCred&amp;Subs'!$C$129),'TaxCred&amp;Subs'!$E$123:$E$127,0))</f>
        <v>0</v>
      </c>
      <c r="R744" s="174">
        <v>0</v>
      </c>
      <c r="S744" s="126">
        <v>4</v>
      </c>
      <c r="T744" s="126" t="s">
        <v>248</v>
      </c>
      <c r="U744"/>
      <c r="V744" s="153" t="str">
        <f t="array" ref="V744">INDEX(xlRTCLNAME,MATCH(1,(xlRTCLENDU=1)*(xlRTCLEQCL=$D744),0))</f>
        <v>NG_HP</v>
      </c>
      <c r="W744" s="153" t="str">
        <f t="array" ref="W744">INDEX(xlRTCLNAME,MATCH(1,(xlRTCLENDU=2)*(xlRTCLEQCL=$F744),0))</f>
        <v>NG_HP</v>
      </c>
      <c r="X744" s="153" t="str">
        <f t="array" ref="X744">INDEX(xlRTTYNAME,MATCH(1,(xlRTTYENDU=1)*(xlRTTYEQCL=$D744)*(xlRTEQTYPE=$E744),0))</f>
        <v>NG_HP2</v>
      </c>
      <c r="Y744" s="153" t="str">
        <f t="array" ref="Y744">INDEX(xlRTTYNAME,MATCH(1,(xlRTTYENDU=2)*(xlRTTYEQCL=$F744)*(xlRTEQTYPE=$G744),0))</f>
        <v>NG_HP2</v>
      </c>
    </row>
    <row r="745" spans="1:25" s="157" customFormat="1" x14ac:dyDescent="0.2">
      <c r="A745"/>
      <c r="B745" s="126">
        <v>3</v>
      </c>
      <c r="C745" s="126">
        <v>1</v>
      </c>
      <c r="D745" s="126">
        <v>11</v>
      </c>
      <c r="E745" s="126">
        <v>36</v>
      </c>
      <c r="F745" s="126">
        <v>5</v>
      </c>
      <c r="G745" s="126">
        <v>17</v>
      </c>
      <c r="H745" s="126">
        <v>2016</v>
      </c>
      <c r="I745" s="159">
        <v>2022</v>
      </c>
      <c r="J745" s="127">
        <v>1.0469999999999999</v>
      </c>
      <c r="K745" s="127">
        <v>1.0769</v>
      </c>
      <c r="L745" s="127">
        <v>0.45619999999999999</v>
      </c>
      <c r="M745" s="127">
        <v>0.90190000000000003</v>
      </c>
      <c r="N745" s="127">
        <v>0.91600000000000004</v>
      </c>
      <c r="O745" s="127">
        <v>1.0538000000000001</v>
      </c>
      <c r="P745" s="126">
        <v>12841</v>
      </c>
      <c r="Q745" s="128">
        <f t="array" ref="Q745">SUM(IF(($S745&gt;=4)*($C745='TaxCred&amp;Subs'!$D$123:$D$127)*($H745='TaxCred&amp;Subs'!$C$123:$C$127)*($H745&lt;='TaxCred&amp;Subs'!$C$129),'TaxCred&amp;Subs'!$E$123:$E$127,0))</f>
        <v>2000</v>
      </c>
      <c r="R745" s="174">
        <v>0</v>
      </c>
      <c r="S745" s="126">
        <v>4</v>
      </c>
      <c r="T745" s="126" t="s">
        <v>248</v>
      </c>
      <c r="U745"/>
      <c r="V745" s="153" t="str">
        <f t="array" ref="V745">INDEX(xlRTCLNAME,MATCH(1,(xlRTCLENDU=1)*(xlRTCLEQCL=$D745),0))</f>
        <v>NG_HP</v>
      </c>
      <c r="W745" s="153" t="str">
        <f t="array" ref="W745">INDEX(xlRTCLNAME,MATCH(1,(xlRTCLENDU=2)*(xlRTCLEQCL=$F745),0))</f>
        <v>NG_HP</v>
      </c>
      <c r="X745" s="153" t="str">
        <f t="array" ref="X745">INDEX(xlRTTYNAME,MATCH(1,(xlRTTYENDU=1)*(xlRTTYEQCL=$D745)*(xlRTEQTYPE=$E745),0))</f>
        <v>NG_HP2</v>
      </c>
      <c r="Y745" s="153" t="str">
        <f t="array" ref="Y745">INDEX(xlRTTYNAME,MATCH(1,(xlRTTYENDU=2)*(xlRTTYEQCL=$F745)*(xlRTEQTYPE=$G745),0))</f>
        <v>NG_HP2</v>
      </c>
    </row>
    <row r="746" spans="1:25" s="158" customFormat="1" x14ac:dyDescent="0.2">
      <c r="A746"/>
      <c r="B746" s="49">
        <v>3</v>
      </c>
      <c r="C746" s="49">
        <v>1</v>
      </c>
      <c r="D746" s="49">
        <v>11</v>
      </c>
      <c r="E746" s="49">
        <v>36</v>
      </c>
      <c r="F746" s="49">
        <v>5</v>
      </c>
      <c r="G746" s="49">
        <v>17</v>
      </c>
      <c r="H746" s="49">
        <v>2023</v>
      </c>
      <c r="I746" s="49">
        <v>2032</v>
      </c>
      <c r="J746" s="50">
        <v>1.0469999999999999</v>
      </c>
      <c r="K746" s="50">
        <v>1.0769</v>
      </c>
      <c r="L746" s="50">
        <v>0.45619999999999999</v>
      </c>
      <c r="M746" s="50">
        <v>0.90190000000000003</v>
      </c>
      <c r="N746" s="50">
        <v>0.91600000000000004</v>
      </c>
      <c r="O746" s="50">
        <v>1.0538000000000001</v>
      </c>
      <c r="P746" s="49">
        <v>12841</v>
      </c>
      <c r="Q746" s="51">
        <f t="array" ref="Q746">SUM(IF(($S746&gt;=4)*($C746='TaxCred&amp;Subs'!$D$123:$D$127)*($H746='TaxCred&amp;Subs'!$C$123:$C$127)*($H746&lt;='TaxCred&amp;Subs'!$C$129),'TaxCred&amp;Subs'!$E$123:$E$127,0))</f>
        <v>2500</v>
      </c>
      <c r="R746" s="171">
        <v>0</v>
      </c>
      <c r="S746" s="49">
        <v>4</v>
      </c>
      <c r="T746" s="49" t="s">
        <v>248</v>
      </c>
      <c r="U746"/>
      <c r="V746" s="153" t="str">
        <f t="array" ref="V746">INDEX(xlRTCLNAME,MATCH(1,(xlRTCLENDU=1)*(xlRTCLEQCL=$D746),0))</f>
        <v>NG_HP</v>
      </c>
      <c r="W746" s="153" t="str">
        <f t="array" ref="W746">INDEX(xlRTCLNAME,MATCH(1,(xlRTCLENDU=2)*(xlRTCLEQCL=$F746),0))</f>
        <v>NG_HP</v>
      </c>
      <c r="X746" s="153" t="str">
        <f t="array" ref="X746">INDEX(xlRTTYNAME,MATCH(1,(xlRTTYENDU=1)*(xlRTTYEQCL=$D746)*(xlRTEQTYPE=$E746),0))</f>
        <v>NG_HP2</v>
      </c>
      <c r="Y746" s="153" t="str">
        <f t="array" ref="Y746">INDEX(xlRTTYNAME,MATCH(1,(xlRTTYENDU=2)*(xlRTTYEQCL=$F746)*(xlRTEQTYPE=$G746),0))</f>
        <v>NG_HP2</v>
      </c>
    </row>
    <row r="747" spans="1:25" s="158" customFormat="1" x14ac:dyDescent="0.2">
      <c r="A747"/>
      <c r="B747" s="126">
        <v>3</v>
      </c>
      <c r="C747" s="126">
        <v>1</v>
      </c>
      <c r="D747" s="126">
        <v>11</v>
      </c>
      <c r="E747" s="126">
        <v>36</v>
      </c>
      <c r="F747" s="126">
        <v>5</v>
      </c>
      <c r="G747" s="126">
        <v>17</v>
      </c>
      <c r="H747" s="159">
        <v>2033</v>
      </c>
      <c r="I747" s="126">
        <v>2050</v>
      </c>
      <c r="J747" s="127">
        <v>1.0469999999999999</v>
      </c>
      <c r="K747" s="127">
        <v>1.0769</v>
      </c>
      <c r="L747" s="127">
        <v>0.45619999999999999</v>
      </c>
      <c r="M747" s="127">
        <v>0.90190000000000003</v>
      </c>
      <c r="N747" s="127">
        <v>0.91600000000000004</v>
      </c>
      <c r="O747" s="127">
        <v>1.0538000000000001</v>
      </c>
      <c r="P747" s="126">
        <v>12841</v>
      </c>
      <c r="Q747" s="128">
        <f t="array" ref="Q747">SUM(IF(($S747&gt;=4)*($C747='TaxCred&amp;Subs'!$D$123:$D$127)*($H747='TaxCred&amp;Subs'!$C$123:$C$127)*($H747&lt;='TaxCred&amp;Subs'!$C$129),'TaxCred&amp;Subs'!$E$123:$E$127,0))</f>
        <v>0</v>
      </c>
      <c r="R747" s="174">
        <v>0</v>
      </c>
      <c r="S747" s="126">
        <v>4</v>
      </c>
      <c r="T747" s="126" t="s">
        <v>248</v>
      </c>
      <c r="U747"/>
      <c r="V747" s="153" t="str">
        <f t="array" ref="V747">INDEX(xlRTCLNAME,MATCH(1,(xlRTCLENDU=1)*(xlRTCLEQCL=$D747),0))</f>
        <v>NG_HP</v>
      </c>
      <c r="W747" s="153" t="str">
        <f t="array" ref="W747">INDEX(xlRTCLNAME,MATCH(1,(xlRTCLENDU=2)*(xlRTCLEQCL=$F747),0))</f>
        <v>NG_HP</v>
      </c>
      <c r="X747" s="153" t="str">
        <f t="array" ref="X747">INDEX(xlRTTYNAME,MATCH(1,(xlRTTYENDU=1)*(xlRTTYEQCL=$D747)*(xlRTEQTYPE=$E747),0))</f>
        <v>NG_HP2</v>
      </c>
      <c r="Y747" s="153" t="str">
        <f t="array" ref="Y747">INDEX(xlRTTYNAME,MATCH(1,(xlRTTYENDU=2)*(xlRTTYEQCL=$F747)*(xlRTEQTYPE=$G747),0))</f>
        <v>NG_HP2</v>
      </c>
    </row>
    <row r="748" spans="1:25" s="157" customFormat="1" x14ac:dyDescent="0.2">
      <c r="A748"/>
      <c r="B748" s="126">
        <v>4</v>
      </c>
      <c r="C748" s="126">
        <v>1</v>
      </c>
      <c r="D748" s="126">
        <v>11</v>
      </c>
      <c r="E748" s="126">
        <v>36</v>
      </c>
      <c r="F748" s="126">
        <v>5</v>
      </c>
      <c r="G748" s="126">
        <v>17</v>
      </c>
      <c r="H748" s="126">
        <v>2016</v>
      </c>
      <c r="I748" s="159">
        <v>2022</v>
      </c>
      <c r="J748" s="127">
        <v>1.0862000000000001</v>
      </c>
      <c r="K748" s="127">
        <v>1.0769</v>
      </c>
      <c r="L748" s="127">
        <v>0.45779999999999998</v>
      </c>
      <c r="M748" s="127">
        <v>0.85729999999999995</v>
      </c>
      <c r="N748" s="127">
        <v>0.85770000000000002</v>
      </c>
      <c r="O748" s="127">
        <v>1.0538000000000001</v>
      </c>
      <c r="P748" s="126">
        <v>10457</v>
      </c>
      <c r="Q748" s="128">
        <f t="array" ref="Q748">SUM(IF(($S748&gt;=4)*($C748='TaxCred&amp;Subs'!$D$123:$D$127)*($H748='TaxCred&amp;Subs'!$C$123:$C$127)*($H748&lt;='TaxCred&amp;Subs'!$C$129),'TaxCred&amp;Subs'!$E$123:$E$127,0))</f>
        <v>2000</v>
      </c>
      <c r="R748" s="174">
        <v>0</v>
      </c>
      <c r="S748" s="126">
        <v>4</v>
      </c>
      <c r="T748" s="126" t="s">
        <v>248</v>
      </c>
      <c r="U748"/>
      <c r="V748" s="153" t="str">
        <f t="array" ref="V748">INDEX(xlRTCLNAME,MATCH(1,(xlRTCLENDU=1)*(xlRTCLEQCL=$D748),0))</f>
        <v>NG_HP</v>
      </c>
      <c r="W748" s="153" t="str">
        <f t="array" ref="W748">INDEX(xlRTCLNAME,MATCH(1,(xlRTCLENDU=2)*(xlRTCLEQCL=$F748),0))</f>
        <v>NG_HP</v>
      </c>
      <c r="X748" s="153" t="str">
        <f t="array" ref="X748">INDEX(xlRTTYNAME,MATCH(1,(xlRTTYENDU=1)*(xlRTTYEQCL=$D748)*(xlRTEQTYPE=$E748),0))</f>
        <v>NG_HP2</v>
      </c>
      <c r="Y748" s="153" t="str">
        <f t="array" ref="Y748">INDEX(xlRTTYNAME,MATCH(1,(xlRTTYENDU=2)*(xlRTTYEQCL=$F748)*(xlRTEQTYPE=$G748),0))</f>
        <v>NG_HP2</v>
      </c>
    </row>
    <row r="749" spans="1:25" s="158" customFormat="1" x14ac:dyDescent="0.2">
      <c r="A749"/>
      <c r="B749" s="49">
        <v>4</v>
      </c>
      <c r="C749" s="49">
        <v>1</v>
      </c>
      <c r="D749" s="49">
        <v>11</v>
      </c>
      <c r="E749" s="49">
        <v>36</v>
      </c>
      <c r="F749" s="49">
        <v>5</v>
      </c>
      <c r="G749" s="49">
        <v>17</v>
      </c>
      <c r="H749" s="49">
        <v>2023</v>
      </c>
      <c r="I749" s="49">
        <v>2032</v>
      </c>
      <c r="J749" s="50">
        <v>1.0862000000000001</v>
      </c>
      <c r="K749" s="50">
        <v>1.0769</v>
      </c>
      <c r="L749" s="50">
        <v>0.45779999999999998</v>
      </c>
      <c r="M749" s="50">
        <v>0.85729999999999995</v>
      </c>
      <c r="N749" s="50">
        <v>0.85770000000000002</v>
      </c>
      <c r="O749" s="50">
        <v>1.0538000000000001</v>
      </c>
      <c r="P749" s="49">
        <v>10457</v>
      </c>
      <c r="Q749" s="51">
        <f t="array" ref="Q749">SUM(IF(($S749&gt;=4)*($C749='TaxCred&amp;Subs'!$D$123:$D$127)*($H749='TaxCred&amp;Subs'!$C$123:$C$127)*($H749&lt;='TaxCred&amp;Subs'!$C$129),'TaxCred&amp;Subs'!$E$123:$E$127,0))</f>
        <v>2500</v>
      </c>
      <c r="R749" s="171">
        <v>0</v>
      </c>
      <c r="S749" s="49">
        <v>4</v>
      </c>
      <c r="T749" s="49" t="s">
        <v>248</v>
      </c>
      <c r="U749"/>
      <c r="V749" s="153" t="str">
        <f t="array" ref="V749">INDEX(xlRTCLNAME,MATCH(1,(xlRTCLENDU=1)*(xlRTCLEQCL=$D749),0))</f>
        <v>NG_HP</v>
      </c>
      <c r="W749" s="153" t="str">
        <f t="array" ref="W749">INDEX(xlRTCLNAME,MATCH(1,(xlRTCLENDU=2)*(xlRTCLEQCL=$F749),0))</f>
        <v>NG_HP</v>
      </c>
      <c r="X749" s="153" t="str">
        <f t="array" ref="X749">INDEX(xlRTTYNAME,MATCH(1,(xlRTTYENDU=1)*(xlRTTYEQCL=$D749)*(xlRTEQTYPE=$E749),0))</f>
        <v>NG_HP2</v>
      </c>
      <c r="Y749" s="153" t="str">
        <f t="array" ref="Y749">INDEX(xlRTTYNAME,MATCH(1,(xlRTTYENDU=2)*(xlRTTYEQCL=$F749)*(xlRTEQTYPE=$G749),0))</f>
        <v>NG_HP2</v>
      </c>
    </row>
    <row r="750" spans="1:25" s="158" customFormat="1" x14ac:dyDescent="0.2">
      <c r="A750"/>
      <c r="B750" s="126">
        <v>4</v>
      </c>
      <c r="C750" s="126">
        <v>1</v>
      </c>
      <c r="D750" s="126">
        <v>11</v>
      </c>
      <c r="E750" s="126">
        <v>36</v>
      </c>
      <c r="F750" s="126">
        <v>5</v>
      </c>
      <c r="G750" s="126">
        <v>17</v>
      </c>
      <c r="H750" s="159">
        <v>2033</v>
      </c>
      <c r="I750" s="126">
        <v>2050</v>
      </c>
      <c r="J750" s="127">
        <v>1.0862000000000001</v>
      </c>
      <c r="K750" s="127">
        <v>1.0769</v>
      </c>
      <c r="L750" s="127">
        <v>0.45779999999999998</v>
      </c>
      <c r="M750" s="127">
        <v>0.85729999999999995</v>
      </c>
      <c r="N750" s="127">
        <v>0.85770000000000002</v>
      </c>
      <c r="O750" s="127">
        <v>1.0538000000000001</v>
      </c>
      <c r="P750" s="126">
        <v>10457</v>
      </c>
      <c r="Q750" s="128">
        <f t="array" ref="Q750">SUM(IF(($S750&gt;=4)*($C750='TaxCred&amp;Subs'!$D$123:$D$127)*($H750='TaxCred&amp;Subs'!$C$123:$C$127)*($H750&lt;='TaxCred&amp;Subs'!$C$129),'TaxCred&amp;Subs'!$E$123:$E$127,0))</f>
        <v>0</v>
      </c>
      <c r="R750" s="174">
        <v>0</v>
      </c>
      <c r="S750" s="126">
        <v>4</v>
      </c>
      <c r="T750" s="126" t="s">
        <v>248</v>
      </c>
      <c r="U750"/>
      <c r="V750" s="153" t="str">
        <f t="array" ref="V750">INDEX(xlRTCLNAME,MATCH(1,(xlRTCLENDU=1)*(xlRTCLEQCL=$D750),0))</f>
        <v>NG_HP</v>
      </c>
      <c r="W750" s="153" t="str">
        <f t="array" ref="W750">INDEX(xlRTCLNAME,MATCH(1,(xlRTCLENDU=2)*(xlRTCLEQCL=$F750),0))</f>
        <v>NG_HP</v>
      </c>
      <c r="X750" s="153" t="str">
        <f t="array" ref="X750">INDEX(xlRTTYNAME,MATCH(1,(xlRTTYENDU=1)*(xlRTTYEQCL=$D750)*(xlRTEQTYPE=$E750),0))</f>
        <v>NG_HP2</v>
      </c>
      <c r="Y750" s="153" t="str">
        <f t="array" ref="Y750">INDEX(xlRTTYNAME,MATCH(1,(xlRTTYENDU=2)*(xlRTTYEQCL=$F750)*(xlRTEQTYPE=$G750),0))</f>
        <v>NG_HP2</v>
      </c>
    </row>
    <row r="751" spans="1:25" s="157" customFormat="1" x14ac:dyDescent="0.2">
      <c r="A751"/>
      <c r="B751" s="126">
        <v>5</v>
      </c>
      <c r="C751" s="126">
        <v>1</v>
      </c>
      <c r="D751" s="126">
        <v>11</v>
      </c>
      <c r="E751" s="126">
        <v>36</v>
      </c>
      <c r="F751" s="126">
        <v>5</v>
      </c>
      <c r="G751" s="126">
        <v>17</v>
      </c>
      <c r="H751" s="126">
        <v>2016</v>
      </c>
      <c r="I751" s="159">
        <v>2022</v>
      </c>
      <c r="J751" s="127">
        <v>1.0849</v>
      </c>
      <c r="K751" s="127">
        <v>1.0471999999999999</v>
      </c>
      <c r="L751" s="127">
        <v>0.41520000000000001</v>
      </c>
      <c r="M751" s="127">
        <v>0.77729999999999999</v>
      </c>
      <c r="N751" s="127">
        <v>0.76180000000000003</v>
      </c>
      <c r="O751" s="127">
        <v>1.0538000000000001</v>
      </c>
      <c r="P751" s="126">
        <v>9750</v>
      </c>
      <c r="Q751" s="128">
        <f t="array" ref="Q751">SUM(IF(($S751&gt;=4)*($C751='TaxCred&amp;Subs'!$D$123:$D$127)*($H751='TaxCred&amp;Subs'!$C$123:$C$127)*($H751&lt;='TaxCred&amp;Subs'!$C$129),'TaxCred&amp;Subs'!$E$123:$E$127,0))</f>
        <v>2000</v>
      </c>
      <c r="R751" s="174">
        <v>0</v>
      </c>
      <c r="S751" s="126">
        <v>4</v>
      </c>
      <c r="T751" s="126" t="s">
        <v>248</v>
      </c>
      <c r="U751"/>
      <c r="V751" s="153" t="str">
        <f t="array" ref="V751">INDEX(xlRTCLNAME,MATCH(1,(xlRTCLENDU=1)*(xlRTCLEQCL=$D751),0))</f>
        <v>NG_HP</v>
      </c>
      <c r="W751" s="153" t="str">
        <f t="array" ref="W751">INDEX(xlRTCLNAME,MATCH(1,(xlRTCLENDU=2)*(xlRTCLEQCL=$F751),0))</f>
        <v>NG_HP</v>
      </c>
      <c r="X751" s="153" t="str">
        <f t="array" ref="X751">INDEX(xlRTTYNAME,MATCH(1,(xlRTTYENDU=1)*(xlRTTYEQCL=$D751)*(xlRTEQTYPE=$E751),0))</f>
        <v>NG_HP2</v>
      </c>
      <c r="Y751" s="153" t="str">
        <f t="array" ref="Y751">INDEX(xlRTTYNAME,MATCH(1,(xlRTTYENDU=2)*(xlRTTYEQCL=$F751)*(xlRTEQTYPE=$G751),0))</f>
        <v>NG_HP2</v>
      </c>
    </row>
    <row r="752" spans="1:25" s="158" customFormat="1" x14ac:dyDescent="0.2">
      <c r="A752"/>
      <c r="B752" s="49">
        <v>5</v>
      </c>
      <c r="C752" s="49">
        <v>1</v>
      </c>
      <c r="D752" s="49">
        <v>11</v>
      </c>
      <c r="E752" s="49">
        <v>36</v>
      </c>
      <c r="F752" s="49">
        <v>5</v>
      </c>
      <c r="G752" s="49">
        <v>17</v>
      </c>
      <c r="H752" s="49">
        <v>2023</v>
      </c>
      <c r="I752" s="49">
        <v>2032</v>
      </c>
      <c r="J752" s="50">
        <v>1.0849</v>
      </c>
      <c r="K752" s="50">
        <v>1.0471999999999999</v>
      </c>
      <c r="L752" s="50">
        <v>0.41520000000000001</v>
      </c>
      <c r="M752" s="50">
        <v>0.77729999999999999</v>
      </c>
      <c r="N752" s="50">
        <v>0.76180000000000003</v>
      </c>
      <c r="O752" s="50">
        <v>1.0538000000000001</v>
      </c>
      <c r="P752" s="49">
        <v>9750</v>
      </c>
      <c r="Q752" s="51">
        <f t="array" ref="Q752">SUM(IF(($S752&gt;=4)*($C752='TaxCred&amp;Subs'!$D$123:$D$127)*($H752='TaxCred&amp;Subs'!$C$123:$C$127)*($H752&lt;='TaxCred&amp;Subs'!$C$129),'TaxCred&amp;Subs'!$E$123:$E$127,0))</f>
        <v>2500</v>
      </c>
      <c r="R752" s="171">
        <v>0</v>
      </c>
      <c r="S752" s="49">
        <v>4</v>
      </c>
      <c r="T752" s="49" t="s">
        <v>248</v>
      </c>
      <c r="U752"/>
      <c r="V752" s="153" t="str">
        <f t="array" ref="V752">INDEX(xlRTCLNAME,MATCH(1,(xlRTCLENDU=1)*(xlRTCLEQCL=$D752),0))</f>
        <v>NG_HP</v>
      </c>
      <c r="W752" s="153" t="str">
        <f t="array" ref="W752">INDEX(xlRTCLNAME,MATCH(1,(xlRTCLENDU=2)*(xlRTCLEQCL=$F752),0))</f>
        <v>NG_HP</v>
      </c>
      <c r="X752" s="153" t="str">
        <f t="array" ref="X752">INDEX(xlRTTYNAME,MATCH(1,(xlRTTYENDU=1)*(xlRTTYEQCL=$D752)*(xlRTEQTYPE=$E752),0))</f>
        <v>NG_HP2</v>
      </c>
      <c r="Y752" s="153" t="str">
        <f t="array" ref="Y752">INDEX(xlRTTYNAME,MATCH(1,(xlRTTYENDU=2)*(xlRTTYEQCL=$F752)*(xlRTEQTYPE=$G752),0))</f>
        <v>NG_HP2</v>
      </c>
    </row>
    <row r="753" spans="1:25" s="158" customFormat="1" x14ac:dyDescent="0.2">
      <c r="A753"/>
      <c r="B753" s="126">
        <v>5</v>
      </c>
      <c r="C753" s="126">
        <v>1</v>
      </c>
      <c r="D753" s="126">
        <v>11</v>
      </c>
      <c r="E753" s="126">
        <v>36</v>
      </c>
      <c r="F753" s="126">
        <v>5</v>
      </c>
      <c r="G753" s="126">
        <v>17</v>
      </c>
      <c r="H753" s="159">
        <v>2033</v>
      </c>
      <c r="I753" s="126">
        <v>2050</v>
      </c>
      <c r="J753" s="127">
        <v>1.0849</v>
      </c>
      <c r="K753" s="127">
        <v>1.0471999999999999</v>
      </c>
      <c r="L753" s="127">
        <v>0.41520000000000001</v>
      </c>
      <c r="M753" s="127">
        <v>0.77729999999999999</v>
      </c>
      <c r="N753" s="127">
        <v>0.76180000000000003</v>
      </c>
      <c r="O753" s="127">
        <v>1.0538000000000001</v>
      </c>
      <c r="P753" s="126">
        <v>9750</v>
      </c>
      <c r="Q753" s="128">
        <f t="array" ref="Q753">SUM(IF(($S753&gt;=4)*($C753='TaxCred&amp;Subs'!$D$123:$D$127)*($H753='TaxCred&amp;Subs'!$C$123:$C$127)*($H753&lt;='TaxCred&amp;Subs'!$C$129),'TaxCred&amp;Subs'!$E$123:$E$127,0))</f>
        <v>0</v>
      </c>
      <c r="R753" s="174">
        <v>0</v>
      </c>
      <c r="S753" s="126">
        <v>4</v>
      </c>
      <c r="T753" s="126" t="s">
        <v>248</v>
      </c>
      <c r="U753"/>
      <c r="V753" s="153" t="str">
        <f t="array" ref="V753">INDEX(xlRTCLNAME,MATCH(1,(xlRTCLENDU=1)*(xlRTCLEQCL=$D753),0))</f>
        <v>NG_HP</v>
      </c>
      <c r="W753" s="153" t="str">
        <f t="array" ref="W753">INDEX(xlRTCLNAME,MATCH(1,(xlRTCLENDU=2)*(xlRTCLEQCL=$F753),0))</f>
        <v>NG_HP</v>
      </c>
      <c r="X753" s="153" t="str">
        <f t="array" ref="X753">INDEX(xlRTTYNAME,MATCH(1,(xlRTTYENDU=1)*(xlRTTYEQCL=$D753)*(xlRTEQTYPE=$E753),0))</f>
        <v>NG_HP2</v>
      </c>
      <c r="Y753" s="153" t="str">
        <f t="array" ref="Y753">INDEX(xlRTTYNAME,MATCH(1,(xlRTTYENDU=2)*(xlRTTYEQCL=$F753)*(xlRTEQTYPE=$G753),0))</f>
        <v>NG_HP2</v>
      </c>
    </row>
    <row r="754" spans="1:25" s="157" customFormat="1" x14ac:dyDescent="0.2">
      <c r="A754"/>
      <c r="B754" s="126">
        <v>6</v>
      </c>
      <c r="C754" s="126">
        <v>1</v>
      </c>
      <c r="D754" s="126">
        <v>11</v>
      </c>
      <c r="E754" s="126">
        <v>36</v>
      </c>
      <c r="F754" s="126">
        <v>5</v>
      </c>
      <c r="G754" s="126">
        <v>17</v>
      </c>
      <c r="H754" s="126">
        <v>2016</v>
      </c>
      <c r="I754" s="159">
        <v>2022</v>
      </c>
      <c r="J754" s="127">
        <v>1.0924</v>
      </c>
      <c r="K754" s="127">
        <v>1.0661</v>
      </c>
      <c r="L754" s="127">
        <v>0.57899999999999996</v>
      </c>
      <c r="M754" s="127">
        <v>0.84570000000000001</v>
      </c>
      <c r="N754" s="127">
        <v>0.89100000000000001</v>
      </c>
      <c r="O754" s="127">
        <v>1.0538000000000001</v>
      </c>
      <c r="P754" s="126">
        <v>8802</v>
      </c>
      <c r="Q754" s="128">
        <f t="array" ref="Q754">SUM(IF(($S754&gt;=4)*($C754='TaxCred&amp;Subs'!$D$123:$D$127)*($H754='TaxCred&amp;Subs'!$C$123:$C$127)*($H754&lt;='TaxCred&amp;Subs'!$C$129),'TaxCred&amp;Subs'!$E$123:$E$127,0))</f>
        <v>2000</v>
      </c>
      <c r="R754" s="174">
        <v>0</v>
      </c>
      <c r="S754" s="126">
        <v>4</v>
      </c>
      <c r="T754" s="126" t="s">
        <v>248</v>
      </c>
      <c r="U754"/>
      <c r="V754" s="153" t="str">
        <f t="array" ref="V754">INDEX(xlRTCLNAME,MATCH(1,(xlRTCLENDU=1)*(xlRTCLEQCL=$D754),0))</f>
        <v>NG_HP</v>
      </c>
      <c r="W754" s="153" t="str">
        <f t="array" ref="W754">INDEX(xlRTCLNAME,MATCH(1,(xlRTCLENDU=2)*(xlRTCLEQCL=$F754),0))</f>
        <v>NG_HP</v>
      </c>
      <c r="X754" s="153" t="str">
        <f t="array" ref="X754">INDEX(xlRTTYNAME,MATCH(1,(xlRTTYENDU=1)*(xlRTTYEQCL=$D754)*(xlRTEQTYPE=$E754),0))</f>
        <v>NG_HP2</v>
      </c>
      <c r="Y754" s="153" t="str">
        <f t="array" ref="Y754">INDEX(xlRTTYNAME,MATCH(1,(xlRTTYENDU=2)*(xlRTTYEQCL=$F754)*(xlRTEQTYPE=$G754),0))</f>
        <v>NG_HP2</v>
      </c>
    </row>
    <row r="755" spans="1:25" s="158" customFormat="1" x14ac:dyDescent="0.2">
      <c r="A755"/>
      <c r="B755" s="49">
        <v>6</v>
      </c>
      <c r="C755" s="49">
        <v>1</v>
      </c>
      <c r="D755" s="49">
        <v>11</v>
      </c>
      <c r="E755" s="49">
        <v>36</v>
      </c>
      <c r="F755" s="49">
        <v>5</v>
      </c>
      <c r="G755" s="49">
        <v>17</v>
      </c>
      <c r="H755" s="49">
        <v>2023</v>
      </c>
      <c r="I755" s="49">
        <v>2032</v>
      </c>
      <c r="J755" s="50">
        <v>1.0924</v>
      </c>
      <c r="K755" s="50">
        <v>1.0661</v>
      </c>
      <c r="L755" s="50">
        <v>0.57899999999999996</v>
      </c>
      <c r="M755" s="50">
        <v>0.84570000000000001</v>
      </c>
      <c r="N755" s="50">
        <v>0.89100000000000001</v>
      </c>
      <c r="O755" s="50">
        <v>1.0538000000000001</v>
      </c>
      <c r="P755" s="49">
        <v>8802</v>
      </c>
      <c r="Q755" s="51">
        <f t="array" ref="Q755">SUM(IF(($S755&gt;=4)*($C755='TaxCred&amp;Subs'!$D$123:$D$127)*($H755='TaxCred&amp;Subs'!$C$123:$C$127)*($H755&lt;='TaxCred&amp;Subs'!$C$129),'TaxCred&amp;Subs'!$E$123:$E$127,0))</f>
        <v>2500</v>
      </c>
      <c r="R755" s="171">
        <v>0</v>
      </c>
      <c r="S755" s="49">
        <v>4</v>
      </c>
      <c r="T755" s="49" t="s">
        <v>248</v>
      </c>
      <c r="U755"/>
      <c r="V755" s="153" t="str">
        <f t="array" ref="V755">INDEX(xlRTCLNAME,MATCH(1,(xlRTCLENDU=1)*(xlRTCLEQCL=$D755),0))</f>
        <v>NG_HP</v>
      </c>
      <c r="W755" s="153" t="str">
        <f t="array" ref="W755">INDEX(xlRTCLNAME,MATCH(1,(xlRTCLENDU=2)*(xlRTCLEQCL=$F755),0))</f>
        <v>NG_HP</v>
      </c>
      <c r="X755" s="153" t="str">
        <f t="array" ref="X755">INDEX(xlRTTYNAME,MATCH(1,(xlRTTYENDU=1)*(xlRTTYEQCL=$D755)*(xlRTEQTYPE=$E755),0))</f>
        <v>NG_HP2</v>
      </c>
      <c r="Y755" s="153" t="str">
        <f t="array" ref="Y755">INDEX(xlRTTYNAME,MATCH(1,(xlRTTYENDU=2)*(xlRTTYEQCL=$F755)*(xlRTEQTYPE=$G755),0))</f>
        <v>NG_HP2</v>
      </c>
    </row>
    <row r="756" spans="1:25" s="157" customFormat="1" x14ac:dyDescent="0.2">
      <c r="A756"/>
      <c r="B756" s="126">
        <v>6</v>
      </c>
      <c r="C756" s="126">
        <v>1</v>
      </c>
      <c r="D756" s="126">
        <v>11</v>
      </c>
      <c r="E756" s="126">
        <v>36</v>
      </c>
      <c r="F756" s="126">
        <v>5</v>
      </c>
      <c r="G756" s="126">
        <v>17</v>
      </c>
      <c r="H756" s="159">
        <v>2033</v>
      </c>
      <c r="I756" s="126">
        <v>2050</v>
      </c>
      <c r="J756" s="127">
        <v>1.0924</v>
      </c>
      <c r="K756" s="127">
        <v>1.0661</v>
      </c>
      <c r="L756" s="127">
        <v>0.57899999999999996</v>
      </c>
      <c r="M756" s="127">
        <v>0.84570000000000001</v>
      </c>
      <c r="N756" s="127">
        <v>0.89100000000000001</v>
      </c>
      <c r="O756" s="127">
        <v>1.0538000000000001</v>
      </c>
      <c r="P756" s="126">
        <v>8802</v>
      </c>
      <c r="Q756" s="128">
        <f t="array" ref="Q756">SUM(IF(($S756&gt;=4)*($C756='TaxCred&amp;Subs'!$D$123:$D$127)*($H756='TaxCred&amp;Subs'!$C$123:$C$127)*($H756&lt;='TaxCred&amp;Subs'!$C$129),'TaxCred&amp;Subs'!$E$123:$E$127,0))</f>
        <v>0</v>
      </c>
      <c r="R756" s="174">
        <v>0</v>
      </c>
      <c r="S756" s="126">
        <v>4</v>
      </c>
      <c r="T756" s="126" t="s">
        <v>248</v>
      </c>
      <c r="U756"/>
      <c r="V756" s="153" t="str">
        <f t="array" ref="V756">INDEX(xlRTCLNAME,MATCH(1,(xlRTCLENDU=1)*(xlRTCLEQCL=$D756),0))</f>
        <v>NG_HP</v>
      </c>
      <c r="W756" s="153" t="str">
        <f t="array" ref="W756">INDEX(xlRTCLNAME,MATCH(1,(xlRTCLENDU=2)*(xlRTCLEQCL=$F756),0))</f>
        <v>NG_HP</v>
      </c>
      <c r="X756" s="153" t="str">
        <f t="array" ref="X756">INDEX(xlRTTYNAME,MATCH(1,(xlRTTYENDU=1)*(xlRTTYEQCL=$D756)*(xlRTEQTYPE=$E756),0))</f>
        <v>NG_HP2</v>
      </c>
      <c r="Y756" s="153" t="str">
        <f t="array" ref="Y756">INDEX(xlRTTYNAME,MATCH(1,(xlRTTYENDU=2)*(xlRTTYEQCL=$F756)*(xlRTEQTYPE=$G756),0))</f>
        <v>NG_HP2</v>
      </c>
    </row>
    <row r="757" spans="1:25" s="157" customFormat="1" x14ac:dyDescent="0.2">
      <c r="A757"/>
      <c r="B757" s="126">
        <v>7</v>
      </c>
      <c r="C757" s="126">
        <v>1</v>
      </c>
      <c r="D757" s="126">
        <v>11</v>
      </c>
      <c r="E757" s="126">
        <v>36</v>
      </c>
      <c r="F757" s="126">
        <v>5</v>
      </c>
      <c r="G757" s="126">
        <v>17</v>
      </c>
      <c r="H757" s="126">
        <v>2016</v>
      </c>
      <c r="I757" s="159">
        <v>2022</v>
      </c>
      <c r="J757" s="127">
        <v>1.0905</v>
      </c>
      <c r="K757" s="127">
        <v>1.0562</v>
      </c>
      <c r="L757" s="127">
        <v>0.48959999999999998</v>
      </c>
      <c r="M757" s="127">
        <v>0.70569999999999999</v>
      </c>
      <c r="N757" s="127">
        <v>0.87180000000000002</v>
      </c>
      <c r="O757" s="127">
        <v>1.0538000000000001</v>
      </c>
      <c r="P757" s="126">
        <v>9755</v>
      </c>
      <c r="Q757" s="128">
        <f t="array" ref="Q757">SUM(IF(($S757&gt;=4)*($C757='TaxCred&amp;Subs'!$D$123:$D$127)*($H757='TaxCred&amp;Subs'!$C$123:$C$127)*($H757&lt;='TaxCred&amp;Subs'!$C$129),'TaxCred&amp;Subs'!$E$123:$E$127,0))</f>
        <v>2000</v>
      </c>
      <c r="R757" s="174">
        <v>0</v>
      </c>
      <c r="S757" s="126">
        <v>4</v>
      </c>
      <c r="T757" s="126" t="s">
        <v>248</v>
      </c>
      <c r="U757"/>
      <c r="V757" s="153" t="str">
        <f t="array" ref="V757">INDEX(xlRTCLNAME,MATCH(1,(xlRTCLENDU=1)*(xlRTCLEQCL=$D757),0))</f>
        <v>NG_HP</v>
      </c>
      <c r="W757" s="153" t="str">
        <f t="array" ref="W757">INDEX(xlRTCLNAME,MATCH(1,(xlRTCLENDU=2)*(xlRTCLEQCL=$F757),0))</f>
        <v>NG_HP</v>
      </c>
      <c r="X757" s="153" t="str">
        <f t="array" ref="X757">INDEX(xlRTTYNAME,MATCH(1,(xlRTTYENDU=1)*(xlRTTYEQCL=$D757)*(xlRTEQTYPE=$E757),0))</f>
        <v>NG_HP2</v>
      </c>
      <c r="Y757" s="153" t="str">
        <f t="array" ref="Y757">INDEX(xlRTTYNAME,MATCH(1,(xlRTTYENDU=2)*(xlRTTYEQCL=$F757)*(xlRTEQTYPE=$G757),0))</f>
        <v>NG_HP2</v>
      </c>
    </row>
    <row r="758" spans="1:25" s="157" customFormat="1" x14ac:dyDescent="0.2">
      <c r="A758"/>
      <c r="B758" s="49">
        <v>7</v>
      </c>
      <c r="C758" s="49">
        <v>1</v>
      </c>
      <c r="D758" s="49">
        <v>11</v>
      </c>
      <c r="E758" s="49">
        <v>36</v>
      </c>
      <c r="F758" s="49">
        <v>5</v>
      </c>
      <c r="G758" s="49">
        <v>17</v>
      </c>
      <c r="H758" s="49">
        <v>2023</v>
      </c>
      <c r="I758" s="49">
        <v>2032</v>
      </c>
      <c r="J758" s="50">
        <v>1.0905</v>
      </c>
      <c r="K758" s="50">
        <v>1.0562</v>
      </c>
      <c r="L758" s="50">
        <v>0.48959999999999998</v>
      </c>
      <c r="M758" s="50">
        <v>0.70569999999999999</v>
      </c>
      <c r="N758" s="50">
        <v>0.87180000000000002</v>
      </c>
      <c r="O758" s="50">
        <v>1.0538000000000001</v>
      </c>
      <c r="P758" s="49">
        <v>9755</v>
      </c>
      <c r="Q758" s="51">
        <f t="array" ref="Q758">SUM(IF(($S758&gt;=4)*($C758='TaxCred&amp;Subs'!$D$123:$D$127)*($H758='TaxCred&amp;Subs'!$C$123:$C$127)*($H758&lt;='TaxCred&amp;Subs'!$C$129),'TaxCred&amp;Subs'!$E$123:$E$127,0))</f>
        <v>2500</v>
      </c>
      <c r="R758" s="171">
        <v>0</v>
      </c>
      <c r="S758" s="49">
        <v>4</v>
      </c>
      <c r="T758" s="49" t="s">
        <v>248</v>
      </c>
      <c r="U758"/>
      <c r="V758" s="153" t="str">
        <f t="array" ref="V758">INDEX(xlRTCLNAME,MATCH(1,(xlRTCLENDU=1)*(xlRTCLEQCL=$D758),0))</f>
        <v>NG_HP</v>
      </c>
      <c r="W758" s="153" t="str">
        <f t="array" ref="W758">INDEX(xlRTCLNAME,MATCH(1,(xlRTCLENDU=2)*(xlRTCLEQCL=$F758),0))</f>
        <v>NG_HP</v>
      </c>
      <c r="X758" s="153" t="str">
        <f t="array" ref="X758">INDEX(xlRTTYNAME,MATCH(1,(xlRTTYENDU=1)*(xlRTTYEQCL=$D758)*(xlRTEQTYPE=$E758),0))</f>
        <v>NG_HP2</v>
      </c>
      <c r="Y758" s="153" t="str">
        <f t="array" ref="Y758">INDEX(xlRTTYNAME,MATCH(1,(xlRTTYENDU=2)*(xlRTTYEQCL=$F758)*(xlRTEQTYPE=$G758),0))</f>
        <v>NG_HP2</v>
      </c>
    </row>
    <row r="759" spans="1:25" s="157" customFormat="1" x14ac:dyDescent="0.2">
      <c r="A759"/>
      <c r="B759" s="126">
        <v>7</v>
      </c>
      <c r="C759" s="126">
        <v>1</v>
      </c>
      <c r="D759" s="126">
        <v>11</v>
      </c>
      <c r="E759" s="126">
        <v>36</v>
      </c>
      <c r="F759" s="126">
        <v>5</v>
      </c>
      <c r="G759" s="126">
        <v>17</v>
      </c>
      <c r="H759" s="159">
        <v>2033</v>
      </c>
      <c r="I759" s="126">
        <v>2050</v>
      </c>
      <c r="J759" s="127">
        <v>1.0905</v>
      </c>
      <c r="K759" s="127">
        <v>1.0562</v>
      </c>
      <c r="L759" s="127">
        <v>0.48959999999999998</v>
      </c>
      <c r="M759" s="127">
        <v>0.70569999999999999</v>
      </c>
      <c r="N759" s="127">
        <v>0.87180000000000002</v>
      </c>
      <c r="O759" s="127">
        <v>1.0538000000000001</v>
      </c>
      <c r="P759" s="126">
        <v>9755</v>
      </c>
      <c r="Q759" s="128">
        <f t="array" ref="Q759">SUM(IF(($S759&gt;=4)*($C759='TaxCred&amp;Subs'!$D$123:$D$127)*($H759='TaxCred&amp;Subs'!$C$123:$C$127)*($H759&lt;='TaxCred&amp;Subs'!$C$129),'TaxCred&amp;Subs'!$E$123:$E$127,0))</f>
        <v>0</v>
      </c>
      <c r="R759" s="174">
        <v>0</v>
      </c>
      <c r="S759" s="126">
        <v>4</v>
      </c>
      <c r="T759" s="126" t="s">
        <v>248</v>
      </c>
      <c r="U759"/>
      <c r="V759" s="153" t="str">
        <f t="array" ref="V759">INDEX(xlRTCLNAME,MATCH(1,(xlRTCLENDU=1)*(xlRTCLEQCL=$D759),0))</f>
        <v>NG_HP</v>
      </c>
      <c r="W759" s="153" t="str">
        <f t="array" ref="W759">INDEX(xlRTCLNAME,MATCH(1,(xlRTCLENDU=2)*(xlRTCLEQCL=$F759),0))</f>
        <v>NG_HP</v>
      </c>
      <c r="X759" s="153" t="str">
        <f t="array" ref="X759">INDEX(xlRTTYNAME,MATCH(1,(xlRTTYENDU=1)*(xlRTTYEQCL=$D759)*(xlRTEQTYPE=$E759),0))</f>
        <v>NG_HP2</v>
      </c>
      <c r="Y759" s="153" t="str">
        <f t="array" ref="Y759">INDEX(xlRTTYNAME,MATCH(1,(xlRTTYENDU=2)*(xlRTTYEQCL=$F759)*(xlRTEQTYPE=$G759),0))</f>
        <v>NG_HP2</v>
      </c>
    </row>
    <row r="760" spans="1:25" s="157" customFormat="1" x14ac:dyDescent="0.2">
      <c r="A760"/>
      <c r="B760" s="126">
        <v>8</v>
      </c>
      <c r="C760" s="126">
        <v>1</v>
      </c>
      <c r="D760" s="126">
        <v>11</v>
      </c>
      <c r="E760" s="126">
        <v>36</v>
      </c>
      <c r="F760" s="126">
        <v>5</v>
      </c>
      <c r="G760" s="126">
        <v>17</v>
      </c>
      <c r="H760" s="126">
        <v>2016</v>
      </c>
      <c r="I760" s="159">
        <v>2022</v>
      </c>
      <c r="J760" s="127">
        <v>1.0801000000000001</v>
      </c>
      <c r="K760" s="127">
        <v>1.0822000000000001</v>
      </c>
      <c r="L760" s="127">
        <v>0.44240000000000002</v>
      </c>
      <c r="M760" s="127">
        <v>0.77290000000000003</v>
      </c>
      <c r="N760" s="127">
        <v>0.86950000000000005</v>
      </c>
      <c r="O760" s="127">
        <v>1.0538000000000001</v>
      </c>
      <c r="P760" s="126">
        <v>12094</v>
      </c>
      <c r="Q760" s="128">
        <f t="array" ref="Q760">SUM(IF(($S760&gt;=4)*($C760='TaxCred&amp;Subs'!$D$123:$D$127)*($H760='TaxCred&amp;Subs'!$C$123:$C$127)*($H760&lt;='TaxCred&amp;Subs'!$C$129),'TaxCred&amp;Subs'!$E$123:$E$127,0))</f>
        <v>2000</v>
      </c>
      <c r="R760" s="174">
        <v>0</v>
      </c>
      <c r="S760" s="126">
        <v>4</v>
      </c>
      <c r="T760" s="126" t="s">
        <v>248</v>
      </c>
      <c r="U760"/>
      <c r="V760" s="153" t="str">
        <f t="array" ref="V760">INDEX(xlRTCLNAME,MATCH(1,(xlRTCLENDU=1)*(xlRTCLEQCL=$D760),0))</f>
        <v>NG_HP</v>
      </c>
      <c r="W760" s="153" t="str">
        <f t="array" ref="W760">INDEX(xlRTCLNAME,MATCH(1,(xlRTCLENDU=2)*(xlRTCLEQCL=$F760),0))</f>
        <v>NG_HP</v>
      </c>
      <c r="X760" s="153" t="str">
        <f t="array" ref="X760">INDEX(xlRTTYNAME,MATCH(1,(xlRTTYENDU=1)*(xlRTTYEQCL=$D760)*(xlRTEQTYPE=$E760),0))</f>
        <v>NG_HP2</v>
      </c>
      <c r="Y760" s="153" t="str">
        <f t="array" ref="Y760">INDEX(xlRTTYNAME,MATCH(1,(xlRTTYENDU=2)*(xlRTTYEQCL=$F760)*(xlRTEQTYPE=$G760),0))</f>
        <v>NG_HP2</v>
      </c>
    </row>
    <row r="761" spans="1:25" s="158" customFormat="1" x14ac:dyDescent="0.2">
      <c r="A761"/>
      <c r="B761" s="49">
        <v>8</v>
      </c>
      <c r="C761" s="49">
        <v>1</v>
      </c>
      <c r="D761" s="49">
        <v>11</v>
      </c>
      <c r="E761" s="49">
        <v>36</v>
      </c>
      <c r="F761" s="49">
        <v>5</v>
      </c>
      <c r="G761" s="49">
        <v>17</v>
      </c>
      <c r="H761" s="49">
        <v>2023</v>
      </c>
      <c r="I761" s="49">
        <v>2032</v>
      </c>
      <c r="J761" s="50">
        <v>1.0801000000000001</v>
      </c>
      <c r="K761" s="50">
        <v>1.0822000000000001</v>
      </c>
      <c r="L761" s="50">
        <v>0.44240000000000002</v>
      </c>
      <c r="M761" s="50">
        <v>0.77290000000000003</v>
      </c>
      <c r="N761" s="50">
        <v>0.86950000000000005</v>
      </c>
      <c r="O761" s="50">
        <v>1.0538000000000001</v>
      </c>
      <c r="P761" s="49">
        <v>12094</v>
      </c>
      <c r="Q761" s="51">
        <f t="array" ref="Q761">SUM(IF(($S761&gt;=4)*($C761='TaxCred&amp;Subs'!$D$123:$D$127)*($H761='TaxCred&amp;Subs'!$C$123:$C$127)*($H761&lt;='TaxCred&amp;Subs'!$C$129),'TaxCred&amp;Subs'!$E$123:$E$127,0))</f>
        <v>2500</v>
      </c>
      <c r="R761" s="171">
        <v>0</v>
      </c>
      <c r="S761" s="49">
        <v>4</v>
      </c>
      <c r="T761" s="49" t="s">
        <v>248</v>
      </c>
      <c r="U761"/>
      <c r="V761" s="153" t="str">
        <f t="array" ref="V761">INDEX(xlRTCLNAME,MATCH(1,(xlRTCLENDU=1)*(xlRTCLEQCL=$D761),0))</f>
        <v>NG_HP</v>
      </c>
      <c r="W761" s="153" t="str">
        <f t="array" ref="W761">INDEX(xlRTCLNAME,MATCH(1,(xlRTCLENDU=2)*(xlRTCLEQCL=$F761),0))</f>
        <v>NG_HP</v>
      </c>
      <c r="X761" s="153" t="str">
        <f t="array" ref="X761">INDEX(xlRTTYNAME,MATCH(1,(xlRTTYENDU=1)*(xlRTTYEQCL=$D761)*(xlRTEQTYPE=$E761),0))</f>
        <v>NG_HP2</v>
      </c>
      <c r="Y761" s="153" t="str">
        <f t="array" ref="Y761">INDEX(xlRTTYNAME,MATCH(1,(xlRTTYENDU=2)*(xlRTTYEQCL=$F761)*(xlRTEQTYPE=$G761),0))</f>
        <v>NG_HP2</v>
      </c>
    </row>
    <row r="762" spans="1:25" s="157" customFormat="1" x14ac:dyDescent="0.2">
      <c r="A762"/>
      <c r="B762" s="126">
        <v>8</v>
      </c>
      <c r="C762" s="126">
        <v>1</v>
      </c>
      <c r="D762" s="126">
        <v>11</v>
      </c>
      <c r="E762" s="126">
        <v>36</v>
      </c>
      <c r="F762" s="126">
        <v>5</v>
      </c>
      <c r="G762" s="126">
        <v>17</v>
      </c>
      <c r="H762" s="159">
        <v>2033</v>
      </c>
      <c r="I762" s="126">
        <v>2050</v>
      </c>
      <c r="J762" s="127">
        <v>1.0801000000000001</v>
      </c>
      <c r="K762" s="127">
        <v>1.0822000000000001</v>
      </c>
      <c r="L762" s="127">
        <v>0.44240000000000002</v>
      </c>
      <c r="M762" s="127">
        <v>0.77290000000000003</v>
      </c>
      <c r="N762" s="127">
        <v>0.86950000000000005</v>
      </c>
      <c r="O762" s="127">
        <v>1.0538000000000001</v>
      </c>
      <c r="P762" s="126">
        <v>12094</v>
      </c>
      <c r="Q762" s="128">
        <f t="array" ref="Q762">SUM(IF(($S762&gt;=4)*($C762='TaxCred&amp;Subs'!$D$123:$D$127)*($H762='TaxCred&amp;Subs'!$C$123:$C$127)*($H762&lt;='TaxCred&amp;Subs'!$C$129),'TaxCred&amp;Subs'!$E$123:$E$127,0))</f>
        <v>0</v>
      </c>
      <c r="R762" s="174">
        <v>0</v>
      </c>
      <c r="S762" s="126">
        <v>4</v>
      </c>
      <c r="T762" s="126" t="s">
        <v>248</v>
      </c>
      <c r="U762"/>
      <c r="V762" s="153" t="str">
        <f t="array" ref="V762">INDEX(xlRTCLNAME,MATCH(1,(xlRTCLENDU=1)*(xlRTCLEQCL=$D762),0))</f>
        <v>NG_HP</v>
      </c>
      <c r="W762" s="153" t="str">
        <f t="array" ref="W762">INDEX(xlRTCLNAME,MATCH(1,(xlRTCLENDU=2)*(xlRTCLEQCL=$F762),0))</f>
        <v>NG_HP</v>
      </c>
      <c r="X762" s="153" t="str">
        <f t="array" ref="X762">INDEX(xlRTTYNAME,MATCH(1,(xlRTTYENDU=1)*(xlRTTYEQCL=$D762)*(xlRTEQTYPE=$E762),0))</f>
        <v>NG_HP2</v>
      </c>
      <c r="Y762" s="153" t="str">
        <f t="array" ref="Y762">INDEX(xlRTTYNAME,MATCH(1,(xlRTTYENDU=2)*(xlRTTYEQCL=$F762)*(xlRTEQTYPE=$G762),0))</f>
        <v>NG_HP2</v>
      </c>
    </row>
    <row r="763" spans="1:25" s="157" customFormat="1" x14ac:dyDescent="0.2">
      <c r="A763"/>
      <c r="B763" s="126">
        <v>9</v>
      </c>
      <c r="C763" s="126">
        <v>1</v>
      </c>
      <c r="D763" s="126">
        <v>11</v>
      </c>
      <c r="E763" s="126">
        <v>36</v>
      </c>
      <c r="F763" s="126">
        <v>5</v>
      </c>
      <c r="G763" s="126">
        <v>17</v>
      </c>
      <c r="H763" s="126">
        <v>2016</v>
      </c>
      <c r="I763" s="159">
        <v>2022</v>
      </c>
      <c r="J763" s="127">
        <v>1.0781000000000001</v>
      </c>
      <c r="K763" s="127">
        <v>1.0707</v>
      </c>
      <c r="L763" s="127">
        <v>0.55130000000000001</v>
      </c>
      <c r="M763" s="127">
        <v>0.82869999999999999</v>
      </c>
      <c r="N763" s="127">
        <v>1.0339</v>
      </c>
      <c r="O763" s="127">
        <v>1.0538000000000001</v>
      </c>
      <c r="P763" s="126">
        <v>12618</v>
      </c>
      <c r="Q763" s="128">
        <f t="array" ref="Q763">SUM(IF(($S763&gt;=4)*($C763='TaxCred&amp;Subs'!$D$123:$D$127)*($H763='TaxCred&amp;Subs'!$C$123:$C$127)*($H763&lt;='TaxCred&amp;Subs'!$C$129),'TaxCred&amp;Subs'!$E$123:$E$127,0))</f>
        <v>2000</v>
      </c>
      <c r="R763" s="174">
        <v>0</v>
      </c>
      <c r="S763" s="126">
        <v>4</v>
      </c>
      <c r="T763" s="126" t="s">
        <v>248</v>
      </c>
      <c r="U763"/>
      <c r="V763" s="153" t="str">
        <f t="array" ref="V763">INDEX(xlRTCLNAME,MATCH(1,(xlRTCLENDU=1)*(xlRTCLEQCL=$D763),0))</f>
        <v>NG_HP</v>
      </c>
      <c r="W763" s="153" t="str">
        <f t="array" ref="W763">INDEX(xlRTCLNAME,MATCH(1,(xlRTCLENDU=2)*(xlRTCLEQCL=$F763),0))</f>
        <v>NG_HP</v>
      </c>
      <c r="X763" s="153" t="str">
        <f t="array" ref="X763">INDEX(xlRTTYNAME,MATCH(1,(xlRTTYENDU=1)*(xlRTTYEQCL=$D763)*(xlRTEQTYPE=$E763),0))</f>
        <v>NG_HP2</v>
      </c>
      <c r="Y763" s="153" t="str">
        <f t="array" ref="Y763">INDEX(xlRTTYNAME,MATCH(1,(xlRTTYENDU=2)*(xlRTTYEQCL=$F763)*(xlRTEQTYPE=$G763),0))</f>
        <v>NG_HP2</v>
      </c>
    </row>
    <row r="764" spans="1:25" s="157" customFormat="1" x14ac:dyDescent="0.2">
      <c r="A764"/>
      <c r="B764" s="49">
        <v>9</v>
      </c>
      <c r="C764" s="49">
        <v>1</v>
      </c>
      <c r="D764" s="49">
        <v>11</v>
      </c>
      <c r="E764" s="49">
        <v>36</v>
      </c>
      <c r="F764" s="49">
        <v>5</v>
      </c>
      <c r="G764" s="49">
        <v>17</v>
      </c>
      <c r="H764" s="49">
        <v>2023</v>
      </c>
      <c r="I764" s="49">
        <v>2032</v>
      </c>
      <c r="J764" s="50">
        <v>1.0781000000000001</v>
      </c>
      <c r="K764" s="50">
        <v>1.0707</v>
      </c>
      <c r="L764" s="50">
        <v>0.55130000000000001</v>
      </c>
      <c r="M764" s="50">
        <v>0.82869999999999999</v>
      </c>
      <c r="N764" s="50">
        <v>1.0339</v>
      </c>
      <c r="O764" s="50">
        <v>1.0538000000000001</v>
      </c>
      <c r="P764" s="49">
        <v>12618</v>
      </c>
      <c r="Q764" s="51">
        <f t="array" ref="Q764">SUM(IF(($S764&gt;=4)*($C764='TaxCred&amp;Subs'!$D$123:$D$127)*($H764='TaxCred&amp;Subs'!$C$123:$C$127)*($H764&lt;='TaxCred&amp;Subs'!$C$129),'TaxCred&amp;Subs'!$E$123:$E$127,0))</f>
        <v>2500</v>
      </c>
      <c r="R764" s="171">
        <v>0</v>
      </c>
      <c r="S764" s="49">
        <v>4</v>
      </c>
      <c r="T764" s="49" t="s">
        <v>248</v>
      </c>
      <c r="U764"/>
      <c r="V764" s="153" t="str">
        <f t="array" ref="V764">INDEX(xlRTCLNAME,MATCH(1,(xlRTCLENDU=1)*(xlRTCLEQCL=$D764),0))</f>
        <v>NG_HP</v>
      </c>
      <c r="W764" s="153" t="str">
        <f t="array" ref="W764">INDEX(xlRTCLNAME,MATCH(1,(xlRTCLENDU=2)*(xlRTCLEQCL=$F764),0))</f>
        <v>NG_HP</v>
      </c>
      <c r="X764" s="153" t="str">
        <f t="array" ref="X764">INDEX(xlRTTYNAME,MATCH(1,(xlRTTYENDU=1)*(xlRTTYEQCL=$D764)*(xlRTEQTYPE=$E764),0))</f>
        <v>NG_HP2</v>
      </c>
      <c r="Y764" s="153" t="str">
        <f t="array" ref="Y764">INDEX(xlRTTYNAME,MATCH(1,(xlRTTYENDU=2)*(xlRTTYEQCL=$F764)*(xlRTEQTYPE=$G764),0))</f>
        <v>NG_HP2</v>
      </c>
    </row>
    <row r="765" spans="1:25" s="157" customFormat="1" x14ac:dyDescent="0.2">
      <c r="A765"/>
      <c r="B765" s="126">
        <v>9</v>
      </c>
      <c r="C765" s="126">
        <v>1</v>
      </c>
      <c r="D765" s="126">
        <v>11</v>
      </c>
      <c r="E765" s="126">
        <v>36</v>
      </c>
      <c r="F765" s="126">
        <v>5</v>
      </c>
      <c r="G765" s="126">
        <v>17</v>
      </c>
      <c r="H765" s="159">
        <v>2033</v>
      </c>
      <c r="I765" s="126">
        <v>2050</v>
      </c>
      <c r="J765" s="127">
        <v>1.0781000000000001</v>
      </c>
      <c r="K765" s="127">
        <v>1.0707</v>
      </c>
      <c r="L765" s="127">
        <v>0.55130000000000001</v>
      </c>
      <c r="M765" s="127">
        <v>0.82869999999999999</v>
      </c>
      <c r="N765" s="127">
        <v>1.0339</v>
      </c>
      <c r="O765" s="127">
        <v>1.0538000000000001</v>
      </c>
      <c r="P765" s="126">
        <v>12618</v>
      </c>
      <c r="Q765" s="128">
        <f t="array" ref="Q765">SUM(IF(($S765&gt;=4)*($C765='TaxCred&amp;Subs'!$D$123:$D$127)*($H765='TaxCred&amp;Subs'!$C$123:$C$127)*($H765&lt;='TaxCred&amp;Subs'!$C$129),'TaxCred&amp;Subs'!$E$123:$E$127,0))</f>
        <v>0</v>
      </c>
      <c r="R765" s="174">
        <v>0</v>
      </c>
      <c r="S765" s="126">
        <v>4</v>
      </c>
      <c r="T765" s="126" t="s">
        <v>248</v>
      </c>
      <c r="U765"/>
      <c r="V765" s="153" t="str">
        <f t="array" ref="V765">INDEX(xlRTCLNAME,MATCH(1,(xlRTCLENDU=1)*(xlRTCLEQCL=$D765),0))</f>
        <v>NG_HP</v>
      </c>
      <c r="W765" s="153" t="str">
        <f t="array" ref="W765">INDEX(xlRTCLNAME,MATCH(1,(xlRTCLENDU=2)*(xlRTCLEQCL=$F765),0))</f>
        <v>NG_HP</v>
      </c>
      <c r="X765" s="153" t="str">
        <f t="array" ref="X765">INDEX(xlRTTYNAME,MATCH(1,(xlRTTYENDU=1)*(xlRTTYEQCL=$D765)*(xlRTEQTYPE=$E765),0))</f>
        <v>NG_HP2</v>
      </c>
      <c r="Y765" s="153" t="str">
        <f t="array" ref="Y765">INDEX(xlRTTYNAME,MATCH(1,(xlRTTYENDU=2)*(xlRTTYEQCL=$F765)*(xlRTEQTYPE=$G765),0))</f>
        <v>NG_HP2</v>
      </c>
    </row>
    <row r="766" spans="1:25" s="157" customFormat="1" x14ac:dyDescent="0.2">
      <c r="A766"/>
      <c r="B766" s="126">
        <v>2</v>
      </c>
      <c r="C766" s="126">
        <v>1</v>
      </c>
      <c r="D766" s="126">
        <v>2</v>
      </c>
      <c r="E766" s="126">
        <v>5</v>
      </c>
      <c r="F766" s="126">
        <v>3</v>
      </c>
      <c r="G766" s="126">
        <v>12</v>
      </c>
      <c r="H766" s="126">
        <v>2016</v>
      </c>
      <c r="I766" s="159">
        <v>2022</v>
      </c>
      <c r="J766" s="127">
        <v>1.0588</v>
      </c>
      <c r="K766" s="127">
        <v>1.0734999999999999</v>
      </c>
      <c r="L766" s="127">
        <v>0.46600000000000003</v>
      </c>
      <c r="M766" s="127">
        <v>0.81589999999999996</v>
      </c>
      <c r="N766" s="127">
        <v>0.93840000000000001</v>
      </c>
      <c r="O766" s="127">
        <v>1.0538000000000001</v>
      </c>
      <c r="P766" s="126">
        <v>16678</v>
      </c>
      <c r="Q766" s="128">
        <f t="array" ref="Q766">SUM(IF(($S766&gt;=4)*($C766='TaxCred&amp;Subs'!$D$123:$D$127)*($H766='TaxCred&amp;Subs'!$C$123:$C$127)*($H766&lt;='TaxCred&amp;Subs'!$C$129),'TaxCred&amp;Subs'!$E$123:$E$127,0))</f>
        <v>2000</v>
      </c>
      <c r="R766" s="174">
        <v>0</v>
      </c>
      <c r="S766" s="126">
        <v>5</v>
      </c>
      <c r="T766" s="126" t="s">
        <v>225</v>
      </c>
      <c r="U766"/>
      <c r="V766" s="153" t="str">
        <f t="array" ref="V766">INDEX(xlRTCLNAME,MATCH(1,(xlRTCLENDU=1)*(xlRTCLEQCL=$D766),0))</f>
        <v>ELEC_HP</v>
      </c>
      <c r="W766" s="153" t="str">
        <f t="array" ref="W766">INDEX(xlRTCLNAME,MATCH(1,(xlRTCLENDU=2)*(xlRTCLEQCL=$F766),0))</f>
        <v>ELEC_HP</v>
      </c>
      <c r="X766" s="153" t="str">
        <f t="array" ref="X766">INDEX(xlRTTYNAME,MATCH(1,(xlRTTYENDU=1)*(xlRTTYEQCL=$D766)*(xlRTEQTYPE=$E766),0))</f>
        <v>ELEC_HP4</v>
      </c>
      <c r="Y766" s="153" t="str">
        <f t="array" ref="Y766">INDEX(xlRTTYNAME,MATCH(1,(xlRTTYENDU=2)*(xlRTTYEQCL=$F766)*(xlRTEQTYPE=$G766),0))</f>
        <v>ELEC_HP4</v>
      </c>
    </row>
    <row r="767" spans="1:25" s="157" customFormat="1" x14ac:dyDescent="0.2">
      <c r="A767"/>
      <c r="B767" s="49">
        <v>2</v>
      </c>
      <c r="C767" s="49">
        <v>1</v>
      </c>
      <c r="D767" s="49">
        <v>2</v>
      </c>
      <c r="E767" s="49">
        <v>5</v>
      </c>
      <c r="F767" s="49">
        <v>3</v>
      </c>
      <c r="G767" s="49">
        <v>12</v>
      </c>
      <c r="H767" s="49">
        <v>2023</v>
      </c>
      <c r="I767" s="49">
        <v>2032</v>
      </c>
      <c r="J767" s="50">
        <v>1.0588</v>
      </c>
      <c r="K767" s="50">
        <v>1.0734999999999999</v>
      </c>
      <c r="L767" s="50">
        <v>0.46600000000000003</v>
      </c>
      <c r="M767" s="50">
        <v>0.81589999999999996</v>
      </c>
      <c r="N767" s="50">
        <v>0.93840000000000001</v>
      </c>
      <c r="O767" s="50">
        <v>1.0538000000000001</v>
      </c>
      <c r="P767" s="49">
        <v>16678</v>
      </c>
      <c r="Q767" s="51">
        <f t="array" ref="Q767">SUM(IF(($S767&gt;=4)*($C767='TaxCred&amp;Subs'!$D$123:$D$127)*($H767='TaxCred&amp;Subs'!$C$123:$C$127)*($H767&lt;='TaxCred&amp;Subs'!$C$129),'TaxCred&amp;Subs'!$E$123:$E$127,0))</f>
        <v>2500</v>
      </c>
      <c r="R767" s="171">
        <v>0</v>
      </c>
      <c r="S767" s="49">
        <v>5</v>
      </c>
      <c r="T767" s="49" t="s">
        <v>225</v>
      </c>
      <c r="U767"/>
      <c r="V767" s="153" t="str">
        <f t="array" ref="V767">INDEX(xlRTCLNAME,MATCH(1,(xlRTCLENDU=1)*(xlRTCLEQCL=$D767),0))</f>
        <v>ELEC_HP</v>
      </c>
      <c r="W767" s="153" t="str">
        <f t="array" ref="W767">INDEX(xlRTCLNAME,MATCH(1,(xlRTCLENDU=2)*(xlRTCLEQCL=$F767),0))</f>
        <v>ELEC_HP</v>
      </c>
      <c r="X767" s="153" t="str">
        <f t="array" ref="X767">INDEX(xlRTTYNAME,MATCH(1,(xlRTTYENDU=1)*(xlRTTYEQCL=$D767)*(xlRTEQTYPE=$E767),0))</f>
        <v>ELEC_HP4</v>
      </c>
      <c r="Y767" s="153" t="str">
        <f t="array" ref="Y767">INDEX(xlRTTYNAME,MATCH(1,(xlRTTYENDU=2)*(xlRTTYEQCL=$F767)*(xlRTEQTYPE=$G767),0))</f>
        <v>ELEC_HP4</v>
      </c>
    </row>
    <row r="768" spans="1:25" s="157" customFormat="1" x14ac:dyDescent="0.2">
      <c r="A768"/>
      <c r="B768" s="126">
        <v>2</v>
      </c>
      <c r="C768" s="126">
        <v>1</v>
      </c>
      <c r="D768" s="126">
        <v>2</v>
      </c>
      <c r="E768" s="126">
        <v>5</v>
      </c>
      <c r="F768" s="126">
        <v>3</v>
      </c>
      <c r="G768" s="126">
        <v>12</v>
      </c>
      <c r="H768" s="159">
        <v>2033</v>
      </c>
      <c r="I768" s="126">
        <v>2050</v>
      </c>
      <c r="J768" s="127">
        <v>1.0588</v>
      </c>
      <c r="K768" s="127">
        <v>1.0734999999999999</v>
      </c>
      <c r="L768" s="127">
        <v>0.46600000000000003</v>
      </c>
      <c r="M768" s="127">
        <v>0.81589999999999996</v>
      </c>
      <c r="N768" s="127">
        <v>0.93840000000000001</v>
      </c>
      <c r="O768" s="127">
        <v>1.0538000000000001</v>
      </c>
      <c r="P768" s="126">
        <v>16678</v>
      </c>
      <c r="Q768" s="128">
        <f t="array" ref="Q768">SUM(IF(($S768&gt;=4)*($C768='TaxCred&amp;Subs'!$D$123:$D$127)*($H768='TaxCred&amp;Subs'!$C$123:$C$127)*($H768&lt;='TaxCred&amp;Subs'!$C$129),'TaxCred&amp;Subs'!$E$123:$E$127,0))</f>
        <v>0</v>
      </c>
      <c r="R768" s="174">
        <v>0</v>
      </c>
      <c r="S768" s="126">
        <v>5</v>
      </c>
      <c r="T768" s="126" t="s">
        <v>225</v>
      </c>
      <c r="U768"/>
      <c r="V768" s="153" t="str">
        <f t="array" ref="V768">INDEX(xlRTCLNAME,MATCH(1,(xlRTCLENDU=1)*(xlRTCLEQCL=$D768),0))</f>
        <v>ELEC_HP</v>
      </c>
      <c r="W768" s="153" t="str">
        <f t="array" ref="W768">INDEX(xlRTCLNAME,MATCH(1,(xlRTCLENDU=2)*(xlRTCLEQCL=$F768),0))</f>
        <v>ELEC_HP</v>
      </c>
      <c r="X768" s="153" t="str">
        <f t="array" ref="X768">INDEX(xlRTTYNAME,MATCH(1,(xlRTTYENDU=1)*(xlRTTYEQCL=$D768)*(xlRTEQTYPE=$E768),0))</f>
        <v>ELEC_HP4</v>
      </c>
      <c r="Y768" s="153" t="str">
        <f t="array" ref="Y768">INDEX(xlRTTYNAME,MATCH(1,(xlRTTYENDU=2)*(xlRTTYEQCL=$F768)*(xlRTEQTYPE=$G768),0))</f>
        <v>ELEC_HP4</v>
      </c>
    </row>
    <row r="769" spans="1:25" s="157" customFormat="1" x14ac:dyDescent="0.2">
      <c r="A769"/>
      <c r="B769" s="126">
        <v>5</v>
      </c>
      <c r="C769" s="126">
        <v>1</v>
      </c>
      <c r="D769" s="126">
        <v>2</v>
      </c>
      <c r="E769" s="126">
        <v>5</v>
      </c>
      <c r="F769" s="126">
        <v>3</v>
      </c>
      <c r="G769" s="126">
        <v>12</v>
      </c>
      <c r="H769" s="126">
        <v>2016</v>
      </c>
      <c r="I769" s="159">
        <v>2022</v>
      </c>
      <c r="J769" s="127">
        <v>1.0806</v>
      </c>
      <c r="K769" s="127">
        <v>1.0507</v>
      </c>
      <c r="L769" s="127">
        <v>0.33310000000000001</v>
      </c>
      <c r="M769" s="127">
        <v>0.73150000000000004</v>
      </c>
      <c r="N769" s="127">
        <v>0.78859999999999997</v>
      </c>
      <c r="O769" s="127">
        <v>1.0538000000000001</v>
      </c>
      <c r="P769" s="126">
        <v>11579</v>
      </c>
      <c r="Q769" s="128">
        <f t="array" ref="Q769">SUM(IF(($S769&gt;=4)*($C769='TaxCred&amp;Subs'!$D$123:$D$127)*($H769='TaxCred&amp;Subs'!$C$123:$C$127)*($H769&lt;='TaxCred&amp;Subs'!$C$129),'TaxCred&amp;Subs'!$E$123:$E$127,0))</f>
        <v>2000</v>
      </c>
      <c r="R769" s="174">
        <v>0</v>
      </c>
      <c r="S769" s="126">
        <v>5</v>
      </c>
      <c r="T769" s="126" t="s">
        <v>225</v>
      </c>
      <c r="U769"/>
      <c r="V769" s="153" t="str">
        <f t="array" ref="V769">INDEX(xlRTCLNAME,MATCH(1,(xlRTCLENDU=1)*(xlRTCLEQCL=$D769),0))</f>
        <v>ELEC_HP</v>
      </c>
      <c r="W769" s="153" t="str">
        <f t="array" ref="W769">INDEX(xlRTCLNAME,MATCH(1,(xlRTCLENDU=2)*(xlRTCLEQCL=$F769),0))</f>
        <v>ELEC_HP</v>
      </c>
      <c r="X769" s="153" t="str">
        <f t="array" ref="X769">INDEX(xlRTTYNAME,MATCH(1,(xlRTTYENDU=1)*(xlRTTYEQCL=$D769)*(xlRTEQTYPE=$E769),0))</f>
        <v>ELEC_HP4</v>
      </c>
      <c r="Y769" s="153" t="str">
        <f t="array" ref="Y769">INDEX(xlRTTYNAME,MATCH(1,(xlRTTYENDU=2)*(xlRTTYEQCL=$F769)*(xlRTEQTYPE=$G769),0))</f>
        <v>ELEC_HP4</v>
      </c>
    </row>
    <row r="770" spans="1:25" s="157" customFormat="1" x14ac:dyDescent="0.2">
      <c r="A770"/>
      <c r="B770" s="49">
        <v>5</v>
      </c>
      <c r="C770" s="49">
        <v>1</v>
      </c>
      <c r="D770" s="49">
        <v>2</v>
      </c>
      <c r="E770" s="49">
        <v>5</v>
      </c>
      <c r="F770" s="49">
        <v>3</v>
      </c>
      <c r="G770" s="49">
        <v>12</v>
      </c>
      <c r="H770" s="49">
        <v>2023</v>
      </c>
      <c r="I770" s="49">
        <v>2032</v>
      </c>
      <c r="J770" s="50">
        <v>1.0806</v>
      </c>
      <c r="K770" s="50">
        <v>1.0507</v>
      </c>
      <c r="L770" s="50">
        <v>0.33310000000000001</v>
      </c>
      <c r="M770" s="50">
        <v>0.73150000000000004</v>
      </c>
      <c r="N770" s="50">
        <v>0.78859999999999997</v>
      </c>
      <c r="O770" s="50">
        <v>1.0538000000000001</v>
      </c>
      <c r="P770" s="49">
        <v>11579</v>
      </c>
      <c r="Q770" s="51">
        <f t="array" ref="Q770">SUM(IF(($S770&gt;=4)*($C770='TaxCred&amp;Subs'!$D$123:$D$127)*($H770='TaxCred&amp;Subs'!$C$123:$C$127)*($H770&lt;='TaxCred&amp;Subs'!$C$129),'TaxCred&amp;Subs'!$E$123:$E$127,0))</f>
        <v>2500</v>
      </c>
      <c r="R770" s="171">
        <v>0</v>
      </c>
      <c r="S770" s="49">
        <v>5</v>
      </c>
      <c r="T770" s="49" t="s">
        <v>225</v>
      </c>
      <c r="U770"/>
      <c r="V770" s="153" t="str">
        <f t="array" ref="V770">INDEX(xlRTCLNAME,MATCH(1,(xlRTCLENDU=1)*(xlRTCLEQCL=$D770),0))</f>
        <v>ELEC_HP</v>
      </c>
      <c r="W770" s="153" t="str">
        <f t="array" ref="W770">INDEX(xlRTCLNAME,MATCH(1,(xlRTCLENDU=2)*(xlRTCLEQCL=$F770),0))</f>
        <v>ELEC_HP</v>
      </c>
      <c r="X770" s="153" t="str">
        <f t="array" ref="X770">INDEX(xlRTTYNAME,MATCH(1,(xlRTTYENDU=1)*(xlRTTYEQCL=$D770)*(xlRTEQTYPE=$E770),0))</f>
        <v>ELEC_HP4</v>
      </c>
      <c r="Y770" s="153" t="str">
        <f t="array" ref="Y770">INDEX(xlRTTYNAME,MATCH(1,(xlRTTYENDU=2)*(xlRTTYEQCL=$F770)*(xlRTEQTYPE=$G770),0))</f>
        <v>ELEC_HP4</v>
      </c>
    </row>
    <row r="771" spans="1:25" s="157" customFormat="1" x14ac:dyDescent="0.2">
      <c r="A771"/>
      <c r="B771" s="126">
        <v>5</v>
      </c>
      <c r="C771" s="126">
        <v>1</v>
      </c>
      <c r="D771" s="126">
        <v>2</v>
      </c>
      <c r="E771" s="126">
        <v>5</v>
      </c>
      <c r="F771" s="126">
        <v>3</v>
      </c>
      <c r="G771" s="126">
        <v>12</v>
      </c>
      <c r="H771" s="159">
        <v>2033</v>
      </c>
      <c r="I771" s="126">
        <v>2050</v>
      </c>
      <c r="J771" s="127">
        <v>1.0806</v>
      </c>
      <c r="K771" s="127">
        <v>1.0507</v>
      </c>
      <c r="L771" s="127">
        <v>0.33310000000000001</v>
      </c>
      <c r="M771" s="127">
        <v>0.73150000000000004</v>
      </c>
      <c r="N771" s="127">
        <v>0.78859999999999997</v>
      </c>
      <c r="O771" s="127">
        <v>1.0538000000000001</v>
      </c>
      <c r="P771" s="126">
        <v>11579</v>
      </c>
      <c r="Q771" s="128">
        <f t="array" ref="Q771">SUM(IF(($S771&gt;=4)*($C771='TaxCred&amp;Subs'!$D$123:$D$127)*($H771='TaxCred&amp;Subs'!$C$123:$C$127)*($H771&lt;='TaxCred&amp;Subs'!$C$129),'TaxCred&amp;Subs'!$E$123:$E$127,0))</f>
        <v>0</v>
      </c>
      <c r="R771" s="174">
        <v>0</v>
      </c>
      <c r="S771" s="126">
        <v>5</v>
      </c>
      <c r="T771" s="126" t="s">
        <v>225</v>
      </c>
      <c r="U771"/>
      <c r="V771" s="153" t="str">
        <f t="array" ref="V771">INDEX(xlRTCLNAME,MATCH(1,(xlRTCLENDU=1)*(xlRTCLEQCL=$D771),0))</f>
        <v>ELEC_HP</v>
      </c>
      <c r="W771" s="153" t="str">
        <f t="array" ref="W771">INDEX(xlRTCLNAME,MATCH(1,(xlRTCLENDU=2)*(xlRTCLEQCL=$F771),0))</f>
        <v>ELEC_HP</v>
      </c>
      <c r="X771" s="153" t="str">
        <f t="array" ref="X771">INDEX(xlRTTYNAME,MATCH(1,(xlRTTYENDU=1)*(xlRTTYEQCL=$D771)*(xlRTEQTYPE=$E771),0))</f>
        <v>ELEC_HP4</v>
      </c>
      <c r="Y771" s="153" t="str">
        <f t="array" ref="Y771">INDEX(xlRTTYNAME,MATCH(1,(xlRTTYENDU=2)*(xlRTTYEQCL=$F771)*(xlRTEQTYPE=$G771),0))</f>
        <v>ELEC_HP4</v>
      </c>
    </row>
    <row r="772" spans="1:25" s="157" customFormat="1" x14ac:dyDescent="0.2">
      <c r="A772"/>
      <c r="B772" s="126">
        <v>6</v>
      </c>
      <c r="C772" s="126">
        <v>1</v>
      </c>
      <c r="D772" s="126">
        <v>2</v>
      </c>
      <c r="E772" s="126">
        <v>5</v>
      </c>
      <c r="F772" s="126">
        <v>3</v>
      </c>
      <c r="G772" s="126">
        <v>12</v>
      </c>
      <c r="H772" s="126">
        <v>2016</v>
      </c>
      <c r="I772" s="159">
        <v>2022</v>
      </c>
      <c r="J772" s="127">
        <v>1.0885</v>
      </c>
      <c r="K772" s="127">
        <v>1.0526</v>
      </c>
      <c r="L772" s="127">
        <v>0.42320000000000002</v>
      </c>
      <c r="M772" s="127">
        <v>0.76590000000000003</v>
      </c>
      <c r="N772" s="127">
        <v>0.88680000000000003</v>
      </c>
      <c r="O772" s="127">
        <v>1.0538000000000001</v>
      </c>
      <c r="P772" s="126">
        <v>11441</v>
      </c>
      <c r="Q772" s="128">
        <f t="array" ref="Q772">SUM(IF(($S772&gt;=4)*($C772='TaxCred&amp;Subs'!$D$123:$D$127)*($H772='TaxCred&amp;Subs'!$C$123:$C$127)*($H772&lt;='TaxCred&amp;Subs'!$C$129),'TaxCred&amp;Subs'!$E$123:$E$127,0))</f>
        <v>2000</v>
      </c>
      <c r="R772" s="174">
        <v>0</v>
      </c>
      <c r="S772" s="126">
        <v>5</v>
      </c>
      <c r="T772" s="126" t="s">
        <v>225</v>
      </c>
      <c r="U772"/>
      <c r="V772" s="153" t="str">
        <f t="array" ref="V772">INDEX(xlRTCLNAME,MATCH(1,(xlRTCLENDU=1)*(xlRTCLEQCL=$D772),0))</f>
        <v>ELEC_HP</v>
      </c>
      <c r="W772" s="153" t="str">
        <f t="array" ref="W772">INDEX(xlRTCLNAME,MATCH(1,(xlRTCLENDU=2)*(xlRTCLEQCL=$F772),0))</f>
        <v>ELEC_HP</v>
      </c>
      <c r="X772" s="153" t="str">
        <f t="array" ref="X772">INDEX(xlRTTYNAME,MATCH(1,(xlRTTYENDU=1)*(xlRTTYEQCL=$D772)*(xlRTEQTYPE=$E772),0))</f>
        <v>ELEC_HP4</v>
      </c>
      <c r="Y772" s="153" t="str">
        <f t="array" ref="Y772">INDEX(xlRTTYNAME,MATCH(1,(xlRTTYENDU=2)*(xlRTTYEQCL=$F772)*(xlRTEQTYPE=$G772),0))</f>
        <v>ELEC_HP4</v>
      </c>
    </row>
    <row r="773" spans="1:25" s="157" customFormat="1" x14ac:dyDescent="0.2">
      <c r="A773"/>
      <c r="B773" s="49">
        <v>6</v>
      </c>
      <c r="C773" s="49">
        <v>1</v>
      </c>
      <c r="D773" s="49">
        <v>2</v>
      </c>
      <c r="E773" s="49">
        <v>5</v>
      </c>
      <c r="F773" s="49">
        <v>3</v>
      </c>
      <c r="G773" s="49">
        <v>12</v>
      </c>
      <c r="H773" s="49">
        <v>2023</v>
      </c>
      <c r="I773" s="49">
        <v>2032</v>
      </c>
      <c r="J773" s="50">
        <v>1.0885</v>
      </c>
      <c r="K773" s="50">
        <v>1.0526</v>
      </c>
      <c r="L773" s="50">
        <v>0.42320000000000002</v>
      </c>
      <c r="M773" s="50">
        <v>0.76590000000000003</v>
      </c>
      <c r="N773" s="50">
        <v>0.88680000000000003</v>
      </c>
      <c r="O773" s="50">
        <v>1.0538000000000001</v>
      </c>
      <c r="P773" s="49">
        <v>11441</v>
      </c>
      <c r="Q773" s="51">
        <f t="array" ref="Q773">SUM(IF(($S773&gt;=4)*($C773='TaxCred&amp;Subs'!$D$123:$D$127)*($H773='TaxCred&amp;Subs'!$C$123:$C$127)*($H773&lt;='TaxCred&amp;Subs'!$C$129),'TaxCred&amp;Subs'!$E$123:$E$127,0))</f>
        <v>2500</v>
      </c>
      <c r="R773" s="171">
        <v>0</v>
      </c>
      <c r="S773" s="49">
        <v>5</v>
      </c>
      <c r="T773" s="49" t="s">
        <v>225</v>
      </c>
      <c r="U773"/>
      <c r="V773" s="153" t="str">
        <f t="array" ref="V773">INDEX(xlRTCLNAME,MATCH(1,(xlRTCLENDU=1)*(xlRTCLEQCL=$D773),0))</f>
        <v>ELEC_HP</v>
      </c>
      <c r="W773" s="153" t="str">
        <f t="array" ref="W773">INDEX(xlRTCLNAME,MATCH(1,(xlRTCLENDU=2)*(xlRTCLEQCL=$F773),0))</f>
        <v>ELEC_HP</v>
      </c>
      <c r="X773" s="153" t="str">
        <f t="array" ref="X773">INDEX(xlRTTYNAME,MATCH(1,(xlRTTYENDU=1)*(xlRTTYEQCL=$D773)*(xlRTEQTYPE=$E773),0))</f>
        <v>ELEC_HP4</v>
      </c>
      <c r="Y773" s="153" t="str">
        <f t="array" ref="Y773">INDEX(xlRTTYNAME,MATCH(1,(xlRTTYENDU=2)*(xlRTTYEQCL=$F773)*(xlRTEQTYPE=$G773),0))</f>
        <v>ELEC_HP4</v>
      </c>
    </row>
    <row r="774" spans="1:25" s="157" customFormat="1" x14ac:dyDescent="0.2">
      <c r="A774"/>
      <c r="B774" s="126">
        <v>6</v>
      </c>
      <c r="C774" s="126">
        <v>1</v>
      </c>
      <c r="D774" s="126">
        <v>2</v>
      </c>
      <c r="E774" s="126">
        <v>5</v>
      </c>
      <c r="F774" s="126">
        <v>3</v>
      </c>
      <c r="G774" s="126">
        <v>12</v>
      </c>
      <c r="H774" s="159">
        <v>2033</v>
      </c>
      <c r="I774" s="126">
        <v>2050</v>
      </c>
      <c r="J774" s="127">
        <v>1.0885</v>
      </c>
      <c r="K774" s="127">
        <v>1.0526</v>
      </c>
      <c r="L774" s="127">
        <v>0.42320000000000002</v>
      </c>
      <c r="M774" s="127">
        <v>0.76590000000000003</v>
      </c>
      <c r="N774" s="127">
        <v>0.88680000000000003</v>
      </c>
      <c r="O774" s="127">
        <v>1.0538000000000001</v>
      </c>
      <c r="P774" s="126">
        <v>11441</v>
      </c>
      <c r="Q774" s="128">
        <f t="array" ref="Q774">SUM(IF(($S774&gt;=4)*($C774='TaxCred&amp;Subs'!$D$123:$D$127)*($H774='TaxCred&amp;Subs'!$C$123:$C$127)*($H774&lt;='TaxCred&amp;Subs'!$C$129),'TaxCred&amp;Subs'!$E$123:$E$127,0))</f>
        <v>0</v>
      </c>
      <c r="R774" s="174">
        <v>0</v>
      </c>
      <c r="S774" s="126">
        <v>5</v>
      </c>
      <c r="T774" s="126" t="s">
        <v>225</v>
      </c>
      <c r="U774"/>
      <c r="V774" s="153" t="str">
        <f t="array" ref="V774">INDEX(xlRTCLNAME,MATCH(1,(xlRTCLENDU=1)*(xlRTCLEQCL=$D774),0))</f>
        <v>ELEC_HP</v>
      </c>
      <c r="W774" s="153" t="str">
        <f t="array" ref="W774">INDEX(xlRTCLNAME,MATCH(1,(xlRTCLENDU=2)*(xlRTCLEQCL=$F774),0))</f>
        <v>ELEC_HP</v>
      </c>
      <c r="X774" s="153" t="str">
        <f t="array" ref="X774">INDEX(xlRTTYNAME,MATCH(1,(xlRTTYENDU=1)*(xlRTTYEQCL=$D774)*(xlRTEQTYPE=$E774),0))</f>
        <v>ELEC_HP4</v>
      </c>
      <c r="Y774" s="153" t="str">
        <f t="array" ref="Y774">INDEX(xlRTTYNAME,MATCH(1,(xlRTTYENDU=2)*(xlRTTYEQCL=$F774)*(xlRTEQTYPE=$G774),0))</f>
        <v>ELEC_HP4</v>
      </c>
    </row>
    <row r="775" spans="1:25" s="157" customFormat="1" x14ac:dyDescent="0.2">
      <c r="A775"/>
      <c r="B775" s="126">
        <v>7</v>
      </c>
      <c r="C775" s="126">
        <v>1</v>
      </c>
      <c r="D775" s="126">
        <v>2</v>
      </c>
      <c r="E775" s="126">
        <v>5</v>
      </c>
      <c r="F775" s="126">
        <v>3</v>
      </c>
      <c r="G775" s="126">
        <v>12</v>
      </c>
      <c r="H775" s="126">
        <v>2016</v>
      </c>
      <c r="I775" s="159">
        <v>2022</v>
      </c>
      <c r="J775" s="127">
        <v>1.0765</v>
      </c>
      <c r="K775" s="127">
        <v>1.0508</v>
      </c>
      <c r="L775" s="127">
        <v>0.37619999999999998</v>
      </c>
      <c r="M775" s="127">
        <v>0.65339999999999998</v>
      </c>
      <c r="N775" s="127">
        <v>0.86099999999999999</v>
      </c>
      <c r="O775" s="127">
        <v>1.0538000000000001</v>
      </c>
      <c r="P775" s="126">
        <v>11603</v>
      </c>
      <c r="Q775" s="128">
        <f t="array" ref="Q775">SUM(IF(($S775&gt;=4)*($C775='TaxCred&amp;Subs'!$D$123:$D$127)*($H775='TaxCred&amp;Subs'!$C$123:$C$127)*($H775&lt;='TaxCred&amp;Subs'!$C$129),'TaxCred&amp;Subs'!$E$123:$E$127,0))</f>
        <v>2000</v>
      </c>
      <c r="R775" s="174">
        <v>0</v>
      </c>
      <c r="S775" s="126">
        <v>5</v>
      </c>
      <c r="T775" s="126" t="s">
        <v>225</v>
      </c>
      <c r="U775"/>
      <c r="V775" s="153" t="str">
        <f t="array" ref="V775">INDEX(xlRTCLNAME,MATCH(1,(xlRTCLENDU=1)*(xlRTCLEQCL=$D775),0))</f>
        <v>ELEC_HP</v>
      </c>
      <c r="W775" s="153" t="str">
        <f t="array" ref="W775">INDEX(xlRTCLNAME,MATCH(1,(xlRTCLENDU=2)*(xlRTCLEQCL=$F775),0))</f>
        <v>ELEC_HP</v>
      </c>
      <c r="X775" s="153" t="str">
        <f t="array" ref="X775">INDEX(xlRTTYNAME,MATCH(1,(xlRTTYENDU=1)*(xlRTTYEQCL=$D775)*(xlRTEQTYPE=$E775),0))</f>
        <v>ELEC_HP4</v>
      </c>
      <c r="Y775" s="153" t="str">
        <f t="array" ref="Y775">INDEX(xlRTTYNAME,MATCH(1,(xlRTTYENDU=2)*(xlRTTYEQCL=$F775)*(xlRTEQTYPE=$G775),0))</f>
        <v>ELEC_HP4</v>
      </c>
    </row>
    <row r="776" spans="1:25" s="157" customFormat="1" x14ac:dyDescent="0.2">
      <c r="A776"/>
      <c r="B776" s="49">
        <v>7</v>
      </c>
      <c r="C776" s="49">
        <v>1</v>
      </c>
      <c r="D776" s="49">
        <v>2</v>
      </c>
      <c r="E776" s="49">
        <v>5</v>
      </c>
      <c r="F776" s="49">
        <v>3</v>
      </c>
      <c r="G776" s="49">
        <v>12</v>
      </c>
      <c r="H776" s="49">
        <v>2023</v>
      </c>
      <c r="I776" s="49">
        <v>2032</v>
      </c>
      <c r="J776" s="50">
        <v>1.0765</v>
      </c>
      <c r="K776" s="50">
        <v>1.0508</v>
      </c>
      <c r="L776" s="50">
        <v>0.37619999999999998</v>
      </c>
      <c r="M776" s="50">
        <v>0.65339999999999998</v>
      </c>
      <c r="N776" s="50">
        <v>0.86099999999999999</v>
      </c>
      <c r="O776" s="50">
        <v>1.0538000000000001</v>
      </c>
      <c r="P776" s="49">
        <v>11603</v>
      </c>
      <c r="Q776" s="51">
        <f t="array" ref="Q776">SUM(IF(($S776&gt;=4)*($C776='TaxCred&amp;Subs'!$D$123:$D$127)*($H776='TaxCred&amp;Subs'!$C$123:$C$127)*($H776&lt;='TaxCred&amp;Subs'!$C$129),'TaxCred&amp;Subs'!$E$123:$E$127,0))</f>
        <v>2500</v>
      </c>
      <c r="R776" s="171">
        <v>0</v>
      </c>
      <c r="S776" s="49">
        <v>5</v>
      </c>
      <c r="T776" s="49" t="s">
        <v>225</v>
      </c>
      <c r="U776"/>
      <c r="V776" s="153" t="str">
        <f t="array" ref="V776">INDEX(xlRTCLNAME,MATCH(1,(xlRTCLENDU=1)*(xlRTCLEQCL=$D776),0))</f>
        <v>ELEC_HP</v>
      </c>
      <c r="W776" s="153" t="str">
        <f t="array" ref="W776">INDEX(xlRTCLNAME,MATCH(1,(xlRTCLENDU=2)*(xlRTCLEQCL=$F776),0))</f>
        <v>ELEC_HP</v>
      </c>
      <c r="X776" s="153" t="str">
        <f t="array" ref="X776">INDEX(xlRTTYNAME,MATCH(1,(xlRTTYENDU=1)*(xlRTTYEQCL=$D776)*(xlRTEQTYPE=$E776),0))</f>
        <v>ELEC_HP4</v>
      </c>
      <c r="Y776" s="153" t="str">
        <f t="array" ref="Y776">INDEX(xlRTTYNAME,MATCH(1,(xlRTTYENDU=2)*(xlRTTYEQCL=$F776)*(xlRTEQTYPE=$G776),0))</f>
        <v>ELEC_HP4</v>
      </c>
    </row>
    <row r="777" spans="1:25" s="157" customFormat="1" x14ac:dyDescent="0.2">
      <c r="A777"/>
      <c r="B777" s="126">
        <v>7</v>
      </c>
      <c r="C777" s="126">
        <v>1</v>
      </c>
      <c r="D777" s="126">
        <v>2</v>
      </c>
      <c r="E777" s="126">
        <v>5</v>
      </c>
      <c r="F777" s="126">
        <v>3</v>
      </c>
      <c r="G777" s="126">
        <v>12</v>
      </c>
      <c r="H777" s="159">
        <v>2033</v>
      </c>
      <c r="I777" s="126">
        <v>2050</v>
      </c>
      <c r="J777" s="127">
        <v>1.0765</v>
      </c>
      <c r="K777" s="127">
        <v>1.0508</v>
      </c>
      <c r="L777" s="127">
        <v>0.37619999999999998</v>
      </c>
      <c r="M777" s="127">
        <v>0.65339999999999998</v>
      </c>
      <c r="N777" s="127">
        <v>0.86099999999999999</v>
      </c>
      <c r="O777" s="127">
        <v>1.0538000000000001</v>
      </c>
      <c r="P777" s="126">
        <v>11603</v>
      </c>
      <c r="Q777" s="128">
        <f t="array" ref="Q777">SUM(IF(($S777&gt;=4)*($C777='TaxCred&amp;Subs'!$D$123:$D$127)*($H777='TaxCred&amp;Subs'!$C$123:$C$127)*($H777&lt;='TaxCred&amp;Subs'!$C$129),'TaxCred&amp;Subs'!$E$123:$E$127,0))</f>
        <v>0</v>
      </c>
      <c r="R777" s="174">
        <v>0</v>
      </c>
      <c r="S777" s="126">
        <v>5</v>
      </c>
      <c r="T777" s="126" t="s">
        <v>225</v>
      </c>
      <c r="U777"/>
      <c r="V777" s="153" t="str">
        <f t="array" ref="V777">INDEX(xlRTCLNAME,MATCH(1,(xlRTCLENDU=1)*(xlRTCLEQCL=$D777),0))</f>
        <v>ELEC_HP</v>
      </c>
      <c r="W777" s="153" t="str">
        <f t="array" ref="W777">INDEX(xlRTCLNAME,MATCH(1,(xlRTCLENDU=2)*(xlRTCLEQCL=$F777),0))</f>
        <v>ELEC_HP</v>
      </c>
      <c r="X777" s="153" t="str">
        <f t="array" ref="X777">INDEX(xlRTTYNAME,MATCH(1,(xlRTTYENDU=1)*(xlRTTYEQCL=$D777)*(xlRTEQTYPE=$E777),0))</f>
        <v>ELEC_HP4</v>
      </c>
      <c r="Y777" s="153" t="str">
        <f t="array" ref="Y777">INDEX(xlRTTYNAME,MATCH(1,(xlRTTYENDU=2)*(xlRTTYEQCL=$F777)*(xlRTEQTYPE=$G777),0))</f>
        <v>ELEC_HP4</v>
      </c>
    </row>
    <row r="778" spans="1:25" s="157" customFormat="1" x14ac:dyDescent="0.2">
      <c r="A778"/>
      <c r="B778" s="126">
        <v>9</v>
      </c>
      <c r="C778" s="126">
        <v>1</v>
      </c>
      <c r="D778" s="126">
        <v>2</v>
      </c>
      <c r="E778" s="126">
        <v>5</v>
      </c>
      <c r="F778" s="126">
        <v>3</v>
      </c>
      <c r="G778" s="126">
        <v>12</v>
      </c>
      <c r="H778" s="126">
        <v>2016</v>
      </c>
      <c r="I778" s="159">
        <v>2022</v>
      </c>
      <c r="J778" s="127">
        <v>1.0710999999999999</v>
      </c>
      <c r="K778" s="127">
        <v>1.0754999999999999</v>
      </c>
      <c r="L778" s="127">
        <v>0.40110000000000001</v>
      </c>
      <c r="M778" s="127">
        <v>0.76029999999999998</v>
      </c>
      <c r="N778" s="127">
        <v>1.0228999999999999</v>
      </c>
      <c r="O778" s="127">
        <v>1.0538000000000001</v>
      </c>
      <c r="P778" s="126">
        <v>14738</v>
      </c>
      <c r="Q778" s="128">
        <f t="array" ref="Q778">SUM(IF(($S778&gt;=4)*($C778='TaxCred&amp;Subs'!$D$123:$D$127)*($H778='TaxCred&amp;Subs'!$C$123:$C$127)*($H778&lt;='TaxCred&amp;Subs'!$C$129),'TaxCred&amp;Subs'!$E$123:$E$127,0))</f>
        <v>2000</v>
      </c>
      <c r="R778" s="174">
        <v>0</v>
      </c>
      <c r="S778" s="126">
        <v>5</v>
      </c>
      <c r="T778" s="126" t="s">
        <v>225</v>
      </c>
      <c r="U778"/>
      <c r="V778" s="153" t="str">
        <f t="array" ref="V778">INDEX(xlRTCLNAME,MATCH(1,(xlRTCLENDU=1)*(xlRTCLEQCL=$D778),0))</f>
        <v>ELEC_HP</v>
      </c>
      <c r="W778" s="153" t="str">
        <f t="array" ref="W778">INDEX(xlRTCLNAME,MATCH(1,(xlRTCLENDU=2)*(xlRTCLEQCL=$F778),0))</f>
        <v>ELEC_HP</v>
      </c>
      <c r="X778" s="153" t="str">
        <f t="array" ref="X778">INDEX(xlRTTYNAME,MATCH(1,(xlRTTYENDU=1)*(xlRTTYEQCL=$D778)*(xlRTEQTYPE=$E778),0))</f>
        <v>ELEC_HP4</v>
      </c>
      <c r="Y778" s="153" t="str">
        <f t="array" ref="Y778">INDEX(xlRTTYNAME,MATCH(1,(xlRTTYENDU=2)*(xlRTTYEQCL=$F778)*(xlRTEQTYPE=$G778),0))</f>
        <v>ELEC_HP4</v>
      </c>
    </row>
    <row r="779" spans="1:25" s="157" customFormat="1" x14ac:dyDescent="0.2">
      <c r="A779"/>
      <c r="B779" s="49">
        <v>9</v>
      </c>
      <c r="C779" s="49">
        <v>1</v>
      </c>
      <c r="D779" s="49">
        <v>2</v>
      </c>
      <c r="E779" s="49">
        <v>5</v>
      </c>
      <c r="F779" s="49">
        <v>3</v>
      </c>
      <c r="G779" s="49">
        <v>12</v>
      </c>
      <c r="H779" s="49">
        <v>2023</v>
      </c>
      <c r="I779" s="49">
        <v>2032</v>
      </c>
      <c r="J779" s="50">
        <v>1.0710999999999999</v>
      </c>
      <c r="K779" s="50">
        <v>1.0754999999999999</v>
      </c>
      <c r="L779" s="50">
        <v>0.40110000000000001</v>
      </c>
      <c r="M779" s="50">
        <v>0.76029999999999998</v>
      </c>
      <c r="N779" s="50">
        <v>1.0228999999999999</v>
      </c>
      <c r="O779" s="50">
        <v>1.0538000000000001</v>
      </c>
      <c r="P779" s="49">
        <v>14738</v>
      </c>
      <c r="Q779" s="51">
        <f t="array" ref="Q779">SUM(IF(($S779&gt;=4)*($C779='TaxCred&amp;Subs'!$D$123:$D$127)*($H779='TaxCred&amp;Subs'!$C$123:$C$127)*($H779&lt;='TaxCred&amp;Subs'!$C$129),'TaxCred&amp;Subs'!$E$123:$E$127,0))</f>
        <v>2500</v>
      </c>
      <c r="R779" s="171">
        <v>0</v>
      </c>
      <c r="S779" s="49">
        <v>5</v>
      </c>
      <c r="T779" s="49" t="s">
        <v>225</v>
      </c>
      <c r="U779"/>
      <c r="V779" s="153" t="str">
        <f t="array" ref="V779">INDEX(xlRTCLNAME,MATCH(1,(xlRTCLENDU=1)*(xlRTCLEQCL=$D779),0))</f>
        <v>ELEC_HP</v>
      </c>
      <c r="W779" s="153" t="str">
        <f t="array" ref="W779">INDEX(xlRTCLNAME,MATCH(1,(xlRTCLENDU=2)*(xlRTCLEQCL=$F779),0))</f>
        <v>ELEC_HP</v>
      </c>
      <c r="X779" s="153" t="str">
        <f t="array" ref="X779">INDEX(xlRTTYNAME,MATCH(1,(xlRTTYENDU=1)*(xlRTTYEQCL=$D779)*(xlRTEQTYPE=$E779),0))</f>
        <v>ELEC_HP4</v>
      </c>
      <c r="Y779" s="153" t="str">
        <f t="array" ref="Y779">INDEX(xlRTTYNAME,MATCH(1,(xlRTTYENDU=2)*(xlRTTYEQCL=$F779)*(xlRTEQTYPE=$G779),0))</f>
        <v>ELEC_HP4</v>
      </c>
    </row>
    <row r="780" spans="1:25" s="157" customFormat="1" x14ac:dyDescent="0.2">
      <c r="A780"/>
      <c r="B780" s="126">
        <v>9</v>
      </c>
      <c r="C780" s="126">
        <v>1</v>
      </c>
      <c r="D780" s="126">
        <v>2</v>
      </c>
      <c r="E780" s="126">
        <v>5</v>
      </c>
      <c r="F780" s="126">
        <v>3</v>
      </c>
      <c r="G780" s="126">
        <v>12</v>
      </c>
      <c r="H780" s="159">
        <v>2033</v>
      </c>
      <c r="I780" s="126">
        <v>2050</v>
      </c>
      <c r="J780" s="127">
        <v>1.0710999999999999</v>
      </c>
      <c r="K780" s="127">
        <v>1.0754999999999999</v>
      </c>
      <c r="L780" s="127">
        <v>0.40110000000000001</v>
      </c>
      <c r="M780" s="127">
        <v>0.76029999999999998</v>
      </c>
      <c r="N780" s="127">
        <v>1.0228999999999999</v>
      </c>
      <c r="O780" s="127">
        <v>1.0538000000000001</v>
      </c>
      <c r="P780" s="126">
        <v>14738</v>
      </c>
      <c r="Q780" s="128">
        <f t="array" ref="Q780">SUM(IF(($S780&gt;=4)*($C780='TaxCred&amp;Subs'!$D$123:$D$127)*($H780='TaxCred&amp;Subs'!$C$123:$C$127)*($H780&lt;='TaxCred&amp;Subs'!$C$129),'TaxCred&amp;Subs'!$E$123:$E$127,0))</f>
        <v>0</v>
      </c>
      <c r="R780" s="174">
        <v>0</v>
      </c>
      <c r="S780" s="126">
        <v>5</v>
      </c>
      <c r="T780" s="126" t="s">
        <v>225</v>
      </c>
      <c r="U780"/>
      <c r="V780" s="153" t="str">
        <f t="array" ref="V780">INDEX(xlRTCLNAME,MATCH(1,(xlRTCLENDU=1)*(xlRTCLEQCL=$D780),0))</f>
        <v>ELEC_HP</v>
      </c>
      <c r="W780" s="153" t="str">
        <f t="array" ref="W780">INDEX(xlRTCLNAME,MATCH(1,(xlRTCLENDU=2)*(xlRTCLEQCL=$F780),0))</f>
        <v>ELEC_HP</v>
      </c>
      <c r="X780" s="153" t="str">
        <f t="array" ref="X780">INDEX(xlRTTYNAME,MATCH(1,(xlRTTYENDU=1)*(xlRTTYEQCL=$D780)*(xlRTEQTYPE=$E780),0))</f>
        <v>ELEC_HP4</v>
      </c>
      <c r="Y780" s="153" t="str">
        <f t="array" ref="Y780">INDEX(xlRTTYNAME,MATCH(1,(xlRTTYENDU=2)*(xlRTTYEQCL=$F780)*(xlRTEQTYPE=$G780),0))</f>
        <v>ELEC_HP4</v>
      </c>
    </row>
    <row r="781" spans="1:25" s="157" customFormat="1" x14ac:dyDescent="0.2">
      <c r="A781"/>
      <c r="B781" s="126">
        <v>1</v>
      </c>
      <c r="C781" s="126">
        <v>1</v>
      </c>
      <c r="D781" s="126">
        <v>3</v>
      </c>
      <c r="E781" s="126">
        <v>9</v>
      </c>
      <c r="F781" s="126">
        <v>2</v>
      </c>
      <c r="G781" s="126">
        <v>8</v>
      </c>
      <c r="H781" s="126">
        <v>2016</v>
      </c>
      <c r="I781" s="159">
        <v>2022</v>
      </c>
      <c r="J781" s="127">
        <v>1.0803</v>
      </c>
      <c r="K781" s="127">
        <v>1.0667</v>
      </c>
      <c r="L781" s="127">
        <v>0.44319999999999998</v>
      </c>
      <c r="M781" s="127">
        <v>0.96350000000000002</v>
      </c>
      <c r="N781" s="127">
        <v>0.79790000000000005</v>
      </c>
      <c r="O781" s="127">
        <v>1.0538000000000001</v>
      </c>
      <c r="P781" s="126">
        <v>14685</v>
      </c>
      <c r="Q781" s="128">
        <f t="array" ref="Q781">SUM(IF(($S781&gt;=4)*($C781='TaxCred&amp;Subs'!$D$123:$D$127)*($H781='TaxCred&amp;Subs'!$C$123:$C$127)*($H781&lt;='TaxCred&amp;Subs'!$C$129),'TaxCred&amp;Subs'!$E$123:$E$127,0))</f>
        <v>2000</v>
      </c>
      <c r="R781" s="174">
        <v>0</v>
      </c>
      <c r="S781" s="126">
        <v>5</v>
      </c>
      <c r="T781" s="126" t="s">
        <v>225</v>
      </c>
      <c r="U781"/>
      <c r="V781" s="153" t="str">
        <f t="array" ref="V781">INDEX(xlRTCLNAME,MATCH(1,(xlRTCLENDU=1)*(xlRTCLEQCL=$D781),0))</f>
        <v>NG_FA</v>
      </c>
      <c r="W781" s="153" t="str">
        <f t="array" ref="W781">INDEX(xlRTCLNAME,MATCH(1,(xlRTCLENDU=2)*(xlRTCLEQCL=$F781),0))</f>
        <v>CENT_AIR</v>
      </c>
      <c r="X781" s="153" t="str">
        <f t="array" ref="X781">INDEX(xlRTTYNAME,MATCH(1,(xlRTTYENDU=1)*(xlRTTYEQCL=$D781)*(xlRTEQTYPE=$E781),0))</f>
        <v>NG_FA4</v>
      </c>
      <c r="Y781" s="153" t="str">
        <f t="array" ref="Y781">INDEX(xlRTTYNAME,MATCH(1,(xlRTTYENDU=2)*(xlRTTYEQCL=$F781)*(xlRTEQTYPE=$G781),0))</f>
        <v>CENT_AIR4</v>
      </c>
    </row>
    <row r="782" spans="1:25" s="157" customFormat="1" x14ac:dyDescent="0.2">
      <c r="A782"/>
      <c r="B782" s="49">
        <v>1</v>
      </c>
      <c r="C782" s="49">
        <v>1</v>
      </c>
      <c r="D782" s="49">
        <v>3</v>
      </c>
      <c r="E782" s="49">
        <v>9</v>
      </c>
      <c r="F782" s="49">
        <v>2</v>
      </c>
      <c r="G782" s="49">
        <v>8</v>
      </c>
      <c r="H782" s="49">
        <v>2023</v>
      </c>
      <c r="I782" s="49">
        <v>2032</v>
      </c>
      <c r="J782" s="50">
        <v>1.0803</v>
      </c>
      <c r="K782" s="50">
        <v>1.0667</v>
      </c>
      <c r="L782" s="50">
        <v>0.44319999999999998</v>
      </c>
      <c r="M782" s="50">
        <v>0.96350000000000002</v>
      </c>
      <c r="N782" s="50">
        <v>0.79790000000000005</v>
      </c>
      <c r="O782" s="50">
        <v>1.0538000000000001</v>
      </c>
      <c r="P782" s="49">
        <v>14685</v>
      </c>
      <c r="Q782" s="51">
        <f t="array" ref="Q782">SUM(IF(($S782&gt;=4)*($C782='TaxCred&amp;Subs'!$D$123:$D$127)*($H782='TaxCred&amp;Subs'!$C$123:$C$127)*($H782&lt;='TaxCred&amp;Subs'!$C$129),'TaxCred&amp;Subs'!$E$123:$E$127,0))</f>
        <v>2500</v>
      </c>
      <c r="R782" s="171">
        <v>0</v>
      </c>
      <c r="S782" s="49">
        <v>5</v>
      </c>
      <c r="T782" s="49" t="s">
        <v>225</v>
      </c>
      <c r="U782"/>
      <c r="V782" s="153" t="str">
        <f t="array" ref="V782">INDEX(xlRTCLNAME,MATCH(1,(xlRTCLENDU=1)*(xlRTCLEQCL=$D782),0))</f>
        <v>NG_FA</v>
      </c>
      <c r="W782" s="153" t="str">
        <f t="array" ref="W782">INDEX(xlRTCLNAME,MATCH(1,(xlRTCLENDU=2)*(xlRTCLEQCL=$F782),0))</f>
        <v>CENT_AIR</v>
      </c>
      <c r="X782" s="153" t="str">
        <f t="array" ref="X782">INDEX(xlRTTYNAME,MATCH(1,(xlRTTYENDU=1)*(xlRTTYEQCL=$D782)*(xlRTEQTYPE=$E782),0))</f>
        <v>NG_FA4</v>
      </c>
      <c r="Y782" s="153" t="str">
        <f t="array" ref="Y782">INDEX(xlRTTYNAME,MATCH(1,(xlRTTYENDU=2)*(xlRTTYEQCL=$F782)*(xlRTEQTYPE=$G782),0))</f>
        <v>CENT_AIR4</v>
      </c>
    </row>
    <row r="783" spans="1:25" s="157" customFormat="1" x14ac:dyDescent="0.2">
      <c r="A783"/>
      <c r="B783" s="126">
        <v>1</v>
      </c>
      <c r="C783" s="126">
        <v>1</v>
      </c>
      <c r="D783" s="126">
        <v>3</v>
      </c>
      <c r="E783" s="126">
        <v>9</v>
      </c>
      <c r="F783" s="126">
        <v>2</v>
      </c>
      <c r="G783" s="126">
        <v>8</v>
      </c>
      <c r="H783" s="159">
        <v>2033</v>
      </c>
      <c r="I783" s="126">
        <v>2050</v>
      </c>
      <c r="J783" s="127">
        <v>1.0803</v>
      </c>
      <c r="K783" s="127">
        <v>1.0667</v>
      </c>
      <c r="L783" s="127">
        <v>0.44319999999999998</v>
      </c>
      <c r="M783" s="127">
        <v>0.96350000000000002</v>
      </c>
      <c r="N783" s="127">
        <v>0.79790000000000005</v>
      </c>
      <c r="O783" s="127">
        <v>1.0538000000000001</v>
      </c>
      <c r="P783" s="126">
        <v>14685</v>
      </c>
      <c r="Q783" s="128">
        <f t="array" ref="Q783">SUM(IF(($S783&gt;=4)*($C783='TaxCred&amp;Subs'!$D$123:$D$127)*($H783='TaxCred&amp;Subs'!$C$123:$C$127)*($H783&lt;='TaxCred&amp;Subs'!$C$129),'TaxCred&amp;Subs'!$E$123:$E$127,0))</f>
        <v>0</v>
      </c>
      <c r="R783" s="174">
        <v>0</v>
      </c>
      <c r="S783" s="126">
        <v>5</v>
      </c>
      <c r="T783" s="126" t="s">
        <v>225</v>
      </c>
      <c r="U783"/>
      <c r="V783" s="153" t="str">
        <f t="array" ref="V783">INDEX(xlRTCLNAME,MATCH(1,(xlRTCLENDU=1)*(xlRTCLEQCL=$D783),0))</f>
        <v>NG_FA</v>
      </c>
      <c r="W783" s="153" t="str">
        <f t="array" ref="W783">INDEX(xlRTCLNAME,MATCH(1,(xlRTCLENDU=2)*(xlRTCLEQCL=$F783),0))</f>
        <v>CENT_AIR</v>
      </c>
      <c r="X783" s="153" t="str">
        <f t="array" ref="X783">INDEX(xlRTTYNAME,MATCH(1,(xlRTTYENDU=1)*(xlRTTYEQCL=$D783)*(xlRTEQTYPE=$E783),0))</f>
        <v>NG_FA4</v>
      </c>
      <c r="Y783" s="153" t="str">
        <f t="array" ref="Y783">INDEX(xlRTTYNAME,MATCH(1,(xlRTTYENDU=2)*(xlRTTYEQCL=$F783)*(xlRTEQTYPE=$G783),0))</f>
        <v>CENT_AIR4</v>
      </c>
    </row>
    <row r="784" spans="1:25" s="157" customFormat="1" x14ac:dyDescent="0.2">
      <c r="A784"/>
      <c r="B784" s="126">
        <v>2</v>
      </c>
      <c r="C784" s="126">
        <v>1</v>
      </c>
      <c r="D784" s="126">
        <v>3</v>
      </c>
      <c r="E784" s="126">
        <v>9</v>
      </c>
      <c r="F784" s="126">
        <v>2</v>
      </c>
      <c r="G784" s="126">
        <v>8</v>
      </c>
      <c r="H784" s="126">
        <v>2016</v>
      </c>
      <c r="I784" s="159">
        <v>2022</v>
      </c>
      <c r="J784" s="127">
        <v>1.0649</v>
      </c>
      <c r="K784" s="127">
        <v>1.0597000000000001</v>
      </c>
      <c r="L784" s="127">
        <v>0.46200000000000002</v>
      </c>
      <c r="M784" s="127">
        <v>0.81589999999999996</v>
      </c>
      <c r="N784" s="127">
        <v>0.93169999999999997</v>
      </c>
      <c r="O784" s="127">
        <v>1.0538000000000001</v>
      </c>
      <c r="P784" s="126">
        <v>16678</v>
      </c>
      <c r="Q784" s="128">
        <f t="array" ref="Q784">SUM(IF(($S784&gt;=4)*($C784='TaxCred&amp;Subs'!$D$123:$D$127)*($H784='TaxCred&amp;Subs'!$C$123:$C$127)*($H784&lt;='TaxCred&amp;Subs'!$C$129),'TaxCred&amp;Subs'!$E$123:$E$127,0))</f>
        <v>2000</v>
      </c>
      <c r="R784" s="174">
        <v>0</v>
      </c>
      <c r="S784" s="126">
        <v>5</v>
      </c>
      <c r="T784" s="126" t="s">
        <v>225</v>
      </c>
      <c r="U784"/>
      <c r="V784" s="153" t="str">
        <f t="array" ref="V784">INDEX(xlRTCLNAME,MATCH(1,(xlRTCLENDU=1)*(xlRTCLEQCL=$D784),0))</f>
        <v>NG_FA</v>
      </c>
      <c r="W784" s="153" t="str">
        <f t="array" ref="W784">INDEX(xlRTCLNAME,MATCH(1,(xlRTCLENDU=2)*(xlRTCLEQCL=$F784),0))</f>
        <v>CENT_AIR</v>
      </c>
      <c r="X784" s="153" t="str">
        <f t="array" ref="X784">INDEX(xlRTTYNAME,MATCH(1,(xlRTTYENDU=1)*(xlRTTYEQCL=$D784)*(xlRTEQTYPE=$E784),0))</f>
        <v>NG_FA4</v>
      </c>
      <c r="Y784" s="153" t="str">
        <f t="array" ref="Y784">INDEX(xlRTTYNAME,MATCH(1,(xlRTTYENDU=2)*(xlRTTYEQCL=$F784)*(xlRTEQTYPE=$G784),0))</f>
        <v>CENT_AIR4</v>
      </c>
    </row>
    <row r="785" spans="1:25" s="157" customFormat="1" x14ac:dyDescent="0.2">
      <c r="A785"/>
      <c r="B785" s="49">
        <v>2</v>
      </c>
      <c r="C785" s="49">
        <v>1</v>
      </c>
      <c r="D785" s="49">
        <v>3</v>
      </c>
      <c r="E785" s="49">
        <v>9</v>
      </c>
      <c r="F785" s="49">
        <v>2</v>
      </c>
      <c r="G785" s="49">
        <v>8</v>
      </c>
      <c r="H785" s="49">
        <v>2023</v>
      </c>
      <c r="I785" s="49">
        <v>2032</v>
      </c>
      <c r="J785" s="50">
        <v>1.0649</v>
      </c>
      <c r="K785" s="50">
        <v>1.0597000000000001</v>
      </c>
      <c r="L785" s="50">
        <v>0.46200000000000002</v>
      </c>
      <c r="M785" s="50">
        <v>0.81589999999999996</v>
      </c>
      <c r="N785" s="50">
        <v>0.93169999999999997</v>
      </c>
      <c r="O785" s="50">
        <v>1.0538000000000001</v>
      </c>
      <c r="P785" s="49">
        <v>16678</v>
      </c>
      <c r="Q785" s="51">
        <f t="array" ref="Q785">SUM(IF(($S785&gt;=4)*($C785='TaxCred&amp;Subs'!$D$123:$D$127)*($H785='TaxCred&amp;Subs'!$C$123:$C$127)*($H785&lt;='TaxCred&amp;Subs'!$C$129),'TaxCred&amp;Subs'!$E$123:$E$127,0))</f>
        <v>2500</v>
      </c>
      <c r="R785" s="171">
        <v>0</v>
      </c>
      <c r="S785" s="49">
        <v>5</v>
      </c>
      <c r="T785" s="49" t="s">
        <v>225</v>
      </c>
      <c r="U785"/>
      <c r="V785" s="153" t="str">
        <f t="array" ref="V785">INDEX(xlRTCLNAME,MATCH(1,(xlRTCLENDU=1)*(xlRTCLEQCL=$D785),0))</f>
        <v>NG_FA</v>
      </c>
      <c r="W785" s="153" t="str">
        <f t="array" ref="W785">INDEX(xlRTCLNAME,MATCH(1,(xlRTCLENDU=2)*(xlRTCLEQCL=$F785),0))</f>
        <v>CENT_AIR</v>
      </c>
      <c r="X785" s="153" t="str">
        <f t="array" ref="X785">INDEX(xlRTTYNAME,MATCH(1,(xlRTTYENDU=1)*(xlRTTYEQCL=$D785)*(xlRTEQTYPE=$E785),0))</f>
        <v>NG_FA4</v>
      </c>
      <c r="Y785" s="153" t="str">
        <f t="array" ref="Y785">INDEX(xlRTTYNAME,MATCH(1,(xlRTTYENDU=2)*(xlRTTYEQCL=$F785)*(xlRTEQTYPE=$G785),0))</f>
        <v>CENT_AIR4</v>
      </c>
    </row>
    <row r="786" spans="1:25" s="157" customFormat="1" x14ac:dyDescent="0.2">
      <c r="A786"/>
      <c r="B786" s="126">
        <v>2</v>
      </c>
      <c r="C786" s="126">
        <v>1</v>
      </c>
      <c r="D786" s="126">
        <v>3</v>
      </c>
      <c r="E786" s="126">
        <v>9</v>
      </c>
      <c r="F786" s="126">
        <v>2</v>
      </c>
      <c r="G786" s="126">
        <v>8</v>
      </c>
      <c r="H786" s="159">
        <v>2033</v>
      </c>
      <c r="I786" s="126">
        <v>2050</v>
      </c>
      <c r="J786" s="127">
        <v>1.0649</v>
      </c>
      <c r="K786" s="127">
        <v>1.0597000000000001</v>
      </c>
      <c r="L786" s="127">
        <v>0.46200000000000002</v>
      </c>
      <c r="M786" s="127">
        <v>0.81589999999999996</v>
      </c>
      <c r="N786" s="127">
        <v>0.93169999999999997</v>
      </c>
      <c r="O786" s="127">
        <v>1.0538000000000001</v>
      </c>
      <c r="P786" s="126">
        <v>16678</v>
      </c>
      <c r="Q786" s="128">
        <f t="array" ref="Q786">SUM(IF(($S786&gt;=4)*($C786='TaxCred&amp;Subs'!$D$123:$D$127)*($H786='TaxCred&amp;Subs'!$C$123:$C$127)*($H786&lt;='TaxCred&amp;Subs'!$C$129),'TaxCred&amp;Subs'!$E$123:$E$127,0))</f>
        <v>0</v>
      </c>
      <c r="R786" s="174">
        <v>0</v>
      </c>
      <c r="S786" s="126">
        <v>5</v>
      </c>
      <c r="T786" s="126" t="s">
        <v>225</v>
      </c>
      <c r="U786"/>
      <c r="V786" s="153" t="str">
        <f t="array" ref="V786">INDEX(xlRTCLNAME,MATCH(1,(xlRTCLENDU=1)*(xlRTCLEQCL=$D786),0))</f>
        <v>NG_FA</v>
      </c>
      <c r="W786" s="153" t="str">
        <f t="array" ref="W786">INDEX(xlRTCLNAME,MATCH(1,(xlRTCLENDU=2)*(xlRTCLEQCL=$F786),0))</f>
        <v>CENT_AIR</v>
      </c>
      <c r="X786" s="153" t="str">
        <f t="array" ref="X786">INDEX(xlRTTYNAME,MATCH(1,(xlRTTYENDU=1)*(xlRTTYEQCL=$D786)*(xlRTEQTYPE=$E786),0))</f>
        <v>NG_FA4</v>
      </c>
      <c r="Y786" s="153" t="str">
        <f t="array" ref="Y786">INDEX(xlRTTYNAME,MATCH(1,(xlRTTYENDU=2)*(xlRTTYEQCL=$F786)*(xlRTEQTYPE=$G786),0))</f>
        <v>CENT_AIR4</v>
      </c>
    </row>
    <row r="787" spans="1:25" s="157" customFormat="1" x14ac:dyDescent="0.2">
      <c r="A787"/>
      <c r="B787" s="126">
        <v>5</v>
      </c>
      <c r="C787" s="126">
        <v>1</v>
      </c>
      <c r="D787" s="126">
        <v>3</v>
      </c>
      <c r="E787" s="126">
        <v>9</v>
      </c>
      <c r="F787" s="126">
        <v>2</v>
      </c>
      <c r="G787" s="126">
        <v>8</v>
      </c>
      <c r="H787" s="126">
        <v>2016</v>
      </c>
      <c r="I787" s="159">
        <v>2022</v>
      </c>
      <c r="J787" s="127">
        <v>1.0849</v>
      </c>
      <c r="K787" s="127">
        <v>1.0471999999999999</v>
      </c>
      <c r="L787" s="127">
        <v>0.33260000000000001</v>
      </c>
      <c r="M787" s="127">
        <v>0.73150000000000004</v>
      </c>
      <c r="N787" s="127">
        <v>0.76180000000000003</v>
      </c>
      <c r="O787" s="127">
        <v>1.0538000000000001</v>
      </c>
      <c r="P787" s="126">
        <v>11579</v>
      </c>
      <c r="Q787" s="128">
        <f t="array" ref="Q787">SUM(IF(($S787&gt;=4)*($C787='TaxCred&amp;Subs'!$D$123:$D$127)*($H787='TaxCred&amp;Subs'!$C$123:$C$127)*($H787&lt;='TaxCred&amp;Subs'!$C$129),'TaxCred&amp;Subs'!$E$123:$E$127,0))</f>
        <v>2000</v>
      </c>
      <c r="R787" s="174">
        <v>0</v>
      </c>
      <c r="S787" s="126">
        <v>5</v>
      </c>
      <c r="T787" s="126" t="s">
        <v>225</v>
      </c>
      <c r="U787"/>
      <c r="V787" s="153" t="str">
        <f t="array" ref="V787">INDEX(xlRTCLNAME,MATCH(1,(xlRTCLENDU=1)*(xlRTCLEQCL=$D787),0))</f>
        <v>NG_FA</v>
      </c>
      <c r="W787" s="153" t="str">
        <f t="array" ref="W787">INDEX(xlRTCLNAME,MATCH(1,(xlRTCLENDU=2)*(xlRTCLEQCL=$F787),0))</f>
        <v>CENT_AIR</v>
      </c>
      <c r="X787" s="153" t="str">
        <f t="array" ref="X787">INDEX(xlRTTYNAME,MATCH(1,(xlRTTYENDU=1)*(xlRTTYEQCL=$D787)*(xlRTEQTYPE=$E787),0))</f>
        <v>NG_FA4</v>
      </c>
      <c r="Y787" s="153" t="str">
        <f t="array" ref="Y787">INDEX(xlRTTYNAME,MATCH(1,(xlRTTYENDU=2)*(xlRTTYEQCL=$F787)*(xlRTEQTYPE=$G787),0))</f>
        <v>CENT_AIR4</v>
      </c>
    </row>
    <row r="788" spans="1:25" s="157" customFormat="1" x14ac:dyDescent="0.2">
      <c r="A788"/>
      <c r="B788" s="49">
        <v>5</v>
      </c>
      <c r="C788" s="49">
        <v>1</v>
      </c>
      <c r="D788" s="49">
        <v>3</v>
      </c>
      <c r="E788" s="49">
        <v>9</v>
      </c>
      <c r="F788" s="49">
        <v>2</v>
      </c>
      <c r="G788" s="49">
        <v>8</v>
      </c>
      <c r="H788" s="49">
        <v>2023</v>
      </c>
      <c r="I788" s="49">
        <v>2032</v>
      </c>
      <c r="J788" s="50">
        <v>1.0849</v>
      </c>
      <c r="K788" s="50">
        <v>1.0471999999999999</v>
      </c>
      <c r="L788" s="50">
        <v>0.33260000000000001</v>
      </c>
      <c r="M788" s="50">
        <v>0.73150000000000004</v>
      </c>
      <c r="N788" s="50">
        <v>0.76180000000000003</v>
      </c>
      <c r="O788" s="50">
        <v>1.0538000000000001</v>
      </c>
      <c r="P788" s="49">
        <v>11579</v>
      </c>
      <c r="Q788" s="51">
        <f t="array" ref="Q788">SUM(IF(($S788&gt;=4)*($C788='TaxCred&amp;Subs'!$D$123:$D$127)*($H788='TaxCred&amp;Subs'!$C$123:$C$127)*($H788&lt;='TaxCred&amp;Subs'!$C$129),'TaxCred&amp;Subs'!$E$123:$E$127,0))</f>
        <v>2500</v>
      </c>
      <c r="R788" s="171">
        <v>0</v>
      </c>
      <c r="S788" s="49">
        <v>5</v>
      </c>
      <c r="T788" s="49" t="s">
        <v>225</v>
      </c>
      <c r="U788"/>
      <c r="V788" s="153" t="str">
        <f t="array" ref="V788">INDEX(xlRTCLNAME,MATCH(1,(xlRTCLENDU=1)*(xlRTCLEQCL=$D788),0))</f>
        <v>NG_FA</v>
      </c>
      <c r="W788" s="153" t="str">
        <f t="array" ref="W788">INDEX(xlRTCLNAME,MATCH(1,(xlRTCLENDU=2)*(xlRTCLEQCL=$F788),0))</f>
        <v>CENT_AIR</v>
      </c>
      <c r="X788" s="153" t="str">
        <f t="array" ref="X788">INDEX(xlRTTYNAME,MATCH(1,(xlRTTYENDU=1)*(xlRTTYEQCL=$D788)*(xlRTEQTYPE=$E788),0))</f>
        <v>NG_FA4</v>
      </c>
      <c r="Y788" s="153" t="str">
        <f t="array" ref="Y788">INDEX(xlRTTYNAME,MATCH(1,(xlRTTYENDU=2)*(xlRTTYEQCL=$F788)*(xlRTEQTYPE=$G788),0))</f>
        <v>CENT_AIR4</v>
      </c>
    </row>
    <row r="789" spans="1:25" s="157" customFormat="1" x14ac:dyDescent="0.2">
      <c r="A789"/>
      <c r="B789" s="126">
        <v>5</v>
      </c>
      <c r="C789" s="126">
        <v>1</v>
      </c>
      <c r="D789" s="126">
        <v>3</v>
      </c>
      <c r="E789" s="126">
        <v>9</v>
      </c>
      <c r="F789" s="126">
        <v>2</v>
      </c>
      <c r="G789" s="126">
        <v>8</v>
      </c>
      <c r="H789" s="159">
        <v>2033</v>
      </c>
      <c r="I789" s="126">
        <v>2050</v>
      </c>
      <c r="J789" s="127">
        <v>1.0849</v>
      </c>
      <c r="K789" s="127">
        <v>1.0471999999999999</v>
      </c>
      <c r="L789" s="127">
        <v>0.33260000000000001</v>
      </c>
      <c r="M789" s="127">
        <v>0.73150000000000004</v>
      </c>
      <c r="N789" s="127">
        <v>0.76180000000000003</v>
      </c>
      <c r="O789" s="127">
        <v>1.0538000000000001</v>
      </c>
      <c r="P789" s="126">
        <v>11579</v>
      </c>
      <c r="Q789" s="128">
        <f t="array" ref="Q789">SUM(IF(($S789&gt;=4)*($C789='TaxCred&amp;Subs'!$D$123:$D$127)*($H789='TaxCred&amp;Subs'!$C$123:$C$127)*($H789&lt;='TaxCred&amp;Subs'!$C$129),'TaxCred&amp;Subs'!$E$123:$E$127,0))</f>
        <v>0</v>
      </c>
      <c r="R789" s="174">
        <v>0</v>
      </c>
      <c r="S789" s="126">
        <v>5</v>
      </c>
      <c r="T789" s="126" t="s">
        <v>225</v>
      </c>
      <c r="U789"/>
      <c r="V789" s="153" t="str">
        <f t="array" ref="V789">INDEX(xlRTCLNAME,MATCH(1,(xlRTCLENDU=1)*(xlRTCLEQCL=$D789),0))</f>
        <v>NG_FA</v>
      </c>
      <c r="W789" s="153" t="str">
        <f t="array" ref="W789">INDEX(xlRTCLNAME,MATCH(1,(xlRTCLENDU=2)*(xlRTCLEQCL=$F789),0))</f>
        <v>CENT_AIR</v>
      </c>
      <c r="X789" s="153" t="str">
        <f t="array" ref="X789">INDEX(xlRTTYNAME,MATCH(1,(xlRTTYENDU=1)*(xlRTTYEQCL=$D789)*(xlRTEQTYPE=$E789),0))</f>
        <v>NG_FA4</v>
      </c>
      <c r="Y789" s="153" t="str">
        <f t="array" ref="Y789">INDEX(xlRTTYNAME,MATCH(1,(xlRTTYENDU=2)*(xlRTTYEQCL=$F789)*(xlRTEQTYPE=$G789),0))</f>
        <v>CENT_AIR4</v>
      </c>
    </row>
    <row r="790" spans="1:25" s="157" customFormat="1" x14ac:dyDescent="0.2">
      <c r="A790"/>
      <c r="B790" s="126">
        <v>6</v>
      </c>
      <c r="C790" s="126">
        <v>1</v>
      </c>
      <c r="D790" s="126">
        <v>3</v>
      </c>
      <c r="E790" s="126">
        <v>9</v>
      </c>
      <c r="F790" s="126">
        <v>2</v>
      </c>
      <c r="G790" s="126">
        <v>8</v>
      </c>
      <c r="H790" s="126">
        <v>2016</v>
      </c>
      <c r="I790" s="159">
        <v>2022</v>
      </c>
      <c r="J790" s="127">
        <v>1.0924</v>
      </c>
      <c r="K790" s="127">
        <v>1.0661</v>
      </c>
      <c r="L790" s="127">
        <v>0.41849999999999998</v>
      </c>
      <c r="M790" s="127">
        <v>0.76590000000000003</v>
      </c>
      <c r="N790" s="127">
        <v>0.89100000000000001</v>
      </c>
      <c r="O790" s="127">
        <v>1.0538000000000001</v>
      </c>
      <c r="P790" s="126">
        <v>11441</v>
      </c>
      <c r="Q790" s="128">
        <f t="array" ref="Q790">SUM(IF(($S790&gt;=4)*($C790='TaxCred&amp;Subs'!$D$123:$D$127)*($H790='TaxCred&amp;Subs'!$C$123:$C$127)*($H790&lt;='TaxCred&amp;Subs'!$C$129),'TaxCred&amp;Subs'!$E$123:$E$127,0))</f>
        <v>2000</v>
      </c>
      <c r="R790" s="174">
        <v>0</v>
      </c>
      <c r="S790" s="126">
        <v>5</v>
      </c>
      <c r="T790" s="126" t="s">
        <v>225</v>
      </c>
      <c r="U790"/>
      <c r="V790" s="153" t="str">
        <f t="array" ref="V790">INDEX(xlRTCLNAME,MATCH(1,(xlRTCLENDU=1)*(xlRTCLEQCL=$D790),0))</f>
        <v>NG_FA</v>
      </c>
      <c r="W790" s="153" t="str">
        <f t="array" ref="W790">INDEX(xlRTCLNAME,MATCH(1,(xlRTCLENDU=2)*(xlRTCLEQCL=$F790),0))</f>
        <v>CENT_AIR</v>
      </c>
      <c r="X790" s="153" t="str">
        <f t="array" ref="X790">INDEX(xlRTTYNAME,MATCH(1,(xlRTTYENDU=1)*(xlRTTYEQCL=$D790)*(xlRTEQTYPE=$E790),0))</f>
        <v>NG_FA4</v>
      </c>
      <c r="Y790" s="153" t="str">
        <f t="array" ref="Y790">INDEX(xlRTTYNAME,MATCH(1,(xlRTTYENDU=2)*(xlRTTYEQCL=$F790)*(xlRTEQTYPE=$G790),0))</f>
        <v>CENT_AIR4</v>
      </c>
    </row>
    <row r="791" spans="1:25" s="157" customFormat="1" x14ac:dyDescent="0.2">
      <c r="A791"/>
      <c r="B791" s="49">
        <v>6</v>
      </c>
      <c r="C791" s="49">
        <v>1</v>
      </c>
      <c r="D791" s="49">
        <v>3</v>
      </c>
      <c r="E791" s="49">
        <v>9</v>
      </c>
      <c r="F791" s="49">
        <v>2</v>
      </c>
      <c r="G791" s="49">
        <v>8</v>
      </c>
      <c r="H791" s="49">
        <v>2023</v>
      </c>
      <c r="I791" s="49">
        <v>2032</v>
      </c>
      <c r="J791" s="50">
        <v>1.0924</v>
      </c>
      <c r="K791" s="50">
        <v>1.0661</v>
      </c>
      <c r="L791" s="50">
        <v>0.41849999999999998</v>
      </c>
      <c r="M791" s="50">
        <v>0.76590000000000003</v>
      </c>
      <c r="N791" s="50">
        <v>0.89100000000000001</v>
      </c>
      <c r="O791" s="50">
        <v>1.0538000000000001</v>
      </c>
      <c r="P791" s="49">
        <v>11441</v>
      </c>
      <c r="Q791" s="51">
        <f t="array" ref="Q791">SUM(IF(($S791&gt;=4)*($C791='TaxCred&amp;Subs'!$D$123:$D$127)*($H791='TaxCred&amp;Subs'!$C$123:$C$127)*($H791&lt;='TaxCred&amp;Subs'!$C$129),'TaxCred&amp;Subs'!$E$123:$E$127,0))</f>
        <v>2500</v>
      </c>
      <c r="R791" s="171">
        <v>0</v>
      </c>
      <c r="S791" s="49">
        <v>5</v>
      </c>
      <c r="T791" s="49" t="s">
        <v>225</v>
      </c>
      <c r="U791"/>
      <c r="V791" s="153" t="str">
        <f t="array" ref="V791">INDEX(xlRTCLNAME,MATCH(1,(xlRTCLENDU=1)*(xlRTCLEQCL=$D791),0))</f>
        <v>NG_FA</v>
      </c>
      <c r="W791" s="153" t="str">
        <f t="array" ref="W791">INDEX(xlRTCLNAME,MATCH(1,(xlRTCLENDU=2)*(xlRTCLEQCL=$F791),0))</f>
        <v>CENT_AIR</v>
      </c>
      <c r="X791" s="153" t="str">
        <f t="array" ref="X791">INDEX(xlRTTYNAME,MATCH(1,(xlRTTYENDU=1)*(xlRTTYEQCL=$D791)*(xlRTEQTYPE=$E791),0))</f>
        <v>NG_FA4</v>
      </c>
      <c r="Y791" s="153" t="str">
        <f t="array" ref="Y791">INDEX(xlRTTYNAME,MATCH(1,(xlRTTYENDU=2)*(xlRTTYEQCL=$F791)*(xlRTEQTYPE=$G791),0))</f>
        <v>CENT_AIR4</v>
      </c>
    </row>
    <row r="792" spans="1:25" s="157" customFormat="1" x14ac:dyDescent="0.2">
      <c r="A792"/>
      <c r="B792" s="126">
        <v>6</v>
      </c>
      <c r="C792" s="126">
        <v>1</v>
      </c>
      <c r="D792" s="126">
        <v>3</v>
      </c>
      <c r="E792" s="126">
        <v>9</v>
      </c>
      <c r="F792" s="126">
        <v>2</v>
      </c>
      <c r="G792" s="126">
        <v>8</v>
      </c>
      <c r="H792" s="159">
        <v>2033</v>
      </c>
      <c r="I792" s="126">
        <v>2050</v>
      </c>
      <c r="J792" s="127">
        <v>1.0924</v>
      </c>
      <c r="K792" s="127">
        <v>1.0661</v>
      </c>
      <c r="L792" s="127">
        <v>0.41849999999999998</v>
      </c>
      <c r="M792" s="127">
        <v>0.76590000000000003</v>
      </c>
      <c r="N792" s="127">
        <v>0.89100000000000001</v>
      </c>
      <c r="O792" s="127">
        <v>1.0538000000000001</v>
      </c>
      <c r="P792" s="126">
        <v>11441</v>
      </c>
      <c r="Q792" s="128">
        <f t="array" ref="Q792">SUM(IF(($S792&gt;=4)*($C792='TaxCred&amp;Subs'!$D$123:$D$127)*($H792='TaxCred&amp;Subs'!$C$123:$C$127)*($H792&lt;='TaxCred&amp;Subs'!$C$129),'TaxCred&amp;Subs'!$E$123:$E$127,0))</f>
        <v>0</v>
      </c>
      <c r="R792" s="174">
        <v>0</v>
      </c>
      <c r="S792" s="126">
        <v>5</v>
      </c>
      <c r="T792" s="126" t="s">
        <v>225</v>
      </c>
      <c r="U792"/>
      <c r="V792" s="153" t="str">
        <f t="array" ref="V792">INDEX(xlRTCLNAME,MATCH(1,(xlRTCLENDU=1)*(xlRTCLEQCL=$D792),0))</f>
        <v>NG_FA</v>
      </c>
      <c r="W792" s="153" t="str">
        <f t="array" ref="W792">INDEX(xlRTCLNAME,MATCH(1,(xlRTCLENDU=2)*(xlRTCLEQCL=$F792),0))</f>
        <v>CENT_AIR</v>
      </c>
      <c r="X792" s="153" t="str">
        <f t="array" ref="X792">INDEX(xlRTTYNAME,MATCH(1,(xlRTTYENDU=1)*(xlRTTYEQCL=$D792)*(xlRTEQTYPE=$E792),0))</f>
        <v>NG_FA4</v>
      </c>
      <c r="Y792" s="153" t="str">
        <f t="array" ref="Y792">INDEX(xlRTTYNAME,MATCH(1,(xlRTTYENDU=2)*(xlRTTYEQCL=$F792)*(xlRTEQTYPE=$G792),0))</f>
        <v>CENT_AIR4</v>
      </c>
    </row>
    <row r="793" spans="1:25" s="157" customFormat="1" x14ac:dyDescent="0.2">
      <c r="A793"/>
      <c r="B793" s="126">
        <v>7</v>
      </c>
      <c r="C793" s="126">
        <v>1</v>
      </c>
      <c r="D793" s="126">
        <v>3</v>
      </c>
      <c r="E793" s="126">
        <v>9</v>
      </c>
      <c r="F793" s="126">
        <v>2</v>
      </c>
      <c r="G793" s="126">
        <v>8</v>
      </c>
      <c r="H793" s="126">
        <v>2016</v>
      </c>
      <c r="I793" s="159">
        <v>2022</v>
      </c>
      <c r="J793" s="127">
        <v>1.0905</v>
      </c>
      <c r="K793" s="127">
        <v>1.0562</v>
      </c>
      <c r="L793" s="127">
        <v>0.37419999999999998</v>
      </c>
      <c r="M793" s="127">
        <v>0.65339999999999998</v>
      </c>
      <c r="N793" s="127">
        <v>0.87180000000000002</v>
      </c>
      <c r="O793" s="127">
        <v>1.0538000000000001</v>
      </c>
      <c r="P793" s="126">
        <v>11603</v>
      </c>
      <c r="Q793" s="128">
        <f t="array" ref="Q793">SUM(IF(($S793&gt;=4)*($C793='TaxCred&amp;Subs'!$D$123:$D$127)*($H793='TaxCred&amp;Subs'!$C$123:$C$127)*($H793&lt;='TaxCred&amp;Subs'!$C$129),'TaxCred&amp;Subs'!$E$123:$E$127,0))</f>
        <v>2000</v>
      </c>
      <c r="R793" s="174">
        <v>0</v>
      </c>
      <c r="S793" s="126">
        <v>5</v>
      </c>
      <c r="T793" s="126" t="s">
        <v>225</v>
      </c>
      <c r="U793"/>
      <c r="V793" s="153" t="str">
        <f t="array" ref="V793">INDEX(xlRTCLNAME,MATCH(1,(xlRTCLENDU=1)*(xlRTCLEQCL=$D793),0))</f>
        <v>NG_FA</v>
      </c>
      <c r="W793" s="153" t="str">
        <f t="array" ref="W793">INDEX(xlRTCLNAME,MATCH(1,(xlRTCLENDU=2)*(xlRTCLEQCL=$F793),0))</f>
        <v>CENT_AIR</v>
      </c>
      <c r="X793" s="153" t="str">
        <f t="array" ref="X793">INDEX(xlRTTYNAME,MATCH(1,(xlRTTYENDU=1)*(xlRTTYEQCL=$D793)*(xlRTEQTYPE=$E793),0))</f>
        <v>NG_FA4</v>
      </c>
      <c r="Y793" s="153" t="str">
        <f t="array" ref="Y793">INDEX(xlRTTYNAME,MATCH(1,(xlRTTYENDU=2)*(xlRTTYEQCL=$F793)*(xlRTEQTYPE=$G793),0))</f>
        <v>CENT_AIR4</v>
      </c>
    </row>
    <row r="794" spans="1:25" s="157" customFormat="1" x14ac:dyDescent="0.2">
      <c r="A794"/>
      <c r="B794" s="49">
        <v>7</v>
      </c>
      <c r="C794" s="49">
        <v>1</v>
      </c>
      <c r="D794" s="49">
        <v>3</v>
      </c>
      <c r="E794" s="49">
        <v>9</v>
      </c>
      <c r="F794" s="49">
        <v>2</v>
      </c>
      <c r="G794" s="49">
        <v>8</v>
      </c>
      <c r="H794" s="49">
        <v>2023</v>
      </c>
      <c r="I794" s="49">
        <v>2032</v>
      </c>
      <c r="J794" s="50">
        <v>1.0905</v>
      </c>
      <c r="K794" s="50">
        <v>1.0562</v>
      </c>
      <c r="L794" s="50">
        <v>0.37419999999999998</v>
      </c>
      <c r="M794" s="50">
        <v>0.65339999999999998</v>
      </c>
      <c r="N794" s="50">
        <v>0.87180000000000002</v>
      </c>
      <c r="O794" s="50">
        <v>1.0538000000000001</v>
      </c>
      <c r="P794" s="49">
        <v>11603</v>
      </c>
      <c r="Q794" s="51">
        <f t="array" ref="Q794">SUM(IF(($S794&gt;=4)*($C794='TaxCred&amp;Subs'!$D$123:$D$127)*($H794='TaxCred&amp;Subs'!$C$123:$C$127)*($H794&lt;='TaxCred&amp;Subs'!$C$129),'TaxCred&amp;Subs'!$E$123:$E$127,0))</f>
        <v>2500</v>
      </c>
      <c r="R794" s="171">
        <v>0</v>
      </c>
      <c r="S794" s="49">
        <v>5</v>
      </c>
      <c r="T794" s="49" t="s">
        <v>225</v>
      </c>
      <c r="U794"/>
      <c r="V794" s="153" t="str">
        <f t="array" ref="V794">INDEX(xlRTCLNAME,MATCH(1,(xlRTCLENDU=1)*(xlRTCLEQCL=$D794),0))</f>
        <v>NG_FA</v>
      </c>
      <c r="W794" s="153" t="str">
        <f t="array" ref="W794">INDEX(xlRTCLNAME,MATCH(1,(xlRTCLENDU=2)*(xlRTCLEQCL=$F794),0))</f>
        <v>CENT_AIR</v>
      </c>
      <c r="X794" s="153" t="str">
        <f t="array" ref="X794">INDEX(xlRTTYNAME,MATCH(1,(xlRTTYENDU=1)*(xlRTTYEQCL=$D794)*(xlRTEQTYPE=$E794),0))</f>
        <v>NG_FA4</v>
      </c>
      <c r="Y794" s="153" t="str">
        <f t="array" ref="Y794">INDEX(xlRTTYNAME,MATCH(1,(xlRTTYENDU=2)*(xlRTTYEQCL=$F794)*(xlRTEQTYPE=$G794),0))</f>
        <v>CENT_AIR4</v>
      </c>
    </row>
    <row r="795" spans="1:25" s="157" customFormat="1" x14ac:dyDescent="0.2">
      <c r="A795"/>
      <c r="B795" s="126">
        <v>7</v>
      </c>
      <c r="C795" s="126">
        <v>1</v>
      </c>
      <c r="D795" s="126">
        <v>3</v>
      </c>
      <c r="E795" s="126">
        <v>9</v>
      </c>
      <c r="F795" s="126">
        <v>2</v>
      </c>
      <c r="G795" s="126">
        <v>8</v>
      </c>
      <c r="H795" s="159">
        <v>2033</v>
      </c>
      <c r="I795" s="126">
        <v>2050</v>
      </c>
      <c r="J795" s="127">
        <v>1.0905</v>
      </c>
      <c r="K795" s="127">
        <v>1.0562</v>
      </c>
      <c r="L795" s="127">
        <v>0.37419999999999998</v>
      </c>
      <c r="M795" s="127">
        <v>0.65339999999999998</v>
      </c>
      <c r="N795" s="127">
        <v>0.87180000000000002</v>
      </c>
      <c r="O795" s="127">
        <v>1.0538000000000001</v>
      </c>
      <c r="P795" s="126">
        <v>11603</v>
      </c>
      <c r="Q795" s="128">
        <f t="array" ref="Q795">SUM(IF(($S795&gt;=4)*($C795='TaxCred&amp;Subs'!$D$123:$D$127)*($H795='TaxCred&amp;Subs'!$C$123:$C$127)*($H795&lt;='TaxCred&amp;Subs'!$C$129),'TaxCred&amp;Subs'!$E$123:$E$127,0))</f>
        <v>0</v>
      </c>
      <c r="R795" s="174">
        <v>0</v>
      </c>
      <c r="S795" s="126">
        <v>5</v>
      </c>
      <c r="T795" s="126" t="s">
        <v>225</v>
      </c>
      <c r="U795"/>
      <c r="V795" s="153" t="str">
        <f t="array" ref="V795">INDEX(xlRTCLNAME,MATCH(1,(xlRTCLENDU=1)*(xlRTCLEQCL=$D795),0))</f>
        <v>NG_FA</v>
      </c>
      <c r="W795" s="153" t="str">
        <f t="array" ref="W795">INDEX(xlRTCLNAME,MATCH(1,(xlRTCLENDU=2)*(xlRTCLEQCL=$F795),0))</f>
        <v>CENT_AIR</v>
      </c>
      <c r="X795" s="153" t="str">
        <f t="array" ref="X795">INDEX(xlRTTYNAME,MATCH(1,(xlRTTYENDU=1)*(xlRTTYEQCL=$D795)*(xlRTEQTYPE=$E795),0))</f>
        <v>NG_FA4</v>
      </c>
      <c r="Y795" s="153" t="str">
        <f t="array" ref="Y795">INDEX(xlRTTYNAME,MATCH(1,(xlRTTYENDU=2)*(xlRTTYEQCL=$F795)*(xlRTEQTYPE=$G795),0))</f>
        <v>CENT_AIR4</v>
      </c>
    </row>
    <row r="796" spans="1:25" s="157" customFormat="1" x14ac:dyDescent="0.2">
      <c r="A796"/>
      <c r="B796" s="126">
        <v>8</v>
      </c>
      <c r="C796" s="126">
        <v>1</v>
      </c>
      <c r="D796" s="126">
        <v>3</v>
      </c>
      <c r="E796" s="126">
        <v>9</v>
      </c>
      <c r="F796" s="126">
        <v>2</v>
      </c>
      <c r="G796" s="126">
        <v>8</v>
      </c>
      <c r="H796" s="126">
        <v>2016</v>
      </c>
      <c r="I796" s="159">
        <v>2022</v>
      </c>
      <c r="J796" s="127">
        <v>1.0801000000000001</v>
      </c>
      <c r="K796" s="127">
        <v>1.0822000000000001</v>
      </c>
      <c r="L796" s="127">
        <v>0.43120000000000003</v>
      </c>
      <c r="M796" s="127">
        <v>0.78110000000000002</v>
      </c>
      <c r="N796" s="127">
        <v>0.86950000000000005</v>
      </c>
      <c r="O796" s="127">
        <v>1.0538000000000001</v>
      </c>
      <c r="P796" s="126">
        <v>12094</v>
      </c>
      <c r="Q796" s="128">
        <f t="array" ref="Q796">SUM(IF(($S796&gt;=4)*($C796='TaxCred&amp;Subs'!$D$123:$D$127)*($H796='TaxCred&amp;Subs'!$C$123:$C$127)*($H796&lt;='TaxCred&amp;Subs'!$C$129),'TaxCred&amp;Subs'!$E$123:$E$127,0))</f>
        <v>2000</v>
      </c>
      <c r="R796" s="174">
        <v>0</v>
      </c>
      <c r="S796" s="126">
        <v>5</v>
      </c>
      <c r="T796" s="126" t="s">
        <v>225</v>
      </c>
      <c r="U796"/>
      <c r="V796" s="153" t="str">
        <f t="array" ref="V796">INDEX(xlRTCLNAME,MATCH(1,(xlRTCLENDU=1)*(xlRTCLEQCL=$D796),0))</f>
        <v>NG_FA</v>
      </c>
      <c r="W796" s="153" t="str">
        <f t="array" ref="W796">INDEX(xlRTCLNAME,MATCH(1,(xlRTCLENDU=2)*(xlRTCLEQCL=$F796),0))</f>
        <v>CENT_AIR</v>
      </c>
      <c r="X796" s="153" t="str">
        <f t="array" ref="X796">INDEX(xlRTTYNAME,MATCH(1,(xlRTTYENDU=1)*(xlRTTYEQCL=$D796)*(xlRTEQTYPE=$E796),0))</f>
        <v>NG_FA4</v>
      </c>
      <c r="Y796" s="153" t="str">
        <f t="array" ref="Y796">INDEX(xlRTTYNAME,MATCH(1,(xlRTTYENDU=2)*(xlRTTYEQCL=$F796)*(xlRTEQTYPE=$G796),0))</f>
        <v>CENT_AIR4</v>
      </c>
    </row>
    <row r="797" spans="1:25" s="157" customFormat="1" x14ac:dyDescent="0.2">
      <c r="A797"/>
      <c r="B797" s="49">
        <v>8</v>
      </c>
      <c r="C797" s="49">
        <v>1</v>
      </c>
      <c r="D797" s="49">
        <v>3</v>
      </c>
      <c r="E797" s="49">
        <v>9</v>
      </c>
      <c r="F797" s="49">
        <v>2</v>
      </c>
      <c r="G797" s="49">
        <v>8</v>
      </c>
      <c r="H797" s="49">
        <v>2023</v>
      </c>
      <c r="I797" s="49">
        <v>2032</v>
      </c>
      <c r="J797" s="50">
        <v>1.0801000000000001</v>
      </c>
      <c r="K797" s="50">
        <v>1.0822000000000001</v>
      </c>
      <c r="L797" s="50">
        <v>0.43120000000000003</v>
      </c>
      <c r="M797" s="50">
        <v>0.78110000000000002</v>
      </c>
      <c r="N797" s="50">
        <v>0.86950000000000005</v>
      </c>
      <c r="O797" s="50">
        <v>1.0538000000000001</v>
      </c>
      <c r="P797" s="49">
        <v>12094</v>
      </c>
      <c r="Q797" s="51">
        <f t="array" ref="Q797">SUM(IF(($S797&gt;=4)*($C797='TaxCred&amp;Subs'!$D$123:$D$127)*($H797='TaxCred&amp;Subs'!$C$123:$C$127)*($H797&lt;='TaxCred&amp;Subs'!$C$129),'TaxCred&amp;Subs'!$E$123:$E$127,0))</f>
        <v>2500</v>
      </c>
      <c r="R797" s="171">
        <v>0</v>
      </c>
      <c r="S797" s="49">
        <v>5</v>
      </c>
      <c r="T797" s="49" t="s">
        <v>225</v>
      </c>
      <c r="U797"/>
      <c r="V797" s="153" t="str">
        <f t="array" ref="V797">INDEX(xlRTCLNAME,MATCH(1,(xlRTCLENDU=1)*(xlRTCLEQCL=$D797),0))</f>
        <v>NG_FA</v>
      </c>
      <c r="W797" s="153" t="str">
        <f t="array" ref="W797">INDEX(xlRTCLNAME,MATCH(1,(xlRTCLENDU=2)*(xlRTCLEQCL=$F797),0))</f>
        <v>CENT_AIR</v>
      </c>
      <c r="X797" s="153" t="str">
        <f t="array" ref="X797">INDEX(xlRTTYNAME,MATCH(1,(xlRTTYENDU=1)*(xlRTTYEQCL=$D797)*(xlRTEQTYPE=$E797),0))</f>
        <v>NG_FA4</v>
      </c>
      <c r="Y797" s="153" t="str">
        <f t="array" ref="Y797">INDEX(xlRTTYNAME,MATCH(1,(xlRTTYENDU=2)*(xlRTTYEQCL=$F797)*(xlRTEQTYPE=$G797),0))</f>
        <v>CENT_AIR4</v>
      </c>
    </row>
    <row r="798" spans="1:25" s="157" customFormat="1" x14ac:dyDescent="0.2">
      <c r="A798"/>
      <c r="B798" s="126">
        <v>8</v>
      </c>
      <c r="C798" s="126">
        <v>1</v>
      </c>
      <c r="D798" s="126">
        <v>3</v>
      </c>
      <c r="E798" s="126">
        <v>9</v>
      </c>
      <c r="F798" s="126">
        <v>2</v>
      </c>
      <c r="G798" s="126">
        <v>8</v>
      </c>
      <c r="H798" s="159">
        <v>2033</v>
      </c>
      <c r="I798" s="126">
        <v>2050</v>
      </c>
      <c r="J798" s="127">
        <v>1.0801000000000001</v>
      </c>
      <c r="K798" s="127">
        <v>1.0822000000000001</v>
      </c>
      <c r="L798" s="127">
        <v>0.43120000000000003</v>
      </c>
      <c r="M798" s="127">
        <v>0.78110000000000002</v>
      </c>
      <c r="N798" s="127">
        <v>0.86950000000000005</v>
      </c>
      <c r="O798" s="127">
        <v>1.0538000000000001</v>
      </c>
      <c r="P798" s="126">
        <v>12094</v>
      </c>
      <c r="Q798" s="128">
        <f t="array" ref="Q798">SUM(IF(($S798&gt;=4)*($C798='TaxCred&amp;Subs'!$D$123:$D$127)*($H798='TaxCred&amp;Subs'!$C$123:$C$127)*($H798&lt;='TaxCred&amp;Subs'!$C$129),'TaxCred&amp;Subs'!$E$123:$E$127,0))</f>
        <v>0</v>
      </c>
      <c r="R798" s="174">
        <v>0</v>
      </c>
      <c r="S798" s="126">
        <v>5</v>
      </c>
      <c r="T798" s="126" t="s">
        <v>225</v>
      </c>
      <c r="U798"/>
      <c r="V798" s="153" t="str">
        <f t="array" ref="V798">INDEX(xlRTCLNAME,MATCH(1,(xlRTCLENDU=1)*(xlRTCLEQCL=$D798),0))</f>
        <v>NG_FA</v>
      </c>
      <c r="W798" s="153" t="str">
        <f t="array" ref="W798">INDEX(xlRTCLNAME,MATCH(1,(xlRTCLENDU=2)*(xlRTCLEQCL=$F798),0))</f>
        <v>CENT_AIR</v>
      </c>
      <c r="X798" s="153" t="str">
        <f t="array" ref="X798">INDEX(xlRTTYNAME,MATCH(1,(xlRTTYENDU=1)*(xlRTTYEQCL=$D798)*(xlRTEQTYPE=$E798),0))</f>
        <v>NG_FA4</v>
      </c>
      <c r="Y798" s="153" t="str">
        <f t="array" ref="Y798">INDEX(xlRTTYNAME,MATCH(1,(xlRTTYENDU=2)*(xlRTTYEQCL=$F798)*(xlRTEQTYPE=$G798),0))</f>
        <v>CENT_AIR4</v>
      </c>
    </row>
    <row r="799" spans="1:25" s="157" customFormat="1" x14ac:dyDescent="0.2">
      <c r="A799"/>
      <c r="B799" s="126">
        <v>9</v>
      </c>
      <c r="C799" s="126">
        <v>1</v>
      </c>
      <c r="D799" s="126">
        <v>3</v>
      </c>
      <c r="E799" s="126">
        <v>9</v>
      </c>
      <c r="F799" s="126">
        <v>2</v>
      </c>
      <c r="G799" s="126">
        <v>8</v>
      </c>
      <c r="H799" s="126">
        <v>2016</v>
      </c>
      <c r="I799" s="159">
        <v>2022</v>
      </c>
      <c r="J799" s="127">
        <v>1.0781000000000001</v>
      </c>
      <c r="K799" s="127">
        <v>1.0707</v>
      </c>
      <c r="L799" s="127">
        <v>0.39879999999999999</v>
      </c>
      <c r="M799" s="127">
        <v>0.76029999999999998</v>
      </c>
      <c r="N799" s="127">
        <v>1.0339</v>
      </c>
      <c r="O799" s="127">
        <v>1.0538000000000001</v>
      </c>
      <c r="P799" s="126">
        <v>14738</v>
      </c>
      <c r="Q799" s="128">
        <f t="array" ref="Q799">SUM(IF(($S799&gt;=4)*($C799='TaxCred&amp;Subs'!$D$123:$D$127)*($H799='TaxCred&amp;Subs'!$C$123:$C$127)*($H799&lt;='TaxCred&amp;Subs'!$C$129),'TaxCred&amp;Subs'!$E$123:$E$127,0))</f>
        <v>2000</v>
      </c>
      <c r="R799" s="174">
        <v>0</v>
      </c>
      <c r="S799" s="126">
        <v>5</v>
      </c>
      <c r="T799" s="126" t="s">
        <v>225</v>
      </c>
      <c r="U799"/>
      <c r="V799" s="153" t="str">
        <f t="array" ref="V799">INDEX(xlRTCLNAME,MATCH(1,(xlRTCLENDU=1)*(xlRTCLEQCL=$D799),0))</f>
        <v>NG_FA</v>
      </c>
      <c r="W799" s="153" t="str">
        <f t="array" ref="W799">INDEX(xlRTCLNAME,MATCH(1,(xlRTCLENDU=2)*(xlRTCLEQCL=$F799),0))</f>
        <v>CENT_AIR</v>
      </c>
      <c r="X799" s="153" t="str">
        <f t="array" ref="X799">INDEX(xlRTTYNAME,MATCH(1,(xlRTTYENDU=1)*(xlRTTYEQCL=$D799)*(xlRTEQTYPE=$E799),0))</f>
        <v>NG_FA4</v>
      </c>
      <c r="Y799" s="153" t="str">
        <f t="array" ref="Y799">INDEX(xlRTTYNAME,MATCH(1,(xlRTTYENDU=2)*(xlRTTYEQCL=$F799)*(xlRTEQTYPE=$G799),0))</f>
        <v>CENT_AIR4</v>
      </c>
    </row>
    <row r="800" spans="1:25" s="157" customFormat="1" x14ac:dyDescent="0.2">
      <c r="A800"/>
      <c r="B800" s="49">
        <v>9</v>
      </c>
      <c r="C800" s="49">
        <v>1</v>
      </c>
      <c r="D800" s="49">
        <v>3</v>
      </c>
      <c r="E800" s="49">
        <v>9</v>
      </c>
      <c r="F800" s="49">
        <v>2</v>
      </c>
      <c r="G800" s="49">
        <v>8</v>
      </c>
      <c r="H800" s="49">
        <v>2023</v>
      </c>
      <c r="I800" s="49">
        <v>2032</v>
      </c>
      <c r="J800" s="50">
        <v>1.0781000000000001</v>
      </c>
      <c r="K800" s="50">
        <v>1.0707</v>
      </c>
      <c r="L800" s="50">
        <v>0.39879999999999999</v>
      </c>
      <c r="M800" s="50">
        <v>0.76029999999999998</v>
      </c>
      <c r="N800" s="50">
        <v>1.0339</v>
      </c>
      <c r="O800" s="50">
        <v>1.0538000000000001</v>
      </c>
      <c r="P800" s="49">
        <v>14738</v>
      </c>
      <c r="Q800" s="51">
        <f t="array" ref="Q800">SUM(IF(($S800&gt;=4)*($C800='TaxCred&amp;Subs'!$D$123:$D$127)*($H800='TaxCred&amp;Subs'!$C$123:$C$127)*($H800&lt;='TaxCred&amp;Subs'!$C$129),'TaxCred&amp;Subs'!$E$123:$E$127,0))</f>
        <v>2500</v>
      </c>
      <c r="R800" s="171">
        <v>0</v>
      </c>
      <c r="S800" s="49">
        <v>5</v>
      </c>
      <c r="T800" s="49" t="s">
        <v>225</v>
      </c>
      <c r="U800"/>
      <c r="V800" s="153" t="str">
        <f t="array" ref="V800">INDEX(xlRTCLNAME,MATCH(1,(xlRTCLENDU=1)*(xlRTCLEQCL=$D800),0))</f>
        <v>NG_FA</v>
      </c>
      <c r="W800" s="153" t="str">
        <f t="array" ref="W800">INDEX(xlRTCLNAME,MATCH(1,(xlRTCLENDU=2)*(xlRTCLEQCL=$F800),0))</f>
        <v>CENT_AIR</v>
      </c>
      <c r="X800" s="153" t="str">
        <f t="array" ref="X800">INDEX(xlRTTYNAME,MATCH(1,(xlRTTYENDU=1)*(xlRTTYEQCL=$D800)*(xlRTEQTYPE=$E800),0))</f>
        <v>NG_FA4</v>
      </c>
      <c r="Y800" s="153" t="str">
        <f t="array" ref="Y800">INDEX(xlRTTYNAME,MATCH(1,(xlRTTYENDU=2)*(xlRTTYEQCL=$F800)*(xlRTEQTYPE=$G800),0))</f>
        <v>CENT_AIR4</v>
      </c>
    </row>
    <row r="801" spans="1:25" s="157" customFormat="1" x14ac:dyDescent="0.2">
      <c r="A801"/>
      <c r="B801" s="126">
        <v>9</v>
      </c>
      <c r="C801" s="126">
        <v>1</v>
      </c>
      <c r="D801" s="126">
        <v>3</v>
      </c>
      <c r="E801" s="126">
        <v>9</v>
      </c>
      <c r="F801" s="126">
        <v>2</v>
      </c>
      <c r="G801" s="126">
        <v>8</v>
      </c>
      <c r="H801" s="159">
        <v>2033</v>
      </c>
      <c r="I801" s="126">
        <v>2050</v>
      </c>
      <c r="J801" s="127">
        <v>1.0781000000000001</v>
      </c>
      <c r="K801" s="127">
        <v>1.0707</v>
      </c>
      <c r="L801" s="127">
        <v>0.39879999999999999</v>
      </c>
      <c r="M801" s="127">
        <v>0.76029999999999998</v>
      </c>
      <c r="N801" s="127">
        <v>1.0339</v>
      </c>
      <c r="O801" s="127">
        <v>1.0538000000000001</v>
      </c>
      <c r="P801" s="126">
        <v>14738</v>
      </c>
      <c r="Q801" s="128">
        <f t="array" ref="Q801">SUM(IF(($S801&gt;=4)*($C801='TaxCred&amp;Subs'!$D$123:$D$127)*($H801='TaxCred&amp;Subs'!$C$123:$C$127)*($H801&lt;='TaxCred&amp;Subs'!$C$129),'TaxCred&amp;Subs'!$E$123:$E$127,0))</f>
        <v>0</v>
      </c>
      <c r="R801" s="174">
        <v>0</v>
      </c>
      <c r="S801" s="126">
        <v>5</v>
      </c>
      <c r="T801" s="126" t="s">
        <v>225</v>
      </c>
      <c r="U801"/>
      <c r="V801" s="153" t="str">
        <f t="array" ref="V801">INDEX(xlRTCLNAME,MATCH(1,(xlRTCLENDU=1)*(xlRTCLEQCL=$D801),0))</f>
        <v>NG_FA</v>
      </c>
      <c r="W801" s="153" t="str">
        <f t="array" ref="W801">INDEX(xlRTCLNAME,MATCH(1,(xlRTCLENDU=2)*(xlRTCLEQCL=$F801),0))</f>
        <v>CENT_AIR</v>
      </c>
      <c r="X801" s="153" t="str">
        <f t="array" ref="X801">INDEX(xlRTTYNAME,MATCH(1,(xlRTTYENDU=1)*(xlRTTYEQCL=$D801)*(xlRTEQTYPE=$E801),0))</f>
        <v>NG_FA4</v>
      </c>
      <c r="Y801" s="153" t="str">
        <f t="array" ref="Y801">INDEX(xlRTTYNAME,MATCH(1,(xlRTTYENDU=2)*(xlRTTYEQCL=$F801)*(xlRTEQTYPE=$G801),0))</f>
        <v>CENT_AIR4</v>
      </c>
    </row>
    <row r="802" spans="1:25" s="157" customFormat="1" x14ac:dyDescent="0.2">
      <c r="A802"/>
      <c r="B802" s="126">
        <v>1</v>
      </c>
      <c r="C802" s="126">
        <v>1</v>
      </c>
      <c r="D802" s="126">
        <v>4</v>
      </c>
      <c r="E802" s="126">
        <v>13</v>
      </c>
      <c r="F802" s="126">
        <v>2</v>
      </c>
      <c r="G802" s="126">
        <v>8</v>
      </c>
      <c r="H802" s="126">
        <v>2016</v>
      </c>
      <c r="I802" s="159">
        <v>2022</v>
      </c>
      <c r="J802" s="127">
        <v>1.0592999999999999</v>
      </c>
      <c r="K802" s="127">
        <v>1.0889</v>
      </c>
      <c r="L802" s="127">
        <v>0.44009999999999999</v>
      </c>
      <c r="M802" s="127">
        <v>0.96350000000000002</v>
      </c>
      <c r="N802" s="127">
        <v>0.8095</v>
      </c>
      <c r="O802" s="127">
        <v>1.0538000000000001</v>
      </c>
      <c r="P802" s="126">
        <v>14685</v>
      </c>
      <c r="Q802" s="128">
        <f t="array" ref="Q802">SUM(IF(($S802&gt;=4)*($C802='TaxCred&amp;Subs'!$D$123:$D$127)*($H802='TaxCred&amp;Subs'!$C$123:$C$127)*($H802&lt;='TaxCred&amp;Subs'!$C$129),'TaxCred&amp;Subs'!$E$123:$E$127,0))</f>
        <v>2000</v>
      </c>
      <c r="R802" s="174">
        <v>0</v>
      </c>
      <c r="S802" s="126">
        <v>5</v>
      </c>
      <c r="T802" s="126" t="s">
        <v>225</v>
      </c>
      <c r="U802"/>
      <c r="V802" s="153" t="str">
        <f t="array" ref="V802">INDEX(xlRTCLNAME,MATCH(1,(xlRTCLENDU=1)*(xlRTCLEQCL=$D802),0))</f>
        <v>NG_RAD</v>
      </c>
      <c r="W802" s="153" t="str">
        <f t="array" ref="W802">INDEX(xlRTCLNAME,MATCH(1,(xlRTCLENDU=2)*(xlRTCLEQCL=$F802),0))</f>
        <v>CENT_AIR</v>
      </c>
      <c r="X802" s="153" t="str">
        <f t="array" ref="X802">INDEX(xlRTTYNAME,MATCH(1,(xlRTTYENDU=1)*(xlRTTYEQCL=$D802)*(xlRTEQTYPE=$E802),0))</f>
        <v>NG_RAD4</v>
      </c>
      <c r="Y802" s="153" t="str">
        <f t="array" ref="Y802">INDEX(xlRTTYNAME,MATCH(1,(xlRTTYENDU=2)*(xlRTTYEQCL=$F802)*(xlRTEQTYPE=$G802),0))</f>
        <v>CENT_AIR4</v>
      </c>
    </row>
    <row r="803" spans="1:25" s="157" customFormat="1" x14ac:dyDescent="0.2">
      <c r="A803"/>
      <c r="B803" s="49">
        <v>1</v>
      </c>
      <c r="C803" s="49">
        <v>1</v>
      </c>
      <c r="D803" s="49">
        <v>4</v>
      </c>
      <c r="E803" s="49">
        <v>13</v>
      </c>
      <c r="F803" s="49">
        <v>2</v>
      </c>
      <c r="G803" s="49">
        <v>8</v>
      </c>
      <c r="H803" s="49">
        <v>2023</v>
      </c>
      <c r="I803" s="49">
        <v>2032</v>
      </c>
      <c r="J803" s="50">
        <v>1.0592999999999999</v>
      </c>
      <c r="K803" s="50">
        <v>1.0889</v>
      </c>
      <c r="L803" s="50">
        <v>0.44009999999999999</v>
      </c>
      <c r="M803" s="50">
        <v>0.96350000000000002</v>
      </c>
      <c r="N803" s="50">
        <v>0.8095</v>
      </c>
      <c r="O803" s="50">
        <v>1.0538000000000001</v>
      </c>
      <c r="P803" s="49">
        <v>14685</v>
      </c>
      <c r="Q803" s="51">
        <f t="array" ref="Q803">SUM(IF(($S803&gt;=4)*($C803='TaxCred&amp;Subs'!$D$123:$D$127)*($H803='TaxCred&amp;Subs'!$C$123:$C$127)*($H803&lt;='TaxCred&amp;Subs'!$C$129),'TaxCred&amp;Subs'!$E$123:$E$127,0))</f>
        <v>2500</v>
      </c>
      <c r="R803" s="171">
        <v>0</v>
      </c>
      <c r="S803" s="49">
        <v>5</v>
      </c>
      <c r="T803" s="49" t="s">
        <v>225</v>
      </c>
      <c r="U803"/>
      <c r="V803" s="153" t="str">
        <f t="array" ref="V803">INDEX(xlRTCLNAME,MATCH(1,(xlRTCLENDU=1)*(xlRTCLEQCL=$D803),0))</f>
        <v>NG_RAD</v>
      </c>
      <c r="W803" s="153" t="str">
        <f t="array" ref="W803">INDEX(xlRTCLNAME,MATCH(1,(xlRTCLENDU=2)*(xlRTCLEQCL=$F803),0))</f>
        <v>CENT_AIR</v>
      </c>
      <c r="X803" s="153" t="str">
        <f t="array" ref="X803">INDEX(xlRTTYNAME,MATCH(1,(xlRTTYENDU=1)*(xlRTTYEQCL=$D803)*(xlRTEQTYPE=$E803),0))</f>
        <v>NG_RAD4</v>
      </c>
      <c r="Y803" s="153" t="str">
        <f t="array" ref="Y803">INDEX(xlRTTYNAME,MATCH(1,(xlRTTYENDU=2)*(xlRTTYEQCL=$F803)*(xlRTEQTYPE=$G803),0))</f>
        <v>CENT_AIR4</v>
      </c>
    </row>
    <row r="804" spans="1:25" s="157" customFormat="1" x14ac:dyDescent="0.2">
      <c r="A804"/>
      <c r="B804" s="126">
        <v>1</v>
      </c>
      <c r="C804" s="126">
        <v>1</v>
      </c>
      <c r="D804" s="126">
        <v>4</v>
      </c>
      <c r="E804" s="126">
        <v>13</v>
      </c>
      <c r="F804" s="126">
        <v>2</v>
      </c>
      <c r="G804" s="126">
        <v>8</v>
      </c>
      <c r="H804" s="159">
        <v>2033</v>
      </c>
      <c r="I804" s="126">
        <v>2050</v>
      </c>
      <c r="J804" s="127">
        <v>1.0592999999999999</v>
      </c>
      <c r="K804" s="127">
        <v>1.0889</v>
      </c>
      <c r="L804" s="127">
        <v>0.44009999999999999</v>
      </c>
      <c r="M804" s="127">
        <v>0.96350000000000002</v>
      </c>
      <c r="N804" s="127">
        <v>0.8095</v>
      </c>
      <c r="O804" s="127">
        <v>1.0538000000000001</v>
      </c>
      <c r="P804" s="126">
        <v>14685</v>
      </c>
      <c r="Q804" s="128">
        <f t="array" ref="Q804">SUM(IF(($S804&gt;=4)*($C804='TaxCred&amp;Subs'!$D$123:$D$127)*($H804='TaxCred&amp;Subs'!$C$123:$C$127)*($H804&lt;='TaxCred&amp;Subs'!$C$129),'TaxCred&amp;Subs'!$E$123:$E$127,0))</f>
        <v>0</v>
      </c>
      <c r="R804" s="174">
        <v>0</v>
      </c>
      <c r="S804" s="126">
        <v>5</v>
      </c>
      <c r="T804" s="126" t="s">
        <v>225</v>
      </c>
      <c r="U804"/>
      <c r="V804" s="153" t="str">
        <f t="array" ref="V804">INDEX(xlRTCLNAME,MATCH(1,(xlRTCLENDU=1)*(xlRTCLEQCL=$D804),0))</f>
        <v>NG_RAD</v>
      </c>
      <c r="W804" s="153" t="str">
        <f t="array" ref="W804">INDEX(xlRTCLNAME,MATCH(1,(xlRTCLENDU=2)*(xlRTCLEQCL=$F804),0))</f>
        <v>CENT_AIR</v>
      </c>
      <c r="X804" s="153" t="str">
        <f t="array" ref="X804">INDEX(xlRTTYNAME,MATCH(1,(xlRTTYENDU=1)*(xlRTTYEQCL=$D804)*(xlRTEQTYPE=$E804),0))</f>
        <v>NG_RAD4</v>
      </c>
      <c r="Y804" s="153" t="str">
        <f t="array" ref="Y804">INDEX(xlRTTYNAME,MATCH(1,(xlRTTYENDU=2)*(xlRTTYEQCL=$F804)*(xlRTEQTYPE=$G804),0))</f>
        <v>CENT_AIR4</v>
      </c>
    </row>
    <row r="805" spans="1:25" s="157" customFormat="1" x14ac:dyDescent="0.2">
      <c r="A805"/>
      <c r="B805" s="126">
        <v>2</v>
      </c>
      <c r="C805" s="126">
        <v>1</v>
      </c>
      <c r="D805" s="126">
        <v>4</v>
      </c>
      <c r="E805" s="126">
        <v>13</v>
      </c>
      <c r="F805" s="126">
        <v>2</v>
      </c>
      <c r="G805" s="126">
        <v>8</v>
      </c>
      <c r="H805" s="126">
        <v>2016</v>
      </c>
      <c r="I805" s="159">
        <v>2022</v>
      </c>
      <c r="J805" s="127">
        <v>1.0717000000000001</v>
      </c>
      <c r="K805" s="127">
        <v>1.0895999999999999</v>
      </c>
      <c r="L805" s="127">
        <v>0.4546</v>
      </c>
      <c r="M805" s="127">
        <v>0.81589999999999996</v>
      </c>
      <c r="N805" s="127">
        <v>0.92630000000000001</v>
      </c>
      <c r="O805" s="127">
        <v>1.0538000000000001</v>
      </c>
      <c r="P805" s="126">
        <v>16678</v>
      </c>
      <c r="Q805" s="128">
        <f t="array" ref="Q805">SUM(IF(($S805&gt;=4)*($C805='TaxCred&amp;Subs'!$D$123:$D$127)*($H805='TaxCred&amp;Subs'!$C$123:$C$127)*($H805&lt;='TaxCred&amp;Subs'!$C$129),'TaxCred&amp;Subs'!$E$123:$E$127,0))</f>
        <v>2000</v>
      </c>
      <c r="R805" s="174">
        <v>0</v>
      </c>
      <c r="S805" s="126">
        <v>5</v>
      </c>
      <c r="T805" s="126" t="s">
        <v>225</v>
      </c>
      <c r="U805"/>
      <c r="V805" s="153" t="str">
        <f t="array" ref="V805">INDEX(xlRTCLNAME,MATCH(1,(xlRTCLENDU=1)*(xlRTCLEQCL=$D805),0))</f>
        <v>NG_RAD</v>
      </c>
      <c r="W805" s="153" t="str">
        <f t="array" ref="W805">INDEX(xlRTCLNAME,MATCH(1,(xlRTCLENDU=2)*(xlRTCLEQCL=$F805),0))</f>
        <v>CENT_AIR</v>
      </c>
      <c r="X805" s="153" t="str">
        <f t="array" ref="X805">INDEX(xlRTTYNAME,MATCH(1,(xlRTTYENDU=1)*(xlRTTYEQCL=$D805)*(xlRTEQTYPE=$E805),0))</f>
        <v>NG_RAD4</v>
      </c>
      <c r="Y805" s="153" t="str">
        <f t="array" ref="Y805">INDEX(xlRTTYNAME,MATCH(1,(xlRTTYENDU=2)*(xlRTTYEQCL=$F805)*(xlRTEQTYPE=$G805),0))</f>
        <v>CENT_AIR4</v>
      </c>
    </row>
    <row r="806" spans="1:25" s="157" customFormat="1" x14ac:dyDescent="0.2">
      <c r="A806"/>
      <c r="B806" s="49">
        <v>2</v>
      </c>
      <c r="C806" s="49">
        <v>1</v>
      </c>
      <c r="D806" s="49">
        <v>4</v>
      </c>
      <c r="E806" s="49">
        <v>13</v>
      </c>
      <c r="F806" s="49">
        <v>2</v>
      </c>
      <c r="G806" s="49">
        <v>8</v>
      </c>
      <c r="H806" s="49">
        <v>2023</v>
      </c>
      <c r="I806" s="49">
        <v>2032</v>
      </c>
      <c r="J806" s="50">
        <v>1.0717000000000001</v>
      </c>
      <c r="K806" s="50">
        <v>1.0895999999999999</v>
      </c>
      <c r="L806" s="50">
        <v>0.4546</v>
      </c>
      <c r="M806" s="50">
        <v>0.81589999999999996</v>
      </c>
      <c r="N806" s="50">
        <v>0.92630000000000001</v>
      </c>
      <c r="O806" s="50">
        <v>1.0538000000000001</v>
      </c>
      <c r="P806" s="49">
        <v>16678</v>
      </c>
      <c r="Q806" s="51">
        <f t="array" ref="Q806">SUM(IF(($S806&gt;=4)*($C806='TaxCred&amp;Subs'!$D$123:$D$127)*($H806='TaxCred&amp;Subs'!$C$123:$C$127)*($H806&lt;='TaxCred&amp;Subs'!$C$129),'TaxCred&amp;Subs'!$E$123:$E$127,0))</f>
        <v>2500</v>
      </c>
      <c r="R806" s="171">
        <v>0</v>
      </c>
      <c r="S806" s="49">
        <v>5</v>
      </c>
      <c r="T806" s="49" t="s">
        <v>225</v>
      </c>
      <c r="U806"/>
      <c r="V806" s="153" t="str">
        <f t="array" ref="V806">INDEX(xlRTCLNAME,MATCH(1,(xlRTCLENDU=1)*(xlRTCLEQCL=$D806),0))</f>
        <v>NG_RAD</v>
      </c>
      <c r="W806" s="153" t="str">
        <f t="array" ref="W806">INDEX(xlRTCLNAME,MATCH(1,(xlRTCLENDU=2)*(xlRTCLEQCL=$F806),0))</f>
        <v>CENT_AIR</v>
      </c>
      <c r="X806" s="153" t="str">
        <f t="array" ref="X806">INDEX(xlRTTYNAME,MATCH(1,(xlRTTYENDU=1)*(xlRTTYEQCL=$D806)*(xlRTEQTYPE=$E806),0))</f>
        <v>NG_RAD4</v>
      </c>
      <c r="Y806" s="153" t="str">
        <f t="array" ref="Y806">INDEX(xlRTTYNAME,MATCH(1,(xlRTTYENDU=2)*(xlRTTYEQCL=$F806)*(xlRTEQTYPE=$G806),0))</f>
        <v>CENT_AIR4</v>
      </c>
    </row>
    <row r="807" spans="1:25" s="157" customFormat="1" x14ac:dyDescent="0.2">
      <c r="A807"/>
      <c r="B807" s="126">
        <v>2</v>
      </c>
      <c r="C807" s="126">
        <v>1</v>
      </c>
      <c r="D807" s="126">
        <v>4</v>
      </c>
      <c r="E807" s="126">
        <v>13</v>
      </c>
      <c r="F807" s="126">
        <v>2</v>
      </c>
      <c r="G807" s="126">
        <v>8</v>
      </c>
      <c r="H807" s="159">
        <v>2033</v>
      </c>
      <c r="I807" s="126">
        <v>2050</v>
      </c>
      <c r="J807" s="127">
        <v>1.0717000000000001</v>
      </c>
      <c r="K807" s="127">
        <v>1.0895999999999999</v>
      </c>
      <c r="L807" s="127">
        <v>0.4546</v>
      </c>
      <c r="M807" s="127">
        <v>0.81589999999999996</v>
      </c>
      <c r="N807" s="127">
        <v>0.92630000000000001</v>
      </c>
      <c r="O807" s="127">
        <v>1.0538000000000001</v>
      </c>
      <c r="P807" s="126">
        <v>16678</v>
      </c>
      <c r="Q807" s="128">
        <f t="array" ref="Q807">SUM(IF(($S807&gt;=4)*($C807='TaxCred&amp;Subs'!$D$123:$D$127)*($H807='TaxCred&amp;Subs'!$C$123:$C$127)*($H807&lt;='TaxCred&amp;Subs'!$C$129),'TaxCred&amp;Subs'!$E$123:$E$127,0))</f>
        <v>0</v>
      </c>
      <c r="R807" s="174">
        <v>0</v>
      </c>
      <c r="S807" s="126">
        <v>5</v>
      </c>
      <c r="T807" s="126" t="s">
        <v>225</v>
      </c>
      <c r="U807"/>
      <c r="V807" s="153" t="str">
        <f t="array" ref="V807">INDEX(xlRTCLNAME,MATCH(1,(xlRTCLENDU=1)*(xlRTCLEQCL=$D807),0))</f>
        <v>NG_RAD</v>
      </c>
      <c r="W807" s="153" t="str">
        <f t="array" ref="W807">INDEX(xlRTCLNAME,MATCH(1,(xlRTCLENDU=2)*(xlRTCLEQCL=$F807),0))</f>
        <v>CENT_AIR</v>
      </c>
      <c r="X807" s="153" t="str">
        <f t="array" ref="X807">INDEX(xlRTTYNAME,MATCH(1,(xlRTTYENDU=1)*(xlRTTYEQCL=$D807)*(xlRTEQTYPE=$E807),0))</f>
        <v>NG_RAD4</v>
      </c>
      <c r="Y807" s="153" t="str">
        <f t="array" ref="Y807">INDEX(xlRTTYNAME,MATCH(1,(xlRTTYENDU=2)*(xlRTTYEQCL=$F807)*(xlRTEQTYPE=$G807),0))</f>
        <v>CENT_AIR4</v>
      </c>
    </row>
    <row r="808" spans="1:25" s="157" customFormat="1" x14ac:dyDescent="0.2">
      <c r="A808"/>
      <c r="B808" s="126">
        <v>3</v>
      </c>
      <c r="C808" s="126">
        <v>1</v>
      </c>
      <c r="D808" s="126">
        <v>4</v>
      </c>
      <c r="E808" s="126">
        <v>13</v>
      </c>
      <c r="F808" s="126">
        <v>2</v>
      </c>
      <c r="G808" s="126">
        <v>8</v>
      </c>
      <c r="H808" s="126">
        <v>2016</v>
      </c>
      <c r="I808" s="159">
        <v>2022</v>
      </c>
      <c r="J808" s="127">
        <v>1.0821000000000001</v>
      </c>
      <c r="K808" s="127">
        <v>1.0769</v>
      </c>
      <c r="L808" s="127">
        <v>0.43490000000000001</v>
      </c>
      <c r="M808" s="127">
        <v>0.89800000000000002</v>
      </c>
      <c r="N808" s="127">
        <v>0.91400000000000003</v>
      </c>
      <c r="O808" s="127">
        <v>1.0538000000000001</v>
      </c>
      <c r="P808" s="126">
        <v>12841</v>
      </c>
      <c r="Q808" s="128">
        <f t="array" ref="Q808">SUM(IF(($S808&gt;=4)*($C808='TaxCred&amp;Subs'!$D$123:$D$127)*($H808='TaxCred&amp;Subs'!$C$123:$C$127)*($H808&lt;='TaxCred&amp;Subs'!$C$129),'TaxCred&amp;Subs'!$E$123:$E$127,0))</f>
        <v>2000</v>
      </c>
      <c r="R808" s="174">
        <v>0</v>
      </c>
      <c r="S808" s="126">
        <v>5</v>
      </c>
      <c r="T808" s="126" t="s">
        <v>225</v>
      </c>
      <c r="U808"/>
      <c r="V808" s="153" t="str">
        <f t="array" ref="V808">INDEX(xlRTCLNAME,MATCH(1,(xlRTCLENDU=1)*(xlRTCLEQCL=$D808),0))</f>
        <v>NG_RAD</v>
      </c>
      <c r="W808" s="153" t="str">
        <f t="array" ref="W808">INDEX(xlRTCLNAME,MATCH(1,(xlRTCLENDU=2)*(xlRTCLEQCL=$F808),0))</f>
        <v>CENT_AIR</v>
      </c>
      <c r="X808" s="153" t="str">
        <f t="array" ref="X808">INDEX(xlRTTYNAME,MATCH(1,(xlRTTYENDU=1)*(xlRTTYEQCL=$D808)*(xlRTEQTYPE=$E808),0))</f>
        <v>NG_RAD4</v>
      </c>
      <c r="Y808" s="153" t="str">
        <f t="array" ref="Y808">INDEX(xlRTTYNAME,MATCH(1,(xlRTTYENDU=2)*(xlRTTYEQCL=$F808)*(xlRTEQTYPE=$G808),0))</f>
        <v>CENT_AIR4</v>
      </c>
    </row>
    <row r="809" spans="1:25" s="157" customFormat="1" x14ac:dyDescent="0.2">
      <c r="A809"/>
      <c r="B809" s="49">
        <v>3</v>
      </c>
      <c r="C809" s="49">
        <v>1</v>
      </c>
      <c r="D809" s="49">
        <v>4</v>
      </c>
      <c r="E809" s="49">
        <v>13</v>
      </c>
      <c r="F809" s="49">
        <v>2</v>
      </c>
      <c r="G809" s="49">
        <v>8</v>
      </c>
      <c r="H809" s="49">
        <v>2023</v>
      </c>
      <c r="I809" s="49">
        <v>2032</v>
      </c>
      <c r="J809" s="50">
        <v>1.0821000000000001</v>
      </c>
      <c r="K809" s="50">
        <v>1.0769</v>
      </c>
      <c r="L809" s="50">
        <v>0.43490000000000001</v>
      </c>
      <c r="M809" s="50">
        <v>0.89800000000000002</v>
      </c>
      <c r="N809" s="50">
        <v>0.91400000000000003</v>
      </c>
      <c r="O809" s="50">
        <v>1.0538000000000001</v>
      </c>
      <c r="P809" s="49">
        <v>12841</v>
      </c>
      <c r="Q809" s="51">
        <f t="array" ref="Q809">SUM(IF(($S809&gt;=4)*($C809='TaxCred&amp;Subs'!$D$123:$D$127)*($H809='TaxCred&amp;Subs'!$C$123:$C$127)*($H809&lt;='TaxCred&amp;Subs'!$C$129),'TaxCred&amp;Subs'!$E$123:$E$127,0))</f>
        <v>2500</v>
      </c>
      <c r="R809" s="171">
        <v>0</v>
      </c>
      <c r="S809" s="49">
        <v>5</v>
      </c>
      <c r="T809" s="49" t="s">
        <v>225</v>
      </c>
      <c r="U809"/>
      <c r="V809" s="153" t="str">
        <f t="array" ref="V809">INDEX(xlRTCLNAME,MATCH(1,(xlRTCLENDU=1)*(xlRTCLEQCL=$D809),0))</f>
        <v>NG_RAD</v>
      </c>
      <c r="W809" s="153" t="str">
        <f t="array" ref="W809">INDEX(xlRTCLNAME,MATCH(1,(xlRTCLENDU=2)*(xlRTCLEQCL=$F809),0))</f>
        <v>CENT_AIR</v>
      </c>
      <c r="X809" s="153" t="str">
        <f t="array" ref="X809">INDEX(xlRTTYNAME,MATCH(1,(xlRTTYENDU=1)*(xlRTTYEQCL=$D809)*(xlRTEQTYPE=$E809),0))</f>
        <v>NG_RAD4</v>
      </c>
      <c r="Y809" s="153" t="str">
        <f t="array" ref="Y809">INDEX(xlRTTYNAME,MATCH(1,(xlRTTYENDU=2)*(xlRTTYEQCL=$F809)*(xlRTEQTYPE=$G809),0))</f>
        <v>CENT_AIR4</v>
      </c>
    </row>
    <row r="810" spans="1:25" s="157" customFormat="1" x14ac:dyDescent="0.2">
      <c r="A810"/>
      <c r="B810" s="126">
        <v>3</v>
      </c>
      <c r="C810" s="126">
        <v>1</v>
      </c>
      <c r="D810" s="126">
        <v>4</v>
      </c>
      <c r="E810" s="126">
        <v>13</v>
      </c>
      <c r="F810" s="126">
        <v>2</v>
      </c>
      <c r="G810" s="126">
        <v>8</v>
      </c>
      <c r="H810" s="159">
        <v>2033</v>
      </c>
      <c r="I810" s="126">
        <v>2050</v>
      </c>
      <c r="J810" s="127">
        <v>1.0821000000000001</v>
      </c>
      <c r="K810" s="127">
        <v>1.0769</v>
      </c>
      <c r="L810" s="127">
        <v>0.43490000000000001</v>
      </c>
      <c r="M810" s="127">
        <v>0.89800000000000002</v>
      </c>
      <c r="N810" s="127">
        <v>0.91400000000000003</v>
      </c>
      <c r="O810" s="127">
        <v>1.0538000000000001</v>
      </c>
      <c r="P810" s="126">
        <v>12841</v>
      </c>
      <c r="Q810" s="128">
        <f t="array" ref="Q810">SUM(IF(($S810&gt;=4)*($C810='TaxCred&amp;Subs'!$D$123:$D$127)*($H810='TaxCred&amp;Subs'!$C$123:$C$127)*($H810&lt;='TaxCred&amp;Subs'!$C$129),'TaxCred&amp;Subs'!$E$123:$E$127,0))</f>
        <v>0</v>
      </c>
      <c r="R810" s="174">
        <v>0</v>
      </c>
      <c r="S810" s="126">
        <v>5</v>
      </c>
      <c r="T810" s="126" t="s">
        <v>225</v>
      </c>
      <c r="U810"/>
      <c r="V810" s="153" t="str">
        <f t="array" ref="V810">INDEX(xlRTCLNAME,MATCH(1,(xlRTCLENDU=1)*(xlRTCLEQCL=$D810),0))</f>
        <v>NG_RAD</v>
      </c>
      <c r="W810" s="153" t="str">
        <f t="array" ref="W810">INDEX(xlRTCLNAME,MATCH(1,(xlRTCLENDU=2)*(xlRTCLEQCL=$F810),0))</f>
        <v>CENT_AIR</v>
      </c>
      <c r="X810" s="153" t="str">
        <f t="array" ref="X810">INDEX(xlRTTYNAME,MATCH(1,(xlRTTYENDU=1)*(xlRTTYEQCL=$D810)*(xlRTEQTYPE=$E810),0))</f>
        <v>NG_RAD4</v>
      </c>
      <c r="Y810" s="153" t="str">
        <f t="array" ref="Y810">INDEX(xlRTTYNAME,MATCH(1,(xlRTTYENDU=2)*(xlRTTYEQCL=$F810)*(xlRTEQTYPE=$G810),0))</f>
        <v>CENT_AIR4</v>
      </c>
    </row>
    <row r="811" spans="1:25" s="157" customFormat="1" x14ac:dyDescent="0.2">
      <c r="A811"/>
      <c r="B811" s="126">
        <v>4</v>
      </c>
      <c r="C811" s="126">
        <v>1</v>
      </c>
      <c r="D811" s="126">
        <v>4</v>
      </c>
      <c r="E811" s="126">
        <v>13</v>
      </c>
      <c r="F811" s="126">
        <v>2</v>
      </c>
      <c r="G811" s="126">
        <v>8</v>
      </c>
      <c r="H811" s="126">
        <v>2016</v>
      </c>
      <c r="I811" s="159">
        <v>2022</v>
      </c>
      <c r="J811" s="127">
        <v>1.0812999999999999</v>
      </c>
      <c r="K811" s="127">
        <v>1.0769</v>
      </c>
      <c r="L811" s="127">
        <v>0.44280000000000003</v>
      </c>
      <c r="M811" s="127">
        <v>0.86639999999999995</v>
      </c>
      <c r="N811" s="127">
        <v>0.85660000000000003</v>
      </c>
      <c r="O811" s="127">
        <v>1.0538000000000001</v>
      </c>
      <c r="P811" s="126">
        <v>10457</v>
      </c>
      <c r="Q811" s="128">
        <f t="array" ref="Q811">SUM(IF(($S811&gt;=4)*($C811='TaxCred&amp;Subs'!$D$123:$D$127)*($H811='TaxCred&amp;Subs'!$C$123:$C$127)*($H811&lt;='TaxCred&amp;Subs'!$C$129),'TaxCred&amp;Subs'!$E$123:$E$127,0))</f>
        <v>2000</v>
      </c>
      <c r="R811" s="174">
        <v>0</v>
      </c>
      <c r="S811" s="126">
        <v>5</v>
      </c>
      <c r="T811" s="126" t="s">
        <v>225</v>
      </c>
      <c r="U811"/>
      <c r="V811" s="153" t="str">
        <f t="array" ref="V811">INDEX(xlRTCLNAME,MATCH(1,(xlRTCLENDU=1)*(xlRTCLEQCL=$D811),0))</f>
        <v>NG_RAD</v>
      </c>
      <c r="W811" s="153" t="str">
        <f t="array" ref="W811">INDEX(xlRTCLNAME,MATCH(1,(xlRTCLENDU=2)*(xlRTCLEQCL=$F811),0))</f>
        <v>CENT_AIR</v>
      </c>
      <c r="X811" s="153" t="str">
        <f t="array" ref="X811">INDEX(xlRTTYNAME,MATCH(1,(xlRTTYENDU=1)*(xlRTTYEQCL=$D811)*(xlRTEQTYPE=$E811),0))</f>
        <v>NG_RAD4</v>
      </c>
      <c r="Y811" s="153" t="str">
        <f t="array" ref="Y811">INDEX(xlRTTYNAME,MATCH(1,(xlRTTYENDU=2)*(xlRTTYEQCL=$F811)*(xlRTEQTYPE=$G811),0))</f>
        <v>CENT_AIR4</v>
      </c>
    </row>
    <row r="812" spans="1:25" s="157" customFormat="1" x14ac:dyDescent="0.2">
      <c r="A812"/>
      <c r="B812" s="49">
        <v>4</v>
      </c>
      <c r="C812" s="49">
        <v>1</v>
      </c>
      <c r="D812" s="49">
        <v>4</v>
      </c>
      <c r="E812" s="49">
        <v>13</v>
      </c>
      <c r="F812" s="49">
        <v>2</v>
      </c>
      <c r="G812" s="49">
        <v>8</v>
      </c>
      <c r="H812" s="49">
        <v>2023</v>
      </c>
      <c r="I812" s="49">
        <v>2032</v>
      </c>
      <c r="J812" s="50">
        <v>1.0812999999999999</v>
      </c>
      <c r="K812" s="50">
        <v>1.0769</v>
      </c>
      <c r="L812" s="50">
        <v>0.44280000000000003</v>
      </c>
      <c r="M812" s="50">
        <v>0.86639999999999995</v>
      </c>
      <c r="N812" s="50">
        <v>0.85660000000000003</v>
      </c>
      <c r="O812" s="50">
        <v>1.0538000000000001</v>
      </c>
      <c r="P812" s="49">
        <v>10457</v>
      </c>
      <c r="Q812" s="51">
        <f t="array" ref="Q812">SUM(IF(($S812&gt;=4)*($C812='TaxCred&amp;Subs'!$D$123:$D$127)*($H812='TaxCred&amp;Subs'!$C$123:$C$127)*($H812&lt;='TaxCred&amp;Subs'!$C$129),'TaxCred&amp;Subs'!$E$123:$E$127,0))</f>
        <v>2500</v>
      </c>
      <c r="R812" s="171">
        <v>0</v>
      </c>
      <c r="S812" s="49">
        <v>5</v>
      </c>
      <c r="T812" s="49" t="s">
        <v>225</v>
      </c>
      <c r="U812"/>
      <c r="V812" s="153" t="str">
        <f t="array" ref="V812">INDEX(xlRTCLNAME,MATCH(1,(xlRTCLENDU=1)*(xlRTCLEQCL=$D812),0))</f>
        <v>NG_RAD</v>
      </c>
      <c r="W812" s="153" t="str">
        <f t="array" ref="W812">INDEX(xlRTCLNAME,MATCH(1,(xlRTCLENDU=2)*(xlRTCLEQCL=$F812),0))</f>
        <v>CENT_AIR</v>
      </c>
      <c r="X812" s="153" t="str">
        <f t="array" ref="X812">INDEX(xlRTTYNAME,MATCH(1,(xlRTTYENDU=1)*(xlRTTYEQCL=$D812)*(xlRTEQTYPE=$E812),0))</f>
        <v>NG_RAD4</v>
      </c>
      <c r="Y812" s="153" t="str">
        <f t="array" ref="Y812">INDEX(xlRTTYNAME,MATCH(1,(xlRTTYENDU=2)*(xlRTTYEQCL=$F812)*(xlRTEQTYPE=$G812),0))</f>
        <v>CENT_AIR4</v>
      </c>
    </row>
    <row r="813" spans="1:25" s="157" customFormat="1" x14ac:dyDescent="0.2">
      <c r="A813"/>
      <c r="B813" s="126">
        <v>4</v>
      </c>
      <c r="C813" s="126">
        <v>1</v>
      </c>
      <c r="D813" s="126">
        <v>4</v>
      </c>
      <c r="E813" s="126">
        <v>13</v>
      </c>
      <c r="F813" s="126">
        <v>2</v>
      </c>
      <c r="G813" s="126">
        <v>8</v>
      </c>
      <c r="H813" s="159">
        <v>2033</v>
      </c>
      <c r="I813" s="126">
        <v>2050</v>
      </c>
      <c r="J813" s="127">
        <v>1.0812999999999999</v>
      </c>
      <c r="K813" s="127">
        <v>1.0769</v>
      </c>
      <c r="L813" s="127">
        <v>0.44280000000000003</v>
      </c>
      <c r="M813" s="127">
        <v>0.86639999999999995</v>
      </c>
      <c r="N813" s="127">
        <v>0.85660000000000003</v>
      </c>
      <c r="O813" s="127">
        <v>1.0538000000000001</v>
      </c>
      <c r="P813" s="126">
        <v>10457</v>
      </c>
      <c r="Q813" s="128">
        <f t="array" ref="Q813">SUM(IF(($S813&gt;=4)*($C813='TaxCred&amp;Subs'!$D$123:$D$127)*($H813='TaxCred&amp;Subs'!$C$123:$C$127)*($H813&lt;='TaxCred&amp;Subs'!$C$129),'TaxCred&amp;Subs'!$E$123:$E$127,0))</f>
        <v>0</v>
      </c>
      <c r="R813" s="174">
        <v>0</v>
      </c>
      <c r="S813" s="126">
        <v>5</v>
      </c>
      <c r="T813" s="126" t="s">
        <v>225</v>
      </c>
      <c r="U813"/>
      <c r="V813" s="153" t="str">
        <f t="array" ref="V813">INDEX(xlRTCLNAME,MATCH(1,(xlRTCLENDU=1)*(xlRTCLEQCL=$D813),0))</f>
        <v>NG_RAD</v>
      </c>
      <c r="W813" s="153" t="str">
        <f t="array" ref="W813">INDEX(xlRTCLNAME,MATCH(1,(xlRTCLENDU=2)*(xlRTCLEQCL=$F813),0))</f>
        <v>CENT_AIR</v>
      </c>
      <c r="X813" s="153" t="str">
        <f t="array" ref="X813">INDEX(xlRTTYNAME,MATCH(1,(xlRTTYENDU=1)*(xlRTTYEQCL=$D813)*(xlRTEQTYPE=$E813),0))</f>
        <v>NG_RAD4</v>
      </c>
      <c r="Y813" s="153" t="str">
        <f t="array" ref="Y813">INDEX(xlRTTYNAME,MATCH(1,(xlRTTYENDU=2)*(xlRTTYEQCL=$F813)*(xlRTEQTYPE=$G813),0))</f>
        <v>CENT_AIR4</v>
      </c>
    </row>
    <row r="814" spans="1:25" s="157" customFormat="1" x14ac:dyDescent="0.2">
      <c r="A814"/>
      <c r="B814" s="126">
        <v>5</v>
      </c>
      <c r="C814" s="126">
        <v>1</v>
      </c>
      <c r="D814" s="126">
        <v>4</v>
      </c>
      <c r="E814" s="126">
        <v>13</v>
      </c>
      <c r="F814" s="126">
        <v>2</v>
      </c>
      <c r="G814" s="126">
        <v>8</v>
      </c>
      <c r="H814" s="126">
        <v>2016</v>
      </c>
      <c r="I814" s="159">
        <v>2022</v>
      </c>
      <c r="J814" s="127">
        <v>1.0838000000000001</v>
      </c>
      <c r="K814" s="127">
        <v>1.0465</v>
      </c>
      <c r="L814" s="127">
        <v>0.32329999999999998</v>
      </c>
      <c r="M814" s="127">
        <v>0.73150000000000004</v>
      </c>
      <c r="N814" s="127">
        <v>0.75670000000000004</v>
      </c>
      <c r="O814" s="127">
        <v>1.0538000000000001</v>
      </c>
      <c r="P814" s="126">
        <v>11579</v>
      </c>
      <c r="Q814" s="128">
        <f t="array" ref="Q814">SUM(IF(($S814&gt;=4)*($C814='TaxCred&amp;Subs'!$D$123:$D$127)*($H814='TaxCred&amp;Subs'!$C$123:$C$127)*($H814&lt;='TaxCred&amp;Subs'!$C$129),'TaxCred&amp;Subs'!$E$123:$E$127,0))</f>
        <v>2000</v>
      </c>
      <c r="R814" s="174">
        <v>0</v>
      </c>
      <c r="S814" s="126">
        <v>5</v>
      </c>
      <c r="T814" s="126" t="s">
        <v>225</v>
      </c>
      <c r="U814"/>
      <c r="V814" s="153" t="str">
        <f t="array" ref="V814">INDEX(xlRTCLNAME,MATCH(1,(xlRTCLENDU=1)*(xlRTCLEQCL=$D814),0))</f>
        <v>NG_RAD</v>
      </c>
      <c r="W814" s="153" t="str">
        <f t="array" ref="W814">INDEX(xlRTCLNAME,MATCH(1,(xlRTCLENDU=2)*(xlRTCLEQCL=$F814),0))</f>
        <v>CENT_AIR</v>
      </c>
      <c r="X814" s="153" t="str">
        <f t="array" ref="X814">INDEX(xlRTTYNAME,MATCH(1,(xlRTTYENDU=1)*(xlRTTYEQCL=$D814)*(xlRTEQTYPE=$E814),0))</f>
        <v>NG_RAD4</v>
      </c>
      <c r="Y814" s="153" t="str">
        <f t="array" ref="Y814">INDEX(xlRTTYNAME,MATCH(1,(xlRTTYENDU=2)*(xlRTTYEQCL=$F814)*(xlRTEQTYPE=$G814),0))</f>
        <v>CENT_AIR4</v>
      </c>
    </row>
    <row r="815" spans="1:25" s="157" customFormat="1" x14ac:dyDescent="0.2">
      <c r="A815"/>
      <c r="B815" s="49">
        <v>5</v>
      </c>
      <c r="C815" s="49">
        <v>1</v>
      </c>
      <c r="D815" s="49">
        <v>4</v>
      </c>
      <c r="E815" s="49">
        <v>13</v>
      </c>
      <c r="F815" s="49">
        <v>2</v>
      </c>
      <c r="G815" s="49">
        <v>8</v>
      </c>
      <c r="H815" s="49">
        <v>2023</v>
      </c>
      <c r="I815" s="49">
        <v>2032</v>
      </c>
      <c r="J815" s="50">
        <v>1.0838000000000001</v>
      </c>
      <c r="K815" s="50">
        <v>1.0465</v>
      </c>
      <c r="L815" s="50">
        <v>0.32329999999999998</v>
      </c>
      <c r="M815" s="50">
        <v>0.73150000000000004</v>
      </c>
      <c r="N815" s="50">
        <v>0.75670000000000004</v>
      </c>
      <c r="O815" s="50">
        <v>1.0538000000000001</v>
      </c>
      <c r="P815" s="49">
        <v>11579</v>
      </c>
      <c r="Q815" s="51">
        <f t="array" ref="Q815">SUM(IF(($S815&gt;=4)*($C815='TaxCred&amp;Subs'!$D$123:$D$127)*($H815='TaxCred&amp;Subs'!$C$123:$C$127)*($H815&lt;='TaxCred&amp;Subs'!$C$129),'TaxCred&amp;Subs'!$E$123:$E$127,0))</f>
        <v>2500</v>
      </c>
      <c r="R815" s="171">
        <v>0</v>
      </c>
      <c r="S815" s="49">
        <v>5</v>
      </c>
      <c r="T815" s="49" t="s">
        <v>225</v>
      </c>
      <c r="U815"/>
      <c r="V815" s="153" t="str">
        <f t="array" ref="V815">INDEX(xlRTCLNAME,MATCH(1,(xlRTCLENDU=1)*(xlRTCLEQCL=$D815),0))</f>
        <v>NG_RAD</v>
      </c>
      <c r="W815" s="153" t="str">
        <f t="array" ref="W815">INDEX(xlRTCLNAME,MATCH(1,(xlRTCLENDU=2)*(xlRTCLEQCL=$F815),0))</f>
        <v>CENT_AIR</v>
      </c>
      <c r="X815" s="153" t="str">
        <f t="array" ref="X815">INDEX(xlRTTYNAME,MATCH(1,(xlRTTYENDU=1)*(xlRTTYEQCL=$D815)*(xlRTEQTYPE=$E815),0))</f>
        <v>NG_RAD4</v>
      </c>
      <c r="Y815" s="153" t="str">
        <f t="array" ref="Y815">INDEX(xlRTTYNAME,MATCH(1,(xlRTTYENDU=2)*(xlRTTYEQCL=$F815)*(xlRTEQTYPE=$G815),0))</f>
        <v>CENT_AIR4</v>
      </c>
    </row>
    <row r="816" spans="1:25" s="157" customFormat="1" x14ac:dyDescent="0.2">
      <c r="A816"/>
      <c r="B816" s="126">
        <v>5</v>
      </c>
      <c r="C816" s="126">
        <v>1</v>
      </c>
      <c r="D816" s="126">
        <v>4</v>
      </c>
      <c r="E816" s="126">
        <v>13</v>
      </c>
      <c r="F816" s="126">
        <v>2</v>
      </c>
      <c r="G816" s="126">
        <v>8</v>
      </c>
      <c r="H816" s="159">
        <v>2033</v>
      </c>
      <c r="I816" s="126">
        <v>2050</v>
      </c>
      <c r="J816" s="127">
        <v>1.0838000000000001</v>
      </c>
      <c r="K816" s="127">
        <v>1.0465</v>
      </c>
      <c r="L816" s="127">
        <v>0.32329999999999998</v>
      </c>
      <c r="M816" s="127">
        <v>0.73150000000000004</v>
      </c>
      <c r="N816" s="127">
        <v>0.75670000000000004</v>
      </c>
      <c r="O816" s="127">
        <v>1.0538000000000001</v>
      </c>
      <c r="P816" s="126">
        <v>11579</v>
      </c>
      <c r="Q816" s="128">
        <f t="array" ref="Q816">SUM(IF(($S816&gt;=4)*($C816='TaxCred&amp;Subs'!$D$123:$D$127)*($H816='TaxCred&amp;Subs'!$C$123:$C$127)*($H816&lt;='TaxCred&amp;Subs'!$C$129),'TaxCred&amp;Subs'!$E$123:$E$127,0))</f>
        <v>0</v>
      </c>
      <c r="R816" s="174">
        <v>0</v>
      </c>
      <c r="S816" s="126">
        <v>5</v>
      </c>
      <c r="T816" s="126" t="s">
        <v>225</v>
      </c>
      <c r="U816"/>
      <c r="V816" s="153" t="str">
        <f t="array" ref="V816">INDEX(xlRTCLNAME,MATCH(1,(xlRTCLENDU=1)*(xlRTCLEQCL=$D816),0))</f>
        <v>NG_RAD</v>
      </c>
      <c r="W816" s="153" t="str">
        <f t="array" ref="W816">INDEX(xlRTCLNAME,MATCH(1,(xlRTCLENDU=2)*(xlRTCLEQCL=$F816),0))</f>
        <v>CENT_AIR</v>
      </c>
      <c r="X816" s="153" t="str">
        <f t="array" ref="X816">INDEX(xlRTTYNAME,MATCH(1,(xlRTTYENDU=1)*(xlRTTYEQCL=$D816)*(xlRTEQTYPE=$E816),0))</f>
        <v>NG_RAD4</v>
      </c>
      <c r="Y816" s="153" t="str">
        <f t="array" ref="Y816">INDEX(xlRTTYNAME,MATCH(1,(xlRTTYENDU=2)*(xlRTTYEQCL=$F816)*(xlRTEQTYPE=$G816),0))</f>
        <v>CENT_AIR4</v>
      </c>
    </row>
    <row r="817" spans="1:25" s="157" customFormat="1" x14ac:dyDescent="0.2">
      <c r="A817"/>
      <c r="B817" s="126">
        <v>6</v>
      </c>
      <c r="C817" s="126">
        <v>1</v>
      </c>
      <c r="D817" s="126">
        <v>4</v>
      </c>
      <c r="E817" s="126">
        <v>13</v>
      </c>
      <c r="F817" s="126">
        <v>2</v>
      </c>
      <c r="G817" s="126">
        <v>8</v>
      </c>
      <c r="H817" s="126">
        <v>2016</v>
      </c>
      <c r="I817" s="159">
        <v>2022</v>
      </c>
      <c r="J817" s="127">
        <v>1.089</v>
      </c>
      <c r="K817" s="127">
        <v>1.0583</v>
      </c>
      <c r="L817" s="127">
        <v>0.41599999999999998</v>
      </c>
      <c r="M817" s="127">
        <v>0.76590000000000003</v>
      </c>
      <c r="N817" s="127">
        <v>0.88849999999999996</v>
      </c>
      <c r="O817" s="127">
        <v>1.0538000000000001</v>
      </c>
      <c r="P817" s="126">
        <v>11441</v>
      </c>
      <c r="Q817" s="128">
        <f t="array" ref="Q817">SUM(IF(($S817&gt;=4)*($C817='TaxCred&amp;Subs'!$D$123:$D$127)*($H817='TaxCred&amp;Subs'!$C$123:$C$127)*($H817&lt;='TaxCred&amp;Subs'!$C$129),'TaxCred&amp;Subs'!$E$123:$E$127,0))</f>
        <v>2000</v>
      </c>
      <c r="R817" s="174">
        <v>0</v>
      </c>
      <c r="S817" s="126">
        <v>5</v>
      </c>
      <c r="T817" s="126" t="s">
        <v>225</v>
      </c>
      <c r="U817"/>
      <c r="V817" s="153" t="str">
        <f t="array" ref="V817">INDEX(xlRTCLNAME,MATCH(1,(xlRTCLENDU=1)*(xlRTCLEQCL=$D817),0))</f>
        <v>NG_RAD</v>
      </c>
      <c r="W817" s="153" t="str">
        <f t="array" ref="W817">INDEX(xlRTCLNAME,MATCH(1,(xlRTCLENDU=2)*(xlRTCLEQCL=$F817),0))</f>
        <v>CENT_AIR</v>
      </c>
      <c r="X817" s="153" t="str">
        <f t="array" ref="X817">INDEX(xlRTTYNAME,MATCH(1,(xlRTTYENDU=1)*(xlRTTYEQCL=$D817)*(xlRTEQTYPE=$E817),0))</f>
        <v>NG_RAD4</v>
      </c>
      <c r="Y817" s="153" t="str">
        <f t="array" ref="Y817">INDEX(xlRTTYNAME,MATCH(1,(xlRTTYENDU=2)*(xlRTTYEQCL=$F817)*(xlRTEQTYPE=$G817),0))</f>
        <v>CENT_AIR4</v>
      </c>
    </row>
    <row r="818" spans="1:25" s="157" customFormat="1" x14ac:dyDescent="0.2">
      <c r="A818"/>
      <c r="B818" s="49">
        <v>6</v>
      </c>
      <c r="C818" s="49">
        <v>1</v>
      </c>
      <c r="D818" s="49">
        <v>4</v>
      </c>
      <c r="E818" s="49">
        <v>13</v>
      </c>
      <c r="F818" s="49">
        <v>2</v>
      </c>
      <c r="G818" s="49">
        <v>8</v>
      </c>
      <c r="H818" s="49">
        <v>2023</v>
      </c>
      <c r="I818" s="49">
        <v>2032</v>
      </c>
      <c r="J818" s="50">
        <v>1.089</v>
      </c>
      <c r="K818" s="50">
        <v>1.0583</v>
      </c>
      <c r="L818" s="50">
        <v>0.41599999999999998</v>
      </c>
      <c r="M818" s="50">
        <v>0.76590000000000003</v>
      </c>
      <c r="N818" s="50">
        <v>0.88849999999999996</v>
      </c>
      <c r="O818" s="50">
        <v>1.0538000000000001</v>
      </c>
      <c r="P818" s="49">
        <v>11441</v>
      </c>
      <c r="Q818" s="51">
        <f t="array" ref="Q818">SUM(IF(($S818&gt;=4)*($C818='TaxCred&amp;Subs'!$D$123:$D$127)*($H818='TaxCred&amp;Subs'!$C$123:$C$127)*($H818&lt;='TaxCred&amp;Subs'!$C$129),'TaxCred&amp;Subs'!$E$123:$E$127,0))</f>
        <v>2500</v>
      </c>
      <c r="R818" s="171">
        <v>0</v>
      </c>
      <c r="S818" s="49">
        <v>5</v>
      </c>
      <c r="T818" s="49" t="s">
        <v>225</v>
      </c>
      <c r="U818"/>
      <c r="V818" s="153" t="str">
        <f t="array" ref="V818">INDEX(xlRTCLNAME,MATCH(1,(xlRTCLENDU=1)*(xlRTCLEQCL=$D818),0))</f>
        <v>NG_RAD</v>
      </c>
      <c r="W818" s="153" t="str">
        <f t="array" ref="W818">INDEX(xlRTCLNAME,MATCH(1,(xlRTCLENDU=2)*(xlRTCLEQCL=$F818),0))</f>
        <v>CENT_AIR</v>
      </c>
      <c r="X818" s="153" t="str">
        <f t="array" ref="X818">INDEX(xlRTTYNAME,MATCH(1,(xlRTTYENDU=1)*(xlRTTYEQCL=$D818)*(xlRTEQTYPE=$E818),0))</f>
        <v>NG_RAD4</v>
      </c>
      <c r="Y818" s="153" t="str">
        <f t="array" ref="Y818">INDEX(xlRTTYNAME,MATCH(1,(xlRTTYENDU=2)*(xlRTTYEQCL=$F818)*(xlRTEQTYPE=$G818),0))</f>
        <v>CENT_AIR4</v>
      </c>
    </row>
    <row r="819" spans="1:25" s="157" customFormat="1" x14ac:dyDescent="0.2">
      <c r="A819"/>
      <c r="B819" s="126">
        <v>6</v>
      </c>
      <c r="C819" s="126">
        <v>1</v>
      </c>
      <c r="D819" s="126">
        <v>4</v>
      </c>
      <c r="E819" s="126">
        <v>13</v>
      </c>
      <c r="F819" s="126">
        <v>2</v>
      </c>
      <c r="G819" s="126">
        <v>8</v>
      </c>
      <c r="H819" s="159">
        <v>2033</v>
      </c>
      <c r="I819" s="126">
        <v>2050</v>
      </c>
      <c r="J819" s="127">
        <v>1.089</v>
      </c>
      <c r="K819" s="127">
        <v>1.0583</v>
      </c>
      <c r="L819" s="127">
        <v>0.41599999999999998</v>
      </c>
      <c r="M819" s="127">
        <v>0.76590000000000003</v>
      </c>
      <c r="N819" s="127">
        <v>0.88849999999999996</v>
      </c>
      <c r="O819" s="127">
        <v>1.0538000000000001</v>
      </c>
      <c r="P819" s="126">
        <v>11441</v>
      </c>
      <c r="Q819" s="128">
        <f t="array" ref="Q819">SUM(IF(($S819&gt;=4)*($C819='TaxCred&amp;Subs'!$D$123:$D$127)*($H819='TaxCred&amp;Subs'!$C$123:$C$127)*($H819&lt;='TaxCred&amp;Subs'!$C$129),'TaxCred&amp;Subs'!$E$123:$E$127,0))</f>
        <v>0</v>
      </c>
      <c r="R819" s="174">
        <v>0</v>
      </c>
      <c r="S819" s="126">
        <v>5</v>
      </c>
      <c r="T819" s="126" t="s">
        <v>225</v>
      </c>
      <c r="U819"/>
      <c r="V819" s="153" t="str">
        <f t="array" ref="V819">INDEX(xlRTCLNAME,MATCH(1,(xlRTCLENDU=1)*(xlRTCLEQCL=$D819),0))</f>
        <v>NG_RAD</v>
      </c>
      <c r="W819" s="153" t="str">
        <f t="array" ref="W819">INDEX(xlRTCLNAME,MATCH(1,(xlRTCLENDU=2)*(xlRTCLEQCL=$F819),0))</f>
        <v>CENT_AIR</v>
      </c>
      <c r="X819" s="153" t="str">
        <f t="array" ref="X819">INDEX(xlRTTYNAME,MATCH(1,(xlRTTYENDU=1)*(xlRTTYEQCL=$D819)*(xlRTEQTYPE=$E819),0))</f>
        <v>NG_RAD4</v>
      </c>
      <c r="Y819" s="153" t="str">
        <f t="array" ref="Y819">INDEX(xlRTTYNAME,MATCH(1,(xlRTTYENDU=2)*(xlRTTYEQCL=$F819)*(xlRTEQTYPE=$G819),0))</f>
        <v>CENT_AIR4</v>
      </c>
    </row>
    <row r="820" spans="1:25" s="157" customFormat="1" x14ac:dyDescent="0.2">
      <c r="A820"/>
      <c r="B820" s="126">
        <v>7</v>
      </c>
      <c r="C820" s="126">
        <v>1</v>
      </c>
      <c r="D820" s="126">
        <v>4</v>
      </c>
      <c r="E820" s="126">
        <v>13</v>
      </c>
      <c r="F820" s="126">
        <v>2</v>
      </c>
      <c r="G820" s="126">
        <v>8</v>
      </c>
      <c r="H820" s="126">
        <v>2016</v>
      </c>
      <c r="I820" s="159">
        <v>2022</v>
      </c>
      <c r="J820" s="127">
        <v>1.0867</v>
      </c>
      <c r="K820" s="127">
        <v>1.0682</v>
      </c>
      <c r="L820" s="127">
        <v>0.32069999999999999</v>
      </c>
      <c r="M820" s="127">
        <v>0.65339999999999998</v>
      </c>
      <c r="N820" s="127">
        <v>0.87180000000000002</v>
      </c>
      <c r="O820" s="127">
        <v>1.0538000000000001</v>
      </c>
      <c r="P820" s="126">
        <v>11603</v>
      </c>
      <c r="Q820" s="128">
        <f t="array" ref="Q820">SUM(IF(($S820&gt;=4)*($C820='TaxCred&amp;Subs'!$D$123:$D$127)*($H820='TaxCred&amp;Subs'!$C$123:$C$127)*($H820&lt;='TaxCred&amp;Subs'!$C$129),'TaxCred&amp;Subs'!$E$123:$E$127,0))</f>
        <v>2000</v>
      </c>
      <c r="R820" s="174">
        <v>0</v>
      </c>
      <c r="S820" s="126">
        <v>5</v>
      </c>
      <c r="T820" s="126" t="s">
        <v>225</v>
      </c>
      <c r="U820"/>
      <c r="V820" s="153" t="str">
        <f t="array" ref="V820">INDEX(xlRTCLNAME,MATCH(1,(xlRTCLENDU=1)*(xlRTCLEQCL=$D820),0))</f>
        <v>NG_RAD</v>
      </c>
      <c r="W820" s="153" t="str">
        <f t="array" ref="W820">INDEX(xlRTCLNAME,MATCH(1,(xlRTCLENDU=2)*(xlRTCLEQCL=$F820),0))</f>
        <v>CENT_AIR</v>
      </c>
      <c r="X820" s="153" t="str">
        <f t="array" ref="X820">INDEX(xlRTTYNAME,MATCH(1,(xlRTTYENDU=1)*(xlRTTYEQCL=$D820)*(xlRTEQTYPE=$E820),0))</f>
        <v>NG_RAD4</v>
      </c>
      <c r="Y820" s="153" t="str">
        <f t="array" ref="Y820">INDEX(xlRTTYNAME,MATCH(1,(xlRTTYENDU=2)*(xlRTTYEQCL=$F820)*(xlRTEQTYPE=$G820),0))</f>
        <v>CENT_AIR4</v>
      </c>
    </row>
    <row r="821" spans="1:25" s="157" customFormat="1" x14ac:dyDescent="0.2">
      <c r="A821"/>
      <c r="B821" s="49">
        <v>7</v>
      </c>
      <c r="C821" s="49">
        <v>1</v>
      </c>
      <c r="D821" s="49">
        <v>4</v>
      </c>
      <c r="E821" s="49">
        <v>13</v>
      </c>
      <c r="F821" s="49">
        <v>2</v>
      </c>
      <c r="G821" s="49">
        <v>8</v>
      </c>
      <c r="H821" s="49">
        <v>2023</v>
      </c>
      <c r="I821" s="49">
        <v>2032</v>
      </c>
      <c r="J821" s="50">
        <v>1.0867</v>
      </c>
      <c r="K821" s="50">
        <v>1.0682</v>
      </c>
      <c r="L821" s="50">
        <v>0.32069999999999999</v>
      </c>
      <c r="M821" s="50">
        <v>0.65339999999999998</v>
      </c>
      <c r="N821" s="50">
        <v>0.87180000000000002</v>
      </c>
      <c r="O821" s="50">
        <v>1.0538000000000001</v>
      </c>
      <c r="P821" s="49">
        <v>11603</v>
      </c>
      <c r="Q821" s="51">
        <f t="array" ref="Q821">SUM(IF(($S821&gt;=4)*($C821='TaxCred&amp;Subs'!$D$123:$D$127)*($H821='TaxCred&amp;Subs'!$C$123:$C$127)*($H821&lt;='TaxCred&amp;Subs'!$C$129),'TaxCred&amp;Subs'!$E$123:$E$127,0))</f>
        <v>2500</v>
      </c>
      <c r="R821" s="171">
        <v>0</v>
      </c>
      <c r="S821" s="49">
        <v>5</v>
      </c>
      <c r="T821" s="49" t="s">
        <v>225</v>
      </c>
      <c r="U821"/>
      <c r="V821" s="153" t="str">
        <f t="array" ref="V821">INDEX(xlRTCLNAME,MATCH(1,(xlRTCLENDU=1)*(xlRTCLEQCL=$D821),0))</f>
        <v>NG_RAD</v>
      </c>
      <c r="W821" s="153" t="str">
        <f t="array" ref="W821">INDEX(xlRTCLNAME,MATCH(1,(xlRTCLENDU=2)*(xlRTCLEQCL=$F821),0))</f>
        <v>CENT_AIR</v>
      </c>
      <c r="X821" s="153" t="str">
        <f t="array" ref="X821">INDEX(xlRTTYNAME,MATCH(1,(xlRTTYENDU=1)*(xlRTTYEQCL=$D821)*(xlRTEQTYPE=$E821),0))</f>
        <v>NG_RAD4</v>
      </c>
      <c r="Y821" s="153" t="str">
        <f t="array" ref="Y821">INDEX(xlRTTYNAME,MATCH(1,(xlRTTYENDU=2)*(xlRTTYEQCL=$F821)*(xlRTEQTYPE=$G821),0))</f>
        <v>CENT_AIR4</v>
      </c>
    </row>
    <row r="822" spans="1:25" s="157" customFormat="1" x14ac:dyDescent="0.2">
      <c r="A822"/>
      <c r="B822" s="126">
        <v>7</v>
      </c>
      <c r="C822" s="126">
        <v>1</v>
      </c>
      <c r="D822" s="126">
        <v>4</v>
      </c>
      <c r="E822" s="126">
        <v>13</v>
      </c>
      <c r="F822" s="126">
        <v>2</v>
      </c>
      <c r="G822" s="126">
        <v>8</v>
      </c>
      <c r="H822" s="159">
        <v>2033</v>
      </c>
      <c r="I822" s="126">
        <v>2050</v>
      </c>
      <c r="J822" s="127">
        <v>1.0867</v>
      </c>
      <c r="K822" s="127">
        <v>1.0682</v>
      </c>
      <c r="L822" s="127">
        <v>0.32069999999999999</v>
      </c>
      <c r="M822" s="127">
        <v>0.65339999999999998</v>
      </c>
      <c r="N822" s="127">
        <v>0.87180000000000002</v>
      </c>
      <c r="O822" s="127">
        <v>1.0538000000000001</v>
      </c>
      <c r="P822" s="126">
        <v>11603</v>
      </c>
      <c r="Q822" s="128">
        <f t="array" ref="Q822">SUM(IF(($S822&gt;=4)*($C822='TaxCred&amp;Subs'!$D$123:$D$127)*($H822='TaxCred&amp;Subs'!$C$123:$C$127)*($H822&lt;='TaxCred&amp;Subs'!$C$129),'TaxCred&amp;Subs'!$E$123:$E$127,0))</f>
        <v>0</v>
      </c>
      <c r="R822" s="174">
        <v>0</v>
      </c>
      <c r="S822" s="126">
        <v>5</v>
      </c>
      <c r="T822" s="126" t="s">
        <v>225</v>
      </c>
      <c r="U822"/>
      <c r="V822" s="153" t="str">
        <f t="array" ref="V822">INDEX(xlRTCLNAME,MATCH(1,(xlRTCLENDU=1)*(xlRTCLEQCL=$D822),0))</f>
        <v>NG_RAD</v>
      </c>
      <c r="W822" s="153" t="str">
        <f t="array" ref="W822">INDEX(xlRTCLNAME,MATCH(1,(xlRTCLENDU=2)*(xlRTCLEQCL=$F822),0))</f>
        <v>CENT_AIR</v>
      </c>
      <c r="X822" s="153" t="str">
        <f t="array" ref="X822">INDEX(xlRTTYNAME,MATCH(1,(xlRTTYENDU=1)*(xlRTTYEQCL=$D822)*(xlRTEQTYPE=$E822),0))</f>
        <v>NG_RAD4</v>
      </c>
      <c r="Y822" s="153" t="str">
        <f t="array" ref="Y822">INDEX(xlRTTYNAME,MATCH(1,(xlRTTYENDU=2)*(xlRTTYEQCL=$F822)*(xlRTEQTYPE=$G822),0))</f>
        <v>CENT_AIR4</v>
      </c>
    </row>
    <row r="823" spans="1:25" s="157" customFormat="1" x14ac:dyDescent="0.2">
      <c r="A823"/>
      <c r="B823" s="126">
        <v>8</v>
      </c>
      <c r="C823" s="126">
        <v>1</v>
      </c>
      <c r="D823" s="126">
        <v>4</v>
      </c>
      <c r="E823" s="126">
        <v>13</v>
      </c>
      <c r="F823" s="126">
        <v>2</v>
      </c>
      <c r="G823" s="126">
        <v>8</v>
      </c>
      <c r="H823" s="126">
        <v>2016</v>
      </c>
      <c r="I823" s="159">
        <v>2022</v>
      </c>
      <c r="J823" s="127">
        <v>1.0820000000000001</v>
      </c>
      <c r="K823" s="127">
        <v>1.0832999999999999</v>
      </c>
      <c r="L823" s="127">
        <v>0.42730000000000001</v>
      </c>
      <c r="M823" s="127">
        <v>0.78110000000000002</v>
      </c>
      <c r="N823" s="127">
        <v>0.86439999999999995</v>
      </c>
      <c r="O823" s="127">
        <v>1.0538000000000001</v>
      </c>
      <c r="P823" s="126">
        <v>12094</v>
      </c>
      <c r="Q823" s="128">
        <f t="array" ref="Q823">SUM(IF(($S823&gt;=4)*($C823='TaxCred&amp;Subs'!$D$123:$D$127)*($H823='TaxCred&amp;Subs'!$C$123:$C$127)*($H823&lt;='TaxCred&amp;Subs'!$C$129),'TaxCred&amp;Subs'!$E$123:$E$127,0))</f>
        <v>2000</v>
      </c>
      <c r="R823" s="174">
        <v>0</v>
      </c>
      <c r="S823" s="126">
        <v>5</v>
      </c>
      <c r="T823" s="126" t="s">
        <v>225</v>
      </c>
      <c r="U823"/>
      <c r="V823" s="153" t="str">
        <f t="array" ref="V823">INDEX(xlRTCLNAME,MATCH(1,(xlRTCLENDU=1)*(xlRTCLEQCL=$D823),0))</f>
        <v>NG_RAD</v>
      </c>
      <c r="W823" s="153" t="str">
        <f t="array" ref="W823">INDEX(xlRTCLNAME,MATCH(1,(xlRTCLENDU=2)*(xlRTCLEQCL=$F823),0))</f>
        <v>CENT_AIR</v>
      </c>
      <c r="X823" s="153" t="str">
        <f t="array" ref="X823">INDEX(xlRTTYNAME,MATCH(1,(xlRTTYENDU=1)*(xlRTTYEQCL=$D823)*(xlRTEQTYPE=$E823),0))</f>
        <v>NG_RAD4</v>
      </c>
      <c r="Y823" s="153" t="str">
        <f t="array" ref="Y823">INDEX(xlRTTYNAME,MATCH(1,(xlRTTYENDU=2)*(xlRTTYEQCL=$F823)*(xlRTEQTYPE=$G823),0))</f>
        <v>CENT_AIR4</v>
      </c>
    </row>
    <row r="824" spans="1:25" s="157" customFormat="1" x14ac:dyDescent="0.2">
      <c r="A824"/>
      <c r="B824" s="49">
        <v>8</v>
      </c>
      <c r="C824" s="49">
        <v>1</v>
      </c>
      <c r="D824" s="49">
        <v>4</v>
      </c>
      <c r="E824" s="49">
        <v>13</v>
      </c>
      <c r="F824" s="49">
        <v>2</v>
      </c>
      <c r="G824" s="49">
        <v>8</v>
      </c>
      <c r="H824" s="49">
        <v>2023</v>
      </c>
      <c r="I824" s="49">
        <v>2032</v>
      </c>
      <c r="J824" s="50">
        <v>1.0820000000000001</v>
      </c>
      <c r="K824" s="50">
        <v>1.0832999999999999</v>
      </c>
      <c r="L824" s="50">
        <v>0.42730000000000001</v>
      </c>
      <c r="M824" s="50">
        <v>0.78110000000000002</v>
      </c>
      <c r="N824" s="50">
        <v>0.86439999999999995</v>
      </c>
      <c r="O824" s="50">
        <v>1.0538000000000001</v>
      </c>
      <c r="P824" s="49">
        <v>12094</v>
      </c>
      <c r="Q824" s="51">
        <f t="array" ref="Q824">SUM(IF(($S824&gt;=4)*($C824='TaxCred&amp;Subs'!$D$123:$D$127)*($H824='TaxCred&amp;Subs'!$C$123:$C$127)*($H824&lt;='TaxCred&amp;Subs'!$C$129),'TaxCred&amp;Subs'!$E$123:$E$127,0))</f>
        <v>2500</v>
      </c>
      <c r="R824" s="171">
        <v>0</v>
      </c>
      <c r="S824" s="49">
        <v>5</v>
      </c>
      <c r="T824" s="49" t="s">
        <v>225</v>
      </c>
      <c r="U824"/>
      <c r="V824" s="153" t="str">
        <f t="array" ref="V824">INDEX(xlRTCLNAME,MATCH(1,(xlRTCLENDU=1)*(xlRTCLEQCL=$D824),0))</f>
        <v>NG_RAD</v>
      </c>
      <c r="W824" s="153" t="str">
        <f t="array" ref="W824">INDEX(xlRTCLNAME,MATCH(1,(xlRTCLENDU=2)*(xlRTCLEQCL=$F824),0))</f>
        <v>CENT_AIR</v>
      </c>
      <c r="X824" s="153" t="str">
        <f t="array" ref="X824">INDEX(xlRTTYNAME,MATCH(1,(xlRTTYENDU=1)*(xlRTTYEQCL=$D824)*(xlRTEQTYPE=$E824),0))</f>
        <v>NG_RAD4</v>
      </c>
      <c r="Y824" s="153" t="str">
        <f t="array" ref="Y824">INDEX(xlRTTYNAME,MATCH(1,(xlRTTYENDU=2)*(xlRTTYEQCL=$F824)*(xlRTEQTYPE=$G824),0))</f>
        <v>CENT_AIR4</v>
      </c>
    </row>
    <row r="825" spans="1:25" s="157" customFormat="1" x14ac:dyDescent="0.2">
      <c r="A825"/>
      <c r="B825" s="126">
        <v>8</v>
      </c>
      <c r="C825" s="126">
        <v>1</v>
      </c>
      <c r="D825" s="126">
        <v>4</v>
      </c>
      <c r="E825" s="126">
        <v>13</v>
      </c>
      <c r="F825" s="126">
        <v>2</v>
      </c>
      <c r="G825" s="126">
        <v>8</v>
      </c>
      <c r="H825" s="159">
        <v>2033</v>
      </c>
      <c r="I825" s="126">
        <v>2050</v>
      </c>
      <c r="J825" s="127">
        <v>1.0820000000000001</v>
      </c>
      <c r="K825" s="127">
        <v>1.0832999999999999</v>
      </c>
      <c r="L825" s="127">
        <v>0.42730000000000001</v>
      </c>
      <c r="M825" s="127">
        <v>0.78110000000000002</v>
      </c>
      <c r="N825" s="127">
        <v>0.86439999999999995</v>
      </c>
      <c r="O825" s="127">
        <v>1.0538000000000001</v>
      </c>
      <c r="P825" s="126">
        <v>12094</v>
      </c>
      <c r="Q825" s="128">
        <f t="array" ref="Q825">SUM(IF(($S825&gt;=4)*($C825='TaxCred&amp;Subs'!$D$123:$D$127)*($H825='TaxCred&amp;Subs'!$C$123:$C$127)*($H825&lt;='TaxCred&amp;Subs'!$C$129),'TaxCred&amp;Subs'!$E$123:$E$127,0))</f>
        <v>0</v>
      </c>
      <c r="R825" s="174">
        <v>0</v>
      </c>
      <c r="S825" s="126">
        <v>5</v>
      </c>
      <c r="T825" s="126" t="s">
        <v>225</v>
      </c>
      <c r="U825"/>
      <c r="V825" s="153" t="str">
        <f t="array" ref="V825">INDEX(xlRTCLNAME,MATCH(1,(xlRTCLENDU=1)*(xlRTCLEQCL=$D825),0))</f>
        <v>NG_RAD</v>
      </c>
      <c r="W825" s="153" t="str">
        <f t="array" ref="W825">INDEX(xlRTCLNAME,MATCH(1,(xlRTCLENDU=2)*(xlRTCLEQCL=$F825),0))</f>
        <v>CENT_AIR</v>
      </c>
      <c r="X825" s="153" t="str">
        <f t="array" ref="X825">INDEX(xlRTTYNAME,MATCH(1,(xlRTTYENDU=1)*(xlRTTYEQCL=$D825)*(xlRTEQTYPE=$E825),0))</f>
        <v>NG_RAD4</v>
      </c>
      <c r="Y825" s="153" t="str">
        <f t="array" ref="Y825">INDEX(xlRTTYNAME,MATCH(1,(xlRTTYENDU=2)*(xlRTTYEQCL=$F825)*(xlRTEQTYPE=$G825),0))</f>
        <v>CENT_AIR4</v>
      </c>
    </row>
    <row r="826" spans="1:25" s="157" customFormat="1" x14ac:dyDescent="0.2">
      <c r="A826"/>
      <c r="B826" s="126">
        <v>9</v>
      </c>
      <c r="C826" s="126">
        <v>1</v>
      </c>
      <c r="D826" s="126">
        <v>4</v>
      </c>
      <c r="E826" s="126">
        <v>13</v>
      </c>
      <c r="F826" s="126">
        <v>2</v>
      </c>
      <c r="G826" s="126">
        <v>8</v>
      </c>
      <c r="H826" s="126">
        <v>2016</v>
      </c>
      <c r="I826" s="159">
        <v>2022</v>
      </c>
      <c r="J826" s="127">
        <v>1.0414000000000001</v>
      </c>
      <c r="K826" s="127">
        <v>1.07</v>
      </c>
      <c r="L826" s="127">
        <v>0.39019999999999999</v>
      </c>
      <c r="M826" s="127">
        <v>0.76029999999999998</v>
      </c>
      <c r="N826" s="127">
        <v>1.026</v>
      </c>
      <c r="O826" s="127">
        <v>1.0538000000000001</v>
      </c>
      <c r="P826" s="126">
        <v>14738</v>
      </c>
      <c r="Q826" s="128">
        <f t="array" ref="Q826">SUM(IF(($S826&gt;=4)*($C826='TaxCred&amp;Subs'!$D$123:$D$127)*($H826='TaxCred&amp;Subs'!$C$123:$C$127)*($H826&lt;='TaxCred&amp;Subs'!$C$129),'TaxCred&amp;Subs'!$E$123:$E$127,0))</f>
        <v>2000</v>
      </c>
      <c r="R826" s="174">
        <v>0</v>
      </c>
      <c r="S826" s="126">
        <v>5</v>
      </c>
      <c r="T826" s="126" t="s">
        <v>225</v>
      </c>
      <c r="U826"/>
      <c r="V826" s="153" t="str">
        <f t="array" ref="V826">INDEX(xlRTCLNAME,MATCH(1,(xlRTCLENDU=1)*(xlRTCLEQCL=$D826),0))</f>
        <v>NG_RAD</v>
      </c>
      <c r="W826" s="153" t="str">
        <f t="array" ref="W826">INDEX(xlRTCLNAME,MATCH(1,(xlRTCLENDU=2)*(xlRTCLEQCL=$F826),0))</f>
        <v>CENT_AIR</v>
      </c>
      <c r="X826" s="153" t="str">
        <f t="array" ref="X826">INDEX(xlRTTYNAME,MATCH(1,(xlRTTYENDU=1)*(xlRTTYEQCL=$D826)*(xlRTEQTYPE=$E826),0))</f>
        <v>NG_RAD4</v>
      </c>
      <c r="Y826" s="153" t="str">
        <f t="array" ref="Y826">INDEX(xlRTTYNAME,MATCH(1,(xlRTTYENDU=2)*(xlRTTYEQCL=$F826)*(xlRTEQTYPE=$G826),0))</f>
        <v>CENT_AIR4</v>
      </c>
    </row>
    <row r="827" spans="1:25" s="157" customFormat="1" x14ac:dyDescent="0.2">
      <c r="A827"/>
      <c r="B827" s="49">
        <v>9</v>
      </c>
      <c r="C827" s="49">
        <v>1</v>
      </c>
      <c r="D827" s="49">
        <v>4</v>
      </c>
      <c r="E827" s="49">
        <v>13</v>
      </c>
      <c r="F827" s="49">
        <v>2</v>
      </c>
      <c r="G827" s="49">
        <v>8</v>
      </c>
      <c r="H827" s="49">
        <v>2023</v>
      </c>
      <c r="I827" s="49">
        <v>2032</v>
      </c>
      <c r="J827" s="50">
        <v>1.0414000000000001</v>
      </c>
      <c r="K827" s="50">
        <v>1.07</v>
      </c>
      <c r="L827" s="50">
        <v>0.39019999999999999</v>
      </c>
      <c r="M827" s="50">
        <v>0.76029999999999998</v>
      </c>
      <c r="N827" s="50">
        <v>1.026</v>
      </c>
      <c r="O827" s="50">
        <v>1.0538000000000001</v>
      </c>
      <c r="P827" s="49">
        <v>14738</v>
      </c>
      <c r="Q827" s="51">
        <f t="array" ref="Q827">SUM(IF(($S827&gt;=4)*($C827='TaxCred&amp;Subs'!$D$123:$D$127)*($H827='TaxCred&amp;Subs'!$C$123:$C$127)*($H827&lt;='TaxCred&amp;Subs'!$C$129),'TaxCred&amp;Subs'!$E$123:$E$127,0))</f>
        <v>2500</v>
      </c>
      <c r="R827" s="171">
        <v>0</v>
      </c>
      <c r="S827" s="49">
        <v>5</v>
      </c>
      <c r="T827" s="49" t="s">
        <v>225</v>
      </c>
      <c r="U827"/>
      <c r="V827" s="153" t="str">
        <f t="array" ref="V827">INDEX(xlRTCLNAME,MATCH(1,(xlRTCLENDU=1)*(xlRTCLEQCL=$D827),0))</f>
        <v>NG_RAD</v>
      </c>
      <c r="W827" s="153" t="str">
        <f t="array" ref="W827">INDEX(xlRTCLNAME,MATCH(1,(xlRTCLENDU=2)*(xlRTCLEQCL=$F827),0))</f>
        <v>CENT_AIR</v>
      </c>
      <c r="X827" s="153" t="str">
        <f t="array" ref="X827">INDEX(xlRTTYNAME,MATCH(1,(xlRTTYENDU=1)*(xlRTTYEQCL=$D827)*(xlRTEQTYPE=$E827),0))</f>
        <v>NG_RAD4</v>
      </c>
      <c r="Y827" s="153" t="str">
        <f t="array" ref="Y827">INDEX(xlRTTYNAME,MATCH(1,(xlRTTYENDU=2)*(xlRTTYEQCL=$F827)*(xlRTEQTYPE=$G827),0))</f>
        <v>CENT_AIR4</v>
      </c>
    </row>
    <row r="828" spans="1:25" s="157" customFormat="1" x14ac:dyDescent="0.2">
      <c r="A828"/>
      <c r="B828" s="126">
        <v>9</v>
      </c>
      <c r="C828" s="126">
        <v>1</v>
      </c>
      <c r="D828" s="126">
        <v>4</v>
      </c>
      <c r="E828" s="126">
        <v>13</v>
      </c>
      <c r="F828" s="126">
        <v>2</v>
      </c>
      <c r="G828" s="126">
        <v>8</v>
      </c>
      <c r="H828" s="159">
        <v>2033</v>
      </c>
      <c r="I828" s="126">
        <v>2050</v>
      </c>
      <c r="J828" s="127">
        <v>1.0414000000000001</v>
      </c>
      <c r="K828" s="127">
        <v>1.07</v>
      </c>
      <c r="L828" s="127">
        <v>0.39019999999999999</v>
      </c>
      <c r="M828" s="127">
        <v>0.76029999999999998</v>
      </c>
      <c r="N828" s="127">
        <v>1.026</v>
      </c>
      <c r="O828" s="127">
        <v>1.0538000000000001</v>
      </c>
      <c r="P828" s="126">
        <v>14738</v>
      </c>
      <c r="Q828" s="128">
        <f t="array" ref="Q828">SUM(IF(($S828&gt;=4)*($C828='TaxCred&amp;Subs'!$D$123:$D$127)*($H828='TaxCred&amp;Subs'!$C$123:$C$127)*($H828&lt;='TaxCred&amp;Subs'!$C$129),'TaxCred&amp;Subs'!$E$123:$E$127,0))</f>
        <v>0</v>
      </c>
      <c r="R828" s="174">
        <v>0</v>
      </c>
      <c r="S828" s="126">
        <v>5</v>
      </c>
      <c r="T828" s="126" t="s">
        <v>225</v>
      </c>
      <c r="U828"/>
      <c r="V828" s="153" t="str">
        <f t="array" ref="V828">INDEX(xlRTCLNAME,MATCH(1,(xlRTCLENDU=1)*(xlRTCLEQCL=$D828),0))</f>
        <v>NG_RAD</v>
      </c>
      <c r="W828" s="153" t="str">
        <f t="array" ref="W828">INDEX(xlRTCLNAME,MATCH(1,(xlRTCLENDU=2)*(xlRTCLEQCL=$F828),0))</f>
        <v>CENT_AIR</v>
      </c>
      <c r="X828" s="153" t="str">
        <f t="array" ref="X828">INDEX(xlRTTYNAME,MATCH(1,(xlRTTYENDU=1)*(xlRTTYEQCL=$D828)*(xlRTEQTYPE=$E828),0))</f>
        <v>NG_RAD4</v>
      </c>
      <c r="Y828" s="153" t="str">
        <f t="array" ref="Y828">INDEX(xlRTTYNAME,MATCH(1,(xlRTTYENDU=2)*(xlRTTYEQCL=$F828)*(xlRTEQTYPE=$G828),0))</f>
        <v>CENT_AIR4</v>
      </c>
    </row>
    <row r="829" spans="1:25" s="157" customFormat="1" x14ac:dyDescent="0.2">
      <c r="A829"/>
      <c r="B829" s="129">
        <v>1</v>
      </c>
      <c r="C829" s="129">
        <v>1</v>
      </c>
      <c r="D829" s="129">
        <v>5</v>
      </c>
      <c r="E829" s="129">
        <v>17</v>
      </c>
      <c r="F829" s="129">
        <v>2</v>
      </c>
      <c r="G829" s="129">
        <v>8</v>
      </c>
      <c r="H829" s="129">
        <v>2016</v>
      </c>
      <c r="I829" s="38">
        <v>2022</v>
      </c>
      <c r="J829" s="130">
        <v>1.0309999999999999</v>
      </c>
      <c r="K829" s="130">
        <v>1.0667</v>
      </c>
      <c r="L829" s="130">
        <v>0.44290000000000002</v>
      </c>
      <c r="M829" s="130">
        <v>0.96350000000000002</v>
      </c>
      <c r="N829" s="130">
        <v>0.79790000000000005</v>
      </c>
      <c r="O829" s="130">
        <v>1.0538000000000001</v>
      </c>
      <c r="P829" s="129">
        <v>14685</v>
      </c>
      <c r="Q829" s="128">
        <f t="array" ref="Q829">SUM(IF(($S829&gt;=4)*($C829='TaxCred&amp;Subs'!$D$123:$D$127)*($H829='TaxCred&amp;Subs'!$C$123:$C$127)*($H829&lt;='TaxCred&amp;Subs'!$C$129),'TaxCred&amp;Subs'!$E$123:$E$127,0))</f>
        <v>2000</v>
      </c>
      <c r="R829" s="174">
        <v>0</v>
      </c>
      <c r="S829" s="129">
        <v>5</v>
      </c>
      <c r="T829" s="129" t="s">
        <v>225</v>
      </c>
      <c r="U829" s="155" t="s">
        <v>235</v>
      </c>
      <c r="V829" s="153" t="str">
        <f t="array" ref="V829">INDEX(xlRTCLNAME,MATCH(1,(xlRTCLENDU=1)*(xlRTCLEQCL=$D829),0))</f>
        <v>KERO_FA</v>
      </c>
      <c r="W829" s="153" t="str">
        <f t="array" ref="W829">INDEX(xlRTCLNAME,MATCH(1,(xlRTCLENDU=2)*(xlRTCLEQCL=$F829),0))</f>
        <v>CENT_AIR</v>
      </c>
      <c r="X829" s="153" t="str">
        <f t="array" ref="X829">INDEX(xlRTTYNAME,MATCH(1,(xlRTTYENDU=1)*(xlRTTYEQCL=$D829)*(xlRTEQTYPE=$E829),0))</f>
        <v>KERO_FA4</v>
      </c>
      <c r="Y829" s="153" t="str">
        <f t="array" ref="Y829">INDEX(xlRTTYNAME,MATCH(1,(xlRTTYENDU=2)*(xlRTTYEQCL=$F829)*(xlRTEQTYPE=$G829),0))</f>
        <v>CENT_AIR4</v>
      </c>
    </row>
    <row r="830" spans="1:25" s="157" customFormat="1" x14ac:dyDescent="0.2">
      <c r="A830"/>
      <c r="B830" s="131">
        <v>1</v>
      </c>
      <c r="C830" s="131">
        <v>1</v>
      </c>
      <c r="D830" s="131">
        <v>5</v>
      </c>
      <c r="E830" s="131">
        <v>17</v>
      </c>
      <c r="F830" s="131">
        <v>2</v>
      </c>
      <c r="G830" s="131">
        <v>8</v>
      </c>
      <c r="H830" s="131">
        <v>2023</v>
      </c>
      <c r="I830" s="131">
        <v>2032</v>
      </c>
      <c r="J830" s="132">
        <v>1.0309999999999999</v>
      </c>
      <c r="K830" s="132">
        <v>1.0667</v>
      </c>
      <c r="L830" s="132">
        <v>0.44290000000000002</v>
      </c>
      <c r="M830" s="132">
        <v>0.96350000000000002</v>
      </c>
      <c r="N830" s="132">
        <v>0.79790000000000005</v>
      </c>
      <c r="O830" s="132">
        <v>1.0538000000000001</v>
      </c>
      <c r="P830" s="131">
        <v>14685</v>
      </c>
      <c r="Q830" s="51">
        <f t="array" ref="Q830">SUM(IF(($S830&gt;=4)*($C830='TaxCred&amp;Subs'!$D$123:$D$127)*($H830='TaxCred&amp;Subs'!$C$123:$C$127)*($H830&lt;='TaxCred&amp;Subs'!$C$129),'TaxCred&amp;Subs'!$E$123:$E$127,0))</f>
        <v>2500</v>
      </c>
      <c r="R830" s="171">
        <v>0</v>
      </c>
      <c r="S830" s="131">
        <v>5</v>
      </c>
      <c r="T830" s="131" t="s">
        <v>225</v>
      </c>
      <c r="U830" s="155" t="s">
        <v>235</v>
      </c>
      <c r="V830" s="153" t="str">
        <f t="array" ref="V830">INDEX(xlRTCLNAME,MATCH(1,(xlRTCLENDU=1)*(xlRTCLEQCL=$D830),0))</f>
        <v>KERO_FA</v>
      </c>
      <c r="W830" s="153" t="str">
        <f t="array" ref="W830">INDEX(xlRTCLNAME,MATCH(1,(xlRTCLENDU=2)*(xlRTCLEQCL=$F830),0))</f>
        <v>CENT_AIR</v>
      </c>
      <c r="X830" s="153" t="str">
        <f t="array" ref="X830">INDEX(xlRTTYNAME,MATCH(1,(xlRTTYENDU=1)*(xlRTTYEQCL=$D830)*(xlRTEQTYPE=$E830),0))</f>
        <v>KERO_FA4</v>
      </c>
      <c r="Y830" s="153" t="str">
        <f t="array" ref="Y830">INDEX(xlRTTYNAME,MATCH(1,(xlRTTYENDU=2)*(xlRTTYEQCL=$F830)*(xlRTEQTYPE=$G830),0))</f>
        <v>CENT_AIR4</v>
      </c>
    </row>
    <row r="831" spans="1:25" s="157" customFormat="1" x14ac:dyDescent="0.2">
      <c r="A831"/>
      <c r="B831" s="129">
        <v>1</v>
      </c>
      <c r="C831" s="129">
        <v>1</v>
      </c>
      <c r="D831" s="129">
        <v>5</v>
      </c>
      <c r="E831" s="129">
        <v>17</v>
      </c>
      <c r="F831" s="129">
        <v>2</v>
      </c>
      <c r="G831" s="129">
        <v>8</v>
      </c>
      <c r="H831" s="38">
        <v>2033</v>
      </c>
      <c r="I831" s="129">
        <v>2050</v>
      </c>
      <c r="J831" s="130">
        <v>1.0309999999999999</v>
      </c>
      <c r="K831" s="130">
        <v>1.0667</v>
      </c>
      <c r="L831" s="130">
        <v>0.44290000000000002</v>
      </c>
      <c r="M831" s="130">
        <v>0.96350000000000002</v>
      </c>
      <c r="N831" s="130">
        <v>0.79790000000000005</v>
      </c>
      <c r="O831" s="130">
        <v>1.0538000000000001</v>
      </c>
      <c r="P831" s="129">
        <v>14685</v>
      </c>
      <c r="Q831" s="128">
        <f t="array" ref="Q831">SUM(IF(($S831&gt;=4)*($C831='TaxCred&amp;Subs'!$D$123:$D$127)*($H831='TaxCred&amp;Subs'!$C$123:$C$127)*($H831&lt;='TaxCred&amp;Subs'!$C$129),'TaxCred&amp;Subs'!$E$123:$E$127,0))</f>
        <v>0</v>
      </c>
      <c r="R831" s="174">
        <v>0</v>
      </c>
      <c r="S831" s="129">
        <v>5</v>
      </c>
      <c r="T831" s="129" t="s">
        <v>225</v>
      </c>
      <c r="U831" s="155" t="s">
        <v>235</v>
      </c>
      <c r="V831" s="153" t="str">
        <f t="array" ref="V831">INDEX(xlRTCLNAME,MATCH(1,(xlRTCLENDU=1)*(xlRTCLEQCL=$D831),0))</f>
        <v>KERO_FA</v>
      </c>
      <c r="W831" s="153" t="str">
        <f t="array" ref="W831">INDEX(xlRTCLNAME,MATCH(1,(xlRTCLENDU=2)*(xlRTCLEQCL=$F831),0))</f>
        <v>CENT_AIR</v>
      </c>
      <c r="X831" s="153" t="str">
        <f t="array" ref="X831">INDEX(xlRTTYNAME,MATCH(1,(xlRTTYENDU=1)*(xlRTTYEQCL=$D831)*(xlRTEQTYPE=$E831),0))</f>
        <v>KERO_FA4</v>
      </c>
      <c r="Y831" s="153" t="str">
        <f t="array" ref="Y831">INDEX(xlRTTYNAME,MATCH(1,(xlRTTYENDU=2)*(xlRTTYEQCL=$F831)*(xlRTEQTYPE=$G831),0))</f>
        <v>CENT_AIR4</v>
      </c>
    </row>
    <row r="832" spans="1:25" s="157" customFormat="1" x14ac:dyDescent="0.2">
      <c r="A832"/>
      <c r="B832" s="129">
        <v>2</v>
      </c>
      <c r="C832" s="129">
        <v>1</v>
      </c>
      <c r="D832" s="129">
        <v>5</v>
      </c>
      <c r="E832" s="129">
        <v>17</v>
      </c>
      <c r="F832" s="129">
        <v>2</v>
      </c>
      <c r="G832" s="129">
        <v>8</v>
      </c>
      <c r="H832" s="129">
        <v>2016</v>
      </c>
      <c r="I832" s="38">
        <v>2022</v>
      </c>
      <c r="J832" s="130">
        <v>1.0772999999999999</v>
      </c>
      <c r="K832" s="130">
        <v>1.0758000000000001</v>
      </c>
      <c r="L832" s="130">
        <v>0.4617</v>
      </c>
      <c r="M832" s="130">
        <v>0.81589999999999996</v>
      </c>
      <c r="N832" s="130">
        <v>0.93169999999999997</v>
      </c>
      <c r="O832" s="130">
        <v>1.0538000000000001</v>
      </c>
      <c r="P832" s="129">
        <v>16678</v>
      </c>
      <c r="Q832" s="128">
        <f t="array" ref="Q832">SUM(IF(($S832&gt;=4)*($C832='TaxCred&amp;Subs'!$D$123:$D$127)*($H832='TaxCred&amp;Subs'!$C$123:$C$127)*($H832&lt;='TaxCred&amp;Subs'!$C$129),'TaxCred&amp;Subs'!$E$123:$E$127,0))</f>
        <v>2000</v>
      </c>
      <c r="R832" s="174">
        <v>0</v>
      </c>
      <c r="S832" s="129">
        <v>5</v>
      </c>
      <c r="T832" s="129" t="s">
        <v>225</v>
      </c>
      <c r="U832" s="155" t="s">
        <v>235</v>
      </c>
      <c r="V832" s="153" t="str">
        <f t="array" ref="V832">INDEX(xlRTCLNAME,MATCH(1,(xlRTCLENDU=1)*(xlRTCLEQCL=$D832),0))</f>
        <v>KERO_FA</v>
      </c>
      <c r="W832" s="153" t="str">
        <f t="array" ref="W832">INDEX(xlRTCLNAME,MATCH(1,(xlRTCLENDU=2)*(xlRTCLEQCL=$F832),0))</f>
        <v>CENT_AIR</v>
      </c>
      <c r="X832" s="153" t="str">
        <f t="array" ref="X832">INDEX(xlRTTYNAME,MATCH(1,(xlRTTYENDU=1)*(xlRTTYEQCL=$D832)*(xlRTEQTYPE=$E832),0))</f>
        <v>KERO_FA4</v>
      </c>
      <c r="Y832" s="153" t="str">
        <f t="array" ref="Y832">INDEX(xlRTTYNAME,MATCH(1,(xlRTTYENDU=2)*(xlRTTYEQCL=$F832)*(xlRTEQTYPE=$G832),0))</f>
        <v>CENT_AIR4</v>
      </c>
    </row>
    <row r="833" spans="1:25" s="157" customFormat="1" x14ac:dyDescent="0.2">
      <c r="A833"/>
      <c r="B833" s="131">
        <v>2</v>
      </c>
      <c r="C833" s="131">
        <v>1</v>
      </c>
      <c r="D833" s="131">
        <v>5</v>
      </c>
      <c r="E833" s="131">
        <v>17</v>
      </c>
      <c r="F833" s="131">
        <v>2</v>
      </c>
      <c r="G833" s="131">
        <v>8</v>
      </c>
      <c r="H833" s="131">
        <v>2023</v>
      </c>
      <c r="I833" s="131">
        <v>2032</v>
      </c>
      <c r="J833" s="132">
        <v>1.0772999999999999</v>
      </c>
      <c r="K833" s="132">
        <v>1.0758000000000001</v>
      </c>
      <c r="L833" s="132">
        <v>0.4617</v>
      </c>
      <c r="M833" s="132">
        <v>0.81589999999999996</v>
      </c>
      <c r="N833" s="132">
        <v>0.93169999999999997</v>
      </c>
      <c r="O833" s="132">
        <v>1.0538000000000001</v>
      </c>
      <c r="P833" s="131">
        <v>16678</v>
      </c>
      <c r="Q833" s="51">
        <f t="array" ref="Q833">SUM(IF(($S833&gt;=4)*($C833='TaxCred&amp;Subs'!$D$123:$D$127)*($H833='TaxCred&amp;Subs'!$C$123:$C$127)*($H833&lt;='TaxCred&amp;Subs'!$C$129),'TaxCred&amp;Subs'!$E$123:$E$127,0))</f>
        <v>2500</v>
      </c>
      <c r="R833" s="171">
        <v>0</v>
      </c>
      <c r="S833" s="131">
        <v>5</v>
      </c>
      <c r="T833" s="131" t="s">
        <v>225</v>
      </c>
      <c r="U833" s="155" t="s">
        <v>235</v>
      </c>
      <c r="V833" s="153" t="str">
        <f t="array" ref="V833">INDEX(xlRTCLNAME,MATCH(1,(xlRTCLENDU=1)*(xlRTCLEQCL=$D833),0))</f>
        <v>KERO_FA</v>
      </c>
      <c r="W833" s="153" t="str">
        <f t="array" ref="W833">INDEX(xlRTCLNAME,MATCH(1,(xlRTCLENDU=2)*(xlRTCLEQCL=$F833),0))</f>
        <v>CENT_AIR</v>
      </c>
      <c r="X833" s="153" t="str">
        <f t="array" ref="X833">INDEX(xlRTTYNAME,MATCH(1,(xlRTTYENDU=1)*(xlRTTYEQCL=$D833)*(xlRTEQTYPE=$E833),0))</f>
        <v>KERO_FA4</v>
      </c>
      <c r="Y833" s="153" t="str">
        <f t="array" ref="Y833">INDEX(xlRTTYNAME,MATCH(1,(xlRTTYENDU=2)*(xlRTTYEQCL=$F833)*(xlRTEQTYPE=$G833),0))</f>
        <v>CENT_AIR4</v>
      </c>
    </row>
    <row r="834" spans="1:25" s="157" customFormat="1" x14ac:dyDescent="0.2">
      <c r="A834"/>
      <c r="B834" s="129">
        <v>2</v>
      </c>
      <c r="C834" s="129">
        <v>1</v>
      </c>
      <c r="D834" s="129">
        <v>5</v>
      </c>
      <c r="E834" s="129">
        <v>17</v>
      </c>
      <c r="F834" s="129">
        <v>2</v>
      </c>
      <c r="G834" s="129">
        <v>8</v>
      </c>
      <c r="H834" s="38">
        <v>2033</v>
      </c>
      <c r="I834" s="129">
        <v>2050</v>
      </c>
      <c r="J834" s="130">
        <v>1.0772999999999999</v>
      </c>
      <c r="K834" s="130">
        <v>1.0758000000000001</v>
      </c>
      <c r="L834" s="130">
        <v>0.4617</v>
      </c>
      <c r="M834" s="130">
        <v>0.81589999999999996</v>
      </c>
      <c r="N834" s="130">
        <v>0.93169999999999997</v>
      </c>
      <c r="O834" s="130">
        <v>1.0538000000000001</v>
      </c>
      <c r="P834" s="129">
        <v>16678</v>
      </c>
      <c r="Q834" s="128">
        <f t="array" ref="Q834">SUM(IF(($S834&gt;=4)*($C834='TaxCred&amp;Subs'!$D$123:$D$127)*($H834='TaxCred&amp;Subs'!$C$123:$C$127)*($H834&lt;='TaxCred&amp;Subs'!$C$129),'TaxCred&amp;Subs'!$E$123:$E$127,0))</f>
        <v>0</v>
      </c>
      <c r="R834" s="174">
        <v>0</v>
      </c>
      <c r="S834" s="129">
        <v>5</v>
      </c>
      <c r="T834" s="129" t="s">
        <v>225</v>
      </c>
      <c r="U834" s="155" t="s">
        <v>235</v>
      </c>
      <c r="V834" s="153" t="str">
        <f t="array" ref="V834">INDEX(xlRTCLNAME,MATCH(1,(xlRTCLENDU=1)*(xlRTCLEQCL=$D834),0))</f>
        <v>KERO_FA</v>
      </c>
      <c r="W834" s="153" t="str">
        <f t="array" ref="W834">INDEX(xlRTCLNAME,MATCH(1,(xlRTCLENDU=2)*(xlRTCLEQCL=$F834),0))</f>
        <v>CENT_AIR</v>
      </c>
      <c r="X834" s="153" t="str">
        <f t="array" ref="X834">INDEX(xlRTTYNAME,MATCH(1,(xlRTTYENDU=1)*(xlRTTYEQCL=$D834)*(xlRTEQTYPE=$E834),0))</f>
        <v>KERO_FA4</v>
      </c>
      <c r="Y834" s="153" t="str">
        <f t="array" ref="Y834">INDEX(xlRTTYNAME,MATCH(1,(xlRTTYENDU=2)*(xlRTTYEQCL=$F834)*(xlRTEQTYPE=$G834),0))</f>
        <v>CENT_AIR4</v>
      </c>
    </row>
    <row r="835" spans="1:25" s="157" customFormat="1" x14ac:dyDescent="0.2">
      <c r="A835"/>
      <c r="B835" s="129">
        <v>5</v>
      </c>
      <c r="C835" s="129">
        <v>1</v>
      </c>
      <c r="D835" s="129">
        <v>5</v>
      </c>
      <c r="E835" s="129">
        <v>17</v>
      </c>
      <c r="F835" s="129">
        <v>2</v>
      </c>
      <c r="G835" s="129">
        <v>8</v>
      </c>
      <c r="H835" s="129">
        <v>2016</v>
      </c>
      <c r="I835" s="38">
        <v>2022</v>
      </c>
      <c r="J835" s="130">
        <v>1.0847</v>
      </c>
      <c r="K835" s="130">
        <v>1.056</v>
      </c>
      <c r="L835" s="130">
        <v>0.32740000000000002</v>
      </c>
      <c r="M835" s="130">
        <v>0.73150000000000004</v>
      </c>
      <c r="N835" s="130">
        <v>0.76280000000000003</v>
      </c>
      <c r="O835" s="130">
        <v>1.0538000000000001</v>
      </c>
      <c r="P835" s="129">
        <v>11579</v>
      </c>
      <c r="Q835" s="128">
        <f t="array" ref="Q835">SUM(IF(($S835&gt;=4)*($C835='TaxCred&amp;Subs'!$D$123:$D$127)*($H835='TaxCred&amp;Subs'!$C$123:$C$127)*($H835&lt;='TaxCred&amp;Subs'!$C$129),'TaxCred&amp;Subs'!$E$123:$E$127,0))</f>
        <v>2000</v>
      </c>
      <c r="R835" s="174">
        <v>0</v>
      </c>
      <c r="S835" s="129">
        <v>5</v>
      </c>
      <c r="T835" s="129" t="s">
        <v>225</v>
      </c>
      <c r="U835" s="155" t="s">
        <v>235</v>
      </c>
      <c r="V835" s="153" t="str">
        <f t="array" ref="V835">INDEX(xlRTCLNAME,MATCH(1,(xlRTCLENDU=1)*(xlRTCLEQCL=$D835),0))</f>
        <v>KERO_FA</v>
      </c>
      <c r="W835" s="153" t="str">
        <f t="array" ref="W835">INDEX(xlRTCLNAME,MATCH(1,(xlRTCLENDU=2)*(xlRTCLEQCL=$F835),0))</f>
        <v>CENT_AIR</v>
      </c>
      <c r="X835" s="153" t="str">
        <f t="array" ref="X835">INDEX(xlRTTYNAME,MATCH(1,(xlRTTYENDU=1)*(xlRTTYEQCL=$D835)*(xlRTEQTYPE=$E835),0))</f>
        <v>KERO_FA4</v>
      </c>
      <c r="Y835" s="153" t="str">
        <f t="array" ref="Y835">INDEX(xlRTTYNAME,MATCH(1,(xlRTTYENDU=2)*(xlRTTYEQCL=$F835)*(xlRTEQTYPE=$G835),0))</f>
        <v>CENT_AIR4</v>
      </c>
    </row>
    <row r="836" spans="1:25" s="157" customFormat="1" x14ac:dyDescent="0.2">
      <c r="A836"/>
      <c r="B836" s="131">
        <v>5</v>
      </c>
      <c r="C836" s="131">
        <v>1</v>
      </c>
      <c r="D836" s="131">
        <v>5</v>
      </c>
      <c r="E836" s="131">
        <v>17</v>
      </c>
      <c r="F836" s="131">
        <v>2</v>
      </c>
      <c r="G836" s="131">
        <v>8</v>
      </c>
      <c r="H836" s="131">
        <v>2023</v>
      </c>
      <c r="I836" s="131">
        <v>2032</v>
      </c>
      <c r="J836" s="132">
        <v>1.0847</v>
      </c>
      <c r="K836" s="132">
        <v>1.056</v>
      </c>
      <c r="L836" s="132">
        <v>0.32740000000000002</v>
      </c>
      <c r="M836" s="132">
        <v>0.73150000000000004</v>
      </c>
      <c r="N836" s="132">
        <v>0.76280000000000003</v>
      </c>
      <c r="O836" s="132">
        <v>1.0538000000000001</v>
      </c>
      <c r="P836" s="131">
        <v>11579</v>
      </c>
      <c r="Q836" s="51">
        <f t="array" ref="Q836">SUM(IF(($S836&gt;=4)*($C836='TaxCred&amp;Subs'!$D$123:$D$127)*($H836='TaxCred&amp;Subs'!$C$123:$C$127)*($H836&lt;='TaxCred&amp;Subs'!$C$129),'TaxCred&amp;Subs'!$E$123:$E$127,0))</f>
        <v>2500</v>
      </c>
      <c r="R836" s="171">
        <v>0</v>
      </c>
      <c r="S836" s="131">
        <v>5</v>
      </c>
      <c r="T836" s="131" t="s">
        <v>225</v>
      </c>
      <c r="U836" s="155" t="s">
        <v>235</v>
      </c>
      <c r="V836" s="153" t="str">
        <f t="array" ref="V836">INDEX(xlRTCLNAME,MATCH(1,(xlRTCLENDU=1)*(xlRTCLEQCL=$D836),0))</f>
        <v>KERO_FA</v>
      </c>
      <c r="W836" s="153" t="str">
        <f t="array" ref="W836">INDEX(xlRTCLNAME,MATCH(1,(xlRTCLENDU=2)*(xlRTCLEQCL=$F836),0))</f>
        <v>CENT_AIR</v>
      </c>
      <c r="X836" s="153" t="str">
        <f t="array" ref="X836">INDEX(xlRTTYNAME,MATCH(1,(xlRTTYENDU=1)*(xlRTTYEQCL=$D836)*(xlRTEQTYPE=$E836),0))</f>
        <v>KERO_FA4</v>
      </c>
      <c r="Y836" s="153" t="str">
        <f t="array" ref="Y836">INDEX(xlRTTYNAME,MATCH(1,(xlRTTYENDU=2)*(xlRTTYEQCL=$F836)*(xlRTEQTYPE=$G836),0))</f>
        <v>CENT_AIR4</v>
      </c>
    </row>
    <row r="837" spans="1:25" s="157" customFormat="1" x14ac:dyDescent="0.2">
      <c r="A837"/>
      <c r="B837" s="129">
        <v>5</v>
      </c>
      <c r="C837" s="129">
        <v>1</v>
      </c>
      <c r="D837" s="129">
        <v>5</v>
      </c>
      <c r="E837" s="129">
        <v>17</v>
      </c>
      <c r="F837" s="129">
        <v>2</v>
      </c>
      <c r="G837" s="129">
        <v>8</v>
      </c>
      <c r="H837" s="38">
        <v>2033</v>
      </c>
      <c r="I837" s="129">
        <v>2050</v>
      </c>
      <c r="J837" s="130">
        <v>1.0847</v>
      </c>
      <c r="K837" s="130">
        <v>1.056</v>
      </c>
      <c r="L837" s="130">
        <v>0.32740000000000002</v>
      </c>
      <c r="M837" s="130">
        <v>0.73150000000000004</v>
      </c>
      <c r="N837" s="130">
        <v>0.76280000000000003</v>
      </c>
      <c r="O837" s="130">
        <v>1.0538000000000001</v>
      </c>
      <c r="P837" s="129">
        <v>11579</v>
      </c>
      <c r="Q837" s="128">
        <f t="array" ref="Q837">SUM(IF(($S837&gt;=4)*($C837='TaxCred&amp;Subs'!$D$123:$D$127)*($H837='TaxCred&amp;Subs'!$C$123:$C$127)*($H837&lt;='TaxCred&amp;Subs'!$C$129),'TaxCred&amp;Subs'!$E$123:$E$127,0))</f>
        <v>0</v>
      </c>
      <c r="R837" s="174">
        <v>0</v>
      </c>
      <c r="S837" s="129">
        <v>5</v>
      </c>
      <c r="T837" s="129" t="s">
        <v>225</v>
      </c>
      <c r="U837" s="155" t="s">
        <v>235</v>
      </c>
      <c r="V837" s="153" t="str">
        <f t="array" ref="V837">INDEX(xlRTCLNAME,MATCH(1,(xlRTCLENDU=1)*(xlRTCLEQCL=$D837),0))</f>
        <v>KERO_FA</v>
      </c>
      <c r="W837" s="153" t="str">
        <f t="array" ref="W837">INDEX(xlRTCLNAME,MATCH(1,(xlRTCLENDU=2)*(xlRTCLEQCL=$F837),0))</f>
        <v>CENT_AIR</v>
      </c>
      <c r="X837" s="153" t="str">
        <f t="array" ref="X837">INDEX(xlRTTYNAME,MATCH(1,(xlRTTYENDU=1)*(xlRTTYEQCL=$D837)*(xlRTEQTYPE=$E837),0))</f>
        <v>KERO_FA4</v>
      </c>
      <c r="Y837" s="153" t="str">
        <f t="array" ref="Y837">INDEX(xlRTTYNAME,MATCH(1,(xlRTTYENDU=2)*(xlRTTYEQCL=$F837)*(xlRTEQTYPE=$G837),0))</f>
        <v>CENT_AIR4</v>
      </c>
    </row>
    <row r="838" spans="1:25" s="157" customFormat="1" x14ac:dyDescent="0.2">
      <c r="A838"/>
      <c r="B838" s="129">
        <v>6</v>
      </c>
      <c r="C838" s="129">
        <v>1</v>
      </c>
      <c r="D838" s="129">
        <v>5</v>
      </c>
      <c r="E838" s="129">
        <v>17</v>
      </c>
      <c r="F838" s="129">
        <v>2</v>
      </c>
      <c r="G838" s="129">
        <v>8</v>
      </c>
      <c r="H838" s="129">
        <v>2016</v>
      </c>
      <c r="I838" s="38">
        <v>2022</v>
      </c>
      <c r="J838" s="130">
        <v>1.0907</v>
      </c>
      <c r="K838" s="130">
        <v>1.0603</v>
      </c>
      <c r="L838" s="130">
        <v>0.41909999999999997</v>
      </c>
      <c r="M838" s="130">
        <v>0.76590000000000003</v>
      </c>
      <c r="N838" s="130">
        <v>0.89139999999999997</v>
      </c>
      <c r="O838" s="130">
        <v>1.0538000000000001</v>
      </c>
      <c r="P838" s="129">
        <v>11441</v>
      </c>
      <c r="Q838" s="128">
        <f t="array" ref="Q838">SUM(IF(($S838&gt;=4)*($C838='TaxCred&amp;Subs'!$D$123:$D$127)*($H838='TaxCred&amp;Subs'!$C$123:$C$127)*($H838&lt;='TaxCred&amp;Subs'!$C$129),'TaxCred&amp;Subs'!$E$123:$E$127,0))</f>
        <v>2000</v>
      </c>
      <c r="R838" s="174">
        <v>0</v>
      </c>
      <c r="S838" s="129">
        <v>5</v>
      </c>
      <c r="T838" s="129" t="s">
        <v>225</v>
      </c>
      <c r="U838" s="155" t="s">
        <v>235</v>
      </c>
      <c r="V838" s="153" t="str">
        <f t="array" ref="V838">INDEX(xlRTCLNAME,MATCH(1,(xlRTCLENDU=1)*(xlRTCLEQCL=$D838),0))</f>
        <v>KERO_FA</v>
      </c>
      <c r="W838" s="153" t="str">
        <f t="array" ref="W838">INDEX(xlRTCLNAME,MATCH(1,(xlRTCLENDU=2)*(xlRTCLEQCL=$F838),0))</f>
        <v>CENT_AIR</v>
      </c>
      <c r="X838" s="153" t="str">
        <f t="array" ref="X838">INDEX(xlRTTYNAME,MATCH(1,(xlRTTYENDU=1)*(xlRTTYEQCL=$D838)*(xlRTEQTYPE=$E838),0))</f>
        <v>KERO_FA4</v>
      </c>
      <c r="Y838" s="153" t="str">
        <f t="array" ref="Y838">INDEX(xlRTTYNAME,MATCH(1,(xlRTTYENDU=2)*(xlRTTYEQCL=$F838)*(xlRTEQTYPE=$G838),0))</f>
        <v>CENT_AIR4</v>
      </c>
    </row>
    <row r="839" spans="1:25" s="157" customFormat="1" x14ac:dyDescent="0.2">
      <c r="A839"/>
      <c r="B839" s="131">
        <v>6</v>
      </c>
      <c r="C839" s="131">
        <v>1</v>
      </c>
      <c r="D839" s="131">
        <v>5</v>
      </c>
      <c r="E839" s="131">
        <v>17</v>
      </c>
      <c r="F839" s="131">
        <v>2</v>
      </c>
      <c r="G839" s="131">
        <v>8</v>
      </c>
      <c r="H839" s="131">
        <v>2023</v>
      </c>
      <c r="I839" s="131">
        <v>2032</v>
      </c>
      <c r="J839" s="132">
        <v>1.0907</v>
      </c>
      <c r="K839" s="132">
        <v>1.0603</v>
      </c>
      <c r="L839" s="132">
        <v>0.41909999999999997</v>
      </c>
      <c r="M839" s="132">
        <v>0.76590000000000003</v>
      </c>
      <c r="N839" s="132">
        <v>0.89139999999999997</v>
      </c>
      <c r="O839" s="132">
        <v>1.0538000000000001</v>
      </c>
      <c r="P839" s="131">
        <v>11441</v>
      </c>
      <c r="Q839" s="51">
        <f t="array" ref="Q839">SUM(IF(($S839&gt;=4)*($C839='TaxCred&amp;Subs'!$D$123:$D$127)*($H839='TaxCred&amp;Subs'!$C$123:$C$127)*($H839&lt;='TaxCred&amp;Subs'!$C$129),'TaxCred&amp;Subs'!$E$123:$E$127,0))</f>
        <v>2500</v>
      </c>
      <c r="R839" s="171">
        <v>0</v>
      </c>
      <c r="S839" s="131">
        <v>5</v>
      </c>
      <c r="T839" s="131" t="s">
        <v>225</v>
      </c>
      <c r="U839" s="155" t="s">
        <v>235</v>
      </c>
      <c r="V839" s="153" t="str">
        <f t="array" ref="V839">INDEX(xlRTCLNAME,MATCH(1,(xlRTCLENDU=1)*(xlRTCLEQCL=$D839),0))</f>
        <v>KERO_FA</v>
      </c>
      <c r="W839" s="153" t="str">
        <f t="array" ref="W839">INDEX(xlRTCLNAME,MATCH(1,(xlRTCLENDU=2)*(xlRTCLEQCL=$F839),0))</f>
        <v>CENT_AIR</v>
      </c>
      <c r="X839" s="153" t="str">
        <f t="array" ref="X839">INDEX(xlRTTYNAME,MATCH(1,(xlRTTYENDU=1)*(xlRTTYEQCL=$D839)*(xlRTEQTYPE=$E839),0))</f>
        <v>KERO_FA4</v>
      </c>
      <c r="Y839" s="153" t="str">
        <f t="array" ref="Y839">INDEX(xlRTTYNAME,MATCH(1,(xlRTTYENDU=2)*(xlRTTYEQCL=$F839)*(xlRTEQTYPE=$G839),0))</f>
        <v>CENT_AIR4</v>
      </c>
    </row>
    <row r="840" spans="1:25" s="157" customFormat="1" x14ac:dyDescent="0.2">
      <c r="A840"/>
      <c r="B840" s="129">
        <v>6</v>
      </c>
      <c r="C840" s="129">
        <v>1</v>
      </c>
      <c r="D840" s="129">
        <v>5</v>
      </c>
      <c r="E840" s="129">
        <v>17</v>
      </c>
      <c r="F840" s="129">
        <v>2</v>
      </c>
      <c r="G840" s="129">
        <v>8</v>
      </c>
      <c r="H840" s="38">
        <v>2033</v>
      </c>
      <c r="I840" s="129">
        <v>2050</v>
      </c>
      <c r="J840" s="130">
        <v>1.0907</v>
      </c>
      <c r="K840" s="130">
        <v>1.0603</v>
      </c>
      <c r="L840" s="130">
        <v>0.41909999999999997</v>
      </c>
      <c r="M840" s="130">
        <v>0.76590000000000003</v>
      </c>
      <c r="N840" s="130">
        <v>0.89139999999999997</v>
      </c>
      <c r="O840" s="130">
        <v>1.0538000000000001</v>
      </c>
      <c r="P840" s="129">
        <v>11441</v>
      </c>
      <c r="Q840" s="128">
        <f t="array" ref="Q840">SUM(IF(($S840&gt;=4)*($C840='TaxCred&amp;Subs'!$D$123:$D$127)*($H840='TaxCred&amp;Subs'!$C$123:$C$127)*($H840&lt;='TaxCred&amp;Subs'!$C$129),'TaxCred&amp;Subs'!$E$123:$E$127,0))</f>
        <v>0</v>
      </c>
      <c r="R840" s="174">
        <v>0</v>
      </c>
      <c r="S840" s="129">
        <v>5</v>
      </c>
      <c r="T840" s="129" t="s">
        <v>225</v>
      </c>
      <c r="U840" s="155" t="s">
        <v>235</v>
      </c>
      <c r="V840" s="153" t="str">
        <f t="array" ref="V840">INDEX(xlRTCLNAME,MATCH(1,(xlRTCLENDU=1)*(xlRTCLEQCL=$D840),0))</f>
        <v>KERO_FA</v>
      </c>
      <c r="W840" s="153" t="str">
        <f t="array" ref="W840">INDEX(xlRTCLNAME,MATCH(1,(xlRTCLENDU=2)*(xlRTCLEQCL=$F840),0))</f>
        <v>CENT_AIR</v>
      </c>
      <c r="X840" s="153" t="str">
        <f t="array" ref="X840">INDEX(xlRTTYNAME,MATCH(1,(xlRTTYENDU=1)*(xlRTTYEQCL=$D840)*(xlRTEQTYPE=$E840),0))</f>
        <v>KERO_FA4</v>
      </c>
      <c r="Y840" s="153" t="str">
        <f t="array" ref="Y840">INDEX(xlRTTYNAME,MATCH(1,(xlRTTYENDU=2)*(xlRTTYEQCL=$F840)*(xlRTEQTYPE=$G840),0))</f>
        <v>CENT_AIR4</v>
      </c>
    </row>
    <row r="841" spans="1:25" s="157" customFormat="1" x14ac:dyDescent="0.2">
      <c r="A841"/>
      <c r="B841" s="129">
        <v>7</v>
      </c>
      <c r="C841" s="129">
        <v>1</v>
      </c>
      <c r="D841" s="129">
        <v>5</v>
      </c>
      <c r="E841" s="129">
        <v>17</v>
      </c>
      <c r="F841" s="129">
        <v>2</v>
      </c>
      <c r="G841" s="129">
        <v>8</v>
      </c>
      <c r="H841" s="129">
        <v>2016</v>
      </c>
      <c r="I841" s="38">
        <v>2022</v>
      </c>
      <c r="J841" s="130">
        <v>1.0885</v>
      </c>
      <c r="K841" s="130">
        <v>1.0575000000000001</v>
      </c>
      <c r="L841" s="130">
        <v>0.37530000000000002</v>
      </c>
      <c r="M841" s="130">
        <v>0.65339999999999998</v>
      </c>
      <c r="N841" s="130">
        <v>0.872</v>
      </c>
      <c r="O841" s="130">
        <v>1.0538000000000001</v>
      </c>
      <c r="P841" s="129">
        <v>11603</v>
      </c>
      <c r="Q841" s="128">
        <f t="array" ref="Q841">SUM(IF(($S841&gt;=4)*($C841='TaxCred&amp;Subs'!$D$123:$D$127)*($H841='TaxCred&amp;Subs'!$C$123:$C$127)*($H841&lt;='TaxCred&amp;Subs'!$C$129),'TaxCred&amp;Subs'!$E$123:$E$127,0))</f>
        <v>2000</v>
      </c>
      <c r="R841" s="174">
        <v>0</v>
      </c>
      <c r="S841" s="129">
        <v>5</v>
      </c>
      <c r="T841" s="129" t="s">
        <v>225</v>
      </c>
      <c r="U841" s="155" t="s">
        <v>235</v>
      </c>
      <c r="V841" s="153" t="str">
        <f t="array" ref="V841">INDEX(xlRTCLNAME,MATCH(1,(xlRTCLENDU=1)*(xlRTCLEQCL=$D841),0))</f>
        <v>KERO_FA</v>
      </c>
      <c r="W841" s="153" t="str">
        <f t="array" ref="W841">INDEX(xlRTCLNAME,MATCH(1,(xlRTCLENDU=2)*(xlRTCLEQCL=$F841),0))</f>
        <v>CENT_AIR</v>
      </c>
      <c r="X841" s="153" t="str">
        <f t="array" ref="X841">INDEX(xlRTTYNAME,MATCH(1,(xlRTTYENDU=1)*(xlRTTYEQCL=$D841)*(xlRTEQTYPE=$E841),0))</f>
        <v>KERO_FA4</v>
      </c>
      <c r="Y841" s="153" t="str">
        <f t="array" ref="Y841">INDEX(xlRTTYNAME,MATCH(1,(xlRTTYENDU=2)*(xlRTTYEQCL=$F841)*(xlRTEQTYPE=$G841),0))</f>
        <v>CENT_AIR4</v>
      </c>
    </row>
    <row r="842" spans="1:25" s="157" customFormat="1" x14ac:dyDescent="0.2">
      <c r="A842"/>
      <c r="B842" s="131">
        <v>7</v>
      </c>
      <c r="C842" s="131">
        <v>1</v>
      </c>
      <c r="D842" s="131">
        <v>5</v>
      </c>
      <c r="E842" s="131">
        <v>17</v>
      </c>
      <c r="F842" s="131">
        <v>2</v>
      </c>
      <c r="G842" s="131">
        <v>8</v>
      </c>
      <c r="H842" s="131">
        <v>2023</v>
      </c>
      <c r="I842" s="131">
        <v>2032</v>
      </c>
      <c r="J842" s="132">
        <v>1.0885</v>
      </c>
      <c r="K842" s="132">
        <v>1.0575000000000001</v>
      </c>
      <c r="L842" s="132">
        <v>0.37530000000000002</v>
      </c>
      <c r="M842" s="132">
        <v>0.65339999999999998</v>
      </c>
      <c r="N842" s="132">
        <v>0.872</v>
      </c>
      <c r="O842" s="132">
        <v>1.0538000000000001</v>
      </c>
      <c r="P842" s="131">
        <v>11603</v>
      </c>
      <c r="Q842" s="51">
        <f t="array" ref="Q842">SUM(IF(($S842&gt;=4)*($C842='TaxCred&amp;Subs'!$D$123:$D$127)*($H842='TaxCred&amp;Subs'!$C$123:$C$127)*($H842&lt;='TaxCred&amp;Subs'!$C$129),'TaxCred&amp;Subs'!$E$123:$E$127,0))</f>
        <v>2500</v>
      </c>
      <c r="R842" s="171">
        <v>0</v>
      </c>
      <c r="S842" s="131">
        <v>5</v>
      </c>
      <c r="T842" s="131" t="s">
        <v>225</v>
      </c>
      <c r="U842" s="155" t="s">
        <v>235</v>
      </c>
      <c r="V842" s="153" t="str">
        <f t="array" ref="V842">INDEX(xlRTCLNAME,MATCH(1,(xlRTCLENDU=1)*(xlRTCLEQCL=$D842),0))</f>
        <v>KERO_FA</v>
      </c>
      <c r="W842" s="153" t="str">
        <f t="array" ref="W842">INDEX(xlRTCLNAME,MATCH(1,(xlRTCLENDU=2)*(xlRTCLEQCL=$F842),0))</f>
        <v>CENT_AIR</v>
      </c>
      <c r="X842" s="153" t="str">
        <f t="array" ref="X842">INDEX(xlRTTYNAME,MATCH(1,(xlRTTYENDU=1)*(xlRTTYEQCL=$D842)*(xlRTEQTYPE=$E842),0))</f>
        <v>KERO_FA4</v>
      </c>
      <c r="Y842" s="153" t="str">
        <f t="array" ref="Y842">INDEX(xlRTTYNAME,MATCH(1,(xlRTTYENDU=2)*(xlRTTYEQCL=$F842)*(xlRTEQTYPE=$G842),0))</f>
        <v>CENT_AIR4</v>
      </c>
    </row>
    <row r="843" spans="1:25" s="157" customFormat="1" x14ac:dyDescent="0.2">
      <c r="A843"/>
      <c r="B843" s="129">
        <v>7</v>
      </c>
      <c r="C843" s="129">
        <v>1</v>
      </c>
      <c r="D843" s="129">
        <v>5</v>
      </c>
      <c r="E843" s="129">
        <v>17</v>
      </c>
      <c r="F843" s="129">
        <v>2</v>
      </c>
      <c r="G843" s="129">
        <v>8</v>
      </c>
      <c r="H843" s="38">
        <v>2033</v>
      </c>
      <c r="I843" s="129">
        <v>2050</v>
      </c>
      <c r="J843" s="130">
        <v>1.0885</v>
      </c>
      <c r="K843" s="130">
        <v>1.0575000000000001</v>
      </c>
      <c r="L843" s="130">
        <v>0.37530000000000002</v>
      </c>
      <c r="M843" s="130">
        <v>0.65339999999999998</v>
      </c>
      <c r="N843" s="130">
        <v>0.872</v>
      </c>
      <c r="O843" s="130">
        <v>1.0538000000000001</v>
      </c>
      <c r="P843" s="129">
        <v>11603</v>
      </c>
      <c r="Q843" s="128">
        <f t="array" ref="Q843">SUM(IF(($S843&gt;=4)*($C843='TaxCred&amp;Subs'!$D$123:$D$127)*($H843='TaxCred&amp;Subs'!$C$123:$C$127)*($H843&lt;='TaxCred&amp;Subs'!$C$129),'TaxCred&amp;Subs'!$E$123:$E$127,0))</f>
        <v>0</v>
      </c>
      <c r="R843" s="174">
        <v>0</v>
      </c>
      <c r="S843" s="129">
        <v>5</v>
      </c>
      <c r="T843" s="129" t="s">
        <v>225</v>
      </c>
      <c r="U843" s="155" t="s">
        <v>235</v>
      </c>
      <c r="V843" s="153" t="str">
        <f t="array" ref="V843">INDEX(xlRTCLNAME,MATCH(1,(xlRTCLENDU=1)*(xlRTCLEQCL=$D843),0))</f>
        <v>KERO_FA</v>
      </c>
      <c r="W843" s="153" t="str">
        <f t="array" ref="W843">INDEX(xlRTCLNAME,MATCH(1,(xlRTCLENDU=2)*(xlRTCLEQCL=$F843),0))</f>
        <v>CENT_AIR</v>
      </c>
      <c r="X843" s="153" t="str">
        <f t="array" ref="X843">INDEX(xlRTTYNAME,MATCH(1,(xlRTTYENDU=1)*(xlRTTYEQCL=$D843)*(xlRTEQTYPE=$E843),0))</f>
        <v>KERO_FA4</v>
      </c>
      <c r="Y843" s="153" t="str">
        <f t="array" ref="Y843">INDEX(xlRTTYNAME,MATCH(1,(xlRTTYENDU=2)*(xlRTTYEQCL=$F843)*(xlRTEQTYPE=$G843),0))</f>
        <v>CENT_AIR4</v>
      </c>
    </row>
    <row r="844" spans="1:25" s="157" customFormat="1" x14ac:dyDescent="0.2">
      <c r="A844"/>
      <c r="B844" s="129">
        <v>8</v>
      </c>
      <c r="C844" s="129">
        <v>1</v>
      </c>
      <c r="D844" s="129">
        <v>5</v>
      </c>
      <c r="E844" s="129">
        <v>17</v>
      </c>
      <c r="F844" s="129">
        <v>2</v>
      </c>
      <c r="G844" s="129">
        <v>8</v>
      </c>
      <c r="H844" s="129">
        <v>2016</v>
      </c>
      <c r="I844" s="38">
        <v>2022</v>
      </c>
      <c r="J844" s="130">
        <v>1.0838000000000001</v>
      </c>
      <c r="K844" s="130">
        <v>1.0832999999999999</v>
      </c>
      <c r="L844" s="130">
        <v>0.43130000000000002</v>
      </c>
      <c r="M844" s="130">
        <v>0.78110000000000002</v>
      </c>
      <c r="N844" s="130">
        <v>0.86950000000000005</v>
      </c>
      <c r="O844" s="130">
        <v>1.0538000000000001</v>
      </c>
      <c r="P844" s="129">
        <v>12094</v>
      </c>
      <c r="Q844" s="128">
        <f t="array" ref="Q844">SUM(IF(($S844&gt;=4)*($C844='TaxCred&amp;Subs'!$D$123:$D$127)*($H844='TaxCred&amp;Subs'!$C$123:$C$127)*($H844&lt;='TaxCred&amp;Subs'!$C$129),'TaxCred&amp;Subs'!$E$123:$E$127,0))</f>
        <v>2000</v>
      </c>
      <c r="R844" s="174">
        <v>0</v>
      </c>
      <c r="S844" s="129">
        <v>5</v>
      </c>
      <c r="T844" s="129" t="s">
        <v>225</v>
      </c>
      <c r="U844" s="155" t="s">
        <v>235</v>
      </c>
      <c r="V844" s="153" t="str">
        <f t="array" ref="V844">INDEX(xlRTCLNAME,MATCH(1,(xlRTCLENDU=1)*(xlRTCLEQCL=$D844),0))</f>
        <v>KERO_FA</v>
      </c>
      <c r="W844" s="153" t="str">
        <f t="array" ref="W844">INDEX(xlRTCLNAME,MATCH(1,(xlRTCLENDU=2)*(xlRTCLEQCL=$F844),0))</f>
        <v>CENT_AIR</v>
      </c>
      <c r="X844" s="153" t="str">
        <f t="array" ref="X844">INDEX(xlRTTYNAME,MATCH(1,(xlRTTYENDU=1)*(xlRTTYEQCL=$D844)*(xlRTEQTYPE=$E844),0))</f>
        <v>KERO_FA4</v>
      </c>
      <c r="Y844" s="153" t="str">
        <f t="array" ref="Y844">INDEX(xlRTTYNAME,MATCH(1,(xlRTTYENDU=2)*(xlRTTYEQCL=$F844)*(xlRTEQTYPE=$G844),0))</f>
        <v>CENT_AIR4</v>
      </c>
    </row>
    <row r="845" spans="1:25" s="157" customFormat="1" x14ac:dyDescent="0.2">
      <c r="A845"/>
      <c r="B845" s="131">
        <v>8</v>
      </c>
      <c r="C845" s="131">
        <v>1</v>
      </c>
      <c r="D845" s="131">
        <v>5</v>
      </c>
      <c r="E845" s="131">
        <v>17</v>
      </c>
      <c r="F845" s="131">
        <v>2</v>
      </c>
      <c r="G845" s="131">
        <v>8</v>
      </c>
      <c r="H845" s="131">
        <v>2023</v>
      </c>
      <c r="I845" s="131">
        <v>2032</v>
      </c>
      <c r="J845" s="132">
        <v>1.0838000000000001</v>
      </c>
      <c r="K845" s="132">
        <v>1.0832999999999999</v>
      </c>
      <c r="L845" s="132">
        <v>0.43130000000000002</v>
      </c>
      <c r="M845" s="132">
        <v>0.78110000000000002</v>
      </c>
      <c r="N845" s="132">
        <v>0.86950000000000005</v>
      </c>
      <c r="O845" s="132">
        <v>1.0538000000000001</v>
      </c>
      <c r="P845" s="131">
        <v>12094</v>
      </c>
      <c r="Q845" s="51">
        <f t="array" ref="Q845">SUM(IF(($S845&gt;=4)*($C845='TaxCred&amp;Subs'!$D$123:$D$127)*($H845='TaxCred&amp;Subs'!$C$123:$C$127)*($H845&lt;='TaxCred&amp;Subs'!$C$129),'TaxCred&amp;Subs'!$E$123:$E$127,0))</f>
        <v>2500</v>
      </c>
      <c r="R845" s="171">
        <v>0</v>
      </c>
      <c r="S845" s="131">
        <v>5</v>
      </c>
      <c r="T845" s="131" t="s">
        <v>225</v>
      </c>
      <c r="U845" s="155" t="s">
        <v>235</v>
      </c>
      <c r="V845" s="153" t="str">
        <f t="array" ref="V845">INDEX(xlRTCLNAME,MATCH(1,(xlRTCLENDU=1)*(xlRTCLEQCL=$D845),0))</f>
        <v>KERO_FA</v>
      </c>
      <c r="W845" s="153" t="str">
        <f t="array" ref="W845">INDEX(xlRTCLNAME,MATCH(1,(xlRTCLENDU=2)*(xlRTCLEQCL=$F845),0))</f>
        <v>CENT_AIR</v>
      </c>
      <c r="X845" s="153" t="str">
        <f t="array" ref="X845">INDEX(xlRTTYNAME,MATCH(1,(xlRTTYENDU=1)*(xlRTTYEQCL=$D845)*(xlRTEQTYPE=$E845),0))</f>
        <v>KERO_FA4</v>
      </c>
      <c r="Y845" s="153" t="str">
        <f t="array" ref="Y845">INDEX(xlRTTYNAME,MATCH(1,(xlRTTYENDU=2)*(xlRTTYEQCL=$F845)*(xlRTEQTYPE=$G845),0))</f>
        <v>CENT_AIR4</v>
      </c>
    </row>
    <row r="846" spans="1:25" s="157" customFormat="1" x14ac:dyDescent="0.2">
      <c r="A846"/>
      <c r="B846" s="129">
        <v>8</v>
      </c>
      <c r="C846" s="129">
        <v>1</v>
      </c>
      <c r="D846" s="129">
        <v>5</v>
      </c>
      <c r="E846" s="129">
        <v>17</v>
      </c>
      <c r="F846" s="129">
        <v>2</v>
      </c>
      <c r="G846" s="129">
        <v>8</v>
      </c>
      <c r="H846" s="38">
        <v>2033</v>
      </c>
      <c r="I846" s="129">
        <v>2050</v>
      </c>
      <c r="J846" s="130">
        <v>1.0838000000000001</v>
      </c>
      <c r="K846" s="130">
        <v>1.0832999999999999</v>
      </c>
      <c r="L846" s="130">
        <v>0.43130000000000002</v>
      </c>
      <c r="M846" s="130">
        <v>0.78110000000000002</v>
      </c>
      <c r="N846" s="130">
        <v>0.86950000000000005</v>
      </c>
      <c r="O846" s="130">
        <v>1.0538000000000001</v>
      </c>
      <c r="P846" s="129">
        <v>12094</v>
      </c>
      <c r="Q846" s="128">
        <f t="array" ref="Q846">SUM(IF(($S846&gt;=4)*($C846='TaxCred&amp;Subs'!$D$123:$D$127)*($H846='TaxCred&amp;Subs'!$C$123:$C$127)*($H846&lt;='TaxCred&amp;Subs'!$C$129),'TaxCred&amp;Subs'!$E$123:$E$127,0))</f>
        <v>0</v>
      </c>
      <c r="R846" s="174">
        <v>0</v>
      </c>
      <c r="S846" s="129">
        <v>5</v>
      </c>
      <c r="T846" s="129" t="s">
        <v>225</v>
      </c>
      <c r="U846" s="155" t="s">
        <v>235</v>
      </c>
      <c r="V846" s="153" t="str">
        <f t="array" ref="V846">INDEX(xlRTCLNAME,MATCH(1,(xlRTCLENDU=1)*(xlRTCLEQCL=$D846),0))</f>
        <v>KERO_FA</v>
      </c>
      <c r="W846" s="153" t="str">
        <f t="array" ref="W846">INDEX(xlRTCLNAME,MATCH(1,(xlRTCLENDU=2)*(xlRTCLEQCL=$F846),0))</f>
        <v>CENT_AIR</v>
      </c>
      <c r="X846" s="153" t="str">
        <f t="array" ref="X846">INDEX(xlRTTYNAME,MATCH(1,(xlRTTYENDU=1)*(xlRTTYEQCL=$D846)*(xlRTEQTYPE=$E846),0))</f>
        <v>KERO_FA4</v>
      </c>
      <c r="Y846" s="153" t="str">
        <f t="array" ref="Y846">INDEX(xlRTTYNAME,MATCH(1,(xlRTTYENDU=2)*(xlRTTYEQCL=$F846)*(xlRTEQTYPE=$G846),0))</f>
        <v>CENT_AIR4</v>
      </c>
    </row>
    <row r="847" spans="1:25" s="157" customFormat="1" x14ac:dyDescent="0.2">
      <c r="A847"/>
      <c r="B847" s="129">
        <v>9</v>
      </c>
      <c r="C847" s="129">
        <v>1</v>
      </c>
      <c r="D847" s="129">
        <v>5</v>
      </c>
      <c r="E847" s="129">
        <v>17</v>
      </c>
      <c r="F847" s="129">
        <v>2</v>
      </c>
      <c r="G847" s="129">
        <v>8</v>
      </c>
      <c r="H847" s="129">
        <v>2016</v>
      </c>
      <c r="I847" s="38">
        <v>2022</v>
      </c>
      <c r="J847" s="130">
        <v>1.0790999999999999</v>
      </c>
      <c r="K847" s="130">
        <v>1.0722</v>
      </c>
      <c r="L847" s="130">
        <v>0.39839999999999998</v>
      </c>
      <c r="M847" s="130">
        <v>0.76029999999999998</v>
      </c>
      <c r="N847" s="130">
        <v>1.0336000000000001</v>
      </c>
      <c r="O847" s="130">
        <v>1.0538000000000001</v>
      </c>
      <c r="P847" s="129">
        <v>14738</v>
      </c>
      <c r="Q847" s="128">
        <f t="array" ref="Q847">SUM(IF(($S847&gt;=4)*($C847='TaxCred&amp;Subs'!$D$123:$D$127)*($H847='TaxCred&amp;Subs'!$C$123:$C$127)*($H847&lt;='TaxCred&amp;Subs'!$C$129),'TaxCred&amp;Subs'!$E$123:$E$127,0))</f>
        <v>2000</v>
      </c>
      <c r="R847" s="174">
        <v>0</v>
      </c>
      <c r="S847" s="129">
        <v>5</v>
      </c>
      <c r="T847" s="129" t="s">
        <v>225</v>
      </c>
      <c r="U847" s="155" t="s">
        <v>235</v>
      </c>
      <c r="V847" s="153" t="str">
        <f t="array" ref="V847">INDEX(xlRTCLNAME,MATCH(1,(xlRTCLENDU=1)*(xlRTCLEQCL=$D847),0))</f>
        <v>KERO_FA</v>
      </c>
      <c r="W847" s="153" t="str">
        <f t="array" ref="W847">INDEX(xlRTCLNAME,MATCH(1,(xlRTCLENDU=2)*(xlRTCLEQCL=$F847),0))</f>
        <v>CENT_AIR</v>
      </c>
      <c r="X847" s="153" t="str">
        <f t="array" ref="X847">INDEX(xlRTTYNAME,MATCH(1,(xlRTTYENDU=1)*(xlRTTYEQCL=$D847)*(xlRTEQTYPE=$E847),0))</f>
        <v>KERO_FA4</v>
      </c>
      <c r="Y847" s="153" t="str">
        <f t="array" ref="Y847">INDEX(xlRTTYNAME,MATCH(1,(xlRTTYENDU=2)*(xlRTTYEQCL=$F847)*(xlRTEQTYPE=$G847),0))</f>
        <v>CENT_AIR4</v>
      </c>
    </row>
    <row r="848" spans="1:25" s="157" customFormat="1" x14ac:dyDescent="0.2">
      <c r="A848"/>
      <c r="B848" s="131">
        <v>9</v>
      </c>
      <c r="C848" s="131">
        <v>1</v>
      </c>
      <c r="D848" s="131">
        <v>5</v>
      </c>
      <c r="E848" s="131">
        <v>17</v>
      </c>
      <c r="F848" s="131">
        <v>2</v>
      </c>
      <c r="G848" s="131">
        <v>8</v>
      </c>
      <c r="H848" s="131">
        <v>2023</v>
      </c>
      <c r="I848" s="131">
        <v>2032</v>
      </c>
      <c r="J848" s="132">
        <v>1.0790999999999999</v>
      </c>
      <c r="K848" s="132">
        <v>1.0722</v>
      </c>
      <c r="L848" s="132">
        <v>0.39839999999999998</v>
      </c>
      <c r="M848" s="132">
        <v>0.76029999999999998</v>
      </c>
      <c r="N848" s="132">
        <v>1.0336000000000001</v>
      </c>
      <c r="O848" s="132">
        <v>1.0538000000000001</v>
      </c>
      <c r="P848" s="131">
        <v>14738</v>
      </c>
      <c r="Q848" s="51">
        <f t="array" ref="Q848">SUM(IF(($S848&gt;=4)*($C848='TaxCred&amp;Subs'!$D$123:$D$127)*($H848='TaxCred&amp;Subs'!$C$123:$C$127)*($H848&lt;='TaxCred&amp;Subs'!$C$129),'TaxCred&amp;Subs'!$E$123:$E$127,0))</f>
        <v>2500</v>
      </c>
      <c r="R848" s="171">
        <v>0</v>
      </c>
      <c r="S848" s="131">
        <v>5</v>
      </c>
      <c r="T848" s="131" t="s">
        <v>225</v>
      </c>
      <c r="U848" s="155" t="s">
        <v>235</v>
      </c>
      <c r="V848" s="153" t="str">
        <f t="array" ref="V848">INDEX(xlRTCLNAME,MATCH(1,(xlRTCLENDU=1)*(xlRTCLEQCL=$D848),0))</f>
        <v>KERO_FA</v>
      </c>
      <c r="W848" s="153" t="str">
        <f t="array" ref="W848">INDEX(xlRTCLNAME,MATCH(1,(xlRTCLENDU=2)*(xlRTCLEQCL=$F848),0))</f>
        <v>CENT_AIR</v>
      </c>
      <c r="X848" s="153" t="str">
        <f t="array" ref="X848">INDEX(xlRTTYNAME,MATCH(1,(xlRTTYENDU=1)*(xlRTTYEQCL=$D848)*(xlRTEQTYPE=$E848),0))</f>
        <v>KERO_FA4</v>
      </c>
      <c r="Y848" s="153" t="str">
        <f t="array" ref="Y848">INDEX(xlRTTYNAME,MATCH(1,(xlRTTYENDU=2)*(xlRTTYEQCL=$F848)*(xlRTEQTYPE=$G848),0))</f>
        <v>CENT_AIR4</v>
      </c>
    </row>
    <row r="849" spans="1:25" s="157" customFormat="1" x14ac:dyDescent="0.2">
      <c r="A849"/>
      <c r="B849" s="129">
        <v>9</v>
      </c>
      <c r="C849" s="129">
        <v>1</v>
      </c>
      <c r="D849" s="129">
        <v>5</v>
      </c>
      <c r="E849" s="129">
        <v>17</v>
      </c>
      <c r="F849" s="129">
        <v>2</v>
      </c>
      <c r="G849" s="129">
        <v>8</v>
      </c>
      <c r="H849" s="38">
        <v>2033</v>
      </c>
      <c r="I849" s="129">
        <v>2050</v>
      </c>
      <c r="J849" s="130">
        <v>1.0790999999999999</v>
      </c>
      <c r="K849" s="130">
        <v>1.0722</v>
      </c>
      <c r="L849" s="130">
        <v>0.39839999999999998</v>
      </c>
      <c r="M849" s="130">
        <v>0.76029999999999998</v>
      </c>
      <c r="N849" s="130">
        <v>1.0336000000000001</v>
      </c>
      <c r="O849" s="130">
        <v>1.0538000000000001</v>
      </c>
      <c r="P849" s="129">
        <v>14738</v>
      </c>
      <c r="Q849" s="128">
        <f t="array" ref="Q849">SUM(IF(($S849&gt;=4)*($C849='TaxCred&amp;Subs'!$D$123:$D$127)*($H849='TaxCred&amp;Subs'!$C$123:$C$127)*($H849&lt;='TaxCred&amp;Subs'!$C$129),'TaxCred&amp;Subs'!$E$123:$E$127,0))</f>
        <v>0</v>
      </c>
      <c r="R849" s="174">
        <v>0</v>
      </c>
      <c r="S849" s="129">
        <v>5</v>
      </c>
      <c r="T849" s="129" t="s">
        <v>225</v>
      </c>
      <c r="U849" s="155" t="s">
        <v>235</v>
      </c>
      <c r="V849" s="153" t="str">
        <f t="array" ref="V849">INDEX(xlRTCLNAME,MATCH(1,(xlRTCLENDU=1)*(xlRTCLEQCL=$D849),0))</f>
        <v>KERO_FA</v>
      </c>
      <c r="W849" s="153" t="str">
        <f t="array" ref="W849">INDEX(xlRTCLNAME,MATCH(1,(xlRTCLENDU=2)*(xlRTCLEQCL=$F849),0))</f>
        <v>CENT_AIR</v>
      </c>
      <c r="X849" s="153" t="str">
        <f t="array" ref="X849">INDEX(xlRTTYNAME,MATCH(1,(xlRTTYENDU=1)*(xlRTTYEQCL=$D849)*(xlRTEQTYPE=$E849),0))</f>
        <v>KERO_FA4</v>
      </c>
      <c r="Y849" s="153" t="str">
        <f t="array" ref="Y849">INDEX(xlRTTYNAME,MATCH(1,(xlRTTYENDU=2)*(xlRTTYEQCL=$F849)*(xlRTEQTYPE=$G849),0))</f>
        <v>CENT_AIR4</v>
      </c>
    </row>
    <row r="850" spans="1:25" s="157" customFormat="1" x14ac:dyDescent="0.2">
      <c r="A850"/>
      <c r="B850" s="126">
        <v>1</v>
      </c>
      <c r="C850" s="126">
        <v>1</v>
      </c>
      <c r="D850" s="126">
        <v>6</v>
      </c>
      <c r="E850" s="126">
        <v>21</v>
      </c>
      <c r="F850" s="126">
        <v>2</v>
      </c>
      <c r="G850" s="126">
        <v>8</v>
      </c>
      <c r="H850" s="148">
        <v>2016</v>
      </c>
      <c r="I850" s="143">
        <v>2022</v>
      </c>
      <c r="J850" s="127">
        <v>1.0803</v>
      </c>
      <c r="K850" s="127">
        <v>1.0667</v>
      </c>
      <c r="L850" s="127">
        <v>0.44319999999999998</v>
      </c>
      <c r="M850" s="127">
        <v>0.96350000000000002</v>
      </c>
      <c r="N850" s="127">
        <v>0.79790000000000005</v>
      </c>
      <c r="O850" s="127">
        <v>1.0538000000000001</v>
      </c>
      <c r="P850" s="126">
        <v>14685</v>
      </c>
      <c r="Q850" s="128">
        <f t="array" ref="Q850">SUM(IF(($S850&gt;=4)*($C850='TaxCred&amp;Subs'!$D$123:$D$127)*($H850='TaxCred&amp;Subs'!$C$123:$C$127)*($H850&lt;='TaxCred&amp;Subs'!$C$129),'TaxCred&amp;Subs'!$E$123:$E$127,0))</f>
        <v>2000</v>
      </c>
      <c r="R850" s="174">
        <v>0</v>
      </c>
      <c r="S850" s="126">
        <v>5</v>
      </c>
      <c r="T850" s="126" t="s">
        <v>225</v>
      </c>
      <c r="U850"/>
      <c r="V850" s="153" t="str">
        <f t="array" ref="V850">INDEX(xlRTCLNAME,MATCH(1,(xlRTCLENDU=1)*(xlRTCLEQCL=$D850),0))</f>
        <v>LPG_FA</v>
      </c>
      <c r="W850" s="153" t="str">
        <f t="array" ref="W850">INDEX(xlRTCLNAME,MATCH(1,(xlRTCLENDU=2)*(xlRTCLEQCL=$F850),0))</f>
        <v>CENT_AIR</v>
      </c>
      <c r="X850" s="153" t="str">
        <f t="array" ref="X850">INDEX(xlRTTYNAME,MATCH(1,(xlRTTYENDU=1)*(xlRTTYEQCL=$D850)*(xlRTEQTYPE=$E850),0))</f>
        <v>LPG_FA4</v>
      </c>
      <c r="Y850" s="153" t="str">
        <f t="array" ref="Y850">INDEX(xlRTTYNAME,MATCH(1,(xlRTTYENDU=2)*(xlRTTYEQCL=$F850)*(xlRTEQTYPE=$G850),0))</f>
        <v>CENT_AIR4</v>
      </c>
    </row>
    <row r="851" spans="1:25" s="157" customFormat="1" x14ac:dyDescent="0.2">
      <c r="A851"/>
      <c r="B851" s="49">
        <v>1</v>
      </c>
      <c r="C851" s="49">
        <v>1</v>
      </c>
      <c r="D851" s="49">
        <v>6</v>
      </c>
      <c r="E851" s="49">
        <v>21</v>
      </c>
      <c r="F851" s="49">
        <v>2</v>
      </c>
      <c r="G851" s="49">
        <v>8</v>
      </c>
      <c r="H851" s="166">
        <v>2023</v>
      </c>
      <c r="I851" s="166">
        <v>2032</v>
      </c>
      <c r="J851" s="50">
        <v>1.0803</v>
      </c>
      <c r="K851" s="50">
        <v>1.0667</v>
      </c>
      <c r="L851" s="50">
        <v>0.44319999999999998</v>
      </c>
      <c r="M851" s="50">
        <v>0.96350000000000002</v>
      </c>
      <c r="N851" s="50">
        <v>0.79790000000000005</v>
      </c>
      <c r="O851" s="50">
        <v>1.0538000000000001</v>
      </c>
      <c r="P851" s="49">
        <v>14685</v>
      </c>
      <c r="Q851" s="51">
        <f t="array" ref="Q851">SUM(IF(($S851&gt;=4)*($C851='TaxCred&amp;Subs'!$D$123:$D$127)*($H851='TaxCred&amp;Subs'!$C$123:$C$127)*($H851&lt;='TaxCred&amp;Subs'!$C$129),'TaxCred&amp;Subs'!$E$123:$E$127,0))</f>
        <v>2500</v>
      </c>
      <c r="R851" s="171">
        <v>0</v>
      </c>
      <c r="S851" s="49">
        <v>5</v>
      </c>
      <c r="T851" s="49" t="s">
        <v>225</v>
      </c>
      <c r="U851"/>
      <c r="V851" s="153" t="str">
        <f t="array" ref="V851">INDEX(xlRTCLNAME,MATCH(1,(xlRTCLENDU=1)*(xlRTCLEQCL=$D851),0))</f>
        <v>LPG_FA</v>
      </c>
      <c r="W851" s="153" t="str">
        <f t="array" ref="W851">INDEX(xlRTCLNAME,MATCH(1,(xlRTCLENDU=2)*(xlRTCLEQCL=$F851),0))</f>
        <v>CENT_AIR</v>
      </c>
      <c r="X851" s="153" t="str">
        <f t="array" ref="X851">INDEX(xlRTTYNAME,MATCH(1,(xlRTTYENDU=1)*(xlRTTYEQCL=$D851)*(xlRTEQTYPE=$E851),0))</f>
        <v>LPG_FA4</v>
      </c>
      <c r="Y851" s="153" t="str">
        <f t="array" ref="Y851">INDEX(xlRTTYNAME,MATCH(1,(xlRTTYENDU=2)*(xlRTTYEQCL=$F851)*(xlRTEQTYPE=$G851),0))</f>
        <v>CENT_AIR4</v>
      </c>
    </row>
    <row r="852" spans="1:25" s="157" customFormat="1" x14ac:dyDescent="0.2">
      <c r="A852"/>
      <c r="B852" s="126">
        <v>1</v>
      </c>
      <c r="C852" s="126">
        <v>1</v>
      </c>
      <c r="D852" s="126">
        <v>6</v>
      </c>
      <c r="E852" s="126">
        <v>21</v>
      </c>
      <c r="F852" s="126">
        <v>2</v>
      </c>
      <c r="G852" s="126">
        <v>8</v>
      </c>
      <c r="H852" s="143">
        <v>2033</v>
      </c>
      <c r="I852" s="148">
        <v>2050</v>
      </c>
      <c r="J852" s="127">
        <v>1.0803</v>
      </c>
      <c r="K852" s="127">
        <v>1.0667</v>
      </c>
      <c r="L852" s="127">
        <v>0.44319999999999998</v>
      </c>
      <c r="M852" s="127">
        <v>0.96350000000000002</v>
      </c>
      <c r="N852" s="127">
        <v>0.79790000000000005</v>
      </c>
      <c r="O852" s="127">
        <v>1.0538000000000001</v>
      </c>
      <c r="P852" s="126">
        <v>14685</v>
      </c>
      <c r="Q852" s="128">
        <f t="array" ref="Q852">SUM(IF(($S852&gt;=4)*($C852='TaxCred&amp;Subs'!$D$123:$D$127)*($H852='TaxCred&amp;Subs'!$C$123:$C$127)*($H852&lt;='TaxCred&amp;Subs'!$C$129),'TaxCred&amp;Subs'!$E$123:$E$127,0))</f>
        <v>0</v>
      </c>
      <c r="R852" s="174">
        <v>0</v>
      </c>
      <c r="S852" s="126">
        <v>5</v>
      </c>
      <c r="T852" s="126" t="s">
        <v>225</v>
      </c>
      <c r="U852"/>
      <c r="V852" s="153" t="str">
        <f t="array" ref="V852">INDEX(xlRTCLNAME,MATCH(1,(xlRTCLENDU=1)*(xlRTCLEQCL=$D852),0))</f>
        <v>LPG_FA</v>
      </c>
      <c r="W852" s="153" t="str">
        <f t="array" ref="W852">INDEX(xlRTCLNAME,MATCH(1,(xlRTCLENDU=2)*(xlRTCLEQCL=$F852),0))</f>
        <v>CENT_AIR</v>
      </c>
      <c r="X852" s="153" t="str">
        <f t="array" ref="X852">INDEX(xlRTTYNAME,MATCH(1,(xlRTTYENDU=1)*(xlRTTYEQCL=$D852)*(xlRTEQTYPE=$E852),0))</f>
        <v>LPG_FA4</v>
      </c>
      <c r="Y852" s="153" t="str">
        <f t="array" ref="Y852">INDEX(xlRTTYNAME,MATCH(1,(xlRTTYENDU=2)*(xlRTTYEQCL=$F852)*(xlRTEQTYPE=$G852),0))</f>
        <v>CENT_AIR4</v>
      </c>
    </row>
    <row r="853" spans="1:25" s="157" customFormat="1" x14ac:dyDescent="0.2">
      <c r="A853"/>
      <c r="B853" s="126">
        <v>2</v>
      </c>
      <c r="C853" s="126">
        <v>1</v>
      </c>
      <c r="D853" s="126">
        <v>6</v>
      </c>
      <c r="E853" s="126">
        <v>21</v>
      </c>
      <c r="F853" s="126">
        <v>2</v>
      </c>
      <c r="G853" s="126">
        <v>8</v>
      </c>
      <c r="H853" s="148">
        <v>2016</v>
      </c>
      <c r="I853" s="143">
        <v>2022</v>
      </c>
      <c r="J853" s="127">
        <v>1.0649</v>
      </c>
      <c r="K853" s="127">
        <v>1.0597000000000001</v>
      </c>
      <c r="L853" s="127">
        <v>0.46200000000000002</v>
      </c>
      <c r="M853" s="127">
        <v>0.81589999999999996</v>
      </c>
      <c r="N853" s="127">
        <v>0.93169999999999997</v>
      </c>
      <c r="O853" s="127">
        <v>1.0538000000000001</v>
      </c>
      <c r="P853" s="126">
        <v>16678</v>
      </c>
      <c r="Q853" s="128">
        <f t="array" ref="Q853">SUM(IF(($S853&gt;=4)*($C853='TaxCred&amp;Subs'!$D$123:$D$127)*($H853='TaxCred&amp;Subs'!$C$123:$C$127)*($H853&lt;='TaxCred&amp;Subs'!$C$129),'TaxCred&amp;Subs'!$E$123:$E$127,0))</f>
        <v>2000</v>
      </c>
      <c r="R853" s="174">
        <v>0</v>
      </c>
      <c r="S853" s="126">
        <v>5</v>
      </c>
      <c r="T853" s="126" t="s">
        <v>225</v>
      </c>
      <c r="U853"/>
      <c r="V853" s="153" t="str">
        <f t="array" ref="V853">INDEX(xlRTCLNAME,MATCH(1,(xlRTCLENDU=1)*(xlRTCLEQCL=$D853),0))</f>
        <v>LPG_FA</v>
      </c>
      <c r="W853" s="153" t="str">
        <f t="array" ref="W853">INDEX(xlRTCLNAME,MATCH(1,(xlRTCLENDU=2)*(xlRTCLEQCL=$F853),0))</f>
        <v>CENT_AIR</v>
      </c>
      <c r="X853" s="153" t="str">
        <f t="array" ref="X853">INDEX(xlRTTYNAME,MATCH(1,(xlRTTYENDU=1)*(xlRTTYEQCL=$D853)*(xlRTEQTYPE=$E853),0))</f>
        <v>LPG_FA4</v>
      </c>
      <c r="Y853" s="153" t="str">
        <f t="array" ref="Y853">INDEX(xlRTTYNAME,MATCH(1,(xlRTTYENDU=2)*(xlRTTYEQCL=$F853)*(xlRTEQTYPE=$G853),0))</f>
        <v>CENT_AIR4</v>
      </c>
    </row>
    <row r="854" spans="1:25" s="157" customFormat="1" x14ac:dyDescent="0.2">
      <c r="A854"/>
      <c r="B854" s="49">
        <v>2</v>
      </c>
      <c r="C854" s="49">
        <v>1</v>
      </c>
      <c r="D854" s="49">
        <v>6</v>
      </c>
      <c r="E854" s="49">
        <v>21</v>
      </c>
      <c r="F854" s="49">
        <v>2</v>
      </c>
      <c r="G854" s="49">
        <v>8</v>
      </c>
      <c r="H854" s="166">
        <v>2023</v>
      </c>
      <c r="I854" s="166">
        <v>2032</v>
      </c>
      <c r="J854" s="50">
        <v>1.0649</v>
      </c>
      <c r="K854" s="50">
        <v>1.0597000000000001</v>
      </c>
      <c r="L854" s="50">
        <v>0.46200000000000002</v>
      </c>
      <c r="M854" s="50">
        <v>0.81589999999999996</v>
      </c>
      <c r="N854" s="50">
        <v>0.93169999999999997</v>
      </c>
      <c r="O854" s="50">
        <v>1.0538000000000001</v>
      </c>
      <c r="P854" s="49">
        <v>16678</v>
      </c>
      <c r="Q854" s="51">
        <f t="array" ref="Q854">SUM(IF(($S854&gt;=4)*($C854='TaxCred&amp;Subs'!$D$123:$D$127)*($H854='TaxCred&amp;Subs'!$C$123:$C$127)*($H854&lt;='TaxCred&amp;Subs'!$C$129),'TaxCred&amp;Subs'!$E$123:$E$127,0))</f>
        <v>2500</v>
      </c>
      <c r="R854" s="171">
        <v>0</v>
      </c>
      <c r="S854" s="49">
        <v>5</v>
      </c>
      <c r="T854" s="49" t="s">
        <v>225</v>
      </c>
      <c r="U854"/>
      <c r="V854" s="153" t="str">
        <f t="array" ref="V854">INDEX(xlRTCLNAME,MATCH(1,(xlRTCLENDU=1)*(xlRTCLEQCL=$D854),0))</f>
        <v>LPG_FA</v>
      </c>
      <c r="W854" s="153" t="str">
        <f t="array" ref="W854">INDEX(xlRTCLNAME,MATCH(1,(xlRTCLENDU=2)*(xlRTCLEQCL=$F854),0))</f>
        <v>CENT_AIR</v>
      </c>
      <c r="X854" s="153" t="str">
        <f t="array" ref="X854">INDEX(xlRTTYNAME,MATCH(1,(xlRTTYENDU=1)*(xlRTTYEQCL=$D854)*(xlRTEQTYPE=$E854),0))</f>
        <v>LPG_FA4</v>
      </c>
      <c r="Y854" s="153" t="str">
        <f t="array" ref="Y854">INDEX(xlRTTYNAME,MATCH(1,(xlRTTYENDU=2)*(xlRTTYEQCL=$F854)*(xlRTEQTYPE=$G854),0))</f>
        <v>CENT_AIR4</v>
      </c>
    </row>
    <row r="855" spans="1:25" s="157" customFormat="1" x14ac:dyDescent="0.2">
      <c r="A855"/>
      <c r="B855" s="126">
        <v>2</v>
      </c>
      <c r="C855" s="126">
        <v>1</v>
      </c>
      <c r="D855" s="126">
        <v>6</v>
      </c>
      <c r="E855" s="126">
        <v>21</v>
      </c>
      <c r="F855" s="126">
        <v>2</v>
      </c>
      <c r="G855" s="126">
        <v>8</v>
      </c>
      <c r="H855" s="143">
        <v>2033</v>
      </c>
      <c r="I855" s="148">
        <v>2050</v>
      </c>
      <c r="J855" s="127">
        <v>1.0649</v>
      </c>
      <c r="K855" s="127">
        <v>1.0597000000000001</v>
      </c>
      <c r="L855" s="127">
        <v>0.46200000000000002</v>
      </c>
      <c r="M855" s="127">
        <v>0.81589999999999996</v>
      </c>
      <c r="N855" s="127">
        <v>0.93169999999999997</v>
      </c>
      <c r="O855" s="127">
        <v>1.0538000000000001</v>
      </c>
      <c r="P855" s="126">
        <v>16678</v>
      </c>
      <c r="Q855" s="128">
        <f t="array" ref="Q855">SUM(IF(($S855&gt;=4)*($C855='TaxCred&amp;Subs'!$D$123:$D$127)*($H855='TaxCred&amp;Subs'!$C$123:$C$127)*($H855&lt;='TaxCred&amp;Subs'!$C$129),'TaxCred&amp;Subs'!$E$123:$E$127,0))</f>
        <v>0</v>
      </c>
      <c r="R855" s="174">
        <v>0</v>
      </c>
      <c r="S855" s="126">
        <v>5</v>
      </c>
      <c r="T855" s="126" t="s">
        <v>225</v>
      </c>
      <c r="U855"/>
      <c r="V855" s="153" t="str">
        <f t="array" ref="V855">INDEX(xlRTCLNAME,MATCH(1,(xlRTCLENDU=1)*(xlRTCLEQCL=$D855),0))</f>
        <v>LPG_FA</v>
      </c>
      <c r="W855" s="153" t="str">
        <f t="array" ref="W855">INDEX(xlRTCLNAME,MATCH(1,(xlRTCLENDU=2)*(xlRTCLEQCL=$F855),0))</f>
        <v>CENT_AIR</v>
      </c>
      <c r="X855" s="153" t="str">
        <f t="array" ref="X855">INDEX(xlRTTYNAME,MATCH(1,(xlRTTYENDU=1)*(xlRTTYEQCL=$D855)*(xlRTEQTYPE=$E855),0))</f>
        <v>LPG_FA4</v>
      </c>
      <c r="Y855" s="153" t="str">
        <f t="array" ref="Y855">INDEX(xlRTTYNAME,MATCH(1,(xlRTTYENDU=2)*(xlRTTYEQCL=$F855)*(xlRTEQTYPE=$G855),0))</f>
        <v>CENT_AIR4</v>
      </c>
    </row>
    <row r="856" spans="1:25" s="157" customFormat="1" x14ac:dyDescent="0.2">
      <c r="A856"/>
      <c r="B856" s="126">
        <v>5</v>
      </c>
      <c r="C856" s="126">
        <v>1</v>
      </c>
      <c r="D856" s="126">
        <v>6</v>
      </c>
      <c r="E856" s="126">
        <v>21</v>
      </c>
      <c r="F856" s="126">
        <v>2</v>
      </c>
      <c r="G856" s="126">
        <v>8</v>
      </c>
      <c r="H856" s="148">
        <v>2016</v>
      </c>
      <c r="I856" s="143">
        <v>2022</v>
      </c>
      <c r="J856" s="127">
        <v>1.0849</v>
      </c>
      <c r="K856" s="127">
        <v>1.0471999999999999</v>
      </c>
      <c r="L856" s="127">
        <v>0.33260000000000001</v>
      </c>
      <c r="M856" s="127">
        <v>0.73150000000000004</v>
      </c>
      <c r="N856" s="127">
        <v>0.76180000000000003</v>
      </c>
      <c r="O856" s="127">
        <v>1.0538000000000001</v>
      </c>
      <c r="P856" s="126">
        <v>11579</v>
      </c>
      <c r="Q856" s="128">
        <f t="array" ref="Q856">SUM(IF(($S856&gt;=4)*($C856='TaxCred&amp;Subs'!$D$123:$D$127)*($H856='TaxCred&amp;Subs'!$C$123:$C$127)*($H856&lt;='TaxCred&amp;Subs'!$C$129),'TaxCred&amp;Subs'!$E$123:$E$127,0))</f>
        <v>2000</v>
      </c>
      <c r="R856" s="174">
        <v>0</v>
      </c>
      <c r="S856" s="126">
        <v>5</v>
      </c>
      <c r="T856" s="126" t="s">
        <v>225</v>
      </c>
      <c r="U856"/>
      <c r="V856" s="153" t="str">
        <f t="array" ref="V856">INDEX(xlRTCLNAME,MATCH(1,(xlRTCLENDU=1)*(xlRTCLEQCL=$D856),0))</f>
        <v>LPG_FA</v>
      </c>
      <c r="W856" s="153" t="str">
        <f t="array" ref="W856">INDEX(xlRTCLNAME,MATCH(1,(xlRTCLENDU=2)*(xlRTCLEQCL=$F856),0))</f>
        <v>CENT_AIR</v>
      </c>
      <c r="X856" s="153" t="str">
        <f t="array" ref="X856">INDEX(xlRTTYNAME,MATCH(1,(xlRTTYENDU=1)*(xlRTTYEQCL=$D856)*(xlRTEQTYPE=$E856),0))</f>
        <v>LPG_FA4</v>
      </c>
      <c r="Y856" s="153" t="str">
        <f t="array" ref="Y856">INDEX(xlRTTYNAME,MATCH(1,(xlRTTYENDU=2)*(xlRTTYEQCL=$F856)*(xlRTEQTYPE=$G856),0))</f>
        <v>CENT_AIR4</v>
      </c>
    </row>
    <row r="857" spans="1:25" s="157" customFormat="1" x14ac:dyDescent="0.2">
      <c r="A857"/>
      <c r="B857" s="49">
        <v>5</v>
      </c>
      <c r="C857" s="49">
        <v>1</v>
      </c>
      <c r="D857" s="49">
        <v>6</v>
      </c>
      <c r="E857" s="49">
        <v>21</v>
      </c>
      <c r="F857" s="49">
        <v>2</v>
      </c>
      <c r="G857" s="49">
        <v>8</v>
      </c>
      <c r="H857" s="166">
        <v>2023</v>
      </c>
      <c r="I857" s="166">
        <v>2032</v>
      </c>
      <c r="J857" s="50">
        <v>1.0849</v>
      </c>
      <c r="K857" s="50">
        <v>1.0471999999999999</v>
      </c>
      <c r="L857" s="50">
        <v>0.33260000000000001</v>
      </c>
      <c r="M857" s="50">
        <v>0.73150000000000004</v>
      </c>
      <c r="N857" s="50">
        <v>0.76180000000000003</v>
      </c>
      <c r="O857" s="50">
        <v>1.0538000000000001</v>
      </c>
      <c r="P857" s="49">
        <v>11579</v>
      </c>
      <c r="Q857" s="51">
        <f t="array" ref="Q857">SUM(IF(($S857&gt;=4)*($C857='TaxCred&amp;Subs'!$D$123:$D$127)*($H857='TaxCred&amp;Subs'!$C$123:$C$127)*($H857&lt;='TaxCred&amp;Subs'!$C$129),'TaxCred&amp;Subs'!$E$123:$E$127,0))</f>
        <v>2500</v>
      </c>
      <c r="R857" s="171">
        <v>0</v>
      </c>
      <c r="S857" s="49">
        <v>5</v>
      </c>
      <c r="T857" s="49" t="s">
        <v>225</v>
      </c>
      <c r="U857"/>
      <c r="V857" s="153" t="str">
        <f t="array" ref="V857">INDEX(xlRTCLNAME,MATCH(1,(xlRTCLENDU=1)*(xlRTCLEQCL=$D857),0))</f>
        <v>LPG_FA</v>
      </c>
      <c r="W857" s="153" t="str">
        <f t="array" ref="W857">INDEX(xlRTCLNAME,MATCH(1,(xlRTCLENDU=2)*(xlRTCLEQCL=$F857),0))</f>
        <v>CENT_AIR</v>
      </c>
      <c r="X857" s="153" t="str">
        <f t="array" ref="X857">INDEX(xlRTTYNAME,MATCH(1,(xlRTTYENDU=1)*(xlRTTYEQCL=$D857)*(xlRTEQTYPE=$E857),0))</f>
        <v>LPG_FA4</v>
      </c>
      <c r="Y857" s="153" t="str">
        <f t="array" ref="Y857">INDEX(xlRTTYNAME,MATCH(1,(xlRTTYENDU=2)*(xlRTTYEQCL=$F857)*(xlRTEQTYPE=$G857),0))</f>
        <v>CENT_AIR4</v>
      </c>
    </row>
    <row r="858" spans="1:25" s="157" customFormat="1" x14ac:dyDescent="0.2">
      <c r="A858"/>
      <c r="B858" s="126">
        <v>5</v>
      </c>
      <c r="C858" s="126">
        <v>1</v>
      </c>
      <c r="D858" s="126">
        <v>6</v>
      </c>
      <c r="E858" s="126">
        <v>21</v>
      </c>
      <c r="F858" s="126">
        <v>2</v>
      </c>
      <c r="G858" s="126">
        <v>8</v>
      </c>
      <c r="H858" s="143">
        <v>2033</v>
      </c>
      <c r="I858" s="148">
        <v>2050</v>
      </c>
      <c r="J858" s="127">
        <v>1.0849</v>
      </c>
      <c r="K858" s="127">
        <v>1.0471999999999999</v>
      </c>
      <c r="L858" s="127">
        <v>0.33260000000000001</v>
      </c>
      <c r="M858" s="127">
        <v>0.73150000000000004</v>
      </c>
      <c r="N858" s="127">
        <v>0.76180000000000003</v>
      </c>
      <c r="O858" s="127">
        <v>1.0538000000000001</v>
      </c>
      <c r="P858" s="126">
        <v>11579</v>
      </c>
      <c r="Q858" s="128">
        <f t="array" ref="Q858">SUM(IF(($S858&gt;=4)*($C858='TaxCred&amp;Subs'!$D$123:$D$127)*($H858='TaxCred&amp;Subs'!$C$123:$C$127)*($H858&lt;='TaxCred&amp;Subs'!$C$129),'TaxCred&amp;Subs'!$E$123:$E$127,0))</f>
        <v>0</v>
      </c>
      <c r="R858" s="174">
        <v>0</v>
      </c>
      <c r="S858" s="126">
        <v>5</v>
      </c>
      <c r="T858" s="126" t="s">
        <v>225</v>
      </c>
      <c r="U858"/>
      <c r="V858" s="153" t="str">
        <f t="array" ref="V858">INDEX(xlRTCLNAME,MATCH(1,(xlRTCLENDU=1)*(xlRTCLEQCL=$D858),0))</f>
        <v>LPG_FA</v>
      </c>
      <c r="W858" s="153" t="str">
        <f t="array" ref="W858">INDEX(xlRTCLNAME,MATCH(1,(xlRTCLENDU=2)*(xlRTCLEQCL=$F858),0))</f>
        <v>CENT_AIR</v>
      </c>
      <c r="X858" s="153" t="str">
        <f t="array" ref="X858">INDEX(xlRTTYNAME,MATCH(1,(xlRTTYENDU=1)*(xlRTTYEQCL=$D858)*(xlRTEQTYPE=$E858),0))</f>
        <v>LPG_FA4</v>
      </c>
      <c r="Y858" s="153" t="str">
        <f t="array" ref="Y858">INDEX(xlRTTYNAME,MATCH(1,(xlRTTYENDU=2)*(xlRTTYEQCL=$F858)*(xlRTEQTYPE=$G858),0))</f>
        <v>CENT_AIR4</v>
      </c>
    </row>
    <row r="859" spans="1:25" s="157" customFormat="1" x14ac:dyDescent="0.2">
      <c r="A859"/>
      <c r="B859" s="126">
        <v>6</v>
      </c>
      <c r="C859" s="126">
        <v>1</v>
      </c>
      <c r="D859" s="126">
        <v>6</v>
      </c>
      <c r="E859" s="126">
        <v>21</v>
      </c>
      <c r="F859" s="126">
        <v>2</v>
      </c>
      <c r="G859" s="126">
        <v>8</v>
      </c>
      <c r="H859" s="148">
        <v>2016</v>
      </c>
      <c r="I859" s="143">
        <v>2022</v>
      </c>
      <c r="J859" s="127">
        <v>1.0924</v>
      </c>
      <c r="K859" s="127">
        <v>1.0661</v>
      </c>
      <c r="L859" s="127">
        <v>0.41849999999999998</v>
      </c>
      <c r="M859" s="127">
        <v>0.76590000000000003</v>
      </c>
      <c r="N859" s="127">
        <v>0.89100000000000001</v>
      </c>
      <c r="O859" s="127">
        <v>1.0538000000000001</v>
      </c>
      <c r="P859" s="126">
        <v>11441</v>
      </c>
      <c r="Q859" s="128">
        <f t="array" ref="Q859">SUM(IF(($S859&gt;=4)*($C859='TaxCred&amp;Subs'!$D$123:$D$127)*($H859='TaxCred&amp;Subs'!$C$123:$C$127)*($H859&lt;='TaxCred&amp;Subs'!$C$129),'TaxCred&amp;Subs'!$E$123:$E$127,0))</f>
        <v>2000</v>
      </c>
      <c r="R859" s="174">
        <v>0</v>
      </c>
      <c r="S859" s="126">
        <v>5</v>
      </c>
      <c r="T859" s="126" t="s">
        <v>225</v>
      </c>
      <c r="U859"/>
      <c r="V859" s="153" t="str">
        <f t="array" ref="V859">INDEX(xlRTCLNAME,MATCH(1,(xlRTCLENDU=1)*(xlRTCLEQCL=$D859),0))</f>
        <v>LPG_FA</v>
      </c>
      <c r="W859" s="153" t="str">
        <f t="array" ref="W859">INDEX(xlRTCLNAME,MATCH(1,(xlRTCLENDU=2)*(xlRTCLEQCL=$F859),0))</f>
        <v>CENT_AIR</v>
      </c>
      <c r="X859" s="153" t="str">
        <f t="array" ref="X859">INDEX(xlRTTYNAME,MATCH(1,(xlRTTYENDU=1)*(xlRTTYEQCL=$D859)*(xlRTEQTYPE=$E859),0))</f>
        <v>LPG_FA4</v>
      </c>
      <c r="Y859" s="153" t="str">
        <f t="array" ref="Y859">INDEX(xlRTTYNAME,MATCH(1,(xlRTTYENDU=2)*(xlRTTYEQCL=$F859)*(xlRTEQTYPE=$G859),0))</f>
        <v>CENT_AIR4</v>
      </c>
    </row>
    <row r="860" spans="1:25" s="157" customFormat="1" x14ac:dyDescent="0.2">
      <c r="A860"/>
      <c r="B860" s="49">
        <v>6</v>
      </c>
      <c r="C860" s="49">
        <v>1</v>
      </c>
      <c r="D860" s="49">
        <v>6</v>
      </c>
      <c r="E860" s="49">
        <v>21</v>
      </c>
      <c r="F860" s="49">
        <v>2</v>
      </c>
      <c r="G860" s="49">
        <v>8</v>
      </c>
      <c r="H860" s="166">
        <v>2023</v>
      </c>
      <c r="I860" s="166">
        <v>2032</v>
      </c>
      <c r="J860" s="50">
        <v>1.0924</v>
      </c>
      <c r="K860" s="50">
        <v>1.0661</v>
      </c>
      <c r="L860" s="50">
        <v>0.41849999999999998</v>
      </c>
      <c r="M860" s="50">
        <v>0.76590000000000003</v>
      </c>
      <c r="N860" s="50">
        <v>0.89100000000000001</v>
      </c>
      <c r="O860" s="50">
        <v>1.0538000000000001</v>
      </c>
      <c r="P860" s="49">
        <v>11441</v>
      </c>
      <c r="Q860" s="51">
        <f t="array" ref="Q860">SUM(IF(($S860&gt;=4)*($C860='TaxCred&amp;Subs'!$D$123:$D$127)*($H860='TaxCred&amp;Subs'!$C$123:$C$127)*($H860&lt;='TaxCred&amp;Subs'!$C$129),'TaxCred&amp;Subs'!$E$123:$E$127,0))</f>
        <v>2500</v>
      </c>
      <c r="R860" s="171">
        <v>0</v>
      </c>
      <c r="S860" s="49">
        <v>5</v>
      </c>
      <c r="T860" s="49" t="s">
        <v>225</v>
      </c>
      <c r="U860"/>
      <c r="V860" s="153" t="str">
        <f t="array" ref="V860">INDEX(xlRTCLNAME,MATCH(1,(xlRTCLENDU=1)*(xlRTCLEQCL=$D860),0))</f>
        <v>LPG_FA</v>
      </c>
      <c r="W860" s="153" t="str">
        <f t="array" ref="W860">INDEX(xlRTCLNAME,MATCH(1,(xlRTCLENDU=2)*(xlRTCLEQCL=$F860),0))</f>
        <v>CENT_AIR</v>
      </c>
      <c r="X860" s="153" t="str">
        <f t="array" ref="X860">INDEX(xlRTTYNAME,MATCH(1,(xlRTTYENDU=1)*(xlRTTYEQCL=$D860)*(xlRTEQTYPE=$E860),0))</f>
        <v>LPG_FA4</v>
      </c>
      <c r="Y860" s="153" t="str">
        <f t="array" ref="Y860">INDEX(xlRTTYNAME,MATCH(1,(xlRTTYENDU=2)*(xlRTTYEQCL=$F860)*(xlRTEQTYPE=$G860),0))</f>
        <v>CENT_AIR4</v>
      </c>
    </row>
    <row r="861" spans="1:25" s="157" customFormat="1" x14ac:dyDescent="0.2">
      <c r="A861"/>
      <c r="B861" s="126">
        <v>6</v>
      </c>
      <c r="C861" s="126">
        <v>1</v>
      </c>
      <c r="D861" s="126">
        <v>6</v>
      </c>
      <c r="E861" s="126">
        <v>21</v>
      </c>
      <c r="F861" s="126">
        <v>2</v>
      </c>
      <c r="G861" s="126">
        <v>8</v>
      </c>
      <c r="H861" s="143">
        <v>2033</v>
      </c>
      <c r="I861" s="148">
        <v>2050</v>
      </c>
      <c r="J861" s="127">
        <v>1.0924</v>
      </c>
      <c r="K861" s="127">
        <v>1.0661</v>
      </c>
      <c r="L861" s="127">
        <v>0.41849999999999998</v>
      </c>
      <c r="M861" s="127">
        <v>0.76590000000000003</v>
      </c>
      <c r="N861" s="127">
        <v>0.89100000000000001</v>
      </c>
      <c r="O861" s="127">
        <v>1.0538000000000001</v>
      </c>
      <c r="P861" s="126">
        <v>11441</v>
      </c>
      <c r="Q861" s="128">
        <f t="array" ref="Q861">SUM(IF(($S861&gt;=4)*($C861='TaxCred&amp;Subs'!$D$123:$D$127)*($H861='TaxCred&amp;Subs'!$C$123:$C$127)*($H861&lt;='TaxCred&amp;Subs'!$C$129),'TaxCred&amp;Subs'!$E$123:$E$127,0))</f>
        <v>0</v>
      </c>
      <c r="R861" s="174">
        <v>0</v>
      </c>
      <c r="S861" s="126">
        <v>5</v>
      </c>
      <c r="T861" s="126" t="s">
        <v>225</v>
      </c>
      <c r="U861"/>
      <c r="V861" s="153" t="str">
        <f t="array" ref="V861">INDEX(xlRTCLNAME,MATCH(1,(xlRTCLENDU=1)*(xlRTCLEQCL=$D861),0))</f>
        <v>LPG_FA</v>
      </c>
      <c r="W861" s="153" t="str">
        <f t="array" ref="W861">INDEX(xlRTCLNAME,MATCH(1,(xlRTCLENDU=2)*(xlRTCLEQCL=$F861),0))</f>
        <v>CENT_AIR</v>
      </c>
      <c r="X861" s="153" t="str">
        <f t="array" ref="X861">INDEX(xlRTTYNAME,MATCH(1,(xlRTTYENDU=1)*(xlRTTYEQCL=$D861)*(xlRTEQTYPE=$E861),0))</f>
        <v>LPG_FA4</v>
      </c>
      <c r="Y861" s="153" t="str">
        <f t="array" ref="Y861">INDEX(xlRTTYNAME,MATCH(1,(xlRTTYENDU=2)*(xlRTTYEQCL=$F861)*(xlRTEQTYPE=$G861),0))</f>
        <v>CENT_AIR4</v>
      </c>
    </row>
    <row r="862" spans="1:25" s="157" customFormat="1" x14ac:dyDescent="0.2">
      <c r="A862"/>
      <c r="B862" s="126">
        <v>7</v>
      </c>
      <c r="C862" s="126">
        <v>1</v>
      </c>
      <c r="D862" s="126">
        <v>6</v>
      </c>
      <c r="E862" s="126">
        <v>21</v>
      </c>
      <c r="F862" s="126">
        <v>2</v>
      </c>
      <c r="G862" s="126">
        <v>8</v>
      </c>
      <c r="H862" s="148">
        <v>2016</v>
      </c>
      <c r="I862" s="143">
        <v>2022</v>
      </c>
      <c r="J862" s="127">
        <v>1.0905</v>
      </c>
      <c r="K862" s="127">
        <v>1.0562</v>
      </c>
      <c r="L862" s="127">
        <v>0.37419999999999998</v>
      </c>
      <c r="M862" s="127">
        <v>0.65339999999999998</v>
      </c>
      <c r="N862" s="127">
        <v>0.87180000000000002</v>
      </c>
      <c r="O862" s="127">
        <v>1.0538000000000001</v>
      </c>
      <c r="P862" s="126">
        <v>11603</v>
      </c>
      <c r="Q862" s="128">
        <f t="array" ref="Q862">SUM(IF(($S862&gt;=4)*($C862='TaxCred&amp;Subs'!$D$123:$D$127)*($H862='TaxCred&amp;Subs'!$C$123:$C$127)*($H862&lt;='TaxCred&amp;Subs'!$C$129),'TaxCred&amp;Subs'!$E$123:$E$127,0))</f>
        <v>2000</v>
      </c>
      <c r="R862" s="174">
        <v>0</v>
      </c>
      <c r="S862" s="126">
        <v>5</v>
      </c>
      <c r="T862" s="126" t="s">
        <v>225</v>
      </c>
      <c r="U862"/>
      <c r="V862" s="153" t="str">
        <f t="array" ref="V862">INDEX(xlRTCLNAME,MATCH(1,(xlRTCLENDU=1)*(xlRTCLEQCL=$D862),0))</f>
        <v>LPG_FA</v>
      </c>
      <c r="W862" s="153" t="str">
        <f t="array" ref="W862">INDEX(xlRTCLNAME,MATCH(1,(xlRTCLENDU=2)*(xlRTCLEQCL=$F862),0))</f>
        <v>CENT_AIR</v>
      </c>
      <c r="X862" s="153" t="str">
        <f t="array" ref="X862">INDEX(xlRTTYNAME,MATCH(1,(xlRTTYENDU=1)*(xlRTTYEQCL=$D862)*(xlRTEQTYPE=$E862),0))</f>
        <v>LPG_FA4</v>
      </c>
      <c r="Y862" s="153" t="str">
        <f t="array" ref="Y862">INDEX(xlRTTYNAME,MATCH(1,(xlRTTYENDU=2)*(xlRTTYEQCL=$F862)*(xlRTEQTYPE=$G862),0))</f>
        <v>CENT_AIR4</v>
      </c>
    </row>
    <row r="863" spans="1:25" s="157" customFormat="1" x14ac:dyDescent="0.2">
      <c r="A863"/>
      <c r="B863" s="49">
        <v>7</v>
      </c>
      <c r="C863" s="49">
        <v>1</v>
      </c>
      <c r="D863" s="49">
        <v>6</v>
      </c>
      <c r="E863" s="49">
        <v>21</v>
      </c>
      <c r="F863" s="49">
        <v>2</v>
      </c>
      <c r="G863" s="49">
        <v>8</v>
      </c>
      <c r="H863" s="166">
        <v>2023</v>
      </c>
      <c r="I863" s="166">
        <v>2032</v>
      </c>
      <c r="J863" s="50">
        <v>1.0905</v>
      </c>
      <c r="K863" s="50">
        <v>1.0562</v>
      </c>
      <c r="L863" s="50">
        <v>0.37419999999999998</v>
      </c>
      <c r="M863" s="50">
        <v>0.65339999999999998</v>
      </c>
      <c r="N863" s="50">
        <v>0.87180000000000002</v>
      </c>
      <c r="O863" s="50">
        <v>1.0538000000000001</v>
      </c>
      <c r="P863" s="49">
        <v>11603</v>
      </c>
      <c r="Q863" s="51">
        <f t="array" ref="Q863">SUM(IF(($S863&gt;=4)*($C863='TaxCred&amp;Subs'!$D$123:$D$127)*($H863='TaxCred&amp;Subs'!$C$123:$C$127)*($H863&lt;='TaxCred&amp;Subs'!$C$129),'TaxCred&amp;Subs'!$E$123:$E$127,0))</f>
        <v>2500</v>
      </c>
      <c r="R863" s="171">
        <v>0</v>
      </c>
      <c r="S863" s="49">
        <v>5</v>
      </c>
      <c r="T863" s="49" t="s">
        <v>225</v>
      </c>
      <c r="U863"/>
      <c r="V863" s="153" t="str">
        <f t="array" ref="V863">INDEX(xlRTCLNAME,MATCH(1,(xlRTCLENDU=1)*(xlRTCLEQCL=$D863),0))</f>
        <v>LPG_FA</v>
      </c>
      <c r="W863" s="153" t="str">
        <f t="array" ref="W863">INDEX(xlRTCLNAME,MATCH(1,(xlRTCLENDU=2)*(xlRTCLEQCL=$F863),0))</f>
        <v>CENT_AIR</v>
      </c>
      <c r="X863" s="153" t="str">
        <f t="array" ref="X863">INDEX(xlRTTYNAME,MATCH(1,(xlRTTYENDU=1)*(xlRTTYEQCL=$D863)*(xlRTEQTYPE=$E863),0))</f>
        <v>LPG_FA4</v>
      </c>
      <c r="Y863" s="153" t="str">
        <f t="array" ref="Y863">INDEX(xlRTTYNAME,MATCH(1,(xlRTTYENDU=2)*(xlRTTYEQCL=$F863)*(xlRTEQTYPE=$G863),0))</f>
        <v>CENT_AIR4</v>
      </c>
    </row>
    <row r="864" spans="1:25" s="157" customFormat="1" x14ac:dyDescent="0.2">
      <c r="A864"/>
      <c r="B864" s="126">
        <v>7</v>
      </c>
      <c r="C864" s="126">
        <v>1</v>
      </c>
      <c r="D864" s="126">
        <v>6</v>
      </c>
      <c r="E864" s="126">
        <v>21</v>
      </c>
      <c r="F864" s="126">
        <v>2</v>
      </c>
      <c r="G864" s="126">
        <v>8</v>
      </c>
      <c r="H864" s="143">
        <v>2033</v>
      </c>
      <c r="I864" s="148">
        <v>2050</v>
      </c>
      <c r="J864" s="127">
        <v>1.0905</v>
      </c>
      <c r="K864" s="127">
        <v>1.0562</v>
      </c>
      <c r="L864" s="127">
        <v>0.37419999999999998</v>
      </c>
      <c r="M864" s="127">
        <v>0.65339999999999998</v>
      </c>
      <c r="N864" s="127">
        <v>0.87180000000000002</v>
      </c>
      <c r="O864" s="127">
        <v>1.0538000000000001</v>
      </c>
      <c r="P864" s="126">
        <v>11603</v>
      </c>
      <c r="Q864" s="128">
        <f t="array" ref="Q864">SUM(IF(($S864&gt;=4)*($C864='TaxCred&amp;Subs'!$D$123:$D$127)*($H864='TaxCred&amp;Subs'!$C$123:$C$127)*($H864&lt;='TaxCred&amp;Subs'!$C$129),'TaxCred&amp;Subs'!$E$123:$E$127,0))</f>
        <v>0</v>
      </c>
      <c r="R864" s="174">
        <v>0</v>
      </c>
      <c r="S864" s="126">
        <v>5</v>
      </c>
      <c r="T864" s="126" t="s">
        <v>225</v>
      </c>
      <c r="U864"/>
      <c r="V864" s="153" t="str">
        <f t="array" ref="V864">INDEX(xlRTCLNAME,MATCH(1,(xlRTCLENDU=1)*(xlRTCLEQCL=$D864),0))</f>
        <v>LPG_FA</v>
      </c>
      <c r="W864" s="153" t="str">
        <f t="array" ref="W864">INDEX(xlRTCLNAME,MATCH(1,(xlRTCLENDU=2)*(xlRTCLEQCL=$F864),0))</f>
        <v>CENT_AIR</v>
      </c>
      <c r="X864" s="153" t="str">
        <f t="array" ref="X864">INDEX(xlRTTYNAME,MATCH(1,(xlRTTYENDU=1)*(xlRTTYEQCL=$D864)*(xlRTEQTYPE=$E864),0))</f>
        <v>LPG_FA4</v>
      </c>
      <c r="Y864" s="153" t="str">
        <f t="array" ref="Y864">INDEX(xlRTTYNAME,MATCH(1,(xlRTTYENDU=2)*(xlRTTYEQCL=$F864)*(xlRTEQTYPE=$G864),0))</f>
        <v>CENT_AIR4</v>
      </c>
    </row>
    <row r="865" spans="1:25" s="157" customFormat="1" x14ac:dyDescent="0.2">
      <c r="A865"/>
      <c r="B865" s="126">
        <v>8</v>
      </c>
      <c r="C865" s="126">
        <v>1</v>
      </c>
      <c r="D865" s="126">
        <v>6</v>
      </c>
      <c r="E865" s="126">
        <v>21</v>
      </c>
      <c r="F865" s="126">
        <v>2</v>
      </c>
      <c r="G865" s="126">
        <v>8</v>
      </c>
      <c r="H865" s="148">
        <v>2016</v>
      </c>
      <c r="I865" s="143">
        <v>2022</v>
      </c>
      <c r="J865" s="127">
        <v>1.0801000000000001</v>
      </c>
      <c r="K865" s="127">
        <v>1.0822000000000001</v>
      </c>
      <c r="L865" s="127">
        <v>0.43120000000000003</v>
      </c>
      <c r="M865" s="127">
        <v>0.78110000000000002</v>
      </c>
      <c r="N865" s="127">
        <v>0.86950000000000005</v>
      </c>
      <c r="O865" s="127">
        <v>1.0538000000000001</v>
      </c>
      <c r="P865" s="126">
        <v>12094</v>
      </c>
      <c r="Q865" s="128">
        <f t="array" ref="Q865">SUM(IF(($S865&gt;=4)*($C865='TaxCred&amp;Subs'!$D$123:$D$127)*($H865='TaxCred&amp;Subs'!$C$123:$C$127)*($H865&lt;='TaxCred&amp;Subs'!$C$129),'TaxCred&amp;Subs'!$E$123:$E$127,0))</f>
        <v>2000</v>
      </c>
      <c r="R865" s="174">
        <v>0</v>
      </c>
      <c r="S865" s="126">
        <v>5</v>
      </c>
      <c r="T865" s="126" t="s">
        <v>225</v>
      </c>
      <c r="U865"/>
      <c r="V865" s="153" t="str">
        <f t="array" ref="V865">INDEX(xlRTCLNAME,MATCH(1,(xlRTCLENDU=1)*(xlRTCLEQCL=$D865),0))</f>
        <v>LPG_FA</v>
      </c>
      <c r="W865" s="153" t="str">
        <f t="array" ref="W865">INDEX(xlRTCLNAME,MATCH(1,(xlRTCLENDU=2)*(xlRTCLEQCL=$F865),0))</f>
        <v>CENT_AIR</v>
      </c>
      <c r="X865" s="153" t="str">
        <f t="array" ref="X865">INDEX(xlRTTYNAME,MATCH(1,(xlRTTYENDU=1)*(xlRTTYEQCL=$D865)*(xlRTEQTYPE=$E865),0))</f>
        <v>LPG_FA4</v>
      </c>
      <c r="Y865" s="153" t="str">
        <f t="array" ref="Y865">INDEX(xlRTTYNAME,MATCH(1,(xlRTTYENDU=2)*(xlRTTYEQCL=$F865)*(xlRTEQTYPE=$G865),0))</f>
        <v>CENT_AIR4</v>
      </c>
    </row>
    <row r="866" spans="1:25" s="157" customFormat="1" x14ac:dyDescent="0.2">
      <c r="A866"/>
      <c r="B866" s="49">
        <v>8</v>
      </c>
      <c r="C866" s="49">
        <v>1</v>
      </c>
      <c r="D866" s="49">
        <v>6</v>
      </c>
      <c r="E866" s="49">
        <v>21</v>
      </c>
      <c r="F866" s="49">
        <v>2</v>
      </c>
      <c r="G866" s="49">
        <v>8</v>
      </c>
      <c r="H866" s="166">
        <v>2023</v>
      </c>
      <c r="I866" s="166">
        <v>2032</v>
      </c>
      <c r="J866" s="50">
        <v>1.0801000000000001</v>
      </c>
      <c r="K866" s="50">
        <v>1.0822000000000001</v>
      </c>
      <c r="L866" s="50">
        <v>0.43120000000000003</v>
      </c>
      <c r="M866" s="50">
        <v>0.78110000000000002</v>
      </c>
      <c r="N866" s="50">
        <v>0.86950000000000005</v>
      </c>
      <c r="O866" s="50">
        <v>1.0538000000000001</v>
      </c>
      <c r="P866" s="49">
        <v>12094</v>
      </c>
      <c r="Q866" s="51">
        <f t="array" ref="Q866">SUM(IF(($S866&gt;=4)*($C866='TaxCred&amp;Subs'!$D$123:$D$127)*($H866='TaxCred&amp;Subs'!$C$123:$C$127)*($H866&lt;='TaxCred&amp;Subs'!$C$129),'TaxCred&amp;Subs'!$E$123:$E$127,0))</f>
        <v>2500</v>
      </c>
      <c r="R866" s="171">
        <v>0</v>
      </c>
      <c r="S866" s="49">
        <v>5</v>
      </c>
      <c r="T866" s="49" t="s">
        <v>225</v>
      </c>
      <c r="U866"/>
      <c r="V866" s="153" t="str">
        <f t="array" ref="V866">INDEX(xlRTCLNAME,MATCH(1,(xlRTCLENDU=1)*(xlRTCLEQCL=$D866),0))</f>
        <v>LPG_FA</v>
      </c>
      <c r="W866" s="153" t="str">
        <f t="array" ref="W866">INDEX(xlRTCLNAME,MATCH(1,(xlRTCLENDU=2)*(xlRTCLEQCL=$F866),0))</f>
        <v>CENT_AIR</v>
      </c>
      <c r="X866" s="153" t="str">
        <f t="array" ref="X866">INDEX(xlRTTYNAME,MATCH(1,(xlRTTYENDU=1)*(xlRTTYEQCL=$D866)*(xlRTEQTYPE=$E866),0))</f>
        <v>LPG_FA4</v>
      </c>
      <c r="Y866" s="153" t="str">
        <f t="array" ref="Y866">INDEX(xlRTTYNAME,MATCH(1,(xlRTTYENDU=2)*(xlRTTYEQCL=$F866)*(xlRTEQTYPE=$G866),0))</f>
        <v>CENT_AIR4</v>
      </c>
    </row>
    <row r="867" spans="1:25" s="157" customFormat="1" x14ac:dyDescent="0.2">
      <c r="A867"/>
      <c r="B867" s="126">
        <v>8</v>
      </c>
      <c r="C867" s="126">
        <v>1</v>
      </c>
      <c r="D867" s="126">
        <v>6</v>
      </c>
      <c r="E867" s="126">
        <v>21</v>
      </c>
      <c r="F867" s="126">
        <v>2</v>
      </c>
      <c r="G867" s="126">
        <v>8</v>
      </c>
      <c r="H867" s="143">
        <v>2033</v>
      </c>
      <c r="I867" s="148">
        <v>2050</v>
      </c>
      <c r="J867" s="127">
        <v>1.0801000000000001</v>
      </c>
      <c r="K867" s="127">
        <v>1.0822000000000001</v>
      </c>
      <c r="L867" s="127">
        <v>0.43120000000000003</v>
      </c>
      <c r="M867" s="127">
        <v>0.78110000000000002</v>
      </c>
      <c r="N867" s="127">
        <v>0.86950000000000005</v>
      </c>
      <c r="O867" s="127">
        <v>1.0538000000000001</v>
      </c>
      <c r="P867" s="126">
        <v>12094</v>
      </c>
      <c r="Q867" s="128">
        <f t="array" ref="Q867">SUM(IF(($S867&gt;=4)*($C867='TaxCred&amp;Subs'!$D$123:$D$127)*($H867='TaxCred&amp;Subs'!$C$123:$C$127)*($H867&lt;='TaxCred&amp;Subs'!$C$129),'TaxCred&amp;Subs'!$E$123:$E$127,0))</f>
        <v>0</v>
      </c>
      <c r="R867" s="174">
        <v>0</v>
      </c>
      <c r="S867" s="126">
        <v>5</v>
      </c>
      <c r="T867" s="126" t="s">
        <v>225</v>
      </c>
      <c r="U867"/>
      <c r="V867" s="153" t="str">
        <f t="array" ref="V867">INDEX(xlRTCLNAME,MATCH(1,(xlRTCLENDU=1)*(xlRTCLEQCL=$D867),0))</f>
        <v>LPG_FA</v>
      </c>
      <c r="W867" s="153" t="str">
        <f t="array" ref="W867">INDEX(xlRTCLNAME,MATCH(1,(xlRTCLENDU=2)*(xlRTCLEQCL=$F867),0))</f>
        <v>CENT_AIR</v>
      </c>
      <c r="X867" s="153" t="str">
        <f t="array" ref="X867">INDEX(xlRTTYNAME,MATCH(1,(xlRTTYENDU=1)*(xlRTTYEQCL=$D867)*(xlRTEQTYPE=$E867),0))</f>
        <v>LPG_FA4</v>
      </c>
      <c r="Y867" s="153" t="str">
        <f t="array" ref="Y867">INDEX(xlRTTYNAME,MATCH(1,(xlRTTYENDU=2)*(xlRTTYEQCL=$F867)*(xlRTEQTYPE=$G867),0))</f>
        <v>CENT_AIR4</v>
      </c>
    </row>
    <row r="868" spans="1:25" s="157" customFormat="1" x14ac:dyDescent="0.2">
      <c r="A868"/>
      <c r="B868" s="126">
        <v>9</v>
      </c>
      <c r="C868" s="126">
        <v>1</v>
      </c>
      <c r="D868" s="126">
        <v>6</v>
      </c>
      <c r="E868" s="126">
        <v>21</v>
      </c>
      <c r="F868" s="126">
        <v>2</v>
      </c>
      <c r="G868" s="126">
        <v>8</v>
      </c>
      <c r="H868" s="148">
        <v>2016</v>
      </c>
      <c r="I868" s="143">
        <v>2022</v>
      </c>
      <c r="J868" s="127">
        <v>1.0781000000000001</v>
      </c>
      <c r="K868" s="127">
        <v>1.0707</v>
      </c>
      <c r="L868" s="127">
        <v>0.39879999999999999</v>
      </c>
      <c r="M868" s="127">
        <v>0.76029999999999998</v>
      </c>
      <c r="N868" s="127">
        <v>1.0339</v>
      </c>
      <c r="O868" s="127">
        <v>1.0538000000000001</v>
      </c>
      <c r="P868" s="126">
        <v>14738</v>
      </c>
      <c r="Q868" s="128">
        <f t="array" ref="Q868">SUM(IF(($S868&gt;=4)*($C868='TaxCred&amp;Subs'!$D$123:$D$127)*($H868='TaxCred&amp;Subs'!$C$123:$C$127)*($H868&lt;='TaxCred&amp;Subs'!$C$129),'TaxCred&amp;Subs'!$E$123:$E$127,0))</f>
        <v>2000</v>
      </c>
      <c r="R868" s="174">
        <v>0</v>
      </c>
      <c r="S868" s="126">
        <v>5</v>
      </c>
      <c r="T868" s="126" t="s">
        <v>225</v>
      </c>
      <c r="U868"/>
      <c r="V868" s="153" t="str">
        <f t="array" ref="V868">INDEX(xlRTCLNAME,MATCH(1,(xlRTCLENDU=1)*(xlRTCLEQCL=$D868),0))</f>
        <v>LPG_FA</v>
      </c>
      <c r="W868" s="153" t="str">
        <f t="array" ref="W868">INDEX(xlRTCLNAME,MATCH(1,(xlRTCLENDU=2)*(xlRTCLEQCL=$F868),0))</f>
        <v>CENT_AIR</v>
      </c>
      <c r="X868" s="153" t="str">
        <f t="array" ref="X868">INDEX(xlRTTYNAME,MATCH(1,(xlRTTYENDU=1)*(xlRTTYEQCL=$D868)*(xlRTEQTYPE=$E868),0))</f>
        <v>LPG_FA4</v>
      </c>
      <c r="Y868" s="153" t="str">
        <f t="array" ref="Y868">INDEX(xlRTTYNAME,MATCH(1,(xlRTTYENDU=2)*(xlRTTYEQCL=$F868)*(xlRTEQTYPE=$G868),0))</f>
        <v>CENT_AIR4</v>
      </c>
    </row>
    <row r="869" spans="1:25" s="157" customFormat="1" x14ac:dyDescent="0.2">
      <c r="A869"/>
      <c r="B869" s="49">
        <v>9</v>
      </c>
      <c r="C869" s="49">
        <v>1</v>
      </c>
      <c r="D869" s="49">
        <v>6</v>
      </c>
      <c r="E869" s="49">
        <v>21</v>
      </c>
      <c r="F869" s="49">
        <v>2</v>
      </c>
      <c r="G869" s="49">
        <v>8</v>
      </c>
      <c r="H869" s="166">
        <v>2023</v>
      </c>
      <c r="I869" s="166">
        <v>2032</v>
      </c>
      <c r="J869" s="50">
        <v>1.0781000000000001</v>
      </c>
      <c r="K869" s="50">
        <v>1.0707</v>
      </c>
      <c r="L869" s="50">
        <v>0.39879999999999999</v>
      </c>
      <c r="M869" s="50">
        <v>0.76029999999999998</v>
      </c>
      <c r="N869" s="50">
        <v>1.0339</v>
      </c>
      <c r="O869" s="50">
        <v>1.0538000000000001</v>
      </c>
      <c r="P869" s="49">
        <v>14738</v>
      </c>
      <c r="Q869" s="51">
        <f t="array" ref="Q869">SUM(IF(($S869&gt;=4)*($C869='TaxCred&amp;Subs'!$D$123:$D$127)*($H869='TaxCred&amp;Subs'!$C$123:$C$127)*($H869&lt;='TaxCred&amp;Subs'!$C$129),'TaxCred&amp;Subs'!$E$123:$E$127,0))</f>
        <v>2500</v>
      </c>
      <c r="R869" s="171">
        <v>0</v>
      </c>
      <c r="S869" s="49">
        <v>5</v>
      </c>
      <c r="T869" s="49" t="s">
        <v>225</v>
      </c>
      <c r="U869"/>
      <c r="V869" s="153" t="str">
        <f t="array" ref="V869">INDEX(xlRTCLNAME,MATCH(1,(xlRTCLENDU=1)*(xlRTCLEQCL=$D869),0))</f>
        <v>LPG_FA</v>
      </c>
      <c r="W869" s="153" t="str">
        <f t="array" ref="W869">INDEX(xlRTCLNAME,MATCH(1,(xlRTCLENDU=2)*(xlRTCLEQCL=$F869),0))</f>
        <v>CENT_AIR</v>
      </c>
      <c r="X869" s="153" t="str">
        <f t="array" ref="X869">INDEX(xlRTTYNAME,MATCH(1,(xlRTTYENDU=1)*(xlRTTYEQCL=$D869)*(xlRTEQTYPE=$E869),0))</f>
        <v>LPG_FA4</v>
      </c>
      <c r="Y869" s="153" t="str">
        <f t="array" ref="Y869">INDEX(xlRTTYNAME,MATCH(1,(xlRTTYENDU=2)*(xlRTTYEQCL=$F869)*(xlRTEQTYPE=$G869),0))</f>
        <v>CENT_AIR4</v>
      </c>
    </row>
    <row r="870" spans="1:25" s="158" customFormat="1" x14ac:dyDescent="0.2">
      <c r="A870"/>
      <c r="B870" s="126">
        <v>9</v>
      </c>
      <c r="C870" s="126">
        <v>1</v>
      </c>
      <c r="D870" s="126">
        <v>6</v>
      </c>
      <c r="E870" s="126">
        <v>21</v>
      </c>
      <c r="F870" s="126">
        <v>2</v>
      </c>
      <c r="G870" s="126">
        <v>8</v>
      </c>
      <c r="H870" s="143">
        <v>2033</v>
      </c>
      <c r="I870" s="148">
        <v>2050</v>
      </c>
      <c r="J870" s="127">
        <v>1.0781000000000001</v>
      </c>
      <c r="K870" s="127">
        <v>1.0707</v>
      </c>
      <c r="L870" s="127">
        <v>0.39879999999999999</v>
      </c>
      <c r="M870" s="127">
        <v>0.76029999999999998</v>
      </c>
      <c r="N870" s="127">
        <v>1.0339</v>
      </c>
      <c r="O870" s="127">
        <v>1.0538000000000001</v>
      </c>
      <c r="P870" s="126">
        <v>14738</v>
      </c>
      <c r="Q870" s="128">
        <f t="array" ref="Q870">SUM(IF(($S870&gt;=4)*($C870='TaxCred&amp;Subs'!$D$123:$D$127)*($H870='TaxCred&amp;Subs'!$C$123:$C$127)*($H870&lt;='TaxCred&amp;Subs'!$C$129),'TaxCred&amp;Subs'!$E$123:$E$127,0))</f>
        <v>0</v>
      </c>
      <c r="R870" s="174">
        <v>0</v>
      </c>
      <c r="S870" s="126">
        <v>5</v>
      </c>
      <c r="T870" s="126" t="s">
        <v>225</v>
      </c>
      <c r="U870"/>
      <c r="V870" s="153" t="str">
        <f t="array" ref="V870">INDEX(xlRTCLNAME,MATCH(1,(xlRTCLENDU=1)*(xlRTCLEQCL=$D870),0))</f>
        <v>LPG_FA</v>
      </c>
      <c r="W870" s="153" t="str">
        <f t="array" ref="W870">INDEX(xlRTCLNAME,MATCH(1,(xlRTCLENDU=2)*(xlRTCLEQCL=$F870),0))</f>
        <v>CENT_AIR</v>
      </c>
      <c r="X870" s="153" t="str">
        <f t="array" ref="X870">INDEX(xlRTTYNAME,MATCH(1,(xlRTTYENDU=1)*(xlRTTYEQCL=$D870)*(xlRTEQTYPE=$E870),0))</f>
        <v>LPG_FA4</v>
      </c>
      <c r="Y870" s="153" t="str">
        <f t="array" ref="Y870">INDEX(xlRTTYNAME,MATCH(1,(xlRTTYENDU=2)*(xlRTTYEQCL=$F870)*(xlRTEQTYPE=$G870),0))</f>
        <v>CENT_AIR4</v>
      </c>
    </row>
    <row r="871" spans="1:25" s="157" customFormat="1" x14ac:dyDescent="0.2">
      <c r="A871"/>
      <c r="B871" s="126">
        <v>1</v>
      </c>
      <c r="C871" s="126">
        <v>1</v>
      </c>
      <c r="D871" s="126">
        <v>7</v>
      </c>
      <c r="E871" s="126">
        <v>25</v>
      </c>
      <c r="F871" s="126">
        <v>2</v>
      </c>
      <c r="G871" s="126">
        <v>8</v>
      </c>
      <c r="H871" s="148">
        <v>2016</v>
      </c>
      <c r="I871" s="143">
        <v>2022</v>
      </c>
      <c r="J871" s="127">
        <v>1.0309999999999999</v>
      </c>
      <c r="K871" s="127">
        <v>1.0667</v>
      </c>
      <c r="L871" s="127">
        <v>0.44290000000000002</v>
      </c>
      <c r="M871" s="127">
        <v>0.96350000000000002</v>
      </c>
      <c r="N871" s="127">
        <v>0.79790000000000005</v>
      </c>
      <c r="O871" s="127">
        <v>1.0538000000000001</v>
      </c>
      <c r="P871" s="126">
        <v>14685</v>
      </c>
      <c r="Q871" s="128">
        <f t="array" ref="Q871">SUM(IF(($S871&gt;=4)*($C871='TaxCred&amp;Subs'!$D$123:$D$127)*($H871='TaxCred&amp;Subs'!$C$123:$C$127)*($H871&lt;='TaxCred&amp;Subs'!$C$129),'TaxCred&amp;Subs'!$E$123:$E$127,0))</f>
        <v>2000</v>
      </c>
      <c r="R871" s="174">
        <v>0</v>
      </c>
      <c r="S871" s="126">
        <v>5</v>
      </c>
      <c r="T871" s="126" t="s">
        <v>225</v>
      </c>
      <c r="U871"/>
      <c r="V871" s="153" t="str">
        <f t="array" ref="V871">INDEX(xlRTCLNAME,MATCH(1,(xlRTCLENDU=1)*(xlRTCLEQCL=$D871),0))</f>
        <v>DIST_FA</v>
      </c>
      <c r="W871" s="153" t="str">
        <f t="array" ref="W871">INDEX(xlRTCLNAME,MATCH(1,(xlRTCLENDU=2)*(xlRTCLEQCL=$F871),0))</f>
        <v>CENT_AIR</v>
      </c>
      <c r="X871" s="153" t="str">
        <f t="array" ref="X871">INDEX(xlRTTYNAME,MATCH(1,(xlRTTYENDU=1)*(xlRTTYEQCL=$D871)*(xlRTEQTYPE=$E871),0))</f>
        <v>DIST_FA4</v>
      </c>
      <c r="Y871" s="153" t="str">
        <f t="array" ref="Y871">INDEX(xlRTTYNAME,MATCH(1,(xlRTTYENDU=2)*(xlRTTYEQCL=$F871)*(xlRTEQTYPE=$G871),0))</f>
        <v>CENT_AIR4</v>
      </c>
    </row>
    <row r="872" spans="1:25" s="158" customFormat="1" x14ac:dyDescent="0.2">
      <c r="A872"/>
      <c r="B872" s="49">
        <v>1</v>
      </c>
      <c r="C872" s="49">
        <v>1</v>
      </c>
      <c r="D872" s="49">
        <v>7</v>
      </c>
      <c r="E872" s="49">
        <v>25</v>
      </c>
      <c r="F872" s="49">
        <v>2</v>
      </c>
      <c r="G872" s="49">
        <v>8</v>
      </c>
      <c r="H872" s="166">
        <v>2023</v>
      </c>
      <c r="I872" s="166">
        <v>2032</v>
      </c>
      <c r="J872" s="50">
        <v>1.0309999999999999</v>
      </c>
      <c r="K872" s="50">
        <v>1.0667</v>
      </c>
      <c r="L872" s="50">
        <v>0.44290000000000002</v>
      </c>
      <c r="M872" s="50">
        <v>0.96350000000000002</v>
      </c>
      <c r="N872" s="50">
        <v>0.79790000000000005</v>
      </c>
      <c r="O872" s="50">
        <v>1.0538000000000001</v>
      </c>
      <c r="P872" s="49">
        <v>14685</v>
      </c>
      <c r="Q872" s="51">
        <f t="array" ref="Q872">SUM(IF(($S872&gt;=4)*($C872='TaxCred&amp;Subs'!$D$123:$D$127)*($H872='TaxCred&amp;Subs'!$C$123:$C$127)*($H872&lt;='TaxCred&amp;Subs'!$C$129),'TaxCred&amp;Subs'!$E$123:$E$127,0))</f>
        <v>2500</v>
      </c>
      <c r="R872" s="171">
        <v>0</v>
      </c>
      <c r="S872" s="49">
        <v>5</v>
      </c>
      <c r="T872" s="49" t="s">
        <v>225</v>
      </c>
      <c r="U872"/>
      <c r="V872" s="153" t="str">
        <f t="array" ref="V872">INDEX(xlRTCLNAME,MATCH(1,(xlRTCLENDU=1)*(xlRTCLEQCL=$D872),0))</f>
        <v>DIST_FA</v>
      </c>
      <c r="W872" s="153" t="str">
        <f t="array" ref="W872">INDEX(xlRTCLNAME,MATCH(1,(xlRTCLENDU=2)*(xlRTCLEQCL=$F872),0))</f>
        <v>CENT_AIR</v>
      </c>
      <c r="X872" s="153" t="str">
        <f t="array" ref="X872">INDEX(xlRTTYNAME,MATCH(1,(xlRTTYENDU=1)*(xlRTTYEQCL=$D872)*(xlRTEQTYPE=$E872),0))</f>
        <v>DIST_FA4</v>
      </c>
      <c r="Y872" s="153" t="str">
        <f t="array" ref="Y872">INDEX(xlRTTYNAME,MATCH(1,(xlRTTYENDU=2)*(xlRTTYEQCL=$F872)*(xlRTEQTYPE=$G872),0))</f>
        <v>CENT_AIR4</v>
      </c>
    </row>
    <row r="873" spans="1:25" s="157" customFormat="1" x14ac:dyDescent="0.2">
      <c r="A873"/>
      <c r="B873" s="126">
        <v>1</v>
      </c>
      <c r="C873" s="126">
        <v>1</v>
      </c>
      <c r="D873" s="126">
        <v>7</v>
      </c>
      <c r="E873" s="126">
        <v>25</v>
      </c>
      <c r="F873" s="126">
        <v>2</v>
      </c>
      <c r="G873" s="126">
        <v>8</v>
      </c>
      <c r="H873" s="143">
        <v>2033</v>
      </c>
      <c r="I873" s="148">
        <v>2050</v>
      </c>
      <c r="J873" s="127">
        <v>1.0309999999999999</v>
      </c>
      <c r="K873" s="127">
        <v>1.0667</v>
      </c>
      <c r="L873" s="127">
        <v>0.44290000000000002</v>
      </c>
      <c r="M873" s="127">
        <v>0.96350000000000002</v>
      </c>
      <c r="N873" s="127">
        <v>0.79790000000000005</v>
      </c>
      <c r="O873" s="127">
        <v>1.0538000000000001</v>
      </c>
      <c r="P873" s="126">
        <v>14685</v>
      </c>
      <c r="Q873" s="128">
        <f t="array" ref="Q873">SUM(IF(($S873&gt;=4)*($C873='TaxCred&amp;Subs'!$D$123:$D$127)*($H873='TaxCred&amp;Subs'!$C$123:$C$127)*($H873&lt;='TaxCred&amp;Subs'!$C$129),'TaxCred&amp;Subs'!$E$123:$E$127,0))</f>
        <v>0</v>
      </c>
      <c r="R873" s="174">
        <v>0</v>
      </c>
      <c r="S873" s="126">
        <v>5</v>
      </c>
      <c r="T873" s="126" t="s">
        <v>225</v>
      </c>
      <c r="U873"/>
      <c r="V873" s="153" t="str">
        <f t="array" ref="V873">INDEX(xlRTCLNAME,MATCH(1,(xlRTCLENDU=1)*(xlRTCLEQCL=$D873),0))</f>
        <v>DIST_FA</v>
      </c>
      <c r="W873" s="153" t="str">
        <f t="array" ref="W873">INDEX(xlRTCLNAME,MATCH(1,(xlRTCLENDU=2)*(xlRTCLEQCL=$F873),0))</f>
        <v>CENT_AIR</v>
      </c>
      <c r="X873" s="153" t="str">
        <f t="array" ref="X873">INDEX(xlRTTYNAME,MATCH(1,(xlRTTYENDU=1)*(xlRTTYEQCL=$D873)*(xlRTEQTYPE=$E873),0))</f>
        <v>DIST_FA4</v>
      </c>
      <c r="Y873" s="153" t="str">
        <f t="array" ref="Y873">INDEX(xlRTTYNAME,MATCH(1,(xlRTTYENDU=2)*(xlRTTYEQCL=$F873)*(xlRTEQTYPE=$G873),0))</f>
        <v>CENT_AIR4</v>
      </c>
    </row>
    <row r="874" spans="1:25" s="157" customFormat="1" x14ac:dyDescent="0.2">
      <c r="A874"/>
      <c r="B874" s="126">
        <v>2</v>
      </c>
      <c r="C874" s="126">
        <v>1</v>
      </c>
      <c r="D874" s="126">
        <v>7</v>
      </c>
      <c r="E874" s="126">
        <v>25</v>
      </c>
      <c r="F874" s="126">
        <v>2</v>
      </c>
      <c r="G874" s="126">
        <v>8</v>
      </c>
      <c r="H874" s="148">
        <v>2016</v>
      </c>
      <c r="I874" s="143">
        <v>2022</v>
      </c>
      <c r="J874" s="127">
        <v>1.0772999999999999</v>
      </c>
      <c r="K874" s="127">
        <v>1.0758000000000001</v>
      </c>
      <c r="L874" s="127">
        <v>0.4617</v>
      </c>
      <c r="M874" s="127">
        <v>0.81589999999999996</v>
      </c>
      <c r="N874" s="127">
        <v>0.93169999999999997</v>
      </c>
      <c r="O874" s="127">
        <v>1.0538000000000001</v>
      </c>
      <c r="P874" s="126">
        <v>16678</v>
      </c>
      <c r="Q874" s="128">
        <f t="array" ref="Q874">SUM(IF(($S874&gt;=4)*($C874='TaxCred&amp;Subs'!$D$123:$D$127)*($H874='TaxCred&amp;Subs'!$C$123:$C$127)*($H874&lt;='TaxCred&amp;Subs'!$C$129),'TaxCred&amp;Subs'!$E$123:$E$127,0))</f>
        <v>2000</v>
      </c>
      <c r="R874" s="174">
        <v>0</v>
      </c>
      <c r="S874" s="126">
        <v>5</v>
      </c>
      <c r="T874" s="126" t="s">
        <v>225</v>
      </c>
      <c r="U874"/>
      <c r="V874" s="153" t="str">
        <f t="array" ref="V874">INDEX(xlRTCLNAME,MATCH(1,(xlRTCLENDU=1)*(xlRTCLEQCL=$D874),0))</f>
        <v>DIST_FA</v>
      </c>
      <c r="W874" s="153" t="str">
        <f t="array" ref="W874">INDEX(xlRTCLNAME,MATCH(1,(xlRTCLENDU=2)*(xlRTCLEQCL=$F874),0))</f>
        <v>CENT_AIR</v>
      </c>
      <c r="X874" s="153" t="str">
        <f t="array" ref="X874">INDEX(xlRTTYNAME,MATCH(1,(xlRTTYENDU=1)*(xlRTTYEQCL=$D874)*(xlRTEQTYPE=$E874),0))</f>
        <v>DIST_FA4</v>
      </c>
      <c r="Y874" s="153" t="str">
        <f t="array" ref="Y874">INDEX(xlRTTYNAME,MATCH(1,(xlRTTYENDU=2)*(xlRTTYEQCL=$F874)*(xlRTEQTYPE=$G874),0))</f>
        <v>CENT_AIR4</v>
      </c>
    </row>
    <row r="875" spans="1:25" s="157" customFormat="1" x14ac:dyDescent="0.2">
      <c r="A875"/>
      <c r="B875" s="49">
        <v>2</v>
      </c>
      <c r="C875" s="49">
        <v>1</v>
      </c>
      <c r="D875" s="49">
        <v>7</v>
      </c>
      <c r="E875" s="49">
        <v>25</v>
      </c>
      <c r="F875" s="49">
        <v>2</v>
      </c>
      <c r="G875" s="49">
        <v>8</v>
      </c>
      <c r="H875" s="166">
        <v>2023</v>
      </c>
      <c r="I875" s="166">
        <v>2032</v>
      </c>
      <c r="J875" s="50">
        <v>1.0772999999999999</v>
      </c>
      <c r="K875" s="50">
        <v>1.0758000000000001</v>
      </c>
      <c r="L875" s="50">
        <v>0.4617</v>
      </c>
      <c r="M875" s="50">
        <v>0.81589999999999996</v>
      </c>
      <c r="N875" s="50">
        <v>0.93169999999999997</v>
      </c>
      <c r="O875" s="50">
        <v>1.0538000000000001</v>
      </c>
      <c r="P875" s="49">
        <v>16678</v>
      </c>
      <c r="Q875" s="51">
        <f t="array" ref="Q875">SUM(IF(($S875&gt;=4)*($C875='TaxCred&amp;Subs'!$D$123:$D$127)*($H875='TaxCred&amp;Subs'!$C$123:$C$127)*($H875&lt;='TaxCred&amp;Subs'!$C$129),'TaxCred&amp;Subs'!$E$123:$E$127,0))</f>
        <v>2500</v>
      </c>
      <c r="R875" s="171">
        <v>0</v>
      </c>
      <c r="S875" s="49">
        <v>5</v>
      </c>
      <c r="T875" s="49" t="s">
        <v>225</v>
      </c>
      <c r="U875"/>
      <c r="V875" s="153" t="str">
        <f t="array" ref="V875">INDEX(xlRTCLNAME,MATCH(1,(xlRTCLENDU=1)*(xlRTCLEQCL=$D875),0))</f>
        <v>DIST_FA</v>
      </c>
      <c r="W875" s="153" t="str">
        <f t="array" ref="W875">INDEX(xlRTCLNAME,MATCH(1,(xlRTCLENDU=2)*(xlRTCLEQCL=$F875),0))</f>
        <v>CENT_AIR</v>
      </c>
      <c r="X875" s="153" t="str">
        <f t="array" ref="X875">INDEX(xlRTTYNAME,MATCH(1,(xlRTTYENDU=1)*(xlRTTYEQCL=$D875)*(xlRTEQTYPE=$E875),0))</f>
        <v>DIST_FA4</v>
      </c>
      <c r="Y875" s="153" t="str">
        <f t="array" ref="Y875">INDEX(xlRTTYNAME,MATCH(1,(xlRTTYENDU=2)*(xlRTTYEQCL=$F875)*(xlRTEQTYPE=$G875),0))</f>
        <v>CENT_AIR4</v>
      </c>
    </row>
    <row r="876" spans="1:25" s="157" customFormat="1" x14ac:dyDescent="0.2">
      <c r="A876"/>
      <c r="B876" s="126">
        <v>2</v>
      </c>
      <c r="C876" s="126">
        <v>1</v>
      </c>
      <c r="D876" s="126">
        <v>7</v>
      </c>
      <c r="E876" s="126">
        <v>25</v>
      </c>
      <c r="F876" s="126">
        <v>2</v>
      </c>
      <c r="G876" s="126">
        <v>8</v>
      </c>
      <c r="H876" s="143">
        <v>2033</v>
      </c>
      <c r="I876" s="148">
        <v>2050</v>
      </c>
      <c r="J876" s="127">
        <v>1.0772999999999999</v>
      </c>
      <c r="K876" s="127">
        <v>1.0758000000000001</v>
      </c>
      <c r="L876" s="127">
        <v>0.4617</v>
      </c>
      <c r="M876" s="127">
        <v>0.81589999999999996</v>
      </c>
      <c r="N876" s="127">
        <v>0.93169999999999997</v>
      </c>
      <c r="O876" s="127">
        <v>1.0538000000000001</v>
      </c>
      <c r="P876" s="126">
        <v>16678</v>
      </c>
      <c r="Q876" s="128">
        <f t="array" ref="Q876">SUM(IF(($S876&gt;=4)*($C876='TaxCred&amp;Subs'!$D$123:$D$127)*($H876='TaxCred&amp;Subs'!$C$123:$C$127)*($H876&lt;='TaxCred&amp;Subs'!$C$129),'TaxCred&amp;Subs'!$E$123:$E$127,0))</f>
        <v>0</v>
      </c>
      <c r="R876" s="174">
        <v>0</v>
      </c>
      <c r="S876" s="126">
        <v>5</v>
      </c>
      <c r="T876" s="126" t="s">
        <v>225</v>
      </c>
      <c r="U876"/>
      <c r="V876" s="153" t="str">
        <f t="array" ref="V876">INDEX(xlRTCLNAME,MATCH(1,(xlRTCLENDU=1)*(xlRTCLEQCL=$D876),0))</f>
        <v>DIST_FA</v>
      </c>
      <c r="W876" s="153" t="str">
        <f t="array" ref="W876">INDEX(xlRTCLNAME,MATCH(1,(xlRTCLENDU=2)*(xlRTCLEQCL=$F876),0))</f>
        <v>CENT_AIR</v>
      </c>
      <c r="X876" s="153" t="str">
        <f t="array" ref="X876">INDEX(xlRTTYNAME,MATCH(1,(xlRTTYENDU=1)*(xlRTTYEQCL=$D876)*(xlRTEQTYPE=$E876),0))</f>
        <v>DIST_FA4</v>
      </c>
      <c r="Y876" s="153" t="str">
        <f t="array" ref="Y876">INDEX(xlRTTYNAME,MATCH(1,(xlRTTYENDU=2)*(xlRTTYEQCL=$F876)*(xlRTEQTYPE=$G876),0))</f>
        <v>CENT_AIR4</v>
      </c>
    </row>
    <row r="877" spans="1:25" s="157" customFormat="1" x14ac:dyDescent="0.2">
      <c r="A877"/>
      <c r="B877" s="126">
        <v>5</v>
      </c>
      <c r="C877" s="126">
        <v>1</v>
      </c>
      <c r="D877" s="126">
        <v>7</v>
      </c>
      <c r="E877" s="126">
        <v>25</v>
      </c>
      <c r="F877" s="126">
        <v>2</v>
      </c>
      <c r="G877" s="126">
        <v>8</v>
      </c>
      <c r="H877" s="148">
        <v>2016</v>
      </c>
      <c r="I877" s="143">
        <v>2022</v>
      </c>
      <c r="J877" s="127">
        <v>1.0847</v>
      </c>
      <c r="K877" s="127">
        <v>1.056</v>
      </c>
      <c r="L877" s="127">
        <v>0.32740000000000002</v>
      </c>
      <c r="M877" s="127">
        <v>0.73150000000000004</v>
      </c>
      <c r="N877" s="127">
        <v>0.76280000000000003</v>
      </c>
      <c r="O877" s="127">
        <v>1.0538000000000001</v>
      </c>
      <c r="P877" s="126">
        <v>11579</v>
      </c>
      <c r="Q877" s="128">
        <f t="array" ref="Q877">SUM(IF(($S877&gt;=4)*($C877='TaxCred&amp;Subs'!$D$123:$D$127)*($H877='TaxCred&amp;Subs'!$C$123:$C$127)*($H877&lt;='TaxCred&amp;Subs'!$C$129),'TaxCred&amp;Subs'!$E$123:$E$127,0))</f>
        <v>2000</v>
      </c>
      <c r="R877" s="174">
        <v>0</v>
      </c>
      <c r="S877" s="126">
        <v>5</v>
      </c>
      <c r="T877" s="126" t="s">
        <v>225</v>
      </c>
      <c r="U877"/>
      <c r="V877" s="153" t="str">
        <f t="array" ref="V877">INDEX(xlRTCLNAME,MATCH(1,(xlRTCLENDU=1)*(xlRTCLEQCL=$D877),0))</f>
        <v>DIST_FA</v>
      </c>
      <c r="W877" s="153" t="str">
        <f t="array" ref="W877">INDEX(xlRTCLNAME,MATCH(1,(xlRTCLENDU=2)*(xlRTCLEQCL=$F877),0))</f>
        <v>CENT_AIR</v>
      </c>
      <c r="X877" s="153" t="str">
        <f t="array" ref="X877">INDEX(xlRTTYNAME,MATCH(1,(xlRTTYENDU=1)*(xlRTTYEQCL=$D877)*(xlRTEQTYPE=$E877),0))</f>
        <v>DIST_FA4</v>
      </c>
      <c r="Y877" s="153" t="str">
        <f t="array" ref="Y877">INDEX(xlRTTYNAME,MATCH(1,(xlRTTYENDU=2)*(xlRTTYEQCL=$F877)*(xlRTEQTYPE=$G877),0))</f>
        <v>CENT_AIR4</v>
      </c>
    </row>
    <row r="878" spans="1:25" s="157" customFormat="1" x14ac:dyDescent="0.2">
      <c r="A878"/>
      <c r="B878" s="49">
        <v>5</v>
      </c>
      <c r="C878" s="49">
        <v>1</v>
      </c>
      <c r="D878" s="49">
        <v>7</v>
      </c>
      <c r="E878" s="49">
        <v>25</v>
      </c>
      <c r="F878" s="49">
        <v>2</v>
      </c>
      <c r="G878" s="49">
        <v>8</v>
      </c>
      <c r="H878" s="166">
        <v>2023</v>
      </c>
      <c r="I878" s="166">
        <v>2032</v>
      </c>
      <c r="J878" s="50">
        <v>1.0847</v>
      </c>
      <c r="K878" s="50">
        <v>1.056</v>
      </c>
      <c r="L878" s="50">
        <v>0.32740000000000002</v>
      </c>
      <c r="M878" s="50">
        <v>0.73150000000000004</v>
      </c>
      <c r="N878" s="50">
        <v>0.76280000000000003</v>
      </c>
      <c r="O878" s="50">
        <v>1.0538000000000001</v>
      </c>
      <c r="P878" s="49">
        <v>11579</v>
      </c>
      <c r="Q878" s="51">
        <f t="array" ref="Q878">SUM(IF(($S878&gt;=4)*($C878='TaxCred&amp;Subs'!$D$123:$D$127)*($H878='TaxCred&amp;Subs'!$C$123:$C$127)*($H878&lt;='TaxCred&amp;Subs'!$C$129),'TaxCred&amp;Subs'!$E$123:$E$127,0))</f>
        <v>2500</v>
      </c>
      <c r="R878" s="171">
        <v>0</v>
      </c>
      <c r="S878" s="49">
        <v>5</v>
      </c>
      <c r="T878" s="49" t="s">
        <v>225</v>
      </c>
      <c r="U878"/>
      <c r="V878" s="153" t="str">
        <f t="array" ref="V878">INDEX(xlRTCLNAME,MATCH(1,(xlRTCLENDU=1)*(xlRTCLEQCL=$D878),0))</f>
        <v>DIST_FA</v>
      </c>
      <c r="W878" s="153" t="str">
        <f t="array" ref="W878">INDEX(xlRTCLNAME,MATCH(1,(xlRTCLENDU=2)*(xlRTCLEQCL=$F878),0))</f>
        <v>CENT_AIR</v>
      </c>
      <c r="X878" s="153" t="str">
        <f t="array" ref="X878">INDEX(xlRTTYNAME,MATCH(1,(xlRTTYENDU=1)*(xlRTTYEQCL=$D878)*(xlRTEQTYPE=$E878),0))</f>
        <v>DIST_FA4</v>
      </c>
      <c r="Y878" s="153" t="str">
        <f t="array" ref="Y878">INDEX(xlRTTYNAME,MATCH(1,(xlRTTYENDU=2)*(xlRTTYEQCL=$F878)*(xlRTEQTYPE=$G878),0))</f>
        <v>CENT_AIR4</v>
      </c>
    </row>
    <row r="879" spans="1:25" s="157" customFormat="1" x14ac:dyDescent="0.2">
      <c r="A879"/>
      <c r="B879" s="126">
        <v>5</v>
      </c>
      <c r="C879" s="126">
        <v>1</v>
      </c>
      <c r="D879" s="126">
        <v>7</v>
      </c>
      <c r="E879" s="126">
        <v>25</v>
      </c>
      <c r="F879" s="126">
        <v>2</v>
      </c>
      <c r="G879" s="126">
        <v>8</v>
      </c>
      <c r="H879" s="143">
        <v>2033</v>
      </c>
      <c r="I879" s="148">
        <v>2050</v>
      </c>
      <c r="J879" s="127">
        <v>1.0847</v>
      </c>
      <c r="K879" s="127">
        <v>1.056</v>
      </c>
      <c r="L879" s="127">
        <v>0.32740000000000002</v>
      </c>
      <c r="M879" s="127">
        <v>0.73150000000000004</v>
      </c>
      <c r="N879" s="127">
        <v>0.76280000000000003</v>
      </c>
      <c r="O879" s="127">
        <v>1.0538000000000001</v>
      </c>
      <c r="P879" s="126">
        <v>11579</v>
      </c>
      <c r="Q879" s="128">
        <f t="array" ref="Q879">SUM(IF(($S879&gt;=4)*($C879='TaxCred&amp;Subs'!$D$123:$D$127)*($H879='TaxCred&amp;Subs'!$C$123:$C$127)*($H879&lt;='TaxCred&amp;Subs'!$C$129),'TaxCred&amp;Subs'!$E$123:$E$127,0))</f>
        <v>0</v>
      </c>
      <c r="R879" s="174">
        <v>0</v>
      </c>
      <c r="S879" s="126">
        <v>5</v>
      </c>
      <c r="T879" s="126" t="s">
        <v>225</v>
      </c>
      <c r="U879"/>
      <c r="V879" s="153" t="str">
        <f t="array" ref="V879">INDEX(xlRTCLNAME,MATCH(1,(xlRTCLENDU=1)*(xlRTCLEQCL=$D879),0))</f>
        <v>DIST_FA</v>
      </c>
      <c r="W879" s="153" t="str">
        <f t="array" ref="W879">INDEX(xlRTCLNAME,MATCH(1,(xlRTCLENDU=2)*(xlRTCLEQCL=$F879),0))</f>
        <v>CENT_AIR</v>
      </c>
      <c r="X879" s="153" t="str">
        <f t="array" ref="X879">INDEX(xlRTTYNAME,MATCH(1,(xlRTTYENDU=1)*(xlRTTYEQCL=$D879)*(xlRTEQTYPE=$E879),0))</f>
        <v>DIST_FA4</v>
      </c>
      <c r="Y879" s="153" t="str">
        <f t="array" ref="Y879">INDEX(xlRTTYNAME,MATCH(1,(xlRTTYENDU=2)*(xlRTTYEQCL=$F879)*(xlRTEQTYPE=$G879),0))</f>
        <v>CENT_AIR4</v>
      </c>
    </row>
    <row r="880" spans="1:25" s="157" customFormat="1" x14ac:dyDescent="0.2">
      <c r="A880"/>
      <c r="B880" s="126">
        <v>6</v>
      </c>
      <c r="C880" s="126">
        <v>1</v>
      </c>
      <c r="D880" s="126">
        <v>7</v>
      </c>
      <c r="E880" s="126">
        <v>25</v>
      </c>
      <c r="F880" s="126">
        <v>2</v>
      </c>
      <c r="G880" s="126">
        <v>8</v>
      </c>
      <c r="H880" s="148">
        <v>2016</v>
      </c>
      <c r="I880" s="143">
        <v>2022</v>
      </c>
      <c r="J880" s="127">
        <v>1.0907</v>
      </c>
      <c r="K880" s="127">
        <v>1.0603</v>
      </c>
      <c r="L880" s="127">
        <v>0.41909999999999997</v>
      </c>
      <c r="M880" s="127">
        <v>0.76590000000000003</v>
      </c>
      <c r="N880" s="127">
        <v>0.89139999999999997</v>
      </c>
      <c r="O880" s="127">
        <v>1.0538000000000001</v>
      </c>
      <c r="P880" s="126">
        <v>11441</v>
      </c>
      <c r="Q880" s="128">
        <f t="array" ref="Q880">SUM(IF(($S880&gt;=4)*($C880='TaxCred&amp;Subs'!$D$123:$D$127)*($H880='TaxCred&amp;Subs'!$C$123:$C$127)*($H880&lt;='TaxCred&amp;Subs'!$C$129),'TaxCred&amp;Subs'!$E$123:$E$127,0))</f>
        <v>2000</v>
      </c>
      <c r="R880" s="174">
        <v>0</v>
      </c>
      <c r="S880" s="126">
        <v>5</v>
      </c>
      <c r="T880" s="126" t="s">
        <v>225</v>
      </c>
      <c r="U880"/>
      <c r="V880" s="153" t="str">
        <f t="array" ref="V880">INDEX(xlRTCLNAME,MATCH(1,(xlRTCLENDU=1)*(xlRTCLEQCL=$D880),0))</f>
        <v>DIST_FA</v>
      </c>
      <c r="W880" s="153" t="str">
        <f t="array" ref="W880">INDEX(xlRTCLNAME,MATCH(1,(xlRTCLENDU=2)*(xlRTCLEQCL=$F880),0))</f>
        <v>CENT_AIR</v>
      </c>
      <c r="X880" s="153" t="str">
        <f t="array" ref="X880">INDEX(xlRTTYNAME,MATCH(1,(xlRTTYENDU=1)*(xlRTTYEQCL=$D880)*(xlRTEQTYPE=$E880),0))</f>
        <v>DIST_FA4</v>
      </c>
      <c r="Y880" s="153" t="str">
        <f t="array" ref="Y880">INDEX(xlRTTYNAME,MATCH(1,(xlRTTYENDU=2)*(xlRTTYEQCL=$F880)*(xlRTEQTYPE=$G880),0))</f>
        <v>CENT_AIR4</v>
      </c>
    </row>
    <row r="881" spans="1:25" s="157" customFormat="1" x14ac:dyDescent="0.2">
      <c r="A881"/>
      <c r="B881" s="49">
        <v>6</v>
      </c>
      <c r="C881" s="49">
        <v>1</v>
      </c>
      <c r="D881" s="49">
        <v>7</v>
      </c>
      <c r="E881" s="49">
        <v>25</v>
      </c>
      <c r="F881" s="49">
        <v>2</v>
      </c>
      <c r="G881" s="49">
        <v>8</v>
      </c>
      <c r="H881" s="166">
        <v>2023</v>
      </c>
      <c r="I881" s="166">
        <v>2032</v>
      </c>
      <c r="J881" s="50">
        <v>1.0907</v>
      </c>
      <c r="K881" s="50">
        <v>1.0603</v>
      </c>
      <c r="L881" s="50">
        <v>0.41909999999999997</v>
      </c>
      <c r="M881" s="50">
        <v>0.76590000000000003</v>
      </c>
      <c r="N881" s="50">
        <v>0.89139999999999997</v>
      </c>
      <c r="O881" s="50">
        <v>1.0538000000000001</v>
      </c>
      <c r="P881" s="49">
        <v>11441</v>
      </c>
      <c r="Q881" s="51">
        <f t="array" ref="Q881">SUM(IF(($S881&gt;=4)*($C881='TaxCred&amp;Subs'!$D$123:$D$127)*($H881='TaxCred&amp;Subs'!$C$123:$C$127)*($H881&lt;='TaxCred&amp;Subs'!$C$129),'TaxCred&amp;Subs'!$E$123:$E$127,0))</f>
        <v>2500</v>
      </c>
      <c r="R881" s="171">
        <v>0</v>
      </c>
      <c r="S881" s="49">
        <v>5</v>
      </c>
      <c r="T881" s="49" t="s">
        <v>225</v>
      </c>
      <c r="U881"/>
      <c r="V881" s="153" t="str">
        <f t="array" ref="V881">INDEX(xlRTCLNAME,MATCH(1,(xlRTCLENDU=1)*(xlRTCLEQCL=$D881),0))</f>
        <v>DIST_FA</v>
      </c>
      <c r="W881" s="153" t="str">
        <f t="array" ref="W881">INDEX(xlRTCLNAME,MATCH(1,(xlRTCLENDU=2)*(xlRTCLEQCL=$F881),0))</f>
        <v>CENT_AIR</v>
      </c>
      <c r="X881" s="153" t="str">
        <f t="array" ref="X881">INDEX(xlRTTYNAME,MATCH(1,(xlRTTYENDU=1)*(xlRTTYEQCL=$D881)*(xlRTEQTYPE=$E881),0))</f>
        <v>DIST_FA4</v>
      </c>
      <c r="Y881" s="153" t="str">
        <f t="array" ref="Y881">INDEX(xlRTTYNAME,MATCH(1,(xlRTTYENDU=2)*(xlRTTYEQCL=$F881)*(xlRTEQTYPE=$G881),0))</f>
        <v>CENT_AIR4</v>
      </c>
    </row>
    <row r="882" spans="1:25" s="157" customFormat="1" x14ac:dyDescent="0.2">
      <c r="A882"/>
      <c r="B882" s="126">
        <v>6</v>
      </c>
      <c r="C882" s="126">
        <v>1</v>
      </c>
      <c r="D882" s="126">
        <v>7</v>
      </c>
      <c r="E882" s="126">
        <v>25</v>
      </c>
      <c r="F882" s="126">
        <v>2</v>
      </c>
      <c r="G882" s="126">
        <v>8</v>
      </c>
      <c r="H882" s="143">
        <v>2033</v>
      </c>
      <c r="I882" s="148">
        <v>2050</v>
      </c>
      <c r="J882" s="127">
        <v>1.0907</v>
      </c>
      <c r="K882" s="127">
        <v>1.0603</v>
      </c>
      <c r="L882" s="127">
        <v>0.41909999999999997</v>
      </c>
      <c r="M882" s="127">
        <v>0.76590000000000003</v>
      </c>
      <c r="N882" s="127">
        <v>0.89139999999999997</v>
      </c>
      <c r="O882" s="127">
        <v>1.0538000000000001</v>
      </c>
      <c r="P882" s="126">
        <v>11441</v>
      </c>
      <c r="Q882" s="128">
        <f t="array" ref="Q882">SUM(IF(($S882&gt;=4)*($C882='TaxCred&amp;Subs'!$D$123:$D$127)*($H882='TaxCred&amp;Subs'!$C$123:$C$127)*($H882&lt;='TaxCred&amp;Subs'!$C$129),'TaxCred&amp;Subs'!$E$123:$E$127,0))</f>
        <v>0</v>
      </c>
      <c r="R882" s="174">
        <v>0</v>
      </c>
      <c r="S882" s="126">
        <v>5</v>
      </c>
      <c r="T882" s="126" t="s">
        <v>225</v>
      </c>
      <c r="U882"/>
      <c r="V882" s="153" t="str">
        <f t="array" ref="V882">INDEX(xlRTCLNAME,MATCH(1,(xlRTCLENDU=1)*(xlRTCLEQCL=$D882),0))</f>
        <v>DIST_FA</v>
      </c>
      <c r="W882" s="153" t="str">
        <f t="array" ref="W882">INDEX(xlRTCLNAME,MATCH(1,(xlRTCLENDU=2)*(xlRTCLEQCL=$F882),0))</f>
        <v>CENT_AIR</v>
      </c>
      <c r="X882" s="153" t="str">
        <f t="array" ref="X882">INDEX(xlRTTYNAME,MATCH(1,(xlRTTYENDU=1)*(xlRTTYEQCL=$D882)*(xlRTEQTYPE=$E882),0))</f>
        <v>DIST_FA4</v>
      </c>
      <c r="Y882" s="153" t="str">
        <f t="array" ref="Y882">INDEX(xlRTTYNAME,MATCH(1,(xlRTTYENDU=2)*(xlRTTYEQCL=$F882)*(xlRTEQTYPE=$G882),0))</f>
        <v>CENT_AIR4</v>
      </c>
    </row>
    <row r="883" spans="1:25" s="157" customFormat="1" x14ac:dyDescent="0.2">
      <c r="A883"/>
      <c r="B883" s="126">
        <v>7</v>
      </c>
      <c r="C883" s="126">
        <v>1</v>
      </c>
      <c r="D883" s="126">
        <v>7</v>
      </c>
      <c r="E883" s="126">
        <v>25</v>
      </c>
      <c r="F883" s="126">
        <v>2</v>
      </c>
      <c r="G883" s="126">
        <v>8</v>
      </c>
      <c r="H883" s="148">
        <v>2016</v>
      </c>
      <c r="I883" s="143">
        <v>2022</v>
      </c>
      <c r="J883" s="127">
        <v>1.0885</v>
      </c>
      <c r="K883" s="127">
        <v>1.0575000000000001</v>
      </c>
      <c r="L883" s="127">
        <v>0.37530000000000002</v>
      </c>
      <c r="M883" s="127">
        <v>0.65339999999999998</v>
      </c>
      <c r="N883" s="127">
        <v>0.872</v>
      </c>
      <c r="O883" s="127">
        <v>1.0538000000000001</v>
      </c>
      <c r="P883" s="126">
        <v>11603</v>
      </c>
      <c r="Q883" s="128">
        <f t="array" ref="Q883">SUM(IF(($S883&gt;=4)*($C883='TaxCred&amp;Subs'!$D$123:$D$127)*($H883='TaxCred&amp;Subs'!$C$123:$C$127)*($H883&lt;='TaxCred&amp;Subs'!$C$129),'TaxCred&amp;Subs'!$E$123:$E$127,0))</f>
        <v>2000</v>
      </c>
      <c r="R883" s="174">
        <v>0</v>
      </c>
      <c r="S883" s="126">
        <v>5</v>
      </c>
      <c r="T883" s="126" t="s">
        <v>225</v>
      </c>
      <c r="U883"/>
      <c r="V883" s="153" t="str">
        <f t="array" ref="V883">INDEX(xlRTCLNAME,MATCH(1,(xlRTCLENDU=1)*(xlRTCLEQCL=$D883),0))</f>
        <v>DIST_FA</v>
      </c>
      <c r="W883" s="153" t="str">
        <f t="array" ref="W883">INDEX(xlRTCLNAME,MATCH(1,(xlRTCLENDU=2)*(xlRTCLEQCL=$F883),0))</f>
        <v>CENT_AIR</v>
      </c>
      <c r="X883" s="153" t="str">
        <f t="array" ref="X883">INDEX(xlRTTYNAME,MATCH(1,(xlRTTYENDU=1)*(xlRTTYEQCL=$D883)*(xlRTEQTYPE=$E883),0))</f>
        <v>DIST_FA4</v>
      </c>
      <c r="Y883" s="153" t="str">
        <f t="array" ref="Y883">INDEX(xlRTTYNAME,MATCH(1,(xlRTTYENDU=2)*(xlRTTYEQCL=$F883)*(xlRTEQTYPE=$G883),0))</f>
        <v>CENT_AIR4</v>
      </c>
    </row>
    <row r="884" spans="1:25" s="157" customFormat="1" x14ac:dyDescent="0.2">
      <c r="A884"/>
      <c r="B884" s="49">
        <v>7</v>
      </c>
      <c r="C884" s="49">
        <v>1</v>
      </c>
      <c r="D884" s="49">
        <v>7</v>
      </c>
      <c r="E884" s="49">
        <v>25</v>
      </c>
      <c r="F884" s="49">
        <v>2</v>
      </c>
      <c r="G884" s="49">
        <v>8</v>
      </c>
      <c r="H884" s="166">
        <v>2023</v>
      </c>
      <c r="I884" s="166">
        <v>2032</v>
      </c>
      <c r="J884" s="50">
        <v>1.0885</v>
      </c>
      <c r="K884" s="50">
        <v>1.0575000000000001</v>
      </c>
      <c r="L884" s="50">
        <v>0.37530000000000002</v>
      </c>
      <c r="M884" s="50">
        <v>0.65339999999999998</v>
      </c>
      <c r="N884" s="50">
        <v>0.872</v>
      </c>
      <c r="O884" s="50">
        <v>1.0538000000000001</v>
      </c>
      <c r="P884" s="49">
        <v>11603</v>
      </c>
      <c r="Q884" s="51">
        <f t="array" ref="Q884">SUM(IF(($S884&gt;=4)*($C884='TaxCred&amp;Subs'!$D$123:$D$127)*($H884='TaxCred&amp;Subs'!$C$123:$C$127)*($H884&lt;='TaxCred&amp;Subs'!$C$129),'TaxCred&amp;Subs'!$E$123:$E$127,0))</f>
        <v>2500</v>
      </c>
      <c r="R884" s="171">
        <v>0</v>
      </c>
      <c r="S884" s="49">
        <v>5</v>
      </c>
      <c r="T884" s="49" t="s">
        <v>225</v>
      </c>
      <c r="U884"/>
      <c r="V884" s="153" t="str">
        <f t="array" ref="V884">INDEX(xlRTCLNAME,MATCH(1,(xlRTCLENDU=1)*(xlRTCLEQCL=$D884),0))</f>
        <v>DIST_FA</v>
      </c>
      <c r="W884" s="153" t="str">
        <f t="array" ref="W884">INDEX(xlRTCLNAME,MATCH(1,(xlRTCLENDU=2)*(xlRTCLEQCL=$F884),0))</f>
        <v>CENT_AIR</v>
      </c>
      <c r="X884" s="153" t="str">
        <f t="array" ref="X884">INDEX(xlRTTYNAME,MATCH(1,(xlRTTYENDU=1)*(xlRTTYEQCL=$D884)*(xlRTEQTYPE=$E884),0))</f>
        <v>DIST_FA4</v>
      </c>
      <c r="Y884" s="153" t="str">
        <f t="array" ref="Y884">INDEX(xlRTTYNAME,MATCH(1,(xlRTTYENDU=2)*(xlRTTYEQCL=$F884)*(xlRTEQTYPE=$G884),0))</f>
        <v>CENT_AIR4</v>
      </c>
    </row>
    <row r="885" spans="1:25" s="157" customFormat="1" x14ac:dyDescent="0.2">
      <c r="A885"/>
      <c r="B885" s="126">
        <v>7</v>
      </c>
      <c r="C885" s="126">
        <v>1</v>
      </c>
      <c r="D885" s="126">
        <v>7</v>
      </c>
      <c r="E885" s="126">
        <v>25</v>
      </c>
      <c r="F885" s="126">
        <v>2</v>
      </c>
      <c r="G885" s="126">
        <v>8</v>
      </c>
      <c r="H885" s="143">
        <v>2033</v>
      </c>
      <c r="I885" s="148">
        <v>2050</v>
      </c>
      <c r="J885" s="127">
        <v>1.0885</v>
      </c>
      <c r="K885" s="127">
        <v>1.0575000000000001</v>
      </c>
      <c r="L885" s="127">
        <v>0.37530000000000002</v>
      </c>
      <c r="M885" s="127">
        <v>0.65339999999999998</v>
      </c>
      <c r="N885" s="127">
        <v>0.872</v>
      </c>
      <c r="O885" s="127">
        <v>1.0538000000000001</v>
      </c>
      <c r="P885" s="126">
        <v>11603</v>
      </c>
      <c r="Q885" s="128">
        <f t="array" ref="Q885">SUM(IF(($S885&gt;=4)*($C885='TaxCred&amp;Subs'!$D$123:$D$127)*($H885='TaxCred&amp;Subs'!$C$123:$C$127)*($H885&lt;='TaxCred&amp;Subs'!$C$129),'TaxCred&amp;Subs'!$E$123:$E$127,0))</f>
        <v>0</v>
      </c>
      <c r="R885" s="174">
        <v>0</v>
      </c>
      <c r="S885" s="126">
        <v>5</v>
      </c>
      <c r="T885" s="126" t="s">
        <v>225</v>
      </c>
      <c r="U885"/>
      <c r="V885" s="153" t="str">
        <f t="array" ref="V885">INDEX(xlRTCLNAME,MATCH(1,(xlRTCLENDU=1)*(xlRTCLEQCL=$D885),0))</f>
        <v>DIST_FA</v>
      </c>
      <c r="W885" s="153" t="str">
        <f t="array" ref="W885">INDEX(xlRTCLNAME,MATCH(1,(xlRTCLENDU=2)*(xlRTCLEQCL=$F885),0))</f>
        <v>CENT_AIR</v>
      </c>
      <c r="X885" s="153" t="str">
        <f t="array" ref="X885">INDEX(xlRTTYNAME,MATCH(1,(xlRTTYENDU=1)*(xlRTTYEQCL=$D885)*(xlRTEQTYPE=$E885),0))</f>
        <v>DIST_FA4</v>
      </c>
      <c r="Y885" s="153" t="str">
        <f t="array" ref="Y885">INDEX(xlRTTYNAME,MATCH(1,(xlRTTYENDU=2)*(xlRTTYEQCL=$F885)*(xlRTEQTYPE=$G885),0))</f>
        <v>CENT_AIR4</v>
      </c>
    </row>
    <row r="886" spans="1:25" s="157" customFormat="1" x14ac:dyDescent="0.2">
      <c r="A886"/>
      <c r="B886" s="126">
        <v>8</v>
      </c>
      <c r="C886" s="126">
        <v>1</v>
      </c>
      <c r="D886" s="126">
        <v>7</v>
      </c>
      <c r="E886" s="126">
        <v>25</v>
      </c>
      <c r="F886" s="126">
        <v>2</v>
      </c>
      <c r="G886" s="126">
        <v>8</v>
      </c>
      <c r="H886" s="148">
        <v>2016</v>
      </c>
      <c r="I886" s="143">
        <v>2022</v>
      </c>
      <c r="J886" s="127">
        <v>1.0838000000000001</v>
      </c>
      <c r="K886" s="127">
        <v>1.0832999999999999</v>
      </c>
      <c r="L886" s="127">
        <v>0.43130000000000002</v>
      </c>
      <c r="M886" s="127">
        <v>0.78110000000000002</v>
      </c>
      <c r="N886" s="127">
        <v>0.86950000000000005</v>
      </c>
      <c r="O886" s="127">
        <v>1.0538000000000001</v>
      </c>
      <c r="P886" s="126">
        <v>12094</v>
      </c>
      <c r="Q886" s="128">
        <f t="array" ref="Q886">SUM(IF(($S886&gt;=4)*($C886='TaxCred&amp;Subs'!$D$123:$D$127)*($H886='TaxCred&amp;Subs'!$C$123:$C$127)*($H886&lt;='TaxCred&amp;Subs'!$C$129),'TaxCred&amp;Subs'!$E$123:$E$127,0))</f>
        <v>2000</v>
      </c>
      <c r="R886" s="174">
        <v>0</v>
      </c>
      <c r="S886" s="126">
        <v>5</v>
      </c>
      <c r="T886" s="126" t="s">
        <v>225</v>
      </c>
      <c r="U886"/>
      <c r="V886" s="153" t="str">
        <f t="array" ref="V886">INDEX(xlRTCLNAME,MATCH(1,(xlRTCLENDU=1)*(xlRTCLEQCL=$D886),0))</f>
        <v>DIST_FA</v>
      </c>
      <c r="W886" s="153" t="str">
        <f t="array" ref="W886">INDEX(xlRTCLNAME,MATCH(1,(xlRTCLENDU=2)*(xlRTCLEQCL=$F886),0))</f>
        <v>CENT_AIR</v>
      </c>
      <c r="X886" s="153" t="str">
        <f t="array" ref="X886">INDEX(xlRTTYNAME,MATCH(1,(xlRTTYENDU=1)*(xlRTTYEQCL=$D886)*(xlRTEQTYPE=$E886),0))</f>
        <v>DIST_FA4</v>
      </c>
      <c r="Y886" s="153" t="str">
        <f t="array" ref="Y886">INDEX(xlRTTYNAME,MATCH(1,(xlRTTYENDU=2)*(xlRTTYEQCL=$F886)*(xlRTEQTYPE=$G886),0))</f>
        <v>CENT_AIR4</v>
      </c>
    </row>
    <row r="887" spans="1:25" s="157" customFormat="1" x14ac:dyDescent="0.2">
      <c r="A887"/>
      <c r="B887" s="49">
        <v>8</v>
      </c>
      <c r="C887" s="49">
        <v>1</v>
      </c>
      <c r="D887" s="49">
        <v>7</v>
      </c>
      <c r="E887" s="49">
        <v>25</v>
      </c>
      <c r="F887" s="49">
        <v>2</v>
      </c>
      <c r="G887" s="49">
        <v>8</v>
      </c>
      <c r="H887" s="166">
        <v>2023</v>
      </c>
      <c r="I887" s="166">
        <v>2032</v>
      </c>
      <c r="J887" s="50">
        <v>1.0838000000000001</v>
      </c>
      <c r="K887" s="50">
        <v>1.0832999999999999</v>
      </c>
      <c r="L887" s="50">
        <v>0.43130000000000002</v>
      </c>
      <c r="M887" s="50">
        <v>0.78110000000000002</v>
      </c>
      <c r="N887" s="50">
        <v>0.86950000000000005</v>
      </c>
      <c r="O887" s="50">
        <v>1.0538000000000001</v>
      </c>
      <c r="P887" s="49">
        <v>12094</v>
      </c>
      <c r="Q887" s="51">
        <f t="array" ref="Q887">SUM(IF(($S887&gt;=4)*($C887='TaxCred&amp;Subs'!$D$123:$D$127)*($H887='TaxCred&amp;Subs'!$C$123:$C$127)*($H887&lt;='TaxCred&amp;Subs'!$C$129),'TaxCred&amp;Subs'!$E$123:$E$127,0))</f>
        <v>2500</v>
      </c>
      <c r="R887" s="171">
        <v>0</v>
      </c>
      <c r="S887" s="49">
        <v>5</v>
      </c>
      <c r="T887" s="49" t="s">
        <v>225</v>
      </c>
      <c r="U887"/>
      <c r="V887" s="153" t="str">
        <f t="array" ref="V887">INDEX(xlRTCLNAME,MATCH(1,(xlRTCLENDU=1)*(xlRTCLEQCL=$D887),0))</f>
        <v>DIST_FA</v>
      </c>
      <c r="W887" s="153" t="str">
        <f t="array" ref="W887">INDEX(xlRTCLNAME,MATCH(1,(xlRTCLENDU=2)*(xlRTCLEQCL=$F887),0))</f>
        <v>CENT_AIR</v>
      </c>
      <c r="X887" s="153" t="str">
        <f t="array" ref="X887">INDEX(xlRTTYNAME,MATCH(1,(xlRTTYENDU=1)*(xlRTTYEQCL=$D887)*(xlRTEQTYPE=$E887),0))</f>
        <v>DIST_FA4</v>
      </c>
      <c r="Y887" s="153" t="str">
        <f t="array" ref="Y887">INDEX(xlRTTYNAME,MATCH(1,(xlRTTYENDU=2)*(xlRTTYEQCL=$F887)*(xlRTEQTYPE=$G887),0))</f>
        <v>CENT_AIR4</v>
      </c>
    </row>
    <row r="888" spans="1:25" s="157" customFormat="1" x14ac:dyDescent="0.2">
      <c r="A888"/>
      <c r="B888" s="126">
        <v>8</v>
      </c>
      <c r="C888" s="126">
        <v>1</v>
      </c>
      <c r="D888" s="126">
        <v>7</v>
      </c>
      <c r="E888" s="126">
        <v>25</v>
      </c>
      <c r="F888" s="126">
        <v>2</v>
      </c>
      <c r="G888" s="126">
        <v>8</v>
      </c>
      <c r="H888" s="143">
        <v>2033</v>
      </c>
      <c r="I888" s="148">
        <v>2050</v>
      </c>
      <c r="J888" s="127">
        <v>1.0838000000000001</v>
      </c>
      <c r="K888" s="127">
        <v>1.0832999999999999</v>
      </c>
      <c r="L888" s="127">
        <v>0.43130000000000002</v>
      </c>
      <c r="M888" s="127">
        <v>0.78110000000000002</v>
      </c>
      <c r="N888" s="127">
        <v>0.86950000000000005</v>
      </c>
      <c r="O888" s="127">
        <v>1.0538000000000001</v>
      </c>
      <c r="P888" s="126">
        <v>12094</v>
      </c>
      <c r="Q888" s="128">
        <f t="array" ref="Q888">SUM(IF(($S888&gt;=4)*($C888='TaxCred&amp;Subs'!$D$123:$D$127)*($H888='TaxCred&amp;Subs'!$C$123:$C$127)*($H888&lt;='TaxCred&amp;Subs'!$C$129),'TaxCred&amp;Subs'!$E$123:$E$127,0))</f>
        <v>0</v>
      </c>
      <c r="R888" s="174">
        <v>0</v>
      </c>
      <c r="S888" s="126">
        <v>5</v>
      </c>
      <c r="T888" s="126" t="s">
        <v>225</v>
      </c>
      <c r="U888"/>
      <c r="V888" s="153" t="str">
        <f t="array" ref="V888">INDEX(xlRTCLNAME,MATCH(1,(xlRTCLENDU=1)*(xlRTCLEQCL=$D888),0))</f>
        <v>DIST_FA</v>
      </c>
      <c r="W888" s="153" t="str">
        <f t="array" ref="W888">INDEX(xlRTCLNAME,MATCH(1,(xlRTCLENDU=2)*(xlRTCLEQCL=$F888),0))</f>
        <v>CENT_AIR</v>
      </c>
      <c r="X888" s="153" t="str">
        <f t="array" ref="X888">INDEX(xlRTTYNAME,MATCH(1,(xlRTTYENDU=1)*(xlRTTYEQCL=$D888)*(xlRTEQTYPE=$E888),0))</f>
        <v>DIST_FA4</v>
      </c>
      <c r="Y888" s="153" t="str">
        <f t="array" ref="Y888">INDEX(xlRTTYNAME,MATCH(1,(xlRTTYENDU=2)*(xlRTTYEQCL=$F888)*(xlRTEQTYPE=$G888),0))</f>
        <v>CENT_AIR4</v>
      </c>
    </row>
    <row r="889" spans="1:25" s="157" customFormat="1" x14ac:dyDescent="0.2">
      <c r="A889"/>
      <c r="B889" s="126">
        <v>9</v>
      </c>
      <c r="C889" s="126">
        <v>1</v>
      </c>
      <c r="D889" s="126">
        <v>7</v>
      </c>
      <c r="E889" s="126">
        <v>25</v>
      </c>
      <c r="F889" s="126">
        <v>2</v>
      </c>
      <c r="G889" s="126">
        <v>8</v>
      </c>
      <c r="H889" s="148">
        <v>2016</v>
      </c>
      <c r="I889" s="143">
        <v>2022</v>
      </c>
      <c r="J889" s="127">
        <v>1.0790999999999999</v>
      </c>
      <c r="K889" s="127">
        <v>1.0722</v>
      </c>
      <c r="L889" s="127">
        <v>0.39839999999999998</v>
      </c>
      <c r="M889" s="127">
        <v>0.76029999999999998</v>
      </c>
      <c r="N889" s="127">
        <v>1.0336000000000001</v>
      </c>
      <c r="O889" s="127">
        <v>1.0538000000000001</v>
      </c>
      <c r="P889" s="126">
        <v>14738</v>
      </c>
      <c r="Q889" s="128">
        <f t="array" ref="Q889">SUM(IF(($S889&gt;=4)*($C889='TaxCred&amp;Subs'!$D$123:$D$127)*($H889='TaxCred&amp;Subs'!$C$123:$C$127)*($H889&lt;='TaxCred&amp;Subs'!$C$129),'TaxCred&amp;Subs'!$E$123:$E$127,0))</f>
        <v>2000</v>
      </c>
      <c r="R889" s="174">
        <v>0</v>
      </c>
      <c r="S889" s="126">
        <v>5</v>
      </c>
      <c r="T889" s="126" t="s">
        <v>225</v>
      </c>
      <c r="U889"/>
      <c r="V889" s="153" t="str">
        <f t="array" ref="V889">INDEX(xlRTCLNAME,MATCH(1,(xlRTCLENDU=1)*(xlRTCLEQCL=$D889),0))</f>
        <v>DIST_FA</v>
      </c>
      <c r="W889" s="153" t="str">
        <f t="array" ref="W889">INDEX(xlRTCLNAME,MATCH(1,(xlRTCLENDU=2)*(xlRTCLEQCL=$F889),0))</f>
        <v>CENT_AIR</v>
      </c>
      <c r="X889" s="153" t="str">
        <f t="array" ref="X889">INDEX(xlRTTYNAME,MATCH(1,(xlRTTYENDU=1)*(xlRTTYEQCL=$D889)*(xlRTEQTYPE=$E889),0))</f>
        <v>DIST_FA4</v>
      </c>
      <c r="Y889" s="153" t="str">
        <f t="array" ref="Y889">INDEX(xlRTTYNAME,MATCH(1,(xlRTTYENDU=2)*(xlRTTYEQCL=$F889)*(xlRTEQTYPE=$G889),0))</f>
        <v>CENT_AIR4</v>
      </c>
    </row>
    <row r="890" spans="1:25" s="157" customFormat="1" x14ac:dyDescent="0.2">
      <c r="A890"/>
      <c r="B890" s="49">
        <v>9</v>
      </c>
      <c r="C890" s="49">
        <v>1</v>
      </c>
      <c r="D890" s="49">
        <v>7</v>
      </c>
      <c r="E890" s="49">
        <v>25</v>
      </c>
      <c r="F890" s="49">
        <v>2</v>
      </c>
      <c r="G890" s="49">
        <v>8</v>
      </c>
      <c r="H890" s="166">
        <v>2023</v>
      </c>
      <c r="I890" s="166">
        <v>2032</v>
      </c>
      <c r="J890" s="50">
        <v>1.0790999999999999</v>
      </c>
      <c r="K890" s="50">
        <v>1.0722</v>
      </c>
      <c r="L890" s="50">
        <v>0.39839999999999998</v>
      </c>
      <c r="M890" s="50">
        <v>0.76029999999999998</v>
      </c>
      <c r="N890" s="50">
        <v>1.0336000000000001</v>
      </c>
      <c r="O890" s="50">
        <v>1.0538000000000001</v>
      </c>
      <c r="P890" s="49">
        <v>14738</v>
      </c>
      <c r="Q890" s="51">
        <f t="array" ref="Q890">SUM(IF(($S890&gt;=4)*($C890='TaxCred&amp;Subs'!$D$123:$D$127)*($H890='TaxCred&amp;Subs'!$C$123:$C$127)*($H890&lt;='TaxCred&amp;Subs'!$C$129),'TaxCred&amp;Subs'!$E$123:$E$127,0))</f>
        <v>2500</v>
      </c>
      <c r="R890" s="171">
        <v>0</v>
      </c>
      <c r="S890" s="49">
        <v>5</v>
      </c>
      <c r="T890" s="49" t="s">
        <v>225</v>
      </c>
      <c r="U890"/>
      <c r="V890" s="153" t="str">
        <f t="array" ref="V890">INDEX(xlRTCLNAME,MATCH(1,(xlRTCLENDU=1)*(xlRTCLEQCL=$D890),0))</f>
        <v>DIST_FA</v>
      </c>
      <c r="W890" s="153" t="str">
        <f t="array" ref="W890">INDEX(xlRTCLNAME,MATCH(1,(xlRTCLENDU=2)*(xlRTCLEQCL=$F890),0))</f>
        <v>CENT_AIR</v>
      </c>
      <c r="X890" s="153" t="str">
        <f t="array" ref="X890">INDEX(xlRTTYNAME,MATCH(1,(xlRTTYENDU=1)*(xlRTTYEQCL=$D890)*(xlRTEQTYPE=$E890),0))</f>
        <v>DIST_FA4</v>
      </c>
      <c r="Y890" s="153" t="str">
        <f t="array" ref="Y890">INDEX(xlRTTYNAME,MATCH(1,(xlRTTYENDU=2)*(xlRTTYEQCL=$F890)*(xlRTEQTYPE=$G890),0))</f>
        <v>CENT_AIR4</v>
      </c>
    </row>
    <row r="891" spans="1:25" s="157" customFormat="1" x14ac:dyDescent="0.2">
      <c r="A891"/>
      <c r="B891" s="126">
        <v>9</v>
      </c>
      <c r="C891" s="126">
        <v>1</v>
      </c>
      <c r="D891" s="126">
        <v>7</v>
      </c>
      <c r="E891" s="126">
        <v>25</v>
      </c>
      <c r="F891" s="126">
        <v>2</v>
      </c>
      <c r="G891" s="126">
        <v>8</v>
      </c>
      <c r="H891" s="143">
        <v>2033</v>
      </c>
      <c r="I891" s="148">
        <v>2050</v>
      </c>
      <c r="J891" s="127">
        <v>1.0790999999999999</v>
      </c>
      <c r="K891" s="127">
        <v>1.0722</v>
      </c>
      <c r="L891" s="127">
        <v>0.39839999999999998</v>
      </c>
      <c r="M891" s="127">
        <v>0.76029999999999998</v>
      </c>
      <c r="N891" s="127">
        <v>1.0336000000000001</v>
      </c>
      <c r="O891" s="127">
        <v>1.0538000000000001</v>
      </c>
      <c r="P891" s="126">
        <v>14738</v>
      </c>
      <c r="Q891" s="128">
        <f t="array" ref="Q891">SUM(IF(($S891&gt;=4)*($C891='TaxCred&amp;Subs'!$D$123:$D$127)*($H891='TaxCred&amp;Subs'!$C$123:$C$127)*($H891&lt;='TaxCred&amp;Subs'!$C$129),'TaxCred&amp;Subs'!$E$123:$E$127,0))</f>
        <v>0</v>
      </c>
      <c r="R891" s="174">
        <v>0</v>
      </c>
      <c r="S891" s="126">
        <v>5</v>
      </c>
      <c r="T891" s="126" t="s">
        <v>225</v>
      </c>
      <c r="U891"/>
      <c r="V891" s="153" t="str">
        <f t="array" ref="V891">INDEX(xlRTCLNAME,MATCH(1,(xlRTCLENDU=1)*(xlRTCLEQCL=$D891),0))</f>
        <v>DIST_FA</v>
      </c>
      <c r="W891" s="153" t="str">
        <f t="array" ref="W891">INDEX(xlRTCLNAME,MATCH(1,(xlRTCLENDU=2)*(xlRTCLEQCL=$F891),0))</f>
        <v>CENT_AIR</v>
      </c>
      <c r="X891" s="153" t="str">
        <f t="array" ref="X891">INDEX(xlRTTYNAME,MATCH(1,(xlRTTYENDU=1)*(xlRTTYEQCL=$D891)*(xlRTEQTYPE=$E891),0))</f>
        <v>DIST_FA4</v>
      </c>
      <c r="Y891" s="153" t="str">
        <f t="array" ref="Y891">INDEX(xlRTTYNAME,MATCH(1,(xlRTTYENDU=2)*(xlRTTYEQCL=$F891)*(xlRTEQTYPE=$G891),0))</f>
        <v>CENT_AIR4</v>
      </c>
    </row>
    <row r="892" spans="1:25" s="157" customFormat="1" x14ac:dyDescent="0.2">
      <c r="A892"/>
      <c r="B892" s="126">
        <v>1</v>
      </c>
      <c r="C892" s="126">
        <v>1</v>
      </c>
      <c r="D892" s="126">
        <v>8</v>
      </c>
      <c r="E892" s="126">
        <v>29</v>
      </c>
      <c r="F892" s="126">
        <v>2</v>
      </c>
      <c r="G892" s="126">
        <v>8</v>
      </c>
      <c r="H892" s="148">
        <v>2016</v>
      </c>
      <c r="I892" s="143">
        <v>2022</v>
      </c>
      <c r="J892" s="127">
        <v>1.0592999999999999</v>
      </c>
      <c r="K892" s="127">
        <v>1.0889</v>
      </c>
      <c r="L892" s="127">
        <v>0.44009999999999999</v>
      </c>
      <c r="M892" s="127">
        <v>0.96350000000000002</v>
      </c>
      <c r="N892" s="127">
        <v>0.8095</v>
      </c>
      <c r="O892" s="127">
        <v>1.0538000000000001</v>
      </c>
      <c r="P892" s="126">
        <v>14685</v>
      </c>
      <c r="Q892" s="128">
        <f t="array" ref="Q892">SUM(IF(($S892&gt;=4)*($C892='TaxCred&amp;Subs'!$D$123:$D$127)*($H892='TaxCred&amp;Subs'!$C$123:$C$127)*($H892&lt;='TaxCred&amp;Subs'!$C$129),'TaxCred&amp;Subs'!$E$123:$E$127,0))</f>
        <v>2000</v>
      </c>
      <c r="R892" s="174">
        <v>0</v>
      </c>
      <c r="S892" s="126">
        <v>5</v>
      </c>
      <c r="T892" s="126" t="s">
        <v>225</v>
      </c>
      <c r="U892"/>
      <c r="V892" s="153" t="str">
        <f t="array" ref="V892">INDEX(xlRTCLNAME,MATCH(1,(xlRTCLENDU=1)*(xlRTCLEQCL=$D892),0))</f>
        <v>DIST_RAD</v>
      </c>
      <c r="W892" s="153" t="str">
        <f t="array" ref="W892">INDEX(xlRTCLNAME,MATCH(1,(xlRTCLENDU=2)*(xlRTCLEQCL=$F892),0))</f>
        <v>CENT_AIR</v>
      </c>
      <c r="X892" s="153" t="str">
        <f t="array" ref="X892">INDEX(xlRTTYNAME,MATCH(1,(xlRTTYENDU=1)*(xlRTTYEQCL=$D892)*(xlRTEQTYPE=$E892),0))</f>
        <v>DIST_RAD4</v>
      </c>
      <c r="Y892" s="153" t="str">
        <f t="array" ref="Y892">INDEX(xlRTTYNAME,MATCH(1,(xlRTTYENDU=2)*(xlRTTYEQCL=$F892)*(xlRTEQTYPE=$G892),0))</f>
        <v>CENT_AIR4</v>
      </c>
    </row>
    <row r="893" spans="1:25" s="157" customFormat="1" x14ac:dyDescent="0.2">
      <c r="A893"/>
      <c r="B893" s="49">
        <v>1</v>
      </c>
      <c r="C893" s="49">
        <v>1</v>
      </c>
      <c r="D893" s="49">
        <v>8</v>
      </c>
      <c r="E893" s="49">
        <v>29</v>
      </c>
      <c r="F893" s="49">
        <v>2</v>
      </c>
      <c r="G893" s="49">
        <v>8</v>
      </c>
      <c r="H893" s="166">
        <v>2023</v>
      </c>
      <c r="I893" s="166">
        <v>2032</v>
      </c>
      <c r="J893" s="50">
        <v>1.0592999999999999</v>
      </c>
      <c r="K893" s="50">
        <v>1.0889</v>
      </c>
      <c r="L893" s="50">
        <v>0.44009999999999999</v>
      </c>
      <c r="M893" s="50">
        <v>0.96350000000000002</v>
      </c>
      <c r="N893" s="50">
        <v>0.8095</v>
      </c>
      <c r="O893" s="50">
        <v>1.0538000000000001</v>
      </c>
      <c r="P893" s="49">
        <v>14685</v>
      </c>
      <c r="Q893" s="51">
        <f t="array" ref="Q893">SUM(IF(($S893&gt;=4)*($C893='TaxCred&amp;Subs'!$D$123:$D$127)*($H893='TaxCred&amp;Subs'!$C$123:$C$127)*($H893&lt;='TaxCred&amp;Subs'!$C$129),'TaxCred&amp;Subs'!$E$123:$E$127,0))</f>
        <v>2500</v>
      </c>
      <c r="R893" s="171">
        <v>0</v>
      </c>
      <c r="S893" s="49">
        <v>5</v>
      </c>
      <c r="T893" s="49" t="s">
        <v>225</v>
      </c>
      <c r="U893"/>
      <c r="V893" s="153" t="str">
        <f t="array" ref="V893">INDEX(xlRTCLNAME,MATCH(1,(xlRTCLENDU=1)*(xlRTCLEQCL=$D893),0))</f>
        <v>DIST_RAD</v>
      </c>
      <c r="W893" s="153" t="str">
        <f t="array" ref="W893">INDEX(xlRTCLNAME,MATCH(1,(xlRTCLENDU=2)*(xlRTCLEQCL=$F893),0))</f>
        <v>CENT_AIR</v>
      </c>
      <c r="X893" s="153" t="str">
        <f t="array" ref="X893">INDEX(xlRTTYNAME,MATCH(1,(xlRTTYENDU=1)*(xlRTTYEQCL=$D893)*(xlRTEQTYPE=$E893),0))</f>
        <v>DIST_RAD4</v>
      </c>
      <c r="Y893" s="153" t="str">
        <f t="array" ref="Y893">INDEX(xlRTTYNAME,MATCH(1,(xlRTTYENDU=2)*(xlRTTYEQCL=$F893)*(xlRTEQTYPE=$G893),0))</f>
        <v>CENT_AIR4</v>
      </c>
    </row>
    <row r="894" spans="1:25" s="157" customFormat="1" x14ac:dyDescent="0.2">
      <c r="A894"/>
      <c r="B894" s="126">
        <v>1</v>
      </c>
      <c r="C894" s="126">
        <v>1</v>
      </c>
      <c r="D894" s="126">
        <v>8</v>
      </c>
      <c r="E894" s="126">
        <v>29</v>
      </c>
      <c r="F894" s="126">
        <v>2</v>
      </c>
      <c r="G894" s="126">
        <v>8</v>
      </c>
      <c r="H894" s="143">
        <v>2033</v>
      </c>
      <c r="I894" s="148">
        <v>2050</v>
      </c>
      <c r="J894" s="127">
        <v>1.0592999999999999</v>
      </c>
      <c r="K894" s="127">
        <v>1.0889</v>
      </c>
      <c r="L894" s="127">
        <v>0.44009999999999999</v>
      </c>
      <c r="M894" s="127">
        <v>0.96350000000000002</v>
      </c>
      <c r="N894" s="127">
        <v>0.8095</v>
      </c>
      <c r="O894" s="127">
        <v>1.0538000000000001</v>
      </c>
      <c r="P894" s="126">
        <v>14685</v>
      </c>
      <c r="Q894" s="128">
        <f t="array" ref="Q894">SUM(IF(($S894&gt;=4)*($C894='TaxCred&amp;Subs'!$D$123:$D$127)*($H894='TaxCred&amp;Subs'!$C$123:$C$127)*($H894&lt;='TaxCred&amp;Subs'!$C$129),'TaxCred&amp;Subs'!$E$123:$E$127,0))</f>
        <v>0</v>
      </c>
      <c r="R894" s="174">
        <v>0</v>
      </c>
      <c r="S894" s="126">
        <v>5</v>
      </c>
      <c r="T894" s="126" t="s">
        <v>225</v>
      </c>
      <c r="U894"/>
      <c r="V894" s="153" t="str">
        <f t="array" ref="V894">INDEX(xlRTCLNAME,MATCH(1,(xlRTCLENDU=1)*(xlRTCLEQCL=$D894),0))</f>
        <v>DIST_RAD</v>
      </c>
      <c r="W894" s="153" t="str">
        <f t="array" ref="W894">INDEX(xlRTCLNAME,MATCH(1,(xlRTCLENDU=2)*(xlRTCLEQCL=$F894),0))</f>
        <v>CENT_AIR</v>
      </c>
      <c r="X894" s="153" t="str">
        <f t="array" ref="X894">INDEX(xlRTTYNAME,MATCH(1,(xlRTTYENDU=1)*(xlRTTYEQCL=$D894)*(xlRTEQTYPE=$E894),0))</f>
        <v>DIST_RAD4</v>
      </c>
      <c r="Y894" s="153" t="str">
        <f t="array" ref="Y894">INDEX(xlRTTYNAME,MATCH(1,(xlRTTYENDU=2)*(xlRTTYEQCL=$F894)*(xlRTEQTYPE=$G894),0))</f>
        <v>CENT_AIR4</v>
      </c>
    </row>
    <row r="895" spans="1:25" s="157" customFormat="1" x14ac:dyDescent="0.2">
      <c r="A895"/>
      <c r="B895" s="126">
        <v>2</v>
      </c>
      <c r="C895" s="126">
        <v>1</v>
      </c>
      <c r="D895" s="126">
        <v>8</v>
      </c>
      <c r="E895" s="126">
        <v>29</v>
      </c>
      <c r="F895" s="126">
        <v>2</v>
      </c>
      <c r="G895" s="126">
        <v>8</v>
      </c>
      <c r="H895" s="148">
        <v>2016</v>
      </c>
      <c r="I895" s="143">
        <v>2022</v>
      </c>
      <c r="J895" s="127">
        <v>1.0717000000000001</v>
      </c>
      <c r="K895" s="127">
        <v>1.0895999999999999</v>
      </c>
      <c r="L895" s="127">
        <v>0.4546</v>
      </c>
      <c r="M895" s="127">
        <v>0.81589999999999996</v>
      </c>
      <c r="N895" s="127">
        <v>0.92630000000000001</v>
      </c>
      <c r="O895" s="127">
        <v>1.0538000000000001</v>
      </c>
      <c r="P895" s="126">
        <v>16678</v>
      </c>
      <c r="Q895" s="128">
        <f t="array" ref="Q895">SUM(IF(($S895&gt;=4)*($C895='TaxCred&amp;Subs'!$D$123:$D$127)*($H895='TaxCred&amp;Subs'!$C$123:$C$127)*($H895&lt;='TaxCred&amp;Subs'!$C$129),'TaxCred&amp;Subs'!$E$123:$E$127,0))</f>
        <v>2000</v>
      </c>
      <c r="R895" s="174">
        <v>0</v>
      </c>
      <c r="S895" s="126">
        <v>5</v>
      </c>
      <c r="T895" s="126" t="s">
        <v>225</v>
      </c>
      <c r="U895"/>
      <c r="V895" s="153" t="str">
        <f t="array" ref="V895">INDEX(xlRTCLNAME,MATCH(1,(xlRTCLENDU=1)*(xlRTCLEQCL=$D895),0))</f>
        <v>DIST_RAD</v>
      </c>
      <c r="W895" s="153" t="str">
        <f t="array" ref="W895">INDEX(xlRTCLNAME,MATCH(1,(xlRTCLENDU=2)*(xlRTCLEQCL=$F895),0))</f>
        <v>CENT_AIR</v>
      </c>
      <c r="X895" s="153" t="str">
        <f t="array" ref="X895">INDEX(xlRTTYNAME,MATCH(1,(xlRTTYENDU=1)*(xlRTTYEQCL=$D895)*(xlRTEQTYPE=$E895),0))</f>
        <v>DIST_RAD4</v>
      </c>
      <c r="Y895" s="153" t="str">
        <f t="array" ref="Y895">INDEX(xlRTTYNAME,MATCH(1,(xlRTTYENDU=2)*(xlRTTYEQCL=$F895)*(xlRTEQTYPE=$G895),0))</f>
        <v>CENT_AIR4</v>
      </c>
    </row>
    <row r="896" spans="1:25" s="157" customFormat="1" x14ac:dyDescent="0.2">
      <c r="A896"/>
      <c r="B896" s="49">
        <v>2</v>
      </c>
      <c r="C896" s="49">
        <v>1</v>
      </c>
      <c r="D896" s="49">
        <v>8</v>
      </c>
      <c r="E896" s="49">
        <v>29</v>
      </c>
      <c r="F896" s="49">
        <v>2</v>
      </c>
      <c r="G896" s="49">
        <v>8</v>
      </c>
      <c r="H896" s="166">
        <v>2023</v>
      </c>
      <c r="I896" s="166">
        <v>2032</v>
      </c>
      <c r="J896" s="50">
        <v>1.0717000000000001</v>
      </c>
      <c r="K896" s="50">
        <v>1.0895999999999999</v>
      </c>
      <c r="L896" s="50">
        <v>0.4546</v>
      </c>
      <c r="M896" s="50">
        <v>0.81589999999999996</v>
      </c>
      <c r="N896" s="50">
        <v>0.92630000000000001</v>
      </c>
      <c r="O896" s="50">
        <v>1.0538000000000001</v>
      </c>
      <c r="P896" s="49">
        <v>16678</v>
      </c>
      <c r="Q896" s="51">
        <f t="array" ref="Q896">SUM(IF(($S896&gt;=4)*($C896='TaxCred&amp;Subs'!$D$123:$D$127)*($H896='TaxCred&amp;Subs'!$C$123:$C$127)*($H896&lt;='TaxCred&amp;Subs'!$C$129),'TaxCred&amp;Subs'!$E$123:$E$127,0))</f>
        <v>2500</v>
      </c>
      <c r="R896" s="171">
        <v>0</v>
      </c>
      <c r="S896" s="49">
        <v>5</v>
      </c>
      <c r="T896" s="49" t="s">
        <v>225</v>
      </c>
      <c r="U896"/>
      <c r="V896" s="153" t="str">
        <f t="array" ref="V896">INDEX(xlRTCLNAME,MATCH(1,(xlRTCLENDU=1)*(xlRTCLEQCL=$D896),0))</f>
        <v>DIST_RAD</v>
      </c>
      <c r="W896" s="153" t="str">
        <f t="array" ref="W896">INDEX(xlRTCLNAME,MATCH(1,(xlRTCLENDU=2)*(xlRTCLEQCL=$F896),0))</f>
        <v>CENT_AIR</v>
      </c>
      <c r="X896" s="153" t="str">
        <f t="array" ref="X896">INDEX(xlRTTYNAME,MATCH(1,(xlRTTYENDU=1)*(xlRTTYEQCL=$D896)*(xlRTEQTYPE=$E896),0))</f>
        <v>DIST_RAD4</v>
      </c>
      <c r="Y896" s="153" t="str">
        <f t="array" ref="Y896">INDEX(xlRTTYNAME,MATCH(1,(xlRTTYENDU=2)*(xlRTTYEQCL=$F896)*(xlRTEQTYPE=$G896),0))</f>
        <v>CENT_AIR4</v>
      </c>
    </row>
    <row r="897" spans="1:25" s="157" customFormat="1" x14ac:dyDescent="0.2">
      <c r="A897"/>
      <c r="B897" s="126">
        <v>2</v>
      </c>
      <c r="C897" s="126">
        <v>1</v>
      </c>
      <c r="D897" s="126">
        <v>8</v>
      </c>
      <c r="E897" s="126">
        <v>29</v>
      </c>
      <c r="F897" s="126">
        <v>2</v>
      </c>
      <c r="G897" s="126">
        <v>8</v>
      </c>
      <c r="H897" s="143">
        <v>2033</v>
      </c>
      <c r="I897" s="148">
        <v>2050</v>
      </c>
      <c r="J897" s="127">
        <v>1.0717000000000001</v>
      </c>
      <c r="K897" s="127">
        <v>1.0895999999999999</v>
      </c>
      <c r="L897" s="127">
        <v>0.4546</v>
      </c>
      <c r="M897" s="127">
        <v>0.81589999999999996</v>
      </c>
      <c r="N897" s="127">
        <v>0.92630000000000001</v>
      </c>
      <c r="O897" s="127">
        <v>1.0538000000000001</v>
      </c>
      <c r="P897" s="126">
        <v>16678</v>
      </c>
      <c r="Q897" s="128">
        <f t="array" ref="Q897">SUM(IF(($S897&gt;=4)*($C897='TaxCred&amp;Subs'!$D$123:$D$127)*($H897='TaxCred&amp;Subs'!$C$123:$C$127)*($H897&lt;='TaxCred&amp;Subs'!$C$129),'TaxCred&amp;Subs'!$E$123:$E$127,0))</f>
        <v>0</v>
      </c>
      <c r="R897" s="174">
        <v>0</v>
      </c>
      <c r="S897" s="126">
        <v>5</v>
      </c>
      <c r="T897" s="126" t="s">
        <v>225</v>
      </c>
      <c r="U897"/>
      <c r="V897" s="153" t="str">
        <f t="array" ref="V897">INDEX(xlRTCLNAME,MATCH(1,(xlRTCLENDU=1)*(xlRTCLEQCL=$D897),0))</f>
        <v>DIST_RAD</v>
      </c>
      <c r="W897" s="153" t="str">
        <f t="array" ref="W897">INDEX(xlRTCLNAME,MATCH(1,(xlRTCLENDU=2)*(xlRTCLEQCL=$F897),0))</f>
        <v>CENT_AIR</v>
      </c>
      <c r="X897" s="153" t="str">
        <f t="array" ref="X897">INDEX(xlRTTYNAME,MATCH(1,(xlRTTYENDU=1)*(xlRTTYEQCL=$D897)*(xlRTEQTYPE=$E897),0))</f>
        <v>DIST_RAD4</v>
      </c>
      <c r="Y897" s="153" t="str">
        <f t="array" ref="Y897">INDEX(xlRTTYNAME,MATCH(1,(xlRTTYENDU=2)*(xlRTTYEQCL=$F897)*(xlRTEQTYPE=$G897),0))</f>
        <v>CENT_AIR4</v>
      </c>
    </row>
    <row r="898" spans="1:25" s="157" customFormat="1" x14ac:dyDescent="0.2">
      <c r="A898"/>
      <c r="B898" s="126">
        <v>3</v>
      </c>
      <c r="C898" s="126">
        <v>1</v>
      </c>
      <c r="D898" s="126">
        <v>8</v>
      </c>
      <c r="E898" s="126">
        <v>29</v>
      </c>
      <c r="F898" s="126">
        <v>2</v>
      </c>
      <c r="G898" s="126">
        <v>8</v>
      </c>
      <c r="H898" s="148">
        <v>2016</v>
      </c>
      <c r="I898" s="143">
        <v>2022</v>
      </c>
      <c r="J898" s="127">
        <v>1.0821000000000001</v>
      </c>
      <c r="K898" s="127">
        <v>1.0769</v>
      </c>
      <c r="L898" s="127">
        <v>0.43490000000000001</v>
      </c>
      <c r="M898" s="127">
        <v>0.89800000000000002</v>
      </c>
      <c r="N898" s="127">
        <v>0.91400000000000003</v>
      </c>
      <c r="O898" s="127">
        <v>1.0538000000000001</v>
      </c>
      <c r="P898" s="126">
        <v>12841</v>
      </c>
      <c r="Q898" s="128">
        <f t="array" ref="Q898">SUM(IF(($S898&gt;=4)*($C898='TaxCred&amp;Subs'!$D$123:$D$127)*($H898='TaxCred&amp;Subs'!$C$123:$C$127)*($H898&lt;='TaxCred&amp;Subs'!$C$129),'TaxCred&amp;Subs'!$E$123:$E$127,0))</f>
        <v>2000</v>
      </c>
      <c r="R898" s="174">
        <v>0</v>
      </c>
      <c r="S898" s="126">
        <v>5</v>
      </c>
      <c r="T898" s="126" t="s">
        <v>225</v>
      </c>
      <c r="U898"/>
      <c r="V898" s="153" t="str">
        <f t="array" ref="V898">INDEX(xlRTCLNAME,MATCH(1,(xlRTCLENDU=1)*(xlRTCLEQCL=$D898),0))</f>
        <v>DIST_RAD</v>
      </c>
      <c r="W898" s="153" t="str">
        <f t="array" ref="W898">INDEX(xlRTCLNAME,MATCH(1,(xlRTCLENDU=2)*(xlRTCLEQCL=$F898),0))</f>
        <v>CENT_AIR</v>
      </c>
      <c r="X898" s="153" t="str">
        <f t="array" ref="X898">INDEX(xlRTTYNAME,MATCH(1,(xlRTTYENDU=1)*(xlRTTYEQCL=$D898)*(xlRTEQTYPE=$E898),0))</f>
        <v>DIST_RAD4</v>
      </c>
      <c r="Y898" s="153" t="str">
        <f t="array" ref="Y898">INDEX(xlRTTYNAME,MATCH(1,(xlRTTYENDU=2)*(xlRTTYEQCL=$F898)*(xlRTEQTYPE=$G898),0))</f>
        <v>CENT_AIR4</v>
      </c>
    </row>
    <row r="899" spans="1:25" s="157" customFormat="1" x14ac:dyDescent="0.2">
      <c r="A899"/>
      <c r="B899" s="49">
        <v>3</v>
      </c>
      <c r="C899" s="49">
        <v>1</v>
      </c>
      <c r="D899" s="49">
        <v>8</v>
      </c>
      <c r="E899" s="49">
        <v>29</v>
      </c>
      <c r="F899" s="49">
        <v>2</v>
      </c>
      <c r="G899" s="49">
        <v>8</v>
      </c>
      <c r="H899" s="166">
        <v>2023</v>
      </c>
      <c r="I899" s="166">
        <v>2032</v>
      </c>
      <c r="J899" s="50">
        <v>1.0821000000000001</v>
      </c>
      <c r="K899" s="50">
        <v>1.0769</v>
      </c>
      <c r="L899" s="50">
        <v>0.43490000000000001</v>
      </c>
      <c r="M899" s="50">
        <v>0.89800000000000002</v>
      </c>
      <c r="N899" s="50">
        <v>0.91400000000000003</v>
      </c>
      <c r="O899" s="50">
        <v>1.0538000000000001</v>
      </c>
      <c r="P899" s="49">
        <v>12841</v>
      </c>
      <c r="Q899" s="51">
        <f t="array" ref="Q899">SUM(IF(($S899&gt;=4)*($C899='TaxCred&amp;Subs'!$D$123:$D$127)*($H899='TaxCred&amp;Subs'!$C$123:$C$127)*($H899&lt;='TaxCred&amp;Subs'!$C$129),'TaxCred&amp;Subs'!$E$123:$E$127,0))</f>
        <v>2500</v>
      </c>
      <c r="R899" s="171">
        <v>0</v>
      </c>
      <c r="S899" s="49">
        <v>5</v>
      </c>
      <c r="T899" s="49" t="s">
        <v>225</v>
      </c>
      <c r="U899"/>
      <c r="V899" s="153" t="str">
        <f t="array" ref="V899">INDEX(xlRTCLNAME,MATCH(1,(xlRTCLENDU=1)*(xlRTCLEQCL=$D899),0))</f>
        <v>DIST_RAD</v>
      </c>
      <c r="W899" s="153" t="str">
        <f t="array" ref="W899">INDEX(xlRTCLNAME,MATCH(1,(xlRTCLENDU=2)*(xlRTCLEQCL=$F899),0))</f>
        <v>CENT_AIR</v>
      </c>
      <c r="X899" s="153" t="str">
        <f t="array" ref="X899">INDEX(xlRTTYNAME,MATCH(1,(xlRTTYENDU=1)*(xlRTTYEQCL=$D899)*(xlRTEQTYPE=$E899),0))</f>
        <v>DIST_RAD4</v>
      </c>
      <c r="Y899" s="153" t="str">
        <f t="array" ref="Y899">INDEX(xlRTTYNAME,MATCH(1,(xlRTTYENDU=2)*(xlRTTYEQCL=$F899)*(xlRTEQTYPE=$G899),0))</f>
        <v>CENT_AIR4</v>
      </c>
    </row>
    <row r="900" spans="1:25" s="157" customFormat="1" x14ac:dyDescent="0.2">
      <c r="A900"/>
      <c r="B900" s="126">
        <v>3</v>
      </c>
      <c r="C900" s="126">
        <v>1</v>
      </c>
      <c r="D900" s="126">
        <v>8</v>
      </c>
      <c r="E900" s="126">
        <v>29</v>
      </c>
      <c r="F900" s="126">
        <v>2</v>
      </c>
      <c r="G900" s="126">
        <v>8</v>
      </c>
      <c r="H900" s="143">
        <v>2033</v>
      </c>
      <c r="I900" s="148">
        <v>2050</v>
      </c>
      <c r="J900" s="127">
        <v>1.0821000000000001</v>
      </c>
      <c r="K900" s="127">
        <v>1.0769</v>
      </c>
      <c r="L900" s="127">
        <v>0.43490000000000001</v>
      </c>
      <c r="M900" s="127">
        <v>0.89800000000000002</v>
      </c>
      <c r="N900" s="127">
        <v>0.91400000000000003</v>
      </c>
      <c r="O900" s="127">
        <v>1.0538000000000001</v>
      </c>
      <c r="P900" s="126">
        <v>12841</v>
      </c>
      <c r="Q900" s="128">
        <f t="array" ref="Q900">SUM(IF(($S900&gt;=4)*($C900='TaxCred&amp;Subs'!$D$123:$D$127)*($H900='TaxCred&amp;Subs'!$C$123:$C$127)*($H900&lt;='TaxCred&amp;Subs'!$C$129),'TaxCred&amp;Subs'!$E$123:$E$127,0))</f>
        <v>0</v>
      </c>
      <c r="R900" s="174">
        <v>0</v>
      </c>
      <c r="S900" s="126">
        <v>5</v>
      </c>
      <c r="T900" s="126" t="s">
        <v>225</v>
      </c>
      <c r="U900"/>
      <c r="V900" s="153" t="str">
        <f t="array" ref="V900">INDEX(xlRTCLNAME,MATCH(1,(xlRTCLENDU=1)*(xlRTCLEQCL=$D900),0))</f>
        <v>DIST_RAD</v>
      </c>
      <c r="W900" s="153" t="str">
        <f t="array" ref="W900">INDEX(xlRTCLNAME,MATCH(1,(xlRTCLENDU=2)*(xlRTCLEQCL=$F900),0))</f>
        <v>CENT_AIR</v>
      </c>
      <c r="X900" s="153" t="str">
        <f t="array" ref="X900">INDEX(xlRTTYNAME,MATCH(1,(xlRTTYENDU=1)*(xlRTTYEQCL=$D900)*(xlRTEQTYPE=$E900),0))</f>
        <v>DIST_RAD4</v>
      </c>
      <c r="Y900" s="153" t="str">
        <f t="array" ref="Y900">INDEX(xlRTTYNAME,MATCH(1,(xlRTTYENDU=2)*(xlRTTYEQCL=$F900)*(xlRTEQTYPE=$G900),0))</f>
        <v>CENT_AIR4</v>
      </c>
    </row>
    <row r="901" spans="1:25" s="157" customFormat="1" x14ac:dyDescent="0.2">
      <c r="A901"/>
      <c r="B901" s="126">
        <v>4</v>
      </c>
      <c r="C901" s="126">
        <v>1</v>
      </c>
      <c r="D901" s="126">
        <v>8</v>
      </c>
      <c r="E901" s="126">
        <v>29</v>
      </c>
      <c r="F901" s="126">
        <v>2</v>
      </c>
      <c r="G901" s="126">
        <v>8</v>
      </c>
      <c r="H901" s="148">
        <v>2016</v>
      </c>
      <c r="I901" s="143">
        <v>2022</v>
      </c>
      <c r="J901" s="127">
        <v>1.0812999999999999</v>
      </c>
      <c r="K901" s="127">
        <v>1.0769</v>
      </c>
      <c r="L901" s="127">
        <v>0.44280000000000003</v>
      </c>
      <c r="M901" s="127">
        <v>0.86639999999999995</v>
      </c>
      <c r="N901" s="127">
        <v>0.85660000000000003</v>
      </c>
      <c r="O901" s="127">
        <v>1.0538000000000001</v>
      </c>
      <c r="P901" s="126">
        <v>10457</v>
      </c>
      <c r="Q901" s="128">
        <f t="array" ref="Q901">SUM(IF(($S901&gt;=4)*($C901='TaxCred&amp;Subs'!$D$123:$D$127)*($H901='TaxCred&amp;Subs'!$C$123:$C$127)*($H901&lt;='TaxCred&amp;Subs'!$C$129),'TaxCred&amp;Subs'!$E$123:$E$127,0))</f>
        <v>2000</v>
      </c>
      <c r="R901" s="174">
        <v>0</v>
      </c>
      <c r="S901" s="126">
        <v>5</v>
      </c>
      <c r="T901" s="126" t="s">
        <v>225</v>
      </c>
      <c r="U901"/>
      <c r="V901" s="153" t="str">
        <f t="array" ref="V901">INDEX(xlRTCLNAME,MATCH(1,(xlRTCLENDU=1)*(xlRTCLEQCL=$D901),0))</f>
        <v>DIST_RAD</v>
      </c>
      <c r="W901" s="153" t="str">
        <f t="array" ref="W901">INDEX(xlRTCLNAME,MATCH(1,(xlRTCLENDU=2)*(xlRTCLEQCL=$F901),0))</f>
        <v>CENT_AIR</v>
      </c>
      <c r="X901" s="153" t="str">
        <f t="array" ref="X901">INDEX(xlRTTYNAME,MATCH(1,(xlRTTYENDU=1)*(xlRTTYEQCL=$D901)*(xlRTEQTYPE=$E901),0))</f>
        <v>DIST_RAD4</v>
      </c>
      <c r="Y901" s="153" t="str">
        <f t="array" ref="Y901">INDEX(xlRTTYNAME,MATCH(1,(xlRTTYENDU=2)*(xlRTTYEQCL=$F901)*(xlRTEQTYPE=$G901),0))</f>
        <v>CENT_AIR4</v>
      </c>
    </row>
    <row r="902" spans="1:25" s="157" customFormat="1" x14ac:dyDescent="0.2">
      <c r="A902"/>
      <c r="B902" s="49">
        <v>4</v>
      </c>
      <c r="C902" s="49">
        <v>1</v>
      </c>
      <c r="D902" s="49">
        <v>8</v>
      </c>
      <c r="E902" s="49">
        <v>29</v>
      </c>
      <c r="F902" s="49">
        <v>2</v>
      </c>
      <c r="G902" s="49">
        <v>8</v>
      </c>
      <c r="H902" s="166">
        <v>2023</v>
      </c>
      <c r="I902" s="166">
        <v>2032</v>
      </c>
      <c r="J902" s="50">
        <v>1.0812999999999999</v>
      </c>
      <c r="K902" s="50">
        <v>1.0769</v>
      </c>
      <c r="L902" s="50">
        <v>0.44280000000000003</v>
      </c>
      <c r="M902" s="50">
        <v>0.86639999999999995</v>
      </c>
      <c r="N902" s="50">
        <v>0.85660000000000003</v>
      </c>
      <c r="O902" s="50">
        <v>1.0538000000000001</v>
      </c>
      <c r="P902" s="49">
        <v>10457</v>
      </c>
      <c r="Q902" s="51">
        <f t="array" ref="Q902">SUM(IF(($S902&gt;=4)*($C902='TaxCred&amp;Subs'!$D$123:$D$127)*($H902='TaxCred&amp;Subs'!$C$123:$C$127)*($H902&lt;='TaxCred&amp;Subs'!$C$129),'TaxCred&amp;Subs'!$E$123:$E$127,0))</f>
        <v>2500</v>
      </c>
      <c r="R902" s="171">
        <v>0</v>
      </c>
      <c r="S902" s="49">
        <v>5</v>
      </c>
      <c r="T902" s="49" t="s">
        <v>225</v>
      </c>
      <c r="U902"/>
      <c r="V902" s="153" t="str">
        <f t="array" ref="V902">INDEX(xlRTCLNAME,MATCH(1,(xlRTCLENDU=1)*(xlRTCLEQCL=$D902),0))</f>
        <v>DIST_RAD</v>
      </c>
      <c r="W902" s="153" t="str">
        <f t="array" ref="W902">INDEX(xlRTCLNAME,MATCH(1,(xlRTCLENDU=2)*(xlRTCLEQCL=$F902),0))</f>
        <v>CENT_AIR</v>
      </c>
      <c r="X902" s="153" t="str">
        <f t="array" ref="X902">INDEX(xlRTTYNAME,MATCH(1,(xlRTTYENDU=1)*(xlRTTYEQCL=$D902)*(xlRTEQTYPE=$E902),0))</f>
        <v>DIST_RAD4</v>
      </c>
      <c r="Y902" s="153" t="str">
        <f t="array" ref="Y902">INDEX(xlRTTYNAME,MATCH(1,(xlRTTYENDU=2)*(xlRTTYEQCL=$F902)*(xlRTEQTYPE=$G902),0))</f>
        <v>CENT_AIR4</v>
      </c>
    </row>
    <row r="903" spans="1:25" s="157" customFormat="1" x14ac:dyDescent="0.2">
      <c r="A903"/>
      <c r="B903" s="126">
        <v>4</v>
      </c>
      <c r="C903" s="126">
        <v>1</v>
      </c>
      <c r="D903" s="126">
        <v>8</v>
      </c>
      <c r="E903" s="126">
        <v>29</v>
      </c>
      <c r="F903" s="126">
        <v>2</v>
      </c>
      <c r="G903" s="126">
        <v>8</v>
      </c>
      <c r="H903" s="143">
        <v>2033</v>
      </c>
      <c r="I903" s="148">
        <v>2050</v>
      </c>
      <c r="J903" s="127">
        <v>1.0812999999999999</v>
      </c>
      <c r="K903" s="127">
        <v>1.0769</v>
      </c>
      <c r="L903" s="127">
        <v>0.44280000000000003</v>
      </c>
      <c r="M903" s="127">
        <v>0.86639999999999995</v>
      </c>
      <c r="N903" s="127">
        <v>0.85660000000000003</v>
      </c>
      <c r="O903" s="127">
        <v>1.0538000000000001</v>
      </c>
      <c r="P903" s="126">
        <v>10457</v>
      </c>
      <c r="Q903" s="128">
        <f t="array" ref="Q903">SUM(IF(($S903&gt;=4)*($C903='TaxCred&amp;Subs'!$D$123:$D$127)*($H903='TaxCred&amp;Subs'!$C$123:$C$127)*($H903&lt;='TaxCred&amp;Subs'!$C$129),'TaxCred&amp;Subs'!$E$123:$E$127,0))</f>
        <v>0</v>
      </c>
      <c r="R903" s="174">
        <v>0</v>
      </c>
      <c r="S903" s="126">
        <v>5</v>
      </c>
      <c r="T903" s="126" t="s">
        <v>225</v>
      </c>
      <c r="U903"/>
      <c r="V903" s="153" t="str">
        <f t="array" ref="V903">INDEX(xlRTCLNAME,MATCH(1,(xlRTCLENDU=1)*(xlRTCLEQCL=$D903),0))</f>
        <v>DIST_RAD</v>
      </c>
      <c r="W903" s="153" t="str">
        <f t="array" ref="W903">INDEX(xlRTCLNAME,MATCH(1,(xlRTCLENDU=2)*(xlRTCLEQCL=$F903),0))</f>
        <v>CENT_AIR</v>
      </c>
      <c r="X903" s="153" t="str">
        <f t="array" ref="X903">INDEX(xlRTTYNAME,MATCH(1,(xlRTTYENDU=1)*(xlRTTYEQCL=$D903)*(xlRTEQTYPE=$E903),0))</f>
        <v>DIST_RAD4</v>
      </c>
      <c r="Y903" s="153" t="str">
        <f t="array" ref="Y903">INDEX(xlRTTYNAME,MATCH(1,(xlRTTYENDU=2)*(xlRTTYEQCL=$F903)*(xlRTEQTYPE=$G903),0))</f>
        <v>CENT_AIR4</v>
      </c>
    </row>
    <row r="904" spans="1:25" s="157" customFormat="1" x14ac:dyDescent="0.2">
      <c r="A904"/>
      <c r="B904" s="126">
        <v>5</v>
      </c>
      <c r="C904" s="126">
        <v>1</v>
      </c>
      <c r="D904" s="126">
        <v>8</v>
      </c>
      <c r="E904" s="126">
        <v>29</v>
      </c>
      <c r="F904" s="126">
        <v>2</v>
      </c>
      <c r="G904" s="126">
        <v>8</v>
      </c>
      <c r="H904" s="148">
        <v>2016</v>
      </c>
      <c r="I904" s="143">
        <v>2022</v>
      </c>
      <c r="J904" s="127">
        <v>1.0838000000000001</v>
      </c>
      <c r="K904" s="127">
        <v>1.0465</v>
      </c>
      <c r="L904" s="127">
        <v>0.32329999999999998</v>
      </c>
      <c r="M904" s="127">
        <v>0.73150000000000004</v>
      </c>
      <c r="N904" s="127">
        <v>0.75670000000000004</v>
      </c>
      <c r="O904" s="127">
        <v>1.0538000000000001</v>
      </c>
      <c r="P904" s="126">
        <v>11579</v>
      </c>
      <c r="Q904" s="128">
        <f t="array" ref="Q904">SUM(IF(($S904&gt;=4)*($C904='TaxCred&amp;Subs'!$D$123:$D$127)*($H904='TaxCred&amp;Subs'!$C$123:$C$127)*($H904&lt;='TaxCred&amp;Subs'!$C$129),'TaxCred&amp;Subs'!$E$123:$E$127,0))</f>
        <v>2000</v>
      </c>
      <c r="R904" s="174">
        <v>0</v>
      </c>
      <c r="S904" s="126">
        <v>5</v>
      </c>
      <c r="T904" s="126" t="s">
        <v>225</v>
      </c>
      <c r="U904"/>
      <c r="V904" s="153" t="str">
        <f t="array" ref="V904">INDEX(xlRTCLNAME,MATCH(1,(xlRTCLENDU=1)*(xlRTCLEQCL=$D904),0))</f>
        <v>DIST_RAD</v>
      </c>
      <c r="W904" s="153" t="str">
        <f t="array" ref="W904">INDEX(xlRTCLNAME,MATCH(1,(xlRTCLENDU=2)*(xlRTCLEQCL=$F904),0))</f>
        <v>CENT_AIR</v>
      </c>
      <c r="X904" s="153" t="str">
        <f t="array" ref="X904">INDEX(xlRTTYNAME,MATCH(1,(xlRTTYENDU=1)*(xlRTTYEQCL=$D904)*(xlRTEQTYPE=$E904),0))</f>
        <v>DIST_RAD4</v>
      </c>
      <c r="Y904" s="153" t="str">
        <f t="array" ref="Y904">INDEX(xlRTTYNAME,MATCH(1,(xlRTTYENDU=2)*(xlRTTYEQCL=$F904)*(xlRTEQTYPE=$G904),0))</f>
        <v>CENT_AIR4</v>
      </c>
    </row>
    <row r="905" spans="1:25" s="157" customFormat="1" x14ac:dyDescent="0.2">
      <c r="A905"/>
      <c r="B905" s="49">
        <v>5</v>
      </c>
      <c r="C905" s="49">
        <v>1</v>
      </c>
      <c r="D905" s="49">
        <v>8</v>
      </c>
      <c r="E905" s="49">
        <v>29</v>
      </c>
      <c r="F905" s="49">
        <v>2</v>
      </c>
      <c r="G905" s="49">
        <v>8</v>
      </c>
      <c r="H905" s="166">
        <v>2023</v>
      </c>
      <c r="I905" s="166">
        <v>2032</v>
      </c>
      <c r="J905" s="50">
        <v>1.0838000000000001</v>
      </c>
      <c r="K905" s="50">
        <v>1.0465</v>
      </c>
      <c r="L905" s="50">
        <v>0.32329999999999998</v>
      </c>
      <c r="M905" s="50">
        <v>0.73150000000000004</v>
      </c>
      <c r="N905" s="50">
        <v>0.75670000000000004</v>
      </c>
      <c r="O905" s="50">
        <v>1.0538000000000001</v>
      </c>
      <c r="P905" s="49">
        <v>11579</v>
      </c>
      <c r="Q905" s="51">
        <f t="array" ref="Q905">SUM(IF(($S905&gt;=4)*($C905='TaxCred&amp;Subs'!$D$123:$D$127)*($H905='TaxCred&amp;Subs'!$C$123:$C$127)*($H905&lt;='TaxCred&amp;Subs'!$C$129),'TaxCred&amp;Subs'!$E$123:$E$127,0))</f>
        <v>2500</v>
      </c>
      <c r="R905" s="171">
        <v>0</v>
      </c>
      <c r="S905" s="49">
        <v>5</v>
      </c>
      <c r="T905" s="49" t="s">
        <v>225</v>
      </c>
      <c r="U905"/>
      <c r="V905" s="153" t="str">
        <f t="array" ref="V905">INDEX(xlRTCLNAME,MATCH(1,(xlRTCLENDU=1)*(xlRTCLEQCL=$D905),0))</f>
        <v>DIST_RAD</v>
      </c>
      <c r="W905" s="153" t="str">
        <f t="array" ref="W905">INDEX(xlRTCLNAME,MATCH(1,(xlRTCLENDU=2)*(xlRTCLEQCL=$F905),0))</f>
        <v>CENT_AIR</v>
      </c>
      <c r="X905" s="153" t="str">
        <f t="array" ref="X905">INDEX(xlRTTYNAME,MATCH(1,(xlRTTYENDU=1)*(xlRTTYEQCL=$D905)*(xlRTEQTYPE=$E905),0))</f>
        <v>DIST_RAD4</v>
      </c>
      <c r="Y905" s="153" t="str">
        <f t="array" ref="Y905">INDEX(xlRTTYNAME,MATCH(1,(xlRTTYENDU=2)*(xlRTTYEQCL=$F905)*(xlRTEQTYPE=$G905),0))</f>
        <v>CENT_AIR4</v>
      </c>
    </row>
    <row r="906" spans="1:25" s="157" customFormat="1" x14ac:dyDescent="0.2">
      <c r="A906"/>
      <c r="B906" s="126">
        <v>5</v>
      </c>
      <c r="C906" s="126">
        <v>1</v>
      </c>
      <c r="D906" s="126">
        <v>8</v>
      </c>
      <c r="E906" s="126">
        <v>29</v>
      </c>
      <c r="F906" s="126">
        <v>2</v>
      </c>
      <c r="G906" s="126">
        <v>8</v>
      </c>
      <c r="H906" s="143">
        <v>2033</v>
      </c>
      <c r="I906" s="148">
        <v>2050</v>
      </c>
      <c r="J906" s="127">
        <v>1.0838000000000001</v>
      </c>
      <c r="K906" s="127">
        <v>1.0465</v>
      </c>
      <c r="L906" s="127">
        <v>0.32329999999999998</v>
      </c>
      <c r="M906" s="127">
        <v>0.73150000000000004</v>
      </c>
      <c r="N906" s="127">
        <v>0.75670000000000004</v>
      </c>
      <c r="O906" s="127">
        <v>1.0538000000000001</v>
      </c>
      <c r="P906" s="126">
        <v>11579</v>
      </c>
      <c r="Q906" s="128">
        <f t="array" ref="Q906">SUM(IF(($S906&gt;=4)*($C906='TaxCred&amp;Subs'!$D$123:$D$127)*($H906='TaxCred&amp;Subs'!$C$123:$C$127)*($H906&lt;='TaxCred&amp;Subs'!$C$129),'TaxCred&amp;Subs'!$E$123:$E$127,0))</f>
        <v>0</v>
      </c>
      <c r="R906" s="174">
        <v>0</v>
      </c>
      <c r="S906" s="126">
        <v>5</v>
      </c>
      <c r="T906" s="126" t="s">
        <v>225</v>
      </c>
      <c r="U906"/>
      <c r="V906" s="153" t="str">
        <f t="array" ref="V906">INDEX(xlRTCLNAME,MATCH(1,(xlRTCLENDU=1)*(xlRTCLEQCL=$D906),0))</f>
        <v>DIST_RAD</v>
      </c>
      <c r="W906" s="153" t="str">
        <f t="array" ref="W906">INDEX(xlRTCLNAME,MATCH(1,(xlRTCLENDU=2)*(xlRTCLEQCL=$F906),0))</f>
        <v>CENT_AIR</v>
      </c>
      <c r="X906" s="153" t="str">
        <f t="array" ref="X906">INDEX(xlRTTYNAME,MATCH(1,(xlRTTYENDU=1)*(xlRTTYEQCL=$D906)*(xlRTEQTYPE=$E906),0))</f>
        <v>DIST_RAD4</v>
      </c>
      <c r="Y906" s="153" t="str">
        <f t="array" ref="Y906">INDEX(xlRTTYNAME,MATCH(1,(xlRTTYENDU=2)*(xlRTTYEQCL=$F906)*(xlRTEQTYPE=$G906),0))</f>
        <v>CENT_AIR4</v>
      </c>
    </row>
    <row r="907" spans="1:25" s="157" customFormat="1" x14ac:dyDescent="0.2">
      <c r="A907"/>
      <c r="B907" s="126">
        <v>6</v>
      </c>
      <c r="C907" s="126">
        <v>1</v>
      </c>
      <c r="D907" s="126">
        <v>8</v>
      </c>
      <c r="E907" s="126">
        <v>29</v>
      </c>
      <c r="F907" s="126">
        <v>2</v>
      </c>
      <c r="G907" s="126">
        <v>8</v>
      </c>
      <c r="H907" s="148">
        <v>2016</v>
      </c>
      <c r="I907" s="143">
        <v>2022</v>
      </c>
      <c r="J907" s="127">
        <v>1.089</v>
      </c>
      <c r="K907" s="127">
        <v>1.0583</v>
      </c>
      <c r="L907" s="127">
        <v>0.41599999999999998</v>
      </c>
      <c r="M907" s="127">
        <v>0.76590000000000003</v>
      </c>
      <c r="N907" s="127">
        <v>0.88849999999999996</v>
      </c>
      <c r="O907" s="127">
        <v>1.0538000000000001</v>
      </c>
      <c r="P907" s="126">
        <v>11441</v>
      </c>
      <c r="Q907" s="128">
        <f t="array" ref="Q907">SUM(IF(($S907&gt;=4)*($C907='TaxCred&amp;Subs'!$D$123:$D$127)*($H907='TaxCred&amp;Subs'!$C$123:$C$127)*($H907&lt;='TaxCred&amp;Subs'!$C$129),'TaxCred&amp;Subs'!$E$123:$E$127,0))</f>
        <v>2000</v>
      </c>
      <c r="R907" s="174">
        <v>0</v>
      </c>
      <c r="S907" s="126">
        <v>5</v>
      </c>
      <c r="T907" s="126" t="s">
        <v>225</v>
      </c>
      <c r="U907"/>
      <c r="V907" s="153" t="str">
        <f t="array" ref="V907">INDEX(xlRTCLNAME,MATCH(1,(xlRTCLENDU=1)*(xlRTCLEQCL=$D907),0))</f>
        <v>DIST_RAD</v>
      </c>
      <c r="W907" s="153" t="str">
        <f t="array" ref="W907">INDEX(xlRTCLNAME,MATCH(1,(xlRTCLENDU=2)*(xlRTCLEQCL=$F907),0))</f>
        <v>CENT_AIR</v>
      </c>
      <c r="X907" s="153" t="str">
        <f t="array" ref="X907">INDEX(xlRTTYNAME,MATCH(1,(xlRTTYENDU=1)*(xlRTTYEQCL=$D907)*(xlRTEQTYPE=$E907),0))</f>
        <v>DIST_RAD4</v>
      </c>
      <c r="Y907" s="153" t="str">
        <f t="array" ref="Y907">INDEX(xlRTTYNAME,MATCH(1,(xlRTTYENDU=2)*(xlRTTYEQCL=$F907)*(xlRTEQTYPE=$G907),0))</f>
        <v>CENT_AIR4</v>
      </c>
    </row>
    <row r="908" spans="1:25" s="157" customFormat="1" x14ac:dyDescent="0.2">
      <c r="A908"/>
      <c r="B908" s="49">
        <v>6</v>
      </c>
      <c r="C908" s="49">
        <v>1</v>
      </c>
      <c r="D908" s="49">
        <v>8</v>
      </c>
      <c r="E908" s="49">
        <v>29</v>
      </c>
      <c r="F908" s="49">
        <v>2</v>
      </c>
      <c r="G908" s="49">
        <v>8</v>
      </c>
      <c r="H908" s="166">
        <v>2023</v>
      </c>
      <c r="I908" s="166">
        <v>2032</v>
      </c>
      <c r="J908" s="50">
        <v>1.089</v>
      </c>
      <c r="K908" s="50">
        <v>1.0583</v>
      </c>
      <c r="L908" s="50">
        <v>0.41599999999999998</v>
      </c>
      <c r="M908" s="50">
        <v>0.76590000000000003</v>
      </c>
      <c r="N908" s="50">
        <v>0.88849999999999996</v>
      </c>
      <c r="O908" s="50">
        <v>1.0538000000000001</v>
      </c>
      <c r="P908" s="49">
        <v>11441</v>
      </c>
      <c r="Q908" s="51">
        <f t="array" ref="Q908">SUM(IF(($S908&gt;=4)*($C908='TaxCred&amp;Subs'!$D$123:$D$127)*($H908='TaxCred&amp;Subs'!$C$123:$C$127)*($H908&lt;='TaxCred&amp;Subs'!$C$129),'TaxCred&amp;Subs'!$E$123:$E$127,0))</f>
        <v>2500</v>
      </c>
      <c r="R908" s="171">
        <v>0</v>
      </c>
      <c r="S908" s="49">
        <v>5</v>
      </c>
      <c r="T908" s="49" t="s">
        <v>225</v>
      </c>
      <c r="U908"/>
      <c r="V908" s="153" t="str">
        <f t="array" ref="V908">INDEX(xlRTCLNAME,MATCH(1,(xlRTCLENDU=1)*(xlRTCLEQCL=$D908),0))</f>
        <v>DIST_RAD</v>
      </c>
      <c r="W908" s="153" t="str">
        <f t="array" ref="W908">INDEX(xlRTCLNAME,MATCH(1,(xlRTCLENDU=2)*(xlRTCLEQCL=$F908),0))</f>
        <v>CENT_AIR</v>
      </c>
      <c r="X908" s="153" t="str">
        <f t="array" ref="X908">INDEX(xlRTTYNAME,MATCH(1,(xlRTTYENDU=1)*(xlRTTYEQCL=$D908)*(xlRTEQTYPE=$E908),0))</f>
        <v>DIST_RAD4</v>
      </c>
      <c r="Y908" s="153" t="str">
        <f t="array" ref="Y908">INDEX(xlRTTYNAME,MATCH(1,(xlRTTYENDU=2)*(xlRTTYEQCL=$F908)*(xlRTEQTYPE=$G908),0))</f>
        <v>CENT_AIR4</v>
      </c>
    </row>
    <row r="909" spans="1:25" s="157" customFormat="1" x14ac:dyDescent="0.2">
      <c r="A909"/>
      <c r="B909" s="126">
        <v>6</v>
      </c>
      <c r="C909" s="126">
        <v>1</v>
      </c>
      <c r="D909" s="126">
        <v>8</v>
      </c>
      <c r="E909" s="126">
        <v>29</v>
      </c>
      <c r="F909" s="126">
        <v>2</v>
      </c>
      <c r="G909" s="126">
        <v>8</v>
      </c>
      <c r="H909" s="143">
        <v>2033</v>
      </c>
      <c r="I909" s="148">
        <v>2050</v>
      </c>
      <c r="J909" s="127">
        <v>1.089</v>
      </c>
      <c r="K909" s="127">
        <v>1.0583</v>
      </c>
      <c r="L909" s="127">
        <v>0.41599999999999998</v>
      </c>
      <c r="M909" s="127">
        <v>0.76590000000000003</v>
      </c>
      <c r="N909" s="127">
        <v>0.88849999999999996</v>
      </c>
      <c r="O909" s="127">
        <v>1.0538000000000001</v>
      </c>
      <c r="P909" s="126">
        <v>11441</v>
      </c>
      <c r="Q909" s="128">
        <f t="array" ref="Q909">SUM(IF(($S909&gt;=4)*($C909='TaxCred&amp;Subs'!$D$123:$D$127)*($H909='TaxCred&amp;Subs'!$C$123:$C$127)*($H909&lt;='TaxCred&amp;Subs'!$C$129),'TaxCred&amp;Subs'!$E$123:$E$127,0))</f>
        <v>0</v>
      </c>
      <c r="R909" s="174">
        <v>0</v>
      </c>
      <c r="S909" s="126">
        <v>5</v>
      </c>
      <c r="T909" s="126" t="s">
        <v>225</v>
      </c>
      <c r="U909"/>
      <c r="V909" s="153" t="str">
        <f t="array" ref="V909">INDEX(xlRTCLNAME,MATCH(1,(xlRTCLENDU=1)*(xlRTCLEQCL=$D909),0))</f>
        <v>DIST_RAD</v>
      </c>
      <c r="W909" s="153" t="str">
        <f t="array" ref="W909">INDEX(xlRTCLNAME,MATCH(1,(xlRTCLENDU=2)*(xlRTCLEQCL=$F909),0))</f>
        <v>CENT_AIR</v>
      </c>
      <c r="X909" s="153" t="str">
        <f t="array" ref="X909">INDEX(xlRTTYNAME,MATCH(1,(xlRTTYENDU=1)*(xlRTTYEQCL=$D909)*(xlRTEQTYPE=$E909),0))</f>
        <v>DIST_RAD4</v>
      </c>
      <c r="Y909" s="153" t="str">
        <f t="array" ref="Y909">INDEX(xlRTTYNAME,MATCH(1,(xlRTTYENDU=2)*(xlRTTYEQCL=$F909)*(xlRTEQTYPE=$G909),0))</f>
        <v>CENT_AIR4</v>
      </c>
    </row>
    <row r="910" spans="1:25" s="157" customFormat="1" x14ac:dyDescent="0.2">
      <c r="A910"/>
      <c r="B910" s="126">
        <v>7</v>
      </c>
      <c r="C910" s="126">
        <v>1</v>
      </c>
      <c r="D910" s="126">
        <v>8</v>
      </c>
      <c r="E910" s="126">
        <v>29</v>
      </c>
      <c r="F910" s="126">
        <v>2</v>
      </c>
      <c r="G910" s="126">
        <v>8</v>
      </c>
      <c r="H910" s="148">
        <v>2016</v>
      </c>
      <c r="I910" s="143">
        <v>2022</v>
      </c>
      <c r="J910" s="127">
        <v>1.0867</v>
      </c>
      <c r="K910" s="127">
        <v>1.0682</v>
      </c>
      <c r="L910" s="127">
        <v>0.32069999999999999</v>
      </c>
      <c r="M910" s="127">
        <v>0.65339999999999998</v>
      </c>
      <c r="N910" s="127">
        <v>0.87180000000000002</v>
      </c>
      <c r="O910" s="127">
        <v>1.0538000000000001</v>
      </c>
      <c r="P910" s="126">
        <v>11603</v>
      </c>
      <c r="Q910" s="128">
        <f t="array" ref="Q910">SUM(IF(($S910&gt;=4)*($C910='TaxCred&amp;Subs'!$D$123:$D$127)*($H910='TaxCred&amp;Subs'!$C$123:$C$127)*($H910&lt;='TaxCred&amp;Subs'!$C$129),'TaxCred&amp;Subs'!$E$123:$E$127,0))</f>
        <v>2000</v>
      </c>
      <c r="R910" s="174">
        <v>0</v>
      </c>
      <c r="S910" s="126">
        <v>5</v>
      </c>
      <c r="T910" s="126" t="s">
        <v>225</v>
      </c>
      <c r="U910"/>
      <c r="V910" s="153" t="str">
        <f t="array" ref="V910">INDEX(xlRTCLNAME,MATCH(1,(xlRTCLENDU=1)*(xlRTCLEQCL=$D910),0))</f>
        <v>DIST_RAD</v>
      </c>
      <c r="W910" s="153" t="str">
        <f t="array" ref="W910">INDEX(xlRTCLNAME,MATCH(1,(xlRTCLENDU=2)*(xlRTCLEQCL=$F910),0))</f>
        <v>CENT_AIR</v>
      </c>
      <c r="X910" s="153" t="str">
        <f t="array" ref="X910">INDEX(xlRTTYNAME,MATCH(1,(xlRTTYENDU=1)*(xlRTTYEQCL=$D910)*(xlRTEQTYPE=$E910),0))</f>
        <v>DIST_RAD4</v>
      </c>
      <c r="Y910" s="153" t="str">
        <f t="array" ref="Y910">INDEX(xlRTTYNAME,MATCH(1,(xlRTTYENDU=2)*(xlRTTYEQCL=$F910)*(xlRTEQTYPE=$G910),0))</f>
        <v>CENT_AIR4</v>
      </c>
    </row>
    <row r="911" spans="1:25" s="157" customFormat="1" x14ac:dyDescent="0.2">
      <c r="A911"/>
      <c r="B911" s="49">
        <v>7</v>
      </c>
      <c r="C911" s="49">
        <v>1</v>
      </c>
      <c r="D911" s="49">
        <v>8</v>
      </c>
      <c r="E911" s="49">
        <v>29</v>
      </c>
      <c r="F911" s="49">
        <v>2</v>
      </c>
      <c r="G911" s="49">
        <v>8</v>
      </c>
      <c r="H911" s="166">
        <v>2023</v>
      </c>
      <c r="I911" s="166">
        <v>2032</v>
      </c>
      <c r="J911" s="50">
        <v>1.0867</v>
      </c>
      <c r="K911" s="50">
        <v>1.0682</v>
      </c>
      <c r="L911" s="50">
        <v>0.32069999999999999</v>
      </c>
      <c r="M911" s="50">
        <v>0.65339999999999998</v>
      </c>
      <c r="N911" s="50">
        <v>0.87180000000000002</v>
      </c>
      <c r="O911" s="50">
        <v>1.0538000000000001</v>
      </c>
      <c r="P911" s="49">
        <v>11603</v>
      </c>
      <c r="Q911" s="51">
        <f t="array" ref="Q911">SUM(IF(($S911&gt;=4)*($C911='TaxCred&amp;Subs'!$D$123:$D$127)*($H911='TaxCred&amp;Subs'!$C$123:$C$127)*($H911&lt;='TaxCred&amp;Subs'!$C$129),'TaxCred&amp;Subs'!$E$123:$E$127,0))</f>
        <v>2500</v>
      </c>
      <c r="R911" s="171">
        <v>0</v>
      </c>
      <c r="S911" s="49">
        <v>5</v>
      </c>
      <c r="T911" s="49" t="s">
        <v>225</v>
      </c>
      <c r="U911"/>
      <c r="V911" s="153" t="str">
        <f t="array" ref="V911">INDEX(xlRTCLNAME,MATCH(1,(xlRTCLENDU=1)*(xlRTCLEQCL=$D911),0))</f>
        <v>DIST_RAD</v>
      </c>
      <c r="W911" s="153" t="str">
        <f t="array" ref="W911">INDEX(xlRTCLNAME,MATCH(1,(xlRTCLENDU=2)*(xlRTCLEQCL=$F911),0))</f>
        <v>CENT_AIR</v>
      </c>
      <c r="X911" s="153" t="str">
        <f t="array" ref="X911">INDEX(xlRTTYNAME,MATCH(1,(xlRTTYENDU=1)*(xlRTTYEQCL=$D911)*(xlRTEQTYPE=$E911),0))</f>
        <v>DIST_RAD4</v>
      </c>
      <c r="Y911" s="153" t="str">
        <f t="array" ref="Y911">INDEX(xlRTTYNAME,MATCH(1,(xlRTTYENDU=2)*(xlRTTYEQCL=$F911)*(xlRTEQTYPE=$G911),0))</f>
        <v>CENT_AIR4</v>
      </c>
    </row>
    <row r="912" spans="1:25" s="157" customFormat="1" x14ac:dyDescent="0.2">
      <c r="A912"/>
      <c r="B912" s="126">
        <v>7</v>
      </c>
      <c r="C912" s="126">
        <v>1</v>
      </c>
      <c r="D912" s="126">
        <v>8</v>
      </c>
      <c r="E912" s="126">
        <v>29</v>
      </c>
      <c r="F912" s="126">
        <v>2</v>
      </c>
      <c r="G912" s="126">
        <v>8</v>
      </c>
      <c r="H912" s="143">
        <v>2033</v>
      </c>
      <c r="I912" s="148">
        <v>2050</v>
      </c>
      <c r="J912" s="127">
        <v>1.0867</v>
      </c>
      <c r="K912" s="127">
        <v>1.0682</v>
      </c>
      <c r="L912" s="127">
        <v>0.32069999999999999</v>
      </c>
      <c r="M912" s="127">
        <v>0.65339999999999998</v>
      </c>
      <c r="N912" s="127">
        <v>0.87180000000000002</v>
      </c>
      <c r="O912" s="127">
        <v>1.0538000000000001</v>
      </c>
      <c r="P912" s="126">
        <v>11603</v>
      </c>
      <c r="Q912" s="128">
        <f t="array" ref="Q912">SUM(IF(($S912&gt;=4)*($C912='TaxCred&amp;Subs'!$D$123:$D$127)*($H912='TaxCred&amp;Subs'!$C$123:$C$127)*($H912&lt;='TaxCred&amp;Subs'!$C$129),'TaxCred&amp;Subs'!$E$123:$E$127,0))</f>
        <v>0</v>
      </c>
      <c r="R912" s="174">
        <v>0</v>
      </c>
      <c r="S912" s="126">
        <v>5</v>
      </c>
      <c r="T912" s="126" t="s">
        <v>225</v>
      </c>
      <c r="U912"/>
      <c r="V912" s="153" t="str">
        <f t="array" ref="V912">INDEX(xlRTCLNAME,MATCH(1,(xlRTCLENDU=1)*(xlRTCLEQCL=$D912),0))</f>
        <v>DIST_RAD</v>
      </c>
      <c r="W912" s="153" t="str">
        <f t="array" ref="W912">INDEX(xlRTCLNAME,MATCH(1,(xlRTCLENDU=2)*(xlRTCLEQCL=$F912),0))</f>
        <v>CENT_AIR</v>
      </c>
      <c r="X912" s="153" t="str">
        <f t="array" ref="X912">INDEX(xlRTTYNAME,MATCH(1,(xlRTTYENDU=1)*(xlRTTYEQCL=$D912)*(xlRTEQTYPE=$E912),0))</f>
        <v>DIST_RAD4</v>
      </c>
      <c r="Y912" s="153" t="str">
        <f t="array" ref="Y912">INDEX(xlRTTYNAME,MATCH(1,(xlRTTYENDU=2)*(xlRTTYEQCL=$F912)*(xlRTEQTYPE=$G912),0))</f>
        <v>CENT_AIR4</v>
      </c>
    </row>
    <row r="913" spans="1:25" s="157" customFormat="1" x14ac:dyDescent="0.2">
      <c r="A913"/>
      <c r="B913" s="126">
        <v>8</v>
      </c>
      <c r="C913" s="126">
        <v>1</v>
      </c>
      <c r="D913" s="126">
        <v>8</v>
      </c>
      <c r="E913" s="126">
        <v>29</v>
      </c>
      <c r="F913" s="126">
        <v>2</v>
      </c>
      <c r="G913" s="126">
        <v>8</v>
      </c>
      <c r="H913" s="148">
        <v>2016</v>
      </c>
      <c r="I913" s="143">
        <v>2022</v>
      </c>
      <c r="J913" s="127">
        <v>1.0820000000000001</v>
      </c>
      <c r="K913" s="127">
        <v>1.0832999999999999</v>
      </c>
      <c r="L913" s="127">
        <v>0.42730000000000001</v>
      </c>
      <c r="M913" s="127">
        <v>0.78110000000000002</v>
      </c>
      <c r="N913" s="127">
        <v>0.86439999999999995</v>
      </c>
      <c r="O913" s="127">
        <v>1.0538000000000001</v>
      </c>
      <c r="P913" s="126">
        <v>12094</v>
      </c>
      <c r="Q913" s="128">
        <f t="array" ref="Q913">SUM(IF(($S913&gt;=4)*($C913='TaxCred&amp;Subs'!$D$123:$D$127)*($H913='TaxCred&amp;Subs'!$C$123:$C$127)*($H913&lt;='TaxCred&amp;Subs'!$C$129),'TaxCred&amp;Subs'!$E$123:$E$127,0))</f>
        <v>2000</v>
      </c>
      <c r="R913" s="174">
        <v>0</v>
      </c>
      <c r="S913" s="126">
        <v>5</v>
      </c>
      <c r="T913" s="126" t="s">
        <v>225</v>
      </c>
      <c r="U913"/>
      <c r="V913" s="153" t="str">
        <f t="array" ref="V913">INDEX(xlRTCLNAME,MATCH(1,(xlRTCLENDU=1)*(xlRTCLEQCL=$D913),0))</f>
        <v>DIST_RAD</v>
      </c>
      <c r="W913" s="153" t="str">
        <f t="array" ref="W913">INDEX(xlRTCLNAME,MATCH(1,(xlRTCLENDU=2)*(xlRTCLEQCL=$F913),0))</f>
        <v>CENT_AIR</v>
      </c>
      <c r="X913" s="153" t="str">
        <f t="array" ref="X913">INDEX(xlRTTYNAME,MATCH(1,(xlRTTYENDU=1)*(xlRTTYEQCL=$D913)*(xlRTEQTYPE=$E913),0))</f>
        <v>DIST_RAD4</v>
      </c>
      <c r="Y913" s="153" t="str">
        <f t="array" ref="Y913">INDEX(xlRTTYNAME,MATCH(1,(xlRTTYENDU=2)*(xlRTTYEQCL=$F913)*(xlRTEQTYPE=$G913),0))</f>
        <v>CENT_AIR4</v>
      </c>
    </row>
    <row r="914" spans="1:25" s="157" customFormat="1" x14ac:dyDescent="0.2">
      <c r="A914"/>
      <c r="B914" s="49">
        <v>8</v>
      </c>
      <c r="C914" s="49">
        <v>1</v>
      </c>
      <c r="D914" s="49">
        <v>8</v>
      </c>
      <c r="E914" s="49">
        <v>29</v>
      </c>
      <c r="F914" s="49">
        <v>2</v>
      </c>
      <c r="G914" s="49">
        <v>8</v>
      </c>
      <c r="H914" s="166">
        <v>2023</v>
      </c>
      <c r="I914" s="166">
        <v>2032</v>
      </c>
      <c r="J914" s="50">
        <v>1.0820000000000001</v>
      </c>
      <c r="K914" s="50">
        <v>1.0832999999999999</v>
      </c>
      <c r="L914" s="50">
        <v>0.42730000000000001</v>
      </c>
      <c r="M914" s="50">
        <v>0.78110000000000002</v>
      </c>
      <c r="N914" s="50">
        <v>0.86439999999999995</v>
      </c>
      <c r="O914" s="50">
        <v>1.0538000000000001</v>
      </c>
      <c r="P914" s="49">
        <v>12094</v>
      </c>
      <c r="Q914" s="51">
        <f t="array" ref="Q914">SUM(IF(($S914&gt;=4)*($C914='TaxCred&amp;Subs'!$D$123:$D$127)*($H914='TaxCred&amp;Subs'!$C$123:$C$127)*($H914&lt;='TaxCred&amp;Subs'!$C$129),'TaxCred&amp;Subs'!$E$123:$E$127,0))</f>
        <v>2500</v>
      </c>
      <c r="R914" s="171">
        <v>0</v>
      </c>
      <c r="S914" s="49">
        <v>5</v>
      </c>
      <c r="T914" s="49" t="s">
        <v>225</v>
      </c>
      <c r="U914"/>
      <c r="V914" s="153" t="str">
        <f t="array" ref="V914">INDEX(xlRTCLNAME,MATCH(1,(xlRTCLENDU=1)*(xlRTCLEQCL=$D914),0))</f>
        <v>DIST_RAD</v>
      </c>
      <c r="W914" s="153" t="str">
        <f t="array" ref="W914">INDEX(xlRTCLNAME,MATCH(1,(xlRTCLENDU=2)*(xlRTCLEQCL=$F914),0))</f>
        <v>CENT_AIR</v>
      </c>
      <c r="X914" s="153" t="str">
        <f t="array" ref="X914">INDEX(xlRTTYNAME,MATCH(1,(xlRTTYENDU=1)*(xlRTTYEQCL=$D914)*(xlRTEQTYPE=$E914),0))</f>
        <v>DIST_RAD4</v>
      </c>
      <c r="Y914" s="153" t="str">
        <f t="array" ref="Y914">INDEX(xlRTTYNAME,MATCH(1,(xlRTTYENDU=2)*(xlRTTYEQCL=$F914)*(xlRTEQTYPE=$G914),0))</f>
        <v>CENT_AIR4</v>
      </c>
    </row>
    <row r="915" spans="1:25" s="157" customFormat="1" x14ac:dyDescent="0.2">
      <c r="A915"/>
      <c r="B915" s="126">
        <v>8</v>
      </c>
      <c r="C915" s="126">
        <v>1</v>
      </c>
      <c r="D915" s="126">
        <v>8</v>
      </c>
      <c r="E915" s="126">
        <v>29</v>
      </c>
      <c r="F915" s="126">
        <v>2</v>
      </c>
      <c r="G915" s="126">
        <v>8</v>
      </c>
      <c r="H915" s="143">
        <v>2033</v>
      </c>
      <c r="I915" s="148">
        <v>2050</v>
      </c>
      <c r="J915" s="127">
        <v>1.0820000000000001</v>
      </c>
      <c r="K915" s="127">
        <v>1.0832999999999999</v>
      </c>
      <c r="L915" s="127">
        <v>0.42730000000000001</v>
      </c>
      <c r="M915" s="127">
        <v>0.78110000000000002</v>
      </c>
      <c r="N915" s="127">
        <v>0.86439999999999995</v>
      </c>
      <c r="O915" s="127">
        <v>1.0538000000000001</v>
      </c>
      <c r="P915" s="126">
        <v>12094</v>
      </c>
      <c r="Q915" s="128">
        <f t="array" ref="Q915">SUM(IF(($S915&gt;=4)*($C915='TaxCred&amp;Subs'!$D$123:$D$127)*($H915='TaxCred&amp;Subs'!$C$123:$C$127)*($H915&lt;='TaxCred&amp;Subs'!$C$129),'TaxCred&amp;Subs'!$E$123:$E$127,0))</f>
        <v>0</v>
      </c>
      <c r="R915" s="174">
        <v>0</v>
      </c>
      <c r="S915" s="126">
        <v>5</v>
      </c>
      <c r="T915" s="126" t="s">
        <v>225</v>
      </c>
      <c r="U915"/>
      <c r="V915" s="153" t="str">
        <f t="array" ref="V915">INDEX(xlRTCLNAME,MATCH(1,(xlRTCLENDU=1)*(xlRTCLEQCL=$D915),0))</f>
        <v>DIST_RAD</v>
      </c>
      <c r="W915" s="153" t="str">
        <f t="array" ref="W915">INDEX(xlRTCLNAME,MATCH(1,(xlRTCLENDU=2)*(xlRTCLEQCL=$F915),0))</f>
        <v>CENT_AIR</v>
      </c>
      <c r="X915" s="153" t="str">
        <f t="array" ref="X915">INDEX(xlRTTYNAME,MATCH(1,(xlRTTYENDU=1)*(xlRTTYEQCL=$D915)*(xlRTEQTYPE=$E915),0))</f>
        <v>DIST_RAD4</v>
      </c>
      <c r="Y915" s="153" t="str">
        <f t="array" ref="Y915">INDEX(xlRTTYNAME,MATCH(1,(xlRTTYENDU=2)*(xlRTTYEQCL=$F915)*(xlRTEQTYPE=$G915),0))</f>
        <v>CENT_AIR4</v>
      </c>
    </row>
    <row r="916" spans="1:25" s="157" customFormat="1" x14ac:dyDescent="0.2">
      <c r="A916"/>
      <c r="B916" s="126">
        <v>9</v>
      </c>
      <c r="C916" s="126">
        <v>1</v>
      </c>
      <c r="D916" s="126">
        <v>8</v>
      </c>
      <c r="E916" s="126">
        <v>29</v>
      </c>
      <c r="F916" s="126">
        <v>2</v>
      </c>
      <c r="G916" s="126">
        <v>8</v>
      </c>
      <c r="H916" s="148">
        <v>2016</v>
      </c>
      <c r="I916" s="143">
        <v>2022</v>
      </c>
      <c r="J916" s="127">
        <v>1.0414000000000001</v>
      </c>
      <c r="K916" s="127">
        <v>1.07</v>
      </c>
      <c r="L916" s="127">
        <v>0.39019999999999999</v>
      </c>
      <c r="M916" s="127">
        <v>0.76029999999999998</v>
      </c>
      <c r="N916" s="127">
        <v>1.026</v>
      </c>
      <c r="O916" s="127">
        <v>1.0538000000000001</v>
      </c>
      <c r="P916" s="126">
        <v>14738</v>
      </c>
      <c r="Q916" s="128">
        <f t="array" ref="Q916">SUM(IF(($S916&gt;=4)*($C916='TaxCred&amp;Subs'!$D$123:$D$127)*($H916='TaxCred&amp;Subs'!$C$123:$C$127)*($H916&lt;='TaxCred&amp;Subs'!$C$129),'TaxCred&amp;Subs'!$E$123:$E$127,0))</f>
        <v>2000</v>
      </c>
      <c r="R916" s="174">
        <v>0</v>
      </c>
      <c r="S916" s="126">
        <v>5</v>
      </c>
      <c r="T916" s="126" t="s">
        <v>225</v>
      </c>
      <c r="U916"/>
      <c r="V916" s="153" t="str">
        <f t="array" ref="V916">INDEX(xlRTCLNAME,MATCH(1,(xlRTCLENDU=1)*(xlRTCLEQCL=$D916),0))</f>
        <v>DIST_RAD</v>
      </c>
      <c r="W916" s="153" t="str">
        <f t="array" ref="W916">INDEX(xlRTCLNAME,MATCH(1,(xlRTCLENDU=2)*(xlRTCLEQCL=$F916),0))</f>
        <v>CENT_AIR</v>
      </c>
      <c r="X916" s="153" t="str">
        <f t="array" ref="X916">INDEX(xlRTTYNAME,MATCH(1,(xlRTTYENDU=1)*(xlRTTYEQCL=$D916)*(xlRTEQTYPE=$E916),0))</f>
        <v>DIST_RAD4</v>
      </c>
      <c r="Y916" s="153" t="str">
        <f t="array" ref="Y916">INDEX(xlRTTYNAME,MATCH(1,(xlRTTYENDU=2)*(xlRTTYEQCL=$F916)*(xlRTEQTYPE=$G916),0))</f>
        <v>CENT_AIR4</v>
      </c>
    </row>
    <row r="917" spans="1:25" s="157" customFormat="1" x14ac:dyDescent="0.2">
      <c r="A917"/>
      <c r="B917" s="49">
        <v>9</v>
      </c>
      <c r="C917" s="49">
        <v>1</v>
      </c>
      <c r="D917" s="49">
        <v>8</v>
      </c>
      <c r="E917" s="49">
        <v>29</v>
      </c>
      <c r="F917" s="49">
        <v>2</v>
      </c>
      <c r="G917" s="49">
        <v>8</v>
      </c>
      <c r="H917" s="166">
        <v>2023</v>
      </c>
      <c r="I917" s="166">
        <v>2032</v>
      </c>
      <c r="J917" s="50">
        <v>1.0414000000000001</v>
      </c>
      <c r="K917" s="50">
        <v>1.07</v>
      </c>
      <c r="L917" s="50">
        <v>0.39019999999999999</v>
      </c>
      <c r="M917" s="50">
        <v>0.76029999999999998</v>
      </c>
      <c r="N917" s="50">
        <v>1.026</v>
      </c>
      <c r="O917" s="50">
        <v>1.0538000000000001</v>
      </c>
      <c r="P917" s="49">
        <v>14738</v>
      </c>
      <c r="Q917" s="51">
        <f t="array" ref="Q917">SUM(IF(($S917&gt;=4)*($C917='TaxCred&amp;Subs'!$D$123:$D$127)*($H917='TaxCred&amp;Subs'!$C$123:$C$127)*($H917&lt;='TaxCred&amp;Subs'!$C$129),'TaxCred&amp;Subs'!$E$123:$E$127,0))</f>
        <v>2500</v>
      </c>
      <c r="R917" s="171">
        <v>0</v>
      </c>
      <c r="S917" s="49">
        <v>5</v>
      </c>
      <c r="T917" s="49" t="s">
        <v>225</v>
      </c>
      <c r="U917"/>
      <c r="V917" s="153" t="str">
        <f t="array" ref="V917">INDEX(xlRTCLNAME,MATCH(1,(xlRTCLENDU=1)*(xlRTCLEQCL=$D917),0))</f>
        <v>DIST_RAD</v>
      </c>
      <c r="W917" s="153" t="str">
        <f t="array" ref="W917">INDEX(xlRTCLNAME,MATCH(1,(xlRTCLENDU=2)*(xlRTCLEQCL=$F917),0))</f>
        <v>CENT_AIR</v>
      </c>
      <c r="X917" s="153" t="str">
        <f t="array" ref="X917">INDEX(xlRTTYNAME,MATCH(1,(xlRTTYENDU=1)*(xlRTTYEQCL=$D917)*(xlRTEQTYPE=$E917),0))</f>
        <v>DIST_RAD4</v>
      </c>
      <c r="Y917" s="153" t="str">
        <f t="array" ref="Y917">INDEX(xlRTTYNAME,MATCH(1,(xlRTTYENDU=2)*(xlRTTYEQCL=$F917)*(xlRTEQTYPE=$G917),0))</f>
        <v>CENT_AIR4</v>
      </c>
    </row>
    <row r="918" spans="1:25" s="157" customFormat="1" x14ac:dyDescent="0.2">
      <c r="A918"/>
      <c r="B918" s="126">
        <v>9</v>
      </c>
      <c r="C918" s="126">
        <v>1</v>
      </c>
      <c r="D918" s="126">
        <v>8</v>
      </c>
      <c r="E918" s="126">
        <v>29</v>
      </c>
      <c r="F918" s="126">
        <v>2</v>
      </c>
      <c r="G918" s="126">
        <v>8</v>
      </c>
      <c r="H918" s="143">
        <v>2033</v>
      </c>
      <c r="I918" s="148">
        <v>2050</v>
      </c>
      <c r="J918" s="127">
        <v>1.0414000000000001</v>
      </c>
      <c r="K918" s="127">
        <v>1.07</v>
      </c>
      <c r="L918" s="127">
        <v>0.39019999999999999</v>
      </c>
      <c r="M918" s="127">
        <v>0.76029999999999998</v>
      </c>
      <c r="N918" s="127">
        <v>1.026</v>
      </c>
      <c r="O918" s="127">
        <v>1.0538000000000001</v>
      </c>
      <c r="P918" s="126">
        <v>14738</v>
      </c>
      <c r="Q918" s="128">
        <f t="array" ref="Q918">SUM(IF(($S918&gt;=4)*($C918='TaxCred&amp;Subs'!$D$123:$D$127)*($H918='TaxCred&amp;Subs'!$C$123:$C$127)*($H918&lt;='TaxCred&amp;Subs'!$C$129),'TaxCred&amp;Subs'!$E$123:$E$127,0))</f>
        <v>0</v>
      </c>
      <c r="R918" s="174">
        <v>0</v>
      </c>
      <c r="S918" s="126">
        <v>5</v>
      </c>
      <c r="T918" s="126" t="s">
        <v>225</v>
      </c>
      <c r="U918"/>
      <c r="V918" s="153" t="str">
        <f t="array" ref="V918">INDEX(xlRTCLNAME,MATCH(1,(xlRTCLENDU=1)*(xlRTCLEQCL=$D918),0))</f>
        <v>DIST_RAD</v>
      </c>
      <c r="W918" s="153" t="str">
        <f t="array" ref="W918">INDEX(xlRTCLNAME,MATCH(1,(xlRTCLENDU=2)*(xlRTCLEQCL=$F918),0))</f>
        <v>CENT_AIR</v>
      </c>
      <c r="X918" s="153" t="str">
        <f t="array" ref="X918">INDEX(xlRTTYNAME,MATCH(1,(xlRTTYENDU=1)*(xlRTTYEQCL=$D918)*(xlRTEQTYPE=$E918),0))</f>
        <v>DIST_RAD4</v>
      </c>
      <c r="Y918" s="153" t="str">
        <f t="array" ref="Y918">INDEX(xlRTTYNAME,MATCH(1,(xlRTTYENDU=2)*(xlRTTYEQCL=$F918)*(xlRTEQTYPE=$G918),0))</f>
        <v>CENT_AIR4</v>
      </c>
    </row>
    <row r="919" spans="1:25" s="157" customFormat="1" x14ac:dyDescent="0.2">
      <c r="A919"/>
      <c r="B919" s="126">
        <v>1</v>
      </c>
      <c r="C919" s="126">
        <v>1</v>
      </c>
      <c r="D919" s="126">
        <v>9</v>
      </c>
      <c r="E919" s="126">
        <v>31</v>
      </c>
      <c r="F919" s="126">
        <v>2</v>
      </c>
      <c r="G919" s="126">
        <v>8</v>
      </c>
      <c r="H919" s="148">
        <v>2016</v>
      </c>
      <c r="I919" s="143">
        <v>2022</v>
      </c>
      <c r="J919" s="127">
        <v>1.0592999999999999</v>
      </c>
      <c r="K919" s="127">
        <v>1.0889</v>
      </c>
      <c r="L919" s="127">
        <v>0.44009999999999999</v>
      </c>
      <c r="M919" s="127">
        <v>0.96350000000000002</v>
      </c>
      <c r="N919" s="127">
        <v>0.8095</v>
      </c>
      <c r="O919" s="127">
        <v>1.0538000000000001</v>
      </c>
      <c r="P919" s="126">
        <v>14685</v>
      </c>
      <c r="Q919" s="128">
        <f t="array" ref="Q919">SUM(IF(($S919&gt;=4)*($C919='TaxCred&amp;Subs'!$D$123:$D$127)*($H919='TaxCred&amp;Subs'!$C$123:$C$127)*($H919&lt;='TaxCred&amp;Subs'!$C$129),'TaxCred&amp;Subs'!$E$123:$E$127,0))</f>
        <v>2000</v>
      </c>
      <c r="R919" s="174">
        <v>0</v>
      </c>
      <c r="S919" s="126">
        <v>5</v>
      </c>
      <c r="T919" s="126" t="s">
        <v>225</v>
      </c>
      <c r="U919"/>
      <c r="V919" s="153" t="str">
        <f t="array" ref="V919">INDEX(xlRTCLNAME,MATCH(1,(xlRTCLENDU=1)*(xlRTCLEQCL=$D919),0))</f>
        <v>WOOD_HT</v>
      </c>
      <c r="W919" s="153" t="str">
        <f t="array" ref="W919">INDEX(xlRTCLNAME,MATCH(1,(xlRTCLENDU=2)*(xlRTCLEQCL=$F919),0))</f>
        <v>CENT_AIR</v>
      </c>
      <c r="X919" s="153" t="str">
        <f t="array" ref="X919">INDEX(xlRTTYNAME,MATCH(1,(xlRTTYENDU=1)*(xlRTTYEQCL=$D919)*(xlRTEQTYPE=$E919),0))</f>
        <v>WOOD_HT4</v>
      </c>
      <c r="Y919" s="153" t="str">
        <f t="array" ref="Y919">INDEX(xlRTTYNAME,MATCH(1,(xlRTTYENDU=2)*(xlRTTYEQCL=$F919)*(xlRTEQTYPE=$G919),0))</f>
        <v>CENT_AIR4</v>
      </c>
    </row>
    <row r="920" spans="1:25" s="157" customFormat="1" x14ac:dyDescent="0.2">
      <c r="A920"/>
      <c r="B920" s="49">
        <v>1</v>
      </c>
      <c r="C920" s="49">
        <v>1</v>
      </c>
      <c r="D920" s="49">
        <v>9</v>
      </c>
      <c r="E920" s="49">
        <v>31</v>
      </c>
      <c r="F920" s="49">
        <v>2</v>
      </c>
      <c r="G920" s="49">
        <v>8</v>
      </c>
      <c r="H920" s="166">
        <v>2023</v>
      </c>
      <c r="I920" s="166">
        <v>2032</v>
      </c>
      <c r="J920" s="50">
        <v>1.0592999999999999</v>
      </c>
      <c r="K920" s="50">
        <v>1.0889</v>
      </c>
      <c r="L920" s="50">
        <v>0.44009999999999999</v>
      </c>
      <c r="M920" s="50">
        <v>0.96350000000000002</v>
      </c>
      <c r="N920" s="50">
        <v>0.8095</v>
      </c>
      <c r="O920" s="50">
        <v>1.0538000000000001</v>
      </c>
      <c r="P920" s="49">
        <v>14685</v>
      </c>
      <c r="Q920" s="51">
        <f t="array" ref="Q920">SUM(IF(($S920&gt;=4)*($C920='TaxCred&amp;Subs'!$D$123:$D$127)*($H920='TaxCred&amp;Subs'!$C$123:$C$127)*($H920&lt;='TaxCred&amp;Subs'!$C$129),'TaxCred&amp;Subs'!$E$123:$E$127,0))</f>
        <v>2500</v>
      </c>
      <c r="R920" s="171">
        <v>0</v>
      </c>
      <c r="S920" s="49">
        <v>5</v>
      </c>
      <c r="T920" s="49" t="s">
        <v>225</v>
      </c>
      <c r="U920"/>
      <c r="V920" s="153" t="str">
        <f t="array" ref="V920">INDEX(xlRTCLNAME,MATCH(1,(xlRTCLENDU=1)*(xlRTCLEQCL=$D920),0))</f>
        <v>WOOD_HT</v>
      </c>
      <c r="W920" s="153" t="str">
        <f t="array" ref="W920">INDEX(xlRTCLNAME,MATCH(1,(xlRTCLENDU=2)*(xlRTCLEQCL=$F920),0))</f>
        <v>CENT_AIR</v>
      </c>
      <c r="X920" s="153" t="str">
        <f t="array" ref="X920">INDEX(xlRTTYNAME,MATCH(1,(xlRTTYENDU=1)*(xlRTTYEQCL=$D920)*(xlRTEQTYPE=$E920),0))</f>
        <v>WOOD_HT4</v>
      </c>
      <c r="Y920" s="153" t="str">
        <f t="array" ref="Y920">INDEX(xlRTTYNAME,MATCH(1,(xlRTTYENDU=2)*(xlRTTYEQCL=$F920)*(xlRTEQTYPE=$G920),0))</f>
        <v>CENT_AIR4</v>
      </c>
    </row>
    <row r="921" spans="1:25" s="157" customFormat="1" x14ac:dyDescent="0.2">
      <c r="A921"/>
      <c r="B921" s="126">
        <v>1</v>
      </c>
      <c r="C921" s="126">
        <v>1</v>
      </c>
      <c r="D921" s="126">
        <v>9</v>
      </c>
      <c r="E921" s="126">
        <v>31</v>
      </c>
      <c r="F921" s="126">
        <v>2</v>
      </c>
      <c r="G921" s="126">
        <v>8</v>
      </c>
      <c r="H921" s="143">
        <v>2033</v>
      </c>
      <c r="I921" s="148">
        <v>2050</v>
      </c>
      <c r="J921" s="127">
        <v>1.0592999999999999</v>
      </c>
      <c r="K921" s="127">
        <v>1.0889</v>
      </c>
      <c r="L921" s="127">
        <v>0.44009999999999999</v>
      </c>
      <c r="M921" s="127">
        <v>0.96350000000000002</v>
      </c>
      <c r="N921" s="127">
        <v>0.8095</v>
      </c>
      <c r="O921" s="127">
        <v>1.0538000000000001</v>
      </c>
      <c r="P921" s="126">
        <v>14685</v>
      </c>
      <c r="Q921" s="128">
        <f t="array" ref="Q921">SUM(IF(($S921&gt;=4)*($C921='TaxCred&amp;Subs'!$D$123:$D$127)*($H921='TaxCred&amp;Subs'!$C$123:$C$127)*($H921&lt;='TaxCred&amp;Subs'!$C$129),'TaxCred&amp;Subs'!$E$123:$E$127,0))</f>
        <v>0</v>
      </c>
      <c r="R921" s="174">
        <v>0</v>
      </c>
      <c r="S921" s="126">
        <v>5</v>
      </c>
      <c r="T921" s="126" t="s">
        <v>225</v>
      </c>
      <c r="U921"/>
      <c r="V921" s="153" t="str">
        <f t="array" ref="V921">INDEX(xlRTCLNAME,MATCH(1,(xlRTCLENDU=1)*(xlRTCLEQCL=$D921),0))</f>
        <v>WOOD_HT</v>
      </c>
      <c r="W921" s="153" t="str">
        <f t="array" ref="W921">INDEX(xlRTCLNAME,MATCH(1,(xlRTCLENDU=2)*(xlRTCLEQCL=$F921),0))</f>
        <v>CENT_AIR</v>
      </c>
      <c r="X921" s="153" t="str">
        <f t="array" ref="X921">INDEX(xlRTTYNAME,MATCH(1,(xlRTTYENDU=1)*(xlRTTYEQCL=$D921)*(xlRTEQTYPE=$E921),0))</f>
        <v>WOOD_HT4</v>
      </c>
      <c r="Y921" s="153" t="str">
        <f t="array" ref="Y921">INDEX(xlRTTYNAME,MATCH(1,(xlRTTYENDU=2)*(xlRTTYEQCL=$F921)*(xlRTEQTYPE=$G921),0))</f>
        <v>CENT_AIR4</v>
      </c>
    </row>
    <row r="922" spans="1:25" s="157" customFormat="1" x14ac:dyDescent="0.2">
      <c r="A922"/>
      <c r="B922" s="126">
        <v>2</v>
      </c>
      <c r="C922" s="126">
        <v>1</v>
      </c>
      <c r="D922" s="126">
        <v>9</v>
      </c>
      <c r="E922" s="126">
        <v>31</v>
      </c>
      <c r="F922" s="126">
        <v>2</v>
      </c>
      <c r="G922" s="126">
        <v>8</v>
      </c>
      <c r="H922" s="148">
        <v>2016</v>
      </c>
      <c r="I922" s="143">
        <v>2022</v>
      </c>
      <c r="J922" s="127">
        <v>1.0717000000000001</v>
      </c>
      <c r="K922" s="127">
        <v>1.0895999999999999</v>
      </c>
      <c r="L922" s="127">
        <v>0.4546</v>
      </c>
      <c r="M922" s="127">
        <v>0.81589999999999996</v>
      </c>
      <c r="N922" s="127">
        <v>0.92630000000000001</v>
      </c>
      <c r="O922" s="127">
        <v>1.0538000000000001</v>
      </c>
      <c r="P922" s="126">
        <v>16678</v>
      </c>
      <c r="Q922" s="128">
        <f t="array" ref="Q922">SUM(IF(($S922&gt;=4)*($C922='TaxCred&amp;Subs'!$D$123:$D$127)*($H922='TaxCred&amp;Subs'!$C$123:$C$127)*($H922&lt;='TaxCred&amp;Subs'!$C$129),'TaxCred&amp;Subs'!$E$123:$E$127,0))</f>
        <v>2000</v>
      </c>
      <c r="R922" s="174">
        <v>0</v>
      </c>
      <c r="S922" s="126">
        <v>5</v>
      </c>
      <c r="T922" s="126" t="s">
        <v>225</v>
      </c>
      <c r="U922"/>
      <c r="V922" s="153" t="str">
        <f t="array" ref="V922">INDEX(xlRTCLNAME,MATCH(1,(xlRTCLENDU=1)*(xlRTCLEQCL=$D922),0))</f>
        <v>WOOD_HT</v>
      </c>
      <c r="W922" s="153" t="str">
        <f t="array" ref="W922">INDEX(xlRTCLNAME,MATCH(1,(xlRTCLENDU=2)*(xlRTCLEQCL=$F922),0))</f>
        <v>CENT_AIR</v>
      </c>
      <c r="X922" s="153" t="str">
        <f t="array" ref="X922">INDEX(xlRTTYNAME,MATCH(1,(xlRTTYENDU=1)*(xlRTTYEQCL=$D922)*(xlRTEQTYPE=$E922),0))</f>
        <v>WOOD_HT4</v>
      </c>
      <c r="Y922" s="153" t="str">
        <f t="array" ref="Y922">INDEX(xlRTTYNAME,MATCH(1,(xlRTTYENDU=2)*(xlRTTYEQCL=$F922)*(xlRTEQTYPE=$G922),0))</f>
        <v>CENT_AIR4</v>
      </c>
    </row>
    <row r="923" spans="1:25" s="157" customFormat="1" x14ac:dyDescent="0.2">
      <c r="A923"/>
      <c r="B923" s="49">
        <v>2</v>
      </c>
      <c r="C923" s="49">
        <v>1</v>
      </c>
      <c r="D923" s="49">
        <v>9</v>
      </c>
      <c r="E923" s="49">
        <v>31</v>
      </c>
      <c r="F923" s="49">
        <v>2</v>
      </c>
      <c r="G923" s="49">
        <v>8</v>
      </c>
      <c r="H923" s="166">
        <v>2023</v>
      </c>
      <c r="I923" s="166">
        <v>2032</v>
      </c>
      <c r="J923" s="50">
        <v>1.0717000000000001</v>
      </c>
      <c r="K923" s="50">
        <v>1.0895999999999999</v>
      </c>
      <c r="L923" s="50">
        <v>0.4546</v>
      </c>
      <c r="M923" s="50">
        <v>0.81589999999999996</v>
      </c>
      <c r="N923" s="50">
        <v>0.92630000000000001</v>
      </c>
      <c r="O923" s="50">
        <v>1.0538000000000001</v>
      </c>
      <c r="P923" s="49">
        <v>16678</v>
      </c>
      <c r="Q923" s="51">
        <f t="array" ref="Q923">SUM(IF(($S923&gt;=4)*($C923='TaxCred&amp;Subs'!$D$123:$D$127)*($H923='TaxCred&amp;Subs'!$C$123:$C$127)*($H923&lt;='TaxCred&amp;Subs'!$C$129),'TaxCred&amp;Subs'!$E$123:$E$127,0))</f>
        <v>2500</v>
      </c>
      <c r="R923" s="171">
        <v>0</v>
      </c>
      <c r="S923" s="49">
        <v>5</v>
      </c>
      <c r="T923" s="49" t="s">
        <v>225</v>
      </c>
      <c r="U923"/>
      <c r="V923" s="153" t="str">
        <f t="array" ref="V923">INDEX(xlRTCLNAME,MATCH(1,(xlRTCLENDU=1)*(xlRTCLEQCL=$D923),0))</f>
        <v>WOOD_HT</v>
      </c>
      <c r="W923" s="153" t="str">
        <f t="array" ref="W923">INDEX(xlRTCLNAME,MATCH(1,(xlRTCLENDU=2)*(xlRTCLEQCL=$F923),0))</f>
        <v>CENT_AIR</v>
      </c>
      <c r="X923" s="153" t="str">
        <f t="array" ref="X923">INDEX(xlRTTYNAME,MATCH(1,(xlRTTYENDU=1)*(xlRTTYEQCL=$D923)*(xlRTEQTYPE=$E923),0))</f>
        <v>WOOD_HT4</v>
      </c>
      <c r="Y923" s="153" t="str">
        <f t="array" ref="Y923">INDEX(xlRTTYNAME,MATCH(1,(xlRTTYENDU=2)*(xlRTTYEQCL=$F923)*(xlRTEQTYPE=$G923),0))</f>
        <v>CENT_AIR4</v>
      </c>
    </row>
    <row r="924" spans="1:25" s="157" customFormat="1" x14ac:dyDescent="0.2">
      <c r="A924"/>
      <c r="B924" s="126">
        <v>2</v>
      </c>
      <c r="C924" s="126">
        <v>1</v>
      </c>
      <c r="D924" s="126">
        <v>9</v>
      </c>
      <c r="E924" s="126">
        <v>31</v>
      </c>
      <c r="F924" s="126">
        <v>2</v>
      </c>
      <c r="G924" s="126">
        <v>8</v>
      </c>
      <c r="H924" s="143">
        <v>2033</v>
      </c>
      <c r="I924" s="148">
        <v>2050</v>
      </c>
      <c r="J924" s="127">
        <v>1.0717000000000001</v>
      </c>
      <c r="K924" s="127">
        <v>1.0895999999999999</v>
      </c>
      <c r="L924" s="127">
        <v>0.4546</v>
      </c>
      <c r="M924" s="127">
        <v>0.81589999999999996</v>
      </c>
      <c r="N924" s="127">
        <v>0.92630000000000001</v>
      </c>
      <c r="O924" s="127">
        <v>1.0538000000000001</v>
      </c>
      <c r="P924" s="126">
        <v>16678</v>
      </c>
      <c r="Q924" s="128">
        <f t="array" ref="Q924">SUM(IF(($S924&gt;=4)*($C924='TaxCred&amp;Subs'!$D$123:$D$127)*($H924='TaxCred&amp;Subs'!$C$123:$C$127)*($H924&lt;='TaxCred&amp;Subs'!$C$129),'TaxCred&amp;Subs'!$E$123:$E$127,0))</f>
        <v>0</v>
      </c>
      <c r="R924" s="174">
        <v>0</v>
      </c>
      <c r="S924" s="126">
        <v>5</v>
      </c>
      <c r="T924" s="126" t="s">
        <v>225</v>
      </c>
      <c r="U924"/>
      <c r="V924" s="153" t="str">
        <f t="array" ref="V924">INDEX(xlRTCLNAME,MATCH(1,(xlRTCLENDU=1)*(xlRTCLEQCL=$D924),0))</f>
        <v>WOOD_HT</v>
      </c>
      <c r="W924" s="153" t="str">
        <f t="array" ref="W924">INDEX(xlRTCLNAME,MATCH(1,(xlRTCLENDU=2)*(xlRTCLEQCL=$F924),0))</f>
        <v>CENT_AIR</v>
      </c>
      <c r="X924" s="153" t="str">
        <f t="array" ref="X924">INDEX(xlRTTYNAME,MATCH(1,(xlRTTYENDU=1)*(xlRTTYEQCL=$D924)*(xlRTEQTYPE=$E924),0))</f>
        <v>WOOD_HT4</v>
      </c>
      <c r="Y924" s="153" t="str">
        <f t="array" ref="Y924">INDEX(xlRTTYNAME,MATCH(1,(xlRTTYENDU=2)*(xlRTTYEQCL=$F924)*(xlRTEQTYPE=$G924),0))</f>
        <v>CENT_AIR4</v>
      </c>
    </row>
    <row r="925" spans="1:25" s="157" customFormat="1" x14ac:dyDescent="0.2">
      <c r="A925"/>
      <c r="B925" s="126">
        <v>3</v>
      </c>
      <c r="C925" s="126">
        <v>1</v>
      </c>
      <c r="D925" s="126">
        <v>9</v>
      </c>
      <c r="E925" s="126">
        <v>31</v>
      </c>
      <c r="F925" s="126">
        <v>2</v>
      </c>
      <c r="G925" s="126">
        <v>8</v>
      </c>
      <c r="H925" s="148">
        <v>2016</v>
      </c>
      <c r="I925" s="143">
        <v>2022</v>
      </c>
      <c r="J925" s="127">
        <v>1.0821000000000001</v>
      </c>
      <c r="K925" s="127">
        <v>1.0769</v>
      </c>
      <c r="L925" s="127">
        <v>0.43490000000000001</v>
      </c>
      <c r="M925" s="127">
        <v>0.89800000000000002</v>
      </c>
      <c r="N925" s="127">
        <v>0.91400000000000003</v>
      </c>
      <c r="O925" s="127">
        <v>1.0538000000000001</v>
      </c>
      <c r="P925" s="126">
        <v>12841</v>
      </c>
      <c r="Q925" s="128">
        <f t="array" ref="Q925">SUM(IF(($S925&gt;=4)*($C925='TaxCred&amp;Subs'!$D$123:$D$127)*($H925='TaxCred&amp;Subs'!$C$123:$C$127)*($H925&lt;='TaxCred&amp;Subs'!$C$129),'TaxCred&amp;Subs'!$E$123:$E$127,0))</f>
        <v>2000</v>
      </c>
      <c r="R925" s="174">
        <v>0</v>
      </c>
      <c r="S925" s="126">
        <v>5</v>
      </c>
      <c r="T925" s="126" t="s">
        <v>225</v>
      </c>
      <c r="U925"/>
      <c r="V925" s="153" t="str">
        <f t="array" ref="V925">INDEX(xlRTCLNAME,MATCH(1,(xlRTCLENDU=1)*(xlRTCLEQCL=$D925),0))</f>
        <v>WOOD_HT</v>
      </c>
      <c r="W925" s="153" t="str">
        <f t="array" ref="W925">INDEX(xlRTCLNAME,MATCH(1,(xlRTCLENDU=2)*(xlRTCLEQCL=$F925),0))</f>
        <v>CENT_AIR</v>
      </c>
      <c r="X925" s="153" t="str">
        <f t="array" ref="X925">INDEX(xlRTTYNAME,MATCH(1,(xlRTTYENDU=1)*(xlRTTYEQCL=$D925)*(xlRTEQTYPE=$E925),0))</f>
        <v>WOOD_HT4</v>
      </c>
      <c r="Y925" s="153" t="str">
        <f t="array" ref="Y925">INDEX(xlRTTYNAME,MATCH(1,(xlRTTYENDU=2)*(xlRTTYEQCL=$F925)*(xlRTEQTYPE=$G925),0))</f>
        <v>CENT_AIR4</v>
      </c>
    </row>
    <row r="926" spans="1:25" s="157" customFormat="1" x14ac:dyDescent="0.2">
      <c r="A926"/>
      <c r="B926" s="49">
        <v>3</v>
      </c>
      <c r="C926" s="49">
        <v>1</v>
      </c>
      <c r="D926" s="49">
        <v>9</v>
      </c>
      <c r="E926" s="49">
        <v>31</v>
      </c>
      <c r="F926" s="49">
        <v>2</v>
      </c>
      <c r="G926" s="49">
        <v>8</v>
      </c>
      <c r="H926" s="166">
        <v>2023</v>
      </c>
      <c r="I926" s="166">
        <v>2032</v>
      </c>
      <c r="J926" s="50">
        <v>1.0821000000000001</v>
      </c>
      <c r="K926" s="50">
        <v>1.0769</v>
      </c>
      <c r="L926" s="50">
        <v>0.43490000000000001</v>
      </c>
      <c r="M926" s="50">
        <v>0.89800000000000002</v>
      </c>
      <c r="N926" s="50">
        <v>0.91400000000000003</v>
      </c>
      <c r="O926" s="50">
        <v>1.0538000000000001</v>
      </c>
      <c r="P926" s="49">
        <v>12841</v>
      </c>
      <c r="Q926" s="51">
        <f t="array" ref="Q926">SUM(IF(($S926&gt;=4)*($C926='TaxCred&amp;Subs'!$D$123:$D$127)*($H926='TaxCred&amp;Subs'!$C$123:$C$127)*($H926&lt;='TaxCred&amp;Subs'!$C$129),'TaxCred&amp;Subs'!$E$123:$E$127,0))</f>
        <v>2500</v>
      </c>
      <c r="R926" s="171">
        <v>0</v>
      </c>
      <c r="S926" s="49">
        <v>5</v>
      </c>
      <c r="T926" s="49" t="s">
        <v>225</v>
      </c>
      <c r="U926"/>
      <c r="V926" s="153" t="str">
        <f t="array" ref="V926">INDEX(xlRTCLNAME,MATCH(1,(xlRTCLENDU=1)*(xlRTCLEQCL=$D926),0))</f>
        <v>WOOD_HT</v>
      </c>
      <c r="W926" s="153" t="str">
        <f t="array" ref="W926">INDEX(xlRTCLNAME,MATCH(1,(xlRTCLENDU=2)*(xlRTCLEQCL=$F926),0))</f>
        <v>CENT_AIR</v>
      </c>
      <c r="X926" s="153" t="str">
        <f t="array" ref="X926">INDEX(xlRTTYNAME,MATCH(1,(xlRTTYENDU=1)*(xlRTTYEQCL=$D926)*(xlRTEQTYPE=$E926),0))</f>
        <v>WOOD_HT4</v>
      </c>
      <c r="Y926" s="153" t="str">
        <f t="array" ref="Y926">INDEX(xlRTTYNAME,MATCH(1,(xlRTTYENDU=2)*(xlRTTYEQCL=$F926)*(xlRTEQTYPE=$G926),0))</f>
        <v>CENT_AIR4</v>
      </c>
    </row>
    <row r="927" spans="1:25" s="157" customFormat="1" x14ac:dyDescent="0.2">
      <c r="A927"/>
      <c r="B927" s="126">
        <v>3</v>
      </c>
      <c r="C927" s="126">
        <v>1</v>
      </c>
      <c r="D927" s="126">
        <v>9</v>
      </c>
      <c r="E927" s="126">
        <v>31</v>
      </c>
      <c r="F927" s="126">
        <v>2</v>
      </c>
      <c r="G927" s="126">
        <v>8</v>
      </c>
      <c r="H927" s="143">
        <v>2033</v>
      </c>
      <c r="I927" s="148">
        <v>2050</v>
      </c>
      <c r="J927" s="127">
        <v>1.0821000000000001</v>
      </c>
      <c r="K927" s="127">
        <v>1.0769</v>
      </c>
      <c r="L927" s="127">
        <v>0.43490000000000001</v>
      </c>
      <c r="M927" s="127">
        <v>0.89800000000000002</v>
      </c>
      <c r="N927" s="127">
        <v>0.91400000000000003</v>
      </c>
      <c r="O927" s="127">
        <v>1.0538000000000001</v>
      </c>
      <c r="P927" s="126">
        <v>12841</v>
      </c>
      <c r="Q927" s="128">
        <f t="array" ref="Q927">SUM(IF(($S927&gt;=4)*($C927='TaxCred&amp;Subs'!$D$123:$D$127)*($H927='TaxCred&amp;Subs'!$C$123:$C$127)*($H927&lt;='TaxCred&amp;Subs'!$C$129),'TaxCred&amp;Subs'!$E$123:$E$127,0))</f>
        <v>0</v>
      </c>
      <c r="R927" s="174">
        <v>0</v>
      </c>
      <c r="S927" s="126">
        <v>5</v>
      </c>
      <c r="T927" s="126" t="s">
        <v>225</v>
      </c>
      <c r="U927"/>
      <c r="V927" s="153" t="str">
        <f t="array" ref="V927">INDEX(xlRTCLNAME,MATCH(1,(xlRTCLENDU=1)*(xlRTCLEQCL=$D927),0))</f>
        <v>WOOD_HT</v>
      </c>
      <c r="W927" s="153" t="str">
        <f t="array" ref="W927">INDEX(xlRTCLNAME,MATCH(1,(xlRTCLENDU=2)*(xlRTCLEQCL=$F927),0))</f>
        <v>CENT_AIR</v>
      </c>
      <c r="X927" s="153" t="str">
        <f t="array" ref="X927">INDEX(xlRTTYNAME,MATCH(1,(xlRTTYENDU=1)*(xlRTTYEQCL=$D927)*(xlRTEQTYPE=$E927),0))</f>
        <v>WOOD_HT4</v>
      </c>
      <c r="Y927" s="153" t="str">
        <f t="array" ref="Y927">INDEX(xlRTTYNAME,MATCH(1,(xlRTTYENDU=2)*(xlRTTYEQCL=$F927)*(xlRTEQTYPE=$G927),0))</f>
        <v>CENT_AIR4</v>
      </c>
    </row>
    <row r="928" spans="1:25" s="157" customFormat="1" x14ac:dyDescent="0.2">
      <c r="A928"/>
      <c r="B928" s="126">
        <v>4</v>
      </c>
      <c r="C928" s="126">
        <v>1</v>
      </c>
      <c r="D928" s="126">
        <v>9</v>
      </c>
      <c r="E928" s="126">
        <v>31</v>
      </c>
      <c r="F928" s="126">
        <v>2</v>
      </c>
      <c r="G928" s="126">
        <v>8</v>
      </c>
      <c r="H928" s="148">
        <v>2016</v>
      </c>
      <c r="I928" s="143">
        <v>2022</v>
      </c>
      <c r="J928" s="127">
        <v>1.0812999999999999</v>
      </c>
      <c r="K928" s="127">
        <v>1.0769</v>
      </c>
      <c r="L928" s="127">
        <v>0.44280000000000003</v>
      </c>
      <c r="M928" s="127">
        <v>0.86639999999999995</v>
      </c>
      <c r="N928" s="127">
        <v>0.85660000000000003</v>
      </c>
      <c r="O928" s="127">
        <v>1.0538000000000001</v>
      </c>
      <c r="P928" s="126">
        <v>10457</v>
      </c>
      <c r="Q928" s="128">
        <f t="array" ref="Q928">SUM(IF(($S928&gt;=4)*($C928='TaxCred&amp;Subs'!$D$123:$D$127)*($H928='TaxCred&amp;Subs'!$C$123:$C$127)*($H928&lt;='TaxCred&amp;Subs'!$C$129),'TaxCred&amp;Subs'!$E$123:$E$127,0))</f>
        <v>2000</v>
      </c>
      <c r="R928" s="174">
        <v>0</v>
      </c>
      <c r="S928" s="126">
        <v>5</v>
      </c>
      <c r="T928" s="126" t="s">
        <v>225</v>
      </c>
      <c r="U928"/>
      <c r="V928" s="153" t="str">
        <f t="array" ref="V928">INDEX(xlRTCLNAME,MATCH(1,(xlRTCLENDU=1)*(xlRTCLEQCL=$D928),0))</f>
        <v>WOOD_HT</v>
      </c>
      <c r="W928" s="153" t="str">
        <f t="array" ref="W928">INDEX(xlRTCLNAME,MATCH(1,(xlRTCLENDU=2)*(xlRTCLEQCL=$F928),0))</f>
        <v>CENT_AIR</v>
      </c>
      <c r="X928" s="153" t="str">
        <f t="array" ref="X928">INDEX(xlRTTYNAME,MATCH(1,(xlRTTYENDU=1)*(xlRTTYEQCL=$D928)*(xlRTEQTYPE=$E928),0))</f>
        <v>WOOD_HT4</v>
      </c>
      <c r="Y928" s="153" t="str">
        <f t="array" ref="Y928">INDEX(xlRTTYNAME,MATCH(1,(xlRTTYENDU=2)*(xlRTTYEQCL=$F928)*(xlRTEQTYPE=$G928),0))</f>
        <v>CENT_AIR4</v>
      </c>
    </row>
    <row r="929" spans="1:25" s="157" customFormat="1" x14ac:dyDescent="0.2">
      <c r="A929"/>
      <c r="B929" s="49">
        <v>4</v>
      </c>
      <c r="C929" s="49">
        <v>1</v>
      </c>
      <c r="D929" s="49">
        <v>9</v>
      </c>
      <c r="E929" s="49">
        <v>31</v>
      </c>
      <c r="F929" s="49">
        <v>2</v>
      </c>
      <c r="G929" s="49">
        <v>8</v>
      </c>
      <c r="H929" s="166">
        <v>2023</v>
      </c>
      <c r="I929" s="166">
        <v>2032</v>
      </c>
      <c r="J929" s="50">
        <v>1.0812999999999999</v>
      </c>
      <c r="K929" s="50">
        <v>1.0769</v>
      </c>
      <c r="L929" s="50">
        <v>0.44280000000000003</v>
      </c>
      <c r="M929" s="50">
        <v>0.86639999999999995</v>
      </c>
      <c r="N929" s="50">
        <v>0.85660000000000003</v>
      </c>
      <c r="O929" s="50">
        <v>1.0538000000000001</v>
      </c>
      <c r="P929" s="49">
        <v>10457</v>
      </c>
      <c r="Q929" s="51">
        <f t="array" ref="Q929">SUM(IF(($S929&gt;=4)*($C929='TaxCred&amp;Subs'!$D$123:$D$127)*($H929='TaxCred&amp;Subs'!$C$123:$C$127)*($H929&lt;='TaxCred&amp;Subs'!$C$129),'TaxCred&amp;Subs'!$E$123:$E$127,0))</f>
        <v>2500</v>
      </c>
      <c r="R929" s="171">
        <v>0</v>
      </c>
      <c r="S929" s="49">
        <v>5</v>
      </c>
      <c r="T929" s="49" t="s">
        <v>225</v>
      </c>
      <c r="U929"/>
      <c r="V929" s="153" t="str">
        <f t="array" ref="V929">INDEX(xlRTCLNAME,MATCH(1,(xlRTCLENDU=1)*(xlRTCLEQCL=$D929),0))</f>
        <v>WOOD_HT</v>
      </c>
      <c r="W929" s="153" t="str">
        <f t="array" ref="W929">INDEX(xlRTCLNAME,MATCH(1,(xlRTCLENDU=2)*(xlRTCLEQCL=$F929),0))</f>
        <v>CENT_AIR</v>
      </c>
      <c r="X929" s="153" t="str">
        <f t="array" ref="X929">INDEX(xlRTTYNAME,MATCH(1,(xlRTTYENDU=1)*(xlRTTYEQCL=$D929)*(xlRTEQTYPE=$E929),0))</f>
        <v>WOOD_HT4</v>
      </c>
      <c r="Y929" s="153" t="str">
        <f t="array" ref="Y929">INDEX(xlRTTYNAME,MATCH(1,(xlRTTYENDU=2)*(xlRTTYEQCL=$F929)*(xlRTEQTYPE=$G929),0))</f>
        <v>CENT_AIR4</v>
      </c>
    </row>
    <row r="930" spans="1:25" s="157" customFormat="1" x14ac:dyDescent="0.2">
      <c r="A930"/>
      <c r="B930" s="126">
        <v>4</v>
      </c>
      <c r="C930" s="126">
        <v>1</v>
      </c>
      <c r="D930" s="126">
        <v>9</v>
      </c>
      <c r="E930" s="126">
        <v>31</v>
      </c>
      <c r="F930" s="126">
        <v>2</v>
      </c>
      <c r="G930" s="126">
        <v>8</v>
      </c>
      <c r="H930" s="143">
        <v>2033</v>
      </c>
      <c r="I930" s="148">
        <v>2050</v>
      </c>
      <c r="J930" s="127">
        <v>1.0812999999999999</v>
      </c>
      <c r="K930" s="127">
        <v>1.0769</v>
      </c>
      <c r="L930" s="127">
        <v>0.44280000000000003</v>
      </c>
      <c r="M930" s="127">
        <v>0.86639999999999995</v>
      </c>
      <c r="N930" s="127">
        <v>0.85660000000000003</v>
      </c>
      <c r="O930" s="127">
        <v>1.0538000000000001</v>
      </c>
      <c r="P930" s="126">
        <v>10457</v>
      </c>
      <c r="Q930" s="128">
        <f t="array" ref="Q930">SUM(IF(($S930&gt;=4)*($C930='TaxCred&amp;Subs'!$D$123:$D$127)*($H930='TaxCred&amp;Subs'!$C$123:$C$127)*($H930&lt;='TaxCred&amp;Subs'!$C$129),'TaxCred&amp;Subs'!$E$123:$E$127,0))</f>
        <v>0</v>
      </c>
      <c r="R930" s="174">
        <v>0</v>
      </c>
      <c r="S930" s="126">
        <v>5</v>
      </c>
      <c r="T930" s="126" t="s">
        <v>225</v>
      </c>
      <c r="U930"/>
      <c r="V930" s="153" t="str">
        <f t="array" ref="V930">INDEX(xlRTCLNAME,MATCH(1,(xlRTCLENDU=1)*(xlRTCLEQCL=$D930),0))</f>
        <v>WOOD_HT</v>
      </c>
      <c r="W930" s="153" t="str">
        <f t="array" ref="W930">INDEX(xlRTCLNAME,MATCH(1,(xlRTCLENDU=2)*(xlRTCLEQCL=$F930),0))</f>
        <v>CENT_AIR</v>
      </c>
      <c r="X930" s="153" t="str">
        <f t="array" ref="X930">INDEX(xlRTTYNAME,MATCH(1,(xlRTTYENDU=1)*(xlRTTYEQCL=$D930)*(xlRTEQTYPE=$E930),0))</f>
        <v>WOOD_HT4</v>
      </c>
      <c r="Y930" s="153" t="str">
        <f t="array" ref="Y930">INDEX(xlRTTYNAME,MATCH(1,(xlRTTYENDU=2)*(xlRTTYEQCL=$F930)*(xlRTEQTYPE=$G930),0))</f>
        <v>CENT_AIR4</v>
      </c>
    </row>
    <row r="931" spans="1:25" s="157" customFormat="1" x14ac:dyDescent="0.2">
      <c r="A931"/>
      <c r="B931" s="126">
        <v>5</v>
      </c>
      <c r="C931" s="126">
        <v>1</v>
      </c>
      <c r="D931" s="126">
        <v>9</v>
      </c>
      <c r="E931" s="126">
        <v>31</v>
      </c>
      <c r="F931" s="126">
        <v>2</v>
      </c>
      <c r="G931" s="126">
        <v>8</v>
      </c>
      <c r="H931" s="148">
        <v>2016</v>
      </c>
      <c r="I931" s="143">
        <v>2022</v>
      </c>
      <c r="J931" s="127">
        <v>1.0838000000000001</v>
      </c>
      <c r="K931" s="127">
        <v>1.0465</v>
      </c>
      <c r="L931" s="127">
        <v>0.32329999999999998</v>
      </c>
      <c r="M931" s="127">
        <v>0.73150000000000004</v>
      </c>
      <c r="N931" s="127">
        <v>0.75670000000000004</v>
      </c>
      <c r="O931" s="127">
        <v>1.0538000000000001</v>
      </c>
      <c r="P931" s="126">
        <v>11579</v>
      </c>
      <c r="Q931" s="128">
        <f t="array" ref="Q931">SUM(IF(($S931&gt;=4)*($C931='TaxCred&amp;Subs'!$D$123:$D$127)*($H931='TaxCred&amp;Subs'!$C$123:$C$127)*($H931&lt;='TaxCred&amp;Subs'!$C$129),'TaxCred&amp;Subs'!$E$123:$E$127,0))</f>
        <v>2000</v>
      </c>
      <c r="R931" s="174">
        <v>0</v>
      </c>
      <c r="S931" s="126">
        <v>5</v>
      </c>
      <c r="T931" s="126" t="s">
        <v>225</v>
      </c>
      <c r="U931"/>
      <c r="V931" s="153" t="str">
        <f t="array" ref="V931">INDEX(xlRTCLNAME,MATCH(1,(xlRTCLENDU=1)*(xlRTCLEQCL=$D931),0))</f>
        <v>WOOD_HT</v>
      </c>
      <c r="W931" s="153" t="str">
        <f t="array" ref="W931">INDEX(xlRTCLNAME,MATCH(1,(xlRTCLENDU=2)*(xlRTCLEQCL=$F931),0))</f>
        <v>CENT_AIR</v>
      </c>
      <c r="X931" s="153" t="str">
        <f t="array" ref="X931">INDEX(xlRTTYNAME,MATCH(1,(xlRTTYENDU=1)*(xlRTTYEQCL=$D931)*(xlRTEQTYPE=$E931),0))</f>
        <v>WOOD_HT4</v>
      </c>
      <c r="Y931" s="153" t="str">
        <f t="array" ref="Y931">INDEX(xlRTTYNAME,MATCH(1,(xlRTTYENDU=2)*(xlRTTYEQCL=$F931)*(xlRTEQTYPE=$G931),0))</f>
        <v>CENT_AIR4</v>
      </c>
    </row>
    <row r="932" spans="1:25" s="157" customFormat="1" x14ac:dyDescent="0.2">
      <c r="A932"/>
      <c r="B932" s="49">
        <v>5</v>
      </c>
      <c r="C932" s="49">
        <v>1</v>
      </c>
      <c r="D932" s="49">
        <v>9</v>
      </c>
      <c r="E932" s="49">
        <v>31</v>
      </c>
      <c r="F932" s="49">
        <v>2</v>
      </c>
      <c r="G932" s="49">
        <v>8</v>
      </c>
      <c r="H932" s="166">
        <v>2023</v>
      </c>
      <c r="I932" s="166">
        <v>2032</v>
      </c>
      <c r="J932" s="50">
        <v>1.0838000000000001</v>
      </c>
      <c r="K932" s="50">
        <v>1.0465</v>
      </c>
      <c r="L932" s="50">
        <v>0.32329999999999998</v>
      </c>
      <c r="M932" s="50">
        <v>0.73150000000000004</v>
      </c>
      <c r="N932" s="50">
        <v>0.75670000000000004</v>
      </c>
      <c r="O932" s="50">
        <v>1.0538000000000001</v>
      </c>
      <c r="P932" s="49">
        <v>11579</v>
      </c>
      <c r="Q932" s="51">
        <f t="array" ref="Q932">SUM(IF(($S932&gt;=4)*($C932='TaxCred&amp;Subs'!$D$123:$D$127)*($H932='TaxCred&amp;Subs'!$C$123:$C$127)*($H932&lt;='TaxCred&amp;Subs'!$C$129),'TaxCred&amp;Subs'!$E$123:$E$127,0))</f>
        <v>2500</v>
      </c>
      <c r="R932" s="171">
        <v>0</v>
      </c>
      <c r="S932" s="49">
        <v>5</v>
      </c>
      <c r="T932" s="49" t="s">
        <v>225</v>
      </c>
      <c r="U932"/>
      <c r="V932" s="153" t="str">
        <f t="array" ref="V932">INDEX(xlRTCLNAME,MATCH(1,(xlRTCLENDU=1)*(xlRTCLEQCL=$D932),0))</f>
        <v>WOOD_HT</v>
      </c>
      <c r="W932" s="153" t="str">
        <f t="array" ref="W932">INDEX(xlRTCLNAME,MATCH(1,(xlRTCLENDU=2)*(xlRTCLEQCL=$F932),0))</f>
        <v>CENT_AIR</v>
      </c>
      <c r="X932" s="153" t="str">
        <f t="array" ref="X932">INDEX(xlRTTYNAME,MATCH(1,(xlRTTYENDU=1)*(xlRTTYEQCL=$D932)*(xlRTEQTYPE=$E932),0))</f>
        <v>WOOD_HT4</v>
      </c>
      <c r="Y932" s="153" t="str">
        <f t="array" ref="Y932">INDEX(xlRTTYNAME,MATCH(1,(xlRTTYENDU=2)*(xlRTTYEQCL=$F932)*(xlRTEQTYPE=$G932),0))</f>
        <v>CENT_AIR4</v>
      </c>
    </row>
    <row r="933" spans="1:25" s="157" customFormat="1" x14ac:dyDescent="0.2">
      <c r="A933"/>
      <c r="B933" s="126">
        <v>5</v>
      </c>
      <c r="C933" s="126">
        <v>1</v>
      </c>
      <c r="D933" s="126">
        <v>9</v>
      </c>
      <c r="E933" s="126">
        <v>31</v>
      </c>
      <c r="F933" s="126">
        <v>2</v>
      </c>
      <c r="G933" s="126">
        <v>8</v>
      </c>
      <c r="H933" s="143">
        <v>2033</v>
      </c>
      <c r="I933" s="148">
        <v>2050</v>
      </c>
      <c r="J933" s="127">
        <v>1.0838000000000001</v>
      </c>
      <c r="K933" s="127">
        <v>1.0465</v>
      </c>
      <c r="L933" s="127">
        <v>0.32329999999999998</v>
      </c>
      <c r="M933" s="127">
        <v>0.73150000000000004</v>
      </c>
      <c r="N933" s="127">
        <v>0.75670000000000004</v>
      </c>
      <c r="O933" s="127">
        <v>1.0538000000000001</v>
      </c>
      <c r="P933" s="126">
        <v>11579</v>
      </c>
      <c r="Q933" s="128">
        <f t="array" ref="Q933">SUM(IF(($S933&gt;=4)*($C933='TaxCred&amp;Subs'!$D$123:$D$127)*($H933='TaxCred&amp;Subs'!$C$123:$C$127)*($H933&lt;='TaxCred&amp;Subs'!$C$129),'TaxCred&amp;Subs'!$E$123:$E$127,0))</f>
        <v>0</v>
      </c>
      <c r="R933" s="174">
        <v>0</v>
      </c>
      <c r="S933" s="126">
        <v>5</v>
      </c>
      <c r="T933" s="126" t="s">
        <v>225</v>
      </c>
      <c r="U933"/>
      <c r="V933" s="153" t="str">
        <f t="array" ref="V933">INDEX(xlRTCLNAME,MATCH(1,(xlRTCLENDU=1)*(xlRTCLEQCL=$D933),0))</f>
        <v>WOOD_HT</v>
      </c>
      <c r="W933" s="153" t="str">
        <f t="array" ref="W933">INDEX(xlRTCLNAME,MATCH(1,(xlRTCLENDU=2)*(xlRTCLEQCL=$F933),0))</f>
        <v>CENT_AIR</v>
      </c>
      <c r="X933" s="153" t="str">
        <f t="array" ref="X933">INDEX(xlRTTYNAME,MATCH(1,(xlRTTYENDU=1)*(xlRTTYEQCL=$D933)*(xlRTEQTYPE=$E933),0))</f>
        <v>WOOD_HT4</v>
      </c>
      <c r="Y933" s="153" t="str">
        <f t="array" ref="Y933">INDEX(xlRTTYNAME,MATCH(1,(xlRTTYENDU=2)*(xlRTTYEQCL=$F933)*(xlRTEQTYPE=$G933),0))</f>
        <v>CENT_AIR4</v>
      </c>
    </row>
    <row r="934" spans="1:25" s="157" customFormat="1" x14ac:dyDescent="0.2">
      <c r="A934"/>
      <c r="B934" s="126">
        <v>6</v>
      </c>
      <c r="C934" s="126">
        <v>1</v>
      </c>
      <c r="D934" s="126">
        <v>9</v>
      </c>
      <c r="E934" s="126">
        <v>31</v>
      </c>
      <c r="F934" s="126">
        <v>2</v>
      </c>
      <c r="G934" s="126">
        <v>8</v>
      </c>
      <c r="H934" s="148">
        <v>2016</v>
      </c>
      <c r="I934" s="143">
        <v>2022</v>
      </c>
      <c r="J934" s="127">
        <v>1.089</v>
      </c>
      <c r="K934" s="127">
        <v>1.0583</v>
      </c>
      <c r="L934" s="127">
        <v>0.41599999999999998</v>
      </c>
      <c r="M934" s="127">
        <v>0.76590000000000003</v>
      </c>
      <c r="N934" s="127">
        <v>0.88849999999999996</v>
      </c>
      <c r="O934" s="127">
        <v>1.0538000000000001</v>
      </c>
      <c r="P934" s="126">
        <v>11441</v>
      </c>
      <c r="Q934" s="128">
        <f t="array" ref="Q934">SUM(IF(($S934&gt;=4)*($C934='TaxCred&amp;Subs'!$D$123:$D$127)*($H934='TaxCred&amp;Subs'!$C$123:$C$127)*($H934&lt;='TaxCred&amp;Subs'!$C$129),'TaxCred&amp;Subs'!$E$123:$E$127,0))</f>
        <v>2000</v>
      </c>
      <c r="R934" s="174">
        <v>0</v>
      </c>
      <c r="S934" s="126">
        <v>5</v>
      </c>
      <c r="T934" s="126" t="s">
        <v>225</v>
      </c>
      <c r="U934"/>
      <c r="V934" s="153" t="str">
        <f t="array" ref="V934">INDEX(xlRTCLNAME,MATCH(1,(xlRTCLENDU=1)*(xlRTCLEQCL=$D934),0))</f>
        <v>WOOD_HT</v>
      </c>
      <c r="W934" s="153" t="str">
        <f t="array" ref="W934">INDEX(xlRTCLNAME,MATCH(1,(xlRTCLENDU=2)*(xlRTCLEQCL=$F934),0))</f>
        <v>CENT_AIR</v>
      </c>
      <c r="X934" s="153" t="str">
        <f t="array" ref="X934">INDEX(xlRTTYNAME,MATCH(1,(xlRTTYENDU=1)*(xlRTTYEQCL=$D934)*(xlRTEQTYPE=$E934),0))</f>
        <v>WOOD_HT4</v>
      </c>
      <c r="Y934" s="153" t="str">
        <f t="array" ref="Y934">INDEX(xlRTTYNAME,MATCH(1,(xlRTTYENDU=2)*(xlRTTYEQCL=$F934)*(xlRTEQTYPE=$G934),0))</f>
        <v>CENT_AIR4</v>
      </c>
    </row>
    <row r="935" spans="1:25" s="157" customFormat="1" x14ac:dyDescent="0.2">
      <c r="A935"/>
      <c r="B935" s="49">
        <v>6</v>
      </c>
      <c r="C935" s="49">
        <v>1</v>
      </c>
      <c r="D935" s="49">
        <v>9</v>
      </c>
      <c r="E935" s="49">
        <v>31</v>
      </c>
      <c r="F935" s="49">
        <v>2</v>
      </c>
      <c r="G935" s="49">
        <v>8</v>
      </c>
      <c r="H935" s="166">
        <v>2023</v>
      </c>
      <c r="I935" s="166">
        <v>2032</v>
      </c>
      <c r="J935" s="50">
        <v>1.089</v>
      </c>
      <c r="K935" s="50">
        <v>1.0583</v>
      </c>
      <c r="L935" s="50">
        <v>0.41599999999999998</v>
      </c>
      <c r="M935" s="50">
        <v>0.76590000000000003</v>
      </c>
      <c r="N935" s="50">
        <v>0.88849999999999996</v>
      </c>
      <c r="O935" s="50">
        <v>1.0538000000000001</v>
      </c>
      <c r="P935" s="49">
        <v>11441</v>
      </c>
      <c r="Q935" s="51">
        <f t="array" ref="Q935">SUM(IF(($S935&gt;=4)*($C935='TaxCred&amp;Subs'!$D$123:$D$127)*($H935='TaxCred&amp;Subs'!$C$123:$C$127)*($H935&lt;='TaxCred&amp;Subs'!$C$129),'TaxCred&amp;Subs'!$E$123:$E$127,0))</f>
        <v>2500</v>
      </c>
      <c r="R935" s="171">
        <v>0</v>
      </c>
      <c r="S935" s="49">
        <v>5</v>
      </c>
      <c r="T935" s="49" t="s">
        <v>225</v>
      </c>
      <c r="U935"/>
      <c r="V935" s="153" t="str">
        <f t="array" ref="V935">INDEX(xlRTCLNAME,MATCH(1,(xlRTCLENDU=1)*(xlRTCLEQCL=$D935),0))</f>
        <v>WOOD_HT</v>
      </c>
      <c r="W935" s="153" t="str">
        <f t="array" ref="W935">INDEX(xlRTCLNAME,MATCH(1,(xlRTCLENDU=2)*(xlRTCLEQCL=$F935),0))</f>
        <v>CENT_AIR</v>
      </c>
      <c r="X935" s="153" t="str">
        <f t="array" ref="X935">INDEX(xlRTTYNAME,MATCH(1,(xlRTTYENDU=1)*(xlRTTYEQCL=$D935)*(xlRTEQTYPE=$E935),0))</f>
        <v>WOOD_HT4</v>
      </c>
      <c r="Y935" s="153" t="str">
        <f t="array" ref="Y935">INDEX(xlRTTYNAME,MATCH(1,(xlRTTYENDU=2)*(xlRTTYEQCL=$F935)*(xlRTEQTYPE=$G935),0))</f>
        <v>CENT_AIR4</v>
      </c>
    </row>
    <row r="936" spans="1:25" s="157" customFormat="1" x14ac:dyDescent="0.2">
      <c r="A936"/>
      <c r="B936" s="126">
        <v>6</v>
      </c>
      <c r="C936" s="126">
        <v>1</v>
      </c>
      <c r="D936" s="126">
        <v>9</v>
      </c>
      <c r="E936" s="126">
        <v>31</v>
      </c>
      <c r="F936" s="126">
        <v>2</v>
      </c>
      <c r="G936" s="126">
        <v>8</v>
      </c>
      <c r="H936" s="143">
        <v>2033</v>
      </c>
      <c r="I936" s="148">
        <v>2050</v>
      </c>
      <c r="J936" s="127">
        <v>1.089</v>
      </c>
      <c r="K936" s="127">
        <v>1.0583</v>
      </c>
      <c r="L936" s="127">
        <v>0.41599999999999998</v>
      </c>
      <c r="M936" s="127">
        <v>0.76590000000000003</v>
      </c>
      <c r="N936" s="127">
        <v>0.88849999999999996</v>
      </c>
      <c r="O936" s="127">
        <v>1.0538000000000001</v>
      </c>
      <c r="P936" s="126">
        <v>11441</v>
      </c>
      <c r="Q936" s="128">
        <f t="array" ref="Q936">SUM(IF(($S936&gt;=4)*($C936='TaxCred&amp;Subs'!$D$123:$D$127)*($H936='TaxCred&amp;Subs'!$C$123:$C$127)*($H936&lt;='TaxCred&amp;Subs'!$C$129),'TaxCred&amp;Subs'!$E$123:$E$127,0))</f>
        <v>0</v>
      </c>
      <c r="R936" s="174">
        <v>0</v>
      </c>
      <c r="S936" s="126">
        <v>5</v>
      </c>
      <c r="T936" s="126" t="s">
        <v>225</v>
      </c>
      <c r="U936"/>
      <c r="V936" s="153" t="str">
        <f t="array" ref="V936">INDEX(xlRTCLNAME,MATCH(1,(xlRTCLENDU=1)*(xlRTCLEQCL=$D936),0))</f>
        <v>WOOD_HT</v>
      </c>
      <c r="W936" s="153" t="str">
        <f t="array" ref="W936">INDEX(xlRTCLNAME,MATCH(1,(xlRTCLENDU=2)*(xlRTCLEQCL=$F936),0))</f>
        <v>CENT_AIR</v>
      </c>
      <c r="X936" s="153" t="str">
        <f t="array" ref="X936">INDEX(xlRTTYNAME,MATCH(1,(xlRTTYENDU=1)*(xlRTTYEQCL=$D936)*(xlRTEQTYPE=$E936),0))</f>
        <v>WOOD_HT4</v>
      </c>
      <c r="Y936" s="153" t="str">
        <f t="array" ref="Y936">INDEX(xlRTTYNAME,MATCH(1,(xlRTTYENDU=2)*(xlRTTYEQCL=$F936)*(xlRTEQTYPE=$G936),0))</f>
        <v>CENT_AIR4</v>
      </c>
    </row>
    <row r="937" spans="1:25" s="157" customFormat="1" x14ac:dyDescent="0.2">
      <c r="A937"/>
      <c r="B937" s="126">
        <v>7</v>
      </c>
      <c r="C937" s="126">
        <v>1</v>
      </c>
      <c r="D937" s="126">
        <v>9</v>
      </c>
      <c r="E937" s="126">
        <v>31</v>
      </c>
      <c r="F937" s="126">
        <v>2</v>
      </c>
      <c r="G937" s="126">
        <v>8</v>
      </c>
      <c r="H937" s="148">
        <v>2016</v>
      </c>
      <c r="I937" s="143">
        <v>2022</v>
      </c>
      <c r="J937" s="127">
        <v>1.0867</v>
      </c>
      <c r="K937" s="127">
        <v>1.0682</v>
      </c>
      <c r="L937" s="127">
        <v>0.32069999999999999</v>
      </c>
      <c r="M937" s="127">
        <v>0.65339999999999998</v>
      </c>
      <c r="N937" s="127">
        <v>0.87180000000000002</v>
      </c>
      <c r="O937" s="127">
        <v>1.0538000000000001</v>
      </c>
      <c r="P937" s="126">
        <v>11603</v>
      </c>
      <c r="Q937" s="128">
        <f t="array" ref="Q937">SUM(IF(($S937&gt;=4)*($C937='TaxCred&amp;Subs'!$D$123:$D$127)*($H937='TaxCred&amp;Subs'!$C$123:$C$127)*($H937&lt;='TaxCred&amp;Subs'!$C$129),'TaxCred&amp;Subs'!$E$123:$E$127,0))</f>
        <v>2000</v>
      </c>
      <c r="R937" s="174">
        <v>0</v>
      </c>
      <c r="S937" s="126">
        <v>5</v>
      </c>
      <c r="T937" s="126" t="s">
        <v>225</v>
      </c>
      <c r="U937"/>
      <c r="V937" s="153" t="str">
        <f t="array" ref="V937">INDEX(xlRTCLNAME,MATCH(1,(xlRTCLENDU=1)*(xlRTCLEQCL=$D937),0))</f>
        <v>WOOD_HT</v>
      </c>
      <c r="W937" s="153" t="str">
        <f t="array" ref="W937">INDEX(xlRTCLNAME,MATCH(1,(xlRTCLENDU=2)*(xlRTCLEQCL=$F937),0))</f>
        <v>CENT_AIR</v>
      </c>
      <c r="X937" s="153" t="str">
        <f t="array" ref="X937">INDEX(xlRTTYNAME,MATCH(1,(xlRTTYENDU=1)*(xlRTTYEQCL=$D937)*(xlRTEQTYPE=$E937),0))</f>
        <v>WOOD_HT4</v>
      </c>
      <c r="Y937" s="153" t="str">
        <f t="array" ref="Y937">INDEX(xlRTTYNAME,MATCH(1,(xlRTTYENDU=2)*(xlRTTYEQCL=$F937)*(xlRTEQTYPE=$G937),0))</f>
        <v>CENT_AIR4</v>
      </c>
    </row>
    <row r="938" spans="1:25" s="157" customFormat="1" x14ac:dyDescent="0.2">
      <c r="A938"/>
      <c r="B938" s="49">
        <v>7</v>
      </c>
      <c r="C938" s="49">
        <v>1</v>
      </c>
      <c r="D938" s="49">
        <v>9</v>
      </c>
      <c r="E938" s="49">
        <v>31</v>
      </c>
      <c r="F938" s="49">
        <v>2</v>
      </c>
      <c r="G938" s="49">
        <v>8</v>
      </c>
      <c r="H938" s="166">
        <v>2023</v>
      </c>
      <c r="I938" s="166">
        <v>2032</v>
      </c>
      <c r="J938" s="50">
        <v>1.0867</v>
      </c>
      <c r="K938" s="50">
        <v>1.0682</v>
      </c>
      <c r="L938" s="50">
        <v>0.32069999999999999</v>
      </c>
      <c r="M938" s="50">
        <v>0.65339999999999998</v>
      </c>
      <c r="N938" s="50">
        <v>0.87180000000000002</v>
      </c>
      <c r="O938" s="50">
        <v>1.0538000000000001</v>
      </c>
      <c r="P938" s="49">
        <v>11603</v>
      </c>
      <c r="Q938" s="51">
        <f t="array" ref="Q938">SUM(IF(($S938&gt;=4)*($C938='TaxCred&amp;Subs'!$D$123:$D$127)*($H938='TaxCred&amp;Subs'!$C$123:$C$127)*($H938&lt;='TaxCred&amp;Subs'!$C$129),'TaxCred&amp;Subs'!$E$123:$E$127,0))</f>
        <v>2500</v>
      </c>
      <c r="R938" s="171">
        <v>0</v>
      </c>
      <c r="S938" s="49">
        <v>5</v>
      </c>
      <c r="T938" s="49" t="s">
        <v>225</v>
      </c>
      <c r="U938"/>
      <c r="V938" s="153" t="str">
        <f t="array" ref="V938">INDEX(xlRTCLNAME,MATCH(1,(xlRTCLENDU=1)*(xlRTCLEQCL=$D938),0))</f>
        <v>WOOD_HT</v>
      </c>
      <c r="W938" s="153" t="str">
        <f t="array" ref="W938">INDEX(xlRTCLNAME,MATCH(1,(xlRTCLENDU=2)*(xlRTCLEQCL=$F938),0))</f>
        <v>CENT_AIR</v>
      </c>
      <c r="X938" s="153" t="str">
        <f t="array" ref="X938">INDEX(xlRTTYNAME,MATCH(1,(xlRTTYENDU=1)*(xlRTTYEQCL=$D938)*(xlRTEQTYPE=$E938),0))</f>
        <v>WOOD_HT4</v>
      </c>
      <c r="Y938" s="153" t="str">
        <f t="array" ref="Y938">INDEX(xlRTTYNAME,MATCH(1,(xlRTTYENDU=2)*(xlRTTYEQCL=$F938)*(xlRTEQTYPE=$G938),0))</f>
        <v>CENT_AIR4</v>
      </c>
    </row>
    <row r="939" spans="1:25" s="157" customFormat="1" x14ac:dyDescent="0.2">
      <c r="A939"/>
      <c r="B939" s="126">
        <v>7</v>
      </c>
      <c r="C939" s="126">
        <v>1</v>
      </c>
      <c r="D939" s="126">
        <v>9</v>
      </c>
      <c r="E939" s="126">
        <v>31</v>
      </c>
      <c r="F939" s="126">
        <v>2</v>
      </c>
      <c r="G939" s="126">
        <v>8</v>
      </c>
      <c r="H939" s="143">
        <v>2033</v>
      </c>
      <c r="I939" s="148">
        <v>2050</v>
      </c>
      <c r="J939" s="127">
        <v>1.0867</v>
      </c>
      <c r="K939" s="127">
        <v>1.0682</v>
      </c>
      <c r="L939" s="127">
        <v>0.32069999999999999</v>
      </c>
      <c r="M939" s="127">
        <v>0.65339999999999998</v>
      </c>
      <c r="N939" s="127">
        <v>0.87180000000000002</v>
      </c>
      <c r="O939" s="127">
        <v>1.0538000000000001</v>
      </c>
      <c r="P939" s="126">
        <v>11603</v>
      </c>
      <c r="Q939" s="128">
        <f t="array" ref="Q939">SUM(IF(($S939&gt;=4)*($C939='TaxCred&amp;Subs'!$D$123:$D$127)*($H939='TaxCred&amp;Subs'!$C$123:$C$127)*($H939&lt;='TaxCred&amp;Subs'!$C$129),'TaxCred&amp;Subs'!$E$123:$E$127,0))</f>
        <v>0</v>
      </c>
      <c r="R939" s="174">
        <v>0</v>
      </c>
      <c r="S939" s="126">
        <v>5</v>
      </c>
      <c r="T939" s="126" t="s">
        <v>225</v>
      </c>
      <c r="U939"/>
      <c r="V939" s="153" t="str">
        <f t="array" ref="V939">INDEX(xlRTCLNAME,MATCH(1,(xlRTCLENDU=1)*(xlRTCLEQCL=$D939),0))</f>
        <v>WOOD_HT</v>
      </c>
      <c r="W939" s="153" t="str">
        <f t="array" ref="W939">INDEX(xlRTCLNAME,MATCH(1,(xlRTCLENDU=2)*(xlRTCLEQCL=$F939),0))</f>
        <v>CENT_AIR</v>
      </c>
      <c r="X939" s="153" t="str">
        <f t="array" ref="X939">INDEX(xlRTTYNAME,MATCH(1,(xlRTTYENDU=1)*(xlRTTYEQCL=$D939)*(xlRTEQTYPE=$E939),0))</f>
        <v>WOOD_HT4</v>
      </c>
      <c r="Y939" s="153" t="str">
        <f t="array" ref="Y939">INDEX(xlRTTYNAME,MATCH(1,(xlRTTYENDU=2)*(xlRTTYEQCL=$F939)*(xlRTEQTYPE=$G939),0))</f>
        <v>CENT_AIR4</v>
      </c>
    </row>
    <row r="940" spans="1:25" s="157" customFormat="1" x14ac:dyDescent="0.2">
      <c r="A940"/>
      <c r="B940" s="126">
        <v>8</v>
      </c>
      <c r="C940" s="126">
        <v>1</v>
      </c>
      <c r="D940" s="126">
        <v>9</v>
      </c>
      <c r="E940" s="126">
        <v>31</v>
      </c>
      <c r="F940" s="126">
        <v>2</v>
      </c>
      <c r="G940" s="126">
        <v>8</v>
      </c>
      <c r="H940" s="148">
        <v>2016</v>
      </c>
      <c r="I940" s="143">
        <v>2022</v>
      </c>
      <c r="J940" s="127">
        <v>1.0820000000000001</v>
      </c>
      <c r="K940" s="127">
        <v>1.0832999999999999</v>
      </c>
      <c r="L940" s="127">
        <v>0.42730000000000001</v>
      </c>
      <c r="M940" s="127">
        <v>0.78110000000000002</v>
      </c>
      <c r="N940" s="127">
        <v>0.86439999999999995</v>
      </c>
      <c r="O940" s="127">
        <v>1.0538000000000001</v>
      </c>
      <c r="P940" s="126">
        <v>12094</v>
      </c>
      <c r="Q940" s="128">
        <f t="array" ref="Q940">SUM(IF(($S940&gt;=4)*($C940='TaxCred&amp;Subs'!$D$123:$D$127)*($H940='TaxCred&amp;Subs'!$C$123:$C$127)*($H940&lt;='TaxCred&amp;Subs'!$C$129),'TaxCred&amp;Subs'!$E$123:$E$127,0))</f>
        <v>2000</v>
      </c>
      <c r="R940" s="174">
        <v>0</v>
      </c>
      <c r="S940" s="126">
        <v>5</v>
      </c>
      <c r="T940" s="126" t="s">
        <v>225</v>
      </c>
      <c r="U940"/>
      <c r="V940" s="153" t="str">
        <f t="array" ref="V940">INDEX(xlRTCLNAME,MATCH(1,(xlRTCLENDU=1)*(xlRTCLEQCL=$D940),0))</f>
        <v>WOOD_HT</v>
      </c>
      <c r="W940" s="153" t="str">
        <f t="array" ref="W940">INDEX(xlRTCLNAME,MATCH(1,(xlRTCLENDU=2)*(xlRTCLEQCL=$F940),0))</f>
        <v>CENT_AIR</v>
      </c>
      <c r="X940" s="153" t="str">
        <f t="array" ref="X940">INDEX(xlRTTYNAME,MATCH(1,(xlRTTYENDU=1)*(xlRTTYEQCL=$D940)*(xlRTEQTYPE=$E940),0))</f>
        <v>WOOD_HT4</v>
      </c>
      <c r="Y940" s="153" t="str">
        <f t="array" ref="Y940">INDEX(xlRTTYNAME,MATCH(1,(xlRTTYENDU=2)*(xlRTTYEQCL=$F940)*(xlRTEQTYPE=$G940),0))</f>
        <v>CENT_AIR4</v>
      </c>
    </row>
    <row r="941" spans="1:25" s="157" customFormat="1" x14ac:dyDescent="0.2">
      <c r="A941"/>
      <c r="B941" s="49">
        <v>8</v>
      </c>
      <c r="C941" s="49">
        <v>1</v>
      </c>
      <c r="D941" s="49">
        <v>9</v>
      </c>
      <c r="E941" s="49">
        <v>31</v>
      </c>
      <c r="F941" s="49">
        <v>2</v>
      </c>
      <c r="G941" s="49">
        <v>8</v>
      </c>
      <c r="H941" s="166">
        <v>2023</v>
      </c>
      <c r="I941" s="166">
        <v>2032</v>
      </c>
      <c r="J941" s="50">
        <v>1.0820000000000001</v>
      </c>
      <c r="K941" s="50">
        <v>1.0832999999999999</v>
      </c>
      <c r="L941" s="50">
        <v>0.42730000000000001</v>
      </c>
      <c r="M941" s="50">
        <v>0.78110000000000002</v>
      </c>
      <c r="N941" s="50">
        <v>0.86439999999999995</v>
      </c>
      <c r="O941" s="50">
        <v>1.0538000000000001</v>
      </c>
      <c r="P941" s="49">
        <v>12094</v>
      </c>
      <c r="Q941" s="51">
        <f t="array" ref="Q941">SUM(IF(($S941&gt;=4)*($C941='TaxCred&amp;Subs'!$D$123:$D$127)*($H941='TaxCred&amp;Subs'!$C$123:$C$127)*($H941&lt;='TaxCred&amp;Subs'!$C$129),'TaxCred&amp;Subs'!$E$123:$E$127,0))</f>
        <v>2500</v>
      </c>
      <c r="R941" s="171">
        <v>0</v>
      </c>
      <c r="S941" s="49">
        <v>5</v>
      </c>
      <c r="T941" s="49" t="s">
        <v>225</v>
      </c>
      <c r="U941"/>
      <c r="V941" s="153" t="str">
        <f t="array" ref="V941">INDEX(xlRTCLNAME,MATCH(1,(xlRTCLENDU=1)*(xlRTCLEQCL=$D941),0))</f>
        <v>WOOD_HT</v>
      </c>
      <c r="W941" s="153" t="str">
        <f t="array" ref="W941">INDEX(xlRTCLNAME,MATCH(1,(xlRTCLENDU=2)*(xlRTCLEQCL=$F941),0))</f>
        <v>CENT_AIR</v>
      </c>
      <c r="X941" s="153" t="str">
        <f t="array" ref="X941">INDEX(xlRTTYNAME,MATCH(1,(xlRTTYENDU=1)*(xlRTTYEQCL=$D941)*(xlRTEQTYPE=$E941),0))</f>
        <v>WOOD_HT4</v>
      </c>
      <c r="Y941" s="153" t="str">
        <f t="array" ref="Y941">INDEX(xlRTTYNAME,MATCH(1,(xlRTTYENDU=2)*(xlRTTYEQCL=$F941)*(xlRTEQTYPE=$G941),0))</f>
        <v>CENT_AIR4</v>
      </c>
    </row>
    <row r="942" spans="1:25" s="157" customFormat="1" x14ac:dyDescent="0.2">
      <c r="A942"/>
      <c r="B942" s="126">
        <v>8</v>
      </c>
      <c r="C942" s="126">
        <v>1</v>
      </c>
      <c r="D942" s="126">
        <v>9</v>
      </c>
      <c r="E942" s="126">
        <v>31</v>
      </c>
      <c r="F942" s="126">
        <v>2</v>
      </c>
      <c r="G942" s="126">
        <v>8</v>
      </c>
      <c r="H942" s="143">
        <v>2033</v>
      </c>
      <c r="I942" s="148">
        <v>2050</v>
      </c>
      <c r="J942" s="127">
        <v>1.0820000000000001</v>
      </c>
      <c r="K942" s="127">
        <v>1.0832999999999999</v>
      </c>
      <c r="L942" s="127">
        <v>0.42730000000000001</v>
      </c>
      <c r="M942" s="127">
        <v>0.78110000000000002</v>
      </c>
      <c r="N942" s="127">
        <v>0.86439999999999995</v>
      </c>
      <c r="O942" s="127">
        <v>1.0538000000000001</v>
      </c>
      <c r="P942" s="126">
        <v>12094</v>
      </c>
      <c r="Q942" s="128">
        <f t="array" ref="Q942">SUM(IF(($S942&gt;=4)*($C942='TaxCred&amp;Subs'!$D$123:$D$127)*($H942='TaxCred&amp;Subs'!$C$123:$C$127)*($H942&lt;='TaxCred&amp;Subs'!$C$129),'TaxCred&amp;Subs'!$E$123:$E$127,0))</f>
        <v>0</v>
      </c>
      <c r="R942" s="174">
        <v>0</v>
      </c>
      <c r="S942" s="126">
        <v>5</v>
      </c>
      <c r="T942" s="126" t="s">
        <v>225</v>
      </c>
      <c r="U942"/>
      <c r="V942" s="153" t="str">
        <f t="array" ref="V942">INDEX(xlRTCLNAME,MATCH(1,(xlRTCLENDU=1)*(xlRTCLEQCL=$D942),0))</f>
        <v>WOOD_HT</v>
      </c>
      <c r="W942" s="153" t="str">
        <f t="array" ref="W942">INDEX(xlRTCLNAME,MATCH(1,(xlRTCLENDU=2)*(xlRTCLEQCL=$F942),0))</f>
        <v>CENT_AIR</v>
      </c>
      <c r="X942" s="153" t="str">
        <f t="array" ref="X942">INDEX(xlRTTYNAME,MATCH(1,(xlRTTYENDU=1)*(xlRTTYEQCL=$D942)*(xlRTEQTYPE=$E942),0))</f>
        <v>WOOD_HT4</v>
      </c>
      <c r="Y942" s="153" t="str">
        <f t="array" ref="Y942">INDEX(xlRTTYNAME,MATCH(1,(xlRTTYENDU=2)*(xlRTTYEQCL=$F942)*(xlRTEQTYPE=$G942),0))</f>
        <v>CENT_AIR4</v>
      </c>
    </row>
    <row r="943" spans="1:25" s="157" customFormat="1" x14ac:dyDescent="0.2">
      <c r="A943"/>
      <c r="B943" s="126">
        <v>9</v>
      </c>
      <c r="C943" s="126">
        <v>1</v>
      </c>
      <c r="D943" s="126">
        <v>9</v>
      </c>
      <c r="E943" s="126">
        <v>31</v>
      </c>
      <c r="F943" s="126">
        <v>2</v>
      </c>
      <c r="G943" s="126">
        <v>8</v>
      </c>
      <c r="H943" s="148">
        <v>2016</v>
      </c>
      <c r="I943" s="143">
        <v>2022</v>
      </c>
      <c r="J943" s="127">
        <v>1.0414000000000001</v>
      </c>
      <c r="K943" s="127">
        <v>1.07</v>
      </c>
      <c r="L943" s="127">
        <v>0.39019999999999999</v>
      </c>
      <c r="M943" s="127">
        <v>0.76029999999999998</v>
      </c>
      <c r="N943" s="127">
        <v>1.026</v>
      </c>
      <c r="O943" s="127">
        <v>1.0538000000000001</v>
      </c>
      <c r="P943" s="126">
        <v>14738</v>
      </c>
      <c r="Q943" s="128">
        <f t="array" ref="Q943">SUM(IF(($S943&gt;=4)*($C943='TaxCred&amp;Subs'!$D$123:$D$127)*($H943='TaxCred&amp;Subs'!$C$123:$C$127)*($H943&lt;='TaxCred&amp;Subs'!$C$129),'TaxCred&amp;Subs'!$E$123:$E$127,0))</f>
        <v>2000</v>
      </c>
      <c r="R943" s="174">
        <v>0</v>
      </c>
      <c r="S943" s="126">
        <v>5</v>
      </c>
      <c r="T943" s="126" t="s">
        <v>225</v>
      </c>
      <c r="U943"/>
      <c r="V943" s="153" t="str">
        <f t="array" ref="V943">INDEX(xlRTCLNAME,MATCH(1,(xlRTCLENDU=1)*(xlRTCLEQCL=$D943),0))</f>
        <v>WOOD_HT</v>
      </c>
      <c r="W943" s="153" t="str">
        <f t="array" ref="W943">INDEX(xlRTCLNAME,MATCH(1,(xlRTCLENDU=2)*(xlRTCLEQCL=$F943),0))</f>
        <v>CENT_AIR</v>
      </c>
      <c r="X943" s="153" t="str">
        <f t="array" ref="X943">INDEX(xlRTTYNAME,MATCH(1,(xlRTTYENDU=1)*(xlRTTYEQCL=$D943)*(xlRTEQTYPE=$E943),0))</f>
        <v>WOOD_HT4</v>
      </c>
      <c r="Y943" s="153" t="str">
        <f t="array" ref="Y943">INDEX(xlRTTYNAME,MATCH(1,(xlRTTYENDU=2)*(xlRTTYEQCL=$F943)*(xlRTEQTYPE=$G943),0))</f>
        <v>CENT_AIR4</v>
      </c>
    </row>
    <row r="944" spans="1:25" s="157" customFormat="1" x14ac:dyDescent="0.2">
      <c r="A944"/>
      <c r="B944" s="49">
        <v>9</v>
      </c>
      <c r="C944" s="49">
        <v>1</v>
      </c>
      <c r="D944" s="49">
        <v>9</v>
      </c>
      <c r="E944" s="49">
        <v>31</v>
      </c>
      <c r="F944" s="49">
        <v>2</v>
      </c>
      <c r="G944" s="49">
        <v>8</v>
      </c>
      <c r="H944" s="166">
        <v>2023</v>
      </c>
      <c r="I944" s="166">
        <v>2032</v>
      </c>
      <c r="J944" s="50">
        <v>1.0414000000000001</v>
      </c>
      <c r="K944" s="50">
        <v>1.07</v>
      </c>
      <c r="L944" s="50">
        <v>0.39019999999999999</v>
      </c>
      <c r="M944" s="50">
        <v>0.76029999999999998</v>
      </c>
      <c r="N944" s="50">
        <v>1.026</v>
      </c>
      <c r="O944" s="50">
        <v>1.0538000000000001</v>
      </c>
      <c r="P944" s="49">
        <v>14738</v>
      </c>
      <c r="Q944" s="51">
        <f t="array" ref="Q944">SUM(IF(($S944&gt;=4)*($C944='TaxCred&amp;Subs'!$D$123:$D$127)*($H944='TaxCred&amp;Subs'!$C$123:$C$127)*($H944&lt;='TaxCred&amp;Subs'!$C$129),'TaxCred&amp;Subs'!$E$123:$E$127,0))</f>
        <v>2500</v>
      </c>
      <c r="R944" s="171">
        <v>0</v>
      </c>
      <c r="S944" s="49">
        <v>5</v>
      </c>
      <c r="T944" s="49" t="s">
        <v>225</v>
      </c>
      <c r="U944"/>
      <c r="V944" s="153" t="str">
        <f t="array" ref="V944">INDEX(xlRTCLNAME,MATCH(1,(xlRTCLENDU=1)*(xlRTCLEQCL=$D944),0))</f>
        <v>WOOD_HT</v>
      </c>
      <c r="W944" s="153" t="str">
        <f t="array" ref="W944">INDEX(xlRTCLNAME,MATCH(1,(xlRTCLENDU=2)*(xlRTCLEQCL=$F944),0))</f>
        <v>CENT_AIR</v>
      </c>
      <c r="X944" s="153" t="str">
        <f t="array" ref="X944">INDEX(xlRTTYNAME,MATCH(1,(xlRTTYENDU=1)*(xlRTTYEQCL=$D944)*(xlRTEQTYPE=$E944),0))</f>
        <v>WOOD_HT4</v>
      </c>
      <c r="Y944" s="153" t="str">
        <f t="array" ref="Y944">INDEX(xlRTTYNAME,MATCH(1,(xlRTTYENDU=2)*(xlRTTYEQCL=$F944)*(xlRTEQTYPE=$G944),0))</f>
        <v>CENT_AIR4</v>
      </c>
    </row>
    <row r="945" spans="1:25" s="157" customFormat="1" x14ac:dyDescent="0.2">
      <c r="A945"/>
      <c r="B945" s="126">
        <v>9</v>
      </c>
      <c r="C945" s="126">
        <v>1</v>
      </c>
      <c r="D945" s="126">
        <v>9</v>
      </c>
      <c r="E945" s="126">
        <v>31</v>
      </c>
      <c r="F945" s="126">
        <v>2</v>
      </c>
      <c r="G945" s="126">
        <v>8</v>
      </c>
      <c r="H945" s="143">
        <v>2033</v>
      </c>
      <c r="I945" s="148">
        <v>2050</v>
      </c>
      <c r="J945" s="127">
        <v>1.0414000000000001</v>
      </c>
      <c r="K945" s="127">
        <v>1.07</v>
      </c>
      <c r="L945" s="127">
        <v>0.39019999999999999</v>
      </c>
      <c r="M945" s="127">
        <v>0.76029999999999998</v>
      </c>
      <c r="N945" s="127">
        <v>1.026</v>
      </c>
      <c r="O945" s="127">
        <v>1.0538000000000001</v>
      </c>
      <c r="P945" s="126">
        <v>14738</v>
      </c>
      <c r="Q945" s="128">
        <f t="array" ref="Q945">SUM(IF(($S945&gt;=4)*($C945='TaxCred&amp;Subs'!$D$123:$D$127)*($H945='TaxCred&amp;Subs'!$C$123:$C$127)*($H945&lt;='TaxCred&amp;Subs'!$C$129),'TaxCred&amp;Subs'!$E$123:$E$127,0))</f>
        <v>0</v>
      </c>
      <c r="R945" s="174">
        <v>0</v>
      </c>
      <c r="S945" s="126">
        <v>5</v>
      </c>
      <c r="T945" s="126" t="s">
        <v>225</v>
      </c>
      <c r="U945"/>
      <c r="V945" s="153" t="str">
        <f t="array" ref="V945">INDEX(xlRTCLNAME,MATCH(1,(xlRTCLENDU=1)*(xlRTCLEQCL=$D945),0))</f>
        <v>WOOD_HT</v>
      </c>
      <c r="W945" s="153" t="str">
        <f t="array" ref="W945">INDEX(xlRTCLNAME,MATCH(1,(xlRTCLENDU=2)*(xlRTCLEQCL=$F945),0))</f>
        <v>CENT_AIR</v>
      </c>
      <c r="X945" s="153" t="str">
        <f t="array" ref="X945">INDEX(xlRTTYNAME,MATCH(1,(xlRTTYENDU=1)*(xlRTTYEQCL=$D945)*(xlRTEQTYPE=$E945),0))</f>
        <v>WOOD_HT4</v>
      </c>
      <c r="Y945" s="153" t="str">
        <f t="array" ref="Y945">INDEX(xlRTTYNAME,MATCH(1,(xlRTTYENDU=2)*(xlRTTYEQCL=$F945)*(xlRTEQTYPE=$G945),0))</f>
        <v>CENT_AIR4</v>
      </c>
    </row>
    <row r="946" spans="1:25" s="157" customFormat="1" x14ac:dyDescent="0.2">
      <c r="A946"/>
      <c r="B946" s="126">
        <v>1</v>
      </c>
      <c r="C946" s="126">
        <v>1</v>
      </c>
      <c r="D946" s="126">
        <v>10</v>
      </c>
      <c r="E946" s="126">
        <v>35</v>
      </c>
      <c r="F946" s="126">
        <v>4</v>
      </c>
      <c r="G946" s="126">
        <v>16</v>
      </c>
      <c r="H946" s="148">
        <v>2016</v>
      </c>
      <c r="I946" s="143">
        <v>2022</v>
      </c>
      <c r="J946" s="127">
        <v>1.1071</v>
      </c>
      <c r="K946" s="127">
        <v>1.0713999999999999</v>
      </c>
      <c r="L946" s="127">
        <v>0.38369999999999999</v>
      </c>
      <c r="M946" s="127">
        <v>0.95</v>
      </c>
      <c r="N946" s="127">
        <v>0.80640000000000001</v>
      </c>
      <c r="O946" s="127">
        <v>1.0538000000000001</v>
      </c>
      <c r="P946" s="126">
        <v>14685</v>
      </c>
      <c r="Q946" s="128">
        <f t="array" ref="Q946">SUM(IF(($S946&gt;=4)*($C946='TaxCred&amp;Subs'!$D$123:$D$127)*($H946='TaxCred&amp;Subs'!$C$123:$C$127)*($H946&lt;='TaxCred&amp;Subs'!$C$129),'TaxCred&amp;Subs'!$E$123:$E$127,0))</f>
        <v>2000</v>
      </c>
      <c r="R946" s="174">
        <v>0</v>
      </c>
      <c r="S946" s="126">
        <v>5</v>
      </c>
      <c r="T946" s="126" t="s">
        <v>225</v>
      </c>
      <c r="U946"/>
      <c r="V946" s="153" t="str">
        <f t="array" ref="V946">INDEX(xlRTCLNAME,MATCH(1,(xlRTCLENDU=1)*(xlRTCLEQCL=$D946),0))</f>
        <v>GEO_HP</v>
      </c>
      <c r="W946" s="153" t="str">
        <f t="array" ref="W946">INDEX(xlRTCLNAME,MATCH(1,(xlRTCLENDU=2)*(xlRTCLEQCL=$F946),0))</f>
        <v>GEO_HP</v>
      </c>
      <c r="X946" s="153" t="str">
        <f t="array" ref="X946">INDEX(xlRTTYNAME,MATCH(1,(xlRTTYENDU=1)*(xlRTTYEQCL=$D946)*(xlRTEQTYPE=$E946),0))</f>
        <v>GEO_HP4</v>
      </c>
      <c r="Y946" s="153" t="str">
        <f t="array" ref="Y946">INDEX(xlRTTYNAME,MATCH(1,(xlRTTYENDU=2)*(xlRTTYEQCL=$F946)*(xlRTEQTYPE=$G946),0))</f>
        <v>GEO_HP4</v>
      </c>
    </row>
    <row r="947" spans="1:25" s="157" customFormat="1" x14ac:dyDescent="0.2">
      <c r="A947"/>
      <c r="B947" s="49">
        <v>1</v>
      </c>
      <c r="C947" s="49">
        <v>1</v>
      </c>
      <c r="D947" s="49">
        <v>10</v>
      </c>
      <c r="E947" s="49">
        <v>35</v>
      </c>
      <c r="F947" s="49">
        <v>4</v>
      </c>
      <c r="G947" s="49">
        <v>16</v>
      </c>
      <c r="H947" s="166">
        <v>2023</v>
      </c>
      <c r="I947" s="166">
        <v>2032</v>
      </c>
      <c r="J947" s="50">
        <v>1.1071</v>
      </c>
      <c r="K947" s="50">
        <v>1.0713999999999999</v>
      </c>
      <c r="L947" s="50">
        <v>0.38369999999999999</v>
      </c>
      <c r="M947" s="50">
        <v>0.95</v>
      </c>
      <c r="N947" s="50">
        <v>0.80640000000000001</v>
      </c>
      <c r="O947" s="50">
        <v>1.0538000000000001</v>
      </c>
      <c r="P947" s="49">
        <v>14685</v>
      </c>
      <c r="Q947" s="51">
        <f t="array" ref="Q947">SUM(IF(($S947&gt;=4)*($C947='TaxCred&amp;Subs'!$D$123:$D$127)*($H947='TaxCred&amp;Subs'!$C$123:$C$127)*($H947&lt;='TaxCred&amp;Subs'!$C$129),'TaxCred&amp;Subs'!$E$123:$E$127,0))</f>
        <v>2500</v>
      </c>
      <c r="R947" s="171">
        <v>0</v>
      </c>
      <c r="S947" s="49">
        <v>5</v>
      </c>
      <c r="T947" s="49" t="s">
        <v>225</v>
      </c>
      <c r="U947"/>
      <c r="V947" s="153" t="str">
        <f t="array" ref="V947">INDEX(xlRTCLNAME,MATCH(1,(xlRTCLENDU=1)*(xlRTCLEQCL=$D947),0))</f>
        <v>GEO_HP</v>
      </c>
      <c r="W947" s="153" t="str">
        <f t="array" ref="W947">INDEX(xlRTCLNAME,MATCH(1,(xlRTCLENDU=2)*(xlRTCLEQCL=$F947),0))</f>
        <v>GEO_HP</v>
      </c>
      <c r="X947" s="153" t="str">
        <f t="array" ref="X947">INDEX(xlRTTYNAME,MATCH(1,(xlRTTYENDU=1)*(xlRTTYEQCL=$D947)*(xlRTEQTYPE=$E947),0))</f>
        <v>GEO_HP4</v>
      </c>
      <c r="Y947" s="153" t="str">
        <f t="array" ref="Y947">INDEX(xlRTTYNAME,MATCH(1,(xlRTTYENDU=2)*(xlRTTYEQCL=$F947)*(xlRTEQTYPE=$G947),0))</f>
        <v>GEO_HP4</v>
      </c>
    </row>
    <row r="948" spans="1:25" s="157" customFormat="1" x14ac:dyDescent="0.2">
      <c r="A948"/>
      <c r="B948" s="126">
        <v>1</v>
      </c>
      <c r="C948" s="126">
        <v>1</v>
      </c>
      <c r="D948" s="126">
        <v>10</v>
      </c>
      <c r="E948" s="126">
        <v>35</v>
      </c>
      <c r="F948" s="126">
        <v>4</v>
      </c>
      <c r="G948" s="126">
        <v>16</v>
      </c>
      <c r="H948" s="143">
        <v>2033</v>
      </c>
      <c r="I948" s="148">
        <v>2050</v>
      </c>
      <c r="J948" s="127">
        <v>1.1071</v>
      </c>
      <c r="K948" s="127">
        <v>1.0713999999999999</v>
      </c>
      <c r="L948" s="127">
        <v>0.38369999999999999</v>
      </c>
      <c r="M948" s="127">
        <v>0.95</v>
      </c>
      <c r="N948" s="127">
        <v>0.80640000000000001</v>
      </c>
      <c r="O948" s="127">
        <v>1.0538000000000001</v>
      </c>
      <c r="P948" s="126">
        <v>14685</v>
      </c>
      <c r="Q948" s="128">
        <f t="array" ref="Q948">SUM(IF(($S948&gt;=4)*($C948='TaxCred&amp;Subs'!$D$123:$D$127)*($H948='TaxCred&amp;Subs'!$C$123:$C$127)*($H948&lt;='TaxCred&amp;Subs'!$C$129),'TaxCred&amp;Subs'!$E$123:$E$127,0))</f>
        <v>0</v>
      </c>
      <c r="R948" s="174">
        <v>0</v>
      </c>
      <c r="S948" s="126">
        <v>5</v>
      </c>
      <c r="T948" s="126" t="s">
        <v>225</v>
      </c>
      <c r="U948"/>
      <c r="V948" s="153" t="str">
        <f t="array" ref="V948">INDEX(xlRTCLNAME,MATCH(1,(xlRTCLENDU=1)*(xlRTCLEQCL=$D948),0))</f>
        <v>GEO_HP</v>
      </c>
      <c r="W948" s="153" t="str">
        <f t="array" ref="W948">INDEX(xlRTCLNAME,MATCH(1,(xlRTCLENDU=2)*(xlRTCLEQCL=$F948),0))</f>
        <v>GEO_HP</v>
      </c>
      <c r="X948" s="153" t="str">
        <f t="array" ref="X948">INDEX(xlRTTYNAME,MATCH(1,(xlRTTYENDU=1)*(xlRTTYEQCL=$D948)*(xlRTEQTYPE=$E948),0))</f>
        <v>GEO_HP4</v>
      </c>
      <c r="Y948" s="153" t="str">
        <f t="array" ref="Y948">INDEX(xlRTTYNAME,MATCH(1,(xlRTTYENDU=2)*(xlRTTYEQCL=$F948)*(xlRTEQTYPE=$G948),0))</f>
        <v>GEO_HP4</v>
      </c>
    </row>
    <row r="949" spans="1:25" s="157" customFormat="1" x14ac:dyDescent="0.2">
      <c r="A949"/>
      <c r="B949" s="126">
        <v>2</v>
      </c>
      <c r="C949" s="126">
        <v>1</v>
      </c>
      <c r="D949" s="126">
        <v>10</v>
      </c>
      <c r="E949" s="126">
        <v>35</v>
      </c>
      <c r="F949" s="126">
        <v>4</v>
      </c>
      <c r="G949" s="126">
        <v>16</v>
      </c>
      <c r="H949" s="148">
        <v>2016</v>
      </c>
      <c r="I949" s="143">
        <v>2022</v>
      </c>
      <c r="J949" s="127">
        <v>1.0371999999999999</v>
      </c>
      <c r="K949" s="127">
        <v>1.0698000000000001</v>
      </c>
      <c r="L949" s="127">
        <v>0.42</v>
      </c>
      <c r="M949" s="127">
        <v>0.80730000000000002</v>
      </c>
      <c r="N949" s="127">
        <v>0.95350000000000001</v>
      </c>
      <c r="O949" s="127">
        <v>1.0538000000000001</v>
      </c>
      <c r="P949" s="126">
        <v>16678</v>
      </c>
      <c r="Q949" s="128">
        <f t="array" ref="Q949">SUM(IF(($S949&gt;=4)*($C949='TaxCred&amp;Subs'!$D$123:$D$127)*($H949='TaxCred&amp;Subs'!$C$123:$C$127)*($H949&lt;='TaxCred&amp;Subs'!$C$129),'TaxCred&amp;Subs'!$E$123:$E$127,0))</f>
        <v>2000</v>
      </c>
      <c r="R949" s="174">
        <v>0</v>
      </c>
      <c r="S949" s="126">
        <v>5</v>
      </c>
      <c r="T949" s="126" t="s">
        <v>225</v>
      </c>
      <c r="U949"/>
      <c r="V949" s="153" t="str">
        <f t="array" ref="V949">INDEX(xlRTCLNAME,MATCH(1,(xlRTCLENDU=1)*(xlRTCLEQCL=$D949),0))</f>
        <v>GEO_HP</v>
      </c>
      <c r="W949" s="153" t="str">
        <f t="array" ref="W949">INDEX(xlRTCLNAME,MATCH(1,(xlRTCLENDU=2)*(xlRTCLEQCL=$F949),0))</f>
        <v>GEO_HP</v>
      </c>
      <c r="X949" s="153" t="str">
        <f t="array" ref="X949">INDEX(xlRTTYNAME,MATCH(1,(xlRTTYENDU=1)*(xlRTTYEQCL=$D949)*(xlRTEQTYPE=$E949),0))</f>
        <v>GEO_HP4</v>
      </c>
      <c r="Y949" s="153" t="str">
        <f t="array" ref="Y949">INDEX(xlRTTYNAME,MATCH(1,(xlRTTYENDU=2)*(xlRTTYEQCL=$F949)*(xlRTEQTYPE=$G949),0))</f>
        <v>GEO_HP4</v>
      </c>
    </row>
    <row r="950" spans="1:25" s="157" customFormat="1" x14ac:dyDescent="0.2">
      <c r="A950"/>
      <c r="B950" s="49">
        <v>2</v>
      </c>
      <c r="C950" s="49">
        <v>1</v>
      </c>
      <c r="D950" s="49">
        <v>10</v>
      </c>
      <c r="E950" s="49">
        <v>35</v>
      </c>
      <c r="F950" s="49">
        <v>4</v>
      </c>
      <c r="G950" s="49">
        <v>16</v>
      </c>
      <c r="H950" s="166">
        <v>2023</v>
      </c>
      <c r="I950" s="166">
        <v>2032</v>
      </c>
      <c r="J950" s="50">
        <v>1.0371999999999999</v>
      </c>
      <c r="K950" s="50">
        <v>1.0698000000000001</v>
      </c>
      <c r="L950" s="50">
        <v>0.42</v>
      </c>
      <c r="M950" s="50">
        <v>0.80730000000000002</v>
      </c>
      <c r="N950" s="50">
        <v>0.95350000000000001</v>
      </c>
      <c r="O950" s="50">
        <v>1.0538000000000001</v>
      </c>
      <c r="P950" s="49">
        <v>16678</v>
      </c>
      <c r="Q950" s="51">
        <f t="array" ref="Q950">SUM(IF(($S950&gt;=4)*($C950='TaxCred&amp;Subs'!$D$123:$D$127)*($H950='TaxCred&amp;Subs'!$C$123:$C$127)*($H950&lt;='TaxCred&amp;Subs'!$C$129),'TaxCred&amp;Subs'!$E$123:$E$127,0))</f>
        <v>2500</v>
      </c>
      <c r="R950" s="171">
        <v>0</v>
      </c>
      <c r="S950" s="49">
        <v>5</v>
      </c>
      <c r="T950" s="49" t="s">
        <v>225</v>
      </c>
      <c r="U950"/>
      <c r="V950" s="153" t="str">
        <f t="array" ref="V950">INDEX(xlRTCLNAME,MATCH(1,(xlRTCLENDU=1)*(xlRTCLEQCL=$D950),0))</f>
        <v>GEO_HP</v>
      </c>
      <c r="W950" s="153" t="str">
        <f t="array" ref="W950">INDEX(xlRTCLNAME,MATCH(1,(xlRTCLENDU=2)*(xlRTCLEQCL=$F950),0))</f>
        <v>GEO_HP</v>
      </c>
      <c r="X950" s="153" t="str">
        <f t="array" ref="X950">INDEX(xlRTTYNAME,MATCH(1,(xlRTTYENDU=1)*(xlRTTYEQCL=$D950)*(xlRTEQTYPE=$E950),0))</f>
        <v>GEO_HP4</v>
      </c>
      <c r="Y950" s="153" t="str">
        <f t="array" ref="Y950">INDEX(xlRTTYNAME,MATCH(1,(xlRTTYENDU=2)*(xlRTTYEQCL=$F950)*(xlRTEQTYPE=$G950),0))</f>
        <v>GEO_HP4</v>
      </c>
    </row>
    <row r="951" spans="1:25" s="157" customFormat="1" x14ac:dyDescent="0.2">
      <c r="A951"/>
      <c r="B951" s="126">
        <v>2</v>
      </c>
      <c r="C951" s="126">
        <v>1</v>
      </c>
      <c r="D951" s="126">
        <v>10</v>
      </c>
      <c r="E951" s="126">
        <v>35</v>
      </c>
      <c r="F951" s="126">
        <v>4</v>
      </c>
      <c r="G951" s="126">
        <v>16</v>
      </c>
      <c r="H951" s="143">
        <v>2033</v>
      </c>
      <c r="I951" s="148">
        <v>2050</v>
      </c>
      <c r="J951" s="127">
        <v>1.0371999999999999</v>
      </c>
      <c r="K951" s="127">
        <v>1.0698000000000001</v>
      </c>
      <c r="L951" s="127">
        <v>0.42</v>
      </c>
      <c r="M951" s="127">
        <v>0.80730000000000002</v>
      </c>
      <c r="N951" s="127">
        <v>0.95350000000000001</v>
      </c>
      <c r="O951" s="127">
        <v>1.0538000000000001</v>
      </c>
      <c r="P951" s="126">
        <v>16678</v>
      </c>
      <c r="Q951" s="128">
        <f t="array" ref="Q951">SUM(IF(($S951&gt;=4)*($C951='TaxCred&amp;Subs'!$D$123:$D$127)*($H951='TaxCred&amp;Subs'!$C$123:$C$127)*($H951&lt;='TaxCred&amp;Subs'!$C$129),'TaxCred&amp;Subs'!$E$123:$E$127,0))</f>
        <v>0</v>
      </c>
      <c r="R951" s="174">
        <v>0</v>
      </c>
      <c r="S951" s="126">
        <v>5</v>
      </c>
      <c r="T951" s="126" t="s">
        <v>225</v>
      </c>
      <c r="U951"/>
      <c r="V951" s="153" t="str">
        <f t="array" ref="V951">INDEX(xlRTCLNAME,MATCH(1,(xlRTCLENDU=1)*(xlRTCLEQCL=$D951),0))</f>
        <v>GEO_HP</v>
      </c>
      <c r="W951" s="153" t="str">
        <f t="array" ref="W951">INDEX(xlRTCLNAME,MATCH(1,(xlRTCLENDU=2)*(xlRTCLEQCL=$F951),0))</f>
        <v>GEO_HP</v>
      </c>
      <c r="X951" s="153" t="str">
        <f t="array" ref="X951">INDEX(xlRTTYNAME,MATCH(1,(xlRTTYENDU=1)*(xlRTTYEQCL=$D951)*(xlRTEQTYPE=$E951),0))</f>
        <v>GEO_HP4</v>
      </c>
      <c r="Y951" s="153" t="str">
        <f t="array" ref="Y951">INDEX(xlRTTYNAME,MATCH(1,(xlRTTYENDU=2)*(xlRTTYEQCL=$F951)*(xlRTEQTYPE=$G951),0))</f>
        <v>GEO_HP4</v>
      </c>
    </row>
    <row r="952" spans="1:25" s="157" customFormat="1" x14ac:dyDescent="0.2">
      <c r="A952"/>
      <c r="B952" s="126">
        <v>3</v>
      </c>
      <c r="C952" s="126">
        <v>1</v>
      </c>
      <c r="D952" s="126">
        <v>10</v>
      </c>
      <c r="E952" s="126">
        <v>35</v>
      </c>
      <c r="F952" s="126">
        <v>4</v>
      </c>
      <c r="G952" s="126">
        <v>16</v>
      </c>
      <c r="H952" s="148">
        <v>2016</v>
      </c>
      <c r="I952" s="143">
        <v>2022</v>
      </c>
      <c r="J952" s="127">
        <v>1.0431999999999999</v>
      </c>
      <c r="K952" s="127">
        <v>1.0625</v>
      </c>
      <c r="L952" s="127">
        <v>0.38159999999999999</v>
      </c>
      <c r="M952" s="127">
        <v>0.87960000000000005</v>
      </c>
      <c r="N952" s="127">
        <v>0.91259999999999997</v>
      </c>
      <c r="O952" s="127">
        <v>1.0538000000000001</v>
      </c>
      <c r="P952" s="126">
        <v>12841</v>
      </c>
      <c r="Q952" s="128">
        <f t="array" ref="Q952">SUM(IF(($S952&gt;=4)*($C952='TaxCred&amp;Subs'!$D$123:$D$127)*($H952='TaxCred&amp;Subs'!$C$123:$C$127)*($H952&lt;='TaxCred&amp;Subs'!$C$129),'TaxCred&amp;Subs'!$E$123:$E$127,0))</f>
        <v>2000</v>
      </c>
      <c r="R952" s="174">
        <v>0</v>
      </c>
      <c r="S952" s="126">
        <v>5</v>
      </c>
      <c r="T952" s="126" t="s">
        <v>225</v>
      </c>
      <c r="U952"/>
      <c r="V952" s="153" t="str">
        <f t="array" ref="V952">INDEX(xlRTCLNAME,MATCH(1,(xlRTCLENDU=1)*(xlRTCLEQCL=$D952),0))</f>
        <v>GEO_HP</v>
      </c>
      <c r="W952" s="153" t="str">
        <f t="array" ref="W952">INDEX(xlRTCLNAME,MATCH(1,(xlRTCLENDU=2)*(xlRTCLEQCL=$F952),0))</f>
        <v>GEO_HP</v>
      </c>
      <c r="X952" s="153" t="str">
        <f t="array" ref="X952">INDEX(xlRTTYNAME,MATCH(1,(xlRTTYENDU=1)*(xlRTTYEQCL=$D952)*(xlRTEQTYPE=$E952),0))</f>
        <v>GEO_HP4</v>
      </c>
      <c r="Y952" s="153" t="str">
        <f t="array" ref="Y952">INDEX(xlRTTYNAME,MATCH(1,(xlRTTYENDU=2)*(xlRTTYEQCL=$F952)*(xlRTEQTYPE=$G952),0))</f>
        <v>GEO_HP4</v>
      </c>
    </row>
    <row r="953" spans="1:25" s="157" customFormat="1" x14ac:dyDescent="0.2">
      <c r="A953"/>
      <c r="B953" s="49">
        <v>3</v>
      </c>
      <c r="C953" s="49">
        <v>1</v>
      </c>
      <c r="D953" s="49">
        <v>10</v>
      </c>
      <c r="E953" s="49">
        <v>35</v>
      </c>
      <c r="F953" s="49">
        <v>4</v>
      </c>
      <c r="G953" s="49">
        <v>16</v>
      </c>
      <c r="H953" s="166">
        <v>2023</v>
      </c>
      <c r="I953" s="166">
        <v>2032</v>
      </c>
      <c r="J953" s="50">
        <v>1.0431999999999999</v>
      </c>
      <c r="K953" s="50">
        <v>1.0625</v>
      </c>
      <c r="L953" s="50">
        <v>0.38159999999999999</v>
      </c>
      <c r="M953" s="50">
        <v>0.87960000000000005</v>
      </c>
      <c r="N953" s="50">
        <v>0.91259999999999997</v>
      </c>
      <c r="O953" s="50">
        <v>1.0538000000000001</v>
      </c>
      <c r="P953" s="49">
        <v>12841</v>
      </c>
      <c r="Q953" s="51">
        <f t="array" ref="Q953">SUM(IF(($S953&gt;=4)*($C953='TaxCred&amp;Subs'!$D$123:$D$127)*($H953='TaxCred&amp;Subs'!$C$123:$C$127)*($H953&lt;='TaxCred&amp;Subs'!$C$129),'TaxCred&amp;Subs'!$E$123:$E$127,0))</f>
        <v>2500</v>
      </c>
      <c r="R953" s="171">
        <v>0</v>
      </c>
      <c r="S953" s="49">
        <v>5</v>
      </c>
      <c r="T953" s="49" t="s">
        <v>225</v>
      </c>
      <c r="U953"/>
      <c r="V953" s="153" t="str">
        <f t="array" ref="V953">INDEX(xlRTCLNAME,MATCH(1,(xlRTCLENDU=1)*(xlRTCLEQCL=$D953),0))</f>
        <v>GEO_HP</v>
      </c>
      <c r="W953" s="153" t="str">
        <f t="array" ref="W953">INDEX(xlRTCLNAME,MATCH(1,(xlRTCLENDU=2)*(xlRTCLEQCL=$F953),0))</f>
        <v>GEO_HP</v>
      </c>
      <c r="X953" s="153" t="str">
        <f t="array" ref="X953">INDEX(xlRTTYNAME,MATCH(1,(xlRTTYENDU=1)*(xlRTTYEQCL=$D953)*(xlRTEQTYPE=$E953),0))</f>
        <v>GEO_HP4</v>
      </c>
      <c r="Y953" s="153" t="str">
        <f t="array" ref="Y953">INDEX(xlRTTYNAME,MATCH(1,(xlRTTYENDU=2)*(xlRTTYEQCL=$F953)*(xlRTEQTYPE=$G953),0))</f>
        <v>GEO_HP4</v>
      </c>
    </row>
    <row r="954" spans="1:25" s="157" customFormat="1" x14ac:dyDescent="0.2">
      <c r="A954"/>
      <c r="B954" s="126">
        <v>3</v>
      </c>
      <c r="C954" s="126">
        <v>1</v>
      </c>
      <c r="D954" s="126">
        <v>10</v>
      </c>
      <c r="E954" s="126">
        <v>35</v>
      </c>
      <c r="F954" s="126">
        <v>4</v>
      </c>
      <c r="G954" s="126">
        <v>16</v>
      </c>
      <c r="H954" s="143">
        <v>2033</v>
      </c>
      <c r="I954" s="148">
        <v>2050</v>
      </c>
      <c r="J954" s="127">
        <v>1.0431999999999999</v>
      </c>
      <c r="K954" s="127">
        <v>1.0625</v>
      </c>
      <c r="L954" s="127">
        <v>0.38159999999999999</v>
      </c>
      <c r="M954" s="127">
        <v>0.87960000000000005</v>
      </c>
      <c r="N954" s="127">
        <v>0.91259999999999997</v>
      </c>
      <c r="O954" s="127">
        <v>1.0538000000000001</v>
      </c>
      <c r="P954" s="126">
        <v>12841</v>
      </c>
      <c r="Q954" s="128">
        <f t="array" ref="Q954">SUM(IF(($S954&gt;=4)*($C954='TaxCred&amp;Subs'!$D$123:$D$127)*($H954='TaxCred&amp;Subs'!$C$123:$C$127)*($H954&lt;='TaxCred&amp;Subs'!$C$129),'TaxCred&amp;Subs'!$E$123:$E$127,0))</f>
        <v>0</v>
      </c>
      <c r="R954" s="174">
        <v>0</v>
      </c>
      <c r="S954" s="126">
        <v>5</v>
      </c>
      <c r="T954" s="126" t="s">
        <v>225</v>
      </c>
      <c r="U954"/>
      <c r="V954" s="153" t="str">
        <f t="array" ref="V954">INDEX(xlRTCLNAME,MATCH(1,(xlRTCLENDU=1)*(xlRTCLEQCL=$D954),0))</f>
        <v>GEO_HP</v>
      </c>
      <c r="W954" s="153" t="str">
        <f t="array" ref="W954">INDEX(xlRTCLNAME,MATCH(1,(xlRTCLENDU=2)*(xlRTCLEQCL=$F954),0))</f>
        <v>GEO_HP</v>
      </c>
      <c r="X954" s="153" t="str">
        <f t="array" ref="X954">INDEX(xlRTTYNAME,MATCH(1,(xlRTTYENDU=1)*(xlRTTYEQCL=$D954)*(xlRTEQTYPE=$E954),0))</f>
        <v>GEO_HP4</v>
      </c>
      <c r="Y954" s="153" t="str">
        <f t="array" ref="Y954">INDEX(xlRTTYNAME,MATCH(1,(xlRTTYENDU=2)*(xlRTTYEQCL=$F954)*(xlRTEQTYPE=$G954),0))</f>
        <v>GEO_HP4</v>
      </c>
    </row>
    <row r="955" spans="1:25" s="157" customFormat="1" x14ac:dyDescent="0.2">
      <c r="A955"/>
      <c r="B955" s="126">
        <v>4</v>
      </c>
      <c r="C955" s="126">
        <v>1</v>
      </c>
      <c r="D955" s="126">
        <v>10</v>
      </c>
      <c r="E955" s="126">
        <v>35</v>
      </c>
      <c r="F955" s="126">
        <v>4</v>
      </c>
      <c r="G955" s="126">
        <v>16</v>
      </c>
      <c r="H955" s="148">
        <v>2016</v>
      </c>
      <c r="I955" s="143">
        <v>2022</v>
      </c>
      <c r="J955" s="127">
        <v>1.0781000000000001</v>
      </c>
      <c r="K955" s="127">
        <v>1.087</v>
      </c>
      <c r="L955" s="127">
        <v>0.38290000000000002</v>
      </c>
      <c r="M955" s="127">
        <v>0.84770000000000001</v>
      </c>
      <c r="N955" s="127">
        <v>0.84850000000000003</v>
      </c>
      <c r="O955" s="127">
        <v>1.0538000000000001</v>
      </c>
      <c r="P955" s="126">
        <v>10457</v>
      </c>
      <c r="Q955" s="128">
        <f t="array" ref="Q955">SUM(IF(($S955&gt;=4)*($C955='TaxCred&amp;Subs'!$D$123:$D$127)*($H955='TaxCred&amp;Subs'!$C$123:$C$127)*($H955&lt;='TaxCred&amp;Subs'!$C$129),'TaxCred&amp;Subs'!$E$123:$E$127,0))</f>
        <v>2000</v>
      </c>
      <c r="R955" s="174">
        <v>0</v>
      </c>
      <c r="S955" s="126">
        <v>5</v>
      </c>
      <c r="T955" s="126" t="s">
        <v>225</v>
      </c>
      <c r="U955"/>
      <c r="V955" s="153" t="str">
        <f t="array" ref="V955">INDEX(xlRTCLNAME,MATCH(1,(xlRTCLENDU=1)*(xlRTCLEQCL=$D955),0))</f>
        <v>GEO_HP</v>
      </c>
      <c r="W955" s="153" t="str">
        <f t="array" ref="W955">INDEX(xlRTCLNAME,MATCH(1,(xlRTCLENDU=2)*(xlRTCLEQCL=$F955),0))</f>
        <v>GEO_HP</v>
      </c>
      <c r="X955" s="153" t="str">
        <f t="array" ref="X955">INDEX(xlRTTYNAME,MATCH(1,(xlRTTYENDU=1)*(xlRTTYEQCL=$D955)*(xlRTEQTYPE=$E955),0))</f>
        <v>GEO_HP4</v>
      </c>
      <c r="Y955" s="153" t="str">
        <f t="array" ref="Y955">INDEX(xlRTTYNAME,MATCH(1,(xlRTTYENDU=2)*(xlRTTYEQCL=$F955)*(xlRTEQTYPE=$G955),0))</f>
        <v>GEO_HP4</v>
      </c>
    </row>
    <row r="956" spans="1:25" s="157" customFormat="1" x14ac:dyDescent="0.2">
      <c r="A956"/>
      <c r="B956" s="49">
        <v>4</v>
      </c>
      <c r="C956" s="49">
        <v>1</v>
      </c>
      <c r="D956" s="49">
        <v>10</v>
      </c>
      <c r="E956" s="49">
        <v>35</v>
      </c>
      <c r="F956" s="49">
        <v>4</v>
      </c>
      <c r="G956" s="49">
        <v>16</v>
      </c>
      <c r="H956" s="166">
        <v>2023</v>
      </c>
      <c r="I956" s="166">
        <v>2032</v>
      </c>
      <c r="J956" s="50">
        <v>1.0781000000000001</v>
      </c>
      <c r="K956" s="50">
        <v>1.087</v>
      </c>
      <c r="L956" s="50">
        <v>0.38290000000000002</v>
      </c>
      <c r="M956" s="50">
        <v>0.84770000000000001</v>
      </c>
      <c r="N956" s="50">
        <v>0.84850000000000003</v>
      </c>
      <c r="O956" s="50">
        <v>1.0538000000000001</v>
      </c>
      <c r="P956" s="49">
        <v>10457</v>
      </c>
      <c r="Q956" s="51">
        <f t="array" ref="Q956">SUM(IF(($S956&gt;=4)*($C956='TaxCred&amp;Subs'!$D$123:$D$127)*($H956='TaxCred&amp;Subs'!$C$123:$C$127)*($H956&lt;='TaxCred&amp;Subs'!$C$129),'TaxCred&amp;Subs'!$E$123:$E$127,0))</f>
        <v>2500</v>
      </c>
      <c r="R956" s="171">
        <v>0</v>
      </c>
      <c r="S956" s="49">
        <v>5</v>
      </c>
      <c r="T956" s="49" t="s">
        <v>225</v>
      </c>
      <c r="U956"/>
      <c r="V956" s="153" t="str">
        <f t="array" ref="V956">INDEX(xlRTCLNAME,MATCH(1,(xlRTCLENDU=1)*(xlRTCLEQCL=$D956),0))</f>
        <v>GEO_HP</v>
      </c>
      <c r="W956" s="153" t="str">
        <f t="array" ref="W956">INDEX(xlRTCLNAME,MATCH(1,(xlRTCLENDU=2)*(xlRTCLEQCL=$F956),0))</f>
        <v>GEO_HP</v>
      </c>
      <c r="X956" s="153" t="str">
        <f t="array" ref="X956">INDEX(xlRTTYNAME,MATCH(1,(xlRTTYENDU=1)*(xlRTTYEQCL=$D956)*(xlRTEQTYPE=$E956),0))</f>
        <v>GEO_HP4</v>
      </c>
      <c r="Y956" s="153" t="str">
        <f t="array" ref="Y956">INDEX(xlRTTYNAME,MATCH(1,(xlRTTYENDU=2)*(xlRTTYEQCL=$F956)*(xlRTEQTYPE=$G956),0))</f>
        <v>GEO_HP4</v>
      </c>
    </row>
    <row r="957" spans="1:25" s="157" customFormat="1" x14ac:dyDescent="0.2">
      <c r="A957"/>
      <c r="B957" s="126">
        <v>4</v>
      </c>
      <c r="C957" s="126">
        <v>1</v>
      </c>
      <c r="D957" s="126">
        <v>10</v>
      </c>
      <c r="E957" s="126">
        <v>35</v>
      </c>
      <c r="F957" s="126">
        <v>4</v>
      </c>
      <c r="G957" s="126">
        <v>16</v>
      </c>
      <c r="H957" s="143">
        <v>2033</v>
      </c>
      <c r="I957" s="148">
        <v>2050</v>
      </c>
      <c r="J957" s="127">
        <v>1.0781000000000001</v>
      </c>
      <c r="K957" s="127">
        <v>1.087</v>
      </c>
      <c r="L957" s="127">
        <v>0.38290000000000002</v>
      </c>
      <c r="M957" s="127">
        <v>0.84770000000000001</v>
      </c>
      <c r="N957" s="127">
        <v>0.84850000000000003</v>
      </c>
      <c r="O957" s="127">
        <v>1.0538000000000001</v>
      </c>
      <c r="P957" s="126">
        <v>10457</v>
      </c>
      <c r="Q957" s="128">
        <f t="array" ref="Q957">SUM(IF(($S957&gt;=4)*($C957='TaxCred&amp;Subs'!$D$123:$D$127)*($H957='TaxCred&amp;Subs'!$C$123:$C$127)*($H957&lt;='TaxCred&amp;Subs'!$C$129),'TaxCred&amp;Subs'!$E$123:$E$127,0))</f>
        <v>0</v>
      </c>
      <c r="R957" s="174">
        <v>0</v>
      </c>
      <c r="S957" s="126">
        <v>5</v>
      </c>
      <c r="T957" s="126" t="s">
        <v>225</v>
      </c>
      <c r="U957"/>
      <c r="V957" s="153" t="str">
        <f t="array" ref="V957">INDEX(xlRTCLNAME,MATCH(1,(xlRTCLENDU=1)*(xlRTCLEQCL=$D957),0))</f>
        <v>GEO_HP</v>
      </c>
      <c r="W957" s="153" t="str">
        <f t="array" ref="W957">INDEX(xlRTCLNAME,MATCH(1,(xlRTCLENDU=2)*(xlRTCLEQCL=$F957),0))</f>
        <v>GEO_HP</v>
      </c>
      <c r="X957" s="153" t="str">
        <f t="array" ref="X957">INDEX(xlRTTYNAME,MATCH(1,(xlRTTYENDU=1)*(xlRTTYEQCL=$D957)*(xlRTEQTYPE=$E957),0))</f>
        <v>GEO_HP4</v>
      </c>
      <c r="Y957" s="153" t="str">
        <f t="array" ref="Y957">INDEX(xlRTTYNAME,MATCH(1,(xlRTTYENDU=2)*(xlRTTYEQCL=$F957)*(xlRTEQTYPE=$G957),0))</f>
        <v>GEO_HP4</v>
      </c>
    </row>
    <row r="958" spans="1:25" s="157" customFormat="1" x14ac:dyDescent="0.2">
      <c r="A958"/>
      <c r="B958" s="126">
        <v>5</v>
      </c>
      <c r="C958" s="126">
        <v>1</v>
      </c>
      <c r="D958" s="126">
        <v>10</v>
      </c>
      <c r="E958" s="126">
        <v>35</v>
      </c>
      <c r="F958" s="126">
        <v>4</v>
      </c>
      <c r="G958" s="126">
        <v>16</v>
      </c>
      <c r="H958" s="148">
        <v>2016</v>
      </c>
      <c r="I958" s="143">
        <v>2022</v>
      </c>
      <c r="J958" s="127">
        <v>1.0843</v>
      </c>
      <c r="K958" s="127">
        <v>1.0722</v>
      </c>
      <c r="L958" s="127">
        <v>0.32629999999999998</v>
      </c>
      <c r="M958" s="127">
        <v>0.70760000000000001</v>
      </c>
      <c r="N958" s="127">
        <v>0.76049999999999995</v>
      </c>
      <c r="O958" s="127">
        <v>1.0538000000000001</v>
      </c>
      <c r="P958" s="126">
        <v>11579</v>
      </c>
      <c r="Q958" s="128">
        <f t="array" ref="Q958">SUM(IF(($S958&gt;=4)*($C958='TaxCred&amp;Subs'!$D$123:$D$127)*($H958='TaxCred&amp;Subs'!$C$123:$C$127)*($H958&lt;='TaxCred&amp;Subs'!$C$129),'TaxCred&amp;Subs'!$E$123:$E$127,0))</f>
        <v>2000</v>
      </c>
      <c r="R958" s="174">
        <v>0</v>
      </c>
      <c r="S958" s="126">
        <v>5</v>
      </c>
      <c r="T958" s="126" t="s">
        <v>225</v>
      </c>
      <c r="U958"/>
      <c r="V958" s="153" t="str">
        <f t="array" ref="V958">INDEX(xlRTCLNAME,MATCH(1,(xlRTCLENDU=1)*(xlRTCLEQCL=$D958),0))</f>
        <v>GEO_HP</v>
      </c>
      <c r="W958" s="153" t="str">
        <f t="array" ref="W958">INDEX(xlRTCLNAME,MATCH(1,(xlRTCLENDU=2)*(xlRTCLEQCL=$F958),0))</f>
        <v>GEO_HP</v>
      </c>
      <c r="X958" s="153" t="str">
        <f t="array" ref="X958">INDEX(xlRTTYNAME,MATCH(1,(xlRTTYENDU=1)*(xlRTTYEQCL=$D958)*(xlRTEQTYPE=$E958),0))</f>
        <v>GEO_HP4</v>
      </c>
      <c r="Y958" s="153" t="str">
        <f t="array" ref="Y958">INDEX(xlRTTYNAME,MATCH(1,(xlRTTYENDU=2)*(xlRTTYEQCL=$F958)*(xlRTEQTYPE=$G958),0))</f>
        <v>GEO_HP4</v>
      </c>
    </row>
    <row r="959" spans="1:25" s="157" customFormat="1" x14ac:dyDescent="0.2">
      <c r="A959"/>
      <c r="B959" s="49">
        <v>5</v>
      </c>
      <c r="C959" s="49">
        <v>1</v>
      </c>
      <c r="D959" s="49">
        <v>10</v>
      </c>
      <c r="E959" s="49">
        <v>35</v>
      </c>
      <c r="F959" s="49">
        <v>4</v>
      </c>
      <c r="G959" s="49">
        <v>16</v>
      </c>
      <c r="H959" s="166">
        <v>2023</v>
      </c>
      <c r="I959" s="166">
        <v>2032</v>
      </c>
      <c r="J959" s="50">
        <v>1.0843</v>
      </c>
      <c r="K959" s="50">
        <v>1.0722</v>
      </c>
      <c r="L959" s="50">
        <v>0.32629999999999998</v>
      </c>
      <c r="M959" s="50">
        <v>0.70760000000000001</v>
      </c>
      <c r="N959" s="50">
        <v>0.76049999999999995</v>
      </c>
      <c r="O959" s="50">
        <v>1.0538000000000001</v>
      </c>
      <c r="P959" s="49">
        <v>11579</v>
      </c>
      <c r="Q959" s="51">
        <f t="array" ref="Q959">SUM(IF(($S959&gt;=4)*($C959='TaxCred&amp;Subs'!$D$123:$D$127)*($H959='TaxCred&amp;Subs'!$C$123:$C$127)*($H959&lt;='TaxCred&amp;Subs'!$C$129),'TaxCred&amp;Subs'!$E$123:$E$127,0))</f>
        <v>2500</v>
      </c>
      <c r="R959" s="171">
        <v>0</v>
      </c>
      <c r="S959" s="49">
        <v>5</v>
      </c>
      <c r="T959" s="49" t="s">
        <v>225</v>
      </c>
      <c r="U959"/>
      <c r="V959" s="153" t="str">
        <f t="array" ref="V959">INDEX(xlRTCLNAME,MATCH(1,(xlRTCLENDU=1)*(xlRTCLEQCL=$D959),0))</f>
        <v>GEO_HP</v>
      </c>
      <c r="W959" s="153" t="str">
        <f t="array" ref="W959">INDEX(xlRTCLNAME,MATCH(1,(xlRTCLENDU=2)*(xlRTCLEQCL=$F959),0))</f>
        <v>GEO_HP</v>
      </c>
      <c r="X959" s="153" t="str">
        <f t="array" ref="X959">INDEX(xlRTTYNAME,MATCH(1,(xlRTTYENDU=1)*(xlRTTYEQCL=$D959)*(xlRTEQTYPE=$E959),0))</f>
        <v>GEO_HP4</v>
      </c>
      <c r="Y959" s="153" t="str">
        <f t="array" ref="Y959">INDEX(xlRTTYNAME,MATCH(1,(xlRTTYENDU=2)*(xlRTTYEQCL=$F959)*(xlRTEQTYPE=$G959),0))</f>
        <v>GEO_HP4</v>
      </c>
    </row>
    <row r="960" spans="1:25" s="157" customFormat="1" x14ac:dyDescent="0.2">
      <c r="A960"/>
      <c r="B960" s="126">
        <v>5</v>
      </c>
      <c r="C960" s="126">
        <v>1</v>
      </c>
      <c r="D960" s="126">
        <v>10</v>
      </c>
      <c r="E960" s="126">
        <v>35</v>
      </c>
      <c r="F960" s="126">
        <v>4</v>
      </c>
      <c r="G960" s="126">
        <v>16</v>
      </c>
      <c r="H960" s="143">
        <v>2033</v>
      </c>
      <c r="I960" s="148">
        <v>2050</v>
      </c>
      <c r="J960" s="127">
        <v>1.0843</v>
      </c>
      <c r="K960" s="127">
        <v>1.0722</v>
      </c>
      <c r="L960" s="127">
        <v>0.32629999999999998</v>
      </c>
      <c r="M960" s="127">
        <v>0.70760000000000001</v>
      </c>
      <c r="N960" s="127">
        <v>0.76049999999999995</v>
      </c>
      <c r="O960" s="127">
        <v>1.0538000000000001</v>
      </c>
      <c r="P960" s="126">
        <v>11579</v>
      </c>
      <c r="Q960" s="128">
        <f t="array" ref="Q960">SUM(IF(($S960&gt;=4)*($C960='TaxCred&amp;Subs'!$D$123:$D$127)*($H960='TaxCred&amp;Subs'!$C$123:$C$127)*($H960&lt;='TaxCred&amp;Subs'!$C$129),'TaxCred&amp;Subs'!$E$123:$E$127,0))</f>
        <v>0</v>
      </c>
      <c r="R960" s="174">
        <v>0</v>
      </c>
      <c r="S960" s="126">
        <v>5</v>
      </c>
      <c r="T960" s="126" t="s">
        <v>225</v>
      </c>
      <c r="U960"/>
      <c r="V960" s="153" t="str">
        <f t="array" ref="V960">INDEX(xlRTCLNAME,MATCH(1,(xlRTCLENDU=1)*(xlRTCLEQCL=$D960),0))</f>
        <v>GEO_HP</v>
      </c>
      <c r="W960" s="153" t="str">
        <f t="array" ref="W960">INDEX(xlRTCLNAME,MATCH(1,(xlRTCLENDU=2)*(xlRTCLEQCL=$F960),0))</f>
        <v>GEO_HP</v>
      </c>
      <c r="X960" s="153" t="str">
        <f t="array" ref="X960">INDEX(xlRTTYNAME,MATCH(1,(xlRTTYENDU=1)*(xlRTTYEQCL=$D960)*(xlRTEQTYPE=$E960),0))</f>
        <v>GEO_HP4</v>
      </c>
      <c r="Y960" s="153" t="str">
        <f t="array" ref="Y960">INDEX(xlRTTYNAME,MATCH(1,(xlRTTYENDU=2)*(xlRTTYEQCL=$F960)*(xlRTEQTYPE=$G960),0))</f>
        <v>GEO_HP4</v>
      </c>
    </row>
    <row r="961" spans="1:25" s="157" customFormat="1" x14ac:dyDescent="0.2">
      <c r="A961"/>
      <c r="B961" s="126">
        <v>6</v>
      </c>
      <c r="C961" s="126">
        <v>1</v>
      </c>
      <c r="D961" s="126">
        <v>10</v>
      </c>
      <c r="E961" s="126">
        <v>35</v>
      </c>
      <c r="F961" s="126">
        <v>4</v>
      </c>
      <c r="G961" s="126">
        <v>16</v>
      </c>
      <c r="H961" s="148">
        <v>2016</v>
      </c>
      <c r="I961" s="143">
        <v>2022</v>
      </c>
      <c r="J961" s="127">
        <v>1.0982000000000001</v>
      </c>
      <c r="K961" s="127">
        <v>1.0805</v>
      </c>
      <c r="L961" s="127">
        <v>0.26529999999999998</v>
      </c>
      <c r="M961" s="127">
        <v>0.64410000000000001</v>
      </c>
      <c r="N961" s="127">
        <v>0.88680000000000003</v>
      </c>
      <c r="O961" s="127">
        <v>1.0538000000000001</v>
      </c>
      <c r="P961" s="126">
        <v>11441</v>
      </c>
      <c r="Q961" s="128">
        <f t="array" ref="Q961">SUM(IF(($S961&gt;=4)*($C961='TaxCred&amp;Subs'!$D$123:$D$127)*($H961='TaxCred&amp;Subs'!$C$123:$C$127)*($H961&lt;='TaxCred&amp;Subs'!$C$129),'TaxCred&amp;Subs'!$E$123:$E$127,0))</f>
        <v>2000</v>
      </c>
      <c r="R961" s="174">
        <v>0</v>
      </c>
      <c r="S961" s="126">
        <v>5</v>
      </c>
      <c r="T961" s="126" t="s">
        <v>225</v>
      </c>
      <c r="U961"/>
      <c r="V961" s="153" t="str">
        <f t="array" ref="V961">INDEX(xlRTCLNAME,MATCH(1,(xlRTCLENDU=1)*(xlRTCLEQCL=$D961),0))</f>
        <v>GEO_HP</v>
      </c>
      <c r="W961" s="153" t="str">
        <f t="array" ref="W961">INDEX(xlRTCLNAME,MATCH(1,(xlRTCLENDU=2)*(xlRTCLEQCL=$F961),0))</f>
        <v>GEO_HP</v>
      </c>
      <c r="X961" s="153" t="str">
        <f t="array" ref="X961">INDEX(xlRTTYNAME,MATCH(1,(xlRTTYENDU=1)*(xlRTTYEQCL=$D961)*(xlRTEQTYPE=$E961),0))</f>
        <v>GEO_HP4</v>
      </c>
      <c r="Y961" s="153" t="str">
        <f t="array" ref="Y961">INDEX(xlRTTYNAME,MATCH(1,(xlRTTYENDU=2)*(xlRTTYEQCL=$F961)*(xlRTEQTYPE=$G961),0))</f>
        <v>GEO_HP4</v>
      </c>
    </row>
    <row r="962" spans="1:25" s="157" customFormat="1" x14ac:dyDescent="0.2">
      <c r="A962"/>
      <c r="B962" s="49">
        <v>6</v>
      </c>
      <c r="C962" s="49">
        <v>1</v>
      </c>
      <c r="D962" s="49">
        <v>10</v>
      </c>
      <c r="E962" s="49">
        <v>35</v>
      </c>
      <c r="F962" s="49">
        <v>4</v>
      </c>
      <c r="G962" s="49">
        <v>16</v>
      </c>
      <c r="H962" s="166">
        <v>2023</v>
      </c>
      <c r="I962" s="166">
        <v>2032</v>
      </c>
      <c r="J962" s="50">
        <v>1.0982000000000001</v>
      </c>
      <c r="K962" s="50">
        <v>1.0805</v>
      </c>
      <c r="L962" s="50">
        <v>0.26529999999999998</v>
      </c>
      <c r="M962" s="50">
        <v>0.64410000000000001</v>
      </c>
      <c r="N962" s="50">
        <v>0.88680000000000003</v>
      </c>
      <c r="O962" s="50">
        <v>1.0538000000000001</v>
      </c>
      <c r="P962" s="49">
        <v>11441</v>
      </c>
      <c r="Q962" s="51">
        <f t="array" ref="Q962">SUM(IF(($S962&gt;=4)*($C962='TaxCred&amp;Subs'!$D$123:$D$127)*($H962='TaxCred&amp;Subs'!$C$123:$C$127)*($H962&lt;='TaxCred&amp;Subs'!$C$129),'TaxCred&amp;Subs'!$E$123:$E$127,0))</f>
        <v>2500</v>
      </c>
      <c r="R962" s="171">
        <v>0</v>
      </c>
      <c r="S962" s="49">
        <v>5</v>
      </c>
      <c r="T962" s="49" t="s">
        <v>225</v>
      </c>
      <c r="U962"/>
      <c r="V962" s="153" t="str">
        <f t="array" ref="V962">INDEX(xlRTCLNAME,MATCH(1,(xlRTCLENDU=1)*(xlRTCLEQCL=$D962),0))</f>
        <v>GEO_HP</v>
      </c>
      <c r="W962" s="153" t="str">
        <f t="array" ref="W962">INDEX(xlRTCLNAME,MATCH(1,(xlRTCLENDU=2)*(xlRTCLEQCL=$F962),0))</f>
        <v>GEO_HP</v>
      </c>
      <c r="X962" s="153" t="str">
        <f t="array" ref="X962">INDEX(xlRTTYNAME,MATCH(1,(xlRTTYENDU=1)*(xlRTTYEQCL=$D962)*(xlRTEQTYPE=$E962),0))</f>
        <v>GEO_HP4</v>
      </c>
      <c r="Y962" s="153" t="str">
        <f t="array" ref="Y962">INDEX(xlRTTYNAME,MATCH(1,(xlRTTYENDU=2)*(xlRTTYEQCL=$F962)*(xlRTEQTYPE=$G962),0))</f>
        <v>GEO_HP4</v>
      </c>
    </row>
    <row r="963" spans="1:25" s="157" customFormat="1" x14ac:dyDescent="0.2">
      <c r="A963"/>
      <c r="B963" s="126">
        <v>6</v>
      </c>
      <c r="C963" s="126">
        <v>1</v>
      </c>
      <c r="D963" s="126">
        <v>10</v>
      </c>
      <c r="E963" s="126">
        <v>35</v>
      </c>
      <c r="F963" s="126">
        <v>4</v>
      </c>
      <c r="G963" s="126">
        <v>16</v>
      </c>
      <c r="H963" s="143">
        <v>2033</v>
      </c>
      <c r="I963" s="148">
        <v>2050</v>
      </c>
      <c r="J963" s="127">
        <v>1.0982000000000001</v>
      </c>
      <c r="K963" s="127">
        <v>1.0805</v>
      </c>
      <c r="L963" s="127">
        <v>0.26529999999999998</v>
      </c>
      <c r="M963" s="127">
        <v>0.64410000000000001</v>
      </c>
      <c r="N963" s="127">
        <v>0.88680000000000003</v>
      </c>
      <c r="O963" s="127">
        <v>1.0538000000000001</v>
      </c>
      <c r="P963" s="126">
        <v>11441</v>
      </c>
      <c r="Q963" s="128">
        <f t="array" ref="Q963">SUM(IF(($S963&gt;=4)*($C963='TaxCred&amp;Subs'!$D$123:$D$127)*($H963='TaxCred&amp;Subs'!$C$123:$C$127)*($H963&lt;='TaxCred&amp;Subs'!$C$129),'TaxCred&amp;Subs'!$E$123:$E$127,0))</f>
        <v>0</v>
      </c>
      <c r="R963" s="174">
        <v>0</v>
      </c>
      <c r="S963" s="126">
        <v>5</v>
      </c>
      <c r="T963" s="126" t="s">
        <v>225</v>
      </c>
      <c r="U963"/>
      <c r="V963" s="153" t="str">
        <f t="array" ref="V963">INDEX(xlRTCLNAME,MATCH(1,(xlRTCLENDU=1)*(xlRTCLEQCL=$D963),0))</f>
        <v>GEO_HP</v>
      </c>
      <c r="W963" s="153" t="str">
        <f t="array" ref="W963">INDEX(xlRTCLNAME,MATCH(1,(xlRTCLENDU=2)*(xlRTCLEQCL=$F963),0))</f>
        <v>GEO_HP</v>
      </c>
      <c r="X963" s="153" t="str">
        <f t="array" ref="X963">INDEX(xlRTTYNAME,MATCH(1,(xlRTTYENDU=1)*(xlRTTYEQCL=$D963)*(xlRTEQTYPE=$E963),0))</f>
        <v>GEO_HP4</v>
      </c>
      <c r="Y963" s="153" t="str">
        <f t="array" ref="Y963">INDEX(xlRTTYNAME,MATCH(1,(xlRTTYENDU=2)*(xlRTTYEQCL=$F963)*(xlRTEQTYPE=$G963),0))</f>
        <v>GEO_HP4</v>
      </c>
    </row>
    <row r="964" spans="1:25" s="157" customFormat="1" x14ac:dyDescent="0.2">
      <c r="A964"/>
      <c r="B964" s="126">
        <v>7</v>
      </c>
      <c r="C964" s="126">
        <v>1</v>
      </c>
      <c r="D964" s="126">
        <v>10</v>
      </c>
      <c r="E964" s="126">
        <v>35</v>
      </c>
      <c r="F964" s="126">
        <v>4</v>
      </c>
      <c r="G964" s="126">
        <v>16</v>
      </c>
      <c r="H964" s="148">
        <v>2016</v>
      </c>
      <c r="I964" s="143">
        <v>2022</v>
      </c>
      <c r="J964" s="127">
        <v>1.1200000000000001</v>
      </c>
      <c r="K964" s="127">
        <v>1.0769</v>
      </c>
      <c r="L964" s="127">
        <v>0.35949999999999999</v>
      </c>
      <c r="M964" s="127">
        <v>0.65269999999999995</v>
      </c>
      <c r="N964" s="127">
        <v>0.8871</v>
      </c>
      <c r="O964" s="127">
        <v>1.0538000000000001</v>
      </c>
      <c r="P964" s="126">
        <v>11603</v>
      </c>
      <c r="Q964" s="128">
        <f t="array" ref="Q964">SUM(IF(($S964&gt;=4)*($C964='TaxCred&amp;Subs'!$D$123:$D$127)*($H964='TaxCred&amp;Subs'!$C$123:$C$127)*($H964&lt;='TaxCred&amp;Subs'!$C$129),'TaxCred&amp;Subs'!$E$123:$E$127,0))</f>
        <v>2000</v>
      </c>
      <c r="R964" s="174">
        <v>0</v>
      </c>
      <c r="S964" s="126">
        <v>5</v>
      </c>
      <c r="T964" s="126" t="s">
        <v>225</v>
      </c>
      <c r="U964"/>
      <c r="V964" s="153" t="str">
        <f t="array" ref="V964">INDEX(xlRTCLNAME,MATCH(1,(xlRTCLENDU=1)*(xlRTCLEQCL=$D964),0))</f>
        <v>GEO_HP</v>
      </c>
      <c r="W964" s="153" t="str">
        <f t="array" ref="W964">INDEX(xlRTCLNAME,MATCH(1,(xlRTCLENDU=2)*(xlRTCLEQCL=$F964),0))</f>
        <v>GEO_HP</v>
      </c>
      <c r="X964" s="153" t="str">
        <f t="array" ref="X964">INDEX(xlRTTYNAME,MATCH(1,(xlRTTYENDU=1)*(xlRTTYEQCL=$D964)*(xlRTEQTYPE=$E964),0))</f>
        <v>GEO_HP4</v>
      </c>
      <c r="Y964" s="153" t="str">
        <f t="array" ref="Y964">INDEX(xlRTTYNAME,MATCH(1,(xlRTTYENDU=2)*(xlRTTYEQCL=$F964)*(xlRTEQTYPE=$G964),0))</f>
        <v>GEO_HP4</v>
      </c>
    </row>
    <row r="965" spans="1:25" s="157" customFormat="1" x14ac:dyDescent="0.2">
      <c r="A965"/>
      <c r="B965" s="49">
        <v>7</v>
      </c>
      <c r="C965" s="49">
        <v>1</v>
      </c>
      <c r="D965" s="49">
        <v>10</v>
      </c>
      <c r="E965" s="49">
        <v>35</v>
      </c>
      <c r="F965" s="49">
        <v>4</v>
      </c>
      <c r="G965" s="49">
        <v>16</v>
      </c>
      <c r="H965" s="166">
        <v>2023</v>
      </c>
      <c r="I965" s="166">
        <v>2032</v>
      </c>
      <c r="J965" s="50">
        <v>1.1200000000000001</v>
      </c>
      <c r="K965" s="50">
        <v>1.0769</v>
      </c>
      <c r="L965" s="50">
        <v>0.35949999999999999</v>
      </c>
      <c r="M965" s="50">
        <v>0.65269999999999995</v>
      </c>
      <c r="N965" s="50">
        <v>0.8871</v>
      </c>
      <c r="O965" s="50">
        <v>1.0538000000000001</v>
      </c>
      <c r="P965" s="49">
        <v>11603</v>
      </c>
      <c r="Q965" s="51">
        <f t="array" ref="Q965">SUM(IF(($S965&gt;=4)*($C965='TaxCred&amp;Subs'!$D$123:$D$127)*($H965='TaxCred&amp;Subs'!$C$123:$C$127)*($H965&lt;='TaxCred&amp;Subs'!$C$129),'TaxCred&amp;Subs'!$E$123:$E$127,0))</f>
        <v>2500</v>
      </c>
      <c r="R965" s="171">
        <v>0</v>
      </c>
      <c r="S965" s="49">
        <v>5</v>
      </c>
      <c r="T965" s="49" t="s">
        <v>225</v>
      </c>
      <c r="U965"/>
      <c r="V965" s="153" t="str">
        <f t="array" ref="V965">INDEX(xlRTCLNAME,MATCH(1,(xlRTCLENDU=1)*(xlRTCLEQCL=$D965),0))</f>
        <v>GEO_HP</v>
      </c>
      <c r="W965" s="153" t="str">
        <f t="array" ref="W965">INDEX(xlRTCLNAME,MATCH(1,(xlRTCLENDU=2)*(xlRTCLEQCL=$F965),0))</f>
        <v>GEO_HP</v>
      </c>
      <c r="X965" s="153" t="str">
        <f t="array" ref="X965">INDEX(xlRTTYNAME,MATCH(1,(xlRTTYENDU=1)*(xlRTTYEQCL=$D965)*(xlRTEQTYPE=$E965),0))</f>
        <v>GEO_HP4</v>
      </c>
      <c r="Y965" s="153" t="str">
        <f t="array" ref="Y965">INDEX(xlRTTYNAME,MATCH(1,(xlRTTYENDU=2)*(xlRTTYEQCL=$F965)*(xlRTEQTYPE=$G965),0))</f>
        <v>GEO_HP4</v>
      </c>
    </row>
    <row r="966" spans="1:25" s="157" customFormat="1" x14ac:dyDescent="0.2">
      <c r="A966"/>
      <c r="B966" s="126">
        <v>7</v>
      </c>
      <c r="C966" s="126">
        <v>1</v>
      </c>
      <c r="D966" s="126">
        <v>10</v>
      </c>
      <c r="E966" s="126">
        <v>35</v>
      </c>
      <c r="F966" s="126">
        <v>4</v>
      </c>
      <c r="G966" s="126">
        <v>16</v>
      </c>
      <c r="H966" s="143">
        <v>2033</v>
      </c>
      <c r="I966" s="148">
        <v>2050</v>
      </c>
      <c r="J966" s="127">
        <v>1.1200000000000001</v>
      </c>
      <c r="K966" s="127">
        <v>1.0769</v>
      </c>
      <c r="L966" s="127">
        <v>0.35949999999999999</v>
      </c>
      <c r="M966" s="127">
        <v>0.65269999999999995</v>
      </c>
      <c r="N966" s="127">
        <v>0.8871</v>
      </c>
      <c r="O966" s="127">
        <v>1.0538000000000001</v>
      </c>
      <c r="P966" s="126">
        <v>11603</v>
      </c>
      <c r="Q966" s="128">
        <f t="array" ref="Q966">SUM(IF(($S966&gt;=4)*($C966='TaxCred&amp;Subs'!$D$123:$D$127)*($H966='TaxCred&amp;Subs'!$C$123:$C$127)*($H966&lt;='TaxCred&amp;Subs'!$C$129),'TaxCred&amp;Subs'!$E$123:$E$127,0))</f>
        <v>0</v>
      </c>
      <c r="R966" s="174">
        <v>0</v>
      </c>
      <c r="S966" s="126">
        <v>5</v>
      </c>
      <c r="T966" s="126" t="s">
        <v>225</v>
      </c>
      <c r="U966"/>
      <c r="V966" s="153" t="str">
        <f t="array" ref="V966">INDEX(xlRTCLNAME,MATCH(1,(xlRTCLENDU=1)*(xlRTCLEQCL=$D966),0))</f>
        <v>GEO_HP</v>
      </c>
      <c r="W966" s="153" t="str">
        <f t="array" ref="W966">INDEX(xlRTCLNAME,MATCH(1,(xlRTCLENDU=2)*(xlRTCLEQCL=$F966),0))</f>
        <v>GEO_HP</v>
      </c>
      <c r="X966" s="153" t="str">
        <f t="array" ref="X966">INDEX(xlRTTYNAME,MATCH(1,(xlRTTYENDU=1)*(xlRTTYEQCL=$D966)*(xlRTEQTYPE=$E966),0))</f>
        <v>GEO_HP4</v>
      </c>
      <c r="Y966" s="153" t="str">
        <f t="array" ref="Y966">INDEX(xlRTTYNAME,MATCH(1,(xlRTTYENDU=2)*(xlRTTYEQCL=$F966)*(xlRTEQTYPE=$G966),0))</f>
        <v>GEO_HP4</v>
      </c>
    </row>
    <row r="967" spans="1:25" s="157" customFormat="1" x14ac:dyDescent="0.2">
      <c r="A967"/>
      <c r="B967" s="126">
        <v>8</v>
      </c>
      <c r="C967" s="126">
        <v>1</v>
      </c>
      <c r="D967" s="126">
        <v>10</v>
      </c>
      <c r="E967" s="126">
        <v>35</v>
      </c>
      <c r="F967" s="126">
        <v>4</v>
      </c>
      <c r="G967" s="126">
        <v>16</v>
      </c>
      <c r="H967" s="148">
        <v>2016</v>
      </c>
      <c r="I967" s="143">
        <v>2022</v>
      </c>
      <c r="J967" s="127">
        <v>1.0417000000000001</v>
      </c>
      <c r="K967" s="127">
        <v>1.0667</v>
      </c>
      <c r="L967" s="127">
        <v>0.41089999999999999</v>
      </c>
      <c r="M967" s="127">
        <v>0.76959999999999995</v>
      </c>
      <c r="N967" s="127">
        <v>0.88300000000000001</v>
      </c>
      <c r="O967" s="127">
        <v>1.0538000000000001</v>
      </c>
      <c r="P967" s="126">
        <v>12094</v>
      </c>
      <c r="Q967" s="128">
        <f t="array" ref="Q967">SUM(IF(($S967&gt;=4)*($C967='TaxCred&amp;Subs'!$D$123:$D$127)*($H967='TaxCred&amp;Subs'!$C$123:$C$127)*($H967&lt;='TaxCred&amp;Subs'!$C$129),'TaxCred&amp;Subs'!$E$123:$E$127,0))</f>
        <v>2000</v>
      </c>
      <c r="R967" s="174">
        <v>0</v>
      </c>
      <c r="S967" s="126">
        <v>5</v>
      </c>
      <c r="T967" s="126" t="s">
        <v>225</v>
      </c>
      <c r="U967"/>
      <c r="V967" s="153" t="str">
        <f t="array" ref="V967">INDEX(xlRTCLNAME,MATCH(1,(xlRTCLENDU=1)*(xlRTCLEQCL=$D967),0))</f>
        <v>GEO_HP</v>
      </c>
      <c r="W967" s="153" t="str">
        <f t="array" ref="W967">INDEX(xlRTCLNAME,MATCH(1,(xlRTCLENDU=2)*(xlRTCLEQCL=$F967),0))</f>
        <v>GEO_HP</v>
      </c>
      <c r="X967" s="153" t="str">
        <f t="array" ref="X967">INDEX(xlRTTYNAME,MATCH(1,(xlRTTYENDU=1)*(xlRTTYEQCL=$D967)*(xlRTEQTYPE=$E967),0))</f>
        <v>GEO_HP4</v>
      </c>
      <c r="Y967" s="153" t="str">
        <f t="array" ref="Y967">INDEX(xlRTTYNAME,MATCH(1,(xlRTTYENDU=2)*(xlRTTYEQCL=$F967)*(xlRTEQTYPE=$G967),0))</f>
        <v>GEO_HP4</v>
      </c>
    </row>
    <row r="968" spans="1:25" s="157" customFormat="1" x14ac:dyDescent="0.2">
      <c r="A968"/>
      <c r="B968" s="49">
        <v>8</v>
      </c>
      <c r="C968" s="49">
        <v>1</v>
      </c>
      <c r="D968" s="49">
        <v>10</v>
      </c>
      <c r="E968" s="49">
        <v>35</v>
      </c>
      <c r="F968" s="49">
        <v>4</v>
      </c>
      <c r="G968" s="49">
        <v>16</v>
      </c>
      <c r="H968" s="166">
        <v>2023</v>
      </c>
      <c r="I968" s="166">
        <v>2032</v>
      </c>
      <c r="J968" s="50">
        <v>1.0417000000000001</v>
      </c>
      <c r="K968" s="50">
        <v>1.0667</v>
      </c>
      <c r="L968" s="50">
        <v>0.41089999999999999</v>
      </c>
      <c r="M968" s="50">
        <v>0.76959999999999995</v>
      </c>
      <c r="N968" s="50">
        <v>0.88300000000000001</v>
      </c>
      <c r="O968" s="50">
        <v>1.0538000000000001</v>
      </c>
      <c r="P968" s="49">
        <v>12094</v>
      </c>
      <c r="Q968" s="51">
        <f t="array" ref="Q968">SUM(IF(($S968&gt;=4)*($C968='TaxCred&amp;Subs'!$D$123:$D$127)*($H968='TaxCred&amp;Subs'!$C$123:$C$127)*($H968&lt;='TaxCred&amp;Subs'!$C$129),'TaxCred&amp;Subs'!$E$123:$E$127,0))</f>
        <v>2500</v>
      </c>
      <c r="R968" s="171">
        <v>0</v>
      </c>
      <c r="S968" s="49">
        <v>5</v>
      </c>
      <c r="T968" s="49" t="s">
        <v>225</v>
      </c>
      <c r="U968"/>
      <c r="V968" s="153" t="str">
        <f t="array" ref="V968">INDEX(xlRTCLNAME,MATCH(1,(xlRTCLENDU=1)*(xlRTCLEQCL=$D968),0))</f>
        <v>GEO_HP</v>
      </c>
      <c r="W968" s="153" t="str">
        <f t="array" ref="W968">INDEX(xlRTCLNAME,MATCH(1,(xlRTCLENDU=2)*(xlRTCLEQCL=$F968),0))</f>
        <v>GEO_HP</v>
      </c>
      <c r="X968" s="153" t="str">
        <f t="array" ref="X968">INDEX(xlRTTYNAME,MATCH(1,(xlRTTYENDU=1)*(xlRTTYEQCL=$D968)*(xlRTEQTYPE=$E968),0))</f>
        <v>GEO_HP4</v>
      </c>
      <c r="Y968" s="153" t="str">
        <f t="array" ref="Y968">INDEX(xlRTTYNAME,MATCH(1,(xlRTTYENDU=2)*(xlRTTYEQCL=$F968)*(xlRTEQTYPE=$G968),0))</f>
        <v>GEO_HP4</v>
      </c>
    </row>
    <row r="969" spans="1:25" s="157" customFormat="1" x14ac:dyDescent="0.2">
      <c r="A969"/>
      <c r="B969" s="126">
        <v>8</v>
      </c>
      <c r="C969" s="126">
        <v>1</v>
      </c>
      <c r="D969" s="126">
        <v>10</v>
      </c>
      <c r="E969" s="126">
        <v>35</v>
      </c>
      <c r="F969" s="126">
        <v>4</v>
      </c>
      <c r="G969" s="126">
        <v>16</v>
      </c>
      <c r="H969" s="143">
        <v>2033</v>
      </c>
      <c r="I969" s="148">
        <v>2050</v>
      </c>
      <c r="J969" s="127">
        <v>1.0417000000000001</v>
      </c>
      <c r="K969" s="127">
        <v>1.0667</v>
      </c>
      <c r="L969" s="127">
        <v>0.41089999999999999</v>
      </c>
      <c r="M969" s="127">
        <v>0.76959999999999995</v>
      </c>
      <c r="N969" s="127">
        <v>0.88300000000000001</v>
      </c>
      <c r="O969" s="127">
        <v>1.0538000000000001</v>
      </c>
      <c r="P969" s="126">
        <v>12094</v>
      </c>
      <c r="Q969" s="128">
        <f t="array" ref="Q969">SUM(IF(($S969&gt;=4)*($C969='TaxCred&amp;Subs'!$D$123:$D$127)*($H969='TaxCred&amp;Subs'!$C$123:$C$127)*($H969&lt;='TaxCred&amp;Subs'!$C$129),'TaxCred&amp;Subs'!$E$123:$E$127,0))</f>
        <v>0</v>
      </c>
      <c r="R969" s="174">
        <v>0</v>
      </c>
      <c r="S969" s="126">
        <v>5</v>
      </c>
      <c r="T969" s="126" t="s">
        <v>225</v>
      </c>
      <c r="U969"/>
      <c r="V969" s="153" t="str">
        <f t="array" ref="V969">INDEX(xlRTCLNAME,MATCH(1,(xlRTCLENDU=1)*(xlRTCLEQCL=$D969),0))</f>
        <v>GEO_HP</v>
      </c>
      <c r="W969" s="153" t="str">
        <f t="array" ref="W969">INDEX(xlRTCLNAME,MATCH(1,(xlRTCLENDU=2)*(xlRTCLEQCL=$F969),0))</f>
        <v>GEO_HP</v>
      </c>
      <c r="X969" s="153" t="str">
        <f t="array" ref="X969">INDEX(xlRTTYNAME,MATCH(1,(xlRTTYENDU=1)*(xlRTTYEQCL=$D969)*(xlRTEQTYPE=$E969),0))</f>
        <v>GEO_HP4</v>
      </c>
      <c r="Y969" s="153" t="str">
        <f t="array" ref="Y969">INDEX(xlRTTYNAME,MATCH(1,(xlRTTYENDU=2)*(xlRTTYEQCL=$F969)*(xlRTEQTYPE=$G969),0))</f>
        <v>GEO_HP4</v>
      </c>
    </row>
    <row r="970" spans="1:25" s="157" customFormat="1" x14ac:dyDescent="0.2">
      <c r="A970"/>
      <c r="B970" s="126">
        <v>9</v>
      </c>
      <c r="C970" s="126">
        <v>1</v>
      </c>
      <c r="D970" s="126">
        <v>10</v>
      </c>
      <c r="E970" s="126">
        <v>35</v>
      </c>
      <c r="F970" s="126">
        <v>4</v>
      </c>
      <c r="G970" s="126">
        <v>16</v>
      </c>
      <c r="H970" s="148">
        <v>2016</v>
      </c>
      <c r="I970" s="143">
        <v>2022</v>
      </c>
      <c r="J970" s="127">
        <v>1.0611999999999999</v>
      </c>
      <c r="K970" s="127">
        <v>1.0428999999999999</v>
      </c>
      <c r="L970" s="127">
        <v>0.3911</v>
      </c>
      <c r="M970" s="127">
        <v>0.75870000000000004</v>
      </c>
      <c r="N970" s="127">
        <v>1.0349999999999999</v>
      </c>
      <c r="O970" s="127">
        <v>1.0538000000000001</v>
      </c>
      <c r="P970" s="126">
        <v>14738</v>
      </c>
      <c r="Q970" s="128">
        <f t="array" ref="Q970">SUM(IF(($S970&gt;=4)*($C970='TaxCred&amp;Subs'!$D$123:$D$127)*($H970='TaxCred&amp;Subs'!$C$123:$C$127)*($H970&lt;='TaxCred&amp;Subs'!$C$129),'TaxCred&amp;Subs'!$E$123:$E$127,0))</f>
        <v>2000</v>
      </c>
      <c r="R970" s="174">
        <v>0</v>
      </c>
      <c r="S970" s="126">
        <v>5</v>
      </c>
      <c r="T970" s="126" t="s">
        <v>225</v>
      </c>
      <c r="U970"/>
      <c r="V970" s="153" t="str">
        <f t="array" ref="V970">INDEX(xlRTCLNAME,MATCH(1,(xlRTCLENDU=1)*(xlRTCLEQCL=$D970),0))</f>
        <v>GEO_HP</v>
      </c>
      <c r="W970" s="153" t="str">
        <f t="array" ref="W970">INDEX(xlRTCLNAME,MATCH(1,(xlRTCLENDU=2)*(xlRTCLEQCL=$F970),0))</f>
        <v>GEO_HP</v>
      </c>
      <c r="X970" s="153" t="str">
        <f t="array" ref="X970">INDEX(xlRTTYNAME,MATCH(1,(xlRTTYENDU=1)*(xlRTTYEQCL=$D970)*(xlRTEQTYPE=$E970),0))</f>
        <v>GEO_HP4</v>
      </c>
      <c r="Y970" s="153" t="str">
        <f t="array" ref="Y970">INDEX(xlRTTYNAME,MATCH(1,(xlRTTYENDU=2)*(xlRTTYEQCL=$F970)*(xlRTEQTYPE=$G970),0))</f>
        <v>GEO_HP4</v>
      </c>
    </row>
    <row r="971" spans="1:25" s="157" customFormat="1" x14ac:dyDescent="0.2">
      <c r="A971"/>
      <c r="B971" s="49">
        <v>9</v>
      </c>
      <c r="C971" s="49">
        <v>1</v>
      </c>
      <c r="D971" s="49">
        <v>10</v>
      </c>
      <c r="E971" s="49">
        <v>35</v>
      </c>
      <c r="F971" s="49">
        <v>4</v>
      </c>
      <c r="G971" s="49">
        <v>16</v>
      </c>
      <c r="H971" s="166">
        <v>2023</v>
      </c>
      <c r="I971" s="166">
        <v>2032</v>
      </c>
      <c r="J971" s="50">
        <v>1.0611999999999999</v>
      </c>
      <c r="K971" s="50">
        <v>1.0428999999999999</v>
      </c>
      <c r="L971" s="50">
        <v>0.3911</v>
      </c>
      <c r="M971" s="50">
        <v>0.75870000000000004</v>
      </c>
      <c r="N971" s="50">
        <v>1.0349999999999999</v>
      </c>
      <c r="O971" s="50">
        <v>1.0538000000000001</v>
      </c>
      <c r="P971" s="49">
        <v>14738</v>
      </c>
      <c r="Q971" s="51">
        <f t="array" ref="Q971">SUM(IF(($S971&gt;=4)*($C971='TaxCred&amp;Subs'!$D$123:$D$127)*($H971='TaxCred&amp;Subs'!$C$123:$C$127)*($H971&lt;='TaxCred&amp;Subs'!$C$129),'TaxCred&amp;Subs'!$E$123:$E$127,0))</f>
        <v>2500</v>
      </c>
      <c r="R971" s="171">
        <v>0</v>
      </c>
      <c r="S971" s="49">
        <v>5</v>
      </c>
      <c r="T971" s="49" t="s">
        <v>225</v>
      </c>
      <c r="U971"/>
      <c r="V971" s="153" t="str">
        <f t="array" ref="V971">INDEX(xlRTCLNAME,MATCH(1,(xlRTCLENDU=1)*(xlRTCLEQCL=$D971),0))</f>
        <v>GEO_HP</v>
      </c>
      <c r="W971" s="153" t="str">
        <f t="array" ref="W971">INDEX(xlRTCLNAME,MATCH(1,(xlRTCLENDU=2)*(xlRTCLEQCL=$F971),0))</f>
        <v>GEO_HP</v>
      </c>
      <c r="X971" s="153" t="str">
        <f t="array" ref="X971">INDEX(xlRTTYNAME,MATCH(1,(xlRTTYENDU=1)*(xlRTTYEQCL=$D971)*(xlRTEQTYPE=$E971),0))</f>
        <v>GEO_HP4</v>
      </c>
      <c r="Y971" s="153" t="str">
        <f t="array" ref="Y971">INDEX(xlRTTYNAME,MATCH(1,(xlRTTYENDU=2)*(xlRTTYEQCL=$F971)*(xlRTEQTYPE=$G971),0))</f>
        <v>GEO_HP4</v>
      </c>
    </row>
    <row r="972" spans="1:25" s="157" customFormat="1" x14ac:dyDescent="0.2">
      <c r="A972"/>
      <c r="B972" s="126">
        <v>9</v>
      </c>
      <c r="C972" s="126">
        <v>1</v>
      </c>
      <c r="D972" s="126">
        <v>10</v>
      </c>
      <c r="E972" s="126">
        <v>35</v>
      </c>
      <c r="F972" s="126">
        <v>4</v>
      </c>
      <c r="G972" s="126">
        <v>16</v>
      </c>
      <c r="H972" s="143">
        <v>2033</v>
      </c>
      <c r="I972" s="148">
        <v>2050</v>
      </c>
      <c r="J972" s="127">
        <v>1.0611999999999999</v>
      </c>
      <c r="K972" s="127">
        <v>1.0428999999999999</v>
      </c>
      <c r="L972" s="127">
        <v>0.3911</v>
      </c>
      <c r="M972" s="127">
        <v>0.75870000000000004</v>
      </c>
      <c r="N972" s="127">
        <v>1.0349999999999999</v>
      </c>
      <c r="O972" s="127">
        <v>1.0538000000000001</v>
      </c>
      <c r="P972" s="126">
        <v>14738</v>
      </c>
      <c r="Q972" s="128">
        <f t="array" ref="Q972">SUM(IF(($S972&gt;=4)*($C972='TaxCred&amp;Subs'!$D$123:$D$127)*($H972='TaxCred&amp;Subs'!$C$123:$C$127)*($H972&lt;='TaxCred&amp;Subs'!$C$129),'TaxCred&amp;Subs'!$E$123:$E$127,0))</f>
        <v>0</v>
      </c>
      <c r="R972" s="174">
        <v>0</v>
      </c>
      <c r="S972" s="126">
        <v>5</v>
      </c>
      <c r="T972" s="126" t="s">
        <v>225</v>
      </c>
      <c r="U972"/>
      <c r="V972" s="153" t="str">
        <f t="array" ref="V972">INDEX(xlRTCLNAME,MATCH(1,(xlRTCLENDU=1)*(xlRTCLEQCL=$D972),0))</f>
        <v>GEO_HP</v>
      </c>
      <c r="W972" s="153" t="str">
        <f t="array" ref="W972">INDEX(xlRTCLNAME,MATCH(1,(xlRTCLENDU=2)*(xlRTCLEQCL=$F972),0))</f>
        <v>GEO_HP</v>
      </c>
      <c r="X972" s="153" t="str">
        <f t="array" ref="X972">INDEX(xlRTTYNAME,MATCH(1,(xlRTTYENDU=1)*(xlRTTYEQCL=$D972)*(xlRTEQTYPE=$E972),0))</f>
        <v>GEO_HP4</v>
      </c>
      <c r="Y972" s="153" t="str">
        <f t="array" ref="Y972">INDEX(xlRTTYNAME,MATCH(1,(xlRTTYENDU=2)*(xlRTTYEQCL=$F972)*(xlRTEQTYPE=$G972),0))</f>
        <v>GEO_HP4</v>
      </c>
    </row>
    <row r="973" spans="1:25" s="157" customFormat="1" x14ac:dyDescent="0.2">
      <c r="A973"/>
      <c r="B973" s="126">
        <v>1</v>
      </c>
      <c r="C973" s="126">
        <v>1</v>
      </c>
      <c r="D973" s="126">
        <v>11</v>
      </c>
      <c r="E973" s="126">
        <v>36</v>
      </c>
      <c r="F973" s="126">
        <v>5</v>
      </c>
      <c r="G973" s="126">
        <v>17</v>
      </c>
      <c r="H973" s="148">
        <v>2016</v>
      </c>
      <c r="I973" s="143">
        <v>2022</v>
      </c>
      <c r="J973" s="127">
        <v>1.0803</v>
      </c>
      <c r="K973" s="127">
        <v>1.0667</v>
      </c>
      <c r="L973" s="127">
        <v>0.44319999999999998</v>
      </c>
      <c r="M973" s="127">
        <v>0.96350000000000002</v>
      </c>
      <c r="N973" s="127">
        <v>0.79790000000000005</v>
      </c>
      <c r="O973" s="127">
        <v>1.0538000000000001</v>
      </c>
      <c r="P973" s="126">
        <v>14685</v>
      </c>
      <c r="Q973" s="128">
        <f t="array" ref="Q973">SUM(IF(($S973&gt;=4)*($C973='TaxCred&amp;Subs'!$D$123:$D$127)*($H973='TaxCred&amp;Subs'!$C$123:$C$127)*($H973&lt;='TaxCred&amp;Subs'!$C$129),'TaxCred&amp;Subs'!$E$123:$E$127,0))</f>
        <v>2000</v>
      </c>
      <c r="R973" s="174">
        <v>0</v>
      </c>
      <c r="S973" s="126">
        <v>5</v>
      </c>
      <c r="T973" s="126" t="s">
        <v>225</v>
      </c>
      <c r="U973"/>
      <c r="V973" s="153" t="str">
        <f t="array" ref="V973">INDEX(xlRTCLNAME,MATCH(1,(xlRTCLENDU=1)*(xlRTCLEQCL=$D973),0))</f>
        <v>NG_HP</v>
      </c>
      <c r="W973" s="153" t="str">
        <f t="array" ref="W973">INDEX(xlRTCLNAME,MATCH(1,(xlRTCLENDU=2)*(xlRTCLEQCL=$F973),0))</f>
        <v>NG_HP</v>
      </c>
      <c r="X973" s="153" t="str">
        <f t="array" ref="X973">INDEX(xlRTTYNAME,MATCH(1,(xlRTTYENDU=1)*(xlRTTYEQCL=$D973)*(xlRTEQTYPE=$E973),0))</f>
        <v>NG_HP2</v>
      </c>
      <c r="Y973" s="153" t="str">
        <f t="array" ref="Y973">INDEX(xlRTTYNAME,MATCH(1,(xlRTTYENDU=2)*(xlRTTYEQCL=$F973)*(xlRTEQTYPE=$G973),0))</f>
        <v>NG_HP2</v>
      </c>
    </row>
    <row r="974" spans="1:25" s="157" customFormat="1" x14ac:dyDescent="0.2">
      <c r="A974"/>
      <c r="B974" s="49">
        <v>1</v>
      </c>
      <c r="C974" s="49">
        <v>1</v>
      </c>
      <c r="D974" s="49">
        <v>11</v>
      </c>
      <c r="E974" s="49">
        <v>36</v>
      </c>
      <c r="F974" s="49">
        <v>5</v>
      </c>
      <c r="G974" s="49">
        <v>17</v>
      </c>
      <c r="H974" s="166">
        <v>2023</v>
      </c>
      <c r="I974" s="166">
        <v>2032</v>
      </c>
      <c r="J974" s="50">
        <v>1.0803</v>
      </c>
      <c r="K974" s="50">
        <v>1.0667</v>
      </c>
      <c r="L974" s="50">
        <v>0.44319999999999998</v>
      </c>
      <c r="M974" s="50">
        <v>0.96350000000000002</v>
      </c>
      <c r="N974" s="50">
        <v>0.79790000000000005</v>
      </c>
      <c r="O974" s="50">
        <v>1.0538000000000001</v>
      </c>
      <c r="P974" s="49">
        <v>14685</v>
      </c>
      <c r="Q974" s="51">
        <f t="array" ref="Q974">SUM(IF(($S974&gt;=4)*($C974='TaxCred&amp;Subs'!$D$123:$D$127)*($H974='TaxCred&amp;Subs'!$C$123:$C$127)*($H974&lt;='TaxCred&amp;Subs'!$C$129),'TaxCred&amp;Subs'!$E$123:$E$127,0))</f>
        <v>2500</v>
      </c>
      <c r="R974" s="171">
        <v>0</v>
      </c>
      <c r="S974" s="49">
        <v>5</v>
      </c>
      <c r="T974" s="49" t="s">
        <v>225</v>
      </c>
      <c r="U974"/>
      <c r="V974" s="153" t="str">
        <f t="array" ref="V974">INDEX(xlRTCLNAME,MATCH(1,(xlRTCLENDU=1)*(xlRTCLEQCL=$D974),0))</f>
        <v>NG_HP</v>
      </c>
      <c r="W974" s="153" t="str">
        <f t="array" ref="W974">INDEX(xlRTCLNAME,MATCH(1,(xlRTCLENDU=2)*(xlRTCLEQCL=$F974),0))</f>
        <v>NG_HP</v>
      </c>
      <c r="X974" s="153" t="str">
        <f t="array" ref="X974">INDEX(xlRTTYNAME,MATCH(1,(xlRTTYENDU=1)*(xlRTTYEQCL=$D974)*(xlRTEQTYPE=$E974),0))</f>
        <v>NG_HP2</v>
      </c>
      <c r="Y974" s="153" t="str">
        <f t="array" ref="Y974">INDEX(xlRTTYNAME,MATCH(1,(xlRTTYENDU=2)*(xlRTTYEQCL=$F974)*(xlRTEQTYPE=$G974),0))</f>
        <v>NG_HP2</v>
      </c>
    </row>
    <row r="975" spans="1:25" s="157" customFormat="1" x14ac:dyDescent="0.2">
      <c r="A975"/>
      <c r="B975" s="126">
        <v>1</v>
      </c>
      <c r="C975" s="126">
        <v>1</v>
      </c>
      <c r="D975" s="126">
        <v>11</v>
      </c>
      <c r="E975" s="126">
        <v>36</v>
      </c>
      <c r="F975" s="126">
        <v>5</v>
      </c>
      <c r="G975" s="126">
        <v>17</v>
      </c>
      <c r="H975" s="143">
        <v>2033</v>
      </c>
      <c r="I975" s="148">
        <v>2050</v>
      </c>
      <c r="J975" s="127">
        <v>1.0803</v>
      </c>
      <c r="K975" s="127">
        <v>1.0667</v>
      </c>
      <c r="L975" s="127">
        <v>0.44319999999999998</v>
      </c>
      <c r="M975" s="127">
        <v>0.96350000000000002</v>
      </c>
      <c r="N975" s="127">
        <v>0.79790000000000005</v>
      </c>
      <c r="O975" s="127">
        <v>1.0538000000000001</v>
      </c>
      <c r="P975" s="126">
        <v>14685</v>
      </c>
      <c r="Q975" s="128">
        <f t="array" ref="Q975">SUM(IF(($S975&gt;=4)*($C975='TaxCred&amp;Subs'!$D$123:$D$127)*($H975='TaxCred&amp;Subs'!$C$123:$C$127)*($H975&lt;='TaxCred&amp;Subs'!$C$129),'TaxCred&amp;Subs'!$E$123:$E$127,0))</f>
        <v>0</v>
      </c>
      <c r="R975" s="174">
        <v>0</v>
      </c>
      <c r="S975" s="126">
        <v>5</v>
      </c>
      <c r="T975" s="126" t="s">
        <v>225</v>
      </c>
      <c r="U975"/>
      <c r="V975" s="153" t="str">
        <f t="array" ref="V975">INDEX(xlRTCLNAME,MATCH(1,(xlRTCLENDU=1)*(xlRTCLEQCL=$D975),0))</f>
        <v>NG_HP</v>
      </c>
      <c r="W975" s="153" t="str">
        <f t="array" ref="W975">INDEX(xlRTCLNAME,MATCH(1,(xlRTCLENDU=2)*(xlRTCLEQCL=$F975),0))</f>
        <v>NG_HP</v>
      </c>
      <c r="X975" s="153" t="str">
        <f t="array" ref="X975">INDEX(xlRTTYNAME,MATCH(1,(xlRTTYENDU=1)*(xlRTTYEQCL=$D975)*(xlRTEQTYPE=$E975),0))</f>
        <v>NG_HP2</v>
      </c>
      <c r="Y975" s="153" t="str">
        <f t="array" ref="Y975">INDEX(xlRTTYNAME,MATCH(1,(xlRTTYENDU=2)*(xlRTTYEQCL=$F975)*(xlRTEQTYPE=$G975),0))</f>
        <v>NG_HP2</v>
      </c>
    </row>
    <row r="976" spans="1:25" s="157" customFormat="1" x14ac:dyDescent="0.2">
      <c r="A976"/>
      <c r="B976" s="126">
        <v>2</v>
      </c>
      <c r="C976" s="126">
        <v>1</v>
      </c>
      <c r="D976" s="126">
        <v>11</v>
      </c>
      <c r="E976" s="126">
        <v>36</v>
      </c>
      <c r="F976" s="126">
        <v>5</v>
      </c>
      <c r="G976" s="126">
        <v>17</v>
      </c>
      <c r="H976" s="148">
        <v>2016</v>
      </c>
      <c r="I976" s="143">
        <v>2022</v>
      </c>
      <c r="J976" s="127">
        <v>1.0649</v>
      </c>
      <c r="K976" s="127">
        <v>1.0597000000000001</v>
      </c>
      <c r="L976" s="127">
        <v>0.46200000000000002</v>
      </c>
      <c r="M976" s="127">
        <v>0.81589999999999996</v>
      </c>
      <c r="N976" s="127">
        <v>0.93169999999999997</v>
      </c>
      <c r="O976" s="127">
        <v>1.0538000000000001</v>
      </c>
      <c r="P976" s="126">
        <v>16678</v>
      </c>
      <c r="Q976" s="128">
        <f t="array" ref="Q976">SUM(IF(($S976&gt;=4)*($C976='TaxCred&amp;Subs'!$D$123:$D$127)*($H976='TaxCred&amp;Subs'!$C$123:$C$127)*($H976&lt;='TaxCred&amp;Subs'!$C$129),'TaxCred&amp;Subs'!$E$123:$E$127,0))</f>
        <v>2000</v>
      </c>
      <c r="R976" s="174">
        <v>0</v>
      </c>
      <c r="S976" s="126">
        <v>5</v>
      </c>
      <c r="T976" s="126" t="s">
        <v>225</v>
      </c>
      <c r="U976"/>
      <c r="V976" s="153" t="str">
        <f t="array" ref="V976">INDEX(xlRTCLNAME,MATCH(1,(xlRTCLENDU=1)*(xlRTCLEQCL=$D976),0))</f>
        <v>NG_HP</v>
      </c>
      <c r="W976" s="153" t="str">
        <f t="array" ref="W976">INDEX(xlRTCLNAME,MATCH(1,(xlRTCLENDU=2)*(xlRTCLEQCL=$F976),0))</f>
        <v>NG_HP</v>
      </c>
      <c r="X976" s="153" t="str">
        <f t="array" ref="X976">INDEX(xlRTTYNAME,MATCH(1,(xlRTTYENDU=1)*(xlRTTYEQCL=$D976)*(xlRTEQTYPE=$E976),0))</f>
        <v>NG_HP2</v>
      </c>
      <c r="Y976" s="153" t="str">
        <f t="array" ref="Y976">INDEX(xlRTTYNAME,MATCH(1,(xlRTTYENDU=2)*(xlRTTYEQCL=$F976)*(xlRTEQTYPE=$G976),0))</f>
        <v>NG_HP2</v>
      </c>
    </row>
    <row r="977" spans="1:25" s="157" customFormat="1" x14ac:dyDescent="0.2">
      <c r="A977"/>
      <c r="B977" s="49">
        <v>2</v>
      </c>
      <c r="C977" s="49">
        <v>1</v>
      </c>
      <c r="D977" s="49">
        <v>11</v>
      </c>
      <c r="E977" s="49">
        <v>36</v>
      </c>
      <c r="F977" s="49">
        <v>5</v>
      </c>
      <c r="G977" s="49">
        <v>17</v>
      </c>
      <c r="H977" s="166">
        <v>2023</v>
      </c>
      <c r="I977" s="166">
        <v>2032</v>
      </c>
      <c r="J977" s="50">
        <v>1.0649</v>
      </c>
      <c r="K977" s="50">
        <v>1.0597000000000001</v>
      </c>
      <c r="L977" s="50">
        <v>0.46200000000000002</v>
      </c>
      <c r="M977" s="50">
        <v>0.81589999999999996</v>
      </c>
      <c r="N977" s="50">
        <v>0.93169999999999997</v>
      </c>
      <c r="O977" s="50">
        <v>1.0538000000000001</v>
      </c>
      <c r="P977" s="49">
        <v>16678</v>
      </c>
      <c r="Q977" s="51">
        <f t="array" ref="Q977">SUM(IF(($S977&gt;=4)*($C977='TaxCred&amp;Subs'!$D$123:$D$127)*($H977='TaxCred&amp;Subs'!$C$123:$C$127)*($H977&lt;='TaxCred&amp;Subs'!$C$129),'TaxCred&amp;Subs'!$E$123:$E$127,0))</f>
        <v>2500</v>
      </c>
      <c r="R977" s="171">
        <v>0</v>
      </c>
      <c r="S977" s="49">
        <v>5</v>
      </c>
      <c r="T977" s="49" t="s">
        <v>225</v>
      </c>
      <c r="U977"/>
      <c r="V977" s="153" t="str">
        <f t="array" ref="V977">INDEX(xlRTCLNAME,MATCH(1,(xlRTCLENDU=1)*(xlRTCLEQCL=$D977),0))</f>
        <v>NG_HP</v>
      </c>
      <c r="W977" s="153" t="str">
        <f t="array" ref="W977">INDEX(xlRTCLNAME,MATCH(1,(xlRTCLENDU=2)*(xlRTCLEQCL=$F977),0))</f>
        <v>NG_HP</v>
      </c>
      <c r="X977" s="153" t="str">
        <f t="array" ref="X977">INDEX(xlRTTYNAME,MATCH(1,(xlRTTYENDU=1)*(xlRTTYEQCL=$D977)*(xlRTEQTYPE=$E977),0))</f>
        <v>NG_HP2</v>
      </c>
      <c r="Y977" s="153" t="str">
        <f t="array" ref="Y977">INDEX(xlRTTYNAME,MATCH(1,(xlRTTYENDU=2)*(xlRTTYEQCL=$F977)*(xlRTEQTYPE=$G977),0))</f>
        <v>NG_HP2</v>
      </c>
    </row>
    <row r="978" spans="1:25" s="157" customFormat="1" x14ac:dyDescent="0.2">
      <c r="A978"/>
      <c r="B978" s="126">
        <v>2</v>
      </c>
      <c r="C978" s="126">
        <v>1</v>
      </c>
      <c r="D978" s="126">
        <v>11</v>
      </c>
      <c r="E978" s="126">
        <v>36</v>
      </c>
      <c r="F978" s="126">
        <v>5</v>
      </c>
      <c r="G978" s="126">
        <v>17</v>
      </c>
      <c r="H978" s="143">
        <v>2033</v>
      </c>
      <c r="I978" s="148">
        <v>2050</v>
      </c>
      <c r="J978" s="127">
        <v>1.0649</v>
      </c>
      <c r="K978" s="127">
        <v>1.0597000000000001</v>
      </c>
      <c r="L978" s="127">
        <v>0.46200000000000002</v>
      </c>
      <c r="M978" s="127">
        <v>0.81589999999999996</v>
      </c>
      <c r="N978" s="127">
        <v>0.93169999999999997</v>
      </c>
      <c r="O978" s="127">
        <v>1.0538000000000001</v>
      </c>
      <c r="P978" s="126">
        <v>16678</v>
      </c>
      <c r="Q978" s="128">
        <f t="array" ref="Q978">SUM(IF(($S978&gt;=4)*($C978='TaxCred&amp;Subs'!$D$123:$D$127)*($H978='TaxCred&amp;Subs'!$C$123:$C$127)*($H978&lt;='TaxCred&amp;Subs'!$C$129),'TaxCred&amp;Subs'!$E$123:$E$127,0))</f>
        <v>0</v>
      </c>
      <c r="R978" s="174">
        <v>0</v>
      </c>
      <c r="S978" s="126">
        <v>5</v>
      </c>
      <c r="T978" s="126" t="s">
        <v>225</v>
      </c>
      <c r="U978"/>
      <c r="V978" s="153" t="str">
        <f t="array" ref="V978">INDEX(xlRTCLNAME,MATCH(1,(xlRTCLENDU=1)*(xlRTCLEQCL=$D978),0))</f>
        <v>NG_HP</v>
      </c>
      <c r="W978" s="153" t="str">
        <f t="array" ref="W978">INDEX(xlRTCLNAME,MATCH(1,(xlRTCLENDU=2)*(xlRTCLEQCL=$F978),0))</f>
        <v>NG_HP</v>
      </c>
      <c r="X978" s="153" t="str">
        <f t="array" ref="X978">INDEX(xlRTTYNAME,MATCH(1,(xlRTTYENDU=1)*(xlRTTYEQCL=$D978)*(xlRTEQTYPE=$E978),0))</f>
        <v>NG_HP2</v>
      </c>
      <c r="Y978" s="153" t="str">
        <f t="array" ref="Y978">INDEX(xlRTTYNAME,MATCH(1,(xlRTTYENDU=2)*(xlRTTYEQCL=$F978)*(xlRTEQTYPE=$G978),0))</f>
        <v>NG_HP2</v>
      </c>
    </row>
    <row r="979" spans="1:25" s="157" customFormat="1" x14ac:dyDescent="0.2">
      <c r="A979"/>
      <c r="B979" s="126">
        <v>5</v>
      </c>
      <c r="C979" s="126">
        <v>1</v>
      </c>
      <c r="D979" s="126">
        <v>11</v>
      </c>
      <c r="E979" s="126">
        <v>36</v>
      </c>
      <c r="F979" s="126">
        <v>5</v>
      </c>
      <c r="G979" s="126">
        <v>17</v>
      </c>
      <c r="H979" s="148">
        <v>2016</v>
      </c>
      <c r="I979" s="143">
        <v>2022</v>
      </c>
      <c r="J979" s="127">
        <v>1.0849</v>
      </c>
      <c r="K979" s="127">
        <v>1.0471999999999999</v>
      </c>
      <c r="L979" s="127">
        <v>0.33260000000000001</v>
      </c>
      <c r="M979" s="127">
        <v>0.73150000000000004</v>
      </c>
      <c r="N979" s="127">
        <v>0.76180000000000003</v>
      </c>
      <c r="O979" s="127">
        <v>1.0538000000000001</v>
      </c>
      <c r="P979" s="126">
        <v>11579</v>
      </c>
      <c r="Q979" s="128">
        <f t="array" ref="Q979">SUM(IF(($S979&gt;=4)*($C979='TaxCred&amp;Subs'!$D$123:$D$127)*($H979='TaxCred&amp;Subs'!$C$123:$C$127)*($H979&lt;='TaxCred&amp;Subs'!$C$129),'TaxCred&amp;Subs'!$E$123:$E$127,0))</f>
        <v>2000</v>
      </c>
      <c r="R979" s="174">
        <v>0</v>
      </c>
      <c r="S979" s="126">
        <v>5</v>
      </c>
      <c r="T979" s="126" t="s">
        <v>225</v>
      </c>
      <c r="U979"/>
      <c r="V979" s="153" t="str">
        <f t="array" ref="V979">INDEX(xlRTCLNAME,MATCH(1,(xlRTCLENDU=1)*(xlRTCLEQCL=$D979),0))</f>
        <v>NG_HP</v>
      </c>
      <c r="W979" s="153" t="str">
        <f t="array" ref="W979">INDEX(xlRTCLNAME,MATCH(1,(xlRTCLENDU=2)*(xlRTCLEQCL=$F979),0))</f>
        <v>NG_HP</v>
      </c>
      <c r="X979" s="153" t="str">
        <f t="array" ref="X979">INDEX(xlRTTYNAME,MATCH(1,(xlRTTYENDU=1)*(xlRTTYEQCL=$D979)*(xlRTEQTYPE=$E979),0))</f>
        <v>NG_HP2</v>
      </c>
      <c r="Y979" s="153" t="str">
        <f t="array" ref="Y979">INDEX(xlRTTYNAME,MATCH(1,(xlRTTYENDU=2)*(xlRTTYEQCL=$F979)*(xlRTEQTYPE=$G979),0))</f>
        <v>NG_HP2</v>
      </c>
    </row>
    <row r="980" spans="1:25" s="157" customFormat="1" x14ac:dyDescent="0.2">
      <c r="A980"/>
      <c r="B980" s="49">
        <v>5</v>
      </c>
      <c r="C980" s="49">
        <v>1</v>
      </c>
      <c r="D980" s="49">
        <v>11</v>
      </c>
      <c r="E980" s="49">
        <v>36</v>
      </c>
      <c r="F980" s="49">
        <v>5</v>
      </c>
      <c r="G980" s="49">
        <v>17</v>
      </c>
      <c r="H980" s="166">
        <v>2023</v>
      </c>
      <c r="I980" s="166">
        <v>2032</v>
      </c>
      <c r="J980" s="50">
        <v>1.0849</v>
      </c>
      <c r="K980" s="50">
        <v>1.0471999999999999</v>
      </c>
      <c r="L980" s="50">
        <v>0.33260000000000001</v>
      </c>
      <c r="M980" s="50">
        <v>0.73150000000000004</v>
      </c>
      <c r="N980" s="50">
        <v>0.76180000000000003</v>
      </c>
      <c r="O980" s="50">
        <v>1.0538000000000001</v>
      </c>
      <c r="P980" s="49">
        <v>11579</v>
      </c>
      <c r="Q980" s="51">
        <f t="array" ref="Q980">SUM(IF(($S980&gt;=4)*($C980='TaxCred&amp;Subs'!$D$123:$D$127)*($H980='TaxCred&amp;Subs'!$C$123:$C$127)*($H980&lt;='TaxCred&amp;Subs'!$C$129),'TaxCred&amp;Subs'!$E$123:$E$127,0))</f>
        <v>2500</v>
      </c>
      <c r="R980" s="171">
        <v>0</v>
      </c>
      <c r="S980" s="49">
        <v>5</v>
      </c>
      <c r="T980" s="49" t="s">
        <v>225</v>
      </c>
      <c r="U980"/>
      <c r="V980" s="153" t="str">
        <f t="array" ref="V980">INDEX(xlRTCLNAME,MATCH(1,(xlRTCLENDU=1)*(xlRTCLEQCL=$D980),0))</f>
        <v>NG_HP</v>
      </c>
      <c r="W980" s="153" t="str">
        <f t="array" ref="W980">INDEX(xlRTCLNAME,MATCH(1,(xlRTCLENDU=2)*(xlRTCLEQCL=$F980),0))</f>
        <v>NG_HP</v>
      </c>
      <c r="X980" s="153" t="str">
        <f t="array" ref="X980">INDEX(xlRTTYNAME,MATCH(1,(xlRTTYENDU=1)*(xlRTTYEQCL=$D980)*(xlRTEQTYPE=$E980),0))</f>
        <v>NG_HP2</v>
      </c>
      <c r="Y980" s="153" t="str">
        <f t="array" ref="Y980">INDEX(xlRTTYNAME,MATCH(1,(xlRTTYENDU=2)*(xlRTTYEQCL=$F980)*(xlRTEQTYPE=$G980),0))</f>
        <v>NG_HP2</v>
      </c>
    </row>
    <row r="981" spans="1:25" s="157" customFormat="1" x14ac:dyDescent="0.2">
      <c r="A981"/>
      <c r="B981" s="126">
        <v>5</v>
      </c>
      <c r="C981" s="126">
        <v>1</v>
      </c>
      <c r="D981" s="126">
        <v>11</v>
      </c>
      <c r="E981" s="126">
        <v>36</v>
      </c>
      <c r="F981" s="126">
        <v>5</v>
      </c>
      <c r="G981" s="126">
        <v>17</v>
      </c>
      <c r="H981" s="143">
        <v>2033</v>
      </c>
      <c r="I981" s="148">
        <v>2050</v>
      </c>
      <c r="J981" s="127">
        <v>1.0849</v>
      </c>
      <c r="K981" s="127">
        <v>1.0471999999999999</v>
      </c>
      <c r="L981" s="127">
        <v>0.33260000000000001</v>
      </c>
      <c r="M981" s="127">
        <v>0.73150000000000004</v>
      </c>
      <c r="N981" s="127">
        <v>0.76180000000000003</v>
      </c>
      <c r="O981" s="127">
        <v>1.0538000000000001</v>
      </c>
      <c r="P981" s="126">
        <v>11579</v>
      </c>
      <c r="Q981" s="128">
        <f t="array" ref="Q981">SUM(IF(($S981&gt;=4)*($C981='TaxCred&amp;Subs'!$D$123:$D$127)*($H981='TaxCred&amp;Subs'!$C$123:$C$127)*($H981&lt;='TaxCred&amp;Subs'!$C$129),'TaxCred&amp;Subs'!$E$123:$E$127,0))</f>
        <v>0</v>
      </c>
      <c r="R981" s="174">
        <v>0</v>
      </c>
      <c r="S981" s="126">
        <v>5</v>
      </c>
      <c r="T981" s="126" t="s">
        <v>225</v>
      </c>
      <c r="U981"/>
      <c r="V981" s="153" t="str">
        <f t="array" ref="V981">INDEX(xlRTCLNAME,MATCH(1,(xlRTCLENDU=1)*(xlRTCLEQCL=$D981),0))</f>
        <v>NG_HP</v>
      </c>
      <c r="W981" s="153" t="str">
        <f t="array" ref="W981">INDEX(xlRTCLNAME,MATCH(1,(xlRTCLENDU=2)*(xlRTCLEQCL=$F981),0))</f>
        <v>NG_HP</v>
      </c>
      <c r="X981" s="153" t="str">
        <f t="array" ref="X981">INDEX(xlRTTYNAME,MATCH(1,(xlRTTYENDU=1)*(xlRTTYEQCL=$D981)*(xlRTEQTYPE=$E981),0))</f>
        <v>NG_HP2</v>
      </c>
      <c r="Y981" s="153" t="str">
        <f t="array" ref="Y981">INDEX(xlRTTYNAME,MATCH(1,(xlRTTYENDU=2)*(xlRTTYEQCL=$F981)*(xlRTEQTYPE=$G981),0))</f>
        <v>NG_HP2</v>
      </c>
    </row>
    <row r="982" spans="1:25" s="157" customFormat="1" x14ac:dyDescent="0.2">
      <c r="A982"/>
      <c r="B982" s="126">
        <v>6</v>
      </c>
      <c r="C982" s="126">
        <v>1</v>
      </c>
      <c r="D982" s="126">
        <v>11</v>
      </c>
      <c r="E982" s="126">
        <v>36</v>
      </c>
      <c r="F982" s="126">
        <v>5</v>
      </c>
      <c r="G982" s="126">
        <v>17</v>
      </c>
      <c r="H982" s="148">
        <v>2016</v>
      </c>
      <c r="I982" s="143">
        <v>2022</v>
      </c>
      <c r="J982" s="127">
        <v>1.0924</v>
      </c>
      <c r="K982" s="127">
        <v>1.0661</v>
      </c>
      <c r="L982" s="127">
        <v>0.41849999999999998</v>
      </c>
      <c r="M982" s="127">
        <v>0.76590000000000003</v>
      </c>
      <c r="N982" s="127">
        <v>0.89100000000000001</v>
      </c>
      <c r="O982" s="127">
        <v>1.0538000000000001</v>
      </c>
      <c r="P982" s="126">
        <v>11441</v>
      </c>
      <c r="Q982" s="128">
        <f t="array" ref="Q982">SUM(IF(($S982&gt;=4)*($C982='TaxCred&amp;Subs'!$D$123:$D$127)*($H982='TaxCred&amp;Subs'!$C$123:$C$127)*($H982&lt;='TaxCred&amp;Subs'!$C$129),'TaxCred&amp;Subs'!$E$123:$E$127,0))</f>
        <v>2000</v>
      </c>
      <c r="R982" s="174">
        <v>0</v>
      </c>
      <c r="S982" s="126">
        <v>5</v>
      </c>
      <c r="T982" s="126" t="s">
        <v>225</v>
      </c>
      <c r="U982"/>
      <c r="V982" s="153" t="str">
        <f t="array" ref="V982">INDEX(xlRTCLNAME,MATCH(1,(xlRTCLENDU=1)*(xlRTCLEQCL=$D982),0))</f>
        <v>NG_HP</v>
      </c>
      <c r="W982" s="153" t="str">
        <f t="array" ref="W982">INDEX(xlRTCLNAME,MATCH(1,(xlRTCLENDU=2)*(xlRTCLEQCL=$F982),0))</f>
        <v>NG_HP</v>
      </c>
      <c r="X982" s="153" t="str">
        <f t="array" ref="X982">INDEX(xlRTTYNAME,MATCH(1,(xlRTTYENDU=1)*(xlRTTYEQCL=$D982)*(xlRTEQTYPE=$E982),0))</f>
        <v>NG_HP2</v>
      </c>
      <c r="Y982" s="153" t="str">
        <f t="array" ref="Y982">INDEX(xlRTTYNAME,MATCH(1,(xlRTTYENDU=2)*(xlRTTYEQCL=$F982)*(xlRTEQTYPE=$G982),0))</f>
        <v>NG_HP2</v>
      </c>
    </row>
    <row r="983" spans="1:25" s="157" customFormat="1" x14ac:dyDescent="0.2">
      <c r="A983"/>
      <c r="B983" s="49">
        <v>6</v>
      </c>
      <c r="C983" s="49">
        <v>1</v>
      </c>
      <c r="D983" s="49">
        <v>11</v>
      </c>
      <c r="E983" s="49">
        <v>36</v>
      </c>
      <c r="F983" s="49">
        <v>5</v>
      </c>
      <c r="G983" s="49">
        <v>17</v>
      </c>
      <c r="H983" s="166">
        <v>2023</v>
      </c>
      <c r="I983" s="166">
        <v>2032</v>
      </c>
      <c r="J983" s="50">
        <v>1.0924</v>
      </c>
      <c r="K983" s="50">
        <v>1.0661</v>
      </c>
      <c r="L983" s="50">
        <v>0.41849999999999998</v>
      </c>
      <c r="M983" s="50">
        <v>0.76590000000000003</v>
      </c>
      <c r="N983" s="50">
        <v>0.89100000000000001</v>
      </c>
      <c r="O983" s="50">
        <v>1.0538000000000001</v>
      </c>
      <c r="P983" s="49">
        <v>11441</v>
      </c>
      <c r="Q983" s="51">
        <f t="array" ref="Q983">SUM(IF(($S983&gt;=4)*($C983='TaxCred&amp;Subs'!$D$123:$D$127)*($H983='TaxCred&amp;Subs'!$C$123:$C$127)*($H983&lt;='TaxCred&amp;Subs'!$C$129),'TaxCred&amp;Subs'!$E$123:$E$127,0))</f>
        <v>2500</v>
      </c>
      <c r="R983" s="171">
        <v>0</v>
      </c>
      <c r="S983" s="49">
        <v>5</v>
      </c>
      <c r="T983" s="49" t="s">
        <v>225</v>
      </c>
      <c r="U983"/>
      <c r="V983" s="153" t="str">
        <f t="array" ref="V983">INDEX(xlRTCLNAME,MATCH(1,(xlRTCLENDU=1)*(xlRTCLEQCL=$D983),0))</f>
        <v>NG_HP</v>
      </c>
      <c r="W983" s="153" t="str">
        <f t="array" ref="W983">INDEX(xlRTCLNAME,MATCH(1,(xlRTCLENDU=2)*(xlRTCLEQCL=$F983),0))</f>
        <v>NG_HP</v>
      </c>
      <c r="X983" s="153" t="str">
        <f t="array" ref="X983">INDEX(xlRTTYNAME,MATCH(1,(xlRTTYENDU=1)*(xlRTTYEQCL=$D983)*(xlRTEQTYPE=$E983),0))</f>
        <v>NG_HP2</v>
      </c>
      <c r="Y983" s="153" t="str">
        <f t="array" ref="Y983">INDEX(xlRTTYNAME,MATCH(1,(xlRTTYENDU=2)*(xlRTTYEQCL=$F983)*(xlRTEQTYPE=$G983),0))</f>
        <v>NG_HP2</v>
      </c>
    </row>
    <row r="984" spans="1:25" s="157" customFormat="1" x14ac:dyDescent="0.2">
      <c r="A984"/>
      <c r="B984" s="126">
        <v>6</v>
      </c>
      <c r="C984" s="126">
        <v>1</v>
      </c>
      <c r="D984" s="126">
        <v>11</v>
      </c>
      <c r="E984" s="126">
        <v>36</v>
      </c>
      <c r="F984" s="126">
        <v>5</v>
      </c>
      <c r="G984" s="126">
        <v>17</v>
      </c>
      <c r="H984" s="143">
        <v>2033</v>
      </c>
      <c r="I984" s="148">
        <v>2050</v>
      </c>
      <c r="J984" s="127">
        <v>1.0924</v>
      </c>
      <c r="K984" s="127">
        <v>1.0661</v>
      </c>
      <c r="L984" s="127">
        <v>0.41849999999999998</v>
      </c>
      <c r="M984" s="127">
        <v>0.76590000000000003</v>
      </c>
      <c r="N984" s="127">
        <v>0.89100000000000001</v>
      </c>
      <c r="O984" s="127">
        <v>1.0538000000000001</v>
      </c>
      <c r="P984" s="126">
        <v>11441</v>
      </c>
      <c r="Q984" s="128">
        <f t="array" ref="Q984">SUM(IF(($S984&gt;=4)*($C984='TaxCred&amp;Subs'!$D$123:$D$127)*($H984='TaxCred&amp;Subs'!$C$123:$C$127)*($H984&lt;='TaxCred&amp;Subs'!$C$129),'TaxCred&amp;Subs'!$E$123:$E$127,0))</f>
        <v>0</v>
      </c>
      <c r="R984" s="174">
        <v>0</v>
      </c>
      <c r="S984" s="126">
        <v>5</v>
      </c>
      <c r="T984" s="126" t="s">
        <v>225</v>
      </c>
      <c r="U984"/>
      <c r="V984" s="153" t="str">
        <f t="array" ref="V984">INDEX(xlRTCLNAME,MATCH(1,(xlRTCLENDU=1)*(xlRTCLEQCL=$D984),0))</f>
        <v>NG_HP</v>
      </c>
      <c r="W984" s="153" t="str">
        <f t="array" ref="W984">INDEX(xlRTCLNAME,MATCH(1,(xlRTCLENDU=2)*(xlRTCLEQCL=$F984),0))</f>
        <v>NG_HP</v>
      </c>
      <c r="X984" s="153" t="str">
        <f t="array" ref="X984">INDEX(xlRTTYNAME,MATCH(1,(xlRTTYENDU=1)*(xlRTTYEQCL=$D984)*(xlRTEQTYPE=$E984),0))</f>
        <v>NG_HP2</v>
      </c>
      <c r="Y984" s="153" t="str">
        <f t="array" ref="Y984">INDEX(xlRTTYNAME,MATCH(1,(xlRTTYENDU=2)*(xlRTTYEQCL=$F984)*(xlRTEQTYPE=$G984),0))</f>
        <v>NG_HP2</v>
      </c>
    </row>
    <row r="985" spans="1:25" s="157" customFormat="1" x14ac:dyDescent="0.2">
      <c r="A985"/>
      <c r="B985" s="126">
        <v>7</v>
      </c>
      <c r="C985" s="126">
        <v>1</v>
      </c>
      <c r="D985" s="126">
        <v>11</v>
      </c>
      <c r="E985" s="126">
        <v>36</v>
      </c>
      <c r="F985" s="126">
        <v>5</v>
      </c>
      <c r="G985" s="126">
        <v>17</v>
      </c>
      <c r="H985" s="148">
        <v>2016</v>
      </c>
      <c r="I985" s="143">
        <v>2022</v>
      </c>
      <c r="J985" s="127">
        <v>1.0905</v>
      </c>
      <c r="K985" s="127">
        <v>1.0562</v>
      </c>
      <c r="L985" s="127">
        <v>0.37419999999999998</v>
      </c>
      <c r="M985" s="127">
        <v>0.65339999999999998</v>
      </c>
      <c r="N985" s="127">
        <v>0.87180000000000002</v>
      </c>
      <c r="O985" s="127">
        <v>1.0538000000000001</v>
      </c>
      <c r="P985" s="126">
        <v>11603</v>
      </c>
      <c r="Q985" s="128">
        <f t="array" ref="Q985">SUM(IF(($S985&gt;=4)*($C985='TaxCred&amp;Subs'!$D$123:$D$127)*($H985='TaxCred&amp;Subs'!$C$123:$C$127)*($H985&lt;='TaxCred&amp;Subs'!$C$129),'TaxCred&amp;Subs'!$E$123:$E$127,0))</f>
        <v>2000</v>
      </c>
      <c r="R985" s="174">
        <v>0</v>
      </c>
      <c r="S985" s="126">
        <v>5</v>
      </c>
      <c r="T985" s="126" t="s">
        <v>225</v>
      </c>
      <c r="U985"/>
      <c r="V985" s="153" t="str">
        <f t="array" ref="V985">INDEX(xlRTCLNAME,MATCH(1,(xlRTCLENDU=1)*(xlRTCLEQCL=$D985),0))</f>
        <v>NG_HP</v>
      </c>
      <c r="W985" s="153" t="str">
        <f t="array" ref="W985">INDEX(xlRTCLNAME,MATCH(1,(xlRTCLENDU=2)*(xlRTCLEQCL=$F985),0))</f>
        <v>NG_HP</v>
      </c>
      <c r="X985" s="153" t="str">
        <f t="array" ref="X985">INDEX(xlRTTYNAME,MATCH(1,(xlRTTYENDU=1)*(xlRTTYEQCL=$D985)*(xlRTEQTYPE=$E985),0))</f>
        <v>NG_HP2</v>
      </c>
      <c r="Y985" s="153" t="str">
        <f t="array" ref="Y985">INDEX(xlRTTYNAME,MATCH(1,(xlRTTYENDU=2)*(xlRTTYEQCL=$F985)*(xlRTEQTYPE=$G985),0))</f>
        <v>NG_HP2</v>
      </c>
    </row>
    <row r="986" spans="1:25" s="157" customFormat="1" x14ac:dyDescent="0.2">
      <c r="A986"/>
      <c r="B986" s="49">
        <v>7</v>
      </c>
      <c r="C986" s="49">
        <v>1</v>
      </c>
      <c r="D986" s="49">
        <v>11</v>
      </c>
      <c r="E986" s="49">
        <v>36</v>
      </c>
      <c r="F986" s="49">
        <v>5</v>
      </c>
      <c r="G986" s="49">
        <v>17</v>
      </c>
      <c r="H986" s="166">
        <v>2023</v>
      </c>
      <c r="I986" s="166">
        <v>2032</v>
      </c>
      <c r="J986" s="50">
        <v>1.0905</v>
      </c>
      <c r="K986" s="50">
        <v>1.0562</v>
      </c>
      <c r="L986" s="50">
        <v>0.37419999999999998</v>
      </c>
      <c r="M986" s="50">
        <v>0.65339999999999998</v>
      </c>
      <c r="N986" s="50">
        <v>0.87180000000000002</v>
      </c>
      <c r="O986" s="50">
        <v>1.0538000000000001</v>
      </c>
      <c r="P986" s="49">
        <v>11603</v>
      </c>
      <c r="Q986" s="51">
        <f t="array" ref="Q986">SUM(IF(($S986&gt;=4)*($C986='TaxCred&amp;Subs'!$D$123:$D$127)*($H986='TaxCred&amp;Subs'!$C$123:$C$127)*($H986&lt;='TaxCred&amp;Subs'!$C$129),'TaxCred&amp;Subs'!$E$123:$E$127,0))</f>
        <v>2500</v>
      </c>
      <c r="R986" s="171">
        <v>0</v>
      </c>
      <c r="S986" s="49">
        <v>5</v>
      </c>
      <c r="T986" s="49" t="s">
        <v>225</v>
      </c>
      <c r="U986"/>
      <c r="V986" s="153" t="str">
        <f t="array" ref="V986">INDEX(xlRTCLNAME,MATCH(1,(xlRTCLENDU=1)*(xlRTCLEQCL=$D986),0))</f>
        <v>NG_HP</v>
      </c>
      <c r="W986" s="153" t="str">
        <f t="array" ref="W986">INDEX(xlRTCLNAME,MATCH(1,(xlRTCLENDU=2)*(xlRTCLEQCL=$F986),0))</f>
        <v>NG_HP</v>
      </c>
      <c r="X986" s="153" t="str">
        <f t="array" ref="X986">INDEX(xlRTTYNAME,MATCH(1,(xlRTTYENDU=1)*(xlRTTYEQCL=$D986)*(xlRTEQTYPE=$E986),0))</f>
        <v>NG_HP2</v>
      </c>
      <c r="Y986" s="153" t="str">
        <f t="array" ref="Y986">INDEX(xlRTTYNAME,MATCH(1,(xlRTTYENDU=2)*(xlRTTYEQCL=$F986)*(xlRTEQTYPE=$G986),0))</f>
        <v>NG_HP2</v>
      </c>
    </row>
    <row r="987" spans="1:25" s="157" customFormat="1" x14ac:dyDescent="0.2">
      <c r="A987"/>
      <c r="B987" s="126">
        <v>7</v>
      </c>
      <c r="C987" s="126">
        <v>1</v>
      </c>
      <c r="D987" s="126">
        <v>11</v>
      </c>
      <c r="E987" s="126">
        <v>36</v>
      </c>
      <c r="F987" s="126">
        <v>5</v>
      </c>
      <c r="G987" s="126">
        <v>17</v>
      </c>
      <c r="H987" s="143">
        <v>2033</v>
      </c>
      <c r="I987" s="148">
        <v>2050</v>
      </c>
      <c r="J987" s="127">
        <v>1.0905</v>
      </c>
      <c r="K987" s="127">
        <v>1.0562</v>
      </c>
      <c r="L987" s="127">
        <v>0.37419999999999998</v>
      </c>
      <c r="M987" s="127">
        <v>0.65339999999999998</v>
      </c>
      <c r="N987" s="127">
        <v>0.87180000000000002</v>
      </c>
      <c r="O987" s="127">
        <v>1.0538000000000001</v>
      </c>
      <c r="P987" s="126">
        <v>11603</v>
      </c>
      <c r="Q987" s="128">
        <f t="array" ref="Q987">SUM(IF(($S987&gt;=4)*($C987='TaxCred&amp;Subs'!$D$123:$D$127)*($H987='TaxCred&amp;Subs'!$C$123:$C$127)*($H987&lt;='TaxCred&amp;Subs'!$C$129),'TaxCred&amp;Subs'!$E$123:$E$127,0))</f>
        <v>0</v>
      </c>
      <c r="R987" s="174">
        <v>0</v>
      </c>
      <c r="S987" s="126">
        <v>5</v>
      </c>
      <c r="T987" s="126" t="s">
        <v>225</v>
      </c>
      <c r="U987"/>
      <c r="V987" s="153" t="str">
        <f t="array" ref="V987">INDEX(xlRTCLNAME,MATCH(1,(xlRTCLENDU=1)*(xlRTCLEQCL=$D987),0))</f>
        <v>NG_HP</v>
      </c>
      <c r="W987" s="153" t="str">
        <f t="array" ref="W987">INDEX(xlRTCLNAME,MATCH(1,(xlRTCLENDU=2)*(xlRTCLEQCL=$F987),0))</f>
        <v>NG_HP</v>
      </c>
      <c r="X987" s="153" t="str">
        <f t="array" ref="X987">INDEX(xlRTTYNAME,MATCH(1,(xlRTTYENDU=1)*(xlRTTYEQCL=$D987)*(xlRTEQTYPE=$E987),0))</f>
        <v>NG_HP2</v>
      </c>
      <c r="Y987" s="153" t="str">
        <f t="array" ref="Y987">INDEX(xlRTTYNAME,MATCH(1,(xlRTTYENDU=2)*(xlRTTYEQCL=$F987)*(xlRTEQTYPE=$G987),0))</f>
        <v>NG_HP2</v>
      </c>
    </row>
    <row r="988" spans="1:25" s="157" customFormat="1" x14ac:dyDescent="0.2">
      <c r="A988"/>
      <c r="B988" s="126">
        <v>8</v>
      </c>
      <c r="C988" s="126">
        <v>1</v>
      </c>
      <c r="D988" s="126">
        <v>11</v>
      </c>
      <c r="E988" s="126">
        <v>36</v>
      </c>
      <c r="F988" s="126">
        <v>5</v>
      </c>
      <c r="G988" s="126">
        <v>17</v>
      </c>
      <c r="H988" s="148">
        <v>2016</v>
      </c>
      <c r="I988" s="143">
        <v>2022</v>
      </c>
      <c r="J988" s="127">
        <v>1.0801000000000001</v>
      </c>
      <c r="K988" s="127">
        <v>1.0822000000000001</v>
      </c>
      <c r="L988" s="127">
        <v>0.43120000000000003</v>
      </c>
      <c r="M988" s="127">
        <v>0.78110000000000002</v>
      </c>
      <c r="N988" s="127">
        <v>0.86950000000000005</v>
      </c>
      <c r="O988" s="127">
        <v>1.0538000000000001</v>
      </c>
      <c r="P988" s="126">
        <v>12094</v>
      </c>
      <c r="Q988" s="128">
        <f t="array" ref="Q988">SUM(IF(($S988&gt;=4)*($C988='TaxCred&amp;Subs'!$D$123:$D$127)*($H988='TaxCred&amp;Subs'!$C$123:$C$127)*($H988&lt;='TaxCred&amp;Subs'!$C$129),'TaxCred&amp;Subs'!$E$123:$E$127,0))</f>
        <v>2000</v>
      </c>
      <c r="R988" s="174">
        <v>0</v>
      </c>
      <c r="S988" s="126">
        <v>5</v>
      </c>
      <c r="T988" s="126" t="s">
        <v>225</v>
      </c>
      <c r="U988"/>
      <c r="V988" s="153" t="str">
        <f t="array" ref="V988">INDEX(xlRTCLNAME,MATCH(1,(xlRTCLENDU=1)*(xlRTCLEQCL=$D988),0))</f>
        <v>NG_HP</v>
      </c>
      <c r="W988" s="153" t="str">
        <f t="array" ref="W988">INDEX(xlRTCLNAME,MATCH(1,(xlRTCLENDU=2)*(xlRTCLEQCL=$F988),0))</f>
        <v>NG_HP</v>
      </c>
      <c r="X988" s="153" t="str">
        <f t="array" ref="X988">INDEX(xlRTTYNAME,MATCH(1,(xlRTTYENDU=1)*(xlRTTYEQCL=$D988)*(xlRTEQTYPE=$E988),0))</f>
        <v>NG_HP2</v>
      </c>
      <c r="Y988" s="153" t="str">
        <f t="array" ref="Y988">INDEX(xlRTTYNAME,MATCH(1,(xlRTTYENDU=2)*(xlRTTYEQCL=$F988)*(xlRTEQTYPE=$G988),0))</f>
        <v>NG_HP2</v>
      </c>
    </row>
    <row r="989" spans="1:25" s="157" customFormat="1" x14ac:dyDescent="0.2">
      <c r="A989"/>
      <c r="B989" s="49">
        <v>8</v>
      </c>
      <c r="C989" s="49">
        <v>1</v>
      </c>
      <c r="D989" s="49">
        <v>11</v>
      </c>
      <c r="E989" s="49">
        <v>36</v>
      </c>
      <c r="F989" s="49">
        <v>5</v>
      </c>
      <c r="G989" s="49">
        <v>17</v>
      </c>
      <c r="H989" s="166">
        <v>2023</v>
      </c>
      <c r="I989" s="166">
        <v>2032</v>
      </c>
      <c r="J989" s="50">
        <v>1.0801000000000001</v>
      </c>
      <c r="K989" s="50">
        <v>1.0822000000000001</v>
      </c>
      <c r="L989" s="50">
        <v>0.43120000000000003</v>
      </c>
      <c r="M989" s="50">
        <v>0.78110000000000002</v>
      </c>
      <c r="N989" s="50">
        <v>0.86950000000000005</v>
      </c>
      <c r="O989" s="50">
        <v>1.0538000000000001</v>
      </c>
      <c r="P989" s="49">
        <v>12094</v>
      </c>
      <c r="Q989" s="51">
        <f t="array" ref="Q989">SUM(IF(($S989&gt;=4)*($C989='TaxCred&amp;Subs'!$D$123:$D$127)*($H989='TaxCred&amp;Subs'!$C$123:$C$127)*($H989&lt;='TaxCred&amp;Subs'!$C$129),'TaxCred&amp;Subs'!$E$123:$E$127,0))</f>
        <v>2500</v>
      </c>
      <c r="R989" s="171">
        <v>0</v>
      </c>
      <c r="S989" s="49">
        <v>5</v>
      </c>
      <c r="T989" s="49" t="s">
        <v>225</v>
      </c>
      <c r="U989"/>
      <c r="V989" s="153" t="str">
        <f t="array" ref="V989">INDEX(xlRTCLNAME,MATCH(1,(xlRTCLENDU=1)*(xlRTCLEQCL=$D989),0))</f>
        <v>NG_HP</v>
      </c>
      <c r="W989" s="153" t="str">
        <f t="array" ref="W989">INDEX(xlRTCLNAME,MATCH(1,(xlRTCLENDU=2)*(xlRTCLEQCL=$F989),0))</f>
        <v>NG_HP</v>
      </c>
      <c r="X989" s="153" t="str">
        <f t="array" ref="X989">INDEX(xlRTTYNAME,MATCH(1,(xlRTTYENDU=1)*(xlRTTYEQCL=$D989)*(xlRTEQTYPE=$E989),0))</f>
        <v>NG_HP2</v>
      </c>
      <c r="Y989" s="153" t="str">
        <f t="array" ref="Y989">INDEX(xlRTTYNAME,MATCH(1,(xlRTTYENDU=2)*(xlRTTYEQCL=$F989)*(xlRTEQTYPE=$G989),0))</f>
        <v>NG_HP2</v>
      </c>
    </row>
    <row r="990" spans="1:25" s="157" customFormat="1" x14ac:dyDescent="0.2">
      <c r="A990"/>
      <c r="B990" s="126">
        <v>8</v>
      </c>
      <c r="C990" s="126">
        <v>1</v>
      </c>
      <c r="D990" s="126">
        <v>11</v>
      </c>
      <c r="E990" s="126">
        <v>36</v>
      </c>
      <c r="F990" s="126">
        <v>5</v>
      </c>
      <c r="G990" s="126">
        <v>17</v>
      </c>
      <c r="H990" s="143">
        <v>2033</v>
      </c>
      <c r="I990" s="148">
        <v>2050</v>
      </c>
      <c r="J990" s="127">
        <v>1.0801000000000001</v>
      </c>
      <c r="K990" s="127">
        <v>1.0822000000000001</v>
      </c>
      <c r="L990" s="127">
        <v>0.43120000000000003</v>
      </c>
      <c r="M990" s="127">
        <v>0.78110000000000002</v>
      </c>
      <c r="N990" s="127">
        <v>0.86950000000000005</v>
      </c>
      <c r="O990" s="127">
        <v>1.0538000000000001</v>
      </c>
      <c r="P990" s="126">
        <v>12094</v>
      </c>
      <c r="Q990" s="128">
        <f t="array" ref="Q990">SUM(IF(($S990&gt;=4)*($C990='TaxCred&amp;Subs'!$D$123:$D$127)*($H990='TaxCred&amp;Subs'!$C$123:$C$127)*($H990&lt;='TaxCred&amp;Subs'!$C$129),'TaxCred&amp;Subs'!$E$123:$E$127,0))</f>
        <v>0</v>
      </c>
      <c r="R990" s="174">
        <v>0</v>
      </c>
      <c r="S990" s="126">
        <v>5</v>
      </c>
      <c r="T990" s="126" t="s">
        <v>225</v>
      </c>
      <c r="U990"/>
      <c r="V990" s="153" t="str">
        <f t="array" ref="V990">INDEX(xlRTCLNAME,MATCH(1,(xlRTCLENDU=1)*(xlRTCLEQCL=$D990),0))</f>
        <v>NG_HP</v>
      </c>
      <c r="W990" s="153" t="str">
        <f t="array" ref="W990">INDEX(xlRTCLNAME,MATCH(1,(xlRTCLENDU=2)*(xlRTCLEQCL=$F990),0))</f>
        <v>NG_HP</v>
      </c>
      <c r="X990" s="153" t="str">
        <f t="array" ref="X990">INDEX(xlRTTYNAME,MATCH(1,(xlRTTYENDU=1)*(xlRTTYEQCL=$D990)*(xlRTEQTYPE=$E990),0))</f>
        <v>NG_HP2</v>
      </c>
      <c r="Y990" s="153" t="str">
        <f t="array" ref="Y990">INDEX(xlRTTYNAME,MATCH(1,(xlRTTYENDU=2)*(xlRTTYEQCL=$F990)*(xlRTEQTYPE=$G990),0))</f>
        <v>NG_HP2</v>
      </c>
    </row>
    <row r="991" spans="1:25" s="157" customFormat="1" x14ac:dyDescent="0.2">
      <c r="A991"/>
      <c r="B991" s="126">
        <v>9</v>
      </c>
      <c r="C991" s="126">
        <v>1</v>
      </c>
      <c r="D991" s="126">
        <v>11</v>
      </c>
      <c r="E991" s="126">
        <v>36</v>
      </c>
      <c r="F991" s="126">
        <v>5</v>
      </c>
      <c r="G991" s="126">
        <v>17</v>
      </c>
      <c r="H991" s="148">
        <v>2016</v>
      </c>
      <c r="I991" s="143">
        <v>2022</v>
      </c>
      <c r="J991" s="127">
        <v>1.0781000000000001</v>
      </c>
      <c r="K991" s="127">
        <v>1.0707</v>
      </c>
      <c r="L991" s="127">
        <v>0.39879999999999999</v>
      </c>
      <c r="M991" s="127">
        <v>0.76029999999999998</v>
      </c>
      <c r="N991" s="127">
        <v>1.0339</v>
      </c>
      <c r="O991" s="127">
        <v>1.0538000000000001</v>
      </c>
      <c r="P991" s="126">
        <v>14738</v>
      </c>
      <c r="Q991" s="128">
        <f t="array" ref="Q991">SUM(IF(($S991&gt;=4)*($C991='TaxCred&amp;Subs'!$D$123:$D$127)*($H991='TaxCred&amp;Subs'!$C$123:$C$127)*($H991&lt;='TaxCred&amp;Subs'!$C$129),'TaxCred&amp;Subs'!$E$123:$E$127,0))</f>
        <v>2000</v>
      </c>
      <c r="R991" s="174">
        <v>0</v>
      </c>
      <c r="S991" s="126">
        <v>5</v>
      </c>
      <c r="T991" s="126" t="s">
        <v>225</v>
      </c>
      <c r="U991"/>
      <c r="V991" s="153" t="str">
        <f t="array" ref="V991">INDEX(xlRTCLNAME,MATCH(1,(xlRTCLENDU=1)*(xlRTCLEQCL=$D991),0))</f>
        <v>NG_HP</v>
      </c>
      <c r="W991" s="153" t="str">
        <f t="array" ref="W991">INDEX(xlRTCLNAME,MATCH(1,(xlRTCLENDU=2)*(xlRTCLEQCL=$F991),0))</f>
        <v>NG_HP</v>
      </c>
      <c r="X991" s="153" t="str">
        <f t="array" ref="X991">INDEX(xlRTTYNAME,MATCH(1,(xlRTTYENDU=1)*(xlRTTYEQCL=$D991)*(xlRTEQTYPE=$E991),0))</f>
        <v>NG_HP2</v>
      </c>
      <c r="Y991" s="153" t="str">
        <f t="array" ref="Y991">INDEX(xlRTTYNAME,MATCH(1,(xlRTTYENDU=2)*(xlRTTYEQCL=$F991)*(xlRTEQTYPE=$G991),0))</f>
        <v>NG_HP2</v>
      </c>
    </row>
    <row r="992" spans="1:25" s="157" customFormat="1" x14ac:dyDescent="0.2">
      <c r="A992"/>
      <c r="B992" s="49">
        <v>9</v>
      </c>
      <c r="C992" s="49">
        <v>1</v>
      </c>
      <c r="D992" s="49">
        <v>11</v>
      </c>
      <c r="E992" s="49">
        <v>36</v>
      </c>
      <c r="F992" s="49">
        <v>5</v>
      </c>
      <c r="G992" s="49">
        <v>17</v>
      </c>
      <c r="H992" s="166">
        <v>2023</v>
      </c>
      <c r="I992" s="166">
        <v>2032</v>
      </c>
      <c r="J992" s="50">
        <v>1.0781000000000001</v>
      </c>
      <c r="K992" s="50">
        <v>1.0707</v>
      </c>
      <c r="L992" s="50">
        <v>0.39879999999999999</v>
      </c>
      <c r="M992" s="50">
        <v>0.76029999999999998</v>
      </c>
      <c r="N992" s="50">
        <v>1.0339</v>
      </c>
      <c r="O992" s="50">
        <v>1.0538000000000001</v>
      </c>
      <c r="P992" s="49">
        <v>14738</v>
      </c>
      <c r="Q992" s="51">
        <f t="array" ref="Q992">SUM(IF(($S992&gt;=4)*($C992='TaxCred&amp;Subs'!$D$123:$D$127)*($H992='TaxCred&amp;Subs'!$C$123:$C$127)*($H992&lt;='TaxCred&amp;Subs'!$C$129),'TaxCred&amp;Subs'!$E$123:$E$127,0))</f>
        <v>2500</v>
      </c>
      <c r="R992" s="171">
        <v>0</v>
      </c>
      <c r="S992" s="49">
        <v>5</v>
      </c>
      <c r="T992" s="49" t="s">
        <v>225</v>
      </c>
      <c r="U992"/>
      <c r="V992" s="153" t="str">
        <f t="array" ref="V992">INDEX(xlRTCLNAME,MATCH(1,(xlRTCLENDU=1)*(xlRTCLEQCL=$D992),0))</f>
        <v>NG_HP</v>
      </c>
      <c r="W992" s="153" t="str">
        <f t="array" ref="W992">INDEX(xlRTCLNAME,MATCH(1,(xlRTCLENDU=2)*(xlRTCLEQCL=$F992),0))</f>
        <v>NG_HP</v>
      </c>
      <c r="X992" s="153" t="str">
        <f t="array" ref="X992">INDEX(xlRTTYNAME,MATCH(1,(xlRTTYENDU=1)*(xlRTTYEQCL=$D992)*(xlRTEQTYPE=$E992),0))</f>
        <v>NG_HP2</v>
      </c>
      <c r="Y992" s="153" t="str">
        <f t="array" ref="Y992">INDEX(xlRTTYNAME,MATCH(1,(xlRTTYENDU=2)*(xlRTTYEQCL=$F992)*(xlRTEQTYPE=$G992),0))</f>
        <v>NG_HP2</v>
      </c>
    </row>
    <row r="993" spans="1:25" s="157" customFormat="1" x14ac:dyDescent="0.2">
      <c r="A993"/>
      <c r="B993" s="126">
        <v>9</v>
      </c>
      <c r="C993" s="126">
        <v>1</v>
      </c>
      <c r="D993" s="126">
        <v>11</v>
      </c>
      <c r="E993" s="126">
        <v>36</v>
      </c>
      <c r="F993" s="126">
        <v>5</v>
      </c>
      <c r="G993" s="126">
        <v>17</v>
      </c>
      <c r="H993" s="143">
        <v>2033</v>
      </c>
      <c r="I993" s="148">
        <v>2050</v>
      </c>
      <c r="J993" s="127">
        <v>1.0781000000000001</v>
      </c>
      <c r="K993" s="127">
        <v>1.0707</v>
      </c>
      <c r="L993" s="127">
        <v>0.39879999999999999</v>
      </c>
      <c r="M993" s="127">
        <v>0.76029999999999998</v>
      </c>
      <c r="N993" s="127">
        <v>1.0339</v>
      </c>
      <c r="O993" s="127">
        <v>1.0538000000000001</v>
      </c>
      <c r="P993" s="126">
        <v>14738</v>
      </c>
      <c r="Q993" s="128">
        <f t="array" ref="Q993">SUM(IF(($S993&gt;=4)*($C993='TaxCred&amp;Subs'!$D$123:$D$127)*($H993='TaxCred&amp;Subs'!$C$123:$C$127)*($H993&lt;='TaxCred&amp;Subs'!$C$129),'TaxCred&amp;Subs'!$E$123:$E$127,0))</f>
        <v>0</v>
      </c>
      <c r="R993" s="174">
        <v>0</v>
      </c>
      <c r="S993" s="126">
        <v>5</v>
      </c>
      <c r="T993" s="126" t="s">
        <v>225</v>
      </c>
      <c r="U993"/>
      <c r="V993" s="153" t="str">
        <f t="array" ref="V993">INDEX(xlRTCLNAME,MATCH(1,(xlRTCLENDU=1)*(xlRTCLEQCL=$D993),0))</f>
        <v>NG_HP</v>
      </c>
      <c r="W993" s="153" t="str">
        <f t="array" ref="W993">INDEX(xlRTCLNAME,MATCH(1,(xlRTCLENDU=2)*(xlRTCLEQCL=$F993),0))</f>
        <v>NG_HP</v>
      </c>
      <c r="X993" s="153" t="str">
        <f t="array" ref="X993">INDEX(xlRTTYNAME,MATCH(1,(xlRTTYENDU=1)*(xlRTTYEQCL=$D993)*(xlRTEQTYPE=$E993),0))</f>
        <v>NG_HP2</v>
      </c>
      <c r="Y993" s="153" t="str">
        <f t="array" ref="Y993">INDEX(xlRTTYNAME,MATCH(1,(xlRTTYENDU=2)*(xlRTTYEQCL=$F993)*(xlRTEQTYPE=$G993),0))</f>
        <v>NG_HP2</v>
      </c>
    </row>
    <row r="994" spans="1:25" ht="14.25" customHeight="1" x14ac:dyDescent="0.2">
      <c r="B994" s="126">
        <v>1</v>
      </c>
      <c r="C994" s="126">
        <v>2</v>
      </c>
      <c r="D994" s="126">
        <v>1</v>
      </c>
      <c r="E994" s="126">
        <v>1</v>
      </c>
      <c r="F994" s="126">
        <v>2</v>
      </c>
      <c r="G994" s="126">
        <v>5</v>
      </c>
      <c r="H994" s="126">
        <v>2016</v>
      </c>
      <c r="I994" s="126">
        <v>2022</v>
      </c>
      <c r="J994" s="127">
        <v>1.1039000000000001</v>
      </c>
      <c r="K994" s="127">
        <v>1.0417000000000001</v>
      </c>
      <c r="L994" s="127">
        <v>1.3352999999999999</v>
      </c>
      <c r="M994" s="127">
        <v>1.1909000000000001</v>
      </c>
      <c r="N994" s="127">
        <v>1.1114999999999999</v>
      </c>
      <c r="O994" s="127">
        <v>1.0538000000000001</v>
      </c>
      <c r="P994" s="126">
        <v>0</v>
      </c>
      <c r="Q994" s="128">
        <f t="array" ref="Q994">SUM(IF(($S994&gt;=4)*($C994='TaxCred&amp;Subs'!$D$123:$D$127)*($H994='TaxCred&amp;Subs'!$C$123:$C$127)*($H994&lt;='TaxCred&amp;Subs'!$C$129),'TaxCred&amp;Subs'!$E$123:$E$127,0))</f>
        <v>0</v>
      </c>
      <c r="R994" s="174">
        <v>0</v>
      </c>
      <c r="S994" s="126">
        <v>1</v>
      </c>
      <c r="T994" s="126" t="s">
        <v>223</v>
      </c>
      <c r="U994" s="158"/>
      <c r="V994" s="153" t="str">
        <f t="array" ref="V994">INDEX(xlRTCLNAME,MATCH(1,(xlRTCLENDU=1)*(xlRTCLEQCL=$D994),0))</f>
        <v>ELEC_RAD</v>
      </c>
      <c r="W994" s="153" t="str">
        <f t="array" ref="W994">INDEX(xlRTCLNAME,MATCH(1,(xlRTCLENDU=2)*(xlRTCLEQCL=$F994),0))</f>
        <v>CENT_AIR</v>
      </c>
      <c r="X994" s="153" t="str">
        <f t="array" ref="X994">INDEX(xlRTTYNAME,MATCH(1,(xlRTTYENDU=1)*(xlRTTYEQCL=$D994)*(xlRTEQTYPE=$E994),0))</f>
        <v>ELEC_RAD2</v>
      </c>
      <c r="Y994" s="153" t="str">
        <f t="array" ref="Y994">INDEX(xlRTTYNAME,MATCH(1,(xlRTTYENDU=2)*(xlRTTYEQCL=$F994)*(xlRTEQTYPE=$G994),0))</f>
        <v>CENT_AIR1</v>
      </c>
    </row>
    <row r="995" spans="1:25" ht="14.25" customHeight="1" x14ac:dyDescent="0.2">
      <c r="B995" s="126">
        <v>1</v>
      </c>
      <c r="C995" s="126">
        <v>2</v>
      </c>
      <c r="D995" s="126">
        <v>1</v>
      </c>
      <c r="E995" s="126">
        <v>1</v>
      </c>
      <c r="F995" s="126">
        <v>2</v>
      </c>
      <c r="G995" s="126">
        <v>6</v>
      </c>
      <c r="H995" s="126">
        <v>2023</v>
      </c>
      <c r="I995" s="126">
        <v>2050</v>
      </c>
      <c r="J995" s="127">
        <v>1.1039000000000001</v>
      </c>
      <c r="K995" s="127">
        <v>1.0417000000000001</v>
      </c>
      <c r="L995" s="127">
        <v>1.3352999999999999</v>
      </c>
      <c r="M995" s="127">
        <v>1.1909000000000001</v>
      </c>
      <c r="N995" s="127">
        <v>1.1114999999999999</v>
      </c>
      <c r="O995" s="127">
        <v>1.0538000000000001</v>
      </c>
      <c r="P995" s="126">
        <v>0</v>
      </c>
      <c r="Q995" s="128">
        <f t="array" ref="Q995">SUM(IF(($S995&gt;=4)*($C995='TaxCred&amp;Subs'!$D$123:$D$127)*($H995='TaxCred&amp;Subs'!$C$123:$C$127)*($H995&lt;='TaxCred&amp;Subs'!$C$129),'TaxCred&amp;Subs'!$E$123:$E$127,0))</f>
        <v>0</v>
      </c>
      <c r="R995" s="174">
        <v>0</v>
      </c>
      <c r="S995" s="126">
        <v>1</v>
      </c>
      <c r="T995" s="126" t="s">
        <v>223</v>
      </c>
      <c r="U995" s="158"/>
      <c r="V995" s="153" t="str">
        <f t="array" ref="V995">INDEX(xlRTCLNAME,MATCH(1,(xlRTCLENDU=1)*(xlRTCLEQCL=$D995),0))</f>
        <v>ELEC_RAD</v>
      </c>
      <c r="W995" s="153" t="str">
        <f t="array" ref="W995">INDEX(xlRTCLNAME,MATCH(1,(xlRTCLENDU=2)*(xlRTCLEQCL=$F995),0))</f>
        <v>CENT_AIR</v>
      </c>
      <c r="X995" s="153" t="str">
        <f t="array" ref="X995">INDEX(xlRTTYNAME,MATCH(1,(xlRTTYENDU=1)*(xlRTTYEQCL=$D995)*(xlRTEQTYPE=$E995),0))</f>
        <v>ELEC_RAD2</v>
      </c>
      <c r="Y995" s="153" t="str">
        <f t="array" ref="Y995">INDEX(xlRTTYNAME,MATCH(1,(xlRTTYENDU=2)*(xlRTTYEQCL=$F995)*(xlRTEQTYPE=$G995),0))</f>
        <v>CENT_AIR2</v>
      </c>
    </row>
    <row r="996" spans="1:25" ht="14.25" customHeight="1" x14ac:dyDescent="0.2">
      <c r="B996" s="126">
        <v>2</v>
      </c>
      <c r="C996" s="126">
        <v>2</v>
      </c>
      <c r="D996" s="126">
        <v>1</v>
      </c>
      <c r="E996" s="126">
        <v>1</v>
      </c>
      <c r="F996" s="126">
        <v>2</v>
      </c>
      <c r="G996" s="126">
        <v>5</v>
      </c>
      <c r="H996" s="126">
        <v>2016</v>
      </c>
      <c r="I996" s="126">
        <v>2022</v>
      </c>
      <c r="J996" s="127">
        <v>1.1000000000000001</v>
      </c>
      <c r="K996" s="127">
        <v>1.0357000000000001</v>
      </c>
      <c r="L996" s="127">
        <v>1.3451</v>
      </c>
      <c r="M996" s="127">
        <v>1.2250000000000001</v>
      </c>
      <c r="N996" s="127">
        <v>1.1163000000000001</v>
      </c>
      <c r="O996" s="127">
        <v>1.0538000000000001</v>
      </c>
      <c r="P996" s="126">
        <v>0</v>
      </c>
      <c r="Q996" s="128">
        <f t="array" ref="Q996">SUM(IF(($S996&gt;=4)*($C996='TaxCred&amp;Subs'!$D$123:$D$127)*($H996='TaxCred&amp;Subs'!$C$123:$C$127)*($H996&lt;='TaxCred&amp;Subs'!$C$129),'TaxCred&amp;Subs'!$E$123:$E$127,0))</f>
        <v>0</v>
      </c>
      <c r="R996" s="174">
        <v>0</v>
      </c>
      <c r="S996" s="126">
        <v>1</v>
      </c>
      <c r="T996" s="126" t="s">
        <v>223</v>
      </c>
      <c r="U996" s="158"/>
      <c r="V996" s="153" t="str">
        <f t="array" ref="V996">INDEX(xlRTCLNAME,MATCH(1,(xlRTCLENDU=1)*(xlRTCLEQCL=$D996),0))</f>
        <v>ELEC_RAD</v>
      </c>
      <c r="W996" s="153" t="str">
        <f t="array" ref="W996">INDEX(xlRTCLNAME,MATCH(1,(xlRTCLENDU=2)*(xlRTCLEQCL=$F996),0))</f>
        <v>CENT_AIR</v>
      </c>
      <c r="X996" s="153" t="str">
        <f t="array" ref="X996">INDEX(xlRTTYNAME,MATCH(1,(xlRTTYENDU=1)*(xlRTTYEQCL=$D996)*(xlRTEQTYPE=$E996),0))</f>
        <v>ELEC_RAD2</v>
      </c>
      <c r="Y996" s="153" t="str">
        <f t="array" ref="Y996">INDEX(xlRTTYNAME,MATCH(1,(xlRTTYENDU=2)*(xlRTTYEQCL=$F996)*(xlRTEQTYPE=$G996),0))</f>
        <v>CENT_AIR1</v>
      </c>
    </row>
    <row r="997" spans="1:25" ht="14.25" customHeight="1" x14ac:dyDescent="0.2">
      <c r="B997" s="126">
        <v>2</v>
      </c>
      <c r="C997" s="126">
        <v>2</v>
      </c>
      <c r="D997" s="126">
        <v>1</v>
      </c>
      <c r="E997" s="126">
        <v>1</v>
      </c>
      <c r="F997" s="126">
        <v>2</v>
      </c>
      <c r="G997" s="126">
        <v>6</v>
      </c>
      <c r="H997" s="126">
        <v>2023</v>
      </c>
      <c r="I997" s="126">
        <v>2050</v>
      </c>
      <c r="J997" s="127">
        <v>1.1000000000000001</v>
      </c>
      <c r="K997" s="127">
        <v>1.0357000000000001</v>
      </c>
      <c r="L997" s="127">
        <v>1.3451</v>
      </c>
      <c r="M997" s="127">
        <v>1.2250000000000001</v>
      </c>
      <c r="N997" s="127">
        <v>1.1163000000000001</v>
      </c>
      <c r="O997" s="127">
        <v>1.0538000000000001</v>
      </c>
      <c r="P997" s="126">
        <v>0</v>
      </c>
      <c r="Q997" s="128">
        <f t="array" ref="Q997">SUM(IF(($S997&gt;=4)*($C997='TaxCred&amp;Subs'!$D$123:$D$127)*($H997='TaxCred&amp;Subs'!$C$123:$C$127)*($H997&lt;='TaxCred&amp;Subs'!$C$129),'TaxCred&amp;Subs'!$E$123:$E$127,0))</f>
        <v>0</v>
      </c>
      <c r="R997" s="174">
        <v>0</v>
      </c>
      <c r="S997" s="126">
        <v>1</v>
      </c>
      <c r="T997" s="126" t="s">
        <v>223</v>
      </c>
      <c r="U997" s="158"/>
      <c r="V997" s="153" t="str">
        <f t="array" ref="V997">INDEX(xlRTCLNAME,MATCH(1,(xlRTCLENDU=1)*(xlRTCLEQCL=$D997),0))</f>
        <v>ELEC_RAD</v>
      </c>
      <c r="W997" s="153" t="str">
        <f t="array" ref="W997">INDEX(xlRTCLNAME,MATCH(1,(xlRTCLENDU=2)*(xlRTCLEQCL=$F997),0))</f>
        <v>CENT_AIR</v>
      </c>
      <c r="X997" s="153" t="str">
        <f t="array" ref="X997">INDEX(xlRTTYNAME,MATCH(1,(xlRTTYENDU=1)*(xlRTTYEQCL=$D997)*(xlRTEQTYPE=$E997),0))</f>
        <v>ELEC_RAD2</v>
      </c>
      <c r="Y997" s="153" t="str">
        <f t="array" ref="Y997">INDEX(xlRTTYNAME,MATCH(1,(xlRTTYENDU=2)*(xlRTTYEQCL=$F997)*(xlRTEQTYPE=$G997),0))</f>
        <v>CENT_AIR2</v>
      </c>
    </row>
    <row r="998" spans="1:25" ht="14.25" customHeight="1" x14ac:dyDescent="0.2">
      <c r="B998" s="126">
        <v>3</v>
      </c>
      <c r="C998" s="126">
        <v>2</v>
      </c>
      <c r="D998" s="126">
        <v>1</v>
      </c>
      <c r="E998" s="126">
        <v>1</v>
      </c>
      <c r="F998" s="126">
        <v>2</v>
      </c>
      <c r="G998" s="126">
        <v>5</v>
      </c>
      <c r="H998" s="126">
        <v>2016</v>
      </c>
      <c r="I998" s="126">
        <v>2022</v>
      </c>
      <c r="J998" s="127">
        <v>1.1020000000000001</v>
      </c>
      <c r="K998" s="127">
        <v>1.0345</v>
      </c>
      <c r="L998" s="127">
        <v>1.1896</v>
      </c>
      <c r="M998" s="127">
        <v>1.1345000000000001</v>
      </c>
      <c r="N998" s="127">
        <v>1.0386</v>
      </c>
      <c r="O998" s="127">
        <v>1.0538000000000001</v>
      </c>
      <c r="P998" s="126">
        <v>0</v>
      </c>
      <c r="Q998" s="128">
        <f t="array" ref="Q998">SUM(IF(($S998&gt;=4)*($C998='TaxCred&amp;Subs'!$D$123:$D$127)*($H998='TaxCred&amp;Subs'!$C$123:$C$127)*($H998&lt;='TaxCred&amp;Subs'!$C$129),'TaxCred&amp;Subs'!$E$123:$E$127,0))</f>
        <v>0</v>
      </c>
      <c r="R998" s="174">
        <v>0</v>
      </c>
      <c r="S998" s="126">
        <v>1</v>
      </c>
      <c r="T998" s="126" t="s">
        <v>223</v>
      </c>
      <c r="U998" s="158"/>
      <c r="V998" s="153" t="str">
        <f t="array" ref="V998">INDEX(xlRTCLNAME,MATCH(1,(xlRTCLENDU=1)*(xlRTCLEQCL=$D998),0))</f>
        <v>ELEC_RAD</v>
      </c>
      <c r="W998" s="153" t="str">
        <f t="array" ref="W998">INDEX(xlRTCLNAME,MATCH(1,(xlRTCLENDU=2)*(xlRTCLEQCL=$F998),0))</f>
        <v>CENT_AIR</v>
      </c>
      <c r="X998" s="153" t="str">
        <f t="array" ref="X998">INDEX(xlRTTYNAME,MATCH(1,(xlRTTYENDU=1)*(xlRTTYEQCL=$D998)*(xlRTEQTYPE=$E998),0))</f>
        <v>ELEC_RAD2</v>
      </c>
      <c r="Y998" s="153" t="str">
        <f t="array" ref="Y998">INDEX(xlRTTYNAME,MATCH(1,(xlRTTYENDU=2)*(xlRTTYEQCL=$F998)*(xlRTEQTYPE=$G998),0))</f>
        <v>CENT_AIR1</v>
      </c>
    </row>
    <row r="999" spans="1:25" ht="14.25" customHeight="1" x14ac:dyDescent="0.2">
      <c r="B999" s="126">
        <v>3</v>
      </c>
      <c r="C999" s="126">
        <v>2</v>
      </c>
      <c r="D999" s="126">
        <v>1</v>
      </c>
      <c r="E999" s="126">
        <v>1</v>
      </c>
      <c r="F999" s="126">
        <v>2</v>
      </c>
      <c r="G999" s="126">
        <v>6</v>
      </c>
      <c r="H999" s="126">
        <v>2023</v>
      </c>
      <c r="I999" s="126">
        <v>2050</v>
      </c>
      <c r="J999" s="127">
        <v>1.1020000000000001</v>
      </c>
      <c r="K999" s="127">
        <v>1.0345</v>
      </c>
      <c r="L999" s="127">
        <v>1.1896</v>
      </c>
      <c r="M999" s="127">
        <v>1.1345000000000001</v>
      </c>
      <c r="N999" s="127">
        <v>1.0386</v>
      </c>
      <c r="O999" s="127">
        <v>1.0538000000000001</v>
      </c>
      <c r="P999" s="126">
        <v>0</v>
      </c>
      <c r="Q999" s="128">
        <f t="array" ref="Q999">SUM(IF(($S999&gt;=4)*($C999='TaxCred&amp;Subs'!$D$123:$D$127)*($H999='TaxCred&amp;Subs'!$C$123:$C$127)*($H999&lt;='TaxCred&amp;Subs'!$C$129),'TaxCred&amp;Subs'!$E$123:$E$127,0))</f>
        <v>0</v>
      </c>
      <c r="R999" s="174">
        <v>0</v>
      </c>
      <c r="S999" s="126">
        <v>1</v>
      </c>
      <c r="T999" s="126" t="s">
        <v>223</v>
      </c>
      <c r="U999" s="158"/>
      <c r="V999" s="153" t="str">
        <f t="array" ref="V999">INDEX(xlRTCLNAME,MATCH(1,(xlRTCLENDU=1)*(xlRTCLEQCL=$D999),0))</f>
        <v>ELEC_RAD</v>
      </c>
      <c r="W999" s="153" t="str">
        <f t="array" ref="W999">INDEX(xlRTCLNAME,MATCH(1,(xlRTCLENDU=2)*(xlRTCLEQCL=$F999),0))</f>
        <v>CENT_AIR</v>
      </c>
      <c r="X999" s="153" t="str">
        <f t="array" ref="X999">INDEX(xlRTTYNAME,MATCH(1,(xlRTTYENDU=1)*(xlRTTYEQCL=$D999)*(xlRTEQTYPE=$E999),0))</f>
        <v>ELEC_RAD2</v>
      </c>
      <c r="Y999" s="153" t="str">
        <f t="array" ref="Y999">INDEX(xlRTTYNAME,MATCH(1,(xlRTTYENDU=2)*(xlRTTYEQCL=$F999)*(xlRTEQTYPE=$G999),0))</f>
        <v>CENT_AIR2</v>
      </c>
    </row>
    <row r="1000" spans="1:25" ht="14.25" customHeight="1" x14ac:dyDescent="0.2">
      <c r="B1000" s="126">
        <v>4</v>
      </c>
      <c r="C1000" s="126">
        <v>2</v>
      </c>
      <c r="D1000" s="126">
        <v>1</v>
      </c>
      <c r="E1000" s="126">
        <v>1</v>
      </c>
      <c r="F1000" s="126">
        <v>2</v>
      </c>
      <c r="G1000" s="126">
        <v>5</v>
      </c>
      <c r="H1000" s="126">
        <v>2016</v>
      </c>
      <c r="I1000" s="126">
        <v>2022</v>
      </c>
      <c r="J1000" s="127">
        <v>1.1000000000000001</v>
      </c>
      <c r="K1000" s="127">
        <v>1.0435000000000001</v>
      </c>
      <c r="L1000" s="127">
        <v>1.4438</v>
      </c>
      <c r="M1000" s="127">
        <v>1.2250000000000001</v>
      </c>
      <c r="N1000" s="127">
        <v>1.1657</v>
      </c>
      <c r="O1000" s="127">
        <v>1.0538000000000001</v>
      </c>
      <c r="P1000" s="126">
        <v>0</v>
      </c>
      <c r="Q1000" s="128">
        <f t="array" ref="Q1000">SUM(IF(($S1000&gt;=4)*($C1000='TaxCred&amp;Subs'!$D$123:$D$127)*($H1000='TaxCred&amp;Subs'!$C$123:$C$127)*($H1000&lt;='TaxCred&amp;Subs'!$C$129),'TaxCred&amp;Subs'!$E$123:$E$127,0))</f>
        <v>0</v>
      </c>
      <c r="R1000" s="174">
        <v>0</v>
      </c>
      <c r="S1000" s="126">
        <v>1</v>
      </c>
      <c r="T1000" s="126" t="s">
        <v>223</v>
      </c>
      <c r="U1000" s="158"/>
      <c r="V1000" s="153" t="str">
        <f t="array" ref="V1000">INDEX(xlRTCLNAME,MATCH(1,(xlRTCLENDU=1)*(xlRTCLEQCL=$D1000),0))</f>
        <v>ELEC_RAD</v>
      </c>
      <c r="W1000" s="153" t="str">
        <f t="array" ref="W1000">INDEX(xlRTCLNAME,MATCH(1,(xlRTCLENDU=2)*(xlRTCLEQCL=$F1000),0))</f>
        <v>CENT_AIR</v>
      </c>
      <c r="X1000" s="153" t="str">
        <f t="array" ref="X1000">INDEX(xlRTTYNAME,MATCH(1,(xlRTTYENDU=1)*(xlRTTYEQCL=$D1000)*(xlRTEQTYPE=$E1000),0))</f>
        <v>ELEC_RAD2</v>
      </c>
      <c r="Y1000" s="153" t="str">
        <f t="array" ref="Y1000">INDEX(xlRTTYNAME,MATCH(1,(xlRTTYENDU=2)*(xlRTTYEQCL=$F1000)*(xlRTEQTYPE=$G1000),0))</f>
        <v>CENT_AIR1</v>
      </c>
    </row>
    <row r="1001" spans="1:25" ht="14.25" customHeight="1" x14ac:dyDescent="0.2">
      <c r="B1001" s="126">
        <v>4</v>
      </c>
      <c r="C1001" s="126">
        <v>2</v>
      </c>
      <c r="D1001" s="126">
        <v>1</v>
      </c>
      <c r="E1001" s="126">
        <v>1</v>
      </c>
      <c r="F1001" s="126">
        <v>2</v>
      </c>
      <c r="G1001" s="126">
        <v>6</v>
      </c>
      <c r="H1001" s="126">
        <v>2023</v>
      </c>
      <c r="I1001" s="126">
        <v>2050</v>
      </c>
      <c r="J1001" s="127">
        <v>1.1000000000000001</v>
      </c>
      <c r="K1001" s="127">
        <v>1.0435000000000001</v>
      </c>
      <c r="L1001" s="127">
        <v>1.4438</v>
      </c>
      <c r="M1001" s="127">
        <v>1.2250000000000001</v>
      </c>
      <c r="N1001" s="127">
        <v>1.1657</v>
      </c>
      <c r="O1001" s="127">
        <v>1.0538000000000001</v>
      </c>
      <c r="P1001" s="126">
        <v>0</v>
      </c>
      <c r="Q1001" s="128">
        <f t="array" ref="Q1001">SUM(IF(($S1001&gt;=4)*($C1001='TaxCred&amp;Subs'!$D$123:$D$127)*($H1001='TaxCred&amp;Subs'!$C$123:$C$127)*($H1001&lt;='TaxCred&amp;Subs'!$C$129),'TaxCred&amp;Subs'!$E$123:$E$127,0))</f>
        <v>0</v>
      </c>
      <c r="R1001" s="174">
        <v>0</v>
      </c>
      <c r="S1001" s="126">
        <v>1</v>
      </c>
      <c r="T1001" s="126" t="s">
        <v>223</v>
      </c>
      <c r="U1001" s="158"/>
      <c r="V1001" s="153" t="str">
        <f t="array" ref="V1001">INDEX(xlRTCLNAME,MATCH(1,(xlRTCLENDU=1)*(xlRTCLEQCL=$D1001),0))</f>
        <v>ELEC_RAD</v>
      </c>
      <c r="W1001" s="153" t="str">
        <f t="array" ref="W1001">INDEX(xlRTCLNAME,MATCH(1,(xlRTCLENDU=2)*(xlRTCLEQCL=$F1001),0))</f>
        <v>CENT_AIR</v>
      </c>
      <c r="X1001" s="153" t="str">
        <f t="array" ref="X1001">INDEX(xlRTTYNAME,MATCH(1,(xlRTTYENDU=1)*(xlRTTYEQCL=$D1001)*(xlRTEQTYPE=$E1001),0))</f>
        <v>ELEC_RAD2</v>
      </c>
      <c r="Y1001" s="153" t="str">
        <f t="array" ref="Y1001">INDEX(xlRTTYNAME,MATCH(1,(xlRTTYENDU=2)*(xlRTTYEQCL=$F1001)*(xlRTEQTYPE=$G1001),0))</f>
        <v>CENT_AIR2</v>
      </c>
    </row>
    <row r="1002" spans="1:25" ht="14.25" customHeight="1" x14ac:dyDescent="0.2">
      <c r="B1002" s="126">
        <v>5</v>
      </c>
      <c r="C1002" s="126">
        <v>2</v>
      </c>
      <c r="D1002" s="126">
        <v>1</v>
      </c>
      <c r="E1002" s="126">
        <v>1</v>
      </c>
      <c r="F1002" s="126">
        <v>2</v>
      </c>
      <c r="G1002" s="126">
        <v>5</v>
      </c>
      <c r="H1002" s="126">
        <v>2016</v>
      </c>
      <c r="I1002" s="126">
        <v>2022</v>
      </c>
      <c r="J1002" s="127">
        <v>1.1200000000000001</v>
      </c>
      <c r="K1002" s="127">
        <v>1.0577000000000001</v>
      </c>
      <c r="L1002" s="127">
        <v>1.6361000000000001</v>
      </c>
      <c r="M1002" s="127">
        <v>1.1687000000000001</v>
      </c>
      <c r="N1002" s="127">
        <v>1.2619</v>
      </c>
      <c r="O1002" s="127">
        <v>1.0538000000000001</v>
      </c>
      <c r="P1002" s="126">
        <v>0</v>
      </c>
      <c r="Q1002" s="128">
        <f t="array" ref="Q1002">SUM(IF(($S1002&gt;=4)*($C1002='TaxCred&amp;Subs'!$D$123:$D$127)*($H1002='TaxCred&amp;Subs'!$C$123:$C$127)*($H1002&lt;='TaxCred&amp;Subs'!$C$129),'TaxCred&amp;Subs'!$E$123:$E$127,0))</f>
        <v>0</v>
      </c>
      <c r="R1002" s="174">
        <v>0</v>
      </c>
      <c r="S1002" s="126">
        <v>1</v>
      </c>
      <c r="T1002" s="126" t="s">
        <v>223</v>
      </c>
      <c r="U1002" s="158"/>
      <c r="V1002" s="153" t="str">
        <f t="array" ref="V1002">INDEX(xlRTCLNAME,MATCH(1,(xlRTCLENDU=1)*(xlRTCLEQCL=$D1002),0))</f>
        <v>ELEC_RAD</v>
      </c>
      <c r="W1002" s="153" t="str">
        <f t="array" ref="W1002">INDEX(xlRTCLNAME,MATCH(1,(xlRTCLENDU=2)*(xlRTCLEQCL=$F1002),0))</f>
        <v>CENT_AIR</v>
      </c>
      <c r="X1002" s="153" t="str">
        <f t="array" ref="X1002">INDEX(xlRTTYNAME,MATCH(1,(xlRTTYENDU=1)*(xlRTTYEQCL=$D1002)*(xlRTEQTYPE=$E1002),0))</f>
        <v>ELEC_RAD2</v>
      </c>
      <c r="Y1002" s="153" t="str">
        <f t="array" ref="Y1002">INDEX(xlRTTYNAME,MATCH(1,(xlRTTYENDU=2)*(xlRTTYEQCL=$F1002)*(xlRTEQTYPE=$G1002),0))</f>
        <v>CENT_AIR1</v>
      </c>
    </row>
    <row r="1003" spans="1:25" ht="14.25" customHeight="1" x14ac:dyDescent="0.2">
      <c r="B1003" s="126">
        <v>5</v>
      </c>
      <c r="C1003" s="126">
        <v>2</v>
      </c>
      <c r="D1003" s="126">
        <v>1</v>
      </c>
      <c r="E1003" s="126">
        <v>1</v>
      </c>
      <c r="F1003" s="126">
        <v>2</v>
      </c>
      <c r="G1003" s="126">
        <v>6</v>
      </c>
      <c r="H1003" s="126">
        <v>2023</v>
      </c>
      <c r="I1003" s="126">
        <v>2050</v>
      </c>
      <c r="J1003" s="127">
        <v>1.1200000000000001</v>
      </c>
      <c r="K1003" s="127">
        <v>1.0577000000000001</v>
      </c>
      <c r="L1003" s="127">
        <v>1.6361000000000001</v>
      </c>
      <c r="M1003" s="127">
        <v>1.1687000000000001</v>
      </c>
      <c r="N1003" s="127">
        <v>1.2619</v>
      </c>
      <c r="O1003" s="127">
        <v>1.0538000000000001</v>
      </c>
      <c r="P1003" s="126">
        <v>0</v>
      </c>
      <c r="Q1003" s="128">
        <f t="array" ref="Q1003">SUM(IF(($S1003&gt;=4)*($C1003='TaxCred&amp;Subs'!$D$123:$D$127)*($H1003='TaxCred&amp;Subs'!$C$123:$C$127)*($H1003&lt;='TaxCred&amp;Subs'!$C$129),'TaxCred&amp;Subs'!$E$123:$E$127,0))</f>
        <v>0</v>
      </c>
      <c r="R1003" s="174">
        <v>0</v>
      </c>
      <c r="S1003" s="126">
        <v>1</v>
      </c>
      <c r="T1003" s="126" t="s">
        <v>223</v>
      </c>
      <c r="U1003" s="158"/>
      <c r="V1003" s="153" t="str">
        <f t="array" ref="V1003">INDEX(xlRTCLNAME,MATCH(1,(xlRTCLENDU=1)*(xlRTCLEQCL=$D1003),0))</f>
        <v>ELEC_RAD</v>
      </c>
      <c r="W1003" s="153" t="str">
        <f t="array" ref="W1003">INDEX(xlRTCLNAME,MATCH(1,(xlRTCLENDU=2)*(xlRTCLEQCL=$F1003),0))</f>
        <v>CENT_AIR</v>
      </c>
      <c r="X1003" s="153" t="str">
        <f t="array" ref="X1003">INDEX(xlRTTYNAME,MATCH(1,(xlRTTYENDU=1)*(xlRTTYEQCL=$D1003)*(xlRTEQTYPE=$E1003),0))</f>
        <v>ELEC_RAD2</v>
      </c>
      <c r="Y1003" s="153" t="str">
        <f t="array" ref="Y1003">INDEX(xlRTTYNAME,MATCH(1,(xlRTTYENDU=2)*(xlRTTYEQCL=$F1003)*(xlRTEQTYPE=$G1003),0))</f>
        <v>CENT_AIR2</v>
      </c>
    </row>
    <row r="1004" spans="1:25" ht="14.25" customHeight="1" x14ac:dyDescent="0.2">
      <c r="B1004" s="126">
        <v>6</v>
      </c>
      <c r="C1004" s="126">
        <v>2</v>
      </c>
      <c r="D1004" s="126">
        <v>1</v>
      </c>
      <c r="E1004" s="126">
        <v>1</v>
      </c>
      <c r="F1004" s="126">
        <v>2</v>
      </c>
      <c r="G1004" s="126">
        <v>5</v>
      </c>
      <c r="H1004" s="126">
        <v>2016</v>
      </c>
      <c r="I1004" s="126">
        <v>2022</v>
      </c>
      <c r="J1004" s="127">
        <v>1.1000000000000001</v>
      </c>
      <c r="K1004" s="127">
        <v>1.0407999999999999</v>
      </c>
      <c r="L1004" s="127">
        <v>1.7771999999999999</v>
      </c>
      <c r="M1004" s="127">
        <v>1.2250000000000001</v>
      </c>
      <c r="N1004" s="127">
        <v>1.3324</v>
      </c>
      <c r="O1004" s="127">
        <v>1.0538000000000001</v>
      </c>
      <c r="P1004" s="126">
        <v>0</v>
      </c>
      <c r="Q1004" s="128">
        <f t="array" ref="Q1004">SUM(IF(($S1004&gt;=4)*($C1004='TaxCred&amp;Subs'!$D$123:$D$127)*($H1004='TaxCred&amp;Subs'!$C$123:$C$127)*($H1004&lt;='TaxCred&amp;Subs'!$C$129),'TaxCred&amp;Subs'!$E$123:$E$127,0))</f>
        <v>0</v>
      </c>
      <c r="R1004" s="174">
        <v>0</v>
      </c>
      <c r="S1004" s="126">
        <v>1</v>
      </c>
      <c r="T1004" s="126" t="s">
        <v>223</v>
      </c>
      <c r="U1004" s="158"/>
      <c r="V1004" s="153" t="str">
        <f t="array" ref="V1004">INDEX(xlRTCLNAME,MATCH(1,(xlRTCLENDU=1)*(xlRTCLEQCL=$D1004),0))</f>
        <v>ELEC_RAD</v>
      </c>
      <c r="W1004" s="153" t="str">
        <f t="array" ref="W1004">INDEX(xlRTCLNAME,MATCH(1,(xlRTCLENDU=2)*(xlRTCLEQCL=$F1004),0))</f>
        <v>CENT_AIR</v>
      </c>
      <c r="X1004" s="153" t="str">
        <f t="array" ref="X1004">INDEX(xlRTTYNAME,MATCH(1,(xlRTTYENDU=1)*(xlRTTYEQCL=$D1004)*(xlRTEQTYPE=$E1004),0))</f>
        <v>ELEC_RAD2</v>
      </c>
      <c r="Y1004" s="153" t="str">
        <f t="array" ref="Y1004">INDEX(xlRTTYNAME,MATCH(1,(xlRTTYENDU=2)*(xlRTTYEQCL=$F1004)*(xlRTEQTYPE=$G1004),0))</f>
        <v>CENT_AIR1</v>
      </c>
    </row>
    <row r="1005" spans="1:25" ht="14.25" customHeight="1" x14ac:dyDescent="0.2">
      <c r="B1005" s="126">
        <v>6</v>
      </c>
      <c r="C1005" s="126">
        <v>2</v>
      </c>
      <c r="D1005" s="126">
        <v>1</v>
      </c>
      <c r="E1005" s="126">
        <v>1</v>
      </c>
      <c r="F1005" s="126">
        <v>2</v>
      </c>
      <c r="G1005" s="126">
        <v>6</v>
      </c>
      <c r="H1005" s="126">
        <v>2023</v>
      </c>
      <c r="I1005" s="126">
        <v>2050</v>
      </c>
      <c r="J1005" s="127">
        <v>1.1000000000000001</v>
      </c>
      <c r="K1005" s="127">
        <v>1.0407999999999999</v>
      </c>
      <c r="L1005" s="127">
        <v>1.7771999999999999</v>
      </c>
      <c r="M1005" s="127">
        <v>1.2250000000000001</v>
      </c>
      <c r="N1005" s="127">
        <v>1.3324</v>
      </c>
      <c r="O1005" s="127">
        <v>1.0538000000000001</v>
      </c>
      <c r="P1005" s="126">
        <v>0</v>
      </c>
      <c r="Q1005" s="128">
        <f t="array" ref="Q1005">SUM(IF(($S1005&gt;=4)*($C1005='TaxCred&amp;Subs'!$D$123:$D$127)*($H1005='TaxCred&amp;Subs'!$C$123:$C$127)*($H1005&lt;='TaxCred&amp;Subs'!$C$129),'TaxCred&amp;Subs'!$E$123:$E$127,0))</f>
        <v>0</v>
      </c>
      <c r="R1005" s="174">
        <v>0</v>
      </c>
      <c r="S1005" s="126">
        <v>1</v>
      </c>
      <c r="T1005" s="126" t="s">
        <v>223</v>
      </c>
      <c r="U1005" s="158"/>
      <c r="V1005" s="153" t="str">
        <f t="array" ref="V1005">INDEX(xlRTCLNAME,MATCH(1,(xlRTCLENDU=1)*(xlRTCLEQCL=$D1005),0))</f>
        <v>ELEC_RAD</v>
      </c>
      <c r="W1005" s="153" t="str">
        <f t="array" ref="W1005">INDEX(xlRTCLNAME,MATCH(1,(xlRTCLENDU=2)*(xlRTCLEQCL=$F1005),0))</f>
        <v>CENT_AIR</v>
      </c>
      <c r="X1005" s="153" t="str">
        <f t="array" ref="X1005">INDEX(xlRTTYNAME,MATCH(1,(xlRTTYENDU=1)*(xlRTTYEQCL=$D1005)*(xlRTEQTYPE=$E1005),0))</f>
        <v>ELEC_RAD2</v>
      </c>
      <c r="Y1005" s="153" t="str">
        <f t="array" ref="Y1005">INDEX(xlRTTYNAME,MATCH(1,(xlRTTYENDU=2)*(xlRTTYEQCL=$F1005)*(xlRTEQTYPE=$G1005),0))</f>
        <v>CENT_AIR2</v>
      </c>
    </row>
    <row r="1006" spans="1:25" ht="14.25" customHeight="1" x14ac:dyDescent="0.2">
      <c r="B1006" s="126">
        <v>7</v>
      </c>
      <c r="C1006" s="126">
        <v>2</v>
      </c>
      <c r="D1006" s="126">
        <v>1</v>
      </c>
      <c r="E1006" s="126">
        <v>1</v>
      </c>
      <c r="F1006" s="126">
        <v>2</v>
      </c>
      <c r="G1006" s="126">
        <v>5</v>
      </c>
      <c r="H1006" s="126">
        <v>2016</v>
      </c>
      <c r="I1006" s="126">
        <v>2022</v>
      </c>
      <c r="J1006" s="127">
        <v>1.1200000000000001</v>
      </c>
      <c r="K1006" s="127">
        <v>1.0455000000000001</v>
      </c>
      <c r="L1006" s="127">
        <v>2</v>
      </c>
      <c r="M1006" s="127">
        <v>1.2121</v>
      </c>
      <c r="N1006" s="127">
        <v>1.4438</v>
      </c>
      <c r="O1006" s="127">
        <v>1.0538000000000001</v>
      </c>
      <c r="P1006" s="126">
        <v>0</v>
      </c>
      <c r="Q1006" s="128">
        <f t="array" ref="Q1006">SUM(IF(($S1006&gt;=4)*($C1006='TaxCred&amp;Subs'!$D$123:$D$127)*($H1006='TaxCred&amp;Subs'!$C$123:$C$127)*($H1006&lt;='TaxCred&amp;Subs'!$C$129),'TaxCred&amp;Subs'!$E$123:$E$127,0))</f>
        <v>0</v>
      </c>
      <c r="R1006" s="174">
        <v>0</v>
      </c>
      <c r="S1006" s="126">
        <v>1</v>
      </c>
      <c r="T1006" s="126" t="s">
        <v>223</v>
      </c>
      <c r="U1006" s="158"/>
      <c r="V1006" s="153" t="str">
        <f t="array" ref="V1006">INDEX(xlRTCLNAME,MATCH(1,(xlRTCLENDU=1)*(xlRTCLEQCL=$D1006),0))</f>
        <v>ELEC_RAD</v>
      </c>
      <c r="W1006" s="153" t="str">
        <f t="array" ref="W1006">INDEX(xlRTCLNAME,MATCH(1,(xlRTCLENDU=2)*(xlRTCLEQCL=$F1006),0))</f>
        <v>CENT_AIR</v>
      </c>
      <c r="X1006" s="153" t="str">
        <f t="array" ref="X1006">INDEX(xlRTTYNAME,MATCH(1,(xlRTTYENDU=1)*(xlRTTYEQCL=$D1006)*(xlRTEQTYPE=$E1006),0))</f>
        <v>ELEC_RAD2</v>
      </c>
      <c r="Y1006" s="153" t="str">
        <f t="array" ref="Y1006">INDEX(xlRTTYNAME,MATCH(1,(xlRTTYENDU=2)*(xlRTTYEQCL=$F1006)*(xlRTEQTYPE=$G1006),0))</f>
        <v>CENT_AIR1</v>
      </c>
    </row>
    <row r="1007" spans="1:25" ht="14.25" customHeight="1" x14ac:dyDescent="0.2">
      <c r="B1007" s="126">
        <v>7</v>
      </c>
      <c r="C1007" s="126">
        <v>2</v>
      </c>
      <c r="D1007" s="126">
        <v>1</v>
      </c>
      <c r="E1007" s="126">
        <v>1</v>
      </c>
      <c r="F1007" s="126">
        <v>2</v>
      </c>
      <c r="G1007" s="126">
        <v>6</v>
      </c>
      <c r="H1007" s="126">
        <v>2023</v>
      </c>
      <c r="I1007" s="126">
        <v>2050</v>
      </c>
      <c r="J1007" s="127">
        <v>1.1200000000000001</v>
      </c>
      <c r="K1007" s="127">
        <v>1.0455000000000001</v>
      </c>
      <c r="L1007" s="127">
        <v>2</v>
      </c>
      <c r="M1007" s="127">
        <v>1.2121</v>
      </c>
      <c r="N1007" s="127">
        <v>1.4438</v>
      </c>
      <c r="O1007" s="127">
        <v>1.0538000000000001</v>
      </c>
      <c r="P1007" s="126">
        <v>0</v>
      </c>
      <c r="Q1007" s="128">
        <f t="array" ref="Q1007">SUM(IF(($S1007&gt;=4)*($C1007='TaxCred&amp;Subs'!$D$123:$D$127)*($H1007='TaxCred&amp;Subs'!$C$123:$C$127)*($H1007&lt;='TaxCred&amp;Subs'!$C$129),'TaxCred&amp;Subs'!$E$123:$E$127,0))</f>
        <v>0</v>
      </c>
      <c r="R1007" s="174">
        <v>0</v>
      </c>
      <c r="S1007" s="126">
        <v>1</v>
      </c>
      <c r="T1007" s="126" t="s">
        <v>223</v>
      </c>
      <c r="U1007" s="158"/>
      <c r="V1007" s="153" t="str">
        <f t="array" ref="V1007">INDEX(xlRTCLNAME,MATCH(1,(xlRTCLENDU=1)*(xlRTCLEQCL=$D1007),0))</f>
        <v>ELEC_RAD</v>
      </c>
      <c r="W1007" s="153" t="str">
        <f t="array" ref="W1007">INDEX(xlRTCLNAME,MATCH(1,(xlRTCLENDU=2)*(xlRTCLEQCL=$F1007),0))</f>
        <v>CENT_AIR</v>
      </c>
      <c r="X1007" s="153" t="str">
        <f t="array" ref="X1007">INDEX(xlRTTYNAME,MATCH(1,(xlRTTYENDU=1)*(xlRTTYEQCL=$D1007)*(xlRTEQTYPE=$E1007),0))</f>
        <v>ELEC_RAD2</v>
      </c>
      <c r="Y1007" s="153" t="str">
        <f t="array" ref="Y1007">INDEX(xlRTTYNAME,MATCH(1,(xlRTTYENDU=2)*(xlRTTYEQCL=$F1007)*(xlRTEQTYPE=$G1007),0))</f>
        <v>CENT_AIR2</v>
      </c>
    </row>
    <row r="1008" spans="1:25" ht="14.25" customHeight="1" x14ac:dyDescent="0.2">
      <c r="B1008" s="126">
        <v>8</v>
      </c>
      <c r="C1008" s="126">
        <v>2</v>
      </c>
      <c r="D1008" s="126">
        <v>1</v>
      </c>
      <c r="E1008" s="126">
        <v>1</v>
      </c>
      <c r="F1008" s="126">
        <v>2</v>
      </c>
      <c r="G1008" s="126">
        <v>5</v>
      </c>
      <c r="H1008" s="126">
        <v>2016</v>
      </c>
      <c r="I1008" s="126">
        <v>2022</v>
      </c>
      <c r="J1008" s="127">
        <v>1.1026</v>
      </c>
      <c r="K1008" s="127">
        <v>1.0645</v>
      </c>
      <c r="L1008" s="127">
        <v>1.6693</v>
      </c>
      <c r="M1008" s="127">
        <v>1.3391999999999999</v>
      </c>
      <c r="N1008" s="127">
        <v>1.2785</v>
      </c>
      <c r="O1008" s="127">
        <v>1.0538000000000001</v>
      </c>
      <c r="P1008" s="126">
        <v>0</v>
      </c>
      <c r="Q1008" s="128">
        <f t="array" ref="Q1008">SUM(IF(($S1008&gt;=4)*($C1008='TaxCred&amp;Subs'!$D$123:$D$127)*($H1008='TaxCred&amp;Subs'!$C$123:$C$127)*($H1008&lt;='TaxCred&amp;Subs'!$C$129),'TaxCred&amp;Subs'!$E$123:$E$127,0))</f>
        <v>0</v>
      </c>
      <c r="R1008" s="174">
        <v>0</v>
      </c>
      <c r="S1008" s="126">
        <v>1</v>
      </c>
      <c r="T1008" s="126" t="s">
        <v>223</v>
      </c>
      <c r="U1008" s="158"/>
      <c r="V1008" s="153" t="str">
        <f t="array" ref="V1008">INDEX(xlRTCLNAME,MATCH(1,(xlRTCLENDU=1)*(xlRTCLEQCL=$D1008),0))</f>
        <v>ELEC_RAD</v>
      </c>
      <c r="W1008" s="153" t="str">
        <f t="array" ref="W1008">INDEX(xlRTCLNAME,MATCH(1,(xlRTCLENDU=2)*(xlRTCLEQCL=$F1008),0))</f>
        <v>CENT_AIR</v>
      </c>
      <c r="X1008" s="153" t="str">
        <f t="array" ref="X1008">INDEX(xlRTTYNAME,MATCH(1,(xlRTTYENDU=1)*(xlRTTYEQCL=$D1008)*(xlRTEQTYPE=$E1008),0))</f>
        <v>ELEC_RAD2</v>
      </c>
      <c r="Y1008" s="153" t="str">
        <f t="array" ref="Y1008">INDEX(xlRTTYNAME,MATCH(1,(xlRTTYENDU=2)*(xlRTTYEQCL=$F1008)*(xlRTEQTYPE=$G1008),0))</f>
        <v>CENT_AIR1</v>
      </c>
    </row>
    <row r="1009" spans="2:25" ht="14.25" customHeight="1" x14ac:dyDescent="0.2">
      <c r="B1009" s="126">
        <v>8</v>
      </c>
      <c r="C1009" s="126">
        <v>2</v>
      </c>
      <c r="D1009" s="126">
        <v>1</v>
      </c>
      <c r="E1009" s="126">
        <v>1</v>
      </c>
      <c r="F1009" s="126">
        <v>2</v>
      </c>
      <c r="G1009" s="126">
        <v>6</v>
      </c>
      <c r="H1009" s="126">
        <v>2023</v>
      </c>
      <c r="I1009" s="126">
        <v>2050</v>
      </c>
      <c r="J1009" s="127">
        <v>1.1026</v>
      </c>
      <c r="K1009" s="127">
        <v>1.0645</v>
      </c>
      <c r="L1009" s="127">
        <v>1.6693</v>
      </c>
      <c r="M1009" s="127">
        <v>1.3391999999999999</v>
      </c>
      <c r="N1009" s="127">
        <v>1.2785</v>
      </c>
      <c r="O1009" s="127">
        <v>1.0538000000000001</v>
      </c>
      <c r="P1009" s="126">
        <v>0</v>
      </c>
      <c r="Q1009" s="128">
        <f t="array" ref="Q1009">SUM(IF(($S1009&gt;=4)*($C1009='TaxCred&amp;Subs'!$D$123:$D$127)*($H1009='TaxCred&amp;Subs'!$C$123:$C$127)*($H1009&lt;='TaxCred&amp;Subs'!$C$129),'TaxCred&amp;Subs'!$E$123:$E$127,0))</f>
        <v>0</v>
      </c>
      <c r="R1009" s="174">
        <v>0</v>
      </c>
      <c r="S1009" s="126">
        <v>1</v>
      </c>
      <c r="T1009" s="126" t="s">
        <v>223</v>
      </c>
      <c r="U1009" s="158"/>
      <c r="V1009" s="153" t="str">
        <f t="array" ref="V1009">INDEX(xlRTCLNAME,MATCH(1,(xlRTCLENDU=1)*(xlRTCLEQCL=$D1009),0))</f>
        <v>ELEC_RAD</v>
      </c>
      <c r="W1009" s="153" t="str">
        <f t="array" ref="W1009">INDEX(xlRTCLNAME,MATCH(1,(xlRTCLENDU=2)*(xlRTCLEQCL=$F1009),0))</f>
        <v>CENT_AIR</v>
      </c>
      <c r="X1009" s="153" t="str">
        <f t="array" ref="X1009">INDEX(xlRTTYNAME,MATCH(1,(xlRTTYENDU=1)*(xlRTTYEQCL=$D1009)*(xlRTEQTYPE=$E1009),0))</f>
        <v>ELEC_RAD2</v>
      </c>
      <c r="Y1009" s="153" t="str">
        <f t="array" ref="Y1009">INDEX(xlRTTYNAME,MATCH(1,(xlRTTYENDU=2)*(xlRTTYEQCL=$F1009)*(xlRTEQTYPE=$G1009),0))</f>
        <v>CENT_AIR2</v>
      </c>
    </row>
    <row r="1010" spans="2:25" ht="14.25" customHeight="1" x14ac:dyDescent="0.2">
      <c r="B1010" s="126">
        <v>9</v>
      </c>
      <c r="C1010" s="126">
        <v>2</v>
      </c>
      <c r="D1010" s="126">
        <v>1</v>
      </c>
      <c r="E1010" s="126">
        <v>1</v>
      </c>
      <c r="F1010" s="126">
        <v>2</v>
      </c>
      <c r="G1010" s="126">
        <v>5</v>
      </c>
      <c r="H1010" s="126">
        <v>2016</v>
      </c>
      <c r="I1010" s="126">
        <v>2022</v>
      </c>
      <c r="J1010" s="127">
        <v>1.1200000000000001</v>
      </c>
      <c r="K1010" s="127">
        <v>1.0541</v>
      </c>
      <c r="L1010" s="127">
        <v>2</v>
      </c>
      <c r="M1010" s="127">
        <v>1.2834000000000001</v>
      </c>
      <c r="N1010" s="127">
        <v>1.4438</v>
      </c>
      <c r="O1010" s="127">
        <v>1.0538000000000001</v>
      </c>
      <c r="P1010" s="126">
        <v>0</v>
      </c>
      <c r="Q1010" s="128">
        <f t="array" ref="Q1010">SUM(IF(($S1010&gt;=4)*($C1010='TaxCred&amp;Subs'!$D$123:$D$127)*($H1010='TaxCred&amp;Subs'!$C$123:$C$127)*($H1010&lt;='TaxCred&amp;Subs'!$C$129),'TaxCred&amp;Subs'!$E$123:$E$127,0))</f>
        <v>0</v>
      </c>
      <c r="R1010" s="174">
        <v>0</v>
      </c>
      <c r="S1010" s="126">
        <v>1</v>
      </c>
      <c r="T1010" s="126" t="s">
        <v>223</v>
      </c>
      <c r="U1010" s="158"/>
      <c r="V1010" s="153" t="str">
        <f t="array" ref="V1010">INDEX(xlRTCLNAME,MATCH(1,(xlRTCLENDU=1)*(xlRTCLEQCL=$D1010),0))</f>
        <v>ELEC_RAD</v>
      </c>
      <c r="W1010" s="153" t="str">
        <f t="array" ref="W1010">INDEX(xlRTCLNAME,MATCH(1,(xlRTCLENDU=2)*(xlRTCLEQCL=$F1010),0))</f>
        <v>CENT_AIR</v>
      </c>
      <c r="X1010" s="153" t="str">
        <f t="array" ref="X1010">INDEX(xlRTTYNAME,MATCH(1,(xlRTTYENDU=1)*(xlRTTYEQCL=$D1010)*(xlRTEQTYPE=$E1010),0))</f>
        <v>ELEC_RAD2</v>
      </c>
      <c r="Y1010" s="153" t="str">
        <f t="array" ref="Y1010">INDEX(xlRTTYNAME,MATCH(1,(xlRTTYENDU=2)*(xlRTTYEQCL=$F1010)*(xlRTEQTYPE=$G1010),0))</f>
        <v>CENT_AIR1</v>
      </c>
    </row>
    <row r="1011" spans="2:25" ht="14.25" customHeight="1" x14ac:dyDescent="0.2">
      <c r="B1011" s="126">
        <v>9</v>
      </c>
      <c r="C1011" s="126">
        <v>2</v>
      </c>
      <c r="D1011" s="126">
        <v>1</v>
      </c>
      <c r="E1011" s="126">
        <v>1</v>
      </c>
      <c r="F1011" s="126">
        <v>2</v>
      </c>
      <c r="G1011" s="126">
        <v>6</v>
      </c>
      <c r="H1011" s="126">
        <v>2023</v>
      </c>
      <c r="I1011" s="126">
        <v>2050</v>
      </c>
      <c r="J1011" s="127">
        <v>1.1200000000000001</v>
      </c>
      <c r="K1011" s="127">
        <v>1.0541</v>
      </c>
      <c r="L1011" s="127">
        <v>2</v>
      </c>
      <c r="M1011" s="127">
        <v>1.2834000000000001</v>
      </c>
      <c r="N1011" s="127">
        <v>1.4438</v>
      </c>
      <c r="O1011" s="127">
        <v>1.0538000000000001</v>
      </c>
      <c r="P1011" s="126">
        <v>0</v>
      </c>
      <c r="Q1011" s="128">
        <f t="array" ref="Q1011">SUM(IF(($S1011&gt;=4)*($C1011='TaxCred&amp;Subs'!$D$123:$D$127)*($H1011='TaxCred&amp;Subs'!$C$123:$C$127)*($H1011&lt;='TaxCred&amp;Subs'!$C$129),'TaxCred&amp;Subs'!$E$123:$E$127,0))</f>
        <v>0</v>
      </c>
      <c r="R1011" s="174">
        <v>0</v>
      </c>
      <c r="S1011" s="126">
        <v>1</v>
      </c>
      <c r="T1011" s="126" t="s">
        <v>223</v>
      </c>
      <c r="U1011" s="158"/>
      <c r="V1011" s="153" t="str">
        <f t="array" ref="V1011">INDEX(xlRTCLNAME,MATCH(1,(xlRTCLENDU=1)*(xlRTCLEQCL=$D1011),0))</f>
        <v>ELEC_RAD</v>
      </c>
      <c r="W1011" s="153" t="str">
        <f t="array" ref="W1011">INDEX(xlRTCLNAME,MATCH(1,(xlRTCLENDU=2)*(xlRTCLEQCL=$F1011),0))</f>
        <v>CENT_AIR</v>
      </c>
      <c r="X1011" s="153" t="str">
        <f t="array" ref="X1011">INDEX(xlRTTYNAME,MATCH(1,(xlRTTYENDU=1)*(xlRTTYEQCL=$D1011)*(xlRTEQTYPE=$E1011),0))</f>
        <v>ELEC_RAD2</v>
      </c>
      <c r="Y1011" s="153" t="str">
        <f t="array" ref="Y1011">INDEX(xlRTTYNAME,MATCH(1,(xlRTTYENDU=2)*(xlRTTYEQCL=$F1011)*(xlRTEQTYPE=$G1011),0))</f>
        <v>CENT_AIR2</v>
      </c>
    </row>
    <row r="1012" spans="2:25" ht="14.25" customHeight="1" x14ac:dyDescent="0.2">
      <c r="B1012" s="126">
        <v>1</v>
      </c>
      <c r="C1012" s="126">
        <v>2</v>
      </c>
      <c r="D1012" s="126">
        <v>2</v>
      </c>
      <c r="E1012" s="126">
        <v>2</v>
      </c>
      <c r="F1012" s="126">
        <v>3</v>
      </c>
      <c r="G1012" s="126">
        <v>9</v>
      </c>
      <c r="H1012" s="126">
        <v>2016</v>
      </c>
      <c r="I1012" s="126">
        <v>2022</v>
      </c>
      <c r="J1012" s="127">
        <v>1.0909</v>
      </c>
      <c r="K1012" s="127">
        <v>1.04</v>
      </c>
      <c r="L1012" s="127">
        <v>1.3361000000000001</v>
      </c>
      <c r="M1012" s="127">
        <v>1.1909000000000001</v>
      </c>
      <c r="N1012" s="127">
        <v>1.1119000000000001</v>
      </c>
      <c r="O1012" s="127">
        <v>1.0538000000000001</v>
      </c>
      <c r="P1012" s="126">
        <v>0</v>
      </c>
      <c r="Q1012" s="128">
        <f t="array" ref="Q1012">SUM(IF(($S1012&gt;=4)*($C1012='TaxCred&amp;Subs'!$D$123:$D$127)*($H1012='TaxCred&amp;Subs'!$C$123:$C$127)*($H1012&lt;='TaxCred&amp;Subs'!$C$129),'TaxCred&amp;Subs'!$E$123:$E$127,0))</f>
        <v>0</v>
      </c>
      <c r="R1012" s="174">
        <v>0</v>
      </c>
      <c r="S1012" s="126">
        <v>1</v>
      </c>
      <c r="T1012" s="126" t="s">
        <v>223</v>
      </c>
      <c r="U1012" s="158"/>
      <c r="V1012" s="153" t="str">
        <f t="array" ref="V1012">INDEX(xlRTCLNAME,MATCH(1,(xlRTCLENDU=1)*(xlRTCLEQCL=$D1012),0))</f>
        <v>ELEC_HP</v>
      </c>
      <c r="W1012" s="153" t="str">
        <f t="array" ref="W1012">INDEX(xlRTCLNAME,MATCH(1,(xlRTCLENDU=2)*(xlRTCLEQCL=$F1012),0))</f>
        <v>ELEC_HP</v>
      </c>
      <c r="X1012" s="153" t="str">
        <f t="array" ref="X1012">INDEX(xlRTTYNAME,MATCH(1,(xlRTTYENDU=1)*(xlRTTYEQCL=$D1012)*(xlRTEQTYPE=$E1012),0))</f>
        <v>ELEC_HP1</v>
      </c>
      <c r="Y1012" s="153" t="str">
        <f t="array" ref="Y1012">INDEX(xlRTTYNAME,MATCH(1,(xlRTTYENDU=2)*(xlRTTYEQCL=$F1012)*(xlRTEQTYPE=$G1012),0))</f>
        <v>ELEC_HP1</v>
      </c>
    </row>
    <row r="1013" spans="2:25" ht="14.25" customHeight="1" x14ac:dyDescent="0.2">
      <c r="B1013" s="126">
        <v>1</v>
      </c>
      <c r="C1013" s="126">
        <v>2</v>
      </c>
      <c r="D1013" s="126">
        <v>2</v>
      </c>
      <c r="E1013" s="126">
        <v>3</v>
      </c>
      <c r="F1013" s="126">
        <v>3</v>
      </c>
      <c r="G1013" s="126">
        <v>10</v>
      </c>
      <c r="H1013" s="126">
        <v>2023</v>
      </c>
      <c r="I1013" s="126">
        <v>2050</v>
      </c>
      <c r="J1013" s="127">
        <v>1.0909</v>
      </c>
      <c r="K1013" s="127">
        <v>1.04</v>
      </c>
      <c r="L1013" s="127">
        <v>1.3361000000000001</v>
      </c>
      <c r="M1013" s="127">
        <v>1.1909000000000001</v>
      </c>
      <c r="N1013" s="127">
        <v>1.1119000000000001</v>
      </c>
      <c r="O1013" s="127">
        <v>1.0538000000000001</v>
      </c>
      <c r="P1013" s="126">
        <v>0</v>
      </c>
      <c r="Q1013" s="128">
        <f t="array" ref="Q1013">SUM(IF(($S1013&gt;=4)*($C1013='TaxCred&amp;Subs'!$D$123:$D$127)*($H1013='TaxCred&amp;Subs'!$C$123:$C$127)*($H1013&lt;='TaxCred&amp;Subs'!$C$129),'TaxCred&amp;Subs'!$E$123:$E$127,0))</f>
        <v>0</v>
      </c>
      <c r="R1013" s="174">
        <v>0</v>
      </c>
      <c r="S1013" s="126">
        <v>1</v>
      </c>
      <c r="T1013" s="126" t="s">
        <v>223</v>
      </c>
      <c r="U1013" s="158"/>
      <c r="V1013" s="153" t="str">
        <f t="array" ref="V1013">INDEX(xlRTCLNAME,MATCH(1,(xlRTCLENDU=1)*(xlRTCLEQCL=$D1013),0))</f>
        <v>ELEC_HP</v>
      </c>
      <c r="W1013" s="153" t="str">
        <f t="array" ref="W1013">INDEX(xlRTCLNAME,MATCH(1,(xlRTCLENDU=2)*(xlRTCLEQCL=$F1013),0))</f>
        <v>ELEC_HP</v>
      </c>
      <c r="X1013" s="153" t="str">
        <f t="array" ref="X1013">INDEX(xlRTTYNAME,MATCH(1,(xlRTTYENDU=1)*(xlRTTYEQCL=$D1013)*(xlRTEQTYPE=$E1013),0))</f>
        <v>ELEC_HP2</v>
      </c>
      <c r="Y1013" s="153" t="str">
        <f t="array" ref="Y1013">INDEX(xlRTTYNAME,MATCH(1,(xlRTTYENDU=2)*(xlRTTYEQCL=$F1013)*(xlRTEQTYPE=$G1013),0))</f>
        <v>ELEC_HP2</v>
      </c>
    </row>
    <row r="1014" spans="2:25" ht="14.25" customHeight="1" x14ac:dyDescent="0.2">
      <c r="B1014" s="126">
        <v>2</v>
      </c>
      <c r="C1014" s="126">
        <v>2</v>
      </c>
      <c r="D1014" s="126">
        <v>2</v>
      </c>
      <c r="E1014" s="126">
        <v>2</v>
      </c>
      <c r="F1014" s="126">
        <v>3</v>
      </c>
      <c r="G1014" s="126">
        <v>9</v>
      </c>
      <c r="H1014" s="126">
        <v>2016</v>
      </c>
      <c r="I1014" s="126">
        <v>2022</v>
      </c>
      <c r="J1014" s="127">
        <v>1.0847</v>
      </c>
      <c r="K1014" s="127">
        <v>1.0345</v>
      </c>
      <c r="L1014" s="127">
        <v>1.3549</v>
      </c>
      <c r="M1014" s="127">
        <v>1.2250000000000001</v>
      </c>
      <c r="N1014" s="127">
        <v>1.1213</v>
      </c>
      <c r="O1014" s="127">
        <v>1.0538000000000001</v>
      </c>
      <c r="P1014" s="126">
        <v>0</v>
      </c>
      <c r="Q1014" s="128">
        <f t="array" ref="Q1014">SUM(IF(($S1014&gt;=4)*($C1014='TaxCred&amp;Subs'!$D$123:$D$127)*($H1014='TaxCred&amp;Subs'!$C$123:$C$127)*($H1014&lt;='TaxCred&amp;Subs'!$C$129),'TaxCred&amp;Subs'!$E$123:$E$127,0))</f>
        <v>0</v>
      </c>
      <c r="R1014" s="174">
        <v>0</v>
      </c>
      <c r="S1014" s="126">
        <v>1</v>
      </c>
      <c r="T1014" s="126" t="s">
        <v>223</v>
      </c>
      <c r="U1014" s="158"/>
      <c r="V1014" s="153" t="str">
        <f t="array" ref="V1014">INDEX(xlRTCLNAME,MATCH(1,(xlRTCLENDU=1)*(xlRTCLEQCL=$D1014),0))</f>
        <v>ELEC_HP</v>
      </c>
      <c r="W1014" s="153" t="str">
        <f t="array" ref="W1014">INDEX(xlRTCLNAME,MATCH(1,(xlRTCLENDU=2)*(xlRTCLEQCL=$F1014),0))</f>
        <v>ELEC_HP</v>
      </c>
      <c r="X1014" s="153" t="str">
        <f t="array" ref="X1014">INDEX(xlRTTYNAME,MATCH(1,(xlRTTYENDU=1)*(xlRTTYEQCL=$D1014)*(xlRTEQTYPE=$E1014),0))</f>
        <v>ELEC_HP1</v>
      </c>
      <c r="Y1014" s="153" t="str">
        <f t="array" ref="Y1014">INDEX(xlRTTYNAME,MATCH(1,(xlRTTYENDU=2)*(xlRTTYEQCL=$F1014)*(xlRTEQTYPE=$G1014),0))</f>
        <v>ELEC_HP1</v>
      </c>
    </row>
    <row r="1015" spans="2:25" ht="14.25" customHeight="1" x14ac:dyDescent="0.2">
      <c r="B1015" s="126">
        <v>2</v>
      </c>
      <c r="C1015" s="126">
        <v>2</v>
      </c>
      <c r="D1015" s="126">
        <v>2</v>
      </c>
      <c r="E1015" s="126">
        <v>3</v>
      </c>
      <c r="F1015" s="126">
        <v>3</v>
      </c>
      <c r="G1015" s="126">
        <v>10</v>
      </c>
      <c r="H1015" s="126">
        <v>2023</v>
      </c>
      <c r="I1015" s="126">
        <v>2050</v>
      </c>
      <c r="J1015" s="127">
        <v>1.0847</v>
      </c>
      <c r="K1015" s="127">
        <v>1.0345</v>
      </c>
      <c r="L1015" s="127">
        <v>1.3549</v>
      </c>
      <c r="M1015" s="127">
        <v>1.2250000000000001</v>
      </c>
      <c r="N1015" s="127">
        <v>1.1213</v>
      </c>
      <c r="O1015" s="127">
        <v>1.0538000000000001</v>
      </c>
      <c r="P1015" s="126">
        <v>0</v>
      </c>
      <c r="Q1015" s="128">
        <f t="array" ref="Q1015">SUM(IF(($S1015&gt;=4)*($C1015='TaxCred&amp;Subs'!$D$123:$D$127)*($H1015='TaxCred&amp;Subs'!$C$123:$C$127)*($H1015&lt;='TaxCred&amp;Subs'!$C$129),'TaxCred&amp;Subs'!$E$123:$E$127,0))</f>
        <v>0</v>
      </c>
      <c r="R1015" s="174">
        <v>0</v>
      </c>
      <c r="S1015" s="126">
        <v>1</v>
      </c>
      <c r="T1015" s="126" t="s">
        <v>223</v>
      </c>
      <c r="U1015" s="158"/>
      <c r="V1015" s="153" t="str">
        <f t="array" ref="V1015">INDEX(xlRTCLNAME,MATCH(1,(xlRTCLENDU=1)*(xlRTCLEQCL=$D1015),0))</f>
        <v>ELEC_HP</v>
      </c>
      <c r="W1015" s="153" t="str">
        <f t="array" ref="W1015">INDEX(xlRTCLNAME,MATCH(1,(xlRTCLENDU=2)*(xlRTCLEQCL=$F1015),0))</f>
        <v>ELEC_HP</v>
      </c>
      <c r="X1015" s="153" t="str">
        <f t="array" ref="X1015">INDEX(xlRTTYNAME,MATCH(1,(xlRTTYENDU=1)*(xlRTTYEQCL=$D1015)*(xlRTEQTYPE=$E1015),0))</f>
        <v>ELEC_HP2</v>
      </c>
      <c r="Y1015" s="153" t="str">
        <f t="array" ref="Y1015">INDEX(xlRTTYNAME,MATCH(1,(xlRTTYENDU=2)*(xlRTTYEQCL=$F1015)*(xlRTEQTYPE=$G1015),0))</f>
        <v>ELEC_HP2</v>
      </c>
    </row>
    <row r="1016" spans="2:25" ht="14.25" customHeight="1" x14ac:dyDescent="0.2">
      <c r="B1016" s="126">
        <v>3</v>
      </c>
      <c r="C1016" s="126">
        <v>2</v>
      </c>
      <c r="D1016" s="126">
        <v>2</v>
      </c>
      <c r="E1016" s="126">
        <v>2</v>
      </c>
      <c r="F1016" s="126">
        <v>3</v>
      </c>
      <c r="G1016" s="126">
        <v>9</v>
      </c>
      <c r="H1016" s="126">
        <v>2016</v>
      </c>
      <c r="I1016" s="126">
        <v>2022</v>
      </c>
      <c r="J1016" s="127">
        <v>1.0932999999999999</v>
      </c>
      <c r="K1016" s="127">
        <v>1.0345</v>
      </c>
      <c r="L1016" s="127">
        <v>1.1840999999999999</v>
      </c>
      <c r="M1016" s="127">
        <v>1.1345000000000001</v>
      </c>
      <c r="N1016" s="127">
        <v>1.0358000000000001</v>
      </c>
      <c r="O1016" s="127">
        <v>1.0538000000000001</v>
      </c>
      <c r="P1016" s="126">
        <v>0</v>
      </c>
      <c r="Q1016" s="128">
        <f t="array" ref="Q1016">SUM(IF(($S1016&gt;=4)*($C1016='TaxCred&amp;Subs'!$D$123:$D$127)*($H1016='TaxCred&amp;Subs'!$C$123:$C$127)*($H1016&lt;='TaxCred&amp;Subs'!$C$129),'TaxCred&amp;Subs'!$E$123:$E$127,0))</f>
        <v>0</v>
      </c>
      <c r="R1016" s="174">
        <v>0</v>
      </c>
      <c r="S1016" s="126">
        <v>1</v>
      </c>
      <c r="T1016" s="126" t="s">
        <v>223</v>
      </c>
      <c r="U1016" s="158"/>
      <c r="V1016" s="153" t="str">
        <f t="array" ref="V1016">INDEX(xlRTCLNAME,MATCH(1,(xlRTCLENDU=1)*(xlRTCLEQCL=$D1016),0))</f>
        <v>ELEC_HP</v>
      </c>
      <c r="W1016" s="153" t="str">
        <f t="array" ref="W1016">INDEX(xlRTCLNAME,MATCH(1,(xlRTCLENDU=2)*(xlRTCLEQCL=$F1016),0))</f>
        <v>ELEC_HP</v>
      </c>
      <c r="X1016" s="153" t="str">
        <f t="array" ref="X1016">INDEX(xlRTTYNAME,MATCH(1,(xlRTTYENDU=1)*(xlRTTYEQCL=$D1016)*(xlRTEQTYPE=$E1016),0))</f>
        <v>ELEC_HP1</v>
      </c>
      <c r="Y1016" s="153" t="str">
        <f t="array" ref="Y1016">INDEX(xlRTTYNAME,MATCH(1,(xlRTTYENDU=2)*(xlRTTYEQCL=$F1016)*(xlRTEQTYPE=$G1016),0))</f>
        <v>ELEC_HP1</v>
      </c>
    </row>
    <row r="1017" spans="2:25" ht="14.25" customHeight="1" x14ac:dyDescent="0.2">
      <c r="B1017" s="126">
        <v>3</v>
      </c>
      <c r="C1017" s="126">
        <v>2</v>
      </c>
      <c r="D1017" s="126">
        <v>2</v>
      </c>
      <c r="E1017" s="126">
        <v>3</v>
      </c>
      <c r="F1017" s="126">
        <v>3</v>
      </c>
      <c r="G1017" s="126">
        <v>10</v>
      </c>
      <c r="H1017" s="126">
        <v>2023</v>
      </c>
      <c r="I1017" s="126">
        <v>2050</v>
      </c>
      <c r="J1017" s="127">
        <v>1.0932999999999999</v>
      </c>
      <c r="K1017" s="127">
        <v>1.0345</v>
      </c>
      <c r="L1017" s="127">
        <v>1.1840999999999999</v>
      </c>
      <c r="M1017" s="127">
        <v>1.1345000000000001</v>
      </c>
      <c r="N1017" s="127">
        <v>1.0358000000000001</v>
      </c>
      <c r="O1017" s="127">
        <v>1.0538000000000001</v>
      </c>
      <c r="P1017" s="126">
        <v>0</v>
      </c>
      <c r="Q1017" s="128">
        <f t="array" ref="Q1017">SUM(IF(($S1017&gt;=4)*($C1017='TaxCred&amp;Subs'!$D$123:$D$127)*($H1017='TaxCred&amp;Subs'!$C$123:$C$127)*($H1017&lt;='TaxCred&amp;Subs'!$C$129),'TaxCred&amp;Subs'!$E$123:$E$127,0))</f>
        <v>0</v>
      </c>
      <c r="R1017" s="174">
        <v>0</v>
      </c>
      <c r="S1017" s="126">
        <v>1</v>
      </c>
      <c r="T1017" s="126" t="s">
        <v>223</v>
      </c>
      <c r="U1017" s="158"/>
      <c r="V1017" s="153" t="str">
        <f t="array" ref="V1017">INDEX(xlRTCLNAME,MATCH(1,(xlRTCLENDU=1)*(xlRTCLEQCL=$D1017),0))</f>
        <v>ELEC_HP</v>
      </c>
      <c r="W1017" s="153" t="str">
        <f t="array" ref="W1017">INDEX(xlRTCLNAME,MATCH(1,(xlRTCLENDU=2)*(xlRTCLEQCL=$F1017),0))</f>
        <v>ELEC_HP</v>
      </c>
      <c r="X1017" s="153" t="str">
        <f t="array" ref="X1017">INDEX(xlRTTYNAME,MATCH(1,(xlRTTYENDU=1)*(xlRTTYEQCL=$D1017)*(xlRTEQTYPE=$E1017),0))</f>
        <v>ELEC_HP2</v>
      </c>
      <c r="Y1017" s="153" t="str">
        <f t="array" ref="Y1017">INDEX(xlRTTYNAME,MATCH(1,(xlRTTYENDU=2)*(xlRTTYEQCL=$F1017)*(xlRTEQTYPE=$G1017),0))</f>
        <v>ELEC_HP2</v>
      </c>
    </row>
    <row r="1018" spans="2:25" ht="14.25" customHeight="1" x14ac:dyDescent="0.2">
      <c r="B1018" s="126">
        <v>4</v>
      </c>
      <c r="C1018" s="126">
        <v>2</v>
      </c>
      <c r="D1018" s="126">
        <v>2</v>
      </c>
      <c r="E1018" s="126">
        <v>2</v>
      </c>
      <c r="F1018" s="126">
        <v>3</v>
      </c>
      <c r="G1018" s="126">
        <v>9</v>
      </c>
      <c r="H1018" s="126">
        <v>2016</v>
      </c>
      <c r="I1018" s="126">
        <v>2022</v>
      </c>
      <c r="J1018" s="127">
        <v>1.0956999999999999</v>
      </c>
      <c r="K1018" s="127">
        <v>1.0417000000000001</v>
      </c>
      <c r="L1018" s="127">
        <v>1.4368000000000001</v>
      </c>
      <c r="M1018" s="127">
        <v>1.2250000000000001</v>
      </c>
      <c r="N1018" s="127">
        <v>1.1621999999999999</v>
      </c>
      <c r="O1018" s="127">
        <v>1.0538000000000001</v>
      </c>
      <c r="P1018" s="126">
        <v>0</v>
      </c>
      <c r="Q1018" s="128">
        <f t="array" ref="Q1018">SUM(IF(($S1018&gt;=4)*($C1018='TaxCred&amp;Subs'!$D$123:$D$127)*($H1018='TaxCred&amp;Subs'!$C$123:$C$127)*($H1018&lt;='TaxCred&amp;Subs'!$C$129),'TaxCred&amp;Subs'!$E$123:$E$127,0))</f>
        <v>0</v>
      </c>
      <c r="R1018" s="174">
        <v>0</v>
      </c>
      <c r="S1018" s="126">
        <v>1</v>
      </c>
      <c r="T1018" s="126" t="s">
        <v>223</v>
      </c>
      <c r="U1018" s="158"/>
      <c r="V1018" s="153" t="str">
        <f t="array" ref="V1018">INDEX(xlRTCLNAME,MATCH(1,(xlRTCLENDU=1)*(xlRTCLEQCL=$D1018),0))</f>
        <v>ELEC_HP</v>
      </c>
      <c r="W1018" s="153" t="str">
        <f t="array" ref="W1018">INDEX(xlRTCLNAME,MATCH(1,(xlRTCLENDU=2)*(xlRTCLEQCL=$F1018),0))</f>
        <v>ELEC_HP</v>
      </c>
      <c r="X1018" s="153" t="str">
        <f t="array" ref="X1018">INDEX(xlRTTYNAME,MATCH(1,(xlRTTYENDU=1)*(xlRTTYEQCL=$D1018)*(xlRTEQTYPE=$E1018),0))</f>
        <v>ELEC_HP1</v>
      </c>
      <c r="Y1018" s="153" t="str">
        <f t="array" ref="Y1018">INDEX(xlRTTYNAME,MATCH(1,(xlRTTYENDU=2)*(xlRTTYEQCL=$F1018)*(xlRTEQTYPE=$G1018),0))</f>
        <v>ELEC_HP1</v>
      </c>
    </row>
    <row r="1019" spans="2:25" ht="14.25" customHeight="1" x14ac:dyDescent="0.2">
      <c r="B1019" s="126">
        <v>4</v>
      </c>
      <c r="C1019" s="126">
        <v>2</v>
      </c>
      <c r="D1019" s="126">
        <v>2</v>
      </c>
      <c r="E1019" s="126">
        <v>3</v>
      </c>
      <c r="F1019" s="126">
        <v>3</v>
      </c>
      <c r="G1019" s="126">
        <v>10</v>
      </c>
      <c r="H1019" s="126">
        <v>2023</v>
      </c>
      <c r="I1019" s="126">
        <v>2050</v>
      </c>
      <c r="J1019" s="127">
        <v>1.0956999999999999</v>
      </c>
      <c r="K1019" s="127">
        <v>1.0417000000000001</v>
      </c>
      <c r="L1019" s="127">
        <v>1.4368000000000001</v>
      </c>
      <c r="M1019" s="127">
        <v>1.2250000000000001</v>
      </c>
      <c r="N1019" s="127">
        <v>1.1621999999999999</v>
      </c>
      <c r="O1019" s="127">
        <v>1.0538000000000001</v>
      </c>
      <c r="P1019" s="126">
        <v>0</v>
      </c>
      <c r="Q1019" s="128">
        <f t="array" ref="Q1019">SUM(IF(($S1019&gt;=4)*($C1019='TaxCred&amp;Subs'!$D$123:$D$127)*($H1019='TaxCred&amp;Subs'!$C$123:$C$127)*($H1019&lt;='TaxCred&amp;Subs'!$C$129),'TaxCred&amp;Subs'!$E$123:$E$127,0))</f>
        <v>0</v>
      </c>
      <c r="R1019" s="174">
        <v>0</v>
      </c>
      <c r="S1019" s="126">
        <v>1</v>
      </c>
      <c r="T1019" s="126" t="s">
        <v>223</v>
      </c>
      <c r="U1019" s="158"/>
      <c r="V1019" s="153" t="str">
        <f t="array" ref="V1019">INDEX(xlRTCLNAME,MATCH(1,(xlRTCLENDU=1)*(xlRTCLEQCL=$D1019),0))</f>
        <v>ELEC_HP</v>
      </c>
      <c r="W1019" s="153" t="str">
        <f t="array" ref="W1019">INDEX(xlRTCLNAME,MATCH(1,(xlRTCLENDU=2)*(xlRTCLEQCL=$F1019),0))</f>
        <v>ELEC_HP</v>
      </c>
      <c r="X1019" s="153" t="str">
        <f t="array" ref="X1019">INDEX(xlRTTYNAME,MATCH(1,(xlRTTYENDU=1)*(xlRTTYEQCL=$D1019)*(xlRTEQTYPE=$E1019),0))</f>
        <v>ELEC_HP2</v>
      </c>
      <c r="Y1019" s="153" t="str">
        <f t="array" ref="Y1019">INDEX(xlRTTYNAME,MATCH(1,(xlRTTYENDU=2)*(xlRTTYEQCL=$F1019)*(xlRTEQTYPE=$G1019),0))</f>
        <v>ELEC_HP2</v>
      </c>
    </row>
    <row r="1020" spans="2:25" ht="14.25" customHeight="1" x14ac:dyDescent="0.2">
      <c r="B1020" s="126">
        <v>5</v>
      </c>
      <c r="C1020" s="126">
        <v>2</v>
      </c>
      <c r="D1020" s="126">
        <v>2</v>
      </c>
      <c r="E1020" s="126">
        <v>2</v>
      </c>
      <c r="F1020" s="126">
        <v>3</v>
      </c>
      <c r="G1020" s="126">
        <v>9</v>
      </c>
      <c r="H1020" s="126">
        <v>2016</v>
      </c>
      <c r="I1020" s="126">
        <v>2022</v>
      </c>
      <c r="J1020" s="127">
        <v>1.1200000000000001</v>
      </c>
      <c r="K1020" s="127">
        <v>1.0545</v>
      </c>
      <c r="L1020" s="127">
        <v>1.6105</v>
      </c>
      <c r="M1020" s="127">
        <v>1.1687000000000001</v>
      </c>
      <c r="N1020" s="127">
        <v>1.2490000000000001</v>
      </c>
      <c r="O1020" s="127">
        <v>1.0538000000000001</v>
      </c>
      <c r="P1020" s="126">
        <v>0</v>
      </c>
      <c r="Q1020" s="128">
        <f t="array" ref="Q1020">SUM(IF(($S1020&gt;=4)*($C1020='TaxCred&amp;Subs'!$D$123:$D$127)*($H1020='TaxCred&amp;Subs'!$C$123:$C$127)*($H1020&lt;='TaxCred&amp;Subs'!$C$129),'TaxCred&amp;Subs'!$E$123:$E$127,0))</f>
        <v>0</v>
      </c>
      <c r="R1020" s="174">
        <v>0</v>
      </c>
      <c r="S1020" s="126">
        <v>1</v>
      </c>
      <c r="T1020" s="126" t="s">
        <v>223</v>
      </c>
      <c r="U1020" s="158"/>
      <c r="V1020" s="153" t="str">
        <f t="array" ref="V1020">INDEX(xlRTCLNAME,MATCH(1,(xlRTCLENDU=1)*(xlRTCLEQCL=$D1020),0))</f>
        <v>ELEC_HP</v>
      </c>
      <c r="W1020" s="153" t="str">
        <f t="array" ref="W1020">INDEX(xlRTCLNAME,MATCH(1,(xlRTCLENDU=2)*(xlRTCLEQCL=$F1020),0))</f>
        <v>ELEC_HP</v>
      </c>
      <c r="X1020" s="153" t="str">
        <f t="array" ref="X1020">INDEX(xlRTTYNAME,MATCH(1,(xlRTTYENDU=1)*(xlRTTYEQCL=$D1020)*(xlRTEQTYPE=$E1020),0))</f>
        <v>ELEC_HP1</v>
      </c>
      <c r="Y1020" s="153" t="str">
        <f t="array" ref="Y1020">INDEX(xlRTTYNAME,MATCH(1,(xlRTTYENDU=2)*(xlRTTYEQCL=$F1020)*(xlRTEQTYPE=$G1020),0))</f>
        <v>ELEC_HP1</v>
      </c>
    </row>
    <row r="1021" spans="2:25" ht="14.25" customHeight="1" x14ac:dyDescent="0.2">
      <c r="B1021" s="126">
        <v>5</v>
      </c>
      <c r="C1021" s="126">
        <v>2</v>
      </c>
      <c r="D1021" s="126">
        <v>2</v>
      </c>
      <c r="E1021" s="126">
        <v>3</v>
      </c>
      <c r="F1021" s="126">
        <v>3</v>
      </c>
      <c r="G1021" s="126">
        <v>10</v>
      </c>
      <c r="H1021" s="126">
        <v>2023</v>
      </c>
      <c r="I1021" s="126">
        <v>2050</v>
      </c>
      <c r="J1021" s="127">
        <v>1.1200000000000001</v>
      </c>
      <c r="K1021" s="127">
        <v>1.0545</v>
      </c>
      <c r="L1021" s="127">
        <v>1.6105</v>
      </c>
      <c r="M1021" s="127">
        <v>1.1687000000000001</v>
      </c>
      <c r="N1021" s="127">
        <v>1.2490000000000001</v>
      </c>
      <c r="O1021" s="127">
        <v>1.0538000000000001</v>
      </c>
      <c r="P1021" s="126">
        <v>0</v>
      </c>
      <c r="Q1021" s="128">
        <f t="array" ref="Q1021">SUM(IF(($S1021&gt;=4)*($C1021='TaxCred&amp;Subs'!$D$123:$D$127)*($H1021='TaxCred&amp;Subs'!$C$123:$C$127)*($H1021&lt;='TaxCred&amp;Subs'!$C$129),'TaxCred&amp;Subs'!$E$123:$E$127,0))</f>
        <v>0</v>
      </c>
      <c r="R1021" s="174">
        <v>0</v>
      </c>
      <c r="S1021" s="126">
        <v>1</v>
      </c>
      <c r="T1021" s="126" t="s">
        <v>223</v>
      </c>
      <c r="U1021" s="158"/>
      <c r="V1021" s="153" t="str">
        <f t="array" ref="V1021">INDEX(xlRTCLNAME,MATCH(1,(xlRTCLENDU=1)*(xlRTCLEQCL=$D1021),0))</f>
        <v>ELEC_HP</v>
      </c>
      <c r="W1021" s="153" t="str">
        <f t="array" ref="W1021">INDEX(xlRTCLNAME,MATCH(1,(xlRTCLENDU=2)*(xlRTCLEQCL=$F1021),0))</f>
        <v>ELEC_HP</v>
      </c>
      <c r="X1021" s="153" t="str">
        <f t="array" ref="X1021">INDEX(xlRTTYNAME,MATCH(1,(xlRTTYENDU=1)*(xlRTTYEQCL=$D1021)*(xlRTEQTYPE=$E1021),0))</f>
        <v>ELEC_HP2</v>
      </c>
      <c r="Y1021" s="153" t="str">
        <f t="array" ref="Y1021">INDEX(xlRTTYNAME,MATCH(1,(xlRTTYENDU=2)*(xlRTTYEQCL=$F1021)*(xlRTEQTYPE=$G1021),0))</f>
        <v>ELEC_HP2</v>
      </c>
    </row>
    <row r="1022" spans="2:25" ht="14.25" customHeight="1" x14ac:dyDescent="0.2">
      <c r="B1022" s="126">
        <v>6</v>
      </c>
      <c r="C1022" s="126">
        <v>2</v>
      </c>
      <c r="D1022" s="126">
        <v>2</v>
      </c>
      <c r="E1022" s="126">
        <v>2</v>
      </c>
      <c r="F1022" s="126">
        <v>3</v>
      </c>
      <c r="G1022" s="126">
        <v>9</v>
      </c>
      <c r="H1022" s="126">
        <v>2016</v>
      </c>
      <c r="I1022" s="126">
        <v>2022</v>
      </c>
      <c r="J1022" s="127">
        <v>1.087</v>
      </c>
      <c r="K1022" s="127">
        <v>1.0385</v>
      </c>
      <c r="L1022" s="127">
        <v>1.7771999999999999</v>
      </c>
      <c r="M1022" s="127">
        <v>1.2250000000000001</v>
      </c>
      <c r="N1022" s="127">
        <v>1.3324</v>
      </c>
      <c r="O1022" s="127">
        <v>1.0538000000000001</v>
      </c>
      <c r="P1022" s="126">
        <v>0</v>
      </c>
      <c r="Q1022" s="128">
        <f t="array" ref="Q1022">SUM(IF(($S1022&gt;=4)*($C1022='TaxCred&amp;Subs'!$D$123:$D$127)*($H1022='TaxCred&amp;Subs'!$C$123:$C$127)*($H1022&lt;='TaxCred&amp;Subs'!$C$129),'TaxCred&amp;Subs'!$E$123:$E$127,0))</f>
        <v>0</v>
      </c>
      <c r="R1022" s="174">
        <v>0</v>
      </c>
      <c r="S1022" s="126">
        <v>1</v>
      </c>
      <c r="T1022" s="126" t="s">
        <v>223</v>
      </c>
      <c r="U1022" s="158"/>
      <c r="V1022" s="153" t="str">
        <f t="array" ref="V1022">INDEX(xlRTCLNAME,MATCH(1,(xlRTCLENDU=1)*(xlRTCLEQCL=$D1022),0))</f>
        <v>ELEC_HP</v>
      </c>
      <c r="W1022" s="153" t="str">
        <f t="array" ref="W1022">INDEX(xlRTCLNAME,MATCH(1,(xlRTCLENDU=2)*(xlRTCLEQCL=$F1022),0))</f>
        <v>ELEC_HP</v>
      </c>
      <c r="X1022" s="153" t="str">
        <f t="array" ref="X1022">INDEX(xlRTTYNAME,MATCH(1,(xlRTTYENDU=1)*(xlRTTYEQCL=$D1022)*(xlRTEQTYPE=$E1022),0))</f>
        <v>ELEC_HP1</v>
      </c>
      <c r="Y1022" s="153" t="str">
        <f t="array" ref="Y1022">INDEX(xlRTTYNAME,MATCH(1,(xlRTTYENDU=2)*(xlRTTYEQCL=$F1022)*(xlRTEQTYPE=$G1022),0))</f>
        <v>ELEC_HP1</v>
      </c>
    </row>
    <row r="1023" spans="2:25" ht="14.25" customHeight="1" x14ac:dyDescent="0.2">
      <c r="B1023" s="126">
        <v>6</v>
      </c>
      <c r="C1023" s="126">
        <v>2</v>
      </c>
      <c r="D1023" s="126">
        <v>2</v>
      </c>
      <c r="E1023" s="126">
        <v>3</v>
      </c>
      <c r="F1023" s="126">
        <v>3</v>
      </c>
      <c r="G1023" s="126">
        <v>10</v>
      </c>
      <c r="H1023" s="126">
        <v>2023</v>
      </c>
      <c r="I1023" s="126">
        <v>2050</v>
      </c>
      <c r="J1023" s="127">
        <v>1.087</v>
      </c>
      <c r="K1023" s="127">
        <v>1.0385</v>
      </c>
      <c r="L1023" s="127">
        <v>1.7771999999999999</v>
      </c>
      <c r="M1023" s="127">
        <v>1.2250000000000001</v>
      </c>
      <c r="N1023" s="127">
        <v>1.3324</v>
      </c>
      <c r="O1023" s="127">
        <v>1.0538000000000001</v>
      </c>
      <c r="P1023" s="126">
        <v>0</v>
      </c>
      <c r="Q1023" s="128">
        <f t="array" ref="Q1023">SUM(IF(($S1023&gt;=4)*($C1023='TaxCred&amp;Subs'!$D$123:$D$127)*($H1023='TaxCred&amp;Subs'!$C$123:$C$127)*($H1023&lt;='TaxCred&amp;Subs'!$C$129),'TaxCred&amp;Subs'!$E$123:$E$127,0))</f>
        <v>0</v>
      </c>
      <c r="R1023" s="174">
        <v>0</v>
      </c>
      <c r="S1023" s="126">
        <v>1</v>
      </c>
      <c r="T1023" s="126" t="s">
        <v>223</v>
      </c>
      <c r="U1023" s="158"/>
      <c r="V1023" s="153" t="str">
        <f t="array" ref="V1023">INDEX(xlRTCLNAME,MATCH(1,(xlRTCLENDU=1)*(xlRTCLEQCL=$D1023),0))</f>
        <v>ELEC_HP</v>
      </c>
      <c r="W1023" s="153" t="str">
        <f t="array" ref="W1023">INDEX(xlRTCLNAME,MATCH(1,(xlRTCLENDU=2)*(xlRTCLEQCL=$F1023),0))</f>
        <v>ELEC_HP</v>
      </c>
      <c r="X1023" s="153" t="str">
        <f t="array" ref="X1023">INDEX(xlRTTYNAME,MATCH(1,(xlRTTYENDU=1)*(xlRTTYEQCL=$D1023)*(xlRTEQTYPE=$E1023),0))</f>
        <v>ELEC_HP2</v>
      </c>
      <c r="Y1023" s="153" t="str">
        <f t="array" ref="Y1023">INDEX(xlRTTYNAME,MATCH(1,(xlRTTYENDU=2)*(xlRTTYEQCL=$F1023)*(xlRTEQTYPE=$G1023),0))</f>
        <v>ELEC_HP2</v>
      </c>
    </row>
    <row r="1024" spans="2:25" ht="14.25" customHeight="1" x14ac:dyDescent="0.2">
      <c r="B1024" s="126">
        <v>7</v>
      </c>
      <c r="C1024" s="126">
        <v>2</v>
      </c>
      <c r="D1024" s="126">
        <v>2</v>
      </c>
      <c r="E1024" s="126">
        <v>2</v>
      </c>
      <c r="F1024" s="126">
        <v>3</v>
      </c>
      <c r="G1024" s="126">
        <v>9</v>
      </c>
      <c r="H1024" s="126">
        <v>2016</v>
      </c>
      <c r="I1024" s="126">
        <v>2022</v>
      </c>
      <c r="J1024" s="127">
        <v>1.1200000000000001</v>
      </c>
      <c r="K1024" s="127">
        <v>1.0435000000000001</v>
      </c>
      <c r="L1024" s="127">
        <v>2</v>
      </c>
      <c r="M1024" s="127">
        <v>1.2121</v>
      </c>
      <c r="N1024" s="127">
        <v>1.4438</v>
      </c>
      <c r="O1024" s="127">
        <v>1.0538000000000001</v>
      </c>
      <c r="P1024" s="126">
        <v>0</v>
      </c>
      <c r="Q1024" s="128">
        <f t="array" ref="Q1024">SUM(IF(($S1024&gt;=4)*($C1024='TaxCred&amp;Subs'!$D$123:$D$127)*($H1024='TaxCred&amp;Subs'!$C$123:$C$127)*($H1024&lt;='TaxCred&amp;Subs'!$C$129),'TaxCred&amp;Subs'!$E$123:$E$127,0))</f>
        <v>0</v>
      </c>
      <c r="R1024" s="174">
        <v>0</v>
      </c>
      <c r="S1024" s="126">
        <v>1</v>
      </c>
      <c r="T1024" s="126" t="s">
        <v>223</v>
      </c>
      <c r="U1024" s="158"/>
      <c r="V1024" s="153" t="str">
        <f t="array" ref="V1024">INDEX(xlRTCLNAME,MATCH(1,(xlRTCLENDU=1)*(xlRTCLEQCL=$D1024),0))</f>
        <v>ELEC_HP</v>
      </c>
      <c r="W1024" s="153" t="str">
        <f t="array" ref="W1024">INDEX(xlRTCLNAME,MATCH(1,(xlRTCLENDU=2)*(xlRTCLEQCL=$F1024),0))</f>
        <v>ELEC_HP</v>
      </c>
      <c r="X1024" s="153" t="str">
        <f t="array" ref="X1024">INDEX(xlRTTYNAME,MATCH(1,(xlRTTYENDU=1)*(xlRTTYEQCL=$D1024)*(xlRTEQTYPE=$E1024),0))</f>
        <v>ELEC_HP1</v>
      </c>
      <c r="Y1024" s="153" t="str">
        <f t="array" ref="Y1024">INDEX(xlRTTYNAME,MATCH(1,(xlRTTYENDU=2)*(xlRTTYEQCL=$F1024)*(xlRTEQTYPE=$G1024),0))</f>
        <v>ELEC_HP1</v>
      </c>
    </row>
    <row r="1025" spans="2:25" ht="14.25" customHeight="1" x14ac:dyDescent="0.2">
      <c r="B1025" s="126">
        <v>7</v>
      </c>
      <c r="C1025" s="126">
        <v>2</v>
      </c>
      <c r="D1025" s="126">
        <v>2</v>
      </c>
      <c r="E1025" s="126">
        <v>3</v>
      </c>
      <c r="F1025" s="126">
        <v>3</v>
      </c>
      <c r="G1025" s="126">
        <v>10</v>
      </c>
      <c r="H1025" s="126">
        <v>2023</v>
      </c>
      <c r="I1025" s="126">
        <v>2050</v>
      </c>
      <c r="J1025" s="127">
        <v>1.1200000000000001</v>
      </c>
      <c r="K1025" s="127">
        <v>1.0435000000000001</v>
      </c>
      <c r="L1025" s="127">
        <v>2</v>
      </c>
      <c r="M1025" s="127">
        <v>1.2121</v>
      </c>
      <c r="N1025" s="127">
        <v>1.4438</v>
      </c>
      <c r="O1025" s="127">
        <v>1.0538000000000001</v>
      </c>
      <c r="P1025" s="126">
        <v>0</v>
      </c>
      <c r="Q1025" s="128">
        <f t="array" ref="Q1025">SUM(IF(($S1025&gt;=4)*($C1025='TaxCred&amp;Subs'!$D$123:$D$127)*($H1025='TaxCred&amp;Subs'!$C$123:$C$127)*($H1025&lt;='TaxCred&amp;Subs'!$C$129),'TaxCred&amp;Subs'!$E$123:$E$127,0))</f>
        <v>0</v>
      </c>
      <c r="R1025" s="174">
        <v>0</v>
      </c>
      <c r="S1025" s="126">
        <v>1</v>
      </c>
      <c r="T1025" s="126" t="s">
        <v>223</v>
      </c>
      <c r="U1025" s="158"/>
      <c r="V1025" s="153" t="str">
        <f t="array" ref="V1025">INDEX(xlRTCLNAME,MATCH(1,(xlRTCLENDU=1)*(xlRTCLEQCL=$D1025),0))</f>
        <v>ELEC_HP</v>
      </c>
      <c r="W1025" s="153" t="str">
        <f t="array" ref="W1025">INDEX(xlRTCLNAME,MATCH(1,(xlRTCLENDU=2)*(xlRTCLEQCL=$F1025),0))</f>
        <v>ELEC_HP</v>
      </c>
      <c r="X1025" s="153" t="str">
        <f t="array" ref="X1025">INDEX(xlRTTYNAME,MATCH(1,(xlRTTYENDU=1)*(xlRTTYEQCL=$D1025)*(xlRTEQTYPE=$E1025),0))</f>
        <v>ELEC_HP2</v>
      </c>
      <c r="Y1025" s="153" t="str">
        <f t="array" ref="Y1025">INDEX(xlRTTYNAME,MATCH(1,(xlRTTYENDU=2)*(xlRTTYEQCL=$F1025)*(xlRTEQTYPE=$G1025),0))</f>
        <v>ELEC_HP2</v>
      </c>
    </row>
    <row r="1026" spans="2:25" ht="14.25" customHeight="1" x14ac:dyDescent="0.2">
      <c r="B1026" s="126">
        <v>8</v>
      </c>
      <c r="C1026" s="126">
        <v>2</v>
      </c>
      <c r="D1026" s="126">
        <v>2</v>
      </c>
      <c r="E1026" s="126">
        <v>2</v>
      </c>
      <c r="F1026" s="126">
        <v>3</v>
      </c>
      <c r="G1026" s="126">
        <v>9</v>
      </c>
      <c r="H1026" s="126">
        <v>2016</v>
      </c>
      <c r="I1026" s="126">
        <v>2022</v>
      </c>
      <c r="J1026" s="127">
        <v>1.0889</v>
      </c>
      <c r="K1026" s="127">
        <v>1.0313000000000001</v>
      </c>
      <c r="L1026" s="127">
        <v>1.6535</v>
      </c>
      <c r="M1026" s="127">
        <v>1.3391999999999999</v>
      </c>
      <c r="N1026" s="127">
        <v>1.2706</v>
      </c>
      <c r="O1026" s="127">
        <v>1.0538000000000001</v>
      </c>
      <c r="P1026" s="126">
        <v>0</v>
      </c>
      <c r="Q1026" s="128">
        <f t="array" ref="Q1026">SUM(IF(($S1026&gt;=4)*($C1026='TaxCred&amp;Subs'!$D$123:$D$127)*($H1026='TaxCred&amp;Subs'!$C$123:$C$127)*($H1026&lt;='TaxCred&amp;Subs'!$C$129),'TaxCred&amp;Subs'!$E$123:$E$127,0))</f>
        <v>0</v>
      </c>
      <c r="R1026" s="174">
        <v>0</v>
      </c>
      <c r="S1026" s="126">
        <v>1</v>
      </c>
      <c r="T1026" s="126" t="s">
        <v>223</v>
      </c>
      <c r="U1026" s="158"/>
      <c r="V1026" s="153" t="str">
        <f t="array" ref="V1026">INDEX(xlRTCLNAME,MATCH(1,(xlRTCLENDU=1)*(xlRTCLEQCL=$D1026),0))</f>
        <v>ELEC_HP</v>
      </c>
      <c r="W1026" s="153" t="str">
        <f t="array" ref="W1026">INDEX(xlRTCLNAME,MATCH(1,(xlRTCLENDU=2)*(xlRTCLEQCL=$F1026),0))</f>
        <v>ELEC_HP</v>
      </c>
      <c r="X1026" s="153" t="str">
        <f t="array" ref="X1026">INDEX(xlRTTYNAME,MATCH(1,(xlRTTYENDU=1)*(xlRTTYEQCL=$D1026)*(xlRTEQTYPE=$E1026),0))</f>
        <v>ELEC_HP1</v>
      </c>
      <c r="Y1026" s="153" t="str">
        <f t="array" ref="Y1026">INDEX(xlRTTYNAME,MATCH(1,(xlRTTYENDU=2)*(xlRTTYEQCL=$F1026)*(xlRTEQTYPE=$G1026),0))</f>
        <v>ELEC_HP1</v>
      </c>
    </row>
    <row r="1027" spans="2:25" ht="14.25" customHeight="1" x14ac:dyDescent="0.2">
      <c r="B1027" s="126">
        <v>8</v>
      </c>
      <c r="C1027" s="126">
        <v>2</v>
      </c>
      <c r="D1027" s="126">
        <v>2</v>
      </c>
      <c r="E1027" s="126">
        <v>3</v>
      </c>
      <c r="F1027" s="126">
        <v>3</v>
      </c>
      <c r="G1027" s="126">
        <v>10</v>
      </c>
      <c r="H1027" s="126">
        <v>2023</v>
      </c>
      <c r="I1027" s="126">
        <v>2050</v>
      </c>
      <c r="J1027" s="127">
        <v>1.0889</v>
      </c>
      <c r="K1027" s="127">
        <v>1.0313000000000001</v>
      </c>
      <c r="L1027" s="127">
        <v>1.6535</v>
      </c>
      <c r="M1027" s="127">
        <v>1.3391999999999999</v>
      </c>
      <c r="N1027" s="127">
        <v>1.2706</v>
      </c>
      <c r="O1027" s="127">
        <v>1.0538000000000001</v>
      </c>
      <c r="P1027" s="126">
        <v>0</v>
      </c>
      <c r="Q1027" s="128">
        <f t="array" ref="Q1027">SUM(IF(($S1027&gt;=4)*($C1027='TaxCred&amp;Subs'!$D$123:$D$127)*($H1027='TaxCred&amp;Subs'!$C$123:$C$127)*($H1027&lt;='TaxCred&amp;Subs'!$C$129),'TaxCred&amp;Subs'!$E$123:$E$127,0))</f>
        <v>0</v>
      </c>
      <c r="R1027" s="174">
        <v>0</v>
      </c>
      <c r="S1027" s="126">
        <v>1</v>
      </c>
      <c r="T1027" s="126" t="s">
        <v>223</v>
      </c>
      <c r="U1027" s="158"/>
      <c r="V1027" s="153" t="str">
        <f t="array" ref="V1027">INDEX(xlRTCLNAME,MATCH(1,(xlRTCLENDU=1)*(xlRTCLEQCL=$D1027),0))</f>
        <v>ELEC_HP</v>
      </c>
      <c r="W1027" s="153" t="str">
        <f t="array" ref="W1027">INDEX(xlRTCLNAME,MATCH(1,(xlRTCLENDU=2)*(xlRTCLEQCL=$F1027),0))</f>
        <v>ELEC_HP</v>
      </c>
      <c r="X1027" s="153" t="str">
        <f t="array" ref="X1027">INDEX(xlRTTYNAME,MATCH(1,(xlRTTYENDU=1)*(xlRTTYEQCL=$D1027)*(xlRTEQTYPE=$E1027),0))</f>
        <v>ELEC_HP2</v>
      </c>
      <c r="Y1027" s="153" t="str">
        <f t="array" ref="Y1027">INDEX(xlRTTYNAME,MATCH(1,(xlRTTYENDU=2)*(xlRTTYEQCL=$F1027)*(xlRTEQTYPE=$G1027),0))</f>
        <v>ELEC_HP2</v>
      </c>
    </row>
    <row r="1028" spans="2:25" ht="14.25" customHeight="1" x14ac:dyDescent="0.2">
      <c r="B1028" s="126">
        <v>9</v>
      </c>
      <c r="C1028" s="126">
        <v>2</v>
      </c>
      <c r="D1028" s="126">
        <v>2</v>
      </c>
      <c r="E1028" s="126">
        <v>2</v>
      </c>
      <c r="F1028" s="126">
        <v>3</v>
      </c>
      <c r="G1028" s="126">
        <v>9</v>
      </c>
      <c r="H1028" s="126">
        <v>2016</v>
      </c>
      <c r="I1028" s="126">
        <v>2022</v>
      </c>
      <c r="J1028" s="127">
        <v>1.1200000000000001</v>
      </c>
      <c r="K1028" s="127">
        <v>1.0512999999999999</v>
      </c>
      <c r="L1028" s="127">
        <v>2</v>
      </c>
      <c r="M1028" s="127">
        <v>1.2834000000000001</v>
      </c>
      <c r="N1028" s="127">
        <v>1.4438</v>
      </c>
      <c r="O1028" s="127">
        <v>1.0538000000000001</v>
      </c>
      <c r="P1028" s="126">
        <v>0</v>
      </c>
      <c r="Q1028" s="128">
        <f t="array" ref="Q1028">SUM(IF(($S1028&gt;=4)*($C1028='TaxCred&amp;Subs'!$D$123:$D$127)*($H1028='TaxCred&amp;Subs'!$C$123:$C$127)*($H1028&lt;='TaxCred&amp;Subs'!$C$129),'TaxCred&amp;Subs'!$E$123:$E$127,0))</f>
        <v>0</v>
      </c>
      <c r="R1028" s="174">
        <v>0</v>
      </c>
      <c r="S1028" s="126">
        <v>1</v>
      </c>
      <c r="T1028" s="126" t="s">
        <v>223</v>
      </c>
      <c r="U1028" s="158"/>
      <c r="V1028" s="153" t="str">
        <f t="array" ref="V1028">INDEX(xlRTCLNAME,MATCH(1,(xlRTCLENDU=1)*(xlRTCLEQCL=$D1028),0))</f>
        <v>ELEC_HP</v>
      </c>
      <c r="W1028" s="153" t="str">
        <f t="array" ref="W1028">INDEX(xlRTCLNAME,MATCH(1,(xlRTCLENDU=2)*(xlRTCLEQCL=$F1028),0))</f>
        <v>ELEC_HP</v>
      </c>
      <c r="X1028" s="153" t="str">
        <f t="array" ref="X1028">INDEX(xlRTTYNAME,MATCH(1,(xlRTTYENDU=1)*(xlRTTYEQCL=$D1028)*(xlRTEQTYPE=$E1028),0))</f>
        <v>ELEC_HP1</v>
      </c>
      <c r="Y1028" s="153" t="str">
        <f t="array" ref="Y1028">INDEX(xlRTTYNAME,MATCH(1,(xlRTTYENDU=2)*(xlRTTYEQCL=$F1028)*(xlRTEQTYPE=$G1028),0))</f>
        <v>ELEC_HP1</v>
      </c>
    </row>
    <row r="1029" spans="2:25" ht="14.25" customHeight="1" x14ac:dyDescent="0.2">
      <c r="B1029" s="126">
        <v>9</v>
      </c>
      <c r="C1029" s="126">
        <v>2</v>
      </c>
      <c r="D1029" s="126">
        <v>2</v>
      </c>
      <c r="E1029" s="126">
        <v>3</v>
      </c>
      <c r="F1029" s="126">
        <v>3</v>
      </c>
      <c r="G1029" s="126">
        <v>10</v>
      </c>
      <c r="H1029" s="126">
        <v>2023</v>
      </c>
      <c r="I1029" s="126">
        <v>2050</v>
      </c>
      <c r="J1029" s="127">
        <v>1.1200000000000001</v>
      </c>
      <c r="K1029" s="127">
        <v>1.0512999999999999</v>
      </c>
      <c r="L1029" s="127">
        <v>2</v>
      </c>
      <c r="M1029" s="127">
        <v>1.2834000000000001</v>
      </c>
      <c r="N1029" s="127">
        <v>1.4438</v>
      </c>
      <c r="O1029" s="127">
        <v>1.0538000000000001</v>
      </c>
      <c r="P1029" s="126">
        <v>0</v>
      </c>
      <c r="Q1029" s="128">
        <f t="array" ref="Q1029">SUM(IF(($S1029&gt;=4)*($C1029='TaxCred&amp;Subs'!$D$123:$D$127)*($H1029='TaxCred&amp;Subs'!$C$123:$C$127)*($H1029&lt;='TaxCred&amp;Subs'!$C$129),'TaxCred&amp;Subs'!$E$123:$E$127,0))</f>
        <v>0</v>
      </c>
      <c r="R1029" s="174">
        <v>0</v>
      </c>
      <c r="S1029" s="126">
        <v>1</v>
      </c>
      <c r="T1029" s="126" t="s">
        <v>223</v>
      </c>
      <c r="U1029" s="158"/>
      <c r="V1029" s="153" t="str">
        <f t="array" ref="V1029">INDEX(xlRTCLNAME,MATCH(1,(xlRTCLENDU=1)*(xlRTCLEQCL=$D1029),0))</f>
        <v>ELEC_HP</v>
      </c>
      <c r="W1029" s="153" t="str">
        <f t="array" ref="W1029">INDEX(xlRTCLNAME,MATCH(1,(xlRTCLENDU=2)*(xlRTCLEQCL=$F1029),0))</f>
        <v>ELEC_HP</v>
      </c>
      <c r="X1029" s="153" t="str">
        <f t="array" ref="X1029">INDEX(xlRTTYNAME,MATCH(1,(xlRTTYENDU=1)*(xlRTTYEQCL=$D1029)*(xlRTEQTYPE=$E1029),0))</f>
        <v>ELEC_HP2</v>
      </c>
      <c r="Y1029" s="153" t="str">
        <f t="array" ref="Y1029">INDEX(xlRTTYNAME,MATCH(1,(xlRTTYENDU=2)*(xlRTTYEQCL=$F1029)*(xlRTEQTYPE=$G1029),0))</f>
        <v>ELEC_HP2</v>
      </c>
    </row>
    <row r="1030" spans="2:25" ht="14.25" customHeight="1" x14ac:dyDescent="0.2">
      <c r="B1030" s="126">
        <v>1</v>
      </c>
      <c r="C1030" s="126">
        <v>2</v>
      </c>
      <c r="D1030" s="126">
        <v>3</v>
      </c>
      <c r="E1030" s="126">
        <v>6</v>
      </c>
      <c r="F1030" s="126">
        <v>2</v>
      </c>
      <c r="G1030" s="126">
        <v>5</v>
      </c>
      <c r="H1030" s="126">
        <v>2016</v>
      </c>
      <c r="I1030" s="126">
        <v>2022</v>
      </c>
      <c r="J1030" s="127">
        <v>1.1042000000000001</v>
      </c>
      <c r="K1030" s="127">
        <v>1.0417000000000001</v>
      </c>
      <c r="L1030" s="127">
        <v>1.3378000000000001</v>
      </c>
      <c r="M1030" s="127">
        <v>1.1909000000000001</v>
      </c>
      <c r="N1030" s="127">
        <v>1.1127</v>
      </c>
      <c r="O1030" s="127">
        <v>1.0538000000000001</v>
      </c>
      <c r="P1030" s="126">
        <v>0</v>
      </c>
      <c r="Q1030" s="128">
        <f t="array" ref="Q1030">SUM(IF(($S1030&gt;=4)*($C1030='TaxCred&amp;Subs'!$D$123:$D$127)*($H1030='TaxCred&amp;Subs'!$C$123:$C$127)*($H1030&lt;='TaxCred&amp;Subs'!$C$129),'TaxCred&amp;Subs'!$E$123:$E$127,0))</f>
        <v>0</v>
      </c>
      <c r="R1030" s="174">
        <v>0</v>
      </c>
      <c r="S1030" s="126">
        <v>1</v>
      </c>
      <c r="T1030" s="126" t="s">
        <v>223</v>
      </c>
      <c r="U1030" s="158"/>
      <c r="V1030" s="153" t="str">
        <f t="array" ref="V1030">INDEX(xlRTCLNAME,MATCH(1,(xlRTCLENDU=1)*(xlRTCLEQCL=$D1030),0))</f>
        <v>NG_FA</v>
      </c>
      <c r="W1030" s="153" t="str">
        <f t="array" ref="W1030">INDEX(xlRTCLNAME,MATCH(1,(xlRTCLENDU=2)*(xlRTCLEQCL=$F1030),0))</f>
        <v>CENT_AIR</v>
      </c>
      <c r="X1030" s="153" t="str">
        <f t="array" ref="X1030">INDEX(xlRTTYNAME,MATCH(1,(xlRTTYENDU=1)*(xlRTTYEQCL=$D1030)*(xlRTEQTYPE=$E1030),0))</f>
        <v>NG_FA1</v>
      </c>
      <c r="Y1030" s="153" t="str">
        <f t="array" ref="Y1030">INDEX(xlRTTYNAME,MATCH(1,(xlRTTYENDU=2)*(xlRTTYEQCL=$F1030)*(xlRTEQTYPE=$G1030),0))</f>
        <v>CENT_AIR1</v>
      </c>
    </row>
    <row r="1031" spans="2:25" ht="14.25" customHeight="1" x14ac:dyDescent="0.2">
      <c r="B1031" s="126">
        <v>1</v>
      </c>
      <c r="C1031" s="126">
        <v>2</v>
      </c>
      <c r="D1031" s="126">
        <v>3</v>
      </c>
      <c r="E1031" s="126">
        <v>6</v>
      </c>
      <c r="F1031" s="126">
        <v>2</v>
      </c>
      <c r="G1031" s="126">
        <v>6</v>
      </c>
      <c r="H1031" s="126">
        <v>2023</v>
      </c>
      <c r="I1031" s="126">
        <v>2050</v>
      </c>
      <c r="J1031" s="127">
        <v>1.1042000000000001</v>
      </c>
      <c r="K1031" s="127">
        <v>1.0417000000000001</v>
      </c>
      <c r="L1031" s="127">
        <v>1.3378000000000001</v>
      </c>
      <c r="M1031" s="127">
        <v>1.1909000000000001</v>
      </c>
      <c r="N1031" s="127">
        <v>1.1127</v>
      </c>
      <c r="O1031" s="127">
        <v>1.0538000000000001</v>
      </c>
      <c r="P1031" s="126">
        <v>0</v>
      </c>
      <c r="Q1031" s="128">
        <f t="array" ref="Q1031">SUM(IF(($S1031&gt;=4)*($C1031='TaxCred&amp;Subs'!$D$123:$D$127)*($H1031='TaxCred&amp;Subs'!$C$123:$C$127)*($H1031&lt;='TaxCred&amp;Subs'!$C$129),'TaxCred&amp;Subs'!$E$123:$E$127,0))</f>
        <v>0</v>
      </c>
      <c r="R1031" s="174">
        <v>0</v>
      </c>
      <c r="S1031" s="126">
        <v>1</v>
      </c>
      <c r="T1031" s="126" t="s">
        <v>223</v>
      </c>
      <c r="U1031" s="158"/>
      <c r="V1031" s="153" t="str">
        <f t="array" ref="V1031">INDEX(xlRTCLNAME,MATCH(1,(xlRTCLENDU=1)*(xlRTCLEQCL=$D1031),0))</f>
        <v>NG_FA</v>
      </c>
      <c r="W1031" s="153" t="str">
        <f t="array" ref="W1031">INDEX(xlRTCLNAME,MATCH(1,(xlRTCLENDU=2)*(xlRTCLEQCL=$F1031),0))</f>
        <v>CENT_AIR</v>
      </c>
      <c r="X1031" s="153" t="str">
        <f t="array" ref="X1031">INDEX(xlRTTYNAME,MATCH(1,(xlRTTYENDU=1)*(xlRTTYEQCL=$D1031)*(xlRTEQTYPE=$E1031),0))</f>
        <v>NG_FA1</v>
      </c>
      <c r="Y1031" s="153" t="str">
        <f t="array" ref="Y1031">INDEX(xlRTTYNAME,MATCH(1,(xlRTTYENDU=2)*(xlRTTYEQCL=$F1031)*(xlRTEQTYPE=$G1031),0))</f>
        <v>CENT_AIR2</v>
      </c>
    </row>
    <row r="1032" spans="2:25" ht="14.25" customHeight="1" x14ac:dyDescent="0.2">
      <c r="B1032" s="126">
        <v>2</v>
      </c>
      <c r="C1032" s="126">
        <v>2</v>
      </c>
      <c r="D1032" s="126">
        <v>3</v>
      </c>
      <c r="E1032" s="126">
        <v>6</v>
      </c>
      <c r="F1032" s="126">
        <v>2</v>
      </c>
      <c r="G1032" s="126">
        <v>5</v>
      </c>
      <c r="H1032" s="126">
        <v>2016</v>
      </c>
      <c r="I1032" s="126">
        <v>2022</v>
      </c>
      <c r="J1032" s="127">
        <v>1.0847</v>
      </c>
      <c r="K1032" s="127">
        <v>1.0357000000000001</v>
      </c>
      <c r="L1032" s="127">
        <v>1.3448</v>
      </c>
      <c r="M1032" s="127">
        <v>1.2250000000000001</v>
      </c>
      <c r="N1032" s="127">
        <v>1.1162000000000001</v>
      </c>
      <c r="O1032" s="127">
        <v>1.0538000000000001</v>
      </c>
      <c r="P1032" s="126">
        <v>0</v>
      </c>
      <c r="Q1032" s="128">
        <f t="array" ref="Q1032">SUM(IF(($S1032&gt;=4)*($C1032='TaxCred&amp;Subs'!$D$123:$D$127)*($H1032='TaxCred&amp;Subs'!$C$123:$C$127)*($H1032&lt;='TaxCred&amp;Subs'!$C$129),'TaxCred&amp;Subs'!$E$123:$E$127,0))</f>
        <v>0</v>
      </c>
      <c r="R1032" s="174">
        <v>0</v>
      </c>
      <c r="S1032" s="126">
        <v>1</v>
      </c>
      <c r="T1032" s="126" t="s">
        <v>223</v>
      </c>
      <c r="U1032" s="158"/>
      <c r="V1032" s="153" t="str">
        <f t="array" ref="V1032">INDEX(xlRTCLNAME,MATCH(1,(xlRTCLENDU=1)*(xlRTCLEQCL=$D1032),0))</f>
        <v>NG_FA</v>
      </c>
      <c r="W1032" s="153" t="str">
        <f t="array" ref="W1032">INDEX(xlRTCLNAME,MATCH(1,(xlRTCLENDU=2)*(xlRTCLEQCL=$F1032),0))</f>
        <v>CENT_AIR</v>
      </c>
      <c r="X1032" s="153" t="str">
        <f t="array" ref="X1032">INDEX(xlRTTYNAME,MATCH(1,(xlRTTYENDU=1)*(xlRTTYEQCL=$D1032)*(xlRTEQTYPE=$E1032),0))</f>
        <v>NG_FA1</v>
      </c>
      <c r="Y1032" s="153" t="str">
        <f t="array" ref="Y1032">INDEX(xlRTTYNAME,MATCH(1,(xlRTTYENDU=2)*(xlRTTYEQCL=$F1032)*(xlRTEQTYPE=$G1032),0))</f>
        <v>CENT_AIR1</v>
      </c>
    </row>
    <row r="1033" spans="2:25" ht="14.25" customHeight="1" x14ac:dyDescent="0.2">
      <c r="B1033" s="126">
        <v>2</v>
      </c>
      <c r="C1033" s="126">
        <v>2</v>
      </c>
      <c r="D1033" s="126">
        <v>3</v>
      </c>
      <c r="E1033" s="126">
        <v>6</v>
      </c>
      <c r="F1033" s="126">
        <v>2</v>
      </c>
      <c r="G1033" s="126">
        <v>6</v>
      </c>
      <c r="H1033" s="126">
        <v>2023</v>
      </c>
      <c r="I1033" s="126">
        <v>2050</v>
      </c>
      <c r="J1033" s="127">
        <v>1.0847</v>
      </c>
      <c r="K1033" s="127">
        <v>1.0357000000000001</v>
      </c>
      <c r="L1033" s="127">
        <v>1.3448</v>
      </c>
      <c r="M1033" s="127">
        <v>1.2250000000000001</v>
      </c>
      <c r="N1033" s="127">
        <v>1.1162000000000001</v>
      </c>
      <c r="O1033" s="127">
        <v>1.0538000000000001</v>
      </c>
      <c r="P1033" s="126">
        <v>0</v>
      </c>
      <c r="Q1033" s="128">
        <f t="array" ref="Q1033">SUM(IF(($S1033&gt;=4)*($C1033='TaxCred&amp;Subs'!$D$123:$D$127)*($H1033='TaxCred&amp;Subs'!$C$123:$C$127)*($H1033&lt;='TaxCred&amp;Subs'!$C$129),'TaxCred&amp;Subs'!$E$123:$E$127,0))</f>
        <v>0</v>
      </c>
      <c r="R1033" s="174">
        <v>0</v>
      </c>
      <c r="S1033" s="126">
        <v>1</v>
      </c>
      <c r="T1033" s="126" t="s">
        <v>223</v>
      </c>
      <c r="U1033" s="158"/>
      <c r="V1033" s="153" t="str">
        <f t="array" ref="V1033">INDEX(xlRTCLNAME,MATCH(1,(xlRTCLENDU=1)*(xlRTCLEQCL=$D1033),0))</f>
        <v>NG_FA</v>
      </c>
      <c r="W1033" s="153" t="str">
        <f t="array" ref="W1033">INDEX(xlRTCLNAME,MATCH(1,(xlRTCLENDU=2)*(xlRTCLEQCL=$F1033),0))</f>
        <v>CENT_AIR</v>
      </c>
      <c r="X1033" s="153" t="str">
        <f t="array" ref="X1033">INDEX(xlRTTYNAME,MATCH(1,(xlRTTYENDU=1)*(xlRTTYEQCL=$D1033)*(xlRTEQTYPE=$E1033),0))</f>
        <v>NG_FA1</v>
      </c>
      <c r="Y1033" s="153" t="str">
        <f t="array" ref="Y1033">INDEX(xlRTTYNAME,MATCH(1,(xlRTTYENDU=2)*(xlRTTYEQCL=$F1033)*(xlRTEQTYPE=$G1033),0))</f>
        <v>CENT_AIR2</v>
      </c>
    </row>
    <row r="1034" spans="2:25" ht="14.25" customHeight="1" x14ac:dyDescent="0.2">
      <c r="B1034" s="126">
        <v>3</v>
      </c>
      <c r="C1034" s="126">
        <v>2</v>
      </c>
      <c r="D1034" s="126">
        <v>3</v>
      </c>
      <c r="E1034" s="126">
        <v>6</v>
      </c>
      <c r="F1034" s="126">
        <v>2</v>
      </c>
      <c r="G1034" s="126">
        <v>5</v>
      </c>
      <c r="H1034" s="126">
        <v>2016</v>
      </c>
      <c r="I1034" s="126">
        <v>2022</v>
      </c>
      <c r="J1034" s="127">
        <v>1.0984</v>
      </c>
      <c r="K1034" s="127">
        <v>1.0345</v>
      </c>
      <c r="L1034" s="127">
        <v>1.1920999999999999</v>
      </c>
      <c r="M1034" s="127">
        <v>1.1345000000000001</v>
      </c>
      <c r="N1034" s="127">
        <v>1.0399</v>
      </c>
      <c r="O1034" s="127">
        <v>1.0538000000000001</v>
      </c>
      <c r="P1034" s="126">
        <v>0</v>
      </c>
      <c r="Q1034" s="128">
        <f t="array" ref="Q1034">SUM(IF(($S1034&gt;=4)*($C1034='TaxCred&amp;Subs'!$D$123:$D$127)*($H1034='TaxCred&amp;Subs'!$C$123:$C$127)*($H1034&lt;='TaxCred&amp;Subs'!$C$129),'TaxCred&amp;Subs'!$E$123:$E$127,0))</f>
        <v>0</v>
      </c>
      <c r="R1034" s="174">
        <v>0</v>
      </c>
      <c r="S1034" s="126">
        <v>1</v>
      </c>
      <c r="T1034" s="126" t="s">
        <v>223</v>
      </c>
      <c r="U1034" s="158"/>
      <c r="V1034" s="153" t="str">
        <f t="array" ref="V1034">INDEX(xlRTCLNAME,MATCH(1,(xlRTCLENDU=1)*(xlRTCLEQCL=$D1034),0))</f>
        <v>NG_FA</v>
      </c>
      <c r="W1034" s="153" t="str">
        <f t="array" ref="W1034">INDEX(xlRTCLNAME,MATCH(1,(xlRTCLENDU=2)*(xlRTCLEQCL=$F1034),0))</f>
        <v>CENT_AIR</v>
      </c>
      <c r="X1034" s="153" t="str">
        <f t="array" ref="X1034">INDEX(xlRTTYNAME,MATCH(1,(xlRTTYENDU=1)*(xlRTTYEQCL=$D1034)*(xlRTEQTYPE=$E1034),0))</f>
        <v>NG_FA1</v>
      </c>
      <c r="Y1034" s="153" t="str">
        <f t="array" ref="Y1034">INDEX(xlRTTYNAME,MATCH(1,(xlRTTYENDU=2)*(xlRTTYEQCL=$F1034)*(xlRTEQTYPE=$G1034),0))</f>
        <v>CENT_AIR1</v>
      </c>
    </row>
    <row r="1035" spans="2:25" ht="14.25" customHeight="1" x14ac:dyDescent="0.2">
      <c r="B1035" s="126">
        <v>3</v>
      </c>
      <c r="C1035" s="126">
        <v>2</v>
      </c>
      <c r="D1035" s="126">
        <v>3</v>
      </c>
      <c r="E1035" s="126">
        <v>6</v>
      </c>
      <c r="F1035" s="126">
        <v>2</v>
      </c>
      <c r="G1035" s="126">
        <v>6</v>
      </c>
      <c r="H1035" s="126">
        <v>2023</v>
      </c>
      <c r="I1035" s="126">
        <v>2050</v>
      </c>
      <c r="J1035" s="127">
        <v>1.0984</v>
      </c>
      <c r="K1035" s="127">
        <v>1.0345</v>
      </c>
      <c r="L1035" s="127">
        <v>1.1920999999999999</v>
      </c>
      <c r="M1035" s="127">
        <v>1.1345000000000001</v>
      </c>
      <c r="N1035" s="127">
        <v>1.0399</v>
      </c>
      <c r="O1035" s="127">
        <v>1.0538000000000001</v>
      </c>
      <c r="P1035" s="126">
        <v>0</v>
      </c>
      <c r="Q1035" s="128">
        <f t="array" ref="Q1035">SUM(IF(($S1035&gt;=4)*($C1035='TaxCred&amp;Subs'!$D$123:$D$127)*($H1035='TaxCred&amp;Subs'!$C$123:$C$127)*($H1035&lt;='TaxCred&amp;Subs'!$C$129),'TaxCred&amp;Subs'!$E$123:$E$127,0))</f>
        <v>0</v>
      </c>
      <c r="R1035" s="174">
        <v>0</v>
      </c>
      <c r="S1035" s="126">
        <v>1</v>
      </c>
      <c r="T1035" s="126" t="s">
        <v>223</v>
      </c>
      <c r="U1035" s="158"/>
      <c r="V1035" s="153" t="str">
        <f t="array" ref="V1035">INDEX(xlRTCLNAME,MATCH(1,(xlRTCLENDU=1)*(xlRTCLEQCL=$D1035),0))</f>
        <v>NG_FA</v>
      </c>
      <c r="W1035" s="153" t="str">
        <f t="array" ref="W1035">INDEX(xlRTCLNAME,MATCH(1,(xlRTCLENDU=2)*(xlRTCLEQCL=$F1035),0))</f>
        <v>CENT_AIR</v>
      </c>
      <c r="X1035" s="153" t="str">
        <f t="array" ref="X1035">INDEX(xlRTTYNAME,MATCH(1,(xlRTTYENDU=1)*(xlRTTYEQCL=$D1035)*(xlRTEQTYPE=$E1035),0))</f>
        <v>NG_FA1</v>
      </c>
      <c r="Y1035" s="153" t="str">
        <f t="array" ref="Y1035">INDEX(xlRTTYNAME,MATCH(1,(xlRTTYENDU=2)*(xlRTTYEQCL=$F1035)*(xlRTEQTYPE=$G1035),0))</f>
        <v>CENT_AIR2</v>
      </c>
    </row>
    <row r="1036" spans="2:25" ht="14.25" customHeight="1" x14ac:dyDescent="0.2">
      <c r="B1036" s="126">
        <v>4</v>
      </c>
      <c r="C1036" s="126">
        <v>2</v>
      </c>
      <c r="D1036" s="126">
        <v>3</v>
      </c>
      <c r="E1036" s="126">
        <v>6</v>
      </c>
      <c r="F1036" s="126">
        <v>2</v>
      </c>
      <c r="G1036" s="126">
        <v>5</v>
      </c>
      <c r="H1036" s="126">
        <v>2016</v>
      </c>
      <c r="I1036" s="126">
        <v>2022</v>
      </c>
      <c r="J1036" s="127">
        <v>1.1000000000000001</v>
      </c>
      <c r="K1036" s="127">
        <v>1.0435000000000001</v>
      </c>
      <c r="L1036" s="127">
        <v>1.4516</v>
      </c>
      <c r="M1036" s="127">
        <v>1.2250000000000001</v>
      </c>
      <c r="N1036" s="127">
        <v>1.1696</v>
      </c>
      <c r="O1036" s="127">
        <v>1.0538000000000001</v>
      </c>
      <c r="P1036" s="126">
        <v>0</v>
      </c>
      <c r="Q1036" s="128">
        <f t="array" ref="Q1036">SUM(IF(($S1036&gt;=4)*($C1036='TaxCred&amp;Subs'!$D$123:$D$127)*($H1036='TaxCred&amp;Subs'!$C$123:$C$127)*($H1036&lt;='TaxCred&amp;Subs'!$C$129),'TaxCred&amp;Subs'!$E$123:$E$127,0))</f>
        <v>0</v>
      </c>
      <c r="R1036" s="174">
        <v>0</v>
      </c>
      <c r="S1036" s="126">
        <v>1</v>
      </c>
      <c r="T1036" s="126" t="s">
        <v>223</v>
      </c>
      <c r="U1036" s="158"/>
      <c r="V1036" s="153" t="str">
        <f t="array" ref="V1036">INDEX(xlRTCLNAME,MATCH(1,(xlRTCLENDU=1)*(xlRTCLEQCL=$D1036),0))</f>
        <v>NG_FA</v>
      </c>
      <c r="W1036" s="153" t="str">
        <f t="array" ref="W1036">INDEX(xlRTCLNAME,MATCH(1,(xlRTCLENDU=2)*(xlRTCLEQCL=$F1036),0))</f>
        <v>CENT_AIR</v>
      </c>
      <c r="X1036" s="153" t="str">
        <f t="array" ref="X1036">INDEX(xlRTTYNAME,MATCH(1,(xlRTTYENDU=1)*(xlRTTYEQCL=$D1036)*(xlRTEQTYPE=$E1036),0))</f>
        <v>NG_FA1</v>
      </c>
      <c r="Y1036" s="153" t="str">
        <f t="array" ref="Y1036">INDEX(xlRTTYNAME,MATCH(1,(xlRTTYENDU=2)*(xlRTTYEQCL=$F1036)*(xlRTEQTYPE=$G1036),0))</f>
        <v>CENT_AIR1</v>
      </c>
    </row>
    <row r="1037" spans="2:25" ht="14.25" customHeight="1" x14ac:dyDescent="0.2">
      <c r="B1037" s="126">
        <v>4</v>
      </c>
      <c r="C1037" s="126">
        <v>2</v>
      </c>
      <c r="D1037" s="126">
        <v>3</v>
      </c>
      <c r="E1037" s="126">
        <v>6</v>
      </c>
      <c r="F1037" s="126">
        <v>2</v>
      </c>
      <c r="G1037" s="126">
        <v>6</v>
      </c>
      <c r="H1037" s="126">
        <v>2023</v>
      </c>
      <c r="I1037" s="126">
        <v>2050</v>
      </c>
      <c r="J1037" s="127">
        <v>1.1000000000000001</v>
      </c>
      <c r="K1037" s="127">
        <v>1.0435000000000001</v>
      </c>
      <c r="L1037" s="127">
        <v>1.4516</v>
      </c>
      <c r="M1037" s="127">
        <v>1.2250000000000001</v>
      </c>
      <c r="N1037" s="127">
        <v>1.1696</v>
      </c>
      <c r="O1037" s="127">
        <v>1.0538000000000001</v>
      </c>
      <c r="P1037" s="126">
        <v>0</v>
      </c>
      <c r="Q1037" s="128">
        <f t="array" ref="Q1037">SUM(IF(($S1037&gt;=4)*($C1037='TaxCred&amp;Subs'!$D$123:$D$127)*($H1037='TaxCred&amp;Subs'!$C$123:$C$127)*($H1037&lt;='TaxCred&amp;Subs'!$C$129),'TaxCred&amp;Subs'!$E$123:$E$127,0))</f>
        <v>0</v>
      </c>
      <c r="R1037" s="174">
        <v>0</v>
      </c>
      <c r="S1037" s="126">
        <v>1</v>
      </c>
      <c r="T1037" s="126" t="s">
        <v>223</v>
      </c>
      <c r="U1037" s="158"/>
      <c r="V1037" s="153" t="str">
        <f t="array" ref="V1037">INDEX(xlRTCLNAME,MATCH(1,(xlRTCLENDU=1)*(xlRTCLEQCL=$D1037),0))</f>
        <v>NG_FA</v>
      </c>
      <c r="W1037" s="153" t="str">
        <f t="array" ref="W1037">INDEX(xlRTCLNAME,MATCH(1,(xlRTCLENDU=2)*(xlRTCLEQCL=$F1037),0))</f>
        <v>CENT_AIR</v>
      </c>
      <c r="X1037" s="153" t="str">
        <f t="array" ref="X1037">INDEX(xlRTTYNAME,MATCH(1,(xlRTTYENDU=1)*(xlRTTYEQCL=$D1037)*(xlRTEQTYPE=$E1037),0))</f>
        <v>NG_FA1</v>
      </c>
      <c r="Y1037" s="153" t="str">
        <f t="array" ref="Y1037">INDEX(xlRTTYNAME,MATCH(1,(xlRTTYENDU=2)*(xlRTTYEQCL=$F1037)*(xlRTEQTYPE=$G1037),0))</f>
        <v>CENT_AIR2</v>
      </c>
    </row>
    <row r="1038" spans="2:25" ht="14.25" customHeight="1" x14ac:dyDescent="0.2">
      <c r="B1038" s="126">
        <v>5</v>
      </c>
      <c r="C1038" s="126">
        <v>2</v>
      </c>
      <c r="D1038" s="126">
        <v>3</v>
      </c>
      <c r="E1038" s="126">
        <v>6</v>
      </c>
      <c r="F1038" s="126">
        <v>2</v>
      </c>
      <c r="G1038" s="126">
        <v>5</v>
      </c>
      <c r="H1038" s="126">
        <v>2016</v>
      </c>
      <c r="I1038" s="126">
        <v>2022</v>
      </c>
      <c r="J1038" s="127">
        <v>1.1200000000000001</v>
      </c>
      <c r="K1038" s="127">
        <v>1.0391999999999999</v>
      </c>
      <c r="L1038" s="127">
        <v>1.6626000000000001</v>
      </c>
      <c r="M1038" s="127">
        <v>1.1687000000000001</v>
      </c>
      <c r="N1038" s="127">
        <v>1.2750999999999999</v>
      </c>
      <c r="O1038" s="127">
        <v>1.0538000000000001</v>
      </c>
      <c r="P1038" s="126">
        <v>0</v>
      </c>
      <c r="Q1038" s="128">
        <f t="array" ref="Q1038">SUM(IF(($S1038&gt;=4)*($C1038='TaxCred&amp;Subs'!$D$123:$D$127)*($H1038='TaxCred&amp;Subs'!$C$123:$C$127)*($H1038&lt;='TaxCred&amp;Subs'!$C$129),'TaxCred&amp;Subs'!$E$123:$E$127,0))</f>
        <v>0</v>
      </c>
      <c r="R1038" s="174">
        <v>0</v>
      </c>
      <c r="S1038" s="126">
        <v>1</v>
      </c>
      <c r="T1038" s="126" t="s">
        <v>223</v>
      </c>
      <c r="U1038" s="158"/>
      <c r="V1038" s="153" t="str">
        <f t="array" ref="V1038">INDEX(xlRTCLNAME,MATCH(1,(xlRTCLENDU=1)*(xlRTCLEQCL=$D1038),0))</f>
        <v>NG_FA</v>
      </c>
      <c r="W1038" s="153" t="str">
        <f t="array" ref="W1038">INDEX(xlRTCLNAME,MATCH(1,(xlRTCLENDU=2)*(xlRTCLEQCL=$F1038),0))</f>
        <v>CENT_AIR</v>
      </c>
      <c r="X1038" s="153" t="str">
        <f t="array" ref="X1038">INDEX(xlRTTYNAME,MATCH(1,(xlRTTYENDU=1)*(xlRTTYEQCL=$D1038)*(xlRTEQTYPE=$E1038),0))</f>
        <v>NG_FA1</v>
      </c>
      <c r="Y1038" s="153" t="str">
        <f t="array" ref="Y1038">INDEX(xlRTTYNAME,MATCH(1,(xlRTTYENDU=2)*(xlRTTYEQCL=$F1038)*(xlRTEQTYPE=$G1038),0))</f>
        <v>CENT_AIR1</v>
      </c>
    </row>
    <row r="1039" spans="2:25" ht="14.25" customHeight="1" x14ac:dyDescent="0.2">
      <c r="B1039" s="126">
        <v>5</v>
      </c>
      <c r="C1039" s="126">
        <v>2</v>
      </c>
      <c r="D1039" s="126">
        <v>3</v>
      </c>
      <c r="E1039" s="126">
        <v>6</v>
      </c>
      <c r="F1039" s="126">
        <v>2</v>
      </c>
      <c r="G1039" s="126">
        <v>6</v>
      </c>
      <c r="H1039" s="126">
        <v>2023</v>
      </c>
      <c r="I1039" s="126">
        <v>2050</v>
      </c>
      <c r="J1039" s="127">
        <v>1.1200000000000001</v>
      </c>
      <c r="K1039" s="127">
        <v>1.0391999999999999</v>
      </c>
      <c r="L1039" s="127">
        <v>1.6626000000000001</v>
      </c>
      <c r="M1039" s="127">
        <v>1.1687000000000001</v>
      </c>
      <c r="N1039" s="127">
        <v>1.2750999999999999</v>
      </c>
      <c r="O1039" s="127">
        <v>1.0538000000000001</v>
      </c>
      <c r="P1039" s="126">
        <v>0</v>
      </c>
      <c r="Q1039" s="128">
        <f t="array" ref="Q1039">SUM(IF(($S1039&gt;=4)*($C1039='TaxCred&amp;Subs'!$D$123:$D$127)*($H1039='TaxCred&amp;Subs'!$C$123:$C$127)*($H1039&lt;='TaxCred&amp;Subs'!$C$129),'TaxCred&amp;Subs'!$E$123:$E$127,0))</f>
        <v>0</v>
      </c>
      <c r="R1039" s="174">
        <v>0</v>
      </c>
      <c r="S1039" s="126">
        <v>1</v>
      </c>
      <c r="T1039" s="126" t="s">
        <v>223</v>
      </c>
      <c r="U1039" s="158"/>
      <c r="V1039" s="153" t="str">
        <f t="array" ref="V1039">INDEX(xlRTCLNAME,MATCH(1,(xlRTCLENDU=1)*(xlRTCLEQCL=$D1039),0))</f>
        <v>NG_FA</v>
      </c>
      <c r="W1039" s="153" t="str">
        <f t="array" ref="W1039">INDEX(xlRTCLNAME,MATCH(1,(xlRTCLENDU=2)*(xlRTCLEQCL=$F1039),0))</f>
        <v>CENT_AIR</v>
      </c>
      <c r="X1039" s="153" t="str">
        <f t="array" ref="X1039">INDEX(xlRTTYNAME,MATCH(1,(xlRTTYENDU=1)*(xlRTTYEQCL=$D1039)*(xlRTEQTYPE=$E1039),0))</f>
        <v>NG_FA1</v>
      </c>
      <c r="Y1039" s="153" t="str">
        <f t="array" ref="Y1039">INDEX(xlRTTYNAME,MATCH(1,(xlRTTYENDU=2)*(xlRTTYEQCL=$F1039)*(xlRTEQTYPE=$G1039),0))</f>
        <v>CENT_AIR2</v>
      </c>
    </row>
    <row r="1040" spans="2:25" ht="14.25" customHeight="1" x14ac:dyDescent="0.2">
      <c r="B1040" s="126">
        <v>6</v>
      </c>
      <c r="C1040" s="126">
        <v>2</v>
      </c>
      <c r="D1040" s="126">
        <v>3</v>
      </c>
      <c r="E1040" s="126">
        <v>6</v>
      </c>
      <c r="F1040" s="126">
        <v>2</v>
      </c>
      <c r="G1040" s="126">
        <v>5</v>
      </c>
      <c r="H1040" s="126">
        <v>2016</v>
      </c>
      <c r="I1040" s="126">
        <v>2022</v>
      </c>
      <c r="J1040" s="127">
        <v>1.1200000000000001</v>
      </c>
      <c r="K1040" s="127">
        <v>1.03</v>
      </c>
      <c r="L1040" s="127">
        <v>1.7771999999999999</v>
      </c>
      <c r="M1040" s="127">
        <v>1.2250000000000001</v>
      </c>
      <c r="N1040" s="127">
        <v>1.3324</v>
      </c>
      <c r="O1040" s="127">
        <v>1.0538000000000001</v>
      </c>
      <c r="P1040" s="126">
        <v>0</v>
      </c>
      <c r="Q1040" s="128">
        <f t="array" ref="Q1040">SUM(IF(($S1040&gt;=4)*($C1040='TaxCred&amp;Subs'!$D$123:$D$127)*($H1040='TaxCred&amp;Subs'!$C$123:$C$127)*($H1040&lt;='TaxCred&amp;Subs'!$C$129),'TaxCred&amp;Subs'!$E$123:$E$127,0))</f>
        <v>0</v>
      </c>
      <c r="R1040" s="174">
        <v>0</v>
      </c>
      <c r="S1040" s="126">
        <v>1</v>
      </c>
      <c r="T1040" s="126" t="s">
        <v>223</v>
      </c>
      <c r="U1040" s="158"/>
      <c r="V1040" s="153" t="str">
        <f t="array" ref="V1040">INDEX(xlRTCLNAME,MATCH(1,(xlRTCLENDU=1)*(xlRTCLEQCL=$D1040),0))</f>
        <v>NG_FA</v>
      </c>
      <c r="W1040" s="153" t="str">
        <f t="array" ref="W1040">INDEX(xlRTCLNAME,MATCH(1,(xlRTCLENDU=2)*(xlRTCLEQCL=$F1040),0))</f>
        <v>CENT_AIR</v>
      </c>
      <c r="X1040" s="153" t="str">
        <f t="array" ref="X1040">INDEX(xlRTTYNAME,MATCH(1,(xlRTTYENDU=1)*(xlRTTYEQCL=$D1040)*(xlRTEQTYPE=$E1040),0))</f>
        <v>NG_FA1</v>
      </c>
      <c r="Y1040" s="153" t="str">
        <f t="array" ref="Y1040">INDEX(xlRTTYNAME,MATCH(1,(xlRTTYENDU=2)*(xlRTTYEQCL=$F1040)*(xlRTEQTYPE=$G1040),0))</f>
        <v>CENT_AIR1</v>
      </c>
    </row>
    <row r="1041" spans="2:25" ht="14.25" customHeight="1" x14ac:dyDescent="0.2">
      <c r="B1041" s="126">
        <v>6</v>
      </c>
      <c r="C1041" s="126">
        <v>2</v>
      </c>
      <c r="D1041" s="126">
        <v>3</v>
      </c>
      <c r="E1041" s="126">
        <v>6</v>
      </c>
      <c r="F1041" s="126">
        <v>2</v>
      </c>
      <c r="G1041" s="126">
        <v>6</v>
      </c>
      <c r="H1041" s="126">
        <v>2023</v>
      </c>
      <c r="I1041" s="126">
        <v>2050</v>
      </c>
      <c r="J1041" s="127">
        <v>1.1200000000000001</v>
      </c>
      <c r="K1041" s="127">
        <v>1.03</v>
      </c>
      <c r="L1041" s="127">
        <v>1.7771999999999999</v>
      </c>
      <c r="M1041" s="127">
        <v>1.2250000000000001</v>
      </c>
      <c r="N1041" s="127">
        <v>1.3324</v>
      </c>
      <c r="O1041" s="127">
        <v>1.0538000000000001</v>
      </c>
      <c r="P1041" s="126">
        <v>0</v>
      </c>
      <c r="Q1041" s="128">
        <f t="array" ref="Q1041">SUM(IF(($S1041&gt;=4)*($C1041='TaxCred&amp;Subs'!$D$123:$D$127)*($H1041='TaxCred&amp;Subs'!$C$123:$C$127)*($H1041&lt;='TaxCred&amp;Subs'!$C$129),'TaxCred&amp;Subs'!$E$123:$E$127,0))</f>
        <v>0</v>
      </c>
      <c r="R1041" s="174">
        <v>0</v>
      </c>
      <c r="S1041" s="126">
        <v>1</v>
      </c>
      <c r="T1041" s="126" t="s">
        <v>223</v>
      </c>
      <c r="U1041" s="158"/>
      <c r="V1041" s="153" t="str">
        <f t="array" ref="V1041">INDEX(xlRTCLNAME,MATCH(1,(xlRTCLENDU=1)*(xlRTCLEQCL=$D1041),0))</f>
        <v>NG_FA</v>
      </c>
      <c r="W1041" s="153" t="str">
        <f t="array" ref="W1041">INDEX(xlRTCLNAME,MATCH(1,(xlRTCLENDU=2)*(xlRTCLEQCL=$F1041),0))</f>
        <v>CENT_AIR</v>
      </c>
      <c r="X1041" s="153" t="str">
        <f t="array" ref="X1041">INDEX(xlRTTYNAME,MATCH(1,(xlRTTYENDU=1)*(xlRTTYEQCL=$D1041)*(xlRTEQTYPE=$E1041),0))</f>
        <v>NG_FA1</v>
      </c>
      <c r="Y1041" s="153" t="str">
        <f t="array" ref="Y1041">INDEX(xlRTTYNAME,MATCH(1,(xlRTTYENDU=2)*(xlRTTYEQCL=$F1041)*(xlRTEQTYPE=$G1041),0))</f>
        <v>CENT_AIR2</v>
      </c>
    </row>
    <row r="1042" spans="2:25" ht="14.25" customHeight="1" x14ac:dyDescent="0.2">
      <c r="B1042" s="126">
        <v>7</v>
      </c>
      <c r="C1042" s="126">
        <v>2</v>
      </c>
      <c r="D1042" s="126">
        <v>3</v>
      </c>
      <c r="E1042" s="126">
        <v>6</v>
      </c>
      <c r="F1042" s="126">
        <v>2</v>
      </c>
      <c r="G1042" s="126">
        <v>5</v>
      </c>
      <c r="H1042" s="126">
        <v>2016</v>
      </c>
      <c r="I1042" s="126">
        <v>2022</v>
      </c>
      <c r="J1042" s="127">
        <v>1.1200000000000001</v>
      </c>
      <c r="K1042" s="127">
        <v>1.0462</v>
      </c>
      <c r="L1042" s="127">
        <v>2</v>
      </c>
      <c r="M1042" s="127">
        <v>1.2121</v>
      </c>
      <c r="N1042" s="127">
        <v>1.4438</v>
      </c>
      <c r="O1042" s="127">
        <v>1.0538000000000001</v>
      </c>
      <c r="P1042" s="126">
        <v>0</v>
      </c>
      <c r="Q1042" s="128">
        <f t="array" ref="Q1042">SUM(IF(($S1042&gt;=4)*($C1042='TaxCred&amp;Subs'!$D$123:$D$127)*($H1042='TaxCred&amp;Subs'!$C$123:$C$127)*($H1042&lt;='TaxCred&amp;Subs'!$C$129),'TaxCred&amp;Subs'!$E$123:$E$127,0))</f>
        <v>0</v>
      </c>
      <c r="R1042" s="174">
        <v>0</v>
      </c>
      <c r="S1042" s="126">
        <v>1</v>
      </c>
      <c r="T1042" s="126" t="s">
        <v>223</v>
      </c>
      <c r="U1042" s="158"/>
      <c r="V1042" s="153" t="str">
        <f t="array" ref="V1042">INDEX(xlRTCLNAME,MATCH(1,(xlRTCLENDU=1)*(xlRTCLEQCL=$D1042),0))</f>
        <v>NG_FA</v>
      </c>
      <c r="W1042" s="153" t="str">
        <f t="array" ref="W1042">INDEX(xlRTCLNAME,MATCH(1,(xlRTCLENDU=2)*(xlRTCLEQCL=$F1042),0))</f>
        <v>CENT_AIR</v>
      </c>
      <c r="X1042" s="153" t="str">
        <f t="array" ref="X1042">INDEX(xlRTTYNAME,MATCH(1,(xlRTTYENDU=1)*(xlRTTYEQCL=$D1042)*(xlRTEQTYPE=$E1042),0))</f>
        <v>NG_FA1</v>
      </c>
      <c r="Y1042" s="153" t="str">
        <f t="array" ref="Y1042">INDEX(xlRTTYNAME,MATCH(1,(xlRTTYENDU=2)*(xlRTTYEQCL=$F1042)*(xlRTEQTYPE=$G1042),0))</f>
        <v>CENT_AIR1</v>
      </c>
    </row>
    <row r="1043" spans="2:25" ht="14.25" customHeight="1" x14ac:dyDescent="0.2">
      <c r="B1043" s="126">
        <v>7</v>
      </c>
      <c r="C1043" s="126">
        <v>2</v>
      </c>
      <c r="D1043" s="126">
        <v>3</v>
      </c>
      <c r="E1043" s="126">
        <v>6</v>
      </c>
      <c r="F1043" s="126">
        <v>2</v>
      </c>
      <c r="G1043" s="126">
        <v>6</v>
      </c>
      <c r="H1043" s="126">
        <v>2023</v>
      </c>
      <c r="I1043" s="126">
        <v>2050</v>
      </c>
      <c r="J1043" s="127">
        <v>1.1200000000000001</v>
      </c>
      <c r="K1043" s="127">
        <v>1.0462</v>
      </c>
      <c r="L1043" s="127">
        <v>2</v>
      </c>
      <c r="M1043" s="127">
        <v>1.2121</v>
      </c>
      <c r="N1043" s="127">
        <v>1.4438</v>
      </c>
      <c r="O1043" s="127">
        <v>1.0538000000000001</v>
      </c>
      <c r="P1043" s="126">
        <v>0</v>
      </c>
      <c r="Q1043" s="128">
        <f t="array" ref="Q1043">SUM(IF(($S1043&gt;=4)*($C1043='TaxCred&amp;Subs'!$D$123:$D$127)*($H1043='TaxCred&amp;Subs'!$C$123:$C$127)*($H1043&lt;='TaxCred&amp;Subs'!$C$129),'TaxCred&amp;Subs'!$E$123:$E$127,0))</f>
        <v>0</v>
      </c>
      <c r="R1043" s="174">
        <v>0</v>
      </c>
      <c r="S1043" s="126">
        <v>1</v>
      </c>
      <c r="T1043" s="126" t="s">
        <v>223</v>
      </c>
      <c r="U1043" s="158"/>
      <c r="V1043" s="153" t="str">
        <f t="array" ref="V1043">INDEX(xlRTCLNAME,MATCH(1,(xlRTCLENDU=1)*(xlRTCLEQCL=$D1043),0))</f>
        <v>NG_FA</v>
      </c>
      <c r="W1043" s="153" t="str">
        <f t="array" ref="W1043">INDEX(xlRTCLNAME,MATCH(1,(xlRTCLENDU=2)*(xlRTCLEQCL=$F1043),0))</f>
        <v>CENT_AIR</v>
      </c>
      <c r="X1043" s="153" t="str">
        <f t="array" ref="X1043">INDEX(xlRTTYNAME,MATCH(1,(xlRTTYENDU=1)*(xlRTTYEQCL=$D1043)*(xlRTEQTYPE=$E1043),0))</f>
        <v>NG_FA1</v>
      </c>
      <c r="Y1043" s="153" t="str">
        <f t="array" ref="Y1043">INDEX(xlRTTYNAME,MATCH(1,(xlRTTYENDU=2)*(xlRTTYEQCL=$F1043)*(xlRTEQTYPE=$G1043),0))</f>
        <v>CENT_AIR2</v>
      </c>
    </row>
    <row r="1044" spans="2:25" ht="14.25" customHeight="1" x14ac:dyDescent="0.2">
      <c r="B1044" s="126">
        <v>8</v>
      </c>
      <c r="C1044" s="126">
        <v>2</v>
      </c>
      <c r="D1044" s="126">
        <v>3</v>
      </c>
      <c r="E1044" s="126">
        <v>6</v>
      </c>
      <c r="F1044" s="126">
        <v>2</v>
      </c>
      <c r="G1044" s="126">
        <v>5</v>
      </c>
      <c r="H1044" s="126">
        <v>2016</v>
      </c>
      <c r="I1044" s="126">
        <v>2022</v>
      </c>
      <c r="J1044" s="127">
        <v>1.0932999999999999</v>
      </c>
      <c r="K1044" s="127">
        <v>1.0323</v>
      </c>
      <c r="L1044" s="127">
        <v>1.6819</v>
      </c>
      <c r="M1044" s="127">
        <v>1.3391999999999999</v>
      </c>
      <c r="N1044" s="127">
        <v>1.2847999999999999</v>
      </c>
      <c r="O1044" s="127">
        <v>1.0538000000000001</v>
      </c>
      <c r="P1044" s="126">
        <v>0</v>
      </c>
      <c r="Q1044" s="128">
        <f t="array" ref="Q1044">SUM(IF(($S1044&gt;=4)*($C1044='TaxCred&amp;Subs'!$D$123:$D$127)*($H1044='TaxCred&amp;Subs'!$C$123:$C$127)*($H1044&lt;='TaxCred&amp;Subs'!$C$129),'TaxCred&amp;Subs'!$E$123:$E$127,0))</f>
        <v>0</v>
      </c>
      <c r="R1044" s="174">
        <v>0</v>
      </c>
      <c r="S1044" s="126">
        <v>1</v>
      </c>
      <c r="T1044" s="126" t="s">
        <v>223</v>
      </c>
      <c r="U1044" s="158"/>
      <c r="V1044" s="153" t="str">
        <f t="array" ref="V1044">INDEX(xlRTCLNAME,MATCH(1,(xlRTCLENDU=1)*(xlRTCLEQCL=$D1044),0))</f>
        <v>NG_FA</v>
      </c>
      <c r="W1044" s="153" t="str">
        <f t="array" ref="W1044">INDEX(xlRTCLNAME,MATCH(1,(xlRTCLENDU=2)*(xlRTCLEQCL=$F1044),0))</f>
        <v>CENT_AIR</v>
      </c>
      <c r="X1044" s="153" t="str">
        <f t="array" ref="X1044">INDEX(xlRTTYNAME,MATCH(1,(xlRTTYENDU=1)*(xlRTTYEQCL=$D1044)*(xlRTEQTYPE=$E1044),0))</f>
        <v>NG_FA1</v>
      </c>
      <c r="Y1044" s="153" t="str">
        <f t="array" ref="Y1044">INDEX(xlRTTYNAME,MATCH(1,(xlRTTYENDU=2)*(xlRTTYEQCL=$F1044)*(xlRTEQTYPE=$G1044),0))</f>
        <v>CENT_AIR1</v>
      </c>
    </row>
    <row r="1045" spans="2:25" ht="14.25" customHeight="1" x14ac:dyDescent="0.2">
      <c r="B1045" s="126">
        <v>8</v>
      </c>
      <c r="C1045" s="126">
        <v>2</v>
      </c>
      <c r="D1045" s="126">
        <v>3</v>
      </c>
      <c r="E1045" s="126">
        <v>6</v>
      </c>
      <c r="F1045" s="126">
        <v>2</v>
      </c>
      <c r="G1045" s="126">
        <v>6</v>
      </c>
      <c r="H1045" s="126">
        <v>2023</v>
      </c>
      <c r="I1045" s="126">
        <v>2050</v>
      </c>
      <c r="J1045" s="127">
        <v>1.0932999999999999</v>
      </c>
      <c r="K1045" s="127">
        <v>1.0323</v>
      </c>
      <c r="L1045" s="127">
        <v>1.6819</v>
      </c>
      <c r="M1045" s="127">
        <v>1.3391999999999999</v>
      </c>
      <c r="N1045" s="127">
        <v>1.2847999999999999</v>
      </c>
      <c r="O1045" s="127">
        <v>1.0538000000000001</v>
      </c>
      <c r="P1045" s="126">
        <v>0</v>
      </c>
      <c r="Q1045" s="128">
        <f t="array" ref="Q1045">SUM(IF(($S1045&gt;=4)*($C1045='TaxCred&amp;Subs'!$D$123:$D$127)*($H1045='TaxCred&amp;Subs'!$C$123:$C$127)*($H1045&lt;='TaxCred&amp;Subs'!$C$129),'TaxCred&amp;Subs'!$E$123:$E$127,0))</f>
        <v>0</v>
      </c>
      <c r="R1045" s="174">
        <v>0</v>
      </c>
      <c r="S1045" s="126">
        <v>1</v>
      </c>
      <c r="T1045" s="126" t="s">
        <v>223</v>
      </c>
      <c r="U1045" s="158"/>
      <c r="V1045" s="153" t="str">
        <f t="array" ref="V1045">INDEX(xlRTCLNAME,MATCH(1,(xlRTCLENDU=1)*(xlRTCLEQCL=$D1045),0))</f>
        <v>NG_FA</v>
      </c>
      <c r="W1045" s="153" t="str">
        <f t="array" ref="W1045">INDEX(xlRTCLNAME,MATCH(1,(xlRTCLENDU=2)*(xlRTCLEQCL=$F1045),0))</f>
        <v>CENT_AIR</v>
      </c>
      <c r="X1045" s="153" t="str">
        <f t="array" ref="X1045">INDEX(xlRTTYNAME,MATCH(1,(xlRTTYENDU=1)*(xlRTTYEQCL=$D1045)*(xlRTEQTYPE=$E1045),0))</f>
        <v>NG_FA1</v>
      </c>
      <c r="Y1045" s="153" t="str">
        <f t="array" ref="Y1045">INDEX(xlRTTYNAME,MATCH(1,(xlRTTYENDU=2)*(xlRTTYEQCL=$F1045)*(xlRTEQTYPE=$G1045),0))</f>
        <v>CENT_AIR2</v>
      </c>
    </row>
    <row r="1046" spans="2:25" ht="14.25" customHeight="1" x14ac:dyDescent="0.2">
      <c r="B1046" s="126">
        <v>9</v>
      </c>
      <c r="C1046" s="126">
        <v>2</v>
      </c>
      <c r="D1046" s="126">
        <v>3</v>
      </c>
      <c r="E1046" s="126">
        <v>6</v>
      </c>
      <c r="F1046" s="126">
        <v>2</v>
      </c>
      <c r="G1046" s="126">
        <v>5</v>
      </c>
      <c r="H1046" s="126">
        <v>2016</v>
      </c>
      <c r="I1046" s="126">
        <v>2022</v>
      </c>
      <c r="J1046" s="127">
        <v>1.07</v>
      </c>
      <c r="K1046" s="127">
        <v>1.0541</v>
      </c>
      <c r="L1046" s="127">
        <v>2</v>
      </c>
      <c r="M1046" s="127">
        <v>1.2834000000000001</v>
      </c>
      <c r="N1046" s="127">
        <v>1.4438</v>
      </c>
      <c r="O1046" s="127">
        <v>1.0538000000000001</v>
      </c>
      <c r="P1046" s="126">
        <v>0</v>
      </c>
      <c r="Q1046" s="128">
        <f t="array" ref="Q1046">SUM(IF(($S1046&gt;=4)*($C1046='TaxCred&amp;Subs'!$D$123:$D$127)*($H1046='TaxCred&amp;Subs'!$C$123:$C$127)*($H1046&lt;='TaxCred&amp;Subs'!$C$129),'TaxCred&amp;Subs'!$E$123:$E$127,0))</f>
        <v>0</v>
      </c>
      <c r="R1046" s="174">
        <v>0</v>
      </c>
      <c r="S1046" s="126">
        <v>1</v>
      </c>
      <c r="T1046" s="126" t="s">
        <v>223</v>
      </c>
      <c r="U1046" s="158"/>
      <c r="V1046" s="153" t="str">
        <f t="array" ref="V1046">INDEX(xlRTCLNAME,MATCH(1,(xlRTCLENDU=1)*(xlRTCLEQCL=$D1046),0))</f>
        <v>NG_FA</v>
      </c>
      <c r="W1046" s="153" t="str">
        <f t="array" ref="W1046">INDEX(xlRTCLNAME,MATCH(1,(xlRTCLENDU=2)*(xlRTCLEQCL=$F1046),0))</f>
        <v>CENT_AIR</v>
      </c>
      <c r="X1046" s="153" t="str">
        <f t="array" ref="X1046">INDEX(xlRTTYNAME,MATCH(1,(xlRTTYENDU=1)*(xlRTTYEQCL=$D1046)*(xlRTEQTYPE=$E1046),0))</f>
        <v>NG_FA1</v>
      </c>
      <c r="Y1046" s="153" t="str">
        <f t="array" ref="Y1046">INDEX(xlRTTYNAME,MATCH(1,(xlRTTYENDU=2)*(xlRTTYEQCL=$F1046)*(xlRTEQTYPE=$G1046),0))</f>
        <v>CENT_AIR1</v>
      </c>
    </row>
    <row r="1047" spans="2:25" ht="14.25" customHeight="1" x14ac:dyDescent="0.2">
      <c r="B1047" s="126">
        <v>9</v>
      </c>
      <c r="C1047" s="126">
        <v>2</v>
      </c>
      <c r="D1047" s="126">
        <v>3</v>
      </c>
      <c r="E1047" s="126">
        <v>6</v>
      </c>
      <c r="F1047" s="126">
        <v>2</v>
      </c>
      <c r="G1047" s="126">
        <v>6</v>
      </c>
      <c r="H1047" s="126">
        <v>2023</v>
      </c>
      <c r="I1047" s="126">
        <v>2050</v>
      </c>
      <c r="J1047" s="127">
        <v>1.07</v>
      </c>
      <c r="K1047" s="127">
        <v>1.0541</v>
      </c>
      <c r="L1047" s="127">
        <v>2</v>
      </c>
      <c r="M1047" s="127">
        <v>1.2834000000000001</v>
      </c>
      <c r="N1047" s="127">
        <v>1.4438</v>
      </c>
      <c r="O1047" s="127">
        <v>1.0538000000000001</v>
      </c>
      <c r="P1047" s="126">
        <v>0</v>
      </c>
      <c r="Q1047" s="128">
        <f t="array" ref="Q1047">SUM(IF(($S1047&gt;=4)*($C1047='TaxCred&amp;Subs'!$D$123:$D$127)*($H1047='TaxCred&amp;Subs'!$C$123:$C$127)*($H1047&lt;='TaxCred&amp;Subs'!$C$129),'TaxCred&amp;Subs'!$E$123:$E$127,0))</f>
        <v>0</v>
      </c>
      <c r="R1047" s="174">
        <v>0</v>
      </c>
      <c r="S1047" s="126">
        <v>1</v>
      </c>
      <c r="T1047" s="126" t="s">
        <v>223</v>
      </c>
      <c r="U1047" s="158"/>
      <c r="V1047" s="153" t="str">
        <f t="array" ref="V1047">INDEX(xlRTCLNAME,MATCH(1,(xlRTCLENDU=1)*(xlRTCLEQCL=$D1047),0))</f>
        <v>NG_FA</v>
      </c>
      <c r="W1047" s="153" t="str">
        <f t="array" ref="W1047">INDEX(xlRTCLNAME,MATCH(1,(xlRTCLENDU=2)*(xlRTCLEQCL=$F1047),0))</f>
        <v>CENT_AIR</v>
      </c>
      <c r="X1047" s="153" t="str">
        <f t="array" ref="X1047">INDEX(xlRTTYNAME,MATCH(1,(xlRTTYENDU=1)*(xlRTTYEQCL=$D1047)*(xlRTEQTYPE=$E1047),0))</f>
        <v>NG_FA1</v>
      </c>
      <c r="Y1047" s="153" t="str">
        <f t="array" ref="Y1047">INDEX(xlRTTYNAME,MATCH(1,(xlRTTYENDU=2)*(xlRTTYEQCL=$F1047)*(xlRTEQTYPE=$G1047),0))</f>
        <v>CENT_AIR2</v>
      </c>
    </row>
    <row r="1048" spans="2:25" ht="14.25" customHeight="1" x14ac:dyDescent="0.2">
      <c r="B1048" s="126">
        <v>1</v>
      </c>
      <c r="C1048" s="126">
        <v>2</v>
      </c>
      <c r="D1048" s="126">
        <v>4</v>
      </c>
      <c r="E1048" s="126">
        <v>10</v>
      </c>
      <c r="F1048" s="126">
        <v>2</v>
      </c>
      <c r="G1048" s="126">
        <v>5</v>
      </c>
      <c r="H1048" s="126">
        <v>2016</v>
      </c>
      <c r="I1048" s="126">
        <v>2022</v>
      </c>
      <c r="J1048" s="127">
        <v>1.0864</v>
      </c>
      <c r="K1048" s="127">
        <v>1.0417000000000001</v>
      </c>
      <c r="L1048" s="127">
        <v>1.3438000000000001</v>
      </c>
      <c r="M1048" s="127">
        <v>1.1909000000000001</v>
      </c>
      <c r="N1048" s="127">
        <v>1.1156999999999999</v>
      </c>
      <c r="O1048" s="127">
        <v>1.0538000000000001</v>
      </c>
      <c r="P1048" s="126">
        <v>0</v>
      </c>
      <c r="Q1048" s="128">
        <f t="array" ref="Q1048">SUM(IF(($S1048&gt;=4)*($C1048='TaxCred&amp;Subs'!$D$123:$D$127)*($H1048='TaxCred&amp;Subs'!$C$123:$C$127)*($H1048&lt;='TaxCred&amp;Subs'!$C$129),'TaxCred&amp;Subs'!$E$123:$E$127,0))</f>
        <v>0</v>
      </c>
      <c r="R1048" s="174">
        <v>0</v>
      </c>
      <c r="S1048" s="126">
        <v>1</v>
      </c>
      <c r="T1048" s="126" t="s">
        <v>223</v>
      </c>
      <c r="U1048" s="158"/>
      <c r="V1048" s="153" t="str">
        <f t="array" ref="V1048">INDEX(xlRTCLNAME,MATCH(1,(xlRTCLENDU=1)*(xlRTCLEQCL=$D1048),0))</f>
        <v>NG_RAD</v>
      </c>
      <c r="W1048" s="153" t="str">
        <f t="array" ref="W1048">INDEX(xlRTCLNAME,MATCH(1,(xlRTCLENDU=2)*(xlRTCLEQCL=$F1048),0))</f>
        <v>CENT_AIR</v>
      </c>
      <c r="X1048" s="153" t="str">
        <f t="array" ref="X1048">INDEX(xlRTTYNAME,MATCH(1,(xlRTTYENDU=1)*(xlRTTYEQCL=$D1048)*(xlRTEQTYPE=$E1048),0))</f>
        <v>NG_RAD1</v>
      </c>
      <c r="Y1048" s="153" t="str">
        <f t="array" ref="Y1048">INDEX(xlRTTYNAME,MATCH(1,(xlRTTYENDU=2)*(xlRTTYEQCL=$F1048)*(xlRTEQTYPE=$G1048),0))</f>
        <v>CENT_AIR1</v>
      </c>
    </row>
    <row r="1049" spans="2:25" ht="14.25" customHeight="1" x14ac:dyDescent="0.2">
      <c r="B1049" s="126">
        <v>1</v>
      </c>
      <c r="C1049" s="126">
        <v>2</v>
      </c>
      <c r="D1049" s="126">
        <v>4</v>
      </c>
      <c r="E1049" s="126">
        <v>10</v>
      </c>
      <c r="F1049" s="126">
        <v>2</v>
      </c>
      <c r="G1049" s="126">
        <v>6</v>
      </c>
      <c r="H1049" s="126">
        <v>2023</v>
      </c>
      <c r="I1049" s="126">
        <v>2050</v>
      </c>
      <c r="J1049" s="127">
        <v>1.0864</v>
      </c>
      <c r="K1049" s="127">
        <v>1.0417000000000001</v>
      </c>
      <c r="L1049" s="127">
        <v>1.3438000000000001</v>
      </c>
      <c r="M1049" s="127">
        <v>1.1909000000000001</v>
      </c>
      <c r="N1049" s="127">
        <v>1.1156999999999999</v>
      </c>
      <c r="O1049" s="127">
        <v>1.0538000000000001</v>
      </c>
      <c r="P1049" s="126">
        <v>0</v>
      </c>
      <c r="Q1049" s="128">
        <f t="array" ref="Q1049">SUM(IF(($S1049&gt;=4)*($C1049='TaxCred&amp;Subs'!$D$123:$D$127)*($H1049='TaxCred&amp;Subs'!$C$123:$C$127)*($H1049&lt;='TaxCred&amp;Subs'!$C$129),'TaxCred&amp;Subs'!$E$123:$E$127,0))</f>
        <v>0</v>
      </c>
      <c r="R1049" s="174">
        <v>0</v>
      </c>
      <c r="S1049" s="126">
        <v>1</v>
      </c>
      <c r="T1049" s="126" t="s">
        <v>223</v>
      </c>
      <c r="U1049" s="158"/>
      <c r="V1049" s="153" t="str">
        <f t="array" ref="V1049">INDEX(xlRTCLNAME,MATCH(1,(xlRTCLENDU=1)*(xlRTCLEQCL=$D1049),0))</f>
        <v>NG_RAD</v>
      </c>
      <c r="W1049" s="153" t="str">
        <f t="array" ref="W1049">INDEX(xlRTCLNAME,MATCH(1,(xlRTCLENDU=2)*(xlRTCLEQCL=$F1049),0))</f>
        <v>CENT_AIR</v>
      </c>
      <c r="X1049" s="153" t="str">
        <f t="array" ref="X1049">INDEX(xlRTTYNAME,MATCH(1,(xlRTTYENDU=1)*(xlRTTYEQCL=$D1049)*(xlRTEQTYPE=$E1049),0))</f>
        <v>NG_RAD1</v>
      </c>
      <c r="Y1049" s="153" t="str">
        <f t="array" ref="Y1049">INDEX(xlRTTYNAME,MATCH(1,(xlRTTYENDU=2)*(xlRTTYEQCL=$F1049)*(xlRTEQTYPE=$G1049),0))</f>
        <v>CENT_AIR2</v>
      </c>
    </row>
    <row r="1050" spans="2:25" ht="14.25" customHeight="1" x14ac:dyDescent="0.2">
      <c r="B1050" s="126">
        <v>2</v>
      </c>
      <c r="C1050" s="126">
        <v>2</v>
      </c>
      <c r="D1050" s="126">
        <v>4</v>
      </c>
      <c r="E1050" s="126">
        <v>10</v>
      </c>
      <c r="F1050" s="126">
        <v>2</v>
      </c>
      <c r="G1050" s="126">
        <v>5</v>
      </c>
      <c r="H1050" s="126">
        <v>2016</v>
      </c>
      <c r="I1050" s="126">
        <v>2022</v>
      </c>
      <c r="J1050" s="127">
        <v>1.0891</v>
      </c>
      <c r="K1050" s="127">
        <v>1.0713999999999999</v>
      </c>
      <c r="L1050" s="127">
        <v>1.3633999999999999</v>
      </c>
      <c r="M1050" s="127">
        <v>1.2250000000000001</v>
      </c>
      <c r="N1050" s="127">
        <v>1.1254999999999999</v>
      </c>
      <c r="O1050" s="127">
        <v>1.0538000000000001</v>
      </c>
      <c r="P1050" s="126">
        <v>0</v>
      </c>
      <c r="Q1050" s="128">
        <f t="array" ref="Q1050">SUM(IF(($S1050&gt;=4)*($C1050='TaxCred&amp;Subs'!$D$123:$D$127)*($H1050='TaxCred&amp;Subs'!$C$123:$C$127)*($H1050&lt;='TaxCred&amp;Subs'!$C$129),'TaxCred&amp;Subs'!$E$123:$E$127,0))</f>
        <v>0</v>
      </c>
      <c r="R1050" s="174">
        <v>0</v>
      </c>
      <c r="S1050" s="126">
        <v>1</v>
      </c>
      <c r="T1050" s="126" t="s">
        <v>223</v>
      </c>
      <c r="U1050" s="158"/>
      <c r="V1050" s="153" t="str">
        <f t="array" ref="V1050">INDEX(xlRTCLNAME,MATCH(1,(xlRTCLENDU=1)*(xlRTCLEQCL=$D1050),0))</f>
        <v>NG_RAD</v>
      </c>
      <c r="W1050" s="153" t="str">
        <f t="array" ref="W1050">INDEX(xlRTCLNAME,MATCH(1,(xlRTCLENDU=2)*(xlRTCLEQCL=$F1050),0))</f>
        <v>CENT_AIR</v>
      </c>
      <c r="X1050" s="153" t="str">
        <f t="array" ref="X1050">INDEX(xlRTTYNAME,MATCH(1,(xlRTTYENDU=1)*(xlRTTYEQCL=$D1050)*(xlRTEQTYPE=$E1050),0))</f>
        <v>NG_RAD1</v>
      </c>
      <c r="Y1050" s="153" t="str">
        <f t="array" ref="Y1050">INDEX(xlRTTYNAME,MATCH(1,(xlRTTYENDU=2)*(xlRTTYEQCL=$F1050)*(xlRTEQTYPE=$G1050),0))</f>
        <v>CENT_AIR1</v>
      </c>
    </row>
    <row r="1051" spans="2:25" ht="14.25" customHeight="1" x14ac:dyDescent="0.2">
      <c r="B1051" s="126">
        <v>2</v>
      </c>
      <c r="C1051" s="126">
        <v>2</v>
      </c>
      <c r="D1051" s="126">
        <v>4</v>
      </c>
      <c r="E1051" s="126">
        <v>10</v>
      </c>
      <c r="F1051" s="126">
        <v>2</v>
      </c>
      <c r="G1051" s="126">
        <v>6</v>
      </c>
      <c r="H1051" s="126">
        <v>2023</v>
      </c>
      <c r="I1051" s="126">
        <v>2050</v>
      </c>
      <c r="J1051" s="127">
        <v>1.0891</v>
      </c>
      <c r="K1051" s="127">
        <v>1.0713999999999999</v>
      </c>
      <c r="L1051" s="127">
        <v>1.3633999999999999</v>
      </c>
      <c r="M1051" s="127">
        <v>1.2250000000000001</v>
      </c>
      <c r="N1051" s="127">
        <v>1.1254999999999999</v>
      </c>
      <c r="O1051" s="127">
        <v>1.0538000000000001</v>
      </c>
      <c r="P1051" s="126">
        <v>0</v>
      </c>
      <c r="Q1051" s="128">
        <f t="array" ref="Q1051">SUM(IF(($S1051&gt;=4)*($C1051='TaxCred&amp;Subs'!$D$123:$D$127)*($H1051='TaxCred&amp;Subs'!$C$123:$C$127)*($H1051&lt;='TaxCred&amp;Subs'!$C$129),'TaxCred&amp;Subs'!$E$123:$E$127,0))</f>
        <v>0</v>
      </c>
      <c r="R1051" s="174">
        <v>0</v>
      </c>
      <c r="S1051" s="126">
        <v>1</v>
      </c>
      <c r="T1051" s="126" t="s">
        <v>223</v>
      </c>
      <c r="U1051" s="158"/>
      <c r="V1051" s="153" t="str">
        <f t="array" ref="V1051">INDEX(xlRTCLNAME,MATCH(1,(xlRTCLENDU=1)*(xlRTCLEQCL=$D1051),0))</f>
        <v>NG_RAD</v>
      </c>
      <c r="W1051" s="153" t="str">
        <f t="array" ref="W1051">INDEX(xlRTCLNAME,MATCH(1,(xlRTCLENDU=2)*(xlRTCLEQCL=$F1051),0))</f>
        <v>CENT_AIR</v>
      </c>
      <c r="X1051" s="153" t="str">
        <f t="array" ref="X1051">INDEX(xlRTTYNAME,MATCH(1,(xlRTTYENDU=1)*(xlRTTYEQCL=$D1051)*(xlRTEQTYPE=$E1051),0))</f>
        <v>NG_RAD1</v>
      </c>
      <c r="Y1051" s="153" t="str">
        <f t="array" ref="Y1051">INDEX(xlRTTYNAME,MATCH(1,(xlRTTYENDU=2)*(xlRTTYEQCL=$F1051)*(xlRTEQTYPE=$G1051),0))</f>
        <v>CENT_AIR2</v>
      </c>
    </row>
    <row r="1052" spans="2:25" ht="14.25" customHeight="1" x14ac:dyDescent="0.2">
      <c r="B1052" s="126">
        <v>3</v>
      </c>
      <c r="C1052" s="126">
        <v>2</v>
      </c>
      <c r="D1052" s="126">
        <v>4</v>
      </c>
      <c r="E1052" s="126">
        <v>10</v>
      </c>
      <c r="F1052" s="126">
        <v>2</v>
      </c>
      <c r="G1052" s="126">
        <v>5</v>
      </c>
      <c r="H1052" s="126">
        <v>2016</v>
      </c>
      <c r="I1052" s="126">
        <v>2022</v>
      </c>
      <c r="J1052" s="127">
        <v>1.0962000000000001</v>
      </c>
      <c r="K1052" s="127">
        <v>1.0345</v>
      </c>
      <c r="L1052" s="127">
        <v>1.1958</v>
      </c>
      <c r="M1052" s="127">
        <v>1.1345000000000001</v>
      </c>
      <c r="N1052" s="127">
        <v>1.0417000000000001</v>
      </c>
      <c r="O1052" s="127">
        <v>1.0538000000000001</v>
      </c>
      <c r="P1052" s="126">
        <v>0</v>
      </c>
      <c r="Q1052" s="128">
        <f t="array" ref="Q1052">SUM(IF(($S1052&gt;=4)*($C1052='TaxCred&amp;Subs'!$D$123:$D$127)*($H1052='TaxCred&amp;Subs'!$C$123:$C$127)*($H1052&lt;='TaxCred&amp;Subs'!$C$129),'TaxCred&amp;Subs'!$E$123:$E$127,0))</f>
        <v>0</v>
      </c>
      <c r="R1052" s="174">
        <v>0</v>
      </c>
      <c r="S1052" s="126">
        <v>1</v>
      </c>
      <c r="T1052" s="126" t="s">
        <v>223</v>
      </c>
      <c r="U1052" s="158"/>
      <c r="V1052" s="153" t="str">
        <f t="array" ref="V1052">INDEX(xlRTCLNAME,MATCH(1,(xlRTCLENDU=1)*(xlRTCLEQCL=$D1052),0))</f>
        <v>NG_RAD</v>
      </c>
      <c r="W1052" s="153" t="str">
        <f t="array" ref="W1052">INDEX(xlRTCLNAME,MATCH(1,(xlRTCLENDU=2)*(xlRTCLEQCL=$F1052),0))</f>
        <v>CENT_AIR</v>
      </c>
      <c r="X1052" s="153" t="str">
        <f t="array" ref="X1052">INDEX(xlRTTYNAME,MATCH(1,(xlRTTYENDU=1)*(xlRTTYEQCL=$D1052)*(xlRTEQTYPE=$E1052),0))</f>
        <v>NG_RAD1</v>
      </c>
      <c r="Y1052" s="153" t="str">
        <f t="array" ref="Y1052">INDEX(xlRTTYNAME,MATCH(1,(xlRTTYENDU=2)*(xlRTTYEQCL=$F1052)*(xlRTEQTYPE=$G1052),0))</f>
        <v>CENT_AIR1</v>
      </c>
    </row>
    <row r="1053" spans="2:25" ht="14.25" customHeight="1" x14ac:dyDescent="0.2">
      <c r="B1053" s="126">
        <v>3</v>
      </c>
      <c r="C1053" s="126">
        <v>2</v>
      </c>
      <c r="D1053" s="126">
        <v>4</v>
      </c>
      <c r="E1053" s="126">
        <v>10</v>
      </c>
      <c r="F1053" s="126">
        <v>2</v>
      </c>
      <c r="G1053" s="126">
        <v>6</v>
      </c>
      <c r="H1053" s="126">
        <v>2023</v>
      </c>
      <c r="I1053" s="126">
        <v>2050</v>
      </c>
      <c r="J1053" s="127">
        <v>1.0962000000000001</v>
      </c>
      <c r="K1053" s="127">
        <v>1.0345</v>
      </c>
      <c r="L1053" s="127">
        <v>1.1958</v>
      </c>
      <c r="M1053" s="127">
        <v>1.1345000000000001</v>
      </c>
      <c r="N1053" s="127">
        <v>1.0417000000000001</v>
      </c>
      <c r="O1053" s="127">
        <v>1.0538000000000001</v>
      </c>
      <c r="P1053" s="126">
        <v>0</v>
      </c>
      <c r="Q1053" s="128">
        <f t="array" ref="Q1053">SUM(IF(($S1053&gt;=4)*($C1053='TaxCred&amp;Subs'!$D$123:$D$127)*($H1053='TaxCred&amp;Subs'!$C$123:$C$127)*($H1053&lt;='TaxCred&amp;Subs'!$C$129),'TaxCred&amp;Subs'!$E$123:$E$127,0))</f>
        <v>0</v>
      </c>
      <c r="R1053" s="174">
        <v>0</v>
      </c>
      <c r="S1053" s="126">
        <v>1</v>
      </c>
      <c r="T1053" s="126" t="s">
        <v>223</v>
      </c>
      <c r="U1053" s="158"/>
      <c r="V1053" s="153" t="str">
        <f t="array" ref="V1053">INDEX(xlRTCLNAME,MATCH(1,(xlRTCLENDU=1)*(xlRTCLEQCL=$D1053),0))</f>
        <v>NG_RAD</v>
      </c>
      <c r="W1053" s="153" t="str">
        <f t="array" ref="W1053">INDEX(xlRTCLNAME,MATCH(1,(xlRTCLENDU=2)*(xlRTCLEQCL=$F1053),0))</f>
        <v>CENT_AIR</v>
      </c>
      <c r="X1053" s="153" t="str">
        <f t="array" ref="X1053">INDEX(xlRTTYNAME,MATCH(1,(xlRTTYENDU=1)*(xlRTTYEQCL=$D1053)*(xlRTEQTYPE=$E1053),0))</f>
        <v>NG_RAD1</v>
      </c>
      <c r="Y1053" s="153" t="str">
        <f t="array" ref="Y1053">INDEX(xlRTTYNAME,MATCH(1,(xlRTTYENDU=2)*(xlRTTYEQCL=$F1053)*(xlRTEQTYPE=$G1053),0))</f>
        <v>CENT_AIR2</v>
      </c>
    </row>
    <row r="1054" spans="2:25" ht="14.25" customHeight="1" x14ac:dyDescent="0.2">
      <c r="B1054" s="126">
        <v>4</v>
      </c>
      <c r="C1054" s="126">
        <v>2</v>
      </c>
      <c r="D1054" s="126">
        <v>4</v>
      </c>
      <c r="E1054" s="126">
        <v>10</v>
      </c>
      <c r="F1054" s="126">
        <v>2</v>
      </c>
      <c r="G1054" s="126">
        <v>5</v>
      </c>
      <c r="H1054" s="126">
        <v>2016</v>
      </c>
      <c r="I1054" s="126">
        <v>2022</v>
      </c>
      <c r="J1054" s="127">
        <v>1.1024</v>
      </c>
      <c r="K1054" s="127">
        <v>1.0435000000000001</v>
      </c>
      <c r="L1054" s="127">
        <v>1.4481999999999999</v>
      </c>
      <c r="M1054" s="127">
        <v>1.2250000000000001</v>
      </c>
      <c r="N1054" s="127">
        <v>1.1678999999999999</v>
      </c>
      <c r="O1054" s="127">
        <v>1.0538000000000001</v>
      </c>
      <c r="P1054" s="126">
        <v>0</v>
      </c>
      <c r="Q1054" s="128">
        <f t="array" ref="Q1054">SUM(IF(($S1054&gt;=4)*($C1054='TaxCred&amp;Subs'!$D$123:$D$127)*($H1054='TaxCred&amp;Subs'!$C$123:$C$127)*($H1054&lt;='TaxCred&amp;Subs'!$C$129),'TaxCred&amp;Subs'!$E$123:$E$127,0))</f>
        <v>0</v>
      </c>
      <c r="R1054" s="174">
        <v>0</v>
      </c>
      <c r="S1054" s="126">
        <v>1</v>
      </c>
      <c r="T1054" s="126" t="s">
        <v>223</v>
      </c>
      <c r="U1054" s="158"/>
      <c r="V1054" s="153" t="str">
        <f t="array" ref="V1054">INDEX(xlRTCLNAME,MATCH(1,(xlRTCLENDU=1)*(xlRTCLEQCL=$D1054),0))</f>
        <v>NG_RAD</v>
      </c>
      <c r="W1054" s="153" t="str">
        <f t="array" ref="W1054">INDEX(xlRTCLNAME,MATCH(1,(xlRTCLENDU=2)*(xlRTCLEQCL=$F1054),0))</f>
        <v>CENT_AIR</v>
      </c>
      <c r="X1054" s="153" t="str">
        <f t="array" ref="X1054">INDEX(xlRTTYNAME,MATCH(1,(xlRTTYENDU=1)*(xlRTTYEQCL=$D1054)*(xlRTEQTYPE=$E1054),0))</f>
        <v>NG_RAD1</v>
      </c>
      <c r="Y1054" s="153" t="str">
        <f t="array" ref="Y1054">INDEX(xlRTTYNAME,MATCH(1,(xlRTTYENDU=2)*(xlRTTYEQCL=$F1054)*(xlRTEQTYPE=$G1054),0))</f>
        <v>CENT_AIR1</v>
      </c>
    </row>
    <row r="1055" spans="2:25" ht="14.25" customHeight="1" x14ac:dyDescent="0.2">
      <c r="B1055" s="126">
        <v>4</v>
      </c>
      <c r="C1055" s="126">
        <v>2</v>
      </c>
      <c r="D1055" s="126">
        <v>4</v>
      </c>
      <c r="E1055" s="126">
        <v>10</v>
      </c>
      <c r="F1055" s="126">
        <v>2</v>
      </c>
      <c r="G1055" s="126">
        <v>6</v>
      </c>
      <c r="H1055" s="126">
        <v>2023</v>
      </c>
      <c r="I1055" s="126">
        <v>2050</v>
      </c>
      <c r="J1055" s="127">
        <v>1.1024</v>
      </c>
      <c r="K1055" s="127">
        <v>1.0435000000000001</v>
      </c>
      <c r="L1055" s="127">
        <v>1.4481999999999999</v>
      </c>
      <c r="M1055" s="127">
        <v>1.2250000000000001</v>
      </c>
      <c r="N1055" s="127">
        <v>1.1678999999999999</v>
      </c>
      <c r="O1055" s="127">
        <v>1.0538000000000001</v>
      </c>
      <c r="P1055" s="126">
        <v>0</v>
      </c>
      <c r="Q1055" s="128">
        <f t="array" ref="Q1055">SUM(IF(($S1055&gt;=4)*($C1055='TaxCred&amp;Subs'!$D$123:$D$127)*($H1055='TaxCred&amp;Subs'!$C$123:$C$127)*($H1055&lt;='TaxCred&amp;Subs'!$C$129),'TaxCred&amp;Subs'!$E$123:$E$127,0))</f>
        <v>0</v>
      </c>
      <c r="R1055" s="174">
        <v>0</v>
      </c>
      <c r="S1055" s="126">
        <v>1</v>
      </c>
      <c r="T1055" s="126" t="s">
        <v>223</v>
      </c>
      <c r="U1055" s="158"/>
      <c r="V1055" s="153" t="str">
        <f t="array" ref="V1055">INDEX(xlRTCLNAME,MATCH(1,(xlRTCLENDU=1)*(xlRTCLEQCL=$D1055),0))</f>
        <v>NG_RAD</v>
      </c>
      <c r="W1055" s="153" t="str">
        <f t="array" ref="W1055">INDEX(xlRTCLNAME,MATCH(1,(xlRTCLENDU=2)*(xlRTCLEQCL=$F1055),0))</f>
        <v>CENT_AIR</v>
      </c>
      <c r="X1055" s="153" t="str">
        <f t="array" ref="X1055">INDEX(xlRTTYNAME,MATCH(1,(xlRTTYENDU=1)*(xlRTTYEQCL=$D1055)*(xlRTEQTYPE=$E1055),0))</f>
        <v>NG_RAD1</v>
      </c>
      <c r="Y1055" s="153" t="str">
        <f t="array" ref="Y1055">INDEX(xlRTTYNAME,MATCH(1,(xlRTTYENDU=2)*(xlRTTYEQCL=$F1055)*(xlRTEQTYPE=$G1055),0))</f>
        <v>CENT_AIR2</v>
      </c>
    </row>
    <row r="1056" spans="2:25" ht="14.25" customHeight="1" x14ac:dyDescent="0.2">
      <c r="B1056" s="126">
        <v>5</v>
      </c>
      <c r="C1056" s="126">
        <v>2</v>
      </c>
      <c r="D1056" s="126">
        <v>4</v>
      </c>
      <c r="E1056" s="126">
        <v>10</v>
      </c>
      <c r="F1056" s="126">
        <v>2</v>
      </c>
      <c r="G1056" s="126">
        <v>5</v>
      </c>
      <c r="H1056" s="126">
        <v>2016</v>
      </c>
      <c r="I1056" s="126">
        <v>2022</v>
      </c>
      <c r="J1056" s="127">
        <v>1.03</v>
      </c>
      <c r="K1056" s="127">
        <v>1.03</v>
      </c>
      <c r="L1056" s="127">
        <v>1.7131000000000001</v>
      </c>
      <c r="M1056" s="127">
        <v>1.1687000000000001</v>
      </c>
      <c r="N1056" s="127">
        <v>1.3003</v>
      </c>
      <c r="O1056" s="127">
        <v>1.0538000000000001</v>
      </c>
      <c r="P1056" s="126">
        <v>0</v>
      </c>
      <c r="Q1056" s="128">
        <f t="array" ref="Q1056">SUM(IF(($S1056&gt;=4)*($C1056='TaxCred&amp;Subs'!$D$123:$D$127)*($H1056='TaxCred&amp;Subs'!$C$123:$C$127)*($H1056&lt;='TaxCred&amp;Subs'!$C$129),'TaxCred&amp;Subs'!$E$123:$E$127,0))</f>
        <v>0</v>
      </c>
      <c r="R1056" s="174">
        <v>0</v>
      </c>
      <c r="S1056" s="126">
        <v>1</v>
      </c>
      <c r="T1056" s="126" t="s">
        <v>223</v>
      </c>
      <c r="U1056" s="158"/>
      <c r="V1056" s="153" t="str">
        <f t="array" ref="V1056">INDEX(xlRTCLNAME,MATCH(1,(xlRTCLENDU=1)*(xlRTCLEQCL=$D1056),0))</f>
        <v>NG_RAD</v>
      </c>
      <c r="W1056" s="153" t="str">
        <f t="array" ref="W1056">INDEX(xlRTCLNAME,MATCH(1,(xlRTCLENDU=2)*(xlRTCLEQCL=$F1056),0))</f>
        <v>CENT_AIR</v>
      </c>
      <c r="X1056" s="153" t="str">
        <f t="array" ref="X1056">INDEX(xlRTTYNAME,MATCH(1,(xlRTTYENDU=1)*(xlRTTYEQCL=$D1056)*(xlRTEQTYPE=$E1056),0))</f>
        <v>NG_RAD1</v>
      </c>
      <c r="Y1056" s="153" t="str">
        <f t="array" ref="Y1056">INDEX(xlRTTYNAME,MATCH(1,(xlRTTYENDU=2)*(xlRTTYEQCL=$F1056)*(xlRTEQTYPE=$G1056),0))</f>
        <v>CENT_AIR1</v>
      </c>
    </row>
    <row r="1057" spans="2:25" ht="14.25" customHeight="1" x14ac:dyDescent="0.2">
      <c r="B1057" s="126">
        <v>5</v>
      </c>
      <c r="C1057" s="126">
        <v>2</v>
      </c>
      <c r="D1057" s="126">
        <v>4</v>
      </c>
      <c r="E1057" s="126">
        <v>10</v>
      </c>
      <c r="F1057" s="126">
        <v>2</v>
      </c>
      <c r="G1057" s="126">
        <v>6</v>
      </c>
      <c r="H1057" s="126">
        <v>2023</v>
      </c>
      <c r="I1057" s="126">
        <v>2050</v>
      </c>
      <c r="J1057" s="127">
        <v>1.03</v>
      </c>
      <c r="K1057" s="127">
        <v>1.03</v>
      </c>
      <c r="L1057" s="127">
        <v>1.7131000000000001</v>
      </c>
      <c r="M1057" s="127">
        <v>1.1687000000000001</v>
      </c>
      <c r="N1057" s="127">
        <v>1.3003</v>
      </c>
      <c r="O1057" s="127">
        <v>1.0538000000000001</v>
      </c>
      <c r="P1057" s="126">
        <v>0</v>
      </c>
      <c r="Q1057" s="128">
        <f t="array" ref="Q1057">SUM(IF(($S1057&gt;=4)*($C1057='TaxCred&amp;Subs'!$D$123:$D$127)*($H1057='TaxCred&amp;Subs'!$C$123:$C$127)*($H1057&lt;='TaxCred&amp;Subs'!$C$129),'TaxCred&amp;Subs'!$E$123:$E$127,0))</f>
        <v>0</v>
      </c>
      <c r="R1057" s="174">
        <v>0</v>
      </c>
      <c r="S1057" s="126">
        <v>1</v>
      </c>
      <c r="T1057" s="126" t="s">
        <v>223</v>
      </c>
      <c r="U1057" s="158"/>
      <c r="V1057" s="153" t="str">
        <f t="array" ref="V1057">INDEX(xlRTCLNAME,MATCH(1,(xlRTCLENDU=1)*(xlRTCLEQCL=$D1057),0))</f>
        <v>NG_RAD</v>
      </c>
      <c r="W1057" s="153" t="str">
        <f t="array" ref="W1057">INDEX(xlRTCLNAME,MATCH(1,(xlRTCLENDU=2)*(xlRTCLEQCL=$F1057),0))</f>
        <v>CENT_AIR</v>
      </c>
      <c r="X1057" s="153" t="str">
        <f t="array" ref="X1057">INDEX(xlRTTYNAME,MATCH(1,(xlRTTYENDU=1)*(xlRTTYEQCL=$D1057)*(xlRTEQTYPE=$E1057),0))</f>
        <v>NG_RAD1</v>
      </c>
      <c r="Y1057" s="153" t="str">
        <f t="array" ref="Y1057">INDEX(xlRTTYNAME,MATCH(1,(xlRTTYENDU=2)*(xlRTTYEQCL=$F1057)*(xlRTEQTYPE=$G1057),0))</f>
        <v>CENT_AIR2</v>
      </c>
    </row>
    <row r="1058" spans="2:25" ht="14.25" customHeight="1" x14ac:dyDescent="0.2">
      <c r="B1058" s="126">
        <v>6</v>
      </c>
      <c r="C1058" s="126">
        <v>2</v>
      </c>
      <c r="D1058" s="126">
        <v>4</v>
      </c>
      <c r="E1058" s="126">
        <v>10</v>
      </c>
      <c r="F1058" s="126">
        <v>2</v>
      </c>
      <c r="G1058" s="126">
        <v>5</v>
      </c>
      <c r="H1058" s="126">
        <v>2016</v>
      </c>
      <c r="I1058" s="126">
        <v>2022</v>
      </c>
      <c r="J1058" s="127">
        <v>1.1200000000000001</v>
      </c>
      <c r="K1058" s="127">
        <v>1.0417000000000001</v>
      </c>
      <c r="L1058" s="127">
        <v>1.8438000000000001</v>
      </c>
      <c r="M1058" s="127">
        <v>1.2250000000000001</v>
      </c>
      <c r="N1058" s="127">
        <v>1.3656999999999999</v>
      </c>
      <c r="O1058" s="127">
        <v>1.0538000000000001</v>
      </c>
      <c r="P1058" s="126">
        <v>0</v>
      </c>
      <c r="Q1058" s="128">
        <f t="array" ref="Q1058">SUM(IF(($S1058&gt;=4)*($C1058='TaxCred&amp;Subs'!$D$123:$D$127)*($H1058='TaxCred&amp;Subs'!$C$123:$C$127)*($H1058&lt;='TaxCred&amp;Subs'!$C$129),'TaxCred&amp;Subs'!$E$123:$E$127,0))</f>
        <v>0</v>
      </c>
      <c r="R1058" s="174">
        <v>0</v>
      </c>
      <c r="S1058" s="126">
        <v>1</v>
      </c>
      <c r="T1058" s="126" t="s">
        <v>223</v>
      </c>
      <c r="U1058" s="158"/>
      <c r="V1058" s="153" t="str">
        <f t="array" ref="V1058">INDEX(xlRTCLNAME,MATCH(1,(xlRTCLENDU=1)*(xlRTCLEQCL=$D1058),0))</f>
        <v>NG_RAD</v>
      </c>
      <c r="W1058" s="153" t="str">
        <f t="array" ref="W1058">INDEX(xlRTCLNAME,MATCH(1,(xlRTCLENDU=2)*(xlRTCLEQCL=$F1058),0))</f>
        <v>CENT_AIR</v>
      </c>
      <c r="X1058" s="153" t="str">
        <f t="array" ref="X1058">INDEX(xlRTTYNAME,MATCH(1,(xlRTTYENDU=1)*(xlRTTYEQCL=$D1058)*(xlRTEQTYPE=$E1058),0))</f>
        <v>NG_RAD1</v>
      </c>
      <c r="Y1058" s="153" t="str">
        <f t="array" ref="Y1058">INDEX(xlRTTYNAME,MATCH(1,(xlRTTYENDU=2)*(xlRTTYEQCL=$F1058)*(xlRTEQTYPE=$G1058),0))</f>
        <v>CENT_AIR1</v>
      </c>
    </row>
    <row r="1059" spans="2:25" ht="14.25" customHeight="1" x14ac:dyDescent="0.2">
      <c r="B1059" s="126">
        <v>6</v>
      </c>
      <c r="C1059" s="126">
        <v>2</v>
      </c>
      <c r="D1059" s="126">
        <v>4</v>
      </c>
      <c r="E1059" s="126">
        <v>10</v>
      </c>
      <c r="F1059" s="126">
        <v>2</v>
      </c>
      <c r="G1059" s="126">
        <v>6</v>
      </c>
      <c r="H1059" s="126">
        <v>2023</v>
      </c>
      <c r="I1059" s="126">
        <v>2050</v>
      </c>
      <c r="J1059" s="127">
        <v>1.1200000000000001</v>
      </c>
      <c r="K1059" s="127">
        <v>1.0417000000000001</v>
      </c>
      <c r="L1059" s="127">
        <v>1.8438000000000001</v>
      </c>
      <c r="M1059" s="127">
        <v>1.2250000000000001</v>
      </c>
      <c r="N1059" s="127">
        <v>1.3656999999999999</v>
      </c>
      <c r="O1059" s="127">
        <v>1.0538000000000001</v>
      </c>
      <c r="P1059" s="126">
        <v>0</v>
      </c>
      <c r="Q1059" s="128">
        <f t="array" ref="Q1059">SUM(IF(($S1059&gt;=4)*($C1059='TaxCred&amp;Subs'!$D$123:$D$127)*($H1059='TaxCred&amp;Subs'!$C$123:$C$127)*($H1059&lt;='TaxCred&amp;Subs'!$C$129),'TaxCred&amp;Subs'!$E$123:$E$127,0))</f>
        <v>0</v>
      </c>
      <c r="R1059" s="174">
        <v>0</v>
      </c>
      <c r="S1059" s="126">
        <v>1</v>
      </c>
      <c r="T1059" s="126" t="s">
        <v>223</v>
      </c>
      <c r="U1059" s="158"/>
      <c r="V1059" s="153" t="str">
        <f t="array" ref="V1059">INDEX(xlRTCLNAME,MATCH(1,(xlRTCLENDU=1)*(xlRTCLEQCL=$D1059),0))</f>
        <v>NG_RAD</v>
      </c>
      <c r="W1059" s="153" t="str">
        <f t="array" ref="W1059">INDEX(xlRTCLNAME,MATCH(1,(xlRTCLENDU=2)*(xlRTCLEQCL=$F1059),0))</f>
        <v>CENT_AIR</v>
      </c>
      <c r="X1059" s="153" t="str">
        <f t="array" ref="X1059">INDEX(xlRTTYNAME,MATCH(1,(xlRTTYENDU=1)*(xlRTTYEQCL=$D1059)*(xlRTEQTYPE=$E1059),0))</f>
        <v>NG_RAD1</v>
      </c>
      <c r="Y1059" s="153" t="str">
        <f t="array" ref="Y1059">INDEX(xlRTTYNAME,MATCH(1,(xlRTTYENDU=2)*(xlRTTYEQCL=$F1059)*(xlRTEQTYPE=$G1059),0))</f>
        <v>CENT_AIR2</v>
      </c>
    </row>
    <row r="1060" spans="2:25" ht="14.25" customHeight="1" x14ac:dyDescent="0.2">
      <c r="B1060" s="126">
        <v>7</v>
      </c>
      <c r="C1060" s="126">
        <v>2</v>
      </c>
      <c r="D1060" s="126">
        <v>4</v>
      </c>
      <c r="E1060" s="126">
        <v>10</v>
      </c>
      <c r="F1060" s="126">
        <v>2</v>
      </c>
      <c r="G1060" s="126">
        <v>5</v>
      </c>
      <c r="H1060" s="126">
        <v>2016</v>
      </c>
      <c r="I1060" s="126">
        <v>2022</v>
      </c>
      <c r="J1060" s="127">
        <v>1.1200000000000001</v>
      </c>
      <c r="K1060" s="127">
        <v>1.0462</v>
      </c>
      <c r="L1060" s="127">
        <v>2</v>
      </c>
      <c r="M1060" s="127">
        <v>1.2121</v>
      </c>
      <c r="N1060" s="127">
        <v>1.4438</v>
      </c>
      <c r="O1060" s="127">
        <v>1.0538000000000001</v>
      </c>
      <c r="P1060" s="126">
        <v>0</v>
      </c>
      <c r="Q1060" s="128">
        <f t="array" ref="Q1060">SUM(IF(($S1060&gt;=4)*($C1060='TaxCred&amp;Subs'!$D$123:$D$127)*($H1060='TaxCred&amp;Subs'!$C$123:$C$127)*($H1060&lt;='TaxCred&amp;Subs'!$C$129),'TaxCred&amp;Subs'!$E$123:$E$127,0))</f>
        <v>0</v>
      </c>
      <c r="R1060" s="174">
        <v>0</v>
      </c>
      <c r="S1060" s="126">
        <v>1</v>
      </c>
      <c r="T1060" s="126" t="s">
        <v>223</v>
      </c>
      <c r="U1060" s="158"/>
      <c r="V1060" s="153" t="str">
        <f t="array" ref="V1060">INDEX(xlRTCLNAME,MATCH(1,(xlRTCLENDU=1)*(xlRTCLEQCL=$D1060),0))</f>
        <v>NG_RAD</v>
      </c>
      <c r="W1060" s="153" t="str">
        <f t="array" ref="W1060">INDEX(xlRTCLNAME,MATCH(1,(xlRTCLENDU=2)*(xlRTCLEQCL=$F1060),0))</f>
        <v>CENT_AIR</v>
      </c>
      <c r="X1060" s="153" t="str">
        <f t="array" ref="X1060">INDEX(xlRTTYNAME,MATCH(1,(xlRTTYENDU=1)*(xlRTTYEQCL=$D1060)*(xlRTEQTYPE=$E1060),0))</f>
        <v>NG_RAD1</v>
      </c>
      <c r="Y1060" s="153" t="str">
        <f t="array" ref="Y1060">INDEX(xlRTTYNAME,MATCH(1,(xlRTTYENDU=2)*(xlRTTYEQCL=$F1060)*(xlRTEQTYPE=$G1060),0))</f>
        <v>CENT_AIR1</v>
      </c>
    </row>
    <row r="1061" spans="2:25" ht="14.25" customHeight="1" x14ac:dyDescent="0.2">
      <c r="B1061" s="126">
        <v>7</v>
      </c>
      <c r="C1061" s="126">
        <v>2</v>
      </c>
      <c r="D1061" s="126">
        <v>4</v>
      </c>
      <c r="E1061" s="126">
        <v>10</v>
      </c>
      <c r="F1061" s="126">
        <v>2</v>
      </c>
      <c r="G1061" s="126">
        <v>6</v>
      </c>
      <c r="H1061" s="126">
        <v>2023</v>
      </c>
      <c r="I1061" s="126">
        <v>2050</v>
      </c>
      <c r="J1061" s="127">
        <v>1.1200000000000001</v>
      </c>
      <c r="K1061" s="127">
        <v>1.0462</v>
      </c>
      <c r="L1061" s="127">
        <v>2</v>
      </c>
      <c r="M1061" s="127">
        <v>1.2121</v>
      </c>
      <c r="N1061" s="127">
        <v>1.4438</v>
      </c>
      <c r="O1061" s="127">
        <v>1.0538000000000001</v>
      </c>
      <c r="P1061" s="126">
        <v>0</v>
      </c>
      <c r="Q1061" s="128">
        <f t="array" ref="Q1061">SUM(IF(($S1061&gt;=4)*($C1061='TaxCred&amp;Subs'!$D$123:$D$127)*($H1061='TaxCred&amp;Subs'!$C$123:$C$127)*($H1061&lt;='TaxCred&amp;Subs'!$C$129),'TaxCred&amp;Subs'!$E$123:$E$127,0))</f>
        <v>0</v>
      </c>
      <c r="R1061" s="174">
        <v>0</v>
      </c>
      <c r="S1061" s="126">
        <v>1</v>
      </c>
      <c r="T1061" s="126" t="s">
        <v>223</v>
      </c>
      <c r="U1061" s="158"/>
      <c r="V1061" s="153" t="str">
        <f t="array" ref="V1061">INDEX(xlRTCLNAME,MATCH(1,(xlRTCLENDU=1)*(xlRTCLEQCL=$D1061),0))</f>
        <v>NG_RAD</v>
      </c>
      <c r="W1061" s="153" t="str">
        <f t="array" ref="W1061">INDEX(xlRTCLNAME,MATCH(1,(xlRTCLENDU=2)*(xlRTCLEQCL=$F1061),0))</f>
        <v>CENT_AIR</v>
      </c>
      <c r="X1061" s="153" t="str">
        <f t="array" ref="X1061">INDEX(xlRTTYNAME,MATCH(1,(xlRTTYENDU=1)*(xlRTTYEQCL=$D1061)*(xlRTEQTYPE=$E1061),0))</f>
        <v>NG_RAD1</v>
      </c>
      <c r="Y1061" s="153" t="str">
        <f t="array" ref="Y1061">INDEX(xlRTTYNAME,MATCH(1,(xlRTTYENDU=2)*(xlRTTYEQCL=$F1061)*(xlRTEQTYPE=$G1061),0))</f>
        <v>CENT_AIR2</v>
      </c>
    </row>
    <row r="1062" spans="2:25" ht="14.25" customHeight="1" x14ac:dyDescent="0.2">
      <c r="B1062" s="126">
        <v>8</v>
      </c>
      <c r="C1062" s="126">
        <v>2</v>
      </c>
      <c r="D1062" s="126">
        <v>4</v>
      </c>
      <c r="E1062" s="126">
        <v>10</v>
      </c>
      <c r="F1062" s="126">
        <v>2</v>
      </c>
      <c r="G1062" s="126">
        <v>5</v>
      </c>
      <c r="H1062" s="126">
        <v>2016</v>
      </c>
      <c r="I1062" s="126">
        <v>2022</v>
      </c>
      <c r="J1062" s="127">
        <v>1.1045</v>
      </c>
      <c r="K1062" s="127">
        <v>1.0323</v>
      </c>
      <c r="L1062" s="127">
        <v>1.6819</v>
      </c>
      <c r="M1062" s="127">
        <v>1.3391999999999999</v>
      </c>
      <c r="N1062" s="127">
        <v>1.2847999999999999</v>
      </c>
      <c r="O1062" s="127">
        <v>1.0538000000000001</v>
      </c>
      <c r="P1062" s="126">
        <v>0</v>
      </c>
      <c r="Q1062" s="128">
        <f t="array" ref="Q1062">SUM(IF(($S1062&gt;=4)*($C1062='TaxCred&amp;Subs'!$D$123:$D$127)*($H1062='TaxCred&amp;Subs'!$C$123:$C$127)*($H1062&lt;='TaxCred&amp;Subs'!$C$129),'TaxCred&amp;Subs'!$E$123:$E$127,0))</f>
        <v>0</v>
      </c>
      <c r="R1062" s="174">
        <v>0</v>
      </c>
      <c r="S1062" s="126">
        <v>1</v>
      </c>
      <c r="T1062" s="126" t="s">
        <v>223</v>
      </c>
      <c r="U1062" s="158"/>
      <c r="V1062" s="153" t="str">
        <f t="array" ref="V1062">INDEX(xlRTCLNAME,MATCH(1,(xlRTCLENDU=1)*(xlRTCLEQCL=$D1062),0))</f>
        <v>NG_RAD</v>
      </c>
      <c r="W1062" s="153" t="str">
        <f t="array" ref="W1062">INDEX(xlRTCLNAME,MATCH(1,(xlRTCLENDU=2)*(xlRTCLEQCL=$F1062),0))</f>
        <v>CENT_AIR</v>
      </c>
      <c r="X1062" s="153" t="str">
        <f t="array" ref="X1062">INDEX(xlRTTYNAME,MATCH(1,(xlRTTYENDU=1)*(xlRTTYEQCL=$D1062)*(xlRTEQTYPE=$E1062),0))</f>
        <v>NG_RAD1</v>
      </c>
      <c r="Y1062" s="153" t="str">
        <f t="array" ref="Y1062">INDEX(xlRTTYNAME,MATCH(1,(xlRTTYENDU=2)*(xlRTTYEQCL=$F1062)*(xlRTEQTYPE=$G1062),0))</f>
        <v>CENT_AIR1</v>
      </c>
    </row>
    <row r="1063" spans="2:25" ht="14.25" customHeight="1" x14ac:dyDescent="0.2">
      <c r="B1063" s="126">
        <v>8</v>
      </c>
      <c r="C1063" s="126">
        <v>2</v>
      </c>
      <c r="D1063" s="126">
        <v>4</v>
      </c>
      <c r="E1063" s="126">
        <v>10</v>
      </c>
      <c r="F1063" s="126">
        <v>2</v>
      </c>
      <c r="G1063" s="126">
        <v>6</v>
      </c>
      <c r="H1063" s="126">
        <v>2023</v>
      </c>
      <c r="I1063" s="126">
        <v>2050</v>
      </c>
      <c r="J1063" s="127">
        <v>1.1045</v>
      </c>
      <c r="K1063" s="127">
        <v>1.0323</v>
      </c>
      <c r="L1063" s="127">
        <v>1.6819</v>
      </c>
      <c r="M1063" s="127">
        <v>1.3391999999999999</v>
      </c>
      <c r="N1063" s="127">
        <v>1.2847999999999999</v>
      </c>
      <c r="O1063" s="127">
        <v>1.0538000000000001</v>
      </c>
      <c r="P1063" s="126">
        <v>0</v>
      </c>
      <c r="Q1063" s="128">
        <f t="array" ref="Q1063">SUM(IF(($S1063&gt;=4)*($C1063='TaxCred&amp;Subs'!$D$123:$D$127)*($H1063='TaxCred&amp;Subs'!$C$123:$C$127)*($H1063&lt;='TaxCred&amp;Subs'!$C$129),'TaxCred&amp;Subs'!$E$123:$E$127,0))</f>
        <v>0</v>
      </c>
      <c r="R1063" s="174">
        <v>0</v>
      </c>
      <c r="S1063" s="126">
        <v>1</v>
      </c>
      <c r="T1063" s="126" t="s">
        <v>223</v>
      </c>
      <c r="U1063" s="158"/>
      <c r="V1063" s="153" t="str">
        <f t="array" ref="V1063">INDEX(xlRTCLNAME,MATCH(1,(xlRTCLENDU=1)*(xlRTCLEQCL=$D1063),0))</f>
        <v>NG_RAD</v>
      </c>
      <c r="W1063" s="153" t="str">
        <f t="array" ref="W1063">INDEX(xlRTCLNAME,MATCH(1,(xlRTCLENDU=2)*(xlRTCLEQCL=$F1063),0))</f>
        <v>CENT_AIR</v>
      </c>
      <c r="X1063" s="153" t="str">
        <f t="array" ref="X1063">INDEX(xlRTTYNAME,MATCH(1,(xlRTTYENDU=1)*(xlRTTYEQCL=$D1063)*(xlRTEQTYPE=$E1063),0))</f>
        <v>NG_RAD1</v>
      </c>
      <c r="Y1063" s="153" t="str">
        <f t="array" ref="Y1063">INDEX(xlRTTYNAME,MATCH(1,(xlRTTYENDU=2)*(xlRTTYEQCL=$F1063)*(xlRTEQTYPE=$G1063),0))</f>
        <v>CENT_AIR2</v>
      </c>
    </row>
    <row r="1064" spans="2:25" ht="14.25" customHeight="1" x14ac:dyDescent="0.2">
      <c r="B1064" s="126">
        <v>9</v>
      </c>
      <c r="C1064" s="126">
        <v>2</v>
      </c>
      <c r="D1064" s="126">
        <v>4</v>
      </c>
      <c r="E1064" s="126">
        <v>10</v>
      </c>
      <c r="F1064" s="126">
        <v>2</v>
      </c>
      <c r="G1064" s="126">
        <v>5</v>
      </c>
      <c r="H1064" s="126">
        <v>2016</v>
      </c>
      <c r="I1064" s="126">
        <v>2022</v>
      </c>
      <c r="J1064" s="127">
        <v>1.1200000000000001</v>
      </c>
      <c r="K1064" s="127">
        <v>1.0541</v>
      </c>
      <c r="L1064" s="127">
        <v>2</v>
      </c>
      <c r="M1064" s="127">
        <v>1.2834000000000001</v>
      </c>
      <c r="N1064" s="127">
        <v>1.4438</v>
      </c>
      <c r="O1064" s="127">
        <v>1.0538000000000001</v>
      </c>
      <c r="P1064" s="126">
        <v>0</v>
      </c>
      <c r="Q1064" s="128">
        <f t="array" ref="Q1064">SUM(IF(($S1064&gt;=4)*($C1064='TaxCred&amp;Subs'!$D$123:$D$127)*($H1064='TaxCred&amp;Subs'!$C$123:$C$127)*($H1064&lt;='TaxCred&amp;Subs'!$C$129),'TaxCred&amp;Subs'!$E$123:$E$127,0))</f>
        <v>0</v>
      </c>
      <c r="R1064" s="174">
        <v>0</v>
      </c>
      <c r="S1064" s="126">
        <v>1</v>
      </c>
      <c r="T1064" s="126" t="s">
        <v>223</v>
      </c>
      <c r="U1064" s="158"/>
      <c r="V1064" s="153" t="str">
        <f t="array" ref="V1064">INDEX(xlRTCLNAME,MATCH(1,(xlRTCLENDU=1)*(xlRTCLEQCL=$D1064),0))</f>
        <v>NG_RAD</v>
      </c>
      <c r="W1064" s="153" t="str">
        <f t="array" ref="W1064">INDEX(xlRTCLNAME,MATCH(1,(xlRTCLENDU=2)*(xlRTCLEQCL=$F1064),0))</f>
        <v>CENT_AIR</v>
      </c>
      <c r="X1064" s="153" t="str">
        <f t="array" ref="X1064">INDEX(xlRTTYNAME,MATCH(1,(xlRTTYENDU=1)*(xlRTTYEQCL=$D1064)*(xlRTEQTYPE=$E1064),0))</f>
        <v>NG_RAD1</v>
      </c>
      <c r="Y1064" s="153" t="str">
        <f t="array" ref="Y1064">INDEX(xlRTTYNAME,MATCH(1,(xlRTTYENDU=2)*(xlRTTYEQCL=$F1064)*(xlRTEQTYPE=$G1064),0))</f>
        <v>CENT_AIR1</v>
      </c>
    </row>
    <row r="1065" spans="2:25" ht="14.25" customHeight="1" x14ac:dyDescent="0.2">
      <c r="B1065" s="126">
        <v>9</v>
      </c>
      <c r="C1065" s="126">
        <v>2</v>
      </c>
      <c r="D1065" s="126">
        <v>4</v>
      </c>
      <c r="E1065" s="126">
        <v>10</v>
      </c>
      <c r="F1065" s="126">
        <v>2</v>
      </c>
      <c r="G1065" s="126">
        <v>6</v>
      </c>
      <c r="H1065" s="126">
        <v>2023</v>
      </c>
      <c r="I1065" s="126">
        <v>2050</v>
      </c>
      <c r="J1065" s="127">
        <v>1.1200000000000001</v>
      </c>
      <c r="K1065" s="127">
        <v>1.0541</v>
      </c>
      <c r="L1065" s="127">
        <v>2</v>
      </c>
      <c r="M1065" s="127">
        <v>1.2834000000000001</v>
      </c>
      <c r="N1065" s="127">
        <v>1.4438</v>
      </c>
      <c r="O1065" s="127">
        <v>1.0538000000000001</v>
      </c>
      <c r="P1065" s="126">
        <v>0</v>
      </c>
      <c r="Q1065" s="128">
        <f t="array" ref="Q1065">SUM(IF(($S1065&gt;=4)*($C1065='TaxCred&amp;Subs'!$D$123:$D$127)*($H1065='TaxCred&amp;Subs'!$C$123:$C$127)*($H1065&lt;='TaxCred&amp;Subs'!$C$129),'TaxCred&amp;Subs'!$E$123:$E$127,0))</f>
        <v>0</v>
      </c>
      <c r="R1065" s="174">
        <v>0</v>
      </c>
      <c r="S1065" s="126">
        <v>1</v>
      </c>
      <c r="T1065" s="126" t="s">
        <v>223</v>
      </c>
      <c r="U1065" s="158"/>
      <c r="V1065" s="153" t="str">
        <f t="array" ref="V1065">INDEX(xlRTCLNAME,MATCH(1,(xlRTCLENDU=1)*(xlRTCLEQCL=$D1065),0))</f>
        <v>NG_RAD</v>
      </c>
      <c r="W1065" s="153" t="str">
        <f t="array" ref="W1065">INDEX(xlRTCLNAME,MATCH(1,(xlRTCLENDU=2)*(xlRTCLEQCL=$F1065),0))</f>
        <v>CENT_AIR</v>
      </c>
      <c r="X1065" s="153" t="str">
        <f t="array" ref="X1065">INDEX(xlRTTYNAME,MATCH(1,(xlRTTYENDU=1)*(xlRTTYEQCL=$D1065)*(xlRTEQTYPE=$E1065),0))</f>
        <v>NG_RAD1</v>
      </c>
      <c r="Y1065" s="153" t="str">
        <f t="array" ref="Y1065">INDEX(xlRTTYNAME,MATCH(1,(xlRTTYENDU=2)*(xlRTTYEQCL=$F1065)*(xlRTEQTYPE=$G1065),0))</f>
        <v>CENT_AIR2</v>
      </c>
    </row>
    <row r="1066" spans="2:25" ht="14.25" customHeight="1" x14ac:dyDescent="0.2">
      <c r="B1066" s="129">
        <v>1</v>
      </c>
      <c r="C1066" s="129">
        <v>2</v>
      </c>
      <c r="D1066" s="129">
        <v>5</v>
      </c>
      <c r="E1066" s="129">
        <v>14</v>
      </c>
      <c r="F1066" s="129">
        <v>2</v>
      </c>
      <c r="G1066" s="129">
        <v>5</v>
      </c>
      <c r="H1066" s="129">
        <v>2016</v>
      </c>
      <c r="I1066" s="129">
        <v>2022</v>
      </c>
      <c r="J1066" s="130">
        <v>1.0956999999999999</v>
      </c>
      <c r="K1066" s="130">
        <v>1.0417000000000001</v>
      </c>
      <c r="L1066" s="130">
        <v>1.343</v>
      </c>
      <c r="M1066" s="130">
        <v>1.1909000000000001</v>
      </c>
      <c r="N1066" s="130">
        <v>1.1153</v>
      </c>
      <c r="O1066" s="130">
        <v>1.0538000000000001</v>
      </c>
      <c r="P1066" s="129">
        <v>0</v>
      </c>
      <c r="Q1066" s="128">
        <f t="array" ref="Q1066">SUM(IF(($S1066&gt;=4)*($C1066='TaxCred&amp;Subs'!$D$123:$D$127)*($H1066='TaxCred&amp;Subs'!$C$123:$C$127)*($H1066&lt;='TaxCred&amp;Subs'!$C$129),'TaxCred&amp;Subs'!$E$123:$E$127,0))</f>
        <v>0</v>
      </c>
      <c r="R1066" s="174">
        <v>0</v>
      </c>
      <c r="S1066" s="129">
        <v>1</v>
      </c>
      <c r="T1066" s="129" t="s">
        <v>223</v>
      </c>
      <c r="U1066" s="155" t="s">
        <v>235</v>
      </c>
      <c r="V1066" s="153" t="str">
        <f t="array" ref="V1066">INDEX(xlRTCLNAME,MATCH(1,(xlRTCLENDU=1)*(xlRTCLEQCL=$D1066),0))</f>
        <v>KERO_FA</v>
      </c>
      <c r="W1066" s="153" t="str">
        <f t="array" ref="W1066">INDEX(xlRTCLNAME,MATCH(1,(xlRTCLENDU=2)*(xlRTCLEQCL=$F1066),0))</f>
        <v>CENT_AIR</v>
      </c>
      <c r="X1066" s="153" t="str">
        <f t="array" ref="X1066">INDEX(xlRTTYNAME,MATCH(1,(xlRTTYENDU=1)*(xlRTTYEQCL=$D1066)*(xlRTEQTYPE=$E1066),0))</f>
        <v>KERO_FA1</v>
      </c>
      <c r="Y1066" s="153" t="str">
        <f t="array" ref="Y1066">INDEX(xlRTTYNAME,MATCH(1,(xlRTTYENDU=2)*(xlRTTYEQCL=$F1066)*(xlRTEQTYPE=$G1066),0))</f>
        <v>CENT_AIR1</v>
      </c>
    </row>
    <row r="1067" spans="2:25" ht="14.25" customHeight="1" x14ac:dyDescent="0.2">
      <c r="B1067" s="129">
        <v>1</v>
      </c>
      <c r="C1067" s="129">
        <v>2</v>
      </c>
      <c r="D1067" s="129">
        <v>5</v>
      </c>
      <c r="E1067" s="129">
        <v>14</v>
      </c>
      <c r="F1067" s="129">
        <v>2</v>
      </c>
      <c r="G1067" s="129">
        <v>6</v>
      </c>
      <c r="H1067" s="129">
        <v>2023</v>
      </c>
      <c r="I1067" s="129">
        <v>2050</v>
      </c>
      <c r="J1067" s="130">
        <v>1.0956999999999999</v>
      </c>
      <c r="K1067" s="130">
        <v>1.0417000000000001</v>
      </c>
      <c r="L1067" s="130">
        <v>1.343</v>
      </c>
      <c r="M1067" s="130">
        <v>1.1909000000000001</v>
      </c>
      <c r="N1067" s="130">
        <v>1.1153</v>
      </c>
      <c r="O1067" s="130">
        <v>1.0538000000000001</v>
      </c>
      <c r="P1067" s="129">
        <v>0</v>
      </c>
      <c r="Q1067" s="128">
        <f t="array" ref="Q1067">SUM(IF(($S1067&gt;=4)*($C1067='TaxCred&amp;Subs'!$D$123:$D$127)*($H1067='TaxCred&amp;Subs'!$C$123:$C$127)*($H1067&lt;='TaxCred&amp;Subs'!$C$129),'TaxCred&amp;Subs'!$E$123:$E$127,0))</f>
        <v>0</v>
      </c>
      <c r="R1067" s="174">
        <v>0</v>
      </c>
      <c r="S1067" s="129">
        <v>1</v>
      </c>
      <c r="T1067" s="129" t="s">
        <v>223</v>
      </c>
      <c r="U1067" s="155" t="s">
        <v>235</v>
      </c>
      <c r="V1067" s="153" t="str">
        <f t="array" ref="V1067">INDEX(xlRTCLNAME,MATCH(1,(xlRTCLENDU=1)*(xlRTCLEQCL=$D1067),0))</f>
        <v>KERO_FA</v>
      </c>
      <c r="W1067" s="153" t="str">
        <f t="array" ref="W1067">INDEX(xlRTCLNAME,MATCH(1,(xlRTCLENDU=2)*(xlRTCLEQCL=$F1067),0))</f>
        <v>CENT_AIR</v>
      </c>
      <c r="X1067" s="153" t="str">
        <f t="array" ref="X1067">INDEX(xlRTTYNAME,MATCH(1,(xlRTTYENDU=1)*(xlRTTYEQCL=$D1067)*(xlRTEQTYPE=$E1067),0))</f>
        <v>KERO_FA1</v>
      </c>
      <c r="Y1067" s="153" t="str">
        <f t="array" ref="Y1067">INDEX(xlRTTYNAME,MATCH(1,(xlRTTYENDU=2)*(xlRTTYEQCL=$F1067)*(xlRTEQTYPE=$G1067),0))</f>
        <v>CENT_AIR2</v>
      </c>
    </row>
    <row r="1068" spans="2:25" ht="14.25" customHeight="1" x14ac:dyDescent="0.2">
      <c r="B1068" s="129">
        <v>2</v>
      </c>
      <c r="C1068" s="129">
        <v>2</v>
      </c>
      <c r="D1068" s="129">
        <v>5</v>
      </c>
      <c r="E1068" s="129">
        <v>14</v>
      </c>
      <c r="F1068" s="129">
        <v>2</v>
      </c>
      <c r="G1068" s="129">
        <v>5</v>
      </c>
      <c r="H1068" s="129">
        <v>2016</v>
      </c>
      <c r="I1068" s="129">
        <v>2022</v>
      </c>
      <c r="J1068" s="130">
        <v>1.1059000000000001</v>
      </c>
      <c r="K1068" s="130">
        <v>1.0357000000000001</v>
      </c>
      <c r="L1068" s="130">
        <v>1.3479000000000001</v>
      </c>
      <c r="M1068" s="130">
        <v>1.2250000000000001</v>
      </c>
      <c r="N1068" s="130">
        <v>1.1176999999999999</v>
      </c>
      <c r="O1068" s="130">
        <v>1.0538000000000001</v>
      </c>
      <c r="P1068" s="129">
        <v>0</v>
      </c>
      <c r="Q1068" s="128">
        <f t="array" ref="Q1068">SUM(IF(($S1068&gt;=4)*($C1068='TaxCred&amp;Subs'!$D$123:$D$127)*($H1068='TaxCred&amp;Subs'!$C$123:$C$127)*($H1068&lt;='TaxCred&amp;Subs'!$C$129),'TaxCred&amp;Subs'!$E$123:$E$127,0))</f>
        <v>0</v>
      </c>
      <c r="R1068" s="174">
        <v>0</v>
      </c>
      <c r="S1068" s="129">
        <v>1</v>
      </c>
      <c r="T1068" s="129" t="s">
        <v>223</v>
      </c>
      <c r="U1068" s="155" t="s">
        <v>235</v>
      </c>
      <c r="V1068" s="153" t="str">
        <f t="array" ref="V1068">INDEX(xlRTCLNAME,MATCH(1,(xlRTCLENDU=1)*(xlRTCLEQCL=$D1068),0))</f>
        <v>KERO_FA</v>
      </c>
      <c r="W1068" s="153" t="str">
        <f t="array" ref="W1068">INDEX(xlRTCLNAME,MATCH(1,(xlRTCLENDU=2)*(xlRTCLEQCL=$F1068),0))</f>
        <v>CENT_AIR</v>
      </c>
      <c r="X1068" s="153" t="str">
        <f t="array" ref="X1068">INDEX(xlRTTYNAME,MATCH(1,(xlRTTYENDU=1)*(xlRTTYEQCL=$D1068)*(xlRTEQTYPE=$E1068),0))</f>
        <v>KERO_FA1</v>
      </c>
      <c r="Y1068" s="153" t="str">
        <f t="array" ref="Y1068">INDEX(xlRTTYNAME,MATCH(1,(xlRTTYENDU=2)*(xlRTTYEQCL=$F1068)*(xlRTEQTYPE=$G1068),0))</f>
        <v>CENT_AIR1</v>
      </c>
    </row>
    <row r="1069" spans="2:25" ht="14.25" customHeight="1" x14ac:dyDescent="0.2">
      <c r="B1069" s="129">
        <v>2</v>
      </c>
      <c r="C1069" s="129">
        <v>2</v>
      </c>
      <c r="D1069" s="129">
        <v>5</v>
      </c>
      <c r="E1069" s="129">
        <v>14</v>
      </c>
      <c r="F1069" s="129">
        <v>2</v>
      </c>
      <c r="G1069" s="129">
        <v>6</v>
      </c>
      <c r="H1069" s="129">
        <v>2023</v>
      </c>
      <c r="I1069" s="129">
        <v>2050</v>
      </c>
      <c r="J1069" s="130">
        <v>1.1059000000000001</v>
      </c>
      <c r="K1069" s="130">
        <v>1.0357000000000001</v>
      </c>
      <c r="L1069" s="130">
        <v>1.3479000000000001</v>
      </c>
      <c r="M1069" s="130">
        <v>1.2250000000000001</v>
      </c>
      <c r="N1069" s="130">
        <v>1.1176999999999999</v>
      </c>
      <c r="O1069" s="130">
        <v>1.0538000000000001</v>
      </c>
      <c r="P1069" s="129">
        <v>0</v>
      </c>
      <c r="Q1069" s="128">
        <f t="array" ref="Q1069">SUM(IF(($S1069&gt;=4)*($C1069='TaxCred&amp;Subs'!$D$123:$D$127)*($H1069='TaxCred&amp;Subs'!$C$123:$C$127)*($H1069&lt;='TaxCred&amp;Subs'!$C$129),'TaxCred&amp;Subs'!$E$123:$E$127,0))</f>
        <v>0</v>
      </c>
      <c r="R1069" s="174">
        <v>0</v>
      </c>
      <c r="S1069" s="129">
        <v>1</v>
      </c>
      <c r="T1069" s="129" t="s">
        <v>223</v>
      </c>
      <c r="U1069" s="155" t="s">
        <v>235</v>
      </c>
      <c r="V1069" s="153" t="str">
        <f t="array" ref="V1069">INDEX(xlRTCLNAME,MATCH(1,(xlRTCLENDU=1)*(xlRTCLEQCL=$D1069),0))</f>
        <v>KERO_FA</v>
      </c>
      <c r="W1069" s="153" t="str">
        <f t="array" ref="W1069">INDEX(xlRTCLNAME,MATCH(1,(xlRTCLENDU=2)*(xlRTCLEQCL=$F1069),0))</f>
        <v>CENT_AIR</v>
      </c>
      <c r="X1069" s="153" t="str">
        <f t="array" ref="X1069">INDEX(xlRTTYNAME,MATCH(1,(xlRTTYENDU=1)*(xlRTTYEQCL=$D1069)*(xlRTEQTYPE=$E1069),0))</f>
        <v>KERO_FA1</v>
      </c>
      <c r="Y1069" s="153" t="str">
        <f t="array" ref="Y1069">INDEX(xlRTTYNAME,MATCH(1,(xlRTTYENDU=2)*(xlRTTYEQCL=$F1069)*(xlRTEQTYPE=$G1069),0))</f>
        <v>CENT_AIR2</v>
      </c>
    </row>
    <row r="1070" spans="2:25" ht="14.25" customHeight="1" x14ac:dyDescent="0.2">
      <c r="B1070" s="129">
        <v>3</v>
      </c>
      <c r="C1070" s="129">
        <v>2</v>
      </c>
      <c r="D1070" s="129">
        <v>5</v>
      </c>
      <c r="E1070" s="129">
        <v>14</v>
      </c>
      <c r="F1070" s="129">
        <v>2</v>
      </c>
      <c r="G1070" s="129">
        <v>5</v>
      </c>
      <c r="H1070" s="129">
        <v>2016</v>
      </c>
      <c r="I1070" s="129">
        <v>2022</v>
      </c>
      <c r="J1070" s="130">
        <v>1.099</v>
      </c>
      <c r="K1070" s="130">
        <v>1.03</v>
      </c>
      <c r="L1070" s="130">
        <v>1.1887000000000001</v>
      </c>
      <c r="M1070" s="130">
        <v>1.1345000000000001</v>
      </c>
      <c r="N1070" s="130">
        <v>1.0381</v>
      </c>
      <c r="O1070" s="130">
        <v>1.0538000000000001</v>
      </c>
      <c r="P1070" s="129">
        <v>0</v>
      </c>
      <c r="Q1070" s="128">
        <f t="array" ref="Q1070">SUM(IF(($S1070&gt;=4)*($C1070='TaxCred&amp;Subs'!$D$123:$D$127)*($H1070='TaxCred&amp;Subs'!$C$123:$C$127)*($H1070&lt;='TaxCred&amp;Subs'!$C$129),'TaxCred&amp;Subs'!$E$123:$E$127,0))</f>
        <v>0</v>
      </c>
      <c r="R1070" s="174">
        <v>0</v>
      </c>
      <c r="S1070" s="129">
        <v>1</v>
      </c>
      <c r="T1070" s="129" t="s">
        <v>223</v>
      </c>
      <c r="U1070" s="155" t="s">
        <v>235</v>
      </c>
      <c r="V1070" s="153" t="str">
        <f t="array" ref="V1070">INDEX(xlRTCLNAME,MATCH(1,(xlRTCLENDU=1)*(xlRTCLEQCL=$D1070),0))</f>
        <v>KERO_FA</v>
      </c>
      <c r="W1070" s="153" t="str">
        <f t="array" ref="W1070">INDEX(xlRTCLNAME,MATCH(1,(xlRTCLENDU=2)*(xlRTCLEQCL=$F1070),0))</f>
        <v>CENT_AIR</v>
      </c>
      <c r="X1070" s="153" t="str">
        <f t="array" ref="X1070">INDEX(xlRTTYNAME,MATCH(1,(xlRTTYENDU=1)*(xlRTTYEQCL=$D1070)*(xlRTEQTYPE=$E1070),0))</f>
        <v>KERO_FA1</v>
      </c>
      <c r="Y1070" s="153" t="str">
        <f t="array" ref="Y1070">INDEX(xlRTTYNAME,MATCH(1,(xlRTTYENDU=2)*(xlRTTYEQCL=$F1070)*(xlRTEQTYPE=$G1070),0))</f>
        <v>CENT_AIR1</v>
      </c>
    </row>
    <row r="1071" spans="2:25" ht="14.25" customHeight="1" x14ac:dyDescent="0.2">
      <c r="B1071" s="129">
        <v>3</v>
      </c>
      <c r="C1071" s="129">
        <v>2</v>
      </c>
      <c r="D1071" s="129">
        <v>5</v>
      </c>
      <c r="E1071" s="129">
        <v>14</v>
      </c>
      <c r="F1071" s="129">
        <v>2</v>
      </c>
      <c r="G1071" s="129">
        <v>6</v>
      </c>
      <c r="H1071" s="129">
        <v>2023</v>
      </c>
      <c r="I1071" s="129">
        <v>2050</v>
      </c>
      <c r="J1071" s="130">
        <v>1.099</v>
      </c>
      <c r="K1071" s="130">
        <v>1.03</v>
      </c>
      <c r="L1071" s="130">
        <v>1.1887000000000001</v>
      </c>
      <c r="M1071" s="130">
        <v>1.1345000000000001</v>
      </c>
      <c r="N1071" s="130">
        <v>1.0381</v>
      </c>
      <c r="O1071" s="130">
        <v>1.0538000000000001</v>
      </c>
      <c r="P1071" s="129">
        <v>0</v>
      </c>
      <c r="Q1071" s="128">
        <f t="array" ref="Q1071">SUM(IF(($S1071&gt;=4)*($C1071='TaxCred&amp;Subs'!$D$123:$D$127)*($H1071='TaxCred&amp;Subs'!$C$123:$C$127)*($H1071&lt;='TaxCred&amp;Subs'!$C$129),'TaxCred&amp;Subs'!$E$123:$E$127,0))</f>
        <v>0</v>
      </c>
      <c r="R1071" s="174">
        <v>0</v>
      </c>
      <c r="S1071" s="129">
        <v>1</v>
      </c>
      <c r="T1071" s="129" t="s">
        <v>223</v>
      </c>
      <c r="U1071" s="155" t="s">
        <v>235</v>
      </c>
      <c r="V1071" s="153" t="str">
        <f t="array" ref="V1071">INDEX(xlRTCLNAME,MATCH(1,(xlRTCLENDU=1)*(xlRTCLEQCL=$D1071),0))</f>
        <v>KERO_FA</v>
      </c>
      <c r="W1071" s="153" t="str">
        <f t="array" ref="W1071">INDEX(xlRTCLNAME,MATCH(1,(xlRTCLENDU=2)*(xlRTCLEQCL=$F1071),0))</f>
        <v>CENT_AIR</v>
      </c>
      <c r="X1071" s="153" t="str">
        <f t="array" ref="X1071">INDEX(xlRTTYNAME,MATCH(1,(xlRTTYENDU=1)*(xlRTTYEQCL=$D1071)*(xlRTEQTYPE=$E1071),0))</f>
        <v>KERO_FA1</v>
      </c>
      <c r="Y1071" s="153" t="str">
        <f t="array" ref="Y1071">INDEX(xlRTTYNAME,MATCH(1,(xlRTTYENDU=2)*(xlRTTYEQCL=$F1071)*(xlRTEQTYPE=$G1071),0))</f>
        <v>CENT_AIR2</v>
      </c>
    </row>
    <row r="1072" spans="2:25" ht="14.25" customHeight="1" x14ac:dyDescent="0.2">
      <c r="B1072" s="129">
        <v>4</v>
      </c>
      <c r="C1072" s="129">
        <v>2</v>
      </c>
      <c r="D1072" s="129">
        <v>5</v>
      </c>
      <c r="E1072" s="129">
        <v>14</v>
      </c>
      <c r="F1072" s="129">
        <v>2</v>
      </c>
      <c r="G1072" s="129">
        <v>5</v>
      </c>
      <c r="H1072" s="129">
        <v>2016</v>
      </c>
      <c r="I1072" s="129">
        <v>2022</v>
      </c>
      <c r="J1072" s="130">
        <v>1.0934999999999999</v>
      </c>
      <c r="K1072" s="130">
        <v>1.0435000000000001</v>
      </c>
      <c r="L1072" s="130">
        <v>1.4517</v>
      </c>
      <c r="M1072" s="130">
        <v>1.2250000000000001</v>
      </c>
      <c r="N1072" s="130">
        <v>1.1696</v>
      </c>
      <c r="O1072" s="130">
        <v>1.0538000000000001</v>
      </c>
      <c r="P1072" s="129">
        <v>0</v>
      </c>
      <c r="Q1072" s="128">
        <f t="array" ref="Q1072">SUM(IF(($S1072&gt;=4)*($C1072='TaxCred&amp;Subs'!$D$123:$D$127)*($H1072='TaxCred&amp;Subs'!$C$123:$C$127)*($H1072&lt;='TaxCred&amp;Subs'!$C$129),'TaxCred&amp;Subs'!$E$123:$E$127,0))</f>
        <v>0</v>
      </c>
      <c r="R1072" s="174">
        <v>0</v>
      </c>
      <c r="S1072" s="129">
        <v>1</v>
      </c>
      <c r="T1072" s="129" t="s">
        <v>223</v>
      </c>
      <c r="U1072" s="155" t="s">
        <v>235</v>
      </c>
      <c r="V1072" s="153" t="str">
        <f t="array" ref="V1072">INDEX(xlRTCLNAME,MATCH(1,(xlRTCLENDU=1)*(xlRTCLEQCL=$D1072),0))</f>
        <v>KERO_FA</v>
      </c>
      <c r="W1072" s="153" t="str">
        <f t="array" ref="W1072">INDEX(xlRTCLNAME,MATCH(1,(xlRTCLENDU=2)*(xlRTCLEQCL=$F1072),0))</f>
        <v>CENT_AIR</v>
      </c>
      <c r="X1072" s="153" t="str">
        <f t="array" ref="X1072">INDEX(xlRTTYNAME,MATCH(1,(xlRTTYENDU=1)*(xlRTTYEQCL=$D1072)*(xlRTEQTYPE=$E1072),0))</f>
        <v>KERO_FA1</v>
      </c>
      <c r="Y1072" s="153" t="str">
        <f t="array" ref="Y1072">INDEX(xlRTTYNAME,MATCH(1,(xlRTTYENDU=2)*(xlRTTYEQCL=$F1072)*(xlRTEQTYPE=$G1072),0))</f>
        <v>CENT_AIR1</v>
      </c>
    </row>
    <row r="1073" spans="2:25" ht="14.25" customHeight="1" x14ac:dyDescent="0.2">
      <c r="B1073" s="129">
        <v>4</v>
      </c>
      <c r="C1073" s="129">
        <v>2</v>
      </c>
      <c r="D1073" s="129">
        <v>5</v>
      </c>
      <c r="E1073" s="129">
        <v>14</v>
      </c>
      <c r="F1073" s="129">
        <v>2</v>
      </c>
      <c r="G1073" s="129">
        <v>6</v>
      </c>
      <c r="H1073" s="129">
        <v>2023</v>
      </c>
      <c r="I1073" s="129">
        <v>2050</v>
      </c>
      <c r="J1073" s="130">
        <v>1.0934999999999999</v>
      </c>
      <c r="K1073" s="130">
        <v>1.0435000000000001</v>
      </c>
      <c r="L1073" s="130">
        <v>1.4517</v>
      </c>
      <c r="M1073" s="130">
        <v>1.2250000000000001</v>
      </c>
      <c r="N1073" s="130">
        <v>1.1696</v>
      </c>
      <c r="O1073" s="130">
        <v>1.0538000000000001</v>
      </c>
      <c r="P1073" s="129">
        <v>0</v>
      </c>
      <c r="Q1073" s="128">
        <f t="array" ref="Q1073">SUM(IF(($S1073&gt;=4)*($C1073='TaxCred&amp;Subs'!$D$123:$D$127)*($H1073='TaxCred&amp;Subs'!$C$123:$C$127)*($H1073&lt;='TaxCred&amp;Subs'!$C$129),'TaxCred&amp;Subs'!$E$123:$E$127,0))</f>
        <v>0</v>
      </c>
      <c r="R1073" s="174">
        <v>0</v>
      </c>
      <c r="S1073" s="129">
        <v>1</v>
      </c>
      <c r="T1073" s="129" t="s">
        <v>223</v>
      </c>
      <c r="U1073" s="155" t="s">
        <v>235</v>
      </c>
      <c r="V1073" s="153" t="str">
        <f t="array" ref="V1073">INDEX(xlRTCLNAME,MATCH(1,(xlRTCLENDU=1)*(xlRTCLEQCL=$D1073),0))</f>
        <v>KERO_FA</v>
      </c>
      <c r="W1073" s="153" t="str">
        <f t="array" ref="W1073">INDEX(xlRTCLNAME,MATCH(1,(xlRTCLENDU=2)*(xlRTCLEQCL=$F1073),0))</f>
        <v>CENT_AIR</v>
      </c>
      <c r="X1073" s="153" t="str">
        <f t="array" ref="X1073">INDEX(xlRTTYNAME,MATCH(1,(xlRTTYENDU=1)*(xlRTTYEQCL=$D1073)*(xlRTEQTYPE=$E1073),0))</f>
        <v>KERO_FA1</v>
      </c>
      <c r="Y1073" s="153" t="str">
        <f t="array" ref="Y1073">INDEX(xlRTTYNAME,MATCH(1,(xlRTTYENDU=2)*(xlRTTYEQCL=$F1073)*(xlRTEQTYPE=$G1073),0))</f>
        <v>CENT_AIR2</v>
      </c>
    </row>
    <row r="1074" spans="2:25" ht="14.25" customHeight="1" x14ac:dyDescent="0.2">
      <c r="B1074" s="129">
        <v>5</v>
      </c>
      <c r="C1074" s="129">
        <v>2</v>
      </c>
      <c r="D1074" s="129">
        <v>5</v>
      </c>
      <c r="E1074" s="129">
        <v>14</v>
      </c>
      <c r="F1074" s="129">
        <v>2</v>
      </c>
      <c r="G1074" s="129">
        <v>5</v>
      </c>
      <c r="H1074" s="129">
        <v>2016</v>
      </c>
      <c r="I1074" s="129">
        <v>2022</v>
      </c>
      <c r="J1074" s="130">
        <v>1.1200000000000001</v>
      </c>
      <c r="K1074" s="130">
        <v>1.0391999999999999</v>
      </c>
      <c r="L1074" s="130">
        <v>1.6313</v>
      </c>
      <c r="M1074" s="130">
        <v>1.1687000000000001</v>
      </c>
      <c r="N1074" s="130">
        <v>1.2595000000000001</v>
      </c>
      <c r="O1074" s="130">
        <v>1.0538000000000001</v>
      </c>
      <c r="P1074" s="129">
        <v>0</v>
      </c>
      <c r="Q1074" s="128">
        <f t="array" ref="Q1074">SUM(IF(($S1074&gt;=4)*($C1074='TaxCred&amp;Subs'!$D$123:$D$127)*($H1074='TaxCred&amp;Subs'!$C$123:$C$127)*($H1074&lt;='TaxCred&amp;Subs'!$C$129),'TaxCred&amp;Subs'!$E$123:$E$127,0))</f>
        <v>0</v>
      </c>
      <c r="R1074" s="174">
        <v>0</v>
      </c>
      <c r="S1074" s="129">
        <v>1</v>
      </c>
      <c r="T1074" s="129" t="s">
        <v>223</v>
      </c>
      <c r="U1074" s="155" t="s">
        <v>235</v>
      </c>
      <c r="V1074" s="153" t="str">
        <f t="array" ref="V1074">INDEX(xlRTCLNAME,MATCH(1,(xlRTCLENDU=1)*(xlRTCLEQCL=$D1074),0))</f>
        <v>KERO_FA</v>
      </c>
      <c r="W1074" s="153" t="str">
        <f t="array" ref="W1074">INDEX(xlRTCLNAME,MATCH(1,(xlRTCLENDU=2)*(xlRTCLEQCL=$F1074),0))</f>
        <v>CENT_AIR</v>
      </c>
      <c r="X1074" s="153" t="str">
        <f t="array" ref="X1074">INDEX(xlRTTYNAME,MATCH(1,(xlRTTYENDU=1)*(xlRTTYEQCL=$D1074)*(xlRTEQTYPE=$E1074),0))</f>
        <v>KERO_FA1</v>
      </c>
      <c r="Y1074" s="153" t="str">
        <f t="array" ref="Y1074">INDEX(xlRTTYNAME,MATCH(1,(xlRTTYENDU=2)*(xlRTTYEQCL=$F1074)*(xlRTEQTYPE=$G1074),0))</f>
        <v>CENT_AIR1</v>
      </c>
    </row>
    <row r="1075" spans="2:25" ht="14.25" customHeight="1" x14ac:dyDescent="0.2">
      <c r="B1075" s="129">
        <v>5</v>
      </c>
      <c r="C1075" s="129">
        <v>2</v>
      </c>
      <c r="D1075" s="129">
        <v>5</v>
      </c>
      <c r="E1075" s="129">
        <v>14</v>
      </c>
      <c r="F1075" s="129">
        <v>2</v>
      </c>
      <c r="G1075" s="129">
        <v>6</v>
      </c>
      <c r="H1075" s="129">
        <v>2023</v>
      </c>
      <c r="I1075" s="129">
        <v>2050</v>
      </c>
      <c r="J1075" s="130">
        <v>1.1200000000000001</v>
      </c>
      <c r="K1075" s="130">
        <v>1.0391999999999999</v>
      </c>
      <c r="L1075" s="130">
        <v>1.6313</v>
      </c>
      <c r="M1075" s="130">
        <v>1.1687000000000001</v>
      </c>
      <c r="N1075" s="130">
        <v>1.2595000000000001</v>
      </c>
      <c r="O1075" s="130">
        <v>1.0538000000000001</v>
      </c>
      <c r="P1075" s="129">
        <v>0</v>
      </c>
      <c r="Q1075" s="128">
        <f t="array" ref="Q1075">SUM(IF(($S1075&gt;=4)*($C1075='TaxCred&amp;Subs'!$D$123:$D$127)*($H1075='TaxCred&amp;Subs'!$C$123:$C$127)*($H1075&lt;='TaxCred&amp;Subs'!$C$129),'TaxCred&amp;Subs'!$E$123:$E$127,0))</f>
        <v>0</v>
      </c>
      <c r="R1075" s="174">
        <v>0</v>
      </c>
      <c r="S1075" s="129">
        <v>1</v>
      </c>
      <c r="T1075" s="129" t="s">
        <v>223</v>
      </c>
      <c r="U1075" s="155" t="s">
        <v>235</v>
      </c>
      <c r="V1075" s="153" t="str">
        <f t="array" ref="V1075">INDEX(xlRTCLNAME,MATCH(1,(xlRTCLENDU=1)*(xlRTCLEQCL=$D1075),0))</f>
        <v>KERO_FA</v>
      </c>
      <c r="W1075" s="153" t="str">
        <f t="array" ref="W1075">INDEX(xlRTCLNAME,MATCH(1,(xlRTCLENDU=2)*(xlRTCLEQCL=$F1075),0))</f>
        <v>CENT_AIR</v>
      </c>
      <c r="X1075" s="153" t="str">
        <f t="array" ref="X1075">INDEX(xlRTTYNAME,MATCH(1,(xlRTTYENDU=1)*(xlRTTYEQCL=$D1075)*(xlRTEQTYPE=$E1075),0))</f>
        <v>KERO_FA1</v>
      </c>
      <c r="Y1075" s="153" t="str">
        <f t="array" ref="Y1075">INDEX(xlRTTYNAME,MATCH(1,(xlRTTYENDU=2)*(xlRTTYEQCL=$F1075)*(xlRTEQTYPE=$G1075),0))</f>
        <v>CENT_AIR2</v>
      </c>
    </row>
    <row r="1076" spans="2:25" ht="14.25" customHeight="1" x14ac:dyDescent="0.2">
      <c r="B1076" s="129">
        <v>6</v>
      </c>
      <c r="C1076" s="129">
        <v>2</v>
      </c>
      <c r="D1076" s="129">
        <v>5</v>
      </c>
      <c r="E1076" s="129">
        <v>14</v>
      </c>
      <c r="F1076" s="129">
        <v>2</v>
      </c>
      <c r="G1076" s="129">
        <v>5</v>
      </c>
      <c r="H1076" s="129">
        <v>2016</v>
      </c>
      <c r="I1076" s="129">
        <v>2022</v>
      </c>
      <c r="J1076" s="130">
        <v>1.1200000000000001</v>
      </c>
      <c r="K1076" s="130">
        <v>1.03</v>
      </c>
      <c r="L1076" s="130">
        <v>1.7887</v>
      </c>
      <c r="M1076" s="130">
        <v>1.2250000000000001</v>
      </c>
      <c r="N1076" s="130">
        <v>1.3381000000000001</v>
      </c>
      <c r="O1076" s="130">
        <v>1.0538000000000001</v>
      </c>
      <c r="P1076" s="129">
        <v>0</v>
      </c>
      <c r="Q1076" s="128">
        <f t="array" ref="Q1076">SUM(IF(($S1076&gt;=4)*($C1076='TaxCred&amp;Subs'!$D$123:$D$127)*($H1076='TaxCred&amp;Subs'!$C$123:$C$127)*($H1076&lt;='TaxCred&amp;Subs'!$C$129),'TaxCred&amp;Subs'!$E$123:$E$127,0))</f>
        <v>0</v>
      </c>
      <c r="R1076" s="174">
        <v>0</v>
      </c>
      <c r="S1076" s="129">
        <v>1</v>
      </c>
      <c r="T1076" s="129" t="s">
        <v>223</v>
      </c>
      <c r="U1076" s="155" t="s">
        <v>235</v>
      </c>
      <c r="V1076" s="153" t="str">
        <f t="array" ref="V1076">INDEX(xlRTCLNAME,MATCH(1,(xlRTCLENDU=1)*(xlRTCLEQCL=$D1076),0))</f>
        <v>KERO_FA</v>
      </c>
      <c r="W1076" s="153" t="str">
        <f t="array" ref="W1076">INDEX(xlRTCLNAME,MATCH(1,(xlRTCLENDU=2)*(xlRTCLEQCL=$F1076),0))</f>
        <v>CENT_AIR</v>
      </c>
      <c r="X1076" s="153" t="str">
        <f t="array" ref="X1076">INDEX(xlRTTYNAME,MATCH(1,(xlRTTYENDU=1)*(xlRTTYEQCL=$D1076)*(xlRTEQTYPE=$E1076),0))</f>
        <v>KERO_FA1</v>
      </c>
      <c r="Y1076" s="153" t="str">
        <f t="array" ref="Y1076">INDEX(xlRTTYNAME,MATCH(1,(xlRTTYENDU=2)*(xlRTTYEQCL=$F1076)*(xlRTEQTYPE=$G1076),0))</f>
        <v>CENT_AIR1</v>
      </c>
    </row>
    <row r="1077" spans="2:25" ht="14.25" customHeight="1" x14ac:dyDescent="0.2">
      <c r="B1077" s="129">
        <v>6</v>
      </c>
      <c r="C1077" s="129">
        <v>2</v>
      </c>
      <c r="D1077" s="129">
        <v>5</v>
      </c>
      <c r="E1077" s="129">
        <v>14</v>
      </c>
      <c r="F1077" s="129">
        <v>2</v>
      </c>
      <c r="G1077" s="129">
        <v>6</v>
      </c>
      <c r="H1077" s="129">
        <v>2023</v>
      </c>
      <c r="I1077" s="129">
        <v>2050</v>
      </c>
      <c r="J1077" s="130">
        <v>1.1200000000000001</v>
      </c>
      <c r="K1077" s="130">
        <v>1.03</v>
      </c>
      <c r="L1077" s="130">
        <v>1.7887</v>
      </c>
      <c r="M1077" s="130">
        <v>1.2250000000000001</v>
      </c>
      <c r="N1077" s="130">
        <v>1.3381000000000001</v>
      </c>
      <c r="O1077" s="130">
        <v>1.0538000000000001</v>
      </c>
      <c r="P1077" s="129">
        <v>0</v>
      </c>
      <c r="Q1077" s="128">
        <f t="array" ref="Q1077">SUM(IF(($S1077&gt;=4)*($C1077='TaxCred&amp;Subs'!$D$123:$D$127)*($H1077='TaxCred&amp;Subs'!$C$123:$C$127)*($H1077&lt;='TaxCred&amp;Subs'!$C$129),'TaxCred&amp;Subs'!$E$123:$E$127,0))</f>
        <v>0</v>
      </c>
      <c r="R1077" s="174">
        <v>0</v>
      </c>
      <c r="S1077" s="129">
        <v>1</v>
      </c>
      <c r="T1077" s="129" t="s">
        <v>223</v>
      </c>
      <c r="U1077" s="155" t="s">
        <v>235</v>
      </c>
      <c r="V1077" s="153" t="str">
        <f t="array" ref="V1077">INDEX(xlRTCLNAME,MATCH(1,(xlRTCLENDU=1)*(xlRTCLEQCL=$D1077),0))</f>
        <v>KERO_FA</v>
      </c>
      <c r="W1077" s="153" t="str">
        <f t="array" ref="W1077">INDEX(xlRTCLNAME,MATCH(1,(xlRTCLENDU=2)*(xlRTCLEQCL=$F1077),0))</f>
        <v>CENT_AIR</v>
      </c>
      <c r="X1077" s="153" t="str">
        <f t="array" ref="X1077">INDEX(xlRTTYNAME,MATCH(1,(xlRTTYENDU=1)*(xlRTTYEQCL=$D1077)*(xlRTEQTYPE=$E1077),0))</f>
        <v>KERO_FA1</v>
      </c>
      <c r="Y1077" s="153" t="str">
        <f t="array" ref="Y1077">INDEX(xlRTTYNAME,MATCH(1,(xlRTTYENDU=2)*(xlRTTYEQCL=$F1077)*(xlRTEQTYPE=$G1077),0))</f>
        <v>CENT_AIR2</v>
      </c>
    </row>
    <row r="1078" spans="2:25" ht="14.25" customHeight="1" x14ac:dyDescent="0.2">
      <c r="B1078" s="129">
        <v>7</v>
      </c>
      <c r="C1078" s="129">
        <v>2</v>
      </c>
      <c r="D1078" s="129">
        <v>5</v>
      </c>
      <c r="E1078" s="129">
        <v>14</v>
      </c>
      <c r="F1078" s="129">
        <v>2</v>
      </c>
      <c r="G1078" s="129">
        <v>5</v>
      </c>
      <c r="H1078" s="129">
        <v>2016</v>
      </c>
      <c r="I1078" s="129">
        <v>2022</v>
      </c>
      <c r="J1078" s="130">
        <v>1.1200000000000001</v>
      </c>
      <c r="K1078" s="130">
        <v>1.0476000000000001</v>
      </c>
      <c r="L1078" s="130">
        <v>2</v>
      </c>
      <c r="M1078" s="130">
        <v>1.2121</v>
      </c>
      <c r="N1078" s="130">
        <v>1.4438</v>
      </c>
      <c r="O1078" s="130">
        <v>1.0538000000000001</v>
      </c>
      <c r="P1078" s="129">
        <v>0</v>
      </c>
      <c r="Q1078" s="128">
        <f t="array" ref="Q1078">SUM(IF(($S1078&gt;=4)*($C1078='TaxCred&amp;Subs'!$D$123:$D$127)*($H1078='TaxCred&amp;Subs'!$C$123:$C$127)*($H1078&lt;='TaxCred&amp;Subs'!$C$129),'TaxCred&amp;Subs'!$E$123:$E$127,0))</f>
        <v>0</v>
      </c>
      <c r="R1078" s="174">
        <v>0</v>
      </c>
      <c r="S1078" s="129">
        <v>1</v>
      </c>
      <c r="T1078" s="129" t="s">
        <v>223</v>
      </c>
      <c r="U1078" s="155" t="s">
        <v>235</v>
      </c>
      <c r="V1078" s="153" t="str">
        <f t="array" ref="V1078">INDEX(xlRTCLNAME,MATCH(1,(xlRTCLENDU=1)*(xlRTCLEQCL=$D1078),0))</f>
        <v>KERO_FA</v>
      </c>
      <c r="W1078" s="153" t="str">
        <f t="array" ref="W1078">INDEX(xlRTCLNAME,MATCH(1,(xlRTCLENDU=2)*(xlRTCLEQCL=$F1078),0))</f>
        <v>CENT_AIR</v>
      </c>
      <c r="X1078" s="153" t="str">
        <f t="array" ref="X1078">INDEX(xlRTTYNAME,MATCH(1,(xlRTTYENDU=1)*(xlRTTYEQCL=$D1078)*(xlRTEQTYPE=$E1078),0))</f>
        <v>KERO_FA1</v>
      </c>
      <c r="Y1078" s="153" t="str">
        <f t="array" ref="Y1078">INDEX(xlRTTYNAME,MATCH(1,(xlRTTYENDU=2)*(xlRTTYEQCL=$F1078)*(xlRTEQTYPE=$G1078),0))</f>
        <v>CENT_AIR1</v>
      </c>
    </row>
    <row r="1079" spans="2:25" ht="14.25" customHeight="1" x14ac:dyDescent="0.2">
      <c r="B1079" s="129">
        <v>7</v>
      </c>
      <c r="C1079" s="129">
        <v>2</v>
      </c>
      <c r="D1079" s="129">
        <v>5</v>
      </c>
      <c r="E1079" s="129">
        <v>14</v>
      </c>
      <c r="F1079" s="129">
        <v>2</v>
      </c>
      <c r="G1079" s="129">
        <v>6</v>
      </c>
      <c r="H1079" s="129">
        <v>2023</v>
      </c>
      <c r="I1079" s="129">
        <v>2050</v>
      </c>
      <c r="J1079" s="130">
        <v>1.1200000000000001</v>
      </c>
      <c r="K1079" s="130">
        <v>1.0476000000000001</v>
      </c>
      <c r="L1079" s="130">
        <v>2</v>
      </c>
      <c r="M1079" s="130">
        <v>1.2121</v>
      </c>
      <c r="N1079" s="130">
        <v>1.4438</v>
      </c>
      <c r="O1079" s="130">
        <v>1.0538000000000001</v>
      </c>
      <c r="P1079" s="129">
        <v>0</v>
      </c>
      <c r="Q1079" s="128">
        <f t="array" ref="Q1079">SUM(IF(($S1079&gt;=4)*($C1079='TaxCred&amp;Subs'!$D$123:$D$127)*($H1079='TaxCred&amp;Subs'!$C$123:$C$127)*($H1079&lt;='TaxCred&amp;Subs'!$C$129),'TaxCred&amp;Subs'!$E$123:$E$127,0))</f>
        <v>0</v>
      </c>
      <c r="R1079" s="174">
        <v>0</v>
      </c>
      <c r="S1079" s="129">
        <v>1</v>
      </c>
      <c r="T1079" s="129" t="s">
        <v>223</v>
      </c>
      <c r="U1079" s="155" t="s">
        <v>235</v>
      </c>
      <c r="V1079" s="153" t="str">
        <f t="array" ref="V1079">INDEX(xlRTCLNAME,MATCH(1,(xlRTCLENDU=1)*(xlRTCLEQCL=$D1079),0))</f>
        <v>KERO_FA</v>
      </c>
      <c r="W1079" s="153" t="str">
        <f t="array" ref="W1079">INDEX(xlRTCLNAME,MATCH(1,(xlRTCLENDU=2)*(xlRTCLEQCL=$F1079),0))</f>
        <v>CENT_AIR</v>
      </c>
      <c r="X1079" s="153" t="str">
        <f t="array" ref="X1079">INDEX(xlRTTYNAME,MATCH(1,(xlRTTYENDU=1)*(xlRTTYEQCL=$D1079)*(xlRTEQTYPE=$E1079),0))</f>
        <v>KERO_FA1</v>
      </c>
      <c r="Y1079" s="153" t="str">
        <f t="array" ref="Y1079">INDEX(xlRTTYNAME,MATCH(1,(xlRTTYENDU=2)*(xlRTTYEQCL=$F1079)*(xlRTEQTYPE=$G1079),0))</f>
        <v>CENT_AIR2</v>
      </c>
    </row>
    <row r="1080" spans="2:25" ht="14.25" customHeight="1" x14ac:dyDescent="0.2">
      <c r="B1080" s="129">
        <v>8</v>
      </c>
      <c r="C1080" s="129">
        <v>2</v>
      </c>
      <c r="D1080" s="129">
        <v>5</v>
      </c>
      <c r="E1080" s="129">
        <v>14</v>
      </c>
      <c r="F1080" s="129">
        <v>2</v>
      </c>
      <c r="G1080" s="129">
        <v>5</v>
      </c>
      <c r="H1080" s="129">
        <v>2016</v>
      </c>
      <c r="I1080" s="129">
        <v>2022</v>
      </c>
      <c r="J1080" s="130">
        <v>1.1064000000000001</v>
      </c>
      <c r="K1080" s="130">
        <v>1.0645</v>
      </c>
      <c r="L1080" s="130">
        <v>1.6777</v>
      </c>
      <c r="M1080" s="130">
        <v>1.3391999999999999</v>
      </c>
      <c r="N1080" s="130">
        <v>1.2826</v>
      </c>
      <c r="O1080" s="130">
        <v>1.0538000000000001</v>
      </c>
      <c r="P1080" s="129">
        <v>0</v>
      </c>
      <c r="Q1080" s="128">
        <f t="array" ref="Q1080">SUM(IF(($S1080&gt;=4)*($C1080='TaxCred&amp;Subs'!$D$123:$D$127)*($H1080='TaxCred&amp;Subs'!$C$123:$C$127)*($H1080&lt;='TaxCred&amp;Subs'!$C$129),'TaxCred&amp;Subs'!$E$123:$E$127,0))</f>
        <v>0</v>
      </c>
      <c r="R1080" s="174">
        <v>0</v>
      </c>
      <c r="S1080" s="129">
        <v>1</v>
      </c>
      <c r="T1080" s="129" t="s">
        <v>223</v>
      </c>
      <c r="U1080" s="155" t="s">
        <v>235</v>
      </c>
      <c r="V1080" s="153" t="str">
        <f t="array" ref="V1080">INDEX(xlRTCLNAME,MATCH(1,(xlRTCLENDU=1)*(xlRTCLEQCL=$D1080),0))</f>
        <v>KERO_FA</v>
      </c>
      <c r="W1080" s="153" t="str">
        <f t="array" ref="W1080">INDEX(xlRTCLNAME,MATCH(1,(xlRTCLENDU=2)*(xlRTCLEQCL=$F1080),0))</f>
        <v>CENT_AIR</v>
      </c>
      <c r="X1080" s="153" t="str">
        <f t="array" ref="X1080">INDEX(xlRTTYNAME,MATCH(1,(xlRTTYENDU=1)*(xlRTTYEQCL=$D1080)*(xlRTEQTYPE=$E1080),0))</f>
        <v>KERO_FA1</v>
      </c>
      <c r="Y1080" s="153" t="str">
        <f t="array" ref="Y1080">INDEX(xlRTTYNAME,MATCH(1,(xlRTTYENDU=2)*(xlRTTYEQCL=$F1080)*(xlRTEQTYPE=$G1080),0))</f>
        <v>CENT_AIR1</v>
      </c>
    </row>
    <row r="1081" spans="2:25" ht="14.25" customHeight="1" x14ac:dyDescent="0.2">
      <c r="B1081" s="129">
        <v>8</v>
      </c>
      <c r="C1081" s="129">
        <v>2</v>
      </c>
      <c r="D1081" s="129">
        <v>5</v>
      </c>
      <c r="E1081" s="129">
        <v>14</v>
      </c>
      <c r="F1081" s="129">
        <v>2</v>
      </c>
      <c r="G1081" s="129">
        <v>6</v>
      </c>
      <c r="H1081" s="129">
        <v>2023</v>
      </c>
      <c r="I1081" s="129">
        <v>2050</v>
      </c>
      <c r="J1081" s="130">
        <v>1.1064000000000001</v>
      </c>
      <c r="K1081" s="130">
        <v>1.0645</v>
      </c>
      <c r="L1081" s="130">
        <v>1.6777</v>
      </c>
      <c r="M1081" s="130">
        <v>1.3391999999999999</v>
      </c>
      <c r="N1081" s="130">
        <v>1.2826</v>
      </c>
      <c r="O1081" s="130">
        <v>1.0538000000000001</v>
      </c>
      <c r="P1081" s="129">
        <v>0</v>
      </c>
      <c r="Q1081" s="128">
        <f t="array" ref="Q1081">SUM(IF(($S1081&gt;=4)*($C1081='TaxCred&amp;Subs'!$D$123:$D$127)*($H1081='TaxCred&amp;Subs'!$C$123:$C$127)*($H1081&lt;='TaxCred&amp;Subs'!$C$129),'TaxCred&amp;Subs'!$E$123:$E$127,0))</f>
        <v>0</v>
      </c>
      <c r="R1081" s="174">
        <v>0</v>
      </c>
      <c r="S1081" s="129">
        <v>1</v>
      </c>
      <c r="T1081" s="129" t="s">
        <v>223</v>
      </c>
      <c r="U1081" s="155" t="s">
        <v>235</v>
      </c>
      <c r="V1081" s="153" t="str">
        <f t="array" ref="V1081">INDEX(xlRTCLNAME,MATCH(1,(xlRTCLENDU=1)*(xlRTCLEQCL=$D1081),0))</f>
        <v>KERO_FA</v>
      </c>
      <c r="W1081" s="153" t="str">
        <f t="array" ref="W1081">INDEX(xlRTCLNAME,MATCH(1,(xlRTCLENDU=2)*(xlRTCLEQCL=$F1081),0))</f>
        <v>CENT_AIR</v>
      </c>
      <c r="X1081" s="153" t="str">
        <f t="array" ref="X1081">INDEX(xlRTTYNAME,MATCH(1,(xlRTTYENDU=1)*(xlRTTYEQCL=$D1081)*(xlRTEQTYPE=$E1081),0))</f>
        <v>KERO_FA1</v>
      </c>
      <c r="Y1081" s="153" t="str">
        <f t="array" ref="Y1081">INDEX(xlRTTYNAME,MATCH(1,(xlRTTYENDU=2)*(xlRTTYEQCL=$F1081)*(xlRTEQTYPE=$G1081),0))</f>
        <v>CENT_AIR2</v>
      </c>
    </row>
    <row r="1082" spans="2:25" ht="14.25" customHeight="1" x14ac:dyDescent="0.2">
      <c r="B1082" s="129">
        <v>9</v>
      </c>
      <c r="C1082" s="129">
        <v>2</v>
      </c>
      <c r="D1082" s="129">
        <v>5</v>
      </c>
      <c r="E1082" s="129">
        <v>14</v>
      </c>
      <c r="F1082" s="129">
        <v>2</v>
      </c>
      <c r="G1082" s="129">
        <v>5</v>
      </c>
      <c r="H1082" s="129">
        <v>2016</v>
      </c>
      <c r="I1082" s="129">
        <v>2022</v>
      </c>
      <c r="J1082" s="130">
        <v>1.03</v>
      </c>
      <c r="K1082" s="130">
        <v>1.0556000000000001</v>
      </c>
      <c r="L1082" s="130">
        <v>2</v>
      </c>
      <c r="M1082" s="130">
        <v>1.2834000000000001</v>
      </c>
      <c r="N1082" s="130">
        <v>1.4438</v>
      </c>
      <c r="O1082" s="130">
        <v>1.0538000000000001</v>
      </c>
      <c r="P1082" s="129">
        <v>0</v>
      </c>
      <c r="Q1082" s="128">
        <f t="array" ref="Q1082">SUM(IF(($S1082&gt;=4)*($C1082='TaxCred&amp;Subs'!$D$123:$D$127)*($H1082='TaxCred&amp;Subs'!$C$123:$C$127)*($H1082&lt;='TaxCred&amp;Subs'!$C$129),'TaxCred&amp;Subs'!$E$123:$E$127,0))</f>
        <v>0</v>
      </c>
      <c r="R1082" s="174">
        <v>0</v>
      </c>
      <c r="S1082" s="129">
        <v>1</v>
      </c>
      <c r="T1082" s="129" t="s">
        <v>223</v>
      </c>
      <c r="U1082" s="155" t="s">
        <v>235</v>
      </c>
      <c r="V1082" s="153" t="str">
        <f t="array" ref="V1082">INDEX(xlRTCLNAME,MATCH(1,(xlRTCLENDU=1)*(xlRTCLEQCL=$D1082),0))</f>
        <v>KERO_FA</v>
      </c>
      <c r="W1082" s="153" t="str">
        <f t="array" ref="W1082">INDEX(xlRTCLNAME,MATCH(1,(xlRTCLENDU=2)*(xlRTCLEQCL=$F1082),0))</f>
        <v>CENT_AIR</v>
      </c>
      <c r="X1082" s="153" t="str">
        <f t="array" ref="X1082">INDEX(xlRTTYNAME,MATCH(1,(xlRTTYENDU=1)*(xlRTTYEQCL=$D1082)*(xlRTEQTYPE=$E1082),0))</f>
        <v>KERO_FA1</v>
      </c>
      <c r="Y1082" s="153" t="str">
        <f t="array" ref="Y1082">INDEX(xlRTTYNAME,MATCH(1,(xlRTTYENDU=2)*(xlRTTYEQCL=$F1082)*(xlRTEQTYPE=$G1082),0))</f>
        <v>CENT_AIR1</v>
      </c>
    </row>
    <row r="1083" spans="2:25" ht="14.25" customHeight="1" x14ac:dyDescent="0.2">
      <c r="B1083" s="129">
        <v>9</v>
      </c>
      <c r="C1083" s="129">
        <v>2</v>
      </c>
      <c r="D1083" s="129">
        <v>5</v>
      </c>
      <c r="E1083" s="129">
        <v>14</v>
      </c>
      <c r="F1083" s="129">
        <v>2</v>
      </c>
      <c r="G1083" s="129">
        <v>6</v>
      </c>
      <c r="H1083" s="129">
        <v>2023</v>
      </c>
      <c r="I1083" s="129">
        <v>2050</v>
      </c>
      <c r="J1083" s="130">
        <v>1.03</v>
      </c>
      <c r="K1083" s="130">
        <v>1.0556000000000001</v>
      </c>
      <c r="L1083" s="130">
        <v>2</v>
      </c>
      <c r="M1083" s="130">
        <v>1.2834000000000001</v>
      </c>
      <c r="N1083" s="130">
        <v>1.4438</v>
      </c>
      <c r="O1083" s="130">
        <v>1.0538000000000001</v>
      </c>
      <c r="P1083" s="129">
        <v>0</v>
      </c>
      <c r="Q1083" s="128">
        <f t="array" ref="Q1083">SUM(IF(($S1083&gt;=4)*($C1083='TaxCred&amp;Subs'!$D$123:$D$127)*($H1083='TaxCred&amp;Subs'!$C$123:$C$127)*($H1083&lt;='TaxCred&amp;Subs'!$C$129),'TaxCred&amp;Subs'!$E$123:$E$127,0))</f>
        <v>0</v>
      </c>
      <c r="R1083" s="174">
        <v>0</v>
      </c>
      <c r="S1083" s="129">
        <v>1</v>
      </c>
      <c r="T1083" s="129" t="s">
        <v>223</v>
      </c>
      <c r="U1083" s="155" t="s">
        <v>235</v>
      </c>
      <c r="V1083" s="153" t="str">
        <f t="array" ref="V1083">INDEX(xlRTCLNAME,MATCH(1,(xlRTCLENDU=1)*(xlRTCLEQCL=$D1083),0))</f>
        <v>KERO_FA</v>
      </c>
      <c r="W1083" s="153" t="str">
        <f t="array" ref="W1083">INDEX(xlRTCLNAME,MATCH(1,(xlRTCLENDU=2)*(xlRTCLEQCL=$F1083),0))</f>
        <v>CENT_AIR</v>
      </c>
      <c r="X1083" s="153" t="str">
        <f t="array" ref="X1083">INDEX(xlRTTYNAME,MATCH(1,(xlRTTYENDU=1)*(xlRTTYEQCL=$D1083)*(xlRTEQTYPE=$E1083),0))</f>
        <v>KERO_FA1</v>
      </c>
      <c r="Y1083" s="153" t="str">
        <f t="array" ref="Y1083">INDEX(xlRTTYNAME,MATCH(1,(xlRTTYENDU=2)*(xlRTTYEQCL=$F1083)*(xlRTEQTYPE=$G1083),0))</f>
        <v>CENT_AIR2</v>
      </c>
    </row>
    <row r="1084" spans="2:25" ht="14.25" customHeight="1" x14ac:dyDescent="0.2">
      <c r="B1084" s="126">
        <v>1</v>
      </c>
      <c r="C1084" s="126">
        <v>2</v>
      </c>
      <c r="D1084" s="126">
        <v>6</v>
      </c>
      <c r="E1084" s="126">
        <v>18</v>
      </c>
      <c r="F1084" s="126">
        <v>2</v>
      </c>
      <c r="G1084" s="126">
        <v>5</v>
      </c>
      <c r="H1084" s="126">
        <v>2016</v>
      </c>
      <c r="I1084" s="126">
        <v>2022</v>
      </c>
      <c r="J1084" s="127">
        <v>1.1042000000000001</v>
      </c>
      <c r="K1084" s="127">
        <v>1.0417000000000001</v>
      </c>
      <c r="L1084" s="127">
        <v>1.3378000000000001</v>
      </c>
      <c r="M1084" s="127">
        <v>1.1909000000000001</v>
      </c>
      <c r="N1084" s="127">
        <v>1.1127</v>
      </c>
      <c r="O1084" s="127">
        <v>1.0538000000000001</v>
      </c>
      <c r="P1084" s="126">
        <v>0</v>
      </c>
      <c r="Q1084" s="128">
        <f t="array" ref="Q1084">SUM(IF(($S1084&gt;=4)*($C1084='TaxCred&amp;Subs'!$D$123:$D$127)*($H1084='TaxCred&amp;Subs'!$C$123:$C$127)*($H1084&lt;='TaxCred&amp;Subs'!$C$129),'TaxCred&amp;Subs'!$E$123:$E$127,0))</f>
        <v>0</v>
      </c>
      <c r="R1084" s="174">
        <v>0</v>
      </c>
      <c r="S1084" s="126">
        <v>1</v>
      </c>
      <c r="T1084" s="126" t="s">
        <v>223</v>
      </c>
      <c r="U1084" s="158"/>
      <c r="V1084" s="153" t="str">
        <f t="array" ref="V1084">INDEX(xlRTCLNAME,MATCH(1,(xlRTCLENDU=1)*(xlRTCLEQCL=$D1084),0))</f>
        <v>LPG_FA</v>
      </c>
      <c r="W1084" s="153" t="str">
        <f t="array" ref="W1084">INDEX(xlRTCLNAME,MATCH(1,(xlRTCLENDU=2)*(xlRTCLEQCL=$F1084),0))</f>
        <v>CENT_AIR</v>
      </c>
      <c r="X1084" s="153" t="str">
        <f t="array" ref="X1084">INDEX(xlRTTYNAME,MATCH(1,(xlRTTYENDU=1)*(xlRTTYEQCL=$D1084)*(xlRTEQTYPE=$E1084),0))</f>
        <v>LPG_FA1</v>
      </c>
      <c r="Y1084" s="153" t="str">
        <f t="array" ref="Y1084">INDEX(xlRTTYNAME,MATCH(1,(xlRTTYENDU=2)*(xlRTTYEQCL=$F1084)*(xlRTEQTYPE=$G1084),0))</f>
        <v>CENT_AIR1</v>
      </c>
    </row>
    <row r="1085" spans="2:25" ht="14.25" customHeight="1" x14ac:dyDescent="0.2">
      <c r="B1085" s="126">
        <v>1</v>
      </c>
      <c r="C1085" s="126">
        <v>2</v>
      </c>
      <c r="D1085" s="126">
        <v>6</v>
      </c>
      <c r="E1085" s="126">
        <v>18</v>
      </c>
      <c r="F1085" s="126">
        <v>2</v>
      </c>
      <c r="G1085" s="126">
        <v>6</v>
      </c>
      <c r="H1085" s="126">
        <v>2023</v>
      </c>
      <c r="I1085" s="126">
        <v>2050</v>
      </c>
      <c r="J1085" s="127">
        <v>1.1042000000000001</v>
      </c>
      <c r="K1085" s="127">
        <v>1.0417000000000001</v>
      </c>
      <c r="L1085" s="127">
        <v>1.3378000000000001</v>
      </c>
      <c r="M1085" s="127">
        <v>1.1909000000000001</v>
      </c>
      <c r="N1085" s="127">
        <v>1.1127</v>
      </c>
      <c r="O1085" s="127">
        <v>1.0538000000000001</v>
      </c>
      <c r="P1085" s="126">
        <v>0</v>
      </c>
      <c r="Q1085" s="128">
        <f t="array" ref="Q1085">SUM(IF(($S1085&gt;=4)*($C1085='TaxCred&amp;Subs'!$D$123:$D$127)*($H1085='TaxCred&amp;Subs'!$C$123:$C$127)*($H1085&lt;='TaxCred&amp;Subs'!$C$129),'TaxCred&amp;Subs'!$E$123:$E$127,0))</f>
        <v>0</v>
      </c>
      <c r="R1085" s="174">
        <v>0</v>
      </c>
      <c r="S1085" s="126">
        <v>1</v>
      </c>
      <c r="T1085" s="126" t="s">
        <v>223</v>
      </c>
      <c r="U1085" s="158"/>
      <c r="V1085" s="153" t="str">
        <f t="array" ref="V1085">INDEX(xlRTCLNAME,MATCH(1,(xlRTCLENDU=1)*(xlRTCLEQCL=$D1085),0))</f>
        <v>LPG_FA</v>
      </c>
      <c r="W1085" s="153" t="str">
        <f t="array" ref="W1085">INDEX(xlRTCLNAME,MATCH(1,(xlRTCLENDU=2)*(xlRTCLEQCL=$F1085),0))</f>
        <v>CENT_AIR</v>
      </c>
      <c r="X1085" s="153" t="str">
        <f t="array" ref="X1085">INDEX(xlRTTYNAME,MATCH(1,(xlRTTYENDU=1)*(xlRTTYEQCL=$D1085)*(xlRTEQTYPE=$E1085),0))</f>
        <v>LPG_FA1</v>
      </c>
      <c r="Y1085" s="153" t="str">
        <f t="array" ref="Y1085">INDEX(xlRTTYNAME,MATCH(1,(xlRTTYENDU=2)*(xlRTTYEQCL=$F1085)*(xlRTEQTYPE=$G1085),0))</f>
        <v>CENT_AIR2</v>
      </c>
    </row>
    <row r="1086" spans="2:25" ht="14.25" customHeight="1" x14ac:dyDescent="0.2">
      <c r="B1086" s="126">
        <v>2</v>
      </c>
      <c r="C1086" s="126">
        <v>2</v>
      </c>
      <c r="D1086" s="126">
        <v>6</v>
      </c>
      <c r="E1086" s="126">
        <v>18</v>
      </c>
      <c r="F1086" s="126">
        <v>2</v>
      </c>
      <c r="G1086" s="126">
        <v>5</v>
      </c>
      <c r="H1086" s="126">
        <v>2016</v>
      </c>
      <c r="I1086" s="126">
        <v>2022</v>
      </c>
      <c r="J1086" s="127">
        <v>1.0847</v>
      </c>
      <c r="K1086" s="127">
        <v>1.0357000000000001</v>
      </c>
      <c r="L1086" s="127">
        <v>1.3448</v>
      </c>
      <c r="M1086" s="127">
        <v>1.2250000000000001</v>
      </c>
      <c r="N1086" s="127">
        <v>1.1162000000000001</v>
      </c>
      <c r="O1086" s="127">
        <v>1.0538000000000001</v>
      </c>
      <c r="P1086" s="126">
        <v>0</v>
      </c>
      <c r="Q1086" s="128">
        <f t="array" ref="Q1086">SUM(IF(($S1086&gt;=4)*($C1086='TaxCred&amp;Subs'!$D$123:$D$127)*($H1086='TaxCred&amp;Subs'!$C$123:$C$127)*($H1086&lt;='TaxCred&amp;Subs'!$C$129),'TaxCred&amp;Subs'!$E$123:$E$127,0))</f>
        <v>0</v>
      </c>
      <c r="R1086" s="174">
        <v>0</v>
      </c>
      <c r="S1086" s="126">
        <v>1</v>
      </c>
      <c r="T1086" s="126" t="s">
        <v>223</v>
      </c>
      <c r="U1086" s="158"/>
      <c r="V1086" s="153" t="str">
        <f t="array" ref="V1086">INDEX(xlRTCLNAME,MATCH(1,(xlRTCLENDU=1)*(xlRTCLEQCL=$D1086),0))</f>
        <v>LPG_FA</v>
      </c>
      <c r="W1086" s="153" t="str">
        <f t="array" ref="W1086">INDEX(xlRTCLNAME,MATCH(1,(xlRTCLENDU=2)*(xlRTCLEQCL=$F1086),0))</f>
        <v>CENT_AIR</v>
      </c>
      <c r="X1086" s="153" t="str">
        <f t="array" ref="X1086">INDEX(xlRTTYNAME,MATCH(1,(xlRTTYENDU=1)*(xlRTTYEQCL=$D1086)*(xlRTEQTYPE=$E1086),0))</f>
        <v>LPG_FA1</v>
      </c>
      <c r="Y1086" s="153" t="str">
        <f t="array" ref="Y1086">INDEX(xlRTTYNAME,MATCH(1,(xlRTTYENDU=2)*(xlRTTYEQCL=$F1086)*(xlRTEQTYPE=$G1086),0))</f>
        <v>CENT_AIR1</v>
      </c>
    </row>
    <row r="1087" spans="2:25" ht="14.25" customHeight="1" x14ac:dyDescent="0.2">
      <c r="B1087" s="126">
        <v>2</v>
      </c>
      <c r="C1087" s="126">
        <v>2</v>
      </c>
      <c r="D1087" s="126">
        <v>6</v>
      </c>
      <c r="E1087" s="126">
        <v>18</v>
      </c>
      <c r="F1087" s="126">
        <v>2</v>
      </c>
      <c r="G1087" s="126">
        <v>6</v>
      </c>
      <c r="H1087" s="126">
        <v>2023</v>
      </c>
      <c r="I1087" s="126">
        <v>2050</v>
      </c>
      <c r="J1087" s="127">
        <v>1.0847</v>
      </c>
      <c r="K1087" s="127">
        <v>1.0357000000000001</v>
      </c>
      <c r="L1087" s="127">
        <v>1.3448</v>
      </c>
      <c r="M1087" s="127">
        <v>1.2250000000000001</v>
      </c>
      <c r="N1087" s="127">
        <v>1.1162000000000001</v>
      </c>
      <c r="O1087" s="127">
        <v>1.0538000000000001</v>
      </c>
      <c r="P1087" s="126">
        <v>0</v>
      </c>
      <c r="Q1087" s="128">
        <f t="array" ref="Q1087">SUM(IF(($S1087&gt;=4)*($C1087='TaxCred&amp;Subs'!$D$123:$D$127)*($H1087='TaxCred&amp;Subs'!$C$123:$C$127)*($H1087&lt;='TaxCred&amp;Subs'!$C$129),'TaxCred&amp;Subs'!$E$123:$E$127,0))</f>
        <v>0</v>
      </c>
      <c r="R1087" s="174">
        <v>0</v>
      </c>
      <c r="S1087" s="126">
        <v>1</v>
      </c>
      <c r="T1087" s="126" t="s">
        <v>223</v>
      </c>
      <c r="U1087" s="158"/>
      <c r="V1087" s="153" t="str">
        <f t="array" ref="V1087">INDEX(xlRTCLNAME,MATCH(1,(xlRTCLENDU=1)*(xlRTCLEQCL=$D1087),0))</f>
        <v>LPG_FA</v>
      </c>
      <c r="W1087" s="153" t="str">
        <f t="array" ref="W1087">INDEX(xlRTCLNAME,MATCH(1,(xlRTCLENDU=2)*(xlRTCLEQCL=$F1087),0))</f>
        <v>CENT_AIR</v>
      </c>
      <c r="X1087" s="153" t="str">
        <f t="array" ref="X1087">INDEX(xlRTTYNAME,MATCH(1,(xlRTTYENDU=1)*(xlRTTYEQCL=$D1087)*(xlRTEQTYPE=$E1087),0))</f>
        <v>LPG_FA1</v>
      </c>
      <c r="Y1087" s="153" t="str">
        <f t="array" ref="Y1087">INDEX(xlRTTYNAME,MATCH(1,(xlRTTYENDU=2)*(xlRTTYEQCL=$F1087)*(xlRTEQTYPE=$G1087),0))</f>
        <v>CENT_AIR2</v>
      </c>
    </row>
    <row r="1088" spans="2:25" ht="14.25" customHeight="1" x14ac:dyDescent="0.2">
      <c r="B1088" s="126">
        <v>3</v>
      </c>
      <c r="C1088" s="126">
        <v>2</v>
      </c>
      <c r="D1088" s="126">
        <v>6</v>
      </c>
      <c r="E1088" s="126">
        <v>18</v>
      </c>
      <c r="F1088" s="126">
        <v>2</v>
      </c>
      <c r="G1088" s="126">
        <v>5</v>
      </c>
      <c r="H1088" s="126">
        <v>2016</v>
      </c>
      <c r="I1088" s="126">
        <v>2022</v>
      </c>
      <c r="J1088" s="127">
        <v>1.0984</v>
      </c>
      <c r="K1088" s="127">
        <v>1.0345</v>
      </c>
      <c r="L1088" s="127">
        <v>1.1920999999999999</v>
      </c>
      <c r="M1088" s="127">
        <v>1.1345000000000001</v>
      </c>
      <c r="N1088" s="127">
        <v>1.0399</v>
      </c>
      <c r="O1088" s="127">
        <v>1.0538000000000001</v>
      </c>
      <c r="P1088" s="126">
        <v>0</v>
      </c>
      <c r="Q1088" s="128">
        <f t="array" ref="Q1088">SUM(IF(($S1088&gt;=4)*($C1088='TaxCred&amp;Subs'!$D$123:$D$127)*($H1088='TaxCred&amp;Subs'!$C$123:$C$127)*($H1088&lt;='TaxCred&amp;Subs'!$C$129),'TaxCred&amp;Subs'!$E$123:$E$127,0))</f>
        <v>0</v>
      </c>
      <c r="R1088" s="174">
        <v>0</v>
      </c>
      <c r="S1088" s="126">
        <v>1</v>
      </c>
      <c r="T1088" s="126" t="s">
        <v>223</v>
      </c>
      <c r="U1088" s="158"/>
      <c r="V1088" s="153" t="str">
        <f t="array" ref="V1088">INDEX(xlRTCLNAME,MATCH(1,(xlRTCLENDU=1)*(xlRTCLEQCL=$D1088),0))</f>
        <v>LPG_FA</v>
      </c>
      <c r="W1088" s="153" t="str">
        <f t="array" ref="W1088">INDEX(xlRTCLNAME,MATCH(1,(xlRTCLENDU=2)*(xlRTCLEQCL=$F1088),0))</f>
        <v>CENT_AIR</v>
      </c>
      <c r="X1088" s="153" t="str">
        <f t="array" ref="X1088">INDEX(xlRTTYNAME,MATCH(1,(xlRTTYENDU=1)*(xlRTTYEQCL=$D1088)*(xlRTEQTYPE=$E1088),0))</f>
        <v>LPG_FA1</v>
      </c>
      <c r="Y1088" s="153" t="str">
        <f t="array" ref="Y1088">INDEX(xlRTTYNAME,MATCH(1,(xlRTTYENDU=2)*(xlRTTYEQCL=$F1088)*(xlRTEQTYPE=$G1088),0))</f>
        <v>CENT_AIR1</v>
      </c>
    </row>
    <row r="1089" spans="2:25" ht="14.25" customHeight="1" x14ac:dyDescent="0.2">
      <c r="B1089" s="126">
        <v>3</v>
      </c>
      <c r="C1089" s="126">
        <v>2</v>
      </c>
      <c r="D1089" s="126">
        <v>6</v>
      </c>
      <c r="E1089" s="126">
        <v>18</v>
      </c>
      <c r="F1089" s="126">
        <v>2</v>
      </c>
      <c r="G1089" s="126">
        <v>6</v>
      </c>
      <c r="H1089" s="126">
        <v>2023</v>
      </c>
      <c r="I1089" s="126">
        <v>2050</v>
      </c>
      <c r="J1089" s="127">
        <v>1.0984</v>
      </c>
      <c r="K1089" s="127">
        <v>1.0345</v>
      </c>
      <c r="L1089" s="127">
        <v>1.1920999999999999</v>
      </c>
      <c r="M1089" s="127">
        <v>1.1345000000000001</v>
      </c>
      <c r="N1089" s="127">
        <v>1.0399</v>
      </c>
      <c r="O1089" s="127">
        <v>1.0538000000000001</v>
      </c>
      <c r="P1089" s="126">
        <v>0</v>
      </c>
      <c r="Q1089" s="128">
        <f t="array" ref="Q1089">SUM(IF(($S1089&gt;=4)*($C1089='TaxCred&amp;Subs'!$D$123:$D$127)*($H1089='TaxCred&amp;Subs'!$C$123:$C$127)*($H1089&lt;='TaxCred&amp;Subs'!$C$129),'TaxCred&amp;Subs'!$E$123:$E$127,0))</f>
        <v>0</v>
      </c>
      <c r="R1089" s="174">
        <v>0</v>
      </c>
      <c r="S1089" s="126">
        <v>1</v>
      </c>
      <c r="T1089" s="126" t="s">
        <v>223</v>
      </c>
      <c r="U1089" s="158"/>
      <c r="V1089" s="153" t="str">
        <f t="array" ref="V1089">INDEX(xlRTCLNAME,MATCH(1,(xlRTCLENDU=1)*(xlRTCLEQCL=$D1089),0))</f>
        <v>LPG_FA</v>
      </c>
      <c r="W1089" s="153" t="str">
        <f t="array" ref="W1089">INDEX(xlRTCLNAME,MATCH(1,(xlRTCLENDU=2)*(xlRTCLEQCL=$F1089),0))</f>
        <v>CENT_AIR</v>
      </c>
      <c r="X1089" s="153" t="str">
        <f t="array" ref="X1089">INDEX(xlRTTYNAME,MATCH(1,(xlRTTYENDU=1)*(xlRTTYEQCL=$D1089)*(xlRTEQTYPE=$E1089),0))</f>
        <v>LPG_FA1</v>
      </c>
      <c r="Y1089" s="153" t="str">
        <f t="array" ref="Y1089">INDEX(xlRTTYNAME,MATCH(1,(xlRTTYENDU=2)*(xlRTTYEQCL=$F1089)*(xlRTEQTYPE=$G1089),0))</f>
        <v>CENT_AIR2</v>
      </c>
    </row>
    <row r="1090" spans="2:25" ht="14.25" customHeight="1" x14ac:dyDescent="0.2">
      <c r="B1090" s="126">
        <v>4</v>
      </c>
      <c r="C1090" s="126">
        <v>2</v>
      </c>
      <c r="D1090" s="126">
        <v>6</v>
      </c>
      <c r="E1090" s="126">
        <v>18</v>
      </c>
      <c r="F1090" s="126">
        <v>2</v>
      </c>
      <c r="G1090" s="126">
        <v>5</v>
      </c>
      <c r="H1090" s="126">
        <v>2016</v>
      </c>
      <c r="I1090" s="126">
        <v>2022</v>
      </c>
      <c r="J1090" s="127">
        <v>1.1000000000000001</v>
      </c>
      <c r="K1090" s="127">
        <v>1.0435000000000001</v>
      </c>
      <c r="L1090" s="127">
        <v>1.4516</v>
      </c>
      <c r="M1090" s="127">
        <v>1.2250000000000001</v>
      </c>
      <c r="N1090" s="127">
        <v>1.1696</v>
      </c>
      <c r="O1090" s="127">
        <v>1.0538000000000001</v>
      </c>
      <c r="P1090" s="126">
        <v>0</v>
      </c>
      <c r="Q1090" s="128">
        <f t="array" ref="Q1090">SUM(IF(($S1090&gt;=4)*($C1090='TaxCred&amp;Subs'!$D$123:$D$127)*($H1090='TaxCred&amp;Subs'!$C$123:$C$127)*($H1090&lt;='TaxCred&amp;Subs'!$C$129),'TaxCred&amp;Subs'!$E$123:$E$127,0))</f>
        <v>0</v>
      </c>
      <c r="R1090" s="174">
        <v>0</v>
      </c>
      <c r="S1090" s="126">
        <v>1</v>
      </c>
      <c r="T1090" s="126" t="s">
        <v>223</v>
      </c>
      <c r="U1090" s="158"/>
      <c r="V1090" s="153" t="str">
        <f t="array" ref="V1090">INDEX(xlRTCLNAME,MATCH(1,(xlRTCLENDU=1)*(xlRTCLEQCL=$D1090),0))</f>
        <v>LPG_FA</v>
      </c>
      <c r="W1090" s="153" t="str">
        <f t="array" ref="W1090">INDEX(xlRTCLNAME,MATCH(1,(xlRTCLENDU=2)*(xlRTCLEQCL=$F1090),0))</f>
        <v>CENT_AIR</v>
      </c>
      <c r="X1090" s="153" t="str">
        <f t="array" ref="X1090">INDEX(xlRTTYNAME,MATCH(1,(xlRTTYENDU=1)*(xlRTTYEQCL=$D1090)*(xlRTEQTYPE=$E1090),0))</f>
        <v>LPG_FA1</v>
      </c>
      <c r="Y1090" s="153" t="str">
        <f t="array" ref="Y1090">INDEX(xlRTTYNAME,MATCH(1,(xlRTTYENDU=2)*(xlRTTYEQCL=$F1090)*(xlRTEQTYPE=$G1090),0))</f>
        <v>CENT_AIR1</v>
      </c>
    </row>
    <row r="1091" spans="2:25" ht="14.25" customHeight="1" x14ac:dyDescent="0.2">
      <c r="B1091" s="126">
        <v>4</v>
      </c>
      <c r="C1091" s="126">
        <v>2</v>
      </c>
      <c r="D1091" s="126">
        <v>6</v>
      </c>
      <c r="E1091" s="126">
        <v>18</v>
      </c>
      <c r="F1091" s="126">
        <v>2</v>
      </c>
      <c r="G1091" s="126">
        <v>6</v>
      </c>
      <c r="H1091" s="126">
        <v>2023</v>
      </c>
      <c r="I1091" s="126">
        <v>2050</v>
      </c>
      <c r="J1091" s="127">
        <v>1.1000000000000001</v>
      </c>
      <c r="K1091" s="127">
        <v>1.0435000000000001</v>
      </c>
      <c r="L1091" s="127">
        <v>1.4516</v>
      </c>
      <c r="M1091" s="127">
        <v>1.2250000000000001</v>
      </c>
      <c r="N1091" s="127">
        <v>1.1696</v>
      </c>
      <c r="O1091" s="127">
        <v>1.0538000000000001</v>
      </c>
      <c r="P1091" s="126">
        <v>0</v>
      </c>
      <c r="Q1091" s="128">
        <f t="array" ref="Q1091">SUM(IF(($S1091&gt;=4)*($C1091='TaxCred&amp;Subs'!$D$123:$D$127)*($H1091='TaxCred&amp;Subs'!$C$123:$C$127)*($H1091&lt;='TaxCred&amp;Subs'!$C$129),'TaxCred&amp;Subs'!$E$123:$E$127,0))</f>
        <v>0</v>
      </c>
      <c r="R1091" s="174">
        <v>0</v>
      </c>
      <c r="S1091" s="126">
        <v>1</v>
      </c>
      <c r="T1091" s="126" t="s">
        <v>223</v>
      </c>
      <c r="U1091" s="158"/>
      <c r="V1091" s="153" t="str">
        <f t="array" ref="V1091">INDEX(xlRTCLNAME,MATCH(1,(xlRTCLENDU=1)*(xlRTCLEQCL=$D1091),0))</f>
        <v>LPG_FA</v>
      </c>
      <c r="W1091" s="153" t="str">
        <f t="array" ref="W1091">INDEX(xlRTCLNAME,MATCH(1,(xlRTCLENDU=2)*(xlRTCLEQCL=$F1091),0))</f>
        <v>CENT_AIR</v>
      </c>
      <c r="X1091" s="153" t="str">
        <f t="array" ref="X1091">INDEX(xlRTTYNAME,MATCH(1,(xlRTTYENDU=1)*(xlRTTYEQCL=$D1091)*(xlRTEQTYPE=$E1091),0))</f>
        <v>LPG_FA1</v>
      </c>
      <c r="Y1091" s="153" t="str">
        <f t="array" ref="Y1091">INDEX(xlRTTYNAME,MATCH(1,(xlRTTYENDU=2)*(xlRTTYEQCL=$F1091)*(xlRTEQTYPE=$G1091),0))</f>
        <v>CENT_AIR2</v>
      </c>
    </row>
    <row r="1092" spans="2:25" ht="14.25" customHeight="1" x14ac:dyDescent="0.2">
      <c r="B1092" s="126">
        <v>5</v>
      </c>
      <c r="C1092" s="126">
        <v>2</v>
      </c>
      <c r="D1092" s="126">
        <v>6</v>
      </c>
      <c r="E1092" s="126">
        <v>18</v>
      </c>
      <c r="F1092" s="126">
        <v>2</v>
      </c>
      <c r="G1092" s="126">
        <v>5</v>
      </c>
      <c r="H1092" s="126">
        <v>2016</v>
      </c>
      <c r="I1092" s="126">
        <v>2022</v>
      </c>
      <c r="J1092" s="127">
        <v>1.1200000000000001</v>
      </c>
      <c r="K1092" s="127">
        <v>1.0391999999999999</v>
      </c>
      <c r="L1092" s="127">
        <v>1.6626000000000001</v>
      </c>
      <c r="M1092" s="127">
        <v>1.1687000000000001</v>
      </c>
      <c r="N1092" s="127">
        <v>1.2750999999999999</v>
      </c>
      <c r="O1092" s="127">
        <v>1.0538000000000001</v>
      </c>
      <c r="P1092" s="126">
        <v>0</v>
      </c>
      <c r="Q1092" s="128">
        <f t="array" ref="Q1092">SUM(IF(($S1092&gt;=4)*($C1092='TaxCred&amp;Subs'!$D$123:$D$127)*($H1092='TaxCred&amp;Subs'!$C$123:$C$127)*($H1092&lt;='TaxCred&amp;Subs'!$C$129),'TaxCred&amp;Subs'!$E$123:$E$127,0))</f>
        <v>0</v>
      </c>
      <c r="R1092" s="174">
        <v>0</v>
      </c>
      <c r="S1092" s="126">
        <v>1</v>
      </c>
      <c r="T1092" s="126" t="s">
        <v>223</v>
      </c>
      <c r="U1092" s="158"/>
      <c r="V1092" s="153" t="str">
        <f t="array" ref="V1092">INDEX(xlRTCLNAME,MATCH(1,(xlRTCLENDU=1)*(xlRTCLEQCL=$D1092),0))</f>
        <v>LPG_FA</v>
      </c>
      <c r="W1092" s="153" t="str">
        <f t="array" ref="W1092">INDEX(xlRTCLNAME,MATCH(1,(xlRTCLENDU=2)*(xlRTCLEQCL=$F1092),0))</f>
        <v>CENT_AIR</v>
      </c>
      <c r="X1092" s="153" t="str">
        <f t="array" ref="X1092">INDEX(xlRTTYNAME,MATCH(1,(xlRTTYENDU=1)*(xlRTTYEQCL=$D1092)*(xlRTEQTYPE=$E1092),0))</f>
        <v>LPG_FA1</v>
      </c>
      <c r="Y1092" s="153" t="str">
        <f t="array" ref="Y1092">INDEX(xlRTTYNAME,MATCH(1,(xlRTTYENDU=2)*(xlRTTYEQCL=$F1092)*(xlRTEQTYPE=$G1092),0))</f>
        <v>CENT_AIR1</v>
      </c>
    </row>
    <row r="1093" spans="2:25" ht="14.25" customHeight="1" x14ac:dyDescent="0.2">
      <c r="B1093" s="126">
        <v>5</v>
      </c>
      <c r="C1093" s="126">
        <v>2</v>
      </c>
      <c r="D1093" s="126">
        <v>6</v>
      </c>
      <c r="E1093" s="126">
        <v>18</v>
      </c>
      <c r="F1093" s="126">
        <v>2</v>
      </c>
      <c r="G1093" s="126">
        <v>6</v>
      </c>
      <c r="H1093" s="126">
        <v>2023</v>
      </c>
      <c r="I1093" s="126">
        <v>2050</v>
      </c>
      <c r="J1093" s="127">
        <v>1.1200000000000001</v>
      </c>
      <c r="K1093" s="127">
        <v>1.0391999999999999</v>
      </c>
      <c r="L1093" s="127">
        <v>1.6626000000000001</v>
      </c>
      <c r="M1093" s="127">
        <v>1.1687000000000001</v>
      </c>
      <c r="N1093" s="127">
        <v>1.2750999999999999</v>
      </c>
      <c r="O1093" s="127">
        <v>1.0538000000000001</v>
      </c>
      <c r="P1093" s="126">
        <v>0</v>
      </c>
      <c r="Q1093" s="128">
        <f t="array" ref="Q1093">SUM(IF(($S1093&gt;=4)*($C1093='TaxCred&amp;Subs'!$D$123:$D$127)*($H1093='TaxCred&amp;Subs'!$C$123:$C$127)*($H1093&lt;='TaxCred&amp;Subs'!$C$129),'TaxCred&amp;Subs'!$E$123:$E$127,0))</f>
        <v>0</v>
      </c>
      <c r="R1093" s="174">
        <v>0</v>
      </c>
      <c r="S1093" s="126">
        <v>1</v>
      </c>
      <c r="T1093" s="126" t="s">
        <v>223</v>
      </c>
      <c r="U1093" s="158"/>
      <c r="V1093" s="153" t="str">
        <f t="array" ref="V1093">INDEX(xlRTCLNAME,MATCH(1,(xlRTCLENDU=1)*(xlRTCLEQCL=$D1093),0))</f>
        <v>LPG_FA</v>
      </c>
      <c r="W1093" s="153" t="str">
        <f t="array" ref="W1093">INDEX(xlRTCLNAME,MATCH(1,(xlRTCLENDU=2)*(xlRTCLEQCL=$F1093),0))</f>
        <v>CENT_AIR</v>
      </c>
      <c r="X1093" s="153" t="str">
        <f t="array" ref="X1093">INDEX(xlRTTYNAME,MATCH(1,(xlRTTYENDU=1)*(xlRTTYEQCL=$D1093)*(xlRTEQTYPE=$E1093),0))</f>
        <v>LPG_FA1</v>
      </c>
      <c r="Y1093" s="153" t="str">
        <f t="array" ref="Y1093">INDEX(xlRTTYNAME,MATCH(1,(xlRTTYENDU=2)*(xlRTTYEQCL=$F1093)*(xlRTEQTYPE=$G1093),0))</f>
        <v>CENT_AIR2</v>
      </c>
    </row>
    <row r="1094" spans="2:25" ht="14.25" customHeight="1" x14ac:dyDescent="0.2">
      <c r="B1094" s="126">
        <v>6</v>
      </c>
      <c r="C1094" s="126">
        <v>2</v>
      </c>
      <c r="D1094" s="126">
        <v>6</v>
      </c>
      <c r="E1094" s="126">
        <v>18</v>
      </c>
      <c r="F1094" s="126">
        <v>2</v>
      </c>
      <c r="G1094" s="126">
        <v>5</v>
      </c>
      <c r="H1094" s="126">
        <v>2016</v>
      </c>
      <c r="I1094" s="126">
        <v>2022</v>
      </c>
      <c r="J1094" s="127">
        <v>1.1200000000000001</v>
      </c>
      <c r="K1094" s="127">
        <v>1.03</v>
      </c>
      <c r="L1094" s="127">
        <v>1.7771999999999999</v>
      </c>
      <c r="M1094" s="127">
        <v>1.2250000000000001</v>
      </c>
      <c r="N1094" s="127">
        <v>1.3324</v>
      </c>
      <c r="O1094" s="127">
        <v>1.0538000000000001</v>
      </c>
      <c r="P1094" s="126">
        <v>0</v>
      </c>
      <c r="Q1094" s="128">
        <f t="array" ref="Q1094">SUM(IF(($S1094&gt;=4)*($C1094='TaxCred&amp;Subs'!$D$123:$D$127)*($H1094='TaxCred&amp;Subs'!$C$123:$C$127)*($H1094&lt;='TaxCred&amp;Subs'!$C$129),'TaxCred&amp;Subs'!$E$123:$E$127,0))</f>
        <v>0</v>
      </c>
      <c r="R1094" s="174">
        <v>0</v>
      </c>
      <c r="S1094" s="126">
        <v>1</v>
      </c>
      <c r="T1094" s="126" t="s">
        <v>223</v>
      </c>
      <c r="U1094" s="158"/>
      <c r="V1094" s="153" t="str">
        <f t="array" ref="V1094">INDEX(xlRTCLNAME,MATCH(1,(xlRTCLENDU=1)*(xlRTCLEQCL=$D1094),0))</f>
        <v>LPG_FA</v>
      </c>
      <c r="W1094" s="153" t="str">
        <f t="array" ref="W1094">INDEX(xlRTCLNAME,MATCH(1,(xlRTCLENDU=2)*(xlRTCLEQCL=$F1094),0))</f>
        <v>CENT_AIR</v>
      </c>
      <c r="X1094" s="153" t="str">
        <f t="array" ref="X1094">INDEX(xlRTTYNAME,MATCH(1,(xlRTTYENDU=1)*(xlRTTYEQCL=$D1094)*(xlRTEQTYPE=$E1094),0))</f>
        <v>LPG_FA1</v>
      </c>
      <c r="Y1094" s="153" t="str">
        <f t="array" ref="Y1094">INDEX(xlRTTYNAME,MATCH(1,(xlRTTYENDU=2)*(xlRTTYEQCL=$F1094)*(xlRTEQTYPE=$G1094),0))</f>
        <v>CENT_AIR1</v>
      </c>
    </row>
    <row r="1095" spans="2:25" ht="14.25" customHeight="1" x14ac:dyDescent="0.2">
      <c r="B1095" s="126">
        <v>6</v>
      </c>
      <c r="C1095" s="126">
        <v>2</v>
      </c>
      <c r="D1095" s="126">
        <v>6</v>
      </c>
      <c r="E1095" s="126">
        <v>18</v>
      </c>
      <c r="F1095" s="126">
        <v>2</v>
      </c>
      <c r="G1095" s="126">
        <v>6</v>
      </c>
      <c r="H1095" s="126">
        <v>2023</v>
      </c>
      <c r="I1095" s="126">
        <v>2050</v>
      </c>
      <c r="J1095" s="127">
        <v>1.1200000000000001</v>
      </c>
      <c r="K1095" s="127">
        <v>1.03</v>
      </c>
      <c r="L1095" s="127">
        <v>1.7771999999999999</v>
      </c>
      <c r="M1095" s="127">
        <v>1.2250000000000001</v>
      </c>
      <c r="N1095" s="127">
        <v>1.3324</v>
      </c>
      <c r="O1095" s="127">
        <v>1.0538000000000001</v>
      </c>
      <c r="P1095" s="126">
        <v>0</v>
      </c>
      <c r="Q1095" s="128">
        <f t="array" ref="Q1095">SUM(IF(($S1095&gt;=4)*($C1095='TaxCred&amp;Subs'!$D$123:$D$127)*($H1095='TaxCred&amp;Subs'!$C$123:$C$127)*($H1095&lt;='TaxCred&amp;Subs'!$C$129),'TaxCred&amp;Subs'!$E$123:$E$127,0))</f>
        <v>0</v>
      </c>
      <c r="R1095" s="174">
        <v>0</v>
      </c>
      <c r="S1095" s="126">
        <v>1</v>
      </c>
      <c r="T1095" s="126" t="s">
        <v>223</v>
      </c>
      <c r="U1095" s="158"/>
      <c r="V1095" s="153" t="str">
        <f t="array" ref="V1095">INDEX(xlRTCLNAME,MATCH(1,(xlRTCLENDU=1)*(xlRTCLEQCL=$D1095),0))</f>
        <v>LPG_FA</v>
      </c>
      <c r="W1095" s="153" t="str">
        <f t="array" ref="W1095">INDEX(xlRTCLNAME,MATCH(1,(xlRTCLENDU=2)*(xlRTCLEQCL=$F1095),0))</f>
        <v>CENT_AIR</v>
      </c>
      <c r="X1095" s="153" t="str">
        <f t="array" ref="X1095">INDEX(xlRTTYNAME,MATCH(1,(xlRTTYENDU=1)*(xlRTTYEQCL=$D1095)*(xlRTEQTYPE=$E1095),0))</f>
        <v>LPG_FA1</v>
      </c>
      <c r="Y1095" s="153" t="str">
        <f t="array" ref="Y1095">INDEX(xlRTTYNAME,MATCH(1,(xlRTTYENDU=2)*(xlRTTYEQCL=$F1095)*(xlRTEQTYPE=$G1095),0))</f>
        <v>CENT_AIR2</v>
      </c>
    </row>
    <row r="1096" spans="2:25" ht="14.25" customHeight="1" x14ac:dyDescent="0.2">
      <c r="B1096" s="126">
        <v>7</v>
      </c>
      <c r="C1096" s="126">
        <v>2</v>
      </c>
      <c r="D1096" s="126">
        <v>6</v>
      </c>
      <c r="E1096" s="126">
        <v>18</v>
      </c>
      <c r="F1096" s="126">
        <v>2</v>
      </c>
      <c r="G1096" s="126">
        <v>5</v>
      </c>
      <c r="H1096" s="126">
        <v>2016</v>
      </c>
      <c r="I1096" s="126">
        <v>2022</v>
      </c>
      <c r="J1096" s="127">
        <v>1.1200000000000001</v>
      </c>
      <c r="K1096" s="127">
        <v>1.0462</v>
      </c>
      <c r="L1096" s="127">
        <v>2</v>
      </c>
      <c r="M1096" s="127">
        <v>1.2121</v>
      </c>
      <c r="N1096" s="127">
        <v>1.4438</v>
      </c>
      <c r="O1096" s="127">
        <v>1.0538000000000001</v>
      </c>
      <c r="P1096" s="126">
        <v>0</v>
      </c>
      <c r="Q1096" s="128">
        <f t="array" ref="Q1096">SUM(IF(($S1096&gt;=4)*($C1096='TaxCred&amp;Subs'!$D$123:$D$127)*($H1096='TaxCred&amp;Subs'!$C$123:$C$127)*($H1096&lt;='TaxCred&amp;Subs'!$C$129),'TaxCred&amp;Subs'!$E$123:$E$127,0))</f>
        <v>0</v>
      </c>
      <c r="R1096" s="174">
        <v>0</v>
      </c>
      <c r="S1096" s="126">
        <v>1</v>
      </c>
      <c r="T1096" s="126" t="s">
        <v>223</v>
      </c>
      <c r="U1096" s="158"/>
      <c r="V1096" s="153" t="str">
        <f t="array" ref="V1096">INDEX(xlRTCLNAME,MATCH(1,(xlRTCLENDU=1)*(xlRTCLEQCL=$D1096),0))</f>
        <v>LPG_FA</v>
      </c>
      <c r="W1096" s="153" t="str">
        <f t="array" ref="W1096">INDEX(xlRTCLNAME,MATCH(1,(xlRTCLENDU=2)*(xlRTCLEQCL=$F1096),0))</f>
        <v>CENT_AIR</v>
      </c>
      <c r="X1096" s="153" t="str">
        <f t="array" ref="X1096">INDEX(xlRTTYNAME,MATCH(1,(xlRTTYENDU=1)*(xlRTTYEQCL=$D1096)*(xlRTEQTYPE=$E1096),0))</f>
        <v>LPG_FA1</v>
      </c>
      <c r="Y1096" s="153" t="str">
        <f t="array" ref="Y1096">INDEX(xlRTTYNAME,MATCH(1,(xlRTTYENDU=2)*(xlRTTYEQCL=$F1096)*(xlRTEQTYPE=$G1096),0))</f>
        <v>CENT_AIR1</v>
      </c>
    </row>
    <row r="1097" spans="2:25" ht="14.25" customHeight="1" x14ac:dyDescent="0.2">
      <c r="B1097" s="126">
        <v>7</v>
      </c>
      <c r="C1097" s="126">
        <v>2</v>
      </c>
      <c r="D1097" s="126">
        <v>6</v>
      </c>
      <c r="E1097" s="126">
        <v>18</v>
      </c>
      <c r="F1097" s="126">
        <v>2</v>
      </c>
      <c r="G1097" s="126">
        <v>6</v>
      </c>
      <c r="H1097" s="126">
        <v>2023</v>
      </c>
      <c r="I1097" s="126">
        <v>2050</v>
      </c>
      <c r="J1097" s="127">
        <v>1.1200000000000001</v>
      </c>
      <c r="K1097" s="127">
        <v>1.0462</v>
      </c>
      <c r="L1097" s="127">
        <v>2</v>
      </c>
      <c r="M1097" s="127">
        <v>1.2121</v>
      </c>
      <c r="N1097" s="127">
        <v>1.4438</v>
      </c>
      <c r="O1097" s="127">
        <v>1.0538000000000001</v>
      </c>
      <c r="P1097" s="126">
        <v>0</v>
      </c>
      <c r="Q1097" s="128">
        <f t="array" ref="Q1097">SUM(IF(($S1097&gt;=4)*($C1097='TaxCred&amp;Subs'!$D$123:$D$127)*($H1097='TaxCred&amp;Subs'!$C$123:$C$127)*($H1097&lt;='TaxCred&amp;Subs'!$C$129),'TaxCred&amp;Subs'!$E$123:$E$127,0))</f>
        <v>0</v>
      </c>
      <c r="R1097" s="174">
        <v>0</v>
      </c>
      <c r="S1097" s="126">
        <v>1</v>
      </c>
      <c r="T1097" s="126" t="s">
        <v>223</v>
      </c>
      <c r="U1097" s="158"/>
      <c r="V1097" s="153" t="str">
        <f t="array" ref="V1097">INDEX(xlRTCLNAME,MATCH(1,(xlRTCLENDU=1)*(xlRTCLEQCL=$D1097),0))</f>
        <v>LPG_FA</v>
      </c>
      <c r="W1097" s="153" t="str">
        <f t="array" ref="W1097">INDEX(xlRTCLNAME,MATCH(1,(xlRTCLENDU=2)*(xlRTCLEQCL=$F1097),0))</f>
        <v>CENT_AIR</v>
      </c>
      <c r="X1097" s="153" t="str">
        <f t="array" ref="X1097">INDEX(xlRTTYNAME,MATCH(1,(xlRTTYENDU=1)*(xlRTTYEQCL=$D1097)*(xlRTEQTYPE=$E1097),0))</f>
        <v>LPG_FA1</v>
      </c>
      <c r="Y1097" s="153" t="str">
        <f t="array" ref="Y1097">INDEX(xlRTTYNAME,MATCH(1,(xlRTTYENDU=2)*(xlRTTYEQCL=$F1097)*(xlRTEQTYPE=$G1097),0))</f>
        <v>CENT_AIR2</v>
      </c>
    </row>
    <row r="1098" spans="2:25" ht="14.25" customHeight="1" x14ac:dyDescent="0.2">
      <c r="B1098" s="126">
        <v>8</v>
      </c>
      <c r="C1098" s="126">
        <v>2</v>
      </c>
      <c r="D1098" s="126">
        <v>6</v>
      </c>
      <c r="E1098" s="126">
        <v>18</v>
      </c>
      <c r="F1098" s="126">
        <v>2</v>
      </c>
      <c r="G1098" s="126">
        <v>5</v>
      </c>
      <c r="H1098" s="126">
        <v>2016</v>
      </c>
      <c r="I1098" s="126">
        <v>2022</v>
      </c>
      <c r="J1098" s="127">
        <v>1.0932999999999999</v>
      </c>
      <c r="K1098" s="127">
        <v>1.0323</v>
      </c>
      <c r="L1098" s="127">
        <v>1.6819</v>
      </c>
      <c r="M1098" s="127">
        <v>1.3391999999999999</v>
      </c>
      <c r="N1098" s="127">
        <v>1.2847999999999999</v>
      </c>
      <c r="O1098" s="127">
        <v>1.0538000000000001</v>
      </c>
      <c r="P1098" s="126">
        <v>0</v>
      </c>
      <c r="Q1098" s="128">
        <f t="array" ref="Q1098">SUM(IF(($S1098&gt;=4)*($C1098='TaxCred&amp;Subs'!$D$123:$D$127)*($H1098='TaxCred&amp;Subs'!$C$123:$C$127)*($H1098&lt;='TaxCred&amp;Subs'!$C$129),'TaxCred&amp;Subs'!$E$123:$E$127,0))</f>
        <v>0</v>
      </c>
      <c r="R1098" s="174">
        <v>0</v>
      </c>
      <c r="S1098" s="126">
        <v>1</v>
      </c>
      <c r="T1098" s="126" t="s">
        <v>223</v>
      </c>
      <c r="U1098" s="158"/>
      <c r="V1098" s="153" t="str">
        <f t="array" ref="V1098">INDEX(xlRTCLNAME,MATCH(1,(xlRTCLENDU=1)*(xlRTCLEQCL=$D1098),0))</f>
        <v>LPG_FA</v>
      </c>
      <c r="W1098" s="153" t="str">
        <f t="array" ref="W1098">INDEX(xlRTCLNAME,MATCH(1,(xlRTCLENDU=2)*(xlRTCLEQCL=$F1098),0))</f>
        <v>CENT_AIR</v>
      </c>
      <c r="X1098" s="153" t="str">
        <f t="array" ref="X1098">INDEX(xlRTTYNAME,MATCH(1,(xlRTTYENDU=1)*(xlRTTYEQCL=$D1098)*(xlRTEQTYPE=$E1098),0))</f>
        <v>LPG_FA1</v>
      </c>
      <c r="Y1098" s="153" t="str">
        <f t="array" ref="Y1098">INDEX(xlRTTYNAME,MATCH(1,(xlRTTYENDU=2)*(xlRTTYEQCL=$F1098)*(xlRTEQTYPE=$G1098),0))</f>
        <v>CENT_AIR1</v>
      </c>
    </row>
    <row r="1099" spans="2:25" ht="14.25" customHeight="1" x14ac:dyDescent="0.2">
      <c r="B1099" s="126">
        <v>8</v>
      </c>
      <c r="C1099" s="126">
        <v>2</v>
      </c>
      <c r="D1099" s="126">
        <v>6</v>
      </c>
      <c r="E1099" s="126">
        <v>18</v>
      </c>
      <c r="F1099" s="126">
        <v>2</v>
      </c>
      <c r="G1099" s="126">
        <v>6</v>
      </c>
      <c r="H1099" s="126">
        <v>2023</v>
      </c>
      <c r="I1099" s="126">
        <v>2050</v>
      </c>
      <c r="J1099" s="127">
        <v>1.0932999999999999</v>
      </c>
      <c r="K1099" s="127">
        <v>1.0323</v>
      </c>
      <c r="L1099" s="127">
        <v>1.6819</v>
      </c>
      <c r="M1099" s="127">
        <v>1.3391999999999999</v>
      </c>
      <c r="N1099" s="127">
        <v>1.2847999999999999</v>
      </c>
      <c r="O1099" s="127">
        <v>1.0538000000000001</v>
      </c>
      <c r="P1099" s="126">
        <v>0</v>
      </c>
      <c r="Q1099" s="128">
        <f t="array" ref="Q1099">SUM(IF(($S1099&gt;=4)*($C1099='TaxCred&amp;Subs'!$D$123:$D$127)*($H1099='TaxCred&amp;Subs'!$C$123:$C$127)*($H1099&lt;='TaxCred&amp;Subs'!$C$129),'TaxCred&amp;Subs'!$E$123:$E$127,0))</f>
        <v>0</v>
      </c>
      <c r="R1099" s="174">
        <v>0</v>
      </c>
      <c r="S1099" s="126">
        <v>1</v>
      </c>
      <c r="T1099" s="126" t="s">
        <v>223</v>
      </c>
      <c r="U1099" s="158"/>
      <c r="V1099" s="153" t="str">
        <f t="array" ref="V1099">INDEX(xlRTCLNAME,MATCH(1,(xlRTCLENDU=1)*(xlRTCLEQCL=$D1099),0))</f>
        <v>LPG_FA</v>
      </c>
      <c r="W1099" s="153" t="str">
        <f t="array" ref="W1099">INDEX(xlRTCLNAME,MATCH(1,(xlRTCLENDU=2)*(xlRTCLEQCL=$F1099),0))</f>
        <v>CENT_AIR</v>
      </c>
      <c r="X1099" s="153" t="str">
        <f t="array" ref="X1099">INDEX(xlRTTYNAME,MATCH(1,(xlRTTYENDU=1)*(xlRTTYEQCL=$D1099)*(xlRTEQTYPE=$E1099),0))</f>
        <v>LPG_FA1</v>
      </c>
      <c r="Y1099" s="153" t="str">
        <f t="array" ref="Y1099">INDEX(xlRTTYNAME,MATCH(1,(xlRTTYENDU=2)*(xlRTTYEQCL=$F1099)*(xlRTEQTYPE=$G1099),0))</f>
        <v>CENT_AIR2</v>
      </c>
    </row>
    <row r="1100" spans="2:25" ht="14.25" customHeight="1" x14ac:dyDescent="0.2">
      <c r="B1100" s="126">
        <v>9</v>
      </c>
      <c r="C1100" s="126">
        <v>2</v>
      </c>
      <c r="D1100" s="126">
        <v>6</v>
      </c>
      <c r="E1100" s="126">
        <v>18</v>
      </c>
      <c r="F1100" s="126">
        <v>2</v>
      </c>
      <c r="G1100" s="126">
        <v>5</v>
      </c>
      <c r="H1100" s="126">
        <v>2016</v>
      </c>
      <c r="I1100" s="126">
        <v>2022</v>
      </c>
      <c r="J1100" s="127">
        <v>1.07</v>
      </c>
      <c r="K1100" s="127">
        <v>1.0541</v>
      </c>
      <c r="L1100" s="127">
        <v>2</v>
      </c>
      <c r="M1100" s="127">
        <v>1.2834000000000001</v>
      </c>
      <c r="N1100" s="127">
        <v>1.4438</v>
      </c>
      <c r="O1100" s="127">
        <v>1.0538000000000001</v>
      </c>
      <c r="P1100" s="126">
        <v>0</v>
      </c>
      <c r="Q1100" s="128">
        <f t="array" ref="Q1100">SUM(IF(($S1100&gt;=4)*($C1100='TaxCred&amp;Subs'!$D$123:$D$127)*($H1100='TaxCred&amp;Subs'!$C$123:$C$127)*($H1100&lt;='TaxCred&amp;Subs'!$C$129),'TaxCred&amp;Subs'!$E$123:$E$127,0))</f>
        <v>0</v>
      </c>
      <c r="R1100" s="174">
        <v>0</v>
      </c>
      <c r="S1100" s="126">
        <v>1</v>
      </c>
      <c r="T1100" s="126" t="s">
        <v>223</v>
      </c>
      <c r="U1100" s="158"/>
      <c r="V1100" s="153" t="str">
        <f t="array" ref="V1100">INDEX(xlRTCLNAME,MATCH(1,(xlRTCLENDU=1)*(xlRTCLEQCL=$D1100),0))</f>
        <v>LPG_FA</v>
      </c>
      <c r="W1100" s="153" t="str">
        <f t="array" ref="W1100">INDEX(xlRTCLNAME,MATCH(1,(xlRTCLENDU=2)*(xlRTCLEQCL=$F1100),0))</f>
        <v>CENT_AIR</v>
      </c>
      <c r="X1100" s="153" t="str">
        <f t="array" ref="X1100">INDEX(xlRTTYNAME,MATCH(1,(xlRTTYENDU=1)*(xlRTTYEQCL=$D1100)*(xlRTEQTYPE=$E1100),0))</f>
        <v>LPG_FA1</v>
      </c>
      <c r="Y1100" s="153" t="str">
        <f t="array" ref="Y1100">INDEX(xlRTTYNAME,MATCH(1,(xlRTTYENDU=2)*(xlRTTYEQCL=$F1100)*(xlRTEQTYPE=$G1100),0))</f>
        <v>CENT_AIR1</v>
      </c>
    </row>
    <row r="1101" spans="2:25" ht="14.25" customHeight="1" x14ac:dyDescent="0.2">
      <c r="B1101" s="126">
        <v>9</v>
      </c>
      <c r="C1101" s="126">
        <v>2</v>
      </c>
      <c r="D1101" s="126">
        <v>6</v>
      </c>
      <c r="E1101" s="126">
        <v>18</v>
      </c>
      <c r="F1101" s="126">
        <v>2</v>
      </c>
      <c r="G1101" s="126">
        <v>6</v>
      </c>
      <c r="H1101" s="126">
        <v>2023</v>
      </c>
      <c r="I1101" s="126">
        <v>2050</v>
      </c>
      <c r="J1101" s="127">
        <v>1.07</v>
      </c>
      <c r="K1101" s="127">
        <v>1.0541</v>
      </c>
      <c r="L1101" s="127">
        <v>2</v>
      </c>
      <c r="M1101" s="127">
        <v>1.2834000000000001</v>
      </c>
      <c r="N1101" s="127">
        <v>1.4438</v>
      </c>
      <c r="O1101" s="127">
        <v>1.0538000000000001</v>
      </c>
      <c r="P1101" s="126">
        <v>0</v>
      </c>
      <c r="Q1101" s="128">
        <f t="array" ref="Q1101">SUM(IF(($S1101&gt;=4)*($C1101='TaxCred&amp;Subs'!$D$123:$D$127)*($H1101='TaxCred&amp;Subs'!$C$123:$C$127)*($H1101&lt;='TaxCred&amp;Subs'!$C$129),'TaxCred&amp;Subs'!$E$123:$E$127,0))</f>
        <v>0</v>
      </c>
      <c r="R1101" s="174">
        <v>0</v>
      </c>
      <c r="S1101" s="126">
        <v>1</v>
      </c>
      <c r="T1101" s="126" t="s">
        <v>223</v>
      </c>
      <c r="U1101" s="158"/>
      <c r="V1101" s="153" t="str">
        <f t="array" ref="V1101">INDEX(xlRTCLNAME,MATCH(1,(xlRTCLENDU=1)*(xlRTCLEQCL=$D1101),0))</f>
        <v>LPG_FA</v>
      </c>
      <c r="W1101" s="153" t="str">
        <f t="array" ref="W1101">INDEX(xlRTCLNAME,MATCH(1,(xlRTCLENDU=2)*(xlRTCLEQCL=$F1101),0))</f>
        <v>CENT_AIR</v>
      </c>
      <c r="X1101" s="153" t="str">
        <f t="array" ref="X1101">INDEX(xlRTTYNAME,MATCH(1,(xlRTTYENDU=1)*(xlRTTYEQCL=$D1101)*(xlRTEQTYPE=$E1101),0))</f>
        <v>LPG_FA1</v>
      </c>
      <c r="Y1101" s="153" t="str">
        <f t="array" ref="Y1101">INDEX(xlRTTYNAME,MATCH(1,(xlRTTYENDU=2)*(xlRTTYEQCL=$F1101)*(xlRTEQTYPE=$G1101),0))</f>
        <v>CENT_AIR2</v>
      </c>
    </row>
    <row r="1102" spans="2:25" ht="14.25" customHeight="1" x14ac:dyDescent="0.2">
      <c r="B1102" s="126">
        <v>1</v>
      </c>
      <c r="C1102" s="126">
        <v>2</v>
      </c>
      <c r="D1102" s="126">
        <v>7</v>
      </c>
      <c r="E1102" s="126">
        <v>22</v>
      </c>
      <c r="F1102" s="126">
        <v>2</v>
      </c>
      <c r="G1102" s="126">
        <v>5</v>
      </c>
      <c r="H1102" s="126">
        <v>2016</v>
      </c>
      <c r="I1102" s="126">
        <v>2022</v>
      </c>
      <c r="J1102" s="127">
        <v>1.0956999999999999</v>
      </c>
      <c r="K1102" s="127">
        <v>1.0417000000000001</v>
      </c>
      <c r="L1102" s="127">
        <v>1.343</v>
      </c>
      <c r="M1102" s="127">
        <v>1.1909000000000001</v>
      </c>
      <c r="N1102" s="127">
        <v>1.1153</v>
      </c>
      <c r="O1102" s="127">
        <v>1.0538000000000001</v>
      </c>
      <c r="P1102" s="126">
        <v>0</v>
      </c>
      <c r="Q1102" s="128">
        <f t="array" ref="Q1102">SUM(IF(($S1102&gt;=4)*($C1102='TaxCred&amp;Subs'!$D$123:$D$127)*($H1102='TaxCred&amp;Subs'!$C$123:$C$127)*($H1102&lt;='TaxCred&amp;Subs'!$C$129),'TaxCred&amp;Subs'!$E$123:$E$127,0))</f>
        <v>0</v>
      </c>
      <c r="R1102" s="174">
        <v>0</v>
      </c>
      <c r="S1102" s="126">
        <v>1</v>
      </c>
      <c r="T1102" s="126" t="s">
        <v>223</v>
      </c>
      <c r="U1102" s="158"/>
      <c r="V1102" s="153" t="str">
        <f t="array" ref="V1102">INDEX(xlRTCLNAME,MATCH(1,(xlRTCLENDU=1)*(xlRTCLEQCL=$D1102),0))</f>
        <v>DIST_FA</v>
      </c>
      <c r="W1102" s="153" t="str">
        <f t="array" ref="W1102">INDEX(xlRTCLNAME,MATCH(1,(xlRTCLENDU=2)*(xlRTCLEQCL=$F1102),0))</f>
        <v>CENT_AIR</v>
      </c>
      <c r="X1102" s="153" t="str">
        <f t="array" ref="X1102">INDEX(xlRTTYNAME,MATCH(1,(xlRTTYENDU=1)*(xlRTTYEQCL=$D1102)*(xlRTEQTYPE=$E1102),0))</f>
        <v>DIST_FA1</v>
      </c>
      <c r="Y1102" s="153" t="str">
        <f t="array" ref="Y1102">INDEX(xlRTTYNAME,MATCH(1,(xlRTTYENDU=2)*(xlRTTYEQCL=$F1102)*(xlRTEQTYPE=$G1102),0))</f>
        <v>CENT_AIR1</v>
      </c>
    </row>
    <row r="1103" spans="2:25" ht="14.25" customHeight="1" x14ac:dyDescent="0.2">
      <c r="B1103" s="126">
        <v>1</v>
      </c>
      <c r="C1103" s="126">
        <v>2</v>
      </c>
      <c r="D1103" s="126">
        <v>7</v>
      </c>
      <c r="E1103" s="126">
        <v>22</v>
      </c>
      <c r="F1103" s="126">
        <v>2</v>
      </c>
      <c r="G1103" s="126">
        <v>6</v>
      </c>
      <c r="H1103" s="126">
        <v>2023</v>
      </c>
      <c r="I1103" s="126">
        <v>2050</v>
      </c>
      <c r="J1103" s="127">
        <v>1.0956999999999999</v>
      </c>
      <c r="K1103" s="127">
        <v>1.0417000000000001</v>
      </c>
      <c r="L1103" s="127">
        <v>1.343</v>
      </c>
      <c r="M1103" s="127">
        <v>1.1909000000000001</v>
      </c>
      <c r="N1103" s="127">
        <v>1.1153</v>
      </c>
      <c r="O1103" s="127">
        <v>1.0538000000000001</v>
      </c>
      <c r="P1103" s="126">
        <v>0</v>
      </c>
      <c r="Q1103" s="128">
        <f t="array" ref="Q1103">SUM(IF(($S1103&gt;=4)*($C1103='TaxCred&amp;Subs'!$D$123:$D$127)*($H1103='TaxCred&amp;Subs'!$C$123:$C$127)*($H1103&lt;='TaxCred&amp;Subs'!$C$129),'TaxCred&amp;Subs'!$E$123:$E$127,0))</f>
        <v>0</v>
      </c>
      <c r="R1103" s="174">
        <v>0</v>
      </c>
      <c r="S1103" s="126">
        <v>1</v>
      </c>
      <c r="T1103" s="126" t="s">
        <v>223</v>
      </c>
      <c r="U1103" s="158"/>
      <c r="V1103" s="153" t="str">
        <f t="array" ref="V1103">INDEX(xlRTCLNAME,MATCH(1,(xlRTCLENDU=1)*(xlRTCLEQCL=$D1103),0))</f>
        <v>DIST_FA</v>
      </c>
      <c r="W1103" s="153" t="str">
        <f t="array" ref="W1103">INDEX(xlRTCLNAME,MATCH(1,(xlRTCLENDU=2)*(xlRTCLEQCL=$F1103),0))</f>
        <v>CENT_AIR</v>
      </c>
      <c r="X1103" s="153" t="str">
        <f t="array" ref="X1103">INDEX(xlRTTYNAME,MATCH(1,(xlRTTYENDU=1)*(xlRTTYEQCL=$D1103)*(xlRTEQTYPE=$E1103),0))</f>
        <v>DIST_FA1</v>
      </c>
      <c r="Y1103" s="153" t="str">
        <f t="array" ref="Y1103">INDEX(xlRTTYNAME,MATCH(1,(xlRTTYENDU=2)*(xlRTTYEQCL=$F1103)*(xlRTEQTYPE=$G1103),0))</f>
        <v>CENT_AIR2</v>
      </c>
    </row>
    <row r="1104" spans="2:25" ht="14.25" customHeight="1" x14ac:dyDescent="0.2">
      <c r="B1104" s="126">
        <v>2</v>
      </c>
      <c r="C1104" s="126">
        <v>2</v>
      </c>
      <c r="D1104" s="126">
        <v>7</v>
      </c>
      <c r="E1104" s="126">
        <v>22</v>
      </c>
      <c r="F1104" s="126">
        <v>2</v>
      </c>
      <c r="G1104" s="126">
        <v>5</v>
      </c>
      <c r="H1104" s="126">
        <v>2016</v>
      </c>
      <c r="I1104" s="126">
        <v>2022</v>
      </c>
      <c r="J1104" s="127">
        <v>1.1059000000000001</v>
      </c>
      <c r="K1104" s="127">
        <v>1.0357000000000001</v>
      </c>
      <c r="L1104" s="127">
        <v>1.3479000000000001</v>
      </c>
      <c r="M1104" s="127">
        <v>1.2250000000000001</v>
      </c>
      <c r="N1104" s="127">
        <v>1.1176999999999999</v>
      </c>
      <c r="O1104" s="127">
        <v>1.0538000000000001</v>
      </c>
      <c r="P1104" s="126">
        <v>0</v>
      </c>
      <c r="Q1104" s="128">
        <f t="array" ref="Q1104">SUM(IF(($S1104&gt;=4)*($C1104='TaxCred&amp;Subs'!$D$123:$D$127)*($H1104='TaxCred&amp;Subs'!$C$123:$C$127)*($H1104&lt;='TaxCred&amp;Subs'!$C$129),'TaxCred&amp;Subs'!$E$123:$E$127,0))</f>
        <v>0</v>
      </c>
      <c r="R1104" s="174">
        <v>0</v>
      </c>
      <c r="S1104" s="126">
        <v>1</v>
      </c>
      <c r="T1104" s="126" t="s">
        <v>223</v>
      </c>
      <c r="U1104" s="158"/>
      <c r="V1104" s="153" t="str">
        <f t="array" ref="V1104">INDEX(xlRTCLNAME,MATCH(1,(xlRTCLENDU=1)*(xlRTCLEQCL=$D1104),0))</f>
        <v>DIST_FA</v>
      </c>
      <c r="W1104" s="153" t="str">
        <f t="array" ref="W1104">INDEX(xlRTCLNAME,MATCH(1,(xlRTCLENDU=2)*(xlRTCLEQCL=$F1104),0))</f>
        <v>CENT_AIR</v>
      </c>
      <c r="X1104" s="153" t="str">
        <f t="array" ref="X1104">INDEX(xlRTTYNAME,MATCH(1,(xlRTTYENDU=1)*(xlRTTYEQCL=$D1104)*(xlRTEQTYPE=$E1104),0))</f>
        <v>DIST_FA1</v>
      </c>
      <c r="Y1104" s="153" t="str">
        <f t="array" ref="Y1104">INDEX(xlRTTYNAME,MATCH(1,(xlRTTYENDU=2)*(xlRTTYEQCL=$F1104)*(xlRTEQTYPE=$G1104),0))</f>
        <v>CENT_AIR1</v>
      </c>
    </row>
    <row r="1105" spans="2:25" ht="14.25" customHeight="1" x14ac:dyDescent="0.2">
      <c r="B1105" s="126">
        <v>2</v>
      </c>
      <c r="C1105" s="126">
        <v>2</v>
      </c>
      <c r="D1105" s="126">
        <v>7</v>
      </c>
      <c r="E1105" s="126">
        <v>22</v>
      </c>
      <c r="F1105" s="126">
        <v>2</v>
      </c>
      <c r="G1105" s="126">
        <v>6</v>
      </c>
      <c r="H1105" s="126">
        <v>2023</v>
      </c>
      <c r="I1105" s="126">
        <v>2050</v>
      </c>
      <c r="J1105" s="127">
        <v>1.1059000000000001</v>
      </c>
      <c r="K1105" s="127">
        <v>1.0357000000000001</v>
      </c>
      <c r="L1105" s="127">
        <v>1.3479000000000001</v>
      </c>
      <c r="M1105" s="127">
        <v>1.2250000000000001</v>
      </c>
      <c r="N1105" s="127">
        <v>1.1176999999999999</v>
      </c>
      <c r="O1105" s="127">
        <v>1.0538000000000001</v>
      </c>
      <c r="P1105" s="126">
        <v>0</v>
      </c>
      <c r="Q1105" s="128">
        <f t="array" ref="Q1105">SUM(IF(($S1105&gt;=4)*($C1105='TaxCred&amp;Subs'!$D$123:$D$127)*($H1105='TaxCred&amp;Subs'!$C$123:$C$127)*($H1105&lt;='TaxCred&amp;Subs'!$C$129),'TaxCred&amp;Subs'!$E$123:$E$127,0))</f>
        <v>0</v>
      </c>
      <c r="R1105" s="174">
        <v>0</v>
      </c>
      <c r="S1105" s="126">
        <v>1</v>
      </c>
      <c r="T1105" s="126" t="s">
        <v>223</v>
      </c>
      <c r="U1105" s="158"/>
      <c r="V1105" s="153" t="str">
        <f t="array" ref="V1105">INDEX(xlRTCLNAME,MATCH(1,(xlRTCLENDU=1)*(xlRTCLEQCL=$D1105),0))</f>
        <v>DIST_FA</v>
      </c>
      <c r="W1105" s="153" t="str">
        <f t="array" ref="W1105">INDEX(xlRTCLNAME,MATCH(1,(xlRTCLENDU=2)*(xlRTCLEQCL=$F1105),0))</f>
        <v>CENT_AIR</v>
      </c>
      <c r="X1105" s="153" t="str">
        <f t="array" ref="X1105">INDEX(xlRTTYNAME,MATCH(1,(xlRTTYENDU=1)*(xlRTTYEQCL=$D1105)*(xlRTEQTYPE=$E1105),0))</f>
        <v>DIST_FA1</v>
      </c>
      <c r="Y1105" s="153" t="str">
        <f t="array" ref="Y1105">INDEX(xlRTTYNAME,MATCH(1,(xlRTTYENDU=2)*(xlRTTYEQCL=$F1105)*(xlRTEQTYPE=$G1105),0))</f>
        <v>CENT_AIR2</v>
      </c>
    </row>
    <row r="1106" spans="2:25" ht="14.25" customHeight="1" x14ac:dyDescent="0.2">
      <c r="B1106" s="126">
        <v>3</v>
      </c>
      <c r="C1106" s="126">
        <v>2</v>
      </c>
      <c r="D1106" s="126">
        <v>7</v>
      </c>
      <c r="E1106" s="126">
        <v>22</v>
      </c>
      <c r="F1106" s="126">
        <v>2</v>
      </c>
      <c r="G1106" s="126">
        <v>5</v>
      </c>
      <c r="H1106" s="126">
        <v>2016</v>
      </c>
      <c r="I1106" s="126">
        <v>2022</v>
      </c>
      <c r="J1106" s="127">
        <v>1.099</v>
      </c>
      <c r="K1106" s="127">
        <v>1.03</v>
      </c>
      <c r="L1106" s="127">
        <v>1.1887000000000001</v>
      </c>
      <c r="M1106" s="127">
        <v>1.1345000000000001</v>
      </c>
      <c r="N1106" s="127">
        <v>1.0381</v>
      </c>
      <c r="O1106" s="127">
        <v>1.0538000000000001</v>
      </c>
      <c r="P1106" s="126">
        <v>0</v>
      </c>
      <c r="Q1106" s="128">
        <f t="array" ref="Q1106">SUM(IF(($S1106&gt;=4)*($C1106='TaxCred&amp;Subs'!$D$123:$D$127)*($H1106='TaxCred&amp;Subs'!$C$123:$C$127)*($H1106&lt;='TaxCred&amp;Subs'!$C$129),'TaxCred&amp;Subs'!$E$123:$E$127,0))</f>
        <v>0</v>
      </c>
      <c r="R1106" s="174">
        <v>0</v>
      </c>
      <c r="S1106" s="126">
        <v>1</v>
      </c>
      <c r="T1106" s="126" t="s">
        <v>223</v>
      </c>
      <c r="U1106" s="158"/>
      <c r="V1106" s="153" t="str">
        <f t="array" ref="V1106">INDEX(xlRTCLNAME,MATCH(1,(xlRTCLENDU=1)*(xlRTCLEQCL=$D1106),0))</f>
        <v>DIST_FA</v>
      </c>
      <c r="W1106" s="153" t="str">
        <f t="array" ref="W1106">INDEX(xlRTCLNAME,MATCH(1,(xlRTCLENDU=2)*(xlRTCLEQCL=$F1106),0))</f>
        <v>CENT_AIR</v>
      </c>
      <c r="X1106" s="153" t="str">
        <f t="array" ref="X1106">INDEX(xlRTTYNAME,MATCH(1,(xlRTTYENDU=1)*(xlRTTYEQCL=$D1106)*(xlRTEQTYPE=$E1106),0))</f>
        <v>DIST_FA1</v>
      </c>
      <c r="Y1106" s="153" t="str">
        <f t="array" ref="Y1106">INDEX(xlRTTYNAME,MATCH(1,(xlRTTYENDU=2)*(xlRTTYEQCL=$F1106)*(xlRTEQTYPE=$G1106),0))</f>
        <v>CENT_AIR1</v>
      </c>
    </row>
    <row r="1107" spans="2:25" ht="14.25" customHeight="1" x14ac:dyDescent="0.2">
      <c r="B1107" s="126">
        <v>3</v>
      </c>
      <c r="C1107" s="126">
        <v>2</v>
      </c>
      <c r="D1107" s="126">
        <v>7</v>
      </c>
      <c r="E1107" s="126">
        <v>22</v>
      </c>
      <c r="F1107" s="126">
        <v>2</v>
      </c>
      <c r="G1107" s="126">
        <v>6</v>
      </c>
      <c r="H1107" s="126">
        <v>2023</v>
      </c>
      <c r="I1107" s="126">
        <v>2050</v>
      </c>
      <c r="J1107" s="127">
        <v>1.099</v>
      </c>
      <c r="K1107" s="127">
        <v>1.03</v>
      </c>
      <c r="L1107" s="127">
        <v>1.1887000000000001</v>
      </c>
      <c r="M1107" s="127">
        <v>1.1345000000000001</v>
      </c>
      <c r="N1107" s="127">
        <v>1.0381</v>
      </c>
      <c r="O1107" s="127">
        <v>1.0538000000000001</v>
      </c>
      <c r="P1107" s="126">
        <v>0</v>
      </c>
      <c r="Q1107" s="128">
        <f t="array" ref="Q1107">SUM(IF(($S1107&gt;=4)*($C1107='TaxCred&amp;Subs'!$D$123:$D$127)*($H1107='TaxCred&amp;Subs'!$C$123:$C$127)*($H1107&lt;='TaxCred&amp;Subs'!$C$129),'TaxCred&amp;Subs'!$E$123:$E$127,0))</f>
        <v>0</v>
      </c>
      <c r="R1107" s="174">
        <v>0</v>
      </c>
      <c r="S1107" s="126">
        <v>1</v>
      </c>
      <c r="T1107" s="126" t="s">
        <v>223</v>
      </c>
      <c r="U1107" s="158"/>
      <c r="V1107" s="153" t="str">
        <f t="array" ref="V1107">INDEX(xlRTCLNAME,MATCH(1,(xlRTCLENDU=1)*(xlRTCLEQCL=$D1107),0))</f>
        <v>DIST_FA</v>
      </c>
      <c r="W1107" s="153" t="str">
        <f t="array" ref="W1107">INDEX(xlRTCLNAME,MATCH(1,(xlRTCLENDU=2)*(xlRTCLEQCL=$F1107),0))</f>
        <v>CENT_AIR</v>
      </c>
      <c r="X1107" s="153" t="str">
        <f t="array" ref="X1107">INDEX(xlRTTYNAME,MATCH(1,(xlRTTYENDU=1)*(xlRTTYEQCL=$D1107)*(xlRTEQTYPE=$E1107),0))</f>
        <v>DIST_FA1</v>
      </c>
      <c r="Y1107" s="153" t="str">
        <f t="array" ref="Y1107">INDEX(xlRTTYNAME,MATCH(1,(xlRTTYENDU=2)*(xlRTTYEQCL=$F1107)*(xlRTEQTYPE=$G1107),0))</f>
        <v>CENT_AIR2</v>
      </c>
    </row>
    <row r="1108" spans="2:25" ht="14.25" customHeight="1" x14ac:dyDescent="0.2">
      <c r="B1108" s="126">
        <v>4</v>
      </c>
      <c r="C1108" s="126">
        <v>2</v>
      </c>
      <c r="D1108" s="126">
        <v>7</v>
      </c>
      <c r="E1108" s="126">
        <v>22</v>
      </c>
      <c r="F1108" s="126">
        <v>2</v>
      </c>
      <c r="G1108" s="126">
        <v>5</v>
      </c>
      <c r="H1108" s="126">
        <v>2016</v>
      </c>
      <c r="I1108" s="126">
        <v>2022</v>
      </c>
      <c r="J1108" s="127">
        <v>1.0934999999999999</v>
      </c>
      <c r="K1108" s="127">
        <v>1.0435000000000001</v>
      </c>
      <c r="L1108" s="127">
        <v>1.4517</v>
      </c>
      <c r="M1108" s="127">
        <v>1.2250000000000001</v>
      </c>
      <c r="N1108" s="127">
        <v>1.1696</v>
      </c>
      <c r="O1108" s="127">
        <v>1.0538000000000001</v>
      </c>
      <c r="P1108" s="126">
        <v>0</v>
      </c>
      <c r="Q1108" s="128">
        <f t="array" ref="Q1108">SUM(IF(($S1108&gt;=4)*($C1108='TaxCred&amp;Subs'!$D$123:$D$127)*($H1108='TaxCred&amp;Subs'!$C$123:$C$127)*($H1108&lt;='TaxCred&amp;Subs'!$C$129),'TaxCred&amp;Subs'!$E$123:$E$127,0))</f>
        <v>0</v>
      </c>
      <c r="R1108" s="174">
        <v>0</v>
      </c>
      <c r="S1108" s="126">
        <v>1</v>
      </c>
      <c r="T1108" s="126" t="s">
        <v>223</v>
      </c>
      <c r="U1108" s="158"/>
      <c r="V1108" s="153" t="str">
        <f t="array" ref="V1108">INDEX(xlRTCLNAME,MATCH(1,(xlRTCLENDU=1)*(xlRTCLEQCL=$D1108),0))</f>
        <v>DIST_FA</v>
      </c>
      <c r="W1108" s="153" t="str">
        <f t="array" ref="W1108">INDEX(xlRTCLNAME,MATCH(1,(xlRTCLENDU=2)*(xlRTCLEQCL=$F1108),0))</f>
        <v>CENT_AIR</v>
      </c>
      <c r="X1108" s="153" t="str">
        <f t="array" ref="X1108">INDEX(xlRTTYNAME,MATCH(1,(xlRTTYENDU=1)*(xlRTTYEQCL=$D1108)*(xlRTEQTYPE=$E1108),0))</f>
        <v>DIST_FA1</v>
      </c>
      <c r="Y1108" s="153" t="str">
        <f t="array" ref="Y1108">INDEX(xlRTTYNAME,MATCH(1,(xlRTTYENDU=2)*(xlRTTYEQCL=$F1108)*(xlRTEQTYPE=$G1108),0))</f>
        <v>CENT_AIR1</v>
      </c>
    </row>
    <row r="1109" spans="2:25" ht="14.25" customHeight="1" x14ac:dyDescent="0.2">
      <c r="B1109" s="126">
        <v>4</v>
      </c>
      <c r="C1109" s="126">
        <v>2</v>
      </c>
      <c r="D1109" s="126">
        <v>7</v>
      </c>
      <c r="E1109" s="126">
        <v>22</v>
      </c>
      <c r="F1109" s="126">
        <v>2</v>
      </c>
      <c r="G1109" s="126">
        <v>6</v>
      </c>
      <c r="H1109" s="126">
        <v>2023</v>
      </c>
      <c r="I1109" s="126">
        <v>2050</v>
      </c>
      <c r="J1109" s="127">
        <v>1.0934999999999999</v>
      </c>
      <c r="K1109" s="127">
        <v>1.0435000000000001</v>
      </c>
      <c r="L1109" s="127">
        <v>1.4517</v>
      </c>
      <c r="M1109" s="127">
        <v>1.2250000000000001</v>
      </c>
      <c r="N1109" s="127">
        <v>1.1696</v>
      </c>
      <c r="O1109" s="127">
        <v>1.0538000000000001</v>
      </c>
      <c r="P1109" s="126">
        <v>0</v>
      </c>
      <c r="Q1109" s="128">
        <f t="array" ref="Q1109">SUM(IF(($S1109&gt;=4)*($C1109='TaxCred&amp;Subs'!$D$123:$D$127)*($H1109='TaxCred&amp;Subs'!$C$123:$C$127)*($H1109&lt;='TaxCred&amp;Subs'!$C$129),'TaxCred&amp;Subs'!$E$123:$E$127,0))</f>
        <v>0</v>
      </c>
      <c r="R1109" s="174">
        <v>0</v>
      </c>
      <c r="S1109" s="126">
        <v>1</v>
      </c>
      <c r="T1109" s="126" t="s">
        <v>223</v>
      </c>
      <c r="U1109" s="158"/>
      <c r="V1109" s="153" t="str">
        <f t="array" ref="V1109">INDEX(xlRTCLNAME,MATCH(1,(xlRTCLENDU=1)*(xlRTCLEQCL=$D1109),0))</f>
        <v>DIST_FA</v>
      </c>
      <c r="W1109" s="153" t="str">
        <f t="array" ref="W1109">INDEX(xlRTCLNAME,MATCH(1,(xlRTCLENDU=2)*(xlRTCLEQCL=$F1109),0))</f>
        <v>CENT_AIR</v>
      </c>
      <c r="X1109" s="153" t="str">
        <f t="array" ref="X1109">INDEX(xlRTTYNAME,MATCH(1,(xlRTTYENDU=1)*(xlRTTYEQCL=$D1109)*(xlRTEQTYPE=$E1109),0))</f>
        <v>DIST_FA1</v>
      </c>
      <c r="Y1109" s="153" t="str">
        <f t="array" ref="Y1109">INDEX(xlRTTYNAME,MATCH(1,(xlRTTYENDU=2)*(xlRTTYEQCL=$F1109)*(xlRTEQTYPE=$G1109),0))</f>
        <v>CENT_AIR2</v>
      </c>
    </row>
    <row r="1110" spans="2:25" ht="14.25" customHeight="1" x14ac:dyDescent="0.2">
      <c r="B1110" s="126">
        <v>5</v>
      </c>
      <c r="C1110" s="126">
        <v>2</v>
      </c>
      <c r="D1110" s="126">
        <v>7</v>
      </c>
      <c r="E1110" s="126">
        <v>22</v>
      </c>
      <c r="F1110" s="126">
        <v>2</v>
      </c>
      <c r="G1110" s="126">
        <v>5</v>
      </c>
      <c r="H1110" s="126">
        <v>2016</v>
      </c>
      <c r="I1110" s="126">
        <v>2022</v>
      </c>
      <c r="J1110" s="127">
        <v>1.1200000000000001</v>
      </c>
      <c r="K1110" s="127">
        <v>1.0391999999999999</v>
      </c>
      <c r="L1110" s="127">
        <v>1.6313</v>
      </c>
      <c r="M1110" s="127">
        <v>1.1687000000000001</v>
      </c>
      <c r="N1110" s="127">
        <v>1.2595000000000001</v>
      </c>
      <c r="O1110" s="127">
        <v>1.0538000000000001</v>
      </c>
      <c r="P1110" s="126">
        <v>0</v>
      </c>
      <c r="Q1110" s="128">
        <f t="array" ref="Q1110">SUM(IF(($S1110&gt;=4)*($C1110='TaxCred&amp;Subs'!$D$123:$D$127)*($H1110='TaxCred&amp;Subs'!$C$123:$C$127)*($H1110&lt;='TaxCred&amp;Subs'!$C$129),'TaxCred&amp;Subs'!$E$123:$E$127,0))</f>
        <v>0</v>
      </c>
      <c r="R1110" s="174">
        <v>0</v>
      </c>
      <c r="S1110" s="126">
        <v>1</v>
      </c>
      <c r="T1110" s="126" t="s">
        <v>223</v>
      </c>
      <c r="U1110" s="158"/>
      <c r="V1110" s="153" t="str">
        <f t="array" ref="V1110">INDEX(xlRTCLNAME,MATCH(1,(xlRTCLENDU=1)*(xlRTCLEQCL=$D1110),0))</f>
        <v>DIST_FA</v>
      </c>
      <c r="W1110" s="153" t="str">
        <f t="array" ref="W1110">INDEX(xlRTCLNAME,MATCH(1,(xlRTCLENDU=2)*(xlRTCLEQCL=$F1110),0))</f>
        <v>CENT_AIR</v>
      </c>
      <c r="X1110" s="153" t="str">
        <f t="array" ref="X1110">INDEX(xlRTTYNAME,MATCH(1,(xlRTTYENDU=1)*(xlRTTYEQCL=$D1110)*(xlRTEQTYPE=$E1110),0))</f>
        <v>DIST_FA1</v>
      </c>
      <c r="Y1110" s="153" t="str">
        <f t="array" ref="Y1110">INDEX(xlRTTYNAME,MATCH(1,(xlRTTYENDU=2)*(xlRTTYEQCL=$F1110)*(xlRTEQTYPE=$G1110),0))</f>
        <v>CENT_AIR1</v>
      </c>
    </row>
    <row r="1111" spans="2:25" ht="14.25" customHeight="1" x14ac:dyDescent="0.2">
      <c r="B1111" s="126">
        <v>5</v>
      </c>
      <c r="C1111" s="126">
        <v>2</v>
      </c>
      <c r="D1111" s="126">
        <v>7</v>
      </c>
      <c r="E1111" s="126">
        <v>22</v>
      </c>
      <c r="F1111" s="126">
        <v>2</v>
      </c>
      <c r="G1111" s="126">
        <v>6</v>
      </c>
      <c r="H1111" s="126">
        <v>2023</v>
      </c>
      <c r="I1111" s="126">
        <v>2050</v>
      </c>
      <c r="J1111" s="127">
        <v>1.1200000000000001</v>
      </c>
      <c r="K1111" s="127">
        <v>1.0391999999999999</v>
      </c>
      <c r="L1111" s="127">
        <v>1.6313</v>
      </c>
      <c r="M1111" s="127">
        <v>1.1687000000000001</v>
      </c>
      <c r="N1111" s="127">
        <v>1.2595000000000001</v>
      </c>
      <c r="O1111" s="127">
        <v>1.0538000000000001</v>
      </c>
      <c r="P1111" s="126">
        <v>0</v>
      </c>
      <c r="Q1111" s="128">
        <f t="array" ref="Q1111">SUM(IF(($S1111&gt;=4)*($C1111='TaxCred&amp;Subs'!$D$123:$D$127)*($H1111='TaxCred&amp;Subs'!$C$123:$C$127)*($H1111&lt;='TaxCred&amp;Subs'!$C$129),'TaxCred&amp;Subs'!$E$123:$E$127,0))</f>
        <v>0</v>
      </c>
      <c r="R1111" s="174">
        <v>0</v>
      </c>
      <c r="S1111" s="126">
        <v>1</v>
      </c>
      <c r="T1111" s="126" t="s">
        <v>223</v>
      </c>
      <c r="U1111" s="158"/>
      <c r="V1111" s="153" t="str">
        <f t="array" ref="V1111">INDEX(xlRTCLNAME,MATCH(1,(xlRTCLENDU=1)*(xlRTCLEQCL=$D1111),0))</f>
        <v>DIST_FA</v>
      </c>
      <c r="W1111" s="153" t="str">
        <f t="array" ref="W1111">INDEX(xlRTCLNAME,MATCH(1,(xlRTCLENDU=2)*(xlRTCLEQCL=$F1111),0))</f>
        <v>CENT_AIR</v>
      </c>
      <c r="X1111" s="153" t="str">
        <f t="array" ref="X1111">INDEX(xlRTTYNAME,MATCH(1,(xlRTTYENDU=1)*(xlRTTYEQCL=$D1111)*(xlRTEQTYPE=$E1111),0))</f>
        <v>DIST_FA1</v>
      </c>
      <c r="Y1111" s="153" t="str">
        <f t="array" ref="Y1111">INDEX(xlRTTYNAME,MATCH(1,(xlRTTYENDU=2)*(xlRTTYEQCL=$F1111)*(xlRTEQTYPE=$G1111),0))</f>
        <v>CENT_AIR2</v>
      </c>
    </row>
    <row r="1112" spans="2:25" ht="14.25" customHeight="1" x14ac:dyDescent="0.2">
      <c r="B1112" s="126">
        <v>6</v>
      </c>
      <c r="C1112" s="126">
        <v>2</v>
      </c>
      <c r="D1112" s="126">
        <v>7</v>
      </c>
      <c r="E1112" s="126">
        <v>22</v>
      </c>
      <c r="F1112" s="126">
        <v>2</v>
      </c>
      <c r="G1112" s="126">
        <v>5</v>
      </c>
      <c r="H1112" s="126">
        <v>2016</v>
      </c>
      <c r="I1112" s="126">
        <v>2022</v>
      </c>
      <c r="J1112" s="127">
        <v>1.1200000000000001</v>
      </c>
      <c r="K1112" s="127">
        <v>1.03</v>
      </c>
      <c r="L1112" s="127">
        <v>1.7887</v>
      </c>
      <c r="M1112" s="127">
        <v>1.2250000000000001</v>
      </c>
      <c r="N1112" s="127">
        <v>1.3381000000000001</v>
      </c>
      <c r="O1112" s="127">
        <v>1.0538000000000001</v>
      </c>
      <c r="P1112" s="126">
        <v>0</v>
      </c>
      <c r="Q1112" s="128">
        <f t="array" ref="Q1112">SUM(IF(($S1112&gt;=4)*($C1112='TaxCred&amp;Subs'!$D$123:$D$127)*($H1112='TaxCred&amp;Subs'!$C$123:$C$127)*($H1112&lt;='TaxCred&amp;Subs'!$C$129),'TaxCred&amp;Subs'!$E$123:$E$127,0))</f>
        <v>0</v>
      </c>
      <c r="R1112" s="174">
        <v>0</v>
      </c>
      <c r="S1112" s="126">
        <v>1</v>
      </c>
      <c r="T1112" s="126" t="s">
        <v>223</v>
      </c>
      <c r="U1112" s="158"/>
      <c r="V1112" s="153" t="str">
        <f t="array" ref="V1112">INDEX(xlRTCLNAME,MATCH(1,(xlRTCLENDU=1)*(xlRTCLEQCL=$D1112),0))</f>
        <v>DIST_FA</v>
      </c>
      <c r="W1112" s="153" t="str">
        <f t="array" ref="W1112">INDEX(xlRTCLNAME,MATCH(1,(xlRTCLENDU=2)*(xlRTCLEQCL=$F1112),0))</f>
        <v>CENT_AIR</v>
      </c>
      <c r="X1112" s="153" t="str">
        <f t="array" ref="X1112">INDEX(xlRTTYNAME,MATCH(1,(xlRTTYENDU=1)*(xlRTTYEQCL=$D1112)*(xlRTEQTYPE=$E1112),0))</f>
        <v>DIST_FA1</v>
      </c>
      <c r="Y1112" s="153" t="str">
        <f t="array" ref="Y1112">INDEX(xlRTTYNAME,MATCH(1,(xlRTTYENDU=2)*(xlRTTYEQCL=$F1112)*(xlRTEQTYPE=$G1112),0))</f>
        <v>CENT_AIR1</v>
      </c>
    </row>
    <row r="1113" spans="2:25" ht="14.25" customHeight="1" x14ac:dyDescent="0.2">
      <c r="B1113" s="126">
        <v>6</v>
      </c>
      <c r="C1113" s="126">
        <v>2</v>
      </c>
      <c r="D1113" s="126">
        <v>7</v>
      </c>
      <c r="E1113" s="126">
        <v>22</v>
      </c>
      <c r="F1113" s="126">
        <v>2</v>
      </c>
      <c r="G1113" s="126">
        <v>6</v>
      </c>
      <c r="H1113" s="126">
        <v>2023</v>
      </c>
      <c r="I1113" s="126">
        <v>2050</v>
      </c>
      <c r="J1113" s="127">
        <v>1.1200000000000001</v>
      </c>
      <c r="K1113" s="127">
        <v>1.03</v>
      </c>
      <c r="L1113" s="127">
        <v>1.7887</v>
      </c>
      <c r="M1113" s="127">
        <v>1.2250000000000001</v>
      </c>
      <c r="N1113" s="127">
        <v>1.3381000000000001</v>
      </c>
      <c r="O1113" s="127">
        <v>1.0538000000000001</v>
      </c>
      <c r="P1113" s="126">
        <v>0</v>
      </c>
      <c r="Q1113" s="128">
        <f t="array" ref="Q1113">SUM(IF(($S1113&gt;=4)*($C1113='TaxCred&amp;Subs'!$D$123:$D$127)*($H1113='TaxCred&amp;Subs'!$C$123:$C$127)*($H1113&lt;='TaxCred&amp;Subs'!$C$129),'TaxCred&amp;Subs'!$E$123:$E$127,0))</f>
        <v>0</v>
      </c>
      <c r="R1113" s="174">
        <v>0</v>
      </c>
      <c r="S1113" s="126">
        <v>1</v>
      </c>
      <c r="T1113" s="126" t="s">
        <v>223</v>
      </c>
      <c r="U1113" s="158"/>
      <c r="V1113" s="153" t="str">
        <f t="array" ref="V1113">INDEX(xlRTCLNAME,MATCH(1,(xlRTCLENDU=1)*(xlRTCLEQCL=$D1113),0))</f>
        <v>DIST_FA</v>
      </c>
      <c r="W1113" s="153" t="str">
        <f t="array" ref="W1113">INDEX(xlRTCLNAME,MATCH(1,(xlRTCLENDU=2)*(xlRTCLEQCL=$F1113),0))</f>
        <v>CENT_AIR</v>
      </c>
      <c r="X1113" s="153" t="str">
        <f t="array" ref="X1113">INDEX(xlRTTYNAME,MATCH(1,(xlRTTYENDU=1)*(xlRTTYEQCL=$D1113)*(xlRTEQTYPE=$E1113),0))</f>
        <v>DIST_FA1</v>
      </c>
      <c r="Y1113" s="153" t="str">
        <f t="array" ref="Y1113">INDEX(xlRTTYNAME,MATCH(1,(xlRTTYENDU=2)*(xlRTTYEQCL=$F1113)*(xlRTEQTYPE=$G1113),0))</f>
        <v>CENT_AIR2</v>
      </c>
    </row>
    <row r="1114" spans="2:25" ht="14.25" customHeight="1" x14ac:dyDescent="0.2">
      <c r="B1114" s="126">
        <v>7</v>
      </c>
      <c r="C1114" s="126">
        <v>2</v>
      </c>
      <c r="D1114" s="126">
        <v>7</v>
      </c>
      <c r="E1114" s="126">
        <v>22</v>
      </c>
      <c r="F1114" s="126">
        <v>2</v>
      </c>
      <c r="G1114" s="126">
        <v>5</v>
      </c>
      <c r="H1114" s="126">
        <v>2016</v>
      </c>
      <c r="I1114" s="126">
        <v>2022</v>
      </c>
      <c r="J1114" s="127">
        <v>1.1200000000000001</v>
      </c>
      <c r="K1114" s="127">
        <v>1.0476000000000001</v>
      </c>
      <c r="L1114" s="127">
        <v>2</v>
      </c>
      <c r="M1114" s="127">
        <v>1.2121</v>
      </c>
      <c r="N1114" s="127">
        <v>1.4438</v>
      </c>
      <c r="O1114" s="127">
        <v>1.0538000000000001</v>
      </c>
      <c r="P1114" s="126">
        <v>0</v>
      </c>
      <c r="Q1114" s="128">
        <f t="array" ref="Q1114">SUM(IF(($S1114&gt;=4)*($C1114='TaxCred&amp;Subs'!$D$123:$D$127)*($H1114='TaxCred&amp;Subs'!$C$123:$C$127)*($H1114&lt;='TaxCred&amp;Subs'!$C$129),'TaxCred&amp;Subs'!$E$123:$E$127,0))</f>
        <v>0</v>
      </c>
      <c r="R1114" s="174">
        <v>0</v>
      </c>
      <c r="S1114" s="126">
        <v>1</v>
      </c>
      <c r="T1114" s="126" t="s">
        <v>223</v>
      </c>
      <c r="U1114" s="158"/>
      <c r="V1114" s="153" t="str">
        <f t="array" ref="V1114">INDEX(xlRTCLNAME,MATCH(1,(xlRTCLENDU=1)*(xlRTCLEQCL=$D1114),0))</f>
        <v>DIST_FA</v>
      </c>
      <c r="W1114" s="153" t="str">
        <f t="array" ref="W1114">INDEX(xlRTCLNAME,MATCH(1,(xlRTCLENDU=2)*(xlRTCLEQCL=$F1114),0))</f>
        <v>CENT_AIR</v>
      </c>
      <c r="X1114" s="153" t="str">
        <f t="array" ref="X1114">INDEX(xlRTTYNAME,MATCH(1,(xlRTTYENDU=1)*(xlRTTYEQCL=$D1114)*(xlRTEQTYPE=$E1114),0))</f>
        <v>DIST_FA1</v>
      </c>
      <c r="Y1114" s="153" t="str">
        <f t="array" ref="Y1114">INDEX(xlRTTYNAME,MATCH(1,(xlRTTYENDU=2)*(xlRTTYEQCL=$F1114)*(xlRTEQTYPE=$G1114),0))</f>
        <v>CENT_AIR1</v>
      </c>
    </row>
    <row r="1115" spans="2:25" ht="14.25" customHeight="1" x14ac:dyDescent="0.2">
      <c r="B1115" s="126">
        <v>7</v>
      </c>
      <c r="C1115" s="126">
        <v>2</v>
      </c>
      <c r="D1115" s="126">
        <v>7</v>
      </c>
      <c r="E1115" s="126">
        <v>22</v>
      </c>
      <c r="F1115" s="126">
        <v>2</v>
      </c>
      <c r="G1115" s="126">
        <v>6</v>
      </c>
      <c r="H1115" s="126">
        <v>2023</v>
      </c>
      <c r="I1115" s="126">
        <v>2050</v>
      </c>
      <c r="J1115" s="127">
        <v>1.1200000000000001</v>
      </c>
      <c r="K1115" s="127">
        <v>1.0476000000000001</v>
      </c>
      <c r="L1115" s="127">
        <v>2</v>
      </c>
      <c r="M1115" s="127">
        <v>1.2121</v>
      </c>
      <c r="N1115" s="127">
        <v>1.4438</v>
      </c>
      <c r="O1115" s="127">
        <v>1.0538000000000001</v>
      </c>
      <c r="P1115" s="126">
        <v>0</v>
      </c>
      <c r="Q1115" s="128">
        <f t="array" ref="Q1115">SUM(IF(($S1115&gt;=4)*($C1115='TaxCred&amp;Subs'!$D$123:$D$127)*($H1115='TaxCred&amp;Subs'!$C$123:$C$127)*($H1115&lt;='TaxCred&amp;Subs'!$C$129),'TaxCred&amp;Subs'!$E$123:$E$127,0))</f>
        <v>0</v>
      </c>
      <c r="R1115" s="174">
        <v>0</v>
      </c>
      <c r="S1115" s="126">
        <v>1</v>
      </c>
      <c r="T1115" s="126" t="s">
        <v>223</v>
      </c>
      <c r="U1115" s="158"/>
      <c r="V1115" s="153" t="str">
        <f t="array" ref="V1115">INDEX(xlRTCLNAME,MATCH(1,(xlRTCLENDU=1)*(xlRTCLEQCL=$D1115),0))</f>
        <v>DIST_FA</v>
      </c>
      <c r="W1115" s="153" t="str">
        <f t="array" ref="W1115">INDEX(xlRTCLNAME,MATCH(1,(xlRTCLENDU=2)*(xlRTCLEQCL=$F1115),0))</f>
        <v>CENT_AIR</v>
      </c>
      <c r="X1115" s="153" t="str">
        <f t="array" ref="X1115">INDEX(xlRTTYNAME,MATCH(1,(xlRTTYENDU=1)*(xlRTTYEQCL=$D1115)*(xlRTEQTYPE=$E1115),0))</f>
        <v>DIST_FA1</v>
      </c>
      <c r="Y1115" s="153" t="str">
        <f t="array" ref="Y1115">INDEX(xlRTTYNAME,MATCH(1,(xlRTTYENDU=2)*(xlRTTYEQCL=$F1115)*(xlRTEQTYPE=$G1115),0))</f>
        <v>CENT_AIR2</v>
      </c>
    </row>
    <row r="1116" spans="2:25" ht="14.25" customHeight="1" x14ac:dyDescent="0.2">
      <c r="B1116" s="126">
        <v>8</v>
      </c>
      <c r="C1116" s="126">
        <v>2</v>
      </c>
      <c r="D1116" s="126">
        <v>7</v>
      </c>
      <c r="E1116" s="126">
        <v>22</v>
      </c>
      <c r="F1116" s="126">
        <v>2</v>
      </c>
      <c r="G1116" s="126">
        <v>5</v>
      </c>
      <c r="H1116" s="126">
        <v>2016</v>
      </c>
      <c r="I1116" s="126">
        <v>2022</v>
      </c>
      <c r="J1116" s="127">
        <v>1.1064000000000001</v>
      </c>
      <c r="K1116" s="127">
        <v>1.0645</v>
      </c>
      <c r="L1116" s="127">
        <v>1.6777</v>
      </c>
      <c r="M1116" s="127">
        <v>1.3391999999999999</v>
      </c>
      <c r="N1116" s="127">
        <v>1.2826</v>
      </c>
      <c r="O1116" s="127">
        <v>1.0538000000000001</v>
      </c>
      <c r="P1116" s="126">
        <v>0</v>
      </c>
      <c r="Q1116" s="128">
        <f t="array" ref="Q1116">SUM(IF(($S1116&gt;=4)*($C1116='TaxCred&amp;Subs'!$D$123:$D$127)*($H1116='TaxCred&amp;Subs'!$C$123:$C$127)*($H1116&lt;='TaxCred&amp;Subs'!$C$129),'TaxCred&amp;Subs'!$E$123:$E$127,0))</f>
        <v>0</v>
      </c>
      <c r="R1116" s="174">
        <v>0</v>
      </c>
      <c r="S1116" s="126">
        <v>1</v>
      </c>
      <c r="T1116" s="126" t="s">
        <v>223</v>
      </c>
      <c r="U1116" s="158"/>
      <c r="V1116" s="153" t="str">
        <f t="array" ref="V1116">INDEX(xlRTCLNAME,MATCH(1,(xlRTCLENDU=1)*(xlRTCLEQCL=$D1116),0))</f>
        <v>DIST_FA</v>
      </c>
      <c r="W1116" s="153" t="str">
        <f t="array" ref="W1116">INDEX(xlRTCLNAME,MATCH(1,(xlRTCLENDU=2)*(xlRTCLEQCL=$F1116),0))</f>
        <v>CENT_AIR</v>
      </c>
      <c r="X1116" s="153" t="str">
        <f t="array" ref="X1116">INDEX(xlRTTYNAME,MATCH(1,(xlRTTYENDU=1)*(xlRTTYEQCL=$D1116)*(xlRTEQTYPE=$E1116),0))</f>
        <v>DIST_FA1</v>
      </c>
      <c r="Y1116" s="153" t="str">
        <f t="array" ref="Y1116">INDEX(xlRTTYNAME,MATCH(1,(xlRTTYENDU=2)*(xlRTTYEQCL=$F1116)*(xlRTEQTYPE=$G1116),0))</f>
        <v>CENT_AIR1</v>
      </c>
    </row>
    <row r="1117" spans="2:25" ht="14.25" customHeight="1" x14ac:dyDescent="0.2">
      <c r="B1117" s="126">
        <v>8</v>
      </c>
      <c r="C1117" s="126">
        <v>2</v>
      </c>
      <c r="D1117" s="126">
        <v>7</v>
      </c>
      <c r="E1117" s="126">
        <v>22</v>
      </c>
      <c r="F1117" s="126">
        <v>2</v>
      </c>
      <c r="G1117" s="126">
        <v>6</v>
      </c>
      <c r="H1117" s="126">
        <v>2023</v>
      </c>
      <c r="I1117" s="126">
        <v>2050</v>
      </c>
      <c r="J1117" s="127">
        <v>1.1064000000000001</v>
      </c>
      <c r="K1117" s="127">
        <v>1.0645</v>
      </c>
      <c r="L1117" s="127">
        <v>1.6777</v>
      </c>
      <c r="M1117" s="127">
        <v>1.3391999999999999</v>
      </c>
      <c r="N1117" s="127">
        <v>1.2826</v>
      </c>
      <c r="O1117" s="127">
        <v>1.0538000000000001</v>
      </c>
      <c r="P1117" s="126">
        <v>0</v>
      </c>
      <c r="Q1117" s="128">
        <f t="array" ref="Q1117">SUM(IF(($S1117&gt;=4)*($C1117='TaxCred&amp;Subs'!$D$123:$D$127)*($H1117='TaxCred&amp;Subs'!$C$123:$C$127)*($H1117&lt;='TaxCred&amp;Subs'!$C$129),'TaxCred&amp;Subs'!$E$123:$E$127,0))</f>
        <v>0</v>
      </c>
      <c r="R1117" s="174">
        <v>0</v>
      </c>
      <c r="S1117" s="126">
        <v>1</v>
      </c>
      <c r="T1117" s="126" t="s">
        <v>223</v>
      </c>
      <c r="U1117" s="158"/>
      <c r="V1117" s="153" t="str">
        <f t="array" ref="V1117">INDEX(xlRTCLNAME,MATCH(1,(xlRTCLENDU=1)*(xlRTCLEQCL=$D1117),0))</f>
        <v>DIST_FA</v>
      </c>
      <c r="W1117" s="153" t="str">
        <f t="array" ref="W1117">INDEX(xlRTCLNAME,MATCH(1,(xlRTCLENDU=2)*(xlRTCLEQCL=$F1117),0))</f>
        <v>CENT_AIR</v>
      </c>
      <c r="X1117" s="153" t="str">
        <f t="array" ref="X1117">INDEX(xlRTTYNAME,MATCH(1,(xlRTTYENDU=1)*(xlRTTYEQCL=$D1117)*(xlRTEQTYPE=$E1117),0))</f>
        <v>DIST_FA1</v>
      </c>
      <c r="Y1117" s="153" t="str">
        <f t="array" ref="Y1117">INDEX(xlRTTYNAME,MATCH(1,(xlRTTYENDU=2)*(xlRTTYEQCL=$F1117)*(xlRTEQTYPE=$G1117),0))</f>
        <v>CENT_AIR2</v>
      </c>
    </row>
    <row r="1118" spans="2:25" ht="14.25" customHeight="1" x14ac:dyDescent="0.2">
      <c r="B1118" s="126">
        <v>9</v>
      </c>
      <c r="C1118" s="126">
        <v>2</v>
      </c>
      <c r="D1118" s="126">
        <v>7</v>
      </c>
      <c r="E1118" s="126">
        <v>22</v>
      </c>
      <c r="F1118" s="126">
        <v>2</v>
      </c>
      <c r="G1118" s="126">
        <v>5</v>
      </c>
      <c r="H1118" s="126">
        <v>2016</v>
      </c>
      <c r="I1118" s="126">
        <v>2022</v>
      </c>
      <c r="J1118" s="127">
        <v>1.03</v>
      </c>
      <c r="K1118" s="127">
        <v>1.0556000000000001</v>
      </c>
      <c r="L1118" s="127">
        <v>2</v>
      </c>
      <c r="M1118" s="127">
        <v>1.2834000000000001</v>
      </c>
      <c r="N1118" s="127">
        <v>1.4438</v>
      </c>
      <c r="O1118" s="127">
        <v>1.0538000000000001</v>
      </c>
      <c r="P1118" s="126">
        <v>0</v>
      </c>
      <c r="Q1118" s="128">
        <f t="array" ref="Q1118">SUM(IF(($S1118&gt;=4)*($C1118='TaxCred&amp;Subs'!$D$123:$D$127)*($H1118='TaxCred&amp;Subs'!$C$123:$C$127)*($H1118&lt;='TaxCred&amp;Subs'!$C$129),'TaxCred&amp;Subs'!$E$123:$E$127,0))</f>
        <v>0</v>
      </c>
      <c r="R1118" s="174">
        <v>0</v>
      </c>
      <c r="S1118" s="126">
        <v>1</v>
      </c>
      <c r="T1118" s="126" t="s">
        <v>223</v>
      </c>
      <c r="U1118" s="158"/>
      <c r="V1118" s="153" t="str">
        <f t="array" ref="V1118">INDEX(xlRTCLNAME,MATCH(1,(xlRTCLENDU=1)*(xlRTCLEQCL=$D1118),0))</f>
        <v>DIST_FA</v>
      </c>
      <c r="W1118" s="153" t="str">
        <f t="array" ref="W1118">INDEX(xlRTCLNAME,MATCH(1,(xlRTCLENDU=2)*(xlRTCLEQCL=$F1118),0))</f>
        <v>CENT_AIR</v>
      </c>
      <c r="X1118" s="153" t="str">
        <f t="array" ref="X1118">INDEX(xlRTTYNAME,MATCH(1,(xlRTTYENDU=1)*(xlRTTYEQCL=$D1118)*(xlRTEQTYPE=$E1118),0))</f>
        <v>DIST_FA1</v>
      </c>
      <c r="Y1118" s="153" t="str">
        <f t="array" ref="Y1118">INDEX(xlRTTYNAME,MATCH(1,(xlRTTYENDU=2)*(xlRTTYEQCL=$F1118)*(xlRTEQTYPE=$G1118),0))</f>
        <v>CENT_AIR1</v>
      </c>
    </row>
    <row r="1119" spans="2:25" ht="14.25" customHeight="1" x14ac:dyDescent="0.2">
      <c r="B1119" s="126">
        <v>9</v>
      </c>
      <c r="C1119" s="126">
        <v>2</v>
      </c>
      <c r="D1119" s="126">
        <v>7</v>
      </c>
      <c r="E1119" s="126">
        <v>22</v>
      </c>
      <c r="F1119" s="126">
        <v>2</v>
      </c>
      <c r="G1119" s="126">
        <v>6</v>
      </c>
      <c r="H1119" s="126">
        <v>2023</v>
      </c>
      <c r="I1119" s="126">
        <v>2050</v>
      </c>
      <c r="J1119" s="127">
        <v>1.03</v>
      </c>
      <c r="K1119" s="127">
        <v>1.0556000000000001</v>
      </c>
      <c r="L1119" s="127">
        <v>2</v>
      </c>
      <c r="M1119" s="127">
        <v>1.2834000000000001</v>
      </c>
      <c r="N1119" s="127">
        <v>1.4438</v>
      </c>
      <c r="O1119" s="127">
        <v>1.0538000000000001</v>
      </c>
      <c r="P1119" s="126">
        <v>0</v>
      </c>
      <c r="Q1119" s="128">
        <f t="array" ref="Q1119">SUM(IF(($S1119&gt;=4)*($C1119='TaxCred&amp;Subs'!$D$123:$D$127)*($H1119='TaxCred&amp;Subs'!$C$123:$C$127)*($H1119&lt;='TaxCred&amp;Subs'!$C$129),'TaxCred&amp;Subs'!$E$123:$E$127,0))</f>
        <v>0</v>
      </c>
      <c r="R1119" s="174">
        <v>0</v>
      </c>
      <c r="S1119" s="126">
        <v>1</v>
      </c>
      <c r="T1119" s="126" t="s">
        <v>223</v>
      </c>
      <c r="U1119" s="158"/>
      <c r="V1119" s="153" t="str">
        <f t="array" ref="V1119">INDEX(xlRTCLNAME,MATCH(1,(xlRTCLENDU=1)*(xlRTCLEQCL=$D1119),0))</f>
        <v>DIST_FA</v>
      </c>
      <c r="W1119" s="153" t="str">
        <f t="array" ref="W1119">INDEX(xlRTCLNAME,MATCH(1,(xlRTCLENDU=2)*(xlRTCLEQCL=$F1119),0))</f>
        <v>CENT_AIR</v>
      </c>
      <c r="X1119" s="153" t="str">
        <f t="array" ref="X1119">INDEX(xlRTTYNAME,MATCH(1,(xlRTTYENDU=1)*(xlRTTYEQCL=$D1119)*(xlRTEQTYPE=$E1119),0))</f>
        <v>DIST_FA1</v>
      </c>
      <c r="Y1119" s="153" t="str">
        <f t="array" ref="Y1119">INDEX(xlRTTYNAME,MATCH(1,(xlRTTYENDU=2)*(xlRTTYEQCL=$F1119)*(xlRTEQTYPE=$G1119),0))</f>
        <v>CENT_AIR2</v>
      </c>
    </row>
    <row r="1120" spans="2:25" ht="14.25" customHeight="1" x14ac:dyDescent="0.2">
      <c r="B1120" s="126">
        <v>1</v>
      </c>
      <c r="C1120" s="126">
        <v>2</v>
      </c>
      <c r="D1120" s="126">
        <v>8</v>
      </c>
      <c r="E1120" s="126">
        <v>26</v>
      </c>
      <c r="F1120" s="126">
        <v>2</v>
      </c>
      <c r="G1120" s="126">
        <v>5</v>
      </c>
      <c r="H1120" s="126">
        <v>2016</v>
      </c>
      <c r="I1120" s="126">
        <v>2022</v>
      </c>
      <c r="J1120" s="127">
        <v>1.0864</v>
      </c>
      <c r="K1120" s="127">
        <v>1.0417000000000001</v>
      </c>
      <c r="L1120" s="127">
        <v>1.3438000000000001</v>
      </c>
      <c r="M1120" s="127">
        <v>1.1909000000000001</v>
      </c>
      <c r="N1120" s="127">
        <v>1.1156999999999999</v>
      </c>
      <c r="O1120" s="127">
        <v>1.0538000000000001</v>
      </c>
      <c r="P1120" s="126">
        <v>0</v>
      </c>
      <c r="Q1120" s="128">
        <f t="array" ref="Q1120">SUM(IF(($S1120&gt;=4)*($C1120='TaxCred&amp;Subs'!$D$123:$D$127)*($H1120='TaxCred&amp;Subs'!$C$123:$C$127)*($H1120&lt;='TaxCred&amp;Subs'!$C$129),'TaxCred&amp;Subs'!$E$123:$E$127,0))</f>
        <v>0</v>
      </c>
      <c r="R1120" s="174">
        <v>0</v>
      </c>
      <c r="S1120" s="126">
        <v>1</v>
      </c>
      <c r="T1120" s="126" t="s">
        <v>223</v>
      </c>
      <c r="U1120" s="158"/>
      <c r="V1120" s="153" t="str">
        <f t="array" ref="V1120">INDEX(xlRTCLNAME,MATCH(1,(xlRTCLENDU=1)*(xlRTCLEQCL=$D1120),0))</f>
        <v>DIST_RAD</v>
      </c>
      <c r="W1120" s="153" t="str">
        <f t="array" ref="W1120">INDEX(xlRTCLNAME,MATCH(1,(xlRTCLENDU=2)*(xlRTCLEQCL=$F1120),0))</f>
        <v>CENT_AIR</v>
      </c>
      <c r="X1120" s="153" t="str">
        <f t="array" ref="X1120">INDEX(xlRTTYNAME,MATCH(1,(xlRTTYENDU=1)*(xlRTTYEQCL=$D1120)*(xlRTEQTYPE=$E1120),0))</f>
        <v>DIST_RAD1</v>
      </c>
      <c r="Y1120" s="153" t="str">
        <f t="array" ref="Y1120">INDEX(xlRTTYNAME,MATCH(1,(xlRTTYENDU=2)*(xlRTTYEQCL=$F1120)*(xlRTEQTYPE=$G1120),0))</f>
        <v>CENT_AIR1</v>
      </c>
    </row>
    <row r="1121" spans="2:25" ht="14.25" customHeight="1" x14ac:dyDescent="0.2">
      <c r="B1121" s="126">
        <v>1</v>
      </c>
      <c r="C1121" s="126">
        <v>2</v>
      </c>
      <c r="D1121" s="126">
        <v>8</v>
      </c>
      <c r="E1121" s="126">
        <v>26</v>
      </c>
      <c r="F1121" s="126">
        <v>2</v>
      </c>
      <c r="G1121" s="126">
        <v>6</v>
      </c>
      <c r="H1121" s="126">
        <v>2023</v>
      </c>
      <c r="I1121" s="126">
        <v>2050</v>
      </c>
      <c r="J1121" s="127">
        <v>1.0864</v>
      </c>
      <c r="K1121" s="127">
        <v>1.0417000000000001</v>
      </c>
      <c r="L1121" s="127">
        <v>1.3438000000000001</v>
      </c>
      <c r="M1121" s="127">
        <v>1.1909000000000001</v>
      </c>
      <c r="N1121" s="127">
        <v>1.1156999999999999</v>
      </c>
      <c r="O1121" s="127">
        <v>1.0538000000000001</v>
      </c>
      <c r="P1121" s="126">
        <v>0</v>
      </c>
      <c r="Q1121" s="128">
        <f t="array" ref="Q1121">SUM(IF(($S1121&gt;=4)*($C1121='TaxCred&amp;Subs'!$D$123:$D$127)*($H1121='TaxCred&amp;Subs'!$C$123:$C$127)*($H1121&lt;='TaxCred&amp;Subs'!$C$129),'TaxCred&amp;Subs'!$E$123:$E$127,0))</f>
        <v>0</v>
      </c>
      <c r="R1121" s="174">
        <v>0</v>
      </c>
      <c r="S1121" s="126">
        <v>1</v>
      </c>
      <c r="T1121" s="126" t="s">
        <v>223</v>
      </c>
      <c r="U1121" s="158"/>
      <c r="V1121" s="153" t="str">
        <f t="array" ref="V1121">INDEX(xlRTCLNAME,MATCH(1,(xlRTCLENDU=1)*(xlRTCLEQCL=$D1121),0))</f>
        <v>DIST_RAD</v>
      </c>
      <c r="W1121" s="153" t="str">
        <f t="array" ref="W1121">INDEX(xlRTCLNAME,MATCH(1,(xlRTCLENDU=2)*(xlRTCLEQCL=$F1121),0))</f>
        <v>CENT_AIR</v>
      </c>
      <c r="X1121" s="153" t="str">
        <f t="array" ref="X1121">INDEX(xlRTTYNAME,MATCH(1,(xlRTTYENDU=1)*(xlRTTYEQCL=$D1121)*(xlRTEQTYPE=$E1121),0))</f>
        <v>DIST_RAD1</v>
      </c>
      <c r="Y1121" s="153" t="str">
        <f t="array" ref="Y1121">INDEX(xlRTTYNAME,MATCH(1,(xlRTTYENDU=2)*(xlRTTYEQCL=$F1121)*(xlRTEQTYPE=$G1121),0))</f>
        <v>CENT_AIR2</v>
      </c>
    </row>
    <row r="1122" spans="2:25" ht="14.25" customHeight="1" x14ac:dyDescent="0.2">
      <c r="B1122" s="126">
        <v>2</v>
      </c>
      <c r="C1122" s="126">
        <v>2</v>
      </c>
      <c r="D1122" s="126">
        <v>8</v>
      </c>
      <c r="E1122" s="126">
        <v>26</v>
      </c>
      <c r="F1122" s="126">
        <v>2</v>
      </c>
      <c r="G1122" s="126">
        <v>5</v>
      </c>
      <c r="H1122" s="126">
        <v>2016</v>
      </c>
      <c r="I1122" s="126">
        <v>2022</v>
      </c>
      <c r="J1122" s="127">
        <v>1.0891</v>
      </c>
      <c r="K1122" s="127">
        <v>1.0713999999999999</v>
      </c>
      <c r="L1122" s="127">
        <v>1.3633999999999999</v>
      </c>
      <c r="M1122" s="127">
        <v>1.2250000000000001</v>
      </c>
      <c r="N1122" s="127">
        <v>1.1254999999999999</v>
      </c>
      <c r="O1122" s="127">
        <v>1.0538000000000001</v>
      </c>
      <c r="P1122" s="126">
        <v>0</v>
      </c>
      <c r="Q1122" s="128">
        <f t="array" ref="Q1122">SUM(IF(($S1122&gt;=4)*($C1122='TaxCred&amp;Subs'!$D$123:$D$127)*($H1122='TaxCred&amp;Subs'!$C$123:$C$127)*($H1122&lt;='TaxCred&amp;Subs'!$C$129),'TaxCred&amp;Subs'!$E$123:$E$127,0))</f>
        <v>0</v>
      </c>
      <c r="R1122" s="174">
        <v>0</v>
      </c>
      <c r="S1122" s="126">
        <v>1</v>
      </c>
      <c r="T1122" s="126" t="s">
        <v>223</v>
      </c>
      <c r="U1122" s="158"/>
      <c r="V1122" s="153" t="str">
        <f t="array" ref="V1122">INDEX(xlRTCLNAME,MATCH(1,(xlRTCLENDU=1)*(xlRTCLEQCL=$D1122),0))</f>
        <v>DIST_RAD</v>
      </c>
      <c r="W1122" s="153" t="str">
        <f t="array" ref="W1122">INDEX(xlRTCLNAME,MATCH(1,(xlRTCLENDU=2)*(xlRTCLEQCL=$F1122),0))</f>
        <v>CENT_AIR</v>
      </c>
      <c r="X1122" s="153" t="str">
        <f t="array" ref="X1122">INDEX(xlRTTYNAME,MATCH(1,(xlRTTYENDU=1)*(xlRTTYEQCL=$D1122)*(xlRTEQTYPE=$E1122),0))</f>
        <v>DIST_RAD1</v>
      </c>
      <c r="Y1122" s="153" t="str">
        <f t="array" ref="Y1122">INDEX(xlRTTYNAME,MATCH(1,(xlRTTYENDU=2)*(xlRTTYEQCL=$F1122)*(xlRTEQTYPE=$G1122),0))</f>
        <v>CENT_AIR1</v>
      </c>
    </row>
    <row r="1123" spans="2:25" ht="14.25" customHeight="1" x14ac:dyDescent="0.2">
      <c r="B1123" s="126">
        <v>2</v>
      </c>
      <c r="C1123" s="126">
        <v>2</v>
      </c>
      <c r="D1123" s="126">
        <v>8</v>
      </c>
      <c r="E1123" s="126">
        <v>26</v>
      </c>
      <c r="F1123" s="126">
        <v>2</v>
      </c>
      <c r="G1123" s="126">
        <v>6</v>
      </c>
      <c r="H1123" s="126">
        <v>2023</v>
      </c>
      <c r="I1123" s="126">
        <v>2050</v>
      </c>
      <c r="J1123" s="127">
        <v>1.0891</v>
      </c>
      <c r="K1123" s="127">
        <v>1.0713999999999999</v>
      </c>
      <c r="L1123" s="127">
        <v>1.3633999999999999</v>
      </c>
      <c r="M1123" s="127">
        <v>1.2250000000000001</v>
      </c>
      <c r="N1123" s="127">
        <v>1.1254999999999999</v>
      </c>
      <c r="O1123" s="127">
        <v>1.0538000000000001</v>
      </c>
      <c r="P1123" s="126">
        <v>0</v>
      </c>
      <c r="Q1123" s="128">
        <f t="array" ref="Q1123">SUM(IF(($S1123&gt;=4)*($C1123='TaxCred&amp;Subs'!$D$123:$D$127)*($H1123='TaxCred&amp;Subs'!$C$123:$C$127)*($H1123&lt;='TaxCred&amp;Subs'!$C$129),'TaxCred&amp;Subs'!$E$123:$E$127,0))</f>
        <v>0</v>
      </c>
      <c r="R1123" s="174">
        <v>0</v>
      </c>
      <c r="S1123" s="126">
        <v>1</v>
      </c>
      <c r="T1123" s="126" t="s">
        <v>223</v>
      </c>
      <c r="U1123" s="158"/>
      <c r="V1123" s="153" t="str">
        <f t="array" ref="V1123">INDEX(xlRTCLNAME,MATCH(1,(xlRTCLENDU=1)*(xlRTCLEQCL=$D1123),0))</f>
        <v>DIST_RAD</v>
      </c>
      <c r="W1123" s="153" t="str">
        <f t="array" ref="W1123">INDEX(xlRTCLNAME,MATCH(1,(xlRTCLENDU=2)*(xlRTCLEQCL=$F1123),0))</f>
        <v>CENT_AIR</v>
      </c>
      <c r="X1123" s="153" t="str">
        <f t="array" ref="X1123">INDEX(xlRTTYNAME,MATCH(1,(xlRTTYENDU=1)*(xlRTTYEQCL=$D1123)*(xlRTEQTYPE=$E1123),0))</f>
        <v>DIST_RAD1</v>
      </c>
      <c r="Y1123" s="153" t="str">
        <f t="array" ref="Y1123">INDEX(xlRTTYNAME,MATCH(1,(xlRTTYENDU=2)*(xlRTTYEQCL=$F1123)*(xlRTEQTYPE=$G1123),0))</f>
        <v>CENT_AIR2</v>
      </c>
    </row>
    <row r="1124" spans="2:25" ht="14.25" customHeight="1" x14ac:dyDescent="0.2">
      <c r="B1124" s="126">
        <v>3</v>
      </c>
      <c r="C1124" s="126">
        <v>2</v>
      </c>
      <c r="D1124" s="126">
        <v>8</v>
      </c>
      <c r="E1124" s="126">
        <v>26</v>
      </c>
      <c r="F1124" s="126">
        <v>2</v>
      </c>
      <c r="G1124" s="126">
        <v>5</v>
      </c>
      <c r="H1124" s="126">
        <v>2016</v>
      </c>
      <c r="I1124" s="126">
        <v>2022</v>
      </c>
      <c r="J1124" s="127">
        <v>1.0962000000000001</v>
      </c>
      <c r="K1124" s="127">
        <v>1.0345</v>
      </c>
      <c r="L1124" s="127">
        <v>1.1958</v>
      </c>
      <c r="M1124" s="127">
        <v>1.1345000000000001</v>
      </c>
      <c r="N1124" s="127">
        <v>1.0417000000000001</v>
      </c>
      <c r="O1124" s="127">
        <v>1.0538000000000001</v>
      </c>
      <c r="P1124" s="126">
        <v>0</v>
      </c>
      <c r="Q1124" s="128">
        <f t="array" ref="Q1124">SUM(IF(($S1124&gt;=4)*($C1124='TaxCred&amp;Subs'!$D$123:$D$127)*($H1124='TaxCred&amp;Subs'!$C$123:$C$127)*($H1124&lt;='TaxCred&amp;Subs'!$C$129),'TaxCred&amp;Subs'!$E$123:$E$127,0))</f>
        <v>0</v>
      </c>
      <c r="R1124" s="174">
        <v>0</v>
      </c>
      <c r="S1124" s="126">
        <v>1</v>
      </c>
      <c r="T1124" s="126" t="s">
        <v>223</v>
      </c>
      <c r="U1124" s="158"/>
      <c r="V1124" s="153" t="str">
        <f t="array" ref="V1124">INDEX(xlRTCLNAME,MATCH(1,(xlRTCLENDU=1)*(xlRTCLEQCL=$D1124),0))</f>
        <v>DIST_RAD</v>
      </c>
      <c r="W1124" s="153" t="str">
        <f t="array" ref="W1124">INDEX(xlRTCLNAME,MATCH(1,(xlRTCLENDU=2)*(xlRTCLEQCL=$F1124),0))</f>
        <v>CENT_AIR</v>
      </c>
      <c r="X1124" s="153" t="str">
        <f t="array" ref="X1124">INDEX(xlRTTYNAME,MATCH(1,(xlRTTYENDU=1)*(xlRTTYEQCL=$D1124)*(xlRTEQTYPE=$E1124),0))</f>
        <v>DIST_RAD1</v>
      </c>
      <c r="Y1124" s="153" t="str">
        <f t="array" ref="Y1124">INDEX(xlRTTYNAME,MATCH(1,(xlRTTYENDU=2)*(xlRTTYEQCL=$F1124)*(xlRTEQTYPE=$G1124),0))</f>
        <v>CENT_AIR1</v>
      </c>
    </row>
    <row r="1125" spans="2:25" ht="14.25" customHeight="1" x14ac:dyDescent="0.2">
      <c r="B1125" s="126">
        <v>3</v>
      </c>
      <c r="C1125" s="126">
        <v>2</v>
      </c>
      <c r="D1125" s="126">
        <v>8</v>
      </c>
      <c r="E1125" s="126">
        <v>26</v>
      </c>
      <c r="F1125" s="126">
        <v>2</v>
      </c>
      <c r="G1125" s="126">
        <v>6</v>
      </c>
      <c r="H1125" s="126">
        <v>2023</v>
      </c>
      <c r="I1125" s="126">
        <v>2050</v>
      </c>
      <c r="J1125" s="127">
        <v>1.0962000000000001</v>
      </c>
      <c r="K1125" s="127">
        <v>1.0345</v>
      </c>
      <c r="L1125" s="127">
        <v>1.1958</v>
      </c>
      <c r="M1125" s="127">
        <v>1.1345000000000001</v>
      </c>
      <c r="N1125" s="127">
        <v>1.0417000000000001</v>
      </c>
      <c r="O1125" s="127">
        <v>1.0538000000000001</v>
      </c>
      <c r="P1125" s="126">
        <v>0</v>
      </c>
      <c r="Q1125" s="128">
        <f t="array" ref="Q1125">SUM(IF(($S1125&gt;=4)*($C1125='TaxCred&amp;Subs'!$D$123:$D$127)*($H1125='TaxCred&amp;Subs'!$C$123:$C$127)*($H1125&lt;='TaxCred&amp;Subs'!$C$129),'TaxCred&amp;Subs'!$E$123:$E$127,0))</f>
        <v>0</v>
      </c>
      <c r="R1125" s="174">
        <v>0</v>
      </c>
      <c r="S1125" s="126">
        <v>1</v>
      </c>
      <c r="T1125" s="126" t="s">
        <v>223</v>
      </c>
      <c r="U1125" s="158"/>
      <c r="V1125" s="153" t="str">
        <f t="array" ref="V1125">INDEX(xlRTCLNAME,MATCH(1,(xlRTCLENDU=1)*(xlRTCLEQCL=$D1125),0))</f>
        <v>DIST_RAD</v>
      </c>
      <c r="W1125" s="153" t="str">
        <f t="array" ref="W1125">INDEX(xlRTCLNAME,MATCH(1,(xlRTCLENDU=2)*(xlRTCLEQCL=$F1125),0))</f>
        <v>CENT_AIR</v>
      </c>
      <c r="X1125" s="153" t="str">
        <f t="array" ref="X1125">INDEX(xlRTTYNAME,MATCH(1,(xlRTTYENDU=1)*(xlRTTYEQCL=$D1125)*(xlRTEQTYPE=$E1125),0))</f>
        <v>DIST_RAD1</v>
      </c>
      <c r="Y1125" s="153" t="str">
        <f t="array" ref="Y1125">INDEX(xlRTTYNAME,MATCH(1,(xlRTTYENDU=2)*(xlRTTYEQCL=$F1125)*(xlRTEQTYPE=$G1125),0))</f>
        <v>CENT_AIR2</v>
      </c>
    </row>
    <row r="1126" spans="2:25" ht="14.25" customHeight="1" x14ac:dyDescent="0.2">
      <c r="B1126" s="126">
        <v>4</v>
      </c>
      <c r="C1126" s="126">
        <v>2</v>
      </c>
      <c r="D1126" s="126">
        <v>8</v>
      </c>
      <c r="E1126" s="126">
        <v>26</v>
      </c>
      <c r="F1126" s="126">
        <v>2</v>
      </c>
      <c r="G1126" s="126">
        <v>5</v>
      </c>
      <c r="H1126" s="126">
        <v>2016</v>
      </c>
      <c r="I1126" s="126">
        <v>2022</v>
      </c>
      <c r="J1126" s="127">
        <v>1.1024</v>
      </c>
      <c r="K1126" s="127">
        <v>1.0435000000000001</v>
      </c>
      <c r="L1126" s="127">
        <v>1.4481999999999999</v>
      </c>
      <c r="M1126" s="127">
        <v>1.2250000000000001</v>
      </c>
      <c r="N1126" s="127">
        <v>1.1678999999999999</v>
      </c>
      <c r="O1126" s="127">
        <v>1.0538000000000001</v>
      </c>
      <c r="P1126" s="126">
        <v>0</v>
      </c>
      <c r="Q1126" s="128">
        <f t="array" ref="Q1126">SUM(IF(($S1126&gt;=4)*($C1126='TaxCred&amp;Subs'!$D$123:$D$127)*($H1126='TaxCred&amp;Subs'!$C$123:$C$127)*($H1126&lt;='TaxCred&amp;Subs'!$C$129),'TaxCred&amp;Subs'!$E$123:$E$127,0))</f>
        <v>0</v>
      </c>
      <c r="R1126" s="174">
        <v>0</v>
      </c>
      <c r="S1126" s="126">
        <v>1</v>
      </c>
      <c r="T1126" s="126" t="s">
        <v>223</v>
      </c>
      <c r="U1126" s="158"/>
      <c r="V1126" s="153" t="str">
        <f t="array" ref="V1126">INDEX(xlRTCLNAME,MATCH(1,(xlRTCLENDU=1)*(xlRTCLEQCL=$D1126),0))</f>
        <v>DIST_RAD</v>
      </c>
      <c r="W1126" s="153" t="str">
        <f t="array" ref="W1126">INDEX(xlRTCLNAME,MATCH(1,(xlRTCLENDU=2)*(xlRTCLEQCL=$F1126),0))</f>
        <v>CENT_AIR</v>
      </c>
      <c r="X1126" s="153" t="str">
        <f t="array" ref="X1126">INDEX(xlRTTYNAME,MATCH(1,(xlRTTYENDU=1)*(xlRTTYEQCL=$D1126)*(xlRTEQTYPE=$E1126),0))</f>
        <v>DIST_RAD1</v>
      </c>
      <c r="Y1126" s="153" t="str">
        <f t="array" ref="Y1126">INDEX(xlRTTYNAME,MATCH(1,(xlRTTYENDU=2)*(xlRTTYEQCL=$F1126)*(xlRTEQTYPE=$G1126),0))</f>
        <v>CENT_AIR1</v>
      </c>
    </row>
    <row r="1127" spans="2:25" ht="14.25" customHeight="1" x14ac:dyDescent="0.2">
      <c r="B1127" s="126">
        <v>4</v>
      </c>
      <c r="C1127" s="126">
        <v>2</v>
      </c>
      <c r="D1127" s="126">
        <v>8</v>
      </c>
      <c r="E1127" s="126">
        <v>26</v>
      </c>
      <c r="F1127" s="126">
        <v>2</v>
      </c>
      <c r="G1127" s="126">
        <v>6</v>
      </c>
      <c r="H1127" s="126">
        <v>2023</v>
      </c>
      <c r="I1127" s="126">
        <v>2050</v>
      </c>
      <c r="J1127" s="127">
        <v>1.1024</v>
      </c>
      <c r="K1127" s="127">
        <v>1.0435000000000001</v>
      </c>
      <c r="L1127" s="127">
        <v>1.4481999999999999</v>
      </c>
      <c r="M1127" s="127">
        <v>1.2250000000000001</v>
      </c>
      <c r="N1127" s="127">
        <v>1.1678999999999999</v>
      </c>
      <c r="O1127" s="127">
        <v>1.0538000000000001</v>
      </c>
      <c r="P1127" s="126">
        <v>0</v>
      </c>
      <c r="Q1127" s="128">
        <f t="array" ref="Q1127">SUM(IF(($S1127&gt;=4)*($C1127='TaxCred&amp;Subs'!$D$123:$D$127)*($H1127='TaxCred&amp;Subs'!$C$123:$C$127)*($H1127&lt;='TaxCred&amp;Subs'!$C$129),'TaxCred&amp;Subs'!$E$123:$E$127,0))</f>
        <v>0</v>
      </c>
      <c r="R1127" s="174">
        <v>0</v>
      </c>
      <c r="S1127" s="126">
        <v>1</v>
      </c>
      <c r="T1127" s="126" t="s">
        <v>223</v>
      </c>
      <c r="U1127" s="158"/>
      <c r="V1127" s="153" t="str">
        <f t="array" ref="V1127">INDEX(xlRTCLNAME,MATCH(1,(xlRTCLENDU=1)*(xlRTCLEQCL=$D1127),0))</f>
        <v>DIST_RAD</v>
      </c>
      <c r="W1127" s="153" t="str">
        <f t="array" ref="W1127">INDEX(xlRTCLNAME,MATCH(1,(xlRTCLENDU=2)*(xlRTCLEQCL=$F1127),0))</f>
        <v>CENT_AIR</v>
      </c>
      <c r="X1127" s="153" t="str">
        <f t="array" ref="X1127">INDEX(xlRTTYNAME,MATCH(1,(xlRTTYENDU=1)*(xlRTTYEQCL=$D1127)*(xlRTEQTYPE=$E1127),0))</f>
        <v>DIST_RAD1</v>
      </c>
      <c r="Y1127" s="153" t="str">
        <f t="array" ref="Y1127">INDEX(xlRTTYNAME,MATCH(1,(xlRTTYENDU=2)*(xlRTTYEQCL=$F1127)*(xlRTEQTYPE=$G1127),0))</f>
        <v>CENT_AIR2</v>
      </c>
    </row>
    <row r="1128" spans="2:25" ht="14.25" customHeight="1" x14ac:dyDescent="0.2">
      <c r="B1128" s="126">
        <v>5</v>
      </c>
      <c r="C1128" s="126">
        <v>2</v>
      </c>
      <c r="D1128" s="126">
        <v>8</v>
      </c>
      <c r="E1128" s="126">
        <v>26</v>
      </c>
      <c r="F1128" s="126">
        <v>2</v>
      </c>
      <c r="G1128" s="126">
        <v>5</v>
      </c>
      <c r="H1128" s="126">
        <v>2016</v>
      </c>
      <c r="I1128" s="126">
        <v>2022</v>
      </c>
      <c r="J1128" s="127">
        <v>1.03</v>
      </c>
      <c r="K1128" s="127">
        <v>1.03</v>
      </c>
      <c r="L1128" s="127">
        <v>1.7131000000000001</v>
      </c>
      <c r="M1128" s="127">
        <v>1.1687000000000001</v>
      </c>
      <c r="N1128" s="127">
        <v>1.3003</v>
      </c>
      <c r="O1128" s="127">
        <v>1.0538000000000001</v>
      </c>
      <c r="P1128" s="126">
        <v>0</v>
      </c>
      <c r="Q1128" s="128">
        <f t="array" ref="Q1128">SUM(IF(($S1128&gt;=4)*($C1128='TaxCred&amp;Subs'!$D$123:$D$127)*($H1128='TaxCred&amp;Subs'!$C$123:$C$127)*($H1128&lt;='TaxCred&amp;Subs'!$C$129),'TaxCred&amp;Subs'!$E$123:$E$127,0))</f>
        <v>0</v>
      </c>
      <c r="R1128" s="174">
        <v>0</v>
      </c>
      <c r="S1128" s="126">
        <v>1</v>
      </c>
      <c r="T1128" s="126" t="s">
        <v>223</v>
      </c>
      <c r="U1128" s="158"/>
      <c r="V1128" s="153" t="str">
        <f t="array" ref="V1128">INDEX(xlRTCLNAME,MATCH(1,(xlRTCLENDU=1)*(xlRTCLEQCL=$D1128),0))</f>
        <v>DIST_RAD</v>
      </c>
      <c r="W1128" s="153" t="str">
        <f t="array" ref="W1128">INDEX(xlRTCLNAME,MATCH(1,(xlRTCLENDU=2)*(xlRTCLEQCL=$F1128),0))</f>
        <v>CENT_AIR</v>
      </c>
      <c r="X1128" s="153" t="str">
        <f t="array" ref="X1128">INDEX(xlRTTYNAME,MATCH(1,(xlRTTYENDU=1)*(xlRTTYEQCL=$D1128)*(xlRTEQTYPE=$E1128),0))</f>
        <v>DIST_RAD1</v>
      </c>
      <c r="Y1128" s="153" t="str">
        <f t="array" ref="Y1128">INDEX(xlRTTYNAME,MATCH(1,(xlRTTYENDU=2)*(xlRTTYEQCL=$F1128)*(xlRTEQTYPE=$G1128),0))</f>
        <v>CENT_AIR1</v>
      </c>
    </row>
    <row r="1129" spans="2:25" ht="14.25" customHeight="1" x14ac:dyDescent="0.2">
      <c r="B1129" s="126">
        <v>5</v>
      </c>
      <c r="C1129" s="126">
        <v>2</v>
      </c>
      <c r="D1129" s="126">
        <v>8</v>
      </c>
      <c r="E1129" s="126">
        <v>26</v>
      </c>
      <c r="F1129" s="126">
        <v>2</v>
      </c>
      <c r="G1129" s="126">
        <v>6</v>
      </c>
      <c r="H1129" s="126">
        <v>2023</v>
      </c>
      <c r="I1129" s="126">
        <v>2050</v>
      </c>
      <c r="J1129" s="127">
        <v>1.03</v>
      </c>
      <c r="K1129" s="127">
        <v>1.03</v>
      </c>
      <c r="L1129" s="127">
        <v>1.7131000000000001</v>
      </c>
      <c r="M1129" s="127">
        <v>1.1687000000000001</v>
      </c>
      <c r="N1129" s="127">
        <v>1.3003</v>
      </c>
      <c r="O1129" s="127">
        <v>1.0538000000000001</v>
      </c>
      <c r="P1129" s="126">
        <v>0</v>
      </c>
      <c r="Q1129" s="128">
        <f t="array" ref="Q1129">SUM(IF(($S1129&gt;=4)*($C1129='TaxCred&amp;Subs'!$D$123:$D$127)*($H1129='TaxCred&amp;Subs'!$C$123:$C$127)*($H1129&lt;='TaxCred&amp;Subs'!$C$129),'TaxCred&amp;Subs'!$E$123:$E$127,0))</f>
        <v>0</v>
      </c>
      <c r="R1129" s="174">
        <v>0</v>
      </c>
      <c r="S1129" s="126">
        <v>1</v>
      </c>
      <c r="T1129" s="126" t="s">
        <v>223</v>
      </c>
      <c r="U1129" s="158"/>
      <c r="V1129" s="153" t="str">
        <f t="array" ref="V1129">INDEX(xlRTCLNAME,MATCH(1,(xlRTCLENDU=1)*(xlRTCLEQCL=$D1129),0))</f>
        <v>DIST_RAD</v>
      </c>
      <c r="W1129" s="153" t="str">
        <f t="array" ref="W1129">INDEX(xlRTCLNAME,MATCH(1,(xlRTCLENDU=2)*(xlRTCLEQCL=$F1129),0))</f>
        <v>CENT_AIR</v>
      </c>
      <c r="X1129" s="153" t="str">
        <f t="array" ref="X1129">INDEX(xlRTTYNAME,MATCH(1,(xlRTTYENDU=1)*(xlRTTYEQCL=$D1129)*(xlRTEQTYPE=$E1129),0))</f>
        <v>DIST_RAD1</v>
      </c>
      <c r="Y1129" s="153" t="str">
        <f t="array" ref="Y1129">INDEX(xlRTTYNAME,MATCH(1,(xlRTTYENDU=2)*(xlRTTYEQCL=$F1129)*(xlRTEQTYPE=$G1129),0))</f>
        <v>CENT_AIR2</v>
      </c>
    </row>
    <row r="1130" spans="2:25" ht="14.25" customHeight="1" x14ac:dyDescent="0.2">
      <c r="B1130" s="126">
        <v>6</v>
      </c>
      <c r="C1130" s="126">
        <v>2</v>
      </c>
      <c r="D1130" s="126">
        <v>8</v>
      </c>
      <c r="E1130" s="126">
        <v>26</v>
      </c>
      <c r="F1130" s="126">
        <v>2</v>
      </c>
      <c r="G1130" s="126">
        <v>5</v>
      </c>
      <c r="H1130" s="126">
        <v>2016</v>
      </c>
      <c r="I1130" s="126">
        <v>2022</v>
      </c>
      <c r="J1130" s="127">
        <v>1.1200000000000001</v>
      </c>
      <c r="K1130" s="127">
        <v>1.0417000000000001</v>
      </c>
      <c r="L1130" s="127">
        <v>1.8438000000000001</v>
      </c>
      <c r="M1130" s="127">
        <v>1.2250000000000001</v>
      </c>
      <c r="N1130" s="127">
        <v>1.3656999999999999</v>
      </c>
      <c r="O1130" s="127">
        <v>1.0538000000000001</v>
      </c>
      <c r="P1130" s="126">
        <v>0</v>
      </c>
      <c r="Q1130" s="128">
        <f t="array" ref="Q1130">SUM(IF(($S1130&gt;=4)*($C1130='TaxCred&amp;Subs'!$D$123:$D$127)*($H1130='TaxCred&amp;Subs'!$C$123:$C$127)*($H1130&lt;='TaxCred&amp;Subs'!$C$129),'TaxCred&amp;Subs'!$E$123:$E$127,0))</f>
        <v>0</v>
      </c>
      <c r="R1130" s="174">
        <v>0</v>
      </c>
      <c r="S1130" s="126">
        <v>1</v>
      </c>
      <c r="T1130" s="126" t="s">
        <v>223</v>
      </c>
      <c r="U1130" s="158"/>
      <c r="V1130" s="153" t="str">
        <f t="array" ref="V1130">INDEX(xlRTCLNAME,MATCH(1,(xlRTCLENDU=1)*(xlRTCLEQCL=$D1130),0))</f>
        <v>DIST_RAD</v>
      </c>
      <c r="W1130" s="153" t="str">
        <f t="array" ref="W1130">INDEX(xlRTCLNAME,MATCH(1,(xlRTCLENDU=2)*(xlRTCLEQCL=$F1130),0))</f>
        <v>CENT_AIR</v>
      </c>
      <c r="X1130" s="153" t="str">
        <f t="array" ref="X1130">INDEX(xlRTTYNAME,MATCH(1,(xlRTTYENDU=1)*(xlRTTYEQCL=$D1130)*(xlRTEQTYPE=$E1130),0))</f>
        <v>DIST_RAD1</v>
      </c>
      <c r="Y1130" s="153" t="str">
        <f t="array" ref="Y1130">INDEX(xlRTTYNAME,MATCH(1,(xlRTTYENDU=2)*(xlRTTYEQCL=$F1130)*(xlRTEQTYPE=$G1130),0))</f>
        <v>CENT_AIR1</v>
      </c>
    </row>
    <row r="1131" spans="2:25" ht="14.25" customHeight="1" x14ac:dyDescent="0.2">
      <c r="B1131" s="126">
        <v>6</v>
      </c>
      <c r="C1131" s="126">
        <v>2</v>
      </c>
      <c r="D1131" s="126">
        <v>8</v>
      </c>
      <c r="E1131" s="126">
        <v>26</v>
      </c>
      <c r="F1131" s="126">
        <v>2</v>
      </c>
      <c r="G1131" s="126">
        <v>6</v>
      </c>
      <c r="H1131" s="126">
        <v>2023</v>
      </c>
      <c r="I1131" s="126">
        <v>2050</v>
      </c>
      <c r="J1131" s="127">
        <v>1.1200000000000001</v>
      </c>
      <c r="K1131" s="127">
        <v>1.0417000000000001</v>
      </c>
      <c r="L1131" s="127">
        <v>1.8438000000000001</v>
      </c>
      <c r="M1131" s="127">
        <v>1.2250000000000001</v>
      </c>
      <c r="N1131" s="127">
        <v>1.3656999999999999</v>
      </c>
      <c r="O1131" s="127">
        <v>1.0538000000000001</v>
      </c>
      <c r="P1131" s="126">
        <v>0</v>
      </c>
      <c r="Q1131" s="128">
        <f t="array" ref="Q1131">SUM(IF(($S1131&gt;=4)*($C1131='TaxCred&amp;Subs'!$D$123:$D$127)*($H1131='TaxCred&amp;Subs'!$C$123:$C$127)*($H1131&lt;='TaxCred&amp;Subs'!$C$129),'TaxCred&amp;Subs'!$E$123:$E$127,0))</f>
        <v>0</v>
      </c>
      <c r="R1131" s="174">
        <v>0</v>
      </c>
      <c r="S1131" s="126">
        <v>1</v>
      </c>
      <c r="T1131" s="126" t="s">
        <v>223</v>
      </c>
      <c r="U1131" s="158"/>
      <c r="V1131" s="153" t="str">
        <f t="array" ref="V1131">INDEX(xlRTCLNAME,MATCH(1,(xlRTCLENDU=1)*(xlRTCLEQCL=$D1131),0))</f>
        <v>DIST_RAD</v>
      </c>
      <c r="W1131" s="153" t="str">
        <f t="array" ref="W1131">INDEX(xlRTCLNAME,MATCH(1,(xlRTCLENDU=2)*(xlRTCLEQCL=$F1131),0))</f>
        <v>CENT_AIR</v>
      </c>
      <c r="X1131" s="153" t="str">
        <f t="array" ref="X1131">INDEX(xlRTTYNAME,MATCH(1,(xlRTTYENDU=1)*(xlRTTYEQCL=$D1131)*(xlRTEQTYPE=$E1131),0))</f>
        <v>DIST_RAD1</v>
      </c>
      <c r="Y1131" s="153" t="str">
        <f t="array" ref="Y1131">INDEX(xlRTTYNAME,MATCH(1,(xlRTTYENDU=2)*(xlRTTYEQCL=$F1131)*(xlRTEQTYPE=$G1131),0))</f>
        <v>CENT_AIR2</v>
      </c>
    </row>
    <row r="1132" spans="2:25" ht="14.25" customHeight="1" x14ac:dyDescent="0.2">
      <c r="B1132" s="126">
        <v>7</v>
      </c>
      <c r="C1132" s="126">
        <v>2</v>
      </c>
      <c r="D1132" s="126">
        <v>8</v>
      </c>
      <c r="E1132" s="126">
        <v>26</v>
      </c>
      <c r="F1132" s="126">
        <v>2</v>
      </c>
      <c r="G1132" s="126">
        <v>5</v>
      </c>
      <c r="H1132" s="126">
        <v>2016</v>
      </c>
      <c r="I1132" s="126">
        <v>2022</v>
      </c>
      <c r="J1132" s="127">
        <v>1.1200000000000001</v>
      </c>
      <c r="K1132" s="127">
        <v>1.0462</v>
      </c>
      <c r="L1132" s="127">
        <v>2</v>
      </c>
      <c r="M1132" s="127">
        <v>1.2121</v>
      </c>
      <c r="N1132" s="127">
        <v>1.4438</v>
      </c>
      <c r="O1132" s="127">
        <v>1.0538000000000001</v>
      </c>
      <c r="P1132" s="126">
        <v>0</v>
      </c>
      <c r="Q1132" s="128">
        <f t="array" ref="Q1132">SUM(IF(($S1132&gt;=4)*($C1132='TaxCred&amp;Subs'!$D$123:$D$127)*($H1132='TaxCred&amp;Subs'!$C$123:$C$127)*($H1132&lt;='TaxCred&amp;Subs'!$C$129),'TaxCred&amp;Subs'!$E$123:$E$127,0))</f>
        <v>0</v>
      </c>
      <c r="R1132" s="174">
        <v>0</v>
      </c>
      <c r="S1132" s="126">
        <v>1</v>
      </c>
      <c r="T1132" s="126" t="s">
        <v>223</v>
      </c>
      <c r="U1132" s="158"/>
      <c r="V1132" s="153" t="str">
        <f t="array" ref="V1132">INDEX(xlRTCLNAME,MATCH(1,(xlRTCLENDU=1)*(xlRTCLEQCL=$D1132),0))</f>
        <v>DIST_RAD</v>
      </c>
      <c r="W1132" s="153" t="str">
        <f t="array" ref="W1132">INDEX(xlRTCLNAME,MATCH(1,(xlRTCLENDU=2)*(xlRTCLEQCL=$F1132),0))</f>
        <v>CENT_AIR</v>
      </c>
      <c r="X1132" s="153" t="str">
        <f t="array" ref="X1132">INDEX(xlRTTYNAME,MATCH(1,(xlRTTYENDU=1)*(xlRTTYEQCL=$D1132)*(xlRTEQTYPE=$E1132),0))</f>
        <v>DIST_RAD1</v>
      </c>
      <c r="Y1132" s="153" t="str">
        <f t="array" ref="Y1132">INDEX(xlRTTYNAME,MATCH(1,(xlRTTYENDU=2)*(xlRTTYEQCL=$F1132)*(xlRTEQTYPE=$G1132),0))</f>
        <v>CENT_AIR1</v>
      </c>
    </row>
    <row r="1133" spans="2:25" ht="14.25" customHeight="1" x14ac:dyDescent="0.2">
      <c r="B1133" s="126">
        <v>7</v>
      </c>
      <c r="C1133" s="126">
        <v>2</v>
      </c>
      <c r="D1133" s="126">
        <v>8</v>
      </c>
      <c r="E1133" s="126">
        <v>26</v>
      </c>
      <c r="F1133" s="126">
        <v>2</v>
      </c>
      <c r="G1133" s="126">
        <v>6</v>
      </c>
      <c r="H1133" s="126">
        <v>2023</v>
      </c>
      <c r="I1133" s="126">
        <v>2050</v>
      </c>
      <c r="J1133" s="127">
        <v>1.1200000000000001</v>
      </c>
      <c r="K1133" s="127">
        <v>1.0462</v>
      </c>
      <c r="L1133" s="127">
        <v>2</v>
      </c>
      <c r="M1133" s="127">
        <v>1.2121</v>
      </c>
      <c r="N1133" s="127">
        <v>1.4438</v>
      </c>
      <c r="O1133" s="127">
        <v>1.0538000000000001</v>
      </c>
      <c r="P1133" s="126">
        <v>0</v>
      </c>
      <c r="Q1133" s="128">
        <f t="array" ref="Q1133">SUM(IF(($S1133&gt;=4)*($C1133='TaxCred&amp;Subs'!$D$123:$D$127)*($H1133='TaxCred&amp;Subs'!$C$123:$C$127)*($H1133&lt;='TaxCred&amp;Subs'!$C$129),'TaxCred&amp;Subs'!$E$123:$E$127,0))</f>
        <v>0</v>
      </c>
      <c r="R1133" s="174">
        <v>0</v>
      </c>
      <c r="S1133" s="126">
        <v>1</v>
      </c>
      <c r="T1133" s="126" t="s">
        <v>223</v>
      </c>
      <c r="U1133" s="158"/>
      <c r="V1133" s="153" t="str">
        <f t="array" ref="V1133">INDEX(xlRTCLNAME,MATCH(1,(xlRTCLENDU=1)*(xlRTCLEQCL=$D1133),0))</f>
        <v>DIST_RAD</v>
      </c>
      <c r="W1133" s="153" t="str">
        <f t="array" ref="W1133">INDEX(xlRTCLNAME,MATCH(1,(xlRTCLENDU=2)*(xlRTCLEQCL=$F1133),0))</f>
        <v>CENT_AIR</v>
      </c>
      <c r="X1133" s="153" t="str">
        <f t="array" ref="X1133">INDEX(xlRTTYNAME,MATCH(1,(xlRTTYENDU=1)*(xlRTTYEQCL=$D1133)*(xlRTEQTYPE=$E1133),0))</f>
        <v>DIST_RAD1</v>
      </c>
      <c r="Y1133" s="153" t="str">
        <f t="array" ref="Y1133">INDEX(xlRTTYNAME,MATCH(1,(xlRTTYENDU=2)*(xlRTTYEQCL=$F1133)*(xlRTEQTYPE=$G1133),0))</f>
        <v>CENT_AIR2</v>
      </c>
    </row>
    <row r="1134" spans="2:25" ht="14.25" customHeight="1" x14ac:dyDescent="0.2">
      <c r="B1134" s="126">
        <v>8</v>
      </c>
      <c r="C1134" s="126">
        <v>2</v>
      </c>
      <c r="D1134" s="126">
        <v>8</v>
      </c>
      <c r="E1134" s="126">
        <v>26</v>
      </c>
      <c r="F1134" s="126">
        <v>2</v>
      </c>
      <c r="G1134" s="126">
        <v>5</v>
      </c>
      <c r="H1134" s="126">
        <v>2016</v>
      </c>
      <c r="I1134" s="126">
        <v>2022</v>
      </c>
      <c r="J1134" s="127">
        <v>1.1045</v>
      </c>
      <c r="K1134" s="127">
        <v>1.0323</v>
      </c>
      <c r="L1134" s="127">
        <v>1.6819</v>
      </c>
      <c r="M1134" s="127">
        <v>1.3391999999999999</v>
      </c>
      <c r="N1134" s="127">
        <v>1.2847999999999999</v>
      </c>
      <c r="O1134" s="127">
        <v>1.0538000000000001</v>
      </c>
      <c r="P1134" s="126">
        <v>0</v>
      </c>
      <c r="Q1134" s="128">
        <f t="array" ref="Q1134">SUM(IF(($S1134&gt;=4)*($C1134='TaxCred&amp;Subs'!$D$123:$D$127)*($H1134='TaxCred&amp;Subs'!$C$123:$C$127)*($H1134&lt;='TaxCred&amp;Subs'!$C$129),'TaxCred&amp;Subs'!$E$123:$E$127,0))</f>
        <v>0</v>
      </c>
      <c r="R1134" s="174">
        <v>0</v>
      </c>
      <c r="S1134" s="126">
        <v>1</v>
      </c>
      <c r="T1134" s="126" t="s">
        <v>223</v>
      </c>
      <c r="U1134" s="158"/>
      <c r="V1134" s="153" t="str">
        <f t="array" ref="V1134">INDEX(xlRTCLNAME,MATCH(1,(xlRTCLENDU=1)*(xlRTCLEQCL=$D1134),0))</f>
        <v>DIST_RAD</v>
      </c>
      <c r="W1134" s="153" t="str">
        <f t="array" ref="W1134">INDEX(xlRTCLNAME,MATCH(1,(xlRTCLENDU=2)*(xlRTCLEQCL=$F1134),0))</f>
        <v>CENT_AIR</v>
      </c>
      <c r="X1134" s="153" t="str">
        <f t="array" ref="X1134">INDEX(xlRTTYNAME,MATCH(1,(xlRTTYENDU=1)*(xlRTTYEQCL=$D1134)*(xlRTEQTYPE=$E1134),0))</f>
        <v>DIST_RAD1</v>
      </c>
      <c r="Y1134" s="153" t="str">
        <f t="array" ref="Y1134">INDEX(xlRTTYNAME,MATCH(1,(xlRTTYENDU=2)*(xlRTTYEQCL=$F1134)*(xlRTEQTYPE=$G1134),0))</f>
        <v>CENT_AIR1</v>
      </c>
    </row>
    <row r="1135" spans="2:25" ht="14.25" customHeight="1" x14ac:dyDescent="0.2">
      <c r="B1135" s="126">
        <v>8</v>
      </c>
      <c r="C1135" s="126">
        <v>2</v>
      </c>
      <c r="D1135" s="126">
        <v>8</v>
      </c>
      <c r="E1135" s="126">
        <v>26</v>
      </c>
      <c r="F1135" s="126">
        <v>2</v>
      </c>
      <c r="G1135" s="126">
        <v>6</v>
      </c>
      <c r="H1135" s="126">
        <v>2023</v>
      </c>
      <c r="I1135" s="126">
        <v>2050</v>
      </c>
      <c r="J1135" s="127">
        <v>1.1045</v>
      </c>
      <c r="K1135" s="127">
        <v>1.0323</v>
      </c>
      <c r="L1135" s="127">
        <v>1.6819</v>
      </c>
      <c r="M1135" s="127">
        <v>1.3391999999999999</v>
      </c>
      <c r="N1135" s="127">
        <v>1.2847999999999999</v>
      </c>
      <c r="O1135" s="127">
        <v>1.0538000000000001</v>
      </c>
      <c r="P1135" s="126">
        <v>0</v>
      </c>
      <c r="Q1135" s="128">
        <f t="array" ref="Q1135">SUM(IF(($S1135&gt;=4)*($C1135='TaxCred&amp;Subs'!$D$123:$D$127)*($H1135='TaxCred&amp;Subs'!$C$123:$C$127)*($H1135&lt;='TaxCred&amp;Subs'!$C$129),'TaxCred&amp;Subs'!$E$123:$E$127,0))</f>
        <v>0</v>
      </c>
      <c r="R1135" s="174">
        <v>0</v>
      </c>
      <c r="S1135" s="126">
        <v>1</v>
      </c>
      <c r="T1135" s="126" t="s">
        <v>223</v>
      </c>
      <c r="U1135" s="158"/>
      <c r="V1135" s="153" t="str">
        <f t="array" ref="V1135">INDEX(xlRTCLNAME,MATCH(1,(xlRTCLENDU=1)*(xlRTCLEQCL=$D1135),0))</f>
        <v>DIST_RAD</v>
      </c>
      <c r="W1135" s="153" t="str">
        <f t="array" ref="W1135">INDEX(xlRTCLNAME,MATCH(1,(xlRTCLENDU=2)*(xlRTCLEQCL=$F1135),0))</f>
        <v>CENT_AIR</v>
      </c>
      <c r="X1135" s="153" t="str">
        <f t="array" ref="X1135">INDEX(xlRTTYNAME,MATCH(1,(xlRTTYENDU=1)*(xlRTTYEQCL=$D1135)*(xlRTEQTYPE=$E1135),0))</f>
        <v>DIST_RAD1</v>
      </c>
      <c r="Y1135" s="153" t="str">
        <f t="array" ref="Y1135">INDEX(xlRTTYNAME,MATCH(1,(xlRTTYENDU=2)*(xlRTTYEQCL=$F1135)*(xlRTEQTYPE=$G1135),0))</f>
        <v>CENT_AIR2</v>
      </c>
    </row>
    <row r="1136" spans="2:25" ht="14.25" customHeight="1" x14ac:dyDescent="0.2">
      <c r="B1136" s="126">
        <v>9</v>
      </c>
      <c r="C1136" s="126">
        <v>2</v>
      </c>
      <c r="D1136" s="126">
        <v>8</v>
      </c>
      <c r="E1136" s="126">
        <v>26</v>
      </c>
      <c r="F1136" s="126">
        <v>2</v>
      </c>
      <c r="G1136" s="126">
        <v>5</v>
      </c>
      <c r="H1136" s="126">
        <v>2016</v>
      </c>
      <c r="I1136" s="126">
        <v>2022</v>
      </c>
      <c r="J1136" s="127">
        <v>1.1200000000000001</v>
      </c>
      <c r="K1136" s="127">
        <v>1.0541</v>
      </c>
      <c r="L1136" s="127">
        <v>2</v>
      </c>
      <c r="M1136" s="127">
        <v>1.2834000000000001</v>
      </c>
      <c r="N1136" s="127">
        <v>1.4438</v>
      </c>
      <c r="O1136" s="127">
        <v>1.0538000000000001</v>
      </c>
      <c r="P1136" s="126">
        <v>0</v>
      </c>
      <c r="Q1136" s="128">
        <f t="array" ref="Q1136">SUM(IF(($S1136&gt;=4)*($C1136='TaxCred&amp;Subs'!$D$123:$D$127)*($H1136='TaxCred&amp;Subs'!$C$123:$C$127)*($H1136&lt;='TaxCred&amp;Subs'!$C$129),'TaxCred&amp;Subs'!$E$123:$E$127,0))</f>
        <v>0</v>
      </c>
      <c r="R1136" s="174">
        <v>0</v>
      </c>
      <c r="S1136" s="126">
        <v>1</v>
      </c>
      <c r="T1136" s="126" t="s">
        <v>223</v>
      </c>
      <c r="U1136" s="158"/>
      <c r="V1136" s="153" t="str">
        <f t="array" ref="V1136">INDEX(xlRTCLNAME,MATCH(1,(xlRTCLENDU=1)*(xlRTCLEQCL=$D1136),0))</f>
        <v>DIST_RAD</v>
      </c>
      <c r="W1136" s="153" t="str">
        <f t="array" ref="W1136">INDEX(xlRTCLNAME,MATCH(1,(xlRTCLENDU=2)*(xlRTCLEQCL=$F1136),0))</f>
        <v>CENT_AIR</v>
      </c>
      <c r="X1136" s="153" t="str">
        <f t="array" ref="X1136">INDEX(xlRTTYNAME,MATCH(1,(xlRTTYENDU=1)*(xlRTTYEQCL=$D1136)*(xlRTEQTYPE=$E1136),0))</f>
        <v>DIST_RAD1</v>
      </c>
      <c r="Y1136" s="153" t="str">
        <f t="array" ref="Y1136">INDEX(xlRTTYNAME,MATCH(1,(xlRTTYENDU=2)*(xlRTTYEQCL=$F1136)*(xlRTEQTYPE=$G1136),0))</f>
        <v>CENT_AIR1</v>
      </c>
    </row>
    <row r="1137" spans="2:25" ht="14.25" customHeight="1" x14ac:dyDescent="0.2">
      <c r="B1137" s="126">
        <v>9</v>
      </c>
      <c r="C1137" s="126">
        <v>2</v>
      </c>
      <c r="D1137" s="126">
        <v>8</v>
      </c>
      <c r="E1137" s="126">
        <v>26</v>
      </c>
      <c r="F1137" s="126">
        <v>2</v>
      </c>
      <c r="G1137" s="126">
        <v>6</v>
      </c>
      <c r="H1137" s="126">
        <v>2023</v>
      </c>
      <c r="I1137" s="126">
        <v>2050</v>
      </c>
      <c r="J1137" s="127">
        <v>1.1200000000000001</v>
      </c>
      <c r="K1137" s="127">
        <v>1.0541</v>
      </c>
      <c r="L1137" s="127">
        <v>2</v>
      </c>
      <c r="M1137" s="127">
        <v>1.2834000000000001</v>
      </c>
      <c r="N1137" s="127">
        <v>1.4438</v>
      </c>
      <c r="O1137" s="127">
        <v>1.0538000000000001</v>
      </c>
      <c r="P1137" s="126">
        <v>0</v>
      </c>
      <c r="Q1137" s="128">
        <f t="array" ref="Q1137">SUM(IF(($S1137&gt;=4)*($C1137='TaxCred&amp;Subs'!$D$123:$D$127)*($H1137='TaxCred&amp;Subs'!$C$123:$C$127)*($H1137&lt;='TaxCred&amp;Subs'!$C$129),'TaxCred&amp;Subs'!$E$123:$E$127,0))</f>
        <v>0</v>
      </c>
      <c r="R1137" s="174">
        <v>0</v>
      </c>
      <c r="S1137" s="126">
        <v>1</v>
      </c>
      <c r="T1137" s="126" t="s">
        <v>223</v>
      </c>
      <c r="U1137" s="158"/>
      <c r="V1137" s="153" t="str">
        <f t="array" ref="V1137">INDEX(xlRTCLNAME,MATCH(1,(xlRTCLENDU=1)*(xlRTCLEQCL=$D1137),0))</f>
        <v>DIST_RAD</v>
      </c>
      <c r="W1137" s="153" t="str">
        <f t="array" ref="W1137">INDEX(xlRTCLNAME,MATCH(1,(xlRTCLENDU=2)*(xlRTCLEQCL=$F1137),0))</f>
        <v>CENT_AIR</v>
      </c>
      <c r="X1137" s="153" t="str">
        <f t="array" ref="X1137">INDEX(xlRTTYNAME,MATCH(1,(xlRTTYENDU=1)*(xlRTTYEQCL=$D1137)*(xlRTEQTYPE=$E1137),0))</f>
        <v>DIST_RAD1</v>
      </c>
      <c r="Y1137" s="153" t="str">
        <f t="array" ref="Y1137">INDEX(xlRTTYNAME,MATCH(1,(xlRTTYENDU=2)*(xlRTTYEQCL=$F1137)*(xlRTEQTYPE=$G1137),0))</f>
        <v>CENT_AIR2</v>
      </c>
    </row>
    <row r="1138" spans="2:25" ht="14.25" customHeight="1" x14ac:dyDescent="0.2">
      <c r="B1138" s="126">
        <v>1</v>
      </c>
      <c r="C1138" s="126">
        <v>2</v>
      </c>
      <c r="D1138" s="126">
        <v>9</v>
      </c>
      <c r="E1138" s="126">
        <v>30</v>
      </c>
      <c r="F1138" s="126">
        <v>2</v>
      </c>
      <c r="G1138" s="126">
        <v>5</v>
      </c>
      <c r="H1138" s="126">
        <v>2016</v>
      </c>
      <c r="I1138" s="126">
        <v>2022</v>
      </c>
      <c r="J1138" s="127">
        <v>1.0864</v>
      </c>
      <c r="K1138" s="127">
        <v>1.0417000000000001</v>
      </c>
      <c r="L1138" s="127">
        <v>1.3438000000000001</v>
      </c>
      <c r="M1138" s="127">
        <v>1.1909000000000001</v>
      </c>
      <c r="N1138" s="127">
        <v>1.1156999999999999</v>
      </c>
      <c r="O1138" s="127">
        <v>1.0538000000000001</v>
      </c>
      <c r="P1138" s="126">
        <v>0</v>
      </c>
      <c r="Q1138" s="128">
        <f t="array" ref="Q1138">SUM(IF(($S1138&gt;=4)*($C1138='TaxCred&amp;Subs'!$D$123:$D$127)*($H1138='TaxCred&amp;Subs'!$C$123:$C$127)*($H1138&lt;='TaxCred&amp;Subs'!$C$129),'TaxCred&amp;Subs'!$E$123:$E$127,0))</f>
        <v>0</v>
      </c>
      <c r="R1138" s="174">
        <v>0</v>
      </c>
      <c r="S1138" s="126">
        <v>1</v>
      </c>
      <c r="T1138" s="126" t="s">
        <v>223</v>
      </c>
      <c r="U1138" s="158"/>
      <c r="V1138" s="153" t="str">
        <f t="array" ref="V1138">INDEX(xlRTCLNAME,MATCH(1,(xlRTCLENDU=1)*(xlRTCLEQCL=$D1138),0))</f>
        <v>WOOD_HT</v>
      </c>
      <c r="W1138" s="153" t="str">
        <f t="array" ref="W1138">INDEX(xlRTCLNAME,MATCH(1,(xlRTCLENDU=2)*(xlRTCLEQCL=$F1138),0))</f>
        <v>CENT_AIR</v>
      </c>
      <c r="X1138" s="153" t="str">
        <f t="array" ref="X1138">INDEX(xlRTTYNAME,MATCH(1,(xlRTTYENDU=1)*(xlRTTYEQCL=$D1138)*(xlRTEQTYPE=$E1138),0))</f>
        <v>WOOD_HT2</v>
      </c>
      <c r="Y1138" s="153" t="str">
        <f t="array" ref="Y1138">INDEX(xlRTTYNAME,MATCH(1,(xlRTTYENDU=2)*(xlRTTYEQCL=$F1138)*(xlRTEQTYPE=$G1138),0))</f>
        <v>CENT_AIR1</v>
      </c>
    </row>
    <row r="1139" spans="2:25" ht="14.25" customHeight="1" x14ac:dyDescent="0.2">
      <c r="B1139" s="126">
        <v>1</v>
      </c>
      <c r="C1139" s="126">
        <v>2</v>
      </c>
      <c r="D1139" s="126">
        <v>9</v>
      </c>
      <c r="E1139" s="126">
        <v>30</v>
      </c>
      <c r="F1139" s="126">
        <v>2</v>
      </c>
      <c r="G1139" s="126">
        <v>6</v>
      </c>
      <c r="H1139" s="126">
        <v>2023</v>
      </c>
      <c r="I1139" s="126">
        <v>2050</v>
      </c>
      <c r="J1139" s="127">
        <v>1.0864</v>
      </c>
      <c r="K1139" s="127">
        <v>1.0417000000000001</v>
      </c>
      <c r="L1139" s="127">
        <v>1.3438000000000001</v>
      </c>
      <c r="M1139" s="127">
        <v>1.1909000000000001</v>
      </c>
      <c r="N1139" s="127">
        <v>1.1156999999999999</v>
      </c>
      <c r="O1139" s="127">
        <v>1.0538000000000001</v>
      </c>
      <c r="P1139" s="126">
        <v>0</v>
      </c>
      <c r="Q1139" s="128">
        <f t="array" ref="Q1139">SUM(IF(($S1139&gt;=4)*($C1139='TaxCred&amp;Subs'!$D$123:$D$127)*($H1139='TaxCred&amp;Subs'!$C$123:$C$127)*($H1139&lt;='TaxCred&amp;Subs'!$C$129),'TaxCred&amp;Subs'!$E$123:$E$127,0))</f>
        <v>0</v>
      </c>
      <c r="R1139" s="174">
        <v>0</v>
      </c>
      <c r="S1139" s="126">
        <v>1</v>
      </c>
      <c r="T1139" s="126" t="s">
        <v>223</v>
      </c>
      <c r="U1139" s="158"/>
      <c r="V1139" s="153" t="str">
        <f t="array" ref="V1139">INDEX(xlRTCLNAME,MATCH(1,(xlRTCLENDU=1)*(xlRTCLEQCL=$D1139),0))</f>
        <v>WOOD_HT</v>
      </c>
      <c r="W1139" s="153" t="str">
        <f t="array" ref="W1139">INDEX(xlRTCLNAME,MATCH(1,(xlRTCLENDU=2)*(xlRTCLEQCL=$F1139),0))</f>
        <v>CENT_AIR</v>
      </c>
      <c r="X1139" s="153" t="str">
        <f t="array" ref="X1139">INDEX(xlRTTYNAME,MATCH(1,(xlRTTYENDU=1)*(xlRTTYEQCL=$D1139)*(xlRTEQTYPE=$E1139),0))</f>
        <v>WOOD_HT2</v>
      </c>
      <c r="Y1139" s="153" t="str">
        <f t="array" ref="Y1139">INDEX(xlRTTYNAME,MATCH(1,(xlRTTYENDU=2)*(xlRTTYEQCL=$F1139)*(xlRTEQTYPE=$G1139),0))</f>
        <v>CENT_AIR2</v>
      </c>
    </row>
    <row r="1140" spans="2:25" ht="14.25" customHeight="1" x14ac:dyDescent="0.2">
      <c r="B1140" s="126">
        <v>2</v>
      </c>
      <c r="C1140" s="126">
        <v>2</v>
      </c>
      <c r="D1140" s="126">
        <v>9</v>
      </c>
      <c r="E1140" s="126">
        <v>30</v>
      </c>
      <c r="F1140" s="126">
        <v>2</v>
      </c>
      <c r="G1140" s="126">
        <v>5</v>
      </c>
      <c r="H1140" s="126">
        <v>2016</v>
      </c>
      <c r="I1140" s="126">
        <v>2022</v>
      </c>
      <c r="J1140" s="127">
        <v>1.0891</v>
      </c>
      <c r="K1140" s="127">
        <v>1.0713999999999999</v>
      </c>
      <c r="L1140" s="127">
        <v>1.3633999999999999</v>
      </c>
      <c r="M1140" s="127">
        <v>1.2250000000000001</v>
      </c>
      <c r="N1140" s="127">
        <v>1.1254999999999999</v>
      </c>
      <c r="O1140" s="127">
        <v>1.0538000000000001</v>
      </c>
      <c r="P1140" s="126">
        <v>0</v>
      </c>
      <c r="Q1140" s="128">
        <f t="array" ref="Q1140">SUM(IF(($S1140&gt;=4)*($C1140='TaxCred&amp;Subs'!$D$123:$D$127)*($H1140='TaxCred&amp;Subs'!$C$123:$C$127)*($H1140&lt;='TaxCred&amp;Subs'!$C$129),'TaxCred&amp;Subs'!$E$123:$E$127,0))</f>
        <v>0</v>
      </c>
      <c r="R1140" s="174">
        <v>0</v>
      </c>
      <c r="S1140" s="126">
        <v>1</v>
      </c>
      <c r="T1140" s="126" t="s">
        <v>223</v>
      </c>
      <c r="U1140" s="158"/>
      <c r="V1140" s="153" t="str">
        <f t="array" ref="V1140">INDEX(xlRTCLNAME,MATCH(1,(xlRTCLENDU=1)*(xlRTCLEQCL=$D1140),0))</f>
        <v>WOOD_HT</v>
      </c>
      <c r="W1140" s="153" t="str">
        <f t="array" ref="W1140">INDEX(xlRTCLNAME,MATCH(1,(xlRTCLENDU=2)*(xlRTCLEQCL=$F1140),0))</f>
        <v>CENT_AIR</v>
      </c>
      <c r="X1140" s="153" t="str">
        <f t="array" ref="X1140">INDEX(xlRTTYNAME,MATCH(1,(xlRTTYENDU=1)*(xlRTTYEQCL=$D1140)*(xlRTEQTYPE=$E1140),0))</f>
        <v>WOOD_HT2</v>
      </c>
      <c r="Y1140" s="153" t="str">
        <f t="array" ref="Y1140">INDEX(xlRTTYNAME,MATCH(1,(xlRTTYENDU=2)*(xlRTTYEQCL=$F1140)*(xlRTEQTYPE=$G1140),0))</f>
        <v>CENT_AIR1</v>
      </c>
    </row>
    <row r="1141" spans="2:25" ht="14.25" customHeight="1" x14ac:dyDescent="0.2">
      <c r="B1141" s="126">
        <v>2</v>
      </c>
      <c r="C1141" s="126">
        <v>2</v>
      </c>
      <c r="D1141" s="126">
        <v>9</v>
      </c>
      <c r="E1141" s="126">
        <v>30</v>
      </c>
      <c r="F1141" s="126">
        <v>2</v>
      </c>
      <c r="G1141" s="126">
        <v>6</v>
      </c>
      <c r="H1141" s="126">
        <v>2023</v>
      </c>
      <c r="I1141" s="126">
        <v>2050</v>
      </c>
      <c r="J1141" s="127">
        <v>1.0891</v>
      </c>
      <c r="K1141" s="127">
        <v>1.0713999999999999</v>
      </c>
      <c r="L1141" s="127">
        <v>1.3633999999999999</v>
      </c>
      <c r="M1141" s="127">
        <v>1.2250000000000001</v>
      </c>
      <c r="N1141" s="127">
        <v>1.1254999999999999</v>
      </c>
      <c r="O1141" s="127">
        <v>1.0538000000000001</v>
      </c>
      <c r="P1141" s="126">
        <v>0</v>
      </c>
      <c r="Q1141" s="128">
        <f t="array" ref="Q1141">SUM(IF(($S1141&gt;=4)*($C1141='TaxCred&amp;Subs'!$D$123:$D$127)*($H1141='TaxCred&amp;Subs'!$C$123:$C$127)*($H1141&lt;='TaxCred&amp;Subs'!$C$129),'TaxCred&amp;Subs'!$E$123:$E$127,0))</f>
        <v>0</v>
      </c>
      <c r="R1141" s="174">
        <v>0</v>
      </c>
      <c r="S1141" s="126">
        <v>1</v>
      </c>
      <c r="T1141" s="126" t="s">
        <v>223</v>
      </c>
      <c r="U1141" s="158"/>
      <c r="V1141" s="153" t="str">
        <f t="array" ref="V1141">INDEX(xlRTCLNAME,MATCH(1,(xlRTCLENDU=1)*(xlRTCLEQCL=$D1141),0))</f>
        <v>WOOD_HT</v>
      </c>
      <c r="W1141" s="153" t="str">
        <f t="array" ref="W1141">INDEX(xlRTCLNAME,MATCH(1,(xlRTCLENDU=2)*(xlRTCLEQCL=$F1141),0))</f>
        <v>CENT_AIR</v>
      </c>
      <c r="X1141" s="153" t="str">
        <f t="array" ref="X1141">INDEX(xlRTTYNAME,MATCH(1,(xlRTTYENDU=1)*(xlRTTYEQCL=$D1141)*(xlRTEQTYPE=$E1141),0))</f>
        <v>WOOD_HT2</v>
      </c>
      <c r="Y1141" s="153" t="str">
        <f t="array" ref="Y1141">INDEX(xlRTTYNAME,MATCH(1,(xlRTTYENDU=2)*(xlRTTYEQCL=$F1141)*(xlRTEQTYPE=$G1141),0))</f>
        <v>CENT_AIR2</v>
      </c>
    </row>
    <row r="1142" spans="2:25" ht="14.25" customHeight="1" x14ac:dyDescent="0.2">
      <c r="B1142" s="126">
        <v>3</v>
      </c>
      <c r="C1142" s="126">
        <v>2</v>
      </c>
      <c r="D1142" s="126">
        <v>9</v>
      </c>
      <c r="E1142" s="126">
        <v>30</v>
      </c>
      <c r="F1142" s="126">
        <v>2</v>
      </c>
      <c r="G1142" s="126">
        <v>5</v>
      </c>
      <c r="H1142" s="126">
        <v>2016</v>
      </c>
      <c r="I1142" s="126">
        <v>2022</v>
      </c>
      <c r="J1142" s="127">
        <v>1.0962000000000001</v>
      </c>
      <c r="K1142" s="127">
        <v>1.0345</v>
      </c>
      <c r="L1142" s="127">
        <v>1.1958</v>
      </c>
      <c r="M1142" s="127">
        <v>1.1345000000000001</v>
      </c>
      <c r="N1142" s="127">
        <v>1.0417000000000001</v>
      </c>
      <c r="O1142" s="127">
        <v>1.0538000000000001</v>
      </c>
      <c r="P1142" s="126">
        <v>0</v>
      </c>
      <c r="Q1142" s="128">
        <f t="array" ref="Q1142">SUM(IF(($S1142&gt;=4)*($C1142='TaxCred&amp;Subs'!$D$123:$D$127)*($H1142='TaxCred&amp;Subs'!$C$123:$C$127)*($H1142&lt;='TaxCred&amp;Subs'!$C$129),'TaxCred&amp;Subs'!$E$123:$E$127,0))</f>
        <v>0</v>
      </c>
      <c r="R1142" s="174">
        <v>0</v>
      </c>
      <c r="S1142" s="126">
        <v>1</v>
      </c>
      <c r="T1142" s="126" t="s">
        <v>223</v>
      </c>
      <c r="U1142" s="158"/>
      <c r="V1142" s="153" t="str">
        <f t="array" ref="V1142">INDEX(xlRTCLNAME,MATCH(1,(xlRTCLENDU=1)*(xlRTCLEQCL=$D1142),0))</f>
        <v>WOOD_HT</v>
      </c>
      <c r="W1142" s="153" t="str">
        <f t="array" ref="W1142">INDEX(xlRTCLNAME,MATCH(1,(xlRTCLENDU=2)*(xlRTCLEQCL=$F1142),0))</f>
        <v>CENT_AIR</v>
      </c>
      <c r="X1142" s="153" t="str">
        <f t="array" ref="X1142">INDEX(xlRTTYNAME,MATCH(1,(xlRTTYENDU=1)*(xlRTTYEQCL=$D1142)*(xlRTEQTYPE=$E1142),0))</f>
        <v>WOOD_HT2</v>
      </c>
      <c r="Y1142" s="153" t="str">
        <f t="array" ref="Y1142">INDEX(xlRTTYNAME,MATCH(1,(xlRTTYENDU=2)*(xlRTTYEQCL=$F1142)*(xlRTEQTYPE=$G1142),0))</f>
        <v>CENT_AIR1</v>
      </c>
    </row>
    <row r="1143" spans="2:25" ht="14.25" customHeight="1" x14ac:dyDescent="0.2">
      <c r="B1143" s="126">
        <v>3</v>
      </c>
      <c r="C1143" s="126">
        <v>2</v>
      </c>
      <c r="D1143" s="126">
        <v>9</v>
      </c>
      <c r="E1143" s="126">
        <v>30</v>
      </c>
      <c r="F1143" s="126">
        <v>2</v>
      </c>
      <c r="G1143" s="126">
        <v>6</v>
      </c>
      <c r="H1143" s="126">
        <v>2023</v>
      </c>
      <c r="I1143" s="126">
        <v>2050</v>
      </c>
      <c r="J1143" s="127">
        <v>1.0962000000000001</v>
      </c>
      <c r="K1143" s="127">
        <v>1.0345</v>
      </c>
      <c r="L1143" s="127">
        <v>1.1958</v>
      </c>
      <c r="M1143" s="127">
        <v>1.1345000000000001</v>
      </c>
      <c r="N1143" s="127">
        <v>1.0417000000000001</v>
      </c>
      <c r="O1143" s="127">
        <v>1.0538000000000001</v>
      </c>
      <c r="P1143" s="126">
        <v>0</v>
      </c>
      <c r="Q1143" s="128">
        <f t="array" ref="Q1143">SUM(IF(($S1143&gt;=4)*($C1143='TaxCred&amp;Subs'!$D$123:$D$127)*($H1143='TaxCred&amp;Subs'!$C$123:$C$127)*($H1143&lt;='TaxCred&amp;Subs'!$C$129),'TaxCred&amp;Subs'!$E$123:$E$127,0))</f>
        <v>0</v>
      </c>
      <c r="R1143" s="174">
        <v>0</v>
      </c>
      <c r="S1143" s="126">
        <v>1</v>
      </c>
      <c r="T1143" s="126" t="s">
        <v>223</v>
      </c>
      <c r="U1143" s="158"/>
      <c r="V1143" s="153" t="str">
        <f t="array" ref="V1143">INDEX(xlRTCLNAME,MATCH(1,(xlRTCLENDU=1)*(xlRTCLEQCL=$D1143),0))</f>
        <v>WOOD_HT</v>
      </c>
      <c r="W1143" s="153" t="str">
        <f t="array" ref="W1143">INDEX(xlRTCLNAME,MATCH(1,(xlRTCLENDU=2)*(xlRTCLEQCL=$F1143),0))</f>
        <v>CENT_AIR</v>
      </c>
      <c r="X1143" s="153" t="str">
        <f t="array" ref="X1143">INDEX(xlRTTYNAME,MATCH(1,(xlRTTYENDU=1)*(xlRTTYEQCL=$D1143)*(xlRTEQTYPE=$E1143),0))</f>
        <v>WOOD_HT2</v>
      </c>
      <c r="Y1143" s="153" t="str">
        <f t="array" ref="Y1143">INDEX(xlRTTYNAME,MATCH(1,(xlRTTYENDU=2)*(xlRTTYEQCL=$F1143)*(xlRTEQTYPE=$G1143),0))</f>
        <v>CENT_AIR2</v>
      </c>
    </row>
    <row r="1144" spans="2:25" ht="14.25" customHeight="1" x14ac:dyDescent="0.2">
      <c r="B1144" s="126">
        <v>4</v>
      </c>
      <c r="C1144" s="126">
        <v>2</v>
      </c>
      <c r="D1144" s="126">
        <v>9</v>
      </c>
      <c r="E1144" s="126">
        <v>30</v>
      </c>
      <c r="F1144" s="126">
        <v>2</v>
      </c>
      <c r="G1144" s="126">
        <v>5</v>
      </c>
      <c r="H1144" s="126">
        <v>2016</v>
      </c>
      <c r="I1144" s="126">
        <v>2022</v>
      </c>
      <c r="J1144" s="127">
        <v>1.1024</v>
      </c>
      <c r="K1144" s="127">
        <v>1.0435000000000001</v>
      </c>
      <c r="L1144" s="127">
        <v>1.4481999999999999</v>
      </c>
      <c r="M1144" s="127">
        <v>1.2250000000000001</v>
      </c>
      <c r="N1144" s="127">
        <v>1.1678999999999999</v>
      </c>
      <c r="O1144" s="127">
        <v>1.0538000000000001</v>
      </c>
      <c r="P1144" s="126">
        <v>0</v>
      </c>
      <c r="Q1144" s="128">
        <f t="array" ref="Q1144">SUM(IF(($S1144&gt;=4)*($C1144='TaxCred&amp;Subs'!$D$123:$D$127)*($H1144='TaxCred&amp;Subs'!$C$123:$C$127)*($H1144&lt;='TaxCred&amp;Subs'!$C$129),'TaxCred&amp;Subs'!$E$123:$E$127,0))</f>
        <v>0</v>
      </c>
      <c r="R1144" s="174">
        <v>0</v>
      </c>
      <c r="S1144" s="126">
        <v>1</v>
      </c>
      <c r="T1144" s="126" t="s">
        <v>223</v>
      </c>
      <c r="U1144" s="158"/>
      <c r="V1144" s="153" t="str">
        <f t="array" ref="V1144">INDEX(xlRTCLNAME,MATCH(1,(xlRTCLENDU=1)*(xlRTCLEQCL=$D1144),0))</f>
        <v>WOOD_HT</v>
      </c>
      <c r="W1144" s="153" t="str">
        <f t="array" ref="W1144">INDEX(xlRTCLNAME,MATCH(1,(xlRTCLENDU=2)*(xlRTCLEQCL=$F1144),0))</f>
        <v>CENT_AIR</v>
      </c>
      <c r="X1144" s="153" t="str">
        <f t="array" ref="X1144">INDEX(xlRTTYNAME,MATCH(1,(xlRTTYENDU=1)*(xlRTTYEQCL=$D1144)*(xlRTEQTYPE=$E1144),0))</f>
        <v>WOOD_HT2</v>
      </c>
      <c r="Y1144" s="153" t="str">
        <f t="array" ref="Y1144">INDEX(xlRTTYNAME,MATCH(1,(xlRTTYENDU=2)*(xlRTTYEQCL=$F1144)*(xlRTEQTYPE=$G1144),0))</f>
        <v>CENT_AIR1</v>
      </c>
    </row>
    <row r="1145" spans="2:25" ht="14.25" customHeight="1" x14ac:dyDescent="0.2">
      <c r="B1145" s="126">
        <v>4</v>
      </c>
      <c r="C1145" s="126">
        <v>2</v>
      </c>
      <c r="D1145" s="126">
        <v>9</v>
      </c>
      <c r="E1145" s="126">
        <v>30</v>
      </c>
      <c r="F1145" s="126">
        <v>2</v>
      </c>
      <c r="G1145" s="126">
        <v>6</v>
      </c>
      <c r="H1145" s="126">
        <v>2023</v>
      </c>
      <c r="I1145" s="126">
        <v>2050</v>
      </c>
      <c r="J1145" s="127">
        <v>1.1024</v>
      </c>
      <c r="K1145" s="127">
        <v>1.0435000000000001</v>
      </c>
      <c r="L1145" s="127">
        <v>1.4481999999999999</v>
      </c>
      <c r="M1145" s="127">
        <v>1.2250000000000001</v>
      </c>
      <c r="N1145" s="127">
        <v>1.1678999999999999</v>
      </c>
      <c r="O1145" s="127">
        <v>1.0538000000000001</v>
      </c>
      <c r="P1145" s="126">
        <v>0</v>
      </c>
      <c r="Q1145" s="128">
        <f t="array" ref="Q1145">SUM(IF(($S1145&gt;=4)*($C1145='TaxCred&amp;Subs'!$D$123:$D$127)*($H1145='TaxCred&amp;Subs'!$C$123:$C$127)*($H1145&lt;='TaxCred&amp;Subs'!$C$129),'TaxCred&amp;Subs'!$E$123:$E$127,0))</f>
        <v>0</v>
      </c>
      <c r="R1145" s="174">
        <v>0</v>
      </c>
      <c r="S1145" s="126">
        <v>1</v>
      </c>
      <c r="T1145" s="126" t="s">
        <v>223</v>
      </c>
      <c r="U1145" s="158"/>
      <c r="V1145" s="153" t="str">
        <f t="array" ref="V1145">INDEX(xlRTCLNAME,MATCH(1,(xlRTCLENDU=1)*(xlRTCLEQCL=$D1145),0))</f>
        <v>WOOD_HT</v>
      </c>
      <c r="W1145" s="153" t="str">
        <f t="array" ref="W1145">INDEX(xlRTCLNAME,MATCH(1,(xlRTCLENDU=2)*(xlRTCLEQCL=$F1145),0))</f>
        <v>CENT_AIR</v>
      </c>
      <c r="X1145" s="153" t="str">
        <f t="array" ref="X1145">INDEX(xlRTTYNAME,MATCH(1,(xlRTTYENDU=1)*(xlRTTYEQCL=$D1145)*(xlRTEQTYPE=$E1145),0))</f>
        <v>WOOD_HT2</v>
      </c>
      <c r="Y1145" s="153" t="str">
        <f t="array" ref="Y1145">INDEX(xlRTTYNAME,MATCH(1,(xlRTTYENDU=2)*(xlRTTYEQCL=$F1145)*(xlRTEQTYPE=$G1145),0))</f>
        <v>CENT_AIR2</v>
      </c>
    </row>
    <row r="1146" spans="2:25" ht="14.25" customHeight="1" x14ac:dyDescent="0.2">
      <c r="B1146" s="126">
        <v>5</v>
      </c>
      <c r="C1146" s="126">
        <v>2</v>
      </c>
      <c r="D1146" s="126">
        <v>9</v>
      </c>
      <c r="E1146" s="126">
        <v>30</v>
      </c>
      <c r="F1146" s="126">
        <v>2</v>
      </c>
      <c r="G1146" s="126">
        <v>5</v>
      </c>
      <c r="H1146" s="126">
        <v>2016</v>
      </c>
      <c r="I1146" s="126">
        <v>2022</v>
      </c>
      <c r="J1146" s="127">
        <v>1.03</v>
      </c>
      <c r="K1146" s="127">
        <v>1.03</v>
      </c>
      <c r="L1146" s="127">
        <v>1.7131000000000001</v>
      </c>
      <c r="M1146" s="127">
        <v>1.1687000000000001</v>
      </c>
      <c r="N1146" s="127">
        <v>1.3003</v>
      </c>
      <c r="O1146" s="127">
        <v>1.0538000000000001</v>
      </c>
      <c r="P1146" s="126">
        <v>0</v>
      </c>
      <c r="Q1146" s="128">
        <f t="array" ref="Q1146">SUM(IF(($S1146&gt;=4)*($C1146='TaxCred&amp;Subs'!$D$123:$D$127)*($H1146='TaxCred&amp;Subs'!$C$123:$C$127)*($H1146&lt;='TaxCred&amp;Subs'!$C$129),'TaxCred&amp;Subs'!$E$123:$E$127,0))</f>
        <v>0</v>
      </c>
      <c r="R1146" s="174">
        <v>0</v>
      </c>
      <c r="S1146" s="126">
        <v>1</v>
      </c>
      <c r="T1146" s="126" t="s">
        <v>223</v>
      </c>
      <c r="U1146" s="158"/>
      <c r="V1146" s="153" t="str">
        <f t="array" ref="V1146">INDEX(xlRTCLNAME,MATCH(1,(xlRTCLENDU=1)*(xlRTCLEQCL=$D1146),0))</f>
        <v>WOOD_HT</v>
      </c>
      <c r="W1146" s="153" t="str">
        <f t="array" ref="W1146">INDEX(xlRTCLNAME,MATCH(1,(xlRTCLENDU=2)*(xlRTCLEQCL=$F1146),0))</f>
        <v>CENT_AIR</v>
      </c>
      <c r="X1146" s="153" t="str">
        <f t="array" ref="X1146">INDEX(xlRTTYNAME,MATCH(1,(xlRTTYENDU=1)*(xlRTTYEQCL=$D1146)*(xlRTEQTYPE=$E1146),0))</f>
        <v>WOOD_HT2</v>
      </c>
      <c r="Y1146" s="153" t="str">
        <f t="array" ref="Y1146">INDEX(xlRTTYNAME,MATCH(1,(xlRTTYENDU=2)*(xlRTTYEQCL=$F1146)*(xlRTEQTYPE=$G1146),0))</f>
        <v>CENT_AIR1</v>
      </c>
    </row>
    <row r="1147" spans="2:25" ht="14.25" customHeight="1" x14ac:dyDescent="0.2">
      <c r="B1147" s="126">
        <v>5</v>
      </c>
      <c r="C1147" s="126">
        <v>2</v>
      </c>
      <c r="D1147" s="126">
        <v>9</v>
      </c>
      <c r="E1147" s="126">
        <v>30</v>
      </c>
      <c r="F1147" s="126">
        <v>2</v>
      </c>
      <c r="G1147" s="126">
        <v>6</v>
      </c>
      <c r="H1147" s="126">
        <v>2023</v>
      </c>
      <c r="I1147" s="126">
        <v>2050</v>
      </c>
      <c r="J1147" s="127">
        <v>1.03</v>
      </c>
      <c r="K1147" s="127">
        <v>1.03</v>
      </c>
      <c r="L1147" s="127">
        <v>1.7131000000000001</v>
      </c>
      <c r="M1147" s="127">
        <v>1.1687000000000001</v>
      </c>
      <c r="N1147" s="127">
        <v>1.3003</v>
      </c>
      <c r="O1147" s="127">
        <v>1.0538000000000001</v>
      </c>
      <c r="P1147" s="126">
        <v>0</v>
      </c>
      <c r="Q1147" s="128">
        <f t="array" ref="Q1147">SUM(IF(($S1147&gt;=4)*($C1147='TaxCred&amp;Subs'!$D$123:$D$127)*($H1147='TaxCred&amp;Subs'!$C$123:$C$127)*($H1147&lt;='TaxCred&amp;Subs'!$C$129),'TaxCred&amp;Subs'!$E$123:$E$127,0))</f>
        <v>0</v>
      </c>
      <c r="R1147" s="174">
        <v>0</v>
      </c>
      <c r="S1147" s="126">
        <v>1</v>
      </c>
      <c r="T1147" s="126" t="s">
        <v>223</v>
      </c>
      <c r="U1147" s="158"/>
      <c r="V1147" s="153" t="str">
        <f t="array" ref="V1147">INDEX(xlRTCLNAME,MATCH(1,(xlRTCLENDU=1)*(xlRTCLEQCL=$D1147),0))</f>
        <v>WOOD_HT</v>
      </c>
      <c r="W1147" s="153" t="str">
        <f t="array" ref="W1147">INDEX(xlRTCLNAME,MATCH(1,(xlRTCLENDU=2)*(xlRTCLEQCL=$F1147),0))</f>
        <v>CENT_AIR</v>
      </c>
      <c r="X1147" s="153" t="str">
        <f t="array" ref="X1147">INDEX(xlRTTYNAME,MATCH(1,(xlRTTYENDU=1)*(xlRTTYEQCL=$D1147)*(xlRTEQTYPE=$E1147),0))</f>
        <v>WOOD_HT2</v>
      </c>
      <c r="Y1147" s="153" t="str">
        <f t="array" ref="Y1147">INDEX(xlRTTYNAME,MATCH(1,(xlRTTYENDU=2)*(xlRTTYEQCL=$F1147)*(xlRTEQTYPE=$G1147),0))</f>
        <v>CENT_AIR2</v>
      </c>
    </row>
    <row r="1148" spans="2:25" ht="14.25" customHeight="1" x14ac:dyDescent="0.2">
      <c r="B1148" s="126">
        <v>6</v>
      </c>
      <c r="C1148" s="126">
        <v>2</v>
      </c>
      <c r="D1148" s="126">
        <v>9</v>
      </c>
      <c r="E1148" s="126">
        <v>30</v>
      </c>
      <c r="F1148" s="126">
        <v>2</v>
      </c>
      <c r="G1148" s="126">
        <v>5</v>
      </c>
      <c r="H1148" s="126">
        <v>2016</v>
      </c>
      <c r="I1148" s="126">
        <v>2022</v>
      </c>
      <c r="J1148" s="127">
        <v>1.1200000000000001</v>
      </c>
      <c r="K1148" s="127">
        <v>1.0417000000000001</v>
      </c>
      <c r="L1148" s="127">
        <v>1.8438000000000001</v>
      </c>
      <c r="M1148" s="127">
        <v>1.2250000000000001</v>
      </c>
      <c r="N1148" s="127">
        <v>1.3656999999999999</v>
      </c>
      <c r="O1148" s="127">
        <v>1.0538000000000001</v>
      </c>
      <c r="P1148" s="126">
        <v>0</v>
      </c>
      <c r="Q1148" s="128">
        <f t="array" ref="Q1148">SUM(IF(($S1148&gt;=4)*($C1148='TaxCred&amp;Subs'!$D$123:$D$127)*($H1148='TaxCred&amp;Subs'!$C$123:$C$127)*($H1148&lt;='TaxCred&amp;Subs'!$C$129),'TaxCred&amp;Subs'!$E$123:$E$127,0))</f>
        <v>0</v>
      </c>
      <c r="R1148" s="174">
        <v>0</v>
      </c>
      <c r="S1148" s="126">
        <v>1</v>
      </c>
      <c r="T1148" s="126" t="s">
        <v>223</v>
      </c>
      <c r="U1148" s="158"/>
      <c r="V1148" s="153" t="str">
        <f t="array" ref="V1148">INDEX(xlRTCLNAME,MATCH(1,(xlRTCLENDU=1)*(xlRTCLEQCL=$D1148),0))</f>
        <v>WOOD_HT</v>
      </c>
      <c r="W1148" s="153" t="str">
        <f t="array" ref="W1148">INDEX(xlRTCLNAME,MATCH(1,(xlRTCLENDU=2)*(xlRTCLEQCL=$F1148),0))</f>
        <v>CENT_AIR</v>
      </c>
      <c r="X1148" s="153" t="str">
        <f t="array" ref="X1148">INDEX(xlRTTYNAME,MATCH(1,(xlRTTYENDU=1)*(xlRTTYEQCL=$D1148)*(xlRTEQTYPE=$E1148),0))</f>
        <v>WOOD_HT2</v>
      </c>
      <c r="Y1148" s="153" t="str">
        <f t="array" ref="Y1148">INDEX(xlRTTYNAME,MATCH(1,(xlRTTYENDU=2)*(xlRTTYEQCL=$F1148)*(xlRTEQTYPE=$G1148),0))</f>
        <v>CENT_AIR1</v>
      </c>
    </row>
    <row r="1149" spans="2:25" ht="14.25" customHeight="1" x14ac:dyDescent="0.2">
      <c r="B1149" s="126">
        <v>6</v>
      </c>
      <c r="C1149" s="126">
        <v>2</v>
      </c>
      <c r="D1149" s="126">
        <v>9</v>
      </c>
      <c r="E1149" s="126">
        <v>30</v>
      </c>
      <c r="F1149" s="126">
        <v>2</v>
      </c>
      <c r="G1149" s="126">
        <v>6</v>
      </c>
      <c r="H1149" s="126">
        <v>2023</v>
      </c>
      <c r="I1149" s="126">
        <v>2050</v>
      </c>
      <c r="J1149" s="127">
        <v>1.1200000000000001</v>
      </c>
      <c r="K1149" s="127">
        <v>1.0417000000000001</v>
      </c>
      <c r="L1149" s="127">
        <v>1.8438000000000001</v>
      </c>
      <c r="M1149" s="127">
        <v>1.2250000000000001</v>
      </c>
      <c r="N1149" s="127">
        <v>1.3656999999999999</v>
      </c>
      <c r="O1149" s="127">
        <v>1.0538000000000001</v>
      </c>
      <c r="P1149" s="126">
        <v>0</v>
      </c>
      <c r="Q1149" s="128">
        <f t="array" ref="Q1149">SUM(IF(($S1149&gt;=4)*($C1149='TaxCred&amp;Subs'!$D$123:$D$127)*($H1149='TaxCred&amp;Subs'!$C$123:$C$127)*($H1149&lt;='TaxCred&amp;Subs'!$C$129),'TaxCred&amp;Subs'!$E$123:$E$127,0))</f>
        <v>0</v>
      </c>
      <c r="R1149" s="174">
        <v>0</v>
      </c>
      <c r="S1149" s="126">
        <v>1</v>
      </c>
      <c r="T1149" s="126" t="s">
        <v>223</v>
      </c>
      <c r="U1149" s="158"/>
      <c r="V1149" s="153" t="str">
        <f t="array" ref="V1149">INDEX(xlRTCLNAME,MATCH(1,(xlRTCLENDU=1)*(xlRTCLEQCL=$D1149),0))</f>
        <v>WOOD_HT</v>
      </c>
      <c r="W1149" s="153" t="str">
        <f t="array" ref="W1149">INDEX(xlRTCLNAME,MATCH(1,(xlRTCLENDU=2)*(xlRTCLEQCL=$F1149),0))</f>
        <v>CENT_AIR</v>
      </c>
      <c r="X1149" s="153" t="str">
        <f t="array" ref="X1149">INDEX(xlRTTYNAME,MATCH(1,(xlRTTYENDU=1)*(xlRTTYEQCL=$D1149)*(xlRTEQTYPE=$E1149),0))</f>
        <v>WOOD_HT2</v>
      </c>
      <c r="Y1149" s="153" t="str">
        <f t="array" ref="Y1149">INDEX(xlRTTYNAME,MATCH(1,(xlRTTYENDU=2)*(xlRTTYEQCL=$F1149)*(xlRTEQTYPE=$G1149),0))</f>
        <v>CENT_AIR2</v>
      </c>
    </row>
    <row r="1150" spans="2:25" ht="14.25" customHeight="1" x14ac:dyDescent="0.2">
      <c r="B1150" s="126">
        <v>7</v>
      </c>
      <c r="C1150" s="126">
        <v>2</v>
      </c>
      <c r="D1150" s="126">
        <v>9</v>
      </c>
      <c r="E1150" s="126">
        <v>30</v>
      </c>
      <c r="F1150" s="126">
        <v>2</v>
      </c>
      <c r="G1150" s="126">
        <v>5</v>
      </c>
      <c r="H1150" s="126">
        <v>2016</v>
      </c>
      <c r="I1150" s="126">
        <v>2022</v>
      </c>
      <c r="J1150" s="127">
        <v>1.1200000000000001</v>
      </c>
      <c r="K1150" s="127">
        <v>1.0462</v>
      </c>
      <c r="L1150" s="127">
        <v>2</v>
      </c>
      <c r="M1150" s="127">
        <v>1.2121</v>
      </c>
      <c r="N1150" s="127">
        <v>1.4438</v>
      </c>
      <c r="O1150" s="127">
        <v>1.0538000000000001</v>
      </c>
      <c r="P1150" s="126">
        <v>0</v>
      </c>
      <c r="Q1150" s="128">
        <f t="array" ref="Q1150">SUM(IF(($S1150&gt;=4)*($C1150='TaxCred&amp;Subs'!$D$123:$D$127)*($H1150='TaxCred&amp;Subs'!$C$123:$C$127)*($H1150&lt;='TaxCred&amp;Subs'!$C$129),'TaxCred&amp;Subs'!$E$123:$E$127,0))</f>
        <v>0</v>
      </c>
      <c r="R1150" s="174">
        <v>0</v>
      </c>
      <c r="S1150" s="126">
        <v>1</v>
      </c>
      <c r="T1150" s="126" t="s">
        <v>223</v>
      </c>
      <c r="U1150" s="158"/>
      <c r="V1150" s="153" t="str">
        <f t="array" ref="V1150">INDEX(xlRTCLNAME,MATCH(1,(xlRTCLENDU=1)*(xlRTCLEQCL=$D1150),0))</f>
        <v>WOOD_HT</v>
      </c>
      <c r="W1150" s="153" t="str">
        <f t="array" ref="W1150">INDEX(xlRTCLNAME,MATCH(1,(xlRTCLENDU=2)*(xlRTCLEQCL=$F1150),0))</f>
        <v>CENT_AIR</v>
      </c>
      <c r="X1150" s="153" t="str">
        <f t="array" ref="X1150">INDEX(xlRTTYNAME,MATCH(1,(xlRTTYENDU=1)*(xlRTTYEQCL=$D1150)*(xlRTEQTYPE=$E1150),0))</f>
        <v>WOOD_HT2</v>
      </c>
      <c r="Y1150" s="153" t="str">
        <f t="array" ref="Y1150">INDEX(xlRTTYNAME,MATCH(1,(xlRTTYENDU=2)*(xlRTTYEQCL=$F1150)*(xlRTEQTYPE=$G1150),0))</f>
        <v>CENT_AIR1</v>
      </c>
    </row>
    <row r="1151" spans="2:25" ht="14.25" customHeight="1" x14ac:dyDescent="0.2">
      <c r="B1151" s="126">
        <v>7</v>
      </c>
      <c r="C1151" s="126">
        <v>2</v>
      </c>
      <c r="D1151" s="126">
        <v>9</v>
      </c>
      <c r="E1151" s="126">
        <v>30</v>
      </c>
      <c r="F1151" s="126">
        <v>2</v>
      </c>
      <c r="G1151" s="126">
        <v>6</v>
      </c>
      <c r="H1151" s="126">
        <v>2023</v>
      </c>
      <c r="I1151" s="126">
        <v>2050</v>
      </c>
      <c r="J1151" s="127">
        <v>1.1200000000000001</v>
      </c>
      <c r="K1151" s="127">
        <v>1.0462</v>
      </c>
      <c r="L1151" s="127">
        <v>2</v>
      </c>
      <c r="M1151" s="127">
        <v>1.2121</v>
      </c>
      <c r="N1151" s="127">
        <v>1.4438</v>
      </c>
      <c r="O1151" s="127">
        <v>1.0538000000000001</v>
      </c>
      <c r="P1151" s="126">
        <v>0</v>
      </c>
      <c r="Q1151" s="128">
        <f t="array" ref="Q1151">SUM(IF(($S1151&gt;=4)*($C1151='TaxCred&amp;Subs'!$D$123:$D$127)*($H1151='TaxCred&amp;Subs'!$C$123:$C$127)*($H1151&lt;='TaxCred&amp;Subs'!$C$129),'TaxCred&amp;Subs'!$E$123:$E$127,0))</f>
        <v>0</v>
      </c>
      <c r="R1151" s="174">
        <v>0</v>
      </c>
      <c r="S1151" s="126">
        <v>1</v>
      </c>
      <c r="T1151" s="126" t="s">
        <v>223</v>
      </c>
      <c r="U1151" s="158"/>
      <c r="V1151" s="153" t="str">
        <f t="array" ref="V1151">INDEX(xlRTCLNAME,MATCH(1,(xlRTCLENDU=1)*(xlRTCLEQCL=$D1151),0))</f>
        <v>WOOD_HT</v>
      </c>
      <c r="W1151" s="153" t="str">
        <f t="array" ref="W1151">INDEX(xlRTCLNAME,MATCH(1,(xlRTCLENDU=2)*(xlRTCLEQCL=$F1151),0))</f>
        <v>CENT_AIR</v>
      </c>
      <c r="X1151" s="153" t="str">
        <f t="array" ref="X1151">INDEX(xlRTTYNAME,MATCH(1,(xlRTTYENDU=1)*(xlRTTYEQCL=$D1151)*(xlRTEQTYPE=$E1151),0))</f>
        <v>WOOD_HT2</v>
      </c>
      <c r="Y1151" s="153" t="str">
        <f t="array" ref="Y1151">INDEX(xlRTTYNAME,MATCH(1,(xlRTTYENDU=2)*(xlRTTYEQCL=$F1151)*(xlRTEQTYPE=$G1151),0))</f>
        <v>CENT_AIR2</v>
      </c>
    </row>
    <row r="1152" spans="2:25" ht="14.25" customHeight="1" x14ac:dyDescent="0.2">
      <c r="B1152" s="126">
        <v>8</v>
      </c>
      <c r="C1152" s="126">
        <v>2</v>
      </c>
      <c r="D1152" s="126">
        <v>9</v>
      </c>
      <c r="E1152" s="126">
        <v>30</v>
      </c>
      <c r="F1152" s="126">
        <v>2</v>
      </c>
      <c r="G1152" s="126">
        <v>5</v>
      </c>
      <c r="H1152" s="126">
        <v>2016</v>
      </c>
      <c r="I1152" s="126">
        <v>2022</v>
      </c>
      <c r="J1152" s="127">
        <v>1.1045</v>
      </c>
      <c r="K1152" s="127">
        <v>1.0323</v>
      </c>
      <c r="L1152" s="127">
        <v>1.6819</v>
      </c>
      <c r="M1152" s="127">
        <v>1.3391999999999999</v>
      </c>
      <c r="N1152" s="127">
        <v>1.2847999999999999</v>
      </c>
      <c r="O1152" s="127">
        <v>1.0538000000000001</v>
      </c>
      <c r="P1152" s="126">
        <v>0</v>
      </c>
      <c r="Q1152" s="128">
        <f t="array" ref="Q1152">SUM(IF(($S1152&gt;=4)*($C1152='TaxCred&amp;Subs'!$D$123:$D$127)*($H1152='TaxCred&amp;Subs'!$C$123:$C$127)*($H1152&lt;='TaxCred&amp;Subs'!$C$129),'TaxCred&amp;Subs'!$E$123:$E$127,0))</f>
        <v>0</v>
      </c>
      <c r="R1152" s="174">
        <v>0</v>
      </c>
      <c r="S1152" s="126">
        <v>1</v>
      </c>
      <c r="T1152" s="126" t="s">
        <v>223</v>
      </c>
      <c r="U1152" s="158"/>
      <c r="V1152" s="153" t="str">
        <f t="array" ref="V1152">INDEX(xlRTCLNAME,MATCH(1,(xlRTCLENDU=1)*(xlRTCLEQCL=$D1152),0))</f>
        <v>WOOD_HT</v>
      </c>
      <c r="W1152" s="153" t="str">
        <f t="array" ref="W1152">INDEX(xlRTCLNAME,MATCH(1,(xlRTCLENDU=2)*(xlRTCLEQCL=$F1152),0))</f>
        <v>CENT_AIR</v>
      </c>
      <c r="X1152" s="153" t="str">
        <f t="array" ref="X1152">INDEX(xlRTTYNAME,MATCH(1,(xlRTTYENDU=1)*(xlRTTYEQCL=$D1152)*(xlRTEQTYPE=$E1152),0))</f>
        <v>WOOD_HT2</v>
      </c>
      <c r="Y1152" s="153" t="str">
        <f t="array" ref="Y1152">INDEX(xlRTTYNAME,MATCH(1,(xlRTTYENDU=2)*(xlRTTYEQCL=$F1152)*(xlRTEQTYPE=$G1152),0))</f>
        <v>CENT_AIR1</v>
      </c>
    </row>
    <row r="1153" spans="2:25" ht="14.25" customHeight="1" x14ac:dyDescent="0.2">
      <c r="B1153" s="126">
        <v>8</v>
      </c>
      <c r="C1153" s="126">
        <v>2</v>
      </c>
      <c r="D1153" s="126">
        <v>9</v>
      </c>
      <c r="E1153" s="126">
        <v>30</v>
      </c>
      <c r="F1153" s="126">
        <v>2</v>
      </c>
      <c r="G1153" s="126">
        <v>6</v>
      </c>
      <c r="H1153" s="126">
        <v>2023</v>
      </c>
      <c r="I1153" s="126">
        <v>2050</v>
      </c>
      <c r="J1153" s="127">
        <v>1.1045</v>
      </c>
      <c r="K1153" s="127">
        <v>1.0323</v>
      </c>
      <c r="L1153" s="127">
        <v>1.6819</v>
      </c>
      <c r="M1153" s="127">
        <v>1.3391999999999999</v>
      </c>
      <c r="N1153" s="127">
        <v>1.2847999999999999</v>
      </c>
      <c r="O1153" s="127">
        <v>1.0538000000000001</v>
      </c>
      <c r="P1153" s="126">
        <v>0</v>
      </c>
      <c r="Q1153" s="128">
        <f t="array" ref="Q1153">SUM(IF(($S1153&gt;=4)*($C1153='TaxCred&amp;Subs'!$D$123:$D$127)*($H1153='TaxCred&amp;Subs'!$C$123:$C$127)*($H1153&lt;='TaxCred&amp;Subs'!$C$129),'TaxCred&amp;Subs'!$E$123:$E$127,0))</f>
        <v>0</v>
      </c>
      <c r="R1153" s="174">
        <v>0</v>
      </c>
      <c r="S1153" s="126">
        <v>1</v>
      </c>
      <c r="T1153" s="126" t="s">
        <v>223</v>
      </c>
      <c r="U1153" s="158"/>
      <c r="V1153" s="153" t="str">
        <f t="array" ref="V1153">INDEX(xlRTCLNAME,MATCH(1,(xlRTCLENDU=1)*(xlRTCLEQCL=$D1153),0))</f>
        <v>WOOD_HT</v>
      </c>
      <c r="W1153" s="153" t="str">
        <f t="array" ref="W1153">INDEX(xlRTCLNAME,MATCH(1,(xlRTCLENDU=2)*(xlRTCLEQCL=$F1153),0))</f>
        <v>CENT_AIR</v>
      </c>
      <c r="X1153" s="153" t="str">
        <f t="array" ref="X1153">INDEX(xlRTTYNAME,MATCH(1,(xlRTTYENDU=1)*(xlRTTYEQCL=$D1153)*(xlRTEQTYPE=$E1153),0))</f>
        <v>WOOD_HT2</v>
      </c>
      <c r="Y1153" s="153" t="str">
        <f t="array" ref="Y1153">INDEX(xlRTTYNAME,MATCH(1,(xlRTTYENDU=2)*(xlRTTYEQCL=$F1153)*(xlRTEQTYPE=$G1153),0))</f>
        <v>CENT_AIR2</v>
      </c>
    </row>
    <row r="1154" spans="2:25" ht="14.25" customHeight="1" x14ac:dyDescent="0.2">
      <c r="B1154" s="126">
        <v>9</v>
      </c>
      <c r="C1154" s="126">
        <v>2</v>
      </c>
      <c r="D1154" s="126">
        <v>9</v>
      </c>
      <c r="E1154" s="126">
        <v>30</v>
      </c>
      <c r="F1154" s="126">
        <v>2</v>
      </c>
      <c r="G1154" s="126">
        <v>5</v>
      </c>
      <c r="H1154" s="126">
        <v>2016</v>
      </c>
      <c r="I1154" s="126">
        <v>2022</v>
      </c>
      <c r="J1154" s="127">
        <v>1.1200000000000001</v>
      </c>
      <c r="K1154" s="127">
        <v>1.0541</v>
      </c>
      <c r="L1154" s="127">
        <v>2</v>
      </c>
      <c r="M1154" s="127">
        <v>1.2834000000000001</v>
      </c>
      <c r="N1154" s="127">
        <v>1.4438</v>
      </c>
      <c r="O1154" s="127">
        <v>1.0538000000000001</v>
      </c>
      <c r="P1154" s="126">
        <v>0</v>
      </c>
      <c r="Q1154" s="128">
        <f t="array" ref="Q1154">SUM(IF(($S1154&gt;=4)*($C1154='TaxCred&amp;Subs'!$D$123:$D$127)*($H1154='TaxCred&amp;Subs'!$C$123:$C$127)*($H1154&lt;='TaxCred&amp;Subs'!$C$129),'TaxCred&amp;Subs'!$E$123:$E$127,0))</f>
        <v>0</v>
      </c>
      <c r="R1154" s="174">
        <v>0</v>
      </c>
      <c r="S1154" s="126">
        <v>1</v>
      </c>
      <c r="T1154" s="126" t="s">
        <v>223</v>
      </c>
      <c r="U1154" s="158"/>
      <c r="V1154" s="153" t="str">
        <f t="array" ref="V1154">INDEX(xlRTCLNAME,MATCH(1,(xlRTCLENDU=1)*(xlRTCLEQCL=$D1154),0))</f>
        <v>WOOD_HT</v>
      </c>
      <c r="W1154" s="153" t="str">
        <f t="array" ref="W1154">INDEX(xlRTCLNAME,MATCH(1,(xlRTCLENDU=2)*(xlRTCLEQCL=$F1154),0))</f>
        <v>CENT_AIR</v>
      </c>
      <c r="X1154" s="153" t="str">
        <f t="array" ref="X1154">INDEX(xlRTTYNAME,MATCH(1,(xlRTTYENDU=1)*(xlRTTYEQCL=$D1154)*(xlRTEQTYPE=$E1154),0))</f>
        <v>WOOD_HT2</v>
      </c>
      <c r="Y1154" s="153" t="str">
        <f t="array" ref="Y1154">INDEX(xlRTTYNAME,MATCH(1,(xlRTTYENDU=2)*(xlRTTYEQCL=$F1154)*(xlRTEQTYPE=$G1154),0))</f>
        <v>CENT_AIR1</v>
      </c>
    </row>
    <row r="1155" spans="2:25" ht="14.25" customHeight="1" x14ac:dyDescent="0.2">
      <c r="B1155" s="126">
        <v>9</v>
      </c>
      <c r="C1155" s="126">
        <v>2</v>
      </c>
      <c r="D1155" s="126">
        <v>9</v>
      </c>
      <c r="E1155" s="126">
        <v>30</v>
      </c>
      <c r="F1155" s="126">
        <v>2</v>
      </c>
      <c r="G1155" s="126">
        <v>6</v>
      </c>
      <c r="H1155" s="126">
        <v>2023</v>
      </c>
      <c r="I1155" s="126">
        <v>2050</v>
      </c>
      <c r="J1155" s="127">
        <v>1.1200000000000001</v>
      </c>
      <c r="K1155" s="127">
        <v>1.0541</v>
      </c>
      <c r="L1155" s="127">
        <v>2</v>
      </c>
      <c r="M1155" s="127">
        <v>1.2834000000000001</v>
      </c>
      <c r="N1155" s="127">
        <v>1.4438</v>
      </c>
      <c r="O1155" s="127">
        <v>1.0538000000000001</v>
      </c>
      <c r="P1155" s="126">
        <v>0</v>
      </c>
      <c r="Q1155" s="128">
        <f t="array" ref="Q1155">SUM(IF(($S1155&gt;=4)*($C1155='TaxCred&amp;Subs'!$D$123:$D$127)*($H1155='TaxCred&amp;Subs'!$C$123:$C$127)*($H1155&lt;='TaxCred&amp;Subs'!$C$129),'TaxCred&amp;Subs'!$E$123:$E$127,0))</f>
        <v>0</v>
      </c>
      <c r="R1155" s="174">
        <v>0</v>
      </c>
      <c r="S1155" s="126">
        <v>1</v>
      </c>
      <c r="T1155" s="126" t="s">
        <v>223</v>
      </c>
      <c r="U1155" s="158"/>
      <c r="V1155" s="153" t="str">
        <f t="array" ref="V1155">INDEX(xlRTCLNAME,MATCH(1,(xlRTCLENDU=1)*(xlRTCLEQCL=$D1155),0))</f>
        <v>WOOD_HT</v>
      </c>
      <c r="W1155" s="153" t="str">
        <f t="array" ref="W1155">INDEX(xlRTCLNAME,MATCH(1,(xlRTCLENDU=2)*(xlRTCLEQCL=$F1155),0))</f>
        <v>CENT_AIR</v>
      </c>
      <c r="X1155" s="153" t="str">
        <f t="array" ref="X1155">INDEX(xlRTTYNAME,MATCH(1,(xlRTTYENDU=1)*(xlRTTYEQCL=$D1155)*(xlRTEQTYPE=$E1155),0))</f>
        <v>WOOD_HT2</v>
      </c>
      <c r="Y1155" s="153" t="str">
        <f t="array" ref="Y1155">INDEX(xlRTTYNAME,MATCH(1,(xlRTTYENDU=2)*(xlRTTYEQCL=$F1155)*(xlRTEQTYPE=$G1155),0))</f>
        <v>CENT_AIR2</v>
      </c>
    </row>
    <row r="1156" spans="2:25" ht="14.25" customHeight="1" x14ac:dyDescent="0.2">
      <c r="B1156" s="126">
        <v>1</v>
      </c>
      <c r="C1156" s="126">
        <v>2</v>
      </c>
      <c r="D1156" s="126">
        <v>10</v>
      </c>
      <c r="E1156" s="126">
        <v>32</v>
      </c>
      <c r="F1156" s="126">
        <v>4</v>
      </c>
      <c r="G1156" s="126">
        <v>13</v>
      </c>
      <c r="H1156" s="126">
        <v>2016</v>
      </c>
      <c r="I1156" s="126">
        <v>2050</v>
      </c>
      <c r="J1156" s="127">
        <v>1.1111</v>
      </c>
      <c r="K1156" s="127">
        <v>1.0526</v>
      </c>
      <c r="L1156" s="127">
        <v>1.3837999999999999</v>
      </c>
      <c r="M1156" s="127">
        <v>1.2177</v>
      </c>
      <c r="N1156" s="127">
        <v>1.1356999999999999</v>
      </c>
      <c r="O1156" s="127">
        <v>1.0538000000000001</v>
      </c>
      <c r="P1156" s="126">
        <v>0</v>
      </c>
      <c r="Q1156" s="128">
        <f t="array" ref="Q1156">SUM(IF(($S1156&gt;=4)*($C1156='TaxCred&amp;Subs'!$D$123:$D$127)*($H1156='TaxCred&amp;Subs'!$C$123:$C$127)*($H1156&lt;='TaxCred&amp;Subs'!$C$129),'TaxCred&amp;Subs'!$E$123:$E$127,0))</f>
        <v>0</v>
      </c>
      <c r="R1156" s="174">
        <v>0</v>
      </c>
      <c r="S1156" s="126">
        <v>1</v>
      </c>
      <c r="T1156" s="126" t="s">
        <v>223</v>
      </c>
      <c r="U1156" s="158"/>
      <c r="V1156" s="153" t="str">
        <f t="array" ref="V1156">INDEX(xlRTCLNAME,MATCH(1,(xlRTCLENDU=1)*(xlRTCLEQCL=$D1156),0))</f>
        <v>GEO_HP</v>
      </c>
      <c r="W1156" s="153" t="str">
        <f t="array" ref="W1156">INDEX(xlRTCLNAME,MATCH(1,(xlRTCLENDU=2)*(xlRTCLEQCL=$F1156),0))</f>
        <v>GEO_HP</v>
      </c>
      <c r="X1156" s="153" t="str">
        <f t="array" ref="X1156">INDEX(xlRTTYNAME,MATCH(1,(xlRTTYENDU=1)*(xlRTTYEQCL=$D1156)*(xlRTEQTYPE=$E1156),0))</f>
        <v>GEO_HP1</v>
      </c>
      <c r="Y1156" s="153" t="str">
        <f t="array" ref="Y1156">INDEX(xlRTTYNAME,MATCH(1,(xlRTTYENDU=2)*(xlRTTYEQCL=$F1156)*(xlRTEQTYPE=$G1156),0))</f>
        <v>GEO_HP1</v>
      </c>
    </row>
    <row r="1157" spans="2:25" ht="14.25" customHeight="1" x14ac:dyDescent="0.2">
      <c r="B1157" s="126">
        <v>2</v>
      </c>
      <c r="C1157" s="126">
        <v>2</v>
      </c>
      <c r="D1157" s="126">
        <v>10</v>
      </c>
      <c r="E1157" s="126">
        <v>32</v>
      </c>
      <c r="F1157" s="126">
        <v>4</v>
      </c>
      <c r="G1157" s="126">
        <v>13</v>
      </c>
      <c r="H1157" s="126">
        <v>2016</v>
      </c>
      <c r="I1157" s="126">
        <v>2050</v>
      </c>
      <c r="J1157" s="127">
        <v>1.0588</v>
      </c>
      <c r="K1157" s="127">
        <v>1.0455000000000001</v>
      </c>
      <c r="L1157" s="127">
        <v>1.3912</v>
      </c>
      <c r="M1157" s="127">
        <v>1.2316</v>
      </c>
      <c r="N1157" s="127">
        <v>1.1394</v>
      </c>
      <c r="O1157" s="127">
        <v>1.0538000000000001</v>
      </c>
      <c r="P1157" s="126">
        <v>0</v>
      </c>
      <c r="Q1157" s="128">
        <f t="array" ref="Q1157">SUM(IF(($S1157&gt;=4)*($C1157='TaxCred&amp;Subs'!$D$123:$D$127)*($H1157='TaxCred&amp;Subs'!$C$123:$C$127)*($H1157&lt;='TaxCred&amp;Subs'!$C$129),'TaxCred&amp;Subs'!$E$123:$E$127,0))</f>
        <v>0</v>
      </c>
      <c r="R1157" s="174">
        <v>0</v>
      </c>
      <c r="S1157" s="126">
        <v>1</v>
      </c>
      <c r="T1157" s="126" t="s">
        <v>223</v>
      </c>
      <c r="U1157" s="158"/>
      <c r="V1157" s="153" t="str">
        <f t="array" ref="V1157">INDEX(xlRTCLNAME,MATCH(1,(xlRTCLENDU=1)*(xlRTCLEQCL=$D1157),0))</f>
        <v>GEO_HP</v>
      </c>
      <c r="W1157" s="153" t="str">
        <f t="array" ref="W1157">INDEX(xlRTCLNAME,MATCH(1,(xlRTCLENDU=2)*(xlRTCLEQCL=$F1157),0))</f>
        <v>GEO_HP</v>
      </c>
      <c r="X1157" s="153" t="str">
        <f t="array" ref="X1157">INDEX(xlRTTYNAME,MATCH(1,(xlRTTYENDU=1)*(xlRTTYEQCL=$D1157)*(xlRTEQTYPE=$E1157),0))</f>
        <v>GEO_HP1</v>
      </c>
      <c r="Y1157" s="153" t="str">
        <f t="array" ref="Y1157">INDEX(xlRTTYNAME,MATCH(1,(xlRTTYENDU=2)*(xlRTTYEQCL=$F1157)*(xlRTEQTYPE=$G1157),0))</f>
        <v>GEO_HP1</v>
      </c>
    </row>
    <row r="1158" spans="2:25" ht="14.25" customHeight="1" x14ac:dyDescent="0.2">
      <c r="B1158" s="126">
        <v>3</v>
      </c>
      <c r="C1158" s="126">
        <v>2</v>
      </c>
      <c r="D1158" s="126">
        <v>10</v>
      </c>
      <c r="E1158" s="126">
        <v>32</v>
      </c>
      <c r="F1158" s="126">
        <v>4</v>
      </c>
      <c r="G1158" s="126">
        <v>13</v>
      </c>
      <c r="H1158" s="126">
        <v>2016</v>
      </c>
      <c r="I1158" s="126">
        <v>2050</v>
      </c>
      <c r="J1158" s="127">
        <v>1.1000000000000001</v>
      </c>
      <c r="K1158" s="127">
        <v>1.03</v>
      </c>
      <c r="L1158" s="127">
        <v>1.2023999999999999</v>
      </c>
      <c r="M1158" s="127">
        <v>1.1455</v>
      </c>
      <c r="N1158" s="127">
        <v>1.0449999999999999</v>
      </c>
      <c r="O1158" s="127">
        <v>1.0538000000000001</v>
      </c>
      <c r="P1158" s="126">
        <v>0</v>
      </c>
      <c r="Q1158" s="128">
        <f t="array" ref="Q1158">SUM(IF(($S1158&gt;=4)*($C1158='TaxCred&amp;Subs'!$D$123:$D$127)*($H1158='TaxCred&amp;Subs'!$C$123:$C$127)*($H1158&lt;='TaxCred&amp;Subs'!$C$129),'TaxCred&amp;Subs'!$E$123:$E$127,0))</f>
        <v>0</v>
      </c>
      <c r="R1158" s="174">
        <v>0</v>
      </c>
      <c r="S1158" s="126">
        <v>1</v>
      </c>
      <c r="T1158" s="126" t="s">
        <v>223</v>
      </c>
      <c r="U1158" s="158"/>
      <c r="V1158" s="153" t="str">
        <f t="array" ref="V1158">INDEX(xlRTCLNAME,MATCH(1,(xlRTCLENDU=1)*(xlRTCLEQCL=$D1158),0))</f>
        <v>GEO_HP</v>
      </c>
      <c r="W1158" s="153" t="str">
        <f t="array" ref="W1158">INDEX(xlRTCLNAME,MATCH(1,(xlRTCLENDU=2)*(xlRTCLEQCL=$F1158),0))</f>
        <v>GEO_HP</v>
      </c>
      <c r="X1158" s="153" t="str">
        <f t="array" ref="X1158">INDEX(xlRTTYNAME,MATCH(1,(xlRTTYENDU=1)*(xlRTTYEQCL=$D1158)*(xlRTEQTYPE=$E1158),0))</f>
        <v>GEO_HP1</v>
      </c>
      <c r="Y1158" s="153" t="str">
        <f t="array" ref="Y1158">INDEX(xlRTTYNAME,MATCH(1,(xlRTTYENDU=2)*(xlRTTYEQCL=$F1158)*(xlRTEQTYPE=$G1158),0))</f>
        <v>GEO_HP1</v>
      </c>
    </row>
    <row r="1159" spans="2:25" ht="14.25" customHeight="1" x14ac:dyDescent="0.2">
      <c r="B1159" s="126">
        <v>4</v>
      </c>
      <c r="C1159" s="126">
        <v>2</v>
      </c>
      <c r="D1159" s="126">
        <v>10</v>
      </c>
      <c r="E1159" s="126">
        <v>32</v>
      </c>
      <c r="F1159" s="126">
        <v>4</v>
      </c>
      <c r="G1159" s="126">
        <v>13</v>
      </c>
      <c r="H1159" s="126">
        <v>2016</v>
      </c>
      <c r="I1159" s="126">
        <v>2050</v>
      </c>
      <c r="J1159" s="127">
        <v>1.1033999999999999</v>
      </c>
      <c r="K1159" s="127">
        <v>1.0556000000000001</v>
      </c>
      <c r="L1159" s="127">
        <v>1.4631000000000001</v>
      </c>
      <c r="M1159" s="127">
        <v>1.1938</v>
      </c>
      <c r="N1159" s="127">
        <v>1.1753</v>
      </c>
      <c r="O1159" s="127">
        <v>1.0538000000000001</v>
      </c>
      <c r="P1159" s="126">
        <v>0</v>
      </c>
      <c r="Q1159" s="128">
        <f t="array" ref="Q1159">SUM(IF(($S1159&gt;=4)*($C1159='TaxCred&amp;Subs'!$D$123:$D$127)*($H1159='TaxCred&amp;Subs'!$C$123:$C$127)*($H1159&lt;='TaxCred&amp;Subs'!$C$129),'TaxCred&amp;Subs'!$E$123:$E$127,0))</f>
        <v>0</v>
      </c>
      <c r="R1159" s="174">
        <v>0</v>
      </c>
      <c r="S1159" s="126">
        <v>1</v>
      </c>
      <c r="T1159" s="126" t="s">
        <v>223</v>
      </c>
      <c r="U1159" s="158"/>
      <c r="V1159" s="153" t="str">
        <f t="array" ref="V1159">INDEX(xlRTCLNAME,MATCH(1,(xlRTCLENDU=1)*(xlRTCLEQCL=$D1159),0))</f>
        <v>GEO_HP</v>
      </c>
      <c r="W1159" s="153" t="str">
        <f t="array" ref="W1159">INDEX(xlRTCLNAME,MATCH(1,(xlRTCLENDU=2)*(xlRTCLEQCL=$F1159),0))</f>
        <v>GEO_HP</v>
      </c>
      <c r="X1159" s="153" t="str">
        <f t="array" ref="X1159">INDEX(xlRTTYNAME,MATCH(1,(xlRTTYENDU=1)*(xlRTTYEQCL=$D1159)*(xlRTEQTYPE=$E1159),0))</f>
        <v>GEO_HP1</v>
      </c>
      <c r="Y1159" s="153" t="str">
        <f t="array" ref="Y1159">INDEX(xlRTTYNAME,MATCH(1,(xlRTTYENDU=2)*(xlRTTYEQCL=$F1159)*(xlRTEQTYPE=$G1159),0))</f>
        <v>GEO_HP1</v>
      </c>
    </row>
    <row r="1160" spans="2:25" ht="14.25" customHeight="1" x14ac:dyDescent="0.2">
      <c r="B1160" s="126">
        <v>5</v>
      </c>
      <c r="C1160" s="126">
        <v>2</v>
      </c>
      <c r="D1160" s="126">
        <v>10</v>
      </c>
      <c r="E1160" s="126">
        <v>32</v>
      </c>
      <c r="F1160" s="126">
        <v>4</v>
      </c>
      <c r="G1160" s="126">
        <v>13</v>
      </c>
      <c r="H1160" s="126">
        <v>2016</v>
      </c>
      <c r="I1160" s="126">
        <v>2050</v>
      </c>
      <c r="J1160" s="127">
        <v>1.03</v>
      </c>
      <c r="K1160" s="127">
        <v>1.0512999999999999</v>
      </c>
      <c r="L1160" s="127">
        <v>1.6105</v>
      </c>
      <c r="M1160" s="127">
        <v>1.1769000000000001</v>
      </c>
      <c r="N1160" s="127">
        <v>1.2490000000000001</v>
      </c>
      <c r="O1160" s="127">
        <v>1.0538000000000001</v>
      </c>
      <c r="P1160" s="126">
        <v>0</v>
      </c>
      <c r="Q1160" s="128">
        <f t="array" ref="Q1160">SUM(IF(($S1160&gt;=4)*($C1160='TaxCred&amp;Subs'!$D$123:$D$127)*($H1160='TaxCred&amp;Subs'!$C$123:$C$127)*($H1160&lt;='TaxCred&amp;Subs'!$C$129),'TaxCred&amp;Subs'!$E$123:$E$127,0))</f>
        <v>0</v>
      </c>
      <c r="R1160" s="174">
        <v>0</v>
      </c>
      <c r="S1160" s="126">
        <v>1</v>
      </c>
      <c r="T1160" s="126" t="s">
        <v>223</v>
      </c>
      <c r="U1160" s="158"/>
      <c r="V1160" s="153" t="str">
        <f t="array" ref="V1160">INDEX(xlRTCLNAME,MATCH(1,(xlRTCLENDU=1)*(xlRTCLEQCL=$D1160),0))</f>
        <v>GEO_HP</v>
      </c>
      <c r="W1160" s="153" t="str">
        <f t="array" ref="W1160">INDEX(xlRTCLNAME,MATCH(1,(xlRTCLENDU=2)*(xlRTCLEQCL=$F1160),0))</f>
        <v>GEO_HP</v>
      </c>
      <c r="X1160" s="153" t="str">
        <f t="array" ref="X1160">INDEX(xlRTTYNAME,MATCH(1,(xlRTTYENDU=1)*(xlRTTYEQCL=$D1160)*(xlRTEQTYPE=$E1160),0))</f>
        <v>GEO_HP1</v>
      </c>
      <c r="Y1160" s="153" t="str">
        <f t="array" ref="Y1160">INDEX(xlRTTYNAME,MATCH(1,(xlRTTYENDU=2)*(xlRTTYEQCL=$F1160)*(xlRTEQTYPE=$G1160),0))</f>
        <v>GEO_HP1</v>
      </c>
    </row>
    <row r="1161" spans="2:25" ht="14.25" customHeight="1" x14ac:dyDescent="0.2">
      <c r="B1161" s="126">
        <v>6</v>
      </c>
      <c r="C1161" s="126">
        <v>2</v>
      </c>
      <c r="D1161" s="126">
        <v>10</v>
      </c>
      <c r="E1161" s="126">
        <v>32</v>
      </c>
      <c r="F1161" s="126">
        <v>4</v>
      </c>
      <c r="G1161" s="126">
        <v>13</v>
      </c>
      <c r="H1161" s="126">
        <v>2016</v>
      </c>
      <c r="I1161" s="126">
        <v>2050</v>
      </c>
      <c r="J1161" s="127">
        <v>1.1200000000000001</v>
      </c>
      <c r="K1161" s="127">
        <v>1.03</v>
      </c>
      <c r="L1161" s="127">
        <v>1.8438000000000001</v>
      </c>
      <c r="M1161" s="127">
        <v>1.2177</v>
      </c>
      <c r="N1161" s="127">
        <v>1.3656999999999999</v>
      </c>
      <c r="O1161" s="127">
        <v>1.0538000000000001</v>
      </c>
      <c r="P1161" s="126">
        <v>0</v>
      </c>
      <c r="Q1161" s="128">
        <f t="array" ref="Q1161">SUM(IF(($S1161&gt;=4)*($C1161='TaxCred&amp;Subs'!$D$123:$D$127)*($H1161='TaxCred&amp;Subs'!$C$123:$C$127)*($H1161&lt;='TaxCred&amp;Subs'!$C$129),'TaxCred&amp;Subs'!$E$123:$E$127,0))</f>
        <v>0</v>
      </c>
      <c r="R1161" s="174">
        <v>0</v>
      </c>
      <c r="S1161" s="126">
        <v>1</v>
      </c>
      <c r="T1161" s="126" t="s">
        <v>223</v>
      </c>
      <c r="U1161" s="158"/>
      <c r="V1161" s="153" t="str">
        <f t="array" ref="V1161">INDEX(xlRTCLNAME,MATCH(1,(xlRTCLENDU=1)*(xlRTCLEQCL=$D1161),0))</f>
        <v>GEO_HP</v>
      </c>
      <c r="W1161" s="153" t="str">
        <f t="array" ref="W1161">INDEX(xlRTCLNAME,MATCH(1,(xlRTCLENDU=2)*(xlRTCLEQCL=$F1161),0))</f>
        <v>GEO_HP</v>
      </c>
      <c r="X1161" s="153" t="str">
        <f t="array" ref="X1161">INDEX(xlRTTYNAME,MATCH(1,(xlRTTYENDU=1)*(xlRTTYEQCL=$D1161)*(xlRTEQTYPE=$E1161),0))</f>
        <v>GEO_HP1</v>
      </c>
      <c r="Y1161" s="153" t="str">
        <f t="array" ref="Y1161">INDEX(xlRTTYNAME,MATCH(1,(xlRTTYENDU=2)*(xlRTTYEQCL=$F1161)*(xlRTEQTYPE=$G1161),0))</f>
        <v>GEO_HP1</v>
      </c>
    </row>
    <row r="1162" spans="2:25" ht="14.25" customHeight="1" x14ac:dyDescent="0.2">
      <c r="B1162" s="126">
        <v>7</v>
      </c>
      <c r="C1162" s="126">
        <v>2</v>
      </c>
      <c r="D1162" s="126">
        <v>10</v>
      </c>
      <c r="E1162" s="126">
        <v>32</v>
      </c>
      <c r="F1162" s="126">
        <v>4</v>
      </c>
      <c r="G1162" s="126">
        <v>13</v>
      </c>
      <c r="H1162" s="126">
        <v>2016</v>
      </c>
      <c r="I1162" s="126">
        <v>2050</v>
      </c>
      <c r="J1162" s="127">
        <v>1.03</v>
      </c>
      <c r="K1162" s="127">
        <v>1.0611999999999999</v>
      </c>
      <c r="L1162" s="127">
        <v>2</v>
      </c>
      <c r="M1162" s="127">
        <v>1.2250000000000001</v>
      </c>
      <c r="N1162" s="127">
        <v>1.4438</v>
      </c>
      <c r="O1162" s="127">
        <v>1.0538000000000001</v>
      </c>
      <c r="P1162" s="126">
        <v>0</v>
      </c>
      <c r="Q1162" s="128">
        <f t="array" ref="Q1162">SUM(IF(($S1162&gt;=4)*($C1162='TaxCred&amp;Subs'!$D$123:$D$127)*($H1162='TaxCred&amp;Subs'!$C$123:$C$127)*($H1162&lt;='TaxCred&amp;Subs'!$C$129),'TaxCred&amp;Subs'!$E$123:$E$127,0))</f>
        <v>0</v>
      </c>
      <c r="R1162" s="174">
        <v>0</v>
      </c>
      <c r="S1162" s="126">
        <v>1</v>
      </c>
      <c r="T1162" s="126" t="s">
        <v>223</v>
      </c>
      <c r="U1162" s="158"/>
      <c r="V1162" s="153" t="str">
        <f t="array" ref="V1162">INDEX(xlRTCLNAME,MATCH(1,(xlRTCLENDU=1)*(xlRTCLEQCL=$D1162),0))</f>
        <v>GEO_HP</v>
      </c>
      <c r="W1162" s="153" t="str">
        <f t="array" ref="W1162">INDEX(xlRTCLNAME,MATCH(1,(xlRTCLENDU=2)*(xlRTCLEQCL=$F1162),0))</f>
        <v>GEO_HP</v>
      </c>
      <c r="X1162" s="153" t="str">
        <f t="array" ref="X1162">INDEX(xlRTTYNAME,MATCH(1,(xlRTTYENDU=1)*(xlRTTYEQCL=$D1162)*(xlRTEQTYPE=$E1162),0))</f>
        <v>GEO_HP1</v>
      </c>
      <c r="Y1162" s="153" t="str">
        <f t="array" ref="Y1162">INDEX(xlRTTYNAME,MATCH(1,(xlRTTYENDU=2)*(xlRTTYEQCL=$F1162)*(xlRTEQTYPE=$G1162),0))</f>
        <v>GEO_HP1</v>
      </c>
    </row>
    <row r="1163" spans="2:25" ht="14.25" customHeight="1" x14ac:dyDescent="0.2">
      <c r="B1163" s="126">
        <v>8</v>
      </c>
      <c r="C1163" s="126">
        <v>2</v>
      </c>
      <c r="D1163" s="126">
        <v>10</v>
      </c>
      <c r="E1163" s="126">
        <v>32</v>
      </c>
      <c r="F1163" s="126">
        <v>4</v>
      </c>
      <c r="G1163" s="126">
        <v>13</v>
      </c>
      <c r="H1163" s="126">
        <v>2016</v>
      </c>
      <c r="I1163" s="126">
        <v>2050</v>
      </c>
      <c r="J1163" s="127">
        <v>1.1111</v>
      </c>
      <c r="K1163" s="127">
        <v>1.0417000000000001</v>
      </c>
      <c r="L1163" s="127">
        <v>1.6938</v>
      </c>
      <c r="M1163" s="127">
        <v>1.3222</v>
      </c>
      <c r="N1163" s="127">
        <v>1.2907</v>
      </c>
      <c r="O1163" s="127">
        <v>1.0538000000000001</v>
      </c>
      <c r="P1163" s="126">
        <v>0</v>
      </c>
      <c r="Q1163" s="128">
        <f t="array" ref="Q1163">SUM(IF(($S1163&gt;=4)*($C1163='TaxCred&amp;Subs'!$D$123:$D$127)*($H1163='TaxCred&amp;Subs'!$C$123:$C$127)*($H1163&lt;='TaxCred&amp;Subs'!$C$129),'TaxCred&amp;Subs'!$E$123:$E$127,0))</f>
        <v>0</v>
      </c>
      <c r="R1163" s="174">
        <v>0</v>
      </c>
      <c r="S1163" s="126">
        <v>1</v>
      </c>
      <c r="T1163" s="126" t="s">
        <v>223</v>
      </c>
      <c r="U1163" s="158"/>
      <c r="V1163" s="153" t="str">
        <f t="array" ref="V1163">INDEX(xlRTCLNAME,MATCH(1,(xlRTCLENDU=1)*(xlRTCLEQCL=$D1163),0))</f>
        <v>GEO_HP</v>
      </c>
      <c r="W1163" s="153" t="str">
        <f t="array" ref="W1163">INDEX(xlRTCLNAME,MATCH(1,(xlRTCLENDU=2)*(xlRTCLEQCL=$F1163),0))</f>
        <v>GEO_HP</v>
      </c>
      <c r="X1163" s="153" t="str">
        <f t="array" ref="X1163">INDEX(xlRTTYNAME,MATCH(1,(xlRTTYENDU=1)*(xlRTTYEQCL=$D1163)*(xlRTEQTYPE=$E1163),0))</f>
        <v>GEO_HP1</v>
      </c>
      <c r="Y1163" s="153" t="str">
        <f t="array" ref="Y1163">INDEX(xlRTTYNAME,MATCH(1,(xlRTTYENDU=2)*(xlRTTYEQCL=$F1163)*(xlRTEQTYPE=$G1163),0))</f>
        <v>GEO_HP1</v>
      </c>
    </row>
    <row r="1164" spans="2:25" ht="14.25" customHeight="1" x14ac:dyDescent="0.2">
      <c r="B1164" s="126">
        <v>9</v>
      </c>
      <c r="C1164" s="126">
        <v>2</v>
      </c>
      <c r="D1164" s="126">
        <v>10</v>
      </c>
      <c r="E1164" s="126">
        <v>32</v>
      </c>
      <c r="F1164" s="126">
        <v>4</v>
      </c>
      <c r="G1164" s="126">
        <v>13</v>
      </c>
      <c r="H1164" s="126">
        <v>2016</v>
      </c>
      <c r="I1164" s="126">
        <v>2050</v>
      </c>
      <c r="J1164" s="127">
        <v>1.03</v>
      </c>
      <c r="K1164" s="127">
        <v>1.0741000000000001</v>
      </c>
      <c r="L1164" s="127">
        <v>2</v>
      </c>
      <c r="M1164" s="127">
        <v>1.3046</v>
      </c>
      <c r="N1164" s="127">
        <v>1.4438</v>
      </c>
      <c r="O1164" s="127">
        <v>1.0538000000000001</v>
      </c>
      <c r="P1164" s="126">
        <v>0</v>
      </c>
      <c r="Q1164" s="128">
        <f t="array" ref="Q1164">SUM(IF(($S1164&gt;=4)*($C1164='TaxCred&amp;Subs'!$D$123:$D$127)*($H1164='TaxCred&amp;Subs'!$C$123:$C$127)*($H1164&lt;='TaxCred&amp;Subs'!$C$129),'TaxCred&amp;Subs'!$E$123:$E$127,0))</f>
        <v>0</v>
      </c>
      <c r="R1164" s="174">
        <v>0</v>
      </c>
      <c r="S1164" s="126">
        <v>1</v>
      </c>
      <c r="T1164" s="126" t="s">
        <v>223</v>
      </c>
      <c r="U1164" s="158"/>
      <c r="V1164" s="153" t="str">
        <f t="array" ref="V1164">INDEX(xlRTCLNAME,MATCH(1,(xlRTCLENDU=1)*(xlRTCLEQCL=$D1164),0))</f>
        <v>GEO_HP</v>
      </c>
      <c r="W1164" s="153" t="str">
        <f t="array" ref="W1164">INDEX(xlRTCLNAME,MATCH(1,(xlRTCLENDU=2)*(xlRTCLEQCL=$F1164),0))</f>
        <v>GEO_HP</v>
      </c>
      <c r="X1164" s="153" t="str">
        <f t="array" ref="X1164">INDEX(xlRTTYNAME,MATCH(1,(xlRTTYENDU=1)*(xlRTTYEQCL=$D1164)*(xlRTEQTYPE=$E1164),0))</f>
        <v>GEO_HP1</v>
      </c>
      <c r="Y1164" s="153" t="str">
        <f t="array" ref="Y1164">INDEX(xlRTTYNAME,MATCH(1,(xlRTTYENDU=2)*(xlRTTYEQCL=$F1164)*(xlRTEQTYPE=$G1164),0))</f>
        <v>GEO_HP1</v>
      </c>
    </row>
    <row r="1165" spans="2:25" ht="14.25" customHeight="1" x14ac:dyDescent="0.2">
      <c r="B1165" s="126">
        <v>1</v>
      </c>
      <c r="C1165" s="126">
        <v>2</v>
      </c>
      <c r="D1165" s="126">
        <v>11</v>
      </c>
      <c r="E1165" s="126">
        <v>36</v>
      </c>
      <c r="F1165" s="126">
        <v>5</v>
      </c>
      <c r="G1165" s="126">
        <v>17</v>
      </c>
      <c r="H1165" s="126">
        <v>2016</v>
      </c>
      <c r="I1165" s="126">
        <v>2050</v>
      </c>
      <c r="J1165" s="127">
        <v>1.1042000000000001</v>
      </c>
      <c r="K1165" s="127">
        <v>1.0417000000000001</v>
      </c>
      <c r="L1165" s="127">
        <v>1.3378000000000001</v>
      </c>
      <c r="M1165" s="127">
        <v>1.1909000000000001</v>
      </c>
      <c r="N1165" s="127">
        <v>1.1127</v>
      </c>
      <c r="O1165" s="127">
        <v>1.0538000000000001</v>
      </c>
      <c r="P1165" s="126">
        <v>0</v>
      </c>
      <c r="Q1165" s="128">
        <f t="array" ref="Q1165">SUM(IF(($S1165&gt;=4)*($C1165='TaxCred&amp;Subs'!$D$123:$D$127)*($H1165='TaxCred&amp;Subs'!$C$123:$C$127)*($H1165&lt;='TaxCred&amp;Subs'!$C$129),'TaxCred&amp;Subs'!$E$123:$E$127,0))</f>
        <v>0</v>
      </c>
      <c r="R1165" s="174">
        <v>0</v>
      </c>
      <c r="S1165" s="126">
        <v>1</v>
      </c>
      <c r="T1165" s="126" t="s">
        <v>223</v>
      </c>
      <c r="U1165" s="158"/>
      <c r="V1165" s="153" t="str">
        <f t="array" ref="V1165">INDEX(xlRTCLNAME,MATCH(1,(xlRTCLENDU=1)*(xlRTCLEQCL=$D1165),0))</f>
        <v>NG_HP</v>
      </c>
      <c r="W1165" s="153" t="str">
        <f t="array" ref="W1165">INDEX(xlRTCLNAME,MATCH(1,(xlRTCLENDU=2)*(xlRTCLEQCL=$F1165),0))</f>
        <v>NG_HP</v>
      </c>
      <c r="X1165" s="153" t="str">
        <f t="array" ref="X1165">INDEX(xlRTTYNAME,MATCH(1,(xlRTTYENDU=1)*(xlRTTYEQCL=$D1165)*(xlRTEQTYPE=$E1165),0))</f>
        <v>NG_HP2</v>
      </c>
      <c r="Y1165" s="153" t="str">
        <f t="array" ref="Y1165">INDEX(xlRTTYNAME,MATCH(1,(xlRTTYENDU=2)*(xlRTTYEQCL=$F1165)*(xlRTEQTYPE=$G1165),0))</f>
        <v>NG_HP2</v>
      </c>
    </row>
    <row r="1166" spans="2:25" ht="14.25" customHeight="1" x14ac:dyDescent="0.2">
      <c r="B1166" s="126">
        <v>2</v>
      </c>
      <c r="C1166" s="126">
        <v>2</v>
      </c>
      <c r="D1166" s="126">
        <v>11</v>
      </c>
      <c r="E1166" s="126">
        <v>36</v>
      </c>
      <c r="F1166" s="126">
        <v>5</v>
      </c>
      <c r="G1166" s="126">
        <v>17</v>
      </c>
      <c r="H1166" s="126">
        <v>2016</v>
      </c>
      <c r="I1166" s="126">
        <v>2050</v>
      </c>
      <c r="J1166" s="127">
        <v>1.0847</v>
      </c>
      <c r="K1166" s="127">
        <v>1.0357000000000001</v>
      </c>
      <c r="L1166" s="127">
        <v>1.3448</v>
      </c>
      <c r="M1166" s="127">
        <v>1.2250000000000001</v>
      </c>
      <c r="N1166" s="127">
        <v>1.1162000000000001</v>
      </c>
      <c r="O1166" s="127">
        <v>1.0538000000000001</v>
      </c>
      <c r="P1166" s="126">
        <v>0</v>
      </c>
      <c r="Q1166" s="128">
        <f t="array" ref="Q1166">SUM(IF(($S1166&gt;=4)*($C1166='TaxCred&amp;Subs'!$D$123:$D$127)*($H1166='TaxCred&amp;Subs'!$C$123:$C$127)*($H1166&lt;='TaxCred&amp;Subs'!$C$129),'TaxCred&amp;Subs'!$E$123:$E$127,0))</f>
        <v>0</v>
      </c>
      <c r="R1166" s="174">
        <v>0</v>
      </c>
      <c r="S1166" s="126">
        <v>1</v>
      </c>
      <c r="T1166" s="126" t="s">
        <v>223</v>
      </c>
      <c r="U1166" s="158"/>
      <c r="V1166" s="153" t="str">
        <f t="array" ref="V1166">INDEX(xlRTCLNAME,MATCH(1,(xlRTCLENDU=1)*(xlRTCLEQCL=$D1166),0))</f>
        <v>NG_HP</v>
      </c>
      <c r="W1166" s="153" t="str">
        <f t="array" ref="W1166">INDEX(xlRTCLNAME,MATCH(1,(xlRTCLENDU=2)*(xlRTCLEQCL=$F1166),0))</f>
        <v>NG_HP</v>
      </c>
      <c r="X1166" s="153" t="str">
        <f t="array" ref="X1166">INDEX(xlRTTYNAME,MATCH(1,(xlRTTYENDU=1)*(xlRTTYEQCL=$D1166)*(xlRTEQTYPE=$E1166),0))</f>
        <v>NG_HP2</v>
      </c>
      <c r="Y1166" s="153" t="str">
        <f t="array" ref="Y1166">INDEX(xlRTTYNAME,MATCH(1,(xlRTTYENDU=2)*(xlRTTYEQCL=$F1166)*(xlRTEQTYPE=$G1166),0))</f>
        <v>NG_HP2</v>
      </c>
    </row>
    <row r="1167" spans="2:25" ht="14.25" customHeight="1" x14ac:dyDescent="0.2">
      <c r="B1167" s="126">
        <v>3</v>
      </c>
      <c r="C1167" s="126">
        <v>2</v>
      </c>
      <c r="D1167" s="126">
        <v>11</v>
      </c>
      <c r="E1167" s="126">
        <v>36</v>
      </c>
      <c r="F1167" s="126">
        <v>5</v>
      </c>
      <c r="G1167" s="126">
        <v>17</v>
      </c>
      <c r="H1167" s="126">
        <v>2016</v>
      </c>
      <c r="I1167" s="126">
        <v>2050</v>
      </c>
      <c r="J1167" s="127">
        <v>1.0984</v>
      </c>
      <c r="K1167" s="127">
        <v>1.0345</v>
      </c>
      <c r="L1167" s="127">
        <v>1.1920999999999999</v>
      </c>
      <c r="M1167" s="127">
        <v>1.1345000000000001</v>
      </c>
      <c r="N1167" s="127">
        <v>1.0399</v>
      </c>
      <c r="O1167" s="127">
        <v>1.0538000000000001</v>
      </c>
      <c r="P1167" s="126">
        <v>0</v>
      </c>
      <c r="Q1167" s="128">
        <f t="array" ref="Q1167">SUM(IF(($S1167&gt;=4)*($C1167='TaxCred&amp;Subs'!$D$123:$D$127)*($H1167='TaxCred&amp;Subs'!$C$123:$C$127)*($H1167&lt;='TaxCred&amp;Subs'!$C$129),'TaxCred&amp;Subs'!$E$123:$E$127,0))</f>
        <v>0</v>
      </c>
      <c r="R1167" s="174">
        <v>0</v>
      </c>
      <c r="S1167" s="126">
        <v>1</v>
      </c>
      <c r="T1167" s="126" t="s">
        <v>223</v>
      </c>
      <c r="U1167" s="158"/>
      <c r="V1167" s="153" t="str">
        <f t="array" ref="V1167">INDEX(xlRTCLNAME,MATCH(1,(xlRTCLENDU=1)*(xlRTCLEQCL=$D1167),0))</f>
        <v>NG_HP</v>
      </c>
      <c r="W1167" s="153" t="str">
        <f t="array" ref="W1167">INDEX(xlRTCLNAME,MATCH(1,(xlRTCLENDU=2)*(xlRTCLEQCL=$F1167),0))</f>
        <v>NG_HP</v>
      </c>
      <c r="X1167" s="153" t="str">
        <f t="array" ref="X1167">INDEX(xlRTTYNAME,MATCH(1,(xlRTTYENDU=1)*(xlRTTYEQCL=$D1167)*(xlRTEQTYPE=$E1167),0))</f>
        <v>NG_HP2</v>
      </c>
      <c r="Y1167" s="153" t="str">
        <f t="array" ref="Y1167">INDEX(xlRTTYNAME,MATCH(1,(xlRTTYENDU=2)*(xlRTTYEQCL=$F1167)*(xlRTEQTYPE=$G1167),0))</f>
        <v>NG_HP2</v>
      </c>
    </row>
    <row r="1168" spans="2:25" ht="14.25" customHeight="1" x14ac:dyDescent="0.2">
      <c r="B1168" s="126">
        <v>4</v>
      </c>
      <c r="C1168" s="126">
        <v>2</v>
      </c>
      <c r="D1168" s="126">
        <v>11</v>
      </c>
      <c r="E1168" s="126">
        <v>36</v>
      </c>
      <c r="F1168" s="126">
        <v>5</v>
      </c>
      <c r="G1168" s="126">
        <v>17</v>
      </c>
      <c r="H1168" s="126">
        <v>2016</v>
      </c>
      <c r="I1168" s="126">
        <v>2050</v>
      </c>
      <c r="J1168" s="127">
        <v>1.1000000000000001</v>
      </c>
      <c r="K1168" s="127">
        <v>1.0435000000000001</v>
      </c>
      <c r="L1168" s="127">
        <v>1.4516</v>
      </c>
      <c r="M1168" s="127">
        <v>1.2250000000000001</v>
      </c>
      <c r="N1168" s="127">
        <v>1.1696</v>
      </c>
      <c r="O1168" s="127">
        <v>1.0538000000000001</v>
      </c>
      <c r="P1168" s="126">
        <v>0</v>
      </c>
      <c r="Q1168" s="128">
        <f t="array" ref="Q1168">SUM(IF(($S1168&gt;=4)*($C1168='TaxCred&amp;Subs'!$D$123:$D$127)*($H1168='TaxCred&amp;Subs'!$C$123:$C$127)*($H1168&lt;='TaxCred&amp;Subs'!$C$129),'TaxCred&amp;Subs'!$E$123:$E$127,0))</f>
        <v>0</v>
      </c>
      <c r="R1168" s="174">
        <v>0</v>
      </c>
      <c r="S1168" s="126">
        <v>1</v>
      </c>
      <c r="T1168" s="126" t="s">
        <v>223</v>
      </c>
      <c r="U1168" s="158"/>
      <c r="V1168" s="153" t="str">
        <f t="array" ref="V1168">INDEX(xlRTCLNAME,MATCH(1,(xlRTCLENDU=1)*(xlRTCLEQCL=$D1168),0))</f>
        <v>NG_HP</v>
      </c>
      <c r="W1168" s="153" t="str">
        <f t="array" ref="W1168">INDEX(xlRTCLNAME,MATCH(1,(xlRTCLENDU=2)*(xlRTCLEQCL=$F1168),0))</f>
        <v>NG_HP</v>
      </c>
      <c r="X1168" s="153" t="str">
        <f t="array" ref="X1168">INDEX(xlRTTYNAME,MATCH(1,(xlRTTYENDU=1)*(xlRTTYEQCL=$D1168)*(xlRTEQTYPE=$E1168),0))</f>
        <v>NG_HP2</v>
      </c>
      <c r="Y1168" s="153" t="str">
        <f t="array" ref="Y1168">INDEX(xlRTTYNAME,MATCH(1,(xlRTTYENDU=2)*(xlRTTYEQCL=$F1168)*(xlRTEQTYPE=$G1168),0))</f>
        <v>NG_HP2</v>
      </c>
    </row>
    <row r="1169" spans="2:25" ht="14.25" customHeight="1" x14ac:dyDescent="0.2">
      <c r="B1169" s="126">
        <v>5</v>
      </c>
      <c r="C1169" s="126">
        <v>2</v>
      </c>
      <c r="D1169" s="126">
        <v>11</v>
      </c>
      <c r="E1169" s="126">
        <v>36</v>
      </c>
      <c r="F1169" s="126">
        <v>5</v>
      </c>
      <c r="G1169" s="126">
        <v>17</v>
      </c>
      <c r="H1169" s="126">
        <v>2016</v>
      </c>
      <c r="I1169" s="126">
        <v>2050</v>
      </c>
      <c r="J1169" s="127">
        <v>1.1200000000000001</v>
      </c>
      <c r="K1169" s="127">
        <v>1.0391999999999999</v>
      </c>
      <c r="L1169" s="127">
        <v>1.6626000000000001</v>
      </c>
      <c r="M1169" s="127">
        <v>1.1687000000000001</v>
      </c>
      <c r="N1169" s="127">
        <v>1.2750999999999999</v>
      </c>
      <c r="O1169" s="127">
        <v>1.0538000000000001</v>
      </c>
      <c r="P1169" s="126">
        <v>0</v>
      </c>
      <c r="Q1169" s="128">
        <f t="array" ref="Q1169">SUM(IF(($S1169&gt;=4)*($C1169='TaxCred&amp;Subs'!$D$123:$D$127)*($H1169='TaxCred&amp;Subs'!$C$123:$C$127)*($H1169&lt;='TaxCred&amp;Subs'!$C$129),'TaxCred&amp;Subs'!$E$123:$E$127,0))</f>
        <v>0</v>
      </c>
      <c r="R1169" s="174">
        <v>0</v>
      </c>
      <c r="S1169" s="126">
        <v>1</v>
      </c>
      <c r="T1169" s="126" t="s">
        <v>223</v>
      </c>
      <c r="U1169" s="158"/>
      <c r="V1169" s="153" t="str">
        <f t="array" ref="V1169">INDEX(xlRTCLNAME,MATCH(1,(xlRTCLENDU=1)*(xlRTCLEQCL=$D1169),0))</f>
        <v>NG_HP</v>
      </c>
      <c r="W1169" s="153" t="str">
        <f t="array" ref="W1169">INDEX(xlRTCLNAME,MATCH(1,(xlRTCLENDU=2)*(xlRTCLEQCL=$F1169),0))</f>
        <v>NG_HP</v>
      </c>
      <c r="X1169" s="153" t="str">
        <f t="array" ref="X1169">INDEX(xlRTTYNAME,MATCH(1,(xlRTTYENDU=1)*(xlRTTYEQCL=$D1169)*(xlRTEQTYPE=$E1169),0))</f>
        <v>NG_HP2</v>
      </c>
      <c r="Y1169" s="153" t="str">
        <f t="array" ref="Y1169">INDEX(xlRTTYNAME,MATCH(1,(xlRTTYENDU=2)*(xlRTTYEQCL=$F1169)*(xlRTEQTYPE=$G1169),0))</f>
        <v>NG_HP2</v>
      </c>
    </row>
    <row r="1170" spans="2:25" ht="14.25" customHeight="1" x14ac:dyDescent="0.2">
      <c r="B1170" s="126">
        <v>6</v>
      </c>
      <c r="C1170" s="126">
        <v>2</v>
      </c>
      <c r="D1170" s="126">
        <v>11</v>
      </c>
      <c r="E1170" s="126">
        <v>36</v>
      </c>
      <c r="F1170" s="126">
        <v>5</v>
      </c>
      <c r="G1170" s="126">
        <v>17</v>
      </c>
      <c r="H1170" s="126">
        <v>2016</v>
      </c>
      <c r="I1170" s="126">
        <v>2050</v>
      </c>
      <c r="J1170" s="127">
        <v>1.1200000000000001</v>
      </c>
      <c r="K1170" s="127">
        <v>1.03</v>
      </c>
      <c r="L1170" s="127">
        <v>1.7771999999999999</v>
      </c>
      <c r="M1170" s="127">
        <v>1.2250000000000001</v>
      </c>
      <c r="N1170" s="127">
        <v>1.3324</v>
      </c>
      <c r="O1170" s="127">
        <v>1.0538000000000001</v>
      </c>
      <c r="P1170" s="126">
        <v>0</v>
      </c>
      <c r="Q1170" s="128">
        <f t="array" ref="Q1170">SUM(IF(($S1170&gt;=4)*($C1170='TaxCred&amp;Subs'!$D$123:$D$127)*($H1170='TaxCred&amp;Subs'!$C$123:$C$127)*($H1170&lt;='TaxCred&amp;Subs'!$C$129),'TaxCred&amp;Subs'!$E$123:$E$127,0))</f>
        <v>0</v>
      </c>
      <c r="R1170" s="174">
        <v>0</v>
      </c>
      <c r="S1170" s="126">
        <v>1</v>
      </c>
      <c r="T1170" s="126" t="s">
        <v>223</v>
      </c>
      <c r="U1170" s="158"/>
      <c r="V1170" s="153" t="str">
        <f t="array" ref="V1170">INDEX(xlRTCLNAME,MATCH(1,(xlRTCLENDU=1)*(xlRTCLEQCL=$D1170),0))</f>
        <v>NG_HP</v>
      </c>
      <c r="W1170" s="153" t="str">
        <f t="array" ref="W1170">INDEX(xlRTCLNAME,MATCH(1,(xlRTCLENDU=2)*(xlRTCLEQCL=$F1170),0))</f>
        <v>NG_HP</v>
      </c>
      <c r="X1170" s="153" t="str">
        <f t="array" ref="X1170">INDEX(xlRTTYNAME,MATCH(1,(xlRTTYENDU=1)*(xlRTTYEQCL=$D1170)*(xlRTEQTYPE=$E1170),0))</f>
        <v>NG_HP2</v>
      </c>
      <c r="Y1170" s="153" t="str">
        <f t="array" ref="Y1170">INDEX(xlRTTYNAME,MATCH(1,(xlRTTYENDU=2)*(xlRTTYEQCL=$F1170)*(xlRTEQTYPE=$G1170),0))</f>
        <v>NG_HP2</v>
      </c>
    </row>
    <row r="1171" spans="2:25" ht="14.25" customHeight="1" x14ac:dyDescent="0.2">
      <c r="B1171" s="126">
        <v>7</v>
      </c>
      <c r="C1171" s="126">
        <v>2</v>
      </c>
      <c r="D1171" s="126">
        <v>11</v>
      </c>
      <c r="E1171" s="126">
        <v>36</v>
      </c>
      <c r="F1171" s="126">
        <v>5</v>
      </c>
      <c r="G1171" s="126">
        <v>17</v>
      </c>
      <c r="H1171" s="126">
        <v>2016</v>
      </c>
      <c r="I1171" s="126">
        <v>2050</v>
      </c>
      <c r="J1171" s="127">
        <v>1.1200000000000001</v>
      </c>
      <c r="K1171" s="127">
        <v>1.0462</v>
      </c>
      <c r="L1171" s="127">
        <v>2</v>
      </c>
      <c r="M1171" s="127">
        <v>1.2121</v>
      </c>
      <c r="N1171" s="127">
        <v>1.4438</v>
      </c>
      <c r="O1171" s="127">
        <v>1.0538000000000001</v>
      </c>
      <c r="P1171" s="126">
        <v>0</v>
      </c>
      <c r="Q1171" s="128">
        <f t="array" ref="Q1171">SUM(IF(($S1171&gt;=4)*($C1171='TaxCred&amp;Subs'!$D$123:$D$127)*($H1171='TaxCred&amp;Subs'!$C$123:$C$127)*($H1171&lt;='TaxCred&amp;Subs'!$C$129),'TaxCred&amp;Subs'!$E$123:$E$127,0))</f>
        <v>0</v>
      </c>
      <c r="R1171" s="174">
        <v>0</v>
      </c>
      <c r="S1171" s="126">
        <v>1</v>
      </c>
      <c r="T1171" s="126" t="s">
        <v>223</v>
      </c>
      <c r="U1171" s="158"/>
      <c r="V1171" s="153" t="str">
        <f t="array" ref="V1171">INDEX(xlRTCLNAME,MATCH(1,(xlRTCLENDU=1)*(xlRTCLEQCL=$D1171),0))</f>
        <v>NG_HP</v>
      </c>
      <c r="W1171" s="153" t="str">
        <f t="array" ref="W1171">INDEX(xlRTCLNAME,MATCH(1,(xlRTCLENDU=2)*(xlRTCLEQCL=$F1171),0))</f>
        <v>NG_HP</v>
      </c>
      <c r="X1171" s="153" t="str">
        <f t="array" ref="X1171">INDEX(xlRTTYNAME,MATCH(1,(xlRTTYENDU=1)*(xlRTTYEQCL=$D1171)*(xlRTEQTYPE=$E1171),0))</f>
        <v>NG_HP2</v>
      </c>
      <c r="Y1171" s="153" t="str">
        <f t="array" ref="Y1171">INDEX(xlRTTYNAME,MATCH(1,(xlRTTYENDU=2)*(xlRTTYEQCL=$F1171)*(xlRTEQTYPE=$G1171),0))</f>
        <v>NG_HP2</v>
      </c>
    </row>
    <row r="1172" spans="2:25" ht="14.25" customHeight="1" x14ac:dyDescent="0.2">
      <c r="B1172" s="126">
        <v>8</v>
      </c>
      <c r="C1172" s="126">
        <v>2</v>
      </c>
      <c r="D1172" s="126">
        <v>11</v>
      </c>
      <c r="E1172" s="126">
        <v>36</v>
      </c>
      <c r="F1172" s="126">
        <v>5</v>
      </c>
      <c r="G1172" s="126">
        <v>17</v>
      </c>
      <c r="H1172" s="126">
        <v>2016</v>
      </c>
      <c r="I1172" s="126">
        <v>2050</v>
      </c>
      <c r="J1172" s="127">
        <v>1.0932999999999999</v>
      </c>
      <c r="K1172" s="127">
        <v>1.0323</v>
      </c>
      <c r="L1172" s="127">
        <v>1.6819</v>
      </c>
      <c r="M1172" s="127">
        <v>1.3391999999999999</v>
      </c>
      <c r="N1172" s="127">
        <v>1.2847999999999999</v>
      </c>
      <c r="O1172" s="127">
        <v>1.0538000000000001</v>
      </c>
      <c r="P1172" s="126">
        <v>0</v>
      </c>
      <c r="Q1172" s="128">
        <f t="array" ref="Q1172">SUM(IF(($S1172&gt;=4)*($C1172='TaxCred&amp;Subs'!$D$123:$D$127)*($H1172='TaxCred&amp;Subs'!$C$123:$C$127)*($H1172&lt;='TaxCred&amp;Subs'!$C$129),'TaxCred&amp;Subs'!$E$123:$E$127,0))</f>
        <v>0</v>
      </c>
      <c r="R1172" s="174">
        <v>0</v>
      </c>
      <c r="S1172" s="126">
        <v>1</v>
      </c>
      <c r="T1172" s="126" t="s">
        <v>223</v>
      </c>
      <c r="U1172" s="158"/>
      <c r="V1172" s="153" t="str">
        <f t="array" ref="V1172">INDEX(xlRTCLNAME,MATCH(1,(xlRTCLENDU=1)*(xlRTCLEQCL=$D1172),0))</f>
        <v>NG_HP</v>
      </c>
      <c r="W1172" s="153" t="str">
        <f t="array" ref="W1172">INDEX(xlRTCLNAME,MATCH(1,(xlRTCLENDU=2)*(xlRTCLEQCL=$F1172),0))</f>
        <v>NG_HP</v>
      </c>
      <c r="X1172" s="153" t="str">
        <f t="array" ref="X1172">INDEX(xlRTTYNAME,MATCH(1,(xlRTTYENDU=1)*(xlRTTYEQCL=$D1172)*(xlRTEQTYPE=$E1172),0))</f>
        <v>NG_HP2</v>
      </c>
      <c r="Y1172" s="153" t="str">
        <f t="array" ref="Y1172">INDEX(xlRTTYNAME,MATCH(1,(xlRTTYENDU=2)*(xlRTTYEQCL=$F1172)*(xlRTEQTYPE=$G1172),0))</f>
        <v>NG_HP2</v>
      </c>
    </row>
    <row r="1173" spans="2:25" ht="14.25" customHeight="1" x14ac:dyDescent="0.2">
      <c r="B1173" s="126">
        <v>9</v>
      </c>
      <c r="C1173" s="126">
        <v>2</v>
      </c>
      <c r="D1173" s="126">
        <v>11</v>
      </c>
      <c r="E1173" s="126">
        <v>36</v>
      </c>
      <c r="F1173" s="126">
        <v>5</v>
      </c>
      <c r="G1173" s="126">
        <v>17</v>
      </c>
      <c r="H1173" s="126">
        <v>2016</v>
      </c>
      <c r="I1173" s="126">
        <v>2050</v>
      </c>
      <c r="J1173" s="127">
        <v>1.07</v>
      </c>
      <c r="K1173" s="127">
        <v>1.0541</v>
      </c>
      <c r="L1173" s="127">
        <v>2</v>
      </c>
      <c r="M1173" s="127">
        <v>1.2834000000000001</v>
      </c>
      <c r="N1173" s="127">
        <v>1.4438</v>
      </c>
      <c r="O1173" s="127">
        <v>1.0538000000000001</v>
      </c>
      <c r="P1173" s="126">
        <v>0</v>
      </c>
      <c r="Q1173" s="128">
        <f t="array" ref="Q1173">SUM(IF(($S1173&gt;=4)*($C1173='TaxCred&amp;Subs'!$D$123:$D$127)*($H1173='TaxCred&amp;Subs'!$C$123:$C$127)*($H1173&lt;='TaxCred&amp;Subs'!$C$129),'TaxCred&amp;Subs'!$E$123:$E$127,0))</f>
        <v>0</v>
      </c>
      <c r="R1173" s="174">
        <v>0</v>
      </c>
      <c r="S1173" s="126">
        <v>1</v>
      </c>
      <c r="T1173" s="126" t="s">
        <v>223</v>
      </c>
      <c r="U1173" s="158"/>
      <c r="V1173" s="153" t="str">
        <f t="array" ref="V1173">INDEX(xlRTCLNAME,MATCH(1,(xlRTCLENDU=1)*(xlRTCLEQCL=$D1173),0))</f>
        <v>NG_HP</v>
      </c>
      <c r="W1173" s="153" t="str">
        <f t="array" ref="W1173">INDEX(xlRTCLNAME,MATCH(1,(xlRTCLENDU=2)*(xlRTCLEQCL=$F1173),0))</f>
        <v>NG_HP</v>
      </c>
      <c r="X1173" s="153" t="str">
        <f t="array" ref="X1173">INDEX(xlRTTYNAME,MATCH(1,(xlRTTYENDU=1)*(xlRTTYEQCL=$D1173)*(xlRTEQTYPE=$E1173),0))</f>
        <v>NG_HP2</v>
      </c>
      <c r="Y1173" s="153" t="str">
        <f t="array" ref="Y1173">INDEX(xlRTTYNAME,MATCH(1,(xlRTTYENDU=2)*(xlRTTYEQCL=$F1173)*(xlRTEQTYPE=$G1173),0))</f>
        <v>NG_HP2</v>
      </c>
    </row>
    <row r="1174" spans="2:25" ht="14.25" customHeight="1" x14ac:dyDescent="0.2">
      <c r="B1174" s="126">
        <v>1</v>
      </c>
      <c r="C1174" s="126">
        <v>2</v>
      </c>
      <c r="D1174" s="126">
        <v>1</v>
      </c>
      <c r="E1174" s="126">
        <v>1</v>
      </c>
      <c r="F1174" s="126">
        <v>2</v>
      </c>
      <c r="G1174" s="126">
        <v>5</v>
      </c>
      <c r="H1174" s="126">
        <v>2016</v>
      </c>
      <c r="I1174" s="126">
        <v>2022</v>
      </c>
      <c r="J1174" s="127">
        <v>1.1039000000000001</v>
      </c>
      <c r="K1174" s="127">
        <v>1.0417000000000001</v>
      </c>
      <c r="L1174" s="127">
        <v>0.80700000000000005</v>
      </c>
      <c r="M1174" s="127">
        <v>1.1455</v>
      </c>
      <c r="N1174" s="127">
        <v>1.1114999999999999</v>
      </c>
      <c r="O1174" s="127">
        <v>1.0538000000000001</v>
      </c>
      <c r="P1174" s="126">
        <v>3042</v>
      </c>
      <c r="Q1174" s="128">
        <f t="array" ref="Q1174">SUM(IF(($S1174&gt;=4)*($C1174='TaxCred&amp;Subs'!$D$123:$D$127)*($H1174='TaxCred&amp;Subs'!$C$123:$C$127)*($H1174&lt;='TaxCred&amp;Subs'!$C$129),'TaxCred&amp;Subs'!$E$123:$E$127,0))</f>
        <v>0</v>
      </c>
      <c r="R1174" s="174">
        <v>0</v>
      </c>
      <c r="S1174" s="126">
        <v>2</v>
      </c>
      <c r="T1174" s="126" t="s">
        <v>224</v>
      </c>
      <c r="U1174" s="158"/>
      <c r="V1174" s="153" t="str">
        <f t="array" ref="V1174">INDEX(xlRTCLNAME,MATCH(1,(xlRTCLENDU=1)*(xlRTCLEQCL=$D1174),0))</f>
        <v>ELEC_RAD</v>
      </c>
      <c r="W1174" s="153" t="str">
        <f t="array" ref="W1174">INDEX(xlRTCLNAME,MATCH(1,(xlRTCLENDU=2)*(xlRTCLEQCL=$F1174),0))</f>
        <v>CENT_AIR</v>
      </c>
      <c r="X1174" s="153" t="str">
        <f t="array" ref="X1174">INDEX(xlRTTYNAME,MATCH(1,(xlRTTYENDU=1)*(xlRTTYEQCL=$D1174)*(xlRTEQTYPE=$E1174),0))</f>
        <v>ELEC_RAD2</v>
      </c>
      <c r="Y1174" s="153" t="str">
        <f t="array" ref="Y1174">INDEX(xlRTTYNAME,MATCH(1,(xlRTTYENDU=2)*(xlRTTYEQCL=$F1174)*(xlRTEQTYPE=$G1174),0))</f>
        <v>CENT_AIR1</v>
      </c>
    </row>
    <row r="1175" spans="2:25" ht="14.25" customHeight="1" x14ac:dyDescent="0.2">
      <c r="B1175" s="126">
        <v>1</v>
      </c>
      <c r="C1175" s="126">
        <v>2</v>
      </c>
      <c r="D1175" s="126">
        <v>1</v>
      </c>
      <c r="E1175" s="126">
        <v>1</v>
      </c>
      <c r="F1175" s="126">
        <v>2</v>
      </c>
      <c r="G1175" s="126">
        <v>6</v>
      </c>
      <c r="H1175" s="126">
        <v>2023</v>
      </c>
      <c r="I1175" s="126">
        <v>2050</v>
      </c>
      <c r="J1175" s="127">
        <v>1.1039000000000001</v>
      </c>
      <c r="K1175" s="127">
        <v>1.0417000000000001</v>
      </c>
      <c r="L1175" s="127">
        <v>0.80700000000000005</v>
      </c>
      <c r="M1175" s="127">
        <v>1.1455</v>
      </c>
      <c r="N1175" s="127">
        <v>1.1114999999999999</v>
      </c>
      <c r="O1175" s="127">
        <v>1.0538000000000001</v>
      </c>
      <c r="P1175" s="126">
        <v>3042</v>
      </c>
      <c r="Q1175" s="128">
        <f t="array" ref="Q1175">SUM(IF(($S1175&gt;=4)*($C1175='TaxCred&amp;Subs'!$D$123:$D$127)*($H1175='TaxCred&amp;Subs'!$C$123:$C$127)*($H1175&lt;='TaxCred&amp;Subs'!$C$129),'TaxCred&amp;Subs'!$E$123:$E$127,0))</f>
        <v>0</v>
      </c>
      <c r="R1175" s="174">
        <v>0</v>
      </c>
      <c r="S1175" s="126">
        <v>2</v>
      </c>
      <c r="T1175" s="126" t="s">
        <v>224</v>
      </c>
      <c r="U1175" s="158"/>
      <c r="V1175" s="153" t="str">
        <f t="array" ref="V1175">INDEX(xlRTCLNAME,MATCH(1,(xlRTCLENDU=1)*(xlRTCLEQCL=$D1175),0))</f>
        <v>ELEC_RAD</v>
      </c>
      <c r="W1175" s="153" t="str">
        <f t="array" ref="W1175">INDEX(xlRTCLNAME,MATCH(1,(xlRTCLENDU=2)*(xlRTCLEQCL=$F1175),0))</f>
        <v>CENT_AIR</v>
      </c>
      <c r="X1175" s="153" t="str">
        <f t="array" ref="X1175">INDEX(xlRTTYNAME,MATCH(1,(xlRTTYENDU=1)*(xlRTTYEQCL=$D1175)*(xlRTEQTYPE=$E1175),0))</f>
        <v>ELEC_RAD2</v>
      </c>
      <c r="Y1175" s="153" t="str">
        <f t="array" ref="Y1175">INDEX(xlRTTYNAME,MATCH(1,(xlRTTYENDU=2)*(xlRTTYEQCL=$F1175)*(xlRTEQTYPE=$G1175),0))</f>
        <v>CENT_AIR2</v>
      </c>
    </row>
    <row r="1176" spans="2:25" ht="14.25" customHeight="1" x14ac:dyDescent="0.2">
      <c r="B1176" s="126">
        <v>2</v>
      </c>
      <c r="C1176" s="126">
        <v>2</v>
      </c>
      <c r="D1176" s="126">
        <v>1</v>
      </c>
      <c r="E1176" s="126">
        <v>1</v>
      </c>
      <c r="F1176" s="126">
        <v>2</v>
      </c>
      <c r="G1176" s="126">
        <v>5</v>
      </c>
      <c r="H1176" s="126">
        <v>2016</v>
      </c>
      <c r="I1176" s="126">
        <v>2022</v>
      </c>
      <c r="J1176" s="127">
        <v>1.1000000000000001</v>
      </c>
      <c r="K1176" s="127">
        <v>1.0357000000000001</v>
      </c>
      <c r="L1176" s="127">
        <v>0.87590000000000001</v>
      </c>
      <c r="M1176" s="127">
        <v>1.1834</v>
      </c>
      <c r="N1176" s="127">
        <v>1.1163000000000001</v>
      </c>
      <c r="O1176" s="127">
        <v>1.0538000000000001</v>
      </c>
      <c r="P1176" s="126">
        <v>2185</v>
      </c>
      <c r="Q1176" s="128">
        <f t="array" ref="Q1176">SUM(IF(($S1176&gt;=4)*($C1176='TaxCred&amp;Subs'!$D$123:$D$127)*($H1176='TaxCred&amp;Subs'!$C$123:$C$127)*($H1176&lt;='TaxCred&amp;Subs'!$C$129),'TaxCred&amp;Subs'!$E$123:$E$127,0))</f>
        <v>0</v>
      </c>
      <c r="R1176" s="174">
        <v>0</v>
      </c>
      <c r="S1176" s="126">
        <v>2</v>
      </c>
      <c r="T1176" s="126" t="s">
        <v>224</v>
      </c>
      <c r="U1176" s="158"/>
      <c r="V1176" s="153" t="str">
        <f t="array" ref="V1176">INDEX(xlRTCLNAME,MATCH(1,(xlRTCLENDU=1)*(xlRTCLEQCL=$D1176),0))</f>
        <v>ELEC_RAD</v>
      </c>
      <c r="W1176" s="153" t="str">
        <f t="array" ref="W1176">INDEX(xlRTCLNAME,MATCH(1,(xlRTCLENDU=2)*(xlRTCLEQCL=$F1176),0))</f>
        <v>CENT_AIR</v>
      </c>
      <c r="X1176" s="153" t="str">
        <f t="array" ref="X1176">INDEX(xlRTTYNAME,MATCH(1,(xlRTTYENDU=1)*(xlRTTYEQCL=$D1176)*(xlRTEQTYPE=$E1176),0))</f>
        <v>ELEC_RAD2</v>
      </c>
      <c r="Y1176" s="153" t="str">
        <f t="array" ref="Y1176">INDEX(xlRTTYNAME,MATCH(1,(xlRTTYENDU=2)*(xlRTTYEQCL=$F1176)*(xlRTEQTYPE=$G1176),0))</f>
        <v>CENT_AIR1</v>
      </c>
    </row>
    <row r="1177" spans="2:25" ht="14.25" customHeight="1" x14ac:dyDescent="0.2">
      <c r="B1177" s="126">
        <v>2</v>
      </c>
      <c r="C1177" s="126">
        <v>2</v>
      </c>
      <c r="D1177" s="126">
        <v>1</v>
      </c>
      <c r="E1177" s="126">
        <v>1</v>
      </c>
      <c r="F1177" s="126">
        <v>2</v>
      </c>
      <c r="G1177" s="126">
        <v>6</v>
      </c>
      <c r="H1177" s="126">
        <v>2023</v>
      </c>
      <c r="I1177" s="126">
        <v>2050</v>
      </c>
      <c r="J1177" s="127">
        <v>1.1000000000000001</v>
      </c>
      <c r="K1177" s="127">
        <v>1.0357000000000001</v>
      </c>
      <c r="L1177" s="127">
        <v>0.87590000000000001</v>
      </c>
      <c r="M1177" s="127">
        <v>1.1834</v>
      </c>
      <c r="N1177" s="127">
        <v>1.1163000000000001</v>
      </c>
      <c r="O1177" s="127">
        <v>1.0538000000000001</v>
      </c>
      <c r="P1177" s="126">
        <v>2185</v>
      </c>
      <c r="Q1177" s="128">
        <f t="array" ref="Q1177">SUM(IF(($S1177&gt;=4)*($C1177='TaxCred&amp;Subs'!$D$123:$D$127)*($H1177='TaxCred&amp;Subs'!$C$123:$C$127)*($H1177&lt;='TaxCred&amp;Subs'!$C$129),'TaxCred&amp;Subs'!$E$123:$E$127,0))</f>
        <v>0</v>
      </c>
      <c r="R1177" s="174">
        <v>0</v>
      </c>
      <c r="S1177" s="126">
        <v>2</v>
      </c>
      <c r="T1177" s="126" t="s">
        <v>224</v>
      </c>
      <c r="U1177" s="158"/>
      <c r="V1177" s="153" t="str">
        <f t="array" ref="V1177">INDEX(xlRTCLNAME,MATCH(1,(xlRTCLENDU=1)*(xlRTCLEQCL=$D1177),0))</f>
        <v>ELEC_RAD</v>
      </c>
      <c r="W1177" s="153" t="str">
        <f t="array" ref="W1177">INDEX(xlRTCLNAME,MATCH(1,(xlRTCLENDU=2)*(xlRTCLEQCL=$F1177),0))</f>
        <v>CENT_AIR</v>
      </c>
      <c r="X1177" s="153" t="str">
        <f t="array" ref="X1177">INDEX(xlRTTYNAME,MATCH(1,(xlRTTYENDU=1)*(xlRTTYEQCL=$D1177)*(xlRTEQTYPE=$E1177),0))</f>
        <v>ELEC_RAD2</v>
      </c>
      <c r="Y1177" s="153" t="str">
        <f t="array" ref="Y1177">INDEX(xlRTTYNAME,MATCH(1,(xlRTTYENDU=2)*(xlRTTYEQCL=$F1177)*(xlRTEQTYPE=$G1177),0))</f>
        <v>CENT_AIR2</v>
      </c>
    </row>
    <row r="1178" spans="2:25" ht="14.25" customHeight="1" x14ac:dyDescent="0.2">
      <c r="B1178" s="126">
        <v>3</v>
      </c>
      <c r="C1178" s="126">
        <v>2</v>
      </c>
      <c r="D1178" s="126">
        <v>1</v>
      </c>
      <c r="E1178" s="126">
        <v>1</v>
      </c>
      <c r="F1178" s="126">
        <v>2</v>
      </c>
      <c r="G1178" s="126">
        <v>5</v>
      </c>
      <c r="H1178" s="126">
        <v>2016</v>
      </c>
      <c r="I1178" s="126">
        <v>2022</v>
      </c>
      <c r="J1178" s="127">
        <v>1.1020000000000001</v>
      </c>
      <c r="K1178" s="127">
        <v>1.0345</v>
      </c>
      <c r="L1178" s="127">
        <v>0.85909999999999997</v>
      </c>
      <c r="M1178" s="127">
        <v>1.1000000000000001</v>
      </c>
      <c r="N1178" s="127">
        <v>1.0386</v>
      </c>
      <c r="O1178" s="127">
        <v>1.0538000000000001</v>
      </c>
      <c r="P1178" s="126">
        <v>2421</v>
      </c>
      <c r="Q1178" s="128">
        <f t="array" ref="Q1178">SUM(IF(($S1178&gt;=4)*($C1178='TaxCred&amp;Subs'!$D$123:$D$127)*($H1178='TaxCred&amp;Subs'!$C$123:$C$127)*($H1178&lt;='TaxCred&amp;Subs'!$C$129),'TaxCred&amp;Subs'!$E$123:$E$127,0))</f>
        <v>0</v>
      </c>
      <c r="R1178" s="174">
        <v>0</v>
      </c>
      <c r="S1178" s="126">
        <v>2</v>
      </c>
      <c r="T1178" s="126" t="s">
        <v>224</v>
      </c>
      <c r="U1178" s="158"/>
      <c r="V1178" s="153" t="str">
        <f t="array" ref="V1178">INDEX(xlRTCLNAME,MATCH(1,(xlRTCLENDU=1)*(xlRTCLEQCL=$D1178),0))</f>
        <v>ELEC_RAD</v>
      </c>
      <c r="W1178" s="153" t="str">
        <f t="array" ref="W1178">INDEX(xlRTCLNAME,MATCH(1,(xlRTCLENDU=2)*(xlRTCLEQCL=$F1178),0))</f>
        <v>CENT_AIR</v>
      </c>
      <c r="X1178" s="153" t="str">
        <f t="array" ref="X1178">INDEX(xlRTTYNAME,MATCH(1,(xlRTTYENDU=1)*(xlRTTYEQCL=$D1178)*(xlRTEQTYPE=$E1178),0))</f>
        <v>ELEC_RAD2</v>
      </c>
      <c r="Y1178" s="153" t="str">
        <f t="array" ref="Y1178">INDEX(xlRTTYNAME,MATCH(1,(xlRTTYENDU=2)*(xlRTTYEQCL=$F1178)*(xlRTEQTYPE=$G1178),0))</f>
        <v>CENT_AIR1</v>
      </c>
    </row>
    <row r="1179" spans="2:25" ht="14.25" customHeight="1" x14ac:dyDescent="0.2">
      <c r="B1179" s="126">
        <v>3</v>
      </c>
      <c r="C1179" s="126">
        <v>2</v>
      </c>
      <c r="D1179" s="126">
        <v>1</v>
      </c>
      <c r="E1179" s="126">
        <v>1</v>
      </c>
      <c r="F1179" s="126">
        <v>2</v>
      </c>
      <c r="G1179" s="126">
        <v>6</v>
      </c>
      <c r="H1179" s="126">
        <v>2023</v>
      </c>
      <c r="I1179" s="126">
        <v>2050</v>
      </c>
      <c r="J1179" s="127">
        <v>1.1020000000000001</v>
      </c>
      <c r="K1179" s="127">
        <v>1.0345</v>
      </c>
      <c r="L1179" s="127">
        <v>0.85909999999999997</v>
      </c>
      <c r="M1179" s="127">
        <v>1.1000000000000001</v>
      </c>
      <c r="N1179" s="127">
        <v>1.0386</v>
      </c>
      <c r="O1179" s="127">
        <v>1.0538000000000001</v>
      </c>
      <c r="P1179" s="126">
        <v>2421</v>
      </c>
      <c r="Q1179" s="128">
        <f t="array" ref="Q1179">SUM(IF(($S1179&gt;=4)*($C1179='TaxCred&amp;Subs'!$D$123:$D$127)*($H1179='TaxCred&amp;Subs'!$C$123:$C$127)*($H1179&lt;='TaxCred&amp;Subs'!$C$129),'TaxCred&amp;Subs'!$E$123:$E$127,0))</f>
        <v>0</v>
      </c>
      <c r="R1179" s="174">
        <v>0</v>
      </c>
      <c r="S1179" s="126">
        <v>2</v>
      </c>
      <c r="T1179" s="126" t="s">
        <v>224</v>
      </c>
      <c r="U1179" s="158"/>
      <c r="V1179" s="153" t="str">
        <f t="array" ref="V1179">INDEX(xlRTCLNAME,MATCH(1,(xlRTCLENDU=1)*(xlRTCLEQCL=$D1179),0))</f>
        <v>ELEC_RAD</v>
      </c>
      <c r="W1179" s="153" t="str">
        <f t="array" ref="W1179">INDEX(xlRTCLNAME,MATCH(1,(xlRTCLENDU=2)*(xlRTCLEQCL=$F1179),0))</f>
        <v>CENT_AIR</v>
      </c>
      <c r="X1179" s="153" t="str">
        <f t="array" ref="X1179">INDEX(xlRTTYNAME,MATCH(1,(xlRTTYENDU=1)*(xlRTTYEQCL=$D1179)*(xlRTEQTYPE=$E1179),0))</f>
        <v>ELEC_RAD2</v>
      </c>
      <c r="Y1179" s="153" t="str">
        <f t="array" ref="Y1179">INDEX(xlRTTYNAME,MATCH(1,(xlRTTYENDU=2)*(xlRTTYEQCL=$F1179)*(xlRTEQTYPE=$G1179),0))</f>
        <v>CENT_AIR2</v>
      </c>
    </row>
    <row r="1180" spans="2:25" ht="14.25" customHeight="1" x14ac:dyDescent="0.2">
      <c r="B1180" s="126">
        <v>4</v>
      </c>
      <c r="C1180" s="126">
        <v>2</v>
      </c>
      <c r="D1180" s="126">
        <v>1</v>
      </c>
      <c r="E1180" s="126">
        <v>1</v>
      </c>
      <c r="F1180" s="126">
        <v>2</v>
      </c>
      <c r="G1180" s="126">
        <v>5</v>
      </c>
      <c r="H1180" s="126">
        <v>2016</v>
      </c>
      <c r="I1180" s="126">
        <v>2022</v>
      </c>
      <c r="J1180" s="127">
        <v>1.1000000000000001</v>
      </c>
      <c r="K1180" s="127">
        <v>1.0435000000000001</v>
      </c>
      <c r="L1180" s="127">
        <v>1.0206999999999999</v>
      </c>
      <c r="M1180" s="127">
        <v>1.175</v>
      </c>
      <c r="N1180" s="127">
        <v>1.1657</v>
      </c>
      <c r="O1180" s="127">
        <v>1.0538000000000001</v>
      </c>
      <c r="P1180" s="126">
        <v>2095</v>
      </c>
      <c r="Q1180" s="128">
        <f t="array" ref="Q1180">SUM(IF(($S1180&gt;=4)*($C1180='TaxCred&amp;Subs'!$D$123:$D$127)*($H1180='TaxCred&amp;Subs'!$C$123:$C$127)*($H1180&lt;='TaxCred&amp;Subs'!$C$129),'TaxCred&amp;Subs'!$E$123:$E$127,0))</f>
        <v>0</v>
      </c>
      <c r="R1180" s="174">
        <v>0</v>
      </c>
      <c r="S1180" s="126">
        <v>2</v>
      </c>
      <c r="T1180" s="126" t="s">
        <v>224</v>
      </c>
      <c r="U1180" s="158"/>
      <c r="V1180" s="153" t="str">
        <f t="array" ref="V1180">INDEX(xlRTCLNAME,MATCH(1,(xlRTCLENDU=1)*(xlRTCLEQCL=$D1180),0))</f>
        <v>ELEC_RAD</v>
      </c>
      <c r="W1180" s="153" t="str">
        <f t="array" ref="W1180">INDEX(xlRTCLNAME,MATCH(1,(xlRTCLENDU=2)*(xlRTCLEQCL=$F1180),0))</f>
        <v>CENT_AIR</v>
      </c>
      <c r="X1180" s="153" t="str">
        <f t="array" ref="X1180">INDEX(xlRTTYNAME,MATCH(1,(xlRTTYENDU=1)*(xlRTTYEQCL=$D1180)*(xlRTEQTYPE=$E1180),0))</f>
        <v>ELEC_RAD2</v>
      </c>
      <c r="Y1180" s="153" t="str">
        <f t="array" ref="Y1180">INDEX(xlRTTYNAME,MATCH(1,(xlRTTYENDU=2)*(xlRTTYEQCL=$F1180)*(xlRTEQTYPE=$G1180),0))</f>
        <v>CENT_AIR1</v>
      </c>
    </row>
    <row r="1181" spans="2:25" ht="14.25" customHeight="1" x14ac:dyDescent="0.2">
      <c r="B1181" s="126">
        <v>4</v>
      </c>
      <c r="C1181" s="126">
        <v>2</v>
      </c>
      <c r="D1181" s="126">
        <v>1</v>
      </c>
      <c r="E1181" s="126">
        <v>1</v>
      </c>
      <c r="F1181" s="126">
        <v>2</v>
      </c>
      <c r="G1181" s="126">
        <v>6</v>
      </c>
      <c r="H1181" s="126">
        <v>2023</v>
      </c>
      <c r="I1181" s="126">
        <v>2050</v>
      </c>
      <c r="J1181" s="127">
        <v>1.1000000000000001</v>
      </c>
      <c r="K1181" s="127">
        <v>1.0435000000000001</v>
      </c>
      <c r="L1181" s="127">
        <v>1.0206999999999999</v>
      </c>
      <c r="M1181" s="127">
        <v>1.175</v>
      </c>
      <c r="N1181" s="127">
        <v>1.1657</v>
      </c>
      <c r="O1181" s="127">
        <v>1.0538000000000001</v>
      </c>
      <c r="P1181" s="126">
        <v>2095</v>
      </c>
      <c r="Q1181" s="128">
        <f t="array" ref="Q1181">SUM(IF(($S1181&gt;=4)*($C1181='TaxCred&amp;Subs'!$D$123:$D$127)*($H1181='TaxCred&amp;Subs'!$C$123:$C$127)*($H1181&lt;='TaxCred&amp;Subs'!$C$129),'TaxCred&amp;Subs'!$E$123:$E$127,0))</f>
        <v>0</v>
      </c>
      <c r="R1181" s="174">
        <v>0</v>
      </c>
      <c r="S1181" s="126">
        <v>2</v>
      </c>
      <c r="T1181" s="126" t="s">
        <v>224</v>
      </c>
      <c r="U1181" s="158"/>
      <c r="V1181" s="153" t="str">
        <f t="array" ref="V1181">INDEX(xlRTCLNAME,MATCH(1,(xlRTCLENDU=1)*(xlRTCLEQCL=$D1181),0))</f>
        <v>ELEC_RAD</v>
      </c>
      <c r="W1181" s="153" t="str">
        <f t="array" ref="W1181">INDEX(xlRTCLNAME,MATCH(1,(xlRTCLENDU=2)*(xlRTCLEQCL=$F1181),0))</f>
        <v>CENT_AIR</v>
      </c>
      <c r="X1181" s="153" t="str">
        <f t="array" ref="X1181">INDEX(xlRTTYNAME,MATCH(1,(xlRTTYENDU=1)*(xlRTTYEQCL=$D1181)*(xlRTEQTYPE=$E1181),0))</f>
        <v>ELEC_RAD2</v>
      </c>
      <c r="Y1181" s="153" t="str">
        <f t="array" ref="Y1181">INDEX(xlRTTYNAME,MATCH(1,(xlRTTYENDU=2)*(xlRTTYEQCL=$F1181)*(xlRTEQTYPE=$G1181),0))</f>
        <v>CENT_AIR2</v>
      </c>
    </row>
    <row r="1182" spans="2:25" ht="14.25" customHeight="1" x14ac:dyDescent="0.2">
      <c r="B1182" s="126">
        <v>5</v>
      </c>
      <c r="C1182" s="126">
        <v>2</v>
      </c>
      <c r="D1182" s="126">
        <v>1</v>
      </c>
      <c r="E1182" s="126">
        <v>1</v>
      </c>
      <c r="F1182" s="126">
        <v>2</v>
      </c>
      <c r="G1182" s="126">
        <v>5</v>
      </c>
      <c r="H1182" s="126">
        <v>2016</v>
      </c>
      <c r="I1182" s="126">
        <v>2022</v>
      </c>
      <c r="J1182" s="127">
        <v>1.1200000000000001</v>
      </c>
      <c r="K1182" s="127">
        <v>1.0577000000000001</v>
      </c>
      <c r="L1182" s="127">
        <v>0.71309999999999996</v>
      </c>
      <c r="M1182" s="127">
        <v>1.1097999999999999</v>
      </c>
      <c r="N1182" s="127">
        <v>1.2619</v>
      </c>
      <c r="O1182" s="127">
        <v>1.0538000000000001</v>
      </c>
      <c r="P1182" s="126">
        <v>1753</v>
      </c>
      <c r="Q1182" s="128">
        <f t="array" ref="Q1182">SUM(IF(($S1182&gt;=4)*($C1182='TaxCred&amp;Subs'!$D$123:$D$127)*($H1182='TaxCred&amp;Subs'!$C$123:$C$127)*($H1182&lt;='TaxCred&amp;Subs'!$C$129),'TaxCred&amp;Subs'!$E$123:$E$127,0))</f>
        <v>0</v>
      </c>
      <c r="R1182" s="174">
        <v>0</v>
      </c>
      <c r="S1182" s="126">
        <v>2</v>
      </c>
      <c r="T1182" s="126" t="s">
        <v>224</v>
      </c>
      <c r="U1182" s="158"/>
      <c r="V1182" s="153" t="str">
        <f t="array" ref="V1182">INDEX(xlRTCLNAME,MATCH(1,(xlRTCLENDU=1)*(xlRTCLEQCL=$D1182),0))</f>
        <v>ELEC_RAD</v>
      </c>
      <c r="W1182" s="153" t="str">
        <f t="array" ref="W1182">INDEX(xlRTCLNAME,MATCH(1,(xlRTCLENDU=2)*(xlRTCLEQCL=$F1182),0))</f>
        <v>CENT_AIR</v>
      </c>
      <c r="X1182" s="153" t="str">
        <f t="array" ref="X1182">INDEX(xlRTTYNAME,MATCH(1,(xlRTTYENDU=1)*(xlRTTYEQCL=$D1182)*(xlRTEQTYPE=$E1182),0))</f>
        <v>ELEC_RAD2</v>
      </c>
      <c r="Y1182" s="153" t="str">
        <f t="array" ref="Y1182">INDEX(xlRTTYNAME,MATCH(1,(xlRTTYENDU=2)*(xlRTTYEQCL=$F1182)*(xlRTEQTYPE=$G1182),0))</f>
        <v>CENT_AIR1</v>
      </c>
    </row>
    <row r="1183" spans="2:25" ht="14.25" customHeight="1" x14ac:dyDescent="0.2">
      <c r="B1183" s="126">
        <v>5</v>
      </c>
      <c r="C1183" s="126">
        <v>2</v>
      </c>
      <c r="D1183" s="126">
        <v>1</v>
      </c>
      <c r="E1183" s="126">
        <v>1</v>
      </c>
      <c r="F1183" s="126">
        <v>2</v>
      </c>
      <c r="G1183" s="126">
        <v>6</v>
      </c>
      <c r="H1183" s="126">
        <v>2023</v>
      </c>
      <c r="I1183" s="126">
        <v>2050</v>
      </c>
      <c r="J1183" s="127">
        <v>1.1200000000000001</v>
      </c>
      <c r="K1183" s="127">
        <v>1.0577000000000001</v>
      </c>
      <c r="L1183" s="127">
        <v>0.71309999999999996</v>
      </c>
      <c r="M1183" s="127">
        <v>1.1097999999999999</v>
      </c>
      <c r="N1183" s="127">
        <v>1.2619</v>
      </c>
      <c r="O1183" s="127">
        <v>1.0538000000000001</v>
      </c>
      <c r="P1183" s="126">
        <v>1753</v>
      </c>
      <c r="Q1183" s="128">
        <f t="array" ref="Q1183">SUM(IF(($S1183&gt;=4)*($C1183='TaxCred&amp;Subs'!$D$123:$D$127)*($H1183='TaxCred&amp;Subs'!$C$123:$C$127)*($H1183&lt;='TaxCred&amp;Subs'!$C$129),'TaxCred&amp;Subs'!$E$123:$E$127,0))</f>
        <v>0</v>
      </c>
      <c r="R1183" s="174">
        <v>0</v>
      </c>
      <c r="S1183" s="126">
        <v>2</v>
      </c>
      <c r="T1183" s="126" t="s">
        <v>224</v>
      </c>
      <c r="U1183" s="158"/>
      <c r="V1183" s="153" t="str">
        <f t="array" ref="V1183">INDEX(xlRTCLNAME,MATCH(1,(xlRTCLENDU=1)*(xlRTCLEQCL=$D1183),0))</f>
        <v>ELEC_RAD</v>
      </c>
      <c r="W1183" s="153" t="str">
        <f t="array" ref="W1183">INDEX(xlRTCLNAME,MATCH(1,(xlRTCLENDU=2)*(xlRTCLEQCL=$F1183),0))</f>
        <v>CENT_AIR</v>
      </c>
      <c r="X1183" s="153" t="str">
        <f t="array" ref="X1183">INDEX(xlRTTYNAME,MATCH(1,(xlRTTYENDU=1)*(xlRTTYEQCL=$D1183)*(xlRTEQTYPE=$E1183),0))</f>
        <v>ELEC_RAD2</v>
      </c>
      <c r="Y1183" s="153" t="str">
        <f t="array" ref="Y1183">INDEX(xlRTTYNAME,MATCH(1,(xlRTTYENDU=2)*(xlRTTYEQCL=$F1183)*(xlRTEQTYPE=$G1183),0))</f>
        <v>CENT_AIR2</v>
      </c>
    </row>
    <row r="1184" spans="2:25" ht="14.25" customHeight="1" x14ac:dyDescent="0.2">
      <c r="B1184" s="126">
        <v>6</v>
      </c>
      <c r="C1184" s="126">
        <v>2</v>
      </c>
      <c r="D1184" s="126">
        <v>1</v>
      </c>
      <c r="E1184" s="126">
        <v>1</v>
      </c>
      <c r="F1184" s="126">
        <v>2</v>
      </c>
      <c r="G1184" s="126">
        <v>5</v>
      </c>
      <c r="H1184" s="126">
        <v>2016</v>
      </c>
      <c r="I1184" s="126">
        <v>2022</v>
      </c>
      <c r="J1184" s="127">
        <v>1.1000000000000001</v>
      </c>
      <c r="K1184" s="127">
        <v>1.0407999999999999</v>
      </c>
      <c r="L1184" s="127">
        <v>1.0688</v>
      </c>
      <c r="M1184" s="127">
        <v>1.1568000000000001</v>
      </c>
      <c r="N1184" s="127">
        <v>1.3324</v>
      </c>
      <c r="O1184" s="127">
        <v>1.0538000000000001</v>
      </c>
      <c r="P1184" s="126">
        <v>1928</v>
      </c>
      <c r="Q1184" s="128">
        <f t="array" ref="Q1184">SUM(IF(($S1184&gt;=4)*($C1184='TaxCred&amp;Subs'!$D$123:$D$127)*($H1184='TaxCred&amp;Subs'!$C$123:$C$127)*($H1184&lt;='TaxCred&amp;Subs'!$C$129),'TaxCred&amp;Subs'!$E$123:$E$127,0))</f>
        <v>0</v>
      </c>
      <c r="R1184" s="174">
        <v>0</v>
      </c>
      <c r="S1184" s="126">
        <v>2</v>
      </c>
      <c r="T1184" s="126" t="s">
        <v>224</v>
      </c>
      <c r="U1184" s="158"/>
      <c r="V1184" s="153" t="str">
        <f t="array" ref="V1184">INDEX(xlRTCLNAME,MATCH(1,(xlRTCLENDU=1)*(xlRTCLEQCL=$D1184),0))</f>
        <v>ELEC_RAD</v>
      </c>
      <c r="W1184" s="153" t="str">
        <f t="array" ref="W1184">INDEX(xlRTCLNAME,MATCH(1,(xlRTCLENDU=2)*(xlRTCLEQCL=$F1184),0))</f>
        <v>CENT_AIR</v>
      </c>
      <c r="X1184" s="153" t="str">
        <f t="array" ref="X1184">INDEX(xlRTTYNAME,MATCH(1,(xlRTTYENDU=1)*(xlRTTYEQCL=$D1184)*(xlRTEQTYPE=$E1184),0))</f>
        <v>ELEC_RAD2</v>
      </c>
      <c r="Y1184" s="153" t="str">
        <f t="array" ref="Y1184">INDEX(xlRTTYNAME,MATCH(1,(xlRTTYENDU=2)*(xlRTTYEQCL=$F1184)*(xlRTEQTYPE=$G1184),0))</f>
        <v>CENT_AIR1</v>
      </c>
    </row>
    <row r="1185" spans="2:25" ht="14.25" customHeight="1" x14ac:dyDescent="0.2">
      <c r="B1185" s="126">
        <v>6</v>
      </c>
      <c r="C1185" s="126">
        <v>2</v>
      </c>
      <c r="D1185" s="126">
        <v>1</v>
      </c>
      <c r="E1185" s="126">
        <v>1</v>
      </c>
      <c r="F1185" s="126">
        <v>2</v>
      </c>
      <c r="G1185" s="126">
        <v>6</v>
      </c>
      <c r="H1185" s="126">
        <v>2023</v>
      </c>
      <c r="I1185" s="126">
        <v>2050</v>
      </c>
      <c r="J1185" s="127">
        <v>1.1000000000000001</v>
      </c>
      <c r="K1185" s="127">
        <v>1.0407999999999999</v>
      </c>
      <c r="L1185" s="127">
        <v>1.0688</v>
      </c>
      <c r="M1185" s="127">
        <v>1.1568000000000001</v>
      </c>
      <c r="N1185" s="127">
        <v>1.3324</v>
      </c>
      <c r="O1185" s="127">
        <v>1.0538000000000001</v>
      </c>
      <c r="P1185" s="126">
        <v>1928</v>
      </c>
      <c r="Q1185" s="128">
        <f t="array" ref="Q1185">SUM(IF(($S1185&gt;=4)*($C1185='TaxCred&amp;Subs'!$D$123:$D$127)*($H1185='TaxCred&amp;Subs'!$C$123:$C$127)*($H1185&lt;='TaxCred&amp;Subs'!$C$129),'TaxCred&amp;Subs'!$E$123:$E$127,0))</f>
        <v>0</v>
      </c>
      <c r="R1185" s="174">
        <v>0</v>
      </c>
      <c r="S1185" s="126">
        <v>2</v>
      </c>
      <c r="T1185" s="126" t="s">
        <v>224</v>
      </c>
      <c r="U1185" s="158"/>
      <c r="V1185" s="153" t="str">
        <f t="array" ref="V1185">INDEX(xlRTCLNAME,MATCH(1,(xlRTCLENDU=1)*(xlRTCLEQCL=$D1185),0))</f>
        <v>ELEC_RAD</v>
      </c>
      <c r="W1185" s="153" t="str">
        <f t="array" ref="W1185">INDEX(xlRTCLNAME,MATCH(1,(xlRTCLENDU=2)*(xlRTCLEQCL=$F1185),0))</f>
        <v>CENT_AIR</v>
      </c>
      <c r="X1185" s="153" t="str">
        <f t="array" ref="X1185">INDEX(xlRTTYNAME,MATCH(1,(xlRTTYENDU=1)*(xlRTTYEQCL=$D1185)*(xlRTEQTYPE=$E1185),0))</f>
        <v>ELEC_RAD2</v>
      </c>
      <c r="Y1185" s="153" t="str">
        <f t="array" ref="Y1185">INDEX(xlRTTYNAME,MATCH(1,(xlRTTYENDU=2)*(xlRTTYEQCL=$F1185)*(xlRTEQTYPE=$G1185),0))</f>
        <v>CENT_AIR2</v>
      </c>
    </row>
    <row r="1186" spans="2:25" ht="14.25" customHeight="1" x14ac:dyDescent="0.2">
      <c r="B1186" s="126">
        <v>7</v>
      </c>
      <c r="C1186" s="126">
        <v>2</v>
      </c>
      <c r="D1186" s="126">
        <v>1</v>
      </c>
      <c r="E1186" s="126">
        <v>1</v>
      </c>
      <c r="F1186" s="126">
        <v>2</v>
      </c>
      <c r="G1186" s="126">
        <v>5</v>
      </c>
      <c r="H1186" s="126">
        <v>2016</v>
      </c>
      <c r="I1186" s="126">
        <v>2022</v>
      </c>
      <c r="J1186" s="127">
        <v>1.1200000000000001</v>
      </c>
      <c r="K1186" s="127">
        <v>1.0455000000000001</v>
      </c>
      <c r="L1186" s="127">
        <v>1.3438000000000001</v>
      </c>
      <c r="M1186" s="127">
        <v>1.169</v>
      </c>
      <c r="N1186" s="127">
        <v>1.4438</v>
      </c>
      <c r="O1186" s="127">
        <v>1.0538000000000001</v>
      </c>
      <c r="P1186" s="126">
        <v>1324</v>
      </c>
      <c r="Q1186" s="128">
        <f t="array" ref="Q1186">SUM(IF(($S1186&gt;=4)*($C1186='TaxCred&amp;Subs'!$D$123:$D$127)*($H1186='TaxCred&amp;Subs'!$C$123:$C$127)*($H1186&lt;='TaxCred&amp;Subs'!$C$129),'TaxCred&amp;Subs'!$E$123:$E$127,0))</f>
        <v>0</v>
      </c>
      <c r="R1186" s="174">
        <v>0</v>
      </c>
      <c r="S1186" s="126">
        <v>2</v>
      </c>
      <c r="T1186" s="126" t="s">
        <v>224</v>
      </c>
      <c r="U1186" s="158"/>
      <c r="V1186" s="153" t="str">
        <f t="array" ref="V1186">INDEX(xlRTCLNAME,MATCH(1,(xlRTCLENDU=1)*(xlRTCLEQCL=$D1186),0))</f>
        <v>ELEC_RAD</v>
      </c>
      <c r="W1186" s="153" t="str">
        <f t="array" ref="W1186">INDEX(xlRTCLNAME,MATCH(1,(xlRTCLENDU=2)*(xlRTCLEQCL=$F1186),0))</f>
        <v>CENT_AIR</v>
      </c>
      <c r="X1186" s="153" t="str">
        <f t="array" ref="X1186">INDEX(xlRTTYNAME,MATCH(1,(xlRTTYENDU=1)*(xlRTTYEQCL=$D1186)*(xlRTEQTYPE=$E1186),0))</f>
        <v>ELEC_RAD2</v>
      </c>
      <c r="Y1186" s="153" t="str">
        <f t="array" ref="Y1186">INDEX(xlRTTYNAME,MATCH(1,(xlRTTYENDU=2)*(xlRTTYEQCL=$F1186)*(xlRTEQTYPE=$G1186),0))</f>
        <v>CENT_AIR1</v>
      </c>
    </row>
    <row r="1187" spans="2:25" ht="14.25" customHeight="1" x14ac:dyDescent="0.2">
      <c r="B1187" s="126">
        <v>7</v>
      </c>
      <c r="C1187" s="126">
        <v>2</v>
      </c>
      <c r="D1187" s="126">
        <v>1</v>
      </c>
      <c r="E1187" s="126">
        <v>1</v>
      </c>
      <c r="F1187" s="126">
        <v>2</v>
      </c>
      <c r="G1187" s="126">
        <v>6</v>
      </c>
      <c r="H1187" s="126">
        <v>2023</v>
      </c>
      <c r="I1187" s="126">
        <v>2050</v>
      </c>
      <c r="J1187" s="127">
        <v>1.1200000000000001</v>
      </c>
      <c r="K1187" s="127">
        <v>1.0455000000000001</v>
      </c>
      <c r="L1187" s="127">
        <v>1.3438000000000001</v>
      </c>
      <c r="M1187" s="127">
        <v>1.169</v>
      </c>
      <c r="N1187" s="127">
        <v>1.4438</v>
      </c>
      <c r="O1187" s="127">
        <v>1.0538000000000001</v>
      </c>
      <c r="P1187" s="126">
        <v>1324</v>
      </c>
      <c r="Q1187" s="128">
        <f t="array" ref="Q1187">SUM(IF(($S1187&gt;=4)*($C1187='TaxCred&amp;Subs'!$D$123:$D$127)*($H1187='TaxCred&amp;Subs'!$C$123:$C$127)*($H1187&lt;='TaxCred&amp;Subs'!$C$129),'TaxCred&amp;Subs'!$E$123:$E$127,0))</f>
        <v>0</v>
      </c>
      <c r="R1187" s="174">
        <v>0</v>
      </c>
      <c r="S1187" s="126">
        <v>2</v>
      </c>
      <c r="T1187" s="126" t="s">
        <v>224</v>
      </c>
      <c r="U1187" s="158"/>
      <c r="V1187" s="153" t="str">
        <f t="array" ref="V1187">INDEX(xlRTCLNAME,MATCH(1,(xlRTCLENDU=1)*(xlRTCLEQCL=$D1187),0))</f>
        <v>ELEC_RAD</v>
      </c>
      <c r="W1187" s="153" t="str">
        <f t="array" ref="W1187">INDEX(xlRTCLNAME,MATCH(1,(xlRTCLENDU=2)*(xlRTCLEQCL=$F1187),0))</f>
        <v>CENT_AIR</v>
      </c>
      <c r="X1187" s="153" t="str">
        <f t="array" ref="X1187">INDEX(xlRTTYNAME,MATCH(1,(xlRTTYENDU=1)*(xlRTTYEQCL=$D1187)*(xlRTEQTYPE=$E1187),0))</f>
        <v>ELEC_RAD2</v>
      </c>
      <c r="Y1187" s="153" t="str">
        <f t="array" ref="Y1187">INDEX(xlRTTYNAME,MATCH(1,(xlRTTYENDU=2)*(xlRTTYEQCL=$F1187)*(xlRTEQTYPE=$G1187),0))</f>
        <v>CENT_AIR2</v>
      </c>
    </row>
    <row r="1188" spans="2:25" ht="14.25" customHeight="1" x14ac:dyDescent="0.2">
      <c r="B1188" s="126">
        <v>8</v>
      </c>
      <c r="C1188" s="126">
        <v>2</v>
      </c>
      <c r="D1188" s="126">
        <v>1</v>
      </c>
      <c r="E1188" s="126">
        <v>1</v>
      </c>
      <c r="F1188" s="126">
        <v>2</v>
      </c>
      <c r="G1188" s="126">
        <v>5</v>
      </c>
      <c r="H1188" s="126">
        <v>2016</v>
      </c>
      <c r="I1188" s="126">
        <v>2022</v>
      </c>
      <c r="J1188" s="127">
        <v>1.1026</v>
      </c>
      <c r="K1188" s="127">
        <v>1.0645</v>
      </c>
      <c r="L1188" s="127">
        <v>0.82620000000000005</v>
      </c>
      <c r="M1188" s="127">
        <v>1.2739</v>
      </c>
      <c r="N1188" s="127">
        <v>1.2785</v>
      </c>
      <c r="O1188" s="127">
        <v>1.0538000000000001</v>
      </c>
      <c r="P1188" s="126">
        <v>2390</v>
      </c>
      <c r="Q1188" s="128">
        <f t="array" ref="Q1188">SUM(IF(($S1188&gt;=4)*($C1188='TaxCred&amp;Subs'!$D$123:$D$127)*($H1188='TaxCred&amp;Subs'!$C$123:$C$127)*($H1188&lt;='TaxCred&amp;Subs'!$C$129),'TaxCred&amp;Subs'!$E$123:$E$127,0))</f>
        <v>0</v>
      </c>
      <c r="R1188" s="174">
        <v>0</v>
      </c>
      <c r="S1188" s="126">
        <v>2</v>
      </c>
      <c r="T1188" s="126" t="s">
        <v>224</v>
      </c>
      <c r="U1188" s="158"/>
      <c r="V1188" s="153" t="str">
        <f t="array" ref="V1188">INDEX(xlRTCLNAME,MATCH(1,(xlRTCLENDU=1)*(xlRTCLEQCL=$D1188),0))</f>
        <v>ELEC_RAD</v>
      </c>
      <c r="W1188" s="153" t="str">
        <f t="array" ref="W1188">INDEX(xlRTCLNAME,MATCH(1,(xlRTCLENDU=2)*(xlRTCLEQCL=$F1188),0))</f>
        <v>CENT_AIR</v>
      </c>
      <c r="X1188" s="153" t="str">
        <f t="array" ref="X1188">INDEX(xlRTTYNAME,MATCH(1,(xlRTTYENDU=1)*(xlRTTYEQCL=$D1188)*(xlRTEQTYPE=$E1188),0))</f>
        <v>ELEC_RAD2</v>
      </c>
      <c r="Y1188" s="153" t="str">
        <f t="array" ref="Y1188">INDEX(xlRTTYNAME,MATCH(1,(xlRTTYENDU=2)*(xlRTTYEQCL=$F1188)*(xlRTEQTYPE=$G1188),0))</f>
        <v>CENT_AIR1</v>
      </c>
    </row>
    <row r="1189" spans="2:25" ht="14.25" customHeight="1" x14ac:dyDescent="0.2">
      <c r="B1189" s="126">
        <v>8</v>
      </c>
      <c r="C1189" s="126">
        <v>2</v>
      </c>
      <c r="D1189" s="126">
        <v>1</v>
      </c>
      <c r="E1189" s="126">
        <v>1</v>
      </c>
      <c r="F1189" s="126">
        <v>2</v>
      </c>
      <c r="G1189" s="126">
        <v>6</v>
      </c>
      <c r="H1189" s="126">
        <v>2023</v>
      </c>
      <c r="I1189" s="126">
        <v>2050</v>
      </c>
      <c r="J1189" s="127">
        <v>1.1026</v>
      </c>
      <c r="K1189" s="127">
        <v>1.0645</v>
      </c>
      <c r="L1189" s="127">
        <v>0.82620000000000005</v>
      </c>
      <c r="M1189" s="127">
        <v>1.2739</v>
      </c>
      <c r="N1189" s="127">
        <v>1.2785</v>
      </c>
      <c r="O1189" s="127">
        <v>1.0538000000000001</v>
      </c>
      <c r="P1189" s="126">
        <v>2390</v>
      </c>
      <c r="Q1189" s="128">
        <f t="array" ref="Q1189">SUM(IF(($S1189&gt;=4)*($C1189='TaxCred&amp;Subs'!$D$123:$D$127)*($H1189='TaxCred&amp;Subs'!$C$123:$C$127)*($H1189&lt;='TaxCred&amp;Subs'!$C$129),'TaxCred&amp;Subs'!$E$123:$E$127,0))</f>
        <v>0</v>
      </c>
      <c r="R1189" s="174">
        <v>0</v>
      </c>
      <c r="S1189" s="126">
        <v>2</v>
      </c>
      <c r="T1189" s="126" t="s">
        <v>224</v>
      </c>
      <c r="U1189" s="158"/>
      <c r="V1189" s="153" t="str">
        <f t="array" ref="V1189">INDEX(xlRTCLNAME,MATCH(1,(xlRTCLENDU=1)*(xlRTCLEQCL=$D1189),0))</f>
        <v>ELEC_RAD</v>
      </c>
      <c r="W1189" s="153" t="str">
        <f t="array" ref="W1189">INDEX(xlRTCLNAME,MATCH(1,(xlRTCLENDU=2)*(xlRTCLEQCL=$F1189),0))</f>
        <v>CENT_AIR</v>
      </c>
      <c r="X1189" s="153" t="str">
        <f t="array" ref="X1189">INDEX(xlRTTYNAME,MATCH(1,(xlRTTYENDU=1)*(xlRTTYEQCL=$D1189)*(xlRTEQTYPE=$E1189),0))</f>
        <v>ELEC_RAD2</v>
      </c>
      <c r="Y1189" s="153" t="str">
        <f t="array" ref="Y1189">INDEX(xlRTTYNAME,MATCH(1,(xlRTTYENDU=2)*(xlRTTYEQCL=$F1189)*(xlRTEQTYPE=$G1189),0))</f>
        <v>CENT_AIR2</v>
      </c>
    </row>
    <row r="1190" spans="2:25" ht="14.25" customHeight="1" x14ac:dyDescent="0.2">
      <c r="B1190" s="126">
        <v>9</v>
      </c>
      <c r="C1190" s="126">
        <v>2</v>
      </c>
      <c r="D1190" s="126">
        <v>1</v>
      </c>
      <c r="E1190" s="126">
        <v>1</v>
      </c>
      <c r="F1190" s="126">
        <v>2</v>
      </c>
      <c r="G1190" s="126">
        <v>5</v>
      </c>
      <c r="H1190" s="126">
        <v>2016</v>
      </c>
      <c r="I1190" s="126">
        <v>2022</v>
      </c>
      <c r="J1190" s="127">
        <v>1.1200000000000001</v>
      </c>
      <c r="K1190" s="127">
        <v>1.0541</v>
      </c>
      <c r="L1190" s="127">
        <v>0.94379999999999997</v>
      </c>
      <c r="M1190" s="127">
        <v>1.2166999999999999</v>
      </c>
      <c r="N1190" s="127">
        <v>1.4438</v>
      </c>
      <c r="O1190" s="127">
        <v>1.0538000000000001</v>
      </c>
      <c r="P1190" s="126">
        <v>1907</v>
      </c>
      <c r="Q1190" s="128">
        <f t="array" ref="Q1190">SUM(IF(($S1190&gt;=4)*($C1190='TaxCred&amp;Subs'!$D$123:$D$127)*($H1190='TaxCred&amp;Subs'!$C$123:$C$127)*($H1190&lt;='TaxCred&amp;Subs'!$C$129),'TaxCred&amp;Subs'!$E$123:$E$127,0))</f>
        <v>0</v>
      </c>
      <c r="R1190" s="174">
        <v>0</v>
      </c>
      <c r="S1190" s="126">
        <v>2</v>
      </c>
      <c r="T1190" s="126" t="s">
        <v>224</v>
      </c>
      <c r="U1190" s="158"/>
      <c r="V1190" s="153" t="str">
        <f t="array" ref="V1190">INDEX(xlRTCLNAME,MATCH(1,(xlRTCLENDU=1)*(xlRTCLEQCL=$D1190),0))</f>
        <v>ELEC_RAD</v>
      </c>
      <c r="W1190" s="153" t="str">
        <f t="array" ref="W1190">INDEX(xlRTCLNAME,MATCH(1,(xlRTCLENDU=2)*(xlRTCLEQCL=$F1190),0))</f>
        <v>CENT_AIR</v>
      </c>
      <c r="X1190" s="153" t="str">
        <f t="array" ref="X1190">INDEX(xlRTTYNAME,MATCH(1,(xlRTTYENDU=1)*(xlRTTYEQCL=$D1190)*(xlRTEQTYPE=$E1190),0))</f>
        <v>ELEC_RAD2</v>
      </c>
      <c r="Y1190" s="153" t="str">
        <f t="array" ref="Y1190">INDEX(xlRTTYNAME,MATCH(1,(xlRTTYENDU=2)*(xlRTTYEQCL=$F1190)*(xlRTEQTYPE=$G1190),0))</f>
        <v>CENT_AIR1</v>
      </c>
    </row>
    <row r="1191" spans="2:25" ht="14.25" customHeight="1" x14ac:dyDescent="0.2">
      <c r="B1191" s="126">
        <v>9</v>
      </c>
      <c r="C1191" s="126">
        <v>2</v>
      </c>
      <c r="D1191" s="126">
        <v>1</v>
      </c>
      <c r="E1191" s="126">
        <v>1</v>
      </c>
      <c r="F1191" s="126">
        <v>2</v>
      </c>
      <c r="G1191" s="126">
        <v>6</v>
      </c>
      <c r="H1191" s="126">
        <v>2023</v>
      </c>
      <c r="I1191" s="126">
        <v>2050</v>
      </c>
      <c r="J1191" s="127">
        <v>1.1200000000000001</v>
      </c>
      <c r="K1191" s="127">
        <v>1.0541</v>
      </c>
      <c r="L1191" s="127">
        <v>0.94379999999999997</v>
      </c>
      <c r="M1191" s="127">
        <v>1.2166999999999999</v>
      </c>
      <c r="N1191" s="127">
        <v>1.4438</v>
      </c>
      <c r="O1191" s="127">
        <v>1.0538000000000001</v>
      </c>
      <c r="P1191" s="126">
        <v>1907</v>
      </c>
      <c r="Q1191" s="128">
        <f t="array" ref="Q1191">SUM(IF(($S1191&gt;=4)*($C1191='TaxCred&amp;Subs'!$D$123:$D$127)*($H1191='TaxCred&amp;Subs'!$C$123:$C$127)*($H1191&lt;='TaxCred&amp;Subs'!$C$129),'TaxCred&amp;Subs'!$E$123:$E$127,0))</f>
        <v>0</v>
      </c>
      <c r="R1191" s="174">
        <v>0</v>
      </c>
      <c r="S1191" s="126">
        <v>2</v>
      </c>
      <c r="T1191" s="126" t="s">
        <v>224</v>
      </c>
      <c r="U1191" s="158"/>
      <c r="V1191" s="153" t="str">
        <f t="array" ref="V1191">INDEX(xlRTCLNAME,MATCH(1,(xlRTCLENDU=1)*(xlRTCLEQCL=$D1191),0))</f>
        <v>ELEC_RAD</v>
      </c>
      <c r="W1191" s="153" t="str">
        <f t="array" ref="W1191">INDEX(xlRTCLNAME,MATCH(1,(xlRTCLENDU=2)*(xlRTCLEQCL=$F1191),0))</f>
        <v>CENT_AIR</v>
      </c>
      <c r="X1191" s="153" t="str">
        <f t="array" ref="X1191">INDEX(xlRTTYNAME,MATCH(1,(xlRTTYENDU=1)*(xlRTTYEQCL=$D1191)*(xlRTEQTYPE=$E1191),0))</f>
        <v>ELEC_RAD2</v>
      </c>
      <c r="Y1191" s="153" t="str">
        <f t="array" ref="Y1191">INDEX(xlRTTYNAME,MATCH(1,(xlRTTYENDU=2)*(xlRTTYEQCL=$F1191)*(xlRTEQTYPE=$G1191),0))</f>
        <v>CENT_AIR2</v>
      </c>
    </row>
    <row r="1192" spans="2:25" ht="14.25" customHeight="1" x14ac:dyDescent="0.2">
      <c r="B1192" s="126">
        <v>1</v>
      </c>
      <c r="C1192" s="126">
        <v>2</v>
      </c>
      <c r="D1192" s="126">
        <v>2</v>
      </c>
      <c r="E1192" s="126">
        <v>2</v>
      </c>
      <c r="F1192" s="126">
        <v>3</v>
      </c>
      <c r="G1192" s="126">
        <v>9</v>
      </c>
      <c r="H1192" s="126">
        <v>2016</v>
      </c>
      <c r="I1192" s="126">
        <v>2022</v>
      </c>
      <c r="J1192" s="127">
        <v>1.0909</v>
      </c>
      <c r="K1192" s="127">
        <v>1.04</v>
      </c>
      <c r="L1192" s="127">
        <v>1.0361</v>
      </c>
      <c r="M1192" s="127">
        <v>1.1681999999999999</v>
      </c>
      <c r="N1192" s="127">
        <v>1.1119000000000001</v>
      </c>
      <c r="O1192" s="127">
        <v>1.0538000000000001</v>
      </c>
      <c r="P1192" s="126">
        <v>2099</v>
      </c>
      <c r="Q1192" s="128">
        <f t="array" ref="Q1192">SUM(IF(($S1192&gt;=4)*($C1192='TaxCred&amp;Subs'!$D$123:$D$127)*($H1192='TaxCred&amp;Subs'!$C$123:$C$127)*($H1192&lt;='TaxCred&amp;Subs'!$C$129),'TaxCred&amp;Subs'!$E$123:$E$127,0))</f>
        <v>0</v>
      </c>
      <c r="R1192" s="174">
        <v>0</v>
      </c>
      <c r="S1192" s="126">
        <v>2</v>
      </c>
      <c r="T1192" s="126" t="s">
        <v>224</v>
      </c>
      <c r="U1192" s="158"/>
      <c r="V1192" s="153" t="str">
        <f t="array" ref="V1192">INDEX(xlRTCLNAME,MATCH(1,(xlRTCLENDU=1)*(xlRTCLEQCL=$D1192),0))</f>
        <v>ELEC_HP</v>
      </c>
      <c r="W1192" s="153" t="str">
        <f t="array" ref="W1192">INDEX(xlRTCLNAME,MATCH(1,(xlRTCLENDU=2)*(xlRTCLEQCL=$F1192),0))</f>
        <v>ELEC_HP</v>
      </c>
      <c r="X1192" s="153" t="str">
        <f t="array" ref="X1192">INDEX(xlRTTYNAME,MATCH(1,(xlRTTYENDU=1)*(xlRTTYEQCL=$D1192)*(xlRTEQTYPE=$E1192),0))</f>
        <v>ELEC_HP1</v>
      </c>
      <c r="Y1192" s="153" t="str">
        <f t="array" ref="Y1192">INDEX(xlRTTYNAME,MATCH(1,(xlRTTYENDU=2)*(xlRTTYEQCL=$F1192)*(xlRTEQTYPE=$G1192),0))</f>
        <v>ELEC_HP1</v>
      </c>
    </row>
    <row r="1193" spans="2:25" ht="14.25" customHeight="1" x14ac:dyDescent="0.2">
      <c r="B1193" s="126">
        <v>1</v>
      </c>
      <c r="C1193" s="126">
        <v>2</v>
      </c>
      <c r="D1193" s="126">
        <v>2</v>
      </c>
      <c r="E1193" s="126">
        <v>3</v>
      </c>
      <c r="F1193" s="126">
        <v>3</v>
      </c>
      <c r="G1193" s="126">
        <v>10</v>
      </c>
      <c r="H1193" s="126">
        <v>2023</v>
      </c>
      <c r="I1193" s="126">
        <v>2050</v>
      </c>
      <c r="J1193" s="127">
        <v>1.0909</v>
      </c>
      <c r="K1193" s="127">
        <v>1.04</v>
      </c>
      <c r="L1193" s="127">
        <v>1.0361</v>
      </c>
      <c r="M1193" s="127">
        <v>1.1681999999999999</v>
      </c>
      <c r="N1193" s="127">
        <v>1.1119000000000001</v>
      </c>
      <c r="O1193" s="127">
        <v>1.0538000000000001</v>
      </c>
      <c r="P1193" s="126">
        <v>2099</v>
      </c>
      <c r="Q1193" s="128">
        <f t="array" ref="Q1193">SUM(IF(($S1193&gt;=4)*($C1193='TaxCred&amp;Subs'!$D$123:$D$127)*($H1193='TaxCred&amp;Subs'!$C$123:$C$127)*($H1193&lt;='TaxCred&amp;Subs'!$C$129),'TaxCred&amp;Subs'!$E$123:$E$127,0))</f>
        <v>0</v>
      </c>
      <c r="R1193" s="174">
        <v>0</v>
      </c>
      <c r="S1193" s="126">
        <v>2</v>
      </c>
      <c r="T1193" s="126" t="s">
        <v>224</v>
      </c>
      <c r="U1193" s="158"/>
      <c r="V1193" s="153" t="str">
        <f t="array" ref="V1193">INDEX(xlRTCLNAME,MATCH(1,(xlRTCLENDU=1)*(xlRTCLEQCL=$D1193),0))</f>
        <v>ELEC_HP</v>
      </c>
      <c r="W1193" s="153" t="str">
        <f t="array" ref="W1193">INDEX(xlRTCLNAME,MATCH(1,(xlRTCLENDU=2)*(xlRTCLEQCL=$F1193),0))</f>
        <v>ELEC_HP</v>
      </c>
      <c r="X1193" s="153" t="str">
        <f t="array" ref="X1193">INDEX(xlRTTYNAME,MATCH(1,(xlRTTYENDU=1)*(xlRTTYEQCL=$D1193)*(xlRTEQTYPE=$E1193),0))</f>
        <v>ELEC_HP2</v>
      </c>
      <c r="Y1193" s="153" t="str">
        <f t="array" ref="Y1193">INDEX(xlRTTYNAME,MATCH(1,(xlRTTYENDU=2)*(xlRTTYEQCL=$F1193)*(xlRTEQTYPE=$G1193),0))</f>
        <v>ELEC_HP2</v>
      </c>
    </row>
    <row r="1194" spans="2:25" ht="14.25" customHeight="1" x14ac:dyDescent="0.2">
      <c r="B1194" s="126">
        <v>2</v>
      </c>
      <c r="C1194" s="126">
        <v>2</v>
      </c>
      <c r="D1194" s="126">
        <v>2</v>
      </c>
      <c r="E1194" s="126">
        <v>2</v>
      </c>
      <c r="F1194" s="126">
        <v>3</v>
      </c>
      <c r="G1194" s="126">
        <v>9</v>
      </c>
      <c r="H1194" s="126">
        <v>2016</v>
      </c>
      <c r="I1194" s="126">
        <v>2022</v>
      </c>
      <c r="J1194" s="127">
        <v>1.0847</v>
      </c>
      <c r="K1194" s="127">
        <v>1.0345</v>
      </c>
      <c r="L1194" s="127">
        <v>1.0993999999999999</v>
      </c>
      <c r="M1194" s="127">
        <v>1.2041999999999999</v>
      </c>
      <c r="N1194" s="127">
        <v>1.1213</v>
      </c>
      <c r="O1194" s="127">
        <v>1.0538000000000001</v>
      </c>
      <c r="P1194" s="126">
        <v>149</v>
      </c>
      <c r="Q1194" s="128">
        <f t="array" ref="Q1194">SUM(IF(($S1194&gt;=4)*($C1194='TaxCred&amp;Subs'!$D$123:$D$127)*($H1194='TaxCred&amp;Subs'!$C$123:$C$127)*($H1194&lt;='TaxCred&amp;Subs'!$C$129),'TaxCred&amp;Subs'!$E$123:$E$127,0))</f>
        <v>0</v>
      </c>
      <c r="R1194" s="174">
        <v>0</v>
      </c>
      <c r="S1194" s="126">
        <v>2</v>
      </c>
      <c r="T1194" s="126" t="s">
        <v>224</v>
      </c>
      <c r="U1194" s="158"/>
      <c r="V1194" s="153" t="str">
        <f t="array" ref="V1194">INDEX(xlRTCLNAME,MATCH(1,(xlRTCLENDU=1)*(xlRTCLEQCL=$D1194),0))</f>
        <v>ELEC_HP</v>
      </c>
      <c r="W1194" s="153" t="str">
        <f t="array" ref="W1194">INDEX(xlRTCLNAME,MATCH(1,(xlRTCLENDU=2)*(xlRTCLEQCL=$F1194),0))</f>
        <v>ELEC_HP</v>
      </c>
      <c r="X1194" s="153" t="str">
        <f t="array" ref="X1194">INDEX(xlRTTYNAME,MATCH(1,(xlRTTYENDU=1)*(xlRTTYEQCL=$D1194)*(xlRTEQTYPE=$E1194),0))</f>
        <v>ELEC_HP1</v>
      </c>
      <c r="Y1194" s="153" t="str">
        <f t="array" ref="Y1194">INDEX(xlRTTYNAME,MATCH(1,(xlRTTYENDU=2)*(xlRTTYEQCL=$F1194)*(xlRTEQTYPE=$G1194),0))</f>
        <v>ELEC_HP1</v>
      </c>
    </row>
    <row r="1195" spans="2:25" ht="14.25" customHeight="1" x14ac:dyDescent="0.2">
      <c r="B1195" s="126">
        <v>2</v>
      </c>
      <c r="C1195" s="126">
        <v>2</v>
      </c>
      <c r="D1195" s="126">
        <v>2</v>
      </c>
      <c r="E1195" s="126">
        <v>3</v>
      </c>
      <c r="F1195" s="126">
        <v>3</v>
      </c>
      <c r="G1195" s="126">
        <v>10</v>
      </c>
      <c r="H1195" s="126">
        <v>2023</v>
      </c>
      <c r="I1195" s="126">
        <v>2050</v>
      </c>
      <c r="J1195" s="127">
        <v>1.0847</v>
      </c>
      <c r="K1195" s="127">
        <v>1.0345</v>
      </c>
      <c r="L1195" s="127">
        <v>1.0993999999999999</v>
      </c>
      <c r="M1195" s="127">
        <v>1.2041999999999999</v>
      </c>
      <c r="N1195" s="127">
        <v>1.1213</v>
      </c>
      <c r="O1195" s="127">
        <v>1.0538000000000001</v>
      </c>
      <c r="P1195" s="126">
        <v>149</v>
      </c>
      <c r="Q1195" s="128">
        <f t="array" ref="Q1195">SUM(IF(($S1195&gt;=4)*($C1195='TaxCred&amp;Subs'!$D$123:$D$127)*($H1195='TaxCred&amp;Subs'!$C$123:$C$127)*($H1195&lt;='TaxCred&amp;Subs'!$C$129),'TaxCred&amp;Subs'!$E$123:$E$127,0))</f>
        <v>0</v>
      </c>
      <c r="R1195" s="174">
        <v>0</v>
      </c>
      <c r="S1195" s="126">
        <v>2</v>
      </c>
      <c r="T1195" s="126" t="s">
        <v>224</v>
      </c>
      <c r="U1195" s="158"/>
      <c r="V1195" s="153" t="str">
        <f t="array" ref="V1195">INDEX(xlRTCLNAME,MATCH(1,(xlRTCLENDU=1)*(xlRTCLEQCL=$D1195),0))</f>
        <v>ELEC_HP</v>
      </c>
      <c r="W1195" s="153" t="str">
        <f t="array" ref="W1195">INDEX(xlRTCLNAME,MATCH(1,(xlRTCLENDU=2)*(xlRTCLEQCL=$F1195),0))</f>
        <v>ELEC_HP</v>
      </c>
      <c r="X1195" s="153" t="str">
        <f t="array" ref="X1195">INDEX(xlRTTYNAME,MATCH(1,(xlRTTYENDU=1)*(xlRTTYEQCL=$D1195)*(xlRTEQTYPE=$E1195),0))</f>
        <v>ELEC_HP2</v>
      </c>
      <c r="Y1195" s="153" t="str">
        <f t="array" ref="Y1195">INDEX(xlRTTYNAME,MATCH(1,(xlRTTYENDU=2)*(xlRTTYEQCL=$F1195)*(xlRTEQTYPE=$G1195),0))</f>
        <v>ELEC_HP2</v>
      </c>
    </row>
    <row r="1196" spans="2:25" ht="14.25" customHeight="1" x14ac:dyDescent="0.2">
      <c r="B1196" s="126">
        <v>3</v>
      </c>
      <c r="C1196" s="126">
        <v>2</v>
      </c>
      <c r="D1196" s="126">
        <v>2</v>
      </c>
      <c r="E1196" s="126">
        <v>2</v>
      </c>
      <c r="F1196" s="126">
        <v>3</v>
      </c>
      <c r="G1196" s="126">
        <v>9</v>
      </c>
      <c r="H1196" s="126">
        <v>2016</v>
      </c>
      <c r="I1196" s="126">
        <v>2022</v>
      </c>
      <c r="J1196" s="127">
        <v>1.0932999999999999</v>
      </c>
      <c r="K1196" s="127">
        <v>1.0345</v>
      </c>
      <c r="L1196" s="127">
        <v>0.93079999999999996</v>
      </c>
      <c r="M1196" s="127">
        <v>1.1000000000000001</v>
      </c>
      <c r="N1196" s="127">
        <v>1.0358000000000001</v>
      </c>
      <c r="O1196" s="127">
        <v>1.0538000000000001</v>
      </c>
      <c r="P1196" s="126">
        <v>1793</v>
      </c>
      <c r="Q1196" s="128">
        <f t="array" ref="Q1196">SUM(IF(($S1196&gt;=4)*($C1196='TaxCred&amp;Subs'!$D$123:$D$127)*($H1196='TaxCred&amp;Subs'!$C$123:$C$127)*($H1196&lt;='TaxCred&amp;Subs'!$C$129),'TaxCred&amp;Subs'!$E$123:$E$127,0))</f>
        <v>0</v>
      </c>
      <c r="R1196" s="174">
        <v>0</v>
      </c>
      <c r="S1196" s="126">
        <v>2</v>
      </c>
      <c r="T1196" s="126" t="s">
        <v>224</v>
      </c>
      <c r="U1196" s="158"/>
      <c r="V1196" s="153" t="str">
        <f t="array" ref="V1196">INDEX(xlRTCLNAME,MATCH(1,(xlRTCLENDU=1)*(xlRTCLEQCL=$D1196),0))</f>
        <v>ELEC_HP</v>
      </c>
      <c r="W1196" s="153" t="str">
        <f t="array" ref="W1196">INDEX(xlRTCLNAME,MATCH(1,(xlRTCLENDU=2)*(xlRTCLEQCL=$F1196),0))</f>
        <v>ELEC_HP</v>
      </c>
      <c r="X1196" s="153" t="str">
        <f t="array" ref="X1196">INDEX(xlRTTYNAME,MATCH(1,(xlRTTYENDU=1)*(xlRTTYEQCL=$D1196)*(xlRTEQTYPE=$E1196),0))</f>
        <v>ELEC_HP1</v>
      </c>
      <c r="Y1196" s="153" t="str">
        <f t="array" ref="Y1196">INDEX(xlRTTYNAME,MATCH(1,(xlRTTYENDU=2)*(xlRTTYEQCL=$F1196)*(xlRTEQTYPE=$G1196),0))</f>
        <v>ELEC_HP1</v>
      </c>
    </row>
    <row r="1197" spans="2:25" ht="14.25" customHeight="1" x14ac:dyDescent="0.2">
      <c r="B1197" s="126">
        <v>3</v>
      </c>
      <c r="C1197" s="126">
        <v>2</v>
      </c>
      <c r="D1197" s="126">
        <v>2</v>
      </c>
      <c r="E1197" s="126">
        <v>3</v>
      </c>
      <c r="F1197" s="126">
        <v>3</v>
      </c>
      <c r="G1197" s="126">
        <v>10</v>
      </c>
      <c r="H1197" s="126">
        <v>2023</v>
      </c>
      <c r="I1197" s="126">
        <v>2050</v>
      </c>
      <c r="J1197" s="127">
        <v>1.0932999999999999</v>
      </c>
      <c r="K1197" s="127">
        <v>1.0345</v>
      </c>
      <c r="L1197" s="127">
        <v>0.93079999999999996</v>
      </c>
      <c r="M1197" s="127">
        <v>1.1000000000000001</v>
      </c>
      <c r="N1197" s="127">
        <v>1.0358000000000001</v>
      </c>
      <c r="O1197" s="127">
        <v>1.0538000000000001</v>
      </c>
      <c r="P1197" s="126">
        <v>1793</v>
      </c>
      <c r="Q1197" s="128">
        <f t="array" ref="Q1197">SUM(IF(($S1197&gt;=4)*($C1197='TaxCred&amp;Subs'!$D$123:$D$127)*($H1197='TaxCred&amp;Subs'!$C$123:$C$127)*($H1197&lt;='TaxCred&amp;Subs'!$C$129),'TaxCred&amp;Subs'!$E$123:$E$127,0))</f>
        <v>0</v>
      </c>
      <c r="R1197" s="174">
        <v>0</v>
      </c>
      <c r="S1197" s="126">
        <v>2</v>
      </c>
      <c r="T1197" s="126" t="s">
        <v>224</v>
      </c>
      <c r="U1197" s="158"/>
      <c r="V1197" s="153" t="str">
        <f t="array" ref="V1197">INDEX(xlRTCLNAME,MATCH(1,(xlRTCLENDU=1)*(xlRTCLEQCL=$D1197),0))</f>
        <v>ELEC_HP</v>
      </c>
      <c r="W1197" s="153" t="str">
        <f t="array" ref="W1197">INDEX(xlRTCLNAME,MATCH(1,(xlRTCLENDU=2)*(xlRTCLEQCL=$F1197),0))</f>
        <v>ELEC_HP</v>
      </c>
      <c r="X1197" s="153" t="str">
        <f t="array" ref="X1197">INDEX(xlRTTYNAME,MATCH(1,(xlRTTYENDU=1)*(xlRTTYEQCL=$D1197)*(xlRTEQTYPE=$E1197),0))</f>
        <v>ELEC_HP2</v>
      </c>
      <c r="Y1197" s="153" t="str">
        <f t="array" ref="Y1197">INDEX(xlRTTYNAME,MATCH(1,(xlRTTYENDU=2)*(xlRTTYEQCL=$F1197)*(xlRTEQTYPE=$G1197),0))</f>
        <v>ELEC_HP2</v>
      </c>
    </row>
    <row r="1198" spans="2:25" ht="14.25" customHeight="1" x14ac:dyDescent="0.2">
      <c r="B1198" s="126">
        <v>4</v>
      </c>
      <c r="C1198" s="126">
        <v>2</v>
      </c>
      <c r="D1198" s="126">
        <v>2</v>
      </c>
      <c r="E1198" s="126">
        <v>2</v>
      </c>
      <c r="F1198" s="126">
        <v>3</v>
      </c>
      <c r="G1198" s="126">
        <v>9</v>
      </c>
      <c r="H1198" s="126">
        <v>2016</v>
      </c>
      <c r="I1198" s="126">
        <v>2022</v>
      </c>
      <c r="J1198" s="127">
        <v>1.0956999999999999</v>
      </c>
      <c r="K1198" s="127">
        <v>1.0417000000000001</v>
      </c>
      <c r="L1198" s="127">
        <v>1.1057999999999999</v>
      </c>
      <c r="M1198" s="127">
        <v>1.2</v>
      </c>
      <c r="N1198" s="127">
        <v>1.1621999999999999</v>
      </c>
      <c r="O1198" s="127">
        <v>1.0538000000000001</v>
      </c>
      <c r="P1198" s="126">
        <v>1551</v>
      </c>
      <c r="Q1198" s="128">
        <f t="array" ref="Q1198">SUM(IF(($S1198&gt;=4)*($C1198='TaxCred&amp;Subs'!$D$123:$D$127)*($H1198='TaxCred&amp;Subs'!$C$123:$C$127)*($H1198&lt;='TaxCred&amp;Subs'!$C$129),'TaxCred&amp;Subs'!$E$123:$E$127,0))</f>
        <v>0</v>
      </c>
      <c r="R1198" s="174">
        <v>0</v>
      </c>
      <c r="S1198" s="126">
        <v>2</v>
      </c>
      <c r="T1198" s="126" t="s">
        <v>224</v>
      </c>
      <c r="U1198" s="158"/>
      <c r="V1198" s="153" t="str">
        <f t="array" ref="V1198">INDEX(xlRTCLNAME,MATCH(1,(xlRTCLENDU=1)*(xlRTCLEQCL=$D1198),0))</f>
        <v>ELEC_HP</v>
      </c>
      <c r="W1198" s="153" t="str">
        <f t="array" ref="W1198">INDEX(xlRTCLNAME,MATCH(1,(xlRTCLENDU=2)*(xlRTCLEQCL=$F1198),0))</f>
        <v>ELEC_HP</v>
      </c>
      <c r="X1198" s="153" t="str">
        <f t="array" ref="X1198">INDEX(xlRTTYNAME,MATCH(1,(xlRTTYENDU=1)*(xlRTTYEQCL=$D1198)*(xlRTEQTYPE=$E1198),0))</f>
        <v>ELEC_HP1</v>
      </c>
      <c r="Y1198" s="153" t="str">
        <f t="array" ref="Y1198">INDEX(xlRTTYNAME,MATCH(1,(xlRTTYENDU=2)*(xlRTTYEQCL=$F1198)*(xlRTEQTYPE=$G1198),0))</f>
        <v>ELEC_HP1</v>
      </c>
    </row>
    <row r="1199" spans="2:25" ht="14.25" customHeight="1" x14ac:dyDescent="0.2">
      <c r="B1199" s="126">
        <v>4</v>
      </c>
      <c r="C1199" s="126">
        <v>2</v>
      </c>
      <c r="D1199" s="126">
        <v>2</v>
      </c>
      <c r="E1199" s="126">
        <v>3</v>
      </c>
      <c r="F1199" s="126">
        <v>3</v>
      </c>
      <c r="G1199" s="126">
        <v>10</v>
      </c>
      <c r="H1199" s="126">
        <v>2023</v>
      </c>
      <c r="I1199" s="126">
        <v>2050</v>
      </c>
      <c r="J1199" s="127">
        <v>1.0956999999999999</v>
      </c>
      <c r="K1199" s="127">
        <v>1.0417000000000001</v>
      </c>
      <c r="L1199" s="127">
        <v>1.1057999999999999</v>
      </c>
      <c r="M1199" s="127">
        <v>1.2</v>
      </c>
      <c r="N1199" s="127">
        <v>1.1621999999999999</v>
      </c>
      <c r="O1199" s="127">
        <v>1.0538000000000001</v>
      </c>
      <c r="P1199" s="126">
        <v>1551</v>
      </c>
      <c r="Q1199" s="128">
        <f t="array" ref="Q1199">SUM(IF(($S1199&gt;=4)*($C1199='TaxCred&amp;Subs'!$D$123:$D$127)*($H1199='TaxCred&amp;Subs'!$C$123:$C$127)*($H1199&lt;='TaxCred&amp;Subs'!$C$129),'TaxCred&amp;Subs'!$E$123:$E$127,0))</f>
        <v>0</v>
      </c>
      <c r="R1199" s="174">
        <v>0</v>
      </c>
      <c r="S1199" s="126">
        <v>2</v>
      </c>
      <c r="T1199" s="126" t="s">
        <v>224</v>
      </c>
      <c r="U1199" s="158"/>
      <c r="V1199" s="153" t="str">
        <f t="array" ref="V1199">INDEX(xlRTCLNAME,MATCH(1,(xlRTCLENDU=1)*(xlRTCLEQCL=$D1199),0))</f>
        <v>ELEC_HP</v>
      </c>
      <c r="W1199" s="153" t="str">
        <f t="array" ref="W1199">INDEX(xlRTCLNAME,MATCH(1,(xlRTCLENDU=2)*(xlRTCLEQCL=$F1199),0))</f>
        <v>ELEC_HP</v>
      </c>
      <c r="X1199" s="153" t="str">
        <f t="array" ref="X1199">INDEX(xlRTTYNAME,MATCH(1,(xlRTTYENDU=1)*(xlRTTYEQCL=$D1199)*(xlRTEQTYPE=$E1199),0))</f>
        <v>ELEC_HP2</v>
      </c>
      <c r="Y1199" s="153" t="str">
        <f t="array" ref="Y1199">INDEX(xlRTTYNAME,MATCH(1,(xlRTTYENDU=2)*(xlRTTYEQCL=$F1199)*(xlRTEQTYPE=$G1199),0))</f>
        <v>ELEC_HP2</v>
      </c>
    </row>
    <row r="1200" spans="2:25" ht="14.25" customHeight="1" x14ac:dyDescent="0.2">
      <c r="B1200" s="126">
        <v>5</v>
      </c>
      <c r="C1200" s="126">
        <v>2</v>
      </c>
      <c r="D1200" s="126">
        <v>2</v>
      </c>
      <c r="E1200" s="126">
        <v>2</v>
      </c>
      <c r="F1200" s="126">
        <v>3</v>
      </c>
      <c r="G1200" s="126">
        <v>9</v>
      </c>
      <c r="H1200" s="126">
        <v>2016</v>
      </c>
      <c r="I1200" s="126">
        <v>2022</v>
      </c>
      <c r="J1200" s="127">
        <v>1.1200000000000001</v>
      </c>
      <c r="K1200" s="127">
        <v>1.0545</v>
      </c>
      <c r="L1200" s="127">
        <v>1.1105</v>
      </c>
      <c r="M1200" s="127">
        <v>1.1392</v>
      </c>
      <c r="N1200" s="127">
        <v>1.2490000000000001</v>
      </c>
      <c r="O1200" s="127">
        <v>1.0538000000000001</v>
      </c>
      <c r="P1200" s="126">
        <v>1289</v>
      </c>
      <c r="Q1200" s="128">
        <f t="array" ref="Q1200">SUM(IF(($S1200&gt;=4)*($C1200='TaxCred&amp;Subs'!$D$123:$D$127)*($H1200='TaxCred&amp;Subs'!$C$123:$C$127)*($H1200&lt;='TaxCred&amp;Subs'!$C$129),'TaxCred&amp;Subs'!$E$123:$E$127,0))</f>
        <v>0</v>
      </c>
      <c r="R1200" s="174">
        <v>0</v>
      </c>
      <c r="S1200" s="126">
        <v>2</v>
      </c>
      <c r="T1200" s="126" t="s">
        <v>224</v>
      </c>
      <c r="U1200" s="158"/>
      <c r="V1200" s="153" t="str">
        <f t="array" ref="V1200">INDEX(xlRTCLNAME,MATCH(1,(xlRTCLENDU=1)*(xlRTCLEQCL=$D1200),0))</f>
        <v>ELEC_HP</v>
      </c>
      <c r="W1200" s="153" t="str">
        <f t="array" ref="W1200">INDEX(xlRTCLNAME,MATCH(1,(xlRTCLENDU=2)*(xlRTCLEQCL=$F1200),0))</f>
        <v>ELEC_HP</v>
      </c>
      <c r="X1200" s="153" t="str">
        <f t="array" ref="X1200">INDEX(xlRTTYNAME,MATCH(1,(xlRTTYENDU=1)*(xlRTTYEQCL=$D1200)*(xlRTEQTYPE=$E1200),0))</f>
        <v>ELEC_HP1</v>
      </c>
      <c r="Y1200" s="153" t="str">
        <f t="array" ref="Y1200">INDEX(xlRTTYNAME,MATCH(1,(xlRTTYENDU=2)*(xlRTTYEQCL=$F1200)*(xlRTEQTYPE=$G1200),0))</f>
        <v>ELEC_HP1</v>
      </c>
    </row>
    <row r="1201" spans="2:25" ht="14.25" customHeight="1" x14ac:dyDescent="0.2">
      <c r="B1201" s="126">
        <v>5</v>
      </c>
      <c r="C1201" s="126">
        <v>2</v>
      </c>
      <c r="D1201" s="126">
        <v>2</v>
      </c>
      <c r="E1201" s="126">
        <v>3</v>
      </c>
      <c r="F1201" s="126">
        <v>3</v>
      </c>
      <c r="G1201" s="126">
        <v>10</v>
      </c>
      <c r="H1201" s="126">
        <v>2023</v>
      </c>
      <c r="I1201" s="126">
        <v>2050</v>
      </c>
      <c r="J1201" s="127">
        <v>1.1200000000000001</v>
      </c>
      <c r="K1201" s="127">
        <v>1.0545</v>
      </c>
      <c r="L1201" s="127">
        <v>1.1105</v>
      </c>
      <c r="M1201" s="127">
        <v>1.1392</v>
      </c>
      <c r="N1201" s="127">
        <v>1.2490000000000001</v>
      </c>
      <c r="O1201" s="127">
        <v>1.0538000000000001</v>
      </c>
      <c r="P1201" s="126">
        <v>1289</v>
      </c>
      <c r="Q1201" s="128">
        <f t="array" ref="Q1201">SUM(IF(($S1201&gt;=4)*($C1201='TaxCred&amp;Subs'!$D$123:$D$127)*($H1201='TaxCred&amp;Subs'!$C$123:$C$127)*($H1201&lt;='TaxCred&amp;Subs'!$C$129),'TaxCred&amp;Subs'!$E$123:$E$127,0))</f>
        <v>0</v>
      </c>
      <c r="R1201" s="174">
        <v>0</v>
      </c>
      <c r="S1201" s="126">
        <v>2</v>
      </c>
      <c r="T1201" s="126" t="s">
        <v>224</v>
      </c>
      <c r="U1201" s="158"/>
      <c r="V1201" s="153" t="str">
        <f t="array" ref="V1201">INDEX(xlRTCLNAME,MATCH(1,(xlRTCLENDU=1)*(xlRTCLEQCL=$D1201),0))</f>
        <v>ELEC_HP</v>
      </c>
      <c r="W1201" s="153" t="str">
        <f t="array" ref="W1201">INDEX(xlRTCLNAME,MATCH(1,(xlRTCLENDU=2)*(xlRTCLEQCL=$F1201),0))</f>
        <v>ELEC_HP</v>
      </c>
      <c r="X1201" s="153" t="str">
        <f t="array" ref="X1201">INDEX(xlRTTYNAME,MATCH(1,(xlRTTYENDU=1)*(xlRTTYEQCL=$D1201)*(xlRTEQTYPE=$E1201),0))</f>
        <v>ELEC_HP2</v>
      </c>
      <c r="Y1201" s="153" t="str">
        <f t="array" ref="Y1201">INDEX(xlRTTYNAME,MATCH(1,(xlRTTYENDU=2)*(xlRTTYEQCL=$F1201)*(xlRTEQTYPE=$G1201),0))</f>
        <v>ELEC_HP2</v>
      </c>
    </row>
    <row r="1202" spans="2:25" ht="14.25" customHeight="1" x14ac:dyDescent="0.2">
      <c r="B1202" s="126">
        <v>6</v>
      </c>
      <c r="C1202" s="126">
        <v>2</v>
      </c>
      <c r="D1202" s="126">
        <v>2</v>
      </c>
      <c r="E1202" s="126">
        <v>2</v>
      </c>
      <c r="F1202" s="126">
        <v>3</v>
      </c>
      <c r="G1202" s="126">
        <v>9</v>
      </c>
      <c r="H1202" s="126">
        <v>2016</v>
      </c>
      <c r="I1202" s="126">
        <v>2022</v>
      </c>
      <c r="J1202" s="127">
        <v>1.087</v>
      </c>
      <c r="K1202" s="127">
        <v>1.0385</v>
      </c>
      <c r="L1202" s="127">
        <v>1.4021999999999999</v>
      </c>
      <c r="M1202" s="127">
        <v>1.1909000000000001</v>
      </c>
      <c r="N1202" s="127">
        <v>1.3324</v>
      </c>
      <c r="O1202" s="127">
        <v>1.0538000000000001</v>
      </c>
      <c r="P1202" s="126">
        <v>1414</v>
      </c>
      <c r="Q1202" s="128">
        <f t="array" ref="Q1202">SUM(IF(($S1202&gt;=4)*($C1202='TaxCred&amp;Subs'!$D$123:$D$127)*($H1202='TaxCred&amp;Subs'!$C$123:$C$127)*($H1202&lt;='TaxCred&amp;Subs'!$C$129),'TaxCred&amp;Subs'!$E$123:$E$127,0))</f>
        <v>0</v>
      </c>
      <c r="R1202" s="174">
        <v>0</v>
      </c>
      <c r="S1202" s="126">
        <v>2</v>
      </c>
      <c r="T1202" s="126" t="s">
        <v>224</v>
      </c>
      <c r="U1202" s="158"/>
      <c r="V1202" s="153" t="str">
        <f t="array" ref="V1202">INDEX(xlRTCLNAME,MATCH(1,(xlRTCLENDU=1)*(xlRTCLEQCL=$D1202),0))</f>
        <v>ELEC_HP</v>
      </c>
      <c r="W1202" s="153" t="str">
        <f t="array" ref="W1202">INDEX(xlRTCLNAME,MATCH(1,(xlRTCLENDU=2)*(xlRTCLEQCL=$F1202),0))</f>
        <v>ELEC_HP</v>
      </c>
      <c r="X1202" s="153" t="str">
        <f t="array" ref="X1202">INDEX(xlRTTYNAME,MATCH(1,(xlRTTYENDU=1)*(xlRTTYEQCL=$D1202)*(xlRTEQTYPE=$E1202),0))</f>
        <v>ELEC_HP1</v>
      </c>
      <c r="Y1202" s="153" t="str">
        <f t="array" ref="Y1202">INDEX(xlRTTYNAME,MATCH(1,(xlRTTYENDU=2)*(xlRTTYEQCL=$F1202)*(xlRTEQTYPE=$G1202),0))</f>
        <v>ELEC_HP1</v>
      </c>
    </row>
    <row r="1203" spans="2:25" ht="14.25" customHeight="1" x14ac:dyDescent="0.2">
      <c r="B1203" s="126">
        <v>6</v>
      </c>
      <c r="C1203" s="126">
        <v>2</v>
      </c>
      <c r="D1203" s="126">
        <v>2</v>
      </c>
      <c r="E1203" s="126">
        <v>3</v>
      </c>
      <c r="F1203" s="126">
        <v>3</v>
      </c>
      <c r="G1203" s="126">
        <v>10</v>
      </c>
      <c r="H1203" s="126">
        <v>2023</v>
      </c>
      <c r="I1203" s="126">
        <v>2050</v>
      </c>
      <c r="J1203" s="127">
        <v>1.087</v>
      </c>
      <c r="K1203" s="127">
        <v>1.0385</v>
      </c>
      <c r="L1203" s="127">
        <v>1.4021999999999999</v>
      </c>
      <c r="M1203" s="127">
        <v>1.1909000000000001</v>
      </c>
      <c r="N1203" s="127">
        <v>1.3324</v>
      </c>
      <c r="O1203" s="127">
        <v>1.0538000000000001</v>
      </c>
      <c r="P1203" s="126">
        <v>1414</v>
      </c>
      <c r="Q1203" s="128">
        <f t="array" ref="Q1203">SUM(IF(($S1203&gt;=4)*($C1203='TaxCred&amp;Subs'!$D$123:$D$127)*($H1203='TaxCred&amp;Subs'!$C$123:$C$127)*($H1203&lt;='TaxCred&amp;Subs'!$C$129),'TaxCred&amp;Subs'!$E$123:$E$127,0))</f>
        <v>0</v>
      </c>
      <c r="R1203" s="174">
        <v>0</v>
      </c>
      <c r="S1203" s="126">
        <v>2</v>
      </c>
      <c r="T1203" s="126" t="s">
        <v>224</v>
      </c>
      <c r="U1203" s="158"/>
      <c r="V1203" s="153" t="str">
        <f t="array" ref="V1203">INDEX(xlRTCLNAME,MATCH(1,(xlRTCLENDU=1)*(xlRTCLEQCL=$D1203),0))</f>
        <v>ELEC_HP</v>
      </c>
      <c r="W1203" s="153" t="str">
        <f t="array" ref="W1203">INDEX(xlRTCLNAME,MATCH(1,(xlRTCLENDU=2)*(xlRTCLEQCL=$F1203),0))</f>
        <v>ELEC_HP</v>
      </c>
      <c r="X1203" s="153" t="str">
        <f t="array" ref="X1203">INDEX(xlRTTYNAME,MATCH(1,(xlRTTYENDU=1)*(xlRTTYEQCL=$D1203)*(xlRTEQTYPE=$E1203),0))</f>
        <v>ELEC_HP2</v>
      </c>
      <c r="Y1203" s="153" t="str">
        <f t="array" ref="Y1203">INDEX(xlRTTYNAME,MATCH(1,(xlRTTYENDU=2)*(xlRTTYEQCL=$F1203)*(xlRTEQTYPE=$G1203),0))</f>
        <v>ELEC_HP2</v>
      </c>
    </row>
    <row r="1204" spans="2:25" ht="14.25" customHeight="1" x14ac:dyDescent="0.2">
      <c r="B1204" s="126">
        <v>7</v>
      </c>
      <c r="C1204" s="126">
        <v>2</v>
      </c>
      <c r="D1204" s="126">
        <v>2</v>
      </c>
      <c r="E1204" s="126">
        <v>2</v>
      </c>
      <c r="F1204" s="126">
        <v>3</v>
      </c>
      <c r="G1204" s="126">
        <v>9</v>
      </c>
      <c r="H1204" s="126">
        <v>2016</v>
      </c>
      <c r="I1204" s="126">
        <v>2022</v>
      </c>
      <c r="J1204" s="127">
        <v>1.1200000000000001</v>
      </c>
      <c r="K1204" s="127">
        <v>1.0435000000000001</v>
      </c>
      <c r="L1204" s="127">
        <v>2</v>
      </c>
      <c r="M1204" s="127">
        <v>1.1949000000000001</v>
      </c>
      <c r="N1204" s="127">
        <v>1.4438</v>
      </c>
      <c r="O1204" s="127">
        <v>1.0538000000000001</v>
      </c>
      <c r="P1204" s="126">
        <v>1229</v>
      </c>
      <c r="Q1204" s="128">
        <f t="array" ref="Q1204">SUM(IF(($S1204&gt;=4)*($C1204='TaxCred&amp;Subs'!$D$123:$D$127)*($H1204='TaxCred&amp;Subs'!$C$123:$C$127)*($H1204&lt;='TaxCred&amp;Subs'!$C$129),'TaxCred&amp;Subs'!$E$123:$E$127,0))</f>
        <v>0</v>
      </c>
      <c r="R1204" s="174">
        <v>0</v>
      </c>
      <c r="S1204" s="126">
        <v>2</v>
      </c>
      <c r="T1204" s="126" t="s">
        <v>224</v>
      </c>
      <c r="U1204" s="158"/>
      <c r="V1204" s="153" t="str">
        <f t="array" ref="V1204">INDEX(xlRTCLNAME,MATCH(1,(xlRTCLENDU=1)*(xlRTCLEQCL=$D1204),0))</f>
        <v>ELEC_HP</v>
      </c>
      <c r="W1204" s="153" t="str">
        <f t="array" ref="W1204">INDEX(xlRTCLNAME,MATCH(1,(xlRTCLENDU=2)*(xlRTCLEQCL=$F1204),0))</f>
        <v>ELEC_HP</v>
      </c>
      <c r="X1204" s="153" t="str">
        <f t="array" ref="X1204">INDEX(xlRTTYNAME,MATCH(1,(xlRTTYENDU=1)*(xlRTTYEQCL=$D1204)*(xlRTEQTYPE=$E1204),0))</f>
        <v>ELEC_HP1</v>
      </c>
      <c r="Y1204" s="153" t="str">
        <f t="array" ref="Y1204">INDEX(xlRTTYNAME,MATCH(1,(xlRTTYENDU=2)*(xlRTTYEQCL=$F1204)*(xlRTEQTYPE=$G1204),0))</f>
        <v>ELEC_HP1</v>
      </c>
    </row>
    <row r="1205" spans="2:25" ht="14.25" customHeight="1" x14ac:dyDescent="0.2">
      <c r="B1205" s="126">
        <v>7</v>
      </c>
      <c r="C1205" s="126">
        <v>2</v>
      </c>
      <c r="D1205" s="126">
        <v>2</v>
      </c>
      <c r="E1205" s="126">
        <v>3</v>
      </c>
      <c r="F1205" s="126">
        <v>3</v>
      </c>
      <c r="G1205" s="126">
        <v>10</v>
      </c>
      <c r="H1205" s="126">
        <v>2023</v>
      </c>
      <c r="I1205" s="126">
        <v>2050</v>
      </c>
      <c r="J1205" s="127">
        <v>1.1200000000000001</v>
      </c>
      <c r="K1205" s="127">
        <v>1.0435000000000001</v>
      </c>
      <c r="L1205" s="127">
        <v>2</v>
      </c>
      <c r="M1205" s="127">
        <v>1.1949000000000001</v>
      </c>
      <c r="N1205" s="127">
        <v>1.4438</v>
      </c>
      <c r="O1205" s="127">
        <v>1.0538000000000001</v>
      </c>
      <c r="P1205" s="126">
        <v>1229</v>
      </c>
      <c r="Q1205" s="128">
        <f t="array" ref="Q1205">SUM(IF(($S1205&gt;=4)*($C1205='TaxCred&amp;Subs'!$D$123:$D$127)*($H1205='TaxCred&amp;Subs'!$C$123:$C$127)*($H1205&lt;='TaxCred&amp;Subs'!$C$129),'TaxCred&amp;Subs'!$E$123:$E$127,0))</f>
        <v>0</v>
      </c>
      <c r="R1205" s="174">
        <v>0</v>
      </c>
      <c r="S1205" s="126">
        <v>2</v>
      </c>
      <c r="T1205" s="126" t="s">
        <v>224</v>
      </c>
      <c r="U1205" s="158"/>
      <c r="V1205" s="153" t="str">
        <f t="array" ref="V1205">INDEX(xlRTCLNAME,MATCH(1,(xlRTCLENDU=1)*(xlRTCLEQCL=$D1205),0))</f>
        <v>ELEC_HP</v>
      </c>
      <c r="W1205" s="153" t="str">
        <f t="array" ref="W1205">INDEX(xlRTCLNAME,MATCH(1,(xlRTCLENDU=2)*(xlRTCLEQCL=$F1205),0))</f>
        <v>ELEC_HP</v>
      </c>
      <c r="X1205" s="153" t="str">
        <f t="array" ref="X1205">INDEX(xlRTTYNAME,MATCH(1,(xlRTTYENDU=1)*(xlRTTYEQCL=$D1205)*(xlRTEQTYPE=$E1205),0))</f>
        <v>ELEC_HP2</v>
      </c>
      <c r="Y1205" s="153" t="str">
        <f t="array" ref="Y1205">INDEX(xlRTTYNAME,MATCH(1,(xlRTTYENDU=2)*(xlRTTYEQCL=$F1205)*(xlRTEQTYPE=$G1205),0))</f>
        <v>ELEC_HP2</v>
      </c>
    </row>
    <row r="1206" spans="2:25" ht="14.25" customHeight="1" x14ac:dyDescent="0.2">
      <c r="B1206" s="126">
        <v>8</v>
      </c>
      <c r="C1206" s="126">
        <v>2</v>
      </c>
      <c r="D1206" s="126">
        <v>2</v>
      </c>
      <c r="E1206" s="126">
        <v>2</v>
      </c>
      <c r="F1206" s="126">
        <v>3</v>
      </c>
      <c r="G1206" s="126">
        <v>9</v>
      </c>
      <c r="H1206" s="126">
        <v>2016</v>
      </c>
      <c r="I1206" s="126">
        <v>2022</v>
      </c>
      <c r="J1206" s="127">
        <v>1.0889</v>
      </c>
      <c r="K1206" s="127">
        <v>1.0313000000000001</v>
      </c>
      <c r="L1206" s="127">
        <v>1.1696</v>
      </c>
      <c r="M1206" s="127">
        <v>1.2957000000000001</v>
      </c>
      <c r="N1206" s="127">
        <v>1.2706</v>
      </c>
      <c r="O1206" s="127">
        <v>1.0538000000000001</v>
      </c>
      <c r="P1206" s="126">
        <v>1646</v>
      </c>
      <c r="Q1206" s="128">
        <f t="array" ref="Q1206">SUM(IF(($S1206&gt;=4)*($C1206='TaxCred&amp;Subs'!$D$123:$D$127)*($H1206='TaxCred&amp;Subs'!$C$123:$C$127)*($H1206&lt;='TaxCred&amp;Subs'!$C$129),'TaxCred&amp;Subs'!$E$123:$E$127,0))</f>
        <v>0</v>
      </c>
      <c r="R1206" s="174">
        <v>0</v>
      </c>
      <c r="S1206" s="126">
        <v>2</v>
      </c>
      <c r="T1206" s="126" t="s">
        <v>224</v>
      </c>
      <c r="U1206" s="158"/>
      <c r="V1206" s="153" t="str">
        <f t="array" ref="V1206">INDEX(xlRTCLNAME,MATCH(1,(xlRTCLENDU=1)*(xlRTCLEQCL=$D1206),0))</f>
        <v>ELEC_HP</v>
      </c>
      <c r="W1206" s="153" t="str">
        <f t="array" ref="W1206">INDEX(xlRTCLNAME,MATCH(1,(xlRTCLENDU=2)*(xlRTCLEQCL=$F1206),0))</f>
        <v>ELEC_HP</v>
      </c>
      <c r="X1206" s="153" t="str">
        <f t="array" ref="X1206">INDEX(xlRTTYNAME,MATCH(1,(xlRTTYENDU=1)*(xlRTTYEQCL=$D1206)*(xlRTEQTYPE=$E1206),0))</f>
        <v>ELEC_HP1</v>
      </c>
      <c r="Y1206" s="153" t="str">
        <f t="array" ref="Y1206">INDEX(xlRTTYNAME,MATCH(1,(xlRTTYENDU=2)*(xlRTTYEQCL=$F1206)*(xlRTEQTYPE=$G1206),0))</f>
        <v>ELEC_HP1</v>
      </c>
    </row>
    <row r="1207" spans="2:25" ht="14.25" customHeight="1" x14ac:dyDescent="0.2">
      <c r="B1207" s="126">
        <v>8</v>
      </c>
      <c r="C1207" s="126">
        <v>2</v>
      </c>
      <c r="D1207" s="126">
        <v>2</v>
      </c>
      <c r="E1207" s="126">
        <v>3</v>
      </c>
      <c r="F1207" s="126">
        <v>3</v>
      </c>
      <c r="G1207" s="126">
        <v>10</v>
      </c>
      <c r="H1207" s="126">
        <v>2023</v>
      </c>
      <c r="I1207" s="126">
        <v>2050</v>
      </c>
      <c r="J1207" s="127">
        <v>1.0889</v>
      </c>
      <c r="K1207" s="127">
        <v>1.0313000000000001</v>
      </c>
      <c r="L1207" s="127">
        <v>1.1696</v>
      </c>
      <c r="M1207" s="127">
        <v>1.2957000000000001</v>
      </c>
      <c r="N1207" s="127">
        <v>1.2706</v>
      </c>
      <c r="O1207" s="127">
        <v>1.0538000000000001</v>
      </c>
      <c r="P1207" s="126">
        <v>1646</v>
      </c>
      <c r="Q1207" s="128">
        <f t="array" ref="Q1207">SUM(IF(($S1207&gt;=4)*($C1207='TaxCred&amp;Subs'!$D$123:$D$127)*($H1207='TaxCred&amp;Subs'!$C$123:$C$127)*($H1207&lt;='TaxCred&amp;Subs'!$C$129),'TaxCred&amp;Subs'!$E$123:$E$127,0))</f>
        <v>0</v>
      </c>
      <c r="R1207" s="174">
        <v>0</v>
      </c>
      <c r="S1207" s="126">
        <v>2</v>
      </c>
      <c r="T1207" s="126" t="s">
        <v>224</v>
      </c>
      <c r="U1207" s="158"/>
      <c r="V1207" s="153" t="str">
        <f t="array" ref="V1207">INDEX(xlRTCLNAME,MATCH(1,(xlRTCLENDU=1)*(xlRTCLEQCL=$D1207),0))</f>
        <v>ELEC_HP</v>
      </c>
      <c r="W1207" s="153" t="str">
        <f t="array" ref="W1207">INDEX(xlRTCLNAME,MATCH(1,(xlRTCLENDU=2)*(xlRTCLEQCL=$F1207),0))</f>
        <v>ELEC_HP</v>
      </c>
      <c r="X1207" s="153" t="str">
        <f t="array" ref="X1207">INDEX(xlRTTYNAME,MATCH(1,(xlRTTYENDU=1)*(xlRTTYEQCL=$D1207)*(xlRTEQTYPE=$E1207),0))</f>
        <v>ELEC_HP2</v>
      </c>
      <c r="Y1207" s="153" t="str">
        <f t="array" ref="Y1207">INDEX(xlRTTYNAME,MATCH(1,(xlRTTYENDU=2)*(xlRTTYEQCL=$F1207)*(xlRTEQTYPE=$G1207),0))</f>
        <v>ELEC_HP2</v>
      </c>
    </row>
    <row r="1208" spans="2:25" ht="14.25" customHeight="1" x14ac:dyDescent="0.2">
      <c r="B1208" s="126">
        <v>9</v>
      </c>
      <c r="C1208" s="126">
        <v>2</v>
      </c>
      <c r="D1208" s="126">
        <v>2</v>
      </c>
      <c r="E1208" s="126">
        <v>2</v>
      </c>
      <c r="F1208" s="126">
        <v>3</v>
      </c>
      <c r="G1208" s="126">
        <v>9</v>
      </c>
      <c r="H1208" s="126">
        <v>2016</v>
      </c>
      <c r="I1208" s="126">
        <v>2022</v>
      </c>
      <c r="J1208" s="127">
        <v>1.1200000000000001</v>
      </c>
      <c r="K1208" s="127">
        <v>1.0512999999999999</v>
      </c>
      <c r="L1208" s="127">
        <v>2</v>
      </c>
      <c r="M1208" s="127">
        <v>1.25</v>
      </c>
      <c r="N1208" s="127">
        <v>1.4438</v>
      </c>
      <c r="O1208" s="127">
        <v>1.0538000000000001</v>
      </c>
      <c r="P1208" s="126">
        <v>1771</v>
      </c>
      <c r="Q1208" s="128">
        <f t="array" ref="Q1208">SUM(IF(($S1208&gt;=4)*($C1208='TaxCred&amp;Subs'!$D$123:$D$127)*($H1208='TaxCred&amp;Subs'!$C$123:$C$127)*($H1208&lt;='TaxCred&amp;Subs'!$C$129),'TaxCred&amp;Subs'!$E$123:$E$127,0))</f>
        <v>0</v>
      </c>
      <c r="R1208" s="174">
        <v>0</v>
      </c>
      <c r="S1208" s="126">
        <v>2</v>
      </c>
      <c r="T1208" s="126" t="s">
        <v>224</v>
      </c>
      <c r="U1208" s="158"/>
      <c r="V1208" s="153" t="str">
        <f t="array" ref="V1208">INDEX(xlRTCLNAME,MATCH(1,(xlRTCLENDU=1)*(xlRTCLEQCL=$D1208),0))</f>
        <v>ELEC_HP</v>
      </c>
      <c r="W1208" s="153" t="str">
        <f t="array" ref="W1208">INDEX(xlRTCLNAME,MATCH(1,(xlRTCLENDU=2)*(xlRTCLEQCL=$F1208),0))</f>
        <v>ELEC_HP</v>
      </c>
      <c r="X1208" s="153" t="str">
        <f t="array" ref="X1208">INDEX(xlRTTYNAME,MATCH(1,(xlRTTYENDU=1)*(xlRTTYEQCL=$D1208)*(xlRTEQTYPE=$E1208),0))</f>
        <v>ELEC_HP1</v>
      </c>
      <c r="Y1208" s="153" t="str">
        <f t="array" ref="Y1208">INDEX(xlRTTYNAME,MATCH(1,(xlRTTYENDU=2)*(xlRTTYEQCL=$F1208)*(xlRTEQTYPE=$G1208),0))</f>
        <v>ELEC_HP1</v>
      </c>
    </row>
    <row r="1209" spans="2:25" ht="14.25" customHeight="1" x14ac:dyDescent="0.2">
      <c r="B1209" s="126">
        <v>9</v>
      </c>
      <c r="C1209" s="126">
        <v>2</v>
      </c>
      <c r="D1209" s="126">
        <v>2</v>
      </c>
      <c r="E1209" s="126">
        <v>3</v>
      </c>
      <c r="F1209" s="126">
        <v>3</v>
      </c>
      <c r="G1209" s="126">
        <v>10</v>
      </c>
      <c r="H1209" s="126">
        <v>2023</v>
      </c>
      <c r="I1209" s="126">
        <v>2050</v>
      </c>
      <c r="J1209" s="127">
        <v>1.1200000000000001</v>
      </c>
      <c r="K1209" s="127">
        <v>1.0512999999999999</v>
      </c>
      <c r="L1209" s="127">
        <v>2</v>
      </c>
      <c r="M1209" s="127">
        <v>1.25</v>
      </c>
      <c r="N1209" s="127">
        <v>1.4438</v>
      </c>
      <c r="O1209" s="127">
        <v>1.0538000000000001</v>
      </c>
      <c r="P1209" s="126">
        <v>1771</v>
      </c>
      <c r="Q1209" s="128">
        <f t="array" ref="Q1209">SUM(IF(($S1209&gt;=4)*($C1209='TaxCred&amp;Subs'!$D$123:$D$127)*($H1209='TaxCred&amp;Subs'!$C$123:$C$127)*($H1209&lt;='TaxCred&amp;Subs'!$C$129),'TaxCred&amp;Subs'!$E$123:$E$127,0))</f>
        <v>0</v>
      </c>
      <c r="R1209" s="174">
        <v>0</v>
      </c>
      <c r="S1209" s="126">
        <v>2</v>
      </c>
      <c r="T1209" s="126" t="s">
        <v>224</v>
      </c>
      <c r="U1209" s="158"/>
      <c r="V1209" s="153" t="str">
        <f t="array" ref="V1209">INDEX(xlRTCLNAME,MATCH(1,(xlRTCLENDU=1)*(xlRTCLEQCL=$D1209),0))</f>
        <v>ELEC_HP</v>
      </c>
      <c r="W1209" s="153" t="str">
        <f t="array" ref="W1209">INDEX(xlRTCLNAME,MATCH(1,(xlRTCLENDU=2)*(xlRTCLEQCL=$F1209),0))</f>
        <v>ELEC_HP</v>
      </c>
      <c r="X1209" s="153" t="str">
        <f t="array" ref="X1209">INDEX(xlRTTYNAME,MATCH(1,(xlRTTYENDU=1)*(xlRTTYEQCL=$D1209)*(xlRTEQTYPE=$E1209),0))</f>
        <v>ELEC_HP2</v>
      </c>
      <c r="Y1209" s="153" t="str">
        <f t="array" ref="Y1209">INDEX(xlRTTYNAME,MATCH(1,(xlRTTYENDU=2)*(xlRTTYEQCL=$F1209)*(xlRTEQTYPE=$G1209),0))</f>
        <v>ELEC_HP2</v>
      </c>
    </row>
    <row r="1210" spans="2:25" ht="14.25" customHeight="1" x14ac:dyDescent="0.2">
      <c r="B1210" s="126">
        <v>1</v>
      </c>
      <c r="C1210" s="126">
        <v>2</v>
      </c>
      <c r="D1210" s="126">
        <v>3</v>
      </c>
      <c r="E1210" s="126">
        <v>6</v>
      </c>
      <c r="F1210" s="126">
        <v>2</v>
      </c>
      <c r="G1210" s="126">
        <v>5</v>
      </c>
      <c r="H1210" s="126">
        <v>2016</v>
      </c>
      <c r="I1210" s="126">
        <v>2022</v>
      </c>
      <c r="J1210" s="127">
        <v>1.1042000000000001</v>
      </c>
      <c r="K1210" s="127">
        <v>1.0417000000000001</v>
      </c>
      <c r="L1210" s="127">
        <v>0.8075</v>
      </c>
      <c r="M1210" s="127">
        <v>1.1455</v>
      </c>
      <c r="N1210" s="127">
        <v>1.1127</v>
      </c>
      <c r="O1210" s="127">
        <v>1.0538000000000001</v>
      </c>
      <c r="P1210" s="126">
        <v>3042</v>
      </c>
      <c r="Q1210" s="128">
        <f t="array" ref="Q1210">SUM(IF(($S1210&gt;=4)*($C1210='TaxCred&amp;Subs'!$D$123:$D$127)*($H1210='TaxCred&amp;Subs'!$C$123:$C$127)*($H1210&lt;='TaxCred&amp;Subs'!$C$129),'TaxCred&amp;Subs'!$E$123:$E$127,0))</f>
        <v>0</v>
      </c>
      <c r="R1210" s="174">
        <v>0</v>
      </c>
      <c r="S1210" s="126">
        <v>2</v>
      </c>
      <c r="T1210" s="126" t="s">
        <v>224</v>
      </c>
      <c r="U1210" s="158"/>
      <c r="V1210" s="153" t="str">
        <f t="array" ref="V1210">INDEX(xlRTCLNAME,MATCH(1,(xlRTCLENDU=1)*(xlRTCLEQCL=$D1210),0))</f>
        <v>NG_FA</v>
      </c>
      <c r="W1210" s="153" t="str">
        <f t="array" ref="W1210">INDEX(xlRTCLNAME,MATCH(1,(xlRTCLENDU=2)*(xlRTCLEQCL=$F1210),0))</f>
        <v>CENT_AIR</v>
      </c>
      <c r="X1210" s="153" t="str">
        <f t="array" ref="X1210">INDEX(xlRTTYNAME,MATCH(1,(xlRTTYENDU=1)*(xlRTTYEQCL=$D1210)*(xlRTEQTYPE=$E1210),0))</f>
        <v>NG_FA1</v>
      </c>
      <c r="Y1210" s="153" t="str">
        <f t="array" ref="Y1210">INDEX(xlRTTYNAME,MATCH(1,(xlRTTYENDU=2)*(xlRTTYEQCL=$F1210)*(xlRTEQTYPE=$G1210),0))</f>
        <v>CENT_AIR1</v>
      </c>
    </row>
    <row r="1211" spans="2:25" ht="14.25" customHeight="1" x14ac:dyDescent="0.2">
      <c r="B1211" s="126">
        <v>1</v>
      </c>
      <c r="C1211" s="126">
        <v>2</v>
      </c>
      <c r="D1211" s="126">
        <v>3</v>
      </c>
      <c r="E1211" s="126">
        <v>6</v>
      </c>
      <c r="F1211" s="126">
        <v>2</v>
      </c>
      <c r="G1211" s="126">
        <v>6</v>
      </c>
      <c r="H1211" s="126">
        <v>2023</v>
      </c>
      <c r="I1211" s="126">
        <v>2050</v>
      </c>
      <c r="J1211" s="127">
        <v>1.1042000000000001</v>
      </c>
      <c r="K1211" s="127">
        <v>1.0417000000000001</v>
      </c>
      <c r="L1211" s="127">
        <v>0.8075</v>
      </c>
      <c r="M1211" s="127">
        <v>1.1455</v>
      </c>
      <c r="N1211" s="127">
        <v>1.1127</v>
      </c>
      <c r="O1211" s="127">
        <v>1.0538000000000001</v>
      </c>
      <c r="P1211" s="126">
        <v>3042</v>
      </c>
      <c r="Q1211" s="128">
        <f t="array" ref="Q1211">SUM(IF(($S1211&gt;=4)*($C1211='TaxCred&amp;Subs'!$D$123:$D$127)*($H1211='TaxCred&amp;Subs'!$C$123:$C$127)*($H1211&lt;='TaxCred&amp;Subs'!$C$129),'TaxCred&amp;Subs'!$E$123:$E$127,0))</f>
        <v>0</v>
      </c>
      <c r="R1211" s="174">
        <v>0</v>
      </c>
      <c r="S1211" s="126">
        <v>2</v>
      </c>
      <c r="T1211" s="126" t="s">
        <v>224</v>
      </c>
      <c r="U1211" s="158"/>
      <c r="V1211" s="153" t="str">
        <f t="array" ref="V1211">INDEX(xlRTCLNAME,MATCH(1,(xlRTCLENDU=1)*(xlRTCLEQCL=$D1211),0))</f>
        <v>NG_FA</v>
      </c>
      <c r="W1211" s="153" t="str">
        <f t="array" ref="W1211">INDEX(xlRTCLNAME,MATCH(1,(xlRTCLENDU=2)*(xlRTCLEQCL=$F1211),0))</f>
        <v>CENT_AIR</v>
      </c>
      <c r="X1211" s="153" t="str">
        <f t="array" ref="X1211">INDEX(xlRTTYNAME,MATCH(1,(xlRTTYENDU=1)*(xlRTTYEQCL=$D1211)*(xlRTEQTYPE=$E1211),0))</f>
        <v>NG_FA1</v>
      </c>
      <c r="Y1211" s="153" t="str">
        <f t="array" ref="Y1211">INDEX(xlRTTYNAME,MATCH(1,(xlRTTYENDU=2)*(xlRTTYEQCL=$F1211)*(xlRTEQTYPE=$G1211),0))</f>
        <v>CENT_AIR2</v>
      </c>
    </row>
    <row r="1212" spans="2:25" ht="14.25" customHeight="1" x14ac:dyDescent="0.2">
      <c r="B1212" s="126">
        <v>2</v>
      </c>
      <c r="C1212" s="126">
        <v>2</v>
      </c>
      <c r="D1212" s="126">
        <v>3</v>
      </c>
      <c r="E1212" s="126">
        <v>6</v>
      </c>
      <c r="F1212" s="126">
        <v>2</v>
      </c>
      <c r="G1212" s="126">
        <v>5</v>
      </c>
      <c r="H1212" s="126">
        <v>2016</v>
      </c>
      <c r="I1212" s="126">
        <v>2022</v>
      </c>
      <c r="J1212" s="127">
        <v>1.0847</v>
      </c>
      <c r="K1212" s="127">
        <v>1.0357000000000001</v>
      </c>
      <c r="L1212" s="127">
        <v>1.028</v>
      </c>
      <c r="M1212" s="127">
        <v>1.1834</v>
      </c>
      <c r="N1212" s="127">
        <v>1.1162000000000001</v>
      </c>
      <c r="O1212" s="127">
        <v>1.0538000000000001</v>
      </c>
      <c r="P1212" s="126">
        <v>2086</v>
      </c>
      <c r="Q1212" s="128">
        <f t="array" ref="Q1212">SUM(IF(($S1212&gt;=4)*($C1212='TaxCred&amp;Subs'!$D$123:$D$127)*($H1212='TaxCred&amp;Subs'!$C$123:$C$127)*($H1212&lt;='TaxCred&amp;Subs'!$C$129),'TaxCred&amp;Subs'!$E$123:$E$127,0))</f>
        <v>0</v>
      </c>
      <c r="R1212" s="174">
        <v>0</v>
      </c>
      <c r="S1212" s="126">
        <v>2</v>
      </c>
      <c r="T1212" s="126" t="s">
        <v>224</v>
      </c>
      <c r="U1212" s="158"/>
      <c r="V1212" s="153" t="str">
        <f t="array" ref="V1212">INDEX(xlRTCLNAME,MATCH(1,(xlRTCLENDU=1)*(xlRTCLEQCL=$D1212),0))</f>
        <v>NG_FA</v>
      </c>
      <c r="W1212" s="153" t="str">
        <f t="array" ref="W1212">INDEX(xlRTCLNAME,MATCH(1,(xlRTCLENDU=2)*(xlRTCLEQCL=$F1212),0))</f>
        <v>CENT_AIR</v>
      </c>
      <c r="X1212" s="153" t="str">
        <f t="array" ref="X1212">INDEX(xlRTTYNAME,MATCH(1,(xlRTTYENDU=1)*(xlRTTYEQCL=$D1212)*(xlRTEQTYPE=$E1212),0))</f>
        <v>NG_FA1</v>
      </c>
      <c r="Y1212" s="153" t="str">
        <f t="array" ref="Y1212">INDEX(xlRTTYNAME,MATCH(1,(xlRTTYENDU=2)*(xlRTTYEQCL=$F1212)*(xlRTEQTYPE=$G1212),0))</f>
        <v>CENT_AIR1</v>
      </c>
    </row>
    <row r="1213" spans="2:25" ht="14.25" customHeight="1" x14ac:dyDescent="0.2">
      <c r="B1213" s="126">
        <v>2</v>
      </c>
      <c r="C1213" s="126">
        <v>2</v>
      </c>
      <c r="D1213" s="126">
        <v>3</v>
      </c>
      <c r="E1213" s="126">
        <v>6</v>
      </c>
      <c r="F1213" s="126">
        <v>2</v>
      </c>
      <c r="G1213" s="126">
        <v>6</v>
      </c>
      <c r="H1213" s="126">
        <v>2023</v>
      </c>
      <c r="I1213" s="126">
        <v>2050</v>
      </c>
      <c r="J1213" s="127">
        <v>1.0847</v>
      </c>
      <c r="K1213" s="127">
        <v>1.0357000000000001</v>
      </c>
      <c r="L1213" s="127">
        <v>1.028</v>
      </c>
      <c r="M1213" s="127">
        <v>1.1834</v>
      </c>
      <c r="N1213" s="127">
        <v>1.1162000000000001</v>
      </c>
      <c r="O1213" s="127">
        <v>1.0538000000000001</v>
      </c>
      <c r="P1213" s="126">
        <v>2086</v>
      </c>
      <c r="Q1213" s="128">
        <f t="array" ref="Q1213">SUM(IF(($S1213&gt;=4)*($C1213='TaxCred&amp;Subs'!$D$123:$D$127)*($H1213='TaxCred&amp;Subs'!$C$123:$C$127)*($H1213&lt;='TaxCred&amp;Subs'!$C$129),'TaxCred&amp;Subs'!$E$123:$E$127,0))</f>
        <v>0</v>
      </c>
      <c r="R1213" s="174">
        <v>0</v>
      </c>
      <c r="S1213" s="126">
        <v>2</v>
      </c>
      <c r="T1213" s="126" t="s">
        <v>224</v>
      </c>
      <c r="U1213" s="158"/>
      <c r="V1213" s="153" t="str">
        <f t="array" ref="V1213">INDEX(xlRTCLNAME,MATCH(1,(xlRTCLENDU=1)*(xlRTCLEQCL=$D1213),0))</f>
        <v>NG_FA</v>
      </c>
      <c r="W1213" s="153" t="str">
        <f t="array" ref="W1213">INDEX(xlRTCLNAME,MATCH(1,(xlRTCLENDU=2)*(xlRTCLEQCL=$F1213),0))</f>
        <v>CENT_AIR</v>
      </c>
      <c r="X1213" s="153" t="str">
        <f t="array" ref="X1213">INDEX(xlRTTYNAME,MATCH(1,(xlRTTYENDU=1)*(xlRTTYEQCL=$D1213)*(xlRTEQTYPE=$E1213),0))</f>
        <v>NG_FA1</v>
      </c>
      <c r="Y1213" s="153" t="str">
        <f t="array" ref="Y1213">INDEX(xlRTTYNAME,MATCH(1,(xlRTTYENDU=2)*(xlRTTYEQCL=$F1213)*(xlRTEQTYPE=$G1213),0))</f>
        <v>CENT_AIR2</v>
      </c>
    </row>
    <row r="1214" spans="2:25" ht="14.25" customHeight="1" x14ac:dyDescent="0.2">
      <c r="B1214" s="126">
        <v>3</v>
      </c>
      <c r="C1214" s="126">
        <v>2</v>
      </c>
      <c r="D1214" s="126">
        <v>3</v>
      </c>
      <c r="E1214" s="126">
        <v>6</v>
      </c>
      <c r="F1214" s="126">
        <v>2</v>
      </c>
      <c r="G1214" s="126">
        <v>5</v>
      </c>
      <c r="H1214" s="126">
        <v>2016</v>
      </c>
      <c r="I1214" s="126">
        <v>2022</v>
      </c>
      <c r="J1214" s="127">
        <v>1.0984</v>
      </c>
      <c r="K1214" s="127">
        <v>1.0345</v>
      </c>
      <c r="L1214" s="127">
        <v>0.85880000000000001</v>
      </c>
      <c r="M1214" s="127">
        <v>1.1000000000000001</v>
      </c>
      <c r="N1214" s="127">
        <v>1.0399</v>
      </c>
      <c r="O1214" s="127">
        <v>1.0538000000000001</v>
      </c>
      <c r="P1214" s="126">
        <v>2421</v>
      </c>
      <c r="Q1214" s="128">
        <f t="array" ref="Q1214">SUM(IF(($S1214&gt;=4)*($C1214='TaxCred&amp;Subs'!$D$123:$D$127)*($H1214='TaxCred&amp;Subs'!$C$123:$C$127)*($H1214&lt;='TaxCred&amp;Subs'!$C$129),'TaxCred&amp;Subs'!$E$123:$E$127,0))</f>
        <v>0</v>
      </c>
      <c r="R1214" s="174">
        <v>0</v>
      </c>
      <c r="S1214" s="126">
        <v>2</v>
      </c>
      <c r="T1214" s="126" t="s">
        <v>224</v>
      </c>
      <c r="U1214" s="158"/>
      <c r="V1214" s="153" t="str">
        <f t="array" ref="V1214">INDEX(xlRTCLNAME,MATCH(1,(xlRTCLENDU=1)*(xlRTCLEQCL=$D1214),0))</f>
        <v>NG_FA</v>
      </c>
      <c r="W1214" s="153" t="str">
        <f t="array" ref="W1214">INDEX(xlRTCLNAME,MATCH(1,(xlRTCLENDU=2)*(xlRTCLEQCL=$F1214),0))</f>
        <v>CENT_AIR</v>
      </c>
      <c r="X1214" s="153" t="str">
        <f t="array" ref="X1214">INDEX(xlRTTYNAME,MATCH(1,(xlRTTYENDU=1)*(xlRTTYEQCL=$D1214)*(xlRTEQTYPE=$E1214),0))</f>
        <v>NG_FA1</v>
      </c>
      <c r="Y1214" s="153" t="str">
        <f t="array" ref="Y1214">INDEX(xlRTTYNAME,MATCH(1,(xlRTTYENDU=2)*(xlRTTYEQCL=$F1214)*(xlRTEQTYPE=$G1214),0))</f>
        <v>CENT_AIR1</v>
      </c>
    </row>
    <row r="1215" spans="2:25" ht="14.25" customHeight="1" x14ac:dyDescent="0.2">
      <c r="B1215" s="126">
        <v>3</v>
      </c>
      <c r="C1215" s="126">
        <v>2</v>
      </c>
      <c r="D1215" s="126">
        <v>3</v>
      </c>
      <c r="E1215" s="126">
        <v>6</v>
      </c>
      <c r="F1215" s="126">
        <v>2</v>
      </c>
      <c r="G1215" s="126">
        <v>6</v>
      </c>
      <c r="H1215" s="126">
        <v>2023</v>
      </c>
      <c r="I1215" s="126">
        <v>2050</v>
      </c>
      <c r="J1215" s="127">
        <v>1.0984</v>
      </c>
      <c r="K1215" s="127">
        <v>1.0345</v>
      </c>
      <c r="L1215" s="127">
        <v>0.85880000000000001</v>
      </c>
      <c r="M1215" s="127">
        <v>1.1000000000000001</v>
      </c>
      <c r="N1215" s="127">
        <v>1.0399</v>
      </c>
      <c r="O1215" s="127">
        <v>1.0538000000000001</v>
      </c>
      <c r="P1215" s="126">
        <v>2421</v>
      </c>
      <c r="Q1215" s="128">
        <f t="array" ref="Q1215">SUM(IF(($S1215&gt;=4)*($C1215='TaxCred&amp;Subs'!$D$123:$D$127)*($H1215='TaxCred&amp;Subs'!$C$123:$C$127)*($H1215&lt;='TaxCred&amp;Subs'!$C$129),'TaxCred&amp;Subs'!$E$123:$E$127,0))</f>
        <v>0</v>
      </c>
      <c r="R1215" s="174">
        <v>0</v>
      </c>
      <c r="S1215" s="126">
        <v>2</v>
      </c>
      <c r="T1215" s="126" t="s">
        <v>224</v>
      </c>
      <c r="U1215" s="158"/>
      <c r="V1215" s="153" t="str">
        <f t="array" ref="V1215">INDEX(xlRTCLNAME,MATCH(1,(xlRTCLENDU=1)*(xlRTCLEQCL=$D1215),0))</f>
        <v>NG_FA</v>
      </c>
      <c r="W1215" s="153" t="str">
        <f t="array" ref="W1215">INDEX(xlRTCLNAME,MATCH(1,(xlRTCLENDU=2)*(xlRTCLEQCL=$F1215),0))</f>
        <v>CENT_AIR</v>
      </c>
      <c r="X1215" s="153" t="str">
        <f t="array" ref="X1215">INDEX(xlRTTYNAME,MATCH(1,(xlRTTYENDU=1)*(xlRTTYEQCL=$D1215)*(xlRTEQTYPE=$E1215),0))</f>
        <v>NG_FA1</v>
      </c>
      <c r="Y1215" s="153" t="str">
        <f t="array" ref="Y1215">INDEX(xlRTTYNAME,MATCH(1,(xlRTTYENDU=2)*(xlRTTYEQCL=$F1215)*(xlRTEQTYPE=$G1215),0))</f>
        <v>CENT_AIR2</v>
      </c>
    </row>
    <row r="1216" spans="2:25" ht="14.25" customHeight="1" x14ac:dyDescent="0.2">
      <c r="B1216" s="126">
        <v>4</v>
      </c>
      <c r="C1216" s="126">
        <v>2</v>
      </c>
      <c r="D1216" s="126">
        <v>3</v>
      </c>
      <c r="E1216" s="126">
        <v>6</v>
      </c>
      <c r="F1216" s="126">
        <v>2</v>
      </c>
      <c r="G1216" s="126">
        <v>5</v>
      </c>
      <c r="H1216" s="126">
        <v>2016</v>
      </c>
      <c r="I1216" s="126">
        <v>2022</v>
      </c>
      <c r="J1216" s="127">
        <v>1.1000000000000001</v>
      </c>
      <c r="K1216" s="127">
        <v>1.0435000000000001</v>
      </c>
      <c r="L1216" s="127">
        <v>1.0251999999999999</v>
      </c>
      <c r="M1216" s="127">
        <v>1.175</v>
      </c>
      <c r="N1216" s="127">
        <v>1.1696</v>
      </c>
      <c r="O1216" s="127">
        <v>1.0538000000000001</v>
      </c>
      <c r="P1216" s="126">
        <v>2095</v>
      </c>
      <c r="Q1216" s="128">
        <f t="array" ref="Q1216">SUM(IF(($S1216&gt;=4)*($C1216='TaxCred&amp;Subs'!$D$123:$D$127)*($H1216='TaxCred&amp;Subs'!$C$123:$C$127)*($H1216&lt;='TaxCred&amp;Subs'!$C$129),'TaxCred&amp;Subs'!$E$123:$E$127,0))</f>
        <v>0</v>
      </c>
      <c r="R1216" s="174">
        <v>0</v>
      </c>
      <c r="S1216" s="126">
        <v>2</v>
      </c>
      <c r="T1216" s="126" t="s">
        <v>224</v>
      </c>
      <c r="U1216" s="158"/>
      <c r="V1216" s="153" t="str">
        <f t="array" ref="V1216">INDEX(xlRTCLNAME,MATCH(1,(xlRTCLENDU=1)*(xlRTCLEQCL=$D1216),0))</f>
        <v>NG_FA</v>
      </c>
      <c r="W1216" s="153" t="str">
        <f t="array" ref="W1216">INDEX(xlRTCLNAME,MATCH(1,(xlRTCLENDU=2)*(xlRTCLEQCL=$F1216),0))</f>
        <v>CENT_AIR</v>
      </c>
      <c r="X1216" s="153" t="str">
        <f t="array" ref="X1216">INDEX(xlRTTYNAME,MATCH(1,(xlRTTYENDU=1)*(xlRTTYEQCL=$D1216)*(xlRTEQTYPE=$E1216),0))</f>
        <v>NG_FA1</v>
      </c>
      <c r="Y1216" s="153" t="str">
        <f t="array" ref="Y1216">INDEX(xlRTTYNAME,MATCH(1,(xlRTTYENDU=2)*(xlRTTYEQCL=$F1216)*(xlRTEQTYPE=$G1216),0))</f>
        <v>CENT_AIR1</v>
      </c>
    </row>
    <row r="1217" spans="2:25" ht="14.25" customHeight="1" x14ac:dyDescent="0.2">
      <c r="B1217" s="126">
        <v>4</v>
      </c>
      <c r="C1217" s="126">
        <v>2</v>
      </c>
      <c r="D1217" s="126">
        <v>3</v>
      </c>
      <c r="E1217" s="126">
        <v>6</v>
      </c>
      <c r="F1217" s="126">
        <v>2</v>
      </c>
      <c r="G1217" s="126">
        <v>6</v>
      </c>
      <c r="H1217" s="126">
        <v>2023</v>
      </c>
      <c r="I1217" s="126">
        <v>2050</v>
      </c>
      <c r="J1217" s="127">
        <v>1.1000000000000001</v>
      </c>
      <c r="K1217" s="127">
        <v>1.0435000000000001</v>
      </c>
      <c r="L1217" s="127">
        <v>1.0251999999999999</v>
      </c>
      <c r="M1217" s="127">
        <v>1.175</v>
      </c>
      <c r="N1217" s="127">
        <v>1.1696</v>
      </c>
      <c r="O1217" s="127">
        <v>1.0538000000000001</v>
      </c>
      <c r="P1217" s="126">
        <v>2095</v>
      </c>
      <c r="Q1217" s="128">
        <f t="array" ref="Q1217">SUM(IF(($S1217&gt;=4)*($C1217='TaxCred&amp;Subs'!$D$123:$D$127)*($H1217='TaxCred&amp;Subs'!$C$123:$C$127)*($H1217&lt;='TaxCred&amp;Subs'!$C$129),'TaxCred&amp;Subs'!$E$123:$E$127,0))</f>
        <v>0</v>
      </c>
      <c r="R1217" s="174">
        <v>0</v>
      </c>
      <c r="S1217" s="126">
        <v>2</v>
      </c>
      <c r="T1217" s="126" t="s">
        <v>224</v>
      </c>
      <c r="U1217" s="158"/>
      <c r="V1217" s="153" t="str">
        <f t="array" ref="V1217">INDEX(xlRTCLNAME,MATCH(1,(xlRTCLENDU=1)*(xlRTCLEQCL=$D1217),0))</f>
        <v>NG_FA</v>
      </c>
      <c r="W1217" s="153" t="str">
        <f t="array" ref="W1217">INDEX(xlRTCLNAME,MATCH(1,(xlRTCLENDU=2)*(xlRTCLEQCL=$F1217),0))</f>
        <v>CENT_AIR</v>
      </c>
      <c r="X1217" s="153" t="str">
        <f t="array" ref="X1217">INDEX(xlRTTYNAME,MATCH(1,(xlRTTYENDU=1)*(xlRTTYEQCL=$D1217)*(xlRTEQTYPE=$E1217),0))</f>
        <v>NG_FA1</v>
      </c>
      <c r="Y1217" s="153" t="str">
        <f t="array" ref="Y1217">INDEX(xlRTTYNAME,MATCH(1,(xlRTTYENDU=2)*(xlRTTYEQCL=$F1217)*(xlRTEQTYPE=$G1217),0))</f>
        <v>CENT_AIR2</v>
      </c>
    </row>
    <row r="1218" spans="2:25" ht="14.25" customHeight="1" x14ac:dyDescent="0.2">
      <c r="B1218" s="126">
        <v>5</v>
      </c>
      <c r="C1218" s="126">
        <v>2</v>
      </c>
      <c r="D1218" s="126">
        <v>3</v>
      </c>
      <c r="E1218" s="126">
        <v>6</v>
      </c>
      <c r="F1218" s="126">
        <v>2</v>
      </c>
      <c r="G1218" s="126">
        <v>5</v>
      </c>
      <c r="H1218" s="126">
        <v>2016</v>
      </c>
      <c r="I1218" s="126">
        <v>2022</v>
      </c>
      <c r="J1218" s="127">
        <v>1.1200000000000001</v>
      </c>
      <c r="K1218" s="127">
        <v>1.0391999999999999</v>
      </c>
      <c r="L1218" s="127">
        <v>0.53759999999999997</v>
      </c>
      <c r="M1218" s="127">
        <v>1.1000000000000001</v>
      </c>
      <c r="N1218" s="127">
        <v>1.2750999999999999</v>
      </c>
      <c r="O1218" s="127">
        <v>1.0538000000000001</v>
      </c>
      <c r="P1218" s="126">
        <v>1801</v>
      </c>
      <c r="Q1218" s="128">
        <f t="array" ref="Q1218">SUM(IF(($S1218&gt;=4)*($C1218='TaxCred&amp;Subs'!$D$123:$D$127)*($H1218='TaxCred&amp;Subs'!$C$123:$C$127)*($H1218&lt;='TaxCred&amp;Subs'!$C$129),'TaxCred&amp;Subs'!$E$123:$E$127,0))</f>
        <v>0</v>
      </c>
      <c r="R1218" s="174">
        <v>0</v>
      </c>
      <c r="S1218" s="126">
        <v>2</v>
      </c>
      <c r="T1218" s="126" t="s">
        <v>224</v>
      </c>
      <c r="U1218" s="158"/>
      <c r="V1218" s="153" t="str">
        <f t="array" ref="V1218">INDEX(xlRTCLNAME,MATCH(1,(xlRTCLENDU=1)*(xlRTCLEQCL=$D1218),0))</f>
        <v>NG_FA</v>
      </c>
      <c r="W1218" s="153" t="str">
        <f t="array" ref="W1218">INDEX(xlRTCLNAME,MATCH(1,(xlRTCLENDU=2)*(xlRTCLEQCL=$F1218),0))</f>
        <v>CENT_AIR</v>
      </c>
      <c r="X1218" s="153" t="str">
        <f t="array" ref="X1218">INDEX(xlRTTYNAME,MATCH(1,(xlRTTYENDU=1)*(xlRTTYEQCL=$D1218)*(xlRTEQTYPE=$E1218),0))</f>
        <v>NG_FA1</v>
      </c>
      <c r="Y1218" s="153" t="str">
        <f t="array" ref="Y1218">INDEX(xlRTTYNAME,MATCH(1,(xlRTTYENDU=2)*(xlRTTYEQCL=$F1218)*(xlRTEQTYPE=$G1218),0))</f>
        <v>CENT_AIR1</v>
      </c>
    </row>
    <row r="1219" spans="2:25" ht="14.25" customHeight="1" x14ac:dyDescent="0.2">
      <c r="B1219" s="126">
        <v>5</v>
      </c>
      <c r="C1219" s="126">
        <v>2</v>
      </c>
      <c r="D1219" s="126">
        <v>3</v>
      </c>
      <c r="E1219" s="126">
        <v>6</v>
      </c>
      <c r="F1219" s="126">
        <v>2</v>
      </c>
      <c r="G1219" s="126">
        <v>6</v>
      </c>
      <c r="H1219" s="126">
        <v>2023</v>
      </c>
      <c r="I1219" s="126">
        <v>2050</v>
      </c>
      <c r="J1219" s="127">
        <v>1.1200000000000001</v>
      </c>
      <c r="K1219" s="127">
        <v>1.0391999999999999</v>
      </c>
      <c r="L1219" s="127">
        <v>0.53759999999999997</v>
      </c>
      <c r="M1219" s="127">
        <v>1.1000000000000001</v>
      </c>
      <c r="N1219" s="127">
        <v>1.2750999999999999</v>
      </c>
      <c r="O1219" s="127">
        <v>1.0538000000000001</v>
      </c>
      <c r="P1219" s="126">
        <v>1801</v>
      </c>
      <c r="Q1219" s="128">
        <f t="array" ref="Q1219">SUM(IF(($S1219&gt;=4)*($C1219='TaxCred&amp;Subs'!$D$123:$D$127)*($H1219='TaxCred&amp;Subs'!$C$123:$C$127)*($H1219&lt;='TaxCred&amp;Subs'!$C$129),'TaxCred&amp;Subs'!$E$123:$E$127,0))</f>
        <v>0</v>
      </c>
      <c r="R1219" s="174">
        <v>0</v>
      </c>
      <c r="S1219" s="126">
        <v>2</v>
      </c>
      <c r="T1219" s="126" t="s">
        <v>224</v>
      </c>
      <c r="U1219" s="158"/>
      <c r="V1219" s="153" t="str">
        <f t="array" ref="V1219">INDEX(xlRTCLNAME,MATCH(1,(xlRTCLENDU=1)*(xlRTCLEQCL=$D1219),0))</f>
        <v>NG_FA</v>
      </c>
      <c r="W1219" s="153" t="str">
        <f t="array" ref="W1219">INDEX(xlRTCLNAME,MATCH(1,(xlRTCLENDU=2)*(xlRTCLEQCL=$F1219),0))</f>
        <v>CENT_AIR</v>
      </c>
      <c r="X1219" s="153" t="str">
        <f t="array" ref="X1219">INDEX(xlRTTYNAME,MATCH(1,(xlRTTYENDU=1)*(xlRTTYEQCL=$D1219)*(xlRTEQTYPE=$E1219),0))</f>
        <v>NG_FA1</v>
      </c>
      <c r="Y1219" s="153" t="str">
        <f t="array" ref="Y1219">INDEX(xlRTTYNAME,MATCH(1,(xlRTTYENDU=2)*(xlRTTYEQCL=$F1219)*(xlRTEQTYPE=$G1219),0))</f>
        <v>CENT_AIR2</v>
      </c>
    </row>
    <row r="1220" spans="2:25" ht="14.25" customHeight="1" x14ac:dyDescent="0.2">
      <c r="B1220" s="126">
        <v>6</v>
      </c>
      <c r="C1220" s="126">
        <v>2</v>
      </c>
      <c r="D1220" s="126">
        <v>3</v>
      </c>
      <c r="E1220" s="126">
        <v>6</v>
      </c>
      <c r="F1220" s="126">
        <v>2</v>
      </c>
      <c r="G1220" s="126">
        <v>5</v>
      </c>
      <c r="H1220" s="126">
        <v>2016</v>
      </c>
      <c r="I1220" s="126">
        <v>2022</v>
      </c>
      <c r="J1220" s="127">
        <v>1.1200000000000001</v>
      </c>
      <c r="K1220" s="127">
        <v>1.03</v>
      </c>
      <c r="L1220" s="127">
        <v>0.89380000000000004</v>
      </c>
      <c r="M1220" s="127">
        <v>1.1341000000000001</v>
      </c>
      <c r="N1220" s="127">
        <v>1.3324</v>
      </c>
      <c r="O1220" s="127">
        <v>1.0538000000000001</v>
      </c>
      <c r="P1220" s="126">
        <v>2020</v>
      </c>
      <c r="Q1220" s="128">
        <f t="array" ref="Q1220">SUM(IF(($S1220&gt;=4)*($C1220='TaxCred&amp;Subs'!$D$123:$D$127)*($H1220='TaxCred&amp;Subs'!$C$123:$C$127)*($H1220&lt;='TaxCred&amp;Subs'!$C$129),'TaxCred&amp;Subs'!$E$123:$E$127,0))</f>
        <v>0</v>
      </c>
      <c r="R1220" s="174">
        <v>0</v>
      </c>
      <c r="S1220" s="126">
        <v>2</v>
      </c>
      <c r="T1220" s="126" t="s">
        <v>224</v>
      </c>
      <c r="U1220" s="158"/>
      <c r="V1220" s="153" t="str">
        <f t="array" ref="V1220">INDEX(xlRTCLNAME,MATCH(1,(xlRTCLENDU=1)*(xlRTCLEQCL=$D1220),0))</f>
        <v>NG_FA</v>
      </c>
      <c r="W1220" s="153" t="str">
        <f t="array" ref="W1220">INDEX(xlRTCLNAME,MATCH(1,(xlRTCLENDU=2)*(xlRTCLEQCL=$F1220),0))</f>
        <v>CENT_AIR</v>
      </c>
      <c r="X1220" s="153" t="str">
        <f t="array" ref="X1220">INDEX(xlRTTYNAME,MATCH(1,(xlRTTYENDU=1)*(xlRTTYEQCL=$D1220)*(xlRTEQTYPE=$E1220),0))</f>
        <v>NG_FA1</v>
      </c>
      <c r="Y1220" s="153" t="str">
        <f t="array" ref="Y1220">INDEX(xlRTTYNAME,MATCH(1,(xlRTTYENDU=2)*(xlRTTYEQCL=$F1220)*(xlRTEQTYPE=$G1220),0))</f>
        <v>CENT_AIR1</v>
      </c>
    </row>
    <row r="1221" spans="2:25" ht="14.25" customHeight="1" x14ac:dyDescent="0.2">
      <c r="B1221" s="126">
        <v>6</v>
      </c>
      <c r="C1221" s="126">
        <v>2</v>
      </c>
      <c r="D1221" s="126">
        <v>3</v>
      </c>
      <c r="E1221" s="126">
        <v>6</v>
      </c>
      <c r="F1221" s="126">
        <v>2</v>
      </c>
      <c r="G1221" s="126">
        <v>6</v>
      </c>
      <c r="H1221" s="126">
        <v>2023</v>
      </c>
      <c r="I1221" s="126">
        <v>2050</v>
      </c>
      <c r="J1221" s="127">
        <v>1.1200000000000001</v>
      </c>
      <c r="K1221" s="127">
        <v>1.03</v>
      </c>
      <c r="L1221" s="127">
        <v>0.89380000000000004</v>
      </c>
      <c r="M1221" s="127">
        <v>1.1341000000000001</v>
      </c>
      <c r="N1221" s="127">
        <v>1.3324</v>
      </c>
      <c r="O1221" s="127">
        <v>1.0538000000000001</v>
      </c>
      <c r="P1221" s="126">
        <v>2020</v>
      </c>
      <c r="Q1221" s="128">
        <f t="array" ref="Q1221">SUM(IF(($S1221&gt;=4)*($C1221='TaxCred&amp;Subs'!$D$123:$D$127)*($H1221='TaxCred&amp;Subs'!$C$123:$C$127)*($H1221&lt;='TaxCred&amp;Subs'!$C$129),'TaxCred&amp;Subs'!$E$123:$E$127,0))</f>
        <v>0</v>
      </c>
      <c r="R1221" s="174">
        <v>0</v>
      </c>
      <c r="S1221" s="126">
        <v>2</v>
      </c>
      <c r="T1221" s="126" t="s">
        <v>224</v>
      </c>
      <c r="U1221" s="158"/>
      <c r="V1221" s="153" t="str">
        <f t="array" ref="V1221">INDEX(xlRTCLNAME,MATCH(1,(xlRTCLENDU=1)*(xlRTCLEQCL=$D1221),0))</f>
        <v>NG_FA</v>
      </c>
      <c r="W1221" s="153" t="str">
        <f t="array" ref="W1221">INDEX(xlRTCLNAME,MATCH(1,(xlRTCLENDU=2)*(xlRTCLEQCL=$F1221),0))</f>
        <v>CENT_AIR</v>
      </c>
      <c r="X1221" s="153" t="str">
        <f t="array" ref="X1221">INDEX(xlRTTYNAME,MATCH(1,(xlRTTYENDU=1)*(xlRTTYEQCL=$D1221)*(xlRTEQTYPE=$E1221),0))</f>
        <v>NG_FA1</v>
      </c>
      <c r="Y1221" s="153" t="str">
        <f t="array" ref="Y1221">INDEX(xlRTTYNAME,MATCH(1,(xlRTTYENDU=2)*(xlRTTYEQCL=$F1221)*(xlRTEQTYPE=$G1221),0))</f>
        <v>CENT_AIR2</v>
      </c>
    </row>
    <row r="1222" spans="2:25" ht="14.25" customHeight="1" x14ac:dyDescent="0.2">
      <c r="B1222" s="126">
        <v>7</v>
      </c>
      <c r="C1222" s="126">
        <v>2</v>
      </c>
      <c r="D1222" s="126">
        <v>3</v>
      </c>
      <c r="E1222" s="126">
        <v>6</v>
      </c>
      <c r="F1222" s="126">
        <v>2</v>
      </c>
      <c r="G1222" s="126">
        <v>5</v>
      </c>
      <c r="H1222" s="126">
        <v>2016</v>
      </c>
      <c r="I1222" s="126">
        <v>2022</v>
      </c>
      <c r="J1222" s="127">
        <v>1.1200000000000001</v>
      </c>
      <c r="K1222" s="127">
        <v>1.0462</v>
      </c>
      <c r="L1222" s="127">
        <v>0.86050000000000004</v>
      </c>
      <c r="M1222" s="127">
        <v>1.1604000000000001</v>
      </c>
      <c r="N1222" s="127">
        <v>1.4438</v>
      </c>
      <c r="O1222" s="127">
        <v>1.0538000000000001</v>
      </c>
      <c r="P1222" s="126">
        <v>1342</v>
      </c>
      <c r="Q1222" s="128">
        <f t="array" ref="Q1222">SUM(IF(($S1222&gt;=4)*($C1222='TaxCred&amp;Subs'!$D$123:$D$127)*($H1222='TaxCred&amp;Subs'!$C$123:$C$127)*($H1222&lt;='TaxCred&amp;Subs'!$C$129),'TaxCred&amp;Subs'!$E$123:$E$127,0))</f>
        <v>0</v>
      </c>
      <c r="R1222" s="174">
        <v>0</v>
      </c>
      <c r="S1222" s="126">
        <v>2</v>
      </c>
      <c r="T1222" s="126" t="s">
        <v>224</v>
      </c>
      <c r="U1222" s="158"/>
      <c r="V1222" s="153" t="str">
        <f t="array" ref="V1222">INDEX(xlRTCLNAME,MATCH(1,(xlRTCLENDU=1)*(xlRTCLEQCL=$D1222),0))</f>
        <v>NG_FA</v>
      </c>
      <c r="W1222" s="153" t="str">
        <f t="array" ref="W1222">INDEX(xlRTCLNAME,MATCH(1,(xlRTCLENDU=2)*(xlRTCLEQCL=$F1222),0))</f>
        <v>CENT_AIR</v>
      </c>
      <c r="X1222" s="153" t="str">
        <f t="array" ref="X1222">INDEX(xlRTTYNAME,MATCH(1,(xlRTTYENDU=1)*(xlRTTYEQCL=$D1222)*(xlRTEQTYPE=$E1222),0))</f>
        <v>NG_FA1</v>
      </c>
      <c r="Y1222" s="153" t="str">
        <f t="array" ref="Y1222">INDEX(xlRTTYNAME,MATCH(1,(xlRTTYENDU=2)*(xlRTTYEQCL=$F1222)*(xlRTEQTYPE=$G1222),0))</f>
        <v>CENT_AIR1</v>
      </c>
    </row>
    <row r="1223" spans="2:25" ht="14.25" customHeight="1" x14ac:dyDescent="0.2">
      <c r="B1223" s="126">
        <v>7</v>
      </c>
      <c r="C1223" s="126">
        <v>2</v>
      </c>
      <c r="D1223" s="126">
        <v>3</v>
      </c>
      <c r="E1223" s="126">
        <v>6</v>
      </c>
      <c r="F1223" s="126">
        <v>2</v>
      </c>
      <c r="G1223" s="126">
        <v>6</v>
      </c>
      <c r="H1223" s="126">
        <v>2023</v>
      </c>
      <c r="I1223" s="126">
        <v>2050</v>
      </c>
      <c r="J1223" s="127">
        <v>1.1200000000000001</v>
      </c>
      <c r="K1223" s="127">
        <v>1.0462</v>
      </c>
      <c r="L1223" s="127">
        <v>0.86050000000000004</v>
      </c>
      <c r="M1223" s="127">
        <v>1.1604000000000001</v>
      </c>
      <c r="N1223" s="127">
        <v>1.4438</v>
      </c>
      <c r="O1223" s="127">
        <v>1.0538000000000001</v>
      </c>
      <c r="P1223" s="126">
        <v>1342</v>
      </c>
      <c r="Q1223" s="128">
        <f t="array" ref="Q1223">SUM(IF(($S1223&gt;=4)*($C1223='TaxCred&amp;Subs'!$D$123:$D$127)*($H1223='TaxCred&amp;Subs'!$C$123:$C$127)*($H1223&lt;='TaxCred&amp;Subs'!$C$129),'TaxCred&amp;Subs'!$E$123:$E$127,0))</f>
        <v>0</v>
      </c>
      <c r="R1223" s="174">
        <v>0</v>
      </c>
      <c r="S1223" s="126">
        <v>2</v>
      </c>
      <c r="T1223" s="126" t="s">
        <v>224</v>
      </c>
      <c r="U1223" s="158"/>
      <c r="V1223" s="153" t="str">
        <f t="array" ref="V1223">INDEX(xlRTCLNAME,MATCH(1,(xlRTCLENDU=1)*(xlRTCLEQCL=$D1223),0))</f>
        <v>NG_FA</v>
      </c>
      <c r="W1223" s="153" t="str">
        <f t="array" ref="W1223">INDEX(xlRTCLNAME,MATCH(1,(xlRTCLENDU=2)*(xlRTCLEQCL=$F1223),0))</f>
        <v>CENT_AIR</v>
      </c>
      <c r="X1223" s="153" t="str">
        <f t="array" ref="X1223">INDEX(xlRTTYNAME,MATCH(1,(xlRTTYENDU=1)*(xlRTTYEQCL=$D1223)*(xlRTEQTYPE=$E1223),0))</f>
        <v>NG_FA1</v>
      </c>
      <c r="Y1223" s="153" t="str">
        <f t="array" ref="Y1223">INDEX(xlRTTYNAME,MATCH(1,(xlRTTYENDU=2)*(xlRTTYEQCL=$F1223)*(xlRTEQTYPE=$G1223),0))</f>
        <v>CENT_AIR2</v>
      </c>
    </row>
    <row r="1224" spans="2:25" ht="14.25" customHeight="1" x14ac:dyDescent="0.2">
      <c r="B1224" s="126">
        <v>8</v>
      </c>
      <c r="C1224" s="126">
        <v>2</v>
      </c>
      <c r="D1224" s="126">
        <v>3</v>
      </c>
      <c r="E1224" s="126">
        <v>6</v>
      </c>
      <c r="F1224" s="126">
        <v>2</v>
      </c>
      <c r="G1224" s="126">
        <v>5</v>
      </c>
      <c r="H1224" s="126">
        <v>2016</v>
      </c>
      <c r="I1224" s="126">
        <v>2022</v>
      </c>
      <c r="J1224" s="127">
        <v>1.0932999999999999</v>
      </c>
      <c r="K1224" s="127">
        <v>1.0323</v>
      </c>
      <c r="L1224" s="127">
        <v>1.0390999999999999</v>
      </c>
      <c r="M1224" s="127">
        <v>1.2739</v>
      </c>
      <c r="N1224" s="127">
        <v>1.2847999999999999</v>
      </c>
      <c r="O1224" s="127">
        <v>1.0538000000000001</v>
      </c>
      <c r="P1224" s="126">
        <v>2341</v>
      </c>
      <c r="Q1224" s="128">
        <f t="array" ref="Q1224">SUM(IF(($S1224&gt;=4)*($C1224='TaxCred&amp;Subs'!$D$123:$D$127)*($H1224='TaxCred&amp;Subs'!$C$123:$C$127)*($H1224&lt;='TaxCred&amp;Subs'!$C$129),'TaxCred&amp;Subs'!$E$123:$E$127,0))</f>
        <v>0</v>
      </c>
      <c r="R1224" s="174">
        <v>0</v>
      </c>
      <c r="S1224" s="126">
        <v>2</v>
      </c>
      <c r="T1224" s="126" t="s">
        <v>224</v>
      </c>
      <c r="U1224" s="158"/>
      <c r="V1224" s="153" t="str">
        <f t="array" ref="V1224">INDEX(xlRTCLNAME,MATCH(1,(xlRTCLENDU=1)*(xlRTCLEQCL=$D1224),0))</f>
        <v>NG_FA</v>
      </c>
      <c r="W1224" s="153" t="str">
        <f t="array" ref="W1224">INDEX(xlRTCLNAME,MATCH(1,(xlRTCLENDU=2)*(xlRTCLEQCL=$F1224),0))</f>
        <v>CENT_AIR</v>
      </c>
      <c r="X1224" s="153" t="str">
        <f t="array" ref="X1224">INDEX(xlRTTYNAME,MATCH(1,(xlRTTYENDU=1)*(xlRTTYEQCL=$D1224)*(xlRTEQTYPE=$E1224),0))</f>
        <v>NG_FA1</v>
      </c>
      <c r="Y1224" s="153" t="str">
        <f t="array" ref="Y1224">INDEX(xlRTTYNAME,MATCH(1,(xlRTTYENDU=2)*(xlRTTYEQCL=$F1224)*(xlRTEQTYPE=$G1224),0))</f>
        <v>CENT_AIR1</v>
      </c>
    </row>
    <row r="1225" spans="2:25" ht="14.25" customHeight="1" x14ac:dyDescent="0.2">
      <c r="B1225" s="126">
        <v>8</v>
      </c>
      <c r="C1225" s="126">
        <v>2</v>
      </c>
      <c r="D1225" s="126">
        <v>3</v>
      </c>
      <c r="E1225" s="126">
        <v>6</v>
      </c>
      <c r="F1225" s="126">
        <v>2</v>
      </c>
      <c r="G1225" s="126">
        <v>6</v>
      </c>
      <c r="H1225" s="126">
        <v>2023</v>
      </c>
      <c r="I1225" s="126">
        <v>2050</v>
      </c>
      <c r="J1225" s="127">
        <v>1.0932999999999999</v>
      </c>
      <c r="K1225" s="127">
        <v>1.0323</v>
      </c>
      <c r="L1225" s="127">
        <v>1.0390999999999999</v>
      </c>
      <c r="M1225" s="127">
        <v>1.2739</v>
      </c>
      <c r="N1225" s="127">
        <v>1.2847999999999999</v>
      </c>
      <c r="O1225" s="127">
        <v>1.0538000000000001</v>
      </c>
      <c r="P1225" s="126">
        <v>2341</v>
      </c>
      <c r="Q1225" s="128">
        <f t="array" ref="Q1225">SUM(IF(($S1225&gt;=4)*($C1225='TaxCred&amp;Subs'!$D$123:$D$127)*($H1225='TaxCred&amp;Subs'!$C$123:$C$127)*($H1225&lt;='TaxCred&amp;Subs'!$C$129),'TaxCred&amp;Subs'!$E$123:$E$127,0))</f>
        <v>0</v>
      </c>
      <c r="R1225" s="174">
        <v>0</v>
      </c>
      <c r="S1225" s="126">
        <v>2</v>
      </c>
      <c r="T1225" s="126" t="s">
        <v>224</v>
      </c>
      <c r="U1225" s="158"/>
      <c r="V1225" s="153" t="str">
        <f t="array" ref="V1225">INDEX(xlRTCLNAME,MATCH(1,(xlRTCLENDU=1)*(xlRTCLEQCL=$D1225),0))</f>
        <v>NG_FA</v>
      </c>
      <c r="W1225" s="153" t="str">
        <f t="array" ref="W1225">INDEX(xlRTCLNAME,MATCH(1,(xlRTCLENDU=2)*(xlRTCLEQCL=$F1225),0))</f>
        <v>CENT_AIR</v>
      </c>
      <c r="X1225" s="153" t="str">
        <f t="array" ref="X1225">INDEX(xlRTTYNAME,MATCH(1,(xlRTTYENDU=1)*(xlRTTYEQCL=$D1225)*(xlRTEQTYPE=$E1225),0))</f>
        <v>NG_FA1</v>
      </c>
      <c r="Y1225" s="153" t="str">
        <f t="array" ref="Y1225">INDEX(xlRTTYNAME,MATCH(1,(xlRTTYENDU=2)*(xlRTTYEQCL=$F1225)*(xlRTEQTYPE=$G1225),0))</f>
        <v>CENT_AIR2</v>
      </c>
    </row>
    <row r="1226" spans="2:25" ht="14.25" customHeight="1" x14ac:dyDescent="0.2">
      <c r="B1226" s="126">
        <v>9</v>
      </c>
      <c r="C1226" s="126">
        <v>2</v>
      </c>
      <c r="D1226" s="126">
        <v>3</v>
      </c>
      <c r="E1226" s="126">
        <v>6</v>
      </c>
      <c r="F1226" s="126">
        <v>2</v>
      </c>
      <c r="G1226" s="126">
        <v>5</v>
      </c>
      <c r="H1226" s="126">
        <v>2016</v>
      </c>
      <c r="I1226" s="126">
        <v>2022</v>
      </c>
      <c r="J1226" s="127">
        <v>1.07</v>
      </c>
      <c r="K1226" s="127">
        <v>1.0541</v>
      </c>
      <c r="L1226" s="127">
        <v>0.88129999999999997</v>
      </c>
      <c r="M1226" s="127">
        <v>1.2166999999999999</v>
      </c>
      <c r="N1226" s="127">
        <v>1.4438</v>
      </c>
      <c r="O1226" s="127">
        <v>1.0538000000000001</v>
      </c>
      <c r="P1226" s="126">
        <v>1907</v>
      </c>
      <c r="Q1226" s="128">
        <f t="array" ref="Q1226">SUM(IF(($S1226&gt;=4)*($C1226='TaxCred&amp;Subs'!$D$123:$D$127)*($H1226='TaxCred&amp;Subs'!$C$123:$C$127)*($H1226&lt;='TaxCred&amp;Subs'!$C$129),'TaxCred&amp;Subs'!$E$123:$E$127,0))</f>
        <v>0</v>
      </c>
      <c r="R1226" s="174">
        <v>0</v>
      </c>
      <c r="S1226" s="126">
        <v>2</v>
      </c>
      <c r="T1226" s="126" t="s">
        <v>224</v>
      </c>
      <c r="U1226" s="158"/>
      <c r="V1226" s="153" t="str">
        <f t="array" ref="V1226">INDEX(xlRTCLNAME,MATCH(1,(xlRTCLENDU=1)*(xlRTCLEQCL=$D1226),0))</f>
        <v>NG_FA</v>
      </c>
      <c r="W1226" s="153" t="str">
        <f t="array" ref="W1226">INDEX(xlRTCLNAME,MATCH(1,(xlRTCLENDU=2)*(xlRTCLEQCL=$F1226),0))</f>
        <v>CENT_AIR</v>
      </c>
      <c r="X1226" s="153" t="str">
        <f t="array" ref="X1226">INDEX(xlRTTYNAME,MATCH(1,(xlRTTYENDU=1)*(xlRTTYEQCL=$D1226)*(xlRTEQTYPE=$E1226),0))</f>
        <v>NG_FA1</v>
      </c>
      <c r="Y1226" s="153" t="str">
        <f t="array" ref="Y1226">INDEX(xlRTTYNAME,MATCH(1,(xlRTTYENDU=2)*(xlRTTYEQCL=$F1226)*(xlRTEQTYPE=$G1226),0))</f>
        <v>CENT_AIR1</v>
      </c>
    </row>
    <row r="1227" spans="2:25" ht="14.25" customHeight="1" x14ac:dyDescent="0.2">
      <c r="B1227" s="126">
        <v>9</v>
      </c>
      <c r="C1227" s="126">
        <v>2</v>
      </c>
      <c r="D1227" s="126">
        <v>3</v>
      </c>
      <c r="E1227" s="126">
        <v>6</v>
      </c>
      <c r="F1227" s="126">
        <v>2</v>
      </c>
      <c r="G1227" s="126">
        <v>6</v>
      </c>
      <c r="H1227" s="126">
        <v>2023</v>
      </c>
      <c r="I1227" s="126">
        <v>2050</v>
      </c>
      <c r="J1227" s="127">
        <v>1.07</v>
      </c>
      <c r="K1227" s="127">
        <v>1.0541</v>
      </c>
      <c r="L1227" s="127">
        <v>0.88129999999999997</v>
      </c>
      <c r="M1227" s="127">
        <v>1.2166999999999999</v>
      </c>
      <c r="N1227" s="127">
        <v>1.4438</v>
      </c>
      <c r="O1227" s="127">
        <v>1.0538000000000001</v>
      </c>
      <c r="P1227" s="126">
        <v>1907</v>
      </c>
      <c r="Q1227" s="128">
        <f t="array" ref="Q1227">SUM(IF(($S1227&gt;=4)*($C1227='TaxCred&amp;Subs'!$D$123:$D$127)*($H1227='TaxCred&amp;Subs'!$C$123:$C$127)*($H1227&lt;='TaxCred&amp;Subs'!$C$129),'TaxCred&amp;Subs'!$E$123:$E$127,0))</f>
        <v>0</v>
      </c>
      <c r="R1227" s="174">
        <v>0</v>
      </c>
      <c r="S1227" s="126">
        <v>2</v>
      </c>
      <c r="T1227" s="126" t="s">
        <v>224</v>
      </c>
      <c r="U1227" s="158"/>
      <c r="V1227" s="153" t="str">
        <f t="array" ref="V1227">INDEX(xlRTCLNAME,MATCH(1,(xlRTCLENDU=1)*(xlRTCLEQCL=$D1227),0))</f>
        <v>NG_FA</v>
      </c>
      <c r="W1227" s="153" t="str">
        <f t="array" ref="W1227">INDEX(xlRTCLNAME,MATCH(1,(xlRTCLENDU=2)*(xlRTCLEQCL=$F1227),0))</f>
        <v>CENT_AIR</v>
      </c>
      <c r="X1227" s="153" t="str">
        <f t="array" ref="X1227">INDEX(xlRTTYNAME,MATCH(1,(xlRTTYENDU=1)*(xlRTTYEQCL=$D1227)*(xlRTEQTYPE=$E1227),0))</f>
        <v>NG_FA1</v>
      </c>
      <c r="Y1227" s="153" t="str">
        <f t="array" ref="Y1227">INDEX(xlRTTYNAME,MATCH(1,(xlRTTYENDU=2)*(xlRTTYEQCL=$F1227)*(xlRTEQTYPE=$G1227),0))</f>
        <v>CENT_AIR2</v>
      </c>
    </row>
    <row r="1228" spans="2:25" ht="14.25" customHeight="1" x14ac:dyDescent="0.2">
      <c r="B1228" s="126">
        <v>1</v>
      </c>
      <c r="C1228" s="126">
        <v>2</v>
      </c>
      <c r="D1228" s="126">
        <v>4</v>
      </c>
      <c r="E1228" s="126">
        <v>10</v>
      </c>
      <c r="F1228" s="126">
        <v>2</v>
      </c>
      <c r="G1228" s="126">
        <v>5</v>
      </c>
      <c r="H1228" s="126">
        <v>2016</v>
      </c>
      <c r="I1228" s="126">
        <v>2022</v>
      </c>
      <c r="J1228" s="127">
        <v>1.0864</v>
      </c>
      <c r="K1228" s="127">
        <v>1.0417000000000001</v>
      </c>
      <c r="L1228" s="127">
        <v>0.79600000000000004</v>
      </c>
      <c r="M1228" s="127">
        <v>1.1455</v>
      </c>
      <c r="N1228" s="127">
        <v>1.1156999999999999</v>
      </c>
      <c r="O1228" s="127">
        <v>1.0538000000000001</v>
      </c>
      <c r="P1228" s="126">
        <v>3042</v>
      </c>
      <c r="Q1228" s="128">
        <f t="array" ref="Q1228">SUM(IF(($S1228&gt;=4)*($C1228='TaxCred&amp;Subs'!$D$123:$D$127)*($H1228='TaxCred&amp;Subs'!$C$123:$C$127)*($H1228&lt;='TaxCred&amp;Subs'!$C$129),'TaxCred&amp;Subs'!$E$123:$E$127,0))</f>
        <v>0</v>
      </c>
      <c r="R1228" s="174">
        <v>0</v>
      </c>
      <c r="S1228" s="126">
        <v>2</v>
      </c>
      <c r="T1228" s="126" t="s">
        <v>224</v>
      </c>
      <c r="U1228" s="158"/>
      <c r="V1228" s="153" t="str">
        <f t="array" ref="V1228">INDEX(xlRTCLNAME,MATCH(1,(xlRTCLENDU=1)*(xlRTCLEQCL=$D1228),0))</f>
        <v>NG_RAD</v>
      </c>
      <c r="W1228" s="153" t="str">
        <f t="array" ref="W1228">INDEX(xlRTCLNAME,MATCH(1,(xlRTCLENDU=2)*(xlRTCLEQCL=$F1228),0))</f>
        <v>CENT_AIR</v>
      </c>
      <c r="X1228" s="153" t="str">
        <f t="array" ref="X1228">INDEX(xlRTTYNAME,MATCH(1,(xlRTTYENDU=1)*(xlRTTYEQCL=$D1228)*(xlRTEQTYPE=$E1228),0))</f>
        <v>NG_RAD1</v>
      </c>
      <c r="Y1228" s="153" t="str">
        <f t="array" ref="Y1228">INDEX(xlRTTYNAME,MATCH(1,(xlRTTYENDU=2)*(xlRTTYEQCL=$F1228)*(xlRTEQTYPE=$G1228),0))</f>
        <v>CENT_AIR1</v>
      </c>
    </row>
    <row r="1229" spans="2:25" ht="14.25" customHeight="1" x14ac:dyDescent="0.2">
      <c r="B1229" s="126">
        <v>1</v>
      </c>
      <c r="C1229" s="126">
        <v>2</v>
      </c>
      <c r="D1229" s="126">
        <v>4</v>
      </c>
      <c r="E1229" s="126">
        <v>10</v>
      </c>
      <c r="F1229" s="126">
        <v>2</v>
      </c>
      <c r="G1229" s="126">
        <v>6</v>
      </c>
      <c r="H1229" s="126">
        <v>2023</v>
      </c>
      <c r="I1229" s="126">
        <v>2050</v>
      </c>
      <c r="J1229" s="127">
        <v>1.0864</v>
      </c>
      <c r="K1229" s="127">
        <v>1.0417000000000001</v>
      </c>
      <c r="L1229" s="127">
        <v>0.79600000000000004</v>
      </c>
      <c r="M1229" s="127">
        <v>1.1455</v>
      </c>
      <c r="N1229" s="127">
        <v>1.1156999999999999</v>
      </c>
      <c r="O1229" s="127">
        <v>1.0538000000000001</v>
      </c>
      <c r="P1229" s="126">
        <v>3042</v>
      </c>
      <c r="Q1229" s="128">
        <f t="array" ref="Q1229">SUM(IF(($S1229&gt;=4)*($C1229='TaxCred&amp;Subs'!$D$123:$D$127)*($H1229='TaxCred&amp;Subs'!$C$123:$C$127)*($H1229&lt;='TaxCred&amp;Subs'!$C$129),'TaxCred&amp;Subs'!$E$123:$E$127,0))</f>
        <v>0</v>
      </c>
      <c r="R1229" s="174">
        <v>0</v>
      </c>
      <c r="S1229" s="126">
        <v>2</v>
      </c>
      <c r="T1229" s="126" t="s">
        <v>224</v>
      </c>
      <c r="U1229" s="158"/>
      <c r="V1229" s="153" t="str">
        <f t="array" ref="V1229">INDEX(xlRTCLNAME,MATCH(1,(xlRTCLENDU=1)*(xlRTCLEQCL=$D1229),0))</f>
        <v>NG_RAD</v>
      </c>
      <c r="W1229" s="153" t="str">
        <f t="array" ref="W1229">INDEX(xlRTCLNAME,MATCH(1,(xlRTCLENDU=2)*(xlRTCLEQCL=$F1229),0))</f>
        <v>CENT_AIR</v>
      </c>
      <c r="X1229" s="153" t="str">
        <f t="array" ref="X1229">INDEX(xlRTTYNAME,MATCH(1,(xlRTTYENDU=1)*(xlRTTYEQCL=$D1229)*(xlRTEQTYPE=$E1229),0))</f>
        <v>NG_RAD1</v>
      </c>
      <c r="Y1229" s="153" t="str">
        <f t="array" ref="Y1229">INDEX(xlRTTYNAME,MATCH(1,(xlRTTYENDU=2)*(xlRTTYEQCL=$F1229)*(xlRTEQTYPE=$G1229),0))</f>
        <v>CENT_AIR2</v>
      </c>
    </row>
    <row r="1230" spans="2:25" ht="14.25" customHeight="1" x14ac:dyDescent="0.2">
      <c r="B1230" s="126">
        <v>2</v>
      </c>
      <c r="C1230" s="126">
        <v>2</v>
      </c>
      <c r="D1230" s="126">
        <v>4</v>
      </c>
      <c r="E1230" s="126">
        <v>10</v>
      </c>
      <c r="F1230" s="126">
        <v>2</v>
      </c>
      <c r="G1230" s="126">
        <v>5</v>
      </c>
      <c r="H1230" s="126">
        <v>2016</v>
      </c>
      <c r="I1230" s="126">
        <v>2022</v>
      </c>
      <c r="J1230" s="127">
        <v>1.0891</v>
      </c>
      <c r="K1230" s="127">
        <v>1.0713999999999999</v>
      </c>
      <c r="L1230" s="127">
        <v>1.0243</v>
      </c>
      <c r="M1230" s="127">
        <v>1.1834</v>
      </c>
      <c r="N1230" s="127">
        <v>1.1254999999999999</v>
      </c>
      <c r="O1230" s="127">
        <v>1.0538000000000001</v>
      </c>
      <c r="P1230" s="126">
        <v>1998</v>
      </c>
      <c r="Q1230" s="128">
        <f t="array" ref="Q1230">SUM(IF(($S1230&gt;=4)*($C1230='TaxCred&amp;Subs'!$D$123:$D$127)*($H1230='TaxCred&amp;Subs'!$C$123:$C$127)*($H1230&lt;='TaxCred&amp;Subs'!$C$129),'TaxCred&amp;Subs'!$E$123:$E$127,0))</f>
        <v>0</v>
      </c>
      <c r="R1230" s="174">
        <v>0</v>
      </c>
      <c r="S1230" s="126">
        <v>2</v>
      </c>
      <c r="T1230" s="126" t="s">
        <v>224</v>
      </c>
      <c r="U1230" s="158"/>
      <c r="V1230" s="153" t="str">
        <f t="array" ref="V1230">INDEX(xlRTCLNAME,MATCH(1,(xlRTCLENDU=1)*(xlRTCLEQCL=$D1230),0))</f>
        <v>NG_RAD</v>
      </c>
      <c r="W1230" s="153" t="str">
        <f t="array" ref="W1230">INDEX(xlRTCLNAME,MATCH(1,(xlRTCLENDU=2)*(xlRTCLEQCL=$F1230),0))</f>
        <v>CENT_AIR</v>
      </c>
      <c r="X1230" s="153" t="str">
        <f t="array" ref="X1230">INDEX(xlRTTYNAME,MATCH(1,(xlRTTYENDU=1)*(xlRTTYEQCL=$D1230)*(xlRTEQTYPE=$E1230),0))</f>
        <v>NG_RAD1</v>
      </c>
      <c r="Y1230" s="153" t="str">
        <f t="array" ref="Y1230">INDEX(xlRTTYNAME,MATCH(1,(xlRTTYENDU=2)*(xlRTTYEQCL=$F1230)*(xlRTEQTYPE=$G1230),0))</f>
        <v>CENT_AIR1</v>
      </c>
    </row>
    <row r="1231" spans="2:25" ht="14.25" customHeight="1" x14ac:dyDescent="0.2">
      <c r="B1231" s="126">
        <v>2</v>
      </c>
      <c r="C1231" s="126">
        <v>2</v>
      </c>
      <c r="D1231" s="126">
        <v>4</v>
      </c>
      <c r="E1231" s="126">
        <v>10</v>
      </c>
      <c r="F1231" s="126">
        <v>2</v>
      </c>
      <c r="G1231" s="126">
        <v>6</v>
      </c>
      <c r="H1231" s="126">
        <v>2023</v>
      </c>
      <c r="I1231" s="126">
        <v>2050</v>
      </c>
      <c r="J1231" s="127">
        <v>1.0891</v>
      </c>
      <c r="K1231" s="127">
        <v>1.0713999999999999</v>
      </c>
      <c r="L1231" s="127">
        <v>1.0243</v>
      </c>
      <c r="M1231" s="127">
        <v>1.1834</v>
      </c>
      <c r="N1231" s="127">
        <v>1.1254999999999999</v>
      </c>
      <c r="O1231" s="127">
        <v>1.0538000000000001</v>
      </c>
      <c r="P1231" s="126">
        <v>1998</v>
      </c>
      <c r="Q1231" s="128">
        <f t="array" ref="Q1231">SUM(IF(($S1231&gt;=4)*($C1231='TaxCred&amp;Subs'!$D$123:$D$127)*($H1231='TaxCred&amp;Subs'!$C$123:$C$127)*($H1231&lt;='TaxCred&amp;Subs'!$C$129),'TaxCred&amp;Subs'!$E$123:$E$127,0))</f>
        <v>0</v>
      </c>
      <c r="R1231" s="174">
        <v>0</v>
      </c>
      <c r="S1231" s="126">
        <v>2</v>
      </c>
      <c r="T1231" s="126" t="s">
        <v>224</v>
      </c>
      <c r="U1231" s="158"/>
      <c r="V1231" s="153" t="str">
        <f t="array" ref="V1231">INDEX(xlRTCLNAME,MATCH(1,(xlRTCLENDU=1)*(xlRTCLEQCL=$D1231),0))</f>
        <v>NG_RAD</v>
      </c>
      <c r="W1231" s="153" t="str">
        <f t="array" ref="W1231">INDEX(xlRTCLNAME,MATCH(1,(xlRTCLENDU=2)*(xlRTCLEQCL=$F1231),0))</f>
        <v>CENT_AIR</v>
      </c>
      <c r="X1231" s="153" t="str">
        <f t="array" ref="X1231">INDEX(xlRTTYNAME,MATCH(1,(xlRTTYENDU=1)*(xlRTTYEQCL=$D1231)*(xlRTEQTYPE=$E1231),0))</f>
        <v>NG_RAD1</v>
      </c>
      <c r="Y1231" s="153" t="str">
        <f t="array" ref="Y1231">INDEX(xlRTTYNAME,MATCH(1,(xlRTTYENDU=2)*(xlRTTYEQCL=$F1231)*(xlRTEQTYPE=$G1231),0))</f>
        <v>CENT_AIR2</v>
      </c>
    </row>
    <row r="1232" spans="2:25" ht="14.25" customHeight="1" x14ac:dyDescent="0.2">
      <c r="B1232" s="126">
        <v>3</v>
      </c>
      <c r="C1232" s="126">
        <v>2</v>
      </c>
      <c r="D1232" s="126">
        <v>4</v>
      </c>
      <c r="E1232" s="126">
        <v>10</v>
      </c>
      <c r="F1232" s="126">
        <v>2</v>
      </c>
      <c r="G1232" s="126">
        <v>5</v>
      </c>
      <c r="H1232" s="126">
        <v>2016</v>
      </c>
      <c r="I1232" s="126">
        <v>2022</v>
      </c>
      <c r="J1232" s="127">
        <v>1.0962000000000001</v>
      </c>
      <c r="K1232" s="127">
        <v>1.0345</v>
      </c>
      <c r="L1232" s="127">
        <v>0.84689999999999999</v>
      </c>
      <c r="M1232" s="127">
        <v>1.1000000000000001</v>
      </c>
      <c r="N1232" s="127">
        <v>1.0417000000000001</v>
      </c>
      <c r="O1232" s="127">
        <v>1.0538000000000001</v>
      </c>
      <c r="P1232" s="126">
        <v>2421</v>
      </c>
      <c r="Q1232" s="128">
        <f t="array" ref="Q1232">SUM(IF(($S1232&gt;=4)*($C1232='TaxCred&amp;Subs'!$D$123:$D$127)*($H1232='TaxCred&amp;Subs'!$C$123:$C$127)*($H1232&lt;='TaxCred&amp;Subs'!$C$129),'TaxCred&amp;Subs'!$E$123:$E$127,0))</f>
        <v>0</v>
      </c>
      <c r="R1232" s="174">
        <v>0</v>
      </c>
      <c r="S1232" s="126">
        <v>2</v>
      </c>
      <c r="T1232" s="126" t="s">
        <v>224</v>
      </c>
      <c r="U1232" s="158"/>
      <c r="V1232" s="153" t="str">
        <f t="array" ref="V1232">INDEX(xlRTCLNAME,MATCH(1,(xlRTCLENDU=1)*(xlRTCLEQCL=$D1232),0))</f>
        <v>NG_RAD</v>
      </c>
      <c r="W1232" s="153" t="str">
        <f t="array" ref="W1232">INDEX(xlRTCLNAME,MATCH(1,(xlRTCLENDU=2)*(xlRTCLEQCL=$F1232),0))</f>
        <v>CENT_AIR</v>
      </c>
      <c r="X1232" s="153" t="str">
        <f t="array" ref="X1232">INDEX(xlRTTYNAME,MATCH(1,(xlRTTYENDU=1)*(xlRTTYEQCL=$D1232)*(xlRTEQTYPE=$E1232),0))</f>
        <v>NG_RAD1</v>
      </c>
      <c r="Y1232" s="153" t="str">
        <f t="array" ref="Y1232">INDEX(xlRTTYNAME,MATCH(1,(xlRTTYENDU=2)*(xlRTTYEQCL=$F1232)*(xlRTEQTYPE=$G1232),0))</f>
        <v>CENT_AIR1</v>
      </c>
    </row>
    <row r="1233" spans="2:25" ht="14.25" customHeight="1" x14ac:dyDescent="0.2">
      <c r="B1233" s="126">
        <v>3</v>
      </c>
      <c r="C1233" s="126">
        <v>2</v>
      </c>
      <c r="D1233" s="126">
        <v>4</v>
      </c>
      <c r="E1233" s="126">
        <v>10</v>
      </c>
      <c r="F1233" s="126">
        <v>2</v>
      </c>
      <c r="G1233" s="126">
        <v>6</v>
      </c>
      <c r="H1233" s="126">
        <v>2023</v>
      </c>
      <c r="I1233" s="126">
        <v>2050</v>
      </c>
      <c r="J1233" s="127">
        <v>1.0962000000000001</v>
      </c>
      <c r="K1233" s="127">
        <v>1.0345</v>
      </c>
      <c r="L1233" s="127">
        <v>0.84689999999999999</v>
      </c>
      <c r="M1233" s="127">
        <v>1.1000000000000001</v>
      </c>
      <c r="N1233" s="127">
        <v>1.0417000000000001</v>
      </c>
      <c r="O1233" s="127">
        <v>1.0538000000000001</v>
      </c>
      <c r="P1233" s="126">
        <v>2421</v>
      </c>
      <c r="Q1233" s="128">
        <f t="array" ref="Q1233">SUM(IF(($S1233&gt;=4)*($C1233='TaxCred&amp;Subs'!$D$123:$D$127)*($H1233='TaxCred&amp;Subs'!$C$123:$C$127)*($H1233&lt;='TaxCred&amp;Subs'!$C$129),'TaxCred&amp;Subs'!$E$123:$E$127,0))</f>
        <v>0</v>
      </c>
      <c r="R1233" s="174">
        <v>0</v>
      </c>
      <c r="S1233" s="126">
        <v>2</v>
      </c>
      <c r="T1233" s="126" t="s">
        <v>224</v>
      </c>
      <c r="U1233" s="158"/>
      <c r="V1233" s="153" t="str">
        <f t="array" ref="V1233">INDEX(xlRTCLNAME,MATCH(1,(xlRTCLENDU=1)*(xlRTCLEQCL=$D1233),0))</f>
        <v>NG_RAD</v>
      </c>
      <c r="W1233" s="153" t="str">
        <f t="array" ref="W1233">INDEX(xlRTCLNAME,MATCH(1,(xlRTCLENDU=2)*(xlRTCLEQCL=$F1233),0))</f>
        <v>CENT_AIR</v>
      </c>
      <c r="X1233" s="153" t="str">
        <f t="array" ref="X1233">INDEX(xlRTTYNAME,MATCH(1,(xlRTTYENDU=1)*(xlRTTYEQCL=$D1233)*(xlRTEQTYPE=$E1233),0))</f>
        <v>NG_RAD1</v>
      </c>
      <c r="Y1233" s="153" t="str">
        <f t="array" ref="Y1233">INDEX(xlRTTYNAME,MATCH(1,(xlRTTYENDU=2)*(xlRTTYEQCL=$F1233)*(xlRTEQTYPE=$G1233),0))</f>
        <v>CENT_AIR2</v>
      </c>
    </row>
    <row r="1234" spans="2:25" ht="14.25" customHeight="1" x14ac:dyDescent="0.2">
      <c r="B1234" s="126">
        <v>4</v>
      </c>
      <c r="C1234" s="126">
        <v>2</v>
      </c>
      <c r="D1234" s="126">
        <v>4</v>
      </c>
      <c r="E1234" s="126">
        <v>10</v>
      </c>
      <c r="F1234" s="126">
        <v>2</v>
      </c>
      <c r="G1234" s="126">
        <v>5</v>
      </c>
      <c r="H1234" s="126">
        <v>2016</v>
      </c>
      <c r="I1234" s="126">
        <v>2022</v>
      </c>
      <c r="J1234" s="127">
        <v>1.1024</v>
      </c>
      <c r="K1234" s="127">
        <v>1.0435000000000001</v>
      </c>
      <c r="L1234" s="127">
        <v>1.0007999999999999</v>
      </c>
      <c r="M1234" s="127">
        <v>1.175</v>
      </c>
      <c r="N1234" s="127">
        <v>1.1678999999999999</v>
      </c>
      <c r="O1234" s="127">
        <v>1.0538000000000001</v>
      </c>
      <c r="P1234" s="126">
        <v>2095</v>
      </c>
      <c r="Q1234" s="128">
        <f t="array" ref="Q1234">SUM(IF(($S1234&gt;=4)*($C1234='TaxCred&amp;Subs'!$D$123:$D$127)*($H1234='TaxCred&amp;Subs'!$C$123:$C$127)*($H1234&lt;='TaxCred&amp;Subs'!$C$129),'TaxCred&amp;Subs'!$E$123:$E$127,0))</f>
        <v>0</v>
      </c>
      <c r="R1234" s="174">
        <v>0</v>
      </c>
      <c r="S1234" s="126">
        <v>2</v>
      </c>
      <c r="T1234" s="126" t="s">
        <v>224</v>
      </c>
      <c r="U1234" s="158"/>
      <c r="V1234" s="153" t="str">
        <f t="array" ref="V1234">INDEX(xlRTCLNAME,MATCH(1,(xlRTCLENDU=1)*(xlRTCLEQCL=$D1234),0))</f>
        <v>NG_RAD</v>
      </c>
      <c r="W1234" s="153" t="str">
        <f t="array" ref="W1234">INDEX(xlRTCLNAME,MATCH(1,(xlRTCLENDU=2)*(xlRTCLEQCL=$F1234),0))</f>
        <v>CENT_AIR</v>
      </c>
      <c r="X1234" s="153" t="str">
        <f t="array" ref="X1234">INDEX(xlRTTYNAME,MATCH(1,(xlRTTYENDU=1)*(xlRTTYEQCL=$D1234)*(xlRTEQTYPE=$E1234),0))</f>
        <v>NG_RAD1</v>
      </c>
      <c r="Y1234" s="153" t="str">
        <f t="array" ref="Y1234">INDEX(xlRTTYNAME,MATCH(1,(xlRTTYENDU=2)*(xlRTTYEQCL=$F1234)*(xlRTEQTYPE=$G1234),0))</f>
        <v>CENT_AIR1</v>
      </c>
    </row>
    <row r="1235" spans="2:25" ht="14.25" customHeight="1" x14ac:dyDescent="0.2">
      <c r="B1235" s="126">
        <v>4</v>
      </c>
      <c r="C1235" s="126">
        <v>2</v>
      </c>
      <c r="D1235" s="126">
        <v>4</v>
      </c>
      <c r="E1235" s="126">
        <v>10</v>
      </c>
      <c r="F1235" s="126">
        <v>2</v>
      </c>
      <c r="G1235" s="126">
        <v>6</v>
      </c>
      <c r="H1235" s="126">
        <v>2023</v>
      </c>
      <c r="I1235" s="126">
        <v>2050</v>
      </c>
      <c r="J1235" s="127">
        <v>1.1024</v>
      </c>
      <c r="K1235" s="127">
        <v>1.0435000000000001</v>
      </c>
      <c r="L1235" s="127">
        <v>1.0007999999999999</v>
      </c>
      <c r="M1235" s="127">
        <v>1.175</v>
      </c>
      <c r="N1235" s="127">
        <v>1.1678999999999999</v>
      </c>
      <c r="O1235" s="127">
        <v>1.0538000000000001</v>
      </c>
      <c r="P1235" s="126">
        <v>2095</v>
      </c>
      <c r="Q1235" s="128">
        <f t="array" ref="Q1235">SUM(IF(($S1235&gt;=4)*($C1235='TaxCred&amp;Subs'!$D$123:$D$127)*($H1235='TaxCred&amp;Subs'!$C$123:$C$127)*($H1235&lt;='TaxCred&amp;Subs'!$C$129),'TaxCred&amp;Subs'!$E$123:$E$127,0))</f>
        <v>0</v>
      </c>
      <c r="R1235" s="174">
        <v>0</v>
      </c>
      <c r="S1235" s="126">
        <v>2</v>
      </c>
      <c r="T1235" s="126" t="s">
        <v>224</v>
      </c>
      <c r="U1235" s="158"/>
      <c r="V1235" s="153" t="str">
        <f t="array" ref="V1235">INDEX(xlRTCLNAME,MATCH(1,(xlRTCLENDU=1)*(xlRTCLEQCL=$D1235),0))</f>
        <v>NG_RAD</v>
      </c>
      <c r="W1235" s="153" t="str">
        <f t="array" ref="W1235">INDEX(xlRTCLNAME,MATCH(1,(xlRTCLENDU=2)*(xlRTCLEQCL=$F1235),0))</f>
        <v>CENT_AIR</v>
      </c>
      <c r="X1235" s="153" t="str">
        <f t="array" ref="X1235">INDEX(xlRTTYNAME,MATCH(1,(xlRTTYENDU=1)*(xlRTTYEQCL=$D1235)*(xlRTEQTYPE=$E1235),0))</f>
        <v>NG_RAD1</v>
      </c>
      <c r="Y1235" s="153" t="str">
        <f t="array" ref="Y1235">INDEX(xlRTTYNAME,MATCH(1,(xlRTTYENDU=2)*(xlRTTYEQCL=$F1235)*(xlRTEQTYPE=$G1235),0))</f>
        <v>CENT_AIR2</v>
      </c>
    </row>
    <row r="1236" spans="2:25" ht="14.25" customHeight="1" x14ac:dyDescent="0.2">
      <c r="B1236" s="126">
        <v>5</v>
      </c>
      <c r="C1236" s="126">
        <v>2</v>
      </c>
      <c r="D1236" s="126">
        <v>4</v>
      </c>
      <c r="E1236" s="126">
        <v>10</v>
      </c>
      <c r="F1236" s="126">
        <v>2</v>
      </c>
      <c r="G1236" s="126">
        <v>5</v>
      </c>
      <c r="H1236" s="126">
        <v>2016</v>
      </c>
      <c r="I1236" s="126">
        <v>2022</v>
      </c>
      <c r="J1236" s="127">
        <v>1.03</v>
      </c>
      <c r="K1236" s="127">
        <v>1.03</v>
      </c>
      <c r="L1236" s="127">
        <v>0.67459999999999998</v>
      </c>
      <c r="M1236" s="127">
        <v>1.1097999999999999</v>
      </c>
      <c r="N1236" s="127">
        <v>1.3003</v>
      </c>
      <c r="O1236" s="127">
        <v>1.0538000000000001</v>
      </c>
      <c r="P1236" s="126">
        <v>1782</v>
      </c>
      <c r="Q1236" s="128">
        <f t="array" ref="Q1236">SUM(IF(($S1236&gt;=4)*($C1236='TaxCred&amp;Subs'!$D$123:$D$127)*($H1236='TaxCred&amp;Subs'!$C$123:$C$127)*($H1236&lt;='TaxCred&amp;Subs'!$C$129),'TaxCred&amp;Subs'!$E$123:$E$127,0))</f>
        <v>0</v>
      </c>
      <c r="R1236" s="174">
        <v>0</v>
      </c>
      <c r="S1236" s="126">
        <v>2</v>
      </c>
      <c r="T1236" s="126" t="s">
        <v>224</v>
      </c>
      <c r="U1236" s="158"/>
      <c r="V1236" s="153" t="str">
        <f t="array" ref="V1236">INDEX(xlRTCLNAME,MATCH(1,(xlRTCLENDU=1)*(xlRTCLEQCL=$D1236),0))</f>
        <v>NG_RAD</v>
      </c>
      <c r="W1236" s="153" t="str">
        <f t="array" ref="W1236">INDEX(xlRTCLNAME,MATCH(1,(xlRTCLENDU=2)*(xlRTCLEQCL=$F1236),0))</f>
        <v>CENT_AIR</v>
      </c>
      <c r="X1236" s="153" t="str">
        <f t="array" ref="X1236">INDEX(xlRTTYNAME,MATCH(1,(xlRTTYENDU=1)*(xlRTTYEQCL=$D1236)*(xlRTEQTYPE=$E1236),0))</f>
        <v>NG_RAD1</v>
      </c>
      <c r="Y1236" s="153" t="str">
        <f t="array" ref="Y1236">INDEX(xlRTTYNAME,MATCH(1,(xlRTTYENDU=2)*(xlRTTYEQCL=$F1236)*(xlRTEQTYPE=$G1236),0))</f>
        <v>CENT_AIR1</v>
      </c>
    </row>
    <row r="1237" spans="2:25" ht="14.25" customHeight="1" x14ac:dyDescent="0.2">
      <c r="B1237" s="126">
        <v>5</v>
      </c>
      <c r="C1237" s="126">
        <v>2</v>
      </c>
      <c r="D1237" s="126">
        <v>4</v>
      </c>
      <c r="E1237" s="126">
        <v>10</v>
      </c>
      <c r="F1237" s="126">
        <v>2</v>
      </c>
      <c r="G1237" s="126">
        <v>6</v>
      </c>
      <c r="H1237" s="126">
        <v>2023</v>
      </c>
      <c r="I1237" s="126">
        <v>2050</v>
      </c>
      <c r="J1237" s="127">
        <v>1.03</v>
      </c>
      <c r="K1237" s="127">
        <v>1.03</v>
      </c>
      <c r="L1237" s="127">
        <v>0.67459999999999998</v>
      </c>
      <c r="M1237" s="127">
        <v>1.1097999999999999</v>
      </c>
      <c r="N1237" s="127">
        <v>1.3003</v>
      </c>
      <c r="O1237" s="127">
        <v>1.0538000000000001</v>
      </c>
      <c r="P1237" s="126">
        <v>1782</v>
      </c>
      <c r="Q1237" s="128">
        <f t="array" ref="Q1237">SUM(IF(($S1237&gt;=4)*($C1237='TaxCred&amp;Subs'!$D$123:$D$127)*($H1237='TaxCred&amp;Subs'!$C$123:$C$127)*($H1237&lt;='TaxCred&amp;Subs'!$C$129),'TaxCred&amp;Subs'!$E$123:$E$127,0))</f>
        <v>0</v>
      </c>
      <c r="R1237" s="174">
        <v>0</v>
      </c>
      <c r="S1237" s="126">
        <v>2</v>
      </c>
      <c r="T1237" s="126" t="s">
        <v>224</v>
      </c>
      <c r="U1237" s="158"/>
      <c r="V1237" s="153" t="str">
        <f t="array" ref="V1237">INDEX(xlRTCLNAME,MATCH(1,(xlRTCLENDU=1)*(xlRTCLEQCL=$D1237),0))</f>
        <v>NG_RAD</v>
      </c>
      <c r="W1237" s="153" t="str">
        <f t="array" ref="W1237">INDEX(xlRTCLNAME,MATCH(1,(xlRTCLENDU=2)*(xlRTCLEQCL=$F1237),0))</f>
        <v>CENT_AIR</v>
      </c>
      <c r="X1237" s="153" t="str">
        <f t="array" ref="X1237">INDEX(xlRTTYNAME,MATCH(1,(xlRTTYENDU=1)*(xlRTTYEQCL=$D1237)*(xlRTEQTYPE=$E1237),0))</f>
        <v>NG_RAD1</v>
      </c>
      <c r="Y1237" s="153" t="str">
        <f t="array" ref="Y1237">INDEX(xlRTTYNAME,MATCH(1,(xlRTTYENDU=2)*(xlRTTYEQCL=$F1237)*(xlRTEQTYPE=$G1237),0))</f>
        <v>CENT_AIR2</v>
      </c>
    </row>
    <row r="1238" spans="2:25" ht="14.25" customHeight="1" x14ac:dyDescent="0.2">
      <c r="B1238" s="126">
        <v>6</v>
      </c>
      <c r="C1238" s="126">
        <v>2</v>
      </c>
      <c r="D1238" s="126">
        <v>4</v>
      </c>
      <c r="E1238" s="126">
        <v>10</v>
      </c>
      <c r="F1238" s="126">
        <v>2</v>
      </c>
      <c r="G1238" s="126">
        <v>5</v>
      </c>
      <c r="H1238" s="126">
        <v>2016</v>
      </c>
      <c r="I1238" s="126">
        <v>2022</v>
      </c>
      <c r="J1238" s="127">
        <v>1.1200000000000001</v>
      </c>
      <c r="K1238" s="127">
        <v>1.0417000000000001</v>
      </c>
      <c r="L1238" s="127">
        <v>1.0438000000000001</v>
      </c>
      <c r="M1238" s="127">
        <v>1.1455</v>
      </c>
      <c r="N1238" s="127">
        <v>1.3656999999999999</v>
      </c>
      <c r="O1238" s="127">
        <v>1.0538000000000001</v>
      </c>
      <c r="P1238" s="126">
        <v>1998</v>
      </c>
      <c r="Q1238" s="128">
        <f t="array" ref="Q1238">SUM(IF(($S1238&gt;=4)*($C1238='TaxCred&amp;Subs'!$D$123:$D$127)*($H1238='TaxCred&amp;Subs'!$C$123:$C$127)*($H1238&lt;='TaxCred&amp;Subs'!$C$129),'TaxCred&amp;Subs'!$E$123:$E$127,0))</f>
        <v>0</v>
      </c>
      <c r="R1238" s="174">
        <v>0</v>
      </c>
      <c r="S1238" s="126">
        <v>2</v>
      </c>
      <c r="T1238" s="126" t="s">
        <v>224</v>
      </c>
      <c r="U1238" s="158"/>
      <c r="V1238" s="153" t="str">
        <f t="array" ref="V1238">INDEX(xlRTCLNAME,MATCH(1,(xlRTCLENDU=1)*(xlRTCLEQCL=$D1238),0))</f>
        <v>NG_RAD</v>
      </c>
      <c r="W1238" s="153" t="str">
        <f t="array" ref="W1238">INDEX(xlRTCLNAME,MATCH(1,(xlRTCLENDU=2)*(xlRTCLEQCL=$F1238),0))</f>
        <v>CENT_AIR</v>
      </c>
      <c r="X1238" s="153" t="str">
        <f t="array" ref="X1238">INDEX(xlRTTYNAME,MATCH(1,(xlRTTYENDU=1)*(xlRTTYEQCL=$D1238)*(xlRTEQTYPE=$E1238),0))</f>
        <v>NG_RAD1</v>
      </c>
      <c r="Y1238" s="153" t="str">
        <f t="array" ref="Y1238">INDEX(xlRTTYNAME,MATCH(1,(xlRTTYENDU=2)*(xlRTTYEQCL=$F1238)*(xlRTEQTYPE=$G1238),0))</f>
        <v>CENT_AIR1</v>
      </c>
    </row>
    <row r="1239" spans="2:25" ht="14.25" customHeight="1" x14ac:dyDescent="0.2">
      <c r="B1239" s="126">
        <v>6</v>
      </c>
      <c r="C1239" s="126">
        <v>2</v>
      </c>
      <c r="D1239" s="126">
        <v>4</v>
      </c>
      <c r="E1239" s="126">
        <v>10</v>
      </c>
      <c r="F1239" s="126">
        <v>2</v>
      </c>
      <c r="G1239" s="126">
        <v>6</v>
      </c>
      <c r="H1239" s="126">
        <v>2023</v>
      </c>
      <c r="I1239" s="126">
        <v>2050</v>
      </c>
      <c r="J1239" s="127">
        <v>1.1200000000000001</v>
      </c>
      <c r="K1239" s="127">
        <v>1.0417000000000001</v>
      </c>
      <c r="L1239" s="127">
        <v>1.0438000000000001</v>
      </c>
      <c r="M1239" s="127">
        <v>1.1455</v>
      </c>
      <c r="N1239" s="127">
        <v>1.3656999999999999</v>
      </c>
      <c r="O1239" s="127">
        <v>1.0538000000000001</v>
      </c>
      <c r="P1239" s="126">
        <v>1998</v>
      </c>
      <c r="Q1239" s="128">
        <f t="array" ref="Q1239">SUM(IF(($S1239&gt;=4)*($C1239='TaxCred&amp;Subs'!$D$123:$D$127)*($H1239='TaxCred&amp;Subs'!$C$123:$C$127)*($H1239&lt;='TaxCred&amp;Subs'!$C$129),'TaxCred&amp;Subs'!$E$123:$E$127,0))</f>
        <v>0</v>
      </c>
      <c r="R1239" s="174">
        <v>0</v>
      </c>
      <c r="S1239" s="126">
        <v>2</v>
      </c>
      <c r="T1239" s="126" t="s">
        <v>224</v>
      </c>
      <c r="U1239" s="158"/>
      <c r="V1239" s="153" t="str">
        <f t="array" ref="V1239">INDEX(xlRTCLNAME,MATCH(1,(xlRTCLENDU=1)*(xlRTCLEQCL=$D1239),0))</f>
        <v>NG_RAD</v>
      </c>
      <c r="W1239" s="153" t="str">
        <f t="array" ref="W1239">INDEX(xlRTCLNAME,MATCH(1,(xlRTCLENDU=2)*(xlRTCLEQCL=$F1239),0))</f>
        <v>CENT_AIR</v>
      </c>
      <c r="X1239" s="153" t="str">
        <f t="array" ref="X1239">INDEX(xlRTTYNAME,MATCH(1,(xlRTTYENDU=1)*(xlRTTYEQCL=$D1239)*(xlRTEQTYPE=$E1239),0))</f>
        <v>NG_RAD1</v>
      </c>
      <c r="Y1239" s="153" t="str">
        <f t="array" ref="Y1239">INDEX(xlRTTYNAME,MATCH(1,(xlRTTYENDU=2)*(xlRTTYEQCL=$F1239)*(xlRTEQTYPE=$G1239),0))</f>
        <v>CENT_AIR2</v>
      </c>
    </row>
    <row r="1240" spans="2:25" ht="14.25" customHeight="1" x14ac:dyDescent="0.2">
      <c r="B1240" s="126">
        <v>7</v>
      </c>
      <c r="C1240" s="126">
        <v>2</v>
      </c>
      <c r="D1240" s="126">
        <v>4</v>
      </c>
      <c r="E1240" s="126">
        <v>10</v>
      </c>
      <c r="F1240" s="126">
        <v>2</v>
      </c>
      <c r="G1240" s="126">
        <v>5</v>
      </c>
      <c r="H1240" s="126">
        <v>2016</v>
      </c>
      <c r="I1240" s="126">
        <v>2022</v>
      </c>
      <c r="J1240" s="127">
        <v>1.1200000000000001</v>
      </c>
      <c r="K1240" s="127">
        <v>1.0462</v>
      </c>
      <c r="L1240" s="127">
        <v>0.74380000000000002</v>
      </c>
      <c r="M1240" s="127">
        <v>1.1604000000000001</v>
      </c>
      <c r="N1240" s="127">
        <v>1.4438</v>
      </c>
      <c r="O1240" s="127">
        <v>1.0538000000000001</v>
      </c>
      <c r="P1240" s="126">
        <v>1342</v>
      </c>
      <c r="Q1240" s="128">
        <f t="array" ref="Q1240">SUM(IF(($S1240&gt;=4)*($C1240='TaxCred&amp;Subs'!$D$123:$D$127)*($H1240='TaxCred&amp;Subs'!$C$123:$C$127)*($H1240&lt;='TaxCred&amp;Subs'!$C$129),'TaxCred&amp;Subs'!$E$123:$E$127,0))</f>
        <v>0</v>
      </c>
      <c r="R1240" s="174">
        <v>0</v>
      </c>
      <c r="S1240" s="126">
        <v>2</v>
      </c>
      <c r="T1240" s="126" t="s">
        <v>224</v>
      </c>
      <c r="U1240" s="158"/>
      <c r="V1240" s="153" t="str">
        <f t="array" ref="V1240">INDEX(xlRTCLNAME,MATCH(1,(xlRTCLENDU=1)*(xlRTCLEQCL=$D1240),0))</f>
        <v>NG_RAD</v>
      </c>
      <c r="W1240" s="153" t="str">
        <f t="array" ref="W1240">INDEX(xlRTCLNAME,MATCH(1,(xlRTCLENDU=2)*(xlRTCLEQCL=$F1240),0))</f>
        <v>CENT_AIR</v>
      </c>
      <c r="X1240" s="153" t="str">
        <f t="array" ref="X1240">INDEX(xlRTTYNAME,MATCH(1,(xlRTTYENDU=1)*(xlRTTYEQCL=$D1240)*(xlRTEQTYPE=$E1240),0))</f>
        <v>NG_RAD1</v>
      </c>
      <c r="Y1240" s="153" t="str">
        <f t="array" ref="Y1240">INDEX(xlRTTYNAME,MATCH(1,(xlRTTYENDU=2)*(xlRTTYEQCL=$F1240)*(xlRTEQTYPE=$G1240),0))</f>
        <v>CENT_AIR1</v>
      </c>
    </row>
    <row r="1241" spans="2:25" ht="14.25" customHeight="1" x14ac:dyDescent="0.2">
      <c r="B1241" s="126">
        <v>7</v>
      </c>
      <c r="C1241" s="126">
        <v>2</v>
      </c>
      <c r="D1241" s="126">
        <v>4</v>
      </c>
      <c r="E1241" s="126">
        <v>10</v>
      </c>
      <c r="F1241" s="126">
        <v>2</v>
      </c>
      <c r="G1241" s="126">
        <v>6</v>
      </c>
      <c r="H1241" s="126">
        <v>2023</v>
      </c>
      <c r="I1241" s="126">
        <v>2050</v>
      </c>
      <c r="J1241" s="127">
        <v>1.1200000000000001</v>
      </c>
      <c r="K1241" s="127">
        <v>1.0462</v>
      </c>
      <c r="L1241" s="127">
        <v>0.74380000000000002</v>
      </c>
      <c r="M1241" s="127">
        <v>1.1604000000000001</v>
      </c>
      <c r="N1241" s="127">
        <v>1.4438</v>
      </c>
      <c r="O1241" s="127">
        <v>1.0538000000000001</v>
      </c>
      <c r="P1241" s="126">
        <v>1342</v>
      </c>
      <c r="Q1241" s="128">
        <f t="array" ref="Q1241">SUM(IF(($S1241&gt;=4)*($C1241='TaxCred&amp;Subs'!$D$123:$D$127)*($H1241='TaxCred&amp;Subs'!$C$123:$C$127)*($H1241&lt;='TaxCred&amp;Subs'!$C$129),'TaxCred&amp;Subs'!$E$123:$E$127,0))</f>
        <v>0</v>
      </c>
      <c r="R1241" s="174">
        <v>0</v>
      </c>
      <c r="S1241" s="126">
        <v>2</v>
      </c>
      <c r="T1241" s="126" t="s">
        <v>224</v>
      </c>
      <c r="U1241" s="158"/>
      <c r="V1241" s="153" t="str">
        <f t="array" ref="V1241">INDEX(xlRTCLNAME,MATCH(1,(xlRTCLENDU=1)*(xlRTCLEQCL=$D1241),0))</f>
        <v>NG_RAD</v>
      </c>
      <c r="W1241" s="153" t="str">
        <f t="array" ref="W1241">INDEX(xlRTCLNAME,MATCH(1,(xlRTCLENDU=2)*(xlRTCLEQCL=$F1241),0))</f>
        <v>CENT_AIR</v>
      </c>
      <c r="X1241" s="153" t="str">
        <f t="array" ref="X1241">INDEX(xlRTTYNAME,MATCH(1,(xlRTTYENDU=1)*(xlRTTYEQCL=$D1241)*(xlRTEQTYPE=$E1241),0))</f>
        <v>NG_RAD1</v>
      </c>
      <c r="Y1241" s="153" t="str">
        <f t="array" ref="Y1241">INDEX(xlRTTYNAME,MATCH(1,(xlRTTYENDU=2)*(xlRTTYEQCL=$F1241)*(xlRTEQTYPE=$G1241),0))</f>
        <v>CENT_AIR2</v>
      </c>
    </row>
    <row r="1242" spans="2:25" ht="14.25" customHeight="1" x14ac:dyDescent="0.2">
      <c r="B1242" s="126">
        <v>8</v>
      </c>
      <c r="C1242" s="126">
        <v>2</v>
      </c>
      <c r="D1242" s="126">
        <v>4</v>
      </c>
      <c r="E1242" s="126">
        <v>10</v>
      </c>
      <c r="F1242" s="126">
        <v>2</v>
      </c>
      <c r="G1242" s="126">
        <v>5</v>
      </c>
      <c r="H1242" s="126">
        <v>2016</v>
      </c>
      <c r="I1242" s="126">
        <v>2022</v>
      </c>
      <c r="J1242" s="127">
        <v>1.1045</v>
      </c>
      <c r="K1242" s="127">
        <v>1.0323</v>
      </c>
      <c r="L1242" s="127">
        <v>0.97560000000000002</v>
      </c>
      <c r="M1242" s="127">
        <v>1.2739</v>
      </c>
      <c r="N1242" s="127">
        <v>1.2847999999999999</v>
      </c>
      <c r="O1242" s="127">
        <v>1.0538000000000001</v>
      </c>
      <c r="P1242" s="126">
        <v>2223</v>
      </c>
      <c r="Q1242" s="128">
        <f t="array" ref="Q1242">SUM(IF(($S1242&gt;=4)*($C1242='TaxCred&amp;Subs'!$D$123:$D$127)*($H1242='TaxCred&amp;Subs'!$C$123:$C$127)*($H1242&lt;='TaxCred&amp;Subs'!$C$129),'TaxCred&amp;Subs'!$E$123:$E$127,0))</f>
        <v>0</v>
      </c>
      <c r="R1242" s="174">
        <v>0</v>
      </c>
      <c r="S1242" s="126">
        <v>2</v>
      </c>
      <c r="T1242" s="126" t="s">
        <v>224</v>
      </c>
      <c r="U1242" s="158"/>
      <c r="V1242" s="153" t="str">
        <f t="array" ref="V1242">INDEX(xlRTCLNAME,MATCH(1,(xlRTCLENDU=1)*(xlRTCLEQCL=$D1242),0))</f>
        <v>NG_RAD</v>
      </c>
      <c r="W1242" s="153" t="str">
        <f t="array" ref="W1242">INDEX(xlRTCLNAME,MATCH(1,(xlRTCLENDU=2)*(xlRTCLEQCL=$F1242),0))</f>
        <v>CENT_AIR</v>
      </c>
      <c r="X1242" s="153" t="str">
        <f t="array" ref="X1242">INDEX(xlRTTYNAME,MATCH(1,(xlRTTYENDU=1)*(xlRTTYEQCL=$D1242)*(xlRTEQTYPE=$E1242),0))</f>
        <v>NG_RAD1</v>
      </c>
      <c r="Y1242" s="153" t="str">
        <f t="array" ref="Y1242">INDEX(xlRTTYNAME,MATCH(1,(xlRTTYENDU=2)*(xlRTTYEQCL=$F1242)*(xlRTEQTYPE=$G1242),0))</f>
        <v>CENT_AIR1</v>
      </c>
    </row>
    <row r="1243" spans="2:25" ht="14.25" customHeight="1" x14ac:dyDescent="0.2">
      <c r="B1243" s="126">
        <v>8</v>
      </c>
      <c r="C1243" s="126">
        <v>2</v>
      </c>
      <c r="D1243" s="126">
        <v>4</v>
      </c>
      <c r="E1243" s="126">
        <v>10</v>
      </c>
      <c r="F1243" s="126">
        <v>2</v>
      </c>
      <c r="G1243" s="126">
        <v>6</v>
      </c>
      <c r="H1243" s="126">
        <v>2023</v>
      </c>
      <c r="I1243" s="126">
        <v>2050</v>
      </c>
      <c r="J1243" s="127">
        <v>1.1045</v>
      </c>
      <c r="K1243" s="127">
        <v>1.0323</v>
      </c>
      <c r="L1243" s="127">
        <v>0.97560000000000002</v>
      </c>
      <c r="M1243" s="127">
        <v>1.2739</v>
      </c>
      <c r="N1243" s="127">
        <v>1.2847999999999999</v>
      </c>
      <c r="O1243" s="127">
        <v>1.0538000000000001</v>
      </c>
      <c r="P1243" s="126">
        <v>2223</v>
      </c>
      <c r="Q1243" s="128">
        <f t="array" ref="Q1243">SUM(IF(($S1243&gt;=4)*($C1243='TaxCred&amp;Subs'!$D$123:$D$127)*($H1243='TaxCred&amp;Subs'!$C$123:$C$127)*($H1243&lt;='TaxCred&amp;Subs'!$C$129),'TaxCred&amp;Subs'!$E$123:$E$127,0))</f>
        <v>0</v>
      </c>
      <c r="R1243" s="174">
        <v>0</v>
      </c>
      <c r="S1243" s="126">
        <v>2</v>
      </c>
      <c r="T1243" s="126" t="s">
        <v>224</v>
      </c>
      <c r="U1243" s="158"/>
      <c r="V1243" s="153" t="str">
        <f t="array" ref="V1243">INDEX(xlRTCLNAME,MATCH(1,(xlRTCLENDU=1)*(xlRTCLEQCL=$D1243),0))</f>
        <v>NG_RAD</v>
      </c>
      <c r="W1243" s="153" t="str">
        <f t="array" ref="W1243">INDEX(xlRTCLNAME,MATCH(1,(xlRTCLENDU=2)*(xlRTCLEQCL=$F1243),0))</f>
        <v>CENT_AIR</v>
      </c>
      <c r="X1243" s="153" t="str">
        <f t="array" ref="X1243">INDEX(xlRTTYNAME,MATCH(1,(xlRTTYENDU=1)*(xlRTTYEQCL=$D1243)*(xlRTEQTYPE=$E1243),0))</f>
        <v>NG_RAD1</v>
      </c>
      <c r="Y1243" s="153" t="str">
        <f t="array" ref="Y1243">INDEX(xlRTTYNAME,MATCH(1,(xlRTTYENDU=2)*(xlRTTYEQCL=$F1243)*(xlRTEQTYPE=$G1243),0))</f>
        <v>CENT_AIR2</v>
      </c>
    </row>
    <row r="1244" spans="2:25" ht="14.25" customHeight="1" x14ac:dyDescent="0.2">
      <c r="B1244" s="126">
        <v>9</v>
      </c>
      <c r="C1244" s="126">
        <v>2</v>
      </c>
      <c r="D1244" s="126">
        <v>4</v>
      </c>
      <c r="E1244" s="126">
        <v>10</v>
      </c>
      <c r="F1244" s="126">
        <v>2</v>
      </c>
      <c r="G1244" s="126">
        <v>5</v>
      </c>
      <c r="H1244" s="126">
        <v>2016</v>
      </c>
      <c r="I1244" s="126">
        <v>2022</v>
      </c>
      <c r="J1244" s="127">
        <v>1.1200000000000001</v>
      </c>
      <c r="K1244" s="127">
        <v>1.0541</v>
      </c>
      <c r="L1244" s="127">
        <v>0.84379999999999999</v>
      </c>
      <c r="M1244" s="127">
        <v>1.2166999999999999</v>
      </c>
      <c r="N1244" s="127">
        <v>1.4438</v>
      </c>
      <c r="O1244" s="127">
        <v>1.0538000000000001</v>
      </c>
      <c r="P1244" s="126">
        <v>1907</v>
      </c>
      <c r="Q1244" s="128">
        <f t="array" ref="Q1244">SUM(IF(($S1244&gt;=4)*($C1244='TaxCred&amp;Subs'!$D$123:$D$127)*($H1244='TaxCred&amp;Subs'!$C$123:$C$127)*($H1244&lt;='TaxCred&amp;Subs'!$C$129),'TaxCred&amp;Subs'!$E$123:$E$127,0))</f>
        <v>0</v>
      </c>
      <c r="R1244" s="174">
        <v>0</v>
      </c>
      <c r="S1244" s="126">
        <v>2</v>
      </c>
      <c r="T1244" s="126" t="s">
        <v>224</v>
      </c>
      <c r="U1244" s="158"/>
      <c r="V1244" s="153" t="str">
        <f t="array" ref="V1244">INDEX(xlRTCLNAME,MATCH(1,(xlRTCLENDU=1)*(xlRTCLEQCL=$D1244),0))</f>
        <v>NG_RAD</v>
      </c>
      <c r="W1244" s="153" t="str">
        <f t="array" ref="W1244">INDEX(xlRTCLNAME,MATCH(1,(xlRTCLENDU=2)*(xlRTCLEQCL=$F1244),0))</f>
        <v>CENT_AIR</v>
      </c>
      <c r="X1244" s="153" t="str">
        <f t="array" ref="X1244">INDEX(xlRTTYNAME,MATCH(1,(xlRTTYENDU=1)*(xlRTTYEQCL=$D1244)*(xlRTEQTYPE=$E1244),0))</f>
        <v>NG_RAD1</v>
      </c>
      <c r="Y1244" s="153" t="str">
        <f t="array" ref="Y1244">INDEX(xlRTTYNAME,MATCH(1,(xlRTTYENDU=2)*(xlRTTYEQCL=$F1244)*(xlRTEQTYPE=$G1244),0))</f>
        <v>CENT_AIR1</v>
      </c>
    </row>
    <row r="1245" spans="2:25" ht="14.25" customHeight="1" x14ac:dyDescent="0.2">
      <c r="B1245" s="126">
        <v>9</v>
      </c>
      <c r="C1245" s="126">
        <v>2</v>
      </c>
      <c r="D1245" s="126">
        <v>4</v>
      </c>
      <c r="E1245" s="126">
        <v>10</v>
      </c>
      <c r="F1245" s="126">
        <v>2</v>
      </c>
      <c r="G1245" s="126">
        <v>6</v>
      </c>
      <c r="H1245" s="126">
        <v>2023</v>
      </c>
      <c r="I1245" s="126">
        <v>2050</v>
      </c>
      <c r="J1245" s="127">
        <v>1.1200000000000001</v>
      </c>
      <c r="K1245" s="127">
        <v>1.0541</v>
      </c>
      <c r="L1245" s="127">
        <v>0.84379999999999999</v>
      </c>
      <c r="M1245" s="127">
        <v>1.2166999999999999</v>
      </c>
      <c r="N1245" s="127">
        <v>1.4438</v>
      </c>
      <c r="O1245" s="127">
        <v>1.0538000000000001</v>
      </c>
      <c r="P1245" s="126">
        <v>1907</v>
      </c>
      <c r="Q1245" s="128">
        <f t="array" ref="Q1245">SUM(IF(($S1245&gt;=4)*($C1245='TaxCred&amp;Subs'!$D$123:$D$127)*($H1245='TaxCred&amp;Subs'!$C$123:$C$127)*($H1245&lt;='TaxCred&amp;Subs'!$C$129),'TaxCred&amp;Subs'!$E$123:$E$127,0))</f>
        <v>0</v>
      </c>
      <c r="R1245" s="174">
        <v>0</v>
      </c>
      <c r="S1245" s="126">
        <v>2</v>
      </c>
      <c r="T1245" s="126" t="s">
        <v>224</v>
      </c>
      <c r="U1245" s="158"/>
      <c r="V1245" s="153" t="str">
        <f t="array" ref="V1245">INDEX(xlRTCLNAME,MATCH(1,(xlRTCLENDU=1)*(xlRTCLEQCL=$D1245),0))</f>
        <v>NG_RAD</v>
      </c>
      <c r="W1245" s="153" t="str">
        <f t="array" ref="W1245">INDEX(xlRTCLNAME,MATCH(1,(xlRTCLENDU=2)*(xlRTCLEQCL=$F1245),0))</f>
        <v>CENT_AIR</v>
      </c>
      <c r="X1245" s="153" t="str">
        <f t="array" ref="X1245">INDEX(xlRTTYNAME,MATCH(1,(xlRTTYENDU=1)*(xlRTTYEQCL=$D1245)*(xlRTEQTYPE=$E1245),0))</f>
        <v>NG_RAD1</v>
      </c>
      <c r="Y1245" s="153" t="str">
        <f t="array" ref="Y1245">INDEX(xlRTTYNAME,MATCH(1,(xlRTTYENDU=2)*(xlRTTYEQCL=$F1245)*(xlRTEQTYPE=$G1245),0))</f>
        <v>CENT_AIR2</v>
      </c>
    </row>
    <row r="1246" spans="2:25" ht="14.25" customHeight="1" x14ac:dyDescent="0.2">
      <c r="B1246" s="129">
        <v>1</v>
      </c>
      <c r="C1246" s="129">
        <v>2</v>
      </c>
      <c r="D1246" s="129">
        <v>5</v>
      </c>
      <c r="E1246" s="129">
        <v>14</v>
      </c>
      <c r="F1246" s="129">
        <v>2</v>
      </c>
      <c r="G1246" s="129">
        <v>5</v>
      </c>
      <c r="H1246" s="129">
        <v>2016</v>
      </c>
      <c r="I1246" s="129">
        <v>2022</v>
      </c>
      <c r="J1246" s="130">
        <v>1.0956999999999999</v>
      </c>
      <c r="K1246" s="130">
        <v>1.0417000000000001</v>
      </c>
      <c r="L1246" s="130">
        <v>0.80820000000000003</v>
      </c>
      <c r="M1246" s="130">
        <v>1.1455</v>
      </c>
      <c r="N1246" s="130">
        <v>1.1153</v>
      </c>
      <c r="O1246" s="130">
        <v>1.0538000000000001</v>
      </c>
      <c r="P1246" s="129">
        <v>3042</v>
      </c>
      <c r="Q1246" s="128">
        <f t="array" ref="Q1246">SUM(IF(($S1246&gt;=4)*($C1246='TaxCred&amp;Subs'!$D$123:$D$127)*($H1246='TaxCred&amp;Subs'!$C$123:$C$127)*($H1246&lt;='TaxCred&amp;Subs'!$C$129),'TaxCred&amp;Subs'!$E$123:$E$127,0))</f>
        <v>0</v>
      </c>
      <c r="R1246" s="174">
        <v>0</v>
      </c>
      <c r="S1246" s="129">
        <v>2</v>
      </c>
      <c r="T1246" s="129" t="s">
        <v>224</v>
      </c>
      <c r="U1246" s="155" t="s">
        <v>235</v>
      </c>
      <c r="V1246" s="153" t="str">
        <f t="array" ref="V1246">INDEX(xlRTCLNAME,MATCH(1,(xlRTCLENDU=1)*(xlRTCLEQCL=$D1246),0))</f>
        <v>KERO_FA</v>
      </c>
      <c r="W1246" s="153" t="str">
        <f t="array" ref="W1246">INDEX(xlRTCLNAME,MATCH(1,(xlRTCLENDU=2)*(xlRTCLEQCL=$F1246),0))</f>
        <v>CENT_AIR</v>
      </c>
      <c r="X1246" s="153" t="str">
        <f t="array" ref="X1246">INDEX(xlRTTYNAME,MATCH(1,(xlRTTYENDU=1)*(xlRTTYEQCL=$D1246)*(xlRTEQTYPE=$E1246),0))</f>
        <v>KERO_FA1</v>
      </c>
      <c r="Y1246" s="153" t="str">
        <f t="array" ref="Y1246">INDEX(xlRTTYNAME,MATCH(1,(xlRTTYENDU=2)*(xlRTTYEQCL=$F1246)*(xlRTEQTYPE=$G1246),0))</f>
        <v>CENT_AIR1</v>
      </c>
    </row>
    <row r="1247" spans="2:25" ht="14.25" customHeight="1" x14ac:dyDescent="0.2">
      <c r="B1247" s="129">
        <v>1</v>
      </c>
      <c r="C1247" s="129">
        <v>2</v>
      </c>
      <c r="D1247" s="129">
        <v>5</v>
      </c>
      <c r="E1247" s="129">
        <v>14</v>
      </c>
      <c r="F1247" s="129">
        <v>2</v>
      </c>
      <c r="G1247" s="129">
        <v>6</v>
      </c>
      <c r="H1247" s="129">
        <v>2023</v>
      </c>
      <c r="I1247" s="129">
        <v>2050</v>
      </c>
      <c r="J1247" s="130">
        <v>1.0956999999999999</v>
      </c>
      <c r="K1247" s="130">
        <v>1.0417000000000001</v>
      </c>
      <c r="L1247" s="130">
        <v>0.80820000000000003</v>
      </c>
      <c r="M1247" s="130">
        <v>1.1455</v>
      </c>
      <c r="N1247" s="130">
        <v>1.1153</v>
      </c>
      <c r="O1247" s="130">
        <v>1.0538000000000001</v>
      </c>
      <c r="P1247" s="129">
        <v>3042</v>
      </c>
      <c r="Q1247" s="128">
        <f t="array" ref="Q1247">SUM(IF(($S1247&gt;=4)*($C1247='TaxCred&amp;Subs'!$D$123:$D$127)*($H1247='TaxCred&amp;Subs'!$C$123:$C$127)*($H1247&lt;='TaxCred&amp;Subs'!$C$129),'TaxCred&amp;Subs'!$E$123:$E$127,0))</f>
        <v>0</v>
      </c>
      <c r="R1247" s="174">
        <v>0</v>
      </c>
      <c r="S1247" s="129">
        <v>2</v>
      </c>
      <c r="T1247" s="129" t="s">
        <v>224</v>
      </c>
      <c r="U1247" s="155" t="s">
        <v>235</v>
      </c>
      <c r="V1247" s="153" t="str">
        <f t="array" ref="V1247">INDEX(xlRTCLNAME,MATCH(1,(xlRTCLENDU=1)*(xlRTCLEQCL=$D1247),0))</f>
        <v>KERO_FA</v>
      </c>
      <c r="W1247" s="153" t="str">
        <f t="array" ref="W1247">INDEX(xlRTCLNAME,MATCH(1,(xlRTCLENDU=2)*(xlRTCLEQCL=$F1247),0))</f>
        <v>CENT_AIR</v>
      </c>
      <c r="X1247" s="153" t="str">
        <f t="array" ref="X1247">INDEX(xlRTTYNAME,MATCH(1,(xlRTTYENDU=1)*(xlRTTYEQCL=$D1247)*(xlRTEQTYPE=$E1247),0))</f>
        <v>KERO_FA1</v>
      </c>
      <c r="Y1247" s="153" t="str">
        <f t="array" ref="Y1247">INDEX(xlRTTYNAME,MATCH(1,(xlRTTYENDU=2)*(xlRTTYEQCL=$F1247)*(xlRTEQTYPE=$G1247),0))</f>
        <v>CENT_AIR2</v>
      </c>
    </row>
    <row r="1248" spans="2:25" ht="14.25" customHeight="1" x14ac:dyDescent="0.2">
      <c r="B1248" s="129">
        <v>2</v>
      </c>
      <c r="C1248" s="129">
        <v>2</v>
      </c>
      <c r="D1248" s="129">
        <v>5</v>
      </c>
      <c r="E1248" s="129">
        <v>14</v>
      </c>
      <c r="F1248" s="129">
        <v>2</v>
      </c>
      <c r="G1248" s="129">
        <v>5</v>
      </c>
      <c r="H1248" s="129">
        <v>2016</v>
      </c>
      <c r="I1248" s="129">
        <v>2022</v>
      </c>
      <c r="J1248" s="130">
        <v>1.1059000000000001</v>
      </c>
      <c r="K1248" s="130">
        <v>1.0357000000000001</v>
      </c>
      <c r="L1248" s="130">
        <v>0.87309999999999999</v>
      </c>
      <c r="M1248" s="130">
        <v>1.1834</v>
      </c>
      <c r="N1248" s="130">
        <v>1.1176999999999999</v>
      </c>
      <c r="O1248" s="130">
        <v>1.0538000000000001</v>
      </c>
      <c r="P1248" s="129">
        <v>2229</v>
      </c>
      <c r="Q1248" s="128">
        <f t="array" ref="Q1248">SUM(IF(($S1248&gt;=4)*($C1248='TaxCred&amp;Subs'!$D$123:$D$127)*($H1248='TaxCred&amp;Subs'!$C$123:$C$127)*($H1248&lt;='TaxCred&amp;Subs'!$C$129),'TaxCred&amp;Subs'!$E$123:$E$127,0))</f>
        <v>0</v>
      </c>
      <c r="R1248" s="174">
        <v>0</v>
      </c>
      <c r="S1248" s="129">
        <v>2</v>
      </c>
      <c r="T1248" s="129" t="s">
        <v>224</v>
      </c>
      <c r="U1248" s="155" t="s">
        <v>235</v>
      </c>
      <c r="V1248" s="153" t="str">
        <f t="array" ref="V1248">INDEX(xlRTCLNAME,MATCH(1,(xlRTCLENDU=1)*(xlRTCLEQCL=$D1248),0))</f>
        <v>KERO_FA</v>
      </c>
      <c r="W1248" s="153" t="str">
        <f t="array" ref="W1248">INDEX(xlRTCLNAME,MATCH(1,(xlRTCLENDU=2)*(xlRTCLEQCL=$F1248),0))</f>
        <v>CENT_AIR</v>
      </c>
      <c r="X1248" s="153" t="str">
        <f t="array" ref="X1248">INDEX(xlRTTYNAME,MATCH(1,(xlRTTYENDU=1)*(xlRTTYEQCL=$D1248)*(xlRTEQTYPE=$E1248),0))</f>
        <v>KERO_FA1</v>
      </c>
      <c r="Y1248" s="153" t="str">
        <f t="array" ref="Y1248">INDEX(xlRTTYNAME,MATCH(1,(xlRTTYENDU=2)*(xlRTTYEQCL=$F1248)*(xlRTEQTYPE=$G1248),0))</f>
        <v>CENT_AIR1</v>
      </c>
    </row>
    <row r="1249" spans="2:25" ht="14.25" customHeight="1" x14ac:dyDescent="0.2">
      <c r="B1249" s="129">
        <v>2</v>
      </c>
      <c r="C1249" s="129">
        <v>2</v>
      </c>
      <c r="D1249" s="129">
        <v>5</v>
      </c>
      <c r="E1249" s="129">
        <v>14</v>
      </c>
      <c r="F1249" s="129">
        <v>2</v>
      </c>
      <c r="G1249" s="129">
        <v>6</v>
      </c>
      <c r="H1249" s="129">
        <v>2023</v>
      </c>
      <c r="I1249" s="129">
        <v>2050</v>
      </c>
      <c r="J1249" s="130">
        <v>1.1059000000000001</v>
      </c>
      <c r="K1249" s="130">
        <v>1.0357000000000001</v>
      </c>
      <c r="L1249" s="130">
        <v>0.87309999999999999</v>
      </c>
      <c r="M1249" s="130">
        <v>1.1834</v>
      </c>
      <c r="N1249" s="130">
        <v>1.1176999999999999</v>
      </c>
      <c r="O1249" s="130">
        <v>1.0538000000000001</v>
      </c>
      <c r="P1249" s="129">
        <v>2229</v>
      </c>
      <c r="Q1249" s="128">
        <f t="array" ref="Q1249">SUM(IF(($S1249&gt;=4)*($C1249='TaxCred&amp;Subs'!$D$123:$D$127)*($H1249='TaxCred&amp;Subs'!$C$123:$C$127)*($H1249&lt;='TaxCred&amp;Subs'!$C$129),'TaxCred&amp;Subs'!$E$123:$E$127,0))</f>
        <v>0</v>
      </c>
      <c r="R1249" s="174">
        <v>0</v>
      </c>
      <c r="S1249" s="129">
        <v>2</v>
      </c>
      <c r="T1249" s="129" t="s">
        <v>224</v>
      </c>
      <c r="U1249" s="155" t="s">
        <v>235</v>
      </c>
      <c r="V1249" s="153" t="str">
        <f t="array" ref="V1249">INDEX(xlRTCLNAME,MATCH(1,(xlRTCLENDU=1)*(xlRTCLEQCL=$D1249),0))</f>
        <v>KERO_FA</v>
      </c>
      <c r="W1249" s="153" t="str">
        <f t="array" ref="W1249">INDEX(xlRTCLNAME,MATCH(1,(xlRTCLENDU=2)*(xlRTCLEQCL=$F1249),0))</f>
        <v>CENT_AIR</v>
      </c>
      <c r="X1249" s="153" t="str">
        <f t="array" ref="X1249">INDEX(xlRTTYNAME,MATCH(1,(xlRTTYENDU=1)*(xlRTTYEQCL=$D1249)*(xlRTEQTYPE=$E1249),0))</f>
        <v>KERO_FA1</v>
      </c>
      <c r="Y1249" s="153" t="str">
        <f t="array" ref="Y1249">INDEX(xlRTTYNAME,MATCH(1,(xlRTTYENDU=2)*(xlRTTYEQCL=$F1249)*(xlRTEQTYPE=$G1249),0))</f>
        <v>CENT_AIR2</v>
      </c>
    </row>
    <row r="1250" spans="2:25" ht="14.25" customHeight="1" x14ac:dyDescent="0.2">
      <c r="B1250" s="129">
        <v>3</v>
      </c>
      <c r="C1250" s="129">
        <v>2</v>
      </c>
      <c r="D1250" s="129">
        <v>5</v>
      </c>
      <c r="E1250" s="129">
        <v>14</v>
      </c>
      <c r="F1250" s="129">
        <v>2</v>
      </c>
      <c r="G1250" s="129">
        <v>5</v>
      </c>
      <c r="H1250" s="129">
        <v>2016</v>
      </c>
      <c r="I1250" s="129">
        <v>2022</v>
      </c>
      <c r="J1250" s="130">
        <v>1.099</v>
      </c>
      <c r="K1250" s="130">
        <v>1.03</v>
      </c>
      <c r="L1250" s="130">
        <v>0.79210000000000003</v>
      </c>
      <c r="M1250" s="130">
        <v>1.0828</v>
      </c>
      <c r="N1250" s="130">
        <v>1.0381</v>
      </c>
      <c r="O1250" s="130">
        <v>1.0538000000000001</v>
      </c>
      <c r="P1250" s="129">
        <v>2564</v>
      </c>
      <c r="Q1250" s="128">
        <f t="array" ref="Q1250">SUM(IF(($S1250&gt;=4)*($C1250='TaxCred&amp;Subs'!$D$123:$D$127)*($H1250='TaxCred&amp;Subs'!$C$123:$C$127)*($H1250&lt;='TaxCred&amp;Subs'!$C$129),'TaxCred&amp;Subs'!$E$123:$E$127,0))</f>
        <v>0</v>
      </c>
      <c r="R1250" s="174">
        <v>0</v>
      </c>
      <c r="S1250" s="129">
        <v>2</v>
      </c>
      <c r="T1250" s="129" t="s">
        <v>224</v>
      </c>
      <c r="U1250" s="155" t="s">
        <v>235</v>
      </c>
      <c r="V1250" s="153" t="str">
        <f t="array" ref="V1250">INDEX(xlRTCLNAME,MATCH(1,(xlRTCLENDU=1)*(xlRTCLEQCL=$D1250),0))</f>
        <v>KERO_FA</v>
      </c>
      <c r="W1250" s="153" t="str">
        <f t="array" ref="W1250">INDEX(xlRTCLNAME,MATCH(1,(xlRTCLENDU=2)*(xlRTCLEQCL=$F1250),0))</f>
        <v>CENT_AIR</v>
      </c>
      <c r="X1250" s="153" t="str">
        <f t="array" ref="X1250">INDEX(xlRTTYNAME,MATCH(1,(xlRTTYENDU=1)*(xlRTTYEQCL=$D1250)*(xlRTEQTYPE=$E1250),0))</f>
        <v>KERO_FA1</v>
      </c>
      <c r="Y1250" s="153" t="str">
        <f t="array" ref="Y1250">INDEX(xlRTTYNAME,MATCH(1,(xlRTTYENDU=2)*(xlRTTYEQCL=$F1250)*(xlRTEQTYPE=$G1250),0))</f>
        <v>CENT_AIR1</v>
      </c>
    </row>
    <row r="1251" spans="2:25" ht="14.25" customHeight="1" x14ac:dyDescent="0.2">
      <c r="B1251" s="129">
        <v>3</v>
      </c>
      <c r="C1251" s="129">
        <v>2</v>
      </c>
      <c r="D1251" s="129">
        <v>5</v>
      </c>
      <c r="E1251" s="129">
        <v>14</v>
      </c>
      <c r="F1251" s="129">
        <v>2</v>
      </c>
      <c r="G1251" s="129">
        <v>6</v>
      </c>
      <c r="H1251" s="129">
        <v>2023</v>
      </c>
      <c r="I1251" s="129">
        <v>2050</v>
      </c>
      <c r="J1251" s="130">
        <v>1.099</v>
      </c>
      <c r="K1251" s="130">
        <v>1.03</v>
      </c>
      <c r="L1251" s="130">
        <v>0.79210000000000003</v>
      </c>
      <c r="M1251" s="130">
        <v>1.0828</v>
      </c>
      <c r="N1251" s="130">
        <v>1.0381</v>
      </c>
      <c r="O1251" s="130">
        <v>1.0538000000000001</v>
      </c>
      <c r="P1251" s="129">
        <v>2564</v>
      </c>
      <c r="Q1251" s="128">
        <f t="array" ref="Q1251">SUM(IF(($S1251&gt;=4)*($C1251='TaxCred&amp;Subs'!$D$123:$D$127)*($H1251='TaxCred&amp;Subs'!$C$123:$C$127)*($H1251&lt;='TaxCred&amp;Subs'!$C$129),'TaxCred&amp;Subs'!$E$123:$E$127,0))</f>
        <v>0</v>
      </c>
      <c r="R1251" s="174">
        <v>0</v>
      </c>
      <c r="S1251" s="129">
        <v>2</v>
      </c>
      <c r="T1251" s="129" t="s">
        <v>224</v>
      </c>
      <c r="U1251" s="155" t="s">
        <v>235</v>
      </c>
      <c r="V1251" s="153" t="str">
        <f t="array" ref="V1251">INDEX(xlRTCLNAME,MATCH(1,(xlRTCLENDU=1)*(xlRTCLEQCL=$D1251),0))</f>
        <v>KERO_FA</v>
      </c>
      <c r="W1251" s="153" t="str">
        <f t="array" ref="W1251">INDEX(xlRTCLNAME,MATCH(1,(xlRTCLENDU=2)*(xlRTCLEQCL=$F1251),0))</f>
        <v>CENT_AIR</v>
      </c>
      <c r="X1251" s="153" t="str">
        <f t="array" ref="X1251">INDEX(xlRTTYNAME,MATCH(1,(xlRTTYENDU=1)*(xlRTTYEQCL=$D1251)*(xlRTEQTYPE=$E1251),0))</f>
        <v>KERO_FA1</v>
      </c>
      <c r="Y1251" s="153" t="str">
        <f t="array" ref="Y1251">INDEX(xlRTTYNAME,MATCH(1,(xlRTTYENDU=2)*(xlRTTYEQCL=$F1251)*(xlRTEQTYPE=$G1251),0))</f>
        <v>CENT_AIR2</v>
      </c>
    </row>
    <row r="1252" spans="2:25" ht="14.25" customHeight="1" x14ac:dyDescent="0.2">
      <c r="B1252" s="129">
        <v>4</v>
      </c>
      <c r="C1252" s="129">
        <v>2</v>
      </c>
      <c r="D1252" s="129">
        <v>5</v>
      </c>
      <c r="E1252" s="129">
        <v>14</v>
      </c>
      <c r="F1252" s="129">
        <v>2</v>
      </c>
      <c r="G1252" s="129">
        <v>5</v>
      </c>
      <c r="H1252" s="129">
        <v>2016</v>
      </c>
      <c r="I1252" s="129">
        <v>2022</v>
      </c>
      <c r="J1252" s="130">
        <v>1.0934999999999999</v>
      </c>
      <c r="K1252" s="130">
        <v>1.0435000000000001</v>
      </c>
      <c r="L1252" s="130">
        <v>0.86509999999999998</v>
      </c>
      <c r="M1252" s="130">
        <v>1.175</v>
      </c>
      <c r="N1252" s="130">
        <v>1.1696</v>
      </c>
      <c r="O1252" s="130">
        <v>1.0538000000000001</v>
      </c>
      <c r="P1252" s="129">
        <v>2241</v>
      </c>
      <c r="Q1252" s="128">
        <f t="array" ref="Q1252">SUM(IF(($S1252&gt;=4)*($C1252='TaxCred&amp;Subs'!$D$123:$D$127)*($H1252='TaxCred&amp;Subs'!$C$123:$C$127)*($H1252&lt;='TaxCred&amp;Subs'!$C$129),'TaxCred&amp;Subs'!$E$123:$E$127,0))</f>
        <v>0</v>
      </c>
      <c r="R1252" s="174">
        <v>0</v>
      </c>
      <c r="S1252" s="129">
        <v>2</v>
      </c>
      <c r="T1252" s="129" t="s">
        <v>224</v>
      </c>
      <c r="U1252" s="155" t="s">
        <v>235</v>
      </c>
      <c r="V1252" s="153" t="str">
        <f t="array" ref="V1252">INDEX(xlRTCLNAME,MATCH(1,(xlRTCLENDU=1)*(xlRTCLEQCL=$D1252),0))</f>
        <v>KERO_FA</v>
      </c>
      <c r="W1252" s="153" t="str">
        <f t="array" ref="W1252">INDEX(xlRTCLNAME,MATCH(1,(xlRTCLENDU=2)*(xlRTCLEQCL=$F1252),0))</f>
        <v>CENT_AIR</v>
      </c>
      <c r="X1252" s="153" t="str">
        <f t="array" ref="X1252">INDEX(xlRTTYNAME,MATCH(1,(xlRTTYENDU=1)*(xlRTTYEQCL=$D1252)*(xlRTEQTYPE=$E1252),0))</f>
        <v>KERO_FA1</v>
      </c>
      <c r="Y1252" s="153" t="str">
        <f t="array" ref="Y1252">INDEX(xlRTTYNAME,MATCH(1,(xlRTTYENDU=2)*(xlRTTYEQCL=$F1252)*(xlRTEQTYPE=$G1252),0))</f>
        <v>CENT_AIR1</v>
      </c>
    </row>
    <row r="1253" spans="2:25" ht="14.25" customHeight="1" x14ac:dyDescent="0.2">
      <c r="B1253" s="129">
        <v>4</v>
      </c>
      <c r="C1253" s="129">
        <v>2</v>
      </c>
      <c r="D1253" s="129">
        <v>5</v>
      </c>
      <c r="E1253" s="129">
        <v>14</v>
      </c>
      <c r="F1253" s="129">
        <v>2</v>
      </c>
      <c r="G1253" s="129">
        <v>6</v>
      </c>
      <c r="H1253" s="129">
        <v>2023</v>
      </c>
      <c r="I1253" s="129">
        <v>2050</v>
      </c>
      <c r="J1253" s="130">
        <v>1.0934999999999999</v>
      </c>
      <c r="K1253" s="130">
        <v>1.0435000000000001</v>
      </c>
      <c r="L1253" s="130">
        <v>0.86509999999999998</v>
      </c>
      <c r="M1253" s="130">
        <v>1.175</v>
      </c>
      <c r="N1253" s="130">
        <v>1.1696</v>
      </c>
      <c r="O1253" s="130">
        <v>1.0538000000000001</v>
      </c>
      <c r="P1253" s="129">
        <v>2241</v>
      </c>
      <c r="Q1253" s="128">
        <f t="array" ref="Q1253">SUM(IF(($S1253&gt;=4)*($C1253='TaxCred&amp;Subs'!$D$123:$D$127)*($H1253='TaxCred&amp;Subs'!$C$123:$C$127)*($H1253&lt;='TaxCred&amp;Subs'!$C$129),'TaxCred&amp;Subs'!$E$123:$E$127,0))</f>
        <v>0</v>
      </c>
      <c r="R1253" s="174">
        <v>0</v>
      </c>
      <c r="S1253" s="129">
        <v>2</v>
      </c>
      <c r="T1253" s="129" t="s">
        <v>224</v>
      </c>
      <c r="U1253" s="155" t="s">
        <v>235</v>
      </c>
      <c r="V1253" s="153" t="str">
        <f t="array" ref="V1253">INDEX(xlRTCLNAME,MATCH(1,(xlRTCLENDU=1)*(xlRTCLEQCL=$D1253),0))</f>
        <v>KERO_FA</v>
      </c>
      <c r="W1253" s="153" t="str">
        <f t="array" ref="W1253">INDEX(xlRTCLNAME,MATCH(1,(xlRTCLENDU=2)*(xlRTCLEQCL=$F1253),0))</f>
        <v>CENT_AIR</v>
      </c>
      <c r="X1253" s="153" t="str">
        <f t="array" ref="X1253">INDEX(xlRTTYNAME,MATCH(1,(xlRTTYENDU=1)*(xlRTTYEQCL=$D1253)*(xlRTEQTYPE=$E1253),0))</f>
        <v>KERO_FA1</v>
      </c>
      <c r="Y1253" s="153" t="str">
        <f t="array" ref="Y1253">INDEX(xlRTTYNAME,MATCH(1,(xlRTTYENDU=2)*(xlRTTYEQCL=$F1253)*(xlRTEQTYPE=$G1253),0))</f>
        <v>CENT_AIR2</v>
      </c>
    </row>
    <row r="1254" spans="2:25" ht="14.25" customHeight="1" x14ac:dyDescent="0.2">
      <c r="B1254" s="129">
        <v>5</v>
      </c>
      <c r="C1254" s="129">
        <v>2</v>
      </c>
      <c r="D1254" s="129">
        <v>5</v>
      </c>
      <c r="E1254" s="129">
        <v>14</v>
      </c>
      <c r="F1254" s="129">
        <v>2</v>
      </c>
      <c r="G1254" s="129">
        <v>5</v>
      </c>
      <c r="H1254" s="129">
        <v>2016</v>
      </c>
      <c r="I1254" s="129">
        <v>2022</v>
      </c>
      <c r="J1254" s="130">
        <v>1.1200000000000001</v>
      </c>
      <c r="K1254" s="130">
        <v>1.0391999999999999</v>
      </c>
      <c r="L1254" s="130">
        <v>0.56879999999999997</v>
      </c>
      <c r="M1254" s="130">
        <v>1.1000000000000001</v>
      </c>
      <c r="N1254" s="130">
        <v>1.2595000000000001</v>
      </c>
      <c r="O1254" s="130">
        <v>1.0538000000000001</v>
      </c>
      <c r="P1254" s="129">
        <v>1991</v>
      </c>
      <c r="Q1254" s="128">
        <f t="array" ref="Q1254">SUM(IF(($S1254&gt;=4)*($C1254='TaxCred&amp;Subs'!$D$123:$D$127)*($H1254='TaxCred&amp;Subs'!$C$123:$C$127)*($H1254&lt;='TaxCred&amp;Subs'!$C$129),'TaxCred&amp;Subs'!$E$123:$E$127,0))</f>
        <v>0</v>
      </c>
      <c r="R1254" s="174">
        <v>0</v>
      </c>
      <c r="S1254" s="129">
        <v>2</v>
      </c>
      <c r="T1254" s="129" t="s">
        <v>224</v>
      </c>
      <c r="U1254" s="155" t="s">
        <v>235</v>
      </c>
      <c r="V1254" s="153" t="str">
        <f t="array" ref="V1254">INDEX(xlRTCLNAME,MATCH(1,(xlRTCLENDU=1)*(xlRTCLEQCL=$D1254),0))</f>
        <v>KERO_FA</v>
      </c>
      <c r="W1254" s="153" t="str">
        <f t="array" ref="W1254">INDEX(xlRTCLNAME,MATCH(1,(xlRTCLENDU=2)*(xlRTCLEQCL=$F1254),0))</f>
        <v>CENT_AIR</v>
      </c>
      <c r="X1254" s="153" t="str">
        <f t="array" ref="X1254">INDEX(xlRTTYNAME,MATCH(1,(xlRTTYENDU=1)*(xlRTTYEQCL=$D1254)*(xlRTEQTYPE=$E1254),0))</f>
        <v>KERO_FA1</v>
      </c>
      <c r="Y1254" s="153" t="str">
        <f t="array" ref="Y1254">INDEX(xlRTTYNAME,MATCH(1,(xlRTTYENDU=2)*(xlRTTYEQCL=$F1254)*(xlRTEQTYPE=$G1254),0))</f>
        <v>CENT_AIR1</v>
      </c>
    </row>
    <row r="1255" spans="2:25" ht="14.25" customHeight="1" x14ac:dyDescent="0.2">
      <c r="B1255" s="129">
        <v>5</v>
      </c>
      <c r="C1255" s="129">
        <v>2</v>
      </c>
      <c r="D1255" s="129">
        <v>5</v>
      </c>
      <c r="E1255" s="129">
        <v>14</v>
      </c>
      <c r="F1255" s="129">
        <v>2</v>
      </c>
      <c r="G1255" s="129">
        <v>6</v>
      </c>
      <c r="H1255" s="129">
        <v>2023</v>
      </c>
      <c r="I1255" s="129">
        <v>2050</v>
      </c>
      <c r="J1255" s="130">
        <v>1.1200000000000001</v>
      </c>
      <c r="K1255" s="130">
        <v>1.0391999999999999</v>
      </c>
      <c r="L1255" s="130">
        <v>0.56879999999999997</v>
      </c>
      <c r="M1255" s="130">
        <v>1.1000000000000001</v>
      </c>
      <c r="N1255" s="130">
        <v>1.2595000000000001</v>
      </c>
      <c r="O1255" s="130">
        <v>1.0538000000000001</v>
      </c>
      <c r="P1255" s="129">
        <v>1991</v>
      </c>
      <c r="Q1255" s="128">
        <f t="array" ref="Q1255">SUM(IF(($S1255&gt;=4)*($C1255='TaxCred&amp;Subs'!$D$123:$D$127)*($H1255='TaxCred&amp;Subs'!$C$123:$C$127)*($H1255&lt;='TaxCred&amp;Subs'!$C$129),'TaxCred&amp;Subs'!$E$123:$E$127,0))</f>
        <v>0</v>
      </c>
      <c r="R1255" s="174">
        <v>0</v>
      </c>
      <c r="S1255" s="129">
        <v>2</v>
      </c>
      <c r="T1255" s="129" t="s">
        <v>224</v>
      </c>
      <c r="U1255" s="155" t="s">
        <v>235</v>
      </c>
      <c r="V1255" s="153" t="str">
        <f t="array" ref="V1255">INDEX(xlRTCLNAME,MATCH(1,(xlRTCLENDU=1)*(xlRTCLEQCL=$D1255),0))</f>
        <v>KERO_FA</v>
      </c>
      <c r="W1255" s="153" t="str">
        <f t="array" ref="W1255">INDEX(xlRTCLNAME,MATCH(1,(xlRTCLENDU=2)*(xlRTCLEQCL=$F1255),0))</f>
        <v>CENT_AIR</v>
      </c>
      <c r="X1255" s="153" t="str">
        <f t="array" ref="X1255">INDEX(xlRTTYNAME,MATCH(1,(xlRTTYENDU=1)*(xlRTTYEQCL=$D1255)*(xlRTEQTYPE=$E1255),0))</f>
        <v>KERO_FA1</v>
      </c>
      <c r="Y1255" s="153" t="str">
        <f t="array" ref="Y1255">INDEX(xlRTTYNAME,MATCH(1,(xlRTTYENDU=2)*(xlRTTYEQCL=$F1255)*(xlRTEQTYPE=$G1255),0))</f>
        <v>CENT_AIR2</v>
      </c>
    </row>
    <row r="1256" spans="2:25" ht="14.25" customHeight="1" x14ac:dyDescent="0.2">
      <c r="B1256" s="129">
        <v>6</v>
      </c>
      <c r="C1256" s="129">
        <v>2</v>
      </c>
      <c r="D1256" s="129">
        <v>5</v>
      </c>
      <c r="E1256" s="129">
        <v>14</v>
      </c>
      <c r="F1256" s="129">
        <v>2</v>
      </c>
      <c r="G1256" s="129">
        <v>5</v>
      </c>
      <c r="H1256" s="129">
        <v>2016</v>
      </c>
      <c r="I1256" s="129">
        <v>2022</v>
      </c>
      <c r="J1256" s="130">
        <v>1.1200000000000001</v>
      </c>
      <c r="K1256" s="130">
        <v>1.03</v>
      </c>
      <c r="L1256" s="130">
        <v>0.94379999999999997</v>
      </c>
      <c r="M1256" s="130">
        <v>1.1455</v>
      </c>
      <c r="N1256" s="130">
        <v>1.3381000000000001</v>
      </c>
      <c r="O1256" s="130">
        <v>1.0538000000000001</v>
      </c>
      <c r="P1256" s="129">
        <v>2194</v>
      </c>
      <c r="Q1256" s="128">
        <f t="array" ref="Q1256">SUM(IF(($S1256&gt;=4)*($C1256='TaxCred&amp;Subs'!$D$123:$D$127)*($H1256='TaxCred&amp;Subs'!$C$123:$C$127)*($H1256&lt;='TaxCred&amp;Subs'!$C$129),'TaxCred&amp;Subs'!$E$123:$E$127,0))</f>
        <v>0</v>
      </c>
      <c r="R1256" s="174">
        <v>0</v>
      </c>
      <c r="S1256" s="129">
        <v>2</v>
      </c>
      <c r="T1256" s="129" t="s">
        <v>224</v>
      </c>
      <c r="U1256" s="155" t="s">
        <v>235</v>
      </c>
      <c r="V1256" s="153" t="str">
        <f t="array" ref="V1256">INDEX(xlRTCLNAME,MATCH(1,(xlRTCLENDU=1)*(xlRTCLEQCL=$D1256),0))</f>
        <v>KERO_FA</v>
      </c>
      <c r="W1256" s="153" t="str">
        <f t="array" ref="W1256">INDEX(xlRTCLNAME,MATCH(1,(xlRTCLENDU=2)*(xlRTCLEQCL=$F1256),0))</f>
        <v>CENT_AIR</v>
      </c>
      <c r="X1256" s="153" t="str">
        <f t="array" ref="X1256">INDEX(xlRTTYNAME,MATCH(1,(xlRTTYENDU=1)*(xlRTTYEQCL=$D1256)*(xlRTEQTYPE=$E1256),0))</f>
        <v>KERO_FA1</v>
      </c>
      <c r="Y1256" s="153" t="str">
        <f t="array" ref="Y1256">INDEX(xlRTTYNAME,MATCH(1,(xlRTTYENDU=2)*(xlRTTYEQCL=$F1256)*(xlRTEQTYPE=$G1256),0))</f>
        <v>CENT_AIR1</v>
      </c>
    </row>
    <row r="1257" spans="2:25" ht="14.25" customHeight="1" x14ac:dyDescent="0.2">
      <c r="B1257" s="129">
        <v>6</v>
      </c>
      <c r="C1257" s="129">
        <v>2</v>
      </c>
      <c r="D1257" s="129">
        <v>5</v>
      </c>
      <c r="E1257" s="129">
        <v>14</v>
      </c>
      <c r="F1257" s="129">
        <v>2</v>
      </c>
      <c r="G1257" s="129">
        <v>6</v>
      </c>
      <c r="H1257" s="129">
        <v>2023</v>
      </c>
      <c r="I1257" s="129">
        <v>2050</v>
      </c>
      <c r="J1257" s="130">
        <v>1.1200000000000001</v>
      </c>
      <c r="K1257" s="130">
        <v>1.03</v>
      </c>
      <c r="L1257" s="130">
        <v>0.94379999999999997</v>
      </c>
      <c r="M1257" s="130">
        <v>1.1455</v>
      </c>
      <c r="N1257" s="130">
        <v>1.3381000000000001</v>
      </c>
      <c r="O1257" s="130">
        <v>1.0538000000000001</v>
      </c>
      <c r="P1257" s="129">
        <v>2194</v>
      </c>
      <c r="Q1257" s="128">
        <f t="array" ref="Q1257">SUM(IF(($S1257&gt;=4)*($C1257='TaxCred&amp;Subs'!$D$123:$D$127)*($H1257='TaxCred&amp;Subs'!$C$123:$C$127)*($H1257&lt;='TaxCred&amp;Subs'!$C$129),'TaxCred&amp;Subs'!$E$123:$E$127,0))</f>
        <v>0</v>
      </c>
      <c r="R1257" s="174">
        <v>0</v>
      </c>
      <c r="S1257" s="129">
        <v>2</v>
      </c>
      <c r="T1257" s="129" t="s">
        <v>224</v>
      </c>
      <c r="U1257" s="155" t="s">
        <v>235</v>
      </c>
      <c r="V1257" s="153" t="str">
        <f t="array" ref="V1257">INDEX(xlRTCLNAME,MATCH(1,(xlRTCLENDU=1)*(xlRTCLEQCL=$D1257),0))</f>
        <v>KERO_FA</v>
      </c>
      <c r="W1257" s="153" t="str">
        <f t="array" ref="W1257">INDEX(xlRTCLNAME,MATCH(1,(xlRTCLENDU=2)*(xlRTCLEQCL=$F1257),0))</f>
        <v>CENT_AIR</v>
      </c>
      <c r="X1257" s="153" t="str">
        <f t="array" ref="X1257">INDEX(xlRTTYNAME,MATCH(1,(xlRTTYENDU=1)*(xlRTTYEQCL=$D1257)*(xlRTEQTYPE=$E1257),0))</f>
        <v>KERO_FA1</v>
      </c>
      <c r="Y1257" s="153" t="str">
        <f t="array" ref="Y1257">INDEX(xlRTTYNAME,MATCH(1,(xlRTTYENDU=2)*(xlRTTYEQCL=$F1257)*(xlRTEQTYPE=$G1257),0))</f>
        <v>CENT_AIR2</v>
      </c>
    </row>
    <row r="1258" spans="2:25" ht="14.25" customHeight="1" x14ac:dyDescent="0.2">
      <c r="B1258" s="129">
        <v>7</v>
      </c>
      <c r="C1258" s="129">
        <v>2</v>
      </c>
      <c r="D1258" s="129">
        <v>5</v>
      </c>
      <c r="E1258" s="129">
        <v>14</v>
      </c>
      <c r="F1258" s="129">
        <v>2</v>
      </c>
      <c r="G1258" s="129">
        <v>5</v>
      </c>
      <c r="H1258" s="129">
        <v>2016</v>
      </c>
      <c r="I1258" s="129">
        <v>2022</v>
      </c>
      <c r="J1258" s="130">
        <v>1.1200000000000001</v>
      </c>
      <c r="K1258" s="130">
        <v>1.0476000000000001</v>
      </c>
      <c r="L1258" s="130">
        <v>0.86050000000000004</v>
      </c>
      <c r="M1258" s="130">
        <v>1.1431</v>
      </c>
      <c r="N1258" s="130">
        <v>1.4438</v>
      </c>
      <c r="O1258" s="130">
        <v>1.0538000000000001</v>
      </c>
      <c r="P1258" s="129">
        <v>1426</v>
      </c>
      <c r="Q1258" s="128">
        <f t="array" ref="Q1258">SUM(IF(($S1258&gt;=4)*($C1258='TaxCred&amp;Subs'!$D$123:$D$127)*($H1258='TaxCred&amp;Subs'!$C$123:$C$127)*($H1258&lt;='TaxCred&amp;Subs'!$C$129),'TaxCred&amp;Subs'!$E$123:$E$127,0))</f>
        <v>0</v>
      </c>
      <c r="R1258" s="174">
        <v>0</v>
      </c>
      <c r="S1258" s="129">
        <v>2</v>
      </c>
      <c r="T1258" s="129" t="s">
        <v>224</v>
      </c>
      <c r="U1258" s="155" t="s">
        <v>235</v>
      </c>
      <c r="V1258" s="153" t="str">
        <f t="array" ref="V1258">INDEX(xlRTCLNAME,MATCH(1,(xlRTCLENDU=1)*(xlRTCLEQCL=$D1258),0))</f>
        <v>KERO_FA</v>
      </c>
      <c r="W1258" s="153" t="str">
        <f t="array" ref="W1258">INDEX(xlRTCLNAME,MATCH(1,(xlRTCLENDU=2)*(xlRTCLEQCL=$F1258),0))</f>
        <v>CENT_AIR</v>
      </c>
      <c r="X1258" s="153" t="str">
        <f t="array" ref="X1258">INDEX(xlRTTYNAME,MATCH(1,(xlRTTYENDU=1)*(xlRTTYEQCL=$D1258)*(xlRTEQTYPE=$E1258),0))</f>
        <v>KERO_FA1</v>
      </c>
      <c r="Y1258" s="153" t="str">
        <f t="array" ref="Y1258">INDEX(xlRTTYNAME,MATCH(1,(xlRTTYENDU=2)*(xlRTTYEQCL=$F1258)*(xlRTEQTYPE=$G1258),0))</f>
        <v>CENT_AIR1</v>
      </c>
    </row>
    <row r="1259" spans="2:25" ht="14.25" customHeight="1" x14ac:dyDescent="0.2">
      <c r="B1259" s="129">
        <v>7</v>
      </c>
      <c r="C1259" s="129">
        <v>2</v>
      </c>
      <c r="D1259" s="129">
        <v>5</v>
      </c>
      <c r="E1259" s="129">
        <v>14</v>
      </c>
      <c r="F1259" s="129">
        <v>2</v>
      </c>
      <c r="G1259" s="129">
        <v>6</v>
      </c>
      <c r="H1259" s="129">
        <v>2023</v>
      </c>
      <c r="I1259" s="129">
        <v>2050</v>
      </c>
      <c r="J1259" s="130">
        <v>1.1200000000000001</v>
      </c>
      <c r="K1259" s="130">
        <v>1.0476000000000001</v>
      </c>
      <c r="L1259" s="130">
        <v>0.86050000000000004</v>
      </c>
      <c r="M1259" s="130">
        <v>1.1431</v>
      </c>
      <c r="N1259" s="130">
        <v>1.4438</v>
      </c>
      <c r="O1259" s="130">
        <v>1.0538000000000001</v>
      </c>
      <c r="P1259" s="129">
        <v>1426</v>
      </c>
      <c r="Q1259" s="128">
        <f t="array" ref="Q1259">SUM(IF(($S1259&gt;=4)*($C1259='TaxCred&amp;Subs'!$D$123:$D$127)*($H1259='TaxCred&amp;Subs'!$C$123:$C$127)*($H1259&lt;='TaxCred&amp;Subs'!$C$129),'TaxCred&amp;Subs'!$E$123:$E$127,0))</f>
        <v>0</v>
      </c>
      <c r="R1259" s="174">
        <v>0</v>
      </c>
      <c r="S1259" s="129">
        <v>2</v>
      </c>
      <c r="T1259" s="129" t="s">
        <v>224</v>
      </c>
      <c r="U1259" s="155" t="s">
        <v>235</v>
      </c>
      <c r="V1259" s="153" t="str">
        <f t="array" ref="V1259">INDEX(xlRTCLNAME,MATCH(1,(xlRTCLENDU=1)*(xlRTCLEQCL=$D1259),0))</f>
        <v>KERO_FA</v>
      </c>
      <c r="W1259" s="153" t="str">
        <f t="array" ref="W1259">INDEX(xlRTCLNAME,MATCH(1,(xlRTCLENDU=2)*(xlRTCLEQCL=$F1259),0))</f>
        <v>CENT_AIR</v>
      </c>
      <c r="X1259" s="153" t="str">
        <f t="array" ref="X1259">INDEX(xlRTTYNAME,MATCH(1,(xlRTTYENDU=1)*(xlRTTYEQCL=$D1259)*(xlRTEQTYPE=$E1259),0))</f>
        <v>KERO_FA1</v>
      </c>
      <c r="Y1259" s="153" t="str">
        <f t="array" ref="Y1259">INDEX(xlRTTYNAME,MATCH(1,(xlRTTYENDU=2)*(xlRTTYEQCL=$F1259)*(xlRTEQTYPE=$G1259),0))</f>
        <v>CENT_AIR2</v>
      </c>
    </row>
    <row r="1260" spans="2:25" ht="14.25" customHeight="1" x14ac:dyDescent="0.2">
      <c r="B1260" s="129">
        <v>8</v>
      </c>
      <c r="C1260" s="129">
        <v>2</v>
      </c>
      <c r="D1260" s="129">
        <v>5</v>
      </c>
      <c r="E1260" s="129">
        <v>14</v>
      </c>
      <c r="F1260" s="129">
        <v>2</v>
      </c>
      <c r="G1260" s="129">
        <v>5</v>
      </c>
      <c r="H1260" s="129">
        <v>2016</v>
      </c>
      <c r="I1260" s="129">
        <v>2022</v>
      </c>
      <c r="J1260" s="130">
        <v>1.1064000000000001</v>
      </c>
      <c r="K1260" s="130">
        <v>1.0645</v>
      </c>
      <c r="L1260" s="130">
        <v>0.82289999999999996</v>
      </c>
      <c r="M1260" s="130">
        <v>1.2739</v>
      </c>
      <c r="N1260" s="130">
        <v>1.2826</v>
      </c>
      <c r="O1260" s="130">
        <v>1.0538000000000001</v>
      </c>
      <c r="P1260" s="129">
        <v>2390</v>
      </c>
      <c r="Q1260" s="128">
        <f t="array" ref="Q1260">SUM(IF(($S1260&gt;=4)*($C1260='TaxCred&amp;Subs'!$D$123:$D$127)*($H1260='TaxCred&amp;Subs'!$C$123:$C$127)*($H1260&lt;='TaxCred&amp;Subs'!$C$129),'TaxCred&amp;Subs'!$E$123:$E$127,0))</f>
        <v>0</v>
      </c>
      <c r="R1260" s="174">
        <v>0</v>
      </c>
      <c r="S1260" s="129">
        <v>2</v>
      </c>
      <c r="T1260" s="129" t="s">
        <v>224</v>
      </c>
      <c r="U1260" s="155" t="s">
        <v>235</v>
      </c>
      <c r="V1260" s="153" t="str">
        <f t="array" ref="V1260">INDEX(xlRTCLNAME,MATCH(1,(xlRTCLENDU=1)*(xlRTCLEQCL=$D1260),0))</f>
        <v>KERO_FA</v>
      </c>
      <c r="W1260" s="153" t="str">
        <f t="array" ref="W1260">INDEX(xlRTCLNAME,MATCH(1,(xlRTCLENDU=2)*(xlRTCLEQCL=$F1260),0))</f>
        <v>CENT_AIR</v>
      </c>
      <c r="X1260" s="153" t="str">
        <f t="array" ref="X1260">INDEX(xlRTTYNAME,MATCH(1,(xlRTTYENDU=1)*(xlRTTYEQCL=$D1260)*(xlRTEQTYPE=$E1260),0))</f>
        <v>KERO_FA1</v>
      </c>
      <c r="Y1260" s="153" t="str">
        <f t="array" ref="Y1260">INDEX(xlRTTYNAME,MATCH(1,(xlRTTYENDU=2)*(xlRTTYEQCL=$F1260)*(xlRTEQTYPE=$G1260),0))</f>
        <v>CENT_AIR1</v>
      </c>
    </row>
    <row r="1261" spans="2:25" ht="14.25" customHeight="1" x14ac:dyDescent="0.2">
      <c r="B1261" s="129">
        <v>8</v>
      </c>
      <c r="C1261" s="129">
        <v>2</v>
      </c>
      <c r="D1261" s="129">
        <v>5</v>
      </c>
      <c r="E1261" s="129">
        <v>14</v>
      </c>
      <c r="F1261" s="129">
        <v>2</v>
      </c>
      <c r="G1261" s="129">
        <v>6</v>
      </c>
      <c r="H1261" s="129">
        <v>2023</v>
      </c>
      <c r="I1261" s="129">
        <v>2050</v>
      </c>
      <c r="J1261" s="130">
        <v>1.1064000000000001</v>
      </c>
      <c r="K1261" s="130">
        <v>1.0645</v>
      </c>
      <c r="L1261" s="130">
        <v>0.82289999999999996</v>
      </c>
      <c r="M1261" s="130">
        <v>1.2739</v>
      </c>
      <c r="N1261" s="130">
        <v>1.2826</v>
      </c>
      <c r="O1261" s="130">
        <v>1.0538000000000001</v>
      </c>
      <c r="P1261" s="129">
        <v>2390</v>
      </c>
      <c r="Q1261" s="128">
        <f t="array" ref="Q1261">SUM(IF(($S1261&gt;=4)*($C1261='TaxCred&amp;Subs'!$D$123:$D$127)*($H1261='TaxCred&amp;Subs'!$C$123:$C$127)*($H1261&lt;='TaxCred&amp;Subs'!$C$129),'TaxCred&amp;Subs'!$E$123:$E$127,0))</f>
        <v>0</v>
      </c>
      <c r="R1261" s="174">
        <v>0</v>
      </c>
      <c r="S1261" s="129">
        <v>2</v>
      </c>
      <c r="T1261" s="129" t="s">
        <v>224</v>
      </c>
      <c r="U1261" s="155" t="s">
        <v>235</v>
      </c>
      <c r="V1261" s="153" t="str">
        <f t="array" ref="V1261">INDEX(xlRTCLNAME,MATCH(1,(xlRTCLENDU=1)*(xlRTCLEQCL=$D1261),0))</f>
        <v>KERO_FA</v>
      </c>
      <c r="W1261" s="153" t="str">
        <f t="array" ref="W1261">INDEX(xlRTCLNAME,MATCH(1,(xlRTCLENDU=2)*(xlRTCLEQCL=$F1261),0))</f>
        <v>CENT_AIR</v>
      </c>
      <c r="X1261" s="153" t="str">
        <f t="array" ref="X1261">INDEX(xlRTTYNAME,MATCH(1,(xlRTTYENDU=1)*(xlRTTYEQCL=$D1261)*(xlRTEQTYPE=$E1261),0))</f>
        <v>KERO_FA1</v>
      </c>
      <c r="Y1261" s="153" t="str">
        <f t="array" ref="Y1261">INDEX(xlRTTYNAME,MATCH(1,(xlRTTYENDU=2)*(xlRTTYEQCL=$F1261)*(xlRTEQTYPE=$G1261),0))</f>
        <v>CENT_AIR2</v>
      </c>
    </row>
    <row r="1262" spans="2:25" ht="14.25" customHeight="1" x14ac:dyDescent="0.2">
      <c r="B1262" s="129">
        <v>9</v>
      </c>
      <c r="C1262" s="129">
        <v>2</v>
      </c>
      <c r="D1262" s="129">
        <v>5</v>
      </c>
      <c r="E1262" s="129">
        <v>14</v>
      </c>
      <c r="F1262" s="129">
        <v>2</v>
      </c>
      <c r="G1262" s="129">
        <v>5</v>
      </c>
      <c r="H1262" s="129">
        <v>2016</v>
      </c>
      <c r="I1262" s="129">
        <v>2022</v>
      </c>
      <c r="J1262" s="130">
        <v>1.03</v>
      </c>
      <c r="K1262" s="130">
        <v>1.0556000000000001</v>
      </c>
      <c r="L1262" s="130">
        <v>0.44379999999999997</v>
      </c>
      <c r="M1262" s="130">
        <v>1.2</v>
      </c>
      <c r="N1262" s="130">
        <v>1.4438</v>
      </c>
      <c r="O1262" s="130">
        <v>1.0538000000000001</v>
      </c>
      <c r="P1262" s="129">
        <v>2493</v>
      </c>
      <c r="Q1262" s="128">
        <f t="array" ref="Q1262">SUM(IF(($S1262&gt;=4)*($C1262='TaxCred&amp;Subs'!$D$123:$D$127)*($H1262='TaxCred&amp;Subs'!$C$123:$C$127)*($H1262&lt;='TaxCred&amp;Subs'!$C$129),'TaxCred&amp;Subs'!$E$123:$E$127,0))</f>
        <v>0</v>
      </c>
      <c r="R1262" s="174">
        <v>0</v>
      </c>
      <c r="S1262" s="129">
        <v>2</v>
      </c>
      <c r="T1262" s="129" t="s">
        <v>224</v>
      </c>
      <c r="U1262" s="155" t="s">
        <v>235</v>
      </c>
      <c r="V1262" s="153" t="str">
        <f t="array" ref="V1262">INDEX(xlRTCLNAME,MATCH(1,(xlRTCLENDU=1)*(xlRTCLEQCL=$D1262),0))</f>
        <v>KERO_FA</v>
      </c>
      <c r="W1262" s="153" t="str">
        <f t="array" ref="W1262">INDEX(xlRTCLNAME,MATCH(1,(xlRTCLENDU=2)*(xlRTCLEQCL=$F1262),0))</f>
        <v>CENT_AIR</v>
      </c>
      <c r="X1262" s="153" t="str">
        <f t="array" ref="X1262">INDEX(xlRTTYNAME,MATCH(1,(xlRTTYENDU=1)*(xlRTTYEQCL=$D1262)*(xlRTEQTYPE=$E1262),0))</f>
        <v>KERO_FA1</v>
      </c>
      <c r="Y1262" s="153" t="str">
        <f t="array" ref="Y1262">INDEX(xlRTTYNAME,MATCH(1,(xlRTTYENDU=2)*(xlRTTYEQCL=$F1262)*(xlRTEQTYPE=$G1262),0))</f>
        <v>CENT_AIR1</v>
      </c>
    </row>
    <row r="1263" spans="2:25" ht="14.25" customHeight="1" x14ac:dyDescent="0.2">
      <c r="B1263" s="129">
        <v>9</v>
      </c>
      <c r="C1263" s="129">
        <v>2</v>
      </c>
      <c r="D1263" s="129">
        <v>5</v>
      </c>
      <c r="E1263" s="129">
        <v>14</v>
      </c>
      <c r="F1263" s="129">
        <v>2</v>
      </c>
      <c r="G1263" s="129">
        <v>6</v>
      </c>
      <c r="H1263" s="129">
        <v>2023</v>
      </c>
      <c r="I1263" s="129">
        <v>2050</v>
      </c>
      <c r="J1263" s="130">
        <v>1.03</v>
      </c>
      <c r="K1263" s="130">
        <v>1.0556000000000001</v>
      </c>
      <c r="L1263" s="130">
        <v>0.44379999999999997</v>
      </c>
      <c r="M1263" s="130">
        <v>1.2</v>
      </c>
      <c r="N1263" s="130">
        <v>1.4438</v>
      </c>
      <c r="O1263" s="130">
        <v>1.0538000000000001</v>
      </c>
      <c r="P1263" s="129">
        <v>2493</v>
      </c>
      <c r="Q1263" s="128">
        <f t="array" ref="Q1263">SUM(IF(($S1263&gt;=4)*($C1263='TaxCred&amp;Subs'!$D$123:$D$127)*($H1263='TaxCred&amp;Subs'!$C$123:$C$127)*($H1263&lt;='TaxCred&amp;Subs'!$C$129),'TaxCred&amp;Subs'!$E$123:$E$127,0))</f>
        <v>0</v>
      </c>
      <c r="R1263" s="174">
        <v>0</v>
      </c>
      <c r="S1263" s="129">
        <v>2</v>
      </c>
      <c r="T1263" s="129" t="s">
        <v>224</v>
      </c>
      <c r="U1263" s="155" t="s">
        <v>235</v>
      </c>
      <c r="V1263" s="153" t="str">
        <f t="array" ref="V1263">INDEX(xlRTCLNAME,MATCH(1,(xlRTCLENDU=1)*(xlRTCLEQCL=$D1263),0))</f>
        <v>KERO_FA</v>
      </c>
      <c r="W1263" s="153" t="str">
        <f t="array" ref="W1263">INDEX(xlRTCLNAME,MATCH(1,(xlRTCLENDU=2)*(xlRTCLEQCL=$F1263),0))</f>
        <v>CENT_AIR</v>
      </c>
      <c r="X1263" s="153" t="str">
        <f t="array" ref="X1263">INDEX(xlRTTYNAME,MATCH(1,(xlRTTYENDU=1)*(xlRTTYEQCL=$D1263)*(xlRTEQTYPE=$E1263),0))</f>
        <v>KERO_FA1</v>
      </c>
      <c r="Y1263" s="153" t="str">
        <f t="array" ref="Y1263">INDEX(xlRTTYNAME,MATCH(1,(xlRTTYENDU=2)*(xlRTTYEQCL=$F1263)*(xlRTEQTYPE=$G1263),0))</f>
        <v>CENT_AIR2</v>
      </c>
    </row>
    <row r="1264" spans="2:25" ht="14.25" customHeight="1" x14ac:dyDescent="0.2">
      <c r="B1264" s="126">
        <v>1</v>
      </c>
      <c r="C1264" s="126">
        <v>2</v>
      </c>
      <c r="D1264" s="126">
        <v>6</v>
      </c>
      <c r="E1264" s="126">
        <v>18</v>
      </c>
      <c r="F1264" s="126">
        <v>2</v>
      </c>
      <c r="G1264" s="126">
        <v>5</v>
      </c>
      <c r="H1264" s="126">
        <v>2016</v>
      </c>
      <c r="I1264" s="126">
        <v>2022</v>
      </c>
      <c r="J1264" s="127">
        <v>1.1042000000000001</v>
      </c>
      <c r="K1264" s="127">
        <v>1.0417000000000001</v>
      </c>
      <c r="L1264" s="127">
        <v>0.8075</v>
      </c>
      <c r="M1264" s="127">
        <v>1.1455</v>
      </c>
      <c r="N1264" s="127">
        <v>1.1127</v>
      </c>
      <c r="O1264" s="127">
        <v>1.0538000000000001</v>
      </c>
      <c r="P1264" s="126">
        <v>3042</v>
      </c>
      <c r="Q1264" s="128">
        <f t="array" ref="Q1264">SUM(IF(($S1264&gt;=4)*($C1264='TaxCred&amp;Subs'!$D$123:$D$127)*($H1264='TaxCred&amp;Subs'!$C$123:$C$127)*($H1264&lt;='TaxCred&amp;Subs'!$C$129),'TaxCred&amp;Subs'!$E$123:$E$127,0))</f>
        <v>0</v>
      </c>
      <c r="R1264" s="174">
        <v>0</v>
      </c>
      <c r="S1264" s="126">
        <v>2</v>
      </c>
      <c r="T1264" s="126" t="s">
        <v>224</v>
      </c>
      <c r="U1264" s="158"/>
      <c r="V1264" s="153" t="str">
        <f t="array" ref="V1264">INDEX(xlRTCLNAME,MATCH(1,(xlRTCLENDU=1)*(xlRTCLEQCL=$D1264),0))</f>
        <v>LPG_FA</v>
      </c>
      <c r="W1264" s="153" t="str">
        <f t="array" ref="W1264">INDEX(xlRTCLNAME,MATCH(1,(xlRTCLENDU=2)*(xlRTCLEQCL=$F1264),0))</f>
        <v>CENT_AIR</v>
      </c>
      <c r="X1264" s="153" t="str">
        <f t="array" ref="X1264">INDEX(xlRTTYNAME,MATCH(1,(xlRTTYENDU=1)*(xlRTTYEQCL=$D1264)*(xlRTEQTYPE=$E1264),0))</f>
        <v>LPG_FA1</v>
      </c>
      <c r="Y1264" s="153" t="str">
        <f t="array" ref="Y1264">INDEX(xlRTTYNAME,MATCH(1,(xlRTTYENDU=2)*(xlRTTYEQCL=$F1264)*(xlRTEQTYPE=$G1264),0))</f>
        <v>CENT_AIR1</v>
      </c>
    </row>
    <row r="1265" spans="2:25" ht="14.25" customHeight="1" x14ac:dyDescent="0.2">
      <c r="B1265" s="126">
        <v>1</v>
      </c>
      <c r="C1265" s="126">
        <v>2</v>
      </c>
      <c r="D1265" s="126">
        <v>6</v>
      </c>
      <c r="E1265" s="126">
        <v>18</v>
      </c>
      <c r="F1265" s="126">
        <v>2</v>
      </c>
      <c r="G1265" s="126">
        <v>6</v>
      </c>
      <c r="H1265" s="126">
        <v>2023</v>
      </c>
      <c r="I1265" s="126">
        <v>2050</v>
      </c>
      <c r="J1265" s="127">
        <v>1.1042000000000001</v>
      </c>
      <c r="K1265" s="127">
        <v>1.0417000000000001</v>
      </c>
      <c r="L1265" s="127">
        <v>0.8075</v>
      </c>
      <c r="M1265" s="127">
        <v>1.1455</v>
      </c>
      <c r="N1265" s="127">
        <v>1.1127</v>
      </c>
      <c r="O1265" s="127">
        <v>1.0538000000000001</v>
      </c>
      <c r="P1265" s="126">
        <v>3042</v>
      </c>
      <c r="Q1265" s="128">
        <f t="array" ref="Q1265">SUM(IF(($S1265&gt;=4)*($C1265='TaxCred&amp;Subs'!$D$123:$D$127)*($H1265='TaxCred&amp;Subs'!$C$123:$C$127)*($H1265&lt;='TaxCred&amp;Subs'!$C$129),'TaxCred&amp;Subs'!$E$123:$E$127,0))</f>
        <v>0</v>
      </c>
      <c r="R1265" s="174">
        <v>0</v>
      </c>
      <c r="S1265" s="126">
        <v>2</v>
      </c>
      <c r="T1265" s="126" t="s">
        <v>224</v>
      </c>
      <c r="U1265" s="158"/>
      <c r="V1265" s="153" t="str">
        <f t="array" ref="V1265">INDEX(xlRTCLNAME,MATCH(1,(xlRTCLENDU=1)*(xlRTCLEQCL=$D1265),0))</f>
        <v>LPG_FA</v>
      </c>
      <c r="W1265" s="153" t="str">
        <f t="array" ref="W1265">INDEX(xlRTCLNAME,MATCH(1,(xlRTCLENDU=2)*(xlRTCLEQCL=$F1265),0))</f>
        <v>CENT_AIR</v>
      </c>
      <c r="X1265" s="153" t="str">
        <f t="array" ref="X1265">INDEX(xlRTTYNAME,MATCH(1,(xlRTTYENDU=1)*(xlRTTYEQCL=$D1265)*(xlRTEQTYPE=$E1265),0))</f>
        <v>LPG_FA1</v>
      </c>
      <c r="Y1265" s="153" t="str">
        <f t="array" ref="Y1265">INDEX(xlRTTYNAME,MATCH(1,(xlRTTYENDU=2)*(xlRTTYEQCL=$F1265)*(xlRTEQTYPE=$G1265),0))</f>
        <v>CENT_AIR2</v>
      </c>
    </row>
    <row r="1266" spans="2:25" ht="14.25" customHeight="1" x14ac:dyDescent="0.2">
      <c r="B1266" s="126">
        <v>2</v>
      </c>
      <c r="C1266" s="126">
        <v>2</v>
      </c>
      <c r="D1266" s="126">
        <v>6</v>
      </c>
      <c r="E1266" s="126">
        <v>18</v>
      </c>
      <c r="F1266" s="126">
        <v>2</v>
      </c>
      <c r="G1266" s="126">
        <v>5</v>
      </c>
      <c r="H1266" s="126">
        <v>2016</v>
      </c>
      <c r="I1266" s="126">
        <v>2022</v>
      </c>
      <c r="J1266" s="127">
        <v>1.0847</v>
      </c>
      <c r="K1266" s="127">
        <v>1.0357000000000001</v>
      </c>
      <c r="L1266" s="127">
        <v>1.028</v>
      </c>
      <c r="M1266" s="127">
        <v>1.1834</v>
      </c>
      <c r="N1266" s="127">
        <v>1.1162000000000001</v>
      </c>
      <c r="O1266" s="127">
        <v>1.0538000000000001</v>
      </c>
      <c r="P1266" s="126">
        <v>2086</v>
      </c>
      <c r="Q1266" s="128">
        <f t="array" ref="Q1266">SUM(IF(($S1266&gt;=4)*($C1266='TaxCred&amp;Subs'!$D$123:$D$127)*($H1266='TaxCred&amp;Subs'!$C$123:$C$127)*($H1266&lt;='TaxCred&amp;Subs'!$C$129),'TaxCred&amp;Subs'!$E$123:$E$127,0))</f>
        <v>0</v>
      </c>
      <c r="R1266" s="174">
        <v>0</v>
      </c>
      <c r="S1266" s="126">
        <v>2</v>
      </c>
      <c r="T1266" s="126" t="s">
        <v>224</v>
      </c>
      <c r="U1266" s="158"/>
      <c r="V1266" s="153" t="str">
        <f t="array" ref="V1266">INDEX(xlRTCLNAME,MATCH(1,(xlRTCLENDU=1)*(xlRTCLEQCL=$D1266),0))</f>
        <v>LPG_FA</v>
      </c>
      <c r="W1266" s="153" t="str">
        <f t="array" ref="W1266">INDEX(xlRTCLNAME,MATCH(1,(xlRTCLENDU=2)*(xlRTCLEQCL=$F1266),0))</f>
        <v>CENT_AIR</v>
      </c>
      <c r="X1266" s="153" t="str">
        <f t="array" ref="X1266">INDEX(xlRTTYNAME,MATCH(1,(xlRTTYENDU=1)*(xlRTTYEQCL=$D1266)*(xlRTEQTYPE=$E1266),0))</f>
        <v>LPG_FA1</v>
      </c>
      <c r="Y1266" s="153" t="str">
        <f t="array" ref="Y1266">INDEX(xlRTTYNAME,MATCH(1,(xlRTTYENDU=2)*(xlRTTYEQCL=$F1266)*(xlRTEQTYPE=$G1266),0))</f>
        <v>CENT_AIR1</v>
      </c>
    </row>
    <row r="1267" spans="2:25" ht="14.25" customHeight="1" x14ac:dyDescent="0.2">
      <c r="B1267" s="126">
        <v>2</v>
      </c>
      <c r="C1267" s="126">
        <v>2</v>
      </c>
      <c r="D1267" s="126">
        <v>6</v>
      </c>
      <c r="E1267" s="126">
        <v>18</v>
      </c>
      <c r="F1267" s="126">
        <v>2</v>
      </c>
      <c r="G1267" s="126">
        <v>6</v>
      </c>
      <c r="H1267" s="126">
        <v>2023</v>
      </c>
      <c r="I1267" s="126">
        <v>2050</v>
      </c>
      <c r="J1267" s="127">
        <v>1.0847</v>
      </c>
      <c r="K1267" s="127">
        <v>1.0357000000000001</v>
      </c>
      <c r="L1267" s="127">
        <v>1.028</v>
      </c>
      <c r="M1267" s="127">
        <v>1.1834</v>
      </c>
      <c r="N1267" s="127">
        <v>1.1162000000000001</v>
      </c>
      <c r="O1267" s="127">
        <v>1.0538000000000001</v>
      </c>
      <c r="P1267" s="126">
        <v>2086</v>
      </c>
      <c r="Q1267" s="128">
        <f t="array" ref="Q1267">SUM(IF(($S1267&gt;=4)*($C1267='TaxCred&amp;Subs'!$D$123:$D$127)*($H1267='TaxCred&amp;Subs'!$C$123:$C$127)*($H1267&lt;='TaxCred&amp;Subs'!$C$129),'TaxCred&amp;Subs'!$E$123:$E$127,0))</f>
        <v>0</v>
      </c>
      <c r="R1267" s="174">
        <v>0</v>
      </c>
      <c r="S1267" s="126">
        <v>2</v>
      </c>
      <c r="T1267" s="126" t="s">
        <v>224</v>
      </c>
      <c r="U1267" s="158"/>
      <c r="V1267" s="153" t="str">
        <f t="array" ref="V1267">INDEX(xlRTCLNAME,MATCH(1,(xlRTCLENDU=1)*(xlRTCLEQCL=$D1267),0))</f>
        <v>LPG_FA</v>
      </c>
      <c r="W1267" s="153" t="str">
        <f t="array" ref="W1267">INDEX(xlRTCLNAME,MATCH(1,(xlRTCLENDU=2)*(xlRTCLEQCL=$F1267),0))</f>
        <v>CENT_AIR</v>
      </c>
      <c r="X1267" s="153" t="str">
        <f t="array" ref="X1267">INDEX(xlRTTYNAME,MATCH(1,(xlRTTYENDU=1)*(xlRTTYEQCL=$D1267)*(xlRTEQTYPE=$E1267),0))</f>
        <v>LPG_FA1</v>
      </c>
      <c r="Y1267" s="153" t="str">
        <f t="array" ref="Y1267">INDEX(xlRTTYNAME,MATCH(1,(xlRTTYENDU=2)*(xlRTTYEQCL=$F1267)*(xlRTEQTYPE=$G1267),0))</f>
        <v>CENT_AIR2</v>
      </c>
    </row>
    <row r="1268" spans="2:25" ht="14.25" customHeight="1" x14ac:dyDescent="0.2">
      <c r="B1268" s="126">
        <v>3</v>
      </c>
      <c r="C1268" s="126">
        <v>2</v>
      </c>
      <c r="D1268" s="126">
        <v>6</v>
      </c>
      <c r="E1268" s="126">
        <v>18</v>
      </c>
      <c r="F1268" s="126">
        <v>2</v>
      </c>
      <c r="G1268" s="126">
        <v>5</v>
      </c>
      <c r="H1268" s="126">
        <v>2016</v>
      </c>
      <c r="I1268" s="126">
        <v>2022</v>
      </c>
      <c r="J1268" s="127">
        <v>1.0984</v>
      </c>
      <c r="K1268" s="127">
        <v>1.0345</v>
      </c>
      <c r="L1268" s="127">
        <v>0.85880000000000001</v>
      </c>
      <c r="M1268" s="127">
        <v>1.1000000000000001</v>
      </c>
      <c r="N1268" s="127">
        <v>1.0399</v>
      </c>
      <c r="O1268" s="127">
        <v>1.0538000000000001</v>
      </c>
      <c r="P1268" s="126">
        <v>2421</v>
      </c>
      <c r="Q1268" s="128">
        <f t="array" ref="Q1268">SUM(IF(($S1268&gt;=4)*($C1268='TaxCred&amp;Subs'!$D$123:$D$127)*($H1268='TaxCred&amp;Subs'!$C$123:$C$127)*($H1268&lt;='TaxCred&amp;Subs'!$C$129),'TaxCred&amp;Subs'!$E$123:$E$127,0))</f>
        <v>0</v>
      </c>
      <c r="R1268" s="174">
        <v>0</v>
      </c>
      <c r="S1268" s="126">
        <v>2</v>
      </c>
      <c r="T1268" s="126" t="s">
        <v>224</v>
      </c>
      <c r="U1268" s="158"/>
      <c r="V1268" s="153" t="str">
        <f t="array" ref="V1268">INDEX(xlRTCLNAME,MATCH(1,(xlRTCLENDU=1)*(xlRTCLEQCL=$D1268),0))</f>
        <v>LPG_FA</v>
      </c>
      <c r="W1268" s="153" t="str">
        <f t="array" ref="W1268">INDEX(xlRTCLNAME,MATCH(1,(xlRTCLENDU=2)*(xlRTCLEQCL=$F1268),0))</f>
        <v>CENT_AIR</v>
      </c>
      <c r="X1268" s="153" t="str">
        <f t="array" ref="X1268">INDEX(xlRTTYNAME,MATCH(1,(xlRTTYENDU=1)*(xlRTTYEQCL=$D1268)*(xlRTEQTYPE=$E1268),0))</f>
        <v>LPG_FA1</v>
      </c>
      <c r="Y1268" s="153" t="str">
        <f t="array" ref="Y1268">INDEX(xlRTTYNAME,MATCH(1,(xlRTTYENDU=2)*(xlRTTYEQCL=$F1268)*(xlRTEQTYPE=$G1268),0))</f>
        <v>CENT_AIR1</v>
      </c>
    </row>
    <row r="1269" spans="2:25" ht="14.25" customHeight="1" x14ac:dyDescent="0.2">
      <c r="B1269" s="126">
        <v>3</v>
      </c>
      <c r="C1269" s="126">
        <v>2</v>
      </c>
      <c r="D1269" s="126">
        <v>6</v>
      </c>
      <c r="E1269" s="126">
        <v>18</v>
      </c>
      <c r="F1269" s="126">
        <v>2</v>
      </c>
      <c r="G1269" s="126">
        <v>6</v>
      </c>
      <c r="H1269" s="126">
        <v>2023</v>
      </c>
      <c r="I1269" s="126">
        <v>2050</v>
      </c>
      <c r="J1269" s="127">
        <v>1.0984</v>
      </c>
      <c r="K1269" s="127">
        <v>1.0345</v>
      </c>
      <c r="L1269" s="127">
        <v>0.85880000000000001</v>
      </c>
      <c r="M1269" s="127">
        <v>1.1000000000000001</v>
      </c>
      <c r="N1269" s="127">
        <v>1.0399</v>
      </c>
      <c r="O1269" s="127">
        <v>1.0538000000000001</v>
      </c>
      <c r="P1269" s="126">
        <v>2421</v>
      </c>
      <c r="Q1269" s="128">
        <f t="array" ref="Q1269">SUM(IF(($S1269&gt;=4)*($C1269='TaxCred&amp;Subs'!$D$123:$D$127)*($H1269='TaxCred&amp;Subs'!$C$123:$C$127)*($H1269&lt;='TaxCred&amp;Subs'!$C$129),'TaxCred&amp;Subs'!$E$123:$E$127,0))</f>
        <v>0</v>
      </c>
      <c r="R1269" s="174">
        <v>0</v>
      </c>
      <c r="S1269" s="126">
        <v>2</v>
      </c>
      <c r="T1269" s="126" t="s">
        <v>224</v>
      </c>
      <c r="U1269" s="158"/>
      <c r="V1269" s="153" t="str">
        <f t="array" ref="V1269">INDEX(xlRTCLNAME,MATCH(1,(xlRTCLENDU=1)*(xlRTCLEQCL=$D1269),0))</f>
        <v>LPG_FA</v>
      </c>
      <c r="W1269" s="153" t="str">
        <f t="array" ref="W1269">INDEX(xlRTCLNAME,MATCH(1,(xlRTCLENDU=2)*(xlRTCLEQCL=$F1269),0))</f>
        <v>CENT_AIR</v>
      </c>
      <c r="X1269" s="153" t="str">
        <f t="array" ref="X1269">INDEX(xlRTTYNAME,MATCH(1,(xlRTTYENDU=1)*(xlRTTYEQCL=$D1269)*(xlRTEQTYPE=$E1269),0))</f>
        <v>LPG_FA1</v>
      </c>
      <c r="Y1269" s="153" t="str">
        <f t="array" ref="Y1269">INDEX(xlRTTYNAME,MATCH(1,(xlRTTYENDU=2)*(xlRTTYEQCL=$F1269)*(xlRTEQTYPE=$G1269),0))</f>
        <v>CENT_AIR2</v>
      </c>
    </row>
    <row r="1270" spans="2:25" ht="14.25" customHeight="1" x14ac:dyDescent="0.2">
      <c r="B1270" s="126">
        <v>4</v>
      </c>
      <c r="C1270" s="126">
        <v>2</v>
      </c>
      <c r="D1270" s="126">
        <v>6</v>
      </c>
      <c r="E1270" s="126">
        <v>18</v>
      </c>
      <c r="F1270" s="126">
        <v>2</v>
      </c>
      <c r="G1270" s="126">
        <v>5</v>
      </c>
      <c r="H1270" s="126">
        <v>2016</v>
      </c>
      <c r="I1270" s="126">
        <v>2022</v>
      </c>
      <c r="J1270" s="127">
        <v>1.1000000000000001</v>
      </c>
      <c r="K1270" s="127">
        <v>1.0435000000000001</v>
      </c>
      <c r="L1270" s="127">
        <v>1.0251999999999999</v>
      </c>
      <c r="M1270" s="127">
        <v>1.175</v>
      </c>
      <c r="N1270" s="127">
        <v>1.1696</v>
      </c>
      <c r="O1270" s="127">
        <v>1.0538000000000001</v>
      </c>
      <c r="P1270" s="126">
        <v>2095</v>
      </c>
      <c r="Q1270" s="128">
        <f t="array" ref="Q1270">SUM(IF(($S1270&gt;=4)*($C1270='TaxCred&amp;Subs'!$D$123:$D$127)*($H1270='TaxCred&amp;Subs'!$C$123:$C$127)*($H1270&lt;='TaxCred&amp;Subs'!$C$129),'TaxCred&amp;Subs'!$E$123:$E$127,0))</f>
        <v>0</v>
      </c>
      <c r="R1270" s="174">
        <v>0</v>
      </c>
      <c r="S1270" s="126">
        <v>2</v>
      </c>
      <c r="T1270" s="126" t="s">
        <v>224</v>
      </c>
      <c r="U1270" s="158"/>
      <c r="V1270" s="153" t="str">
        <f t="array" ref="V1270">INDEX(xlRTCLNAME,MATCH(1,(xlRTCLENDU=1)*(xlRTCLEQCL=$D1270),0))</f>
        <v>LPG_FA</v>
      </c>
      <c r="W1270" s="153" t="str">
        <f t="array" ref="W1270">INDEX(xlRTCLNAME,MATCH(1,(xlRTCLENDU=2)*(xlRTCLEQCL=$F1270),0))</f>
        <v>CENT_AIR</v>
      </c>
      <c r="X1270" s="153" t="str">
        <f t="array" ref="X1270">INDEX(xlRTTYNAME,MATCH(1,(xlRTTYENDU=1)*(xlRTTYEQCL=$D1270)*(xlRTEQTYPE=$E1270),0))</f>
        <v>LPG_FA1</v>
      </c>
      <c r="Y1270" s="153" t="str">
        <f t="array" ref="Y1270">INDEX(xlRTTYNAME,MATCH(1,(xlRTTYENDU=2)*(xlRTTYEQCL=$F1270)*(xlRTEQTYPE=$G1270),0))</f>
        <v>CENT_AIR1</v>
      </c>
    </row>
    <row r="1271" spans="2:25" ht="14.25" customHeight="1" x14ac:dyDescent="0.2">
      <c r="B1271" s="126">
        <v>4</v>
      </c>
      <c r="C1271" s="126">
        <v>2</v>
      </c>
      <c r="D1271" s="126">
        <v>6</v>
      </c>
      <c r="E1271" s="126">
        <v>18</v>
      </c>
      <c r="F1271" s="126">
        <v>2</v>
      </c>
      <c r="G1271" s="126">
        <v>6</v>
      </c>
      <c r="H1271" s="126">
        <v>2023</v>
      </c>
      <c r="I1271" s="126">
        <v>2050</v>
      </c>
      <c r="J1271" s="127">
        <v>1.1000000000000001</v>
      </c>
      <c r="K1271" s="127">
        <v>1.0435000000000001</v>
      </c>
      <c r="L1271" s="127">
        <v>1.0251999999999999</v>
      </c>
      <c r="M1271" s="127">
        <v>1.175</v>
      </c>
      <c r="N1271" s="127">
        <v>1.1696</v>
      </c>
      <c r="O1271" s="127">
        <v>1.0538000000000001</v>
      </c>
      <c r="P1271" s="126">
        <v>2095</v>
      </c>
      <c r="Q1271" s="128">
        <f t="array" ref="Q1271">SUM(IF(($S1271&gt;=4)*($C1271='TaxCred&amp;Subs'!$D$123:$D$127)*($H1271='TaxCred&amp;Subs'!$C$123:$C$127)*($H1271&lt;='TaxCred&amp;Subs'!$C$129),'TaxCred&amp;Subs'!$E$123:$E$127,0))</f>
        <v>0</v>
      </c>
      <c r="R1271" s="174">
        <v>0</v>
      </c>
      <c r="S1271" s="126">
        <v>2</v>
      </c>
      <c r="T1271" s="126" t="s">
        <v>224</v>
      </c>
      <c r="U1271" s="158"/>
      <c r="V1271" s="153" t="str">
        <f t="array" ref="V1271">INDEX(xlRTCLNAME,MATCH(1,(xlRTCLENDU=1)*(xlRTCLEQCL=$D1271),0))</f>
        <v>LPG_FA</v>
      </c>
      <c r="W1271" s="153" t="str">
        <f t="array" ref="W1271">INDEX(xlRTCLNAME,MATCH(1,(xlRTCLENDU=2)*(xlRTCLEQCL=$F1271),0))</f>
        <v>CENT_AIR</v>
      </c>
      <c r="X1271" s="153" t="str">
        <f t="array" ref="X1271">INDEX(xlRTTYNAME,MATCH(1,(xlRTTYENDU=1)*(xlRTTYEQCL=$D1271)*(xlRTEQTYPE=$E1271),0))</f>
        <v>LPG_FA1</v>
      </c>
      <c r="Y1271" s="153" t="str">
        <f t="array" ref="Y1271">INDEX(xlRTTYNAME,MATCH(1,(xlRTTYENDU=2)*(xlRTTYEQCL=$F1271)*(xlRTEQTYPE=$G1271),0))</f>
        <v>CENT_AIR2</v>
      </c>
    </row>
    <row r="1272" spans="2:25" ht="14.25" customHeight="1" x14ac:dyDescent="0.2">
      <c r="B1272" s="126">
        <v>5</v>
      </c>
      <c r="C1272" s="126">
        <v>2</v>
      </c>
      <c r="D1272" s="126">
        <v>6</v>
      </c>
      <c r="E1272" s="126">
        <v>18</v>
      </c>
      <c r="F1272" s="126">
        <v>2</v>
      </c>
      <c r="G1272" s="126">
        <v>5</v>
      </c>
      <c r="H1272" s="126">
        <v>2016</v>
      </c>
      <c r="I1272" s="126">
        <v>2022</v>
      </c>
      <c r="J1272" s="127">
        <v>1.1200000000000001</v>
      </c>
      <c r="K1272" s="127">
        <v>1.0391999999999999</v>
      </c>
      <c r="L1272" s="127">
        <v>0.53759999999999997</v>
      </c>
      <c r="M1272" s="127">
        <v>1.1000000000000001</v>
      </c>
      <c r="N1272" s="127">
        <v>1.2750999999999999</v>
      </c>
      <c r="O1272" s="127">
        <v>1.0538000000000001</v>
      </c>
      <c r="P1272" s="126">
        <v>1801</v>
      </c>
      <c r="Q1272" s="128">
        <f t="array" ref="Q1272">SUM(IF(($S1272&gt;=4)*($C1272='TaxCred&amp;Subs'!$D$123:$D$127)*($H1272='TaxCred&amp;Subs'!$C$123:$C$127)*($H1272&lt;='TaxCred&amp;Subs'!$C$129),'TaxCred&amp;Subs'!$E$123:$E$127,0))</f>
        <v>0</v>
      </c>
      <c r="R1272" s="174">
        <v>0</v>
      </c>
      <c r="S1272" s="126">
        <v>2</v>
      </c>
      <c r="T1272" s="126" t="s">
        <v>224</v>
      </c>
      <c r="U1272" s="158"/>
      <c r="V1272" s="153" t="str">
        <f t="array" ref="V1272">INDEX(xlRTCLNAME,MATCH(1,(xlRTCLENDU=1)*(xlRTCLEQCL=$D1272),0))</f>
        <v>LPG_FA</v>
      </c>
      <c r="W1272" s="153" t="str">
        <f t="array" ref="W1272">INDEX(xlRTCLNAME,MATCH(1,(xlRTCLENDU=2)*(xlRTCLEQCL=$F1272),0))</f>
        <v>CENT_AIR</v>
      </c>
      <c r="X1272" s="153" t="str">
        <f t="array" ref="X1272">INDEX(xlRTTYNAME,MATCH(1,(xlRTTYENDU=1)*(xlRTTYEQCL=$D1272)*(xlRTEQTYPE=$E1272),0))</f>
        <v>LPG_FA1</v>
      </c>
      <c r="Y1272" s="153" t="str">
        <f t="array" ref="Y1272">INDEX(xlRTTYNAME,MATCH(1,(xlRTTYENDU=2)*(xlRTTYEQCL=$F1272)*(xlRTEQTYPE=$G1272),0))</f>
        <v>CENT_AIR1</v>
      </c>
    </row>
    <row r="1273" spans="2:25" ht="14.25" customHeight="1" x14ac:dyDescent="0.2">
      <c r="B1273" s="126">
        <v>5</v>
      </c>
      <c r="C1273" s="126">
        <v>2</v>
      </c>
      <c r="D1273" s="126">
        <v>6</v>
      </c>
      <c r="E1273" s="126">
        <v>18</v>
      </c>
      <c r="F1273" s="126">
        <v>2</v>
      </c>
      <c r="G1273" s="126">
        <v>6</v>
      </c>
      <c r="H1273" s="126">
        <v>2023</v>
      </c>
      <c r="I1273" s="126">
        <v>2050</v>
      </c>
      <c r="J1273" s="127">
        <v>1.1200000000000001</v>
      </c>
      <c r="K1273" s="127">
        <v>1.0391999999999999</v>
      </c>
      <c r="L1273" s="127">
        <v>0.53759999999999997</v>
      </c>
      <c r="M1273" s="127">
        <v>1.1000000000000001</v>
      </c>
      <c r="N1273" s="127">
        <v>1.2750999999999999</v>
      </c>
      <c r="O1273" s="127">
        <v>1.0538000000000001</v>
      </c>
      <c r="P1273" s="126">
        <v>1801</v>
      </c>
      <c r="Q1273" s="128">
        <f t="array" ref="Q1273">SUM(IF(($S1273&gt;=4)*($C1273='TaxCred&amp;Subs'!$D$123:$D$127)*($H1273='TaxCred&amp;Subs'!$C$123:$C$127)*($H1273&lt;='TaxCred&amp;Subs'!$C$129),'TaxCred&amp;Subs'!$E$123:$E$127,0))</f>
        <v>0</v>
      </c>
      <c r="R1273" s="174">
        <v>0</v>
      </c>
      <c r="S1273" s="126">
        <v>2</v>
      </c>
      <c r="T1273" s="126" t="s">
        <v>224</v>
      </c>
      <c r="U1273" s="158"/>
      <c r="V1273" s="153" t="str">
        <f t="array" ref="V1273">INDEX(xlRTCLNAME,MATCH(1,(xlRTCLENDU=1)*(xlRTCLEQCL=$D1273),0))</f>
        <v>LPG_FA</v>
      </c>
      <c r="W1273" s="153" t="str">
        <f t="array" ref="W1273">INDEX(xlRTCLNAME,MATCH(1,(xlRTCLENDU=2)*(xlRTCLEQCL=$F1273),0))</f>
        <v>CENT_AIR</v>
      </c>
      <c r="X1273" s="153" t="str">
        <f t="array" ref="X1273">INDEX(xlRTTYNAME,MATCH(1,(xlRTTYENDU=1)*(xlRTTYEQCL=$D1273)*(xlRTEQTYPE=$E1273),0))</f>
        <v>LPG_FA1</v>
      </c>
      <c r="Y1273" s="153" t="str">
        <f t="array" ref="Y1273">INDEX(xlRTTYNAME,MATCH(1,(xlRTTYENDU=2)*(xlRTTYEQCL=$F1273)*(xlRTEQTYPE=$G1273),0))</f>
        <v>CENT_AIR2</v>
      </c>
    </row>
    <row r="1274" spans="2:25" ht="14.25" customHeight="1" x14ac:dyDescent="0.2">
      <c r="B1274" s="126">
        <v>6</v>
      </c>
      <c r="C1274" s="126">
        <v>2</v>
      </c>
      <c r="D1274" s="126">
        <v>6</v>
      </c>
      <c r="E1274" s="126">
        <v>18</v>
      </c>
      <c r="F1274" s="126">
        <v>2</v>
      </c>
      <c r="G1274" s="126">
        <v>5</v>
      </c>
      <c r="H1274" s="126">
        <v>2016</v>
      </c>
      <c r="I1274" s="126">
        <v>2022</v>
      </c>
      <c r="J1274" s="127">
        <v>1.1200000000000001</v>
      </c>
      <c r="K1274" s="127">
        <v>1.03</v>
      </c>
      <c r="L1274" s="127">
        <v>0.89380000000000004</v>
      </c>
      <c r="M1274" s="127">
        <v>1.1341000000000001</v>
      </c>
      <c r="N1274" s="127">
        <v>1.3324</v>
      </c>
      <c r="O1274" s="127">
        <v>1.0538000000000001</v>
      </c>
      <c r="P1274" s="126">
        <v>2020</v>
      </c>
      <c r="Q1274" s="128">
        <f t="array" ref="Q1274">SUM(IF(($S1274&gt;=4)*($C1274='TaxCred&amp;Subs'!$D$123:$D$127)*($H1274='TaxCred&amp;Subs'!$C$123:$C$127)*($H1274&lt;='TaxCred&amp;Subs'!$C$129),'TaxCred&amp;Subs'!$E$123:$E$127,0))</f>
        <v>0</v>
      </c>
      <c r="R1274" s="174">
        <v>0</v>
      </c>
      <c r="S1274" s="126">
        <v>2</v>
      </c>
      <c r="T1274" s="126" t="s">
        <v>224</v>
      </c>
      <c r="U1274" s="158"/>
      <c r="V1274" s="153" t="str">
        <f t="array" ref="V1274">INDEX(xlRTCLNAME,MATCH(1,(xlRTCLENDU=1)*(xlRTCLEQCL=$D1274),0))</f>
        <v>LPG_FA</v>
      </c>
      <c r="W1274" s="153" t="str">
        <f t="array" ref="W1274">INDEX(xlRTCLNAME,MATCH(1,(xlRTCLENDU=2)*(xlRTCLEQCL=$F1274),0))</f>
        <v>CENT_AIR</v>
      </c>
      <c r="X1274" s="153" t="str">
        <f t="array" ref="X1274">INDEX(xlRTTYNAME,MATCH(1,(xlRTTYENDU=1)*(xlRTTYEQCL=$D1274)*(xlRTEQTYPE=$E1274),0))</f>
        <v>LPG_FA1</v>
      </c>
      <c r="Y1274" s="153" t="str">
        <f t="array" ref="Y1274">INDEX(xlRTTYNAME,MATCH(1,(xlRTTYENDU=2)*(xlRTTYEQCL=$F1274)*(xlRTEQTYPE=$G1274),0))</f>
        <v>CENT_AIR1</v>
      </c>
    </row>
    <row r="1275" spans="2:25" ht="14.25" customHeight="1" x14ac:dyDescent="0.2">
      <c r="B1275" s="126">
        <v>6</v>
      </c>
      <c r="C1275" s="126">
        <v>2</v>
      </c>
      <c r="D1275" s="126">
        <v>6</v>
      </c>
      <c r="E1275" s="126">
        <v>18</v>
      </c>
      <c r="F1275" s="126">
        <v>2</v>
      </c>
      <c r="G1275" s="126">
        <v>6</v>
      </c>
      <c r="H1275" s="126">
        <v>2023</v>
      </c>
      <c r="I1275" s="126">
        <v>2050</v>
      </c>
      <c r="J1275" s="127">
        <v>1.1200000000000001</v>
      </c>
      <c r="K1275" s="127">
        <v>1.03</v>
      </c>
      <c r="L1275" s="127">
        <v>0.89380000000000004</v>
      </c>
      <c r="M1275" s="127">
        <v>1.1341000000000001</v>
      </c>
      <c r="N1275" s="127">
        <v>1.3324</v>
      </c>
      <c r="O1275" s="127">
        <v>1.0538000000000001</v>
      </c>
      <c r="P1275" s="126">
        <v>2020</v>
      </c>
      <c r="Q1275" s="128">
        <f t="array" ref="Q1275">SUM(IF(($S1275&gt;=4)*($C1275='TaxCred&amp;Subs'!$D$123:$D$127)*($H1275='TaxCred&amp;Subs'!$C$123:$C$127)*($H1275&lt;='TaxCred&amp;Subs'!$C$129),'TaxCred&amp;Subs'!$E$123:$E$127,0))</f>
        <v>0</v>
      </c>
      <c r="R1275" s="174">
        <v>0</v>
      </c>
      <c r="S1275" s="126">
        <v>2</v>
      </c>
      <c r="T1275" s="126" t="s">
        <v>224</v>
      </c>
      <c r="U1275" s="158"/>
      <c r="V1275" s="153" t="str">
        <f t="array" ref="V1275">INDEX(xlRTCLNAME,MATCH(1,(xlRTCLENDU=1)*(xlRTCLEQCL=$D1275),0))</f>
        <v>LPG_FA</v>
      </c>
      <c r="W1275" s="153" t="str">
        <f t="array" ref="W1275">INDEX(xlRTCLNAME,MATCH(1,(xlRTCLENDU=2)*(xlRTCLEQCL=$F1275),0))</f>
        <v>CENT_AIR</v>
      </c>
      <c r="X1275" s="153" t="str">
        <f t="array" ref="X1275">INDEX(xlRTTYNAME,MATCH(1,(xlRTTYENDU=1)*(xlRTTYEQCL=$D1275)*(xlRTEQTYPE=$E1275),0))</f>
        <v>LPG_FA1</v>
      </c>
      <c r="Y1275" s="153" t="str">
        <f t="array" ref="Y1275">INDEX(xlRTTYNAME,MATCH(1,(xlRTTYENDU=2)*(xlRTTYEQCL=$F1275)*(xlRTEQTYPE=$G1275),0))</f>
        <v>CENT_AIR2</v>
      </c>
    </row>
    <row r="1276" spans="2:25" ht="14.25" customHeight="1" x14ac:dyDescent="0.2">
      <c r="B1276" s="126">
        <v>7</v>
      </c>
      <c r="C1276" s="126">
        <v>2</v>
      </c>
      <c r="D1276" s="126">
        <v>6</v>
      </c>
      <c r="E1276" s="126">
        <v>18</v>
      </c>
      <c r="F1276" s="126">
        <v>2</v>
      </c>
      <c r="G1276" s="126">
        <v>5</v>
      </c>
      <c r="H1276" s="126">
        <v>2016</v>
      </c>
      <c r="I1276" s="126">
        <v>2022</v>
      </c>
      <c r="J1276" s="127">
        <v>1.1200000000000001</v>
      </c>
      <c r="K1276" s="127">
        <v>1.0462</v>
      </c>
      <c r="L1276" s="127">
        <v>0.86050000000000004</v>
      </c>
      <c r="M1276" s="127">
        <v>1.1604000000000001</v>
      </c>
      <c r="N1276" s="127">
        <v>1.4438</v>
      </c>
      <c r="O1276" s="127">
        <v>1.0538000000000001</v>
      </c>
      <c r="P1276" s="126">
        <v>1342</v>
      </c>
      <c r="Q1276" s="128">
        <f t="array" ref="Q1276">SUM(IF(($S1276&gt;=4)*($C1276='TaxCred&amp;Subs'!$D$123:$D$127)*($H1276='TaxCred&amp;Subs'!$C$123:$C$127)*($H1276&lt;='TaxCred&amp;Subs'!$C$129),'TaxCred&amp;Subs'!$E$123:$E$127,0))</f>
        <v>0</v>
      </c>
      <c r="R1276" s="174">
        <v>0</v>
      </c>
      <c r="S1276" s="126">
        <v>2</v>
      </c>
      <c r="T1276" s="126" t="s">
        <v>224</v>
      </c>
      <c r="U1276" s="158"/>
      <c r="V1276" s="153" t="str">
        <f t="array" ref="V1276">INDEX(xlRTCLNAME,MATCH(1,(xlRTCLENDU=1)*(xlRTCLEQCL=$D1276),0))</f>
        <v>LPG_FA</v>
      </c>
      <c r="W1276" s="153" t="str">
        <f t="array" ref="W1276">INDEX(xlRTCLNAME,MATCH(1,(xlRTCLENDU=2)*(xlRTCLEQCL=$F1276),0))</f>
        <v>CENT_AIR</v>
      </c>
      <c r="X1276" s="153" t="str">
        <f t="array" ref="X1276">INDEX(xlRTTYNAME,MATCH(1,(xlRTTYENDU=1)*(xlRTTYEQCL=$D1276)*(xlRTEQTYPE=$E1276),0))</f>
        <v>LPG_FA1</v>
      </c>
      <c r="Y1276" s="153" t="str">
        <f t="array" ref="Y1276">INDEX(xlRTTYNAME,MATCH(1,(xlRTTYENDU=2)*(xlRTTYEQCL=$F1276)*(xlRTEQTYPE=$G1276),0))</f>
        <v>CENT_AIR1</v>
      </c>
    </row>
    <row r="1277" spans="2:25" ht="14.25" customHeight="1" x14ac:dyDescent="0.2">
      <c r="B1277" s="126">
        <v>7</v>
      </c>
      <c r="C1277" s="126">
        <v>2</v>
      </c>
      <c r="D1277" s="126">
        <v>6</v>
      </c>
      <c r="E1277" s="126">
        <v>18</v>
      </c>
      <c r="F1277" s="126">
        <v>2</v>
      </c>
      <c r="G1277" s="126">
        <v>6</v>
      </c>
      <c r="H1277" s="126">
        <v>2023</v>
      </c>
      <c r="I1277" s="126">
        <v>2050</v>
      </c>
      <c r="J1277" s="127">
        <v>1.1200000000000001</v>
      </c>
      <c r="K1277" s="127">
        <v>1.0462</v>
      </c>
      <c r="L1277" s="127">
        <v>0.86050000000000004</v>
      </c>
      <c r="M1277" s="127">
        <v>1.1604000000000001</v>
      </c>
      <c r="N1277" s="127">
        <v>1.4438</v>
      </c>
      <c r="O1277" s="127">
        <v>1.0538000000000001</v>
      </c>
      <c r="P1277" s="126">
        <v>1342</v>
      </c>
      <c r="Q1277" s="128">
        <f t="array" ref="Q1277">SUM(IF(($S1277&gt;=4)*($C1277='TaxCred&amp;Subs'!$D$123:$D$127)*($H1277='TaxCred&amp;Subs'!$C$123:$C$127)*($H1277&lt;='TaxCred&amp;Subs'!$C$129),'TaxCred&amp;Subs'!$E$123:$E$127,0))</f>
        <v>0</v>
      </c>
      <c r="R1277" s="174">
        <v>0</v>
      </c>
      <c r="S1277" s="126">
        <v>2</v>
      </c>
      <c r="T1277" s="126" t="s">
        <v>224</v>
      </c>
      <c r="U1277" s="158"/>
      <c r="V1277" s="153" t="str">
        <f t="array" ref="V1277">INDEX(xlRTCLNAME,MATCH(1,(xlRTCLENDU=1)*(xlRTCLEQCL=$D1277),0))</f>
        <v>LPG_FA</v>
      </c>
      <c r="W1277" s="153" t="str">
        <f t="array" ref="W1277">INDEX(xlRTCLNAME,MATCH(1,(xlRTCLENDU=2)*(xlRTCLEQCL=$F1277),0))</f>
        <v>CENT_AIR</v>
      </c>
      <c r="X1277" s="153" t="str">
        <f t="array" ref="X1277">INDEX(xlRTTYNAME,MATCH(1,(xlRTTYENDU=1)*(xlRTTYEQCL=$D1277)*(xlRTEQTYPE=$E1277),0))</f>
        <v>LPG_FA1</v>
      </c>
      <c r="Y1277" s="153" t="str">
        <f t="array" ref="Y1277">INDEX(xlRTTYNAME,MATCH(1,(xlRTTYENDU=2)*(xlRTTYEQCL=$F1277)*(xlRTEQTYPE=$G1277),0))</f>
        <v>CENT_AIR2</v>
      </c>
    </row>
    <row r="1278" spans="2:25" ht="14.25" customHeight="1" x14ac:dyDescent="0.2">
      <c r="B1278" s="126">
        <v>8</v>
      </c>
      <c r="C1278" s="126">
        <v>2</v>
      </c>
      <c r="D1278" s="126">
        <v>6</v>
      </c>
      <c r="E1278" s="126">
        <v>18</v>
      </c>
      <c r="F1278" s="126">
        <v>2</v>
      </c>
      <c r="G1278" s="126">
        <v>5</v>
      </c>
      <c r="H1278" s="126">
        <v>2016</v>
      </c>
      <c r="I1278" s="126">
        <v>2022</v>
      </c>
      <c r="J1278" s="127">
        <v>1.0932999999999999</v>
      </c>
      <c r="K1278" s="127">
        <v>1.0323</v>
      </c>
      <c r="L1278" s="127">
        <v>1.0390999999999999</v>
      </c>
      <c r="M1278" s="127">
        <v>1.2739</v>
      </c>
      <c r="N1278" s="127">
        <v>1.2847999999999999</v>
      </c>
      <c r="O1278" s="127">
        <v>1.0538000000000001</v>
      </c>
      <c r="P1278" s="126">
        <v>2341</v>
      </c>
      <c r="Q1278" s="128">
        <f t="array" ref="Q1278">SUM(IF(($S1278&gt;=4)*($C1278='TaxCred&amp;Subs'!$D$123:$D$127)*($H1278='TaxCred&amp;Subs'!$C$123:$C$127)*($H1278&lt;='TaxCred&amp;Subs'!$C$129),'TaxCred&amp;Subs'!$E$123:$E$127,0))</f>
        <v>0</v>
      </c>
      <c r="R1278" s="174">
        <v>0</v>
      </c>
      <c r="S1278" s="126">
        <v>2</v>
      </c>
      <c r="T1278" s="126" t="s">
        <v>224</v>
      </c>
      <c r="U1278" s="158"/>
      <c r="V1278" s="153" t="str">
        <f t="array" ref="V1278">INDEX(xlRTCLNAME,MATCH(1,(xlRTCLENDU=1)*(xlRTCLEQCL=$D1278),0))</f>
        <v>LPG_FA</v>
      </c>
      <c r="W1278" s="153" t="str">
        <f t="array" ref="W1278">INDEX(xlRTCLNAME,MATCH(1,(xlRTCLENDU=2)*(xlRTCLEQCL=$F1278),0))</f>
        <v>CENT_AIR</v>
      </c>
      <c r="X1278" s="153" t="str">
        <f t="array" ref="X1278">INDEX(xlRTTYNAME,MATCH(1,(xlRTTYENDU=1)*(xlRTTYEQCL=$D1278)*(xlRTEQTYPE=$E1278),0))</f>
        <v>LPG_FA1</v>
      </c>
      <c r="Y1278" s="153" t="str">
        <f t="array" ref="Y1278">INDEX(xlRTTYNAME,MATCH(1,(xlRTTYENDU=2)*(xlRTTYEQCL=$F1278)*(xlRTEQTYPE=$G1278),0))</f>
        <v>CENT_AIR1</v>
      </c>
    </row>
    <row r="1279" spans="2:25" ht="14.25" customHeight="1" x14ac:dyDescent="0.2">
      <c r="B1279" s="126">
        <v>8</v>
      </c>
      <c r="C1279" s="126">
        <v>2</v>
      </c>
      <c r="D1279" s="126">
        <v>6</v>
      </c>
      <c r="E1279" s="126">
        <v>18</v>
      </c>
      <c r="F1279" s="126">
        <v>2</v>
      </c>
      <c r="G1279" s="126">
        <v>6</v>
      </c>
      <c r="H1279" s="126">
        <v>2023</v>
      </c>
      <c r="I1279" s="126">
        <v>2050</v>
      </c>
      <c r="J1279" s="127">
        <v>1.0932999999999999</v>
      </c>
      <c r="K1279" s="127">
        <v>1.0323</v>
      </c>
      <c r="L1279" s="127">
        <v>1.0390999999999999</v>
      </c>
      <c r="M1279" s="127">
        <v>1.2739</v>
      </c>
      <c r="N1279" s="127">
        <v>1.2847999999999999</v>
      </c>
      <c r="O1279" s="127">
        <v>1.0538000000000001</v>
      </c>
      <c r="P1279" s="126">
        <v>2341</v>
      </c>
      <c r="Q1279" s="128">
        <f t="array" ref="Q1279">SUM(IF(($S1279&gt;=4)*($C1279='TaxCred&amp;Subs'!$D$123:$D$127)*($H1279='TaxCred&amp;Subs'!$C$123:$C$127)*($H1279&lt;='TaxCred&amp;Subs'!$C$129),'TaxCred&amp;Subs'!$E$123:$E$127,0))</f>
        <v>0</v>
      </c>
      <c r="R1279" s="174">
        <v>0</v>
      </c>
      <c r="S1279" s="126">
        <v>2</v>
      </c>
      <c r="T1279" s="126" t="s">
        <v>224</v>
      </c>
      <c r="U1279" s="158"/>
      <c r="V1279" s="153" t="str">
        <f t="array" ref="V1279">INDEX(xlRTCLNAME,MATCH(1,(xlRTCLENDU=1)*(xlRTCLEQCL=$D1279),0))</f>
        <v>LPG_FA</v>
      </c>
      <c r="W1279" s="153" t="str">
        <f t="array" ref="W1279">INDEX(xlRTCLNAME,MATCH(1,(xlRTCLENDU=2)*(xlRTCLEQCL=$F1279),0))</f>
        <v>CENT_AIR</v>
      </c>
      <c r="X1279" s="153" t="str">
        <f t="array" ref="X1279">INDEX(xlRTTYNAME,MATCH(1,(xlRTTYENDU=1)*(xlRTTYEQCL=$D1279)*(xlRTEQTYPE=$E1279),0))</f>
        <v>LPG_FA1</v>
      </c>
      <c r="Y1279" s="153" t="str">
        <f t="array" ref="Y1279">INDEX(xlRTTYNAME,MATCH(1,(xlRTTYENDU=2)*(xlRTTYEQCL=$F1279)*(xlRTEQTYPE=$G1279),0))</f>
        <v>CENT_AIR2</v>
      </c>
    </row>
    <row r="1280" spans="2:25" ht="14.25" customHeight="1" x14ac:dyDescent="0.2">
      <c r="B1280" s="126">
        <v>9</v>
      </c>
      <c r="C1280" s="126">
        <v>2</v>
      </c>
      <c r="D1280" s="126">
        <v>6</v>
      </c>
      <c r="E1280" s="126">
        <v>18</v>
      </c>
      <c r="F1280" s="126">
        <v>2</v>
      </c>
      <c r="G1280" s="126">
        <v>5</v>
      </c>
      <c r="H1280" s="126">
        <v>2016</v>
      </c>
      <c r="I1280" s="126">
        <v>2022</v>
      </c>
      <c r="J1280" s="127">
        <v>1.07</v>
      </c>
      <c r="K1280" s="127">
        <v>1.0541</v>
      </c>
      <c r="L1280" s="127">
        <v>0.88129999999999997</v>
      </c>
      <c r="M1280" s="127">
        <v>1.2166999999999999</v>
      </c>
      <c r="N1280" s="127">
        <v>1.4438</v>
      </c>
      <c r="O1280" s="127">
        <v>1.0538000000000001</v>
      </c>
      <c r="P1280" s="126">
        <v>1907</v>
      </c>
      <c r="Q1280" s="128">
        <f t="array" ref="Q1280">SUM(IF(($S1280&gt;=4)*($C1280='TaxCred&amp;Subs'!$D$123:$D$127)*($H1280='TaxCred&amp;Subs'!$C$123:$C$127)*($H1280&lt;='TaxCred&amp;Subs'!$C$129),'TaxCred&amp;Subs'!$E$123:$E$127,0))</f>
        <v>0</v>
      </c>
      <c r="R1280" s="174">
        <v>0</v>
      </c>
      <c r="S1280" s="126">
        <v>2</v>
      </c>
      <c r="T1280" s="126" t="s">
        <v>224</v>
      </c>
      <c r="U1280" s="158"/>
      <c r="V1280" s="153" t="str">
        <f t="array" ref="V1280">INDEX(xlRTCLNAME,MATCH(1,(xlRTCLENDU=1)*(xlRTCLEQCL=$D1280),0))</f>
        <v>LPG_FA</v>
      </c>
      <c r="W1280" s="153" t="str">
        <f t="array" ref="W1280">INDEX(xlRTCLNAME,MATCH(1,(xlRTCLENDU=2)*(xlRTCLEQCL=$F1280),0))</f>
        <v>CENT_AIR</v>
      </c>
      <c r="X1280" s="153" t="str">
        <f t="array" ref="X1280">INDEX(xlRTTYNAME,MATCH(1,(xlRTTYENDU=1)*(xlRTTYEQCL=$D1280)*(xlRTEQTYPE=$E1280),0))</f>
        <v>LPG_FA1</v>
      </c>
      <c r="Y1280" s="153" t="str">
        <f t="array" ref="Y1280">INDEX(xlRTTYNAME,MATCH(1,(xlRTTYENDU=2)*(xlRTTYEQCL=$F1280)*(xlRTEQTYPE=$G1280),0))</f>
        <v>CENT_AIR1</v>
      </c>
    </row>
    <row r="1281" spans="2:25" ht="14.25" customHeight="1" x14ac:dyDescent="0.2">
      <c r="B1281" s="126">
        <v>9</v>
      </c>
      <c r="C1281" s="126">
        <v>2</v>
      </c>
      <c r="D1281" s="126">
        <v>6</v>
      </c>
      <c r="E1281" s="126">
        <v>18</v>
      </c>
      <c r="F1281" s="126">
        <v>2</v>
      </c>
      <c r="G1281" s="126">
        <v>6</v>
      </c>
      <c r="H1281" s="126">
        <v>2023</v>
      </c>
      <c r="I1281" s="126">
        <v>2050</v>
      </c>
      <c r="J1281" s="127">
        <v>1.07</v>
      </c>
      <c r="K1281" s="127">
        <v>1.0541</v>
      </c>
      <c r="L1281" s="127">
        <v>0.88129999999999997</v>
      </c>
      <c r="M1281" s="127">
        <v>1.2166999999999999</v>
      </c>
      <c r="N1281" s="127">
        <v>1.4438</v>
      </c>
      <c r="O1281" s="127">
        <v>1.0538000000000001</v>
      </c>
      <c r="P1281" s="126">
        <v>1907</v>
      </c>
      <c r="Q1281" s="128">
        <f t="array" ref="Q1281">SUM(IF(($S1281&gt;=4)*($C1281='TaxCred&amp;Subs'!$D$123:$D$127)*($H1281='TaxCred&amp;Subs'!$C$123:$C$127)*($H1281&lt;='TaxCred&amp;Subs'!$C$129),'TaxCred&amp;Subs'!$E$123:$E$127,0))</f>
        <v>0</v>
      </c>
      <c r="R1281" s="174">
        <v>0</v>
      </c>
      <c r="S1281" s="126">
        <v>2</v>
      </c>
      <c r="T1281" s="126" t="s">
        <v>224</v>
      </c>
      <c r="U1281" s="158"/>
      <c r="V1281" s="153" t="str">
        <f t="array" ref="V1281">INDEX(xlRTCLNAME,MATCH(1,(xlRTCLENDU=1)*(xlRTCLEQCL=$D1281),0))</f>
        <v>LPG_FA</v>
      </c>
      <c r="W1281" s="153" t="str">
        <f t="array" ref="W1281">INDEX(xlRTCLNAME,MATCH(1,(xlRTCLENDU=2)*(xlRTCLEQCL=$F1281),0))</f>
        <v>CENT_AIR</v>
      </c>
      <c r="X1281" s="153" t="str">
        <f t="array" ref="X1281">INDEX(xlRTTYNAME,MATCH(1,(xlRTTYENDU=1)*(xlRTTYEQCL=$D1281)*(xlRTEQTYPE=$E1281),0))</f>
        <v>LPG_FA1</v>
      </c>
      <c r="Y1281" s="153" t="str">
        <f t="array" ref="Y1281">INDEX(xlRTTYNAME,MATCH(1,(xlRTTYENDU=2)*(xlRTTYEQCL=$F1281)*(xlRTEQTYPE=$G1281),0))</f>
        <v>CENT_AIR2</v>
      </c>
    </row>
    <row r="1282" spans="2:25" ht="14.25" customHeight="1" x14ac:dyDescent="0.2">
      <c r="B1282" s="126">
        <v>1</v>
      </c>
      <c r="C1282" s="126">
        <v>2</v>
      </c>
      <c r="D1282" s="126">
        <v>7</v>
      </c>
      <c r="E1282" s="126">
        <v>22</v>
      </c>
      <c r="F1282" s="126">
        <v>2</v>
      </c>
      <c r="G1282" s="126">
        <v>5</v>
      </c>
      <c r="H1282" s="126">
        <v>2016</v>
      </c>
      <c r="I1282" s="126">
        <v>2022</v>
      </c>
      <c r="J1282" s="127">
        <v>1.0956999999999999</v>
      </c>
      <c r="K1282" s="127">
        <v>1.0417000000000001</v>
      </c>
      <c r="L1282" s="127">
        <v>0.80820000000000003</v>
      </c>
      <c r="M1282" s="127">
        <v>1.1455</v>
      </c>
      <c r="N1282" s="127">
        <v>1.1153</v>
      </c>
      <c r="O1282" s="127">
        <v>1.0538000000000001</v>
      </c>
      <c r="P1282" s="126">
        <v>3042</v>
      </c>
      <c r="Q1282" s="128">
        <f t="array" ref="Q1282">SUM(IF(($S1282&gt;=4)*($C1282='TaxCred&amp;Subs'!$D$123:$D$127)*($H1282='TaxCred&amp;Subs'!$C$123:$C$127)*($H1282&lt;='TaxCred&amp;Subs'!$C$129),'TaxCred&amp;Subs'!$E$123:$E$127,0))</f>
        <v>0</v>
      </c>
      <c r="R1282" s="174">
        <v>0</v>
      </c>
      <c r="S1282" s="126">
        <v>2</v>
      </c>
      <c r="T1282" s="126" t="s">
        <v>224</v>
      </c>
      <c r="U1282" s="158"/>
      <c r="V1282" s="153" t="str">
        <f t="array" ref="V1282">INDEX(xlRTCLNAME,MATCH(1,(xlRTCLENDU=1)*(xlRTCLEQCL=$D1282),0))</f>
        <v>DIST_FA</v>
      </c>
      <c r="W1282" s="153" t="str">
        <f t="array" ref="W1282">INDEX(xlRTCLNAME,MATCH(1,(xlRTCLENDU=2)*(xlRTCLEQCL=$F1282),0))</f>
        <v>CENT_AIR</v>
      </c>
      <c r="X1282" s="153" t="str">
        <f t="array" ref="X1282">INDEX(xlRTTYNAME,MATCH(1,(xlRTTYENDU=1)*(xlRTTYEQCL=$D1282)*(xlRTEQTYPE=$E1282),0))</f>
        <v>DIST_FA1</v>
      </c>
      <c r="Y1282" s="153" t="str">
        <f t="array" ref="Y1282">INDEX(xlRTTYNAME,MATCH(1,(xlRTTYENDU=2)*(xlRTTYEQCL=$F1282)*(xlRTEQTYPE=$G1282),0))</f>
        <v>CENT_AIR1</v>
      </c>
    </row>
    <row r="1283" spans="2:25" ht="14.25" customHeight="1" x14ac:dyDescent="0.2">
      <c r="B1283" s="126">
        <v>1</v>
      </c>
      <c r="C1283" s="126">
        <v>2</v>
      </c>
      <c r="D1283" s="126">
        <v>7</v>
      </c>
      <c r="E1283" s="126">
        <v>22</v>
      </c>
      <c r="F1283" s="126">
        <v>2</v>
      </c>
      <c r="G1283" s="126">
        <v>6</v>
      </c>
      <c r="H1283" s="126">
        <v>2023</v>
      </c>
      <c r="I1283" s="126">
        <v>2050</v>
      </c>
      <c r="J1283" s="127">
        <v>1.0956999999999999</v>
      </c>
      <c r="K1283" s="127">
        <v>1.0417000000000001</v>
      </c>
      <c r="L1283" s="127">
        <v>0.80820000000000003</v>
      </c>
      <c r="M1283" s="127">
        <v>1.1455</v>
      </c>
      <c r="N1283" s="127">
        <v>1.1153</v>
      </c>
      <c r="O1283" s="127">
        <v>1.0538000000000001</v>
      </c>
      <c r="P1283" s="126">
        <v>3042</v>
      </c>
      <c r="Q1283" s="128">
        <f t="array" ref="Q1283">SUM(IF(($S1283&gt;=4)*($C1283='TaxCred&amp;Subs'!$D$123:$D$127)*($H1283='TaxCred&amp;Subs'!$C$123:$C$127)*($H1283&lt;='TaxCred&amp;Subs'!$C$129),'TaxCred&amp;Subs'!$E$123:$E$127,0))</f>
        <v>0</v>
      </c>
      <c r="R1283" s="174">
        <v>0</v>
      </c>
      <c r="S1283" s="126">
        <v>2</v>
      </c>
      <c r="T1283" s="126" t="s">
        <v>224</v>
      </c>
      <c r="U1283" s="158"/>
      <c r="V1283" s="153" t="str">
        <f t="array" ref="V1283">INDEX(xlRTCLNAME,MATCH(1,(xlRTCLENDU=1)*(xlRTCLEQCL=$D1283),0))</f>
        <v>DIST_FA</v>
      </c>
      <c r="W1283" s="153" t="str">
        <f t="array" ref="W1283">INDEX(xlRTCLNAME,MATCH(1,(xlRTCLENDU=2)*(xlRTCLEQCL=$F1283),0))</f>
        <v>CENT_AIR</v>
      </c>
      <c r="X1283" s="153" t="str">
        <f t="array" ref="X1283">INDEX(xlRTTYNAME,MATCH(1,(xlRTTYENDU=1)*(xlRTTYEQCL=$D1283)*(xlRTEQTYPE=$E1283),0))</f>
        <v>DIST_FA1</v>
      </c>
      <c r="Y1283" s="153" t="str">
        <f t="array" ref="Y1283">INDEX(xlRTTYNAME,MATCH(1,(xlRTTYENDU=2)*(xlRTTYEQCL=$F1283)*(xlRTEQTYPE=$G1283),0))</f>
        <v>CENT_AIR2</v>
      </c>
    </row>
    <row r="1284" spans="2:25" ht="14.25" customHeight="1" x14ac:dyDescent="0.2">
      <c r="B1284" s="126">
        <v>2</v>
      </c>
      <c r="C1284" s="126">
        <v>2</v>
      </c>
      <c r="D1284" s="126">
        <v>7</v>
      </c>
      <c r="E1284" s="126">
        <v>22</v>
      </c>
      <c r="F1284" s="126">
        <v>2</v>
      </c>
      <c r="G1284" s="126">
        <v>5</v>
      </c>
      <c r="H1284" s="126">
        <v>2016</v>
      </c>
      <c r="I1284" s="126">
        <v>2022</v>
      </c>
      <c r="J1284" s="127">
        <v>1.1059000000000001</v>
      </c>
      <c r="K1284" s="127">
        <v>1.0357000000000001</v>
      </c>
      <c r="L1284" s="127">
        <v>0.87309999999999999</v>
      </c>
      <c r="M1284" s="127">
        <v>1.1834</v>
      </c>
      <c r="N1284" s="127">
        <v>1.1176999999999999</v>
      </c>
      <c r="O1284" s="127">
        <v>1.0538000000000001</v>
      </c>
      <c r="P1284" s="126">
        <v>2229</v>
      </c>
      <c r="Q1284" s="128">
        <f t="array" ref="Q1284">SUM(IF(($S1284&gt;=4)*($C1284='TaxCred&amp;Subs'!$D$123:$D$127)*($H1284='TaxCred&amp;Subs'!$C$123:$C$127)*($H1284&lt;='TaxCred&amp;Subs'!$C$129),'TaxCred&amp;Subs'!$E$123:$E$127,0))</f>
        <v>0</v>
      </c>
      <c r="R1284" s="174">
        <v>0</v>
      </c>
      <c r="S1284" s="126">
        <v>2</v>
      </c>
      <c r="T1284" s="126" t="s">
        <v>224</v>
      </c>
      <c r="U1284" s="158"/>
      <c r="V1284" s="153" t="str">
        <f t="array" ref="V1284">INDEX(xlRTCLNAME,MATCH(1,(xlRTCLENDU=1)*(xlRTCLEQCL=$D1284),0))</f>
        <v>DIST_FA</v>
      </c>
      <c r="W1284" s="153" t="str">
        <f t="array" ref="W1284">INDEX(xlRTCLNAME,MATCH(1,(xlRTCLENDU=2)*(xlRTCLEQCL=$F1284),0))</f>
        <v>CENT_AIR</v>
      </c>
      <c r="X1284" s="153" t="str">
        <f t="array" ref="X1284">INDEX(xlRTTYNAME,MATCH(1,(xlRTTYENDU=1)*(xlRTTYEQCL=$D1284)*(xlRTEQTYPE=$E1284),0))</f>
        <v>DIST_FA1</v>
      </c>
      <c r="Y1284" s="153" t="str">
        <f t="array" ref="Y1284">INDEX(xlRTTYNAME,MATCH(1,(xlRTTYENDU=2)*(xlRTTYEQCL=$F1284)*(xlRTEQTYPE=$G1284),0))</f>
        <v>CENT_AIR1</v>
      </c>
    </row>
    <row r="1285" spans="2:25" ht="14.25" customHeight="1" x14ac:dyDescent="0.2">
      <c r="B1285" s="126">
        <v>2</v>
      </c>
      <c r="C1285" s="126">
        <v>2</v>
      </c>
      <c r="D1285" s="126">
        <v>7</v>
      </c>
      <c r="E1285" s="126">
        <v>22</v>
      </c>
      <c r="F1285" s="126">
        <v>2</v>
      </c>
      <c r="G1285" s="126">
        <v>6</v>
      </c>
      <c r="H1285" s="126">
        <v>2023</v>
      </c>
      <c r="I1285" s="126">
        <v>2050</v>
      </c>
      <c r="J1285" s="127">
        <v>1.1059000000000001</v>
      </c>
      <c r="K1285" s="127">
        <v>1.0357000000000001</v>
      </c>
      <c r="L1285" s="127">
        <v>0.87309999999999999</v>
      </c>
      <c r="M1285" s="127">
        <v>1.1834</v>
      </c>
      <c r="N1285" s="127">
        <v>1.1176999999999999</v>
      </c>
      <c r="O1285" s="127">
        <v>1.0538000000000001</v>
      </c>
      <c r="P1285" s="126">
        <v>2229</v>
      </c>
      <c r="Q1285" s="128">
        <f t="array" ref="Q1285">SUM(IF(($S1285&gt;=4)*($C1285='TaxCred&amp;Subs'!$D$123:$D$127)*($H1285='TaxCred&amp;Subs'!$C$123:$C$127)*($H1285&lt;='TaxCred&amp;Subs'!$C$129),'TaxCred&amp;Subs'!$E$123:$E$127,0))</f>
        <v>0</v>
      </c>
      <c r="R1285" s="174">
        <v>0</v>
      </c>
      <c r="S1285" s="126">
        <v>2</v>
      </c>
      <c r="T1285" s="126" t="s">
        <v>224</v>
      </c>
      <c r="U1285" s="158"/>
      <c r="V1285" s="153" t="str">
        <f t="array" ref="V1285">INDEX(xlRTCLNAME,MATCH(1,(xlRTCLENDU=1)*(xlRTCLEQCL=$D1285),0))</f>
        <v>DIST_FA</v>
      </c>
      <c r="W1285" s="153" t="str">
        <f t="array" ref="W1285">INDEX(xlRTCLNAME,MATCH(1,(xlRTCLENDU=2)*(xlRTCLEQCL=$F1285),0))</f>
        <v>CENT_AIR</v>
      </c>
      <c r="X1285" s="153" t="str">
        <f t="array" ref="X1285">INDEX(xlRTTYNAME,MATCH(1,(xlRTTYENDU=1)*(xlRTTYEQCL=$D1285)*(xlRTEQTYPE=$E1285),0))</f>
        <v>DIST_FA1</v>
      </c>
      <c r="Y1285" s="153" t="str">
        <f t="array" ref="Y1285">INDEX(xlRTTYNAME,MATCH(1,(xlRTTYENDU=2)*(xlRTTYEQCL=$F1285)*(xlRTEQTYPE=$G1285),0))</f>
        <v>CENT_AIR2</v>
      </c>
    </row>
    <row r="1286" spans="2:25" ht="14.25" customHeight="1" x14ac:dyDescent="0.2">
      <c r="B1286" s="126">
        <v>3</v>
      </c>
      <c r="C1286" s="126">
        <v>2</v>
      </c>
      <c r="D1286" s="126">
        <v>7</v>
      </c>
      <c r="E1286" s="126">
        <v>22</v>
      </c>
      <c r="F1286" s="126">
        <v>2</v>
      </c>
      <c r="G1286" s="126">
        <v>5</v>
      </c>
      <c r="H1286" s="126">
        <v>2016</v>
      </c>
      <c r="I1286" s="126">
        <v>2022</v>
      </c>
      <c r="J1286" s="127">
        <v>1.099</v>
      </c>
      <c r="K1286" s="127">
        <v>1.03</v>
      </c>
      <c r="L1286" s="127">
        <v>0.79210000000000003</v>
      </c>
      <c r="M1286" s="127">
        <v>1.0828</v>
      </c>
      <c r="N1286" s="127">
        <v>1.0381</v>
      </c>
      <c r="O1286" s="127">
        <v>1.0538000000000001</v>
      </c>
      <c r="P1286" s="126">
        <v>2564</v>
      </c>
      <c r="Q1286" s="128">
        <f t="array" ref="Q1286">SUM(IF(($S1286&gt;=4)*($C1286='TaxCred&amp;Subs'!$D$123:$D$127)*($H1286='TaxCred&amp;Subs'!$C$123:$C$127)*($H1286&lt;='TaxCred&amp;Subs'!$C$129),'TaxCred&amp;Subs'!$E$123:$E$127,0))</f>
        <v>0</v>
      </c>
      <c r="R1286" s="174">
        <v>0</v>
      </c>
      <c r="S1286" s="126">
        <v>2</v>
      </c>
      <c r="T1286" s="126" t="s">
        <v>224</v>
      </c>
      <c r="U1286" s="158"/>
      <c r="V1286" s="153" t="str">
        <f t="array" ref="V1286">INDEX(xlRTCLNAME,MATCH(1,(xlRTCLENDU=1)*(xlRTCLEQCL=$D1286),0))</f>
        <v>DIST_FA</v>
      </c>
      <c r="W1286" s="153" t="str">
        <f t="array" ref="W1286">INDEX(xlRTCLNAME,MATCH(1,(xlRTCLENDU=2)*(xlRTCLEQCL=$F1286),0))</f>
        <v>CENT_AIR</v>
      </c>
      <c r="X1286" s="153" t="str">
        <f t="array" ref="X1286">INDEX(xlRTTYNAME,MATCH(1,(xlRTTYENDU=1)*(xlRTTYEQCL=$D1286)*(xlRTEQTYPE=$E1286),0))</f>
        <v>DIST_FA1</v>
      </c>
      <c r="Y1286" s="153" t="str">
        <f t="array" ref="Y1286">INDEX(xlRTTYNAME,MATCH(1,(xlRTTYENDU=2)*(xlRTTYEQCL=$F1286)*(xlRTEQTYPE=$G1286),0))</f>
        <v>CENT_AIR1</v>
      </c>
    </row>
    <row r="1287" spans="2:25" ht="14.25" customHeight="1" x14ac:dyDescent="0.2">
      <c r="B1287" s="126">
        <v>3</v>
      </c>
      <c r="C1287" s="126">
        <v>2</v>
      </c>
      <c r="D1287" s="126">
        <v>7</v>
      </c>
      <c r="E1287" s="126">
        <v>22</v>
      </c>
      <c r="F1287" s="126">
        <v>2</v>
      </c>
      <c r="G1287" s="126">
        <v>6</v>
      </c>
      <c r="H1287" s="126">
        <v>2023</v>
      </c>
      <c r="I1287" s="126">
        <v>2050</v>
      </c>
      <c r="J1287" s="127">
        <v>1.099</v>
      </c>
      <c r="K1287" s="127">
        <v>1.03</v>
      </c>
      <c r="L1287" s="127">
        <v>0.79210000000000003</v>
      </c>
      <c r="M1287" s="127">
        <v>1.0828</v>
      </c>
      <c r="N1287" s="127">
        <v>1.0381</v>
      </c>
      <c r="O1287" s="127">
        <v>1.0538000000000001</v>
      </c>
      <c r="P1287" s="126">
        <v>2564</v>
      </c>
      <c r="Q1287" s="128">
        <f t="array" ref="Q1287">SUM(IF(($S1287&gt;=4)*($C1287='TaxCred&amp;Subs'!$D$123:$D$127)*($H1287='TaxCred&amp;Subs'!$C$123:$C$127)*($H1287&lt;='TaxCred&amp;Subs'!$C$129),'TaxCred&amp;Subs'!$E$123:$E$127,0))</f>
        <v>0</v>
      </c>
      <c r="R1287" s="174">
        <v>0</v>
      </c>
      <c r="S1287" s="126">
        <v>2</v>
      </c>
      <c r="T1287" s="126" t="s">
        <v>224</v>
      </c>
      <c r="U1287" s="158"/>
      <c r="V1287" s="153" t="str">
        <f t="array" ref="V1287">INDEX(xlRTCLNAME,MATCH(1,(xlRTCLENDU=1)*(xlRTCLEQCL=$D1287),0))</f>
        <v>DIST_FA</v>
      </c>
      <c r="W1287" s="153" t="str">
        <f t="array" ref="W1287">INDEX(xlRTCLNAME,MATCH(1,(xlRTCLENDU=2)*(xlRTCLEQCL=$F1287),0))</f>
        <v>CENT_AIR</v>
      </c>
      <c r="X1287" s="153" t="str">
        <f t="array" ref="X1287">INDEX(xlRTTYNAME,MATCH(1,(xlRTTYENDU=1)*(xlRTTYEQCL=$D1287)*(xlRTEQTYPE=$E1287),0))</f>
        <v>DIST_FA1</v>
      </c>
      <c r="Y1287" s="153" t="str">
        <f t="array" ref="Y1287">INDEX(xlRTTYNAME,MATCH(1,(xlRTTYENDU=2)*(xlRTTYEQCL=$F1287)*(xlRTEQTYPE=$G1287),0))</f>
        <v>CENT_AIR2</v>
      </c>
    </row>
    <row r="1288" spans="2:25" ht="14.25" customHeight="1" x14ac:dyDescent="0.2">
      <c r="B1288" s="126">
        <v>4</v>
      </c>
      <c r="C1288" s="126">
        <v>2</v>
      </c>
      <c r="D1288" s="126">
        <v>7</v>
      </c>
      <c r="E1288" s="126">
        <v>22</v>
      </c>
      <c r="F1288" s="126">
        <v>2</v>
      </c>
      <c r="G1288" s="126">
        <v>5</v>
      </c>
      <c r="H1288" s="126">
        <v>2016</v>
      </c>
      <c r="I1288" s="126">
        <v>2022</v>
      </c>
      <c r="J1288" s="127">
        <v>1.0934999999999999</v>
      </c>
      <c r="K1288" s="127">
        <v>1.0435000000000001</v>
      </c>
      <c r="L1288" s="127">
        <v>0.86509999999999998</v>
      </c>
      <c r="M1288" s="127">
        <v>1.175</v>
      </c>
      <c r="N1288" s="127">
        <v>1.1696</v>
      </c>
      <c r="O1288" s="127">
        <v>1.0538000000000001</v>
      </c>
      <c r="P1288" s="126">
        <v>2241</v>
      </c>
      <c r="Q1288" s="128">
        <f t="array" ref="Q1288">SUM(IF(($S1288&gt;=4)*($C1288='TaxCred&amp;Subs'!$D$123:$D$127)*($H1288='TaxCred&amp;Subs'!$C$123:$C$127)*($H1288&lt;='TaxCred&amp;Subs'!$C$129),'TaxCred&amp;Subs'!$E$123:$E$127,0))</f>
        <v>0</v>
      </c>
      <c r="R1288" s="174">
        <v>0</v>
      </c>
      <c r="S1288" s="126">
        <v>2</v>
      </c>
      <c r="T1288" s="126" t="s">
        <v>224</v>
      </c>
      <c r="U1288" s="158"/>
      <c r="V1288" s="153" t="str">
        <f t="array" ref="V1288">INDEX(xlRTCLNAME,MATCH(1,(xlRTCLENDU=1)*(xlRTCLEQCL=$D1288),0))</f>
        <v>DIST_FA</v>
      </c>
      <c r="W1288" s="153" t="str">
        <f t="array" ref="W1288">INDEX(xlRTCLNAME,MATCH(1,(xlRTCLENDU=2)*(xlRTCLEQCL=$F1288),0))</f>
        <v>CENT_AIR</v>
      </c>
      <c r="X1288" s="153" t="str">
        <f t="array" ref="X1288">INDEX(xlRTTYNAME,MATCH(1,(xlRTTYENDU=1)*(xlRTTYEQCL=$D1288)*(xlRTEQTYPE=$E1288),0))</f>
        <v>DIST_FA1</v>
      </c>
      <c r="Y1288" s="153" t="str">
        <f t="array" ref="Y1288">INDEX(xlRTTYNAME,MATCH(1,(xlRTTYENDU=2)*(xlRTTYEQCL=$F1288)*(xlRTEQTYPE=$G1288),0))</f>
        <v>CENT_AIR1</v>
      </c>
    </row>
    <row r="1289" spans="2:25" ht="14.25" customHeight="1" x14ac:dyDescent="0.2">
      <c r="B1289" s="126">
        <v>4</v>
      </c>
      <c r="C1289" s="126">
        <v>2</v>
      </c>
      <c r="D1289" s="126">
        <v>7</v>
      </c>
      <c r="E1289" s="126">
        <v>22</v>
      </c>
      <c r="F1289" s="126">
        <v>2</v>
      </c>
      <c r="G1289" s="126">
        <v>6</v>
      </c>
      <c r="H1289" s="126">
        <v>2023</v>
      </c>
      <c r="I1289" s="126">
        <v>2050</v>
      </c>
      <c r="J1289" s="127">
        <v>1.0934999999999999</v>
      </c>
      <c r="K1289" s="127">
        <v>1.0435000000000001</v>
      </c>
      <c r="L1289" s="127">
        <v>0.86509999999999998</v>
      </c>
      <c r="M1289" s="127">
        <v>1.175</v>
      </c>
      <c r="N1289" s="127">
        <v>1.1696</v>
      </c>
      <c r="O1289" s="127">
        <v>1.0538000000000001</v>
      </c>
      <c r="P1289" s="126">
        <v>2241</v>
      </c>
      <c r="Q1289" s="128">
        <f t="array" ref="Q1289">SUM(IF(($S1289&gt;=4)*($C1289='TaxCred&amp;Subs'!$D$123:$D$127)*($H1289='TaxCred&amp;Subs'!$C$123:$C$127)*($H1289&lt;='TaxCred&amp;Subs'!$C$129),'TaxCred&amp;Subs'!$E$123:$E$127,0))</f>
        <v>0</v>
      </c>
      <c r="R1289" s="174">
        <v>0</v>
      </c>
      <c r="S1289" s="126">
        <v>2</v>
      </c>
      <c r="T1289" s="126" t="s">
        <v>224</v>
      </c>
      <c r="U1289" s="158"/>
      <c r="V1289" s="153" t="str">
        <f t="array" ref="V1289">INDEX(xlRTCLNAME,MATCH(1,(xlRTCLENDU=1)*(xlRTCLEQCL=$D1289),0))</f>
        <v>DIST_FA</v>
      </c>
      <c r="W1289" s="153" t="str">
        <f t="array" ref="W1289">INDEX(xlRTCLNAME,MATCH(1,(xlRTCLENDU=2)*(xlRTCLEQCL=$F1289),0))</f>
        <v>CENT_AIR</v>
      </c>
      <c r="X1289" s="153" t="str">
        <f t="array" ref="X1289">INDEX(xlRTTYNAME,MATCH(1,(xlRTTYENDU=1)*(xlRTTYEQCL=$D1289)*(xlRTEQTYPE=$E1289),0))</f>
        <v>DIST_FA1</v>
      </c>
      <c r="Y1289" s="153" t="str">
        <f t="array" ref="Y1289">INDEX(xlRTTYNAME,MATCH(1,(xlRTTYENDU=2)*(xlRTTYEQCL=$F1289)*(xlRTEQTYPE=$G1289),0))</f>
        <v>CENT_AIR2</v>
      </c>
    </row>
    <row r="1290" spans="2:25" ht="14.25" customHeight="1" x14ac:dyDescent="0.2">
      <c r="B1290" s="126">
        <v>5</v>
      </c>
      <c r="C1290" s="126">
        <v>2</v>
      </c>
      <c r="D1290" s="126">
        <v>7</v>
      </c>
      <c r="E1290" s="126">
        <v>22</v>
      </c>
      <c r="F1290" s="126">
        <v>2</v>
      </c>
      <c r="G1290" s="126">
        <v>5</v>
      </c>
      <c r="H1290" s="126">
        <v>2016</v>
      </c>
      <c r="I1290" s="126">
        <v>2022</v>
      </c>
      <c r="J1290" s="127">
        <v>1.1200000000000001</v>
      </c>
      <c r="K1290" s="127">
        <v>1.0391999999999999</v>
      </c>
      <c r="L1290" s="127">
        <v>0.56879999999999997</v>
      </c>
      <c r="M1290" s="127">
        <v>1.1000000000000001</v>
      </c>
      <c r="N1290" s="127">
        <v>1.2595000000000001</v>
      </c>
      <c r="O1290" s="127">
        <v>1.0538000000000001</v>
      </c>
      <c r="P1290" s="126">
        <v>1991</v>
      </c>
      <c r="Q1290" s="128">
        <f t="array" ref="Q1290">SUM(IF(($S1290&gt;=4)*($C1290='TaxCred&amp;Subs'!$D$123:$D$127)*($H1290='TaxCred&amp;Subs'!$C$123:$C$127)*($H1290&lt;='TaxCred&amp;Subs'!$C$129),'TaxCred&amp;Subs'!$E$123:$E$127,0))</f>
        <v>0</v>
      </c>
      <c r="R1290" s="174">
        <v>0</v>
      </c>
      <c r="S1290" s="126">
        <v>2</v>
      </c>
      <c r="T1290" s="126" t="s">
        <v>224</v>
      </c>
      <c r="U1290" s="158"/>
      <c r="V1290" s="153" t="str">
        <f t="array" ref="V1290">INDEX(xlRTCLNAME,MATCH(1,(xlRTCLENDU=1)*(xlRTCLEQCL=$D1290),0))</f>
        <v>DIST_FA</v>
      </c>
      <c r="W1290" s="153" t="str">
        <f t="array" ref="W1290">INDEX(xlRTCLNAME,MATCH(1,(xlRTCLENDU=2)*(xlRTCLEQCL=$F1290),0))</f>
        <v>CENT_AIR</v>
      </c>
      <c r="X1290" s="153" t="str">
        <f t="array" ref="X1290">INDEX(xlRTTYNAME,MATCH(1,(xlRTTYENDU=1)*(xlRTTYEQCL=$D1290)*(xlRTEQTYPE=$E1290),0))</f>
        <v>DIST_FA1</v>
      </c>
      <c r="Y1290" s="153" t="str">
        <f t="array" ref="Y1290">INDEX(xlRTTYNAME,MATCH(1,(xlRTTYENDU=2)*(xlRTTYEQCL=$F1290)*(xlRTEQTYPE=$G1290),0))</f>
        <v>CENT_AIR1</v>
      </c>
    </row>
    <row r="1291" spans="2:25" ht="14.25" customHeight="1" x14ac:dyDescent="0.2">
      <c r="B1291" s="126">
        <v>5</v>
      </c>
      <c r="C1291" s="126">
        <v>2</v>
      </c>
      <c r="D1291" s="126">
        <v>7</v>
      </c>
      <c r="E1291" s="126">
        <v>22</v>
      </c>
      <c r="F1291" s="126">
        <v>2</v>
      </c>
      <c r="G1291" s="126">
        <v>6</v>
      </c>
      <c r="H1291" s="126">
        <v>2023</v>
      </c>
      <c r="I1291" s="126">
        <v>2050</v>
      </c>
      <c r="J1291" s="127">
        <v>1.1200000000000001</v>
      </c>
      <c r="K1291" s="127">
        <v>1.0391999999999999</v>
      </c>
      <c r="L1291" s="127">
        <v>0.56879999999999997</v>
      </c>
      <c r="M1291" s="127">
        <v>1.1000000000000001</v>
      </c>
      <c r="N1291" s="127">
        <v>1.2595000000000001</v>
      </c>
      <c r="O1291" s="127">
        <v>1.0538000000000001</v>
      </c>
      <c r="P1291" s="126">
        <v>1991</v>
      </c>
      <c r="Q1291" s="128">
        <f t="array" ref="Q1291">SUM(IF(($S1291&gt;=4)*($C1291='TaxCred&amp;Subs'!$D$123:$D$127)*($H1291='TaxCred&amp;Subs'!$C$123:$C$127)*($H1291&lt;='TaxCred&amp;Subs'!$C$129),'TaxCred&amp;Subs'!$E$123:$E$127,0))</f>
        <v>0</v>
      </c>
      <c r="R1291" s="174">
        <v>0</v>
      </c>
      <c r="S1291" s="126">
        <v>2</v>
      </c>
      <c r="T1291" s="126" t="s">
        <v>224</v>
      </c>
      <c r="U1291" s="158"/>
      <c r="V1291" s="153" t="str">
        <f t="array" ref="V1291">INDEX(xlRTCLNAME,MATCH(1,(xlRTCLENDU=1)*(xlRTCLEQCL=$D1291),0))</f>
        <v>DIST_FA</v>
      </c>
      <c r="W1291" s="153" t="str">
        <f t="array" ref="W1291">INDEX(xlRTCLNAME,MATCH(1,(xlRTCLENDU=2)*(xlRTCLEQCL=$F1291),0))</f>
        <v>CENT_AIR</v>
      </c>
      <c r="X1291" s="153" t="str">
        <f t="array" ref="X1291">INDEX(xlRTTYNAME,MATCH(1,(xlRTTYENDU=1)*(xlRTTYEQCL=$D1291)*(xlRTEQTYPE=$E1291),0))</f>
        <v>DIST_FA1</v>
      </c>
      <c r="Y1291" s="153" t="str">
        <f t="array" ref="Y1291">INDEX(xlRTTYNAME,MATCH(1,(xlRTTYENDU=2)*(xlRTTYEQCL=$F1291)*(xlRTEQTYPE=$G1291),0))</f>
        <v>CENT_AIR2</v>
      </c>
    </row>
    <row r="1292" spans="2:25" ht="14.25" customHeight="1" x14ac:dyDescent="0.2">
      <c r="B1292" s="126">
        <v>6</v>
      </c>
      <c r="C1292" s="126">
        <v>2</v>
      </c>
      <c r="D1292" s="126">
        <v>7</v>
      </c>
      <c r="E1292" s="126">
        <v>22</v>
      </c>
      <c r="F1292" s="126">
        <v>2</v>
      </c>
      <c r="G1292" s="126">
        <v>5</v>
      </c>
      <c r="H1292" s="126">
        <v>2016</v>
      </c>
      <c r="I1292" s="126">
        <v>2022</v>
      </c>
      <c r="J1292" s="127">
        <v>1.1200000000000001</v>
      </c>
      <c r="K1292" s="127">
        <v>1.03</v>
      </c>
      <c r="L1292" s="127">
        <v>0.94379999999999997</v>
      </c>
      <c r="M1292" s="127">
        <v>1.1455</v>
      </c>
      <c r="N1292" s="127">
        <v>1.3381000000000001</v>
      </c>
      <c r="O1292" s="127">
        <v>1.0538000000000001</v>
      </c>
      <c r="P1292" s="126">
        <v>2194</v>
      </c>
      <c r="Q1292" s="128">
        <f t="array" ref="Q1292">SUM(IF(($S1292&gt;=4)*($C1292='TaxCred&amp;Subs'!$D$123:$D$127)*($H1292='TaxCred&amp;Subs'!$C$123:$C$127)*($H1292&lt;='TaxCred&amp;Subs'!$C$129),'TaxCred&amp;Subs'!$E$123:$E$127,0))</f>
        <v>0</v>
      </c>
      <c r="R1292" s="174">
        <v>0</v>
      </c>
      <c r="S1292" s="126">
        <v>2</v>
      </c>
      <c r="T1292" s="126" t="s">
        <v>224</v>
      </c>
      <c r="U1292" s="158"/>
      <c r="V1292" s="153" t="str">
        <f t="array" ref="V1292">INDEX(xlRTCLNAME,MATCH(1,(xlRTCLENDU=1)*(xlRTCLEQCL=$D1292),0))</f>
        <v>DIST_FA</v>
      </c>
      <c r="W1292" s="153" t="str">
        <f t="array" ref="W1292">INDEX(xlRTCLNAME,MATCH(1,(xlRTCLENDU=2)*(xlRTCLEQCL=$F1292),0))</f>
        <v>CENT_AIR</v>
      </c>
      <c r="X1292" s="153" t="str">
        <f t="array" ref="X1292">INDEX(xlRTTYNAME,MATCH(1,(xlRTTYENDU=1)*(xlRTTYEQCL=$D1292)*(xlRTEQTYPE=$E1292),0))</f>
        <v>DIST_FA1</v>
      </c>
      <c r="Y1292" s="153" t="str">
        <f t="array" ref="Y1292">INDEX(xlRTTYNAME,MATCH(1,(xlRTTYENDU=2)*(xlRTTYEQCL=$F1292)*(xlRTEQTYPE=$G1292),0))</f>
        <v>CENT_AIR1</v>
      </c>
    </row>
    <row r="1293" spans="2:25" ht="14.25" customHeight="1" x14ac:dyDescent="0.2">
      <c r="B1293" s="126">
        <v>6</v>
      </c>
      <c r="C1293" s="126">
        <v>2</v>
      </c>
      <c r="D1293" s="126">
        <v>7</v>
      </c>
      <c r="E1293" s="126">
        <v>22</v>
      </c>
      <c r="F1293" s="126">
        <v>2</v>
      </c>
      <c r="G1293" s="126">
        <v>6</v>
      </c>
      <c r="H1293" s="126">
        <v>2023</v>
      </c>
      <c r="I1293" s="126">
        <v>2050</v>
      </c>
      <c r="J1293" s="127">
        <v>1.1200000000000001</v>
      </c>
      <c r="K1293" s="127">
        <v>1.03</v>
      </c>
      <c r="L1293" s="127">
        <v>0.94379999999999997</v>
      </c>
      <c r="M1293" s="127">
        <v>1.1455</v>
      </c>
      <c r="N1293" s="127">
        <v>1.3381000000000001</v>
      </c>
      <c r="O1293" s="127">
        <v>1.0538000000000001</v>
      </c>
      <c r="P1293" s="126">
        <v>2194</v>
      </c>
      <c r="Q1293" s="128">
        <f t="array" ref="Q1293">SUM(IF(($S1293&gt;=4)*($C1293='TaxCred&amp;Subs'!$D$123:$D$127)*($H1293='TaxCred&amp;Subs'!$C$123:$C$127)*($H1293&lt;='TaxCred&amp;Subs'!$C$129),'TaxCred&amp;Subs'!$E$123:$E$127,0))</f>
        <v>0</v>
      </c>
      <c r="R1293" s="174">
        <v>0</v>
      </c>
      <c r="S1293" s="126">
        <v>2</v>
      </c>
      <c r="T1293" s="126" t="s">
        <v>224</v>
      </c>
      <c r="U1293" s="158"/>
      <c r="V1293" s="153" t="str">
        <f t="array" ref="V1293">INDEX(xlRTCLNAME,MATCH(1,(xlRTCLENDU=1)*(xlRTCLEQCL=$D1293),0))</f>
        <v>DIST_FA</v>
      </c>
      <c r="W1293" s="153" t="str">
        <f t="array" ref="W1293">INDEX(xlRTCLNAME,MATCH(1,(xlRTCLENDU=2)*(xlRTCLEQCL=$F1293),0))</f>
        <v>CENT_AIR</v>
      </c>
      <c r="X1293" s="153" t="str">
        <f t="array" ref="X1293">INDEX(xlRTTYNAME,MATCH(1,(xlRTTYENDU=1)*(xlRTTYEQCL=$D1293)*(xlRTEQTYPE=$E1293),0))</f>
        <v>DIST_FA1</v>
      </c>
      <c r="Y1293" s="153" t="str">
        <f t="array" ref="Y1293">INDEX(xlRTTYNAME,MATCH(1,(xlRTTYENDU=2)*(xlRTTYEQCL=$F1293)*(xlRTEQTYPE=$G1293),0))</f>
        <v>CENT_AIR2</v>
      </c>
    </row>
    <row r="1294" spans="2:25" ht="14.25" customHeight="1" x14ac:dyDescent="0.2">
      <c r="B1294" s="126">
        <v>7</v>
      </c>
      <c r="C1294" s="126">
        <v>2</v>
      </c>
      <c r="D1294" s="126">
        <v>7</v>
      </c>
      <c r="E1294" s="126">
        <v>22</v>
      </c>
      <c r="F1294" s="126">
        <v>2</v>
      </c>
      <c r="G1294" s="126">
        <v>5</v>
      </c>
      <c r="H1294" s="126">
        <v>2016</v>
      </c>
      <c r="I1294" s="126">
        <v>2022</v>
      </c>
      <c r="J1294" s="127">
        <v>1.1200000000000001</v>
      </c>
      <c r="K1294" s="127">
        <v>1.0476000000000001</v>
      </c>
      <c r="L1294" s="127">
        <v>0.86050000000000004</v>
      </c>
      <c r="M1294" s="127">
        <v>1.1431</v>
      </c>
      <c r="N1294" s="127">
        <v>1.4438</v>
      </c>
      <c r="O1294" s="127">
        <v>1.0538000000000001</v>
      </c>
      <c r="P1294" s="126">
        <v>1426</v>
      </c>
      <c r="Q1294" s="128">
        <f t="array" ref="Q1294">SUM(IF(($S1294&gt;=4)*($C1294='TaxCred&amp;Subs'!$D$123:$D$127)*($H1294='TaxCred&amp;Subs'!$C$123:$C$127)*($H1294&lt;='TaxCred&amp;Subs'!$C$129),'TaxCred&amp;Subs'!$E$123:$E$127,0))</f>
        <v>0</v>
      </c>
      <c r="R1294" s="174">
        <v>0</v>
      </c>
      <c r="S1294" s="126">
        <v>2</v>
      </c>
      <c r="T1294" s="126" t="s">
        <v>224</v>
      </c>
      <c r="U1294" s="158"/>
      <c r="V1294" s="153" t="str">
        <f t="array" ref="V1294">INDEX(xlRTCLNAME,MATCH(1,(xlRTCLENDU=1)*(xlRTCLEQCL=$D1294),0))</f>
        <v>DIST_FA</v>
      </c>
      <c r="W1294" s="153" t="str">
        <f t="array" ref="W1294">INDEX(xlRTCLNAME,MATCH(1,(xlRTCLENDU=2)*(xlRTCLEQCL=$F1294),0))</f>
        <v>CENT_AIR</v>
      </c>
      <c r="X1294" s="153" t="str">
        <f t="array" ref="X1294">INDEX(xlRTTYNAME,MATCH(1,(xlRTTYENDU=1)*(xlRTTYEQCL=$D1294)*(xlRTEQTYPE=$E1294),0))</f>
        <v>DIST_FA1</v>
      </c>
      <c r="Y1294" s="153" t="str">
        <f t="array" ref="Y1294">INDEX(xlRTTYNAME,MATCH(1,(xlRTTYENDU=2)*(xlRTTYEQCL=$F1294)*(xlRTEQTYPE=$G1294),0))</f>
        <v>CENT_AIR1</v>
      </c>
    </row>
    <row r="1295" spans="2:25" ht="14.25" customHeight="1" x14ac:dyDescent="0.2">
      <c r="B1295" s="126">
        <v>7</v>
      </c>
      <c r="C1295" s="126">
        <v>2</v>
      </c>
      <c r="D1295" s="126">
        <v>7</v>
      </c>
      <c r="E1295" s="126">
        <v>22</v>
      </c>
      <c r="F1295" s="126">
        <v>2</v>
      </c>
      <c r="G1295" s="126">
        <v>6</v>
      </c>
      <c r="H1295" s="126">
        <v>2023</v>
      </c>
      <c r="I1295" s="126">
        <v>2050</v>
      </c>
      <c r="J1295" s="127">
        <v>1.1200000000000001</v>
      </c>
      <c r="K1295" s="127">
        <v>1.0476000000000001</v>
      </c>
      <c r="L1295" s="127">
        <v>0.86050000000000004</v>
      </c>
      <c r="M1295" s="127">
        <v>1.1431</v>
      </c>
      <c r="N1295" s="127">
        <v>1.4438</v>
      </c>
      <c r="O1295" s="127">
        <v>1.0538000000000001</v>
      </c>
      <c r="P1295" s="126">
        <v>1426</v>
      </c>
      <c r="Q1295" s="128">
        <f t="array" ref="Q1295">SUM(IF(($S1295&gt;=4)*($C1295='TaxCred&amp;Subs'!$D$123:$D$127)*($H1295='TaxCred&amp;Subs'!$C$123:$C$127)*($H1295&lt;='TaxCred&amp;Subs'!$C$129),'TaxCred&amp;Subs'!$E$123:$E$127,0))</f>
        <v>0</v>
      </c>
      <c r="R1295" s="174">
        <v>0</v>
      </c>
      <c r="S1295" s="126">
        <v>2</v>
      </c>
      <c r="T1295" s="126" t="s">
        <v>224</v>
      </c>
      <c r="U1295" s="158"/>
      <c r="V1295" s="153" t="str">
        <f t="array" ref="V1295">INDEX(xlRTCLNAME,MATCH(1,(xlRTCLENDU=1)*(xlRTCLEQCL=$D1295),0))</f>
        <v>DIST_FA</v>
      </c>
      <c r="W1295" s="153" t="str">
        <f t="array" ref="W1295">INDEX(xlRTCLNAME,MATCH(1,(xlRTCLENDU=2)*(xlRTCLEQCL=$F1295),0))</f>
        <v>CENT_AIR</v>
      </c>
      <c r="X1295" s="153" t="str">
        <f t="array" ref="X1295">INDEX(xlRTTYNAME,MATCH(1,(xlRTTYENDU=1)*(xlRTTYEQCL=$D1295)*(xlRTEQTYPE=$E1295),0))</f>
        <v>DIST_FA1</v>
      </c>
      <c r="Y1295" s="153" t="str">
        <f t="array" ref="Y1295">INDEX(xlRTTYNAME,MATCH(1,(xlRTTYENDU=2)*(xlRTTYEQCL=$F1295)*(xlRTEQTYPE=$G1295),0))</f>
        <v>CENT_AIR2</v>
      </c>
    </row>
    <row r="1296" spans="2:25" ht="14.25" customHeight="1" x14ac:dyDescent="0.2">
      <c r="B1296" s="126">
        <v>8</v>
      </c>
      <c r="C1296" s="126">
        <v>2</v>
      </c>
      <c r="D1296" s="126">
        <v>7</v>
      </c>
      <c r="E1296" s="126">
        <v>22</v>
      </c>
      <c r="F1296" s="126">
        <v>2</v>
      </c>
      <c r="G1296" s="126">
        <v>5</v>
      </c>
      <c r="H1296" s="126">
        <v>2016</v>
      </c>
      <c r="I1296" s="126">
        <v>2022</v>
      </c>
      <c r="J1296" s="127">
        <v>1.1064000000000001</v>
      </c>
      <c r="K1296" s="127">
        <v>1.0645</v>
      </c>
      <c r="L1296" s="127">
        <v>0.82289999999999996</v>
      </c>
      <c r="M1296" s="127">
        <v>1.2739</v>
      </c>
      <c r="N1296" s="127">
        <v>1.2826</v>
      </c>
      <c r="O1296" s="127">
        <v>1.0538000000000001</v>
      </c>
      <c r="P1296" s="126">
        <v>2390</v>
      </c>
      <c r="Q1296" s="128">
        <f t="array" ref="Q1296">SUM(IF(($S1296&gt;=4)*($C1296='TaxCred&amp;Subs'!$D$123:$D$127)*($H1296='TaxCred&amp;Subs'!$C$123:$C$127)*($H1296&lt;='TaxCred&amp;Subs'!$C$129),'TaxCred&amp;Subs'!$E$123:$E$127,0))</f>
        <v>0</v>
      </c>
      <c r="R1296" s="174">
        <v>0</v>
      </c>
      <c r="S1296" s="126">
        <v>2</v>
      </c>
      <c r="T1296" s="126" t="s">
        <v>224</v>
      </c>
      <c r="U1296" s="158"/>
      <c r="V1296" s="153" t="str">
        <f t="array" ref="V1296">INDEX(xlRTCLNAME,MATCH(1,(xlRTCLENDU=1)*(xlRTCLEQCL=$D1296),0))</f>
        <v>DIST_FA</v>
      </c>
      <c r="W1296" s="153" t="str">
        <f t="array" ref="W1296">INDEX(xlRTCLNAME,MATCH(1,(xlRTCLENDU=2)*(xlRTCLEQCL=$F1296),0))</f>
        <v>CENT_AIR</v>
      </c>
      <c r="X1296" s="153" t="str">
        <f t="array" ref="X1296">INDEX(xlRTTYNAME,MATCH(1,(xlRTTYENDU=1)*(xlRTTYEQCL=$D1296)*(xlRTEQTYPE=$E1296),0))</f>
        <v>DIST_FA1</v>
      </c>
      <c r="Y1296" s="153" t="str">
        <f t="array" ref="Y1296">INDEX(xlRTTYNAME,MATCH(1,(xlRTTYENDU=2)*(xlRTTYEQCL=$F1296)*(xlRTEQTYPE=$G1296),0))</f>
        <v>CENT_AIR1</v>
      </c>
    </row>
    <row r="1297" spans="2:25" ht="14.25" customHeight="1" x14ac:dyDescent="0.2">
      <c r="B1297" s="126">
        <v>8</v>
      </c>
      <c r="C1297" s="126">
        <v>2</v>
      </c>
      <c r="D1297" s="126">
        <v>7</v>
      </c>
      <c r="E1297" s="126">
        <v>22</v>
      </c>
      <c r="F1297" s="126">
        <v>2</v>
      </c>
      <c r="G1297" s="126">
        <v>6</v>
      </c>
      <c r="H1297" s="126">
        <v>2023</v>
      </c>
      <c r="I1297" s="126">
        <v>2050</v>
      </c>
      <c r="J1297" s="127">
        <v>1.1064000000000001</v>
      </c>
      <c r="K1297" s="127">
        <v>1.0645</v>
      </c>
      <c r="L1297" s="127">
        <v>0.82289999999999996</v>
      </c>
      <c r="M1297" s="127">
        <v>1.2739</v>
      </c>
      <c r="N1297" s="127">
        <v>1.2826</v>
      </c>
      <c r="O1297" s="127">
        <v>1.0538000000000001</v>
      </c>
      <c r="P1297" s="126">
        <v>2390</v>
      </c>
      <c r="Q1297" s="128">
        <f t="array" ref="Q1297">SUM(IF(($S1297&gt;=4)*($C1297='TaxCred&amp;Subs'!$D$123:$D$127)*($H1297='TaxCred&amp;Subs'!$C$123:$C$127)*($H1297&lt;='TaxCred&amp;Subs'!$C$129),'TaxCred&amp;Subs'!$E$123:$E$127,0))</f>
        <v>0</v>
      </c>
      <c r="R1297" s="174">
        <v>0</v>
      </c>
      <c r="S1297" s="126">
        <v>2</v>
      </c>
      <c r="T1297" s="126" t="s">
        <v>224</v>
      </c>
      <c r="U1297" s="158"/>
      <c r="V1297" s="153" t="str">
        <f t="array" ref="V1297">INDEX(xlRTCLNAME,MATCH(1,(xlRTCLENDU=1)*(xlRTCLEQCL=$D1297),0))</f>
        <v>DIST_FA</v>
      </c>
      <c r="W1297" s="153" t="str">
        <f t="array" ref="W1297">INDEX(xlRTCLNAME,MATCH(1,(xlRTCLENDU=2)*(xlRTCLEQCL=$F1297),0))</f>
        <v>CENT_AIR</v>
      </c>
      <c r="X1297" s="153" t="str">
        <f t="array" ref="X1297">INDEX(xlRTTYNAME,MATCH(1,(xlRTTYENDU=1)*(xlRTTYEQCL=$D1297)*(xlRTEQTYPE=$E1297),0))</f>
        <v>DIST_FA1</v>
      </c>
      <c r="Y1297" s="153" t="str">
        <f t="array" ref="Y1297">INDEX(xlRTTYNAME,MATCH(1,(xlRTTYENDU=2)*(xlRTTYEQCL=$F1297)*(xlRTEQTYPE=$G1297),0))</f>
        <v>CENT_AIR2</v>
      </c>
    </row>
    <row r="1298" spans="2:25" ht="14.25" customHeight="1" x14ac:dyDescent="0.2">
      <c r="B1298" s="126">
        <v>9</v>
      </c>
      <c r="C1298" s="126">
        <v>2</v>
      </c>
      <c r="D1298" s="126">
        <v>7</v>
      </c>
      <c r="E1298" s="126">
        <v>22</v>
      </c>
      <c r="F1298" s="126">
        <v>2</v>
      </c>
      <c r="G1298" s="126">
        <v>5</v>
      </c>
      <c r="H1298" s="126">
        <v>2016</v>
      </c>
      <c r="I1298" s="126">
        <v>2022</v>
      </c>
      <c r="J1298" s="127">
        <v>1.03</v>
      </c>
      <c r="K1298" s="127">
        <v>1.0556000000000001</v>
      </c>
      <c r="L1298" s="127">
        <v>0.44379999999999997</v>
      </c>
      <c r="M1298" s="127">
        <v>1.2</v>
      </c>
      <c r="N1298" s="127">
        <v>1.4438</v>
      </c>
      <c r="O1298" s="127">
        <v>1.0538000000000001</v>
      </c>
      <c r="P1298" s="126">
        <v>2493</v>
      </c>
      <c r="Q1298" s="128">
        <f t="array" ref="Q1298">SUM(IF(($S1298&gt;=4)*($C1298='TaxCred&amp;Subs'!$D$123:$D$127)*($H1298='TaxCred&amp;Subs'!$C$123:$C$127)*($H1298&lt;='TaxCred&amp;Subs'!$C$129),'TaxCred&amp;Subs'!$E$123:$E$127,0))</f>
        <v>0</v>
      </c>
      <c r="R1298" s="174">
        <v>0</v>
      </c>
      <c r="S1298" s="126">
        <v>2</v>
      </c>
      <c r="T1298" s="126" t="s">
        <v>224</v>
      </c>
      <c r="U1298" s="158"/>
      <c r="V1298" s="153" t="str">
        <f t="array" ref="V1298">INDEX(xlRTCLNAME,MATCH(1,(xlRTCLENDU=1)*(xlRTCLEQCL=$D1298),0))</f>
        <v>DIST_FA</v>
      </c>
      <c r="W1298" s="153" t="str">
        <f t="array" ref="W1298">INDEX(xlRTCLNAME,MATCH(1,(xlRTCLENDU=2)*(xlRTCLEQCL=$F1298),0))</f>
        <v>CENT_AIR</v>
      </c>
      <c r="X1298" s="153" t="str">
        <f t="array" ref="X1298">INDEX(xlRTTYNAME,MATCH(1,(xlRTTYENDU=1)*(xlRTTYEQCL=$D1298)*(xlRTEQTYPE=$E1298),0))</f>
        <v>DIST_FA1</v>
      </c>
      <c r="Y1298" s="153" t="str">
        <f t="array" ref="Y1298">INDEX(xlRTTYNAME,MATCH(1,(xlRTTYENDU=2)*(xlRTTYEQCL=$F1298)*(xlRTEQTYPE=$G1298),0))</f>
        <v>CENT_AIR1</v>
      </c>
    </row>
    <row r="1299" spans="2:25" ht="14.25" customHeight="1" x14ac:dyDescent="0.2">
      <c r="B1299" s="126">
        <v>9</v>
      </c>
      <c r="C1299" s="126">
        <v>2</v>
      </c>
      <c r="D1299" s="126">
        <v>7</v>
      </c>
      <c r="E1299" s="126">
        <v>22</v>
      </c>
      <c r="F1299" s="126">
        <v>2</v>
      </c>
      <c r="G1299" s="126">
        <v>6</v>
      </c>
      <c r="H1299" s="126">
        <v>2023</v>
      </c>
      <c r="I1299" s="126">
        <v>2050</v>
      </c>
      <c r="J1299" s="127">
        <v>1.03</v>
      </c>
      <c r="K1299" s="127">
        <v>1.0556000000000001</v>
      </c>
      <c r="L1299" s="127">
        <v>0.44379999999999997</v>
      </c>
      <c r="M1299" s="127">
        <v>1.2</v>
      </c>
      <c r="N1299" s="127">
        <v>1.4438</v>
      </c>
      <c r="O1299" s="127">
        <v>1.0538000000000001</v>
      </c>
      <c r="P1299" s="126">
        <v>2493</v>
      </c>
      <c r="Q1299" s="128">
        <f t="array" ref="Q1299">SUM(IF(($S1299&gt;=4)*($C1299='TaxCred&amp;Subs'!$D$123:$D$127)*($H1299='TaxCred&amp;Subs'!$C$123:$C$127)*($H1299&lt;='TaxCred&amp;Subs'!$C$129),'TaxCred&amp;Subs'!$E$123:$E$127,0))</f>
        <v>0</v>
      </c>
      <c r="R1299" s="174">
        <v>0</v>
      </c>
      <c r="S1299" s="126">
        <v>2</v>
      </c>
      <c r="T1299" s="126" t="s">
        <v>224</v>
      </c>
      <c r="U1299" s="158"/>
      <c r="V1299" s="153" t="str">
        <f t="array" ref="V1299">INDEX(xlRTCLNAME,MATCH(1,(xlRTCLENDU=1)*(xlRTCLEQCL=$D1299),0))</f>
        <v>DIST_FA</v>
      </c>
      <c r="W1299" s="153" t="str">
        <f t="array" ref="W1299">INDEX(xlRTCLNAME,MATCH(1,(xlRTCLENDU=2)*(xlRTCLEQCL=$F1299),0))</f>
        <v>CENT_AIR</v>
      </c>
      <c r="X1299" s="153" t="str">
        <f t="array" ref="X1299">INDEX(xlRTTYNAME,MATCH(1,(xlRTTYENDU=1)*(xlRTTYEQCL=$D1299)*(xlRTEQTYPE=$E1299),0))</f>
        <v>DIST_FA1</v>
      </c>
      <c r="Y1299" s="153" t="str">
        <f t="array" ref="Y1299">INDEX(xlRTTYNAME,MATCH(1,(xlRTTYENDU=2)*(xlRTTYEQCL=$F1299)*(xlRTEQTYPE=$G1299),0))</f>
        <v>CENT_AIR2</v>
      </c>
    </row>
    <row r="1300" spans="2:25" ht="14.25" customHeight="1" x14ac:dyDescent="0.2">
      <c r="B1300" s="126">
        <v>1</v>
      </c>
      <c r="C1300" s="126">
        <v>2</v>
      </c>
      <c r="D1300" s="126">
        <v>8</v>
      </c>
      <c r="E1300" s="126">
        <v>26</v>
      </c>
      <c r="F1300" s="126">
        <v>2</v>
      </c>
      <c r="G1300" s="126">
        <v>5</v>
      </c>
      <c r="H1300" s="126">
        <v>2016</v>
      </c>
      <c r="I1300" s="126">
        <v>2022</v>
      </c>
      <c r="J1300" s="127">
        <v>1.0864</v>
      </c>
      <c r="K1300" s="127">
        <v>1.0417000000000001</v>
      </c>
      <c r="L1300" s="127">
        <v>0.79600000000000004</v>
      </c>
      <c r="M1300" s="127">
        <v>1.1455</v>
      </c>
      <c r="N1300" s="127">
        <v>1.1156999999999999</v>
      </c>
      <c r="O1300" s="127">
        <v>1.0538000000000001</v>
      </c>
      <c r="P1300" s="126">
        <v>3042</v>
      </c>
      <c r="Q1300" s="128">
        <f t="array" ref="Q1300">SUM(IF(($S1300&gt;=4)*($C1300='TaxCred&amp;Subs'!$D$123:$D$127)*($H1300='TaxCred&amp;Subs'!$C$123:$C$127)*($H1300&lt;='TaxCred&amp;Subs'!$C$129),'TaxCred&amp;Subs'!$E$123:$E$127,0))</f>
        <v>0</v>
      </c>
      <c r="R1300" s="174">
        <v>0</v>
      </c>
      <c r="S1300" s="126">
        <v>2</v>
      </c>
      <c r="T1300" s="126" t="s">
        <v>224</v>
      </c>
      <c r="U1300" s="158"/>
      <c r="V1300" s="153" t="str">
        <f t="array" ref="V1300">INDEX(xlRTCLNAME,MATCH(1,(xlRTCLENDU=1)*(xlRTCLEQCL=$D1300),0))</f>
        <v>DIST_RAD</v>
      </c>
      <c r="W1300" s="153" t="str">
        <f t="array" ref="W1300">INDEX(xlRTCLNAME,MATCH(1,(xlRTCLENDU=2)*(xlRTCLEQCL=$F1300),0))</f>
        <v>CENT_AIR</v>
      </c>
      <c r="X1300" s="153" t="str">
        <f t="array" ref="X1300">INDEX(xlRTTYNAME,MATCH(1,(xlRTTYENDU=1)*(xlRTTYEQCL=$D1300)*(xlRTEQTYPE=$E1300),0))</f>
        <v>DIST_RAD1</v>
      </c>
      <c r="Y1300" s="153" t="str">
        <f t="array" ref="Y1300">INDEX(xlRTTYNAME,MATCH(1,(xlRTTYENDU=2)*(xlRTTYEQCL=$F1300)*(xlRTEQTYPE=$G1300),0))</f>
        <v>CENT_AIR1</v>
      </c>
    </row>
    <row r="1301" spans="2:25" ht="14.25" customHeight="1" x14ac:dyDescent="0.2">
      <c r="B1301" s="126">
        <v>1</v>
      </c>
      <c r="C1301" s="126">
        <v>2</v>
      </c>
      <c r="D1301" s="126">
        <v>8</v>
      </c>
      <c r="E1301" s="126">
        <v>26</v>
      </c>
      <c r="F1301" s="126">
        <v>2</v>
      </c>
      <c r="G1301" s="126">
        <v>6</v>
      </c>
      <c r="H1301" s="126">
        <v>2023</v>
      </c>
      <c r="I1301" s="126">
        <v>2050</v>
      </c>
      <c r="J1301" s="127">
        <v>1.0864</v>
      </c>
      <c r="K1301" s="127">
        <v>1.0417000000000001</v>
      </c>
      <c r="L1301" s="127">
        <v>0.79600000000000004</v>
      </c>
      <c r="M1301" s="127">
        <v>1.1455</v>
      </c>
      <c r="N1301" s="127">
        <v>1.1156999999999999</v>
      </c>
      <c r="O1301" s="127">
        <v>1.0538000000000001</v>
      </c>
      <c r="P1301" s="126">
        <v>3042</v>
      </c>
      <c r="Q1301" s="128">
        <f t="array" ref="Q1301">SUM(IF(($S1301&gt;=4)*($C1301='TaxCred&amp;Subs'!$D$123:$D$127)*($H1301='TaxCred&amp;Subs'!$C$123:$C$127)*($H1301&lt;='TaxCred&amp;Subs'!$C$129),'TaxCred&amp;Subs'!$E$123:$E$127,0))</f>
        <v>0</v>
      </c>
      <c r="R1301" s="174">
        <v>0</v>
      </c>
      <c r="S1301" s="126">
        <v>2</v>
      </c>
      <c r="T1301" s="126" t="s">
        <v>224</v>
      </c>
      <c r="U1301" s="158"/>
      <c r="V1301" s="153" t="str">
        <f t="array" ref="V1301">INDEX(xlRTCLNAME,MATCH(1,(xlRTCLENDU=1)*(xlRTCLEQCL=$D1301),0))</f>
        <v>DIST_RAD</v>
      </c>
      <c r="W1301" s="153" t="str">
        <f t="array" ref="W1301">INDEX(xlRTCLNAME,MATCH(1,(xlRTCLENDU=2)*(xlRTCLEQCL=$F1301),0))</f>
        <v>CENT_AIR</v>
      </c>
      <c r="X1301" s="153" t="str">
        <f t="array" ref="X1301">INDEX(xlRTTYNAME,MATCH(1,(xlRTTYENDU=1)*(xlRTTYEQCL=$D1301)*(xlRTEQTYPE=$E1301),0))</f>
        <v>DIST_RAD1</v>
      </c>
      <c r="Y1301" s="153" t="str">
        <f t="array" ref="Y1301">INDEX(xlRTTYNAME,MATCH(1,(xlRTTYENDU=2)*(xlRTTYEQCL=$F1301)*(xlRTEQTYPE=$G1301),0))</f>
        <v>CENT_AIR2</v>
      </c>
    </row>
    <row r="1302" spans="2:25" ht="14.25" customHeight="1" x14ac:dyDescent="0.2">
      <c r="B1302" s="126">
        <v>2</v>
      </c>
      <c r="C1302" s="126">
        <v>2</v>
      </c>
      <c r="D1302" s="126">
        <v>8</v>
      </c>
      <c r="E1302" s="126">
        <v>26</v>
      </c>
      <c r="F1302" s="126">
        <v>2</v>
      </c>
      <c r="G1302" s="126">
        <v>5</v>
      </c>
      <c r="H1302" s="126">
        <v>2016</v>
      </c>
      <c r="I1302" s="126">
        <v>2022</v>
      </c>
      <c r="J1302" s="127">
        <v>1.0891</v>
      </c>
      <c r="K1302" s="127">
        <v>1.0713999999999999</v>
      </c>
      <c r="L1302" s="127">
        <v>1.0243</v>
      </c>
      <c r="M1302" s="127">
        <v>1.1834</v>
      </c>
      <c r="N1302" s="127">
        <v>1.1254999999999999</v>
      </c>
      <c r="O1302" s="127">
        <v>1.0538000000000001</v>
      </c>
      <c r="P1302" s="126">
        <v>1998</v>
      </c>
      <c r="Q1302" s="128">
        <f t="array" ref="Q1302">SUM(IF(($S1302&gt;=4)*($C1302='TaxCred&amp;Subs'!$D$123:$D$127)*($H1302='TaxCred&amp;Subs'!$C$123:$C$127)*($H1302&lt;='TaxCred&amp;Subs'!$C$129),'TaxCred&amp;Subs'!$E$123:$E$127,0))</f>
        <v>0</v>
      </c>
      <c r="R1302" s="174">
        <v>0</v>
      </c>
      <c r="S1302" s="126">
        <v>2</v>
      </c>
      <c r="T1302" s="126" t="s">
        <v>224</v>
      </c>
      <c r="U1302" s="158"/>
      <c r="V1302" s="153" t="str">
        <f t="array" ref="V1302">INDEX(xlRTCLNAME,MATCH(1,(xlRTCLENDU=1)*(xlRTCLEQCL=$D1302),0))</f>
        <v>DIST_RAD</v>
      </c>
      <c r="W1302" s="153" t="str">
        <f t="array" ref="W1302">INDEX(xlRTCLNAME,MATCH(1,(xlRTCLENDU=2)*(xlRTCLEQCL=$F1302),0))</f>
        <v>CENT_AIR</v>
      </c>
      <c r="X1302" s="153" t="str">
        <f t="array" ref="X1302">INDEX(xlRTTYNAME,MATCH(1,(xlRTTYENDU=1)*(xlRTTYEQCL=$D1302)*(xlRTEQTYPE=$E1302),0))</f>
        <v>DIST_RAD1</v>
      </c>
      <c r="Y1302" s="153" t="str">
        <f t="array" ref="Y1302">INDEX(xlRTTYNAME,MATCH(1,(xlRTTYENDU=2)*(xlRTTYEQCL=$F1302)*(xlRTEQTYPE=$G1302),0))</f>
        <v>CENT_AIR1</v>
      </c>
    </row>
    <row r="1303" spans="2:25" ht="14.25" customHeight="1" x14ac:dyDescent="0.2">
      <c r="B1303" s="126">
        <v>2</v>
      </c>
      <c r="C1303" s="126">
        <v>2</v>
      </c>
      <c r="D1303" s="126">
        <v>8</v>
      </c>
      <c r="E1303" s="126">
        <v>26</v>
      </c>
      <c r="F1303" s="126">
        <v>2</v>
      </c>
      <c r="G1303" s="126">
        <v>6</v>
      </c>
      <c r="H1303" s="126">
        <v>2023</v>
      </c>
      <c r="I1303" s="126">
        <v>2050</v>
      </c>
      <c r="J1303" s="127">
        <v>1.0891</v>
      </c>
      <c r="K1303" s="127">
        <v>1.0713999999999999</v>
      </c>
      <c r="L1303" s="127">
        <v>1.0243</v>
      </c>
      <c r="M1303" s="127">
        <v>1.1834</v>
      </c>
      <c r="N1303" s="127">
        <v>1.1254999999999999</v>
      </c>
      <c r="O1303" s="127">
        <v>1.0538000000000001</v>
      </c>
      <c r="P1303" s="126">
        <v>1998</v>
      </c>
      <c r="Q1303" s="128">
        <f t="array" ref="Q1303">SUM(IF(($S1303&gt;=4)*($C1303='TaxCred&amp;Subs'!$D$123:$D$127)*($H1303='TaxCred&amp;Subs'!$C$123:$C$127)*($H1303&lt;='TaxCred&amp;Subs'!$C$129),'TaxCred&amp;Subs'!$E$123:$E$127,0))</f>
        <v>0</v>
      </c>
      <c r="R1303" s="174">
        <v>0</v>
      </c>
      <c r="S1303" s="126">
        <v>2</v>
      </c>
      <c r="T1303" s="126" t="s">
        <v>224</v>
      </c>
      <c r="U1303" s="158"/>
      <c r="V1303" s="153" t="str">
        <f t="array" ref="V1303">INDEX(xlRTCLNAME,MATCH(1,(xlRTCLENDU=1)*(xlRTCLEQCL=$D1303),0))</f>
        <v>DIST_RAD</v>
      </c>
      <c r="W1303" s="153" t="str">
        <f t="array" ref="W1303">INDEX(xlRTCLNAME,MATCH(1,(xlRTCLENDU=2)*(xlRTCLEQCL=$F1303),0))</f>
        <v>CENT_AIR</v>
      </c>
      <c r="X1303" s="153" t="str">
        <f t="array" ref="X1303">INDEX(xlRTTYNAME,MATCH(1,(xlRTTYENDU=1)*(xlRTTYEQCL=$D1303)*(xlRTEQTYPE=$E1303),0))</f>
        <v>DIST_RAD1</v>
      </c>
      <c r="Y1303" s="153" t="str">
        <f t="array" ref="Y1303">INDEX(xlRTTYNAME,MATCH(1,(xlRTTYENDU=2)*(xlRTTYEQCL=$F1303)*(xlRTEQTYPE=$G1303),0))</f>
        <v>CENT_AIR2</v>
      </c>
    </row>
    <row r="1304" spans="2:25" ht="14.25" customHeight="1" x14ac:dyDescent="0.2">
      <c r="B1304" s="126">
        <v>3</v>
      </c>
      <c r="C1304" s="126">
        <v>2</v>
      </c>
      <c r="D1304" s="126">
        <v>8</v>
      </c>
      <c r="E1304" s="126">
        <v>26</v>
      </c>
      <c r="F1304" s="126">
        <v>2</v>
      </c>
      <c r="G1304" s="126">
        <v>5</v>
      </c>
      <c r="H1304" s="126">
        <v>2016</v>
      </c>
      <c r="I1304" s="126">
        <v>2022</v>
      </c>
      <c r="J1304" s="127">
        <v>1.0962000000000001</v>
      </c>
      <c r="K1304" s="127">
        <v>1.0345</v>
      </c>
      <c r="L1304" s="127">
        <v>0.84689999999999999</v>
      </c>
      <c r="M1304" s="127">
        <v>1.1000000000000001</v>
      </c>
      <c r="N1304" s="127">
        <v>1.0417000000000001</v>
      </c>
      <c r="O1304" s="127">
        <v>1.0538000000000001</v>
      </c>
      <c r="P1304" s="126">
        <v>2421</v>
      </c>
      <c r="Q1304" s="128">
        <f t="array" ref="Q1304">SUM(IF(($S1304&gt;=4)*($C1304='TaxCred&amp;Subs'!$D$123:$D$127)*($H1304='TaxCred&amp;Subs'!$C$123:$C$127)*($H1304&lt;='TaxCred&amp;Subs'!$C$129),'TaxCred&amp;Subs'!$E$123:$E$127,0))</f>
        <v>0</v>
      </c>
      <c r="R1304" s="174">
        <v>0</v>
      </c>
      <c r="S1304" s="126">
        <v>2</v>
      </c>
      <c r="T1304" s="126" t="s">
        <v>224</v>
      </c>
      <c r="U1304" s="158"/>
      <c r="V1304" s="153" t="str">
        <f t="array" ref="V1304">INDEX(xlRTCLNAME,MATCH(1,(xlRTCLENDU=1)*(xlRTCLEQCL=$D1304),0))</f>
        <v>DIST_RAD</v>
      </c>
      <c r="W1304" s="153" t="str">
        <f t="array" ref="W1304">INDEX(xlRTCLNAME,MATCH(1,(xlRTCLENDU=2)*(xlRTCLEQCL=$F1304),0))</f>
        <v>CENT_AIR</v>
      </c>
      <c r="X1304" s="153" t="str">
        <f t="array" ref="X1304">INDEX(xlRTTYNAME,MATCH(1,(xlRTTYENDU=1)*(xlRTTYEQCL=$D1304)*(xlRTEQTYPE=$E1304),0))</f>
        <v>DIST_RAD1</v>
      </c>
      <c r="Y1304" s="153" t="str">
        <f t="array" ref="Y1304">INDEX(xlRTTYNAME,MATCH(1,(xlRTTYENDU=2)*(xlRTTYEQCL=$F1304)*(xlRTEQTYPE=$G1304),0))</f>
        <v>CENT_AIR1</v>
      </c>
    </row>
    <row r="1305" spans="2:25" ht="14.25" customHeight="1" x14ac:dyDescent="0.2">
      <c r="B1305" s="126">
        <v>3</v>
      </c>
      <c r="C1305" s="126">
        <v>2</v>
      </c>
      <c r="D1305" s="126">
        <v>8</v>
      </c>
      <c r="E1305" s="126">
        <v>26</v>
      </c>
      <c r="F1305" s="126">
        <v>2</v>
      </c>
      <c r="G1305" s="126">
        <v>6</v>
      </c>
      <c r="H1305" s="126">
        <v>2023</v>
      </c>
      <c r="I1305" s="126">
        <v>2050</v>
      </c>
      <c r="J1305" s="127">
        <v>1.0962000000000001</v>
      </c>
      <c r="K1305" s="127">
        <v>1.0345</v>
      </c>
      <c r="L1305" s="127">
        <v>0.84689999999999999</v>
      </c>
      <c r="M1305" s="127">
        <v>1.1000000000000001</v>
      </c>
      <c r="N1305" s="127">
        <v>1.0417000000000001</v>
      </c>
      <c r="O1305" s="127">
        <v>1.0538000000000001</v>
      </c>
      <c r="P1305" s="126">
        <v>2421</v>
      </c>
      <c r="Q1305" s="128">
        <f t="array" ref="Q1305">SUM(IF(($S1305&gt;=4)*($C1305='TaxCred&amp;Subs'!$D$123:$D$127)*($H1305='TaxCred&amp;Subs'!$C$123:$C$127)*($H1305&lt;='TaxCred&amp;Subs'!$C$129),'TaxCred&amp;Subs'!$E$123:$E$127,0))</f>
        <v>0</v>
      </c>
      <c r="R1305" s="174">
        <v>0</v>
      </c>
      <c r="S1305" s="126">
        <v>2</v>
      </c>
      <c r="T1305" s="126" t="s">
        <v>224</v>
      </c>
      <c r="U1305" s="158"/>
      <c r="V1305" s="153" t="str">
        <f t="array" ref="V1305">INDEX(xlRTCLNAME,MATCH(1,(xlRTCLENDU=1)*(xlRTCLEQCL=$D1305),0))</f>
        <v>DIST_RAD</v>
      </c>
      <c r="W1305" s="153" t="str">
        <f t="array" ref="W1305">INDEX(xlRTCLNAME,MATCH(1,(xlRTCLENDU=2)*(xlRTCLEQCL=$F1305),0))</f>
        <v>CENT_AIR</v>
      </c>
      <c r="X1305" s="153" t="str">
        <f t="array" ref="X1305">INDEX(xlRTTYNAME,MATCH(1,(xlRTTYENDU=1)*(xlRTTYEQCL=$D1305)*(xlRTEQTYPE=$E1305),0))</f>
        <v>DIST_RAD1</v>
      </c>
      <c r="Y1305" s="153" t="str">
        <f t="array" ref="Y1305">INDEX(xlRTTYNAME,MATCH(1,(xlRTTYENDU=2)*(xlRTTYEQCL=$F1305)*(xlRTEQTYPE=$G1305),0))</f>
        <v>CENT_AIR2</v>
      </c>
    </row>
    <row r="1306" spans="2:25" ht="14.25" customHeight="1" x14ac:dyDescent="0.2">
      <c r="B1306" s="126">
        <v>4</v>
      </c>
      <c r="C1306" s="126">
        <v>2</v>
      </c>
      <c r="D1306" s="126">
        <v>8</v>
      </c>
      <c r="E1306" s="126">
        <v>26</v>
      </c>
      <c r="F1306" s="126">
        <v>2</v>
      </c>
      <c r="G1306" s="126">
        <v>5</v>
      </c>
      <c r="H1306" s="126">
        <v>2016</v>
      </c>
      <c r="I1306" s="126">
        <v>2022</v>
      </c>
      <c r="J1306" s="127">
        <v>1.1024</v>
      </c>
      <c r="K1306" s="127">
        <v>1.0435000000000001</v>
      </c>
      <c r="L1306" s="127">
        <v>1.0007999999999999</v>
      </c>
      <c r="M1306" s="127">
        <v>1.175</v>
      </c>
      <c r="N1306" s="127">
        <v>1.1678999999999999</v>
      </c>
      <c r="O1306" s="127">
        <v>1.0538000000000001</v>
      </c>
      <c r="P1306" s="126">
        <v>2095</v>
      </c>
      <c r="Q1306" s="128">
        <f t="array" ref="Q1306">SUM(IF(($S1306&gt;=4)*($C1306='TaxCred&amp;Subs'!$D$123:$D$127)*($H1306='TaxCred&amp;Subs'!$C$123:$C$127)*($H1306&lt;='TaxCred&amp;Subs'!$C$129),'TaxCred&amp;Subs'!$E$123:$E$127,0))</f>
        <v>0</v>
      </c>
      <c r="R1306" s="174">
        <v>0</v>
      </c>
      <c r="S1306" s="126">
        <v>2</v>
      </c>
      <c r="T1306" s="126" t="s">
        <v>224</v>
      </c>
      <c r="U1306" s="158"/>
      <c r="V1306" s="153" t="str">
        <f t="array" ref="V1306">INDEX(xlRTCLNAME,MATCH(1,(xlRTCLENDU=1)*(xlRTCLEQCL=$D1306),0))</f>
        <v>DIST_RAD</v>
      </c>
      <c r="W1306" s="153" t="str">
        <f t="array" ref="W1306">INDEX(xlRTCLNAME,MATCH(1,(xlRTCLENDU=2)*(xlRTCLEQCL=$F1306),0))</f>
        <v>CENT_AIR</v>
      </c>
      <c r="X1306" s="153" t="str">
        <f t="array" ref="X1306">INDEX(xlRTTYNAME,MATCH(1,(xlRTTYENDU=1)*(xlRTTYEQCL=$D1306)*(xlRTEQTYPE=$E1306),0))</f>
        <v>DIST_RAD1</v>
      </c>
      <c r="Y1306" s="153" t="str">
        <f t="array" ref="Y1306">INDEX(xlRTTYNAME,MATCH(1,(xlRTTYENDU=2)*(xlRTTYEQCL=$F1306)*(xlRTEQTYPE=$G1306),0))</f>
        <v>CENT_AIR1</v>
      </c>
    </row>
    <row r="1307" spans="2:25" ht="14.25" customHeight="1" x14ac:dyDescent="0.2">
      <c r="B1307" s="126">
        <v>4</v>
      </c>
      <c r="C1307" s="126">
        <v>2</v>
      </c>
      <c r="D1307" s="126">
        <v>8</v>
      </c>
      <c r="E1307" s="126">
        <v>26</v>
      </c>
      <c r="F1307" s="126">
        <v>2</v>
      </c>
      <c r="G1307" s="126">
        <v>6</v>
      </c>
      <c r="H1307" s="126">
        <v>2023</v>
      </c>
      <c r="I1307" s="126">
        <v>2050</v>
      </c>
      <c r="J1307" s="127">
        <v>1.1024</v>
      </c>
      <c r="K1307" s="127">
        <v>1.0435000000000001</v>
      </c>
      <c r="L1307" s="127">
        <v>1.0007999999999999</v>
      </c>
      <c r="M1307" s="127">
        <v>1.175</v>
      </c>
      <c r="N1307" s="127">
        <v>1.1678999999999999</v>
      </c>
      <c r="O1307" s="127">
        <v>1.0538000000000001</v>
      </c>
      <c r="P1307" s="126">
        <v>2095</v>
      </c>
      <c r="Q1307" s="128">
        <f t="array" ref="Q1307">SUM(IF(($S1307&gt;=4)*($C1307='TaxCred&amp;Subs'!$D$123:$D$127)*($H1307='TaxCred&amp;Subs'!$C$123:$C$127)*($H1307&lt;='TaxCred&amp;Subs'!$C$129),'TaxCred&amp;Subs'!$E$123:$E$127,0))</f>
        <v>0</v>
      </c>
      <c r="R1307" s="174">
        <v>0</v>
      </c>
      <c r="S1307" s="126">
        <v>2</v>
      </c>
      <c r="T1307" s="126" t="s">
        <v>224</v>
      </c>
      <c r="U1307" s="158"/>
      <c r="V1307" s="153" t="str">
        <f t="array" ref="V1307">INDEX(xlRTCLNAME,MATCH(1,(xlRTCLENDU=1)*(xlRTCLEQCL=$D1307),0))</f>
        <v>DIST_RAD</v>
      </c>
      <c r="W1307" s="153" t="str">
        <f t="array" ref="W1307">INDEX(xlRTCLNAME,MATCH(1,(xlRTCLENDU=2)*(xlRTCLEQCL=$F1307),0))</f>
        <v>CENT_AIR</v>
      </c>
      <c r="X1307" s="153" t="str">
        <f t="array" ref="X1307">INDEX(xlRTTYNAME,MATCH(1,(xlRTTYENDU=1)*(xlRTTYEQCL=$D1307)*(xlRTEQTYPE=$E1307),0))</f>
        <v>DIST_RAD1</v>
      </c>
      <c r="Y1307" s="153" t="str">
        <f t="array" ref="Y1307">INDEX(xlRTTYNAME,MATCH(1,(xlRTTYENDU=2)*(xlRTTYEQCL=$F1307)*(xlRTEQTYPE=$G1307),0))</f>
        <v>CENT_AIR2</v>
      </c>
    </row>
    <row r="1308" spans="2:25" ht="14.25" customHeight="1" x14ac:dyDescent="0.2">
      <c r="B1308" s="126">
        <v>5</v>
      </c>
      <c r="C1308" s="126">
        <v>2</v>
      </c>
      <c r="D1308" s="126">
        <v>8</v>
      </c>
      <c r="E1308" s="126">
        <v>26</v>
      </c>
      <c r="F1308" s="126">
        <v>2</v>
      </c>
      <c r="G1308" s="126">
        <v>5</v>
      </c>
      <c r="H1308" s="126">
        <v>2016</v>
      </c>
      <c r="I1308" s="126">
        <v>2022</v>
      </c>
      <c r="J1308" s="127">
        <v>1.03</v>
      </c>
      <c r="K1308" s="127">
        <v>1.03</v>
      </c>
      <c r="L1308" s="127">
        <v>0.67459999999999998</v>
      </c>
      <c r="M1308" s="127">
        <v>1.1097999999999999</v>
      </c>
      <c r="N1308" s="127">
        <v>1.3003</v>
      </c>
      <c r="O1308" s="127">
        <v>1.0538000000000001</v>
      </c>
      <c r="P1308" s="126">
        <v>1782</v>
      </c>
      <c r="Q1308" s="128">
        <f t="array" ref="Q1308">SUM(IF(($S1308&gt;=4)*($C1308='TaxCred&amp;Subs'!$D$123:$D$127)*($H1308='TaxCred&amp;Subs'!$C$123:$C$127)*($H1308&lt;='TaxCred&amp;Subs'!$C$129),'TaxCred&amp;Subs'!$E$123:$E$127,0))</f>
        <v>0</v>
      </c>
      <c r="R1308" s="174">
        <v>0</v>
      </c>
      <c r="S1308" s="126">
        <v>2</v>
      </c>
      <c r="T1308" s="126" t="s">
        <v>224</v>
      </c>
      <c r="U1308" s="158"/>
      <c r="V1308" s="153" t="str">
        <f t="array" ref="V1308">INDEX(xlRTCLNAME,MATCH(1,(xlRTCLENDU=1)*(xlRTCLEQCL=$D1308),0))</f>
        <v>DIST_RAD</v>
      </c>
      <c r="W1308" s="153" t="str">
        <f t="array" ref="W1308">INDEX(xlRTCLNAME,MATCH(1,(xlRTCLENDU=2)*(xlRTCLEQCL=$F1308),0))</f>
        <v>CENT_AIR</v>
      </c>
      <c r="X1308" s="153" t="str">
        <f t="array" ref="X1308">INDEX(xlRTTYNAME,MATCH(1,(xlRTTYENDU=1)*(xlRTTYEQCL=$D1308)*(xlRTEQTYPE=$E1308),0))</f>
        <v>DIST_RAD1</v>
      </c>
      <c r="Y1308" s="153" t="str">
        <f t="array" ref="Y1308">INDEX(xlRTTYNAME,MATCH(1,(xlRTTYENDU=2)*(xlRTTYEQCL=$F1308)*(xlRTEQTYPE=$G1308),0))</f>
        <v>CENT_AIR1</v>
      </c>
    </row>
    <row r="1309" spans="2:25" ht="14.25" customHeight="1" x14ac:dyDescent="0.2">
      <c r="B1309" s="126">
        <v>5</v>
      </c>
      <c r="C1309" s="126">
        <v>2</v>
      </c>
      <c r="D1309" s="126">
        <v>8</v>
      </c>
      <c r="E1309" s="126">
        <v>26</v>
      </c>
      <c r="F1309" s="126">
        <v>2</v>
      </c>
      <c r="G1309" s="126">
        <v>6</v>
      </c>
      <c r="H1309" s="126">
        <v>2023</v>
      </c>
      <c r="I1309" s="126">
        <v>2050</v>
      </c>
      <c r="J1309" s="127">
        <v>1.03</v>
      </c>
      <c r="K1309" s="127">
        <v>1.03</v>
      </c>
      <c r="L1309" s="127">
        <v>0.67459999999999998</v>
      </c>
      <c r="M1309" s="127">
        <v>1.1097999999999999</v>
      </c>
      <c r="N1309" s="127">
        <v>1.3003</v>
      </c>
      <c r="O1309" s="127">
        <v>1.0538000000000001</v>
      </c>
      <c r="P1309" s="126">
        <v>1782</v>
      </c>
      <c r="Q1309" s="128">
        <f t="array" ref="Q1309">SUM(IF(($S1309&gt;=4)*($C1309='TaxCred&amp;Subs'!$D$123:$D$127)*($H1309='TaxCred&amp;Subs'!$C$123:$C$127)*($H1309&lt;='TaxCred&amp;Subs'!$C$129),'TaxCred&amp;Subs'!$E$123:$E$127,0))</f>
        <v>0</v>
      </c>
      <c r="R1309" s="174">
        <v>0</v>
      </c>
      <c r="S1309" s="126">
        <v>2</v>
      </c>
      <c r="T1309" s="126" t="s">
        <v>224</v>
      </c>
      <c r="U1309" s="158"/>
      <c r="V1309" s="153" t="str">
        <f t="array" ref="V1309">INDEX(xlRTCLNAME,MATCH(1,(xlRTCLENDU=1)*(xlRTCLEQCL=$D1309),0))</f>
        <v>DIST_RAD</v>
      </c>
      <c r="W1309" s="153" t="str">
        <f t="array" ref="W1309">INDEX(xlRTCLNAME,MATCH(1,(xlRTCLENDU=2)*(xlRTCLEQCL=$F1309),0))</f>
        <v>CENT_AIR</v>
      </c>
      <c r="X1309" s="153" t="str">
        <f t="array" ref="X1309">INDEX(xlRTTYNAME,MATCH(1,(xlRTTYENDU=1)*(xlRTTYEQCL=$D1309)*(xlRTEQTYPE=$E1309),0))</f>
        <v>DIST_RAD1</v>
      </c>
      <c r="Y1309" s="153" t="str">
        <f t="array" ref="Y1309">INDEX(xlRTTYNAME,MATCH(1,(xlRTTYENDU=2)*(xlRTTYEQCL=$F1309)*(xlRTEQTYPE=$G1309),0))</f>
        <v>CENT_AIR2</v>
      </c>
    </row>
    <row r="1310" spans="2:25" ht="14.25" customHeight="1" x14ac:dyDescent="0.2">
      <c r="B1310" s="126">
        <v>6</v>
      </c>
      <c r="C1310" s="126">
        <v>2</v>
      </c>
      <c r="D1310" s="126">
        <v>8</v>
      </c>
      <c r="E1310" s="126">
        <v>26</v>
      </c>
      <c r="F1310" s="126">
        <v>2</v>
      </c>
      <c r="G1310" s="126">
        <v>5</v>
      </c>
      <c r="H1310" s="126">
        <v>2016</v>
      </c>
      <c r="I1310" s="126">
        <v>2022</v>
      </c>
      <c r="J1310" s="127">
        <v>1.1200000000000001</v>
      </c>
      <c r="K1310" s="127">
        <v>1.0417000000000001</v>
      </c>
      <c r="L1310" s="127">
        <v>1.0438000000000001</v>
      </c>
      <c r="M1310" s="127">
        <v>1.1455</v>
      </c>
      <c r="N1310" s="127">
        <v>1.3656999999999999</v>
      </c>
      <c r="O1310" s="127">
        <v>1.0538000000000001</v>
      </c>
      <c r="P1310" s="126">
        <v>1998</v>
      </c>
      <c r="Q1310" s="128">
        <f t="array" ref="Q1310">SUM(IF(($S1310&gt;=4)*($C1310='TaxCred&amp;Subs'!$D$123:$D$127)*($H1310='TaxCred&amp;Subs'!$C$123:$C$127)*($H1310&lt;='TaxCred&amp;Subs'!$C$129),'TaxCred&amp;Subs'!$E$123:$E$127,0))</f>
        <v>0</v>
      </c>
      <c r="R1310" s="174">
        <v>0</v>
      </c>
      <c r="S1310" s="126">
        <v>2</v>
      </c>
      <c r="T1310" s="126" t="s">
        <v>224</v>
      </c>
      <c r="U1310" s="158"/>
      <c r="V1310" s="153" t="str">
        <f t="array" ref="V1310">INDEX(xlRTCLNAME,MATCH(1,(xlRTCLENDU=1)*(xlRTCLEQCL=$D1310),0))</f>
        <v>DIST_RAD</v>
      </c>
      <c r="W1310" s="153" t="str">
        <f t="array" ref="W1310">INDEX(xlRTCLNAME,MATCH(1,(xlRTCLENDU=2)*(xlRTCLEQCL=$F1310),0))</f>
        <v>CENT_AIR</v>
      </c>
      <c r="X1310" s="153" t="str">
        <f t="array" ref="X1310">INDEX(xlRTTYNAME,MATCH(1,(xlRTTYENDU=1)*(xlRTTYEQCL=$D1310)*(xlRTEQTYPE=$E1310),0))</f>
        <v>DIST_RAD1</v>
      </c>
      <c r="Y1310" s="153" t="str">
        <f t="array" ref="Y1310">INDEX(xlRTTYNAME,MATCH(1,(xlRTTYENDU=2)*(xlRTTYEQCL=$F1310)*(xlRTEQTYPE=$G1310),0))</f>
        <v>CENT_AIR1</v>
      </c>
    </row>
    <row r="1311" spans="2:25" ht="14.25" customHeight="1" x14ac:dyDescent="0.2">
      <c r="B1311" s="126">
        <v>6</v>
      </c>
      <c r="C1311" s="126">
        <v>2</v>
      </c>
      <c r="D1311" s="126">
        <v>8</v>
      </c>
      <c r="E1311" s="126">
        <v>26</v>
      </c>
      <c r="F1311" s="126">
        <v>2</v>
      </c>
      <c r="G1311" s="126">
        <v>6</v>
      </c>
      <c r="H1311" s="126">
        <v>2023</v>
      </c>
      <c r="I1311" s="126">
        <v>2050</v>
      </c>
      <c r="J1311" s="127">
        <v>1.1200000000000001</v>
      </c>
      <c r="K1311" s="127">
        <v>1.0417000000000001</v>
      </c>
      <c r="L1311" s="127">
        <v>1.0438000000000001</v>
      </c>
      <c r="M1311" s="127">
        <v>1.1455</v>
      </c>
      <c r="N1311" s="127">
        <v>1.3656999999999999</v>
      </c>
      <c r="O1311" s="127">
        <v>1.0538000000000001</v>
      </c>
      <c r="P1311" s="126">
        <v>1998</v>
      </c>
      <c r="Q1311" s="128">
        <f t="array" ref="Q1311">SUM(IF(($S1311&gt;=4)*($C1311='TaxCred&amp;Subs'!$D$123:$D$127)*($H1311='TaxCred&amp;Subs'!$C$123:$C$127)*($H1311&lt;='TaxCred&amp;Subs'!$C$129),'TaxCred&amp;Subs'!$E$123:$E$127,0))</f>
        <v>0</v>
      </c>
      <c r="R1311" s="174">
        <v>0</v>
      </c>
      <c r="S1311" s="126">
        <v>2</v>
      </c>
      <c r="T1311" s="126" t="s">
        <v>224</v>
      </c>
      <c r="U1311" s="158"/>
      <c r="V1311" s="153" t="str">
        <f t="array" ref="V1311">INDEX(xlRTCLNAME,MATCH(1,(xlRTCLENDU=1)*(xlRTCLEQCL=$D1311),0))</f>
        <v>DIST_RAD</v>
      </c>
      <c r="W1311" s="153" t="str">
        <f t="array" ref="W1311">INDEX(xlRTCLNAME,MATCH(1,(xlRTCLENDU=2)*(xlRTCLEQCL=$F1311),0))</f>
        <v>CENT_AIR</v>
      </c>
      <c r="X1311" s="153" t="str">
        <f t="array" ref="X1311">INDEX(xlRTTYNAME,MATCH(1,(xlRTTYENDU=1)*(xlRTTYEQCL=$D1311)*(xlRTEQTYPE=$E1311),0))</f>
        <v>DIST_RAD1</v>
      </c>
      <c r="Y1311" s="153" t="str">
        <f t="array" ref="Y1311">INDEX(xlRTTYNAME,MATCH(1,(xlRTTYENDU=2)*(xlRTTYEQCL=$F1311)*(xlRTEQTYPE=$G1311),0))</f>
        <v>CENT_AIR2</v>
      </c>
    </row>
    <row r="1312" spans="2:25" ht="14.25" customHeight="1" x14ac:dyDescent="0.2">
      <c r="B1312" s="126">
        <v>7</v>
      </c>
      <c r="C1312" s="126">
        <v>2</v>
      </c>
      <c r="D1312" s="126">
        <v>8</v>
      </c>
      <c r="E1312" s="126">
        <v>26</v>
      </c>
      <c r="F1312" s="126">
        <v>2</v>
      </c>
      <c r="G1312" s="126">
        <v>5</v>
      </c>
      <c r="H1312" s="126">
        <v>2016</v>
      </c>
      <c r="I1312" s="126">
        <v>2022</v>
      </c>
      <c r="J1312" s="127">
        <v>1.1200000000000001</v>
      </c>
      <c r="K1312" s="127">
        <v>1.0462</v>
      </c>
      <c r="L1312" s="127">
        <v>0.74380000000000002</v>
      </c>
      <c r="M1312" s="127">
        <v>1.1604000000000001</v>
      </c>
      <c r="N1312" s="127">
        <v>1.4438</v>
      </c>
      <c r="O1312" s="127">
        <v>1.0538000000000001</v>
      </c>
      <c r="P1312" s="126">
        <v>1342</v>
      </c>
      <c r="Q1312" s="128">
        <f t="array" ref="Q1312">SUM(IF(($S1312&gt;=4)*($C1312='TaxCred&amp;Subs'!$D$123:$D$127)*($H1312='TaxCred&amp;Subs'!$C$123:$C$127)*($H1312&lt;='TaxCred&amp;Subs'!$C$129),'TaxCred&amp;Subs'!$E$123:$E$127,0))</f>
        <v>0</v>
      </c>
      <c r="R1312" s="174">
        <v>0</v>
      </c>
      <c r="S1312" s="126">
        <v>2</v>
      </c>
      <c r="T1312" s="126" t="s">
        <v>224</v>
      </c>
      <c r="U1312" s="158"/>
      <c r="V1312" s="153" t="str">
        <f t="array" ref="V1312">INDEX(xlRTCLNAME,MATCH(1,(xlRTCLENDU=1)*(xlRTCLEQCL=$D1312),0))</f>
        <v>DIST_RAD</v>
      </c>
      <c r="W1312" s="153" t="str">
        <f t="array" ref="W1312">INDEX(xlRTCLNAME,MATCH(1,(xlRTCLENDU=2)*(xlRTCLEQCL=$F1312),0))</f>
        <v>CENT_AIR</v>
      </c>
      <c r="X1312" s="153" t="str">
        <f t="array" ref="X1312">INDEX(xlRTTYNAME,MATCH(1,(xlRTTYENDU=1)*(xlRTTYEQCL=$D1312)*(xlRTEQTYPE=$E1312),0))</f>
        <v>DIST_RAD1</v>
      </c>
      <c r="Y1312" s="153" t="str">
        <f t="array" ref="Y1312">INDEX(xlRTTYNAME,MATCH(1,(xlRTTYENDU=2)*(xlRTTYEQCL=$F1312)*(xlRTEQTYPE=$G1312),0))</f>
        <v>CENT_AIR1</v>
      </c>
    </row>
    <row r="1313" spans="2:25" ht="14.25" customHeight="1" x14ac:dyDescent="0.2">
      <c r="B1313" s="126">
        <v>7</v>
      </c>
      <c r="C1313" s="126">
        <v>2</v>
      </c>
      <c r="D1313" s="126">
        <v>8</v>
      </c>
      <c r="E1313" s="126">
        <v>26</v>
      </c>
      <c r="F1313" s="126">
        <v>2</v>
      </c>
      <c r="G1313" s="126">
        <v>6</v>
      </c>
      <c r="H1313" s="126">
        <v>2023</v>
      </c>
      <c r="I1313" s="126">
        <v>2050</v>
      </c>
      <c r="J1313" s="127">
        <v>1.1200000000000001</v>
      </c>
      <c r="K1313" s="127">
        <v>1.0462</v>
      </c>
      <c r="L1313" s="127">
        <v>0.74380000000000002</v>
      </c>
      <c r="M1313" s="127">
        <v>1.1604000000000001</v>
      </c>
      <c r="N1313" s="127">
        <v>1.4438</v>
      </c>
      <c r="O1313" s="127">
        <v>1.0538000000000001</v>
      </c>
      <c r="P1313" s="126">
        <v>1342</v>
      </c>
      <c r="Q1313" s="128">
        <f t="array" ref="Q1313">SUM(IF(($S1313&gt;=4)*($C1313='TaxCred&amp;Subs'!$D$123:$D$127)*($H1313='TaxCred&amp;Subs'!$C$123:$C$127)*($H1313&lt;='TaxCred&amp;Subs'!$C$129),'TaxCred&amp;Subs'!$E$123:$E$127,0))</f>
        <v>0</v>
      </c>
      <c r="R1313" s="174">
        <v>0</v>
      </c>
      <c r="S1313" s="126">
        <v>2</v>
      </c>
      <c r="T1313" s="126" t="s">
        <v>224</v>
      </c>
      <c r="U1313" s="158"/>
      <c r="V1313" s="153" t="str">
        <f t="array" ref="V1313">INDEX(xlRTCLNAME,MATCH(1,(xlRTCLENDU=1)*(xlRTCLEQCL=$D1313),0))</f>
        <v>DIST_RAD</v>
      </c>
      <c r="W1313" s="153" t="str">
        <f t="array" ref="W1313">INDEX(xlRTCLNAME,MATCH(1,(xlRTCLENDU=2)*(xlRTCLEQCL=$F1313),0))</f>
        <v>CENT_AIR</v>
      </c>
      <c r="X1313" s="153" t="str">
        <f t="array" ref="X1313">INDEX(xlRTTYNAME,MATCH(1,(xlRTTYENDU=1)*(xlRTTYEQCL=$D1313)*(xlRTEQTYPE=$E1313),0))</f>
        <v>DIST_RAD1</v>
      </c>
      <c r="Y1313" s="153" t="str">
        <f t="array" ref="Y1313">INDEX(xlRTTYNAME,MATCH(1,(xlRTTYENDU=2)*(xlRTTYEQCL=$F1313)*(xlRTEQTYPE=$G1313),0))</f>
        <v>CENT_AIR2</v>
      </c>
    </row>
    <row r="1314" spans="2:25" ht="14.25" customHeight="1" x14ac:dyDescent="0.2">
      <c r="B1314" s="126">
        <v>8</v>
      </c>
      <c r="C1314" s="126">
        <v>2</v>
      </c>
      <c r="D1314" s="126">
        <v>8</v>
      </c>
      <c r="E1314" s="126">
        <v>26</v>
      </c>
      <c r="F1314" s="126">
        <v>2</v>
      </c>
      <c r="G1314" s="126">
        <v>5</v>
      </c>
      <c r="H1314" s="126">
        <v>2016</v>
      </c>
      <c r="I1314" s="126">
        <v>2022</v>
      </c>
      <c r="J1314" s="127">
        <v>1.1045</v>
      </c>
      <c r="K1314" s="127">
        <v>1.0323</v>
      </c>
      <c r="L1314" s="127">
        <v>0.97560000000000002</v>
      </c>
      <c r="M1314" s="127">
        <v>1.2739</v>
      </c>
      <c r="N1314" s="127">
        <v>1.2847999999999999</v>
      </c>
      <c r="O1314" s="127">
        <v>1.0538000000000001</v>
      </c>
      <c r="P1314" s="126">
        <v>2223</v>
      </c>
      <c r="Q1314" s="128">
        <f t="array" ref="Q1314">SUM(IF(($S1314&gt;=4)*($C1314='TaxCred&amp;Subs'!$D$123:$D$127)*($H1314='TaxCred&amp;Subs'!$C$123:$C$127)*($H1314&lt;='TaxCred&amp;Subs'!$C$129),'TaxCred&amp;Subs'!$E$123:$E$127,0))</f>
        <v>0</v>
      </c>
      <c r="R1314" s="174">
        <v>0</v>
      </c>
      <c r="S1314" s="126">
        <v>2</v>
      </c>
      <c r="T1314" s="126" t="s">
        <v>224</v>
      </c>
      <c r="U1314" s="158"/>
      <c r="V1314" s="153" t="str">
        <f t="array" ref="V1314">INDEX(xlRTCLNAME,MATCH(1,(xlRTCLENDU=1)*(xlRTCLEQCL=$D1314),0))</f>
        <v>DIST_RAD</v>
      </c>
      <c r="W1314" s="153" t="str">
        <f t="array" ref="W1314">INDEX(xlRTCLNAME,MATCH(1,(xlRTCLENDU=2)*(xlRTCLEQCL=$F1314),0))</f>
        <v>CENT_AIR</v>
      </c>
      <c r="X1314" s="153" t="str">
        <f t="array" ref="X1314">INDEX(xlRTTYNAME,MATCH(1,(xlRTTYENDU=1)*(xlRTTYEQCL=$D1314)*(xlRTEQTYPE=$E1314),0))</f>
        <v>DIST_RAD1</v>
      </c>
      <c r="Y1314" s="153" t="str">
        <f t="array" ref="Y1314">INDEX(xlRTTYNAME,MATCH(1,(xlRTTYENDU=2)*(xlRTTYEQCL=$F1314)*(xlRTEQTYPE=$G1314),0))</f>
        <v>CENT_AIR1</v>
      </c>
    </row>
    <row r="1315" spans="2:25" ht="14.25" customHeight="1" x14ac:dyDescent="0.2">
      <c r="B1315" s="126">
        <v>8</v>
      </c>
      <c r="C1315" s="126">
        <v>2</v>
      </c>
      <c r="D1315" s="126">
        <v>8</v>
      </c>
      <c r="E1315" s="126">
        <v>26</v>
      </c>
      <c r="F1315" s="126">
        <v>2</v>
      </c>
      <c r="G1315" s="126">
        <v>6</v>
      </c>
      <c r="H1315" s="126">
        <v>2023</v>
      </c>
      <c r="I1315" s="126">
        <v>2050</v>
      </c>
      <c r="J1315" s="127">
        <v>1.1045</v>
      </c>
      <c r="K1315" s="127">
        <v>1.0323</v>
      </c>
      <c r="L1315" s="127">
        <v>0.97560000000000002</v>
      </c>
      <c r="M1315" s="127">
        <v>1.2739</v>
      </c>
      <c r="N1315" s="127">
        <v>1.2847999999999999</v>
      </c>
      <c r="O1315" s="127">
        <v>1.0538000000000001</v>
      </c>
      <c r="P1315" s="126">
        <v>2223</v>
      </c>
      <c r="Q1315" s="128">
        <f t="array" ref="Q1315">SUM(IF(($S1315&gt;=4)*($C1315='TaxCred&amp;Subs'!$D$123:$D$127)*($H1315='TaxCred&amp;Subs'!$C$123:$C$127)*($H1315&lt;='TaxCred&amp;Subs'!$C$129),'TaxCred&amp;Subs'!$E$123:$E$127,0))</f>
        <v>0</v>
      </c>
      <c r="R1315" s="174">
        <v>0</v>
      </c>
      <c r="S1315" s="126">
        <v>2</v>
      </c>
      <c r="T1315" s="126" t="s">
        <v>224</v>
      </c>
      <c r="U1315" s="158"/>
      <c r="V1315" s="153" t="str">
        <f t="array" ref="V1315">INDEX(xlRTCLNAME,MATCH(1,(xlRTCLENDU=1)*(xlRTCLEQCL=$D1315),0))</f>
        <v>DIST_RAD</v>
      </c>
      <c r="W1315" s="153" t="str">
        <f t="array" ref="W1315">INDEX(xlRTCLNAME,MATCH(1,(xlRTCLENDU=2)*(xlRTCLEQCL=$F1315),0))</f>
        <v>CENT_AIR</v>
      </c>
      <c r="X1315" s="153" t="str">
        <f t="array" ref="X1315">INDEX(xlRTTYNAME,MATCH(1,(xlRTTYENDU=1)*(xlRTTYEQCL=$D1315)*(xlRTEQTYPE=$E1315),0))</f>
        <v>DIST_RAD1</v>
      </c>
      <c r="Y1315" s="153" t="str">
        <f t="array" ref="Y1315">INDEX(xlRTTYNAME,MATCH(1,(xlRTTYENDU=2)*(xlRTTYEQCL=$F1315)*(xlRTEQTYPE=$G1315),0))</f>
        <v>CENT_AIR2</v>
      </c>
    </row>
    <row r="1316" spans="2:25" ht="14.25" customHeight="1" x14ac:dyDescent="0.2">
      <c r="B1316" s="126">
        <v>9</v>
      </c>
      <c r="C1316" s="126">
        <v>2</v>
      </c>
      <c r="D1316" s="126">
        <v>8</v>
      </c>
      <c r="E1316" s="126">
        <v>26</v>
      </c>
      <c r="F1316" s="126">
        <v>2</v>
      </c>
      <c r="G1316" s="126">
        <v>5</v>
      </c>
      <c r="H1316" s="126">
        <v>2016</v>
      </c>
      <c r="I1316" s="126">
        <v>2022</v>
      </c>
      <c r="J1316" s="127">
        <v>1.1200000000000001</v>
      </c>
      <c r="K1316" s="127">
        <v>1.0541</v>
      </c>
      <c r="L1316" s="127">
        <v>0.84379999999999999</v>
      </c>
      <c r="M1316" s="127">
        <v>1.2166999999999999</v>
      </c>
      <c r="N1316" s="127">
        <v>1.4438</v>
      </c>
      <c r="O1316" s="127">
        <v>1.0538000000000001</v>
      </c>
      <c r="P1316" s="126">
        <v>1907</v>
      </c>
      <c r="Q1316" s="128">
        <f t="array" ref="Q1316">SUM(IF(($S1316&gt;=4)*($C1316='TaxCred&amp;Subs'!$D$123:$D$127)*($H1316='TaxCred&amp;Subs'!$C$123:$C$127)*($H1316&lt;='TaxCred&amp;Subs'!$C$129),'TaxCred&amp;Subs'!$E$123:$E$127,0))</f>
        <v>0</v>
      </c>
      <c r="R1316" s="174">
        <v>0</v>
      </c>
      <c r="S1316" s="126">
        <v>2</v>
      </c>
      <c r="T1316" s="126" t="s">
        <v>224</v>
      </c>
      <c r="U1316" s="158"/>
      <c r="V1316" s="153" t="str">
        <f t="array" ref="V1316">INDEX(xlRTCLNAME,MATCH(1,(xlRTCLENDU=1)*(xlRTCLEQCL=$D1316),0))</f>
        <v>DIST_RAD</v>
      </c>
      <c r="W1316" s="153" t="str">
        <f t="array" ref="W1316">INDEX(xlRTCLNAME,MATCH(1,(xlRTCLENDU=2)*(xlRTCLEQCL=$F1316),0))</f>
        <v>CENT_AIR</v>
      </c>
      <c r="X1316" s="153" t="str">
        <f t="array" ref="X1316">INDEX(xlRTTYNAME,MATCH(1,(xlRTTYENDU=1)*(xlRTTYEQCL=$D1316)*(xlRTEQTYPE=$E1316),0))</f>
        <v>DIST_RAD1</v>
      </c>
      <c r="Y1316" s="153" t="str">
        <f t="array" ref="Y1316">INDEX(xlRTTYNAME,MATCH(1,(xlRTTYENDU=2)*(xlRTTYEQCL=$F1316)*(xlRTEQTYPE=$G1316),0))</f>
        <v>CENT_AIR1</v>
      </c>
    </row>
    <row r="1317" spans="2:25" ht="14.25" customHeight="1" x14ac:dyDescent="0.2">
      <c r="B1317" s="126">
        <v>9</v>
      </c>
      <c r="C1317" s="126">
        <v>2</v>
      </c>
      <c r="D1317" s="126">
        <v>8</v>
      </c>
      <c r="E1317" s="126">
        <v>26</v>
      </c>
      <c r="F1317" s="126">
        <v>2</v>
      </c>
      <c r="G1317" s="126">
        <v>6</v>
      </c>
      <c r="H1317" s="126">
        <v>2023</v>
      </c>
      <c r="I1317" s="126">
        <v>2050</v>
      </c>
      <c r="J1317" s="127">
        <v>1.1200000000000001</v>
      </c>
      <c r="K1317" s="127">
        <v>1.0541</v>
      </c>
      <c r="L1317" s="127">
        <v>0.84379999999999999</v>
      </c>
      <c r="M1317" s="127">
        <v>1.2166999999999999</v>
      </c>
      <c r="N1317" s="127">
        <v>1.4438</v>
      </c>
      <c r="O1317" s="127">
        <v>1.0538000000000001</v>
      </c>
      <c r="P1317" s="126">
        <v>1907</v>
      </c>
      <c r="Q1317" s="128">
        <f t="array" ref="Q1317">SUM(IF(($S1317&gt;=4)*($C1317='TaxCred&amp;Subs'!$D$123:$D$127)*($H1317='TaxCred&amp;Subs'!$C$123:$C$127)*($H1317&lt;='TaxCred&amp;Subs'!$C$129),'TaxCred&amp;Subs'!$E$123:$E$127,0))</f>
        <v>0</v>
      </c>
      <c r="R1317" s="174">
        <v>0</v>
      </c>
      <c r="S1317" s="126">
        <v>2</v>
      </c>
      <c r="T1317" s="126" t="s">
        <v>224</v>
      </c>
      <c r="U1317" s="158"/>
      <c r="V1317" s="153" t="str">
        <f t="array" ref="V1317">INDEX(xlRTCLNAME,MATCH(1,(xlRTCLENDU=1)*(xlRTCLEQCL=$D1317),0))</f>
        <v>DIST_RAD</v>
      </c>
      <c r="W1317" s="153" t="str">
        <f t="array" ref="W1317">INDEX(xlRTCLNAME,MATCH(1,(xlRTCLENDU=2)*(xlRTCLEQCL=$F1317),0))</f>
        <v>CENT_AIR</v>
      </c>
      <c r="X1317" s="153" t="str">
        <f t="array" ref="X1317">INDEX(xlRTTYNAME,MATCH(1,(xlRTTYENDU=1)*(xlRTTYEQCL=$D1317)*(xlRTEQTYPE=$E1317),0))</f>
        <v>DIST_RAD1</v>
      </c>
      <c r="Y1317" s="153" t="str">
        <f t="array" ref="Y1317">INDEX(xlRTTYNAME,MATCH(1,(xlRTTYENDU=2)*(xlRTTYEQCL=$F1317)*(xlRTEQTYPE=$G1317),0))</f>
        <v>CENT_AIR2</v>
      </c>
    </row>
    <row r="1318" spans="2:25" ht="14.25" customHeight="1" x14ac:dyDescent="0.2">
      <c r="B1318" s="126">
        <v>1</v>
      </c>
      <c r="C1318" s="126">
        <v>2</v>
      </c>
      <c r="D1318" s="126">
        <v>9</v>
      </c>
      <c r="E1318" s="126">
        <v>30</v>
      </c>
      <c r="F1318" s="126">
        <v>2</v>
      </c>
      <c r="G1318" s="126">
        <v>5</v>
      </c>
      <c r="H1318" s="126">
        <v>2016</v>
      </c>
      <c r="I1318" s="126">
        <v>2022</v>
      </c>
      <c r="J1318" s="127">
        <v>1.0864</v>
      </c>
      <c r="K1318" s="127">
        <v>1.0417000000000001</v>
      </c>
      <c r="L1318" s="127">
        <v>0.79600000000000004</v>
      </c>
      <c r="M1318" s="127">
        <v>1.1455</v>
      </c>
      <c r="N1318" s="127">
        <v>1.1156999999999999</v>
      </c>
      <c r="O1318" s="127">
        <v>1.0538000000000001</v>
      </c>
      <c r="P1318" s="126">
        <v>3042</v>
      </c>
      <c r="Q1318" s="128">
        <f t="array" ref="Q1318">SUM(IF(($S1318&gt;=4)*($C1318='TaxCred&amp;Subs'!$D$123:$D$127)*($H1318='TaxCred&amp;Subs'!$C$123:$C$127)*($H1318&lt;='TaxCred&amp;Subs'!$C$129),'TaxCred&amp;Subs'!$E$123:$E$127,0))</f>
        <v>0</v>
      </c>
      <c r="R1318" s="174">
        <v>0</v>
      </c>
      <c r="S1318" s="126">
        <v>2</v>
      </c>
      <c r="T1318" s="126" t="s">
        <v>224</v>
      </c>
      <c r="U1318" s="158"/>
      <c r="V1318" s="153" t="str">
        <f t="array" ref="V1318">INDEX(xlRTCLNAME,MATCH(1,(xlRTCLENDU=1)*(xlRTCLEQCL=$D1318),0))</f>
        <v>WOOD_HT</v>
      </c>
      <c r="W1318" s="153" t="str">
        <f t="array" ref="W1318">INDEX(xlRTCLNAME,MATCH(1,(xlRTCLENDU=2)*(xlRTCLEQCL=$F1318),0))</f>
        <v>CENT_AIR</v>
      </c>
      <c r="X1318" s="153" t="str">
        <f t="array" ref="X1318">INDEX(xlRTTYNAME,MATCH(1,(xlRTTYENDU=1)*(xlRTTYEQCL=$D1318)*(xlRTEQTYPE=$E1318),0))</f>
        <v>WOOD_HT2</v>
      </c>
      <c r="Y1318" s="153" t="str">
        <f t="array" ref="Y1318">INDEX(xlRTTYNAME,MATCH(1,(xlRTTYENDU=2)*(xlRTTYEQCL=$F1318)*(xlRTEQTYPE=$G1318),0))</f>
        <v>CENT_AIR1</v>
      </c>
    </row>
    <row r="1319" spans="2:25" ht="14.25" customHeight="1" x14ac:dyDescent="0.2">
      <c r="B1319" s="126">
        <v>1</v>
      </c>
      <c r="C1319" s="126">
        <v>2</v>
      </c>
      <c r="D1319" s="126">
        <v>9</v>
      </c>
      <c r="E1319" s="126">
        <v>30</v>
      </c>
      <c r="F1319" s="126">
        <v>2</v>
      </c>
      <c r="G1319" s="126">
        <v>6</v>
      </c>
      <c r="H1319" s="126">
        <v>2023</v>
      </c>
      <c r="I1319" s="126">
        <v>2050</v>
      </c>
      <c r="J1319" s="127">
        <v>1.0864</v>
      </c>
      <c r="K1319" s="127">
        <v>1.0417000000000001</v>
      </c>
      <c r="L1319" s="127">
        <v>0.79600000000000004</v>
      </c>
      <c r="M1319" s="127">
        <v>1.1455</v>
      </c>
      <c r="N1319" s="127">
        <v>1.1156999999999999</v>
      </c>
      <c r="O1319" s="127">
        <v>1.0538000000000001</v>
      </c>
      <c r="P1319" s="126">
        <v>3042</v>
      </c>
      <c r="Q1319" s="128">
        <f t="array" ref="Q1319">SUM(IF(($S1319&gt;=4)*($C1319='TaxCred&amp;Subs'!$D$123:$D$127)*($H1319='TaxCred&amp;Subs'!$C$123:$C$127)*($H1319&lt;='TaxCred&amp;Subs'!$C$129),'TaxCred&amp;Subs'!$E$123:$E$127,0))</f>
        <v>0</v>
      </c>
      <c r="R1319" s="174">
        <v>0</v>
      </c>
      <c r="S1319" s="126">
        <v>2</v>
      </c>
      <c r="T1319" s="126" t="s">
        <v>224</v>
      </c>
      <c r="U1319" s="158"/>
      <c r="V1319" s="153" t="str">
        <f t="array" ref="V1319">INDEX(xlRTCLNAME,MATCH(1,(xlRTCLENDU=1)*(xlRTCLEQCL=$D1319),0))</f>
        <v>WOOD_HT</v>
      </c>
      <c r="W1319" s="153" t="str">
        <f t="array" ref="W1319">INDEX(xlRTCLNAME,MATCH(1,(xlRTCLENDU=2)*(xlRTCLEQCL=$F1319),0))</f>
        <v>CENT_AIR</v>
      </c>
      <c r="X1319" s="153" t="str">
        <f t="array" ref="X1319">INDEX(xlRTTYNAME,MATCH(1,(xlRTTYENDU=1)*(xlRTTYEQCL=$D1319)*(xlRTEQTYPE=$E1319),0))</f>
        <v>WOOD_HT2</v>
      </c>
      <c r="Y1319" s="153" t="str">
        <f t="array" ref="Y1319">INDEX(xlRTTYNAME,MATCH(1,(xlRTTYENDU=2)*(xlRTTYEQCL=$F1319)*(xlRTEQTYPE=$G1319),0))</f>
        <v>CENT_AIR2</v>
      </c>
    </row>
    <row r="1320" spans="2:25" ht="14.25" customHeight="1" x14ac:dyDescent="0.2">
      <c r="B1320" s="126">
        <v>2</v>
      </c>
      <c r="C1320" s="126">
        <v>2</v>
      </c>
      <c r="D1320" s="126">
        <v>9</v>
      </c>
      <c r="E1320" s="126">
        <v>30</v>
      </c>
      <c r="F1320" s="126">
        <v>2</v>
      </c>
      <c r="G1320" s="126">
        <v>5</v>
      </c>
      <c r="H1320" s="126">
        <v>2016</v>
      </c>
      <c r="I1320" s="126">
        <v>2022</v>
      </c>
      <c r="J1320" s="127">
        <v>1.0891</v>
      </c>
      <c r="K1320" s="127">
        <v>1.0713999999999999</v>
      </c>
      <c r="L1320" s="127">
        <v>1.0243</v>
      </c>
      <c r="M1320" s="127">
        <v>1.1834</v>
      </c>
      <c r="N1320" s="127">
        <v>1.1254999999999999</v>
      </c>
      <c r="O1320" s="127">
        <v>1.0538000000000001</v>
      </c>
      <c r="P1320" s="126">
        <v>1998</v>
      </c>
      <c r="Q1320" s="128">
        <f t="array" ref="Q1320">SUM(IF(($S1320&gt;=4)*($C1320='TaxCred&amp;Subs'!$D$123:$D$127)*($H1320='TaxCred&amp;Subs'!$C$123:$C$127)*($H1320&lt;='TaxCred&amp;Subs'!$C$129),'TaxCred&amp;Subs'!$E$123:$E$127,0))</f>
        <v>0</v>
      </c>
      <c r="R1320" s="174">
        <v>0</v>
      </c>
      <c r="S1320" s="126">
        <v>2</v>
      </c>
      <c r="T1320" s="126" t="s">
        <v>224</v>
      </c>
      <c r="U1320" s="158"/>
      <c r="V1320" s="153" t="str">
        <f t="array" ref="V1320">INDEX(xlRTCLNAME,MATCH(1,(xlRTCLENDU=1)*(xlRTCLEQCL=$D1320),0))</f>
        <v>WOOD_HT</v>
      </c>
      <c r="W1320" s="153" t="str">
        <f t="array" ref="W1320">INDEX(xlRTCLNAME,MATCH(1,(xlRTCLENDU=2)*(xlRTCLEQCL=$F1320),0))</f>
        <v>CENT_AIR</v>
      </c>
      <c r="X1320" s="153" t="str">
        <f t="array" ref="X1320">INDEX(xlRTTYNAME,MATCH(1,(xlRTTYENDU=1)*(xlRTTYEQCL=$D1320)*(xlRTEQTYPE=$E1320),0))</f>
        <v>WOOD_HT2</v>
      </c>
      <c r="Y1320" s="153" t="str">
        <f t="array" ref="Y1320">INDEX(xlRTTYNAME,MATCH(1,(xlRTTYENDU=2)*(xlRTTYEQCL=$F1320)*(xlRTEQTYPE=$G1320),0))</f>
        <v>CENT_AIR1</v>
      </c>
    </row>
    <row r="1321" spans="2:25" ht="14.25" customHeight="1" x14ac:dyDescent="0.2">
      <c r="B1321" s="126">
        <v>2</v>
      </c>
      <c r="C1321" s="126">
        <v>2</v>
      </c>
      <c r="D1321" s="126">
        <v>9</v>
      </c>
      <c r="E1321" s="126">
        <v>30</v>
      </c>
      <c r="F1321" s="126">
        <v>2</v>
      </c>
      <c r="G1321" s="126">
        <v>6</v>
      </c>
      <c r="H1321" s="126">
        <v>2023</v>
      </c>
      <c r="I1321" s="126">
        <v>2050</v>
      </c>
      <c r="J1321" s="127">
        <v>1.0891</v>
      </c>
      <c r="K1321" s="127">
        <v>1.0713999999999999</v>
      </c>
      <c r="L1321" s="127">
        <v>1.0243</v>
      </c>
      <c r="M1321" s="127">
        <v>1.1834</v>
      </c>
      <c r="N1321" s="127">
        <v>1.1254999999999999</v>
      </c>
      <c r="O1321" s="127">
        <v>1.0538000000000001</v>
      </c>
      <c r="P1321" s="126">
        <v>1998</v>
      </c>
      <c r="Q1321" s="128">
        <f t="array" ref="Q1321">SUM(IF(($S1321&gt;=4)*($C1321='TaxCred&amp;Subs'!$D$123:$D$127)*($H1321='TaxCred&amp;Subs'!$C$123:$C$127)*($H1321&lt;='TaxCred&amp;Subs'!$C$129),'TaxCred&amp;Subs'!$E$123:$E$127,0))</f>
        <v>0</v>
      </c>
      <c r="R1321" s="174">
        <v>0</v>
      </c>
      <c r="S1321" s="126">
        <v>2</v>
      </c>
      <c r="T1321" s="126" t="s">
        <v>224</v>
      </c>
      <c r="U1321" s="158"/>
      <c r="V1321" s="153" t="str">
        <f t="array" ref="V1321">INDEX(xlRTCLNAME,MATCH(1,(xlRTCLENDU=1)*(xlRTCLEQCL=$D1321),0))</f>
        <v>WOOD_HT</v>
      </c>
      <c r="W1321" s="153" t="str">
        <f t="array" ref="W1321">INDEX(xlRTCLNAME,MATCH(1,(xlRTCLENDU=2)*(xlRTCLEQCL=$F1321),0))</f>
        <v>CENT_AIR</v>
      </c>
      <c r="X1321" s="153" t="str">
        <f t="array" ref="X1321">INDEX(xlRTTYNAME,MATCH(1,(xlRTTYENDU=1)*(xlRTTYEQCL=$D1321)*(xlRTEQTYPE=$E1321),0))</f>
        <v>WOOD_HT2</v>
      </c>
      <c r="Y1321" s="153" t="str">
        <f t="array" ref="Y1321">INDEX(xlRTTYNAME,MATCH(1,(xlRTTYENDU=2)*(xlRTTYEQCL=$F1321)*(xlRTEQTYPE=$G1321),0))</f>
        <v>CENT_AIR2</v>
      </c>
    </row>
    <row r="1322" spans="2:25" ht="14.25" customHeight="1" x14ac:dyDescent="0.2">
      <c r="B1322" s="126">
        <v>3</v>
      </c>
      <c r="C1322" s="126">
        <v>2</v>
      </c>
      <c r="D1322" s="126">
        <v>9</v>
      </c>
      <c r="E1322" s="126">
        <v>30</v>
      </c>
      <c r="F1322" s="126">
        <v>2</v>
      </c>
      <c r="G1322" s="126">
        <v>5</v>
      </c>
      <c r="H1322" s="126">
        <v>2016</v>
      </c>
      <c r="I1322" s="126">
        <v>2022</v>
      </c>
      <c r="J1322" s="127">
        <v>1.0962000000000001</v>
      </c>
      <c r="K1322" s="127">
        <v>1.0345</v>
      </c>
      <c r="L1322" s="127">
        <v>0.84689999999999999</v>
      </c>
      <c r="M1322" s="127">
        <v>1.1000000000000001</v>
      </c>
      <c r="N1322" s="127">
        <v>1.0417000000000001</v>
      </c>
      <c r="O1322" s="127">
        <v>1.0538000000000001</v>
      </c>
      <c r="P1322" s="126">
        <v>2421</v>
      </c>
      <c r="Q1322" s="128">
        <f t="array" ref="Q1322">SUM(IF(($S1322&gt;=4)*($C1322='TaxCred&amp;Subs'!$D$123:$D$127)*($H1322='TaxCred&amp;Subs'!$C$123:$C$127)*($H1322&lt;='TaxCred&amp;Subs'!$C$129),'TaxCred&amp;Subs'!$E$123:$E$127,0))</f>
        <v>0</v>
      </c>
      <c r="R1322" s="174">
        <v>0</v>
      </c>
      <c r="S1322" s="126">
        <v>2</v>
      </c>
      <c r="T1322" s="126" t="s">
        <v>224</v>
      </c>
      <c r="U1322" s="158"/>
      <c r="V1322" s="153" t="str">
        <f t="array" ref="V1322">INDEX(xlRTCLNAME,MATCH(1,(xlRTCLENDU=1)*(xlRTCLEQCL=$D1322),0))</f>
        <v>WOOD_HT</v>
      </c>
      <c r="W1322" s="153" t="str">
        <f t="array" ref="W1322">INDEX(xlRTCLNAME,MATCH(1,(xlRTCLENDU=2)*(xlRTCLEQCL=$F1322),0))</f>
        <v>CENT_AIR</v>
      </c>
      <c r="X1322" s="153" t="str">
        <f t="array" ref="X1322">INDEX(xlRTTYNAME,MATCH(1,(xlRTTYENDU=1)*(xlRTTYEQCL=$D1322)*(xlRTEQTYPE=$E1322),0))</f>
        <v>WOOD_HT2</v>
      </c>
      <c r="Y1322" s="153" t="str">
        <f t="array" ref="Y1322">INDEX(xlRTTYNAME,MATCH(1,(xlRTTYENDU=2)*(xlRTTYEQCL=$F1322)*(xlRTEQTYPE=$G1322),0))</f>
        <v>CENT_AIR1</v>
      </c>
    </row>
    <row r="1323" spans="2:25" ht="14.25" customHeight="1" x14ac:dyDescent="0.2">
      <c r="B1323" s="126">
        <v>3</v>
      </c>
      <c r="C1323" s="126">
        <v>2</v>
      </c>
      <c r="D1323" s="126">
        <v>9</v>
      </c>
      <c r="E1323" s="126">
        <v>30</v>
      </c>
      <c r="F1323" s="126">
        <v>2</v>
      </c>
      <c r="G1323" s="126">
        <v>6</v>
      </c>
      <c r="H1323" s="126">
        <v>2023</v>
      </c>
      <c r="I1323" s="126">
        <v>2050</v>
      </c>
      <c r="J1323" s="127">
        <v>1.0962000000000001</v>
      </c>
      <c r="K1323" s="127">
        <v>1.0345</v>
      </c>
      <c r="L1323" s="127">
        <v>0.84689999999999999</v>
      </c>
      <c r="M1323" s="127">
        <v>1.1000000000000001</v>
      </c>
      <c r="N1323" s="127">
        <v>1.0417000000000001</v>
      </c>
      <c r="O1323" s="127">
        <v>1.0538000000000001</v>
      </c>
      <c r="P1323" s="126">
        <v>2421</v>
      </c>
      <c r="Q1323" s="128">
        <f t="array" ref="Q1323">SUM(IF(($S1323&gt;=4)*($C1323='TaxCred&amp;Subs'!$D$123:$D$127)*($H1323='TaxCred&amp;Subs'!$C$123:$C$127)*($H1323&lt;='TaxCred&amp;Subs'!$C$129),'TaxCred&amp;Subs'!$E$123:$E$127,0))</f>
        <v>0</v>
      </c>
      <c r="R1323" s="174">
        <v>0</v>
      </c>
      <c r="S1323" s="126">
        <v>2</v>
      </c>
      <c r="T1323" s="126" t="s">
        <v>224</v>
      </c>
      <c r="U1323" s="158"/>
      <c r="V1323" s="153" t="str">
        <f t="array" ref="V1323">INDEX(xlRTCLNAME,MATCH(1,(xlRTCLENDU=1)*(xlRTCLEQCL=$D1323),0))</f>
        <v>WOOD_HT</v>
      </c>
      <c r="W1323" s="153" t="str">
        <f t="array" ref="W1323">INDEX(xlRTCLNAME,MATCH(1,(xlRTCLENDU=2)*(xlRTCLEQCL=$F1323),0))</f>
        <v>CENT_AIR</v>
      </c>
      <c r="X1323" s="153" t="str">
        <f t="array" ref="X1323">INDEX(xlRTTYNAME,MATCH(1,(xlRTTYENDU=1)*(xlRTTYEQCL=$D1323)*(xlRTEQTYPE=$E1323),0))</f>
        <v>WOOD_HT2</v>
      </c>
      <c r="Y1323" s="153" t="str">
        <f t="array" ref="Y1323">INDEX(xlRTTYNAME,MATCH(1,(xlRTTYENDU=2)*(xlRTTYEQCL=$F1323)*(xlRTEQTYPE=$G1323),0))</f>
        <v>CENT_AIR2</v>
      </c>
    </row>
    <row r="1324" spans="2:25" ht="14.25" customHeight="1" x14ac:dyDescent="0.2">
      <c r="B1324" s="126">
        <v>4</v>
      </c>
      <c r="C1324" s="126">
        <v>2</v>
      </c>
      <c r="D1324" s="126">
        <v>9</v>
      </c>
      <c r="E1324" s="126">
        <v>30</v>
      </c>
      <c r="F1324" s="126">
        <v>2</v>
      </c>
      <c r="G1324" s="126">
        <v>5</v>
      </c>
      <c r="H1324" s="126">
        <v>2016</v>
      </c>
      <c r="I1324" s="126">
        <v>2022</v>
      </c>
      <c r="J1324" s="127">
        <v>1.1024</v>
      </c>
      <c r="K1324" s="127">
        <v>1.0435000000000001</v>
      </c>
      <c r="L1324" s="127">
        <v>1.0007999999999999</v>
      </c>
      <c r="M1324" s="127">
        <v>1.175</v>
      </c>
      <c r="N1324" s="127">
        <v>1.1678999999999999</v>
      </c>
      <c r="O1324" s="127">
        <v>1.0538000000000001</v>
      </c>
      <c r="P1324" s="126">
        <v>2095</v>
      </c>
      <c r="Q1324" s="128">
        <f t="array" ref="Q1324">SUM(IF(($S1324&gt;=4)*($C1324='TaxCred&amp;Subs'!$D$123:$D$127)*($H1324='TaxCred&amp;Subs'!$C$123:$C$127)*($H1324&lt;='TaxCred&amp;Subs'!$C$129),'TaxCred&amp;Subs'!$E$123:$E$127,0))</f>
        <v>0</v>
      </c>
      <c r="R1324" s="174">
        <v>0</v>
      </c>
      <c r="S1324" s="126">
        <v>2</v>
      </c>
      <c r="T1324" s="126" t="s">
        <v>224</v>
      </c>
      <c r="U1324" s="158"/>
      <c r="V1324" s="153" t="str">
        <f t="array" ref="V1324">INDEX(xlRTCLNAME,MATCH(1,(xlRTCLENDU=1)*(xlRTCLEQCL=$D1324),0))</f>
        <v>WOOD_HT</v>
      </c>
      <c r="W1324" s="153" t="str">
        <f t="array" ref="W1324">INDEX(xlRTCLNAME,MATCH(1,(xlRTCLENDU=2)*(xlRTCLEQCL=$F1324),0))</f>
        <v>CENT_AIR</v>
      </c>
      <c r="X1324" s="153" t="str">
        <f t="array" ref="X1324">INDEX(xlRTTYNAME,MATCH(1,(xlRTTYENDU=1)*(xlRTTYEQCL=$D1324)*(xlRTEQTYPE=$E1324),0))</f>
        <v>WOOD_HT2</v>
      </c>
      <c r="Y1324" s="153" t="str">
        <f t="array" ref="Y1324">INDEX(xlRTTYNAME,MATCH(1,(xlRTTYENDU=2)*(xlRTTYEQCL=$F1324)*(xlRTEQTYPE=$G1324),0))</f>
        <v>CENT_AIR1</v>
      </c>
    </row>
    <row r="1325" spans="2:25" ht="14.25" customHeight="1" x14ac:dyDescent="0.2">
      <c r="B1325" s="126">
        <v>4</v>
      </c>
      <c r="C1325" s="126">
        <v>2</v>
      </c>
      <c r="D1325" s="126">
        <v>9</v>
      </c>
      <c r="E1325" s="126">
        <v>30</v>
      </c>
      <c r="F1325" s="126">
        <v>2</v>
      </c>
      <c r="G1325" s="126">
        <v>6</v>
      </c>
      <c r="H1325" s="126">
        <v>2023</v>
      </c>
      <c r="I1325" s="126">
        <v>2050</v>
      </c>
      <c r="J1325" s="127">
        <v>1.1024</v>
      </c>
      <c r="K1325" s="127">
        <v>1.0435000000000001</v>
      </c>
      <c r="L1325" s="127">
        <v>1.0007999999999999</v>
      </c>
      <c r="M1325" s="127">
        <v>1.175</v>
      </c>
      <c r="N1325" s="127">
        <v>1.1678999999999999</v>
      </c>
      <c r="O1325" s="127">
        <v>1.0538000000000001</v>
      </c>
      <c r="P1325" s="126">
        <v>2095</v>
      </c>
      <c r="Q1325" s="128">
        <f t="array" ref="Q1325">SUM(IF(($S1325&gt;=4)*($C1325='TaxCred&amp;Subs'!$D$123:$D$127)*($H1325='TaxCred&amp;Subs'!$C$123:$C$127)*($H1325&lt;='TaxCred&amp;Subs'!$C$129),'TaxCred&amp;Subs'!$E$123:$E$127,0))</f>
        <v>0</v>
      </c>
      <c r="R1325" s="174">
        <v>0</v>
      </c>
      <c r="S1325" s="126">
        <v>2</v>
      </c>
      <c r="T1325" s="126" t="s">
        <v>224</v>
      </c>
      <c r="U1325" s="158"/>
      <c r="V1325" s="153" t="str">
        <f t="array" ref="V1325">INDEX(xlRTCLNAME,MATCH(1,(xlRTCLENDU=1)*(xlRTCLEQCL=$D1325),0))</f>
        <v>WOOD_HT</v>
      </c>
      <c r="W1325" s="153" t="str">
        <f t="array" ref="W1325">INDEX(xlRTCLNAME,MATCH(1,(xlRTCLENDU=2)*(xlRTCLEQCL=$F1325),0))</f>
        <v>CENT_AIR</v>
      </c>
      <c r="X1325" s="153" t="str">
        <f t="array" ref="X1325">INDEX(xlRTTYNAME,MATCH(1,(xlRTTYENDU=1)*(xlRTTYEQCL=$D1325)*(xlRTEQTYPE=$E1325),0))</f>
        <v>WOOD_HT2</v>
      </c>
      <c r="Y1325" s="153" t="str">
        <f t="array" ref="Y1325">INDEX(xlRTTYNAME,MATCH(1,(xlRTTYENDU=2)*(xlRTTYEQCL=$F1325)*(xlRTEQTYPE=$G1325),0))</f>
        <v>CENT_AIR2</v>
      </c>
    </row>
    <row r="1326" spans="2:25" ht="14.25" customHeight="1" x14ac:dyDescent="0.2">
      <c r="B1326" s="126">
        <v>5</v>
      </c>
      <c r="C1326" s="126">
        <v>2</v>
      </c>
      <c r="D1326" s="126">
        <v>9</v>
      </c>
      <c r="E1326" s="126">
        <v>30</v>
      </c>
      <c r="F1326" s="126">
        <v>2</v>
      </c>
      <c r="G1326" s="126">
        <v>5</v>
      </c>
      <c r="H1326" s="126">
        <v>2016</v>
      </c>
      <c r="I1326" s="126">
        <v>2022</v>
      </c>
      <c r="J1326" s="127">
        <v>1.03</v>
      </c>
      <c r="K1326" s="127">
        <v>1.03</v>
      </c>
      <c r="L1326" s="127">
        <v>0.67459999999999998</v>
      </c>
      <c r="M1326" s="127">
        <v>1.1097999999999999</v>
      </c>
      <c r="N1326" s="127">
        <v>1.3003</v>
      </c>
      <c r="O1326" s="127">
        <v>1.0538000000000001</v>
      </c>
      <c r="P1326" s="126">
        <v>1782</v>
      </c>
      <c r="Q1326" s="128">
        <f t="array" ref="Q1326">SUM(IF(($S1326&gt;=4)*($C1326='TaxCred&amp;Subs'!$D$123:$D$127)*($H1326='TaxCred&amp;Subs'!$C$123:$C$127)*($H1326&lt;='TaxCred&amp;Subs'!$C$129),'TaxCred&amp;Subs'!$E$123:$E$127,0))</f>
        <v>0</v>
      </c>
      <c r="R1326" s="174">
        <v>0</v>
      </c>
      <c r="S1326" s="126">
        <v>2</v>
      </c>
      <c r="T1326" s="126" t="s">
        <v>224</v>
      </c>
      <c r="U1326" s="158"/>
      <c r="V1326" s="153" t="str">
        <f t="array" ref="V1326">INDEX(xlRTCLNAME,MATCH(1,(xlRTCLENDU=1)*(xlRTCLEQCL=$D1326),0))</f>
        <v>WOOD_HT</v>
      </c>
      <c r="W1326" s="153" t="str">
        <f t="array" ref="W1326">INDEX(xlRTCLNAME,MATCH(1,(xlRTCLENDU=2)*(xlRTCLEQCL=$F1326),0))</f>
        <v>CENT_AIR</v>
      </c>
      <c r="X1326" s="153" t="str">
        <f t="array" ref="X1326">INDEX(xlRTTYNAME,MATCH(1,(xlRTTYENDU=1)*(xlRTTYEQCL=$D1326)*(xlRTEQTYPE=$E1326),0))</f>
        <v>WOOD_HT2</v>
      </c>
      <c r="Y1326" s="153" t="str">
        <f t="array" ref="Y1326">INDEX(xlRTTYNAME,MATCH(1,(xlRTTYENDU=2)*(xlRTTYEQCL=$F1326)*(xlRTEQTYPE=$G1326),0))</f>
        <v>CENT_AIR1</v>
      </c>
    </row>
    <row r="1327" spans="2:25" ht="14.25" customHeight="1" x14ac:dyDescent="0.2">
      <c r="B1327" s="126">
        <v>5</v>
      </c>
      <c r="C1327" s="126">
        <v>2</v>
      </c>
      <c r="D1327" s="126">
        <v>9</v>
      </c>
      <c r="E1327" s="126">
        <v>30</v>
      </c>
      <c r="F1327" s="126">
        <v>2</v>
      </c>
      <c r="G1327" s="126">
        <v>6</v>
      </c>
      <c r="H1327" s="126">
        <v>2023</v>
      </c>
      <c r="I1327" s="126">
        <v>2050</v>
      </c>
      <c r="J1327" s="127">
        <v>1.03</v>
      </c>
      <c r="K1327" s="127">
        <v>1.03</v>
      </c>
      <c r="L1327" s="127">
        <v>0.67459999999999998</v>
      </c>
      <c r="M1327" s="127">
        <v>1.1097999999999999</v>
      </c>
      <c r="N1327" s="127">
        <v>1.3003</v>
      </c>
      <c r="O1327" s="127">
        <v>1.0538000000000001</v>
      </c>
      <c r="P1327" s="126">
        <v>1782</v>
      </c>
      <c r="Q1327" s="128">
        <f t="array" ref="Q1327">SUM(IF(($S1327&gt;=4)*($C1327='TaxCred&amp;Subs'!$D$123:$D$127)*($H1327='TaxCred&amp;Subs'!$C$123:$C$127)*($H1327&lt;='TaxCred&amp;Subs'!$C$129),'TaxCred&amp;Subs'!$E$123:$E$127,0))</f>
        <v>0</v>
      </c>
      <c r="R1327" s="174">
        <v>0</v>
      </c>
      <c r="S1327" s="126">
        <v>2</v>
      </c>
      <c r="T1327" s="126" t="s">
        <v>224</v>
      </c>
      <c r="U1327" s="158"/>
      <c r="V1327" s="153" t="str">
        <f t="array" ref="V1327">INDEX(xlRTCLNAME,MATCH(1,(xlRTCLENDU=1)*(xlRTCLEQCL=$D1327),0))</f>
        <v>WOOD_HT</v>
      </c>
      <c r="W1327" s="153" t="str">
        <f t="array" ref="W1327">INDEX(xlRTCLNAME,MATCH(1,(xlRTCLENDU=2)*(xlRTCLEQCL=$F1327),0))</f>
        <v>CENT_AIR</v>
      </c>
      <c r="X1327" s="153" t="str">
        <f t="array" ref="X1327">INDEX(xlRTTYNAME,MATCH(1,(xlRTTYENDU=1)*(xlRTTYEQCL=$D1327)*(xlRTEQTYPE=$E1327),0))</f>
        <v>WOOD_HT2</v>
      </c>
      <c r="Y1327" s="153" t="str">
        <f t="array" ref="Y1327">INDEX(xlRTTYNAME,MATCH(1,(xlRTTYENDU=2)*(xlRTTYEQCL=$F1327)*(xlRTEQTYPE=$G1327),0))</f>
        <v>CENT_AIR2</v>
      </c>
    </row>
    <row r="1328" spans="2:25" ht="14.25" customHeight="1" x14ac:dyDescent="0.2">
      <c r="B1328" s="126">
        <v>6</v>
      </c>
      <c r="C1328" s="126">
        <v>2</v>
      </c>
      <c r="D1328" s="126">
        <v>9</v>
      </c>
      <c r="E1328" s="126">
        <v>30</v>
      </c>
      <c r="F1328" s="126">
        <v>2</v>
      </c>
      <c r="G1328" s="126">
        <v>5</v>
      </c>
      <c r="H1328" s="126">
        <v>2016</v>
      </c>
      <c r="I1328" s="126">
        <v>2022</v>
      </c>
      <c r="J1328" s="127">
        <v>1.1200000000000001</v>
      </c>
      <c r="K1328" s="127">
        <v>1.0417000000000001</v>
      </c>
      <c r="L1328" s="127">
        <v>1.0438000000000001</v>
      </c>
      <c r="M1328" s="127">
        <v>1.1455</v>
      </c>
      <c r="N1328" s="127">
        <v>1.3656999999999999</v>
      </c>
      <c r="O1328" s="127">
        <v>1.0538000000000001</v>
      </c>
      <c r="P1328" s="126">
        <v>1998</v>
      </c>
      <c r="Q1328" s="128">
        <f t="array" ref="Q1328">SUM(IF(($S1328&gt;=4)*($C1328='TaxCred&amp;Subs'!$D$123:$D$127)*($H1328='TaxCred&amp;Subs'!$C$123:$C$127)*($H1328&lt;='TaxCred&amp;Subs'!$C$129),'TaxCred&amp;Subs'!$E$123:$E$127,0))</f>
        <v>0</v>
      </c>
      <c r="R1328" s="174">
        <v>0</v>
      </c>
      <c r="S1328" s="126">
        <v>2</v>
      </c>
      <c r="T1328" s="126" t="s">
        <v>224</v>
      </c>
      <c r="U1328" s="158"/>
      <c r="V1328" s="153" t="str">
        <f t="array" ref="V1328">INDEX(xlRTCLNAME,MATCH(1,(xlRTCLENDU=1)*(xlRTCLEQCL=$D1328),0))</f>
        <v>WOOD_HT</v>
      </c>
      <c r="W1328" s="153" t="str">
        <f t="array" ref="W1328">INDEX(xlRTCLNAME,MATCH(1,(xlRTCLENDU=2)*(xlRTCLEQCL=$F1328),0))</f>
        <v>CENT_AIR</v>
      </c>
      <c r="X1328" s="153" t="str">
        <f t="array" ref="X1328">INDEX(xlRTTYNAME,MATCH(1,(xlRTTYENDU=1)*(xlRTTYEQCL=$D1328)*(xlRTEQTYPE=$E1328),0))</f>
        <v>WOOD_HT2</v>
      </c>
      <c r="Y1328" s="153" t="str">
        <f t="array" ref="Y1328">INDEX(xlRTTYNAME,MATCH(1,(xlRTTYENDU=2)*(xlRTTYEQCL=$F1328)*(xlRTEQTYPE=$G1328),0))</f>
        <v>CENT_AIR1</v>
      </c>
    </row>
    <row r="1329" spans="2:25" ht="14.25" customHeight="1" x14ac:dyDescent="0.2">
      <c r="B1329" s="126">
        <v>6</v>
      </c>
      <c r="C1329" s="126">
        <v>2</v>
      </c>
      <c r="D1329" s="126">
        <v>9</v>
      </c>
      <c r="E1329" s="126">
        <v>30</v>
      </c>
      <c r="F1329" s="126">
        <v>2</v>
      </c>
      <c r="G1329" s="126">
        <v>6</v>
      </c>
      <c r="H1329" s="126">
        <v>2023</v>
      </c>
      <c r="I1329" s="126">
        <v>2050</v>
      </c>
      <c r="J1329" s="127">
        <v>1.1200000000000001</v>
      </c>
      <c r="K1329" s="127">
        <v>1.0417000000000001</v>
      </c>
      <c r="L1329" s="127">
        <v>1.0438000000000001</v>
      </c>
      <c r="M1329" s="127">
        <v>1.1455</v>
      </c>
      <c r="N1329" s="127">
        <v>1.3656999999999999</v>
      </c>
      <c r="O1329" s="127">
        <v>1.0538000000000001</v>
      </c>
      <c r="P1329" s="126">
        <v>1998</v>
      </c>
      <c r="Q1329" s="128">
        <f t="array" ref="Q1329">SUM(IF(($S1329&gt;=4)*($C1329='TaxCred&amp;Subs'!$D$123:$D$127)*($H1329='TaxCred&amp;Subs'!$C$123:$C$127)*($H1329&lt;='TaxCred&amp;Subs'!$C$129),'TaxCred&amp;Subs'!$E$123:$E$127,0))</f>
        <v>0</v>
      </c>
      <c r="R1329" s="174">
        <v>0</v>
      </c>
      <c r="S1329" s="126">
        <v>2</v>
      </c>
      <c r="T1329" s="126" t="s">
        <v>224</v>
      </c>
      <c r="U1329" s="158"/>
      <c r="V1329" s="153" t="str">
        <f t="array" ref="V1329">INDEX(xlRTCLNAME,MATCH(1,(xlRTCLENDU=1)*(xlRTCLEQCL=$D1329),0))</f>
        <v>WOOD_HT</v>
      </c>
      <c r="W1329" s="153" t="str">
        <f t="array" ref="W1329">INDEX(xlRTCLNAME,MATCH(1,(xlRTCLENDU=2)*(xlRTCLEQCL=$F1329),0))</f>
        <v>CENT_AIR</v>
      </c>
      <c r="X1329" s="153" t="str">
        <f t="array" ref="X1329">INDEX(xlRTTYNAME,MATCH(1,(xlRTTYENDU=1)*(xlRTTYEQCL=$D1329)*(xlRTEQTYPE=$E1329),0))</f>
        <v>WOOD_HT2</v>
      </c>
      <c r="Y1329" s="153" t="str">
        <f t="array" ref="Y1329">INDEX(xlRTTYNAME,MATCH(1,(xlRTTYENDU=2)*(xlRTTYEQCL=$F1329)*(xlRTEQTYPE=$G1329),0))</f>
        <v>CENT_AIR2</v>
      </c>
    </row>
    <row r="1330" spans="2:25" ht="14.25" customHeight="1" x14ac:dyDescent="0.2">
      <c r="B1330" s="126">
        <v>7</v>
      </c>
      <c r="C1330" s="126">
        <v>2</v>
      </c>
      <c r="D1330" s="126">
        <v>9</v>
      </c>
      <c r="E1330" s="126">
        <v>30</v>
      </c>
      <c r="F1330" s="126">
        <v>2</v>
      </c>
      <c r="G1330" s="126">
        <v>5</v>
      </c>
      <c r="H1330" s="126">
        <v>2016</v>
      </c>
      <c r="I1330" s="126">
        <v>2022</v>
      </c>
      <c r="J1330" s="127">
        <v>1.1200000000000001</v>
      </c>
      <c r="K1330" s="127">
        <v>1.0462</v>
      </c>
      <c r="L1330" s="127">
        <v>0.74380000000000002</v>
      </c>
      <c r="M1330" s="127">
        <v>1.1604000000000001</v>
      </c>
      <c r="N1330" s="127">
        <v>1.4438</v>
      </c>
      <c r="O1330" s="127">
        <v>1.0538000000000001</v>
      </c>
      <c r="P1330" s="126">
        <v>1342</v>
      </c>
      <c r="Q1330" s="128">
        <f t="array" ref="Q1330">SUM(IF(($S1330&gt;=4)*($C1330='TaxCred&amp;Subs'!$D$123:$D$127)*($H1330='TaxCred&amp;Subs'!$C$123:$C$127)*($H1330&lt;='TaxCred&amp;Subs'!$C$129),'TaxCred&amp;Subs'!$E$123:$E$127,0))</f>
        <v>0</v>
      </c>
      <c r="R1330" s="174">
        <v>0</v>
      </c>
      <c r="S1330" s="126">
        <v>2</v>
      </c>
      <c r="T1330" s="126" t="s">
        <v>224</v>
      </c>
      <c r="U1330" s="158"/>
      <c r="V1330" s="153" t="str">
        <f t="array" ref="V1330">INDEX(xlRTCLNAME,MATCH(1,(xlRTCLENDU=1)*(xlRTCLEQCL=$D1330),0))</f>
        <v>WOOD_HT</v>
      </c>
      <c r="W1330" s="153" t="str">
        <f t="array" ref="W1330">INDEX(xlRTCLNAME,MATCH(1,(xlRTCLENDU=2)*(xlRTCLEQCL=$F1330),0))</f>
        <v>CENT_AIR</v>
      </c>
      <c r="X1330" s="153" t="str">
        <f t="array" ref="X1330">INDEX(xlRTTYNAME,MATCH(1,(xlRTTYENDU=1)*(xlRTTYEQCL=$D1330)*(xlRTEQTYPE=$E1330),0))</f>
        <v>WOOD_HT2</v>
      </c>
      <c r="Y1330" s="153" t="str">
        <f t="array" ref="Y1330">INDEX(xlRTTYNAME,MATCH(1,(xlRTTYENDU=2)*(xlRTTYEQCL=$F1330)*(xlRTEQTYPE=$G1330),0))</f>
        <v>CENT_AIR1</v>
      </c>
    </row>
    <row r="1331" spans="2:25" ht="14.25" customHeight="1" x14ac:dyDescent="0.2">
      <c r="B1331" s="126">
        <v>7</v>
      </c>
      <c r="C1331" s="126">
        <v>2</v>
      </c>
      <c r="D1331" s="126">
        <v>9</v>
      </c>
      <c r="E1331" s="126">
        <v>30</v>
      </c>
      <c r="F1331" s="126">
        <v>2</v>
      </c>
      <c r="G1331" s="126">
        <v>6</v>
      </c>
      <c r="H1331" s="126">
        <v>2023</v>
      </c>
      <c r="I1331" s="126">
        <v>2050</v>
      </c>
      <c r="J1331" s="127">
        <v>1.1200000000000001</v>
      </c>
      <c r="K1331" s="127">
        <v>1.0462</v>
      </c>
      <c r="L1331" s="127">
        <v>0.74380000000000002</v>
      </c>
      <c r="M1331" s="127">
        <v>1.1604000000000001</v>
      </c>
      <c r="N1331" s="127">
        <v>1.4438</v>
      </c>
      <c r="O1331" s="127">
        <v>1.0538000000000001</v>
      </c>
      <c r="P1331" s="126">
        <v>1342</v>
      </c>
      <c r="Q1331" s="128">
        <f t="array" ref="Q1331">SUM(IF(($S1331&gt;=4)*($C1331='TaxCred&amp;Subs'!$D$123:$D$127)*($H1331='TaxCred&amp;Subs'!$C$123:$C$127)*($H1331&lt;='TaxCred&amp;Subs'!$C$129),'TaxCred&amp;Subs'!$E$123:$E$127,0))</f>
        <v>0</v>
      </c>
      <c r="R1331" s="174">
        <v>0</v>
      </c>
      <c r="S1331" s="126">
        <v>2</v>
      </c>
      <c r="T1331" s="126" t="s">
        <v>224</v>
      </c>
      <c r="U1331" s="158"/>
      <c r="V1331" s="153" t="str">
        <f t="array" ref="V1331">INDEX(xlRTCLNAME,MATCH(1,(xlRTCLENDU=1)*(xlRTCLEQCL=$D1331),0))</f>
        <v>WOOD_HT</v>
      </c>
      <c r="W1331" s="153" t="str">
        <f t="array" ref="W1331">INDEX(xlRTCLNAME,MATCH(1,(xlRTCLENDU=2)*(xlRTCLEQCL=$F1331),0))</f>
        <v>CENT_AIR</v>
      </c>
      <c r="X1331" s="153" t="str">
        <f t="array" ref="X1331">INDEX(xlRTTYNAME,MATCH(1,(xlRTTYENDU=1)*(xlRTTYEQCL=$D1331)*(xlRTEQTYPE=$E1331),0))</f>
        <v>WOOD_HT2</v>
      </c>
      <c r="Y1331" s="153" t="str">
        <f t="array" ref="Y1331">INDEX(xlRTTYNAME,MATCH(1,(xlRTTYENDU=2)*(xlRTTYEQCL=$F1331)*(xlRTEQTYPE=$G1331),0))</f>
        <v>CENT_AIR2</v>
      </c>
    </row>
    <row r="1332" spans="2:25" ht="14.25" customHeight="1" x14ac:dyDescent="0.2">
      <c r="B1332" s="126">
        <v>8</v>
      </c>
      <c r="C1332" s="126">
        <v>2</v>
      </c>
      <c r="D1332" s="126">
        <v>9</v>
      </c>
      <c r="E1332" s="126">
        <v>30</v>
      </c>
      <c r="F1332" s="126">
        <v>2</v>
      </c>
      <c r="G1332" s="126">
        <v>5</v>
      </c>
      <c r="H1332" s="126">
        <v>2016</v>
      </c>
      <c r="I1332" s="126">
        <v>2022</v>
      </c>
      <c r="J1332" s="127">
        <v>1.1045</v>
      </c>
      <c r="K1332" s="127">
        <v>1.0323</v>
      </c>
      <c r="L1332" s="127">
        <v>0.97560000000000002</v>
      </c>
      <c r="M1332" s="127">
        <v>1.2739</v>
      </c>
      <c r="N1332" s="127">
        <v>1.2847999999999999</v>
      </c>
      <c r="O1332" s="127">
        <v>1.0538000000000001</v>
      </c>
      <c r="P1332" s="126">
        <v>2223</v>
      </c>
      <c r="Q1332" s="128">
        <f t="array" ref="Q1332">SUM(IF(($S1332&gt;=4)*($C1332='TaxCred&amp;Subs'!$D$123:$D$127)*($H1332='TaxCred&amp;Subs'!$C$123:$C$127)*($H1332&lt;='TaxCred&amp;Subs'!$C$129),'TaxCred&amp;Subs'!$E$123:$E$127,0))</f>
        <v>0</v>
      </c>
      <c r="R1332" s="174">
        <v>0</v>
      </c>
      <c r="S1332" s="126">
        <v>2</v>
      </c>
      <c r="T1332" s="126" t="s">
        <v>224</v>
      </c>
      <c r="U1332" s="158"/>
      <c r="V1332" s="153" t="str">
        <f t="array" ref="V1332">INDEX(xlRTCLNAME,MATCH(1,(xlRTCLENDU=1)*(xlRTCLEQCL=$D1332),0))</f>
        <v>WOOD_HT</v>
      </c>
      <c r="W1332" s="153" t="str">
        <f t="array" ref="W1332">INDEX(xlRTCLNAME,MATCH(1,(xlRTCLENDU=2)*(xlRTCLEQCL=$F1332),0))</f>
        <v>CENT_AIR</v>
      </c>
      <c r="X1332" s="153" t="str">
        <f t="array" ref="X1332">INDEX(xlRTTYNAME,MATCH(1,(xlRTTYENDU=1)*(xlRTTYEQCL=$D1332)*(xlRTEQTYPE=$E1332),0))</f>
        <v>WOOD_HT2</v>
      </c>
      <c r="Y1332" s="153" t="str">
        <f t="array" ref="Y1332">INDEX(xlRTTYNAME,MATCH(1,(xlRTTYENDU=2)*(xlRTTYEQCL=$F1332)*(xlRTEQTYPE=$G1332),0))</f>
        <v>CENT_AIR1</v>
      </c>
    </row>
    <row r="1333" spans="2:25" ht="14.25" customHeight="1" x14ac:dyDescent="0.2">
      <c r="B1333" s="126">
        <v>8</v>
      </c>
      <c r="C1333" s="126">
        <v>2</v>
      </c>
      <c r="D1333" s="126">
        <v>9</v>
      </c>
      <c r="E1333" s="126">
        <v>30</v>
      </c>
      <c r="F1333" s="126">
        <v>2</v>
      </c>
      <c r="G1333" s="126">
        <v>6</v>
      </c>
      <c r="H1333" s="126">
        <v>2023</v>
      </c>
      <c r="I1333" s="126">
        <v>2050</v>
      </c>
      <c r="J1333" s="127">
        <v>1.1045</v>
      </c>
      <c r="K1333" s="127">
        <v>1.0323</v>
      </c>
      <c r="L1333" s="127">
        <v>0.97560000000000002</v>
      </c>
      <c r="M1333" s="127">
        <v>1.2739</v>
      </c>
      <c r="N1333" s="127">
        <v>1.2847999999999999</v>
      </c>
      <c r="O1333" s="127">
        <v>1.0538000000000001</v>
      </c>
      <c r="P1333" s="126">
        <v>2223</v>
      </c>
      <c r="Q1333" s="128">
        <f t="array" ref="Q1333">SUM(IF(($S1333&gt;=4)*($C1333='TaxCred&amp;Subs'!$D$123:$D$127)*($H1333='TaxCred&amp;Subs'!$C$123:$C$127)*($H1333&lt;='TaxCred&amp;Subs'!$C$129),'TaxCred&amp;Subs'!$E$123:$E$127,0))</f>
        <v>0</v>
      </c>
      <c r="R1333" s="174">
        <v>0</v>
      </c>
      <c r="S1333" s="126">
        <v>2</v>
      </c>
      <c r="T1333" s="126" t="s">
        <v>224</v>
      </c>
      <c r="U1333" s="158"/>
      <c r="V1333" s="153" t="str">
        <f t="array" ref="V1333">INDEX(xlRTCLNAME,MATCH(1,(xlRTCLENDU=1)*(xlRTCLEQCL=$D1333),0))</f>
        <v>WOOD_HT</v>
      </c>
      <c r="W1333" s="153" t="str">
        <f t="array" ref="W1333">INDEX(xlRTCLNAME,MATCH(1,(xlRTCLENDU=2)*(xlRTCLEQCL=$F1333),0))</f>
        <v>CENT_AIR</v>
      </c>
      <c r="X1333" s="153" t="str">
        <f t="array" ref="X1333">INDEX(xlRTTYNAME,MATCH(1,(xlRTTYENDU=1)*(xlRTTYEQCL=$D1333)*(xlRTEQTYPE=$E1333),0))</f>
        <v>WOOD_HT2</v>
      </c>
      <c r="Y1333" s="153" t="str">
        <f t="array" ref="Y1333">INDEX(xlRTTYNAME,MATCH(1,(xlRTTYENDU=2)*(xlRTTYEQCL=$F1333)*(xlRTEQTYPE=$G1333),0))</f>
        <v>CENT_AIR2</v>
      </c>
    </row>
    <row r="1334" spans="2:25" ht="14.25" customHeight="1" x14ac:dyDescent="0.2">
      <c r="B1334" s="126">
        <v>9</v>
      </c>
      <c r="C1334" s="126">
        <v>2</v>
      </c>
      <c r="D1334" s="126">
        <v>9</v>
      </c>
      <c r="E1334" s="126">
        <v>30</v>
      </c>
      <c r="F1334" s="126">
        <v>2</v>
      </c>
      <c r="G1334" s="126">
        <v>5</v>
      </c>
      <c r="H1334" s="126">
        <v>2016</v>
      </c>
      <c r="I1334" s="126">
        <v>2022</v>
      </c>
      <c r="J1334" s="127">
        <v>1.1200000000000001</v>
      </c>
      <c r="K1334" s="127">
        <v>1.0541</v>
      </c>
      <c r="L1334" s="127">
        <v>0.84379999999999999</v>
      </c>
      <c r="M1334" s="127">
        <v>1.2166999999999999</v>
      </c>
      <c r="N1334" s="127">
        <v>1.4438</v>
      </c>
      <c r="O1334" s="127">
        <v>1.0538000000000001</v>
      </c>
      <c r="P1334" s="126">
        <v>1907</v>
      </c>
      <c r="Q1334" s="128">
        <f t="array" ref="Q1334">SUM(IF(($S1334&gt;=4)*($C1334='TaxCred&amp;Subs'!$D$123:$D$127)*($H1334='TaxCred&amp;Subs'!$C$123:$C$127)*($H1334&lt;='TaxCred&amp;Subs'!$C$129),'TaxCred&amp;Subs'!$E$123:$E$127,0))</f>
        <v>0</v>
      </c>
      <c r="R1334" s="174">
        <v>0</v>
      </c>
      <c r="S1334" s="126">
        <v>2</v>
      </c>
      <c r="T1334" s="126" t="s">
        <v>224</v>
      </c>
      <c r="U1334" s="158"/>
      <c r="V1334" s="153" t="str">
        <f t="array" ref="V1334">INDEX(xlRTCLNAME,MATCH(1,(xlRTCLENDU=1)*(xlRTCLEQCL=$D1334),0))</f>
        <v>WOOD_HT</v>
      </c>
      <c r="W1334" s="153" t="str">
        <f t="array" ref="W1334">INDEX(xlRTCLNAME,MATCH(1,(xlRTCLENDU=2)*(xlRTCLEQCL=$F1334),0))</f>
        <v>CENT_AIR</v>
      </c>
      <c r="X1334" s="153" t="str">
        <f t="array" ref="X1334">INDEX(xlRTTYNAME,MATCH(1,(xlRTTYENDU=1)*(xlRTTYEQCL=$D1334)*(xlRTEQTYPE=$E1334),0))</f>
        <v>WOOD_HT2</v>
      </c>
      <c r="Y1334" s="153" t="str">
        <f t="array" ref="Y1334">INDEX(xlRTTYNAME,MATCH(1,(xlRTTYENDU=2)*(xlRTTYEQCL=$F1334)*(xlRTEQTYPE=$G1334),0))</f>
        <v>CENT_AIR1</v>
      </c>
    </row>
    <row r="1335" spans="2:25" ht="14.25" customHeight="1" x14ac:dyDescent="0.2">
      <c r="B1335" s="126">
        <v>9</v>
      </c>
      <c r="C1335" s="126">
        <v>2</v>
      </c>
      <c r="D1335" s="126">
        <v>9</v>
      </c>
      <c r="E1335" s="126">
        <v>30</v>
      </c>
      <c r="F1335" s="126">
        <v>2</v>
      </c>
      <c r="G1335" s="126">
        <v>6</v>
      </c>
      <c r="H1335" s="126">
        <v>2023</v>
      </c>
      <c r="I1335" s="126">
        <v>2050</v>
      </c>
      <c r="J1335" s="127">
        <v>1.1200000000000001</v>
      </c>
      <c r="K1335" s="127">
        <v>1.0541</v>
      </c>
      <c r="L1335" s="127">
        <v>0.84379999999999999</v>
      </c>
      <c r="M1335" s="127">
        <v>1.2166999999999999</v>
      </c>
      <c r="N1335" s="127">
        <v>1.4438</v>
      </c>
      <c r="O1335" s="127">
        <v>1.0538000000000001</v>
      </c>
      <c r="P1335" s="126">
        <v>1907</v>
      </c>
      <c r="Q1335" s="128">
        <f t="array" ref="Q1335">SUM(IF(($S1335&gt;=4)*($C1335='TaxCred&amp;Subs'!$D$123:$D$127)*($H1335='TaxCred&amp;Subs'!$C$123:$C$127)*($H1335&lt;='TaxCred&amp;Subs'!$C$129),'TaxCred&amp;Subs'!$E$123:$E$127,0))</f>
        <v>0</v>
      </c>
      <c r="R1335" s="174">
        <v>0</v>
      </c>
      <c r="S1335" s="126">
        <v>2</v>
      </c>
      <c r="T1335" s="126" t="s">
        <v>224</v>
      </c>
      <c r="U1335" s="158"/>
      <c r="V1335" s="153" t="str">
        <f t="array" ref="V1335">INDEX(xlRTCLNAME,MATCH(1,(xlRTCLENDU=1)*(xlRTCLEQCL=$D1335),0))</f>
        <v>WOOD_HT</v>
      </c>
      <c r="W1335" s="153" t="str">
        <f t="array" ref="W1335">INDEX(xlRTCLNAME,MATCH(1,(xlRTCLENDU=2)*(xlRTCLEQCL=$F1335),0))</f>
        <v>CENT_AIR</v>
      </c>
      <c r="X1335" s="153" t="str">
        <f t="array" ref="X1335">INDEX(xlRTTYNAME,MATCH(1,(xlRTTYENDU=1)*(xlRTTYEQCL=$D1335)*(xlRTEQTYPE=$E1335),0))</f>
        <v>WOOD_HT2</v>
      </c>
      <c r="Y1335" s="153" t="str">
        <f t="array" ref="Y1335">INDEX(xlRTTYNAME,MATCH(1,(xlRTTYENDU=2)*(xlRTTYEQCL=$F1335)*(xlRTEQTYPE=$G1335),0))</f>
        <v>CENT_AIR2</v>
      </c>
    </row>
    <row r="1336" spans="2:25" ht="14.25" customHeight="1" x14ac:dyDescent="0.2">
      <c r="B1336" s="126">
        <v>1</v>
      </c>
      <c r="C1336" s="126">
        <v>2</v>
      </c>
      <c r="D1336" s="126">
        <v>10</v>
      </c>
      <c r="E1336" s="126">
        <v>32</v>
      </c>
      <c r="F1336" s="126">
        <v>4</v>
      </c>
      <c r="G1336" s="126">
        <v>13</v>
      </c>
      <c r="H1336" s="126">
        <v>2016</v>
      </c>
      <c r="I1336" s="126">
        <v>2050</v>
      </c>
      <c r="J1336" s="127">
        <v>1.1111</v>
      </c>
      <c r="K1336" s="127">
        <v>1.0526</v>
      </c>
      <c r="L1336" s="127">
        <v>0.80379999999999996</v>
      </c>
      <c r="M1336" s="127">
        <v>1.1588000000000001</v>
      </c>
      <c r="N1336" s="127">
        <v>1.1356999999999999</v>
      </c>
      <c r="O1336" s="127">
        <v>1.0538000000000001</v>
      </c>
      <c r="P1336" s="126">
        <v>3042</v>
      </c>
      <c r="Q1336" s="128">
        <f t="array" ref="Q1336">SUM(IF(($S1336&gt;=4)*($C1336='TaxCred&amp;Subs'!$D$123:$D$127)*($H1336='TaxCred&amp;Subs'!$C$123:$C$127)*($H1336&lt;='TaxCred&amp;Subs'!$C$129),'TaxCred&amp;Subs'!$E$123:$E$127,0))</f>
        <v>0</v>
      </c>
      <c r="R1336" s="174">
        <v>0</v>
      </c>
      <c r="S1336" s="126">
        <v>2</v>
      </c>
      <c r="T1336" s="126" t="s">
        <v>224</v>
      </c>
      <c r="U1336" s="158"/>
      <c r="V1336" s="153" t="str">
        <f t="array" ref="V1336">INDEX(xlRTCLNAME,MATCH(1,(xlRTCLENDU=1)*(xlRTCLEQCL=$D1336),0))</f>
        <v>GEO_HP</v>
      </c>
      <c r="W1336" s="153" t="str">
        <f t="array" ref="W1336">INDEX(xlRTCLNAME,MATCH(1,(xlRTCLENDU=2)*(xlRTCLEQCL=$F1336),0))</f>
        <v>GEO_HP</v>
      </c>
      <c r="X1336" s="153" t="str">
        <f t="array" ref="X1336">INDEX(xlRTTYNAME,MATCH(1,(xlRTTYENDU=1)*(xlRTTYEQCL=$D1336)*(xlRTEQTYPE=$E1336),0))</f>
        <v>GEO_HP1</v>
      </c>
      <c r="Y1336" s="153" t="str">
        <f t="array" ref="Y1336">INDEX(xlRTTYNAME,MATCH(1,(xlRTTYENDU=2)*(xlRTTYEQCL=$F1336)*(xlRTEQTYPE=$G1336),0))</f>
        <v>GEO_HP1</v>
      </c>
    </row>
    <row r="1337" spans="2:25" ht="14.25" customHeight="1" x14ac:dyDescent="0.2">
      <c r="B1337" s="126">
        <v>2</v>
      </c>
      <c r="C1337" s="126">
        <v>2</v>
      </c>
      <c r="D1337" s="126">
        <v>10</v>
      </c>
      <c r="E1337" s="126">
        <v>32</v>
      </c>
      <c r="F1337" s="126">
        <v>4</v>
      </c>
      <c r="G1337" s="126">
        <v>13</v>
      </c>
      <c r="H1337" s="126">
        <v>2016</v>
      </c>
      <c r="I1337" s="126">
        <v>2050</v>
      </c>
      <c r="J1337" s="127">
        <v>1.0588</v>
      </c>
      <c r="K1337" s="127">
        <v>1.0455000000000001</v>
      </c>
      <c r="L1337" s="127">
        <v>0.89119999999999999</v>
      </c>
      <c r="M1337" s="127">
        <v>1.179</v>
      </c>
      <c r="N1337" s="127">
        <v>1.1394</v>
      </c>
      <c r="O1337" s="127">
        <v>1.0538000000000001</v>
      </c>
      <c r="P1337" s="126">
        <v>2185</v>
      </c>
      <c r="Q1337" s="128">
        <f t="array" ref="Q1337">SUM(IF(($S1337&gt;=4)*($C1337='TaxCred&amp;Subs'!$D$123:$D$127)*($H1337='TaxCred&amp;Subs'!$C$123:$C$127)*($H1337&lt;='TaxCred&amp;Subs'!$C$129),'TaxCred&amp;Subs'!$E$123:$E$127,0))</f>
        <v>0</v>
      </c>
      <c r="R1337" s="174">
        <v>0</v>
      </c>
      <c r="S1337" s="126">
        <v>2</v>
      </c>
      <c r="T1337" s="126" t="s">
        <v>224</v>
      </c>
      <c r="U1337" s="158"/>
      <c r="V1337" s="153" t="str">
        <f t="array" ref="V1337">INDEX(xlRTCLNAME,MATCH(1,(xlRTCLENDU=1)*(xlRTCLEQCL=$D1337),0))</f>
        <v>GEO_HP</v>
      </c>
      <c r="W1337" s="153" t="str">
        <f t="array" ref="W1337">INDEX(xlRTCLNAME,MATCH(1,(xlRTCLENDU=2)*(xlRTCLEQCL=$F1337),0))</f>
        <v>GEO_HP</v>
      </c>
      <c r="X1337" s="153" t="str">
        <f t="array" ref="X1337">INDEX(xlRTTYNAME,MATCH(1,(xlRTTYENDU=1)*(xlRTTYEQCL=$D1337)*(xlRTEQTYPE=$E1337),0))</f>
        <v>GEO_HP1</v>
      </c>
      <c r="Y1337" s="153" t="str">
        <f t="array" ref="Y1337">INDEX(xlRTTYNAME,MATCH(1,(xlRTTYENDU=2)*(xlRTTYEQCL=$F1337)*(xlRTEQTYPE=$G1337),0))</f>
        <v>GEO_HP1</v>
      </c>
    </row>
    <row r="1338" spans="2:25" ht="14.25" customHeight="1" x14ac:dyDescent="0.2">
      <c r="B1338" s="126">
        <v>3</v>
      </c>
      <c r="C1338" s="126">
        <v>2</v>
      </c>
      <c r="D1338" s="126">
        <v>10</v>
      </c>
      <c r="E1338" s="126">
        <v>32</v>
      </c>
      <c r="F1338" s="126">
        <v>4</v>
      </c>
      <c r="G1338" s="126">
        <v>13</v>
      </c>
      <c r="H1338" s="126">
        <v>2016</v>
      </c>
      <c r="I1338" s="126">
        <v>2050</v>
      </c>
      <c r="J1338" s="127">
        <v>1.1000000000000001</v>
      </c>
      <c r="K1338" s="127">
        <v>1.03</v>
      </c>
      <c r="L1338" s="127">
        <v>0.78869999999999996</v>
      </c>
      <c r="M1338" s="127">
        <v>1.1000000000000001</v>
      </c>
      <c r="N1338" s="127">
        <v>1.0449999999999999</v>
      </c>
      <c r="O1338" s="127">
        <v>1.0538000000000001</v>
      </c>
      <c r="P1338" s="126">
        <v>2564</v>
      </c>
      <c r="Q1338" s="128">
        <f t="array" ref="Q1338">SUM(IF(($S1338&gt;=4)*($C1338='TaxCred&amp;Subs'!$D$123:$D$127)*($H1338='TaxCred&amp;Subs'!$C$123:$C$127)*($H1338&lt;='TaxCred&amp;Subs'!$C$129),'TaxCred&amp;Subs'!$E$123:$E$127,0))</f>
        <v>0</v>
      </c>
      <c r="R1338" s="174">
        <v>0</v>
      </c>
      <c r="S1338" s="126">
        <v>2</v>
      </c>
      <c r="T1338" s="126" t="s">
        <v>224</v>
      </c>
      <c r="U1338" s="158"/>
      <c r="V1338" s="153" t="str">
        <f t="array" ref="V1338">INDEX(xlRTCLNAME,MATCH(1,(xlRTCLENDU=1)*(xlRTCLEQCL=$D1338),0))</f>
        <v>GEO_HP</v>
      </c>
      <c r="W1338" s="153" t="str">
        <f t="array" ref="W1338">INDEX(xlRTCLNAME,MATCH(1,(xlRTCLENDU=2)*(xlRTCLEQCL=$F1338),0))</f>
        <v>GEO_HP</v>
      </c>
      <c r="X1338" s="153" t="str">
        <f t="array" ref="X1338">INDEX(xlRTTYNAME,MATCH(1,(xlRTTYENDU=1)*(xlRTTYEQCL=$D1338)*(xlRTEQTYPE=$E1338),0))</f>
        <v>GEO_HP1</v>
      </c>
      <c r="Y1338" s="153" t="str">
        <f t="array" ref="Y1338">INDEX(xlRTTYNAME,MATCH(1,(xlRTTYENDU=2)*(xlRTTYEQCL=$F1338)*(xlRTEQTYPE=$G1338),0))</f>
        <v>GEO_HP1</v>
      </c>
    </row>
    <row r="1339" spans="2:25" ht="14.25" customHeight="1" x14ac:dyDescent="0.2">
      <c r="B1339" s="126">
        <v>4</v>
      </c>
      <c r="C1339" s="126">
        <v>2</v>
      </c>
      <c r="D1339" s="126">
        <v>10</v>
      </c>
      <c r="E1339" s="126">
        <v>32</v>
      </c>
      <c r="F1339" s="126">
        <v>4</v>
      </c>
      <c r="G1339" s="126">
        <v>13</v>
      </c>
      <c r="H1339" s="126">
        <v>2016</v>
      </c>
      <c r="I1339" s="126">
        <v>2050</v>
      </c>
      <c r="J1339" s="127">
        <v>1.1033999999999999</v>
      </c>
      <c r="K1339" s="127">
        <v>1.0556000000000001</v>
      </c>
      <c r="L1339" s="127">
        <v>1.0015000000000001</v>
      </c>
      <c r="M1339" s="127">
        <v>1.1625000000000001</v>
      </c>
      <c r="N1339" s="127">
        <v>1.1753</v>
      </c>
      <c r="O1339" s="127">
        <v>1.0538000000000001</v>
      </c>
      <c r="P1339" s="126">
        <v>2198</v>
      </c>
      <c r="Q1339" s="128">
        <f t="array" ref="Q1339">SUM(IF(($S1339&gt;=4)*($C1339='TaxCred&amp;Subs'!$D$123:$D$127)*($H1339='TaxCred&amp;Subs'!$C$123:$C$127)*($H1339&lt;='TaxCred&amp;Subs'!$C$129),'TaxCred&amp;Subs'!$E$123:$E$127,0))</f>
        <v>0</v>
      </c>
      <c r="R1339" s="174">
        <v>0</v>
      </c>
      <c r="S1339" s="126">
        <v>2</v>
      </c>
      <c r="T1339" s="126" t="s">
        <v>224</v>
      </c>
      <c r="U1339" s="158"/>
      <c r="V1339" s="153" t="str">
        <f t="array" ref="V1339">INDEX(xlRTCLNAME,MATCH(1,(xlRTCLENDU=1)*(xlRTCLEQCL=$D1339),0))</f>
        <v>GEO_HP</v>
      </c>
      <c r="W1339" s="153" t="str">
        <f t="array" ref="W1339">INDEX(xlRTCLNAME,MATCH(1,(xlRTCLENDU=2)*(xlRTCLEQCL=$F1339),0))</f>
        <v>GEO_HP</v>
      </c>
      <c r="X1339" s="153" t="str">
        <f t="array" ref="X1339">INDEX(xlRTTYNAME,MATCH(1,(xlRTTYENDU=1)*(xlRTTYEQCL=$D1339)*(xlRTEQTYPE=$E1339),0))</f>
        <v>GEO_HP1</v>
      </c>
      <c r="Y1339" s="153" t="str">
        <f t="array" ref="Y1339">INDEX(xlRTTYNAME,MATCH(1,(xlRTTYENDU=2)*(xlRTTYEQCL=$F1339)*(xlRTEQTYPE=$G1339),0))</f>
        <v>GEO_HP1</v>
      </c>
    </row>
    <row r="1340" spans="2:25" ht="14.25" customHeight="1" x14ac:dyDescent="0.2">
      <c r="B1340" s="126">
        <v>5</v>
      </c>
      <c r="C1340" s="126">
        <v>2</v>
      </c>
      <c r="D1340" s="126">
        <v>10</v>
      </c>
      <c r="E1340" s="126">
        <v>32</v>
      </c>
      <c r="F1340" s="126">
        <v>4</v>
      </c>
      <c r="G1340" s="126">
        <v>13</v>
      </c>
      <c r="H1340" s="126">
        <v>2016</v>
      </c>
      <c r="I1340" s="126">
        <v>2050</v>
      </c>
      <c r="J1340" s="127">
        <v>1.03</v>
      </c>
      <c r="K1340" s="127">
        <v>1.0512999999999999</v>
      </c>
      <c r="L1340" s="127">
        <v>0.44379999999999997</v>
      </c>
      <c r="M1340" s="127">
        <v>1.1000000000000001</v>
      </c>
      <c r="N1340" s="127">
        <v>1.2490000000000001</v>
      </c>
      <c r="O1340" s="127">
        <v>1.0538000000000001</v>
      </c>
      <c r="P1340" s="126">
        <v>1961</v>
      </c>
      <c r="Q1340" s="128">
        <f t="array" ref="Q1340">SUM(IF(($S1340&gt;=4)*($C1340='TaxCred&amp;Subs'!$D$123:$D$127)*($H1340='TaxCred&amp;Subs'!$C$123:$C$127)*($H1340&lt;='TaxCred&amp;Subs'!$C$129),'TaxCred&amp;Subs'!$E$123:$E$127,0))</f>
        <v>0</v>
      </c>
      <c r="R1340" s="174">
        <v>0</v>
      </c>
      <c r="S1340" s="126">
        <v>2</v>
      </c>
      <c r="T1340" s="126" t="s">
        <v>224</v>
      </c>
      <c r="U1340" s="158"/>
      <c r="V1340" s="153" t="str">
        <f t="array" ref="V1340">INDEX(xlRTCLNAME,MATCH(1,(xlRTCLENDU=1)*(xlRTCLEQCL=$D1340),0))</f>
        <v>GEO_HP</v>
      </c>
      <c r="W1340" s="153" t="str">
        <f t="array" ref="W1340">INDEX(xlRTCLNAME,MATCH(1,(xlRTCLENDU=2)*(xlRTCLEQCL=$F1340),0))</f>
        <v>GEO_HP</v>
      </c>
      <c r="X1340" s="153" t="str">
        <f t="array" ref="X1340">INDEX(xlRTTYNAME,MATCH(1,(xlRTTYENDU=1)*(xlRTTYEQCL=$D1340)*(xlRTEQTYPE=$E1340),0))</f>
        <v>GEO_HP1</v>
      </c>
      <c r="Y1340" s="153" t="str">
        <f t="array" ref="Y1340">INDEX(xlRTTYNAME,MATCH(1,(xlRTTYENDU=2)*(xlRTTYEQCL=$F1340)*(xlRTEQTYPE=$G1340),0))</f>
        <v>GEO_HP1</v>
      </c>
    </row>
    <row r="1341" spans="2:25" ht="14.25" customHeight="1" x14ac:dyDescent="0.2">
      <c r="B1341" s="126">
        <v>6</v>
      </c>
      <c r="C1341" s="126">
        <v>2</v>
      </c>
      <c r="D1341" s="126">
        <v>10</v>
      </c>
      <c r="E1341" s="126">
        <v>32</v>
      </c>
      <c r="F1341" s="126">
        <v>4</v>
      </c>
      <c r="G1341" s="126">
        <v>13</v>
      </c>
      <c r="H1341" s="126">
        <v>2016</v>
      </c>
      <c r="I1341" s="126">
        <v>2050</v>
      </c>
      <c r="J1341" s="127">
        <v>1.1200000000000001</v>
      </c>
      <c r="K1341" s="127">
        <v>1.03</v>
      </c>
      <c r="L1341" s="127">
        <v>0.94379999999999997</v>
      </c>
      <c r="M1341" s="127">
        <v>1.1440999999999999</v>
      </c>
      <c r="N1341" s="127">
        <v>1.3656999999999999</v>
      </c>
      <c r="O1341" s="127">
        <v>1.0538000000000001</v>
      </c>
      <c r="P1341" s="126">
        <v>2159</v>
      </c>
      <c r="Q1341" s="128">
        <f t="array" ref="Q1341">SUM(IF(($S1341&gt;=4)*($C1341='TaxCred&amp;Subs'!$D$123:$D$127)*($H1341='TaxCred&amp;Subs'!$C$123:$C$127)*($H1341&lt;='TaxCred&amp;Subs'!$C$129),'TaxCred&amp;Subs'!$E$123:$E$127,0))</f>
        <v>0</v>
      </c>
      <c r="R1341" s="174">
        <v>0</v>
      </c>
      <c r="S1341" s="126">
        <v>2</v>
      </c>
      <c r="T1341" s="126" t="s">
        <v>224</v>
      </c>
      <c r="U1341" s="158"/>
      <c r="V1341" s="153" t="str">
        <f t="array" ref="V1341">INDEX(xlRTCLNAME,MATCH(1,(xlRTCLENDU=1)*(xlRTCLEQCL=$D1341),0))</f>
        <v>GEO_HP</v>
      </c>
      <c r="W1341" s="153" t="str">
        <f t="array" ref="W1341">INDEX(xlRTCLNAME,MATCH(1,(xlRTCLENDU=2)*(xlRTCLEQCL=$F1341),0))</f>
        <v>GEO_HP</v>
      </c>
      <c r="X1341" s="153" t="str">
        <f t="array" ref="X1341">INDEX(xlRTTYNAME,MATCH(1,(xlRTTYENDU=1)*(xlRTTYEQCL=$D1341)*(xlRTEQTYPE=$E1341),0))</f>
        <v>GEO_HP1</v>
      </c>
      <c r="Y1341" s="153" t="str">
        <f t="array" ref="Y1341">INDEX(xlRTTYNAME,MATCH(1,(xlRTTYENDU=2)*(xlRTTYEQCL=$F1341)*(xlRTEQTYPE=$G1341),0))</f>
        <v>GEO_HP1</v>
      </c>
    </row>
    <row r="1342" spans="2:25" ht="14.25" customHeight="1" x14ac:dyDescent="0.2">
      <c r="B1342" s="126">
        <v>7</v>
      </c>
      <c r="C1342" s="126">
        <v>2</v>
      </c>
      <c r="D1342" s="126">
        <v>10</v>
      </c>
      <c r="E1342" s="126">
        <v>32</v>
      </c>
      <c r="F1342" s="126">
        <v>4</v>
      </c>
      <c r="G1342" s="126">
        <v>13</v>
      </c>
      <c r="H1342" s="126">
        <v>2016</v>
      </c>
      <c r="I1342" s="126">
        <v>2050</v>
      </c>
      <c r="J1342" s="127">
        <v>1.03</v>
      </c>
      <c r="K1342" s="127">
        <v>1.0611999999999999</v>
      </c>
      <c r="L1342" s="127">
        <v>0.94379999999999997</v>
      </c>
      <c r="M1342" s="127">
        <v>1.1568000000000001</v>
      </c>
      <c r="N1342" s="127">
        <v>1.4438</v>
      </c>
      <c r="O1342" s="127">
        <v>1.0538000000000001</v>
      </c>
      <c r="P1342" s="126">
        <v>1342</v>
      </c>
      <c r="Q1342" s="128">
        <f t="array" ref="Q1342">SUM(IF(($S1342&gt;=4)*($C1342='TaxCred&amp;Subs'!$D$123:$D$127)*($H1342='TaxCred&amp;Subs'!$C$123:$C$127)*($H1342&lt;='TaxCred&amp;Subs'!$C$129),'TaxCred&amp;Subs'!$E$123:$E$127,0))</f>
        <v>0</v>
      </c>
      <c r="R1342" s="174">
        <v>0</v>
      </c>
      <c r="S1342" s="126">
        <v>2</v>
      </c>
      <c r="T1342" s="126" t="s">
        <v>224</v>
      </c>
      <c r="U1342" s="158"/>
      <c r="V1342" s="153" t="str">
        <f t="array" ref="V1342">INDEX(xlRTCLNAME,MATCH(1,(xlRTCLENDU=1)*(xlRTCLEQCL=$D1342),0))</f>
        <v>GEO_HP</v>
      </c>
      <c r="W1342" s="153" t="str">
        <f t="array" ref="W1342">INDEX(xlRTCLNAME,MATCH(1,(xlRTCLENDU=2)*(xlRTCLEQCL=$F1342),0))</f>
        <v>GEO_HP</v>
      </c>
      <c r="X1342" s="153" t="str">
        <f t="array" ref="X1342">INDEX(xlRTTYNAME,MATCH(1,(xlRTTYENDU=1)*(xlRTTYEQCL=$D1342)*(xlRTEQTYPE=$E1342),0))</f>
        <v>GEO_HP1</v>
      </c>
      <c r="Y1342" s="153" t="str">
        <f t="array" ref="Y1342">INDEX(xlRTTYNAME,MATCH(1,(xlRTTYENDU=2)*(xlRTTYEQCL=$F1342)*(xlRTEQTYPE=$G1342),0))</f>
        <v>GEO_HP1</v>
      </c>
    </row>
    <row r="1343" spans="2:25" ht="14.25" customHeight="1" x14ac:dyDescent="0.2">
      <c r="B1343" s="126">
        <v>8</v>
      </c>
      <c r="C1343" s="126">
        <v>2</v>
      </c>
      <c r="D1343" s="126">
        <v>10</v>
      </c>
      <c r="E1343" s="126">
        <v>32</v>
      </c>
      <c r="F1343" s="126">
        <v>4</v>
      </c>
      <c r="G1343" s="126">
        <v>13</v>
      </c>
      <c r="H1343" s="126">
        <v>2016</v>
      </c>
      <c r="I1343" s="126">
        <v>2050</v>
      </c>
      <c r="J1343" s="127">
        <v>1.1111</v>
      </c>
      <c r="K1343" s="127">
        <v>1.0417000000000001</v>
      </c>
      <c r="L1343" s="127">
        <v>0.81879999999999997</v>
      </c>
      <c r="M1343" s="127">
        <v>1.2666999999999999</v>
      </c>
      <c r="N1343" s="127">
        <v>1.2907</v>
      </c>
      <c r="O1343" s="127">
        <v>1.0538000000000001</v>
      </c>
      <c r="P1343" s="126">
        <v>2390</v>
      </c>
      <c r="Q1343" s="128">
        <f t="array" ref="Q1343">SUM(IF(($S1343&gt;=4)*($C1343='TaxCred&amp;Subs'!$D$123:$D$127)*($H1343='TaxCred&amp;Subs'!$C$123:$C$127)*($H1343&lt;='TaxCred&amp;Subs'!$C$129),'TaxCred&amp;Subs'!$E$123:$E$127,0))</f>
        <v>0</v>
      </c>
      <c r="R1343" s="174">
        <v>0</v>
      </c>
      <c r="S1343" s="126">
        <v>2</v>
      </c>
      <c r="T1343" s="126" t="s">
        <v>224</v>
      </c>
      <c r="U1343" s="158"/>
      <c r="V1343" s="153" t="str">
        <f t="array" ref="V1343">INDEX(xlRTCLNAME,MATCH(1,(xlRTCLENDU=1)*(xlRTCLEQCL=$D1343),0))</f>
        <v>GEO_HP</v>
      </c>
      <c r="W1343" s="153" t="str">
        <f t="array" ref="W1343">INDEX(xlRTCLNAME,MATCH(1,(xlRTCLENDU=2)*(xlRTCLEQCL=$F1343),0))</f>
        <v>GEO_HP</v>
      </c>
      <c r="X1343" s="153" t="str">
        <f t="array" ref="X1343">INDEX(xlRTTYNAME,MATCH(1,(xlRTTYENDU=1)*(xlRTTYEQCL=$D1343)*(xlRTEQTYPE=$E1343),0))</f>
        <v>GEO_HP1</v>
      </c>
      <c r="Y1343" s="153" t="str">
        <f t="array" ref="Y1343">INDEX(xlRTTYNAME,MATCH(1,(xlRTTYENDU=2)*(xlRTTYEQCL=$F1343)*(xlRTEQTYPE=$G1343),0))</f>
        <v>GEO_HP1</v>
      </c>
    </row>
    <row r="1344" spans="2:25" ht="14.25" customHeight="1" x14ac:dyDescent="0.2">
      <c r="B1344" s="126">
        <v>9</v>
      </c>
      <c r="C1344" s="126">
        <v>2</v>
      </c>
      <c r="D1344" s="126">
        <v>10</v>
      </c>
      <c r="E1344" s="126">
        <v>32</v>
      </c>
      <c r="F1344" s="126">
        <v>4</v>
      </c>
      <c r="G1344" s="126">
        <v>13</v>
      </c>
      <c r="H1344" s="126">
        <v>2016</v>
      </c>
      <c r="I1344" s="126">
        <v>2050</v>
      </c>
      <c r="J1344" s="127">
        <v>1.03</v>
      </c>
      <c r="K1344" s="127">
        <v>1.0741000000000001</v>
      </c>
      <c r="L1344" s="127">
        <v>0.44379999999999997</v>
      </c>
      <c r="M1344" s="127">
        <v>1.2137</v>
      </c>
      <c r="N1344" s="127">
        <v>1.4438</v>
      </c>
      <c r="O1344" s="127">
        <v>1.0538000000000001</v>
      </c>
      <c r="P1344" s="126">
        <v>3365</v>
      </c>
      <c r="Q1344" s="128">
        <f t="array" ref="Q1344">SUM(IF(($S1344&gt;=4)*($C1344='TaxCred&amp;Subs'!$D$123:$D$127)*($H1344='TaxCred&amp;Subs'!$C$123:$C$127)*($H1344&lt;='TaxCred&amp;Subs'!$C$129),'TaxCred&amp;Subs'!$E$123:$E$127,0))</f>
        <v>0</v>
      </c>
      <c r="R1344" s="174">
        <v>0</v>
      </c>
      <c r="S1344" s="126">
        <v>2</v>
      </c>
      <c r="T1344" s="126" t="s">
        <v>224</v>
      </c>
      <c r="U1344" s="158"/>
      <c r="V1344" s="153" t="str">
        <f t="array" ref="V1344">INDEX(xlRTCLNAME,MATCH(1,(xlRTCLENDU=1)*(xlRTCLEQCL=$D1344),0))</f>
        <v>GEO_HP</v>
      </c>
      <c r="W1344" s="153" t="str">
        <f t="array" ref="W1344">INDEX(xlRTCLNAME,MATCH(1,(xlRTCLENDU=2)*(xlRTCLEQCL=$F1344),0))</f>
        <v>GEO_HP</v>
      </c>
      <c r="X1344" s="153" t="str">
        <f t="array" ref="X1344">INDEX(xlRTTYNAME,MATCH(1,(xlRTTYENDU=1)*(xlRTTYEQCL=$D1344)*(xlRTEQTYPE=$E1344),0))</f>
        <v>GEO_HP1</v>
      </c>
      <c r="Y1344" s="153" t="str">
        <f t="array" ref="Y1344">INDEX(xlRTTYNAME,MATCH(1,(xlRTTYENDU=2)*(xlRTTYEQCL=$F1344)*(xlRTEQTYPE=$G1344),0))</f>
        <v>GEO_HP1</v>
      </c>
    </row>
    <row r="1345" spans="2:25" ht="14.25" customHeight="1" x14ac:dyDescent="0.2">
      <c r="B1345" s="126">
        <v>1</v>
      </c>
      <c r="C1345" s="126">
        <v>2</v>
      </c>
      <c r="D1345" s="126">
        <v>11</v>
      </c>
      <c r="E1345" s="126">
        <v>36</v>
      </c>
      <c r="F1345" s="126">
        <v>5</v>
      </c>
      <c r="G1345" s="126">
        <v>17</v>
      </c>
      <c r="H1345" s="126">
        <v>2016</v>
      </c>
      <c r="I1345" s="126">
        <v>2050</v>
      </c>
      <c r="J1345" s="127">
        <v>1.1042000000000001</v>
      </c>
      <c r="K1345" s="127">
        <v>1.0417000000000001</v>
      </c>
      <c r="L1345" s="127">
        <v>0.8075</v>
      </c>
      <c r="M1345" s="127">
        <v>1.1455</v>
      </c>
      <c r="N1345" s="127">
        <v>1.1127</v>
      </c>
      <c r="O1345" s="127">
        <v>1.0538000000000001</v>
      </c>
      <c r="P1345" s="126">
        <v>3042</v>
      </c>
      <c r="Q1345" s="128">
        <f t="array" ref="Q1345">SUM(IF(($S1345&gt;=4)*($C1345='TaxCred&amp;Subs'!$D$123:$D$127)*($H1345='TaxCred&amp;Subs'!$C$123:$C$127)*($H1345&lt;='TaxCred&amp;Subs'!$C$129),'TaxCred&amp;Subs'!$E$123:$E$127,0))</f>
        <v>0</v>
      </c>
      <c r="R1345" s="174">
        <v>0</v>
      </c>
      <c r="S1345" s="126">
        <v>2</v>
      </c>
      <c r="T1345" s="126" t="s">
        <v>224</v>
      </c>
      <c r="U1345" s="158"/>
      <c r="V1345" s="153" t="str">
        <f t="array" ref="V1345">INDEX(xlRTCLNAME,MATCH(1,(xlRTCLENDU=1)*(xlRTCLEQCL=$D1345),0))</f>
        <v>NG_HP</v>
      </c>
      <c r="W1345" s="153" t="str">
        <f t="array" ref="W1345">INDEX(xlRTCLNAME,MATCH(1,(xlRTCLENDU=2)*(xlRTCLEQCL=$F1345),0))</f>
        <v>NG_HP</v>
      </c>
      <c r="X1345" s="153" t="str">
        <f t="array" ref="X1345">INDEX(xlRTTYNAME,MATCH(1,(xlRTTYENDU=1)*(xlRTTYEQCL=$D1345)*(xlRTEQTYPE=$E1345),0))</f>
        <v>NG_HP2</v>
      </c>
      <c r="Y1345" s="153" t="str">
        <f t="array" ref="Y1345">INDEX(xlRTTYNAME,MATCH(1,(xlRTTYENDU=2)*(xlRTTYEQCL=$F1345)*(xlRTEQTYPE=$G1345),0))</f>
        <v>NG_HP2</v>
      </c>
    </row>
    <row r="1346" spans="2:25" ht="14.25" customHeight="1" x14ac:dyDescent="0.2">
      <c r="B1346" s="126">
        <v>2</v>
      </c>
      <c r="C1346" s="126">
        <v>2</v>
      </c>
      <c r="D1346" s="126">
        <v>11</v>
      </c>
      <c r="E1346" s="126">
        <v>36</v>
      </c>
      <c r="F1346" s="126">
        <v>5</v>
      </c>
      <c r="G1346" s="126">
        <v>17</v>
      </c>
      <c r="H1346" s="126">
        <v>2016</v>
      </c>
      <c r="I1346" s="126">
        <v>2050</v>
      </c>
      <c r="J1346" s="127">
        <v>1.0847</v>
      </c>
      <c r="K1346" s="127">
        <v>1.0357000000000001</v>
      </c>
      <c r="L1346" s="127">
        <v>1.028</v>
      </c>
      <c r="M1346" s="127">
        <v>1.1834</v>
      </c>
      <c r="N1346" s="127">
        <v>1.1162000000000001</v>
      </c>
      <c r="O1346" s="127">
        <v>1.0538000000000001</v>
      </c>
      <c r="P1346" s="126">
        <v>2086</v>
      </c>
      <c r="Q1346" s="128">
        <f t="array" ref="Q1346">SUM(IF(($S1346&gt;=4)*($C1346='TaxCred&amp;Subs'!$D$123:$D$127)*($H1346='TaxCred&amp;Subs'!$C$123:$C$127)*($H1346&lt;='TaxCred&amp;Subs'!$C$129),'TaxCred&amp;Subs'!$E$123:$E$127,0))</f>
        <v>0</v>
      </c>
      <c r="R1346" s="174">
        <v>0</v>
      </c>
      <c r="S1346" s="126">
        <v>2</v>
      </c>
      <c r="T1346" s="126" t="s">
        <v>224</v>
      </c>
      <c r="U1346" s="158"/>
      <c r="V1346" s="153" t="str">
        <f t="array" ref="V1346">INDEX(xlRTCLNAME,MATCH(1,(xlRTCLENDU=1)*(xlRTCLEQCL=$D1346),0))</f>
        <v>NG_HP</v>
      </c>
      <c r="W1346" s="153" t="str">
        <f t="array" ref="W1346">INDEX(xlRTCLNAME,MATCH(1,(xlRTCLENDU=2)*(xlRTCLEQCL=$F1346),0))</f>
        <v>NG_HP</v>
      </c>
      <c r="X1346" s="153" t="str">
        <f t="array" ref="X1346">INDEX(xlRTTYNAME,MATCH(1,(xlRTTYENDU=1)*(xlRTTYEQCL=$D1346)*(xlRTEQTYPE=$E1346),0))</f>
        <v>NG_HP2</v>
      </c>
      <c r="Y1346" s="153" t="str">
        <f t="array" ref="Y1346">INDEX(xlRTTYNAME,MATCH(1,(xlRTTYENDU=2)*(xlRTTYEQCL=$F1346)*(xlRTEQTYPE=$G1346),0))</f>
        <v>NG_HP2</v>
      </c>
    </row>
    <row r="1347" spans="2:25" ht="14.25" customHeight="1" x14ac:dyDescent="0.2">
      <c r="B1347" s="126">
        <v>3</v>
      </c>
      <c r="C1347" s="126">
        <v>2</v>
      </c>
      <c r="D1347" s="126">
        <v>11</v>
      </c>
      <c r="E1347" s="126">
        <v>36</v>
      </c>
      <c r="F1347" s="126">
        <v>5</v>
      </c>
      <c r="G1347" s="126">
        <v>17</v>
      </c>
      <c r="H1347" s="126">
        <v>2016</v>
      </c>
      <c r="I1347" s="126">
        <v>2050</v>
      </c>
      <c r="J1347" s="127">
        <v>1.0984</v>
      </c>
      <c r="K1347" s="127">
        <v>1.0345</v>
      </c>
      <c r="L1347" s="127">
        <v>0.85880000000000001</v>
      </c>
      <c r="M1347" s="127">
        <v>1.1000000000000001</v>
      </c>
      <c r="N1347" s="127">
        <v>1.0399</v>
      </c>
      <c r="O1347" s="127">
        <v>1.0538000000000001</v>
      </c>
      <c r="P1347" s="126">
        <v>2421</v>
      </c>
      <c r="Q1347" s="128">
        <f t="array" ref="Q1347">SUM(IF(($S1347&gt;=4)*($C1347='TaxCred&amp;Subs'!$D$123:$D$127)*($H1347='TaxCred&amp;Subs'!$C$123:$C$127)*($H1347&lt;='TaxCred&amp;Subs'!$C$129),'TaxCred&amp;Subs'!$E$123:$E$127,0))</f>
        <v>0</v>
      </c>
      <c r="R1347" s="174">
        <v>0</v>
      </c>
      <c r="S1347" s="126">
        <v>2</v>
      </c>
      <c r="T1347" s="126" t="s">
        <v>224</v>
      </c>
      <c r="U1347" s="158"/>
      <c r="V1347" s="153" t="str">
        <f t="array" ref="V1347">INDEX(xlRTCLNAME,MATCH(1,(xlRTCLENDU=1)*(xlRTCLEQCL=$D1347),0))</f>
        <v>NG_HP</v>
      </c>
      <c r="W1347" s="153" t="str">
        <f t="array" ref="W1347">INDEX(xlRTCLNAME,MATCH(1,(xlRTCLENDU=2)*(xlRTCLEQCL=$F1347),0))</f>
        <v>NG_HP</v>
      </c>
      <c r="X1347" s="153" t="str">
        <f t="array" ref="X1347">INDEX(xlRTTYNAME,MATCH(1,(xlRTTYENDU=1)*(xlRTTYEQCL=$D1347)*(xlRTEQTYPE=$E1347),0))</f>
        <v>NG_HP2</v>
      </c>
      <c r="Y1347" s="153" t="str">
        <f t="array" ref="Y1347">INDEX(xlRTTYNAME,MATCH(1,(xlRTTYENDU=2)*(xlRTTYEQCL=$F1347)*(xlRTEQTYPE=$G1347),0))</f>
        <v>NG_HP2</v>
      </c>
    </row>
    <row r="1348" spans="2:25" ht="14.25" customHeight="1" x14ac:dyDescent="0.2">
      <c r="B1348" s="126">
        <v>4</v>
      </c>
      <c r="C1348" s="126">
        <v>2</v>
      </c>
      <c r="D1348" s="126">
        <v>11</v>
      </c>
      <c r="E1348" s="126">
        <v>36</v>
      </c>
      <c r="F1348" s="126">
        <v>5</v>
      </c>
      <c r="G1348" s="126">
        <v>17</v>
      </c>
      <c r="H1348" s="126">
        <v>2016</v>
      </c>
      <c r="I1348" s="126">
        <v>2050</v>
      </c>
      <c r="J1348" s="127">
        <v>1.1000000000000001</v>
      </c>
      <c r="K1348" s="127">
        <v>1.0435000000000001</v>
      </c>
      <c r="L1348" s="127">
        <v>1.0251999999999999</v>
      </c>
      <c r="M1348" s="127">
        <v>1.175</v>
      </c>
      <c r="N1348" s="127">
        <v>1.1696</v>
      </c>
      <c r="O1348" s="127">
        <v>1.0538000000000001</v>
      </c>
      <c r="P1348" s="126">
        <v>2095</v>
      </c>
      <c r="Q1348" s="128">
        <f t="array" ref="Q1348">SUM(IF(($S1348&gt;=4)*($C1348='TaxCred&amp;Subs'!$D$123:$D$127)*($H1348='TaxCred&amp;Subs'!$C$123:$C$127)*($H1348&lt;='TaxCred&amp;Subs'!$C$129),'TaxCred&amp;Subs'!$E$123:$E$127,0))</f>
        <v>0</v>
      </c>
      <c r="R1348" s="174">
        <v>0</v>
      </c>
      <c r="S1348" s="126">
        <v>2</v>
      </c>
      <c r="T1348" s="126" t="s">
        <v>224</v>
      </c>
      <c r="U1348" s="158"/>
      <c r="V1348" s="153" t="str">
        <f t="array" ref="V1348">INDEX(xlRTCLNAME,MATCH(1,(xlRTCLENDU=1)*(xlRTCLEQCL=$D1348),0))</f>
        <v>NG_HP</v>
      </c>
      <c r="W1348" s="153" t="str">
        <f t="array" ref="W1348">INDEX(xlRTCLNAME,MATCH(1,(xlRTCLENDU=2)*(xlRTCLEQCL=$F1348),0))</f>
        <v>NG_HP</v>
      </c>
      <c r="X1348" s="153" t="str">
        <f t="array" ref="X1348">INDEX(xlRTTYNAME,MATCH(1,(xlRTTYENDU=1)*(xlRTTYEQCL=$D1348)*(xlRTEQTYPE=$E1348),0))</f>
        <v>NG_HP2</v>
      </c>
      <c r="Y1348" s="153" t="str">
        <f t="array" ref="Y1348">INDEX(xlRTTYNAME,MATCH(1,(xlRTTYENDU=2)*(xlRTTYEQCL=$F1348)*(xlRTEQTYPE=$G1348),0))</f>
        <v>NG_HP2</v>
      </c>
    </row>
    <row r="1349" spans="2:25" ht="14.25" customHeight="1" x14ac:dyDescent="0.2">
      <c r="B1349" s="126">
        <v>5</v>
      </c>
      <c r="C1349" s="126">
        <v>2</v>
      </c>
      <c r="D1349" s="126">
        <v>11</v>
      </c>
      <c r="E1349" s="126">
        <v>36</v>
      </c>
      <c r="F1349" s="126">
        <v>5</v>
      </c>
      <c r="G1349" s="126">
        <v>17</v>
      </c>
      <c r="H1349" s="126">
        <v>2016</v>
      </c>
      <c r="I1349" s="126">
        <v>2050</v>
      </c>
      <c r="J1349" s="127">
        <v>1.1200000000000001</v>
      </c>
      <c r="K1349" s="127">
        <v>1.0391999999999999</v>
      </c>
      <c r="L1349" s="127">
        <v>0.53759999999999997</v>
      </c>
      <c r="M1349" s="127">
        <v>1.1000000000000001</v>
      </c>
      <c r="N1349" s="127">
        <v>1.2750999999999999</v>
      </c>
      <c r="O1349" s="127">
        <v>1.0538000000000001</v>
      </c>
      <c r="P1349" s="126">
        <v>1801</v>
      </c>
      <c r="Q1349" s="128">
        <f t="array" ref="Q1349">SUM(IF(($S1349&gt;=4)*($C1349='TaxCred&amp;Subs'!$D$123:$D$127)*($H1349='TaxCred&amp;Subs'!$C$123:$C$127)*($H1349&lt;='TaxCred&amp;Subs'!$C$129),'TaxCred&amp;Subs'!$E$123:$E$127,0))</f>
        <v>0</v>
      </c>
      <c r="R1349" s="174">
        <v>0</v>
      </c>
      <c r="S1349" s="126">
        <v>2</v>
      </c>
      <c r="T1349" s="126" t="s">
        <v>224</v>
      </c>
      <c r="U1349" s="158"/>
      <c r="V1349" s="153" t="str">
        <f t="array" ref="V1349">INDEX(xlRTCLNAME,MATCH(1,(xlRTCLENDU=1)*(xlRTCLEQCL=$D1349),0))</f>
        <v>NG_HP</v>
      </c>
      <c r="W1349" s="153" t="str">
        <f t="array" ref="W1349">INDEX(xlRTCLNAME,MATCH(1,(xlRTCLENDU=2)*(xlRTCLEQCL=$F1349),0))</f>
        <v>NG_HP</v>
      </c>
      <c r="X1349" s="153" t="str">
        <f t="array" ref="X1349">INDEX(xlRTTYNAME,MATCH(1,(xlRTTYENDU=1)*(xlRTTYEQCL=$D1349)*(xlRTEQTYPE=$E1349),0))</f>
        <v>NG_HP2</v>
      </c>
      <c r="Y1349" s="153" t="str">
        <f t="array" ref="Y1349">INDEX(xlRTTYNAME,MATCH(1,(xlRTTYENDU=2)*(xlRTTYEQCL=$F1349)*(xlRTEQTYPE=$G1349),0))</f>
        <v>NG_HP2</v>
      </c>
    </row>
    <row r="1350" spans="2:25" ht="14.25" customHeight="1" x14ac:dyDescent="0.2">
      <c r="B1350" s="126">
        <v>6</v>
      </c>
      <c r="C1350" s="126">
        <v>2</v>
      </c>
      <c r="D1350" s="126">
        <v>11</v>
      </c>
      <c r="E1350" s="126">
        <v>36</v>
      </c>
      <c r="F1350" s="126">
        <v>5</v>
      </c>
      <c r="G1350" s="126">
        <v>17</v>
      </c>
      <c r="H1350" s="126">
        <v>2016</v>
      </c>
      <c r="I1350" s="126">
        <v>2050</v>
      </c>
      <c r="J1350" s="127">
        <v>1.1200000000000001</v>
      </c>
      <c r="K1350" s="127">
        <v>1.03</v>
      </c>
      <c r="L1350" s="127">
        <v>0.89380000000000004</v>
      </c>
      <c r="M1350" s="127">
        <v>1.1341000000000001</v>
      </c>
      <c r="N1350" s="127">
        <v>1.3324</v>
      </c>
      <c r="O1350" s="127">
        <v>1.0538000000000001</v>
      </c>
      <c r="P1350" s="126">
        <v>2020</v>
      </c>
      <c r="Q1350" s="128">
        <f t="array" ref="Q1350">SUM(IF(($S1350&gt;=4)*($C1350='TaxCred&amp;Subs'!$D$123:$D$127)*($H1350='TaxCred&amp;Subs'!$C$123:$C$127)*($H1350&lt;='TaxCred&amp;Subs'!$C$129),'TaxCred&amp;Subs'!$E$123:$E$127,0))</f>
        <v>0</v>
      </c>
      <c r="R1350" s="174">
        <v>0</v>
      </c>
      <c r="S1350" s="126">
        <v>2</v>
      </c>
      <c r="T1350" s="126" t="s">
        <v>224</v>
      </c>
      <c r="U1350" s="158"/>
      <c r="V1350" s="153" t="str">
        <f t="array" ref="V1350">INDEX(xlRTCLNAME,MATCH(1,(xlRTCLENDU=1)*(xlRTCLEQCL=$D1350),0))</f>
        <v>NG_HP</v>
      </c>
      <c r="W1350" s="153" t="str">
        <f t="array" ref="W1350">INDEX(xlRTCLNAME,MATCH(1,(xlRTCLENDU=2)*(xlRTCLEQCL=$F1350),0))</f>
        <v>NG_HP</v>
      </c>
      <c r="X1350" s="153" t="str">
        <f t="array" ref="X1350">INDEX(xlRTTYNAME,MATCH(1,(xlRTTYENDU=1)*(xlRTTYEQCL=$D1350)*(xlRTEQTYPE=$E1350),0))</f>
        <v>NG_HP2</v>
      </c>
      <c r="Y1350" s="153" t="str">
        <f t="array" ref="Y1350">INDEX(xlRTTYNAME,MATCH(1,(xlRTTYENDU=2)*(xlRTTYEQCL=$F1350)*(xlRTEQTYPE=$G1350),0))</f>
        <v>NG_HP2</v>
      </c>
    </row>
    <row r="1351" spans="2:25" ht="14.25" customHeight="1" x14ac:dyDescent="0.2">
      <c r="B1351" s="126">
        <v>7</v>
      </c>
      <c r="C1351" s="126">
        <v>2</v>
      </c>
      <c r="D1351" s="126">
        <v>11</v>
      </c>
      <c r="E1351" s="126">
        <v>36</v>
      </c>
      <c r="F1351" s="126">
        <v>5</v>
      </c>
      <c r="G1351" s="126">
        <v>17</v>
      </c>
      <c r="H1351" s="126">
        <v>2016</v>
      </c>
      <c r="I1351" s="126">
        <v>2050</v>
      </c>
      <c r="J1351" s="127">
        <v>1.1200000000000001</v>
      </c>
      <c r="K1351" s="127">
        <v>1.0462</v>
      </c>
      <c r="L1351" s="127">
        <v>0.86050000000000004</v>
      </c>
      <c r="M1351" s="127">
        <v>1.1604000000000001</v>
      </c>
      <c r="N1351" s="127">
        <v>1.4438</v>
      </c>
      <c r="O1351" s="127">
        <v>1.0538000000000001</v>
      </c>
      <c r="P1351" s="126">
        <v>1342</v>
      </c>
      <c r="Q1351" s="128">
        <f t="array" ref="Q1351">SUM(IF(($S1351&gt;=4)*($C1351='TaxCred&amp;Subs'!$D$123:$D$127)*($H1351='TaxCred&amp;Subs'!$C$123:$C$127)*($H1351&lt;='TaxCred&amp;Subs'!$C$129),'TaxCred&amp;Subs'!$E$123:$E$127,0))</f>
        <v>0</v>
      </c>
      <c r="R1351" s="174">
        <v>0</v>
      </c>
      <c r="S1351" s="126">
        <v>2</v>
      </c>
      <c r="T1351" s="126" t="s">
        <v>224</v>
      </c>
      <c r="U1351" s="158"/>
      <c r="V1351" s="153" t="str">
        <f t="array" ref="V1351">INDEX(xlRTCLNAME,MATCH(1,(xlRTCLENDU=1)*(xlRTCLEQCL=$D1351),0))</f>
        <v>NG_HP</v>
      </c>
      <c r="W1351" s="153" t="str">
        <f t="array" ref="W1351">INDEX(xlRTCLNAME,MATCH(1,(xlRTCLENDU=2)*(xlRTCLEQCL=$F1351),0))</f>
        <v>NG_HP</v>
      </c>
      <c r="X1351" s="153" t="str">
        <f t="array" ref="X1351">INDEX(xlRTTYNAME,MATCH(1,(xlRTTYENDU=1)*(xlRTTYEQCL=$D1351)*(xlRTEQTYPE=$E1351),0))</f>
        <v>NG_HP2</v>
      </c>
      <c r="Y1351" s="153" t="str">
        <f t="array" ref="Y1351">INDEX(xlRTTYNAME,MATCH(1,(xlRTTYENDU=2)*(xlRTTYEQCL=$F1351)*(xlRTEQTYPE=$G1351),0))</f>
        <v>NG_HP2</v>
      </c>
    </row>
    <row r="1352" spans="2:25" ht="14.25" customHeight="1" x14ac:dyDescent="0.2">
      <c r="B1352" s="126">
        <v>8</v>
      </c>
      <c r="C1352" s="126">
        <v>2</v>
      </c>
      <c r="D1352" s="126">
        <v>11</v>
      </c>
      <c r="E1352" s="126">
        <v>36</v>
      </c>
      <c r="F1352" s="126">
        <v>5</v>
      </c>
      <c r="G1352" s="126">
        <v>17</v>
      </c>
      <c r="H1352" s="126">
        <v>2016</v>
      </c>
      <c r="I1352" s="126">
        <v>2050</v>
      </c>
      <c r="J1352" s="127">
        <v>1.0932999999999999</v>
      </c>
      <c r="K1352" s="127">
        <v>1.0323</v>
      </c>
      <c r="L1352" s="127">
        <v>1.0390999999999999</v>
      </c>
      <c r="M1352" s="127">
        <v>1.2739</v>
      </c>
      <c r="N1352" s="127">
        <v>1.2847999999999999</v>
      </c>
      <c r="O1352" s="127">
        <v>1.0538000000000001</v>
      </c>
      <c r="P1352" s="126">
        <v>2341</v>
      </c>
      <c r="Q1352" s="128">
        <f t="array" ref="Q1352">SUM(IF(($S1352&gt;=4)*($C1352='TaxCred&amp;Subs'!$D$123:$D$127)*($H1352='TaxCred&amp;Subs'!$C$123:$C$127)*($H1352&lt;='TaxCred&amp;Subs'!$C$129),'TaxCred&amp;Subs'!$E$123:$E$127,0))</f>
        <v>0</v>
      </c>
      <c r="R1352" s="174">
        <v>0</v>
      </c>
      <c r="S1352" s="126">
        <v>2</v>
      </c>
      <c r="T1352" s="126" t="s">
        <v>224</v>
      </c>
      <c r="U1352" s="158"/>
      <c r="V1352" s="153" t="str">
        <f t="array" ref="V1352">INDEX(xlRTCLNAME,MATCH(1,(xlRTCLENDU=1)*(xlRTCLEQCL=$D1352),0))</f>
        <v>NG_HP</v>
      </c>
      <c r="W1352" s="153" t="str">
        <f t="array" ref="W1352">INDEX(xlRTCLNAME,MATCH(1,(xlRTCLENDU=2)*(xlRTCLEQCL=$F1352),0))</f>
        <v>NG_HP</v>
      </c>
      <c r="X1352" s="153" t="str">
        <f t="array" ref="X1352">INDEX(xlRTTYNAME,MATCH(1,(xlRTTYENDU=1)*(xlRTTYEQCL=$D1352)*(xlRTEQTYPE=$E1352),0))</f>
        <v>NG_HP2</v>
      </c>
      <c r="Y1352" s="153" t="str">
        <f t="array" ref="Y1352">INDEX(xlRTTYNAME,MATCH(1,(xlRTTYENDU=2)*(xlRTTYEQCL=$F1352)*(xlRTEQTYPE=$G1352),0))</f>
        <v>NG_HP2</v>
      </c>
    </row>
    <row r="1353" spans="2:25" ht="14.25" customHeight="1" x14ac:dyDescent="0.2">
      <c r="B1353" s="126">
        <v>9</v>
      </c>
      <c r="C1353" s="126">
        <v>2</v>
      </c>
      <c r="D1353" s="126">
        <v>11</v>
      </c>
      <c r="E1353" s="126">
        <v>36</v>
      </c>
      <c r="F1353" s="126">
        <v>5</v>
      </c>
      <c r="G1353" s="126">
        <v>17</v>
      </c>
      <c r="H1353" s="126">
        <v>2016</v>
      </c>
      <c r="I1353" s="126">
        <v>2050</v>
      </c>
      <c r="J1353" s="127">
        <v>1.07</v>
      </c>
      <c r="K1353" s="127">
        <v>1.0541</v>
      </c>
      <c r="L1353" s="127">
        <v>0.88129999999999997</v>
      </c>
      <c r="M1353" s="127">
        <v>1.2166999999999999</v>
      </c>
      <c r="N1353" s="127">
        <v>1.4438</v>
      </c>
      <c r="O1353" s="127">
        <v>1.0538000000000001</v>
      </c>
      <c r="P1353" s="126">
        <v>1907</v>
      </c>
      <c r="Q1353" s="128">
        <f t="array" ref="Q1353">SUM(IF(($S1353&gt;=4)*($C1353='TaxCred&amp;Subs'!$D$123:$D$127)*($H1353='TaxCred&amp;Subs'!$C$123:$C$127)*($H1353&lt;='TaxCred&amp;Subs'!$C$129),'TaxCred&amp;Subs'!$E$123:$E$127,0))</f>
        <v>0</v>
      </c>
      <c r="R1353" s="174">
        <v>0</v>
      </c>
      <c r="S1353" s="126">
        <v>2</v>
      </c>
      <c r="T1353" s="126" t="s">
        <v>224</v>
      </c>
      <c r="U1353" s="158"/>
      <c r="V1353" s="153" t="str">
        <f t="array" ref="V1353">INDEX(xlRTCLNAME,MATCH(1,(xlRTCLENDU=1)*(xlRTCLEQCL=$D1353),0))</f>
        <v>NG_HP</v>
      </c>
      <c r="W1353" s="153" t="str">
        <f t="array" ref="W1353">INDEX(xlRTCLNAME,MATCH(1,(xlRTCLENDU=2)*(xlRTCLEQCL=$F1353),0))</f>
        <v>NG_HP</v>
      </c>
      <c r="X1353" s="153" t="str">
        <f t="array" ref="X1353">INDEX(xlRTTYNAME,MATCH(1,(xlRTTYENDU=1)*(xlRTTYEQCL=$D1353)*(xlRTEQTYPE=$E1353),0))</f>
        <v>NG_HP2</v>
      </c>
      <c r="Y1353" s="153" t="str">
        <f t="array" ref="Y1353">INDEX(xlRTTYNAME,MATCH(1,(xlRTTYENDU=2)*(xlRTTYEQCL=$F1353)*(xlRTEQTYPE=$G1353),0))</f>
        <v>NG_HP2</v>
      </c>
    </row>
    <row r="1354" spans="2:25" ht="14.25" customHeight="1" x14ac:dyDescent="0.2">
      <c r="B1354" s="126">
        <v>1</v>
      </c>
      <c r="C1354" s="126">
        <v>2</v>
      </c>
      <c r="D1354" s="126">
        <v>1</v>
      </c>
      <c r="E1354" s="126">
        <v>1</v>
      </c>
      <c r="F1354" s="126">
        <v>2</v>
      </c>
      <c r="G1354" s="126">
        <v>7</v>
      </c>
      <c r="H1354" s="126">
        <v>2016</v>
      </c>
      <c r="I1354" s="126">
        <v>2050</v>
      </c>
      <c r="J1354" s="127">
        <v>1.1039000000000001</v>
      </c>
      <c r="K1354" s="127">
        <v>1.0417000000000001</v>
      </c>
      <c r="L1354" s="127">
        <v>0.92020000000000002</v>
      </c>
      <c r="M1354" s="127">
        <v>1.1455</v>
      </c>
      <c r="N1354" s="127">
        <v>1.1114999999999999</v>
      </c>
      <c r="O1354" s="127">
        <v>1.0538000000000001</v>
      </c>
      <c r="P1354" s="126">
        <v>3169</v>
      </c>
      <c r="Q1354" s="128">
        <f t="array" ref="Q1354">SUM(IF(($S1354&gt;=4)*($C1354='TaxCred&amp;Subs'!$D$123:$D$127)*($H1354='TaxCred&amp;Subs'!$C$123:$C$127)*($H1354&lt;='TaxCred&amp;Subs'!$C$129),'TaxCred&amp;Subs'!$E$123:$E$127,0))</f>
        <v>0</v>
      </c>
      <c r="R1354" s="174">
        <v>0</v>
      </c>
      <c r="S1354" s="126">
        <v>3</v>
      </c>
      <c r="T1354" s="126" t="s">
        <v>247</v>
      </c>
      <c r="U1354" s="158"/>
      <c r="V1354" s="153" t="str">
        <f t="array" ref="V1354">INDEX(xlRTCLNAME,MATCH(1,(xlRTCLENDU=1)*(xlRTCLEQCL=$D1354),0))</f>
        <v>ELEC_RAD</v>
      </c>
      <c r="W1354" s="153" t="str">
        <f t="array" ref="W1354">INDEX(xlRTCLNAME,MATCH(1,(xlRTCLENDU=2)*(xlRTCLEQCL=$F1354),0))</f>
        <v>CENT_AIR</v>
      </c>
      <c r="X1354" s="153" t="str">
        <f t="array" ref="X1354">INDEX(xlRTTYNAME,MATCH(1,(xlRTTYENDU=1)*(xlRTTYEQCL=$D1354)*(xlRTEQTYPE=$E1354),0))</f>
        <v>ELEC_RAD2</v>
      </c>
      <c r="Y1354" s="153" t="str">
        <f t="array" ref="Y1354">INDEX(xlRTTYNAME,MATCH(1,(xlRTTYENDU=2)*(xlRTTYEQCL=$F1354)*(xlRTEQTYPE=$G1354),0))</f>
        <v>CENT_AIR3</v>
      </c>
    </row>
    <row r="1355" spans="2:25" ht="14.25" customHeight="1" x14ac:dyDescent="0.2">
      <c r="B1355" s="126">
        <v>2</v>
      </c>
      <c r="C1355" s="126">
        <v>2</v>
      </c>
      <c r="D1355" s="126">
        <v>1</v>
      </c>
      <c r="E1355" s="126">
        <v>1</v>
      </c>
      <c r="F1355" s="126">
        <v>2</v>
      </c>
      <c r="G1355" s="126">
        <v>7</v>
      </c>
      <c r="H1355" s="126">
        <v>2016</v>
      </c>
      <c r="I1355" s="126">
        <v>2050</v>
      </c>
      <c r="J1355" s="127">
        <v>1.1000000000000001</v>
      </c>
      <c r="K1355" s="127">
        <v>1.0357000000000001</v>
      </c>
      <c r="L1355" s="127">
        <v>0.95</v>
      </c>
      <c r="M1355" s="127">
        <v>1.1625000000000001</v>
      </c>
      <c r="N1355" s="127">
        <v>1.1163000000000001</v>
      </c>
      <c r="O1355" s="127">
        <v>1.0538000000000001</v>
      </c>
      <c r="P1355" s="126">
        <v>2747</v>
      </c>
      <c r="Q1355" s="128">
        <f t="array" ref="Q1355">SUM(IF(($S1355&gt;=4)*($C1355='TaxCred&amp;Subs'!$D$123:$D$127)*($H1355='TaxCred&amp;Subs'!$C$123:$C$127)*($H1355&lt;='TaxCred&amp;Subs'!$C$129),'TaxCred&amp;Subs'!$E$123:$E$127,0))</f>
        <v>0</v>
      </c>
      <c r="R1355" s="174">
        <v>0</v>
      </c>
      <c r="S1355" s="126">
        <v>3</v>
      </c>
      <c r="T1355" s="126" t="s">
        <v>247</v>
      </c>
      <c r="U1355" s="158"/>
      <c r="V1355" s="153" t="str">
        <f t="array" ref="V1355">INDEX(xlRTCLNAME,MATCH(1,(xlRTCLENDU=1)*(xlRTCLEQCL=$D1355),0))</f>
        <v>ELEC_RAD</v>
      </c>
      <c r="W1355" s="153" t="str">
        <f t="array" ref="W1355">INDEX(xlRTCLNAME,MATCH(1,(xlRTCLENDU=2)*(xlRTCLEQCL=$F1355),0))</f>
        <v>CENT_AIR</v>
      </c>
      <c r="X1355" s="153" t="str">
        <f t="array" ref="X1355">INDEX(xlRTTYNAME,MATCH(1,(xlRTTYENDU=1)*(xlRTTYEQCL=$D1355)*(xlRTEQTYPE=$E1355),0))</f>
        <v>ELEC_RAD2</v>
      </c>
      <c r="Y1355" s="153" t="str">
        <f t="array" ref="Y1355">INDEX(xlRTTYNAME,MATCH(1,(xlRTTYENDU=2)*(xlRTTYEQCL=$F1355)*(xlRTEQTYPE=$G1355),0))</f>
        <v>CENT_AIR3</v>
      </c>
    </row>
    <row r="1356" spans="2:25" ht="14.25" customHeight="1" x14ac:dyDescent="0.2">
      <c r="B1356" s="126">
        <v>3</v>
      </c>
      <c r="C1356" s="126">
        <v>2</v>
      </c>
      <c r="D1356" s="126">
        <v>1</v>
      </c>
      <c r="E1356" s="126">
        <v>1</v>
      </c>
      <c r="F1356" s="126">
        <v>2</v>
      </c>
      <c r="G1356" s="126">
        <v>7</v>
      </c>
      <c r="H1356" s="126">
        <v>2016</v>
      </c>
      <c r="I1356" s="126">
        <v>2050</v>
      </c>
      <c r="J1356" s="127">
        <v>1.1020000000000001</v>
      </c>
      <c r="K1356" s="127">
        <v>1.0345</v>
      </c>
      <c r="L1356" s="127">
        <v>0.8337</v>
      </c>
      <c r="M1356" s="127">
        <v>1.0828</v>
      </c>
      <c r="N1356" s="127">
        <v>1.0386</v>
      </c>
      <c r="O1356" s="127">
        <v>1.0538000000000001</v>
      </c>
      <c r="P1356" s="126">
        <v>2657</v>
      </c>
      <c r="Q1356" s="128">
        <f t="array" ref="Q1356">SUM(IF(($S1356&gt;=4)*($C1356='TaxCred&amp;Subs'!$D$123:$D$127)*($H1356='TaxCred&amp;Subs'!$C$123:$C$127)*($H1356&lt;='TaxCred&amp;Subs'!$C$129),'TaxCred&amp;Subs'!$E$123:$E$127,0))</f>
        <v>0</v>
      </c>
      <c r="R1356" s="174">
        <v>0</v>
      </c>
      <c r="S1356" s="126">
        <v>3</v>
      </c>
      <c r="T1356" s="126" t="s">
        <v>247</v>
      </c>
      <c r="U1356" s="158"/>
      <c r="V1356" s="153" t="str">
        <f t="array" ref="V1356">INDEX(xlRTCLNAME,MATCH(1,(xlRTCLENDU=1)*(xlRTCLEQCL=$D1356),0))</f>
        <v>ELEC_RAD</v>
      </c>
      <c r="W1356" s="153" t="str">
        <f t="array" ref="W1356">INDEX(xlRTCLNAME,MATCH(1,(xlRTCLENDU=2)*(xlRTCLEQCL=$F1356),0))</f>
        <v>CENT_AIR</v>
      </c>
      <c r="X1356" s="153" t="str">
        <f t="array" ref="X1356">INDEX(xlRTTYNAME,MATCH(1,(xlRTTYENDU=1)*(xlRTTYEQCL=$D1356)*(xlRTEQTYPE=$E1356),0))</f>
        <v>ELEC_RAD2</v>
      </c>
      <c r="Y1356" s="153" t="str">
        <f t="array" ref="Y1356">INDEX(xlRTTYNAME,MATCH(1,(xlRTTYENDU=2)*(xlRTTYEQCL=$F1356)*(xlRTEQTYPE=$G1356),0))</f>
        <v>CENT_AIR3</v>
      </c>
    </row>
    <row r="1357" spans="2:25" ht="14.25" customHeight="1" x14ac:dyDescent="0.2">
      <c r="B1357" s="126">
        <v>4</v>
      </c>
      <c r="C1357" s="126">
        <v>2</v>
      </c>
      <c r="D1357" s="126">
        <v>1</v>
      </c>
      <c r="E1357" s="126">
        <v>1</v>
      </c>
      <c r="F1357" s="126">
        <v>2</v>
      </c>
      <c r="G1357" s="126">
        <v>7</v>
      </c>
      <c r="H1357" s="126">
        <v>2016</v>
      </c>
      <c r="I1357" s="126">
        <v>2050</v>
      </c>
      <c r="J1357" s="127">
        <v>1.1000000000000001</v>
      </c>
      <c r="K1357" s="127">
        <v>1.0435000000000001</v>
      </c>
      <c r="L1357" s="127">
        <v>0.98709999999999998</v>
      </c>
      <c r="M1357" s="127">
        <v>1.1499999999999999</v>
      </c>
      <c r="N1357" s="127">
        <v>1.1657</v>
      </c>
      <c r="O1357" s="127">
        <v>1.0538000000000001</v>
      </c>
      <c r="P1357" s="126">
        <v>2300</v>
      </c>
      <c r="Q1357" s="128">
        <f t="array" ref="Q1357">SUM(IF(($S1357&gt;=4)*($C1357='TaxCred&amp;Subs'!$D$123:$D$127)*($H1357='TaxCred&amp;Subs'!$C$123:$C$127)*($H1357&lt;='TaxCred&amp;Subs'!$C$129),'TaxCred&amp;Subs'!$E$123:$E$127,0))</f>
        <v>0</v>
      </c>
      <c r="R1357" s="174">
        <v>0</v>
      </c>
      <c r="S1357" s="126">
        <v>3</v>
      </c>
      <c r="T1357" s="126" t="s">
        <v>247</v>
      </c>
      <c r="U1357" s="158"/>
      <c r="V1357" s="153" t="str">
        <f t="array" ref="V1357">INDEX(xlRTCLNAME,MATCH(1,(xlRTCLENDU=1)*(xlRTCLEQCL=$D1357),0))</f>
        <v>ELEC_RAD</v>
      </c>
      <c r="W1357" s="153" t="str">
        <f t="array" ref="W1357">INDEX(xlRTCLNAME,MATCH(1,(xlRTCLENDU=2)*(xlRTCLEQCL=$F1357),0))</f>
        <v>CENT_AIR</v>
      </c>
      <c r="X1357" s="153" t="str">
        <f t="array" ref="X1357">INDEX(xlRTTYNAME,MATCH(1,(xlRTTYENDU=1)*(xlRTTYEQCL=$D1357)*(xlRTEQTYPE=$E1357),0))</f>
        <v>ELEC_RAD2</v>
      </c>
      <c r="Y1357" s="153" t="str">
        <f t="array" ref="Y1357">INDEX(xlRTTYNAME,MATCH(1,(xlRTTYENDU=2)*(xlRTTYEQCL=$F1357)*(xlRTEQTYPE=$G1357),0))</f>
        <v>CENT_AIR3</v>
      </c>
    </row>
    <row r="1358" spans="2:25" ht="14.25" customHeight="1" x14ac:dyDescent="0.2">
      <c r="B1358" s="126">
        <v>5</v>
      </c>
      <c r="C1358" s="126">
        <v>2</v>
      </c>
      <c r="D1358" s="126">
        <v>1</v>
      </c>
      <c r="E1358" s="126">
        <v>1</v>
      </c>
      <c r="F1358" s="126">
        <v>2</v>
      </c>
      <c r="G1358" s="126">
        <v>7</v>
      </c>
      <c r="H1358" s="126">
        <v>2016</v>
      </c>
      <c r="I1358" s="126">
        <v>2050</v>
      </c>
      <c r="J1358" s="127">
        <v>1.1200000000000001</v>
      </c>
      <c r="K1358" s="127">
        <v>1.0577000000000001</v>
      </c>
      <c r="L1358" s="127">
        <v>0.67459999999999998</v>
      </c>
      <c r="M1358" s="127">
        <v>1.1097999999999999</v>
      </c>
      <c r="N1358" s="127">
        <v>1.2619</v>
      </c>
      <c r="O1358" s="127">
        <v>1.0538000000000001</v>
      </c>
      <c r="P1358" s="126">
        <v>1871</v>
      </c>
      <c r="Q1358" s="128">
        <f t="array" ref="Q1358">SUM(IF(($S1358&gt;=4)*($C1358='TaxCred&amp;Subs'!$D$123:$D$127)*($H1358='TaxCred&amp;Subs'!$C$123:$C$127)*($H1358&lt;='TaxCred&amp;Subs'!$C$129),'TaxCred&amp;Subs'!$E$123:$E$127,0))</f>
        <v>0</v>
      </c>
      <c r="R1358" s="174">
        <v>0</v>
      </c>
      <c r="S1358" s="126">
        <v>3</v>
      </c>
      <c r="T1358" s="126" t="s">
        <v>247</v>
      </c>
      <c r="U1358" s="158"/>
      <c r="V1358" s="153" t="str">
        <f t="array" ref="V1358">INDEX(xlRTCLNAME,MATCH(1,(xlRTCLENDU=1)*(xlRTCLEQCL=$D1358),0))</f>
        <v>ELEC_RAD</v>
      </c>
      <c r="W1358" s="153" t="str">
        <f t="array" ref="W1358">INDEX(xlRTCLNAME,MATCH(1,(xlRTCLENDU=2)*(xlRTCLEQCL=$F1358),0))</f>
        <v>CENT_AIR</v>
      </c>
      <c r="X1358" s="153" t="str">
        <f t="array" ref="X1358">INDEX(xlRTTYNAME,MATCH(1,(xlRTTYENDU=1)*(xlRTTYEQCL=$D1358)*(xlRTEQTYPE=$E1358),0))</f>
        <v>ELEC_RAD2</v>
      </c>
      <c r="Y1358" s="153" t="str">
        <f t="array" ref="Y1358">INDEX(xlRTTYNAME,MATCH(1,(xlRTTYENDU=2)*(xlRTTYEQCL=$F1358)*(xlRTEQTYPE=$G1358),0))</f>
        <v>CENT_AIR3</v>
      </c>
    </row>
    <row r="1359" spans="2:25" ht="14.25" customHeight="1" x14ac:dyDescent="0.2">
      <c r="B1359" s="126">
        <v>6</v>
      </c>
      <c r="C1359" s="126">
        <v>2</v>
      </c>
      <c r="D1359" s="126">
        <v>1</v>
      </c>
      <c r="E1359" s="126">
        <v>1</v>
      </c>
      <c r="F1359" s="126">
        <v>2</v>
      </c>
      <c r="G1359" s="126">
        <v>7</v>
      </c>
      <c r="H1359" s="126">
        <v>2016</v>
      </c>
      <c r="I1359" s="126">
        <v>2050</v>
      </c>
      <c r="J1359" s="127">
        <v>1.1000000000000001</v>
      </c>
      <c r="K1359" s="127">
        <v>1.0407999999999999</v>
      </c>
      <c r="L1359" s="127">
        <v>1.0271999999999999</v>
      </c>
      <c r="M1359" s="127">
        <v>1.1568000000000001</v>
      </c>
      <c r="N1359" s="127">
        <v>1.3324</v>
      </c>
      <c r="O1359" s="127">
        <v>1.0538000000000001</v>
      </c>
      <c r="P1359" s="126">
        <v>2063</v>
      </c>
      <c r="Q1359" s="128">
        <f t="array" ref="Q1359">SUM(IF(($S1359&gt;=4)*($C1359='TaxCred&amp;Subs'!$D$123:$D$127)*($H1359='TaxCred&amp;Subs'!$C$123:$C$127)*($H1359&lt;='TaxCred&amp;Subs'!$C$129),'TaxCred&amp;Subs'!$E$123:$E$127,0))</f>
        <v>0</v>
      </c>
      <c r="R1359" s="174">
        <v>0</v>
      </c>
      <c r="S1359" s="126">
        <v>3</v>
      </c>
      <c r="T1359" s="126" t="s">
        <v>247</v>
      </c>
      <c r="U1359" s="158"/>
      <c r="V1359" s="153" t="str">
        <f t="array" ref="V1359">INDEX(xlRTCLNAME,MATCH(1,(xlRTCLENDU=1)*(xlRTCLEQCL=$D1359),0))</f>
        <v>ELEC_RAD</v>
      </c>
      <c r="W1359" s="153" t="str">
        <f t="array" ref="W1359">INDEX(xlRTCLNAME,MATCH(1,(xlRTCLENDU=2)*(xlRTCLEQCL=$F1359),0))</f>
        <v>CENT_AIR</v>
      </c>
      <c r="X1359" s="153" t="str">
        <f t="array" ref="X1359">INDEX(xlRTTYNAME,MATCH(1,(xlRTTYENDU=1)*(xlRTTYEQCL=$D1359)*(xlRTEQTYPE=$E1359),0))</f>
        <v>ELEC_RAD2</v>
      </c>
      <c r="Y1359" s="153" t="str">
        <f t="array" ref="Y1359">INDEX(xlRTTYNAME,MATCH(1,(xlRTTYENDU=2)*(xlRTTYEQCL=$F1359)*(xlRTEQTYPE=$G1359),0))</f>
        <v>CENT_AIR3</v>
      </c>
    </row>
    <row r="1360" spans="2:25" ht="14.25" customHeight="1" x14ac:dyDescent="0.2">
      <c r="B1360" s="126">
        <v>7</v>
      </c>
      <c r="C1360" s="126">
        <v>2</v>
      </c>
      <c r="D1360" s="126">
        <v>1</v>
      </c>
      <c r="E1360" s="126">
        <v>1</v>
      </c>
      <c r="F1360" s="126">
        <v>2</v>
      </c>
      <c r="G1360" s="126">
        <v>7</v>
      </c>
      <c r="H1360" s="126">
        <v>2016</v>
      </c>
      <c r="I1360" s="126">
        <v>2050</v>
      </c>
      <c r="J1360" s="127">
        <v>1.1200000000000001</v>
      </c>
      <c r="K1360" s="127">
        <v>1.0455000000000001</v>
      </c>
      <c r="L1360" s="127">
        <v>1.2438</v>
      </c>
      <c r="M1360" s="127">
        <v>1.1604000000000001</v>
      </c>
      <c r="N1360" s="127">
        <v>1.4438</v>
      </c>
      <c r="O1360" s="127">
        <v>1.0538000000000001</v>
      </c>
      <c r="P1360" s="126">
        <v>1495</v>
      </c>
      <c r="Q1360" s="128">
        <f t="array" ref="Q1360">SUM(IF(($S1360&gt;=4)*($C1360='TaxCred&amp;Subs'!$D$123:$D$127)*($H1360='TaxCred&amp;Subs'!$C$123:$C$127)*($H1360&lt;='TaxCred&amp;Subs'!$C$129),'TaxCred&amp;Subs'!$E$123:$E$127,0))</f>
        <v>0</v>
      </c>
      <c r="R1360" s="174">
        <v>0</v>
      </c>
      <c r="S1360" s="126">
        <v>3</v>
      </c>
      <c r="T1360" s="126" t="s">
        <v>247</v>
      </c>
      <c r="U1360" s="158"/>
      <c r="V1360" s="153" t="str">
        <f t="array" ref="V1360">INDEX(xlRTCLNAME,MATCH(1,(xlRTCLENDU=1)*(xlRTCLEQCL=$D1360),0))</f>
        <v>ELEC_RAD</v>
      </c>
      <c r="W1360" s="153" t="str">
        <f t="array" ref="W1360">INDEX(xlRTCLNAME,MATCH(1,(xlRTCLENDU=2)*(xlRTCLEQCL=$F1360),0))</f>
        <v>CENT_AIR</v>
      </c>
      <c r="X1360" s="153" t="str">
        <f t="array" ref="X1360">INDEX(xlRTTYNAME,MATCH(1,(xlRTTYENDU=1)*(xlRTTYEQCL=$D1360)*(xlRTEQTYPE=$E1360),0))</f>
        <v>ELEC_RAD2</v>
      </c>
      <c r="Y1360" s="153" t="str">
        <f t="array" ref="Y1360">INDEX(xlRTTYNAME,MATCH(1,(xlRTTYENDU=2)*(xlRTTYEQCL=$F1360)*(xlRTEQTYPE=$G1360),0))</f>
        <v>CENT_AIR3</v>
      </c>
    </row>
    <row r="1361" spans="2:25" ht="14.25" customHeight="1" x14ac:dyDescent="0.2">
      <c r="B1361" s="126">
        <v>8</v>
      </c>
      <c r="C1361" s="126">
        <v>2</v>
      </c>
      <c r="D1361" s="126">
        <v>1</v>
      </c>
      <c r="E1361" s="126">
        <v>1</v>
      </c>
      <c r="F1361" s="126">
        <v>2</v>
      </c>
      <c r="G1361" s="126">
        <v>7</v>
      </c>
      <c r="H1361" s="126">
        <v>2016</v>
      </c>
      <c r="I1361" s="126">
        <v>2050</v>
      </c>
      <c r="J1361" s="127">
        <v>1.1026</v>
      </c>
      <c r="K1361" s="127">
        <v>1.0645</v>
      </c>
      <c r="L1361" s="127">
        <v>1.0025999999999999</v>
      </c>
      <c r="M1361" s="127">
        <v>1.2739</v>
      </c>
      <c r="N1361" s="127">
        <v>1.2785</v>
      </c>
      <c r="O1361" s="127">
        <v>1.0538000000000001</v>
      </c>
      <c r="P1361" s="126">
        <v>2451</v>
      </c>
      <c r="Q1361" s="128">
        <f t="array" ref="Q1361">SUM(IF(($S1361&gt;=4)*($C1361='TaxCred&amp;Subs'!$D$123:$D$127)*($H1361='TaxCred&amp;Subs'!$C$123:$C$127)*($H1361&lt;='TaxCred&amp;Subs'!$C$129),'TaxCred&amp;Subs'!$E$123:$E$127,0))</f>
        <v>0</v>
      </c>
      <c r="R1361" s="174">
        <v>0</v>
      </c>
      <c r="S1361" s="126">
        <v>3</v>
      </c>
      <c r="T1361" s="126" t="s">
        <v>247</v>
      </c>
      <c r="U1361" s="158"/>
      <c r="V1361" s="153" t="str">
        <f t="array" ref="V1361">INDEX(xlRTCLNAME,MATCH(1,(xlRTCLENDU=1)*(xlRTCLEQCL=$D1361),0))</f>
        <v>ELEC_RAD</v>
      </c>
      <c r="W1361" s="153" t="str">
        <f t="array" ref="W1361">INDEX(xlRTCLNAME,MATCH(1,(xlRTCLENDU=2)*(xlRTCLEQCL=$F1361),0))</f>
        <v>CENT_AIR</v>
      </c>
      <c r="X1361" s="153" t="str">
        <f t="array" ref="X1361">INDEX(xlRTTYNAME,MATCH(1,(xlRTTYENDU=1)*(xlRTTYEQCL=$D1361)*(xlRTEQTYPE=$E1361),0))</f>
        <v>ELEC_RAD2</v>
      </c>
      <c r="Y1361" s="153" t="str">
        <f t="array" ref="Y1361">INDEX(xlRTTYNAME,MATCH(1,(xlRTTYENDU=2)*(xlRTTYEQCL=$F1361)*(xlRTEQTYPE=$G1361),0))</f>
        <v>CENT_AIR3</v>
      </c>
    </row>
    <row r="1362" spans="2:25" ht="14.25" customHeight="1" x14ac:dyDescent="0.2">
      <c r="B1362" s="126">
        <v>9</v>
      </c>
      <c r="C1362" s="126">
        <v>2</v>
      </c>
      <c r="D1362" s="126">
        <v>1</v>
      </c>
      <c r="E1362" s="126">
        <v>1</v>
      </c>
      <c r="F1362" s="126">
        <v>2</v>
      </c>
      <c r="G1362" s="126">
        <v>7</v>
      </c>
      <c r="H1362" s="126">
        <v>2016</v>
      </c>
      <c r="I1362" s="126">
        <v>2050</v>
      </c>
      <c r="J1362" s="127">
        <v>1.1200000000000001</v>
      </c>
      <c r="K1362" s="127">
        <v>1.0541</v>
      </c>
      <c r="L1362" s="127">
        <v>0.86050000000000004</v>
      </c>
      <c r="M1362" s="127">
        <v>1.2</v>
      </c>
      <c r="N1362" s="127">
        <v>1.4438</v>
      </c>
      <c r="O1362" s="127">
        <v>1.0538000000000001</v>
      </c>
      <c r="P1362" s="126">
        <v>2153</v>
      </c>
      <c r="Q1362" s="128">
        <f t="array" ref="Q1362">SUM(IF(($S1362&gt;=4)*($C1362='TaxCred&amp;Subs'!$D$123:$D$127)*($H1362='TaxCred&amp;Subs'!$C$123:$C$127)*($H1362&lt;='TaxCred&amp;Subs'!$C$129),'TaxCred&amp;Subs'!$E$123:$E$127,0))</f>
        <v>0</v>
      </c>
      <c r="R1362" s="174">
        <v>0</v>
      </c>
      <c r="S1362" s="126">
        <v>3</v>
      </c>
      <c r="T1362" s="126" t="s">
        <v>247</v>
      </c>
      <c r="U1362" s="158"/>
      <c r="V1362" s="153" t="str">
        <f t="array" ref="V1362">INDEX(xlRTCLNAME,MATCH(1,(xlRTCLENDU=1)*(xlRTCLEQCL=$D1362),0))</f>
        <v>ELEC_RAD</v>
      </c>
      <c r="W1362" s="153" t="str">
        <f t="array" ref="W1362">INDEX(xlRTCLNAME,MATCH(1,(xlRTCLENDU=2)*(xlRTCLEQCL=$F1362),0))</f>
        <v>CENT_AIR</v>
      </c>
      <c r="X1362" s="153" t="str">
        <f t="array" ref="X1362">INDEX(xlRTTYNAME,MATCH(1,(xlRTTYENDU=1)*(xlRTTYEQCL=$D1362)*(xlRTEQTYPE=$E1362),0))</f>
        <v>ELEC_RAD2</v>
      </c>
      <c r="Y1362" s="153" t="str">
        <f t="array" ref="Y1362">INDEX(xlRTTYNAME,MATCH(1,(xlRTTYENDU=2)*(xlRTTYEQCL=$F1362)*(xlRTEQTYPE=$G1362),0))</f>
        <v>CENT_AIR3</v>
      </c>
    </row>
    <row r="1363" spans="2:25" ht="14.25" customHeight="1" x14ac:dyDescent="0.2">
      <c r="B1363" s="126">
        <v>1</v>
      </c>
      <c r="C1363" s="126">
        <v>2</v>
      </c>
      <c r="D1363" s="126">
        <v>2</v>
      </c>
      <c r="E1363" s="126">
        <v>4</v>
      </c>
      <c r="F1363" s="126">
        <v>3</v>
      </c>
      <c r="G1363" s="126">
        <v>11</v>
      </c>
      <c r="H1363" s="126">
        <v>2016</v>
      </c>
      <c r="I1363" s="126">
        <v>2050</v>
      </c>
      <c r="J1363" s="127">
        <v>1.0909</v>
      </c>
      <c r="K1363" s="127">
        <v>1.04</v>
      </c>
      <c r="L1363" s="127">
        <v>1.0054000000000001</v>
      </c>
      <c r="M1363" s="127">
        <v>1.1455</v>
      </c>
      <c r="N1363" s="127">
        <v>1.1119000000000001</v>
      </c>
      <c r="O1363" s="127">
        <v>1.0538000000000001</v>
      </c>
      <c r="P1363" s="126">
        <v>2385</v>
      </c>
      <c r="Q1363" s="128">
        <f t="array" ref="Q1363">SUM(IF(($S1363&gt;=4)*($C1363='TaxCred&amp;Subs'!$D$123:$D$127)*($H1363='TaxCred&amp;Subs'!$C$123:$C$127)*($H1363&lt;='TaxCred&amp;Subs'!$C$129),'TaxCred&amp;Subs'!$E$123:$E$127,0))</f>
        <v>0</v>
      </c>
      <c r="R1363" s="174">
        <v>0</v>
      </c>
      <c r="S1363" s="126">
        <v>3</v>
      </c>
      <c r="T1363" s="126" t="s">
        <v>247</v>
      </c>
      <c r="U1363" s="158"/>
      <c r="V1363" s="153" t="str">
        <f t="array" ref="V1363">INDEX(xlRTCLNAME,MATCH(1,(xlRTCLENDU=1)*(xlRTCLEQCL=$D1363),0))</f>
        <v>ELEC_HP</v>
      </c>
      <c r="W1363" s="153" t="str">
        <f t="array" ref="W1363">INDEX(xlRTCLNAME,MATCH(1,(xlRTCLENDU=2)*(xlRTCLEQCL=$F1363),0))</f>
        <v>ELEC_HP</v>
      </c>
      <c r="X1363" s="153" t="str">
        <f t="array" ref="X1363">INDEX(xlRTTYNAME,MATCH(1,(xlRTTYENDU=1)*(xlRTTYEQCL=$D1363)*(xlRTEQTYPE=$E1363),0))</f>
        <v>ELEC_HP3</v>
      </c>
      <c r="Y1363" s="153" t="str">
        <f t="array" ref="Y1363">INDEX(xlRTTYNAME,MATCH(1,(xlRTTYENDU=2)*(xlRTTYEQCL=$F1363)*(xlRTEQTYPE=$G1363),0))</f>
        <v>ELEC_HP3</v>
      </c>
    </row>
    <row r="1364" spans="2:25" ht="14.25" customHeight="1" x14ac:dyDescent="0.2">
      <c r="B1364" s="126">
        <v>2</v>
      </c>
      <c r="C1364" s="126">
        <v>2</v>
      </c>
      <c r="D1364" s="126">
        <v>2</v>
      </c>
      <c r="E1364" s="126">
        <v>4</v>
      </c>
      <c r="F1364" s="126">
        <v>3</v>
      </c>
      <c r="G1364" s="126">
        <v>11</v>
      </c>
      <c r="H1364" s="126">
        <v>2016</v>
      </c>
      <c r="I1364" s="126">
        <v>2050</v>
      </c>
      <c r="J1364" s="127">
        <v>1.0847</v>
      </c>
      <c r="K1364" s="127">
        <v>1.0345</v>
      </c>
      <c r="L1364" s="127">
        <v>1.0548999999999999</v>
      </c>
      <c r="M1364" s="127">
        <v>1.1834</v>
      </c>
      <c r="N1364" s="127">
        <v>1.1213</v>
      </c>
      <c r="O1364" s="127">
        <v>1.0538000000000001</v>
      </c>
      <c r="P1364" s="126">
        <v>410</v>
      </c>
      <c r="Q1364" s="128">
        <f t="array" ref="Q1364">SUM(IF(($S1364&gt;=4)*($C1364='TaxCred&amp;Subs'!$D$123:$D$127)*($H1364='TaxCred&amp;Subs'!$C$123:$C$127)*($H1364&lt;='TaxCred&amp;Subs'!$C$129),'TaxCred&amp;Subs'!$E$123:$E$127,0))</f>
        <v>0</v>
      </c>
      <c r="R1364" s="174">
        <v>0</v>
      </c>
      <c r="S1364" s="126">
        <v>3</v>
      </c>
      <c r="T1364" s="126" t="s">
        <v>247</v>
      </c>
      <c r="U1364" s="158"/>
      <c r="V1364" s="153" t="str">
        <f t="array" ref="V1364">INDEX(xlRTCLNAME,MATCH(1,(xlRTCLENDU=1)*(xlRTCLEQCL=$D1364),0))</f>
        <v>ELEC_HP</v>
      </c>
      <c r="W1364" s="153" t="str">
        <f t="array" ref="W1364">INDEX(xlRTCLNAME,MATCH(1,(xlRTCLENDU=2)*(xlRTCLEQCL=$F1364),0))</f>
        <v>ELEC_HP</v>
      </c>
      <c r="X1364" s="153" t="str">
        <f t="array" ref="X1364">INDEX(xlRTTYNAME,MATCH(1,(xlRTTYENDU=1)*(xlRTTYEQCL=$D1364)*(xlRTEQTYPE=$E1364),0))</f>
        <v>ELEC_HP3</v>
      </c>
      <c r="Y1364" s="153" t="str">
        <f t="array" ref="Y1364">INDEX(xlRTTYNAME,MATCH(1,(xlRTTYENDU=2)*(xlRTTYEQCL=$F1364)*(xlRTEQTYPE=$G1364),0))</f>
        <v>ELEC_HP3</v>
      </c>
    </row>
    <row r="1365" spans="2:25" ht="14.25" customHeight="1" x14ac:dyDescent="0.2">
      <c r="B1365" s="126">
        <v>3</v>
      </c>
      <c r="C1365" s="126">
        <v>2</v>
      </c>
      <c r="D1365" s="126">
        <v>2</v>
      </c>
      <c r="E1365" s="126">
        <v>4</v>
      </c>
      <c r="F1365" s="126">
        <v>3</v>
      </c>
      <c r="G1365" s="126">
        <v>11</v>
      </c>
      <c r="H1365" s="126">
        <v>2016</v>
      </c>
      <c r="I1365" s="126">
        <v>2050</v>
      </c>
      <c r="J1365" s="127">
        <v>1.0932999999999999</v>
      </c>
      <c r="K1365" s="127">
        <v>1.0345</v>
      </c>
      <c r="L1365" s="127">
        <v>0.90490000000000004</v>
      </c>
      <c r="M1365" s="127">
        <v>1.0828</v>
      </c>
      <c r="N1365" s="127">
        <v>1.0358000000000001</v>
      </c>
      <c r="O1365" s="127">
        <v>1.0538000000000001</v>
      </c>
      <c r="P1365" s="126">
        <v>2029</v>
      </c>
      <c r="Q1365" s="128">
        <f t="array" ref="Q1365">SUM(IF(($S1365&gt;=4)*($C1365='TaxCred&amp;Subs'!$D$123:$D$127)*($H1365='TaxCred&amp;Subs'!$C$123:$C$127)*($H1365&lt;='TaxCred&amp;Subs'!$C$129),'TaxCred&amp;Subs'!$E$123:$E$127,0))</f>
        <v>0</v>
      </c>
      <c r="R1365" s="174">
        <v>0</v>
      </c>
      <c r="S1365" s="126">
        <v>3</v>
      </c>
      <c r="T1365" s="126" t="s">
        <v>247</v>
      </c>
      <c r="U1365" s="158"/>
      <c r="V1365" s="153" t="str">
        <f t="array" ref="V1365">INDEX(xlRTCLNAME,MATCH(1,(xlRTCLENDU=1)*(xlRTCLEQCL=$D1365),0))</f>
        <v>ELEC_HP</v>
      </c>
      <c r="W1365" s="153" t="str">
        <f t="array" ref="W1365">INDEX(xlRTCLNAME,MATCH(1,(xlRTCLENDU=2)*(xlRTCLEQCL=$F1365),0))</f>
        <v>ELEC_HP</v>
      </c>
      <c r="X1365" s="153" t="str">
        <f t="array" ref="X1365">INDEX(xlRTTYNAME,MATCH(1,(xlRTTYENDU=1)*(xlRTTYEQCL=$D1365)*(xlRTEQTYPE=$E1365),0))</f>
        <v>ELEC_HP3</v>
      </c>
      <c r="Y1365" s="153" t="str">
        <f t="array" ref="Y1365">INDEX(xlRTTYNAME,MATCH(1,(xlRTTYENDU=2)*(xlRTTYEQCL=$F1365)*(xlRTEQTYPE=$G1365),0))</f>
        <v>ELEC_HP3</v>
      </c>
    </row>
    <row r="1366" spans="2:25" ht="14.25" customHeight="1" x14ac:dyDescent="0.2">
      <c r="B1366" s="126">
        <v>4</v>
      </c>
      <c r="C1366" s="126">
        <v>2</v>
      </c>
      <c r="D1366" s="126">
        <v>2</v>
      </c>
      <c r="E1366" s="126">
        <v>4</v>
      </c>
      <c r="F1366" s="126">
        <v>3</v>
      </c>
      <c r="G1366" s="126">
        <v>11</v>
      </c>
      <c r="H1366" s="126">
        <v>2016</v>
      </c>
      <c r="I1366" s="126">
        <v>2050</v>
      </c>
      <c r="J1366" s="127">
        <v>1.0956999999999999</v>
      </c>
      <c r="K1366" s="127">
        <v>1.0417000000000001</v>
      </c>
      <c r="L1366" s="127">
        <v>1.0775999999999999</v>
      </c>
      <c r="M1366" s="127">
        <v>1.175</v>
      </c>
      <c r="N1366" s="127">
        <v>1.1621999999999999</v>
      </c>
      <c r="O1366" s="127">
        <v>1.0538000000000001</v>
      </c>
      <c r="P1366" s="126">
        <v>1756</v>
      </c>
      <c r="Q1366" s="128">
        <f t="array" ref="Q1366">SUM(IF(($S1366&gt;=4)*($C1366='TaxCred&amp;Subs'!$D$123:$D$127)*($H1366='TaxCred&amp;Subs'!$C$123:$C$127)*($H1366&lt;='TaxCred&amp;Subs'!$C$129),'TaxCred&amp;Subs'!$E$123:$E$127,0))</f>
        <v>0</v>
      </c>
      <c r="R1366" s="174">
        <v>0</v>
      </c>
      <c r="S1366" s="126">
        <v>3</v>
      </c>
      <c r="T1366" s="126" t="s">
        <v>247</v>
      </c>
      <c r="U1366" s="158"/>
      <c r="V1366" s="153" t="str">
        <f t="array" ref="V1366">INDEX(xlRTCLNAME,MATCH(1,(xlRTCLENDU=1)*(xlRTCLEQCL=$D1366),0))</f>
        <v>ELEC_HP</v>
      </c>
      <c r="W1366" s="153" t="str">
        <f t="array" ref="W1366">INDEX(xlRTCLNAME,MATCH(1,(xlRTCLENDU=2)*(xlRTCLEQCL=$F1366),0))</f>
        <v>ELEC_HP</v>
      </c>
      <c r="X1366" s="153" t="str">
        <f t="array" ref="X1366">INDEX(xlRTTYNAME,MATCH(1,(xlRTTYENDU=1)*(xlRTTYEQCL=$D1366)*(xlRTEQTYPE=$E1366),0))</f>
        <v>ELEC_HP3</v>
      </c>
      <c r="Y1366" s="153" t="str">
        <f t="array" ref="Y1366">INDEX(xlRTTYNAME,MATCH(1,(xlRTTYENDU=2)*(xlRTTYEQCL=$F1366)*(xlRTEQTYPE=$G1366),0))</f>
        <v>ELEC_HP3</v>
      </c>
    </row>
    <row r="1367" spans="2:25" ht="14.25" customHeight="1" x14ac:dyDescent="0.2">
      <c r="B1367" s="126">
        <v>5</v>
      </c>
      <c r="C1367" s="126">
        <v>2</v>
      </c>
      <c r="D1367" s="126">
        <v>2</v>
      </c>
      <c r="E1367" s="126">
        <v>4</v>
      </c>
      <c r="F1367" s="126">
        <v>3</v>
      </c>
      <c r="G1367" s="126">
        <v>11</v>
      </c>
      <c r="H1367" s="126">
        <v>2016</v>
      </c>
      <c r="I1367" s="126">
        <v>2050</v>
      </c>
      <c r="J1367" s="127">
        <v>1.1200000000000001</v>
      </c>
      <c r="K1367" s="127">
        <v>1.0545</v>
      </c>
      <c r="L1367" s="127">
        <v>1.2771999999999999</v>
      </c>
      <c r="M1367" s="127">
        <v>1.149</v>
      </c>
      <c r="N1367" s="127">
        <v>1.2490000000000001</v>
      </c>
      <c r="O1367" s="127">
        <v>1.0538000000000001</v>
      </c>
      <c r="P1367" s="126">
        <v>1448</v>
      </c>
      <c r="Q1367" s="128">
        <f t="array" ref="Q1367">SUM(IF(($S1367&gt;=4)*($C1367='TaxCred&amp;Subs'!$D$123:$D$127)*($H1367='TaxCred&amp;Subs'!$C$123:$C$127)*($H1367&lt;='TaxCred&amp;Subs'!$C$129),'TaxCred&amp;Subs'!$E$123:$E$127,0))</f>
        <v>0</v>
      </c>
      <c r="R1367" s="174">
        <v>0</v>
      </c>
      <c r="S1367" s="126">
        <v>3</v>
      </c>
      <c r="T1367" s="126" t="s">
        <v>247</v>
      </c>
      <c r="U1367" s="158"/>
      <c r="V1367" s="153" t="str">
        <f t="array" ref="V1367">INDEX(xlRTCLNAME,MATCH(1,(xlRTCLENDU=1)*(xlRTCLEQCL=$D1367),0))</f>
        <v>ELEC_HP</v>
      </c>
      <c r="W1367" s="153" t="str">
        <f t="array" ref="W1367">INDEX(xlRTCLNAME,MATCH(1,(xlRTCLENDU=2)*(xlRTCLEQCL=$F1367),0))</f>
        <v>ELEC_HP</v>
      </c>
      <c r="X1367" s="153" t="str">
        <f t="array" ref="X1367">INDEX(xlRTTYNAME,MATCH(1,(xlRTTYENDU=1)*(xlRTTYEQCL=$D1367)*(xlRTEQTYPE=$E1367),0))</f>
        <v>ELEC_HP3</v>
      </c>
      <c r="Y1367" s="153" t="str">
        <f t="array" ref="Y1367">INDEX(xlRTTYNAME,MATCH(1,(xlRTTYENDU=2)*(xlRTTYEQCL=$F1367)*(xlRTEQTYPE=$G1367),0))</f>
        <v>ELEC_HP3</v>
      </c>
    </row>
    <row r="1368" spans="2:25" ht="14.25" customHeight="1" x14ac:dyDescent="0.2">
      <c r="B1368" s="126">
        <v>6</v>
      </c>
      <c r="C1368" s="126">
        <v>2</v>
      </c>
      <c r="D1368" s="126">
        <v>2</v>
      </c>
      <c r="E1368" s="126">
        <v>4</v>
      </c>
      <c r="F1368" s="126">
        <v>3</v>
      </c>
      <c r="G1368" s="126">
        <v>11</v>
      </c>
      <c r="H1368" s="126">
        <v>2016</v>
      </c>
      <c r="I1368" s="126">
        <v>2050</v>
      </c>
      <c r="J1368" s="127">
        <v>1.087</v>
      </c>
      <c r="K1368" s="127">
        <v>1.0385</v>
      </c>
      <c r="L1368" s="127">
        <v>1.4855</v>
      </c>
      <c r="M1368" s="127">
        <v>1.1796</v>
      </c>
      <c r="N1368" s="127">
        <v>1.3324</v>
      </c>
      <c r="O1368" s="127">
        <v>1.0538000000000001</v>
      </c>
      <c r="P1368" s="126">
        <v>1597</v>
      </c>
      <c r="Q1368" s="128">
        <f t="array" ref="Q1368">SUM(IF(($S1368&gt;=4)*($C1368='TaxCred&amp;Subs'!$D$123:$D$127)*($H1368='TaxCred&amp;Subs'!$C$123:$C$127)*($H1368&lt;='TaxCred&amp;Subs'!$C$129),'TaxCred&amp;Subs'!$E$123:$E$127,0))</f>
        <v>0</v>
      </c>
      <c r="R1368" s="174">
        <v>0</v>
      </c>
      <c r="S1368" s="126">
        <v>3</v>
      </c>
      <c r="T1368" s="126" t="s">
        <v>247</v>
      </c>
      <c r="U1368" s="158"/>
      <c r="V1368" s="153" t="str">
        <f t="array" ref="V1368">INDEX(xlRTCLNAME,MATCH(1,(xlRTCLENDU=1)*(xlRTCLEQCL=$D1368),0))</f>
        <v>ELEC_HP</v>
      </c>
      <c r="W1368" s="153" t="str">
        <f t="array" ref="W1368">INDEX(xlRTCLNAME,MATCH(1,(xlRTCLENDU=2)*(xlRTCLEQCL=$F1368),0))</f>
        <v>ELEC_HP</v>
      </c>
      <c r="X1368" s="153" t="str">
        <f t="array" ref="X1368">INDEX(xlRTTYNAME,MATCH(1,(xlRTTYENDU=1)*(xlRTTYEQCL=$D1368)*(xlRTEQTYPE=$E1368),0))</f>
        <v>ELEC_HP3</v>
      </c>
      <c r="Y1368" s="153" t="str">
        <f t="array" ref="Y1368">INDEX(xlRTTYNAME,MATCH(1,(xlRTTYENDU=2)*(xlRTTYEQCL=$F1368)*(xlRTEQTYPE=$G1368),0))</f>
        <v>ELEC_HP3</v>
      </c>
    </row>
    <row r="1369" spans="2:25" ht="14.25" customHeight="1" x14ac:dyDescent="0.2">
      <c r="B1369" s="126">
        <v>7</v>
      </c>
      <c r="C1369" s="126">
        <v>2</v>
      </c>
      <c r="D1369" s="126">
        <v>2</v>
      </c>
      <c r="E1369" s="126">
        <v>4</v>
      </c>
      <c r="F1369" s="126">
        <v>3</v>
      </c>
      <c r="G1369" s="126">
        <v>11</v>
      </c>
      <c r="H1369" s="126">
        <v>2016</v>
      </c>
      <c r="I1369" s="126">
        <v>2050</v>
      </c>
      <c r="J1369" s="127">
        <v>1.1200000000000001</v>
      </c>
      <c r="K1369" s="127">
        <v>1.0435000000000001</v>
      </c>
      <c r="L1369" s="127">
        <v>2</v>
      </c>
      <c r="M1369" s="127">
        <v>1.1861999999999999</v>
      </c>
      <c r="N1369" s="127">
        <v>1.4438</v>
      </c>
      <c r="O1369" s="127">
        <v>1.0538000000000001</v>
      </c>
      <c r="P1369" s="126">
        <v>1399</v>
      </c>
      <c r="Q1369" s="128">
        <f t="array" ref="Q1369">SUM(IF(($S1369&gt;=4)*($C1369='TaxCred&amp;Subs'!$D$123:$D$127)*($H1369='TaxCred&amp;Subs'!$C$123:$C$127)*($H1369&lt;='TaxCred&amp;Subs'!$C$129),'TaxCred&amp;Subs'!$E$123:$E$127,0))</f>
        <v>0</v>
      </c>
      <c r="R1369" s="174">
        <v>0</v>
      </c>
      <c r="S1369" s="126">
        <v>3</v>
      </c>
      <c r="T1369" s="126" t="s">
        <v>247</v>
      </c>
      <c r="U1369" s="158"/>
      <c r="V1369" s="153" t="str">
        <f t="array" ref="V1369">INDEX(xlRTCLNAME,MATCH(1,(xlRTCLENDU=1)*(xlRTCLEQCL=$D1369),0))</f>
        <v>ELEC_HP</v>
      </c>
      <c r="W1369" s="153" t="str">
        <f t="array" ref="W1369">INDEX(xlRTCLNAME,MATCH(1,(xlRTCLENDU=2)*(xlRTCLEQCL=$F1369),0))</f>
        <v>ELEC_HP</v>
      </c>
      <c r="X1369" s="153" t="str">
        <f t="array" ref="X1369">INDEX(xlRTTYNAME,MATCH(1,(xlRTTYENDU=1)*(xlRTTYEQCL=$D1369)*(xlRTEQTYPE=$E1369),0))</f>
        <v>ELEC_HP3</v>
      </c>
      <c r="Y1369" s="153" t="str">
        <f t="array" ref="Y1369">INDEX(xlRTTYNAME,MATCH(1,(xlRTTYENDU=2)*(xlRTTYEQCL=$F1369)*(xlRTEQTYPE=$G1369),0))</f>
        <v>ELEC_HP3</v>
      </c>
    </row>
    <row r="1370" spans="2:25" ht="14.25" customHeight="1" x14ac:dyDescent="0.2">
      <c r="B1370" s="126">
        <v>8</v>
      </c>
      <c r="C1370" s="126">
        <v>2</v>
      </c>
      <c r="D1370" s="126">
        <v>2</v>
      </c>
      <c r="E1370" s="126">
        <v>4</v>
      </c>
      <c r="F1370" s="126">
        <v>3</v>
      </c>
      <c r="G1370" s="126">
        <v>11</v>
      </c>
      <c r="H1370" s="126">
        <v>2016</v>
      </c>
      <c r="I1370" s="126">
        <v>2050</v>
      </c>
      <c r="J1370" s="127">
        <v>1.0889</v>
      </c>
      <c r="K1370" s="127">
        <v>1.0313000000000001</v>
      </c>
      <c r="L1370" s="127">
        <v>1.1374</v>
      </c>
      <c r="M1370" s="127">
        <v>1.2739</v>
      </c>
      <c r="N1370" s="127">
        <v>1.2706</v>
      </c>
      <c r="O1370" s="127">
        <v>1.0538000000000001</v>
      </c>
      <c r="P1370" s="126">
        <v>1875</v>
      </c>
      <c r="Q1370" s="128">
        <f t="array" ref="Q1370">SUM(IF(($S1370&gt;=4)*($C1370='TaxCred&amp;Subs'!$D$123:$D$127)*($H1370='TaxCred&amp;Subs'!$C$123:$C$127)*($H1370&lt;='TaxCred&amp;Subs'!$C$129),'TaxCred&amp;Subs'!$E$123:$E$127,0))</f>
        <v>0</v>
      </c>
      <c r="R1370" s="174">
        <v>0</v>
      </c>
      <c r="S1370" s="126">
        <v>3</v>
      </c>
      <c r="T1370" s="126" t="s">
        <v>247</v>
      </c>
      <c r="U1370" s="158"/>
      <c r="V1370" s="153" t="str">
        <f t="array" ref="V1370">INDEX(xlRTCLNAME,MATCH(1,(xlRTCLENDU=1)*(xlRTCLEQCL=$D1370),0))</f>
        <v>ELEC_HP</v>
      </c>
      <c r="W1370" s="153" t="str">
        <f t="array" ref="W1370">INDEX(xlRTCLNAME,MATCH(1,(xlRTCLENDU=2)*(xlRTCLEQCL=$F1370),0))</f>
        <v>ELEC_HP</v>
      </c>
      <c r="X1370" s="153" t="str">
        <f t="array" ref="X1370">INDEX(xlRTTYNAME,MATCH(1,(xlRTTYENDU=1)*(xlRTTYEQCL=$D1370)*(xlRTEQTYPE=$E1370),0))</f>
        <v>ELEC_HP3</v>
      </c>
      <c r="Y1370" s="153" t="str">
        <f t="array" ref="Y1370">INDEX(xlRTTYNAME,MATCH(1,(xlRTTYENDU=2)*(xlRTTYEQCL=$F1370)*(xlRTEQTYPE=$G1370),0))</f>
        <v>ELEC_HP3</v>
      </c>
    </row>
    <row r="1371" spans="2:25" ht="14.25" customHeight="1" x14ac:dyDescent="0.2">
      <c r="B1371" s="126">
        <v>9</v>
      </c>
      <c r="C1371" s="126">
        <v>2</v>
      </c>
      <c r="D1371" s="126">
        <v>2</v>
      </c>
      <c r="E1371" s="126">
        <v>4</v>
      </c>
      <c r="F1371" s="126">
        <v>3</v>
      </c>
      <c r="G1371" s="126">
        <v>11</v>
      </c>
      <c r="H1371" s="126">
        <v>2016</v>
      </c>
      <c r="I1371" s="126">
        <v>2050</v>
      </c>
      <c r="J1371" s="127">
        <v>1.1200000000000001</v>
      </c>
      <c r="K1371" s="127">
        <v>1.0512999999999999</v>
      </c>
      <c r="L1371" s="127">
        <v>2</v>
      </c>
      <c r="M1371" s="127">
        <v>1.2334000000000001</v>
      </c>
      <c r="N1371" s="127">
        <v>1.4438</v>
      </c>
      <c r="O1371" s="127">
        <v>1.0538000000000001</v>
      </c>
      <c r="P1371" s="126">
        <v>2018</v>
      </c>
      <c r="Q1371" s="128">
        <f t="array" ref="Q1371">SUM(IF(($S1371&gt;=4)*($C1371='TaxCred&amp;Subs'!$D$123:$D$127)*($H1371='TaxCred&amp;Subs'!$C$123:$C$127)*($H1371&lt;='TaxCred&amp;Subs'!$C$129),'TaxCred&amp;Subs'!$E$123:$E$127,0))</f>
        <v>0</v>
      </c>
      <c r="R1371" s="174">
        <v>0</v>
      </c>
      <c r="S1371" s="126">
        <v>3</v>
      </c>
      <c r="T1371" s="126" t="s">
        <v>247</v>
      </c>
      <c r="U1371" s="158"/>
      <c r="V1371" s="153" t="str">
        <f t="array" ref="V1371">INDEX(xlRTCLNAME,MATCH(1,(xlRTCLENDU=1)*(xlRTCLEQCL=$D1371),0))</f>
        <v>ELEC_HP</v>
      </c>
      <c r="W1371" s="153" t="str">
        <f t="array" ref="W1371">INDEX(xlRTCLNAME,MATCH(1,(xlRTCLENDU=2)*(xlRTCLEQCL=$F1371),0))</f>
        <v>ELEC_HP</v>
      </c>
      <c r="X1371" s="153" t="str">
        <f t="array" ref="X1371">INDEX(xlRTTYNAME,MATCH(1,(xlRTTYENDU=1)*(xlRTTYEQCL=$D1371)*(xlRTEQTYPE=$E1371),0))</f>
        <v>ELEC_HP3</v>
      </c>
      <c r="Y1371" s="153" t="str">
        <f t="array" ref="Y1371">INDEX(xlRTTYNAME,MATCH(1,(xlRTTYENDU=2)*(xlRTTYEQCL=$F1371)*(xlRTEQTYPE=$G1371),0))</f>
        <v>ELEC_HP3</v>
      </c>
    </row>
    <row r="1372" spans="2:25" ht="14.25" customHeight="1" x14ac:dyDescent="0.2">
      <c r="B1372" s="126">
        <v>1</v>
      </c>
      <c r="C1372" s="126">
        <v>2</v>
      </c>
      <c r="D1372" s="126">
        <v>3</v>
      </c>
      <c r="E1372" s="126">
        <v>8</v>
      </c>
      <c r="F1372" s="126">
        <v>2</v>
      </c>
      <c r="G1372" s="126">
        <v>7</v>
      </c>
      <c r="H1372" s="126">
        <v>2016</v>
      </c>
      <c r="I1372" s="126">
        <v>2050</v>
      </c>
      <c r="J1372" s="127">
        <v>1.1042000000000001</v>
      </c>
      <c r="K1372" s="127">
        <v>1.0417000000000001</v>
      </c>
      <c r="L1372" s="127">
        <v>0.92490000000000006</v>
      </c>
      <c r="M1372" s="127">
        <v>1.1455</v>
      </c>
      <c r="N1372" s="127">
        <v>1.1127</v>
      </c>
      <c r="O1372" s="127">
        <v>1.0538000000000001</v>
      </c>
      <c r="P1372" s="126">
        <v>3120</v>
      </c>
      <c r="Q1372" s="128">
        <f t="array" ref="Q1372">SUM(IF(($S1372&gt;=4)*($C1372='TaxCred&amp;Subs'!$D$123:$D$127)*($H1372='TaxCred&amp;Subs'!$C$123:$C$127)*($H1372&lt;='TaxCred&amp;Subs'!$C$129),'TaxCred&amp;Subs'!$E$123:$E$127,0))</f>
        <v>0</v>
      </c>
      <c r="R1372" s="174">
        <v>0</v>
      </c>
      <c r="S1372" s="126">
        <v>3</v>
      </c>
      <c r="T1372" s="126" t="s">
        <v>247</v>
      </c>
      <c r="U1372" s="158"/>
      <c r="V1372" s="153" t="str">
        <f t="array" ref="V1372">INDEX(xlRTCLNAME,MATCH(1,(xlRTCLENDU=1)*(xlRTCLEQCL=$D1372),0))</f>
        <v>NG_FA</v>
      </c>
      <c r="W1372" s="153" t="str">
        <f t="array" ref="W1372">INDEX(xlRTCLNAME,MATCH(1,(xlRTCLENDU=2)*(xlRTCLEQCL=$F1372),0))</f>
        <v>CENT_AIR</v>
      </c>
      <c r="X1372" s="153" t="str">
        <f t="array" ref="X1372">INDEX(xlRTTYNAME,MATCH(1,(xlRTTYENDU=1)*(xlRTTYEQCL=$D1372)*(xlRTEQTYPE=$E1372),0))</f>
        <v>NG_FA3</v>
      </c>
      <c r="Y1372" s="153" t="str">
        <f t="array" ref="Y1372">INDEX(xlRTTYNAME,MATCH(1,(xlRTTYENDU=2)*(xlRTTYEQCL=$F1372)*(xlRTEQTYPE=$G1372),0))</f>
        <v>CENT_AIR3</v>
      </c>
    </row>
    <row r="1373" spans="2:25" ht="14.25" customHeight="1" x14ac:dyDescent="0.2">
      <c r="B1373" s="126">
        <v>2</v>
      </c>
      <c r="C1373" s="126">
        <v>2</v>
      </c>
      <c r="D1373" s="126">
        <v>3</v>
      </c>
      <c r="E1373" s="126">
        <v>8</v>
      </c>
      <c r="F1373" s="126">
        <v>2</v>
      </c>
      <c r="G1373" s="126">
        <v>7</v>
      </c>
      <c r="H1373" s="126">
        <v>2016</v>
      </c>
      <c r="I1373" s="126">
        <v>2050</v>
      </c>
      <c r="J1373" s="127">
        <v>1.0847</v>
      </c>
      <c r="K1373" s="127">
        <v>1.0357000000000001</v>
      </c>
      <c r="L1373" s="127">
        <v>0.99829999999999997</v>
      </c>
      <c r="M1373" s="127">
        <v>1.1834</v>
      </c>
      <c r="N1373" s="127">
        <v>1.1162000000000001</v>
      </c>
      <c r="O1373" s="127">
        <v>1.0538000000000001</v>
      </c>
      <c r="P1373" s="126">
        <v>2260</v>
      </c>
      <c r="Q1373" s="128">
        <f t="array" ref="Q1373">SUM(IF(($S1373&gt;=4)*($C1373='TaxCred&amp;Subs'!$D$123:$D$127)*($H1373='TaxCred&amp;Subs'!$C$123:$C$127)*($H1373&lt;='TaxCred&amp;Subs'!$C$129),'TaxCred&amp;Subs'!$E$123:$E$127,0))</f>
        <v>0</v>
      </c>
      <c r="R1373" s="174">
        <v>0</v>
      </c>
      <c r="S1373" s="126">
        <v>3</v>
      </c>
      <c r="T1373" s="126" t="s">
        <v>247</v>
      </c>
      <c r="U1373" s="158"/>
      <c r="V1373" s="153" t="str">
        <f t="array" ref="V1373">INDEX(xlRTCLNAME,MATCH(1,(xlRTCLENDU=1)*(xlRTCLEQCL=$D1373),0))</f>
        <v>NG_FA</v>
      </c>
      <c r="W1373" s="153" t="str">
        <f t="array" ref="W1373">INDEX(xlRTCLNAME,MATCH(1,(xlRTCLENDU=2)*(xlRTCLEQCL=$F1373),0))</f>
        <v>CENT_AIR</v>
      </c>
      <c r="X1373" s="153" t="str">
        <f t="array" ref="X1373">INDEX(xlRTTYNAME,MATCH(1,(xlRTTYENDU=1)*(xlRTTYEQCL=$D1373)*(xlRTEQTYPE=$E1373),0))</f>
        <v>NG_FA3</v>
      </c>
      <c r="Y1373" s="153" t="str">
        <f t="array" ref="Y1373">INDEX(xlRTTYNAME,MATCH(1,(xlRTTYENDU=2)*(xlRTTYEQCL=$F1373)*(xlRTEQTYPE=$G1373),0))</f>
        <v>CENT_AIR3</v>
      </c>
    </row>
    <row r="1374" spans="2:25" ht="14.25" customHeight="1" x14ac:dyDescent="0.2">
      <c r="B1374" s="126">
        <v>3</v>
      </c>
      <c r="C1374" s="126">
        <v>2</v>
      </c>
      <c r="D1374" s="126">
        <v>3</v>
      </c>
      <c r="E1374" s="126">
        <v>8</v>
      </c>
      <c r="F1374" s="126">
        <v>2</v>
      </c>
      <c r="G1374" s="126">
        <v>7</v>
      </c>
      <c r="H1374" s="126">
        <v>2016</v>
      </c>
      <c r="I1374" s="126">
        <v>2050</v>
      </c>
      <c r="J1374" s="127">
        <v>1.0984</v>
      </c>
      <c r="K1374" s="127">
        <v>1.0345</v>
      </c>
      <c r="L1374" s="127">
        <v>0.83499999999999996</v>
      </c>
      <c r="M1374" s="127">
        <v>1.0828</v>
      </c>
      <c r="N1374" s="127">
        <v>1.0399</v>
      </c>
      <c r="O1374" s="127">
        <v>1.0538000000000001</v>
      </c>
      <c r="P1374" s="126">
        <v>2657</v>
      </c>
      <c r="Q1374" s="128">
        <f t="array" ref="Q1374">SUM(IF(($S1374&gt;=4)*($C1374='TaxCred&amp;Subs'!$D$123:$D$127)*($H1374='TaxCred&amp;Subs'!$C$123:$C$127)*($H1374&lt;='TaxCred&amp;Subs'!$C$129),'TaxCred&amp;Subs'!$E$123:$E$127,0))</f>
        <v>0</v>
      </c>
      <c r="R1374" s="174">
        <v>0</v>
      </c>
      <c r="S1374" s="126">
        <v>3</v>
      </c>
      <c r="T1374" s="126" t="s">
        <v>247</v>
      </c>
      <c r="U1374" s="158"/>
      <c r="V1374" s="153" t="str">
        <f t="array" ref="V1374">INDEX(xlRTCLNAME,MATCH(1,(xlRTCLENDU=1)*(xlRTCLEQCL=$D1374),0))</f>
        <v>NG_FA</v>
      </c>
      <c r="W1374" s="153" t="str">
        <f t="array" ref="W1374">INDEX(xlRTCLNAME,MATCH(1,(xlRTCLENDU=2)*(xlRTCLEQCL=$F1374),0))</f>
        <v>CENT_AIR</v>
      </c>
      <c r="X1374" s="153" t="str">
        <f t="array" ref="X1374">INDEX(xlRTTYNAME,MATCH(1,(xlRTTYENDU=1)*(xlRTTYEQCL=$D1374)*(xlRTEQTYPE=$E1374),0))</f>
        <v>NG_FA3</v>
      </c>
      <c r="Y1374" s="153" t="str">
        <f t="array" ref="Y1374">INDEX(xlRTTYNAME,MATCH(1,(xlRTTYENDU=2)*(xlRTTYEQCL=$F1374)*(xlRTEQTYPE=$G1374),0))</f>
        <v>CENT_AIR3</v>
      </c>
    </row>
    <row r="1375" spans="2:25" ht="14.25" customHeight="1" x14ac:dyDescent="0.2">
      <c r="B1375" s="126">
        <v>4</v>
      </c>
      <c r="C1375" s="126">
        <v>2</v>
      </c>
      <c r="D1375" s="126">
        <v>3</v>
      </c>
      <c r="E1375" s="126">
        <v>8</v>
      </c>
      <c r="F1375" s="126">
        <v>2</v>
      </c>
      <c r="G1375" s="126">
        <v>7</v>
      </c>
      <c r="H1375" s="126">
        <v>2016</v>
      </c>
      <c r="I1375" s="126">
        <v>2050</v>
      </c>
      <c r="J1375" s="127">
        <v>1.1000000000000001</v>
      </c>
      <c r="K1375" s="127">
        <v>1.0435000000000001</v>
      </c>
      <c r="L1375" s="127">
        <v>0.99419999999999997</v>
      </c>
      <c r="M1375" s="127">
        <v>1.1499999999999999</v>
      </c>
      <c r="N1375" s="127">
        <v>1.1696</v>
      </c>
      <c r="O1375" s="127">
        <v>1.0538000000000001</v>
      </c>
      <c r="P1375" s="126">
        <v>2300</v>
      </c>
      <c r="Q1375" s="128">
        <f t="array" ref="Q1375">SUM(IF(($S1375&gt;=4)*($C1375='TaxCred&amp;Subs'!$D$123:$D$127)*($H1375='TaxCred&amp;Subs'!$C$123:$C$127)*($H1375&lt;='TaxCred&amp;Subs'!$C$129),'TaxCred&amp;Subs'!$E$123:$E$127,0))</f>
        <v>0</v>
      </c>
      <c r="R1375" s="174">
        <v>0</v>
      </c>
      <c r="S1375" s="126">
        <v>3</v>
      </c>
      <c r="T1375" s="126" t="s">
        <v>247</v>
      </c>
      <c r="U1375" s="158"/>
      <c r="V1375" s="153" t="str">
        <f t="array" ref="V1375">INDEX(xlRTCLNAME,MATCH(1,(xlRTCLENDU=1)*(xlRTCLEQCL=$D1375),0))</f>
        <v>NG_FA</v>
      </c>
      <c r="W1375" s="153" t="str">
        <f t="array" ref="W1375">INDEX(xlRTCLNAME,MATCH(1,(xlRTCLENDU=2)*(xlRTCLEQCL=$F1375),0))</f>
        <v>CENT_AIR</v>
      </c>
      <c r="X1375" s="153" t="str">
        <f t="array" ref="X1375">INDEX(xlRTTYNAME,MATCH(1,(xlRTTYENDU=1)*(xlRTTYEQCL=$D1375)*(xlRTEQTYPE=$E1375),0))</f>
        <v>NG_FA3</v>
      </c>
      <c r="Y1375" s="153" t="str">
        <f t="array" ref="Y1375">INDEX(xlRTTYNAME,MATCH(1,(xlRTTYENDU=2)*(xlRTTYEQCL=$F1375)*(xlRTEQTYPE=$G1375),0))</f>
        <v>CENT_AIR3</v>
      </c>
    </row>
    <row r="1376" spans="2:25" ht="14.25" customHeight="1" x14ac:dyDescent="0.2">
      <c r="B1376" s="126">
        <v>5</v>
      </c>
      <c r="C1376" s="126">
        <v>2</v>
      </c>
      <c r="D1376" s="126">
        <v>3</v>
      </c>
      <c r="E1376" s="126">
        <v>8</v>
      </c>
      <c r="F1376" s="126">
        <v>2</v>
      </c>
      <c r="G1376" s="126">
        <v>7</v>
      </c>
      <c r="H1376" s="126">
        <v>2016</v>
      </c>
      <c r="I1376" s="126">
        <v>2050</v>
      </c>
      <c r="J1376" s="127">
        <v>1.1200000000000001</v>
      </c>
      <c r="K1376" s="127">
        <v>1.0391999999999999</v>
      </c>
      <c r="L1376" s="127">
        <v>0.69379999999999997</v>
      </c>
      <c r="M1376" s="127">
        <v>1.1097999999999999</v>
      </c>
      <c r="N1376" s="127">
        <v>1.2750999999999999</v>
      </c>
      <c r="O1376" s="127">
        <v>1.0538000000000001</v>
      </c>
      <c r="P1376" s="126">
        <v>1871</v>
      </c>
      <c r="Q1376" s="128">
        <f t="array" ref="Q1376">SUM(IF(($S1376&gt;=4)*($C1376='TaxCred&amp;Subs'!$D$123:$D$127)*($H1376='TaxCred&amp;Subs'!$C$123:$C$127)*($H1376&lt;='TaxCred&amp;Subs'!$C$129),'TaxCred&amp;Subs'!$E$123:$E$127,0))</f>
        <v>0</v>
      </c>
      <c r="R1376" s="174">
        <v>0</v>
      </c>
      <c r="S1376" s="126">
        <v>3</v>
      </c>
      <c r="T1376" s="126" t="s">
        <v>247</v>
      </c>
      <c r="U1376" s="158"/>
      <c r="V1376" s="153" t="str">
        <f t="array" ref="V1376">INDEX(xlRTCLNAME,MATCH(1,(xlRTCLENDU=1)*(xlRTCLEQCL=$D1376),0))</f>
        <v>NG_FA</v>
      </c>
      <c r="W1376" s="153" t="str">
        <f t="array" ref="W1376">INDEX(xlRTCLNAME,MATCH(1,(xlRTCLENDU=2)*(xlRTCLEQCL=$F1376),0))</f>
        <v>CENT_AIR</v>
      </c>
      <c r="X1376" s="153" t="str">
        <f t="array" ref="X1376">INDEX(xlRTTYNAME,MATCH(1,(xlRTTYENDU=1)*(xlRTTYEQCL=$D1376)*(xlRTEQTYPE=$E1376),0))</f>
        <v>NG_FA3</v>
      </c>
      <c r="Y1376" s="153" t="str">
        <f t="array" ref="Y1376">INDEX(xlRTTYNAME,MATCH(1,(xlRTTYENDU=2)*(xlRTTYEQCL=$F1376)*(xlRTEQTYPE=$G1376),0))</f>
        <v>CENT_AIR3</v>
      </c>
    </row>
    <row r="1377" spans="2:25" ht="14.25" customHeight="1" x14ac:dyDescent="0.2">
      <c r="B1377" s="126">
        <v>6</v>
      </c>
      <c r="C1377" s="126">
        <v>2</v>
      </c>
      <c r="D1377" s="126">
        <v>3</v>
      </c>
      <c r="E1377" s="126">
        <v>8</v>
      </c>
      <c r="F1377" s="126">
        <v>2</v>
      </c>
      <c r="G1377" s="126">
        <v>7</v>
      </c>
      <c r="H1377" s="126">
        <v>2016</v>
      </c>
      <c r="I1377" s="126">
        <v>2050</v>
      </c>
      <c r="J1377" s="127">
        <v>1.1200000000000001</v>
      </c>
      <c r="K1377" s="127">
        <v>1.03</v>
      </c>
      <c r="L1377" s="127">
        <v>1.0105</v>
      </c>
      <c r="M1377" s="127">
        <v>1.1568000000000001</v>
      </c>
      <c r="N1377" s="127">
        <v>1.3324</v>
      </c>
      <c r="O1377" s="127">
        <v>1.0538000000000001</v>
      </c>
      <c r="P1377" s="126">
        <v>2063</v>
      </c>
      <c r="Q1377" s="128">
        <f t="array" ref="Q1377">SUM(IF(($S1377&gt;=4)*($C1377='TaxCred&amp;Subs'!$D$123:$D$127)*($H1377='TaxCred&amp;Subs'!$C$123:$C$127)*($H1377&lt;='TaxCred&amp;Subs'!$C$129),'TaxCred&amp;Subs'!$E$123:$E$127,0))</f>
        <v>0</v>
      </c>
      <c r="R1377" s="174">
        <v>0</v>
      </c>
      <c r="S1377" s="126">
        <v>3</v>
      </c>
      <c r="T1377" s="126" t="s">
        <v>247</v>
      </c>
      <c r="U1377" s="158"/>
      <c r="V1377" s="153" t="str">
        <f t="array" ref="V1377">INDEX(xlRTCLNAME,MATCH(1,(xlRTCLENDU=1)*(xlRTCLEQCL=$D1377),0))</f>
        <v>NG_FA</v>
      </c>
      <c r="W1377" s="153" t="str">
        <f t="array" ref="W1377">INDEX(xlRTCLNAME,MATCH(1,(xlRTCLENDU=2)*(xlRTCLEQCL=$F1377),0))</f>
        <v>CENT_AIR</v>
      </c>
      <c r="X1377" s="153" t="str">
        <f t="array" ref="X1377">INDEX(xlRTTYNAME,MATCH(1,(xlRTTYENDU=1)*(xlRTTYEQCL=$D1377)*(xlRTEQTYPE=$E1377),0))</f>
        <v>NG_FA3</v>
      </c>
      <c r="Y1377" s="153" t="str">
        <f t="array" ref="Y1377">INDEX(xlRTTYNAME,MATCH(1,(xlRTTYENDU=2)*(xlRTTYEQCL=$F1377)*(xlRTEQTYPE=$G1377),0))</f>
        <v>CENT_AIR3</v>
      </c>
    </row>
    <row r="1378" spans="2:25" ht="14.25" customHeight="1" x14ac:dyDescent="0.2">
      <c r="B1378" s="126">
        <v>7</v>
      </c>
      <c r="C1378" s="126">
        <v>2</v>
      </c>
      <c r="D1378" s="126">
        <v>3</v>
      </c>
      <c r="E1378" s="126">
        <v>8</v>
      </c>
      <c r="F1378" s="126">
        <v>2</v>
      </c>
      <c r="G1378" s="126">
        <v>7</v>
      </c>
      <c r="H1378" s="126">
        <v>2016</v>
      </c>
      <c r="I1378" s="126">
        <v>2050</v>
      </c>
      <c r="J1378" s="127">
        <v>1.1200000000000001</v>
      </c>
      <c r="K1378" s="127">
        <v>1.0462</v>
      </c>
      <c r="L1378" s="127">
        <v>1.2771999999999999</v>
      </c>
      <c r="M1378" s="127">
        <v>1.1604000000000001</v>
      </c>
      <c r="N1378" s="127">
        <v>1.4438</v>
      </c>
      <c r="O1378" s="127">
        <v>1.0538000000000001</v>
      </c>
      <c r="P1378" s="126">
        <v>1495</v>
      </c>
      <c r="Q1378" s="128">
        <f t="array" ref="Q1378">SUM(IF(($S1378&gt;=4)*($C1378='TaxCred&amp;Subs'!$D$123:$D$127)*($H1378='TaxCred&amp;Subs'!$C$123:$C$127)*($H1378&lt;='TaxCred&amp;Subs'!$C$129),'TaxCred&amp;Subs'!$E$123:$E$127,0))</f>
        <v>0</v>
      </c>
      <c r="R1378" s="174">
        <v>0</v>
      </c>
      <c r="S1378" s="126">
        <v>3</v>
      </c>
      <c r="T1378" s="126" t="s">
        <v>247</v>
      </c>
      <c r="U1378" s="158"/>
      <c r="V1378" s="153" t="str">
        <f t="array" ref="V1378">INDEX(xlRTCLNAME,MATCH(1,(xlRTCLENDU=1)*(xlRTCLEQCL=$D1378),0))</f>
        <v>NG_FA</v>
      </c>
      <c r="W1378" s="153" t="str">
        <f t="array" ref="W1378">INDEX(xlRTCLNAME,MATCH(1,(xlRTCLENDU=2)*(xlRTCLEQCL=$F1378),0))</f>
        <v>CENT_AIR</v>
      </c>
      <c r="X1378" s="153" t="str">
        <f t="array" ref="X1378">INDEX(xlRTTYNAME,MATCH(1,(xlRTTYENDU=1)*(xlRTTYEQCL=$D1378)*(xlRTEQTYPE=$E1378),0))</f>
        <v>NG_FA3</v>
      </c>
      <c r="Y1378" s="153" t="str">
        <f t="array" ref="Y1378">INDEX(xlRTTYNAME,MATCH(1,(xlRTTYENDU=2)*(xlRTTYEQCL=$F1378)*(xlRTEQTYPE=$G1378),0))</f>
        <v>CENT_AIR3</v>
      </c>
    </row>
    <row r="1379" spans="2:25" ht="14.25" customHeight="1" x14ac:dyDescent="0.2">
      <c r="B1379" s="126">
        <v>8</v>
      </c>
      <c r="C1379" s="126">
        <v>2</v>
      </c>
      <c r="D1379" s="126">
        <v>3</v>
      </c>
      <c r="E1379" s="126">
        <v>8</v>
      </c>
      <c r="F1379" s="126">
        <v>2</v>
      </c>
      <c r="G1379" s="126">
        <v>7</v>
      </c>
      <c r="H1379" s="126">
        <v>2016</v>
      </c>
      <c r="I1379" s="126">
        <v>2050</v>
      </c>
      <c r="J1379" s="127">
        <v>1.0932999999999999</v>
      </c>
      <c r="K1379" s="127">
        <v>1.0323</v>
      </c>
      <c r="L1379" s="127">
        <v>1.0073000000000001</v>
      </c>
      <c r="M1379" s="127">
        <v>1.2739</v>
      </c>
      <c r="N1379" s="127">
        <v>1.2847999999999999</v>
      </c>
      <c r="O1379" s="127">
        <v>1.0538000000000001</v>
      </c>
      <c r="P1379" s="126">
        <v>2451</v>
      </c>
      <c r="Q1379" s="128">
        <f t="array" ref="Q1379">SUM(IF(($S1379&gt;=4)*($C1379='TaxCred&amp;Subs'!$D$123:$D$127)*($H1379='TaxCred&amp;Subs'!$C$123:$C$127)*($H1379&lt;='TaxCred&amp;Subs'!$C$129),'TaxCred&amp;Subs'!$E$123:$E$127,0))</f>
        <v>0</v>
      </c>
      <c r="R1379" s="174">
        <v>0</v>
      </c>
      <c r="S1379" s="126">
        <v>3</v>
      </c>
      <c r="T1379" s="126" t="s">
        <v>247</v>
      </c>
      <c r="U1379" s="158"/>
      <c r="V1379" s="153" t="str">
        <f t="array" ref="V1379">INDEX(xlRTCLNAME,MATCH(1,(xlRTCLENDU=1)*(xlRTCLEQCL=$D1379),0))</f>
        <v>NG_FA</v>
      </c>
      <c r="W1379" s="153" t="str">
        <f t="array" ref="W1379">INDEX(xlRTCLNAME,MATCH(1,(xlRTCLENDU=2)*(xlRTCLEQCL=$F1379),0))</f>
        <v>CENT_AIR</v>
      </c>
      <c r="X1379" s="153" t="str">
        <f t="array" ref="X1379">INDEX(xlRTTYNAME,MATCH(1,(xlRTTYENDU=1)*(xlRTTYEQCL=$D1379)*(xlRTEQTYPE=$E1379),0))</f>
        <v>NG_FA3</v>
      </c>
      <c r="Y1379" s="153" t="str">
        <f t="array" ref="Y1379">INDEX(xlRTTYNAME,MATCH(1,(xlRTTYENDU=2)*(xlRTTYEQCL=$F1379)*(xlRTEQTYPE=$G1379),0))</f>
        <v>CENT_AIR3</v>
      </c>
    </row>
    <row r="1380" spans="2:25" ht="14.25" customHeight="1" x14ac:dyDescent="0.2">
      <c r="B1380" s="126">
        <v>9</v>
      </c>
      <c r="C1380" s="126">
        <v>2</v>
      </c>
      <c r="D1380" s="126">
        <v>3</v>
      </c>
      <c r="E1380" s="126">
        <v>8</v>
      </c>
      <c r="F1380" s="126">
        <v>2</v>
      </c>
      <c r="G1380" s="126">
        <v>7</v>
      </c>
      <c r="H1380" s="126">
        <v>2016</v>
      </c>
      <c r="I1380" s="126">
        <v>2050</v>
      </c>
      <c r="J1380" s="127">
        <v>1.07</v>
      </c>
      <c r="K1380" s="127">
        <v>1.0541</v>
      </c>
      <c r="L1380" s="127">
        <v>0.81879999999999997</v>
      </c>
      <c r="M1380" s="127">
        <v>1.2</v>
      </c>
      <c r="N1380" s="127">
        <v>1.4438</v>
      </c>
      <c r="O1380" s="127">
        <v>1.0538000000000001</v>
      </c>
      <c r="P1380" s="126">
        <v>2153</v>
      </c>
      <c r="Q1380" s="128">
        <f t="array" ref="Q1380">SUM(IF(($S1380&gt;=4)*($C1380='TaxCred&amp;Subs'!$D$123:$D$127)*($H1380='TaxCred&amp;Subs'!$C$123:$C$127)*($H1380&lt;='TaxCred&amp;Subs'!$C$129),'TaxCred&amp;Subs'!$E$123:$E$127,0))</f>
        <v>0</v>
      </c>
      <c r="R1380" s="174">
        <v>0</v>
      </c>
      <c r="S1380" s="126">
        <v>3</v>
      </c>
      <c r="T1380" s="126" t="s">
        <v>247</v>
      </c>
      <c r="U1380" s="158"/>
      <c r="V1380" s="153" t="str">
        <f t="array" ref="V1380">INDEX(xlRTCLNAME,MATCH(1,(xlRTCLENDU=1)*(xlRTCLEQCL=$D1380),0))</f>
        <v>NG_FA</v>
      </c>
      <c r="W1380" s="153" t="str">
        <f t="array" ref="W1380">INDEX(xlRTCLNAME,MATCH(1,(xlRTCLENDU=2)*(xlRTCLEQCL=$F1380),0))</f>
        <v>CENT_AIR</v>
      </c>
      <c r="X1380" s="153" t="str">
        <f t="array" ref="X1380">INDEX(xlRTTYNAME,MATCH(1,(xlRTTYENDU=1)*(xlRTTYEQCL=$D1380)*(xlRTEQTYPE=$E1380),0))</f>
        <v>NG_FA3</v>
      </c>
      <c r="Y1380" s="153" t="str">
        <f t="array" ref="Y1380">INDEX(xlRTTYNAME,MATCH(1,(xlRTTYENDU=2)*(xlRTTYEQCL=$F1380)*(xlRTEQTYPE=$G1380),0))</f>
        <v>CENT_AIR3</v>
      </c>
    </row>
    <row r="1381" spans="2:25" ht="14.25" customHeight="1" x14ac:dyDescent="0.2">
      <c r="B1381" s="126">
        <v>1</v>
      </c>
      <c r="C1381" s="126">
        <v>2</v>
      </c>
      <c r="D1381" s="126">
        <v>4</v>
      </c>
      <c r="E1381" s="126">
        <v>12</v>
      </c>
      <c r="F1381" s="126">
        <v>2</v>
      </c>
      <c r="G1381" s="126">
        <v>7</v>
      </c>
      <c r="H1381" s="126">
        <v>2016</v>
      </c>
      <c r="I1381" s="126">
        <v>2050</v>
      </c>
      <c r="J1381" s="127">
        <v>1.0864</v>
      </c>
      <c r="K1381" s="127">
        <v>1.0417000000000001</v>
      </c>
      <c r="L1381" s="127">
        <v>1.0046999999999999</v>
      </c>
      <c r="M1381" s="127">
        <v>1.1455</v>
      </c>
      <c r="N1381" s="127">
        <v>1.1156999999999999</v>
      </c>
      <c r="O1381" s="127">
        <v>1.0538000000000001</v>
      </c>
      <c r="P1381" s="126">
        <v>3089</v>
      </c>
      <c r="Q1381" s="128">
        <f t="array" ref="Q1381">SUM(IF(($S1381&gt;=4)*($C1381='TaxCred&amp;Subs'!$D$123:$D$127)*($H1381='TaxCred&amp;Subs'!$C$123:$C$127)*($H1381&lt;='TaxCred&amp;Subs'!$C$129),'TaxCred&amp;Subs'!$E$123:$E$127,0))</f>
        <v>0</v>
      </c>
      <c r="R1381" s="174">
        <v>0</v>
      </c>
      <c r="S1381" s="126">
        <v>3</v>
      </c>
      <c r="T1381" s="126" t="s">
        <v>247</v>
      </c>
      <c r="U1381" s="158"/>
      <c r="V1381" s="153" t="str">
        <f t="array" ref="V1381">INDEX(xlRTCLNAME,MATCH(1,(xlRTCLENDU=1)*(xlRTCLEQCL=$D1381),0))</f>
        <v>NG_RAD</v>
      </c>
      <c r="W1381" s="153" t="str">
        <f t="array" ref="W1381">INDEX(xlRTCLNAME,MATCH(1,(xlRTCLENDU=2)*(xlRTCLEQCL=$F1381),0))</f>
        <v>CENT_AIR</v>
      </c>
      <c r="X1381" s="153" t="str">
        <f t="array" ref="X1381">INDEX(xlRTTYNAME,MATCH(1,(xlRTTYENDU=1)*(xlRTTYEQCL=$D1381)*(xlRTEQTYPE=$E1381),0))</f>
        <v>NG_RAD3</v>
      </c>
      <c r="Y1381" s="153" t="str">
        <f t="array" ref="Y1381">INDEX(xlRTTYNAME,MATCH(1,(xlRTTYENDU=2)*(xlRTTYEQCL=$F1381)*(xlRTEQTYPE=$G1381),0))</f>
        <v>CENT_AIR3</v>
      </c>
    </row>
    <row r="1382" spans="2:25" ht="14.25" customHeight="1" x14ac:dyDescent="0.2">
      <c r="B1382" s="126">
        <v>2</v>
      </c>
      <c r="C1382" s="126">
        <v>2</v>
      </c>
      <c r="D1382" s="126">
        <v>4</v>
      </c>
      <c r="E1382" s="126">
        <v>12</v>
      </c>
      <c r="F1382" s="126">
        <v>2</v>
      </c>
      <c r="G1382" s="126">
        <v>7</v>
      </c>
      <c r="H1382" s="126">
        <v>2016</v>
      </c>
      <c r="I1382" s="126">
        <v>2050</v>
      </c>
      <c r="J1382" s="127">
        <v>1.0891</v>
      </c>
      <c r="K1382" s="127">
        <v>1.0713999999999999</v>
      </c>
      <c r="L1382" s="127">
        <v>1.0127999999999999</v>
      </c>
      <c r="M1382" s="127">
        <v>1.1834</v>
      </c>
      <c r="N1382" s="127">
        <v>1.1254999999999999</v>
      </c>
      <c r="O1382" s="127">
        <v>1.0538000000000001</v>
      </c>
      <c r="P1382" s="126">
        <v>2260</v>
      </c>
      <c r="Q1382" s="128">
        <f t="array" ref="Q1382">SUM(IF(($S1382&gt;=4)*($C1382='TaxCred&amp;Subs'!$D$123:$D$127)*($H1382='TaxCred&amp;Subs'!$C$123:$C$127)*($H1382&lt;='TaxCred&amp;Subs'!$C$129),'TaxCred&amp;Subs'!$E$123:$E$127,0))</f>
        <v>0</v>
      </c>
      <c r="R1382" s="174">
        <v>0</v>
      </c>
      <c r="S1382" s="126">
        <v>3</v>
      </c>
      <c r="T1382" s="126" t="s">
        <v>247</v>
      </c>
      <c r="U1382" s="158"/>
      <c r="V1382" s="153" t="str">
        <f t="array" ref="V1382">INDEX(xlRTCLNAME,MATCH(1,(xlRTCLENDU=1)*(xlRTCLEQCL=$D1382),0))</f>
        <v>NG_RAD</v>
      </c>
      <c r="W1382" s="153" t="str">
        <f t="array" ref="W1382">INDEX(xlRTCLNAME,MATCH(1,(xlRTCLENDU=2)*(xlRTCLEQCL=$F1382),0))</f>
        <v>CENT_AIR</v>
      </c>
      <c r="X1382" s="153" t="str">
        <f t="array" ref="X1382">INDEX(xlRTTYNAME,MATCH(1,(xlRTTYENDU=1)*(xlRTTYEQCL=$D1382)*(xlRTEQTYPE=$E1382),0))</f>
        <v>NG_RAD3</v>
      </c>
      <c r="Y1382" s="153" t="str">
        <f t="array" ref="Y1382">INDEX(xlRTTYNAME,MATCH(1,(xlRTTYENDU=2)*(xlRTTYEQCL=$F1382)*(xlRTEQTYPE=$G1382),0))</f>
        <v>CENT_AIR3</v>
      </c>
    </row>
    <row r="1383" spans="2:25" ht="14.25" customHeight="1" x14ac:dyDescent="0.2">
      <c r="B1383" s="126">
        <v>3</v>
      </c>
      <c r="C1383" s="126">
        <v>2</v>
      </c>
      <c r="D1383" s="126">
        <v>4</v>
      </c>
      <c r="E1383" s="126">
        <v>12</v>
      </c>
      <c r="F1383" s="126">
        <v>2</v>
      </c>
      <c r="G1383" s="126">
        <v>7</v>
      </c>
      <c r="H1383" s="126">
        <v>2016</v>
      </c>
      <c r="I1383" s="126">
        <v>2050</v>
      </c>
      <c r="J1383" s="127">
        <v>1.0962000000000001</v>
      </c>
      <c r="K1383" s="127">
        <v>1.0345</v>
      </c>
      <c r="L1383" s="127">
        <v>0.83919999999999995</v>
      </c>
      <c r="M1383" s="127">
        <v>1.0828</v>
      </c>
      <c r="N1383" s="127">
        <v>1.0417000000000001</v>
      </c>
      <c r="O1383" s="127">
        <v>1.0538000000000001</v>
      </c>
      <c r="P1383" s="126">
        <v>2657</v>
      </c>
      <c r="Q1383" s="128">
        <f t="array" ref="Q1383">SUM(IF(($S1383&gt;=4)*($C1383='TaxCred&amp;Subs'!$D$123:$D$127)*($H1383='TaxCred&amp;Subs'!$C$123:$C$127)*($H1383&lt;='TaxCred&amp;Subs'!$C$129),'TaxCred&amp;Subs'!$E$123:$E$127,0))</f>
        <v>0</v>
      </c>
      <c r="R1383" s="174">
        <v>0</v>
      </c>
      <c r="S1383" s="126">
        <v>3</v>
      </c>
      <c r="T1383" s="126" t="s">
        <v>247</v>
      </c>
      <c r="U1383" s="158"/>
      <c r="V1383" s="153" t="str">
        <f t="array" ref="V1383">INDEX(xlRTCLNAME,MATCH(1,(xlRTCLENDU=1)*(xlRTCLEQCL=$D1383),0))</f>
        <v>NG_RAD</v>
      </c>
      <c r="W1383" s="153" t="str">
        <f t="array" ref="W1383">INDEX(xlRTCLNAME,MATCH(1,(xlRTCLENDU=2)*(xlRTCLEQCL=$F1383),0))</f>
        <v>CENT_AIR</v>
      </c>
      <c r="X1383" s="153" t="str">
        <f t="array" ref="X1383">INDEX(xlRTTYNAME,MATCH(1,(xlRTTYENDU=1)*(xlRTTYEQCL=$D1383)*(xlRTEQTYPE=$E1383),0))</f>
        <v>NG_RAD3</v>
      </c>
      <c r="Y1383" s="153" t="str">
        <f t="array" ref="Y1383">INDEX(xlRTTYNAME,MATCH(1,(xlRTTYENDU=2)*(xlRTTYEQCL=$F1383)*(xlRTEQTYPE=$G1383),0))</f>
        <v>CENT_AIR3</v>
      </c>
    </row>
    <row r="1384" spans="2:25" ht="14.25" customHeight="1" x14ac:dyDescent="0.2">
      <c r="B1384" s="126">
        <v>4</v>
      </c>
      <c r="C1384" s="126">
        <v>2</v>
      </c>
      <c r="D1384" s="126">
        <v>4</v>
      </c>
      <c r="E1384" s="126">
        <v>12</v>
      </c>
      <c r="F1384" s="126">
        <v>2</v>
      </c>
      <c r="G1384" s="126">
        <v>7</v>
      </c>
      <c r="H1384" s="126">
        <v>2016</v>
      </c>
      <c r="I1384" s="126">
        <v>2050</v>
      </c>
      <c r="J1384" s="127">
        <v>1.1024</v>
      </c>
      <c r="K1384" s="127">
        <v>1.0435000000000001</v>
      </c>
      <c r="L1384" s="127">
        <v>0.99209999999999998</v>
      </c>
      <c r="M1384" s="127">
        <v>1.1499999999999999</v>
      </c>
      <c r="N1384" s="127">
        <v>1.1678999999999999</v>
      </c>
      <c r="O1384" s="127">
        <v>1.0538000000000001</v>
      </c>
      <c r="P1384" s="126">
        <v>2300</v>
      </c>
      <c r="Q1384" s="128">
        <f t="array" ref="Q1384">SUM(IF(($S1384&gt;=4)*($C1384='TaxCred&amp;Subs'!$D$123:$D$127)*($H1384='TaxCred&amp;Subs'!$C$123:$C$127)*($H1384&lt;='TaxCred&amp;Subs'!$C$129),'TaxCred&amp;Subs'!$E$123:$E$127,0))</f>
        <v>0</v>
      </c>
      <c r="R1384" s="174">
        <v>0</v>
      </c>
      <c r="S1384" s="126">
        <v>3</v>
      </c>
      <c r="T1384" s="126" t="s">
        <v>247</v>
      </c>
      <c r="U1384" s="158"/>
      <c r="V1384" s="153" t="str">
        <f t="array" ref="V1384">INDEX(xlRTCLNAME,MATCH(1,(xlRTCLENDU=1)*(xlRTCLEQCL=$D1384),0))</f>
        <v>NG_RAD</v>
      </c>
      <c r="W1384" s="153" t="str">
        <f t="array" ref="W1384">INDEX(xlRTCLNAME,MATCH(1,(xlRTCLENDU=2)*(xlRTCLEQCL=$F1384),0))</f>
        <v>CENT_AIR</v>
      </c>
      <c r="X1384" s="153" t="str">
        <f t="array" ref="X1384">INDEX(xlRTTYNAME,MATCH(1,(xlRTTYENDU=1)*(xlRTTYEQCL=$D1384)*(xlRTEQTYPE=$E1384),0))</f>
        <v>NG_RAD3</v>
      </c>
      <c r="Y1384" s="153" t="str">
        <f t="array" ref="Y1384">INDEX(xlRTTYNAME,MATCH(1,(xlRTTYENDU=2)*(xlRTTYEQCL=$F1384)*(xlRTEQTYPE=$G1384),0))</f>
        <v>CENT_AIR3</v>
      </c>
    </row>
    <row r="1385" spans="2:25" ht="14.25" customHeight="1" x14ac:dyDescent="0.2">
      <c r="B1385" s="126">
        <v>5</v>
      </c>
      <c r="C1385" s="126">
        <v>2</v>
      </c>
      <c r="D1385" s="126">
        <v>4</v>
      </c>
      <c r="E1385" s="126">
        <v>12</v>
      </c>
      <c r="F1385" s="126">
        <v>2</v>
      </c>
      <c r="G1385" s="126">
        <v>7</v>
      </c>
      <c r="H1385" s="126">
        <v>2016</v>
      </c>
      <c r="I1385" s="126">
        <v>2050</v>
      </c>
      <c r="J1385" s="127">
        <v>1.03</v>
      </c>
      <c r="K1385" s="127">
        <v>1.03</v>
      </c>
      <c r="L1385" s="127">
        <v>0.67459999999999998</v>
      </c>
      <c r="M1385" s="127">
        <v>1.1097999999999999</v>
      </c>
      <c r="N1385" s="127">
        <v>1.3003</v>
      </c>
      <c r="O1385" s="127">
        <v>1.0538000000000001</v>
      </c>
      <c r="P1385" s="126">
        <v>1871</v>
      </c>
      <c r="Q1385" s="128">
        <f t="array" ref="Q1385">SUM(IF(($S1385&gt;=4)*($C1385='TaxCred&amp;Subs'!$D$123:$D$127)*($H1385='TaxCred&amp;Subs'!$C$123:$C$127)*($H1385&lt;='TaxCred&amp;Subs'!$C$129),'TaxCred&amp;Subs'!$E$123:$E$127,0))</f>
        <v>0</v>
      </c>
      <c r="R1385" s="174">
        <v>0</v>
      </c>
      <c r="S1385" s="126">
        <v>3</v>
      </c>
      <c r="T1385" s="126" t="s">
        <v>247</v>
      </c>
      <c r="U1385" s="158"/>
      <c r="V1385" s="153" t="str">
        <f t="array" ref="V1385">INDEX(xlRTCLNAME,MATCH(1,(xlRTCLENDU=1)*(xlRTCLEQCL=$D1385),0))</f>
        <v>NG_RAD</v>
      </c>
      <c r="W1385" s="153" t="str">
        <f t="array" ref="W1385">INDEX(xlRTCLNAME,MATCH(1,(xlRTCLENDU=2)*(xlRTCLEQCL=$F1385),0))</f>
        <v>CENT_AIR</v>
      </c>
      <c r="X1385" s="153" t="str">
        <f t="array" ref="X1385">INDEX(xlRTTYNAME,MATCH(1,(xlRTTYENDU=1)*(xlRTTYEQCL=$D1385)*(xlRTEQTYPE=$E1385),0))</f>
        <v>NG_RAD3</v>
      </c>
      <c r="Y1385" s="153" t="str">
        <f t="array" ref="Y1385">INDEX(xlRTTYNAME,MATCH(1,(xlRTTYENDU=2)*(xlRTTYEQCL=$F1385)*(xlRTEQTYPE=$G1385),0))</f>
        <v>CENT_AIR3</v>
      </c>
    </row>
    <row r="1386" spans="2:25" ht="14.25" customHeight="1" x14ac:dyDescent="0.2">
      <c r="B1386" s="126">
        <v>6</v>
      </c>
      <c r="C1386" s="126">
        <v>2</v>
      </c>
      <c r="D1386" s="126">
        <v>4</v>
      </c>
      <c r="E1386" s="126">
        <v>12</v>
      </c>
      <c r="F1386" s="126">
        <v>2</v>
      </c>
      <c r="G1386" s="126">
        <v>7</v>
      </c>
      <c r="H1386" s="126">
        <v>2016</v>
      </c>
      <c r="I1386" s="126">
        <v>2050</v>
      </c>
      <c r="J1386" s="127">
        <v>1.1200000000000001</v>
      </c>
      <c r="K1386" s="127">
        <v>1.0417000000000001</v>
      </c>
      <c r="L1386" s="127">
        <v>1.0238</v>
      </c>
      <c r="M1386" s="127">
        <v>1.1568000000000001</v>
      </c>
      <c r="N1386" s="127">
        <v>1.3656999999999999</v>
      </c>
      <c r="O1386" s="127">
        <v>1.0538000000000001</v>
      </c>
      <c r="P1386" s="126">
        <v>2033</v>
      </c>
      <c r="Q1386" s="128">
        <f t="array" ref="Q1386">SUM(IF(($S1386&gt;=4)*($C1386='TaxCred&amp;Subs'!$D$123:$D$127)*($H1386='TaxCred&amp;Subs'!$C$123:$C$127)*($H1386&lt;='TaxCred&amp;Subs'!$C$129),'TaxCred&amp;Subs'!$E$123:$E$127,0))</f>
        <v>0</v>
      </c>
      <c r="R1386" s="174">
        <v>0</v>
      </c>
      <c r="S1386" s="126">
        <v>3</v>
      </c>
      <c r="T1386" s="126" t="s">
        <v>247</v>
      </c>
      <c r="U1386" s="158"/>
      <c r="V1386" s="153" t="str">
        <f t="array" ref="V1386">INDEX(xlRTCLNAME,MATCH(1,(xlRTCLENDU=1)*(xlRTCLEQCL=$D1386),0))</f>
        <v>NG_RAD</v>
      </c>
      <c r="W1386" s="153" t="str">
        <f t="array" ref="W1386">INDEX(xlRTCLNAME,MATCH(1,(xlRTCLENDU=2)*(xlRTCLEQCL=$F1386),0))</f>
        <v>CENT_AIR</v>
      </c>
      <c r="X1386" s="153" t="str">
        <f t="array" ref="X1386">INDEX(xlRTTYNAME,MATCH(1,(xlRTTYENDU=1)*(xlRTTYEQCL=$D1386)*(xlRTEQTYPE=$E1386),0))</f>
        <v>NG_RAD3</v>
      </c>
      <c r="Y1386" s="153" t="str">
        <f t="array" ref="Y1386">INDEX(xlRTTYNAME,MATCH(1,(xlRTTYENDU=2)*(xlRTTYEQCL=$F1386)*(xlRTEQTYPE=$G1386),0))</f>
        <v>CENT_AIR3</v>
      </c>
    </row>
    <row r="1387" spans="2:25" ht="14.25" customHeight="1" x14ac:dyDescent="0.2">
      <c r="B1387" s="126">
        <v>7</v>
      </c>
      <c r="C1387" s="126">
        <v>2</v>
      </c>
      <c r="D1387" s="126">
        <v>4</v>
      </c>
      <c r="E1387" s="126">
        <v>12</v>
      </c>
      <c r="F1387" s="126">
        <v>2</v>
      </c>
      <c r="G1387" s="126">
        <v>7</v>
      </c>
      <c r="H1387" s="126">
        <v>2016</v>
      </c>
      <c r="I1387" s="126">
        <v>2050</v>
      </c>
      <c r="J1387" s="127">
        <v>1.1200000000000001</v>
      </c>
      <c r="K1387" s="127">
        <v>1.0462</v>
      </c>
      <c r="L1387" s="127">
        <v>1.2438</v>
      </c>
      <c r="M1387" s="127">
        <v>1.1604000000000001</v>
      </c>
      <c r="N1387" s="127">
        <v>1.4438</v>
      </c>
      <c r="O1387" s="127">
        <v>1.0538000000000001</v>
      </c>
      <c r="P1387" s="126">
        <v>1495</v>
      </c>
      <c r="Q1387" s="128">
        <f t="array" ref="Q1387">SUM(IF(($S1387&gt;=4)*($C1387='TaxCred&amp;Subs'!$D$123:$D$127)*($H1387='TaxCred&amp;Subs'!$C$123:$C$127)*($H1387&lt;='TaxCred&amp;Subs'!$C$129),'TaxCred&amp;Subs'!$E$123:$E$127,0))</f>
        <v>0</v>
      </c>
      <c r="R1387" s="174">
        <v>0</v>
      </c>
      <c r="S1387" s="126">
        <v>3</v>
      </c>
      <c r="T1387" s="126" t="s">
        <v>247</v>
      </c>
      <c r="U1387" s="158"/>
      <c r="V1387" s="153" t="str">
        <f t="array" ref="V1387">INDEX(xlRTCLNAME,MATCH(1,(xlRTCLENDU=1)*(xlRTCLEQCL=$D1387),0))</f>
        <v>NG_RAD</v>
      </c>
      <c r="W1387" s="153" t="str">
        <f t="array" ref="W1387">INDEX(xlRTCLNAME,MATCH(1,(xlRTCLENDU=2)*(xlRTCLEQCL=$F1387),0))</f>
        <v>CENT_AIR</v>
      </c>
      <c r="X1387" s="153" t="str">
        <f t="array" ref="X1387">INDEX(xlRTTYNAME,MATCH(1,(xlRTTYENDU=1)*(xlRTTYEQCL=$D1387)*(xlRTEQTYPE=$E1387),0))</f>
        <v>NG_RAD3</v>
      </c>
      <c r="Y1387" s="153" t="str">
        <f t="array" ref="Y1387">INDEX(xlRTTYNAME,MATCH(1,(xlRTTYENDU=2)*(xlRTTYEQCL=$F1387)*(xlRTEQTYPE=$G1387),0))</f>
        <v>CENT_AIR3</v>
      </c>
    </row>
    <row r="1388" spans="2:25" ht="14.25" customHeight="1" x14ac:dyDescent="0.2">
      <c r="B1388" s="126">
        <v>8</v>
      </c>
      <c r="C1388" s="126">
        <v>2</v>
      </c>
      <c r="D1388" s="126">
        <v>4</v>
      </c>
      <c r="E1388" s="126">
        <v>12</v>
      </c>
      <c r="F1388" s="126">
        <v>2</v>
      </c>
      <c r="G1388" s="126">
        <v>7</v>
      </c>
      <c r="H1388" s="126">
        <v>2016</v>
      </c>
      <c r="I1388" s="126">
        <v>2050</v>
      </c>
      <c r="J1388" s="127">
        <v>1.1045</v>
      </c>
      <c r="K1388" s="127">
        <v>1.0323</v>
      </c>
      <c r="L1388" s="127">
        <v>0.9597</v>
      </c>
      <c r="M1388" s="127">
        <v>1.2739</v>
      </c>
      <c r="N1388" s="127">
        <v>1.2847999999999999</v>
      </c>
      <c r="O1388" s="127">
        <v>1.0538000000000001</v>
      </c>
      <c r="P1388" s="126">
        <v>2451</v>
      </c>
      <c r="Q1388" s="128">
        <f t="array" ref="Q1388">SUM(IF(($S1388&gt;=4)*($C1388='TaxCred&amp;Subs'!$D$123:$D$127)*($H1388='TaxCred&amp;Subs'!$C$123:$C$127)*($H1388&lt;='TaxCred&amp;Subs'!$C$129),'TaxCred&amp;Subs'!$E$123:$E$127,0))</f>
        <v>0</v>
      </c>
      <c r="R1388" s="174">
        <v>0</v>
      </c>
      <c r="S1388" s="126">
        <v>3</v>
      </c>
      <c r="T1388" s="126" t="s">
        <v>247</v>
      </c>
      <c r="U1388" s="158"/>
      <c r="V1388" s="153" t="str">
        <f t="array" ref="V1388">INDEX(xlRTCLNAME,MATCH(1,(xlRTCLENDU=1)*(xlRTCLEQCL=$D1388),0))</f>
        <v>NG_RAD</v>
      </c>
      <c r="W1388" s="153" t="str">
        <f t="array" ref="W1388">INDEX(xlRTCLNAME,MATCH(1,(xlRTCLENDU=2)*(xlRTCLEQCL=$F1388),0))</f>
        <v>CENT_AIR</v>
      </c>
      <c r="X1388" s="153" t="str">
        <f t="array" ref="X1388">INDEX(xlRTTYNAME,MATCH(1,(xlRTTYENDU=1)*(xlRTTYEQCL=$D1388)*(xlRTEQTYPE=$E1388),0))</f>
        <v>NG_RAD3</v>
      </c>
      <c r="Y1388" s="153" t="str">
        <f t="array" ref="Y1388">INDEX(xlRTTYNAME,MATCH(1,(xlRTTYENDU=2)*(xlRTTYEQCL=$F1388)*(xlRTEQTYPE=$G1388),0))</f>
        <v>CENT_AIR3</v>
      </c>
    </row>
    <row r="1389" spans="2:25" ht="14.25" customHeight="1" x14ac:dyDescent="0.2">
      <c r="B1389" s="126">
        <v>9</v>
      </c>
      <c r="C1389" s="126">
        <v>2</v>
      </c>
      <c r="D1389" s="126">
        <v>4</v>
      </c>
      <c r="E1389" s="126">
        <v>12</v>
      </c>
      <c r="F1389" s="126">
        <v>2</v>
      </c>
      <c r="G1389" s="126">
        <v>7</v>
      </c>
      <c r="H1389" s="126">
        <v>2016</v>
      </c>
      <c r="I1389" s="126">
        <v>2050</v>
      </c>
      <c r="J1389" s="127">
        <v>1.1200000000000001</v>
      </c>
      <c r="K1389" s="127">
        <v>1.0541</v>
      </c>
      <c r="L1389" s="127">
        <v>0.74380000000000002</v>
      </c>
      <c r="M1389" s="127">
        <v>1.2</v>
      </c>
      <c r="N1389" s="127">
        <v>1.4438</v>
      </c>
      <c r="O1389" s="127">
        <v>1.0538000000000001</v>
      </c>
      <c r="P1389" s="126">
        <v>2153</v>
      </c>
      <c r="Q1389" s="128">
        <f t="array" ref="Q1389">SUM(IF(($S1389&gt;=4)*($C1389='TaxCred&amp;Subs'!$D$123:$D$127)*($H1389='TaxCred&amp;Subs'!$C$123:$C$127)*($H1389&lt;='TaxCred&amp;Subs'!$C$129),'TaxCred&amp;Subs'!$E$123:$E$127,0))</f>
        <v>0</v>
      </c>
      <c r="R1389" s="174">
        <v>0</v>
      </c>
      <c r="S1389" s="126">
        <v>3</v>
      </c>
      <c r="T1389" s="126" t="s">
        <v>247</v>
      </c>
      <c r="U1389" s="158"/>
      <c r="V1389" s="153" t="str">
        <f t="array" ref="V1389">INDEX(xlRTCLNAME,MATCH(1,(xlRTCLENDU=1)*(xlRTCLEQCL=$D1389),0))</f>
        <v>NG_RAD</v>
      </c>
      <c r="W1389" s="153" t="str">
        <f t="array" ref="W1389">INDEX(xlRTCLNAME,MATCH(1,(xlRTCLENDU=2)*(xlRTCLEQCL=$F1389),0))</f>
        <v>CENT_AIR</v>
      </c>
      <c r="X1389" s="153" t="str">
        <f t="array" ref="X1389">INDEX(xlRTTYNAME,MATCH(1,(xlRTTYENDU=1)*(xlRTTYEQCL=$D1389)*(xlRTEQTYPE=$E1389),0))</f>
        <v>NG_RAD3</v>
      </c>
      <c r="Y1389" s="153" t="str">
        <f t="array" ref="Y1389">INDEX(xlRTTYNAME,MATCH(1,(xlRTTYENDU=2)*(xlRTTYEQCL=$F1389)*(xlRTEQTYPE=$G1389),0))</f>
        <v>CENT_AIR3</v>
      </c>
    </row>
    <row r="1390" spans="2:25" ht="14.25" customHeight="1" x14ac:dyDescent="0.2">
      <c r="B1390" s="129">
        <v>1</v>
      </c>
      <c r="C1390" s="129">
        <v>2</v>
      </c>
      <c r="D1390" s="129">
        <v>5</v>
      </c>
      <c r="E1390" s="129">
        <v>16</v>
      </c>
      <c r="F1390" s="129">
        <v>2</v>
      </c>
      <c r="G1390" s="129">
        <v>7</v>
      </c>
      <c r="H1390" s="129">
        <v>2016</v>
      </c>
      <c r="I1390" s="129">
        <v>2050</v>
      </c>
      <c r="J1390" s="130">
        <v>1.0956999999999999</v>
      </c>
      <c r="K1390" s="130">
        <v>1.0417000000000001</v>
      </c>
      <c r="L1390" s="130">
        <v>0.92830000000000001</v>
      </c>
      <c r="M1390" s="130">
        <v>1.1455</v>
      </c>
      <c r="N1390" s="130">
        <v>1.1153</v>
      </c>
      <c r="O1390" s="130">
        <v>1.0538000000000001</v>
      </c>
      <c r="P1390" s="129">
        <v>3120</v>
      </c>
      <c r="Q1390" s="128">
        <f t="array" ref="Q1390">SUM(IF(($S1390&gt;=4)*($C1390='TaxCred&amp;Subs'!$D$123:$D$127)*($H1390='TaxCred&amp;Subs'!$C$123:$C$127)*($H1390&lt;='TaxCred&amp;Subs'!$C$129),'TaxCred&amp;Subs'!$E$123:$E$127,0))</f>
        <v>0</v>
      </c>
      <c r="R1390" s="174">
        <v>0</v>
      </c>
      <c r="S1390" s="129">
        <v>3</v>
      </c>
      <c r="T1390" s="129" t="s">
        <v>247</v>
      </c>
      <c r="U1390" s="155" t="s">
        <v>235</v>
      </c>
      <c r="V1390" s="153" t="str">
        <f t="array" ref="V1390">INDEX(xlRTCLNAME,MATCH(1,(xlRTCLENDU=1)*(xlRTCLEQCL=$D1390),0))</f>
        <v>KERO_FA</v>
      </c>
      <c r="W1390" s="153" t="str">
        <f t="array" ref="W1390">INDEX(xlRTCLNAME,MATCH(1,(xlRTCLENDU=2)*(xlRTCLEQCL=$F1390),0))</f>
        <v>CENT_AIR</v>
      </c>
      <c r="X1390" s="153" t="str">
        <f t="array" ref="X1390">INDEX(xlRTTYNAME,MATCH(1,(xlRTTYENDU=1)*(xlRTTYEQCL=$D1390)*(xlRTEQTYPE=$E1390),0))</f>
        <v>KERO_FA3</v>
      </c>
      <c r="Y1390" s="153" t="str">
        <f t="array" ref="Y1390">INDEX(xlRTTYNAME,MATCH(1,(xlRTTYENDU=2)*(xlRTTYEQCL=$F1390)*(xlRTEQTYPE=$G1390),0))</f>
        <v>CENT_AIR3</v>
      </c>
    </row>
    <row r="1391" spans="2:25" ht="14.25" customHeight="1" x14ac:dyDescent="0.2">
      <c r="B1391" s="129">
        <v>2</v>
      </c>
      <c r="C1391" s="129">
        <v>2</v>
      </c>
      <c r="D1391" s="129">
        <v>5</v>
      </c>
      <c r="E1391" s="129">
        <v>16</v>
      </c>
      <c r="F1391" s="129">
        <v>2</v>
      </c>
      <c r="G1391" s="129">
        <v>7</v>
      </c>
      <c r="H1391" s="129">
        <v>2016</v>
      </c>
      <c r="I1391" s="129">
        <v>2050</v>
      </c>
      <c r="J1391" s="130">
        <v>1.1059000000000001</v>
      </c>
      <c r="K1391" s="130">
        <v>1.0357000000000001</v>
      </c>
      <c r="L1391" s="130">
        <v>0.85799999999999998</v>
      </c>
      <c r="M1391" s="130">
        <v>1.1625000000000001</v>
      </c>
      <c r="N1391" s="130">
        <v>1.1176999999999999</v>
      </c>
      <c r="O1391" s="130">
        <v>1.0538000000000001</v>
      </c>
      <c r="P1391" s="129">
        <v>2315</v>
      </c>
      <c r="Q1391" s="128">
        <f t="array" ref="Q1391">SUM(IF(($S1391&gt;=4)*($C1391='TaxCred&amp;Subs'!$D$123:$D$127)*($H1391='TaxCred&amp;Subs'!$C$123:$C$127)*($H1391&lt;='TaxCred&amp;Subs'!$C$129),'TaxCred&amp;Subs'!$E$123:$E$127,0))</f>
        <v>0</v>
      </c>
      <c r="R1391" s="174">
        <v>0</v>
      </c>
      <c r="S1391" s="129">
        <v>3</v>
      </c>
      <c r="T1391" s="129" t="s">
        <v>247</v>
      </c>
      <c r="U1391" s="155" t="s">
        <v>235</v>
      </c>
      <c r="V1391" s="153" t="str">
        <f t="array" ref="V1391">INDEX(xlRTCLNAME,MATCH(1,(xlRTCLENDU=1)*(xlRTCLEQCL=$D1391),0))</f>
        <v>KERO_FA</v>
      </c>
      <c r="W1391" s="153" t="str">
        <f t="array" ref="W1391">INDEX(xlRTCLNAME,MATCH(1,(xlRTCLENDU=2)*(xlRTCLEQCL=$F1391),0))</f>
        <v>CENT_AIR</v>
      </c>
      <c r="X1391" s="153" t="str">
        <f t="array" ref="X1391">INDEX(xlRTTYNAME,MATCH(1,(xlRTTYENDU=1)*(xlRTTYEQCL=$D1391)*(xlRTEQTYPE=$E1391),0))</f>
        <v>KERO_FA3</v>
      </c>
      <c r="Y1391" s="153" t="str">
        <f t="array" ref="Y1391">INDEX(xlRTTYNAME,MATCH(1,(xlRTTYENDU=2)*(xlRTTYEQCL=$F1391)*(xlRTEQTYPE=$G1391),0))</f>
        <v>CENT_AIR3</v>
      </c>
    </row>
    <row r="1392" spans="2:25" ht="14.25" customHeight="1" x14ac:dyDescent="0.2">
      <c r="B1392" s="129">
        <v>3</v>
      </c>
      <c r="C1392" s="129">
        <v>2</v>
      </c>
      <c r="D1392" s="129">
        <v>5</v>
      </c>
      <c r="E1392" s="129">
        <v>16</v>
      </c>
      <c r="F1392" s="129">
        <v>2</v>
      </c>
      <c r="G1392" s="129">
        <v>7</v>
      </c>
      <c r="H1392" s="129">
        <v>2016</v>
      </c>
      <c r="I1392" s="129">
        <v>2050</v>
      </c>
      <c r="J1392" s="130">
        <v>1.099</v>
      </c>
      <c r="K1392" s="130">
        <v>1.03</v>
      </c>
      <c r="L1392" s="130">
        <v>0.83350000000000002</v>
      </c>
      <c r="M1392" s="130">
        <v>1.0828</v>
      </c>
      <c r="N1392" s="130">
        <v>1.0381</v>
      </c>
      <c r="O1392" s="130">
        <v>1.0538000000000001</v>
      </c>
      <c r="P1392" s="129">
        <v>2657</v>
      </c>
      <c r="Q1392" s="128">
        <f t="array" ref="Q1392">SUM(IF(($S1392&gt;=4)*($C1392='TaxCred&amp;Subs'!$D$123:$D$127)*($H1392='TaxCred&amp;Subs'!$C$123:$C$127)*($H1392&lt;='TaxCred&amp;Subs'!$C$129),'TaxCred&amp;Subs'!$E$123:$E$127,0))</f>
        <v>0</v>
      </c>
      <c r="R1392" s="174">
        <v>0</v>
      </c>
      <c r="S1392" s="129">
        <v>3</v>
      </c>
      <c r="T1392" s="129" t="s">
        <v>247</v>
      </c>
      <c r="U1392" s="155" t="s">
        <v>235</v>
      </c>
      <c r="V1392" s="153" t="str">
        <f t="array" ref="V1392">INDEX(xlRTCLNAME,MATCH(1,(xlRTCLENDU=1)*(xlRTCLEQCL=$D1392),0))</f>
        <v>KERO_FA</v>
      </c>
      <c r="W1392" s="153" t="str">
        <f t="array" ref="W1392">INDEX(xlRTCLNAME,MATCH(1,(xlRTCLENDU=2)*(xlRTCLEQCL=$F1392),0))</f>
        <v>CENT_AIR</v>
      </c>
      <c r="X1392" s="153" t="str">
        <f t="array" ref="X1392">INDEX(xlRTTYNAME,MATCH(1,(xlRTTYENDU=1)*(xlRTTYEQCL=$D1392)*(xlRTEQTYPE=$E1392),0))</f>
        <v>KERO_FA3</v>
      </c>
      <c r="Y1392" s="153" t="str">
        <f t="array" ref="Y1392">INDEX(xlRTTYNAME,MATCH(1,(xlRTTYENDU=2)*(xlRTTYEQCL=$F1392)*(xlRTEQTYPE=$G1392),0))</f>
        <v>CENT_AIR3</v>
      </c>
    </row>
    <row r="1393" spans="2:25" ht="14.25" customHeight="1" x14ac:dyDescent="0.2">
      <c r="B1393" s="129">
        <v>4</v>
      </c>
      <c r="C1393" s="129">
        <v>2</v>
      </c>
      <c r="D1393" s="129">
        <v>5</v>
      </c>
      <c r="E1393" s="129">
        <v>16</v>
      </c>
      <c r="F1393" s="129">
        <v>2</v>
      </c>
      <c r="G1393" s="129">
        <v>7</v>
      </c>
      <c r="H1393" s="129">
        <v>2016</v>
      </c>
      <c r="I1393" s="129">
        <v>2050</v>
      </c>
      <c r="J1393" s="130">
        <v>1.0934999999999999</v>
      </c>
      <c r="K1393" s="130">
        <v>1.0435000000000001</v>
      </c>
      <c r="L1393" s="130">
        <v>0.84930000000000005</v>
      </c>
      <c r="M1393" s="130">
        <v>1.1499999999999999</v>
      </c>
      <c r="N1393" s="130">
        <v>1.1696</v>
      </c>
      <c r="O1393" s="130">
        <v>1.0538000000000001</v>
      </c>
      <c r="P1393" s="129">
        <v>2342</v>
      </c>
      <c r="Q1393" s="128">
        <f t="array" ref="Q1393">SUM(IF(($S1393&gt;=4)*($C1393='TaxCred&amp;Subs'!$D$123:$D$127)*($H1393='TaxCred&amp;Subs'!$C$123:$C$127)*($H1393&lt;='TaxCred&amp;Subs'!$C$129),'TaxCred&amp;Subs'!$E$123:$E$127,0))</f>
        <v>0</v>
      </c>
      <c r="R1393" s="174">
        <v>0</v>
      </c>
      <c r="S1393" s="129">
        <v>3</v>
      </c>
      <c r="T1393" s="129" t="s">
        <v>247</v>
      </c>
      <c r="U1393" s="155" t="s">
        <v>235</v>
      </c>
      <c r="V1393" s="153" t="str">
        <f t="array" ref="V1393">INDEX(xlRTCLNAME,MATCH(1,(xlRTCLENDU=1)*(xlRTCLEQCL=$D1393),0))</f>
        <v>KERO_FA</v>
      </c>
      <c r="W1393" s="153" t="str">
        <f t="array" ref="W1393">INDEX(xlRTCLNAME,MATCH(1,(xlRTCLENDU=2)*(xlRTCLEQCL=$F1393),0))</f>
        <v>CENT_AIR</v>
      </c>
      <c r="X1393" s="153" t="str">
        <f t="array" ref="X1393">INDEX(xlRTTYNAME,MATCH(1,(xlRTTYENDU=1)*(xlRTTYEQCL=$D1393)*(xlRTEQTYPE=$E1393),0))</f>
        <v>KERO_FA3</v>
      </c>
      <c r="Y1393" s="153" t="str">
        <f t="array" ref="Y1393">INDEX(xlRTTYNAME,MATCH(1,(xlRTTYENDU=2)*(xlRTTYEQCL=$F1393)*(xlRTEQTYPE=$G1393),0))</f>
        <v>CENT_AIR3</v>
      </c>
    </row>
    <row r="1394" spans="2:25" ht="14.25" customHeight="1" x14ac:dyDescent="0.2">
      <c r="B1394" s="129">
        <v>5</v>
      </c>
      <c r="C1394" s="129">
        <v>2</v>
      </c>
      <c r="D1394" s="129">
        <v>5</v>
      </c>
      <c r="E1394" s="129">
        <v>16</v>
      </c>
      <c r="F1394" s="129">
        <v>2</v>
      </c>
      <c r="G1394" s="129">
        <v>7</v>
      </c>
      <c r="H1394" s="129">
        <v>2016</v>
      </c>
      <c r="I1394" s="129">
        <v>2050</v>
      </c>
      <c r="J1394" s="130">
        <v>1.1200000000000001</v>
      </c>
      <c r="K1394" s="130">
        <v>1.0391999999999999</v>
      </c>
      <c r="L1394" s="130">
        <v>0.53759999999999997</v>
      </c>
      <c r="M1394" s="130">
        <v>1.1097999999999999</v>
      </c>
      <c r="N1394" s="130">
        <v>1.2595000000000001</v>
      </c>
      <c r="O1394" s="130">
        <v>1.0538000000000001</v>
      </c>
      <c r="P1394" s="129">
        <v>2051</v>
      </c>
      <c r="Q1394" s="128">
        <f t="array" ref="Q1394">SUM(IF(($S1394&gt;=4)*($C1394='TaxCred&amp;Subs'!$D$123:$D$127)*($H1394='TaxCred&amp;Subs'!$C$123:$C$127)*($H1394&lt;='TaxCred&amp;Subs'!$C$129),'TaxCred&amp;Subs'!$E$123:$E$127,0))</f>
        <v>0</v>
      </c>
      <c r="R1394" s="174">
        <v>0</v>
      </c>
      <c r="S1394" s="129">
        <v>3</v>
      </c>
      <c r="T1394" s="129" t="s">
        <v>247</v>
      </c>
      <c r="U1394" s="155" t="s">
        <v>235</v>
      </c>
      <c r="V1394" s="153" t="str">
        <f t="array" ref="V1394">INDEX(xlRTCLNAME,MATCH(1,(xlRTCLENDU=1)*(xlRTCLEQCL=$D1394),0))</f>
        <v>KERO_FA</v>
      </c>
      <c r="W1394" s="153" t="str">
        <f t="array" ref="W1394">INDEX(xlRTCLNAME,MATCH(1,(xlRTCLENDU=2)*(xlRTCLEQCL=$F1394),0))</f>
        <v>CENT_AIR</v>
      </c>
      <c r="X1394" s="153" t="str">
        <f t="array" ref="X1394">INDEX(xlRTTYNAME,MATCH(1,(xlRTTYENDU=1)*(xlRTTYEQCL=$D1394)*(xlRTEQTYPE=$E1394),0))</f>
        <v>KERO_FA3</v>
      </c>
      <c r="Y1394" s="153" t="str">
        <f t="array" ref="Y1394">INDEX(xlRTTYNAME,MATCH(1,(xlRTTYENDU=2)*(xlRTTYEQCL=$F1394)*(xlRTEQTYPE=$G1394),0))</f>
        <v>CENT_AIR3</v>
      </c>
    </row>
    <row r="1395" spans="2:25" ht="14.25" customHeight="1" x14ac:dyDescent="0.2">
      <c r="B1395" s="129">
        <v>6</v>
      </c>
      <c r="C1395" s="129">
        <v>2</v>
      </c>
      <c r="D1395" s="129">
        <v>5</v>
      </c>
      <c r="E1395" s="129">
        <v>16</v>
      </c>
      <c r="F1395" s="129">
        <v>2</v>
      </c>
      <c r="G1395" s="129">
        <v>7</v>
      </c>
      <c r="H1395" s="129">
        <v>2016</v>
      </c>
      <c r="I1395" s="129">
        <v>2050</v>
      </c>
      <c r="J1395" s="130">
        <v>1.1200000000000001</v>
      </c>
      <c r="K1395" s="130">
        <v>1.03</v>
      </c>
      <c r="L1395" s="130">
        <v>0.92659999999999998</v>
      </c>
      <c r="M1395" s="130">
        <v>1.1455</v>
      </c>
      <c r="N1395" s="130">
        <v>1.3381000000000001</v>
      </c>
      <c r="O1395" s="130">
        <v>1.0538000000000001</v>
      </c>
      <c r="P1395" s="129">
        <v>2260</v>
      </c>
      <c r="Q1395" s="128">
        <f t="array" ref="Q1395">SUM(IF(($S1395&gt;=4)*($C1395='TaxCred&amp;Subs'!$D$123:$D$127)*($H1395='TaxCred&amp;Subs'!$C$123:$C$127)*($H1395&lt;='TaxCred&amp;Subs'!$C$129),'TaxCred&amp;Subs'!$E$123:$E$127,0))</f>
        <v>0</v>
      </c>
      <c r="R1395" s="174">
        <v>0</v>
      </c>
      <c r="S1395" s="129">
        <v>3</v>
      </c>
      <c r="T1395" s="129" t="s">
        <v>247</v>
      </c>
      <c r="U1395" s="155" t="s">
        <v>235</v>
      </c>
      <c r="V1395" s="153" t="str">
        <f t="array" ref="V1395">INDEX(xlRTCLNAME,MATCH(1,(xlRTCLENDU=1)*(xlRTCLEQCL=$D1395),0))</f>
        <v>KERO_FA</v>
      </c>
      <c r="W1395" s="153" t="str">
        <f t="array" ref="W1395">INDEX(xlRTCLNAME,MATCH(1,(xlRTCLENDU=2)*(xlRTCLEQCL=$F1395),0))</f>
        <v>CENT_AIR</v>
      </c>
      <c r="X1395" s="153" t="str">
        <f t="array" ref="X1395">INDEX(xlRTTYNAME,MATCH(1,(xlRTTYENDU=1)*(xlRTTYEQCL=$D1395)*(xlRTEQTYPE=$E1395),0))</f>
        <v>KERO_FA3</v>
      </c>
      <c r="Y1395" s="153" t="str">
        <f t="array" ref="Y1395">INDEX(xlRTTYNAME,MATCH(1,(xlRTTYENDU=2)*(xlRTTYEQCL=$F1395)*(xlRTEQTYPE=$G1395),0))</f>
        <v>CENT_AIR3</v>
      </c>
    </row>
    <row r="1396" spans="2:25" ht="14.25" customHeight="1" x14ac:dyDescent="0.2">
      <c r="B1396" s="129">
        <v>7</v>
      </c>
      <c r="C1396" s="129">
        <v>2</v>
      </c>
      <c r="D1396" s="129">
        <v>5</v>
      </c>
      <c r="E1396" s="129">
        <v>16</v>
      </c>
      <c r="F1396" s="129">
        <v>2</v>
      </c>
      <c r="G1396" s="129">
        <v>7</v>
      </c>
      <c r="H1396" s="129">
        <v>2016</v>
      </c>
      <c r="I1396" s="129">
        <v>2050</v>
      </c>
      <c r="J1396" s="130">
        <v>1.1200000000000001</v>
      </c>
      <c r="K1396" s="130">
        <v>1.0476000000000001</v>
      </c>
      <c r="L1396" s="130">
        <v>0.7772</v>
      </c>
      <c r="M1396" s="130">
        <v>1.1516999999999999</v>
      </c>
      <c r="N1396" s="130">
        <v>1.4438</v>
      </c>
      <c r="O1396" s="130">
        <v>1.0538000000000001</v>
      </c>
      <c r="P1396" s="129">
        <v>1512</v>
      </c>
      <c r="Q1396" s="128">
        <f t="array" ref="Q1396">SUM(IF(($S1396&gt;=4)*($C1396='TaxCred&amp;Subs'!$D$123:$D$127)*($H1396='TaxCred&amp;Subs'!$C$123:$C$127)*($H1396&lt;='TaxCred&amp;Subs'!$C$129),'TaxCred&amp;Subs'!$E$123:$E$127,0))</f>
        <v>0</v>
      </c>
      <c r="R1396" s="174">
        <v>0</v>
      </c>
      <c r="S1396" s="129">
        <v>3</v>
      </c>
      <c r="T1396" s="129" t="s">
        <v>247</v>
      </c>
      <c r="U1396" s="155" t="s">
        <v>235</v>
      </c>
      <c r="V1396" s="153" t="str">
        <f t="array" ref="V1396">INDEX(xlRTCLNAME,MATCH(1,(xlRTCLENDU=1)*(xlRTCLEQCL=$D1396),0))</f>
        <v>KERO_FA</v>
      </c>
      <c r="W1396" s="153" t="str">
        <f t="array" ref="W1396">INDEX(xlRTCLNAME,MATCH(1,(xlRTCLENDU=2)*(xlRTCLEQCL=$F1396),0))</f>
        <v>CENT_AIR</v>
      </c>
      <c r="X1396" s="153" t="str">
        <f t="array" ref="X1396">INDEX(xlRTTYNAME,MATCH(1,(xlRTTYENDU=1)*(xlRTTYEQCL=$D1396)*(xlRTEQTYPE=$E1396),0))</f>
        <v>KERO_FA3</v>
      </c>
      <c r="Y1396" s="153" t="str">
        <f t="array" ref="Y1396">INDEX(xlRTTYNAME,MATCH(1,(xlRTTYENDU=2)*(xlRTTYEQCL=$F1396)*(xlRTEQTYPE=$G1396),0))</f>
        <v>CENT_AIR3</v>
      </c>
    </row>
    <row r="1397" spans="2:25" ht="14.25" customHeight="1" x14ac:dyDescent="0.2">
      <c r="B1397" s="129">
        <v>8</v>
      </c>
      <c r="C1397" s="129">
        <v>2</v>
      </c>
      <c r="D1397" s="129">
        <v>5</v>
      </c>
      <c r="E1397" s="129">
        <v>16</v>
      </c>
      <c r="F1397" s="129">
        <v>2</v>
      </c>
      <c r="G1397" s="129">
        <v>7</v>
      </c>
      <c r="H1397" s="129">
        <v>2016</v>
      </c>
      <c r="I1397" s="129">
        <v>2050</v>
      </c>
      <c r="J1397" s="130">
        <v>1.1064000000000001</v>
      </c>
      <c r="K1397" s="130">
        <v>1.0645</v>
      </c>
      <c r="L1397" s="130">
        <v>0.80669999999999997</v>
      </c>
      <c r="M1397" s="130">
        <v>1.2739</v>
      </c>
      <c r="N1397" s="130">
        <v>1.2826</v>
      </c>
      <c r="O1397" s="130">
        <v>1.0538000000000001</v>
      </c>
      <c r="P1397" s="129">
        <v>2501</v>
      </c>
      <c r="Q1397" s="128">
        <f t="array" ref="Q1397">SUM(IF(($S1397&gt;=4)*($C1397='TaxCred&amp;Subs'!$D$123:$D$127)*($H1397='TaxCred&amp;Subs'!$C$123:$C$127)*($H1397&lt;='TaxCred&amp;Subs'!$C$129),'TaxCred&amp;Subs'!$E$123:$E$127,0))</f>
        <v>0</v>
      </c>
      <c r="R1397" s="174">
        <v>0</v>
      </c>
      <c r="S1397" s="129">
        <v>3</v>
      </c>
      <c r="T1397" s="129" t="s">
        <v>247</v>
      </c>
      <c r="U1397" s="155" t="s">
        <v>235</v>
      </c>
      <c r="V1397" s="153" t="str">
        <f t="array" ref="V1397">INDEX(xlRTCLNAME,MATCH(1,(xlRTCLENDU=1)*(xlRTCLEQCL=$D1397),0))</f>
        <v>KERO_FA</v>
      </c>
      <c r="W1397" s="153" t="str">
        <f t="array" ref="W1397">INDEX(xlRTCLNAME,MATCH(1,(xlRTCLENDU=2)*(xlRTCLEQCL=$F1397),0))</f>
        <v>CENT_AIR</v>
      </c>
      <c r="X1397" s="153" t="str">
        <f t="array" ref="X1397">INDEX(xlRTTYNAME,MATCH(1,(xlRTTYENDU=1)*(xlRTTYEQCL=$D1397)*(xlRTEQTYPE=$E1397),0))</f>
        <v>KERO_FA3</v>
      </c>
      <c r="Y1397" s="153" t="str">
        <f t="array" ref="Y1397">INDEX(xlRTTYNAME,MATCH(1,(xlRTTYENDU=2)*(xlRTTYEQCL=$F1397)*(xlRTEQTYPE=$G1397),0))</f>
        <v>CENT_AIR3</v>
      </c>
    </row>
    <row r="1398" spans="2:25" ht="14.25" customHeight="1" x14ac:dyDescent="0.2">
      <c r="B1398" s="129">
        <v>9</v>
      </c>
      <c r="C1398" s="129">
        <v>2</v>
      </c>
      <c r="D1398" s="129">
        <v>5</v>
      </c>
      <c r="E1398" s="129">
        <v>16</v>
      </c>
      <c r="F1398" s="129">
        <v>2</v>
      </c>
      <c r="G1398" s="129">
        <v>7</v>
      </c>
      <c r="H1398" s="129">
        <v>2016</v>
      </c>
      <c r="I1398" s="129">
        <v>2050</v>
      </c>
      <c r="J1398" s="130">
        <v>1.03</v>
      </c>
      <c r="K1398" s="130">
        <v>1.0556000000000001</v>
      </c>
      <c r="L1398" s="130">
        <v>0.44379999999999997</v>
      </c>
      <c r="M1398" s="130">
        <v>1.2</v>
      </c>
      <c r="N1398" s="130">
        <v>1.4438</v>
      </c>
      <c r="O1398" s="130">
        <v>1.0538000000000001</v>
      </c>
      <c r="P1398" s="129">
        <v>2576</v>
      </c>
      <c r="Q1398" s="128">
        <f t="array" ref="Q1398">SUM(IF(($S1398&gt;=4)*($C1398='TaxCred&amp;Subs'!$D$123:$D$127)*($H1398='TaxCred&amp;Subs'!$C$123:$C$127)*($H1398&lt;='TaxCred&amp;Subs'!$C$129),'TaxCred&amp;Subs'!$E$123:$E$127,0))</f>
        <v>0</v>
      </c>
      <c r="R1398" s="174">
        <v>0</v>
      </c>
      <c r="S1398" s="129">
        <v>3</v>
      </c>
      <c r="T1398" s="129" t="s">
        <v>247</v>
      </c>
      <c r="U1398" s="155" t="s">
        <v>235</v>
      </c>
      <c r="V1398" s="153" t="str">
        <f t="array" ref="V1398">INDEX(xlRTCLNAME,MATCH(1,(xlRTCLENDU=1)*(xlRTCLEQCL=$D1398),0))</f>
        <v>KERO_FA</v>
      </c>
      <c r="W1398" s="153" t="str">
        <f t="array" ref="W1398">INDEX(xlRTCLNAME,MATCH(1,(xlRTCLENDU=2)*(xlRTCLEQCL=$F1398),0))</f>
        <v>CENT_AIR</v>
      </c>
      <c r="X1398" s="153" t="str">
        <f t="array" ref="X1398">INDEX(xlRTTYNAME,MATCH(1,(xlRTTYENDU=1)*(xlRTTYEQCL=$D1398)*(xlRTEQTYPE=$E1398),0))</f>
        <v>KERO_FA3</v>
      </c>
      <c r="Y1398" s="153" t="str">
        <f t="array" ref="Y1398">INDEX(xlRTTYNAME,MATCH(1,(xlRTTYENDU=2)*(xlRTTYEQCL=$F1398)*(xlRTEQTYPE=$G1398),0))</f>
        <v>CENT_AIR3</v>
      </c>
    </row>
    <row r="1399" spans="2:25" ht="14.25" customHeight="1" x14ac:dyDescent="0.2">
      <c r="B1399" s="126">
        <v>1</v>
      </c>
      <c r="C1399" s="126">
        <v>2</v>
      </c>
      <c r="D1399" s="126">
        <v>6</v>
      </c>
      <c r="E1399" s="126">
        <v>20</v>
      </c>
      <c r="F1399" s="126">
        <v>2</v>
      </c>
      <c r="G1399" s="126">
        <v>7</v>
      </c>
      <c r="H1399" s="126">
        <v>2016</v>
      </c>
      <c r="I1399" s="126">
        <v>2050</v>
      </c>
      <c r="J1399" s="127">
        <v>1.1042000000000001</v>
      </c>
      <c r="K1399" s="127">
        <v>1.0417000000000001</v>
      </c>
      <c r="L1399" s="127">
        <v>0.92490000000000006</v>
      </c>
      <c r="M1399" s="127">
        <v>1.1455</v>
      </c>
      <c r="N1399" s="127">
        <v>1.1127</v>
      </c>
      <c r="O1399" s="127">
        <v>1.0538000000000001</v>
      </c>
      <c r="P1399" s="126">
        <v>3120</v>
      </c>
      <c r="Q1399" s="128">
        <f t="array" ref="Q1399">SUM(IF(($S1399&gt;=4)*($C1399='TaxCred&amp;Subs'!$D$123:$D$127)*($H1399='TaxCred&amp;Subs'!$C$123:$C$127)*($H1399&lt;='TaxCred&amp;Subs'!$C$129),'TaxCred&amp;Subs'!$E$123:$E$127,0))</f>
        <v>0</v>
      </c>
      <c r="R1399" s="174">
        <v>0</v>
      </c>
      <c r="S1399" s="126">
        <v>3</v>
      </c>
      <c r="T1399" s="126" t="s">
        <v>247</v>
      </c>
      <c r="U1399" s="158"/>
      <c r="V1399" s="153" t="str">
        <f t="array" ref="V1399">INDEX(xlRTCLNAME,MATCH(1,(xlRTCLENDU=1)*(xlRTCLEQCL=$D1399),0))</f>
        <v>LPG_FA</v>
      </c>
      <c r="W1399" s="153" t="str">
        <f t="array" ref="W1399">INDEX(xlRTCLNAME,MATCH(1,(xlRTCLENDU=2)*(xlRTCLEQCL=$F1399),0))</f>
        <v>CENT_AIR</v>
      </c>
      <c r="X1399" s="153" t="str">
        <f t="array" ref="X1399">INDEX(xlRTTYNAME,MATCH(1,(xlRTTYENDU=1)*(xlRTTYEQCL=$D1399)*(xlRTEQTYPE=$E1399),0))</f>
        <v>LPG_FA3</v>
      </c>
      <c r="Y1399" s="153" t="str">
        <f t="array" ref="Y1399">INDEX(xlRTTYNAME,MATCH(1,(xlRTTYENDU=2)*(xlRTTYEQCL=$F1399)*(xlRTEQTYPE=$G1399),0))</f>
        <v>CENT_AIR3</v>
      </c>
    </row>
    <row r="1400" spans="2:25" ht="14.25" customHeight="1" x14ac:dyDescent="0.2">
      <c r="B1400" s="126">
        <v>2</v>
      </c>
      <c r="C1400" s="126">
        <v>2</v>
      </c>
      <c r="D1400" s="126">
        <v>6</v>
      </c>
      <c r="E1400" s="126">
        <v>20</v>
      </c>
      <c r="F1400" s="126">
        <v>2</v>
      </c>
      <c r="G1400" s="126">
        <v>7</v>
      </c>
      <c r="H1400" s="126">
        <v>2016</v>
      </c>
      <c r="I1400" s="126">
        <v>2050</v>
      </c>
      <c r="J1400" s="127">
        <v>1.0847</v>
      </c>
      <c r="K1400" s="127">
        <v>1.0357000000000001</v>
      </c>
      <c r="L1400" s="127">
        <v>0.99829999999999997</v>
      </c>
      <c r="M1400" s="127">
        <v>1.1834</v>
      </c>
      <c r="N1400" s="127">
        <v>1.1162000000000001</v>
      </c>
      <c r="O1400" s="127">
        <v>1.0538000000000001</v>
      </c>
      <c r="P1400" s="126">
        <v>2260</v>
      </c>
      <c r="Q1400" s="128">
        <f t="array" ref="Q1400">SUM(IF(($S1400&gt;=4)*($C1400='TaxCred&amp;Subs'!$D$123:$D$127)*($H1400='TaxCred&amp;Subs'!$C$123:$C$127)*($H1400&lt;='TaxCred&amp;Subs'!$C$129),'TaxCred&amp;Subs'!$E$123:$E$127,0))</f>
        <v>0</v>
      </c>
      <c r="R1400" s="174">
        <v>0</v>
      </c>
      <c r="S1400" s="126">
        <v>3</v>
      </c>
      <c r="T1400" s="126" t="s">
        <v>247</v>
      </c>
      <c r="U1400" s="158"/>
      <c r="V1400" s="153" t="str">
        <f t="array" ref="V1400">INDEX(xlRTCLNAME,MATCH(1,(xlRTCLENDU=1)*(xlRTCLEQCL=$D1400),0))</f>
        <v>LPG_FA</v>
      </c>
      <c r="W1400" s="153" t="str">
        <f t="array" ref="W1400">INDEX(xlRTCLNAME,MATCH(1,(xlRTCLENDU=2)*(xlRTCLEQCL=$F1400),0))</f>
        <v>CENT_AIR</v>
      </c>
      <c r="X1400" s="153" t="str">
        <f t="array" ref="X1400">INDEX(xlRTTYNAME,MATCH(1,(xlRTTYENDU=1)*(xlRTTYEQCL=$D1400)*(xlRTEQTYPE=$E1400),0))</f>
        <v>LPG_FA3</v>
      </c>
      <c r="Y1400" s="153" t="str">
        <f t="array" ref="Y1400">INDEX(xlRTTYNAME,MATCH(1,(xlRTTYENDU=2)*(xlRTTYEQCL=$F1400)*(xlRTEQTYPE=$G1400),0))</f>
        <v>CENT_AIR3</v>
      </c>
    </row>
    <row r="1401" spans="2:25" ht="14.25" customHeight="1" x14ac:dyDescent="0.2">
      <c r="B1401" s="126">
        <v>3</v>
      </c>
      <c r="C1401" s="126">
        <v>2</v>
      </c>
      <c r="D1401" s="126">
        <v>6</v>
      </c>
      <c r="E1401" s="126">
        <v>20</v>
      </c>
      <c r="F1401" s="126">
        <v>2</v>
      </c>
      <c r="G1401" s="126">
        <v>7</v>
      </c>
      <c r="H1401" s="126">
        <v>2016</v>
      </c>
      <c r="I1401" s="126">
        <v>2050</v>
      </c>
      <c r="J1401" s="127">
        <v>1.0984</v>
      </c>
      <c r="K1401" s="127">
        <v>1.0345</v>
      </c>
      <c r="L1401" s="127">
        <v>0.83499999999999996</v>
      </c>
      <c r="M1401" s="127">
        <v>1.0828</v>
      </c>
      <c r="N1401" s="127">
        <v>1.0399</v>
      </c>
      <c r="O1401" s="127">
        <v>1.0538000000000001</v>
      </c>
      <c r="P1401" s="126">
        <v>2657</v>
      </c>
      <c r="Q1401" s="128">
        <f t="array" ref="Q1401">SUM(IF(($S1401&gt;=4)*($C1401='TaxCred&amp;Subs'!$D$123:$D$127)*($H1401='TaxCred&amp;Subs'!$C$123:$C$127)*($H1401&lt;='TaxCred&amp;Subs'!$C$129),'TaxCred&amp;Subs'!$E$123:$E$127,0))</f>
        <v>0</v>
      </c>
      <c r="R1401" s="174">
        <v>0</v>
      </c>
      <c r="S1401" s="126">
        <v>3</v>
      </c>
      <c r="T1401" s="126" t="s">
        <v>247</v>
      </c>
      <c r="U1401" s="158"/>
      <c r="V1401" s="153" t="str">
        <f t="array" ref="V1401">INDEX(xlRTCLNAME,MATCH(1,(xlRTCLENDU=1)*(xlRTCLEQCL=$D1401),0))</f>
        <v>LPG_FA</v>
      </c>
      <c r="W1401" s="153" t="str">
        <f t="array" ref="W1401">INDEX(xlRTCLNAME,MATCH(1,(xlRTCLENDU=2)*(xlRTCLEQCL=$F1401),0))</f>
        <v>CENT_AIR</v>
      </c>
      <c r="X1401" s="153" t="str">
        <f t="array" ref="X1401">INDEX(xlRTTYNAME,MATCH(1,(xlRTTYENDU=1)*(xlRTTYEQCL=$D1401)*(xlRTEQTYPE=$E1401),0))</f>
        <v>LPG_FA3</v>
      </c>
      <c r="Y1401" s="153" t="str">
        <f t="array" ref="Y1401">INDEX(xlRTTYNAME,MATCH(1,(xlRTTYENDU=2)*(xlRTTYEQCL=$F1401)*(xlRTEQTYPE=$G1401),0))</f>
        <v>CENT_AIR3</v>
      </c>
    </row>
    <row r="1402" spans="2:25" ht="14.25" customHeight="1" x14ac:dyDescent="0.2">
      <c r="B1402" s="126">
        <v>4</v>
      </c>
      <c r="C1402" s="126">
        <v>2</v>
      </c>
      <c r="D1402" s="126">
        <v>6</v>
      </c>
      <c r="E1402" s="126">
        <v>20</v>
      </c>
      <c r="F1402" s="126">
        <v>2</v>
      </c>
      <c r="G1402" s="126">
        <v>7</v>
      </c>
      <c r="H1402" s="126">
        <v>2016</v>
      </c>
      <c r="I1402" s="126">
        <v>2050</v>
      </c>
      <c r="J1402" s="127">
        <v>1.1000000000000001</v>
      </c>
      <c r="K1402" s="127">
        <v>1.0435000000000001</v>
      </c>
      <c r="L1402" s="127">
        <v>0.99419999999999997</v>
      </c>
      <c r="M1402" s="127">
        <v>1.1499999999999999</v>
      </c>
      <c r="N1402" s="127">
        <v>1.1696</v>
      </c>
      <c r="O1402" s="127">
        <v>1.0538000000000001</v>
      </c>
      <c r="P1402" s="126">
        <v>2300</v>
      </c>
      <c r="Q1402" s="128">
        <f t="array" ref="Q1402">SUM(IF(($S1402&gt;=4)*($C1402='TaxCred&amp;Subs'!$D$123:$D$127)*($H1402='TaxCred&amp;Subs'!$C$123:$C$127)*($H1402&lt;='TaxCred&amp;Subs'!$C$129),'TaxCred&amp;Subs'!$E$123:$E$127,0))</f>
        <v>0</v>
      </c>
      <c r="R1402" s="174">
        <v>0</v>
      </c>
      <c r="S1402" s="126">
        <v>3</v>
      </c>
      <c r="T1402" s="126" t="s">
        <v>247</v>
      </c>
      <c r="U1402" s="158"/>
      <c r="V1402" s="153" t="str">
        <f t="array" ref="V1402">INDEX(xlRTCLNAME,MATCH(1,(xlRTCLENDU=1)*(xlRTCLEQCL=$D1402),0))</f>
        <v>LPG_FA</v>
      </c>
      <c r="W1402" s="153" t="str">
        <f t="array" ref="W1402">INDEX(xlRTCLNAME,MATCH(1,(xlRTCLENDU=2)*(xlRTCLEQCL=$F1402),0))</f>
        <v>CENT_AIR</v>
      </c>
      <c r="X1402" s="153" t="str">
        <f t="array" ref="X1402">INDEX(xlRTTYNAME,MATCH(1,(xlRTTYENDU=1)*(xlRTTYEQCL=$D1402)*(xlRTEQTYPE=$E1402),0))</f>
        <v>LPG_FA3</v>
      </c>
      <c r="Y1402" s="153" t="str">
        <f t="array" ref="Y1402">INDEX(xlRTTYNAME,MATCH(1,(xlRTTYENDU=2)*(xlRTTYEQCL=$F1402)*(xlRTEQTYPE=$G1402),0))</f>
        <v>CENT_AIR3</v>
      </c>
    </row>
    <row r="1403" spans="2:25" ht="14.25" customHeight="1" x14ac:dyDescent="0.2">
      <c r="B1403" s="126">
        <v>5</v>
      </c>
      <c r="C1403" s="126">
        <v>2</v>
      </c>
      <c r="D1403" s="126">
        <v>6</v>
      </c>
      <c r="E1403" s="126">
        <v>20</v>
      </c>
      <c r="F1403" s="126">
        <v>2</v>
      </c>
      <c r="G1403" s="126">
        <v>7</v>
      </c>
      <c r="H1403" s="126">
        <v>2016</v>
      </c>
      <c r="I1403" s="126">
        <v>2050</v>
      </c>
      <c r="J1403" s="127">
        <v>1.1200000000000001</v>
      </c>
      <c r="K1403" s="127">
        <v>1.0391999999999999</v>
      </c>
      <c r="L1403" s="127">
        <v>0.69379999999999997</v>
      </c>
      <c r="M1403" s="127">
        <v>1.1097999999999999</v>
      </c>
      <c r="N1403" s="127">
        <v>1.2750999999999999</v>
      </c>
      <c r="O1403" s="127">
        <v>1.0538000000000001</v>
      </c>
      <c r="P1403" s="126">
        <v>1871</v>
      </c>
      <c r="Q1403" s="128">
        <f t="array" ref="Q1403">SUM(IF(($S1403&gt;=4)*($C1403='TaxCred&amp;Subs'!$D$123:$D$127)*($H1403='TaxCred&amp;Subs'!$C$123:$C$127)*($H1403&lt;='TaxCred&amp;Subs'!$C$129),'TaxCred&amp;Subs'!$E$123:$E$127,0))</f>
        <v>0</v>
      </c>
      <c r="R1403" s="174">
        <v>0</v>
      </c>
      <c r="S1403" s="126">
        <v>3</v>
      </c>
      <c r="T1403" s="126" t="s">
        <v>247</v>
      </c>
      <c r="U1403" s="158"/>
      <c r="V1403" s="153" t="str">
        <f t="array" ref="V1403">INDEX(xlRTCLNAME,MATCH(1,(xlRTCLENDU=1)*(xlRTCLEQCL=$D1403),0))</f>
        <v>LPG_FA</v>
      </c>
      <c r="W1403" s="153" t="str">
        <f t="array" ref="W1403">INDEX(xlRTCLNAME,MATCH(1,(xlRTCLENDU=2)*(xlRTCLEQCL=$F1403),0))</f>
        <v>CENT_AIR</v>
      </c>
      <c r="X1403" s="153" t="str">
        <f t="array" ref="X1403">INDEX(xlRTTYNAME,MATCH(1,(xlRTTYENDU=1)*(xlRTTYEQCL=$D1403)*(xlRTEQTYPE=$E1403),0))</f>
        <v>LPG_FA3</v>
      </c>
      <c r="Y1403" s="153" t="str">
        <f t="array" ref="Y1403">INDEX(xlRTTYNAME,MATCH(1,(xlRTTYENDU=2)*(xlRTTYEQCL=$F1403)*(xlRTEQTYPE=$G1403),0))</f>
        <v>CENT_AIR3</v>
      </c>
    </row>
    <row r="1404" spans="2:25" ht="14.25" customHeight="1" x14ac:dyDescent="0.2">
      <c r="B1404" s="126">
        <v>6</v>
      </c>
      <c r="C1404" s="126">
        <v>2</v>
      </c>
      <c r="D1404" s="126">
        <v>6</v>
      </c>
      <c r="E1404" s="126">
        <v>20</v>
      </c>
      <c r="F1404" s="126">
        <v>2</v>
      </c>
      <c r="G1404" s="126">
        <v>7</v>
      </c>
      <c r="H1404" s="126">
        <v>2016</v>
      </c>
      <c r="I1404" s="126">
        <v>2050</v>
      </c>
      <c r="J1404" s="127">
        <v>1.1200000000000001</v>
      </c>
      <c r="K1404" s="127">
        <v>1.03</v>
      </c>
      <c r="L1404" s="127">
        <v>1.0105</v>
      </c>
      <c r="M1404" s="127">
        <v>1.1568000000000001</v>
      </c>
      <c r="N1404" s="127">
        <v>1.3324</v>
      </c>
      <c r="O1404" s="127">
        <v>1.0538000000000001</v>
      </c>
      <c r="P1404" s="126">
        <v>2063</v>
      </c>
      <c r="Q1404" s="128">
        <f t="array" ref="Q1404">SUM(IF(($S1404&gt;=4)*($C1404='TaxCred&amp;Subs'!$D$123:$D$127)*($H1404='TaxCred&amp;Subs'!$C$123:$C$127)*($H1404&lt;='TaxCred&amp;Subs'!$C$129),'TaxCred&amp;Subs'!$E$123:$E$127,0))</f>
        <v>0</v>
      </c>
      <c r="R1404" s="174">
        <v>0</v>
      </c>
      <c r="S1404" s="126">
        <v>3</v>
      </c>
      <c r="T1404" s="126" t="s">
        <v>247</v>
      </c>
      <c r="U1404" s="158"/>
      <c r="V1404" s="153" t="str">
        <f t="array" ref="V1404">INDEX(xlRTCLNAME,MATCH(1,(xlRTCLENDU=1)*(xlRTCLEQCL=$D1404),0))</f>
        <v>LPG_FA</v>
      </c>
      <c r="W1404" s="153" t="str">
        <f t="array" ref="W1404">INDEX(xlRTCLNAME,MATCH(1,(xlRTCLENDU=2)*(xlRTCLEQCL=$F1404),0))</f>
        <v>CENT_AIR</v>
      </c>
      <c r="X1404" s="153" t="str">
        <f t="array" ref="X1404">INDEX(xlRTTYNAME,MATCH(1,(xlRTTYENDU=1)*(xlRTTYEQCL=$D1404)*(xlRTEQTYPE=$E1404),0))</f>
        <v>LPG_FA3</v>
      </c>
      <c r="Y1404" s="153" t="str">
        <f t="array" ref="Y1404">INDEX(xlRTTYNAME,MATCH(1,(xlRTTYENDU=2)*(xlRTTYEQCL=$F1404)*(xlRTEQTYPE=$G1404),0))</f>
        <v>CENT_AIR3</v>
      </c>
    </row>
    <row r="1405" spans="2:25" ht="14.25" customHeight="1" x14ac:dyDescent="0.2">
      <c r="B1405" s="126">
        <v>7</v>
      </c>
      <c r="C1405" s="126">
        <v>2</v>
      </c>
      <c r="D1405" s="126">
        <v>6</v>
      </c>
      <c r="E1405" s="126">
        <v>20</v>
      </c>
      <c r="F1405" s="126">
        <v>2</v>
      </c>
      <c r="G1405" s="126">
        <v>7</v>
      </c>
      <c r="H1405" s="126">
        <v>2016</v>
      </c>
      <c r="I1405" s="126">
        <v>2050</v>
      </c>
      <c r="J1405" s="127">
        <v>1.1200000000000001</v>
      </c>
      <c r="K1405" s="127">
        <v>1.0462</v>
      </c>
      <c r="L1405" s="127">
        <v>1.2771999999999999</v>
      </c>
      <c r="M1405" s="127">
        <v>1.1604000000000001</v>
      </c>
      <c r="N1405" s="127">
        <v>1.4438</v>
      </c>
      <c r="O1405" s="127">
        <v>1.0538000000000001</v>
      </c>
      <c r="P1405" s="126">
        <v>1495</v>
      </c>
      <c r="Q1405" s="128">
        <f t="array" ref="Q1405">SUM(IF(($S1405&gt;=4)*($C1405='TaxCred&amp;Subs'!$D$123:$D$127)*($H1405='TaxCred&amp;Subs'!$C$123:$C$127)*($H1405&lt;='TaxCred&amp;Subs'!$C$129),'TaxCred&amp;Subs'!$E$123:$E$127,0))</f>
        <v>0</v>
      </c>
      <c r="R1405" s="174">
        <v>0</v>
      </c>
      <c r="S1405" s="126">
        <v>3</v>
      </c>
      <c r="T1405" s="126" t="s">
        <v>247</v>
      </c>
      <c r="U1405" s="158"/>
      <c r="V1405" s="153" t="str">
        <f t="array" ref="V1405">INDEX(xlRTCLNAME,MATCH(1,(xlRTCLENDU=1)*(xlRTCLEQCL=$D1405),0))</f>
        <v>LPG_FA</v>
      </c>
      <c r="W1405" s="153" t="str">
        <f t="array" ref="W1405">INDEX(xlRTCLNAME,MATCH(1,(xlRTCLENDU=2)*(xlRTCLEQCL=$F1405),0))</f>
        <v>CENT_AIR</v>
      </c>
      <c r="X1405" s="153" t="str">
        <f t="array" ref="X1405">INDEX(xlRTTYNAME,MATCH(1,(xlRTTYENDU=1)*(xlRTTYEQCL=$D1405)*(xlRTEQTYPE=$E1405),0))</f>
        <v>LPG_FA3</v>
      </c>
      <c r="Y1405" s="153" t="str">
        <f t="array" ref="Y1405">INDEX(xlRTTYNAME,MATCH(1,(xlRTTYENDU=2)*(xlRTTYEQCL=$F1405)*(xlRTEQTYPE=$G1405),0))</f>
        <v>CENT_AIR3</v>
      </c>
    </row>
    <row r="1406" spans="2:25" ht="14.25" customHeight="1" x14ac:dyDescent="0.2">
      <c r="B1406" s="126">
        <v>8</v>
      </c>
      <c r="C1406" s="126">
        <v>2</v>
      </c>
      <c r="D1406" s="126">
        <v>6</v>
      </c>
      <c r="E1406" s="126">
        <v>20</v>
      </c>
      <c r="F1406" s="126">
        <v>2</v>
      </c>
      <c r="G1406" s="126">
        <v>7</v>
      </c>
      <c r="H1406" s="126">
        <v>2016</v>
      </c>
      <c r="I1406" s="126">
        <v>2050</v>
      </c>
      <c r="J1406" s="127">
        <v>1.0932999999999999</v>
      </c>
      <c r="K1406" s="127">
        <v>1.0323</v>
      </c>
      <c r="L1406" s="127">
        <v>1.0073000000000001</v>
      </c>
      <c r="M1406" s="127">
        <v>1.2739</v>
      </c>
      <c r="N1406" s="127">
        <v>1.2847999999999999</v>
      </c>
      <c r="O1406" s="127">
        <v>1.0538000000000001</v>
      </c>
      <c r="P1406" s="126">
        <v>2451</v>
      </c>
      <c r="Q1406" s="128">
        <f t="array" ref="Q1406">SUM(IF(($S1406&gt;=4)*($C1406='TaxCred&amp;Subs'!$D$123:$D$127)*($H1406='TaxCred&amp;Subs'!$C$123:$C$127)*($H1406&lt;='TaxCred&amp;Subs'!$C$129),'TaxCred&amp;Subs'!$E$123:$E$127,0))</f>
        <v>0</v>
      </c>
      <c r="R1406" s="174">
        <v>0</v>
      </c>
      <c r="S1406" s="126">
        <v>3</v>
      </c>
      <c r="T1406" s="126" t="s">
        <v>247</v>
      </c>
      <c r="U1406" s="158"/>
      <c r="V1406" s="153" t="str">
        <f t="array" ref="V1406">INDEX(xlRTCLNAME,MATCH(1,(xlRTCLENDU=1)*(xlRTCLEQCL=$D1406),0))</f>
        <v>LPG_FA</v>
      </c>
      <c r="W1406" s="153" t="str">
        <f t="array" ref="W1406">INDEX(xlRTCLNAME,MATCH(1,(xlRTCLENDU=2)*(xlRTCLEQCL=$F1406),0))</f>
        <v>CENT_AIR</v>
      </c>
      <c r="X1406" s="153" t="str">
        <f t="array" ref="X1406">INDEX(xlRTTYNAME,MATCH(1,(xlRTTYENDU=1)*(xlRTTYEQCL=$D1406)*(xlRTEQTYPE=$E1406),0))</f>
        <v>LPG_FA3</v>
      </c>
      <c r="Y1406" s="153" t="str">
        <f t="array" ref="Y1406">INDEX(xlRTTYNAME,MATCH(1,(xlRTTYENDU=2)*(xlRTTYEQCL=$F1406)*(xlRTEQTYPE=$G1406),0))</f>
        <v>CENT_AIR3</v>
      </c>
    </row>
    <row r="1407" spans="2:25" ht="14.25" customHeight="1" x14ac:dyDescent="0.2">
      <c r="B1407" s="126">
        <v>9</v>
      </c>
      <c r="C1407" s="126">
        <v>2</v>
      </c>
      <c r="D1407" s="126">
        <v>6</v>
      </c>
      <c r="E1407" s="126">
        <v>20</v>
      </c>
      <c r="F1407" s="126">
        <v>2</v>
      </c>
      <c r="G1407" s="126">
        <v>7</v>
      </c>
      <c r="H1407" s="126">
        <v>2016</v>
      </c>
      <c r="I1407" s="126">
        <v>2050</v>
      </c>
      <c r="J1407" s="127">
        <v>1.07</v>
      </c>
      <c r="K1407" s="127">
        <v>1.0541</v>
      </c>
      <c r="L1407" s="127">
        <v>0.81879999999999997</v>
      </c>
      <c r="M1407" s="127">
        <v>1.2</v>
      </c>
      <c r="N1407" s="127">
        <v>1.4438</v>
      </c>
      <c r="O1407" s="127">
        <v>1.0538000000000001</v>
      </c>
      <c r="P1407" s="126">
        <v>2153</v>
      </c>
      <c r="Q1407" s="128">
        <f t="array" ref="Q1407">SUM(IF(($S1407&gt;=4)*($C1407='TaxCred&amp;Subs'!$D$123:$D$127)*($H1407='TaxCred&amp;Subs'!$C$123:$C$127)*($H1407&lt;='TaxCred&amp;Subs'!$C$129),'TaxCred&amp;Subs'!$E$123:$E$127,0))</f>
        <v>0</v>
      </c>
      <c r="R1407" s="174">
        <v>0</v>
      </c>
      <c r="S1407" s="126">
        <v>3</v>
      </c>
      <c r="T1407" s="126" t="s">
        <v>247</v>
      </c>
      <c r="U1407" s="158"/>
      <c r="V1407" s="153" t="str">
        <f t="array" ref="V1407">INDEX(xlRTCLNAME,MATCH(1,(xlRTCLENDU=1)*(xlRTCLEQCL=$D1407),0))</f>
        <v>LPG_FA</v>
      </c>
      <c r="W1407" s="153" t="str">
        <f t="array" ref="W1407">INDEX(xlRTCLNAME,MATCH(1,(xlRTCLENDU=2)*(xlRTCLEQCL=$F1407),0))</f>
        <v>CENT_AIR</v>
      </c>
      <c r="X1407" s="153" t="str">
        <f t="array" ref="X1407">INDEX(xlRTTYNAME,MATCH(1,(xlRTTYENDU=1)*(xlRTTYEQCL=$D1407)*(xlRTEQTYPE=$E1407),0))</f>
        <v>LPG_FA3</v>
      </c>
      <c r="Y1407" s="153" t="str">
        <f t="array" ref="Y1407">INDEX(xlRTTYNAME,MATCH(1,(xlRTTYENDU=2)*(xlRTTYEQCL=$F1407)*(xlRTEQTYPE=$G1407),0))</f>
        <v>CENT_AIR3</v>
      </c>
    </row>
    <row r="1408" spans="2:25" ht="14.25" customHeight="1" x14ac:dyDescent="0.2">
      <c r="B1408" s="126">
        <v>1</v>
      </c>
      <c r="C1408" s="126">
        <v>2</v>
      </c>
      <c r="D1408" s="126">
        <v>7</v>
      </c>
      <c r="E1408" s="126">
        <v>24</v>
      </c>
      <c r="F1408" s="126">
        <v>2</v>
      </c>
      <c r="G1408" s="126">
        <v>7</v>
      </c>
      <c r="H1408" s="126">
        <v>2016</v>
      </c>
      <c r="I1408" s="126">
        <v>2050</v>
      </c>
      <c r="J1408" s="127">
        <v>1.0956999999999999</v>
      </c>
      <c r="K1408" s="127">
        <v>1.0417000000000001</v>
      </c>
      <c r="L1408" s="127">
        <v>0.92830000000000001</v>
      </c>
      <c r="M1408" s="127">
        <v>1.1455</v>
      </c>
      <c r="N1408" s="127">
        <v>1.1153</v>
      </c>
      <c r="O1408" s="127">
        <v>1.0538000000000001</v>
      </c>
      <c r="P1408" s="126">
        <v>3120</v>
      </c>
      <c r="Q1408" s="128">
        <f t="array" ref="Q1408">SUM(IF(($S1408&gt;=4)*($C1408='TaxCred&amp;Subs'!$D$123:$D$127)*($H1408='TaxCred&amp;Subs'!$C$123:$C$127)*($H1408&lt;='TaxCred&amp;Subs'!$C$129),'TaxCred&amp;Subs'!$E$123:$E$127,0))</f>
        <v>0</v>
      </c>
      <c r="R1408" s="174">
        <v>0</v>
      </c>
      <c r="S1408" s="126">
        <v>3</v>
      </c>
      <c r="T1408" s="126" t="s">
        <v>247</v>
      </c>
      <c r="U1408" s="158"/>
      <c r="V1408" s="153" t="str">
        <f t="array" ref="V1408">INDEX(xlRTCLNAME,MATCH(1,(xlRTCLENDU=1)*(xlRTCLEQCL=$D1408),0))</f>
        <v>DIST_FA</v>
      </c>
      <c r="W1408" s="153" t="str">
        <f t="array" ref="W1408">INDEX(xlRTCLNAME,MATCH(1,(xlRTCLENDU=2)*(xlRTCLEQCL=$F1408),0))</f>
        <v>CENT_AIR</v>
      </c>
      <c r="X1408" s="153" t="str">
        <f t="array" ref="X1408">INDEX(xlRTTYNAME,MATCH(1,(xlRTTYENDU=1)*(xlRTTYEQCL=$D1408)*(xlRTEQTYPE=$E1408),0))</f>
        <v>DIST_FA3</v>
      </c>
      <c r="Y1408" s="153" t="str">
        <f t="array" ref="Y1408">INDEX(xlRTTYNAME,MATCH(1,(xlRTTYENDU=2)*(xlRTTYEQCL=$F1408)*(xlRTEQTYPE=$G1408),0))</f>
        <v>CENT_AIR3</v>
      </c>
    </row>
    <row r="1409" spans="2:25" ht="14.25" customHeight="1" x14ac:dyDescent="0.2">
      <c r="B1409" s="126">
        <v>2</v>
      </c>
      <c r="C1409" s="126">
        <v>2</v>
      </c>
      <c r="D1409" s="126">
        <v>7</v>
      </c>
      <c r="E1409" s="126">
        <v>24</v>
      </c>
      <c r="F1409" s="126">
        <v>2</v>
      </c>
      <c r="G1409" s="126">
        <v>7</v>
      </c>
      <c r="H1409" s="126">
        <v>2016</v>
      </c>
      <c r="I1409" s="126">
        <v>2050</v>
      </c>
      <c r="J1409" s="127">
        <v>1.1059000000000001</v>
      </c>
      <c r="K1409" s="127">
        <v>1.0357000000000001</v>
      </c>
      <c r="L1409" s="127">
        <v>0.85799999999999998</v>
      </c>
      <c r="M1409" s="127">
        <v>1.1625000000000001</v>
      </c>
      <c r="N1409" s="127">
        <v>1.1176999999999999</v>
      </c>
      <c r="O1409" s="127">
        <v>1.0538000000000001</v>
      </c>
      <c r="P1409" s="126">
        <v>2315</v>
      </c>
      <c r="Q1409" s="128">
        <f t="array" ref="Q1409">SUM(IF(($S1409&gt;=4)*($C1409='TaxCred&amp;Subs'!$D$123:$D$127)*($H1409='TaxCred&amp;Subs'!$C$123:$C$127)*($H1409&lt;='TaxCred&amp;Subs'!$C$129),'TaxCred&amp;Subs'!$E$123:$E$127,0))</f>
        <v>0</v>
      </c>
      <c r="R1409" s="174">
        <v>0</v>
      </c>
      <c r="S1409" s="126">
        <v>3</v>
      </c>
      <c r="T1409" s="126" t="s">
        <v>247</v>
      </c>
      <c r="U1409" s="158"/>
      <c r="V1409" s="153" t="str">
        <f t="array" ref="V1409">INDEX(xlRTCLNAME,MATCH(1,(xlRTCLENDU=1)*(xlRTCLEQCL=$D1409),0))</f>
        <v>DIST_FA</v>
      </c>
      <c r="W1409" s="153" t="str">
        <f t="array" ref="W1409">INDEX(xlRTCLNAME,MATCH(1,(xlRTCLENDU=2)*(xlRTCLEQCL=$F1409),0))</f>
        <v>CENT_AIR</v>
      </c>
      <c r="X1409" s="153" t="str">
        <f t="array" ref="X1409">INDEX(xlRTTYNAME,MATCH(1,(xlRTTYENDU=1)*(xlRTTYEQCL=$D1409)*(xlRTEQTYPE=$E1409),0))</f>
        <v>DIST_FA3</v>
      </c>
      <c r="Y1409" s="153" t="str">
        <f t="array" ref="Y1409">INDEX(xlRTTYNAME,MATCH(1,(xlRTTYENDU=2)*(xlRTTYEQCL=$F1409)*(xlRTEQTYPE=$G1409),0))</f>
        <v>CENT_AIR3</v>
      </c>
    </row>
    <row r="1410" spans="2:25" ht="14.25" customHeight="1" x14ac:dyDescent="0.2">
      <c r="B1410" s="126">
        <v>3</v>
      </c>
      <c r="C1410" s="126">
        <v>2</v>
      </c>
      <c r="D1410" s="126">
        <v>7</v>
      </c>
      <c r="E1410" s="126">
        <v>24</v>
      </c>
      <c r="F1410" s="126">
        <v>2</v>
      </c>
      <c r="G1410" s="126">
        <v>7</v>
      </c>
      <c r="H1410" s="126">
        <v>2016</v>
      </c>
      <c r="I1410" s="126">
        <v>2050</v>
      </c>
      <c r="J1410" s="127">
        <v>1.099</v>
      </c>
      <c r="K1410" s="127">
        <v>1.03</v>
      </c>
      <c r="L1410" s="127">
        <v>0.83350000000000002</v>
      </c>
      <c r="M1410" s="127">
        <v>1.0828</v>
      </c>
      <c r="N1410" s="127">
        <v>1.0381</v>
      </c>
      <c r="O1410" s="127">
        <v>1.0538000000000001</v>
      </c>
      <c r="P1410" s="126">
        <v>2657</v>
      </c>
      <c r="Q1410" s="128">
        <f t="array" ref="Q1410">SUM(IF(($S1410&gt;=4)*($C1410='TaxCred&amp;Subs'!$D$123:$D$127)*($H1410='TaxCred&amp;Subs'!$C$123:$C$127)*($H1410&lt;='TaxCred&amp;Subs'!$C$129),'TaxCred&amp;Subs'!$E$123:$E$127,0))</f>
        <v>0</v>
      </c>
      <c r="R1410" s="174">
        <v>0</v>
      </c>
      <c r="S1410" s="126">
        <v>3</v>
      </c>
      <c r="T1410" s="126" t="s">
        <v>247</v>
      </c>
      <c r="U1410" s="158"/>
      <c r="V1410" s="153" t="str">
        <f t="array" ref="V1410">INDEX(xlRTCLNAME,MATCH(1,(xlRTCLENDU=1)*(xlRTCLEQCL=$D1410),0))</f>
        <v>DIST_FA</v>
      </c>
      <c r="W1410" s="153" t="str">
        <f t="array" ref="W1410">INDEX(xlRTCLNAME,MATCH(1,(xlRTCLENDU=2)*(xlRTCLEQCL=$F1410),0))</f>
        <v>CENT_AIR</v>
      </c>
      <c r="X1410" s="153" t="str">
        <f t="array" ref="X1410">INDEX(xlRTTYNAME,MATCH(1,(xlRTTYENDU=1)*(xlRTTYEQCL=$D1410)*(xlRTEQTYPE=$E1410),0))</f>
        <v>DIST_FA3</v>
      </c>
      <c r="Y1410" s="153" t="str">
        <f t="array" ref="Y1410">INDEX(xlRTTYNAME,MATCH(1,(xlRTTYENDU=2)*(xlRTTYEQCL=$F1410)*(xlRTEQTYPE=$G1410),0))</f>
        <v>CENT_AIR3</v>
      </c>
    </row>
    <row r="1411" spans="2:25" ht="14.25" customHeight="1" x14ac:dyDescent="0.2">
      <c r="B1411" s="126">
        <v>4</v>
      </c>
      <c r="C1411" s="126">
        <v>2</v>
      </c>
      <c r="D1411" s="126">
        <v>7</v>
      </c>
      <c r="E1411" s="126">
        <v>24</v>
      </c>
      <c r="F1411" s="126">
        <v>2</v>
      </c>
      <c r="G1411" s="126">
        <v>7</v>
      </c>
      <c r="H1411" s="126">
        <v>2016</v>
      </c>
      <c r="I1411" s="126">
        <v>2050</v>
      </c>
      <c r="J1411" s="127">
        <v>1.0934999999999999</v>
      </c>
      <c r="K1411" s="127">
        <v>1.0435000000000001</v>
      </c>
      <c r="L1411" s="127">
        <v>0.84930000000000005</v>
      </c>
      <c r="M1411" s="127">
        <v>1.1499999999999999</v>
      </c>
      <c r="N1411" s="127">
        <v>1.1696</v>
      </c>
      <c r="O1411" s="127">
        <v>1.0538000000000001</v>
      </c>
      <c r="P1411" s="126">
        <v>2342</v>
      </c>
      <c r="Q1411" s="128">
        <f t="array" ref="Q1411">SUM(IF(($S1411&gt;=4)*($C1411='TaxCred&amp;Subs'!$D$123:$D$127)*($H1411='TaxCred&amp;Subs'!$C$123:$C$127)*($H1411&lt;='TaxCred&amp;Subs'!$C$129),'TaxCred&amp;Subs'!$E$123:$E$127,0))</f>
        <v>0</v>
      </c>
      <c r="R1411" s="174">
        <v>0</v>
      </c>
      <c r="S1411" s="126">
        <v>3</v>
      </c>
      <c r="T1411" s="126" t="s">
        <v>247</v>
      </c>
      <c r="U1411" s="158"/>
      <c r="V1411" s="153" t="str">
        <f t="array" ref="V1411">INDEX(xlRTCLNAME,MATCH(1,(xlRTCLENDU=1)*(xlRTCLEQCL=$D1411),0))</f>
        <v>DIST_FA</v>
      </c>
      <c r="W1411" s="153" t="str">
        <f t="array" ref="W1411">INDEX(xlRTCLNAME,MATCH(1,(xlRTCLENDU=2)*(xlRTCLEQCL=$F1411),0))</f>
        <v>CENT_AIR</v>
      </c>
      <c r="X1411" s="153" t="str">
        <f t="array" ref="X1411">INDEX(xlRTTYNAME,MATCH(1,(xlRTTYENDU=1)*(xlRTTYEQCL=$D1411)*(xlRTEQTYPE=$E1411),0))</f>
        <v>DIST_FA3</v>
      </c>
      <c r="Y1411" s="153" t="str">
        <f t="array" ref="Y1411">INDEX(xlRTTYNAME,MATCH(1,(xlRTTYENDU=2)*(xlRTTYEQCL=$F1411)*(xlRTEQTYPE=$G1411),0))</f>
        <v>CENT_AIR3</v>
      </c>
    </row>
    <row r="1412" spans="2:25" ht="14.25" customHeight="1" x14ac:dyDescent="0.2">
      <c r="B1412" s="126">
        <v>5</v>
      </c>
      <c r="C1412" s="126">
        <v>2</v>
      </c>
      <c r="D1412" s="126">
        <v>7</v>
      </c>
      <c r="E1412" s="126">
        <v>24</v>
      </c>
      <c r="F1412" s="126">
        <v>2</v>
      </c>
      <c r="G1412" s="126">
        <v>7</v>
      </c>
      <c r="H1412" s="126">
        <v>2016</v>
      </c>
      <c r="I1412" s="126">
        <v>2050</v>
      </c>
      <c r="J1412" s="127">
        <v>1.1200000000000001</v>
      </c>
      <c r="K1412" s="127">
        <v>1.0391999999999999</v>
      </c>
      <c r="L1412" s="127">
        <v>0.53759999999999997</v>
      </c>
      <c r="M1412" s="127">
        <v>1.1097999999999999</v>
      </c>
      <c r="N1412" s="127">
        <v>1.2595000000000001</v>
      </c>
      <c r="O1412" s="127">
        <v>1.0538000000000001</v>
      </c>
      <c r="P1412" s="126">
        <v>2051</v>
      </c>
      <c r="Q1412" s="128">
        <f t="array" ref="Q1412">SUM(IF(($S1412&gt;=4)*($C1412='TaxCred&amp;Subs'!$D$123:$D$127)*($H1412='TaxCred&amp;Subs'!$C$123:$C$127)*($H1412&lt;='TaxCred&amp;Subs'!$C$129),'TaxCred&amp;Subs'!$E$123:$E$127,0))</f>
        <v>0</v>
      </c>
      <c r="R1412" s="174">
        <v>0</v>
      </c>
      <c r="S1412" s="126">
        <v>3</v>
      </c>
      <c r="T1412" s="126" t="s">
        <v>247</v>
      </c>
      <c r="U1412" s="158"/>
      <c r="V1412" s="153" t="str">
        <f t="array" ref="V1412">INDEX(xlRTCLNAME,MATCH(1,(xlRTCLENDU=1)*(xlRTCLEQCL=$D1412),0))</f>
        <v>DIST_FA</v>
      </c>
      <c r="W1412" s="153" t="str">
        <f t="array" ref="W1412">INDEX(xlRTCLNAME,MATCH(1,(xlRTCLENDU=2)*(xlRTCLEQCL=$F1412),0))</f>
        <v>CENT_AIR</v>
      </c>
      <c r="X1412" s="153" t="str">
        <f t="array" ref="X1412">INDEX(xlRTTYNAME,MATCH(1,(xlRTTYENDU=1)*(xlRTTYEQCL=$D1412)*(xlRTEQTYPE=$E1412),0))</f>
        <v>DIST_FA3</v>
      </c>
      <c r="Y1412" s="153" t="str">
        <f t="array" ref="Y1412">INDEX(xlRTTYNAME,MATCH(1,(xlRTTYENDU=2)*(xlRTTYEQCL=$F1412)*(xlRTEQTYPE=$G1412),0))</f>
        <v>CENT_AIR3</v>
      </c>
    </row>
    <row r="1413" spans="2:25" ht="14.25" customHeight="1" x14ac:dyDescent="0.2">
      <c r="B1413" s="126">
        <v>6</v>
      </c>
      <c r="C1413" s="126">
        <v>2</v>
      </c>
      <c r="D1413" s="126">
        <v>7</v>
      </c>
      <c r="E1413" s="126">
        <v>24</v>
      </c>
      <c r="F1413" s="126">
        <v>2</v>
      </c>
      <c r="G1413" s="126">
        <v>7</v>
      </c>
      <c r="H1413" s="126">
        <v>2016</v>
      </c>
      <c r="I1413" s="126">
        <v>2050</v>
      </c>
      <c r="J1413" s="127">
        <v>1.1200000000000001</v>
      </c>
      <c r="K1413" s="127">
        <v>1.03</v>
      </c>
      <c r="L1413" s="127">
        <v>0.92659999999999998</v>
      </c>
      <c r="M1413" s="127">
        <v>1.1455</v>
      </c>
      <c r="N1413" s="127">
        <v>1.3381000000000001</v>
      </c>
      <c r="O1413" s="127">
        <v>1.0538000000000001</v>
      </c>
      <c r="P1413" s="126">
        <v>2260</v>
      </c>
      <c r="Q1413" s="128">
        <f t="array" ref="Q1413">SUM(IF(($S1413&gt;=4)*($C1413='TaxCred&amp;Subs'!$D$123:$D$127)*($H1413='TaxCred&amp;Subs'!$C$123:$C$127)*($H1413&lt;='TaxCred&amp;Subs'!$C$129),'TaxCred&amp;Subs'!$E$123:$E$127,0))</f>
        <v>0</v>
      </c>
      <c r="R1413" s="174">
        <v>0</v>
      </c>
      <c r="S1413" s="126">
        <v>3</v>
      </c>
      <c r="T1413" s="126" t="s">
        <v>247</v>
      </c>
      <c r="U1413" s="158"/>
      <c r="V1413" s="153" t="str">
        <f t="array" ref="V1413">INDEX(xlRTCLNAME,MATCH(1,(xlRTCLENDU=1)*(xlRTCLEQCL=$D1413),0))</f>
        <v>DIST_FA</v>
      </c>
      <c r="W1413" s="153" t="str">
        <f t="array" ref="W1413">INDEX(xlRTCLNAME,MATCH(1,(xlRTCLENDU=2)*(xlRTCLEQCL=$F1413),0))</f>
        <v>CENT_AIR</v>
      </c>
      <c r="X1413" s="153" t="str">
        <f t="array" ref="X1413">INDEX(xlRTTYNAME,MATCH(1,(xlRTTYENDU=1)*(xlRTTYEQCL=$D1413)*(xlRTEQTYPE=$E1413),0))</f>
        <v>DIST_FA3</v>
      </c>
      <c r="Y1413" s="153" t="str">
        <f t="array" ref="Y1413">INDEX(xlRTTYNAME,MATCH(1,(xlRTTYENDU=2)*(xlRTTYEQCL=$F1413)*(xlRTEQTYPE=$G1413),0))</f>
        <v>CENT_AIR3</v>
      </c>
    </row>
    <row r="1414" spans="2:25" ht="14.25" customHeight="1" x14ac:dyDescent="0.2">
      <c r="B1414" s="126">
        <v>7</v>
      </c>
      <c r="C1414" s="126">
        <v>2</v>
      </c>
      <c r="D1414" s="126">
        <v>7</v>
      </c>
      <c r="E1414" s="126">
        <v>24</v>
      </c>
      <c r="F1414" s="126">
        <v>2</v>
      </c>
      <c r="G1414" s="126">
        <v>7</v>
      </c>
      <c r="H1414" s="126">
        <v>2016</v>
      </c>
      <c r="I1414" s="126">
        <v>2050</v>
      </c>
      <c r="J1414" s="127">
        <v>1.1200000000000001</v>
      </c>
      <c r="K1414" s="127">
        <v>1.0476000000000001</v>
      </c>
      <c r="L1414" s="127">
        <v>0.7772</v>
      </c>
      <c r="M1414" s="127">
        <v>1.1516999999999999</v>
      </c>
      <c r="N1414" s="127">
        <v>1.4438</v>
      </c>
      <c r="O1414" s="127">
        <v>1.0538000000000001</v>
      </c>
      <c r="P1414" s="126">
        <v>1512</v>
      </c>
      <c r="Q1414" s="128">
        <f t="array" ref="Q1414">SUM(IF(($S1414&gt;=4)*($C1414='TaxCred&amp;Subs'!$D$123:$D$127)*($H1414='TaxCred&amp;Subs'!$C$123:$C$127)*($H1414&lt;='TaxCred&amp;Subs'!$C$129),'TaxCred&amp;Subs'!$E$123:$E$127,0))</f>
        <v>0</v>
      </c>
      <c r="R1414" s="174">
        <v>0</v>
      </c>
      <c r="S1414" s="126">
        <v>3</v>
      </c>
      <c r="T1414" s="126" t="s">
        <v>247</v>
      </c>
      <c r="U1414" s="158"/>
      <c r="V1414" s="153" t="str">
        <f t="array" ref="V1414">INDEX(xlRTCLNAME,MATCH(1,(xlRTCLENDU=1)*(xlRTCLEQCL=$D1414),0))</f>
        <v>DIST_FA</v>
      </c>
      <c r="W1414" s="153" t="str">
        <f t="array" ref="W1414">INDEX(xlRTCLNAME,MATCH(1,(xlRTCLENDU=2)*(xlRTCLEQCL=$F1414),0))</f>
        <v>CENT_AIR</v>
      </c>
      <c r="X1414" s="153" t="str">
        <f t="array" ref="X1414">INDEX(xlRTTYNAME,MATCH(1,(xlRTTYENDU=1)*(xlRTTYEQCL=$D1414)*(xlRTEQTYPE=$E1414),0))</f>
        <v>DIST_FA3</v>
      </c>
      <c r="Y1414" s="153" t="str">
        <f t="array" ref="Y1414">INDEX(xlRTTYNAME,MATCH(1,(xlRTTYENDU=2)*(xlRTTYEQCL=$F1414)*(xlRTEQTYPE=$G1414),0))</f>
        <v>CENT_AIR3</v>
      </c>
    </row>
    <row r="1415" spans="2:25" ht="14.25" customHeight="1" x14ac:dyDescent="0.2">
      <c r="B1415" s="126">
        <v>8</v>
      </c>
      <c r="C1415" s="126">
        <v>2</v>
      </c>
      <c r="D1415" s="126">
        <v>7</v>
      </c>
      <c r="E1415" s="126">
        <v>24</v>
      </c>
      <c r="F1415" s="126">
        <v>2</v>
      </c>
      <c r="G1415" s="126">
        <v>7</v>
      </c>
      <c r="H1415" s="126">
        <v>2016</v>
      </c>
      <c r="I1415" s="126">
        <v>2050</v>
      </c>
      <c r="J1415" s="127">
        <v>1.1064000000000001</v>
      </c>
      <c r="K1415" s="127">
        <v>1.0645</v>
      </c>
      <c r="L1415" s="127">
        <v>0.80669999999999997</v>
      </c>
      <c r="M1415" s="127">
        <v>1.2739</v>
      </c>
      <c r="N1415" s="127">
        <v>1.2826</v>
      </c>
      <c r="O1415" s="127">
        <v>1.0538000000000001</v>
      </c>
      <c r="P1415" s="126">
        <v>2501</v>
      </c>
      <c r="Q1415" s="128">
        <f t="array" ref="Q1415">SUM(IF(($S1415&gt;=4)*($C1415='TaxCred&amp;Subs'!$D$123:$D$127)*($H1415='TaxCred&amp;Subs'!$C$123:$C$127)*($H1415&lt;='TaxCred&amp;Subs'!$C$129),'TaxCred&amp;Subs'!$E$123:$E$127,0))</f>
        <v>0</v>
      </c>
      <c r="R1415" s="174">
        <v>0</v>
      </c>
      <c r="S1415" s="126">
        <v>3</v>
      </c>
      <c r="T1415" s="126" t="s">
        <v>247</v>
      </c>
      <c r="U1415" s="158"/>
      <c r="V1415" s="153" t="str">
        <f t="array" ref="V1415">INDEX(xlRTCLNAME,MATCH(1,(xlRTCLENDU=1)*(xlRTCLEQCL=$D1415),0))</f>
        <v>DIST_FA</v>
      </c>
      <c r="W1415" s="153" t="str">
        <f t="array" ref="W1415">INDEX(xlRTCLNAME,MATCH(1,(xlRTCLENDU=2)*(xlRTCLEQCL=$F1415),0))</f>
        <v>CENT_AIR</v>
      </c>
      <c r="X1415" s="153" t="str">
        <f t="array" ref="X1415">INDEX(xlRTTYNAME,MATCH(1,(xlRTTYENDU=1)*(xlRTTYEQCL=$D1415)*(xlRTEQTYPE=$E1415),0))</f>
        <v>DIST_FA3</v>
      </c>
      <c r="Y1415" s="153" t="str">
        <f t="array" ref="Y1415">INDEX(xlRTTYNAME,MATCH(1,(xlRTTYENDU=2)*(xlRTTYEQCL=$F1415)*(xlRTEQTYPE=$G1415),0))</f>
        <v>CENT_AIR3</v>
      </c>
    </row>
    <row r="1416" spans="2:25" ht="14.25" customHeight="1" x14ac:dyDescent="0.2">
      <c r="B1416" s="126">
        <v>9</v>
      </c>
      <c r="C1416" s="126">
        <v>2</v>
      </c>
      <c r="D1416" s="126">
        <v>7</v>
      </c>
      <c r="E1416" s="126">
        <v>24</v>
      </c>
      <c r="F1416" s="126">
        <v>2</v>
      </c>
      <c r="G1416" s="126">
        <v>7</v>
      </c>
      <c r="H1416" s="126">
        <v>2016</v>
      </c>
      <c r="I1416" s="126">
        <v>2050</v>
      </c>
      <c r="J1416" s="127">
        <v>1.03</v>
      </c>
      <c r="K1416" s="127">
        <v>1.0556000000000001</v>
      </c>
      <c r="L1416" s="127">
        <v>0.44379999999999997</v>
      </c>
      <c r="M1416" s="127">
        <v>1.2</v>
      </c>
      <c r="N1416" s="127">
        <v>1.4438</v>
      </c>
      <c r="O1416" s="127">
        <v>1.0538000000000001</v>
      </c>
      <c r="P1416" s="126">
        <v>2576</v>
      </c>
      <c r="Q1416" s="128">
        <f t="array" ref="Q1416">SUM(IF(($S1416&gt;=4)*($C1416='TaxCred&amp;Subs'!$D$123:$D$127)*($H1416='TaxCred&amp;Subs'!$C$123:$C$127)*($H1416&lt;='TaxCred&amp;Subs'!$C$129),'TaxCred&amp;Subs'!$E$123:$E$127,0))</f>
        <v>0</v>
      </c>
      <c r="R1416" s="174">
        <v>0</v>
      </c>
      <c r="S1416" s="126">
        <v>3</v>
      </c>
      <c r="T1416" s="126" t="s">
        <v>247</v>
      </c>
      <c r="U1416" s="158"/>
      <c r="V1416" s="153" t="str">
        <f t="array" ref="V1416">INDEX(xlRTCLNAME,MATCH(1,(xlRTCLENDU=1)*(xlRTCLEQCL=$D1416),0))</f>
        <v>DIST_FA</v>
      </c>
      <c r="W1416" s="153" t="str">
        <f t="array" ref="W1416">INDEX(xlRTCLNAME,MATCH(1,(xlRTCLENDU=2)*(xlRTCLEQCL=$F1416),0))</f>
        <v>CENT_AIR</v>
      </c>
      <c r="X1416" s="153" t="str">
        <f t="array" ref="X1416">INDEX(xlRTTYNAME,MATCH(1,(xlRTTYENDU=1)*(xlRTTYEQCL=$D1416)*(xlRTEQTYPE=$E1416),0))</f>
        <v>DIST_FA3</v>
      </c>
      <c r="Y1416" s="153" t="str">
        <f t="array" ref="Y1416">INDEX(xlRTTYNAME,MATCH(1,(xlRTTYENDU=2)*(xlRTTYEQCL=$F1416)*(xlRTEQTYPE=$G1416),0))</f>
        <v>CENT_AIR3</v>
      </c>
    </row>
    <row r="1417" spans="2:25" ht="14.25" customHeight="1" x14ac:dyDescent="0.2">
      <c r="B1417" s="126">
        <v>1</v>
      </c>
      <c r="C1417" s="126">
        <v>2</v>
      </c>
      <c r="D1417" s="126">
        <v>8</v>
      </c>
      <c r="E1417" s="126">
        <v>28</v>
      </c>
      <c r="F1417" s="126">
        <v>2</v>
      </c>
      <c r="G1417" s="126">
        <v>7</v>
      </c>
      <c r="H1417" s="126">
        <v>2016</v>
      </c>
      <c r="I1417" s="126">
        <v>2050</v>
      </c>
      <c r="J1417" s="127">
        <v>1.0864</v>
      </c>
      <c r="K1417" s="127">
        <v>1.0417000000000001</v>
      </c>
      <c r="L1417" s="127">
        <v>1.0046999999999999</v>
      </c>
      <c r="M1417" s="127">
        <v>1.1455</v>
      </c>
      <c r="N1417" s="127">
        <v>1.1156999999999999</v>
      </c>
      <c r="O1417" s="127">
        <v>1.0538000000000001</v>
      </c>
      <c r="P1417" s="126">
        <v>3089</v>
      </c>
      <c r="Q1417" s="128">
        <f t="array" ref="Q1417">SUM(IF(($S1417&gt;=4)*($C1417='TaxCred&amp;Subs'!$D$123:$D$127)*($H1417='TaxCred&amp;Subs'!$C$123:$C$127)*($H1417&lt;='TaxCred&amp;Subs'!$C$129),'TaxCred&amp;Subs'!$E$123:$E$127,0))</f>
        <v>0</v>
      </c>
      <c r="R1417" s="174">
        <v>0</v>
      </c>
      <c r="S1417" s="126">
        <v>3</v>
      </c>
      <c r="T1417" s="126" t="s">
        <v>247</v>
      </c>
      <c r="U1417" s="158"/>
      <c r="V1417" s="153" t="str">
        <f t="array" ref="V1417">INDEX(xlRTCLNAME,MATCH(1,(xlRTCLENDU=1)*(xlRTCLEQCL=$D1417),0))</f>
        <v>DIST_RAD</v>
      </c>
      <c r="W1417" s="153" t="str">
        <f t="array" ref="W1417">INDEX(xlRTCLNAME,MATCH(1,(xlRTCLENDU=2)*(xlRTCLEQCL=$F1417),0))</f>
        <v>CENT_AIR</v>
      </c>
      <c r="X1417" s="153" t="str">
        <f t="array" ref="X1417">INDEX(xlRTTYNAME,MATCH(1,(xlRTTYENDU=1)*(xlRTTYEQCL=$D1417)*(xlRTEQTYPE=$E1417),0))</f>
        <v>DIST_RAD3</v>
      </c>
      <c r="Y1417" s="153" t="str">
        <f t="array" ref="Y1417">INDEX(xlRTTYNAME,MATCH(1,(xlRTTYENDU=2)*(xlRTTYEQCL=$F1417)*(xlRTEQTYPE=$G1417),0))</f>
        <v>CENT_AIR3</v>
      </c>
    </row>
    <row r="1418" spans="2:25" ht="14.25" customHeight="1" x14ac:dyDescent="0.2">
      <c r="B1418" s="126">
        <v>2</v>
      </c>
      <c r="C1418" s="126">
        <v>2</v>
      </c>
      <c r="D1418" s="126">
        <v>8</v>
      </c>
      <c r="E1418" s="126">
        <v>28</v>
      </c>
      <c r="F1418" s="126">
        <v>2</v>
      </c>
      <c r="G1418" s="126">
        <v>7</v>
      </c>
      <c r="H1418" s="126">
        <v>2016</v>
      </c>
      <c r="I1418" s="126">
        <v>2050</v>
      </c>
      <c r="J1418" s="127">
        <v>1.0891</v>
      </c>
      <c r="K1418" s="127">
        <v>1.0713999999999999</v>
      </c>
      <c r="L1418" s="127">
        <v>1.0127999999999999</v>
      </c>
      <c r="M1418" s="127">
        <v>1.1834</v>
      </c>
      <c r="N1418" s="127">
        <v>1.1254999999999999</v>
      </c>
      <c r="O1418" s="127">
        <v>1.0538000000000001</v>
      </c>
      <c r="P1418" s="126">
        <v>2260</v>
      </c>
      <c r="Q1418" s="128">
        <f t="array" ref="Q1418">SUM(IF(($S1418&gt;=4)*($C1418='TaxCred&amp;Subs'!$D$123:$D$127)*($H1418='TaxCred&amp;Subs'!$C$123:$C$127)*($H1418&lt;='TaxCred&amp;Subs'!$C$129),'TaxCred&amp;Subs'!$E$123:$E$127,0))</f>
        <v>0</v>
      </c>
      <c r="R1418" s="174">
        <v>0</v>
      </c>
      <c r="S1418" s="126">
        <v>3</v>
      </c>
      <c r="T1418" s="126" t="s">
        <v>247</v>
      </c>
      <c r="U1418" s="158"/>
      <c r="V1418" s="153" t="str">
        <f t="array" ref="V1418">INDEX(xlRTCLNAME,MATCH(1,(xlRTCLENDU=1)*(xlRTCLEQCL=$D1418),0))</f>
        <v>DIST_RAD</v>
      </c>
      <c r="W1418" s="153" t="str">
        <f t="array" ref="W1418">INDEX(xlRTCLNAME,MATCH(1,(xlRTCLENDU=2)*(xlRTCLEQCL=$F1418),0))</f>
        <v>CENT_AIR</v>
      </c>
      <c r="X1418" s="153" t="str">
        <f t="array" ref="X1418">INDEX(xlRTTYNAME,MATCH(1,(xlRTTYENDU=1)*(xlRTTYEQCL=$D1418)*(xlRTEQTYPE=$E1418),0))</f>
        <v>DIST_RAD3</v>
      </c>
      <c r="Y1418" s="153" t="str">
        <f t="array" ref="Y1418">INDEX(xlRTTYNAME,MATCH(1,(xlRTTYENDU=2)*(xlRTTYEQCL=$F1418)*(xlRTEQTYPE=$G1418),0))</f>
        <v>CENT_AIR3</v>
      </c>
    </row>
    <row r="1419" spans="2:25" ht="14.25" customHeight="1" x14ac:dyDescent="0.2">
      <c r="B1419" s="126">
        <v>3</v>
      </c>
      <c r="C1419" s="126">
        <v>2</v>
      </c>
      <c r="D1419" s="126">
        <v>8</v>
      </c>
      <c r="E1419" s="126">
        <v>28</v>
      </c>
      <c r="F1419" s="126">
        <v>2</v>
      </c>
      <c r="G1419" s="126">
        <v>7</v>
      </c>
      <c r="H1419" s="126">
        <v>2016</v>
      </c>
      <c r="I1419" s="126">
        <v>2050</v>
      </c>
      <c r="J1419" s="127">
        <v>1.0962000000000001</v>
      </c>
      <c r="K1419" s="127">
        <v>1.0345</v>
      </c>
      <c r="L1419" s="127">
        <v>0.83919999999999995</v>
      </c>
      <c r="M1419" s="127">
        <v>1.0828</v>
      </c>
      <c r="N1419" s="127">
        <v>1.0417000000000001</v>
      </c>
      <c r="O1419" s="127">
        <v>1.0538000000000001</v>
      </c>
      <c r="P1419" s="126">
        <v>2657</v>
      </c>
      <c r="Q1419" s="128">
        <f t="array" ref="Q1419">SUM(IF(($S1419&gt;=4)*($C1419='TaxCred&amp;Subs'!$D$123:$D$127)*($H1419='TaxCred&amp;Subs'!$C$123:$C$127)*($H1419&lt;='TaxCred&amp;Subs'!$C$129),'TaxCred&amp;Subs'!$E$123:$E$127,0))</f>
        <v>0</v>
      </c>
      <c r="R1419" s="174">
        <v>0</v>
      </c>
      <c r="S1419" s="126">
        <v>3</v>
      </c>
      <c r="T1419" s="126" t="s">
        <v>247</v>
      </c>
      <c r="U1419" s="158"/>
      <c r="V1419" s="153" t="str">
        <f t="array" ref="V1419">INDEX(xlRTCLNAME,MATCH(1,(xlRTCLENDU=1)*(xlRTCLEQCL=$D1419),0))</f>
        <v>DIST_RAD</v>
      </c>
      <c r="W1419" s="153" t="str">
        <f t="array" ref="W1419">INDEX(xlRTCLNAME,MATCH(1,(xlRTCLENDU=2)*(xlRTCLEQCL=$F1419),0))</f>
        <v>CENT_AIR</v>
      </c>
      <c r="X1419" s="153" t="str">
        <f t="array" ref="X1419">INDEX(xlRTTYNAME,MATCH(1,(xlRTTYENDU=1)*(xlRTTYEQCL=$D1419)*(xlRTEQTYPE=$E1419),0))</f>
        <v>DIST_RAD3</v>
      </c>
      <c r="Y1419" s="153" t="str">
        <f t="array" ref="Y1419">INDEX(xlRTTYNAME,MATCH(1,(xlRTTYENDU=2)*(xlRTTYEQCL=$F1419)*(xlRTEQTYPE=$G1419),0))</f>
        <v>CENT_AIR3</v>
      </c>
    </row>
    <row r="1420" spans="2:25" ht="14.25" customHeight="1" x14ac:dyDescent="0.2">
      <c r="B1420" s="126">
        <v>4</v>
      </c>
      <c r="C1420" s="126">
        <v>2</v>
      </c>
      <c r="D1420" s="126">
        <v>8</v>
      </c>
      <c r="E1420" s="126">
        <v>28</v>
      </c>
      <c r="F1420" s="126">
        <v>2</v>
      </c>
      <c r="G1420" s="126">
        <v>7</v>
      </c>
      <c r="H1420" s="126">
        <v>2016</v>
      </c>
      <c r="I1420" s="126">
        <v>2050</v>
      </c>
      <c r="J1420" s="127">
        <v>1.1024</v>
      </c>
      <c r="K1420" s="127">
        <v>1.0435000000000001</v>
      </c>
      <c r="L1420" s="127">
        <v>0.99209999999999998</v>
      </c>
      <c r="M1420" s="127">
        <v>1.1499999999999999</v>
      </c>
      <c r="N1420" s="127">
        <v>1.1678999999999999</v>
      </c>
      <c r="O1420" s="127">
        <v>1.0538000000000001</v>
      </c>
      <c r="P1420" s="126">
        <v>2300</v>
      </c>
      <c r="Q1420" s="128">
        <f t="array" ref="Q1420">SUM(IF(($S1420&gt;=4)*($C1420='TaxCred&amp;Subs'!$D$123:$D$127)*($H1420='TaxCred&amp;Subs'!$C$123:$C$127)*($H1420&lt;='TaxCred&amp;Subs'!$C$129),'TaxCred&amp;Subs'!$E$123:$E$127,0))</f>
        <v>0</v>
      </c>
      <c r="R1420" s="174">
        <v>0</v>
      </c>
      <c r="S1420" s="126">
        <v>3</v>
      </c>
      <c r="T1420" s="126" t="s">
        <v>247</v>
      </c>
      <c r="U1420" s="158"/>
      <c r="V1420" s="153" t="str">
        <f t="array" ref="V1420">INDEX(xlRTCLNAME,MATCH(1,(xlRTCLENDU=1)*(xlRTCLEQCL=$D1420),0))</f>
        <v>DIST_RAD</v>
      </c>
      <c r="W1420" s="153" t="str">
        <f t="array" ref="W1420">INDEX(xlRTCLNAME,MATCH(1,(xlRTCLENDU=2)*(xlRTCLEQCL=$F1420),0))</f>
        <v>CENT_AIR</v>
      </c>
      <c r="X1420" s="153" t="str">
        <f t="array" ref="X1420">INDEX(xlRTTYNAME,MATCH(1,(xlRTTYENDU=1)*(xlRTTYEQCL=$D1420)*(xlRTEQTYPE=$E1420),0))</f>
        <v>DIST_RAD3</v>
      </c>
      <c r="Y1420" s="153" t="str">
        <f t="array" ref="Y1420">INDEX(xlRTTYNAME,MATCH(1,(xlRTTYENDU=2)*(xlRTTYEQCL=$F1420)*(xlRTEQTYPE=$G1420),0))</f>
        <v>CENT_AIR3</v>
      </c>
    </row>
    <row r="1421" spans="2:25" ht="14.25" customHeight="1" x14ac:dyDescent="0.2">
      <c r="B1421" s="126">
        <v>5</v>
      </c>
      <c r="C1421" s="126">
        <v>2</v>
      </c>
      <c r="D1421" s="126">
        <v>8</v>
      </c>
      <c r="E1421" s="126">
        <v>28</v>
      </c>
      <c r="F1421" s="126">
        <v>2</v>
      </c>
      <c r="G1421" s="126">
        <v>7</v>
      </c>
      <c r="H1421" s="126">
        <v>2016</v>
      </c>
      <c r="I1421" s="126">
        <v>2050</v>
      </c>
      <c r="J1421" s="127">
        <v>1.03</v>
      </c>
      <c r="K1421" s="127">
        <v>1.03</v>
      </c>
      <c r="L1421" s="127">
        <v>0.67459999999999998</v>
      </c>
      <c r="M1421" s="127">
        <v>1.1097999999999999</v>
      </c>
      <c r="N1421" s="127">
        <v>1.3003</v>
      </c>
      <c r="O1421" s="127">
        <v>1.0538000000000001</v>
      </c>
      <c r="P1421" s="126">
        <v>1871</v>
      </c>
      <c r="Q1421" s="128">
        <f t="array" ref="Q1421">SUM(IF(($S1421&gt;=4)*($C1421='TaxCred&amp;Subs'!$D$123:$D$127)*($H1421='TaxCred&amp;Subs'!$C$123:$C$127)*($H1421&lt;='TaxCred&amp;Subs'!$C$129),'TaxCred&amp;Subs'!$E$123:$E$127,0))</f>
        <v>0</v>
      </c>
      <c r="R1421" s="174">
        <v>0</v>
      </c>
      <c r="S1421" s="126">
        <v>3</v>
      </c>
      <c r="T1421" s="126" t="s">
        <v>247</v>
      </c>
      <c r="U1421" s="158"/>
      <c r="V1421" s="153" t="str">
        <f t="array" ref="V1421">INDEX(xlRTCLNAME,MATCH(1,(xlRTCLENDU=1)*(xlRTCLEQCL=$D1421),0))</f>
        <v>DIST_RAD</v>
      </c>
      <c r="W1421" s="153" t="str">
        <f t="array" ref="W1421">INDEX(xlRTCLNAME,MATCH(1,(xlRTCLENDU=2)*(xlRTCLEQCL=$F1421),0))</f>
        <v>CENT_AIR</v>
      </c>
      <c r="X1421" s="153" t="str">
        <f t="array" ref="X1421">INDEX(xlRTTYNAME,MATCH(1,(xlRTTYENDU=1)*(xlRTTYEQCL=$D1421)*(xlRTEQTYPE=$E1421),0))</f>
        <v>DIST_RAD3</v>
      </c>
      <c r="Y1421" s="153" t="str">
        <f t="array" ref="Y1421">INDEX(xlRTTYNAME,MATCH(1,(xlRTTYENDU=2)*(xlRTTYEQCL=$F1421)*(xlRTEQTYPE=$G1421),0))</f>
        <v>CENT_AIR3</v>
      </c>
    </row>
    <row r="1422" spans="2:25" ht="14.25" customHeight="1" x14ac:dyDescent="0.2">
      <c r="B1422" s="126">
        <v>6</v>
      </c>
      <c r="C1422" s="126">
        <v>2</v>
      </c>
      <c r="D1422" s="126">
        <v>8</v>
      </c>
      <c r="E1422" s="126">
        <v>28</v>
      </c>
      <c r="F1422" s="126">
        <v>2</v>
      </c>
      <c r="G1422" s="126">
        <v>7</v>
      </c>
      <c r="H1422" s="126">
        <v>2016</v>
      </c>
      <c r="I1422" s="126">
        <v>2050</v>
      </c>
      <c r="J1422" s="127">
        <v>1.1200000000000001</v>
      </c>
      <c r="K1422" s="127">
        <v>1.0417000000000001</v>
      </c>
      <c r="L1422" s="127">
        <v>1.0238</v>
      </c>
      <c r="M1422" s="127">
        <v>1.1568000000000001</v>
      </c>
      <c r="N1422" s="127">
        <v>1.3656999999999999</v>
      </c>
      <c r="O1422" s="127">
        <v>1.0538000000000001</v>
      </c>
      <c r="P1422" s="126">
        <v>2033</v>
      </c>
      <c r="Q1422" s="128">
        <f t="array" ref="Q1422">SUM(IF(($S1422&gt;=4)*($C1422='TaxCred&amp;Subs'!$D$123:$D$127)*($H1422='TaxCred&amp;Subs'!$C$123:$C$127)*($H1422&lt;='TaxCred&amp;Subs'!$C$129),'TaxCred&amp;Subs'!$E$123:$E$127,0))</f>
        <v>0</v>
      </c>
      <c r="R1422" s="174">
        <v>0</v>
      </c>
      <c r="S1422" s="126">
        <v>3</v>
      </c>
      <c r="T1422" s="126" t="s">
        <v>247</v>
      </c>
      <c r="U1422" s="158"/>
      <c r="V1422" s="153" t="str">
        <f t="array" ref="V1422">INDEX(xlRTCLNAME,MATCH(1,(xlRTCLENDU=1)*(xlRTCLEQCL=$D1422),0))</f>
        <v>DIST_RAD</v>
      </c>
      <c r="W1422" s="153" t="str">
        <f t="array" ref="W1422">INDEX(xlRTCLNAME,MATCH(1,(xlRTCLENDU=2)*(xlRTCLEQCL=$F1422),0))</f>
        <v>CENT_AIR</v>
      </c>
      <c r="X1422" s="153" t="str">
        <f t="array" ref="X1422">INDEX(xlRTTYNAME,MATCH(1,(xlRTTYENDU=1)*(xlRTTYEQCL=$D1422)*(xlRTEQTYPE=$E1422),0))</f>
        <v>DIST_RAD3</v>
      </c>
      <c r="Y1422" s="153" t="str">
        <f t="array" ref="Y1422">INDEX(xlRTTYNAME,MATCH(1,(xlRTTYENDU=2)*(xlRTTYEQCL=$F1422)*(xlRTEQTYPE=$G1422),0))</f>
        <v>CENT_AIR3</v>
      </c>
    </row>
    <row r="1423" spans="2:25" ht="14.25" customHeight="1" x14ac:dyDescent="0.2">
      <c r="B1423" s="126">
        <v>7</v>
      </c>
      <c r="C1423" s="126">
        <v>2</v>
      </c>
      <c r="D1423" s="126">
        <v>8</v>
      </c>
      <c r="E1423" s="126">
        <v>28</v>
      </c>
      <c r="F1423" s="126">
        <v>2</v>
      </c>
      <c r="G1423" s="126">
        <v>7</v>
      </c>
      <c r="H1423" s="126">
        <v>2016</v>
      </c>
      <c r="I1423" s="126">
        <v>2050</v>
      </c>
      <c r="J1423" s="127">
        <v>1.1200000000000001</v>
      </c>
      <c r="K1423" s="127">
        <v>1.0462</v>
      </c>
      <c r="L1423" s="127">
        <v>1.2438</v>
      </c>
      <c r="M1423" s="127">
        <v>1.1604000000000001</v>
      </c>
      <c r="N1423" s="127">
        <v>1.4438</v>
      </c>
      <c r="O1423" s="127">
        <v>1.0538000000000001</v>
      </c>
      <c r="P1423" s="126">
        <v>1495</v>
      </c>
      <c r="Q1423" s="128">
        <f t="array" ref="Q1423">SUM(IF(($S1423&gt;=4)*($C1423='TaxCred&amp;Subs'!$D$123:$D$127)*($H1423='TaxCred&amp;Subs'!$C$123:$C$127)*($H1423&lt;='TaxCred&amp;Subs'!$C$129),'TaxCred&amp;Subs'!$E$123:$E$127,0))</f>
        <v>0</v>
      </c>
      <c r="R1423" s="174">
        <v>0</v>
      </c>
      <c r="S1423" s="126">
        <v>3</v>
      </c>
      <c r="T1423" s="126" t="s">
        <v>247</v>
      </c>
      <c r="U1423" s="158"/>
      <c r="V1423" s="153" t="str">
        <f t="array" ref="V1423">INDEX(xlRTCLNAME,MATCH(1,(xlRTCLENDU=1)*(xlRTCLEQCL=$D1423),0))</f>
        <v>DIST_RAD</v>
      </c>
      <c r="W1423" s="153" t="str">
        <f t="array" ref="W1423">INDEX(xlRTCLNAME,MATCH(1,(xlRTCLENDU=2)*(xlRTCLEQCL=$F1423),0))</f>
        <v>CENT_AIR</v>
      </c>
      <c r="X1423" s="153" t="str">
        <f t="array" ref="X1423">INDEX(xlRTTYNAME,MATCH(1,(xlRTTYENDU=1)*(xlRTTYEQCL=$D1423)*(xlRTEQTYPE=$E1423),0))</f>
        <v>DIST_RAD3</v>
      </c>
      <c r="Y1423" s="153" t="str">
        <f t="array" ref="Y1423">INDEX(xlRTTYNAME,MATCH(1,(xlRTTYENDU=2)*(xlRTTYEQCL=$F1423)*(xlRTEQTYPE=$G1423),0))</f>
        <v>CENT_AIR3</v>
      </c>
    </row>
    <row r="1424" spans="2:25" ht="14.25" customHeight="1" x14ac:dyDescent="0.2">
      <c r="B1424" s="126">
        <v>8</v>
      </c>
      <c r="C1424" s="126">
        <v>2</v>
      </c>
      <c r="D1424" s="126">
        <v>8</v>
      </c>
      <c r="E1424" s="126">
        <v>28</v>
      </c>
      <c r="F1424" s="126">
        <v>2</v>
      </c>
      <c r="G1424" s="126">
        <v>7</v>
      </c>
      <c r="H1424" s="126">
        <v>2016</v>
      </c>
      <c r="I1424" s="126">
        <v>2050</v>
      </c>
      <c r="J1424" s="127">
        <v>1.1045</v>
      </c>
      <c r="K1424" s="127">
        <v>1.0323</v>
      </c>
      <c r="L1424" s="127">
        <v>0.9597</v>
      </c>
      <c r="M1424" s="127">
        <v>1.2739</v>
      </c>
      <c r="N1424" s="127">
        <v>1.2847999999999999</v>
      </c>
      <c r="O1424" s="127">
        <v>1.0538000000000001</v>
      </c>
      <c r="P1424" s="126">
        <v>2451</v>
      </c>
      <c r="Q1424" s="128">
        <f t="array" ref="Q1424">SUM(IF(($S1424&gt;=4)*($C1424='TaxCred&amp;Subs'!$D$123:$D$127)*($H1424='TaxCred&amp;Subs'!$C$123:$C$127)*($H1424&lt;='TaxCred&amp;Subs'!$C$129),'TaxCred&amp;Subs'!$E$123:$E$127,0))</f>
        <v>0</v>
      </c>
      <c r="R1424" s="174">
        <v>0</v>
      </c>
      <c r="S1424" s="126">
        <v>3</v>
      </c>
      <c r="T1424" s="126" t="s">
        <v>247</v>
      </c>
      <c r="U1424" s="158"/>
      <c r="V1424" s="153" t="str">
        <f t="array" ref="V1424">INDEX(xlRTCLNAME,MATCH(1,(xlRTCLENDU=1)*(xlRTCLEQCL=$D1424),0))</f>
        <v>DIST_RAD</v>
      </c>
      <c r="W1424" s="153" t="str">
        <f t="array" ref="W1424">INDEX(xlRTCLNAME,MATCH(1,(xlRTCLENDU=2)*(xlRTCLEQCL=$F1424),0))</f>
        <v>CENT_AIR</v>
      </c>
      <c r="X1424" s="153" t="str">
        <f t="array" ref="X1424">INDEX(xlRTTYNAME,MATCH(1,(xlRTTYENDU=1)*(xlRTTYEQCL=$D1424)*(xlRTEQTYPE=$E1424),0))</f>
        <v>DIST_RAD3</v>
      </c>
      <c r="Y1424" s="153" t="str">
        <f t="array" ref="Y1424">INDEX(xlRTTYNAME,MATCH(1,(xlRTTYENDU=2)*(xlRTTYEQCL=$F1424)*(xlRTEQTYPE=$G1424),0))</f>
        <v>CENT_AIR3</v>
      </c>
    </row>
    <row r="1425" spans="2:25" ht="14.25" customHeight="1" x14ac:dyDescent="0.2">
      <c r="B1425" s="126">
        <v>9</v>
      </c>
      <c r="C1425" s="126">
        <v>2</v>
      </c>
      <c r="D1425" s="126">
        <v>8</v>
      </c>
      <c r="E1425" s="126">
        <v>28</v>
      </c>
      <c r="F1425" s="126">
        <v>2</v>
      </c>
      <c r="G1425" s="126">
        <v>7</v>
      </c>
      <c r="H1425" s="126">
        <v>2016</v>
      </c>
      <c r="I1425" s="126">
        <v>2050</v>
      </c>
      <c r="J1425" s="127">
        <v>1.1200000000000001</v>
      </c>
      <c r="K1425" s="127">
        <v>1.0541</v>
      </c>
      <c r="L1425" s="127">
        <v>0.74380000000000002</v>
      </c>
      <c r="M1425" s="127">
        <v>1.2</v>
      </c>
      <c r="N1425" s="127">
        <v>1.4438</v>
      </c>
      <c r="O1425" s="127">
        <v>1.0538000000000001</v>
      </c>
      <c r="P1425" s="126">
        <v>2153</v>
      </c>
      <c r="Q1425" s="128">
        <f t="array" ref="Q1425">SUM(IF(($S1425&gt;=4)*($C1425='TaxCred&amp;Subs'!$D$123:$D$127)*($H1425='TaxCred&amp;Subs'!$C$123:$C$127)*($H1425&lt;='TaxCred&amp;Subs'!$C$129),'TaxCred&amp;Subs'!$E$123:$E$127,0))</f>
        <v>0</v>
      </c>
      <c r="R1425" s="174">
        <v>0</v>
      </c>
      <c r="S1425" s="126">
        <v>3</v>
      </c>
      <c r="T1425" s="126" t="s">
        <v>247</v>
      </c>
      <c r="U1425" s="158"/>
      <c r="V1425" s="153" t="str">
        <f t="array" ref="V1425">INDEX(xlRTCLNAME,MATCH(1,(xlRTCLENDU=1)*(xlRTCLEQCL=$D1425),0))</f>
        <v>DIST_RAD</v>
      </c>
      <c r="W1425" s="153" t="str">
        <f t="array" ref="W1425">INDEX(xlRTCLNAME,MATCH(1,(xlRTCLENDU=2)*(xlRTCLEQCL=$F1425),0))</f>
        <v>CENT_AIR</v>
      </c>
      <c r="X1425" s="153" t="str">
        <f t="array" ref="X1425">INDEX(xlRTTYNAME,MATCH(1,(xlRTTYENDU=1)*(xlRTTYEQCL=$D1425)*(xlRTEQTYPE=$E1425),0))</f>
        <v>DIST_RAD3</v>
      </c>
      <c r="Y1425" s="153" t="str">
        <f t="array" ref="Y1425">INDEX(xlRTTYNAME,MATCH(1,(xlRTTYENDU=2)*(xlRTTYEQCL=$F1425)*(xlRTEQTYPE=$G1425),0))</f>
        <v>CENT_AIR3</v>
      </c>
    </row>
    <row r="1426" spans="2:25" ht="14.25" customHeight="1" x14ac:dyDescent="0.2">
      <c r="B1426" s="126">
        <v>1</v>
      </c>
      <c r="C1426" s="126">
        <v>2</v>
      </c>
      <c r="D1426" s="126">
        <v>9</v>
      </c>
      <c r="E1426" s="126">
        <v>30</v>
      </c>
      <c r="F1426" s="126">
        <v>2</v>
      </c>
      <c r="G1426" s="126">
        <v>7</v>
      </c>
      <c r="H1426" s="126">
        <v>2016</v>
      </c>
      <c r="I1426" s="126">
        <v>2050</v>
      </c>
      <c r="J1426" s="127">
        <v>1.0864</v>
      </c>
      <c r="K1426" s="127">
        <v>1.0417000000000001</v>
      </c>
      <c r="L1426" s="127">
        <v>1.0046999999999999</v>
      </c>
      <c r="M1426" s="127">
        <v>1.1455</v>
      </c>
      <c r="N1426" s="127">
        <v>1.1156999999999999</v>
      </c>
      <c r="O1426" s="127">
        <v>1.0538000000000001</v>
      </c>
      <c r="P1426" s="126">
        <v>3089</v>
      </c>
      <c r="Q1426" s="128">
        <f t="array" ref="Q1426">SUM(IF(($S1426&gt;=4)*($C1426='TaxCred&amp;Subs'!$D$123:$D$127)*($H1426='TaxCred&amp;Subs'!$C$123:$C$127)*($H1426&lt;='TaxCred&amp;Subs'!$C$129),'TaxCred&amp;Subs'!$E$123:$E$127,0))</f>
        <v>0</v>
      </c>
      <c r="R1426" s="174">
        <v>0</v>
      </c>
      <c r="S1426" s="126">
        <v>3</v>
      </c>
      <c r="T1426" s="126" t="s">
        <v>247</v>
      </c>
      <c r="U1426" s="158"/>
      <c r="V1426" s="153" t="str">
        <f t="array" ref="V1426">INDEX(xlRTCLNAME,MATCH(1,(xlRTCLENDU=1)*(xlRTCLEQCL=$D1426),0))</f>
        <v>WOOD_HT</v>
      </c>
      <c r="W1426" s="153" t="str">
        <f t="array" ref="W1426">INDEX(xlRTCLNAME,MATCH(1,(xlRTCLENDU=2)*(xlRTCLEQCL=$F1426),0))</f>
        <v>CENT_AIR</v>
      </c>
      <c r="X1426" s="153" t="str">
        <f t="array" ref="X1426">INDEX(xlRTTYNAME,MATCH(1,(xlRTTYENDU=1)*(xlRTTYEQCL=$D1426)*(xlRTEQTYPE=$E1426),0))</f>
        <v>WOOD_HT2</v>
      </c>
      <c r="Y1426" s="153" t="str">
        <f t="array" ref="Y1426">INDEX(xlRTTYNAME,MATCH(1,(xlRTTYENDU=2)*(xlRTTYEQCL=$F1426)*(xlRTEQTYPE=$G1426),0))</f>
        <v>CENT_AIR3</v>
      </c>
    </row>
    <row r="1427" spans="2:25" ht="14.25" customHeight="1" x14ac:dyDescent="0.2">
      <c r="B1427" s="126">
        <v>2</v>
      </c>
      <c r="C1427" s="126">
        <v>2</v>
      </c>
      <c r="D1427" s="126">
        <v>9</v>
      </c>
      <c r="E1427" s="126">
        <v>30</v>
      </c>
      <c r="F1427" s="126">
        <v>2</v>
      </c>
      <c r="G1427" s="126">
        <v>7</v>
      </c>
      <c r="H1427" s="126">
        <v>2016</v>
      </c>
      <c r="I1427" s="126">
        <v>2050</v>
      </c>
      <c r="J1427" s="127">
        <v>1.0891</v>
      </c>
      <c r="K1427" s="127">
        <v>1.0713999999999999</v>
      </c>
      <c r="L1427" s="127">
        <v>1.0127999999999999</v>
      </c>
      <c r="M1427" s="127">
        <v>1.1834</v>
      </c>
      <c r="N1427" s="127">
        <v>1.1254999999999999</v>
      </c>
      <c r="O1427" s="127">
        <v>1.0538000000000001</v>
      </c>
      <c r="P1427" s="126">
        <v>2260</v>
      </c>
      <c r="Q1427" s="128">
        <f t="array" ref="Q1427">SUM(IF(($S1427&gt;=4)*($C1427='TaxCred&amp;Subs'!$D$123:$D$127)*($H1427='TaxCred&amp;Subs'!$C$123:$C$127)*($H1427&lt;='TaxCred&amp;Subs'!$C$129),'TaxCred&amp;Subs'!$E$123:$E$127,0))</f>
        <v>0</v>
      </c>
      <c r="R1427" s="174">
        <v>0</v>
      </c>
      <c r="S1427" s="126">
        <v>3</v>
      </c>
      <c r="T1427" s="126" t="s">
        <v>247</v>
      </c>
      <c r="U1427" s="158"/>
      <c r="V1427" s="153" t="str">
        <f t="array" ref="V1427">INDEX(xlRTCLNAME,MATCH(1,(xlRTCLENDU=1)*(xlRTCLEQCL=$D1427),0))</f>
        <v>WOOD_HT</v>
      </c>
      <c r="W1427" s="153" t="str">
        <f t="array" ref="W1427">INDEX(xlRTCLNAME,MATCH(1,(xlRTCLENDU=2)*(xlRTCLEQCL=$F1427),0))</f>
        <v>CENT_AIR</v>
      </c>
      <c r="X1427" s="153" t="str">
        <f t="array" ref="X1427">INDEX(xlRTTYNAME,MATCH(1,(xlRTTYENDU=1)*(xlRTTYEQCL=$D1427)*(xlRTEQTYPE=$E1427),0))</f>
        <v>WOOD_HT2</v>
      </c>
      <c r="Y1427" s="153" t="str">
        <f t="array" ref="Y1427">INDEX(xlRTTYNAME,MATCH(1,(xlRTTYENDU=2)*(xlRTTYEQCL=$F1427)*(xlRTEQTYPE=$G1427),0))</f>
        <v>CENT_AIR3</v>
      </c>
    </row>
    <row r="1428" spans="2:25" ht="14.25" customHeight="1" x14ac:dyDescent="0.2">
      <c r="B1428" s="126">
        <v>3</v>
      </c>
      <c r="C1428" s="126">
        <v>2</v>
      </c>
      <c r="D1428" s="126">
        <v>9</v>
      </c>
      <c r="E1428" s="126">
        <v>30</v>
      </c>
      <c r="F1428" s="126">
        <v>2</v>
      </c>
      <c r="G1428" s="126">
        <v>7</v>
      </c>
      <c r="H1428" s="126">
        <v>2016</v>
      </c>
      <c r="I1428" s="126">
        <v>2050</v>
      </c>
      <c r="J1428" s="127">
        <v>1.0962000000000001</v>
      </c>
      <c r="K1428" s="127">
        <v>1.0345</v>
      </c>
      <c r="L1428" s="127">
        <v>0.83919999999999995</v>
      </c>
      <c r="M1428" s="127">
        <v>1.0828</v>
      </c>
      <c r="N1428" s="127">
        <v>1.0417000000000001</v>
      </c>
      <c r="O1428" s="127">
        <v>1.0538000000000001</v>
      </c>
      <c r="P1428" s="126">
        <v>2657</v>
      </c>
      <c r="Q1428" s="128">
        <f t="array" ref="Q1428">SUM(IF(($S1428&gt;=4)*($C1428='TaxCred&amp;Subs'!$D$123:$D$127)*($H1428='TaxCred&amp;Subs'!$C$123:$C$127)*($H1428&lt;='TaxCred&amp;Subs'!$C$129),'TaxCred&amp;Subs'!$E$123:$E$127,0))</f>
        <v>0</v>
      </c>
      <c r="R1428" s="174">
        <v>0</v>
      </c>
      <c r="S1428" s="126">
        <v>3</v>
      </c>
      <c r="T1428" s="126" t="s">
        <v>247</v>
      </c>
      <c r="U1428" s="158"/>
      <c r="V1428" s="153" t="str">
        <f t="array" ref="V1428">INDEX(xlRTCLNAME,MATCH(1,(xlRTCLENDU=1)*(xlRTCLEQCL=$D1428),0))</f>
        <v>WOOD_HT</v>
      </c>
      <c r="W1428" s="153" t="str">
        <f t="array" ref="W1428">INDEX(xlRTCLNAME,MATCH(1,(xlRTCLENDU=2)*(xlRTCLEQCL=$F1428),0))</f>
        <v>CENT_AIR</v>
      </c>
      <c r="X1428" s="153" t="str">
        <f t="array" ref="X1428">INDEX(xlRTTYNAME,MATCH(1,(xlRTTYENDU=1)*(xlRTTYEQCL=$D1428)*(xlRTEQTYPE=$E1428),0))</f>
        <v>WOOD_HT2</v>
      </c>
      <c r="Y1428" s="153" t="str">
        <f t="array" ref="Y1428">INDEX(xlRTTYNAME,MATCH(1,(xlRTTYENDU=2)*(xlRTTYEQCL=$F1428)*(xlRTEQTYPE=$G1428),0))</f>
        <v>CENT_AIR3</v>
      </c>
    </row>
    <row r="1429" spans="2:25" ht="14.25" customHeight="1" x14ac:dyDescent="0.2">
      <c r="B1429" s="126">
        <v>4</v>
      </c>
      <c r="C1429" s="126">
        <v>2</v>
      </c>
      <c r="D1429" s="126">
        <v>9</v>
      </c>
      <c r="E1429" s="126">
        <v>30</v>
      </c>
      <c r="F1429" s="126">
        <v>2</v>
      </c>
      <c r="G1429" s="126">
        <v>7</v>
      </c>
      <c r="H1429" s="126">
        <v>2016</v>
      </c>
      <c r="I1429" s="126">
        <v>2050</v>
      </c>
      <c r="J1429" s="127">
        <v>1.1024</v>
      </c>
      <c r="K1429" s="127">
        <v>1.0435000000000001</v>
      </c>
      <c r="L1429" s="127">
        <v>0.99209999999999998</v>
      </c>
      <c r="M1429" s="127">
        <v>1.1499999999999999</v>
      </c>
      <c r="N1429" s="127">
        <v>1.1678999999999999</v>
      </c>
      <c r="O1429" s="127">
        <v>1.0538000000000001</v>
      </c>
      <c r="P1429" s="126">
        <v>2300</v>
      </c>
      <c r="Q1429" s="128">
        <f t="array" ref="Q1429">SUM(IF(($S1429&gt;=4)*($C1429='TaxCred&amp;Subs'!$D$123:$D$127)*($H1429='TaxCred&amp;Subs'!$C$123:$C$127)*($H1429&lt;='TaxCred&amp;Subs'!$C$129),'TaxCred&amp;Subs'!$E$123:$E$127,0))</f>
        <v>0</v>
      </c>
      <c r="R1429" s="174">
        <v>0</v>
      </c>
      <c r="S1429" s="126">
        <v>3</v>
      </c>
      <c r="T1429" s="126" t="s">
        <v>247</v>
      </c>
      <c r="U1429" s="158"/>
      <c r="V1429" s="153" t="str">
        <f t="array" ref="V1429">INDEX(xlRTCLNAME,MATCH(1,(xlRTCLENDU=1)*(xlRTCLEQCL=$D1429),0))</f>
        <v>WOOD_HT</v>
      </c>
      <c r="W1429" s="153" t="str">
        <f t="array" ref="W1429">INDEX(xlRTCLNAME,MATCH(1,(xlRTCLENDU=2)*(xlRTCLEQCL=$F1429),0))</f>
        <v>CENT_AIR</v>
      </c>
      <c r="X1429" s="153" t="str">
        <f t="array" ref="X1429">INDEX(xlRTTYNAME,MATCH(1,(xlRTTYENDU=1)*(xlRTTYEQCL=$D1429)*(xlRTEQTYPE=$E1429),0))</f>
        <v>WOOD_HT2</v>
      </c>
      <c r="Y1429" s="153" t="str">
        <f t="array" ref="Y1429">INDEX(xlRTTYNAME,MATCH(1,(xlRTTYENDU=2)*(xlRTTYEQCL=$F1429)*(xlRTEQTYPE=$G1429),0))</f>
        <v>CENT_AIR3</v>
      </c>
    </row>
    <row r="1430" spans="2:25" ht="14.25" customHeight="1" x14ac:dyDescent="0.2">
      <c r="B1430" s="126">
        <v>5</v>
      </c>
      <c r="C1430" s="126">
        <v>2</v>
      </c>
      <c r="D1430" s="126">
        <v>9</v>
      </c>
      <c r="E1430" s="126">
        <v>30</v>
      </c>
      <c r="F1430" s="126">
        <v>2</v>
      </c>
      <c r="G1430" s="126">
        <v>7</v>
      </c>
      <c r="H1430" s="126">
        <v>2016</v>
      </c>
      <c r="I1430" s="126">
        <v>2050</v>
      </c>
      <c r="J1430" s="127">
        <v>1.03</v>
      </c>
      <c r="K1430" s="127">
        <v>1.03</v>
      </c>
      <c r="L1430" s="127">
        <v>0.67459999999999998</v>
      </c>
      <c r="M1430" s="127">
        <v>1.1097999999999999</v>
      </c>
      <c r="N1430" s="127">
        <v>1.3003</v>
      </c>
      <c r="O1430" s="127">
        <v>1.0538000000000001</v>
      </c>
      <c r="P1430" s="126">
        <v>1871</v>
      </c>
      <c r="Q1430" s="128">
        <f t="array" ref="Q1430">SUM(IF(($S1430&gt;=4)*($C1430='TaxCred&amp;Subs'!$D$123:$D$127)*($H1430='TaxCred&amp;Subs'!$C$123:$C$127)*($H1430&lt;='TaxCred&amp;Subs'!$C$129),'TaxCred&amp;Subs'!$E$123:$E$127,0))</f>
        <v>0</v>
      </c>
      <c r="R1430" s="174">
        <v>0</v>
      </c>
      <c r="S1430" s="126">
        <v>3</v>
      </c>
      <c r="T1430" s="126" t="s">
        <v>247</v>
      </c>
      <c r="U1430" s="158"/>
      <c r="V1430" s="153" t="str">
        <f t="array" ref="V1430">INDEX(xlRTCLNAME,MATCH(1,(xlRTCLENDU=1)*(xlRTCLEQCL=$D1430),0))</f>
        <v>WOOD_HT</v>
      </c>
      <c r="W1430" s="153" t="str">
        <f t="array" ref="W1430">INDEX(xlRTCLNAME,MATCH(1,(xlRTCLENDU=2)*(xlRTCLEQCL=$F1430),0))</f>
        <v>CENT_AIR</v>
      </c>
      <c r="X1430" s="153" t="str">
        <f t="array" ref="X1430">INDEX(xlRTTYNAME,MATCH(1,(xlRTTYENDU=1)*(xlRTTYEQCL=$D1430)*(xlRTEQTYPE=$E1430),0))</f>
        <v>WOOD_HT2</v>
      </c>
      <c r="Y1430" s="153" t="str">
        <f t="array" ref="Y1430">INDEX(xlRTTYNAME,MATCH(1,(xlRTTYENDU=2)*(xlRTTYEQCL=$F1430)*(xlRTEQTYPE=$G1430),0))</f>
        <v>CENT_AIR3</v>
      </c>
    </row>
    <row r="1431" spans="2:25" ht="14.25" customHeight="1" x14ac:dyDescent="0.2">
      <c r="B1431" s="126">
        <v>6</v>
      </c>
      <c r="C1431" s="126">
        <v>2</v>
      </c>
      <c r="D1431" s="126">
        <v>9</v>
      </c>
      <c r="E1431" s="126">
        <v>30</v>
      </c>
      <c r="F1431" s="126">
        <v>2</v>
      </c>
      <c r="G1431" s="126">
        <v>7</v>
      </c>
      <c r="H1431" s="126">
        <v>2016</v>
      </c>
      <c r="I1431" s="126">
        <v>2050</v>
      </c>
      <c r="J1431" s="127">
        <v>1.1200000000000001</v>
      </c>
      <c r="K1431" s="127">
        <v>1.0417000000000001</v>
      </c>
      <c r="L1431" s="127">
        <v>1.0238</v>
      </c>
      <c r="M1431" s="127">
        <v>1.1568000000000001</v>
      </c>
      <c r="N1431" s="127">
        <v>1.3656999999999999</v>
      </c>
      <c r="O1431" s="127">
        <v>1.0538000000000001</v>
      </c>
      <c r="P1431" s="126">
        <v>2033</v>
      </c>
      <c r="Q1431" s="128">
        <f t="array" ref="Q1431">SUM(IF(($S1431&gt;=4)*($C1431='TaxCred&amp;Subs'!$D$123:$D$127)*($H1431='TaxCred&amp;Subs'!$C$123:$C$127)*($H1431&lt;='TaxCred&amp;Subs'!$C$129),'TaxCred&amp;Subs'!$E$123:$E$127,0))</f>
        <v>0</v>
      </c>
      <c r="R1431" s="174">
        <v>0</v>
      </c>
      <c r="S1431" s="126">
        <v>3</v>
      </c>
      <c r="T1431" s="126" t="s">
        <v>247</v>
      </c>
      <c r="U1431" s="158"/>
      <c r="V1431" s="153" t="str">
        <f t="array" ref="V1431">INDEX(xlRTCLNAME,MATCH(1,(xlRTCLENDU=1)*(xlRTCLEQCL=$D1431),0))</f>
        <v>WOOD_HT</v>
      </c>
      <c r="W1431" s="153" t="str">
        <f t="array" ref="W1431">INDEX(xlRTCLNAME,MATCH(1,(xlRTCLENDU=2)*(xlRTCLEQCL=$F1431),0))</f>
        <v>CENT_AIR</v>
      </c>
      <c r="X1431" s="153" t="str">
        <f t="array" ref="X1431">INDEX(xlRTTYNAME,MATCH(1,(xlRTTYENDU=1)*(xlRTTYEQCL=$D1431)*(xlRTEQTYPE=$E1431),0))</f>
        <v>WOOD_HT2</v>
      </c>
      <c r="Y1431" s="153" t="str">
        <f t="array" ref="Y1431">INDEX(xlRTTYNAME,MATCH(1,(xlRTTYENDU=2)*(xlRTTYEQCL=$F1431)*(xlRTEQTYPE=$G1431),0))</f>
        <v>CENT_AIR3</v>
      </c>
    </row>
    <row r="1432" spans="2:25" ht="14.25" customHeight="1" x14ac:dyDescent="0.2">
      <c r="B1432" s="126">
        <v>7</v>
      </c>
      <c r="C1432" s="126">
        <v>2</v>
      </c>
      <c r="D1432" s="126">
        <v>9</v>
      </c>
      <c r="E1432" s="126">
        <v>30</v>
      </c>
      <c r="F1432" s="126">
        <v>2</v>
      </c>
      <c r="G1432" s="126">
        <v>7</v>
      </c>
      <c r="H1432" s="126">
        <v>2016</v>
      </c>
      <c r="I1432" s="126">
        <v>2050</v>
      </c>
      <c r="J1432" s="127">
        <v>1.1200000000000001</v>
      </c>
      <c r="K1432" s="127">
        <v>1.0462</v>
      </c>
      <c r="L1432" s="127">
        <v>1.2438</v>
      </c>
      <c r="M1432" s="127">
        <v>1.1604000000000001</v>
      </c>
      <c r="N1432" s="127">
        <v>1.4438</v>
      </c>
      <c r="O1432" s="127">
        <v>1.0538000000000001</v>
      </c>
      <c r="P1432" s="126">
        <v>1495</v>
      </c>
      <c r="Q1432" s="128">
        <f t="array" ref="Q1432">SUM(IF(($S1432&gt;=4)*($C1432='TaxCred&amp;Subs'!$D$123:$D$127)*($H1432='TaxCred&amp;Subs'!$C$123:$C$127)*($H1432&lt;='TaxCred&amp;Subs'!$C$129),'TaxCred&amp;Subs'!$E$123:$E$127,0))</f>
        <v>0</v>
      </c>
      <c r="R1432" s="174">
        <v>0</v>
      </c>
      <c r="S1432" s="126">
        <v>3</v>
      </c>
      <c r="T1432" s="126" t="s">
        <v>247</v>
      </c>
      <c r="U1432" s="158"/>
      <c r="V1432" s="153" t="str">
        <f t="array" ref="V1432">INDEX(xlRTCLNAME,MATCH(1,(xlRTCLENDU=1)*(xlRTCLEQCL=$D1432),0))</f>
        <v>WOOD_HT</v>
      </c>
      <c r="W1432" s="153" t="str">
        <f t="array" ref="W1432">INDEX(xlRTCLNAME,MATCH(1,(xlRTCLENDU=2)*(xlRTCLEQCL=$F1432),0))</f>
        <v>CENT_AIR</v>
      </c>
      <c r="X1432" s="153" t="str">
        <f t="array" ref="X1432">INDEX(xlRTTYNAME,MATCH(1,(xlRTTYENDU=1)*(xlRTTYEQCL=$D1432)*(xlRTEQTYPE=$E1432),0))</f>
        <v>WOOD_HT2</v>
      </c>
      <c r="Y1432" s="153" t="str">
        <f t="array" ref="Y1432">INDEX(xlRTTYNAME,MATCH(1,(xlRTTYENDU=2)*(xlRTTYEQCL=$F1432)*(xlRTEQTYPE=$G1432),0))</f>
        <v>CENT_AIR3</v>
      </c>
    </row>
    <row r="1433" spans="2:25" ht="14.25" customHeight="1" x14ac:dyDescent="0.2">
      <c r="B1433" s="126">
        <v>8</v>
      </c>
      <c r="C1433" s="126">
        <v>2</v>
      </c>
      <c r="D1433" s="126">
        <v>9</v>
      </c>
      <c r="E1433" s="126">
        <v>30</v>
      </c>
      <c r="F1433" s="126">
        <v>2</v>
      </c>
      <c r="G1433" s="126">
        <v>7</v>
      </c>
      <c r="H1433" s="126">
        <v>2016</v>
      </c>
      <c r="I1433" s="126">
        <v>2050</v>
      </c>
      <c r="J1433" s="127">
        <v>1.1045</v>
      </c>
      <c r="K1433" s="127">
        <v>1.0323</v>
      </c>
      <c r="L1433" s="127">
        <v>0.9597</v>
      </c>
      <c r="M1433" s="127">
        <v>1.2739</v>
      </c>
      <c r="N1433" s="127">
        <v>1.2847999999999999</v>
      </c>
      <c r="O1433" s="127">
        <v>1.0538000000000001</v>
      </c>
      <c r="P1433" s="126">
        <v>2451</v>
      </c>
      <c r="Q1433" s="128">
        <f t="array" ref="Q1433">SUM(IF(($S1433&gt;=4)*($C1433='TaxCred&amp;Subs'!$D$123:$D$127)*($H1433='TaxCred&amp;Subs'!$C$123:$C$127)*($H1433&lt;='TaxCred&amp;Subs'!$C$129),'TaxCred&amp;Subs'!$E$123:$E$127,0))</f>
        <v>0</v>
      </c>
      <c r="R1433" s="174">
        <v>0</v>
      </c>
      <c r="S1433" s="126">
        <v>3</v>
      </c>
      <c r="T1433" s="126" t="s">
        <v>247</v>
      </c>
      <c r="U1433" s="158"/>
      <c r="V1433" s="153" t="str">
        <f t="array" ref="V1433">INDEX(xlRTCLNAME,MATCH(1,(xlRTCLENDU=1)*(xlRTCLEQCL=$D1433),0))</f>
        <v>WOOD_HT</v>
      </c>
      <c r="W1433" s="153" t="str">
        <f t="array" ref="W1433">INDEX(xlRTCLNAME,MATCH(1,(xlRTCLENDU=2)*(xlRTCLEQCL=$F1433),0))</f>
        <v>CENT_AIR</v>
      </c>
      <c r="X1433" s="153" t="str">
        <f t="array" ref="X1433">INDEX(xlRTTYNAME,MATCH(1,(xlRTTYENDU=1)*(xlRTTYEQCL=$D1433)*(xlRTEQTYPE=$E1433),0))</f>
        <v>WOOD_HT2</v>
      </c>
      <c r="Y1433" s="153" t="str">
        <f t="array" ref="Y1433">INDEX(xlRTTYNAME,MATCH(1,(xlRTTYENDU=2)*(xlRTTYEQCL=$F1433)*(xlRTEQTYPE=$G1433),0))</f>
        <v>CENT_AIR3</v>
      </c>
    </row>
    <row r="1434" spans="2:25" ht="14.25" customHeight="1" x14ac:dyDescent="0.2">
      <c r="B1434" s="126">
        <v>9</v>
      </c>
      <c r="C1434" s="126">
        <v>2</v>
      </c>
      <c r="D1434" s="126">
        <v>9</v>
      </c>
      <c r="E1434" s="126">
        <v>30</v>
      </c>
      <c r="F1434" s="126">
        <v>2</v>
      </c>
      <c r="G1434" s="126">
        <v>7</v>
      </c>
      <c r="H1434" s="126">
        <v>2016</v>
      </c>
      <c r="I1434" s="126">
        <v>2050</v>
      </c>
      <c r="J1434" s="127">
        <v>1.1200000000000001</v>
      </c>
      <c r="K1434" s="127">
        <v>1.0541</v>
      </c>
      <c r="L1434" s="127">
        <v>0.74380000000000002</v>
      </c>
      <c r="M1434" s="127">
        <v>1.2</v>
      </c>
      <c r="N1434" s="127">
        <v>1.4438</v>
      </c>
      <c r="O1434" s="127">
        <v>1.0538000000000001</v>
      </c>
      <c r="P1434" s="126">
        <v>2153</v>
      </c>
      <c r="Q1434" s="128">
        <f t="array" ref="Q1434">SUM(IF(($S1434&gt;=4)*($C1434='TaxCred&amp;Subs'!$D$123:$D$127)*($H1434='TaxCred&amp;Subs'!$C$123:$C$127)*($H1434&lt;='TaxCred&amp;Subs'!$C$129),'TaxCred&amp;Subs'!$E$123:$E$127,0))</f>
        <v>0</v>
      </c>
      <c r="R1434" s="174">
        <v>0</v>
      </c>
      <c r="S1434" s="126">
        <v>3</v>
      </c>
      <c r="T1434" s="126" t="s">
        <v>247</v>
      </c>
      <c r="U1434" s="158"/>
      <c r="V1434" s="153" t="str">
        <f t="array" ref="V1434">INDEX(xlRTCLNAME,MATCH(1,(xlRTCLENDU=1)*(xlRTCLEQCL=$D1434),0))</f>
        <v>WOOD_HT</v>
      </c>
      <c r="W1434" s="153" t="str">
        <f t="array" ref="W1434">INDEX(xlRTCLNAME,MATCH(1,(xlRTCLENDU=2)*(xlRTCLEQCL=$F1434),0))</f>
        <v>CENT_AIR</v>
      </c>
      <c r="X1434" s="153" t="str">
        <f t="array" ref="X1434">INDEX(xlRTTYNAME,MATCH(1,(xlRTTYENDU=1)*(xlRTTYEQCL=$D1434)*(xlRTEQTYPE=$E1434),0))</f>
        <v>WOOD_HT2</v>
      </c>
      <c r="Y1434" s="153" t="str">
        <f t="array" ref="Y1434">INDEX(xlRTTYNAME,MATCH(1,(xlRTTYENDU=2)*(xlRTTYEQCL=$F1434)*(xlRTEQTYPE=$G1434),0))</f>
        <v>CENT_AIR3</v>
      </c>
    </row>
    <row r="1435" spans="2:25" ht="14.25" customHeight="1" x14ac:dyDescent="0.2">
      <c r="B1435" s="126">
        <v>1</v>
      </c>
      <c r="C1435" s="126">
        <v>2</v>
      </c>
      <c r="D1435" s="126">
        <v>10</v>
      </c>
      <c r="E1435" s="126">
        <v>34</v>
      </c>
      <c r="F1435" s="126">
        <v>4</v>
      </c>
      <c r="G1435" s="126">
        <v>15</v>
      </c>
      <c r="H1435" s="126">
        <v>2016</v>
      </c>
      <c r="I1435" s="126">
        <v>2050</v>
      </c>
      <c r="J1435" s="127">
        <v>1.1111</v>
      </c>
      <c r="K1435" s="127">
        <v>1.0526</v>
      </c>
      <c r="L1435" s="127">
        <v>0.78380000000000005</v>
      </c>
      <c r="M1435" s="127">
        <v>1.1588000000000001</v>
      </c>
      <c r="N1435" s="127">
        <v>1.1356999999999999</v>
      </c>
      <c r="O1435" s="127">
        <v>1.0538000000000001</v>
      </c>
      <c r="P1435" s="126">
        <v>3182</v>
      </c>
      <c r="Q1435" s="128">
        <f t="array" ref="Q1435">SUM(IF(($S1435&gt;=4)*($C1435='TaxCred&amp;Subs'!$D$123:$D$127)*($H1435='TaxCred&amp;Subs'!$C$123:$C$127)*($H1435&lt;='TaxCred&amp;Subs'!$C$129),'TaxCred&amp;Subs'!$E$123:$E$127,0))</f>
        <v>0</v>
      </c>
      <c r="R1435" s="174">
        <v>0</v>
      </c>
      <c r="S1435" s="126">
        <v>3</v>
      </c>
      <c r="T1435" s="126" t="s">
        <v>247</v>
      </c>
      <c r="U1435" s="158"/>
      <c r="V1435" s="153" t="str">
        <f t="array" ref="V1435">INDEX(xlRTCLNAME,MATCH(1,(xlRTCLENDU=1)*(xlRTCLEQCL=$D1435),0))</f>
        <v>GEO_HP</v>
      </c>
      <c r="W1435" s="153" t="str">
        <f t="array" ref="W1435">INDEX(xlRTCLNAME,MATCH(1,(xlRTCLENDU=2)*(xlRTCLEQCL=$F1435),0))</f>
        <v>GEO_HP</v>
      </c>
      <c r="X1435" s="153" t="str">
        <f t="array" ref="X1435">INDEX(xlRTTYNAME,MATCH(1,(xlRTTYENDU=1)*(xlRTTYEQCL=$D1435)*(xlRTEQTYPE=$E1435),0))</f>
        <v>GEO_HP3</v>
      </c>
      <c r="Y1435" s="153" t="str">
        <f t="array" ref="Y1435">INDEX(xlRTTYNAME,MATCH(1,(xlRTTYENDU=2)*(xlRTTYEQCL=$F1435)*(xlRTEQTYPE=$G1435),0))</f>
        <v>GEO_HP3</v>
      </c>
    </row>
    <row r="1436" spans="2:25" ht="14.25" customHeight="1" x14ac:dyDescent="0.2">
      <c r="B1436" s="126">
        <v>2</v>
      </c>
      <c r="C1436" s="126">
        <v>2</v>
      </c>
      <c r="D1436" s="126">
        <v>10</v>
      </c>
      <c r="E1436" s="126">
        <v>34</v>
      </c>
      <c r="F1436" s="126">
        <v>4</v>
      </c>
      <c r="G1436" s="126">
        <v>15</v>
      </c>
      <c r="H1436" s="126">
        <v>2016</v>
      </c>
      <c r="I1436" s="126">
        <v>2050</v>
      </c>
      <c r="J1436" s="127">
        <v>1.0588</v>
      </c>
      <c r="K1436" s="127">
        <v>1.0455000000000001</v>
      </c>
      <c r="L1436" s="127">
        <v>0.8649</v>
      </c>
      <c r="M1436" s="127">
        <v>1.1527000000000001</v>
      </c>
      <c r="N1436" s="127">
        <v>1.1394</v>
      </c>
      <c r="O1436" s="127">
        <v>1.0538000000000001</v>
      </c>
      <c r="P1436" s="126">
        <v>2315</v>
      </c>
      <c r="Q1436" s="128">
        <f t="array" ref="Q1436">SUM(IF(($S1436&gt;=4)*($C1436='TaxCred&amp;Subs'!$D$123:$D$127)*($H1436='TaxCred&amp;Subs'!$C$123:$C$127)*($H1436&lt;='TaxCred&amp;Subs'!$C$129),'TaxCred&amp;Subs'!$E$123:$E$127,0))</f>
        <v>0</v>
      </c>
      <c r="R1436" s="174">
        <v>0</v>
      </c>
      <c r="S1436" s="126">
        <v>3</v>
      </c>
      <c r="T1436" s="126" t="s">
        <v>247</v>
      </c>
      <c r="U1436" s="158"/>
      <c r="V1436" s="153" t="str">
        <f t="array" ref="V1436">INDEX(xlRTCLNAME,MATCH(1,(xlRTCLENDU=1)*(xlRTCLEQCL=$D1436),0))</f>
        <v>GEO_HP</v>
      </c>
      <c r="W1436" s="153" t="str">
        <f t="array" ref="W1436">INDEX(xlRTCLNAME,MATCH(1,(xlRTCLENDU=2)*(xlRTCLEQCL=$F1436),0))</f>
        <v>GEO_HP</v>
      </c>
      <c r="X1436" s="153" t="str">
        <f t="array" ref="X1436">INDEX(xlRTTYNAME,MATCH(1,(xlRTTYENDU=1)*(xlRTTYEQCL=$D1436)*(xlRTEQTYPE=$E1436),0))</f>
        <v>GEO_HP3</v>
      </c>
      <c r="Y1436" s="153" t="str">
        <f t="array" ref="Y1436">INDEX(xlRTTYNAME,MATCH(1,(xlRTTYENDU=2)*(xlRTTYEQCL=$F1436)*(xlRTEQTYPE=$G1436),0))</f>
        <v>GEO_HP3</v>
      </c>
    </row>
    <row r="1437" spans="2:25" ht="14.25" customHeight="1" x14ac:dyDescent="0.2">
      <c r="B1437" s="126">
        <v>3</v>
      </c>
      <c r="C1437" s="126">
        <v>2</v>
      </c>
      <c r="D1437" s="126">
        <v>10</v>
      </c>
      <c r="E1437" s="126">
        <v>34</v>
      </c>
      <c r="F1437" s="126">
        <v>4</v>
      </c>
      <c r="G1437" s="126">
        <v>15</v>
      </c>
      <c r="H1437" s="126">
        <v>2016</v>
      </c>
      <c r="I1437" s="126">
        <v>2050</v>
      </c>
      <c r="J1437" s="127">
        <v>1.1000000000000001</v>
      </c>
      <c r="K1437" s="127">
        <v>1.03</v>
      </c>
      <c r="L1437" s="127">
        <v>0.77139999999999997</v>
      </c>
      <c r="M1437" s="127">
        <v>1.0772999999999999</v>
      </c>
      <c r="N1437" s="127">
        <v>1.0449999999999999</v>
      </c>
      <c r="O1437" s="127">
        <v>1.0538000000000001</v>
      </c>
      <c r="P1437" s="126">
        <v>2681</v>
      </c>
      <c r="Q1437" s="128">
        <f t="array" ref="Q1437">SUM(IF(($S1437&gt;=4)*($C1437='TaxCred&amp;Subs'!$D$123:$D$127)*($H1437='TaxCred&amp;Subs'!$C$123:$C$127)*($H1437&lt;='TaxCred&amp;Subs'!$C$129),'TaxCred&amp;Subs'!$E$123:$E$127,0))</f>
        <v>0</v>
      </c>
      <c r="R1437" s="174">
        <v>0</v>
      </c>
      <c r="S1437" s="126">
        <v>3</v>
      </c>
      <c r="T1437" s="126" t="s">
        <v>247</v>
      </c>
      <c r="U1437" s="158"/>
      <c r="V1437" s="153" t="str">
        <f t="array" ref="V1437">INDEX(xlRTCLNAME,MATCH(1,(xlRTCLENDU=1)*(xlRTCLEQCL=$D1437),0))</f>
        <v>GEO_HP</v>
      </c>
      <c r="W1437" s="153" t="str">
        <f t="array" ref="W1437">INDEX(xlRTCLNAME,MATCH(1,(xlRTCLENDU=2)*(xlRTCLEQCL=$F1437),0))</f>
        <v>GEO_HP</v>
      </c>
      <c r="X1437" s="153" t="str">
        <f t="array" ref="X1437">INDEX(xlRTTYNAME,MATCH(1,(xlRTTYENDU=1)*(xlRTTYEQCL=$D1437)*(xlRTEQTYPE=$E1437),0))</f>
        <v>GEO_HP3</v>
      </c>
      <c r="Y1437" s="153" t="str">
        <f t="array" ref="Y1437">INDEX(xlRTTYNAME,MATCH(1,(xlRTTYENDU=2)*(xlRTTYEQCL=$F1437)*(xlRTEQTYPE=$G1437),0))</f>
        <v>GEO_HP3</v>
      </c>
    </row>
    <row r="1438" spans="2:25" ht="14.25" customHeight="1" x14ac:dyDescent="0.2">
      <c r="B1438" s="126">
        <v>4</v>
      </c>
      <c r="C1438" s="126">
        <v>2</v>
      </c>
      <c r="D1438" s="126">
        <v>10</v>
      </c>
      <c r="E1438" s="126">
        <v>34</v>
      </c>
      <c r="F1438" s="126">
        <v>4</v>
      </c>
      <c r="G1438" s="126">
        <v>15</v>
      </c>
      <c r="H1438" s="126">
        <v>2016</v>
      </c>
      <c r="I1438" s="126">
        <v>2050</v>
      </c>
      <c r="J1438" s="127">
        <v>1.1033999999999999</v>
      </c>
      <c r="K1438" s="127">
        <v>1.0556000000000001</v>
      </c>
      <c r="L1438" s="127">
        <v>0.98229999999999995</v>
      </c>
      <c r="M1438" s="127">
        <v>1.1313</v>
      </c>
      <c r="N1438" s="127">
        <v>1.1753</v>
      </c>
      <c r="O1438" s="127">
        <v>1.0538000000000001</v>
      </c>
      <c r="P1438" s="126">
        <v>2300</v>
      </c>
      <c r="Q1438" s="128">
        <f t="array" ref="Q1438">SUM(IF(($S1438&gt;=4)*($C1438='TaxCred&amp;Subs'!$D$123:$D$127)*($H1438='TaxCred&amp;Subs'!$C$123:$C$127)*($H1438&lt;='TaxCred&amp;Subs'!$C$129),'TaxCred&amp;Subs'!$E$123:$E$127,0))</f>
        <v>0</v>
      </c>
      <c r="R1438" s="174">
        <v>0</v>
      </c>
      <c r="S1438" s="126">
        <v>3</v>
      </c>
      <c r="T1438" s="126" t="s">
        <v>247</v>
      </c>
      <c r="U1438" s="158"/>
      <c r="V1438" s="153" t="str">
        <f t="array" ref="V1438">INDEX(xlRTCLNAME,MATCH(1,(xlRTCLENDU=1)*(xlRTCLEQCL=$D1438),0))</f>
        <v>GEO_HP</v>
      </c>
      <c r="W1438" s="153" t="str">
        <f t="array" ref="W1438">INDEX(xlRTCLNAME,MATCH(1,(xlRTCLENDU=2)*(xlRTCLEQCL=$F1438),0))</f>
        <v>GEO_HP</v>
      </c>
      <c r="X1438" s="153" t="str">
        <f t="array" ref="X1438">INDEX(xlRTTYNAME,MATCH(1,(xlRTTYENDU=1)*(xlRTTYEQCL=$D1438)*(xlRTEQTYPE=$E1438),0))</f>
        <v>GEO_HP3</v>
      </c>
      <c r="Y1438" s="153" t="str">
        <f t="array" ref="Y1438">INDEX(xlRTTYNAME,MATCH(1,(xlRTTYENDU=2)*(xlRTTYEQCL=$F1438)*(xlRTEQTYPE=$G1438),0))</f>
        <v>GEO_HP3</v>
      </c>
    </row>
    <row r="1439" spans="2:25" ht="14.25" customHeight="1" x14ac:dyDescent="0.2">
      <c r="B1439" s="126">
        <v>5</v>
      </c>
      <c r="C1439" s="126">
        <v>2</v>
      </c>
      <c r="D1439" s="126">
        <v>10</v>
      </c>
      <c r="E1439" s="126">
        <v>34</v>
      </c>
      <c r="F1439" s="126">
        <v>4</v>
      </c>
      <c r="G1439" s="126">
        <v>15</v>
      </c>
      <c r="H1439" s="126">
        <v>2016</v>
      </c>
      <c r="I1439" s="126">
        <v>2050</v>
      </c>
      <c r="J1439" s="127">
        <v>1.03</v>
      </c>
      <c r="K1439" s="127">
        <v>1.0512999999999999</v>
      </c>
      <c r="L1439" s="127">
        <v>0.44379999999999997</v>
      </c>
      <c r="M1439" s="127">
        <v>1.1128</v>
      </c>
      <c r="N1439" s="127">
        <v>1.2490000000000001</v>
      </c>
      <c r="O1439" s="127">
        <v>1.0538000000000001</v>
      </c>
      <c r="P1439" s="126">
        <v>2051</v>
      </c>
      <c r="Q1439" s="128">
        <f t="array" ref="Q1439">SUM(IF(($S1439&gt;=4)*($C1439='TaxCred&amp;Subs'!$D$123:$D$127)*($H1439='TaxCred&amp;Subs'!$C$123:$C$127)*($H1439&lt;='TaxCred&amp;Subs'!$C$129),'TaxCred&amp;Subs'!$E$123:$E$127,0))</f>
        <v>0</v>
      </c>
      <c r="R1439" s="174">
        <v>0</v>
      </c>
      <c r="S1439" s="126">
        <v>3</v>
      </c>
      <c r="T1439" s="126" t="s">
        <v>247</v>
      </c>
      <c r="U1439" s="158"/>
      <c r="V1439" s="153" t="str">
        <f t="array" ref="V1439">INDEX(xlRTCLNAME,MATCH(1,(xlRTCLENDU=1)*(xlRTCLEQCL=$D1439),0))</f>
        <v>GEO_HP</v>
      </c>
      <c r="W1439" s="153" t="str">
        <f t="array" ref="W1439">INDEX(xlRTCLNAME,MATCH(1,(xlRTCLENDU=2)*(xlRTCLEQCL=$F1439),0))</f>
        <v>GEO_HP</v>
      </c>
      <c r="X1439" s="153" t="str">
        <f t="array" ref="X1439">INDEX(xlRTTYNAME,MATCH(1,(xlRTTYENDU=1)*(xlRTTYEQCL=$D1439)*(xlRTEQTYPE=$E1439),0))</f>
        <v>GEO_HP3</v>
      </c>
      <c r="Y1439" s="153" t="str">
        <f t="array" ref="Y1439">INDEX(xlRTTYNAME,MATCH(1,(xlRTTYENDU=2)*(xlRTTYEQCL=$F1439)*(xlRTEQTYPE=$G1439),0))</f>
        <v>GEO_HP3</v>
      </c>
    </row>
    <row r="1440" spans="2:25" ht="14.25" customHeight="1" x14ac:dyDescent="0.2">
      <c r="B1440" s="126">
        <v>6</v>
      </c>
      <c r="C1440" s="126">
        <v>2</v>
      </c>
      <c r="D1440" s="126">
        <v>10</v>
      </c>
      <c r="E1440" s="126">
        <v>34</v>
      </c>
      <c r="F1440" s="126">
        <v>4</v>
      </c>
      <c r="G1440" s="126">
        <v>15</v>
      </c>
      <c r="H1440" s="126">
        <v>2016</v>
      </c>
      <c r="I1440" s="126">
        <v>2050</v>
      </c>
      <c r="J1440" s="127">
        <v>1.1200000000000001</v>
      </c>
      <c r="K1440" s="127">
        <v>1.03</v>
      </c>
      <c r="L1440" s="127">
        <v>0.94379999999999997</v>
      </c>
      <c r="M1440" s="127">
        <v>1.1440999999999999</v>
      </c>
      <c r="N1440" s="127">
        <v>1.3656999999999999</v>
      </c>
      <c r="O1440" s="127">
        <v>1.0538000000000001</v>
      </c>
      <c r="P1440" s="126">
        <v>2260</v>
      </c>
      <c r="Q1440" s="128">
        <f t="array" ref="Q1440">SUM(IF(($S1440&gt;=4)*($C1440='TaxCred&amp;Subs'!$D$123:$D$127)*($H1440='TaxCred&amp;Subs'!$C$123:$C$127)*($H1440&lt;='TaxCred&amp;Subs'!$C$129),'TaxCred&amp;Subs'!$E$123:$E$127,0))</f>
        <v>0</v>
      </c>
      <c r="R1440" s="174">
        <v>0</v>
      </c>
      <c r="S1440" s="126">
        <v>3</v>
      </c>
      <c r="T1440" s="126" t="s">
        <v>247</v>
      </c>
      <c r="U1440" s="158"/>
      <c r="V1440" s="153" t="str">
        <f t="array" ref="V1440">INDEX(xlRTCLNAME,MATCH(1,(xlRTCLENDU=1)*(xlRTCLEQCL=$D1440),0))</f>
        <v>GEO_HP</v>
      </c>
      <c r="W1440" s="153" t="str">
        <f t="array" ref="W1440">INDEX(xlRTCLNAME,MATCH(1,(xlRTCLENDU=2)*(xlRTCLEQCL=$F1440),0))</f>
        <v>GEO_HP</v>
      </c>
      <c r="X1440" s="153" t="str">
        <f t="array" ref="X1440">INDEX(xlRTTYNAME,MATCH(1,(xlRTTYENDU=1)*(xlRTTYEQCL=$D1440)*(xlRTEQTYPE=$E1440),0))</f>
        <v>GEO_HP3</v>
      </c>
      <c r="Y1440" s="153" t="str">
        <f t="array" ref="Y1440">INDEX(xlRTTYNAME,MATCH(1,(xlRTTYENDU=2)*(xlRTTYEQCL=$F1440)*(xlRTEQTYPE=$G1440),0))</f>
        <v>GEO_HP3</v>
      </c>
    </row>
    <row r="1441" spans="2:25" ht="14.25" customHeight="1" x14ac:dyDescent="0.2">
      <c r="B1441" s="126">
        <v>7</v>
      </c>
      <c r="C1441" s="126">
        <v>2</v>
      </c>
      <c r="D1441" s="126">
        <v>10</v>
      </c>
      <c r="E1441" s="126">
        <v>34</v>
      </c>
      <c r="F1441" s="126">
        <v>4</v>
      </c>
      <c r="G1441" s="126">
        <v>15</v>
      </c>
      <c r="H1441" s="126">
        <v>2016</v>
      </c>
      <c r="I1441" s="126">
        <v>2050</v>
      </c>
      <c r="J1441" s="127">
        <v>1.03</v>
      </c>
      <c r="K1441" s="127">
        <v>1.0611999999999999</v>
      </c>
      <c r="L1441" s="127">
        <v>0.94379999999999997</v>
      </c>
      <c r="M1441" s="127">
        <v>1.1568000000000001</v>
      </c>
      <c r="N1441" s="127">
        <v>1.4438</v>
      </c>
      <c r="O1441" s="127">
        <v>1.0538000000000001</v>
      </c>
      <c r="P1441" s="126">
        <v>1512</v>
      </c>
      <c r="Q1441" s="128">
        <f t="array" ref="Q1441">SUM(IF(($S1441&gt;=4)*($C1441='TaxCred&amp;Subs'!$D$123:$D$127)*($H1441='TaxCred&amp;Subs'!$C$123:$C$127)*($H1441&lt;='TaxCred&amp;Subs'!$C$129),'TaxCred&amp;Subs'!$E$123:$E$127,0))</f>
        <v>0</v>
      </c>
      <c r="R1441" s="174">
        <v>0</v>
      </c>
      <c r="S1441" s="126">
        <v>3</v>
      </c>
      <c r="T1441" s="126" t="s">
        <v>247</v>
      </c>
      <c r="U1441" s="158"/>
      <c r="V1441" s="153" t="str">
        <f t="array" ref="V1441">INDEX(xlRTCLNAME,MATCH(1,(xlRTCLENDU=1)*(xlRTCLEQCL=$D1441),0))</f>
        <v>GEO_HP</v>
      </c>
      <c r="W1441" s="153" t="str">
        <f t="array" ref="W1441">INDEX(xlRTCLNAME,MATCH(1,(xlRTCLENDU=2)*(xlRTCLEQCL=$F1441),0))</f>
        <v>GEO_HP</v>
      </c>
      <c r="X1441" s="153" t="str">
        <f t="array" ref="X1441">INDEX(xlRTTYNAME,MATCH(1,(xlRTTYENDU=1)*(xlRTTYEQCL=$D1441)*(xlRTEQTYPE=$E1441),0))</f>
        <v>GEO_HP3</v>
      </c>
      <c r="Y1441" s="153" t="str">
        <f t="array" ref="Y1441">INDEX(xlRTTYNAME,MATCH(1,(xlRTTYENDU=2)*(xlRTTYEQCL=$F1441)*(xlRTEQTYPE=$G1441),0))</f>
        <v>GEO_HP3</v>
      </c>
    </row>
    <row r="1442" spans="2:25" ht="14.25" customHeight="1" x14ac:dyDescent="0.2">
      <c r="B1442" s="126">
        <v>8</v>
      </c>
      <c r="C1442" s="126">
        <v>2</v>
      </c>
      <c r="D1442" s="126">
        <v>10</v>
      </c>
      <c r="E1442" s="126">
        <v>34</v>
      </c>
      <c r="F1442" s="126">
        <v>4</v>
      </c>
      <c r="G1442" s="126">
        <v>15</v>
      </c>
      <c r="H1442" s="126">
        <v>2016</v>
      </c>
      <c r="I1442" s="126">
        <v>2050</v>
      </c>
      <c r="J1442" s="127">
        <v>1.1111</v>
      </c>
      <c r="K1442" s="127">
        <v>1.0417000000000001</v>
      </c>
      <c r="L1442" s="127">
        <v>0.7772</v>
      </c>
      <c r="M1442" s="127">
        <v>1.2388999999999999</v>
      </c>
      <c r="N1442" s="127">
        <v>1.2907</v>
      </c>
      <c r="O1442" s="127">
        <v>1.0538000000000001</v>
      </c>
      <c r="P1442" s="126">
        <v>2501</v>
      </c>
      <c r="Q1442" s="128">
        <f t="array" ref="Q1442">SUM(IF(($S1442&gt;=4)*($C1442='TaxCred&amp;Subs'!$D$123:$D$127)*($H1442='TaxCred&amp;Subs'!$C$123:$C$127)*($H1442&lt;='TaxCred&amp;Subs'!$C$129),'TaxCred&amp;Subs'!$E$123:$E$127,0))</f>
        <v>0</v>
      </c>
      <c r="R1442" s="174">
        <v>0</v>
      </c>
      <c r="S1442" s="126">
        <v>3</v>
      </c>
      <c r="T1442" s="126" t="s">
        <v>247</v>
      </c>
      <c r="U1442" s="158"/>
      <c r="V1442" s="153" t="str">
        <f t="array" ref="V1442">INDEX(xlRTCLNAME,MATCH(1,(xlRTCLENDU=1)*(xlRTCLEQCL=$D1442),0))</f>
        <v>GEO_HP</v>
      </c>
      <c r="W1442" s="153" t="str">
        <f t="array" ref="W1442">INDEX(xlRTCLNAME,MATCH(1,(xlRTCLENDU=2)*(xlRTCLEQCL=$F1442),0))</f>
        <v>GEO_HP</v>
      </c>
      <c r="X1442" s="153" t="str">
        <f t="array" ref="X1442">INDEX(xlRTTYNAME,MATCH(1,(xlRTTYENDU=1)*(xlRTTYEQCL=$D1442)*(xlRTEQTYPE=$E1442),0))</f>
        <v>GEO_HP3</v>
      </c>
      <c r="Y1442" s="153" t="str">
        <f t="array" ref="Y1442">INDEX(xlRTTYNAME,MATCH(1,(xlRTTYENDU=2)*(xlRTTYEQCL=$F1442)*(xlRTEQTYPE=$G1442),0))</f>
        <v>GEO_HP3</v>
      </c>
    </row>
    <row r="1443" spans="2:25" ht="14.25" customHeight="1" x14ac:dyDescent="0.2">
      <c r="B1443" s="126">
        <v>9</v>
      </c>
      <c r="C1443" s="126">
        <v>2</v>
      </c>
      <c r="D1443" s="126">
        <v>10</v>
      </c>
      <c r="E1443" s="126">
        <v>34</v>
      </c>
      <c r="F1443" s="126">
        <v>4</v>
      </c>
      <c r="G1443" s="126">
        <v>15</v>
      </c>
      <c r="H1443" s="126">
        <v>2016</v>
      </c>
      <c r="I1443" s="126">
        <v>2050</v>
      </c>
      <c r="J1443" s="127">
        <v>1.03</v>
      </c>
      <c r="K1443" s="127">
        <v>1.0741000000000001</v>
      </c>
      <c r="L1443" s="127">
        <v>0.44379999999999997</v>
      </c>
      <c r="M1443" s="127">
        <v>1.1909000000000001</v>
      </c>
      <c r="N1443" s="127">
        <v>1.4438</v>
      </c>
      <c r="O1443" s="127">
        <v>1.0538000000000001</v>
      </c>
      <c r="P1443" s="126">
        <v>3611</v>
      </c>
      <c r="Q1443" s="128">
        <f t="array" ref="Q1443">SUM(IF(($S1443&gt;=4)*($C1443='TaxCred&amp;Subs'!$D$123:$D$127)*($H1443='TaxCred&amp;Subs'!$C$123:$C$127)*($H1443&lt;='TaxCred&amp;Subs'!$C$129),'TaxCred&amp;Subs'!$E$123:$E$127,0))</f>
        <v>0</v>
      </c>
      <c r="R1443" s="174">
        <v>0</v>
      </c>
      <c r="S1443" s="126">
        <v>3</v>
      </c>
      <c r="T1443" s="126" t="s">
        <v>247</v>
      </c>
      <c r="U1443" s="158"/>
      <c r="V1443" s="153" t="str">
        <f t="array" ref="V1443">INDEX(xlRTCLNAME,MATCH(1,(xlRTCLENDU=1)*(xlRTCLEQCL=$D1443),0))</f>
        <v>GEO_HP</v>
      </c>
      <c r="W1443" s="153" t="str">
        <f t="array" ref="W1443">INDEX(xlRTCLNAME,MATCH(1,(xlRTCLENDU=2)*(xlRTCLEQCL=$F1443),0))</f>
        <v>GEO_HP</v>
      </c>
      <c r="X1443" s="153" t="str">
        <f t="array" ref="X1443">INDEX(xlRTTYNAME,MATCH(1,(xlRTTYENDU=1)*(xlRTTYEQCL=$D1443)*(xlRTEQTYPE=$E1443),0))</f>
        <v>GEO_HP3</v>
      </c>
      <c r="Y1443" s="153" t="str">
        <f t="array" ref="Y1443">INDEX(xlRTTYNAME,MATCH(1,(xlRTTYENDU=2)*(xlRTTYEQCL=$F1443)*(xlRTEQTYPE=$G1443),0))</f>
        <v>GEO_HP3</v>
      </c>
    </row>
    <row r="1444" spans="2:25" ht="14.25" customHeight="1" x14ac:dyDescent="0.2">
      <c r="B1444" s="126">
        <v>1</v>
      </c>
      <c r="C1444" s="126">
        <v>2</v>
      </c>
      <c r="D1444" s="126">
        <v>11</v>
      </c>
      <c r="E1444" s="126">
        <v>36</v>
      </c>
      <c r="F1444" s="126">
        <v>5</v>
      </c>
      <c r="G1444" s="126">
        <v>17</v>
      </c>
      <c r="H1444" s="126">
        <v>2016</v>
      </c>
      <c r="I1444" s="126">
        <v>2050</v>
      </c>
      <c r="J1444" s="127">
        <v>1.1042000000000001</v>
      </c>
      <c r="K1444" s="127">
        <v>1.0417000000000001</v>
      </c>
      <c r="L1444" s="127">
        <v>0.92490000000000006</v>
      </c>
      <c r="M1444" s="127">
        <v>1.1455</v>
      </c>
      <c r="N1444" s="127">
        <v>1.1127</v>
      </c>
      <c r="O1444" s="127">
        <v>1.0538000000000001</v>
      </c>
      <c r="P1444" s="126">
        <v>3120</v>
      </c>
      <c r="Q1444" s="128">
        <f t="array" ref="Q1444">SUM(IF(($S1444&gt;=4)*($C1444='TaxCred&amp;Subs'!$D$123:$D$127)*($H1444='TaxCred&amp;Subs'!$C$123:$C$127)*($H1444&lt;='TaxCred&amp;Subs'!$C$129),'TaxCred&amp;Subs'!$E$123:$E$127,0))</f>
        <v>0</v>
      </c>
      <c r="R1444" s="174">
        <v>0</v>
      </c>
      <c r="S1444" s="126">
        <v>3</v>
      </c>
      <c r="T1444" s="126" t="s">
        <v>247</v>
      </c>
      <c r="U1444" s="158"/>
      <c r="V1444" s="153" t="str">
        <f t="array" ref="V1444">INDEX(xlRTCLNAME,MATCH(1,(xlRTCLENDU=1)*(xlRTCLEQCL=$D1444),0))</f>
        <v>NG_HP</v>
      </c>
      <c r="W1444" s="153" t="str">
        <f t="array" ref="W1444">INDEX(xlRTCLNAME,MATCH(1,(xlRTCLENDU=2)*(xlRTCLEQCL=$F1444),0))</f>
        <v>NG_HP</v>
      </c>
      <c r="X1444" s="153" t="str">
        <f t="array" ref="X1444">INDEX(xlRTTYNAME,MATCH(1,(xlRTTYENDU=1)*(xlRTTYEQCL=$D1444)*(xlRTEQTYPE=$E1444),0))</f>
        <v>NG_HP2</v>
      </c>
      <c r="Y1444" s="153" t="str">
        <f t="array" ref="Y1444">INDEX(xlRTTYNAME,MATCH(1,(xlRTTYENDU=2)*(xlRTTYEQCL=$F1444)*(xlRTEQTYPE=$G1444),0))</f>
        <v>NG_HP2</v>
      </c>
    </row>
    <row r="1445" spans="2:25" ht="14.25" customHeight="1" x14ac:dyDescent="0.2">
      <c r="B1445" s="126">
        <v>2</v>
      </c>
      <c r="C1445" s="126">
        <v>2</v>
      </c>
      <c r="D1445" s="126">
        <v>11</v>
      </c>
      <c r="E1445" s="126">
        <v>36</v>
      </c>
      <c r="F1445" s="126">
        <v>5</v>
      </c>
      <c r="G1445" s="126">
        <v>17</v>
      </c>
      <c r="H1445" s="126">
        <v>2016</v>
      </c>
      <c r="I1445" s="126">
        <v>2050</v>
      </c>
      <c r="J1445" s="127">
        <v>1.0847</v>
      </c>
      <c r="K1445" s="127">
        <v>1.0357000000000001</v>
      </c>
      <c r="L1445" s="127">
        <v>0.99829999999999997</v>
      </c>
      <c r="M1445" s="127">
        <v>1.1834</v>
      </c>
      <c r="N1445" s="127">
        <v>1.1162000000000001</v>
      </c>
      <c r="O1445" s="127">
        <v>1.0538000000000001</v>
      </c>
      <c r="P1445" s="126">
        <v>2260</v>
      </c>
      <c r="Q1445" s="128">
        <f t="array" ref="Q1445">SUM(IF(($S1445&gt;=4)*($C1445='TaxCred&amp;Subs'!$D$123:$D$127)*($H1445='TaxCred&amp;Subs'!$C$123:$C$127)*($H1445&lt;='TaxCred&amp;Subs'!$C$129),'TaxCred&amp;Subs'!$E$123:$E$127,0))</f>
        <v>0</v>
      </c>
      <c r="R1445" s="174">
        <v>0</v>
      </c>
      <c r="S1445" s="126">
        <v>3</v>
      </c>
      <c r="T1445" s="126" t="s">
        <v>247</v>
      </c>
      <c r="U1445" s="158"/>
      <c r="V1445" s="153" t="str">
        <f t="array" ref="V1445">INDEX(xlRTCLNAME,MATCH(1,(xlRTCLENDU=1)*(xlRTCLEQCL=$D1445),0))</f>
        <v>NG_HP</v>
      </c>
      <c r="W1445" s="153" t="str">
        <f t="array" ref="W1445">INDEX(xlRTCLNAME,MATCH(1,(xlRTCLENDU=2)*(xlRTCLEQCL=$F1445),0))</f>
        <v>NG_HP</v>
      </c>
      <c r="X1445" s="153" t="str">
        <f t="array" ref="X1445">INDEX(xlRTTYNAME,MATCH(1,(xlRTTYENDU=1)*(xlRTTYEQCL=$D1445)*(xlRTEQTYPE=$E1445),0))</f>
        <v>NG_HP2</v>
      </c>
      <c r="Y1445" s="153" t="str">
        <f t="array" ref="Y1445">INDEX(xlRTTYNAME,MATCH(1,(xlRTTYENDU=2)*(xlRTTYEQCL=$F1445)*(xlRTEQTYPE=$G1445),0))</f>
        <v>NG_HP2</v>
      </c>
    </row>
    <row r="1446" spans="2:25" ht="14.25" customHeight="1" x14ac:dyDescent="0.2">
      <c r="B1446" s="126">
        <v>3</v>
      </c>
      <c r="C1446" s="126">
        <v>2</v>
      </c>
      <c r="D1446" s="126">
        <v>11</v>
      </c>
      <c r="E1446" s="126">
        <v>36</v>
      </c>
      <c r="F1446" s="126">
        <v>5</v>
      </c>
      <c r="G1446" s="126">
        <v>17</v>
      </c>
      <c r="H1446" s="126">
        <v>2016</v>
      </c>
      <c r="I1446" s="126">
        <v>2050</v>
      </c>
      <c r="J1446" s="127">
        <v>1.0984</v>
      </c>
      <c r="K1446" s="127">
        <v>1.0345</v>
      </c>
      <c r="L1446" s="127">
        <v>0.83499999999999996</v>
      </c>
      <c r="M1446" s="127">
        <v>1.0828</v>
      </c>
      <c r="N1446" s="127">
        <v>1.0399</v>
      </c>
      <c r="O1446" s="127">
        <v>1.0538000000000001</v>
      </c>
      <c r="P1446" s="126">
        <v>2657</v>
      </c>
      <c r="Q1446" s="128">
        <f t="array" ref="Q1446">SUM(IF(($S1446&gt;=4)*($C1446='TaxCred&amp;Subs'!$D$123:$D$127)*($H1446='TaxCred&amp;Subs'!$C$123:$C$127)*($H1446&lt;='TaxCred&amp;Subs'!$C$129),'TaxCred&amp;Subs'!$E$123:$E$127,0))</f>
        <v>0</v>
      </c>
      <c r="R1446" s="174">
        <v>0</v>
      </c>
      <c r="S1446" s="126">
        <v>3</v>
      </c>
      <c r="T1446" s="126" t="s">
        <v>247</v>
      </c>
      <c r="U1446" s="158"/>
      <c r="V1446" s="153" t="str">
        <f t="array" ref="V1446">INDEX(xlRTCLNAME,MATCH(1,(xlRTCLENDU=1)*(xlRTCLEQCL=$D1446),0))</f>
        <v>NG_HP</v>
      </c>
      <c r="W1446" s="153" t="str">
        <f t="array" ref="W1446">INDEX(xlRTCLNAME,MATCH(1,(xlRTCLENDU=2)*(xlRTCLEQCL=$F1446),0))</f>
        <v>NG_HP</v>
      </c>
      <c r="X1446" s="153" t="str">
        <f t="array" ref="X1446">INDEX(xlRTTYNAME,MATCH(1,(xlRTTYENDU=1)*(xlRTTYEQCL=$D1446)*(xlRTEQTYPE=$E1446),0))</f>
        <v>NG_HP2</v>
      </c>
      <c r="Y1446" s="153" t="str">
        <f t="array" ref="Y1446">INDEX(xlRTTYNAME,MATCH(1,(xlRTTYENDU=2)*(xlRTTYEQCL=$F1446)*(xlRTEQTYPE=$G1446),0))</f>
        <v>NG_HP2</v>
      </c>
    </row>
    <row r="1447" spans="2:25" ht="14.25" customHeight="1" x14ac:dyDescent="0.2">
      <c r="B1447" s="126">
        <v>4</v>
      </c>
      <c r="C1447" s="126">
        <v>2</v>
      </c>
      <c r="D1447" s="126">
        <v>11</v>
      </c>
      <c r="E1447" s="126">
        <v>36</v>
      </c>
      <c r="F1447" s="126">
        <v>5</v>
      </c>
      <c r="G1447" s="126">
        <v>17</v>
      </c>
      <c r="H1447" s="126">
        <v>2016</v>
      </c>
      <c r="I1447" s="126">
        <v>2050</v>
      </c>
      <c r="J1447" s="127">
        <v>1.1000000000000001</v>
      </c>
      <c r="K1447" s="127">
        <v>1.0435000000000001</v>
      </c>
      <c r="L1447" s="127">
        <v>0.99419999999999997</v>
      </c>
      <c r="M1447" s="127">
        <v>1.1499999999999999</v>
      </c>
      <c r="N1447" s="127">
        <v>1.1696</v>
      </c>
      <c r="O1447" s="127">
        <v>1.0538000000000001</v>
      </c>
      <c r="P1447" s="126">
        <v>2300</v>
      </c>
      <c r="Q1447" s="128">
        <f t="array" ref="Q1447">SUM(IF(($S1447&gt;=4)*($C1447='TaxCred&amp;Subs'!$D$123:$D$127)*($H1447='TaxCred&amp;Subs'!$C$123:$C$127)*($H1447&lt;='TaxCred&amp;Subs'!$C$129),'TaxCred&amp;Subs'!$E$123:$E$127,0))</f>
        <v>0</v>
      </c>
      <c r="R1447" s="174">
        <v>0</v>
      </c>
      <c r="S1447" s="126">
        <v>3</v>
      </c>
      <c r="T1447" s="126" t="s">
        <v>247</v>
      </c>
      <c r="U1447" s="158"/>
      <c r="V1447" s="153" t="str">
        <f t="array" ref="V1447">INDEX(xlRTCLNAME,MATCH(1,(xlRTCLENDU=1)*(xlRTCLEQCL=$D1447),0))</f>
        <v>NG_HP</v>
      </c>
      <c r="W1447" s="153" t="str">
        <f t="array" ref="W1447">INDEX(xlRTCLNAME,MATCH(1,(xlRTCLENDU=2)*(xlRTCLEQCL=$F1447),0))</f>
        <v>NG_HP</v>
      </c>
      <c r="X1447" s="153" t="str">
        <f t="array" ref="X1447">INDEX(xlRTTYNAME,MATCH(1,(xlRTTYENDU=1)*(xlRTTYEQCL=$D1447)*(xlRTEQTYPE=$E1447),0))</f>
        <v>NG_HP2</v>
      </c>
      <c r="Y1447" s="153" t="str">
        <f t="array" ref="Y1447">INDEX(xlRTTYNAME,MATCH(1,(xlRTTYENDU=2)*(xlRTTYEQCL=$F1447)*(xlRTEQTYPE=$G1447),0))</f>
        <v>NG_HP2</v>
      </c>
    </row>
    <row r="1448" spans="2:25" ht="14.25" customHeight="1" x14ac:dyDescent="0.2">
      <c r="B1448" s="126">
        <v>5</v>
      </c>
      <c r="C1448" s="126">
        <v>2</v>
      </c>
      <c r="D1448" s="126">
        <v>11</v>
      </c>
      <c r="E1448" s="126">
        <v>36</v>
      </c>
      <c r="F1448" s="126">
        <v>5</v>
      </c>
      <c r="G1448" s="126">
        <v>17</v>
      </c>
      <c r="H1448" s="126">
        <v>2016</v>
      </c>
      <c r="I1448" s="126">
        <v>2050</v>
      </c>
      <c r="J1448" s="127">
        <v>1.1200000000000001</v>
      </c>
      <c r="K1448" s="127">
        <v>1.0391999999999999</v>
      </c>
      <c r="L1448" s="127">
        <v>0.69379999999999997</v>
      </c>
      <c r="M1448" s="127">
        <v>1.1097999999999999</v>
      </c>
      <c r="N1448" s="127">
        <v>1.2750999999999999</v>
      </c>
      <c r="O1448" s="127">
        <v>1.0538000000000001</v>
      </c>
      <c r="P1448" s="126">
        <v>1871</v>
      </c>
      <c r="Q1448" s="128">
        <f t="array" ref="Q1448">SUM(IF(($S1448&gt;=4)*($C1448='TaxCred&amp;Subs'!$D$123:$D$127)*($H1448='TaxCred&amp;Subs'!$C$123:$C$127)*($H1448&lt;='TaxCred&amp;Subs'!$C$129),'TaxCred&amp;Subs'!$E$123:$E$127,0))</f>
        <v>0</v>
      </c>
      <c r="R1448" s="174">
        <v>0</v>
      </c>
      <c r="S1448" s="126">
        <v>3</v>
      </c>
      <c r="T1448" s="126" t="s">
        <v>247</v>
      </c>
      <c r="U1448" s="158"/>
      <c r="V1448" s="153" t="str">
        <f t="array" ref="V1448">INDEX(xlRTCLNAME,MATCH(1,(xlRTCLENDU=1)*(xlRTCLEQCL=$D1448),0))</f>
        <v>NG_HP</v>
      </c>
      <c r="W1448" s="153" t="str">
        <f t="array" ref="W1448">INDEX(xlRTCLNAME,MATCH(1,(xlRTCLENDU=2)*(xlRTCLEQCL=$F1448),0))</f>
        <v>NG_HP</v>
      </c>
      <c r="X1448" s="153" t="str">
        <f t="array" ref="X1448">INDEX(xlRTTYNAME,MATCH(1,(xlRTTYENDU=1)*(xlRTTYEQCL=$D1448)*(xlRTEQTYPE=$E1448),0))</f>
        <v>NG_HP2</v>
      </c>
      <c r="Y1448" s="153" t="str">
        <f t="array" ref="Y1448">INDEX(xlRTTYNAME,MATCH(1,(xlRTTYENDU=2)*(xlRTTYEQCL=$F1448)*(xlRTEQTYPE=$G1448),0))</f>
        <v>NG_HP2</v>
      </c>
    </row>
    <row r="1449" spans="2:25" ht="14.25" customHeight="1" x14ac:dyDescent="0.2">
      <c r="B1449" s="126">
        <v>6</v>
      </c>
      <c r="C1449" s="126">
        <v>2</v>
      </c>
      <c r="D1449" s="126">
        <v>11</v>
      </c>
      <c r="E1449" s="126">
        <v>36</v>
      </c>
      <c r="F1449" s="126">
        <v>5</v>
      </c>
      <c r="G1449" s="126">
        <v>17</v>
      </c>
      <c r="H1449" s="126">
        <v>2016</v>
      </c>
      <c r="I1449" s="126">
        <v>2050</v>
      </c>
      <c r="J1449" s="127">
        <v>1.1200000000000001</v>
      </c>
      <c r="K1449" s="127">
        <v>1.03</v>
      </c>
      <c r="L1449" s="127">
        <v>1.0105</v>
      </c>
      <c r="M1449" s="127">
        <v>1.1568000000000001</v>
      </c>
      <c r="N1449" s="127">
        <v>1.3324</v>
      </c>
      <c r="O1449" s="127">
        <v>1.0538000000000001</v>
      </c>
      <c r="P1449" s="126">
        <v>2063</v>
      </c>
      <c r="Q1449" s="128">
        <f t="array" ref="Q1449">SUM(IF(($S1449&gt;=4)*($C1449='TaxCred&amp;Subs'!$D$123:$D$127)*($H1449='TaxCred&amp;Subs'!$C$123:$C$127)*($H1449&lt;='TaxCred&amp;Subs'!$C$129),'TaxCred&amp;Subs'!$E$123:$E$127,0))</f>
        <v>0</v>
      </c>
      <c r="R1449" s="174">
        <v>0</v>
      </c>
      <c r="S1449" s="126">
        <v>3</v>
      </c>
      <c r="T1449" s="126" t="s">
        <v>247</v>
      </c>
      <c r="U1449" s="158"/>
      <c r="V1449" s="153" t="str">
        <f t="array" ref="V1449">INDEX(xlRTCLNAME,MATCH(1,(xlRTCLENDU=1)*(xlRTCLEQCL=$D1449),0))</f>
        <v>NG_HP</v>
      </c>
      <c r="W1449" s="153" t="str">
        <f t="array" ref="W1449">INDEX(xlRTCLNAME,MATCH(1,(xlRTCLENDU=2)*(xlRTCLEQCL=$F1449),0))</f>
        <v>NG_HP</v>
      </c>
      <c r="X1449" s="153" t="str">
        <f t="array" ref="X1449">INDEX(xlRTTYNAME,MATCH(1,(xlRTTYENDU=1)*(xlRTTYEQCL=$D1449)*(xlRTEQTYPE=$E1449),0))</f>
        <v>NG_HP2</v>
      </c>
      <c r="Y1449" s="153" t="str">
        <f t="array" ref="Y1449">INDEX(xlRTTYNAME,MATCH(1,(xlRTTYENDU=2)*(xlRTTYEQCL=$F1449)*(xlRTEQTYPE=$G1449),0))</f>
        <v>NG_HP2</v>
      </c>
    </row>
    <row r="1450" spans="2:25" ht="14.25" customHeight="1" x14ac:dyDescent="0.2">
      <c r="B1450" s="126">
        <v>7</v>
      </c>
      <c r="C1450" s="126">
        <v>2</v>
      </c>
      <c r="D1450" s="126">
        <v>11</v>
      </c>
      <c r="E1450" s="126">
        <v>36</v>
      </c>
      <c r="F1450" s="126">
        <v>5</v>
      </c>
      <c r="G1450" s="126">
        <v>17</v>
      </c>
      <c r="H1450" s="126">
        <v>2016</v>
      </c>
      <c r="I1450" s="126">
        <v>2050</v>
      </c>
      <c r="J1450" s="127">
        <v>1.1200000000000001</v>
      </c>
      <c r="K1450" s="127">
        <v>1.0462</v>
      </c>
      <c r="L1450" s="127">
        <v>1.2771999999999999</v>
      </c>
      <c r="M1450" s="127">
        <v>1.1604000000000001</v>
      </c>
      <c r="N1450" s="127">
        <v>1.4438</v>
      </c>
      <c r="O1450" s="127">
        <v>1.0538000000000001</v>
      </c>
      <c r="P1450" s="126">
        <v>1495</v>
      </c>
      <c r="Q1450" s="128">
        <f t="array" ref="Q1450">SUM(IF(($S1450&gt;=4)*($C1450='TaxCred&amp;Subs'!$D$123:$D$127)*($H1450='TaxCred&amp;Subs'!$C$123:$C$127)*($H1450&lt;='TaxCred&amp;Subs'!$C$129),'TaxCred&amp;Subs'!$E$123:$E$127,0))</f>
        <v>0</v>
      </c>
      <c r="R1450" s="174">
        <v>0</v>
      </c>
      <c r="S1450" s="126">
        <v>3</v>
      </c>
      <c r="T1450" s="126" t="s">
        <v>247</v>
      </c>
      <c r="U1450" s="158"/>
      <c r="V1450" s="153" t="str">
        <f t="array" ref="V1450">INDEX(xlRTCLNAME,MATCH(1,(xlRTCLENDU=1)*(xlRTCLEQCL=$D1450),0))</f>
        <v>NG_HP</v>
      </c>
      <c r="W1450" s="153" t="str">
        <f t="array" ref="W1450">INDEX(xlRTCLNAME,MATCH(1,(xlRTCLENDU=2)*(xlRTCLEQCL=$F1450),0))</f>
        <v>NG_HP</v>
      </c>
      <c r="X1450" s="153" t="str">
        <f t="array" ref="X1450">INDEX(xlRTTYNAME,MATCH(1,(xlRTTYENDU=1)*(xlRTTYEQCL=$D1450)*(xlRTEQTYPE=$E1450),0))</f>
        <v>NG_HP2</v>
      </c>
      <c r="Y1450" s="153" t="str">
        <f t="array" ref="Y1450">INDEX(xlRTTYNAME,MATCH(1,(xlRTTYENDU=2)*(xlRTTYEQCL=$F1450)*(xlRTEQTYPE=$G1450),0))</f>
        <v>NG_HP2</v>
      </c>
    </row>
    <row r="1451" spans="2:25" ht="14.25" customHeight="1" x14ac:dyDescent="0.2">
      <c r="B1451" s="126">
        <v>8</v>
      </c>
      <c r="C1451" s="126">
        <v>2</v>
      </c>
      <c r="D1451" s="126">
        <v>11</v>
      </c>
      <c r="E1451" s="126">
        <v>36</v>
      </c>
      <c r="F1451" s="126">
        <v>5</v>
      </c>
      <c r="G1451" s="126">
        <v>17</v>
      </c>
      <c r="H1451" s="126">
        <v>2016</v>
      </c>
      <c r="I1451" s="126">
        <v>2050</v>
      </c>
      <c r="J1451" s="127">
        <v>1.0932999999999999</v>
      </c>
      <c r="K1451" s="127">
        <v>1.0323</v>
      </c>
      <c r="L1451" s="127">
        <v>1.0073000000000001</v>
      </c>
      <c r="M1451" s="127">
        <v>1.2739</v>
      </c>
      <c r="N1451" s="127">
        <v>1.2847999999999999</v>
      </c>
      <c r="O1451" s="127">
        <v>1.0538000000000001</v>
      </c>
      <c r="P1451" s="126">
        <v>2451</v>
      </c>
      <c r="Q1451" s="128">
        <f t="array" ref="Q1451">SUM(IF(($S1451&gt;=4)*($C1451='TaxCred&amp;Subs'!$D$123:$D$127)*($H1451='TaxCred&amp;Subs'!$C$123:$C$127)*($H1451&lt;='TaxCred&amp;Subs'!$C$129),'TaxCred&amp;Subs'!$E$123:$E$127,0))</f>
        <v>0</v>
      </c>
      <c r="R1451" s="174">
        <v>0</v>
      </c>
      <c r="S1451" s="126">
        <v>3</v>
      </c>
      <c r="T1451" s="126" t="s">
        <v>247</v>
      </c>
      <c r="U1451" s="158"/>
      <c r="V1451" s="153" t="str">
        <f t="array" ref="V1451">INDEX(xlRTCLNAME,MATCH(1,(xlRTCLENDU=1)*(xlRTCLEQCL=$D1451),0))</f>
        <v>NG_HP</v>
      </c>
      <c r="W1451" s="153" t="str">
        <f t="array" ref="W1451">INDEX(xlRTCLNAME,MATCH(1,(xlRTCLENDU=2)*(xlRTCLEQCL=$F1451),0))</f>
        <v>NG_HP</v>
      </c>
      <c r="X1451" s="153" t="str">
        <f t="array" ref="X1451">INDEX(xlRTTYNAME,MATCH(1,(xlRTTYENDU=1)*(xlRTTYEQCL=$D1451)*(xlRTEQTYPE=$E1451),0))</f>
        <v>NG_HP2</v>
      </c>
      <c r="Y1451" s="153" t="str">
        <f t="array" ref="Y1451">INDEX(xlRTTYNAME,MATCH(1,(xlRTTYENDU=2)*(xlRTTYEQCL=$F1451)*(xlRTEQTYPE=$G1451),0))</f>
        <v>NG_HP2</v>
      </c>
    </row>
    <row r="1452" spans="2:25" ht="14.25" customHeight="1" x14ac:dyDescent="0.2">
      <c r="B1452" s="126">
        <v>9</v>
      </c>
      <c r="C1452" s="126">
        <v>2</v>
      </c>
      <c r="D1452" s="126">
        <v>11</v>
      </c>
      <c r="E1452" s="126">
        <v>36</v>
      </c>
      <c r="F1452" s="126">
        <v>5</v>
      </c>
      <c r="G1452" s="126">
        <v>17</v>
      </c>
      <c r="H1452" s="126">
        <v>2016</v>
      </c>
      <c r="I1452" s="126">
        <v>2050</v>
      </c>
      <c r="J1452" s="127">
        <v>1.07</v>
      </c>
      <c r="K1452" s="127">
        <v>1.0541</v>
      </c>
      <c r="L1452" s="127">
        <v>0.81879999999999997</v>
      </c>
      <c r="M1452" s="127">
        <v>1.2</v>
      </c>
      <c r="N1452" s="127">
        <v>1.4438</v>
      </c>
      <c r="O1452" s="127">
        <v>1.0538000000000001</v>
      </c>
      <c r="P1452" s="126">
        <v>2153</v>
      </c>
      <c r="Q1452" s="128">
        <f t="array" ref="Q1452">SUM(IF(($S1452&gt;=4)*($C1452='TaxCred&amp;Subs'!$D$123:$D$127)*($H1452='TaxCred&amp;Subs'!$C$123:$C$127)*($H1452&lt;='TaxCred&amp;Subs'!$C$129),'TaxCred&amp;Subs'!$E$123:$E$127,0))</f>
        <v>0</v>
      </c>
      <c r="R1452" s="174">
        <v>0</v>
      </c>
      <c r="S1452" s="126">
        <v>3</v>
      </c>
      <c r="T1452" s="126" t="s">
        <v>247</v>
      </c>
      <c r="U1452" s="158"/>
      <c r="V1452" s="153" t="str">
        <f t="array" ref="V1452">INDEX(xlRTCLNAME,MATCH(1,(xlRTCLENDU=1)*(xlRTCLEQCL=$D1452),0))</f>
        <v>NG_HP</v>
      </c>
      <c r="W1452" s="153" t="str">
        <f t="array" ref="W1452">INDEX(xlRTCLNAME,MATCH(1,(xlRTCLENDU=2)*(xlRTCLEQCL=$F1452),0))</f>
        <v>NG_HP</v>
      </c>
      <c r="X1452" s="153" t="str">
        <f t="array" ref="X1452">INDEX(xlRTTYNAME,MATCH(1,(xlRTTYENDU=1)*(xlRTTYEQCL=$D1452)*(xlRTEQTYPE=$E1452),0))</f>
        <v>NG_HP2</v>
      </c>
      <c r="Y1452" s="153" t="str">
        <f t="array" ref="Y1452">INDEX(xlRTTYNAME,MATCH(1,(xlRTTYENDU=2)*(xlRTTYEQCL=$F1452)*(xlRTEQTYPE=$G1452),0))</f>
        <v>NG_HP2</v>
      </c>
    </row>
    <row r="1453" spans="2:25" ht="14.25" customHeight="1" x14ac:dyDescent="0.2">
      <c r="B1453" s="126">
        <v>1</v>
      </c>
      <c r="C1453" s="126">
        <v>2</v>
      </c>
      <c r="D1453" s="126">
        <v>1</v>
      </c>
      <c r="E1453" s="126">
        <v>1</v>
      </c>
      <c r="F1453" s="126">
        <v>2</v>
      </c>
      <c r="G1453" s="126">
        <v>7</v>
      </c>
      <c r="H1453" s="126">
        <v>2016</v>
      </c>
      <c r="I1453" s="159">
        <v>2022</v>
      </c>
      <c r="J1453" s="127">
        <v>1.1039000000000001</v>
      </c>
      <c r="K1453" s="127">
        <v>1.0417000000000001</v>
      </c>
      <c r="L1453" s="127">
        <v>0.58530000000000004</v>
      </c>
      <c r="M1453" s="127">
        <v>1.1228</v>
      </c>
      <c r="N1453" s="127">
        <v>1.1114999999999999</v>
      </c>
      <c r="O1453" s="127">
        <v>1.0538000000000001</v>
      </c>
      <c r="P1453" s="126">
        <v>3776</v>
      </c>
      <c r="Q1453" s="128">
        <f t="array" ref="Q1453">SUM(IF(($S1453&gt;=4)*($C1453='TaxCred&amp;Subs'!$D$123:$D$127)*($H1453='TaxCred&amp;Subs'!$C$123:$C$127)*($H1453&lt;='TaxCred&amp;Subs'!$C$129),'TaxCred&amp;Subs'!$E$123:$E$127,0))</f>
        <v>0</v>
      </c>
      <c r="R1453" s="174">
        <v>0</v>
      </c>
      <c r="S1453" s="126">
        <v>4</v>
      </c>
      <c r="T1453" s="126" t="s">
        <v>248</v>
      </c>
      <c r="V1453" s="153" t="str">
        <f t="array" ref="V1453">INDEX(xlRTCLNAME,MATCH(1,(xlRTCLENDU=1)*(xlRTCLEQCL=$D1453),0))</f>
        <v>ELEC_RAD</v>
      </c>
      <c r="W1453" s="153" t="str">
        <f t="array" ref="W1453">INDEX(xlRTCLNAME,MATCH(1,(xlRTCLENDU=2)*(xlRTCLEQCL=$F1453),0))</f>
        <v>CENT_AIR</v>
      </c>
      <c r="X1453" s="153" t="str">
        <f t="array" ref="X1453">INDEX(xlRTTYNAME,MATCH(1,(xlRTTYENDU=1)*(xlRTTYEQCL=$D1453)*(xlRTEQTYPE=$E1453),0))</f>
        <v>ELEC_RAD2</v>
      </c>
      <c r="Y1453" s="153" t="str">
        <f t="array" ref="Y1453">INDEX(xlRTTYNAME,MATCH(1,(xlRTTYENDU=2)*(xlRTTYEQCL=$F1453)*(xlRTEQTYPE=$G1453),0))</f>
        <v>CENT_AIR3</v>
      </c>
    </row>
    <row r="1454" spans="2:25" ht="14.25" customHeight="1" x14ac:dyDescent="0.2">
      <c r="B1454" s="49">
        <v>1</v>
      </c>
      <c r="C1454" s="49">
        <v>2</v>
      </c>
      <c r="D1454" s="49">
        <v>1</v>
      </c>
      <c r="E1454" s="49">
        <v>1</v>
      </c>
      <c r="F1454" s="49">
        <v>2</v>
      </c>
      <c r="G1454" s="49">
        <v>7</v>
      </c>
      <c r="H1454" s="49">
        <v>2023</v>
      </c>
      <c r="I1454" s="49">
        <v>2032</v>
      </c>
      <c r="J1454" s="50">
        <v>1.1039000000000001</v>
      </c>
      <c r="K1454" s="50">
        <v>1.0417000000000001</v>
      </c>
      <c r="L1454" s="50">
        <v>0.58530000000000004</v>
      </c>
      <c r="M1454" s="50">
        <v>1.1228</v>
      </c>
      <c r="N1454" s="50">
        <v>1.1114999999999999</v>
      </c>
      <c r="O1454" s="50">
        <v>1.0538000000000001</v>
      </c>
      <c r="P1454" s="49">
        <v>3776</v>
      </c>
      <c r="Q1454" s="51">
        <f t="array" ref="Q1454">SUM(IF(($S1454&gt;=4)*($C1454='TaxCred&amp;Subs'!$D$123:$D$127)*($H1454='TaxCred&amp;Subs'!$C$123:$C$127)*($H1454&lt;='TaxCred&amp;Subs'!$C$129),'TaxCred&amp;Subs'!$E$123:$E$127,0))</f>
        <v>500</v>
      </c>
      <c r="R1454" s="171">
        <v>0</v>
      </c>
      <c r="S1454" s="49">
        <v>4</v>
      </c>
      <c r="T1454" s="49" t="s">
        <v>248</v>
      </c>
      <c r="V1454" s="153" t="str">
        <f t="array" ref="V1454">INDEX(xlRTCLNAME,MATCH(1,(xlRTCLENDU=1)*(xlRTCLEQCL=$D1454),0))</f>
        <v>ELEC_RAD</v>
      </c>
      <c r="W1454" s="153" t="str">
        <f t="array" ref="W1454">INDEX(xlRTCLNAME,MATCH(1,(xlRTCLENDU=2)*(xlRTCLEQCL=$F1454),0))</f>
        <v>CENT_AIR</v>
      </c>
      <c r="X1454" s="153" t="str">
        <f t="array" ref="X1454">INDEX(xlRTTYNAME,MATCH(1,(xlRTTYENDU=1)*(xlRTTYEQCL=$D1454)*(xlRTEQTYPE=$E1454),0))</f>
        <v>ELEC_RAD2</v>
      </c>
      <c r="Y1454" s="153" t="str">
        <f t="array" ref="Y1454">INDEX(xlRTTYNAME,MATCH(1,(xlRTTYENDU=2)*(xlRTTYEQCL=$F1454)*(xlRTEQTYPE=$G1454),0))</f>
        <v>CENT_AIR3</v>
      </c>
    </row>
    <row r="1455" spans="2:25" ht="14.25" customHeight="1" x14ac:dyDescent="0.2">
      <c r="B1455" s="49">
        <v>1</v>
      </c>
      <c r="C1455" s="49">
        <v>2</v>
      </c>
      <c r="D1455" s="49">
        <v>1</v>
      </c>
      <c r="E1455" s="49">
        <v>1</v>
      </c>
      <c r="F1455" s="49">
        <v>2</v>
      </c>
      <c r="G1455" s="49">
        <v>7</v>
      </c>
      <c r="H1455" s="49">
        <v>2033</v>
      </c>
      <c r="I1455" s="49">
        <v>2050</v>
      </c>
      <c r="J1455" s="50">
        <v>1.1039000000000001</v>
      </c>
      <c r="K1455" s="50">
        <v>1.0417000000000001</v>
      </c>
      <c r="L1455" s="50">
        <v>0.58530000000000004</v>
      </c>
      <c r="M1455" s="50">
        <v>1.1228</v>
      </c>
      <c r="N1455" s="50">
        <v>1.1114999999999999</v>
      </c>
      <c r="O1455" s="50">
        <v>1.0538000000000001</v>
      </c>
      <c r="P1455" s="49">
        <v>3776</v>
      </c>
      <c r="Q1455" s="51">
        <f t="array" ref="Q1455">SUM(IF(($S1455&gt;=4)*($C1455='TaxCred&amp;Subs'!$D$123:$D$127)*($H1455='TaxCred&amp;Subs'!$C$123:$C$127)*($H1455&lt;='TaxCred&amp;Subs'!$C$129),'TaxCred&amp;Subs'!$E$123:$E$127,0))</f>
        <v>0</v>
      </c>
      <c r="R1455" s="171">
        <v>0</v>
      </c>
      <c r="S1455" s="49">
        <v>4</v>
      </c>
      <c r="T1455" s="49" t="s">
        <v>248</v>
      </c>
      <c r="V1455" s="153" t="str">
        <f t="array" ref="V1455">INDEX(xlRTCLNAME,MATCH(1,(xlRTCLENDU=1)*(xlRTCLEQCL=$D1455),0))</f>
        <v>ELEC_RAD</v>
      </c>
      <c r="W1455" s="153" t="str">
        <f t="array" ref="W1455">INDEX(xlRTCLNAME,MATCH(1,(xlRTCLENDU=2)*(xlRTCLEQCL=$F1455),0))</f>
        <v>CENT_AIR</v>
      </c>
      <c r="X1455" s="153" t="str">
        <f t="array" ref="X1455">INDEX(xlRTTYNAME,MATCH(1,(xlRTTYENDU=1)*(xlRTTYEQCL=$D1455)*(xlRTEQTYPE=$E1455),0))</f>
        <v>ELEC_RAD2</v>
      </c>
      <c r="Y1455" s="153" t="str">
        <f t="array" ref="Y1455">INDEX(xlRTTYNAME,MATCH(1,(xlRTTYENDU=2)*(xlRTTYEQCL=$F1455)*(xlRTEQTYPE=$G1455),0))</f>
        <v>CENT_AIR3</v>
      </c>
    </row>
    <row r="1456" spans="2:25" ht="14.25" customHeight="1" x14ac:dyDescent="0.2">
      <c r="B1456" s="126">
        <v>2</v>
      </c>
      <c r="C1456" s="126">
        <v>2</v>
      </c>
      <c r="D1456" s="126">
        <v>1</v>
      </c>
      <c r="E1456" s="126">
        <v>1</v>
      </c>
      <c r="F1456" s="126">
        <v>2</v>
      </c>
      <c r="G1456" s="126">
        <v>7</v>
      </c>
      <c r="H1456" s="126">
        <v>2016</v>
      </c>
      <c r="I1456" s="159">
        <v>2022</v>
      </c>
      <c r="J1456" s="127">
        <v>1.1000000000000001</v>
      </c>
      <c r="K1456" s="127">
        <v>1.0357000000000001</v>
      </c>
      <c r="L1456" s="127">
        <v>0.56730000000000003</v>
      </c>
      <c r="M1456" s="127">
        <v>1.1416999999999999</v>
      </c>
      <c r="N1456" s="127">
        <v>1.1163000000000001</v>
      </c>
      <c r="O1456" s="127">
        <v>1.0538000000000001</v>
      </c>
      <c r="P1456" s="126">
        <v>3572</v>
      </c>
      <c r="Q1456" s="128">
        <f t="array" ref="Q1456">SUM(IF(($S1456&gt;=4)*($C1456='TaxCred&amp;Subs'!$D$123:$D$127)*($H1456='TaxCred&amp;Subs'!$C$123:$C$127)*($H1456&lt;='TaxCred&amp;Subs'!$C$129),'TaxCred&amp;Subs'!$E$123:$E$127,0))</f>
        <v>0</v>
      </c>
      <c r="R1456" s="174">
        <v>0</v>
      </c>
      <c r="S1456" s="126">
        <v>4</v>
      </c>
      <c r="T1456" s="126" t="s">
        <v>248</v>
      </c>
      <c r="V1456" s="153" t="str">
        <f t="array" ref="V1456">INDEX(xlRTCLNAME,MATCH(1,(xlRTCLENDU=1)*(xlRTCLEQCL=$D1456),0))</f>
        <v>ELEC_RAD</v>
      </c>
      <c r="W1456" s="153" t="str">
        <f t="array" ref="W1456">INDEX(xlRTCLNAME,MATCH(1,(xlRTCLENDU=2)*(xlRTCLEQCL=$F1456),0))</f>
        <v>CENT_AIR</v>
      </c>
      <c r="X1456" s="153" t="str">
        <f t="array" ref="X1456">INDEX(xlRTTYNAME,MATCH(1,(xlRTTYENDU=1)*(xlRTTYEQCL=$D1456)*(xlRTEQTYPE=$E1456),0))</f>
        <v>ELEC_RAD2</v>
      </c>
      <c r="Y1456" s="153" t="str">
        <f t="array" ref="Y1456">INDEX(xlRTTYNAME,MATCH(1,(xlRTTYENDU=2)*(xlRTTYEQCL=$F1456)*(xlRTEQTYPE=$G1456),0))</f>
        <v>CENT_AIR3</v>
      </c>
    </row>
    <row r="1457" spans="2:25" ht="14.25" customHeight="1" x14ac:dyDescent="0.2">
      <c r="B1457" s="49">
        <v>2</v>
      </c>
      <c r="C1457" s="49">
        <v>2</v>
      </c>
      <c r="D1457" s="49">
        <v>1</v>
      </c>
      <c r="E1457" s="49">
        <v>1</v>
      </c>
      <c r="F1457" s="49">
        <v>2</v>
      </c>
      <c r="G1457" s="49">
        <v>7</v>
      </c>
      <c r="H1457" s="49">
        <v>2023</v>
      </c>
      <c r="I1457" s="49">
        <v>2032</v>
      </c>
      <c r="J1457" s="50">
        <v>1.1000000000000001</v>
      </c>
      <c r="K1457" s="50">
        <v>1.0357000000000001</v>
      </c>
      <c r="L1457" s="50">
        <v>0.56730000000000003</v>
      </c>
      <c r="M1457" s="50">
        <v>1.1416999999999999</v>
      </c>
      <c r="N1457" s="50">
        <v>1.1163000000000001</v>
      </c>
      <c r="O1457" s="50">
        <v>1.0538000000000001</v>
      </c>
      <c r="P1457" s="49">
        <v>3572</v>
      </c>
      <c r="Q1457" s="51">
        <f t="array" ref="Q1457">SUM(IF(($S1457&gt;=4)*($C1457='TaxCred&amp;Subs'!$D$123:$D$127)*($H1457='TaxCred&amp;Subs'!$C$123:$C$127)*($H1457&lt;='TaxCred&amp;Subs'!$C$129),'TaxCred&amp;Subs'!$E$123:$E$127,0))</f>
        <v>500</v>
      </c>
      <c r="R1457" s="171">
        <v>0</v>
      </c>
      <c r="S1457" s="49">
        <v>4</v>
      </c>
      <c r="T1457" s="49" t="s">
        <v>248</v>
      </c>
      <c r="V1457" s="153" t="str">
        <f t="array" ref="V1457">INDEX(xlRTCLNAME,MATCH(1,(xlRTCLENDU=1)*(xlRTCLEQCL=$D1457),0))</f>
        <v>ELEC_RAD</v>
      </c>
      <c r="W1457" s="153" t="str">
        <f t="array" ref="W1457">INDEX(xlRTCLNAME,MATCH(1,(xlRTCLENDU=2)*(xlRTCLEQCL=$F1457),0))</f>
        <v>CENT_AIR</v>
      </c>
      <c r="X1457" s="153" t="str">
        <f t="array" ref="X1457">INDEX(xlRTTYNAME,MATCH(1,(xlRTTYENDU=1)*(xlRTTYEQCL=$D1457)*(xlRTEQTYPE=$E1457),0))</f>
        <v>ELEC_RAD2</v>
      </c>
      <c r="Y1457" s="153" t="str">
        <f t="array" ref="Y1457">INDEX(xlRTTYNAME,MATCH(1,(xlRTTYENDU=2)*(xlRTTYEQCL=$F1457)*(xlRTEQTYPE=$G1457),0))</f>
        <v>CENT_AIR3</v>
      </c>
    </row>
    <row r="1458" spans="2:25" ht="14.25" customHeight="1" x14ac:dyDescent="0.2">
      <c r="B1458" s="49">
        <v>2</v>
      </c>
      <c r="C1458" s="49">
        <v>2</v>
      </c>
      <c r="D1458" s="49">
        <v>1</v>
      </c>
      <c r="E1458" s="49">
        <v>1</v>
      </c>
      <c r="F1458" s="49">
        <v>2</v>
      </c>
      <c r="G1458" s="49">
        <v>7</v>
      </c>
      <c r="H1458" s="49">
        <v>2033</v>
      </c>
      <c r="I1458" s="49">
        <v>2050</v>
      </c>
      <c r="J1458" s="50">
        <v>1.1000000000000001</v>
      </c>
      <c r="K1458" s="50">
        <v>1.0357000000000001</v>
      </c>
      <c r="L1458" s="50">
        <v>0.56730000000000003</v>
      </c>
      <c r="M1458" s="50">
        <v>1.1416999999999999</v>
      </c>
      <c r="N1458" s="50">
        <v>1.1163000000000001</v>
      </c>
      <c r="O1458" s="50">
        <v>1.0538000000000001</v>
      </c>
      <c r="P1458" s="49">
        <v>3572</v>
      </c>
      <c r="Q1458" s="51">
        <f t="array" ref="Q1458">SUM(IF(($S1458&gt;=4)*($C1458='TaxCred&amp;Subs'!$D$123:$D$127)*($H1458='TaxCred&amp;Subs'!$C$123:$C$127)*($H1458&lt;='TaxCred&amp;Subs'!$C$129),'TaxCred&amp;Subs'!$E$123:$E$127,0))</f>
        <v>0</v>
      </c>
      <c r="R1458" s="171">
        <v>0</v>
      </c>
      <c r="S1458" s="49">
        <v>4</v>
      </c>
      <c r="T1458" s="49" t="s">
        <v>248</v>
      </c>
      <c r="V1458" s="153" t="str">
        <f t="array" ref="V1458">INDEX(xlRTCLNAME,MATCH(1,(xlRTCLENDU=1)*(xlRTCLEQCL=$D1458),0))</f>
        <v>ELEC_RAD</v>
      </c>
      <c r="W1458" s="153" t="str">
        <f t="array" ref="W1458">INDEX(xlRTCLNAME,MATCH(1,(xlRTCLENDU=2)*(xlRTCLEQCL=$F1458),0))</f>
        <v>CENT_AIR</v>
      </c>
      <c r="X1458" s="153" t="str">
        <f t="array" ref="X1458">INDEX(xlRTTYNAME,MATCH(1,(xlRTTYENDU=1)*(xlRTTYEQCL=$D1458)*(xlRTEQTYPE=$E1458),0))</f>
        <v>ELEC_RAD2</v>
      </c>
      <c r="Y1458" s="153" t="str">
        <f t="array" ref="Y1458">INDEX(xlRTTYNAME,MATCH(1,(xlRTTYENDU=2)*(xlRTTYEQCL=$F1458)*(xlRTEQTYPE=$G1458),0))</f>
        <v>CENT_AIR3</v>
      </c>
    </row>
    <row r="1459" spans="2:25" ht="14.25" customHeight="1" x14ac:dyDescent="0.2">
      <c r="B1459" s="126">
        <v>3</v>
      </c>
      <c r="C1459" s="126">
        <v>2</v>
      </c>
      <c r="D1459" s="126">
        <v>1</v>
      </c>
      <c r="E1459" s="126">
        <v>1</v>
      </c>
      <c r="F1459" s="126">
        <v>2</v>
      </c>
      <c r="G1459" s="126">
        <v>7</v>
      </c>
      <c r="H1459" s="126">
        <v>2016</v>
      </c>
      <c r="I1459" s="159">
        <v>2022</v>
      </c>
      <c r="J1459" s="127">
        <v>1.1020000000000001</v>
      </c>
      <c r="K1459" s="127">
        <v>1.0345</v>
      </c>
      <c r="L1459" s="127">
        <v>0.55820000000000003</v>
      </c>
      <c r="M1459" s="127">
        <v>1.0310999999999999</v>
      </c>
      <c r="N1459" s="127">
        <v>1.0386</v>
      </c>
      <c r="O1459" s="127">
        <v>1.0538000000000001</v>
      </c>
      <c r="P1459" s="126">
        <v>3206</v>
      </c>
      <c r="Q1459" s="128">
        <f t="array" ref="Q1459">SUM(IF(($S1459&gt;=4)*($C1459='TaxCred&amp;Subs'!$D$123:$D$127)*($H1459='TaxCred&amp;Subs'!$C$123:$C$127)*($H1459&lt;='TaxCred&amp;Subs'!$C$129),'TaxCred&amp;Subs'!$E$123:$E$127,0))</f>
        <v>0</v>
      </c>
      <c r="R1459" s="174">
        <v>0</v>
      </c>
      <c r="S1459" s="126">
        <v>4</v>
      </c>
      <c r="T1459" s="126" t="s">
        <v>248</v>
      </c>
      <c r="V1459" s="153" t="str">
        <f t="array" ref="V1459">INDEX(xlRTCLNAME,MATCH(1,(xlRTCLENDU=1)*(xlRTCLEQCL=$D1459),0))</f>
        <v>ELEC_RAD</v>
      </c>
      <c r="W1459" s="153" t="str">
        <f t="array" ref="W1459">INDEX(xlRTCLNAME,MATCH(1,(xlRTCLENDU=2)*(xlRTCLEQCL=$F1459),0))</f>
        <v>CENT_AIR</v>
      </c>
      <c r="X1459" s="153" t="str">
        <f t="array" ref="X1459">INDEX(xlRTTYNAME,MATCH(1,(xlRTTYENDU=1)*(xlRTTYEQCL=$D1459)*(xlRTEQTYPE=$E1459),0))</f>
        <v>ELEC_RAD2</v>
      </c>
      <c r="Y1459" s="153" t="str">
        <f t="array" ref="Y1459">INDEX(xlRTTYNAME,MATCH(1,(xlRTTYENDU=2)*(xlRTTYEQCL=$F1459)*(xlRTEQTYPE=$G1459),0))</f>
        <v>CENT_AIR3</v>
      </c>
    </row>
    <row r="1460" spans="2:25" ht="14.25" customHeight="1" x14ac:dyDescent="0.2">
      <c r="B1460" s="49">
        <v>3</v>
      </c>
      <c r="C1460" s="49">
        <v>2</v>
      </c>
      <c r="D1460" s="49">
        <v>1</v>
      </c>
      <c r="E1460" s="49">
        <v>1</v>
      </c>
      <c r="F1460" s="49">
        <v>2</v>
      </c>
      <c r="G1460" s="49">
        <v>7</v>
      </c>
      <c r="H1460" s="49">
        <v>2023</v>
      </c>
      <c r="I1460" s="49">
        <v>2032</v>
      </c>
      <c r="J1460" s="50">
        <v>1.1020000000000001</v>
      </c>
      <c r="K1460" s="50">
        <v>1.0345</v>
      </c>
      <c r="L1460" s="50">
        <v>0.55820000000000003</v>
      </c>
      <c r="M1460" s="50">
        <v>1.0310999999999999</v>
      </c>
      <c r="N1460" s="50">
        <v>1.0386</v>
      </c>
      <c r="O1460" s="50">
        <v>1.0538000000000001</v>
      </c>
      <c r="P1460" s="49">
        <v>3206</v>
      </c>
      <c r="Q1460" s="51">
        <f t="array" ref="Q1460">SUM(IF(($S1460&gt;=4)*($C1460='TaxCred&amp;Subs'!$D$123:$D$127)*($H1460='TaxCred&amp;Subs'!$C$123:$C$127)*($H1460&lt;='TaxCred&amp;Subs'!$C$129),'TaxCred&amp;Subs'!$E$123:$E$127,0))</f>
        <v>500</v>
      </c>
      <c r="R1460" s="171">
        <v>0</v>
      </c>
      <c r="S1460" s="49">
        <v>4</v>
      </c>
      <c r="T1460" s="49" t="s">
        <v>248</v>
      </c>
      <c r="V1460" s="153" t="str">
        <f t="array" ref="V1460">INDEX(xlRTCLNAME,MATCH(1,(xlRTCLENDU=1)*(xlRTCLEQCL=$D1460),0))</f>
        <v>ELEC_RAD</v>
      </c>
      <c r="W1460" s="153" t="str">
        <f t="array" ref="W1460">INDEX(xlRTCLNAME,MATCH(1,(xlRTCLENDU=2)*(xlRTCLEQCL=$F1460),0))</f>
        <v>CENT_AIR</v>
      </c>
      <c r="X1460" s="153" t="str">
        <f t="array" ref="X1460">INDEX(xlRTTYNAME,MATCH(1,(xlRTTYENDU=1)*(xlRTTYEQCL=$D1460)*(xlRTEQTYPE=$E1460),0))</f>
        <v>ELEC_RAD2</v>
      </c>
      <c r="Y1460" s="153" t="str">
        <f t="array" ref="Y1460">INDEX(xlRTTYNAME,MATCH(1,(xlRTTYENDU=2)*(xlRTTYEQCL=$F1460)*(xlRTEQTYPE=$G1460),0))</f>
        <v>CENT_AIR3</v>
      </c>
    </row>
    <row r="1461" spans="2:25" ht="14.25" customHeight="1" x14ac:dyDescent="0.2">
      <c r="B1461" s="49">
        <v>3</v>
      </c>
      <c r="C1461" s="49">
        <v>2</v>
      </c>
      <c r="D1461" s="49">
        <v>1</v>
      </c>
      <c r="E1461" s="49">
        <v>1</v>
      </c>
      <c r="F1461" s="49">
        <v>2</v>
      </c>
      <c r="G1461" s="49">
        <v>7</v>
      </c>
      <c r="H1461" s="49">
        <v>2033</v>
      </c>
      <c r="I1461" s="49">
        <v>2050</v>
      </c>
      <c r="J1461" s="50">
        <v>1.1020000000000001</v>
      </c>
      <c r="K1461" s="50">
        <v>1.0345</v>
      </c>
      <c r="L1461" s="50">
        <v>0.55820000000000003</v>
      </c>
      <c r="M1461" s="50">
        <v>1.0310999999999999</v>
      </c>
      <c r="N1461" s="50">
        <v>1.0386</v>
      </c>
      <c r="O1461" s="50">
        <v>1.0538000000000001</v>
      </c>
      <c r="P1461" s="49">
        <v>3206</v>
      </c>
      <c r="Q1461" s="51">
        <f t="array" ref="Q1461">SUM(IF(($S1461&gt;=4)*($C1461='TaxCred&amp;Subs'!$D$123:$D$127)*($H1461='TaxCred&amp;Subs'!$C$123:$C$127)*($H1461&lt;='TaxCred&amp;Subs'!$C$129),'TaxCred&amp;Subs'!$E$123:$E$127,0))</f>
        <v>0</v>
      </c>
      <c r="R1461" s="171">
        <v>0</v>
      </c>
      <c r="S1461" s="49">
        <v>4</v>
      </c>
      <c r="T1461" s="49" t="s">
        <v>248</v>
      </c>
      <c r="V1461" s="153" t="str">
        <f t="array" ref="V1461">INDEX(xlRTCLNAME,MATCH(1,(xlRTCLENDU=1)*(xlRTCLEQCL=$D1461),0))</f>
        <v>ELEC_RAD</v>
      </c>
      <c r="W1461" s="153" t="str">
        <f t="array" ref="W1461">INDEX(xlRTCLNAME,MATCH(1,(xlRTCLENDU=2)*(xlRTCLEQCL=$F1461),0))</f>
        <v>CENT_AIR</v>
      </c>
      <c r="X1461" s="153" t="str">
        <f t="array" ref="X1461">INDEX(xlRTTYNAME,MATCH(1,(xlRTTYENDU=1)*(xlRTTYEQCL=$D1461)*(xlRTEQTYPE=$E1461),0))</f>
        <v>ELEC_RAD2</v>
      </c>
      <c r="Y1461" s="153" t="str">
        <f t="array" ref="Y1461">INDEX(xlRTTYNAME,MATCH(1,(xlRTTYENDU=2)*(xlRTTYEQCL=$F1461)*(xlRTEQTYPE=$G1461),0))</f>
        <v>CENT_AIR3</v>
      </c>
    </row>
    <row r="1462" spans="2:25" ht="14.25" customHeight="1" x14ac:dyDescent="0.2">
      <c r="B1462" s="126">
        <v>4</v>
      </c>
      <c r="C1462" s="126">
        <v>2</v>
      </c>
      <c r="D1462" s="126">
        <v>1</v>
      </c>
      <c r="E1462" s="126">
        <v>1</v>
      </c>
      <c r="F1462" s="126">
        <v>2</v>
      </c>
      <c r="G1462" s="126">
        <v>7</v>
      </c>
      <c r="H1462" s="126">
        <v>2016</v>
      </c>
      <c r="I1462" s="159">
        <v>2022</v>
      </c>
      <c r="J1462" s="127">
        <v>1.1000000000000001</v>
      </c>
      <c r="K1462" s="127">
        <v>1.0435000000000001</v>
      </c>
      <c r="L1462" s="127">
        <v>0.62170000000000003</v>
      </c>
      <c r="M1462" s="127">
        <v>1.1499999999999999</v>
      </c>
      <c r="N1462" s="127">
        <v>1.1657</v>
      </c>
      <c r="O1462" s="127">
        <v>1.0538000000000001</v>
      </c>
      <c r="P1462" s="126">
        <v>2777</v>
      </c>
      <c r="Q1462" s="128">
        <f t="array" ref="Q1462">SUM(IF(($S1462&gt;=4)*($C1462='TaxCred&amp;Subs'!$D$123:$D$127)*($H1462='TaxCred&amp;Subs'!$C$123:$C$127)*($H1462&lt;='TaxCred&amp;Subs'!$C$129),'TaxCred&amp;Subs'!$E$123:$E$127,0))</f>
        <v>0</v>
      </c>
      <c r="R1462" s="174">
        <v>0</v>
      </c>
      <c r="S1462" s="126">
        <v>4</v>
      </c>
      <c r="T1462" s="126" t="s">
        <v>248</v>
      </c>
      <c r="V1462" s="153" t="str">
        <f t="array" ref="V1462">INDEX(xlRTCLNAME,MATCH(1,(xlRTCLENDU=1)*(xlRTCLEQCL=$D1462),0))</f>
        <v>ELEC_RAD</v>
      </c>
      <c r="W1462" s="153" t="str">
        <f t="array" ref="W1462">INDEX(xlRTCLNAME,MATCH(1,(xlRTCLENDU=2)*(xlRTCLEQCL=$F1462),0))</f>
        <v>CENT_AIR</v>
      </c>
      <c r="X1462" s="153" t="str">
        <f t="array" ref="X1462">INDEX(xlRTTYNAME,MATCH(1,(xlRTTYENDU=1)*(xlRTTYEQCL=$D1462)*(xlRTEQTYPE=$E1462),0))</f>
        <v>ELEC_RAD2</v>
      </c>
      <c r="Y1462" s="153" t="str">
        <f t="array" ref="Y1462">INDEX(xlRTTYNAME,MATCH(1,(xlRTTYENDU=2)*(xlRTTYEQCL=$F1462)*(xlRTEQTYPE=$G1462),0))</f>
        <v>CENT_AIR3</v>
      </c>
    </row>
    <row r="1463" spans="2:25" ht="14.25" customHeight="1" x14ac:dyDescent="0.2">
      <c r="B1463" s="49">
        <v>4</v>
      </c>
      <c r="C1463" s="49">
        <v>2</v>
      </c>
      <c r="D1463" s="49">
        <v>1</v>
      </c>
      <c r="E1463" s="49">
        <v>1</v>
      </c>
      <c r="F1463" s="49">
        <v>2</v>
      </c>
      <c r="G1463" s="49">
        <v>7</v>
      </c>
      <c r="H1463" s="49">
        <v>2023</v>
      </c>
      <c r="I1463" s="49">
        <v>2032</v>
      </c>
      <c r="J1463" s="50">
        <v>1.1000000000000001</v>
      </c>
      <c r="K1463" s="50">
        <v>1.0435000000000001</v>
      </c>
      <c r="L1463" s="50">
        <v>0.62170000000000003</v>
      </c>
      <c r="M1463" s="50">
        <v>1.1499999999999999</v>
      </c>
      <c r="N1463" s="50">
        <v>1.1657</v>
      </c>
      <c r="O1463" s="50">
        <v>1.0538000000000001</v>
      </c>
      <c r="P1463" s="49">
        <v>2777</v>
      </c>
      <c r="Q1463" s="51">
        <f t="array" ref="Q1463">SUM(IF(($S1463&gt;=4)*($C1463='TaxCred&amp;Subs'!$D$123:$D$127)*($H1463='TaxCred&amp;Subs'!$C$123:$C$127)*($H1463&lt;='TaxCred&amp;Subs'!$C$129),'TaxCred&amp;Subs'!$E$123:$E$127,0))</f>
        <v>500</v>
      </c>
      <c r="R1463" s="171">
        <v>0</v>
      </c>
      <c r="S1463" s="49">
        <v>4</v>
      </c>
      <c r="T1463" s="49" t="s">
        <v>248</v>
      </c>
      <c r="V1463" s="153" t="str">
        <f t="array" ref="V1463">INDEX(xlRTCLNAME,MATCH(1,(xlRTCLENDU=1)*(xlRTCLEQCL=$D1463),0))</f>
        <v>ELEC_RAD</v>
      </c>
      <c r="W1463" s="153" t="str">
        <f t="array" ref="W1463">INDEX(xlRTCLNAME,MATCH(1,(xlRTCLENDU=2)*(xlRTCLEQCL=$F1463),0))</f>
        <v>CENT_AIR</v>
      </c>
      <c r="X1463" s="153" t="str">
        <f t="array" ref="X1463">INDEX(xlRTTYNAME,MATCH(1,(xlRTTYENDU=1)*(xlRTTYEQCL=$D1463)*(xlRTEQTYPE=$E1463),0))</f>
        <v>ELEC_RAD2</v>
      </c>
      <c r="Y1463" s="153" t="str">
        <f t="array" ref="Y1463">INDEX(xlRTTYNAME,MATCH(1,(xlRTTYENDU=2)*(xlRTTYEQCL=$F1463)*(xlRTEQTYPE=$G1463),0))</f>
        <v>CENT_AIR3</v>
      </c>
    </row>
    <row r="1464" spans="2:25" ht="14.25" customHeight="1" x14ac:dyDescent="0.2">
      <c r="B1464" s="49">
        <v>4</v>
      </c>
      <c r="C1464" s="49">
        <v>2</v>
      </c>
      <c r="D1464" s="49">
        <v>1</v>
      </c>
      <c r="E1464" s="49">
        <v>1</v>
      </c>
      <c r="F1464" s="49">
        <v>2</v>
      </c>
      <c r="G1464" s="49">
        <v>7</v>
      </c>
      <c r="H1464" s="49">
        <v>2033</v>
      </c>
      <c r="I1464" s="49">
        <v>2050</v>
      </c>
      <c r="J1464" s="50">
        <v>1.1000000000000001</v>
      </c>
      <c r="K1464" s="50">
        <v>1.0435000000000001</v>
      </c>
      <c r="L1464" s="50">
        <v>0.62170000000000003</v>
      </c>
      <c r="M1464" s="50">
        <v>1.1499999999999999</v>
      </c>
      <c r="N1464" s="50">
        <v>1.1657</v>
      </c>
      <c r="O1464" s="50">
        <v>1.0538000000000001</v>
      </c>
      <c r="P1464" s="49">
        <v>2777</v>
      </c>
      <c r="Q1464" s="51">
        <f t="array" ref="Q1464">SUM(IF(($S1464&gt;=4)*($C1464='TaxCred&amp;Subs'!$D$123:$D$127)*($H1464='TaxCred&amp;Subs'!$C$123:$C$127)*($H1464&lt;='TaxCred&amp;Subs'!$C$129),'TaxCred&amp;Subs'!$E$123:$E$127,0))</f>
        <v>0</v>
      </c>
      <c r="R1464" s="171">
        <v>0</v>
      </c>
      <c r="S1464" s="49">
        <v>4</v>
      </c>
      <c r="T1464" s="49" t="s">
        <v>248</v>
      </c>
      <c r="V1464" s="153" t="str">
        <f t="array" ref="V1464">INDEX(xlRTCLNAME,MATCH(1,(xlRTCLENDU=1)*(xlRTCLEQCL=$D1464),0))</f>
        <v>ELEC_RAD</v>
      </c>
      <c r="W1464" s="153" t="str">
        <f t="array" ref="W1464">INDEX(xlRTCLNAME,MATCH(1,(xlRTCLENDU=2)*(xlRTCLEQCL=$F1464),0))</f>
        <v>CENT_AIR</v>
      </c>
      <c r="X1464" s="153" t="str">
        <f t="array" ref="X1464">INDEX(xlRTTYNAME,MATCH(1,(xlRTTYENDU=1)*(xlRTTYEQCL=$D1464)*(xlRTEQTYPE=$E1464),0))</f>
        <v>ELEC_RAD2</v>
      </c>
      <c r="Y1464" s="153" t="str">
        <f t="array" ref="Y1464">INDEX(xlRTTYNAME,MATCH(1,(xlRTTYENDU=2)*(xlRTTYEQCL=$F1464)*(xlRTEQTYPE=$G1464),0))</f>
        <v>CENT_AIR3</v>
      </c>
    </row>
    <row r="1465" spans="2:25" ht="14.25" customHeight="1" x14ac:dyDescent="0.2">
      <c r="B1465" s="126">
        <v>5</v>
      </c>
      <c r="C1465" s="126">
        <v>2</v>
      </c>
      <c r="D1465" s="126">
        <v>1</v>
      </c>
      <c r="E1465" s="126">
        <v>1</v>
      </c>
      <c r="F1465" s="126">
        <v>2</v>
      </c>
      <c r="G1465" s="126">
        <v>7</v>
      </c>
      <c r="H1465" s="126">
        <v>2016</v>
      </c>
      <c r="I1465" s="159">
        <v>2022</v>
      </c>
      <c r="J1465" s="127">
        <v>1.1200000000000001</v>
      </c>
      <c r="K1465" s="127">
        <v>1.0577000000000001</v>
      </c>
      <c r="L1465" s="127">
        <v>0.79</v>
      </c>
      <c r="M1465" s="127">
        <v>1.1000000000000001</v>
      </c>
      <c r="N1465" s="127">
        <v>1.2619</v>
      </c>
      <c r="O1465" s="127">
        <v>1.0538000000000001</v>
      </c>
      <c r="P1465" s="126">
        <v>2072</v>
      </c>
      <c r="Q1465" s="128">
        <f t="array" ref="Q1465">SUM(IF(($S1465&gt;=4)*($C1465='TaxCred&amp;Subs'!$D$123:$D$127)*($H1465='TaxCred&amp;Subs'!$C$123:$C$127)*($H1465&lt;='TaxCred&amp;Subs'!$C$129),'TaxCred&amp;Subs'!$E$123:$E$127,0))</f>
        <v>0</v>
      </c>
      <c r="R1465" s="174">
        <v>0</v>
      </c>
      <c r="S1465" s="126">
        <v>4</v>
      </c>
      <c r="T1465" s="126" t="s">
        <v>248</v>
      </c>
      <c r="V1465" s="153" t="str">
        <f t="array" ref="V1465">INDEX(xlRTCLNAME,MATCH(1,(xlRTCLENDU=1)*(xlRTCLEQCL=$D1465),0))</f>
        <v>ELEC_RAD</v>
      </c>
      <c r="W1465" s="153" t="str">
        <f t="array" ref="W1465">INDEX(xlRTCLNAME,MATCH(1,(xlRTCLENDU=2)*(xlRTCLEQCL=$F1465),0))</f>
        <v>CENT_AIR</v>
      </c>
      <c r="X1465" s="153" t="str">
        <f t="array" ref="X1465">INDEX(xlRTTYNAME,MATCH(1,(xlRTTYENDU=1)*(xlRTTYEQCL=$D1465)*(xlRTEQTYPE=$E1465),0))</f>
        <v>ELEC_RAD2</v>
      </c>
      <c r="Y1465" s="153" t="str">
        <f t="array" ref="Y1465">INDEX(xlRTTYNAME,MATCH(1,(xlRTTYENDU=2)*(xlRTTYEQCL=$F1465)*(xlRTEQTYPE=$G1465),0))</f>
        <v>CENT_AIR3</v>
      </c>
    </row>
    <row r="1466" spans="2:25" ht="14.25" customHeight="1" x14ac:dyDescent="0.2">
      <c r="B1466" s="49">
        <v>5</v>
      </c>
      <c r="C1466" s="49">
        <v>2</v>
      </c>
      <c r="D1466" s="49">
        <v>1</v>
      </c>
      <c r="E1466" s="49">
        <v>1</v>
      </c>
      <c r="F1466" s="49">
        <v>2</v>
      </c>
      <c r="G1466" s="49">
        <v>7</v>
      </c>
      <c r="H1466" s="49">
        <v>2023</v>
      </c>
      <c r="I1466" s="49">
        <v>2032</v>
      </c>
      <c r="J1466" s="50">
        <v>1.1200000000000001</v>
      </c>
      <c r="K1466" s="50">
        <v>1.0577000000000001</v>
      </c>
      <c r="L1466" s="50">
        <v>0.79</v>
      </c>
      <c r="M1466" s="50">
        <v>1.1000000000000001</v>
      </c>
      <c r="N1466" s="50">
        <v>1.2619</v>
      </c>
      <c r="O1466" s="50">
        <v>1.0538000000000001</v>
      </c>
      <c r="P1466" s="49">
        <v>2072</v>
      </c>
      <c r="Q1466" s="51">
        <f t="array" ref="Q1466">SUM(IF(($S1466&gt;=4)*($C1466='TaxCred&amp;Subs'!$D$123:$D$127)*($H1466='TaxCred&amp;Subs'!$C$123:$C$127)*($H1466&lt;='TaxCred&amp;Subs'!$C$129),'TaxCred&amp;Subs'!$E$123:$E$127,0))</f>
        <v>500</v>
      </c>
      <c r="R1466" s="171">
        <v>0</v>
      </c>
      <c r="S1466" s="49">
        <v>4</v>
      </c>
      <c r="T1466" s="49" t="s">
        <v>248</v>
      </c>
      <c r="V1466" s="153" t="str">
        <f t="array" ref="V1466">INDEX(xlRTCLNAME,MATCH(1,(xlRTCLENDU=1)*(xlRTCLEQCL=$D1466),0))</f>
        <v>ELEC_RAD</v>
      </c>
      <c r="W1466" s="153" t="str">
        <f t="array" ref="W1466">INDEX(xlRTCLNAME,MATCH(1,(xlRTCLENDU=2)*(xlRTCLEQCL=$F1466),0))</f>
        <v>CENT_AIR</v>
      </c>
      <c r="X1466" s="153" t="str">
        <f t="array" ref="X1466">INDEX(xlRTTYNAME,MATCH(1,(xlRTTYENDU=1)*(xlRTTYEQCL=$D1466)*(xlRTEQTYPE=$E1466),0))</f>
        <v>ELEC_RAD2</v>
      </c>
      <c r="Y1466" s="153" t="str">
        <f t="array" ref="Y1466">INDEX(xlRTTYNAME,MATCH(1,(xlRTTYENDU=2)*(xlRTTYEQCL=$F1466)*(xlRTEQTYPE=$G1466),0))</f>
        <v>CENT_AIR3</v>
      </c>
    </row>
    <row r="1467" spans="2:25" ht="14.25" customHeight="1" x14ac:dyDescent="0.2">
      <c r="B1467" s="49">
        <v>5</v>
      </c>
      <c r="C1467" s="49">
        <v>2</v>
      </c>
      <c r="D1467" s="49">
        <v>1</v>
      </c>
      <c r="E1467" s="49">
        <v>1</v>
      </c>
      <c r="F1467" s="49">
        <v>2</v>
      </c>
      <c r="G1467" s="49">
        <v>7</v>
      </c>
      <c r="H1467" s="49">
        <v>2033</v>
      </c>
      <c r="I1467" s="49">
        <v>2050</v>
      </c>
      <c r="J1467" s="50">
        <v>1.1200000000000001</v>
      </c>
      <c r="K1467" s="50">
        <v>1.0577000000000001</v>
      </c>
      <c r="L1467" s="50">
        <v>0.79</v>
      </c>
      <c r="M1467" s="50">
        <v>1.1000000000000001</v>
      </c>
      <c r="N1467" s="50">
        <v>1.2619</v>
      </c>
      <c r="O1467" s="50">
        <v>1.0538000000000001</v>
      </c>
      <c r="P1467" s="49">
        <v>2072</v>
      </c>
      <c r="Q1467" s="51">
        <f t="array" ref="Q1467">SUM(IF(($S1467&gt;=4)*($C1467='TaxCred&amp;Subs'!$D$123:$D$127)*($H1467='TaxCred&amp;Subs'!$C$123:$C$127)*($H1467&lt;='TaxCred&amp;Subs'!$C$129),'TaxCred&amp;Subs'!$E$123:$E$127,0))</f>
        <v>0</v>
      </c>
      <c r="R1467" s="171">
        <v>0</v>
      </c>
      <c r="S1467" s="49">
        <v>4</v>
      </c>
      <c r="T1467" s="49" t="s">
        <v>248</v>
      </c>
      <c r="V1467" s="153" t="str">
        <f t="array" ref="V1467">INDEX(xlRTCLNAME,MATCH(1,(xlRTCLENDU=1)*(xlRTCLEQCL=$D1467),0))</f>
        <v>ELEC_RAD</v>
      </c>
      <c r="W1467" s="153" t="str">
        <f t="array" ref="W1467">INDEX(xlRTCLNAME,MATCH(1,(xlRTCLENDU=2)*(xlRTCLEQCL=$F1467),0))</f>
        <v>CENT_AIR</v>
      </c>
      <c r="X1467" s="153" t="str">
        <f t="array" ref="X1467">INDEX(xlRTTYNAME,MATCH(1,(xlRTTYENDU=1)*(xlRTTYEQCL=$D1467)*(xlRTEQTYPE=$E1467),0))</f>
        <v>ELEC_RAD2</v>
      </c>
      <c r="Y1467" s="153" t="str">
        <f t="array" ref="Y1467">INDEX(xlRTTYNAME,MATCH(1,(xlRTTYENDU=2)*(xlRTTYEQCL=$F1467)*(xlRTEQTYPE=$G1467),0))</f>
        <v>CENT_AIR3</v>
      </c>
    </row>
    <row r="1468" spans="2:25" ht="14.25" customHeight="1" x14ac:dyDescent="0.2">
      <c r="B1468" s="126">
        <v>6</v>
      </c>
      <c r="C1468" s="126">
        <v>2</v>
      </c>
      <c r="D1468" s="126">
        <v>1</v>
      </c>
      <c r="E1468" s="126">
        <v>1</v>
      </c>
      <c r="F1468" s="126">
        <v>2</v>
      </c>
      <c r="G1468" s="126">
        <v>7</v>
      </c>
      <c r="H1468" s="126">
        <v>2016</v>
      </c>
      <c r="I1468" s="159">
        <v>2022</v>
      </c>
      <c r="J1468" s="127">
        <v>1.1000000000000001</v>
      </c>
      <c r="K1468" s="127">
        <v>1.0407999999999999</v>
      </c>
      <c r="L1468" s="127">
        <v>1.0063</v>
      </c>
      <c r="M1468" s="127">
        <v>1.1228</v>
      </c>
      <c r="N1468" s="127">
        <v>1.3324</v>
      </c>
      <c r="O1468" s="127">
        <v>1.0538000000000001</v>
      </c>
      <c r="P1468" s="126">
        <v>2479</v>
      </c>
      <c r="Q1468" s="128">
        <f t="array" ref="Q1468">SUM(IF(($S1468&gt;=4)*($C1468='TaxCred&amp;Subs'!$D$123:$D$127)*($H1468='TaxCred&amp;Subs'!$C$123:$C$127)*($H1468&lt;='TaxCred&amp;Subs'!$C$129),'TaxCred&amp;Subs'!$E$123:$E$127,0))</f>
        <v>0</v>
      </c>
      <c r="R1468" s="174">
        <v>0</v>
      </c>
      <c r="S1468" s="126">
        <v>4</v>
      </c>
      <c r="T1468" s="126" t="s">
        <v>248</v>
      </c>
      <c r="V1468" s="153" t="str">
        <f t="array" ref="V1468">INDEX(xlRTCLNAME,MATCH(1,(xlRTCLENDU=1)*(xlRTCLEQCL=$D1468),0))</f>
        <v>ELEC_RAD</v>
      </c>
      <c r="W1468" s="153" t="str">
        <f t="array" ref="W1468">INDEX(xlRTCLNAME,MATCH(1,(xlRTCLENDU=2)*(xlRTCLEQCL=$F1468),0))</f>
        <v>CENT_AIR</v>
      </c>
      <c r="X1468" s="153" t="str">
        <f t="array" ref="X1468">INDEX(xlRTTYNAME,MATCH(1,(xlRTTYENDU=1)*(xlRTTYEQCL=$D1468)*(xlRTEQTYPE=$E1468),0))</f>
        <v>ELEC_RAD2</v>
      </c>
      <c r="Y1468" s="153" t="str">
        <f t="array" ref="Y1468">INDEX(xlRTTYNAME,MATCH(1,(xlRTTYENDU=2)*(xlRTTYEQCL=$F1468)*(xlRTEQTYPE=$G1468),0))</f>
        <v>CENT_AIR3</v>
      </c>
    </row>
    <row r="1469" spans="2:25" ht="14.25" customHeight="1" x14ac:dyDescent="0.2">
      <c r="B1469" s="49">
        <v>6</v>
      </c>
      <c r="C1469" s="49">
        <v>2</v>
      </c>
      <c r="D1469" s="49">
        <v>1</v>
      </c>
      <c r="E1469" s="49">
        <v>1</v>
      </c>
      <c r="F1469" s="49">
        <v>2</v>
      </c>
      <c r="G1469" s="49">
        <v>7</v>
      </c>
      <c r="H1469" s="49">
        <v>2023</v>
      </c>
      <c r="I1469" s="49">
        <v>2032</v>
      </c>
      <c r="J1469" s="50">
        <v>1.1000000000000001</v>
      </c>
      <c r="K1469" s="50">
        <v>1.0407999999999999</v>
      </c>
      <c r="L1469" s="50">
        <v>1.0063</v>
      </c>
      <c r="M1469" s="50">
        <v>1.1228</v>
      </c>
      <c r="N1469" s="50">
        <v>1.3324</v>
      </c>
      <c r="O1469" s="50">
        <v>1.0538000000000001</v>
      </c>
      <c r="P1469" s="49">
        <v>2479</v>
      </c>
      <c r="Q1469" s="51">
        <f t="array" ref="Q1469">SUM(IF(($S1469&gt;=4)*($C1469='TaxCred&amp;Subs'!$D$123:$D$127)*($H1469='TaxCred&amp;Subs'!$C$123:$C$127)*($H1469&lt;='TaxCred&amp;Subs'!$C$129),'TaxCred&amp;Subs'!$E$123:$E$127,0))</f>
        <v>500</v>
      </c>
      <c r="R1469" s="171">
        <v>0</v>
      </c>
      <c r="S1469" s="49">
        <v>4</v>
      </c>
      <c r="T1469" s="49" t="s">
        <v>248</v>
      </c>
      <c r="V1469" s="153" t="str">
        <f t="array" ref="V1469">INDEX(xlRTCLNAME,MATCH(1,(xlRTCLENDU=1)*(xlRTCLEQCL=$D1469),0))</f>
        <v>ELEC_RAD</v>
      </c>
      <c r="W1469" s="153" t="str">
        <f t="array" ref="W1469">INDEX(xlRTCLNAME,MATCH(1,(xlRTCLENDU=2)*(xlRTCLEQCL=$F1469),0))</f>
        <v>CENT_AIR</v>
      </c>
      <c r="X1469" s="153" t="str">
        <f t="array" ref="X1469">INDEX(xlRTTYNAME,MATCH(1,(xlRTTYENDU=1)*(xlRTTYEQCL=$D1469)*(xlRTEQTYPE=$E1469),0))</f>
        <v>ELEC_RAD2</v>
      </c>
      <c r="Y1469" s="153" t="str">
        <f t="array" ref="Y1469">INDEX(xlRTTYNAME,MATCH(1,(xlRTTYENDU=2)*(xlRTTYEQCL=$F1469)*(xlRTEQTYPE=$G1469),0))</f>
        <v>CENT_AIR3</v>
      </c>
    </row>
    <row r="1470" spans="2:25" ht="14.25" customHeight="1" x14ac:dyDescent="0.2">
      <c r="B1470" s="49">
        <v>6</v>
      </c>
      <c r="C1470" s="49">
        <v>2</v>
      </c>
      <c r="D1470" s="49">
        <v>1</v>
      </c>
      <c r="E1470" s="49">
        <v>1</v>
      </c>
      <c r="F1470" s="49">
        <v>2</v>
      </c>
      <c r="G1470" s="49">
        <v>7</v>
      </c>
      <c r="H1470" s="49">
        <v>2033</v>
      </c>
      <c r="I1470" s="49">
        <v>2050</v>
      </c>
      <c r="J1470" s="50">
        <v>1.1000000000000001</v>
      </c>
      <c r="K1470" s="50">
        <v>1.0407999999999999</v>
      </c>
      <c r="L1470" s="50">
        <v>1.0063</v>
      </c>
      <c r="M1470" s="50">
        <v>1.1228</v>
      </c>
      <c r="N1470" s="50">
        <v>1.3324</v>
      </c>
      <c r="O1470" s="50">
        <v>1.0538000000000001</v>
      </c>
      <c r="P1470" s="49">
        <v>2479</v>
      </c>
      <c r="Q1470" s="51">
        <f t="array" ref="Q1470">SUM(IF(($S1470&gt;=4)*($C1470='TaxCred&amp;Subs'!$D$123:$D$127)*($H1470='TaxCred&amp;Subs'!$C$123:$C$127)*($H1470&lt;='TaxCred&amp;Subs'!$C$129),'TaxCred&amp;Subs'!$E$123:$E$127,0))</f>
        <v>0</v>
      </c>
      <c r="R1470" s="171">
        <v>0</v>
      </c>
      <c r="S1470" s="49">
        <v>4</v>
      </c>
      <c r="T1470" s="49" t="s">
        <v>248</v>
      </c>
      <c r="V1470" s="153" t="str">
        <f t="array" ref="V1470">INDEX(xlRTCLNAME,MATCH(1,(xlRTCLENDU=1)*(xlRTCLEQCL=$D1470),0))</f>
        <v>ELEC_RAD</v>
      </c>
      <c r="W1470" s="153" t="str">
        <f t="array" ref="W1470">INDEX(xlRTCLNAME,MATCH(1,(xlRTCLENDU=2)*(xlRTCLEQCL=$F1470),0))</f>
        <v>CENT_AIR</v>
      </c>
      <c r="X1470" s="153" t="str">
        <f t="array" ref="X1470">INDEX(xlRTTYNAME,MATCH(1,(xlRTTYENDU=1)*(xlRTTYEQCL=$D1470)*(xlRTEQTYPE=$E1470),0))</f>
        <v>ELEC_RAD2</v>
      </c>
      <c r="Y1470" s="153" t="str">
        <f t="array" ref="Y1470">INDEX(xlRTTYNAME,MATCH(1,(xlRTTYENDU=2)*(xlRTTYEQCL=$F1470)*(xlRTEQTYPE=$G1470),0))</f>
        <v>CENT_AIR3</v>
      </c>
    </row>
    <row r="1471" spans="2:25" ht="14.25" customHeight="1" x14ac:dyDescent="0.2">
      <c r="B1471" s="126">
        <v>7</v>
      </c>
      <c r="C1471" s="126">
        <v>2</v>
      </c>
      <c r="D1471" s="126">
        <v>1</v>
      </c>
      <c r="E1471" s="126">
        <v>1</v>
      </c>
      <c r="F1471" s="126">
        <v>2</v>
      </c>
      <c r="G1471" s="126">
        <v>7</v>
      </c>
      <c r="H1471" s="126">
        <v>2016</v>
      </c>
      <c r="I1471" s="159">
        <v>2022</v>
      </c>
      <c r="J1471" s="127">
        <v>1.1200000000000001</v>
      </c>
      <c r="K1471" s="127">
        <v>1.0455000000000001</v>
      </c>
      <c r="L1471" s="127">
        <v>0.64380000000000004</v>
      </c>
      <c r="M1471" s="127">
        <v>1.1086</v>
      </c>
      <c r="N1471" s="127">
        <v>1.4438</v>
      </c>
      <c r="O1471" s="127">
        <v>1.0538000000000001</v>
      </c>
      <c r="P1471" s="126">
        <v>2204</v>
      </c>
      <c r="Q1471" s="128">
        <f t="array" ref="Q1471">SUM(IF(($S1471&gt;=4)*($C1471='TaxCred&amp;Subs'!$D$123:$D$127)*($H1471='TaxCred&amp;Subs'!$C$123:$C$127)*($H1471&lt;='TaxCred&amp;Subs'!$C$129),'TaxCred&amp;Subs'!$E$123:$E$127,0))</f>
        <v>0</v>
      </c>
      <c r="R1471" s="174">
        <v>0</v>
      </c>
      <c r="S1471" s="126">
        <v>4</v>
      </c>
      <c r="T1471" s="126" t="s">
        <v>248</v>
      </c>
      <c r="V1471" s="153" t="str">
        <f t="array" ref="V1471">INDEX(xlRTCLNAME,MATCH(1,(xlRTCLENDU=1)*(xlRTCLEQCL=$D1471),0))</f>
        <v>ELEC_RAD</v>
      </c>
      <c r="W1471" s="153" t="str">
        <f t="array" ref="W1471">INDEX(xlRTCLNAME,MATCH(1,(xlRTCLENDU=2)*(xlRTCLEQCL=$F1471),0))</f>
        <v>CENT_AIR</v>
      </c>
      <c r="X1471" s="153" t="str">
        <f t="array" ref="X1471">INDEX(xlRTTYNAME,MATCH(1,(xlRTTYENDU=1)*(xlRTTYEQCL=$D1471)*(xlRTEQTYPE=$E1471),0))</f>
        <v>ELEC_RAD2</v>
      </c>
      <c r="Y1471" s="153" t="str">
        <f t="array" ref="Y1471">INDEX(xlRTTYNAME,MATCH(1,(xlRTTYENDU=2)*(xlRTTYEQCL=$F1471)*(xlRTEQTYPE=$G1471),0))</f>
        <v>CENT_AIR3</v>
      </c>
    </row>
    <row r="1472" spans="2:25" ht="14.25" customHeight="1" x14ac:dyDescent="0.2">
      <c r="B1472" s="49">
        <v>7</v>
      </c>
      <c r="C1472" s="49">
        <v>2</v>
      </c>
      <c r="D1472" s="49">
        <v>1</v>
      </c>
      <c r="E1472" s="49">
        <v>1</v>
      </c>
      <c r="F1472" s="49">
        <v>2</v>
      </c>
      <c r="G1472" s="49">
        <v>7</v>
      </c>
      <c r="H1472" s="49">
        <v>2023</v>
      </c>
      <c r="I1472" s="49">
        <v>2032</v>
      </c>
      <c r="J1472" s="50">
        <v>1.1200000000000001</v>
      </c>
      <c r="K1472" s="50">
        <v>1.0455000000000001</v>
      </c>
      <c r="L1472" s="50">
        <v>0.64380000000000004</v>
      </c>
      <c r="M1472" s="50">
        <v>1.1086</v>
      </c>
      <c r="N1472" s="50">
        <v>1.4438</v>
      </c>
      <c r="O1472" s="50">
        <v>1.0538000000000001</v>
      </c>
      <c r="P1472" s="49">
        <v>2204</v>
      </c>
      <c r="Q1472" s="51">
        <f t="array" ref="Q1472">SUM(IF(($S1472&gt;=4)*($C1472='TaxCred&amp;Subs'!$D$123:$D$127)*($H1472='TaxCred&amp;Subs'!$C$123:$C$127)*($H1472&lt;='TaxCred&amp;Subs'!$C$129),'TaxCred&amp;Subs'!$E$123:$E$127,0))</f>
        <v>500</v>
      </c>
      <c r="R1472" s="171">
        <v>0</v>
      </c>
      <c r="S1472" s="49">
        <v>4</v>
      </c>
      <c r="T1472" s="49" t="s">
        <v>248</v>
      </c>
      <c r="V1472" s="153" t="str">
        <f t="array" ref="V1472">INDEX(xlRTCLNAME,MATCH(1,(xlRTCLENDU=1)*(xlRTCLEQCL=$D1472),0))</f>
        <v>ELEC_RAD</v>
      </c>
      <c r="W1472" s="153" t="str">
        <f t="array" ref="W1472">INDEX(xlRTCLNAME,MATCH(1,(xlRTCLENDU=2)*(xlRTCLEQCL=$F1472),0))</f>
        <v>CENT_AIR</v>
      </c>
      <c r="X1472" s="153" t="str">
        <f t="array" ref="X1472">INDEX(xlRTTYNAME,MATCH(1,(xlRTTYENDU=1)*(xlRTTYEQCL=$D1472)*(xlRTEQTYPE=$E1472),0))</f>
        <v>ELEC_RAD2</v>
      </c>
      <c r="Y1472" s="153" t="str">
        <f t="array" ref="Y1472">INDEX(xlRTTYNAME,MATCH(1,(xlRTTYENDU=2)*(xlRTTYEQCL=$F1472)*(xlRTEQTYPE=$G1472),0))</f>
        <v>CENT_AIR3</v>
      </c>
    </row>
    <row r="1473" spans="2:25" ht="14.25" customHeight="1" x14ac:dyDescent="0.2">
      <c r="B1473" s="49">
        <v>7</v>
      </c>
      <c r="C1473" s="49">
        <v>2</v>
      </c>
      <c r="D1473" s="49">
        <v>1</v>
      </c>
      <c r="E1473" s="49">
        <v>1</v>
      </c>
      <c r="F1473" s="49">
        <v>2</v>
      </c>
      <c r="G1473" s="49">
        <v>7</v>
      </c>
      <c r="H1473" s="49">
        <v>2033</v>
      </c>
      <c r="I1473" s="49">
        <v>2050</v>
      </c>
      <c r="J1473" s="50">
        <v>1.1200000000000001</v>
      </c>
      <c r="K1473" s="50">
        <v>1.0455000000000001</v>
      </c>
      <c r="L1473" s="50">
        <v>0.64380000000000004</v>
      </c>
      <c r="M1473" s="50">
        <v>1.1086</v>
      </c>
      <c r="N1473" s="50">
        <v>1.4438</v>
      </c>
      <c r="O1473" s="50">
        <v>1.0538000000000001</v>
      </c>
      <c r="P1473" s="49">
        <v>2204</v>
      </c>
      <c r="Q1473" s="51">
        <f t="array" ref="Q1473">SUM(IF(($S1473&gt;=4)*($C1473='TaxCred&amp;Subs'!$D$123:$D$127)*($H1473='TaxCred&amp;Subs'!$C$123:$C$127)*($H1473&lt;='TaxCred&amp;Subs'!$C$129),'TaxCred&amp;Subs'!$E$123:$E$127,0))</f>
        <v>0</v>
      </c>
      <c r="R1473" s="171">
        <v>0</v>
      </c>
      <c r="S1473" s="49">
        <v>4</v>
      </c>
      <c r="T1473" s="49" t="s">
        <v>248</v>
      </c>
      <c r="V1473" s="153" t="str">
        <f t="array" ref="V1473">INDEX(xlRTCLNAME,MATCH(1,(xlRTCLENDU=1)*(xlRTCLEQCL=$D1473),0))</f>
        <v>ELEC_RAD</v>
      </c>
      <c r="W1473" s="153" t="str">
        <f t="array" ref="W1473">INDEX(xlRTCLNAME,MATCH(1,(xlRTCLENDU=2)*(xlRTCLEQCL=$F1473),0))</f>
        <v>CENT_AIR</v>
      </c>
      <c r="X1473" s="153" t="str">
        <f t="array" ref="X1473">INDEX(xlRTTYNAME,MATCH(1,(xlRTTYENDU=1)*(xlRTTYEQCL=$D1473)*(xlRTEQTYPE=$E1473),0))</f>
        <v>ELEC_RAD2</v>
      </c>
      <c r="Y1473" s="153" t="str">
        <f t="array" ref="Y1473">INDEX(xlRTTYNAME,MATCH(1,(xlRTTYENDU=2)*(xlRTTYEQCL=$F1473)*(xlRTEQTYPE=$G1473),0))</f>
        <v>CENT_AIR3</v>
      </c>
    </row>
    <row r="1474" spans="2:25" ht="14.25" customHeight="1" x14ac:dyDescent="0.2">
      <c r="B1474" s="126">
        <v>8</v>
      </c>
      <c r="C1474" s="126">
        <v>2</v>
      </c>
      <c r="D1474" s="126">
        <v>1</v>
      </c>
      <c r="E1474" s="126">
        <v>1</v>
      </c>
      <c r="F1474" s="126">
        <v>2</v>
      </c>
      <c r="G1474" s="126">
        <v>7</v>
      </c>
      <c r="H1474" s="126">
        <v>2016</v>
      </c>
      <c r="I1474" s="159">
        <v>2022</v>
      </c>
      <c r="J1474" s="127">
        <v>1.1026</v>
      </c>
      <c r="K1474" s="127">
        <v>1.0645</v>
      </c>
      <c r="L1474" s="127">
        <v>0.86539999999999995</v>
      </c>
      <c r="M1474" s="127">
        <v>1.2087000000000001</v>
      </c>
      <c r="N1474" s="127">
        <v>1.2785</v>
      </c>
      <c r="O1474" s="127">
        <v>1.0538000000000001</v>
      </c>
      <c r="P1474" s="126">
        <v>2737</v>
      </c>
      <c r="Q1474" s="128">
        <f t="array" ref="Q1474">SUM(IF(($S1474&gt;=4)*($C1474='TaxCred&amp;Subs'!$D$123:$D$127)*($H1474='TaxCred&amp;Subs'!$C$123:$C$127)*($H1474&lt;='TaxCred&amp;Subs'!$C$129),'TaxCred&amp;Subs'!$E$123:$E$127,0))</f>
        <v>0</v>
      </c>
      <c r="R1474" s="174">
        <v>0</v>
      </c>
      <c r="S1474" s="126">
        <v>4</v>
      </c>
      <c r="T1474" s="126" t="s">
        <v>248</v>
      </c>
      <c r="V1474" s="153" t="str">
        <f t="array" ref="V1474">INDEX(xlRTCLNAME,MATCH(1,(xlRTCLENDU=1)*(xlRTCLEQCL=$D1474),0))</f>
        <v>ELEC_RAD</v>
      </c>
      <c r="W1474" s="153" t="str">
        <f t="array" ref="W1474">INDEX(xlRTCLNAME,MATCH(1,(xlRTCLENDU=2)*(xlRTCLEQCL=$F1474),0))</f>
        <v>CENT_AIR</v>
      </c>
      <c r="X1474" s="153" t="str">
        <f t="array" ref="X1474">INDEX(xlRTTYNAME,MATCH(1,(xlRTTYENDU=1)*(xlRTTYEQCL=$D1474)*(xlRTEQTYPE=$E1474),0))</f>
        <v>ELEC_RAD2</v>
      </c>
      <c r="Y1474" s="153" t="str">
        <f t="array" ref="Y1474">INDEX(xlRTTYNAME,MATCH(1,(xlRTTYENDU=2)*(xlRTTYEQCL=$F1474)*(xlRTEQTYPE=$G1474),0))</f>
        <v>CENT_AIR3</v>
      </c>
    </row>
    <row r="1475" spans="2:25" ht="14.25" customHeight="1" x14ac:dyDescent="0.2">
      <c r="B1475" s="49">
        <v>8</v>
      </c>
      <c r="C1475" s="49">
        <v>2</v>
      </c>
      <c r="D1475" s="49">
        <v>1</v>
      </c>
      <c r="E1475" s="49">
        <v>1</v>
      </c>
      <c r="F1475" s="49">
        <v>2</v>
      </c>
      <c r="G1475" s="49">
        <v>7</v>
      </c>
      <c r="H1475" s="49">
        <v>2023</v>
      </c>
      <c r="I1475" s="49">
        <v>2032</v>
      </c>
      <c r="J1475" s="50">
        <v>1.1026</v>
      </c>
      <c r="K1475" s="50">
        <v>1.0645</v>
      </c>
      <c r="L1475" s="50">
        <v>0.86539999999999995</v>
      </c>
      <c r="M1475" s="50">
        <v>1.2087000000000001</v>
      </c>
      <c r="N1475" s="50">
        <v>1.2785</v>
      </c>
      <c r="O1475" s="50">
        <v>1.0538000000000001</v>
      </c>
      <c r="P1475" s="49">
        <v>2737</v>
      </c>
      <c r="Q1475" s="51">
        <f t="array" ref="Q1475">SUM(IF(($S1475&gt;=4)*($C1475='TaxCred&amp;Subs'!$D$123:$D$127)*($H1475='TaxCred&amp;Subs'!$C$123:$C$127)*($H1475&lt;='TaxCred&amp;Subs'!$C$129),'TaxCred&amp;Subs'!$E$123:$E$127,0))</f>
        <v>500</v>
      </c>
      <c r="R1475" s="171">
        <v>0</v>
      </c>
      <c r="S1475" s="49">
        <v>4</v>
      </c>
      <c r="T1475" s="49" t="s">
        <v>248</v>
      </c>
      <c r="V1475" s="153" t="str">
        <f t="array" ref="V1475">INDEX(xlRTCLNAME,MATCH(1,(xlRTCLENDU=1)*(xlRTCLEQCL=$D1475),0))</f>
        <v>ELEC_RAD</v>
      </c>
      <c r="W1475" s="153" t="str">
        <f t="array" ref="W1475">INDEX(xlRTCLNAME,MATCH(1,(xlRTCLENDU=2)*(xlRTCLEQCL=$F1475),0))</f>
        <v>CENT_AIR</v>
      </c>
      <c r="X1475" s="153" t="str">
        <f t="array" ref="X1475">INDEX(xlRTTYNAME,MATCH(1,(xlRTTYENDU=1)*(xlRTTYEQCL=$D1475)*(xlRTEQTYPE=$E1475),0))</f>
        <v>ELEC_RAD2</v>
      </c>
      <c r="Y1475" s="153" t="str">
        <f t="array" ref="Y1475">INDEX(xlRTTYNAME,MATCH(1,(xlRTTYENDU=2)*(xlRTTYEQCL=$F1475)*(xlRTEQTYPE=$G1475),0))</f>
        <v>CENT_AIR3</v>
      </c>
    </row>
    <row r="1476" spans="2:25" ht="14.25" customHeight="1" x14ac:dyDescent="0.2">
      <c r="B1476" s="49">
        <v>8</v>
      </c>
      <c r="C1476" s="49">
        <v>2</v>
      </c>
      <c r="D1476" s="49">
        <v>1</v>
      </c>
      <c r="E1476" s="49">
        <v>1</v>
      </c>
      <c r="F1476" s="49">
        <v>2</v>
      </c>
      <c r="G1476" s="49">
        <v>7</v>
      </c>
      <c r="H1476" s="49">
        <v>2033</v>
      </c>
      <c r="I1476" s="49">
        <v>2050</v>
      </c>
      <c r="J1476" s="50">
        <v>1.1026</v>
      </c>
      <c r="K1476" s="50">
        <v>1.0645</v>
      </c>
      <c r="L1476" s="50">
        <v>0.86539999999999995</v>
      </c>
      <c r="M1476" s="50">
        <v>1.2087000000000001</v>
      </c>
      <c r="N1476" s="50">
        <v>1.2785</v>
      </c>
      <c r="O1476" s="50">
        <v>1.0538000000000001</v>
      </c>
      <c r="P1476" s="49">
        <v>2737</v>
      </c>
      <c r="Q1476" s="51">
        <f t="array" ref="Q1476">SUM(IF(($S1476&gt;=4)*($C1476='TaxCred&amp;Subs'!$D$123:$D$127)*($H1476='TaxCred&amp;Subs'!$C$123:$C$127)*($H1476&lt;='TaxCred&amp;Subs'!$C$129),'TaxCred&amp;Subs'!$E$123:$E$127,0))</f>
        <v>0</v>
      </c>
      <c r="R1476" s="171">
        <v>0</v>
      </c>
      <c r="S1476" s="49">
        <v>4</v>
      </c>
      <c r="T1476" s="49" t="s">
        <v>248</v>
      </c>
      <c r="V1476" s="153" t="str">
        <f t="array" ref="V1476">INDEX(xlRTCLNAME,MATCH(1,(xlRTCLENDU=1)*(xlRTCLEQCL=$D1476),0))</f>
        <v>ELEC_RAD</v>
      </c>
      <c r="W1476" s="153" t="str">
        <f t="array" ref="W1476">INDEX(xlRTCLNAME,MATCH(1,(xlRTCLENDU=2)*(xlRTCLEQCL=$F1476),0))</f>
        <v>CENT_AIR</v>
      </c>
      <c r="X1476" s="153" t="str">
        <f t="array" ref="X1476">INDEX(xlRTTYNAME,MATCH(1,(xlRTTYENDU=1)*(xlRTTYEQCL=$D1476)*(xlRTEQTYPE=$E1476),0))</f>
        <v>ELEC_RAD2</v>
      </c>
      <c r="Y1476" s="153" t="str">
        <f t="array" ref="Y1476">INDEX(xlRTTYNAME,MATCH(1,(xlRTTYENDU=2)*(xlRTTYEQCL=$F1476)*(xlRTEQTYPE=$G1476),0))</f>
        <v>CENT_AIR3</v>
      </c>
    </row>
    <row r="1477" spans="2:25" ht="14.25" customHeight="1" x14ac:dyDescent="0.2">
      <c r="B1477" s="126">
        <v>9</v>
      </c>
      <c r="C1477" s="126">
        <v>2</v>
      </c>
      <c r="D1477" s="126">
        <v>1</v>
      </c>
      <c r="E1477" s="126">
        <v>1</v>
      </c>
      <c r="F1477" s="126">
        <v>2</v>
      </c>
      <c r="G1477" s="126">
        <v>7</v>
      </c>
      <c r="H1477" s="126">
        <v>2016</v>
      </c>
      <c r="I1477" s="159">
        <v>2022</v>
      </c>
      <c r="J1477" s="127">
        <v>1.1200000000000001</v>
      </c>
      <c r="K1477" s="127">
        <v>1.0541</v>
      </c>
      <c r="L1477" s="127">
        <v>0.44379999999999997</v>
      </c>
      <c r="M1477" s="127">
        <v>1.2</v>
      </c>
      <c r="N1477" s="127">
        <v>1.4438</v>
      </c>
      <c r="O1477" s="127">
        <v>1.0538000000000001</v>
      </c>
      <c r="P1477" s="126">
        <v>2576</v>
      </c>
      <c r="Q1477" s="128">
        <f t="array" ref="Q1477">SUM(IF(($S1477&gt;=4)*($C1477='TaxCred&amp;Subs'!$D$123:$D$127)*($H1477='TaxCred&amp;Subs'!$C$123:$C$127)*($H1477&lt;='TaxCred&amp;Subs'!$C$129),'TaxCred&amp;Subs'!$E$123:$E$127,0))</f>
        <v>0</v>
      </c>
      <c r="R1477" s="174">
        <v>0</v>
      </c>
      <c r="S1477" s="126">
        <v>4</v>
      </c>
      <c r="T1477" s="126" t="s">
        <v>248</v>
      </c>
      <c r="V1477" s="153" t="str">
        <f t="array" ref="V1477">INDEX(xlRTCLNAME,MATCH(1,(xlRTCLENDU=1)*(xlRTCLEQCL=$D1477),0))</f>
        <v>ELEC_RAD</v>
      </c>
      <c r="W1477" s="153" t="str">
        <f t="array" ref="W1477">INDEX(xlRTCLNAME,MATCH(1,(xlRTCLENDU=2)*(xlRTCLEQCL=$F1477),0))</f>
        <v>CENT_AIR</v>
      </c>
      <c r="X1477" s="153" t="str">
        <f t="array" ref="X1477">INDEX(xlRTTYNAME,MATCH(1,(xlRTTYENDU=1)*(xlRTTYEQCL=$D1477)*(xlRTEQTYPE=$E1477),0))</f>
        <v>ELEC_RAD2</v>
      </c>
      <c r="Y1477" s="153" t="str">
        <f t="array" ref="Y1477">INDEX(xlRTTYNAME,MATCH(1,(xlRTTYENDU=2)*(xlRTTYEQCL=$F1477)*(xlRTEQTYPE=$G1477),0))</f>
        <v>CENT_AIR3</v>
      </c>
    </row>
    <row r="1478" spans="2:25" ht="14.25" customHeight="1" x14ac:dyDescent="0.2">
      <c r="B1478" s="49">
        <v>9</v>
      </c>
      <c r="C1478" s="49">
        <v>2</v>
      </c>
      <c r="D1478" s="49">
        <v>1</v>
      </c>
      <c r="E1478" s="49">
        <v>1</v>
      </c>
      <c r="F1478" s="49">
        <v>2</v>
      </c>
      <c r="G1478" s="49">
        <v>7</v>
      </c>
      <c r="H1478" s="49">
        <v>2023</v>
      </c>
      <c r="I1478" s="49">
        <v>2032</v>
      </c>
      <c r="J1478" s="50">
        <v>1.1200000000000001</v>
      </c>
      <c r="K1478" s="50">
        <v>1.0541</v>
      </c>
      <c r="L1478" s="50">
        <v>0.44379999999999997</v>
      </c>
      <c r="M1478" s="50">
        <v>1.2</v>
      </c>
      <c r="N1478" s="50">
        <v>1.4438</v>
      </c>
      <c r="O1478" s="50">
        <v>1.0538000000000001</v>
      </c>
      <c r="P1478" s="49">
        <v>2576</v>
      </c>
      <c r="Q1478" s="51">
        <f t="array" ref="Q1478">SUM(IF(($S1478&gt;=4)*($C1478='TaxCred&amp;Subs'!$D$123:$D$127)*($H1478='TaxCred&amp;Subs'!$C$123:$C$127)*($H1478&lt;='TaxCred&amp;Subs'!$C$129),'TaxCred&amp;Subs'!$E$123:$E$127,0))</f>
        <v>500</v>
      </c>
      <c r="R1478" s="171">
        <v>0</v>
      </c>
      <c r="S1478" s="49">
        <v>4</v>
      </c>
      <c r="T1478" s="49" t="s">
        <v>248</v>
      </c>
      <c r="V1478" s="153" t="str">
        <f t="array" ref="V1478">INDEX(xlRTCLNAME,MATCH(1,(xlRTCLENDU=1)*(xlRTCLEQCL=$D1478),0))</f>
        <v>ELEC_RAD</v>
      </c>
      <c r="W1478" s="153" t="str">
        <f t="array" ref="W1478">INDEX(xlRTCLNAME,MATCH(1,(xlRTCLENDU=2)*(xlRTCLEQCL=$F1478),0))</f>
        <v>CENT_AIR</v>
      </c>
      <c r="X1478" s="153" t="str">
        <f t="array" ref="X1478">INDEX(xlRTTYNAME,MATCH(1,(xlRTTYENDU=1)*(xlRTTYEQCL=$D1478)*(xlRTEQTYPE=$E1478),0))</f>
        <v>ELEC_RAD2</v>
      </c>
      <c r="Y1478" s="153" t="str">
        <f t="array" ref="Y1478">INDEX(xlRTTYNAME,MATCH(1,(xlRTTYENDU=2)*(xlRTTYEQCL=$F1478)*(xlRTEQTYPE=$G1478),0))</f>
        <v>CENT_AIR3</v>
      </c>
    </row>
    <row r="1479" spans="2:25" ht="14.25" customHeight="1" x14ac:dyDescent="0.2">
      <c r="B1479" s="49">
        <v>9</v>
      </c>
      <c r="C1479" s="49">
        <v>2</v>
      </c>
      <c r="D1479" s="49">
        <v>1</v>
      </c>
      <c r="E1479" s="49">
        <v>1</v>
      </c>
      <c r="F1479" s="49">
        <v>2</v>
      </c>
      <c r="G1479" s="49">
        <v>7</v>
      </c>
      <c r="H1479" s="49">
        <v>2033</v>
      </c>
      <c r="I1479" s="49">
        <v>2050</v>
      </c>
      <c r="J1479" s="50">
        <v>1.1200000000000001</v>
      </c>
      <c r="K1479" s="50">
        <v>1.0541</v>
      </c>
      <c r="L1479" s="50">
        <v>0.44379999999999997</v>
      </c>
      <c r="M1479" s="50">
        <v>1.2</v>
      </c>
      <c r="N1479" s="50">
        <v>1.4438</v>
      </c>
      <c r="O1479" s="50">
        <v>1.0538000000000001</v>
      </c>
      <c r="P1479" s="49">
        <v>2576</v>
      </c>
      <c r="Q1479" s="51">
        <f t="array" ref="Q1479">SUM(IF(($S1479&gt;=4)*($C1479='TaxCred&amp;Subs'!$D$123:$D$127)*($H1479='TaxCred&amp;Subs'!$C$123:$C$127)*($H1479&lt;='TaxCred&amp;Subs'!$C$129),'TaxCred&amp;Subs'!$E$123:$E$127,0))</f>
        <v>0</v>
      </c>
      <c r="R1479" s="171">
        <v>0</v>
      </c>
      <c r="S1479" s="49">
        <v>4</v>
      </c>
      <c r="T1479" s="49" t="s">
        <v>248</v>
      </c>
      <c r="V1479" s="153" t="str">
        <f t="array" ref="V1479">INDEX(xlRTCLNAME,MATCH(1,(xlRTCLENDU=1)*(xlRTCLEQCL=$D1479),0))</f>
        <v>ELEC_RAD</v>
      </c>
      <c r="W1479" s="153" t="str">
        <f t="array" ref="W1479">INDEX(xlRTCLNAME,MATCH(1,(xlRTCLENDU=2)*(xlRTCLEQCL=$F1479),0))</f>
        <v>CENT_AIR</v>
      </c>
      <c r="X1479" s="153" t="str">
        <f t="array" ref="X1479">INDEX(xlRTTYNAME,MATCH(1,(xlRTTYENDU=1)*(xlRTTYEQCL=$D1479)*(xlRTEQTYPE=$E1479),0))</f>
        <v>ELEC_RAD2</v>
      </c>
      <c r="Y1479" s="153" t="str">
        <f t="array" ref="Y1479">INDEX(xlRTTYNAME,MATCH(1,(xlRTTYENDU=2)*(xlRTTYEQCL=$F1479)*(xlRTEQTYPE=$G1479),0))</f>
        <v>CENT_AIR3</v>
      </c>
    </row>
    <row r="1480" spans="2:25" ht="14.25" customHeight="1" x14ac:dyDescent="0.2">
      <c r="B1480" s="126">
        <v>1</v>
      </c>
      <c r="C1480" s="126">
        <v>2</v>
      </c>
      <c r="D1480" s="126">
        <v>2</v>
      </c>
      <c r="E1480" s="126">
        <v>4</v>
      </c>
      <c r="F1480" s="126">
        <v>3</v>
      </c>
      <c r="G1480" s="126">
        <v>11</v>
      </c>
      <c r="H1480" s="126">
        <v>2016</v>
      </c>
      <c r="I1480" s="159">
        <v>2022</v>
      </c>
      <c r="J1480" s="127">
        <v>1.0909</v>
      </c>
      <c r="K1480" s="127">
        <v>1.04</v>
      </c>
      <c r="L1480" s="127">
        <v>0.92069999999999996</v>
      </c>
      <c r="M1480" s="127">
        <v>1.1455</v>
      </c>
      <c r="N1480" s="127">
        <v>1.1119000000000001</v>
      </c>
      <c r="O1480" s="127">
        <v>1.0538000000000001</v>
      </c>
      <c r="P1480" s="126">
        <v>3169</v>
      </c>
      <c r="Q1480" s="128">
        <f t="array" ref="Q1480">SUM(IF(($S1480&gt;=4)*($C1480='TaxCred&amp;Subs'!$D$123:$D$127)*($H1480='TaxCred&amp;Subs'!$C$123:$C$127)*($H1480&lt;='TaxCred&amp;Subs'!$C$129),'TaxCred&amp;Subs'!$E$123:$E$127,0))</f>
        <v>0</v>
      </c>
      <c r="R1480" s="174">
        <v>0</v>
      </c>
      <c r="S1480" s="126">
        <v>4</v>
      </c>
      <c r="T1480" s="126" t="s">
        <v>248</v>
      </c>
      <c r="V1480" s="153" t="str">
        <f t="array" ref="V1480">INDEX(xlRTCLNAME,MATCH(1,(xlRTCLENDU=1)*(xlRTCLEQCL=$D1480),0))</f>
        <v>ELEC_HP</v>
      </c>
      <c r="W1480" s="153" t="str">
        <f t="array" ref="W1480">INDEX(xlRTCLNAME,MATCH(1,(xlRTCLENDU=2)*(xlRTCLEQCL=$F1480),0))</f>
        <v>ELEC_HP</v>
      </c>
      <c r="X1480" s="153" t="str">
        <f t="array" ref="X1480">INDEX(xlRTTYNAME,MATCH(1,(xlRTTYENDU=1)*(xlRTTYEQCL=$D1480)*(xlRTEQTYPE=$E1480),0))</f>
        <v>ELEC_HP3</v>
      </c>
      <c r="Y1480" s="153" t="str">
        <f t="array" ref="Y1480">INDEX(xlRTTYNAME,MATCH(1,(xlRTTYENDU=2)*(xlRTTYEQCL=$F1480)*(xlRTEQTYPE=$G1480),0))</f>
        <v>ELEC_HP3</v>
      </c>
    </row>
    <row r="1481" spans="2:25" ht="14.25" customHeight="1" x14ac:dyDescent="0.2">
      <c r="B1481" s="49">
        <v>1</v>
      </c>
      <c r="C1481" s="49">
        <v>2</v>
      </c>
      <c r="D1481" s="49">
        <v>2</v>
      </c>
      <c r="E1481" s="49">
        <v>4</v>
      </c>
      <c r="F1481" s="49">
        <v>3</v>
      </c>
      <c r="G1481" s="49">
        <v>11</v>
      </c>
      <c r="H1481" s="49">
        <v>2023</v>
      </c>
      <c r="I1481" s="49">
        <v>2032</v>
      </c>
      <c r="J1481" s="50">
        <v>1.0909</v>
      </c>
      <c r="K1481" s="50">
        <v>1.04</v>
      </c>
      <c r="L1481" s="50">
        <v>0.92069999999999996</v>
      </c>
      <c r="M1481" s="50">
        <v>1.1455</v>
      </c>
      <c r="N1481" s="50">
        <v>1.1119000000000001</v>
      </c>
      <c r="O1481" s="50">
        <v>1.0538000000000001</v>
      </c>
      <c r="P1481" s="49">
        <v>3169</v>
      </c>
      <c r="Q1481" s="51">
        <f t="array" ref="Q1481">SUM(IF(($S1481&gt;=4)*($C1481='TaxCred&amp;Subs'!$D$123:$D$127)*($H1481='TaxCred&amp;Subs'!$C$123:$C$127)*($H1481&lt;='TaxCred&amp;Subs'!$C$129),'TaxCred&amp;Subs'!$E$123:$E$127,0))</f>
        <v>500</v>
      </c>
      <c r="R1481" s="171">
        <v>0</v>
      </c>
      <c r="S1481" s="49">
        <v>4</v>
      </c>
      <c r="T1481" s="49" t="s">
        <v>248</v>
      </c>
      <c r="V1481" s="153" t="str">
        <f t="array" ref="V1481">INDEX(xlRTCLNAME,MATCH(1,(xlRTCLENDU=1)*(xlRTCLEQCL=$D1481),0))</f>
        <v>ELEC_HP</v>
      </c>
      <c r="W1481" s="153" t="str">
        <f t="array" ref="W1481">INDEX(xlRTCLNAME,MATCH(1,(xlRTCLENDU=2)*(xlRTCLEQCL=$F1481),0))</f>
        <v>ELEC_HP</v>
      </c>
      <c r="X1481" s="153" t="str">
        <f t="array" ref="X1481">INDEX(xlRTTYNAME,MATCH(1,(xlRTTYENDU=1)*(xlRTTYEQCL=$D1481)*(xlRTEQTYPE=$E1481),0))</f>
        <v>ELEC_HP3</v>
      </c>
      <c r="Y1481" s="153" t="str">
        <f t="array" ref="Y1481">INDEX(xlRTTYNAME,MATCH(1,(xlRTTYENDU=2)*(xlRTTYEQCL=$F1481)*(xlRTEQTYPE=$G1481),0))</f>
        <v>ELEC_HP3</v>
      </c>
    </row>
    <row r="1482" spans="2:25" ht="14.25" customHeight="1" x14ac:dyDescent="0.2">
      <c r="B1482" s="49">
        <v>1</v>
      </c>
      <c r="C1482" s="49">
        <v>2</v>
      </c>
      <c r="D1482" s="49">
        <v>2</v>
      </c>
      <c r="E1482" s="49">
        <v>4</v>
      </c>
      <c r="F1482" s="49">
        <v>3</v>
      </c>
      <c r="G1482" s="49">
        <v>11</v>
      </c>
      <c r="H1482" s="49">
        <v>2033</v>
      </c>
      <c r="I1482" s="49">
        <v>2050</v>
      </c>
      <c r="J1482" s="50">
        <v>1.0909</v>
      </c>
      <c r="K1482" s="50">
        <v>1.04</v>
      </c>
      <c r="L1482" s="50">
        <v>0.92069999999999996</v>
      </c>
      <c r="M1482" s="50">
        <v>1.1455</v>
      </c>
      <c r="N1482" s="50">
        <v>1.1119000000000001</v>
      </c>
      <c r="O1482" s="50">
        <v>1.0538000000000001</v>
      </c>
      <c r="P1482" s="49">
        <v>3169</v>
      </c>
      <c r="Q1482" s="51">
        <f t="array" ref="Q1482">SUM(IF(($S1482&gt;=4)*($C1482='TaxCred&amp;Subs'!$D$123:$D$127)*($H1482='TaxCred&amp;Subs'!$C$123:$C$127)*($H1482&lt;='TaxCred&amp;Subs'!$C$129),'TaxCred&amp;Subs'!$E$123:$E$127,0))</f>
        <v>0</v>
      </c>
      <c r="R1482" s="171">
        <v>0</v>
      </c>
      <c r="S1482" s="49">
        <v>4</v>
      </c>
      <c r="T1482" s="49" t="s">
        <v>248</v>
      </c>
      <c r="V1482" s="153" t="str">
        <f t="array" ref="V1482">INDEX(xlRTCLNAME,MATCH(1,(xlRTCLENDU=1)*(xlRTCLEQCL=$D1482),0))</f>
        <v>ELEC_HP</v>
      </c>
      <c r="W1482" s="153" t="str">
        <f t="array" ref="W1482">INDEX(xlRTCLNAME,MATCH(1,(xlRTCLENDU=2)*(xlRTCLEQCL=$F1482),0))</f>
        <v>ELEC_HP</v>
      </c>
      <c r="X1482" s="153" t="str">
        <f t="array" ref="X1482">INDEX(xlRTTYNAME,MATCH(1,(xlRTTYENDU=1)*(xlRTTYEQCL=$D1482)*(xlRTEQTYPE=$E1482),0))</f>
        <v>ELEC_HP3</v>
      </c>
      <c r="Y1482" s="153" t="str">
        <f t="array" ref="Y1482">INDEX(xlRTTYNAME,MATCH(1,(xlRTTYENDU=2)*(xlRTTYEQCL=$F1482)*(xlRTEQTYPE=$G1482),0))</f>
        <v>ELEC_HP3</v>
      </c>
    </row>
    <row r="1483" spans="2:25" ht="14.25" customHeight="1" x14ac:dyDescent="0.2">
      <c r="B1483" s="126">
        <v>2</v>
      </c>
      <c r="C1483" s="126">
        <v>2</v>
      </c>
      <c r="D1483" s="126">
        <v>2</v>
      </c>
      <c r="E1483" s="126">
        <v>4</v>
      </c>
      <c r="F1483" s="126">
        <v>3</v>
      </c>
      <c r="G1483" s="126">
        <v>11</v>
      </c>
      <c r="H1483" s="126">
        <v>2016</v>
      </c>
      <c r="I1483" s="159">
        <v>2022</v>
      </c>
      <c r="J1483" s="127">
        <v>1.0847</v>
      </c>
      <c r="K1483" s="127">
        <v>1.0345</v>
      </c>
      <c r="L1483" s="127">
        <v>0.89939999999999998</v>
      </c>
      <c r="M1483" s="127">
        <v>1.1625000000000001</v>
      </c>
      <c r="N1483" s="127">
        <v>1.1213</v>
      </c>
      <c r="O1483" s="127">
        <v>1.0538000000000001</v>
      </c>
      <c r="P1483" s="126">
        <v>3048</v>
      </c>
      <c r="Q1483" s="128">
        <f t="array" ref="Q1483">SUM(IF(($S1483&gt;=4)*($C1483='TaxCred&amp;Subs'!$D$123:$D$127)*($H1483='TaxCred&amp;Subs'!$C$123:$C$127)*($H1483&lt;='TaxCred&amp;Subs'!$C$129),'TaxCred&amp;Subs'!$E$123:$E$127,0))</f>
        <v>0</v>
      </c>
      <c r="R1483" s="174">
        <v>0</v>
      </c>
      <c r="S1483" s="126">
        <v>4</v>
      </c>
      <c r="T1483" s="126" t="s">
        <v>248</v>
      </c>
      <c r="V1483" s="153" t="str">
        <f t="array" ref="V1483">INDEX(xlRTCLNAME,MATCH(1,(xlRTCLENDU=1)*(xlRTCLEQCL=$D1483),0))</f>
        <v>ELEC_HP</v>
      </c>
      <c r="W1483" s="153" t="str">
        <f t="array" ref="W1483">INDEX(xlRTCLNAME,MATCH(1,(xlRTCLENDU=2)*(xlRTCLEQCL=$F1483),0))</f>
        <v>ELEC_HP</v>
      </c>
      <c r="X1483" s="153" t="str">
        <f t="array" ref="X1483">INDEX(xlRTTYNAME,MATCH(1,(xlRTTYENDU=1)*(xlRTTYEQCL=$D1483)*(xlRTEQTYPE=$E1483),0))</f>
        <v>ELEC_HP3</v>
      </c>
      <c r="Y1483" s="153" t="str">
        <f t="array" ref="Y1483">INDEX(xlRTTYNAME,MATCH(1,(xlRTTYENDU=2)*(xlRTTYEQCL=$F1483)*(xlRTEQTYPE=$G1483),0))</f>
        <v>ELEC_HP3</v>
      </c>
    </row>
    <row r="1484" spans="2:25" ht="14.25" customHeight="1" x14ac:dyDescent="0.2">
      <c r="B1484" s="49">
        <v>2</v>
      </c>
      <c r="C1484" s="49">
        <v>2</v>
      </c>
      <c r="D1484" s="49">
        <v>2</v>
      </c>
      <c r="E1484" s="49">
        <v>4</v>
      </c>
      <c r="F1484" s="49">
        <v>3</v>
      </c>
      <c r="G1484" s="49">
        <v>11</v>
      </c>
      <c r="H1484" s="49">
        <v>2023</v>
      </c>
      <c r="I1484" s="49">
        <v>2032</v>
      </c>
      <c r="J1484" s="50">
        <v>1.0847</v>
      </c>
      <c r="K1484" s="50">
        <v>1.0345</v>
      </c>
      <c r="L1484" s="50">
        <v>0.89939999999999998</v>
      </c>
      <c r="M1484" s="50">
        <v>1.1625000000000001</v>
      </c>
      <c r="N1484" s="50">
        <v>1.1213</v>
      </c>
      <c r="O1484" s="50">
        <v>1.0538000000000001</v>
      </c>
      <c r="P1484" s="49">
        <v>3048</v>
      </c>
      <c r="Q1484" s="51">
        <f t="array" ref="Q1484">SUM(IF(($S1484&gt;=4)*($C1484='TaxCred&amp;Subs'!$D$123:$D$127)*($H1484='TaxCred&amp;Subs'!$C$123:$C$127)*($H1484&lt;='TaxCred&amp;Subs'!$C$129),'TaxCred&amp;Subs'!$E$123:$E$127,0))</f>
        <v>500</v>
      </c>
      <c r="R1484" s="171">
        <v>0</v>
      </c>
      <c r="S1484" s="49">
        <v>4</v>
      </c>
      <c r="T1484" s="49" t="s">
        <v>248</v>
      </c>
      <c r="V1484" s="153" t="str">
        <f t="array" ref="V1484">INDEX(xlRTCLNAME,MATCH(1,(xlRTCLENDU=1)*(xlRTCLEQCL=$D1484),0))</f>
        <v>ELEC_HP</v>
      </c>
      <c r="W1484" s="153" t="str">
        <f t="array" ref="W1484">INDEX(xlRTCLNAME,MATCH(1,(xlRTCLENDU=2)*(xlRTCLEQCL=$F1484),0))</f>
        <v>ELEC_HP</v>
      </c>
      <c r="X1484" s="153" t="str">
        <f t="array" ref="X1484">INDEX(xlRTTYNAME,MATCH(1,(xlRTTYENDU=1)*(xlRTTYEQCL=$D1484)*(xlRTEQTYPE=$E1484),0))</f>
        <v>ELEC_HP3</v>
      </c>
      <c r="Y1484" s="153" t="str">
        <f t="array" ref="Y1484">INDEX(xlRTTYNAME,MATCH(1,(xlRTTYENDU=2)*(xlRTTYEQCL=$F1484)*(xlRTEQTYPE=$G1484),0))</f>
        <v>ELEC_HP3</v>
      </c>
    </row>
    <row r="1485" spans="2:25" ht="14.25" customHeight="1" x14ac:dyDescent="0.2">
      <c r="B1485" s="49">
        <v>2</v>
      </c>
      <c r="C1485" s="49">
        <v>2</v>
      </c>
      <c r="D1485" s="49">
        <v>2</v>
      </c>
      <c r="E1485" s="49">
        <v>4</v>
      </c>
      <c r="F1485" s="49">
        <v>3</v>
      </c>
      <c r="G1485" s="49">
        <v>11</v>
      </c>
      <c r="H1485" s="49">
        <v>2033</v>
      </c>
      <c r="I1485" s="49">
        <v>2050</v>
      </c>
      <c r="J1485" s="50">
        <v>1.0847</v>
      </c>
      <c r="K1485" s="50">
        <v>1.0345</v>
      </c>
      <c r="L1485" s="50">
        <v>0.89939999999999998</v>
      </c>
      <c r="M1485" s="50">
        <v>1.1625000000000001</v>
      </c>
      <c r="N1485" s="50">
        <v>1.1213</v>
      </c>
      <c r="O1485" s="50">
        <v>1.0538000000000001</v>
      </c>
      <c r="P1485" s="49">
        <v>3048</v>
      </c>
      <c r="Q1485" s="51">
        <f t="array" ref="Q1485">SUM(IF(($S1485&gt;=4)*($C1485='TaxCred&amp;Subs'!$D$123:$D$127)*($H1485='TaxCred&amp;Subs'!$C$123:$C$127)*($H1485&lt;='TaxCred&amp;Subs'!$C$129),'TaxCred&amp;Subs'!$E$123:$E$127,0))</f>
        <v>0</v>
      </c>
      <c r="R1485" s="171">
        <v>0</v>
      </c>
      <c r="S1485" s="49">
        <v>4</v>
      </c>
      <c r="T1485" s="49" t="s">
        <v>248</v>
      </c>
      <c r="V1485" s="153" t="str">
        <f t="array" ref="V1485">INDEX(xlRTCLNAME,MATCH(1,(xlRTCLENDU=1)*(xlRTCLEQCL=$D1485),0))</f>
        <v>ELEC_HP</v>
      </c>
      <c r="W1485" s="153" t="str">
        <f t="array" ref="W1485">INDEX(xlRTCLNAME,MATCH(1,(xlRTCLENDU=2)*(xlRTCLEQCL=$F1485),0))</f>
        <v>ELEC_HP</v>
      </c>
      <c r="X1485" s="153" t="str">
        <f t="array" ref="X1485">INDEX(xlRTTYNAME,MATCH(1,(xlRTTYENDU=1)*(xlRTTYEQCL=$D1485)*(xlRTEQTYPE=$E1485),0))</f>
        <v>ELEC_HP3</v>
      </c>
      <c r="Y1485" s="153" t="str">
        <f t="array" ref="Y1485">INDEX(xlRTTYNAME,MATCH(1,(xlRTTYENDU=2)*(xlRTTYEQCL=$F1485)*(xlRTEQTYPE=$G1485),0))</f>
        <v>ELEC_HP3</v>
      </c>
    </row>
    <row r="1486" spans="2:25" ht="14.25" customHeight="1" x14ac:dyDescent="0.2">
      <c r="B1486" s="126">
        <v>3</v>
      </c>
      <c r="C1486" s="126">
        <v>2</v>
      </c>
      <c r="D1486" s="126">
        <v>2</v>
      </c>
      <c r="E1486" s="126">
        <v>4</v>
      </c>
      <c r="F1486" s="126">
        <v>3</v>
      </c>
      <c r="G1486" s="126">
        <v>11</v>
      </c>
      <c r="H1486" s="126">
        <v>2016</v>
      </c>
      <c r="I1486" s="159">
        <v>2022</v>
      </c>
      <c r="J1486" s="127">
        <v>1.0932999999999999</v>
      </c>
      <c r="K1486" s="127">
        <v>1.0345</v>
      </c>
      <c r="L1486" s="127">
        <v>0.81399999999999995</v>
      </c>
      <c r="M1486" s="127">
        <v>1.0654999999999999</v>
      </c>
      <c r="N1486" s="127">
        <v>1.0358000000000001</v>
      </c>
      <c r="O1486" s="127">
        <v>1.0538000000000001</v>
      </c>
      <c r="P1486" s="126">
        <v>3043</v>
      </c>
      <c r="Q1486" s="128">
        <f t="array" ref="Q1486">SUM(IF(($S1486&gt;=4)*($C1486='TaxCred&amp;Subs'!$D$123:$D$127)*($H1486='TaxCred&amp;Subs'!$C$123:$C$127)*($H1486&lt;='TaxCred&amp;Subs'!$C$129),'TaxCred&amp;Subs'!$E$123:$E$127,0))</f>
        <v>0</v>
      </c>
      <c r="R1486" s="174">
        <v>0</v>
      </c>
      <c r="S1486" s="126">
        <v>4</v>
      </c>
      <c r="T1486" s="126" t="s">
        <v>248</v>
      </c>
      <c r="V1486" s="153" t="str">
        <f t="array" ref="V1486">INDEX(xlRTCLNAME,MATCH(1,(xlRTCLENDU=1)*(xlRTCLEQCL=$D1486),0))</f>
        <v>ELEC_HP</v>
      </c>
      <c r="W1486" s="153" t="str">
        <f t="array" ref="W1486">INDEX(xlRTCLNAME,MATCH(1,(xlRTCLENDU=2)*(xlRTCLEQCL=$F1486),0))</f>
        <v>ELEC_HP</v>
      </c>
      <c r="X1486" s="153" t="str">
        <f t="array" ref="X1486">INDEX(xlRTTYNAME,MATCH(1,(xlRTTYENDU=1)*(xlRTTYEQCL=$D1486)*(xlRTEQTYPE=$E1486),0))</f>
        <v>ELEC_HP3</v>
      </c>
      <c r="Y1486" s="153" t="str">
        <f t="array" ref="Y1486">INDEX(xlRTTYNAME,MATCH(1,(xlRTTYENDU=2)*(xlRTTYEQCL=$F1486)*(xlRTEQTYPE=$G1486),0))</f>
        <v>ELEC_HP3</v>
      </c>
    </row>
    <row r="1487" spans="2:25" ht="14.25" customHeight="1" x14ac:dyDescent="0.2">
      <c r="B1487" s="49">
        <v>3</v>
      </c>
      <c r="C1487" s="49">
        <v>2</v>
      </c>
      <c r="D1487" s="49">
        <v>2</v>
      </c>
      <c r="E1487" s="49">
        <v>4</v>
      </c>
      <c r="F1487" s="49">
        <v>3</v>
      </c>
      <c r="G1487" s="49">
        <v>11</v>
      </c>
      <c r="H1487" s="49">
        <v>2023</v>
      </c>
      <c r="I1487" s="49">
        <v>2032</v>
      </c>
      <c r="J1487" s="50">
        <v>1.0932999999999999</v>
      </c>
      <c r="K1487" s="50">
        <v>1.0345</v>
      </c>
      <c r="L1487" s="50">
        <v>0.81399999999999995</v>
      </c>
      <c r="M1487" s="50">
        <v>1.0654999999999999</v>
      </c>
      <c r="N1487" s="50">
        <v>1.0358000000000001</v>
      </c>
      <c r="O1487" s="50">
        <v>1.0538000000000001</v>
      </c>
      <c r="P1487" s="49">
        <v>3043</v>
      </c>
      <c r="Q1487" s="51">
        <f t="array" ref="Q1487">SUM(IF(($S1487&gt;=4)*($C1487='TaxCred&amp;Subs'!$D$123:$D$127)*($H1487='TaxCred&amp;Subs'!$C$123:$C$127)*($H1487&lt;='TaxCred&amp;Subs'!$C$129),'TaxCred&amp;Subs'!$E$123:$E$127,0))</f>
        <v>500</v>
      </c>
      <c r="R1487" s="171">
        <v>0</v>
      </c>
      <c r="S1487" s="49">
        <v>4</v>
      </c>
      <c r="T1487" s="49" t="s">
        <v>248</v>
      </c>
      <c r="V1487" s="153" t="str">
        <f t="array" ref="V1487">INDEX(xlRTCLNAME,MATCH(1,(xlRTCLENDU=1)*(xlRTCLEQCL=$D1487),0))</f>
        <v>ELEC_HP</v>
      </c>
      <c r="W1487" s="153" t="str">
        <f t="array" ref="W1487">INDEX(xlRTCLNAME,MATCH(1,(xlRTCLENDU=2)*(xlRTCLEQCL=$F1487),0))</f>
        <v>ELEC_HP</v>
      </c>
      <c r="X1487" s="153" t="str">
        <f t="array" ref="X1487">INDEX(xlRTTYNAME,MATCH(1,(xlRTTYENDU=1)*(xlRTTYEQCL=$D1487)*(xlRTEQTYPE=$E1487),0))</f>
        <v>ELEC_HP3</v>
      </c>
      <c r="Y1487" s="153" t="str">
        <f t="array" ref="Y1487">INDEX(xlRTTYNAME,MATCH(1,(xlRTTYENDU=2)*(xlRTTYEQCL=$F1487)*(xlRTEQTYPE=$G1487),0))</f>
        <v>ELEC_HP3</v>
      </c>
    </row>
    <row r="1488" spans="2:25" ht="14.25" customHeight="1" x14ac:dyDescent="0.2">
      <c r="B1488" s="49">
        <v>3</v>
      </c>
      <c r="C1488" s="49">
        <v>2</v>
      </c>
      <c r="D1488" s="49">
        <v>2</v>
      </c>
      <c r="E1488" s="49">
        <v>4</v>
      </c>
      <c r="F1488" s="49">
        <v>3</v>
      </c>
      <c r="G1488" s="49">
        <v>11</v>
      </c>
      <c r="H1488" s="49">
        <v>2033</v>
      </c>
      <c r="I1488" s="49">
        <v>2050</v>
      </c>
      <c r="J1488" s="50">
        <v>1.0932999999999999</v>
      </c>
      <c r="K1488" s="50">
        <v>1.0345</v>
      </c>
      <c r="L1488" s="50">
        <v>0.81399999999999995</v>
      </c>
      <c r="M1488" s="50">
        <v>1.0654999999999999</v>
      </c>
      <c r="N1488" s="50">
        <v>1.0358000000000001</v>
      </c>
      <c r="O1488" s="50">
        <v>1.0538000000000001</v>
      </c>
      <c r="P1488" s="49">
        <v>3043</v>
      </c>
      <c r="Q1488" s="51">
        <f t="array" ref="Q1488">SUM(IF(($S1488&gt;=4)*($C1488='TaxCred&amp;Subs'!$D$123:$D$127)*($H1488='TaxCred&amp;Subs'!$C$123:$C$127)*($H1488&lt;='TaxCred&amp;Subs'!$C$129),'TaxCred&amp;Subs'!$E$123:$E$127,0))</f>
        <v>0</v>
      </c>
      <c r="R1488" s="171">
        <v>0</v>
      </c>
      <c r="S1488" s="49">
        <v>4</v>
      </c>
      <c r="T1488" s="49" t="s">
        <v>248</v>
      </c>
      <c r="V1488" s="153" t="str">
        <f t="array" ref="V1488">INDEX(xlRTCLNAME,MATCH(1,(xlRTCLENDU=1)*(xlRTCLEQCL=$D1488),0))</f>
        <v>ELEC_HP</v>
      </c>
      <c r="W1488" s="153" t="str">
        <f t="array" ref="W1488">INDEX(xlRTCLNAME,MATCH(1,(xlRTCLENDU=2)*(xlRTCLEQCL=$F1488),0))</f>
        <v>ELEC_HP</v>
      </c>
      <c r="X1488" s="153" t="str">
        <f t="array" ref="X1488">INDEX(xlRTTYNAME,MATCH(1,(xlRTTYENDU=1)*(xlRTTYEQCL=$D1488)*(xlRTEQTYPE=$E1488),0))</f>
        <v>ELEC_HP3</v>
      </c>
      <c r="Y1488" s="153" t="str">
        <f t="array" ref="Y1488">INDEX(xlRTTYNAME,MATCH(1,(xlRTTYENDU=2)*(xlRTTYEQCL=$F1488)*(xlRTEQTYPE=$G1488),0))</f>
        <v>ELEC_HP3</v>
      </c>
    </row>
    <row r="1489" spans="2:25" ht="14.25" customHeight="1" x14ac:dyDescent="0.2">
      <c r="B1489" s="126">
        <v>4</v>
      </c>
      <c r="C1489" s="126">
        <v>2</v>
      </c>
      <c r="D1489" s="126">
        <v>2</v>
      </c>
      <c r="E1489" s="126">
        <v>4</v>
      </c>
      <c r="F1489" s="126">
        <v>3</v>
      </c>
      <c r="G1489" s="126">
        <v>11</v>
      </c>
      <c r="H1489" s="126">
        <v>2016</v>
      </c>
      <c r="I1489" s="159">
        <v>2022</v>
      </c>
      <c r="J1489" s="127">
        <v>1.0956999999999999</v>
      </c>
      <c r="K1489" s="127">
        <v>1.0417000000000001</v>
      </c>
      <c r="L1489" s="127">
        <v>0.96499999999999997</v>
      </c>
      <c r="M1489" s="127">
        <v>1.1499999999999999</v>
      </c>
      <c r="N1489" s="127">
        <v>1.1621999999999999</v>
      </c>
      <c r="O1489" s="127">
        <v>1.0538000000000001</v>
      </c>
      <c r="P1489" s="126">
        <v>2600</v>
      </c>
      <c r="Q1489" s="128">
        <f t="array" ref="Q1489">SUM(IF(($S1489&gt;=4)*($C1489='TaxCred&amp;Subs'!$D$123:$D$127)*($H1489='TaxCred&amp;Subs'!$C$123:$C$127)*($H1489&lt;='TaxCred&amp;Subs'!$C$129),'TaxCred&amp;Subs'!$E$123:$E$127,0))</f>
        <v>0</v>
      </c>
      <c r="R1489" s="174">
        <v>0</v>
      </c>
      <c r="S1489" s="126">
        <v>4</v>
      </c>
      <c r="T1489" s="126" t="s">
        <v>248</v>
      </c>
      <c r="V1489" s="153" t="str">
        <f t="array" ref="V1489">INDEX(xlRTCLNAME,MATCH(1,(xlRTCLENDU=1)*(xlRTCLEQCL=$D1489),0))</f>
        <v>ELEC_HP</v>
      </c>
      <c r="W1489" s="153" t="str">
        <f t="array" ref="W1489">INDEX(xlRTCLNAME,MATCH(1,(xlRTCLENDU=2)*(xlRTCLEQCL=$F1489),0))</f>
        <v>ELEC_HP</v>
      </c>
      <c r="X1489" s="153" t="str">
        <f t="array" ref="X1489">INDEX(xlRTTYNAME,MATCH(1,(xlRTTYENDU=1)*(xlRTTYEQCL=$D1489)*(xlRTEQTYPE=$E1489),0))</f>
        <v>ELEC_HP3</v>
      </c>
      <c r="Y1489" s="153" t="str">
        <f t="array" ref="Y1489">INDEX(xlRTTYNAME,MATCH(1,(xlRTTYENDU=2)*(xlRTTYEQCL=$F1489)*(xlRTEQTYPE=$G1489),0))</f>
        <v>ELEC_HP3</v>
      </c>
    </row>
    <row r="1490" spans="2:25" ht="14.25" customHeight="1" x14ac:dyDescent="0.2">
      <c r="B1490" s="49">
        <v>4</v>
      </c>
      <c r="C1490" s="49">
        <v>2</v>
      </c>
      <c r="D1490" s="49">
        <v>2</v>
      </c>
      <c r="E1490" s="49">
        <v>4</v>
      </c>
      <c r="F1490" s="49">
        <v>3</v>
      </c>
      <c r="G1490" s="49">
        <v>11</v>
      </c>
      <c r="H1490" s="49">
        <v>2023</v>
      </c>
      <c r="I1490" s="49">
        <v>2032</v>
      </c>
      <c r="J1490" s="50">
        <v>1.0956999999999999</v>
      </c>
      <c r="K1490" s="50">
        <v>1.0417000000000001</v>
      </c>
      <c r="L1490" s="50">
        <v>0.96499999999999997</v>
      </c>
      <c r="M1490" s="50">
        <v>1.1499999999999999</v>
      </c>
      <c r="N1490" s="50">
        <v>1.1621999999999999</v>
      </c>
      <c r="O1490" s="50">
        <v>1.0538000000000001</v>
      </c>
      <c r="P1490" s="49">
        <v>2600</v>
      </c>
      <c r="Q1490" s="51">
        <f t="array" ref="Q1490">SUM(IF(($S1490&gt;=4)*($C1490='TaxCred&amp;Subs'!$D$123:$D$127)*($H1490='TaxCred&amp;Subs'!$C$123:$C$127)*($H1490&lt;='TaxCred&amp;Subs'!$C$129),'TaxCred&amp;Subs'!$E$123:$E$127,0))</f>
        <v>500</v>
      </c>
      <c r="R1490" s="171">
        <v>0</v>
      </c>
      <c r="S1490" s="49">
        <v>4</v>
      </c>
      <c r="T1490" s="49" t="s">
        <v>248</v>
      </c>
      <c r="V1490" s="153" t="str">
        <f t="array" ref="V1490">INDEX(xlRTCLNAME,MATCH(1,(xlRTCLENDU=1)*(xlRTCLEQCL=$D1490),0))</f>
        <v>ELEC_HP</v>
      </c>
      <c r="W1490" s="153" t="str">
        <f t="array" ref="W1490">INDEX(xlRTCLNAME,MATCH(1,(xlRTCLENDU=2)*(xlRTCLEQCL=$F1490),0))</f>
        <v>ELEC_HP</v>
      </c>
      <c r="X1490" s="153" t="str">
        <f t="array" ref="X1490">INDEX(xlRTTYNAME,MATCH(1,(xlRTTYENDU=1)*(xlRTTYEQCL=$D1490)*(xlRTEQTYPE=$E1490),0))</f>
        <v>ELEC_HP3</v>
      </c>
      <c r="Y1490" s="153" t="str">
        <f t="array" ref="Y1490">INDEX(xlRTTYNAME,MATCH(1,(xlRTTYENDU=2)*(xlRTTYEQCL=$F1490)*(xlRTEQTYPE=$G1490),0))</f>
        <v>ELEC_HP3</v>
      </c>
    </row>
    <row r="1491" spans="2:25" ht="14.25" customHeight="1" x14ac:dyDescent="0.2">
      <c r="B1491" s="49">
        <v>4</v>
      </c>
      <c r="C1491" s="49">
        <v>2</v>
      </c>
      <c r="D1491" s="49">
        <v>2</v>
      </c>
      <c r="E1491" s="49">
        <v>4</v>
      </c>
      <c r="F1491" s="49">
        <v>3</v>
      </c>
      <c r="G1491" s="49">
        <v>11</v>
      </c>
      <c r="H1491" s="49">
        <v>2033</v>
      </c>
      <c r="I1491" s="49">
        <v>2050</v>
      </c>
      <c r="J1491" s="50">
        <v>1.0956999999999999</v>
      </c>
      <c r="K1491" s="50">
        <v>1.0417000000000001</v>
      </c>
      <c r="L1491" s="50">
        <v>0.96499999999999997</v>
      </c>
      <c r="M1491" s="50">
        <v>1.1499999999999999</v>
      </c>
      <c r="N1491" s="50">
        <v>1.1621999999999999</v>
      </c>
      <c r="O1491" s="50">
        <v>1.0538000000000001</v>
      </c>
      <c r="P1491" s="49">
        <v>2600</v>
      </c>
      <c r="Q1491" s="51">
        <f t="array" ref="Q1491">SUM(IF(($S1491&gt;=4)*($C1491='TaxCred&amp;Subs'!$D$123:$D$127)*($H1491='TaxCred&amp;Subs'!$C$123:$C$127)*($H1491&lt;='TaxCred&amp;Subs'!$C$129),'TaxCred&amp;Subs'!$E$123:$E$127,0))</f>
        <v>0</v>
      </c>
      <c r="R1491" s="171">
        <v>0</v>
      </c>
      <c r="S1491" s="49">
        <v>4</v>
      </c>
      <c r="T1491" s="49" t="s">
        <v>248</v>
      </c>
      <c r="V1491" s="153" t="str">
        <f t="array" ref="V1491">INDEX(xlRTCLNAME,MATCH(1,(xlRTCLENDU=1)*(xlRTCLEQCL=$D1491),0))</f>
        <v>ELEC_HP</v>
      </c>
      <c r="W1491" s="153" t="str">
        <f t="array" ref="W1491">INDEX(xlRTCLNAME,MATCH(1,(xlRTCLENDU=2)*(xlRTCLEQCL=$F1491),0))</f>
        <v>ELEC_HP</v>
      </c>
      <c r="X1491" s="153" t="str">
        <f t="array" ref="X1491">INDEX(xlRTTYNAME,MATCH(1,(xlRTTYENDU=1)*(xlRTTYEQCL=$D1491)*(xlRTEQTYPE=$E1491),0))</f>
        <v>ELEC_HP3</v>
      </c>
      <c r="Y1491" s="153" t="str">
        <f t="array" ref="Y1491">INDEX(xlRTTYNAME,MATCH(1,(xlRTTYENDU=2)*(xlRTTYEQCL=$F1491)*(xlRTEQTYPE=$G1491),0))</f>
        <v>ELEC_HP3</v>
      </c>
    </row>
    <row r="1492" spans="2:25" ht="14.25" customHeight="1" x14ac:dyDescent="0.2">
      <c r="B1492" s="126">
        <v>5</v>
      </c>
      <c r="C1492" s="126">
        <v>2</v>
      </c>
      <c r="D1492" s="126">
        <v>2</v>
      </c>
      <c r="E1492" s="126">
        <v>4</v>
      </c>
      <c r="F1492" s="126">
        <v>3</v>
      </c>
      <c r="G1492" s="126">
        <v>11</v>
      </c>
      <c r="H1492" s="126">
        <v>2016</v>
      </c>
      <c r="I1492" s="159">
        <v>2022</v>
      </c>
      <c r="J1492" s="127">
        <v>1.1200000000000001</v>
      </c>
      <c r="K1492" s="127">
        <v>1.0545</v>
      </c>
      <c r="L1492" s="127">
        <v>0.44379999999999997</v>
      </c>
      <c r="M1492" s="127">
        <v>1.0509999999999999</v>
      </c>
      <c r="N1492" s="127">
        <v>1.2490000000000001</v>
      </c>
      <c r="O1492" s="127">
        <v>1.0538000000000001</v>
      </c>
      <c r="P1492" s="126">
        <v>1896</v>
      </c>
      <c r="Q1492" s="128">
        <f t="array" ref="Q1492">SUM(IF(($S1492&gt;=4)*($C1492='TaxCred&amp;Subs'!$D$123:$D$127)*($H1492='TaxCred&amp;Subs'!$C$123:$C$127)*($H1492&lt;='TaxCred&amp;Subs'!$C$129),'TaxCred&amp;Subs'!$E$123:$E$127,0))</f>
        <v>0</v>
      </c>
      <c r="R1492" s="174">
        <v>0</v>
      </c>
      <c r="S1492" s="126">
        <v>4</v>
      </c>
      <c r="T1492" s="126" t="s">
        <v>248</v>
      </c>
      <c r="V1492" s="153" t="str">
        <f t="array" ref="V1492">INDEX(xlRTCLNAME,MATCH(1,(xlRTCLENDU=1)*(xlRTCLEQCL=$D1492),0))</f>
        <v>ELEC_HP</v>
      </c>
      <c r="W1492" s="153" t="str">
        <f t="array" ref="W1492">INDEX(xlRTCLNAME,MATCH(1,(xlRTCLENDU=2)*(xlRTCLEQCL=$F1492),0))</f>
        <v>ELEC_HP</v>
      </c>
      <c r="X1492" s="153" t="str">
        <f t="array" ref="X1492">INDEX(xlRTTYNAME,MATCH(1,(xlRTTYENDU=1)*(xlRTTYEQCL=$D1492)*(xlRTEQTYPE=$E1492),0))</f>
        <v>ELEC_HP3</v>
      </c>
      <c r="Y1492" s="153" t="str">
        <f t="array" ref="Y1492">INDEX(xlRTTYNAME,MATCH(1,(xlRTTYENDU=2)*(xlRTTYEQCL=$F1492)*(xlRTEQTYPE=$G1492),0))</f>
        <v>ELEC_HP3</v>
      </c>
    </row>
    <row r="1493" spans="2:25" ht="14.25" customHeight="1" x14ac:dyDescent="0.2">
      <c r="B1493" s="49">
        <v>5</v>
      </c>
      <c r="C1493" s="49">
        <v>2</v>
      </c>
      <c r="D1493" s="49">
        <v>2</v>
      </c>
      <c r="E1493" s="49">
        <v>4</v>
      </c>
      <c r="F1493" s="49">
        <v>3</v>
      </c>
      <c r="G1493" s="49">
        <v>11</v>
      </c>
      <c r="H1493" s="49">
        <v>2023</v>
      </c>
      <c r="I1493" s="49">
        <v>2032</v>
      </c>
      <c r="J1493" s="50">
        <v>1.1200000000000001</v>
      </c>
      <c r="K1493" s="50">
        <v>1.0545</v>
      </c>
      <c r="L1493" s="50">
        <v>0.44379999999999997</v>
      </c>
      <c r="M1493" s="50">
        <v>1.0509999999999999</v>
      </c>
      <c r="N1493" s="50">
        <v>1.2490000000000001</v>
      </c>
      <c r="O1493" s="50">
        <v>1.0538000000000001</v>
      </c>
      <c r="P1493" s="49">
        <v>1896</v>
      </c>
      <c r="Q1493" s="51">
        <f t="array" ref="Q1493">SUM(IF(($S1493&gt;=4)*($C1493='TaxCred&amp;Subs'!$D$123:$D$127)*($H1493='TaxCred&amp;Subs'!$C$123:$C$127)*($H1493&lt;='TaxCred&amp;Subs'!$C$129),'TaxCred&amp;Subs'!$E$123:$E$127,0))</f>
        <v>500</v>
      </c>
      <c r="R1493" s="171">
        <v>0</v>
      </c>
      <c r="S1493" s="49">
        <v>4</v>
      </c>
      <c r="T1493" s="49" t="s">
        <v>248</v>
      </c>
      <c r="V1493" s="153" t="str">
        <f t="array" ref="V1493">INDEX(xlRTCLNAME,MATCH(1,(xlRTCLENDU=1)*(xlRTCLEQCL=$D1493),0))</f>
        <v>ELEC_HP</v>
      </c>
      <c r="W1493" s="153" t="str">
        <f t="array" ref="W1493">INDEX(xlRTCLNAME,MATCH(1,(xlRTCLENDU=2)*(xlRTCLEQCL=$F1493),0))</f>
        <v>ELEC_HP</v>
      </c>
      <c r="X1493" s="153" t="str">
        <f t="array" ref="X1493">INDEX(xlRTTYNAME,MATCH(1,(xlRTTYENDU=1)*(xlRTTYEQCL=$D1493)*(xlRTEQTYPE=$E1493),0))</f>
        <v>ELEC_HP3</v>
      </c>
      <c r="Y1493" s="153" t="str">
        <f t="array" ref="Y1493">INDEX(xlRTTYNAME,MATCH(1,(xlRTTYENDU=2)*(xlRTTYEQCL=$F1493)*(xlRTEQTYPE=$G1493),0))</f>
        <v>ELEC_HP3</v>
      </c>
    </row>
    <row r="1494" spans="2:25" ht="14.25" customHeight="1" x14ac:dyDescent="0.2">
      <c r="B1494" s="49">
        <v>5</v>
      </c>
      <c r="C1494" s="49">
        <v>2</v>
      </c>
      <c r="D1494" s="49">
        <v>2</v>
      </c>
      <c r="E1494" s="49">
        <v>4</v>
      </c>
      <c r="F1494" s="49">
        <v>3</v>
      </c>
      <c r="G1494" s="49">
        <v>11</v>
      </c>
      <c r="H1494" s="49">
        <v>2033</v>
      </c>
      <c r="I1494" s="49">
        <v>2050</v>
      </c>
      <c r="J1494" s="50">
        <v>1.1200000000000001</v>
      </c>
      <c r="K1494" s="50">
        <v>1.0545</v>
      </c>
      <c r="L1494" s="50">
        <v>0.44379999999999997</v>
      </c>
      <c r="M1494" s="50">
        <v>1.0509999999999999</v>
      </c>
      <c r="N1494" s="50">
        <v>1.2490000000000001</v>
      </c>
      <c r="O1494" s="50">
        <v>1.0538000000000001</v>
      </c>
      <c r="P1494" s="49">
        <v>1896</v>
      </c>
      <c r="Q1494" s="51">
        <f t="array" ref="Q1494">SUM(IF(($S1494&gt;=4)*($C1494='TaxCred&amp;Subs'!$D$123:$D$127)*($H1494='TaxCred&amp;Subs'!$C$123:$C$127)*($H1494&lt;='TaxCred&amp;Subs'!$C$129),'TaxCred&amp;Subs'!$E$123:$E$127,0))</f>
        <v>0</v>
      </c>
      <c r="R1494" s="171">
        <v>0</v>
      </c>
      <c r="S1494" s="49">
        <v>4</v>
      </c>
      <c r="T1494" s="49" t="s">
        <v>248</v>
      </c>
      <c r="V1494" s="153" t="str">
        <f t="array" ref="V1494">INDEX(xlRTCLNAME,MATCH(1,(xlRTCLENDU=1)*(xlRTCLEQCL=$D1494),0))</f>
        <v>ELEC_HP</v>
      </c>
      <c r="W1494" s="153" t="str">
        <f t="array" ref="W1494">INDEX(xlRTCLNAME,MATCH(1,(xlRTCLENDU=2)*(xlRTCLEQCL=$F1494),0))</f>
        <v>ELEC_HP</v>
      </c>
      <c r="X1494" s="153" t="str">
        <f t="array" ref="X1494">INDEX(xlRTTYNAME,MATCH(1,(xlRTTYENDU=1)*(xlRTTYEQCL=$D1494)*(xlRTEQTYPE=$E1494),0))</f>
        <v>ELEC_HP3</v>
      </c>
      <c r="Y1494" s="153" t="str">
        <f t="array" ref="Y1494">INDEX(xlRTTYNAME,MATCH(1,(xlRTTYENDU=2)*(xlRTTYEQCL=$F1494)*(xlRTEQTYPE=$G1494),0))</f>
        <v>ELEC_HP3</v>
      </c>
    </row>
    <row r="1495" spans="2:25" ht="14.25" customHeight="1" x14ac:dyDescent="0.2">
      <c r="B1495" s="126">
        <v>6</v>
      </c>
      <c r="C1495" s="126">
        <v>2</v>
      </c>
      <c r="D1495" s="126">
        <v>2</v>
      </c>
      <c r="E1495" s="126">
        <v>4</v>
      </c>
      <c r="F1495" s="126">
        <v>3</v>
      </c>
      <c r="G1495" s="126">
        <v>11</v>
      </c>
      <c r="H1495" s="126">
        <v>2016</v>
      </c>
      <c r="I1495" s="159">
        <v>2022</v>
      </c>
      <c r="J1495" s="127">
        <v>1.087</v>
      </c>
      <c r="K1495" s="127">
        <v>1.0385</v>
      </c>
      <c r="L1495" s="127">
        <v>1.1105</v>
      </c>
      <c r="M1495" s="127">
        <v>1.1228</v>
      </c>
      <c r="N1495" s="127">
        <v>1.3324</v>
      </c>
      <c r="O1495" s="127">
        <v>1.0538000000000001</v>
      </c>
      <c r="P1495" s="126">
        <v>2318</v>
      </c>
      <c r="Q1495" s="128">
        <f t="array" ref="Q1495">SUM(IF(($S1495&gt;=4)*($C1495='TaxCred&amp;Subs'!$D$123:$D$127)*($H1495='TaxCred&amp;Subs'!$C$123:$C$127)*($H1495&lt;='TaxCred&amp;Subs'!$C$129),'TaxCred&amp;Subs'!$E$123:$E$127,0))</f>
        <v>0</v>
      </c>
      <c r="R1495" s="174">
        <v>0</v>
      </c>
      <c r="S1495" s="126">
        <v>4</v>
      </c>
      <c r="T1495" s="126" t="s">
        <v>248</v>
      </c>
      <c r="V1495" s="153" t="str">
        <f t="array" ref="V1495">INDEX(xlRTCLNAME,MATCH(1,(xlRTCLENDU=1)*(xlRTCLEQCL=$D1495),0))</f>
        <v>ELEC_HP</v>
      </c>
      <c r="W1495" s="153" t="str">
        <f t="array" ref="W1495">INDEX(xlRTCLNAME,MATCH(1,(xlRTCLENDU=2)*(xlRTCLEQCL=$F1495),0))</f>
        <v>ELEC_HP</v>
      </c>
      <c r="X1495" s="153" t="str">
        <f t="array" ref="X1495">INDEX(xlRTTYNAME,MATCH(1,(xlRTTYENDU=1)*(xlRTTYEQCL=$D1495)*(xlRTEQTYPE=$E1495),0))</f>
        <v>ELEC_HP3</v>
      </c>
      <c r="Y1495" s="153" t="str">
        <f t="array" ref="Y1495">INDEX(xlRTTYNAME,MATCH(1,(xlRTTYENDU=2)*(xlRTTYEQCL=$F1495)*(xlRTEQTYPE=$G1495),0))</f>
        <v>ELEC_HP3</v>
      </c>
    </row>
    <row r="1496" spans="2:25" ht="14.25" customHeight="1" x14ac:dyDescent="0.2">
      <c r="B1496" s="49">
        <v>6</v>
      </c>
      <c r="C1496" s="49">
        <v>2</v>
      </c>
      <c r="D1496" s="49">
        <v>2</v>
      </c>
      <c r="E1496" s="49">
        <v>4</v>
      </c>
      <c r="F1496" s="49">
        <v>3</v>
      </c>
      <c r="G1496" s="49">
        <v>11</v>
      </c>
      <c r="H1496" s="49">
        <v>2023</v>
      </c>
      <c r="I1496" s="49">
        <v>2032</v>
      </c>
      <c r="J1496" s="50">
        <v>1.087</v>
      </c>
      <c r="K1496" s="50">
        <v>1.0385</v>
      </c>
      <c r="L1496" s="50">
        <v>1.1105</v>
      </c>
      <c r="M1496" s="50">
        <v>1.1228</v>
      </c>
      <c r="N1496" s="50">
        <v>1.3324</v>
      </c>
      <c r="O1496" s="50">
        <v>1.0538000000000001</v>
      </c>
      <c r="P1496" s="49">
        <v>2318</v>
      </c>
      <c r="Q1496" s="51">
        <f t="array" ref="Q1496">SUM(IF(($S1496&gt;=4)*($C1496='TaxCred&amp;Subs'!$D$123:$D$127)*($H1496='TaxCred&amp;Subs'!$C$123:$C$127)*($H1496&lt;='TaxCred&amp;Subs'!$C$129),'TaxCred&amp;Subs'!$E$123:$E$127,0))</f>
        <v>500</v>
      </c>
      <c r="R1496" s="171">
        <v>0</v>
      </c>
      <c r="S1496" s="49">
        <v>4</v>
      </c>
      <c r="T1496" s="49" t="s">
        <v>248</v>
      </c>
      <c r="V1496" s="153" t="str">
        <f t="array" ref="V1496">INDEX(xlRTCLNAME,MATCH(1,(xlRTCLENDU=1)*(xlRTCLEQCL=$D1496),0))</f>
        <v>ELEC_HP</v>
      </c>
      <c r="W1496" s="153" t="str">
        <f t="array" ref="W1496">INDEX(xlRTCLNAME,MATCH(1,(xlRTCLENDU=2)*(xlRTCLEQCL=$F1496),0))</f>
        <v>ELEC_HP</v>
      </c>
      <c r="X1496" s="153" t="str">
        <f t="array" ref="X1496">INDEX(xlRTTYNAME,MATCH(1,(xlRTTYENDU=1)*(xlRTTYEQCL=$D1496)*(xlRTEQTYPE=$E1496),0))</f>
        <v>ELEC_HP3</v>
      </c>
      <c r="Y1496" s="153" t="str">
        <f t="array" ref="Y1496">INDEX(xlRTTYNAME,MATCH(1,(xlRTTYENDU=2)*(xlRTTYEQCL=$F1496)*(xlRTEQTYPE=$G1496),0))</f>
        <v>ELEC_HP3</v>
      </c>
    </row>
    <row r="1497" spans="2:25" ht="14.25" customHeight="1" x14ac:dyDescent="0.2">
      <c r="B1497" s="49">
        <v>6</v>
      </c>
      <c r="C1497" s="49">
        <v>2</v>
      </c>
      <c r="D1497" s="49">
        <v>2</v>
      </c>
      <c r="E1497" s="49">
        <v>4</v>
      </c>
      <c r="F1497" s="49">
        <v>3</v>
      </c>
      <c r="G1497" s="49">
        <v>11</v>
      </c>
      <c r="H1497" s="49">
        <v>2033</v>
      </c>
      <c r="I1497" s="49">
        <v>2050</v>
      </c>
      <c r="J1497" s="50">
        <v>1.087</v>
      </c>
      <c r="K1497" s="50">
        <v>1.0385</v>
      </c>
      <c r="L1497" s="50">
        <v>1.1105</v>
      </c>
      <c r="M1497" s="50">
        <v>1.1228</v>
      </c>
      <c r="N1497" s="50">
        <v>1.3324</v>
      </c>
      <c r="O1497" s="50">
        <v>1.0538000000000001</v>
      </c>
      <c r="P1497" s="49">
        <v>2318</v>
      </c>
      <c r="Q1497" s="51">
        <f t="array" ref="Q1497">SUM(IF(($S1497&gt;=4)*($C1497='TaxCred&amp;Subs'!$D$123:$D$127)*($H1497='TaxCred&amp;Subs'!$C$123:$C$127)*($H1497&lt;='TaxCred&amp;Subs'!$C$129),'TaxCred&amp;Subs'!$E$123:$E$127,0))</f>
        <v>0</v>
      </c>
      <c r="R1497" s="171">
        <v>0</v>
      </c>
      <c r="S1497" s="49">
        <v>4</v>
      </c>
      <c r="T1497" s="49" t="s">
        <v>248</v>
      </c>
      <c r="V1497" s="153" t="str">
        <f t="array" ref="V1497">INDEX(xlRTCLNAME,MATCH(1,(xlRTCLENDU=1)*(xlRTCLEQCL=$D1497),0))</f>
        <v>ELEC_HP</v>
      </c>
      <c r="W1497" s="153" t="str">
        <f t="array" ref="W1497">INDEX(xlRTCLNAME,MATCH(1,(xlRTCLENDU=2)*(xlRTCLEQCL=$F1497),0))</f>
        <v>ELEC_HP</v>
      </c>
      <c r="X1497" s="153" t="str">
        <f t="array" ref="X1497">INDEX(xlRTTYNAME,MATCH(1,(xlRTTYENDU=1)*(xlRTTYEQCL=$D1497)*(xlRTEQTYPE=$E1497),0))</f>
        <v>ELEC_HP3</v>
      </c>
      <c r="Y1497" s="153" t="str">
        <f t="array" ref="Y1497">INDEX(xlRTTYNAME,MATCH(1,(xlRTTYENDU=2)*(xlRTTYEQCL=$F1497)*(xlRTEQTYPE=$G1497),0))</f>
        <v>ELEC_HP3</v>
      </c>
    </row>
    <row r="1498" spans="2:25" ht="14.25" customHeight="1" x14ac:dyDescent="0.2">
      <c r="B1498" s="126">
        <v>7</v>
      </c>
      <c r="C1498" s="126">
        <v>2</v>
      </c>
      <c r="D1498" s="126">
        <v>2</v>
      </c>
      <c r="E1498" s="126">
        <v>4</v>
      </c>
      <c r="F1498" s="126">
        <v>3</v>
      </c>
      <c r="G1498" s="126">
        <v>11</v>
      </c>
      <c r="H1498" s="126">
        <v>2016</v>
      </c>
      <c r="I1498" s="159">
        <v>2022</v>
      </c>
      <c r="J1498" s="127">
        <v>1.1200000000000001</v>
      </c>
      <c r="K1498" s="127">
        <v>1.0435000000000001</v>
      </c>
      <c r="L1498" s="127">
        <v>0.94379999999999997</v>
      </c>
      <c r="M1498" s="127">
        <v>1.1258999999999999</v>
      </c>
      <c r="N1498" s="127">
        <v>1.4438</v>
      </c>
      <c r="O1498" s="127">
        <v>1.0538000000000001</v>
      </c>
      <c r="P1498" s="126">
        <v>2003</v>
      </c>
      <c r="Q1498" s="128">
        <f t="array" ref="Q1498">SUM(IF(($S1498&gt;=4)*($C1498='TaxCred&amp;Subs'!$D$123:$D$127)*($H1498='TaxCred&amp;Subs'!$C$123:$C$127)*($H1498&lt;='TaxCred&amp;Subs'!$C$129),'TaxCred&amp;Subs'!$E$123:$E$127,0))</f>
        <v>0</v>
      </c>
      <c r="R1498" s="174">
        <v>0</v>
      </c>
      <c r="S1498" s="126">
        <v>4</v>
      </c>
      <c r="T1498" s="126" t="s">
        <v>248</v>
      </c>
      <c r="V1498" s="153" t="str">
        <f t="array" ref="V1498">INDEX(xlRTCLNAME,MATCH(1,(xlRTCLENDU=1)*(xlRTCLEQCL=$D1498),0))</f>
        <v>ELEC_HP</v>
      </c>
      <c r="W1498" s="153" t="str">
        <f t="array" ref="W1498">INDEX(xlRTCLNAME,MATCH(1,(xlRTCLENDU=2)*(xlRTCLEQCL=$F1498),0))</f>
        <v>ELEC_HP</v>
      </c>
      <c r="X1498" s="153" t="str">
        <f t="array" ref="X1498">INDEX(xlRTTYNAME,MATCH(1,(xlRTTYENDU=1)*(xlRTTYEQCL=$D1498)*(xlRTEQTYPE=$E1498),0))</f>
        <v>ELEC_HP3</v>
      </c>
      <c r="Y1498" s="153" t="str">
        <f t="array" ref="Y1498">INDEX(xlRTTYNAME,MATCH(1,(xlRTTYENDU=2)*(xlRTTYEQCL=$F1498)*(xlRTEQTYPE=$G1498),0))</f>
        <v>ELEC_HP3</v>
      </c>
    </row>
    <row r="1499" spans="2:25" ht="14.25" customHeight="1" x14ac:dyDescent="0.2">
      <c r="B1499" s="49">
        <v>7</v>
      </c>
      <c r="C1499" s="49">
        <v>2</v>
      </c>
      <c r="D1499" s="49">
        <v>2</v>
      </c>
      <c r="E1499" s="49">
        <v>4</v>
      </c>
      <c r="F1499" s="49">
        <v>3</v>
      </c>
      <c r="G1499" s="49">
        <v>11</v>
      </c>
      <c r="H1499" s="49">
        <v>2023</v>
      </c>
      <c r="I1499" s="49">
        <v>2032</v>
      </c>
      <c r="J1499" s="50">
        <v>1.1200000000000001</v>
      </c>
      <c r="K1499" s="50">
        <v>1.0435000000000001</v>
      </c>
      <c r="L1499" s="50">
        <v>0.94379999999999997</v>
      </c>
      <c r="M1499" s="50">
        <v>1.1258999999999999</v>
      </c>
      <c r="N1499" s="50">
        <v>1.4438</v>
      </c>
      <c r="O1499" s="50">
        <v>1.0538000000000001</v>
      </c>
      <c r="P1499" s="49">
        <v>2003</v>
      </c>
      <c r="Q1499" s="51">
        <f t="array" ref="Q1499">SUM(IF(($S1499&gt;=4)*($C1499='TaxCred&amp;Subs'!$D$123:$D$127)*($H1499='TaxCred&amp;Subs'!$C$123:$C$127)*($H1499&lt;='TaxCred&amp;Subs'!$C$129),'TaxCred&amp;Subs'!$E$123:$E$127,0))</f>
        <v>500</v>
      </c>
      <c r="R1499" s="171">
        <v>0</v>
      </c>
      <c r="S1499" s="49">
        <v>4</v>
      </c>
      <c r="T1499" s="49" t="s">
        <v>248</v>
      </c>
      <c r="V1499" s="153" t="str">
        <f t="array" ref="V1499">INDEX(xlRTCLNAME,MATCH(1,(xlRTCLENDU=1)*(xlRTCLEQCL=$D1499),0))</f>
        <v>ELEC_HP</v>
      </c>
      <c r="W1499" s="153" t="str">
        <f t="array" ref="W1499">INDEX(xlRTCLNAME,MATCH(1,(xlRTCLENDU=2)*(xlRTCLEQCL=$F1499),0))</f>
        <v>ELEC_HP</v>
      </c>
      <c r="X1499" s="153" t="str">
        <f t="array" ref="X1499">INDEX(xlRTTYNAME,MATCH(1,(xlRTTYENDU=1)*(xlRTTYEQCL=$D1499)*(xlRTEQTYPE=$E1499),0))</f>
        <v>ELEC_HP3</v>
      </c>
      <c r="Y1499" s="153" t="str">
        <f t="array" ref="Y1499">INDEX(xlRTTYNAME,MATCH(1,(xlRTTYENDU=2)*(xlRTTYEQCL=$F1499)*(xlRTEQTYPE=$G1499),0))</f>
        <v>ELEC_HP3</v>
      </c>
    </row>
    <row r="1500" spans="2:25" ht="14.25" customHeight="1" x14ac:dyDescent="0.2">
      <c r="B1500" s="49">
        <v>7</v>
      </c>
      <c r="C1500" s="49">
        <v>2</v>
      </c>
      <c r="D1500" s="49">
        <v>2</v>
      </c>
      <c r="E1500" s="49">
        <v>4</v>
      </c>
      <c r="F1500" s="49">
        <v>3</v>
      </c>
      <c r="G1500" s="49">
        <v>11</v>
      </c>
      <c r="H1500" s="49">
        <v>2033</v>
      </c>
      <c r="I1500" s="49">
        <v>2050</v>
      </c>
      <c r="J1500" s="50">
        <v>1.1200000000000001</v>
      </c>
      <c r="K1500" s="50">
        <v>1.0435000000000001</v>
      </c>
      <c r="L1500" s="50">
        <v>0.94379999999999997</v>
      </c>
      <c r="M1500" s="50">
        <v>1.1258999999999999</v>
      </c>
      <c r="N1500" s="50">
        <v>1.4438</v>
      </c>
      <c r="O1500" s="50">
        <v>1.0538000000000001</v>
      </c>
      <c r="P1500" s="49">
        <v>2003</v>
      </c>
      <c r="Q1500" s="51">
        <f t="array" ref="Q1500">SUM(IF(($S1500&gt;=4)*($C1500='TaxCred&amp;Subs'!$D$123:$D$127)*($H1500='TaxCred&amp;Subs'!$C$123:$C$127)*($H1500&lt;='TaxCred&amp;Subs'!$C$129),'TaxCred&amp;Subs'!$E$123:$E$127,0))</f>
        <v>0</v>
      </c>
      <c r="R1500" s="171">
        <v>0</v>
      </c>
      <c r="S1500" s="49">
        <v>4</v>
      </c>
      <c r="T1500" s="49" t="s">
        <v>248</v>
      </c>
      <c r="V1500" s="153" t="str">
        <f t="array" ref="V1500">INDEX(xlRTCLNAME,MATCH(1,(xlRTCLENDU=1)*(xlRTCLEQCL=$D1500),0))</f>
        <v>ELEC_HP</v>
      </c>
      <c r="W1500" s="153" t="str">
        <f t="array" ref="W1500">INDEX(xlRTCLNAME,MATCH(1,(xlRTCLENDU=2)*(xlRTCLEQCL=$F1500),0))</f>
        <v>ELEC_HP</v>
      </c>
      <c r="X1500" s="153" t="str">
        <f t="array" ref="X1500">INDEX(xlRTTYNAME,MATCH(1,(xlRTTYENDU=1)*(xlRTTYEQCL=$D1500)*(xlRTEQTYPE=$E1500),0))</f>
        <v>ELEC_HP3</v>
      </c>
      <c r="Y1500" s="153" t="str">
        <f t="array" ref="Y1500">INDEX(xlRTTYNAME,MATCH(1,(xlRTTYENDU=2)*(xlRTTYEQCL=$F1500)*(xlRTEQTYPE=$G1500),0))</f>
        <v>ELEC_HP3</v>
      </c>
    </row>
    <row r="1501" spans="2:25" ht="14.25" customHeight="1" x14ac:dyDescent="0.2">
      <c r="B1501" s="126">
        <v>8</v>
      </c>
      <c r="C1501" s="126">
        <v>2</v>
      </c>
      <c r="D1501" s="126">
        <v>2</v>
      </c>
      <c r="E1501" s="126">
        <v>4</v>
      </c>
      <c r="F1501" s="126">
        <v>3</v>
      </c>
      <c r="G1501" s="126">
        <v>11</v>
      </c>
      <c r="H1501" s="126">
        <v>2016</v>
      </c>
      <c r="I1501" s="159">
        <v>2022</v>
      </c>
      <c r="J1501" s="127">
        <v>1.0889</v>
      </c>
      <c r="K1501" s="127">
        <v>1.0313000000000001</v>
      </c>
      <c r="L1501" s="127">
        <v>0.99219999999999997</v>
      </c>
      <c r="M1501" s="127">
        <v>1.2739</v>
      </c>
      <c r="N1501" s="127">
        <v>1.2706</v>
      </c>
      <c r="O1501" s="127">
        <v>1.0538000000000001</v>
      </c>
      <c r="P1501" s="126">
        <v>2451</v>
      </c>
      <c r="Q1501" s="128">
        <f t="array" ref="Q1501">SUM(IF(($S1501&gt;=4)*($C1501='TaxCred&amp;Subs'!$D$123:$D$127)*($H1501='TaxCred&amp;Subs'!$C$123:$C$127)*($H1501&lt;='TaxCred&amp;Subs'!$C$129),'TaxCred&amp;Subs'!$E$123:$E$127,0))</f>
        <v>0</v>
      </c>
      <c r="R1501" s="174">
        <v>0</v>
      </c>
      <c r="S1501" s="126">
        <v>4</v>
      </c>
      <c r="T1501" s="126" t="s">
        <v>248</v>
      </c>
      <c r="V1501" s="153" t="str">
        <f t="array" ref="V1501">INDEX(xlRTCLNAME,MATCH(1,(xlRTCLENDU=1)*(xlRTCLEQCL=$D1501),0))</f>
        <v>ELEC_HP</v>
      </c>
      <c r="W1501" s="153" t="str">
        <f t="array" ref="W1501">INDEX(xlRTCLNAME,MATCH(1,(xlRTCLENDU=2)*(xlRTCLEQCL=$F1501),0))</f>
        <v>ELEC_HP</v>
      </c>
      <c r="X1501" s="153" t="str">
        <f t="array" ref="X1501">INDEX(xlRTTYNAME,MATCH(1,(xlRTTYENDU=1)*(xlRTTYEQCL=$D1501)*(xlRTEQTYPE=$E1501),0))</f>
        <v>ELEC_HP3</v>
      </c>
      <c r="Y1501" s="153" t="str">
        <f t="array" ref="Y1501">INDEX(xlRTTYNAME,MATCH(1,(xlRTTYENDU=2)*(xlRTTYEQCL=$F1501)*(xlRTEQTYPE=$G1501),0))</f>
        <v>ELEC_HP3</v>
      </c>
    </row>
    <row r="1502" spans="2:25" ht="14.25" customHeight="1" x14ac:dyDescent="0.2">
      <c r="B1502" s="49">
        <v>8</v>
      </c>
      <c r="C1502" s="49">
        <v>2</v>
      </c>
      <c r="D1502" s="49">
        <v>2</v>
      </c>
      <c r="E1502" s="49">
        <v>4</v>
      </c>
      <c r="F1502" s="49">
        <v>3</v>
      </c>
      <c r="G1502" s="49">
        <v>11</v>
      </c>
      <c r="H1502" s="49">
        <v>2023</v>
      </c>
      <c r="I1502" s="49">
        <v>2032</v>
      </c>
      <c r="J1502" s="50">
        <v>1.0889</v>
      </c>
      <c r="K1502" s="50">
        <v>1.0313000000000001</v>
      </c>
      <c r="L1502" s="50">
        <v>0.99219999999999997</v>
      </c>
      <c r="M1502" s="50">
        <v>1.2739</v>
      </c>
      <c r="N1502" s="50">
        <v>1.2706</v>
      </c>
      <c r="O1502" s="50">
        <v>1.0538000000000001</v>
      </c>
      <c r="P1502" s="49">
        <v>2451</v>
      </c>
      <c r="Q1502" s="51">
        <f t="array" ref="Q1502">SUM(IF(($S1502&gt;=4)*($C1502='TaxCred&amp;Subs'!$D$123:$D$127)*($H1502='TaxCred&amp;Subs'!$C$123:$C$127)*($H1502&lt;='TaxCred&amp;Subs'!$C$129),'TaxCred&amp;Subs'!$E$123:$E$127,0))</f>
        <v>500</v>
      </c>
      <c r="R1502" s="171">
        <v>0</v>
      </c>
      <c r="S1502" s="49">
        <v>4</v>
      </c>
      <c r="T1502" s="49" t="s">
        <v>248</v>
      </c>
      <c r="V1502" s="153" t="str">
        <f t="array" ref="V1502">INDEX(xlRTCLNAME,MATCH(1,(xlRTCLENDU=1)*(xlRTCLEQCL=$D1502),0))</f>
        <v>ELEC_HP</v>
      </c>
      <c r="W1502" s="153" t="str">
        <f t="array" ref="W1502">INDEX(xlRTCLNAME,MATCH(1,(xlRTCLENDU=2)*(xlRTCLEQCL=$F1502),0))</f>
        <v>ELEC_HP</v>
      </c>
      <c r="X1502" s="153" t="str">
        <f t="array" ref="X1502">INDEX(xlRTTYNAME,MATCH(1,(xlRTTYENDU=1)*(xlRTTYEQCL=$D1502)*(xlRTEQTYPE=$E1502),0))</f>
        <v>ELEC_HP3</v>
      </c>
      <c r="Y1502" s="153" t="str">
        <f t="array" ref="Y1502">INDEX(xlRTTYNAME,MATCH(1,(xlRTTYENDU=2)*(xlRTTYEQCL=$F1502)*(xlRTEQTYPE=$G1502),0))</f>
        <v>ELEC_HP3</v>
      </c>
    </row>
    <row r="1503" spans="2:25" ht="14.25" customHeight="1" x14ac:dyDescent="0.2">
      <c r="B1503" s="49">
        <v>8</v>
      </c>
      <c r="C1503" s="49">
        <v>2</v>
      </c>
      <c r="D1503" s="49">
        <v>2</v>
      </c>
      <c r="E1503" s="49">
        <v>4</v>
      </c>
      <c r="F1503" s="49">
        <v>3</v>
      </c>
      <c r="G1503" s="49">
        <v>11</v>
      </c>
      <c r="H1503" s="49">
        <v>2033</v>
      </c>
      <c r="I1503" s="49">
        <v>2050</v>
      </c>
      <c r="J1503" s="50">
        <v>1.0889</v>
      </c>
      <c r="K1503" s="50">
        <v>1.0313000000000001</v>
      </c>
      <c r="L1503" s="50">
        <v>0.99219999999999997</v>
      </c>
      <c r="M1503" s="50">
        <v>1.2739</v>
      </c>
      <c r="N1503" s="50">
        <v>1.2706</v>
      </c>
      <c r="O1503" s="50">
        <v>1.0538000000000001</v>
      </c>
      <c r="P1503" s="49">
        <v>2451</v>
      </c>
      <c r="Q1503" s="51">
        <f t="array" ref="Q1503">SUM(IF(($S1503&gt;=4)*($C1503='TaxCred&amp;Subs'!$D$123:$D$127)*($H1503='TaxCred&amp;Subs'!$C$123:$C$127)*($H1503&lt;='TaxCred&amp;Subs'!$C$129),'TaxCred&amp;Subs'!$E$123:$E$127,0))</f>
        <v>0</v>
      </c>
      <c r="R1503" s="171">
        <v>0</v>
      </c>
      <c r="S1503" s="49">
        <v>4</v>
      </c>
      <c r="T1503" s="49" t="s">
        <v>248</v>
      </c>
      <c r="V1503" s="153" t="str">
        <f t="array" ref="V1503">INDEX(xlRTCLNAME,MATCH(1,(xlRTCLENDU=1)*(xlRTCLEQCL=$D1503),0))</f>
        <v>ELEC_HP</v>
      </c>
      <c r="W1503" s="153" t="str">
        <f t="array" ref="W1503">INDEX(xlRTCLNAME,MATCH(1,(xlRTCLENDU=2)*(xlRTCLEQCL=$F1503),0))</f>
        <v>ELEC_HP</v>
      </c>
      <c r="X1503" s="153" t="str">
        <f t="array" ref="X1503">INDEX(xlRTTYNAME,MATCH(1,(xlRTTYENDU=1)*(xlRTTYEQCL=$D1503)*(xlRTEQTYPE=$E1503),0))</f>
        <v>ELEC_HP3</v>
      </c>
      <c r="Y1503" s="153" t="str">
        <f t="array" ref="Y1503">INDEX(xlRTTYNAME,MATCH(1,(xlRTTYENDU=2)*(xlRTTYEQCL=$F1503)*(xlRTEQTYPE=$G1503),0))</f>
        <v>ELEC_HP3</v>
      </c>
    </row>
    <row r="1504" spans="2:25" ht="14.25" customHeight="1" x14ac:dyDescent="0.2">
      <c r="B1504" s="126">
        <v>9</v>
      </c>
      <c r="C1504" s="126">
        <v>2</v>
      </c>
      <c r="D1504" s="126">
        <v>2</v>
      </c>
      <c r="E1504" s="126">
        <v>4</v>
      </c>
      <c r="F1504" s="126">
        <v>3</v>
      </c>
      <c r="G1504" s="126">
        <v>11</v>
      </c>
      <c r="H1504" s="126">
        <v>2016</v>
      </c>
      <c r="I1504" s="159">
        <v>2022</v>
      </c>
      <c r="J1504" s="127">
        <v>1.1200000000000001</v>
      </c>
      <c r="K1504" s="127">
        <v>1.0512999999999999</v>
      </c>
      <c r="L1504" s="127">
        <v>2</v>
      </c>
      <c r="M1504" s="127">
        <v>1.1667000000000001</v>
      </c>
      <c r="N1504" s="127">
        <v>1.4438</v>
      </c>
      <c r="O1504" s="127">
        <v>1.0538000000000001</v>
      </c>
      <c r="P1504" s="126">
        <v>2428</v>
      </c>
      <c r="Q1504" s="128">
        <f t="array" ref="Q1504">SUM(IF(($S1504&gt;=4)*($C1504='TaxCred&amp;Subs'!$D$123:$D$127)*($H1504='TaxCred&amp;Subs'!$C$123:$C$127)*($H1504&lt;='TaxCred&amp;Subs'!$C$129),'TaxCred&amp;Subs'!$E$123:$E$127,0))</f>
        <v>0</v>
      </c>
      <c r="R1504" s="174">
        <v>0</v>
      </c>
      <c r="S1504" s="126">
        <v>4</v>
      </c>
      <c r="T1504" s="126" t="s">
        <v>248</v>
      </c>
      <c r="V1504" s="153" t="str">
        <f t="array" ref="V1504">INDEX(xlRTCLNAME,MATCH(1,(xlRTCLENDU=1)*(xlRTCLEQCL=$D1504),0))</f>
        <v>ELEC_HP</v>
      </c>
      <c r="W1504" s="153" t="str">
        <f t="array" ref="W1504">INDEX(xlRTCLNAME,MATCH(1,(xlRTCLENDU=2)*(xlRTCLEQCL=$F1504),0))</f>
        <v>ELEC_HP</v>
      </c>
      <c r="X1504" s="153" t="str">
        <f t="array" ref="X1504">INDEX(xlRTTYNAME,MATCH(1,(xlRTTYENDU=1)*(xlRTTYEQCL=$D1504)*(xlRTEQTYPE=$E1504),0))</f>
        <v>ELEC_HP3</v>
      </c>
      <c r="Y1504" s="153" t="str">
        <f t="array" ref="Y1504">INDEX(xlRTTYNAME,MATCH(1,(xlRTTYENDU=2)*(xlRTTYEQCL=$F1504)*(xlRTEQTYPE=$G1504),0))</f>
        <v>ELEC_HP3</v>
      </c>
    </row>
    <row r="1505" spans="2:25" ht="14.25" customHeight="1" x14ac:dyDescent="0.2">
      <c r="B1505" s="49">
        <v>9</v>
      </c>
      <c r="C1505" s="49">
        <v>2</v>
      </c>
      <c r="D1505" s="49">
        <v>2</v>
      </c>
      <c r="E1505" s="49">
        <v>4</v>
      </c>
      <c r="F1505" s="49">
        <v>3</v>
      </c>
      <c r="G1505" s="49">
        <v>11</v>
      </c>
      <c r="H1505" s="49">
        <v>2023</v>
      </c>
      <c r="I1505" s="49">
        <v>2032</v>
      </c>
      <c r="J1505" s="50">
        <v>1.1200000000000001</v>
      </c>
      <c r="K1505" s="50">
        <v>1.0512999999999999</v>
      </c>
      <c r="L1505" s="50">
        <v>2</v>
      </c>
      <c r="M1505" s="50">
        <v>1.1667000000000001</v>
      </c>
      <c r="N1505" s="50">
        <v>1.4438</v>
      </c>
      <c r="O1505" s="50">
        <v>1.0538000000000001</v>
      </c>
      <c r="P1505" s="49">
        <v>2428</v>
      </c>
      <c r="Q1505" s="51">
        <f t="array" ref="Q1505">SUM(IF(($S1505&gt;=4)*($C1505='TaxCred&amp;Subs'!$D$123:$D$127)*($H1505='TaxCred&amp;Subs'!$C$123:$C$127)*($H1505&lt;='TaxCred&amp;Subs'!$C$129),'TaxCred&amp;Subs'!$E$123:$E$127,0))</f>
        <v>500</v>
      </c>
      <c r="R1505" s="171">
        <v>0</v>
      </c>
      <c r="S1505" s="49">
        <v>4</v>
      </c>
      <c r="T1505" s="49" t="s">
        <v>248</v>
      </c>
      <c r="V1505" s="153" t="str">
        <f t="array" ref="V1505">INDEX(xlRTCLNAME,MATCH(1,(xlRTCLENDU=1)*(xlRTCLEQCL=$D1505),0))</f>
        <v>ELEC_HP</v>
      </c>
      <c r="W1505" s="153" t="str">
        <f t="array" ref="W1505">INDEX(xlRTCLNAME,MATCH(1,(xlRTCLENDU=2)*(xlRTCLEQCL=$F1505),0))</f>
        <v>ELEC_HP</v>
      </c>
      <c r="X1505" s="153" t="str">
        <f t="array" ref="X1505">INDEX(xlRTTYNAME,MATCH(1,(xlRTTYENDU=1)*(xlRTTYEQCL=$D1505)*(xlRTEQTYPE=$E1505),0))</f>
        <v>ELEC_HP3</v>
      </c>
      <c r="Y1505" s="153" t="str">
        <f t="array" ref="Y1505">INDEX(xlRTTYNAME,MATCH(1,(xlRTTYENDU=2)*(xlRTTYEQCL=$F1505)*(xlRTEQTYPE=$G1505),0))</f>
        <v>ELEC_HP3</v>
      </c>
    </row>
    <row r="1506" spans="2:25" ht="14.25" customHeight="1" x14ac:dyDescent="0.2">
      <c r="B1506" s="49">
        <v>9</v>
      </c>
      <c r="C1506" s="49">
        <v>2</v>
      </c>
      <c r="D1506" s="49">
        <v>2</v>
      </c>
      <c r="E1506" s="49">
        <v>4</v>
      </c>
      <c r="F1506" s="49">
        <v>3</v>
      </c>
      <c r="G1506" s="49">
        <v>11</v>
      </c>
      <c r="H1506" s="49">
        <v>2033</v>
      </c>
      <c r="I1506" s="49">
        <v>2050</v>
      </c>
      <c r="J1506" s="50">
        <v>1.1200000000000001</v>
      </c>
      <c r="K1506" s="50">
        <v>1.0512999999999999</v>
      </c>
      <c r="L1506" s="50">
        <v>2</v>
      </c>
      <c r="M1506" s="50">
        <v>1.1667000000000001</v>
      </c>
      <c r="N1506" s="50">
        <v>1.4438</v>
      </c>
      <c r="O1506" s="50">
        <v>1.0538000000000001</v>
      </c>
      <c r="P1506" s="49">
        <v>2428</v>
      </c>
      <c r="Q1506" s="51">
        <f t="array" ref="Q1506">SUM(IF(($S1506&gt;=4)*($C1506='TaxCred&amp;Subs'!$D$123:$D$127)*($H1506='TaxCred&amp;Subs'!$C$123:$C$127)*($H1506&lt;='TaxCred&amp;Subs'!$C$129),'TaxCred&amp;Subs'!$E$123:$E$127,0))</f>
        <v>0</v>
      </c>
      <c r="R1506" s="171">
        <v>0</v>
      </c>
      <c r="S1506" s="49">
        <v>4</v>
      </c>
      <c r="T1506" s="49" t="s">
        <v>248</v>
      </c>
      <c r="V1506" s="153" t="str">
        <f t="array" ref="V1506">INDEX(xlRTCLNAME,MATCH(1,(xlRTCLENDU=1)*(xlRTCLEQCL=$D1506),0))</f>
        <v>ELEC_HP</v>
      </c>
      <c r="W1506" s="153" t="str">
        <f t="array" ref="W1506">INDEX(xlRTCLNAME,MATCH(1,(xlRTCLENDU=2)*(xlRTCLEQCL=$F1506),0))</f>
        <v>ELEC_HP</v>
      </c>
      <c r="X1506" s="153" t="str">
        <f t="array" ref="X1506">INDEX(xlRTTYNAME,MATCH(1,(xlRTTYENDU=1)*(xlRTTYEQCL=$D1506)*(xlRTEQTYPE=$E1506),0))</f>
        <v>ELEC_HP3</v>
      </c>
      <c r="Y1506" s="153" t="str">
        <f t="array" ref="Y1506">INDEX(xlRTTYNAME,MATCH(1,(xlRTTYENDU=2)*(xlRTTYEQCL=$F1506)*(xlRTEQTYPE=$G1506),0))</f>
        <v>ELEC_HP3</v>
      </c>
    </row>
    <row r="1507" spans="2:25" ht="14.25" customHeight="1" x14ac:dyDescent="0.2">
      <c r="B1507" s="126">
        <v>1</v>
      </c>
      <c r="C1507" s="126">
        <v>2</v>
      </c>
      <c r="D1507" s="126">
        <v>3</v>
      </c>
      <c r="E1507" s="126">
        <v>8</v>
      </c>
      <c r="F1507" s="126">
        <v>2</v>
      </c>
      <c r="G1507" s="126">
        <v>7</v>
      </c>
      <c r="H1507" s="126">
        <v>2016</v>
      </c>
      <c r="I1507" s="159">
        <v>2022</v>
      </c>
      <c r="J1507" s="127">
        <v>1.1042000000000001</v>
      </c>
      <c r="K1507" s="127">
        <v>1.0417000000000001</v>
      </c>
      <c r="L1507" s="127">
        <v>0.89459999999999995</v>
      </c>
      <c r="M1507" s="127">
        <v>1.1228</v>
      </c>
      <c r="N1507" s="127">
        <v>1.1127</v>
      </c>
      <c r="O1507" s="127">
        <v>1.0538000000000001</v>
      </c>
      <c r="P1507" s="126">
        <v>3623</v>
      </c>
      <c r="Q1507" s="128">
        <f t="array" ref="Q1507">SUM(IF(($S1507&gt;=4)*($C1507='TaxCred&amp;Subs'!$D$123:$D$127)*($H1507='TaxCred&amp;Subs'!$C$123:$C$127)*($H1507&lt;='TaxCred&amp;Subs'!$C$129),'TaxCred&amp;Subs'!$E$123:$E$127,0))</f>
        <v>0</v>
      </c>
      <c r="R1507" s="174">
        <v>0</v>
      </c>
      <c r="S1507" s="126">
        <v>4</v>
      </c>
      <c r="T1507" s="126" t="s">
        <v>248</v>
      </c>
      <c r="V1507" s="153" t="str">
        <f t="array" ref="V1507">INDEX(xlRTCLNAME,MATCH(1,(xlRTCLENDU=1)*(xlRTCLEQCL=$D1507),0))</f>
        <v>NG_FA</v>
      </c>
      <c r="W1507" s="153" t="str">
        <f t="array" ref="W1507">INDEX(xlRTCLNAME,MATCH(1,(xlRTCLENDU=2)*(xlRTCLEQCL=$F1507),0))</f>
        <v>CENT_AIR</v>
      </c>
      <c r="X1507" s="153" t="str">
        <f t="array" ref="X1507">INDEX(xlRTTYNAME,MATCH(1,(xlRTTYENDU=1)*(xlRTTYEQCL=$D1507)*(xlRTEQTYPE=$E1507),0))</f>
        <v>NG_FA3</v>
      </c>
      <c r="Y1507" s="153" t="str">
        <f t="array" ref="Y1507">INDEX(xlRTTYNAME,MATCH(1,(xlRTTYENDU=2)*(xlRTTYEQCL=$F1507)*(xlRTEQTYPE=$G1507),0))</f>
        <v>CENT_AIR3</v>
      </c>
    </row>
    <row r="1508" spans="2:25" ht="14.25" customHeight="1" x14ac:dyDescent="0.2">
      <c r="B1508" s="49">
        <v>1</v>
      </c>
      <c r="C1508" s="49">
        <v>2</v>
      </c>
      <c r="D1508" s="49">
        <v>3</v>
      </c>
      <c r="E1508" s="49">
        <v>8</v>
      </c>
      <c r="F1508" s="49">
        <v>2</v>
      </c>
      <c r="G1508" s="49">
        <v>7</v>
      </c>
      <c r="H1508" s="49">
        <v>2023</v>
      </c>
      <c r="I1508" s="49">
        <v>2032</v>
      </c>
      <c r="J1508" s="50">
        <v>1.1042000000000001</v>
      </c>
      <c r="K1508" s="50">
        <v>1.0417000000000001</v>
      </c>
      <c r="L1508" s="50">
        <v>0.89459999999999995</v>
      </c>
      <c r="M1508" s="50">
        <v>1.1228</v>
      </c>
      <c r="N1508" s="50">
        <v>1.1127</v>
      </c>
      <c r="O1508" s="50">
        <v>1.0538000000000001</v>
      </c>
      <c r="P1508" s="49">
        <v>3623</v>
      </c>
      <c r="Q1508" s="51">
        <f t="array" ref="Q1508">SUM(IF(($S1508&gt;=4)*($C1508='TaxCred&amp;Subs'!$D$123:$D$127)*($H1508='TaxCred&amp;Subs'!$C$123:$C$127)*($H1508&lt;='TaxCred&amp;Subs'!$C$129),'TaxCred&amp;Subs'!$E$123:$E$127,0))</f>
        <v>500</v>
      </c>
      <c r="R1508" s="171">
        <v>0</v>
      </c>
      <c r="S1508" s="49">
        <v>4</v>
      </c>
      <c r="T1508" s="49" t="s">
        <v>248</v>
      </c>
      <c r="V1508" s="153" t="str">
        <f t="array" ref="V1508">INDEX(xlRTCLNAME,MATCH(1,(xlRTCLENDU=1)*(xlRTCLEQCL=$D1508),0))</f>
        <v>NG_FA</v>
      </c>
      <c r="W1508" s="153" t="str">
        <f t="array" ref="W1508">INDEX(xlRTCLNAME,MATCH(1,(xlRTCLENDU=2)*(xlRTCLEQCL=$F1508),0))</f>
        <v>CENT_AIR</v>
      </c>
      <c r="X1508" s="153" t="str">
        <f t="array" ref="X1508">INDEX(xlRTTYNAME,MATCH(1,(xlRTTYENDU=1)*(xlRTTYEQCL=$D1508)*(xlRTEQTYPE=$E1508),0))</f>
        <v>NG_FA3</v>
      </c>
      <c r="Y1508" s="153" t="str">
        <f t="array" ref="Y1508">INDEX(xlRTTYNAME,MATCH(1,(xlRTTYENDU=2)*(xlRTTYEQCL=$F1508)*(xlRTEQTYPE=$G1508),0))</f>
        <v>CENT_AIR3</v>
      </c>
    </row>
    <row r="1509" spans="2:25" ht="14.25" customHeight="1" x14ac:dyDescent="0.2">
      <c r="B1509" s="49">
        <v>1</v>
      </c>
      <c r="C1509" s="49">
        <v>2</v>
      </c>
      <c r="D1509" s="49">
        <v>3</v>
      </c>
      <c r="E1509" s="49">
        <v>8</v>
      </c>
      <c r="F1509" s="49">
        <v>2</v>
      </c>
      <c r="G1509" s="49">
        <v>7</v>
      </c>
      <c r="H1509" s="49">
        <v>2033</v>
      </c>
      <c r="I1509" s="49">
        <v>2050</v>
      </c>
      <c r="J1509" s="50">
        <v>1.1042000000000001</v>
      </c>
      <c r="K1509" s="50">
        <v>1.0417000000000001</v>
      </c>
      <c r="L1509" s="50">
        <v>0.89459999999999995</v>
      </c>
      <c r="M1509" s="50">
        <v>1.1228</v>
      </c>
      <c r="N1509" s="50">
        <v>1.1127</v>
      </c>
      <c r="O1509" s="50">
        <v>1.0538000000000001</v>
      </c>
      <c r="P1509" s="49">
        <v>3623</v>
      </c>
      <c r="Q1509" s="51">
        <f t="array" ref="Q1509">SUM(IF(($S1509&gt;=4)*($C1509='TaxCred&amp;Subs'!$D$123:$D$127)*($H1509='TaxCred&amp;Subs'!$C$123:$C$127)*($H1509&lt;='TaxCred&amp;Subs'!$C$129),'TaxCred&amp;Subs'!$E$123:$E$127,0))</f>
        <v>0</v>
      </c>
      <c r="R1509" s="171">
        <v>0</v>
      </c>
      <c r="S1509" s="49">
        <v>4</v>
      </c>
      <c r="T1509" s="49" t="s">
        <v>248</v>
      </c>
      <c r="V1509" s="153" t="str">
        <f t="array" ref="V1509">INDEX(xlRTCLNAME,MATCH(1,(xlRTCLENDU=1)*(xlRTCLEQCL=$D1509),0))</f>
        <v>NG_FA</v>
      </c>
      <c r="W1509" s="153" t="str">
        <f t="array" ref="W1509">INDEX(xlRTCLNAME,MATCH(1,(xlRTCLENDU=2)*(xlRTCLEQCL=$F1509),0))</f>
        <v>CENT_AIR</v>
      </c>
      <c r="X1509" s="153" t="str">
        <f t="array" ref="X1509">INDEX(xlRTTYNAME,MATCH(1,(xlRTTYENDU=1)*(xlRTTYEQCL=$D1509)*(xlRTEQTYPE=$E1509),0))</f>
        <v>NG_FA3</v>
      </c>
      <c r="Y1509" s="153" t="str">
        <f t="array" ref="Y1509">INDEX(xlRTTYNAME,MATCH(1,(xlRTTYENDU=2)*(xlRTTYEQCL=$F1509)*(xlRTEQTYPE=$G1509),0))</f>
        <v>CENT_AIR3</v>
      </c>
    </row>
    <row r="1510" spans="2:25" ht="14.25" customHeight="1" x14ac:dyDescent="0.2">
      <c r="B1510" s="126">
        <v>2</v>
      </c>
      <c r="C1510" s="126">
        <v>2</v>
      </c>
      <c r="D1510" s="126">
        <v>3</v>
      </c>
      <c r="E1510" s="126">
        <v>8</v>
      </c>
      <c r="F1510" s="126">
        <v>2</v>
      </c>
      <c r="G1510" s="126">
        <v>7</v>
      </c>
      <c r="H1510" s="126">
        <v>2016</v>
      </c>
      <c r="I1510" s="159">
        <v>2022</v>
      </c>
      <c r="J1510" s="127">
        <v>1.0847</v>
      </c>
      <c r="K1510" s="127">
        <v>1.0357000000000001</v>
      </c>
      <c r="L1510" s="127">
        <v>0.91410000000000002</v>
      </c>
      <c r="M1510" s="127">
        <v>1.1625000000000001</v>
      </c>
      <c r="N1510" s="127">
        <v>1.1162000000000001</v>
      </c>
      <c r="O1510" s="127">
        <v>1.0538000000000001</v>
      </c>
      <c r="P1510" s="126">
        <v>2960</v>
      </c>
      <c r="Q1510" s="128">
        <f t="array" ref="Q1510">SUM(IF(($S1510&gt;=4)*($C1510='TaxCred&amp;Subs'!$D$123:$D$127)*($H1510='TaxCred&amp;Subs'!$C$123:$C$127)*($H1510&lt;='TaxCred&amp;Subs'!$C$129),'TaxCred&amp;Subs'!$E$123:$E$127,0))</f>
        <v>0</v>
      </c>
      <c r="R1510" s="174">
        <v>0</v>
      </c>
      <c r="S1510" s="126">
        <v>4</v>
      </c>
      <c r="T1510" s="126" t="s">
        <v>248</v>
      </c>
      <c r="V1510" s="153" t="str">
        <f t="array" ref="V1510">INDEX(xlRTCLNAME,MATCH(1,(xlRTCLENDU=1)*(xlRTCLEQCL=$D1510),0))</f>
        <v>NG_FA</v>
      </c>
      <c r="W1510" s="153" t="str">
        <f t="array" ref="W1510">INDEX(xlRTCLNAME,MATCH(1,(xlRTCLENDU=2)*(xlRTCLEQCL=$F1510),0))</f>
        <v>CENT_AIR</v>
      </c>
      <c r="X1510" s="153" t="str">
        <f t="array" ref="X1510">INDEX(xlRTTYNAME,MATCH(1,(xlRTTYENDU=1)*(xlRTTYEQCL=$D1510)*(xlRTEQTYPE=$E1510),0))</f>
        <v>NG_FA3</v>
      </c>
      <c r="Y1510" s="153" t="str">
        <f t="array" ref="Y1510">INDEX(xlRTTYNAME,MATCH(1,(xlRTTYENDU=2)*(xlRTTYEQCL=$F1510)*(xlRTEQTYPE=$G1510),0))</f>
        <v>CENT_AIR3</v>
      </c>
    </row>
    <row r="1511" spans="2:25" ht="14.25" customHeight="1" x14ac:dyDescent="0.2">
      <c r="B1511" s="49">
        <v>2</v>
      </c>
      <c r="C1511" s="49">
        <v>2</v>
      </c>
      <c r="D1511" s="49">
        <v>3</v>
      </c>
      <c r="E1511" s="49">
        <v>8</v>
      </c>
      <c r="F1511" s="49">
        <v>2</v>
      </c>
      <c r="G1511" s="49">
        <v>7</v>
      </c>
      <c r="H1511" s="49">
        <v>2023</v>
      </c>
      <c r="I1511" s="49">
        <v>2032</v>
      </c>
      <c r="J1511" s="50">
        <v>1.0847</v>
      </c>
      <c r="K1511" s="50">
        <v>1.0357000000000001</v>
      </c>
      <c r="L1511" s="50">
        <v>0.91410000000000002</v>
      </c>
      <c r="M1511" s="50">
        <v>1.1625000000000001</v>
      </c>
      <c r="N1511" s="50">
        <v>1.1162000000000001</v>
      </c>
      <c r="O1511" s="50">
        <v>1.0538000000000001</v>
      </c>
      <c r="P1511" s="49">
        <v>2960</v>
      </c>
      <c r="Q1511" s="51">
        <f t="array" ref="Q1511">SUM(IF(($S1511&gt;=4)*($C1511='TaxCred&amp;Subs'!$D$123:$D$127)*($H1511='TaxCred&amp;Subs'!$C$123:$C$127)*($H1511&lt;='TaxCred&amp;Subs'!$C$129),'TaxCred&amp;Subs'!$E$123:$E$127,0))</f>
        <v>500</v>
      </c>
      <c r="R1511" s="171">
        <v>0</v>
      </c>
      <c r="S1511" s="49">
        <v>4</v>
      </c>
      <c r="T1511" s="49" t="s">
        <v>248</v>
      </c>
      <c r="V1511" s="153" t="str">
        <f t="array" ref="V1511">INDEX(xlRTCLNAME,MATCH(1,(xlRTCLENDU=1)*(xlRTCLEQCL=$D1511),0))</f>
        <v>NG_FA</v>
      </c>
      <c r="W1511" s="153" t="str">
        <f t="array" ref="W1511">INDEX(xlRTCLNAME,MATCH(1,(xlRTCLENDU=2)*(xlRTCLEQCL=$F1511),0))</f>
        <v>CENT_AIR</v>
      </c>
      <c r="X1511" s="153" t="str">
        <f t="array" ref="X1511">INDEX(xlRTTYNAME,MATCH(1,(xlRTTYENDU=1)*(xlRTTYEQCL=$D1511)*(xlRTEQTYPE=$E1511),0))</f>
        <v>NG_FA3</v>
      </c>
      <c r="Y1511" s="153" t="str">
        <f t="array" ref="Y1511">INDEX(xlRTTYNAME,MATCH(1,(xlRTTYENDU=2)*(xlRTTYEQCL=$F1511)*(xlRTEQTYPE=$G1511),0))</f>
        <v>CENT_AIR3</v>
      </c>
    </row>
    <row r="1512" spans="2:25" ht="14.25" customHeight="1" x14ac:dyDescent="0.2">
      <c r="B1512" s="49">
        <v>2</v>
      </c>
      <c r="C1512" s="49">
        <v>2</v>
      </c>
      <c r="D1512" s="49">
        <v>3</v>
      </c>
      <c r="E1512" s="49">
        <v>8</v>
      </c>
      <c r="F1512" s="49">
        <v>2</v>
      </c>
      <c r="G1512" s="49">
        <v>7</v>
      </c>
      <c r="H1512" s="49">
        <v>2033</v>
      </c>
      <c r="I1512" s="49">
        <v>2050</v>
      </c>
      <c r="J1512" s="50">
        <v>1.0847</v>
      </c>
      <c r="K1512" s="50">
        <v>1.0357000000000001</v>
      </c>
      <c r="L1512" s="50">
        <v>0.91410000000000002</v>
      </c>
      <c r="M1512" s="50">
        <v>1.1625000000000001</v>
      </c>
      <c r="N1512" s="50">
        <v>1.1162000000000001</v>
      </c>
      <c r="O1512" s="50">
        <v>1.0538000000000001</v>
      </c>
      <c r="P1512" s="49">
        <v>2960</v>
      </c>
      <c r="Q1512" s="51">
        <f t="array" ref="Q1512">SUM(IF(($S1512&gt;=4)*($C1512='TaxCred&amp;Subs'!$D$123:$D$127)*($H1512='TaxCred&amp;Subs'!$C$123:$C$127)*($H1512&lt;='TaxCred&amp;Subs'!$C$129),'TaxCred&amp;Subs'!$E$123:$E$127,0))</f>
        <v>0</v>
      </c>
      <c r="R1512" s="171">
        <v>0</v>
      </c>
      <c r="S1512" s="49">
        <v>4</v>
      </c>
      <c r="T1512" s="49" t="s">
        <v>248</v>
      </c>
      <c r="V1512" s="153" t="str">
        <f t="array" ref="V1512">INDEX(xlRTCLNAME,MATCH(1,(xlRTCLENDU=1)*(xlRTCLEQCL=$D1512),0))</f>
        <v>NG_FA</v>
      </c>
      <c r="W1512" s="153" t="str">
        <f t="array" ref="W1512">INDEX(xlRTCLNAME,MATCH(1,(xlRTCLENDU=2)*(xlRTCLEQCL=$F1512),0))</f>
        <v>CENT_AIR</v>
      </c>
      <c r="X1512" s="153" t="str">
        <f t="array" ref="X1512">INDEX(xlRTTYNAME,MATCH(1,(xlRTTYENDU=1)*(xlRTTYEQCL=$D1512)*(xlRTEQTYPE=$E1512),0))</f>
        <v>NG_FA3</v>
      </c>
      <c r="Y1512" s="153" t="str">
        <f t="array" ref="Y1512">INDEX(xlRTTYNAME,MATCH(1,(xlRTTYENDU=2)*(xlRTTYEQCL=$F1512)*(xlRTEQTYPE=$G1512),0))</f>
        <v>CENT_AIR3</v>
      </c>
    </row>
    <row r="1513" spans="2:25" ht="14.25" customHeight="1" x14ac:dyDescent="0.2">
      <c r="B1513" s="126">
        <v>3</v>
      </c>
      <c r="C1513" s="126">
        <v>2</v>
      </c>
      <c r="D1513" s="126">
        <v>3</v>
      </c>
      <c r="E1513" s="126">
        <v>8</v>
      </c>
      <c r="F1513" s="126">
        <v>2</v>
      </c>
      <c r="G1513" s="126">
        <v>7</v>
      </c>
      <c r="H1513" s="126">
        <v>2016</v>
      </c>
      <c r="I1513" s="159">
        <v>2022</v>
      </c>
      <c r="J1513" s="127">
        <v>1.0984</v>
      </c>
      <c r="K1513" s="127">
        <v>1.0345</v>
      </c>
      <c r="L1513" s="127">
        <v>0.81459999999999999</v>
      </c>
      <c r="M1513" s="127">
        <v>1.0654999999999999</v>
      </c>
      <c r="N1513" s="127">
        <v>1.0399</v>
      </c>
      <c r="O1513" s="127">
        <v>1.0538000000000001</v>
      </c>
      <c r="P1513" s="126">
        <v>3043</v>
      </c>
      <c r="Q1513" s="128">
        <f t="array" ref="Q1513">SUM(IF(($S1513&gt;=4)*($C1513='TaxCred&amp;Subs'!$D$123:$D$127)*($H1513='TaxCred&amp;Subs'!$C$123:$C$127)*($H1513&lt;='TaxCred&amp;Subs'!$C$129),'TaxCred&amp;Subs'!$E$123:$E$127,0))</f>
        <v>0</v>
      </c>
      <c r="R1513" s="174">
        <v>0</v>
      </c>
      <c r="S1513" s="126">
        <v>4</v>
      </c>
      <c r="T1513" s="126" t="s">
        <v>248</v>
      </c>
      <c r="V1513" s="153" t="str">
        <f t="array" ref="V1513">INDEX(xlRTCLNAME,MATCH(1,(xlRTCLENDU=1)*(xlRTCLEQCL=$D1513),0))</f>
        <v>NG_FA</v>
      </c>
      <c r="W1513" s="153" t="str">
        <f t="array" ref="W1513">INDEX(xlRTCLNAME,MATCH(1,(xlRTCLENDU=2)*(xlRTCLEQCL=$F1513),0))</f>
        <v>CENT_AIR</v>
      </c>
      <c r="X1513" s="153" t="str">
        <f t="array" ref="X1513">INDEX(xlRTTYNAME,MATCH(1,(xlRTTYENDU=1)*(xlRTTYEQCL=$D1513)*(xlRTEQTYPE=$E1513),0))</f>
        <v>NG_FA3</v>
      </c>
      <c r="Y1513" s="153" t="str">
        <f t="array" ref="Y1513">INDEX(xlRTTYNAME,MATCH(1,(xlRTTYENDU=2)*(xlRTTYEQCL=$F1513)*(xlRTEQTYPE=$G1513),0))</f>
        <v>CENT_AIR3</v>
      </c>
    </row>
    <row r="1514" spans="2:25" ht="14.25" customHeight="1" x14ac:dyDescent="0.2">
      <c r="B1514" s="49">
        <v>3</v>
      </c>
      <c r="C1514" s="49">
        <v>2</v>
      </c>
      <c r="D1514" s="49">
        <v>3</v>
      </c>
      <c r="E1514" s="49">
        <v>8</v>
      </c>
      <c r="F1514" s="49">
        <v>2</v>
      </c>
      <c r="G1514" s="49">
        <v>7</v>
      </c>
      <c r="H1514" s="49">
        <v>2023</v>
      </c>
      <c r="I1514" s="49">
        <v>2032</v>
      </c>
      <c r="J1514" s="50">
        <v>1.0984</v>
      </c>
      <c r="K1514" s="50">
        <v>1.0345</v>
      </c>
      <c r="L1514" s="50">
        <v>0.81459999999999999</v>
      </c>
      <c r="M1514" s="50">
        <v>1.0654999999999999</v>
      </c>
      <c r="N1514" s="50">
        <v>1.0399</v>
      </c>
      <c r="O1514" s="50">
        <v>1.0538000000000001</v>
      </c>
      <c r="P1514" s="49">
        <v>3043</v>
      </c>
      <c r="Q1514" s="51">
        <f t="array" ref="Q1514">SUM(IF(($S1514&gt;=4)*($C1514='TaxCred&amp;Subs'!$D$123:$D$127)*($H1514='TaxCred&amp;Subs'!$C$123:$C$127)*($H1514&lt;='TaxCred&amp;Subs'!$C$129),'TaxCred&amp;Subs'!$E$123:$E$127,0))</f>
        <v>500</v>
      </c>
      <c r="R1514" s="171">
        <v>0</v>
      </c>
      <c r="S1514" s="49">
        <v>4</v>
      </c>
      <c r="T1514" s="49" t="s">
        <v>248</v>
      </c>
      <c r="V1514" s="153" t="str">
        <f t="array" ref="V1514">INDEX(xlRTCLNAME,MATCH(1,(xlRTCLENDU=1)*(xlRTCLEQCL=$D1514),0))</f>
        <v>NG_FA</v>
      </c>
      <c r="W1514" s="153" t="str">
        <f t="array" ref="W1514">INDEX(xlRTCLNAME,MATCH(1,(xlRTCLENDU=2)*(xlRTCLEQCL=$F1514),0))</f>
        <v>CENT_AIR</v>
      </c>
      <c r="X1514" s="153" t="str">
        <f t="array" ref="X1514">INDEX(xlRTTYNAME,MATCH(1,(xlRTTYENDU=1)*(xlRTTYEQCL=$D1514)*(xlRTEQTYPE=$E1514),0))</f>
        <v>NG_FA3</v>
      </c>
      <c r="Y1514" s="153" t="str">
        <f t="array" ref="Y1514">INDEX(xlRTTYNAME,MATCH(1,(xlRTTYENDU=2)*(xlRTTYEQCL=$F1514)*(xlRTEQTYPE=$G1514),0))</f>
        <v>CENT_AIR3</v>
      </c>
    </row>
    <row r="1515" spans="2:25" ht="14.25" customHeight="1" x14ac:dyDescent="0.2">
      <c r="B1515" s="49">
        <v>3</v>
      </c>
      <c r="C1515" s="49">
        <v>2</v>
      </c>
      <c r="D1515" s="49">
        <v>3</v>
      </c>
      <c r="E1515" s="49">
        <v>8</v>
      </c>
      <c r="F1515" s="49">
        <v>2</v>
      </c>
      <c r="G1515" s="49">
        <v>7</v>
      </c>
      <c r="H1515" s="49">
        <v>2033</v>
      </c>
      <c r="I1515" s="49">
        <v>2050</v>
      </c>
      <c r="J1515" s="50">
        <v>1.0984</v>
      </c>
      <c r="K1515" s="50">
        <v>1.0345</v>
      </c>
      <c r="L1515" s="50">
        <v>0.81459999999999999</v>
      </c>
      <c r="M1515" s="50">
        <v>1.0654999999999999</v>
      </c>
      <c r="N1515" s="50">
        <v>1.0399</v>
      </c>
      <c r="O1515" s="50">
        <v>1.0538000000000001</v>
      </c>
      <c r="P1515" s="49">
        <v>3043</v>
      </c>
      <c r="Q1515" s="51">
        <f t="array" ref="Q1515">SUM(IF(($S1515&gt;=4)*($C1515='TaxCred&amp;Subs'!$D$123:$D$127)*($H1515='TaxCred&amp;Subs'!$C$123:$C$127)*($H1515&lt;='TaxCred&amp;Subs'!$C$129),'TaxCred&amp;Subs'!$E$123:$E$127,0))</f>
        <v>0</v>
      </c>
      <c r="R1515" s="171">
        <v>0</v>
      </c>
      <c r="S1515" s="49">
        <v>4</v>
      </c>
      <c r="T1515" s="49" t="s">
        <v>248</v>
      </c>
      <c r="V1515" s="153" t="str">
        <f t="array" ref="V1515">INDEX(xlRTCLNAME,MATCH(1,(xlRTCLENDU=1)*(xlRTCLEQCL=$D1515),0))</f>
        <v>NG_FA</v>
      </c>
      <c r="W1515" s="153" t="str">
        <f t="array" ref="W1515">INDEX(xlRTCLNAME,MATCH(1,(xlRTCLENDU=2)*(xlRTCLEQCL=$F1515),0))</f>
        <v>CENT_AIR</v>
      </c>
      <c r="X1515" s="153" t="str">
        <f t="array" ref="X1515">INDEX(xlRTTYNAME,MATCH(1,(xlRTTYENDU=1)*(xlRTTYEQCL=$D1515)*(xlRTEQTYPE=$E1515),0))</f>
        <v>NG_FA3</v>
      </c>
      <c r="Y1515" s="153" t="str">
        <f t="array" ref="Y1515">INDEX(xlRTTYNAME,MATCH(1,(xlRTTYENDU=2)*(xlRTTYEQCL=$F1515)*(xlRTEQTYPE=$G1515),0))</f>
        <v>CENT_AIR3</v>
      </c>
    </row>
    <row r="1516" spans="2:25" ht="14.25" customHeight="1" x14ac:dyDescent="0.2">
      <c r="B1516" s="126">
        <v>4</v>
      </c>
      <c r="C1516" s="126">
        <v>2</v>
      </c>
      <c r="D1516" s="126">
        <v>3</v>
      </c>
      <c r="E1516" s="126">
        <v>8</v>
      </c>
      <c r="F1516" s="126">
        <v>2</v>
      </c>
      <c r="G1516" s="126">
        <v>7</v>
      </c>
      <c r="H1516" s="126">
        <v>2016</v>
      </c>
      <c r="I1516" s="159">
        <v>2022</v>
      </c>
      <c r="J1516" s="127">
        <v>1.1000000000000001</v>
      </c>
      <c r="K1516" s="127">
        <v>1.0435000000000001</v>
      </c>
      <c r="L1516" s="127">
        <v>0.95930000000000004</v>
      </c>
      <c r="M1516" s="127">
        <v>1.1499999999999999</v>
      </c>
      <c r="N1516" s="127">
        <v>1.1696</v>
      </c>
      <c r="O1516" s="127">
        <v>1.0538000000000001</v>
      </c>
      <c r="P1516" s="126">
        <v>2669</v>
      </c>
      <c r="Q1516" s="128">
        <f t="array" ref="Q1516">SUM(IF(($S1516&gt;=4)*($C1516='TaxCred&amp;Subs'!$D$123:$D$127)*($H1516='TaxCred&amp;Subs'!$C$123:$C$127)*($H1516&lt;='TaxCred&amp;Subs'!$C$129),'TaxCred&amp;Subs'!$E$123:$E$127,0))</f>
        <v>0</v>
      </c>
      <c r="R1516" s="174">
        <v>0</v>
      </c>
      <c r="S1516" s="126">
        <v>4</v>
      </c>
      <c r="T1516" s="126" t="s">
        <v>248</v>
      </c>
      <c r="V1516" s="153" t="str">
        <f t="array" ref="V1516">INDEX(xlRTCLNAME,MATCH(1,(xlRTCLENDU=1)*(xlRTCLEQCL=$D1516),0))</f>
        <v>NG_FA</v>
      </c>
      <c r="W1516" s="153" t="str">
        <f t="array" ref="W1516">INDEX(xlRTCLNAME,MATCH(1,(xlRTCLENDU=2)*(xlRTCLEQCL=$F1516),0))</f>
        <v>CENT_AIR</v>
      </c>
      <c r="X1516" s="153" t="str">
        <f t="array" ref="X1516">INDEX(xlRTTYNAME,MATCH(1,(xlRTTYENDU=1)*(xlRTTYEQCL=$D1516)*(xlRTEQTYPE=$E1516),0))</f>
        <v>NG_FA3</v>
      </c>
      <c r="Y1516" s="153" t="str">
        <f t="array" ref="Y1516">INDEX(xlRTTYNAME,MATCH(1,(xlRTTYENDU=2)*(xlRTTYEQCL=$F1516)*(xlRTEQTYPE=$G1516),0))</f>
        <v>CENT_AIR3</v>
      </c>
    </row>
    <row r="1517" spans="2:25" ht="14.25" customHeight="1" x14ac:dyDescent="0.2">
      <c r="B1517" s="49">
        <v>4</v>
      </c>
      <c r="C1517" s="49">
        <v>2</v>
      </c>
      <c r="D1517" s="49">
        <v>3</v>
      </c>
      <c r="E1517" s="49">
        <v>8</v>
      </c>
      <c r="F1517" s="49">
        <v>2</v>
      </c>
      <c r="G1517" s="49">
        <v>7</v>
      </c>
      <c r="H1517" s="49">
        <v>2023</v>
      </c>
      <c r="I1517" s="49">
        <v>2032</v>
      </c>
      <c r="J1517" s="50">
        <v>1.1000000000000001</v>
      </c>
      <c r="K1517" s="50">
        <v>1.0435000000000001</v>
      </c>
      <c r="L1517" s="50">
        <v>0.95930000000000004</v>
      </c>
      <c r="M1517" s="50">
        <v>1.1499999999999999</v>
      </c>
      <c r="N1517" s="50">
        <v>1.1696</v>
      </c>
      <c r="O1517" s="50">
        <v>1.0538000000000001</v>
      </c>
      <c r="P1517" s="49">
        <v>2669</v>
      </c>
      <c r="Q1517" s="51">
        <f t="array" ref="Q1517">SUM(IF(($S1517&gt;=4)*($C1517='TaxCred&amp;Subs'!$D$123:$D$127)*($H1517='TaxCred&amp;Subs'!$C$123:$C$127)*($H1517&lt;='TaxCred&amp;Subs'!$C$129),'TaxCred&amp;Subs'!$E$123:$E$127,0))</f>
        <v>500</v>
      </c>
      <c r="R1517" s="171">
        <v>0</v>
      </c>
      <c r="S1517" s="49">
        <v>4</v>
      </c>
      <c r="T1517" s="49" t="s">
        <v>248</v>
      </c>
      <c r="V1517" s="153" t="str">
        <f t="array" ref="V1517">INDEX(xlRTCLNAME,MATCH(1,(xlRTCLENDU=1)*(xlRTCLEQCL=$D1517),0))</f>
        <v>NG_FA</v>
      </c>
      <c r="W1517" s="153" t="str">
        <f t="array" ref="W1517">INDEX(xlRTCLNAME,MATCH(1,(xlRTCLENDU=2)*(xlRTCLEQCL=$F1517),0))</f>
        <v>CENT_AIR</v>
      </c>
      <c r="X1517" s="153" t="str">
        <f t="array" ref="X1517">INDEX(xlRTTYNAME,MATCH(1,(xlRTTYENDU=1)*(xlRTTYEQCL=$D1517)*(xlRTEQTYPE=$E1517),0))</f>
        <v>NG_FA3</v>
      </c>
      <c r="Y1517" s="153" t="str">
        <f t="array" ref="Y1517">INDEX(xlRTTYNAME,MATCH(1,(xlRTTYENDU=2)*(xlRTTYEQCL=$F1517)*(xlRTEQTYPE=$G1517),0))</f>
        <v>CENT_AIR3</v>
      </c>
    </row>
    <row r="1518" spans="2:25" ht="14.25" customHeight="1" x14ac:dyDescent="0.2">
      <c r="B1518" s="49">
        <v>4</v>
      </c>
      <c r="C1518" s="49">
        <v>2</v>
      </c>
      <c r="D1518" s="49">
        <v>3</v>
      </c>
      <c r="E1518" s="49">
        <v>8</v>
      </c>
      <c r="F1518" s="49">
        <v>2</v>
      </c>
      <c r="G1518" s="49">
        <v>7</v>
      </c>
      <c r="H1518" s="49">
        <v>2033</v>
      </c>
      <c r="I1518" s="49">
        <v>2050</v>
      </c>
      <c r="J1518" s="50">
        <v>1.1000000000000001</v>
      </c>
      <c r="K1518" s="50">
        <v>1.0435000000000001</v>
      </c>
      <c r="L1518" s="50">
        <v>0.95930000000000004</v>
      </c>
      <c r="M1518" s="50">
        <v>1.1499999999999999</v>
      </c>
      <c r="N1518" s="50">
        <v>1.1696</v>
      </c>
      <c r="O1518" s="50">
        <v>1.0538000000000001</v>
      </c>
      <c r="P1518" s="49">
        <v>2669</v>
      </c>
      <c r="Q1518" s="51">
        <f t="array" ref="Q1518">SUM(IF(($S1518&gt;=4)*($C1518='TaxCred&amp;Subs'!$D$123:$D$127)*($H1518='TaxCred&amp;Subs'!$C$123:$C$127)*($H1518&lt;='TaxCred&amp;Subs'!$C$129),'TaxCred&amp;Subs'!$E$123:$E$127,0))</f>
        <v>0</v>
      </c>
      <c r="R1518" s="171">
        <v>0</v>
      </c>
      <c r="S1518" s="49">
        <v>4</v>
      </c>
      <c r="T1518" s="49" t="s">
        <v>248</v>
      </c>
      <c r="V1518" s="153" t="str">
        <f t="array" ref="V1518">INDEX(xlRTCLNAME,MATCH(1,(xlRTCLENDU=1)*(xlRTCLEQCL=$D1518),0))</f>
        <v>NG_FA</v>
      </c>
      <c r="W1518" s="153" t="str">
        <f t="array" ref="W1518">INDEX(xlRTCLNAME,MATCH(1,(xlRTCLENDU=2)*(xlRTCLEQCL=$F1518),0))</f>
        <v>CENT_AIR</v>
      </c>
      <c r="X1518" s="153" t="str">
        <f t="array" ref="X1518">INDEX(xlRTTYNAME,MATCH(1,(xlRTTYENDU=1)*(xlRTTYEQCL=$D1518)*(xlRTEQTYPE=$E1518),0))</f>
        <v>NG_FA3</v>
      </c>
      <c r="Y1518" s="153" t="str">
        <f t="array" ref="Y1518">INDEX(xlRTTYNAME,MATCH(1,(xlRTTYENDU=2)*(xlRTTYEQCL=$F1518)*(xlRTEQTYPE=$G1518),0))</f>
        <v>CENT_AIR3</v>
      </c>
    </row>
    <row r="1519" spans="2:25" ht="14.25" customHeight="1" x14ac:dyDescent="0.2">
      <c r="B1519" s="126">
        <v>5</v>
      </c>
      <c r="C1519" s="126">
        <v>2</v>
      </c>
      <c r="D1519" s="126">
        <v>3</v>
      </c>
      <c r="E1519" s="126">
        <v>8</v>
      </c>
      <c r="F1519" s="126">
        <v>2</v>
      </c>
      <c r="G1519" s="126">
        <v>7</v>
      </c>
      <c r="H1519" s="126">
        <v>2016</v>
      </c>
      <c r="I1519" s="159">
        <v>2022</v>
      </c>
      <c r="J1519" s="127">
        <v>1.1200000000000001</v>
      </c>
      <c r="K1519" s="127">
        <v>1.0391999999999999</v>
      </c>
      <c r="L1519" s="127">
        <v>0.63129999999999997</v>
      </c>
      <c r="M1519" s="127">
        <v>1.0902000000000001</v>
      </c>
      <c r="N1519" s="127">
        <v>1.2750999999999999</v>
      </c>
      <c r="O1519" s="127">
        <v>1.0538000000000001</v>
      </c>
      <c r="P1519" s="126">
        <v>2250</v>
      </c>
      <c r="Q1519" s="128">
        <f t="array" ref="Q1519">SUM(IF(($S1519&gt;=4)*($C1519='TaxCred&amp;Subs'!$D$123:$D$127)*($H1519='TaxCred&amp;Subs'!$C$123:$C$127)*($H1519&lt;='TaxCred&amp;Subs'!$C$129),'TaxCred&amp;Subs'!$E$123:$E$127,0))</f>
        <v>0</v>
      </c>
      <c r="R1519" s="174">
        <v>0</v>
      </c>
      <c r="S1519" s="126">
        <v>4</v>
      </c>
      <c r="T1519" s="126" t="s">
        <v>248</v>
      </c>
      <c r="V1519" s="153" t="str">
        <f t="array" ref="V1519">INDEX(xlRTCLNAME,MATCH(1,(xlRTCLENDU=1)*(xlRTCLEQCL=$D1519),0))</f>
        <v>NG_FA</v>
      </c>
      <c r="W1519" s="153" t="str">
        <f t="array" ref="W1519">INDEX(xlRTCLNAME,MATCH(1,(xlRTCLENDU=2)*(xlRTCLEQCL=$F1519),0))</f>
        <v>CENT_AIR</v>
      </c>
      <c r="X1519" s="153" t="str">
        <f t="array" ref="X1519">INDEX(xlRTTYNAME,MATCH(1,(xlRTTYENDU=1)*(xlRTTYEQCL=$D1519)*(xlRTEQTYPE=$E1519),0))</f>
        <v>NG_FA3</v>
      </c>
      <c r="Y1519" s="153" t="str">
        <f t="array" ref="Y1519">INDEX(xlRTTYNAME,MATCH(1,(xlRTTYENDU=2)*(xlRTTYEQCL=$F1519)*(xlRTEQTYPE=$G1519),0))</f>
        <v>CENT_AIR3</v>
      </c>
    </row>
    <row r="1520" spans="2:25" ht="14.25" customHeight="1" x14ac:dyDescent="0.2">
      <c r="B1520" s="49">
        <v>5</v>
      </c>
      <c r="C1520" s="49">
        <v>2</v>
      </c>
      <c r="D1520" s="49">
        <v>3</v>
      </c>
      <c r="E1520" s="49">
        <v>8</v>
      </c>
      <c r="F1520" s="49">
        <v>2</v>
      </c>
      <c r="G1520" s="49">
        <v>7</v>
      </c>
      <c r="H1520" s="49">
        <v>2023</v>
      </c>
      <c r="I1520" s="49">
        <v>2032</v>
      </c>
      <c r="J1520" s="50">
        <v>1.1200000000000001</v>
      </c>
      <c r="K1520" s="50">
        <v>1.0391999999999999</v>
      </c>
      <c r="L1520" s="50">
        <v>0.63129999999999997</v>
      </c>
      <c r="M1520" s="50">
        <v>1.0902000000000001</v>
      </c>
      <c r="N1520" s="50">
        <v>1.2750999999999999</v>
      </c>
      <c r="O1520" s="50">
        <v>1.0538000000000001</v>
      </c>
      <c r="P1520" s="49">
        <v>2250</v>
      </c>
      <c r="Q1520" s="51">
        <f t="array" ref="Q1520">SUM(IF(($S1520&gt;=4)*($C1520='TaxCred&amp;Subs'!$D$123:$D$127)*($H1520='TaxCred&amp;Subs'!$C$123:$C$127)*($H1520&lt;='TaxCred&amp;Subs'!$C$129),'TaxCred&amp;Subs'!$E$123:$E$127,0))</f>
        <v>500</v>
      </c>
      <c r="R1520" s="171">
        <v>0</v>
      </c>
      <c r="S1520" s="49">
        <v>4</v>
      </c>
      <c r="T1520" s="49" t="s">
        <v>248</v>
      </c>
      <c r="V1520" s="153" t="str">
        <f t="array" ref="V1520">INDEX(xlRTCLNAME,MATCH(1,(xlRTCLENDU=1)*(xlRTCLEQCL=$D1520),0))</f>
        <v>NG_FA</v>
      </c>
      <c r="W1520" s="153" t="str">
        <f t="array" ref="W1520">INDEX(xlRTCLNAME,MATCH(1,(xlRTCLENDU=2)*(xlRTCLEQCL=$F1520),0))</f>
        <v>CENT_AIR</v>
      </c>
      <c r="X1520" s="153" t="str">
        <f t="array" ref="X1520">INDEX(xlRTTYNAME,MATCH(1,(xlRTTYENDU=1)*(xlRTTYEQCL=$D1520)*(xlRTEQTYPE=$E1520),0))</f>
        <v>NG_FA3</v>
      </c>
      <c r="Y1520" s="153" t="str">
        <f t="array" ref="Y1520">INDEX(xlRTTYNAME,MATCH(1,(xlRTTYENDU=2)*(xlRTTYEQCL=$F1520)*(xlRTEQTYPE=$G1520),0))</f>
        <v>CENT_AIR3</v>
      </c>
    </row>
    <row r="1521" spans="2:25" ht="14.25" customHeight="1" x14ac:dyDescent="0.2">
      <c r="B1521" s="49">
        <v>5</v>
      </c>
      <c r="C1521" s="49">
        <v>2</v>
      </c>
      <c r="D1521" s="49">
        <v>3</v>
      </c>
      <c r="E1521" s="49">
        <v>8</v>
      </c>
      <c r="F1521" s="49">
        <v>2</v>
      </c>
      <c r="G1521" s="49">
        <v>7</v>
      </c>
      <c r="H1521" s="49">
        <v>2033</v>
      </c>
      <c r="I1521" s="49">
        <v>2050</v>
      </c>
      <c r="J1521" s="50">
        <v>1.1200000000000001</v>
      </c>
      <c r="K1521" s="50">
        <v>1.0391999999999999</v>
      </c>
      <c r="L1521" s="50">
        <v>0.63129999999999997</v>
      </c>
      <c r="M1521" s="50">
        <v>1.0902000000000001</v>
      </c>
      <c r="N1521" s="50">
        <v>1.2750999999999999</v>
      </c>
      <c r="O1521" s="50">
        <v>1.0538000000000001</v>
      </c>
      <c r="P1521" s="49">
        <v>2250</v>
      </c>
      <c r="Q1521" s="51">
        <f t="array" ref="Q1521">SUM(IF(($S1521&gt;=4)*($C1521='TaxCred&amp;Subs'!$D$123:$D$127)*($H1521='TaxCred&amp;Subs'!$C$123:$C$127)*($H1521&lt;='TaxCred&amp;Subs'!$C$129),'TaxCred&amp;Subs'!$E$123:$E$127,0))</f>
        <v>0</v>
      </c>
      <c r="R1521" s="171">
        <v>0</v>
      </c>
      <c r="S1521" s="49">
        <v>4</v>
      </c>
      <c r="T1521" s="49" t="s">
        <v>248</v>
      </c>
      <c r="V1521" s="153" t="str">
        <f t="array" ref="V1521">INDEX(xlRTCLNAME,MATCH(1,(xlRTCLENDU=1)*(xlRTCLEQCL=$D1521),0))</f>
        <v>NG_FA</v>
      </c>
      <c r="W1521" s="153" t="str">
        <f t="array" ref="W1521">INDEX(xlRTCLNAME,MATCH(1,(xlRTCLENDU=2)*(xlRTCLEQCL=$F1521),0))</f>
        <v>CENT_AIR</v>
      </c>
      <c r="X1521" s="153" t="str">
        <f t="array" ref="X1521">INDEX(xlRTTYNAME,MATCH(1,(xlRTTYENDU=1)*(xlRTTYEQCL=$D1521)*(xlRTEQTYPE=$E1521),0))</f>
        <v>NG_FA3</v>
      </c>
      <c r="Y1521" s="153" t="str">
        <f t="array" ref="Y1521">INDEX(xlRTTYNAME,MATCH(1,(xlRTTYENDU=2)*(xlRTTYEQCL=$F1521)*(xlRTEQTYPE=$G1521),0))</f>
        <v>CENT_AIR3</v>
      </c>
    </row>
    <row r="1522" spans="2:25" ht="14.25" customHeight="1" x14ac:dyDescent="0.2">
      <c r="B1522" s="126">
        <v>6</v>
      </c>
      <c r="C1522" s="126">
        <v>2</v>
      </c>
      <c r="D1522" s="126">
        <v>3</v>
      </c>
      <c r="E1522" s="126">
        <v>8</v>
      </c>
      <c r="F1522" s="126">
        <v>2</v>
      </c>
      <c r="G1522" s="126">
        <v>7</v>
      </c>
      <c r="H1522" s="126">
        <v>2016</v>
      </c>
      <c r="I1522" s="159">
        <v>2022</v>
      </c>
      <c r="J1522" s="127">
        <v>1.1200000000000001</v>
      </c>
      <c r="K1522" s="127">
        <v>1.03</v>
      </c>
      <c r="L1522" s="127">
        <v>1.1105</v>
      </c>
      <c r="M1522" s="127">
        <v>1.1228</v>
      </c>
      <c r="N1522" s="127">
        <v>1.3324</v>
      </c>
      <c r="O1522" s="127">
        <v>1.0538000000000001</v>
      </c>
      <c r="P1522" s="126">
        <v>2282</v>
      </c>
      <c r="Q1522" s="128">
        <f t="array" ref="Q1522">SUM(IF(($S1522&gt;=4)*($C1522='TaxCred&amp;Subs'!$D$123:$D$127)*($H1522='TaxCred&amp;Subs'!$C$123:$C$127)*($H1522&lt;='TaxCred&amp;Subs'!$C$129),'TaxCred&amp;Subs'!$E$123:$E$127,0))</f>
        <v>0</v>
      </c>
      <c r="R1522" s="174">
        <v>0</v>
      </c>
      <c r="S1522" s="126">
        <v>4</v>
      </c>
      <c r="T1522" s="126" t="s">
        <v>248</v>
      </c>
      <c r="V1522" s="153" t="str">
        <f t="array" ref="V1522">INDEX(xlRTCLNAME,MATCH(1,(xlRTCLENDU=1)*(xlRTCLEQCL=$D1522),0))</f>
        <v>NG_FA</v>
      </c>
      <c r="W1522" s="153" t="str">
        <f t="array" ref="W1522">INDEX(xlRTCLNAME,MATCH(1,(xlRTCLENDU=2)*(xlRTCLEQCL=$F1522),0))</f>
        <v>CENT_AIR</v>
      </c>
      <c r="X1522" s="153" t="str">
        <f t="array" ref="X1522">INDEX(xlRTTYNAME,MATCH(1,(xlRTTYENDU=1)*(xlRTTYEQCL=$D1522)*(xlRTEQTYPE=$E1522),0))</f>
        <v>NG_FA3</v>
      </c>
      <c r="Y1522" s="153" t="str">
        <f t="array" ref="Y1522">INDEX(xlRTTYNAME,MATCH(1,(xlRTTYENDU=2)*(xlRTTYEQCL=$F1522)*(xlRTEQTYPE=$G1522),0))</f>
        <v>CENT_AIR3</v>
      </c>
    </row>
    <row r="1523" spans="2:25" ht="14.25" customHeight="1" x14ac:dyDescent="0.2">
      <c r="B1523" s="49">
        <v>6</v>
      </c>
      <c r="C1523" s="49">
        <v>2</v>
      </c>
      <c r="D1523" s="49">
        <v>3</v>
      </c>
      <c r="E1523" s="49">
        <v>8</v>
      </c>
      <c r="F1523" s="49">
        <v>2</v>
      </c>
      <c r="G1523" s="49">
        <v>7</v>
      </c>
      <c r="H1523" s="49">
        <v>2023</v>
      </c>
      <c r="I1523" s="49">
        <v>2032</v>
      </c>
      <c r="J1523" s="50">
        <v>1.1200000000000001</v>
      </c>
      <c r="K1523" s="50">
        <v>1.03</v>
      </c>
      <c r="L1523" s="50">
        <v>1.1105</v>
      </c>
      <c r="M1523" s="50">
        <v>1.1228</v>
      </c>
      <c r="N1523" s="50">
        <v>1.3324</v>
      </c>
      <c r="O1523" s="50">
        <v>1.0538000000000001</v>
      </c>
      <c r="P1523" s="49">
        <v>2282</v>
      </c>
      <c r="Q1523" s="51">
        <f t="array" ref="Q1523">SUM(IF(($S1523&gt;=4)*($C1523='TaxCred&amp;Subs'!$D$123:$D$127)*($H1523='TaxCred&amp;Subs'!$C$123:$C$127)*($H1523&lt;='TaxCred&amp;Subs'!$C$129),'TaxCred&amp;Subs'!$E$123:$E$127,0))</f>
        <v>500</v>
      </c>
      <c r="R1523" s="171">
        <v>0</v>
      </c>
      <c r="S1523" s="49">
        <v>4</v>
      </c>
      <c r="T1523" s="49" t="s">
        <v>248</v>
      </c>
      <c r="V1523" s="153" t="str">
        <f t="array" ref="V1523">INDEX(xlRTCLNAME,MATCH(1,(xlRTCLENDU=1)*(xlRTCLEQCL=$D1523),0))</f>
        <v>NG_FA</v>
      </c>
      <c r="W1523" s="153" t="str">
        <f t="array" ref="W1523">INDEX(xlRTCLNAME,MATCH(1,(xlRTCLENDU=2)*(xlRTCLEQCL=$F1523),0))</f>
        <v>CENT_AIR</v>
      </c>
      <c r="X1523" s="153" t="str">
        <f t="array" ref="X1523">INDEX(xlRTTYNAME,MATCH(1,(xlRTTYENDU=1)*(xlRTTYEQCL=$D1523)*(xlRTEQTYPE=$E1523),0))</f>
        <v>NG_FA3</v>
      </c>
      <c r="Y1523" s="153" t="str">
        <f t="array" ref="Y1523">INDEX(xlRTTYNAME,MATCH(1,(xlRTTYENDU=2)*(xlRTTYEQCL=$F1523)*(xlRTEQTYPE=$G1523),0))</f>
        <v>CENT_AIR3</v>
      </c>
    </row>
    <row r="1524" spans="2:25" ht="14.25" customHeight="1" x14ac:dyDescent="0.2">
      <c r="B1524" s="49">
        <v>6</v>
      </c>
      <c r="C1524" s="49">
        <v>2</v>
      </c>
      <c r="D1524" s="49">
        <v>3</v>
      </c>
      <c r="E1524" s="49">
        <v>8</v>
      </c>
      <c r="F1524" s="49">
        <v>2</v>
      </c>
      <c r="G1524" s="49">
        <v>7</v>
      </c>
      <c r="H1524" s="49">
        <v>2033</v>
      </c>
      <c r="I1524" s="49">
        <v>2050</v>
      </c>
      <c r="J1524" s="50">
        <v>1.1200000000000001</v>
      </c>
      <c r="K1524" s="50">
        <v>1.03</v>
      </c>
      <c r="L1524" s="50">
        <v>1.1105</v>
      </c>
      <c r="M1524" s="50">
        <v>1.1228</v>
      </c>
      <c r="N1524" s="50">
        <v>1.3324</v>
      </c>
      <c r="O1524" s="50">
        <v>1.0538000000000001</v>
      </c>
      <c r="P1524" s="49">
        <v>2282</v>
      </c>
      <c r="Q1524" s="51">
        <f t="array" ref="Q1524">SUM(IF(($S1524&gt;=4)*($C1524='TaxCred&amp;Subs'!$D$123:$D$127)*($H1524='TaxCred&amp;Subs'!$C$123:$C$127)*($H1524&lt;='TaxCred&amp;Subs'!$C$129),'TaxCred&amp;Subs'!$E$123:$E$127,0))</f>
        <v>0</v>
      </c>
      <c r="R1524" s="171">
        <v>0</v>
      </c>
      <c r="S1524" s="49">
        <v>4</v>
      </c>
      <c r="T1524" s="49" t="s">
        <v>248</v>
      </c>
      <c r="V1524" s="153" t="str">
        <f t="array" ref="V1524">INDEX(xlRTCLNAME,MATCH(1,(xlRTCLENDU=1)*(xlRTCLEQCL=$D1524),0))</f>
        <v>NG_FA</v>
      </c>
      <c r="W1524" s="153" t="str">
        <f t="array" ref="W1524">INDEX(xlRTCLNAME,MATCH(1,(xlRTCLENDU=2)*(xlRTCLEQCL=$F1524),0))</f>
        <v>CENT_AIR</v>
      </c>
      <c r="X1524" s="153" t="str">
        <f t="array" ref="X1524">INDEX(xlRTTYNAME,MATCH(1,(xlRTTYENDU=1)*(xlRTTYEQCL=$D1524)*(xlRTEQTYPE=$E1524),0))</f>
        <v>NG_FA3</v>
      </c>
      <c r="Y1524" s="153" t="str">
        <f t="array" ref="Y1524">INDEX(xlRTTYNAME,MATCH(1,(xlRTTYENDU=2)*(xlRTTYEQCL=$F1524)*(xlRTEQTYPE=$G1524),0))</f>
        <v>CENT_AIR3</v>
      </c>
    </row>
    <row r="1525" spans="2:25" ht="14.25" customHeight="1" x14ac:dyDescent="0.2">
      <c r="B1525" s="126">
        <v>7</v>
      </c>
      <c r="C1525" s="126">
        <v>2</v>
      </c>
      <c r="D1525" s="126">
        <v>3</v>
      </c>
      <c r="E1525" s="126">
        <v>8</v>
      </c>
      <c r="F1525" s="126">
        <v>2</v>
      </c>
      <c r="G1525" s="126">
        <v>7</v>
      </c>
      <c r="H1525" s="126">
        <v>2016</v>
      </c>
      <c r="I1525" s="159">
        <v>2022</v>
      </c>
      <c r="J1525" s="127">
        <v>1.1200000000000001</v>
      </c>
      <c r="K1525" s="127">
        <v>1.0462</v>
      </c>
      <c r="L1525" s="127">
        <v>1.0271999999999999</v>
      </c>
      <c r="M1525" s="127">
        <v>1.1173</v>
      </c>
      <c r="N1525" s="127">
        <v>1.4438</v>
      </c>
      <c r="O1525" s="127">
        <v>1.0538000000000001</v>
      </c>
      <c r="P1525" s="126">
        <v>2031</v>
      </c>
      <c r="Q1525" s="128">
        <f t="array" ref="Q1525">SUM(IF(($S1525&gt;=4)*($C1525='TaxCred&amp;Subs'!$D$123:$D$127)*($H1525='TaxCred&amp;Subs'!$C$123:$C$127)*($H1525&lt;='TaxCred&amp;Subs'!$C$129),'TaxCred&amp;Subs'!$E$123:$E$127,0))</f>
        <v>0</v>
      </c>
      <c r="R1525" s="174">
        <v>0</v>
      </c>
      <c r="S1525" s="126">
        <v>4</v>
      </c>
      <c r="T1525" s="126" t="s">
        <v>248</v>
      </c>
      <c r="V1525" s="153" t="str">
        <f t="array" ref="V1525">INDEX(xlRTCLNAME,MATCH(1,(xlRTCLENDU=1)*(xlRTCLEQCL=$D1525),0))</f>
        <v>NG_FA</v>
      </c>
      <c r="W1525" s="153" t="str">
        <f t="array" ref="W1525">INDEX(xlRTCLNAME,MATCH(1,(xlRTCLENDU=2)*(xlRTCLEQCL=$F1525),0))</f>
        <v>CENT_AIR</v>
      </c>
      <c r="X1525" s="153" t="str">
        <f t="array" ref="X1525">INDEX(xlRTTYNAME,MATCH(1,(xlRTTYENDU=1)*(xlRTTYEQCL=$D1525)*(xlRTEQTYPE=$E1525),0))</f>
        <v>NG_FA3</v>
      </c>
      <c r="Y1525" s="153" t="str">
        <f t="array" ref="Y1525">INDEX(xlRTTYNAME,MATCH(1,(xlRTTYENDU=2)*(xlRTTYEQCL=$F1525)*(xlRTEQTYPE=$G1525),0))</f>
        <v>CENT_AIR3</v>
      </c>
    </row>
    <row r="1526" spans="2:25" ht="14.25" customHeight="1" x14ac:dyDescent="0.2">
      <c r="B1526" s="49">
        <v>7</v>
      </c>
      <c r="C1526" s="49">
        <v>2</v>
      </c>
      <c r="D1526" s="49">
        <v>3</v>
      </c>
      <c r="E1526" s="49">
        <v>8</v>
      </c>
      <c r="F1526" s="49">
        <v>2</v>
      </c>
      <c r="G1526" s="49">
        <v>7</v>
      </c>
      <c r="H1526" s="49">
        <v>2023</v>
      </c>
      <c r="I1526" s="49">
        <v>2032</v>
      </c>
      <c r="J1526" s="50">
        <v>1.1200000000000001</v>
      </c>
      <c r="K1526" s="50">
        <v>1.0462</v>
      </c>
      <c r="L1526" s="50">
        <v>1.0271999999999999</v>
      </c>
      <c r="M1526" s="50">
        <v>1.1173</v>
      </c>
      <c r="N1526" s="50">
        <v>1.4438</v>
      </c>
      <c r="O1526" s="50">
        <v>1.0538000000000001</v>
      </c>
      <c r="P1526" s="49">
        <v>2031</v>
      </c>
      <c r="Q1526" s="51">
        <f t="array" ref="Q1526">SUM(IF(($S1526&gt;=4)*($C1526='TaxCred&amp;Subs'!$D$123:$D$127)*($H1526='TaxCred&amp;Subs'!$C$123:$C$127)*($H1526&lt;='TaxCred&amp;Subs'!$C$129),'TaxCred&amp;Subs'!$E$123:$E$127,0))</f>
        <v>500</v>
      </c>
      <c r="R1526" s="171">
        <v>0</v>
      </c>
      <c r="S1526" s="49">
        <v>4</v>
      </c>
      <c r="T1526" s="49" t="s">
        <v>248</v>
      </c>
      <c r="V1526" s="153" t="str">
        <f t="array" ref="V1526">INDEX(xlRTCLNAME,MATCH(1,(xlRTCLENDU=1)*(xlRTCLEQCL=$D1526),0))</f>
        <v>NG_FA</v>
      </c>
      <c r="W1526" s="153" t="str">
        <f t="array" ref="W1526">INDEX(xlRTCLNAME,MATCH(1,(xlRTCLENDU=2)*(xlRTCLEQCL=$F1526),0))</f>
        <v>CENT_AIR</v>
      </c>
      <c r="X1526" s="153" t="str">
        <f t="array" ref="X1526">INDEX(xlRTTYNAME,MATCH(1,(xlRTTYENDU=1)*(xlRTTYEQCL=$D1526)*(xlRTEQTYPE=$E1526),0))</f>
        <v>NG_FA3</v>
      </c>
      <c r="Y1526" s="153" t="str">
        <f t="array" ref="Y1526">INDEX(xlRTTYNAME,MATCH(1,(xlRTTYENDU=2)*(xlRTTYEQCL=$F1526)*(xlRTEQTYPE=$G1526),0))</f>
        <v>CENT_AIR3</v>
      </c>
    </row>
    <row r="1527" spans="2:25" ht="14.25" customHeight="1" x14ac:dyDescent="0.2">
      <c r="B1527" s="49">
        <v>7</v>
      </c>
      <c r="C1527" s="49">
        <v>2</v>
      </c>
      <c r="D1527" s="49">
        <v>3</v>
      </c>
      <c r="E1527" s="49">
        <v>8</v>
      </c>
      <c r="F1527" s="49">
        <v>2</v>
      </c>
      <c r="G1527" s="49">
        <v>7</v>
      </c>
      <c r="H1527" s="49">
        <v>2033</v>
      </c>
      <c r="I1527" s="49">
        <v>2050</v>
      </c>
      <c r="J1527" s="50">
        <v>1.1200000000000001</v>
      </c>
      <c r="K1527" s="50">
        <v>1.0462</v>
      </c>
      <c r="L1527" s="50">
        <v>1.0271999999999999</v>
      </c>
      <c r="M1527" s="50">
        <v>1.1173</v>
      </c>
      <c r="N1527" s="50">
        <v>1.4438</v>
      </c>
      <c r="O1527" s="50">
        <v>1.0538000000000001</v>
      </c>
      <c r="P1527" s="49">
        <v>2031</v>
      </c>
      <c r="Q1527" s="51">
        <f t="array" ref="Q1527">SUM(IF(($S1527&gt;=4)*($C1527='TaxCred&amp;Subs'!$D$123:$D$127)*($H1527='TaxCred&amp;Subs'!$C$123:$C$127)*($H1527&lt;='TaxCred&amp;Subs'!$C$129),'TaxCred&amp;Subs'!$E$123:$E$127,0))</f>
        <v>0</v>
      </c>
      <c r="R1527" s="171">
        <v>0</v>
      </c>
      <c r="S1527" s="49">
        <v>4</v>
      </c>
      <c r="T1527" s="49" t="s">
        <v>248</v>
      </c>
      <c r="V1527" s="153" t="str">
        <f t="array" ref="V1527">INDEX(xlRTCLNAME,MATCH(1,(xlRTCLENDU=1)*(xlRTCLEQCL=$D1527),0))</f>
        <v>NG_FA</v>
      </c>
      <c r="W1527" s="153" t="str">
        <f t="array" ref="W1527">INDEX(xlRTCLNAME,MATCH(1,(xlRTCLENDU=2)*(xlRTCLEQCL=$F1527),0))</f>
        <v>CENT_AIR</v>
      </c>
      <c r="X1527" s="153" t="str">
        <f t="array" ref="X1527">INDEX(xlRTTYNAME,MATCH(1,(xlRTTYENDU=1)*(xlRTTYEQCL=$D1527)*(xlRTEQTYPE=$E1527),0))</f>
        <v>NG_FA3</v>
      </c>
      <c r="Y1527" s="153" t="str">
        <f t="array" ref="Y1527">INDEX(xlRTTYNAME,MATCH(1,(xlRTTYENDU=2)*(xlRTTYEQCL=$F1527)*(xlRTEQTYPE=$G1527),0))</f>
        <v>CENT_AIR3</v>
      </c>
    </row>
    <row r="1528" spans="2:25" ht="14.25" customHeight="1" x14ac:dyDescent="0.2">
      <c r="B1528" s="126">
        <v>8</v>
      </c>
      <c r="C1528" s="126">
        <v>2</v>
      </c>
      <c r="D1528" s="126">
        <v>3</v>
      </c>
      <c r="E1528" s="126">
        <v>8</v>
      </c>
      <c r="F1528" s="126">
        <v>2</v>
      </c>
      <c r="G1528" s="126">
        <v>7</v>
      </c>
      <c r="H1528" s="126">
        <v>2016</v>
      </c>
      <c r="I1528" s="159">
        <v>2022</v>
      </c>
      <c r="J1528" s="127">
        <v>1.0932999999999999</v>
      </c>
      <c r="K1528" s="127">
        <v>1.0323</v>
      </c>
      <c r="L1528" s="127">
        <v>1.0073000000000001</v>
      </c>
      <c r="M1528" s="127">
        <v>1.2739</v>
      </c>
      <c r="N1528" s="127">
        <v>1.2847999999999999</v>
      </c>
      <c r="O1528" s="127">
        <v>1.0538000000000001</v>
      </c>
      <c r="P1528" s="126">
        <v>2451</v>
      </c>
      <c r="Q1528" s="128">
        <f t="array" ref="Q1528">SUM(IF(($S1528&gt;=4)*($C1528='TaxCred&amp;Subs'!$D$123:$D$127)*($H1528='TaxCred&amp;Subs'!$C$123:$C$127)*($H1528&lt;='TaxCred&amp;Subs'!$C$129),'TaxCred&amp;Subs'!$E$123:$E$127,0))</f>
        <v>0</v>
      </c>
      <c r="R1528" s="174">
        <v>0</v>
      </c>
      <c r="S1528" s="126">
        <v>4</v>
      </c>
      <c r="T1528" s="126" t="s">
        <v>248</v>
      </c>
      <c r="V1528" s="153" t="str">
        <f t="array" ref="V1528">INDEX(xlRTCLNAME,MATCH(1,(xlRTCLENDU=1)*(xlRTCLEQCL=$D1528),0))</f>
        <v>NG_FA</v>
      </c>
      <c r="W1528" s="153" t="str">
        <f t="array" ref="W1528">INDEX(xlRTCLNAME,MATCH(1,(xlRTCLENDU=2)*(xlRTCLEQCL=$F1528),0))</f>
        <v>CENT_AIR</v>
      </c>
      <c r="X1528" s="153" t="str">
        <f t="array" ref="X1528">INDEX(xlRTTYNAME,MATCH(1,(xlRTTYENDU=1)*(xlRTTYEQCL=$D1528)*(xlRTEQTYPE=$E1528),0))</f>
        <v>NG_FA3</v>
      </c>
      <c r="Y1528" s="153" t="str">
        <f t="array" ref="Y1528">INDEX(xlRTTYNAME,MATCH(1,(xlRTTYENDU=2)*(xlRTTYEQCL=$F1528)*(xlRTEQTYPE=$G1528),0))</f>
        <v>CENT_AIR3</v>
      </c>
    </row>
    <row r="1529" spans="2:25" ht="14.25" customHeight="1" x14ac:dyDescent="0.2">
      <c r="B1529" s="49">
        <v>8</v>
      </c>
      <c r="C1529" s="49">
        <v>2</v>
      </c>
      <c r="D1529" s="49">
        <v>3</v>
      </c>
      <c r="E1529" s="49">
        <v>8</v>
      </c>
      <c r="F1529" s="49">
        <v>2</v>
      </c>
      <c r="G1529" s="49">
        <v>7</v>
      </c>
      <c r="H1529" s="49">
        <v>2023</v>
      </c>
      <c r="I1529" s="49">
        <v>2032</v>
      </c>
      <c r="J1529" s="50">
        <v>1.0932999999999999</v>
      </c>
      <c r="K1529" s="50">
        <v>1.0323</v>
      </c>
      <c r="L1529" s="50">
        <v>1.0073000000000001</v>
      </c>
      <c r="M1529" s="50">
        <v>1.2739</v>
      </c>
      <c r="N1529" s="50">
        <v>1.2847999999999999</v>
      </c>
      <c r="O1529" s="50">
        <v>1.0538000000000001</v>
      </c>
      <c r="P1529" s="49">
        <v>2451</v>
      </c>
      <c r="Q1529" s="51">
        <f t="array" ref="Q1529">SUM(IF(($S1529&gt;=4)*($C1529='TaxCred&amp;Subs'!$D$123:$D$127)*($H1529='TaxCred&amp;Subs'!$C$123:$C$127)*($H1529&lt;='TaxCred&amp;Subs'!$C$129),'TaxCred&amp;Subs'!$E$123:$E$127,0))</f>
        <v>500</v>
      </c>
      <c r="R1529" s="171">
        <v>0</v>
      </c>
      <c r="S1529" s="49">
        <v>4</v>
      </c>
      <c r="T1529" s="49" t="s">
        <v>248</v>
      </c>
      <c r="V1529" s="153" t="str">
        <f t="array" ref="V1529">INDEX(xlRTCLNAME,MATCH(1,(xlRTCLENDU=1)*(xlRTCLEQCL=$D1529),0))</f>
        <v>NG_FA</v>
      </c>
      <c r="W1529" s="153" t="str">
        <f t="array" ref="W1529">INDEX(xlRTCLNAME,MATCH(1,(xlRTCLENDU=2)*(xlRTCLEQCL=$F1529),0))</f>
        <v>CENT_AIR</v>
      </c>
      <c r="X1529" s="153" t="str">
        <f t="array" ref="X1529">INDEX(xlRTTYNAME,MATCH(1,(xlRTTYENDU=1)*(xlRTTYEQCL=$D1529)*(xlRTEQTYPE=$E1529),0))</f>
        <v>NG_FA3</v>
      </c>
      <c r="Y1529" s="153" t="str">
        <f t="array" ref="Y1529">INDEX(xlRTTYNAME,MATCH(1,(xlRTTYENDU=2)*(xlRTTYEQCL=$F1529)*(xlRTEQTYPE=$G1529),0))</f>
        <v>CENT_AIR3</v>
      </c>
    </row>
    <row r="1530" spans="2:25" ht="14.25" customHeight="1" x14ac:dyDescent="0.2">
      <c r="B1530" s="49">
        <v>8</v>
      </c>
      <c r="C1530" s="49">
        <v>2</v>
      </c>
      <c r="D1530" s="49">
        <v>3</v>
      </c>
      <c r="E1530" s="49">
        <v>8</v>
      </c>
      <c r="F1530" s="49">
        <v>2</v>
      </c>
      <c r="G1530" s="49">
        <v>7</v>
      </c>
      <c r="H1530" s="49">
        <v>2033</v>
      </c>
      <c r="I1530" s="49">
        <v>2050</v>
      </c>
      <c r="J1530" s="50">
        <v>1.0932999999999999</v>
      </c>
      <c r="K1530" s="50">
        <v>1.0323</v>
      </c>
      <c r="L1530" s="50">
        <v>1.0073000000000001</v>
      </c>
      <c r="M1530" s="50">
        <v>1.2739</v>
      </c>
      <c r="N1530" s="50">
        <v>1.2847999999999999</v>
      </c>
      <c r="O1530" s="50">
        <v>1.0538000000000001</v>
      </c>
      <c r="P1530" s="49">
        <v>2451</v>
      </c>
      <c r="Q1530" s="51">
        <f t="array" ref="Q1530">SUM(IF(($S1530&gt;=4)*($C1530='TaxCred&amp;Subs'!$D$123:$D$127)*($H1530='TaxCred&amp;Subs'!$C$123:$C$127)*($H1530&lt;='TaxCred&amp;Subs'!$C$129),'TaxCred&amp;Subs'!$E$123:$E$127,0))</f>
        <v>0</v>
      </c>
      <c r="R1530" s="171">
        <v>0</v>
      </c>
      <c r="S1530" s="49">
        <v>4</v>
      </c>
      <c r="T1530" s="49" t="s">
        <v>248</v>
      </c>
      <c r="V1530" s="153" t="str">
        <f t="array" ref="V1530">INDEX(xlRTCLNAME,MATCH(1,(xlRTCLENDU=1)*(xlRTCLEQCL=$D1530),0))</f>
        <v>NG_FA</v>
      </c>
      <c r="W1530" s="153" t="str">
        <f t="array" ref="W1530">INDEX(xlRTCLNAME,MATCH(1,(xlRTCLENDU=2)*(xlRTCLEQCL=$F1530),0))</f>
        <v>CENT_AIR</v>
      </c>
      <c r="X1530" s="153" t="str">
        <f t="array" ref="X1530">INDEX(xlRTTYNAME,MATCH(1,(xlRTTYENDU=1)*(xlRTTYEQCL=$D1530)*(xlRTEQTYPE=$E1530),0))</f>
        <v>NG_FA3</v>
      </c>
      <c r="Y1530" s="153" t="str">
        <f t="array" ref="Y1530">INDEX(xlRTTYNAME,MATCH(1,(xlRTTYENDU=2)*(xlRTTYEQCL=$F1530)*(xlRTEQTYPE=$G1530),0))</f>
        <v>CENT_AIR3</v>
      </c>
    </row>
    <row r="1531" spans="2:25" ht="14.25" customHeight="1" x14ac:dyDescent="0.2">
      <c r="B1531" s="126">
        <v>9</v>
      </c>
      <c r="C1531" s="126">
        <v>2</v>
      </c>
      <c r="D1531" s="126">
        <v>3</v>
      </c>
      <c r="E1531" s="126">
        <v>8</v>
      </c>
      <c r="F1531" s="126">
        <v>2</v>
      </c>
      <c r="G1531" s="126">
        <v>7</v>
      </c>
      <c r="H1531" s="126">
        <v>2016</v>
      </c>
      <c r="I1531" s="159">
        <v>2022</v>
      </c>
      <c r="J1531" s="127">
        <v>1.07</v>
      </c>
      <c r="K1531" s="127">
        <v>1.0541</v>
      </c>
      <c r="L1531" s="127">
        <v>1.0063</v>
      </c>
      <c r="M1531" s="127">
        <v>1.2</v>
      </c>
      <c r="N1531" s="127">
        <v>1.4438</v>
      </c>
      <c r="O1531" s="127">
        <v>1.0538000000000001</v>
      </c>
      <c r="P1531" s="126">
        <v>2550</v>
      </c>
      <c r="Q1531" s="128">
        <f t="array" ref="Q1531">SUM(IF(($S1531&gt;=4)*($C1531='TaxCred&amp;Subs'!$D$123:$D$127)*($H1531='TaxCred&amp;Subs'!$C$123:$C$127)*($H1531&lt;='TaxCred&amp;Subs'!$C$129),'TaxCred&amp;Subs'!$E$123:$E$127,0))</f>
        <v>0</v>
      </c>
      <c r="R1531" s="174">
        <v>0</v>
      </c>
      <c r="S1531" s="126">
        <v>4</v>
      </c>
      <c r="T1531" s="126" t="s">
        <v>248</v>
      </c>
      <c r="V1531" s="153" t="str">
        <f t="array" ref="V1531">INDEX(xlRTCLNAME,MATCH(1,(xlRTCLENDU=1)*(xlRTCLEQCL=$D1531),0))</f>
        <v>NG_FA</v>
      </c>
      <c r="W1531" s="153" t="str">
        <f t="array" ref="W1531">INDEX(xlRTCLNAME,MATCH(1,(xlRTCLENDU=2)*(xlRTCLEQCL=$F1531),0))</f>
        <v>CENT_AIR</v>
      </c>
      <c r="X1531" s="153" t="str">
        <f t="array" ref="X1531">INDEX(xlRTTYNAME,MATCH(1,(xlRTTYENDU=1)*(xlRTTYEQCL=$D1531)*(xlRTEQTYPE=$E1531),0))</f>
        <v>NG_FA3</v>
      </c>
      <c r="Y1531" s="153" t="str">
        <f t="array" ref="Y1531">INDEX(xlRTTYNAME,MATCH(1,(xlRTTYENDU=2)*(xlRTTYEQCL=$F1531)*(xlRTEQTYPE=$G1531),0))</f>
        <v>CENT_AIR3</v>
      </c>
    </row>
    <row r="1532" spans="2:25" ht="14.25" customHeight="1" x14ac:dyDescent="0.2">
      <c r="B1532" s="49">
        <v>9</v>
      </c>
      <c r="C1532" s="49">
        <v>2</v>
      </c>
      <c r="D1532" s="49">
        <v>3</v>
      </c>
      <c r="E1532" s="49">
        <v>8</v>
      </c>
      <c r="F1532" s="49">
        <v>2</v>
      </c>
      <c r="G1532" s="49">
        <v>7</v>
      </c>
      <c r="H1532" s="49">
        <v>2023</v>
      </c>
      <c r="I1532" s="49">
        <v>2032</v>
      </c>
      <c r="J1532" s="50">
        <v>1.07</v>
      </c>
      <c r="K1532" s="50">
        <v>1.0541</v>
      </c>
      <c r="L1532" s="50">
        <v>1.0063</v>
      </c>
      <c r="M1532" s="50">
        <v>1.2</v>
      </c>
      <c r="N1532" s="50">
        <v>1.4438</v>
      </c>
      <c r="O1532" s="50">
        <v>1.0538000000000001</v>
      </c>
      <c r="P1532" s="49">
        <v>2550</v>
      </c>
      <c r="Q1532" s="51">
        <f t="array" ref="Q1532">SUM(IF(($S1532&gt;=4)*($C1532='TaxCred&amp;Subs'!$D$123:$D$127)*($H1532='TaxCred&amp;Subs'!$C$123:$C$127)*($H1532&lt;='TaxCred&amp;Subs'!$C$129),'TaxCred&amp;Subs'!$E$123:$E$127,0))</f>
        <v>500</v>
      </c>
      <c r="R1532" s="171">
        <v>0</v>
      </c>
      <c r="S1532" s="49">
        <v>4</v>
      </c>
      <c r="T1532" s="49" t="s">
        <v>248</v>
      </c>
      <c r="V1532" s="153" t="str">
        <f t="array" ref="V1532">INDEX(xlRTCLNAME,MATCH(1,(xlRTCLENDU=1)*(xlRTCLEQCL=$D1532),0))</f>
        <v>NG_FA</v>
      </c>
      <c r="W1532" s="153" t="str">
        <f t="array" ref="W1532">INDEX(xlRTCLNAME,MATCH(1,(xlRTCLENDU=2)*(xlRTCLEQCL=$F1532),0))</f>
        <v>CENT_AIR</v>
      </c>
      <c r="X1532" s="153" t="str">
        <f t="array" ref="X1532">INDEX(xlRTTYNAME,MATCH(1,(xlRTTYENDU=1)*(xlRTTYEQCL=$D1532)*(xlRTEQTYPE=$E1532),0))</f>
        <v>NG_FA3</v>
      </c>
      <c r="Y1532" s="153" t="str">
        <f t="array" ref="Y1532">INDEX(xlRTTYNAME,MATCH(1,(xlRTTYENDU=2)*(xlRTTYEQCL=$F1532)*(xlRTEQTYPE=$G1532),0))</f>
        <v>CENT_AIR3</v>
      </c>
    </row>
    <row r="1533" spans="2:25" ht="14.25" customHeight="1" x14ac:dyDescent="0.2">
      <c r="B1533" s="49">
        <v>9</v>
      </c>
      <c r="C1533" s="49">
        <v>2</v>
      </c>
      <c r="D1533" s="49">
        <v>3</v>
      </c>
      <c r="E1533" s="49">
        <v>8</v>
      </c>
      <c r="F1533" s="49">
        <v>2</v>
      </c>
      <c r="G1533" s="49">
        <v>7</v>
      </c>
      <c r="H1533" s="49">
        <v>2033</v>
      </c>
      <c r="I1533" s="49">
        <v>2050</v>
      </c>
      <c r="J1533" s="50">
        <v>1.07</v>
      </c>
      <c r="K1533" s="50">
        <v>1.0541</v>
      </c>
      <c r="L1533" s="50">
        <v>1.0063</v>
      </c>
      <c r="M1533" s="50">
        <v>1.2</v>
      </c>
      <c r="N1533" s="50">
        <v>1.4438</v>
      </c>
      <c r="O1533" s="50">
        <v>1.0538000000000001</v>
      </c>
      <c r="P1533" s="49">
        <v>2550</v>
      </c>
      <c r="Q1533" s="51">
        <f t="array" ref="Q1533">SUM(IF(($S1533&gt;=4)*($C1533='TaxCred&amp;Subs'!$D$123:$D$127)*($H1533='TaxCred&amp;Subs'!$C$123:$C$127)*($H1533&lt;='TaxCred&amp;Subs'!$C$129),'TaxCred&amp;Subs'!$E$123:$E$127,0))</f>
        <v>0</v>
      </c>
      <c r="R1533" s="171">
        <v>0</v>
      </c>
      <c r="S1533" s="49">
        <v>4</v>
      </c>
      <c r="T1533" s="49" t="s">
        <v>248</v>
      </c>
      <c r="V1533" s="153" t="str">
        <f t="array" ref="V1533">INDEX(xlRTCLNAME,MATCH(1,(xlRTCLENDU=1)*(xlRTCLEQCL=$D1533),0))</f>
        <v>NG_FA</v>
      </c>
      <c r="W1533" s="153" t="str">
        <f t="array" ref="W1533">INDEX(xlRTCLNAME,MATCH(1,(xlRTCLENDU=2)*(xlRTCLEQCL=$F1533),0))</f>
        <v>CENT_AIR</v>
      </c>
      <c r="X1533" s="153" t="str">
        <f t="array" ref="X1533">INDEX(xlRTTYNAME,MATCH(1,(xlRTTYENDU=1)*(xlRTTYEQCL=$D1533)*(xlRTEQTYPE=$E1533),0))</f>
        <v>NG_FA3</v>
      </c>
      <c r="Y1533" s="153" t="str">
        <f t="array" ref="Y1533">INDEX(xlRTTYNAME,MATCH(1,(xlRTTYENDU=2)*(xlRTTYEQCL=$F1533)*(xlRTEQTYPE=$G1533),0))</f>
        <v>CENT_AIR3</v>
      </c>
    </row>
    <row r="1534" spans="2:25" ht="14.25" customHeight="1" x14ac:dyDescent="0.2">
      <c r="B1534" s="126">
        <v>1</v>
      </c>
      <c r="C1534" s="126">
        <v>2</v>
      </c>
      <c r="D1534" s="126">
        <v>4</v>
      </c>
      <c r="E1534" s="126">
        <v>12</v>
      </c>
      <c r="F1534" s="126">
        <v>2</v>
      </c>
      <c r="G1534" s="126">
        <v>7</v>
      </c>
      <c r="H1534" s="126">
        <v>2016</v>
      </c>
      <c r="I1534" s="159">
        <v>2022</v>
      </c>
      <c r="J1534" s="127">
        <v>1.0864</v>
      </c>
      <c r="K1534" s="127">
        <v>1.0417000000000001</v>
      </c>
      <c r="L1534" s="127">
        <v>0.90900000000000003</v>
      </c>
      <c r="M1534" s="127">
        <v>1.1455</v>
      </c>
      <c r="N1534" s="127">
        <v>1.1156999999999999</v>
      </c>
      <c r="O1534" s="127">
        <v>1.0538000000000001</v>
      </c>
      <c r="P1534" s="126">
        <v>3526</v>
      </c>
      <c r="Q1534" s="128">
        <f t="array" ref="Q1534">SUM(IF(($S1534&gt;=4)*($C1534='TaxCred&amp;Subs'!$D$123:$D$127)*($H1534='TaxCred&amp;Subs'!$C$123:$C$127)*($H1534&lt;='TaxCred&amp;Subs'!$C$129),'TaxCred&amp;Subs'!$E$123:$E$127,0))</f>
        <v>0</v>
      </c>
      <c r="R1534" s="174">
        <v>0</v>
      </c>
      <c r="S1534" s="126">
        <v>4</v>
      </c>
      <c r="T1534" s="126" t="s">
        <v>248</v>
      </c>
      <c r="V1534" s="153" t="str">
        <f t="array" ref="V1534">INDEX(xlRTCLNAME,MATCH(1,(xlRTCLENDU=1)*(xlRTCLEQCL=$D1534),0))</f>
        <v>NG_RAD</v>
      </c>
      <c r="W1534" s="153" t="str">
        <f t="array" ref="W1534">INDEX(xlRTCLNAME,MATCH(1,(xlRTCLENDU=2)*(xlRTCLEQCL=$F1534),0))</f>
        <v>CENT_AIR</v>
      </c>
      <c r="X1534" s="153" t="str">
        <f t="array" ref="X1534">INDEX(xlRTTYNAME,MATCH(1,(xlRTTYENDU=1)*(xlRTTYEQCL=$D1534)*(xlRTEQTYPE=$E1534),0))</f>
        <v>NG_RAD3</v>
      </c>
      <c r="Y1534" s="153" t="str">
        <f t="array" ref="Y1534">INDEX(xlRTTYNAME,MATCH(1,(xlRTTYENDU=2)*(xlRTTYEQCL=$F1534)*(xlRTEQTYPE=$G1534),0))</f>
        <v>CENT_AIR3</v>
      </c>
    </row>
    <row r="1535" spans="2:25" ht="14.25" customHeight="1" x14ac:dyDescent="0.2">
      <c r="B1535" s="49">
        <v>1</v>
      </c>
      <c r="C1535" s="49">
        <v>2</v>
      </c>
      <c r="D1535" s="49">
        <v>4</v>
      </c>
      <c r="E1535" s="49">
        <v>12</v>
      </c>
      <c r="F1535" s="49">
        <v>2</v>
      </c>
      <c r="G1535" s="49">
        <v>7</v>
      </c>
      <c r="H1535" s="49">
        <v>2023</v>
      </c>
      <c r="I1535" s="49">
        <v>2032</v>
      </c>
      <c r="J1535" s="50">
        <v>1.0864</v>
      </c>
      <c r="K1535" s="50">
        <v>1.0417000000000001</v>
      </c>
      <c r="L1535" s="50">
        <v>0.90900000000000003</v>
      </c>
      <c r="M1535" s="50">
        <v>1.1455</v>
      </c>
      <c r="N1535" s="50">
        <v>1.1156999999999999</v>
      </c>
      <c r="O1535" s="50">
        <v>1.0538000000000001</v>
      </c>
      <c r="P1535" s="49">
        <v>3526</v>
      </c>
      <c r="Q1535" s="51">
        <f t="array" ref="Q1535">SUM(IF(($S1535&gt;=4)*($C1535='TaxCred&amp;Subs'!$D$123:$D$127)*($H1535='TaxCred&amp;Subs'!$C$123:$C$127)*($H1535&lt;='TaxCred&amp;Subs'!$C$129),'TaxCred&amp;Subs'!$E$123:$E$127,0))</f>
        <v>500</v>
      </c>
      <c r="R1535" s="171">
        <v>0</v>
      </c>
      <c r="S1535" s="49">
        <v>4</v>
      </c>
      <c r="T1535" s="49" t="s">
        <v>248</v>
      </c>
      <c r="V1535" s="153" t="str">
        <f t="array" ref="V1535">INDEX(xlRTCLNAME,MATCH(1,(xlRTCLENDU=1)*(xlRTCLEQCL=$D1535),0))</f>
        <v>NG_RAD</v>
      </c>
      <c r="W1535" s="153" t="str">
        <f t="array" ref="W1535">INDEX(xlRTCLNAME,MATCH(1,(xlRTCLENDU=2)*(xlRTCLEQCL=$F1535),0))</f>
        <v>CENT_AIR</v>
      </c>
      <c r="X1535" s="153" t="str">
        <f t="array" ref="X1535">INDEX(xlRTTYNAME,MATCH(1,(xlRTTYENDU=1)*(xlRTTYEQCL=$D1535)*(xlRTEQTYPE=$E1535),0))</f>
        <v>NG_RAD3</v>
      </c>
      <c r="Y1535" s="153" t="str">
        <f t="array" ref="Y1535">INDEX(xlRTTYNAME,MATCH(1,(xlRTTYENDU=2)*(xlRTTYEQCL=$F1535)*(xlRTEQTYPE=$G1535),0))</f>
        <v>CENT_AIR3</v>
      </c>
    </row>
    <row r="1536" spans="2:25" ht="14.25" customHeight="1" x14ac:dyDescent="0.2">
      <c r="B1536" s="49">
        <v>1</v>
      </c>
      <c r="C1536" s="49">
        <v>2</v>
      </c>
      <c r="D1536" s="49">
        <v>4</v>
      </c>
      <c r="E1536" s="49">
        <v>12</v>
      </c>
      <c r="F1536" s="49">
        <v>2</v>
      </c>
      <c r="G1536" s="49">
        <v>7</v>
      </c>
      <c r="H1536" s="49">
        <v>2033</v>
      </c>
      <c r="I1536" s="49">
        <v>2050</v>
      </c>
      <c r="J1536" s="50">
        <v>1.0864</v>
      </c>
      <c r="K1536" s="50">
        <v>1.0417000000000001</v>
      </c>
      <c r="L1536" s="50">
        <v>0.90900000000000003</v>
      </c>
      <c r="M1536" s="50">
        <v>1.1455</v>
      </c>
      <c r="N1536" s="50">
        <v>1.1156999999999999</v>
      </c>
      <c r="O1536" s="50">
        <v>1.0538000000000001</v>
      </c>
      <c r="P1536" s="49">
        <v>3526</v>
      </c>
      <c r="Q1536" s="51">
        <f t="array" ref="Q1536">SUM(IF(($S1536&gt;=4)*($C1536='TaxCred&amp;Subs'!$D$123:$D$127)*($H1536='TaxCred&amp;Subs'!$C$123:$C$127)*($H1536&lt;='TaxCred&amp;Subs'!$C$129),'TaxCred&amp;Subs'!$E$123:$E$127,0))</f>
        <v>0</v>
      </c>
      <c r="R1536" s="171">
        <v>0</v>
      </c>
      <c r="S1536" s="49">
        <v>4</v>
      </c>
      <c r="T1536" s="49" t="s">
        <v>248</v>
      </c>
      <c r="V1536" s="153" t="str">
        <f t="array" ref="V1536">INDEX(xlRTCLNAME,MATCH(1,(xlRTCLENDU=1)*(xlRTCLEQCL=$D1536),0))</f>
        <v>NG_RAD</v>
      </c>
      <c r="W1536" s="153" t="str">
        <f t="array" ref="W1536">INDEX(xlRTCLNAME,MATCH(1,(xlRTCLENDU=2)*(xlRTCLEQCL=$F1536),0))</f>
        <v>CENT_AIR</v>
      </c>
      <c r="X1536" s="153" t="str">
        <f t="array" ref="X1536">INDEX(xlRTTYNAME,MATCH(1,(xlRTTYENDU=1)*(xlRTTYEQCL=$D1536)*(xlRTEQTYPE=$E1536),0))</f>
        <v>NG_RAD3</v>
      </c>
      <c r="Y1536" s="153" t="str">
        <f t="array" ref="Y1536">INDEX(xlRTTYNAME,MATCH(1,(xlRTTYENDU=2)*(xlRTTYEQCL=$F1536)*(xlRTEQTYPE=$G1536),0))</f>
        <v>CENT_AIR3</v>
      </c>
    </row>
    <row r="1537" spans="2:25" ht="14.25" customHeight="1" x14ac:dyDescent="0.2">
      <c r="B1537" s="126">
        <v>2</v>
      </c>
      <c r="C1537" s="126">
        <v>2</v>
      </c>
      <c r="D1537" s="126">
        <v>4</v>
      </c>
      <c r="E1537" s="126">
        <v>12</v>
      </c>
      <c r="F1537" s="126">
        <v>2</v>
      </c>
      <c r="G1537" s="126">
        <v>7</v>
      </c>
      <c r="H1537" s="126">
        <v>2016</v>
      </c>
      <c r="I1537" s="159">
        <v>2022</v>
      </c>
      <c r="J1537" s="127">
        <v>1.0891</v>
      </c>
      <c r="K1537" s="127">
        <v>1.0713999999999999</v>
      </c>
      <c r="L1537" s="127">
        <v>0.97260000000000002</v>
      </c>
      <c r="M1537" s="127">
        <v>1.1625000000000001</v>
      </c>
      <c r="N1537" s="127">
        <v>1.1254999999999999</v>
      </c>
      <c r="O1537" s="127">
        <v>1.0538000000000001</v>
      </c>
      <c r="P1537" s="126">
        <v>2702</v>
      </c>
      <c r="Q1537" s="128">
        <f t="array" ref="Q1537">SUM(IF(($S1537&gt;=4)*($C1537='TaxCred&amp;Subs'!$D$123:$D$127)*($H1537='TaxCred&amp;Subs'!$C$123:$C$127)*($H1537&lt;='TaxCred&amp;Subs'!$C$129),'TaxCred&amp;Subs'!$E$123:$E$127,0))</f>
        <v>0</v>
      </c>
      <c r="R1537" s="174">
        <v>0</v>
      </c>
      <c r="S1537" s="126">
        <v>4</v>
      </c>
      <c r="T1537" s="126" t="s">
        <v>248</v>
      </c>
      <c r="V1537" s="153" t="str">
        <f t="array" ref="V1537">INDEX(xlRTCLNAME,MATCH(1,(xlRTCLENDU=1)*(xlRTCLEQCL=$D1537),0))</f>
        <v>NG_RAD</v>
      </c>
      <c r="W1537" s="153" t="str">
        <f t="array" ref="W1537">INDEX(xlRTCLNAME,MATCH(1,(xlRTCLENDU=2)*(xlRTCLEQCL=$F1537),0))</f>
        <v>CENT_AIR</v>
      </c>
      <c r="X1537" s="153" t="str">
        <f t="array" ref="X1537">INDEX(xlRTTYNAME,MATCH(1,(xlRTTYENDU=1)*(xlRTTYEQCL=$D1537)*(xlRTEQTYPE=$E1537),0))</f>
        <v>NG_RAD3</v>
      </c>
      <c r="Y1537" s="153" t="str">
        <f t="array" ref="Y1537">INDEX(xlRTTYNAME,MATCH(1,(xlRTTYENDU=2)*(xlRTTYEQCL=$F1537)*(xlRTEQTYPE=$G1537),0))</f>
        <v>CENT_AIR3</v>
      </c>
    </row>
    <row r="1538" spans="2:25" ht="14.25" customHeight="1" x14ac:dyDescent="0.2">
      <c r="B1538" s="49">
        <v>2</v>
      </c>
      <c r="C1538" s="49">
        <v>2</v>
      </c>
      <c r="D1538" s="49">
        <v>4</v>
      </c>
      <c r="E1538" s="49">
        <v>12</v>
      </c>
      <c r="F1538" s="49">
        <v>2</v>
      </c>
      <c r="G1538" s="49">
        <v>7</v>
      </c>
      <c r="H1538" s="49">
        <v>2023</v>
      </c>
      <c r="I1538" s="49">
        <v>2032</v>
      </c>
      <c r="J1538" s="50">
        <v>1.0891</v>
      </c>
      <c r="K1538" s="50">
        <v>1.0713999999999999</v>
      </c>
      <c r="L1538" s="50">
        <v>0.97260000000000002</v>
      </c>
      <c r="M1538" s="50">
        <v>1.1625000000000001</v>
      </c>
      <c r="N1538" s="50">
        <v>1.1254999999999999</v>
      </c>
      <c r="O1538" s="50">
        <v>1.0538000000000001</v>
      </c>
      <c r="P1538" s="49">
        <v>2702</v>
      </c>
      <c r="Q1538" s="51">
        <f t="array" ref="Q1538">SUM(IF(($S1538&gt;=4)*($C1538='TaxCred&amp;Subs'!$D$123:$D$127)*($H1538='TaxCred&amp;Subs'!$C$123:$C$127)*($H1538&lt;='TaxCred&amp;Subs'!$C$129),'TaxCred&amp;Subs'!$E$123:$E$127,0))</f>
        <v>500</v>
      </c>
      <c r="R1538" s="171">
        <v>0</v>
      </c>
      <c r="S1538" s="49">
        <v>4</v>
      </c>
      <c r="T1538" s="49" t="s">
        <v>248</v>
      </c>
      <c r="V1538" s="153" t="str">
        <f t="array" ref="V1538">INDEX(xlRTCLNAME,MATCH(1,(xlRTCLENDU=1)*(xlRTCLEQCL=$D1538),0))</f>
        <v>NG_RAD</v>
      </c>
      <c r="W1538" s="153" t="str">
        <f t="array" ref="W1538">INDEX(xlRTCLNAME,MATCH(1,(xlRTCLENDU=2)*(xlRTCLEQCL=$F1538),0))</f>
        <v>CENT_AIR</v>
      </c>
      <c r="X1538" s="153" t="str">
        <f t="array" ref="X1538">INDEX(xlRTTYNAME,MATCH(1,(xlRTTYENDU=1)*(xlRTTYEQCL=$D1538)*(xlRTEQTYPE=$E1538),0))</f>
        <v>NG_RAD3</v>
      </c>
      <c r="Y1538" s="153" t="str">
        <f t="array" ref="Y1538">INDEX(xlRTTYNAME,MATCH(1,(xlRTTYENDU=2)*(xlRTTYEQCL=$F1538)*(xlRTEQTYPE=$G1538),0))</f>
        <v>CENT_AIR3</v>
      </c>
    </row>
    <row r="1539" spans="2:25" ht="14.25" customHeight="1" x14ac:dyDescent="0.2">
      <c r="B1539" s="49">
        <v>2</v>
      </c>
      <c r="C1539" s="49">
        <v>2</v>
      </c>
      <c r="D1539" s="49">
        <v>4</v>
      </c>
      <c r="E1539" s="49">
        <v>12</v>
      </c>
      <c r="F1539" s="49">
        <v>2</v>
      </c>
      <c r="G1539" s="49">
        <v>7</v>
      </c>
      <c r="H1539" s="49">
        <v>2033</v>
      </c>
      <c r="I1539" s="49">
        <v>2050</v>
      </c>
      <c r="J1539" s="50">
        <v>1.0891</v>
      </c>
      <c r="K1539" s="50">
        <v>1.0713999999999999</v>
      </c>
      <c r="L1539" s="50">
        <v>0.97260000000000002</v>
      </c>
      <c r="M1539" s="50">
        <v>1.1625000000000001</v>
      </c>
      <c r="N1539" s="50">
        <v>1.1254999999999999</v>
      </c>
      <c r="O1539" s="50">
        <v>1.0538000000000001</v>
      </c>
      <c r="P1539" s="49">
        <v>2702</v>
      </c>
      <c r="Q1539" s="51">
        <f t="array" ref="Q1539">SUM(IF(($S1539&gt;=4)*($C1539='TaxCred&amp;Subs'!$D$123:$D$127)*($H1539='TaxCred&amp;Subs'!$C$123:$C$127)*($H1539&lt;='TaxCred&amp;Subs'!$C$129),'TaxCred&amp;Subs'!$E$123:$E$127,0))</f>
        <v>0</v>
      </c>
      <c r="R1539" s="171">
        <v>0</v>
      </c>
      <c r="S1539" s="49">
        <v>4</v>
      </c>
      <c r="T1539" s="49" t="s">
        <v>248</v>
      </c>
      <c r="V1539" s="153" t="str">
        <f t="array" ref="V1539">INDEX(xlRTCLNAME,MATCH(1,(xlRTCLENDU=1)*(xlRTCLEQCL=$D1539),0))</f>
        <v>NG_RAD</v>
      </c>
      <c r="W1539" s="153" t="str">
        <f t="array" ref="W1539">INDEX(xlRTCLNAME,MATCH(1,(xlRTCLENDU=2)*(xlRTCLEQCL=$F1539),0))</f>
        <v>CENT_AIR</v>
      </c>
      <c r="X1539" s="153" t="str">
        <f t="array" ref="X1539">INDEX(xlRTTYNAME,MATCH(1,(xlRTTYENDU=1)*(xlRTTYEQCL=$D1539)*(xlRTEQTYPE=$E1539),0))</f>
        <v>NG_RAD3</v>
      </c>
      <c r="Y1539" s="153" t="str">
        <f t="array" ref="Y1539">INDEX(xlRTTYNAME,MATCH(1,(xlRTTYENDU=2)*(xlRTTYEQCL=$F1539)*(xlRTEQTYPE=$G1539),0))</f>
        <v>CENT_AIR3</v>
      </c>
    </row>
    <row r="1540" spans="2:25" ht="14.25" customHeight="1" x14ac:dyDescent="0.2">
      <c r="B1540" s="126">
        <v>3</v>
      </c>
      <c r="C1540" s="126">
        <v>2</v>
      </c>
      <c r="D1540" s="126">
        <v>4</v>
      </c>
      <c r="E1540" s="126">
        <v>12</v>
      </c>
      <c r="F1540" s="126">
        <v>2</v>
      </c>
      <c r="G1540" s="126">
        <v>7</v>
      </c>
      <c r="H1540" s="126">
        <v>2016</v>
      </c>
      <c r="I1540" s="159">
        <v>2022</v>
      </c>
      <c r="J1540" s="127">
        <v>1.0962000000000001</v>
      </c>
      <c r="K1540" s="127">
        <v>1.0345</v>
      </c>
      <c r="L1540" s="127">
        <v>0.81979999999999997</v>
      </c>
      <c r="M1540" s="127">
        <v>1.0828</v>
      </c>
      <c r="N1540" s="127">
        <v>1.0417000000000001</v>
      </c>
      <c r="O1540" s="127">
        <v>1.0538000000000001</v>
      </c>
      <c r="P1540" s="126">
        <v>3003</v>
      </c>
      <c r="Q1540" s="128">
        <f t="array" ref="Q1540">SUM(IF(($S1540&gt;=4)*($C1540='TaxCred&amp;Subs'!$D$123:$D$127)*($H1540='TaxCred&amp;Subs'!$C$123:$C$127)*($H1540&lt;='TaxCred&amp;Subs'!$C$129),'TaxCred&amp;Subs'!$E$123:$E$127,0))</f>
        <v>0</v>
      </c>
      <c r="R1540" s="174">
        <v>0</v>
      </c>
      <c r="S1540" s="126">
        <v>4</v>
      </c>
      <c r="T1540" s="126" t="s">
        <v>248</v>
      </c>
      <c r="V1540" s="153" t="str">
        <f t="array" ref="V1540">INDEX(xlRTCLNAME,MATCH(1,(xlRTCLENDU=1)*(xlRTCLEQCL=$D1540),0))</f>
        <v>NG_RAD</v>
      </c>
      <c r="W1540" s="153" t="str">
        <f t="array" ref="W1540">INDEX(xlRTCLNAME,MATCH(1,(xlRTCLENDU=2)*(xlRTCLEQCL=$F1540),0))</f>
        <v>CENT_AIR</v>
      </c>
      <c r="X1540" s="153" t="str">
        <f t="array" ref="X1540">INDEX(xlRTTYNAME,MATCH(1,(xlRTTYENDU=1)*(xlRTTYEQCL=$D1540)*(xlRTEQTYPE=$E1540),0))</f>
        <v>NG_RAD3</v>
      </c>
      <c r="Y1540" s="153" t="str">
        <f t="array" ref="Y1540">INDEX(xlRTTYNAME,MATCH(1,(xlRTTYENDU=2)*(xlRTTYEQCL=$F1540)*(xlRTEQTYPE=$G1540),0))</f>
        <v>CENT_AIR3</v>
      </c>
    </row>
    <row r="1541" spans="2:25" ht="14.25" customHeight="1" x14ac:dyDescent="0.2">
      <c r="B1541" s="49">
        <v>3</v>
      </c>
      <c r="C1541" s="49">
        <v>2</v>
      </c>
      <c r="D1541" s="49">
        <v>4</v>
      </c>
      <c r="E1541" s="49">
        <v>12</v>
      </c>
      <c r="F1541" s="49">
        <v>2</v>
      </c>
      <c r="G1541" s="49">
        <v>7</v>
      </c>
      <c r="H1541" s="49">
        <v>2023</v>
      </c>
      <c r="I1541" s="49">
        <v>2032</v>
      </c>
      <c r="J1541" s="50">
        <v>1.0962000000000001</v>
      </c>
      <c r="K1541" s="50">
        <v>1.0345</v>
      </c>
      <c r="L1541" s="50">
        <v>0.81979999999999997</v>
      </c>
      <c r="M1541" s="50">
        <v>1.0828</v>
      </c>
      <c r="N1541" s="50">
        <v>1.0417000000000001</v>
      </c>
      <c r="O1541" s="50">
        <v>1.0538000000000001</v>
      </c>
      <c r="P1541" s="49">
        <v>3003</v>
      </c>
      <c r="Q1541" s="51">
        <f t="array" ref="Q1541">SUM(IF(($S1541&gt;=4)*($C1541='TaxCred&amp;Subs'!$D$123:$D$127)*($H1541='TaxCred&amp;Subs'!$C$123:$C$127)*($H1541&lt;='TaxCred&amp;Subs'!$C$129),'TaxCred&amp;Subs'!$E$123:$E$127,0))</f>
        <v>500</v>
      </c>
      <c r="R1541" s="171">
        <v>0</v>
      </c>
      <c r="S1541" s="49">
        <v>4</v>
      </c>
      <c r="T1541" s="49" t="s">
        <v>248</v>
      </c>
      <c r="V1541" s="153" t="str">
        <f t="array" ref="V1541">INDEX(xlRTCLNAME,MATCH(1,(xlRTCLENDU=1)*(xlRTCLEQCL=$D1541),0))</f>
        <v>NG_RAD</v>
      </c>
      <c r="W1541" s="153" t="str">
        <f t="array" ref="W1541">INDEX(xlRTCLNAME,MATCH(1,(xlRTCLENDU=2)*(xlRTCLEQCL=$F1541),0))</f>
        <v>CENT_AIR</v>
      </c>
      <c r="X1541" s="153" t="str">
        <f t="array" ref="X1541">INDEX(xlRTTYNAME,MATCH(1,(xlRTTYENDU=1)*(xlRTTYEQCL=$D1541)*(xlRTEQTYPE=$E1541),0))</f>
        <v>NG_RAD3</v>
      </c>
      <c r="Y1541" s="153" t="str">
        <f t="array" ref="Y1541">INDEX(xlRTTYNAME,MATCH(1,(xlRTTYENDU=2)*(xlRTTYEQCL=$F1541)*(xlRTEQTYPE=$G1541),0))</f>
        <v>CENT_AIR3</v>
      </c>
    </row>
    <row r="1542" spans="2:25" ht="14.25" customHeight="1" x14ac:dyDescent="0.2">
      <c r="B1542" s="49">
        <v>3</v>
      </c>
      <c r="C1542" s="49">
        <v>2</v>
      </c>
      <c r="D1542" s="49">
        <v>4</v>
      </c>
      <c r="E1542" s="49">
        <v>12</v>
      </c>
      <c r="F1542" s="49">
        <v>2</v>
      </c>
      <c r="G1542" s="49">
        <v>7</v>
      </c>
      <c r="H1542" s="49">
        <v>2033</v>
      </c>
      <c r="I1542" s="49">
        <v>2050</v>
      </c>
      <c r="J1542" s="50">
        <v>1.0962000000000001</v>
      </c>
      <c r="K1542" s="50">
        <v>1.0345</v>
      </c>
      <c r="L1542" s="50">
        <v>0.81979999999999997</v>
      </c>
      <c r="M1542" s="50">
        <v>1.0828</v>
      </c>
      <c r="N1542" s="50">
        <v>1.0417000000000001</v>
      </c>
      <c r="O1542" s="50">
        <v>1.0538000000000001</v>
      </c>
      <c r="P1542" s="49">
        <v>3003</v>
      </c>
      <c r="Q1542" s="51">
        <f t="array" ref="Q1542">SUM(IF(($S1542&gt;=4)*($C1542='TaxCred&amp;Subs'!$D$123:$D$127)*($H1542='TaxCred&amp;Subs'!$C$123:$C$127)*($H1542&lt;='TaxCred&amp;Subs'!$C$129),'TaxCred&amp;Subs'!$E$123:$E$127,0))</f>
        <v>0</v>
      </c>
      <c r="R1542" s="171">
        <v>0</v>
      </c>
      <c r="S1542" s="49">
        <v>4</v>
      </c>
      <c r="T1542" s="49" t="s">
        <v>248</v>
      </c>
      <c r="V1542" s="153" t="str">
        <f t="array" ref="V1542">INDEX(xlRTCLNAME,MATCH(1,(xlRTCLENDU=1)*(xlRTCLEQCL=$D1542),0))</f>
        <v>NG_RAD</v>
      </c>
      <c r="W1542" s="153" t="str">
        <f t="array" ref="W1542">INDEX(xlRTCLNAME,MATCH(1,(xlRTCLENDU=2)*(xlRTCLEQCL=$F1542),0))</f>
        <v>CENT_AIR</v>
      </c>
      <c r="X1542" s="153" t="str">
        <f t="array" ref="X1542">INDEX(xlRTTYNAME,MATCH(1,(xlRTTYENDU=1)*(xlRTTYEQCL=$D1542)*(xlRTEQTYPE=$E1542),0))</f>
        <v>NG_RAD3</v>
      </c>
      <c r="Y1542" s="153" t="str">
        <f t="array" ref="Y1542">INDEX(xlRTTYNAME,MATCH(1,(xlRTTYENDU=2)*(xlRTTYEQCL=$F1542)*(xlRTEQTYPE=$G1542),0))</f>
        <v>CENT_AIR3</v>
      </c>
    </row>
    <row r="1543" spans="2:25" ht="14.25" customHeight="1" x14ac:dyDescent="0.2">
      <c r="B1543" s="126">
        <v>4</v>
      </c>
      <c r="C1543" s="126">
        <v>2</v>
      </c>
      <c r="D1543" s="126">
        <v>4</v>
      </c>
      <c r="E1543" s="126">
        <v>12</v>
      </c>
      <c r="F1543" s="126">
        <v>2</v>
      </c>
      <c r="G1543" s="126">
        <v>7</v>
      </c>
      <c r="H1543" s="126">
        <v>2016</v>
      </c>
      <c r="I1543" s="159">
        <v>2022</v>
      </c>
      <c r="J1543" s="127">
        <v>1.1024</v>
      </c>
      <c r="K1543" s="127">
        <v>1.0435000000000001</v>
      </c>
      <c r="L1543" s="127">
        <v>0.99209999999999998</v>
      </c>
      <c r="M1543" s="127">
        <v>1.1499999999999999</v>
      </c>
      <c r="N1543" s="127">
        <v>1.1678999999999999</v>
      </c>
      <c r="O1543" s="127">
        <v>1.0538000000000001</v>
      </c>
      <c r="P1543" s="126">
        <v>2369</v>
      </c>
      <c r="Q1543" s="128">
        <f t="array" ref="Q1543">SUM(IF(($S1543&gt;=4)*($C1543='TaxCred&amp;Subs'!$D$123:$D$127)*($H1543='TaxCred&amp;Subs'!$C$123:$C$127)*($H1543&lt;='TaxCred&amp;Subs'!$C$129),'TaxCred&amp;Subs'!$E$123:$E$127,0))</f>
        <v>0</v>
      </c>
      <c r="R1543" s="174">
        <v>0</v>
      </c>
      <c r="S1543" s="126">
        <v>4</v>
      </c>
      <c r="T1543" s="126" t="s">
        <v>248</v>
      </c>
      <c r="V1543" s="153" t="str">
        <f t="array" ref="V1543">INDEX(xlRTCLNAME,MATCH(1,(xlRTCLENDU=1)*(xlRTCLEQCL=$D1543),0))</f>
        <v>NG_RAD</v>
      </c>
      <c r="W1543" s="153" t="str">
        <f t="array" ref="W1543">INDEX(xlRTCLNAME,MATCH(1,(xlRTCLENDU=2)*(xlRTCLEQCL=$F1543),0))</f>
        <v>CENT_AIR</v>
      </c>
      <c r="X1543" s="153" t="str">
        <f t="array" ref="X1543">INDEX(xlRTTYNAME,MATCH(1,(xlRTTYENDU=1)*(xlRTTYEQCL=$D1543)*(xlRTEQTYPE=$E1543),0))</f>
        <v>NG_RAD3</v>
      </c>
      <c r="Y1543" s="153" t="str">
        <f t="array" ref="Y1543">INDEX(xlRTTYNAME,MATCH(1,(xlRTTYENDU=2)*(xlRTTYEQCL=$F1543)*(xlRTEQTYPE=$G1543),0))</f>
        <v>CENT_AIR3</v>
      </c>
    </row>
    <row r="1544" spans="2:25" ht="14.25" customHeight="1" x14ac:dyDescent="0.2">
      <c r="B1544" s="49">
        <v>4</v>
      </c>
      <c r="C1544" s="49">
        <v>2</v>
      </c>
      <c r="D1544" s="49">
        <v>4</v>
      </c>
      <c r="E1544" s="49">
        <v>12</v>
      </c>
      <c r="F1544" s="49">
        <v>2</v>
      </c>
      <c r="G1544" s="49">
        <v>7</v>
      </c>
      <c r="H1544" s="49">
        <v>2023</v>
      </c>
      <c r="I1544" s="49">
        <v>2032</v>
      </c>
      <c r="J1544" s="50">
        <v>1.1024</v>
      </c>
      <c r="K1544" s="50">
        <v>1.0435000000000001</v>
      </c>
      <c r="L1544" s="50">
        <v>0.99209999999999998</v>
      </c>
      <c r="M1544" s="50">
        <v>1.1499999999999999</v>
      </c>
      <c r="N1544" s="50">
        <v>1.1678999999999999</v>
      </c>
      <c r="O1544" s="50">
        <v>1.0538000000000001</v>
      </c>
      <c r="P1544" s="49">
        <v>2369</v>
      </c>
      <c r="Q1544" s="51">
        <f t="array" ref="Q1544">SUM(IF(($S1544&gt;=4)*($C1544='TaxCred&amp;Subs'!$D$123:$D$127)*($H1544='TaxCred&amp;Subs'!$C$123:$C$127)*($H1544&lt;='TaxCred&amp;Subs'!$C$129),'TaxCred&amp;Subs'!$E$123:$E$127,0))</f>
        <v>500</v>
      </c>
      <c r="R1544" s="171">
        <v>0</v>
      </c>
      <c r="S1544" s="49">
        <v>4</v>
      </c>
      <c r="T1544" s="49" t="s">
        <v>248</v>
      </c>
      <c r="V1544" s="153" t="str">
        <f t="array" ref="V1544">INDEX(xlRTCLNAME,MATCH(1,(xlRTCLENDU=1)*(xlRTCLEQCL=$D1544),0))</f>
        <v>NG_RAD</v>
      </c>
      <c r="W1544" s="153" t="str">
        <f t="array" ref="W1544">INDEX(xlRTCLNAME,MATCH(1,(xlRTCLENDU=2)*(xlRTCLEQCL=$F1544),0))</f>
        <v>CENT_AIR</v>
      </c>
      <c r="X1544" s="153" t="str">
        <f t="array" ref="X1544">INDEX(xlRTTYNAME,MATCH(1,(xlRTTYENDU=1)*(xlRTTYEQCL=$D1544)*(xlRTEQTYPE=$E1544),0))</f>
        <v>NG_RAD3</v>
      </c>
      <c r="Y1544" s="153" t="str">
        <f t="array" ref="Y1544">INDEX(xlRTTYNAME,MATCH(1,(xlRTTYENDU=2)*(xlRTTYEQCL=$F1544)*(xlRTEQTYPE=$G1544),0))</f>
        <v>CENT_AIR3</v>
      </c>
    </row>
    <row r="1545" spans="2:25" ht="14.25" customHeight="1" x14ac:dyDescent="0.2">
      <c r="B1545" s="49">
        <v>4</v>
      </c>
      <c r="C1545" s="49">
        <v>2</v>
      </c>
      <c r="D1545" s="49">
        <v>4</v>
      </c>
      <c r="E1545" s="49">
        <v>12</v>
      </c>
      <c r="F1545" s="49">
        <v>2</v>
      </c>
      <c r="G1545" s="49">
        <v>7</v>
      </c>
      <c r="H1545" s="49">
        <v>2033</v>
      </c>
      <c r="I1545" s="49">
        <v>2050</v>
      </c>
      <c r="J1545" s="50">
        <v>1.1024</v>
      </c>
      <c r="K1545" s="50">
        <v>1.0435000000000001</v>
      </c>
      <c r="L1545" s="50">
        <v>0.99209999999999998</v>
      </c>
      <c r="M1545" s="50">
        <v>1.1499999999999999</v>
      </c>
      <c r="N1545" s="50">
        <v>1.1678999999999999</v>
      </c>
      <c r="O1545" s="50">
        <v>1.0538000000000001</v>
      </c>
      <c r="P1545" s="49">
        <v>2369</v>
      </c>
      <c r="Q1545" s="51">
        <f t="array" ref="Q1545">SUM(IF(($S1545&gt;=4)*($C1545='TaxCred&amp;Subs'!$D$123:$D$127)*($H1545='TaxCred&amp;Subs'!$C$123:$C$127)*($H1545&lt;='TaxCred&amp;Subs'!$C$129),'TaxCred&amp;Subs'!$E$123:$E$127,0))</f>
        <v>0</v>
      </c>
      <c r="R1545" s="171">
        <v>0</v>
      </c>
      <c r="S1545" s="49">
        <v>4</v>
      </c>
      <c r="T1545" s="49" t="s">
        <v>248</v>
      </c>
      <c r="V1545" s="153" t="str">
        <f t="array" ref="V1545">INDEX(xlRTCLNAME,MATCH(1,(xlRTCLENDU=1)*(xlRTCLEQCL=$D1545),0))</f>
        <v>NG_RAD</v>
      </c>
      <c r="W1545" s="153" t="str">
        <f t="array" ref="W1545">INDEX(xlRTCLNAME,MATCH(1,(xlRTCLENDU=2)*(xlRTCLEQCL=$F1545),0))</f>
        <v>CENT_AIR</v>
      </c>
      <c r="X1545" s="153" t="str">
        <f t="array" ref="X1545">INDEX(xlRTTYNAME,MATCH(1,(xlRTTYENDU=1)*(xlRTTYEQCL=$D1545)*(xlRTEQTYPE=$E1545),0))</f>
        <v>NG_RAD3</v>
      </c>
      <c r="Y1545" s="153" t="str">
        <f t="array" ref="Y1545">INDEX(xlRTTYNAME,MATCH(1,(xlRTTYENDU=2)*(xlRTTYEQCL=$F1545)*(xlRTEQTYPE=$G1545),0))</f>
        <v>CENT_AIR3</v>
      </c>
    </row>
    <row r="1546" spans="2:25" ht="14.25" customHeight="1" x14ac:dyDescent="0.2">
      <c r="B1546" s="126">
        <v>5</v>
      </c>
      <c r="C1546" s="126">
        <v>2</v>
      </c>
      <c r="D1546" s="126">
        <v>4</v>
      </c>
      <c r="E1546" s="126">
        <v>12</v>
      </c>
      <c r="F1546" s="126">
        <v>2</v>
      </c>
      <c r="G1546" s="126">
        <v>7</v>
      </c>
      <c r="H1546" s="126">
        <v>2016</v>
      </c>
      <c r="I1546" s="159">
        <v>2022</v>
      </c>
      <c r="J1546" s="127">
        <v>1.03</v>
      </c>
      <c r="K1546" s="127">
        <v>1.03</v>
      </c>
      <c r="L1546" s="127">
        <v>0.44379999999999997</v>
      </c>
      <c r="M1546" s="127">
        <v>1.0509999999999999</v>
      </c>
      <c r="N1546" s="127">
        <v>1.3003</v>
      </c>
      <c r="O1546" s="127">
        <v>1.0538000000000001</v>
      </c>
      <c r="P1546" s="126">
        <v>2185</v>
      </c>
      <c r="Q1546" s="128">
        <f t="array" ref="Q1546">SUM(IF(($S1546&gt;=4)*($C1546='TaxCred&amp;Subs'!$D$123:$D$127)*($H1546='TaxCred&amp;Subs'!$C$123:$C$127)*($H1546&lt;='TaxCred&amp;Subs'!$C$129),'TaxCred&amp;Subs'!$E$123:$E$127,0))</f>
        <v>0</v>
      </c>
      <c r="R1546" s="174">
        <v>0</v>
      </c>
      <c r="S1546" s="126">
        <v>4</v>
      </c>
      <c r="T1546" s="126" t="s">
        <v>248</v>
      </c>
      <c r="V1546" s="153" t="str">
        <f t="array" ref="V1546">INDEX(xlRTCLNAME,MATCH(1,(xlRTCLENDU=1)*(xlRTCLEQCL=$D1546),0))</f>
        <v>NG_RAD</v>
      </c>
      <c r="W1546" s="153" t="str">
        <f t="array" ref="W1546">INDEX(xlRTCLNAME,MATCH(1,(xlRTCLENDU=2)*(xlRTCLEQCL=$F1546),0))</f>
        <v>CENT_AIR</v>
      </c>
      <c r="X1546" s="153" t="str">
        <f t="array" ref="X1546">INDEX(xlRTTYNAME,MATCH(1,(xlRTTYENDU=1)*(xlRTTYEQCL=$D1546)*(xlRTEQTYPE=$E1546),0))</f>
        <v>NG_RAD3</v>
      </c>
      <c r="Y1546" s="153" t="str">
        <f t="array" ref="Y1546">INDEX(xlRTTYNAME,MATCH(1,(xlRTTYENDU=2)*(xlRTTYEQCL=$F1546)*(xlRTEQTYPE=$G1546),0))</f>
        <v>CENT_AIR3</v>
      </c>
    </row>
    <row r="1547" spans="2:25" ht="14.25" customHeight="1" x14ac:dyDescent="0.2">
      <c r="B1547" s="49">
        <v>5</v>
      </c>
      <c r="C1547" s="49">
        <v>2</v>
      </c>
      <c r="D1547" s="49">
        <v>4</v>
      </c>
      <c r="E1547" s="49">
        <v>12</v>
      </c>
      <c r="F1547" s="49">
        <v>2</v>
      </c>
      <c r="G1547" s="49">
        <v>7</v>
      </c>
      <c r="H1547" s="49">
        <v>2023</v>
      </c>
      <c r="I1547" s="49">
        <v>2032</v>
      </c>
      <c r="J1547" s="50">
        <v>1.03</v>
      </c>
      <c r="K1547" s="50">
        <v>1.03</v>
      </c>
      <c r="L1547" s="50">
        <v>0.44379999999999997</v>
      </c>
      <c r="M1547" s="50">
        <v>1.0509999999999999</v>
      </c>
      <c r="N1547" s="50">
        <v>1.3003</v>
      </c>
      <c r="O1547" s="50">
        <v>1.0538000000000001</v>
      </c>
      <c r="P1547" s="49">
        <v>2185</v>
      </c>
      <c r="Q1547" s="51">
        <f t="array" ref="Q1547">SUM(IF(($S1547&gt;=4)*($C1547='TaxCred&amp;Subs'!$D$123:$D$127)*($H1547='TaxCred&amp;Subs'!$C$123:$C$127)*($H1547&lt;='TaxCred&amp;Subs'!$C$129),'TaxCred&amp;Subs'!$E$123:$E$127,0))</f>
        <v>500</v>
      </c>
      <c r="R1547" s="171">
        <v>0</v>
      </c>
      <c r="S1547" s="49">
        <v>4</v>
      </c>
      <c r="T1547" s="49" t="s">
        <v>248</v>
      </c>
      <c r="V1547" s="153" t="str">
        <f t="array" ref="V1547">INDEX(xlRTCLNAME,MATCH(1,(xlRTCLENDU=1)*(xlRTCLEQCL=$D1547),0))</f>
        <v>NG_RAD</v>
      </c>
      <c r="W1547" s="153" t="str">
        <f t="array" ref="W1547">INDEX(xlRTCLNAME,MATCH(1,(xlRTCLENDU=2)*(xlRTCLEQCL=$F1547),0))</f>
        <v>CENT_AIR</v>
      </c>
      <c r="X1547" s="153" t="str">
        <f t="array" ref="X1547">INDEX(xlRTTYNAME,MATCH(1,(xlRTTYENDU=1)*(xlRTTYEQCL=$D1547)*(xlRTEQTYPE=$E1547),0))</f>
        <v>NG_RAD3</v>
      </c>
      <c r="Y1547" s="153" t="str">
        <f t="array" ref="Y1547">INDEX(xlRTTYNAME,MATCH(1,(xlRTTYENDU=2)*(xlRTTYEQCL=$F1547)*(xlRTEQTYPE=$G1547),0))</f>
        <v>CENT_AIR3</v>
      </c>
    </row>
    <row r="1548" spans="2:25" ht="14.25" customHeight="1" x14ac:dyDescent="0.2">
      <c r="B1548" s="49">
        <v>5</v>
      </c>
      <c r="C1548" s="49">
        <v>2</v>
      </c>
      <c r="D1548" s="49">
        <v>4</v>
      </c>
      <c r="E1548" s="49">
        <v>12</v>
      </c>
      <c r="F1548" s="49">
        <v>2</v>
      </c>
      <c r="G1548" s="49">
        <v>7</v>
      </c>
      <c r="H1548" s="49">
        <v>2033</v>
      </c>
      <c r="I1548" s="49">
        <v>2050</v>
      </c>
      <c r="J1548" s="50">
        <v>1.03</v>
      </c>
      <c r="K1548" s="50">
        <v>1.03</v>
      </c>
      <c r="L1548" s="50">
        <v>0.44379999999999997</v>
      </c>
      <c r="M1548" s="50">
        <v>1.0509999999999999</v>
      </c>
      <c r="N1548" s="50">
        <v>1.3003</v>
      </c>
      <c r="O1548" s="50">
        <v>1.0538000000000001</v>
      </c>
      <c r="P1548" s="49">
        <v>2185</v>
      </c>
      <c r="Q1548" s="51">
        <f t="array" ref="Q1548">SUM(IF(($S1548&gt;=4)*($C1548='TaxCred&amp;Subs'!$D$123:$D$127)*($H1548='TaxCred&amp;Subs'!$C$123:$C$127)*($H1548&lt;='TaxCred&amp;Subs'!$C$129),'TaxCred&amp;Subs'!$E$123:$E$127,0))</f>
        <v>0</v>
      </c>
      <c r="R1548" s="171">
        <v>0</v>
      </c>
      <c r="S1548" s="49">
        <v>4</v>
      </c>
      <c r="T1548" s="49" t="s">
        <v>248</v>
      </c>
      <c r="V1548" s="153" t="str">
        <f t="array" ref="V1548">INDEX(xlRTCLNAME,MATCH(1,(xlRTCLENDU=1)*(xlRTCLEQCL=$D1548),0))</f>
        <v>NG_RAD</v>
      </c>
      <c r="W1548" s="153" t="str">
        <f t="array" ref="W1548">INDEX(xlRTCLNAME,MATCH(1,(xlRTCLENDU=2)*(xlRTCLEQCL=$F1548),0))</f>
        <v>CENT_AIR</v>
      </c>
      <c r="X1548" s="153" t="str">
        <f t="array" ref="X1548">INDEX(xlRTTYNAME,MATCH(1,(xlRTTYENDU=1)*(xlRTTYEQCL=$D1548)*(xlRTEQTYPE=$E1548),0))</f>
        <v>NG_RAD3</v>
      </c>
      <c r="Y1548" s="153" t="str">
        <f t="array" ref="Y1548">INDEX(xlRTTYNAME,MATCH(1,(xlRTTYENDU=2)*(xlRTTYEQCL=$F1548)*(xlRTEQTYPE=$G1548),0))</f>
        <v>CENT_AIR3</v>
      </c>
    </row>
    <row r="1549" spans="2:25" ht="14.25" customHeight="1" x14ac:dyDescent="0.2">
      <c r="B1549" s="126">
        <v>6</v>
      </c>
      <c r="C1549" s="126">
        <v>2</v>
      </c>
      <c r="D1549" s="126">
        <v>4</v>
      </c>
      <c r="E1549" s="126">
        <v>12</v>
      </c>
      <c r="F1549" s="126">
        <v>2</v>
      </c>
      <c r="G1549" s="126">
        <v>7</v>
      </c>
      <c r="H1549" s="126">
        <v>2016</v>
      </c>
      <c r="I1549" s="159">
        <v>2022</v>
      </c>
      <c r="J1549" s="127">
        <v>1.1200000000000001</v>
      </c>
      <c r="K1549" s="127">
        <v>1.0417000000000001</v>
      </c>
      <c r="L1549" s="127">
        <v>1.1437999999999999</v>
      </c>
      <c r="M1549" s="127">
        <v>1.1228</v>
      </c>
      <c r="N1549" s="127">
        <v>1.3656999999999999</v>
      </c>
      <c r="O1549" s="127">
        <v>1.0538000000000001</v>
      </c>
      <c r="P1549" s="126">
        <v>2252</v>
      </c>
      <c r="Q1549" s="128">
        <f t="array" ref="Q1549">SUM(IF(($S1549&gt;=4)*($C1549='TaxCred&amp;Subs'!$D$123:$D$127)*($H1549='TaxCred&amp;Subs'!$C$123:$C$127)*($H1549&lt;='TaxCred&amp;Subs'!$C$129),'TaxCred&amp;Subs'!$E$123:$E$127,0))</f>
        <v>0</v>
      </c>
      <c r="R1549" s="174">
        <v>0</v>
      </c>
      <c r="S1549" s="126">
        <v>4</v>
      </c>
      <c r="T1549" s="126" t="s">
        <v>248</v>
      </c>
      <c r="V1549" s="153" t="str">
        <f t="array" ref="V1549">INDEX(xlRTCLNAME,MATCH(1,(xlRTCLENDU=1)*(xlRTCLEQCL=$D1549),0))</f>
        <v>NG_RAD</v>
      </c>
      <c r="W1549" s="153" t="str">
        <f t="array" ref="W1549">INDEX(xlRTCLNAME,MATCH(1,(xlRTCLENDU=2)*(xlRTCLEQCL=$F1549),0))</f>
        <v>CENT_AIR</v>
      </c>
      <c r="X1549" s="153" t="str">
        <f t="array" ref="X1549">INDEX(xlRTTYNAME,MATCH(1,(xlRTTYENDU=1)*(xlRTTYEQCL=$D1549)*(xlRTEQTYPE=$E1549),0))</f>
        <v>NG_RAD3</v>
      </c>
      <c r="Y1549" s="153" t="str">
        <f t="array" ref="Y1549">INDEX(xlRTTYNAME,MATCH(1,(xlRTTYENDU=2)*(xlRTTYEQCL=$F1549)*(xlRTEQTYPE=$G1549),0))</f>
        <v>CENT_AIR3</v>
      </c>
    </row>
    <row r="1550" spans="2:25" ht="14.25" customHeight="1" x14ac:dyDescent="0.2">
      <c r="B1550" s="49">
        <v>6</v>
      </c>
      <c r="C1550" s="49">
        <v>2</v>
      </c>
      <c r="D1550" s="49">
        <v>4</v>
      </c>
      <c r="E1550" s="49">
        <v>12</v>
      </c>
      <c r="F1550" s="49">
        <v>2</v>
      </c>
      <c r="G1550" s="49">
        <v>7</v>
      </c>
      <c r="H1550" s="49">
        <v>2023</v>
      </c>
      <c r="I1550" s="49">
        <v>2032</v>
      </c>
      <c r="J1550" s="50">
        <v>1.1200000000000001</v>
      </c>
      <c r="K1550" s="50">
        <v>1.0417000000000001</v>
      </c>
      <c r="L1550" s="50">
        <v>1.1437999999999999</v>
      </c>
      <c r="M1550" s="50">
        <v>1.1228</v>
      </c>
      <c r="N1550" s="50">
        <v>1.3656999999999999</v>
      </c>
      <c r="O1550" s="50">
        <v>1.0538000000000001</v>
      </c>
      <c r="P1550" s="49">
        <v>2252</v>
      </c>
      <c r="Q1550" s="51">
        <f t="array" ref="Q1550">SUM(IF(($S1550&gt;=4)*($C1550='TaxCred&amp;Subs'!$D$123:$D$127)*($H1550='TaxCred&amp;Subs'!$C$123:$C$127)*($H1550&lt;='TaxCred&amp;Subs'!$C$129),'TaxCred&amp;Subs'!$E$123:$E$127,0))</f>
        <v>500</v>
      </c>
      <c r="R1550" s="171">
        <v>0</v>
      </c>
      <c r="S1550" s="49">
        <v>4</v>
      </c>
      <c r="T1550" s="49" t="s">
        <v>248</v>
      </c>
      <c r="V1550" s="153" t="str">
        <f t="array" ref="V1550">INDEX(xlRTCLNAME,MATCH(1,(xlRTCLENDU=1)*(xlRTCLEQCL=$D1550),0))</f>
        <v>NG_RAD</v>
      </c>
      <c r="W1550" s="153" t="str">
        <f t="array" ref="W1550">INDEX(xlRTCLNAME,MATCH(1,(xlRTCLENDU=2)*(xlRTCLEQCL=$F1550),0))</f>
        <v>CENT_AIR</v>
      </c>
      <c r="X1550" s="153" t="str">
        <f t="array" ref="X1550">INDEX(xlRTTYNAME,MATCH(1,(xlRTTYENDU=1)*(xlRTTYEQCL=$D1550)*(xlRTEQTYPE=$E1550),0))</f>
        <v>NG_RAD3</v>
      </c>
      <c r="Y1550" s="153" t="str">
        <f t="array" ref="Y1550">INDEX(xlRTTYNAME,MATCH(1,(xlRTTYENDU=2)*(xlRTTYEQCL=$F1550)*(xlRTEQTYPE=$G1550),0))</f>
        <v>CENT_AIR3</v>
      </c>
    </row>
    <row r="1551" spans="2:25" ht="14.25" customHeight="1" x14ac:dyDescent="0.2">
      <c r="B1551" s="49">
        <v>6</v>
      </c>
      <c r="C1551" s="49">
        <v>2</v>
      </c>
      <c r="D1551" s="49">
        <v>4</v>
      </c>
      <c r="E1551" s="49">
        <v>12</v>
      </c>
      <c r="F1551" s="49">
        <v>2</v>
      </c>
      <c r="G1551" s="49">
        <v>7</v>
      </c>
      <c r="H1551" s="49">
        <v>2033</v>
      </c>
      <c r="I1551" s="49">
        <v>2050</v>
      </c>
      <c r="J1551" s="50">
        <v>1.1200000000000001</v>
      </c>
      <c r="K1551" s="50">
        <v>1.0417000000000001</v>
      </c>
      <c r="L1551" s="50">
        <v>1.1437999999999999</v>
      </c>
      <c r="M1551" s="50">
        <v>1.1228</v>
      </c>
      <c r="N1551" s="50">
        <v>1.3656999999999999</v>
      </c>
      <c r="O1551" s="50">
        <v>1.0538000000000001</v>
      </c>
      <c r="P1551" s="49">
        <v>2252</v>
      </c>
      <c r="Q1551" s="51">
        <f t="array" ref="Q1551">SUM(IF(($S1551&gt;=4)*($C1551='TaxCred&amp;Subs'!$D$123:$D$127)*($H1551='TaxCred&amp;Subs'!$C$123:$C$127)*($H1551&lt;='TaxCred&amp;Subs'!$C$129),'TaxCred&amp;Subs'!$E$123:$E$127,0))</f>
        <v>0</v>
      </c>
      <c r="R1551" s="171">
        <v>0</v>
      </c>
      <c r="S1551" s="49">
        <v>4</v>
      </c>
      <c r="T1551" s="49" t="s">
        <v>248</v>
      </c>
      <c r="V1551" s="153" t="str">
        <f t="array" ref="V1551">INDEX(xlRTCLNAME,MATCH(1,(xlRTCLENDU=1)*(xlRTCLEQCL=$D1551),0))</f>
        <v>NG_RAD</v>
      </c>
      <c r="W1551" s="153" t="str">
        <f t="array" ref="W1551">INDEX(xlRTCLNAME,MATCH(1,(xlRTCLENDU=2)*(xlRTCLEQCL=$F1551),0))</f>
        <v>CENT_AIR</v>
      </c>
      <c r="X1551" s="153" t="str">
        <f t="array" ref="X1551">INDEX(xlRTTYNAME,MATCH(1,(xlRTTYENDU=1)*(xlRTTYEQCL=$D1551)*(xlRTEQTYPE=$E1551),0))</f>
        <v>NG_RAD3</v>
      </c>
      <c r="Y1551" s="153" t="str">
        <f t="array" ref="Y1551">INDEX(xlRTTYNAME,MATCH(1,(xlRTTYENDU=2)*(xlRTTYEQCL=$F1551)*(xlRTEQTYPE=$G1551),0))</f>
        <v>CENT_AIR3</v>
      </c>
    </row>
    <row r="1552" spans="2:25" ht="14.25" customHeight="1" x14ac:dyDescent="0.2">
      <c r="B1552" s="126">
        <v>7</v>
      </c>
      <c r="C1552" s="126">
        <v>2</v>
      </c>
      <c r="D1552" s="126">
        <v>4</v>
      </c>
      <c r="E1552" s="126">
        <v>12</v>
      </c>
      <c r="F1552" s="126">
        <v>2</v>
      </c>
      <c r="G1552" s="126">
        <v>7</v>
      </c>
      <c r="H1552" s="126">
        <v>2016</v>
      </c>
      <c r="I1552" s="159">
        <v>2022</v>
      </c>
      <c r="J1552" s="127">
        <v>1.1200000000000001</v>
      </c>
      <c r="K1552" s="127">
        <v>1.0462</v>
      </c>
      <c r="L1552" s="127">
        <v>0.64380000000000004</v>
      </c>
      <c r="M1552" s="127">
        <v>1.1173</v>
      </c>
      <c r="N1552" s="127">
        <v>1.4438</v>
      </c>
      <c r="O1552" s="127">
        <v>1.0538000000000001</v>
      </c>
      <c r="P1552" s="126">
        <v>2176</v>
      </c>
      <c r="Q1552" s="128">
        <f t="array" ref="Q1552">SUM(IF(($S1552&gt;=4)*($C1552='TaxCred&amp;Subs'!$D$123:$D$127)*($H1552='TaxCred&amp;Subs'!$C$123:$C$127)*($H1552&lt;='TaxCred&amp;Subs'!$C$129),'TaxCred&amp;Subs'!$E$123:$E$127,0))</f>
        <v>0</v>
      </c>
      <c r="R1552" s="174">
        <v>0</v>
      </c>
      <c r="S1552" s="126">
        <v>4</v>
      </c>
      <c r="T1552" s="126" t="s">
        <v>248</v>
      </c>
      <c r="V1552" s="153" t="str">
        <f t="array" ref="V1552">INDEX(xlRTCLNAME,MATCH(1,(xlRTCLENDU=1)*(xlRTCLEQCL=$D1552),0))</f>
        <v>NG_RAD</v>
      </c>
      <c r="W1552" s="153" t="str">
        <f t="array" ref="W1552">INDEX(xlRTCLNAME,MATCH(1,(xlRTCLENDU=2)*(xlRTCLEQCL=$F1552),0))</f>
        <v>CENT_AIR</v>
      </c>
      <c r="X1552" s="153" t="str">
        <f t="array" ref="X1552">INDEX(xlRTTYNAME,MATCH(1,(xlRTTYENDU=1)*(xlRTTYEQCL=$D1552)*(xlRTEQTYPE=$E1552),0))</f>
        <v>NG_RAD3</v>
      </c>
      <c r="Y1552" s="153" t="str">
        <f t="array" ref="Y1552">INDEX(xlRTTYNAME,MATCH(1,(xlRTTYENDU=2)*(xlRTTYEQCL=$F1552)*(xlRTEQTYPE=$G1552),0))</f>
        <v>CENT_AIR3</v>
      </c>
    </row>
    <row r="1553" spans="2:25" ht="14.25" customHeight="1" x14ac:dyDescent="0.2">
      <c r="B1553" s="49">
        <v>7</v>
      </c>
      <c r="C1553" s="49">
        <v>2</v>
      </c>
      <c r="D1553" s="49">
        <v>4</v>
      </c>
      <c r="E1553" s="49">
        <v>12</v>
      </c>
      <c r="F1553" s="49">
        <v>2</v>
      </c>
      <c r="G1553" s="49">
        <v>7</v>
      </c>
      <c r="H1553" s="49">
        <v>2023</v>
      </c>
      <c r="I1553" s="49">
        <v>2032</v>
      </c>
      <c r="J1553" s="50">
        <v>1.1200000000000001</v>
      </c>
      <c r="K1553" s="50">
        <v>1.0462</v>
      </c>
      <c r="L1553" s="50">
        <v>0.64380000000000004</v>
      </c>
      <c r="M1553" s="50">
        <v>1.1173</v>
      </c>
      <c r="N1553" s="50">
        <v>1.4438</v>
      </c>
      <c r="O1553" s="50">
        <v>1.0538000000000001</v>
      </c>
      <c r="P1553" s="49">
        <v>2176</v>
      </c>
      <c r="Q1553" s="51">
        <f t="array" ref="Q1553">SUM(IF(($S1553&gt;=4)*($C1553='TaxCred&amp;Subs'!$D$123:$D$127)*($H1553='TaxCred&amp;Subs'!$C$123:$C$127)*($H1553&lt;='TaxCred&amp;Subs'!$C$129),'TaxCred&amp;Subs'!$E$123:$E$127,0))</f>
        <v>500</v>
      </c>
      <c r="R1553" s="171">
        <v>0</v>
      </c>
      <c r="S1553" s="49">
        <v>4</v>
      </c>
      <c r="T1553" s="49" t="s">
        <v>248</v>
      </c>
      <c r="V1553" s="153" t="str">
        <f t="array" ref="V1553">INDEX(xlRTCLNAME,MATCH(1,(xlRTCLENDU=1)*(xlRTCLEQCL=$D1553),0))</f>
        <v>NG_RAD</v>
      </c>
      <c r="W1553" s="153" t="str">
        <f t="array" ref="W1553">INDEX(xlRTCLNAME,MATCH(1,(xlRTCLENDU=2)*(xlRTCLEQCL=$F1553),0))</f>
        <v>CENT_AIR</v>
      </c>
      <c r="X1553" s="153" t="str">
        <f t="array" ref="X1553">INDEX(xlRTTYNAME,MATCH(1,(xlRTTYENDU=1)*(xlRTTYEQCL=$D1553)*(xlRTEQTYPE=$E1553),0))</f>
        <v>NG_RAD3</v>
      </c>
      <c r="Y1553" s="153" t="str">
        <f t="array" ref="Y1553">INDEX(xlRTTYNAME,MATCH(1,(xlRTTYENDU=2)*(xlRTTYEQCL=$F1553)*(xlRTEQTYPE=$G1553),0))</f>
        <v>CENT_AIR3</v>
      </c>
    </row>
    <row r="1554" spans="2:25" ht="14.25" customHeight="1" x14ac:dyDescent="0.2">
      <c r="B1554" s="49">
        <v>7</v>
      </c>
      <c r="C1554" s="49">
        <v>2</v>
      </c>
      <c r="D1554" s="49">
        <v>4</v>
      </c>
      <c r="E1554" s="49">
        <v>12</v>
      </c>
      <c r="F1554" s="49">
        <v>2</v>
      </c>
      <c r="G1554" s="49">
        <v>7</v>
      </c>
      <c r="H1554" s="49">
        <v>2033</v>
      </c>
      <c r="I1554" s="49">
        <v>2050</v>
      </c>
      <c r="J1554" s="50">
        <v>1.1200000000000001</v>
      </c>
      <c r="K1554" s="50">
        <v>1.0462</v>
      </c>
      <c r="L1554" s="50">
        <v>0.64380000000000004</v>
      </c>
      <c r="M1554" s="50">
        <v>1.1173</v>
      </c>
      <c r="N1554" s="50">
        <v>1.4438</v>
      </c>
      <c r="O1554" s="50">
        <v>1.0538000000000001</v>
      </c>
      <c r="P1554" s="49">
        <v>2176</v>
      </c>
      <c r="Q1554" s="51">
        <f t="array" ref="Q1554">SUM(IF(($S1554&gt;=4)*($C1554='TaxCred&amp;Subs'!$D$123:$D$127)*($H1554='TaxCred&amp;Subs'!$C$123:$C$127)*($H1554&lt;='TaxCred&amp;Subs'!$C$129),'TaxCred&amp;Subs'!$E$123:$E$127,0))</f>
        <v>0</v>
      </c>
      <c r="R1554" s="171">
        <v>0</v>
      </c>
      <c r="S1554" s="49">
        <v>4</v>
      </c>
      <c r="T1554" s="49" t="s">
        <v>248</v>
      </c>
      <c r="V1554" s="153" t="str">
        <f t="array" ref="V1554">INDEX(xlRTCLNAME,MATCH(1,(xlRTCLENDU=1)*(xlRTCLEQCL=$D1554),0))</f>
        <v>NG_RAD</v>
      </c>
      <c r="W1554" s="153" t="str">
        <f t="array" ref="W1554">INDEX(xlRTCLNAME,MATCH(1,(xlRTCLENDU=2)*(xlRTCLEQCL=$F1554),0))</f>
        <v>CENT_AIR</v>
      </c>
      <c r="X1554" s="153" t="str">
        <f t="array" ref="X1554">INDEX(xlRTTYNAME,MATCH(1,(xlRTTYENDU=1)*(xlRTTYEQCL=$D1554)*(xlRTEQTYPE=$E1554),0))</f>
        <v>NG_RAD3</v>
      </c>
      <c r="Y1554" s="153" t="str">
        <f t="array" ref="Y1554">INDEX(xlRTTYNAME,MATCH(1,(xlRTTYENDU=2)*(xlRTTYEQCL=$F1554)*(xlRTEQTYPE=$G1554),0))</f>
        <v>CENT_AIR3</v>
      </c>
    </row>
    <row r="1555" spans="2:25" ht="14.25" customHeight="1" x14ac:dyDescent="0.2">
      <c r="B1555" s="126">
        <v>8</v>
      </c>
      <c r="C1555" s="126">
        <v>2</v>
      </c>
      <c r="D1555" s="126">
        <v>4</v>
      </c>
      <c r="E1555" s="126">
        <v>12</v>
      </c>
      <c r="F1555" s="126">
        <v>2</v>
      </c>
      <c r="G1555" s="126">
        <v>7</v>
      </c>
      <c r="H1555" s="126">
        <v>2016</v>
      </c>
      <c r="I1555" s="159">
        <v>2022</v>
      </c>
      <c r="J1555" s="127">
        <v>1.1045</v>
      </c>
      <c r="K1555" s="127">
        <v>1.0323</v>
      </c>
      <c r="L1555" s="127">
        <v>0.9597</v>
      </c>
      <c r="M1555" s="127">
        <v>1.2739</v>
      </c>
      <c r="N1555" s="127">
        <v>1.2847999999999999</v>
      </c>
      <c r="O1555" s="127">
        <v>1.0538000000000001</v>
      </c>
      <c r="P1555" s="126">
        <v>2451</v>
      </c>
      <c r="Q1555" s="128">
        <f t="array" ref="Q1555">SUM(IF(($S1555&gt;=4)*($C1555='TaxCred&amp;Subs'!$D$123:$D$127)*($H1555='TaxCred&amp;Subs'!$C$123:$C$127)*($H1555&lt;='TaxCred&amp;Subs'!$C$129),'TaxCred&amp;Subs'!$E$123:$E$127,0))</f>
        <v>0</v>
      </c>
      <c r="R1555" s="174">
        <v>0</v>
      </c>
      <c r="S1555" s="126">
        <v>4</v>
      </c>
      <c r="T1555" s="126" t="s">
        <v>248</v>
      </c>
      <c r="V1555" s="153" t="str">
        <f t="array" ref="V1555">INDEX(xlRTCLNAME,MATCH(1,(xlRTCLENDU=1)*(xlRTCLEQCL=$D1555),0))</f>
        <v>NG_RAD</v>
      </c>
      <c r="W1555" s="153" t="str">
        <f t="array" ref="W1555">INDEX(xlRTCLNAME,MATCH(1,(xlRTCLENDU=2)*(xlRTCLEQCL=$F1555),0))</f>
        <v>CENT_AIR</v>
      </c>
      <c r="X1555" s="153" t="str">
        <f t="array" ref="X1555">INDEX(xlRTTYNAME,MATCH(1,(xlRTTYENDU=1)*(xlRTTYEQCL=$D1555)*(xlRTEQTYPE=$E1555),0))</f>
        <v>NG_RAD3</v>
      </c>
      <c r="Y1555" s="153" t="str">
        <f t="array" ref="Y1555">INDEX(xlRTTYNAME,MATCH(1,(xlRTTYENDU=2)*(xlRTTYEQCL=$F1555)*(xlRTEQTYPE=$G1555),0))</f>
        <v>CENT_AIR3</v>
      </c>
    </row>
    <row r="1556" spans="2:25" ht="14.25" customHeight="1" x14ac:dyDescent="0.2">
      <c r="B1556" s="49">
        <v>8</v>
      </c>
      <c r="C1556" s="49">
        <v>2</v>
      </c>
      <c r="D1556" s="49">
        <v>4</v>
      </c>
      <c r="E1556" s="49">
        <v>12</v>
      </c>
      <c r="F1556" s="49">
        <v>2</v>
      </c>
      <c r="G1556" s="49">
        <v>7</v>
      </c>
      <c r="H1556" s="49">
        <v>2023</v>
      </c>
      <c r="I1556" s="49">
        <v>2032</v>
      </c>
      <c r="J1556" s="50">
        <v>1.1045</v>
      </c>
      <c r="K1556" s="50">
        <v>1.0323</v>
      </c>
      <c r="L1556" s="50">
        <v>0.9597</v>
      </c>
      <c r="M1556" s="50">
        <v>1.2739</v>
      </c>
      <c r="N1556" s="50">
        <v>1.2847999999999999</v>
      </c>
      <c r="O1556" s="50">
        <v>1.0538000000000001</v>
      </c>
      <c r="P1556" s="49">
        <v>2451</v>
      </c>
      <c r="Q1556" s="51">
        <f t="array" ref="Q1556">SUM(IF(($S1556&gt;=4)*($C1556='TaxCred&amp;Subs'!$D$123:$D$127)*($H1556='TaxCred&amp;Subs'!$C$123:$C$127)*($H1556&lt;='TaxCred&amp;Subs'!$C$129),'TaxCred&amp;Subs'!$E$123:$E$127,0))</f>
        <v>500</v>
      </c>
      <c r="R1556" s="171">
        <v>0</v>
      </c>
      <c r="S1556" s="49">
        <v>4</v>
      </c>
      <c r="T1556" s="49" t="s">
        <v>248</v>
      </c>
      <c r="V1556" s="153" t="str">
        <f t="array" ref="V1556">INDEX(xlRTCLNAME,MATCH(1,(xlRTCLENDU=1)*(xlRTCLEQCL=$D1556),0))</f>
        <v>NG_RAD</v>
      </c>
      <c r="W1556" s="153" t="str">
        <f t="array" ref="W1556">INDEX(xlRTCLNAME,MATCH(1,(xlRTCLENDU=2)*(xlRTCLEQCL=$F1556),0))</f>
        <v>CENT_AIR</v>
      </c>
      <c r="X1556" s="153" t="str">
        <f t="array" ref="X1556">INDEX(xlRTTYNAME,MATCH(1,(xlRTTYENDU=1)*(xlRTTYEQCL=$D1556)*(xlRTEQTYPE=$E1556),0))</f>
        <v>NG_RAD3</v>
      </c>
      <c r="Y1556" s="153" t="str">
        <f t="array" ref="Y1556">INDEX(xlRTTYNAME,MATCH(1,(xlRTTYENDU=2)*(xlRTTYEQCL=$F1556)*(xlRTEQTYPE=$G1556),0))</f>
        <v>CENT_AIR3</v>
      </c>
    </row>
    <row r="1557" spans="2:25" ht="14.25" customHeight="1" x14ac:dyDescent="0.2">
      <c r="B1557" s="49">
        <v>8</v>
      </c>
      <c r="C1557" s="49">
        <v>2</v>
      </c>
      <c r="D1557" s="49">
        <v>4</v>
      </c>
      <c r="E1557" s="49">
        <v>12</v>
      </c>
      <c r="F1557" s="49">
        <v>2</v>
      </c>
      <c r="G1557" s="49">
        <v>7</v>
      </c>
      <c r="H1557" s="49">
        <v>2033</v>
      </c>
      <c r="I1557" s="49">
        <v>2050</v>
      </c>
      <c r="J1557" s="50">
        <v>1.1045</v>
      </c>
      <c r="K1557" s="50">
        <v>1.0323</v>
      </c>
      <c r="L1557" s="50">
        <v>0.9597</v>
      </c>
      <c r="M1557" s="50">
        <v>1.2739</v>
      </c>
      <c r="N1557" s="50">
        <v>1.2847999999999999</v>
      </c>
      <c r="O1557" s="50">
        <v>1.0538000000000001</v>
      </c>
      <c r="P1557" s="49">
        <v>2451</v>
      </c>
      <c r="Q1557" s="51">
        <f t="array" ref="Q1557">SUM(IF(($S1557&gt;=4)*($C1557='TaxCred&amp;Subs'!$D$123:$D$127)*($H1557='TaxCred&amp;Subs'!$C$123:$C$127)*($H1557&lt;='TaxCred&amp;Subs'!$C$129),'TaxCred&amp;Subs'!$E$123:$E$127,0))</f>
        <v>0</v>
      </c>
      <c r="R1557" s="171">
        <v>0</v>
      </c>
      <c r="S1557" s="49">
        <v>4</v>
      </c>
      <c r="T1557" s="49" t="s">
        <v>248</v>
      </c>
      <c r="V1557" s="153" t="str">
        <f t="array" ref="V1557">INDEX(xlRTCLNAME,MATCH(1,(xlRTCLENDU=1)*(xlRTCLEQCL=$D1557),0))</f>
        <v>NG_RAD</v>
      </c>
      <c r="W1557" s="153" t="str">
        <f t="array" ref="W1557">INDEX(xlRTCLNAME,MATCH(1,(xlRTCLENDU=2)*(xlRTCLEQCL=$F1557),0))</f>
        <v>CENT_AIR</v>
      </c>
      <c r="X1557" s="153" t="str">
        <f t="array" ref="X1557">INDEX(xlRTTYNAME,MATCH(1,(xlRTTYENDU=1)*(xlRTTYEQCL=$D1557)*(xlRTEQTYPE=$E1557),0))</f>
        <v>NG_RAD3</v>
      </c>
      <c r="Y1557" s="153" t="str">
        <f t="array" ref="Y1557">INDEX(xlRTTYNAME,MATCH(1,(xlRTTYENDU=2)*(xlRTTYEQCL=$F1557)*(xlRTEQTYPE=$G1557),0))</f>
        <v>CENT_AIR3</v>
      </c>
    </row>
    <row r="1558" spans="2:25" ht="14.25" customHeight="1" x14ac:dyDescent="0.2">
      <c r="B1558" s="126">
        <v>9</v>
      </c>
      <c r="C1558" s="126">
        <v>2</v>
      </c>
      <c r="D1558" s="126">
        <v>4</v>
      </c>
      <c r="E1558" s="126">
        <v>12</v>
      </c>
      <c r="F1558" s="126">
        <v>2</v>
      </c>
      <c r="G1558" s="126">
        <v>7</v>
      </c>
      <c r="H1558" s="126">
        <v>2016</v>
      </c>
      <c r="I1558" s="159">
        <v>2022</v>
      </c>
      <c r="J1558" s="127">
        <v>1.1200000000000001</v>
      </c>
      <c r="K1558" s="127">
        <v>1.0541</v>
      </c>
      <c r="L1558" s="127">
        <v>1.0438000000000001</v>
      </c>
      <c r="M1558" s="127">
        <v>1.2</v>
      </c>
      <c r="N1558" s="127">
        <v>1.4438</v>
      </c>
      <c r="O1558" s="127">
        <v>1.0538000000000001</v>
      </c>
      <c r="P1558" s="126">
        <v>2550</v>
      </c>
      <c r="Q1558" s="128">
        <f t="array" ref="Q1558">SUM(IF(($S1558&gt;=4)*($C1558='TaxCred&amp;Subs'!$D$123:$D$127)*($H1558='TaxCred&amp;Subs'!$C$123:$C$127)*($H1558&lt;='TaxCred&amp;Subs'!$C$129),'TaxCred&amp;Subs'!$E$123:$E$127,0))</f>
        <v>0</v>
      </c>
      <c r="R1558" s="174">
        <v>0</v>
      </c>
      <c r="S1558" s="126">
        <v>4</v>
      </c>
      <c r="T1558" s="126" t="s">
        <v>248</v>
      </c>
      <c r="V1558" s="153" t="str">
        <f t="array" ref="V1558">INDEX(xlRTCLNAME,MATCH(1,(xlRTCLENDU=1)*(xlRTCLEQCL=$D1558),0))</f>
        <v>NG_RAD</v>
      </c>
      <c r="W1558" s="153" t="str">
        <f t="array" ref="W1558">INDEX(xlRTCLNAME,MATCH(1,(xlRTCLENDU=2)*(xlRTCLEQCL=$F1558),0))</f>
        <v>CENT_AIR</v>
      </c>
      <c r="X1558" s="153" t="str">
        <f t="array" ref="X1558">INDEX(xlRTTYNAME,MATCH(1,(xlRTTYENDU=1)*(xlRTTYEQCL=$D1558)*(xlRTEQTYPE=$E1558),0))</f>
        <v>NG_RAD3</v>
      </c>
      <c r="Y1558" s="153" t="str">
        <f t="array" ref="Y1558">INDEX(xlRTTYNAME,MATCH(1,(xlRTTYENDU=2)*(xlRTTYEQCL=$F1558)*(xlRTEQTYPE=$G1558),0))</f>
        <v>CENT_AIR3</v>
      </c>
    </row>
    <row r="1559" spans="2:25" ht="14.25" customHeight="1" x14ac:dyDescent="0.2">
      <c r="B1559" s="49">
        <v>9</v>
      </c>
      <c r="C1559" s="49">
        <v>2</v>
      </c>
      <c r="D1559" s="49">
        <v>4</v>
      </c>
      <c r="E1559" s="49">
        <v>12</v>
      </c>
      <c r="F1559" s="49">
        <v>2</v>
      </c>
      <c r="G1559" s="49">
        <v>7</v>
      </c>
      <c r="H1559" s="49">
        <v>2023</v>
      </c>
      <c r="I1559" s="49">
        <v>2032</v>
      </c>
      <c r="J1559" s="50">
        <v>1.1200000000000001</v>
      </c>
      <c r="K1559" s="50">
        <v>1.0541</v>
      </c>
      <c r="L1559" s="50">
        <v>1.0438000000000001</v>
      </c>
      <c r="M1559" s="50">
        <v>1.2</v>
      </c>
      <c r="N1559" s="50">
        <v>1.4438</v>
      </c>
      <c r="O1559" s="50">
        <v>1.0538000000000001</v>
      </c>
      <c r="P1559" s="49">
        <v>2550</v>
      </c>
      <c r="Q1559" s="51">
        <f t="array" ref="Q1559">SUM(IF(($S1559&gt;=4)*($C1559='TaxCred&amp;Subs'!$D$123:$D$127)*($H1559='TaxCred&amp;Subs'!$C$123:$C$127)*($H1559&lt;='TaxCred&amp;Subs'!$C$129),'TaxCred&amp;Subs'!$E$123:$E$127,0))</f>
        <v>500</v>
      </c>
      <c r="R1559" s="171">
        <v>0</v>
      </c>
      <c r="S1559" s="49">
        <v>4</v>
      </c>
      <c r="T1559" s="49" t="s">
        <v>248</v>
      </c>
      <c r="V1559" s="153" t="str">
        <f t="array" ref="V1559">INDEX(xlRTCLNAME,MATCH(1,(xlRTCLENDU=1)*(xlRTCLEQCL=$D1559),0))</f>
        <v>NG_RAD</v>
      </c>
      <c r="W1559" s="153" t="str">
        <f t="array" ref="W1559">INDEX(xlRTCLNAME,MATCH(1,(xlRTCLENDU=2)*(xlRTCLEQCL=$F1559),0))</f>
        <v>CENT_AIR</v>
      </c>
      <c r="X1559" s="153" t="str">
        <f t="array" ref="X1559">INDEX(xlRTTYNAME,MATCH(1,(xlRTTYENDU=1)*(xlRTTYEQCL=$D1559)*(xlRTEQTYPE=$E1559),0))</f>
        <v>NG_RAD3</v>
      </c>
      <c r="Y1559" s="153" t="str">
        <f t="array" ref="Y1559">INDEX(xlRTTYNAME,MATCH(1,(xlRTTYENDU=2)*(xlRTTYEQCL=$F1559)*(xlRTEQTYPE=$G1559),0))</f>
        <v>CENT_AIR3</v>
      </c>
    </row>
    <row r="1560" spans="2:25" ht="14.25" customHeight="1" x14ac:dyDescent="0.2">
      <c r="B1560" s="49">
        <v>9</v>
      </c>
      <c r="C1560" s="49">
        <v>2</v>
      </c>
      <c r="D1560" s="49">
        <v>4</v>
      </c>
      <c r="E1560" s="49">
        <v>12</v>
      </c>
      <c r="F1560" s="49">
        <v>2</v>
      </c>
      <c r="G1560" s="49">
        <v>7</v>
      </c>
      <c r="H1560" s="49">
        <v>2033</v>
      </c>
      <c r="I1560" s="49">
        <v>2050</v>
      </c>
      <c r="J1560" s="50">
        <v>1.1200000000000001</v>
      </c>
      <c r="K1560" s="50">
        <v>1.0541</v>
      </c>
      <c r="L1560" s="50">
        <v>1.0438000000000001</v>
      </c>
      <c r="M1560" s="50">
        <v>1.2</v>
      </c>
      <c r="N1560" s="50">
        <v>1.4438</v>
      </c>
      <c r="O1560" s="50">
        <v>1.0538000000000001</v>
      </c>
      <c r="P1560" s="49">
        <v>2550</v>
      </c>
      <c r="Q1560" s="51">
        <f t="array" ref="Q1560">SUM(IF(($S1560&gt;=4)*($C1560='TaxCred&amp;Subs'!$D$123:$D$127)*($H1560='TaxCred&amp;Subs'!$C$123:$C$127)*($H1560&lt;='TaxCred&amp;Subs'!$C$129),'TaxCred&amp;Subs'!$E$123:$E$127,0))</f>
        <v>0</v>
      </c>
      <c r="R1560" s="171">
        <v>0</v>
      </c>
      <c r="S1560" s="49">
        <v>4</v>
      </c>
      <c r="T1560" s="49" t="s">
        <v>248</v>
      </c>
      <c r="V1560" s="153" t="str">
        <f t="array" ref="V1560">INDEX(xlRTCLNAME,MATCH(1,(xlRTCLENDU=1)*(xlRTCLEQCL=$D1560),0))</f>
        <v>NG_RAD</v>
      </c>
      <c r="W1560" s="153" t="str">
        <f t="array" ref="W1560">INDEX(xlRTCLNAME,MATCH(1,(xlRTCLENDU=2)*(xlRTCLEQCL=$F1560),0))</f>
        <v>CENT_AIR</v>
      </c>
      <c r="X1560" s="153" t="str">
        <f t="array" ref="X1560">INDEX(xlRTTYNAME,MATCH(1,(xlRTTYENDU=1)*(xlRTTYEQCL=$D1560)*(xlRTEQTYPE=$E1560),0))</f>
        <v>NG_RAD3</v>
      </c>
      <c r="Y1560" s="153" t="str">
        <f t="array" ref="Y1560">INDEX(xlRTTYNAME,MATCH(1,(xlRTTYENDU=2)*(xlRTTYEQCL=$F1560)*(xlRTEQTYPE=$G1560),0))</f>
        <v>CENT_AIR3</v>
      </c>
    </row>
    <row r="1561" spans="2:25" ht="14.25" customHeight="1" x14ac:dyDescent="0.2">
      <c r="B1561" s="129">
        <v>1</v>
      </c>
      <c r="C1561" s="129">
        <v>2</v>
      </c>
      <c r="D1561" s="129">
        <v>5</v>
      </c>
      <c r="E1561" s="129">
        <v>16</v>
      </c>
      <c r="F1561" s="129">
        <v>2</v>
      </c>
      <c r="G1561" s="129">
        <v>7</v>
      </c>
      <c r="H1561" s="129">
        <v>2016</v>
      </c>
      <c r="I1561" s="38">
        <v>2022</v>
      </c>
      <c r="J1561" s="130">
        <v>1.0956999999999999</v>
      </c>
      <c r="K1561" s="130">
        <v>1.0417000000000001</v>
      </c>
      <c r="L1561" s="130">
        <v>0.89729999999999999</v>
      </c>
      <c r="M1561" s="130">
        <v>1.1228</v>
      </c>
      <c r="N1561" s="130">
        <v>1.1153</v>
      </c>
      <c r="O1561" s="130">
        <v>1.0538000000000001</v>
      </c>
      <c r="P1561" s="129">
        <v>3623</v>
      </c>
      <c r="Q1561" s="128">
        <f t="array" ref="Q1561">SUM(IF(($S1561&gt;=4)*($C1561='TaxCred&amp;Subs'!$D$123:$D$127)*($H1561='TaxCred&amp;Subs'!$C$123:$C$127)*($H1561&lt;='TaxCred&amp;Subs'!$C$129),'TaxCred&amp;Subs'!$E$123:$E$127,0))</f>
        <v>0</v>
      </c>
      <c r="R1561" s="174">
        <v>0</v>
      </c>
      <c r="S1561" s="129">
        <v>4</v>
      </c>
      <c r="T1561" s="129" t="s">
        <v>248</v>
      </c>
      <c r="U1561" s="155" t="s">
        <v>235</v>
      </c>
      <c r="V1561" s="153" t="str">
        <f t="array" ref="V1561">INDEX(xlRTCLNAME,MATCH(1,(xlRTCLENDU=1)*(xlRTCLEQCL=$D1561),0))</f>
        <v>KERO_FA</v>
      </c>
      <c r="W1561" s="153" t="str">
        <f t="array" ref="W1561">INDEX(xlRTCLNAME,MATCH(1,(xlRTCLENDU=2)*(xlRTCLEQCL=$F1561),0))</f>
        <v>CENT_AIR</v>
      </c>
      <c r="X1561" s="153" t="str">
        <f t="array" ref="X1561">INDEX(xlRTTYNAME,MATCH(1,(xlRTTYENDU=1)*(xlRTTYEQCL=$D1561)*(xlRTEQTYPE=$E1561),0))</f>
        <v>KERO_FA3</v>
      </c>
      <c r="Y1561" s="153" t="str">
        <f t="array" ref="Y1561">INDEX(xlRTTYNAME,MATCH(1,(xlRTTYENDU=2)*(xlRTTYEQCL=$F1561)*(xlRTEQTYPE=$G1561),0))</f>
        <v>CENT_AIR3</v>
      </c>
    </row>
    <row r="1562" spans="2:25" ht="14.25" customHeight="1" x14ac:dyDescent="0.2">
      <c r="B1562" s="131">
        <v>1</v>
      </c>
      <c r="C1562" s="131">
        <v>2</v>
      </c>
      <c r="D1562" s="131">
        <v>5</v>
      </c>
      <c r="E1562" s="131">
        <v>16</v>
      </c>
      <c r="F1562" s="131">
        <v>2</v>
      </c>
      <c r="G1562" s="131">
        <v>7</v>
      </c>
      <c r="H1562" s="131">
        <v>2023</v>
      </c>
      <c r="I1562" s="131">
        <v>2032</v>
      </c>
      <c r="J1562" s="132">
        <v>1.0956999999999999</v>
      </c>
      <c r="K1562" s="132">
        <v>1.0417000000000001</v>
      </c>
      <c r="L1562" s="132">
        <v>0.89729999999999999</v>
      </c>
      <c r="M1562" s="132">
        <v>1.1228</v>
      </c>
      <c r="N1562" s="132">
        <v>1.1153</v>
      </c>
      <c r="O1562" s="132">
        <v>1.0538000000000001</v>
      </c>
      <c r="P1562" s="131">
        <v>3623</v>
      </c>
      <c r="Q1562" s="51">
        <f t="array" ref="Q1562">SUM(IF(($S1562&gt;=4)*($C1562='TaxCred&amp;Subs'!$D$123:$D$127)*($H1562='TaxCred&amp;Subs'!$C$123:$C$127)*($H1562&lt;='TaxCred&amp;Subs'!$C$129),'TaxCred&amp;Subs'!$E$123:$E$127,0))</f>
        <v>500</v>
      </c>
      <c r="R1562" s="171">
        <v>0</v>
      </c>
      <c r="S1562" s="131">
        <v>4</v>
      </c>
      <c r="T1562" s="131" t="s">
        <v>248</v>
      </c>
      <c r="U1562" s="155" t="s">
        <v>235</v>
      </c>
      <c r="V1562" s="153" t="str">
        <f t="array" ref="V1562">INDEX(xlRTCLNAME,MATCH(1,(xlRTCLENDU=1)*(xlRTCLEQCL=$D1562),0))</f>
        <v>KERO_FA</v>
      </c>
      <c r="W1562" s="153" t="str">
        <f t="array" ref="W1562">INDEX(xlRTCLNAME,MATCH(1,(xlRTCLENDU=2)*(xlRTCLEQCL=$F1562),0))</f>
        <v>CENT_AIR</v>
      </c>
      <c r="X1562" s="153" t="str">
        <f t="array" ref="X1562">INDEX(xlRTTYNAME,MATCH(1,(xlRTTYENDU=1)*(xlRTTYEQCL=$D1562)*(xlRTEQTYPE=$E1562),0))</f>
        <v>KERO_FA3</v>
      </c>
      <c r="Y1562" s="153" t="str">
        <f t="array" ref="Y1562">INDEX(xlRTTYNAME,MATCH(1,(xlRTTYENDU=2)*(xlRTTYEQCL=$F1562)*(xlRTEQTYPE=$G1562),0))</f>
        <v>CENT_AIR3</v>
      </c>
    </row>
    <row r="1563" spans="2:25" ht="14.25" customHeight="1" x14ac:dyDescent="0.2">
      <c r="B1563" s="131">
        <v>1</v>
      </c>
      <c r="C1563" s="131">
        <v>2</v>
      </c>
      <c r="D1563" s="131">
        <v>5</v>
      </c>
      <c r="E1563" s="131">
        <v>16</v>
      </c>
      <c r="F1563" s="131">
        <v>2</v>
      </c>
      <c r="G1563" s="131">
        <v>7</v>
      </c>
      <c r="H1563" s="131">
        <v>2033</v>
      </c>
      <c r="I1563" s="131">
        <v>2050</v>
      </c>
      <c r="J1563" s="132">
        <v>1.0956999999999999</v>
      </c>
      <c r="K1563" s="132">
        <v>1.0417000000000001</v>
      </c>
      <c r="L1563" s="132">
        <v>0.89729999999999999</v>
      </c>
      <c r="M1563" s="132">
        <v>1.1228</v>
      </c>
      <c r="N1563" s="132">
        <v>1.1153</v>
      </c>
      <c r="O1563" s="132">
        <v>1.0538000000000001</v>
      </c>
      <c r="P1563" s="131">
        <v>3623</v>
      </c>
      <c r="Q1563" s="51">
        <f t="array" ref="Q1563">SUM(IF(($S1563&gt;=4)*($C1563='TaxCred&amp;Subs'!$D$123:$D$127)*($H1563='TaxCred&amp;Subs'!$C$123:$C$127)*($H1563&lt;='TaxCred&amp;Subs'!$C$129),'TaxCred&amp;Subs'!$E$123:$E$127,0))</f>
        <v>0</v>
      </c>
      <c r="R1563" s="171">
        <v>0</v>
      </c>
      <c r="S1563" s="131">
        <v>4</v>
      </c>
      <c r="T1563" s="131" t="s">
        <v>248</v>
      </c>
      <c r="U1563" s="155" t="s">
        <v>235</v>
      </c>
      <c r="V1563" s="153" t="str">
        <f t="array" ref="V1563">INDEX(xlRTCLNAME,MATCH(1,(xlRTCLENDU=1)*(xlRTCLEQCL=$D1563),0))</f>
        <v>KERO_FA</v>
      </c>
      <c r="W1563" s="153" t="str">
        <f t="array" ref="W1563">INDEX(xlRTCLNAME,MATCH(1,(xlRTCLENDU=2)*(xlRTCLEQCL=$F1563),0))</f>
        <v>CENT_AIR</v>
      </c>
      <c r="X1563" s="153" t="str">
        <f t="array" ref="X1563">INDEX(xlRTTYNAME,MATCH(1,(xlRTTYENDU=1)*(xlRTTYEQCL=$D1563)*(xlRTEQTYPE=$E1563),0))</f>
        <v>KERO_FA3</v>
      </c>
      <c r="Y1563" s="153" t="str">
        <f t="array" ref="Y1563">INDEX(xlRTTYNAME,MATCH(1,(xlRTTYENDU=2)*(xlRTTYEQCL=$F1563)*(xlRTEQTYPE=$G1563),0))</f>
        <v>CENT_AIR3</v>
      </c>
    </row>
    <row r="1564" spans="2:25" ht="14.25" customHeight="1" x14ac:dyDescent="0.2">
      <c r="B1564" s="129">
        <v>2</v>
      </c>
      <c r="C1564" s="129">
        <v>2</v>
      </c>
      <c r="D1564" s="129">
        <v>5</v>
      </c>
      <c r="E1564" s="129">
        <v>16</v>
      </c>
      <c r="F1564" s="129">
        <v>2</v>
      </c>
      <c r="G1564" s="129">
        <v>7</v>
      </c>
      <c r="H1564" s="129">
        <v>2016</v>
      </c>
      <c r="I1564" s="38">
        <v>2022</v>
      </c>
      <c r="J1564" s="130">
        <v>1.1059000000000001</v>
      </c>
      <c r="K1564" s="130">
        <v>1.0357000000000001</v>
      </c>
      <c r="L1564" s="130">
        <v>0.93369999999999997</v>
      </c>
      <c r="M1564" s="130">
        <v>1.1625000000000001</v>
      </c>
      <c r="N1564" s="130">
        <v>1.1176999999999999</v>
      </c>
      <c r="O1564" s="130">
        <v>1.0538000000000001</v>
      </c>
      <c r="P1564" s="129">
        <v>3133</v>
      </c>
      <c r="Q1564" s="128">
        <f t="array" ref="Q1564">SUM(IF(($S1564&gt;=4)*($C1564='TaxCred&amp;Subs'!$D$123:$D$127)*($H1564='TaxCred&amp;Subs'!$C$123:$C$127)*($H1564&lt;='TaxCred&amp;Subs'!$C$129),'TaxCred&amp;Subs'!$E$123:$E$127,0))</f>
        <v>0</v>
      </c>
      <c r="R1564" s="174">
        <v>0</v>
      </c>
      <c r="S1564" s="129">
        <v>4</v>
      </c>
      <c r="T1564" s="129" t="s">
        <v>248</v>
      </c>
      <c r="U1564" s="155" t="s">
        <v>235</v>
      </c>
      <c r="V1564" s="153" t="str">
        <f t="array" ref="V1564">INDEX(xlRTCLNAME,MATCH(1,(xlRTCLENDU=1)*(xlRTCLEQCL=$D1564),0))</f>
        <v>KERO_FA</v>
      </c>
      <c r="W1564" s="153" t="str">
        <f t="array" ref="W1564">INDEX(xlRTCLNAME,MATCH(1,(xlRTCLENDU=2)*(xlRTCLEQCL=$F1564),0))</f>
        <v>CENT_AIR</v>
      </c>
      <c r="X1564" s="153" t="str">
        <f t="array" ref="X1564">INDEX(xlRTTYNAME,MATCH(1,(xlRTTYENDU=1)*(xlRTTYEQCL=$D1564)*(xlRTEQTYPE=$E1564),0))</f>
        <v>KERO_FA3</v>
      </c>
      <c r="Y1564" s="153" t="str">
        <f t="array" ref="Y1564">INDEX(xlRTTYNAME,MATCH(1,(xlRTTYENDU=2)*(xlRTTYEQCL=$F1564)*(xlRTEQTYPE=$G1564),0))</f>
        <v>CENT_AIR3</v>
      </c>
    </row>
    <row r="1565" spans="2:25" ht="14.25" customHeight="1" x14ac:dyDescent="0.2">
      <c r="B1565" s="131">
        <v>2</v>
      </c>
      <c r="C1565" s="131">
        <v>2</v>
      </c>
      <c r="D1565" s="131">
        <v>5</v>
      </c>
      <c r="E1565" s="131">
        <v>16</v>
      </c>
      <c r="F1565" s="131">
        <v>2</v>
      </c>
      <c r="G1565" s="131">
        <v>7</v>
      </c>
      <c r="H1565" s="131">
        <v>2023</v>
      </c>
      <c r="I1565" s="131">
        <v>2032</v>
      </c>
      <c r="J1565" s="132">
        <v>1.1059000000000001</v>
      </c>
      <c r="K1565" s="132">
        <v>1.0357000000000001</v>
      </c>
      <c r="L1565" s="132">
        <v>0.93369999999999997</v>
      </c>
      <c r="M1565" s="132">
        <v>1.1625000000000001</v>
      </c>
      <c r="N1565" s="132">
        <v>1.1176999999999999</v>
      </c>
      <c r="O1565" s="132">
        <v>1.0538000000000001</v>
      </c>
      <c r="P1565" s="131">
        <v>3133</v>
      </c>
      <c r="Q1565" s="51">
        <f t="array" ref="Q1565">SUM(IF(($S1565&gt;=4)*($C1565='TaxCred&amp;Subs'!$D$123:$D$127)*($H1565='TaxCred&amp;Subs'!$C$123:$C$127)*($H1565&lt;='TaxCred&amp;Subs'!$C$129),'TaxCred&amp;Subs'!$E$123:$E$127,0))</f>
        <v>500</v>
      </c>
      <c r="R1565" s="171">
        <v>0</v>
      </c>
      <c r="S1565" s="131">
        <v>4</v>
      </c>
      <c r="T1565" s="131" t="s">
        <v>248</v>
      </c>
      <c r="U1565" s="155" t="s">
        <v>235</v>
      </c>
      <c r="V1565" s="153" t="str">
        <f t="array" ref="V1565">INDEX(xlRTCLNAME,MATCH(1,(xlRTCLENDU=1)*(xlRTCLEQCL=$D1565),0))</f>
        <v>KERO_FA</v>
      </c>
      <c r="W1565" s="153" t="str">
        <f t="array" ref="W1565">INDEX(xlRTCLNAME,MATCH(1,(xlRTCLENDU=2)*(xlRTCLEQCL=$F1565),0))</f>
        <v>CENT_AIR</v>
      </c>
      <c r="X1565" s="153" t="str">
        <f t="array" ref="X1565">INDEX(xlRTTYNAME,MATCH(1,(xlRTTYENDU=1)*(xlRTTYEQCL=$D1565)*(xlRTEQTYPE=$E1565),0))</f>
        <v>KERO_FA3</v>
      </c>
      <c r="Y1565" s="153" t="str">
        <f t="array" ref="Y1565">INDEX(xlRTTYNAME,MATCH(1,(xlRTTYENDU=2)*(xlRTTYEQCL=$F1565)*(xlRTEQTYPE=$G1565),0))</f>
        <v>CENT_AIR3</v>
      </c>
    </row>
    <row r="1566" spans="2:25" ht="14.25" customHeight="1" x14ac:dyDescent="0.2">
      <c r="B1566" s="131">
        <v>2</v>
      </c>
      <c r="C1566" s="131">
        <v>2</v>
      </c>
      <c r="D1566" s="131">
        <v>5</v>
      </c>
      <c r="E1566" s="131">
        <v>16</v>
      </c>
      <c r="F1566" s="131">
        <v>2</v>
      </c>
      <c r="G1566" s="131">
        <v>7</v>
      </c>
      <c r="H1566" s="131">
        <v>2033</v>
      </c>
      <c r="I1566" s="131">
        <v>2050</v>
      </c>
      <c r="J1566" s="132">
        <v>1.1059000000000001</v>
      </c>
      <c r="K1566" s="132">
        <v>1.0357000000000001</v>
      </c>
      <c r="L1566" s="132">
        <v>0.93369999999999997</v>
      </c>
      <c r="M1566" s="132">
        <v>1.1625000000000001</v>
      </c>
      <c r="N1566" s="132">
        <v>1.1176999999999999</v>
      </c>
      <c r="O1566" s="132">
        <v>1.0538000000000001</v>
      </c>
      <c r="P1566" s="131">
        <v>3133</v>
      </c>
      <c r="Q1566" s="51">
        <f t="array" ref="Q1566">SUM(IF(($S1566&gt;=4)*($C1566='TaxCred&amp;Subs'!$D$123:$D$127)*($H1566='TaxCred&amp;Subs'!$C$123:$C$127)*($H1566&lt;='TaxCred&amp;Subs'!$C$129),'TaxCred&amp;Subs'!$E$123:$E$127,0))</f>
        <v>0</v>
      </c>
      <c r="R1566" s="171">
        <v>0</v>
      </c>
      <c r="S1566" s="131">
        <v>4</v>
      </c>
      <c r="T1566" s="131" t="s">
        <v>248</v>
      </c>
      <c r="U1566" s="155" t="s">
        <v>235</v>
      </c>
      <c r="V1566" s="153" t="str">
        <f t="array" ref="V1566">INDEX(xlRTCLNAME,MATCH(1,(xlRTCLENDU=1)*(xlRTCLEQCL=$D1566),0))</f>
        <v>KERO_FA</v>
      </c>
      <c r="W1566" s="153" t="str">
        <f t="array" ref="W1566">INDEX(xlRTCLNAME,MATCH(1,(xlRTCLENDU=2)*(xlRTCLEQCL=$F1566),0))</f>
        <v>CENT_AIR</v>
      </c>
      <c r="X1566" s="153" t="str">
        <f t="array" ref="X1566">INDEX(xlRTTYNAME,MATCH(1,(xlRTTYENDU=1)*(xlRTTYEQCL=$D1566)*(xlRTEQTYPE=$E1566),0))</f>
        <v>KERO_FA3</v>
      </c>
      <c r="Y1566" s="153" t="str">
        <f t="array" ref="Y1566">INDEX(xlRTTYNAME,MATCH(1,(xlRTTYENDU=2)*(xlRTTYEQCL=$F1566)*(xlRTEQTYPE=$G1566),0))</f>
        <v>CENT_AIR3</v>
      </c>
    </row>
    <row r="1567" spans="2:25" ht="14.25" customHeight="1" x14ac:dyDescent="0.2">
      <c r="B1567" s="129">
        <v>3</v>
      </c>
      <c r="C1567" s="129">
        <v>2</v>
      </c>
      <c r="D1567" s="129">
        <v>5</v>
      </c>
      <c r="E1567" s="129">
        <v>16</v>
      </c>
      <c r="F1567" s="129">
        <v>2</v>
      </c>
      <c r="G1567" s="129">
        <v>7</v>
      </c>
      <c r="H1567" s="129">
        <v>2016</v>
      </c>
      <c r="I1567" s="38">
        <v>2022</v>
      </c>
      <c r="J1567" s="130">
        <v>1.099</v>
      </c>
      <c r="K1567" s="130">
        <v>1.03</v>
      </c>
      <c r="L1567" s="130">
        <v>0.80589999999999995</v>
      </c>
      <c r="M1567" s="130">
        <v>1.0138</v>
      </c>
      <c r="N1567" s="130">
        <v>1.0381</v>
      </c>
      <c r="O1567" s="130">
        <v>1.0538000000000001</v>
      </c>
      <c r="P1567" s="129">
        <v>3083</v>
      </c>
      <c r="Q1567" s="128">
        <f t="array" ref="Q1567">SUM(IF(($S1567&gt;=4)*($C1567='TaxCred&amp;Subs'!$D$123:$D$127)*($H1567='TaxCred&amp;Subs'!$C$123:$C$127)*($H1567&lt;='TaxCred&amp;Subs'!$C$129),'TaxCred&amp;Subs'!$E$123:$E$127,0))</f>
        <v>0</v>
      </c>
      <c r="R1567" s="174">
        <v>0</v>
      </c>
      <c r="S1567" s="129">
        <v>4</v>
      </c>
      <c r="T1567" s="129" t="s">
        <v>248</v>
      </c>
      <c r="U1567" s="155" t="s">
        <v>235</v>
      </c>
      <c r="V1567" s="153" t="str">
        <f t="array" ref="V1567">INDEX(xlRTCLNAME,MATCH(1,(xlRTCLENDU=1)*(xlRTCLEQCL=$D1567),0))</f>
        <v>KERO_FA</v>
      </c>
      <c r="W1567" s="153" t="str">
        <f t="array" ref="W1567">INDEX(xlRTCLNAME,MATCH(1,(xlRTCLENDU=2)*(xlRTCLEQCL=$F1567),0))</f>
        <v>CENT_AIR</v>
      </c>
      <c r="X1567" s="153" t="str">
        <f t="array" ref="X1567">INDEX(xlRTTYNAME,MATCH(1,(xlRTTYENDU=1)*(xlRTTYEQCL=$D1567)*(xlRTEQTYPE=$E1567),0))</f>
        <v>KERO_FA3</v>
      </c>
      <c r="Y1567" s="153" t="str">
        <f t="array" ref="Y1567">INDEX(xlRTTYNAME,MATCH(1,(xlRTTYENDU=2)*(xlRTTYEQCL=$F1567)*(xlRTEQTYPE=$G1567),0))</f>
        <v>CENT_AIR3</v>
      </c>
    </row>
    <row r="1568" spans="2:25" ht="14.25" customHeight="1" x14ac:dyDescent="0.2">
      <c r="B1568" s="131">
        <v>3</v>
      </c>
      <c r="C1568" s="131">
        <v>2</v>
      </c>
      <c r="D1568" s="131">
        <v>5</v>
      </c>
      <c r="E1568" s="131">
        <v>16</v>
      </c>
      <c r="F1568" s="131">
        <v>2</v>
      </c>
      <c r="G1568" s="131">
        <v>7</v>
      </c>
      <c r="H1568" s="131">
        <v>2023</v>
      </c>
      <c r="I1568" s="131">
        <v>2032</v>
      </c>
      <c r="J1568" s="132">
        <v>1.099</v>
      </c>
      <c r="K1568" s="132">
        <v>1.03</v>
      </c>
      <c r="L1568" s="132">
        <v>0.80589999999999995</v>
      </c>
      <c r="M1568" s="132">
        <v>1.0138</v>
      </c>
      <c r="N1568" s="132">
        <v>1.0381</v>
      </c>
      <c r="O1568" s="132">
        <v>1.0538000000000001</v>
      </c>
      <c r="P1568" s="131">
        <v>3083</v>
      </c>
      <c r="Q1568" s="51">
        <f t="array" ref="Q1568">SUM(IF(($S1568&gt;=4)*($C1568='TaxCred&amp;Subs'!$D$123:$D$127)*($H1568='TaxCred&amp;Subs'!$C$123:$C$127)*($H1568&lt;='TaxCred&amp;Subs'!$C$129),'TaxCred&amp;Subs'!$E$123:$E$127,0))</f>
        <v>500</v>
      </c>
      <c r="R1568" s="171">
        <v>0</v>
      </c>
      <c r="S1568" s="131">
        <v>4</v>
      </c>
      <c r="T1568" s="131" t="s">
        <v>248</v>
      </c>
      <c r="U1568" s="155" t="s">
        <v>235</v>
      </c>
      <c r="V1568" s="153" t="str">
        <f t="array" ref="V1568">INDEX(xlRTCLNAME,MATCH(1,(xlRTCLENDU=1)*(xlRTCLEQCL=$D1568),0))</f>
        <v>KERO_FA</v>
      </c>
      <c r="W1568" s="153" t="str">
        <f t="array" ref="W1568">INDEX(xlRTCLNAME,MATCH(1,(xlRTCLENDU=2)*(xlRTCLEQCL=$F1568),0))</f>
        <v>CENT_AIR</v>
      </c>
      <c r="X1568" s="153" t="str">
        <f t="array" ref="X1568">INDEX(xlRTTYNAME,MATCH(1,(xlRTTYENDU=1)*(xlRTTYEQCL=$D1568)*(xlRTEQTYPE=$E1568),0))</f>
        <v>KERO_FA3</v>
      </c>
      <c r="Y1568" s="153" t="str">
        <f t="array" ref="Y1568">INDEX(xlRTTYNAME,MATCH(1,(xlRTTYENDU=2)*(xlRTTYEQCL=$F1568)*(xlRTEQTYPE=$G1568),0))</f>
        <v>CENT_AIR3</v>
      </c>
    </row>
    <row r="1569" spans="2:25" ht="14.25" customHeight="1" x14ac:dyDescent="0.2">
      <c r="B1569" s="131">
        <v>3</v>
      </c>
      <c r="C1569" s="131">
        <v>2</v>
      </c>
      <c r="D1569" s="131">
        <v>5</v>
      </c>
      <c r="E1569" s="131">
        <v>16</v>
      </c>
      <c r="F1569" s="131">
        <v>2</v>
      </c>
      <c r="G1569" s="131">
        <v>7</v>
      </c>
      <c r="H1569" s="131">
        <v>2033</v>
      </c>
      <c r="I1569" s="131">
        <v>2050</v>
      </c>
      <c r="J1569" s="132">
        <v>1.099</v>
      </c>
      <c r="K1569" s="132">
        <v>1.03</v>
      </c>
      <c r="L1569" s="132">
        <v>0.80589999999999995</v>
      </c>
      <c r="M1569" s="132">
        <v>1.0138</v>
      </c>
      <c r="N1569" s="132">
        <v>1.0381</v>
      </c>
      <c r="O1569" s="132">
        <v>1.0538000000000001</v>
      </c>
      <c r="P1569" s="131">
        <v>3083</v>
      </c>
      <c r="Q1569" s="51">
        <f t="array" ref="Q1569">SUM(IF(($S1569&gt;=4)*($C1569='TaxCred&amp;Subs'!$D$123:$D$127)*($H1569='TaxCred&amp;Subs'!$C$123:$C$127)*($H1569&lt;='TaxCred&amp;Subs'!$C$129),'TaxCred&amp;Subs'!$E$123:$E$127,0))</f>
        <v>0</v>
      </c>
      <c r="R1569" s="171">
        <v>0</v>
      </c>
      <c r="S1569" s="131">
        <v>4</v>
      </c>
      <c r="T1569" s="131" t="s">
        <v>248</v>
      </c>
      <c r="U1569" s="155" t="s">
        <v>235</v>
      </c>
      <c r="V1569" s="153" t="str">
        <f t="array" ref="V1569">INDEX(xlRTCLNAME,MATCH(1,(xlRTCLENDU=1)*(xlRTCLEQCL=$D1569),0))</f>
        <v>KERO_FA</v>
      </c>
      <c r="W1569" s="153" t="str">
        <f t="array" ref="W1569">INDEX(xlRTCLNAME,MATCH(1,(xlRTCLENDU=2)*(xlRTCLEQCL=$F1569),0))</f>
        <v>CENT_AIR</v>
      </c>
      <c r="X1569" s="153" t="str">
        <f t="array" ref="X1569">INDEX(xlRTTYNAME,MATCH(1,(xlRTTYENDU=1)*(xlRTTYEQCL=$D1569)*(xlRTEQTYPE=$E1569),0))</f>
        <v>KERO_FA3</v>
      </c>
      <c r="Y1569" s="153" t="str">
        <f t="array" ref="Y1569">INDEX(xlRTTYNAME,MATCH(1,(xlRTTYENDU=2)*(xlRTTYEQCL=$F1569)*(xlRTEQTYPE=$G1569),0))</f>
        <v>CENT_AIR3</v>
      </c>
    </row>
    <row r="1570" spans="2:25" ht="14.25" customHeight="1" x14ac:dyDescent="0.2">
      <c r="B1570" s="129">
        <v>4</v>
      </c>
      <c r="C1570" s="129">
        <v>2</v>
      </c>
      <c r="D1570" s="129">
        <v>5</v>
      </c>
      <c r="E1570" s="129">
        <v>16</v>
      </c>
      <c r="F1570" s="129">
        <v>2</v>
      </c>
      <c r="G1570" s="129">
        <v>7</v>
      </c>
      <c r="H1570" s="129">
        <v>2016</v>
      </c>
      <c r="I1570" s="38">
        <v>2022</v>
      </c>
      <c r="J1570" s="130">
        <v>1.0934999999999999</v>
      </c>
      <c r="K1570" s="130">
        <v>1.0435000000000001</v>
      </c>
      <c r="L1570" s="130">
        <v>0.84150000000000003</v>
      </c>
      <c r="M1570" s="130">
        <v>1.1499999999999999</v>
      </c>
      <c r="N1570" s="130">
        <v>1.1696</v>
      </c>
      <c r="O1570" s="130">
        <v>1.0538000000000001</v>
      </c>
      <c r="P1570" s="129">
        <v>2378</v>
      </c>
      <c r="Q1570" s="128">
        <f t="array" ref="Q1570">SUM(IF(($S1570&gt;=4)*($C1570='TaxCred&amp;Subs'!$D$123:$D$127)*($H1570='TaxCred&amp;Subs'!$C$123:$C$127)*($H1570&lt;='TaxCred&amp;Subs'!$C$129),'TaxCred&amp;Subs'!$E$123:$E$127,0))</f>
        <v>0</v>
      </c>
      <c r="R1570" s="174">
        <v>0</v>
      </c>
      <c r="S1570" s="129">
        <v>4</v>
      </c>
      <c r="T1570" s="129" t="s">
        <v>248</v>
      </c>
      <c r="U1570" s="155" t="s">
        <v>235</v>
      </c>
      <c r="V1570" s="153" t="str">
        <f t="array" ref="V1570">INDEX(xlRTCLNAME,MATCH(1,(xlRTCLENDU=1)*(xlRTCLEQCL=$D1570),0))</f>
        <v>KERO_FA</v>
      </c>
      <c r="W1570" s="153" t="str">
        <f t="array" ref="W1570">INDEX(xlRTCLNAME,MATCH(1,(xlRTCLENDU=2)*(xlRTCLEQCL=$F1570),0))</f>
        <v>CENT_AIR</v>
      </c>
      <c r="X1570" s="153" t="str">
        <f t="array" ref="X1570">INDEX(xlRTTYNAME,MATCH(1,(xlRTTYENDU=1)*(xlRTTYEQCL=$D1570)*(xlRTEQTYPE=$E1570),0))</f>
        <v>KERO_FA3</v>
      </c>
      <c r="Y1570" s="153" t="str">
        <f t="array" ref="Y1570">INDEX(xlRTTYNAME,MATCH(1,(xlRTTYENDU=2)*(xlRTTYEQCL=$F1570)*(xlRTEQTYPE=$G1570),0))</f>
        <v>CENT_AIR3</v>
      </c>
    </row>
    <row r="1571" spans="2:25" ht="14.25" customHeight="1" x14ac:dyDescent="0.2">
      <c r="B1571" s="131">
        <v>4</v>
      </c>
      <c r="C1571" s="131">
        <v>2</v>
      </c>
      <c r="D1571" s="131">
        <v>5</v>
      </c>
      <c r="E1571" s="131">
        <v>16</v>
      </c>
      <c r="F1571" s="131">
        <v>2</v>
      </c>
      <c r="G1571" s="131">
        <v>7</v>
      </c>
      <c r="H1571" s="131">
        <v>2023</v>
      </c>
      <c r="I1571" s="131">
        <v>2032</v>
      </c>
      <c r="J1571" s="132">
        <v>1.0934999999999999</v>
      </c>
      <c r="K1571" s="132">
        <v>1.0435000000000001</v>
      </c>
      <c r="L1571" s="132">
        <v>0.84150000000000003</v>
      </c>
      <c r="M1571" s="132">
        <v>1.1499999999999999</v>
      </c>
      <c r="N1571" s="132">
        <v>1.1696</v>
      </c>
      <c r="O1571" s="132">
        <v>1.0538000000000001</v>
      </c>
      <c r="P1571" s="131">
        <v>2378</v>
      </c>
      <c r="Q1571" s="51">
        <f t="array" ref="Q1571">SUM(IF(($S1571&gt;=4)*($C1571='TaxCred&amp;Subs'!$D$123:$D$127)*($H1571='TaxCred&amp;Subs'!$C$123:$C$127)*($H1571&lt;='TaxCred&amp;Subs'!$C$129),'TaxCred&amp;Subs'!$E$123:$E$127,0))</f>
        <v>500</v>
      </c>
      <c r="R1571" s="171">
        <v>0</v>
      </c>
      <c r="S1571" s="131">
        <v>4</v>
      </c>
      <c r="T1571" s="131" t="s">
        <v>248</v>
      </c>
      <c r="U1571" s="155" t="s">
        <v>235</v>
      </c>
      <c r="V1571" s="153" t="str">
        <f t="array" ref="V1571">INDEX(xlRTCLNAME,MATCH(1,(xlRTCLENDU=1)*(xlRTCLEQCL=$D1571),0))</f>
        <v>KERO_FA</v>
      </c>
      <c r="W1571" s="153" t="str">
        <f t="array" ref="W1571">INDEX(xlRTCLNAME,MATCH(1,(xlRTCLENDU=2)*(xlRTCLEQCL=$F1571),0))</f>
        <v>CENT_AIR</v>
      </c>
      <c r="X1571" s="153" t="str">
        <f t="array" ref="X1571">INDEX(xlRTTYNAME,MATCH(1,(xlRTTYENDU=1)*(xlRTTYEQCL=$D1571)*(xlRTEQTYPE=$E1571),0))</f>
        <v>KERO_FA3</v>
      </c>
      <c r="Y1571" s="153" t="str">
        <f t="array" ref="Y1571">INDEX(xlRTTYNAME,MATCH(1,(xlRTTYENDU=2)*(xlRTTYEQCL=$F1571)*(xlRTEQTYPE=$G1571),0))</f>
        <v>CENT_AIR3</v>
      </c>
    </row>
    <row r="1572" spans="2:25" ht="14.25" customHeight="1" x14ac:dyDescent="0.2">
      <c r="B1572" s="131">
        <v>4</v>
      </c>
      <c r="C1572" s="131">
        <v>2</v>
      </c>
      <c r="D1572" s="131">
        <v>5</v>
      </c>
      <c r="E1572" s="131">
        <v>16</v>
      </c>
      <c r="F1572" s="131">
        <v>2</v>
      </c>
      <c r="G1572" s="131">
        <v>7</v>
      </c>
      <c r="H1572" s="131">
        <v>2033</v>
      </c>
      <c r="I1572" s="131">
        <v>2050</v>
      </c>
      <c r="J1572" s="132">
        <v>1.0934999999999999</v>
      </c>
      <c r="K1572" s="132">
        <v>1.0435000000000001</v>
      </c>
      <c r="L1572" s="132">
        <v>0.84150000000000003</v>
      </c>
      <c r="M1572" s="132">
        <v>1.1499999999999999</v>
      </c>
      <c r="N1572" s="132">
        <v>1.1696</v>
      </c>
      <c r="O1572" s="132">
        <v>1.0538000000000001</v>
      </c>
      <c r="P1572" s="131">
        <v>2378</v>
      </c>
      <c r="Q1572" s="51">
        <f t="array" ref="Q1572">SUM(IF(($S1572&gt;=4)*($C1572='TaxCred&amp;Subs'!$D$123:$D$127)*($H1572='TaxCred&amp;Subs'!$C$123:$C$127)*($H1572&lt;='TaxCred&amp;Subs'!$C$129),'TaxCred&amp;Subs'!$E$123:$E$127,0))</f>
        <v>0</v>
      </c>
      <c r="R1572" s="171">
        <v>0</v>
      </c>
      <c r="S1572" s="131">
        <v>4</v>
      </c>
      <c r="T1572" s="131" t="s">
        <v>248</v>
      </c>
      <c r="U1572" s="155" t="s">
        <v>235</v>
      </c>
      <c r="V1572" s="153" t="str">
        <f t="array" ref="V1572">INDEX(xlRTCLNAME,MATCH(1,(xlRTCLENDU=1)*(xlRTCLEQCL=$D1572),0))</f>
        <v>KERO_FA</v>
      </c>
      <c r="W1572" s="153" t="str">
        <f t="array" ref="W1572">INDEX(xlRTCLNAME,MATCH(1,(xlRTCLENDU=2)*(xlRTCLEQCL=$F1572),0))</f>
        <v>CENT_AIR</v>
      </c>
      <c r="X1572" s="153" t="str">
        <f t="array" ref="X1572">INDEX(xlRTTYNAME,MATCH(1,(xlRTTYENDU=1)*(xlRTTYEQCL=$D1572)*(xlRTEQTYPE=$E1572),0))</f>
        <v>KERO_FA3</v>
      </c>
      <c r="Y1572" s="153" t="str">
        <f t="array" ref="Y1572">INDEX(xlRTTYNAME,MATCH(1,(xlRTTYENDU=2)*(xlRTTYEQCL=$F1572)*(xlRTEQTYPE=$G1572),0))</f>
        <v>CENT_AIR3</v>
      </c>
    </row>
    <row r="1573" spans="2:25" ht="14.25" customHeight="1" x14ac:dyDescent="0.2">
      <c r="B1573" s="129">
        <v>5</v>
      </c>
      <c r="C1573" s="129">
        <v>2</v>
      </c>
      <c r="D1573" s="129">
        <v>5</v>
      </c>
      <c r="E1573" s="129">
        <v>16</v>
      </c>
      <c r="F1573" s="129">
        <v>2</v>
      </c>
      <c r="G1573" s="129">
        <v>7</v>
      </c>
      <c r="H1573" s="129">
        <v>2016</v>
      </c>
      <c r="I1573" s="38">
        <v>2022</v>
      </c>
      <c r="J1573" s="130">
        <v>1.1200000000000001</v>
      </c>
      <c r="K1573" s="130">
        <v>1.0391999999999999</v>
      </c>
      <c r="L1573" s="130">
        <v>0.63129999999999997</v>
      </c>
      <c r="M1573" s="130">
        <v>1.0902000000000001</v>
      </c>
      <c r="N1573" s="130">
        <v>1.2595000000000001</v>
      </c>
      <c r="O1573" s="130">
        <v>1.0538000000000001</v>
      </c>
      <c r="P1573" s="129">
        <v>2250</v>
      </c>
      <c r="Q1573" s="128">
        <f t="array" ref="Q1573">SUM(IF(($S1573&gt;=4)*($C1573='TaxCred&amp;Subs'!$D$123:$D$127)*($H1573='TaxCred&amp;Subs'!$C$123:$C$127)*($H1573&lt;='TaxCred&amp;Subs'!$C$129),'TaxCred&amp;Subs'!$E$123:$E$127,0))</f>
        <v>0</v>
      </c>
      <c r="R1573" s="174">
        <v>0</v>
      </c>
      <c r="S1573" s="129">
        <v>4</v>
      </c>
      <c r="T1573" s="129" t="s">
        <v>248</v>
      </c>
      <c r="U1573" s="155" t="s">
        <v>235</v>
      </c>
      <c r="V1573" s="153" t="str">
        <f t="array" ref="V1573">INDEX(xlRTCLNAME,MATCH(1,(xlRTCLENDU=1)*(xlRTCLEQCL=$D1573),0))</f>
        <v>KERO_FA</v>
      </c>
      <c r="W1573" s="153" t="str">
        <f t="array" ref="W1573">INDEX(xlRTCLNAME,MATCH(1,(xlRTCLENDU=2)*(xlRTCLEQCL=$F1573),0))</f>
        <v>CENT_AIR</v>
      </c>
      <c r="X1573" s="153" t="str">
        <f t="array" ref="X1573">INDEX(xlRTTYNAME,MATCH(1,(xlRTTYENDU=1)*(xlRTTYEQCL=$D1573)*(xlRTEQTYPE=$E1573),0))</f>
        <v>KERO_FA3</v>
      </c>
      <c r="Y1573" s="153" t="str">
        <f t="array" ref="Y1573">INDEX(xlRTTYNAME,MATCH(1,(xlRTTYENDU=2)*(xlRTTYEQCL=$F1573)*(xlRTEQTYPE=$G1573),0))</f>
        <v>CENT_AIR3</v>
      </c>
    </row>
    <row r="1574" spans="2:25" ht="14.25" customHeight="1" x14ac:dyDescent="0.2">
      <c r="B1574" s="131">
        <v>5</v>
      </c>
      <c r="C1574" s="131">
        <v>2</v>
      </c>
      <c r="D1574" s="131">
        <v>5</v>
      </c>
      <c r="E1574" s="131">
        <v>16</v>
      </c>
      <c r="F1574" s="131">
        <v>2</v>
      </c>
      <c r="G1574" s="131">
        <v>7</v>
      </c>
      <c r="H1574" s="131">
        <v>2023</v>
      </c>
      <c r="I1574" s="131">
        <v>2032</v>
      </c>
      <c r="J1574" s="132">
        <v>1.1200000000000001</v>
      </c>
      <c r="K1574" s="132">
        <v>1.0391999999999999</v>
      </c>
      <c r="L1574" s="132">
        <v>0.63129999999999997</v>
      </c>
      <c r="M1574" s="132">
        <v>1.0902000000000001</v>
      </c>
      <c r="N1574" s="132">
        <v>1.2595000000000001</v>
      </c>
      <c r="O1574" s="132">
        <v>1.0538000000000001</v>
      </c>
      <c r="P1574" s="131">
        <v>2250</v>
      </c>
      <c r="Q1574" s="51">
        <f t="array" ref="Q1574">SUM(IF(($S1574&gt;=4)*($C1574='TaxCred&amp;Subs'!$D$123:$D$127)*($H1574='TaxCred&amp;Subs'!$C$123:$C$127)*($H1574&lt;='TaxCred&amp;Subs'!$C$129),'TaxCred&amp;Subs'!$E$123:$E$127,0))</f>
        <v>500</v>
      </c>
      <c r="R1574" s="171">
        <v>0</v>
      </c>
      <c r="S1574" s="131">
        <v>4</v>
      </c>
      <c r="T1574" s="131" t="s">
        <v>248</v>
      </c>
      <c r="U1574" s="155" t="s">
        <v>235</v>
      </c>
      <c r="V1574" s="153" t="str">
        <f t="array" ref="V1574">INDEX(xlRTCLNAME,MATCH(1,(xlRTCLENDU=1)*(xlRTCLEQCL=$D1574),0))</f>
        <v>KERO_FA</v>
      </c>
      <c r="W1574" s="153" t="str">
        <f t="array" ref="W1574">INDEX(xlRTCLNAME,MATCH(1,(xlRTCLENDU=2)*(xlRTCLEQCL=$F1574),0))</f>
        <v>CENT_AIR</v>
      </c>
      <c r="X1574" s="153" t="str">
        <f t="array" ref="X1574">INDEX(xlRTTYNAME,MATCH(1,(xlRTTYENDU=1)*(xlRTTYEQCL=$D1574)*(xlRTEQTYPE=$E1574),0))</f>
        <v>KERO_FA3</v>
      </c>
      <c r="Y1574" s="153" t="str">
        <f t="array" ref="Y1574">INDEX(xlRTTYNAME,MATCH(1,(xlRTTYENDU=2)*(xlRTTYEQCL=$F1574)*(xlRTEQTYPE=$G1574),0))</f>
        <v>CENT_AIR3</v>
      </c>
    </row>
    <row r="1575" spans="2:25" ht="14.25" customHeight="1" x14ac:dyDescent="0.2">
      <c r="B1575" s="131">
        <v>5</v>
      </c>
      <c r="C1575" s="131">
        <v>2</v>
      </c>
      <c r="D1575" s="131">
        <v>5</v>
      </c>
      <c r="E1575" s="131">
        <v>16</v>
      </c>
      <c r="F1575" s="131">
        <v>2</v>
      </c>
      <c r="G1575" s="131">
        <v>7</v>
      </c>
      <c r="H1575" s="131">
        <v>2033</v>
      </c>
      <c r="I1575" s="131">
        <v>2050</v>
      </c>
      <c r="J1575" s="132">
        <v>1.1200000000000001</v>
      </c>
      <c r="K1575" s="132">
        <v>1.0391999999999999</v>
      </c>
      <c r="L1575" s="132">
        <v>0.63129999999999997</v>
      </c>
      <c r="M1575" s="132">
        <v>1.0902000000000001</v>
      </c>
      <c r="N1575" s="132">
        <v>1.2595000000000001</v>
      </c>
      <c r="O1575" s="132">
        <v>1.0538000000000001</v>
      </c>
      <c r="P1575" s="131">
        <v>2250</v>
      </c>
      <c r="Q1575" s="51">
        <f t="array" ref="Q1575">SUM(IF(($S1575&gt;=4)*($C1575='TaxCred&amp;Subs'!$D$123:$D$127)*($H1575='TaxCred&amp;Subs'!$C$123:$C$127)*($H1575&lt;='TaxCred&amp;Subs'!$C$129),'TaxCred&amp;Subs'!$E$123:$E$127,0))</f>
        <v>0</v>
      </c>
      <c r="R1575" s="171">
        <v>0</v>
      </c>
      <c r="S1575" s="131">
        <v>4</v>
      </c>
      <c r="T1575" s="131" t="s">
        <v>248</v>
      </c>
      <c r="U1575" s="155" t="s">
        <v>235</v>
      </c>
      <c r="V1575" s="153" t="str">
        <f t="array" ref="V1575">INDEX(xlRTCLNAME,MATCH(1,(xlRTCLENDU=1)*(xlRTCLEQCL=$D1575),0))</f>
        <v>KERO_FA</v>
      </c>
      <c r="W1575" s="153" t="str">
        <f t="array" ref="W1575">INDEX(xlRTCLNAME,MATCH(1,(xlRTCLENDU=2)*(xlRTCLEQCL=$F1575),0))</f>
        <v>CENT_AIR</v>
      </c>
      <c r="X1575" s="153" t="str">
        <f t="array" ref="X1575">INDEX(xlRTTYNAME,MATCH(1,(xlRTTYENDU=1)*(xlRTTYEQCL=$D1575)*(xlRTEQTYPE=$E1575),0))</f>
        <v>KERO_FA3</v>
      </c>
      <c r="Y1575" s="153" t="str">
        <f t="array" ref="Y1575">INDEX(xlRTTYNAME,MATCH(1,(xlRTTYENDU=2)*(xlRTTYEQCL=$F1575)*(xlRTEQTYPE=$G1575),0))</f>
        <v>CENT_AIR3</v>
      </c>
    </row>
    <row r="1576" spans="2:25" ht="14.25" customHeight="1" x14ac:dyDescent="0.2">
      <c r="B1576" s="129">
        <v>6</v>
      </c>
      <c r="C1576" s="129">
        <v>2</v>
      </c>
      <c r="D1576" s="129">
        <v>5</v>
      </c>
      <c r="E1576" s="129">
        <v>16</v>
      </c>
      <c r="F1576" s="129">
        <v>2</v>
      </c>
      <c r="G1576" s="129">
        <v>7</v>
      </c>
      <c r="H1576" s="129">
        <v>2016</v>
      </c>
      <c r="I1576" s="38">
        <v>2022</v>
      </c>
      <c r="J1576" s="130">
        <v>1.1200000000000001</v>
      </c>
      <c r="K1576" s="130">
        <v>1.03</v>
      </c>
      <c r="L1576" s="130">
        <v>1.0127999999999999</v>
      </c>
      <c r="M1576" s="130">
        <v>1.1228</v>
      </c>
      <c r="N1576" s="130">
        <v>1.3381000000000001</v>
      </c>
      <c r="O1576" s="130">
        <v>1.0538000000000001</v>
      </c>
      <c r="P1576" s="129">
        <v>2479</v>
      </c>
      <c r="Q1576" s="128">
        <f t="array" ref="Q1576">SUM(IF(($S1576&gt;=4)*($C1576='TaxCred&amp;Subs'!$D$123:$D$127)*($H1576='TaxCred&amp;Subs'!$C$123:$C$127)*($H1576&lt;='TaxCred&amp;Subs'!$C$129),'TaxCred&amp;Subs'!$E$123:$E$127,0))</f>
        <v>0</v>
      </c>
      <c r="R1576" s="174">
        <v>0</v>
      </c>
      <c r="S1576" s="129">
        <v>4</v>
      </c>
      <c r="T1576" s="129" t="s">
        <v>248</v>
      </c>
      <c r="U1576" s="155" t="s">
        <v>235</v>
      </c>
      <c r="V1576" s="153" t="str">
        <f t="array" ref="V1576">INDEX(xlRTCLNAME,MATCH(1,(xlRTCLENDU=1)*(xlRTCLEQCL=$D1576),0))</f>
        <v>KERO_FA</v>
      </c>
      <c r="W1576" s="153" t="str">
        <f t="array" ref="W1576">INDEX(xlRTCLNAME,MATCH(1,(xlRTCLENDU=2)*(xlRTCLEQCL=$F1576),0))</f>
        <v>CENT_AIR</v>
      </c>
      <c r="X1576" s="153" t="str">
        <f t="array" ref="X1576">INDEX(xlRTTYNAME,MATCH(1,(xlRTTYENDU=1)*(xlRTTYEQCL=$D1576)*(xlRTEQTYPE=$E1576),0))</f>
        <v>KERO_FA3</v>
      </c>
      <c r="Y1576" s="153" t="str">
        <f t="array" ref="Y1576">INDEX(xlRTTYNAME,MATCH(1,(xlRTTYENDU=2)*(xlRTTYEQCL=$F1576)*(xlRTEQTYPE=$G1576),0))</f>
        <v>CENT_AIR3</v>
      </c>
    </row>
    <row r="1577" spans="2:25" ht="14.25" customHeight="1" x14ac:dyDescent="0.2">
      <c r="B1577" s="131">
        <v>6</v>
      </c>
      <c r="C1577" s="131">
        <v>2</v>
      </c>
      <c r="D1577" s="131">
        <v>5</v>
      </c>
      <c r="E1577" s="131">
        <v>16</v>
      </c>
      <c r="F1577" s="131">
        <v>2</v>
      </c>
      <c r="G1577" s="131">
        <v>7</v>
      </c>
      <c r="H1577" s="131">
        <v>2023</v>
      </c>
      <c r="I1577" s="131">
        <v>2032</v>
      </c>
      <c r="J1577" s="132">
        <v>1.1200000000000001</v>
      </c>
      <c r="K1577" s="132">
        <v>1.03</v>
      </c>
      <c r="L1577" s="132">
        <v>1.0127999999999999</v>
      </c>
      <c r="M1577" s="132">
        <v>1.1228</v>
      </c>
      <c r="N1577" s="132">
        <v>1.3381000000000001</v>
      </c>
      <c r="O1577" s="132">
        <v>1.0538000000000001</v>
      </c>
      <c r="P1577" s="131">
        <v>2479</v>
      </c>
      <c r="Q1577" s="51">
        <f t="array" ref="Q1577">SUM(IF(($S1577&gt;=4)*($C1577='TaxCred&amp;Subs'!$D$123:$D$127)*($H1577='TaxCred&amp;Subs'!$C$123:$C$127)*($H1577&lt;='TaxCred&amp;Subs'!$C$129),'TaxCred&amp;Subs'!$E$123:$E$127,0))</f>
        <v>500</v>
      </c>
      <c r="R1577" s="171">
        <v>0</v>
      </c>
      <c r="S1577" s="131">
        <v>4</v>
      </c>
      <c r="T1577" s="131" t="s">
        <v>248</v>
      </c>
      <c r="U1577" s="155" t="s">
        <v>235</v>
      </c>
      <c r="V1577" s="153" t="str">
        <f t="array" ref="V1577">INDEX(xlRTCLNAME,MATCH(1,(xlRTCLENDU=1)*(xlRTCLEQCL=$D1577),0))</f>
        <v>KERO_FA</v>
      </c>
      <c r="W1577" s="153" t="str">
        <f t="array" ref="W1577">INDEX(xlRTCLNAME,MATCH(1,(xlRTCLENDU=2)*(xlRTCLEQCL=$F1577),0))</f>
        <v>CENT_AIR</v>
      </c>
      <c r="X1577" s="153" t="str">
        <f t="array" ref="X1577">INDEX(xlRTTYNAME,MATCH(1,(xlRTTYENDU=1)*(xlRTTYEQCL=$D1577)*(xlRTEQTYPE=$E1577),0))</f>
        <v>KERO_FA3</v>
      </c>
      <c r="Y1577" s="153" t="str">
        <f t="array" ref="Y1577">INDEX(xlRTTYNAME,MATCH(1,(xlRTTYENDU=2)*(xlRTTYEQCL=$F1577)*(xlRTEQTYPE=$G1577),0))</f>
        <v>CENT_AIR3</v>
      </c>
    </row>
    <row r="1578" spans="2:25" ht="14.25" customHeight="1" x14ac:dyDescent="0.2">
      <c r="B1578" s="131">
        <v>6</v>
      </c>
      <c r="C1578" s="131">
        <v>2</v>
      </c>
      <c r="D1578" s="131">
        <v>5</v>
      </c>
      <c r="E1578" s="131">
        <v>16</v>
      </c>
      <c r="F1578" s="131">
        <v>2</v>
      </c>
      <c r="G1578" s="131">
        <v>7</v>
      </c>
      <c r="H1578" s="131">
        <v>2033</v>
      </c>
      <c r="I1578" s="131">
        <v>2050</v>
      </c>
      <c r="J1578" s="132">
        <v>1.1200000000000001</v>
      </c>
      <c r="K1578" s="132">
        <v>1.03</v>
      </c>
      <c r="L1578" s="132">
        <v>1.0127999999999999</v>
      </c>
      <c r="M1578" s="132">
        <v>1.1228</v>
      </c>
      <c r="N1578" s="132">
        <v>1.3381000000000001</v>
      </c>
      <c r="O1578" s="132">
        <v>1.0538000000000001</v>
      </c>
      <c r="P1578" s="131">
        <v>2479</v>
      </c>
      <c r="Q1578" s="51">
        <f t="array" ref="Q1578">SUM(IF(($S1578&gt;=4)*($C1578='TaxCred&amp;Subs'!$D$123:$D$127)*($H1578='TaxCred&amp;Subs'!$C$123:$C$127)*($H1578&lt;='TaxCred&amp;Subs'!$C$129),'TaxCred&amp;Subs'!$E$123:$E$127,0))</f>
        <v>0</v>
      </c>
      <c r="R1578" s="171">
        <v>0</v>
      </c>
      <c r="S1578" s="131">
        <v>4</v>
      </c>
      <c r="T1578" s="131" t="s">
        <v>248</v>
      </c>
      <c r="U1578" s="155" t="s">
        <v>235</v>
      </c>
      <c r="V1578" s="153" t="str">
        <f t="array" ref="V1578">INDEX(xlRTCLNAME,MATCH(1,(xlRTCLENDU=1)*(xlRTCLEQCL=$D1578),0))</f>
        <v>KERO_FA</v>
      </c>
      <c r="W1578" s="153" t="str">
        <f t="array" ref="W1578">INDEX(xlRTCLNAME,MATCH(1,(xlRTCLENDU=2)*(xlRTCLEQCL=$F1578),0))</f>
        <v>CENT_AIR</v>
      </c>
      <c r="X1578" s="153" t="str">
        <f t="array" ref="X1578">INDEX(xlRTTYNAME,MATCH(1,(xlRTTYENDU=1)*(xlRTTYEQCL=$D1578)*(xlRTEQTYPE=$E1578),0))</f>
        <v>KERO_FA3</v>
      </c>
      <c r="Y1578" s="153" t="str">
        <f t="array" ref="Y1578">INDEX(xlRTTYNAME,MATCH(1,(xlRTTYENDU=2)*(xlRTTYEQCL=$F1578)*(xlRTEQTYPE=$G1578),0))</f>
        <v>CENT_AIR3</v>
      </c>
    </row>
    <row r="1579" spans="2:25" ht="14.25" customHeight="1" x14ac:dyDescent="0.2">
      <c r="B1579" s="129">
        <v>7</v>
      </c>
      <c r="C1579" s="129">
        <v>2</v>
      </c>
      <c r="D1579" s="129">
        <v>5</v>
      </c>
      <c r="E1579" s="129">
        <v>16</v>
      </c>
      <c r="F1579" s="129">
        <v>2</v>
      </c>
      <c r="G1579" s="129">
        <v>7</v>
      </c>
      <c r="H1579" s="129">
        <v>2016</v>
      </c>
      <c r="I1579" s="38">
        <v>2022</v>
      </c>
      <c r="J1579" s="130">
        <v>1.1200000000000001</v>
      </c>
      <c r="K1579" s="130">
        <v>1.0476000000000001</v>
      </c>
      <c r="L1579" s="130">
        <v>1.0271999999999999</v>
      </c>
      <c r="M1579" s="130">
        <v>1.1173</v>
      </c>
      <c r="N1579" s="130">
        <v>1.4438</v>
      </c>
      <c r="O1579" s="130">
        <v>1.0538000000000001</v>
      </c>
      <c r="P1579" s="129">
        <v>2031</v>
      </c>
      <c r="Q1579" s="128">
        <f t="array" ref="Q1579">SUM(IF(($S1579&gt;=4)*($C1579='TaxCred&amp;Subs'!$D$123:$D$127)*($H1579='TaxCred&amp;Subs'!$C$123:$C$127)*($H1579&lt;='TaxCred&amp;Subs'!$C$129),'TaxCred&amp;Subs'!$E$123:$E$127,0))</f>
        <v>0</v>
      </c>
      <c r="R1579" s="174">
        <v>0</v>
      </c>
      <c r="S1579" s="129">
        <v>4</v>
      </c>
      <c r="T1579" s="129" t="s">
        <v>248</v>
      </c>
      <c r="U1579" s="155" t="s">
        <v>235</v>
      </c>
      <c r="V1579" s="153" t="str">
        <f t="array" ref="V1579">INDEX(xlRTCLNAME,MATCH(1,(xlRTCLENDU=1)*(xlRTCLEQCL=$D1579),0))</f>
        <v>KERO_FA</v>
      </c>
      <c r="W1579" s="153" t="str">
        <f t="array" ref="W1579">INDEX(xlRTCLNAME,MATCH(1,(xlRTCLENDU=2)*(xlRTCLEQCL=$F1579),0))</f>
        <v>CENT_AIR</v>
      </c>
      <c r="X1579" s="153" t="str">
        <f t="array" ref="X1579">INDEX(xlRTTYNAME,MATCH(1,(xlRTTYENDU=1)*(xlRTTYEQCL=$D1579)*(xlRTEQTYPE=$E1579),0))</f>
        <v>KERO_FA3</v>
      </c>
      <c r="Y1579" s="153" t="str">
        <f t="array" ref="Y1579">INDEX(xlRTTYNAME,MATCH(1,(xlRTTYENDU=2)*(xlRTTYEQCL=$F1579)*(xlRTEQTYPE=$G1579),0))</f>
        <v>CENT_AIR3</v>
      </c>
    </row>
    <row r="1580" spans="2:25" ht="14.25" customHeight="1" x14ac:dyDescent="0.2">
      <c r="B1580" s="131">
        <v>7</v>
      </c>
      <c r="C1580" s="131">
        <v>2</v>
      </c>
      <c r="D1580" s="131">
        <v>5</v>
      </c>
      <c r="E1580" s="131">
        <v>16</v>
      </c>
      <c r="F1580" s="131">
        <v>2</v>
      </c>
      <c r="G1580" s="131">
        <v>7</v>
      </c>
      <c r="H1580" s="131">
        <v>2023</v>
      </c>
      <c r="I1580" s="131">
        <v>2032</v>
      </c>
      <c r="J1580" s="132">
        <v>1.1200000000000001</v>
      </c>
      <c r="K1580" s="132">
        <v>1.0476000000000001</v>
      </c>
      <c r="L1580" s="132">
        <v>1.0271999999999999</v>
      </c>
      <c r="M1580" s="132">
        <v>1.1173</v>
      </c>
      <c r="N1580" s="132">
        <v>1.4438</v>
      </c>
      <c r="O1580" s="132">
        <v>1.0538000000000001</v>
      </c>
      <c r="P1580" s="131">
        <v>2031</v>
      </c>
      <c r="Q1580" s="51">
        <f t="array" ref="Q1580">SUM(IF(($S1580&gt;=4)*($C1580='TaxCred&amp;Subs'!$D$123:$D$127)*($H1580='TaxCred&amp;Subs'!$C$123:$C$127)*($H1580&lt;='TaxCred&amp;Subs'!$C$129),'TaxCred&amp;Subs'!$E$123:$E$127,0))</f>
        <v>500</v>
      </c>
      <c r="R1580" s="171">
        <v>0</v>
      </c>
      <c r="S1580" s="131">
        <v>4</v>
      </c>
      <c r="T1580" s="131" t="s">
        <v>248</v>
      </c>
      <c r="U1580" s="155" t="s">
        <v>235</v>
      </c>
      <c r="V1580" s="153" t="str">
        <f t="array" ref="V1580">INDEX(xlRTCLNAME,MATCH(1,(xlRTCLENDU=1)*(xlRTCLEQCL=$D1580),0))</f>
        <v>KERO_FA</v>
      </c>
      <c r="W1580" s="153" t="str">
        <f t="array" ref="W1580">INDEX(xlRTCLNAME,MATCH(1,(xlRTCLENDU=2)*(xlRTCLEQCL=$F1580),0))</f>
        <v>CENT_AIR</v>
      </c>
      <c r="X1580" s="153" t="str">
        <f t="array" ref="X1580">INDEX(xlRTTYNAME,MATCH(1,(xlRTTYENDU=1)*(xlRTTYEQCL=$D1580)*(xlRTEQTYPE=$E1580),0))</f>
        <v>KERO_FA3</v>
      </c>
      <c r="Y1580" s="153" t="str">
        <f t="array" ref="Y1580">INDEX(xlRTTYNAME,MATCH(1,(xlRTTYENDU=2)*(xlRTTYEQCL=$F1580)*(xlRTEQTYPE=$G1580),0))</f>
        <v>CENT_AIR3</v>
      </c>
    </row>
    <row r="1581" spans="2:25" ht="14.25" customHeight="1" x14ac:dyDescent="0.2">
      <c r="B1581" s="131">
        <v>7</v>
      </c>
      <c r="C1581" s="131">
        <v>2</v>
      </c>
      <c r="D1581" s="131">
        <v>5</v>
      </c>
      <c r="E1581" s="131">
        <v>16</v>
      </c>
      <c r="F1581" s="131">
        <v>2</v>
      </c>
      <c r="G1581" s="131">
        <v>7</v>
      </c>
      <c r="H1581" s="131">
        <v>2033</v>
      </c>
      <c r="I1581" s="131">
        <v>2050</v>
      </c>
      <c r="J1581" s="132">
        <v>1.1200000000000001</v>
      </c>
      <c r="K1581" s="132">
        <v>1.0476000000000001</v>
      </c>
      <c r="L1581" s="132">
        <v>1.0271999999999999</v>
      </c>
      <c r="M1581" s="132">
        <v>1.1173</v>
      </c>
      <c r="N1581" s="132">
        <v>1.4438</v>
      </c>
      <c r="O1581" s="132">
        <v>1.0538000000000001</v>
      </c>
      <c r="P1581" s="131">
        <v>2031</v>
      </c>
      <c r="Q1581" s="51">
        <f t="array" ref="Q1581">SUM(IF(($S1581&gt;=4)*($C1581='TaxCred&amp;Subs'!$D$123:$D$127)*($H1581='TaxCred&amp;Subs'!$C$123:$C$127)*($H1581&lt;='TaxCred&amp;Subs'!$C$129),'TaxCred&amp;Subs'!$E$123:$E$127,0))</f>
        <v>0</v>
      </c>
      <c r="R1581" s="171">
        <v>0</v>
      </c>
      <c r="S1581" s="131">
        <v>4</v>
      </c>
      <c r="T1581" s="131" t="s">
        <v>248</v>
      </c>
      <c r="U1581" s="155" t="s">
        <v>235</v>
      </c>
      <c r="V1581" s="153" t="str">
        <f t="array" ref="V1581">INDEX(xlRTCLNAME,MATCH(1,(xlRTCLENDU=1)*(xlRTCLEQCL=$D1581),0))</f>
        <v>KERO_FA</v>
      </c>
      <c r="W1581" s="153" t="str">
        <f t="array" ref="W1581">INDEX(xlRTCLNAME,MATCH(1,(xlRTCLENDU=2)*(xlRTCLEQCL=$F1581),0))</f>
        <v>CENT_AIR</v>
      </c>
      <c r="X1581" s="153" t="str">
        <f t="array" ref="X1581">INDEX(xlRTTYNAME,MATCH(1,(xlRTTYENDU=1)*(xlRTTYEQCL=$D1581)*(xlRTEQTYPE=$E1581),0))</f>
        <v>KERO_FA3</v>
      </c>
      <c r="Y1581" s="153" t="str">
        <f t="array" ref="Y1581">INDEX(xlRTTYNAME,MATCH(1,(xlRTTYENDU=2)*(xlRTTYEQCL=$F1581)*(xlRTEQTYPE=$G1581),0))</f>
        <v>CENT_AIR3</v>
      </c>
    </row>
    <row r="1582" spans="2:25" ht="14.25" customHeight="1" x14ac:dyDescent="0.2">
      <c r="B1582" s="129">
        <v>8</v>
      </c>
      <c r="C1582" s="129">
        <v>2</v>
      </c>
      <c r="D1582" s="129">
        <v>5</v>
      </c>
      <c r="E1582" s="129">
        <v>16</v>
      </c>
      <c r="F1582" s="129">
        <v>2</v>
      </c>
      <c r="G1582" s="129">
        <v>7</v>
      </c>
      <c r="H1582" s="129">
        <v>2016</v>
      </c>
      <c r="I1582" s="38">
        <v>2022</v>
      </c>
      <c r="J1582" s="130">
        <v>1.1064000000000001</v>
      </c>
      <c r="K1582" s="130">
        <v>1.0645</v>
      </c>
      <c r="L1582" s="130">
        <v>0.80669999999999997</v>
      </c>
      <c r="M1582" s="130">
        <v>1.2739</v>
      </c>
      <c r="N1582" s="130">
        <v>1.2826</v>
      </c>
      <c r="O1582" s="130">
        <v>1.0538000000000001</v>
      </c>
      <c r="P1582" s="129">
        <v>2501</v>
      </c>
      <c r="Q1582" s="128">
        <f t="array" ref="Q1582">SUM(IF(($S1582&gt;=4)*($C1582='TaxCred&amp;Subs'!$D$123:$D$127)*($H1582='TaxCred&amp;Subs'!$C$123:$C$127)*($H1582&lt;='TaxCred&amp;Subs'!$C$129),'TaxCred&amp;Subs'!$E$123:$E$127,0))</f>
        <v>0</v>
      </c>
      <c r="R1582" s="174">
        <v>0</v>
      </c>
      <c r="S1582" s="129">
        <v>4</v>
      </c>
      <c r="T1582" s="129" t="s">
        <v>248</v>
      </c>
      <c r="U1582" s="155" t="s">
        <v>235</v>
      </c>
      <c r="V1582" s="153" t="str">
        <f t="array" ref="V1582">INDEX(xlRTCLNAME,MATCH(1,(xlRTCLENDU=1)*(xlRTCLEQCL=$D1582),0))</f>
        <v>KERO_FA</v>
      </c>
      <c r="W1582" s="153" t="str">
        <f t="array" ref="W1582">INDEX(xlRTCLNAME,MATCH(1,(xlRTCLENDU=2)*(xlRTCLEQCL=$F1582),0))</f>
        <v>CENT_AIR</v>
      </c>
      <c r="X1582" s="153" t="str">
        <f t="array" ref="X1582">INDEX(xlRTTYNAME,MATCH(1,(xlRTTYENDU=1)*(xlRTTYEQCL=$D1582)*(xlRTEQTYPE=$E1582),0))</f>
        <v>KERO_FA3</v>
      </c>
      <c r="Y1582" s="153" t="str">
        <f t="array" ref="Y1582">INDEX(xlRTTYNAME,MATCH(1,(xlRTTYENDU=2)*(xlRTTYEQCL=$F1582)*(xlRTEQTYPE=$G1582),0))</f>
        <v>CENT_AIR3</v>
      </c>
    </row>
    <row r="1583" spans="2:25" ht="14.25" customHeight="1" x14ac:dyDescent="0.2">
      <c r="B1583" s="131">
        <v>8</v>
      </c>
      <c r="C1583" s="131">
        <v>2</v>
      </c>
      <c r="D1583" s="131">
        <v>5</v>
      </c>
      <c r="E1583" s="131">
        <v>16</v>
      </c>
      <c r="F1583" s="131">
        <v>2</v>
      </c>
      <c r="G1583" s="131">
        <v>7</v>
      </c>
      <c r="H1583" s="131">
        <v>2023</v>
      </c>
      <c r="I1583" s="131">
        <v>2032</v>
      </c>
      <c r="J1583" s="132">
        <v>1.1064000000000001</v>
      </c>
      <c r="K1583" s="132">
        <v>1.0645</v>
      </c>
      <c r="L1583" s="132">
        <v>0.80669999999999997</v>
      </c>
      <c r="M1583" s="132">
        <v>1.2739</v>
      </c>
      <c r="N1583" s="132">
        <v>1.2826</v>
      </c>
      <c r="O1583" s="132">
        <v>1.0538000000000001</v>
      </c>
      <c r="P1583" s="131">
        <v>2501</v>
      </c>
      <c r="Q1583" s="51">
        <f t="array" ref="Q1583">SUM(IF(($S1583&gt;=4)*($C1583='TaxCred&amp;Subs'!$D$123:$D$127)*($H1583='TaxCred&amp;Subs'!$C$123:$C$127)*($H1583&lt;='TaxCred&amp;Subs'!$C$129),'TaxCred&amp;Subs'!$E$123:$E$127,0))</f>
        <v>500</v>
      </c>
      <c r="R1583" s="171">
        <v>0</v>
      </c>
      <c r="S1583" s="131">
        <v>4</v>
      </c>
      <c r="T1583" s="131" t="s">
        <v>248</v>
      </c>
      <c r="U1583" s="155" t="s">
        <v>235</v>
      </c>
      <c r="V1583" s="153" t="str">
        <f t="array" ref="V1583">INDEX(xlRTCLNAME,MATCH(1,(xlRTCLENDU=1)*(xlRTCLEQCL=$D1583),0))</f>
        <v>KERO_FA</v>
      </c>
      <c r="W1583" s="153" t="str">
        <f t="array" ref="W1583">INDEX(xlRTCLNAME,MATCH(1,(xlRTCLENDU=2)*(xlRTCLEQCL=$F1583),0))</f>
        <v>CENT_AIR</v>
      </c>
      <c r="X1583" s="153" t="str">
        <f t="array" ref="X1583">INDEX(xlRTTYNAME,MATCH(1,(xlRTTYENDU=1)*(xlRTTYEQCL=$D1583)*(xlRTEQTYPE=$E1583),0))</f>
        <v>KERO_FA3</v>
      </c>
      <c r="Y1583" s="153" t="str">
        <f t="array" ref="Y1583">INDEX(xlRTTYNAME,MATCH(1,(xlRTTYENDU=2)*(xlRTTYEQCL=$F1583)*(xlRTEQTYPE=$G1583),0))</f>
        <v>CENT_AIR3</v>
      </c>
    </row>
    <row r="1584" spans="2:25" ht="14.25" customHeight="1" x14ac:dyDescent="0.2">
      <c r="B1584" s="131">
        <v>8</v>
      </c>
      <c r="C1584" s="131">
        <v>2</v>
      </c>
      <c r="D1584" s="131">
        <v>5</v>
      </c>
      <c r="E1584" s="131">
        <v>16</v>
      </c>
      <c r="F1584" s="131">
        <v>2</v>
      </c>
      <c r="G1584" s="131">
        <v>7</v>
      </c>
      <c r="H1584" s="131">
        <v>2033</v>
      </c>
      <c r="I1584" s="131">
        <v>2050</v>
      </c>
      <c r="J1584" s="132">
        <v>1.1064000000000001</v>
      </c>
      <c r="K1584" s="132">
        <v>1.0645</v>
      </c>
      <c r="L1584" s="132">
        <v>0.80669999999999997</v>
      </c>
      <c r="M1584" s="132">
        <v>1.2739</v>
      </c>
      <c r="N1584" s="132">
        <v>1.2826</v>
      </c>
      <c r="O1584" s="132">
        <v>1.0538000000000001</v>
      </c>
      <c r="P1584" s="131">
        <v>2501</v>
      </c>
      <c r="Q1584" s="51">
        <f t="array" ref="Q1584">SUM(IF(($S1584&gt;=4)*($C1584='TaxCred&amp;Subs'!$D$123:$D$127)*($H1584='TaxCred&amp;Subs'!$C$123:$C$127)*($H1584&lt;='TaxCred&amp;Subs'!$C$129),'TaxCred&amp;Subs'!$E$123:$E$127,0))</f>
        <v>0</v>
      </c>
      <c r="R1584" s="171">
        <v>0</v>
      </c>
      <c r="S1584" s="131">
        <v>4</v>
      </c>
      <c r="T1584" s="131" t="s">
        <v>248</v>
      </c>
      <c r="U1584" s="155" t="s">
        <v>235</v>
      </c>
      <c r="V1584" s="153" t="str">
        <f t="array" ref="V1584">INDEX(xlRTCLNAME,MATCH(1,(xlRTCLENDU=1)*(xlRTCLEQCL=$D1584),0))</f>
        <v>KERO_FA</v>
      </c>
      <c r="W1584" s="153" t="str">
        <f t="array" ref="W1584">INDEX(xlRTCLNAME,MATCH(1,(xlRTCLENDU=2)*(xlRTCLEQCL=$F1584),0))</f>
        <v>CENT_AIR</v>
      </c>
      <c r="X1584" s="153" t="str">
        <f t="array" ref="X1584">INDEX(xlRTTYNAME,MATCH(1,(xlRTTYENDU=1)*(xlRTTYEQCL=$D1584)*(xlRTEQTYPE=$E1584),0))</f>
        <v>KERO_FA3</v>
      </c>
      <c r="Y1584" s="153" t="str">
        <f t="array" ref="Y1584">INDEX(xlRTTYNAME,MATCH(1,(xlRTTYENDU=2)*(xlRTTYEQCL=$F1584)*(xlRTEQTYPE=$G1584),0))</f>
        <v>CENT_AIR3</v>
      </c>
    </row>
    <row r="1585" spans="2:25" ht="14.25" customHeight="1" x14ac:dyDescent="0.2">
      <c r="B1585" s="129">
        <v>9</v>
      </c>
      <c r="C1585" s="129">
        <v>2</v>
      </c>
      <c r="D1585" s="129">
        <v>5</v>
      </c>
      <c r="E1585" s="129">
        <v>16</v>
      </c>
      <c r="F1585" s="129">
        <v>2</v>
      </c>
      <c r="G1585" s="129">
        <v>7</v>
      </c>
      <c r="H1585" s="129">
        <v>2016</v>
      </c>
      <c r="I1585" s="38">
        <v>2022</v>
      </c>
      <c r="J1585" s="130">
        <v>1.03</v>
      </c>
      <c r="K1585" s="130">
        <v>1.0556000000000001</v>
      </c>
      <c r="L1585" s="130">
        <v>0.44379999999999997</v>
      </c>
      <c r="M1585" s="130">
        <v>1.2</v>
      </c>
      <c r="N1585" s="130">
        <v>1.4438</v>
      </c>
      <c r="O1585" s="130">
        <v>1.0538000000000001</v>
      </c>
      <c r="P1585" s="129">
        <v>2576</v>
      </c>
      <c r="Q1585" s="128">
        <f t="array" ref="Q1585">SUM(IF(($S1585&gt;=4)*($C1585='TaxCred&amp;Subs'!$D$123:$D$127)*($H1585='TaxCred&amp;Subs'!$C$123:$C$127)*($H1585&lt;='TaxCred&amp;Subs'!$C$129),'TaxCred&amp;Subs'!$E$123:$E$127,0))</f>
        <v>0</v>
      </c>
      <c r="R1585" s="174">
        <v>0</v>
      </c>
      <c r="S1585" s="129">
        <v>4</v>
      </c>
      <c r="T1585" s="129" t="s">
        <v>248</v>
      </c>
      <c r="U1585" s="155" t="s">
        <v>235</v>
      </c>
      <c r="V1585" s="153" t="str">
        <f t="array" ref="V1585">INDEX(xlRTCLNAME,MATCH(1,(xlRTCLENDU=1)*(xlRTCLEQCL=$D1585),0))</f>
        <v>KERO_FA</v>
      </c>
      <c r="W1585" s="153" t="str">
        <f t="array" ref="W1585">INDEX(xlRTCLNAME,MATCH(1,(xlRTCLENDU=2)*(xlRTCLEQCL=$F1585),0))</f>
        <v>CENT_AIR</v>
      </c>
      <c r="X1585" s="153" t="str">
        <f t="array" ref="X1585">INDEX(xlRTTYNAME,MATCH(1,(xlRTTYENDU=1)*(xlRTTYEQCL=$D1585)*(xlRTEQTYPE=$E1585),0))</f>
        <v>KERO_FA3</v>
      </c>
      <c r="Y1585" s="153" t="str">
        <f t="array" ref="Y1585">INDEX(xlRTTYNAME,MATCH(1,(xlRTTYENDU=2)*(xlRTTYEQCL=$F1585)*(xlRTEQTYPE=$G1585),0))</f>
        <v>CENT_AIR3</v>
      </c>
    </row>
    <row r="1586" spans="2:25" ht="14.25" customHeight="1" x14ac:dyDescent="0.2">
      <c r="B1586" s="131">
        <v>9</v>
      </c>
      <c r="C1586" s="131">
        <v>2</v>
      </c>
      <c r="D1586" s="131">
        <v>5</v>
      </c>
      <c r="E1586" s="131">
        <v>16</v>
      </c>
      <c r="F1586" s="131">
        <v>2</v>
      </c>
      <c r="G1586" s="131">
        <v>7</v>
      </c>
      <c r="H1586" s="131">
        <v>2023</v>
      </c>
      <c r="I1586" s="131">
        <v>2032</v>
      </c>
      <c r="J1586" s="132">
        <v>1.03</v>
      </c>
      <c r="K1586" s="132">
        <v>1.0556000000000001</v>
      </c>
      <c r="L1586" s="132">
        <v>0.44379999999999997</v>
      </c>
      <c r="M1586" s="132">
        <v>1.2</v>
      </c>
      <c r="N1586" s="132">
        <v>1.4438</v>
      </c>
      <c r="O1586" s="132">
        <v>1.0538000000000001</v>
      </c>
      <c r="P1586" s="131">
        <v>2576</v>
      </c>
      <c r="Q1586" s="51">
        <f t="array" ref="Q1586">SUM(IF(($S1586&gt;=4)*($C1586='TaxCred&amp;Subs'!$D$123:$D$127)*($H1586='TaxCred&amp;Subs'!$C$123:$C$127)*($H1586&lt;='TaxCred&amp;Subs'!$C$129),'TaxCred&amp;Subs'!$E$123:$E$127,0))</f>
        <v>500</v>
      </c>
      <c r="R1586" s="171">
        <v>0</v>
      </c>
      <c r="S1586" s="131">
        <v>4</v>
      </c>
      <c r="T1586" s="131" t="s">
        <v>248</v>
      </c>
      <c r="U1586" s="155" t="s">
        <v>235</v>
      </c>
      <c r="V1586" s="153" t="str">
        <f t="array" ref="V1586">INDEX(xlRTCLNAME,MATCH(1,(xlRTCLENDU=1)*(xlRTCLEQCL=$D1586),0))</f>
        <v>KERO_FA</v>
      </c>
      <c r="W1586" s="153" t="str">
        <f t="array" ref="W1586">INDEX(xlRTCLNAME,MATCH(1,(xlRTCLENDU=2)*(xlRTCLEQCL=$F1586),0))</f>
        <v>CENT_AIR</v>
      </c>
      <c r="X1586" s="153" t="str">
        <f t="array" ref="X1586">INDEX(xlRTTYNAME,MATCH(1,(xlRTTYENDU=1)*(xlRTTYEQCL=$D1586)*(xlRTEQTYPE=$E1586),0))</f>
        <v>KERO_FA3</v>
      </c>
      <c r="Y1586" s="153" t="str">
        <f t="array" ref="Y1586">INDEX(xlRTTYNAME,MATCH(1,(xlRTTYENDU=2)*(xlRTTYEQCL=$F1586)*(xlRTEQTYPE=$G1586),0))</f>
        <v>CENT_AIR3</v>
      </c>
    </row>
    <row r="1587" spans="2:25" ht="14.25" customHeight="1" x14ac:dyDescent="0.2">
      <c r="B1587" s="131">
        <v>9</v>
      </c>
      <c r="C1587" s="131">
        <v>2</v>
      </c>
      <c r="D1587" s="131">
        <v>5</v>
      </c>
      <c r="E1587" s="131">
        <v>16</v>
      </c>
      <c r="F1587" s="131">
        <v>2</v>
      </c>
      <c r="G1587" s="131">
        <v>7</v>
      </c>
      <c r="H1587" s="131">
        <v>2033</v>
      </c>
      <c r="I1587" s="131">
        <v>2050</v>
      </c>
      <c r="J1587" s="132">
        <v>1.03</v>
      </c>
      <c r="K1587" s="132">
        <v>1.0556000000000001</v>
      </c>
      <c r="L1587" s="132">
        <v>0.44379999999999997</v>
      </c>
      <c r="M1587" s="132">
        <v>1.2</v>
      </c>
      <c r="N1587" s="132">
        <v>1.4438</v>
      </c>
      <c r="O1587" s="132">
        <v>1.0538000000000001</v>
      </c>
      <c r="P1587" s="131">
        <v>2576</v>
      </c>
      <c r="Q1587" s="51">
        <f t="array" ref="Q1587">SUM(IF(($S1587&gt;=4)*($C1587='TaxCred&amp;Subs'!$D$123:$D$127)*($H1587='TaxCred&amp;Subs'!$C$123:$C$127)*($H1587&lt;='TaxCred&amp;Subs'!$C$129),'TaxCred&amp;Subs'!$E$123:$E$127,0))</f>
        <v>0</v>
      </c>
      <c r="R1587" s="171">
        <v>0</v>
      </c>
      <c r="S1587" s="131">
        <v>4</v>
      </c>
      <c r="T1587" s="131" t="s">
        <v>248</v>
      </c>
      <c r="U1587" s="155" t="s">
        <v>235</v>
      </c>
      <c r="V1587" s="153" t="str">
        <f t="array" ref="V1587">INDEX(xlRTCLNAME,MATCH(1,(xlRTCLENDU=1)*(xlRTCLEQCL=$D1587),0))</f>
        <v>KERO_FA</v>
      </c>
      <c r="W1587" s="153" t="str">
        <f t="array" ref="W1587">INDEX(xlRTCLNAME,MATCH(1,(xlRTCLENDU=2)*(xlRTCLEQCL=$F1587),0))</f>
        <v>CENT_AIR</v>
      </c>
      <c r="X1587" s="153" t="str">
        <f t="array" ref="X1587">INDEX(xlRTTYNAME,MATCH(1,(xlRTTYENDU=1)*(xlRTTYEQCL=$D1587)*(xlRTEQTYPE=$E1587),0))</f>
        <v>KERO_FA3</v>
      </c>
      <c r="Y1587" s="153" t="str">
        <f t="array" ref="Y1587">INDEX(xlRTTYNAME,MATCH(1,(xlRTTYENDU=2)*(xlRTTYEQCL=$F1587)*(xlRTEQTYPE=$G1587),0))</f>
        <v>CENT_AIR3</v>
      </c>
    </row>
    <row r="1588" spans="2:25" ht="14.25" customHeight="1" x14ac:dyDescent="0.2">
      <c r="B1588" s="126">
        <v>1</v>
      </c>
      <c r="C1588" s="126">
        <v>2</v>
      </c>
      <c r="D1588" s="126">
        <v>6</v>
      </c>
      <c r="E1588" s="126">
        <v>20</v>
      </c>
      <c r="F1588" s="126">
        <v>2</v>
      </c>
      <c r="G1588" s="126">
        <v>7</v>
      </c>
      <c r="H1588" s="126">
        <v>2016</v>
      </c>
      <c r="I1588" s="159">
        <v>2022</v>
      </c>
      <c r="J1588" s="127">
        <v>1.1042000000000001</v>
      </c>
      <c r="K1588" s="127">
        <v>1.0417000000000001</v>
      </c>
      <c r="L1588" s="127">
        <v>0.89459999999999995</v>
      </c>
      <c r="M1588" s="127">
        <v>1.1228</v>
      </c>
      <c r="N1588" s="127">
        <v>1.1127</v>
      </c>
      <c r="O1588" s="127">
        <v>1.0538000000000001</v>
      </c>
      <c r="P1588" s="126">
        <v>3623</v>
      </c>
      <c r="Q1588" s="128">
        <f t="array" ref="Q1588">SUM(IF(($S1588&gt;=4)*($C1588='TaxCred&amp;Subs'!$D$123:$D$127)*($H1588='TaxCred&amp;Subs'!$C$123:$C$127)*($H1588&lt;='TaxCred&amp;Subs'!$C$129),'TaxCred&amp;Subs'!$E$123:$E$127,0))</f>
        <v>0</v>
      </c>
      <c r="R1588" s="174">
        <v>0</v>
      </c>
      <c r="S1588" s="126">
        <v>4</v>
      </c>
      <c r="T1588" s="126" t="s">
        <v>248</v>
      </c>
      <c r="V1588" s="153" t="str">
        <f t="array" ref="V1588">INDEX(xlRTCLNAME,MATCH(1,(xlRTCLENDU=1)*(xlRTCLEQCL=$D1588),0))</f>
        <v>LPG_FA</v>
      </c>
      <c r="W1588" s="153" t="str">
        <f t="array" ref="W1588">INDEX(xlRTCLNAME,MATCH(1,(xlRTCLENDU=2)*(xlRTCLEQCL=$F1588),0))</f>
        <v>CENT_AIR</v>
      </c>
      <c r="X1588" s="153" t="str">
        <f t="array" ref="X1588">INDEX(xlRTTYNAME,MATCH(1,(xlRTTYENDU=1)*(xlRTTYEQCL=$D1588)*(xlRTEQTYPE=$E1588),0))</f>
        <v>LPG_FA3</v>
      </c>
      <c r="Y1588" s="153" t="str">
        <f t="array" ref="Y1588">INDEX(xlRTTYNAME,MATCH(1,(xlRTTYENDU=2)*(xlRTTYEQCL=$F1588)*(xlRTEQTYPE=$G1588),0))</f>
        <v>CENT_AIR3</v>
      </c>
    </row>
    <row r="1589" spans="2:25" ht="14.25" customHeight="1" x14ac:dyDescent="0.2">
      <c r="B1589" s="49">
        <v>1</v>
      </c>
      <c r="C1589" s="49">
        <v>2</v>
      </c>
      <c r="D1589" s="49">
        <v>6</v>
      </c>
      <c r="E1589" s="49">
        <v>20</v>
      </c>
      <c r="F1589" s="49">
        <v>2</v>
      </c>
      <c r="G1589" s="49">
        <v>7</v>
      </c>
      <c r="H1589" s="49">
        <v>2023</v>
      </c>
      <c r="I1589" s="49">
        <v>2032</v>
      </c>
      <c r="J1589" s="50">
        <v>1.1042000000000001</v>
      </c>
      <c r="K1589" s="50">
        <v>1.0417000000000001</v>
      </c>
      <c r="L1589" s="50">
        <v>0.89459999999999995</v>
      </c>
      <c r="M1589" s="50">
        <v>1.1228</v>
      </c>
      <c r="N1589" s="50">
        <v>1.1127</v>
      </c>
      <c r="O1589" s="50">
        <v>1.0538000000000001</v>
      </c>
      <c r="P1589" s="49">
        <v>3623</v>
      </c>
      <c r="Q1589" s="51">
        <f t="array" ref="Q1589">SUM(IF(($S1589&gt;=4)*($C1589='TaxCred&amp;Subs'!$D$123:$D$127)*($H1589='TaxCred&amp;Subs'!$C$123:$C$127)*($H1589&lt;='TaxCred&amp;Subs'!$C$129),'TaxCred&amp;Subs'!$E$123:$E$127,0))</f>
        <v>500</v>
      </c>
      <c r="R1589" s="171">
        <v>0</v>
      </c>
      <c r="S1589" s="49">
        <v>4</v>
      </c>
      <c r="T1589" s="49" t="s">
        <v>248</v>
      </c>
      <c r="V1589" s="153" t="str">
        <f t="array" ref="V1589">INDEX(xlRTCLNAME,MATCH(1,(xlRTCLENDU=1)*(xlRTCLEQCL=$D1589),0))</f>
        <v>LPG_FA</v>
      </c>
      <c r="W1589" s="153" t="str">
        <f t="array" ref="W1589">INDEX(xlRTCLNAME,MATCH(1,(xlRTCLENDU=2)*(xlRTCLEQCL=$F1589),0))</f>
        <v>CENT_AIR</v>
      </c>
      <c r="X1589" s="153" t="str">
        <f t="array" ref="X1589">INDEX(xlRTTYNAME,MATCH(1,(xlRTTYENDU=1)*(xlRTTYEQCL=$D1589)*(xlRTEQTYPE=$E1589),0))</f>
        <v>LPG_FA3</v>
      </c>
      <c r="Y1589" s="153" t="str">
        <f t="array" ref="Y1589">INDEX(xlRTTYNAME,MATCH(1,(xlRTTYENDU=2)*(xlRTTYEQCL=$F1589)*(xlRTEQTYPE=$G1589),0))</f>
        <v>CENT_AIR3</v>
      </c>
    </row>
    <row r="1590" spans="2:25" ht="14.25" customHeight="1" x14ac:dyDescent="0.2">
      <c r="B1590" s="49">
        <v>1</v>
      </c>
      <c r="C1590" s="49">
        <v>2</v>
      </c>
      <c r="D1590" s="49">
        <v>6</v>
      </c>
      <c r="E1590" s="49">
        <v>20</v>
      </c>
      <c r="F1590" s="49">
        <v>2</v>
      </c>
      <c r="G1590" s="49">
        <v>7</v>
      </c>
      <c r="H1590" s="49">
        <v>2033</v>
      </c>
      <c r="I1590" s="49">
        <v>2050</v>
      </c>
      <c r="J1590" s="50">
        <v>1.1042000000000001</v>
      </c>
      <c r="K1590" s="50">
        <v>1.0417000000000001</v>
      </c>
      <c r="L1590" s="50">
        <v>0.89459999999999995</v>
      </c>
      <c r="M1590" s="50">
        <v>1.1228</v>
      </c>
      <c r="N1590" s="50">
        <v>1.1127</v>
      </c>
      <c r="O1590" s="50">
        <v>1.0538000000000001</v>
      </c>
      <c r="P1590" s="49">
        <v>3623</v>
      </c>
      <c r="Q1590" s="51">
        <f t="array" ref="Q1590">SUM(IF(($S1590&gt;=4)*($C1590='TaxCred&amp;Subs'!$D$123:$D$127)*($H1590='TaxCred&amp;Subs'!$C$123:$C$127)*($H1590&lt;='TaxCred&amp;Subs'!$C$129),'TaxCred&amp;Subs'!$E$123:$E$127,0))</f>
        <v>0</v>
      </c>
      <c r="R1590" s="171">
        <v>0</v>
      </c>
      <c r="S1590" s="49">
        <v>4</v>
      </c>
      <c r="T1590" s="49" t="s">
        <v>248</v>
      </c>
      <c r="V1590" s="153" t="str">
        <f t="array" ref="V1590">INDEX(xlRTCLNAME,MATCH(1,(xlRTCLENDU=1)*(xlRTCLEQCL=$D1590),0))</f>
        <v>LPG_FA</v>
      </c>
      <c r="W1590" s="153" t="str">
        <f t="array" ref="W1590">INDEX(xlRTCLNAME,MATCH(1,(xlRTCLENDU=2)*(xlRTCLEQCL=$F1590),0))</f>
        <v>CENT_AIR</v>
      </c>
      <c r="X1590" s="153" t="str">
        <f t="array" ref="X1590">INDEX(xlRTTYNAME,MATCH(1,(xlRTTYENDU=1)*(xlRTTYEQCL=$D1590)*(xlRTEQTYPE=$E1590),0))</f>
        <v>LPG_FA3</v>
      </c>
      <c r="Y1590" s="153" t="str">
        <f t="array" ref="Y1590">INDEX(xlRTTYNAME,MATCH(1,(xlRTTYENDU=2)*(xlRTTYEQCL=$F1590)*(xlRTEQTYPE=$G1590),0))</f>
        <v>CENT_AIR3</v>
      </c>
    </row>
    <row r="1591" spans="2:25" ht="14.25" customHeight="1" x14ac:dyDescent="0.2">
      <c r="B1591" s="126">
        <v>2</v>
      </c>
      <c r="C1591" s="126">
        <v>2</v>
      </c>
      <c r="D1591" s="126">
        <v>6</v>
      </c>
      <c r="E1591" s="126">
        <v>20</v>
      </c>
      <c r="F1591" s="126">
        <v>2</v>
      </c>
      <c r="G1591" s="126">
        <v>7</v>
      </c>
      <c r="H1591" s="126">
        <v>2016</v>
      </c>
      <c r="I1591" s="159">
        <v>2022</v>
      </c>
      <c r="J1591" s="127">
        <v>1.0847</v>
      </c>
      <c r="K1591" s="127">
        <v>1.0357000000000001</v>
      </c>
      <c r="L1591" s="127">
        <v>0.91410000000000002</v>
      </c>
      <c r="M1591" s="127">
        <v>1.1625000000000001</v>
      </c>
      <c r="N1591" s="127">
        <v>1.1162000000000001</v>
      </c>
      <c r="O1591" s="127">
        <v>1.0538000000000001</v>
      </c>
      <c r="P1591" s="126">
        <v>2960</v>
      </c>
      <c r="Q1591" s="128">
        <f t="array" ref="Q1591">SUM(IF(($S1591&gt;=4)*($C1591='TaxCred&amp;Subs'!$D$123:$D$127)*($H1591='TaxCred&amp;Subs'!$C$123:$C$127)*($H1591&lt;='TaxCred&amp;Subs'!$C$129),'TaxCred&amp;Subs'!$E$123:$E$127,0))</f>
        <v>0</v>
      </c>
      <c r="R1591" s="174">
        <v>0</v>
      </c>
      <c r="S1591" s="126">
        <v>4</v>
      </c>
      <c r="T1591" s="126" t="s">
        <v>248</v>
      </c>
      <c r="V1591" s="153" t="str">
        <f t="array" ref="V1591">INDEX(xlRTCLNAME,MATCH(1,(xlRTCLENDU=1)*(xlRTCLEQCL=$D1591),0))</f>
        <v>LPG_FA</v>
      </c>
      <c r="W1591" s="153" t="str">
        <f t="array" ref="W1591">INDEX(xlRTCLNAME,MATCH(1,(xlRTCLENDU=2)*(xlRTCLEQCL=$F1591),0))</f>
        <v>CENT_AIR</v>
      </c>
      <c r="X1591" s="153" t="str">
        <f t="array" ref="X1591">INDEX(xlRTTYNAME,MATCH(1,(xlRTTYENDU=1)*(xlRTTYEQCL=$D1591)*(xlRTEQTYPE=$E1591),0))</f>
        <v>LPG_FA3</v>
      </c>
      <c r="Y1591" s="153" t="str">
        <f t="array" ref="Y1591">INDEX(xlRTTYNAME,MATCH(1,(xlRTTYENDU=2)*(xlRTTYEQCL=$F1591)*(xlRTEQTYPE=$G1591),0))</f>
        <v>CENT_AIR3</v>
      </c>
    </row>
    <row r="1592" spans="2:25" ht="14.25" customHeight="1" x14ac:dyDescent="0.2">
      <c r="B1592" s="49">
        <v>2</v>
      </c>
      <c r="C1592" s="49">
        <v>2</v>
      </c>
      <c r="D1592" s="49">
        <v>6</v>
      </c>
      <c r="E1592" s="49">
        <v>20</v>
      </c>
      <c r="F1592" s="49">
        <v>2</v>
      </c>
      <c r="G1592" s="49">
        <v>7</v>
      </c>
      <c r="H1592" s="49">
        <v>2023</v>
      </c>
      <c r="I1592" s="49">
        <v>2032</v>
      </c>
      <c r="J1592" s="50">
        <v>1.0847</v>
      </c>
      <c r="K1592" s="50">
        <v>1.0357000000000001</v>
      </c>
      <c r="L1592" s="50">
        <v>0.91410000000000002</v>
      </c>
      <c r="M1592" s="50">
        <v>1.1625000000000001</v>
      </c>
      <c r="N1592" s="50">
        <v>1.1162000000000001</v>
      </c>
      <c r="O1592" s="50">
        <v>1.0538000000000001</v>
      </c>
      <c r="P1592" s="49">
        <v>2960</v>
      </c>
      <c r="Q1592" s="51">
        <f t="array" ref="Q1592">SUM(IF(($S1592&gt;=4)*($C1592='TaxCred&amp;Subs'!$D$123:$D$127)*($H1592='TaxCred&amp;Subs'!$C$123:$C$127)*($H1592&lt;='TaxCred&amp;Subs'!$C$129),'TaxCred&amp;Subs'!$E$123:$E$127,0))</f>
        <v>500</v>
      </c>
      <c r="R1592" s="171">
        <v>0</v>
      </c>
      <c r="S1592" s="49">
        <v>4</v>
      </c>
      <c r="T1592" s="49" t="s">
        <v>248</v>
      </c>
      <c r="V1592" s="153" t="str">
        <f t="array" ref="V1592">INDEX(xlRTCLNAME,MATCH(1,(xlRTCLENDU=1)*(xlRTCLEQCL=$D1592),0))</f>
        <v>LPG_FA</v>
      </c>
      <c r="W1592" s="153" t="str">
        <f t="array" ref="W1592">INDEX(xlRTCLNAME,MATCH(1,(xlRTCLENDU=2)*(xlRTCLEQCL=$F1592),0))</f>
        <v>CENT_AIR</v>
      </c>
      <c r="X1592" s="153" t="str">
        <f t="array" ref="X1592">INDEX(xlRTTYNAME,MATCH(1,(xlRTTYENDU=1)*(xlRTTYEQCL=$D1592)*(xlRTEQTYPE=$E1592),0))</f>
        <v>LPG_FA3</v>
      </c>
      <c r="Y1592" s="153" t="str">
        <f t="array" ref="Y1592">INDEX(xlRTTYNAME,MATCH(1,(xlRTTYENDU=2)*(xlRTTYEQCL=$F1592)*(xlRTEQTYPE=$G1592),0))</f>
        <v>CENT_AIR3</v>
      </c>
    </row>
    <row r="1593" spans="2:25" ht="14.25" customHeight="1" x14ac:dyDescent="0.2">
      <c r="B1593" s="49">
        <v>2</v>
      </c>
      <c r="C1593" s="49">
        <v>2</v>
      </c>
      <c r="D1593" s="49">
        <v>6</v>
      </c>
      <c r="E1593" s="49">
        <v>20</v>
      </c>
      <c r="F1593" s="49">
        <v>2</v>
      </c>
      <c r="G1593" s="49">
        <v>7</v>
      </c>
      <c r="H1593" s="49">
        <v>2033</v>
      </c>
      <c r="I1593" s="49">
        <v>2050</v>
      </c>
      <c r="J1593" s="50">
        <v>1.0847</v>
      </c>
      <c r="K1593" s="50">
        <v>1.0357000000000001</v>
      </c>
      <c r="L1593" s="50">
        <v>0.91410000000000002</v>
      </c>
      <c r="M1593" s="50">
        <v>1.1625000000000001</v>
      </c>
      <c r="N1593" s="50">
        <v>1.1162000000000001</v>
      </c>
      <c r="O1593" s="50">
        <v>1.0538000000000001</v>
      </c>
      <c r="P1593" s="49">
        <v>2960</v>
      </c>
      <c r="Q1593" s="51">
        <f t="array" ref="Q1593">SUM(IF(($S1593&gt;=4)*($C1593='TaxCred&amp;Subs'!$D$123:$D$127)*($H1593='TaxCred&amp;Subs'!$C$123:$C$127)*($H1593&lt;='TaxCred&amp;Subs'!$C$129),'TaxCred&amp;Subs'!$E$123:$E$127,0))</f>
        <v>0</v>
      </c>
      <c r="R1593" s="171">
        <v>0</v>
      </c>
      <c r="S1593" s="49">
        <v>4</v>
      </c>
      <c r="T1593" s="49" t="s">
        <v>248</v>
      </c>
      <c r="V1593" s="153" t="str">
        <f t="array" ref="V1593">INDEX(xlRTCLNAME,MATCH(1,(xlRTCLENDU=1)*(xlRTCLEQCL=$D1593),0))</f>
        <v>LPG_FA</v>
      </c>
      <c r="W1593" s="153" t="str">
        <f t="array" ref="W1593">INDEX(xlRTCLNAME,MATCH(1,(xlRTCLENDU=2)*(xlRTCLEQCL=$F1593),0))</f>
        <v>CENT_AIR</v>
      </c>
      <c r="X1593" s="153" t="str">
        <f t="array" ref="X1593">INDEX(xlRTTYNAME,MATCH(1,(xlRTTYENDU=1)*(xlRTTYEQCL=$D1593)*(xlRTEQTYPE=$E1593),0))</f>
        <v>LPG_FA3</v>
      </c>
      <c r="Y1593" s="153" t="str">
        <f t="array" ref="Y1593">INDEX(xlRTTYNAME,MATCH(1,(xlRTTYENDU=2)*(xlRTTYEQCL=$F1593)*(xlRTEQTYPE=$G1593),0))</f>
        <v>CENT_AIR3</v>
      </c>
    </row>
    <row r="1594" spans="2:25" ht="14.25" customHeight="1" x14ac:dyDescent="0.2">
      <c r="B1594" s="126">
        <v>3</v>
      </c>
      <c r="C1594" s="126">
        <v>2</v>
      </c>
      <c r="D1594" s="126">
        <v>6</v>
      </c>
      <c r="E1594" s="126">
        <v>20</v>
      </c>
      <c r="F1594" s="126">
        <v>2</v>
      </c>
      <c r="G1594" s="126">
        <v>7</v>
      </c>
      <c r="H1594" s="126">
        <v>2016</v>
      </c>
      <c r="I1594" s="159">
        <v>2022</v>
      </c>
      <c r="J1594" s="127">
        <v>1.0984</v>
      </c>
      <c r="K1594" s="127">
        <v>1.0345</v>
      </c>
      <c r="L1594" s="127">
        <v>0.81459999999999999</v>
      </c>
      <c r="M1594" s="127">
        <v>1.0654999999999999</v>
      </c>
      <c r="N1594" s="127">
        <v>1.0399</v>
      </c>
      <c r="O1594" s="127">
        <v>1.0538000000000001</v>
      </c>
      <c r="P1594" s="126">
        <v>3043</v>
      </c>
      <c r="Q1594" s="128">
        <f t="array" ref="Q1594">SUM(IF(($S1594&gt;=4)*($C1594='TaxCred&amp;Subs'!$D$123:$D$127)*($H1594='TaxCred&amp;Subs'!$C$123:$C$127)*($H1594&lt;='TaxCred&amp;Subs'!$C$129),'TaxCred&amp;Subs'!$E$123:$E$127,0))</f>
        <v>0</v>
      </c>
      <c r="R1594" s="174">
        <v>0</v>
      </c>
      <c r="S1594" s="126">
        <v>4</v>
      </c>
      <c r="T1594" s="126" t="s">
        <v>248</v>
      </c>
      <c r="V1594" s="153" t="str">
        <f t="array" ref="V1594">INDEX(xlRTCLNAME,MATCH(1,(xlRTCLENDU=1)*(xlRTCLEQCL=$D1594),0))</f>
        <v>LPG_FA</v>
      </c>
      <c r="W1594" s="153" t="str">
        <f t="array" ref="W1594">INDEX(xlRTCLNAME,MATCH(1,(xlRTCLENDU=2)*(xlRTCLEQCL=$F1594),0))</f>
        <v>CENT_AIR</v>
      </c>
      <c r="X1594" s="153" t="str">
        <f t="array" ref="X1594">INDEX(xlRTTYNAME,MATCH(1,(xlRTTYENDU=1)*(xlRTTYEQCL=$D1594)*(xlRTEQTYPE=$E1594),0))</f>
        <v>LPG_FA3</v>
      </c>
      <c r="Y1594" s="153" t="str">
        <f t="array" ref="Y1594">INDEX(xlRTTYNAME,MATCH(1,(xlRTTYENDU=2)*(xlRTTYEQCL=$F1594)*(xlRTEQTYPE=$G1594),0))</f>
        <v>CENT_AIR3</v>
      </c>
    </row>
    <row r="1595" spans="2:25" ht="14.25" customHeight="1" x14ac:dyDescent="0.2">
      <c r="B1595" s="49">
        <v>3</v>
      </c>
      <c r="C1595" s="49">
        <v>2</v>
      </c>
      <c r="D1595" s="49">
        <v>6</v>
      </c>
      <c r="E1595" s="49">
        <v>20</v>
      </c>
      <c r="F1595" s="49">
        <v>2</v>
      </c>
      <c r="G1595" s="49">
        <v>7</v>
      </c>
      <c r="H1595" s="49">
        <v>2023</v>
      </c>
      <c r="I1595" s="49">
        <v>2032</v>
      </c>
      <c r="J1595" s="50">
        <v>1.0984</v>
      </c>
      <c r="K1595" s="50">
        <v>1.0345</v>
      </c>
      <c r="L1595" s="50">
        <v>0.81459999999999999</v>
      </c>
      <c r="M1595" s="50">
        <v>1.0654999999999999</v>
      </c>
      <c r="N1595" s="50">
        <v>1.0399</v>
      </c>
      <c r="O1595" s="50">
        <v>1.0538000000000001</v>
      </c>
      <c r="P1595" s="49">
        <v>3043</v>
      </c>
      <c r="Q1595" s="51">
        <f t="array" ref="Q1595">SUM(IF(($S1595&gt;=4)*($C1595='TaxCred&amp;Subs'!$D$123:$D$127)*($H1595='TaxCred&amp;Subs'!$C$123:$C$127)*($H1595&lt;='TaxCred&amp;Subs'!$C$129),'TaxCred&amp;Subs'!$E$123:$E$127,0))</f>
        <v>500</v>
      </c>
      <c r="R1595" s="171">
        <v>0</v>
      </c>
      <c r="S1595" s="49">
        <v>4</v>
      </c>
      <c r="T1595" s="49" t="s">
        <v>248</v>
      </c>
      <c r="V1595" s="153" t="str">
        <f t="array" ref="V1595">INDEX(xlRTCLNAME,MATCH(1,(xlRTCLENDU=1)*(xlRTCLEQCL=$D1595),0))</f>
        <v>LPG_FA</v>
      </c>
      <c r="W1595" s="153" t="str">
        <f t="array" ref="W1595">INDEX(xlRTCLNAME,MATCH(1,(xlRTCLENDU=2)*(xlRTCLEQCL=$F1595),0))</f>
        <v>CENT_AIR</v>
      </c>
      <c r="X1595" s="153" t="str">
        <f t="array" ref="X1595">INDEX(xlRTTYNAME,MATCH(1,(xlRTTYENDU=1)*(xlRTTYEQCL=$D1595)*(xlRTEQTYPE=$E1595),0))</f>
        <v>LPG_FA3</v>
      </c>
      <c r="Y1595" s="153" t="str">
        <f t="array" ref="Y1595">INDEX(xlRTTYNAME,MATCH(1,(xlRTTYENDU=2)*(xlRTTYEQCL=$F1595)*(xlRTEQTYPE=$G1595),0))</f>
        <v>CENT_AIR3</v>
      </c>
    </row>
    <row r="1596" spans="2:25" ht="14.25" customHeight="1" x14ac:dyDescent="0.2">
      <c r="B1596" s="49">
        <v>3</v>
      </c>
      <c r="C1596" s="49">
        <v>2</v>
      </c>
      <c r="D1596" s="49">
        <v>6</v>
      </c>
      <c r="E1596" s="49">
        <v>20</v>
      </c>
      <c r="F1596" s="49">
        <v>2</v>
      </c>
      <c r="G1596" s="49">
        <v>7</v>
      </c>
      <c r="H1596" s="49">
        <v>2033</v>
      </c>
      <c r="I1596" s="49">
        <v>2050</v>
      </c>
      <c r="J1596" s="50">
        <v>1.0984</v>
      </c>
      <c r="K1596" s="50">
        <v>1.0345</v>
      </c>
      <c r="L1596" s="50">
        <v>0.81459999999999999</v>
      </c>
      <c r="M1596" s="50">
        <v>1.0654999999999999</v>
      </c>
      <c r="N1596" s="50">
        <v>1.0399</v>
      </c>
      <c r="O1596" s="50">
        <v>1.0538000000000001</v>
      </c>
      <c r="P1596" s="49">
        <v>3043</v>
      </c>
      <c r="Q1596" s="51">
        <f t="array" ref="Q1596">SUM(IF(($S1596&gt;=4)*($C1596='TaxCred&amp;Subs'!$D$123:$D$127)*($H1596='TaxCred&amp;Subs'!$C$123:$C$127)*($H1596&lt;='TaxCred&amp;Subs'!$C$129),'TaxCred&amp;Subs'!$E$123:$E$127,0))</f>
        <v>0</v>
      </c>
      <c r="R1596" s="171">
        <v>0</v>
      </c>
      <c r="S1596" s="49">
        <v>4</v>
      </c>
      <c r="T1596" s="49" t="s">
        <v>248</v>
      </c>
      <c r="V1596" s="153" t="str">
        <f t="array" ref="V1596">INDEX(xlRTCLNAME,MATCH(1,(xlRTCLENDU=1)*(xlRTCLEQCL=$D1596),0))</f>
        <v>LPG_FA</v>
      </c>
      <c r="W1596" s="153" t="str">
        <f t="array" ref="W1596">INDEX(xlRTCLNAME,MATCH(1,(xlRTCLENDU=2)*(xlRTCLEQCL=$F1596),0))</f>
        <v>CENT_AIR</v>
      </c>
      <c r="X1596" s="153" t="str">
        <f t="array" ref="X1596">INDEX(xlRTTYNAME,MATCH(1,(xlRTTYENDU=1)*(xlRTTYEQCL=$D1596)*(xlRTEQTYPE=$E1596),0))</f>
        <v>LPG_FA3</v>
      </c>
      <c r="Y1596" s="153" t="str">
        <f t="array" ref="Y1596">INDEX(xlRTTYNAME,MATCH(1,(xlRTTYENDU=2)*(xlRTTYEQCL=$F1596)*(xlRTEQTYPE=$G1596),0))</f>
        <v>CENT_AIR3</v>
      </c>
    </row>
    <row r="1597" spans="2:25" ht="14.25" customHeight="1" x14ac:dyDescent="0.2">
      <c r="B1597" s="126">
        <v>4</v>
      </c>
      <c r="C1597" s="126">
        <v>2</v>
      </c>
      <c r="D1597" s="126">
        <v>6</v>
      </c>
      <c r="E1597" s="126">
        <v>20</v>
      </c>
      <c r="F1597" s="126">
        <v>2</v>
      </c>
      <c r="G1597" s="126">
        <v>7</v>
      </c>
      <c r="H1597" s="126">
        <v>2016</v>
      </c>
      <c r="I1597" s="159">
        <v>2022</v>
      </c>
      <c r="J1597" s="127">
        <v>1.1000000000000001</v>
      </c>
      <c r="K1597" s="127">
        <v>1.0435000000000001</v>
      </c>
      <c r="L1597" s="127">
        <v>0.95930000000000004</v>
      </c>
      <c r="M1597" s="127">
        <v>1.1499999999999999</v>
      </c>
      <c r="N1597" s="127">
        <v>1.1696</v>
      </c>
      <c r="O1597" s="127">
        <v>1.0538000000000001</v>
      </c>
      <c r="P1597" s="126">
        <v>2669</v>
      </c>
      <c r="Q1597" s="128">
        <f t="array" ref="Q1597">SUM(IF(($S1597&gt;=4)*($C1597='TaxCred&amp;Subs'!$D$123:$D$127)*($H1597='TaxCred&amp;Subs'!$C$123:$C$127)*($H1597&lt;='TaxCred&amp;Subs'!$C$129),'TaxCred&amp;Subs'!$E$123:$E$127,0))</f>
        <v>0</v>
      </c>
      <c r="R1597" s="174">
        <v>0</v>
      </c>
      <c r="S1597" s="126">
        <v>4</v>
      </c>
      <c r="T1597" s="126" t="s">
        <v>248</v>
      </c>
      <c r="V1597" s="153" t="str">
        <f t="array" ref="V1597">INDEX(xlRTCLNAME,MATCH(1,(xlRTCLENDU=1)*(xlRTCLEQCL=$D1597),0))</f>
        <v>LPG_FA</v>
      </c>
      <c r="W1597" s="153" t="str">
        <f t="array" ref="W1597">INDEX(xlRTCLNAME,MATCH(1,(xlRTCLENDU=2)*(xlRTCLEQCL=$F1597),0))</f>
        <v>CENT_AIR</v>
      </c>
      <c r="X1597" s="153" t="str">
        <f t="array" ref="X1597">INDEX(xlRTTYNAME,MATCH(1,(xlRTTYENDU=1)*(xlRTTYEQCL=$D1597)*(xlRTEQTYPE=$E1597),0))</f>
        <v>LPG_FA3</v>
      </c>
      <c r="Y1597" s="153" t="str">
        <f t="array" ref="Y1597">INDEX(xlRTTYNAME,MATCH(1,(xlRTTYENDU=2)*(xlRTTYEQCL=$F1597)*(xlRTEQTYPE=$G1597),0))</f>
        <v>CENT_AIR3</v>
      </c>
    </row>
    <row r="1598" spans="2:25" ht="14.25" customHeight="1" x14ac:dyDescent="0.2">
      <c r="B1598" s="49">
        <v>4</v>
      </c>
      <c r="C1598" s="49">
        <v>2</v>
      </c>
      <c r="D1598" s="49">
        <v>6</v>
      </c>
      <c r="E1598" s="49">
        <v>20</v>
      </c>
      <c r="F1598" s="49">
        <v>2</v>
      </c>
      <c r="G1598" s="49">
        <v>7</v>
      </c>
      <c r="H1598" s="49">
        <v>2023</v>
      </c>
      <c r="I1598" s="49">
        <v>2032</v>
      </c>
      <c r="J1598" s="50">
        <v>1.1000000000000001</v>
      </c>
      <c r="K1598" s="50">
        <v>1.0435000000000001</v>
      </c>
      <c r="L1598" s="50">
        <v>0.95930000000000004</v>
      </c>
      <c r="M1598" s="50">
        <v>1.1499999999999999</v>
      </c>
      <c r="N1598" s="50">
        <v>1.1696</v>
      </c>
      <c r="O1598" s="50">
        <v>1.0538000000000001</v>
      </c>
      <c r="P1598" s="49">
        <v>2669</v>
      </c>
      <c r="Q1598" s="51">
        <f t="array" ref="Q1598">SUM(IF(($S1598&gt;=4)*($C1598='TaxCred&amp;Subs'!$D$123:$D$127)*($H1598='TaxCred&amp;Subs'!$C$123:$C$127)*($H1598&lt;='TaxCred&amp;Subs'!$C$129),'TaxCred&amp;Subs'!$E$123:$E$127,0))</f>
        <v>500</v>
      </c>
      <c r="R1598" s="171">
        <v>0</v>
      </c>
      <c r="S1598" s="49">
        <v>4</v>
      </c>
      <c r="T1598" s="49" t="s">
        <v>248</v>
      </c>
      <c r="V1598" s="153" t="str">
        <f t="array" ref="V1598">INDEX(xlRTCLNAME,MATCH(1,(xlRTCLENDU=1)*(xlRTCLEQCL=$D1598),0))</f>
        <v>LPG_FA</v>
      </c>
      <c r="W1598" s="153" t="str">
        <f t="array" ref="W1598">INDEX(xlRTCLNAME,MATCH(1,(xlRTCLENDU=2)*(xlRTCLEQCL=$F1598),0))</f>
        <v>CENT_AIR</v>
      </c>
      <c r="X1598" s="153" t="str">
        <f t="array" ref="X1598">INDEX(xlRTTYNAME,MATCH(1,(xlRTTYENDU=1)*(xlRTTYEQCL=$D1598)*(xlRTEQTYPE=$E1598),0))</f>
        <v>LPG_FA3</v>
      </c>
      <c r="Y1598" s="153" t="str">
        <f t="array" ref="Y1598">INDEX(xlRTTYNAME,MATCH(1,(xlRTTYENDU=2)*(xlRTTYEQCL=$F1598)*(xlRTEQTYPE=$G1598),0))</f>
        <v>CENT_AIR3</v>
      </c>
    </row>
    <row r="1599" spans="2:25" ht="14.25" customHeight="1" x14ac:dyDescent="0.2">
      <c r="B1599" s="49">
        <v>4</v>
      </c>
      <c r="C1599" s="49">
        <v>2</v>
      </c>
      <c r="D1599" s="49">
        <v>6</v>
      </c>
      <c r="E1599" s="49">
        <v>20</v>
      </c>
      <c r="F1599" s="49">
        <v>2</v>
      </c>
      <c r="G1599" s="49">
        <v>7</v>
      </c>
      <c r="H1599" s="49">
        <v>2033</v>
      </c>
      <c r="I1599" s="49">
        <v>2050</v>
      </c>
      <c r="J1599" s="50">
        <v>1.1000000000000001</v>
      </c>
      <c r="K1599" s="50">
        <v>1.0435000000000001</v>
      </c>
      <c r="L1599" s="50">
        <v>0.95930000000000004</v>
      </c>
      <c r="M1599" s="50">
        <v>1.1499999999999999</v>
      </c>
      <c r="N1599" s="50">
        <v>1.1696</v>
      </c>
      <c r="O1599" s="50">
        <v>1.0538000000000001</v>
      </c>
      <c r="P1599" s="49">
        <v>2669</v>
      </c>
      <c r="Q1599" s="51">
        <f t="array" ref="Q1599">SUM(IF(($S1599&gt;=4)*($C1599='TaxCred&amp;Subs'!$D$123:$D$127)*($H1599='TaxCred&amp;Subs'!$C$123:$C$127)*($H1599&lt;='TaxCred&amp;Subs'!$C$129),'TaxCred&amp;Subs'!$E$123:$E$127,0))</f>
        <v>0</v>
      </c>
      <c r="R1599" s="171">
        <v>0</v>
      </c>
      <c r="S1599" s="49">
        <v>4</v>
      </c>
      <c r="T1599" s="49" t="s">
        <v>248</v>
      </c>
      <c r="V1599" s="153" t="str">
        <f t="array" ref="V1599">INDEX(xlRTCLNAME,MATCH(1,(xlRTCLENDU=1)*(xlRTCLEQCL=$D1599),0))</f>
        <v>LPG_FA</v>
      </c>
      <c r="W1599" s="153" t="str">
        <f t="array" ref="W1599">INDEX(xlRTCLNAME,MATCH(1,(xlRTCLENDU=2)*(xlRTCLEQCL=$F1599),0))</f>
        <v>CENT_AIR</v>
      </c>
      <c r="X1599" s="153" t="str">
        <f t="array" ref="X1599">INDEX(xlRTTYNAME,MATCH(1,(xlRTTYENDU=1)*(xlRTTYEQCL=$D1599)*(xlRTEQTYPE=$E1599),0))</f>
        <v>LPG_FA3</v>
      </c>
      <c r="Y1599" s="153" t="str">
        <f t="array" ref="Y1599">INDEX(xlRTTYNAME,MATCH(1,(xlRTTYENDU=2)*(xlRTTYEQCL=$F1599)*(xlRTEQTYPE=$G1599),0))</f>
        <v>CENT_AIR3</v>
      </c>
    </row>
    <row r="1600" spans="2:25" ht="14.25" customHeight="1" x14ac:dyDescent="0.2">
      <c r="B1600" s="126">
        <v>5</v>
      </c>
      <c r="C1600" s="126">
        <v>2</v>
      </c>
      <c r="D1600" s="126">
        <v>6</v>
      </c>
      <c r="E1600" s="126">
        <v>20</v>
      </c>
      <c r="F1600" s="126">
        <v>2</v>
      </c>
      <c r="G1600" s="126">
        <v>7</v>
      </c>
      <c r="H1600" s="126">
        <v>2016</v>
      </c>
      <c r="I1600" s="159">
        <v>2022</v>
      </c>
      <c r="J1600" s="127">
        <v>1.1200000000000001</v>
      </c>
      <c r="K1600" s="127">
        <v>1.0391999999999999</v>
      </c>
      <c r="L1600" s="127">
        <v>0.63129999999999997</v>
      </c>
      <c r="M1600" s="127">
        <v>1.0902000000000001</v>
      </c>
      <c r="N1600" s="127">
        <v>1.2750999999999999</v>
      </c>
      <c r="O1600" s="127">
        <v>1.0538000000000001</v>
      </c>
      <c r="P1600" s="126">
        <v>2250</v>
      </c>
      <c r="Q1600" s="128">
        <f t="array" ref="Q1600">SUM(IF(($S1600&gt;=4)*($C1600='TaxCred&amp;Subs'!$D$123:$D$127)*($H1600='TaxCred&amp;Subs'!$C$123:$C$127)*($H1600&lt;='TaxCred&amp;Subs'!$C$129),'TaxCred&amp;Subs'!$E$123:$E$127,0))</f>
        <v>0</v>
      </c>
      <c r="R1600" s="174">
        <v>0</v>
      </c>
      <c r="S1600" s="126">
        <v>4</v>
      </c>
      <c r="T1600" s="126" t="s">
        <v>248</v>
      </c>
      <c r="V1600" s="153" t="str">
        <f t="array" ref="V1600">INDEX(xlRTCLNAME,MATCH(1,(xlRTCLENDU=1)*(xlRTCLEQCL=$D1600),0))</f>
        <v>LPG_FA</v>
      </c>
      <c r="W1600" s="153" t="str">
        <f t="array" ref="W1600">INDEX(xlRTCLNAME,MATCH(1,(xlRTCLENDU=2)*(xlRTCLEQCL=$F1600),0))</f>
        <v>CENT_AIR</v>
      </c>
      <c r="X1600" s="153" t="str">
        <f t="array" ref="X1600">INDEX(xlRTTYNAME,MATCH(1,(xlRTTYENDU=1)*(xlRTTYEQCL=$D1600)*(xlRTEQTYPE=$E1600),0))</f>
        <v>LPG_FA3</v>
      </c>
      <c r="Y1600" s="153" t="str">
        <f t="array" ref="Y1600">INDEX(xlRTTYNAME,MATCH(1,(xlRTTYENDU=2)*(xlRTTYEQCL=$F1600)*(xlRTEQTYPE=$G1600),0))</f>
        <v>CENT_AIR3</v>
      </c>
    </row>
    <row r="1601" spans="2:25" ht="14.25" customHeight="1" x14ac:dyDescent="0.2">
      <c r="B1601" s="49">
        <v>5</v>
      </c>
      <c r="C1601" s="49">
        <v>2</v>
      </c>
      <c r="D1601" s="49">
        <v>6</v>
      </c>
      <c r="E1601" s="49">
        <v>20</v>
      </c>
      <c r="F1601" s="49">
        <v>2</v>
      </c>
      <c r="G1601" s="49">
        <v>7</v>
      </c>
      <c r="H1601" s="49">
        <v>2023</v>
      </c>
      <c r="I1601" s="49">
        <v>2032</v>
      </c>
      <c r="J1601" s="50">
        <v>1.1200000000000001</v>
      </c>
      <c r="K1601" s="50">
        <v>1.0391999999999999</v>
      </c>
      <c r="L1601" s="50">
        <v>0.63129999999999997</v>
      </c>
      <c r="M1601" s="50">
        <v>1.0902000000000001</v>
      </c>
      <c r="N1601" s="50">
        <v>1.2750999999999999</v>
      </c>
      <c r="O1601" s="50">
        <v>1.0538000000000001</v>
      </c>
      <c r="P1601" s="49">
        <v>2250</v>
      </c>
      <c r="Q1601" s="51">
        <f t="array" ref="Q1601">SUM(IF(($S1601&gt;=4)*($C1601='TaxCred&amp;Subs'!$D$123:$D$127)*($H1601='TaxCred&amp;Subs'!$C$123:$C$127)*($H1601&lt;='TaxCred&amp;Subs'!$C$129),'TaxCred&amp;Subs'!$E$123:$E$127,0))</f>
        <v>500</v>
      </c>
      <c r="R1601" s="171">
        <v>0</v>
      </c>
      <c r="S1601" s="49">
        <v>4</v>
      </c>
      <c r="T1601" s="49" t="s">
        <v>248</v>
      </c>
      <c r="V1601" s="153" t="str">
        <f t="array" ref="V1601">INDEX(xlRTCLNAME,MATCH(1,(xlRTCLENDU=1)*(xlRTCLEQCL=$D1601),0))</f>
        <v>LPG_FA</v>
      </c>
      <c r="W1601" s="153" t="str">
        <f t="array" ref="W1601">INDEX(xlRTCLNAME,MATCH(1,(xlRTCLENDU=2)*(xlRTCLEQCL=$F1601),0))</f>
        <v>CENT_AIR</v>
      </c>
      <c r="X1601" s="153" t="str">
        <f t="array" ref="X1601">INDEX(xlRTTYNAME,MATCH(1,(xlRTTYENDU=1)*(xlRTTYEQCL=$D1601)*(xlRTEQTYPE=$E1601),0))</f>
        <v>LPG_FA3</v>
      </c>
      <c r="Y1601" s="153" t="str">
        <f t="array" ref="Y1601">INDEX(xlRTTYNAME,MATCH(1,(xlRTTYENDU=2)*(xlRTTYEQCL=$F1601)*(xlRTEQTYPE=$G1601),0))</f>
        <v>CENT_AIR3</v>
      </c>
    </row>
    <row r="1602" spans="2:25" ht="14.25" customHeight="1" x14ac:dyDescent="0.2">
      <c r="B1602" s="49">
        <v>5</v>
      </c>
      <c r="C1602" s="49">
        <v>2</v>
      </c>
      <c r="D1602" s="49">
        <v>6</v>
      </c>
      <c r="E1602" s="49">
        <v>20</v>
      </c>
      <c r="F1602" s="49">
        <v>2</v>
      </c>
      <c r="G1602" s="49">
        <v>7</v>
      </c>
      <c r="H1602" s="49">
        <v>2033</v>
      </c>
      <c r="I1602" s="49">
        <v>2050</v>
      </c>
      <c r="J1602" s="50">
        <v>1.1200000000000001</v>
      </c>
      <c r="K1602" s="50">
        <v>1.0391999999999999</v>
      </c>
      <c r="L1602" s="50">
        <v>0.63129999999999997</v>
      </c>
      <c r="M1602" s="50">
        <v>1.0902000000000001</v>
      </c>
      <c r="N1602" s="50">
        <v>1.2750999999999999</v>
      </c>
      <c r="O1602" s="50">
        <v>1.0538000000000001</v>
      </c>
      <c r="P1602" s="49">
        <v>2250</v>
      </c>
      <c r="Q1602" s="51">
        <f t="array" ref="Q1602">SUM(IF(($S1602&gt;=4)*($C1602='TaxCred&amp;Subs'!$D$123:$D$127)*($H1602='TaxCred&amp;Subs'!$C$123:$C$127)*($H1602&lt;='TaxCred&amp;Subs'!$C$129),'TaxCred&amp;Subs'!$E$123:$E$127,0))</f>
        <v>0</v>
      </c>
      <c r="R1602" s="171">
        <v>0</v>
      </c>
      <c r="S1602" s="49">
        <v>4</v>
      </c>
      <c r="T1602" s="49" t="s">
        <v>248</v>
      </c>
      <c r="V1602" s="153" t="str">
        <f t="array" ref="V1602">INDEX(xlRTCLNAME,MATCH(1,(xlRTCLENDU=1)*(xlRTCLEQCL=$D1602),0))</f>
        <v>LPG_FA</v>
      </c>
      <c r="W1602" s="153" t="str">
        <f t="array" ref="W1602">INDEX(xlRTCLNAME,MATCH(1,(xlRTCLENDU=2)*(xlRTCLEQCL=$F1602),0))</f>
        <v>CENT_AIR</v>
      </c>
      <c r="X1602" s="153" t="str">
        <f t="array" ref="X1602">INDEX(xlRTTYNAME,MATCH(1,(xlRTTYENDU=1)*(xlRTTYEQCL=$D1602)*(xlRTEQTYPE=$E1602),0))</f>
        <v>LPG_FA3</v>
      </c>
      <c r="Y1602" s="153" t="str">
        <f t="array" ref="Y1602">INDEX(xlRTTYNAME,MATCH(1,(xlRTTYENDU=2)*(xlRTTYEQCL=$F1602)*(xlRTEQTYPE=$G1602),0))</f>
        <v>CENT_AIR3</v>
      </c>
    </row>
    <row r="1603" spans="2:25" ht="14.25" customHeight="1" x14ac:dyDescent="0.2">
      <c r="B1603" s="126">
        <v>6</v>
      </c>
      <c r="C1603" s="126">
        <v>2</v>
      </c>
      <c r="D1603" s="126">
        <v>6</v>
      </c>
      <c r="E1603" s="126">
        <v>20</v>
      </c>
      <c r="F1603" s="126">
        <v>2</v>
      </c>
      <c r="G1603" s="126">
        <v>7</v>
      </c>
      <c r="H1603" s="126">
        <v>2016</v>
      </c>
      <c r="I1603" s="159">
        <v>2022</v>
      </c>
      <c r="J1603" s="127">
        <v>1.1200000000000001</v>
      </c>
      <c r="K1603" s="127">
        <v>1.03</v>
      </c>
      <c r="L1603" s="127">
        <v>1.1105</v>
      </c>
      <c r="M1603" s="127">
        <v>1.1228</v>
      </c>
      <c r="N1603" s="127">
        <v>1.3324</v>
      </c>
      <c r="O1603" s="127">
        <v>1.0538000000000001</v>
      </c>
      <c r="P1603" s="126">
        <v>2282</v>
      </c>
      <c r="Q1603" s="128">
        <f t="array" ref="Q1603">SUM(IF(($S1603&gt;=4)*($C1603='TaxCred&amp;Subs'!$D$123:$D$127)*($H1603='TaxCred&amp;Subs'!$C$123:$C$127)*($H1603&lt;='TaxCred&amp;Subs'!$C$129),'TaxCred&amp;Subs'!$E$123:$E$127,0))</f>
        <v>0</v>
      </c>
      <c r="R1603" s="174">
        <v>0</v>
      </c>
      <c r="S1603" s="126">
        <v>4</v>
      </c>
      <c r="T1603" s="126" t="s">
        <v>248</v>
      </c>
      <c r="V1603" s="153" t="str">
        <f t="array" ref="V1603">INDEX(xlRTCLNAME,MATCH(1,(xlRTCLENDU=1)*(xlRTCLEQCL=$D1603),0))</f>
        <v>LPG_FA</v>
      </c>
      <c r="W1603" s="153" t="str">
        <f t="array" ref="W1603">INDEX(xlRTCLNAME,MATCH(1,(xlRTCLENDU=2)*(xlRTCLEQCL=$F1603),0))</f>
        <v>CENT_AIR</v>
      </c>
      <c r="X1603" s="153" t="str">
        <f t="array" ref="X1603">INDEX(xlRTTYNAME,MATCH(1,(xlRTTYENDU=1)*(xlRTTYEQCL=$D1603)*(xlRTEQTYPE=$E1603),0))</f>
        <v>LPG_FA3</v>
      </c>
      <c r="Y1603" s="153" t="str">
        <f t="array" ref="Y1603">INDEX(xlRTTYNAME,MATCH(1,(xlRTTYENDU=2)*(xlRTTYEQCL=$F1603)*(xlRTEQTYPE=$G1603),0))</f>
        <v>CENT_AIR3</v>
      </c>
    </row>
    <row r="1604" spans="2:25" ht="14.25" customHeight="1" x14ac:dyDescent="0.2">
      <c r="B1604" s="49">
        <v>6</v>
      </c>
      <c r="C1604" s="49">
        <v>2</v>
      </c>
      <c r="D1604" s="49">
        <v>6</v>
      </c>
      <c r="E1604" s="49">
        <v>20</v>
      </c>
      <c r="F1604" s="49">
        <v>2</v>
      </c>
      <c r="G1604" s="49">
        <v>7</v>
      </c>
      <c r="H1604" s="49">
        <v>2023</v>
      </c>
      <c r="I1604" s="49">
        <v>2032</v>
      </c>
      <c r="J1604" s="50">
        <v>1.1200000000000001</v>
      </c>
      <c r="K1604" s="50">
        <v>1.03</v>
      </c>
      <c r="L1604" s="50">
        <v>1.1105</v>
      </c>
      <c r="M1604" s="50">
        <v>1.1228</v>
      </c>
      <c r="N1604" s="50">
        <v>1.3324</v>
      </c>
      <c r="O1604" s="50">
        <v>1.0538000000000001</v>
      </c>
      <c r="P1604" s="49">
        <v>2282</v>
      </c>
      <c r="Q1604" s="51">
        <f t="array" ref="Q1604">SUM(IF(($S1604&gt;=4)*($C1604='TaxCred&amp;Subs'!$D$123:$D$127)*($H1604='TaxCred&amp;Subs'!$C$123:$C$127)*($H1604&lt;='TaxCred&amp;Subs'!$C$129),'TaxCred&amp;Subs'!$E$123:$E$127,0))</f>
        <v>500</v>
      </c>
      <c r="R1604" s="171">
        <v>0</v>
      </c>
      <c r="S1604" s="49">
        <v>4</v>
      </c>
      <c r="T1604" s="49" t="s">
        <v>248</v>
      </c>
      <c r="V1604" s="153" t="str">
        <f t="array" ref="V1604">INDEX(xlRTCLNAME,MATCH(1,(xlRTCLENDU=1)*(xlRTCLEQCL=$D1604),0))</f>
        <v>LPG_FA</v>
      </c>
      <c r="W1604" s="153" t="str">
        <f t="array" ref="W1604">INDEX(xlRTCLNAME,MATCH(1,(xlRTCLENDU=2)*(xlRTCLEQCL=$F1604),0))</f>
        <v>CENT_AIR</v>
      </c>
      <c r="X1604" s="153" t="str">
        <f t="array" ref="X1604">INDEX(xlRTTYNAME,MATCH(1,(xlRTTYENDU=1)*(xlRTTYEQCL=$D1604)*(xlRTEQTYPE=$E1604),0))</f>
        <v>LPG_FA3</v>
      </c>
      <c r="Y1604" s="153" t="str">
        <f t="array" ref="Y1604">INDEX(xlRTTYNAME,MATCH(1,(xlRTTYENDU=2)*(xlRTTYEQCL=$F1604)*(xlRTEQTYPE=$G1604),0))</f>
        <v>CENT_AIR3</v>
      </c>
    </row>
    <row r="1605" spans="2:25" ht="14.25" customHeight="1" x14ac:dyDescent="0.2">
      <c r="B1605" s="49">
        <v>6</v>
      </c>
      <c r="C1605" s="49">
        <v>2</v>
      </c>
      <c r="D1605" s="49">
        <v>6</v>
      </c>
      <c r="E1605" s="49">
        <v>20</v>
      </c>
      <c r="F1605" s="49">
        <v>2</v>
      </c>
      <c r="G1605" s="49">
        <v>7</v>
      </c>
      <c r="H1605" s="49">
        <v>2033</v>
      </c>
      <c r="I1605" s="49">
        <v>2050</v>
      </c>
      <c r="J1605" s="50">
        <v>1.1200000000000001</v>
      </c>
      <c r="K1605" s="50">
        <v>1.03</v>
      </c>
      <c r="L1605" s="50">
        <v>1.1105</v>
      </c>
      <c r="M1605" s="50">
        <v>1.1228</v>
      </c>
      <c r="N1605" s="50">
        <v>1.3324</v>
      </c>
      <c r="O1605" s="50">
        <v>1.0538000000000001</v>
      </c>
      <c r="P1605" s="49">
        <v>2282</v>
      </c>
      <c r="Q1605" s="51">
        <f t="array" ref="Q1605">SUM(IF(($S1605&gt;=4)*($C1605='TaxCred&amp;Subs'!$D$123:$D$127)*($H1605='TaxCred&amp;Subs'!$C$123:$C$127)*($H1605&lt;='TaxCred&amp;Subs'!$C$129),'TaxCred&amp;Subs'!$E$123:$E$127,0))</f>
        <v>0</v>
      </c>
      <c r="R1605" s="171">
        <v>0</v>
      </c>
      <c r="S1605" s="49">
        <v>4</v>
      </c>
      <c r="T1605" s="49" t="s">
        <v>248</v>
      </c>
      <c r="V1605" s="153" t="str">
        <f t="array" ref="V1605">INDEX(xlRTCLNAME,MATCH(1,(xlRTCLENDU=1)*(xlRTCLEQCL=$D1605),0))</f>
        <v>LPG_FA</v>
      </c>
      <c r="W1605" s="153" t="str">
        <f t="array" ref="W1605">INDEX(xlRTCLNAME,MATCH(1,(xlRTCLENDU=2)*(xlRTCLEQCL=$F1605),0))</f>
        <v>CENT_AIR</v>
      </c>
      <c r="X1605" s="153" t="str">
        <f t="array" ref="X1605">INDEX(xlRTTYNAME,MATCH(1,(xlRTTYENDU=1)*(xlRTTYEQCL=$D1605)*(xlRTEQTYPE=$E1605),0))</f>
        <v>LPG_FA3</v>
      </c>
      <c r="Y1605" s="153" t="str">
        <f t="array" ref="Y1605">INDEX(xlRTTYNAME,MATCH(1,(xlRTTYENDU=2)*(xlRTTYEQCL=$F1605)*(xlRTEQTYPE=$G1605),0))</f>
        <v>CENT_AIR3</v>
      </c>
    </row>
    <row r="1606" spans="2:25" ht="14.25" customHeight="1" x14ac:dyDescent="0.2">
      <c r="B1606" s="126">
        <v>7</v>
      </c>
      <c r="C1606" s="126">
        <v>2</v>
      </c>
      <c r="D1606" s="126">
        <v>6</v>
      </c>
      <c r="E1606" s="126">
        <v>20</v>
      </c>
      <c r="F1606" s="126">
        <v>2</v>
      </c>
      <c r="G1606" s="126">
        <v>7</v>
      </c>
      <c r="H1606" s="126">
        <v>2016</v>
      </c>
      <c r="I1606" s="159">
        <v>2022</v>
      </c>
      <c r="J1606" s="127">
        <v>1.1200000000000001</v>
      </c>
      <c r="K1606" s="127">
        <v>1.0462</v>
      </c>
      <c r="L1606" s="127">
        <v>1.0271999999999999</v>
      </c>
      <c r="M1606" s="127">
        <v>1.1173</v>
      </c>
      <c r="N1606" s="127">
        <v>1.4438</v>
      </c>
      <c r="O1606" s="127">
        <v>1.0538000000000001</v>
      </c>
      <c r="P1606" s="126">
        <v>2031</v>
      </c>
      <c r="Q1606" s="128">
        <f t="array" ref="Q1606">SUM(IF(($S1606&gt;=4)*($C1606='TaxCred&amp;Subs'!$D$123:$D$127)*($H1606='TaxCred&amp;Subs'!$C$123:$C$127)*($H1606&lt;='TaxCred&amp;Subs'!$C$129),'TaxCred&amp;Subs'!$E$123:$E$127,0))</f>
        <v>0</v>
      </c>
      <c r="R1606" s="174">
        <v>0</v>
      </c>
      <c r="S1606" s="126">
        <v>4</v>
      </c>
      <c r="T1606" s="126" t="s">
        <v>248</v>
      </c>
      <c r="V1606" s="153" t="str">
        <f t="array" ref="V1606">INDEX(xlRTCLNAME,MATCH(1,(xlRTCLENDU=1)*(xlRTCLEQCL=$D1606),0))</f>
        <v>LPG_FA</v>
      </c>
      <c r="W1606" s="153" t="str">
        <f t="array" ref="W1606">INDEX(xlRTCLNAME,MATCH(1,(xlRTCLENDU=2)*(xlRTCLEQCL=$F1606),0))</f>
        <v>CENT_AIR</v>
      </c>
      <c r="X1606" s="153" t="str">
        <f t="array" ref="X1606">INDEX(xlRTTYNAME,MATCH(1,(xlRTTYENDU=1)*(xlRTTYEQCL=$D1606)*(xlRTEQTYPE=$E1606),0))</f>
        <v>LPG_FA3</v>
      </c>
      <c r="Y1606" s="153" t="str">
        <f t="array" ref="Y1606">INDEX(xlRTTYNAME,MATCH(1,(xlRTTYENDU=2)*(xlRTTYEQCL=$F1606)*(xlRTEQTYPE=$G1606),0))</f>
        <v>CENT_AIR3</v>
      </c>
    </row>
    <row r="1607" spans="2:25" ht="14.25" customHeight="1" x14ac:dyDescent="0.2">
      <c r="B1607" s="49">
        <v>7</v>
      </c>
      <c r="C1607" s="49">
        <v>2</v>
      </c>
      <c r="D1607" s="49">
        <v>6</v>
      </c>
      <c r="E1607" s="49">
        <v>20</v>
      </c>
      <c r="F1607" s="49">
        <v>2</v>
      </c>
      <c r="G1607" s="49">
        <v>7</v>
      </c>
      <c r="H1607" s="49">
        <v>2023</v>
      </c>
      <c r="I1607" s="49">
        <v>2032</v>
      </c>
      <c r="J1607" s="50">
        <v>1.1200000000000001</v>
      </c>
      <c r="K1607" s="50">
        <v>1.0462</v>
      </c>
      <c r="L1607" s="50">
        <v>1.0271999999999999</v>
      </c>
      <c r="M1607" s="50">
        <v>1.1173</v>
      </c>
      <c r="N1607" s="50">
        <v>1.4438</v>
      </c>
      <c r="O1607" s="50">
        <v>1.0538000000000001</v>
      </c>
      <c r="P1607" s="49">
        <v>2031</v>
      </c>
      <c r="Q1607" s="51">
        <f t="array" ref="Q1607">SUM(IF(($S1607&gt;=4)*($C1607='TaxCred&amp;Subs'!$D$123:$D$127)*($H1607='TaxCred&amp;Subs'!$C$123:$C$127)*($H1607&lt;='TaxCred&amp;Subs'!$C$129),'TaxCred&amp;Subs'!$E$123:$E$127,0))</f>
        <v>500</v>
      </c>
      <c r="R1607" s="171">
        <v>0</v>
      </c>
      <c r="S1607" s="49">
        <v>4</v>
      </c>
      <c r="T1607" s="49" t="s">
        <v>248</v>
      </c>
      <c r="V1607" s="153" t="str">
        <f t="array" ref="V1607">INDEX(xlRTCLNAME,MATCH(1,(xlRTCLENDU=1)*(xlRTCLEQCL=$D1607),0))</f>
        <v>LPG_FA</v>
      </c>
      <c r="W1607" s="153" t="str">
        <f t="array" ref="W1607">INDEX(xlRTCLNAME,MATCH(1,(xlRTCLENDU=2)*(xlRTCLEQCL=$F1607),0))</f>
        <v>CENT_AIR</v>
      </c>
      <c r="X1607" s="153" t="str">
        <f t="array" ref="X1607">INDEX(xlRTTYNAME,MATCH(1,(xlRTTYENDU=1)*(xlRTTYEQCL=$D1607)*(xlRTEQTYPE=$E1607),0))</f>
        <v>LPG_FA3</v>
      </c>
      <c r="Y1607" s="153" t="str">
        <f t="array" ref="Y1607">INDEX(xlRTTYNAME,MATCH(1,(xlRTTYENDU=2)*(xlRTTYEQCL=$F1607)*(xlRTEQTYPE=$G1607),0))</f>
        <v>CENT_AIR3</v>
      </c>
    </row>
    <row r="1608" spans="2:25" ht="14.25" customHeight="1" x14ac:dyDescent="0.2">
      <c r="B1608" s="49">
        <v>7</v>
      </c>
      <c r="C1608" s="49">
        <v>2</v>
      </c>
      <c r="D1608" s="49">
        <v>6</v>
      </c>
      <c r="E1608" s="49">
        <v>20</v>
      </c>
      <c r="F1608" s="49">
        <v>2</v>
      </c>
      <c r="G1608" s="49">
        <v>7</v>
      </c>
      <c r="H1608" s="49">
        <v>2033</v>
      </c>
      <c r="I1608" s="49">
        <v>2050</v>
      </c>
      <c r="J1608" s="50">
        <v>1.1200000000000001</v>
      </c>
      <c r="K1608" s="50">
        <v>1.0462</v>
      </c>
      <c r="L1608" s="50">
        <v>1.0271999999999999</v>
      </c>
      <c r="M1608" s="50">
        <v>1.1173</v>
      </c>
      <c r="N1608" s="50">
        <v>1.4438</v>
      </c>
      <c r="O1608" s="50">
        <v>1.0538000000000001</v>
      </c>
      <c r="P1608" s="49">
        <v>2031</v>
      </c>
      <c r="Q1608" s="51">
        <f t="array" ref="Q1608">SUM(IF(($S1608&gt;=4)*($C1608='TaxCred&amp;Subs'!$D$123:$D$127)*($H1608='TaxCred&amp;Subs'!$C$123:$C$127)*($H1608&lt;='TaxCred&amp;Subs'!$C$129),'TaxCred&amp;Subs'!$E$123:$E$127,0))</f>
        <v>0</v>
      </c>
      <c r="R1608" s="171">
        <v>0</v>
      </c>
      <c r="S1608" s="49">
        <v>4</v>
      </c>
      <c r="T1608" s="49" t="s">
        <v>248</v>
      </c>
      <c r="V1608" s="153" t="str">
        <f t="array" ref="V1608">INDEX(xlRTCLNAME,MATCH(1,(xlRTCLENDU=1)*(xlRTCLEQCL=$D1608),0))</f>
        <v>LPG_FA</v>
      </c>
      <c r="W1608" s="153" t="str">
        <f t="array" ref="W1608">INDEX(xlRTCLNAME,MATCH(1,(xlRTCLENDU=2)*(xlRTCLEQCL=$F1608),0))</f>
        <v>CENT_AIR</v>
      </c>
      <c r="X1608" s="153" t="str">
        <f t="array" ref="X1608">INDEX(xlRTTYNAME,MATCH(1,(xlRTTYENDU=1)*(xlRTTYEQCL=$D1608)*(xlRTEQTYPE=$E1608),0))</f>
        <v>LPG_FA3</v>
      </c>
      <c r="Y1608" s="153" t="str">
        <f t="array" ref="Y1608">INDEX(xlRTTYNAME,MATCH(1,(xlRTTYENDU=2)*(xlRTTYEQCL=$F1608)*(xlRTEQTYPE=$G1608),0))</f>
        <v>CENT_AIR3</v>
      </c>
    </row>
    <row r="1609" spans="2:25" ht="14.25" customHeight="1" x14ac:dyDescent="0.2">
      <c r="B1609" s="126">
        <v>8</v>
      </c>
      <c r="C1609" s="126">
        <v>2</v>
      </c>
      <c r="D1609" s="126">
        <v>6</v>
      </c>
      <c r="E1609" s="126">
        <v>20</v>
      </c>
      <c r="F1609" s="126">
        <v>2</v>
      </c>
      <c r="G1609" s="126">
        <v>7</v>
      </c>
      <c r="H1609" s="126">
        <v>2016</v>
      </c>
      <c r="I1609" s="159">
        <v>2022</v>
      </c>
      <c r="J1609" s="127">
        <v>1.0932999999999999</v>
      </c>
      <c r="K1609" s="127">
        <v>1.0323</v>
      </c>
      <c r="L1609" s="127">
        <v>1.0073000000000001</v>
      </c>
      <c r="M1609" s="127">
        <v>1.2739</v>
      </c>
      <c r="N1609" s="127">
        <v>1.2847999999999999</v>
      </c>
      <c r="O1609" s="127">
        <v>1.0538000000000001</v>
      </c>
      <c r="P1609" s="126">
        <v>2451</v>
      </c>
      <c r="Q1609" s="128">
        <f t="array" ref="Q1609">SUM(IF(($S1609&gt;=4)*($C1609='TaxCred&amp;Subs'!$D$123:$D$127)*($H1609='TaxCred&amp;Subs'!$C$123:$C$127)*($H1609&lt;='TaxCred&amp;Subs'!$C$129),'TaxCred&amp;Subs'!$E$123:$E$127,0))</f>
        <v>0</v>
      </c>
      <c r="R1609" s="174">
        <v>0</v>
      </c>
      <c r="S1609" s="126">
        <v>4</v>
      </c>
      <c r="T1609" s="126" t="s">
        <v>248</v>
      </c>
      <c r="V1609" s="153" t="str">
        <f t="array" ref="V1609">INDEX(xlRTCLNAME,MATCH(1,(xlRTCLENDU=1)*(xlRTCLEQCL=$D1609),0))</f>
        <v>LPG_FA</v>
      </c>
      <c r="W1609" s="153" t="str">
        <f t="array" ref="W1609">INDEX(xlRTCLNAME,MATCH(1,(xlRTCLENDU=2)*(xlRTCLEQCL=$F1609),0))</f>
        <v>CENT_AIR</v>
      </c>
      <c r="X1609" s="153" t="str">
        <f t="array" ref="X1609">INDEX(xlRTTYNAME,MATCH(1,(xlRTTYENDU=1)*(xlRTTYEQCL=$D1609)*(xlRTEQTYPE=$E1609),0))</f>
        <v>LPG_FA3</v>
      </c>
      <c r="Y1609" s="153" t="str">
        <f t="array" ref="Y1609">INDEX(xlRTTYNAME,MATCH(1,(xlRTTYENDU=2)*(xlRTTYEQCL=$F1609)*(xlRTEQTYPE=$G1609),0))</f>
        <v>CENT_AIR3</v>
      </c>
    </row>
    <row r="1610" spans="2:25" ht="14.25" customHeight="1" x14ac:dyDescent="0.2">
      <c r="B1610" s="49">
        <v>8</v>
      </c>
      <c r="C1610" s="49">
        <v>2</v>
      </c>
      <c r="D1610" s="49">
        <v>6</v>
      </c>
      <c r="E1610" s="49">
        <v>20</v>
      </c>
      <c r="F1610" s="49">
        <v>2</v>
      </c>
      <c r="G1610" s="49">
        <v>7</v>
      </c>
      <c r="H1610" s="49">
        <v>2023</v>
      </c>
      <c r="I1610" s="49">
        <v>2032</v>
      </c>
      <c r="J1610" s="50">
        <v>1.0932999999999999</v>
      </c>
      <c r="K1610" s="50">
        <v>1.0323</v>
      </c>
      <c r="L1610" s="50">
        <v>1.0073000000000001</v>
      </c>
      <c r="M1610" s="50">
        <v>1.2739</v>
      </c>
      <c r="N1610" s="50">
        <v>1.2847999999999999</v>
      </c>
      <c r="O1610" s="50">
        <v>1.0538000000000001</v>
      </c>
      <c r="P1610" s="49">
        <v>2451</v>
      </c>
      <c r="Q1610" s="51">
        <f t="array" ref="Q1610">SUM(IF(($S1610&gt;=4)*($C1610='TaxCred&amp;Subs'!$D$123:$D$127)*($H1610='TaxCred&amp;Subs'!$C$123:$C$127)*($H1610&lt;='TaxCred&amp;Subs'!$C$129),'TaxCred&amp;Subs'!$E$123:$E$127,0))</f>
        <v>500</v>
      </c>
      <c r="R1610" s="171">
        <v>0</v>
      </c>
      <c r="S1610" s="49">
        <v>4</v>
      </c>
      <c r="T1610" s="49" t="s">
        <v>248</v>
      </c>
      <c r="V1610" s="153" t="str">
        <f t="array" ref="V1610">INDEX(xlRTCLNAME,MATCH(1,(xlRTCLENDU=1)*(xlRTCLEQCL=$D1610),0))</f>
        <v>LPG_FA</v>
      </c>
      <c r="W1610" s="153" t="str">
        <f t="array" ref="W1610">INDEX(xlRTCLNAME,MATCH(1,(xlRTCLENDU=2)*(xlRTCLEQCL=$F1610),0))</f>
        <v>CENT_AIR</v>
      </c>
      <c r="X1610" s="153" t="str">
        <f t="array" ref="X1610">INDEX(xlRTTYNAME,MATCH(1,(xlRTTYENDU=1)*(xlRTTYEQCL=$D1610)*(xlRTEQTYPE=$E1610),0))</f>
        <v>LPG_FA3</v>
      </c>
      <c r="Y1610" s="153" t="str">
        <f t="array" ref="Y1610">INDEX(xlRTTYNAME,MATCH(1,(xlRTTYENDU=2)*(xlRTTYEQCL=$F1610)*(xlRTEQTYPE=$G1610),0))</f>
        <v>CENT_AIR3</v>
      </c>
    </row>
    <row r="1611" spans="2:25" ht="14.25" customHeight="1" x14ac:dyDescent="0.2">
      <c r="B1611" s="49">
        <v>8</v>
      </c>
      <c r="C1611" s="49">
        <v>2</v>
      </c>
      <c r="D1611" s="49">
        <v>6</v>
      </c>
      <c r="E1611" s="49">
        <v>20</v>
      </c>
      <c r="F1611" s="49">
        <v>2</v>
      </c>
      <c r="G1611" s="49">
        <v>7</v>
      </c>
      <c r="H1611" s="49">
        <v>2033</v>
      </c>
      <c r="I1611" s="49">
        <v>2050</v>
      </c>
      <c r="J1611" s="50">
        <v>1.0932999999999999</v>
      </c>
      <c r="K1611" s="50">
        <v>1.0323</v>
      </c>
      <c r="L1611" s="50">
        <v>1.0073000000000001</v>
      </c>
      <c r="M1611" s="50">
        <v>1.2739</v>
      </c>
      <c r="N1611" s="50">
        <v>1.2847999999999999</v>
      </c>
      <c r="O1611" s="50">
        <v>1.0538000000000001</v>
      </c>
      <c r="P1611" s="49">
        <v>2451</v>
      </c>
      <c r="Q1611" s="51">
        <f t="array" ref="Q1611">SUM(IF(($S1611&gt;=4)*($C1611='TaxCred&amp;Subs'!$D$123:$D$127)*($H1611='TaxCred&amp;Subs'!$C$123:$C$127)*($H1611&lt;='TaxCred&amp;Subs'!$C$129),'TaxCred&amp;Subs'!$E$123:$E$127,0))</f>
        <v>0</v>
      </c>
      <c r="R1611" s="171">
        <v>0</v>
      </c>
      <c r="S1611" s="49">
        <v>4</v>
      </c>
      <c r="T1611" s="49" t="s">
        <v>248</v>
      </c>
      <c r="V1611" s="153" t="str">
        <f t="array" ref="V1611">INDEX(xlRTCLNAME,MATCH(1,(xlRTCLENDU=1)*(xlRTCLEQCL=$D1611),0))</f>
        <v>LPG_FA</v>
      </c>
      <c r="W1611" s="153" t="str">
        <f t="array" ref="W1611">INDEX(xlRTCLNAME,MATCH(1,(xlRTCLENDU=2)*(xlRTCLEQCL=$F1611),0))</f>
        <v>CENT_AIR</v>
      </c>
      <c r="X1611" s="153" t="str">
        <f t="array" ref="X1611">INDEX(xlRTTYNAME,MATCH(1,(xlRTTYENDU=1)*(xlRTTYEQCL=$D1611)*(xlRTEQTYPE=$E1611),0))</f>
        <v>LPG_FA3</v>
      </c>
      <c r="Y1611" s="153" t="str">
        <f t="array" ref="Y1611">INDEX(xlRTTYNAME,MATCH(1,(xlRTTYENDU=2)*(xlRTTYEQCL=$F1611)*(xlRTEQTYPE=$G1611),0))</f>
        <v>CENT_AIR3</v>
      </c>
    </row>
    <row r="1612" spans="2:25" ht="14.25" customHeight="1" x14ac:dyDescent="0.2">
      <c r="B1612" s="126">
        <v>9</v>
      </c>
      <c r="C1612" s="126">
        <v>2</v>
      </c>
      <c r="D1612" s="126">
        <v>6</v>
      </c>
      <c r="E1612" s="126">
        <v>20</v>
      </c>
      <c r="F1612" s="126">
        <v>2</v>
      </c>
      <c r="G1612" s="126">
        <v>7</v>
      </c>
      <c r="H1612" s="126">
        <v>2016</v>
      </c>
      <c r="I1612" s="159">
        <v>2022</v>
      </c>
      <c r="J1612" s="127">
        <v>1.07</v>
      </c>
      <c r="K1612" s="127">
        <v>1.0541</v>
      </c>
      <c r="L1612" s="127">
        <v>1.0063</v>
      </c>
      <c r="M1612" s="127">
        <v>1.2</v>
      </c>
      <c r="N1612" s="127">
        <v>1.4438</v>
      </c>
      <c r="O1612" s="127">
        <v>1.0538000000000001</v>
      </c>
      <c r="P1612" s="126">
        <v>2550</v>
      </c>
      <c r="Q1612" s="128">
        <f t="array" ref="Q1612">SUM(IF(($S1612&gt;=4)*($C1612='TaxCred&amp;Subs'!$D$123:$D$127)*($H1612='TaxCred&amp;Subs'!$C$123:$C$127)*($H1612&lt;='TaxCred&amp;Subs'!$C$129),'TaxCred&amp;Subs'!$E$123:$E$127,0))</f>
        <v>0</v>
      </c>
      <c r="R1612" s="174">
        <v>0</v>
      </c>
      <c r="S1612" s="126">
        <v>4</v>
      </c>
      <c r="T1612" s="126" t="s">
        <v>248</v>
      </c>
      <c r="V1612" s="153" t="str">
        <f t="array" ref="V1612">INDEX(xlRTCLNAME,MATCH(1,(xlRTCLENDU=1)*(xlRTCLEQCL=$D1612),0))</f>
        <v>LPG_FA</v>
      </c>
      <c r="W1612" s="153" t="str">
        <f t="array" ref="W1612">INDEX(xlRTCLNAME,MATCH(1,(xlRTCLENDU=2)*(xlRTCLEQCL=$F1612),0))</f>
        <v>CENT_AIR</v>
      </c>
      <c r="X1612" s="153" t="str">
        <f t="array" ref="X1612">INDEX(xlRTTYNAME,MATCH(1,(xlRTTYENDU=1)*(xlRTTYEQCL=$D1612)*(xlRTEQTYPE=$E1612),0))</f>
        <v>LPG_FA3</v>
      </c>
      <c r="Y1612" s="153" t="str">
        <f t="array" ref="Y1612">INDEX(xlRTTYNAME,MATCH(1,(xlRTTYENDU=2)*(xlRTTYEQCL=$F1612)*(xlRTEQTYPE=$G1612),0))</f>
        <v>CENT_AIR3</v>
      </c>
    </row>
    <row r="1613" spans="2:25" ht="14.25" customHeight="1" x14ac:dyDescent="0.2">
      <c r="B1613" s="49">
        <v>9</v>
      </c>
      <c r="C1613" s="49">
        <v>2</v>
      </c>
      <c r="D1613" s="49">
        <v>6</v>
      </c>
      <c r="E1613" s="49">
        <v>20</v>
      </c>
      <c r="F1613" s="49">
        <v>2</v>
      </c>
      <c r="G1613" s="49">
        <v>7</v>
      </c>
      <c r="H1613" s="49">
        <v>2023</v>
      </c>
      <c r="I1613" s="49">
        <v>2032</v>
      </c>
      <c r="J1613" s="50">
        <v>1.07</v>
      </c>
      <c r="K1613" s="50">
        <v>1.0541</v>
      </c>
      <c r="L1613" s="50">
        <v>1.0063</v>
      </c>
      <c r="M1613" s="50">
        <v>1.2</v>
      </c>
      <c r="N1613" s="50">
        <v>1.4438</v>
      </c>
      <c r="O1613" s="50">
        <v>1.0538000000000001</v>
      </c>
      <c r="P1613" s="49">
        <v>2550</v>
      </c>
      <c r="Q1613" s="51">
        <f t="array" ref="Q1613">SUM(IF(($S1613&gt;=4)*($C1613='TaxCred&amp;Subs'!$D$123:$D$127)*($H1613='TaxCred&amp;Subs'!$C$123:$C$127)*($H1613&lt;='TaxCred&amp;Subs'!$C$129),'TaxCred&amp;Subs'!$E$123:$E$127,0))</f>
        <v>500</v>
      </c>
      <c r="R1613" s="171">
        <v>0</v>
      </c>
      <c r="S1613" s="49">
        <v>4</v>
      </c>
      <c r="T1613" s="49" t="s">
        <v>248</v>
      </c>
      <c r="V1613" s="153" t="str">
        <f t="array" ref="V1613">INDEX(xlRTCLNAME,MATCH(1,(xlRTCLENDU=1)*(xlRTCLEQCL=$D1613),0))</f>
        <v>LPG_FA</v>
      </c>
      <c r="W1613" s="153" t="str">
        <f t="array" ref="W1613">INDEX(xlRTCLNAME,MATCH(1,(xlRTCLENDU=2)*(xlRTCLEQCL=$F1613),0))</f>
        <v>CENT_AIR</v>
      </c>
      <c r="X1613" s="153" t="str">
        <f t="array" ref="X1613">INDEX(xlRTTYNAME,MATCH(1,(xlRTTYENDU=1)*(xlRTTYEQCL=$D1613)*(xlRTEQTYPE=$E1613),0))</f>
        <v>LPG_FA3</v>
      </c>
      <c r="Y1613" s="153" t="str">
        <f t="array" ref="Y1613">INDEX(xlRTTYNAME,MATCH(1,(xlRTTYENDU=2)*(xlRTTYEQCL=$F1613)*(xlRTEQTYPE=$G1613),0))</f>
        <v>CENT_AIR3</v>
      </c>
    </row>
    <row r="1614" spans="2:25" ht="14.25" customHeight="1" x14ac:dyDescent="0.2">
      <c r="B1614" s="49">
        <v>9</v>
      </c>
      <c r="C1614" s="49">
        <v>2</v>
      </c>
      <c r="D1614" s="49">
        <v>6</v>
      </c>
      <c r="E1614" s="49">
        <v>20</v>
      </c>
      <c r="F1614" s="49">
        <v>2</v>
      </c>
      <c r="G1614" s="49">
        <v>7</v>
      </c>
      <c r="H1614" s="49">
        <v>2033</v>
      </c>
      <c r="I1614" s="49">
        <v>2050</v>
      </c>
      <c r="J1614" s="50">
        <v>1.07</v>
      </c>
      <c r="K1614" s="50">
        <v>1.0541</v>
      </c>
      <c r="L1614" s="50">
        <v>1.0063</v>
      </c>
      <c r="M1614" s="50">
        <v>1.2</v>
      </c>
      <c r="N1614" s="50">
        <v>1.4438</v>
      </c>
      <c r="O1614" s="50">
        <v>1.0538000000000001</v>
      </c>
      <c r="P1614" s="49">
        <v>2550</v>
      </c>
      <c r="Q1614" s="51">
        <f t="array" ref="Q1614">SUM(IF(($S1614&gt;=4)*($C1614='TaxCred&amp;Subs'!$D$123:$D$127)*($H1614='TaxCred&amp;Subs'!$C$123:$C$127)*($H1614&lt;='TaxCred&amp;Subs'!$C$129),'TaxCred&amp;Subs'!$E$123:$E$127,0))</f>
        <v>0</v>
      </c>
      <c r="R1614" s="171">
        <v>0</v>
      </c>
      <c r="S1614" s="49">
        <v>4</v>
      </c>
      <c r="T1614" s="49" t="s">
        <v>248</v>
      </c>
      <c r="V1614" s="153" t="str">
        <f t="array" ref="V1614">INDEX(xlRTCLNAME,MATCH(1,(xlRTCLENDU=1)*(xlRTCLEQCL=$D1614),0))</f>
        <v>LPG_FA</v>
      </c>
      <c r="W1614" s="153" t="str">
        <f t="array" ref="W1614">INDEX(xlRTCLNAME,MATCH(1,(xlRTCLENDU=2)*(xlRTCLEQCL=$F1614),0))</f>
        <v>CENT_AIR</v>
      </c>
      <c r="X1614" s="153" t="str">
        <f t="array" ref="X1614">INDEX(xlRTTYNAME,MATCH(1,(xlRTTYENDU=1)*(xlRTTYEQCL=$D1614)*(xlRTEQTYPE=$E1614),0))</f>
        <v>LPG_FA3</v>
      </c>
      <c r="Y1614" s="153" t="str">
        <f t="array" ref="Y1614">INDEX(xlRTTYNAME,MATCH(1,(xlRTTYENDU=2)*(xlRTTYEQCL=$F1614)*(xlRTEQTYPE=$G1614),0))</f>
        <v>CENT_AIR3</v>
      </c>
    </row>
    <row r="1615" spans="2:25" ht="14.25" customHeight="1" x14ac:dyDescent="0.2">
      <c r="B1615" s="126">
        <v>1</v>
      </c>
      <c r="C1615" s="126">
        <v>2</v>
      </c>
      <c r="D1615" s="126">
        <v>7</v>
      </c>
      <c r="E1615" s="126">
        <v>24</v>
      </c>
      <c r="F1615" s="126">
        <v>2</v>
      </c>
      <c r="G1615" s="126">
        <v>7</v>
      </c>
      <c r="H1615" s="126">
        <v>2016</v>
      </c>
      <c r="I1615" s="159">
        <v>2022</v>
      </c>
      <c r="J1615" s="127">
        <v>1.0956999999999999</v>
      </c>
      <c r="K1615" s="127">
        <v>1.0417000000000001</v>
      </c>
      <c r="L1615" s="127">
        <v>0.89729999999999999</v>
      </c>
      <c r="M1615" s="127">
        <v>1.1228</v>
      </c>
      <c r="N1615" s="127">
        <v>1.1153</v>
      </c>
      <c r="O1615" s="127">
        <v>1.0538000000000001</v>
      </c>
      <c r="P1615" s="126">
        <v>3623</v>
      </c>
      <c r="Q1615" s="128">
        <f t="array" ref="Q1615">SUM(IF(($S1615&gt;=4)*($C1615='TaxCred&amp;Subs'!$D$123:$D$127)*($H1615='TaxCred&amp;Subs'!$C$123:$C$127)*($H1615&lt;='TaxCred&amp;Subs'!$C$129),'TaxCred&amp;Subs'!$E$123:$E$127,0))</f>
        <v>0</v>
      </c>
      <c r="R1615" s="174">
        <v>0</v>
      </c>
      <c r="S1615" s="126">
        <v>4</v>
      </c>
      <c r="T1615" s="126" t="s">
        <v>248</v>
      </c>
      <c r="V1615" s="153" t="str">
        <f t="array" ref="V1615">INDEX(xlRTCLNAME,MATCH(1,(xlRTCLENDU=1)*(xlRTCLEQCL=$D1615),0))</f>
        <v>DIST_FA</v>
      </c>
      <c r="W1615" s="153" t="str">
        <f t="array" ref="W1615">INDEX(xlRTCLNAME,MATCH(1,(xlRTCLENDU=2)*(xlRTCLEQCL=$F1615),0))</f>
        <v>CENT_AIR</v>
      </c>
      <c r="X1615" s="153" t="str">
        <f t="array" ref="X1615">INDEX(xlRTTYNAME,MATCH(1,(xlRTTYENDU=1)*(xlRTTYEQCL=$D1615)*(xlRTEQTYPE=$E1615),0))</f>
        <v>DIST_FA3</v>
      </c>
      <c r="Y1615" s="153" t="str">
        <f t="array" ref="Y1615">INDEX(xlRTTYNAME,MATCH(1,(xlRTTYENDU=2)*(xlRTTYEQCL=$F1615)*(xlRTEQTYPE=$G1615),0))</f>
        <v>CENT_AIR3</v>
      </c>
    </row>
    <row r="1616" spans="2:25" ht="14.25" customHeight="1" x14ac:dyDescent="0.2">
      <c r="B1616" s="49">
        <v>1</v>
      </c>
      <c r="C1616" s="49">
        <v>2</v>
      </c>
      <c r="D1616" s="49">
        <v>7</v>
      </c>
      <c r="E1616" s="49">
        <v>24</v>
      </c>
      <c r="F1616" s="49">
        <v>2</v>
      </c>
      <c r="G1616" s="49">
        <v>7</v>
      </c>
      <c r="H1616" s="49">
        <v>2023</v>
      </c>
      <c r="I1616" s="49">
        <v>2032</v>
      </c>
      <c r="J1616" s="50">
        <v>1.0956999999999999</v>
      </c>
      <c r="K1616" s="50">
        <v>1.0417000000000001</v>
      </c>
      <c r="L1616" s="50">
        <v>0.89729999999999999</v>
      </c>
      <c r="M1616" s="50">
        <v>1.1228</v>
      </c>
      <c r="N1616" s="50">
        <v>1.1153</v>
      </c>
      <c r="O1616" s="50">
        <v>1.0538000000000001</v>
      </c>
      <c r="P1616" s="49">
        <v>3623</v>
      </c>
      <c r="Q1616" s="51">
        <f t="array" ref="Q1616">SUM(IF(($S1616&gt;=4)*($C1616='TaxCred&amp;Subs'!$D$123:$D$127)*($H1616='TaxCred&amp;Subs'!$C$123:$C$127)*($H1616&lt;='TaxCred&amp;Subs'!$C$129),'TaxCred&amp;Subs'!$E$123:$E$127,0))</f>
        <v>500</v>
      </c>
      <c r="R1616" s="171">
        <v>0</v>
      </c>
      <c r="S1616" s="49">
        <v>4</v>
      </c>
      <c r="T1616" s="49" t="s">
        <v>248</v>
      </c>
      <c r="V1616" s="153" t="str">
        <f t="array" ref="V1616">INDEX(xlRTCLNAME,MATCH(1,(xlRTCLENDU=1)*(xlRTCLEQCL=$D1616),0))</f>
        <v>DIST_FA</v>
      </c>
      <c r="W1616" s="153" t="str">
        <f t="array" ref="W1616">INDEX(xlRTCLNAME,MATCH(1,(xlRTCLENDU=2)*(xlRTCLEQCL=$F1616),0))</f>
        <v>CENT_AIR</v>
      </c>
      <c r="X1616" s="153" t="str">
        <f t="array" ref="X1616">INDEX(xlRTTYNAME,MATCH(1,(xlRTTYENDU=1)*(xlRTTYEQCL=$D1616)*(xlRTEQTYPE=$E1616),0))</f>
        <v>DIST_FA3</v>
      </c>
      <c r="Y1616" s="153" t="str">
        <f t="array" ref="Y1616">INDEX(xlRTTYNAME,MATCH(1,(xlRTTYENDU=2)*(xlRTTYEQCL=$F1616)*(xlRTEQTYPE=$G1616),0))</f>
        <v>CENT_AIR3</v>
      </c>
    </row>
    <row r="1617" spans="2:25" ht="14.25" customHeight="1" x14ac:dyDescent="0.2">
      <c r="B1617" s="49">
        <v>1</v>
      </c>
      <c r="C1617" s="49">
        <v>2</v>
      </c>
      <c r="D1617" s="49">
        <v>7</v>
      </c>
      <c r="E1617" s="49">
        <v>24</v>
      </c>
      <c r="F1617" s="49">
        <v>2</v>
      </c>
      <c r="G1617" s="49">
        <v>7</v>
      </c>
      <c r="H1617" s="49">
        <v>2033</v>
      </c>
      <c r="I1617" s="49">
        <v>2050</v>
      </c>
      <c r="J1617" s="50">
        <v>1.0956999999999999</v>
      </c>
      <c r="K1617" s="50">
        <v>1.0417000000000001</v>
      </c>
      <c r="L1617" s="50">
        <v>0.89729999999999999</v>
      </c>
      <c r="M1617" s="50">
        <v>1.1228</v>
      </c>
      <c r="N1617" s="50">
        <v>1.1153</v>
      </c>
      <c r="O1617" s="50">
        <v>1.0538000000000001</v>
      </c>
      <c r="P1617" s="49">
        <v>3623</v>
      </c>
      <c r="Q1617" s="51">
        <f t="array" ref="Q1617">SUM(IF(($S1617&gt;=4)*($C1617='TaxCred&amp;Subs'!$D$123:$D$127)*($H1617='TaxCred&amp;Subs'!$C$123:$C$127)*($H1617&lt;='TaxCred&amp;Subs'!$C$129),'TaxCred&amp;Subs'!$E$123:$E$127,0))</f>
        <v>0</v>
      </c>
      <c r="R1617" s="171">
        <v>0</v>
      </c>
      <c r="S1617" s="49">
        <v>4</v>
      </c>
      <c r="T1617" s="49" t="s">
        <v>248</v>
      </c>
      <c r="V1617" s="153" t="str">
        <f t="array" ref="V1617">INDEX(xlRTCLNAME,MATCH(1,(xlRTCLENDU=1)*(xlRTCLEQCL=$D1617),0))</f>
        <v>DIST_FA</v>
      </c>
      <c r="W1617" s="153" t="str">
        <f t="array" ref="W1617">INDEX(xlRTCLNAME,MATCH(1,(xlRTCLENDU=2)*(xlRTCLEQCL=$F1617),0))</f>
        <v>CENT_AIR</v>
      </c>
      <c r="X1617" s="153" t="str">
        <f t="array" ref="X1617">INDEX(xlRTTYNAME,MATCH(1,(xlRTTYENDU=1)*(xlRTTYEQCL=$D1617)*(xlRTEQTYPE=$E1617),0))</f>
        <v>DIST_FA3</v>
      </c>
      <c r="Y1617" s="153" t="str">
        <f t="array" ref="Y1617">INDEX(xlRTTYNAME,MATCH(1,(xlRTTYENDU=2)*(xlRTTYEQCL=$F1617)*(xlRTEQTYPE=$G1617),0))</f>
        <v>CENT_AIR3</v>
      </c>
    </row>
    <row r="1618" spans="2:25" ht="14.25" customHeight="1" x14ac:dyDescent="0.2">
      <c r="B1618" s="126">
        <v>2</v>
      </c>
      <c r="C1618" s="126">
        <v>2</v>
      </c>
      <c r="D1618" s="126">
        <v>7</v>
      </c>
      <c r="E1618" s="126">
        <v>24</v>
      </c>
      <c r="F1618" s="126">
        <v>2</v>
      </c>
      <c r="G1618" s="126">
        <v>7</v>
      </c>
      <c r="H1618" s="126">
        <v>2016</v>
      </c>
      <c r="I1618" s="159">
        <v>2022</v>
      </c>
      <c r="J1618" s="127">
        <v>1.1059000000000001</v>
      </c>
      <c r="K1618" s="127">
        <v>1.0357000000000001</v>
      </c>
      <c r="L1618" s="127">
        <v>0.93369999999999997</v>
      </c>
      <c r="M1618" s="127">
        <v>1.1625000000000001</v>
      </c>
      <c r="N1618" s="127">
        <v>1.1176999999999999</v>
      </c>
      <c r="O1618" s="127">
        <v>1.0538000000000001</v>
      </c>
      <c r="P1618" s="126">
        <v>3133</v>
      </c>
      <c r="Q1618" s="128">
        <f t="array" ref="Q1618">SUM(IF(($S1618&gt;=4)*($C1618='TaxCred&amp;Subs'!$D$123:$D$127)*($H1618='TaxCred&amp;Subs'!$C$123:$C$127)*($H1618&lt;='TaxCred&amp;Subs'!$C$129),'TaxCred&amp;Subs'!$E$123:$E$127,0))</f>
        <v>0</v>
      </c>
      <c r="R1618" s="174">
        <v>0</v>
      </c>
      <c r="S1618" s="126">
        <v>4</v>
      </c>
      <c r="T1618" s="126" t="s">
        <v>248</v>
      </c>
      <c r="V1618" s="153" t="str">
        <f t="array" ref="V1618">INDEX(xlRTCLNAME,MATCH(1,(xlRTCLENDU=1)*(xlRTCLEQCL=$D1618),0))</f>
        <v>DIST_FA</v>
      </c>
      <c r="W1618" s="153" t="str">
        <f t="array" ref="W1618">INDEX(xlRTCLNAME,MATCH(1,(xlRTCLENDU=2)*(xlRTCLEQCL=$F1618),0))</f>
        <v>CENT_AIR</v>
      </c>
      <c r="X1618" s="153" t="str">
        <f t="array" ref="X1618">INDEX(xlRTTYNAME,MATCH(1,(xlRTTYENDU=1)*(xlRTTYEQCL=$D1618)*(xlRTEQTYPE=$E1618),0))</f>
        <v>DIST_FA3</v>
      </c>
      <c r="Y1618" s="153" t="str">
        <f t="array" ref="Y1618">INDEX(xlRTTYNAME,MATCH(1,(xlRTTYENDU=2)*(xlRTTYEQCL=$F1618)*(xlRTEQTYPE=$G1618),0))</f>
        <v>CENT_AIR3</v>
      </c>
    </row>
    <row r="1619" spans="2:25" ht="14.25" customHeight="1" x14ac:dyDescent="0.2">
      <c r="B1619" s="49">
        <v>2</v>
      </c>
      <c r="C1619" s="49">
        <v>2</v>
      </c>
      <c r="D1619" s="49">
        <v>7</v>
      </c>
      <c r="E1619" s="49">
        <v>24</v>
      </c>
      <c r="F1619" s="49">
        <v>2</v>
      </c>
      <c r="G1619" s="49">
        <v>7</v>
      </c>
      <c r="H1619" s="49">
        <v>2023</v>
      </c>
      <c r="I1619" s="49">
        <v>2032</v>
      </c>
      <c r="J1619" s="50">
        <v>1.1059000000000001</v>
      </c>
      <c r="K1619" s="50">
        <v>1.0357000000000001</v>
      </c>
      <c r="L1619" s="50">
        <v>0.93369999999999997</v>
      </c>
      <c r="M1619" s="50">
        <v>1.1625000000000001</v>
      </c>
      <c r="N1619" s="50">
        <v>1.1176999999999999</v>
      </c>
      <c r="O1619" s="50">
        <v>1.0538000000000001</v>
      </c>
      <c r="P1619" s="49">
        <v>3133</v>
      </c>
      <c r="Q1619" s="51">
        <f t="array" ref="Q1619">SUM(IF(($S1619&gt;=4)*($C1619='TaxCred&amp;Subs'!$D$123:$D$127)*($H1619='TaxCred&amp;Subs'!$C$123:$C$127)*($H1619&lt;='TaxCred&amp;Subs'!$C$129),'TaxCred&amp;Subs'!$E$123:$E$127,0))</f>
        <v>500</v>
      </c>
      <c r="R1619" s="171">
        <v>0</v>
      </c>
      <c r="S1619" s="49">
        <v>4</v>
      </c>
      <c r="T1619" s="49" t="s">
        <v>248</v>
      </c>
      <c r="V1619" s="153" t="str">
        <f t="array" ref="V1619">INDEX(xlRTCLNAME,MATCH(1,(xlRTCLENDU=1)*(xlRTCLEQCL=$D1619),0))</f>
        <v>DIST_FA</v>
      </c>
      <c r="W1619" s="153" t="str">
        <f t="array" ref="W1619">INDEX(xlRTCLNAME,MATCH(1,(xlRTCLENDU=2)*(xlRTCLEQCL=$F1619),0))</f>
        <v>CENT_AIR</v>
      </c>
      <c r="X1619" s="153" t="str">
        <f t="array" ref="X1619">INDEX(xlRTTYNAME,MATCH(1,(xlRTTYENDU=1)*(xlRTTYEQCL=$D1619)*(xlRTEQTYPE=$E1619),0))</f>
        <v>DIST_FA3</v>
      </c>
      <c r="Y1619" s="153" t="str">
        <f t="array" ref="Y1619">INDEX(xlRTTYNAME,MATCH(1,(xlRTTYENDU=2)*(xlRTTYEQCL=$F1619)*(xlRTEQTYPE=$G1619),0))</f>
        <v>CENT_AIR3</v>
      </c>
    </row>
    <row r="1620" spans="2:25" ht="14.25" customHeight="1" x14ac:dyDescent="0.2">
      <c r="B1620" s="49">
        <v>2</v>
      </c>
      <c r="C1620" s="49">
        <v>2</v>
      </c>
      <c r="D1620" s="49">
        <v>7</v>
      </c>
      <c r="E1620" s="49">
        <v>24</v>
      </c>
      <c r="F1620" s="49">
        <v>2</v>
      </c>
      <c r="G1620" s="49">
        <v>7</v>
      </c>
      <c r="H1620" s="49">
        <v>2033</v>
      </c>
      <c r="I1620" s="49">
        <v>2050</v>
      </c>
      <c r="J1620" s="50">
        <v>1.1059000000000001</v>
      </c>
      <c r="K1620" s="50">
        <v>1.0357000000000001</v>
      </c>
      <c r="L1620" s="50">
        <v>0.93369999999999997</v>
      </c>
      <c r="M1620" s="50">
        <v>1.1625000000000001</v>
      </c>
      <c r="N1620" s="50">
        <v>1.1176999999999999</v>
      </c>
      <c r="O1620" s="50">
        <v>1.0538000000000001</v>
      </c>
      <c r="P1620" s="49">
        <v>3133</v>
      </c>
      <c r="Q1620" s="51">
        <f t="array" ref="Q1620">SUM(IF(($S1620&gt;=4)*($C1620='TaxCred&amp;Subs'!$D$123:$D$127)*($H1620='TaxCred&amp;Subs'!$C$123:$C$127)*($H1620&lt;='TaxCred&amp;Subs'!$C$129),'TaxCred&amp;Subs'!$E$123:$E$127,0))</f>
        <v>0</v>
      </c>
      <c r="R1620" s="171">
        <v>0</v>
      </c>
      <c r="S1620" s="49">
        <v>4</v>
      </c>
      <c r="T1620" s="49" t="s">
        <v>248</v>
      </c>
      <c r="V1620" s="153" t="str">
        <f t="array" ref="V1620">INDEX(xlRTCLNAME,MATCH(1,(xlRTCLENDU=1)*(xlRTCLEQCL=$D1620),0))</f>
        <v>DIST_FA</v>
      </c>
      <c r="W1620" s="153" t="str">
        <f t="array" ref="W1620">INDEX(xlRTCLNAME,MATCH(1,(xlRTCLENDU=2)*(xlRTCLEQCL=$F1620),0))</f>
        <v>CENT_AIR</v>
      </c>
      <c r="X1620" s="153" t="str">
        <f t="array" ref="X1620">INDEX(xlRTTYNAME,MATCH(1,(xlRTTYENDU=1)*(xlRTTYEQCL=$D1620)*(xlRTEQTYPE=$E1620),0))</f>
        <v>DIST_FA3</v>
      </c>
      <c r="Y1620" s="153" t="str">
        <f t="array" ref="Y1620">INDEX(xlRTTYNAME,MATCH(1,(xlRTTYENDU=2)*(xlRTTYEQCL=$F1620)*(xlRTEQTYPE=$G1620),0))</f>
        <v>CENT_AIR3</v>
      </c>
    </row>
    <row r="1621" spans="2:25" ht="14.25" customHeight="1" x14ac:dyDescent="0.2">
      <c r="B1621" s="126">
        <v>3</v>
      </c>
      <c r="C1621" s="126">
        <v>2</v>
      </c>
      <c r="D1621" s="126">
        <v>7</v>
      </c>
      <c r="E1621" s="126">
        <v>24</v>
      </c>
      <c r="F1621" s="126">
        <v>2</v>
      </c>
      <c r="G1621" s="126">
        <v>7</v>
      </c>
      <c r="H1621" s="126">
        <v>2016</v>
      </c>
      <c r="I1621" s="159">
        <v>2022</v>
      </c>
      <c r="J1621" s="127">
        <v>1.099</v>
      </c>
      <c r="K1621" s="127">
        <v>1.03</v>
      </c>
      <c r="L1621" s="127">
        <v>0.80589999999999995</v>
      </c>
      <c r="M1621" s="127">
        <v>1.0138</v>
      </c>
      <c r="N1621" s="127">
        <v>1.0381</v>
      </c>
      <c r="O1621" s="127">
        <v>1.0538000000000001</v>
      </c>
      <c r="P1621" s="126">
        <v>3083</v>
      </c>
      <c r="Q1621" s="128">
        <f t="array" ref="Q1621">SUM(IF(($S1621&gt;=4)*($C1621='TaxCred&amp;Subs'!$D$123:$D$127)*($H1621='TaxCred&amp;Subs'!$C$123:$C$127)*($H1621&lt;='TaxCred&amp;Subs'!$C$129),'TaxCred&amp;Subs'!$E$123:$E$127,0))</f>
        <v>0</v>
      </c>
      <c r="R1621" s="174">
        <v>0</v>
      </c>
      <c r="S1621" s="126">
        <v>4</v>
      </c>
      <c r="T1621" s="126" t="s">
        <v>248</v>
      </c>
      <c r="V1621" s="153" t="str">
        <f t="array" ref="V1621">INDEX(xlRTCLNAME,MATCH(1,(xlRTCLENDU=1)*(xlRTCLEQCL=$D1621),0))</f>
        <v>DIST_FA</v>
      </c>
      <c r="W1621" s="153" t="str">
        <f t="array" ref="W1621">INDEX(xlRTCLNAME,MATCH(1,(xlRTCLENDU=2)*(xlRTCLEQCL=$F1621),0))</f>
        <v>CENT_AIR</v>
      </c>
      <c r="X1621" s="153" t="str">
        <f t="array" ref="X1621">INDEX(xlRTTYNAME,MATCH(1,(xlRTTYENDU=1)*(xlRTTYEQCL=$D1621)*(xlRTEQTYPE=$E1621),0))</f>
        <v>DIST_FA3</v>
      </c>
      <c r="Y1621" s="153" t="str">
        <f t="array" ref="Y1621">INDEX(xlRTTYNAME,MATCH(1,(xlRTTYENDU=2)*(xlRTTYEQCL=$F1621)*(xlRTEQTYPE=$G1621),0))</f>
        <v>CENT_AIR3</v>
      </c>
    </row>
    <row r="1622" spans="2:25" ht="14.25" customHeight="1" x14ac:dyDescent="0.2">
      <c r="B1622" s="49">
        <v>3</v>
      </c>
      <c r="C1622" s="49">
        <v>2</v>
      </c>
      <c r="D1622" s="49">
        <v>7</v>
      </c>
      <c r="E1622" s="49">
        <v>24</v>
      </c>
      <c r="F1622" s="49">
        <v>2</v>
      </c>
      <c r="G1622" s="49">
        <v>7</v>
      </c>
      <c r="H1622" s="49">
        <v>2023</v>
      </c>
      <c r="I1622" s="49">
        <v>2032</v>
      </c>
      <c r="J1622" s="50">
        <v>1.099</v>
      </c>
      <c r="K1622" s="50">
        <v>1.03</v>
      </c>
      <c r="L1622" s="50">
        <v>0.80589999999999995</v>
      </c>
      <c r="M1622" s="50">
        <v>1.0138</v>
      </c>
      <c r="N1622" s="50">
        <v>1.0381</v>
      </c>
      <c r="O1622" s="50">
        <v>1.0538000000000001</v>
      </c>
      <c r="P1622" s="49">
        <v>3083</v>
      </c>
      <c r="Q1622" s="51">
        <f t="array" ref="Q1622">SUM(IF(($S1622&gt;=4)*($C1622='TaxCred&amp;Subs'!$D$123:$D$127)*($H1622='TaxCred&amp;Subs'!$C$123:$C$127)*($H1622&lt;='TaxCred&amp;Subs'!$C$129),'TaxCred&amp;Subs'!$E$123:$E$127,0))</f>
        <v>500</v>
      </c>
      <c r="R1622" s="171">
        <v>0</v>
      </c>
      <c r="S1622" s="49">
        <v>4</v>
      </c>
      <c r="T1622" s="49" t="s">
        <v>248</v>
      </c>
      <c r="V1622" s="153" t="str">
        <f t="array" ref="V1622">INDEX(xlRTCLNAME,MATCH(1,(xlRTCLENDU=1)*(xlRTCLEQCL=$D1622),0))</f>
        <v>DIST_FA</v>
      </c>
      <c r="W1622" s="153" t="str">
        <f t="array" ref="W1622">INDEX(xlRTCLNAME,MATCH(1,(xlRTCLENDU=2)*(xlRTCLEQCL=$F1622),0))</f>
        <v>CENT_AIR</v>
      </c>
      <c r="X1622" s="153" t="str">
        <f t="array" ref="X1622">INDEX(xlRTTYNAME,MATCH(1,(xlRTTYENDU=1)*(xlRTTYEQCL=$D1622)*(xlRTEQTYPE=$E1622),0))</f>
        <v>DIST_FA3</v>
      </c>
      <c r="Y1622" s="153" t="str">
        <f t="array" ref="Y1622">INDEX(xlRTTYNAME,MATCH(1,(xlRTTYENDU=2)*(xlRTTYEQCL=$F1622)*(xlRTEQTYPE=$G1622),0))</f>
        <v>CENT_AIR3</v>
      </c>
    </row>
    <row r="1623" spans="2:25" ht="14.25" customHeight="1" x14ac:dyDescent="0.2">
      <c r="B1623" s="49">
        <v>3</v>
      </c>
      <c r="C1623" s="49">
        <v>2</v>
      </c>
      <c r="D1623" s="49">
        <v>7</v>
      </c>
      <c r="E1623" s="49">
        <v>24</v>
      </c>
      <c r="F1623" s="49">
        <v>2</v>
      </c>
      <c r="G1623" s="49">
        <v>7</v>
      </c>
      <c r="H1623" s="49">
        <v>2033</v>
      </c>
      <c r="I1623" s="49">
        <v>2050</v>
      </c>
      <c r="J1623" s="50">
        <v>1.099</v>
      </c>
      <c r="K1623" s="50">
        <v>1.03</v>
      </c>
      <c r="L1623" s="50">
        <v>0.80589999999999995</v>
      </c>
      <c r="M1623" s="50">
        <v>1.0138</v>
      </c>
      <c r="N1623" s="50">
        <v>1.0381</v>
      </c>
      <c r="O1623" s="50">
        <v>1.0538000000000001</v>
      </c>
      <c r="P1623" s="49">
        <v>3083</v>
      </c>
      <c r="Q1623" s="51">
        <f t="array" ref="Q1623">SUM(IF(($S1623&gt;=4)*($C1623='TaxCred&amp;Subs'!$D$123:$D$127)*($H1623='TaxCred&amp;Subs'!$C$123:$C$127)*($H1623&lt;='TaxCred&amp;Subs'!$C$129),'TaxCred&amp;Subs'!$E$123:$E$127,0))</f>
        <v>0</v>
      </c>
      <c r="R1623" s="171">
        <v>0</v>
      </c>
      <c r="S1623" s="49">
        <v>4</v>
      </c>
      <c r="T1623" s="49" t="s">
        <v>248</v>
      </c>
      <c r="V1623" s="153" t="str">
        <f t="array" ref="V1623">INDEX(xlRTCLNAME,MATCH(1,(xlRTCLENDU=1)*(xlRTCLEQCL=$D1623),0))</f>
        <v>DIST_FA</v>
      </c>
      <c r="W1623" s="153" t="str">
        <f t="array" ref="W1623">INDEX(xlRTCLNAME,MATCH(1,(xlRTCLENDU=2)*(xlRTCLEQCL=$F1623),0))</f>
        <v>CENT_AIR</v>
      </c>
      <c r="X1623" s="153" t="str">
        <f t="array" ref="X1623">INDEX(xlRTTYNAME,MATCH(1,(xlRTTYENDU=1)*(xlRTTYEQCL=$D1623)*(xlRTEQTYPE=$E1623),0))</f>
        <v>DIST_FA3</v>
      </c>
      <c r="Y1623" s="153" t="str">
        <f t="array" ref="Y1623">INDEX(xlRTTYNAME,MATCH(1,(xlRTTYENDU=2)*(xlRTTYEQCL=$F1623)*(xlRTEQTYPE=$G1623),0))</f>
        <v>CENT_AIR3</v>
      </c>
    </row>
    <row r="1624" spans="2:25" ht="14.25" customHeight="1" x14ac:dyDescent="0.2">
      <c r="B1624" s="126">
        <v>4</v>
      </c>
      <c r="C1624" s="126">
        <v>2</v>
      </c>
      <c r="D1624" s="126">
        <v>7</v>
      </c>
      <c r="E1624" s="126">
        <v>24</v>
      </c>
      <c r="F1624" s="126">
        <v>2</v>
      </c>
      <c r="G1624" s="126">
        <v>7</v>
      </c>
      <c r="H1624" s="126">
        <v>2016</v>
      </c>
      <c r="I1624" s="159">
        <v>2022</v>
      </c>
      <c r="J1624" s="127">
        <v>1.0934999999999999</v>
      </c>
      <c r="K1624" s="127">
        <v>1.0435000000000001</v>
      </c>
      <c r="L1624" s="127">
        <v>0.84150000000000003</v>
      </c>
      <c r="M1624" s="127">
        <v>1.1499999999999999</v>
      </c>
      <c r="N1624" s="127">
        <v>1.1696</v>
      </c>
      <c r="O1624" s="127">
        <v>1.0538000000000001</v>
      </c>
      <c r="P1624" s="126">
        <v>2378</v>
      </c>
      <c r="Q1624" s="128">
        <f t="array" ref="Q1624">SUM(IF(($S1624&gt;=4)*($C1624='TaxCred&amp;Subs'!$D$123:$D$127)*($H1624='TaxCred&amp;Subs'!$C$123:$C$127)*($H1624&lt;='TaxCred&amp;Subs'!$C$129),'TaxCred&amp;Subs'!$E$123:$E$127,0))</f>
        <v>0</v>
      </c>
      <c r="R1624" s="174">
        <v>0</v>
      </c>
      <c r="S1624" s="126">
        <v>4</v>
      </c>
      <c r="T1624" s="126" t="s">
        <v>248</v>
      </c>
      <c r="V1624" s="153" t="str">
        <f t="array" ref="V1624">INDEX(xlRTCLNAME,MATCH(1,(xlRTCLENDU=1)*(xlRTCLEQCL=$D1624),0))</f>
        <v>DIST_FA</v>
      </c>
      <c r="W1624" s="153" t="str">
        <f t="array" ref="W1624">INDEX(xlRTCLNAME,MATCH(1,(xlRTCLENDU=2)*(xlRTCLEQCL=$F1624),0))</f>
        <v>CENT_AIR</v>
      </c>
      <c r="X1624" s="153" t="str">
        <f t="array" ref="X1624">INDEX(xlRTTYNAME,MATCH(1,(xlRTTYENDU=1)*(xlRTTYEQCL=$D1624)*(xlRTEQTYPE=$E1624),0))</f>
        <v>DIST_FA3</v>
      </c>
      <c r="Y1624" s="153" t="str">
        <f t="array" ref="Y1624">INDEX(xlRTTYNAME,MATCH(1,(xlRTTYENDU=2)*(xlRTTYEQCL=$F1624)*(xlRTEQTYPE=$G1624),0))</f>
        <v>CENT_AIR3</v>
      </c>
    </row>
    <row r="1625" spans="2:25" ht="14.25" customHeight="1" x14ac:dyDescent="0.2">
      <c r="B1625" s="49">
        <v>4</v>
      </c>
      <c r="C1625" s="49">
        <v>2</v>
      </c>
      <c r="D1625" s="49">
        <v>7</v>
      </c>
      <c r="E1625" s="49">
        <v>24</v>
      </c>
      <c r="F1625" s="49">
        <v>2</v>
      </c>
      <c r="G1625" s="49">
        <v>7</v>
      </c>
      <c r="H1625" s="49">
        <v>2023</v>
      </c>
      <c r="I1625" s="49">
        <v>2032</v>
      </c>
      <c r="J1625" s="50">
        <v>1.0934999999999999</v>
      </c>
      <c r="K1625" s="50">
        <v>1.0435000000000001</v>
      </c>
      <c r="L1625" s="50">
        <v>0.84150000000000003</v>
      </c>
      <c r="M1625" s="50">
        <v>1.1499999999999999</v>
      </c>
      <c r="N1625" s="50">
        <v>1.1696</v>
      </c>
      <c r="O1625" s="50">
        <v>1.0538000000000001</v>
      </c>
      <c r="P1625" s="49">
        <v>2378</v>
      </c>
      <c r="Q1625" s="51">
        <f t="array" ref="Q1625">SUM(IF(($S1625&gt;=4)*($C1625='TaxCred&amp;Subs'!$D$123:$D$127)*($H1625='TaxCred&amp;Subs'!$C$123:$C$127)*($H1625&lt;='TaxCred&amp;Subs'!$C$129),'TaxCred&amp;Subs'!$E$123:$E$127,0))</f>
        <v>500</v>
      </c>
      <c r="R1625" s="171">
        <v>0</v>
      </c>
      <c r="S1625" s="49">
        <v>4</v>
      </c>
      <c r="T1625" s="49" t="s">
        <v>248</v>
      </c>
      <c r="V1625" s="153" t="str">
        <f t="array" ref="V1625">INDEX(xlRTCLNAME,MATCH(1,(xlRTCLENDU=1)*(xlRTCLEQCL=$D1625),0))</f>
        <v>DIST_FA</v>
      </c>
      <c r="W1625" s="153" t="str">
        <f t="array" ref="W1625">INDEX(xlRTCLNAME,MATCH(1,(xlRTCLENDU=2)*(xlRTCLEQCL=$F1625),0))</f>
        <v>CENT_AIR</v>
      </c>
      <c r="X1625" s="153" t="str">
        <f t="array" ref="X1625">INDEX(xlRTTYNAME,MATCH(1,(xlRTTYENDU=1)*(xlRTTYEQCL=$D1625)*(xlRTEQTYPE=$E1625),0))</f>
        <v>DIST_FA3</v>
      </c>
      <c r="Y1625" s="153" t="str">
        <f t="array" ref="Y1625">INDEX(xlRTTYNAME,MATCH(1,(xlRTTYENDU=2)*(xlRTTYEQCL=$F1625)*(xlRTEQTYPE=$G1625),0))</f>
        <v>CENT_AIR3</v>
      </c>
    </row>
    <row r="1626" spans="2:25" ht="14.25" customHeight="1" x14ac:dyDescent="0.2">
      <c r="B1626" s="49">
        <v>4</v>
      </c>
      <c r="C1626" s="49">
        <v>2</v>
      </c>
      <c r="D1626" s="49">
        <v>7</v>
      </c>
      <c r="E1626" s="49">
        <v>24</v>
      </c>
      <c r="F1626" s="49">
        <v>2</v>
      </c>
      <c r="G1626" s="49">
        <v>7</v>
      </c>
      <c r="H1626" s="49">
        <v>2033</v>
      </c>
      <c r="I1626" s="49">
        <v>2050</v>
      </c>
      <c r="J1626" s="50">
        <v>1.0934999999999999</v>
      </c>
      <c r="K1626" s="50">
        <v>1.0435000000000001</v>
      </c>
      <c r="L1626" s="50">
        <v>0.84150000000000003</v>
      </c>
      <c r="M1626" s="50">
        <v>1.1499999999999999</v>
      </c>
      <c r="N1626" s="50">
        <v>1.1696</v>
      </c>
      <c r="O1626" s="50">
        <v>1.0538000000000001</v>
      </c>
      <c r="P1626" s="49">
        <v>2378</v>
      </c>
      <c r="Q1626" s="51">
        <f t="array" ref="Q1626">SUM(IF(($S1626&gt;=4)*($C1626='TaxCred&amp;Subs'!$D$123:$D$127)*($H1626='TaxCred&amp;Subs'!$C$123:$C$127)*($H1626&lt;='TaxCred&amp;Subs'!$C$129),'TaxCred&amp;Subs'!$E$123:$E$127,0))</f>
        <v>0</v>
      </c>
      <c r="R1626" s="171">
        <v>0</v>
      </c>
      <c r="S1626" s="49">
        <v>4</v>
      </c>
      <c r="T1626" s="49" t="s">
        <v>248</v>
      </c>
      <c r="V1626" s="153" t="str">
        <f t="array" ref="V1626">INDEX(xlRTCLNAME,MATCH(1,(xlRTCLENDU=1)*(xlRTCLEQCL=$D1626),0))</f>
        <v>DIST_FA</v>
      </c>
      <c r="W1626" s="153" t="str">
        <f t="array" ref="W1626">INDEX(xlRTCLNAME,MATCH(1,(xlRTCLENDU=2)*(xlRTCLEQCL=$F1626),0))</f>
        <v>CENT_AIR</v>
      </c>
      <c r="X1626" s="153" t="str">
        <f t="array" ref="X1626">INDEX(xlRTTYNAME,MATCH(1,(xlRTTYENDU=1)*(xlRTTYEQCL=$D1626)*(xlRTEQTYPE=$E1626),0))</f>
        <v>DIST_FA3</v>
      </c>
      <c r="Y1626" s="153" t="str">
        <f t="array" ref="Y1626">INDEX(xlRTTYNAME,MATCH(1,(xlRTTYENDU=2)*(xlRTTYEQCL=$F1626)*(xlRTEQTYPE=$G1626),0))</f>
        <v>CENT_AIR3</v>
      </c>
    </row>
    <row r="1627" spans="2:25" ht="14.25" customHeight="1" x14ac:dyDescent="0.2">
      <c r="B1627" s="126">
        <v>5</v>
      </c>
      <c r="C1627" s="126">
        <v>2</v>
      </c>
      <c r="D1627" s="126">
        <v>7</v>
      </c>
      <c r="E1627" s="126">
        <v>24</v>
      </c>
      <c r="F1627" s="126">
        <v>2</v>
      </c>
      <c r="G1627" s="126">
        <v>7</v>
      </c>
      <c r="H1627" s="126">
        <v>2016</v>
      </c>
      <c r="I1627" s="159">
        <v>2022</v>
      </c>
      <c r="J1627" s="127">
        <v>1.1200000000000001</v>
      </c>
      <c r="K1627" s="127">
        <v>1.0391999999999999</v>
      </c>
      <c r="L1627" s="127">
        <v>0.63129999999999997</v>
      </c>
      <c r="M1627" s="127">
        <v>1.0902000000000001</v>
      </c>
      <c r="N1627" s="127">
        <v>1.2595000000000001</v>
      </c>
      <c r="O1627" s="127">
        <v>1.0538000000000001</v>
      </c>
      <c r="P1627" s="126">
        <v>2250</v>
      </c>
      <c r="Q1627" s="128">
        <f t="array" ref="Q1627">SUM(IF(($S1627&gt;=4)*($C1627='TaxCred&amp;Subs'!$D$123:$D$127)*($H1627='TaxCred&amp;Subs'!$C$123:$C$127)*($H1627&lt;='TaxCred&amp;Subs'!$C$129),'TaxCred&amp;Subs'!$E$123:$E$127,0))</f>
        <v>0</v>
      </c>
      <c r="R1627" s="174">
        <v>0</v>
      </c>
      <c r="S1627" s="126">
        <v>4</v>
      </c>
      <c r="T1627" s="126" t="s">
        <v>248</v>
      </c>
      <c r="V1627" s="153" t="str">
        <f t="array" ref="V1627">INDEX(xlRTCLNAME,MATCH(1,(xlRTCLENDU=1)*(xlRTCLEQCL=$D1627),0))</f>
        <v>DIST_FA</v>
      </c>
      <c r="W1627" s="153" t="str">
        <f t="array" ref="W1627">INDEX(xlRTCLNAME,MATCH(1,(xlRTCLENDU=2)*(xlRTCLEQCL=$F1627),0))</f>
        <v>CENT_AIR</v>
      </c>
      <c r="X1627" s="153" t="str">
        <f t="array" ref="X1627">INDEX(xlRTTYNAME,MATCH(1,(xlRTTYENDU=1)*(xlRTTYEQCL=$D1627)*(xlRTEQTYPE=$E1627),0))</f>
        <v>DIST_FA3</v>
      </c>
      <c r="Y1627" s="153" t="str">
        <f t="array" ref="Y1627">INDEX(xlRTTYNAME,MATCH(1,(xlRTTYENDU=2)*(xlRTTYEQCL=$F1627)*(xlRTEQTYPE=$G1627),0))</f>
        <v>CENT_AIR3</v>
      </c>
    </row>
    <row r="1628" spans="2:25" ht="14.25" customHeight="1" x14ac:dyDescent="0.2">
      <c r="B1628" s="49">
        <v>5</v>
      </c>
      <c r="C1628" s="49">
        <v>2</v>
      </c>
      <c r="D1628" s="49">
        <v>7</v>
      </c>
      <c r="E1628" s="49">
        <v>24</v>
      </c>
      <c r="F1628" s="49">
        <v>2</v>
      </c>
      <c r="G1628" s="49">
        <v>7</v>
      </c>
      <c r="H1628" s="49">
        <v>2023</v>
      </c>
      <c r="I1628" s="49">
        <v>2032</v>
      </c>
      <c r="J1628" s="50">
        <v>1.1200000000000001</v>
      </c>
      <c r="K1628" s="50">
        <v>1.0391999999999999</v>
      </c>
      <c r="L1628" s="50">
        <v>0.63129999999999997</v>
      </c>
      <c r="M1628" s="50">
        <v>1.0902000000000001</v>
      </c>
      <c r="N1628" s="50">
        <v>1.2595000000000001</v>
      </c>
      <c r="O1628" s="50">
        <v>1.0538000000000001</v>
      </c>
      <c r="P1628" s="49">
        <v>2250</v>
      </c>
      <c r="Q1628" s="51">
        <f t="array" ref="Q1628">SUM(IF(($S1628&gt;=4)*($C1628='TaxCred&amp;Subs'!$D$123:$D$127)*($H1628='TaxCred&amp;Subs'!$C$123:$C$127)*($H1628&lt;='TaxCred&amp;Subs'!$C$129),'TaxCred&amp;Subs'!$E$123:$E$127,0))</f>
        <v>500</v>
      </c>
      <c r="R1628" s="171">
        <v>0</v>
      </c>
      <c r="S1628" s="49">
        <v>4</v>
      </c>
      <c r="T1628" s="49" t="s">
        <v>248</v>
      </c>
      <c r="V1628" s="153" t="str">
        <f t="array" ref="V1628">INDEX(xlRTCLNAME,MATCH(1,(xlRTCLENDU=1)*(xlRTCLEQCL=$D1628),0))</f>
        <v>DIST_FA</v>
      </c>
      <c r="W1628" s="153" t="str">
        <f t="array" ref="W1628">INDEX(xlRTCLNAME,MATCH(1,(xlRTCLENDU=2)*(xlRTCLEQCL=$F1628),0))</f>
        <v>CENT_AIR</v>
      </c>
      <c r="X1628" s="153" t="str">
        <f t="array" ref="X1628">INDEX(xlRTTYNAME,MATCH(1,(xlRTTYENDU=1)*(xlRTTYEQCL=$D1628)*(xlRTEQTYPE=$E1628),0))</f>
        <v>DIST_FA3</v>
      </c>
      <c r="Y1628" s="153" t="str">
        <f t="array" ref="Y1628">INDEX(xlRTTYNAME,MATCH(1,(xlRTTYENDU=2)*(xlRTTYEQCL=$F1628)*(xlRTEQTYPE=$G1628),0))</f>
        <v>CENT_AIR3</v>
      </c>
    </row>
    <row r="1629" spans="2:25" ht="14.25" customHeight="1" x14ac:dyDescent="0.2">
      <c r="B1629" s="49">
        <v>5</v>
      </c>
      <c r="C1629" s="49">
        <v>2</v>
      </c>
      <c r="D1629" s="49">
        <v>7</v>
      </c>
      <c r="E1629" s="49">
        <v>24</v>
      </c>
      <c r="F1629" s="49">
        <v>2</v>
      </c>
      <c r="G1629" s="49">
        <v>7</v>
      </c>
      <c r="H1629" s="49">
        <v>2033</v>
      </c>
      <c r="I1629" s="49">
        <v>2050</v>
      </c>
      <c r="J1629" s="50">
        <v>1.1200000000000001</v>
      </c>
      <c r="K1629" s="50">
        <v>1.0391999999999999</v>
      </c>
      <c r="L1629" s="50">
        <v>0.63129999999999997</v>
      </c>
      <c r="M1629" s="50">
        <v>1.0902000000000001</v>
      </c>
      <c r="N1629" s="50">
        <v>1.2595000000000001</v>
      </c>
      <c r="O1629" s="50">
        <v>1.0538000000000001</v>
      </c>
      <c r="P1629" s="49">
        <v>2250</v>
      </c>
      <c r="Q1629" s="51">
        <f t="array" ref="Q1629">SUM(IF(($S1629&gt;=4)*($C1629='TaxCred&amp;Subs'!$D$123:$D$127)*($H1629='TaxCred&amp;Subs'!$C$123:$C$127)*($H1629&lt;='TaxCred&amp;Subs'!$C$129),'TaxCred&amp;Subs'!$E$123:$E$127,0))</f>
        <v>0</v>
      </c>
      <c r="R1629" s="171">
        <v>0</v>
      </c>
      <c r="S1629" s="49">
        <v>4</v>
      </c>
      <c r="T1629" s="49" t="s">
        <v>248</v>
      </c>
      <c r="V1629" s="153" t="str">
        <f t="array" ref="V1629">INDEX(xlRTCLNAME,MATCH(1,(xlRTCLENDU=1)*(xlRTCLEQCL=$D1629),0))</f>
        <v>DIST_FA</v>
      </c>
      <c r="W1629" s="153" t="str">
        <f t="array" ref="W1629">INDEX(xlRTCLNAME,MATCH(1,(xlRTCLENDU=2)*(xlRTCLEQCL=$F1629),0))</f>
        <v>CENT_AIR</v>
      </c>
      <c r="X1629" s="153" t="str">
        <f t="array" ref="X1629">INDEX(xlRTTYNAME,MATCH(1,(xlRTTYENDU=1)*(xlRTTYEQCL=$D1629)*(xlRTEQTYPE=$E1629),0))</f>
        <v>DIST_FA3</v>
      </c>
      <c r="Y1629" s="153" t="str">
        <f t="array" ref="Y1629">INDEX(xlRTTYNAME,MATCH(1,(xlRTTYENDU=2)*(xlRTTYEQCL=$F1629)*(xlRTEQTYPE=$G1629),0))</f>
        <v>CENT_AIR3</v>
      </c>
    </row>
    <row r="1630" spans="2:25" ht="14.25" customHeight="1" x14ac:dyDescent="0.2">
      <c r="B1630" s="126">
        <v>6</v>
      </c>
      <c r="C1630" s="126">
        <v>2</v>
      </c>
      <c r="D1630" s="126">
        <v>7</v>
      </c>
      <c r="E1630" s="126">
        <v>24</v>
      </c>
      <c r="F1630" s="126">
        <v>2</v>
      </c>
      <c r="G1630" s="126">
        <v>7</v>
      </c>
      <c r="H1630" s="126">
        <v>2016</v>
      </c>
      <c r="I1630" s="159">
        <v>2022</v>
      </c>
      <c r="J1630" s="127">
        <v>1.1200000000000001</v>
      </c>
      <c r="K1630" s="127">
        <v>1.03</v>
      </c>
      <c r="L1630" s="127">
        <v>1.0127999999999999</v>
      </c>
      <c r="M1630" s="127">
        <v>1.1228</v>
      </c>
      <c r="N1630" s="127">
        <v>1.3381000000000001</v>
      </c>
      <c r="O1630" s="127">
        <v>1.0538000000000001</v>
      </c>
      <c r="P1630" s="126">
        <v>2479</v>
      </c>
      <c r="Q1630" s="128">
        <f t="array" ref="Q1630">SUM(IF(($S1630&gt;=4)*($C1630='TaxCred&amp;Subs'!$D$123:$D$127)*($H1630='TaxCred&amp;Subs'!$C$123:$C$127)*($H1630&lt;='TaxCred&amp;Subs'!$C$129),'TaxCred&amp;Subs'!$E$123:$E$127,0))</f>
        <v>0</v>
      </c>
      <c r="R1630" s="174">
        <v>0</v>
      </c>
      <c r="S1630" s="126">
        <v>4</v>
      </c>
      <c r="T1630" s="126" t="s">
        <v>248</v>
      </c>
      <c r="V1630" s="153" t="str">
        <f t="array" ref="V1630">INDEX(xlRTCLNAME,MATCH(1,(xlRTCLENDU=1)*(xlRTCLEQCL=$D1630),0))</f>
        <v>DIST_FA</v>
      </c>
      <c r="W1630" s="153" t="str">
        <f t="array" ref="W1630">INDEX(xlRTCLNAME,MATCH(1,(xlRTCLENDU=2)*(xlRTCLEQCL=$F1630),0))</f>
        <v>CENT_AIR</v>
      </c>
      <c r="X1630" s="153" t="str">
        <f t="array" ref="X1630">INDEX(xlRTTYNAME,MATCH(1,(xlRTTYENDU=1)*(xlRTTYEQCL=$D1630)*(xlRTEQTYPE=$E1630),0))</f>
        <v>DIST_FA3</v>
      </c>
      <c r="Y1630" s="153" t="str">
        <f t="array" ref="Y1630">INDEX(xlRTTYNAME,MATCH(1,(xlRTTYENDU=2)*(xlRTTYEQCL=$F1630)*(xlRTEQTYPE=$G1630),0))</f>
        <v>CENT_AIR3</v>
      </c>
    </row>
    <row r="1631" spans="2:25" ht="14.25" customHeight="1" x14ac:dyDescent="0.2">
      <c r="B1631" s="49">
        <v>6</v>
      </c>
      <c r="C1631" s="49">
        <v>2</v>
      </c>
      <c r="D1631" s="49">
        <v>7</v>
      </c>
      <c r="E1631" s="49">
        <v>24</v>
      </c>
      <c r="F1631" s="49">
        <v>2</v>
      </c>
      <c r="G1631" s="49">
        <v>7</v>
      </c>
      <c r="H1631" s="49">
        <v>2023</v>
      </c>
      <c r="I1631" s="49">
        <v>2032</v>
      </c>
      <c r="J1631" s="50">
        <v>1.1200000000000001</v>
      </c>
      <c r="K1631" s="50">
        <v>1.03</v>
      </c>
      <c r="L1631" s="50">
        <v>1.0127999999999999</v>
      </c>
      <c r="M1631" s="50">
        <v>1.1228</v>
      </c>
      <c r="N1631" s="50">
        <v>1.3381000000000001</v>
      </c>
      <c r="O1631" s="50">
        <v>1.0538000000000001</v>
      </c>
      <c r="P1631" s="49">
        <v>2479</v>
      </c>
      <c r="Q1631" s="51">
        <f t="array" ref="Q1631">SUM(IF(($S1631&gt;=4)*($C1631='TaxCred&amp;Subs'!$D$123:$D$127)*($H1631='TaxCred&amp;Subs'!$C$123:$C$127)*($H1631&lt;='TaxCred&amp;Subs'!$C$129),'TaxCred&amp;Subs'!$E$123:$E$127,0))</f>
        <v>500</v>
      </c>
      <c r="R1631" s="171">
        <v>0</v>
      </c>
      <c r="S1631" s="49">
        <v>4</v>
      </c>
      <c r="T1631" s="49" t="s">
        <v>248</v>
      </c>
      <c r="V1631" s="153" t="str">
        <f t="array" ref="V1631">INDEX(xlRTCLNAME,MATCH(1,(xlRTCLENDU=1)*(xlRTCLEQCL=$D1631),0))</f>
        <v>DIST_FA</v>
      </c>
      <c r="W1631" s="153" t="str">
        <f t="array" ref="W1631">INDEX(xlRTCLNAME,MATCH(1,(xlRTCLENDU=2)*(xlRTCLEQCL=$F1631),0))</f>
        <v>CENT_AIR</v>
      </c>
      <c r="X1631" s="153" t="str">
        <f t="array" ref="X1631">INDEX(xlRTTYNAME,MATCH(1,(xlRTTYENDU=1)*(xlRTTYEQCL=$D1631)*(xlRTEQTYPE=$E1631),0))</f>
        <v>DIST_FA3</v>
      </c>
      <c r="Y1631" s="153" t="str">
        <f t="array" ref="Y1631">INDEX(xlRTTYNAME,MATCH(1,(xlRTTYENDU=2)*(xlRTTYEQCL=$F1631)*(xlRTEQTYPE=$G1631),0))</f>
        <v>CENT_AIR3</v>
      </c>
    </row>
    <row r="1632" spans="2:25" ht="14.25" customHeight="1" x14ac:dyDescent="0.2">
      <c r="B1632" s="49">
        <v>6</v>
      </c>
      <c r="C1632" s="49">
        <v>2</v>
      </c>
      <c r="D1632" s="49">
        <v>7</v>
      </c>
      <c r="E1632" s="49">
        <v>24</v>
      </c>
      <c r="F1632" s="49">
        <v>2</v>
      </c>
      <c r="G1632" s="49">
        <v>7</v>
      </c>
      <c r="H1632" s="49">
        <v>2033</v>
      </c>
      <c r="I1632" s="49">
        <v>2050</v>
      </c>
      <c r="J1632" s="50">
        <v>1.1200000000000001</v>
      </c>
      <c r="K1632" s="50">
        <v>1.03</v>
      </c>
      <c r="L1632" s="50">
        <v>1.0127999999999999</v>
      </c>
      <c r="M1632" s="50">
        <v>1.1228</v>
      </c>
      <c r="N1632" s="50">
        <v>1.3381000000000001</v>
      </c>
      <c r="O1632" s="50">
        <v>1.0538000000000001</v>
      </c>
      <c r="P1632" s="49">
        <v>2479</v>
      </c>
      <c r="Q1632" s="51">
        <f t="array" ref="Q1632">SUM(IF(($S1632&gt;=4)*($C1632='TaxCred&amp;Subs'!$D$123:$D$127)*($H1632='TaxCred&amp;Subs'!$C$123:$C$127)*($H1632&lt;='TaxCred&amp;Subs'!$C$129),'TaxCred&amp;Subs'!$E$123:$E$127,0))</f>
        <v>0</v>
      </c>
      <c r="R1632" s="171">
        <v>0</v>
      </c>
      <c r="S1632" s="49">
        <v>4</v>
      </c>
      <c r="T1632" s="49" t="s">
        <v>248</v>
      </c>
      <c r="V1632" s="153" t="str">
        <f t="array" ref="V1632">INDEX(xlRTCLNAME,MATCH(1,(xlRTCLENDU=1)*(xlRTCLEQCL=$D1632),0))</f>
        <v>DIST_FA</v>
      </c>
      <c r="W1632" s="153" t="str">
        <f t="array" ref="W1632">INDEX(xlRTCLNAME,MATCH(1,(xlRTCLENDU=2)*(xlRTCLEQCL=$F1632),0))</f>
        <v>CENT_AIR</v>
      </c>
      <c r="X1632" s="153" t="str">
        <f t="array" ref="X1632">INDEX(xlRTTYNAME,MATCH(1,(xlRTTYENDU=1)*(xlRTTYEQCL=$D1632)*(xlRTEQTYPE=$E1632),0))</f>
        <v>DIST_FA3</v>
      </c>
      <c r="Y1632" s="153" t="str">
        <f t="array" ref="Y1632">INDEX(xlRTTYNAME,MATCH(1,(xlRTTYENDU=2)*(xlRTTYEQCL=$F1632)*(xlRTEQTYPE=$G1632),0))</f>
        <v>CENT_AIR3</v>
      </c>
    </row>
    <row r="1633" spans="1:25" ht="14.25" customHeight="1" x14ac:dyDescent="0.2">
      <c r="B1633" s="126">
        <v>7</v>
      </c>
      <c r="C1633" s="126">
        <v>2</v>
      </c>
      <c r="D1633" s="126">
        <v>7</v>
      </c>
      <c r="E1633" s="126">
        <v>24</v>
      </c>
      <c r="F1633" s="126">
        <v>2</v>
      </c>
      <c r="G1633" s="126">
        <v>7</v>
      </c>
      <c r="H1633" s="126">
        <v>2016</v>
      </c>
      <c r="I1633" s="159">
        <v>2022</v>
      </c>
      <c r="J1633" s="127">
        <v>1.1200000000000001</v>
      </c>
      <c r="K1633" s="127">
        <v>1.0476000000000001</v>
      </c>
      <c r="L1633" s="127">
        <v>1.0271999999999999</v>
      </c>
      <c r="M1633" s="127">
        <v>1.1173</v>
      </c>
      <c r="N1633" s="127">
        <v>1.4438</v>
      </c>
      <c r="O1633" s="127">
        <v>1.0538000000000001</v>
      </c>
      <c r="P1633" s="126">
        <v>2031</v>
      </c>
      <c r="Q1633" s="128">
        <f t="array" ref="Q1633">SUM(IF(($S1633&gt;=4)*($C1633='TaxCred&amp;Subs'!$D$123:$D$127)*($H1633='TaxCred&amp;Subs'!$C$123:$C$127)*($H1633&lt;='TaxCred&amp;Subs'!$C$129),'TaxCred&amp;Subs'!$E$123:$E$127,0))</f>
        <v>0</v>
      </c>
      <c r="R1633" s="174">
        <v>0</v>
      </c>
      <c r="S1633" s="126">
        <v>4</v>
      </c>
      <c r="T1633" s="126" t="s">
        <v>248</v>
      </c>
      <c r="V1633" s="153" t="str">
        <f t="array" ref="V1633">INDEX(xlRTCLNAME,MATCH(1,(xlRTCLENDU=1)*(xlRTCLEQCL=$D1633),0))</f>
        <v>DIST_FA</v>
      </c>
      <c r="W1633" s="153" t="str">
        <f t="array" ref="W1633">INDEX(xlRTCLNAME,MATCH(1,(xlRTCLENDU=2)*(xlRTCLEQCL=$F1633),0))</f>
        <v>CENT_AIR</v>
      </c>
      <c r="X1633" s="153" t="str">
        <f t="array" ref="X1633">INDEX(xlRTTYNAME,MATCH(1,(xlRTTYENDU=1)*(xlRTTYEQCL=$D1633)*(xlRTEQTYPE=$E1633),0))</f>
        <v>DIST_FA3</v>
      </c>
      <c r="Y1633" s="153" t="str">
        <f t="array" ref="Y1633">INDEX(xlRTTYNAME,MATCH(1,(xlRTTYENDU=2)*(xlRTTYEQCL=$F1633)*(xlRTEQTYPE=$G1633),0))</f>
        <v>CENT_AIR3</v>
      </c>
    </row>
    <row r="1634" spans="1:25" ht="14.25" customHeight="1" x14ac:dyDescent="0.2">
      <c r="B1634" s="49">
        <v>7</v>
      </c>
      <c r="C1634" s="49">
        <v>2</v>
      </c>
      <c r="D1634" s="49">
        <v>7</v>
      </c>
      <c r="E1634" s="49">
        <v>24</v>
      </c>
      <c r="F1634" s="49">
        <v>2</v>
      </c>
      <c r="G1634" s="49">
        <v>7</v>
      </c>
      <c r="H1634" s="49">
        <v>2023</v>
      </c>
      <c r="I1634" s="49">
        <v>2032</v>
      </c>
      <c r="J1634" s="50">
        <v>1.1200000000000001</v>
      </c>
      <c r="K1634" s="50">
        <v>1.0476000000000001</v>
      </c>
      <c r="L1634" s="50">
        <v>1.0271999999999999</v>
      </c>
      <c r="M1634" s="50">
        <v>1.1173</v>
      </c>
      <c r="N1634" s="50">
        <v>1.4438</v>
      </c>
      <c r="O1634" s="50">
        <v>1.0538000000000001</v>
      </c>
      <c r="P1634" s="49">
        <v>2031</v>
      </c>
      <c r="Q1634" s="51">
        <f t="array" ref="Q1634">SUM(IF(($S1634&gt;=4)*($C1634='TaxCred&amp;Subs'!$D$123:$D$127)*($H1634='TaxCred&amp;Subs'!$C$123:$C$127)*($H1634&lt;='TaxCred&amp;Subs'!$C$129),'TaxCred&amp;Subs'!$E$123:$E$127,0))</f>
        <v>500</v>
      </c>
      <c r="R1634" s="171">
        <v>0</v>
      </c>
      <c r="S1634" s="49">
        <v>4</v>
      </c>
      <c r="T1634" s="49" t="s">
        <v>248</v>
      </c>
      <c r="V1634" s="153" t="str">
        <f t="array" ref="V1634">INDEX(xlRTCLNAME,MATCH(1,(xlRTCLENDU=1)*(xlRTCLEQCL=$D1634),0))</f>
        <v>DIST_FA</v>
      </c>
      <c r="W1634" s="153" t="str">
        <f t="array" ref="W1634">INDEX(xlRTCLNAME,MATCH(1,(xlRTCLENDU=2)*(xlRTCLEQCL=$F1634),0))</f>
        <v>CENT_AIR</v>
      </c>
      <c r="X1634" s="153" t="str">
        <f t="array" ref="X1634">INDEX(xlRTTYNAME,MATCH(1,(xlRTTYENDU=1)*(xlRTTYEQCL=$D1634)*(xlRTEQTYPE=$E1634),0))</f>
        <v>DIST_FA3</v>
      </c>
      <c r="Y1634" s="153" t="str">
        <f t="array" ref="Y1634">INDEX(xlRTTYNAME,MATCH(1,(xlRTTYENDU=2)*(xlRTTYEQCL=$F1634)*(xlRTEQTYPE=$G1634),0))</f>
        <v>CENT_AIR3</v>
      </c>
    </row>
    <row r="1635" spans="1:25" ht="14.25" customHeight="1" x14ac:dyDescent="0.2">
      <c r="B1635" s="49">
        <v>7</v>
      </c>
      <c r="C1635" s="49">
        <v>2</v>
      </c>
      <c r="D1635" s="49">
        <v>7</v>
      </c>
      <c r="E1635" s="49">
        <v>24</v>
      </c>
      <c r="F1635" s="49">
        <v>2</v>
      </c>
      <c r="G1635" s="49">
        <v>7</v>
      </c>
      <c r="H1635" s="49">
        <v>2033</v>
      </c>
      <c r="I1635" s="49">
        <v>2050</v>
      </c>
      <c r="J1635" s="50">
        <v>1.1200000000000001</v>
      </c>
      <c r="K1635" s="50">
        <v>1.0476000000000001</v>
      </c>
      <c r="L1635" s="50">
        <v>1.0271999999999999</v>
      </c>
      <c r="M1635" s="50">
        <v>1.1173</v>
      </c>
      <c r="N1635" s="50">
        <v>1.4438</v>
      </c>
      <c r="O1635" s="50">
        <v>1.0538000000000001</v>
      </c>
      <c r="P1635" s="49">
        <v>2031</v>
      </c>
      <c r="Q1635" s="51">
        <f t="array" ref="Q1635">SUM(IF(($S1635&gt;=4)*($C1635='TaxCred&amp;Subs'!$D$123:$D$127)*($H1635='TaxCred&amp;Subs'!$C$123:$C$127)*($H1635&lt;='TaxCred&amp;Subs'!$C$129),'TaxCred&amp;Subs'!$E$123:$E$127,0))</f>
        <v>0</v>
      </c>
      <c r="R1635" s="171">
        <v>0</v>
      </c>
      <c r="S1635" s="49">
        <v>4</v>
      </c>
      <c r="T1635" s="49" t="s">
        <v>248</v>
      </c>
      <c r="V1635" s="153" t="str">
        <f t="array" ref="V1635">INDEX(xlRTCLNAME,MATCH(1,(xlRTCLENDU=1)*(xlRTCLEQCL=$D1635),0))</f>
        <v>DIST_FA</v>
      </c>
      <c r="W1635" s="153" t="str">
        <f t="array" ref="W1635">INDEX(xlRTCLNAME,MATCH(1,(xlRTCLENDU=2)*(xlRTCLEQCL=$F1635),0))</f>
        <v>CENT_AIR</v>
      </c>
      <c r="X1635" s="153" t="str">
        <f t="array" ref="X1635">INDEX(xlRTTYNAME,MATCH(1,(xlRTTYENDU=1)*(xlRTTYEQCL=$D1635)*(xlRTEQTYPE=$E1635),0))</f>
        <v>DIST_FA3</v>
      </c>
      <c r="Y1635" s="153" t="str">
        <f t="array" ref="Y1635">INDEX(xlRTTYNAME,MATCH(1,(xlRTTYENDU=2)*(xlRTTYEQCL=$F1635)*(xlRTEQTYPE=$G1635),0))</f>
        <v>CENT_AIR3</v>
      </c>
    </row>
    <row r="1636" spans="1:25" ht="14.25" customHeight="1" x14ac:dyDescent="0.2">
      <c r="B1636" s="126">
        <v>8</v>
      </c>
      <c r="C1636" s="126">
        <v>2</v>
      </c>
      <c r="D1636" s="126">
        <v>7</v>
      </c>
      <c r="E1636" s="126">
        <v>24</v>
      </c>
      <c r="F1636" s="126">
        <v>2</v>
      </c>
      <c r="G1636" s="126">
        <v>7</v>
      </c>
      <c r="H1636" s="126">
        <v>2016</v>
      </c>
      <c r="I1636" s="159">
        <v>2022</v>
      </c>
      <c r="J1636" s="127">
        <v>1.1064000000000001</v>
      </c>
      <c r="K1636" s="127">
        <v>1.0645</v>
      </c>
      <c r="L1636" s="127">
        <v>0.80669999999999997</v>
      </c>
      <c r="M1636" s="127">
        <v>1.2739</v>
      </c>
      <c r="N1636" s="127">
        <v>1.2826</v>
      </c>
      <c r="O1636" s="127">
        <v>1.0538000000000001</v>
      </c>
      <c r="P1636" s="126">
        <v>2501</v>
      </c>
      <c r="Q1636" s="128">
        <f t="array" ref="Q1636">SUM(IF(($S1636&gt;=4)*($C1636='TaxCred&amp;Subs'!$D$123:$D$127)*($H1636='TaxCred&amp;Subs'!$C$123:$C$127)*($H1636&lt;='TaxCred&amp;Subs'!$C$129),'TaxCred&amp;Subs'!$E$123:$E$127,0))</f>
        <v>0</v>
      </c>
      <c r="R1636" s="174">
        <v>0</v>
      </c>
      <c r="S1636" s="126">
        <v>4</v>
      </c>
      <c r="T1636" s="126" t="s">
        <v>248</v>
      </c>
      <c r="V1636" s="153" t="str">
        <f t="array" ref="V1636">INDEX(xlRTCLNAME,MATCH(1,(xlRTCLENDU=1)*(xlRTCLEQCL=$D1636),0))</f>
        <v>DIST_FA</v>
      </c>
      <c r="W1636" s="153" t="str">
        <f t="array" ref="W1636">INDEX(xlRTCLNAME,MATCH(1,(xlRTCLENDU=2)*(xlRTCLEQCL=$F1636),0))</f>
        <v>CENT_AIR</v>
      </c>
      <c r="X1636" s="153" t="str">
        <f t="array" ref="X1636">INDEX(xlRTTYNAME,MATCH(1,(xlRTTYENDU=1)*(xlRTTYEQCL=$D1636)*(xlRTEQTYPE=$E1636),0))</f>
        <v>DIST_FA3</v>
      </c>
      <c r="Y1636" s="153" t="str">
        <f t="array" ref="Y1636">INDEX(xlRTTYNAME,MATCH(1,(xlRTTYENDU=2)*(xlRTTYEQCL=$F1636)*(xlRTEQTYPE=$G1636),0))</f>
        <v>CENT_AIR3</v>
      </c>
    </row>
    <row r="1637" spans="1:25" ht="14.25" customHeight="1" x14ac:dyDescent="0.2">
      <c r="B1637" s="49">
        <v>8</v>
      </c>
      <c r="C1637" s="49">
        <v>2</v>
      </c>
      <c r="D1637" s="49">
        <v>7</v>
      </c>
      <c r="E1637" s="49">
        <v>24</v>
      </c>
      <c r="F1637" s="49">
        <v>2</v>
      </c>
      <c r="G1637" s="49">
        <v>7</v>
      </c>
      <c r="H1637" s="49">
        <v>2023</v>
      </c>
      <c r="I1637" s="49">
        <v>2032</v>
      </c>
      <c r="J1637" s="50">
        <v>1.1064000000000001</v>
      </c>
      <c r="K1637" s="50">
        <v>1.0645</v>
      </c>
      <c r="L1637" s="50">
        <v>0.80669999999999997</v>
      </c>
      <c r="M1637" s="50">
        <v>1.2739</v>
      </c>
      <c r="N1637" s="50">
        <v>1.2826</v>
      </c>
      <c r="O1637" s="50">
        <v>1.0538000000000001</v>
      </c>
      <c r="P1637" s="49">
        <v>2501</v>
      </c>
      <c r="Q1637" s="51">
        <f t="array" ref="Q1637">SUM(IF(($S1637&gt;=4)*($C1637='TaxCred&amp;Subs'!$D$123:$D$127)*($H1637='TaxCred&amp;Subs'!$C$123:$C$127)*($H1637&lt;='TaxCred&amp;Subs'!$C$129),'TaxCred&amp;Subs'!$E$123:$E$127,0))</f>
        <v>500</v>
      </c>
      <c r="R1637" s="171">
        <v>0</v>
      </c>
      <c r="S1637" s="49">
        <v>4</v>
      </c>
      <c r="T1637" s="49" t="s">
        <v>248</v>
      </c>
      <c r="V1637" s="153" t="str">
        <f t="array" ref="V1637">INDEX(xlRTCLNAME,MATCH(1,(xlRTCLENDU=1)*(xlRTCLEQCL=$D1637),0))</f>
        <v>DIST_FA</v>
      </c>
      <c r="W1637" s="153" t="str">
        <f t="array" ref="W1637">INDEX(xlRTCLNAME,MATCH(1,(xlRTCLENDU=2)*(xlRTCLEQCL=$F1637),0))</f>
        <v>CENT_AIR</v>
      </c>
      <c r="X1637" s="153" t="str">
        <f t="array" ref="X1637">INDEX(xlRTTYNAME,MATCH(1,(xlRTTYENDU=1)*(xlRTTYEQCL=$D1637)*(xlRTEQTYPE=$E1637),0))</f>
        <v>DIST_FA3</v>
      </c>
      <c r="Y1637" s="153" t="str">
        <f t="array" ref="Y1637">INDEX(xlRTTYNAME,MATCH(1,(xlRTTYENDU=2)*(xlRTTYEQCL=$F1637)*(xlRTEQTYPE=$G1637),0))</f>
        <v>CENT_AIR3</v>
      </c>
    </row>
    <row r="1638" spans="1:25" ht="14.25" customHeight="1" x14ac:dyDescent="0.2">
      <c r="B1638" s="49">
        <v>8</v>
      </c>
      <c r="C1638" s="49">
        <v>2</v>
      </c>
      <c r="D1638" s="49">
        <v>7</v>
      </c>
      <c r="E1638" s="49">
        <v>24</v>
      </c>
      <c r="F1638" s="49">
        <v>2</v>
      </c>
      <c r="G1638" s="49">
        <v>7</v>
      </c>
      <c r="H1638" s="49">
        <v>2033</v>
      </c>
      <c r="I1638" s="49">
        <v>2050</v>
      </c>
      <c r="J1638" s="50">
        <v>1.1064000000000001</v>
      </c>
      <c r="K1638" s="50">
        <v>1.0645</v>
      </c>
      <c r="L1638" s="50">
        <v>0.80669999999999997</v>
      </c>
      <c r="M1638" s="50">
        <v>1.2739</v>
      </c>
      <c r="N1638" s="50">
        <v>1.2826</v>
      </c>
      <c r="O1638" s="50">
        <v>1.0538000000000001</v>
      </c>
      <c r="P1638" s="49">
        <v>2501</v>
      </c>
      <c r="Q1638" s="51">
        <f t="array" ref="Q1638">SUM(IF(($S1638&gt;=4)*($C1638='TaxCred&amp;Subs'!$D$123:$D$127)*($H1638='TaxCred&amp;Subs'!$C$123:$C$127)*($H1638&lt;='TaxCred&amp;Subs'!$C$129),'TaxCred&amp;Subs'!$E$123:$E$127,0))</f>
        <v>0</v>
      </c>
      <c r="R1638" s="171">
        <v>0</v>
      </c>
      <c r="S1638" s="49">
        <v>4</v>
      </c>
      <c r="T1638" s="49" t="s">
        <v>248</v>
      </c>
      <c r="V1638" s="153" t="str">
        <f t="array" ref="V1638">INDEX(xlRTCLNAME,MATCH(1,(xlRTCLENDU=1)*(xlRTCLEQCL=$D1638),0))</f>
        <v>DIST_FA</v>
      </c>
      <c r="W1638" s="153" t="str">
        <f t="array" ref="W1638">INDEX(xlRTCLNAME,MATCH(1,(xlRTCLENDU=2)*(xlRTCLEQCL=$F1638),0))</f>
        <v>CENT_AIR</v>
      </c>
      <c r="X1638" s="153" t="str">
        <f t="array" ref="X1638">INDEX(xlRTTYNAME,MATCH(1,(xlRTTYENDU=1)*(xlRTTYEQCL=$D1638)*(xlRTEQTYPE=$E1638),0))</f>
        <v>DIST_FA3</v>
      </c>
      <c r="Y1638" s="153" t="str">
        <f t="array" ref="Y1638">INDEX(xlRTTYNAME,MATCH(1,(xlRTTYENDU=2)*(xlRTTYEQCL=$F1638)*(xlRTEQTYPE=$G1638),0))</f>
        <v>CENT_AIR3</v>
      </c>
    </row>
    <row r="1639" spans="1:25" ht="14.25" customHeight="1" x14ac:dyDescent="0.2">
      <c r="B1639" s="126">
        <v>9</v>
      </c>
      <c r="C1639" s="126">
        <v>2</v>
      </c>
      <c r="D1639" s="126">
        <v>7</v>
      </c>
      <c r="E1639" s="126">
        <v>24</v>
      </c>
      <c r="F1639" s="126">
        <v>2</v>
      </c>
      <c r="G1639" s="126">
        <v>7</v>
      </c>
      <c r="H1639" s="126">
        <v>2016</v>
      </c>
      <c r="I1639" s="159">
        <v>2022</v>
      </c>
      <c r="J1639" s="127">
        <v>1.03</v>
      </c>
      <c r="K1639" s="127">
        <v>1.0556000000000001</v>
      </c>
      <c r="L1639" s="127">
        <v>0.44379999999999997</v>
      </c>
      <c r="M1639" s="127">
        <v>1.2</v>
      </c>
      <c r="N1639" s="127">
        <v>1.4438</v>
      </c>
      <c r="O1639" s="127">
        <v>1.0538000000000001</v>
      </c>
      <c r="P1639" s="126">
        <v>2576</v>
      </c>
      <c r="Q1639" s="128">
        <f t="array" ref="Q1639">SUM(IF(($S1639&gt;=4)*($C1639='TaxCred&amp;Subs'!$D$123:$D$127)*($H1639='TaxCred&amp;Subs'!$C$123:$C$127)*($H1639&lt;='TaxCred&amp;Subs'!$C$129),'TaxCred&amp;Subs'!$E$123:$E$127,0))</f>
        <v>0</v>
      </c>
      <c r="R1639" s="174">
        <v>0</v>
      </c>
      <c r="S1639" s="126">
        <v>4</v>
      </c>
      <c r="T1639" s="126" t="s">
        <v>248</v>
      </c>
      <c r="V1639" s="153" t="str">
        <f t="array" ref="V1639">INDEX(xlRTCLNAME,MATCH(1,(xlRTCLENDU=1)*(xlRTCLEQCL=$D1639),0))</f>
        <v>DIST_FA</v>
      </c>
      <c r="W1639" s="153" t="str">
        <f t="array" ref="W1639">INDEX(xlRTCLNAME,MATCH(1,(xlRTCLENDU=2)*(xlRTCLEQCL=$F1639),0))</f>
        <v>CENT_AIR</v>
      </c>
      <c r="X1639" s="153" t="str">
        <f t="array" ref="X1639">INDEX(xlRTTYNAME,MATCH(1,(xlRTTYENDU=1)*(xlRTTYEQCL=$D1639)*(xlRTEQTYPE=$E1639),0))</f>
        <v>DIST_FA3</v>
      </c>
      <c r="Y1639" s="153" t="str">
        <f t="array" ref="Y1639">INDEX(xlRTTYNAME,MATCH(1,(xlRTTYENDU=2)*(xlRTTYEQCL=$F1639)*(xlRTEQTYPE=$G1639),0))</f>
        <v>CENT_AIR3</v>
      </c>
    </row>
    <row r="1640" spans="1:25" ht="14.25" customHeight="1" x14ac:dyDescent="0.2">
      <c r="B1640" s="49">
        <v>9</v>
      </c>
      <c r="C1640" s="49">
        <v>2</v>
      </c>
      <c r="D1640" s="49">
        <v>7</v>
      </c>
      <c r="E1640" s="49">
        <v>24</v>
      </c>
      <c r="F1640" s="49">
        <v>2</v>
      </c>
      <c r="G1640" s="49">
        <v>7</v>
      </c>
      <c r="H1640" s="49">
        <v>2023</v>
      </c>
      <c r="I1640" s="49">
        <v>2032</v>
      </c>
      <c r="J1640" s="50">
        <v>1.03</v>
      </c>
      <c r="K1640" s="50">
        <v>1.0556000000000001</v>
      </c>
      <c r="L1640" s="50">
        <v>0.44379999999999997</v>
      </c>
      <c r="M1640" s="50">
        <v>1.2</v>
      </c>
      <c r="N1640" s="50">
        <v>1.4438</v>
      </c>
      <c r="O1640" s="50">
        <v>1.0538000000000001</v>
      </c>
      <c r="P1640" s="49">
        <v>2576</v>
      </c>
      <c r="Q1640" s="51">
        <f t="array" ref="Q1640">SUM(IF(($S1640&gt;=4)*($C1640='TaxCred&amp;Subs'!$D$123:$D$127)*($H1640='TaxCred&amp;Subs'!$C$123:$C$127)*($H1640&lt;='TaxCred&amp;Subs'!$C$129),'TaxCred&amp;Subs'!$E$123:$E$127,0))</f>
        <v>500</v>
      </c>
      <c r="R1640" s="171">
        <v>0</v>
      </c>
      <c r="S1640" s="49">
        <v>4</v>
      </c>
      <c r="T1640" s="49" t="s">
        <v>248</v>
      </c>
      <c r="V1640" s="153" t="str">
        <f t="array" ref="V1640">INDEX(xlRTCLNAME,MATCH(1,(xlRTCLENDU=1)*(xlRTCLEQCL=$D1640),0))</f>
        <v>DIST_FA</v>
      </c>
      <c r="W1640" s="153" t="str">
        <f t="array" ref="W1640">INDEX(xlRTCLNAME,MATCH(1,(xlRTCLENDU=2)*(xlRTCLEQCL=$F1640),0))</f>
        <v>CENT_AIR</v>
      </c>
      <c r="X1640" s="153" t="str">
        <f t="array" ref="X1640">INDEX(xlRTTYNAME,MATCH(1,(xlRTTYENDU=1)*(xlRTTYEQCL=$D1640)*(xlRTEQTYPE=$E1640),0))</f>
        <v>DIST_FA3</v>
      </c>
      <c r="Y1640" s="153" t="str">
        <f t="array" ref="Y1640">INDEX(xlRTTYNAME,MATCH(1,(xlRTTYENDU=2)*(xlRTTYEQCL=$F1640)*(xlRTEQTYPE=$G1640),0))</f>
        <v>CENT_AIR3</v>
      </c>
    </row>
    <row r="1641" spans="1:25" ht="14.25" customHeight="1" x14ac:dyDescent="0.2">
      <c r="B1641" s="49">
        <v>9</v>
      </c>
      <c r="C1641" s="49">
        <v>2</v>
      </c>
      <c r="D1641" s="49">
        <v>7</v>
      </c>
      <c r="E1641" s="49">
        <v>24</v>
      </c>
      <c r="F1641" s="49">
        <v>2</v>
      </c>
      <c r="G1641" s="49">
        <v>7</v>
      </c>
      <c r="H1641" s="49">
        <v>2033</v>
      </c>
      <c r="I1641" s="49">
        <v>2050</v>
      </c>
      <c r="J1641" s="50">
        <v>1.03</v>
      </c>
      <c r="K1641" s="50">
        <v>1.0556000000000001</v>
      </c>
      <c r="L1641" s="50">
        <v>0.44379999999999997</v>
      </c>
      <c r="M1641" s="50">
        <v>1.2</v>
      </c>
      <c r="N1641" s="50">
        <v>1.4438</v>
      </c>
      <c r="O1641" s="50">
        <v>1.0538000000000001</v>
      </c>
      <c r="P1641" s="49">
        <v>2576</v>
      </c>
      <c r="Q1641" s="51">
        <f t="array" ref="Q1641">SUM(IF(($S1641&gt;=4)*($C1641='TaxCred&amp;Subs'!$D$123:$D$127)*($H1641='TaxCred&amp;Subs'!$C$123:$C$127)*($H1641&lt;='TaxCred&amp;Subs'!$C$129),'TaxCred&amp;Subs'!$E$123:$E$127,0))</f>
        <v>0</v>
      </c>
      <c r="R1641" s="171">
        <v>0</v>
      </c>
      <c r="S1641" s="49">
        <v>4</v>
      </c>
      <c r="T1641" s="49" t="s">
        <v>248</v>
      </c>
      <c r="V1641" s="153" t="str">
        <f t="array" ref="V1641">INDEX(xlRTCLNAME,MATCH(1,(xlRTCLENDU=1)*(xlRTCLEQCL=$D1641),0))</f>
        <v>DIST_FA</v>
      </c>
      <c r="W1641" s="153" t="str">
        <f t="array" ref="W1641">INDEX(xlRTCLNAME,MATCH(1,(xlRTCLENDU=2)*(xlRTCLEQCL=$F1641),0))</f>
        <v>CENT_AIR</v>
      </c>
      <c r="X1641" s="153" t="str">
        <f t="array" ref="X1641">INDEX(xlRTTYNAME,MATCH(1,(xlRTTYENDU=1)*(xlRTTYEQCL=$D1641)*(xlRTEQTYPE=$E1641),0))</f>
        <v>DIST_FA3</v>
      </c>
      <c r="Y1641" s="153" t="str">
        <f t="array" ref="Y1641">INDEX(xlRTTYNAME,MATCH(1,(xlRTTYENDU=2)*(xlRTTYEQCL=$F1641)*(xlRTEQTYPE=$G1641),0))</f>
        <v>CENT_AIR3</v>
      </c>
    </row>
    <row r="1642" spans="1:25" ht="14.25" customHeight="1" x14ac:dyDescent="0.2">
      <c r="B1642" s="126">
        <v>1</v>
      </c>
      <c r="C1642" s="126">
        <v>2</v>
      </c>
      <c r="D1642" s="126">
        <v>8</v>
      </c>
      <c r="E1642" s="126">
        <v>28</v>
      </c>
      <c r="F1642" s="126">
        <v>2</v>
      </c>
      <c r="G1642" s="126">
        <v>7</v>
      </c>
      <c r="H1642" s="126">
        <v>2016</v>
      </c>
      <c r="I1642" s="159">
        <v>2022</v>
      </c>
      <c r="J1642" s="127">
        <v>1.0864</v>
      </c>
      <c r="K1642" s="127">
        <v>1.0417000000000001</v>
      </c>
      <c r="L1642" s="127">
        <v>0.90900000000000003</v>
      </c>
      <c r="M1642" s="127">
        <v>1.1455</v>
      </c>
      <c r="N1642" s="127">
        <v>1.1156999999999999</v>
      </c>
      <c r="O1642" s="127">
        <v>1.0538000000000001</v>
      </c>
      <c r="P1642" s="126">
        <v>3526</v>
      </c>
      <c r="Q1642" s="128">
        <f t="array" ref="Q1642">SUM(IF(($S1642&gt;=4)*($C1642='TaxCred&amp;Subs'!$D$123:$D$127)*($H1642='TaxCred&amp;Subs'!$C$123:$C$127)*($H1642&lt;='TaxCred&amp;Subs'!$C$129),'TaxCred&amp;Subs'!$E$123:$E$127,0))</f>
        <v>0</v>
      </c>
      <c r="R1642" s="174">
        <v>0</v>
      </c>
      <c r="S1642" s="126">
        <v>4</v>
      </c>
      <c r="T1642" s="126" t="s">
        <v>248</v>
      </c>
      <c r="V1642" s="153" t="str">
        <f t="array" ref="V1642">INDEX(xlRTCLNAME,MATCH(1,(xlRTCLENDU=1)*(xlRTCLEQCL=$D1642),0))</f>
        <v>DIST_RAD</v>
      </c>
      <c r="W1642" s="153" t="str">
        <f t="array" ref="W1642">INDEX(xlRTCLNAME,MATCH(1,(xlRTCLENDU=2)*(xlRTCLEQCL=$F1642),0))</f>
        <v>CENT_AIR</v>
      </c>
      <c r="X1642" s="153" t="str">
        <f t="array" ref="X1642">INDEX(xlRTTYNAME,MATCH(1,(xlRTTYENDU=1)*(xlRTTYEQCL=$D1642)*(xlRTEQTYPE=$E1642),0))</f>
        <v>DIST_RAD3</v>
      </c>
      <c r="Y1642" s="153" t="str">
        <f t="array" ref="Y1642">INDEX(xlRTTYNAME,MATCH(1,(xlRTTYENDU=2)*(xlRTTYEQCL=$F1642)*(xlRTEQTYPE=$G1642),0))</f>
        <v>CENT_AIR3</v>
      </c>
    </row>
    <row r="1643" spans="1:25" ht="14.25" customHeight="1" x14ac:dyDescent="0.2">
      <c r="B1643" s="49">
        <v>1</v>
      </c>
      <c r="C1643" s="49">
        <v>2</v>
      </c>
      <c r="D1643" s="49">
        <v>8</v>
      </c>
      <c r="E1643" s="49">
        <v>28</v>
      </c>
      <c r="F1643" s="49">
        <v>2</v>
      </c>
      <c r="G1643" s="49">
        <v>7</v>
      </c>
      <c r="H1643" s="49">
        <v>2023</v>
      </c>
      <c r="I1643" s="49">
        <v>2032</v>
      </c>
      <c r="J1643" s="50">
        <v>1.0864</v>
      </c>
      <c r="K1643" s="50">
        <v>1.0417000000000001</v>
      </c>
      <c r="L1643" s="50">
        <v>0.90900000000000003</v>
      </c>
      <c r="M1643" s="50">
        <v>1.1455</v>
      </c>
      <c r="N1643" s="50">
        <v>1.1156999999999999</v>
      </c>
      <c r="O1643" s="50">
        <v>1.0538000000000001</v>
      </c>
      <c r="P1643" s="49">
        <v>3526</v>
      </c>
      <c r="Q1643" s="51">
        <f t="array" ref="Q1643">SUM(IF(($S1643&gt;=4)*($C1643='TaxCred&amp;Subs'!$D$123:$D$127)*($H1643='TaxCred&amp;Subs'!$C$123:$C$127)*($H1643&lt;='TaxCred&amp;Subs'!$C$129),'TaxCred&amp;Subs'!$E$123:$E$127,0))</f>
        <v>500</v>
      </c>
      <c r="R1643" s="171">
        <v>0</v>
      </c>
      <c r="S1643" s="49">
        <v>4</v>
      </c>
      <c r="T1643" s="49" t="s">
        <v>248</v>
      </c>
      <c r="V1643" s="153" t="str">
        <f t="array" ref="V1643">INDEX(xlRTCLNAME,MATCH(1,(xlRTCLENDU=1)*(xlRTCLEQCL=$D1643),0))</f>
        <v>DIST_RAD</v>
      </c>
      <c r="W1643" s="153" t="str">
        <f t="array" ref="W1643">INDEX(xlRTCLNAME,MATCH(1,(xlRTCLENDU=2)*(xlRTCLEQCL=$F1643),0))</f>
        <v>CENT_AIR</v>
      </c>
      <c r="X1643" s="153" t="str">
        <f t="array" ref="X1643">INDEX(xlRTTYNAME,MATCH(1,(xlRTTYENDU=1)*(xlRTTYEQCL=$D1643)*(xlRTEQTYPE=$E1643),0))</f>
        <v>DIST_RAD3</v>
      </c>
      <c r="Y1643" s="153" t="str">
        <f t="array" ref="Y1643">INDEX(xlRTTYNAME,MATCH(1,(xlRTTYENDU=2)*(xlRTTYEQCL=$F1643)*(xlRTEQTYPE=$G1643),0))</f>
        <v>CENT_AIR3</v>
      </c>
    </row>
    <row r="1644" spans="1:25" ht="14.25" customHeight="1" x14ac:dyDescent="0.2">
      <c r="B1644" s="49">
        <v>1</v>
      </c>
      <c r="C1644" s="49">
        <v>2</v>
      </c>
      <c r="D1644" s="49">
        <v>8</v>
      </c>
      <c r="E1644" s="49">
        <v>28</v>
      </c>
      <c r="F1644" s="49">
        <v>2</v>
      </c>
      <c r="G1644" s="49">
        <v>7</v>
      </c>
      <c r="H1644" s="49">
        <v>2033</v>
      </c>
      <c r="I1644" s="49">
        <v>2050</v>
      </c>
      <c r="J1644" s="50">
        <v>1.0864</v>
      </c>
      <c r="K1644" s="50">
        <v>1.0417000000000001</v>
      </c>
      <c r="L1644" s="50">
        <v>0.90900000000000003</v>
      </c>
      <c r="M1644" s="50">
        <v>1.1455</v>
      </c>
      <c r="N1644" s="50">
        <v>1.1156999999999999</v>
      </c>
      <c r="O1644" s="50">
        <v>1.0538000000000001</v>
      </c>
      <c r="P1644" s="49">
        <v>3526</v>
      </c>
      <c r="Q1644" s="51">
        <f t="array" ref="Q1644">SUM(IF(($S1644&gt;=4)*($C1644='TaxCred&amp;Subs'!$D$123:$D$127)*($H1644='TaxCred&amp;Subs'!$C$123:$C$127)*($H1644&lt;='TaxCred&amp;Subs'!$C$129),'TaxCred&amp;Subs'!$E$123:$E$127,0))</f>
        <v>0</v>
      </c>
      <c r="R1644" s="171">
        <v>0</v>
      </c>
      <c r="S1644" s="49">
        <v>4</v>
      </c>
      <c r="T1644" s="49" t="s">
        <v>248</v>
      </c>
      <c r="V1644" s="153" t="str">
        <f t="array" ref="V1644">INDEX(xlRTCLNAME,MATCH(1,(xlRTCLENDU=1)*(xlRTCLEQCL=$D1644),0))</f>
        <v>DIST_RAD</v>
      </c>
      <c r="W1644" s="153" t="str">
        <f t="array" ref="W1644">INDEX(xlRTCLNAME,MATCH(1,(xlRTCLENDU=2)*(xlRTCLEQCL=$F1644),0))</f>
        <v>CENT_AIR</v>
      </c>
      <c r="X1644" s="153" t="str">
        <f t="array" ref="X1644">INDEX(xlRTTYNAME,MATCH(1,(xlRTTYENDU=1)*(xlRTTYEQCL=$D1644)*(xlRTEQTYPE=$E1644),0))</f>
        <v>DIST_RAD3</v>
      </c>
      <c r="Y1644" s="153" t="str">
        <f t="array" ref="Y1644">INDEX(xlRTTYNAME,MATCH(1,(xlRTTYENDU=2)*(xlRTTYEQCL=$F1644)*(xlRTEQTYPE=$G1644),0))</f>
        <v>CENT_AIR3</v>
      </c>
    </row>
    <row r="1645" spans="1:25" s="157" customFormat="1" ht="14.25" customHeight="1" x14ac:dyDescent="0.2">
      <c r="A1645"/>
      <c r="B1645" s="126">
        <v>2</v>
      </c>
      <c r="C1645" s="126">
        <v>2</v>
      </c>
      <c r="D1645" s="126">
        <v>8</v>
      </c>
      <c r="E1645" s="126">
        <v>28</v>
      </c>
      <c r="F1645" s="126">
        <v>2</v>
      </c>
      <c r="G1645" s="126">
        <v>7</v>
      </c>
      <c r="H1645" s="126">
        <v>2016</v>
      </c>
      <c r="I1645" s="159">
        <v>2022</v>
      </c>
      <c r="J1645" s="127">
        <v>1.0891</v>
      </c>
      <c r="K1645" s="127">
        <v>1.0713999999999999</v>
      </c>
      <c r="L1645" s="127">
        <v>0.97260000000000002</v>
      </c>
      <c r="M1645" s="127">
        <v>1.1625000000000001</v>
      </c>
      <c r="N1645" s="127">
        <v>1.1254999999999999</v>
      </c>
      <c r="O1645" s="127">
        <v>1.0538000000000001</v>
      </c>
      <c r="P1645" s="126">
        <v>2702</v>
      </c>
      <c r="Q1645" s="128">
        <f t="array" ref="Q1645">SUM(IF(($S1645&gt;=4)*($C1645='TaxCred&amp;Subs'!$D$123:$D$127)*($H1645='TaxCred&amp;Subs'!$C$123:$C$127)*($H1645&lt;='TaxCred&amp;Subs'!$C$129),'TaxCred&amp;Subs'!$E$123:$E$127,0))</f>
        <v>0</v>
      </c>
      <c r="R1645" s="174">
        <v>0</v>
      </c>
      <c r="S1645" s="126">
        <v>4</v>
      </c>
      <c r="T1645" s="126" t="s">
        <v>248</v>
      </c>
      <c r="U1645"/>
      <c r="V1645" s="153" t="str">
        <f t="array" ref="V1645">INDEX(xlRTCLNAME,MATCH(1,(xlRTCLENDU=1)*(xlRTCLEQCL=$D1645),0))</f>
        <v>DIST_RAD</v>
      </c>
      <c r="W1645" s="153" t="str">
        <f t="array" ref="W1645">INDEX(xlRTCLNAME,MATCH(1,(xlRTCLENDU=2)*(xlRTCLEQCL=$F1645),0))</f>
        <v>CENT_AIR</v>
      </c>
      <c r="X1645" s="153" t="str">
        <f t="array" ref="X1645">INDEX(xlRTTYNAME,MATCH(1,(xlRTTYENDU=1)*(xlRTTYEQCL=$D1645)*(xlRTEQTYPE=$E1645),0))</f>
        <v>DIST_RAD3</v>
      </c>
      <c r="Y1645" s="153" t="str">
        <f t="array" ref="Y1645">INDEX(xlRTTYNAME,MATCH(1,(xlRTTYENDU=2)*(xlRTTYEQCL=$F1645)*(xlRTEQTYPE=$G1645),0))</f>
        <v>CENT_AIR3</v>
      </c>
    </row>
    <row r="1646" spans="1:25" s="157" customFormat="1" ht="14.25" customHeight="1" x14ac:dyDescent="0.2">
      <c r="A1646"/>
      <c r="B1646" s="49">
        <v>2</v>
      </c>
      <c r="C1646" s="49">
        <v>2</v>
      </c>
      <c r="D1646" s="49">
        <v>8</v>
      </c>
      <c r="E1646" s="49">
        <v>28</v>
      </c>
      <c r="F1646" s="49">
        <v>2</v>
      </c>
      <c r="G1646" s="49">
        <v>7</v>
      </c>
      <c r="H1646" s="49">
        <v>2023</v>
      </c>
      <c r="I1646" s="49">
        <v>2032</v>
      </c>
      <c r="J1646" s="50">
        <v>1.0891</v>
      </c>
      <c r="K1646" s="50">
        <v>1.0713999999999999</v>
      </c>
      <c r="L1646" s="50">
        <v>0.97260000000000002</v>
      </c>
      <c r="M1646" s="50">
        <v>1.1625000000000001</v>
      </c>
      <c r="N1646" s="50">
        <v>1.1254999999999999</v>
      </c>
      <c r="O1646" s="50">
        <v>1.0538000000000001</v>
      </c>
      <c r="P1646" s="49">
        <v>2702</v>
      </c>
      <c r="Q1646" s="51">
        <f t="array" ref="Q1646">SUM(IF(($S1646&gt;=4)*($C1646='TaxCred&amp;Subs'!$D$123:$D$127)*($H1646='TaxCred&amp;Subs'!$C$123:$C$127)*($H1646&lt;='TaxCred&amp;Subs'!$C$129),'TaxCred&amp;Subs'!$E$123:$E$127,0))</f>
        <v>500</v>
      </c>
      <c r="R1646" s="171">
        <v>0</v>
      </c>
      <c r="S1646" s="49">
        <v>4</v>
      </c>
      <c r="T1646" s="49" t="s">
        <v>248</v>
      </c>
      <c r="U1646"/>
      <c r="V1646" s="153" t="str">
        <f t="array" ref="V1646">INDEX(xlRTCLNAME,MATCH(1,(xlRTCLENDU=1)*(xlRTCLEQCL=$D1646),0))</f>
        <v>DIST_RAD</v>
      </c>
      <c r="W1646" s="153" t="str">
        <f t="array" ref="W1646">INDEX(xlRTCLNAME,MATCH(1,(xlRTCLENDU=2)*(xlRTCLEQCL=$F1646),0))</f>
        <v>CENT_AIR</v>
      </c>
      <c r="X1646" s="153" t="str">
        <f t="array" ref="X1646">INDEX(xlRTTYNAME,MATCH(1,(xlRTTYENDU=1)*(xlRTTYEQCL=$D1646)*(xlRTEQTYPE=$E1646),0))</f>
        <v>DIST_RAD3</v>
      </c>
      <c r="Y1646" s="153" t="str">
        <f t="array" ref="Y1646">INDEX(xlRTTYNAME,MATCH(1,(xlRTTYENDU=2)*(xlRTTYEQCL=$F1646)*(xlRTEQTYPE=$G1646),0))</f>
        <v>CENT_AIR3</v>
      </c>
    </row>
    <row r="1647" spans="1:25" s="157" customFormat="1" ht="14.25" customHeight="1" x14ac:dyDescent="0.2">
      <c r="A1647"/>
      <c r="B1647" s="49">
        <v>2</v>
      </c>
      <c r="C1647" s="49">
        <v>2</v>
      </c>
      <c r="D1647" s="49">
        <v>8</v>
      </c>
      <c r="E1647" s="49">
        <v>28</v>
      </c>
      <c r="F1647" s="49">
        <v>2</v>
      </c>
      <c r="G1647" s="49">
        <v>7</v>
      </c>
      <c r="H1647" s="49">
        <v>2033</v>
      </c>
      <c r="I1647" s="49">
        <v>2050</v>
      </c>
      <c r="J1647" s="50">
        <v>1.0891</v>
      </c>
      <c r="K1647" s="50">
        <v>1.0713999999999999</v>
      </c>
      <c r="L1647" s="50">
        <v>0.97260000000000002</v>
      </c>
      <c r="M1647" s="50">
        <v>1.1625000000000001</v>
      </c>
      <c r="N1647" s="50">
        <v>1.1254999999999999</v>
      </c>
      <c r="O1647" s="50">
        <v>1.0538000000000001</v>
      </c>
      <c r="P1647" s="49">
        <v>2702</v>
      </c>
      <c r="Q1647" s="51">
        <f t="array" ref="Q1647">SUM(IF(($S1647&gt;=4)*($C1647='TaxCred&amp;Subs'!$D$123:$D$127)*($H1647='TaxCred&amp;Subs'!$C$123:$C$127)*($H1647&lt;='TaxCred&amp;Subs'!$C$129),'TaxCred&amp;Subs'!$E$123:$E$127,0))</f>
        <v>0</v>
      </c>
      <c r="R1647" s="171">
        <v>0</v>
      </c>
      <c r="S1647" s="49">
        <v>4</v>
      </c>
      <c r="T1647" s="49" t="s">
        <v>248</v>
      </c>
      <c r="U1647"/>
      <c r="V1647" s="153" t="str">
        <f t="array" ref="V1647">INDEX(xlRTCLNAME,MATCH(1,(xlRTCLENDU=1)*(xlRTCLEQCL=$D1647),0))</f>
        <v>DIST_RAD</v>
      </c>
      <c r="W1647" s="153" t="str">
        <f t="array" ref="W1647">INDEX(xlRTCLNAME,MATCH(1,(xlRTCLENDU=2)*(xlRTCLEQCL=$F1647),0))</f>
        <v>CENT_AIR</v>
      </c>
      <c r="X1647" s="153" t="str">
        <f t="array" ref="X1647">INDEX(xlRTTYNAME,MATCH(1,(xlRTTYENDU=1)*(xlRTTYEQCL=$D1647)*(xlRTEQTYPE=$E1647),0))</f>
        <v>DIST_RAD3</v>
      </c>
      <c r="Y1647" s="153" t="str">
        <f t="array" ref="Y1647">INDEX(xlRTTYNAME,MATCH(1,(xlRTTYENDU=2)*(xlRTTYEQCL=$F1647)*(xlRTEQTYPE=$G1647),0))</f>
        <v>CENT_AIR3</v>
      </c>
    </row>
    <row r="1648" spans="1:25" s="157" customFormat="1" ht="14.25" customHeight="1" x14ac:dyDescent="0.2">
      <c r="A1648"/>
      <c r="B1648" s="126">
        <v>3</v>
      </c>
      <c r="C1648" s="126">
        <v>2</v>
      </c>
      <c r="D1648" s="126">
        <v>8</v>
      </c>
      <c r="E1648" s="126">
        <v>28</v>
      </c>
      <c r="F1648" s="126">
        <v>2</v>
      </c>
      <c r="G1648" s="126">
        <v>7</v>
      </c>
      <c r="H1648" s="126">
        <v>2016</v>
      </c>
      <c r="I1648" s="159">
        <v>2022</v>
      </c>
      <c r="J1648" s="127">
        <v>1.0962000000000001</v>
      </c>
      <c r="K1648" s="127">
        <v>1.0345</v>
      </c>
      <c r="L1648" s="127">
        <v>0.81979999999999997</v>
      </c>
      <c r="M1648" s="127">
        <v>1.0828</v>
      </c>
      <c r="N1648" s="127">
        <v>1.0417000000000001</v>
      </c>
      <c r="O1648" s="127">
        <v>1.0538000000000001</v>
      </c>
      <c r="P1648" s="126">
        <v>3003</v>
      </c>
      <c r="Q1648" s="128">
        <f t="array" ref="Q1648">SUM(IF(($S1648&gt;=4)*($C1648='TaxCred&amp;Subs'!$D$123:$D$127)*($H1648='TaxCred&amp;Subs'!$C$123:$C$127)*($H1648&lt;='TaxCred&amp;Subs'!$C$129),'TaxCred&amp;Subs'!$E$123:$E$127,0))</f>
        <v>0</v>
      </c>
      <c r="R1648" s="174">
        <v>0</v>
      </c>
      <c r="S1648" s="126">
        <v>4</v>
      </c>
      <c r="T1648" s="126" t="s">
        <v>248</v>
      </c>
      <c r="U1648"/>
      <c r="V1648" s="153" t="str">
        <f t="array" ref="V1648">INDEX(xlRTCLNAME,MATCH(1,(xlRTCLENDU=1)*(xlRTCLEQCL=$D1648),0))</f>
        <v>DIST_RAD</v>
      </c>
      <c r="W1648" s="153" t="str">
        <f t="array" ref="W1648">INDEX(xlRTCLNAME,MATCH(1,(xlRTCLENDU=2)*(xlRTCLEQCL=$F1648),0))</f>
        <v>CENT_AIR</v>
      </c>
      <c r="X1648" s="153" t="str">
        <f t="array" ref="X1648">INDEX(xlRTTYNAME,MATCH(1,(xlRTTYENDU=1)*(xlRTTYEQCL=$D1648)*(xlRTEQTYPE=$E1648),0))</f>
        <v>DIST_RAD3</v>
      </c>
      <c r="Y1648" s="153" t="str">
        <f t="array" ref="Y1648">INDEX(xlRTTYNAME,MATCH(1,(xlRTTYENDU=2)*(xlRTTYEQCL=$F1648)*(xlRTEQTYPE=$G1648),0))</f>
        <v>CENT_AIR3</v>
      </c>
    </row>
    <row r="1649" spans="1:25" s="157" customFormat="1" ht="14.25" customHeight="1" x14ac:dyDescent="0.2">
      <c r="A1649"/>
      <c r="B1649" s="49">
        <v>3</v>
      </c>
      <c r="C1649" s="49">
        <v>2</v>
      </c>
      <c r="D1649" s="49">
        <v>8</v>
      </c>
      <c r="E1649" s="49">
        <v>28</v>
      </c>
      <c r="F1649" s="49">
        <v>2</v>
      </c>
      <c r="G1649" s="49">
        <v>7</v>
      </c>
      <c r="H1649" s="49">
        <v>2023</v>
      </c>
      <c r="I1649" s="49">
        <v>2032</v>
      </c>
      <c r="J1649" s="50">
        <v>1.0962000000000001</v>
      </c>
      <c r="K1649" s="50">
        <v>1.0345</v>
      </c>
      <c r="L1649" s="50">
        <v>0.81979999999999997</v>
      </c>
      <c r="M1649" s="50">
        <v>1.0828</v>
      </c>
      <c r="N1649" s="50">
        <v>1.0417000000000001</v>
      </c>
      <c r="O1649" s="50">
        <v>1.0538000000000001</v>
      </c>
      <c r="P1649" s="49">
        <v>3003</v>
      </c>
      <c r="Q1649" s="51">
        <f t="array" ref="Q1649">SUM(IF(($S1649&gt;=4)*($C1649='TaxCred&amp;Subs'!$D$123:$D$127)*($H1649='TaxCred&amp;Subs'!$C$123:$C$127)*($H1649&lt;='TaxCred&amp;Subs'!$C$129),'TaxCred&amp;Subs'!$E$123:$E$127,0))</f>
        <v>500</v>
      </c>
      <c r="R1649" s="171">
        <v>0</v>
      </c>
      <c r="S1649" s="49">
        <v>4</v>
      </c>
      <c r="T1649" s="49" t="s">
        <v>248</v>
      </c>
      <c r="U1649"/>
      <c r="V1649" s="153" t="str">
        <f t="array" ref="V1649">INDEX(xlRTCLNAME,MATCH(1,(xlRTCLENDU=1)*(xlRTCLEQCL=$D1649),0))</f>
        <v>DIST_RAD</v>
      </c>
      <c r="W1649" s="153" t="str">
        <f t="array" ref="W1649">INDEX(xlRTCLNAME,MATCH(1,(xlRTCLENDU=2)*(xlRTCLEQCL=$F1649),0))</f>
        <v>CENT_AIR</v>
      </c>
      <c r="X1649" s="153" t="str">
        <f t="array" ref="X1649">INDEX(xlRTTYNAME,MATCH(1,(xlRTTYENDU=1)*(xlRTTYEQCL=$D1649)*(xlRTEQTYPE=$E1649),0))</f>
        <v>DIST_RAD3</v>
      </c>
      <c r="Y1649" s="153" t="str">
        <f t="array" ref="Y1649">INDEX(xlRTTYNAME,MATCH(1,(xlRTTYENDU=2)*(xlRTTYEQCL=$F1649)*(xlRTEQTYPE=$G1649),0))</f>
        <v>CENT_AIR3</v>
      </c>
    </row>
    <row r="1650" spans="1:25" s="157" customFormat="1" ht="14.25" customHeight="1" x14ac:dyDescent="0.2">
      <c r="A1650"/>
      <c r="B1650" s="49">
        <v>3</v>
      </c>
      <c r="C1650" s="49">
        <v>2</v>
      </c>
      <c r="D1650" s="49">
        <v>8</v>
      </c>
      <c r="E1650" s="49">
        <v>28</v>
      </c>
      <c r="F1650" s="49">
        <v>2</v>
      </c>
      <c r="G1650" s="49">
        <v>7</v>
      </c>
      <c r="H1650" s="49">
        <v>2033</v>
      </c>
      <c r="I1650" s="49">
        <v>2050</v>
      </c>
      <c r="J1650" s="50">
        <v>1.0962000000000001</v>
      </c>
      <c r="K1650" s="50">
        <v>1.0345</v>
      </c>
      <c r="L1650" s="50">
        <v>0.81979999999999997</v>
      </c>
      <c r="M1650" s="50">
        <v>1.0828</v>
      </c>
      <c r="N1650" s="50">
        <v>1.0417000000000001</v>
      </c>
      <c r="O1650" s="50">
        <v>1.0538000000000001</v>
      </c>
      <c r="P1650" s="49">
        <v>3003</v>
      </c>
      <c r="Q1650" s="51">
        <f t="array" ref="Q1650">SUM(IF(($S1650&gt;=4)*($C1650='TaxCred&amp;Subs'!$D$123:$D$127)*($H1650='TaxCred&amp;Subs'!$C$123:$C$127)*($H1650&lt;='TaxCred&amp;Subs'!$C$129),'TaxCred&amp;Subs'!$E$123:$E$127,0))</f>
        <v>0</v>
      </c>
      <c r="R1650" s="171">
        <v>0</v>
      </c>
      <c r="S1650" s="49">
        <v>4</v>
      </c>
      <c r="T1650" s="49" t="s">
        <v>248</v>
      </c>
      <c r="U1650"/>
      <c r="V1650" s="153" t="str">
        <f t="array" ref="V1650">INDEX(xlRTCLNAME,MATCH(1,(xlRTCLENDU=1)*(xlRTCLEQCL=$D1650),0))</f>
        <v>DIST_RAD</v>
      </c>
      <c r="W1650" s="153" t="str">
        <f t="array" ref="W1650">INDEX(xlRTCLNAME,MATCH(1,(xlRTCLENDU=2)*(xlRTCLEQCL=$F1650),0))</f>
        <v>CENT_AIR</v>
      </c>
      <c r="X1650" s="153" t="str">
        <f t="array" ref="X1650">INDEX(xlRTTYNAME,MATCH(1,(xlRTTYENDU=1)*(xlRTTYEQCL=$D1650)*(xlRTEQTYPE=$E1650),0))</f>
        <v>DIST_RAD3</v>
      </c>
      <c r="Y1650" s="153" t="str">
        <f t="array" ref="Y1650">INDEX(xlRTTYNAME,MATCH(1,(xlRTTYENDU=2)*(xlRTTYEQCL=$F1650)*(xlRTEQTYPE=$G1650),0))</f>
        <v>CENT_AIR3</v>
      </c>
    </row>
    <row r="1651" spans="1:25" s="157" customFormat="1" ht="14.25" customHeight="1" x14ac:dyDescent="0.2">
      <c r="A1651"/>
      <c r="B1651" s="126">
        <v>4</v>
      </c>
      <c r="C1651" s="126">
        <v>2</v>
      </c>
      <c r="D1651" s="126">
        <v>8</v>
      </c>
      <c r="E1651" s="126">
        <v>28</v>
      </c>
      <c r="F1651" s="126">
        <v>2</v>
      </c>
      <c r="G1651" s="126">
        <v>7</v>
      </c>
      <c r="H1651" s="126">
        <v>2016</v>
      </c>
      <c r="I1651" s="159">
        <v>2022</v>
      </c>
      <c r="J1651" s="127">
        <v>1.1024</v>
      </c>
      <c r="K1651" s="127">
        <v>1.0435000000000001</v>
      </c>
      <c r="L1651" s="127">
        <v>0.99209999999999998</v>
      </c>
      <c r="M1651" s="127">
        <v>1.1499999999999999</v>
      </c>
      <c r="N1651" s="127">
        <v>1.1678999999999999</v>
      </c>
      <c r="O1651" s="127">
        <v>1.0538000000000001</v>
      </c>
      <c r="P1651" s="126">
        <v>2369</v>
      </c>
      <c r="Q1651" s="128">
        <f t="array" ref="Q1651">SUM(IF(($S1651&gt;=4)*($C1651='TaxCred&amp;Subs'!$D$123:$D$127)*($H1651='TaxCred&amp;Subs'!$C$123:$C$127)*($H1651&lt;='TaxCred&amp;Subs'!$C$129),'TaxCred&amp;Subs'!$E$123:$E$127,0))</f>
        <v>0</v>
      </c>
      <c r="R1651" s="174">
        <v>0</v>
      </c>
      <c r="S1651" s="126">
        <v>4</v>
      </c>
      <c r="T1651" s="126" t="s">
        <v>248</v>
      </c>
      <c r="U1651"/>
      <c r="V1651" s="153" t="str">
        <f t="array" ref="V1651">INDEX(xlRTCLNAME,MATCH(1,(xlRTCLENDU=1)*(xlRTCLEQCL=$D1651),0))</f>
        <v>DIST_RAD</v>
      </c>
      <c r="W1651" s="153" t="str">
        <f t="array" ref="W1651">INDEX(xlRTCLNAME,MATCH(1,(xlRTCLENDU=2)*(xlRTCLEQCL=$F1651),0))</f>
        <v>CENT_AIR</v>
      </c>
      <c r="X1651" s="153" t="str">
        <f t="array" ref="X1651">INDEX(xlRTTYNAME,MATCH(1,(xlRTTYENDU=1)*(xlRTTYEQCL=$D1651)*(xlRTEQTYPE=$E1651),0))</f>
        <v>DIST_RAD3</v>
      </c>
      <c r="Y1651" s="153" t="str">
        <f t="array" ref="Y1651">INDEX(xlRTTYNAME,MATCH(1,(xlRTTYENDU=2)*(xlRTTYEQCL=$F1651)*(xlRTEQTYPE=$G1651),0))</f>
        <v>CENT_AIR3</v>
      </c>
    </row>
    <row r="1652" spans="1:25" s="157" customFormat="1" ht="14.25" customHeight="1" x14ac:dyDescent="0.2">
      <c r="A1652"/>
      <c r="B1652" s="49">
        <v>4</v>
      </c>
      <c r="C1652" s="49">
        <v>2</v>
      </c>
      <c r="D1652" s="49">
        <v>8</v>
      </c>
      <c r="E1652" s="49">
        <v>28</v>
      </c>
      <c r="F1652" s="49">
        <v>2</v>
      </c>
      <c r="G1652" s="49">
        <v>7</v>
      </c>
      <c r="H1652" s="49">
        <v>2023</v>
      </c>
      <c r="I1652" s="49">
        <v>2032</v>
      </c>
      <c r="J1652" s="50">
        <v>1.1024</v>
      </c>
      <c r="K1652" s="50">
        <v>1.0435000000000001</v>
      </c>
      <c r="L1652" s="50">
        <v>0.99209999999999998</v>
      </c>
      <c r="M1652" s="50">
        <v>1.1499999999999999</v>
      </c>
      <c r="N1652" s="50">
        <v>1.1678999999999999</v>
      </c>
      <c r="O1652" s="50">
        <v>1.0538000000000001</v>
      </c>
      <c r="P1652" s="49">
        <v>2369</v>
      </c>
      <c r="Q1652" s="51">
        <f t="array" ref="Q1652">SUM(IF(($S1652&gt;=4)*($C1652='TaxCred&amp;Subs'!$D$123:$D$127)*($H1652='TaxCred&amp;Subs'!$C$123:$C$127)*($H1652&lt;='TaxCred&amp;Subs'!$C$129),'TaxCred&amp;Subs'!$E$123:$E$127,0))</f>
        <v>500</v>
      </c>
      <c r="R1652" s="171">
        <v>0</v>
      </c>
      <c r="S1652" s="49">
        <v>4</v>
      </c>
      <c r="T1652" s="49" t="s">
        <v>248</v>
      </c>
      <c r="U1652"/>
      <c r="V1652" s="153" t="str">
        <f t="array" ref="V1652">INDEX(xlRTCLNAME,MATCH(1,(xlRTCLENDU=1)*(xlRTCLEQCL=$D1652),0))</f>
        <v>DIST_RAD</v>
      </c>
      <c r="W1652" s="153" t="str">
        <f t="array" ref="W1652">INDEX(xlRTCLNAME,MATCH(1,(xlRTCLENDU=2)*(xlRTCLEQCL=$F1652),0))</f>
        <v>CENT_AIR</v>
      </c>
      <c r="X1652" s="153" t="str">
        <f t="array" ref="X1652">INDEX(xlRTTYNAME,MATCH(1,(xlRTTYENDU=1)*(xlRTTYEQCL=$D1652)*(xlRTEQTYPE=$E1652),0))</f>
        <v>DIST_RAD3</v>
      </c>
      <c r="Y1652" s="153" t="str">
        <f t="array" ref="Y1652">INDEX(xlRTTYNAME,MATCH(1,(xlRTTYENDU=2)*(xlRTTYEQCL=$F1652)*(xlRTEQTYPE=$G1652),0))</f>
        <v>CENT_AIR3</v>
      </c>
    </row>
    <row r="1653" spans="1:25" s="157" customFormat="1" ht="14.25" customHeight="1" x14ac:dyDescent="0.2">
      <c r="A1653"/>
      <c r="B1653" s="49">
        <v>4</v>
      </c>
      <c r="C1653" s="49">
        <v>2</v>
      </c>
      <c r="D1653" s="49">
        <v>8</v>
      </c>
      <c r="E1653" s="49">
        <v>28</v>
      </c>
      <c r="F1653" s="49">
        <v>2</v>
      </c>
      <c r="G1653" s="49">
        <v>7</v>
      </c>
      <c r="H1653" s="49">
        <v>2033</v>
      </c>
      <c r="I1653" s="49">
        <v>2050</v>
      </c>
      <c r="J1653" s="50">
        <v>1.1024</v>
      </c>
      <c r="K1653" s="50">
        <v>1.0435000000000001</v>
      </c>
      <c r="L1653" s="50">
        <v>0.99209999999999998</v>
      </c>
      <c r="M1653" s="50">
        <v>1.1499999999999999</v>
      </c>
      <c r="N1653" s="50">
        <v>1.1678999999999999</v>
      </c>
      <c r="O1653" s="50">
        <v>1.0538000000000001</v>
      </c>
      <c r="P1653" s="49">
        <v>2369</v>
      </c>
      <c r="Q1653" s="51">
        <f t="array" ref="Q1653">SUM(IF(($S1653&gt;=4)*($C1653='TaxCred&amp;Subs'!$D$123:$D$127)*($H1653='TaxCred&amp;Subs'!$C$123:$C$127)*($H1653&lt;='TaxCred&amp;Subs'!$C$129),'TaxCred&amp;Subs'!$E$123:$E$127,0))</f>
        <v>0</v>
      </c>
      <c r="R1653" s="171">
        <v>0</v>
      </c>
      <c r="S1653" s="49">
        <v>4</v>
      </c>
      <c r="T1653" s="49" t="s">
        <v>248</v>
      </c>
      <c r="U1653"/>
      <c r="V1653" s="153" t="str">
        <f t="array" ref="V1653">INDEX(xlRTCLNAME,MATCH(1,(xlRTCLENDU=1)*(xlRTCLEQCL=$D1653),0))</f>
        <v>DIST_RAD</v>
      </c>
      <c r="W1653" s="153" t="str">
        <f t="array" ref="W1653">INDEX(xlRTCLNAME,MATCH(1,(xlRTCLENDU=2)*(xlRTCLEQCL=$F1653),0))</f>
        <v>CENT_AIR</v>
      </c>
      <c r="X1653" s="153" t="str">
        <f t="array" ref="X1653">INDEX(xlRTTYNAME,MATCH(1,(xlRTTYENDU=1)*(xlRTTYEQCL=$D1653)*(xlRTEQTYPE=$E1653),0))</f>
        <v>DIST_RAD3</v>
      </c>
      <c r="Y1653" s="153" t="str">
        <f t="array" ref="Y1653">INDEX(xlRTTYNAME,MATCH(1,(xlRTTYENDU=2)*(xlRTTYEQCL=$F1653)*(xlRTEQTYPE=$G1653),0))</f>
        <v>CENT_AIR3</v>
      </c>
    </row>
    <row r="1654" spans="1:25" s="157" customFormat="1" ht="14.25" customHeight="1" x14ac:dyDescent="0.2">
      <c r="A1654"/>
      <c r="B1654" s="126">
        <v>5</v>
      </c>
      <c r="C1654" s="126">
        <v>2</v>
      </c>
      <c r="D1654" s="126">
        <v>8</v>
      </c>
      <c r="E1654" s="126">
        <v>28</v>
      </c>
      <c r="F1654" s="126">
        <v>2</v>
      </c>
      <c r="G1654" s="126">
        <v>7</v>
      </c>
      <c r="H1654" s="126">
        <v>2016</v>
      </c>
      <c r="I1654" s="159">
        <v>2022</v>
      </c>
      <c r="J1654" s="127">
        <v>1.03</v>
      </c>
      <c r="K1654" s="127">
        <v>1.03</v>
      </c>
      <c r="L1654" s="127">
        <v>0.44379999999999997</v>
      </c>
      <c r="M1654" s="127">
        <v>1.0509999999999999</v>
      </c>
      <c r="N1654" s="127">
        <v>1.3003</v>
      </c>
      <c r="O1654" s="127">
        <v>1.0538000000000001</v>
      </c>
      <c r="P1654" s="126">
        <v>2185</v>
      </c>
      <c r="Q1654" s="128">
        <f t="array" ref="Q1654">SUM(IF(($S1654&gt;=4)*($C1654='TaxCred&amp;Subs'!$D$123:$D$127)*($H1654='TaxCred&amp;Subs'!$C$123:$C$127)*($H1654&lt;='TaxCred&amp;Subs'!$C$129),'TaxCred&amp;Subs'!$E$123:$E$127,0))</f>
        <v>0</v>
      </c>
      <c r="R1654" s="174">
        <v>0</v>
      </c>
      <c r="S1654" s="126">
        <v>4</v>
      </c>
      <c r="T1654" s="126" t="s">
        <v>248</v>
      </c>
      <c r="U1654"/>
      <c r="V1654" s="153" t="str">
        <f t="array" ref="V1654">INDEX(xlRTCLNAME,MATCH(1,(xlRTCLENDU=1)*(xlRTCLEQCL=$D1654),0))</f>
        <v>DIST_RAD</v>
      </c>
      <c r="W1654" s="153" t="str">
        <f t="array" ref="W1654">INDEX(xlRTCLNAME,MATCH(1,(xlRTCLENDU=2)*(xlRTCLEQCL=$F1654),0))</f>
        <v>CENT_AIR</v>
      </c>
      <c r="X1654" s="153" t="str">
        <f t="array" ref="X1654">INDEX(xlRTTYNAME,MATCH(1,(xlRTTYENDU=1)*(xlRTTYEQCL=$D1654)*(xlRTEQTYPE=$E1654),0))</f>
        <v>DIST_RAD3</v>
      </c>
      <c r="Y1654" s="153" t="str">
        <f t="array" ref="Y1654">INDEX(xlRTTYNAME,MATCH(1,(xlRTTYENDU=2)*(xlRTTYEQCL=$F1654)*(xlRTEQTYPE=$G1654),0))</f>
        <v>CENT_AIR3</v>
      </c>
    </row>
    <row r="1655" spans="1:25" s="157" customFormat="1" ht="14.25" customHeight="1" x14ac:dyDescent="0.2">
      <c r="A1655"/>
      <c r="B1655" s="49">
        <v>5</v>
      </c>
      <c r="C1655" s="49">
        <v>2</v>
      </c>
      <c r="D1655" s="49">
        <v>8</v>
      </c>
      <c r="E1655" s="49">
        <v>28</v>
      </c>
      <c r="F1655" s="49">
        <v>2</v>
      </c>
      <c r="G1655" s="49">
        <v>7</v>
      </c>
      <c r="H1655" s="49">
        <v>2023</v>
      </c>
      <c r="I1655" s="49">
        <v>2032</v>
      </c>
      <c r="J1655" s="50">
        <v>1.03</v>
      </c>
      <c r="K1655" s="50">
        <v>1.03</v>
      </c>
      <c r="L1655" s="50">
        <v>0.44379999999999997</v>
      </c>
      <c r="M1655" s="50">
        <v>1.0509999999999999</v>
      </c>
      <c r="N1655" s="50">
        <v>1.3003</v>
      </c>
      <c r="O1655" s="50">
        <v>1.0538000000000001</v>
      </c>
      <c r="P1655" s="49">
        <v>2185</v>
      </c>
      <c r="Q1655" s="51">
        <f t="array" ref="Q1655">SUM(IF(($S1655&gt;=4)*($C1655='TaxCred&amp;Subs'!$D$123:$D$127)*($H1655='TaxCred&amp;Subs'!$C$123:$C$127)*($H1655&lt;='TaxCred&amp;Subs'!$C$129),'TaxCred&amp;Subs'!$E$123:$E$127,0))</f>
        <v>500</v>
      </c>
      <c r="R1655" s="171">
        <v>0</v>
      </c>
      <c r="S1655" s="49">
        <v>4</v>
      </c>
      <c r="T1655" s="49" t="s">
        <v>248</v>
      </c>
      <c r="U1655"/>
      <c r="V1655" s="153" t="str">
        <f t="array" ref="V1655">INDEX(xlRTCLNAME,MATCH(1,(xlRTCLENDU=1)*(xlRTCLEQCL=$D1655),0))</f>
        <v>DIST_RAD</v>
      </c>
      <c r="W1655" s="153" t="str">
        <f t="array" ref="W1655">INDEX(xlRTCLNAME,MATCH(1,(xlRTCLENDU=2)*(xlRTCLEQCL=$F1655),0))</f>
        <v>CENT_AIR</v>
      </c>
      <c r="X1655" s="153" t="str">
        <f t="array" ref="X1655">INDEX(xlRTTYNAME,MATCH(1,(xlRTTYENDU=1)*(xlRTTYEQCL=$D1655)*(xlRTEQTYPE=$E1655),0))</f>
        <v>DIST_RAD3</v>
      </c>
      <c r="Y1655" s="153" t="str">
        <f t="array" ref="Y1655">INDEX(xlRTTYNAME,MATCH(1,(xlRTTYENDU=2)*(xlRTTYEQCL=$F1655)*(xlRTEQTYPE=$G1655),0))</f>
        <v>CENT_AIR3</v>
      </c>
    </row>
    <row r="1656" spans="1:25" s="157" customFormat="1" ht="14.25" customHeight="1" x14ac:dyDescent="0.2">
      <c r="A1656"/>
      <c r="B1656" s="49">
        <v>5</v>
      </c>
      <c r="C1656" s="49">
        <v>2</v>
      </c>
      <c r="D1656" s="49">
        <v>8</v>
      </c>
      <c r="E1656" s="49">
        <v>28</v>
      </c>
      <c r="F1656" s="49">
        <v>2</v>
      </c>
      <c r="G1656" s="49">
        <v>7</v>
      </c>
      <c r="H1656" s="49">
        <v>2033</v>
      </c>
      <c r="I1656" s="49">
        <v>2050</v>
      </c>
      <c r="J1656" s="50">
        <v>1.03</v>
      </c>
      <c r="K1656" s="50">
        <v>1.03</v>
      </c>
      <c r="L1656" s="50">
        <v>0.44379999999999997</v>
      </c>
      <c r="M1656" s="50">
        <v>1.0509999999999999</v>
      </c>
      <c r="N1656" s="50">
        <v>1.3003</v>
      </c>
      <c r="O1656" s="50">
        <v>1.0538000000000001</v>
      </c>
      <c r="P1656" s="49">
        <v>2185</v>
      </c>
      <c r="Q1656" s="51">
        <f t="array" ref="Q1656">SUM(IF(($S1656&gt;=4)*($C1656='TaxCred&amp;Subs'!$D$123:$D$127)*($H1656='TaxCred&amp;Subs'!$C$123:$C$127)*($H1656&lt;='TaxCred&amp;Subs'!$C$129),'TaxCred&amp;Subs'!$E$123:$E$127,0))</f>
        <v>0</v>
      </c>
      <c r="R1656" s="171">
        <v>0</v>
      </c>
      <c r="S1656" s="49">
        <v>4</v>
      </c>
      <c r="T1656" s="49" t="s">
        <v>248</v>
      </c>
      <c r="U1656"/>
      <c r="V1656" s="153" t="str">
        <f t="array" ref="V1656">INDEX(xlRTCLNAME,MATCH(1,(xlRTCLENDU=1)*(xlRTCLEQCL=$D1656),0))</f>
        <v>DIST_RAD</v>
      </c>
      <c r="W1656" s="153" t="str">
        <f t="array" ref="W1656">INDEX(xlRTCLNAME,MATCH(1,(xlRTCLENDU=2)*(xlRTCLEQCL=$F1656),0))</f>
        <v>CENT_AIR</v>
      </c>
      <c r="X1656" s="153" t="str">
        <f t="array" ref="X1656">INDEX(xlRTTYNAME,MATCH(1,(xlRTTYENDU=1)*(xlRTTYEQCL=$D1656)*(xlRTEQTYPE=$E1656),0))</f>
        <v>DIST_RAD3</v>
      </c>
      <c r="Y1656" s="153" t="str">
        <f t="array" ref="Y1656">INDEX(xlRTTYNAME,MATCH(1,(xlRTTYENDU=2)*(xlRTTYEQCL=$F1656)*(xlRTEQTYPE=$G1656),0))</f>
        <v>CENT_AIR3</v>
      </c>
    </row>
    <row r="1657" spans="1:25" s="157" customFormat="1" ht="14.25" customHeight="1" x14ac:dyDescent="0.2">
      <c r="A1657"/>
      <c r="B1657" s="126">
        <v>6</v>
      </c>
      <c r="C1657" s="126">
        <v>2</v>
      </c>
      <c r="D1657" s="126">
        <v>8</v>
      </c>
      <c r="E1657" s="126">
        <v>28</v>
      </c>
      <c r="F1657" s="126">
        <v>2</v>
      </c>
      <c r="G1657" s="126">
        <v>7</v>
      </c>
      <c r="H1657" s="126">
        <v>2016</v>
      </c>
      <c r="I1657" s="159">
        <v>2022</v>
      </c>
      <c r="J1657" s="127">
        <v>1.1200000000000001</v>
      </c>
      <c r="K1657" s="127">
        <v>1.0417000000000001</v>
      </c>
      <c r="L1657" s="127">
        <v>1.1437999999999999</v>
      </c>
      <c r="M1657" s="127">
        <v>1.1228</v>
      </c>
      <c r="N1657" s="127">
        <v>1.3656999999999999</v>
      </c>
      <c r="O1657" s="127">
        <v>1.0538000000000001</v>
      </c>
      <c r="P1657" s="126">
        <v>2252</v>
      </c>
      <c r="Q1657" s="128">
        <f t="array" ref="Q1657">SUM(IF(($S1657&gt;=4)*($C1657='TaxCred&amp;Subs'!$D$123:$D$127)*($H1657='TaxCred&amp;Subs'!$C$123:$C$127)*($H1657&lt;='TaxCred&amp;Subs'!$C$129),'TaxCred&amp;Subs'!$E$123:$E$127,0))</f>
        <v>0</v>
      </c>
      <c r="R1657" s="174">
        <v>0</v>
      </c>
      <c r="S1657" s="126">
        <v>4</v>
      </c>
      <c r="T1657" s="126" t="s">
        <v>248</v>
      </c>
      <c r="U1657"/>
      <c r="V1657" s="153" t="str">
        <f t="array" ref="V1657">INDEX(xlRTCLNAME,MATCH(1,(xlRTCLENDU=1)*(xlRTCLEQCL=$D1657),0))</f>
        <v>DIST_RAD</v>
      </c>
      <c r="W1657" s="153" t="str">
        <f t="array" ref="W1657">INDEX(xlRTCLNAME,MATCH(1,(xlRTCLENDU=2)*(xlRTCLEQCL=$F1657),0))</f>
        <v>CENT_AIR</v>
      </c>
      <c r="X1657" s="153" t="str">
        <f t="array" ref="X1657">INDEX(xlRTTYNAME,MATCH(1,(xlRTTYENDU=1)*(xlRTTYEQCL=$D1657)*(xlRTEQTYPE=$E1657),0))</f>
        <v>DIST_RAD3</v>
      </c>
      <c r="Y1657" s="153" t="str">
        <f t="array" ref="Y1657">INDEX(xlRTTYNAME,MATCH(1,(xlRTTYENDU=2)*(xlRTTYEQCL=$F1657)*(xlRTEQTYPE=$G1657),0))</f>
        <v>CENT_AIR3</v>
      </c>
    </row>
    <row r="1658" spans="1:25" s="157" customFormat="1" ht="14.25" customHeight="1" x14ac:dyDescent="0.2">
      <c r="A1658"/>
      <c r="B1658" s="49">
        <v>6</v>
      </c>
      <c r="C1658" s="49">
        <v>2</v>
      </c>
      <c r="D1658" s="49">
        <v>8</v>
      </c>
      <c r="E1658" s="49">
        <v>28</v>
      </c>
      <c r="F1658" s="49">
        <v>2</v>
      </c>
      <c r="G1658" s="49">
        <v>7</v>
      </c>
      <c r="H1658" s="49">
        <v>2023</v>
      </c>
      <c r="I1658" s="49">
        <v>2032</v>
      </c>
      <c r="J1658" s="50">
        <v>1.1200000000000001</v>
      </c>
      <c r="K1658" s="50">
        <v>1.0417000000000001</v>
      </c>
      <c r="L1658" s="50">
        <v>1.1437999999999999</v>
      </c>
      <c r="M1658" s="50">
        <v>1.1228</v>
      </c>
      <c r="N1658" s="50">
        <v>1.3656999999999999</v>
      </c>
      <c r="O1658" s="50">
        <v>1.0538000000000001</v>
      </c>
      <c r="P1658" s="49">
        <v>2252</v>
      </c>
      <c r="Q1658" s="51">
        <f t="array" ref="Q1658">SUM(IF(($S1658&gt;=4)*($C1658='TaxCred&amp;Subs'!$D$123:$D$127)*($H1658='TaxCred&amp;Subs'!$C$123:$C$127)*($H1658&lt;='TaxCred&amp;Subs'!$C$129),'TaxCred&amp;Subs'!$E$123:$E$127,0))</f>
        <v>500</v>
      </c>
      <c r="R1658" s="171">
        <v>0</v>
      </c>
      <c r="S1658" s="49">
        <v>4</v>
      </c>
      <c r="T1658" s="49" t="s">
        <v>248</v>
      </c>
      <c r="U1658"/>
      <c r="V1658" s="153" t="str">
        <f t="array" ref="V1658">INDEX(xlRTCLNAME,MATCH(1,(xlRTCLENDU=1)*(xlRTCLEQCL=$D1658),0))</f>
        <v>DIST_RAD</v>
      </c>
      <c r="W1658" s="153" t="str">
        <f t="array" ref="W1658">INDEX(xlRTCLNAME,MATCH(1,(xlRTCLENDU=2)*(xlRTCLEQCL=$F1658),0))</f>
        <v>CENT_AIR</v>
      </c>
      <c r="X1658" s="153" t="str">
        <f t="array" ref="X1658">INDEX(xlRTTYNAME,MATCH(1,(xlRTTYENDU=1)*(xlRTTYEQCL=$D1658)*(xlRTEQTYPE=$E1658),0))</f>
        <v>DIST_RAD3</v>
      </c>
      <c r="Y1658" s="153" t="str">
        <f t="array" ref="Y1658">INDEX(xlRTTYNAME,MATCH(1,(xlRTTYENDU=2)*(xlRTTYEQCL=$F1658)*(xlRTEQTYPE=$G1658),0))</f>
        <v>CENT_AIR3</v>
      </c>
    </row>
    <row r="1659" spans="1:25" s="157" customFormat="1" ht="14.25" customHeight="1" x14ac:dyDescent="0.2">
      <c r="A1659"/>
      <c r="B1659" s="49">
        <v>6</v>
      </c>
      <c r="C1659" s="49">
        <v>2</v>
      </c>
      <c r="D1659" s="49">
        <v>8</v>
      </c>
      <c r="E1659" s="49">
        <v>28</v>
      </c>
      <c r="F1659" s="49">
        <v>2</v>
      </c>
      <c r="G1659" s="49">
        <v>7</v>
      </c>
      <c r="H1659" s="49">
        <v>2033</v>
      </c>
      <c r="I1659" s="49">
        <v>2050</v>
      </c>
      <c r="J1659" s="50">
        <v>1.1200000000000001</v>
      </c>
      <c r="K1659" s="50">
        <v>1.0417000000000001</v>
      </c>
      <c r="L1659" s="50">
        <v>1.1437999999999999</v>
      </c>
      <c r="M1659" s="50">
        <v>1.1228</v>
      </c>
      <c r="N1659" s="50">
        <v>1.3656999999999999</v>
      </c>
      <c r="O1659" s="50">
        <v>1.0538000000000001</v>
      </c>
      <c r="P1659" s="49">
        <v>2252</v>
      </c>
      <c r="Q1659" s="51">
        <f t="array" ref="Q1659">SUM(IF(($S1659&gt;=4)*($C1659='TaxCred&amp;Subs'!$D$123:$D$127)*($H1659='TaxCred&amp;Subs'!$C$123:$C$127)*($H1659&lt;='TaxCred&amp;Subs'!$C$129),'TaxCred&amp;Subs'!$E$123:$E$127,0))</f>
        <v>0</v>
      </c>
      <c r="R1659" s="171">
        <v>0</v>
      </c>
      <c r="S1659" s="49">
        <v>4</v>
      </c>
      <c r="T1659" s="49" t="s">
        <v>248</v>
      </c>
      <c r="U1659"/>
      <c r="V1659" s="153" t="str">
        <f t="array" ref="V1659">INDEX(xlRTCLNAME,MATCH(1,(xlRTCLENDU=1)*(xlRTCLEQCL=$D1659),0))</f>
        <v>DIST_RAD</v>
      </c>
      <c r="W1659" s="153" t="str">
        <f t="array" ref="W1659">INDEX(xlRTCLNAME,MATCH(1,(xlRTCLENDU=2)*(xlRTCLEQCL=$F1659),0))</f>
        <v>CENT_AIR</v>
      </c>
      <c r="X1659" s="153" t="str">
        <f t="array" ref="X1659">INDEX(xlRTTYNAME,MATCH(1,(xlRTTYENDU=1)*(xlRTTYEQCL=$D1659)*(xlRTEQTYPE=$E1659),0))</f>
        <v>DIST_RAD3</v>
      </c>
      <c r="Y1659" s="153" t="str">
        <f t="array" ref="Y1659">INDEX(xlRTTYNAME,MATCH(1,(xlRTTYENDU=2)*(xlRTTYEQCL=$F1659)*(xlRTEQTYPE=$G1659),0))</f>
        <v>CENT_AIR3</v>
      </c>
    </row>
    <row r="1660" spans="1:25" s="157" customFormat="1" ht="14.25" customHeight="1" x14ac:dyDescent="0.2">
      <c r="A1660"/>
      <c r="B1660" s="126">
        <v>7</v>
      </c>
      <c r="C1660" s="126">
        <v>2</v>
      </c>
      <c r="D1660" s="126">
        <v>8</v>
      </c>
      <c r="E1660" s="126">
        <v>28</v>
      </c>
      <c r="F1660" s="126">
        <v>2</v>
      </c>
      <c r="G1660" s="126">
        <v>7</v>
      </c>
      <c r="H1660" s="126">
        <v>2016</v>
      </c>
      <c r="I1660" s="159">
        <v>2022</v>
      </c>
      <c r="J1660" s="127">
        <v>1.1200000000000001</v>
      </c>
      <c r="K1660" s="127">
        <v>1.0462</v>
      </c>
      <c r="L1660" s="127">
        <v>0.64380000000000004</v>
      </c>
      <c r="M1660" s="127">
        <v>1.1173</v>
      </c>
      <c r="N1660" s="127">
        <v>1.4438</v>
      </c>
      <c r="O1660" s="127">
        <v>1.0538000000000001</v>
      </c>
      <c r="P1660" s="126">
        <v>2176</v>
      </c>
      <c r="Q1660" s="128">
        <f t="array" ref="Q1660">SUM(IF(($S1660&gt;=4)*($C1660='TaxCred&amp;Subs'!$D$123:$D$127)*($H1660='TaxCred&amp;Subs'!$C$123:$C$127)*($H1660&lt;='TaxCred&amp;Subs'!$C$129),'TaxCred&amp;Subs'!$E$123:$E$127,0))</f>
        <v>0</v>
      </c>
      <c r="R1660" s="174">
        <v>0</v>
      </c>
      <c r="S1660" s="126">
        <v>4</v>
      </c>
      <c r="T1660" s="126" t="s">
        <v>248</v>
      </c>
      <c r="U1660"/>
      <c r="V1660" s="153" t="str">
        <f t="array" ref="V1660">INDEX(xlRTCLNAME,MATCH(1,(xlRTCLENDU=1)*(xlRTCLEQCL=$D1660),0))</f>
        <v>DIST_RAD</v>
      </c>
      <c r="W1660" s="153" t="str">
        <f t="array" ref="W1660">INDEX(xlRTCLNAME,MATCH(1,(xlRTCLENDU=2)*(xlRTCLEQCL=$F1660),0))</f>
        <v>CENT_AIR</v>
      </c>
      <c r="X1660" s="153" t="str">
        <f t="array" ref="X1660">INDEX(xlRTTYNAME,MATCH(1,(xlRTTYENDU=1)*(xlRTTYEQCL=$D1660)*(xlRTEQTYPE=$E1660),0))</f>
        <v>DIST_RAD3</v>
      </c>
      <c r="Y1660" s="153" t="str">
        <f t="array" ref="Y1660">INDEX(xlRTTYNAME,MATCH(1,(xlRTTYENDU=2)*(xlRTTYEQCL=$F1660)*(xlRTEQTYPE=$G1660),0))</f>
        <v>CENT_AIR3</v>
      </c>
    </row>
    <row r="1661" spans="1:25" s="157" customFormat="1" ht="14.25" customHeight="1" x14ac:dyDescent="0.2">
      <c r="A1661"/>
      <c r="B1661" s="49">
        <v>7</v>
      </c>
      <c r="C1661" s="49">
        <v>2</v>
      </c>
      <c r="D1661" s="49">
        <v>8</v>
      </c>
      <c r="E1661" s="49">
        <v>28</v>
      </c>
      <c r="F1661" s="49">
        <v>2</v>
      </c>
      <c r="G1661" s="49">
        <v>7</v>
      </c>
      <c r="H1661" s="49">
        <v>2023</v>
      </c>
      <c r="I1661" s="49">
        <v>2032</v>
      </c>
      <c r="J1661" s="50">
        <v>1.1200000000000001</v>
      </c>
      <c r="K1661" s="50">
        <v>1.0462</v>
      </c>
      <c r="L1661" s="50">
        <v>0.64380000000000004</v>
      </c>
      <c r="M1661" s="50">
        <v>1.1173</v>
      </c>
      <c r="N1661" s="50">
        <v>1.4438</v>
      </c>
      <c r="O1661" s="50">
        <v>1.0538000000000001</v>
      </c>
      <c r="P1661" s="49">
        <v>2176</v>
      </c>
      <c r="Q1661" s="51">
        <f t="array" ref="Q1661">SUM(IF(($S1661&gt;=4)*($C1661='TaxCred&amp;Subs'!$D$123:$D$127)*($H1661='TaxCred&amp;Subs'!$C$123:$C$127)*($H1661&lt;='TaxCred&amp;Subs'!$C$129),'TaxCred&amp;Subs'!$E$123:$E$127,0))</f>
        <v>500</v>
      </c>
      <c r="R1661" s="171">
        <v>0</v>
      </c>
      <c r="S1661" s="49">
        <v>4</v>
      </c>
      <c r="T1661" s="49" t="s">
        <v>248</v>
      </c>
      <c r="U1661"/>
      <c r="V1661" s="153" t="str">
        <f t="array" ref="V1661">INDEX(xlRTCLNAME,MATCH(1,(xlRTCLENDU=1)*(xlRTCLEQCL=$D1661),0))</f>
        <v>DIST_RAD</v>
      </c>
      <c r="W1661" s="153" t="str">
        <f t="array" ref="W1661">INDEX(xlRTCLNAME,MATCH(1,(xlRTCLENDU=2)*(xlRTCLEQCL=$F1661),0))</f>
        <v>CENT_AIR</v>
      </c>
      <c r="X1661" s="153" t="str">
        <f t="array" ref="X1661">INDEX(xlRTTYNAME,MATCH(1,(xlRTTYENDU=1)*(xlRTTYEQCL=$D1661)*(xlRTEQTYPE=$E1661),0))</f>
        <v>DIST_RAD3</v>
      </c>
      <c r="Y1661" s="153" t="str">
        <f t="array" ref="Y1661">INDEX(xlRTTYNAME,MATCH(1,(xlRTTYENDU=2)*(xlRTTYEQCL=$F1661)*(xlRTEQTYPE=$G1661),0))</f>
        <v>CENT_AIR3</v>
      </c>
    </row>
    <row r="1662" spans="1:25" s="157" customFormat="1" ht="14.25" customHeight="1" x14ac:dyDescent="0.2">
      <c r="A1662"/>
      <c r="B1662" s="49">
        <v>7</v>
      </c>
      <c r="C1662" s="49">
        <v>2</v>
      </c>
      <c r="D1662" s="49">
        <v>8</v>
      </c>
      <c r="E1662" s="49">
        <v>28</v>
      </c>
      <c r="F1662" s="49">
        <v>2</v>
      </c>
      <c r="G1662" s="49">
        <v>7</v>
      </c>
      <c r="H1662" s="49">
        <v>2033</v>
      </c>
      <c r="I1662" s="49">
        <v>2050</v>
      </c>
      <c r="J1662" s="50">
        <v>1.1200000000000001</v>
      </c>
      <c r="K1662" s="50">
        <v>1.0462</v>
      </c>
      <c r="L1662" s="50">
        <v>0.64380000000000004</v>
      </c>
      <c r="M1662" s="50">
        <v>1.1173</v>
      </c>
      <c r="N1662" s="50">
        <v>1.4438</v>
      </c>
      <c r="O1662" s="50">
        <v>1.0538000000000001</v>
      </c>
      <c r="P1662" s="49">
        <v>2176</v>
      </c>
      <c r="Q1662" s="51">
        <f t="array" ref="Q1662">SUM(IF(($S1662&gt;=4)*($C1662='TaxCred&amp;Subs'!$D$123:$D$127)*($H1662='TaxCred&amp;Subs'!$C$123:$C$127)*($H1662&lt;='TaxCred&amp;Subs'!$C$129),'TaxCred&amp;Subs'!$E$123:$E$127,0))</f>
        <v>0</v>
      </c>
      <c r="R1662" s="171">
        <v>0</v>
      </c>
      <c r="S1662" s="49">
        <v>4</v>
      </c>
      <c r="T1662" s="49" t="s">
        <v>248</v>
      </c>
      <c r="U1662"/>
      <c r="V1662" s="153" t="str">
        <f t="array" ref="V1662">INDEX(xlRTCLNAME,MATCH(1,(xlRTCLENDU=1)*(xlRTCLEQCL=$D1662),0))</f>
        <v>DIST_RAD</v>
      </c>
      <c r="W1662" s="153" t="str">
        <f t="array" ref="W1662">INDEX(xlRTCLNAME,MATCH(1,(xlRTCLENDU=2)*(xlRTCLEQCL=$F1662),0))</f>
        <v>CENT_AIR</v>
      </c>
      <c r="X1662" s="153" t="str">
        <f t="array" ref="X1662">INDEX(xlRTTYNAME,MATCH(1,(xlRTTYENDU=1)*(xlRTTYEQCL=$D1662)*(xlRTEQTYPE=$E1662),0))</f>
        <v>DIST_RAD3</v>
      </c>
      <c r="Y1662" s="153" t="str">
        <f t="array" ref="Y1662">INDEX(xlRTTYNAME,MATCH(1,(xlRTTYENDU=2)*(xlRTTYEQCL=$F1662)*(xlRTEQTYPE=$G1662),0))</f>
        <v>CENT_AIR3</v>
      </c>
    </row>
    <row r="1663" spans="1:25" s="157" customFormat="1" ht="14.25" customHeight="1" x14ac:dyDescent="0.2">
      <c r="A1663"/>
      <c r="B1663" s="126">
        <v>8</v>
      </c>
      <c r="C1663" s="126">
        <v>2</v>
      </c>
      <c r="D1663" s="126">
        <v>8</v>
      </c>
      <c r="E1663" s="126">
        <v>28</v>
      </c>
      <c r="F1663" s="126">
        <v>2</v>
      </c>
      <c r="G1663" s="126">
        <v>7</v>
      </c>
      <c r="H1663" s="126">
        <v>2016</v>
      </c>
      <c r="I1663" s="159">
        <v>2022</v>
      </c>
      <c r="J1663" s="127">
        <v>1.1045</v>
      </c>
      <c r="K1663" s="127">
        <v>1.0323</v>
      </c>
      <c r="L1663" s="127">
        <v>0.9597</v>
      </c>
      <c r="M1663" s="127">
        <v>1.2739</v>
      </c>
      <c r="N1663" s="127">
        <v>1.2847999999999999</v>
      </c>
      <c r="O1663" s="127">
        <v>1.0538000000000001</v>
      </c>
      <c r="P1663" s="126">
        <v>2451</v>
      </c>
      <c r="Q1663" s="128">
        <f t="array" ref="Q1663">SUM(IF(($S1663&gt;=4)*($C1663='TaxCred&amp;Subs'!$D$123:$D$127)*($H1663='TaxCred&amp;Subs'!$C$123:$C$127)*($H1663&lt;='TaxCred&amp;Subs'!$C$129),'TaxCred&amp;Subs'!$E$123:$E$127,0))</f>
        <v>0</v>
      </c>
      <c r="R1663" s="174">
        <v>0</v>
      </c>
      <c r="S1663" s="126">
        <v>4</v>
      </c>
      <c r="T1663" s="126" t="s">
        <v>248</v>
      </c>
      <c r="U1663"/>
      <c r="V1663" s="153" t="str">
        <f t="array" ref="V1663">INDEX(xlRTCLNAME,MATCH(1,(xlRTCLENDU=1)*(xlRTCLEQCL=$D1663),0))</f>
        <v>DIST_RAD</v>
      </c>
      <c r="W1663" s="153" t="str">
        <f t="array" ref="W1663">INDEX(xlRTCLNAME,MATCH(1,(xlRTCLENDU=2)*(xlRTCLEQCL=$F1663),0))</f>
        <v>CENT_AIR</v>
      </c>
      <c r="X1663" s="153" t="str">
        <f t="array" ref="X1663">INDEX(xlRTTYNAME,MATCH(1,(xlRTTYENDU=1)*(xlRTTYEQCL=$D1663)*(xlRTEQTYPE=$E1663),0))</f>
        <v>DIST_RAD3</v>
      </c>
      <c r="Y1663" s="153" t="str">
        <f t="array" ref="Y1663">INDEX(xlRTTYNAME,MATCH(1,(xlRTTYENDU=2)*(xlRTTYEQCL=$F1663)*(xlRTEQTYPE=$G1663),0))</f>
        <v>CENT_AIR3</v>
      </c>
    </row>
    <row r="1664" spans="1:25" s="157" customFormat="1" ht="14.25" customHeight="1" x14ac:dyDescent="0.2">
      <c r="A1664"/>
      <c r="B1664" s="49">
        <v>8</v>
      </c>
      <c r="C1664" s="49">
        <v>2</v>
      </c>
      <c r="D1664" s="49">
        <v>8</v>
      </c>
      <c r="E1664" s="49">
        <v>28</v>
      </c>
      <c r="F1664" s="49">
        <v>2</v>
      </c>
      <c r="G1664" s="49">
        <v>7</v>
      </c>
      <c r="H1664" s="49">
        <v>2023</v>
      </c>
      <c r="I1664" s="49">
        <v>2032</v>
      </c>
      <c r="J1664" s="50">
        <v>1.1045</v>
      </c>
      <c r="K1664" s="50">
        <v>1.0323</v>
      </c>
      <c r="L1664" s="50">
        <v>0.9597</v>
      </c>
      <c r="M1664" s="50">
        <v>1.2739</v>
      </c>
      <c r="N1664" s="50">
        <v>1.2847999999999999</v>
      </c>
      <c r="O1664" s="50">
        <v>1.0538000000000001</v>
      </c>
      <c r="P1664" s="49">
        <v>2451</v>
      </c>
      <c r="Q1664" s="51">
        <f t="array" ref="Q1664">SUM(IF(($S1664&gt;=4)*($C1664='TaxCred&amp;Subs'!$D$123:$D$127)*($H1664='TaxCred&amp;Subs'!$C$123:$C$127)*($H1664&lt;='TaxCred&amp;Subs'!$C$129),'TaxCred&amp;Subs'!$E$123:$E$127,0))</f>
        <v>500</v>
      </c>
      <c r="R1664" s="171">
        <v>0</v>
      </c>
      <c r="S1664" s="49">
        <v>4</v>
      </c>
      <c r="T1664" s="49" t="s">
        <v>248</v>
      </c>
      <c r="U1664"/>
      <c r="V1664" s="153" t="str">
        <f t="array" ref="V1664">INDEX(xlRTCLNAME,MATCH(1,(xlRTCLENDU=1)*(xlRTCLEQCL=$D1664),0))</f>
        <v>DIST_RAD</v>
      </c>
      <c r="W1664" s="153" t="str">
        <f t="array" ref="W1664">INDEX(xlRTCLNAME,MATCH(1,(xlRTCLENDU=2)*(xlRTCLEQCL=$F1664),0))</f>
        <v>CENT_AIR</v>
      </c>
      <c r="X1664" s="153" t="str">
        <f t="array" ref="X1664">INDEX(xlRTTYNAME,MATCH(1,(xlRTTYENDU=1)*(xlRTTYEQCL=$D1664)*(xlRTEQTYPE=$E1664),0))</f>
        <v>DIST_RAD3</v>
      </c>
      <c r="Y1664" s="153" t="str">
        <f t="array" ref="Y1664">INDEX(xlRTTYNAME,MATCH(1,(xlRTTYENDU=2)*(xlRTTYEQCL=$F1664)*(xlRTEQTYPE=$G1664),0))</f>
        <v>CENT_AIR3</v>
      </c>
    </row>
    <row r="1665" spans="1:25" s="157" customFormat="1" ht="14.25" customHeight="1" x14ac:dyDescent="0.2">
      <c r="A1665"/>
      <c r="B1665" s="49">
        <v>8</v>
      </c>
      <c r="C1665" s="49">
        <v>2</v>
      </c>
      <c r="D1665" s="49">
        <v>8</v>
      </c>
      <c r="E1665" s="49">
        <v>28</v>
      </c>
      <c r="F1665" s="49">
        <v>2</v>
      </c>
      <c r="G1665" s="49">
        <v>7</v>
      </c>
      <c r="H1665" s="49">
        <v>2033</v>
      </c>
      <c r="I1665" s="49">
        <v>2050</v>
      </c>
      <c r="J1665" s="50">
        <v>1.1045</v>
      </c>
      <c r="K1665" s="50">
        <v>1.0323</v>
      </c>
      <c r="L1665" s="50">
        <v>0.9597</v>
      </c>
      <c r="M1665" s="50">
        <v>1.2739</v>
      </c>
      <c r="N1665" s="50">
        <v>1.2847999999999999</v>
      </c>
      <c r="O1665" s="50">
        <v>1.0538000000000001</v>
      </c>
      <c r="P1665" s="49">
        <v>2451</v>
      </c>
      <c r="Q1665" s="51">
        <f t="array" ref="Q1665">SUM(IF(($S1665&gt;=4)*($C1665='TaxCred&amp;Subs'!$D$123:$D$127)*($H1665='TaxCred&amp;Subs'!$C$123:$C$127)*($H1665&lt;='TaxCred&amp;Subs'!$C$129),'TaxCred&amp;Subs'!$E$123:$E$127,0))</f>
        <v>0</v>
      </c>
      <c r="R1665" s="171">
        <v>0</v>
      </c>
      <c r="S1665" s="49">
        <v>4</v>
      </c>
      <c r="T1665" s="49" t="s">
        <v>248</v>
      </c>
      <c r="U1665"/>
      <c r="V1665" s="153" t="str">
        <f t="array" ref="V1665">INDEX(xlRTCLNAME,MATCH(1,(xlRTCLENDU=1)*(xlRTCLEQCL=$D1665),0))</f>
        <v>DIST_RAD</v>
      </c>
      <c r="W1665" s="153" t="str">
        <f t="array" ref="W1665">INDEX(xlRTCLNAME,MATCH(1,(xlRTCLENDU=2)*(xlRTCLEQCL=$F1665),0))</f>
        <v>CENT_AIR</v>
      </c>
      <c r="X1665" s="153" t="str">
        <f t="array" ref="X1665">INDEX(xlRTTYNAME,MATCH(1,(xlRTTYENDU=1)*(xlRTTYEQCL=$D1665)*(xlRTEQTYPE=$E1665),0))</f>
        <v>DIST_RAD3</v>
      </c>
      <c r="Y1665" s="153" t="str">
        <f t="array" ref="Y1665">INDEX(xlRTTYNAME,MATCH(1,(xlRTTYENDU=2)*(xlRTTYEQCL=$F1665)*(xlRTEQTYPE=$G1665),0))</f>
        <v>CENT_AIR3</v>
      </c>
    </row>
    <row r="1666" spans="1:25" s="157" customFormat="1" ht="14.25" customHeight="1" x14ac:dyDescent="0.2">
      <c r="A1666"/>
      <c r="B1666" s="126">
        <v>9</v>
      </c>
      <c r="C1666" s="126">
        <v>2</v>
      </c>
      <c r="D1666" s="126">
        <v>8</v>
      </c>
      <c r="E1666" s="126">
        <v>28</v>
      </c>
      <c r="F1666" s="126">
        <v>2</v>
      </c>
      <c r="G1666" s="126">
        <v>7</v>
      </c>
      <c r="H1666" s="126">
        <v>2016</v>
      </c>
      <c r="I1666" s="159">
        <v>2022</v>
      </c>
      <c r="J1666" s="127">
        <v>1.1200000000000001</v>
      </c>
      <c r="K1666" s="127">
        <v>1.0541</v>
      </c>
      <c r="L1666" s="127">
        <v>1.0438000000000001</v>
      </c>
      <c r="M1666" s="127">
        <v>1.2</v>
      </c>
      <c r="N1666" s="127">
        <v>1.4438</v>
      </c>
      <c r="O1666" s="127">
        <v>1.0538000000000001</v>
      </c>
      <c r="P1666" s="126">
        <v>2550</v>
      </c>
      <c r="Q1666" s="128">
        <f t="array" ref="Q1666">SUM(IF(($S1666&gt;=4)*($C1666='TaxCred&amp;Subs'!$D$123:$D$127)*($H1666='TaxCred&amp;Subs'!$C$123:$C$127)*($H1666&lt;='TaxCred&amp;Subs'!$C$129),'TaxCred&amp;Subs'!$E$123:$E$127,0))</f>
        <v>0</v>
      </c>
      <c r="R1666" s="174">
        <v>0</v>
      </c>
      <c r="S1666" s="126">
        <v>4</v>
      </c>
      <c r="T1666" s="126" t="s">
        <v>248</v>
      </c>
      <c r="U1666"/>
      <c r="V1666" s="153" t="str">
        <f t="array" ref="V1666">INDEX(xlRTCLNAME,MATCH(1,(xlRTCLENDU=1)*(xlRTCLEQCL=$D1666),0))</f>
        <v>DIST_RAD</v>
      </c>
      <c r="W1666" s="153" t="str">
        <f t="array" ref="W1666">INDEX(xlRTCLNAME,MATCH(1,(xlRTCLENDU=2)*(xlRTCLEQCL=$F1666),0))</f>
        <v>CENT_AIR</v>
      </c>
      <c r="X1666" s="153" t="str">
        <f t="array" ref="X1666">INDEX(xlRTTYNAME,MATCH(1,(xlRTTYENDU=1)*(xlRTTYEQCL=$D1666)*(xlRTEQTYPE=$E1666),0))</f>
        <v>DIST_RAD3</v>
      </c>
      <c r="Y1666" s="153" t="str">
        <f t="array" ref="Y1666">INDEX(xlRTTYNAME,MATCH(1,(xlRTTYENDU=2)*(xlRTTYEQCL=$F1666)*(xlRTEQTYPE=$G1666),0))</f>
        <v>CENT_AIR3</v>
      </c>
    </row>
    <row r="1667" spans="1:25" s="157" customFormat="1" ht="14.25" customHeight="1" x14ac:dyDescent="0.2">
      <c r="A1667"/>
      <c r="B1667" s="49">
        <v>9</v>
      </c>
      <c r="C1667" s="49">
        <v>2</v>
      </c>
      <c r="D1667" s="49">
        <v>8</v>
      </c>
      <c r="E1667" s="49">
        <v>28</v>
      </c>
      <c r="F1667" s="49">
        <v>2</v>
      </c>
      <c r="G1667" s="49">
        <v>7</v>
      </c>
      <c r="H1667" s="49">
        <v>2023</v>
      </c>
      <c r="I1667" s="49">
        <v>2032</v>
      </c>
      <c r="J1667" s="50">
        <v>1.1200000000000001</v>
      </c>
      <c r="K1667" s="50">
        <v>1.0541</v>
      </c>
      <c r="L1667" s="50">
        <v>1.0438000000000001</v>
      </c>
      <c r="M1667" s="50">
        <v>1.2</v>
      </c>
      <c r="N1667" s="50">
        <v>1.4438</v>
      </c>
      <c r="O1667" s="50">
        <v>1.0538000000000001</v>
      </c>
      <c r="P1667" s="49">
        <v>2550</v>
      </c>
      <c r="Q1667" s="51">
        <f t="array" ref="Q1667">SUM(IF(($S1667&gt;=4)*($C1667='TaxCred&amp;Subs'!$D$123:$D$127)*($H1667='TaxCred&amp;Subs'!$C$123:$C$127)*($H1667&lt;='TaxCred&amp;Subs'!$C$129),'TaxCred&amp;Subs'!$E$123:$E$127,0))</f>
        <v>500</v>
      </c>
      <c r="R1667" s="171">
        <v>0</v>
      </c>
      <c r="S1667" s="49">
        <v>4</v>
      </c>
      <c r="T1667" s="49" t="s">
        <v>248</v>
      </c>
      <c r="U1667"/>
      <c r="V1667" s="153" t="str">
        <f t="array" ref="V1667">INDEX(xlRTCLNAME,MATCH(1,(xlRTCLENDU=1)*(xlRTCLEQCL=$D1667),0))</f>
        <v>DIST_RAD</v>
      </c>
      <c r="W1667" s="153" t="str">
        <f t="array" ref="W1667">INDEX(xlRTCLNAME,MATCH(1,(xlRTCLENDU=2)*(xlRTCLEQCL=$F1667),0))</f>
        <v>CENT_AIR</v>
      </c>
      <c r="X1667" s="153" t="str">
        <f t="array" ref="X1667">INDEX(xlRTTYNAME,MATCH(1,(xlRTTYENDU=1)*(xlRTTYEQCL=$D1667)*(xlRTEQTYPE=$E1667),0))</f>
        <v>DIST_RAD3</v>
      </c>
      <c r="Y1667" s="153" t="str">
        <f t="array" ref="Y1667">INDEX(xlRTTYNAME,MATCH(1,(xlRTTYENDU=2)*(xlRTTYEQCL=$F1667)*(xlRTEQTYPE=$G1667),0))</f>
        <v>CENT_AIR3</v>
      </c>
    </row>
    <row r="1668" spans="1:25" s="157" customFormat="1" ht="14.25" customHeight="1" x14ac:dyDescent="0.2">
      <c r="A1668"/>
      <c r="B1668" s="49">
        <v>9</v>
      </c>
      <c r="C1668" s="49">
        <v>2</v>
      </c>
      <c r="D1668" s="49">
        <v>8</v>
      </c>
      <c r="E1668" s="49">
        <v>28</v>
      </c>
      <c r="F1668" s="49">
        <v>2</v>
      </c>
      <c r="G1668" s="49">
        <v>7</v>
      </c>
      <c r="H1668" s="49">
        <v>2033</v>
      </c>
      <c r="I1668" s="49">
        <v>2050</v>
      </c>
      <c r="J1668" s="50">
        <v>1.1200000000000001</v>
      </c>
      <c r="K1668" s="50">
        <v>1.0541</v>
      </c>
      <c r="L1668" s="50">
        <v>1.0438000000000001</v>
      </c>
      <c r="M1668" s="50">
        <v>1.2</v>
      </c>
      <c r="N1668" s="50">
        <v>1.4438</v>
      </c>
      <c r="O1668" s="50">
        <v>1.0538000000000001</v>
      </c>
      <c r="P1668" s="49">
        <v>2550</v>
      </c>
      <c r="Q1668" s="51">
        <f t="array" ref="Q1668">SUM(IF(($S1668&gt;=4)*($C1668='TaxCred&amp;Subs'!$D$123:$D$127)*($H1668='TaxCred&amp;Subs'!$C$123:$C$127)*($H1668&lt;='TaxCred&amp;Subs'!$C$129),'TaxCred&amp;Subs'!$E$123:$E$127,0))</f>
        <v>0</v>
      </c>
      <c r="R1668" s="171">
        <v>0</v>
      </c>
      <c r="S1668" s="49">
        <v>4</v>
      </c>
      <c r="T1668" s="49" t="s">
        <v>248</v>
      </c>
      <c r="U1668"/>
      <c r="V1668" s="153" t="str">
        <f t="array" ref="V1668">INDEX(xlRTCLNAME,MATCH(1,(xlRTCLENDU=1)*(xlRTCLEQCL=$D1668),0))</f>
        <v>DIST_RAD</v>
      </c>
      <c r="W1668" s="153" t="str">
        <f t="array" ref="W1668">INDEX(xlRTCLNAME,MATCH(1,(xlRTCLENDU=2)*(xlRTCLEQCL=$F1668),0))</f>
        <v>CENT_AIR</v>
      </c>
      <c r="X1668" s="153" t="str">
        <f t="array" ref="X1668">INDEX(xlRTTYNAME,MATCH(1,(xlRTTYENDU=1)*(xlRTTYEQCL=$D1668)*(xlRTEQTYPE=$E1668),0))</f>
        <v>DIST_RAD3</v>
      </c>
      <c r="Y1668" s="153" t="str">
        <f t="array" ref="Y1668">INDEX(xlRTTYNAME,MATCH(1,(xlRTTYENDU=2)*(xlRTTYEQCL=$F1668)*(xlRTEQTYPE=$G1668),0))</f>
        <v>CENT_AIR3</v>
      </c>
    </row>
    <row r="1669" spans="1:25" s="157" customFormat="1" ht="14.25" customHeight="1" x14ac:dyDescent="0.2">
      <c r="A1669"/>
      <c r="B1669" s="126">
        <v>1</v>
      </c>
      <c r="C1669" s="126">
        <v>2</v>
      </c>
      <c r="D1669" s="126">
        <v>9</v>
      </c>
      <c r="E1669" s="126">
        <v>30</v>
      </c>
      <c r="F1669" s="126">
        <v>2</v>
      </c>
      <c r="G1669" s="126">
        <v>7</v>
      </c>
      <c r="H1669" s="126">
        <v>2016</v>
      </c>
      <c r="I1669" s="159">
        <v>2022</v>
      </c>
      <c r="J1669" s="127">
        <v>1.0864</v>
      </c>
      <c r="K1669" s="127">
        <v>1.0417000000000001</v>
      </c>
      <c r="L1669" s="127">
        <v>0.90900000000000003</v>
      </c>
      <c r="M1669" s="127">
        <v>1.1455</v>
      </c>
      <c r="N1669" s="127">
        <v>1.1156999999999999</v>
      </c>
      <c r="O1669" s="127">
        <v>1.0538000000000001</v>
      </c>
      <c r="P1669" s="126">
        <v>3526</v>
      </c>
      <c r="Q1669" s="128">
        <f t="array" ref="Q1669">SUM(IF(($S1669&gt;=4)*($C1669='TaxCred&amp;Subs'!$D$123:$D$127)*($H1669='TaxCred&amp;Subs'!$C$123:$C$127)*($H1669&lt;='TaxCred&amp;Subs'!$C$129),'TaxCred&amp;Subs'!$E$123:$E$127,0))</f>
        <v>0</v>
      </c>
      <c r="R1669" s="174">
        <v>0</v>
      </c>
      <c r="S1669" s="126">
        <v>4</v>
      </c>
      <c r="T1669" s="126" t="s">
        <v>248</v>
      </c>
      <c r="U1669"/>
      <c r="V1669" s="153" t="str">
        <f t="array" ref="V1669">INDEX(xlRTCLNAME,MATCH(1,(xlRTCLENDU=1)*(xlRTCLEQCL=$D1669),0))</f>
        <v>WOOD_HT</v>
      </c>
      <c r="W1669" s="153" t="str">
        <f t="array" ref="W1669">INDEX(xlRTCLNAME,MATCH(1,(xlRTCLENDU=2)*(xlRTCLEQCL=$F1669),0))</f>
        <v>CENT_AIR</v>
      </c>
      <c r="X1669" s="153" t="str">
        <f t="array" ref="X1669">INDEX(xlRTTYNAME,MATCH(1,(xlRTTYENDU=1)*(xlRTTYEQCL=$D1669)*(xlRTEQTYPE=$E1669),0))</f>
        <v>WOOD_HT2</v>
      </c>
      <c r="Y1669" s="153" t="str">
        <f t="array" ref="Y1669">INDEX(xlRTTYNAME,MATCH(1,(xlRTTYENDU=2)*(xlRTTYEQCL=$F1669)*(xlRTEQTYPE=$G1669),0))</f>
        <v>CENT_AIR3</v>
      </c>
    </row>
    <row r="1670" spans="1:25" s="157" customFormat="1" ht="14.25" customHeight="1" x14ac:dyDescent="0.2">
      <c r="A1670"/>
      <c r="B1670" s="49">
        <v>1</v>
      </c>
      <c r="C1670" s="49">
        <v>2</v>
      </c>
      <c r="D1670" s="49">
        <v>9</v>
      </c>
      <c r="E1670" s="49">
        <v>30</v>
      </c>
      <c r="F1670" s="49">
        <v>2</v>
      </c>
      <c r="G1670" s="49">
        <v>7</v>
      </c>
      <c r="H1670" s="49">
        <v>2023</v>
      </c>
      <c r="I1670" s="49">
        <v>2032</v>
      </c>
      <c r="J1670" s="50">
        <v>1.0864</v>
      </c>
      <c r="K1670" s="50">
        <v>1.0417000000000001</v>
      </c>
      <c r="L1670" s="50">
        <v>0.90900000000000003</v>
      </c>
      <c r="M1670" s="50">
        <v>1.1455</v>
      </c>
      <c r="N1670" s="50">
        <v>1.1156999999999999</v>
      </c>
      <c r="O1670" s="50">
        <v>1.0538000000000001</v>
      </c>
      <c r="P1670" s="49">
        <v>3526</v>
      </c>
      <c r="Q1670" s="51">
        <f t="array" ref="Q1670">SUM(IF(($S1670&gt;=4)*($C1670='TaxCred&amp;Subs'!$D$123:$D$127)*($H1670='TaxCred&amp;Subs'!$C$123:$C$127)*($H1670&lt;='TaxCred&amp;Subs'!$C$129),'TaxCred&amp;Subs'!$E$123:$E$127,0))</f>
        <v>500</v>
      </c>
      <c r="R1670" s="171">
        <v>0</v>
      </c>
      <c r="S1670" s="49">
        <v>4</v>
      </c>
      <c r="T1670" s="49" t="s">
        <v>248</v>
      </c>
      <c r="U1670"/>
      <c r="V1670" s="153" t="str">
        <f t="array" ref="V1670">INDEX(xlRTCLNAME,MATCH(1,(xlRTCLENDU=1)*(xlRTCLEQCL=$D1670),0))</f>
        <v>WOOD_HT</v>
      </c>
      <c r="W1670" s="153" t="str">
        <f t="array" ref="W1670">INDEX(xlRTCLNAME,MATCH(1,(xlRTCLENDU=2)*(xlRTCLEQCL=$F1670),0))</f>
        <v>CENT_AIR</v>
      </c>
      <c r="X1670" s="153" t="str">
        <f t="array" ref="X1670">INDEX(xlRTTYNAME,MATCH(1,(xlRTTYENDU=1)*(xlRTTYEQCL=$D1670)*(xlRTEQTYPE=$E1670),0))</f>
        <v>WOOD_HT2</v>
      </c>
      <c r="Y1670" s="153" t="str">
        <f t="array" ref="Y1670">INDEX(xlRTTYNAME,MATCH(1,(xlRTTYENDU=2)*(xlRTTYEQCL=$F1670)*(xlRTEQTYPE=$G1670),0))</f>
        <v>CENT_AIR3</v>
      </c>
    </row>
    <row r="1671" spans="1:25" s="157" customFormat="1" ht="14.25" customHeight="1" x14ac:dyDescent="0.2">
      <c r="A1671"/>
      <c r="B1671" s="49">
        <v>1</v>
      </c>
      <c r="C1671" s="49">
        <v>2</v>
      </c>
      <c r="D1671" s="49">
        <v>9</v>
      </c>
      <c r="E1671" s="49">
        <v>30</v>
      </c>
      <c r="F1671" s="49">
        <v>2</v>
      </c>
      <c r="G1671" s="49">
        <v>7</v>
      </c>
      <c r="H1671" s="49">
        <v>2033</v>
      </c>
      <c r="I1671" s="49">
        <v>2050</v>
      </c>
      <c r="J1671" s="50">
        <v>1.0864</v>
      </c>
      <c r="K1671" s="50">
        <v>1.0417000000000001</v>
      </c>
      <c r="L1671" s="50">
        <v>0.90900000000000003</v>
      </c>
      <c r="M1671" s="50">
        <v>1.1455</v>
      </c>
      <c r="N1671" s="50">
        <v>1.1156999999999999</v>
      </c>
      <c r="O1671" s="50">
        <v>1.0538000000000001</v>
      </c>
      <c r="P1671" s="49">
        <v>3526</v>
      </c>
      <c r="Q1671" s="51">
        <f t="array" ref="Q1671">SUM(IF(($S1671&gt;=4)*($C1671='TaxCred&amp;Subs'!$D$123:$D$127)*($H1671='TaxCred&amp;Subs'!$C$123:$C$127)*($H1671&lt;='TaxCred&amp;Subs'!$C$129),'TaxCred&amp;Subs'!$E$123:$E$127,0))</f>
        <v>0</v>
      </c>
      <c r="R1671" s="171">
        <v>0</v>
      </c>
      <c r="S1671" s="49">
        <v>4</v>
      </c>
      <c r="T1671" s="49" t="s">
        <v>248</v>
      </c>
      <c r="U1671"/>
      <c r="V1671" s="153" t="str">
        <f t="array" ref="V1671">INDEX(xlRTCLNAME,MATCH(1,(xlRTCLENDU=1)*(xlRTCLEQCL=$D1671),0))</f>
        <v>WOOD_HT</v>
      </c>
      <c r="W1671" s="153" t="str">
        <f t="array" ref="W1671">INDEX(xlRTCLNAME,MATCH(1,(xlRTCLENDU=2)*(xlRTCLEQCL=$F1671),0))</f>
        <v>CENT_AIR</v>
      </c>
      <c r="X1671" s="153" t="str">
        <f t="array" ref="X1671">INDEX(xlRTTYNAME,MATCH(1,(xlRTTYENDU=1)*(xlRTTYEQCL=$D1671)*(xlRTEQTYPE=$E1671),0))</f>
        <v>WOOD_HT2</v>
      </c>
      <c r="Y1671" s="153" t="str">
        <f t="array" ref="Y1671">INDEX(xlRTTYNAME,MATCH(1,(xlRTTYENDU=2)*(xlRTTYEQCL=$F1671)*(xlRTEQTYPE=$G1671),0))</f>
        <v>CENT_AIR3</v>
      </c>
    </row>
    <row r="1672" spans="1:25" s="157" customFormat="1" ht="14.25" customHeight="1" x14ac:dyDescent="0.2">
      <c r="A1672"/>
      <c r="B1672" s="126">
        <v>2</v>
      </c>
      <c r="C1672" s="126">
        <v>2</v>
      </c>
      <c r="D1672" s="126">
        <v>9</v>
      </c>
      <c r="E1672" s="126">
        <v>30</v>
      </c>
      <c r="F1672" s="126">
        <v>2</v>
      </c>
      <c r="G1672" s="126">
        <v>7</v>
      </c>
      <c r="H1672" s="126">
        <v>2016</v>
      </c>
      <c r="I1672" s="159">
        <v>2022</v>
      </c>
      <c r="J1672" s="127">
        <v>1.0891</v>
      </c>
      <c r="K1672" s="127">
        <v>1.0713999999999999</v>
      </c>
      <c r="L1672" s="127">
        <v>0.97260000000000002</v>
      </c>
      <c r="M1672" s="127">
        <v>1.1625000000000001</v>
      </c>
      <c r="N1672" s="127">
        <v>1.1254999999999999</v>
      </c>
      <c r="O1672" s="127">
        <v>1.0538000000000001</v>
      </c>
      <c r="P1672" s="126">
        <v>2702</v>
      </c>
      <c r="Q1672" s="128">
        <f t="array" ref="Q1672">SUM(IF(($S1672&gt;=4)*($C1672='TaxCred&amp;Subs'!$D$123:$D$127)*($H1672='TaxCred&amp;Subs'!$C$123:$C$127)*($H1672&lt;='TaxCred&amp;Subs'!$C$129),'TaxCred&amp;Subs'!$E$123:$E$127,0))</f>
        <v>0</v>
      </c>
      <c r="R1672" s="174">
        <v>0</v>
      </c>
      <c r="S1672" s="126">
        <v>4</v>
      </c>
      <c r="T1672" s="126" t="s">
        <v>248</v>
      </c>
      <c r="U1672"/>
      <c r="V1672" s="153" t="str">
        <f t="array" ref="V1672">INDEX(xlRTCLNAME,MATCH(1,(xlRTCLENDU=1)*(xlRTCLEQCL=$D1672),0))</f>
        <v>WOOD_HT</v>
      </c>
      <c r="W1672" s="153" t="str">
        <f t="array" ref="W1672">INDEX(xlRTCLNAME,MATCH(1,(xlRTCLENDU=2)*(xlRTCLEQCL=$F1672),0))</f>
        <v>CENT_AIR</v>
      </c>
      <c r="X1672" s="153" t="str">
        <f t="array" ref="X1672">INDEX(xlRTTYNAME,MATCH(1,(xlRTTYENDU=1)*(xlRTTYEQCL=$D1672)*(xlRTEQTYPE=$E1672),0))</f>
        <v>WOOD_HT2</v>
      </c>
      <c r="Y1672" s="153" t="str">
        <f t="array" ref="Y1672">INDEX(xlRTTYNAME,MATCH(1,(xlRTTYENDU=2)*(xlRTTYEQCL=$F1672)*(xlRTEQTYPE=$G1672),0))</f>
        <v>CENT_AIR3</v>
      </c>
    </row>
    <row r="1673" spans="1:25" s="157" customFormat="1" ht="14.25" customHeight="1" x14ac:dyDescent="0.2">
      <c r="A1673"/>
      <c r="B1673" s="49">
        <v>2</v>
      </c>
      <c r="C1673" s="49">
        <v>2</v>
      </c>
      <c r="D1673" s="49">
        <v>9</v>
      </c>
      <c r="E1673" s="49">
        <v>30</v>
      </c>
      <c r="F1673" s="49">
        <v>2</v>
      </c>
      <c r="G1673" s="49">
        <v>7</v>
      </c>
      <c r="H1673" s="49">
        <v>2023</v>
      </c>
      <c r="I1673" s="49">
        <v>2032</v>
      </c>
      <c r="J1673" s="50">
        <v>1.0891</v>
      </c>
      <c r="K1673" s="50">
        <v>1.0713999999999999</v>
      </c>
      <c r="L1673" s="50">
        <v>0.97260000000000002</v>
      </c>
      <c r="M1673" s="50">
        <v>1.1625000000000001</v>
      </c>
      <c r="N1673" s="50">
        <v>1.1254999999999999</v>
      </c>
      <c r="O1673" s="50">
        <v>1.0538000000000001</v>
      </c>
      <c r="P1673" s="49">
        <v>2702</v>
      </c>
      <c r="Q1673" s="51">
        <f t="array" ref="Q1673">SUM(IF(($S1673&gt;=4)*($C1673='TaxCred&amp;Subs'!$D$123:$D$127)*($H1673='TaxCred&amp;Subs'!$C$123:$C$127)*($H1673&lt;='TaxCred&amp;Subs'!$C$129),'TaxCred&amp;Subs'!$E$123:$E$127,0))</f>
        <v>500</v>
      </c>
      <c r="R1673" s="171">
        <v>0</v>
      </c>
      <c r="S1673" s="49">
        <v>4</v>
      </c>
      <c r="T1673" s="49" t="s">
        <v>248</v>
      </c>
      <c r="U1673"/>
      <c r="V1673" s="153" t="str">
        <f t="array" ref="V1673">INDEX(xlRTCLNAME,MATCH(1,(xlRTCLENDU=1)*(xlRTCLEQCL=$D1673),0))</f>
        <v>WOOD_HT</v>
      </c>
      <c r="W1673" s="153" t="str">
        <f t="array" ref="W1673">INDEX(xlRTCLNAME,MATCH(1,(xlRTCLENDU=2)*(xlRTCLEQCL=$F1673),0))</f>
        <v>CENT_AIR</v>
      </c>
      <c r="X1673" s="153" t="str">
        <f t="array" ref="X1673">INDEX(xlRTTYNAME,MATCH(1,(xlRTTYENDU=1)*(xlRTTYEQCL=$D1673)*(xlRTEQTYPE=$E1673),0))</f>
        <v>WOOD_HT2</v>
      </c>
      <c r="Y1673" s="153" t="str">
        <f t="array" ref="Y1673">INDEX(xlRTTYNAME,MATCH(1,(xlRTTYENDU=2)*(xlRTTYEQCL=$F1673)*(xlRTEQTYPE=$G1673),0))</f>
        <v>CENT_AIR3</v>
      </c>
    </row>
    <row r="1674" spans="1:25" s="157" customFormat="1" ht="14.25" customHeight="1" x14ac:dyDescent="0.2">
      <c r="A1674"/>
      <c r="B1674" s="49">
        <v>2</v>
      </c>
      <c r="C1674" s="49">
        <v>2</v>
      </c>
      <c r="D1674" s="49">
        <v>9</v>
      </c>
      <c r="E1674" s="49">
        <v>30</v>
      </c>
      <c r="F1674" s="49">
        <v>2</v>
      </c>
      <c r="G1674" s="49">
        <v>7</v>
      </c>
      <c r="H1674" s="49">
        <v>2033</v>
      </c>
      <c r="I1674" s="49">
        <v>2050</v>
      </c>
      <c r="J1674" s="50">
        <v>1.0891</v>
      </c>
      <c r="K1674" s="50">
        <v>1.0713999999999999</v>
      </c>
      <c r="L1674" s="50">
        <v>0.97260000000000002</v>
      </c>
      <c r="M1674" s="50">
        <v>1.1625000000000001</v>
      </c>
      <c r="N1674" s="50">
        <v>1.1254999999999999</v>
      </c>
      <c r="O1674" s="50">
        <v>1.0538000000000001</v>
      </c>
      <c r="P1674" s="49">
        <v>2702</v>
      </c>
      <c r="Q1674" s="51">
        <f t="array" ref="Q1674">SUM(IF(($S1674&gt;=4)*($C1674='TaxCred&amp;Subs'!$D$123:$D$127)*($H1674='TaxCred&amp;Subs'!$C$123:$C$127)*($H1674&lt;='TaxCred&amp;Subs'!$C$129),'TaxCred&amp;Subs'!$E$123:$E$127,0))</f>
        <v>0</v>
      </c>
      <c r="R1674" s="171">
        <v>0</v>
      </c>
      <c r="S1674" s="49">
        <v>4</v>
      </c>
      <c r="T1674" s="49" t="s">
        <v>248</v>
      </c>
      <c r="U1674"/>
      <c r="V1674" s="153" t="str">
        <f t="array" ref="V1674">INDEX(xlRTCLNAME,MATCH(1,(xlRTCLENDU=1)*(xlRTCLEQCL=$D1674),0))</f>
        <v>WOOD_HT</v>
      </c>
      <c r="W1674" s="153" t="str">
        <f t="array" ref="W1674">INDEX(xlRTCLNAME,MATCH(1,(xlRTCLENDU=2)*(xlRTCLEQCL=$F1674),0))</f>
        <v>CENT_AIR</v>
      </c>
      <c r="X1674" s="153" t="str">
        <f t="array" ref="X1674">INDEX(xlRTTYNAME,MATCH(1,(xlRTTYENDU=1)*(xlRTTYEQCL=$D1674)*(xlRTEQTYPE=$E1674),0))</f>
        <v>WOOD_HT2</v>
      </c>
      <c r="Y1674" s="153" t="str">
        <f t="array" ref="Y1674">INDEX(xlRTTYNAME,MATCH(1,(xlRTTYENDU=2)*(xlRTTYEQCL=$F1674)*(xlRTEQTYPE=$G1674),0))</f>
        <v>CENT_AIR3</v>
      </c>
    </row>
    <row r="1675" spans="1:25" s="157" customFormat="1" ht="14.25" customHeight="1" x14ac:dyDescent="0.2">
      <c r="A1675"/>
      <c r="B1675" s="126">
        <v>3</v>
      </c>
      <c r="C1675" s="126">
        <v>2</v>
      </c>
      <c r="D1675" s="126">
        <v>9</v>
      </c>
      <c r="E1675" s="126">
        <v>30</v>
      </c>
      <c r="F1675" s="126">
        <v>2</v>
      </c>
      <c r="G1675" s="126">
        <v>7</v>
      </c>
      <c r="H1675" s="126">
        <v>2016</v>
      </c>
      <c r="I1675" s="159">
        <v>2022</v>
      </c>
      <c r="J1675" s="127">
        <v>1.0962000000000001</v>
      </c>
      <c r="K1675" s="127">
        <v>1.0345</v>
      </c>
      <c r="L1675" s="127">
        <v>0.81979999999999997</v>
      </c>
      <c r="M1675" s="127">
        <v>1.0828</v>
      </c>
      <c r="N1675" s="127">
        <v>1.0417000000000001</v>
      </c>
      <c r="O1675" s="127">
        <v>1.0538000000000001</v>
      </c>
      <c r="P1675" s="126">
        <v>3003</v>
      </c>
      <c r="Q1675" s="128">
        <f t="array" ref="Q1675">SUM(IF(($S1675&gt;=4)*($C1675='TaxCred&amp;Subs'!$D$123:$D$127)*($H1675='TaxCred&amp;Subs'!$C$123:$C$127)*($H1675&lt;='TaxCred&amp;Subs'!$C$129),'TaxCred&amp;Subs'!$E$123:$E$127,0))</f>
        <v>0</v>
      </c>
      <c r="R1675" s="174">
        <v>0</v>
      </c>
      <c r="S1675" s="126">
        <v>4</v>
      </c>
      <c r="T1675" s="126" t="s">
        <v>248</v>
      </c>
      <c r="U1675"/>
      <c r="V1675" s="153" t="str">
        <f t="array" ref="V1675">INDEX(xlRTCLNAME,MATCH(1,(xlRTCLENDU=1)*(xlRTCLEQCL=$D1675),0))</f>
        <v>WOOD_HT</v>
      </c>
      <c r="W1675" s="153" t="str">
        <f t="array" ref="W1675">INDEX(xlRTCLNAME,MATCH(1,(xlRTCLENDU=2)*(xlRTCLEQCL=$F1675),0))</f>
        <v>CENT_AIR</v>
      </c>
      <c r="X1675" s="153" t="str">
        <f t="array" ref="X1675">INDEX(xlRTTYNAME,MATCH(1,(xlRTTYENDU=1)*(xlRTTYEQCL=$D1675)*(xlRTEQTYPE=$E1675),0))</f>
        <v>WOOD_HT2</v>
      </c>
      <c r="Y1675" s="153" t="str">
        <f t="array" ref="Y1675">INDEX(xlRTTYNAME,MATCH(1,(xlRTTYENDU=2)*(xlRTTYEQCL=$F1675)*(xlRTEQTYPE=$G1675),0))</f>
        <v>CENT_AIR3</v>
      </c>
    </row>
    <row r="1676" spans="1:25" s="157" customFormat="1" ht="14.25" customHeight="1" x14ac:dyDescent="0.2">
      <c r="A1676"/>
      <c r="B1676" s="49">
        <v>3</v>
      </c>
      <c r="C1676" s="49">
        <v>2</v>
      </c>
      <c r="D1676" s="49">
        <v>9</v>
      </c>
      <c r="E1676" s="49">
        <v>30</v>
      </c>
      <c r="F1676" s="49">
        <v>2</v>
      </c>
      <c r="G1676" s="49">
        <v>7</v>
      </c>
      <c r="H1676" s="49">
        <v>2023</v>
      </c>
      <c r="I1676" s="49">
        <v>2032</v>
      </c>
      <c r="J1676" s="50">
        <v>1.0962000000000001</v>
      </c>
      <c r="K1676" s="50">
        <v>1.0345</v>
      </c>
      <c r="L1676" s="50">
        <v>0.81979999999999997</v>
      </c>
      <c r="M1676" s="50">
        <v>1.0828</v>
      </c>
      <c r="N1676" s="50">
        <v>1.0417000000000001</v>
      </c>
      <c r="O1676" s="50">
        <v>1.0538000000000001</v>
      </c>
      <c r="P1676" s="49">
        <v>3003</v>
      </c>
      <c r="Q1676" s="51">
        <f t="array" ref="Q1676">SUM(IF(($S1676&gt;=4)*($C1676='TaxCred&amp;Subs'!$D$123:$D$127)*($H1676='TaxCred&amp;Subs'!$C$123:$C$127)*($H1676&lt;='TaxCred&amp;Subs'!$C$129),'TaxCred&amp;Subs'!$E$123:$E$127,0))</f>
        <v>500</v>
      </c>
      <c r="R1676" s="171">
        <v>0</v>
      </c>
      <c r="S1676" s="49">
        <v>4</v>
      </c>
      <c r="T1676" s="49" t="s">
        <v>248</v>
      </c>
      <c r="U1676"/>
      <c r="V1676" s="153" t="str">
        <f t="array" ref="V1676">INDEX(xlRTCLNAME,MATCH(1,(xlRTCLENDU=1)*(xlRTCLEQCL=$D1676),0))</f>
        <v>WOOD_HT</v>
      </c>
      <c r="W1676" s="153" t="str">
        <f t="array" ref="W1676">INDEX(xlRTCLNAME,MATCH(1,(xlRTCLENDU=2)*(xlRTCLEQCL=$F1676),0))</f>
        <v>CENT_AIR</v>
      </c>
      <c r="X1676" s="153" t="str">
        <f t="array" ref="X1676">INDEX(xlRTTYNAME,MATCH(1,(xlRTTYENDU=1)*(xlRTTYEQCL=$D1676)*(xlRTEQTYPE=$E1676),0))</f>
        <v>WOOD_HT2</v>
      </c>
      <c r="Y1676" s="153" t="str">
        <f t="array" ref="Y1676">INDEX(xlRTTYNAME,MATCH(1,(xlRTTYENDU=2)*(xlRTTYEQCL=$F1676)*(xlRTEQTYPE=$G1676),0))</f>
        <v>CENT_AIR3</v>
      </c>
    </row>
    <row r="1677" spans="1:25" s="157" customFormat="1" ht="14.25" customHeight="1" x14ac:dyDescent="0.2">
      <c r="A1677"/>
      <c r="B1677" s="49">
        <v>3</v>
      </c>
      <c r="C1677" s="49">
        <v>2</v>
      </c>
      <c r="D1677" s="49">
        <v>9</v>
      </c>
      <c r="E1677" s="49">
        <v>30</v>
      </c>
      <c r="F1677" s="49">
        <v>2</v>
      </c>
      <c r="G1677" s="49">
        <v>7</v>
      </c>
      <c r="H1677" s="49">
        <v>2033</v>
      </c>
      <c r="I1677" s="49">
        <v>2050</v>
      </c>
      <c r="J1677" s="50">
        <v>1.0962000000000001</v>
      </c>
      <c r="K1677" s="50">
        <v>1.0345</v>
      </c>
      <c r="L1677" s="50">
        <v>0.81979999999999997</v>
      </c>
      <c r="M1677" s="50">
        <v>1.0828</v>
      </c>
      <c r="N1677" s="50">
        <v>1.0417000000000001</v>
      </c>
      <c r="O1677" s="50">
        <v>1.0538000000000001</v>
      </c>
      <c r="P1677" s="49">
        <v>3003</v>
      </c>
      <c r="Q1677" s="51">
        <f t="array" ref="Q1677">SUM(IF(($S1677&gt;=4)*($C1677='TaxCred&amp;Subs'!$D$123:$D$127)*($H1677='TaxCred&amp;Subs'!$C$123:$C$127)*($H1677&lt;='TaxCred&amp;Subs'!$C$129),'TaxCred&amp;Subs'!$E$123:$E$127,0))</f>
        <v>0</v>
      </c>
      <c r="R1677" s="171">
        <v>0</v>
      </c>
      <c r="S1677" s="49">
        <v>4</v>
      </c>
      <c r="T1677" s="49" t="s">
        <v>248</v>
      </c>
      <c r="U1677"/>
      <c r="V1677" s="153" t="str">
        <f t="array" ref="V1677">INDEX(xlRTCLNAME,MATCH(1,(xlRTCLENDU=1)*(xlRTCLEQCL=$D1677),0))</f>
        <v>WOOD_HT</v>
      </c>
      <c r="W1677" s="153" t="str">
        <f t="array" ref="W1677">INDEX(xlRTCLNAME,MATCH(1,(xlRTCLENDU=2)*(xlRTCLEQCL=$F1677),0))</f>
        <v>CENT_AIR</v>
      </c>
      <c r="X1677" s="153" t="str">
        <f t="array" ref="X1677">INDEX(xlRTTYNAME,MATCH(1,(xlRTTYENDU=1)*(xlRTTYEQCL=$D1677)*(xlRTEQTYPE=$E1677),0))</f>
        <v>WOOD_HT2</v>
      </c>
      <c r="Y1677" s="153" t="str">
        <f t="array" ref="Y1677">INDEX(xlRTTYNAME,MATCH(1,(xlRTTYENDU=2)*(xlRTTYEQCL=$F1677)*(xlRTEQTYPE=$G1677),0))</f>
        <v>CENT_AIR3</v>
      </c>
    </row>
    <row r="1678" spans="1:25" s="157" customFormat="1" ht="14.25" customHeight="1" x14ac:dyDescent="0.2">
      <c r="A1678"/>
      <c r="B1678" s="126">
        <v>4</v>
      </c>
      <c r="C1678" s="126">
        <v>2</v>
      </c>
      <c r="D1678" s="126">
        <v>9</v>
      </c>
      <c r="E1678" s="126">
        <v>30</v>
      </c>
      <c r="F1678" s="126">
        <v>2</v>
      </c>
      <c r="G1678" s="126">
        <v>7</v>
      </c>
      <c r="H1678" s="126">
        <v>2016</v>
      </c>
      <c r="I1678" s="159">
        <v>2022</v>
      </c>
      <c r="J1678" s="127">
        <v>1.1024</v>
      </c>
      <c r="K1678" s="127">
        <v>1.0435000000000001</v>
      </c>
      <c r="L1678" s="127">
        <v>0.99209999999999998</v>
      </c>
      <c r="M1678" s="127">
        <v>1.1499999999999999</v>
      </c>
      <c r="N1678" s="127">
        <v>1.1678999999999999</v>
      </c>
      <c r="O1678" s="127">
        <v>1.0538000000000001</v>
      </c>
      <c r="P1678" s="126">
        <v>2369</v>
      </c>
      <c r="Q1678" s="128">
        <f t="array" ref="Q1678">SUM(IF(($S1678&gt;=4)*($C1678='TaxCred&amp;Subs'!$D$123:$D$127)*($H1678='TaxCred&amp;Subs'!$C$123:$C$127)*($H1678&lt;='TaxCred&amp;Subs'!$C$129),'TaxCred&amp;Subs'!$E$123:$E$127,0))</f>
        <v>0</v>
      </c>
      <c r="R1678" s="174">
        <v>0</v>
      </c>
      <c r="S1678" s="126">
        <v>4</v>
      </c>
      <c r="T1678" s="126" t="s">
        <v>248</v>
      </c>
      <c r="U1678"/>
      <c r="V1678" s="153" t="str">
        <f t="array" ref="V1678">INDEX(xlRTCLNAME,MATCH(1,(xlRTCLENDU=1)*(xlRTCLEQCL=$D1678),0))</f>
        <v>WOOD_HT</v>
      </c>
      <c r="W1678" s="153" t="str">
        <f t="array" ref="W1678">INDEX(xlRTCLNAME,MATCH(1,(xlRTCLENDU=2)*(xlRTCLEQCL=$F1678),0))</f>
        <v>CENT_AIR</v>
      </c>
      <c r="X1678" s="153" t="str">
        <f t="array" ref="X1678">INDEX(xlRTTYNAME,MATCH(1,(xlRTTYENDU=1)*(xlRTTYEQCL=$D1678)*(xlRTEQTYPE=$E1678),0))</f>
        <v>WOOD_HT2</v>
      </c>
      <c r="Y1678" s="153" t="str">
        <f t="array" ref="Y1678">INDEX(xlRTTYNAME,MATCH(1,(xlRTTYENDU=2)*(xlRTTYEQCL=$F1678)*(xlRTEQTYPE=$G1678),0))</f>
        <v>CENT_AIR3</v>
      </c>
    </row>
    <row r="1679" spans="1:25" s="157" customFormat="1" ht="14.25" customHeight="1" x14ac:dyDescent="0.2">
      <c r="A1679"/>
      <c r="B1679" s="49">
        <v>4</v>
      </c>
      <c r="C1679" s="49">
        <v>2</v>
      </c>
      <c r="D1679" s="49">
        <v>9</v>
      </c>
      <c r="E1679" s="49">
        <v>30</v>
      </c>
      <c r="F1679" s="49">
        <v>2</v>
      </c>
      <c r="G1679" s="49">
        <v>7</v>
      </c>
      <c r="H1679" s="49">
        <v>2023</v>
      </c>
      <c r="I1679" s="49">
        <v>2032</v>
      </c>
      <c r="J1679" s="50">
        <v>1.1024</v>
      </c>
      <c r="K1679" s="50">
        <v>1.0435000000000001</v>
      </c>
      <c r="L1679" s="50">
        <v>0.99209999999999998</v>
      </c>
      <c r="M1679" s="50">
        <v>1.1499999999999999</v>
      </c>
      <c r="N1679" s="50">
        <v>1.1678999999999999</v>
      </c>
      <c r="O1679" s="50">
        <v>1.0538000000000001</v>
      </c>
      <c r="P1679" s="49">
        <v>2369</v>
      </c>
      <c r="Q1679" s="51">
        <f t="array" ref="Q1679">SUM(IF(($S1679&gt;=4)*($C1679='TaxCred&amp;Subs'!$D$123:$D$127)*($H1679='TaxCred&amp;Subs'!$C$123:$C$127)*($H1679&lt;='TaxCred&amp;Subs'!$C$129),'TaxCred&amp;Subs'!$E$123:$E$127,0))</f>
        <v>500</v>
      </c>
      <c r="R1679" s="171">
        <v>0</v>
      </c>
      <c r="S1679" s="49">
        <v>4</v>
      </c>
      <c r="T1679" s="49" t="s">
        <v>248</v>
      </c>
      <c r="U1679"/>
      <c r="V1679" s="153" t="str">
        <f t="array" ref="V1679">INDEX(xlRTCLNAME,MATCH(1,(xlRTCLENDU=1)*(xlRTCLEQCL=$D1679),0))</f>
        <v>WOOD_HT</v>
      </c>
      <c r="W1679" s="153" t="str">
        <f t="array" ref="W1679">INDEX(xlRTCLNAME,MATCH(1,(xlRTCLENDU=2)*(xlRTCLEQCL=$F1679),0))</f>
        <v>CENT_AIR</v>
      </c>
      <c r="X1679" s="153" t="str">
        <f t="array" ref="X1679">INDEX(xlRTTYNAME,MATCH(1,(xlRTTYENDU=1)*(xlRTTYEQCL=$D1679)*(xlRTEQTYPE=$E1679),0))</f>
        <v>WOOD_HT2</v>
      </c>
      <c r="Y1679" s="153" t="str">
        <f t="array" ref="Y1679">INDEX(xlRTTYNAME,MATCH(1,(xlRTTYENDU=2)*(xlRTTYEQCL=$F1679)*(xlRTEQTYPE=$G1679),0))</f>
        <v>CENT_AIR3</v>
      </c>
    </row>
    <row r="1680" spans="1:25" s="157" customFormat="1" ht="14.25" customHeight="1" x14ac:dyDescent="0.2">
      <c r="A1680"/>
      <c r="B1680" s="49">
        <v>4</v>
      </c>
      <c r="C1680" s="49">
        <v>2</v>
      </c>
      <c r="D1680" s="49">
        <v>9</v>
      </c>
      <c r="E1680" s="49">
        <v>30</v>
      </c>
      <c r="F1680" s="49">
        <v>2</v>
      </c>
      <c r="G1680" s="49">
        <v>7</v>
      </c>
      <c r="H1680" s="49">
        <v>2033</v>
      </c>
      <c r="I1680" s="49">
        <v>2050</v>
      </c>
      <c r="J1680" s="50">
        <v>1.1024</v>
      </c>
      <c r="K1680" s="50">
        <v>1.0435000000000001</v>
      </c>
      <c r="L1680" s="50">
        <v>0.99209999999999998</v>
      </c>
      <c r="M1680" s="50">
        <v>1.1499999999999999</v>
      </c>
      <c r="N1680" s="50">
        <v>1.1678999999999999</v>
      </c>
      <c r="O1680" s="50">
        <v>1.0538000000000001</v>
      </c>
      <c r="P1680" s="49">
        <v>2369</v>
      </c>
      <c r="Q1680" s="51">
        <f t="array" ref="Q1680">SUM(IF(($S1680&gt;=4)*($C1680='TaxCred&amp;Subs'!$D$123:$D$127)*($H1680='TaxCred&amp;Subs'!$C$123:$C$127)*($H1680&lt;='TaxCred&amp;Subs'!$C$129),'TaxCred&amp;Subs'!$E$123:$E$127,0))</f>
        <v>0</v>
      </c>
      <c r="R1680" s="171">
        <v>0</v>
      </c>
      <c r="S1680" s="49">
        <v>4</v>
      </c>
      <c r="T1680" s="49" t="s">
        <v>248</v>
      </c>
      <c r="U1680"/>
      <c r="V1680" s="153" t="str">
        <f t="array" ref="V1680">INDEX(xlRTCLNAME,MATCH(1,(xlRTCLENDU=1)*(xlRTCLEQCL=$D1680),0))</f>
        <v>WOOD_HT</v>
      </c>
      <c r="W1680" s="153" t="str">
        <f t="array" ref="W1680">INDEX(xlRTCLNAME,MATCH(1,(xlRTCLENDU=2)*(xlRTCLEQCL=$F1680),0))</f>
        <v>CENT_AIR</v>
      </c>
      <c r="X1680" s="153" t="str">
        <f t="array" ref="X1680">INDEX(xlRTTYNAME,MATCH(1,(xlRTTYENDU=1)*(xlRTTYEQCL=$D1680)*(xlRTEQTYPE=$E1680),0))</f>
        <v>WOOD_HT2</v>
      </c>
      <c r="Y1680" s="153" t="str">
        <f t="array" ref="Y1680">INDEX(xlRTTYNAME,MATCH(1,(xlRTTYENDU=2)*(xlRTTYEQCL=$F1680)*(xlRTEQTYPE=$G1680),0))</f>
        <v>CENT_AIR3</v>
      </c>
    </row>
    <row r="1681" spans="1:25" s="157" customFormat="1" ht="14.25" customHeight="1" x14ac:dyDescent="0.2">
      <c r="A1681"/>
      <c r="B1681" s="126">
        <v>5</v>
      </c>
      <c r="C1681" s="126">
        <v>2</v>
      </c>
      <c r="D1681" s="126">
        <v>9</v>
      </c>
      <c r="E1681" s="126">
        <v>30</v>
      </c>
      <c r="F1681" s="126">
        <v>2</v>
      </c>
      <c r="G1681" s="126">
        <v>7</v>
      </c>
      <c r="H1681" s="126">
        <v>2016</v>
      </c>
      <c r="I1681" s="159">
        <v>2022</v>
      </c>
      <c r="J1681" s="127">
        <v>1.03</v>
      </c>
      <c r="K1681" s="127">
        <v>1.03</v>
      </c>
      <c r="L1681" s="127">
        <v>0.44379999999999997</v>
      </c>
      <c r="M1681" s="127">
        <v>1.0509999999999999</v>
      </c>
      <c r="N1681" s="127">
        <v>1.3003</v>
      </c>
      <c r="O1681" s="127">
        <v>1.0538000000000001</v>
      </c>
      <c r="P1681" s="126">
        <v>2185</v>
      </c>
      <c r="Q1681" s="128">
        <f t="array" ref="Q1681">SUM(IF(($S1681&gt;=4)*($C1681='TaxCred&amp;Subs'!$D$123:$D$127)*($H1681='TaxCred&amp;Subs'!$C$123:$C$127)*($H1681&lt;='TaxCred&amp;Subs'!$C$129),'TaxCred&amp;Subs'!$E$123:$E$127,0))</f>
        <v>0</v>
      </c>
      <c r="R1681" s="174">
        <v>0</v>
      </c>
      <c r="S1681" s="126">
        <v>4</v>
      </c>
      <c r="T1681" s="126" t="s">
        <v>248</v>
      </c>
      <c r="U1681"/>
      <c r="V1681" s="153" t="str">
        <f t="array" ref="V1681">INDEX(xlRTCLNAME,MATCH(1,(xlRTCLENDU=1)*(xlRTCLEQCL=$D1681),0))</f>
        <v>WOOD_HT</v>
      </c>
      <c r="W1681" s="153" t="str">
        <f t="array" ref="W1681">INDEX(xlRTCLNAME,MATCH(1,(xlRTCLENDU=2)*(xlRTCLEQCL=$F1681),0))</f>
        <v>CENT_AIR</v>
      </c>
      <c r="X1681" s="153" t="str">
        <f t="array" ref="X1681">INDEX(xlRTTYNAME,MATCH(1,(xlRTTYENDU=1)*(xlRTTYEQCL=$D1681)*(xlRTEQTYPE=$E1681),0))</f>
        <v>WOOD_HT2</v>
      </c>
      <c r="Y1681" s="153" t="str">
        <f t="array" ref="Y1681">INDEX(xlRTTYNAME,MATCH(1,(xlRTTYENDU=2)*(xlRTTYEQCL=$F1681)*(xlRTEQTYPE=$G1681),0))</f>
        <v>CENT_AIR3</v>
      </c>
    </row>
    <row r="1682" spans="1:25" s="157" customFormat="1" ht="14.25" customHeight="1" x14ac:dyDescent="0.2">
      <c r="A1682"/>
      <c r="B1682" s="49">
        <v>5</v>
      </c>
      <c r="C1682" s="49">
        <v>2</v>
      </c>
      <c r="D1682" s="49">
        <v>9</v>
      </c>
      <c r="E1682" s="49">
        <v>30</v>
      </c>
      <c r="F1682" s="49">
        <v>2</v>
      </c>
      <c r="G1682" s="49">
        <v>7</v>
      </c>
      <c r="H1682" s="49">
        <v>2023</v>
      </c>
      <c r="I1682" s="49">
        <v>2032</v>
      </c>
      <c r="J1682" s="50">
        <v>1.03</v>
      </c>
      <c r="K1682" s="50">
        <v>1.03</v>
      </c>
      <c r="L1682" s="50">
        <v>0.44379999999999997</v>
      </c>
      <c r="M1682" s="50">
        <v>1.0509999999999999</v>
      </c>
      <c r="N1682" s="50">
        <v>1.3003</v>
      </c>
      <c r="O1682" s="50">
        <v>1.0538000000000001</v>
      </c>
      <c r="P1682" s="49">
        <v>2185</v>
      </c>
      <c r="Q1682" s="51">
        <f t="array" ref="Q1682">SUM(IF(($S1682&gt;=4)*($C1682='TaxCred&amp;Subs'!$D$123:$D$127)*($H1682='TaxCred&amp;Subs'!$C$123:$C$127)*($H1682&lt;='TaxCred&amp;Subs'!$C$129),'TaxCred&amp;Subs'!$E$123:$E$127,0))</f>
        <v>500</v>
      </c>
      <c r="R1682" s="171">
        <v>0</v>
      </c>
      <c r="S1682" s="49">
        <v>4</v>
      </c>
      <c r="T1682" s="49" t="s">
        <v>248</v>
      </c>
      <c r="U1682"/>
      <c r="V1682" s="153" t="str">
        <f t="array" ref="V1682">INDEX(xlRTCLNAME,MATCH(1,(xlRTCLENDU=1)*(xlRTCLEQCL=$D1682),0))</f>
        <v>WOOD_HT</v>
      </c>
      <c r="W1682" s="153" t="str">
        <f t="array" ref="W1682">INDEX(xlRTCLNAME,MATCH(1,(xlRTCLENDU=2)*(xlRTCLEQCL=$F1682),0))</f>
        <v>CENT_AIR</v>
      </c>
      <c r="X1682" s="153" t="str">
        <f t="array" ref="X1682">INDEX(xlRTTYNAME,MATCH(1,(xlRTTYENDU=1)*(xlRTTYEQCL=$D1682)*(xlRTEQTYPE=$E1682),0))</f>
        <v>WOOD_HT2</v>
      </c>
      <c r="Y1682" s="153" t="str">
        <f t="array" ref="Y1682">INDEX(xlRTTYNAME,MATCH(1,(xlRTTYENDU=2)*(xlRTTYEQCL=$F1682)*(xlRTEQTYPE=$G1682),0))</f>
        <v>CENT_AIR3</v>
      </c>
    </row>
    <row r="1683" spans="1:25" s="157" customFormat="1" ht="14.25" customHeight="1" x14ac:dyDescent="0.2">
      <c r="A1683"/>
      <c r="B1683" s="49">
        <v>5</v>
      </c>
      <c r="C1683" s="49">
        <v>2</v>
      </c>
      <c r="D1683" s="49">
        <v>9</v>
      </c>
      <c r="E1683" s="49">
        <v>30</v>
      </c>
      <c r="F1683" s="49">
        <v>2</v>
      </c>
      <c r="G1683" s="49">
        <v>7</v>
      </c>
      <c r="H1683" s="49">
        <v>2033</v>
      </c>
      <c r="I1683" s="49">
        <v>2050</v>
      </c>
      <c r="J1683" s="50">
        <v>1.03</v>
      </c>
      <c r="K1683" s="50">
        <v>1.03</v>
      </c>
      <c r="L1683" s="50">
        <v>0.44379999999999997</v>
      </c>
      <c r="M1683" s="50">
        <v>1.0509999999999999</v>
      </c>
      <c r="N1683" s="50">
        <v>1.3003</v>
      </c>
      <c r="O1683" s="50">
        <v>1.0538000000000001</v>
      </c>
      <c r="P1683" s="49">
        <v>2185</v>
      </c>
      <c r="Q1683" s="51">
        <f t="array" ref="Q1683">SUM(IF(($S1683&gt;=4)*($C1683='TaxCred&amp;Subs'!$D$123:$D$127)*($H1683='TaxCred&amp;Subs'!$C$123:$C$127)*($H1683&lt;='TaxCred&amp;Subs'!$C$129),'TaxCred&amp;Subs'!$E$123:$E$127,0))</f>
        <v>0</v>
      </c>
      <c r="R1683" s="171">
        <v>0</v>
      </c>
      <c r="S1683" s="49">
        <v>4</v>
      </c>
      <c r="T1683" s="49" t="s">
        <v>248</v>
      </c>
      <c r="U1683"/>
      <c r="V1683" s="153" t="str">
        <f t="array" ref="V1683">INDEX(xlRTCLNAME,MATCH(1,(xlRTCLENDU=1)*(xlRTCLEQCL=$D1683),0))</f>
        <v>WOOD_HT</v>
      </c>
      <c r="W1683" s="153" t="str">
        <f t="array" ref="W1683">INDEX(xlRTCLNAME,MATCH(1,(xlRTCLENDU=2)*(xlRTCLEQCL=$F1683),0))</f>
        <v>CENT_AIR</v>
      </c>
      <c r="X1683" s="153" t="str">
        <f t="array" ref="X1683">INDEX(xlRTTYNAME,MATCH(1,(xlRTTYENDU=1)*(xlRTTYEQCL=$D1683)*(xlRTEQTYPE=$E1683),0))</f>
        <v>WOOD_HT2</v>
      </c>
      <c r="Y1683" s="153" t="str">
        <f t="array" ref="Y1683">INDEX(xlRTTYNAME,MATCH(1,(xlRTTYENDU=2)*(xlRTTYEQCL=$F1683)*(xlRTEQTYPE=$G1683),0))</f>
        <v>CENT_AIR3</v>
      </c>
    </row>
    <row r="1684" spans="1:25" s="157" customFormat="1" ht="14.25" customHeight="1" x14ac:dyDescent="0.2">
      <c r="A1684"/>
      <c r="B1684" s="126">
        <v>6</v>
      </c>
      <c r="C1684" s="126">
        <v>2</v>
      </c>
      <c r="D1684" s="126">
        <v>9</v>
      </c>
      <c r="E1684" s="126">
        <v>30</v>
      </c>
      <c r="F1684" s="126">
        <v>2</v>
      </c>
      <c r="G1684" s="126">
        <v>7</v>
      </c>
      <c r="H1684" s="126">
        <v>2016</v>
      </c>
      <c r="I1684" s="159">
        <v>2022</v>
      </c>
      <c r="J1684" s="127">
        <v>1.1200000000000001</v>
      </c>
      <c r="K1684" s="127">
        <v>1.0417000000000001</v>
      </c>
      <c r="L1684" s="127">
        <v>1.1437999999999999</v>
      </c>
      <c r="M1684" s="127">
        <v>1.1228</v>
      </c>
      <c r="N1684" s="127">
        <v>1.3656999999999999</v>
      </c>
      <c r="O1684" s="127">
        <v>1.0538000000000001</v>
      </c>
      <c r="P1684" s="126">
        <v>2252</v>
      </c>
      <c r="Q1684" s="128">
        <f t="array" ref="Q1684">SUM(IF(($S1684&gt;=4)*($C1684='TaxCred&amp;Subs'!$D$123:$D$127)*($H1684='TaxCred&amp;Subs'!$C$123:$C$127)*($H1684&lt;='TaxCred&amp;Subs'!$C$129),'TaxCred&amp;Subs'!$E$123:$E$127,0))</f>
        <v>0</v>
      </c>
      <c r="R1684" s="174">
        <v>0</v>
      </c>
      <c r="S1684" s="126">
        <v>4</v>
      </c>
      <c r="T1684" s="126" t="s">
        <v>248</v>
      </c>
      <c r="U1684"/>
      <c r="V1684" s="153" t="str">
        <f t="array" ref="V1684">INDEX(xlRTCLNAME,MATCH(1,(xlRTCLENDU=1)*(xlRTCLEQCL=$D1684),0))</f>
        <v>WOOD_HT</v>
      </c>
      <c r="W1684" s="153" t="str">
        <f t="array" ref="W1684">INDEX(xlRTCLNAME,MATCH(1,(xlRTCLENDU=2)*(xlRTCLEQCL=$F1684),0))</f>
        <v>CENT_AIR</v>
      </c>
      <c r="X1684" s="153" t="str">
        <f t="array" ref="X1684">INDEX(xlRTTYNAME,MATCH(1,(xlRTTYENDU=1)*(xlRTTYEQCL=$D1684)*(xlRTEQTYPE=$E1684),0))</f>
        <v>WOOD_HT2</v>
      </c>
      <c r="Y1684" s="153" t="str">
        <f t="array" ref="Y1684">INDEX(xlRTTYNAME,MATCH(1,(xlRTTYENDU=2)*(xlRTTYEQCL=$F1684)*(xlRTEQTYPE=$G1684),0))</f>
        <v>CENT_AIR3</v>
      </c>
    </row>
    <row r="1685" spans="1:25" s="157" customFormat="1" ht="14.25" customHeight="1" x14ac:dyDescent="0.2">
      <c r="A1685"/>
      <c r="B1685" s="49">
        <v>6</v>
      </c>
      <c r="C1685" s="49">
        <v>2</v>
      </c>
      <c r="D1685" s="49">
        <v>9</v>
      </c>
      <c r="E1685" s="49">
        <v>30</v>
      </c>
      <c r="F1685" s="49">
        <v>2</v>
      </c>
      <c r="G1685" s="49">
        <v>7</v>
      </c>
      <c r="H1685" s="49">
        <v>2023</v>
      </c>
      <c r="I1685" s="49">
        <v>2032</v>
      </c>
      <c r="J1685" s="50">
        <v>1.1200000000000001</v>
      </c>
      <c r="K1685" s="50">
        <v>1.0417000000000001</v>
      </c>
      <c r="L1685" s="50">
        <v>1.1437999999999999</v>
      </c>
      <c r="M1685" s="50">
        <v>1.1228</v>
      </c>
      <c r="N1685" s="50">
        <v>1.3656999999999999</v>
      </c>
      <c r="O1685" s="50">
        <v>1.0538000000000001</v>
      </c>
      <c r="P1685" s="49">
        <v>2252</v>
      </c>
      <c r="Q1685" s="51">
        <f t="array" ref="Q1685">SUM(IF(($S1685&gt;=4)*($C1685='TaxCred&amp;Subs'!$D$123:$D$127)*($H1685='TaxCred&amp;Subs'!$C$123:$C$127)*($H1685&lt;='TaxCred&amp;Subs'!$C$129),'TaxCred&amp;Subs'!$E$123:$E$127,0))</f>
        <v>500</v>
      </c>
      <c r="R1685" s="171">
        <v>0</v>
      </c>
      <c r="S1685" s="49">
        <v>4</v>
      </c>
      <c r="T1685" s="49" t="s">
        <v>248</v>
      </c>
      <c r="U1685"/>
      <c r="V1685" s="153" t="str">
        <f t="array" ref="V1685">INDEX(xlRTCLNAME,MATCH(1,(xlRTCLENDU=1)*(xlRTCLEQCL=$D1685),0))</f>
        <v>WOOD_HT</v>
      </c>
      <c r="W1685" s="153" t="str">
        <f t="array" ref="W1685">INDEX(xlRTCLNAME,MATCH(1,(xlRTCLENDU=2)*(xlRTCLEQCL=$F1685),0))</f>
        <v>CENT_AIR</v>
      </c>
      <c r="X1685" s="153" t="str">
        <f t="array" ref="X1685">INDEX(xlRTTYNAME,MATCH(1,(xlRTTYENDU=1)*(xlRTTYEQCL=$D1685)*(xlRTEQTYPE=$E1685),0))</f>
        <v>WOOD_HT2</v>
      </c>
      <c r="Y1685" s="153" t="str">
        <f t="array" ref="Y1685">INDEX(xlRTTYNAME,MATCH(1,(xlRTTYENDU=2)*(xlRTTYEQCL=$F1685)*(xlRTEQTYPE=$G1685),0))</f>
        <v>CENT_AIR3</v>
      </c>
    </row>
    <row r="1686" spans="1:25" s="157" customFormat="1" ht="14.25" customHeight="1" x14ac:dyDescent="0.2">
      <c r="A1686"/>
      <c r="B1686" s="49">
        <v>6</v>
      </c>
      <c r="C1686" s="49">
        <v>2</v>
      </c>
      <c r="D1686" s="49">
        <v>9</v>
      </c>
      <c r="E1686" s="49">
        <v>30</v>
      </c>
      <c r="F1686" s="49">
        <v>2</v>
      </c>
      <c r="G1686" s="49">
        <v>7</v>
      </c>
      <c r="H1686" s="49">
        <v>2033</v>
      </c>
      <c r="I1686" s="49">
        <v>2050</v>
      </c>
      <c r="J1686" s="50">
        <v>1.1200000000000001</v>
      </c>
      <c r="K1686" s="50">
        <v>1.0417000000000001</v>
      </c>
      <c r="L1686" s="50">
        <v>1.1437999999999999</v>
      </c>
      <c r="M1686" s="50">
        <v>1.1228</v>
      </c>
      <c r="N1686" s="50">
        <v>1.3656999999999999</v>
      </c>
      <c r="O1686" s="50">
        <v>1.0538000000000001</v>
      </c>
      <c r="P1686" s="49">
        <v>2252</v>
      </c>
      <c r="Q1686" s="51">
        <f t="array" ref="Q1686">SUM(IF(($S1686&gt;=4)*($C1686='TaxCred&amp;Subs'!$D$123:$D$127)*($H1686='TaxCred&amp;Subs'!$C$123:$C$127)*($H1686&lt;='TaxCred&amp;Subs'!$C$129),'TaxCred&amp;Subs'!$E$123:$E$127,0))</f>
        <v>0</v>
      </c>
      <c r="R1686" s="171">
        <v>0</v>
      </c>
      <c r="S1686" s="49">
        <v>4</v>
      </c>
      <c r="T1686" s="49" t="s">
        <v>248</v>
      </c>
      <c r="U1686"/>
      <c r="V1686" s="153" t="str">
        <f t="array" ref="V1686">INDEX(xlRTCLNAME,MATCH(1,(xlRTCLENDU=1)*(xlRTCLEQCL=$D1686),0))</f>
        <v>WOOD_HT</v>
      </c>
      <c r="W1686" s="153" t="str">
        <f t="array" ref="W1686">INDEX(xlRTCLNAME,MATCH(1,(xlRTCLENDU=2)*(xlRTCLEQCL=$F1686),0))</f>
        <v>CENT_AIR</v>
      </c>
      <c r="X1686" s="153" t="str">
        <f t="array" ref="X1686">INDEX(xlRTTYNAME,MATCH(1,(xlRTTYENDU=1)*(xlRTTYEQCL=$D1686)*(xlRTEQTYPE=$E1686),0))</f>
        <v>WOOD_HT2</v>
      </c>
      <c r="Y1686" s="153" t="str">
        <f t="array" ref="Y1686">INDEX(xlRTTYNAME,MATCH(1,(xlRTTYENDU=2)*(xlRTTYEQCL=$F1686)*(xlRTEQTYPE=$G1686),0))</f>
        <v>CENT_AIR3</v>
      </c>
    </row>
    <row r="1687" spans="1:25" s="157" customFormat="1" ht="14.25" customHeight="1" x14ac:dyDescent="0.2">
      <c r="A1687"/>
      <c r="B1687" s="126">
        <v>7</v>
      </c>
      <c r="C1687" s="126">
        <v>2</v>
      </c>
      <c r="D1687" s="126">
        <v>9</v>
      </c>
      <c r="E1687" s="126">
        <v>30</v>
      </c>
      <c r="F1687" s="126">
        <v>2</v>
      </c>
      <c r="G1687" s="126">
        <v>7</v>
      </c>
      <c r="H1687" s="126">
        <v>2016</v>
      </c>
      <c r="I1687" s="159">
        <v>2022</v>
      </c>
      <c r="J1687" s="127">
        <v>1.1200000000000001</v>
      </c>
      <c r="K1687" s="127">
        <v>1.0462</v>
      </c>
      <c r="L1687" s="127">
        <v>0.64380000000000004</v>
      </c>
      <c r="M1687" s="127">
        <v>1.1173</v>
      </c>
      <c r="N1687" s="127">
        <v>1.4438</v>
      </c>
      <c r="O1687" s="127">
        <v>1.0538000000000001</v>
      </c>
      <c r="P1687" s="126">
        <v>2176</v>
      </c>
      <c r="Q1687" s="128">
        <f t="array" ref="Q1687">SUM(IF(($S1687&gt;=4)*($C1687='TaxCred&amp;Subs'!$D$123:$D$127)*($H1687='TaxCred&amp;Subs'!$C$123:$C$127)*($H1687&lt;='TaxCred&amp;Subs'!$C$129),'TaxCred&amp;Subs'!$E$123:$E$127,0))</f>
        <v>0</v>
      </c>
      <c r="R1687" s="174">
        <v>0</v>
      </c>
      <c r="S1687" s="126">
        <v>4</v>
      </c>
      <c r="T1687" s="126" t="s">
        <v>248</v>
      </c>
      <c r="U1687"/>
      <c r="V1687" s="153" t="str">
        <f t="array" ref="V1687">INDEX(xlRTCLNAME,MATCH(1,(xlRTCLENDU=1)*(xlRTCLEQCL=$D1687),0))</f>
        <v>WOOD_HT</v>
      </c>
      <c r="W1687" s="153" t="str">
        <f t="array" ref="W1687">INDEX(xlRTCLNAME,MATCH(1,(xlRTCLENDU=2)*(xlRTCLEQCL=$F1687),0))</f>
        <v>CENT_AIR</v>
      </c>
      <c r="X1687" s="153" t="str">
        <f t="array" ref="X1687">INDEX(xlRTTYNAME,MATCH(1,(xlRTTYENDU=1)*(xlRTTYEQCL=$D1687)*(xlRTEQTYPE=$E1687),0))</f>
        <v>WOOD_HT2</v>
      </c>
      <c r="Y1687" s="153" t="str">
        <f t="array" ref="Y1687">INDEX(xlRTTYNAME,MATCH(1,(xlRTTYENDU=2)*(xlRTTYEQCL=$F1687)*(xlRTEQTYPE=$G1687),0))</f>
        <v>CENT_AIR3</v>
      </c>
    </row>
    <row r="1688" spans="1:25" s="157" customFormat="1" ht="14.25" customHeight="1" x14ac:dyDescent="0.2">
      <c r="A1688"/>
      <c r="B1688" s="49">
        <v>7</v>
      </c>
      <c r="C1688" s="49">
        <v>2</v>
      </c>
      <c r="D1688" s="49">
        <v>9</v>
      </c>
      <c r="E1688" s="49">
        <v>30</v>
      </c>
      <c r="F1688" s="49">
        <v>2</v>
      </c>
      <c r="G1688" s="49">
        <v>7</v>
      </c>
      <c r="H1688" s="49">
        <v>2023</v>
      </c>
      <c r="I1688" s="49">
        <v>2032</v>
      </c>
      <c r="J1688" s="50">
        <v>1.1200000000000001</v>
      </c>
      <c r="K1688" s="50">
        <v>1.0462</v>
      </c>
      <c r="L1688" s="50">
        <v>0.64380000000000004</v>
      </c>
      <c r="M1688" s="50">
        <v>1.1173</v>
      </c>
      <c r="N1688" s="50">
        <v>1.4438</v>
      </c>
      <c r="O1688" s="50">
        <v>1.0538000000000001</v>
      </c>
      <c r="P1688" s="49">
        <v>2176</v>
      </c>
      <c r="Q1688" s="51">
        <f t="array" ref="Q1688">SUM(IF(($S1688&gt;=4)*($C1688='TaxCred&amp;Subs'!$D$123:$D$127)*($H1688='TaxCred&amp;Subs'!$C$123:$C$127)*($H1688&lt;='TaxCred&amp;Subs'!$C$129),'TaxCred&amp;Subs'!$E$123:$E$127,0))</f>
        <v>500</v>
      </c>
      <c r="R1688" s="171">
        <v>0</v>
      </c>
      <c r="S1688" s="49">
        <v>4</v>
      </c>
      <c r="T1688" s="49" t="s">
        <v>248</v>
      </c>
      <c r="U1688"/>
      <c r="V1688" s="153" t="str">
        <f t="array" ref="V1688">INDEX(xlRTCLNAME,MATCH(1,(xlRTCLENDU=1)*(xlRTCLEQCL=$D1688),0))</f>
        <v>WOOD_HT</v>
      </c>
      <c r="W1688" s="153" t="str">
        <f t="array" ref="W1688">INDEX(xlRTCLNAME,MATCH(1,(xlRTCLENDU=2)*(xlRTCLEQCL=$F1688),0))</f>
        <v>CENT_AIR</v>
      </c>
      <c r="X1688" s="153" t="str">
        <f t="array" ref="X1688">INDEX(xlRTTYNAME,MATCH(1,(xlRTTYENDU=1)*(xlRTTYEQCL=$D1688)*(xlRTEQTYPE=$E1688),0))</f>
        <v>WOOD_HT2</v>
      </c>
      <c r="Y1688" s="153" t="str">
        <f t="array" ref="Y1688">INDEX(xlRTTYNAME,MATCH(1,(xlRTTYENDU=2)*(xlRTTYEQCL=$F1688)*(xlRTEQTYPE=$G1688),0))</f>
        <v>CENT_AIR3</v>
      </c>
    </row>
    <row r="1689" spans="1:25" s="157" customFormat="1" ht="14.25" customHeight="1" x14ac:dyDescent="0.2">
      <c r="A1689"/>
      <c r="B1689" s="49">
        <v>7</v>
      </c>
      <c r="C1689" s="49">
        <v>2</v>
      </c>
      <c r="D1689" s="49">
        <v>9</v>
      </c>
      <c r="E1689" s="49">
        <v>30</v>
      </c>
      <c r="F1689" s="49">
        <v>2</v>
      </c>
      <c r="G1689" s="49">
        <v>7</v>
      </c>
      <c r="H1689" s="49">
        <v>2033</v>
      </c>
      <c r="I1689" s="49">
        <v>2050</v>
      </c>
      <c r="J1689" s="50">
        <v>1.1200000000000001</v>
      </c>
      <c r="K1689" s="50">
        <v>1.0462</v>
      </c>
      <c r="L1689" s="50">
        <v>0.64380000000000004</v>
      </c>
      <c r="M1689" s="50">
        <v>1.1173</v>
      </c>
      <c r="N1689" s="50">
        <v>1.4438</v>
      </c>
      <c r="O1689" s="50">
        <v>1.0538000000000001</v>
      </c>
      <c r="P1689" s="49">
        <v>2176</v>
      </c>
      <c r="Q1689" s="51">
        <f t="array" ref="Q1689">SUM(IF(($S1689&gt;=4)*($C1689='TaxCred&amp;Subs'!$D$123:$D$127)*($H1689='TaxCred&amp;Subs'!$C$123:$C$127)*($H1689&lt;='TaxCred&amp;Subs'!$C$129),'TaxCred&amp;Subs'!$E$123:$E$127,0))</f>
        <v>0</v>
      </c>
      <c r="R1689" s="171">
        <v>0</v>
      </c>
      <c r="S1689" s="49">
        <v>4</v>
      </c>
      <c r="T1689" s="49" t="s">
        <v>248</v>
      </c>
      <c r="U1689"/>
      <c r="V1689" s="153" t="str">
        <f t="array" ref="V1689">INDEX(xlRTCLNAME,MATCH(1,(xlRTCLENDU=1)*(xlRTCLEQCL=$D1689),0))</f>
        <v>WOOD_HT</v>
      </c>
      <c r="W1689" s="153" t="str">
        <f t="array" ref="W1689">INDEX(xlRTCLNAME,MATCH(1,(xlRTCLENDU=2)*(xlRTCLEQCL=$F1689),0))</f>
        <v>CENT_AIR</v>
      </c>
      <c r="X1689" s="153" t="str">
        <f t="array" ref="X1689">INDEX(xlRTTYNAME,MATCH(1,(xlRTTYENDU=1)*(xlRTTYEQCL=$D1689)*(xlRTEQTYPE=$E1689),0))</f>
        <v>WOOD_HT2</v>
      </c>
      <c r="Y1689" s="153" t="str">
        <f t="array" ref="Y1689">INDEX(xlRTTYNAME,MATCH(1,(xlRTTYENDU=2)*(xlRTTYEQCL=$F1689)*(xlRTEQTYPE=$G1689),0))</f>
        <v>CENT_AIR3</v>
      </c>
    </row>
    <row r="1690" spans="1:25" s="157" customFormat="1" ht="14.25" customHeight="1" x14ac:dyDescent="0.2">
      <c r="A1690"/>
      <c r="B1690" s="126">
        <v>8</v>
      </c>
      <c r="C1690" s="126">
        <v>2</v>
      </c>
      <c r="D1690" s="126">
        <v>9</v>
      </c>
      <c r="E1690" s="126">
        <v>30</v>
      </c>
      <c r="F1690" s="126">
        <v>2</v>
      </c>
      <c r="G1690" s="126">
        <v>7</v>
      </c>
      <c r="H1690" s="126">
        <v>2016</v>
      </c>
      <c r="I1690" s="159">
        <v>2022</v>
      </c>
      <c r="J1690" s="127">
        <v>1.1045</v>
      </c>
      <c r="K1690" s="127">
        <v>1.0323</v>
      </c>
      <c r="L1690" s="127">
        <v>0.9597</v>
      </c>
      <c r="M1690" s="127">
        <v>1.2739</v>
      </c>
      <c r="N1690" s="127">
        <v>1.2847999999999999</v>
      </c>
      <c r="O1690" s="127">
        <v>1.0538000000000001</v>
      </c>
      <c r="P1690" s="126">
        <v>2451</v>
      </c>
      <c r="Q1690" s="128">
        <f t="array" ref="Q1690">SUM(IF(($S1690&gt;=4)*($C1690='TaxCred&amp;Subs'!$D$123:$D$127)*($H1690='TaxCred&amp;Subs'!$C$123:$C$127)*($H1690&lt;='TaxCred&amp;Subs'!$C$129),'TaxCred&amp;Subs'!$E$123:$E$127,0))</f>
        <v>0</v>
      </c>
      <c r="R1690" s="174">
        <v>0</v>
      </c>
      <c r="S1690" s="126">
        <v>4</v>
      </c>
      <c r="T1690" s="126" t="s">
        <v>248</v>
      </c>
      <c r="U1690"/>
      <c r="V1690" s="153" t="str">
        <f t="array" ref="V1690">INDEX(xlRTCLNAME,MATCH(1,(xlRTCLENDU=1)*(xlRTCLEQCL=$D1690),0))</f>
        <v>WOOD_HT</v>
      </c>
      <c r="W1690" s="153" t="str">
        <f t="array" ref="W1690">INDEX(xlRTCLNAME,MATCH(1,(xlRTCLENDU=2)*(xlRTCLEQCL=$F1690),0))</f>
        <v>CENT_AIR</v>
      </c>
      <c r="X1690" s="153" t="str">
        <f t="array" ref="X1690">INDEX(xlRTTYNAME,MATCH(1,(xlRTTYENDU=1)*(xlRTTYEQCL=$D1690)*(xlRTEQTYPE=$E1690),0))</f>
        <v>WOOD_HT2</v>
      </c>
      <c r="Y1690" s="153" t="str">
        <f t="array" ref="Y1690">INDEX(xlRTTYNAME,MATCH(1,(xlRTTYENDU=2)*(xlRTTYEQCL=$F1690)*(xlRTEQTYPE=$G1690),0))</f>
        <v>CENT_AIR3</v>
      </c>
    </row>
    <row r="1691" spans="1:25" s="157" customFormat="1" ht="14.25" customHeight="1" x14ac:dyDescent="0.2">
      <c r="A1691"/>
      <c r="B1691" s="49">
        <v>8</v>
      </c>
      <c r="C1691" s="49">
        <v>2</v>
      </c>
      <c r="D1691" s="49">
        <v>9</v>
      </c>
      <c r="E1691" s="49">
        <v>30</v>
      </c>
      <c r="F1691" s="49">
        <v>2</v>
      </c>
      <c r="G1691" s="49">
        <v>7</v>
      </c>
      <c r="H1691" s="49">
        <v>2023</v>
      </c>
      <c r="I1691" s="49">
        <v>2032</v>
      </c>
      <c r="J1691" s="50">
        <v>1.1045</v>
      </c>
      <c r="K1691" s="50">
        <v>1.0323</v>
      </c>
      <c r="L1691" s="50">
        <v>0.9597</v>
      </c>
      <c r="M1691" s="50">
        <v>1.2739</v>
      </c>
      <c r="N1691" s="50">
        <v>1.2847999999999999</v>
      </c>
      <c r="O1691" s="50">
        <v>1.0538000000000001</v>
      </c>
      <c r="P1691" s="49">
        <v>2451</v>
      </c>
      <c r="Q1691" s="51">
        <f t="array" ref="Q1691">SUM(IF(($S1691&gt;=4)*($C1691='TaxCred&amp;Subs'!$D$123:$D$127)*($H1691='TaxCred&amp;Subs'!$C$123:$C$127)*($H1691&lt;='TaxCred&amp;Subs'!$C$129),'TaxCred&amp;Subs'!$E$123:$E$127,0))</f>
        <v>500</v>
      </c>
      <c r="R1691" s="171">
        <v>0</v>
      </c>
      <c r="S1691" s="49">
        <v>4</v>
      </c>
      <c r="T1691" s="49" t="s">
        <v>248</v>
      </c>
      <c r="U1691"/>
      <c r="V1691" s="153" t="str">
        <f t="array" ref="V1691">INDEX(xlRTCLNAME,MATCH(1,(xlRTCLENDU=1)*(xlRTCLEQCL=$D1691),0))</f>
        <v>WOOD_HT</v>
      </c>
      <c r="W1691" s="153" t="str">
        <f t="array" ref="W1691">INDEX(xlRTCLNAME,MATCH(1,(xlRTCLENDU=2)*(xlRTCLEQCL=$F1691),0))</f>
        <v>CENT_AIR</v>
      </c>
      <c r="X1691" s="153" t="str">
        <f t="array" ref="X1691">INDEX(xlRTTYNAME,MATCH(1,(xlRTTYENDU=1)*(xlRTTYEQCL=$D1691)*(xlRTEQTYPE=$E1691),0))</f>
        <v>WOOD_HT2</v>
      </c>
      <c r="Y1691" s="153" t="str">
        <f t="array" ref="Y1691">INDEX(xlRTTYNAME,MATCH(1,(xlRTTYENDU=2)*(xlRTTYEQCL=$F1691)*(xlRTEQTYPE=$G1691),0))</f>
        <v>CENT_AIR3</v>
      </c>
    </row>
    <row r="1692" spans="1:25" s="157" customFormat="1" ht="14.25" customHeight="1" x14ac:dyDescent="0.2">
      <c r="A1692"/>
      <c r="B1692" s="49">
        <v>8</v>
      </c>
      <c r="C1692" s="49">
        <v>2</v>
      </c>
      <c r="D1692" s="49">
        <v>9</v>
      </c>
      <c r="E1692" s="49">
        <v>30</v>
      </c>
      <c r="F1692" s="49">
        <v>2</v>
      </c>
      <c r="G1692" s="49">
        <v>7</v>
      </c>
      <c r="H1692" s="49">
        <v>2033</v>
      </c>
      <c r="I1692" s="49">
        <v>2050</v>
      </c>
      <c r="J1692" s="50">
        <v>1.1045</v>
      </c>
      <c r="K1692" s="50">
        <v>1.0323</v>
      </c>
      <c r="L1692" s="50">
        <v>0.9597</v>
      </c>
      <c r="M1692" s="50">
        <v>1.2739</v>
      </c>
      <c r="N1692" s="50">
        <v>1.2847999999999999</v>
      </c>
      <c r="O1692" s="50">
        <v>1.0538000000000001</v>
      </c>
      <c r="P1692" s="49">
        <v>2451</v>
      </c>
      <c r="Q1692" s="51">
        <f t="array" ref="Q1692">SUM(IF(($S1692&gt;=4)*($C1692='TaxCred&amp;Subs'!$D$123:$D$127)*($H1692='TaxCred&amp;Subs'!$C$123:$C$127)*($H1692&lt;='TaxCred&amp;Subs'!$C$129),'TaxCred&amp;Subs'!$E$123:$E$127,0))</f>
        <v>0</v>
      </c>
      <c r="R1692" s="171">
        <v>0</v>
      </c>
      <c r="S1692" s="49">
        <v>4</v>
      </c>
      <c r="T1692" s="49" t="s">
        <v>248</v>
      </c>
      <c r="U1692"/>
      <c r="V1692" s="153" t="str">
        <f t="array" ref="V1692">INDEX(xlRTCLNAME,MATCH(1,(xlRTCLENDU=1)*(xlRTCLEQCL=$D1692),0))</f>
        <v>WOOD_HT</v>
      </c>
      <c r="W1692" s="153" t="str">
        <f t="array" ref="W1692">INDEX(xlRTCLNAME,MATCH(1,(xlRTCLENDU=2)*(xlRTCLEQCL=$F1692),0))</f>
        <v>CENT_AIR</v>
      </c>
      <c r="X1692" s="153" t="str">
        <f t="array" ref="X1692">INDEX(xlRTTYNAME,MATCH(1,(xlRTTYENDU=1)*(xlRTTYEQCL=$D1692)*(xlRTEQTYPE=$E1692),0))</f>
        <v>WOOD_HT2</v>
      </c>
      <c r="Y1692" s="153" t="str">
        <f t="array" ref="Y1692">INDEX(xlRTTYNAME,MATCH(1,(xlRTTYENDU=2)*(xlRTTYEQCL=$F1692)*(xlRTEQTYPE=$G1692),0))</f>
        <v>CENT_AIR3</v>
      </c>
    </row>
    <row r="1693" spans="1:25" s="157" customFormat="1" ht="14.25" customHeight="1" x14ac:dyDescent="0.2">
      <c r="A1693"/>
      <c r="B1693" s="126">
        <v>9</v>
      </c>
      <c r="C1693" s="126">
        <v>2</v>
      </c>
      <c r="D1693" s="126">
        <v>9</v>
      </c>
      <c r="E1693" s="126">
        <v>30</v>
      </c>
      <c r="F1693" s="126">
        <v>2</v>
      </c>
      <c r="G1693" s="126">
        <v>7</v>
      </c>
      <c r="H1693" s="126">
        <v>2016</v>
      </c>
      <c r="I1693" s="159">
        <v>2022</v>
      </c>
      <c r="J1693" s="127">
        <v>1.1200000000000001</v>
      </c>
      <c r="K1693" s="127">
        <v>1.0541</v>
      </c>
      <c r="L1693" s="127">
        <v>1.0438000000000001</v>
      </c>
      <c r="M1693" s="127">
        <v>1.2</v>
      </c>
      <c r="N1693" s="127">
        <v>1.4438</v>
      </c>
      <c r="O1693" s="127">
        <v>1.0538000000000001</v>
      </c>
      <c r="P1693" s="126">
        <v>2550</v>
      </c>
      <c r="Q1693" s="128">
        <f t="array" ref="Q1693">SUM(IF(($S1693&gt;=4)*($C1693='TaxCred&amp;Subs'!$D$123:$D$127)*($H1693='TaxCred&amp;Subs'!$C$123:$C$127)*($H1693&lt;='TaxCred&amp;Subs'!$C$129),'TaxCred&amp;Subs'!$E$123:$E$127,0))</f>
        <v>0</v>
      </c>
      <c r="R1693" s="174">
        <v>0</v>
      </c>
      <c r="S1693" s="126">
        <v>4</v>
      </c>
      <c r="T1693" s="126" t="s">
        <v>248</v>
      </c>
      <c r="U1693"/>
      <c r="V1693" s="153" t="str">
        <f t="array" ref="V1693">INDEX(xlRTCLNAME,MATCH(1,(xlRTCLENDU=1)*(xlRTCLEQCL=$D1693),0))</f>
        <v>WOOD_HT</v>
      </c>
      <c r="W1693" s="153" t="str">
        <f t="array" ref="W1693">INDEX(xlRTCLNAME,MATCH(1,(xlRTCLENDU=2)*(xlRTCLEQCL=$F1693),0))</f>
        <v>CENT_AIR</v>
      </c>
      <c r="X1693" s="153" t="str">
        <f t="array" ref="X1693">INDEX(xlRTTYNAME,MATCH(1,(xlRTTYENDU=1)*(xlRTTYEQCL=$D1693)*(xlRTEQTYPE=$E1693),0))</f>
        <v>WOOD_HT2</v>
      </c>
      <c r="Y1693" s="153" t="str">
        <f t="array" ref="Y1693">INDEX(xlRTTYNAME,MATCH(1,(xlRTTYENDU=2)*(xlRTTYEQCL=$F1693)*(xlRTEQTYPE=$G1693),0))</f>
        <v>CENT_AIR3</v>
      </c>
    </row>
    <row r="1694" spans="1:25" s="157" customFormat="1" ht="14.25" customHeight="1" x14ac:dyDescent="0.2">
      <c r="A1694"/>
      <c r="B1694" s="49">
        <v>9</v>
      </c>
      <c r="C1694" s="49">
        <v>2</v>
      </c>
      <c r="D1694" s="49">
        <v>9</v>
      </c>
      <c r="E1694" s="49">
        <v>30</v>
      </c>
      <c r="F1694" s="49">
        <v>2</v>
      </c>
      <c r="G1694" s="49">
        <v>7</v>
      </c>
      <c r="H1694" s="49">
        <v>2023</v>
      </c>
      <c r="I1694" s="49">
        <v>2032</v>
      </c>
      <c r="J1694" s="50">
        <v>1.1200000000000001</v>
      </c>
      <c r="K1694" s="50">
        <v>1.0541</v>
      </c>
      <c r="L1694" s="50">
        <v>1.0438000000000001</v>
      </c>
      <c r="M1694" s="50">
        <v>1.2</v>
      </c>
      <c r="N1694" s="50">
        <v>1.4438</v>
      </c>
      <c r="O1694" s="50">
        <v>1.0538000000000001</v>
      </c>
      <c r="P1694" s="49">
        <v>2550</v>
      </c>
      <c r="Q1694" s="51">
        <f t="array" ref="Q1694">SUM(IF(($S1694&gt;=4)*($C1694='TaxCred&amp;Subs'!$D$123:$D$127)*($H1694='TaxCred&amp;Subs'!$C$123:$C$127)*($H1694&lt;='TaxCred&amp;Subs'!$C$129),'TaxCred&amp;Subs'!$E$123:$E$127,0))</f>
        <v>500</v>
      </c>
      <c r="R1694" s="171">
        <v>0</v>
      </c>
      <c r="S1694" s="49">
        <v>4</v>
      </c>
      <c r="T1694" s="49" t="s">
        <v>248</v>
      </c>
      <c r="U1694"/>
      <c r="V1694" s="153" t="str">
        <f t="array" ref="V1694">INDEX(xlRTCLNAME,MATCH(1,(xlRTCLENDU=1)*(xlRTCLEQCL=$D1694),0))</f>
        <v>WOOD_HT</v>
      </c>
      <c r="W1694" s="153" t="str">
        <f t="array" ref="W1694">INDEX(xlRTCLNAME,MATCH(1,(xlRTCLENDU=2)*(xlRTCLEQCL=$F1694),0))</f>
        <v>CENT_AIR</v>
      </c>
      <c r="X1694" s="153" t="str">
        <f t="array" ref="X1694">INDEX(xlRTTYNAME,MATCH(1,(xlRTTYENDU=1)*(xlRTTYEQCL=$D1694)*(xlRTEQTYPE=$E1694),0))</f>
        <v>WOOD_HT2</v>
      </c>
      <c r="Y1694" s="153" t="str">
        <f t="array" ref="Y1694">INDEX(xlRTTYNAME,MATCH(1,(xlRTTYENDU=2)*(xlRTTYEQCL=$F1694)*(xlRTEQTYPE=$G1694),0))</f>
        <v>CENT_AIR3</v>
      </c>
    </row>
    <row r="1695" spans="1:25" s="157" customFormat="1" ht="14.25" customHeight="1" x14ac:dyDescent="0.2">
      <c r="A1695"/>
      <c r="B1695" s="49">
        <v>9</v>
      </c>
      <c r="C1695" s="49">
        <v>2</v>
      </c>
      <c r="D1695" s="49">
        <v>9</v>
      </c>
      <c r="E1695" s="49">
        <v>30</v>
      </c>
      <c r="F1695" s="49">
        <v>2</v>
      </c>
      <c r="G1695" s="49">
        <v>7</v>
      </c>
      <c r="H1695" s="49">
        <v>2033</v>
      </c>
      <c r="I1695" s="49">
        <v>2050</v>
      </c>
      <c r="J1695" s="50">
        <v>1.1200000000000001</v>
      </c>
      <c r="K1695" s="50">
        <v>1.0541</v>
      </c>
      <c r="L1695" s="50">
        <v>1.0438000000000001</v>
      </c>
      <c r="M1695" s="50">
        <v>1.2</v>
      </c>
      <c r="N1695" s="50">
        <v>1.4438</v>
      </c>
      <c r="O1695" s="50">
        <v>1.0538000000000001</v>
      </c>
      <c r="P1695" s="49">
        <v>2550</v>
      </c>
      <c r="Q1695" s="51">
        <f t="array" ref="Q1695">SUM(IF(($S1695&gt;=4)*($C1695='TaxCred&amp;Subs'!$D$123:$D$127)*($H1695='TaxCred&amp;Subs'!$C$123:$C$127)*($H1695&lt;='TaxCred&amp;Subs'!$C$129),'TaxCred&amp;Subs'!$E$123:$E$127,0))</f>
        <v>0</v>
      </c>
      <c r="R1695" s="171">
        <v>0</v>
      </c>
      <c r="S1695" s="49">
        <v>4</v>
      </c>
      <c r="T1695" s="49" t="s">
        <v>248</v>
      </c>
      <c r="U1695"/>
      <c r="V1695" s="153" t="str">
        <f t="array" ref="V1695">INDEX(xlRTCLNAME,MATCH(1,(xlRTCLENDU=1)*(xlRTCLEQCL=$D1695),0))</f>
        <v>WOOD_HT</v>
      </c>
      <c r="W1695" s="153" t="str">
        <f t="array" ref="W1695">INDEX(xlRTCLNAME,MATCH(1,(xlRTCLENDU=2)*(xlRTCLEQCL=$F1695),0))</f>
        <v>CENT_AIR</v>
      </c>
      <c r="X1695" s="153" t="str">
        <f t="array" ref="X1695">INDEX(xlRTTYNAME,MATCH(1,(xlRTTYENDU=1)*(xlRTTYEQCL=$D1695)*(xlRTEQTYPE=$E1695),0))</f>
        <v>WOOD_HT2</v>
      </c>
      <c r="Y1695" s="153" t="str">
        <f t="array" ref="Y1695">INDEX(xlRTTYNAME,MATCH(1,(xlRTTYENDU=2)*(xlRTTYEQCL=$F1695)*(xlRTEQTYPE=$G1695),0))</f>
        <v>CENT_AIR3</v>
      </c>
    </row>
    <row r="1696" spans="1:25" s="157" customFormat="1" ht="14.25" customHeight="1" x14ac:dyDescent="0.2">
      <c r="A1696"/>
      <c r="B1696" s="126">
        <v>1</v>
      </c>
      <c r="C1696" s="126">
        <v>2</v>
      </c>
      <c r="D1696" s="126">
        <v>10</v>
      </c>
      <c r="E1696" s="126">
        <v>34</v>
      </c>
      <c r="F1696" s="126">
        <v>4</v>
      </c>
      <c r="G1696" s="126">
        <v>15</v>
      </c>
      <c r="H1696" s="126">
        <v>2016</v>
      </c>
      <c r="I1696" s="159">
        <v>2022</v>
      </c>
      <c r="J1696" s="127">
        <v>1.1111</v>
      </c>
      <c r="K1696" s="127">
        <v>1.0526</v>
      </c>
      <c r="L1696" s="127">
        <v>0.78380000000000005</v>
      </c>
      <c r="M1696" s="127">
        <v>1.1588000000000001</v>
      </c>
      <c r="N1696" s="127">
        <v>1.1356999999999999</v>
      </c>
      <c r="O1696" s="127">
        <v>1.0538000000000001</v>
      </c>
      <c r="P1696" s="126">
        <v>3182</v>
      </c>
      <c r="Q1696" s="128">
        <f t="array" ref="Q1696">SUM(IF(($S1696&gt;=4)*($C1696='TaxCred&amp;Subs'!$D$123:$D$127)*($H1696='TaxCred&amp;Subs'!$C$123:$C$127)*($H1696&lt;='TaxCred&amp;Subs'!$C$129),'TaxCred&amp;Subs'!$E$123:$E$127,0))</f>
        <v>0</v>
      </c>
      <c r="R1696" s="174">
        <v>0</v>
      </c>
      <c r="S1696" s="126">
        <v>4</v>
      </c>
      <c r="T1696" s="126" t="s">
        <v>248</v>
      </c>
      <c r="U1696"/>
      <c r="V1696" s="153" t="str">
        <f t="array" ref="V1696">INDEX(xlRTCLNAME,MATCH(1,(xlRTCLENDU=1)*(xlRTCLEQCL=$D1696),0))</f>
        <v>GEO_HP</v>
      </c>
      <c r="W1696" s="153" t="str">
        <f t="array" ref="W1696">INDEX(xlRTCLNAME,MATCH(1,(xlRTCLENDU=2)*(xlRTCLEQCL=$F1696),0))</f>
        <v>GEO_HP</v>
      </c>
      <c r="X1696" s="153" t="str">
        <f t="array" ref="X1696">INDEX(xlRTTYNAME,MATCH(1,(xlRTTYENDU=1)*(xlRTTYEQCL=$D1696)*(xlRTEQTYPE=$E1696),0))</f>
        <v>GEO_HP3</v>
      </c>
      <c r="Y1696" s="153" t="str">
        <f t="array" ref="Y1696">INDEX(xlRTTYNAME,MATCH(1,(xlRTTYENDU=2)*(xlRTTYEQCL=$F1696)*(xlRTEQTYPE=$G1696),0))</f>
        <v>GEO_HP3</v>
      </c>
    </row>
    <row r="1697" spans="1:25" s="157" customFormat="1" ht="14.25" customHeight="1" x14ac:dyDescent="0.2">
      <c r="A1697"/>
      <c r="B1697" s="49">
        <v>1</v>
      </c>
      <c r="C1697" s="49">
        <v>2</v>
      </c>
      <c r="D1697" s="49">
        <v>10</v>
      </c>
      <c r="E1697" s="49">
        <v>34</v>
      </c>
      <c r="F1697" s="49">
        <v>4</v>
      </c>
      <c r="G1697" s="49">
        <v>15</v>
      </c>
      <c r="H1697" s="49">
        <v>2023</v>
      </c>
      <c r="I1697" s="49">
        <v>2032</v>
      </c>
      <c r="J1697" s="50">
        <v>1.1111</v>
      </c>
      <c r="K1697" s="50">
        <v>1.0526</v>
      </c>
      <c r="L1697" s="50">
        <v>0.78380000000000005</v>
      </c>
      <c r="M1697" s="50">
        <v>1.1588000000000001</v>
      </c>
      <c r="N1697" s="50">
        <v>1.1356999999999999</v>
      </c>
      <c r="O1697" s="50">
        <v>1.0538000000000001</v>
      </c>
      <c r="P1697" s="49">
        <v>3182</v>
      </c>
      <c r="Q1697" s="51">
        <f t="array" ref="Q1697">SUM(IF(($S1697&gt;=4)*($C1697='TaxCred&amp;Subs'!$D$123:$D$127)*($H1697='TaxCred&amp;Subs'!$C$123:$C$127)*($H1697&lt;='TaxCred&amp;Subs'!$C$129),'TaxCred&amp;Subs'!$E$123:$E$127,0))</f>
        <v>500</v>
      </c>
      <c r="R1697" s="171">
        <v>0</v>
      </c>
      <c r="S1697" s="49">
        <v>4</v>
      </c>
      <c r="T1697" s="49" t="s">
        <v>248</v>
      </c>
      <c r="U1697"/>
      <c r="V1697" s="153" t="str">
        <f t="array" ref="V1697">INDEX(xlRTCLNAME,MATCH(1,(xlRTCLENDU=1)*(xlRTCLEQCL=$D1697),0))</f>
        <v>GEO_HP</v>
      </c>
      <c r="W1697" s="153" t="str">
        <f t="array" ref="W1697">INDEX(xlRTCLNAME,MATCH(1,(xlRTCLENDU=2)*(xlRTCLEQCL=$F1697),0))</f>
        <v>GEO_HP</v>
      </c>
      <c r="X1697" s="153" t="str">
        <f t="array" ref="X1697">INDEX(xlRTTYNAME,MATCH(1,(xlRTTYENDU=1)*(xlRTTYEQCL=$D1697)*(xlRTEQTYPE=$E1697),0))</f>
        <v>GEO_HP3</v>
      </c>
      <c r="Y1697" s="153" t="str">
        <f t="array" ref="Y1697">INDEX(xlRTTYNAME,MATCH(1,(xlRTTYENDU=2)*(xlRTTYEQCL=$F1697)*(xlRTEQTYPE=$G1697),0))</f>
        <v>GEO_HP3</v>
      </c>
    </row>
    <row r="1698" spans="1:25" s="157" customFormat="1" ht="14.25" customHeight="1" x14ac:dyDescent="0.2">
      <c r="A1698"/>
      <c r="B1698" s="49">
        <v>1</v>
      </c>
      <c r="C1698" s="49">
        <v>2</v>
      </c>
      <c r="D1698" s="49">
        <v>10</v>
      </c>
      <c r="E1698" s="49">
        <v>34</v>
      </c>
      <c r="F1698" s="49">
        <v>4</v>
      </c>
      <c r="G1698" s="49">
        <v>15</v>
      </c>
      <c r="H1698" s="49">
        <v>2033</v>
      </c>
      <c r="I1698" s="49">
        <v>2050</v>
      </c>
      <c r="J1698" s="50">
        <v>1.1111</v>
      </c>
      <c r="K1698" s="50">
        <v>1.0526</v>
      </c>
      <c r="L1698" s="50">
        <v>0.78380000000000005</v>
      </c>
      <c r="M1698" s="50">
        <v>1.1588000000000001</v>
      </c>
      <c r="N1698" s="50">
        <v>1.1356999999999999</v>
      </c>
      <c r="O1698" s="50">
        <v>1.0538000000000001</v>
      </c>
      <c r="P1698" s="49">
        <v>3182</v>
      </c>
      <c r="Q1698" s="51">
        <f t="array" ref="Q1698">SUM(IF(($S1698&gt;=4)*($C1698='TaxCred&amp;Subs'!$D$123:$D$127)*($H1698='TaxCred&amp;Subs'!$C$123:$C$127)*($H1698&lt;='TaxCred&amp;Subs'!$C$129),'TaxCred&amp;Subs'!$E$123:$E$127,0))</f>
        <v>0</v>
      </c>
      <c r="R1698" s="171">
        <v>0</v>
      </c>
      <c r="S1698" s="49">
        <v>4</v>
      </c>
      <c r="T1698" s="49" t="s">
        <v>248</v>
      </c>
      <c r="U1698"/>
      <c r="V1698" s="153" t="str">
        <f t="array" ref="V1698">INDEX(xlRTCLNAME,MATCH(1,(xlRTCLENDU=1)*(xlRTCLEQCL=$D1698),0))</f>
        <v>GEO_HP</v>
      </c>
      <c r="W1698" s="153" t="str">
        <f t="array" ref="W1698">INDEX(xlRTCLNAME,MATCH(1,(xlRTCLENDU=2)*(xlRTCLEQCL=$F1698),0))</f>
        <v>GEO_HP</v>
      </c>
      <c r="X1698" s="153" t="str">
        <f t="array" ref="X1698">INDEX(xlRTTYNAME,MATCH(1,(xlRTTYENDU=1)*(xlRTTYEQCL=$D1698)*(xlRTEQTYPE=$E1698),0))</f>
        <v>GEO_HP3</v>
      </c>
      <c r="Y1698" s="153" t="str">
        <f t="array" ref="Y1698">INDEX(xlRTTYNAME,MATCH(1,(xlRTTYENDU=2)*(xlRTTYEQCL=$F1698)*(xlRTEQTYPE=$G1698),0))</f>
        <v>GEO_HP3</v>
      </c>
    </row>
    <row r="1699" spans="1:25" s="157" customFormat="1" ht="14.25" customHeight="1" x14ac:dyDescent="0.2">
      <c r="A1699"/>
      <c r="B1699" s="126">
        <v>2</v>
      </c>
      <c r="C1699" s="126">
        <v>2</v>
      </c>
      <c r="D1699" s="126">
        <v>10</v>
      </c>
      <c r="E1699" s="126">
        <v>34</v>
      </c>
      <c r="F1699" s="126">
        <v>4</v>
      </c>
      <c r="G1699" s="126">
        <v>15</v>
      </c>
      <c r="H1699" s="126">
        <v>2016</v>
      </c>
      <c r="I1699" s="159">
        <v>2022</v>
      </c>
      <c r="J1699" s="127">
        <v>1.0588</v>
      </c>
      <c r="K1699" s="127">
        <v>1.0455000000000001</v>
      </c>
      <c r="L1699" s="127">
        <v>0.8649</v>
      </c>
      <c r="M1699" s="127">
        <v>1.1527000000000001</v>
      </c>
      <c r="N1699" s="127">
        <v>1.1394</v>
      </c>
      <c r="O1699" s="127">
        <v>1.0538000000000001</v>
      </c>
      <c r="P1699" s="126">
        <v>2315</v>
      </c>
      <c r="Q1699" s="128">
        <f t="array" ref="Q1699">SUM(IF(($S1699&gt;=4)*($C1699='TaxCred&amp;Subs'!$D$123:$D$127)*($H1699='TaxCred&amp;Subs'!$C$123:$C$127)*($H1699&lt;='TaxCred&amp;Subs'!$C$129),'TaxCred&amp;Subs'!$E$123:$E$127,0))</f>
        <v>0</v>
      </c>
      <c r="R1699" s="174">
        <v>0</v>
      </c>
      <c r="S1699" s="126">
        <v>4</v>
      </c>
      <c r="T1699" s="126" t="s">
        <v>248</v>
      </c>
      <c r="U1699"/>
      <c r="V1699" s="153" t="str">
        <f t="array" ref="V1699">INDEX(xlRTCLNAME,MATCH(1,(xlRTCLENDU=1)*(xlRTCLEQCL=$D1699),0))</f>
        <v>GEO_HP</v>
      </c>
      <c r="W1699" s="153" t="str">
        <f t="array" ref="W1699">INDEX(xlRTCLNAME,MATCH(1,(xlRTCLENDU=2)*(xlRTCLEQCL=$F1699),0))</f>
        <v>GEO_HP</v>
      </c>
      <c r="X1699" s="153" t="str">
        <f t="array" ref="X1699">INDEX(xlRTTYNAME,MATCH(1,(xlRTTYENDU=1)*(xlRTTYEQCL=$D1699)*(xlRTEQTYPE=$E1699),0))</f>
        <v>GEO_HP3</v>
      </c>
      <c r="Y1699" s="153" t="str">
        <f t="array" ref="Y1699">INDEX(xlRTTYNAME,MATCH(1,(xlRTTYENDU=2)*(xlRTTYEQCL=$F1699)*(xlRTEQTYPE=$G1699),0))</f>
        <v>GEO_HP3</v>
      </c>
    </row>
    <row r="1700" spans="1:25" s="157" customFormat="1" ht="14.25" customHeight="1" x14ac:dyDescent="0.2">
      <c r="A1700"/>
      <c r="B1700" s="49">
        <v>2</v>
      </c>
      <c r="C1700" s="49">
        <v>2</v>
      </c>
      <c r="D1700" s="49">
        <v>10</v>
      </c>
      <c r="E1700" s="49">
        <v>34</v>
      </c>
      <c r="F1700" s="49">
        <v>4</v>
      </c>
      <c r="G1700" s="49">
        <v>15</v>
      </c>
      <c r="H1700" s="49">
        <v>2023</v>
      </c>
      <c r="I1700" s="49">
        <v>2032</v>
      </c>
      <c r="J1700" s="50">
        <v>1.0588</v>
      </c>
      <c r="K1700" s="50">
        <v>1.0455000000000001</v>
      </c>
      <c r="L1700" s="50">
        <v>0.8649</v>
      </c>
      <c r="M1700" s="50">
        <v>1.1527000000000001</v>
      </c>
      <c r="N1700" s="50">
        <v>1.1394</v>
      </c>
      <c r="O1700" s="50">
        <v>1.0538000000000001</v>
      </c>
      <c r="P1700" s="49">
        <v>2315</v>
      </c>
      <c r="Q1700" s="51">
        <f t="array" ref="Q1700">SUM(IF(($S1700&gt;=4)*($C1700='TaxCred&amp;Subs'!$D$123:$D$127)*($H1700='TaxCred&amp;Subs'!$C$123:$C$127)*($H1700&lt;='TaxCred&amp;Subs'!$C$129),'TaxCred&amp;Subs'!$E$123:$E$127,0))</f>
        <v>500</v>
      </c>
      <c r="R1700" s="171">
        <v>0</v>
      </c>
      <c r="S1700" s="49">
        <v>4</v>
      </c>
      <c r="T1700" s="49" t="s">
        <v>248</v>
      </c>
      <c r="U1700"/>
      <c r="V1700" s="153" t="str">
        <f t="array" ref="V1700">INDEX(xlRTCLNAME,MATCH(1,(xlRTCLENDU=1)*(xlRTCLEQCL=$D1700),0))</f>
        <v>GEO_HP</v>
      </c>
      <c r="W1700" s="153" t="str">
        <f t="array" ref="W1700">INDEX(xlRTCLNAME,MATCH(1,(xlRTCLENDU=2)*(xlRTCLEQCL=$F1700),0))</f>
        <v>GEO_HP</v>
      </c>
      <c r="X1700" s="153" t="str">
        <f t="array" ref="X1700">INDEX(xlRTTYNAME,MATCH(1,(xlRTTYENDU=1)*(xlRTTYEQCL=$D1700)*(xlRTEQTYPE=$E1700),0))</f>
        <v>GEO_HP3</v>
      </c>
      <c r="Y1700" s="153" t="str">
        <f t="array" ref="Y1700">INDEX(xlRTTYNAME,MATCH(1,(xlRTTYENDU=2)*(xlRTTYEQCL=$F1700)*(xlRTEQTYPE=$G1700),0))</f>
        <v>GEO_HP3</v>
      </c>
    </row>
    <row r="1701" spans="1:25" s="157" customFormat="1" ht="14.25" customHeight="1" x14ac:dyDescent="0.2">
      <c r="A1701"/>
      <c r="B1701" s="49">
        <v>2</v>
      </c>
      <c r="C1701" s="49">
        <v>2</v>
      </c>
      <c r="D1701" s="49">
        <v>10</v>
      </c>
      <c r="E1701" s="49">
        <v>34</v>
      </c>
      <c r="F1701" s="49">
        <v>4</v>
      </c>
      <c r="G1701" s="49">
        <v>15</v>
      </c>
      <c r="H1701" s="49">
        <v>2033</v>
      </c>
      <c r="I1701" s="49">
        <v>2050</v>
      </c>
      <c r="J1701" s="50">
        <v>1.0588</v>
      </c>
      <c r="K1701" s="50">
        <v>1.0455000000000001</v>
      </c>
      <c r="L1701" s="50">
        <v>0.8649</v>
      </c>
      <c r="M1701" s="50">
        <v>1.1527000000000001</v>
      </c>
      <c r="N1701" s="50">
        <v>1.1394</v>
      </c>
      <c r="O1701" s="50">
        <v>1.0538000000000001</v>
      </c>
      <c r="P1701" s="49">
        <v>2315</v>
      </c>
      <c r="Q1701" s="51">
        <f t="array" ref="Q1701">SUM(IF(($S1701&gt;=4)*($C1701='TaxCred&amp;Subs'!$D$123:$D$127)*($H1701='TaxCred&amp;Subs'!$C$123:$C$127)*($H1701&lt;='TaxCred&amp;Subs'!$C$129),'TaxCred&amp;Subs'!$E$123:$E$127,0))</f>
        <v>0</v>
      </c>
      <c r="R1701" s="171">
        <v>0</v>
      </c>
      <c r="S1701" s="49">
        <v>4</v>
      </c>
      <c r="T1701" s="49" t="s">
        <v>248</v>
      </c>
      <c r="U1701"/>
      <c r="V1701" s="153" t="str">
        <f t="array" ref="V1701">INDEX(xlRTCLNAME,MATCH(1,(xlRTCLENDU=1)*(xlRTCLEQCL=$D1701),0))</f>
        <v>GEO_HP</v>
      </c>
      <c r="W1701" s="153" t="str">
        <f t="array" ref="W1701">INDEX(xlRTCLNAME,MATCH(1,(xlRTCLENDU=2)*(xlRTCLEQCL=$F1701),0))</f>
        <v>GEO_HP</v>
      </c>
      <c r="X1701" s="153" t="str">
        <f t="array" ref="X1701">INDEX(xlRTTYNAME,MATCH(1,(xlRTTYENDU=1)*(xlRTTYEQCL=$D1701)*(xlRTEQTYPE=$E1701),0))</f>
        <v>GEO_HP3</v>
      </c>
      <c r="Y1701" s="153" t="str">
        <f t="array" ref="Y1701">INDEX(xlRTTYNAME,MATCH(1,(xlRTTYENDU=2)*(xlRTTYEQCL=$F1701)*(xlRTEQTYPE=$G1701),0))</f>
        <v>GEO_HP3</v>
      </c>
    </row>
    <row r="1702" spans="1:25" s="157" customFormat="1" ht="14.25" customHeight="1" x14ac:dyDescent="0.2">
      <c r="A1702"/>
      <c r="B1702" s="126">
        <v>3</v>
      </c>
      <c r="C1702" s="126">
        <v>2</v>
      </c>
      <c r="D1702" s="126">
        <v>10</v>
      </c>
      <c r="E1702" s="126">
        <v>34</v>
      </c>
      <c r="F1702" s="126">
        <v>4</v>
      </c>
      <c r="G1702" s="126">
        <v>15</v>
      </c>
      <c r="H1702" s="126">
        <v>2016</v>
      </c>
      <c r="I1702" s="159">
        <v>2022</v>
      </c>
      <c r="J1702" s="127">
        <v>1.1000000000000001</v>
      </c>
      <c r="K1702" s="127">
        <v>1.03</v>
      </c>
      <c r="L1702" s="127">
        <v>0.77139999999999997</v>
      </c>
      <c r="M1702" s="127">
        <v>1.0772999999999999</v>
      </c>
      <c r="N1702" s="127">
        <v>1.0449999999999999</v>
      </c>
      <c r="O1702" s="127">
        <v>1.0538000000000001</v>
      </c>
      <c r="P1702" s="126">
        <v>2681</v>
      </c>
      <c r="Q1702" s="128">
        <f t="array" ref="Q1702">SUM(IF(($S1702&gt;=4)*($C1702='TaxCred&amp;Subs'!$D$123:$D$127)*($H1702='TaxCred&amp;Subs'!$C$123:$C$127)*($H1702&lt;='TaxCred&amp;Subs'!$C$129),'TaxCred&amp;Subs'!$E$123:$E$127,0))</f>
        <v>0</v>
      </c>
      <c r="R1702" s="174">
        <v>0</v>
      </c>
      <c r="S1702" s="126">
        <v>4</v>
      </c>
      <c r="T1702" s="126" t="s">
        <v>248</v>
      </c>
      <c r="U1702"/>
      <c r="V1702" s="153" t="str">
        <f t="array" ref="V1702">INDEX(xlRTCLNAME,MATCH(1,(xlRTCLENDU=1)*(xlRTCLEQCL=$D1702),0))</f>
        <v>GEO_HP</v>
      </c>
      <c r="W1702" s="153" t="str">
        <f t="array" ref="W1702">INDEX(xlRTCLNAME,MATCH(1,(xlRTCLENDU=2)*(xlRTCLEQCL=$F1702),0))</f>
        <v>GEO_HP</v>
      </c>
      <c r="X1702" s="153" t="str">
        <f t="array" ref="X1702">INDEX(xlRTTYNAME,MATCH(1,(xlRTTYENDU=1)*(xlRTTYEQCL=$D1702)*(xlRTEQTYPE=$E1702),0))</f>
        <v>GEO_HP3</v>
      </c>
      <c r="Y1702" s="153" t="str">
        <f t="array" ref="Y1702">INDEX(xlRTTYNAME,MATCH(1,(xlRTTYENDU=2)*(xlRTTYEQCL=$F1702)*(xlRTEQTYPE=$G1702),0))</f>
        <v>GEO_HP3</v>
      </c>
    </row>
    <row r="1703" spans="1:25" s="157" customFormat="1" ht="14.25" customHeight="1" x14ac:dyDescent="0.2">
      <c r="A1703"/>
      <c r="B1703" s="49">
        <v>3</v>
      </c>
      <c r="C1703" s="49">
        <v>2</v>
      </c>
      <c r="D1703" s="49">
        <v>10</v>
      </c>
      <c r="E1703" s="49">
        <v>34</v>
      </c>
      <c r="F1703" s="49">
        <v>4</v>
      </c>
      <c r="G1703" s="49">
        <v>15</v>
      </c>
      <c r="H1703" s="49">
        <v>2023</v>
      </c>
      <c r="I1703" s="49">
        <v>2032</v>
      </c>
      <c r="J1703" s="50">
        <v>1.1000000000000001</v>
      </c>
      <c r="K1703" s="50">
        <v>1.03</v>
      </c>
      <c r="L1703" s="50">
        <v>0.77139999999999997</v>
      </c>
      <c r="M1703" s="50">
        <v>1.0772999999999999</v>
      </c>
      <c r="N1703" s="50">
        <v>1.0449999999999999</v>
      </c>
      <c r="O1703" s="50">
        <v>1.0538000000000001</v>
      </c>
      <c r="P1703" s="49">
        <v>2681</v>
      </c>
      <c r="Q1703" s="51">
        <f t="array" ref="Q1703">SUM(IF(($S1703&gt;=4)*($C1703='TaxCred&amp;Subs'!$D$123:$D$127)*($H1703='TaxCred&amp;Subs'!$C$123:$C$127)*($H1703&lt;='TaxCred&amp;Subs'!$C$129),'TaxCred&amp;Subs'!$E$123:$E$127,0))</f>
        <v>500</v>
      </c>
      <c r="R1703" s="171">
        <v>0</v>
      </c>
      <c r="S1703" s="49">
        <v>4</v>
      </c>
      <c r="T1703" s="49" t="s">
        <v>248</v>
      </c>
      <c r="U1703"/>
      <c r="V1703" s="153" t="str">
        <f t="array" ref="V1703">INDEX(xlRTCLNAME,MATCH(1,(xlRTCLENDU=1)*(xlRTCLEQCL=$D1703),0))</f>
        <v>GEO_HP</v>
      </c>
      <c r="W1703" s="153" t="str">
        <f t="array" ref="W1703">INDEX(xlRTCLNAME,MATCH(1,(xlRTCLENDU=2)*(xlRTCLEQCL=$F1703),0))</f>
        <v>GEO_HP</v>
      </c>
      <c r="X1703" s="153" t="str">
        <f t="array" ref="X1703">INDEX(xlRTTYNAME,MATCH(1,(xlRTTYENDU=1)*(xlRTTYEQCL=$D1703)*(xlRTEQTYPE=$E1703),0))</f>
        <v>GEO_HP3</v>
      </c>
      <c r="Y1703" s="153" t="str">
        <f t="array" ref="Y1703">INDEX(xlRTTYNAME,MATCH(1,(xlRTTYENDU=2)*(xlRTTYEQCL=$F1703)*(xlRTEQTYPE=$G1703),0))</f>
        <v>GEO_HP3</v>
      </c>
    </row>
    <row r="1704" spans="1:25" s="157" customFormat="1" ht="14.25" customHeight="1" x14ac:dyDescent="0.2">
      <c r="A1704"/>
      <c r="B1704" s="49">
        <v>3</v>
      </c>
      <c r="C1704" s="49">
        <v>2</v>
      </c>
      <c r="D1704" s="49">
        <v>10</v>
      </c>
      <c r="E1704" s="49">
        <v>34</v>
      </c>
      <c r="F1704" s="49">
        <v>4</v>
      </c>
      <c r="G1704" s="49">
        <v>15</v>
      </c>
      <c r="H1704" s="49">
        <v>2033</v>
      </c>
      <c r="I1704" s="49">
        <v>2050</v>
      </c>
      <c r="J1704" s="50">
        <v>1.1000000000000001</v>
      </c>
      <c r="K1704" s="50">
        <v>1.03</v>
      </c>
      <c r="L1704" s="50">
        <v>0.77139999999999997</v>
      </c>
      <c r="M1704" s="50">
        <v>1.0772999999999999</v>
      </c>
      <c r="N1704" s="50">
        <v>1.0449999999999999</v>
      </c>
      <c r="O1704" s="50">
        <v>1.0538000000000001</v>
      </c>
      <c r="P1704" s="49">
        <v>2681</v>
      </c>
      <c r="Q1704" s="51">
        <f t="array" ref="Q1704">SUM(IF(($S1704&gt;=4)*($C1704='TaxCred&amp;Subs'!$D$123:$D$127)*($H1704='TaxCred&amp;Subs'!$C$123:$C$127)*($H1704&lt;='TaxCred&amp;Subs'!$C$129),'TaxCred&amp;Subs'!$E$123:$E$127,0))</f>
        <v>0</v>
      </c>
      <c r="R1704" s="171">
        <v>0</v>
      </c>
      <c r="S1704" s="49">
        <v>4</v>
      </c>
      <c r="T1704" s="49" t="s">
        <v>248</v>
      </c>
      <c r="U1704"/>
      <c r="V1704" s="153" t="str">
        <f t="array" ref="V1704">INDEX(xlRTCLNAME,MATCH(1,(xlRTCLENDU=1)*(xlRTCLEQCL=$D1704),0))</f>
        <v>GEO_HP</v>
      </c>
      <c r="W1704" s="153" t="str">
        <f t="array" ref="W1704">INDEX(xlRTCLNAME,MATCH(1,(xlRTCLENDU=2)*(xlRTCLEQCL=$F1704),0))</f>
        <v>GEO_HP</v>
      </c>
      <c r="X1704" s="153" t="str">
        <f t="array" ref="X1704">INDEX(xlRTTYNAME,MATCH(1,(xlRTTYENDU=1)*(xlRTTYEQCL=$D1704)*(xlRTEQTYPE=$E1704),0))</f>
        <v>GEO_HP3</v>
      </c>
      <c r="Y1704" s="153" t="str">
        <f t="array" ref="Y1704">INDEX(xlRTTYNAME,MATCH(1,(xlRTTYENDU=2)*(xlRTTYEQCL=$F1704)*(xlRTEQTYPE=$G1704),0))</f>
        <v>GEO_HP3</v>
      </c>
    </row>
    <row r="1705" spans="1:25" s="157" customFormat="1" ht="14.25" customHeight="1" x14ac:dyDescent="0.2">
      <c r="A1705"/>
      <c r="B1705" s="126">
        <v>4</v>
      </c>
      <c r="C1705" s="126">
        <v>2</v>
      </c>
      <c r="D1705" s="126">
        <v>10</v>
      </c>
      <c r="E1705" s="126">
        <v>34</v>
      </c>
      <c r="F1705" s="126">
        <v>4</v>
      </c>
      <c r="G1705" s="126">
        <v>15</v>
      </c>
      <c r="H1705" s="126">
        <v>2016</v>
      </c>
      <c r="I1705" s="159">
        <v>2022</v>
      </c>
      <c r="J1705" s="127">
        <v>1.1033999999999999</v>
      </c>
      <c r="K1705" s="127">
        <v>1.0556000000000001</v>
      </c>
      <c r="L1705" s="127">
        <v>0.98229999999999995</v>
      </c>
      <c r="M1705" s="127">
        <v>1.1313</v>
      </c>
      <c r="N1705" s="127">
        <v>1.1753</v>
      </c>
      <c r="O1705" s="127">
        <v>1.0538000000000001</v>
      </c>
      <c r="P1705" s="126">
        <v>2300</v>
      </c>
      <c r="Q1705" s="128">
        <f t="array" ref="Q1705">SUM(IF(($S1705&gt;=4)*($C1705='TaxCred&amp;Subs'!$D$123:$D$127)*($H1705='TaxCred&amp;Subs'!$C$123:$C$127)*($H1705&lt;='TaxCred&amp;Subs'!$C$129),'TaxCred&amp;Subs'!$E$123:$E$127,0))</f>
        <v>0</v>
      </c>
      <c r="R1705" s="174">
        <v>0</v>
      </c>
      <c r="S1705" s="126">
        <v>4</v>
      </c>
      <c r="T1705" s="126" t="s">
        <v>248</v>
      </c>
      <c r="U1705"/>
      <c r="V1705" s="153" t="str">
        <f t="array" ref="V1705">INDEX(xlRTCLNAME,MATCH(1,(xlRTCLENDU=1)*(xlRTCLEQCL=$D1705),0))</f>
        <v>GEO_HP</v>
      </c>
      <c r="W1705" s="153" t="str">
        <f t="array" ref="W1705">INDEX(xlRTCLNAME,MATCH(1,(xlRTCLENDU=2)*(xlRTCLEQCL=$F1705),0))</f>
        <v>GEO_HP</v>
      </c>
      <c r="X1705" s="153" t="str">
        <f t="array" ref="X1705">INDEX(xlRTTYNAME,MATCH(1,(xlRTTYENDU=1)*(xlRTTYEQCL=$D1705)*(xlRTEQTYPE=$E1705),0))</f>
        <v>GEO_HP3</v>
      </c>
      <c r="Y1705" s="153" t="str">
        <f t="array" ref="Y1705">INDEX(xlRTTYNAME,MATCH(1,(xlRTTYENDU=2)*(xlRTTYEQCL=$F1705)*(xlRTEQTYPE=$G1705),0))</f>
        <v>GEO_HP3</v>
      </c>
    </row>
    <row r="1706" spans="1:25" s="157" customFormat="1" ht="14.25" customHeight="1" x14ac:dyDescent="0.2">
      <c r="A1706"/>
      <c r="B1706" s="49">
        <v>4</v>
      </c>
      <c r="C1706" s="49">
        <v>2</v>
      </c>
      <c r="D1706" s="49">
        <v>10</v>
      </c>
      <c r="E1706" s="49">
        <v>34</v>
      </c>
      <c r="F1706" s="49">
        <v>4</v>
      </c>
      <c r="G1706" s="49">
        <v>15</v>
      </c>
      <c r="H1706" s="49">
        <v>2023</v>
      </c>
      <c r="I1706" s="49">
        <v>2032</v>
      </c>
      <c r="J1706" s="50">
        <v>1.1033999999999999</v>
      </c>
      <c r="K1706" s="50">
        <v>1.0556000000000001</v>
      </c>
      <c r="L1706" s="50">
        <v>0.98229999999999995</v>
      </c>
      <c r="M1706" s="50">
        <v>1.1313</v>
      </c>
      <c r="N1706" s="50">
        <v>1.1753</v>
      </c>
      <c r="O1706" s="50">
        <v>1.0538000000000001</v>
      </c>
      <c r="P1706" s="49">
        <v>2300</v>
      </c>
      <c r="Q1706" s="51">
        <f t="array" ref="Q1706">SUM(IF(($S1706&gt;=4)*($C1706='TaxCred&amp;Subs'!$D$123:$D$127)*($H1706='TaxCred&amp;Subs'!$C$123:$C$127)*($H1706&lt;='TaxCred&amp;Subs'!$C$129),'TaxCred&amp;Subs'!$E$123:$E$127,0))</f>
        <v>500</v>
      </c>
      <c r="R1706" s="171">
        <v>0</v>
      </c>
      <c r="S1706" s="49">
        <v>4</v>
      </c>
      <c r="T1706" s="49" t="s">
        <v>248</v>
      </c>
      <c r="U1706"/>
      <c r="V1706" s="153" t="str">
        <f t="array" ref="V1706">INDEX(xlRTCLNAME,MATCH(1,(xlRTCLENDU=1)*(xlRTCLEQCL=$D1706),0))</f>
        <v>GEO_HP</v>
      </c>
      <c r="W1706" s="153" t="str">
        <f t="array" ref="W1706">INDEX(xlRTCLNAME,MATCH(1,(xlRTCLENDU=2)*(xlRTCLEQCL=$F1706),0))</f>
        <v>GEO_HP</v>
      </c>
      <c r="X1706" s="153" t="str">
        <f t="array" ref="X1706">INDEX(xlRTTYNAME,MATCH(1,(xlRTTYENDU=1)*(xlRTTYEQCL=$D1706)*(xlRTEQTYPE=$E1706),0))</f>
        <v>GEO_HP3</v>
      </c>
      <c r="Y1706" s="153" t="str">
        <f t="array" ref="Y1706">INDEX(xlRTTYNAME,MATCH(1,(xlRTTYENDU=2)*(xlRTTYEQCL=$F1706)*(xlRTEQTYPE=$G1706),0))</f>
        <v>GEO_HP3</v>
      </c>
    </row>
    <row r="1707" spans="1:25" s="157" customFormat="1" ht="14.25" customHeight="1" x14ac:dyDescent="0.2">
      <c r="A1707"/>
      <c r="B1707" s="49">
        <v>4</v>
      </c>
      <c r="C1707" s="49">
        <v>2</v>
      </c>
      <c r="D1707" s="49">
        <v>10</v>
      </c>
      <c r="E1707" s="49">
        <v>34</v>
      </c>
      <c r="F1707" s="49">
        <v>4</v>
      </c>
      <c r="G1707" s="49">
        <v>15</v>
      </c>
      <c r="H1707" s="49">
        <v>2033</v>
      </c>
      <c r="I1707" s="49">
        <v>2050</v>
      </c>
      <c r="J1707" s="50">
        <v>1.1033999999999999</v>
      </c>
      <c r="K1707" s="50">
        <v>1.0556000000000001</v>
      </c>
      <c r="L1707" s="50">
        <v>0.98229999999999995</v>
      </c>
      <c r="M1707" s="50">
        <v>1.1313</v>
      </c>
      <c r="N1707" s="50">
        <v>1.1753</v>
      </c>
      <c r="O1707" s="50">
        <v>1.0538000000000001</v>
      </c>
      <c r="P1707" s="49">
        <v>2300</v>
      </c>
      <c r="Q1707" s="51">
        <f t="array" ref="Q1707">SUM(IF(($S1707&gt;=4)*($C1707='TaxCred&amp;Subs'!$D$123:$D$127)*($H1707='TaxCred&amp;Subs'!$C$123:$C$127)*($H1707&lt;='TaxCred&amp;Subs'!$C$129),'TaxCred&amp;Subs'!$E$123:$E$127,0))</f>
        <v>0</v>
      </c>
      <c r="R1707" s="171">
        <v>0</v>
      </c>
      <c r="S1707" s="49">
        <v>4</v>
      </c>
      <c r="T1707" s="49" t="s">
        <v>248</v>
      </c>
      <c r="U1707"/>
      <c r="V1707" s="153" t="str">
        <f t="array" ref="V1707">INDEX(xlRTCLNAME,MATCH(1,(xlRTCLENDU=1)*(xlRTCLEQCL=$D1707),0))</f>
        <v>GEO_HP</v>
      </c>
      <c r="W1707" s="153" t="str">
        <f t="array" ref="W1707">INDEX(xlRTCLNAME,MATCH(1,(xlRTCLENDU=2)*(xlRTCLEQCL=$F1707),0))</f>
        <v>GEO_HP</v>
      </c>
      <c r="X1707" s="153" t="str">
        <f t="array" ref="X1707">INDEX(xlRTTYNAME,MATCH(1,(xlRTTYENDU=1)*(xlRTTYEQCL=$D1707)*(xlRTEQTYPE=$E1707),0))</f>
        <v>GEO_HP3</v>
      </c>
      <c r="Y1707" s="153" t="str">
        <f t="array" ref="Y1707">INDEX(xlRTTYNAME,MATCH(1,(xlRTTYENDU=2)*(xlRTTYEQCL=$F1707)*(xlRTEQTYPE=$G1707),0))</f>
        <v>GEO_HP3</v>
      </c>
    </row>
    <row r="1708" spans="1:25" s="157" customFormat="1" ht="14.25" customHeight="1" x14ac:dyDescent="0.2">
      <c r="A1708"/>
      <c r="B1708" s="126">
        <v>5</v>
      </c>
      <c r="C1708" s="126">
        <v>2</v>
      </c>
      <c r="D1708" s="126">
        <v>10</v>
      </c>
      <c r="E1708" s="126">
        <v>34</v>
      </c>
      <c r="F1708" s="126">
        <v>4</v>
      </c>
      <c r="G1708" s="126">
        <v>15</v>
      </c>
      <c r="H1708" s="126">
        <v>2016</v>
      </c>
      <c r="I1708" s="159">
        <v>2022</v>
      </c>
      <c r="J1708" s="127">
        <v>1.03</v>
      </c>
      <c r="K1708" s="127">
        <v>1.0512999999999999</v>
      </c>
      <c r="L1708" s="127">
        <v>0.44379999999999997</v>
      </c>
      <c r="M1708" s="127">
        <v>1.1128</v>
      </c>
      <c r="N1708" s="127">
        <v>1.2490000000000001</v>
      </c>
      <c r="O1708" s="127">
        <v>1.0538000000000001</v>
      </c>
      <c r="P1708" s="126">
        <v>2051</v>
      </c>
      <c r="Q1708" s="128">
        <f t="array" ref="Q1708">SUM(IF(($S1708&gt;=4)*($C1708='TaxCred&amp;Subs'!$D$123:$D$127)*($H1708='TaxCred&amp;Subs'!$C$123:$C$127)*($H1708&lt;='TaxCred&amp;Subs'!$C$129),'TaxCred&amp;Subs'!$E$123:$E$127,0))</f>
        <v>0</v>
      </c>
      <c r="R1708" s="174">
        <v>0</v>
      </c>
      <c r="S1708" s="126">
        <v>4</v>
      </c>
      <c r="T1708" s="126" t="s">
        <v>248</v>
      </c>
      <c r="U1708"/>
      <c r="V1708" s="153" t="str">
        <f t="array" ref="V1708">INDEX(xlRTCLNAME,MATCH(1,(xlRTCLENDU=1)*(xlRTCLEQCL=$D1708),0))</f>
        <v>GEO_HP</v>
      </c>
      <c r="W1708" s="153" t="str">
        <f t="array" ref="W1708">INDEX(xlRTCLNAME,MATCH(1,(xlRTCLENDU=2)*(xlRTCLEQCL=$F1708),0))</f>
        <v>GEO_HP</v>
      </c>
      <c r="X1708" s="153" t="str">
        <f t="array" ref="X1708">INDEX(xlRTTYNAME,MATCH(1,(xlRTTYENDU=1)*(xlRTTYEQCL=$D1708)*(xlRTEQTYPE=$E1708),0))</f>
        <v>GEO_HP3</v>
      </c>
      <c r="Y1708" s="153" t="str">
        <f t="array" ref="Y1708">INDEX(xlRTTYNAME,MATCH(1,(xlRTTYENDU=2)*(xlRTTYEQCL=$F1708)*(xlRTEQTYPE=$G1708),0))</f>
        <v>GEO_HP3</v>
      </c>
    </row>
    <row r="1709" spans="1:25" s="157" customFormat="1" ht="14.25" customHeight="1" x14ac:dyDescent="0.2">
      <c r="A1709"/>
      <c r="B1709" s="49">
        <v>5</v>
      </c>
      <c r="C1709" s="49">
        <v>2</v>
      </c>
      <c r="D1709" s="49">
        <v>10</v>
      </c>
      <c r="E1709" s="49">
        <v>34</v>
      </c>
      <c r="F1709" s="49">
        <v>4</v>
      </c>
      <c r="G1709" s="49">
        <v>15</v>
      </c>
      <c r="H1709" s="49">
        <v>2023</v>
      </c>
      <c r="I1709" s="49">
        <v>2032</v>
      </c>
      <c r="J1709" s="50">
        <v>1.03</v>
      </c>
      <c r="K1709" s="50">
        <v>1.0512999999999999</v>
      </c>
      <c r="L1709" s="50">
        <v>0.44379999999999997</v>
      </c>
      <c r="M1709" s="50">
        <v>1.1128</v>
      </c>
      <c r="N1709" s="50">
        <v>1.2490000000000001</v>
      </c>
      <c r="O1709" s="50">
        <v>1.0538000000000001</v>
      </c>
      <c r="P1709" s="49">
        <v>2051</v>
      </c>
      <c r="Q1709" s="51">
        <f t="array" ref="Q1709">SUM(IF(($S1709&gt;=4)*($C1709='TaxCred&amp;Subs'!$D$123:$D$127)*($H1709='TaxCred&amp;Subs'!$C$123:$C$127)*($H1709&lt;='TaxCred&amp;Subs'!$C$129),'TaxCred&amp;Subs'!$E$123:$E$127,0))</f>
        <v>500</v>
      </c>
      <c r="R1709" s="171">
        <v>0</v>
      </c>
      <c r="S1709" s="49">
        <v>4</v>
      </c>
      <c r="T1709" s="49" t="s">
        <v>248</v>
      </c>
      <c r="U1709"/>
      <c r="V1709" s="153" t="str">
        <f t="array" ref="V1709">INDEX(xlRTCLNAME,MATCH(1,(xlRTCLENDU=1)*(xlRTCLEQCL=$D1709),0))</f>
        <v>GEO_HP</v>
      </c>
      <c r="W1709" s="153" t="str">
        <f t="array" ref="W1709">INDEX(xlRTCLNAME,MATCH(1,(xlRTCLENDU=2)*(xlRTCLEQCL=$F1709),0))</f>
        <v>GEO_HP</v>
      </c>
      <c r="X1709" s="153" t="str">
        <f t="array" ref="X1709">INDEX(xlRTTYNAME,MATCH(1,(xlRTTYENDU=1)*(xlRTTYEQCL=$D1709)*(xlRTEQTYPE=$E1709),0))</f>
        <v>GEO_HP3</v>
      </c>
      <c r="Y1709" s="153" t="str">
        <f t="array" ref="Y1709">INDEX(xlRTTYNAME,MATCH(1,(xlRTTYENDU=2)*(xlRTTYEQCL=$F1709)*(xlRTEQTYPE=$G1709),0))</f>
        <v>GEO_HP3</v>
      </c>
    </row>
    <row r="1710" spans="1:25" s="157" customFormat="1" ht="14.25" customHeight="1" x14ac:dyDescent="0.2">
      <c r="A1710"/>
      <c r="B1710" s="49">
        <v>5</v>
      </c>
      <c r="C1710" s="49">
        <v>2</v>
      </c>
      <c r="D1710" s="49">
        <v>10</v>
      </c>
      <c r="E1710" s="49">
        <v>34</v>
      </c>
      <c r="F1710" s="49">
        <v>4</v>
      </c>
      <c r="G1710" s="49">
        <v>15</v>
      </c>
      <c r="H1710" s="49">
        <v>2033</v>
      </c>
      <c r="I1710" s="49">
        <v>2050</v>
      </c>
      <c r="J1710" s="50">
        <v>1.03</v>
      </c>
      <c r="K1710" s="50">
        <v>1.0512999999999999</v>
      </c>
      <c r="L1710" s="50">
        <v>0.44379999999999997</v>
      </c>
      <c r="M1710" s="50">
        <v>1.1128</v>
      </c>
      <c r="N1710" s="50">
        <v>1.2490000000000001</v>
      </c>
      <c r="O1710" s="50">
        <v>1.0538000000000001</v>
      </c>
      <c r="P1710" s="49">
        <v>2051</v>
      </c>
      <c r="Q1710" s="51">
        <f t="array" ref="Q1710">SUM(IF(($S1710&gt;=4)*($C1710='TaxCred&amp;Subs'!$D$123:$D$127)*($H1710='TaxCred&amp;Subs'!$C$123:$C$127)*($H1710&lt;='TaxCred&amp;Subs'!$C$129),'TaxCred&amp;Subs'!$E$123:$E$127,0))</f>
        <v>0</v>
      </c>
      <c r="R1710" s="171">
        <v>0</v>
      </c>
      <c r="S1710" s="49">
        <v>4</v>
      </c>
      <c r="T1710" s="49" t="s">
        <v>248</v>
      </c>
      <c r="U1710"/>
      <c r="V1710" s="153" t="str">
        <f t="array" ref="V1710">INDEX(xlRTCLNAME,MATCH(1,(xlRTCLENDU=1)*(xlRTCLEQCL=$D1710),0))</f>
        <v>GEO_HP</v>
      </c>
      <c r="W1710" s="153" t="str">
        <f t="array" ref="W1710">INDEX(xlRTCLNAME,MATCH(1,(xlRTCLENDU=2)*(xlRTCLEQCL=$F1710),0))</f>
        <v>GEO_HP</v>
      </c>
      <c r="X1710" s="153" t="str">
        <f t="array" ref="X1710">INDEX(xlRTTYNAME,MATCH(1,(xlRTTYENDU=1)*(xlRTTYEQCL=$D1710)*(xlRTEQTYPE=$E1710),0))</f>
        <v>GEO_HP3</v>
      </c>
      <c r="Y1710" s="153" t="str">
        <f t="array" ref="Y1710">INDEX(xlRTTYNAME,MATCH(1,(xlRTTYENDU=2)*(xlRTTYEQCL=$F1710)*(xlRTEQTYPE=$G1710),0))</f>
        <v>GEO_HP3</v>
      </c>
    </row>
    <row r="1711" spans="1:25" s="157" customFormat="1" ht="14.25" customHeight="1" x14ac:dyDescent="0.2">
      <c r="A1711"/>
      <c r="B1711" s="126">
        <v>6</v>
      </c>
      <c r="C1711" s="126">
        <v>2</v>
      </c>
      <c r="D1711" s="126">
        <v>10</v>
      </c>
      <c r="E1711" s="126">
        <v>34</v>
      </c>
      <c r="F1711" s="126">
        <v>4</v>
      </c>
      <c r="G1711" s="126">
        <v>15</v>
      </c>
      <c r="H1711" s="126">
        <v>2016</v>
      </c>
      <c r="I1711" s="159">
        <v>2022</v>
      </c>
      <c r="J1711" s="127">
        <v>1.1200000000000001</v>
      </c>
      <c r="K1711" s="127">
        <v>1.03</v>
      </c>
      <c r="L1711" s="127">
        <v>0.94379999999999997</v>
      </c>
      <c r="M1711" s="127">
        <v>1.1440999999999999</v>
      </c>
      <c r="N1711" s="127">
        <v>1.3656999999999999</v>
      </c>
      <c r="O1711" s="127">
        <v>1.0538000000000001</v>
      </c>
      <c r="P1711" s="126">
        <v>2260</v>
      </c>
      <c r="Q1711" s="128">
        <f t="array" ref="Q1711">SUM(IF(($S1711&gt;=4)*($C1711='TaxCred&amp;Subs'!$D$123:$D$127)*($H1711='TaxCred&amp;Subs'!$C$123:$C$127)*($H1711&lt;='TaxCred&amp;Subs'!$C$129),'TaxCred&amp;Subs'!$E$123:$E$127,0))</f>
        <v>0</v>
      </c>
      <c r="R1711" s="174">
        <v>0</v>
      </c>
      <c r="S1711" s="126">
        <v>4</v>
      </c>
      <c r="T1711" s="126" t="s">
        <v>248</v>
      </c>
      <c r="U1711"/>
      <c r="V1711" s="153" t="str">
        <f t="array" ref="V1711">INDEX(xlRTCLNAME,MATCH(1,(xlRTCLENDU=1)*(xlRTCLEQCL=$D1711),0))</f>
        <v>GEO_HP</v>
      </c>
      <c r="W1711" s="153" t="str">
        <f t="array" ref="W1711">INDEX(xlRTCLNAME,MATCH(1,(xlRTCLENDU=2)*(xlRTCLEQCL=$F1711),0))</f>
        <v>GEO_HP</v>
      </c>
      <c r="X1711" s="153" t="str">
        <f t="array" ref="X1711">INDEX(xlRTTYNAME,MATCH(1,(xlRTTYENDU=1)*(xlRTTYEQCL=$D1711)*(xlRTEQTYPE=$E1711),0))</f>
        <v>GEO_HP3</v>
      </c>
      <c r="Y1711" s="153" t="str">
        <f t="array" ref="Y1711">INDEX(xlRTTYNAME,MATCH(1,(xlRTTYENDU=2)*(xlRTTYEQCL=$F1711)*(xlRTEQTYPE=$G1711),0))</f>
        <v>GEO_HP3</v>
      </c>
    </row>
    <row r="1712" spans="1:25" s="157" customFormat="1" ht="14.25" customHeight="1" x14ac:dyDescent="0.2">
      <c r="A1712"/>
      <c r="B1712" s="49">
        <v>6</v>
      </c>
      <c r="C1712" s="49">
        <v>2</v>
      </c>
      <c r="D1712" s="49">
        <v>10</v>
      </c>
      <c r="E1712" s="49">
        <v>34</v>
      </c>
      <c r="F1712" s="49">
        <v>4</v>
      </c>
      <c r="G1712" s="49">
        <v>15</v>
      </c>
      <c r="H1712" s="49">
        <v>2023</v>
      </c>
      <c r="I1712" s="49">
        <v>2032</v>
      </c>
      <c r="J1712" s="50">
        <v>1.1200000000000001</v>
      </c>
      <c r="K1712" s="50">
        <v>1.03</v>
      </c>
      <c r="L1712" s="50">
        <v>0.94379999999999997</v>
      </c>
      <c r="M1712" s="50">
        <v>1.1440999999999999</v>
      </c>
      <c r="N1712" s="50">
        <v>1.3656999999999999</v>
      </c>
      <c r="O1712" s="50">
        <v>1.0538000000000001</v>
      </c>
      <c r="P1712" s="49">
        <v>2260</v>
      </c>
      <c r="Q1712" s="51">
        <f t="array" ref="Q1712">SUM(IF(($S1712&gt;=4)*($C1712='TaxCred&amp;Subs'!$D$123:$D$127)*($H1712='TaxCred&amp;Subs'!$C$123:$C$127)*($H1712&lt;='TaxCred&amp;Subs'!$C$129),'TaxCred&amp;Subs'!$E$123:$E$127,0))</f>
        <v>500</v>
      </c>
      <c r="R1712" s="171">
        <v>0</v>
      </c>
      <c r="S1712" s="49">
        <v>4</v>
      </c>
      <c r="T1712" s="49" t="s">
        <v>248</v>
      </c>
      <c r="U1712"/>
      <c r="V1712" s="153" t="str">
        <f t="array" ref="V1712">INDEX(xlRTCLNAME,MATCH(1,(xlRTCLENDU=1)*(xlRTCLEQCL=$D1712),0))</f>
        <v>GEO_HP</v>
      </c>
      <c r="W1712" s="153" t="str">
        <f t="array" ref="W1712">INDEX(xlRTCLNAME,MATCH(1,(xlRTCLENDU=2)*(xlRTCLEQCL=$F1712),0))</f>
        <v>GEO_HP</v>
      </c>
      <c r="X1712" s="153" t="str">
        <f t="array" ref="X1712">INDEX(xlRTTYNAME,MATCH(1,(xlRTTYENDU=1)*(xlRTTYEQCL=$D1712)*(xlRTEQTYPE=$E1712),0))</f>
        <v>GEO_HP3</v>
      </c>
      <c r="Y1712" s="153" t="str">
        <f t="array" ref="Y1712">INDEX(xlRTTYNAME,MATCH(1,(xlRTTYENDU=2)*(xlRTTYEQCL=$F1712)*(xlRTEQTYPE=$G1712),0))</f>
        <v>GEO_HP3</v>
      </c>
    </row>
    <row r="1713" spans="1:25" s="157" customFormat="1" ht="14.25" customHeight="1" x14ac:dyDescent="0.2">
      <c r="A1713"/>
      <c r="B1713" s="49">
        <v>6</v>
      </c>
      <c r="C1713" s="49">
        <v>2</v>
      </c>
      <c r="D1713" s="49">
        <v>10</v>
      </c>
      <c r="E1713" s="49">
        <v>34</v>
      </c>
      <c r="F1713" s="49">
        <v>4</v>
      </c>
      <c r="G1713" s="49">
        <v>15</v>
      </c>
      <c r="H1713" s="49">
        <v>2033</v>
      </c>
      <c r="I1713" s="49">
        <v>2050</v>
      </c>
      <c r="J1713" s="50">
        <v>1.1200000000000001</v>
      </c>
      <c r="K1713" s="50">
        <v>1.03</v>
      </c>
      <c r="L1713" s="50">
        <v>0.94379999999999997</v>
      </c>
      <c r="M1713" s="50">
        <v>1.1440999999999999</v>
      </c>
      <c r="N1713" s="50">
        <v>1.3656999999999999</v>
      </c>
      <c r="O1713" s="50">
        <v>1.0538000000000001</v>
      </c>
      <c r="P1713" s="49">
        <v>2260</v>
      </c>
      <c r="Q1713" s="51">
        <f t="array" ref="Q1713">SUM(IF(($S1713&gt;=4)*($C1713='TaxCred&amp;Subs'!$D$123:$D$127)*($H1713='TaxCred&amp;Subs'!$C$123:$C$127)*($H1713&lt;='TaxCred&amp;Subs'!$C$129),'TaxCred&amp;Subs'!$E$123:$E$127,0))</f>
        <v>0</v>
      </c>
      <c r="R1713" s="171">
        <v>0</v>
      </c>
      <c r="S1713" s="49">
        <v>4</v>
      </c>
      <c r="T1713" s="49" t="s">
        <v>248</v>
      </c>
      <c r="U1713"/>
      <c r="V1713" s="153" t="str">
        <f t="array" ref="V1713">INDEX(xlRTCLNAME,MATCH(1,(xlRTCLENDU=1)*(xlRTCLEQCL=$D1713),0))</f>
        <v>GEO_HP</v>
      </c>
      <c r="W1713" s="153" t="str">
        <f t="array" ref="W1713">INDEX(xlRTCLNAME,MATCH(1,(xlRTCLENDU=2)*(xlRTCLEQCL=$F1713),0))</f>
        <v>GEO_HP</v>
      </c>
      <c r="X1713" s="153" t="str">
        <f t="array" ref="X1713">INDEX(xlRTTYNAME,MATCH(1,(xlRTTYENDU=1)*(xlRTTYEQCL=$D1713)*(xlRTEQTYPE=$E1713),0))</f>
        <v>GEO_HP3</v>
      </c>
      <c r="Y1713" s="153" t="str">
        <f t="array" ref="Y1713">INDEX(xlRTTYNAME,MATCH(1,(xlRTTYENDU=2)*(xlRTTYEQCL=$F1713)*(xlRTEQTYPE=$G1713),0))</f>
        <v>GEO_HP3</v>
      </c>
    </row>
    <row r="1714" spans="1:25" s="157" customFormat="1" ht="14.25" customHeight="1" x14ac:dyDescent="0.2">
      <c r="A1714"/>
      <c r="B1714" s="126">
        <v>7</v>
      </c>
      <c r="C1714" s="126">
        <v>2</v>
      </c>
      <c r="D1714" s="126">
        <v>10</v>
      </c>
      <c r="E1714" s="126">
        <v>34</v>
      </c>
      <c r="F1714" s="126">
        <v>4</v>
      </c>
      <c r="G1714" s="126">
        <v>15</v>
      </c>
      <c r="H1714" s="126">
        <v>2016</v>
      </c>
      <c r="I1714" s="159">
        <v>2022</v>
      </c>
      <c r="J1714" s="127">
        <v>1.03</v>
      </c>
      <c r="K1714" s="127">
        <v>1.0611999999999999</v>
      </c>
      <c r="L1714" s="127">
        <v>0.94379999999999997</v>
      </c>
      <c r="M1714" s="127">
        <v>1.1568000000000001</v>
      </c>
      <c r="N1714" s="127">
        <v>1.4438</v>
      </c>
      <c r="O1714" s="127">
        <v>1.0538000000000001</v>
      </c>
      <c r="P1714" s="126">
        <v>1512</v>
      </c>
      <c r="Q1714" s="128">
        <f t="array" ref="Q1714">SUM(IF(($S1714&gt;=4)*($C1714='TaxCred&amp;Subs'!$D$123:$D$127)*($H1714='TaxCred&amp;Subs'!$C$123:$C$127)*($H1714&lt;='TaxCred&amp;Subs'!$C$129),'TaxCred&amp;Subs'!$E$123:$E$127,0))</f>
        <v>0</v>
      </c>
      <c r="R1714" s="174">
        <v>0</v>
      </c>
      <c r="S1714" s="126">
        <v>4</v>
      </c>
      <c r="T1714" s="126" t="s">
        <v>248</v>
      </c>
      <c r="U1714"/>
      <c r="V1714" s="153" t="str">
        <f t="array" ref="V1714">INDEX(xlRTCLNAME,MATCH(1,(xlRTCLENDU=1)*(xlRTCLEQCL=$D1714),0))</f>
        <v>GEO_HP</v>
      </c>
      <c r="W1714" s="153" t="str">
        <f t="array" ref="W1714">INDEX(xlRTCLNAME,MATCH(1,(xlRTCLENDU=2)*(xlRTCLEQCL=$F1714),0))</f>
        <v>GEO_HP</v>
      </c>
      <c r="X1714" s="153" t="str">
        <f t="array" ref="X1714">INDEX(xlRTTYNAME,MATCH(1,(xlRTTYENDU=1)*(xlRTTYEQCL=$D1714)*(xlRTEQTYPE=$E1714),0))</f>
        <v>GEO_HP3</v>
      </c>
      <c r="Y1714" s="153" t="str">
        <f t="array" ref="Y1714">INDEX(xlRTTYNAME,MATCH(1,(xlRTTYENDU=2)*(xlRTTYEQCL=$F1714)*(xlRTEQTYPE=$G1714),0))</f>
        <v>GEO_HP3</v>
      </c>
    </row>
    <row r="1715" spans="1:25" s="157" customFormat="1" ht="14.25" customHeight="1" x14ac:dyDescent="0.2">
      <c r="A1715"/>
      <c r="B1715" s="49">
        <v>7</v>
      </c>
      <c r="C1715" s="49">
        <v>2</v>
      </c>
      <c r="D1715" s="49">
        <v>10</v>
      </c>
      <c r="E1715" s="49">
        <v>34</v>
      </c>
      <c r="F1715" s="49">
        <v>4</v>
      </c>
      <c r="G1715" s="49">
        <v>15</v>
      </c>
      <c r="H1715" s="49">
        <v>2023</v>
      </c>
      <c r="I1715" s="49">
        <v>2032</v>
      </c>
      <c r="J1715" s="50">
        <v>1.03</v>
      </c>
      <c r="K1715" s="50">
        <v>1.0611999999999999</v>
      </c>
      <c r="L1715" s="50">
        <v>0.94379999999999997</v>
      </c>
      <c r="M1715" s="50">
        <v>1.1568000000000001</v>
      </c>
      <c r="N1715" s="50">
        <v>1.4438</v>
      </c>
      <c r="O1715" s="50">
        <v>1.0538000000000001</v>
      </c>
      <c r="P1715" s="49">
        <v>1512</v>
      </c>
      <c r="Q1715" s="51">
        <f t="array" ref="Q1715">SUM(IF(($S1715&gt;=4)*($C1715='TaxCred&amp;Subs'!$D$123:$D$127)*($H1715='TaxCred&amp;Subs'!$C$123:$C$127)*($H1715&lt;='TaxCred&amp;Subs'!$C$129),'TaxCred&amp;Subs'!$E$123:$E$127,0))</f>
        <v>500</v>
      </c>
      <c r="R1715" s="171">
        <v>0</v>
      </c>
      <c r="S1715" s="49">
        <v>4</v>
      </c>
      <c r="T1715" s="49" t="s">
        <v>248</v>
      </c>
      <c r="U1715"/>
      <c r="V1715" s="153" t="str">
        <f t="array" ref="V1715">INDEX(xlRTCLNAME,MATCH(1,(xlRTCLENDU=1)*(xlRTCLEQCL=$D1715),0))</f>
        <v>GEO_HP</v>
      </c>
      <c r="W1715" s="153" t="str">
        <f t="array" ref="W1715">INDEX(xlRTCLNAME,MATCH(1,(xlRTCLENDU=2)*(xlRTCLEQCL=$F1715),0))</f>
        <v>GEO_HP</v>
      </c>
      <c r="X1715" s="153" t="str">
        <f t="array" ref="X1715">INDEX(xlRTTYNAME,MATCH(1,(xlRTTYENDU=1)*(xlRTTYEQCL=$D1715)*(xlRTEQTYPE=$E1715),0))</f>
        <v>GEO_HP3</v>
      </c>
      <c r="Y1715" s="153" t="str">
        <f t="array" ref="Y1715">INDEX(xlRTTYNAME,MATCH(1,(xlRTTYENDU=2)*(xlRTTYEQCL=$F1715)*(xlRTEQTYPE=$G1715),0))</f>
        <v>GEO_HP3</v>
      </c>
    </row>
    <row r="1716" spans="1:25" s="157" customFormat="1" ht="14.25" customHeight="1" x14ac:dyDescent="0.2">
      <c r="A1716"/>
      <c r="B1716" s="49">
        <v>7</v>
      </c>
      <c r="C1716" s="49">
        <v>2</v>
      </c>
      <c r="D1716" s="49">
        <v>10</v>
      </c>
      <c r="E1716" s="49">
        <v>34</v>
      </c>
      <c r="F1716" s="49">
        <v>4</v>
      </c>
      <c r="G1716" s="49">
        <v>15</v>
      </c>
      <c r="H1716" s="49">
        <v>2033</v>
      </c>
      <c r="I1716" s="49">
        <v>2050</v>
      </c>
      <c r="J1716" s="50">
        <v>1.03</v>
      </c>
      <c r="K1716" s="50">
        <v>1.0611999999999999</v>
      </c>
      <c r="L1716" s="50">
        <v>0.94379999999999997</v>
      </c>
      <c r="M1716" s="50">
        <v>1.1568000000000001</v>
      </c>
      <c r="N1716" s="50">
        <v>1.4438</v>
      </c>
      <c r="O1716" s="50">
        <v>1.0538000000000001</v>
      </c>
      <c r="P1716" s="49">
        <v>1512</v>
      </c>
      <c r="Q1716" s="51">
        <f t="array" ref="Q1716">SUM(IF(($S1716&gt;=4)*($C1716='TaxCred&amp;Subs'!$D$123:$D$127)*($H1716='TaxCred&amp;Subs'!$C$123:$C$127)*($H1716&lt;='TaxCred&amp;Subs'!$C$129),'TaxCred&amp;Subs'!$E$123:$E$127,0))</f>
        <v>0</v>
      </c>
      <c r="R1716" s="171">
        <v>0</v>
      </c>
      <c r="S1716" s="49">
        <v>4</v>
      </c>
      <c r="T1716" s="49" t="s">
        <v>248</v>
      </c>
      <c r="U1716"/>
      <c r="V1716" s="153" t="str">
        <f t="array" ref="V1716">INDEX(xlRTCLNAME,MATCH(1,(xlRTCLENDU=1)*(xlRTCLEQCL=$D1716),0))</f>
        <v>GEO_HP</v>
      </c>
      <c r="W1716" s="153" t="str">
        <f t="array" ref="W1716">INDEX(xlRTCLNAME,MATCH(1,(xlRTCLENDU=2)*(xlRTCLEQCL=$F1716),0))</f>
        <v>GEO_HP</v>
      </c>
      <c r="X1716" s="153" t="str">
        <f t="array" ref="X1716">INDEX(xlRTTYNAME,MATCH(1,(xlRTTYENDU=1)*(xlRTTYEQCL=$D1716)*(xlRTEQTYPE=$E1716),0))</f>
        <v>GEO_HP3</v>
      </c>
      <c r="Y1716" s="153" t="str">
        <f t="array" ref="Y1716">INDEX(xlRTTYNAME,MATCH(1,(xlRTTYENDU=2)*(xlRTTYEQCL=$F1716)*(xlRTEQTYPE=$G1716),0))</f>
        <v>GEO_HP3</v>
      </c>
    </row>
    <row r="1717" spans="1:25" s="157" customFormat="1" ht="14.25" customHeight="1" x14ac:dyDescent="0.2">
      <c r="A1717"/>
      <c r="B1717" s="126">
        <v>8</v>
      </c>
      <c r="C1717" s="126">
        <v>2</v>
      </c>
      <c r="D1717" s="126">
        <v>10</v>
      </c>
      <c r="E1717" s="126">
        <v>34</v>
      </c>
      <c r="F1717" s="126">
        <v>4</v>
      </c>
      <c r="G1717" s="126">
        <v>15</v>
      </c>
      <c r="H1717" s="126">
        <v>2016</v>
      </c>
      <c r="I1717" s="159">
        <v>2022</v>
      </c>
      <c r="J1717" s="127">
        <v>1.1111</v>
      </c>
      <c r="K1717" s="127">
        <v>1.0417000000000001</v>
      </c>
      <c r="L1717" s="127">
        <v>0.7772</v>
      </c>
      <c r="M1717" s="127">
        <v>1.2388999999999999</v>
      </c>
      <c r="N1717" s="127">
        <v>1.2907</v>
      </c>
      <c r="O1717" s="127">
        <v>1.0538000000000001</v>
      </c>
      <c r="P1717" s="126">
        <v>2501</v>
      </c>
      <c r="Q1717" s="128">
        <f t="array" ref="Q1717">SUM(IF(($S1717&gt;=4)*($C1717='TaxCred&amp;Subs'!$D$123:$D$127)*($H1717='TaxCred&amp;Subs'!$C$123:$C$127)*($H1717&lt;='TaxCred&amp;Subs'!$C$129),'TaxCred&amp;Subs'!$E$123:$E$127,0))</f>
        <v>0</v>
      </c>
      <c r="R1717" s="174">
        <v>0</v>
      </c>
      <c r="S1717" s="126">
        <v>4</v>
      </c>
      <c r="T1717" s="126" t="s">
        <v>248</v>
      </c>
      <c r="U1717"/>
      <c r="V1717" s="153" t="str">
        <f t="array" ref="V1717">INDEX(xlRTCLNAME,MATCH(1,(xlRTCLENDU=1)*(xlRTCLEQCL=$D1717),0))</f>
        <v>GEO_HP</v>
      </c>
      <c r="W1717" s="153" t="str">
        <f t="array" ref="W1717">INDEX(xlRTCLNAME,MATCH(1,(xlRTCLENDU=2)*(xlRTCLEQCL=$F1717),0))</f>
        <v>GEO_HP</v>
      </c>
      <c r="X1717" s="153" t="str">
        <f t="array" ref="X1717">INDEX(xlRTTYNAME,MATCH(1,(xlRTTYENDU=1)*(xlRTTYEQCL=$D1717)*(xlRTEQTYPE=$E1717),0))</f>
        <v>GEO_HP3</v>
      </c>
      <c r="Y1717" s="153" t="str">
        <f t="array" ref="Y1717">INDEX(xlRTTYNAME,MATCH(1,(xlRTTYENDU=2)*(xlRTTYEQCL=$F1717)*(xlRTEQTYPE=$G1717),0))</f>
        <v>GEO_HP3</v>
      </c>
    </row>
    <row r="1718" spans="1:25" s="157" customFormat="1" ht="14.25" customHeight="1" x14ac:dyDescent="0.2">
      <c r="A1718"/>
      <c r="B1718" s="49">
        <v>8</v>
      </c>
      <c r="C1718" s="49">
        <v>2</v>
      </c>
      <c r="D1718" s="49">
        <v>10</v>
      </c>
      <c r="E1718" s="49">
        <v>34</v>
      </c>
      <c r="F1718" s="49">
        <v>4</v>
      </c>
      <c r="G1718" s="49">
        <v>15</v>
      </c>
      <c r="H1718" s="49">
        <v>2023</v>
      </c>
      <c r="I1718" s="49">
        <v>2032</v>
      </c>
      <c r="J1718" s="50">
        <v>1.1111</v>
      </c>
      <c r="K1718" s="50">
        <v>1.0417000000000001</v>
      </c>
      <c r="L1718" s="50">
        <v>0.7772</v>
      </c>
      <c r="M1718" s="50">
        <v>1.2388999999999999</v>
      </c>
      <c r="N1718" s="50">
        <v>1.2907</v>
      </c>
      <c r="O1718" s="50">
        <v>1.0538000000000001</v>
      </c>
      <c r="P1718" s="49">
        <v>2501</v>
      </c>
      <c r="Q1718" s="51">
        <f t="array" ref="Q1718">SUM(IF(($S1718&gt;=4)*($C1718='TaxCred&amp;Subs'!$D$123:$D$127)*($H1718='TaxCred&amp;Subs'!$C$123:$C$127)*($H1718&lt;='TaxCred&amp;Subs'!$C$129),'TaxCred&amp;Subs'!$E$123:$E$127,0))</f>
        <v>500</v>
      </c>
      <c r="R1718" s="171">
        <v>0</v>
      </c>
      <c r="S1718" s="49">
        <v>4</v>
      </c>
      <c r="T1718" s="49" t="s">
        <v>248</v>
      </c>
      <c r="U1718"/>
      <c r="V1718" s="153" t="str">
        <f t="array" ref="V1718">INDEX(xlRTCLNAME,MATCH(1,(xlRTCLENDU=1)*(xlRTCLEQCL=$D1718),0))</f>
        <v>GEO_HP</v>
      </c>
      <c r="W1718" s="153" t="str">
        <f t="array" ref="W1718">INDEX(xlRTCLNAME,MATCH(1,(xlRTCLENDU=2)*(xlRTCLEQCL=$F1718),0))</f>
        <v>GEO_HP</v>
      </c>
      <c r="X1718" s="153" t="str">
        <f t="array" ref="X1718">INDEX(xlRTTYNAME,MATCH(1,(xlRTTYENDU=1)*(xlRTTYEQCL=$D1718)*(xlRTEQTYPE=$E1718),0))</f>
        <v>GEO_HP3</v>
      </c>
      <c r="Y1718" s="153" t="str">
        <f t="array" ref="Y1718">INDEX(xlRTTYNAME,MATCH(1,(xlRTTYENDU=2)*(xlRTTYEQCL=$F1718)*(xlRTEQTYPE=$G1718),0))</f>
        <v>GEO_HP3</v>
      </c>
    </row>
    <row r="1719" spans="1:25" s="157" customFormat="1" ht="14.25" customHeight="1" x14ac:dyDescent="0.2">
      <c r="A1719"/>
      <c r="B1719" s="49">
        <v>8</v>
      </c>
      <c r="C1719" s="49">
        <v>2</v>
      </c>
      <c r="D1719" s="49">
        <v>10</v>
      </c>
      <c r="E1719" s="49">
        <v>34</v>
      </c>
      <c r="F1719" s="49">
        <v>4</v>
      </c>
      <c r="G1719" s="49">
        <v>15</v>
      </c>
      <c r="H1719" s="49">
        <v>2033</v>
      </c>
      <c r="I1719" s="49">
        <v>2050</v>
      </c>
      <c r="J1719" s="50">
        <v>1.1111</v>
      </c>
      <c r="K1719" s="50">
        <v>1.0417000000000001</v>
      </c>
      <c r="L1719" s="50">
        <v>0.7772</v>
      </c>
      <c r="M1719" s="50">
        <v>1.2388999999999999</v>
      </c>
      <c r="N1719" s="50">
        <v>1.2907</v>
      </c>
      <c r="O1719" s="50">
        <v>1.0538000000000001</v>
      </c>
      <c r="P1719" s="49">
        <v>2501</v>
      </c>
      <c r="Q1719" s="51">
        <f t="array" ref="Q1719">SUM(IF(($S1719&gt;=4)*($C1719='TaxCred&amp;Subs'!$D$123:$D$127)*($H1719='TaxCred&amp;Subs'!$C$123:$C$127)*($H1719&lt;='TaxCred&amp;Subs'!$C$129),'TaxCred&amp;Subs'!$E$123:$E$127,0))</f>
        <v>0</v>
      </c>
      <c r="R1719" s="171">
        <v>0</v>
      </c>
      <c r="S1719" s="49">
        <v>4</v>
      </c>
      <c r="T1719" s="49" t="s">
        <v>248</v>
      </c>
      <c r="U1719"/>
      <c r="V1719" s="153" t="str">
        <f t="array" ref="V1719">INDEX(xlRTCLNAME,MATCH(1,(xlRTCLENDU=1)*(xlRTCLEQCL=$D1719),0))</f>
        <v>GEO_HP</v>
      </c>
      <c r="W1719" s="153" t="str">
        <f t="array" ref="W1719">INDEX(xlRTCLNAME,MATCH(1,(xlRTCLENDU=2)*(xlRTCLEQCL=$F1719),0))</f>
        <v>GEO_HP</v>
      </c>
      <c r="X1719" s="153" t="str">
        <f t="array" ref="X1719">INDEX(xlRTTYNAME,MATCH(1,(xlRTTYENDU=1)*(xlRTTYEQCL=$D1719)*(xlRTEQTYPE=$E1719),0))</f>
        <v>GEO_HP3</v>
      </c>
      <c r="Y1719" s="153" t="str">
        <f t="array" ref="Y1719">INDEX(xlRTTYNAME,MATCH(1,(xlRTTYENDU=2)*(xlRTTYEQCL=$F1719)*(xlRTEQTYPE=$G1719),0))</f>
        <v>GEO_HP3</v>
      </c>
    </row>
    <row r="1720" spans="1:25" s="157" customFormat="1" ht="14.25" customHeight="1" x14ac:dyDescent="0.2">
      <c r="A1720"/>
      <c r="B1720" s="126">
        <v>9</v>
      </c>
      <c r="C1720" s="126">
        <v>2</v>
      </c>
      <c r="D1720" s="126">
        <v>10</v>
      </c>
      <c r="E1720" s="126">
        <v>34</v>
      </c>
      <c r="F1720" s="126">
        <v>4</v>
      </c>
      <c r="G1720" s="126">
        <v>15</v>
      </c>
      <c r="H1720" s="126">
        <v>2016</v>
      </c>
      <c r="I1720" s="159">
        <v>2022</v>
      </c>
      <c r="J1720" s="127">
        <v>1.03</v>
      </c>
      <c r="K1720" s="127">
        <v>1.0741000000000001</v>
      </c>
      <c r="L1720" s="127">
        <v>0.44379999999999997</v>
      </c>
      <c r="M1720" s="127">
        <v>1.1909000000000001</v>
      </c>
      <c r="N1720" s="127">
        <v>1.4438</v>
      </c>
      <c r="O1720" s="127">
        <v>1.0538000000000001</v>
      </c>
      <c r="P1720" s="126">
        <v>3611</v>
      </c>
      <c r="Q1720" s="128">
        <f t="array" ref="Q1720">SUM(IF(($S1720&gt;=4)*($C1720='TaxCred&amp;Subs'!$D$123:$D$127)*($H1720='TaxCred&amp;Subs'!$C$123:$C$127)*($H1720&lt;='TaxCred&amp;Subs'!$C$129),'TaxCred&amp;Subs'!$E$123:$E$127,0))</f>
        <v>0</v>
      </c>
      <c r="R1720" s="174">
        <v>0</v>
      </c>
      <c r="S1720" s="126">
        <v>4</v>
      </c>
      <c r="T1720" s="126" t="s">
        <v>248</v>
      </c>
      <c r="U1720"/>
      <c r="V1720" s="153" t="str">
        <f t="array" ref="V1720">INDEX(xlRTCLNAME,MATCH(1,(xlRTCLENDU=1)*(xlRTCLEQCL=$D1720),0))</f>
        <v>GEO_HP</v>
      </c>
      <c r="W1720" s="153" t="str">
        <f t="array" ref="W1720">INDEX(xlRTCLNAME,MATCH(1,(xlRTCLENDU=2)*(xlRTCLEQCL=$F1720),0))</f>
        <v>GEO_HP</v>
      </c>
      <c r="X1720" s="153" t="str">
        <f t="array" ref="X1720">INDEX(xlRTTYNAME,MATCH(1,(xlRTTYENDU=1)*(xlRTTYEQCL=$D1720)*(xlRTEQTYPE=$E1720),0))</f>
        <v>GEO_HP3</v>
      </c>
      <c r="Y1720" s="153" t="str">
        <f t="array" ref="Y1720">INDEX(xlRTTYNAME,MATCH(1,(xlRTTYENDU=2)*(xlRTTYEQCL=$F1720)*(xlRTEQTYPE=$G1720),0))</f>
        <v>GEO_HP3</v>
      </c>
    </row>
    <row r="1721" spans="1:25" s="157" customFormat="1" ht="14.25" customHeight="1" x14ac:dyDescent="0.2">
      <c r="A1721"/>
      <c r="B1721" s="49">
        <v>9</v>
      </c>
      <c r="C1721" s="49">
        <v>2</v>
      </c>
      <c r="D1721" s="49">
        <v>10</v>
      </c>
      <c r="E1721" s="49">
        <v>34</v>
      </c>
      <c r="F1721" s="49">
        <v>4</v>
      </c>
      <c r="G1721" s="49">
        <v>15</v>
      </c>
      <c r="H1721" s="49">
        <v>2023</v>
      </c>
      <c r="I1721" s="49">
        <v>2032</v>
      </c>
      <c r="J1721" s="50">
        <v>1.03</v>
      </c>
      <c r="K1721" s="50">
        <v>1.0741000000000001</v>
      </c>
      <c r="L1721" s="50">
        <v>0.44379999999999997</v>
      </c>
      <c r="M1721" s="50">
        <v>1.1909000000000001</v>
      </c>
      <c r="N1721" s="50">
        <v>1.4438</v>
      </c>
      <c r="O1721" s="50">
        <v>1.0538000000000001</v>
      </c>
      <c r="P1721" s="49">
        <v>3611</v>
      </c>
      <c r="Q1721" s="51">
        <f t="array" ref="Q1721">SUM(IF(($S1721&gt;=4)*($C1721='TaxCred&amp;Subs'!$D$123:$D$127)*($H1721='TaxCred&amp;Subs'!$C$123:$C$127)*($H1721&lt;='TaxCred&amp;Subs'!$C$129),'TaxCred&amp;Subs'!$E$123:$E$127,0))</f>
        <v>500</v>
      </c>
      <c r="R1721" s="171">
        <v>0</v>
      </c>
      <c r="S1721" s="49">
        <v>4</v>
      </c>
      <c r="T1721" s="49" t="s">
        <v>248</v>
      </c>
      <c r="U1721"/>
      <c r="V1721" s="153" t="str">
        <f t="array" ref="V1721">INDEX(xlRTCLNAME,MATCH(1,(xlRTCLENDU=1)*(xlRTCLEQCL=$D1721),0))</f>
        <v>GEO_HP</v>
      </c>
      <c r="W1721" s="153" t="str">
        <f t="array" ref="W1721">INDEX(xlRTCLNAME,MATCH(1,(xlRTCLENDU=2)*(xlRTCLEQCL=$F1721),0))</f>
        <v>GEO_HP</v>
      </c>
      <c r="X1721" s="153" t="str">
        <f t="array" ref="X1721">INDEX(xlRTTYNAME,MATCH(1,(xlRTTYENDU=1)*(xlRTTYEQCL=$D1721)*(xlRTEQTYPE=$E1721),0))</f>
        <v>GEO_HP3</v>
      </c>
      <c r="Y1721" s="153" t="str">
        <f t="array" ref="Y1721">INDEX(xlRTTYNAME,MATCH(1,(xlRTTYENDU=2)*(xlRTTYEQCL=$F1721)*(xlRTEQTYPE=$G1721),0))</f>
        <v>GEO_HP3</v>
      </c>
    </row>
    <row r="1722" spans="1:25" s="157" customFormat="1" ht="14.25" customHeight="1" x14ac:dyDescent="0.2">
      <c r="A1722"/>
      <c r="B1722" s="49">
        <v>9</v>
      </c>
      <c r="C1722" s="49">
        <v>2</v>
      </c>
      <c r="D1722" s="49">
        <v>10</v>
      </c>
      <c r="E1722" s="49">
        <v>34</v>
      </c>
      <c r="F1722" s="49">
        <v>4</v>
      </c>
      <c r="G1722" s="49">
        <v>15</v>
      </c>
      <c r="H1722" s="49">
        <v>2033</v>
      </c>
      <c r="I1722" s="49">
        <v>2050</v>
      </c>
      <c r="J1722" s="50">
        <v>1.03</v>
      </c>
      <c r="K1722" s="50">
        <v>1.0741000000000001</v>
      </c>
      <c r="L1722" s="50">
        <v>0.44379999999999997</v>
      </c>
      <c r="M1722" s="50">
        <v>1.1909000000000001</v>
      </c>
      <c r="N1722" s="50">
        <v>1.4438</v>
      </c>
      <c r="O1722" s="50">
        <v>1.0538000000000001</v>
      </c>
      <c r="P1722" s="49">
        <v>3611</v>
      </c>
      <c r="Q1722" s="51">
        <f t="array" ref="Q1722">SUM(IF(($S1722&gt;=4)*($C1722='TaxCred&amp;Subs'!$D$123:$D$127)*($H1722='TaxCred&amp;Subs'!$C$123:$C$127)*($H1722&lt;='TaxCred&amp;Subs'!$C$129),'TaxCred&amp;Subs'!$E$123:$E$127,0))</f>
        <v>0</v>
      </c>
      <c r="R1722" s="171">
        <v>0</v>
      </c>
      <c r="S1722" s="49">
        <v>4</v>
      </c>
      <c r="T1722" s="49" t="s">
        <v>248</v>
      </c>
      <c r="U1722"/>
      <c r="V1722" s="153" t="str">
        <f t="array" ref="V1722">INDEX(xlRTCLNAME,MATCH(1,(xlRTCLENDU=1)*(xlRTCLEQCL=$D1722),0))</f>
        <v>GEO_HP</v>
      </c>
      <c r="W1722" s="153" t="str">
        <f t="array" ref="W1722">INDEX(xlRTCLNAME,MATCH(1,(xlRTCLENDU=2)*(xlRTCLEQCL=$F1722),0))</f>
        <v>GEO_HP</v>
      </c>
      <c r="X1722" s="153" t="str">
        <f t="array" ref="X1722">INDEX(xlRTTYNAME,MATCH(1,(xlRTTYENDU=1)*(xlRTTYEQCL=$D1722)*(xlRTEQTYPE=$E1722),0))</f>
        <v>GEO_HP3</v>
      </c>
      <c r="Y1722" s="153" t="str">
        <f t="array" ref="Y1722">INDEX(xlRTTYNAME,MATCH(1,(xlRTTYENDU=2)*(xlRTTYEQCL=$F1722)*(xlRTEQTYPE=$G1722),0))</f>
        <v>GEO_HP3</v>
      </c>
    </row>
    <row r="1723" spans="1:25" s="157" customFormat="1" ht="14.25" customHeight="1" x14ac:dyDescent="0.2">
      <c r="A1723"/>
      <c r="B1723" s="126">
        <v>1</v>
      </c>
      <c r="C1723" s="126">
        <v>2</v>
      </c>
      <c r="D1723" s="126">
        <v>11</v>
      </c>
      <c r="E1723" s="126">
        <v>36</v>
      </c>
      <c r="F1723" s="126">
        <v>5</v>
      </c>
      <c r="G1723" s="126">
        <v>17</v>
      </c>
      <c r="H1723" s="126">
        <v>2016</v>
      </c>
      <c r="I1723" s="159">
        <v>2022</v>
      </c>
      <c r="J1723" s="127">
        <v>1.1042000000000001</v>
      </c>
      <c r="K1723" s="127">
        <v>1.0417000000000001</v>
      </c>
      <c r="L1723" s="127">
        <v>0.89459999999999995</v>
      </c>
      <c r="M1723" s="127">
        <v>1.1228</v>
      </c>
      <c r="N1723" s="127">
        <v>1.1127</v>
      </c>
      <c r="O1723" s="127">
        <v>1.0538000000000001</v>
      </c>
      <c r="P1723" s="126">
        <v>3623</v>
      </c>
      <c r="Q1723" s="128">
        <f t="array" ref="Q1723">SUM(IF(($S1723&gt;=4)*($C1723='TaxCred&amp;Subs'!$D$123:$D$127)*($H1723='TaxCred&amp;Subs'!$C$123:$C$127)*($H1723&lt;='TaxCred&amp;Subs'!$C$129),'TaxCred&amp;Subs'!$E$123:$E$127,0))</f>
        <v>0</v>
      </c>
      <c r="R1723" s="174">
        <v>0</v>
      </c>
      <c r="S1723" s="126">
        <v>4</v>
      </c>
      <c r="T1723" s="126" t="s">
        <v>248</v>
      </c>
      <c r="U1723"/>
      <c r="V1723" s="153" t="str">
        <f t="array" ref="V1723">INDEX(xlRTCLNAME,MATCH(1,(xlRTCLENDU=1)*(xlRTCLEQCL=$D1723),0))</f>
        <v>NG_HP</v>
      </c>
      <c r="W1723" s="153" t="str">
        <f t="array" ref="W1723">INDEX(xlRTCLNAME,MATCH(1,(xlRTCLENDU=2)*(xlRTCLEQCL=$F1723),0))</f>
        <v>NG_HP</v>
      </c>
      <c r="X1723" s="153" t="str">
        <f t="array" ref="X1723">INDEX(xlRTTYNAME,MATCH(1,(xlRTTYENDU=1)*(xlRTTYEQCL=$D1723)*(xlRTEQTYPE=$E1723),0))</f>
        <v>NG_HP2</v>
      </c>
      <c r="Y1723" s="153" t="str">
        <f t="array" ref="Y1723">INDEX(xlRTTYNAME,MATCH(1,(xlRTTYENDU=2)*(xlRTTYEQCL=$F1723)*(xlRTEQTYPE=$G1723),0))</f>
        <v>NG_HP2</v>
      </c>
    </row>
    <row r="1724" spans="1:25" s="157" customFormat="1" ht="14.25" customHeight="1" x14ac:dyDescent="0.2">
      <c r="A1724"/>
      <c r="B1724" s="49">
        <v>1</v>
      </c>
      <c r="C1724" s="49">
        <v>2</v>
      </c>
      <c r="D1724" s="49">
        <v>11</v>
      </c>
      <c r="E1724" s="49">
        <v>36</v>
      </c>
      <c r="F1724" s="49">
        <v>5</v>
      </c>
      <c r="G1724" s="49">
        <v>17</v>
      </c>
      <c r="H1724" s="49">
        <v>2023</v>
      </c>
      <c r="I1724" s="49">
        <v>2032</v>
      </c>
      <c r="J1724" s="50">
        <v>1.1042000000000001</v>
      </c>
      <c r="K1724" s="50">
        <v>1.0417000000000001</v>
      </c>
      <c r="L1724" s="50">
        <v>0.89459999999999995</v>
      </c>
      <c r="M1724" s="50">
        <v>1.1228</v>
      </c>
      <c r="N1724" s="50">
        <v>1.1127</v>
      </c>
      <c r="O1724" s="50">
        <v>1.0538000000000001</v>
      </c>
      <c r="P1724" s="49">
        <v>3623</v>
      </c>
      <c r="Q1724" s="51">
        <f t="array" ref="Q1724">SUM(IF(($S1724&gt;=4)*($C1724='TaxCred&amp;Subs'!$D$123:$D$127)*($H1724='TaxCred&amp;Subs'!$C$123:$C$127)*($H1724&lt;='TaxCred&amp;Subs'!$C$129),'TaxCred&amp;Subs'!$E$123:$E$127,0))</f>
        <v>500</v>
      </c>
      <c r="R1724" s="171">
        <v>0</v>
      </c>
      <c r="S1724" s="49">
        <v>4</v>
      </c>
      <c r="T1724" s="49" t="s">
        <v>248</v>
      </c>
      <c r="U1724"/>
      <c r="V1724" s="153" t="str">
        <f t="array" ref="V1724">INDEX(xlRTCLNAME,MATCH(1,(xlRTCLENDU=1)*(xlRTCLEQCL=$D1724),0))</f>
        <v>NG_HP</v>
      </c>
      <c r="W1724" s="153" t="str">
        <f t="array" ref="W1724">INDEX(xlRTCLNAME,MATCH(1,(xlRTCLENDU=2)*(xlRTCLEQCL=$F1724),0))</f>
        <v>NG_HP</v>
      </c>
      <c r="X1724" s="153" t="str">
        <f t="array" ref="X1724">INDEX(xlRTTYNAME,MATCH(1,(xlRTTYENDU=1)*(xlRTTYEQCL=$D1724)*(xlRTEQTYPE=$E1724),0))</f>
        <v>NG_HP2</v>
      </c>
      <c r="Y1724" s="153" t="str">
        <f t="array" ref="Y1724">INDEX(xlRTTYNAME,MATCH(1,(xlRTTYENDU=2)*(xlRTTYEQCL=$F1724)*(xlRTEQTYPE=$G1724),0))</f>
        <v>NG_HP2</v>
      </c>
    </row>
    <row r="1725" spans="1:25" s="157" customFormat="1" ht="14.25" customHeight="1" x14ac:dyDescent="0.2">
      <c r="A1725"/>
      <c r="B1725" s="49">
        <v>1</v>
      </c>
      <c r="C1725" s="49">
        <v>2</v>
      </c>
      <c r="D1725" s="49">
        <v>11</v>
      </c>
      <c r="E1725" s="49">
        <v>36</v>
      </c>
      <c r="F1725" s="49">
        <v>5</v>
      </c>
      <c r="G1725" s="49">
        <v>17</v>
      </c>
      <c r="H1725" s="49">
        <v>2033</v>
      </c>
      <c r="I1725" s="49">
        <v>2050</v>
      </c>
      <c r="J1725" s="50">
        <v>1.1042000000000001</v>
      </c>
      <c r="K1725" s="50">
        <v>1.0417000000000001</v>
      </c>
      <c r="L1725" s="50">
        <v>0.89459999999999995</v>
      </c>
      <c r="M1725" s="50">
        <v>1.1228</v>
      </c>
      <c r="N1725" s="50">
        <v>1.1127</v>
      </c>
      <c r="O1725" s="50">
        <v>1.0538000000000001</v>
      </c>
      <c r="P1725" s="49">
        <v>3623</v>
      </c>
      <c r="Q1725" s="51">
        <f t="array" ref="Q1725">SUM(IF(($S1725&gt;=4)*($C1725='TaxCred&amp;Subs'!$D$123:$D$127)*($H1725='TaxCred&amp;Subs'!$C$123:$C$127)*($H1725&lt;='TaxCred&amp;Subs'!$C$129),'TaxCred&amp;Subs'!$E$123:$E$127,0))</f>
        <v>0</v>
      </c>
      <c r="R1725" s="171">
        <v>0</v>
      </c>
      <c r="S1725" s="49">
        <v>4</v>
      </c>
      <c r="T1725" s="49" t="s">
        <v>248</v>
      </c>
      <c r="U1725"/>
      <c r="V1725" s="153" t="str">
        <f t="array" ref="V1725">INDEX(xlRTCLNAME,MATCH(1,(xlRTCLENDU=1)*(xlRTCLEQCL=$D1725),0))</f>
        <v>NG_HP</v>
      </c>
      <c r="W1725" s="153" t="str">
        <f t="array" ref="W1725">INDEX(xlRTCLNAME,MATCH(1,(xlRTCLENDU=2)*(xlRTCLEQCL=$F1725),0))</f>
        <v>NG_HP</v>
      </c>
      <c r="X1725" s="153" t="str">
        <f t="array" ref="X1725">INDEX(xlRTTYNAME,MATCH(1,(xlRTTYENDU=1)*(xlRTTYEQCL=$D1725)*(xlRTEQTYPE=$E1725),0))</f>
        <v>NG_HP2</v>
      </c>
      <c r="Y1725" s="153" t="str">
        <f t="array" ref="Y1725">INDEX(xlRTTYNAME,MATCH(1,(xlRTTYENDU=2)*(xlRTTYEQCL=$F1725)*(xlRTEQTYPE=$G1725),0))</f>
        <v>NG_HP2</v>
      </c>
    </row>
    <row r="1726" spans="1:25" s="157" customFormat="1" ht="14.25" customHeight="1" x14ac:dyDescent="0.2">
      <c r="A1726"/>
      <c r="B1726" s="126">
        <v>2</v>
      </c>
      <c r="C1726" s="126">
        <v>2</v>
      </c>
      <c r="D1726" s="126">
        <v>11</v>
      </c>
      <c r="E1726" s="126">
        <v>36</v>
      </c>
      <c r="F1726" s="126">
        <v>5</v>
      </c>
      <c r="G1726" s="126">
        <v>17</v>
      </c>
      <c r="H1726" s="126">
        <v>2016</v>
      </c>
      <c r="I1726" s="159">
        <v>2022</v>
      </c>
      <c r="J1726" s="127">
        <v>1.0847</v>
      </c>
      <c r="K1726" s="127">
        <v>1.0357000000000001</v>
      </c>
      <c r="L1726" s="127">
        <v>0.91410000000000002</v>
      </c>
      <c r="M1726" s="127">
        <v>1.1625000000000001</v>
      </c>
      <c r="N1726" s="127">
        <v>1.1162000000000001</v>
      </c>
      <c r="O1726" s="127">
        <v>1.0538000000000001</v>
      </c>
      <c r="P1726" s="126">
        <v>2960</v>
      </c>
      <c r="Q1726" s="128">
        <f t="array" ref="Q1726">SUM(IF(($S1726&gt;=4)*($C1726='TaxCred&amp;Subs'!$D$123:$D$127)*($H1726='TaxCred&amp;Subs'!$C$123:$C$127)*($H1726&lt;='TaxCred&amp;Subs'!$C$129),'TaxCred&amp;Subs'!$E$123:$E$127,0))</f>
        <v>0</v>
      </c>
      <c r="R1726" s="174">
        <v>0</v>
      </c>
      <c r="S1726" s="126">
        <v>4</v>
      </c>
      <c r="T1726" s="126" t="s">
        <v>248</v>
      </c>
      <c r="U1726"/>
      <c r="V1726" s="153" t="str">
        <f t="array" ref="V1726">INDEX(xlRTCLNAME,MATCH(1,(xlRTCLENDU=1)*(xlRTCLEQCL=$D1726),0))</f>
        <v>NG_HP</v>
      </c>
      <c r="W1726" s="153" t="str">
        <f t="array" ref="W1726">INDEX(xlRTCLNAME,MATCH(1,(xlRTCLENDU=2)*(xlRTCLEQCL=$F1726),0))</f>
        <v>NG_HP</v>
      </c>
      <c r="X1726" s="153" t="str">
        <f t="array" ref="X1726">INDEX(xlRTTYNAME,MATCH(1,(xlRTTYENDU=1)*(xlRTTYEQCL=$D1726)*(xlRTEQTYPE=$E1726),0))</f>
        <v>NG_HP2</v>
      </c>
      <c r="Y1726" s="153" t="str">
        <f t="array" ref="Y1726">INDEX(xlRTTYNAME,MATCH(1,(xlRTTYENDU=2)*(xlRTTYEQCL=$F1726)*(xlRTEQTYPE=$G1726),0))</f>
        <v>NG_HP2</v>
      </c>
    </row>
    <row r="1727" spans="1:25" s="157" customFormat="1" ht="14.25" customHeight="1" x14ac:dyDescent="0.2">
      <c r="A1727"/>
      <c r="B1727" s="49">
        <v>2</v>
      </c>
      <c r="C1727" s="49">
        <v>2</v>
      </c>
      <c r="D1727" s="49">
        <v>11</v>
      </c>
      <c r="E1727" s="49">
        <v>36</v>
      </c>
      <c r="F1727" s="49">
        <v>5</v>
      </c>
      <c r="G1727" s="49">
        <v>17</v>
      </c>
      <c r="H1727" s="49">
        <v>2023</v>
      </c>
      <c r="I1727" s="49">
        <v>2032</v>
      </c>
      <c r="J1727" s="50">
        <v>1.0847</v>
      </c>
      <c r="K1727" s="50">
        <v>1.0357000000000001</v>
      </c>
      <c r="L1727" s="50">
        <v>0.91410000000000002</v>
      </c>
      <c r="M1727" s="50">
        <v>1.1625000000000001</v>
      </c>
      <c r="N1727" s="50">
        <v>1.1162000000000001</v>
      </c>
      <c r="O1727" s="50">
        <v>1.0538000000000001</v>
      </c>
      <c r="P1727" s="49">
        <v>2960</v>
      </c>
      <c r="Q1727" s="51">
        <f t="array" ref="Q1727">SUM(IF(($S1727&gt;=4)*($C1727='TaxCred&amp;Subs'!$D$123:$D$127)*($H1727='TaxCred&amp;Subs'!$C$123:$C$127)*($H1727&lt;='TaxCred&amp;Subs'!$C$129),'TaxCred&amp;Subs'!$E$123:$E$127,0))</f>
        <v>500</v>
      </c>
      <c r="R1727" s="171">
        <v>0</v>
      </c>
      <c r="S1727" s="49">
        <v>4</v>
      </c>
      <c r="T1727" s="49" t="s">
        <v>248</v>
      </c>
      <c r="U1727"/>
      <c r="V1727" s="153" t="str">
        <f t="array" ref="V1727">INDEX(xlRTCLNAME,MATCH(1,(xlRTCLENDU=1)*(xlRTCLEQCL=$D1727),0))</f>
        <v>NG_HP</v>
      </c>
      <c r="W1727" s="153" t="str">
        <f t="array" ref="W1727">INDEX(xlRTCLNAME,MATCH(1,(xlRTCLENDU=2)*(xlRTCLEQCL=$F1727),0))</f>
        <v>NG_HP</v>
      </c>
      <c r="X1727" s="153" t="str">
        <f t="array" ref="X1727">INDEX(xlRTTYNAME,MATCH(1,(xlRTTYENDU=1)*(xlRTTYEQCL=$D1727)*(xlRTEQTYPE=$E1727),0))</f>
        <v>NG_HP2</v>
      </c>
      <c r="Y1727" s="153" t="str">
        <f t="array" ref="Y1727">INDEX(xlRTTYNAME,MATCH(1,(xlRTTYENDU=2)*(xlRTTYEQCL=$F1727)*(xlRTEQTYPE=$G1727),0))</f>
        <v>NG_HP2</v>
      </c>
    </row>
    <row r="1728" spans="1:25" s="157" customFormat="1" ht="14.25" customHeight="1" x14ac:dyDescent="0.2">
      <c r="A1728"/>
      <c r="B1728" s="49">
        <v>2</v>
      </c>
      <c r="C1728" s="49">
        <v>2</v>
      </c>
      <c r="D1728" s="49">
        <v>11</v>
      </c>
      <c r="E1728" s="49">
        <v>36</v>
      </c>
      <c r="F1728" s="49">
        <v>5</v>
      </c>
      <c r="G1728" s="49">
        <v>17</v>
      </c>
      <c r="H1728" s="49">
        <v>2033</v>
      </c>
      <c r="I1728" s="49">
        <v>2050</v>
      </c>
      <c r="J1728" s="50">
        <v>1.0847</v>
      </c>
      <c r="K1728" s="50">
        <v>1.0357000000000001</v>
      </c>
      <c r="L1728" s="50">
        <v>0.91410000000000002</v>
      </c>
      <c r="M1728" s="50">
        <v>1.1625000000000001</v>
      </c>
      <c r="N1728" s="50">
        <v>1.1162000000000001</v>
      </c>
      <c r="O1728" s="50">
        <v>1.0538000000000001</v>
      </c>
      <c r="P1728" s="49">
        <v>2960</v>
      </c>
      <c r="Q1728" s="51">
        <f t="array" ref="Q1728">SUM(IF(($S1728&gt;=4)*($C1728='TaxCred&amp;Subs'!$D$123:$D$127)*($H1728='TaxCred&amp;Subs'!$C$123:$C$127)*($H1728&lt;='TaxCred&amp;Subs'!$C$129),'TaxCred&amp;Subs'!$E$123:$E$127,0))</f>
        <v>0</v>
      </c>
      <c r="R1728" s="171">
        <v>0</v>
      </c>
      <c r="S1728" s="49">
        <v>4</v>
      </c>
      <c r="T1728" s="49" t="s">
        <v>248</v>
      </c>
      <c r="U1728"/>
      <c r="V1728" s="153" t="str">
        <f t="array" ref="V1728">INDEX(xlRTCLNAME,MATCH(1,(xlRTCLENDU=1)*(xlRTCLEQCL=$D1728),0))</f>
        <v>NG_HP</v>
      </c>
      <c r="W1728" s="153" t="str">
        <f t="array" ref="W1728">INDEX(xlRTCLNAME,MATCH(1,(xlRTCLENDU=2)*(xlRTCLEQCL=$F1728),0))</f>
        <v>NG_HP</v>
      </c>
      <c r="X1728" s="153" t="str">
        <f t="array" ref="X1728">INDEX(xlRTTYNAME,MATCH(1,(xlRTTYENDU=1)*(xlRTTYEQCL=$D1728)*(xlRTEQTYPE=$E1728),0))</f>
        <v>NG_HP2</v>
      </c>
      <c r="Y1728" s="153" t="str">
        <f t="array" ref="Y1728">INDEX(xlRTTYNAME,MATCH(1,(xlRTTYENDU=2)*(xlRTTYEQCL=$F1728)*(xlRTEQTYPE=$G1728),0))</f>
        <v>NG_HP2</v>
      </c>
    </row>
    <row r="1729" spans="1:25" s="157" customFormat="1" ht="14.25" customHeight="1" x14ac:dyDescent="0.2">
      <c r="A1729"/>
      <c r="B1729" s="126">
        <v>3</v>
      </c>
      <c r="C1729" s="126">
        <v>2</v>
      </c>
      <c r="D1729" s="126">
        <v>11</v>
      </c>
      <c r="E1729" s="126">
        <v>36</v>
      </c>
      <c r="F1729" s="126">
        <v>5</v>
      </c>
      <c r="G1729" s="126">
        <v>17</v>
      </c>
      <c r="H1729" s="126">
        <v>2016</v>
      </c>
      <c r="I1729" s="159">
        <v>2022</v>
      </c>
      <c r="J1729" s="127">
        <v>1.0984</v>
      </c>
      <c r="K1729" s="127">
        <v>1.0345</v>
      </c>
      <c r="L1729" s="127">
        <v>0.81459999999999999</v>
      </c>
      <c r="M1729" s="127">
        <v>1.0654999999999999</v>
      </c>
      <c r="N1729" s="127">
        <v>1.0399</v>
      </c>
      <c r="O1729" s="127">
        <v>1.0538000000000001</v>
      </c>
      <c r="P1729" s="126">
        <v>3043</v>
      </c>
      <c r="Q1729" s="128">
        <f t="array" ref="Q1729">SUM(IF(($S1729&gt;=4)*($C1729='TaxCred&amp;Subs'!$D$123:$D$127)*($H1729='TaxCred&amp;Subs'!$C$123:$C$127)*($H1729&lt;='TaxCred&amp;Subs'!$C$129),'TaxCred&amp;Subs'!$E$123:$E$127,0))</f>
        <v>0</v>
      </c>
      <c r="R1729" s="174">
        <v>0</v>
      </c>
      <c r="S1729" s="126">
        <v>4</v>
      </c>
      <c r="T1729" s="126" t="s">
        <v>248</v>
      </c>
      <c r="U1729"/>
      <c r="V1729" s="153" t="str">
        <f t="array" ref="V1729">INDEX(xlRTCLNAME,MATCH(1,(xlRTCLENDU=1)*(xlRTCLEQCL=$D1729),0))</f>
        <v>NG_HP</v>
      </c>
      <c r="W1729" s="153" t="str">
        <f t="array" ref="W1729">INDEX(xlRTCLNAME,MATCH(1,(xlRTCLENDU=2)*(xlRTCLEQCL=$F1729),0))</f>
        <v>NG_HP</v>
      </c>
      <c r="X1729" s="153" t="str">
        <f t="array" ref="X1729">INDEX(xlRTTYNAME,MATCH(1,(xlRTTYENDU=1)*(xlRTTYEQCL=$D1729)*(xlRTEQTYPE=$E1729),0))</f>
        <v>NG_HP2</v>
      </c>
      <c r="Y1729" s="153" t="str">
        <f t="array" ref="Y1729">INDEX(xlRTTYNAME,MATCH(1,(xlRTTYENDU=2)*(xlRTTYEQCL=$F1729)*(xlRTEQTYPE=$G1729),0))</f>
        <v>NG_HP2</v>
      </c>
    </row>
    <row r="1730" spans="1:25" s="157" customFormat="1" ht="14.25" customHeight="1" x14ac:dyDescent="0.2">
      <c r="A1730"/>
      <c r="B1730" s="49">
        <v>3</v>
      </c>
      <c r="C1730" s="49">
        <v>2</v>
      </c>
      <c r="D1730" s="49">
        <v>11</v>
      </c>
      <c r="E1730" s="49">
        <v>36</v>
      </c>
      <c r="F1730" s="49">
        <v>5</v>
      </c>
      <c r="G1730" s="49">
        <v>17</v>
      </c>
      <c r="H1730" s="49">
        <v>2023</v>
      </c>
      <c r="I1730" s="49">
        <v>2032</v>
      </c>
      <c r="J1730" s="50">
        <v>1.0984</v>
      </c>
      <c r="K1730" s="50">
        <v>1.0345</v>
      </c>
      <c r="L1730" s="50">
        <v>0.81459999999999999</v>
      </c>
      <c r="M1730" s="50">
        <v>1.0654999999999999</v>
      </c>
      <c r="N1730" s="50">
        <v>1.0399</v>
      </c>
      <c r="O1730" s="50">
        <v>1.0538000000000001</v>
      </c>
      <c r="P1730" s="49">
        <v>3043</v>
      </c>
      <c r="Q1730" s="51">
        <f t="array" ref="Q1730">SUM(IF(($S1730&gt;=4)*($C1730='TaxCred&amp;Subs'!$D$123:$D$127)*($H1730='TaxCred&amp;Subs'!$C$123:$C$127)*($H1730&lt;='TaxCred&amp;Subs'!$C$129),'TaxCred&amp;Subs'!$E$123:$E$127,0))</f>
        <v>500</v>
      </c>
      <c r="R1730" s="171">
        <v>0</v>
      </c>
      <c r="S1730" s="49">
        <v>4</v>
      </c>
      <c r="T1730" s="49" t="s">
        <v>248</v>
      </c>
      <c r="U1730"/>
      <c r="V1730" s="153" t="str">
        <f t="array" ref="V1730">INDEX(xlRTCLNAME,MATCH(1,(xlRTCLENDU=1)*(xlRTCLEQCL=$D1730),0))</f>
        <v>NG_HP</v>
      </c>
      <c r="W1730" s="153" t="str">
        <f t="array" ref="W1730">INDEX(xlRTCLNAME,MATCH(1,(xlRTCLENDU=2)*(xlRTCLEQCL=$F1730),0))</f>
        <v>NG_HP</v>
      </c>
      <c r="X1730" s="153" t="str">
        <f t="array" ref="X1730">INDEX(xlRTTYNAME,MATCH(1,(xlRTTYENDU=1)*(xlRTTYEQCL=$D1730)*(xlRTEQTYPE=$E1730),0))</f>
        <v>NG_HP2</v>
      </c>
      <c r="Y1730" s="153" t="str">
        <f t="array" ref="Y1730">INDEX(xlRTTYNAME,MATCH(1,(xlRTTYENDU=2)*(xlRTTYEQCL=$F1730)*(xlRTEQTYPE=$G1730),0))</f>
        <v>NG_HP2</v>
      </c>
    </row>
    <row r="1731" spans="1:25" s="157" customFormat="1" ht="14.25" customHeight="1" x14ac:dyDescent="0.2">
      <c r="A1731"/>
      <c r="B1731" s="49">
        <v>3</v>
      </c>
      <c r="C1731" s="49">
        <v>2</v>
      </c>
      <c r="D1731" s="49">
        <v>11</v>
      </c>
      <c r="E1731" s="49">
        <v>36</v>
      </c>
      <c r="F1731" s="49">
        <v>5</v>
      </c>
      <c r="G1731" s="49">
        <v>17</v>
      </c>
      <c r="H1731" s="49">
        <v>2033</v>
      </c>
      <c r="I1731" s="49">
        <v>2050</v>
      </c>
      <c r="J1731" s="50">
        <v>1.0984</v>
      </c>
      <c r="K1731" s="50">
        <v>1.0345</v>
      </c>
      <c r="L1731" s="50">
        <v>0.81459999999999999</v>
      </c>
      <c r="M1731" s="50">
        <v>1.0654999999999999</v>
      </c>
      <c r="N1731" s="50">
        <v>1.0399</v>
      </c>
      <c r="O1731" s="50">
        <v>1.0538000000000001</v>
      </c>
      <c r="P1731" s="49">
        <v>3043</v>
      </c>
      <c r="Q1731" s="51">
        <f t="array" ref="Q1731">SUM(IF(($S1731&gt;=4)*($C1731='TaxCred&amp;Subs'!$D$123:$D$127)*($H1731='TaxCred&amp;Subs'!$C$123:$C$127)*($H1731&lt;='TaxCred&amp;Subs'!$C$129),'TaxCred&amp;Subs'!$E$123:$E$127,0))</f>
        <v>0</v>
      </c>
      <c r="R1731" s="171">
        <v>0</v>
      </c>
      <c r="S1731" s="49">
        <v>4</v>
      </c>
      <c r="T1731" s="49" t="s">
        <v>248</v>
      </c>
      <c r="U1731"/>
      <c r="V1731" s="153" t="str">
        <f t="array" ref="V1731">INDEX(xlRTCLNAME,MATCH(1,(xlRTCLENDU=1)*(xlRTCLEQCL=$D1731),0))</f>
        <v>NG_HP</v>
      </c>
      <c r="W1731" s="153" t="str">
        <f t="array" ref="W1731">INDEX(xlRTCLNAME,MATCH(1,(xlRTCLENDU=2)*(xlRTCLEQCL=$F1731),0))</f>
        <v>NG_HP</v>
      </c>
      <c r="X1731" s="153" t="str">
        <f t="array" ref="X1731">INDEX(xlRTTYNAME,MATCH(1,(xlRTTYENDU=1)*(xlRTTYEQCL=$D1731)*(xlRTEQTYPE=$E1731),0))</f>
        <v>NG_HP2</v>
      </c>
      <c r="Y1731" s="153" t="str">
        <f t="array" ref="Y1731">INDEX(xlRTTYNAME,MATCH(1,(xlRTTYENDU=2)*(xlRTTYEQCL=$F1731)*(xlRTEQTYPE=$G1731),0))</f>
        <v>NG_HP2</v>
      </c>
    </row>
    <row r="1732" spans="1:25" s="157" customFormat="1" ht="14.25" customHeight="1" x14ac:dyDescent="0.2">
      <c r="A1732"/>
      <c r="B1732" s="126">
        <v>4</v>
      </c>
      <c r="C1732" s="126">
        <v>2</v>
      </c>
      <c r="D1732" s="126">
        <v>11</v>
      </c>
      <c r="E1732" s="126">
        <v>36</v>
      </c>
      <c r="F1732" s="126">
        <v>5</v>
      </c>
      <c r="G1732" s="126">
        <v>17</v>
      </c>
      <c r="H1732" s="126">
        <v>2016</v>
      </c>
      <c r="I1732" s="159">
        <v>2022</v>
      </c>
      <c r="J1732" s="127">
        <v>1.1000000000000001</v>
      </c>
      <c r="K1732" s="127">
        <v>1.0435000000000001</v>
      </c>
      <c r="L1732" s="127">
        <v>0.95930000000000004</v>
      </c>
      <c r="M1732" s="127">
        <v>1.1499999999999999</v>
      </c>
      <c r="N1732" s="127">
        <v>1.1696</v>
      </c>
      <c r="O1732" s="127">
        <v>1.0538000000000001</v>
      </c>
      <c r="P1732" s="126">
        <v>2669</v>
      </c>
      <c r="Q1732" s="128">
        <f t="array" ref="Q1732">SUM(IF(($S1732&gt;=4)*($C1732='TaxCred&amp;Subs'!$D$123:$D$127)*($H1732='TaxCred&amp;Subs'!$C$123:$C$127)*($H1732&lt;='TaxCred&amp;Subs'!$C$129),'TaxCred&amp;Subs'!$E$123:$E$127,0))</f>
        <v>0</v>
      </c>
      <c r="R1732" s="174">
        <v>0</v>
      </c>
      <c r="S1732" s="126">
        <v>4</v>
      </c>
      <c r="T1732" s="126" t="s">
        <v>248</v>
      </c>
      <c r="U1732"/>
      <c r="V1732" s="153" t="str">
        <f t="array" ref="V1732">INDEX(xlRTCLNAME,MATCH(1,(xlRTCLENDU=1)*(xlRTCLEQCL=$D1732),0))</f>
        <v>NG_HP</v>
      </c>
      <c r="W1732" s="153" t="str">
        <f t="array" ref="W1732">INDEX(xlRTCLNAME,MATCH(1,(xlRTCLENDU=2)*(xlRTCLEQCL=$F1732),0))</f>
        <v>NG_HP</v>
      </c>
      <c r="X1732" s="153" t="str">
        <f t="array" ref="X1732">INDEX(xlRTTYNAME,MATCH(1,(xlRTTYENDU=1)*(xlRTTYEQCL=$D1732)*(xlRTEQTYPE=$E1732),0))</f>
        <v>NG_HP2</v>
      </c>
      <c r="Y1732" s="153" t="str">
        <f t="array" ref="Y1732">INDEX(xlRTTYNAME,MATCH(1,(xlRTTYENDU=2)*(xlRTTYEQCL=$F1732)*(xlRTEQTYPE=$G1732),0))</f>
        <v>NG_HP2</v>
      </c>
    </row>
    <row r="1733" spans="1:25" s="157" customFormat="1" ht="14.25" customHeight="1" x14ac:dyDescent="0.2">
      <c r="A1733"/>
      <c r="B1733" s="49">
        <v>4</v>
      </c>
      <c r="C1733" s="49">
        <v>2</v>
      </c>
      <c r="D1733" s="49">
        <v>11</v>
      </c>
      <c r="E1733" s="49">
        <v>36</v>
      </c>
      <c r="F1733" s="49">
        <v>5</v>
      </c>
      <c r="G1733" s="49">
        <v>17</v>
      </c>
      <c r="H1733" s="49">
        <v>2023</v>
      </c>
      <c r="I1733" s="49">
        <v>2032</v>
      </c>
      <c r="J1733" s="50">
        <v>1.1000000000000001</v>
      </c>
      <c r="K1733" s="50">
        <v>1.0435000000000001</v>
      </c>
      <c r="L1733" s="50">
        <v>0.95930000000000004</v>
      </c>
      <c r="M1733" s="50">
        <v>1.1499999999999999</v>
      </c>
      <c r="N1733" s="50">
        <v>1.1696</v>
      </c>
      <c r="O1733" s="50">
        <v>1.0538000000000001</v>
      </c>
      <c r="P1733" s="49">
        <v>2669</v>
      </c>
      <c r="Q1733" s="51">
        <f t="array" ref="Q1733">SUM(IF(($S1733&gt;=4)*($C1733='TaxCred&amp;Subs'!$D$123:$D$127)*($H1733='TaxCred&amp;Subs'!$C$123:$C$127)*($H1733&lt;='TaxCred&amp;Subs'!$C$129),'TaxCred&amp;Subs'!$E$123:$E$127,0))</f>
        <v>500</v>
      </c>
      <c r="R1733" s="171">
        <v>0</v>
      </c>
      <c r="S1733" s="49">
        <v>4</v>
      </c>
      <c r="T1733" s="49" t="s">
        <v>248</v>
      </c>
      <c r="U1733"/>
      <c r="V1733" s="153" t="str">
        <f t="array" ref="V1733">INDEX(xlRTCLNAME,MATCH(1,(xlRTCLENDU=1)*(xlRTCLEQCL=$D1733),0))</f>
        <v>NG_HP</v>
      </c>
      <c r="W1733" s="153" t="str">
        <f t="array" ref="W1733">INDEX(xlRTCLNAME,MATCH(1,(xlRTCLENDU=2)*(xlRTCLEQCL=$F1733),0))</f>
        <v>NG_HP</v>
      </c>
      <c r="X1733" s="153" t="str">
        <f t="array" ref="X1733">INDEX(xlRTTYNAME,MATCH(1,(xlRTTYENDU=1)*(xlRTTYEQCL=$D1733)*(xlRTEQTYPE=$E1733),0))</f>
        <v>NG_HP2</v>
      </c>
      <c r="Y1733" s="153" t="str">
        <f t="array" ref="Y1733">INDEX(xlRTTYNAME,MATCH(1,(xlRTTYENDU=2)*(xlRTTYEQCL=$F1733)*(xlRTEQTYPE=$G1733),0))</f>
        <v>NG_HP2</v>
      </c>
    </row>
    <row r="1734" spans="1:25" s="157" customFormat="1" ht="14.25" customHeight="1" x14ac:dyDescent="0.2">
      <c r="A1734"/>
      <c r="B1734" s="49">
        <v>4</v>
      </c>
      <c r="C1734" s="49">
        <v>2</v>
      </c>
      <c r="D1734" s="49">
        <v>11</v>
      </c>
      <c r="E1734" s="49">
        <v>36</v>
      </c>
      <c r="F1734" s="49">
        <v>5</v>
      </c>
      <c r="G1734" s="49">
        <v>17</v>
      </c>
      <c r="H1734" s="49">
        <v>2033</v>
      </c>
      <c r="I1734" s="49">
        <v>2050</v>
      </c>
      <c r="J1734" s="50">
        <v>1.1000000000000001</v>
      </c>
      <c r="K1734" s="50">
        <v>1.0435000000000001</v>
      </c>
      <c r="L1734" s="50">
        <v>0.95930000000000004</v>
      </c>
      <c r="M1734" s="50">
        <v>1.1499999999999999</v>
      </c>
      <c r="N1734" s="50">
        <v>1.1696</v>
      </c>
      <c r="O1734" s="50">
        <v>1.0538000000000001</v>
      </c>
      <c r="P1734" s="49">
        <v>2669</v>
      </c>
      <c r="Q1734" s="51">
        <f t="array" ref="Q1734">SUM(IF(($S1734&gt;=4)*($C1734='TaxCred&amp;Subs'!$D$123:$D$127)*($H1734='TaxCred&amp;Subs'!$C$123:$C$127)*($H1734&lt;='TaxCred&amp;Subs'!$C$129),'TaxCred&amp;Subs'!$E$123:$E$127,0))</f>
        <v>0</v>
      </c>
      <c r="R1734" s="171">
        <v>0</v>
      </c>
      <c r="S1734" s="49">
        <v>4</v>
      </c>
      <c r="T1734" s="49" t="s">
        <v>248</v>
      </c>
      <c r="U1734"/>
      <c r="V1734" s="153" t="str">
        <f t="array" ref="V1734">INDEX(xlRTCLNAME,MATCH(1,(xlRTCLENDU=1)*(xlRTCLEQCL=$D1734),0))</f>
        <v>NG_HP</v>
      </c>
      <c r="W1734" s="153" t="str">
        <f t="array" ref="W1734">INDEX(xlRTCLNAME,MATCH(1,(xlRTCLENDU=2)*(xlRTCLEQCL=$F1734),0))</f>
        <v>NG_HP</v>
      </c>
      <c r="X1734" s="153" t="str">
        <f t="array" ref="X1734">INDEX(xlRTTYNAME,MATCH(1,(xlRTTYENDU=1)*(xlRTTYEQCL=$D1734)*(xlRTEQTYPE=$E1734),0))</f>
        <v>NG_HP2</v>
      </c>
      <c r="Y1734" s="153" t="str">
        <f t="array" ref="Y1734">INDEX(xlRTTYNAME,MATCH(1,(xlRTTYENDU=2)*(xlRTTYEQCL=$F1734)*(xlRTEQTYPE=$G1734),0))</f>
        <v>NG_HP2</v>
      </c>
    </row>
    <row r="1735" spans="1:25" s="157" customFormat="1" ht="14.25" customHeight="1" x14ac:dyDescent="0.2">
      <c r="A1735"/>
      <c r="B1735" s="126">
        <v>5</v>
      </c>
      <c r="C1735" s="126">
        <v>2</v>
      </c>
      <c r="D1735" s="126">
        <v>11</v>
      </c>
      <c r="E1735" s="126">
        <v>36</v>
      </c>
      <c r="F1735" s="126">
        <v>5</v>
      </c>
      <c r="G1735" s="126">
        <v>17</v>
      </c>
      <c r="H1735" s="126">
        <v>2016</v>
      </c>
      <c r="I1735" s="159">
        <v>2022</v>
      </c>
      <c r="J1735" s="127">
        <v>1.1200000000000001</v>
      </c>
      <c r="K1735" s="127">
        <v>1.0391999999999999</v>
      </c>
      <c r="L1735" s="127">
        <v>0.63129999999999997</v>
      </c>
      <c r="M1735" s="127">
        <v>1.0902000000000001</v>
      </c>
      <c r="N1735" s="127">
        <v>1.2750999999999999</v>
      </c>
      <c r="O1735" s="127">
        <v>1.0538000000000001</v>
      </c>
      <c r="P1735" s="126">
        <v>2250</v>
      </c>
      <c r="Q1735" s="128">
        <f t="array" ref="Q1735">SUM(IF(($S1735&gt;=4)*($C1735='TaxCred&amp;Subs'!$D$123:$D$127)*($H1735='TaxCred&amp;Subs'!$C$123:$C$127)*($H1735&lt;='TaxCred&amp;Subs'!$C$129),'TaxCred&amp;Subs'!$E$123:$E$127,0))</f>
        <v>0</v>
      </c>
      <c r="R1735" s="174">
        <v>0</v>
      </c>
      <c r="S1735" s="126">
        <v>4</v>
      </c>
      <c r="T1735" s="126" t="s">
        <v>248</v>
      </c>
      <c r="U1735"/>
      <c r="V1735" s="153" t="str">
        <f t="array" ref="V1735">INDEX(xlRTCLNAME,MATCH(1,(xlRTCLENDU=1)*(xlRTCLEQCL=$D1735),0))</f>
        <v>NG_HP</v>
      </c>
      <c r="W1735" s="153" t="str">
        <f t="array" ref="W1735">INDEX(xlRTCLNAME,MATCH(1,(xlRTCLENDU=2)*(xlRTCLEQCL=$F1735),0))</f>
        <v>NG_HP</v>
      </c>
      <c r="X1735" s="153" t="str">
        <f t="array" ref="X1735">INDEX(xlRTTYNAME,MATCH(1,(xlRTTYENDU=1)*(xlRTTYEQCL=$D1735)*(xlRTEQTYPE=$E1735),0))</f>
        <v>NG_HP2</v>
      </c>
      <c r="Y1735" s="153" t="str">
        <f t="array" ref="Y1735">INDEX(xlRTTYNAME,MATCH(1,(xlRTTYENDU=2)*(xlRTTYEQCL=$F1735)*(xlRTEQTYPE=$G1735),0))</f>
        <v>NG_HP2</v>
      </c>
    </row>
    <row r="1736" spans="1:25" s="157" customFormat="1" ht="14.25" customHeight="1" x14ac:dyDescent="0.2">
      <c r="A1736"/>
      <c r="B1736" s="49">
        <v>5</v>
      </c>
      <c r="C1736" s="49">
        <v>2</v>
      </c>
      <c r="D1736" s="49">
        <v>11</v>
      </c>
      <c r="E1736" s="49">
        <v>36</v>
      </c>
      <c r="F1736" s="49">
        <v>5</v>
      </c>
      <c r="G1736" s="49">
        <v>17</v>
      </c>
      <c r="H1736" s="49">
        <v>2023</v>
      </c>
      <c r="I1736" s="49">
        <v>2032</v>
      </c>
      <c r="J1736" s="50">
        <v>1.1200000000000001</v>
      </c>
      <c r="K1736" s="50">
        <v>1.0391999999999999</v>
      </c>
      <c r="L1736" s="50">
        <v>0.63129999999999997</v>
      </c>
      <c r="M1736" s="50">
        <v>1.0902000000000001</v>
      </c>
      <c r="N1736" s="50">
        <v>1.2750999999999999</v>
      </c>
      <c r="O1736" s="50">
        <v>1.0538000000000001</v>
      </c>
      <c r="P1736" s="49">
        <v>2250</v>
      </c>
      <c r="Q1736" s="51">
        <f t="array" ref="Q1736">SUM(IF(($S1736&gt;=4)*($C1736='TaxCred&amp;Subs'!$D$123:$D$127)*($H1736='TaxCred&amp;Subs'!$C$123:$C$127)*($H1736&lt;='TaxCred&amp;Subs'!$C$129),'TaxCred&amp;Subs'!$E$123:$E$127,0))</f>
        <v>500</v>
      </c>
      <c r="R1736" s="171">
        <v>0</v>
      </c>
      <c r="S1736" s="49">
        <v>4</v>
      </c>
      <c r="T1736" s="49" t="s">
        <v>248</v>
      </c>
      <c r="U1736"/>
      <c r="V1736" s="153" t="str">
        <f t="array" ref="V1736">INDEX(xlRTCLNAME,MATCH(1,(xlRTCLENDU=1)*(xlRTCLEQCL=$D1736),0))</f>
        <v>NG_HP</v>
      </c>
      <c r="W1736" s="153" t="str">
        <f t="array" ref="W1736">INDEX(xlRTCLNAME,MATCH(1,(xlRTCLENDU=2)*(xlRTCLEQCL=$F1736),0))</f>
        <v>NG_HP</v>
      </c>
      <c r="X1736" s="153" t="str">
        <f t="array" ref="X1736">INDEX(xlRTTYNAME,MATCH(1,(xlRTTYENDU=1)*(xlRTTYEQCL=$D1736)*(xlRTEQTYPE=$E1736),0))</f>
        <v>NG_HP2</v>
      </c>
      <c r="Y1736" s="153" t="str">
        <f t="array" ref="Y1736">INDEX(xlRTTYNAME,MATCH(1,(xlRTTYENDU=2)*(xlRTTYEQCL=$F1736)*(xlRTEQTYPE=$G1736),0))</f>
        <v>NG_HP2</v>
      </c>
    </row>
    <row r="1737" spans="1:25" s="157" customFormat="1" ht="14.25" customHeight="1" x14ac:dyDescent="0.2">
      <c r="A1737"/>
      <c r="B1737" s="49">
        <v>5</v>
      </c>
      <c r="C1737" s="49">
        <v>2</v>
      </c>
      <c r="D1737" s="49">
        <v>11</v>
      </c>
      <c r="E1737" s="49">
        <v>36</v>
      </c>
      <c r="F1737" s="49">
        <v>5</v>
      </c>
      <c r="G1737" s="49">
        <v>17</v>
      </c>
      <c r="H1737" s="49">
        <v>2033</v>
      </c>
      <c r="I1737" s="49">
        <v>2050</v>
      </c>
      <c r="J1737" s="50">
        <v>1.1200000000000001</v>
      </c>
      <c r="K1737" s="50">
        <v>1.0391999999999999</v>
      </c>
      <c r="L1737" s="50">
        <v>0.63129999999999997</v>
      </c>
      <c r="M1737" s="50">
        <v>1.0902000000000001</v>
      </c>
      <c r="N1737" s="50">
        <v>1.2750999999999999</v>
      </c>
      <c r="O1737" s="50">
        <v>1.0538000000000001</v>
      </c>
      <c r="P1737" s="49">
        <v>2250</v>
      </c>
      <c r="Q1737" s="51">
        <f t="array" ref="Q1737">SUM(IF(($S1737&gt;=4)*($C1737='TaxCred&amp;Subs'!$D$123:$D$127)*($H1737='TaxCred&amp;Subs'!$C$123:$C$127)*($H1737&lt;='TaxCred&amp;Subs'!$C$129),'TaxCred&amp;Subs'!$E$123:$E$127,0))</f>
        <v>0</v>
      </c>
      <c r="R1737" s="171">
        <v>0</v>
      </c>
      <c r="S1737" s="49">
        <v>4</v>
      </c>
      <c r="T1737" s="49" t="s">
        <v>248</v>
      </c>
      <c r="U1737"/>
      <c r="V1737" s="153" t="str">
        <f t="array" ref="V1737">INDEX(xlRTCLNAME,MATCH(1,(xlRTCLENDU=1)*(xlRTCLEQCL=$D1737),0))</f>
        <v>NG_HP</v>
      </c>
      <c r="W1737" s="153" t="str">
        <f t="array" ref="W1737">INDEX(xlRTCLNAME,MATCH(1,(xlRTCLENDU=2)*(xlRTCLEQCL=$F1737),0))</f>
        <v>NG_HP</v>
      </c>
      <c r="X1737" s="153" t="str">
        <f t="array" ref="X1737">INDEX(xlRTTYNAME,MATCH(1,(xlRTTYENDU=1)*(xlRTTYEQCL=$D1737)*(xlRTEQTYPE=$E1737),0))</f>
        <v>NG_HP2</v>
      </c>
      <c r="Y1737" s="153" t="str">
        <f t="array" ref="Y1737">INDEX(xlRTTYNAME,MATCH(1,(xlRTTYENDU=2)*(xlRTTYEQCL=$F1737)*(xlRTEQTYPE=$G1737),0))</f>
        <v>NG_HP2</v>
      </c>
    </row>
    <row r="1738" spans="1:25" s="157" customFormat="1" ht="14.25" customHeight="1" x14ac:dyDescent="0.2">
      <c r="A1738"/>
      <c r="B1738" s="126">
        <v>6</v>
      </c>
      <c r="C1738" s="126">
        <v>2</v>
      </c>
      <c r="D1738" s="126">
        <v>11</v>
      </c>
      <c r="E1738" s="126">
        <v>36</v>
      </c>
      <c r="F1738" s="126">
        <v>5</v>
      </c>
      <c r="G1738" s="126">
        <v>17</v>
      </c>
      <c r="H1738" s="126">
        <v>2016</v>
      </c>
      <c r="I1738" s="159">
        <v>2022</v>
      </c>
      <c r="J1738" s="127">
        <v>1.1200000000000001</v>
      </c>
      <c r="K1738" s="127">
        <v>1.03</v>
      </c>
      <c r="L1738" s="127">
        <v>1.1105</v>
      </c>
      <c r="M1738" s="127">
        <v>1.1228</v>
      </c>
      <c r="N1738" s="127">
        <v>1.3324</v>
      </c>
      <c r="O1738" s="127">
        <v>1.0538000000000001</v>
      </c>
      <c r="P1738" s="126">
        <v>2282</v>
      </c>
      <c r="Q1738" s="128">
        <f t="array" ref="Q1738">SUM(IF(($S1738&gt;=4)*($C1738='TaxCred&amp;Subs'!$D$123:$D$127)*($H1738='TaxCred&amp;Subs'!$C$123:$C$127)*($H1738&lt;='TaxCred&amp;Subs'!$C$129),'TaxCred&amp;Subs'!$E$123:$E$127,0))</f>
        <v>0</v>
      </c>
      <c r="R1738" s="174">
        <v>0</v>
      </c>
      <c r="S1738" s="126">
        <v>4</v>
      </c>
      <c r="T1738" s="126" t="s">
        <v>248</v>
      </c>
      <c r="U1738"/>
      <c r="V1738" s="153" t="str">
        <f t="array" ref="V1738">INDEX(xlRTCLNAME,MATCH(1,(xlRTCLENDU=1)*(xlRTCLEQCL=$D1738),0))</f>
        <v>NG_HP</v>
      </c>
      <c r="W1738" s="153" t="str">
        <f t="array" ref="W1738">INDEX(xlRTCLNAME,MATCH(1,(xlRTCLENDU=2)*(xlRTCLEQCL=$F1738),0))</f>
        <v>NG_HP</v>
      </c>
      <c r="X1738" s="153" t="str">
        <f t="array" ref="X1738">INDEX(xlRTTYNAME,MATCH(1,(xlRTTYENDU=1)*(xlRTTYEQCL=$D1738)*(xlRTEQTYPE=$E1738),0))</f>
        <v>NG_HP2</v>
      </c>
      <c r="Y1738" s="153" t="str">
        <f t="array" ref="Y1738">INDEX(xlRTTYNAME,MATCH(1,(xlRTTYENDU=2)*(xlRTTYEQCL=$F1738)*(xlRTEQTYPE=$G1738),0))</f>
        <v>NG_HP2</v>
      </c>
    </row>
    <row r="1739" spans="1:25" s="157" customFormat="1" ht="14.25" customHeight="1" x14ac:dyDescent="0.2">
      <c r="A1739"/>
      <c r="B1739" s="49">
        <v>6</v>
      </c>
      <c r="C1739" s="49">
        <v>2</v>
      </c>
      <c r="D1739" s="49">
        <v>11</v>
      </c>
      <c r="E1739" s="49">
        <v>36</v>
      </c>
      <c r="F1739" s="49">
        <v>5</v>
      </c>
      <c r="G1739" s="49">
        <v>17</v>
      </c>
      <c r="H1739" s="49">
        <v>2023</v>
      </c>
      <c r="I1739" s="49">
        <v>2032</v>
      </c>
      <c r="J1739" s="50">
        <v>1.1200000000000001</v>
      </c>
      <c r="K1739" s="50">
        <v>1.03</v>
      </c>
      <c r="L1739" s="50">
        <v>1.1105</v>
      </c>
      <c r="M1739" s="50">
        <v>1.1228</v>
      </c>
      <c r="N1739" s="50">
        <v>1.3324</v>
      </c>
      <c r="O1739" s="50">
        <v>1.0538000000000001</v>
      </c>
      <c r="P1739" s="49">
        <v>2282</v>
      </c>
      <c r="Q1739" s="51">
        <f t="array" ref="Q1739">SUM(IF(($S1739&gt;=4)*($C1739='TaxCred&amp;Subs'!$D$123:$D$127)*($H1739='TaxCred&amp;Subs'!$C$123:$C$127)*($H1739&lt;='TaxCred&amp;Subs'!$C$129),'TaxCred&amp;Subs'!$E$123:$E$127,0))</f>
        <v>500</v>
      </c>
      <c r="R1739" s="171">
        <v>0</v>
      </c>
      <c r="S1739" s="49">
        <v>4</v>
      </c>
      <c r="T1739" s="49" t="s">
        <v>248</v>
      </c>
      <c r="U1739"/>
      <c r="V1739" s="153" t="str">
        <f t="array" ref="V1739">INDEX(xlRTCLNAME,MATCH(1,(xlRTCLENDU=1)*(xlRTCLEQCL=$D1739),0))</f>
        <v>NG_HP</v>
      </c>
      <c r="W1739" s="153" t="str">
        <f t="array" ref="W1739">INDEX(xlRTCLNAME,MATCH(1,(xlRTCLENDU=2)*(xlRTCLEQCL=$F1739),0))</f>
        <v>NG_HP</v>
      </c>
      <c r="X1739" s="153" t="str">
        <f t="array" ref="X1739">INDEX(xlRTTYNAME,MATCH(1,(xlRTTYENDU=1)*(xlRTTYEQCL=$D1739)*(xlRTEQTYPE=$E1739),0))</f>
        <v>NG_HP2</v>
      </c>
      <c r="Y1739" s="153" t="str">
        <f t="array" ref="Y1739">INDEX(xlRTTYNAME,MATCH(1,(xlRTTYENDU=2)*(xlRTTYEQCL=$F1739)*(xlRTEQTYPE=$G1739),0))</f>
        <v>NG_HP2</v>
      </c>
    </row>
    <row r="1740" spans="1:25" s="157" customFormat="1" ht="14.25" customHeight="1" x14ac:dyDescent="0.2">
      <c r="A1740"/>
      <c r="B1740" s="49">
        <v>6</v>
      </c>
      <c r="C1740" s="49">
        <v>2</v>
      </c>
      <c r="D1740" s="49">
        <v>11</v>
      </c>
      <c r="E1740" s="49">
        <v>36</v>
      </c>
      <c r="F1740" s="49">
        <v>5</v>
      </c>
      <c r="G1740" s="49">
        <v>17</v>
      </c>
      <c r="H1740" s="49">
        <v>2033</v>
      </c>
      <c r="I1740" s="49">
        <v>2050</v>
      </c>
      <c r="J1740" s="50">
        <v>1.1200000000000001</v>
      </c>
      <c r="K1740" s="50">
        <v>1.03</v>
      </c>
      <c r="L1740" s="50">
        <v>1.1105</v>
      </c>
      <c r="M1740" s="50">
        <v>1.1228</v>
      </c>
      <c r="N1740" s="50">
        <v>1.3324</v>
      </c>
      <c r="O1740" s="50">
        <v>1.0538000000000001</v>
      </c>
      <c r="P1740" s="49">
        <v>2282</v>
      </c>
      <c r="Q1740" s="51">
        <f t="array" ref="Q1740">SUM(IF(($S1740&gt;=4)*($C1740='TaxCred&amp;Subs'!$D$123:$D$127)*($H1740='TaxCred&amp;Subs'!$C$123:$C$127)*($H1740&lt;='TaxCred&amp;Subs'!$C$129),'TaxCred&amp;Subs'!$E$123:$E$127,0))</f>
        <v>0</v>
      </c>
      <c r="R1740" s="171">
        <v>0</v>
      </c>
      <c r="S1740" s="49">
        <v>4</v>
      </c>
      <c r="T1740" s="49" t="s">
        <v>248</v>
      </c>
      <c r="U1740"/>
      <c r="V1740" s="153" t="str">
        <f t="array" ref="V1740">INDEX(xlRTCLNAME,MATCH(1,(xlRTCLENDU=1)*(xlRTCLEQCL=$D1740),0))</f>
        <v>NG_HP</v>
      </c>
      <c r="W1740" s="153" t="str">
        <f t="array" ref="W1740">INDEX(xlRTCLNAME,MATCH(1,(xlRTCLENDU=2)*(xlRTCLEQCL=$F1740),0))</f>
        <v>NG_HP</v>
      </c>
      <c r="X1740" s="153" t="str">
        <f t="array" ref="X1740">INDEX(xlRTTYNAME,MATCH(1,(xlRTTYENDU=1)*(xlRTTYEQCL=$D1740)*(xlRTEQTYPE=$E1740),0))</f>
        <v>NG_HP2</v>
      </c>
      <c r="Y1740" s="153" t="str">
        <f t="array" ref="Y1740">INDEX(xlRTTYNAME,MATCH(1,(xlRTTYENDU=2)*(xlRTTYEQCL=$F1740)*(xlRTEQTYPE=$G1740),0))</f>
        <v>NG_HP2</v>
      </c>
    </row>
    <row r="1741" spans="1:25" s="157" customFormat="1" ht="14.25" customHeight="1" x14ac:dyDescent="0.2">
      <c r="A1741"/>
      <c r="B1741" s="126">
        <v>7</v>
      </c>
      <c r="C1741" s="126">
        <v>2</v>
      </c>
      <c r="D1741" s="126">
        <v>11</v>
      </c>
      <c r="E1741" s="126">
        <v>36</v>
      </c>
      <c r="F1741" s="126">
        <v>5</v>
      </c>
      <c r="G1741" s="126">
        <v>17</v>
      </c>
      <c r="H1741" s="126">
        <v>2016</v>
      </c>
      <c r="I1741" s="159">
        <v>2022</v>
      </c>
      <c r="J1741" s="127">
        <v>1.1200000000000001</v>
      </c>
      <c r="K1741" s="127">
        <v>1.0462</v>
      </c>
      <c r="L1741" s="127">
        <v>1.0271999999999999</v>
      </c>
      <c r="M1741" s="127">
        <v>1.1173</v>
      </c>
      <c r="N1741" s="127">
        <v>1.4438</v>
      </c>
      <c r="O1741" s="127">
        <v>1.0538000000000001</v>
      </c>
      <c r="P1741" s="126">
        <v>2031</v>
      </c>
      <c r="Q1741" s="128">
        <f t="array" ref="Q1741">SUM(IF(($S1741&gt;=4)*($C1741='TaxCred&amp;Subs'!$D$123:$D$127)*($H1741='TaxCred&amp;Subs'!$C$123:$C$127)*($H1741&lt;='TaxCred&amp;Subs'!$C$129),'TaxCred&amp;Subs'!$E$123:$E$127,0))</f>
        <v>0</v>
      </c>
      <c r="R1741" s="174">
        <v>0</v>
      </c>
      <c r="S1741" s="126">
        <v>4</v>
      </c>
      <c r="T1741" s="126" t="s">
        <v>248</v>
      </c>
      <c r="U1741"/>
      <c r="V1741" s="153" t="str">
        <f t="array" ref="V1741">INDEX(xlRTCLNAME,MATCH(1,(xlRTCLENDU=1)*(xlRTCLEQCL=$D1741),0))</f>
        <v>NG_HP</v>
      </c>
      <c r="W1741" s="153" t="str">
        <f t="array" ref="W1741">INDEX(xlRTCLNAME,MATCH(1,(xlRTCLENDU=2)*(xlRTCLEQCL=$F1741),0))</f>
        <v>NG_HP</v>
      </c>
      <c r="X1741" s="153" t="str">
        <f t="array" ref="X1741">INDEX(xlRTTYNAME,MATCH(1,(xlRTTYENDU=1)*(xlRTTYEQCL=$D1741)*(xlRTEQTYPE=$E1741),0))</f>
        <v>NG_HP2</v>
      </c>
      <c r="Y1741" s="153" t="str">
        <f t="array" ref="Y1741">INDEX(xlRTTYNAME,MATCH(1,(xlRTTYENDU=2)*(xlRTTYEQCL=$F1741)*(xlRTEQTYPE=$G1741),0))</f>
        <v>NG_HP2</v>
      </c>
    </row>
    <row r="1742" spans="1:25" s="157" customFormat="1" ht="14.25" customHeight="1" x14ac:dyDescent="0.2">
      <c r="A1742"/>
      <c r="B1742" s="49">
        <v>7</v>
      </c>
      <c r="C1742" s="49">
        <v>2</v>
      </c>
      <c r="D1742" s="49">
        <v>11</v>
      </c>
      <c r="E1742" s="49">
        <v>36</v>
      </c>
      <c r="F1742" s="49">
        <v>5</v>
      </c>
      <c r="G1742" s="49">
        <v>17</v>
      </c>
      <c r="H1742" s="49">
        <v>2023</v>
      </c>
      <c r="I1742" s="49">
        <v>2032</v>
      </c>
      <c r="J1742" s="50">
        <v>1.1200000000000001</v>
      </c>
      <c r="K1742" s="50">
        <v>1.0462</v>
      </c>
      <c r="L1742" s="50">
        <v>1.0271999999999999</v>
      </c>
      <c r="M1742" s="50">
        <v>1.1173</v>
      </c>
      <c r="N1742" s="50">
        <v>1.4438</v>
      </c>
      <c r="O1742" s="50">
        <v>1.0538000000000001</v>
      </c>
      <c r="P1742" s="49">
        <v>2031</v>
      </c>
      <c r="Q1742" s="51">
        <f t="array" ref="Q1742">SUM(IF(($S1742&gt;=4)*($C1742='TaxCred&amp;Subs'!$D$123:$D$127)*($H1742='TaxCred&amp;Subs'!$C$123:$C$127)*($H1742&lt;='TaxCred&amp;Subs'!$C$129),'TaxCred&amp;Subs'!$E$123:$E$127,0))</f>
        <v>500</v>
      </c>
      <c r="R1742" s="171">
        <v>0</v>
      </c>
      <c r="S1742" s="49">
        <v>4</v>
      </c>
      <c r="T1742" s="49" t="s">
        <v>248</v>
      </c>
      <c r="U1742"/>
      <c r="V1742" s="153" t="str">
        <f t="array" ref="V1742">INDEX(xlRTCLNAME,MATCH(1,(xlRTCLENDU=1)*(xlRTCLEQCL=$D1742),0))</f>
        <v>NG_HP</v>
      </c>
      <c r="W1742" s="153" t="str">
        <f t="array" ref="W1742">INDEX(xlRTCLNAME,MATCH(1,(xlRTCLENDU=2)*(xlRTCLEQCL=$F1742),0))</f>
        <v>NG_HP</v>
      </c>
      <c r="X1742" s="153" t="str">
        <f t="array" ref="X1742">INDEX(xlRTTYNAME,MATCH(1,(xlRTTYENDU=1)*(xlRTTYEQCL=$D1742)*(xlRTEQTYPE=$E1742),0))</f>
        <v>NG_HP2</v>
      </c>
      <c r="Y1742" s="153" t="str">
        <f t="array" ref="Y1742">INDEX(xlRTTYNAME,MATCH(1,(xlRTTYENDU=2)*(xlRTTYEQCL=$F1742)*(xlRTEQTYPE=$G1742),0))</f>
        <v>NG_HP2</v>
      </c>
    </row>
    <row r="1743" spans="1:25" s="157" customFormat="1" ht="14.25" customHeight="1" x14ac:dyDescent="0.2">
      <c r="A1743"/>
      <c r="B1743" s="49">
        <v>7</v>
      </c>
      <c r="C1743" s="49">
        <v>2</v>
      </c>
      <c r="D1743" s="49">
        <v>11</v>
      </c>
      <c r="E1743" s="49">
        <v>36</v>
      </c>
      <c r="F1743" s="49">
        <v>5</v>
      </c>
      <c r="G1743" s="49">
        <v>17</v>
      </c>
      <c r="H1743" s="49">
        <v>2033</v>
      </c>
      <c r="I1743" s="49">
        <v>2050</v>
      </c>
      <c r="J1743" s="50">
        <v>1.1200000000000001</v>
      </c>
      <c r="K1743" s="50">
        <v>1.0462</v>
      </c>
      <c r="L1743" s="50">
        <v>1.0271999999999999</v>
      </c>
      <c r="M1743" s="50">
        <v>1.1173</v>
      </c>
      <c r="N1743" s="50">
        <v>1.4438</v>
      </c>
      <c r="O1743" s="50">
        <v>1.0538000000000001</v>
      </c>
      <c r="P1743" s="49">
        <v>2031</v>
      </c>
      <c r="Q1743" s="51">
        <f t="array" ref="Q1743">SUM(IF(($S1743&gt;=4)*($C1743='TaxCred&amp;Subs'!$D$123:$D$127)*($H1743='TaxCred&amp;Subs'!$C$123:$C$127)*($H1743&lt;='TaxCred&amp;Subs'!$C$129),'TaxCred&amp;Subs'!$E$123:$E$127,0))</f>
        <v>0</v>
      </c>
      <c r="R1743" s="171">
        <v>0</v>
      </c>
      <c r="S1743" s="49">
        <v>4</v>
      </c>
      <c r="T1743" s="49" t="s">
        <v>248</v>
      </c>
      <c r="U1743"/>
      <c r="V1743" s="153" t="str">
        <f t="array" ref="V1743">INDEX(xlRTCLNAME,MATCH(1,(xlRTCLENDU=1)*(xlRTCLEQCL=$D1743),0))</f>
        <v>NG_HP</v>
      </c>
      <c r="W1743" s="153" t="str">
        <f t="array" ref="W1743">INDEX(xlRTCLNAME,MATCH(1,(xlRTCLENDU=2)*(xlRTCLEQCL=$F1743),0))</f>
        <v>NG_HP</v>
      </c>
      <c r="X1743" s="153" t="str">
        <f t="array" ref="X1743">INDEX(xlRTTYNAME,MATCH(1,(xlRTTYENDU=1)*(xlRTTYEQCL=$D1743)*(xlRTEQTYPE=$E1743),0))</f>
        <v>NG_HP2</v>
      </c>
      <c r="Y1743" s="153" t="str">
        <f t="array" ref="Y1743">INDEX(xlRTTYNAME,MATCH(1,(xlRTTYENDU=2)*(xlRTTYEQCL=$F1743)*(xlRTEQTYPE=$G1743),0))</f>
        <v>NG_HP2</v>
      </c>
    </row>
    <row r="1744" spans="1:25" s="157" customFormat="1" ht="14.25" customHeight="1" x14ac:dyDescent="0.2">
      <c r="A1744"/>
      <c r="B1744" s="126">
        <v>8</v>
      </c>
      <c r="C1744" s="126">
        <v>2</v>
      </c>
      <c r="D1744" s="126">
        <v>11</v>
      </c>
      <c r="E1744" s="126">
        <v>36</v>
      </c>
      <c r="F1744" s="126">
        <v>5</v>
      </c>
      <c r="G1744" s="126">
        <v>17</v>
      </c>
      <c r="H1744" s="126">
        <v>2016</v>
      </c>
      <c r="I1744" s="159">
        <v>2022</v>
      </c>
      <c r="J1744" s="127">
        <v>1.0932999999999999</v>
      </c>
      <c r="K1744" s="127">
        <v>1.0323</v>
      </c>
      <c r="L1744" s="127">
        <v>1.0073000000000001</v>
      </c>
      <c r="M1744" s="127">
        <v>1.2739</v>
      </c>
      <c r="N1744" s="127">
        <v>1.2847999999999999</v>
      </c>
      <c r="O1744" s="127">
        <v>1.0538000000000001</v>
      </c>
      <c r="P1744" s="126">
        <v>2451</v>
      </c>
      <c r="Q1744" s="128">
        <f t="array" ref="Q1744">SUM(IF(($S1744&gt;=4)*($C1744='TaxCred&amp;Subs'!$D$123:$D$127)*($H1744='TaxCred&amp;Subs'!$C$123:$C$127)*($H1744&lt;='TaxCred&amp;Subs'!$C$129),'TaxCred&amp;Subs'!$E$123:$E$127,0))</f>
        <v>0</v>
      </c>
      <c r="R1744" s="174">
        <v>0</v>
      </c>
      <c r="S1744" s="126">
        <v>4</v>
      </c>
      <c r="T1744" s="126" t="s">
        <v>248</v>
      </c>
      <c r="U1744"/>
      <c r="V1744" s="153" t="str">
        <f t="array" ref="V1744">INDEX(xlRTCLNAME,MATCH(1,(xlRTCLENDU=1)*(xlRTCLEQCL=$D1744),0))</f>
        <v>NG_HP</v>
      </c>
      <c r="W1744" s="153" t="str">
        <f t="array" ref="W1744">INDEX(xlRTCLNAME,MATCH(1,(xlRTCLENDU=2)*(xlRTCLEQCL=$F1744),0))</f>
        <v>NG_HP</v>
      </c>
      <c r="X1744" s="153" t="str">
        <f t="array" ref="X1744">INDEX(xlRTTYNAME,MATCH(1,(xlRTTYENDU=1)*(xlRTTYEQCL=$D1744)*(xlRTEQTYPE=$E1744),0))</f>
        <v>NG_HP2</v>
      </c>
      <c r="Y1744" s="153" t="str">
        <f t="array" ref="Y1744">INDEX(xlRTTYNAME,MATCH(1,(xlRTTYENDU=2)*(xlRTTYEQCL=$F1744)*(xlRTEQTYPE=$G1744),0))</f>
        <v>NG_HP2</v>
      </c>
    </row>
    <row r="1745" spans="1:25" s="157" customFormat="1" ht="14.25" customHeight="1" x14ac:dyDescent="0.2">
      <c r="A1745"/>
      <c r="B1745" s="49">
        <v>8</v>
      </c>
      <c r="C1745" s="49">
        <v>2</v>
      </c>
      <c r="D1745" s="49">
        <v>11</v>
      </c>
      <c r="E1745" s="49">
        <v>36</v>
      </c>
      <c r="F1745" s="49">
        <v>5</v>
      </c>
      <c r="G1745" s="49">
        <v>17</v>
      </c>
      <c r="H1745" s="49">
        <v>2023</v>
      </c>
      <c r="I1745" s="49">
        <v>2032</v>
      </c>
      <c r="J1745" s="50">
        <v>1.0932999999999999</v>
      </c>
      <c r="K1745" s="50">
        <v>1.0323</v>
      </c>
      <c r="L1745" s="50">
        <v>1.0073000000000001</v>
      </c>
      <c r="M1745" s="50">
        <v>1.2739</v>
      </c>
      <c r="N1745" s="50">
        <v>1.2847999999999999</v>
      </c>
      <c r="O1745" s="50">
        <v>1.0538000000000001</v>
      </c>
      <c r="P1745" s="49">
        <v>2451</v>
      </c>
      <c r="Q1745" s="51">
        <f t="array" ref="Q1745">SUM(IF(($S1745&gt;=4)*($C1745='TaxCred&amp;Subs'!$D$123:$D$127)*($H1745='TaxCred&amp;Subs'!$C$123:$C$127)*($H1745&lt;='TaxCred&amp;Subs'!$C$129),'TaxCred&amp;Subs'!$E$123:$E$127,0))</f>
        <v>500</v>
      </c>
      <c r="R1745" s="171">
        <v>0</v>
      </c>
      <c r="S1745" s="49">
        <v>4</v>
      </c>
      <c r="T1745" s="49" t="s">
        <v>248</v>
      </c>
      <c r="U1745"/>
      <c r="V1745" s="153" t="str">
        <f t="array" ref="V1745">INDEX(xlRTCLNAME,MATCH(1,(xlRTCLENDU=1)*(xlRTCLEQCL=$D1745),0))</f>
        <v>NG_HP</v>
      </c>
      <c r="W1745" s="153" t="str">
        <f t="array" ref="W1745">INDEX(xlRTCLNAME,MATCH(1,(xlRTCLENDU=2)*(xlRTCLEQCL=$F1745),0))</f>
        <v>NG_HP</v>
      </c>
      <c r="X1745" s="153" t="str">
        <f t="array" ref="X1745">INDEX(xlRTTYNAME,MATCH(1,(xlRTTYENDU=1)*(xlRTTYEQCL=$D1745)*(xlRTEQTYPE=$E1745),0))</f>
        <v>NG_HP2</v>
      </c>
      <c r="Y1745" s="153" t="str">
        <f t="array" ref="Y1745">INDEX(xlRTTYNAME,MATCH(1,(xlRTTYENDU=2)*(xlRTTYEQCL=$F1745)*(xlRTEQTYPE=$G1745),0))</f>
        <v>NG_HP2</v>
      </c>
    </row>
    <row r="1746" spans="1:25" s="157" customFormat="1" ht="14.25" customHeight="1" x14ac:dyDescent="0.2">
      <c r="A1746"/>
      <c r="B1746" s="49">
        <v>8</v>
      </c>
      <c r="C1746" s="49">
        <v>2</v>
      </c>
      <c r="D1746" s="49">
        <v>11</v>
      </c>
      <c r="E1746" s="49">
        <v>36</v>
      </c>
      <c r="F1746" s="49">
        <v>5</v>
      </c>
      <c r="G1746" s="49">
        <v>17</v>
      </c>
      <c r="H1746" s="49">
        <v>2033</v>
      </c>
      <c r="I1746" s="49">
        <v>2050</v>
      </c>
      <c r="J1746" s="50">
        <v>1.0932999999999999</v>
      </c>
      <c r="K1746" s="50">
        <v>1.0323</v>
      </c>
      <c r="L1746" s="50">
        <v>1.0073000000000001</v>
      </c>
      <c r="M1746" s="50">
        <v>1.2739</v>
      </c>
      <c r="N1746" s="50">
        <v>1.2847999999999999</v>
      </c>
      <c r="O1746" s="50">
        <v>1.0538000000000001</v>
      </c>
      <c r="P1746" s="49">
        <v>2451</v>
      </c>
      <c r="Q1746" s="51">
        <f t="array" ref="Q1746">SUM(IF(($S1746&gt;=4)*($C1746='TaxCred&amp;Subs'!$D$123:$D$127)*($H1746='TaxCred&amp;Subs'!$C$123:$C$127)*($H1746&lt;='TaxCred&amp;Subs'!$C$129),'TaxCred&amp;Subs'!$E$123:$E$127,0))</f>
        <v>0</v>
      </c>
      <c r="R1746" s="171">
        <v>0</v>
      </c>
      <c r="S1746" s="49">
        <v>4</v>
      </c>
      <c r="T1746" s="49" t="s">
        <v>248</v>
      </c>
      <c r="U1746"/>
      <c r="V1746" s="153" t="str">
        <f t="array" ref="V1746">INDEX(xlRTCLNAME,MATCH(1,(xlRTCLENDU=1)*(xlRTCLEQCL=$D1746),0))</f>
        <v>NG_HP</v>
      </c>
      <c r="W1746" s="153" t="str">
        <f t="array" ref="W1746">INDEX(xlRTCLNAME,MATCH(1,(xlRTCLENDU=2)*(xlRTCLEQCL=$F1746),0))</f>
        <v>NG_HP</v>
      </c>
      <c r="X1746" s="153" t="str">
        <f t="array" ref="X1746">INDEX(xlRTTYNAME,MATCH(1,(xlRTTYENDU=1)*(xlRTTYEQCL=$D1746)*(xlRTEQTYPE=$E1746),0))</f>
        <v>NG_HP2</v>
      </c>
      <c r="Y1746" s="153" t="str">
        <f t="array" ref="Y1746">INDEX(xlRTTYNAME,MATCH(1,(xlRTTYENDU=2)*(xlRTTYEQCL=$F1746)*(xlRTEQTYPE=$G1746),0))</f>
        <v>NG_HP2</v>
      </c>
    </row>
    <row r="1747" spans="1:25" s="157" customFormat="1" ht="14.25" customHeight="1" x14ac:dyDescent="0.2">
      <c r="A1747"/>
      <c r="B1747" s="126">
        <v>9</v>
      </c>
      <c r="C1747" s="126">
        <v>2</v>
      </c>
      <c r="D1747" s="126">
        <v>11</v>
      </c>
      <c r="E1747" s="126">
        <v>36</v>
      </c>
      <c r="F1747" s="126">
        <v>5</v>
      </c>
      <c r="G1747" s="126">
        <v>17</v>
      </c>
      <c r="H1747" s="126">
        <v>2016</v>
      </c>
      <c r="I1747" s="159">
        <v>2022</v>
      </c>
      <c r="J1747" s="127">
        <v>1.07</v>
      </c>
      <c r="K1747" s="127">
        <v>1.0541</v>
      </c>
      <c r="L1747" s="127">
        <v>1.0063</v>
      </c>
      <c r="M1747" s="127">
        <v>1.2</v>
      </c>
      <c r="N1747" s="127">
        <v>1.4438</v>
      </c>
      <c r="O1747" s="127">
        <v>1.0538000000000001</v>
      </c>
      <c r="P1747" s="126">
        <v>2550</v>
      </c>
      <c r="Q1747" s="128">
        <f t="array" ref="Q1747">SUM(IF(($S1747&gt;=4)*($C1747='TaxCred&amp;Subs'!$D$123:$D$127)*($H1747='TaxCred&amp;Subs'!$C$123:$C$127)*($H1747&lt;='TaxCred&amp;Subs'!$C$129),'TaxCred&amp;Subs'!$E$123:$E$127,0))</f>
        <v>0</v>
      </c>
      <c r="R1747" s="174">
        <v>0</v>
      </c>
      <c r="S1747" s="126">
        <v>4</v>
      </c>
      <c r="T1747" s="126" t="s">
        <v>248</v>
      </c>
      <c r="U1747"/>
      <c r="V1747" s="153" t="str">
        <f t="array" ref="V1747">INDEX(xlRTCLNAME,MATCH(1,(xlRTCLENDU=1)*(xlRTCLEQCL=$D1747),0))</f>
        <v>NG_HP</v>
      </c>
      <c r="W1747" s="153" t="str">
        <f t="array" ref="W1747">INDEX(xlRTCLNAME,MATCH(1,(xlRTCLENDU=2)*(xlRTCLEQCL=$F1747),0))</f>
        <v>NG_HP</v>
      </c>
      <c r="X1747" s="153" t="str">
        <f t="array" ref="X1747">INDEX(xlRTTYNAME,MATCH(1,(xlRTTYENDU=1)*(xlRTTYEQCL=$D1747)*(xlRTEQTYPE=$E1747),0))</f>
        <v>NG_HP2</v>
      </c>
      <c r="Y1747" s="153" t="str">
        <f t="array" ref="Y1747">INDEX(xlRTTYNAME,MATCH(1,(xlRTTYENDU=2)*(xlRTTYEQCL=$F1747)*(xlRTEQTYPE=$G1747),0))</f>
        <v>NG_HP2</v>
      </c>
    </row>
    <row r="1748" spans="1:25" s="157" customFormat="1" ht="14.25" customHeight="1" x14ac:dyDescent="0.2">
      <c r="A1748"/>
      <c r="B1748" s="49">
        <v>9</v>
      </c>
      <c r="C1748" s="49">
        <v>2</v>
      </c>
      <c r="D1748" s="49">
        <v>11</v>
      </c>
      <c r="E1748" s="49">
        <v>36</v>
      </c>
      <c r="F1748" s="49">
        <v>5</v>
      </c>
      <c r="G1748" s="49">
        <v>17</v>
      </c>
      <c r="H1748" s="49">
        <v>2023</v>
      </c>
      <c r="I1748" s="49">
        <v>2032</v>
      </c>
      <c r="J1748" s="50">
        <v>1.07</v>
      </c>
      <c r="K1748" s="50">
        <v>1.0541</v>
      </c>
      <c r="L1748" s="50">
        <v>1.0063</v>
      </c>
      <c r="M1748" s="50">
        <v>1.2</v>
      </c>
      <c r="N1748" s="50">
        <v>1.4438</v>
      </c>
      <c r="O1748" s="50">
        <v>1.0538000000000001</v>
      </c>
      <c r="P1748" s="49">
        <v>2550</v>
      </c>
      <c r="Q1748" s="51">
        <f t="array" ref="Q1748">SUM(IF(($S1748&gt;=4)*($C1748='TaxCred&amp;Subs'!$D$123:$D$127)*($H1748='TaxCred&amp;Subs'!$C$123:$C$127)*($H1748&lt;='TaxCred&amp;Subs'!$C$129),'TaxCred&amp;Subs'!$E$123:$E$127,0))</f>
        <v>500</v>
      </c>
      <c r="R1748" s="171">
        <v>0</v>
      </c>
      <c r="S1748" s="49">
        <v>4</v>
      </c>
      <c r="T1748" s="49" t="s">
        <v>248</v>
      </c>
      <c r="U1748"/>
      <c r="V1748" s="153" t="str">
        <f t="array" ref="V1748">INDEX(xlRTCLNAME,MATCH(1,(xlRTCLENDU=1)*(xlRTCLEQCL=$D1748),0))</f>
        <v>NG_HP</v>
      </c>
      <c r="W1748" s="153" t="str">
        <f t="array" ref="W1748">INDEX(xlRTCLNAME,MATCH(1,(xlRTCLENDU=2)*(xlRTCLEQCL=$F1748),0))</f>
        <v>NG_HP</v>
      </c>
      <c r="X1748" s="153" t="str">
        <f t="array" ref="X1748">INDEX(xlRTTYNAME,MATCH(1,(xlRTTYENDU=1)*(xlRTTYEQCL=$D1748)*(xlRTEQTYPE=$E1748),0))</f>
        <v>NG_HP2</v>
      </c>
      <c r="Y1748" s="153" t="str">
        <f t="array" ref="Y1748">INDEX(xlRTTYNAME,MATCH(1,(xlRTTYENDU=2)*(xlRTTYEQCL=$F1748)*(xlRTEQTYPE=$G1748),0))</f>
        <v>NG_HP2</v>
      </c>
    </row>
    <row r="1749" spans="1:25" s="157" customFormat="1" ht="14.25" customHeight="1" x14ac:dyDescent="0.2">
      <c r="A1749"/>
      <c r="B1749" s="49">
        <v>9</v>
      </c>
      <c r="C1749" s="49">
        <v>2</v>
      </c>
      <c r="D1749" s="49">
        <v>11</v>
      </c>
      <c r="E1749" s="49">
        <v>36</v>
      </c>
      <c r="F1749" s="49">
        <v>5</v>
      </c>
      <c r="G1749" s="49">
        <v>17</v>
      </c>
      <c r="H1749" s="49">
        <v>2033</v>
      </c>
      <c r="I1749" s="49">
        <v>2050</v>
      </c>
      <c r="J1749" s="50">
        <v>1.07</v>
      </c>
      <c r="K1749" s="50">
        <v>1.0541</v>
      </c>
      <c r="L1749" s="50">
        <v>1.0063</v>
      </c>
      <c r="M1749" s="50">
        <v>1.2</v>
      </c>
      <c r="N1749" s="50">
        <v>1.4438</v>
      </c>
      <c r="O1749" s="50">
        <v>1.0538000000000001</v>
      </c>
      <c r="P1749" s="49">
        <v>2550</v>
      </c>
      <c r="Q1749" s="51">
        <f t="array" ref="Q1749">SUM(IF(($S1749&gt;=4)*($C1749='TaxCred&amp;Subs'!$D$123:$D$127)*($H1749='TaxCred&amp;Subs'!$C$123:$C$127)*($H1749&lt;='TaxCred&amp;Subs'!$C$129),'TaxCred&amp;Subs'!$E$123:$E$127,0))</f>
        <v>0</v>
      </c>
      <c r="R1749" s="171">
        <v>0</v>
      </c>
      <c r="S1749" s="49">
        <v>4</v>
      </c>
      <c r="T1749" s="49" t="s">
        <v>248</v>
      </c>
      <c r="U1749"/>
      <c r="V1749" s="153" t="str">
        <f t="array" ref="V1749">INDEX(xlRTCLNAME,MATCH(1,(xlRTCLENDU=1)*(xlRTCLEQCL=$D1749),0))</f>
        <v>NG_HP</v>
      </c>
      <c r="W1749" s="153" t="str">
        <f t="array" ref="W1749">INDEX(xlRTCLNAME,MATCH(1,(xlRTCLENDU=2)*(xlRTCLEQCL=$F1749),0))</f>
        <v>NG_HP</v>
      </c>
      <c r="X1749" s="153" t="str">
        <f t="array" ref="X1749">INDEX(xlRTTYNAME,MATCH(1,(xlRTTYENDU=1)*(xlRTTYEQCL=$D1749)*(xlRTEQTYPE=$E1749),0))</f>
        <v>NG_HP2</v>
      </c>
      <c r="Y1749" s="153" t="str">
        <f t="array" ref="Y1749">INDEX(xlRTTYNAME,MATCH(1,(xlRTTYENDU=2)*(xlRTTYEQCL=$F1749)*(xlRTEQTYPE=$G1749),0))</f>
        <v>NG_HP2</v>
      </c>
    </row>
    <row r="1750" spans="1:25" s="157" customFormat="1" ht="14.25" customHeight="1" x14ac:dyDescent="0.2">
      <c r="A1750"/>
      <c r="B1750" s="126">
        <v>5</v>
      </c>
      <c r="C1750" s="126">
        <v>2</v>
      </c>
      <c r="D1750" s="126">
        <v>1</v>
      </c>
      <c r="E1750" s="126">
        <v>1</v>
      </c>
      <c r="F1750" s="126">
        <v>2</v>
      </c>
      <c r="G1750" s="126">
        <v>8</v>
      </c>
      <c r="H1750" s="126">
        <v>2016</v>
      </c>
      <c r="I1750" s="159">
        <v>2022</v>
      </c>
      <c r="J1750" s="127">
        <v>1.1200000000000001</v>
      </c>
      <c r="K1750" s="127">
        <v>1.0577000000000001</v>
      </c>
      <c r="L1750" s="127">
        <v>0.44379999999999997</v>
      </c>
      <c r="M1750" s="127">
        <v>1.0314000000000001</v>
      </c>
      <c r="N1750" s="127">
        <v>1.2619</v>
      </c>
      <c r="O1750" s="127">
        <v>1.0538000000000001</v>
      </c>
      <c r="P1750" s="126">
        <v>2401</v>
      </c>
      <c r="Q1750" s="128">
        <f t="array" ref="Q1750">SUM(IF(($S1750&gt;=4)*($C1750='TaxCred&amp;Subs'!$D$123:$D$127)*($H1750='TaxCred&amp;Subs'!$C$123:$C$127)*($H1750&lt;='TaxCred&amp;Subs'!$C$129),'TaxCred&amp;Subs'!$E$123:$E$127,0))</f>
        <v>0</v>
      </c>
      <c r="R1750" s="174">
        <v>0</v>
      </c>
      <c r="S1750" s="126">
        <v>5</v>
      </c>
      <c r="T1750" s="126" t="s">
        <v>225</v>
      </c>
      <c r="U1750"/>
      <c r="V1750" s="153" t="str">
        <f t="array" ref="V1750">INDEX(xlRTCLNAME,MATCH(1,(xlRTCLENDU=1)*(xlRTCLEQCL=$D1750),0))</f>
        <v>ELEC_RAD</v>
      </c>
      <c r="W1750" s="153" t="str">
        <f t="array" ref="W1750">INDEX(xlRTCLNAME,MATCH(1,(xlRTCLENDU=2)*(xlRTCLEQCL=$F1750),0))</f>
        <v>CENT_AIR</v>
      </c>
      <c r="X1750" s="153" t="str">
        <f t="array" ref="X1750">INDEX(xlRTTYNAME,MATCH(1,(xlRTTYENDU=1)*(xlRTTYEQCL=$D1750)*(xlRTEQTYPE=$E1750),0))</f>
        <v>ELEC_RAD2</v>
      </c>
      <c r="Y1750" s="153" t="str">
        <f t="array" ref="Y1750">INDEX(xlRTTYNAME,MATCH(1,(xlRTTYENDU=2)*(xlRTTYEQCL=$F1750)*(xlRTEQTYPE=$G1750),0))</f>
        <v>CENT_AIR4</v>
      </c>
    </row>
    <row r="1751" spans="1:25" s="157" customFormat="1" ht="14.25" customHeight="1" x14ac:dyDescent="0.2">
      <c r="A1751"/>
      <c r="B1751" s="49">
        <v>5</v>
      </c>
      <c r="C1751" s="49">
        <v>2</v>
      </c>
      <c r="D1751" s="49">
        <v>1</v>
      </c>
      <c r="E1751" s="49">
        <v>1</v>
      </c>
      <c r="F1751" s="49">
        <v>2</v>
      </c>
      <c r="G1751" s="49">
        <v>8</v>
      </c>
      <c r="H1751" s="49">
        <v>2023</v>
      </c>
      <c r="I1751" s="49">
        <v>2032</v>
      </c>
      <c r="J1751" s="50">
        <v>1.1200000000000001</v>
      </c>
      <c r="K1751" s="50">
        <v>1.0577000000000001</v>
      </c>
      <c r="L1751" s="50">
        <v>0.44379999999999997</v>
      </c>
      <c r="M1751" s="50">
        <v>1.0314000000000001</v>
      </c>
      <c r="N1751" s="50">
        <v>1.2619</v>
      </c>
      <c r="O1751" s="50">
        <v>1.0538000000000001</v>
      </c>
      <c r="P1751" s="49">
        <v>2401</v>
      </c>
      <c r="Q1751" s="51">
        <f t="array" ref="Q1751">SUM(IF(($S1751&gt;=4)*($C1751='TaxCred&amp;Subs'!$D$123:$D$127)*($H1751='TaxCred&amp;Subs'!$C$123:$C$127)*($H1751&lt;='TaxCred&amp;Subs'!$C$129),'TaxCred&amp;Subs'!$E$123:$E$127,0))</f>
        <v>500</v>
      </c>
      <c r="R1751" s="171">
        <v>0</v>
      </c>
      <c r="S1751" s="49">
        <v>5</v>
      </c>
      <c r="T1751" s="49" t="s">
        <v>225</v>
      </c>
      <c r="U1751"/>
      <c r="V1751" s="153" t="str">
        <f t="array" ref="V1751">INDEX(xlRTCLNAME,MATCH(1,(xlRTCLENDU=1)*(xlRTCLEQCL=$D1751),0))</f>
        <v>ELEC_RAD</v>
      </c>
      <c r="W1751" s="153" t="str">
        <f t="array" ref="W1751">INDEX(xlRTCLNAME,MATCH(1,(xlRTCLENDU=2)*(xlRTCLEQCL=$F1751),0))</f>
        <v>CENT_AIR</v>
      </c>
      <c r="X1751" s="153" t="str">
        <f t="array" ref="X1751">INDEX(xlRTTYNAME,MATCH(1,(xlRTTYENDU=1)*(xlRTTYEQCL=$D1751)*(xlRTEQTYPE=$E1751),0))</f>
        <v>ELEC_RAD2</v>
      </c>
      <c r="Y1751" s="153" t="str">
        <f t="array" ref="Y1751">INDEX(xlRTTYNAME,MATCH(1,(xlRTTYENDU=2)*(xlRTTYEQCL=$F1751)*(xlRTEQTYPE=$G1751),0))</f>
        <v>CENT_AIR4</v>
      </c>
    </row>
    <row r="1752" spans="1:25" s="157" customFormat="1" ht="14.25" customHeight="1" x14ac:dyDescent="0.2">
      <c r="A1752"/>
      <c r="B1752" s="49">
        <v>5</v>
      </c>
      <c r="C1752" s="49">
        <v>2</v>
      </c>
      <c r="D1752" s="49">
        <v>1</v>
      </c>
      <c r="E1752" s="49">
        <v>1</v>
      </c>
      <c r="F1752" s="49">
        <v>2</v>
      </c>
      <c r="G1752" s="49">
        <v>8</v>
      </c>
      <c r="H1752" s="49">
        <v>2033</v>
      </c>
      <c r="I1752" s="49">
        <v>2050</v>
      </c>
      <c r="J1752" s="50">
        <v>1.1200000000000001</v>
      </c>
      <c r="K1752" s="50">
        <v>1.0577000000000001</v>
      </c>
      <c r="L1752" s="50">
        <v>0.44379999999999997</v>
      </c>
      <c r="M1752" s="50">
        <v>1.0314000000000001</v>
      </c>
      <c r="N1752" s="50">
        <v>1.2619</v>
      </c>
      <c r="O1752" s="50">
        <v>1.0538000000000001</v>
      </c>
      <c r="P1752" s="49">
        <v>2401</v>
      </c>
      <c r="Q1752" s="51">
        <f t="array" ref="Q1752">SUM(IF(($S1752&gt;=4)*($C1752='TaxCred&amp;Subs'!$D$123:$D$127)*($H1752='TaxCred&amp;Subs'!$C$123:$C$127)*($H1752&lt;='TaxCred&amp;Subs'!$C$129),'TaxCred&amp;Subs'!$E$123:$E$127,0))</f>
        <v>0</v>
      </c>
      <c r="R1752" s="171">
        <v>0</v>
      </c>
      <c r="S1752" s="49">
        <v>5</v>
      </c>
      <c r="T1752" s="49" t="s">
        <v>225</v>
      </c>
      <c r="U1752"/>
      <c r="V1752" s="153" t="str">
        <f t="array" ref="V1752">INDEX(xlRTCLNAME,MATCH(1,(xlRTCLENDU=1)*(xlRTCLEQCL=$D1752),0))</f>
        <v>ELEC_RAD</v>
      </c>
      <c r="W1752" s="153" t="str">
        <f t="array" ref="W1752">INDEX(xlRTCLNAME,MATCH(1,(xlRTCLENDU=2)*(xlRTCLEQCL=$F1752),0))</f>
        <v>CENT_AIR</v>
      </c>
      <c r="X1752" s="153" t="str">
        <f t="array" ref="X1752">INDEX(xlRTTYNAME,MATCH(1,(xlRTTYENDU=1)*(xlRTTYEQCL=$D1752)*(xlRTEQTYPE=$E1752),0))</f>
        <v>ELEC_RAD2</v>
      </c>
      <c r="Y1752" s="153" t="str">
        <f t="array" ref="Y1752">INDEX(xlRTTYNAME,MATCH(1,(xlRTTYENDU=2)*(xlRTTYEQCL=$F1752)*(xlRTEQTYPE=$G1752),0))</f>
        <v>CENT_AIR4</v>
      </c>
    </row>
    <row r="1753" spans="1:25" s="157" customFormat="1" ht="14.25" customHeight="1" x14ac:dyDescent="0.2">
      <c r="A1753"/>
      <c r="B1753" s="126">
        <v>6</v>
      </c>
      <c r="C1753" s="126">
        <v>2</v>
      </c>
      <c r="D1753" s="126">
        <v>1</v>
      </c>
      <c r="E1753" s="126">
        <v>1</v>
      </c>
      <c r="F1753" s="126">
        <v>2</v>
      </c>
      <c r="G1753" s="126">
        <v>8</v>
      </c>
      <c r="H1753" s="126">
        <v>2016</v>
      </c>
      <c r="I1753" s="159">
        <v>2022</v>
      </c>
      <c r="J1753" s="127">
        <v>1.1000000000000001</v>
      </c>
      <c r="K1753" s="127">
        <v>1.0407999999999999</v>
      </c>
      <c r="L1753" s="127">
        <v>0.44379999999999997</v>
      </c>
      <c r="M1753" s="127">
        <v>1.0546</v>
      </c>
      <c r="N1753" s="127">
        <v>1.3324</v>
      </c>
      <c r="O1753" s="127">
        <v>1.0538000000000001</v>
      </c>
      <c r="P1753" s="126">
        <v>2657</v>
      </c>
      <c r="Q1753" s="128">
        <f t="array" ref="Q1753">SUM(IF(($S1753&gt;=4)*($C1753='TaxCred&amp;Subs'!$D$123:$D$127)*($H1753='TaxCred&amp;Subs'!$C$123:$C$127)*($H1753&lt;='TaxCred&amp;Subs'!$C$129),'TaxCred&amp;Subs'!$E$123:$E$127,0))</f>
        <v>0</v>
      </c>
      <c r="R1753" s="174">
        <v>0</v>
      </c>
      <c r="S1753" s="126">
        <v>5</v>
      </c>
      <c r="T1753" s="126" t="s">
        <v>225</v>
      </c>
      <c r="U1753"/>
      <c r="V1753" s="153" t="str">
        <f t="array" ref="V1753">INDEX(xlRTCLNAME,MATCH(1,(xlRTCLENDU=1)*(xlRTCLEQCL=$D1753),0))</f>
        <v>ELEC_RAD</v>
      </c>
      <c r="W1753" s="153" t="str">
        <f t="array" ref="W1753">INDEX(xlRTCLNAME,MATCH(1,(xlRTCLENDU=2)*(xlRTCLEQCL=$F1753),0))</f>
        <v>CENT_AIR</v>
      </c>
      <c r="X1753" s="153" t="str">
        <f t="array" ref="X1753">INDEX(xlRTTYNAME,MATCH(1,(xlRTTYENDU=1)*(xlRTTYEQCL=$D1753)*(xlRTEQTYPE=$E1753),0))</f>
        <v>ELEC_RAD2</v>
      </c>
      <c r="Y1753" s="153" t="str">
        <f t="array" ref="Y1753">INDEX(xlRTTYNAME,MATCH(1,(xlRTTYENDU=2)*(xlRTTYEQCL=$F1753)*(xlRTEQTYPE=$G1753),0))</f>
        <v>CENT_AIR4</v>
      </c>
    </row>
    <row r="1754" spans="1:25" s="157" customFormat="1" ht="14.25" customHeight="1" x14ac:dyDescent="0.2">
      <c r="A1754"/>
      <c r="B1754" s="49">
        <v>6</v>
      </c>
      <c r="C1754" s="49">
        <v>2</v>
      </c>
      <c r="D1754" s="49">
        <v>1</v>
      </c>
      <c r="E1754" s="49">
        <v>1</v>
      </c>
      <c r="F1754" s="49">
        <v>2</v>
      </c>
      <c r="G1754" s="49">
        <v>8</v>
      </c>
      <c r="H1754" s="49">
        <v>2023</v>
      </c>
      <c r="I1754" s="49">
        <v>2032</v>
      </c>
      <c r="J1754" s="50">
        <v>1.1000000000000001</v>
      </c>
      <c r="K1754" s="50">
        <v>1.0407999999999999</v>
      </c>
      <c r="L1754" s="50">
        <v>0.44379999999999997</v>
      </c>
      <c r="M1754" s="50">
        <v>1.0546</v>
      </c>
      <c r="N1754" s="50">
        <v>1.3324</v>
      </c>
      <c r="O1754" s="50">
        <v>1.0538000000000001</v>
      </c>
      <c r="P1754" s="49">
        <v>2657</v>
      </c>
      <c r="Q1754" s="51">
        <f t="array" ref="Q1754">SUM(IF(($S1754&gt;=4)*($C1754='TaxCred&amp;Subs'!$D$123:$D$127)*($H1754='TaxCred&amp;Subs'!$C$123:$C$127)*($H1754&lt;='TaxCred&amp;Subs'!$C$129),'TaxCred&amp;Subs'!$E$123:$E$127,0))</f>
        <v>500</v>
      </c>
      <c r="R1754" s="171">
        <v>0</v>
      </c>
      <c r="S1754" s="49">
        <v>5</v>
      </c>
      <c r="T1754" s="49" t="s">
        <v>225</v>
      </c>
      <c r="U1754"/>
      <c r="V1754" s="153" t="str">
        <f t="array" ref="V1754">INDEX(xlRTCLNAME,MATCH(1,(xlRTCLENDU=1)*(xlRTCLEQCL=$D1754),0))</f>
        <v>ELEC_RAD</v>
      </c>
      <c r="W1754" s="153" t="str">
        <f t="array" ref="W1754">INDEX(xlRTCLNAME,MATCH(1,(xlRTCLENDU=2)*(xlRTCLEQCL=$F1754),0))</f>
        <v>CENT_AIR</v>
      </c>
      <c r="X1754" s="153" t="str">
        <f t="array" ref="X1754">INDEX(xlRTTYNAME,MATCH(1,(xlRTTYENDU=1)*(xlRTTYEQCL=$D1754)*(xlRTEQTYPE=$E1754),0))</f>
        <v>ELEC_RAD2</v>
      </c>
      <c r="Y1754" s="153" t="str">
        <f t="array" ref="Y1754">INDEX(xlRTTYNAME,MATCH(1,(xlRTTYENDU=2)*(xlRTTYEQCL=$F1754)*(xlRTEQTYPE=$G1754),0))</f>
        <v>CENT_AIR4</v>
      </c>
    </row>
    <row r="1755" spans="1:25" s="157" customFormat="1" ht="14.25" customHeight="1" x14ac:dyDescent="0.2">
      <c r="A1755"/>
      <c r="B1755" s="49">
        <v>6</v>
      </c>
      <c r="C1755" s="49">
        <v>2</v>
      </c>
      <c r="D1755" s="49">
        <v>1</v>
      </c>
      <c r="E1755" s="49">
        <v>1</v>
      </c>
      <c r="F1755" s="49">
        <v>2</v>
      </c>
      <c r="G1755" s="49">
        <v>8</v>
      </c>
      <c r="H1755" s="49">
        <v>2033</v>
      </c>
      <c r="I1755" s="49">
        <v>2050</v>
      </c>
      <c r="J1755" s="50">
        <v>1.1000000000000001</v>
      </c>
      <c r="K1755" s="50">
        <v>1.0407999999999999</v>
      </c>
      <c r="L1755" s="50">
        <v>0.44379999999999997</v>
      </c>
      <c r="M1755" s="50">
        <v>1.0546</v>
      </c>
      <c r="N1755" s="50">
        <v>1.3324</v>
      </c>
      <c r="O1755" s="50">
        <v>1.0538000000000001</v>
      </c>
      <c r="P1755" s="49">
        <v>2657</v>
      </c>
      <c r="Q1755" s="51">
        <f t="array" ref="Q1755">SUM(IF(($S1755&gt;=4)*($C1755='TaxCred&amp;Subs'!$D$123:$D$127)*($H1755='TaxCred&amp;Subs'!$C$123:$C$127)*($H1755&lt;='TaxCred&amp;Subs'!$C$129),'TaxCred&amp;Subs'!$E$123:$E$127,0))</f>
        <v>0</v>
      </c>
      <c r="R1755" s="171">
        <v>0</v>
      </c>
      <c r="S1755" s="49">
        <v>5</v>
      </c>
      <c r="T1755" s="49" t="s">
        <v>225</v>
      </c>
      <c r="U1755"/>
      <c r="V1755" s="153" t="str">
        <f t="array" ref="V1755">INDEX(xlRTCLNAME,MATCH(1,(xlRTCLENDU=1)*(xlRTCLEQCL=$D1755),0))</f>
        <v>ELEC_RAD</v>
      </c>
      <c r="W1755" s="153" t="str">
        <f t="array" ref="W1755">INDEX(xlRTCLNAME,MATCH(1,(xlRTCLENDU=2)*(xlRTCLEQCL=$F1755),0))</f>
        <v>CENT_AIR</v>
      </c>
      <c r="X1755" s="153" t="str">
        <f t="array" ref="X1755">INDEX(xlRTTYNAME,MATCH(1,(xlRTTYENDU=1)*(xlRTTYEQCL=$D1755)*(xlRTEQTYPE=$E1755),0))</f>
        <v>ELEC_RAD2</v>
      </c>
      <c r="Y1755" s="153" t="str">
        <f t="array" ref="Y1755">INDEX(xlRTTYNAME,MATCH(1,(xlRTTYENDU=2)*(xlRTTYEQCL=$F1755)*(xlRTEQTYPE=$G1755),0))</f>
        <v>CENT_AIR4</v>
      </c>
    </row>
    <row r="1756" spans="1:25" s="157" customFormat="1" ht="14.25" customHeight="1" x14ac:dyDescent="0.2">
      <c r="A1756"/>
      <c r="B1756" s="126">
        <v>7</v>
      </c>
      <c r="C1756" s="126">
        <v>2</v>
      </c>
      <c r="D1756" s="126">
        <v>1</v>
      </c>
      <c r="E1756" s="126">
        <v>1</v>
      </c>
      <c r="F1756" s="126">
        <v>2</v>
      </c>
      <c r="G1756" s="126">
        <v>8</v>
      </c>
      <c r="H1756" s="126">
        <v>2016</v>
      </c>
      <c r="I1756" s="159">
        <v>2022</v>
      </c>
      <c r="J1756" s="127">
        <v>1.1200000000000001</v>
      </c>
      <c r="K1756" s="127">
        <v>1.0455000000000001</v>
      </c>
      <c r="L1756" s="127">
        <v>0.44379999999999997</v>
      </c>
      <c r="M1756" s="127">
        <v>1.0569</v>
      </c>
      <c r="N1756" s="127">
        <v>1.4438</v>
      </c>
      <c r="O1756" s="127">
        <v>1.0538000000000001</v>
      </c>
      <c r="P1756" s="126">
        <v>2321</v>
      </c>
      <c r="Q1756" s="128">
        <f t="array" ref="Q1756">SUM(IF(($S1756&gt;=4)*($C1756='TaxCred&amp;Subs'!$D$123:$D$127)*($H1756='TaxCred&amp;Subs'!$C$123:$C$127)*($H1756&lt;='TaxCred&amp;Subs'!$C$129),'TaxCred&amp;Subs'!$E$123:$E$127,0))</f>
        <v>0</v>
      </c>
      <c r="R1756" s="174">
        <v>0</v>
      </c>
      <c r="S1756" s="126">
        <v>5</v>
      </c>
      <c r="T1756" s="126" t="s">
        <v>225</v>
      </c>
      <c r="U1756"/>
      <c r="V1756" s="153" t="str">
        <f t="array" ref="V1756">INDEX(xlRTCLNAME,MATCH(1,(xlRTCLENDU=1)*(xlRTCLEQCL=$D1756),0))</f>
        <v>ELEC_RAD</v>
      </c>
      <c r="W1756" s="153" t="str">
        <f t="array" ref="W1756">INDEX(xlRTCLNAME,MATCH(1,(xlRTCLENDU=2)*(xlRTCLEQCL=$F1756),0))</f>
        <v>CENT_AIR</v>
      </c>
      <c r="X1756" s="153" t="str">
        <f t="array" ref="X1756">INDEX(xlRTTYNAME,MATCH(1,(xlRTTYENDU=1)*(xlRTTYEQCL=$D1756)*(xlRTEQTYPE=$E1756),0))</f>
        <v>ELEC_RAD2</v>
      </c>
      <c r="Y1756" s="153" t="str">
        <f t="array" ref="Y1756">INDEX(xlRTTYNAME,MATCH(1,(xlRTTYENDU=2)*(xlRTTYEQCL=$F1756)*(xlRTEQTYPE=$G1756),0))</f>
        <v>CENT_AIR4</v>
      </c>
    </row>
    <row r="1757" spans="1:25" s="157" customFormat="1" ht="14.25" customHeight="1" x14ac:dyDescent="0.2">
      <c r="A1757"/>
      <c r="B1757" s="49">
        <v>7</v>
      </c>
      <c r="C1757" s="49">
        <v>2</v>
      </c>
      <c r="D1757" s="49">
        <v>1</v>
      </c>
      <c r="E1757" s="49">
        <v>1</v>
      </c>
      <c r="F1757" s="49">
        <v>2</v>
      </c>
      <c r="G1757" s="49">
        <v>8</v>
      </c>
      <c r="H1757" s="49">
        <v>2023</v>
      </c>
      <c r="I1757" s="49">
        <v>2032</v>
      </c>
      <c r="J1757" s="50">
        <v>1.1200000000000001</v>
      </c>
      <c r="K1757" s="50">
        <v>1.0455000000000001</v>
      </c>
      <c r="L1757" s="50">
        <v>0.44379999999999997</v>
      </c>
      <c r="M1757" s="50">
        <v>1.0569</v>
      </c>
      <c r="N1757" s="50">
        <v>1.4438</v>
      </c>
      <c r="O1757" s="50">
        <v>1.0538000000000001</v>
      </c>
      <c r="P1757" s="49">
        <v>2321</v>
      </c>
      <c r="Q1757" s="51">
        <f t="array" ref="Q1757">SUM(IF(($S1757&gt;=4)*($C1757='TaxCred&amp;Subs'!$D$123:$D$127)*($H1757='TaxCred&amp;Subs'!$C$123:$C$127)*($H1757&lt;='TaxCred&amp;Subs'!$C$129),'TaxCred&amp;Subs'!$E$123:$E$127,0))</f>
        <v>500</v>
      </c>
      <c r="R1757" s="171">
        <v>0</v>
      </c>
      <c r="S1757" s="49">
        <v>5</v>
      </c>
      <c r="T1757" s="49" t="s">
        <v>225</v>
      </c>
      <c r="U1757"/>
      <c r="V1757" s="153" t="str">
        <f t="array" ref="V1757">INDEX(xlRTCLNAME,MATCH(1,(xlRTCLENDU=1)*(xlRTCLEQCL=$D1757),0))</f>
        <v>ELEC_RAD</v>
      </c>
      <c r="W1757" s="153" t="str">
        <f t="array" ref="W1757">INDEX(xlRTCLNAME,MATCH(1,(xlRTCLENDU=2)*(xlRTCLEQCL=$F1757),0))</f>
        <v>CENT_AIR</v>
      </c>
      <c r="X1757" s="153" t="str">
        <f t="array" ref="X1757">INDEX(xlRTTYNAME,MATCH(1,(xlRTTYENDU=1)*(xlRTTYEQCL=$D1757)*(xlRTEQTYPE=$E1757),0))</f>
        <v>ELEC_RAD2</v>
      </c>
      <c r="Y1757" s="153" t="str">
        <f t="array" ref="Y1757">INDEX(xlRTTYNAME,MATCH(1,(xlRTTYENDU=2)*(xlRTTYEQCL=$F1757)*(xlRTEQTYPE=$G1757),0))</f>
        <v>CENT_AIR4</v>
      </c>
    </row>
    <row r="1758" spans="1:25" s="157" customFormat="1" ht="14.25" customHeight="1" x14ac:dyDescent="0.2">
      <c r="A1758"/>
      <c r="B1758" s="49">
        <v>7</v>
      </c>
      <c r="C1758" s="49">
        <v>2</v>
      </c>
      <c r="D1758" s="49">
        <v>1</v>
      </c>
      <c r="E1758" s="49">
        <v>1</v>
      </c>
      <c r="F1758" s="49">
        <v>2</v>
      </c>
      <c r="G1758" s="49">
        <v>8</v>
      </c>
      <c r="H1758" s="49">
        <v>2033</v>
      </c>
      <c r="I1758" s="49">
        <v>2050</v>
      </c>
      <c r="J1758" s="50">
        <v>1.1200000000000001</v>
      </c>
      <c r="K1758" s="50">
        <v>1.0455000000000001</v>
      </c>
      <c r="L1758" s="50">
        <v>0.44379999999999997</v>
      </c>
      <c r="M1758" s="50">
        <v>1.0569</v>
      </c>
      <c r="N1758" s="50">
        <v>1.4438</v>
      </c>
      <c r="O1758" s="50">
        <v>1.0538000000000001</v>
      </c>
      <c r="P1758" s="49">
        <v>2321</v>
      </c>
      <c r="Q1758" s="51">
        <f t="array" ref="Q1758">SUM(IF(($S1758&gt;=4)*($C1758='TaxCred&amp;Subs'!$D$123:$D$127)*($H1758='TaxCred&amp;Subs'!$C$123:$C$127)*($H1758&lt;='TaxCred&amp;Subs'!$C$129),'TaxCred&amp;Subs'!$E$123:$E$127,0))</f>
        <v>0</v>
      </c>
      <c r="R1758" s="171">
        <v>0</v>
      </c>
      <c r="S1758" s="49">
        <v>5</v>
      </c>
      <c r="T1758" s="49" t="s">
        <v>225</v>
      </c>
      <c r="U1758"/>
      <c r="V1758" s="153" t="str">
        <f t="array" ref="V1758">INDEX(xlRTCLNAME,MATCH(1,(xlRTCLENDU=1)*(xlRTCLEQCL=$D1758),0))</f>
        <v>ELEC_RAD</v>
      </c>
      <c r="W1758" s="153" t="str">
        <f t="array" ref="W1758">INDEX(xlRTCLNAME,MATCH(1,(xlRTCLENDU=2)*(xlRTCLEQCL=$F1758),0))</f>
        <v>CENT_AIR</v>
      </c>
      <c r="X1758" s="153" t="str">
        <f t="array" ref="X1758">INDEX(xlRTTYNAME,MATCH(1,(xlRTTYENDU=1)*(xlRTTYEQCL=$D1758)*(xlRTEQTYPE=$E1758),0))</f>
        <v>ELEC_RAD2</v>
      </c>
      <c r="Y1758" s="153" t="str">
        <f t="array" ref="Y1758">INDEX(xlRTTYNAME,MATCH(1,(xlRTTYENDU=2)*(xlRTTYEQCL=$F1758)*(xlRTEQTYPE=$G1758),0))</f>
        <v>CENT_AIR4</v>
      </c>
    </row>
    <row r="1759" spans="1:25" s="157" customFormat="1" ht="14.25" customHeight="1" x14ac:dyDescent="0.2">
      <c r="A1759"/>
      <c r="B1759" s="126">
        <v>8</v>
      </c>
      <c r="C1759" s="126">
        <v>2</v>
      </c>
      <c r="D1759" s="126">
        <v>1</v>
      </c>
      <c r="E1759" s="126">
        <v>1</v>
      </c>
      <c r="F1759" s="126">
        <v>2</v>
      </c>
      <c r="G1759" s="126">
        <v>8</v>
      </c>
      <c r="H1759" s="126">
        <v>2016</v>
      </c>
      <c r="I1759" s="159">
        <v>2022</v>
      </c>
      <c r="J1759" s="127">
        <v>1.1026</v>
      </c>
      <c r="K1759" s="127">
        <v>1.0645</v>
      </c>
      <c r="L1759" s="127">
        <v>0.55169999999999997</v>
      </c>
      <c r="M1759" s="127">
        <v>1.2087000000000001</v>
      </c>
      <c r="N1759" s="127">
        <v>1.2785</v>
      </c>
      <c r="O1759" s="127">
        <v>1.0538000000000001</v>
      </c>
      <c r="P1759" s="126">
        <v>2889</v>
      </c>
      <c r="Q1759" s="128">
        <f t="array" ref="Q1759">SUM(IF(($S1759&gt;=4)*($C1759='TaxCred&amp;Subs'!$D$123:$D$127)*($H1759='TaxCred&amp;Subs'!$C$123:$C$127)*($H1759&lt;='TaxCred&amp;Subs'!$C$129),'TaxCred&amp;Subs'!$E$123:$E$127,0))</f>
        <v>0</v>
      </c>
      <c r="R1759" s="174">
        <v>0</v>
      </c>
      <c r="S1759" s="126">
        <v>5</v>
      </c>
      <c r="T1759" s="126" t="s">
        <v>225</v>
      </c>
      <c r="U1759"/>
      <c r="V1759" s="153" t="str">
        <f t="array" ref="V1759">INDEX(xlRTCLNAME,MATCH(1,(xlRTCLENDU=1)*(xlRTCLEQCL=$D1759),0))</f>
        <v>ELEC_RAD</v>
      </c>
      <c r="W1759" s="153" t="str">
        <f t="array" ref="W1759">INDEX(xlRTCLNAME,MATCH(1,(xlRTCLENDU=2)*(xlRTCLEQCL=$F1759),0))</f>
        <v>CENT_AIR</v>
      </c>
      <c r="X1759" s="153" t="str">
        <f t="array" ref="X1759">INDEX(xlRTTYNAME,MATCH(1,(xlRTTYENDU=1)*(xlRTTYEQCL=$D1759)*(xlRTEQTYPE=$E1759),0))</f>
        <v>ELEC_RAD2</v>
      </c>
      <c r="Y1759" s="153" t="str">
        <f t="array" ref="Y1759">INDEX(xlRTTYNAME,MATCH(1,(xlRTTYENDU=2)*(xlRTTYEQCL=$F1759)*(xlRTEQTYPE=$G1759),0))</f>
        <v>CENT_AIR4</v>
      </c>
    </row>
    <row r="1760" spans="1:25" s="157" customFormat="1" ht="14.25" customHeight="1" x14ac:dyDescent="0.2">
      <c r="A1760"/>
      <c r="B1760" s="49">
        <v>8</v>
      </c>
      <c r="C1760" s="49">
        <v>2</v>
      </c>
      <c r="D1760" s="49">
        <v>1</v>
      </c>
      <c r="E1760" s="49">
        <v>1</v>
      </c>
      <c r="F1760" s="49">
        <v>2</v>
      </c>
      <c r="G1760" s="49">
        <v>8</v>
      </c>
      <c r="H1760" s="49">
        <v>2023</v>
      </c>
      <c r="I1760" s="49">
        <v>2032</v>
      </c>
      <c r="J1760" s="50">
        <v>1.1026</v>
      </c>
      <c r="K1760" s="50">
        <v>1.0645</v>
      </c>
      <c r="L1760" s="50">
        <v>0.55169999999999997</v>
      </c>
      <c r="M1760" s="50">
        <v>1.2087000000000001</v>
      </c>
      <c r="N1760" s="50">
        <v>1.2785</v>
      </c>
      <c r="O1760" s="50">
        <v>1.0538000000000001</v>
      </c>
      <c r="P1760" s="49">
        <v>2889</v>
      </c>
      <c r="Q1760" s="51">
        <f t="array" ref="Q1760">SUM(IF(($S1760&gt;=4)*($C1760='TaxCred&amp;Subs'!$D$123:$D$127)*($H1760='TaxCred&amp;Subs'!$C$123:$C$127)*($H1760&lt;='TaxCred&amp;Subs'!$C$129),'TaxCred&amp;Subs'!$E$123:$E$127,0))</f>
        <v>500</v>
      </c>
      <c r="R1760" s="171">
        <v>0</v>
      </c>
      <c r="S1760" s="49">
        <v>5</v>
      </c>
      <c r="T1760" s="49" t="s">
        <v>225</v>
      </c>
      <c r="U1760"/>
      <c r="V1760" s="153" t="str">
        <f t="array" ref="V1760">INDEX(xlRTCLNAME,MATCH(1,(xlRTCLENDU=1)*(xlRTCLEQCL=$D1760),0))</f>
        <v>ELEC_RAD</v>
      </c>
      <c r="W1760" s="153" t="str">
        <f t="array" ref="W1760">INDEX(xlRTCLNAME,MATCH(1,(xlRTCLENDU=2)*(xlRTCLEQCL=$F1760),0))</f>
        <v>CENT_AIR</v>
      </c>
      <c r="X1760" s="153" t="str">
        <f t="array" ref="X1760">INDEX(xlRTTYNAME,MATCH(1,(xlRTTYENDU=1)*(xlRTTYEQCL=$D1760)*(xlRTEQTYPE=$E1760),0))</f>
        <v>ELEC_RAD2</v>
      </c>
      <c r="Y1760" s="153" t="str">
        <f t="array" ref="Y1760">INDEX(xlRTTYNAME,MATCH(1,(xlRTTYENDU=2)*(xlRTTYEQCL=$F1760)*(xlRTEQTYPE=$G1760),0))</f>
        <v>CENT_AIR4</v>
      </c>
    </row>
    <row r="1761" spans="1:25" s="157" customFormat="1" ht="14.25" customHeight="1" x14ac:dyDescent="0.2">
      <c r="A1761"/>
      <c r="B1761" s="49">
        <v>8</v>
      </c>
      <c r="C1761" s="49">
        <v>2</v>
      </c>
      <c r="D1761" s="49">
        <v>1</v>
      </c>
      <c r="E1761" s="49">
        <v>1</v>
      </c>
      <c r="F1761" s="49">
        <v>2</v>
      </c>
      <c r="G1761" s="49">
        <v>8</v>
      </c>
      <c r="H1761" s="49">
        <v>2033</v>
      </c>
      <c r="I1761" s="49">
        <v>2050</v>
      </c>
      <c r="J1761" s="50">
        <v>1.1026</v>
      </c>
      <c r="K1761" s="50">
        <v>1.0645</v>
      </c>
      <c r="L1761" s="50">
        <v>0.55169999999999997</v>
      </c>
      <c r="M1761" s="50">
        <v>1.2087000000000001</v>
      </c>
      <c r="N1761" s="50">
        <v>1.2785</v>
      </c>
      <c r="O1761" s="50">
        <v>1.0538000000000001</v>
      </c>
      <c r="P1761" s="49">
        <v>2889</v>
      </c>
      <c r="Q1761" s="51">
        <f t="array" ref="Q1761">SUM(IF(($S1761&gt;=4)*($C1761='TaxCred&amp;Subs'!$D$123:$D$127)*($H1761='TaxCred&amp;Subs'!$C$123:$C$127)*($H1761&lt;='TaxCred&amp;Subs'!$C$129),'TaxCred&amp;Subs'!$E$123:$E$127,0))</f>
        <v>0</v>
      </c>
      <c r="R1761" s="171">
        <v>0</v>
      </c>
      <c r="S1761" s="49">
        <v>5</v>
      </c>
      <c r="T1761" s="49" t="s">
        <v>225</v>
      </c>
      <c r="U1761"/>
      <c r="V1761" s="153" t="str">
        <f t="array" ref="V1761">INDEX(xlRTCLNAME,MATCH(1,(xlRTCLENDU=1)*(xlRTCLEQCL=$D1761),0))</f>
        <v>ELEC_RAD</v>
      </c>
      <c r="W1761" s="153" t="str">
        <f t="array" ref="W1761">INDEX(xlRTCLNAME,MATCH(1,(xlRTCLENDU=2)*(xlRTCLEQCL=$F1761),0))</f>
        <v>CENT_AIR</v>
      </c>
      <c r="X1761" s="153" t="str">
        <f t="array" ref="X1761">INDEX(xlRTTYNAME,MATCH(1,(xlRTTYENDU=1)*(xlRTTYEQCL=$D1761)*(xlRTEQTYPE=$E1761),0))</f>
        <v>ELEC_RAD2</v>
      </c>
      <c r="Y1761" s="153" t="str">
        <f t="array" ref="Y1761">INDEX(xlRTTYNAME,MATCH(1,(xlRTTYENDU=2)*(xlRTTYEQCL=$F1761)*(xlRTEQTYPE=$G1761),0))</f>
        <v>CENT_AIR4</v>
      </c>
    </row>
    <row r="1762" spans="1:25" s="157" customFormat="1" ht="14.25" customHeight="1" x14ac:dyDescent="0.2">
      <c r="A1762"/>
      <c r="B1762" s="126">
        <v>9</v>
      </c>
      <c r="C1762" s="126">
        <v>2</v>
      </c>
      <c r="D1762" s="126">
        <v>1</v>
      </c>
      <c r="E1762" s="126">
        <v>1</v>
      </c>
      <c r="F1762" s="126">
        <v>2</v>
      </c>
      <c r="G1762" s="126">
        <v>8</v>
      </c>
      <c r="H1762" s="126">
        <v>2016</v>
      </c>
      <c r="I1762" s="159">
        <v>2022</v>
      </c>
      <c r="J1762" s="127">
        <v>1.1200000000000001</v>
      </c>
      <c r="K1762" s="127">
        <v>1.0541</v>
      </c>
      <c r="L1762" s="127">
        <v>0.44379999999999997</v>
      </c>
      <c r="M1762" s="127">
        <v>1.1167</v>
      </c>
      <c r="N1762" s="127">
        <v>1.4438</v>
      </c>
      <c r="O1762" s="127">
        <v>1.0538000000000001</v>
      </c>
      <c r="P1762" s="126">
        <v>3308</v>
      </c>
      <c r="Q1762" s="128">
        <f t="array" ref="Q1762">SUM(IF(($S1762&gt;=4)*($C1762='TaxCred&amp;Subs'!$D$123:$D$127)*($H1762='TaxCred&amp;Subs'!$C$123:$C$127)*($H1762&lt;='TaxCred&amp;Subs'!$C$129),'TaxCred&amp;Subs'!$E$123:$E$127,0))</f>
        <v>0</v>
      </c>
      <c r="R1762" s="174">
        <v>0</v>
      </c>
      <c r="S1762" s="126">
        <v>5</v>
      </c>
      <c r="T1762" s="126" t="s">
        <v>225</v>
      </c>
      <c r="U1762"/>
      <c r="V1762" s="153" t="str">
        <f t="array" ref="V1762">INDEX(xlRTCLNAME,MATCH(1,(xlRTCLENDU=1)*(xlRTCLEQCL=$D1762),0))</f>
        <v>ELEC_RAD</v>
      </c>
      <c r="W1762" s="153" t="str">
        <f t="array" ref="W1762">INDEX(xlRTCLNAME,MATCH(1,(xlRTCLENDU=2)*(xlRTCLEQCL=$F1762),0))</f>
        <v>CENT_AIR</v>
      </c>
      <c r="X1762" s="153" t="str">
        <f t="array" ref="X1762">INDEX(xlRTTYNAME,MATCH(1,(xlRTTYENDU=1)*(xlRTTYEQCL=$D1762)*(xlRTEQTYPE=$E1762),0))</f>
        <v>ELEC_RAD2</v>
      </c>
      <c r="Y1762" s="153" t="str">
        <f t="array" ref="Y1762">INDEX(xlRTTYNAME,MATCH(1,(xlRTTYENDU=2)*(xlRTTYEQCL=$F1762)*(xlRTEQTYPE=$G1762),0))</f>
        <v>CENT_AIR4</v>
      </c>
    </row>
    <row r="1763" spans="1:25" s="157" customFormat="1" ht="14.25" customHeight="1" x14ac:dyDescent="0.2">
      <c r="A1763"/>
      <c r="B1763" s="49">
        <v>9</v>
      </c>
      <c r="C1763" s="49">
        <v>2</v>
      </c>
      <c r="D1763" s="49">
        <v>1</v>
      </c>
      <c r="E1763" s="49">
        <v>1</v>
      </c>
      <c r="F1763" s="49">
        <v>2</v>
      </c>
      <c r="G1763" s="49">
        <v>8</v>
      </c>
      <c r="H1763" s="49">
        <v>2023</v>
      </c>
      <c r="I1763" s="49">
        <v>2032</v>
      </c>
      <c r="J1763" s="50">
        <v>1.1200000000000001</v>
      </c>
      <c r="K1763" s="50">
        <v>1.0541</v>
      </c>
      <c r="L1763" s="50">
        <v>0.44379999999999997</v>
      </c>
      <c r="M1763" s="50">
        <v>1.1167</v>
      </c>
      <c r="N1763" s="50">
        <v>1.4438</v>
      </c>
      <c r="O1763" s="50">
        <v>1.0538000000000001</v>
      </c>
      <c r="P1763" s="49">
        <v>3308</v>
      </c>
      <c r="Q1763" s="51">
        <f t="array" ref="Q1763">SUM(IF(($S1763&gt;=4)*($C1763='TaxCred&amp;Subs'!$D$123:$D$127)*($H1763='TaxCred&amp;Subs'!$C$123:$C$127)*($H1763&lt;='TaxCred&amp;Subs'!$C$129),'TaxCred&amp;Subs'!$E$123:$E$127,0))</f>
        <v>500</v>
      </c>
      <c r="R1763" s="171">
        <v>0</v>
      </c>
      <c r="S1763" s="49">
        <v>5</v>
      </c>
      <c r="T1763" s="49" t="s">
        <v>225</v>
      </c>
      <c r="U1763"/>
      <c r="V1763" s="153" t="str">
        <f t="array" ref="V1763">INDEX(xlRTCLNAME,MATCH(1,(xlRTCLENDU=1)*(xlRTCLEQCL=$D1763),0))</f>
        <v>ELEC_RAD</v>
      </c>
      <c r="W1763" s="153" t="str">
        <f t="array" ref="W1763">INDEX(xlRTCLNAME,MATCH(1,(xlRTCLENDU=2)*(xlRTCLEQCL=$F1763),0))</f>
        <v>CENT_AIR</v>
      </c>
      <c r="X1763" s="153" t="str">
        <f t="array" ref="X1763">INDEX(xlRTTYNAME,MATCH(1,(xlRTTYENDU=1)*(xlRTTYEQCL=$D1763)*(xlRTEQTYPE=$E1763),0))</f>
        <v>ELEC_RAD2</v>
      </c>
      <c r="Y1763" s="153" t="str">
        <f t="array" ref="Y1763">INDEX(xlRTTYNAME,MATCH(1,(xlRTTYENDU=2)*(xlRTTYEQCL=$F1763)*(xlRTEQTYPE=$G1763),0))</f>
        <v>CENT_AIR4</v>
      </c>
    </row>
    <row r="1764" spans="1:25" s="157" customFormat="1" ht="14.25" customHeight="1" x14ac:dyDescent="0.2">
      <c r="A1764"/>
      <c r="B1764" s="49">
        <v>9</v>
      </c>
      <c r="C1764" s="49">
        <v>2</v>
      </c>
      <c r="D1764" s="49">
        <v>1</v>
      </c>
      <c r="E1764" s="49">
        <v>1</v>
      </c>
      <c r="F1764" s="49">
        <v>2</v>
      </c>
      <c r="G1764" s="49">
        <v>8</v>
      </c>
      <c r="H1764" s="49">
        <v>2033</v>
      </c>
      <c r="I1764" s="49">
        <v>2050</v>
      </c>
      <c r="J1764" s="50">
        <v>1.1200000000000001</v>
      </c>
      <c r="K1764" s="50">
        <v>1.0541</v>
      </c>
      <c r="L1764" s="50">
        <v>0.44379999999999997</v>
      </c>
      <c r="M1764" s="50">
        <v>1.1167</v>
      </c>
      <c r="N1764" s="50">
        <v>1.4438</v>
      </c>
      <c r="O1764" s="50">
        <v>1.0538000000000001</v>
      </c>
      <c r="P1764" s="49">
        <v>3308</v>
      </c>
      <c r="Q1764" s="51">
        <f t="array" ref="Q1764">SUM(IF(($S1764&gt;=4)*($C1764='TaxCred&amp;Subs'!$D$123:$D$127)*($H1764='TaxCred&amp;Subs'!$C$123:$C$127)*($H1764&lt;='TaxCred&amp;Subs'!$C$129),'TaxCred&amp;Subs'!$E$123:$E$127,0))</f>
        <v>0</v>
      </c>
      <c r="R1764" s="171">
        <v>0</v>
      </c>
      <c r="S1764" s="49">
        <v>5</v>
      </c>
      <c r="T1764" s="49" t="s">
        <v>225</v>
      </c>
      <c r="U1764"/>
      <c r="V1764" s="153" t="str">
        <f t="array" ref="V1764">INDEX(xlRTCLNAME,MATCH(1,(xlRTCLENDU=1)*(xlRTCLEQCL=$D1764),0))</f>
        <v>ELEC_RAD</v>
      </c>
      <c r="W1764" s="153" t="str">
        <f t="array" ref="W1764">INDEX(xlRTCLNAME,MATCH(1,(xlRTCLENDU=2)*(xlRTCLEQCL=$F1764),0))</f>
        <v>CENT_AIR</v>
      </c>
      <c r="X1764" s="153" t="str">
        <f t="array" ref="X1764">INDEX(xlRTTYNAME,MATCH(1,(xlRTTYENDU=1)*(xlRTTYEQCL=$D1764)*(xlRTEQTYPE=$E1764),0))</f>
        <v>ELEC_RAD2</v>
      </c>
      <c r="Y1764" s="153" t="str">
        <f t="array" ref="Y1764">INDEX(xlRTTYNAME,MATCH(1,(xlRTTYENDU=2)*(xlRTTYEQCL=$F1764)*(xlRTEQTYPE=$G1764),0))</f>
        <v>CENT_AIR4</v>
      </c>
    </row>
    <row r="1765" spans="1:25" s="157" customFormat="1" ht="14.25" customHeight="1" x14ac:dyDescent="0.2">
      <c r="A1765"/>
      <c r="B1765" s="126">
        <v>1</v>
      </c>
      <c r="C1765" s="126">
        <v>2</v>
      </c>
      <c r="D1765" s="126">
        <v>2</v>
      </c>
      <c r="E1765" s="126">
        <v>5</v>
      </c>
      <c r="F1765" s="126">
        <v>3</v>
      </c>
      <c r="G1765" s="126">
        <v>12</v>
      </c>
      <c r="H1765" s="126">
        <v>2016</v>
      </c>
      <c r="I1765" s="159">
        <v>2022</v>
      </c>
      <c r="J1765" s="127">
        <v>1.0909</v>
      </c>
      <c r="K1765" s="127">
        <v>1.04</v>
      </c>
      <c r="L1765" s="127">
        <v>0.58230000000000004</v>
      </c>
      <c r="M1765" s="127">
        <v>1.1228</v>
      </c>
      <c r="N1765" s="127">
        <v>1.1119000000000001</v>
      </c>
      <c r="O1765" s="127">
        <v>1.0538000000000001</v>
      </c>
      <c r="P1765" s="126">
        <v>3776</v>
      </c>
      <c r="Q1765" s="128">
        <f t="array" ref="Q1765">SUM(IF(($S1765&gt;=4)*($C1765='TaxCred&amp;Subs'!$D$123:$D$127)*($H1765='TaxCred&amp;Subs'!$C$123:$C$127)*($H1765&lt;='TaxCred&amp;Subs'!$C$129),'TaxCred&amp;Subs'!$E$123:$E$127,0))</f>
        <v>0</v>
      </c>
      <c r="R1765" s="174">
        <v>0</v>
      </c>
      <c r="S1765" s="126">
        <v>5</v>
      </c>
      <c r="T1765" s="126" t="s">
        <v>225</v>
      </c>
      <c r="U1765"/>
      <c r="V1765" s="153" t="str">
        <f t="array" ref="V1765">INDEX(xlRTCLNAME,MATCH(1,(xlRTCLENDU=1)*(xlRTCLEQCL=$D1765),0))</f>
        <v>ELEC_HP</v>
      </c>
      <c r="W1765" s="153" t="str">
        <f t="array" ref="W1765">INDEX(xlRTCLNAME,MATCH(1,(xlRTCLENDU=2)*(xlRTCLEQCL=$F1765),0))</f>
        <v>ELEC_HP</v>
      </c>
      <c r="X1765" s="153" t="str">
        <f t="array" ref="X1765">INDEX(xlRTTYNAME,MATCH(1,(xlRTTYENDU=1)*(xlRTTYEQCL=$D1765)*(xlRTEQTYPE=$E1765),0))</f>
        <v>ELEC_HP4</v>
      </c>
      <c r="Y1765" s="153" t="str">
        <f t="array" ref="Y1765">INDEX(xlRTTYNAME,MATCH(1,(xlRTTYENDU=2)*(xlRTTYEQCL=$F1765)*(xlRTEQTYPE=$G1765),0))</f>
        <v>ELEC_HP4</v>
      </c>
    </row>
    <row r="1766" spans="1:25" s="157" customFormat="1" ht="14.25" customHeight="1" x14ac:dyDescent="0.2">
      <c r="A1766"/>
      <c r="B1766" s="49">
        <v>1</v>
      </c>
      <c r="C1766" s="49">
        <v>2</v>
      </c>
      <c r="D1766" s="49">
        <v>2</v>
      </c>
      <c r="E1766" s="49">
        <v>5</v>
      </c>
      <c r="F1766" s="49">
        <v>3</v>
      </c>
      <c r="G1766" s="49">
        <v>12</v>
      </c>
      <c r="H1766" s="49">
        <v>2023</v>
      </c>
      <c r="I1766" s="49">
        <v>2032</v>
      </c>
      <c r="J1766" s="50">
        <v>1.0909</v>
      </c>
      <c r="K1766" s="50">
        <v>1.04</v>
      </c>
      <c r="L1766" s="50">
        <v>0.58230000000000004</v>
      </c>
      <c r="M1766" s="50">
        <v>1.1228</v>
      </c>
      <c r="N1766" s="50">
        <v>1.1119000000000001</v>
      </c>
      <c r="O1766" s="50">
        <v>1.0538000000000001</v>
      </c>
      <c r="P1766" s="49">
        <v>3776</v>
      </c>
      <c r="Q1766" s="51">
        <f t="array" ref="Q1766">SUM(IF(($S1766&gt;=4)*($C1766='TaxCred&amp;Subs'!$D$123:$D$127)*($H1766='TaxCred&amp;Subs'!$C$123:$C$127)*($H1766&lt;='TaxCred&amp;Subs'!$C$129),'TaxCred&amp;Subs'!$E$123:$E$127,0))</f>
        <v>500</v>
      </c>
      <c r="R1766" s="171">
        <v>0</v>
      </c>
      <c r="S1766" s="49">
        <v>5</v>
      </c>
      <c r="T1766" s="49" t="s">
        <v>225</v>
      </c>
      <c r="U1766"/>
      <c r="V1766" s="153" t="str">
        <f t="array" ref="V1766">INDEX(xlRTCLNAME,MATCH(1,(xlRTCLENDU=1)*(xlRTCLEQCL=$D1766),0))</f>
        <v>ELEC_HP</v>
      </c>
      <c r="W1766" s="153" t="str">
        <f t="array" ref="W1766">INDEX(xlRTCLNAME,MATCH(1,(xlRTCLENDU=2)*(xlRTCLEQCL=$F1766),0))</f>
        <v>ELEC_HP</v>
      </c>
      <c r="X1766" s="153" t="str">
        <f t="array" ref="X1766">INDEX(xlRTTYNAME,MATCH(1,(xlRTTYENDU=1)*(xlRTTYEQCL=$D1766)*(xlRTEQTYPE=$E1766),0))</f>
        <v>ELEC_HP4</v>
      </c>
      <c r="Y1766" s="153" t="str">
        <f t="array" ref="Y1766">INDEX(xlRTTYNAME,MATCH(1,(xlRTTYENDU=2)*(xlRTTYEQCL=$F1766)*(xlRTEQTYPE=$G1766),0))</f>
        <v>ELEC_HP4</v>
      </c>
    </row>
    <row r="1767" spans="1:25" s="157" customFormat="1" ht="14.25" customHeight="1" x14ac:dyDescent="0.2">
      <c r="A1767"/>
      <c r="B1767" s="49">
        <v>1</v>
      </c>
      <c r="C1767" s="49">
        <v>2</v>
      </c>
      <c r="D1767" s="49">
        <v>2</v>
      </c>
      <c r="E1767" s="49">
        <v>5</v>
      </c>
      <c r="F1767" s="49">
        <v>3</v>
      </c>
      <c r="G1767" s="49">
        <v>12</v>
      </c>
      <c r="H1767" s="49">
        <v>2033</v>
      </c>
      <c r="I1767" s="49">
        <v>2050</v>
      </c>
      <c r="J1767" s="50">
        <v>1.0909</v>
      </c>
      <c r="K1767" s="50">
        <v>1.04</v>
      </c>
      <c r="L1767" s="50">
        <v>0.58230000000000004</v>
      </c>
      <c r="M1767" s="50">
        <v>1.1228</v>
      </c>
      <c r="N1767" s="50">
        <v>1.1119000000000001</v>
      </c>
      <c r="O1767" s="50">
        <v>1.0538000000000001</v>
      </c>
      <c r="P1767" s="49">
        <v>3776</v>
      </c>
      <c r="Q1767" s="51">
        <f t="array" ref="Q1767">SUM(IF(($S1767&gt;=4)*($C1767='TaxCred&amp;Subs'!$D$123:$D$127)*($H1767='TaxCred&amp;Subs'!$C$123:$C$127)*($H1767&lt;='TaxCred&amp;Subs'!$C$129),'TaxCred&amp;Subs'!$E$123:$E$127,0))</f>
        <v>0</v>
      </c>
      <c r="R1767" s="171">
        <v>0</v>
      </c>
      <c r="S1767" s="49">
        <v>5</v>
      </c>
      <c r="T1767" s="49" t="s">
        <v>225</v>
      </c>
      <c r="U1767"/>
      <c r="V1767" s="153" t="str">
        <f t="array" ref="V1767">INDEX(xlRTCLNAME,MATCH(1,(xlRTCLENDU=1)*(xlRTCLEQCL=$D1767),0))</f>
        <v>ELEC_HP</v>
      </c>
      <c r="W1767" s="153" t="str">
        <f t="array" ref="W1767">INDEX(xlRTCLNAME,MATCH(1,(xlRTCLENDU=2)*(xlRTCLEQCL=$F1767),0))</f>
        <v>ELEC_HP</v>
      </c>
      <c r="X1767" s="153" t="str">
        <f t="array" ref="X1767">INDEX(xlRTTYNAME,MATCH(1,(xlRTTYENDU=1)*(xlRTTYEQCL=$D1767)*(xlRTEQTYPE=$E1767),0))</f>
        <v>ELEC_HP4</v>
      </c>
      <c r="Y1767" s="153" t="str">
        <f t="array" ref="Y1767">INDEX(xlRTTYNAME,MATCH(1,(xlRTTYENDU=2)*(xlRTTYEQCL=$F1767)*(xlRTEQTYPE=$G1767),0))</f>
        <v>ELEC_HP4</v>
      </c>
    </row>
    <row r="1768" spans="1:25" s="157" customFormat="1" ht="14.25" customHeight="1" x14ac:dyDescent="0.2">
      <c r="A1768"/>
      <c r="B1768" s="126">
        <v>2</v>
      </c>
      <c r="C1768" s="126">
        <v>2</v>
      </c>
      <c r="D1768" s="126">
        <v>2</v>
      </c>
      <c r="E1768" s="126">
        <v>5</v>
      </c>
      <c r="F1768" s="126">
        <v>3</v>
      </c>
      <c r="G1768" s="126">
        <v>12</v>
      </c>
      <c r="H1768" s="126">
        <v>2016</v>
      </c>
      <c r="I1768" s="159">
        <v>2022</v>
      </c>
      <c r="J1768" s="127">
        <v>1.0847</v>
      </c>
      <c r="K1768" s="127">
        <v>1.0345</v>
      </c>
      <c r="L1768" s="127">
        <v>0.55489999999999995</v>
      </c>
      <c r="M1768" s="127">
        <v>1.1416999999999999</v>
      </c>
      <c r="N1768" s="127">
        <v>1.1213</v>
      </c>
      <c r="O1768" s="127">
        <v>1.0538000000000001</v>
      </c>
      <c r="P1768" s="126">
        <v>3572</v>
      </c>
      <c r="Q1768" s="128">
        <f t="array" ref="Q1768">SUM(IF(($S1768&gt;=4)*($C1768='TaxCred&amp;Subs'!$D$123:$D$127)*($H1768='TaxCred&amp;Subs'!$C$123:$C$127)*($H1768&lt;='TaxCred&amp;Subs'!$C$129),'TaxCred&amp;Subs'!$E$123:$E$127,0))</f>
        <v>0</v>
      </c>
      <c r="R1768" s="174">
        <v>0</v>
      </c>
      <c r="S1768" s="126">
        <v>5</v>
      </c>
      <c r="T1768" s="126" t="s">
        <v>225</v>
      </c>
      <c r="U1768"/>
      <c r="V1768" s="153" t="str">
        <f t="array" ref="V1768">INDEX(xlRTCLNAME,MATCH(1,(xlRTCLENDU=1)*(xlRTCLEQCL=$D1768),0))</f>
        <v>ELEC_HP</v>
      </c>
      <c r="W1768" s="153" t="str">
        <f t="array" ref="W1768">INDEX(xlRTCLNAME,MATCH(1,(xlRTCLENDU=2)*(xlRTCLEQCL=$F1768),0))</f>
        <v>ELEC_HP</v>
      </c>
      <c r="X1768" s="153" t="str">
        <f t="array" ref="X1768">INDEX(xlRTTYNAME,MATCH(1,(xlRTTYENDU=1)*(xlRTTYEQCL=$D1768)*(xlRTEQTYPE=$E1768),0))</f>
        <v>ELEC_HP4</v>
      </c>
      <c r="Y1768" s="153" t="str">
        <f t="array" ref="Y1768">INDEX(xlRTTYNAME,MATCH(1,(xlRTTYENDU=2)*(xlRTTYEQCL=$F1768)*(xlRTEQTYPE=$G1768),0))</f>
        <v>ELEC_HP4</v>
      </c>
    </row>
    <row r="1769" spans="1:25" s="157" customFormat="1" ht="14.25" customHeight="1" x14ac:dyDescent="0.2">
      <c r="A1769"/>
      <c r="B1769" s="49">
        <v>2</v>
      </c>
      <c r="C1769" s="49">
        <v>2</v>
      </c>
      <c r="D1769" s="49">
        <v>2</v>
      </c>
      <c r="E1769" s="49">
        <v>5</v>
      </c>
      <c r="F1769" s="49">
        <v>3</v>
      </c>
      <c r="G1769" s="49">
        <v>12</v>
      </c>
      <c r="H1769" s="49">
        <v>2023</v>
      </c>
      <c r="I1769" s="49">
        <v>2032</v>
      </c>
      <c r="J1769" s="50">
        <v>1.0847</v>
      </c>
      <c r="K1769" s="50">
        <v>1.0345</v>
      </c>
      <c r="L1769" s="50">
        <v>0.55489999999999995</v>
      </c>
      <c r="M1769" s="50">
        <v>1.1416999999999999</v>
      </c>
      <c r="N1769" s="50">
        <v>1.1213</v>
      </c>
      <c r="O1769" s="50">
        <v>1.0538000000000001</v>
      </c>
      <c r="P1769" s="49">
        <v>3572</v>
      </c>
      <c r="Q1769" s="51">
        <f t="array" ref="Q1769">SUM(IF(($S1769&gt;=4)*($C1769='TaxCred&amp;Subs'!$D$123:$D$127)*($H1769='TaxCred&amp;Subs'!$C$123:$C$127)*($H1769&lt;='TaxCred&amp;Subs'!$C$129),'TaxCred&amp;Subs'!$E$123:$E$127,0))</f>
        <v>500</v>
      </c>
      <c r="R1769" s="171">
        <v>0</v>
      </c>
      <c r="S1769" s="49">
        <v>5</v>
      </c>
      <c r="T1769" s="49" t="s">
        <v>225</v>
      </c>
      <c r="U1769"/>
      <c r="V1769" s="153" t="str">
        <f t="array" ref="V1769">INDEX(xlRTCLNAME,MATCH(1,(xlRTCLENDU=1)*(xlRTCLEQCL=$D1769),0))</f>
        <v>ELEC_HP</v>
      </c>
      <c r="W1769" s="153" t="str">
        <f t="array" ref="W1769">INDEX(xlRTCLNAME,MATCH(1,(xlRTCLENDU=2)*(xlRTCLEQCL=$F1769),0))</f>
        <v>ELEC_HP</v>
      </c>
      <c r="X1769" s="153" t="str">
        <f t="array" ref="X1769">INDEX(xlRTTYNAME,MATCH(1,(xlRTTYENDU=1)*(xlRTTYEQCL=$D1769)*(xlRTEQTYPE=$E1769),0))</f>
        <v>ELEC_HP4</v>
      </c>
      <c r="Y1769" s="153" t="str">
        <f t="array" ref="Y1769">INDEX(xlRTTYNAME,MATCH(1,(xlRTTYENDU=2)*(xlRTTYEQCL=$F1769)*(xlRTEQTYPE=$G1769),0))</f>
        <v>ELEC_HP4</v>
      </c>
    </row>
    <row r="1770" spans="1:25" s="157" customFormat="1" ht="14.25" customHeight="1" x14ac:dyDescent="0.2">
      <c r="A1770"/>
      <c r="B1770" s="49">
        <v>2</v>
      </c>
      <c r="C1770" s="49">
        <v>2</v>
      </c>
      <c r="D1770" s="49">
        <v>2</v>
      </c>
      <c r="E1770" s="49">
        <v>5</v>
      </c>
      <c r="F1770" s="49">
        <v>3</v>
      </c>
      <c r="G1770" s="49">
        <v>12</v>
      </c>
      <c r="H1770" s="49">
        <v>2033</v>
      </c>
      <c r="I1770" s="49">
        <v>2050</v>
      </c>
      <c r="J1770" s="50">
        <v>1.0847</v>
      </c>
      <c r="K1770" s="50">
        <v>1.0345</v>
      </c>
      <c r="L1770" s="50">
        <v>0.55489999999999995</v>
      </c>
      <c r="M1770" s="50">
        <v>1.1416999999999999</v>
      </c>
      <c r="N1770" s="50">
        <v>1.1213</v>
      </c>
      <c r="O1770" s="50">
        <v>1.0538000000000001</v>
      </c>
      <c r="P1770" s="49">
        <v>3572</v>
      </c>
      <c r="Q1770" s="51">
        <f t="array" ref="Q1770">SUM(IF(($S1770&gt;=4)*($C1770='TaxCred&amp;Subs'!$D$123:$D$127)*($H1770='TaxCred&amp;Subs'!$C$123:$C$127)*($H1770&lt;='TaxCred&amp;Subs'!$C$129),'TaxCred&amp;Subs'!$E$123:$E$127,0))</f>
        <v>0</v>
      </c>
      <c r="R1770" s="171">
        <v>0</v>
      </c>
      <c r="S1770" s="49">
        <v>5</v>
      </c>
      <c r="T1770" s="49" t="s">
        <v>225</v>
      </c>
      <c r="U1770"/>
      <c r="V1770" s="153" t="str">
        <f t="array" ref="V1770">INDEX(xlRTCLNAME,MATCH(1,(xlRTCLENDU=1)*(xlRTCLEQCL=$D1770),0))</f>
        <v>ELEC_HP</v>
      </c>
      <c r="W1770" s="153" t="str">
        <f t="array" ref="W1770">INDEX(xlRTCLNAME,MATCH(1,(xlRTCLENDU=2)*(xlRTCLEQCL=$F1770),0))</f>
        <v>ELEC_HP</v>
      </c>
      <c r="X1770" s="153" t="str">
        <f t="array" ref="X1770">INDEX(xlRTTYNAME,MATCH(1,(xlRTTYENDU=1)*(xlRTTYEQCL=$D1770)*(xlRTEQTYPE=$E1770),0))</f>
        <v>ELEC_HP4</v>
      </c>
      <c r="Y1770" s="153" t="str">
        <f t="array" ref="Y1770">INDEX(xlRTTYNAME,MATCH(1,(xlRTTYENDU=2)*(xlRTTYEQCL=$F1770)*(xlRTEQTYPE=$G1770),0))</f>
        <v>ELEC_HP4</v>
      </c>
    </row>
    <row r="1771" spans="1:25" s="157" customFormat="1" ht="14.25" customHeight="1" x14ac:dyDescent="0.2">
      <c r="A1771"/>
      <c r="B1771" s="126">
        <v>3</v>
      </c>
      <c r="C1771" s="126">
        <v>2</v>
      </c>
      <c r="D1771" s="126">
        <v>2</v>
      </c>
      <c r="E1771" s="126">
        <v>5</v>
      </c>
      <c r="F1771" s="126">
        <v>3</v>
      </c>
      <c r="G1771" s="126">
        <v>12</v>
      </c>
      <c r="H1771" s="126">
        <v>2016</v>
      </c>
      <c r="I1771" s="159">
        <v>2022</v>
      </c>
      <c r="J1771" s="127">
        <v>1.0932999999999999</v>
      </c>
      <c r="K1771" s="127">
        <v>1.0345</v>
      </c>
      <c r="L1771" s="127">
        <v>0.55420000000000003</v>
      </c>
      <c r="M1771" s="127">
        <v>1.0310999999999999</v>
      </c>
      <c r="N1771" s="127">
        <v>1.0358000000000001</v>
      </c>
      <c r="O1771" s="127">
        <v>1.0538000000000001</v>
      </c>
      <c r="P1771" s="126">
        <v>3206</v>
      </c>
      <c r="Q1771" s="128">
        <f t="array" ref="Q1771">SUM(IF(($S1771&gt;=4)*($C1771='TaxCred&amp;Subs'!$D$123:$D$127)*($H1771='TaxCred&amp;Subs'!$C$123:$C$127)*($H1771&lt;='TaxCred&amp;Subs'!$C$129),'TaxCred&amp;Subs'!$E$123:$E$127,0))</f>
        <v>0</v>
      </c>
      <c r="R1771" s="174">
        <v>0</v>
      </c>
      <c r="S1771" s="126">
        <v>5</v>
      </c>
      <c r="T1771" s="126" t="s">
        <v>225</v>
      </c>
      <c r="U1771"/>
      <c r="V1771" s="153" t="str">
        <f t="array" ref="V1771">INDEX(xlRTCLNAME,MATCH(1,(xlRTCLENDU=1)*(xlRTCLEQCL=$D1771),0))</f>
        <v>ELEC_HP</v>
      </c>
      <c r="W1771" s="153" t="str">
        <f t="array" ref="W1771">INDEX(xlRTCLNAME,MATCH(1,(xlRTCLENDU=2)*(xlRTCLEQCL=$F1771),0))</f>
        <v>ELEC_HP</v>
      </c>
      <c r="X1771" s="153" t="str">
        <f t="array" ref="X1771">INDEX(xlRTTYNAME,MATCH(1,(xlRTTYENDU=1)*(xlRTTYEQCL=$D1771)*(xlRTEQTYPE=$E1771),0))</f>
        <v>ELEC_HP4</v>
      </c>
      <c r="Y1771" s="153" t="str">
        <f t="array" ref="Y1771">INDEX(xlRTTYNAME,MATCH(1,(xlRTTYENDU=2)*(xlRTTYEQCL=$F1771)*(xlRTEQTYPE=$G1771),0))</f>
        <v>ELEC_HP4</v>
      </c>
    </row>
    <row r="1772" spans="1:25" s="157" customFormat="1" ht="14.25" customHeight="1" x14ac:dyDescent="0.2">
      <c r="A1772"/>
      <c r="B1772" s="49">
        <v>3</v>
      </c>
      <c r="C1772" s="49">
        <v>2</v>
      </c>
      <c r="D1772" s="49">
        <v>2</v>
      </c>
      <c r="E1772" s="49">
        <v>5</v>
      </c>
      <c r="F1772" s="49">
        <v>3</v>
      </c>
      <c r="G1772" s="49">
        <v>12</v>
      </c>
      <c r="H1772" s="49">
        <v>2023</v>
      </c>
      <c r="I1772" s="49">
        <v>2032</v>
      </c>
      <c r="J1772" s="50">
        <v>1.0932999999999999</v>
      </c>
      <c r="K1772" s="50">
        <v>1.0345</v>
      </c>
      <c r="L1772" s="50">
        <v>0.55420000000000003</v>
      </c>
      <c r="M1772" s="50">
        <v>1.0310999999999999</v>
      </c>
      <c r="N1772" s="50">
        <v>1.0358000000000001</v>
      </c>
      <c r="O1772" s="50">
        <v>1.0538000000000001</v>
      </c>
      <c r="P1772" s="49">
        <v>3206</v>
      </c>
      <c r="Q1772" s="51">
        <f t="array" ref="Q1772">SUM(IF(($S1772&gt;=4)*($C1772='TaxCred&amp;Subs'!$D$123:$D$127)*($H1772='TaxCred&amp;Subs'!$C$123:$C$127)*($H1772&lt;='TaxCred&amp;Subs'!$C$129),'TaxCred&amp;Subs'!$E$123:$E$127,0))</f>
        <v>500</v>
      </c>
      <c r="R1772" s="171">
        <v>0</v>
      </c>
      <c r="S1772" s="49">
        <v>5</v>
      </c>
      <c r="T1772" s="49" t="s">
        <v>225</v>
      </c>
      <c r="U1772"/>
      <c r="V1772" s="153" t="str">
        <f t="array" ref="V1772">INDEX(xlRTCLNAME,MATCH(1,(xlRTCLENDU=1)*(xlRTCLEQCL=$D1772),0))</f>
        <v>ELEC_HP</v>
      </c>
      <c r="W1772" s="153" t="str">
        <f t="array" ref="W1772">INDEX(xlRTCLNAME,MATCH(1,(xlRTCLENDU=2)*(xlRTCLEQCL=$F1772),0))</f>
        <v>ELEC_HP</v>
      </c>
      <c r="X1772" s="153" t="str">
        <f t="array" ref="X1772">INDEX(xlRTTYNAME,MATCH(1,(xlRTTYENDU=1)*(xlRTTYEQCL=$D1772)*(xlRTEQTYPE=$E1772),0))</f>
        <v>ELEC_HP4</v>
      </c>
      <c r="Y1772" s="153" t="str">
        <f t="array" ref="Y1772">INDEX(xlRTTYNAME,MATCH(1,(xlRTTYENDU=2)*(xlRTTYEQCL=$F1772)*(xlRTEQTYPE=$G1772),0))</f>
        <v>ELEC_HP4</v>
      </c>
    </row>
    <row r="1773" spans="1:25" s="157" customFormat="1" ht="14.25" customHeight="1" x14ac:dyDescent="0.2">
      <c r="A1773"/>
      <c r="B1773" s="49">
        <v>3</v>
      </c>
      <c r="C1773" s="49">
        <v>2</v>
      </c>
      <c r="D1773" s="49">
        <v>2</v>
      </c>
      <c r="E1773" s="49">
        <v>5</v>
      </c>
      <c r="F1773" s="49">
        <v>3</v>
      </c>
      <c r="G1773" s="49">
        <v>12</v>
      </c>
      <c r="H1773" s="49">
        <v>2033</v>
      </c>
      <c r="I1773" s="49">
        <v>2050</v>
      </c>
      <c r="J1773" s="50">
        <v>1.0932999999999999</v>
      </c>
      <c r="K1773" s="50">
        <v>1.0345</v>
      </c>
      <c r="L1773" s="50">
        <v>0.55420000000000003</v>
      </c>
      <c r="M1773" s="50">
        <v>1.0310999999999999</v>
      </c>
      <c r="N1773" s="50">
        <v>1.0358000000000001</v>
      </c>
      <c r="O1773" s="50">
        <v>1.0538000000000001</v>
      </c>
      <c r="P1773" s="49">
        <v>3206</v>
      </c>
      <c r="Q1773" s="51">
        <f t="array" ref="Q1773">SUM(IF(($S1773&gt;=4)*($C1773='TaxCred&amp;Subs'!$D$123:$D$127)*($H1773='TaxCred&amp;Subs'!$C$123:$C$127)*($H1773&lt;='TaxCred&amp;Subs'!$C$129),'TaxCred&amp;Subs'!$E$123:$E$127,0))</f>
        <v>0</v>
      </c>
      <c r="R1773" s="171">
        <v>0</v>
      </c>
      <c r="S1773" s="49">
        <v>5</v>
      </c>
      <c r="T1773" s="49" t="s">
        <v>225</v>
      </c>
      <c r="U1773"/>
      <c r="V1773" s="153" t="str">
        <f t="array" ref="V1773">INDEX(xlRTCLNAME,MATCH(1,(xlRTCLENDU=1)*(xlRTCLEQCL=$D1773),0))</f>
        <v>ELEC_HP</v>
      </c>
      <c r="W1773" s="153" t="str">
        <f t="array" ref="W1773">INDEX(xlRTCLNAME,MATCH(1,(xlRTCLENDU=2)*(xlRTCLEQCL=$F1773),0))</f>
        <v>ELEC_HP</v>
      </c>
      <c r="X1773" s="153" t="str">
        <f t="array" ref="X1773">INDEX(xlRTTYNAME,MATCH(1,(xlRTTYENDU=1)*(xlRTTYEQCL=$D1773)*(xlRTEQTYPE=$E1773),0))</f>
        <v>ELEC_HP4</v>
      </c>
      <c r="Y1773" s="153" t="str">
        <f t="array" ref="Y1773">INDEX(xlRTTYNAME,MATCH(1,(xlRTTYENDU=2)*(xlRTTYEQCL=$F1773)*(xlRTEQTYPE=$G1773),0))</f>
        <v>ELEC_HP4</v>
      </c>
    </row>
    <row r="1774" spans="1:25" s="157" customFormat="1" ht="14.25" customHeight="1" x14ac:dyDescent="0.2">
      <c r="A1774"/>
      <c r="B1774" s="126">
        <v>4</v>
      </c>
      <c r="C1774" s="126">
        <v>2</v>
      </c>
      <c r="D1774" s="126">
        <v>2</v>
      </c>
      <c r="E1774" s="126">
        <v>5</v>
      </c>
      <c r="F1774" s="126">
        <v>3</v>
      </c>
      <c r="G1774" s="126">
        <v>12</v>
      </c>
      <c r="H1774" s="126">
        <v>2016</v>
      </c>
      <c r="I1774" s="159">
        <v>2022</v>
      </c>
      <c r="J1774" s="127">
        <v>1.0956999999999999</v>
      </c>
      <c r="K1774" s="127">
        <v>1.0417000000000001</v>
      </c>
      <c r="L1774" s="127">
        <v>0.61990000000000001</v>
      </c>
      <c r="M1774" s="127">
        <v>1.1499999999999999</v>
      </c>
      <c r="N1774" s="127">
        <v>1.1621999999999999</v>
      </c>
      <c r="O1774" s="127">
        <v>1.0538000000000001</v>
      </c>
      <c r="P1774" s="126">
        <v>2600</v>
      </c>
      <c r="Q1774" s="128">
        <f t="array" ref="Q1774">SUM(IF(($S1774&gt;=4)*($C1774='TaxCred&amp;Subs'!$D$123:$D$127)*($H1774='TaxCred&amp;Subs'!$C$123:$C$127)*($H1774&lt;='TaxCred&amp;Subs'!$C$129),'TaxCred&amp;Subs'!$E$123:$E$127,0))</f>
        <v>0</v>
      </c>
      <c r="R1774" s="174">
        <v>0</v>
      </c>
      <c r="S1774" s="126">
        <v>5</v>
      </c>
      <c r="T1774" s="126" t="s">
        <v>225</v>
      </c>
      <c r="U1774"/>
      <c r="V1774" s="153" t="str">
        <f t="array" ref="V1774">INDEX(xlRTCLNAME,MATCH(1,(xlRTCLENDU=1)*(xlRTCLEQCL=$D1774),0))</f>
        <v>ELEC_HP</v>
      </c>
      <c r="W1774" s="153" t="str">
        <f t="array" ref="W1774">INDEX(xlRTCLNAME,MATCH(1,(xlRTCLENDU=2)*(xlRTCLEQCL=$F1774),0))</f>
        <v>ELEC_HP</v>
      </c>
      <c r="X1774" s="153" t="str">
        <f t="array" ref="X1774">INDEX(xlRTTYNAME,MATCH(1,(xlRTTYENDU=1)*(xlRTTYEQCL=$D1774)*(xlRTEQTYPE=$E1774),0))</f>
        <v>ELEC_HP4</v>
      </c>
      <c r="Y1774" s="153" t="str">
        <f t="array" ref="Y1774">INDEX(xlRTTYNAME,MATCH(1,(xlRTTYENDU=2)*(xlRTTYEQCL=$F1774)*(xlRTEQTYPE=$G1774),0))</f>
        <v>ELEC_HP4</v>
      </c>
    </row>
    <row r="1775" spans="1:25" s="157" customFormat="1" ht="14.25" customHeight="1" x14ac:dyDescent="0.2">
      <c r="A1775"/>
      <c r="B1775" s="49">
        <v>4</v>
      </c>
      <c r="C1775" s="49">
        <v>2</v>
      </c>
      <c r="D1775" s="49">
        <v>2</v>
      </c>
      <c r="E1775" s="49">
        <v>5</v>
      </c>
      <c r="F1775" s="49">
        <v>3</v>
      </c>
      <c r="G1775" s="49">
        <v>12</v>
      </c>
      <c r="H1775" s="49">
        <v>2023</v>
      </c>
      <c r="I1775" s="49">
        <v>2032</v>
      </c>
      <c r="J1775" s="50">
        <v>1.0956999999999999</v>
      </c>
      <c r="K1775" s="50">
        <v>1.0417000000000001</v>
      </c>
      <c r="L1775" s="50">
        <v>0.61990000000000001</v>
      </c>
      <c r="M1775" s="50">
        <v>1.1499999999999999</v>
      </c>
      <c r="N1775" s="50">
        <v>1.1621999999999999</v>
      </c>
      <c r="O1775" s="50">
        <v>1.0538000000000001</v>
      </c>
      <c r="P1775" s="49">
        <v>2600</v>
      </c>
      <c r="Q1775" s="51">
        <f t="array" ref="Q1775">SUM(IF(($S1775&gt;=4)*($C1775='TaxCred&amp;Subs'!$D$123:$D$127)*($H1775='TaxCred&amp;Subs'!$C$123:$C$127)*($H1775&lt;='TaxCred&amp;Subs'!$C$129),'TaxCred&amp;Subs'!$E$123:$E$127,0))</f>
        <v>500</v>
      </c>
      <c r="R1775" s="171">
        <v>0</v>
      </c>
      <c r="S1775" s="49">
        <v>5</v>
      </c>
      <c r="T1775" s="49" t="s">
        <v>225</v>
      </c>
      <c r="U1775"/>
      <c r="V1775" s="153" t="str">
        <f t="array" ref="V1775">INDEX(xlRTCLNAME,MATCH(1,(xlRTCLENDU=1)*(xlRTCLEQCL=$D1775),0))</f>
        <v>ELEC_HP</v>
      </c>
      <c r="W1775" s="153" t="str">
        <f t="array" ref="W1775">INDEX(xlRTCLNAME,MATCH(1,(xlRTCLENDU=2)*(xlRTCLEQCL=$F1775),0))</f>
        <v>ELEC_HP</v>
      </c>
      <c r="X1775" s="153" t="str">
        <f t="array" ref="X1775">INDEX(xlRTTYNAME,MATCH(1,(xlRTTYENDU=1)*(xlRTTYEQCL=$D1775)*(xlRTEQTYPE=$E1775),0))</f>
        <v>ELEC_HP4</v>
      </c>
      <c r="Y1775" s="153" t="str">
        <f t="array" ref="Y1775">INDEX(xlRTTYNAME,MATCH(1,(xlRTTYENDU=2)*(xlRTTYEQCL=$F1775)*(xlRTEQTYPE=$G1775),0))</f>
        <v>ELEC_HP4</v>
      </c>
    </row>
    <row r="1776" spans="1:25" s="157" customFormat="1" ht="14.25" customHeight="1" x14ac:dyDescent="0.2">
      <c r="A1776"/>
      <c r="B1776" s="49">
        <v>4</v>
      </c>
      <c r="C1776" s="49">
        <v>2</v>
      </c>
      <c r="D1776" s="49">
        <v>2</v>
      </c>
      <c r="E1776" s="49">
        <v>5</v>
      </c>
      <c r="F1776" s="49">
        <v>3</v>
      </c>
      <c r="G1776" s="49">
        <v>12</v>
      </c>
      <c r="H1776" s="49">
        <v>2033</v>
      </c>
      <c r="I1776" s="49">
        <v>2050</v>
      </c>
      <c r="J1776" s="50">
        <v>1.0956999999999999</v>
      </c>
      <c r="K1776" s="50">
        <v>1.0417000000000001</v>
      </c>
      <c r="L1776" s="50">
        <v>0.61990000000000001</v>
      </c>
      <c r="M1776" s="50">
        <v>1.1499999999999999</v>
      </c>
      <c r="N1776" s="50">
        <v>1.1621999999999999</v>
      </c>
      <c r="O1776" s="50">
        <v>1.0538000000000001</v>
      </c>
      <c r="P1776" s="49">
        <v>2600</v>
      </c>
      <c r="Q1776" s="51">
        <f t="array" ref="Q1776">SUM(IF(($S1776&gt;=4)*($C1776='TaxCred&amp;Subs'!$D$123:$D$127)*($H1776='TaxCred&amp;Subs'!$C$123:$C$127)*($H1776&lt;='TaxCred&amp;Subs'!$C$129),'TaxCred&amp;Subs'!$E$123:$E$127,0))</f>
        <v>0</v>
      </c>
      <c r="R1776" s="171">
        <v>0</v>
      </c>
      <c r="S1776" s="49">
        <v>5</v>
      </c>
      <c r="T1776" s="49" t="s">
        <v>225</v>
      </c>
      <c r="U1776"/>
      <c r="V1776" s="153" t="str">
        <f t="array" ref="V1776">INDEX(xlRTCLNAME,MATCH(1,(xlRTCLENDU=1)*(xlRTCLEQCL=$D1776),0))</f>
        <v>ELEC_HP</v>
      </c>
      <c r="W1776" s="153" t="str">
        <f t="array" ref="W1776">INDEX(xlRTCLNAME,MATCH(1,(xlRTCLENDU=2)*(xlRTCLEQCL=$F1776),0))</f>
        <v>ELEC_HP</v>
      </c>
      <c r="X1776" s="153" t="str">
        <f t="array" ref="X1776">INDEX(xlRTTYNAME,MATCH(1,(xlRTTYENDU=1)*(xlRTTYEQCL=$D1776)*(xlRTEQTYPE=$E1776),0))</f>
        <v>ELEC_HP4</v>
      </c>
      <c r="Y1776" s="153" t="str">
        <f t="array" ref="Y1776">INDEX(xlRTTYNAME,MATCH(1,(xlRTTYENDU=2)*(xlRTTYEQCL=$F1776)*(xlRTEQTYPE=$G1776),0))</f>
        <v>ELEC_HP4</v>
      </c>
    </row>
    <row r="1777" spans="1:25" s="157" customFormat="1" ht="14.25" customHeight="1" x14ac:dyDescent="0.2">
      <c r="A1777"/>
      <c r="B1777" s="126">
        <v>5</v>
      </c>
      <c r="C1777" s="126">
        <v>2</v>
      </c>
      <c r="D1777" s="126">
        <v>2</v>
      </c>
      <c r="E1777" s="126">
        <v>5</v>
      </c>
      <c r="F1777" s="126">
        <v>3</v>
      </c>
      <c r="G1777" s="126">
        <v>12</v>
      </c>
      <c r="H1777" s="126">
        <v>2016</v>
      </c>
      <c r="I1777" s="159">
        <v>2022</v>
      </c>
      <c r="J1777" s="127">
        <v>1.1200000000000001</v>
      </c>
      <c r="K1777" s="127">
        <v>1.0545</v>
      </c>
      <c r="L1777" s="127">
        <v>0.44379999999999997</v>
      </c>
      <c r="M1777" s="127">
        <v>1.0314000000000001</v>
      </c>
      <c r="N1777" s="127">
        <v>1.2490000000000001</v>
      </c>
      <c r="O1777" s="127">
        <v>1.0538000000000001</v>
      </c>
      <c r="P1777" s="126">
        <v>2401</v>
      </c>
      <c r="Q1777" s="128">
        <f t="array" ref="Q1777">SUM(IF(($S1777&gt;=4)*($C1777='TaxCred&amp;Subs'!$D$123:$D$127)*($H1777='TaxCred&amp;Subs'!$C$123:$C$127)*($H1777&lt;='TaxCred&amp;Subs'!$C$129),'TaxCred&amp;Subs'!$E$123:$E$127,0))</f>
        <v>0</v>
      </c>
      <c r="R1777" s="174">
        <v>0</v>
      </c>
      <c r="S1777" s="126">
        <v>5</v>
      </c>
      <c r="T1777" s="126" t="s">
        <v>225</v>
      </c>
      <c r="U1777"/>
      <c r="V1777" s="153" t="str">
        <f t="array" ref="V1777">INDEX(xlRTCLNAME,MATCH(1,(xlRTCLENDU=1)*(xlRTCLEQCL=$D1777),0))</f>
        <v>ELEC_HP</v>
      </c>
      <c r="W1777" s="153" t="str">
        <f t="array" ref="W1777">INDEX(xlRTCLNAME,MATCH(1,(xlRTCLENDU=2)*(xlRTCLEQCL=$F1777),0))</f>
        <v>ELEC_HP</v>
      </c>
      <c r="X1777" s="153" t="str">
        <f t="array" ref="X1777">INDEX(xlRTTYNAME,MATCH(1,(xlRTTYENDU=1)*(xlRTTYEQCL=$D1777)*(xlRTEQTYPE=$E1777),0))</f>
        <v>ELEC_HP4</v>
      </c>
      <c r="Y1777" s="153" t="str">
        <f t="array" ref="Y1777">INDEX(xlRTTYNAME,MATCH(1,(xlRTTYENDU=2)*(xlRTTYEQCL=$F1777)*(xlRTEQTYPE=$G1777),0))</f>
        <v>ELEC_HP4</v>
      </c>
    </row>
    <row r="1778" spans="1:25" s="157" customFormat="1" ht="14.25" customHeight="1" x14ac:dyDescent="0.2">
      <c r="A1778"/>
      <c r="B1778" s="49">
        <v>5</v>
      </c>
      <c r="C1778" s="49">
        <v>2</v>
      </c>
      <c r="D1778" s="49">
        <v>2</v>
      </c>
      <c r="E1778" s="49">
        <v>5</v>
      </c>
      <c r="F1778" s="49">
        <v>3</v>
      </c>
      <c r="G1778" s="49">
        <v>12</v>
      </c>
      <c r="H1778" s="49">
        <v>2023</v>
      </c>
      <c r="I1778" s="49">
        <v>2032</v>
      </c>
      <c r="J1778" s="50">
        <v>1.1200000000000001</v>
      </c>
      <c r="K1778" s="50">
        <v>1.0545</v>
      </c>
      <c r="L1778" s="50">
        <v>0.44379999999999997</v>
      </c>
      <c r="M1778" s="50">
        <v>1.0314000000000001</v>
      </c>
      <c r="N1778" s="50">
        <v>1.2490000000000001</v>
      </c>
      <c r="O1778" s="50">
        <v>1.0538000000000001</v>
      </c>
      <c r="P1778" s="49">
        <v>2401</v>
      </c>
      <c r="Q1778" s="51">
        <f t="array" ref="Q1778">SUM(IF(($S1778&gt;=4)*($C1778='TaxCred&amp;Subs'!$D$123:$D$127)*($H1778='TaxCred&amp;Subs'!$C$123:$C$127)*($H1778&lt;='TaxCred&amp;Subs'!$C$129),'TaxCred&amp;Subs'!$E$123:$E$127,0))</f>
        <v>500</v>
      </c>
      <c r="R1778" s="171">
        <v>0</v>
      </c>
      <c r="S1778" s="49">
        <v>5</v>
      </c>
      <c r="T1778" s="49" t="s">
        <v>225</v>
      </c>
      <c r="U1778"/>
      <c r="V1778" s="153" t="str">
        <f t="array" ref="V1778">INDEX(xlRTCLNAME,MATCH(1,(xlRTCLENDU=1)*(xlRTCLEQCL=$D1778),0))</f>
        <v>ELEC_HP</v>
      </c>
      <c r="W1778" s="153" t="str">
        <f t="array" ref="W1778">INDEX(xlRTCLNAME,MATCH(1,(xlRTCLENDU=2)*(xlRTCLEQCL=$F1778),0))</f>
        <v>ELEC_HP</v>
      </c>
      <c r="X1778" s="153" t="str">
        <f t="array" ref="X1778">INDEX(xlRTTYNAME,MATCH(1,(xlRTTYENDU=1)*(xlRTTYEQCL=$D1778)*(xlRTEQTYPE=$E1778),0))</f>
        <v>ELEC_HP4</v>
      </c>
      <c r="Y1778" s="153" t="str">
        <f t="array" ref="Y1778">INDEX(xlRTTYNAME,MATCH(1,(xlRTTYENDU=2)*(xlRTTYEQCL=$F1778)*(xlRTEQTYPE=$G1778),0))</f>
        <v>ELEC_HP4</v>
      </c>
    </row>
    <row r="1779" spans="1:25" s="157" customFormat="1" ht="14.25" customHeight="1" x14ac:dyDescent="0.2">
      <c r="A1779"/>
      <c r="B1779" s="49">
        <v>5</v>
      </c>
      <c r="C1779" s="49">
        <v>2</v>
      </c>
      <c r="D1779" s="49">
        <v>2</v>
      </c>
      <c r="E1779" s="49">
        <v>5</v>
      </c>
      <c r="F1779" s="49">
        <v>3</v>
      </c>
      <c r="G1779" s="49">
        <v>12</v>
      </c>
      <c r="H1779" s="49">
        <v>2033</v>
      </c>
      <c r="I1779" s="49">
        <v>2050</v>
      </c>
      <c r="J1779" s="50">
        <v>1.1200000000000001</v>
      </c>
      <c r="K1779" s="50">
        <v>1.0545</v>
      </c>
      <c r="L1779" s="50">
        <v>0.44379999999999997</v>
      </c>
      <c r="M1779" s="50">
        <v>1.0314000000000001</v>
      </c>
      <c r="N1779" s="50">
        <v>1.2490000000000001</v>
      </c>
      <c r="O1779" s="50">
        <v>1.0538000000000001</v>
      </c>
      <c r="P1779" s="49">
        <v>2401</v>
      </c>
      <c r="Q1779" s="51">
        <f t="array" ref="Q1779">SUM(IF(($S1779&gt;=4)*($C1779='TaxCred&amp;Subs'!$D$123:$D$127)*($H1779='TaxCred&amp;Subs'!$C$123:$C$127)*($H1779&lt;='TaxCred&amp;Subs'!$C$129),'TaxCred&amp;Subs'!$E$123:$E$127,0))</f>
        <v>0</v>
      </c>
      <c r="R1779" s="171">
        <v>0</v>
      </c>
      <c r="S1779" s="49">
        <v>5</v>
      </c>
      <c r="T1779" s="49" t="s">
        <v>225</v>
      </c>
      <c r="U1779"/>
      <c r="V1779" s="153" t="str">
        <f t="array" ref="V1779">INDEX(xlRTCLNAME,MATCH(1,(xlRTCLENDU=1)*(xlRTCLEQCL=$D1779),0))</f>
        <v>ELEC_HP</v>
      </c>
      <c r="W1779" s="153" t="str">
        <f t="array" ref="W1779">INDEX(xlRTCLNAME,MATCH(1,(xlRTCLENDU=2)*(xlRTCLEQCL=$F1779),0))</f>
        <v>ELEC_HP</v>
      </c>
      <c r="X1779" s="153" t="str">
        <f t="array" ref="X1779">INDEX(xlRTTYNAME,MATCH(1,(xlRTTYENDU=1)*(xlRTTYEQCL=$D1779)*(xlRTEQTYPE=$E1779),0))</f>
        <v>ELEC_HP4</v>
      </c>
      <c r="Y1779" s="153" t="str">
        <f t="array" ref="Y1779">INDEX(xlRTTYNAME,MATCH(1,(xlRTTYENDU=2)*(xlRTTYEQCL=$F1779)*(xlRTEQTYPE=$G1779),0))</f>
        <v>ELEC_HP4</v>
      </c>
    </row>
    <row r="1780" spans="1:25" s="157" customFormat="1" ht="14.25" customHeight="1" x14ac:dyDescent="0.2">
      <c r="A1780"/>
      <c r="B1780" s="126">
        <v>6</v>
      </c>
      <c r="C1780" s="126">
        <v>2</v>
      </c>
      <c r="D1780" s="126">
        <v>2</v>
      </c>
      <c r="E1780" s="126">
        <v>5</v>
      </c>
      <c r="F1780" s="126">
        <v>3</v>
      </c>
      <c r="G1780" s="126">
        <v>12</v>
      </c>
      <c r="H1780" s="126">
        <v>2016</v>
      </c>
      <c r="I1780" s="159">
        <v>2022</v>
      </c>
      <c r="J1780" s="127">
        <v>1.087</v>
      </c>
      <c r="K1780" s="127">
        <v>1.0385</v>
      </c>
      <c r="L1780" s="127">
        <v>0.44379999999999997</v>
      </c>
      <c r="M1780" s="127">
        <v>1.0546</v>
      </c>
      <c r="N1780" s="127">
        <v>1.3324</v>
      </c>
      <c r="O1780" s="127">
        <v>1.0538000000000001</v>
      </c>
      <c r="P1780" s="126">
        <v>2657</v>
      </c>
      <c r="Q1780" s="128">
        <f t="array" ref="Q1780">SUM(IF(($S1780&gt;=4)*($C1780='TaxCred&amp;Subs'!$D$123:$D$127)*($H1780='TaxCred&amp;Subs'!$C$123:$C$127)*($H1780&lt;='TaxCred&amp;Subs'!$C$129),'TaxCred&amp;Subs'!$E$123:$E$127,0))</f>
        <v>0</v>
      </c>
      <c r="R1780" s="174">
        <v>0</v>
      </c>
      <c r="S1780" s="126">
        <v>5</v>
      </c>
      <c r="T1780" s="126" t="s">
        <v>225</v>
      </c>
      <c r="U1780"/>
      <c r="V1780" s="153" t="str">
        <f t="array" ref="V1780">INDEX(xlRTCLNAME,MATCH(1,(xlRTCLENDU=1)*(xlRTCLEQCL=$D1780),0))</f>
        <v>ELEC_HP</v>
      </c>
      <c r="W1780" s="153" t="str">
        <f t="array" ref="W1780">INDEX(xlRTCLNAME,MATCH(1,(xlRTCLENDU=2)*(xlRTCLEQCL=$F1780),0))</f>
        <v>ELEC_HP</v>
      </c>
      <c r="X1780" s="153" t="str">
        <f t="array" ref="X1780">INDEX(xlRTTYNAME,MATCH(1,(xlRTTYENDU=1)*(xlRTTYEQCL=$D1780)*(xlRTEQTYPE=$E1780),0))</f>
        <v>ELEC_HP4</v>
      </c>
      <c r="Y1780" s="153" t="str">
        <f t="array" ref="Y1780">INDEX(xlRTTYNAME,MATCH(1,(xlRTTYENDU=2)*(xlRTTYEQCL=$F1780)*(xlRTEQTYPE=$G1780),0))</f>
        <v>ELEC_HP4</v>
      </c>
    </row>
    <row r="1781" spans="1:25" s="157" customFormat="1" ht="14.25" customHeight="1" x14ac:dyDescent="0.2">
      <c r="A1781"/>
      <c r="B1781" s="49">
        <v>6</v>
      </c>
      <c r="C1781" s="49">
        <v>2</v>
      </c>
      <c r="D1781" s="49">
        <v>2</v>
      </c>
      <c r="E1781" s="49">
        <v>5</v>
      </c>
      <c r="F1781" s="49">
        <v>3</v>
      </c>
      <c r="G1781" s="49">
        <v>12</v>
      </c>
      <c r="H1781" s="49">
        <v>2023</v>
      </c>
      <c r="I1781" s="49">
        <v>2032</v>
      </c>
      <c r="J1781" s="50">
        <v>1.087</v>
      </c>
      <c r="K1781" s="50">
        <v>1.0385</v>
      </c>
      <c r="L1781" s="50">
        <v>0.44379999999999997</v>
      </c>
      <c r="M1781" s="50">
        <v>1.0546</v>
      </c>
      <c r="N1781" s="50">
        <v>1.3324</v>
      </c>
      <c r="O1781" s="50">
        <v>1.0538000000000001</v>
      </c>
      <c r="P1781" s="49">
        <v>2657</v>
      </c>
      <c r="Q1781" s="51">
        <f t="array" ref="Q1781">SUM(IF(($S1781&gt;=4)*($C1781='TaxCred&amp;Subs'!$D$123:$D$127)*($H1781='TaxCred&amp;Subs'!$C$123:$C$127)*($H1781&lt;='TaxCred&amp;Subs'!$C$129),'TaxCred&amp;Subs'!$E$123:$E$127,0))</f>
        <v>500</v>
      </c>
      <c r="R1781" s="171">
        <v>0</v>
      </c>
      <c r="S1781" s="49">
        <v>5</v>
      </c>
      <c r="T1781" s="49" t="s">
        <v>225</v>
      </c>
      <c r="U1781"/>
      <c r="V1781" s="153" t="str">
        <f t="array" ref="V1781">INDEX(xlRTCLNAME,MATCH(1,(xlRTCLENDU=1)*(xlRTCLEQCL=$D1781),0))</f>
        <v>ELEC_HP</v>
      </c>
      <c r="W1781" s="153" t="str">
        <f t="array" ref="W1781">INDEX(xlRTCLNAME,MATCH(1,(xlRTCLENDU=2)*(xlRTCLEQCL=$F1781),0))</f>
        <v>ELEC_HP</v>
      </c>
      <c r="X1781" s="153" t="str">
        <f t="array" ref="X1781">INDEX(xlRTTYNAME,MATCH(1,(xlRTTYENDU=1)*(xlRTTYEQCL=$D1781)*(xlRTEQTYPE=$E1781),0))</f>
        <v>ELEC_HP4</v>
      </c>
      <c r="Y1781" s="153" t="str">
        <f t="array" ref="Y1781">INDEX(xlRTTYNAME,MATCH(1,(xlRTTYENDU=2)*(xlRTTYEQCL=$F1781)*(xlRTEQTYPE=$G1781),0))</f>
        <v>ELEC_HP4</v>
      </c>
    </row>
    <row r="1782" spans="1:25" s="157" customFormat="1" ht="14.25" customHeight="1" x14ac:dyDescent="0.2">
      <c r="A1782"/>
      <c r="B1782" s="49">
        <v>6</v>
      </c>
      <c r="C1782" s="49">
        <v>2</v>
      </c>
      <c r="D1782" s="49">
        <v>2</v>
      </c>
      <c r="E1782" s="49">
        <v>5</v>
      </c>
      <c r="F1782" s="49">
        <v>3</v>
      </c>
      <c r="G1782" s="49">
        <v>12</v>
      </c>
      <c r="H1782" s="49">
        <v>2033</v>
      </c>
      <c r="I1782" s="49">
        <v>2050</v>
      </c>
      <c r="J1782" s="50">
        <v>1.087</v>
      </c>
      <c r="K1782" s="50">
        <v>1.0385</v>
      </c>
      <c r="L1782" s="50">
        <v>0.44379999999999997</v>
      </c>
      <c r="M1782" s="50">
        <v>1.0546</v>
      </c>
      <c r="N1782" s="50">
        <v>1.3324</v>
      </c>
      <c r="O1782" s="50">
        <v>1.0538000000000001</v>
      </c>
      <c r="P1782" s="49">
        <v>2657</v>
      </c>
      <c r="Q1782" s="51">
        <f t="array" ref="Q1782">SUM(IF(($S1782&gt;=4)*($C1782='TaxCred&amp;Subs'!$D$123:$D$127)*($H1782='TaxCred&amp;Subs'!$C$123:$C$127)*($H1782&lt;='TaxCred&amp;Subs'!$C$129),'TaxCred&amp;Subs'!$E$123:$E$127,0))</f>
        <v>0</v>
      </c>
      <c r="R1782" s="171">
        <v>0</v>
      </c>
      <c r="S1782" s="49">
        <v>5</v>
      </c>
      <c r="T1782" s="49" t="s">
        <v>225</v>
      </c>
      <c r="U1782"/>
      <c r="V1782" s="153" t="str">
        <f t="array" ref="V1782">INDEX(xlRTCLNAME,MATCH(1,(xlRTCLENDU=1)*(xlRTCLEQCL=$D1782),0))</f>
        <v>ELEC_HP</v>
      </c>
      <c r="W1782" s="153" t="str">
        <f t="array" ref="W1782">INDEX(xlRTCLNAME,MATCH(1,(xlRTCLENDU=2)*(xlRTCLEQCL=$F1782),0))</f>
        <v>ELEC_HP</v>
      </c>
      <c r="X1782" s="153" t="str">
        <f t="array" ref="X1782">INDEX(xlRTTYNAME,MATCH(1,(xlRTTYENDU=1)*(xlRTTYEQCL=$D1782)*(xlRTEQTYPE=$E1782),0))</f>
        <v>ELEC_HP4</v>
      </c>
      <c r="Y1782" s="153" t="str">
        <f t="array" ref="Y1782">INDEX(xlRTTYNAME,MATCH(1,(xlRTTYENDU=2)*(xlRTTYEQCL=$F1782)*(xlRTEQTYPE=$G1782),0))</f>
        <v>ELEC_HP4</v>
      </c>
    </row>
    <row r="1783" spans="1:25" s="157" customFormat="1" ht="14.25" customHeight="1" x14ac:dyDescent="0.2">
      <c r="A1783"/>
      <c r="B1783" s="126">
        <v>7</v>
      </c>
      <c r="C1783" s="126">
        <v>2</v>
      </c>
      <c r="D1783" s="126">
        <v>2</v>
      </c>
      <c r="E1783" s="126">
        <v>5</v>
      </c>
      <c r="F1783" s="126">
        <v>3</v>
      </c>
      <c r="G1783" s="126">
        <v>12</v>
      </c>
      <c r="H1783" s="126">
        <v>2016</v>
      </c>
      <c r="I1783" s="159">
        <v>2022</v>
      </c>
      <c r="J1783" s="127">
        <v>1.1200000000000001</v>
      </c>
      <c r="K1783" s="127">
        <v>1.0435000000000001</v>
      </c>
      <c r="L1783" s="127">
        <v>0.44379999999999997</v>
      </c>
      <c r="M1783" s="127">
        <v>1.0569</v>
      </c>
      <c r="N1783" s="127">
        <v>1.4438</v>
      </c>
      <c r="O1783" s="127">
        <v>1.0538000000000001</v>
      </c>
      <c r="P1783" s="126">
        <v>2321</v>
      </c>
      <c r="Q1783" s="128">
        <f t="array" ref="Q1783">SUM(IF(($S1783&gt;=4)*($C1783='TaxCred&amp;Subs'!$D$123:$D$127)*($H1783='TaxCred&amp;Subs'!$C$123:$C$127)*($H1783&lt;='TaxCred&amp;Subs'!$C$129),'TaxCred&amp;Subs'!$E$123:$E$127,0))</f>
        <v>0</v>
      </c>
      <c r="R1783" s="174">
        <v>0</v>
      </c>
      <c r="S1783" s="126">
        <v>5</v>
      </c>
      <c r="T1783" s="126" t="s">
        <v>225</v>
      </c>
      <c r="U1783"/>
      <c r="V1783" s="153" t="str">
        <f t="array" ref="V1783">INDEX(xlRTCLNAME,MATCH(1,(xlRTCLENDU=1)*(xlRTCLEQCL=$D1783),0))</f>
        <v>ELEC_HP</v>
      </c>
      <c r="W1783" s="153" t="str">
        <f t="array" ref="W1783">INDEX(xlRTCLNAME,MATCH(1,(xlRTCLENDU=2)*(xlRTCLEQCL=$F1783),0))</f>
        <v>ELEC_HP</v>
      </c>
      <c r="X1783" s="153" t="str">
        <f t="array" ref="X1783">INDEX(xlRTTYNAME,MATCH(1,(xlRTTYENDU=1)*(xlRTTYEQCL=$D1783)*(xlRTEQTYPE=$E1783),0))</f>
        <v>ELEC_HP4</v>
      </c>
      <c r="Y1783" s="153" t="str">
        <f t="array" ref="Y1783">INDEX(xlRTTYNAME,MATCH(1,(xlRTTYENDU=2)*(xlRTTYEQCL=$F1783)*(xlRTEQTYPE=$G1783),0))</f>
        <v>ELEC_HP4</v>
      </c>
    </row>
    <row r="1784" spans="1:25" s="157" customFormat="1" ht="14.25" customHeight="1" x14ac:dyDescent="0.2">
      <c r="A1784"/>
      <c r="B1784" s="49">
        <v>7</v>
      </c>
      <c r="C1784" s="49">
        <v>2</v>
      </c>
      <c r="D1784" s="49">
        <v>2</v>
      </c>
      <c r="E1784" s="49">
        <v>5</v>
      </c>
      <c r="F1784" s="49">
        <v>3</v>
      </c>
      <c r="G1784" s="49">
        <v>12</v>
      </c>
      <c r="H1784" s="49">
        <v>2023</v>
      </c>
      <c r="I1784" s="49">
        <v>2032</v>
      </c>
      <c r="J1784" s="50">
        <v>1.1200000000000001</v>
      </c>
      <c r="K1784" s="50">
        <v>1.0435000000000001</v>
      </c>
      <c r="L1784" s="50">
        <v>0.44379999999999997</v>
      </c>
      <c r="M1784" s="50">
        <v>1.0569</v>
      </c>
      <c r="N1784" s="50">
        <v>1.4438</v>
      </c>
      <c r="O1784" s="50">
        <v>1.0538000000000001</v>
      </c>
      <c r="P1784" s="49">
        <v>2321</v>
      </c>
      <c r="Q1784" s="51">
        <f t="array" ref="Q1784">SUM(IF(($S1784&gt;=4)*($C1784='TaxCred&amp;Subs'!$D$123:$D$127)*($H1784='TaxCred&amp;Subs'!$C$123:$C$127)*($H1784&lt;='TaxCred&amp;Subs'!$C$129),'TaxCred&amp;Subs'!$E$123:$E$127,0))</f>
        <v>500</v>
      </c>
      <c r="R1784" s="171">
        <v>0</v>
      </c>
      <c r="S1784" s="49">
        <v>5</v>
      </c>
      <c r="T1784" s="49" t="s">
        <v>225</v>
      </c>
      <c r="U1784"/>
      <c r="V1784" s="153" t="str">
        <f t="array" ref="V1784">INDEX(xlRTCLNAME,MATCH(1,(xlRTCLENDU=1)*(xlRTCLEQCL=$D1784),0))</f>
        <v>ELEC_HP</v>
      </c>
      <c r="W1784" s="153" t="str">
        <f t="array" ref="W1784">INDEX(xlRTCLNAME,MATCH(1,(xlRTCLENDU=2)*(xlRTCLEQCL=$F1784),0))</f>
        <v>ELEC_HP</v>
      </c>
      <c r="X1784" s="153" t="str">
        <f t="array" ref="X1784">INDEX(xlRTTYNAME,MATCH(1,(xlRTTYENDU=1)*(xlRTTYEQCL=$D1784)*(xlRTEQTYPE=$E1784),0))</f>
        <v>ELEC_HP4</v>
      </c>
      <c r="Y1784" s="153" t="str">
        <f t="array" ref="Y1784">INDEX(xlRTTYNAME,MATCH(1,(xlRTTYENDU=2)*(xlRTTYEQCL=$F1784)*(xlRTEQTYPE=$G1784),0))</f>
        <v>ELEC_HP4</v>
      </c>
    </row>
    <row r="1785" spans="1:25" s="157" customFormat="1" ht="14.25" customHeight="1" x14ac:dyDescent="0.2">
      <c r="A1785"/>
      <c r="B1785" s="49">
        <v>7</v>
      </c>
      <c r="C1785" s="49">
        <v>2</v>
      </c>
      <c r="D1785" s="49">
        <v>2</v>
      </c>
      <c r="E1785" s="49">
        <v>5</v>
      </c>
      <c r="F1785" s="49">
        <v>3</v>
      </c>
      <c r="G1785" s="49">
        <v>12</v>
      </c>
      <c r="H1785" s="49">
        <v>2033</v>
      </c>
      <c r="I1785" s="49">
        <v>2050</v>
      </c>
      <c r="J1785" s="50">
        <v>1.1200000000000001</v>
      </c>
      <c r="K1785" s="50">
        <v>1.0435000000000001</v>
      </c>
      <c r="L1785" s="50">
        <v>0.44379999999999997</v>
      </c>
      <c r="M1785" s="50">
        <v>1.0569</v>
      </c>
      <c r="N1785" s="50">
        <v>1.4438</v>
      </c>
      <c r="O1785" s="50">
        <v>1.0538000000000001</v>
      </c>
      <c r="P1785" s="49">
        <v>2321</v>
      </c>
      <c r="Q1785" s="51">
        <f t="array" ref="Q1785">SUM(IF(($S1785&gt;=4)*($C1785='TaxCred&amp;Subs'!$D$123:$D$127)*($H1785='TaxCred&amp;Subs'!$C$123:$C$127)*($H1785&lt;='TaxCred&amp;Subs'!$C$129),'TaxCred&amp;Subs'!$E$123:$E$127,0))</f>
        <v>0</v>
      </c>
      <c r="R1785" s="171">
        <v>0</v>
      </c>
      <c r="S1785" s="49">
        <v>5</v>
      </c>
      <c r="T1785" s="49" t="s">
        <v>225</v>
      </c>
      <c r="U1785"/>
      <c r="V1785" s="153" t="str">
        <f t="array" ref="V1785">INDEX(xlRTCLNAME,MATCH(1,(xlRTCLENDU=1)*(xlRTCLEQCL=$D1785),0))</f>
        <v>ELEC_HP</v>
      </c>
      <c r="W1785" s="153" t="str">
        <f t="array" ref="W1785">INDEX(xlRTCLNAME,MATCH(1,(xlRTCLENDU=2)*(xlRTCLEQCL=$F1785),0))</f>
        <v>ELEC_HP</v>
      </c>
      <c r="X1785" s="153" t="str">
        <f t="array" ref="X1785">INDEX(xlRTTYNAME,MATCH(1,(xlRTTYENDU=1)*(xlRTTYEQCL=$D1785)*(xlRTEQTYPE=$E1785),0))</f>
        <v>ELEC_HP4</v>
      </c>
      <c r="Y1785" s="153" t="str">
        <f t="array" ref="Y1785">INDEX(xlRTTYNAME,MATCH(1,(xlRTTYENDU=2)*(xlRTTYEQCL=$F1785)*(xlRTEQTYPE=$G1785),0))</f>
        <v>ELEC_HP4</v>
      </c>
    </row>
    <row r="1786" spans="1:25" s="157" customFormat="1" ht="14.25" customHeight="1" x14ac:dyDescent="0.2">
      <c r="A1786"/>
      <c r="B1786" s="126">
        <v>8</v>
      </c>
      <c r="C1786" s="126">
        <v>2</v>
      </c>
      <c r="D1786" s="126">
        <v>2</v>
      </c>
      <c r="E1786" s="126">
        <v>5</v>
      </c>
      <c r="F1786" s="126">
        <v>3</v>
      </c>
      <c r="G1786" s="126">
        <v>12</v>
      </c>
      <c r="H1786" s="126">
        <v>2016</v>
      </c>
      <c r="I1786" s="159">
        <v>2022</v>
      </c>
      <c r="J1786" s="127">
        <v>1.0889</v>
      </c>
      <c r="K1786" s="127">
        <v>1.0313000000000001</v>
      </c>
      <c r="L1786" s="127">
        <v>0.54059999999999997</v>
      </c>
      <c r="M1786" s="127">
        <v>1.2087000000000001</v>
      </c>
      <c r="N1786" s="127">
        <v>1.2706</v>
      </c>
      <c r="O1786" s="127">
        <v>1.0538000000000001</v>
      </c>
      <c r="P1786" s="126">
        <v>2889</v>
      </c>
      <c r="Q1786" s="128">
        <f t="array" ref="Q1786">SUM(IF(($S1786&gt;=4)*($C1786='TaxCred&amp;Subs'!$D$123:$D$127)*($H1786='TaxCred&amp;Subs'!$C$123:$C$127)*($H1786&lt;='TaxCred&amp;Subs'!$C$129),'TaxCred&amp;Subs'!$E$123:$E$127,0))</f>
        <v>0</v>
      </c>
      <c r="R1786" s="174">
        <v>0</v>
      </c>
      <c r="S1786" s="126">
        <v>5</v>
      </c>
      <c r="T1786" s="126" t="s">
        <v>225</v>
      </c>
      <c r="U1786"/>
      <c r="V1786" s="153" t="str">
        <f t="array" ref="V1786">INDEX(xlRTCLNAME,MATCH(1,(xlRTCLENDU=1)*(xlRTCLEQCL=$D1786),0))</f>
        <v>ELEC_HP</v>
      </c>
      <c r="W1786" s="153" t="str">
        <f t="array" ref="W1786">INDEX(xlRTCLNAME,MATCH(1,(xlRTCLENDU=2)*(xlRTCLEQCL=$F1786),0))</f>
        <v>ELEC_HP</v>
      </c>
      <c r="X1786" s="153" t="str">
        <f t="array" ref="X1786">INDEX(xlRTTYNAME,MATCH(1,(xlRTTYENDU=1)*(xlRTTYEQCL=$D1786)*(xlRTEQTYPE=$E1786),0))</f>
        <v>ELEC_HP4</v>
      </c>
      <c r="Y1786" s="153" t="str">
        <f t="array" ref="Y1786">INDEX(xlRTTYNAME,MATCH(1,(xlRTTYENDU=2)*(xlRTTYEQCL=$F1786)*(xlRTEQTYPE=$G1786),0))</f>
        <v>ELEC_HP4</v>
      </c>
    </row>
    <row r="1787" spans="1:25" s="157" customFormat="1" ht="14.25" customHeight="1" x14ac:dyDescent="0.2">
      <c r="A1787"/>
      <c r="B1787" s="49">
        <v>8</v>
      </c>
      <c r="C1787" s="49">
        <v>2</v>
      </c>
      <c r="D1787" s="49">
        <v>2</v>
      </c>
      <c r="E1787" s="49">
        <v>5</v>
      </c>
      <c r="F1787" s="49">
        <v>3</v>
      </c>
      <c r="G1787" s="49">
        <v>12</v>
      </c>
      <c r="H1787" s="49">
        <v>2023</v>
      </c>
      <c r="I1787" s="49">
        <v>2032</v>
      </c>
      <c r="J1787" s="50">
        <v>1.0889</v>
      </c>
      <c r="K1787" s="50">
        <v>1.0313000000000001</v>
      </c>
      <c r="L1787" s="50">
        <v>0.54059999999999997</v>
      </c>
      <c r="M1787" s="50">
        <v>1.2087000000000001</v>
      </c>
      <c r="N1787" s="50">
        <v>1.2706</v>
      </c>
      <c r="O1787" s="50">
        <v>1.0538000000000001</v>
      </c>
      <c r="P1787" s="49">
        <v>2889</v>
      </c>
      <c r="Q1787" s="51">
        <f t="array" ref="Q1787">SUM(IF(($S1787&gt;=4)*($C1787='TaxCred&amp;Subs'!$D$123:$D$127)*($H1787='TaxCred&amp;Subs'!$C$123:$C$127)*($H1787&lt;='TaxCred&amp;Subs'!$C$129),'TaxCred&amp;Subs'!$E$123:$E$127,0))</f>
        <v>500</v>
      </c>
      <c r="R1787" s="171">
        <v>0</v>
      </c>
      <c r="S1787" s="49">
        <v>5</v>
      </c>
      <c r="T1787" s="49" t="s">
        <v>225</v>
      </c>
      <c r="U1787"/>
      <c r="V1787" s="153" t="str">
        <f t="array" ref="V1787">INDEX(xlRTCLNAME,MATCH(1,(xlRTCLENDU=1)*(xlRTCLEQCL=$D1787),0))</f>
        <v>ELEC_HP</v>
      </c>
      <c r="W1787" s="153" t="str">
        <f t="array" ref="W1787">INDEX(xlRTCLNAME,MATCH(1,(xlRTCLENDU=2)*(xlRTCLEQCL=$F1787),0))</f>
        <v>ELEC_HP</v>
      </c>
      <c r="X1787" s="153" t="str">
        <f t="array" ref="X1787">INDEX(xlRTTYNAME,MATCH(1,(xlRTTYENDU=1)*(xlRTTYEQCL=$D1787)*(xlRTEQTYPE=$E1787),0))</f>
        <v>ELEC_HP4</v>
      </c>
      <c r="Y1787" s="153" t="str">
        <f t="array" ref="Y1787">INDEX(xlRTTYNAME,MATCH(1,(xlRTTYENDU=2)*(xlRTTYEQCL=$F1787)*(xlRTEQTYPE=$G1787),0))</f>
        <v>ELEC_HP4</v>
      </c>
    </row>
    <row r="1788" spans="1:25" s="157" customFormat="1" ht="14.25" customHeight="1" x14ac:dyDescent="0.2">
      <c r="A1788"/>
      <c r="B1788" s="49">
        <v>8</v>
      </c>
      <c r="C1788" s="49">
        <v>2</v>
      </c>
      <c r="D1788" s="49">
        <v>2</v>
      </c>
      <c r="E1788" s="49">
        <v>5</v>
      </c>
      <c r="F1788" s="49">
        <v>3</v>
      </c>
      <c r="G1788" s="49">
        <v>12</v>
      </c>
      <c r="H1788" s="49">
        <v>2033</v>
      </c>
      <c r="I1788" s="49">
        <v>2050</v>
      </c>
      <c r="J1788" s="50">
        <v>1.0889</v>
      </c>
      <c r="K1788" s="50">
        <v>1.0313000000000001</v>
      </c>
      <c r="L1788" s="50">
        <v>0.54059999999999997</v>
      </c>
      <c r="M1788" s="50">
        <v>1.2087000000000001</v>
      </c>
      <c r="N1788" s="50">
        <v>1.2706</v>
      </c>
      <c r="O1788" s="50">
        <v>1.0538000000000001</v>
      </c>
      <c r="P1788" s="49">
        <v>2889</v>
      </c>
      <c r="Q1788" s="51">
        <f t="array" ref="Q1788">SUM(IF(($S1788&gt;=4)*($C1788='TaxCred&amp;Subs'!$D$123:$D$127)*($H1788='TaxCred&amp;Subs'!$C$123:$C$127)*($H1788&lt;='TaxCred&amp;Subs'!$C$129),'TaxCred&amp;Subs'!$E$123:$E$127,0))</f>
        <v>0</v>
      </c>
      <c r="R1788" s="171">
        <v>0</v>
      </c>
      <c r="S1788" s="49">
        <v>5</v>
      </c>
      <c r="T1788" s="49" t="s">
        <v>225</v>
      </c>
      <c r="U1788"/>
      <c r="V1788" s="153" t="str">
        <f t="array" ref="V1788">INDEX(xlRTCLNAME,MATCH(1,(xlRTCLENDU=1)*(xlRTCLEQCL=$D1788),0))</f>
        <v>ELEC_HP</v>
      </c>
      <c r="W1788" s="153" t="str">
        <f t="array" ref="W1788">INDEX(xlRTCLNAME,MATCH(1,(xlRTCLENDU=2)*(xlRTCLEQCL=$F1788),0))</f>
        <v>ELEC_HP</v>
      </c>
      <c r="X1788" s="153" t="str">
        <f t="array" ref="X1788">INDEX(xlRTTYNAME,MATCH(1,(xlRTTYENDU=1)*(xlRTTYEQCL=$D1788)*(xlRTEQTYPE=$E1788),0))</f>
        <v>ELEC_HP4</v>
      </c>
      <c r="Y1788" s="153" t="str">
        <f t="array" ref="Y1788">INDEX(xlRTTYNAME,MATCH(1,(xlRTTYENDU=2)*(xlRTTYEQCL=$F1788)*(xlRTEQTYPE=$G1788),0))</f>
        <v>ELEC_HP4</v>
      </c>
    </row>
    <row r="1789" spans="1:25" s="157" customFormat="1" ht="14.25" customHeight="1" x14ac:dyDescent="0.2">
      <c r="A1789"/>
      <c r="B1789" s="126">
        <v>9</v>
      </c>
      <c r="C1789" s="126">
        <v>2</v>
      </c>
      <c r="D1789" s="126">
        <v>2</v>
      </c>
      <c r="E1789" s="126">
        <v>5</v>
      </c>
      <c r="F1789" s="126">
        <v>3</v>
      </c>
      <c r="G1789" s="126">
        <v>12</v>
      </c>
      <c r="H1789" s="126">
        <v>2016</v>
      </c>
      <c r="I1789" s="159">
        <v>2022</v>
      </c>
      <c r="J1789" s="127">
        <v>1.1200000000000001</v>
      </c>
      <c r="K1789" s="127">
        <v>1.0512999999999999</v>
      </c>
      <c r="L1789" s="127">
        <v>0.44379999999999997</v>
      </c>
      <c r="M1789" s="127">
        <v>1.1167</v>
      </c>
      <c r="N1789" s="127">
        <v>1.4438</v>
      </c>
      <c r="O1789" s="127">
        <v>1.0538000000000001</v>
      </c>
      <c r="P1789" s="126">
        <v>3308</v>
      </c>
      <c r="Q1789" s="128">
        <f t="array" ref="Q1789">SUM(IF(($S1789&gt;=4)*($C1789='TaxCred&amp;Subs'!$D$123:$D$127)*($H1789='TaxCred&amp;Subs'!$C$123:$C$127)*($H1789&lt;='TaxCred&amp;Subs'!$C$129),'TaxCred&amp;Subs'!$E$123:$E$127,0))</f>
        <v>0</v>
      </c>
      <c r="R1789" s="174">
        <v>0</v>
      </c>
      <c r="S1789" s="126">
        <v>5</v>
      </c>
      <c r="T1789" s="126" t="s">
        <v>225</v>
      </c>
      <c r="U1789"/>
      <c r="V1789" s="153" t="str">
        <f t="array" ref="V1789">INDEX(xlRTCLNAME,MATCH(1,(xlRTCLENDU=1)*(xlRTCLEQCL=$D1789),0))</f>
        <v>ELEC_HP</v>
      </c>
      <c r="W1789" s="153" t="str">
        <f t="array" ref="W1789">INDEX(xlRTCLNAME,MATCH(1,(xlRTCLENDU=2)*(xlRTCLEQCL=$F1789),0))</f>
        <v>ELEC_HP</v>
      </c>
      <c r="X1789" s="153" t="str">
        <f t="array" ref="X1789">INDEX(xlRTTYNAME,MATCH(1,(xlRTTYENDU=1)*(xlRTTYEQCL=$D1789)*(xlRTEQTYPE=$E1789),0))</f>
        <v>ELEC_HP4</v>
      </c>
      <c r="Y1789" s="153" t="str">
        <f t="array" ref="Y1789">INDEX(xlRTTYNAME,MATCH(1,(xlRTTYENDU=2)*(xlRTTYEQCL=$F1789)*(xlRTEQTYPE=$G1789),0))</f>
        <v>ELEC_HP4</v>
      </c>
    </row>
    <row r="1790" spans="1:25" s="157" customFormat="1" ht="14.25" customHeight="1" x14ac:dyDescent="0.2">
      <c r="A1790"/>
      <c r="B1790" s="49">
        <v>9</v>
      </c>
      <c r="C1790" s="49">
        <v>2</v>
      </c>
      <c r="D1790" s="49">
        <v>2</v>
      </c>
      <c r="E1790" s="49">
        <v>5</v>
      </c>
      <c r="F1790" s="49">
        <v>3</v>
      </c>
      <c r="G1790" s="49">
        <v>12</v>
      </c>
      <c r="H1790" s="49">
        <v>2023</v>
      </c>
      <c r="I1790" s="49">
        <v>2032</v>
      </c>
      <c r="J1790" s="50">
        <v>1.1200000000000001</v>
      </c>
      <c r="K1790" s="50">
        <v>1.0512999999999999</v>
      </c>
      <c r="L1790" s="50">
        <v>0.44379999999999997</v>
      </c>
      <c r="M1790" s="50">
        <v>1.1167</v>
      </c>
      <c r="N1790" s="50">
        <v>1.4438</v>
      </c>
      <c r="O1790" s="50">
        <v>1.0538000000000001</v>
      </c>
      <c r="P1790" s="49">
        <v>3308</v>
      </c>
      <c r="Q1790" s="51">
        <f t="array" ref="Q1790">SUM(IF(($S1790&gt;=4)*($C1790='TaxCred&amp;Subs'!$D$123:$D$127)*($H1790='TaxCred&amp;Subs'!$C$123:$C$127)*($H1790&lt;='TaxCred&amp;Subs'!$C$129),'TaxCred&amp;Subs'!$E$123:$E$127,0))</f>
        <v>500</v>
      </c>
      <c r="R1790" s="171">
        <v>0</v>
      </c>
      <c r="S1790" s="49">
        <v>5</v>
      </c>
      <c r="T1790" s="49" t="s">
        <v>225</v>
      </c>
      <c r="U1790"/>
      <c r="V1790" s="153" t="str">
        <f t="array" ref="V1790">INDEX(xlRTCLNAME,MATCH(1,(xlRTCLENDU=1)*(xlRTCLEQCL=$D1790),0))</f>
        <v>ELEC_HP</v>
      </c>
      <c r="W1790" s="153" t="str">
        <f t="array" ref="W1790">INDEX(xlRTCLNAME,MATCH(1,(xlRTCLENDU=2)*(xlRTCLEQCL=$F1790),0))</f>
        <v>ELEC_HP</v>
      </c>
      <c r="X1790" s="153" t="str">
        <f t="array" ref="X1790">INDEX(xlRTTYNAME,MATCH(1,(xlRTTYENDU=1)*(xlRTTYEQCL=$D1790)*(xlRTEQTYPE=$E1790),0))</f>
        <v>ELEC_HP4</v>
      </c>
      <c r="Y1790" s="153" t="str">
        <f t="array" ref="Y1790">INDEX(xlRTTYNAME,MATCH(1,(xlRTTYENDU=2)*(xlRTTYEQCL=$F1790)*(xlRTEQTYPE=$G1790),0))</f>
        <v>ELEC_HP4</v>
      </c>
    </row>
    <row r="1791" spans="1:25" s="157" customFormat="1" ht="14.25" customHeight="1" x14ac:dyDescent="0.2">
      <c r="A1791"/>
      <c r="B1791" s="49">
        <v>9</v>
      </c>
      <c r="C1791" s="49">
        <v>2</v>
      </c>
      <c r="D1791" s="49">
        <v>2</v>
      </c>
      <c r="E1791" s="49">
        <v>5</v>
      </c>
      <c r="F1791" s="49">
        <v>3</v>
      </c>
      <c r="G1791" s="49">
        <v>12</v>
      </c>
      <c r="H1791" s="49">
        <v>2033</v>
      </c>
      <c r="I1791" s="49">
        <v>2050</v>
      </c>
      <c r="J1791" s="50">
        <v>1.1200000000000001</v>
      </c>
      <c r="K1791" s="50">
        <v>1.0512999999999999</v>
      </c>
      <c r="L1791" s="50">
        <v>0.44379999999999997</v>
      </c>
      <c r="M1791" s="50">
        <v>1.1167</v>
      </c>
      <c r="N1791" s="50">
        <v>1.4438</v>
      </c>
      <c r="O1791" s="50">
        <v>1.0538000000000001</v>
      </c>
      <c r="P1791" s="49">
        <v>3308</v>
      </c>
      <c r="Q1791" s="51">
        <f t="array" ref="Q1791">SUM(IF(($S1791&gt;=4)*($C1791='TaxCred&amp;Subs'!$D$123:$D$127)*($H1791='TaxCred&amp;Subs'!$C$123:$C$127)*($H1791&lt;='TaxCred&amp;Subs'!$C$129),'TaxCred&amp;Subs'!$E$123:$E$127,0))</f>
        <v>0</v>
      </c>
      <c r="R1791" s="171">
        <v>0</v>
      </c>
      <c r="S1791" s="49">
        <v>5</v>
      </c>
      <c r="T1791" s="49" t="s">
        <v>225</v>
      </c>
      <c r="U1791"/>
      <c r="V1791" s="153" t="str">
        <f t="array" ref="V1791">INDEX(xlRTCLNAME,MATCH(1,(xlRTCLENDU=1)*(xlRTCLEQCL=$D1791),0))</f>
        <v>ELEC_HP</v>
      </c>
      <c r="W1791" s="153" t="str">
        <f t="array" ref="W1791">INDEX(xlRTCLNAME,MATCH(1,(xlRTCLENDU=2)*(xlRTCLEQCL=$F1791),0))</f>
        <v>ELEC_HP</v>
      </c>
      <c r="X1791" s="153" t="str">
        <f t="array" ref="X1791">INDEX(xlRTTYNAME,MATCH(1,(xlRTTYENDU=1)*(xlRTTYEQCL=$D1791)*(xlRTEQTYPE=$E1791),0))</f>
        <v>ELEC_HP4</v>
      </c>
      <c r="Y1791" s="153" t="str">
        <f t="array" ref="Y1791">INDEX(xlRTTYNAME,MATCH(1,(xlRTTYENDU=2)*(xlRTTYEQCL=$F1791)*(xlRTEQTYPE=$G1791),0))</f>
        <v>ELEC_HP4</v>
      </c>
    </row>
    <row r="1792" spans="1:25" s="157" customFormat="1" ht="14.25" customHeight="1" x14ac:dyDescent="0.2">
      <c r="A1792"/>
      <c r="B1792" s="126">
        <v>1</v>
      </c>
      <c r="C1792" s="126">
        <v>2</v>
      </c>
      <c r="D1792" s="126">
        <v>3</v>
      </c>
      <c r="E1792" s="126">
        <v>9</v>
      </c>
      <c r="F1792" s="126">
        <v>2</v>
      </c>
      <c r="G1792" s="126">
        <v>8</v>
      </c>
      <c r="H1792" s="126">
        <v>2016</v>
      </c>
      <c r="I1792" s="159">
        <v>2022</v>
      </c>
      <c r="J1792" s="127">
        <v>1.1042000000000001</v>
      </c>
      <c r="K1792" s="127">
        <v>1.0417000000000001</v>
      </c>
      <c r="L1792" s="127">
        <v>0.58399999999999996</v>
      </c>
      <c r="M1792" s="127">
        <v>1.1228</v>
      </c>
      <c r="N1792" s="127">
        <v>1.1127</v>
      </c>
      <c r="O1792" s="127">
        <v>1.0538000000000001</v>
      </c>
      <c r="P1792" s="126">
        <v>3776</v>
      </c>
      <c r="Q1792" s="128">
        <f t="array" ref="Q1792">SUM(IF(($S1792&gt;=4)*($C1792='TaxCred&amp;Subs'!$D$123:$D$127)*($H1792='TaxCred&amp;Subs'!$C$123:$C$127)*($H1792&lt;='TaxCred&amp;Subs'!$C$129),'TaxCred&amp;Subs'!$E$123:$E$127,0))</f>
        <v>0</v>
      </c>
      <c r="R1792" s="174">
        <v>0</v>
      </c>
      <c r="S1792" s="126">
        <v>5</v>
      </c>
      <c r="T1792" s="126" t="s">
        <v>225</v>
      </c>
      <c r="U1792"/>
      <c r="V1792" s="153" t="str">
        <f t="array" ref="V1792">INDEX(xlRTCLNAME,MATCH(1,(xlRTCLENDU=1)*(xlRTCLEQCL=$D1792),0))</f>
        <v>NG_FA</v>
      </c>
      <c r="W1792" s="153" t="str">
        <f t="array" ref="W1792">INDEX(xlRTCLNAME,MATCH(1,(xlRTCLENDU=2)*(xlRTCLEQCL=$F1792),0))</f>
        <v>CENT_AIR</v>
      </c>
      <c r="X1792" s="153" t="str">
        <f t="array" ref="X1792">INDEX(xlRTTYNAME,MATCH(1,(xlRTTYENDU=1)*(xlRTTYEQCL=$D1792)*(xlRTEQTYPE=$E1792),0))</f>
        <v>NG_FA4</v>
      </c>
      <c r="Y1792" s="153" t="str">
        <f t="array" ref="Y1792">INDEX(xlRTTYNAME,MATCH(1,(xlRTTYENDU=2)*(xlRTTYEQCL=$F1792)*(xlRTEQTYPE=$G1792),0))</f>
        <v>CENT_AIR4</v>
      </c>
    </row>
    <row r="1793" spans="1:25" s="157" customFormat="1" ht="14.25" customHeight="1" x14ac:dyDescent="0.2">
      <c r="A1793"/>
      <c r="B1793" s="49">
        <v>1</v>
      </c>
      <c r="C1793" s="49">
        <v>2</v>
      </c>
      <c r="D1793" s="49">
        <v>3</v>
      </c>
      <c r="E1793" s="49">
        <v>9</v>
      </c>
      <c r="F1793" s="49">
        <v>2</v>
      </c>
      <c r="G1793" s="49">
        <v>8</v>
      </c>
      <c r="H1793" s="49">
        <v>2023</v>
      </c>
      <c r="I1793" s="49">
        <v>2032</v>
      </c>
      <c r="J1793" s="50">
        <v>1.1042000000000001</v>
      </c>
      <c r="K1793" s="50">
        <v>1.0417000000000001</v>
      </c>
      <c r="L1793" s="50">
        <v>0.58399999999999996</v>
      </c>
      <c r="M1793" s="50">
        <v>1.1228</v>
      </c>
      <c r="N1793" s="50">
        <v>1.1127</v>
      </c>
      <c r="O1793" s="50">
        <v>1.0538000000000001</v>
      </c>
      <c r="P1793" s="49">
        <v>3776</v>
      </c>
      <c r="Q1793" s="51">
        <f t="array" ref="Q1793">SUM(IF(($S1793&gt;=4)*($C1793='TaxCred&amp;Subs'!$D$123:$D$127)*($H1793='TaxCred&amp;Subs'!$C$123:$C$127)*($H1793&lt;='TaxCred&amp;Subs'!$C$129),'TaxCred&amp;Subs'!$E$123:$E$127,0))</f>
        <v>500</v>
      </c>
      <c r="R1793" s="171">
        <v>0</v>
      </c>
      <c r="S1793" s="49">
        <v>5</v>
      </c>
      <c r="T1793" s="49" t="s">
        <v>225</v>
      </c>
      <c r="U1793"/>
      <c r="V1793" s="153" t="str">
        <f t="array" ref="V1793">INDEX(xlRTCLNAME,MATCH(1,(xlRTCLENDU=1)*(xlRTCLEQCL=$D1793),0))</f>
        <v>NG_FA</v>
      </c>
      <c r="W1793" s="153" t="str">
        <f t="array" ref="W1793">INDEX(xlRTCLNAME,MATCH(1,(xlRTCLENDU=2)*(xlRTCLEQCL=$F1793),0))</f>
        <v>CENT_AIR</v>
      </c>
      <c r="X1793" s="153" t="str">
        <f t="array" ref="X1793">INDEX(xlRTTYNAME,MATCH(1,(xlRTTYENDU=1)*(xlRTTYEQCL=$D1793)*(xlRTEQTYPE=$E1793),0))</f>
        <v>NG_FA4</v>
      </c>
      <c r="Y1793" s="153" t="str">
        <f t="array" ref="Y1793">INDEX(xlRTTYNAME,MATCH(1,(xlRTTYENDU=2)*(xlRTTYEQCL=$F1793)*(xlRTEQTYPE=$G1793),0))</f>
        <v>CENT_AIR4</v>
      </c>
    </row>
    <row r="1794" spans="1:25" s="157" customFormat="1" ht="14.25" customHeight="1" x14ac:dyDescent="0.2">
      <c r="A1794"/>
      <c r="B1794" s="49">
        <v>1</v>
      </c>
      <c r="C1794" s="49">
        <v>2</v>
      </c>
      <c r="D1794" s="49">
        <v>3</v>
      </c>
      <c r="E1794" s="49">
        <v>9</v>
      </c>
      <c r="F1794" s="49">
        <v>2</v>
      </c>
      <c r="G1794" s="49">
        <v>8</v>
      </c>
      <c r="H1794" s="49">
        <v>2033</v>
      </c>
      <c r="I1794" s="49">
        <v>2050</v>
      </c>
      <c r="J1794" s="50">
        <v>1.1042000000000001</v>
      </c>
      <c r="K1794" s="50">
        <v>1.0417000000000001</v>
      </c>
      <c r="L1794" s="50">
        <v>0.58399999999999996</v>
      </c>
      <c r="M1794" s="50">
        <v>1.1228</v>
      </c>
      <c r="N1794" s="50">
        <v>1.1127</v>
      </c>
      <c r="O1794" s="50">
        <v>1.0538000000000001</v>
      </c>
      <c r="P1794" s="49">
        <v>3776</v>
      </c>
      <c r="Q1794" s="51">
        <f t="array" ref="Q1794">SUM(IF(($S1794&gt;=4)*($C1794='TaxCred&amp;Subs'!$D$123:$D$127)*($H1794='TaxCred&amp;Subs'!$C$123:$C$127)*($H1794&lt;='TaxCred&amp;Subs'!$C$129),'TaxCred&amp;Subs'!$E$123:$E$127,0))</f>
        <v>0</v>
      </c>
      <c r="R1794" s="171">
        <v>0</v>
      </c>
      <c r="S1794" s="49">
        <v>5</v>
      </c>
      <c r="T1794" s="49" t="s">
        <v>225</v>
      </c>
      <c r="U1794"/>
      <c r="V1794" s="153" t="str">
        <f t="array" ref="V1794">INDEX(xlRTCLNAME,MATCH(1,(xlRTCLENDU=1)*(xlRTCLEQCL=$D1794),0))</f>
        <v>NG_FA</v>
      </c>
      <c r="W1794" s="153" t="str">
        <f t="array" ref="W1794">INDEX(xlRTCLNAME,MATCH(1,(xlRTCLENDU=2)*(xlRTCLEQCL=$F1794),0))</f>
        <v>CENT_AIR</v>
      </c>
      <c r="X1794" s="153" t="str">
        <f t="array" ref="X1794">INDEX(xlRTTYNAME,MATCH(1,(xlRTTYENDU=1)*(xlRTTYEQCL=$D1794)*(xlRTEQTYPE=$E1794),0))</f>
        <v>NG_FA4</v>
      </c>
      <c r="Y1794" s="153" t="str">
        <f t="array" ref="Y1794">INDEX(xlRTTYNAME,MATCH(1,(xlRTTYENDU=2)*(xlRTTYEQCL=$F1794)*(xlRTEQTYPE=$G1794),0))</f>
        <v>CENT_AIR4</v>
      </c>
    </row>
    <row r="1795" spans="1:25" s="157" customFormat="1" ht="14.25" customHeight="1" x14ac:dyDescent="0.2">
      <c r="A1795"/>
      <c r="B1795" s="126">
        <v>2</v>
      </c>
      <c r="C1795" s="126">
        <v>2</v>
      </c>
      <c r="D1795" s="126">
        <v>3</v>
      </c>
      <c r="E1795" s="126">
        <v>9</v>
      </c>
      <c r="F1795" s="126">
        <v>2</v>
      </c>
      <c r="G1795" s="126">
        <v>8</v>
      </c>
      <c r="H1795" s="126">
        <v>2016</v>
      </c>
      <c r="I1795" s="159">
        <v>2022</v>
      </c>
      <c r="J1795" s="127">
        <v>1.0847</v>
      </c>
      <c r="K1795" s="127">
        <v>1.0357000000000001</v>
      </c>
      <c r="L1795" s="127">
        <v>0.56759999999999999</v>
      </c>
      <c r="M1795" s="127">
        <v>1.1416999999999999</v>
      </c>
      <c r="N1795" s="127">
        <v>1.1162000000000001</v>
      </c>
      <c r="O1795" s="127">
        <v>1.0538000000000001</v>
      </c>
      <c r="P1795" s="126">
        <v>3572</v>
      </c>
      <c r="Q1795" s="128">
        <f t="array" ref="Q1795">SUM(IF(($S1795&gt;=4)*($C1795='TaxCred&amp;Subs'!$D$123:$D$127)*($H1795='TaxCred&amp;Subs'!$C$123:$C$127)*($H1795&lt;='TaxCred&amp;Subs'!$C$129),'TaxCred&amp;Subs'!$E$123:$E$127,0))</f>
        <v>0</v>
      </c>
      <c r="R1795" s="174">
        <v>0</v>
      </c>
      <c r="S1795" s="126">
        <v>5</v>
      </c>
      <c r="T1795" s="126" t="s">
        <v>225</v>
      </c>
      <c r="U1795"/>
      <c r="V1795" s="153" t="str">
        <f t="array" ref="V1795">INDEX(xlRTCLNAME,MATCH(1,(xlRTCLENDU=1)*(xlRTCLEQCL=$D1795),0))</f>
        <v>NG_FA</v>
      </c>
      <c r="W1795" s="153" t="str">
        <f t="array" ref="W1795">INDEX(xlRTCLNAME,MATCH(1,(xlRTCLENDU=2)*(xlRTCLEQCL=$F1795),0))</f>
        <v>CENT_AIR</v>
      </c>
      <c r="X1795" s="153" t="str">
        <f t="array" ref="X1795">INDEX(xlRTTYNAME,MATCH(1,(xlRTTYENDU=1)*(xlRTTYEQCL=$D1795)*(xlRTEQTYPE=$E1795),0))</f>
        <v>NG_FA4</v>
      </c>
      <c r="Y1795" s="153" t="str">
        <f t="array" ref="Y1795">INDEX(xlRTTYNAME,MATCH(1,(xlRTTYENDU=2)*(xlRTTYEQCL=$F1795)*(xlRTEQTYPE=$G1795),0))</f>
        <v>CENT_AIR4</v>
      </c>
    </row>
    <row r="1796" spans="1:25" s="157" customFormat="1" ht="14.25" customHeight="1" x14ac:dyDescent="0.2">
      <c r="A1796"/>
      <c r="B1796" s="49">
        <v>2</v>
      </c>
      <c r="C1796" s="49">
        <v>2</v>
      </c>
      <c r="D1796" s="49">
        <v>3</v>
      </c>
      <c r="E1796" s="49">
        <v>9</v>
      </c>
      <c r="F1796" s="49">
        <v>2</v>
      </c>
      <c r="G1796" s="49">
        <v>8</v>
      </c>
      <c r="H1796" s="49">
        <v>2023</v>
      </c>
      <c r="I1796" s="49">
        <v>2032</v>
      </c>
      <c r="J1796" s="50">
        <v>1.0847</v>
      </c>
      <c r="K1796" s="50">
        <v>1.0357000000000001</v>
      </c>
      <c r="L1796" s="50">
        <v>0.56759999999999999</v>
      </c>
      <c r="M1796" s="50">
        <v>1.1416999999999999</v>
      </c>
      <c r="N1796" s="50">
        <v>1.1162000000000001</v>
      </c>
      <c r="O1796" s="50">
        <v>1.0538000000000001</v>
      </c>
      <c r="P1796" s="49">
        <v>3572</v>
      </c>
      <c r="Q1796" s="51">
        <f t="array" ref="Q1796">SUM(IF(($S1796&gt;=4)*($C1796='TaxCred&amp;Subs'!$D$123:$D$127)*($H1796='TaxCred&amp;Subs'!$C$123:$C$127)*($H1796&lt;='TaxCred&amp;Subs'!$C$129),'TaxCred&amp;Subs'!$E$123:$E$127,0))</f>
        <v>500</v>
      </c>
      <c r="R1796" s="171">
        <v>0</v>
      </c>
      <c r="S1796" s="49">
        <v>5</v>
      </c>
      <c r="T1796" s="49" t="s">
        <v>225</v>
      </c>
      <c r="U1796"/>
      <c r="V1796" s="153" t="str">
        <f t="array" ref="V1796">INDEX(xlRTCLNAME,MATCH(1,(xlRTCLENDU=1)*(xlRTCLEQCL=$D1796),0))</f>
        <v>NG_FA</v>
      </c>
      <c r="W1796" s="153" t="str">
        <f t="array" ref="W1796">INDEX(xlRTCLNAME,MATCH(1,(xlRTCLENDU=2)*(xlRTCLEQCL=$F1796),0))</f>
        <v>CENT_AIR</v>
      </c>
      <c r="X1796" s="153" t="str">
        <f t="array" ref="X1796">INDEX(xlRTTYNAME,MATCH(1,(xlRTTYENDU=1)*(xlRTTYEQCL=$D1796)*(xlRTEQTYPE=$E1796),0))</f>
        <v>NG_FA4</v>
      </c>
      <c r="Y1796" s="153" t="str">
        <f t="array" ref="Y1796">INDEX(xlRTTYNAME,MATCH(1,(xlRTTYENDU=2)*(xlRTTYEQCL=$F1796)*(xlRTEQTYPE=$G1796),0))</f>
        <v>CENT_AIR4</v>
      </c>
    </row>
    <row r="1797" spans="1:25" s="157" customFormat="1" ht="14.25" customHeight="1" x14ac:dyDescent="0.2">
      <c r="A1797"/>
      <c r="B1797" s="49">
        <v>2</v>
      </c>
      <c r="C1797" s="49">
        <v>2</v>
      </c>
      <c r="D1797" s="49">
        <v>3</v>
      </c>
      <c r="E1797" s="49">
        <v>9</v>
      </c>
      <c r="F1797" s="49">
        <v>2</v>
      </c>
      <c r="G1797" s="49">
        <v>8</v>
      </c>
      <c r="H1797" s="49">
        <v>2033</v>
      </c>
      <c r="I1797" s="49">
        <v>2050</v>
      </c>
      <c r="J1797" s="50">
        <v>1.0847</v>
      </c>
      <c r="K1797" s="50">
        <v>1.0357000000000001</v>
      </c>
      <c r="L1797" s="50">
        <v>0.56759999999999999</v>
      </c>
      <c r="M1797" s="50">
        <v>1.1416999999999999</v>
      </c>
      <c r="N1797" s="50">
        <v>1.1162000000000001</v>
      </c>
      <c r="O1797" s="50">
        <v>1.0538000000000001</v>
      </c>
      <c r="P1797" s="49">
        <v>3572</v>
      </c>
      <c r="Q1797" s="51">
        <f t="array" ref="Q1797">SUM(IF(($S1797&gt;=4)*($C1797='TaxCred&amp;Subs'!$D$123:$D$127)*($H1797='TaxCred&amp;Subs'!$C$123:$C$127)*($H1797&lt;='TaxCred&amp;Subs'!$C$129),'TaxCred&amp;Subs'!$E$123:$E$127,0))</f>
        <v>0</v>
      </c>
      <c r="R1797" s="171">
        <v>0</v>
      </c>
      <c r="S1797" s="49">
        <v>5</v>
      </c>
      <c r="T1797" s="49" t="s">
        <v>225</v>
      </c>
      <c r="U1797"/>
      <c r="V1797" s="153" t="str">
        <f t="array" ref="V1797">INDEX(xlRTCLNAME,MATCH(1,(xlRTCLENDU=1)*(xlRTCLEQCL=$D1797),0))</f>
        <v>NG_FA</v>
      </c>
      <c r="W1797" s="153" t="str">
        <f t="array" ref="W1797">INDEX(xlRTCLNAME,MATCH(1,(xlRTCLENDU=2)*(xlRTCLEQCL=$F1797),0))</f>
        <v>CENT_AIR</v>
      </c>
      <c r="X1797" s="153" t="str">
        <f t="array" ref="X1797">INDEX(xlRTTYNAME,MATCH(1,(xlRTTYENDU=1)*(xlRTTYEQCL=$D1797)*(xlRTEQTYPE=$E1797),0))</f>
        <v>NG_FA4</v>
      </c>
      <c r="Y1797" s="153" t="str">
        <f t="array" ref="Y1797">INDEX(xlRTTYNAME,MATCH(1,(xlRTTYENDU=2)*(xlRTTYEQCL=$F1797)*(xlRTEQTYPE=$G1797),0))</f>
        <v>CENT_AIR4</v>
      </c>
    </row>
    <row r="1798" spans="1:25" s="157" customFormat="1" ht="14.25" customHeight="1" x14ac:dyDescent="0.2">
      <c r="A1798"/>
      <c r="B1798" s="126">
        <v>3</v>
      </c>
      <c r="C1798" s="126">
        <v>2</v>
      </c>
      <c r="D1798" s="126">
        <v>3</v>
      </c>
      <c r="E1798" s="126">
        <v>9</v>
      </c>
      <c r="F1798" s="126">
        <v>2</v>
      </c>
      <c r="G1798" s="126">
        <v>8</v>
      </c>
      <c r="H1798" s="126">
        <v>2016</v>
      </c>
      <c r="I1798" s="159">
        <v>2022</v>
      </c>
      <c r="J1798" s="127">
        <v>1.0984</v>
      </c>
      <c r="K1798" s="127">
        <v>1.0345</v>
      </c>
      <c r="L1798" s="127">
        <v>0.5595</v>
      </c>
      <c r="M1798" s="127">
        <v>1.0310999999999999</v>
      </c>
      <c r="N1798" s="127">
        <v>1.0399</v>
      </c>
      <c r="O1798" s="127">
        <v>1.0538000000000001</v>
      </c>
      <c r="P1798" s="126">
        <v>3206</v>
      </c>
      <c r="Q1798" s="128">
        <f t="array" ref="Q1798">SUM(IF(($S1798&gt;=4)*($C1798='TaxCred&amp;Subs'!$D$123:$D$127)*($H1798='TaxCred&amp;Subs'!$C$123:$C$127)*($H1798&lt;='TaxCred&amp;Subs'!$C$129),'TaxCred&amp;Subs'!$E$123:$E$127,0))</f>
        <v>0</v>
      </c>
      <c r="R1798" s="174">
        <v>0</v>
      </c>
      <c r="S1798" s="126">
        <v>5</v>
      </c>
      <c r="T1798" s="126" t="s">
        <v>225</v>
      </c>
      <c r="U1798"/>
      <c r="V1798" s="153" t="str">
        <f t="array" ref="V1798">INDEX(xlRTCLNAME,MATCH(1,(xlRTCLENDU=1)*(xlRTCLEQCL=$D1798),0))</f>
        <v>NG_FA</v>
      </c>
      <c r="W1798" s="153" t="str">
        <f t="array" ref="W1798">INDEX(xlRTCLNAME,MATCH(1,(xlRTCLENDU=2)*(xlRTCLEQCL=$F1798),0))</f>
        <v>CENT_AIR</v>
      </c>
      <c r="X1798" s="153" t="str">
        <f t="array" ref="X1798">INDEX(xlRTTYNAME,MATCH(1,(xlRTTYENDU=1)*(xlRTTYEQCL=$D1798)*(xlRTEQTYPE=$E1798),0))</f>
        <v>NG_FA4</v>
      </c>
      <c r="Y1798" s="153" t="str">
        <f t="array" ref="Y1798">INDEX(xlRTTYNAME,MATCH(1,(xlRTTYENDU=2)*(xlRTTYEQCL=$F1798)*(xlRTEQTYPE=$G1798),0))</f>
        <v>CENT_AIR4</v>
      </c>
    </row>
    <row r="1799" spans="1:25" s="157" customFormat="1" ht="14.25" customHeight="1" x14ac:dyDescent="0.2">
      <c r="A1799"/>
      <c r="B1799" s="49">
        <v>3</v>
      </c>
      <c r="C1799" s="49">
        <v>2</v>
      </c>
      <c r="D1799" s="49">
        <v>3</v>
      </c>
      <c r="E1799" s="49">
        <v>9</v>
      </c>
      <c r="F1799" s="49">
        <v>2</v>
      </c>
      <c r="G1799" s="49">
        <v>8</v>
      </c>
      <c r="H1799" s="49">
        <v>2023</v>
      </c>
      <c r="I1799" s="49">
        <v>2032</v>
      </c>
      <c r="J1799" s="50">
        <v>1.0984</v>
      </c>
      <c r="K1799" s="50">
        <v>1.0345</v>
      </c>
      <c r="L1799" s="50">
        <v>0.5595</v>
      </c>
      <c r="M1799" s="50">
        <v>1.0310999999999999</v>
      </c>
      <c r="N1799" s="50">
        <v>1.0399</v>
      </c>
      <c r="O1799" s="50">
        <v>1.0538000000000001</v>
      </c>
      <c r="P1799" s="49">
        <v>3206</v>
      </c>
      <c r="Q1799" s="51">
        <f t="array" ref="Q1799">SUM(IF(($S1799&gt;=4)*($C1799='TaxCred&amp;Subs'!$D$123:$D$127)*($H1799='TaxCred&amp;Subs'!$C$123:$C$127)*($H1799&lt;='TaxCred&amp;Subs'!$C$129),'TaxCred&amp;Subs'!$E$123:$E$127,0))</f>
        <v>500</v>
      </c>
      <c r="R1799" s="171">
        <v>0</v>
      </c>
      <c r="S1799" s="49">
        <v>5</v>
      </c>
      <c r="T1799" s="49" t="s">
        <v>225</v>
      </c>
      <c r="U1799"/>
      <c r="V1799" s="153" t="str">
        <f t="array" ref="V1799">INDEX(xlRTCLNAME,MATCH(1,(xlRTCLENDU=1)*(xlRTCLEQCL=$D1799),0))</f>
        <v>NG_FA</v>
      </c>
      <c r="W1799" s="153" t="str">
        <f t="array" ref="W1799">INDEX(xlRTCLNAME,MATCH(1,(xlRTCLENDU=2)*(xlRTCLEQCL=$F1799),0))</f>
        <v>CENT_AIR</v>
      </c>
      <c r="X1799" s="153" t="str">
        <f t="array" ref="X1799">INDEX(xlRTTYNAME,MATCH(1,(xlRTTYENDU=1)*(xlRTTYEQCL=$D1799)*(xlRTEQTYPE=$E1799),0))</f>
        <v>NG_FA4</v>
      </c>
      <c r="Y1799" s="153" t="str">
        <f t="array" ref="Y1799">INDEX(xlRTTYNAME,MATCH(1,(xlRTTYENDU=2)*(xlRTTYEQCL=$F1799)*(xlRTEQTYPE=$G1799),0))</f>
        <v>CENT_AIR4</v>
      </c>
    </row>
    <row r="1800" spans="1:25" s="157" customFormat="1" ht="14.25" customHeight="1" x14ac:dyDescent="0.2">
      <c r="A1800"/>
      <c r="B1800" s="49">
        <v>3</v>
      </c>
      <c r="C1800" s="49">
        <v>2</v>
      </c>
      <c r="D1800" s="49">
        <v>3</v>
      </c>
      <c r="E1800" s="49">
        <v>9</v>
      </c>
      <c r="F1800" s="49">
        <v>2</v>
      </c>
      <c r="G1800" s="49">
        <v>8</v>
      </c>
      <c r="H1800" s="49">
        <v>2033</v>
      </c>
      <c r="I1800" s="49">
        <v>2050</v>
      </c>
      <c r="J1800" s="50">
        <v>1.0984</v>
      </c>
      <c r="K1800" s="50">
        <v>1.0345</v>
      </c>
      <c r="L1800" s="50">
        <v>0.5595</v>
      </c>
      <c r="M1800" s="50">
        <v>1.0310999999999999</v>
      </c>
      <c r="N1800" s="50">
        <v>1.0399</v>
      </c>
      <c r="O1800" s="50">
        <v>1.0538000000000001</v>
      </c>
      <c r="P1800" s="49">
        <v>3206</v>
      </c>
      <c r="Q1800" s="51">
        <f t="array" ref="Q1800">SUM(IF(($S1800&gt;=4)*($C1800='TaxCred&amp;Subs'!$D$123:$D$127)*($H1800='TaxCred&amp;Subs'!$C$123:$C$127)*($H1800&lt;='TaxCred&amp;Subs'!$C$129),'TaxCred&amp;Subs'!$E$123:$E$127,0))</f>
        <v>0</v>
      </c>
      <c r="R1800" s="171">
        <v>0</v>
      </c>
      <c r="S1800" s="49">
        <v>5</v>
      </c>
      <c r="T1800" s="49" t="s">
        <v>225</v>
      </c>
      <c r="U1800"/>
      <c r="V1800" s="153" t="str">
        <f t="array" ref="V1800">INDEX(xlRTCLNAME,MATCH(1,(xlRTCLENDU=1)*(xlRTCLEQCL=$D1800),0))</f>
        <v>NG_FA</v>
      </c>
      <c r="W1800" s="153" t="str">
        <f t="array" ref="W1800">INDEX(xlRTCLNAME,MATCH(1,(xlRTCLENDU=2)*(xlRTCLEQCL=$F1800),0))</f>
        <v>CENT_AIR</v>
      </c>
      <c r="X1800" s="153" t="str">
        <f t="array" ref="X1800">INDEX(xlRTTYNAME,MATCH(1,(xlRTTYENDU=1)*(xlRTTYEQCL=$D1800)*(xlRTEQTYPE=$E1800),0))</f>
        <v>NG_FA4</v>
      </c>
      <c r="Y1800" s="153" t="str">
        <f t="array" ref="Y1800">INDEX(xlRTTYNAME,MATCH(1,(xlRTTYENDU=2)*(xlRTTYEQCL=$F1800)*(xlRTEQTYPE=$G1800),0))</f>
        <v>CENT_AIR4</v>
      </c>
    </row>
    <row r="1801" spans="1:25" s="157" customFormat="1" ht="14.25" customHeight="1" x14ac:dyDescent="0.2">
      <c r="A1801"/>
      <c r="B1801" s="126">
        <v>4</v>
      </c>
      <c r="C1801" s="126">
        <v>2</v>
      </c>
      <c r="D1801" s="126">
        <v>3</v>
      </c>
      <c r="E1801" s="126">
        <v>9</v>
      </c>
      <c r="F1801" s="126">
        <v>2</v>
      </c>
      <c r="G1801" s="126">
        <v>8</v>
      </c>
      <c r="H1801" s="126">
        <v>2016</v>
      </c>
      <c r="I1801" s="159">
        <v>2022</v>
      </c>
      <c r="J1801" s="127">
        <v>1.1000000000000001</v>
      </c>
      <c r="K1801" s="127">
        <v>1.0435000000000001</v>
      </c>
      <c r="L1801" s="127">
        <v>0.626</v>
      </c>
      <c r="M1801" s="127">
        <v>1.1499999999999999</v>
      </c>
      <c r="N1801" s="127">
        <v>1.1696</v>
      </c>
      <c r="O1801" s="127">
        <v>1.0538000000000001</v>
      </c>
      <c r="P1801" s="126">
        <v>2777</v>
      </c>
      <c r="Q1801" s="128">
        <f t="array" ref="Q1801">SUM(IF(($S1801&gt;=4)*($C1801='TaxCred&amp;Subs'!$D$123:$D$127)*($H1801='TaxCred&amp;Subs'!$C$123:$C$127)*($H1801&lt;='TaxCred&amp;Subs'!$C$129),'TaxCred&amp;Subs'!$E$123:$E$127,0))</f>
        <v>0</v>
      </c>
      <c r="R1801" s="174">
        <v>0</v>
      </c>
      <c r="S1801" s="126">
        <v>5</v>
      </c>
      <c r="T1801" s="126" t="s">
        <v>225</v>
      </c>
      <c r="U1801"/>
      <c r="V1801" s="153" t="str">
        <f t="array" ref="V1801">INDEX(xlRTCLNAME,MATCH(1,(xlRTCLENDU=1)*(xlRTCLEQCL=$D1801),0))</f>
        <v>NG_FA</v>
      </c>
      <c r="W1801" s="153" t="str">
        <f t="array" ref="W1801">INDEX(xlRTCLNAME,MATCH(1,(xlRTCLENDU=2)*(xlRTCLEQCL=$F1801),0))</f>
        <v>CENT_AIR</v>
      </c>
      <c r="X1801" s="153" t="str">
        <f t="array" ref="X1801">INDEX(xlRTTYNAME,MATCH(1,(xlRTTYENDU=1)*(xlRTTYEQCL=$D1801)*(xlRTEQTYPE=$E1801),0))</f>
        <v>NG_FA4</v>
      </c>
      <c r="Y1801" s="153" t="str">
        <f t="array" ref="Y1801">INDEX(xlRTTYNAME,MATCH(1,(xlRTTYENDU=2)*(xlRTTYEQCL=$F1801)*(xlRTEQTYPE=$G1801),0))</f>
        <v>CENT_AIR4</v>
      </c>
    </row>
    <row r="1802" spans="1:25" s="157" customFormat="1" ht="14.25" customHeight="1" x14ac:dyDescent="0.2">
      <c r="A1802"/>
      <c r="B1802" s="49">
        <v>4</v>
      </c>
      <c r="C1802" s="49">
        <v>2</v>
      </c>
      <c r="D1802" s="49">
        <v>3</v>
      </c>
      <c r="E1802" s="49">
        <v>9</v>
      </c>
      <c r="F1802" s="49">
        <v>2</v>
      </c>
      <c r="G1802" s="49">
        <v>8</v>
      </c>
      <c r="H1802" s="49">
        <v>2023</v>
      </c>
      <c r="I1802" s="49">
        <v>2032</v>
      </c>
      <c r="J1802" s="50">
        <v>1.1000000000000001</v>
      </c>
      <c r="K1802" s="50">
        <v>1.0435000000000001</v>
      </c>
      <c r="L1802" s="50">
        <v>0.626</v>
      </c>
      <c r="M1802" s="50">
        <v>1.1499999999999999</v>
      </c>
      <c r="N1802" s="50">
        <v>1.1696</v>
      </c>
      <c r="O1802" s="50">
        <v>1.0538000000000001</v>
      </c>
      <c r="P1802" s="49">
        <v>2777</v>
      </c>
      <c r="Q1802" s="51">
        <f t="array" ref="Q1802">SUM(IF(($S1802&gt;=4)*($C1802='TaxCred&amp;Subs'!$D$123:$D$127)*($H1802='TaxCred&amp;Subs'!$C$123:$C$127)*($H1802&lt;='TaxCred&amp;Subs'!$C$129),'TaxCred&amp;Subs'!$E$123:$E$127,0))</f>
        <v>500</v>
      </c>
      <c r="R1802" s="171">
        <v>0</v>
      </c>
      <c r="S1802" s="49">
        <v>5</v>
      </c>
      <c r="T1802" s="49" t="s">
        <v>225</v>
      </c>
      <c r="U1802"/>
      <c r="V1802" s="153" t="str">
        <f t="array" ref="V1802">INDEX(xlRTCLNAME,MATCH(1,(xlRTCLENDU=1)*(xlRTCLEQCL=$D1802),0))</f>
        <v>NG_FA</v>
      </c>
      <c r="W1802" s="153" t="str">
        <f t="array" ref="W1802">INDEX(xlRTCLNAME,MATCH(1,(xlRTCLENDU=2)*(xlRTCLEQCL=$F1802),0))</f>
        <v>CENT_AIR</v>
      </c>
      <c r="X1802" s="153" t="str">
        <f t="array" ref="X1802">INDEX(xlRTTYNAME,MATCH(1,(xlRTTYENDU=1)*(xlRTTYEQCL=$D1802)*(xlRTEQTYPE=$E1802),0))</f>
        <v>NG_FA4</v>
      </c>
      <c r="Y1802" s="153" t="str">
        <f t="array" ref="Y1802">INDEX(xlRTTYNAME,MATCH(1,(xlRTTYENDU=2)*(xlRTTYEQCL=$F1802)*(xlRTEQTYPE=$G1802),0))</f>
        <v>CENT_AIR4</v>
      </c>
    </row>
    <row r="1803" spans="1:25" s="157" customFormat="1" ht="14.25" customHeight="1" x14ac:dyDescent="0.2">
      <c r="A1803"/>
      <c r="B1803" s="49">
        <v>4</v>
      </c>
      <c r="C1803" s="49">
        <v>2</v>
      </c>
      <c r="D1803" s="49">
        <v>3</v>
      </c>
      <c r="E1803" s="49">
        <v>9</v>
      </c>
      <c r="F1803" s="49">
        <v>2</v>
      </c>
      <c r="G1803" s="49">
        <v>8</v>
      </c>
      <c r="H1803" s="49">
        <v>2033</v>
      </c>
      <c r="I1803" s="49">
        <v>2050</v>
      </c>
      <c r="J1803" s="50">
        <v>1.1000000000000001</v>
      </c>
      <c r="K1803" s="50">
        <v>1.0435000000000001</v>
      </c>
      <c r="L1803" s="50">
        <v>0.626</v>
      </c>
      <c r="M1803" s="50">
        <v>1.1499999999999999</v>
      </c>
      <c r="N1803" s="50">
        <v>1.1696</v>
      </c>
      <c r="O1803" s="50">
        <v>1.0538000000000001</v>
      </c>
      <c r="P1803" s="49">
        <v>2777</v>
      </c>
      <c r="Q1803" s="51">
        <f t="array" ref="Q1803">SUM(IF(($S1803&gt;=4)*($C1803='TaxCred&amp;Subs'!$D$123:$D$127)*($H1803='TaxCred&amp;Subs'!$C$123:$C$127)*($H1803&lt;='TaxCred&amp;Subs'!$C$129),'TaxCred&amp;Subs'!$E$123:$E$127,0))</f>
        <v>0</v>
      </c>
      <c r="R1803" s="171">
        <v>0</v>
      </c>
      <c r="S1803" s="49">
        <v>5</v>
      </c>
      <c r="T1803" s="49" t="s">
        <v>225</v>
      </c>
      <c r="U1803"/>
      <c r="V1803" s="153" t="str">
        <f t="array" ref="V1803">INDEX(xlRTCLNAME,MATCH(1,(xlRTCLENDU=1)*(xlRTCLEQCL=$D1803),0))</f>
        <v>NG_FA</v>
      </c>
      <c r="W1803" s="153" t="str">
        <f t="array" ref="W1803">INDEX(xlRTCLNAME,MATCH(1,(xlRTCLENDU=2)*(xlRTCLEQCL=$F1803),0))</f>
        <v>CENT_AIR</v>
      </c>
      <c r="X1803" s="153" t="str">
        <f t="array" ref="X1803">INDEX(xlRTTYNAME,MATCH(1,(xlRTTYENDU=1)*(xlRTTYEQCL=$D1803)*(xlRTEQTYPE=$E1803),0))</f>
        <v>NG_FA4</v>
      </c>
      <c r="Y1803" s="153" t="str">
        <f t="array" ref="Y1803">INDEX(xlRTTYNAME,MATCH(1,(xlRTTYENDU=2)*(xlRTTYEQCL=$F1803)*(xlRTEQTYPE=$G1803),0))</f>
        <v>CENT_AIR4</v>
      </c>
    </row>
    <row r="1804" spans="1:25" s="157" customFormat="1" ht="14.25" customHeight="1" x14ac:dyDescent="0.2">
      <c r="A1804"/>
      <c r="B1804" s="126">
        <v>5</v>
      </c>
      <c r="C1804" s="126">
        <v>2</v>
      </c>
      <c r="D1804" s="126">
        <v>3</v>
      </c>
      <c r="E1804" s="126">
        <v>9</v>
      </c>
      <c r="F1804" s="126">
        <v>2</v>
      </c>
      <c r="G1804" s="126">
        <v>8</v>
      </c>
      <c r="H1804" s="126">
        <v>2016</v>
      </c>
      <c r="I1804" s="159">
        <v>2022</v>
      </c>
      <c r="J1804" s="127">
        <v>1.1200000000000001</v>
      </c>
      <c r="K1804" s="127">
        <v>1.0391999999999999</v>
      </c>
      <c r="L1804" s="127">
        <v>0.44379999999999997</v>
      </c>
      <c r="M1804" s="127">
        <v>1.0314000000000001</v>
      </c>
      <c r="N1804" s="127">
        <v>1.2750999999999999</v>
      </c>
      <c r="O1804" s="127">
        <v>1.0538000000000001</v>
      </c>
      <c r="P1804" s="126">
        <v>2401</v>
      </c>
      <c r="Q1804" s="128">
        <f t="array" ref="Q1804">SUM(IF(($S1804&gt;=4)*($C1804='TaxCred&amp;Subs'!$D$123:$D$127)*($H1804='TaxCred&amp;Subs'!$C$123:$C$127)*($H1804&lt;='TaxCred&amp;Subs'!$C$129),'TaxCred&amp;Subs'!$E$123:$E$127,0))</f>
        <v>0</v>
      </c>
      <c r="R1804" s="174">
        <v>0</v>
      </c>
      <c r="S1804" s="126">
        <v>5</v>
      </c>
      <c r="T1804" s="126" t="s">
        <v>225</v>
      </c>
      <c r="U1804"/>
      <c r="V1804" s="153" t="str">
        <f t="array" ref="V1804">INDEX(xlRTCLNAME,MATCH(1,(xlRTCLENDU=1)*(xlRTCLEQCL=$D1804),0))</f>
        <v>NG_FA</v>
      </c>
      <c r="W1804" s="153" t="str">
        <f t="array" ref="W1804">INDEX(xlRTCLNAME,MATCH(1,(xlRTCLENDU=2)*(xlRTCLEQCL=$F1804),0))</f>
        <v>CENT_AIR</v>
      </c>
      <c r="X1804" s="153" t="str">
        <f t="array" ref="X1804">INDEX(xlRTTYNAME,MATCH(1,(xlRTTYENDU=1)*(xlRTTYEQCL=$D1804)*(xlRTEQTYPE=$E1804),0))</f>
        <v>NG_FA4</v>
      </c>
      <c r="Y1804" s="153" t="str">
        <f t="array" ref="Y1804">INDEX(xlRTTYNAME,MATCH(1,(xlRTTYENDU=2)*(xlRTTYEQCL=$F1804)*(xlRTEQTYPE=$G1804),0))</f>
        <v>CENT_AIR4</v>
      </c>
    </row>
    <row r="1805" spans="1:25" s="157" customFormat="1" ht="14.25" customHeight="1" x14ac:dyDescent="0.2">
      <c r="A1805"/>
      <c r="B1805" s="49">
        <v>5</v>
      </c>
      <c r="C1805" s="49">
        <v>2</v>
      </c>
      <c r="D1805" s="49">
        <v>3</v>
      </c>
      <c r="E1805" s="49">
        <v>9</v>
      </c>
      <c r="F1805" s="49">
        <v>2</v>
      </c>
      <c r="G1805" s="49">
        <v>8</v>
      </c>
      <c r="H1805" s="49">
        <v>2023</v>
      </c>
      <c r="I1805" s="49">
        <v>2032</v>
      </c>
      <c r="J1805" s="50">
        <v>1.1200000000000001</v>
      </c>
      <c r="K1805" s="50">
        <v>1.0391999999999999</v>
      </c>
      <c r="L1805" s="50">
        <v>0.44379999999999997</v>
      </c>
      <c r="M1805" s="50">
        <v>1.0314000000000001</v>
      </c>
      <c r="N1805" s="50">
        <v>1.2750999999999999</v>
      </c>
      <c r="O1805" s="50">
        <v>1.0538000000000001</v>
      </c>
      <c r="P1805" s="49">
        <v>2401</v>
      </c>
      <c r="Q1805" s="51">
        <f t="array" ref="Q1805">SUM(IF(($S1805&gt;=4)*($C1805='TaxCred&amp;Subs'!$D$123:$D$127)*($H1805='TaxCred&amp;Subs'!$C$123:$C$127)*($H1805&lt;='TaxCred&amp;Subs'!$C$129),'TaxCred&amp;Subs'!$E$123:$E$127,0))</f>
        <v>500</v>
      </c>
      <c r="R1805" s="171">
        <v>0</v>
      </c>
      <c r="S1805" s="49">
        <v>5</v>
      </c>
      <c r="T1805" s="49" t="s">
        <v>225</v>
      </c>
      <c r="U1805"/>
      <c r="V1805" s="153" t="str">
        <f t="array" ref="V1805">INDEX(xlRTCLNAME,MATCH(1,(xlRTCLENDU=1)*(xlRTCLEQCL=$D1805),0))</f>
        <v>NG_FA</v>
      </c>
      <c r="W1805" s="153" t="str">
        <f t="array" ref="W1805">INDEX(xlRTCLNAME,MATCH(1,(xlRTCLENDU=2)*(xlRTCLEQCL=$F1805),0))</f>
        <v>CENT_AIR</v>
      </c>
      <c r="X1805" s="153" t="str">
        <f t="array" ref="X1805">INDEX(xlRTTYNAME,MATCH(1,(xlRTTYENDU=1)*(xlRTTYEQCL=$D1805)*(xlRTEQTYPE=$E1805),0))</f>
        <v>NG_FA4</v>
      </c>
      <c r="Y1805" s="153" t="str">
        <f t="array" ref="Y1805">INDEX(xlRTTYNAME,MATCH(1,(xlRTTYENDU=2)*(xlRTTYEQCL=$F1805)*(xlRTEQTYPE=$G1805),0))</f>
        <v>CENT_AIR4</v>
      </c>
    </row>
    <row r="1806" spans="1:25" s="157" customFormat="1" ht="14.25" customHeight="1" x14ac:dyDescent="0.2">
      <c r="A1806"/>
      <c r="B1806" s="49">
        <v>5</v>
      </c>
      <c r="C1806" s="49">
        <v>2</v>
      </c>
      <c r="D1806" s="49">
        <v>3</v>
      </c>
      <c r="E1806" s="49">
        <v>9</v>
      </c>
      <c r="F1806" s="49">
        <v>2</v>
      </c>
      <c r="G1806" s="49">
        <v>8</v>
      </c>
      <c r="H1806" s="49">
        <v>2033</v>
      </c>
      <c r="I1806" s="49">
        <v>2050</v>
      </c>
      <c r="J1806" s="50">
        <v>1.1200000000000001</v>
      </c>
      <c r="K1806" s="50">
        <v>1.0391999999999999</v>
      </c>
      <c r="L1806" s="50">
        <v>0.44379999999999997</v>
      </c>
      <c r="M1806" s="50">
        <v>1.0314000000000001</v>
      </c>
      <c r="N1806" s="50">
        <v>1.2750999999999999</v>
      </c>
      <c r="O1806" s="50">
        <v>1.0538000000000001</v>
      </c>
      <c r="P1806" s="49">
        <v>2401</v>
      </c>
      <c r="Q1806" s="51">
        <f t="array" ref="Q1806">SUM(IF(($S1806&gt;=4)*($C1806='TaxCred&amp;Subs'!$D$123:$D$127)*($H1806='TaxCred&amp;Subs'!$C$123:$C$127)*($H1806&lt;='TaxCred&amp;Subs'!$C$129),'TaxCred&amp;Subs'!$E$123:$E$127,0))</f>
        <v>0</v>
      </c>
      <c r="R1806" s="171">
        <v>0</v>
      </c>
      <c r="S1806" s="49">
        <v>5</v>
      </c>
      <c r="T1806" s="49" t="s">
        <v>225</v>
      </c>
      <c r="U1806"/>
      <c r="V1806" s="153" t="str">
        <f t="array" ref="V1806">INDEX(xlRTCLNAME,MATCH(1,(xlRTCLENDU=1)*(xlRTCLEQCL=$D1806),0))</f>
        <v>NG_FA</v>
      </c>
      <c r="W1806" s="153" t="str">
        <f t="array" ref="W1806">INDEX(xlRTCLNAME,MATCH(1,(xlRTCLENDU=2)*(xlRTCLEQCL=$F1806),0))</f>
        <v>CENT_AIR</v>
      </c>
      <c r="X1806" s="153" t="str">
        <f t="array" ref="X1806">INDEX(xlRTTYNAME,MATCH(1,(xlRTTYENDU=1)*(xlRTTYEQCL=$D1806)*(xlRTEQTYPE=$E1806),0))</f>
        <v>NG_FA4</v>
      </c>
      <c r="Y1806" s="153" t="str">
        <f t="array" ref="Y1806">INDEX(xlRTTYNAME,MATCH(1,(xlRTTYENDU=2)*(xlRTTYEQCL=$F1806)*(xlRTEQTYPE=$G1806),0))</f>
        <v>CENT_AIR4</v>
      </c>
    </row>
    <row r="1807" spans="1:25" s="157" customFormat="1" ht="14.25" customHeight="1" x14ac:dyDescent="0.2">
      <c r="A1807"/>
      <c r="B1807" s="126">
        <v>6</v>
      </c>
      <c r="C1807" s="126">
        <v>2</v>
      </c>
      <c r="D1807" s="126">
        <v>3</v>
      </c>
      <c r="E1807" s="126">
        <v>9</v>
      </c>
      <c r="F1807" s="126">
        <v>2</v>
      </c>
      <c r="G1807" s="126">
        <v>8</v>
      </c>
      <c r="H1807" s="126">
        <v>2016</v>
      </c>
      <c r="I1807" s="159">
        <v>2022</v>
      </c>
      <c r="J1807" s="127">
        <v>1.1200000000000001</v>
      </c>
      <c r="K1807" s="127">
        <v>1.03</v>
      </c>
      <c r="L1807" s="127">
        <v>0.44379999999999997</v>
      </c>
      <c r="M1807" s="127">
        <v>1.0546</v>
      </c>
      <c r="N1807" s="127">
        <v>1.3324</v>
      </c>
      <c r="O1807" s="127">
        <v>1.0538000000000001</v>
      </c>
      <c r="P1807" s="126">
        <v>2657</v>
      </c>
      <c r="Q1807" s="128">
        <f t="array" ref="Q1807">SUM(IF(($S1807&gt;=4)*($C1807='TaxCred&amp;Subs'!$D$123:$D$127)*($H1807='TaxCred&amp;Subs'!$C$123:$C$127)*($H1807&lt;='TaxCred&amp;Subs'!$C$129),'TaxCred&amp;Subs'!$E$123:$E$127,0))</f>
        <v>0</v>
      </c>
      <c r="R1807" s="174">
        <v>0</v>
      </c>
      <c r="S1807" s="126">
        <v>5</v>
      </c>
      <c r="T1807" s="126" t="s">
        <v>225</v>
      </c>
      <c r="U1807"/>
      <c r="V1807" s="153" t="str">
        <f t="array" ref="V1807">INDEX(xlRTCLNAME,MATCH(1,(xlRTCLENDU=1)*(xlRTCLEQCL=$D1807),0))</f>
        <v>NG_FA</v>
      </c>
      <c r="W1807" s="153" t="str">
        <f t="array" ref="W1807">INDEX(xlRTCLNAME,MATCH(1,(xlRTCLENDU=2)*(xlRTCLEQCL=$F1807),0))</f>
        <v>CENT_AIR</v>
      </c>
      <c r="X1807" s="153" t="str">
        <f t="array" ref="X1807">INDEX(xlRTTYNAME,MATCH(1,(xlRTTYENDU=1)*(xlRTTYEQCL=$D1807)*(xlRTEQTYPE=$E1807),0))</f>
        <v>NG_FA4</v>
      </c>
      <c r="Y1807" s="153" t="str">
        <f t="array" ref="Y1807">INDEX(xlRTTYNAME,MATCH(1,(xlRTTYENDU=2)*(xlRTTYEQCL=$F1807)*(xlRTEQTYPE=$G1807),0))</f>
        <v>CENT_AIR4</v>
      </c>
    </row>
    <row r="1808" spans="1:25" s="157" customFormat="1" ht="14.25" customHeight="1" x14ac:dyDescent="0.2">
      <c r="A1808"/>
      <c r="B1808" s="49">
        <v>6</v>
      </c>
      <c r="C1808" s="49">
        <v>2</v>
      </c>
      <c r="D1808" s="49">
        <v>3</v>
      </c>
      <c r="E1808" s="49">
        <v>9</v>
      </c>
      <c r="F1808" s="49">
        <v>2</v>
      </c>
      <c r="G1808" s="49">
        <v>8</v>
      </c>
      <c r="H1808" s="49">
        <v>2023</v>
      </c>
      <c r="I1808" s="49">
        <v>2032</v>
      </c>
      <c r="J1808" s="50">
        <v>1.1200000000000001</v>
      </c>
      <c r="K1808" s="50">
        <v>1.03</v>
      </c>
      <c r="L1808" s="50">
        <v>0.44379999999999997</v>
      </c>
      <c r="M1808" s="50">
        <v>1.0546</v>
      </c>
      <c r="N1808" s="50">
        <v>1.3324</v>
      </c>
      <c r="O1808" s="50">
        <v>1.0538000000000001</v>
      </c>
      <c r="P1808" s="49">
        <v>2657</v>
      </c>
      <c r="Q1808" s="51">
        <f t="array" ref="Q1808">SUM(IF(($S1808&gt;=4)*($C1808='TaxCred&amp;Subs'!$D$123:$D$127)*($H1808='TaxCred&amp;Subs'!$C$123:$C$127)*($H1808&lt;='TaxCred&amp;Subs'!$C$129),'TaxCred&amp;Subs'!$E$123:$E$127,0))</f>
        <v>500</v>
      </c>
      <c r="R1808" s="171">
        <v>0</v>
      </c>
      <c r="S1808" s="49">
        <v>5</v>
      </c>
      <c r="T1808" s="49" t="s">
        <v>225</v>
      </c>
      <c r="U1808"/>
      <c r="V1808" s="153" t="str">
        <f t="array" ref="V1808">INDEX(xlRTCLNAME,MATCH(1,(xlRTCLENDU=1)*(xlRTCLEQCL=$D1808),0))</f>
        <v>NG_FA</v>
      </c>
      <c r="W1808" s="153" t="str">
        <f t="array" ref="W1808">INDEX(xlRTCLNAME,MATCH(1,(xlRTCLENDU=2)*(xlRTCLEQCL=$F1808),0))</f>
        <v>CENT_AIR</v>
      </c>
      <c r="X1808" s="153" t="str">
        <f t="array" ref="X1808">INDEX(xlRTTYNAME,MATCH(1,(xlRTTYENDU=1)*(xlRTTYEQCL=$D1808)*(xlRTEQTYPE=$E1808),0))</f>
        <v>NG_FA4</v>
      </c>
      <c r="Y1808" s="153" t="str">
        <f t="array" ref="Y1808">INDEX(xlRTTYNAME,MATCH(1,(xlRTTYENDU=2)*(xlRTTYEQCL=$F1808)*(xlRTEQTYPE=$G1808),0))</f>
        <v>CENT_AIR4</v>
      </c>
    </row>
    <row r="1809" spans="1:25" s="157" customFormat="1" ht="14.25" customHeight="1" x14ac:dyDescent="0.2">
      <c r="A1809"/>
      <c r="B1809" s="49">
        <v>6</v>
      </c>
      <c r="C1809" s="49">
        <v>2</v>
      </c>
      <c r="D1809" s="49">
        <v>3</v>
      </c>
      <c r="E1809" s="49">
        <v>9</v>
      </c>
      <c r="F1809" s="49">
        <v>2</v>
      </c>
      <c r="G1809" s="49">
        <v>8</v>
      </c>
      <c r="H1809" s="49">
        <v>2033</v>
      </c>
      <c r="I1809" s="49">
        <v>2050</v>
      </c>
      <c r="J1809" s="50">
        <v>1.1200000000000001</v>
      </c>
      <c r="K1809" s="50">
        <v>1.03</v>
      </c>
      <c r="L1809" s="50">
        <v>0.44379999999999997</v>
      </c>
      <c r="M1809" s="50">
        <v>1.0546</v>
      </c>
      <c r="N1809" s="50">
        <v>1.3324</v>
      </c>
      <c r="O1809" s="50">
        <v>1.0538000000000001</v>
      </c>
      <c r="P1809" s="49">
        <v>2657</v>
      </c>
      <c r="Q1809" s="51">
        <f t="array" ref="Q1809">SUM(IF(($S1809&gt;=4)*($C1809='TaxCred&amp;Subs'!$D$123:$D$127)*($H1809='TaxCred&amp;Subs'!$C$123:$C$127)*($H1809&lt;='TaxCred&amp;Subs'!$C$129),'TaxCred&amp;Subs'!$E$123:$E$127,0))</f>
        <v>0</v>
      </c>
      <c r="R1809" s="171">
        <v>0</v>
      </c>
      <c r="S1809" s="49">
        <v>5</v>
      </c>
      <c r="T1809" s="49" t="s">
        <v>225</v>
      </c>
      <c r="U1809"/>
      <c r="V1809" s="153" t="str">
        <f t="array" ref="V1809">INDEX(xlRTCLNAME,MATCH(1,(xlRTCLENDU=1)*(xlRTCLEQCL=$D1809),0))</f>
        <v>NG_FA</v>
      </c>
      <c r="W1809" s="153" t="str">
        <f t="array" ref="W1809">INDEX(xlRTCLNAME,MATCH(1,(xlRTCLENDU=2)*(xlRTCLEQCL=$F1809),0))</f>
        <v>CENT_AIR</v>
      </c>
      <c r="X1809" s="153" t="str">
        <f t="array" ref="X1809">INDEX(xlRTTYNAME,MATCH(1,(xlRTTYENDU=1)*(xlRTTYEQCL=$D1809)*(xlRTEQTYPE=$E1809),0))</f>
        <v>NG_FA4</v>
      </c>
      <c r="Y1809" s="153" t="str">
        <f t="array" ref="Y1809">INDEX(xlRTTYNAME,MATCH(1,(xlRTTYENDU=2)*(xlRTTYEQCL=$F1809)*(xlRTEQTYPE=$G1809),0))</f>
        <v>CENT_AIR4</v>
      </c>
    </row>
    <row r="1810" spans="1:25" s="157" customFormat="1" ht="14.25" customHeight="1" x14ac:dyDescent="0.2">
      <c r="A1810"/>
      <c r="B1810" s="126">
        <v>7</v>
      </c>
      <c r="C1810" s="126">
        <v>2</v>
      </c>
      <c r="D1810" s="126">
        <v>3</v>
      </c>
      <c r="E1810" s="126">
        <v>9</v>
      </c>
      <c r="F1810" s="126">
        <v>2</v>
      </c>
      <c r="G1810" s="126">
        <v>8</v>
      </c>
      <c r="H1810" s="126">
        <v>2016</v>
      </c>
      <c r="I1810" s="159">
        <v>2022</v>
      </c>
      <c r="J1810" s="127">
        <v>1.1200000000000001</v>
      </c>
      <c r="K1810" s="127">
        <v>1.0462</v>
      </c>
      <c r="L1810" s="127">
        <v>0.44379999999999997</v>
      </c>
      <c r="M1810" s="127">
        <v>1.0569</v>
      </c>
      <c r="N1810" s="127">
        <v>1.4438</v>
      </c>
      <c r="O1810" s="127">
        <v>1.0538000000000001</v>
      </c>
      <c r="P1810" s="126">
        <v>2321</v>
      </c>
      <c r="Q1810" s="128">
        <f t="array" ref="Q1810">SUM(IF(($S1810&gt;=4)*($C1810='TaxCred&amp;Subs'!$D$123:$D$127)*($H1810='TaxCred&amp;Subs'!$C$123:$C$127)*($H1810&lt;='TaxCred&amp;Subs'!$C$129),'TaxCred&amp;Subs'!$E$123:$E$127,0))</f>
        <v>0</v>
      </c>
      <c r="R1810" s="174">
        <v>0</v>
      </c>
      <c r="S1810" s="126">
        <v>5</v>
      </c>
      <c r="T1810" s="126" t="s">
        <v>225</v>
      </c>
      <c r="U1810"/>
      <c r="V1810" s="153" t="str">
        <f t="array" ref="V1810">INDEX(xlRTCLNAME,MATCH(1,(xlRTCLENDU=1)*(xlRTCLEQCL=$D1810),0))</f>
        <v>NG_FA</v>
      </c>
      <c r="W1810" s="153" t="str">
        <f t="array" ref="W1810">INDEX(xlRTCLNAME,MATCH(1,(xlRTCLENDU=2)*(xlRTCLEQCL=$F1810),0))</f>
        <v>CENT_AIR</v>
      </c>
      <c r="X1810" s="153" t="str">
        <f t="array" ref="X1810">INDEX(xlRTTYNAME,MATCH(1,(xlRTTYENDU=1)*(xlRTTYEQCL=$D1810)*(xlRTEQTYPE=$E1810),0))</f>
        <v>NG_FA4</v>
      </c>
      <c r="Y1810" s="153" t="str">
        <f t="array" ref="Y1810">INDEX(xlRTTYNAME,MATCH(1,(xlRTTYENDU=2)*(xlRTTYEQCL=$F1810)*(xlRTEQTYPE=$G1810),0))</f>
        <v>CENT_AIR4</v>
      </c>
    </row>
    <row r="1811" spans="1:25" s="157" customFormat="1" ht="14.25" customHeight="1" x14ac:dyDescent="0.2">
      <c r="A1811"/>
      <c r="B1811" s="49">
        <v>7</v>
      </c>
      <c r="C1811" s="49">
        <v>2</v>
      </c>
      <c r="D1811" s="49">
        <v>3</v>
      </c>
      <c r="E1811" s="49">
        <v>9</v>
      </c>
      <c r="F1811" s="49">
        <v>2</v>
      </c>
      <c r="G1811" s="49">
        <v>8</v>
      </c>
      <c r="H1811" s="49">
        <v>2023</v>
      </c>
      <c r="I1811" s="49">
        <v>2032</v>
      </c>
      <c r="J1811" s="50">
        <v>1.1200000000000001</v>
      </c>
      <c r="K1811" s="50">
        <v>1.0462</v>
      </c>
      <c r="L1811" s="50">
        <v>0.44379999999999997</v>
      </c>
      <c r="M1811" s="50">
        <v>1.0569</v>
      </c>
      <c r="N1811" s="50">
        <v>1.4438</v>
      </c>
      <c r="O1811" s="50">
        <v>1.0538000000000001</v>
      </c>
      <c r="P1811" s="49">
        <v>2321</v>
      </c>
      <c r="Q1811" s="51">
        <f t="array" ref="Q1811">SUM(IF(($S1811&gt;=4)*($C1811='TaxCred&amp;Subs'!$D$123:$D$127)*($H1811='TaxCred&amp;Subs'!$C$123:$C$127)*($H1811&lt;='TaxCred&amp;Subs'!$C$129),'TaxCred&amp;Subs'!$E$123:$E$127,0))</f>
        <v>500</v>
      </c>
      <c r="R1811" s="171">
        <v>0</v>
      </c>
      <c r="S1811" s="49">
        <v>5</v>
      </c>
      <c r="T1811" s="49" t="s">
        <v>225</v>
      </c>
      <c r="U1811"/>
      <c r="V1811" s="153" t="str">
        <f t="array" ref="V1811">INDEX(xlRTCLNAME,MATCH(1,(xlRTCLENDU=1)*(xlRTCLEQCL=$D1811),0))</f>
        <v>NG_FA</v>
      </c>
      <c r="W1811" s="153" t="str">
        <f t="array" ref="W1811">INDEX(xlRTCLNAME,MATCH(1,(xlRTCLENDU=2)*(xlRTCLEQCL=$F1811),0))</f>
        <v>CENT_AIR</v>
      </c>
      <c r="X1811" s="153" t="str">
        <f t="array" ref="X1811">INDEX(xlRTTYNAME,MATCH(1,(xlRTTYENDU=1)*(xlRTTYEQCL=$D1811)*(xlRTEQTYPE=$E1811),0))</f>
        <v>NG_FA4</v>
      </c>
      <c r="Y1811" s="153" t="str">
        <f t="array" ref="Y1811">INDEX(xlRTTYNAME,MATCH(1,(xlRTTYENDU=2)*(xlRTTYEQCL=$F1811)*(xlRTEQTYPE=$G1811),0))</f>
        <v>CENT_AIR4</v>
      </c>
    </row>
    <row r="1812" spans="1:25" s="157" customFormat="1" ht="14.25" customHeight="1" x14ac:dyDescent="0.2">
      <c r="A1812"/>
      <c r="B1812" s="49">
        <v>7</v>
      </c>
      <c r="C1812" s="49">
        <v>2</v>
      </c>
      <c r="D1812" s="49">
        <v>3</v>
      </c>
      <c r="E1812" s="49">
        <v>9</v>
      </c>
      <c r="F1812" s="49">
        <v>2</v>
      </c>
      <c r="G1812" s="49">
        <v>8</v>
      </c>
      <c r="H1812" s="49">
        <v>2033</v>
      </c>
      <c r="I1812" s="49">
        <v>2050</v>
      </c>
      <c r="J1812" s="50">
        <v>1.1200000000000001</v>
      </c>
      <c r="K1812" s="50">
        <v>1.0462</v>
      </c>
      <c r="L1812" s="50">
        <v>0.44379999999999997</v>
      </c>
      <c r="M1812" s="50">
        <v>1.0569</v>
      </c>
      <c r="N1812" s="50">
        <v>1.4438</v>
      </c>
      <c r="O1812" s="50">
        <v>1.0538000000000001</v>
      </c>
      <c r="P1812" s="49">
        <v>2321</v>
      </c>
      <c r="Q1812" s="51">
        <f t="array" ref="Q1812">SUM(IF(($S1812&gt;=4)*($C1812='TaxCred&amp;Subs'!$D$123:$D$127)*($H1812='TaxCred&amp;Subs'!$C$123:$C$127)*($H1812&lt;='TaxCred&amp;Subs'!$C$129),'TaxCred&amp;Subs'!$E$123:$E$127,0))</f>
        <v>0</v>
      </c>
      <c r="R1812" s="171">
        <v>0</v>
      </c>
      <c r="S1812" s="49">
        <v>5</v>
      </c>
      <c r="T1812" s="49" t="s">
        <v>225</v>
      </c>
      <c r="U1812"/>
      <c r="V1812" s="153" t="str">
        <f t="array" ref="V1812">INDEX(xlRTCLNAME,MATCH(1,(xlRTCLENDU=1)*(xlRTCLEQCL=$D1812),0))</f>
        <v>NG_FA</v>
      </c>
      <c r="W1812" s="153" t="str">
        <f t="array" ref="W1812">INDEX(xlRTCLNAME,MATCH(1,(xlRTCLENDU=2)*(xlRTCLEQCL=$F1812),0))</f>
        <v>CENT_AIR</v>
      </c>
      <c r="X1812" s="153" t="str">
        <f t="array" ref="X1812">INDEX(xlRTTYNAME,MATCH(1,(xlRTTYENDU=1)*(xlRTTYEQCL=$D1812)*(xlRTEQTYPE=$E1812),0))</f>
        <v>NG_FA4</v>
      </c>
      <c r="Y1812" s="153" t="str">
        <f t="array" ref="Y1812">INDEX(xlRTTYNAME,MATCH(1,(xlRTTYENDU=2)*(xlRTTYEQCL=$F1812)*(xlRTEQTYPE=$G1812),0))</f>
        <v>CENT_AIR4</v>
      </c>
    </row>
    <row r="1813" spans="1:25" s="157" customFormat="1" ht="14.25" customHeight="1" x14ac:dyDescent="0.2">
      <c r="A1813"/>
      <c r="B1813" s="126">
        <v>8</v>
      </c>
      <c r="C1813" s="126">
        <v>2</v>
      </c>
      <c r="D1813" s="126">
        <v>3</v>
      </c>
      <c r="E1813" s="126">
        <v>9</v>
      </c>
      <c r="F1813" s="126">
        <v>2</v>
      </c>
      <c r="G1813" s="126">
        <v>8</v>
      </c>
      <c r="H1813" s="126">
        <v>2016</v>
      </c>
      <c r="I1813" s="159">
        <v>2022</v>
      </c>
      <c r="J1813" s="127">
        <v>1.0932999999999999</v>
      </c>
      <c r="K1813" s="127">
        <v>1.0323</v>
      </c>
      <c r="L1813" s="127">
        <v>0.55489999999999995</v>
      </c>
      <c r="M1813" s="127">
        <v>1.2087000000000001</v>
      </c>
      <c r="N1813" s="127">
        <v>1.2847999999999999</v>
      </c>
      <c r="O1813" s="127">
        <v>1.0538000000000001</v>
      </c>
      <c r="P1813" s="126">
        <v>2889</v>
      </c>
      <c r="Q1813" s="128">
        <f t="array" ref="Q1813">SUM(IF(($S1813&gt;=4)*($C1813='TaxCred&amp;Subs'!$D$123:$D$127)*($H1813='TaxCred&amp;Subs'!$C$123:$C$127)*($H1813&lt;='TaxCred&amp;Subs'!$C$129),'TaxCred&amp;Subs'!$E$123:$E$127,0))</f>
        <v>0</v>
      </c>
      <c r="R1813" s="174">
        <v>0</v>
      </c>
      <c r="S1813" s="126">
        <v>5</v>
      </c>
      <c r="T1813" s="126" t="s">
        <v>225</v>
      </c>
      <c r="U1813"/>
      <c r="V1813" s="153" t="str">
        <f t="array" ref="V1813">INDEX(xlRTCLNAME,MATCH(1,(xlRTCLENDU=1)*(xlRTCLEQCL=$D1813),0))</f>
        <v>NG_FA</v>
      </c>
      <c r="W1813" s="153" t="str">
        <f t="array" ref="W1813">INDEX(xlRTCLNAME,MATCH(1,(xlRTCLENDU=2)*(xlRTCLEQCL=$F1813),0))</f>
        <v>CENT_AIR</v>
      </c>
      <c r="X1813" s="153" t="str">
        <f t="array" ref="X1813">INDEX(xlRTTYNAME,MATCH(1,(xlRTTYENDU=1)*(xlRTTYEQCL=$D1813)*(xlRTEQTYPE=$E1813),0))</f>
        <v>NG_FA4</v>
      </c>
      <c r="Y1813" s="153" t="str">
        <f t="array" ref="Y1813">INDEX(xlRTTYNAME,MATCH(1,(xlRTTYENDU=2)*(xlRTTYEQCL=$F1813)*(xlRTEQTYPE=$G1813),0))</f>
        <v>CENT_AIR4</v>
      </c>
    </row>
    <row r="1814" spans="1:25" s="157" customFormat="1" ht="14.25" customHeight="1" x14ac:dyDescent="0.2">
      <c r="A1814"/>
      <c r="B1814" s="49">
        <v>8</v>
      </c>
      <c r="C1814" s="49">
        <v>2</v>
      </c>
      <c r="D1814" s="49">
        <v>3</v>
      </c>
      <c r="E1814" s="49">
        <v>9</v>
      </c>
      <c r="F1814" s="49">
        <v>2</v>
      </c>
      <c r="G1814" s="49">
        <v>8</v>
      </c>
      <c r="H1814" s="49">
        <v>2023</v>
      </c>
      <c r="I1814" s="49">
        <v>2032</v>
      </c>
      <c r="J1814" s="50">
        <v>1.0932999999999999</v>
      </c>
      <c r="K1814" s="50">
        <v>1.0323</v>
      </c>
      <c r="L1814" s="50">
        <v>0.55489999999999995</v>
      </c>
      <c r="M1814" s="50">
        <v>1.2087000000000001</v>
      </c>
      <c r="N1814" s="50">
        <v>1.2847999999999999</v>
      </c>
      <c r="O1814" s="50">
        <v>1.0538000000000001</v>
      </c>
      <c r="P1814" s="49">
        <v>2889</v>
      </c>
      <c r="Q1814" s="51">
        <f t="array" ref="Q1814">SUM(IF(($S1814&gt;=4)*($C1814='TaxCred&amp;Subs'!$D$123:$D$127)*($H1814='TaxCred&amp;Subs'!$C$123:$C$127)*($H1814&lt;='TaxCred&amp;Subs'!$C$129),'TaxCred&amp;Subs'!$E$123:$E$127,0))</f>
        <v>500</v>
      </c>
      <c r="R1814" s="171">
        <v>0</v>
      </c>
      <c r="S1814" s="49">
        <v>5</v>
      </c>
      <c r="T1814" s="49" t="s">
        <v>225</v>
      </c>
      <c r="U1814"/>
      <c r="V1814" s="153" t="str">
        <f t="array" ref="V1814">INDEX(xlRTCLNAME,MATCH(1,(xlRTCLENDU=1)*(xlRTCLEQCL=$D1814),0))</f>
        <v>NG_FA</v>
      </c>
      <c r="W1814" s="153" t="str">
        <f t="array" ref="W1814">INDEX(xlRTCLNAME,MATCH(1,(xlRTCLENDU=2)*(xlRTCLEQCL=$F1814),0))</f>
        <v>CENT_AIR</v>
      </c>
      <c r="X1814" s="153" t="str">
        <f t="array" ref="X1814">INDEX(xlRTTYNAME,MATCH(1,(xlRTTYENDU=1)*(xlRTTYEQCL=$D1814)*(xlRTEQTYPE=$E1814),0))</f>
        <v>NG_FA4</v>
      </c>
      <c r="Y1814" s="153" t="str">
        <f t="array" ref="Y1814">INDEX(xlRTTYNAME,MATCH(1,(xlRTTYENDU=2)*(xlRTTYEQCL=$F1814)*(xlRTEQTYPE=$G1814),0))</f>
        <v>CENT_AIR4</v>
      </c>
    </row>
    <row r="1815" spans="1:25" s="157" customFormat="1" ht="14.25" customHeight="1" x14ac:dyDescent="0.2">
      <c r="A1815"/>
      <c r="B1815" s="49">
        <v>8</v>
      </c>
      <c r="C1815" s="49">
        <v>2</v>
      </c>
      <c r="D1815" s="49">
        <v>3</v>
      </c>
      <c r="E1815" s="49">
        <v>9</v>
      </c>
      <c r="F1815" s="49">
        <v>2</v>
      </c>
      <c r="G1815" s="49">
        <v>8</v>
      </c>
      <c r="H1815" s="49">
        <v>2033</v>
      </c>
      <c r="I1815" s="49">
        <v>2050</v>
      </c>
      <c r="J1815" s="50">
        <v>1.0932999999999999</v>
      </c>
      <c r="K1815" s="50">
        <v>1.0323</v>
      </c>
      <c r="L1815" s="50">
        <v>0.55489999999999995</v>
      </c>
      <c r="M1815" s="50">
        <v>1.2087000000000001</v>
      </c>
      <c r="N1815" s="50">
        <v>1.2847999999999999</v>
      </c>
      <c r="O1815" s="50">
        <v>1.0538000000000001</v>
      </c>
      <c r="P1815" s="49">
        <v>2889</v>
      </c>
      <c r="Q1815" s="51">
        <f t="array" ref="Q1815">SUM(IF(($S1815&gt;=4)*($C1815='TaxCred&amp;Subs'!$D$123:$D$127)*($H1815='TaxCred&amp;Subs'!$C$123:$C$127)*($H1815&lt;='TaxCred&amp;Subs'!$C$129),'TaxCred&amp;Subs'!$E$123:$E$127,0))</f>
        <v>0</v>
      </c>
      <c r="R1815" s="171">
        <v>0</v>
      </c>
      <c r="S1815" s="49">
        <v>5</v>
      </c>
      <c r="T1815" s="49" t="s">
        <v>225</v>
      </c>
      <c r="U1815"/>
      <c r="V1815" s="153" t="str">
        <f t="array" ref="V1815">INDEX(xlRTCLNAME,MATCH(1,(xlRTCLENDU=1)*(xlRTCLEQCL=$D1815),0))</f>
        <v>NG_FA</v>
      </c>
      <c r="W1815" s="153" t="str">
        <f t="array" ref="W1815">INDEX(xlRTCLNAME,MATCH(1,(xlRTCLENDU=2)*(xlRTCLEQCL=$F1815),0))</f>
        <v>CENT_AIR</v>
      </c>
      <c r="X1815" s="153" t="str">
        <f t="array" ref="X1815">INDEX(xlRTTYNAME,MATCH(1,(xlRTTYENDU=1)*(xlRTTYEQCL=$D1815)*(xlRTEQTYPE=$E1815),0))</f>
        <v>NG_FA4</v>
      </c>
      <c r="Y1815" s="153" t="str">
        <f t="array" ref="Y1815">INDEX(xlRTTYNAME,MATCH(1,(xlRTTYENDU=2)*(xlRTTYEQCL=$F1815)*(xlRTEQTYPE=$G1815),0))</f>
        <v>CENT_AIR4</v>
      </c>
    </row>
    <row r="1816" spans="1:25" s="157" customFormat="1" ht="14.25" customHeight="1" x14ac:dyDescent="0.2">
      <c r="A1816"/>
      <c r="B1816" s="126">
        <v>9</v>
      </c>
      <c r="C1816" s="126">
        <v>2</v>
      </c>
      <c r="D1816" s="126">
        <v>3</v>
      </c>
      <c r="E1816" s="126">
        <v>9</v>
      </c>
      <c r="F1816" s="126">
        <v>2</v>
      </c>
      <c r="G1816" s="126">
        <v>8</v>
      </c>
      <c r="H1816" s="126">
        <v>2016</v>
      </c>
      <c r="I1816" s="159">
        <v>2022</v>
      </c>
      <c r="J1816" s="127">
        <v>1.07</v>
      </c>
      <c r="K1816" s="127">
        <v>1.0541</v>
      </c>
      <c r="L1816" s="127">
        <v>0.44379999999999997</v>
      </c>
      <c r="M1816" s="127">
        <v>1.1167</v>
      </c>
      <c r="N1816" s="127">
        <v>1.4438</v>
      </c>
      <c r="O1816" s="127">
        <v>1.0538000000000001</v>
      </c>
      <c r="P1816" s="126">
        <v>3308</v>
      </c>
      <c r="Q1816" s="128">
        <f t="array" ref="Q1816">SUM(IF(($S1816&gt;=4)*($C1816='TaxCred&amp;Subs'!$D$123:$D$127)*($H1816='TaxCred&amp;Subs'!$C$123:$C$127)*($H1816&lt;='TaxCred&amp;Subs'!$C$129),'TaxCred&amp;Subs'!$E$123:$E$127,0))</f>
        <v>0</v>
      </c>
      <c r="R1816" s="174">
        <v>0</v>
      </c>
      <c r="S1816" s="126">
        <v>5</v>
      </c>
      <c r="T1816" s="126" t="s">
        <v>225</v>
      </c>
      <c r="U1816"/>
      <c r="V1816" s="153" t="str">
        <f t="array" ref="V1816">INDEX(xlRTCLNAME,MATCH(1,(xlRTCLENDU=1)*(xlRTCLEQCL=$D1816),0))</f>
        <v>NG_FA</v>
      </c>
      <c r="W1816" s="153" t="str">
        <f t="array" ref="W1816">INDEX(xlRTCLNAME,MATCH(1,(xlRTCLENDU=2)*(xlRTCLEQCL=$F1816),0))</f>
        <v>CENT_AIR</v>
      </c>
      <c r="X1816" s="153" t="str">
        <f t="array" ref="X1816">INDEX(xlRTTYNAME,MATCH(1,(xlRTTYENDU=1)*(xlRTTYEQCL=$D1816)*(xlRTEQTYPE=$E1816),0))</f>
        <v>NG_FA4</v>
      </c>
      <c r="Y1816" s="153" t="str">
        <f t="array" ref="Y1816">INDEX(xlRTTYNAME,MATCH(1,(xlRTTYENDU=2)*(xlRTTYEQCL=$F1816)*(xlRTEQTYPE=$G1816),0))</f>
        <v>CENT_AIR4</v>
      </c>
    </row>
    <row r="1817" spans="1:25" s="157" customFormat="1" ht="14.25" customHeight="1" x14ac:dyDescent="0.2">
      <c r="A1817"/>
      <c r="B1817" s="49">
        <v>9</v>
      </c>
      <c r="C1817" s="49">
        <v>2</v>
      </c>
      <c r="D1817" s="49">
        <v>3</v>
      </c>
      <c r="E1817" s="49">
        <v>9</v>
      </c>
      <c r="F1817" s="49">
        <v>2</v>
      </c>
      <c r="G1817" s="49">
        <v>8</v>
      </c>
      <c r="H1817" s="49">
        <v>2023</v>
      </c>
      <c r="I1817" s="49">
        <v>2032</v>
      </c>
      <c r="J1817" s="50">
        <v>1.07</v>
      </c>
      <c r="K1817" s="50">
        <v>1.0541</v>
      </c>
      <c r="L1817" s="50">
        <v>0.44379999999999997</v>
      </c>
      <c r="M1817" s="50">
        <v>1.1167</v>
      </c>
      <c r="N1817" s="50">
        <v>1.4438</v>
      </c>
      <c r="O1817" s="50">
        <v>1.0538000000000001</v>
      </c>
      <c r="P1817" s="49">
        <v>3308</v>
      </c>
      <c r="Q1817" s="51">
        <f t="array" ref="Q1817">SUM(IF(($S1817&gt;=4)*($C1817='TaxCred&amp;Subs'!$D$123:$D$127)*($H1817='TaxCred&amp;Subs'!$C$123:$C$127)*($H1817&lt;='TaxCred&amp;Subs'!$C$129),'TaxCred&amp;Subs'!$E$123:$E$127,0))</f>
        <v>500</v>
      </c>
      <c r="R1817" s="171">
        <v>0</v>
      </c>
      <c r="S1817" s="49">
        <v>5</v>
      </c>
      <c r="T1817" s="49" t="s">
        <v>225</v>
      </c>
      <c r="U1817"/>
      <c r="V1817" s="153" t="str">
        <f t="array" ref="V1817">INDEX(xlRTCLNAME,MATCH(1,(xlRTCLENDU=1)*(xlRTCLEQCL=$D1817),0))</f>
        <v>NG_FA</v>
      </c>
      <c r="W1817" s="153" t="str">
        <f t="array" ref="W1817">INDEX(xlRTCLNAME,MATCH(1,(xlRTCLENDU=2)*(xlRTCLEQCL=$F1817),0))</f>
        <v>CENT_AIR</v>
      </c>
      <c r="X1817" s="153" t="str">
        <f t="array" ref="X1817">INDEX(xlRTTYNAME,MATCH(1,(xlRTTYENDU=1)*(xlRTTYEQCL=$D1817)*(xlRTEQTYPE=$E1817),0))</f>
        <v>NG_FA4</v>
      </c>
      <c r="Y1817" s="153" t="str">
        <f t="array" ref="Y1817">INDEX(xlRTTYNAME,MATCH(1,(xlRTTYENDU=2)*(xlRTTYEQCL=$F1817)*(xlRTEQTYPE=$G1817),0))</f>
        <v>CENT_AIR4</v>
      </c>
    </row>
    <row r="1818" spans="1:25" s="157" customFormat="1" ht="14.25" customHeight="1" x14ac:dyDescent="0.2">
      <c r="A1818"/>
      <c r="B1818" s="49">
        <v>9</v>
      </c>
      <c r="C1818" s="49">
        <v>2</v>
      </c>
      <c r="D1818" s="49">
        <v>3</v>
      </c>
      <c r="E1818" s="49">
        <v>9</v>
      </c>
      <c r="F1818" s="49">
        <v>2</v>
      </c>
      <c r="G1818" s="49">
        <v>8</v>
      </c>
      <c r="H1818" s="49">
        <v>2033</v>
      </c>
      <c r="I1818" s="49">
        <v>2050</v>
      </c>
      <c r="J1818" s="50">
        <v>1.07</v>
      </c>
      <c r="K1818" s="50">
        <v>1.0541</v>
      </c>
      <c r="L1818" s="50">
        <v>0.44379999999999997</v>
      </c>
      <c r="M1818" s="50">
        <v>1.1167</v>
      </c>
      <c r="N1818" s="50">
        <v>1.4438</v>
      </c>
      <c r="O1818" s="50">
        <v>1.0538000000000001</v>
      </c>
      <c r="P1818" s="49">
        <v>3308</v>
      </c>
      <c r="Q1818" s="51">
        <f t="array" ref="Q1818">SUM(IF(($S1818&gt;=4)*($C1818='TaxCred&amp;Subs'!$D$123:$D$127)*($H1818='TaxCred&amp;Subs'!$C$123:$C$127)*($H1818&lt;='TaxCred&amp;Subs'!$C$129),'TaxCred&amp;Subs'!$E$123:$E$127,0))</f>
        <v>0</v>
      </c>
      <c r="R1818" s="171">
        <v>0</v>
      </c>
      <c r="S1818" s="49">
        <v>5</v>
      </c>
      <c r="T1818" s="49" t="s">
        <v>225</v>
      </c>
      <c r="U1818"/>
      <c r="V1818" s="153" t="str">
        <f t="array" ref="V1818">INDEX(xlRTCLNAME,MATCH(1,(xlRTCLENDU=1)*(xlRTCLEQCL=$D1818),0))</f>
        <v>NG_FA</v>
      </c>
      <c r="W1818" s="153" t="str">
        <f t="array" ref="W1818">INDEX(xlRTCLNAME,MATCH(1,(xlRTCLENDU=2)*(xlRTCLEQCL=$F1818),0))</f>
        <v>CENT_AIR</v>
      </c>
      <c r="X1818" s="153" t="str">
        <f t="array" ref="X1818">INDEX(xlRTTYNAME,MATCH(1,(xlRTTYENDU=1)*(xlRTTYEQCL=$D1818)*(xlRTEQTYPE=$E1818),0))</f>
        <v>NG_FA4</v>
      </c>
      <c r="Y1818" s="153" t="str">
        <f t="array" ref="Y1818">INDEX(xlRTTYNAME,MATCH(1,(xlRTTYENDU=2)*(xlRTTYEQCL=$F1818)*(xlRTEQTYPE=$G1818),0))</f>
        <v>CENT_AIR4</v>
      </c>
    </row>
    <row r="1819" spans="1:25" s="157" customFormat="1" ht="14.25" customHeight="1" x14ac:dyDescent="0.2">
      <c r="A1819"/>
      <c r="B1819" s="126">
        <v>1</v>
      </c>
      <c r="C1819" s="126">
        <v>2</v>
      </c>
      <c r="D1819" s="126">
        <v>4</v>
      </c>
      <c r="E1819" s="126">
        <v>13</v>
      </c>
      <c r="F1819" s="126">
        <v>2</v>
      </c>
      <c r="G1819" s="126">
        <v>8</v>
      </c>
      <c r="H1819" s="126">
        <v>2016</v>
      </c>
      <c r="I1819" s="159">
        <v>2022</v>
      </c>
      <c r="J1819" s="127">
        <v>1.0864</v>
      </c>
      <c r="K1819" s="127">
        <v>1.0417000000000001</v>
      </c>
      <c r="L1819" s="127">
        <v>0.5786</v>
      </c>
      <c r="M1819" s="127">
        <v>1.1228</v>
      </c>
      <c r="N1819" s="127">
        <v>1.1156999999999999</v>
      </c>
      <c r="O1819" s="127">
        <v>1.0538000000000001</v>
      </c>
      <c r="P1819" s="126">
        <v>3776</v>
      </c>
      <c r="Q1819" s="128">
        <f t="array" ref="Q1819">SUM(IF(($S1819&gt;=4)*($C1819='TaxCred&amp;Subs'!$D$123:$D$127)*($H1819='TaxCred&amp;Subs'!$C$123:$C$127)*($H1819&lt;='TaxCred&amp;Subs'!$C$129),'TaxCred&amp;Subs'!$E$123:$E$127,0))</f>
        <v>0</v>
      </c>
      <c r="R1819" s="174">
        <v>0</v>
      </c>
      <c r="S1819" s="126">
        <v>5</v>
      </c>
      <c r="T1819" s="126" t="s">
        <v>225</v>
      </c>
      <c r="U1819"/>
      <c r="V1819" s="153" t="str">
        <f t="array" ref="V1819">INDEX(xlRTCLNAME,MATCH(1,(xlRTCLENDU=1)*(xlRTCLEQCL=$D1819),0))</f>
        <v>NG_RAD</v>
      </c>
      <c r="W1819" s="153" t="str">
        <f t="array" ref="W1819">INDEX(xlRTCLNAME,MATCH(1,(xlRTCLENDU=2)*(xlRTCLEQCL=$F1819),0))</f>
        <v>CENT_AIR</v>
      </c>
      <c r="X1819" s="153" t="str">
        <f t="array" ref="X1819">INDEX(xlRTTYNAME,MATCH(1,(xlRTTYENDU=1)*(xlRTTYEQCL=$D1819)*(xlRTEQTYPE=$E1819),0))</f>
        <v>NG_RAD4</v>
      </c>
      <c r="Y1819" s="153" t="str">
        <f t="array" ref="Y1819">INDEX(xlRTTYNAME,MATCH(1,(xlRTTYENDU=2)*(xlRTTYEQCL=$F1819)*(xlRTEQTYPE=$G1819),0))</f>
        <v>CENT_AIR4</v>
      </c>
    </row>
    <row r="1820" spans="1:25" s="157" customFormat="1" ht="14.25" customHeight="1" x14ac:dyDescent="0.2">
      <c r="A1820"/>
      <c r="B1820" s="49">
        <v>1</v>
      </c>
      <c r="C1820" s="49">
        <v>2</v>
      </c>
      <c r="D1820" s="49">
        <v>4</v>
      </c>
      <c r="E1820" s="49">
        <v>13</v>
      </c>
      <c r="F1820" s="49">
        <v>2</v>
      </c>
      <c r="G1820" s="49">
        <v>8</v>
      </c>
      <c r="H1820" s="49">
        <v>2023</v>
      </c>
      <c r="I1820" s="49">
        <v>2032</v>
      </c>
      <c r="J1820" s="50">
        <v>1.0864</v>
      </c>
      <c r="K1820" s="50">
        <v>1.0417000000000001</v>
      </c>
      <c r="L1820" s="50">
        <v>0.5786</v>
      </c>
      <c r="M1820" s="50">
        <v>1.1228</v>
      </c>
      <c r="N1820" s="50">
        <v>1.1156999999999999</v>
      </c>
      <c r="O1820" s="50">
        <v>1.0538000000000001</v>
      </c>
      <c r="P1820" s="49">
        <v>3776</v>
      </c>
      <c r="Q1820" s="51">
        <f t="array" ref="Q1820">SUM(IF(($S1820&gt;=4)*($C1820='TaxCred&amp;Subs'!$D$123:$D$127)*($H1820='TaxCred&amp;Subs'!$C$123:$C$127)*($H1820&lt;='TaxCred&amp;Subs'!$C$129),'TaxCred&amp;Subs'!$E$123:$E$127,0))</f>
        <v>500</v>
      </c>
      <c r="R1820" s="171">
        <v>0</v>
      </c>
      <c r="S1820" s="49">
        <v>5</v>
      </c>
      <c r="T1820" s="49" t="s">
        <v>225</v>
      </c>
      <c r="U1820"/>
      <c r="V1820" s="153" t="str">
        <f t="array" ref="V1820">INDEX(xlRTCLNAME,MATCH(1,(xlRTCLENDU=1)*(xlRTCLEQCL=$D1820),0))</f>
        <v>NG_RAD</v>
      </c>
      <c r="W1820" s="153" t="str">
        <f t="array" ref="W1820">INDEX(xlRTCLNAME,MATCH(1,(xlRTCLENDU=2)*(xlRTCLEQCL=$F1820),0))</f>
        <v>CENT_AIR</v>
      </c>
      <c r="X1820" s="153" t="str">
        <f t="array" ref="X1820">INDEX(xlRTTYNAME,MATCH(1,(xlRTTYENDU=1)*(xlRTTYEQCL=$D1820)*(xlRTEQTYPE=$E1820),0))</f>
        <v>NG_RAD4</v>
      </c>
      <c r="Y1820" s="153" t="str">
        <f t="array" ref="Y1820">INDEX(xlRTTYNAME,MATCH(1,(xlRTTYENDU=2)*(xlRTTYEQCL=$F1820)*(xlRTEQTYPE=$G1820),0))</f>
        <v>CENT_AIR4</v>
      </c>
    </row>
    <row r="1821" spans="1:25" s="157" customFormat="1" ht="14.25" customHeight="1" x14ac:dyDescent="0.2">
      <c r="A1821"/>
      <c r="B1821" s="49">
        <v>1</v>
      </c>
      <c r="C1821" s="49">
        <v>2</v>
      </c>
      <c r="D1821" s="49">
        <v>4</v>
      </c>
      <c r="E1821" s="49">
        <v>13</v>
      </c>
      <c r="F1821" s="49">
        <v>2</v>
      </c>
      <c r="G1821" s="49">
        <v>8</v>
      </c>
      <c r="H1821" s="49">
        <v>2033</v>
      </c>
      <c r="I1821" s="49">
        <v>2050</v>
      </c>
      <c r="J1821" s="50">
        <v>1.0864</v>
      </c>
      <c r="K1821" s="50">
        <v>1.0417000000000001</v>
      </c>
      <c r="L1821" s="50">
        <v>0.5786</v>
      </c>
      <c r="M1821" s="50">
        <v>1.1228</v>
      </c>
      <c r="N1821" s="50">
        <v>1.1156999999999999</v>
      </c>
      <c r="O1821" s="50">
        <v>1.0538000000000001</v>
      </c>
      <c r="P1821" s="49">
        <v>3776</v>
      </c>
      <c r="Q1821" s="51">
        <f t="array" ref="Q1821">SUM(IF(($S1821&gt;=4)*($C1821='TaxCred&amp;Subs'!$D$123:$D$127)*($H1821='TaxCred&amp;Subs'!$C$123:$C$127)*($H1821&lt;='TaxCred&amp;Subs'!$C$129),'TaxCred&amp;Subs'!$E$123:$E$127,0))</f>
        <v>0</v>
      </c>
      <c r="R1821" s="171">
        <v>0</v>
      </c>
      <c r="S1821" s="49">
        <v>5</v>
      </c>
      <c r="T1821" s="49" t="s">
        <v>225</v>
      </c>
      <c r="U1821"/>
      <c r="V1821" s="153" t="str">
        <f t="array" ref="V1821">INDEX(xlRTCLNAME,MATCH(1,(xlRTCLENDU=1)*(xlRTCLEQCL=$D1821),0))</f>
        <v>NG_RAD</v>
      </c>
      <c r="W1821" s="153" t="str">
        <f t="array" ref="W1821">INDEX(xlRTCLNAME,MATCH(1,(xlRTCLENDU=2)*(xlRTCLEQCL=$F1821),0))</f>
        <v>CENT_AIR</v>
      </c>
      <c r="X1821" s="153" t="str">
        <f t="array" ref="X1821">INDEX(xlRTTYNAME,MATCH(1,(xlRTTYENDU=1)*(xlRTTYEQCL=$D1821)*(xlRTEQTYPE=$E1821),0))</f>
        <v>NG_RAD4</v>
      </c>
      <c r="Y1821" s="153" t="str">
        <f t="array" ref="Y1821">INDEX(xlRTTYNAME,MATCH(1,(xlRTTYENDU=2)*(xlRTTYEQCL=$F1821)*(xlRTEQTYPE=$G1821),0))</f>
        <v>CENT_AIR4</v>
      </c>
    </row>
    <row r="1822" spans="1:25" s="157" customFormat="1" ht="14.25" customHeight="1" x14ac:dyDescent="0.2">
      <c r="A1822"/>
      <c r="B1822" s="126">
        <v>2</v>
      </c>
      <c r="C1822" s="126">
        <v>2</v>
      </c>
      <c r="D1822" s="126">
        <v>4</v>
      </c>
      <c r="E1822" s="126">
        <v>13</v>
      </c>
      <c r="F1822" s="126">
        <v>2</v>
      </c>
      <c r="G1822" s="126">
        <v>8</v>
      </c>
      <c r="H1822" s="126">
        <v>2016</v>
      </c>
      <c r="I1822" s="159">
        <v>2022</v>
      </c>
      <c r="J1822" s="127">
        <v>1.0891</v>
      </c>
      <c r="K1822" s="127">
        <v>1.0713999999999999</v>
      </c>
      <c r="L1822" s="127">
        <v>0.55879999999999996</v>
      </c>
      <c r="M1822" s="127">
        <v>1.1416999999999999</v>
      </c>
      <c r="N1822" s="127">
        <v>1.1254999999999999</v>
      </c>
      <c r="O1822" s="127">
        <v>1.0538000000000001</v>
      </c>
      <c r="P1822" s="126">
        <v>3572</v>
      </c>
      <c r="Q1822" s="128">
        <f t="array" ref="Q1822">SUM(IF(($S1822&gt;=4)*($C1822='TaxCred&amp;Subs'!$D$123:$D$127)*($H1822='TaxCred&amp;Subs'!$C$123:$C$127)*($H1822&lt;='TaxCred&amp;Subs'!$C$129),'TaxCred&amp;Subs'!$E$123:$E$127,0))</f>
        <v>0</v>
      </c>
      <c r="R1822" s="174">
        <v>0</v>
      </c>
      <c r="S1822" s="126">
        <v>5</v>
      </c>
      <c r="T1822" s="126" t="s">
        <v>225</v>
      </c>
      <c r="U1822"/>
      <c r="V1822" s="153" t="str">
        <f t="array" ref="V1822">INDEX(xlRTCLNAME,MATCH(1,(xlRTCLENDU=1)*(xlRTCLEQCL=$D1822),0))</f>
        <v>NG_RAD</v>
      </c>
      <c r="W1822" s="153" t="str">
        <f t="array" ref="W1822">INDEX(xlRTCLNAME,MATCH(1,(xlRTCLENDU=2)*(xlRTCLEQCL=$F1822),0))</f>
        <v>CENT_AIR</v>
      </c>
      <c r="X1822" s="153" t="str">
        <f t="array" ref="X1822">INDEX(xlRTTYNAME,MATCH(1,(xlRTTYENDU=1)*(xlRTTYEQCL=$D1822)*(xlRTEQTYPE=$E1822),0))</f>
        <v>NG_RAD4</v>
      </c>
      <c r="Y1822" s="153" t="str">
        <f t="array" ref="Y1822">INDEX(xlRTTYNAME,MATCH(1,(xlRTTYENDU=2)*(xlRTTYEQCL=$F1822)*(xlRTEQTYPE=$G1822),0))</f>
        <v>CENT_AIR4</v>
      </c>
    </row>
    <row r="1823" spans="1:25" s="157" customFormat="1" ht="14.25" customHeight="1" x14ac:dyDescent="0.2">
      <c r="A1823"/>
      <c r="B1823" s="49">
        <v>2</v>
      </c>
      <c r="C1823" s="49">
        <v>2</v>
      </c>
      <c r="D1823" s="49">
        <v>4</v>
      </c>
      <c r="E1823" s="49">
        <v>13</v>
      </c>
      <c r="F1823" s="49">
        <v>2</v>
      </c>
      <c r="G1823" s="49">
        <v>8</v>
      </c>
      <c r="H1823" s="49">
        <v>2023</v>
      </c>
      <c r="I1823" s="49">
        <v>2032</v>
      </c>
      <c r="J1823" s="50">
        <v>1.0891</v>
      </c>
      <c r="K1823" s="50">
        <v>1.0713999999999999</v>
      </c>
      <c r="L1823" s="50">
        <v>0.55879999999999996</v>
      </c>
      <c r="M1823" s="50">
        <v>1.1416999999999999</v>
      </c>
      <c r="N1823" s="50">
        <v>1.1254999999999999</v>
      </c>
      <c r="O1823" s="50">
        <v>1.0538000000000001</v>
      </c>
      <c r="P1823" s="49">
        <v>3572</v>
      </c>
      <c r="Q1823" s="51">
        <f t="array" ref="Q1823">SUM(IF(($S1823&gt;=4)*($C1823='TaxCred&amp;Subs'!$D$123:$D$127)*($H1823='TaxCred&amp;Subs'!$C$123:$C$127)*($H1823&lt;='TaxCred&amp;Subs'!$C$129),'TaxCred&amp;Subs'!$E$123:$E$127,0))</f>
        <v>500</v>
      </c>
      <c r="R1823" s="171">
        <v>0</v>
      </c>
      <c r="S1823" s="49">
        <v>5</v>
      </c>
      <c r="T1823" s="49" t="s">
        <v>225</v>
      </c>
      <c r="U1823"/>
      <c r="V1823" s="153" t="str">
        <f t="array" ref="V1823">INDEX(xlRTCLNAME,MATCH(1,(xlRTCLENDU=1)*(xlRTCLEQCL=$D1823),0))</f>
        <v>NG_RAD</v>
      </c>
      <c r="W1823" s="153" t="str">
        <f t="array" ref="W1823">INDEX(xlRTCLNAME,MATCH(1,(xlRTCLENDU=2)*(xlRTCLEQCL=$F1823),0))</f>
        <v>CENT_AIR</v>
      </c>
      <c r="X1823" s="153" t="str">
        <f t="array" ref="X1823">INDEX(xlRTTYNAME,MATCH(1,(xlRTTYENDU=1)*(xlRTTYEQCL=$D1823)*(xlRTEQTYPE=$E1823),0))</f>
        <v>NG_RAD4</v>
      </c>
      <c r="Y1823" s="153" t="str">
        <f t="array" ref="Y1823">INDEX(xlRTTYNAME,MATCH(1,(xlRTTYENDU=2)*(xlRTTYEQCL=$F1823)*(xlRTEQTYPE=$G1823),0))</f>
        <v>CENT_AIR4</v>
      </c>
    </row>
    <row r="1824" spans="1:25" s="157" customFormat="1" ht="14.25" customHeight="1" x14ac:dyDescent="0.2">
      <c r="A1824"/>
      <c r="B1824" s="49">
        <v>2</v>
      </c>
      <c r="C1824" s="49">
        <v>2</v>
      </c>
      <c r="D1824" s="49">
        <v>4</v>
      </c>
      <c r="E1824" s="49">
        <v>13</v>
      </c>
      <c r="F1824" s="49">
        <v>2</v>
      </c>
      <c r="G1824" s="49">
        <v>8</v>
      </c>
      <c r="H1824" s="49">
        <v>2033</v>
      </c>
      <c r="I1824" s="49">
        <v>2050</v>
      </c>
      <c r="J1824" s="50">
        <v>1.0891</v>
      </c>
      <c r="K1824" s="50">
        <v>1.0713999999999999</v>
      </c>
      <c r="L1824" s="50">
        <v>0.55879999999999996</v>
      </c>
      <c r="M1824" s="50">
        <v>1.1416999999999999</v>
      </c>
      <c r="N1824" s="50">
        <v>1.1254999999999999</v>
      </c>
      <c r="O1824" s="50">
        <v>1.0538000000000001</v>
      </c>
      <c r="P1824" s="49">
        <v>3572</v>
      </c>
      <c r="Q1824" s="51">
        <f t="array" ref="Q1824">SUM(IF(($S1824&gt;=4)*($C1824='TaxCred&amp;Subs'!$D$123:$D$127)*($H1824='TaxCred&amp;Subs'!$C$123:$C$127)*($H1824&lt;='TaxCred&amp;Subs'!$C$129),'TaxCred&amp;Subs'!$E$123:$E$127,0))</f>
        <v>0</v>
      </c>
      <c r="R1824" s="171">
        <v>0</v>
      </c>
      <c r="S1824" s="49">
        <v>5</v>
      </c>
      <c r="T1824" s="49" t="s">
        <v>225</v>
      </c>
      <c r="U1824"/>
      <c r="V1824" s="153" t="str">
        <f t="array" ref="V1824">INDEX(xlRTCLNAME,MATCH(1,(xlRTCLENDU=1)*(xlRTCLEQCL=$D1824),0))</f>
        <v>NG_RAD</v>
      </c>
      <c r="W1824" s="153" t="str">
        <f t="array" ref="W1824">INDEX(xlRTCLNAME,MATCH(1,(xlRTCLENDU=2)*(xlRTCLEQCL=$F1824),0))</f>
        <v>CENT_AIR</v>
      </c>
      <c r="X1824" s="153" t="str">
        <f t="array" ref="X1824">INDEX(xlRTTYNAME,MATCH(1,(xlRTTYENDU=1)*(xlRTTYEQCL=$D1824)*(xlRTEQTYPE=$E1824),0))</f>
        <v>NG_RAD4</v>
      </c>
      <c r="Y1824" s="153" t="str">
        <f t="array" ref="Y1824">INDEX(xlRTTYNAME,MATCH(1,(xlRTTYENDU=2)*(xlRTTYEQCL=$F1824)*(xlRTEQTYPE=$G1824),0))</f>
        <v>CENT_AIR4</v>
      </c>
    </row>
    <row r="1825" spans="1:25" s="157" customFormat="1" ht="14.25" customHeight="1" x14ac:dyDescent="0.2">
      <c r="A1825"/>
      <c r="B1825" s="126">
        <v>3</v>
      </c>
      <c r="C1825" s="126">
        <v>2</v>
      </c>
      <c r="D1825" s="126">
        <v>4</v>
      </c>
      <c r="E1825" s="126">
        <v>13</v>
      </c>
      <c r="F1825" s="126">
        <v>2</v>
      </c>
      <c r="G1825" s="126">
        <v>8</v>
      </c>
      <c r="H1825" s="126">
        <v>2016</v>
      </c>
      <c r="I1825" s="159">
        <v>2022</v>
      </c>
      <c r="J1825" s="127">
        <v>1.0962000000000001</v>
      </c>
      <c r="K1825" s="127">
        <v>1.0345</v>
      </c>
      <c r="L1825" s="127">
        <v>0.5524</v>
      </c>
      <c r="M1825" s="127">
        <v>1.0310999999999999</v>
      </c>
      <c r="N1825" s="127">
        <v>1.0417000000000001</v>
      </c>
      <c r="O1825" s="127">
        <v>1.0538000000000001</v>
      </c>
      <c r="P1825" s="126">
        <v>3206</v>
      </c>
      <c r="Q1825" s="128">
        <f t="array" ref="Q1825">SUM(IF(($S1825&gt;=4)*($C1825='TaxCred&amp;Subs'!$D$123:$D$127)*($H1825='TaxCred&amp;Subs'!$C$123:$C$127)*($H1825&lt;='TaxCred&amp;Subs'!$C$129),'TaxCred&amp;Subs'!$E$123:$E$127,0))</f>
        <v>0</v>
      </c>
      <c r="R1825" s="174">
        <v>0</v>
      </c>
      <c r="S1825" s="126">
        <v>5</v>
      </c>
      <c r="T1825" s="126" t="s">
        <v>225</v>
      </c>
      <c r="U1825"/>
      <c r="V1825" s="153" t="str">
        <f t="array" ref="V1825">INDEX(xlRTCLNAME,MATCH(1,(xlRTCLENDU=1)*(xlRTCLEQCL=$D1825),0))</f>
        <v>NG_RAD</v>
      </c>
      <c r="W1825" s="153" t="str">
        <f t="array" ref="W1825">INDEX(xlRTCLNAME,MATCH(1,(xlRTCLENDU=2)*(xlRTCLEQCL=$F1825),0))</f>
        <v>CENT_AIR</v>
      </c>
      <c r="X1825" s="153" t="str">
        <f t="array" ref="X1825">INDEX(xlRTTYNAME,MATCH(1,(xlRTTYENDU=1)*(xlRTTYEQCL=$D1825)*(xlRTEQTYPE=$E1825),0))</f>
        <v>NG_RAD4</v>
      </c>
      <c r="Y1825" s="153" t="str">
        <f t="array" ref="Y1825">INDEX(xlRTTYNAME,MATCH(1,(xlRTTYENDU=2)*(xlRTTYEQCL=$F1825)*(xlRTEQTYPE=$G1825),0))</f>
        <v>CENT_AIR4</v>
      </c>
    </row>
    <row r="1826" spans="1:25" s="157" customFormat="1" ht="14.25" customHeight="1" x14ac:dyDescent="0.2">
      <c r="A1826"/>
      <c r="B1826" s="49">
        <v>3</v>
      </c>
      <c r="C1826" s="49">
        <v>2</v>
      </c>
      <c r="D1826" s="49">
        <v>4</v>
      </c>
      <c r="E1826" s="49">
        <v>13</v>
      </c>
      <c r="F1826" s="49">
        <v>2</v>
      </c>
      <c r="G1826" s="49">
        <v>8</v>
      </c>
      <c r="H1826" s="49">
        <v>2023</v>
      </c>
      <c r="I1826" s="49">
        <v>2032</v>
      </c>
      <c r="J1826" s="50">
        <v>1.0962000000000001</v>
      </c>
      <c r="K1826" s="50">
        <v>1.0345</v>
      </c>
      <c r="L1826" s="50">
        <v>0.5524</v>
      </c>
      <c r="M1826" s="50">
        <v>1.0310999999999999</v>
      </c>
      <c r="N1826" s="50">
        <v>1.0417000000000001</v>
      </c>
      <c r="O1826" s="50">
        <v>1.0538000000000001</v>
      </c>
      <c r="P1826" s="49">
        <v>3206</v>
      </c>
      <c r="Q1826" s="51">
        <f t="array" ref="Q1826">SUM(IF(($S1826&gt;=4)*($C1826='TaxCred&amp;Subs'!$D$123:$D$127)*($H1826='TaxCred&amp;Subs'!$C$123:$C$127)*($H1826&lt;='TaxCred&amp;Subs'!$C$129),'TaxCred&amp;Subs'!$E$123:$E$127,0))</f>
        <v>500</v>
      </c>
      <c r="R1826" s="171">
        <v>0</v>
      </c>
      <c r="S1826" s="49">
        <v>5</v>
      </c>
      <c r="T1826" s="49" t="s">
        <v>225</v>
      </c>
      <c r="U1826"/>
      <c r="V1826" s="153" t="str">
        <f t="array" ref="V1826">INDEX(xlRTCLNAME,MATCH(1,(xlRTCLENDU=1)*(xlRTCLEQCL=$D1826),0))</f>
        <v>NG_RAD</v>
      </c>
      <c r="W1826" s="153" t="str">
        <f t="array" ref="W1826">INDEX(xlRTCLNAME,MATCH(1,(xlRTCLENDU=2)*(xlRTCLEQCL=$F1826),0))</f>
        <v>CENT_AIR</v>
      </c>
      <c r="X1826" s="153" t="str">
        <f t="array" ref="X1826">INDEX(xlRTTYNAME,MATCH(1,(xlRTTYENDU=1)*(xlRTTYEQCL=$D1826)*(xlRTEQTYPE=$E1826),0))</f>
        <v>NG_RAD4</v>
      </c>
      <c r="Y1826" s="153" t="str">
        <f t="array" ref="Y1826">INDEX(xlRTTYNAME,MATCH(1,(xlRTTYENDU=2)*(xlRTTYEQCL=$F1826)*(xlRTEQTYPE=$G1826),0))</f>
        <v>CENT_AIR4</v>
      </c>
    </row>
    <row r="1827" spans="1:25" s="157" customFormat="1" ht="14.25" customHeight="1" x14ac:dyDescent="0.2">
      <c r="A1827"/>
      <c r="B1827" s="49">
        <v>3</v>
      </c>
      <c r="C1827" s="49">
        <v>2</v>
      </c>
      <c r="D1827" s="49">
        <v>4</v>
      </c>
      <c r="E1827" s="49">
        <v>13</v>
      </c>
      <c r="F1827" s="49">
        <v>2</v>
      </c>
      <c r="G1827" s="49">
        <v>8</v>
      </c>
      <c r="H1827" s="49">
        <v>2033</v>
      </c>
      <c r="I1827" s="49">
        <v>2050</v>
      </c>
      <c r="J1827" s="50">
        <v>1.0962000000000001</v>
      </c>
      <c r="K1827" s="50">
        <v>1.0345</v>
      </c>
      <c r="L1827" s="50">
        <v>0.5524</v>
      </c>
      <c r="M1827" s="50">
        <v>1.0310999999999999</v>
      </c>
      <c r="N1827" s="50">
        <v>1.0417000000000001</v>
      </c>
      <c r="O1827" s="50">
        <v>1.0538000000000001</v>
      </c>
      <c r="P1827" s="49">
        <v>3206</v>
      </c>
      <c r="Q1827" s="51">
        <f t="array" ref="Q1827">SUM(IF(($S1827&gt;=4)*($C1827='TaxCred&amp;Subs'!$D$123:$D$127)*($H1827='TaxCred&amp;Subs'!$C$123:$C$127)*($H1827&lt;='TaxCred&amp;Subs'!$C$129),'TaxCred&amp;Subs'!$E$123:$E$127,0))</f>
        <v>0</v>
      </c>
      <c r="R1827" s="171">
        <v>0</v>
      </c>
      <c r="S1827" s="49">
        <v>5</v>
      </c>
      <c r="T1827" s="49" t="s">
        <v>225</v>
      </c>
      <c r="U1827"/>
      <c r="V1827" s="153" t="str">
        <f t="array" ref="V1827">INDEX(xlRTCLNAME,MATCH(1,(xlRTCLENDU=1)*(xlRTCLEQCL=$D1827),0))</f>
        <v>NG_RAD</v>
      </c>
      <c r="W1827" s="153" t="str">
        <f t="array" ref="W1827">INDEX(xlRTCLNAME,MATCH(1,(xlRTCLENDU=2)*(xlRTCLEQCL=$F1827),0))</f>
        <v>CENT_AIR</v>
      </c>
      <c r="X1827" s="153" t="str">
        <f t="array" ref="X1827">INDEX(xlRTTYNAME,MATCH(1,(xlRTTYENDU=1)*(xlRTTYEQCL=$D1827)*(xlRTEQTYPE=$E1827),0))</f>
        <v>NG_RAD4</v>
      </c>
      <c r="Y1827" s="153" t="str">
        <f t="array" ref="Y1827">INDEX(xlRTTYNAME,MATCH(1,(xlRTTYENDU=2)*(xlRTTYEQCL=$F1827)*(xlRTEQTYPE=$G1827),0))</f>
        <v>CENT_AIR4</v>
      </c>
    </row>
    <row r="1828" spans="1:25" s="157" customFormat="1" ht="14.25" customHeight="1" x14ac:dyDescent="0.2">
      <c r="A1828"/>
      <c r="B1828" s="126">
        <v>4</v>
      </c>
      <c r="C1828" s="126">
        <v>2</v>
      </c>
      <c r="D1828" s="126">
        <v>4</v>
      </c>
      <c r="E1828" s="126">
        <v>13</v>
      </c>
      <c r="F1828" s="126">
        <v>2</v>
      </c>
      <c r="G1828" s="126">
        <v>8</v>
      </c>
      <c r="H1828" s="126">
        <v>2016</v>
      </c>
      <c r="I1828" s="159">
        <v>2022</v>
      </c>
      <c r="J1828" s="127">
        <v>1.1024</v>
      </c>
      <c r="K1828" s="127">
        <v>1.0435000000000001</v>
      </c>
      <c r="L1828" s="127">
        <v>0.6149</v>
      </c>
      <c r="M1828" s="127">
        <v>1.1499999999999999</v>
      </c>
      <c r="N1828" s="127">
        <v>1.1678999999999999</v>
      </c>
      <c r="O1828" s="127">
        <v>1.0538000000000001</v>
      </c>
      <c r="P1828" s="126">
        <v>2669</v>
      </c>
      <c r="Q1828" s="128">
        <f t="array" ref="Q1828">SUM(IF(($S1828&gt;=4)*($C1828='TaxCred&amp;Subs'!$D$123:$D$127)*($H1828='TaxCred&amp;Subs'!$C$123:$C$127)*($H1828&lt;='TaxCred&amp;Subs'!$C$129),'TaxCred&amp;Subs'!$E$123:$E$127,0))</f>
        <v>0</v>
      </c>
      <c r="R1828" s="174">
        <v>0</v>
      </c>
      <c r="S1828" s="126">
        <v>5</v>
      </c>
      <c r="T1828" s="126" t="s">
        <v>225</v>
      </c>
      <c r="U1828"/>
      <c r="V1828" s="153" t="str">
        <f t="array" ref="V1828">INDEX(xlRTCLNAME,MATCH(1,(xlRTCLENDU=1)*(xlRTCLEQCL=$D1828),0))</f>
        <v>NG_RAD</v>
      </c>
      <c r="W1828" s="153" t="str">
        <f t="array" ref="W1828">INDEX(xlRTCLNAME,MATCH(1,(xlRTCLENDU=2)*(xlRTCLEQCL=$F1828),0))</f>
        <v>CENT_AIR</v>
      </c>
      <c r="X1828" s="153" t="str">
        <f t="array" ref="X1828">INDEX(xlRTTYNAME,MATCH(1,(xlRTTYENDU=1)*(xlRTTYEQCL=$D1828)*(xlRTEQTYPE=$E1828),0))</f>
        <v>NG_RAD4</v>
      </c>
      <c r="Y1828" s="153" t="str">
        <f t="array" ref="Y1828">INDEX(xlRTTYNAME,MATCH(1,(xlRTTYENDU=2)*(xlRTTYEQCL=$F1828)*(xlRTEQTYPE=$G1828),0))</f>
        <v>CENT_AIR4</v>
      </c>
    </row>
    <row r="1829" spans="1:25" s="157" customFormat="1" ht="14.25" customHeight="1" x14ac:dyDescent="0.2">
      <c r="A1829"/>
      <c r="B1829" s="49">
        <v>4</v>
      </c>
      <c r="C1829" s="49">
        <v>2</v>
      </c>
      <c r="D1829" s="49">
        <v>4</v>
      </c>
      <c r="E1829" s="49">
        <v>13</v>
      </c>
      <c r="F1829" s="49">
        <v>2</v>
      </c>
      <c r="G1829" s="49">
        <v>8</v>
      </c>
      <c r="H1829" s="49">
        <v>2023</v>
      </c>
      <c r="I1829" s="49">
        <v>2032</v>
      </c>
      <c r="J1829" s="50">
        <v>1.1024</v>
      </c>
      <c r="K1829" s="50">
        <v>1.0435000000000001</v>
      </c>
      <c r="L1829" s="50">
        <v>0.6149</v>
      </c>
      <c r="M1829" s="50">
        <v>1.1499999999999999</v>
      </c>
      <c r="N1829" s="50">
        <v>1.1678999999999999</v>
      </c>
      <c r="O1829" s="50">
        <v>1.0538000000000001</v>
      </c>
      <c r="P1829" s="49">
        <v>2669</v>
      </c>
      <c r="Q1829" s="51">
        <f t="array" ref="Q1829">SUM(IF(($S1829&gt;=4)*($C1829='TaxCred&amp;Subs'!$D$123:$D$127)*($H1829='TaxCred&amp;Subs'!$C$123:$C$127)*($H1829&lt;='TaxCred&amp;Subs'!$C$129),'TaxCred&amp;Subs'!$E$123:$E$127,0))</f>
        <v>500</v>
      </c>
      <c r="R1829" s="171">
        <v>0</v>
      </c>
      <c r="S1829" s="49">
        <v>5</v>
      </c>
      <c r="T1829" s="49" t="s">
        <v>225</v>
      </c>
      <c r="U1829"/>
      <c r="V1829" s="153" t="str">
        <f t="array" ref="V1829">INDEX(xlRTCLNAME,MATCH(1,(xlRTCLENDU=1)*(xlRTCLEQCL=$D1829),0))</f>
        <v>NG_RAD</v>
      </c>
      <c r="W1829" s="153" t="str">
        <f t="array" ref="W1829">INDEX(xlRTCLNAME,MATCH(1,(xlRTCLENDU=2)*(xlRTCLEQCL=$F1829),0))</f>
        <v>CENT_AIR</v>
      </c>
      <c r="X1829" s="153" t="str">
        <f t="array" ref="X1829">INDEX(xlRTTYNAME,MATCH(1,(xlRTTYENDU=1)*(xlRTTYEQCL=$D1829)*(xlRTEQTYPE=$E1829),0))</f>
        <v>NG_RAD4</v>
      </c>
      <c r="Y1829" s="153" t="str">
        <f t="array" ref="Y1829">INDEX(xlRTTYNAME,MATCH(1,(xlRTTYENDU=2)*(xlRTTYEQCL=$F1829)*(xlRTEQTYPE=$G1829),0))</f>
        <v>CENT_AIR4</v>
      </c>
    </row>
    <row r="1830" spans="1:25" s="157" customFormat="1" ht="14.25" customHeight="1" x14ac:dyDescent="0.2">
      <c r="A1830"/>
      <c r="B1830" s="49">
        <v>4</v>
      </c>
      <c r="C1830" s="49">
        <v>2</v>
      </c>
      <c r="D1830" s="49">
        <v>4</v>
      </c>
      <c r="E1830" s="49">
        <v>13</v>
      </c>
      <c r="F1830" s="49">
        <v>2</v>
      </c>
      <c r="G1830" s="49">
        <v>8</v>
      </c>
      <c r="H1830" s="49">
        <v>2033</v>
      </c>
      <c r="I1830" s="49">
        <v>2050</v>
      </c>
      <c r="J1830" s="50">
        <v>1.1024</v>
      </c>
      <c r="K1830" s="50">
        <v>1.0435000000000001</v>
      </c>
      <c r="L1830" s="50">
        <v>0.6149</v>
      </c>
      <c r="M1830" s="50">
        <v>1.1499999999999999</v>
      </c>
      <c r="N1830" s="50">
        <v>1.1678999999999999</v>
      </c>
      <c r="O1830" s="50">
        <v>1.0538000000000001</v>
      </c>
      <c r="P1830" s="49">
        <v>2669</v>
      </c>
      <c r="Q1830" s="51">
        <f t="array" ref="Q1830">SUM(IF(($S1830&gt;=4)*($C1830='TaxCred&amp;Subs'!$D$123:$D$127)*($H1830='TaxCred&amp;Subs'!$C$123:$C$127)*($H1830&lt;='TaxCred&amp;Subs'!$C$129),'TaxCred&amp;Subs'!$E$123:$E$127,0))</f>
        <v>0</v>
      </c>
      <c r="R1830" s="171">
        <v>0</v>
      </c>
      <c r="S1830" s="49">
        <v>5</v>
      </c>
      <c r="T1830" s="49" t="s">
        <v>225</v>
      </c>
      <c r="U1830"/>
      <c r="V1830" s="153" t="str">
        <f t="array" ref="V1830">INDEX(xlRTCLNAME,MATCH(1,(xlRTCLENDU=1)*(xlRTCLEQCL=$D1830),0))</f>
        <v>NG_RAD</v>
      </c>
      <c r="W1830" s="153" t="str">
        <f t="array" ref="W1830">INDEX(xlRTCLNAME,MATCH(1,(xlRTCLENDU=2)*(xlRTCLEQCL=$F1830),0))</f>
        <v>CENT_AIR</v>
      </c>
      <c r="X1830" s="153" t="str">
        <f t="array" ref="X1830">INDEX(xlRTTYNAME,MATCH(1,(xlRTTYENDU=1)*(xlRTTYEQCL=$D1830)*(xlRTEQTYPE=$E1830),0))</f>
        <v>NG_RAD4</v>
      </c>
      <c r="Y1830" s="153" t="str">
        <f t="array" ref="Y1830">INDEX(xlRTTYNAME,MATCH(1,(xlRTTYENDU=2)*(xlRTTYEQCL=$F1830)*(xlRTEQTYPE=$G1830),0))</f>
        <v>CENT_AIR4</v>
      </c>
    </row>
    <row r="1831" spans="1:25" s="157" customFormat="1" ht="14.25" customHeight="1" x14ac:dyDescent="0.2">
      <c r="A1831"/>
      <c r="B1831" s="126">
        <v>5</v>
      </c>
      <c r="C1831" s="126">
        <v>2</v>
      </c>
      <c r="D1831" s="126">
        <v>4</v>
      </c>
      <c r="E1831" s="126">
        <v>13</v>
      </c>
      <c r="F1831" s="126">
        <v>2</v>
      </c>
      <c r="G1831" s="126">
        <v>8</v>
      </c>
      <c r="H1831" s="126">
        <v>2016</v>
      </c>
      <c r="I1831" s="159">
        <v>2022</v>
      </c>
      <c r="J1831" s="127">
        <v>1.03</v>
      </c>
      <c r="K1831" s="127">
        <v>1.03</v>
      </c>
      <c r="L1831" s="127">
        <v>0.44379999999999997</v>
      </c>
      <c r="M1831" s="127">
        <v>1.0314000000000001</v>
      </c>
      <c r="N1831" s="127">
        <v>1.3003</v>
      </c>
      <c r="O1831" s="127">
        <v>1.0538000000000001</v>
      </c>
      <c r="P1831" s="126">
        <v>2401</v>
      </c>
      <c r="Q1831" s="128">
        <f t="array" ref="Q1831">SUM(IF(($S1831&gt;=4)*($C1831='TaxCred&amp;Subs'!$D$123:$D$127)*($H1831='TaxCred&amp;Subs'!$C$123:$C$127)*($H1831&lt;='TaxCred&amp;Subs'!$C$129),'TaxCred&amp;Subs'!$E$123:$E$127,0))</f>
        <v>0</v>
      </c>
      <c r="R1831" s="174">
        <v>0</v>
      </c>
      <c r="S1831" s="126">
        <v>5</v>
      </c>
      <c r="T1831" s="126" t="s">
        <v>225</v>
      </c>
      <c r="U1831"/>
      <c r="V1831" s="153" t="str">
        <f t="array" ref="V1831">INDEX(xlRTCLNAME,MATCH(1,(xlRTCLENDU=1)*(xlRTCLEQCL=$D1831),0))</f>
        <v>NG_RAD</v>
      </c>
      <c r="W1831" s="153" t="str">
        <f t="array" ref="W1831">INDEX(xlRTCLNAME,MATCH(1,(xlRTCLENDU=2)*(xlRTCLEQCL=$F1831),0))</f>
        <v>CENT_AIR</v>
      </c>
      <c r="X1831" s="153" t="str">
        <f t="array" ref="X1831">INDEX(xlRTTYNAME,MATCH(1,(xlRTTYENDU=1)*(xlRTTYEQCL=$D1831)*(xlRTEQTYPE=$E1831),0))</f>
        <v>NG_RAD4</v>
      </c>
      <c r="Y1831" s="153" t="str">
        <f t="array" ref="Y1831">INDEX(xlRTTYNAME,MATCH(1,(xlRTTYENDU=2)*(xlRTTYEQCL=$F1831)*(xlRTEQTYPE=$G1831),0))</f>
        <v>CENT_AIR4</v>
      </c>
    </row>
    <row r="1832" spans="1:25" s="157" customFormat="1" ht="14.25" customHeight="1" x14ac:dyDescent="0.2">
      <c r="A1832"/>
      <c r="B1832" s="49">
        <v>5</v>
      </c>
      <c r="C1832" s="49">
        <v>2</v>
      </c>
      <c r="D1832" s="49">
        <v>4</v>
      </c>
      <c r="E1832" s="49">
        <v>13</v>
      </c>
      <c r="F1832" s="49">
        <v>2</v>
      </c>
      <c r="G1832" s="49">
        <v>8</v>
      </c>
      <c r="H1832" s="49">
        <v>2023</v>
      </c>
      <c r="I1832" s="49">
        <v>2032</v>
      </c>
      <c r="J1832" s="50">
        <v>1.03</v>
      </c>
      <c r="K1832" s="50">
        <v>1.03</v>
      </c>
      <c r="L1832" s="50">
        <v>0.44379999999999997</v>
      </c>
      <c r="M1832" s="50">
        <v>1.0314000000000001</v>
      </c>
      <c r="N1832" s="50">
        <v>1.3003</v>
      </c>
      <c r="O1832" s="50">
        <v>1.0538000000000001</v>
      </c>
      <c r="P1832" s="49">
        <v>2401</v>
      </c>
      <c r="Q1832" s="51">
        <f t="array" ref="Q1832">SUM(IF(($S1832&gt;=4)*($C1832='TaxCred&amp;Subs'!$D$123:$D$127)*($H1832='TaxCred&amp;Subs'!$C$123:$C$127)*($H1832&lt;='TaxCred&amp;Subs'!$C$129),'TaxCred&amp;Subs'!$E$123:$E$127,0))</f>
        <v>500</v>
      </c>
      <c r="R1832" s="171">
        <v>0</v>
      </c>
      <c r="S1832" s="49">
        <v>5</v>
      </c>
      <c r="T1832" s="49" t="s">
        <v>225</v>
      </c>
      <c r="U1832"/>
      <c r="V1832" s="153" t="str">
        <f t="array" ref="V1832">INDEX(xlRTCLNAME,MATCH(1,(xlRTCLENDU=1)*(xlRTCLEQCL=$D1832),0))</f>
        <v>NG_RAD</v>
      </c>
      <c r="W1832" s="153" t="str">
        <f t="array" ref="W1832">INDEX(xlRTCLNAME,MATCH(1,(xlRTCLENDU=2)*(xlRTCLEQCL=$F1832),0))</f>
        <v>CENT_AIR</v>
      </c>
      <c r="X1832" s="153" t="str">
        <f t="array" ref="X1832">INDEX(xlRTTYNAME,MATCH(1,(xlRTTYENDU=1)*(xlRTTYEQCL=$D1832)*(xlRTEQTYPE=$E1832),0))</f>
        <v>NG_RAD4</v>
      </c>
      <c r="Y1832" s="153" t="str">
        <f t="array" ref="Y1832">INDEX(xlRTTYNAME,MATCH(1,(xlRTTYENDU=2)*(xlRTTYEQCL=$F1832)*(xlRTEQTYPE=$G1832),0))</f>
        <v>CENT_AIR4</v>
      </c>
    </row>
    <row r="1833" spans="1:25" s="157" customFormat="1" ht="14.25" customHeight="1" x14ac:dyDescent="0.2">
      <c r="A1833"/>
      <c r="B1833" s="49">
        <v>5</v>
      </c>
      <c r="C1833" s="49">
        <v>2</v>
      </c>
      <c r="D1833" s="49">
        <v>4</v>
      </c>
      <c r="E1833" s="49">
        <v>13</v>
      </c>
      <c r="F1833" s="49">
        <v>2</v>
      </c>
      <c r="G1833" s="49">
        <v>8</v>
      </c>
      <c r="H1833" s="49">
        <v>2033</v>
      </c>
      <c r="I1833" s="49">
        <v>2050</v>
      </c>
      <c r="J1833" s="50">
        <v>1.03</v>
      </c>
      <c r="K1833" s="50">
        <v>1.03</v>
      </c>
      <c r="L1833" s="50">
        <v>0.44379999999999997</v>
      </c>
      <c r="M1833" s="50">
        <v>1.0314000000000001</v>
      </c>
      <c r="N1833" s="50">
        <v>1.3003</v>
      </c>
      <c r="O1833" s="50">
        <v>1.0538000000000001</v>
      </c>
      <c r="P1833" s="49">
        <v>2401</v>
      </c>
      <c r="Q1833" s="51">
        <f t="array" ref="Q1833">SUM(IF(($S1833&gt;=4)*($C1833='TaxCred&amp;Subs'!$D$123:$D$127)*($H1833='TaxCred&amp;Subs'!$C$123:$C$127)*($H1833&lt;='TaxCred&amp;Subs'!$C$129),'TaxCred&amp;Subs'!$E$123:$E$127,0))</f>
        <v>0</v>
      </c>
      <c r="R1833" s="171">
        <v>0</v>
      </c>
      <c r="S1833" s="49">
        <v>5</v>
      </c>
      <c r="T1833" s="49" t="s">
        <v>225</v>
      </c>
      <c r="U1833"/>
      <c r="V1833" s="153" t="str">
        <f t="array" ref="V1833">INDEX(xlRTCLNAME,MATCH(1,(xlRTCLENDU=1)*(xlRTCLEQCL=$D1833),0))</f>
        <v>NG_RAD</v>
      </c>
      <c r="W1833" s="153" t="str">
        <f t="array" ref="W1833">INDEX(xlRTCLNAME,MATCH(1,(xlRTCLENDU=2)*(xlRTCLEQCL=$F1833),0))</f>
        <v>CENT_AIR</v>
      </c>
      <c r="X1833" s="153" t="str">
        <f t="array" ref="X1833">INDEX(xlRTTYNAME,MATCH(1,(xlRTTYENDU=1)*(xlRTTYEQCL=$D1833)*(xlRTEQTYPE=$E1833),0))</f>
        <v>NG_RAD4</v>
      </c>
      <c r="Y1833" s="153" t="str">
        <f t="array" ref="Y1833">INDEX(xlRTTYNAME,MATCH(1,(xlRTTYENDU=2)*(xlRTTYEQCL=$F1833)*(xlRTEQTYPE=$G1833),0))</f>
        <v>CENT_AIR4</v>
      </c>
    </row>
    <row r="1834" spans="1:25" s="157" customFormat="1" ht="14.25" customHeight="1" x14ac:dyDescent="0.2">
      <c r="A1834"/>
      <c r="B1834" s="126">
        <v>6</v>
      </c>
      <c r="C1834" s="126">
        <v>2</v>
      </c>
      <c r="D1834" s="126">
        <v>4</v>
      </c>
      <c r="E1834" s="126">
        <v>13</v>
      </c>
      <c r="F1834" s="126">
        <v>2</v>
      </c>
      <c r="G1834" s="126">
        <v>8</v>
      </c>
      <c r="H1834" s="126">
        <v>2016</v>
      </c>
      <c r="I1834" s="159">
        <v>2022</v>
      </c>
      <c r="J1834" s="127">
        <v>1.1200000000000001</v>
      </c>
      <c r="K1834" s="127">
        <v>1.0417000000000001</v>
      </c>
      <c r="L1834" s="127">
        <v>0.44379999999999997</v>
      </c>
      <c r="M1834" s="127">
        <v>1.0546</v>
      </c>
      <c r="N1834" s="127">
        <v>1.3656999999999999</v>
      </c>
      <c r="O1834" s="127">
        <v>1.0538000000000001</v>
      </c>
      <c r="P1834" s="126">
        <v>2657</v>
      </c>
      <c r="Q1834" s="128">
        <f t="array" ref="Q1834">SUM(IF(($S1834&gt;=4)*($C1834='TaxCred&amp;Subs'!$D$123:$D$127)*($H1834='TaxCred&amp;Subs'!$C$123:$C$127)*($H1834&lt;='TaxCred&amp;Subs'!$C$129),'TaxCred&amp;Subs'!$E$123:$E$127,0))</f>
        <v>0</v>
      </c>
      <c r="R1834" s="174">
        <v>0</v>
      </c>
      <c r="S1834" s="126">
        <v>5</v>
      </c>
      <c r="T1834" s="126" t="s">
        <v>225</v>
      </c>
      <c r="U1834"/>
      <c r="V1834" s="153" t="str">
        <f t="array" ref="V1834">INDEX(xlRTCLNAME,MATCH(1,(xlRTCLENDU=1)*(xlRTCLEQCL=$D1834),0))</f>
        <v>NG_RAD</v>
      </c>
      <c r="W1834" s="153" t="str">
        <f t="array" ref="W1834">INDEX(xlRTCLNAME,MATCH(1,(xlRTCLENDU=2)*(xlRTCLEQCL=$F1834),0))</f>
        <v>CENT_AIR</v>
      </c>
      <c r="X1834" s="153" t="str">
        <f t="array" ref="X1834">INDEX(xlRTTYNAME,MATCH(1,(xlRTTYENDU=1)*(xlRTTYEQCL=$D1834)*(xlRTEQTYPE=$E1834),0))</f>
        <v>NG_RAD4</v>
      </c>
      <c r="Y1834" s="153" t="str">
        <f t="array" ref="Y1834">INDEX(xlRTTYNAME,MATCH(1,(xlRTTYENDU=2)*(xlRTTYEQCL=$F1834)*(xlRTEQTYPE=$G1834),0))</f>
        <v>CENT_AIR4</v>
      </c>
    </row>
    <row r="1835" spans="1:25" s="157" customFormat="1" ht="14.25" customHeight="1" x14ac:dyDescent="0.2">
      <c r="A1835"/>
      <c r="B1835" s="49">
        <v>6</v>
      </c>
      <c r="C1835" s="49">
        <v>2</v>
      </c>
      <c r="D1835" s="49">
        <v>4</v>
      </c>
      <c r="E1835" s="49">
        <v>13</v>
      </c>
      <c r="F1835" s="49">
        <v>2</v>
      </c>
      <c r="G1835" s="49">
        <v>8</v>
      </c>
      <c r="H1835" s="49">
        <v>2023</v>
      </c>
      <c r="I1835" s="49">
        <v>2032</v>
      </c>
      <c r="J1835" s="50">
        <v>1.1200000000000001</v>
      </c>
      <c r="K1835" s="50">
        <v>1.0417000000000001</v>
      </c>
      <c r="L1835" s="50">
        <v>0.44379999999999997</v>
      </c>
      <c r="M1835" s="50">
        <v>1.0546</v>
      </c>
      <c r="N1835" s="50">
        <v>1.3656999999999999</v>
      </c>
      <c r="O1835" s="50">
        <v>1.0538000000000001</v>
      </c>
      <c r="P1835" s="49">
        <v>2657</v>
      </c>
      <c r="Q1835" s="51">
        <f t="array" ref="Q1835">SUM(IF(($S1835&gt;=4)*($C1835='TaxCred&amp;Subs'!$D$123:$D$127)*($H1835='TaxCred&amp;Subs'!$C$123:$C$127)*($H1835&lt;='TaxCred&amp;Subs'!$C$129),'TaxCred&amp;Subs'!$E$123:$E$127,0))</f>
        <v>500</v>
      </c>
      <c r="R1835" s="171">
        <v>0</v>
      </c>
      <c r="S1835" s="49">
        <v>5</v>
      </c>
      <c r="T1835" s="49" t="s">
        <v>225</v>
      </c>
      <c r="U1835"/>
      <c r="V1835" s="153" t="str">
        <f t="array" ref="V1835">INDEX(xlRTCLNAME,MATCH(1,(xlRTCLENDU=1)*(xlRTCLEQCL=$D1835),0))</f>
        <v>NG_RAD</v>
      </c>
      <c r="W1835" s="153" t="str">
        <f t="array" ref="W1835">INDEX(xlRTCLNAME,MATCH(1,(xlRTCLENDU=2)*(xlRTCLEQCL=$F1835),0))</f>
        <v>CENT_AIR</v>
      </c>
      <c r="X1835" s="153" t="str">
        <f t="array" ref="X1835">INDEX(xlRTTYNAME,MATCH(1,(xlRTTYENDU=1)*(xlRTTYEQCL=$D1835)*(xlRTEQTYPE=$E1835),0))</f>
        <v>NG_RAD4</v>
      </c>
      <c r="Y1835" s="153" t="str">
        <f t="array" ref="Y1835">INDEX(xlRTTYNAME,MATCH(1,(xlRTTYENDU=2)*(xlRTTYEQCL=$F1835)*(xlRTEQTYPE=$G1835),0))</f>
        <v>CENT_AIR4</v>
      </c>
    </row>
    <row r="1836" spans="1:25" s="157" customFormat="1" ht="14.25" customHeight="1" x14ac:dyDescent="0.2">
      <c r="A1836"/>
      <c r="B1836" s="49">
        <v>6</v>
      </c>
      <c r="C1836" s="49">
        <v>2</v>
      </c>
      <c r="D1836" s="49">
        <v>4</v>
      </c>
      <c r="E1836" s="49">
        <v>13</v>
      </c>
      <c r="F1836" s="49">
        <v>2</v>
      </c>
      <c r="G1836" s="49">
        <v>8</v>
      </c>
      <c r="H1836" s="49">
        <v>2033</v>
      </c>
      <c r="I1836" s="49">
        <v>2050</v>
      </c>
      <c r="J1836" s="50">
        <v>1.1200000000000001</v>
      </c>
      <c r="K1836" s="50">
        <v>1.0417000000000001</v>
      </c>
      <c r="L1836" s="50">
        <v>0.44379999999999997</v>
      </c>
      <c r="M1836" s="50">
        <v>1.0546</v>
      </c>
      <c r="N1836" s="50">
        <v>1.3656999999999999</v>
      </c>
      <c r="O1836" s="50">
        <v>1.0538000000000001</v>
      </c>
      <c r="P1836" s="49">
        <v>2657</v>
      </c>
      <c r="Q1836" s="51">
        <f t="array" ref="Q1836">SUM(IF(($S1836&gt;=4)*($C1836='TaxCred&amp;Subs'!$D$123:$D$127)*($H1836='TaxCred&amp;Subs'!$C$123:$C$127)*($H1836&lt;='TaxCred&amp;Subs'!$C$129),'TaxCred&amp;Subs'!$E$123:$E$127,0))</f>
        <v>0</v>
      </c>
      <c r="R1836" s="171">
        <v>0</v>
      </c>
      <c r="S1836" s="49">
        <v>5</v>
      </c>
      <c r="T1836" s="49" t="s">
        <v>225</v>
      </c>
      <c r="U1836"/>
      <c r="V1836" s="153" t="str">
        <f t="array" ref="V1836">INDEX(xlRTCLNAME,MATCH(1,(xlRTCLENDU=1)*(xlRTCLEQCL=$D1836),0))</f>
        <v>NG_RAD</v>
      </c>
      <c r="W1836" s="153" t="str">
        <f t="array" ref="W1836">INDEX(xlRTCLNAME,MATCH(1,(xlRTCLENDU=2)*(xlRTCLEQCL=$F1836),0))</f>
        <v>CENT_AIR</v>
      </c>
      <c r="X1836" s="153" t="str">
        <f t="array" ref="X1836">INDEX(xlRTTYNAME,MATCH(1,(xlRTTYENDU=1)*(xlRTTYEQCL=$D1836)*(xlRTEQTYPE=$E1836),0))</f>
        <v>NG_RAD4</v>
      </c>
      <c r="Y1836" s="153" t="str">
        <f t="array" ref="Y1836">INDEX(xlRTTYNAME,MATCH(1,(xlRTTYENDU=2)*(xlRTTYEQCL=$F1836)*(xlRTEQTYPE=$G1836),0))</f>
        <v>CENT_AIR4</v>
      </c>
    </row>
    <row r="1837" spans="1:25" s="157" customFormat="1" ht="14.25" customHeight="1" x14ac:dyDescent="0.2">
      <c r="A1837"/>
      <c r="B1837" s="126">
        <v>7</v>
      </c>
      <c r="C1837" s="126">
        <v>2</v>
      </c>
      <c r="D1837" s="126">
        <v>4</v>
      </c>
      <c r="E1837" s="126">
        <v>13</v>
      </c>
      <c r="F1837" s="126">
        <v>2</v>
      </c>
      <c r="G1837" s="126">
        <v>8</v>
      </c>
      <c r="H1837" s="126">
        <v>2016</v>
      </c>
      <c r="I1837" s="159">
        <v>2022</v>
      </c>
      <c r="J1837" s="127">
        <v>1.1200000000000001</v>
      </c>
      <c r="K1837" s="127">
        <v>1.0462</v>
      </c>
      <c r="L1837" s="127">
        <v>0.44379999999999997</v>
      </c>
      <c r="M1837" s="127">
        <v>1.0569</v>
      </c>
      <c r="N1837" s="127">
        <v>1.4438</v>
      </c>
      <c r="O1837" s="127">
        <v>1.0538000000000001</v>
      </c>
      <c r="P1837" s="126">
        <v>2321</v>
      </c>
      <c r="Q1837" s="128">
        <f t="array" ref="Q1837">SUM(IF(($S1837&gt;=4)*($C1837='TaxCred&amp;Subs'!$D$123:$D$127)*($H1837='TaxCred&amp;Subs'!$C$123:$C$127)*($H1837&lt;='TaxCred&amp;Subs'!$C$129),'TaxCred&amp;Subs'!$E$123:$E$127,0))</f>
        <v>0</v>
      </c>
      <c r="R1837" s="174">
        <v>0</v>
      </c>
      <c r="S1837" s="126">
        <v>5</v>
      </c>
      <c r="T1837" s="126" t="s">
        <v>225</v>
      </c>
      <c r="U1837"/>
      <c r="V1837" s="153" t="str">
        <f t="array" ref="V1837">INDEX(xlRTCLNAME,MATCH(1,(xlRTCLENDU=1)*(xlRTCLEQCL=$D1837),0))</f>
        <v>NG_RAD</v>
      </c>
      <c r="W1837" s="153" t="str">
        <f t="array" ref="W1837">INDEX(xlRTCLNAME,MATCH(1,(xlRTCLENDU=2)*(xlRTCLEQCL=$F1837),0))</f>
        <v>CENT_AIR</v>
      </c>
      <c r="X1837" s="153" t="str">
        <f t="array" ref="X1837">INDEX(xlRTTYNAME,MATCH(1,(xlRTTYENDU=1)*(xlRTTYEQCL=$D1837)*(xlRTEQTYPE=$E1837),0))</f>
        <v>NG_RAD4</v>
      </c>
      <c r="Y1837" s="153" t="str">
        <f t="array" ref="Y1837">INDEX(xlRTTYNAME,MATCH(1,(xlRTTYENDU=2)*(xlRTTYEQCL=$F1837)*(xlRTEQTYPE=$G1837),0))</f>
        <v>CENT_AIR4</v>
      </c>
    </row>
    <row r="1838" spans="1:25" s="157" customFormat="1" ht="14.25" customHeight="1" x14ac:dyDescent="0.2">
      <c r="A1838"/>
      <c r="B1838" s="49">
        <v>7</v>
      </c>
      <c r="C1838" s="49">
        <v>2</v>
      </c>
      <c r="D1838" s="49">
        <v>4</v>
      </c>
      <c r="E1838" s="49">
        <v>13</v>
      </c>
      <c r="F1838" s="49">
        <v>2</v>
      </c>
      <c r="G1838" s="49">
        <v>8</v>
      </c>
      <c r="H1838" s="49">
        <v>2023</v>
      </c>
      <c r="I1838" s="49">
        <v>2032</v>
      </c>
      <c r="J1838" s="50">
        <v>1.1200000000000001</v>
      </c>
      <c r="K1838" s="50">
        <v>1.0462</v>
      </c>
      <c r="L1838" s="50">
        <v>0.44379999999999997</v>
      </c>
      <c r="M1838" s="50">
        <v>1.0569</v>
      </c>
      <c r="N1838" s="50">
        <v>1.4438</v>
      </c>
      <c r="O1838" s="50">
        <v>1.0538000000000001</v>
      </c>
      <c r="P1838" s="49">
        <v>2321</v>
      </c>
      <c r="Q1838" s="51">
        <f t="array" ref="Q1838">SUM(IF(($S1838&gt;=4)*($C1838='TaxCred&amp;Subs'!$D$123:$D$127)*($H1838='TaxCred&amp;Subs'!$C$123:$C$127)*($H1838&lt;='TaxCred&amp;Subs'!$C$129),'TaxCred&amp;Subs'!$E$123:$E$127,0))</f>
        <v>500</v>
      </c>
      <c r="R1838" s="171">
        <v>0</v>
      </c>
      <c r="S1838" s="49">
        <v>5</v>
      </c>
      <c r="T1838" s="49" t="s">
        <v>225</v>
      </c>
      <c r="U1838"/>
      <c r="V1838" s="153" t="str">
        <f t="array" ref="V1838">INDEX(xlRTCLNAME,MATCH(1,(xlRTCLENDU=1)*(xlRTCLEQCL=$D1838),0))</f>
        <v>NG_RAD</v>
      </c>
      <c r="W1838" s="153" t="str">
        <f t="array" ref="W1838">INDEX(xlRTCLNAME,MATCH(1,(xlRTCLENDU=2)*(xlRTCLEQCL=$F1838),0))</f>
        <v>CENT_AIR</v>
      </c>
      <c r="X1838" s="153" t="str">
        <f t="array" ref="X1838">INDEX(xlRTTYNAME,MATCH(1,(xlRTTYENDU=1)*(xlRTTYEQCL=$D1838)*(xlRTEQTYPE=$E1838),0))</f>
        <v>NG_RAD4</v>
      </c>
      <c r="Y1838" s="153" t="str">
        <f t="array" ref="Y1838">INDEX(xlRTTYNAME,MATCH(1,(xlRTTYENDU=2)*(xlRTTYEQCL=$F1838)*(xlRTEQTYPE=$G1838),0))</f>
        <v>CENT_AIR4</v>
      </c>
    </row>
    <row r="1839" spans="1:25" s="157" customFormat="1" ht="14.25" customHeight="1" x14ac:dyDescent="0.2">
      <c r="A1839"/>
      <c r="B1839" s="49">
        <v>7</v>
      </c>
      <c r="C1839" s="49">
        <v>2</v>
      </c>
      <c r="D1839" s="49">
        <v>4</v>
      </c>
      <c r="E1839" s="49">
        <v>13</v>
      </c>
      <c r="F1839" s="49">
        <v>2</v>
      </c>
      <c r="G1839" s="49">
        <v>8</v>
      </c>
      <c r="H1839" s="49">
        <v>2033</v>
      </c>
      <c r="I1839" s="49">
        <v>2050</v>
      </c>
      <c r="J1839" s="50">
        <v>1.1200000000000001</v>
      </c>
      <c r="K1839" s="50">
        <v>1.0462</v>
      </c>
      <c r="L1839" s="50">
        <v>0.44379999999999997</v>
      </c>
      <c r="M1839" s="50">
        <v>1.0569</v>
      </c>
      <c r="N1839" s="50">
        <v>1.4438</v>
      </c>
      <c r="O1839" s="50">
        <v>1.0538000000000001</v>
      </c>
      <c r="P1839" s="49">
        <v>2321</v>
      </c>
      <c r="Q1839" s="51">
        <f t="array" ref="Q1839">SUM(IF(($S1839&gt;=4)*($C1839='TaxCred&amp;Subs'!$D$123:$D$127)*($H1839='TaxCred&amp;Subs'!$C$123:$C$127)*($H1839&lt;='TaxCred&amp;Subs'!$C$129),'TaxCred&amp;Subs'!$E$123:$E$127,0))</f>
        <v>0</v>
      </c>
      <c r="R1839" s="171">
        <v>0</v>
      </c>
      <c r="S1839" s="49">
        <v>5</v>
      </c>
      <c r="T1839" s="49" t="s">
        <v>225</v>
      </c>
      <c r="U1839"/>
      <c r="V1839" s="153" t="str">
        <f t="array" ref="V1839">INDEX(xlRTCLNAME,MATCH(1,(xlRTCLENDU=1)*(xlRTCLEQCL=$D1839),0))</f>
        <v>NG_RAD</v>
      </c>
      <c r="W1839" s="153" t="str">
        <f t="array" ref="W1839">INDEX(xlRTCLNAME,MATCH(1,(xlRTCLENDU=2)*(xlRTCLEQCL=$F1839),0))</f>
        <v>CENT_AIR</v>
      </c>
      <c r="X1839" s="153" t="str">
        <f t="array" ref="X1839">INDEX(xlRTTYNAME,MATCH(1,(xlRTTYENDU=1)*(xlRTTYEQCL=$D1839)*(xlRTEQTYPE=$E1839),0))</f>
        <v>NG_RAD4</v>
      </c>
      <c r="Y1839" s="153" t="str">
        <f t="array" ref="Y1839">INDEX(xlRTTYNAME,MATCH(1,(xlRTTYENDU=2)*(xlRTTYEQCL=$F1839)*(xlRTEQTYPE=$G1839),0))</f>
        <v>CENT_AIR4</v>
      </c>
    </row>
    <row r="1840" spans="1:25" s="157" customFormat="1" ht="14.25" customHeight="1" x14ac:dyDescent="0.2">
      <c r="A1840"/>
      <c r="B1840" s="126">
        <v>8</v>
      </c>
      <c r="C1840" s="126">
        <v>2</v>
      </c>
      <c r="D1840" s="126">
        <v>4</v>
      </c>
      <c r="E1840" s="126">
        <v>13</v>
      </c>
      <c r="F1840" s="126">
        <v>2</v>
      </c>
      <c r="G1840" s="126">
        <v>8</v>
      </c>
      <c r="H1840" s="126">
        <v>2016</v>
      </c>
      <c r="I1840" s="159">
        <v>2022</v>
      </c>
      <c r="J1840" s="127">
        <v>1.1045</v>
      </c>
      <c r="K1840" s="127">
        <v>1.0323</v>
      </c>
      <c r="L1840" s="127">
        <v>0.53910000000000002</v>
      </c>
      <c r="M1840" s="127">
        <v>1.2087000000000001</v>
      </c>
      <c r="N1840" s="127">
        <v>1.2847999999999999</v>
      </c>
      <c r="O1840" s="127">
        <v>1.0538000000000001</v>
      </c>
      <c r="P1840" s="126">
        <v>2889</v>
      </c>
      <c r="Q1840" s="128">
        <f t="array" ref="Q1840">SUM(IF(($S1840&gt;=4)*($C1840='TaxCred&amp;Subs'!$D$123:$D$127)*($H1840='TaxCred&amp;Subs'!$C$123:$C$127)*($H1840&lt;='TaxCred&amp;Subs'!$C$129),'TaxCred&amp;Subs'!$E$123:$E$127,0))</f>
        <v>0</v>
      </c>
      <c r="R1840" s="174">
        <v>0</v>
      </c>
      <c r="S1840" s="126">
        <v>5</v>
      </c>
      <c r="T1840" s="126" t="s">
        <v>225</v>
      </c>
      <c r="U1840"/>
      <c r="V1840" s="153" t="str">
        <f t="array" ref="V1840">INDEX(xlRTCLNAME,MATCH(1,(xlRTCLENDU=1)*(xlRTCLEQCL=$D1840),0))</f>
        <v>NG_RAD</v>
      </c>
      <c r="W1840" s="153" t="str">
        <f t="array" ref="W1840">INDEX(xlRTCLNAME,MATCH(1,(xlRTCLENDU=2)*(xlRTCLEQCL=$F1840),0))</f>
        <v>CENT_AIR</v>
      </c>
      <c r="X1840" s="153" t="str">
        <f t="array" ref="X1840">INDEX(xlRTTYNAME,MATCH(1,(xlRTTYENDU=1)*(xlRTTYEQCL=$D1840)*(xlRTEQTYPE=$E1840),0))</f>
        <v>NG_RAD4</v>
      </c>
      <c r="Y1840" s="153" t="str">
        <f t="array" ref="Y1840">INDEX(xlRTTYNAME,MATCH(1,(xlRTTYENDU=2)*(xlRTTYEQCL=$F1840)*(xlRTEQTYPE=$G1840),0))</f>
        <v>CENT_AIR4</v>
      </c>
    </row>
    <row r="1841" spans="1:25" s="157" customFormat="1" ht="14.25" customHeight="1" x14ac:dyDescent="0.2">
      <c r="A1841"/>
      <c r="B1841" s="49">
        <v>8</v>
      </c>
      <c r="C1841" s="49">
        <v>2</v>
      </c>
      <c r="D1841" s="49">
        <v>4</v>
      </c>
      <c r="E1841" s="49">
        <v>13</v>
      </c>
      <c r="F1841" s="49">
        <v>2</v>
      </c>
      <c r="G1841" s="49">
        <v>8</v>
      </c>
      <c r="H1841" s="49">
        <v>2023</v>
      </c>
      <c r="I1841" s="49">
        <v>2032</v>
      </c>
      <c r="J1841" s="50">
        <v>1.1045</v>
      </c>
      <c r="K1841" s="50">
        <v>1.0323</v>
      </c>
      <c r="L1841" s="50">
        <v>0.53910000000000002</v>
      </c>
      <c r="M1841" s="50">
        <v>1.2087000000000001</v>
      </c>
      <c r="N1841" s="50">
        <v>1.2847999999999999</v>
      </c>
      <c r="O1841" s="50">
        <v>1.0538000000000001</v>
      </c>
      <c r="P1841" s="49">
        <v>2889</v>
      </c>
      <c r="Q1841" s="51">
        <f t="array" ref="Q1841">SUM(IF(($S1841&gt;=4)*($C1841='TaxCred&amp;Subs'!$D$123:$D$127)*($H1841='TaxCred&amp;Subs'!$C$123:$C$127)*($H1841&lt;='TaxCred&amp;Subs'!$C$129),'TaxCred&amp;Subs'!$E$123:$E$127,0))</f>
        <v>500</v>
      </c>
      <c r="R1841" s="171">
        <v>0</v>
      </c>
      <c r="S1841" s="49">
        <v>5</v>
      </c>
      <c r="T1841" s="49" t="s">
        <v>225</v>
      </c>
      <c r="U1841"/>
      <c r="V1841" s="153" t="str">
        <f t="array" ref="V1841">INDEX(xlRTCLNAME,MATCH(1,(xlRTCLENDU=1)*(xlRTCLEQCL=$D1841),0))</f>
        <v>NG_RAD</v>
      </c>
      <c r="W1841" s="153" t="str">
        <f t="array" ref="W1841">INDEX(xlRTCLNAME,MATCH(1,(xlRTCLENDU=2)*(xlRTCLEQCL=$F1841),0))</f>
        <v>CENT_AIR</v>
      </c>
      <c r="X1841" s="153" t="str">
        <f t="array" ref="X1841">INDEX(xlRTTYNAME,MATCH(1,(xlRTTYENDU=1)*(xlRTTYEQCL=$D1841)*(xlRTEQTYPE=$E1841),0))</f>
        <v>NG_RAD4</v>
      </c>
      <c r="Y1841" s="153" t="str">
        <f t="array" ref="Y1841">INDEX(xlRTTYNAME,MATCH(1,(xlRTTYENDU=2)*(xlRTTYEQCL=$F1841)*(xlRTEQTYPE=$G1841),0))</f>
        <v>CENT_AIR4</v>
      </c>
    </row>
    <row r="1842" spans="1:25" s="157" customFormat="1" ht="14.25" customHeight="1" x14ac:dyDescent="0.2">
      <c r="A1842"/>
      <c r="B1842" s="49">
        <v>8</v>
      </c>
      <c r="C1842" s="49">
        <v>2</v>
      </c>
      <c r="D1842" s="49">
        <v>4</v>
      </c>
      <c r="E1842" s="49">
        <v>13</v>
      </c>
      <c r="F1842" s="49">
        <v>2</v>
      </c>
      <c r="G1842" s="49">
        <v>8</v>
      </c>
      <c r="H1842" s="49">
        <v>2033</v>
      </c>
      <c r="I1842" s="49">
        <v>2050</v>
      </c>
      <c r="J1842" s="50">
        <v>1.1045</v>
      </c>
      <c r="K1842" s="50">
        <v>1.0323</v>
      </c>
      <c r="L1842" s="50">
        <v>0.53910000000000002</v>
      </c>
      <c r="M1842" s="50">
        <v>1.2087000000000001</v>
      </c>
      <c r="N1842" s="50">
        <v>1.2847999999999999</v>
      </c>
      <c r="O1842" s="50">
        <v>1.0538000000000001</v>
      </c>
      <c r="P1842" s="49">
        <v>2889</v>
      </c>
      <c r="Q1842" s="51">
        <f t="array" ref="Q1842">SUM(IF(($S1842&gt;=4)*($C1842='TaxCred&amp;Subs'!$D$123:$D$127)*($H1842='TaxCred&amp;Subs'!$C$123:$C$127)*($H1842&lt;='TaxCred&amp;Subs'!$C$129),'TaxCred&amp;Subs'!$E$123:$E$127,0))</f>
        <v>0</v>
      </c>
      <c r="R1842" s="171">
        <v>0</v>
      </c>
      <c r="S1842" s="49">
        <v>5</v>
      </c>
      <c r="T1842" s="49" t="s">
        <v>225</v>
      </c>
      <c r="U1842"/>
      <c r="V1842" s="153" t="str">
        <f t="array" ref="V1842">INDEX(xlRTCLNAME,MATCH(1,(xlRTCLENDU=1)*(xlRTCLEQCL=$D1842),0))</f>
        <v>NG_RAD</v>
      </c>
      <c r="W1842" s="153" t="str">
        <f t="array" ref="W1842">INDEX(xlRTCLNAME,MATCH(1,(xlRTCLENDU=2)*(xlRTCLEQCL=$F1842),0))</f>
        <v>CENT_AIR</v>
      </c>
      <c r="X1842" s="153" t="str">
        <f t="array" ref="X1842">INDEX(xlRTTYNAME,MATCH(1,(xlRTTYENDU=1)*(xlRTTYEQCL=$D1842)*(xlRTEQTYPE=$E1842),0))</f>
        <v>NG_RAD4</v>
      </c>
      <c r="Y1842" s="153" t="str">
        <f t="array" ref="Y1842">INDEX(xlRTTYNAME,MATCH(1,(xlRTTYENDU=2)*(xlRTTYEQCL=$F1842)*(xlRTEQTYPE=$G1842),0))</f>
        <v>CENT_AIR4</v>
      </c>
    </row>
    <row r="1843" spans="1:25" s="157" customFormat="1" ht="14.25" customHeight="1" x14ac:dyDescent="0.2">
      <c r="A1843"/>
      <c r="B1843" s="126">
        <v>9</v>
      </c>
      <c r="C1843" s="126">
        <v>2</v>
      </c>
      <c r="D1843" s="126">
        <v>4</v>
      </c>
      <c r="E1843" s="126">
        <v>13</v>
      </c>
      <c r="F1843" s="126">
        <v>2</v>
      </c>
      <c r="G1843" s="126">
        <v>8</v>
      </c>
      <c r="H1843" s="126">
        <v>2016</v>
      </c>
      <c r="I1843" s="159">
        <v>2022</v>
      </c>
      <c r="J1843" s="127">
        <v>1.1200000000000001</v>
      </c>
      <c r="K1843" s="127">
        <v>1.0541</v>
      </c>
      <c r="L1843" s="127">
        <v>0.44379999999999997</v>
      </c>
      <c r="M1843" s="127">
        <v>1.1167</v>
      </c>
      <c r="N1843" s="127">
        <v>1.4438</v>
      </c>
      <c r="O1843" s="127">
        <v>1.0538000000000001</v>
      </c>
      <c r="P1843" s="126">
        <v>3308</v>
      </c>
      <c r="Q1843" s="128">
        <f t="array" ref="Q1843">SUM(IF(($S1843&gt;=4)*($C1843='TaxCred&amp;Subs'!$D$123:$D$127)*($H1843='TaxCred&amp;Subs'!$C$123:$C$127)*($H1843&lt;='TaxCred&amp;Subs'!$C$129),'TaxCred&amp;Subs'!$E$123:$E$127,0))</f>
        <v>0</v>
      </c>
      <c r="R1843" s="174">
        <v>0</v>
      </c>
      <c r="S1843" s="126">
        <v>5</v>
      </c>
      <c r="T1843" s="126" t="s">
        <v>225</v>
      </c>
      <c r="U1843"/>
      <c r="V1843" s="153" t="str">
        <f t="array" ref="V1843">INDEX(xlRTCLNAME,MATCH(1,(xlRTCLENDU=1)*(xlRTCLEQCL=$D1843),0))</f>
        <v>NG_RAD</v>
      </c>
      <c r="W1843" s="153" t="str">
        <f t="array" ref="W1843">INDEX(xlRTCLNAME,MATCH(1,(xlRTCLENDU=2)*(xlRTCLEQCL=$F1843),0))</f>
        <v>CENT_AIR</v>
      </c>
      <c r="X1843" s="153" t="str">
        <f t="array" ref="X1843">INDEX(xlRTTYNAME,MATCH(1,(xlRTTYENDU=1)*(xlRTTYEQCL=$D1843)*(xlRTEQTYPE=$E1843),0))</f>
        <v>NG_RAD4</v>
      </c>
      <c r="Y1843" s="153" t="str">
        <f t="array" ref="Y1843">INDEX(xlRTTYNAME,MATCH(1,(xlRTTYENDU=2)*(xlRTTYEQCL=$F1843)*(xlRTEQTYPE=$G1843),0))</f>
        <v>CENT_AIR4</v>
      </c>
    </row>
    <row r="1844" spans="1:25" s="157" customFormat="1" ht="14.25" customHeight="1" x14ac:dyDescent="0.2">
      <c r="A1844"/>
      <c r="B1844" s="49">
        <v>9</v>
      </c>
      <c r="C1844" s="49">
        <v>2</v>
      </c>
      <c r="D1844" s="49">
        <v>4</v>
      </c>
      <c r="E1844" s="49">
        <v>13</v>
      </c>
      <c r="F1844" s="49">
        <v>2</v>
      </c>
      <c r="G1844" s="49">
        <v>8</v>
      </c>
      <c r="H1844" s="49">
        <v>2023</v>
      </c>
      <c r="I1844" s="49">
        <v>2032</v>
      </c>
      <c r="J1844" s="50">
        <v>1.1200000000000001</v>
      </c>
      <c r="K1844" s="50">
        <v>1.0541</v>
      </c>
      <c r="L1844" s="50">
        <v>0.44379999999999997</v>
      </c>
      <c r="M1844" s="50">
        <v>1.1167</v>
      </c>
      <c r="N1844" s="50">
        <v>1.4438</v>
      </c>
      <c r="O1844" s="50">
        <v>1.0538000000000001</v>
      </c>
      <c r="P1844" s="49">
        <v>3308</v>
      </c>
      <c r="Q1844" s="51">
        <f t="array" ref="Q1844">SUM(IF(($S1844&gt;=4)*($C1844='TaxCred&amp;Subs'!$D$123:$D$127)*($H1844='TaxCred&amp;Subs'!$C$123:$C$127)*($H1844&lt;='TaxCred&amp;Subs'!$C$129),'TaxCred&amp;Subs'!$E$123:$E$127,0))</f>
        <v>500</v>
      </c>
      <c r="R1844" s="171">
        <v>0</v>
      </c>
      <c r="S1844" s="49">
        <v>5</v>
      </c>
      <c r="T1844" s="49" t="s">
        <v>225</v>
      </c>
      <c r="U1844"/>
      <c r="V1844" s="153" t="str">
        <f t="array" ref="V1844">INDEX(xlRTCLNAME,MATCH(1,(xlRTCLENDU=1)*(xlRTCLEQCL=$D1844),0))</f>
        <v>NG_RAD</v>
      </c>
      <c r="W1844" s="153" t="str">
        <f t="array" ref="W1844">INDEX(xlRTCLNAME,MATCH(1,(xlRTCLENDU=2)*(xlRTCLEQCL=$F1844),0))</f>
        <v>CENT_AIR</v>
      </c>
      <c r="X1844" s="153" t="str">
        <f t="array" ref="X1844">INDEX(xlRTTYNAME,MATCH(1,(xlRTTYENDU=1)*(xlRTTYEQCL=$D1844)*(xlRTEQTYPE=$E1844),0))</f>
        <v>NG_RAD4</v>
      </c>
      <c r="Y1844" s="153" t="str">
        <f t="array" ref="Y1844">INDEX(xlRTTYNAME,MATCH(1,(xlRTTYENDU=2)*(xlRTTYEQCL=$F1844)*(xlRTEQTYPE=$G1844),0))</f>
        <v>CENT_AIR4</v>
      </c>
    </row>
    <row r="1845" spans="1:25" s="157" customFormat="1" ht="14.25" customHeight="1" x14ac:dyDescent="0.2">
      <c r="A1845"/>
      <c r="B1845" s="49">
        <v>9</v>
      </c>
      <c r="C1845" s="49">
        <v>2</v>
      </c>
      <c r="D1845" s="49">
        <v>4</v>
      </c>
      <c r="E1845" s="49">
        <v>13</v>
      </c>
      <c r="F1845" s="49">
        <v>2</v>
      </c>
      <c r="G1845" s="49">
        <v>8</v>
      </c>
      <c r="H1845" s="49">
        <v>2033</v>
      </c>
      <c r="I1845" s="49">
        <v>2050</v>
      </c>
      <c r="J1845" s="50">
        <v>1.1200000000000001</v>
      </c>
      <c r="K1845" s="50">
        <v>1.0541</v>
      </c>
      <c r="L1845" s="50">
        <v>0.44379999999999997</v>
      </c>
      <c r="M1845" s="50">
        <v>1.1167</v>
      </c>
      <c r="N1845" s="50">
        <v>1.4438</v>
      </c>
      <c r="O1845" s="50">
        <v>1.0538000000000001</v>
      </c>
      <c r="P1845" s="49">
        <v>3308</v>
      </c>
      <c r="Q1845" s="51">
        <f t="array" ref="Q1845">SUM(IF(($S1845&gt;=4)*($C1845='TaxCred&amp;Subs'!$D$123:$D$127)*($H1845='TaxCred&amp;Subs'!$C$123:$C$127)*($H1845&lt;='TaxCred&amp;Subs'!$C$129),'TaxCred&amp;Subs'!$E$123:$E$127,0))</f>
        <v>0</v>
      </c>
      <c r="R1845" s="171">
        <v>0</v>
      </c>
      <c r="S1845" s="49">
        <v>5</v>
      </c>
      <c r="T1845" s="49" t="s">
        <v>225</v>
      </c>
      <c r="U1845"/>
      <c r="V1845" s="153" t="str">
        <f t="array" ref="V1845">INDEX(xlRTCLNAME,MATCH(1,(xlRTCLENDU=1)*(xlRTCLEQCL=$D1845),0))</f>
        <v>NG_RAD</v>
      </c>
      <c r="W1845" s="153" t="str">
        <f t="array" ref="W1845">INDEX(xlRTCLNAME,MATCH(1,(xlRTCLENDU=2)*(xlRTCLEQCL=$F1845),0))</f>
        <v>CENT_AIR</v>
      </c>
      <c r="X1845" s="153" t="str">
        <f t="array" ref="X1845">INDEX(xlRTTYNAME,MATCH(1,(xlRTTYENDU=1)*(xlRTTYEQCL=$D1845)*(xlRTEQTYPE=$E1845),0))</f>
        <v>NG_RAD4</v>
      </c>
      <c r="Y1845" s="153" t="str">
        <f t="array" ref="Y1845">INDEX(xlRTTYNAME,MATCH(1,(xlRTTYENDU=2)*(xlRTTYEQCL=$F1845)*(xlRTEQTYPE=$G1845),0))</f>
        <v>CENT_AIR4</v>
      </c>
    </row>
    <row r="1846" spans="1:25" s="157" customFormat="1" ht="14.25" customHeight="1" x14ac:dyDescent="0.2">
      <c r="A1846"/>
      <c r="B1846" s="129">
        <v>1</v>
      </c>
      <c r="C1846" s="129">
        <v>2</v>
      </c>
      <c r="D1846" s="129">
        <v>5</v>
      </c>
      <c r="E1846" s="129">
        <v>17</v>
      </c>
      <c r="F1846" s="129">
        <v>2</v>
      </c>
      <c r="G1846" s="129">
        <v>8</v>
      </c>
      <c r="H1846" s="129">
        <v>2016</v>
      </c>
      <c r="I1846" s="38">
        <v>2022</v>
      </c>
      <c r="J1846" s="130">
        <v>1.0956999999999999</v>
      </c>
      <c r="K1846" s="130">
        <v>1.0417000000000001</v>
      </c>
      <c r="L1846" s="130">
        <v>0.58340000000000003</v>
      </c>
      <c r="M1846" s="130">
        <v>1.1228</v>
      </c>
      <c r="N1846" s="130">
        <v>1.1153</v>
      </c>
      <c r="O1846" s="130">
        <v>1.0538000000000001</v>
      </c>
      <c r="P1846" s="129">
        <v>3776</v>
      </c>
      <c r="Q1846" s="128">
        <f t="array" ref="Q1846">SUM(IF(($S1846&gt;=4)*($C1846='TaxCred&amp;Subs'!$D$123:$D$127)*($H1846='TaxCred&amp;Subs'!$C$123:$C$127)*($H1846&lt;='TaxCred&amp;Subs'!$C$129),'TaxCred&amp;Subs'!$E$123:$E$127,0))</f>
        <v>0</v>
      </c>
      <c r="R1846" s="174">
        <v>0</v>
      </c>
      <c r="S1846" s="129">
        <v>5</v>
      </c>
      <c r="T1846" s="129" t="s">
        <v>225</v>
      </c>
      <c r="U1846" s="155" t="s">
        <v>235</v>
      </c>
      <c r="V1846" s="153" t="str">
        <f t="array" ref="V1846">INDEX(xlRTCLNAME,MATCH(1,(xlRTCLENDU=1)*(xlRTCLEQCL=$D1846),0))</f>
        <v>KERO_FA</v>
      </c>
      <c r="W1846" s="153" t="str">
        <f t="array" ref="W1846">INDEX(xlRTCLNAME,MATCH(1,(xlRTCLENDU=2)*(xlRTCLEQCL=$F1846),0))</f>
        <v>CENT_AIR</v>
      </c>
      <c r="X1846" s="153" t="str">
        <f t="array" ref="X1846">INDEX(xlRTTYNAME,MATCH(1,(xlRTTYENDU=1)*(xlRTTYEQCL=$D1846)*(xlRTEQTYPE=$E1846),0))</f>
        <v>KERO_FA4</v>
      </c>
      <c r="Y1846" s="153" t="str">
        <f t="array" ref="Y1846">INDEX(xlRTTYNAME,MATCH(1,(xlRTTYENDU=2)*(xlRTTYEQCL=$F1846)*(xlRTEQTYPE=$G1846),0))</f>
        <v>CENT_AIR4</v>
      </c>
    </row>
    <row r="1847" spans="1:25" s="157" customFormat="1" ht="14.25" customHeight="1" x14ac:dyDescent="0.2">
      <c r="A1847"/>
      <c r="B1847" s="131">
        <v>1</v>
      </c>
      <c r="C1847" s="131">
        <v>2</v>
      </c>
      <c r="D1847" s="131">
        <v>5</v>
      </c>
      <c r="E1847" s="131">
        <v>17</v>
      </c>
      <c r="F1847" s="131">
        <v>2</v>
      </c>
      <c r="G1847" s="131">
        <v>8</v>
      </c>
      <c r="H1847" s="131">
        <v>2023</v>
      </c>
      <c r="I1847" s="131">
        <v>2032</v>
      </c>
      <c r="J1847" s="132">
        <v>1.0956999999999999</v>
      </c>
      <c r="K1847" s="132">
        <v>1.0417000000000001</v>
      </c>
      <c r="L1847" s="132">
        <v>0.58340000000000003</v>
      </c>
      <c r="M1847" s="132">
        <v>1.1228</v>
      </c>
      <c r="N1847" s="132">
        <v>1.1153</v>
      </c>
      <c r="O1847" s="132">
        <v>1.0538000000000001</v>
      </c>
      <c r="P1847" s="131">
        <v>3776</v>
      </c>
      <c r="Q1847" s="51">
        <f t="array" ref="Q1847">SUM(IF(($S1847&gt;=4)*($C1847='TaxCred&amp;Subs'!$D$123:$D$127)*($H1847='TaxCred&amp;Subs'!$C$123:$C$127)*($H1847&lt;='TaxCred&amp;Subs'!$C$129),'TaxCred&amp;Subs'!$E$123:$E$127,0))</f>
        <v>500</v>
      </c>
      <c r="R1847" s="171">
        <v>0</v>
      </c>
      <c r="S1847" s="131">
        <v>5</v>
      </c>
      <c r="T1847" s="131" t="s">
        <v>225</v>
      </c>
      <c r="U1847" s="155" t="s">
        <v>235</v>
      </c>
      <c r="V1847" s="153" t="str">
        <f t="array" ref="V1847">INDEX(xlRTCLNAME,MATCH(1,(xlRTCLENDU=1)*(xlRTCLEQCL=$D1847),0))</f>
        <v>KERO_FA</v>
      </c>
      <c r="W1847" s="153" t="str">
        <f t="array" ref="W1847">INDEX(xlRTCLNAME,MATCH(1,(xlRTCLENDU=2)*(xlRTCLEQCL=$F1847),0))</f>
        <v>CENT_AIR</v>
      </c>
      <c r="X1847" s="153" t="str">
        <f t="array" ref="X1847">INDEX(xlRTTYNAME,MATCH(1,(xlRTTYENDU=1)*(xlRTTYEQCL=$D1847)*(xlRTEQTYPE=$E1847),0))</f>
        <v>KERO_FA4</v>
      </c>
      <c r="Y1847" s="153" t="str">
        <f t="array" ref="Y1847">INDEX(xlRTTYNAME,MATCH(1,(xlRTTYENDU=2)*(xlRTTYEQCL=$F1847)*(xlRTEQTYPE=$G1847),0))</f>
        <v>CENT_AIR4</v>
      </c>
    </row>
    <row r="1848" spans="1:25" s="157" customFormat="1" ht="14.25" customHeight="1" x14ac:dyDescent="0.2">
      <c r="A1848"/>
      <c r="B1848" s="131">
        <v>1</v>
      </c>
      <c r="C1848" s="131">
        <v>2</v>
      </c>
      <c r="D1848" s="131">
        <v>5</v>
      </c>
      <c r="E1848" s="131">
        <v>17</v>
      </c>
      <c r="F1848" s="131">
        <v>2</v>
      </c>
      <c r="G1848" s="131">
        <v>8</v>
      </c>
      <c r="H1848" s="131">
        <v>2033</v>
      </c>
      <c r="I1848" s="131">
        <v>2050</v>
      </c>
      <c r="J1848" s="132">
        <v>1.0956999999999999</v>
      </c>
      <c r="K1848" s="132">
        <v>1.0417000000000001</v>
      </c>
      <c r="L1848" s="132">
        <v>0.58340000000000003</v>
      </c>
      <c r="M1848" s="132">
        <v>1.1228</v>
      </c>
      <c r="N1848" s="132">
        <v>1.1153</v>
      </c>
      <c r="O1848" s="132">
        <v>1.0538000000000001</v>
      </c>
      <c r="P1848" s="131">
        <v>3776</v>
      </c>
      <c r="Q1848" s="51">
        <f t="array" ref="Q1848">SUM(IF(($S1848&gt;=4)*($C1848='TaxCred&amp;Subs'!$D$123:$D$127)*($H1848='TaxCred&amp;Subs'!$C$123:$C$127)*($H1848&lt;='TaxCred&amp;Subs'!$C$129),'TaxCred&amp;Subs'!$E$123:$E$127,0))</f>
        <v>0</v>
      </c>
      <c r="R1848" s="171">
        <v>0</v>
      </c>
      <c r="S1848" s="131">
        <v>5</v>
      </c>
      <c r="T1848" s="131" t="s">
        <v>225</v>
      </c>
      <c r="U1848" s="155" t="s">
        <v>235</v>
      </c>
      <c r="V1848" s="153" t="str">
        <f t="array" ref="V1848">INDEX(xlRTCLNAME,MATCH(1,(xlRTCLENDU=1)*(xlRTCLEQCL=$D1848),0))</f>
        <v>KERO_FA</v>
      </c>
      <c r="W1848" s="153" t="str">
        <f t="array" ref="W1848">INDEX(xlRTCLNAME,MATCH(1,(xlRTCLENDU=2)*(xlRTCLEQCL=$F1848),0))</f>
        <v>CENT_AIR</v>
      </c>
      <c r="X1848" s="153" t="str">
        <f t="array" ref="X1848">INDEX(xlRTTYNAME,MATCH(1,(xlRTTYENDU=1)*(xlRTTYEQCL=$D1848)*(xlRTEQTYPE=$E1848),0))</f>
        <v>KERO_FA4</v>
      </c>
      <c r="Y1848" s="153" t="str">
        <f t="array" ref="Y1848">INDEX(xlRTTYNAME,MATCH(1,(xlRTTYENDU=2)*(xlRTTYEQCL=$F1848)*(xlRTEQTYPE=$G1848),0))</f>
        <v>CENT_AIR4</v>
      </c>
    </row>
    <row r="1849" spans="1:25" s="157" customFormat="1" ht="14.25" customHeight="1" x14ac:dyDescent="0.2">
      <c r="A1849"/>
      <c r="B1849" s="129">
        <v>2</v>
      </c>
      <c r="C1849" s="129">
        <v>2</v>
      </c>
      <c r="D1849" s="129">
        <v>5</v>
      </c>
      <c r="E1849" s="129">
        <v>17</v>
      </c>
      <c r="F1849" s="129">
        <v>2</v>
      </c>
      <c r="G1849" s="129">
        <v>8</v>
      </c>
      <c r="H1849" s="129">
        <v>2016</v>
      </c>
      <c r="I1849" s="38">
        <v>2022</v>
      </c>
      <c r="J1849" s="130">
        <v>1.1059000000000001</v>
      </c>
      <c r="K1849" s="130">
        <v>1.0357000000000001</v>
      </c>
      <c r="L1849" s="130">
        <v>0.56499999999999995</v>
      </c>
      <c r="M1849" s="130">
        <v>1.1416999999999999</v>
      </c>
      <c r="N1849" s="130">
        <v>1.1176999999999999</v>
      </c>
      <c r="O1849" s="130">
        <v>1.0538000000000001</v>
      </c>
      <c r="P1849" s="129">
        <v>3572</v>
      </c>
      <c r="Q1849" s="128">
        <f t="array" ref="Q1849">SUM(IF(($S1849&gt;=4)*($C1849='TaxCred&amp;Subs'!$D$123:$D$127)*($H1849='TaxCred&amp;Subs'!$C$123:$C$127)*($H1849&lt;='TaxCred&amp;Subs'!$C$129),'TaxCred&amp;Subs'!$E$123:$E$127,0))</f>
        <v>0</v>
      </c>
      <c r="R1849" s="174">
        <v>0</v>
      </c>
      <c r="S1849" s="129">
        <v>5</v>
      </c>
      <c r="T1849" s="129" t="s">
        <v>225</v>
      </c>
      <c r="U1849" s="155" t="s">
        <v>235</v>
      </c>
      <c r="V1849" s="153" t="str">
        <f t="array" ref="V1849">INDEX(xlRTCLNAME,MATCH(1,(xlRTCLENDU=1)*(xlRTCLEQCL=$D1849),0))</f>
        <v>KERO_FA</v>
      </c>
      <c r="W1849" s="153" t="str">
        <f t="array" ref="W1849">INDEX(xlRTCLNAME,MATCH(1,(xlRTCLENDU=2)*(xlRTCLEQCL=$F1849),0))</f>
        <v>CENT_AIR</v>
      </c>
      <c r="X1849" s="153" t="str">
        <f t="array" ref="X1849">INDEX(xlRTTYNAME,MATCH(1,(xlRTTYENDU=1)*(xlRTTYEQCL=$D1849)*(xlRTEQTYPE=$E1849),0))</f>
        <v>KERO_FA4</v>
      </c>
      <c r="Y1849" s="153" t="str">
        <f t="array" ref="Y1849">INDEX(xlRTTYNAME,MATCH(1,(xlRTTYENDU=2)*(xlRTTYEQCL=$F1849)*(xlRTEQTYPE=$G1849),0))</f>
        <v>CENT_AIR4</v>
      </c>
    </row>
    <row r="1850" spans="1:25" s="157" customFormat="1" ht="14.25" customHeight="1" x14ac:dyDescent="0.2">
      <c r="A1850"/>
      <c r="B1850" s="131">
        <v>2</v>
      </c>
      <c r="C1850" s="131">
        <v>2</v>
      </c>
      <c r="D1850" s="131">
        <v>5</v>
      </c>
      <c r="E1850" s="131">
        <v>17</v>
      </c>
      <c r="F1850" s="131">
        <v>2</v>
      </c>
      <c r="G1850" s="131">
        <v>8</v>
      </c>
      <c r="H1850" s="131">
        <v>2023</v>
      </c>
      <c r="I1850" s="131">
        <v>2032</v>
      </c>
      <c r="J1850" s="132">
        <v>1.1059000000000001</v>
      </c>
      <c r="K1850" s="132">
        <v>1.0357000000000001</v>
      </c>
      <c r="L1850" s="132">
        <v>0.56499999999999995</v>
      </c>
      <c r="M1850" s="132">
        <v>1.1416999999999999</v>
      </c>
      <c r="N1850" s="132">
        <v>1.1176999999999999</v>
      </c>
      <c r="O1850" s="132">
        <v>1.0538000000000001</v>
      </c>
      <c r="P1850" s="131">
        <v>3572</v>
      </c>
      <c r="Q1850" s="51">
        <f t="array" ref="Q1850">SUM(IF(($S1850&gt;=4)*($C1850='TaxCred&amp;Subs'!$D$123:$D$127)*($H1850='TaxCred&amp;Subs'!$C$123:$C$127)*($H1850&lt;='TaxCred&amp;Subs'!$C$129),'TaxCred&amp;Subs'!$E$123:$E$127,0))</f>
        <v>500</v>
      </c>
      <c r="R1850" s="171">
        <v>0</v>
      </c>
      <c r="S1850" s="131">
        <v>5</v>
      </c>
      <c r="T1850" s="131" t="s">
        <v>225</v>
      </c>
      <c r="U1850" s="155" t="s">
        <v>235</v>
      </c>
      <c r="V1850" s="153" t="str">
        <f t="array" ref="V1850">INDEX(xlRTCLNAME,MATCH(1,(xlRTCLENDU=1)*(xlRTCLEQCL=$D1850),0))</f>
        <v>KERO_FA</v>
      </c>
      <c r="W1850" s="153" t="str">
        <f t="array" ref="W1850">INDEX(xlRTCLNAME,MATCH(1,(xlRTCLENDU=2)*(xlRTCLEQCL=$F1850),0))</f>
        <v>CENT_AIR</v>
      </c>
      <c r="X1850" s="153" t="str">
        <f t="array" ref="X1850">INDEX(xlRTTYNAME,MATCH(1,(xlRTTYENDU=1)*(xlRTTYEQCL=$D1850)*(xlRTEQTYPE=$E1850),0))</f>
        <v>KERO_FA4</v>
      </c>
      <c r="Y1850" s="153" t="str">
        <f t="array" ref="Y1850">INDEX(xlRTTYNAME,MATCH(1,(xlRTTYENDU=2)*(xlRTTYEQCL=$F1850)*(xlRTEQTYPE=$G1850),0))</f>
        <v>CENT_AIR4</v>
      </c>
    </row>
    <row r="1851" spans="1:25" s="157" customFormat="1" ht="14.25" customHeight="1" x14ac:dyDescent="0.2">
      <c r="A1851"/>
      <c r="B1851" s="131">
        <v>2</v>
      </c>
      <c r="C1851" s="131">
        <v>2</v>
      </c>
      <c r="D1851" s="131">
        <v>5</v>
      </c>
      <c r="E1851" s="131">
        <v>17</v>
      </c>
      <c r="F1851" s="131">
        <v>2</v>
      </c>
      <c r="G1851" s="131">
        <v>8</v>
      </c>
      <c r="H1851" s="131">
        <v>2033</v>
      </c>
      <c r="I1851" s="131">
        <v>2050</v>
      </c>
      <c r="J1851" s="132">
        <v>1.1059000000000001</v>
      </c>
      <c r="K1851" s="132">
        <v>1.0357000000000001</v>
      </c>
      <c r="L1851" s="132">
        <v>0.56499999999999995</v>
      </c>
      <c r="M1851" s="132">
        <v>1.1416999999999999</v>
      </c>
      <c r="N1851" s="132">
        <v>1.1176999999999999</v>
      </c>
      <c r="O1851" s="132">
        <v>1.0538000000000001</v>
      </c>
      <c r="P1851" s="131">
        <v>3572</v>
      </c>
      <c r="Q1851" s="51">
        <f t="array" ref="Q1851">SUM(IF(($S1851&gt;=4)*($C1851='TaxCred&amp;Subs'!$D$123:$D$127)*($H1851='TaxCred&amp;Subs'!$C$123:$C$127)*($H1851&lt;='TaxCred&amp;Subs'!$C$129),'TaxCred&amp;Subs'!$E$123:$E$127,0))</f>
        <v>0</v>
      </c>
      <c r="R1851" s="171">
        <v>0</v>
      </c>
      <c r="S1851" s="131">
        <v>5</v>
      </c>
      <c r="T1851" s="131" t="s">
        <v>225</v>
      </c>
      <c r="U1851" s="155" t="s">
        <v>235</v>
      </c>
      <c r="V1851" s="153" t="str">
        <f t="array" ref="V1851">INDEX(xlRTCLNAME,MATCH(1,(xlRTCLENDU=1)*(xlRTCLEQCL=$D1851),0))</f>
        <v>KERO_FA</v>
      </c>
      <c r="W1851" s="153" t="str">
        <f t="array" ref="W1851">INDEX(xlRTCLNAME,MATCH(1,(xlRTCLENDU=2)*(xlRTCLEQCL=$F1851),0))</f>
        <v>CENT_AIR</v>
      </c>
      <c r="X1851" s="153" t="str">
        <f t="array" ref="X1851">INDEX(xlRTTYNAME,MATCH(1,(xlRTTYENDU=1)*(xlRTTYEQCL=$D1851)*(xlRTEQTYPE=$E1851),0))</f>
        <v>KERO_FA4</v>
      </c>
      <c r="Y1851" s="153" t="str">
        <f t="array" ref="Y1851">INDEX(xlRTTYNAME,MATCH(1,(xlRTTYENDU=2)*(xlRTTYEQCL=$F1851)*(xlRTEQTYPE=$G1851),0))</f>
        <v>CENT_AIR4</v>
      </c>
    </row>
    <row r="1852" spans="1:25" s="157" customFormat="1" ht="14.25" customHeight="1" x14ac:dyDescent="0.2">
      <c r="A1852"/>
      <c r="B1852" s="129">
        <v>3</v>
      </c>
      <c r="C1852" s="129">
        <v>2</v>
      </c>
      <c r="D1852" s="129">
        <v>5</v>
      </c>
      <c r="E1852" s="129">
        <v>17</v>
      </c>
      <c r="F1852" s="129">
        <v>2</v>
      </c>
      <c r="G1852" s="129">
        <v>8</v>
      </c>
      <c r="H1852" s="129">
        <v>2016</v>
      </c>
      <c r="I1852" s="38">
        <v>2022</v>
      </c>
      <c r="J1852" s="130">
        <v>1.099</v>
      </c>
      <c r="K1852" s="130">
        <v>1.03</v>
      </c>
      <c r="L1852" s="130">
        <v>0.55759999999999998</v>
      </c>
      <c r="M1852" s="130">
        <v>0.8931</v>
      </c>
      <c r="N1852" s="130">
        <v>1.0381</v>
      </c>
      <c r="O1852" s="130">
        <v>1.0538000000000001</v>
      </c>
      <c r="P1852" s="129">
        <v>3206</v>
      </c>
      <c r="Q1852" s="128">
        <f t="array" ref="Q1852">SUM(IF(($S1852&gt;=4)*($C1852='TaxCred&amp;Subs'!$D$123:$D$127)*($H1852='TaxCred&amp;Subs'!$C$123:$C$127)*($H1852&lt;='TaxCred&amp;Subs'!$C$129),'TaxCred&amp;Subs'!$E$123:$E$127,0))</f>
        <v>0</v>
      </c>
      <c r="R1852" s="174">
        <v>0</v>
      </c>
      <c r="S1852" s="129">
        <v>5</v>
      </c>
      <c r="T1852" s="129" t="s">
        <v>225</v>
      </c>
      <c r="U1852" s="155" t="s">
        <v>235</v>
      </c>
      <c r="V1852" s="153" t="str">
        <f t="array" ref="V1852">INDEX(xlRTCLNAME,MATCH(1,(xlRTCLENDU=1)*(xlRTCLEQCL=$D1852),0))</f>
        <v>KERO_FA</v>
      </c>
      <c r="W1852" s="153" t="str">
        <f t="array" ref="W1852">INDEX(xlRTCLNAME,MATCH(1,(xlRTCLENDU=2)*(xlRTCLEQCL=$F1852),0))</f>
        <v>CENT_AIR</v>
      </c>
      <c r="X1852" s="153" t="str">
        <f t="array" ref="X1852">INDEX(xlRTTYNAME,MATCH(1,(xlRTTYENDU=1)*(xlRTTYEQCL=$D1852)*(xlRTEQTYPE=$E1852),0))</f>
        <v>KERO_FA4</v>
      </c>
      <c r="Y1852" s="153" t="str">
        <f t="array" ref="Y1852">INDEX(xlRTTYNAME,MATCH(1,(xlRTTYENDU=2)*(xlRTTYEQCL=$F1852)*(xlRTEQTYPE=$G1852),0))</f>
        <v>CENT_AIR4</v>
      </c>
    </row>
    <row r="1853" spans="1:25" s="157" customFormat="1" ht="14.25" customHeight="1" x14ac:dyDescent="0.2">
      <c r="A1853"/>
      <c r="B1853" s="131">
        <v>3</v>
      </c>
      <c r="C1853" s="131">
        <v>2</v>
      </c>
      <c r="D1853" s="131">
        <v>5</v>
      </c>
      <c r="E1853" s="131">
        <v>17</v>
      </c>
      <c r="F1853" s="131">
        <v>2</v>
      </c>
      <c r="G1853" s="131">
        <v>8</v>
      </c>
      <c r="H1853" s="131">
        <v>2023</v>
      </c>
      <c r="I1853" s="131">
        <v>2032</v>
      </c>
      <c r="J1853" s="132">
        <v>1.099</v>
      </c>
      <c r="K1853" s="132">
        <v>1.03</v>
      </c>
      <c r="L1853" s="132">
        <v>0.55759999999999998</v>
      </c>
      <c r="M1853" s="132">
        <v>0.8931</v>
      </c>
      <c r="N1853" s="132">
        <v>1.0381</v>
      </c>
      <c r="O1853" s="132">
        <v>1.0538000000000001</v>
      </c>
      <c r="P1853" s="131">
        <v>3206</v>
      </c>
      <c r="Q1853" s="51">
        <f t="array" ref="Q1853">SUM(IF(($S1853&gt;=4)*($C1853='TaxCred&amp;Subs'!$D$123:$D$127)*($H1853='TaxCred&amp;Subs'!$C$123:$C$127)*($H1853&lt;='TaxCred&amp;Subs'!$C$129),'TaxCred&amp;Subs'!$E$123:$E$127,0))</f>
        <v>500</v>
      </c>
      <c r="R1853" s="171">
        <v>0</v>
      </c>
      <c r="S1853" s="131">
        <v>5</v>
      </c>
      <c r="T1853" s="131" t="s">
        <v>225</v>
      </c>
      <c r="U1853" s="155" t="s">
        <v>235</v>
      </c>
      <c r="V1853" s="153" t="str">
        <f t="array" ref="V1853">INDEX(xlRTCLNAME,MATCH(1,(xlRTCLENDU=1)*(xlRTCLEQCL=$D1853),0))</f>
        <v>KERO_FA</v>
      </c>
      <c r="W1853" s="153" t="str">
        <f t="array" ref="W1853">INDEX(xlRTCLNAME,MATCH(1,(xlRTCLENDU=2)*(xlRTCLEQCL=$F1853),0))</f>
        <v>CENT_AIR</v>
      </c>
      <c r="X1853" s="153" t="str">
        <f t="array" ref="X1853">INDEX(xlRTTYNAME,MATCH(1,(xlRTTYENDU=1)*(xlRTTYEQCL=$D1853)*(xlRTEQTYPE=$E1853),0))</f>
        <v>KERO_FA4</v>
      </c>
      <c r="Y1853" s="153" t="str">
        <f t="array" ref="Y1853">INDEX(xlRTTYNAME,MATCH(1,(xlRTTYENDU=2)*(xlRTTYEQCL=$F1853)*(xlRTEQTYPE=$G1853),0))</f>
        <v>CENT_AIR4</v>
      </c>
    </row>
    <row r="1854" spans="1:25" s="157" customFormat="1" ht="14.25" customHeight="1" x14ac:dyDescent="0.2">
      <c r="A1854"/>
      <c r="B1854" s="131">
        <v>3</v>
      </c>
      <c r="C1854" s="131">
        <v>2</v>
      </c>
      <c r="D1854" s="131">
        <v>5</v>
      </c>
      <c r="E1854" s="131">
        <v>17</v>
      </c>
      <c r="F1854" s="131">
        <v>2</v>
      </c>
      <c r="G1854" s="131">
        <v>8</v>
      </c>
      <c r="H1854" s="131">
        <v>2033</v>
      </c>
      <c r="I1854" s="131">
        <v>2050</v>
      </c>
      <c r="J1854" s="132">
        <v>1.099</v>
      </c>
      <c r="K1854" s="132">
        <v>1.03</v>
      </c>
      <c r="L1854" s="132">
        <v>0.55759999999999998</v>
      </c>
      <c r="M1854" s="132">
        <v>0.8931</v>
      </c>
      <c r="N1854" s="132">
        <v>1.0381</v>
      </c>
      <c r="O1854" s="132">
        <v>1.0538000000000001</v>
      </c>
      <c r="P1854" s="131">
        <v>3206</v>
      </c>
      <c r="Q1854" s="51">
        <f t="array" ref="Q1854">SUM(IF(($S1854&gt;=4)*($C1854='TaxCred&amp;Subs'!$D$123:$D$127)*($H1854='TaxCred&amp;Subs'!$C$123:$C$127)*($H1854&lt;='TaxCred&amp;Subs'!$C$129),'TaxCred&amp;Subs'!$E$123:$E$127,0))</f>
        <v>0</v>
      </c>
      <c r="R1854" s="171">
        <v>0</v>
      </c>
      <c r="S1854" s="131">
        <v>5</v>
      </c>
      <c r="T1854" s="131" t="s">
        <v>225</v>
      </c>
      <c r="U1854" s="155" t="s">
        <v>235</v>
      </c>
      <c r="V1854" s="153" t="str">
        <f t="array" ref="V1854">INDEX(xlRTCLNAME,MATCH(1,(xlRTCLENDU=1)*(xlRTCLEQCL=$D1854),0))</f>
        <v>KERO_FA</v>
      </c>
      <c r="W1854" s="153" t="str">
        <f t="array" ref="W1854">INDEX(xlRTCLNAME,MATCH(1,(xlRTCLENDU=2)*(xlRTCLEQCL=$F1854),0))</f>
        <v>CENT_AIR</v>
      </c>
      <c r="X1854" s="153" t="str">
        <f t="array" ref="X1854">INDEX(xlRTTYNAME,MATCH(1,(xlRTTYENDU=1)*(xlRTTYEQCL=$D1854)*(xlRTEQTYPE=$E1854),0))</f>
        <v>KERO_FA4</v>
      </c>
      <c r="Y1854" s="153" t="str">
        <f t="array" ref="Y1854">INDEX(xlRTTYNAME,MATCH(1,(xlRTTYENDU=2)*(xlRTTYEQCL=$F1854)*(xlRTEQTYPE=$G1854),0))</f>
        <v>CENT_AIR4</v>
      </c>
    </row>
    <row r="1855" spans="1:25" s="157" customFormat="1" ht="14.25" customHeight="1" x14ac:dyDescent="0.2">
      <c r="A1855"/>
      <c r="B1855" s="129">
        <v>4</v>
      </c>
      <c r="C1855" s="129">
        <v>2</v>
      </c>
      <c r="D1855" s="129">
        <v>5</v>
      </c>
      <c r="E1855" s="129">
        <v>17</v>
      </c>
      <c r="F1855" s="129">
        <v>2</v>
      </c>
      <c r="G1855" s="129">
        <v>8</v>
      </c>
      <c r="H1855" s="129">
        <v>2016</v>
      </c>
      <c r="I1855" s="38">
        <v>2022</v>
      </c>
      <c r="J1855" s="130">
        <v>1.0934999999999999</v>
      </c>
      <c r="K1855" s="130">
        <v>1.0435000000000001</v>
      </c>
      <c r="L1855" s="130">
        <v>0.62490000000000001</v>
      </c>
      <c r="M1855" s="130">
        <v>1.1499999999999999</v>
      </c>
      <c r="N1855" s="130">
        <v>1.1696</v>
      </c>
      <c r="O1855" s="130">
        <v>1.0538000000000001</v>
      </c>
      <c r="P1855" s="129">
        <v>2777</v>
      </c>
      <c r="Q1855" s="128">
        <f t="array" ref="Q1855">SUM(IF(($S1855&gt;=4)*($C1855='TaxCred&amp;Subs'!$D$123:$D$127)*($H1855='TaxCred&amp;Subs'!$C$123:$C$127)*($H1855&lt;='TaxCred&amp;Subs'!$C$129),'TaxCred&amp;Subs'!$E$123:$E$127,0))</f>
        <v>0</v>
      </c>
      <c r="R1855" s="174">
        <v>0</v>
      </c>
      <c r="S1855" s="129">
        <v>5</v>
      </c>
      <c r="T1855" s="129" t="s">
        <v>225</v>
      </c>
      <c r="U1855" s="155" t="s">
        <v>235</v>
      </c>
      <c r="V1855" s="153" t="str">
        <f t="array" ref="V1855">INDEX(xlRTCLNAME,MATCH(1,(xlRTCLENDU=1)*(xlRTCLEQCL=$D1855),0))</f>
        <v>KERO_FA</v>
      </c>
      <c r="W1855" s="153" t="str">
        <f t="array" ref="W1855">INDEX(xlRTCLNAME,MATCH(1,(xlRTCLENDU=2)*(xlRTCLEQCL=$F1855),0))</f>
        <v>CENT_AIR</v>
      </c>
      <c r="X1855" s="153" t="str">
        <f t="array" ref="X1855">INDEX(xlRTTYNAME,MATCH(1,(xlRTTYENDU=1)*(xlRTTYEQCL=$D1855)*(xlRTEQTYPE=$E1855),0))</f>
        <v>KERO_FA4</v>
      </c>
      <c r="Y1855" s="153" t="str">
        <f t="array" ref="Y1855">INDEX(xlRTTYNAME,MATCH(1,(xlRTTYENDU=2)*(xlRTTYEQCL=$F1855)*(xlRTEQTYPE=$G1855),0))</f>
        <v>CENT_AIR4</v>
      </c>
    </row>
    <row r="1856" spans="1:25" s="157" customFormat="1" ht="14.25" customHeight="1" x14ac:dyDescent="0.2">
      <c r="A1856"/>
      <c r="B1856" s="131">
        <v>4</v>
      </c>
      <c r="C1856" s="131">
        <v>2</v>
      </c>
      <c r="D1856" s="131">
        <v>5</v>
      </c>
      <c r="E1856" s="131">
        <v>17</v>
      </c>
      <c r="F1856" s="131">
        <v>2</v>
      </c>
      <c r="G1856" s="131">
        <v>8</v>
      </c>
      <c r="H1856" s="131">
        <v>2023</v>
      </c>
      <c r="I1856" s="131">
        <v>2032</v>
      </c>
      <c r="J1856" s="132">
        <v>1.0934999999999999</v>
      </c>
      <c r="K1856" s="132">
        <v>1.0435000000000001</v>
      </c>
      <c r="L1856" s="132">
        <v>0.62490000000000001</v>
      </c>
      <c r="M1856" s="132">
        <v>1.1499999999999999</v>
      </c>
      <c r="N1856" s="132">
        <v>1.1696</v>
      </c>
      <c r="O1856" s="132">
        <v>1.0538000000000001</v>
      </c>
      <c r="P1856" s="131">
        <v>2777</v>
      </c>
      <c r="Q1856" s="51">
        <f t="array" ref="Q1856">SUM(IF(($S1856&gt;=4)*($C1856='TaxCred&amp;Subs'!$D$123:$D$127)*($H1856='TaxCred&amp;Subs'!$C$123:$C$127)*($H1856&lt;='TaxCred&amp;Subs'!$C$129),'TaxCred&amp;Subs'!$E$123:$E$127,0))</f>
        <v>500</v>
      </c>
      <c r="R1856" s="171">
        <v>0</v>
      </c>
      <c r="S1856" s="131">
        <v>5</v>
      </c>
      <c r="T1856" s="131" t="s">
        <v>225</v>
      </c>
      <c r="U1856" s="155" t="s">
        <v>235</v>
      </c>
      <c r="V1856" s="153" t="str">
        <f t="array" ref="V1856">INDEX(xlRTCLNAME,MATCH(1,(xlRTCLENDU=1)*(xlRTCLEQCL=$D1856),0))</f>
        <v>KERO_FA</v>
      </c>
      <c r="W1856" s="153" t="str">
        <f t="array" ref="W1856">INDEX(xlRTCLNAME,MATCH(1,(xlRTCLENDU=2)*(xlRTCLEQCL=$F1856),0))</f>
        <v>CENT_AIR</v>
      </c>
      <c r="X1856" s="153" t="str">
        <f t="array" ref="X1856">INDEX(xlRTTYNAME,MATCH(1,(xlRTTYENDU=1)*(xlRTTYEQCL=$D1856)*(xlRTEQTYPE=$E1856),0))</f>
        <v>KERO_FA4</v>
      </c>
      <c r="Y1856" s="153" t="str">
        <f t="array" ref="Y1856">INDEX(xlRTTYNAME,MATCH(1,(xlRTTYENDU=2)*(xlRTTYEQCL=$F1856)*(xlRTEQTYPE=$G1856),0))</f>
        <v>CENT_AIR4</v>
      </c>
    </row>
    <row r="1857" spans="1:25" s="157" customFormat="1" ht="14.25" customHeight="1" x14ac:dyDescent="0.2">
      <c r="A1857"/>
      <c r="B1857" s="131">
        <v>4</v>
      </c>
      <c r="C1857" s="131">
        <v>2</v>
      </c>
      <c r="D1857" s="131">
        <v>5</v>
      </c>
      <c r="E1857" s="131">
        <v>17</v>
      </c>
      <c r="F1857" s="131">
        <v>2</v>
      </c>
      <c r="G1857" s="131">
        <v>8</v>
      </c>
      <c r="H1857" s="131">
        <v>2033</v>
      </c>
      <c r="I1857" s="131">
        <v>2050</v>
      </c>
      <c r="J1857" s="132">
        <v>1.0934999999999999</v>
      </c>
      <c r="K1857" s="132">
        <v>1.0435000000000001</v>
      </c>
      <c r="L1857" s="132">
        <v>0.62490000000000001</v>
      </c>
      <c r="M1857" s="132">
        <v>1.1499999999999999</v>
      </c>
      <c r="N1857" s="132">
        <v>1.1696</v>
      </c>
      <c r="O1857" s="132">
        <v>1.0538000000000001</v>
      </c>
      <c r="P1857" s="131">
        <v>2777</v>
      </c>
      <c r="Q1857" s="51">
        <f t="array" ref="Q1857">SUM(IF(($S1857&gt;=4)*($C1857='TaxCred&amp;Subs'!$D$123:$D$127)*($H1857='TaxCred&amp;Subs'!$C$123:$C$127)*($H1857&lt;='TaxCred&amp;Subs'!$C$129),'TaxCred&amp;Subs'!$E$123:$E$127,0))</f>
        <v>0</v>
      </c>
      <c r="R1857" s="171">
        <v>0</v>
      </c>
      <c r="S1857" s="131">
        <v>5</v>
      </c>
      <c r="T1857" s="131" t="s">
        <v>225</v>
      </c>
      <c r="U1857" s="155" t="s">
        <v>235</v>
      </c>
      <c r="V1857" s="153" t="str">
        <f t="array" ref="V1857">INDEX(xlRTCLNAME,MATCH(1,(xlRTCLENDU=1)*(xlRTCLEQCL=$D1857),0))</f>
        <v>KERO_FA</v>
      </c>
      <c r="W1857" s="153" t="str">
        <f t="array" ref="W1857">INDEX(xlRTCLNAME,MATCH(1,(xlRTCLENDU=2)*(xlRTCLEQCL=$F1857),0))</f>
        <v>CENT_AIR</v>
      </c>
      <c r="X1857" s="153" t="str">
        <f t="array" ref="X1857">INDEX(xlRTTYNAME,MATCH(1,(xlRTTYENDU=1)*(xlRTTYEQCL=$D1857)*(xlRTEQTYPE=$E1857),0))</f>
        <v>KERO_FA4</v>
      </c>
      <c r="Y1857" s="153" t="str">
        <f t="array" ref="Y1857">INDEX(xlRTTYNAME,MATCH(1,(xlRTTYENDU=2)*(xlRTTYEQCL=$F1857)*(xlRTEQTYPE=$G1857),0))</f>
        <v>CENT_AIR4</v>
      </c>
    </row>
    <row r="1858" spans="1:25" s="157" customFormat="1" ht="14.25" customHeight="1" x14ac:dyDescent="0.2">
      <c r="A1858"/>
      <c r="B1858" s="129">
        <v>5</v>
      </c>
      <c r="C1858" s="129">
        <v>2</v>
      </c>
      <c r="D1858" s="129">
        <v>5</v>
      </c>
      <c r="E1858" s="129">
        <v>17</v>
      </c>
      <c r="F1858" s="129">
        <v>2</v>
      </c>
      <c r="G1858" s="129">
        <v>8</v>
      </c>
      <c r="H1858" s="129">
        <v>2016</v>
      </c>
      <c r="I1858" s="38">
        <v>2022</v>
      </c>
      <c r="J1858" s="130">
        <v>1.1200000000000001</v>
      </c>
      <c r="K1858" s="130">
        <v>1.0391999999999999</v>
      </c>
      <c r="L1858" s="130">
        <v>0.44379999999999997</v>
      </c>
      <c r="M1858" s="130">
        <v>1.0314000000000001</v>
      </c>
      <c r="N1858" s="130">
        <v>1.2595000000000001</v>
      </c>
      <c r="O1858" s="130">
        <v>1.0538000000000001</v>
      </c>
      <c r="P1858" s="129">
        <v>2401</v>
      </c>
      <c r="Q1858" s="128">
        <f t="array" ref="Q1858">SUM(IF(($S1858&gt;=4)*($C1858='TaxCred&amp;Subs'!$D$123:$D$127)*($H1858='TaxCred&amp;Subs'!$C$123:$C$127)*($H1858&lt;='TaxCred&amp;Subs'!$C$129),'TaxCred&amp;Subs'!$E$123:$E$127,0))</f>
        <v>0</v>
      </c>
      <c r="R1858" s="174">
        <v>0</v>
      </c>
      <c r="S1858" s="129">
        <v>5</v>
      </c>
      <c r="T1858" s="129" t="s">
        <v>225</v>
      </c>
      <c r="U1858" s="155" t="s">
        <v>235</v>
      </c>
      <c r="V1858" s="153" t="str">
        <f t="array" ref="V1858">INDEX(xlRTCLNAME,MATCH(1,(xlRTCLENDU=1)*(xlRTCLEQCL=$D1858),0))</f>
        <v>KERO_FA</v>
      </c>
      <c r="W1858" s="153" t="str">
        <f t="array" ref="W1858">INDEX(xlRTCLNAME,MATCH(1,(xlRTCLENDU=2)*(xlRTCLEQCL=$F1858),0))</f>
        <v>CENT_AIR</v>
      </c>
      <c r="X1858" s="153" t="str">
        <f t="array" ref="X1858">INDEX(xlRTTYNAME,MATCH(1,(xlRTTYENDU=1)*(xlRTTYEQCL=$D1858)*(xlRTEQTYPE=$E1858),0))</f>
        <v>KERO_FA4</v>
      </c>
      <c r="Y1858" s="153" t="str">
        <f t="array" ref="Y1858">INDEX(xlRTTYNAME,MATCH(1,(xlRTTYENDU=2)*(xlRTTYEQCL=$F1858)*(xlRTEQTYPE=$G1858),0))</f>
        <v>CENT_AIR4</v>
      </c>
    </row>
    <row r="1859" spans="1:25" s="157" customFormat="1" ht="14.25" customHeight="1" x14ac:dyDescent="0.2">
      <c r="A1859"/>
      <c r="B1859" s="131">
        <v>5</v>
      </c>
      <c r="C1859" s="131">
        <v>2</v>
      </c>
      <c r="D1859" s="131">
        <v>5</v>
      </c>
      <c r="E1859" s="131">
        <v>17</v>
      </c>
      <c r="F1859" s="131">
        <v>2</v>
      </c>
      <c r="G1859" s="131">
        <v>8</v>
      </c>
      <c r="H1859" s="131">
        <v>2023</v>
      </c>
      <c r="I1859" s="131">
        <v>2032</v>
      </c>
      <c r="J1859" s="132">
        <v>1.1200000000000001</v>
      </c>
      <c r="K1859" s="132">
        <v>1.0391999999999999</v>
      </c>
      <c r="L1859" s="132">
        <v>0.44379999999999997</v>
      </c>
      <c r="M1859" s="132">
        <v>1.0314000000000001</v>
      </c>
      <c r="N1859" s="132">
        <v>1.2595000000000001</v>
      </c>
      <c r="O1859" s="132">
        <v>1.0538000000000001</v>
      </c>
      <c r="P1859" s="131">
        <v>2401</v>
      </c>
      <c r="Q1859" s="51">
        <f t="array" ref="Q1859">SUM(IF(($S1859&gt;=4)*($C1859='TaxCred&amp;Subs'!$D$123:$D$127)*($H1859='TaxCred&amp;Subs'!$C$123:$C$127)*($H1859&lt;='TaxCred&amp;Subs'!$C$129),'TaxCred&amp;Subs'!$E$123:$E$127,0))</f>
        <v>500</v>
      </c>
      <c r="R1859" s="171">
        <v>0</v>
      </c>
      <c r="S1859" s="131">
        <v>5</v>
      </c>
      <c r="T1859" s="131" t="s">
        <v>225</v>
      </c>
      <c r="U1859" s="155" t="s">
        <v>235</v>
      </c>
      <c r="V1859" s="153" t="str">
        <f t="array" ref="V1859">INDEX(xlRTCLNAME,MATCH(1,(xlRTCLENDU=1)*(xlRTCLEQCL=$D1859),0))</f>
        <v>KERO_FA</v>
      </c>
      <c r="W1859" s="153" t="str">
        <f t="array" ref="W1859">INDEX(xlRTCLNAME,MATCH(1,(xlRTCLENDU=2)*(xlRTCLEQCL=$F1859),0))</f>
        <v>CENT_AIR</v>
      </c>
      <c r="X1859" s="153" t="str">
        <f t="array" ref="X1859">INDEX(xlRTTYNAME,MATCH(1,(xlRTTYENDU=1)*(xlRTTYEQCL=$D1859)*(xlRTEQTYPE=$E1859),0))</f>
        <v>KERO_FA4</v>
      </c>
      <c r="Y1859" s="153" t="str">
        <f t="array" ref="Y1859">INDEX(xlRTTYNAME,MATCH(1,(xlRTTYENDU=2)*(xlRTTYEQCL=$F1859)*(xlRTEQTYPE=$G1859),0))</f>
        <v>CENT_AIR4</v>
      </c>
    </row>
    <row r="1860" spans="1:25" s="157" customFormat="1" ht="14.25" customHeight="1" x14ac:dyDescent="0.2">
      <c r="A1860"/>
      <c r="B1860" s="131">
        <v>5</v>
      </c>
      <c r="C1860" s="131">
        <v>2</v>
      </c>
      <c r="D1860" s="131">
        <v>5</v>
      </c>
      <c r="E1860" s="131">
        <v>17</v>
      </c>
      <c r="F1860" s="131">
        <v>2</v>
      </c>
      <c r="G1860" s="131">
        <v>8</v>
      </c>
      <c r="H1860" s="131">
        <v>2033</v>
      </c>
      <c r="I1860" s="131">
        <v>2050</v>
      </c>
      <c r="J1860" s="132">
        <v>1.1200000000000001</v>
      </c>
      <c r="K1860" s="132">
        <v>1.0391999999999999</v>
      </c>
      <c r="L1860" s="132">
        <v>0.44379999999999997</v>
      </c>
      <c r="M1860" s="132">
        <v>1.0314000000000001</v>
      </c>
      <c r="N1860" s="132">
        <v>1.2595000000000001</v>
      </c>
      <c r="O1860" s="132">
        <v>1.0538000000000001</v>
      </c>
      <c r="P1860" s="131">
        <v>2401</v>
      </c>
      <c r="Q1860" s="51">
        <f t="array" ref="Q1860">SUM(IF(($S1860&gt;=4)*($C1860='TaxCred&amp;Subs'!$D$123:$D$127)*($H1860='TaxCred&amp;Subs'!$C$123:$C$127)*($H1860&lt;='TaxCred&amp;Subs'!$C$129),'TaxCred&amp;Subs'!$E$123:$E$127,0))</f>
        <v>0</v>
      </c>
      <c r="R1860" s="171">
        <v>0</v>
      </c>
      <c r="S1860" s="131">
        <v>5</v>
      </c>
      <c r="T1860" s="131" t="s">
        <v>225</v>
      </c>
      <c r="U1860" s="155" t="s">
        <v>235</v>
      </c>
      <c r="V1860" s="153" t="str">
        <f t="array" ref="V1860">INDEX(xlRTCLNAME,MATCH(1,(xlRTCLENDU=1)*(xlRTCLEQCL=$D1860),0))</f>
        <v>KERO_FA</v>
      </c>
      <c r="W1860" s="153" t="str">
        <f t="array" ref="W1860">INDEX(xlRTCLNAME,MATCH(1,(xlRTCLENDU=2)*(xlRTCLEQCL=$F1860),0))</f>
        <v>CENT_AIR</v>
      </c>
      <c r="X1860" s="153" t="str">
        <f t="array" ref="X1860">INDEX(xlRTTYNAME,MATCH(1,(xlRTTYENDU=1)*(xlRTTYEQCL=$D1860)*(xlRTEQTYPE=$E1860),0))</f>
        <v>KERO_FA4</v>
      </c>
      <c r="Y1860" s="153" t="str">
        <f t="array" ref="Y1860">INDEX(xlRTTYNAME,MATCH(1,(xlRTTYENDU=2)*(xlRTTYEQCL=$F1860)*(xlRTEQTYPE=$G1860),0))</f>
        <v>CENT_AIR4</v>
      </c>
    </row>
    <row r="1861" spans="1:25" s="157" customFormat="1" ht="14.25" customHeight="1" x14ac:dyDescent="0.2">
      <c r="A1861"/>
      <c r="B1861" s="129">
        <v>6</v>
      </c>
      <c r="C1861" s="129">
        <v>2</v>
      </c>
      <c r="D1861" s="129">
        <v>5</v>
      </c>
      <c r="E1861" s="129">
        <v>17</v>
      </c>
      <c r="F1861" s="129">
        <v>2</v>
      </c>
      <c r="G1861" s="129">
        <v>8</v>
      </c>
      <c r="H1861" s="129">
        <v>2016</v>
      </c>
      <c r="I1861" s="38">
        <v>2022</v>
      </c>
      <c r="J1861" s="130">
        <v>1.1200000000000001</v>
      </c>
      <c r="K1861" s="130">
        <v>1.03</v>
      </c>
      <c r="L1861" s="130">
        <v>0.44379999999999997</v>
      </c>
      <c r="M1861" s="130">
        <v>1.0546</v>
      </c>
      <c r="N1861" s="130">
        <v>1.3381000000000001</v>
      </c>
      <c r="O1861" s="130">
        <v>1.0538000000000001</v>
      </c>
      <c r="P1861" s="129">
        <v>2657</v>
      </c>
      <c r="Q1861" s="128">
        <f t="array" ref="Q1861">SUM(IF(($S1861&gt;=4)*($C1861='TaxCred&amp;Subs'!$D$123:$D$127)*($H1861='TaxCred&amp;Subs'!$C$123:$C$127)*($H1861&lt;='TaxCred&amp;Subs'!$C$129),'TaxCred&amp;Subs'!$E$123:$E$127,0))</f>
        <v>0</v>
      </c>
      <c r="R1861" s="174">
        <v>0</v>
      </c>
      <c r="S1861" s="129">
        <v>5</v>
      </c>
      <c r="T1861" s="129" t="s">
        <v>225</v>
      </c>
      <c r="U1861" s="155" t="s">
        <v>235</v>
      </c>
      <c r="V1861" s="153" t="str">
        <f t="array" ref="V1861">INDEX(xlRTCLNAME,MATCH(1,(xlRTCLENDU=1)*(xlRTCLEQCL=$D1861),0))</f>
        <v>KERO_FA</v>
      </c>
      <c r="W1861" s="153" t="str">
        <f t="array" ref="W1861">INDEX(xlRTCLNAME,MATCH(1,(xlRTCLENDU=2)*(xlRTCLEQCL=$F1861),0))</f>
        <v>CENT_AIR</v>
      </c>
      <c r="X1861" s="153" t="str">
        <f t="array" ref="X1861">INDEX(xlRTTYNAME,MATCH(1,(xlRTTYENDU=1)*(xlRTTYEQCL=$D1861)*(xlRTEQTYPE=$E1861),0))</f>
        <v>KERO_FA4</v>
      </c>
      <c r="Y1861" s="153" t="str">
        <f t="array" ref="Y1861">INDEX(xlRTTYNAME,MATCH(1,(xlRTTYENDU=2)*(xlRTTYEQCL=$F1861)*(xlRTEQTYPE=$G1861),0))</f>
        <v>CENT_AIR4</v>
      </c>
    </row>
    <row r="1862" spans="1:25" s="157" customFormat="1" ht="14.25" customHeight="1" x14ac:dyDescent="0.2">
      <c r="A1862"/>
      <c r="B1862" s="131">
        <v>6</v>
      </c>
      <c r="C1862" s="131">
        <v>2</v>
      </c>
      <c r="D1862" s="131">
        <v>5</v>
      </c>
      <c r="E1862" s="131">
        <v>17</v>
      </c>
      <c r="F1862" s="131">
        <v>2</v>
      </c>
      <c r="G1862" s="131">
        <v>8</v>
      </c>
      <c r="H1862" s="131">
        <v>2023</v>
      </c>
      <c r="I1862" s="131">
        <v>2032</v>
      </c>
      <c r="J1862" s="132">
        <v>1.1200000000000001</v>
      </c>
      <c r="K1862" s="132">
        <v>1.03</v>
      </c>
      <c r="L1862" s="132">
        <v>0.44379999999999997</v>
      </c>
      <c r="M1862" s="132">
        <v>1.0546</v>
      </c>
      <c r="N1862" s="132">
        <v>1.3381000000000001</v>
      </c>
      <c r="O1862" s="132">
        <v>1.0538000000000001</v>
      </c>
      <c r="P1862" s="131">
        <v>2657</v>
      </c>
      <c r="Q1862" s="51">
        <f t="array" ref="Q1862">SUM(IF(($S1862&gt;=4)*($C1862='TaxCred&amp;Subs'!$D$123:$D$127)*($H1862='TaxCred&amp;Subs'!$C$123:$C$127)*($H1862&lt;='TaxCred&amp;Subs'!$C$129),'TaxCred&amp;Subs'!$E$123:$E$127,0))</f>
        <v>500</v>
      </c>
      <c r="R1862" s="171">
        <v>0</v>
      </c>
      <c r="S1862" s="131">
        <v>5</v>
      </c>
      <c r="T1862" s="131" t="s">
        <v>225</v>
      </c>
      <c r="U1862" s="155" t="s">
        <v>235</v>
      </c>
      <c r="V1862" s="153" t="str">
        <f t="array" ref="V1862">INDEX(xlRTCLNAME,MATCH(1,(xlRTCLENDU=1)*(xlRTCLEQCL=$D1862),0))</f>
        <v>KERO_FA</v>
      </c>
      <c r="W1862" s="153" t="str">
        <f t="array" ref="W1862">INDEX(xlRTCLNAME,MATCH(1,(xlRTCLENDU=2)*(xlRTCLEQCL=$F1862),0))</f>
        <v>CENT_AIR</v>
      </c>
      <c r="X1862" s="153" t="str">
        <f t="array" ref="X1862">INDEX(xlRTTYNAME,MATCH(1,(xlRTTYENDU=1)*(xlRTTYEQCL=$D1862)*(xlRTEQTYPE=$E1862),0))</f>
        <v>KERO_FA4</v>
      </c>
      <c r="Y1862" s="153" t="str">
        <f t="array" ref="Y1862">INDEX(xlRTTYNAME,MATCH(1,(xlRTTYENDU=2)*(xlRTTYEQCL=$F1862)*(xlRTEQTYPE=$G1862),0))</f>
        <v>CENT_AIR4</v>
      </c>
    </row>
    <row r="1863" spans="1:25" s="157" customFormat="1" ht="14.25" customHeight="1" x14ac:dyDescent="0.2">
      <c r="A1863"/>
      <c r="B1863" s="131">
        <v>6</v>
      </c>
      <c r="C1863" s="131">
        <v>2</v>
      </c>
      <c r="D1863" s="131">
        <v>5</v>
      </c>
      <c r="E1863" s="131">
        <v>17</v>
      </c>
      <c r="F1863" s="131">
        <v>2</v>
      </c>
      <c r="G1863" s="131">
        <v>8</v>
      </c>
      <c r="H1863" s="131">
        <v>2033</v>
      </c>
      <c r="I1863" s="131">
        <v>2050</v>
      </c>
      <c r="J1863" s="132">
        <v>1.1200000000000001</v>
      </c>
      <c r="K1863" s="132">
        <v>1.03</v>
      </c>
      <c r="L1863" s="132">
        <v>0.44379999999999997</v>
      </c>
      <c r="M1863" s="132">
        <v>1.0546</v>
      </c>
      <c r="N1863" s="132">
        <v>1.3381000000000001</v>
      </c>
      <c r="O1863" s="132">
        <v>1.0538000000000001</v>
      </c>
      <c r="P1863" s="131">
        <v>2657</v>
      </c>
      <c r="Q1863" s="51">
        <f t="array" ref="Q1863">SUM(IF(($S1863&gt;=4)*($C1863='TaxCred&amp;Subs'!$D$123:$D$127)*($H1863='TaxCred&amp;Subs'!$C$123:$C$127)*($H1863&lt;='TaxCred&amp;Subs'!$C$129),'TaxCred&amp;Subs'!$E$123:$E$127,0))</f>
        <v>0</v>
      </c>
      <c r="R1863" s="171">
        <v>0</v>
      </c>
      <c r="S1863" s="131">
        <v>5</v>
      </c>
      <c r="T1863" s="131" t="s">
        <v>225</v>
      </c>
      <c r="U1863" s="155" t="s">
        <v>235</v>
      </c>
      <c r="V1863" s="153" t="str">
        <f t="array" ref="V1863">INDEX(xlRTCLNAME,MATCH(1,(xlRTCLENDU=1)*(xlRTCLEQCL=$D1863),0))</f>
        <v>KERO_FA</v>
      </c>
      <c r="W1863" s="153" t="str">
        <f t="array" ref="W1863">INDEX(xlRTCLNAME,MATCH(1,(xlRTCLENDU=2)*(xlRTCLEQCL=$F1863),0))</f>
        <v>CENT_AIR</v>
      </c>
      <c r="X1863" s="153" t="str">
        <f t="array" ref="X1863">INDEX(xlRTTYNAME,MATCH(1,(xlRTTYENDU=1)*(xlRTTYEQCL=$D1863)*(xlRTEQTYPE=$E1863),0))</f>
        <v>KERO_FA4</v>
      </c>
      <c r="Y1863" s="153" t="str">
        <f t="array" ref="Y1863">INDEX(xlRTTYNAME,MATCH(1,(xlRTTYENDU=2)*(xlRTTYEQCL=$F1863)*(xlRTEQTYPE=$G1863),0))</f>
        <v>CENT_AIR4</v>
      </c>
    </row>
    <row r="1864" spans="1:25" s="157" customFormat="1" ht="14.25" customHeight="1" x14ac:dyDescent="0.2">
      <c r="A1864"/>
      <c r="B1864" s="129">
        <v>7</v>
      </c>
      <c r="C1864" s="129">
        <v>2</v>
      </c>
      <c r="D1864" s="129">
        <v>5</v>
      </c>
      <c r="E1864" s="129">
        <v>17</v>
      </c>
      <c r="F1864" s="129">
        <v>2</v>
      </c>
      <c r="G1864" s="129">
        <v>8</v>
      </c>
      <c r="H1864" s="129">
        <v>2016</v>
      </c>
      <c r="I1864" s="38">
        <v>2022</v>
      </c>
      <c r="J1864" s="130">
        <v>1.1200000000000001</v>
      </c>
      <c r="K1864" s="130">
        <v>1.0476000000000001</v>
      </c>
      <c r="L1864" s="130">
        <v>0.44379999999999997</v>
      </c>
      <c r="M1864" s="130">
        <v>1.0569</v>
      </c>
      <c r="N1864" s="130">
        <v>1.4438</v>
      </c>
      <c r="O1864" s="130">
        <v>1.0538000000000001</v>
      </c>
      <c r="P1864" s="129">
        <v>2321</v>
      </c>
      <c r="Q1864" s="128">
        <f t="array" ref="Q1864">SUM(IF(($S1864&gt;=4)*($C1864='TaxCred&amp;Subs'!$D$123:$D$127)*($H1864='TaxCred&amp;Subs'!$C$123:$C$127)*($H1864&lt;='TaxCred&amp;Subs'!$C$129),'TaxCred&amp;Subs'!$E$123:$E$127,0))</f>
        <v>0</v>
      </c>
      <c r="R1864" s="174">
        <v>0</v>
      </c>
      <c r="S1864" s="129">
        <v>5</v>
      </c>
      <c r="T1864" s="129" t="s">
        <v>225</v>
      </c>
      <c r="U1864" s="155" t="s">
        <v>235</v>
      </c>
      <c r="V1864" s="153" t="str">
        <f t="array" ref="V1864">INDEX(xlRTCLNAME,MATCH(1,(xlRTCLENDU=1)*(xlRTCLEQCL=$D1864),0))</f>
        <v>KERO_FA</v>
      </c>
      <c r="W1864" s="153" t="str">
        <f t="array" ref="W1864">INDEX(xlRTCLNAME,MATCH(1,(xlRTCLENDU=2)*(xlRTCLEQCL=$F1864),0))</f>
        <v>CENT_AIR</v>
      </c>
      <c r="X1864" s="153" t="str">
        <f t="array" ref="X1864">INDEX(xlRTTYNAME,MATCH(1,(xlRTTYENDU=1)*(xlRTTYEQCL=$D1864)*(xlRTEQTYPE=$E1864),0))</f>
        <v>KERO_FA4</v>
      </c>
      <c r="Y1864" s="153" t="str">
        <f t="array" ref="Y1864">INDEX(xlRTTYNAME,MATCH(1,(xlRTTYENDU=2)*(xlRTTYEQCL=$F1864)*(xlRTEQTYPE=$G1864),0))</f>
        <v>CENT_AIR4</v>
      </c>
    </row>
    <row r="1865" spans="1:25" s="157" customFormat="1" ht="14.25" customHeight="1" x14ac:dyDescent="0.2">
      <c r="A1865"/>
      <c r="B1865" s="131">
        <v>7</v>
      </c>
      <c r="C1865" s="131">
        <v>2</v>
      </c>
      <c r="D1865" s="131">
        <v>5</v>
      </c>
      <c r="E1865" s="131">
        <v>17</v>
      </c>
      <c r="F1865" s="131">
        <v>2</v>
      </c>
      <c r="G1865" s="131">
        <v>8</v>
      </c>
      <c r="H1865" s="131">
        <v>2023</v>
      </c>
      <c r="I1865" s="131">
        <v>2032</v>
      </c>
      <c r="J1865" s="132">
        <v>1.1200000000000001</v>
      </c>
      <c r="K1865" s="132">
        <v>1.0476000000000001</v>
      </c>
      <c r="L1865" s="132">
        <v>0.44379999999999997</v>
      </c>
      <c r="M1865" s="132">
        <v>1.0569</v>
      </c>
      <c r="N1865" s="132">
        <v>1.4438</v>
      </c>
      <c r="O1865" s="132">
        <v>1.0538000000000001</v>
      </c>
      <c r="P1865" s="131">
        <v>2321</v>
      </c>
      <c r="Q1865" s="51">
        <f t="array" ref="Q1865">SUM(IF(($S1865&gt;=4)*($C1865='TaxCred&amp;Subs'!$D$123:$D$127)*($H1865='TaxCred&amp;Subs'!$C$123:$C$127)*($H1865&lt;='TaxCred&amp;Subs'!$C$129),'TaxCred&amp;Subs'!$E$123:$E$127,0))</f>
        <v>500</v>
      </c>
      <c r="R1865" s="171">
        <v>0</v>
      </c>
      <c r="S1865" s="131">
        <v>5</v>
      </c>
      <c r="T1865" s="131" t="s">
        <v>225</v>
      </c>
      <c r="U1865" s="155" t="s">
        <v>235</v>
      </c>
      <c r="V1865" s="153" t="str">
        <f t="array" ref="V1865">INDEX(xlRTCLNAME,MATCH(1,(xlRTCLENDU=1)*(xlRTCLEQCL=$D1865),0))</f>
        <v>KERO_FA</v>
      </c>
      <c r="W1865" s="153" t="str">
        <f t="array" ref="W1865">INDEX(xlRTCLNAME,MATCH(1,(xlRTCLENDU=2)*(xlRTCLEQCL=$F1865),0))</f>
        <v>CENT_AIR</v>
      </c>
      <c r="X1865" s="153" t="str">
        <f t="array" ref="X1865">INDEX(xlRTTYNAME,MATCH(1,(xlRTTYENDU=1)*(xlRTTYEQCL=$D1865)*(xlRTEQTYPE=$E1865),0))</f>
        <v>KERO_FA4</v>
      </c>
      <c r="Y1865" s="153" t="str">
        <f t="array" ref="Y1865">INDEX(xlRTTYNAME,MATCH(1,(xlRTTYENDU=2)*(xlRTTYEQCL=$F1865)*(xlRTEQTYPE=$G1865),0))</f>
        <v>CENT_AIR4</v>
      </c>
    </row>
    <row r="1866" spans="1:25" s="157" customFormat="1" ht="14.25" customHeight="1" x14ac:dyDescent="0.2">
      <c r="A1866"/>
      <c r="B1866" s="131">
        <v>7</v>
      </c>
      <c r="C1866" s="131">
        <v>2</v>
      </c>
      <c r="D1866" s="131">
        <v>5</v>
      </c>
      <c r="E1866" s="131">
        <v>17</v>
      </c>
      <c r="F1866" s="131">
        <v>2</v>
      </c>
      <c r="G1866" s="131">
        <v>8</v>
      </c>
      <c r="H1866" s="131">
        <v>2033</v>
      </c>
      <c r="I1866" s="131">
        <v>2050</v>
      </c>
      <c r="J1866" s="132">
        <v>1.1200000000000001</v>
      </c>
      <c r="K1866" s="132">
        <v>1.0476000000000001</v>
      </c>
      <c r="L1866" s="132">
        <v>0.44379999999999997</v>
      </c>
      <c r="M1866" s="132">
        <v>1.0569</v>
      </c>
      <c r="N1866" s="132">
        <v>1.4438</v>
      </c>
      <c r="O1866" s="132">
        <v>1.0538000000000001</v>
      </c>
      <c r="P1866" s="131">
        <v>2321</v>
      </c>
      <c r="Q1866" s="51">
        <f t="array" ref="Q1866">SUM(IF(($S1866&gt;=4)*($C1866='TaxCred&amp;Subs'!$D$123:$D$127)*($H1866='TaxCred&amp;Subs'!$C$123:$C$127)*($H1866&lt;='TaxCred&amp;Subs'!$C$129),'TaxCred&amp;Subs'!$E$123:$E$127,0))</f>
        <v>0</v>
      </c>
      <c r="R1866" s="171">
        <v>0</v>
      </c>
      <c r="S1866" s="131">
        <v>5</v>
      </c>
      <c r="T1866" s="131" t="s">
        <v>225</v>
      </c>
      <c r="U1866" s="155" t="s">
        <v>235</v>
      </c>
      <c r="V1866" s="153" t="str">
        <f t="array" ref="V1866">INDEX(xlRTCLNAME,MATCH(1,(xlRTCLENDU=1)*(xlRTCLEQCL=$D1866),0))</f>
        <v>KERO_FA</v>
      </c>
      <c r="W1866" s="153" t="str">
        <f t="array" ref="W1866">INDEX(xlRTCLNAME,MATCH(1,(xlRTCLENDU=2)*(xlRTCLEQCL=$F1866),0))</f>
        <v>CENT_AIR</v>
      </c>
      <c r="X1866" s="153" t="str">
        <f t="array" ref="X1866">INDEX(xlRTTYNAME,MATCH(1,(xlRTTYENDU=1)*(xlRTTYEQCL=$D1866)*(xlRTEQTYPE=$E1866),0))</f>
        <v>KERO_FA4</v>
      </c>
      <c r="Y1866" s="153" t="str">
        <f t="array" ref="Y1866">INDEX(xlRTTYNAME,MATCH(1,(xlRTTYENDU=2)*(xlRTTYEQCL=$F1866)*(xlRTEQTYPE=$G1866),0))</f>
        <v>CENT_AIR4</v>
      </c>
    </row>
    <row r="1867" spans="1:25" s="157" customFormat="1" ht="14.25" customHeight="1" x14ac:dyDescent="0.2">
      <c r="A1867"/>
      <c r="B1867" s="129">
        <v>8</v>
      </c>
      <c r="C1867" s="129">
        <v>2</v>
      </c>
      <c r="D1867" s="129">
        <v>5</v>
      </c>
      <c r="E1867" s="129">
        <v>17</v>
      </c>
      <c r="F1867" s="129">
        <v>2</v>
      </c>
      <c r="G1867" s="129">
        <v>8</v>
      </c>
      <c r="H1867" s="129">
        <v>2016</v>
      </c>
      <c r="I1867" s="38">
        <v>2022</v>
      </c>
      <c r="J1867" s="130">
        <v>1.1064000000000001</v>
      </c>
      <c r="K1867" s="130">
        <v>1.0645</v>
      </c>
      <c r="L1867" s="130">
        <v>0.54869999999999997</v>
      </c>
      <c r="M1867" s="130">
        <v>1.2087000000000001</v>
      </c>
      <c r="N1867" s="130">
        <v>1.2826</v>
      </c>
      <c r="O1867" s="130">
        <v>1.0538000000000001</v>
      </c>
      <c r="P1867" s="129">
        <v>2889</v>
      </c>
      <c r="Q1867" s="128">
        <f t="array" ref="Q1867">SUM(IF(($S1867&gt;=4)*($C1867='TaxCred&amp;Subs'!$D$123:$D$127)*($H1867='TaxCred&amp;Subs'!$C$123:$C$127)*($H1867&lt;='TaxCred&amp;Subs'!$C$129),'TaxCred&amp;Subs'!$E$123:$E$127,0))</f>
        <v>0</v>
      </c>
      <c r="R1867" s="174">
        <v>0</v>
      </c>
      <c r="S1867" s="129">
        <v>5</v>
      </c>
      <c r="T1867" s="129" t="s">
        <v>225</v>
      </c>
      <c r="U1867" s="155" t="s">
        <v>235</v>
      </c>
      <c r="V1867" s="153" t="str">
        <f t="array" ref="V1867">INDEX(xlRTCLNAME,MATCH(1,(xlRTCLENDU=1)*(xlRTCLEQCL=$D1867),0))</f>
        <v>KERO_FA</v>
      </c>
      <c r="W1867" s="153" t="str">
        <f t="array" ref="W1867">INDEX(xlRTCLNAME,MATCH(1,(xlRTCLENDU=2)*(xlRTCLEQCL=$F1867),0))</f>
        <v>CENT_AIR</v>
      </c>
      <c r="X1867" s="153" t="str">
        <f t="array" ref="X1867">INDEX(xlRTTYNAME,MATCH(1,(xlRTTYENDU=1)*(xlRTTYEQCL=$D1867)*(xlRTEQTYPE=$E1867),0))</f>
        <v>KERO_FA4</v>
      </c>
      <c r="Y1867" s="153" t="str">
        <f t="array" ref="Y1867">INDEX(xlRTTYNAME,MATCH(1,(xlRTTYENDU=2)*(xlRTTYEQCL=$F1867)*(xlRTEQTYPE=$G1867),0))</f>
        <v>CENT_AIR4</v>
      </c>
    </row>
    <row r="1868" spans="1:25" s="157" customFormat="1" ht="14.25" customHeight="1" x14ac:dyDescent="0.2">
      <c r="A1868"/>
      <c r="B1868" s="131">
        <v>8</v>
      </c>
      <c r="C1868" s="131">
        <v>2</v>
      </c>
      <c r="D1868" s="131">
        <v>5</v>
      </c>
      <c r="E1868" s="131">
        <v>17</v>
      </c>
      <c r="F1868" s="131">
        <v>2</v>
      </c>
      <c r="G1868" s="131">
        <v>8</v>
      </c>
      <c r="H1868" s="131">
        <v>2023</v>
      </c>
      <c r="I1868" s="131">
        <v>2032</v>
      </c>
      <c r="J1868" s="132">
        <v>1.1064000000000001</v>
      </c>
      <c r="K1868" s="132">
        <v>1.0645</v>
      </c>
      <c r="L1868" s="132">
        <v>0.54869999999999997</v>
      </c>
      <c r="M1868" s="132">
        <v>1.2087000000000001</v>
      </c>
      <c r="N1868" s="132">
        <v>1.2826</v>
      </c>
      <c r="O1868" s="132">
        <v>1.0538000000000001</v>
      </c>
      <c r="P1868" s="131">
        <v>2889</v>
      </c>
      <c r="Q1868" s="51">
        <f t="array" ref="Q1868">SUM(IF(($S1868&gt;=4)*($C1868='TaxCred&amp;Subs'!$D$123:$D$127)*($H1868='TaxCred&amp;Subs'!$C$123:$C$127)*($H1868&lt;='TaxCred&amp;Subs'!$C$129),'TaxCred&amp;Subs'!$E$123:$E$127,0))</f>
        <v>500</v>
      </c>
      <c r="R1868" s="171">
        <v>0</v>
      </c>
      <c r="S1868" s="131">
        <v>5</v>
      </c>
      <c r="T1868" s="131" t="s">
        <v>225</v>
      </c>
      <c r="U1868" s="155" t="s">
        <v>235</v>
      </c>
      <c r="V1868" s="153" t="str">
        <f t="array" ref="V1868">INDEX(xlRTCLNAME,MATCH(1,(xlRTCLENDU=1)*(xlRTCLEQCL=$D1868),0))</f>
        <v>KERO_FA</v>
      </c>
      <c r="W1868" s="153" t="str">
        <f t="array" ref="W1868">INDEX(xlRTCLNAME,MATCH(1,(xlRTCLENDU=2)*(xlRTCLEQCL=$F1868),0))</f>
        <v>CENT_AIR</v>
      </c>
      <c r="X1868" s="153" t="str">
        <f t="array" ref="X1868">INDEX(xlRTTYNAME,MATCH(1,(xlRTTYENDU=1)*(xlRTTYEQCL=$D1868)*(xlRTEQTYPE=$E1868),0))</f>
        <v>KERO_FA4</v>
      </c>
      <c r="Y1868" s="153" t="str">
        <f t="array" ref="Y1868">INDEX(xlRTTYNAME,MATCH(1,(xlRTTYENDU=2)*(xlRTTYEQCL=$F1868)*(xlRTEQTYPE=$G1868),0))</f>
        <v>CENT_AIR4</v>
      </c>
    </row>
    <row r="1869" spans="1:25" s="157" customFormat="1" ht="14.25" customHeight="1" x14ac:dyDescent="0.2">
      <c r="A1869"/>
      <c r="B1869" s="131">
        <v>8</v>
      </c>
      <c r="C1869" s="131">
        <v>2</v>
      </c>
      <c r="D1869" s="131">
        <v>5</v>
      </c>
      <c r="E1869" s="131">
        <v>17</v>
      </c>
      <c r="F1869" s="131">
        <v>2</v>
      </c>
      <c r="G1869" s="131">
        <v>8</v>
      </c>
      <c r="H1869" s="131">
        <v>2033</v>
      </c>
      <c r="I1869" s="131">
        <v>2050</v>
      </c>
      <c r="J1869" s="132">
        <v>1.1064000000000001</v>
      </c>
      <c r="K1869" s="132">
        <v>1.0645</v>
      </c>
      <c r="L1869" s="132">
        <v>0.54869999999999997</v>
      </c>
      <c r="M1869" s="132">
        <v>1.2087000000000001</v>
      </c>
      <c r="N1869" s="132">
        <v>1.2826</v>
      </c>
      <c r="O1869" s="132">
        <v>1.0538000000000001</v>
      </c>
      <c r="P1869" s="131">
        <v>2889</v>
      </c>
      <c r="Q1869" s="51">
        <f t="array" ref="Q1869">SUM(IF(($S1869&gt;=4)*($C1869='TaxCred&amp;Subs'!$D$123:$D$127)*($H1869='TaxCred&amp;Subs'!$C$123:$C$127)*($H1869&lt;='TaxCred&amp;Subs'!$C$129),'TaxCred&amp;Subs'!$E$123:$E$127,0))</f>
        <v>0</v>
      </c>
      <c r="R1869" s="171">
        <v>0</v>
      </c>
      <c r="S1869" s="131">
        <v>5</v>
      </c>
      <c r="T1869" s="131" t="s">
        <v>225</v>
      </c>
      <c r="U1869" s="155" t="s">
        <v>235</v>
      </c>
      <c r="V1869" s="153" t="str">
        <f t="array" ref="V1869">INDEX(xlRTCLNAME,MATCH(1,(xlRTCLENDU=1)*(xlRTCLEQCL=$D1869),0))</f>
        <v>KERO_FA</v>
      </c>
      <c r="W1869" s="153" t="str">
        <f t="array" ref="W1869">INDEX(xlRTCLNAME,MATCH(1,(xlRTCLENDU=2)*(xlRTCLEQCL=$F1869),0))</f>
        <v>CENT_AIR</v>
      </c>
      <c r="X1869" s="153" t="str">
        <f t="array" ref="X1869">INDEX(xlRTTYNAME,MATCH(1,(xlRTTYENDU=1)*(xlRTTYEQCL=$D1869)*(xlRTEQTYPE=$E1869),0))</f>
        <v>KERO_FA4</v>
      </c>
      <c r="Y1869" s="153" t="str">
        <f t="array" ref="Y1869">INDEX(xlRTTYNAME,MATCH(1,(xlRTTYENDU=2)*(xlRTTYEQCL=$F1869)*(xlRTEQTYPE=$G1869),0))</f>
        <v>CENT_AIR4</v>
      </c>
    </row>
    <row r="1870" spans="1:25" s="157" customFormat="1" ht="14.25" customHeight="1" x14ac:dyDescent="0.2">
      <c r="A1870"/>
      <c r="B1870" s="129">
        <v>9</v>
      </c>
      <c r="C1870" s="129">
        <v>2</v>
      </c>
      <c r="D1870" s="129">
        <v>5</v>
      </c>
      <c r="E1870" s="129">
        <v>17</v>
      </c>
      <c r="F1870" s="129">
        <v>2</v>
      </c>
      <c r="G1870" s="129">
        <v>8</v>
      </c>
      <c r="H1870" s="129">
        <v>2016</v>
      </c>
      <c r="I1870" s="38">
        <v>2022</v>
      </c>
      <c r="J1870" s="130">
        <v>1.03</v>
      </c>
      <c r="K1870" s="130">
        <v>1.0556000000000001</v>
      </c>
      <c r="L1870" s="130">
        <v>0.44379999999999997</v>
      </c>
      <c r="M1870" s="130">
        <v>1.1167</v>
      </c>
      <c r="N1870" s="130">
        <v>1.4438</v>
      </c>
      <c r="O1870" s="130">
        <v>1.0538000000000001</v>
      </c>
      <c r="P1870" s="129">
        <v>3308</v>
      </c>
      <c r="Q1870" s="128">
        <f t="array" ref="Q1870">SUM(IF(($S1870&gt;=4)*($C1870='TaxCred&amp;Subs'!$D$123:$D$127)*($H1870='TaxCred&amp;Subs'!$C$123:$C$127)*($H1870&lt;='TaxCred&amp;Subs'!$C$129),'TaxCred&amp;Subs'!$E$123:$E$127,0))</f>
        <v>0</v>
      </c>
      <c r="R1870" s="174">
        <v>0</v>
      </c>
      <c r="S1870" s="129">
        <v>5</v>
      </c>
      <c r="T1870" s="129" t="s">
        <v>225</v>
      </c>
      <c r="U1870" s="155" t="s">
        <v>235</v>
      </c>
      <c r="V1870" s="153" t="str">
        <f t="array" ref="V1870">INDEX(xlRTCLNAME,MATCH(1,(xlRTCLENDU=1)*(xlRTCLEQCL=$D1870),0))</f>
        <v>KERO_FA</v>
      </c>
      <c r="W1870" s="153" t="str">
        <f t="array" ref="W1870">INDEX(xlRTCLNAME,MATCH(1,(xlRTCLENDU=2)*(xlRTCLEQCL=$F1870),0))</f>
        <v>CENT_AIR</v>
      </c>
      <c r="X1870" s="153" t="str">
        <f t="array" ref="X1870">INDEX(xlRTTYNAME,MATCH(1,(xlRTTYENDU=1)*(xlRTTYEQCL=$D1870)*(xlRTEQTYPE=$E1870),0))</f>
        <v>KERO_FA4</v>
      </c>
      <c r="Y1870" s="153" t="str">
        <f t="array" ref="Y1870">INDEX(xlRTTYNAME,MATCH(1,(xlRTTYENDU=2)*(xlRTTYEQCL=$F1870)*(xlRTEQTYPE=$G1870),0))</f>
        <v>CENT_AIR4</v>
      </c>
    </row>
    <row r="1871" spans="1:25" s="157" customFormat="1" ht="14.25" customHeight="1" x14ac:dyDescent="0.2">
      <c r="A1871"/>
      <c r="B1871" s="131">
        <v>9</v>
      </c>
      <c r="C1871" s="131">
        <v>2</v>
      </c>
      <c r="D1871" s="131">
        <v>5</v>
      </c>
      <c r="E1871" s="131">
        <v>17</v>
      </c>
      <c r="F1871" s="131">
        <v>2</v>
      </c>
      <c r="G1871" s="131">
        <v>8</v>
      </c>
      <c r="H1871" s="131">
        <v>2023</v>
      </c>
      <c r="I1871" s="131">
        <v>2032</v>
      </c>
      <c r="J1871" s="132">
        <v>1.03</v>
      </c>
      <c r="K1871" s="132">
        <v>1.0556000000000001</v>
      </c>
      <c r="L1871" s="132">
        <v>0.44379999999999997</v>
      </c>
      <c r="M1871" s="132">
        <v>1.1167</v>
      </c>
      <c r="N1871" s="132">
        <v>1.4438</v>
      </c>
      <c r="O1871" s="132">
        <v>1.0538000000000001</v>
      </c>
      <c r="P1871" s="131">
        <v>3308</v>
      </c>
      <c r="Q1871" s="51">
        <f t="array" ref="Q1871">SUM(IF(($S1871&gt;=4)*($C1871='TaxCred&amp;Subs'!$D$123:$D$127)*($H1871='TaxCred&amp;Subs'!$C$123:$C$127)*($H1871&lt;='TaxCred&amp;Subs'!$C$129),'TaxCred&amp;Subs'!$E$123:$E$127,0))</f>
        <v>500</v>
      </c>
      <c r="R1871" s="171">
        <v>0</v>
      </c>
      <c r="S1871" s="131">
        <v>5</v>
      </c>
      <c r="T1871" s="131" t="s">
        <v>225</v>
      </c>
      <c r="U1871" s="155" t="s">
        <v>235</v>
      </c>
      <c r="V1871" s="153" t="str">
        <f t="array" ref="V1871">INDEX(xlRTCLNAME,MATCH(1,(xlRTCLENDU=1)*(xlRTCLEQCL=$D1871),0))</f>
        <v>KERO_FA</v>
      </c>
      <c r="W1871" s="153" t="str">
        <f t="array" ref="W1871">INDEX(xlRTCLNAME,MATCH(1,(xlRTCLENDU=2)*(xlRTCLEQCL=$F1871),0))</f>
        <v>CENT_AIR</v>
      </c>
      <c r="X1871" s="153" t="str">
        <f t="array" ref="X1871">INDEX(xlRTTYNAME,MATCH(1,(xlRTTYENDU=1)*(xlRTTYEQCL=$D1871)*(xlRTEQTYPE=$E1871),0))</f>
        <v>KERO_FA4</v>
      </c>
      <c r="Y1871" s="153" t="str">
        <f t="array" ref="Y1871">INDEX(xlRTTYNAME,MATCH(1,(xlRTTYENDU=2)*(xlRTTYEQCL=$F1871)*(xlRTEQTYPE=$G1871),0))</f>
        <v>CENT_AIR4</v>
      </c>
    </row>
    <row r="1872" spans="1:25" s="157" customFormat="1" ht="14.25" customHeight="1" x14ac:dyDescent="0.2">
      <c r="A1872"/>
      <c r="B1872" s="131">
        <v>9</v>
      </c>
      <c r="C1872" s="131">
        <v>2</v>
      </c>
      <c r="D1872" s="131">
        <v>5</v>
      </c>
      <c r="E1872" s="131">
        <v>17</v>
      </c>
      <c r="F1872" s="131">
        <v>2</v>
      </c>
      <c r="G1872" s="131">
        <v>8</v>
      </c>
      <c r="H1872" s="131">
        <v>2033</v>
      </c>
      <c r="I1872" s="131">
        <v>2050</v>
      </c>
      <c r="J1872" s="132">
        <v>1.03</v>
      </c>
      <c r="K1872" s="132">
        <v>1.0556000000000001</v>
      </c>
      <c r="L1872" s="132">
        <v>0.44379999999999997</v>
      </c>
      <c r="M1872" s="132">
        <v>1.1167</v>
      </c>
      <c r="N1872" s="132">
        <v>1.4438</v>
      </c>
      <c r="O1872" s="132">
        <v>1.0538000000000001</v>
      </c>
      <c r="P1872" s="131">
        <v>3308</v>
      </c>
      <c r="Q1872" s="51">
        <f t="array" ref="Q1872">SUM(IF(($S1872&gt;=4)*($C1872='TaxCred&amp;Subs'!$D$123:$D$127)*($H1872='TaxCred&amp;Subs'!$C$123:$C$127)*($H1872&lt;='TaxCred&amp;Subs'!$C$129),'TaxCred&amp;Subs'!$E$123:$E$127,0))</f>
        <v>0</v>
      </c>
      <c r="R1872" s="171">
        <v>0</v>
      </c>
      <c r="S1872" s="131">
        <v>5</v>
      </c>
      <c r="T1872" s="131" t="s">
        <v>225</v>
      </c>
      <c r="U1872" s="155" t="s">
        <v>235</v>
      </c>
      <c r="V1872" s="153" t="str">
        <f t="array" ref="V1872">INDEX(xlRTCLNAME,MATCH(1,(xlRTCLENDU=1)*(xlRTCLEQCL=$D1872),0))</f>
        <v>KERO_FA</v>
      </c>
      <c r="W1872" s="153" t="str">
        <f t="array" ref="W1872">INDEX(xlRTCLNAME,MATCH(1,(xlRTCLENDU=2)*(xlRTCLEQCL=$F1872),0))</f>
        <v>CENT_AIR</v>
      </c>
      <c r="X1872" s="153" t="str">
        <f t="array" ref="X1872">INDEX(xlRTTYNAME,MATCH(1,(xlRTTYENDU=1)*(xlRTTYEQCL=$D1872)*(xlRTEQTYPE=$E1872),0))</f>
        <v>KERO_FA4</v>
      </c>
      <c r="Y1872" s="153" t="str">
        <f t="array" ref="Y1872">INDEX(xlRTTYNAME,MATCH(1,(xlRTTYENDU=2)*(xlRTTYEQCL=$F1872)*(xlRTEQTYPE=$G1872),0))</f>
        <v>CENT_AIR4</v>
      </c>
    </row>
    <row r="1873" spans="1:25" s="157" customFormat="1" ht="14.25" customHeight="1" x14ac:dyDescent="0.2">
      <c r="A1873"/>
      <c r="B1873" s="126">
        <v>1</v>
      </c>
      <c r="C1873" s="126">
        <v>2</v>
      </c>
      <c r="D1873" s="126">
        <v>6</v>
      </c>
      <c r="E1873" s="126">
        <v>21</v>
      </c>
      <c r="F1873" s="126">
        <v>2</v>
      </c>
      <c r="G1873" s="126">
        <v>8</v>
      </c>
      <c r="H1873" s="126">
        <v>2016</v>
      </c>
      <c r="I1873" s="159">
        <v>2022</v>
      </c>
      <c r="J1873" s="127">
        <v>1.1042000000000001</v>
      </c>
      <c r="K1873" s="127">
        <v>1.0417000000000001</v>
      </c>
      <c r="L1873" s="127">
        <v>0.58399999999999996</v>
      </c>
      <c r="M1873" s="127">
        <v>1.1228</v>
      </c>
      <c r="N1873" s="127">
        <v>1.1127</v>
      </c>
      <c r="O1873" s="127">
        <v>1.0538000000000001</v>
      </c>
      <c r="P1873" s="126">
        <v>3776</v>
      </c>
      <c r="Q1873" s="128">
        <f t="array" ref="Q1873">SUM(IF(($S1873&gt;=4)*($C1873='TaxCred&amp;Subs'!$D$123:$D$127)*($H1873='TaxCred&amp;Subs'!$C$123:$C$127)*($H1873&lt;='TaxCred&amp;Subs'!$C$129),'TaxCred&amp;Subs'!$E$123:$E$127,0))</f>
        <v>0</v>
      </c>
      <c r="R1873" s="174">
        <v>0</v>
      </c>
      <c r="S1873" s="126">
        <v>5</v>
      </c>
      <c r="T1873" s="126" t="s">
        <v>225</v>
      </c>
      <c r="U1873"/>
      <c r="V1873" s="153" t="str">
        <f t="array" ref="V1873">INDEX(xlRTCLNAME,MATCH(1,(xlRTCLENDU=1)*(xlRTCLEQCL=$D1873),0))</f>
        <v>LPG_FA</v>
      </c>
      <c r="W1873" s="153" t="str">
        <f t="array" ref="W1873">INDEX(xlRTCLNAME,MATCH(1,(xlRTCLENDU=2)*(xlRTCLEQCL=$F1873),0))</f>
        <v>CENT_AIR</v>
      </c>
      <c r="X1873" s="153" t="str">
        <f t="array" ref="X1873">INDEX(xlRTTYNAME,MATCH(1,(xlRTTYENDU=1)*(xlRTTYEQCL=$D1873)*(xlRTEQTYPE=$E1873),0))</f>
        <v>LPG_FA4</v>
      </c>
      <c r="Y1873" s="153" t="str">
        <f t="array" ref="Y1873">INDEX(xlRTTYNAME,MATCH(1,(xlRTTYENDU=2)*(xlRTTYEQCL=$F1873)*(xlRTEQTYPE=$G1873),0))</f>
        <v>CENT_AIR4</v>
      </c>
    </row>
    <row r="1874" spans="1:25" s="157" customFormat="1" ht="14.25" customHeight="1" x14ac:dyDescent="0.2">
      <c r="A1874"/>
      <c r="B1874" s="49">
        <v>1</v>
      </c>
      <c r="C1874" s="49">
        <v>2</v>
      </c>
      <c r="D1874" s="49">
        <v>6</v>
      </c>
      <c r="E1874" s="49">
        <v>21</v>
      </c>
      <c r="F1874" s="49">
        <v>2</v>
      </c>
      <c r="G1874" s="49">
        <v>8</v>
      </c>
      <c r="H1874" s="49">
        <v>2023</v>
      </c>
      <c r="I1874" s="49">
        <v>2032</v>
      </c>
      <c r="J1874" s="50">
        <v>1.1042000000000001</v>
      </c>
      <c r="K1874" s="50">
        <v>1.0417000000000001</v>
      </c>
      <c r="L1874" s="50">
        <v>0.58399999999999996</v>
      </c>
      <c r="M1874" s="50">
        <v>1.1228</v>
      </c>
      <c r="N1874" s="50">
        <v>1.1127</v>
      </c>
      <c r="O1874" s="50">
        <v>1.0538000000000001</v>
      </c>
      <c r="P1874" s="49">
        <v>3776</v>
      </c>
      <c r="Q1874" s="51">
        <f t="array" ref="Q1874">SUM(IF(($S1874&gt;=4)*($C1874='TaxCred&amp;Subs'!$D$123:$D$127)*($H1874='TaxCred&amp;Subs'!$C$123:$C$127)*($H1874&lt;='TaxCred&amp;Subs'!$C$129),'TaxCred&amp;Subs'!$E$123:$E$127,0))</f>
        <v>500</v>
      </c>
      <c r="R1874" s="171">
        <v>0</v>
      </c>
      <c r="S1874" s="49">
        <v>5</v>
      </c>
      <c r="T1874" s="49" t="s">
        <v>225</v>
      </c>
      <c r="U1874"/>
      <c r="V1874" s="153" t="str">
        <f t="array" ref="V1874">INDEX(xlRTCLNAME,MATCH(1,(xlRTCLENDU=1)*(xlRTCLEQCL=$D1874),0))</f>
        <v>LPG_FA</v>
      </c>
      <c r="W1874" s="153" t="str">
        <f t="array" ref="W1874">INDEX(xlRTCLNAME,MATCH(1,(xlRTCLENDU=2)*(xlRTCLEQCL=$F1874),0))</f>
        <v>CENT_AIR</v>
      </c>
      <c r="X1874" s="153" t="str">
        <f t="array" ref="X1874">INDEX(xlRTTYNAME,MATCH(1,(xlRTTYENDU=1)*(xlRTTYEQCL=$D1874)*(xlRTEQTYPE=$E1874),0))</f>
        <v>LPG_FA4</v>
      </c>
      <c r="Y1874" s="153" t="str">
        <f t="array" ref="Y1874">INDEX(xlRTTYNAME,MATCH(1,(xlRTTYENDU=2)*(xlRTTYEQCL=$F1874)*(xlRTEQTYPE=$G1874),0))</f>
        <v>CENT_AIR4</v>
      </c>
    </row>
    <row r="1875" spans="1:25" s="157" customFormat="1" ht="14.25" customHeight="1" x14ac:dyDescent="0.2">
      <c r="A1875"/>
      <c r="B1875" s="49">
        <v>1</v>
      </c>
      <c r="C1875" s="49">
        <v>2</v>
      </c>
      <c r="D1875" s="49">
        <v>6</v>
      </c>
      <c r="E1875" s="49">
        <v>21</v>
      </c>
      <c r="F1875" s="49">
        <v>2</v>
      </c>
      <c r="G1875" s="49">
        <v>8</v>
      </c>
      <c r="H1875" s="49">
        <v>2033</v>
      </c>
      <c r="I1875" s="49">
        <v>2050</v>
      </c>
      <c r="J1875" s="50">
        <v>1.1042000000000001</v>
      </c>
      <c r="K1875" s="50">
        <v>1.0417000000000001</v>
      </c>
      <c r="L1875" s="50">
        <v>0.58399999999999996</v>
      </c>
      <c r="M1875" s="50">
        <v>1.1228</v>
      </c>
      <c r="N1875" s="50">
        <v>1.1127</v>
      </c>
      <c r="O1875" s="50">
        <v>1.0538000000000001</v>
      </c>
      <c r="P1875" s="49">
        <v>3776</v>
      </c>
      <c r="Q1875" s="51">
        <f t="array" ref="Q1875">SUM(IF(($S1875&gt;=4)*($C1875='TaxCred&amp;Subs'!$D$123:$D$127)*($H1875='TaxCred&amp;Subs'!$C$123:$C$127)*($H1875&lt;='TaxCred&amp;Subs'!$C$129),'TaxCred&amp;Subs'!$E$123:$E$127,0))</f>
        <v>0</v>
      </c>
      <c r="R1875" s="171">
        <v>0</v>
      </c>
      <c r="S1875" s="49">
        <v>5</v>
      </c>
      <c r="T1875" s="49" t="s">
        <v>225</v>
      </c>
      <c r="U1875"/>
      <c r="V1875" s="153" t="str">
        <f t="array" ref="V1875">INDEX(xlRTCLNAME,MATCH(1,(xlRTCLENDU=1)*(xlRTCLEQCL=$D1875),0))</f>
        <v>LPG_FA</v>
      </c>
      <c r="W1875" s="153" t="str">
        <f t="array" ref="W1875">INDEX(xlRTCLNAME,MATCH(1,(xlRTCLENDU=2)*(xlRTCLEQCL=$F1875),0))</f>
        <v>CENT_AIR</v>
      </c>
      <c r="X1875" s="153" t="str">
        <f t="array" ref="X1875">INDEX(xlRTTYNAME,MATCH(1,(xlRTTYENDU=1)*(xlRTTYEQCL=$D1875)*(xlRTEQTYPE=$E1875),0))</f>
        <v>LPG_FA4</v>
      </c>
      <c r="Y1875" s="153" t="str">
        <f t="array" ref="Y1875">INDEX(xlRTTYNAME,MATCH(1,(xlRTTYENDU=2)*(xlRTTYEQCL=$F1875)*(xlRTEQTYPE=$G1875),0))</f>
        <v>CENT_AIR4</v>
      </c>
    </row>
    <row r="1876" spans="1:25" s="157" customFormat="1" ht="14.25" customHeight="1" x14ac:dyDescent="0.2">
      <c r="A1876"/>
      <c r="B1876" s="126">
        <v>2</v>
      </c>
      <c r="C1876" s="126">
        <v>2</v>
      </c>
      <c r="D1876" s="126">
        <v>6</v>
      </c>
      <c r="E1876" s="126">
        <v>21</v>
      </c>
      <c r="F1876" s="126">
        <v>2</v>
      </c>
      <c r="G1876" s="126">
        <v>8</v>
      </c>
      <c r="H1876" s="126">
        <v>2016</v>
      </c>
      <c r="I1876" s="159">
        <v>2022</v>
      </c>
      <c r="J1876" s="127">
        <v>1.0847</v>
      </c>
      <c r="K1876" s="127">
        <v>1.0357000000000001</v>
      </c>
      <c r="L1876" s="127">
        <v>0.56759999999999999</v>
      </c>
      <c r="M1876" s="127">
        <v>1.1416999999999999</v>
      </c>
      <c r="N1876" s="127">
        <v>1.1162000000000001</v>
      </c>
      <c r="O1876" s="127">
        <v>1.0538000000000001</v>
      </c>
      <c r="P1876" s="126">
        <v>3572</v>
      </c>
      <c r="Q1876" s="128">
        <f t="array" ref="Q1876">SUM(IF(($S1876&gt;=4)*($C1876='TaxCred&amp;Subs'!$D$123:$D$127)*($H1876='TaxCred&amp;Subs'!$C$123:$C$127)*($H1876&lt;='TaxCred&amp;Subs'!$C$129),'TaxCred&amp;Subs'!$E$123:$E$127,0))</f>
        <v>0</v>
      </c>
      <c r="R1876" s="174">
        <v>0</v>
      </c>
      <c r="S1876" s="126">
        <v>5</v>
      </c>
      <c r="T1876" s="126" t="s">
        <v>225</v>
      </c>
      <c r="U1876"/>
      <c r="V1876" s="153" t="str">
        <f t="array" ref="V1876">INDEX(xlRTCLNAME,MATCH(1,(xlRTCLENDU=1)*(xlRTCLEQCL=$D1876),0))</f>
        <v>LPG_FA</v>
      </c>
      <c r="W1876" s="153" t="str">
        <f t="array" ref="W1876">INDEX(xlRTCLNAME,MATCH(1,(xlRTCLENDU=2)*(xlRTCLEQCL=$F1876),0))</f>
        <v>CENT_AIR</v>
      </c>
      <c r="X1876" s="153" t="str">
        <f t="array" ref="X1876">INDEX(xlRTTYNAME,MATCH(1,(xlRTTYENDU=1)*(xlRTTYEQCL=$D1876)*(xlRTEQTYPE=$E1876),0))</f>
        <v>LPG_FA4</v>
      </c>
      <c r="Y1876" s="153" t="str">
        <f t="array" ref="Y1876">INDEX(xlRTTYNAME,MATCH(1,(xlRTTYENDU=2)*(xlRTTYEQCL=$F1876)*(xlRTEQTYPE=$G1876),0))</f>
        <v>CENT_AIR4</v>
      </c>
    </row>
    <row r="1877" spans="1:25" s="157" customFormat="1" ht="14.25" customHeight="1" x14ac:dyDescent="0.2">
      <c r="A1877"/>
      <c r="B1877" s="49">
        <v>2</v>
      </c>
      <c r="C1877" s="49">
        <v>2</v>
      </c>
      <c r="D1877" s="49">
        <v>6</v>
      </c>
      <c r="E1877" s="49">
        <v>21</v>
      </c>
      <c r="F1877" s="49">
        <v>2</v>
      </c>
      <c r="G1877" s="49">
        <v>8</v>
      </c>
      <c r="H1877" s="49">
        <v>2023</v>
      </c>
      <c r="I1877" s="49">
        <v>2032</v>
      </c>
      <c r="J1877" s="50">
        <v>1.0847</v>
      </c>
      <c r="K1877" s="50">
        <v>1.0357000000000001</v>
      </c>
      <c r="L1877" s="50">
        <v>0.56759999999999999</v>
      </c>
      <c r="M1877" s="50">
        <v>1.1416999999999999</v>
      </c>
      <c r="N1877" s="50">
        <v>1.1162000000000001</v>
      </c>
      <c r="O1877" s="50">
        <v>1.0538000000000001</v>
      </c>
      <c r="P1877" s="49">
        <v>3572</v>
      </c>
      <c r="Q1877" s="51">
        <f t="array" ref="Q1877">SUM(IF(($S1877&gt;=4)*($C1877='TaxCred&amp;Subs'!$D$123:$D$127)*($H1877='TaxCred&amp;Subs'!$C$123:$C$127)*($H1877&lt;='TaxCred&amp;Subs'!$C$129),'TaxCred&amp;Subs'!$E$123:$E$127,0))</f>
        <v>500</v>
      </c>
      <c r="R1877" s="171">
        <v>0</v>
      </c>
      <c r="S1877" s="49">
        <v>5</v>
      </c>
      <c r="T1877" s="49" t="s">
        <v>225</v>
      </c>
      <c r="U1877"/>
      <c r="V1877" s="153" t="str">
        <f t="array" ref="V1877">INDEX(xlRTCLNAME,MATCH(1,(xlRTCLENDU=1)*(xlRTCLEQCL=$D1877),0))</f>
        <v>LPG_FA</v>
      </c>
      <c r="W1877" s="153" t="str">
        <f t="array" ref="W1877">INDEX(xlRTCLNAME,MATCH(1,(xlRTCLENDU=2)*(xlRTCLEQCL=$F1877),0))</f>
        <v>CENT_AIR</v>
      </c>
      <c r="X1877" s="153" t="str">
        <f t="array" ref="X1877">INDEX(xlRTTYNAME,MATCH(1,(xlRTTYENDU=1)*(xlRTTYEQCL=$D1877)*(xlRTEQTYPE=$E1877),0))</f>
        <v>LPG_FA4</v>
      </c>
      <c r="Y1877" s="153" t="str">
        <f t="array" ref="Y1877">INDEX(xlRTTYNAME,MATCH(1,(xlRTTYENDU=2)*(xlRTTYEQCL=$F1877)*(xlRTEQTYPE=$G1877),0))</f>
        <v>CENT_AIR4</v>
      </c>
    </row>
    <row r="1878" spans="1:25" s="157" customFormat="1" ht="14.25" customHeight="1" x14ac:dyDescent="0.2">
      <c r="A1878"/>
      <c r="B1878" s="49">
        <v>2</v>
      </c>
      <c r="C1878" s="49">
        <v>2</v>
      </c>
      <c r="D1878" s="49">
        <v>6</v>
      </c>
      <c r="E1878" s="49">
        <v>21</v>
      </c>
      <c r="F1878" s="49">
        <v>2</v>
      </c>
      <c r="G1878" s="49">
        <v>8</v>
      </c>
      <c r="H1878" s="49">
        <v>2033</v>
      </c>
      <c r="I1878" s="49">
        <v>2050</v>
      </c>
      <c r="J1878" s="50">
        <v>1.0847</v>
      </c>
      <c r="K1878" s="50">
        <v>1.0357000000000001</v>
      </c>
      <c r="L1878" s="50">
        <v>0.56759999999999999</v>
      </c>
      <c r="M1878" s="50">
        <v>1.1416999999999999</v>
      </c>
      <c r="N1878" s="50">
        <v>1.1162000000000001</v>
      </c>
      <c r="O1878" s="50">
        <v>1.0538000000000001</v>
      </c>
      <c r="P1878" s="49">
        <v>3572</v>
      </c>
      <c r="Q1878" s="51">
        <f t="array" ref="Q1878">SUM(IF(($S1878&gt;=4)*($C1878='TaxCred&amp;Subs'!$D$123:$D$127)*($H1878='TaxCred&amp;Subs'!$C$123:$C$127)*($H1878&lt;='TaxCred&amp;Subs'!$C$129),'TaxCred&amp;Subs'!$E$123:$E$127,0))</f>
        <v>0</v>
      </c>
      <c r="R1878" s="171">
        <v>0</v>
      </c>
      <c r="S1878" s="49">
        <v>5</v>
      </c>
      <c r="T1878" s="49" t="s">
        <v>225</v>
      </c>
      <c r="U1878"/>
      <c r="V1878" s="153" t="str">
        <f t="array" ref="V1878">INDEX(xlRTCLNAME,MATCH(1,(xlRTCLENDU=1)*(xlRTCLEQCL=$D1878),0))</f>
        <v>LPG_FA</v>
      </c>
      <c r="W1878" s="153" t="str">
        <f t="array" ref="W1878">INDEX(xlRTCLNAME,MATCH(1,(xlRTCLENDU=2)*(xlRTCLEQCL=$F1878),0))</f>
        <v>CENT_AIR</v>
      </c>
      <c r="X1878" s="153" t="str">
        <f t="array" ref="X1878">INDEX(xlRTTYNAME,MATCH(1,(xlRTTYENDU=1)*(xlRTTYEQCL=$D1878)*(xlRTEQTYPE=$E1878),0))</f>
        <v>LPG_FA4</v>
      </c>
      <c r="Y1878" s="153" t="str">
        <f t="array" ref="Y1878">INDEX(xlRTTYNAME,MATCH(1,(xlRTTYENDU=2)*(xlRTTYEQCL=$F1878)*(xlRTEQTYPE=$G1878),0))</f>
        <v>CENT_AIR4</v>
      </c>
    </row>
    <row r="1879" spans="1:25" s="157" customFormat="1" ht="14.25" customHeight="1" x14ac:dyDescent="0.2">
      <c r="A1879"/>
      <c r="B1879" s="126">
        <v>3</v>
      </c>
      <c r="C1879" s="126">
        <v>2</v>
      </c>
      <c r="D1879" s="126">
        <v>6</v>
      </c>
      <c r="E1879" s="126">
        <v>21</v>
      </c>
      <c r="F1879" s="126">
        <v>2</v>
      </c>
      <c r="G1879" s="126">
        <v>8</v>
      </c>
      <c r="H1879" s="126">
        <v>2016</v>
      </c>
      <c r="I1879" s="159">
        <v>2022</v>
      </c>
      <c r="J1879" s="127">
        <v>1.0984</v>
      </c>
      <c r="K1879" s="127">
        <v>1.0345</v>
      </c>
      <c r="L1879" s="127">
        <v>0.5595</v>
      </c>
      <c r="M1879" s="127">
        <v>1.0310999999999999</v>
      </c>
      <c r="N1879" s="127">
        <v>1.0399</v>
      </c>
      <c r="O1879" s="127">
        <v>1.0538000000000001</v>
      </c>
      <c r="P1879" s="126">
        <v>3206</v>
      </c>
      <c r="Q1879" s="128">
        <f t="array" ref="Q1879">SUM(IF(($S1879&gt;=4)*($C1879='TaxCred&amp;Subs'!$D$123:$D$127)*($H1879='TaxCred&amp;Subs'!$C$123:$C$127)*($H1879&lt;='TaxCred&amp;Subs'!$C$129),'TaxCred&amp;Subs'!$E$123:$E$127,0))</f>
        <v>0</v>
      </c>
      <c r="R1879" s="174">
        <v>0</v>
      </c>
      <c r="S1879" s="126">
        <v>5</v>
      </c>
      <c r="T1879" s="126" t="s">
        <v>225</v>
      </c>
      <c r="U1879"/>
      <c r="V1879" s="153" t="str">
        <f t="array" ref="V1879">INDEX(xlRTCLNAME,MATCH(1,(xlRTCLENDU=1)*(xlRTCLEQCL=$D1879),0))</f>
        <v>LPG_FA</v>
      </c>
      <c r="W1879" s="153" t="str">
        <f t="array" ref="W1879">INDEX(xlRTCLNAME,MATCH(1,(xlRTCLENDU=2)*(xlRTCLEQCL=$F1879),0))</f>
        <v>CENT_AIR</v>
      </c>
      <c r="X1879" s="153" t="str">
        <f t="array" ref="X1879">INDEX(xlRTTYNAME,MATCH(1,(xlRTTYENDU=1)*(xlRTTYEQCL=$D1879)*(xlRTEQTYPE=$E1879),0))</f>
        <v>LPG_FA4</v>
      </c>
      <c r="Y1879" s="153" t="str">
        <f t="array" ref="Y1879">INDEX(xlRTTYNAME,MATCH(1,(xlRTTYENDU=2)*(xlRTTYEQCL=$F1879)*(xlRTEQTYPE=$G1879),0))</f>
        <v>CENT_AIR4</v>
      </c>
    </row>
    <row r="1880" spans="1:25" s="157" customFormat="1" ht="14.25" customHeight="1" x14ac:dyDescent="0.2">
      <c r="A1880"/>
      <c r="B1880" s="49">
        <v>3</v>
      </c>
      <c r="C1880" s="49">
        <v>2</v>
      </c>
      <c r="D1880" s="49">
        <v>6</v>
      </c>
      <c r="E1880" s="49">
        <v>21</v>
      </c>
      <c r="F1880" s="49">
        <v>2</v>
      </c>
      <c r="G1880" s="49">
        <v>8</v>
      </c>
      <c r="H1880" s="49">
        <v>2023</v>
      </c>
      <c r="I1880" s="49">
        <v>2032</v>
      </c>
      <c r="J1880" s="50">
        <v>1.0984</v>
      </c>
      <c r="K1880" s="50">
        <v>1.0345</v>
      </c>
      <c r="L1880" s="50">
        <v>0.5595</v>
      </c>
      <c r="M1880" s="50">
        <v>1.0310999999999999</v>
      </c>
      <c r="N1880" s="50">
        <v>1.0399</v>
      </c>
      <c r="O1880" s="50">
        <v>1.0538000000000001</v>
      </c>
      <c r="P1880" s="49">
        <v>3206</v>
      </c>
      <c r="Q1880" s="51">
        <f t="array" ref="Q1880">SUM(IF(($S1880&gt;=4)*($C1880='TaxCred&amp;Subs'!$D$123:$D$127)*($H1880='TaxCred&amp;Subs'!$C$123:$C$127)*($H1880&lt;='TaxCred&amp;Subs'!$C$129),'TaxCred&amp;Subs'!$E$123:$E$127,0))</f>
        <v>500</v>
      </c>
      <c r="R1880" s="171">
        <v>0</v>
      </c>
      <c r="S1880" s="49">
        <v>5</v>
      </c>
      <c r="T1880" s="49" t="s">
        <v>225</v>
      </c>
      <c r="U1880"/>
      <c r="V1880" s="153" t="str">
        <f t="array" ref="V1880">INDEX(xlRTCLNAME,MATCH(1,(xlRTCLENDU=1)*(xlRTCLEQCL=$D1880),0))</f>
        <v>LPG_FA</v>
      </c>
      <c r="W1880" s="153" t="str">
        <f t="array" ref="W1880">INDEX(xlRTCLNAME,MATCH(1,(xlRTCLENDU=2)*(xlRTCLEQCL=$F1880),0))</f>
        <v>CENT_AIR</v>
      </c>
      <c r="X1880" s="153" t="str">
        <f t="array" ref="X1880">INDEX(xlRTTYNAME,MATCH(1,(xlRTTYENDU=1)*(xlRTTYEQCL=$D1880)*(xlRTEQTYPE=$E1880),0))</f>
        <v>LPG_FA4</v>
      </c>
      <c r="Y1880" s="153" t="str">
        <f t="array" ref="Y1880">INDEX(xlRTTYNAME,MATCH(1,(xlRTTYENDU=2)*(xlRTTYEQCL=$F1880)*(xlRTEQTYPE=$G1880),0))</f>
        <v>CENT_AIR4</v>
      </c>
    </row>
    <row r="1881" spans="1:25" s="157" customFormat="1" ht="14.25" customHeight="1" x14ac:dyDescent="0.2">
      <c r="A1881"/>
      <c r="B1881" s="49">
        <v>3</v>
      </c>
      <c r="C1881" s="49">
        <v>2</v>
      </c>
      <c r="D1881" s="49">
        <v>6</v>
      </c>
      <c r="E1881" s="49">
        <v>21</v>
      </c>
      <c r="F1881" s="49">
        <v>2</v>
      </c>
      <c r="G1881" s="49">
        <v>8</v>
      </c>
      <c r="H1881" s="49">
        <v>2033</v>
      </c>
      <c r="I1881" s="49">
        <v>2050</v>
      </c>
      <c r="J1881" s="50">
        <v>1.0984</v>
      </c>
      <c r="K1881" s="50">
        <v>1.0345</v>
      </c>
      <c r="L1881" s="50">
        <v>0.5595</v>
      </c>
      <c r="M1881" s="50">
        <v>1.0310999999999999</v>
      </c>
      <c r="N1881" s="50">
        <v>1.0399</v>
      </c>
      <c r="O1881" s="50">
        <v>1.0538000000000001</v>
      </c>
      <c r="P1881" s="49">
        <v>3206</v>
      </c>
      <c r="Q1881" s="51">
        <f t="array" ref="Q1881">SUM(IF(($S1881&gt;=4)*($C1881='TaxCred&amp;Subs'!$D$123:$D$127)*($H1881='TaxCred&amp;Subs'!$C$123:$C$127)*($H1881&lt;='TaxCred&amp;Subs'!$C$129),'TaxCred&amp;Subs'!$E$123:$E$127,0))</f>
        <v>0</v>
      </c>
      <c r="R1881" s="171">
        <v>0</v>
      </c>
      <c r="S1881" s="49">
        <v>5</v>
      </c>
      <c r="T1881" s="49" t="s">
        <v>225</v>
      </c>
      <c r="U1881"/>
      <c r="V1881" s="153" t="str">
        <f t="array" ref="V1881">INDEX(xlRTCLNAME,MATCH(1,(xlRTCLENDU=1)*(xlRTCLEQCL=$D1881),0))</f>
        <v>LPG_FA</v>
      </c>
      <c r="W1881" s="153" t="str">
        <f t="array" ref="W1881">INDEX(xlRTCLNAME,MATCH(1,(xlRTCLENDU=2)*(xlRTCLEQCL=$F1881),0))</f>
        <v>CENT_AIR</v>
      </c>
      <c r="X1881" s="153" t="str">
        <f t="array" ref="X1881">INDEX(xlRTTYNAME,MATCH(1,(xlRTTYENDU=1)*(xlRTTYEQCL=$D1881)*(xlRTEQTYPE=$E1881),0))</f>
        <v>LPG_FA4</v>
      </c>
      <c r="Y1881" s="153" t="str">
        <f t="array" ref="Y1881">INDEX(xlRTTYNAME,MATCH(1,(xlRTTYENDU=2)*(xlRTTYEQCL=$F1881)*(xlRTEQTYPE=$G1881),0))</f>
        <v>CENT_AIR4</v>
      </c>
    </row>
    <row r="1882" spans="1:25" s="157" customFormat="1" ht="14.25" customHeight="1" x14ac:dyDescent="0.2">
      <c r="A1882"/>
      <c r="B1882" s="126">
        <v>4</v>
      </c>
      <c r="C1882" s="126">
        <v>2</v>
      </c>
      <c r="D1882" s="126">
        <v>6</v>
      </c>
      <c r="E1882" s="126">
        <v>21</v>
      </c>
      <c r="F1882" s="126">
        <v>2</v>
      </c>
      <c r="G1882" s="126">
        <v>8</v>
      </c>
      <c r="H1882" s="126">
        <v>2016</v>
      </c>
      <c r="I1882" s="159">
        <v>2022</v>
      </c>
      <c r="J1882" s="127">
        <v>1.1000000000000001</v>
      </c>
      <c r="K1882" s="127">
        <v>1.0435000000000001</v>
      </c>
      <c r="L1882" s="127">
        <v>0.626</v>
      </c>
      <c r="M1882" s="127">
        <v>1.1499999999999999</v>
      </c>
      <c r="N1882" s="127">
        <v>1.1696</v>
      </c>
      <c r="O1882" s="127">
        <v>1.0538000000000001</v>
      </c>
      <c r="P1882" s="126">
        <v>2777</v>
      </c>
      <c r="Q1882" s="128">
        <f t="array" ref="Q1882">SUM(IF(($S1882&gt;=4)*($C1882='TaxCred&amp;Subs'!$D$123:$D$127)*($H1882='TaxCred&amp;Subs'!$C$123:$C$127)*($H1882&lt;='TaxCred&amp;Subs'!$C$129),'TaxCred&amp;Subs'!$E$123:$E$127,0))</f>
        <v>0</v>
      </c>
      <c r="R1882" s="174">
        <v>0</v>
      </c>
      <c r="S1882" s="126">
        <v>5</v>
      </c>
      <c r="T1882" s="126" t="s">
        <v>225</v>
      </c>
      <c r="U1882"/>
      <c r="V1882" s="153" t="str">
        <f t="array" ref="V1882">INDEX(xlRTCLNAME,MATCH(1,(xlRTCLENDU=1)*(xlRTCLEQCL=$D1882),0))</f>
        <v>LPG_FA</v>
      </c>
      <c r="W1882" s="153" t="str">
        <f t="array" ref="W1882">INDEX(xlRTCLNAME,MATCH(1,(xlRTCLENDU=2)*(xlRTCLEQCL=$F1882),0))</f>
        <v>CENT_AIR</v>
      </c>
      <c r="X1882" s="153" t="str">
        <f t="array" ref="X1882">INDEX(xlRTTYNAME,MATCH(1,(xlRTTYENDU=1)*(xlRTTYEQCL=$D1882)*(xlRTEQTYPE=$E1882),0))</f>
        <v>LPG_FA4</v>
      </c>
      <c r="Y1882" s="153" t="str">
        <f t="array" ref="Y1882">INDEX(xlRTTYNAME,MATCH(1,(xlRTTYENDU=2)*(xlRTTYEQCL=$F1882)*(xlRTEQTYPE=$G1882),0))</f>
        <v>CENT_AIR4</v>
      </c>
    </row>
    <row r="1883" spans="1:25" s="157" customFormat="1" ht="14.25" customHeight="1" x14ac:dyDescent="0.2">
      <c r="A1883"/>
      <c r="B1883" s="49">
        <v>4</v>
      </c>
      <c r="C1883" s="49">
        <v>2</v>
      </c>
      <c r="D1883" s="49">
        <v>6</v>
      </c>
      <c r="E1883" s="49">
        <v>21</v>
      </c>
      <c r="F1883" s="49">
        <v>2</v>
      </c>
      <c r="G1883" s="49">
        <v>8</v>
      </c>
      <c r="H1883" s="49">
        <v>2023</v>
      </c>
      <c r="I1883" s="49">
        <v>2032</v>
      </c>
      <c r="J1883" s="50">
        <v>1.1000000000000001</v>
      </c>
      <c r="K1883" s="50">
        <v>1.0435000000000001</v>
      </c>
      <c r="L1883" s="50">
        <v>0.626</v>
      </c>
      <c r="M1883" s="50">
        <v>1.1499999999999999</v>
      </c>
      <c r="N1883" s="50">
        <v>1.1696</v>
      </c>
      <c r="O1883" s="50">
        <v>1.0538000000000001</v>
      </c>
      <c r="P1883" s="49">
        <v>2777</v>
      </c>
      <c r="Q1883" s="51">
        <f t="array" ref="Q1883">SUM(IF(($S1883&gt;=4)*($C1883='TaxCred&amp;Subs'!$D$123:$D$127)*($H1883='TaxCred&amp;Subs'!$C$123:$C$127)*($H1883&lt;='TaxCred&amp;Subs'!$C$129),'TaxCred&amp;Subs'!$E$123:$E$127,0))</f>
        <v>500</v>
      </c>
      <c r="R1883" s="171">
        <v>0</v>
      </c>
      <c r="S1883" s="49">
        <v>5</v>
      </c>
      <c r="T1883" s="49" t="s">
        <v>225</v>
      </c>
      <c r="U1883"/>
      <c r="V1883" s="153" t="str">
        <f t="array" ref="V1883">INDEX(xlRTCLNAME,MATCH(1,(xlRTCLENDU=1)*(xlRTCLEQCL=$D1883),0))</f>
        <v>LPG_FA</v>
      </c>
      <c r="W1883" s="153" t="str">
        <f t="array" ref="W1883">INDEX(xlRTCLNAME,MATCH(1,(xlRTCLENDU=2)*(xlRTCLEQCL=$F1883),0))</f>
        <v>CENT_AIR</v>
      </c>
      <c r="X1883" s="153" t="str">
        <f t="array" ref="X1883">INDEX(xlRTTYNAME,MATCH(1,(xlRTTYENDU=1)*(xlRTTYEQCL=$D1883)*(xlRTEQTYPE=$E1883),0))</f>
        <v>LPG_FA4</v>
      </c>
      <c r="Y1883" s="153" t="str">
        <f t="array" ref="Y1883">INDEX(xlRTTYNAME,MATCH(1,(xlRTTYENDU=2)*(xlRTTYEQCL=$F1883)*(xlRTEQTYPE=$G1883),0))</f>
        <v>CENT_AIR4</v>
      </c>
    </row>
    <row r="1884" spans="1:25" s="157" customFormat="1" ht="14.25" customHeight="1" x14ac:dyDescent="0.2">
      <c r="A1884"/>
      <c r="B1884" s="49">
        <v>4</v>
      </c>
      <c r="C1884" s="49">
        <v>2</v>
      </c>
      <c r="D1884" s="49">
        <v>6</v>
      </c>
      <c r="E1884" s="49">
        <v>21</v>
      </c>
      <c r="F1884" s="49">
        <v>2</v>
      </c>
      <c r="G1884" s="49">
        <v>8</v>
      </c>
      <c r="H1884" s="49">
        <v>2033</v>
      </c>
      <c r="I1884" s="49">
        <v>2050</v>
      </c>
      <c r="J1884" s="50">
        <v>1.1000000000000001</v>
      </c>
      <c r="K1884" s="50">
        <v>1.0435000000000001</v>
      </c>
      <c r="L1884" s="50">
        <v>0.626</v>
      </c>
      <c r="M1884" s="50">
        <v>1.1499999999999999</v>
      </c>
      <c r="N1884" s="50">
        <v>1.1696</v>
      </c>
      <c r="O1884" s="50">
        <v>1.0538000000000001</v>
      </c>
      <c r="P1884" s="49">
        <v>2777</v>
      </c>
      <c r="Q1884" s="51">
        <f t="array" ref="Q1884">SUM(IF(($S1884&gt;=4)*($C1884='TaxCred&amp;Subs'!$D$123:$D$127)*($H1884='TaxCred&amp;Subs'!$C$123:$C$127)*($H1884&lt;='TaxCred&amp;Subs'!$C$129),'TaxCred&amp;Subs'!$E$123:$E$127,0))</f>
        <v>0</v>
      </c>
      <c r="R1884" s="171">
        <v>0</v>
      </c>
      <c r="S1884" s="49">
        <v>5</v>
      </c>
      <c r="T1884" s="49" t="s">
        <v>225</v>
      </c>
      <c r="U1884"/>
      <c r="V1884" s="153" t="str">
        <f t="array" ref="V1884">INDEX(xlRTCLNAME,MATCH(1,(xlRTCLENDU=1)*(xlRTCLEQCL=$D1884),0))</f>
        <v>LPG_FA</v>
      </c>
      <c r="W1884" s="153" t="str">
        <f t="array" ref="W1884">INDEX(xlRTCLNAME,MATCH(1,(xlRTCLENDU=2)*(xlRTCLEQCL=$F1884),0))</f>
        <v>CENT_AIR</v>
      </c>
      <c r="X1884" s="153" t="str">
        <f t="array" ref="X1884">INDEX(xlRTTYNAME,MATCH(1,(xlRTTYENDU=1)*(xlRTTYEQCL=$D1884)*(xlRTEQTYPE=$E1884),0))</f>
        <v>LPG_FA4</v>
      </c>
      <c r="Y1884" s="153" t="str">
        <f t="array" ref="Y1884">INDEX(xlRTTYNAME,MATCH(1,(xlRTTYENDU=2)*(xlRTTYEQCL=$F1884)*(xlRTEQTYPE=$G1884),0))</f>
        <v>CENT_AIR4</v>
      </c>
    </row>
    <row r="1885" spans="1:25" s="157" customFormat="1" ht="14.25" customHeight="1" x14ac:dyDescent="0.2">
      <c r="A1885"/>
      <c r="B1885" s="126">
        <v>5</v>
      </c>
      <c r="C1885" s="126">
        <v>2</v>
      </c>
      <c r="D1885" s="126">
        <v>6</v>
      </c>
      <c r="E1885" s="126">
        <v>21</v>
      </c>
      <c r="F1885" s="126">
        <v>2</v>
      </c>
      <c r="G1885" s="126">
        <v>8</v>
      </c>
      <c r="H1885" s="126">
        <v>2016</v>
      </c>
      <c r="I1885" s="159">
        <v>2022</v>
      </c>
      <c r="J1885" s="127">
        <v>1.1200000000000001</v>
      </c>
      <c r="K1885" s="127">
        <v>1.0391999999999999</v>
      </c>
      <c r="L1885" s="127">
        <v>0.44379999999999997</v>
      </c>
      <c r="M1885" s="127">
        <v>1.0314000000000001</v>
      </c>
      <c r="N1885" s="127">
        <v>1.2750999999999999</v>
      </c>
      <c r="O1885" s="127">
        <v>1.0538000000000001</v>
      </c>
      <c r="P1885" s="126">
        <v>2401</v>
      </c>
      <c r="Q1885" s="128">
        <f t="array" ref="Q1885">SUM(IF(($S1885&gt;=4)*($C1885='TaxCred&amp;Subs'!$D$123:$D$127)*($H1885='TaxCred&amp;Subs'!$C$123:$C$127)*($H1885&lt;='TaxCred&amp;Subs'!$C$129),'TaxCred&amp;Subs'!$E$123:$E$127,0))</f>
        <v>0</v>
      </c>
      <c r="R1885" s="174">
        <v>0</v>
      </c>
      <c r="S1885" s="126">
        <v>5</v>
      </c>
      <c r="T1885" s="126" t="s">
        <v>225</v>
      </c>
      <c r="U1885"/>
      <c r="V1885" s="153" t="str">
        <f t="array" ref="V1885">INDEX(xlRTCLNAME,MATCH(1,(xlRTCLENDU=1)*(xlRTCLEQCL=$D1885),0))</f>
        <v>LPG_FA</v>
      </c>
      <c r="W1885" s="153" t="str">
        <f t="array" ref="W1885">INDEX(xlRTCLNAME,MATCH(1,(xlRTCLENDU=2)*(xlRTCLEQCL=$F1885),0))</f>
        <v>CENT_AIR</v>
      </c>
      <c r="X1885" s="153" t="str">
        <f t="array" ref="X1885">INDEX(xlRTTYNAME,MATCH(1,(xlRTTYENDU=1)*(xlRTTYEQCL=$D1885)*(xlRTEQTYPE=$E1885),0))</f>
        <v>LPG_FA4</v>
      </c>
      <c r="Y1885" s="153" t="str">
        <f t="array" ref="Y1885">INDEX(xlRTTYNAME,MATCH(1,(xlRTTYENDU=2)*(xlRTTYEQCL=$F1885)*(xlRTEQTYPE=$G1885),0))</f>
        <v>CENT_AIR4</v>
      </c>
    </row>
    <row r="1886" spans="1:25" s="157" customFormat="1" ht="14.25" customHeight="1" x14ac:dyDescent="0.2">
      <c r="A1886"/>
      <c r="B1886" s="49">
        <v>5</v>
      </c>
      <c r="C1886" s="49">
        <v>2</v>
      </c>
      <c r="D1886" s="49">
        <v>6</v>
      </c>
      <c r="E1886" s="49">
        <v>21</v>
      </c>
      <c r="F1886" s="49">
        <v>2</v>
      </c>
      <c r="G1886" s="49">
        <v>8</v>
      </c>
      <c r="H1886" s="49">
        <v>2023</v>
      </c>
      <c r="I1886" s="49">
        <v>2032</v>
      </c>
      <c r="J1886" s="50">
        <v>1.1200000000000001</v>
      </c>
      <c r="K1886" s="50">
        <v>1.0391999999999999</v>
      </c>
      <c r="L1886" s="50">
        <v>0.44379999999999997</v>
      </c>
      <c r="M1886" s="50">
        <v>1.0314000000000001</v>
      </c>
      <c r="N1886" s="50">
        <v>1.2750999999999999</v>
      </c>
      <c r="O1886" s="50">
        <v>1.0538000000000001</v>
      </c>
      <c r="P1886" s="49">
        <v>2401</v>
      </c>
      <c r="Q1886" s="51">
        <f t="array" ref="Q1886">SUM(IF(($S1886&gt;=4)*($C1886='TaxCred&amp;Subs'!$D$123:$D$127)*($H1886='TaxCred&amp;Subs'!$C$123:$C$127)*($H1886&lt;='TaxCred&amp;Subs'!$C$129),'TaxCred&amp;Subs'!$E$123:$E$127,0))</f>
        <v>500</v>
      </c>
      <c r="R1886" s="171">
        <v>0</v>
      </c>
      <c r="S1886" s="49">
        <v>5</v>
      </c>
      <c r="T1886" s="49" t="s">
        <v>225</v>
      </c>
      <c r="U1886"/>
      <c r="V1886" s="153" t="str">
        <f t="array" ref="V1886">INDEX(xlRTCLNAME,MATCH(1,(xlRTCLENDU=1)*(xlRTCLEQCL=$D1886),0))</f>
        <v>LPG_FA</v>
      </c>
      <c r="W1886" s="153" t="str">
        <f t="array" ref="W1886">INDEX(xlRTCLNAME,MATCH(1,(xlRTCLENDU=2)*(xlRTCLEQCL=$F1886),0))</f>
        <v>CENT_AIR</v>
      </c>
      <c r="X1886" s="153" t="str">
        <f t="array" ref="X1886">INDEX(xlRTTYNAME,MATCH(1,(xlRTTYENDU=1)*(xlRTTYEQCL=$D1886)*(xlRTEQTYPE=$E1886),0))</f>
        <v>LPG_FA4</v>
      </c>
      <c r="Y1886" s="153" t="str">
        <f t="array" ref="Y1886">INDEX(xlRTTYNAME,MATCH(1,(xlRTTYENDU=2)*(xlRTTYEQCL=$F1886)*(xlRTEQTYPE=$G1886),0))</f>
        <v>CENT_AIR4</v>
      </c>
    </row>
    <row r="1887" spans="1:25" s="157" customFormat="1" ht="14.25" customHeight="1" x14ac:dyDescent="0.2">
      <c r="A1887"/>
      <c r="B1887" s="49">
        <v>5</v>
      </c>
      <c r="C1887" s="49">
        <v>2</v>
      </c>
      <c r="D1887" s="49">
        <v>6</v>
      </c>
      <c r="E1887" s="49">
        <v>21</v>
      </c>
      <c r="F1887" s="49">
        <v>2</v>
      </c>
      <c r="G1887" s="49">
        <v>8</v>
      </c>
      <c r="H1887" s="49">
        <v>2033</v>
      </c>
      <c r="I1887" s="49">
        <v>2050</v>
      </c>
      <c r="J1887" s="50">
        <v>1.1200000000000001</v>
      </c>
      <c r="K1887" s="50">
        <v>1.0391999999999999</v>
      </c>
      <c r="L1887" s="50">
        <v>0.44379999999999997</v>
      </c>
      <c r="M1887" s="50">
        <v>1.0314000000000001</v>
      </c>
      <c r="N1887" s="50">
        <v>1.2750999999999999</v>
      </c>
      <c r="O1887" s="50">
        <v>1.0538000000000001</v>
      </c>
      <c r="P1887" s="49">
        <v>2401</v>
      </c>
      <c r="Q1887" s="51">
        <f t="array" ref="Q1887">SUM(IF(($S1887&gt;=4)*($C1887='TaxCred&amp;Subs'!$D$123:$D$127)*($H1887='TaxCred&amp;Subs'!$C$123:$C$127)*($H1887&lt;='TaxCred&amp;Subs'!$C$129),'TaxCred&amp;Subs'!$E$123:$E$127,0))</f>
        <v>0</v>
      </c>
      <c r="R1887" s="171">
        <v>0</v>
      </c>
      <c r="S1887" s="49">
        <v>5</v>
      </c>
      <c r="T1887" s="49" t="s">
        <v>225</v>
      </c>
      <c r="U1887"/>
      <c r="V1887" s="153" t="str">
        <f t="array" ref="V1887">INDEX(xlRTCLNAME,MATCH(1,(xlRTCLENDU=1)*(xlRTCLEQCL=$D1887),0))</f>
        <v>LPG_FA</v>
      </c>
      <c r="W1887" s="153" t="str">
        <f t="array" ref="W1887">INDEX(xlRTCLNAME,MATCH(1,(xlRTCLENDU=2)*(xlRTCLEQCL=$F1887),0))</f>
        <v>CENT_AIR</v>
      </c>
      <c r="X1887" s="153" t="str">
        <f t="array" ref="X1887">INDEX(xlRTTYNAME,MATCH(1,(xlRTTYENDU=1)*(xlRTTYEQCL=$D1887)*(xlRTEQTYPE=$E1887),0))</f>
        <v>LPG_FA4</v>
      </c>
      <c r="Y1887" s="153" t="str">
        <f t="array" ref="Y1887">INDEX(xlRTTYNAME,MATCH(1,(xlRTTYENDU=2)*(xlRTTYEQCL=$F1887)*(xlRTEQTYPE=$G1887),0))</f>
        <v>CENT_AIR4</v>
      </c>
    </row>
    <row r="1888" spans="1:25" s="157" customFormat="1" ht="14.25" customHeight="1" x14ac:dyDescent="0.2">
      <c r="A1888"/>
      <c r="B1888" s="126">
        <v>6</v>
      </c>
      <c r="C1888" s="126">
        <v>2</v>
      </c>
      <c r="D1888" s="126">
        <v>6</v>
      </c>
      <c r="E1888" s="126">
        <v>21</v>
      </c>
      <c r="F1888" s="126">
        <v>2</v>
      </c>
      <c r="G1888" s="126">
        <v>8</v>
      </c>
      <c r="H1888" s="126">
        <v>2016</v>
      </c>
      <c r="I1888" s="159">
        <v>2022</v>
      </c>
      <c r="J1888" s="127">
        <v>1.1200000000000001</v>
      </c>
      <c r="K1888" s="127">
        <v>1.03</v>
      </c>
      <c r="L1888" s="127">
        <v>0.44379999999999997</v>
      </c>
      <c r="M1888" s="127">
        <v>1.0546</v>
      </c>
      <c r="N1888" s="127">
        <v>1.3324</v>
      </c>
      <c r="O1888" s="127">
        <v>1.0538000000000001</v>
      </c>
      <c r="P1888" s="126">
        <v>2657</v>
      </c>
      <c r="Q1888" s="128">
        <f t="array" ref="Q1888">SUM(IF(($S1888&gt;=4)*($C1888='TaxCred&amp;Subs'!$D$123:$D$127)*($H1888='TaxCred&amp;Subs'!$C$123:$C$127)*($H1888&lt;='TaxCred&amp;Subs'!$C$129),'TaxCred&amp;Subs'!$E$123:$E$127,0))</f>
        <v>0</v>
      </c>
      <c r="R1888" s="174">
        <v>0</v>
      </c>
      <c r="S1888" s="126">
        <v>5</v>
      </c>
      <c r="T1888" s="126" t="s">
        <v>225</v>
      </c>
      <c r="U1888"/>
      <c r="V1888" s="153" t="str">
        <f t="array" ref="V1888">INDEX(xlRTCLNAME,MATCH(1,(xlRTCLENDU=1)*(xlRTCLEQCL=$D1888),0))</f>
        <v>LPG_FA</v>
      </c>
      <c r="W1888" s="153" t="str">
        <f t="array" ref="W1888">INDEX(xlRTCLNAME,MATCH(1,(xlRTCLENDU=2)*(xlRTCLEQCL=$F1888),0))</f>
        <v>CENT_AIR</v>
      </c>
      <c r="X1888" s="153" t="str">
        <f t="array" ref="X1888">INDEX(xlRTTYNAME,MATCH(1,(xlRTTYENDU=1)*(xlRTTYEQCL=$D1888)*(xlRTEQTYPE=$E1888),0))</f>
        <v>LPG_FA4</v>
      </c>
      <c r="Y1888" s="153" t="str">
        <f t="array" ref="Y1888">INDEX(xlRTTYNAME,MATCH(1,(xlRTTYENDU=2)*(xlRTTYEQCL=$F1888)*(xlRTEQTYPE=$G1888),0))</f>
        <v>CENT_AIR4</v>
      </c>
    </row>
    <row r="1889" spans="1:25" s="157" customFormat="1" ht="14.25" customHeight="1" x14ac:dyDescent="0.2">
      <c r="A1889"/>
      <c r="B1889" s="49">
        <v>6</v>
      </c>
      <c r="C1889" s="49">
        <v>2</v>
      </c>
      <c r="D1889" s="49">
        <v>6</v>
      </c>
      <c r="E1889" s="49">
        <v>21</v>
      </c>
      <c r="F1889" s="49">
        <v>2</v>
      </c>
      <c r="G1889" s="49">
        <v>8</v>
      </c>
      <c r="H1889" s="49">
        <v>2023</v>
      </c>
      <c r="I1889" s="49">
        <v>2032</v>
      </c>
      <c r="J1889" s="50">
        <v>1.1200000000000001</v>
      </c>
      <c r="K1889" s="50">
        <v>1.03</v>
      </c>
      <c r="L1889" s="50">
        <v>0.44379999999999997</v>
      </c>
      <c r="M1889" s="50">
        <v>1.0546</v>
      </c>
      <c r="N1889" s="50">
        <v>1.3324</v>
      </c>
      <c r="O1889" s="50">
        <v>1.0538000000000001</v>
      </c>
      <c r="P1889" s="49">
        <v>2657</v>
      </c>
      <c r="Q1889" s="51">
        <f t="array" ref="Q1889">SUM(IF(($S1889&gt;=4)*($C1889='TaxCred&amp;Subs'!$D$123:$D$127)*($H1889='TaxCred&amp;Subs'!$C$123:$C$127)*($H1889&lt;='TaxCred&amp;Subs'!$C$129),'TaxCred&amp;Subs'!$E$123:$E$127,0))</f>
        <v>500</v>
      </c>
      <c r="R1889" s="171">
        <v>0</v>
      </c>
      <c r="S1889" s="49">
        <v>5</v>
      </c>
      <c r="T1889" s="49" t="s">
        <v>225</v>
      </c>
      <c r="U1889"/>
      <c r="V1889" s="153" t="str">
        <f t="array" ref="V1889">INDEX(xlRTCLNAME,MATCH(1,(xlRTCLENDU=1)*(xlRTCLEQCL=$D1889),0))</f>
        <v>LPG_FA</v>
      </c>
      <c r="W1889" s="153" t="str">
        <f t="array" ref="W1889">INDEX(xlRTCLNAME,MATCH(1,(xlRTCLENDU=2)*(xlRTCLEQCL=$F1889),0))</f>
        <v>CENT_AIR</v>
      </c>
      <c r="X1889" s="153" t="str">
        <f t="array" ref="X1889">INDEX(xlRTTYNAME,MATCH(1,(xlRTTYENDU=1)*(xlRTTYEQCL=$D1889)*(xlRTEQTYPE=$E1889),0))</f>
        <v>LPG_FA4</v>
      </c>
      <c r="Y1889" s="153" t="str">
        <f t="array" ref="Y1889">INDEX(xlRTTYNAME,MATCH(1,(xlRTTYENDU=2)*(xlRTTYEQCL=$F1889)*(xlRTEQTYPE=$G1889),0))</f>
        <v>CENT_AIR4</v>
      </c>
    </row>
    <row r="1890" spans="1:25" s="157" customFormat="1" ht="14.25" customHeight="1" x14ac:dyDescent="0.2">
      <c r="A1890"/>
      <c r="B1890" s="49">
        <v>6</v>
      </c>
      <c r="C1890" s="49">
        <v>2</v>
      </c>
      <c r="D1890" s="49">
        <v>6</v>
      </c>
      <c r="E1890" s="49">
        <v>21</v>
      </c>
      <c r="F1890" s="49">
        <v>2</v>
      </c>
      <c r="G1890" s="49">
        <v>8</v>
      </c>
      <c r="H1890" s="49">
        <v>2033</v>
      </c>
      <c r="I1890" s="49">
        <v>2050</v>
      </c>
      <c r="J1890" s="50">
        <v>1.1200000000000001</v>
      </c>
      <c r="K1890" s="50">
        <v>1.03</v>
      </c>
      <c r="L1890" s="50">
        <v>0.44379999999999997</v>
      </c>
      <c r="M1890" s="50">
        <v>1.0546</v>
      </c>
      <c r="N1890" s="50">
        <v>1.3324</v>
      </c>
      <c r="O1890" s="50">
        <v>1.0538000000000001</v>
      </c>
      <c r="P1890" s="49">
        <v>2657</v>
      </c>
      <c r="Q1890" s="51">
        <f t="array" ref="Q1890">SUM(IF(($S1890&gt;=4)*($C1890='TaxCred&amp;Subs'!$D$123:$D$127)*($H1890='TaxCred&amp;Subs'!$C$123:$C$127)*($H1890&lt;='TaxCred&amp;Subs'!$C$129),'TaxCred&amp;Subs'!$E$123:$E$127,0))</f>
        <v>0</v>
      </c>
      <c r="R1890" s="171">
        <v>0</v>
      </c>
      <c r="S1890" s="49">
        <v>5</v>
      </c>
      <c r="T1890" s="49" t="s">
        <v>225</v>
      </c>
      <c r="U1890"/>
      <c r="V1890" s="153" t="str">
        <f t="array" ref="V1890">INDEX(xlRTCLNAME,MATCH(1,(xlRTCLENDU=1)*(xlRTCLEQCL=$D1890),0))</f>
        <v>LPG_FA</v>
      </c>
      <c r="W1890" s="153" t="str">
        <f t="array" ref="W1890">INDEX(xlRTCLNAME,MATCH(1,(xlRTCLENDU=2)*(xlRTCLEQCL=$F1890),0))</f>
        <v>CENT_AIR</v>
      </c>
      <c r="X1890" s="153" t="str">
        <f t="array" ref="X1890">INDEX(xlRTTYNAME,MATCH(1,(xlRTTYENDU=1)*(xlRTTYEQCL=$D1890)*(xlRTEQTYPE=$E1890),0))</f>
        <v>LPG_FA4</v>
      </c>
      <c r="Y1890" s="153" t="str">
        <f t="array" ref="Y1890">INDEX(xlRTTYNAME,MATCH(1,(xlRTTYENDU=2)*(xlRTTYEQCL=$F1890)*(xlRTEQTYPE=$G1890),0))</f>
        <v>CENT_AIR4</v>
      </c>
    </row>
    <row r="1891" spans="1:25" s="157" customFormat="1" ht="14.25" customHeight="1" x14ac:dyDescent="0.2">
      <c r="A1891"/>
      <c r="B1891" s="126">
        <v>7</v>
      </c>
      <c r="C1891" s="126">
        <v>2</v>
      </c>
      <c r="D1891" s="126">
        <v>6</v>
      </c>
      <c r="E1891" s="126">
        <v>21</v>
      </c>
      <c r="F1891" s="126">
        <v>2</v>
      </c>
      <c r="G1891" s="126">
        <v>8</v>
      </c>
      <c r="H1891" s="126">
        <v>2016</v>
      </c>
      <c r="I1891" s="159">
        <v>2022</v>
      </c>
      <c r="J1891" s="127">
        <v>1.1200000000000001</v>
      </c>
      <c r="K1891" s="127">
        <v>1.0462</v>
      </c>
      <c r="L1891" s="127">
        <v>0.44379999999999997</v>
      </c>
      <c r="M1891" s="127">
        <v>1.0569</v>
      </c>
      <c r="N1891" s="127">
        <v>1.4438</v>
      </c>
      <c r="O1891" s="127">
        <v>1.0538000000000001</v>
      </c>
      <c r="P1891" s="126">
        <v>2321</v>
      </c>
      <c r="Q1891" s="128">
        <f t="array" ref="Q1891">SUM(IF(($S1891&gt;=4)*($C1891='TaxCred&amp;Subs'!$D$123:$D$127)*($H1891='TaxCred&amp;Subs'!$C$123:$C$127)*($H1891&lt;='TaxCred&amp;Subs'!$C$129),'TaxCred&amp;Subs'!$E$123:$E$127,0))</f>
        <v>0</v>
      </c>
      <c r="R1891" s="174">
        <v>0</v>
      </c>
      <c r="S1891" s="126">
        <v>5</v>
      </c>
      <c r="T1891" s="126" t="s">
        <v>225</v>
      </c>
      <c r="U1891"/>
      <c r="V1891" s="153" t="str">
        <f t="array" ref="V1891">INDEX(xlRTCLNAME,MATCH(1,(xlRTCLENDU=1)*(xlRTCLEQCL=$D1891),0))</f>
        <v>LPG_FA</v>
      </c>
      <c r="W1891" s="153" t="str">
        <f t="array" ref="W1891">INDEX(xlRTCLNAME,MATCH(1,(xlRTCLENDU=2)*(xlRTCLEQCL=$F1891),0))</f>
        <v>CENT_AIR</v>
      </c>
      <c r="X1891" s="153" t="str">
        <f t="array" ref="X1891">INDEX(xlRTTYNAME,MATCH(1,(xlRTTYENDU=1)*(xlRTTYEQCL=$D1891)*(xlRTEQTYPE=$E1891),0))</f>
        <v>LPG_FA4</v>
      </c>
      <c r="Y1891" s="153" t="str">
        <f t="array" ref="Y1891">INDEX(xlRTTYNAME,MATCH(1,(xlRTTYENDU=2)*(xlRTTYEQCL=$F1891)*(xlRTEQTYPE=$G1891),0))</f>
        <v>CENT_AIR4</v>
      </c>
    </row>
    <row r="1892" spans="1:25" s="157" customFormat="1" ht="14.25" customHeight="1" x14ac:dyDescent="0.2">
      <c r="A1892"/>
      <c r="B1892" s="49">
        <v>7</v>
      </c>
      <c r="C1892" s="49">
        <v>2</v>
      </c>
      <c r="D1892" s="49">
        <v>6</v>
      </c>
      <c r="E1892" s="49">
        <v>21</v>
      </c>
      <c r="F1892" s="49">
        <v>2</v>
      </c>
      <c r="G1892" s="49">
        <v>8</v>
      </c>
      <c r="H1892" s="49">
        <v>2023</v>
      </c>
      <c r="I1892" s="49">
        <v>2032</v>
      </c>
      <c r="J1892" s="50">
        <v>1.1200000000000001</v>
      </c>
      <c r="K1892" s="50">
        <v>1.0462</v>
      </c>
      <c r="L1892" s="50">
        <v>0.44379999999999997</v>
      </c>
      <c r="M1892" s="50">
        <v>1.0569</v>
      </c>
      <c r="N1892" s="50">
        <v>1.4438</v>
      </c>
      <c r="O1892" s="50">
        <v>1.0538000000000001</v>
      </c>
      <c r="P1892" s="49">
        <v>2321</v>
      </c>
      <c r="Q1892" s="51">
        <f t="array" ref="Q1892">SUM(IF(($S1892&gt;=4)*($C1892='TaxCred&amp;Subs'!$D$123:$D$127)*($H1892='TaxCred&amp;Subs'!$C$123:$C$127)*($H1892&lt;='TaxCred&amp;Subs'!$C$129),'TaxCred&amp;Subs'!$E$123:$E$127,0))</f>
        <v>500</v>
      </c>
      <c r="R1892" s="171">
        <v>0</v>
      </c>
      <c r="S1892" s="49">
        <v>5</v>
      </c>
      <c r="T1892" s="49" t="s">
        <v>225</v>
      </c>
      <c r="U1892"/>
      <c r="V1892" s="153" t="str">
        <f t="array" ref="V1892">INDEX(xlRTCLNAME,MATCH(1,(xlRTCLENDU=1)*(xlRTCLEQCL=$D1892),0))</f>
        <v>LPG_FA</v>
      </c>
      <c r="W1892" s="153" t="str">
        <f t="array" ref="W1892">INDEX(xlRTCLNAME,MATCH(1,(xlRTCLENDU=2)*(xlRTCLEQCL=$F1892),0))</f>
        <v>CENT_AIR</v>
      </c>
      <c r="X1892" s="153" t="str">
        <f t="array" ref="X1892">INDEX(xlRTTYNAME,MATCH(1,(xlRTTYENDU=1)*(xlRTTYEQCL=$D1892)*(xlRTEQTYPE=$E1892),0))</f>
        <v>LPG_FA4</v>
      </c>
      <c r="Y1892" s="153" t="str">
        <f t="array" ref="Y1892">INDEX(xlRTTYNAME,MATCH(1,(xlRTTYENDU=2)*(xlRTTYEQCL=$F1892)*(xlRTEQTYPE=$G1892),0))</f>
        <v>CENT_AIR4</v>
      </c>
    </row>
    <row r="1893" spans="1:25" s="157" customFormat="1" ht="14.25" customHeight="1" x14ac:dyDescent="0.2">
      <c r="A1893"/>
      <c r="B1893" s="49">
        <v>7</v>
      </c>
      <c r="C1893" s="49">
        <v>2</v>
      </c>
      <c r="D1893" s="49">
        <v>6</v>
      </c>
      <c r="E1893" s="49">
        <v>21</v>
      </c>
      <c r="F1893" s="49">
        <v>2</v>
      </c>
      <c r="G1893" s="49">
        <v>8</v>
      </c>
      <c r="H1893" s="49">
        <v>2033</v>
      </c>
      <c r="I1893" s="49">
        <v>2050</v>
      </c>
      <c r="J1893" s="50">
        <v>1.1200000000000001</v>
      </c>
      <c r="K1893" s="50">
        <v>1.0462</v>
      </c>
      <c r="L1893" s="50">
        <v>0.44379999999999997</v>
      </c>
      <c r="M1893" s="50">
        <v>1.0569</v>
      </c>
      <c r="N1893" s="50">
        <v>1.4438</v>
      </c>
      <c r="O1893" s="50">
        <v>1.0538000000000001</v>
      </c>
      <c r="P1893" s="49">
        <v>2321</v>
      </c>
      <c r="Q1893" s="51">
        <f t="array" ref="Q1893">SUM(IF(($S1893&gt;=4)*($C1893='TaxCred&amp;Subs'!$D$123:$D$127)*($H1893='TaxCred&amp;Subs'!$C$123:$C$127)*($H1893&lt;='TaxCred&amp;Subs'!$C$129),'TaxCred&amp;Subs'!$E$123:$E$127,0))</f>
        <v>0</v>
      </c>
      <c r="R1893" s="171">
        <v>0</v>
      </c>
      <c r="S1893" s="49">
        <v>5</v>
      </c>
      <c r="T1893" s="49" t="s">
        <v>225</v>
      </c>
      <c r="U1893"/>
      <c r="V1893" s="153" t="str">
        <f t="array" ref="V1893">INDEX(xlRTCLNAME,MATCH(1,(xlRTCLENDU=1)*(xlRTCLEQCL=$D1893),0))</f>
        <v>LPG_FA</v>
      </c>
      <c r="W1893" s="153" t="str">
        <f t="array" ref="W1893">INDEX(xlRTCLNAME,MATCH(1,(xlRTCLENDU=2)*(xlRTCLEQCL=$F1893),0))</f>
        <v>CENT_AIR</v>
      </c>
      <c r="X1893" s="153" t="str">
        <f t="array" ref="X1893">INDEX(xlRTTYNAME,MATCH(1,(xlRTTYENDU=1)*(xlRTTYEQCL=$D1893)*(xlRTEQTYPE=$E1893),0))</f>
        <v>LPG_FA4</v>
      </c>
      <c r="Y1893" s="153" t="str">
        <f t="array" ref="Y1893">INDEX(xlRTTYNAME,MATCH(1,(xlRTTYENDU=2)*(xlRTTYEQCL=$F1893)*(xlRTEQTYPE=$G1893),0))</f>
        <v>CENT_AIR4</v>
      </c>
    </row>
    <row r="1894" spans="1:25" s="157" customFormat="1" ht="14.25" customHeight="1" x14ac:dyDescent="0.2">
      <c r="A1894"/>
      <c r="B1894" s="126">
        <v>8</v>
      </c>
      <c r="C1894" s="126">
        <v>2</v>
      </c>
      <c r="D1894" s="126">
        <v>6</v>
      </c>
      <c r="E1894" s="126">
        <v>21</v>
      </c>
      <c r="F1894" s="126">
        <v>2</v>
      </c>
      <c r="G1894" s="126">
        <v>8</v>
      </c>
      <c r="H1894" s="126">
        <v>2016</v>
      </c>
      <c r="I1894" s="159">
        <v>2022</v>
      </c>
      <c r="J1894" s="127">
        <v>1.0932999999999999</v>
      </c>
      <c r="K1894" s="127">
        <v>1.0323</v>
      </c>
      <c r="L1894" s="127">
        <v>0.55489999999999995</v>
      </c>
      <c r="M1894" s="127">
        <v>1.2087000000000001</v>
      </c>
      <c r="N1894" s="127">
        <v>1.2847999999999999</v>
      </c>
      <c r="O1894" s="127">
        <v>1.0538000000000001</v>
      </c>
      <c r="P1894" s="126">
        <v>2889</v>
      </c>
      <c r="Q1894" s="128">
        <f t="array" ref="Q1894">SUM(IF(($S1894&gt;=4)*($C1894='TaxCred&amp;Subs'!$D$123:$D$127)*($H1894='TaxCred&amp;Subs'!$C$123:$C$127)*($H1894&lt;='TaxCred&amp;Subs'!$C$129),'TaxCred&amp;Subs'!$E$123:$E$127,0))</f>
        <v>0</v>
      </c>
      <c r="R1894" s="174">
        <v>0</v>
      </c>
      <c r="S1894" s="126">
        <v>5</v>
      </c>
      <c r="T1894" s="126" t="s">
        <v>225</v>
      </c>
      <c r="U1894"/>
      <c r="V1894" s="153" t="str">
        <f t="array" ref="V1894">INDEX(xlRTCLNAME,MATCH(1,(xlRTCLENDU=1)*(xlRTCLEQCL=$D1894),0))</f>
        <v>LPG_FA</v>
      </c>
      <c r="W1894" s="153" t="str">
        <f t="array" ref="W1894">INDEX(xlRTCLNAME,MATCH(1,(xlRTCLENDU=2)*(xlRTCLEQCL=$F1894),0))</f>
        <v>CENT_AIR</v>
      </c>
      <c r="X1894" s="153" t="str">
        <f t="array" ref="X1894">INDEX(xlRTTYNAME,MATCH(1,(xlRTTYENDU=1)*(xlRTTYEQCL=$D1894)*(xlRTEQTYPE=$E1894),0))</f>
        <v>LPG_FA4</v>
      </c>
      <c r="Y1894" s="153" t="str">
        <f t="array" ref="Y1894">INDEX(xlRTTYNAME,MATCH(1,(xlRTTYENDU=2)*(xlRTTYEQCL=$F1894)*(xlRTEQTYPE=$G1894),0))</f>
        <v>CENT_AIR4</v>
      </c>
    </row>
    <row r="1895" spans="1:25" s="157" customFormat="1" ht="14.25" customHeight="1" x14ac:dyDescent="0.2">
      <c r="A1895"/>
      <c r="B1895" s="49">
        <v>8</v>
      </c>
      <c r="C1895" s="49">
        <v>2</v>
      </c>
      <c r="D1895" s="49">
        <v>6</v>
      </c>
      <c r="E1895" s="49">
        <v>21</v>
      </c>
      <c r="F1895" s="49">
        <v>2</v>
      </c>
      <c r="G1895" s="49">
        <v>8</v>
      </c>
      <c r="H1895" s="49">
        <v>2023</v>
      </c>
      <c r="I1895" s="49">
        <v>2032</v>
      </c>
      <c r="J1895" s="50">
        <v>1.0932999999999999</v>
      </c>
      <c r="K1895" s="50">
        <v>1.0323</v>
      </c>
      <c r="L1895" s="50">
        <v>0.55489999999999995</v>
      </c>
      <c r="M1895" s="50">
        <v>1.2087000000000001</v>
      </c>
      <c r="N1895" s="50">
        <v>1.2847999999999999</v>
      </c>
      <c r="O1895" s="50">
        <v>1.0538000000000001</v>
      </c>
      <c r="P1895" s="49">
        <v>2889</v>
      </c>
      <c r="Q1895" s="51">
        <f t="array" ref="Q1895">SUM(IF(($S1895&gt;=4)*($C1895='TaxCred&amp;Subs'!$D$123:$D$127)*($H1895='TaxCred&amp;Subs'!$C$123:$C$127)*($H1895&lt;='TaxCred&amp;Subs'!$C$129),'TaxCred&amp;Subs'!$E$123:$E$127,0))</f>
        <v>500</v>
      </c>
      <c r="R1895" s="171">
        <v>0</v>
      </c>
      <c r="S1895" s="49">
        <v>5</v>
      </c>
      <c r="T1895" s="49" t="s">
        <v>225</v>
      </c>
      <c r="U1895"/>
      <c r="V1895" s="153" t="str">
        <f t="array" ref="V1895">INDEX(xlRTCLNAME,MATCH(1,(xlRTCLENDU=1)*(xlRTCLEQCL=$D1895),0))</f>
        <v>LPG_FA</v>
      </c>
      <c r="W1895" s="153" t="str">
        <f t="array" ref="W1895">INDEX(xlRTCLNAME,MATCH(1,(xlRTCLENDU=2)*(xlRTCLEQCL=$F1895),0))</f>
        <v>CENT_AIR</v>
      </c>
      <c r="X1895" s="153" t="str">
        <f t="array" ref="X1895">INDEX(xlRTTYNAME,MATCH(1,(xlRTTYENDU=1)*(xlRTTYEQCL=$D1895)*(xlRTEQTYPE=$E1895),0))</f>
        <v>LPG_FA4</v>
      </c>
      <c r="Y1895" s="153" t="str">
        <f t="array" ref="Y1895">INDEX(xlRTTYNAME,MATCH(1,(xlRTTYENDU=2)*(xlRTTYEQCL=$F1895)*(xlRTEQTYPE=$G1895),0))</f>
        <v>CENT_AIR4</v>
      </c>
    </row>
    <row r="1896" spans="1:25" s="157" customFormat="1" ht="14.25" customHeight="1" x14ac:dyDescent="0.2">
      <c r="A1896"/>
      <c r="B1896" s="49">
        <v>8</v>
      </c>
      <c r="C1896" s="49">
        <v>2</v>
      </c>
      <c r="D1896" s="49">
        <v>6</v>
      </c>
      <c r="E1896" s="49">
        <v>21</v>
      </c>
      <c r="F1896" s="49">
        <v>2</v>
      </c>
      <c r="G1896" s="49">
        <v>8</v>
      </c>
      <c r="H1896" s="49">
        <v>2033</v>
      </c>
      <c r="I1896" s="49">
        <v>2050</v>
      </c>
      <c r="J1896" s="50">
        <v>1.0932999999999999</v>
      </c>
      <c r="K1896" s="50">
        <v>1.0323</v>
      </c>
      <c r="L1896" s="50">
        <v>0.55489999999999995</v>
      </c>
      <c r="M1896" s="50">
        <v>1.2087000000000001</v>
      </c>
      <c r="N1896" s="50">
        <v>1.2847999999999999</v>
      </c>
      <c r="O1896" s="50">
        <v>1.0538000000000001</v>
      </c>
      <c r="P1896" s="49">
        <v>2889</v>
      </c>
      <c r="Q1896" s="51">
        <f t="array" ref="Q1896">SUM(IF(($S1896&gt;=4)*($C1896='TaxCred&amp;Subs'!$D$123:$D$127)*($H1896='TaxCred&amp;Subs'!$C$123:$C$127)*($H1896&lt;='TaxCred&amp;Subs'!$C$129),'TaxCred&amp;Subs'!$E$123:$E$127,0))</f>
        <v>0</v>
      </c>
      <c r="R1896" s="171">
        <v>0</v>
      </c>
      <c r="S1896" s="49">
        <v>5</v>
      </c>
      <c r="T1896" s="49" t="s">
        <v>225</v>
      </c>
      <c r="U1896"/>
      <c r="V1896" s="153" t="str">
        <f t="array" ref="V1896">INDEX(xlRTCLNAME,MATCH(1,(xlRTCLENDU=1)*(xlRTCLEQCL=$D1896),0))</f>
        <v>LPG_FA</v>
      </c>
      <c r="W1896" s="153" t="str">
        <f t="array" ref="W1896">INDEX(xlRTCLNAME,MATCH(1,(xlRTCLENDU=2)*(xlRTCLEQCL=$F1896),0))</f>
        <v>CENT_AIR</v>
      </c>
      <c r="X1896" s="153" t="str">
        <f t="array" ref="X1896">INDEX(xlRTTYNAME,MATCH(1,(xlRTTYENDU=1)*(xlRTTYEQCL=$D1896)*(xlRTEQTYPE=$E1896),0))</f>
        <v>LPG_FA4</v>
      </c>
      <c r="Y1896" s="153" t="str">
        <f t="array" ref="Y1896">INDEX(xlRTTYNAME,MATCH(1,(xlRTTYENDU=2)*(xlRTTYEQCL=$F1896)*(xlRTEQTYPE=$G1896),0))</f>
        <v>CENT_AIR4</v>
      </c>
    </row>
    <row r="1897" spans="1:25" s="157" customFormat="1" ht="14.25" customHeight="1" x14ac:dyDescent="0.2">
      <c r="A1897"/>
      <c r="B1897" s="126">
        <v>9</v>
      </c>
      <c r="C1897" s="126">
        <v>2</v>
      </c>
      <c r="D1897" s="126">
        <v>6</v>
      </c>
      <c r="E1897" s="126">
        <v>21</v>
      </c>
      <c r="F1897" s="126">
        <v>2</v>
      </c>
      <c r="G1897" s="126">
        <v>8</v>
      </c>
      <c r="H1897" s="126">
        <v>2016</v>
      </c>
      <c r="I1897" s="159">
        <v>2022</v>
      </c>
      <c r="J1897" s="127">
        <v>1.07</v>
      </c>
      <c r="K1897" s="127">
        <v>1.0541</v>
      </c>
      <c r="L1897" s="127">
        <v>0.44379999999999997</v>
      </c>
      <c r="M1897" s="127">
        <v>1.1167</v>
      </c>
      <c r="N1897" s="127">
        <v>1.4438</v>
      </c>
      <c r="O1897" s="127">
        <v>1.0538000000000001</v>
      </c>
      <c r="P1897" s="126">
        <v>3308</v>
      </c>
      <c r="Q1897" s="128">
        <f t="array" ref="Q1897">SUM(IF(($S1897&gt;=4)*($C1897='TaxCred&amp;Subs'!$D$123:$D$127)*($H1897='TaxCred&amp;Subs'!$C$123:$C$127)*($H1897&lt;='TaxCred&amp;Subs'!$C$129),'TaxCred&amp;Subs'!$E$123:$E$127,0))</f>
        <v>0</v>
      </c>
      <c r="R1897" s="174">
        <v>0</v>
      </c>
      <c r="S1897" s="126">
        <v>5</v>
      </c>
      <c r="T1897" s="126" t="s">
        <v>225</v>
      </c>
      <c r="U1897"/>
      <c r="V1897" s="153" t="str">
        <f t="array" ref="V1897">INDEX(xlRTCLNAME,MATCH(1,(xlRTCLENDU=1)*(xlRTCLEQCL=$D1897),0))</f>
        <v>LPG_FA</v>
      </c>
      <c r="W1897" s="153" t="str">
        <f t="array" ref="W1897">INDEX(xlRTCLNAME,MATCH(1,(xlRTCLENDU=2)*(xlRTCLEQCL=$F1897),0))</f>
        <v>CENT_AIR</v>
      </c>
      <c r="X1897" s="153" t="str">
        <f t="array" ref="X1897">INDEX(xlRTTYNAME,MATCH(1,(xlRTTYENDU=1)*(xlRTTYEQCL=$D1897)*(xlRTEQTYPE=$E1897),0))</f>
        <v>LPG_FA4</v>
      </c>
      <c r="Y1897" s="153" t="str">
        <f t="array" ref="Y1897">INDEX(xlRTTYNAME,MATCH(1,(xlRTTYENDU=2)*(xlRTTYEQCL=$F1897)*(xlRTEQTYPE=$G1897),0))</f>
        <v>CENT_AIR4</v>
      </c>
    </row>
    <row r="1898" spans="1:25" s="157" customFormat="1" ht="14.25" customHeight="1" x14ac:dyDescent="0.2">
      <c r="A1898"/>
      <c r="B1898" s="49">
        <v>9</v>
      </c>
      <c r="C1898" s="49">
        <v>2</v>
      </c>
      <c r="D1898" s="49">
        <v>6</v>
      </c>
      <c r="E1898" s="49">
        <v>21</v>
      </c>
      <c r="F1898" s="49">
        <v>2</v>
      </c>
      <c r="G1898" s="49">
        <v>8</v>
      </c>
      <c r="H1898" s="49">
        <v>2023</v>
      </c>
      <c r="I1898" s="49">
        <v>2032</v>
      </c>
      <c r="J1898" s="50">
        <v>1.07</v>
      </c>
      <c r="K1898" s="50">
        <v>1.0541</v>
      </c>
      <c r="L1898" s="50">
        <v>0.44379999999999997</v>
      </c>
      <c r="M1898" s="50">
        <v>1.1167</v>
      </c>
      <c r="N1898" s="50">
        <v>1.4438</v>
      </c>
      <c r="O1898" s="50">
        <v>1.0538000000000001</v>
      </c>
      <c r="P1898" s="49">
        <v>3308</v>
      </c>
      <c r="Q1898" s="51">
        <f t="array" ref="Q1898">SUM(IF(($S1898&gt;=4)*($C1898='TaxCred&amp;Subs'!$D$123:$D$127)*($H1898='TaxCred&amp;Subs'!$C$123:$C$127)*($H1898&lt;='TaxCred&amp;Subs'!$C$129),'TaxCred&amp;Subs'!$E$123:$E$127,0))</f>
        <v>500</v>
      </c>
      <c r="R1898" s="171">
        <v>0</v>
      </c>
      <c r="S1898" s="49">
        <v>5</v>
      </c>
      <c r="T1898" s="49" t="s">
        <v>225</v>
      </c>
      <c r="U1898"/>
      <c r="V1898" s="153" t="str">
        <f t="array" ref="V1898">INDEX(xlRTCLNAME,MATCH(1,(xlRTCLENDU=1)*(xlRTCLEQCL=$D1898),0))</f>
        <v>LPG_FA</v>
      </c>
      <c r="W1898" s="153" t="str">
        <f t="array" ref="W1898">INDEX(xlRTCLNAME,MATCH(1,(xlRTCLENDU=2)*(xlRTCLEQCL=$F1898),0))</f>
        <v>CENT_AIR</v>
      </c>
      <c r="X1898" s="153" t="str">
        <f t="array" ref="X1898">INDEX(xlRTTYNAME,MATCH(1,(xlRTTYENDU=1)*(xlRTTYEQCL=$D1898)*(xlRTEQTYPE=$E1898),0))</f>
        <v>LPG_FA4</v>
      </c>
      <c r="Y1898" s="153" t="str">
        <f t="array" ref="Y1898">INDEX(xlRTTYNAME,MATCH(1,(xlRTTYENDU=2)*(xlRTTYEQCL=$F1898)*(xlRTEQTYPE=$G1898),0))</f>
        <v>CENT_AIR4</v>
      </c>
    </row>
    <row r="1899" spans="1:25" s="157" customFormat="1" ht="14.25" customHeight="1" x14ac:dyDescent="0.2">
      <c r="A1899"/>
      <c r="B1899" s="49">
        <v>9</v>
      </c>
      <c r="C1899" s="49">
        <v>2</v>
      </c>
      <c r="D1899" s="49">
        <v>6</v>
      </c>
      <c r="E1899" s="49">
        <v>21</v>
      </c>
      <c r="F1899" s="49">
        <v>2</v>
      </c>
      <c r="G1899" s="49">
        <v>8</v>
      </c>
      <c r="H1899" s="49">
        <v>2033</v>
      </c>
      <c r="I1899" s="49">
        <v>2050</v>
      </c>
      <c r="J1899" s="50">
        <v>1.07</v>
      </c>
      <c r="K1899" s="50">
        <v>1.0541</v>
      </c>
      <c r="L1899" s="50">
        <v>0.44379999999999997</v>
      </c>
      <c r="M1899" s="50">
        <v>1.1167</v>
      </c>
      <c r="N1899" s="50">
        <v>1.4438</v>
      </c>
      <c r="O1899" s="50">
        <v>1.0538000000000001</v>
      </c>
      <c r="P1899" s="49">
        <v>3308</v>
      </c>
      <c r="Q1899" s="51">
        <f t="array" ref="Q1899">SUM(IF(($S1899&gt;=4)*($C1899='TaxCred&amp;Subs'!$D$123:$D$127)*($H1899='TaxCred&amp;Subs'!$C$123:$C$127)*($H1899&lt;='TaxCred&amp;Subs'!$C$129),'TaxCred&amp;Subs'!$E$123:$E$127,0))</f>
        <v>0</v>
      </c>
      <c r="R1899" s="171">
        <v>0</v>
      </c>
      <c r="S1899" s="49">
        <v>5</v>
      </c>
      <c r="T1899" s="49" t="s">
        <v>225</v>
      </c>
      <c r="U1899"/>
      <c r="V1899" s="153" t="str">
        <f t="array" ref="V1899">INDEX(xlRTCLNAME,MATCH(1,(xlRTCLENDU=1)*(xlRTCLEQCL=$D1899),0))</f>
        <v>LPG_FA</v>
      </c>
      <c r="W1899" s="153" t="str">
        <f t="array" ref="W1899">INDEX(xlRTCLNAME,MATCH(1,(xlRTCLENDU=2)*(xlRTCLEQCL=$F1899),0))</f>
        <v>CENT_AIR</v>
      </c>
      <c r="X1899" s="153" t="str">
        <f t="array" ref="X1899">INDEX(xlRTTYNAME,MATCH(1,(xlRTTYENDU=1)*(xlRTTYEQCL=$D1899)*(xlRTEQTYPE=$E1899),0))</f>
        <v>LPG_FA4</v>
      </c>
      <c r="Y1899" s="153" t="str">
        <f t="array" ref="Y1899">INDEX(xlRTTYNAME,MATCH(1,(xlRTTYENDU=2)*(xlRTTYEQCL=$F1899)*(xlRTEQTYPE=$G1899),0))</f>
        <v>CENT_AIR4</v>
      </c>
    </row>
    <row r="1900" spans="1:25" s="157" customFormat="1" ht="14.25" customHeight="1" x14ac:dyDescent="0.2">
      <c r="A1900"/>
      <c r="B1900" s="126">
        <v>1</v>
      </c>
      <c r="C1900" s="126">
        <v>2</v>
      </c>
      <c r="D1900" s="126">
        <v>7</v>
      </c>
      <c r="E1900" s="126">
        <v>25</v>
      </c>
      <c r="F1900" s="126">
        <v>2</v>
      </c>
      <c r="G1900" s="126">
        <v>8</v>
      </c>
      <c r="H1900" s="126">
        <v>2016</v>
      </c>
      <c r="I1900" s="159">
        <v>2022</v>
      </c>
      <c r="J1900" s="127">
        <v>1.0956999999999999</v>
      </c>
      <c r="K1900" s="127">
        <v>1.0417000000000001</v>
      </c>
      <c r="L1900" s="127">
        <v>0.58340000000000003</v>
      </c>
      <c r="M1900" s="127">
        <v>1.1228</v>
      </c>
      <c r="N1900" s="127">
        <v>1.1153</v>
      </c>
      <c r="O1900" s="127">
        <v>1.0538000000000001</v>
      </c>
      <c r="P1900" s="126">
        <v>3776</v>
      </c>
      <c r="Q1900" s="128">
        <f t="array" ref="Q1900">SUM(IF(($S1900&gt;=4)*($C1900='TaxCred&amp;Subs'!$D$123:$D$127)*($H1900='TaxCred&amp;Subs'!$C$123:$C$127)*($H1900&lt;='TaxCred&amp;Subs'!$C$129),'TaxCred&amp;Subs'!$E$123:$E$127,0))</f>
        <v>0</v>
      </c>
      <c r="R1900" s="174">
        <v>0</v>
      </c>
      <c r="S1900" s="126">
        <v>5</v>
      </c>
      <c r="T1900" s="126" t="s">
        <v>225</v>
      </c>
      <c r="U1900"/>
      <c r="V1900" s="153" t="str">
        <f t="array" ref="V1900">INDEX(xlRTCLNAME,MATCH(1,(xlRTCLENDU=1)*(xlRTCLEQCL=$D1900),0))</f>
        <v>DIST_FA</v>
      </c>
      <c r="W1900" s="153" t="str">
        <f t="array" ref="W1900">INDEX(xlRTCLNAME,MATCH(1,(xlRTCLENDU=2)*(xlRTCLEQCL=$F1900),0))</f>
        <v>CENT_AIR</v>
      </c>
      <c r="X1900" s="153" t="str">
        <f t="array" ref="X1900">INDEX(xlRTTYNAME,MATCH(1,(xlRTTYENDU=1)*(xlRTTYEQCL=$D1900)*(xlRTEQTYPE=$E1900),0))</f>
        <v>DIST_FA4</v>
      </c>
      <c r="Y1900" s="153" t="str">
        <f t="array" ref="Y1900">INDEX(xlRTTYNAME,MATCH(1,(xlRTTYENDU=2)*(xlRTTYEQCL=$F1900)*(xlRTEQTYPE=$G1900),0))</f>
        <v>CENT_AIR4</v>
      </c>
    </row>
    <row r="1901" spans="1:25" s="157" customFormat="1" ht="14.25" customHeight="1" x14ac:dyDescent="0.2">
      <c r="A1901"/>
      <c r="B1901" s="49">
        <v>1</v>
      </c>
      <c r="C1901" s="49">
        <v>2</v>
      </c>
      <c r="D1901" s="49">
        <v>7</v>
      </c>
      <c r="E1901" s="49">
        <v>25</v>
      </c>
      <c r="F1901" s="49">
        <v>2</v>
      </c>
      <c r="G1901" s="49">
        <v>8</v>
      </c>
      <c r="H1901" s="49">
        <v>2023</v>
      </c>
      <c r="I1901" s="49">
        <v>2032</v>
      </c>
      <c r="J1901" s="50">
        <v>1.0956999999999999</v>
      </c>
      <c r="K1901" s="50">
        <v>1.0417000000000001</v>
      </c>
      <c r="L1901" s="50">
        <v>0.58340000000000003</v>
      </c>
      <c r="M1901" s="50">
        <v>1.1228</v>
      </c>
      <c r="N1901" s="50">
        <v>1.1153</v>
      </c>
      <c r="O1901" s="50">
        <v>1.0538000000000001</v>
      </c>
      <c r="P1901" s="49">
        <v>3776</v>
      </c>
      <c r="Q1901" s="51">
        <f t="array" ref="Q1901">SUM(IF(($S1901&gt;=4)*($C1901='TaxCred&amp;Subs'!$D$123:$D$127)*($H1901='TaxCred&amp;Subs'!$C$123:$C$127)*($H1901&lt;='TaxCred&amp;Subs'!$C$129),'TaxCred&amp;Subs'!$E$123:$E$127,0))</f>
        <v>500</v>
      </c>
      <c r="R1901" s="171">
        <v>0</v>
      </c>
      <c r="S1901" s="49">
        <v>5</v>
      </c>
      <c r="T1901" s="49" t="s">
        <v>225</v>
      </c>
      <c r="U1901"/>
      <c r="V1901" s="153" t="str">
        <f t="array" ref="V1901">INDEX(xlRTCLNAME,MATCH(1,(xlRTCLENDU=1)*(xlRTCLEQCL=$D1901),0))</f>
        <v>DIST_FA</v>
      </c>
      <c r="W1901" s="153" t="str">
        <f t="array" ref="W1901">INDEX(xlRTCLNAME,MATCH(1,(xlRTCLENDU=2)*(xlRTCLEQCL=$F1901),0))</f>
        <v>CENT_AIR</v>
      </c>
      <c r="X1901" s="153" t="str">
        <f t="array" ref="X1901">INDEX(xlRTTYNAME,MATCH(1,(xlRTTYENDU=1)*(xlRTTYEQCL=$D1901)*(xlRTEQTYPE=$E1901),0))</f>
        <v>DIST_FA4</v>
      </c>
      <c r="Y1901" s="153" t="str">
        <f t="array" ref="Y1901">INDEX(xlRTTYNAME,MATCH(1,(xlRTTYENDU=2)*(xlRTTYEQCL=$F1901)*(xlRTEQTYPE=$G1901),0))</f>
        <v>CENT_AIR4</v>
      </c>
    </row>
    <row r="1902" spans="1:25" s="157" customFormat="1" ht="14.25" customHeight="1" x14ac:dyDescent="0.2">
      <c r="A1902"/>
      <c r="B1902" s="49">
        <v>1</v>
      </c>
      <c r="C1902" s="49">
        <v>2</v>
      </c>
      <c r="D1902" s="49">
        <v>7</v>
      </c>
      <c r="E1902" s="49">
        <v>25</v>
      </c>
      <c r="F1902" s="49">
        <v>2</v>
      </c>
      <c r="G1902" s="49">
        <v>8</v>
      </c>
      <c r="H1902" s="49">
        <v>2033</v>
      </c>
      <c r="I1902" s="49">
        <v>2050</v>
      </c>
      <c r="J1902" s="50">
        <v>1.0956999999999999</v>
      </c>
      <c r="K1902" s="50">
        <v>1.0417000000000001</v>
      </c>
      <c r="L1902" s="50">
        <v>0.58340000000000003</v>
      </c>
      <c r="M1902" s="50">
        <v>1.1228</v>
      </c>
      <c r="N1902" s="50">
        <v>1.1153</v>
      </c>
      <c r="O1902" s="50">
        <v>1.0538000000000001</v>
      </c>
      <c r="P1902" s="49">
        <v>3776</v>
      </c>
      <c r="Q1902" s="51">
        <f t="array" ref="Q1902">SUM(IF(($S1902&gt;=4)*($C1902='TaxCred&amp;Subs'!$D$123:$D$127)*($H1902='TaxCred&amp;Subs'!$C$123:$C$127)*($H1902&lt;='TaxCred&amp;Subs'!$C$129),'TaxCred&amp;Subs'!$E$123:$E$127,0))</f>
        <v>0</v>
      </c>
      <c r="R1902" s="171">
        <v>0</v>
      </c>
      <c r="S1902" s="49">
        <v>5</v>
      </c>
      <c r="T1902" s="49" t="s">
        <v>225</v>
      </c>
      <c r="U1902"/>
      <c r="V1902" s="153" t="str">
        <f t="array" ref="V1902">INDEX(xlRTCLNAME,MATCH(1,(xlRTCLENDU=1)*(xlRTCLEQCL=$D1902),0))</f>
        <v>DIST_FA</v>
      </c>
      <c r="W1902" s="153" t="str">
        <f t="array" ref="W1902">INDEX(xlRTCLNAME,MATCH(1,(xlRTCLENDU=2)*(xlRTCLEQCL=$F1902),0))</f>
        <v>CENT_AIR</v>
      </c>
      <c r="X1902" s="153" t="str">
        <f t="array" ref="X1902">INDEX(xlRTTYNAME,MATCH(1,(xlRTTYENDU=1)*(xlRTTYEQCL=$D1902)*(xlRTEQTYPE=$E1902),0))</f>
        <v>DIST_FA4</v>
      </c>
      <c r="Y1902" s="153" t="str">
        <f t="array" ref="Y1902">INDEX(xlRTTYNAME,MATCH(1,(xlRTTYENDU=2)*(xlRTTYEQCL=$F1902)*(xlRTEQTYPE=$G1902),0))</f>
        <v>CENT_AIR4</v>
      </c>
    </row>
    <row r="1903" spans="1:25" s="157" customFormat="1" ht="14.25" customHeight="1" x14ac:dyDescent="0.2">
      <c r="A1903"/>
      <c r="B1903" s="126">
        <v>2</v>
      </c>
      <c r="C1903" s="126">
        <v>2</v>
      </c>
      <c r="D1903" s="126">
        <v>7</v>
      </c>
      <c r="E1903" s="126">
        <v>25</v>
      </c>
      <c r="F1903" s="126">
        <v>2</v>
      </c>
      <c r="G1903" s="126">
        <v>8</v>
      </c>
      <c r="H1903" s="126">
        <v>2016</v>
      </c>
      <c r="I1903" s="159">
        <v>2022</v>
      </c>
      <c r="J1903" s="127">
        <v>1.1059000000000001</v>
      </c>
      <c r="K1903" s="127">
        <v>1.0357000000000001</v>
      </c>
      <c r="L1903" s="127">
        <v>0.56499999999999995</v>
      </c>
      <c r="M1903" s="127">
        <v>1.1416999999999999</v>
      </c>
      <c r="N1903" s="127">
        <v>1.1176999999999999</v>
      </c>
      <c r="O1903" s="127">
        <v>1.0538000000000001</v>
      </c>
      <c r="P1903" s="126">
        <v>3572</v>
      </c>
      <c r="Q1903" s="128">
        <f t="array" ref="Q1903">SUM(IF(($S1903&gt;=4)*($C1903='TaxCred&amp;Subs'!$D$123:$D$127)*($H1903='TaxCred&amp;Subs'!$C$123:$C$127)*($H1903&lt;='TaxCred&amp;Subs'!$C$129),'TaxCred&amp;Subs'!$E$123:$E$127,0))</f>
        <v>0</v>
      </c>
      <c r="R1903" s="174">
        <v>0</v>
      </c>
      <c r="S1903" s="126">
        <v>5</v>
      </c>
      <c r="T1903" s="126" t="s">
        <v>225</v>
      </c>
      <c r="U1903"/>
      <c r="V1903" s="153" t="str">
        <f t="array" ref="V1903">INDEX(xlRTCLNAME,MATCH(1,(xlRTCLENDU=1)*(xlRTCLEQCL=$D1903),0))</f>
        <v>DIST_FA</v>
      </c>
      <c r="W1903" s="153" t="str">
        <f t="array" ref="W1903">INDEX(xlRTCLNAME,MATCH(1,(xlRTCLENDU=2)*(xlRTCLEQCL=$F1903),0))</f>
        <v>CENT_AIR</v>
      </c>
      <c r="X1903" s="153" t="str">
        <f t="array" ref="X1903">INDEX(xlRTTYNAME,MATCH(1,(xlRTTYENDU=1)*(xlRTTYEQCL=$D1903)*(xlRTEQTYPE=$E1903),0))</f>
        <v>DIST_FA4</v>
      </c>
      <c r="Y1903" s="153" t="str">
        <f t="array" ref="Y1903">INDEX(xlRTTYNAME,MATCH(1,(xlRTTYENDU=2)*(xlRTTYEQCL=$F1903)*(xlRTEQTYPE=$G1903),0))</f>
        <v>CENT_AIR4</v>
      </c>
    </row>
    <row r="1904" spans="1:25" s="157" customFormat="1" ht="14.25" customHeight="1" x14ac:dyDescent="0.2">
      <c r="A1904"/>
      <c r="B1904" s="49">
        <v>2</v>
      </c>
      <c r="C1904" s="49">
        <v>2</v>
      </c>
      <c r="D1904" s="49">
        <v>7</v>
      </c>
      <c r="E1904" s="49">
        <v>25</v>
      </c>
      <c r="F1904" s="49">
        <v>2</v>
      </c>
      <c r="G1904" s="49">
        <v>8</v>
      </c>
      <c r="H1904" s="49">
        <v>2023</v>
      </c>
      <c r="I1904" s="49">
        <v>2032</v>
      </c>
      <c r="J1904" s="50">
        <v>1.1059000000000001</v>
      </c>
      <c r="K1904" s="50">
        <v>1.0357000000000001</v>
      </c>
      <c r="L1904" s="50">
        <v>0.56499999999999995</v>
      </c>
      <c r="M1904" s="50">
        <v>1.1416999999999999</v>
      </c>
      <c r="N1904" s="50">
        <v>1.1176999999999999</v>
      </c>
      <c r="O1904" s="50">
        <v>1.0538000000000001</v>
      </c>
      <c r="P1904" s="49">
        <v>3572</v>
      </c>
      <c r="Q1904" s="51">
        <f t="array" ref="Q1904">SUM(IF(($S1904&gt;=4)*($C1904='TaxCred&amp;Subs'!$D$123:$D$127)*($H1904='TaxCred&amp;Subs'!$C$123:$C$127)*($H1904&lt;='TaxCred&amp;Subs'!$C$129),'TaxCred&amp;Subs'!$E$123:$E$127,0))</f>
        <v>500</v>
      </c>
      <c r="R1904" s="171">
        <v>0</v>
      </c>
      <c r="S1904" s="49">
        <v>5</v>
      </c>
      <c r="T1904" s="49" t="s">
        <v>225</v>
      </c>
      <c r="U1904"/>
      <c r="V1904" s="153" t="str">
        <f t="array" ref="V1904">INDEX(xlRTCLNAME,MATCH(1,(xlRTCLENDU=1)*(xlRTCLEQCL=$D1904),0))</f>
        <v>DIST_FA</v>
      </c>
      <c r="W1904" s="153" t="str">
        <f t="array" ref="W1904">INDEX(xlRTCLNAME,MATCH(1,(xlRTCLENDU=2)*(xlRTCLEQCL=$F1904),0))</f>
        <v>CENT_AIR</v>
      </c>
      <c r="X1904" s="153" t="str">
        <f t="array" ref="X1904">INDEX(xlRTTYNAME,MATCH(1,(xlRTTYENDU=1)*(xlRTTYEQCL=$D1904)*(xlRTEQTYPE=$E1904),0))</f>
        <v>DIST_FA4</v>
      </c>
      <c r="Y1904" s="153" t="str">
        <f t="array" ref="Y1904">INDEX(xlRTTYNAME,MATCH(1,(xlRTTYENDU=2)*(xlRTTYEQCL=$F1904)*(xlRTEQTYPE=$G1904),0))</f>
        <v>CENT_AIR4</v>
      </c>
    </row>
    <row r="1905" spans="1:25" s="157" customFormat="1" ht="14.25" customHeight="1" x14ac:dyDescent="0.2">
      <c r="A1905"/>
      <c r="B1905" s="49">
        <v>2</v>
      </c>
      <c r="C1905" s="49">
        <v>2</v>
      </c>
      <c r="D1905" s="49">
        <v>7</v>
      </c>
      <c r="E1905" s="49">
        <v>25</v>
      </c>
      <c r="F1905" s="49">
        <v>2</v>
      </c>
      <c r="G1905" s="49">
        <v>8</v>
      </c>
      <c r="H1905" s="49">
        <v>2033</v>
      </c>
      <c r="I1905" s="49">
        <v>2050</v>
      </c>
      <c r="J1905" s="50">
        <v>1.1059000000000001</v>
      </c>
      <c r="K1905" s="50">
        <v>1.0357000000000001</v>
      </c>
      <c r="L1905" s="50">
        <v>0.56499999999999995</v>
      </c>
      <c r="M1905" s="50">
        <v>1.1416999999999999</v>
      </c>
      <c r="N1905" s="50">
        <v>1.1176999999999999</v>
      </c>
      <c r="O1905" s="50">
        <v>1.0538000000000001</v>
      </c>
      <c r="P1905" s="49">
        <v>3572</v>
      </c>
      <c r="Q1905" s="51">
        <f t="array" ref="Q1905">SUM(IF(($S1905&gt;=4)*($C1905='TaxCred&amp;Subs'!$D$123:$D$127)*($H1905='TaxCred&amp;Subs'!$C$123:$C$127)*($H1905&lt;='TaxCred&amp;Subs'!$C$129),'TaxCred&amp;Subs'!$E$123:$E$127,0))</f>
        <v>0</v>
      </c>
      <c r="R1905" s="171">
        <v>0</v>
      </c>
      <c r="S1905" s="49">
        <v>5</v>
      </c>
      <c r="T1905" s="49" t="s">
        <v>225</v>
      </c>
      <c r="U1905"/>
      <c r="V1905" s="153" t="str">
        <f t="array" ref="V1905">INDEX(xlRTCLNAME,MATCH(1,(xlRTCLENDU=1)*(xlRTCLEQCL=$D1905),0))</f>
        <v>DIST_FA</v>
      </c>
      <c r="W1905" s="153" t="str">
        <f t="array" ref="W1905">INDEX(xlRTCLNAME,MATCH(1,(xlRTCLENDU=2)*(xlRTCLEQCL=$F1905),0))</f>
        <v>CENT_AIR</v>
      </c>
      <c r="X1905" s="153" t="str">
        <f t="array" ref="X1905">INDEX(xlRTTYNAME,MATCH(1,(xlRTTYENDU=1)*(xlRTTYEQCL=$D1905)*(xlRTEQTYPE=$E1905),0))</f>
        <v>DIST_FA4</v>
      </c>
      <c r="Y1905" s="153" t="str">
        <f t="array" ref="Y1905">INDEX(xlRTTYNAME,MATCH(1,(xlRTTYENDU=2)*(xlRTTYEQCL=$F1905)*(xlRTEQTYPE=$G1905),0))</f>
        <v>CENT_AIR4</v>
      </c>
    </row>
    <row r="1906" spans="1:25" s="157" customFormat="1" ht="14.25" customHeight="1" x14ac:dyDescent="0.2">
      <c r="A1906"/>
      <c r="B1906" s="126">
        <v>3</v>
      </c>
      <c r="C1906" s="126">
        <v>2</v>
      </c>
      <c r="D1906" s="126">
        <v>7</v>
      </c>
      <c r="E1906" s="126">
        <v>25</v>
      </c>
      <c r="F1906" s="126">
        <v>2</v>
      </c>
      <c r="G1906" s="126">
        <v>8</v>
      </c>
      <c r="H1906" s="126">
        <v>2016</v>
      </c>
      <c r="I1906" s="159">
        <v>2022</v>
      </c>
      <c r="J1906" s="127">
        <v>1.099</v>
      </c>
      <c r="K1906" s="127">
        <v>1.03</v>
      </c>
      <c r="L1906" s="127">
        <v>0.55759999999999998</v>
      </c>
      <c r="M1906" s="127">
        <v>0.8931</v>
      </c>
      <c r="N1906" s="127">
        <v>1.0381</v>
      </c>
      <c r="O1906" s="127">
        <v>1.0538000000000001</v>
      </c>
      <c r="P1906" s="126">
        <v>3206</v>
      </c>
      <c r="Q1906" s="128">
        <f t="array" ref="Q1906">SUM(IF(($S1906&gt;=4)*($C1906='TaxCred&amp;Subs'!$D$123:$D$127)*($H1906='TaxCred&amp;Subs'!$C$123:$C$127)*($H1906&lt;='TaxCred&amp;Subs'!$C$129),'TaxCred&amp;Subs'!$E$123:$E$127,0))</f>
        <v>0</v>
      </c>
      <c r="R1906" s="174">
        <v>0</v>
      </c>
      <c r="S1906" s="126">
        <v>5</v>
      </c>
      <c r="T1906" s="126" t="s">
        <v>225</v>
      </c>
      <c r="U1906"/>
      <c r="V1906" s="153" t="str">
        <f t="array" ref="V1906">INDEX(xlRTCLNAME,MATCH(1,(xlRTCLENDU=1)*(xlRTCLEQCL=$D1906),0))</f>
        <v>DIST_FA</v>
      </c>
      <c r="W1906" s="153" t="str">
        <f t="array" ref="W1906">INDEX(xlRTCLNAME,MATCH(1,(xlRTCLENDU=2)*(xlRTCLEQCL=$F1906),0))</f>
        <v>CENT_AIR</v>
      </c>
      <c r="X1906" s="153" t="str">
        <f t="array" ref="X1906">INDEX(xlRTTYNAME,MATCH(1,(xlRTTYENDU=1)*(xlRTTYEQCL=$D1906)*(xlRTEQTYPE=$E1906),0))</f>
        <v>DIST_FA4</v>
      </c>
      <c r="Y1906" s="153" t="str">
        <f t="array" ref="Y1906">INDEX(xlRTTYNAME,MATCH(1,(xlRTTYENDU=2)*(xlRTTYEQCL=$F1906)*(xlRTEQTYPE=$G1906),0))</f>
        <v>CENT_AIR4</v>
      </c>
    </row>
    <row r="1907" spans="1:25" s="157" customFormat="1" ht="14.25" customHeight="1" x14ac:dyDescent="0.2">
      <c r="A1907"/>
      <c r="B1907" s="49">
        <v>3</v>
      </c>
      <c r="C1907" s="49">
        <v>2</v>
      </c>
      <c r="D1907" s="49">
        <v>7</v>
      </c>
      <c r="E1907" s="49">
        <v>25</v>
      </c>
      <c r="F1907" s="49">
        <v>2</v>
      </c>
      <c r="G1907" s="49">
        <v>8</v>
      </c>
      <c r="H1907" s="49">
        <v>2023</v>
      </c>
      <c r="I1907" s="49">
        <v>2032</v>
      </c>
      <c r="J1907" s="50">
        <v>1.099</v>
      </c>
      <c r="K1907" s="50">
        <v>1.03</v>
      </c>
      <c r="L1907" s="50">
        <v>0.55759999999999998</v>
      </c>
      <c r="M1907" s="50">
        <v>0.8931</v>
      </c>
      <c r="N1907" s="50">
        <v>1.0381</v>
      </c>
      <c r="O1907" s="50">
        <v>1.0538000000000001</v>
      </c>
      <c r="P1907" s="49">
        <v>3206</v>
      </c>
      <c r="Q1907" s="51">
        <f t="array" ref="Q1907">SUM(IF(($S1907&gt;=4)*($C1907='TaxCred&amp;Subs'!$D$123:$D$127)*($H1907='TaxCred&amp;Subs'!$C$123:$C$127)*($H1907&lt;='TaxCred&amp;Subs'!$C$129),'TaxCred&amp;Subs'!$E$123:$E$127,0))</f>
        <v>500</v>
      </c>
      <c r="R1907" s="171">
        <v>0</v>
      </c>
      <c r="S1907" s="49">
        <v>5</v>
      </c>
      <c r="T1907" s="49" t="s">
        <v>225</v>
      </c>
      <c r="U1907"/>
      <c r="V1907" s="153" t="str">
        <f t="array" ref="V1907">INDEX(xlRTCLNAME,MATCH(1,(xlRTCLENDU=1)*(xlRTCLEQCL=$D1907),0))</f>
        <v>DIST_FA</v>
      </c>
      <c r="W1907" s="153" t="str">
        <f t="array" ref="W1907">INDEX(xlRTCLNAME,MATCH(1,(xlRTCLENDU=2)*(xlRTCLEQCL=$F1907),0))</f>
        <v>CENT_AIR</v>
      </c>
      <c r="X1907" s="153" t="str">
        <f t="array" ref="X1907">INDEX(xlRTTYNAME,MATCH(1,(xlRTTYENDU=1)*(xlRTTYEQCL=$D1907)*(xlRTEQTYPE=$E1907),0))</f>
        <v>DIST_FA4</v>
      </c>
      <c r="Y1907" s="153" t="str">
        <f t="array" ref="Y1907">INDEX(xlRTTYNAME,MATCH(1,(xlRTTYENDU=2)*(xlRTTYEQCL=$F1907)*(xlRTEQTYPE=$G1907),0))</f>
        <v>CENT_AIR4</v>
      </c>
    </row>
    <row r="1908" spans="1:25" s="157" customFormat="1" ht="14.25" customHeight="1" x14ac:dyDescent="0.2">
      <c r="A1908"/>
      <c r="B1908" s="49">
        <v>3</v>
      </c>
      <c r="C1908" s="49">
        <v>2</v>
      </c>
      <c r="D1908" s="49">
        <v>7</v>
      </c>
      <c r="E1908" s="49">
        <v>25</v>
      </c>
      <c r="F1908" s="49">
        <v>2</v>
      </c>
      <c r="G1908" s="49">
        <v>8</v>
      </c>
      <c r="H1908" s="49">
        <v>2033</v>
      </c>
      <c r="I1908" s="49">
        <v>2050</v>
      </c>
      <c r="J1908" s="50">
        <v>1.099</v>
      </c>
      <c r="K1908" s="50">
        <v>1.03</v>
      </c>
      <c r="L1908" s="50">
        <v>0.55759999999999998</v>
      </c>
      <c r="M1908" s="50">
        <v>0.8931</v>
      </c>
      <c r="N1908" s="50">
        <v>1.0381</v>
      </c>
      <c r="O1908" s="50">
        <v>1.0538000000000001</v>
      </c>
      <c r="P1908" s="49">
        <v>3206</v>
      </c>
      <c r="Q1908" s="51">
        <f t="array" ref="Q1908">SUM(IF(($S1908&gt;=4)*($C1908='TaxCred&amp;Subs'!$D$123:$D$127)*($H1908='TaxCred&amp;Subs'!$C$123:$C$127)*($H1908&lt;='TaxCred&amp;Subs'!$C$129),'TaxCred&amp;Subs'!$E$123:$E$127,0))</f>
        <v>0</v>
      </c>
      <c r="R1908" s="171">
        <v>0</v>
      </c>
      <c r="S1908" s="49">
        <v>5</v>
      </c>
      <c r="T1908" s="49" t="s">
        <v>225</v>
      </c>
      <c r="U1908"/>
      <c r="V1908" s="153" t="str">
        <f t="array" ref="V1908">INDEX(xlRTCLNAME,MATCH(1,(xlRTCLENDU=1)*(xlRTCLEQCL=$D1908),0))</f>
        <v>DIST_FA</v>
      </c>
      <c r="W1908" s="153" t="str">
        <f t="array" ref="W1908">INDEX(xlRTCLNAME,MATCH(1,(xlRTCLENDU=2)*(xlRTCLEQCL=$F1908),0))</f>
        <v>CENT_AIR</v>
      </c>
      <c r="X1908" s="153" t="str">
        <f t="array" ref="X1908">INDEX(xlRTTYNAME,MATCH(1,(xlRTTYENDU=1)*(xlRTTYEQCL=$D1908)*(xlRTEQTYPE=$E1908),0))</f>
        <v>DIST_FA4</v>
      </c>
      <c r="Y1908" s="153" t="str">
        <f t="array" ref="Y1908">INDEX(xlRTTYNAME,MATCH(1,(xlRTTYENDU=2)*(xlRTTYEQCL=$F1908)*(xlRTEQTYPE=$G1908),0))</f>
        <v>CENT_AIR4</v>
      </c>
    </row>
    <row r="1909" spans="1:25" s="157" customFormat="1" ht="14.25" customHeight="1" x14ac:dyDescent="0.2">
      <c r="A1909"/>
      <c r="B1909" s="126">
        <v>4</v>
      </c>
      <c r="C1909" s="126">
        <v>2</v>
      </c>
      <c r="D1909" s="126">
        <v>7</v>
      </c>
      <c r="E1909" s="126">
        <v>25</v>
      </c>
      <c r="F1909" s="126">
        <v>2</v>
      </c>
      <c r="G1909" s="126">
        <v>8</v>
      </c>
      <c r="H1909" s="126">
        <v>2016</v>
      </c>
      <c r="I1909" s="159">
        <v>2022</v>
      </c>
      <c r="J1909" s="127">
        <v>1.0934999999999999</v>
      </c>
      <c r="K1909" s="127">
        <v>1.0435000000000001</v>
      </c>
      <c r="L1909" s="127">
        <v>0.62490000000000001</v>
      </c>
      <c r="M1909" s="127">
        <v>1.1499999999999999</v>
      </c>
      <c r="N1909" s="127">
        <v>1.1696</v>
      </c>
      <c r="O1909" s="127">
        <v>1.0538000000000001</v>
      </c>
      <c r="P1909" s="126">
        <v>2777</v>
      </c>
      <c r="Q1909" s="128">
        <f t="array" ref="Q1909">SUM(IF(($S1909&gt;=4)*($C1909='TaxCred&amp;Subs'!$D$123:$D$127)*($H1909='TaxCred&amp;Subs'!$C$123:$C$127)*($H1909&lt;='TaxCred&amp;Subs'!$C$129),'TaxCred&amp;Subs'!$E$123:$E$127,0))</f>
        <v>0</v>
      </c>
      <c r="R1909" s="174">
        <v>0</v>
      </c>
      <c r="S1909" s="126">
        <v>5</v>
      </c>
      <c r="T1909" s="126" t="s">
        <v>225</v>
      </c>
      <c r="U1909"/>
      <c r="V1909" s="153" t="str">
        <f t="array" ref="V1909">INDEX(xlRTCLNAME,MATCH(1,(xlRTCLENDU=1)*(xlRTCLEQCL=$D1909),0))</f>
        <v>DIST_FA</v>
      </c>
      <c r="W1909" s="153" t="str">
        <f t="array" ref="W1909">INDEX(xlRTCLNAME,MATCH(1,(xlRTCLENDU=2)*(xlRTCLEQCL=$F1909),0))</f>
        <v>CENT_AIR</v>
      </c>
      <c r="X1909" s="153" t="str">
        <f t="array" ref="X1909">INDEX(xlRTTYNAME,MATCH(1,(xlRTTYENDU=1)*(xlRTTYEQCL=$D1909)*(xlRTEQTYPE=$E1909),0))</f>
        <v>DIST_FA4</v>
      </c>
      <c r="Y1909" s="153" t="str">
        <f t="array" ref="Y1909">INDEX(xlRTTYNAME,MATCH(1,(xlRTTYENDU=2)*(xlRTTYEQCL=$F1909)*(xlRTEQTYPE=$G1909),0))</f>
        <v>CENT_AIR4</v>
      </c>
    </row>
    <row r="1910" spans="1:25" s="157" customFormat="1" ht="14.25" customHeight="1" x14ac:dyDescent="0.2">
      <c r="A1910"/>
      <c r="B1910" s="49">
        <v>4</v>
      </c>
      <c r="C1910" s="49">
        <v>2</v>
      </c>
      <c r="D1910" s="49">
        <v>7</v>
      </c>
      <c r="E1910" s="49">
        <v>25</v>
      </c>
      <c r="F1910" s="49">
        <v>2</v>
      </c>
      <c r="G1910" s="49">
        <v>8</v>
      </c>
      <c r="H1910" s="49">
        <v>2023</v>
      </c>
      <c r="I1910" s="49">
        <v>2032</v>
      </c>
      <c r="J1910" s="50">
        <v>1.0934999999999999</v>
      </c>
      <c r="K1910" s="50">
        <v>1.0435000000000001</v>
      </c>
      <c r="L1910" s="50">
        <v>0.62490000000000001</v>
      </c>
      <c r="M1910" s="50">
        <v>1.1499999999999999</v>
      </c>
      <c r="N1910" s="50">
        <v>1.1696</v>
      </c>
      <c r="O1910" s="50">
        <v>1.0538000000000001</v>
      </c>
      <c r="P1910" s="49">
        <v>2777</v>
      </c>
      <c r="Q1910" s="51">
        <f t="array" ref="Q1910">SUM(IF(($S1910&gt;=4)*($C1910='TaxCred&amp;Subs'!$D$123:$D$127)*($H1910='TaxCred&amp;Subs'!$C$123:$C$127)*($H1910&lt;='TaxCred&amp;Subs'!$C$129),'TaxCred&amp;Subs'!$E$123:$E$127,0))</f>
        <v>500</v>
      </c>
      <c r="R1910" s="171">
        <v>0</v>
      </c>
      <c r="S1910" s="49">
        <v>5</v>
      </c>
      <c r="T1910" s="49" t="s">
        <v>225</v>
      </c>
      <c r="U1910"/>
      <c r="V1910" s="153" t="str">
        <f t="array" ref="V1910">INDEX(xlRTCLNAME,MATCH(1,(xlRTCLENDU=1)*(xlRTCLEQCL=$D1910),0))</f>
        <v>DIST_FA</v>
      </c>
      <c r="W1910" s="153" t="str">
        <f t="array" ref="W1910">INDEX(xlRTCLNAME,MATCH(1,(xlRTCLENDU=2)*(xlRTCLEQCL=$F1910),0))</f>
        <v>CENT_AIR</v>
      </c>
      <c r="X1910" s="153" t="str">
        <f t="array" ref="X1910">INDEX(xlRTTYNAME,MATCH(1,(xlRTTYENDU=1)*(xlRTTYEQCL=$D1910)*(xlRTEQTYPE=$E1910),0))</f>
        <v>DIST_FA4</v>
      </c>
      <c r="Y1910" s="153" t="str">
        <f t="array" ref="Y1910">INDEX(xlRTTYNAME,MATCH(1,(xlRTTYENDU=2)*(xlRTTYEQCL=$F1910)*(xlRTEQTYPE=$G1910),0))</f>
        <v>CENT_AIR4</v>
      </c>
    </row>
    <row r="1911" spans="1:25" s="157" customFormat="1" ht="14.25" customHeight="1" x14ac:dyDescent="0.2">
      <c r="A1911"/>
      <c r="B1911" s="49">
        <v>4</v>
      </c>
      <c r="C1911" s="49">
        <v>2</v>
      </c>
      <c r="D1911" s="49">
        <v>7</v>
      </c>
      <c r="E1911" s="49">
        <v>25</v>
      </c>
      <c r="F1911" s="49">
        <v>2</v>
      </c>
      <c r="G1911" s="49">
        <v>8</v>
      </c>
      <c r="H1911" s="49">
        <v>2033</v>
      </c>
      <c r="I1911" s="49">
        <v>2050</v>
      </c>
      <c r="J1911" s="50">
        <v>1.0934999999999999</v>
      </c>
      <c r="K1911" s="50">
        <v>1.0435000000000001</v>
      </c>
      <c r="L1911" s="50">
        <v>0.62490000000000001</v>
      </c>
      <c r="M1911" s="50">
        <v>1.1499999999999999</v>
      </c>
      <c r="N1911" s="50">
        <v>1.1696</v>
      </c>
      <c r="O1911" s="50">
        <v>1.0538000000000001</v>
      </c>
      <c r="P1911" s="49">
        <v>2777</v>
      </c>
      <c r="Q1911" s="51">
        <f t="array" ref="Q1911">SUM(IF(($S1911&gt;=4)*($C1911='TaxCred&amp;Subs'!$D$123:$D$127)*($H1911='TaxCred&amp;Subs'!$C$123:$C$127)*($H1911&lt;='TaxCred&amp;Subs'!$C$129),'TaxCred&amp;Subs'!$E$123:$E$127,0))</f>
        <v>0</v>
      </c>
      <c r="R1911" s="171">
        <v>0</v>
      </c>
      <c r="S1911" s="49">
        <v>5</v>
      </c>
      <c r="T1911" s="49" t="s">
        <v>225</v>
      </c>
      <c r="U1911"/>
      <c r="V1911" s="153" t="str">
        <f t="array" ref="V1911">INDEX(xlRTCLNAME,MATCH(1,(xlRTCLENDU=1)*(xlRTCLEQCL=$D1911),0))</f>
        <v>DIST_FA</v>
      </c>
      <c r="W1911" s="153" t="str">
        <f t="array" ref="W1911">INDEX(xlRTCLNAME,MATCH(1,(xlRTCLENDU=2)*(xlRTCLEQCL=$F1911),0))</f>
        <v>CENT_AIR</v>
      </c>
      <c r="X1911" s="153" t="str">
        <f t="array" ref="X1911">INDEX(xlRTTYNAME,MATCH(1,(xlRTTYENDU=1)*(xlRTTYEQCL=$D1911)*(xlRTEQTYPE=$E1911),0))</f>
        <v>DIST_FA4</v>
      </c>
      <c r="Y1911" s="153" t="str">
        <f t="array" ref="Y1911">INDEX(xlRTTYNAME,MATCH(1,(xlRTTYENDU=2)*(xlRTTYEQCL=$F1911)*(xlRTEQTYPE=$G1911),0))</f>
        <v>CENT_AIR4</v>
      </c>
    </row>
    <row r="1912" spans="1:25" s="157" customFormat="1" ht="14.25" customHeight="1" x14ac:dyDescent="0.2">
      <c r="A1912"/>
      <c r="B1912" s="126">
        <v>5</v>
      </c>
      <c r="C1912" s="126">
        <v>2</v>
      </c>
      <c r="D1912" s="126">
        <v>7</v>
      </c>
      <c r="E1912" s="126">
        <v>25</v>
      </c>
      <c r="F1912" s="126">
        <v>2</v>
      </c>
      <c r="G1912" s="126">
        <v>8</v>
      </c>
      <c r="H1912" s="126">
        <v>2016</v>
      </c>
      <c r="I1912" s="159">
        <v>2022</v>
      </c>
      <c r="J1912" s="127">
        <v>1.1200000000000001</v>
      </c>
      <c r="K1912" s="127">
        <v>1.0391999999999999</v>
      </c>
      <c r="L1912" s="127">
        <v>0.44379999999999997</v>
      </c>
      <c r="M1912" s="127">
        <v>1.0314000000000001</v>
      </c>
      <c r="N1912" s="127">
        <v>1.2595000000000001</v>
      </c>
      <c r="O1912" s="127">
        <v>1.0538000000000001</v>
      </c>
      <c r="P1912" s="126">
        <v>2401</v>
      </c>
      <c r="Q1912" s="128">
        <f t="array" ref="Q1912">SUM(IF(($S1912&gt;=4)*($C1912='TaxCred&amp;Subs'!$D$123:$D$127)*($H1912='TaxCred&amp;Subs'!$C$123:$C$127)*($H1912&lt;='TaxCred&amp;Subs'!$C$129),'TaxCred&amp;Subs'!$E$123:$E$127,0))</f>
        <v>0</v>
      </c>
      <c r="R1912" s="174">
        <v>0</v>
      </c>
      <c r="S1912" s="126">
        <v>5</v>
      </c>
      <c r="T1912" s="126" t="s">
        <v>225</v>
      </c>
      <c r="U1912"/>
      <c r="V1912" s="153" t="str">
        <f t="array" ref="V1912">INDEX(xlRTCLNAME,MATCH(1,(xlRTCLENDU=1)*(xlRTCLEQCL=$D1912),0))</f>
        <v>DIST_FA</v>
      </c>
      <c r="W1912" s="153" t="str">
        <f t="array" ref="W1912">INDEX(xlRTCLNAME,MATCH(1,(xlRTCLENDU=2)*(xlRTCLEQCL=$F1912),0))</f>
        <v>CENT_AIR</v>
      </c>
      <c r="X1912" s="153" t="str">
        <f t="array" ref="X1912">INDEX(xlRTTYNAME,MATCH(1,(xlRTTYENDU=1)*(xlRTTYEQCL=$D1912)*(xlRTEQTYPE=$E1912),0))</f>
        <v>DIST_FA4</v>
      </c>
      <c r="Y1912" s="153" t="str">
        <f t="array" ref="Y1912">INDEX(xlRTTYNAME,MATCH(1,(xlRTTYENDU=2)*(xlRTTYEQCL=$F1912)*(xlRTEQTYPE=$G1912),0))</f>
        <v>CENT_AIR4</v>
      </c>
    </row>
    <row r="1913" spans="1:25" s="157" customFormat="1" ht="14.25" customHeight="1" x14ac:dyDescent="0.2">
      <c r="A1913"/>
      <c r="B1913" s="49">
        <v>5</v>
      </c>
      <c r="C1913" s="49">
        <v>2</v>
      </c>
      <c r="D1913" s="49">
        <v>7</v>
      </c>
      <c r="E1913" s="49">
        <v>25</v>
      </c>
      <c r="F1913" s="49">
        <v>2</v>
      </c>
      <c r="G1913" s="49">
        <v>8</v>
      </c>
      <c r="H1913" s="49">
        <v>2023</v>
      </c>
      <c r="I1913" s="49">
        <v>2032</v>
      </c>
      <c r="J1913" s="50">
        <v>1.1200000000000001</v>
      </c>
      <c r="K1913" s="50">
        <v>1.0391999999999999</v>
      </c>
      <c r="L1913" s="50">
        <v>0.44379999999999997</v>
      </c>
      <c r="M1913" s="50">
        <v>1.0314000000000001</v>
      </c>
      <c r="N1913" s="50">
        <v>1.2595000000000001</v>
      </c>
      <c r="O1913" s="50">
        <v>1.0538000000000001</v>
      </c>
      <c r="P1913" s="49">
        <v>2401</v>
      </c>
      <c r="Q1913" s="51">
        <f t="array" ref="Q1913">SUM(IF(($S1913&gt;=4)*($C1913='TaxCred&amp;Subs'!$D$123:$D$127)*($H1913='TaxCred&amp;Subs'!$C$123:$C$127)*($H1913&lt;='TaxCred&amp;Subs'!$C$129),'TaxCred&amp;Subs'!$E$123:$E$127,0))</f>
        <v>500</v>
      </c>
      <c r="R1913" s="171">
        <v>0</v>
      </c>
      <c r="S1913" s="49">
        <v>5</v>
      </c>
      <c r="T1913" s="49" t="s">
        <v>225</v>
      </c>
      <c r="U1913"/>
      <c r="V1913" s="153" t="str">
        <f t="array" ref="V1913">INDEX(xlRTCLNAME,MATCH(1,(xlRTCLENDU=1)*(xlRTCLEQCL=$D1913),0))</f>
        <v>DIST_FA</v>
      </c>
      <c r="W1913" s="153" t="str">
        <f t="array" ref="W1913">INDEX(xlRTCLNAME,MATCH(1,(xlRTCLENDU=2)*(xlRTCLEQCL=$F1913),0))</f>
        <v>CENT_AIR</v>
      </c>
      <c r="X1913" s="153" t="str">
        <f t="array" ref="X1913">INDEX(xlRTTYNAME,MATCH(1,(xlRTTYENDU=1)*(xlRTTYEQCL=$D1913)*(xlRTEQTYPE=$E1913),0))</f>
        <v>DIST_FA4</v>
      </c>
      <c r="Y1913" s="153" t="str">
        <f t="array" ref="Y1913">INDEX(xlRTTYNAME,MATCH(1,(xlRTTYENDU=2)*(xlRTTYEQCL=$F1913)*(xlRTEQTYPE=$G1913),0))</f>
        <v>CENT_AIR4</v>
      </c>
    </row>
    <row r="1914" spans="1:25" s="157" customFormat="1" ht="14.25" customHeight="1" x14ac:dyDescent="0.2">
      <c r="A1914"/>
      <c r="B1914" s="49">
        <v>5</v>
      </c>
      <c r="C1914" s="49">
        <v>2</v>
      </c>
      <c r="D1914" s="49">
        <v>7</v>
      </c>
      <c r="E1914" s="49">
        <v>25</v>
      </c>
      <c r="F1914" s="49">
        <v>2</v>
      </c>
      <c r="G1914" s="49">
        <v>8</v>
      </c>
      <c r="H1914" s="49">
        <v>2033</v>
      </c>
      <c r="I1914" s="49">
        <v>2050</v>
      </c>
      <c r="J1914" s="50">
        <v>1.1200000000000001</v>
      </c>
      <c r="K1914" s="50">
        <v>1.0391999999999999</v>
      </c>
      <c r="L1914" s="50">
        <v>0.44379999999999997</v>
      </c>
      <c r="M1914" s="50">
        <v>1.0314000000000001</v>
      </c>
      <c r="N1914" s="50">
        <v>1.2595000000000001</v>
      </c>
      <c r="O1914" s="50">
        <v>1.0538000000000001</v>
      </c>
      <c r="P1914" s="49">
        <v>2401</v>
      </c>
      <c r="Q1914" s="51">
        <f t="array" ref="Q1914">SUM(IF(($S1914&gt;=4)*($C1914='TaxCred&amp;Subs'!$D$123:$D$127)*($H1914='TaxCred&amp;Subs'!$C$123:$C$127)*($H1914&lt;='TaxCred&amp;Subs'!$C$129),'TaxCred&amp;Subs'!$E$123:$E$127,0))</f>
        <v>0</v>
      </c>
      <c r="R1914" s="171">
        <v>0</v>
      </c>
      <c r="S1914" s="49">
        <v>5</v>
      </c>
      <c r="T1914" s="49" t="s">
        <v>225</v>
      </c>
      <c r="U1914"/>
      <c r="V1914" s="153" t="str">
        <f t="array" ref="V1914">INDEX(xlRTCLNAME,MATCH(1,(xlRTCLENDU=1)*(xlRTCLEQCL=$D1914),0))</f>
        <v>DIST_FA</v>
      </c>
      <c r="W1914" s="153" t="str">
        <f t="array" ref="W1914">INDEX(xlRTCLNAME,MATCH(1,(xlRTCLENDU=2)*(xlRTCLEQCL=$F1914),0))</f>
        <v>CENT_AIR</v>
      </c>
      <c r="X1914" s="153" t="str">
        <f t="array" ref="X1914">INDEX(xlRTTYNAME,MATCH(1,(xlRTTYENDU=1)*(xlRTTYEQCL=$D1914)*(xlRTEQTYPE=$E1914),0))</f>
        <v>DIST_FA4</v>
      </c>
      <c r="Y1914" s="153" t="str">
        <f t="array" ref="Y1914">INDEX(xlRTTYNAME,MATCH(1,(xlRTTYENDU=2)*(xlRTTYEQCL=$F1914)*(xlRTEQTYPE=$G1914),0))</f>
        <v>CENT_AIR4</v>
      </c>
    </row>
    <row r="1915" spans="1:25" s="157" customFormat="1" ht="14.25" customHeight="1" x14ac:dyDescent="0.2">
      <c r="A1915"/>
      <c r="B1915" s="126">
        <v>6</v>
      </c>
      <c r="C1915" s="126">
        <v>2</v>
      </c>
      <c r="D1915" s="126">
        <v>7</v>
      </c>
      <c r="E1915" s="126">
        <v>25</v>
      </c>
      <c r="F1915" s="126">
        <v>2</v>
      </c>
      <c r="G1915" s="126">
        <v>8</v>
      </c>
      <c r="H1915" s="126">
        <v>2016</v>
      </c>
      <c r="I1915" s="159">
        <v>2022</v>
      </c>
      <c r="J1915" s="127">
        <v>1.1200000000000001</v>
      </c>
      <c r="K1915" s="127">
        <v>1.03</v>
      </c>
      <c r="L1915" s="127">
        <v>0.44379999999999997</v>
      </c>
      <c r="M1915" s="127">
        <v>1.0546</v>
      </c>
      <c r="N1915" s="127">
        <v>1.3381000000000001</v>
      </c>
      <c r="O1915" s="127">
        <v>1.0538000000000001</v>
      </c>
      <c r="P1915" s="126">
        <v>2657</v>
      </c>
      <c r="Q1915" s="128">
        <f t="array" ref="Q1915">SUM(IF(($S1915&gt;=4)*($C1915='TaxCred&amp;Subs'!$D$123:$D$127)*($H1915='TaxCred&amp;Subs'!$C$123:$C$127)*($H1915&lt;='TaxCred&amp;Subs'!$C$129),'TaxCred&amp;Subs'!$E$123:$E$127,0))</f>
        <v>0</v>
      </c>
      <c r="R1915" s="174">
        <v>0</v>
      </c>
      <c r="S1915" s="126">
        <v>5</v>
      </c>
      <c r="T1915" s="126" t="s">
        <v>225</v>
      </c>
      <c r="U1915"/>
      <c r="V1915" s="153" t="str">
        <f t="array" ref="V1915">INDEX(xlRTCLNAME,MATCH(1,(xlRTCLENDU=1)*(xlRTCLEQCL=$D1915),0))</f>
        <v>DIST_FA</v>
      </c>
      <c r="W1915" s="153" t="str">
        <f t="array" ref="W1915">INDEX(xlRTCLNAME,MATCH(1,(xlRTCLENDU=2)*(xlRTCLEQCL=$F1915),0))</f>
        <v>CENT_AIR</v>
      </c>
      <c r="X1915" s="153" t="str">
        <f t="array" ref="X1915">INDEX(xlRTTYNAME,MATCH(1,(xlRTTYENDU=1)*(xlRTTYEQCL=$D1915)*(xlRTEQTYPE=$E1915),0))</f>
        <v>DIST_FA4</v>
      </c>
      <c r="Y1915" s="153" t="str">
        <f t="array" ref="Y1915">INDEX(xlRTTYNAME,MATCH(1,(xlRTTYENDU=2)*(xlRTTYEQCL=$F1915)*(xlRTEQTYPE=$G1915),0))</f>
        <v>CENT_AIR4</v>
      </c>
    </row>
    <row r="1916" spans="1:25" s="157" customFormat="1" ht="14.25" customHeight="1" x14ac:dyDescent="0.2">
      <c r="A1916"/>
      <c r="B1916" s="49">
        <v>6</v>
      </c>
      <c r="C1916" s="49">
        <v>2</v>
      </c>
      <c r="D1916" s="49">
        <v>7</v>
      </c>
      <c r="E1916" s="49">
        <v>25</v>
      </c>
      <c r="F1916" s="49">
        <v>2</v>
      </c>
      <c r="G1916" s="49">
        <v>8</v>
      </c>
      <c r="H1916" s="49">
        <v>2023</v>
      </c>
      <c r="I1916" s="49">
        <v>2032</v>
      </c>
      <c r="J1916" s="50">
        <v>1.1200000000000001</v>
      </c>
      <c r="K1916" s="50">
        <v>1.03</v>
      </c>
      <c r="L1916" s="50">
        <v>0.44379999999999997</v>
      </c>
      <c r="M1916" s="50">
        <v>1.0546</v>
      </c>
      <c r="N1916" s="50">
        <v>1.3381000000000001</v>
      </c>
      <c r="O1916" s="50">
        <v>1.0538000000000001</v>
      </c>
      <c r="P1916" s="49">
        <v>2657</v>
      </c>
      <c r="Q1916" s="51">
        <f t="array" ref="Q1916">SUM(IF(($S1916&gt;=4)*($C1916='TaxCred&amp;Subs'!$D$123:$D$127)*($H1916='TaxCred&amp;Subs'!$C$123:$C$127)*($H1916&lt;='TaxCred&amp;Subs'!$C$129),'TaxCred&amp;Subs'!$E$123:$E$127,0))</f>
        <v>500</v>
      </c>
      <c r="R1916" s="171">
        <v>0</v>
      </c>
      <c r="S1916" s="49">
        <v>5</v>
      </c>
      <c r="T1916" s="49" t="s">
        <v>225</v>
      </c>
      <c r="U1916"/>
      <c r="V1916" s="153" t="str">
        <f t="array" ref="V1916">INDEX(xlRTCLNAME,MATCH(1,(xlRTCLENDU=1)*(xlRTCLEQCL=$D1916),0))</f>
        <v>DIST_FA</v>
      </c>
      <c r="W1916" s="153" t="str">
        <f t="array" ref="W1916">INDEX(xlRTCLNAME,MATCH(1,(xlRTCLENDU=2)*(xlRTCLEQCL=$F1916),0))</f>
        <v>CENT_AIR</v>
      </c>
      <c r="X1916" s="153" t="str">
        <f t="array" ref="X1916">INDEX(xlRTTYNAME,MATCH(1,(xlRTTYENDU=1)*(xlRTTYEQCL=$D1916)*(xlRTEQTYPE=$E1916),0))</f>
        <v>DIST_FA4</v>
      </c>
      <c r="Y1916" s="153" t="str">
        <f t="array" ref="Y1916">INDEX(xlRTTYNAME,MATCH(1,(xlRTTYENDU=2)*(xlRTTYEQCL=$F1916)*(xlRTEQTYPE=$G1916),0))</f>
        <v>CENT_AIR4</v>
      </c>
    </row>
    <row r="1917" spans="1:25" s="157" customFormat="1" ht="14.25" customHeight="1" x14ac:dyDescent="0.2">
      <c r="A1917"/>
      <c r="B1917" s="49">
        <v>6</v>
      </c>
      <c r="C1917" s="49">
        <v>2</v>
      </c>
      <c r="D1917" s="49">
        <v>7</v>
      </c>
      <c r="E1917" s="49">
        <v>25</v>
      </c>
      <c r="F1917" s="49">
        <v>2</v>
      </c>
      <c r="G1917" s="49">
        <v>8</v>
      </c>
      <c r="H1917" s="49">
        <v>2033</v>
      </c>
      <c r="I1917" s="49">
        <v>2050</v>
      </c>
      <c r="J1917" s="50">
        <v>1.1200000000000001</v>
      </c>
      <c r="K1917" s="50">
        <v>1.03</v>
      </c>
      <c r="L1917" s="50">
        <v>0.44379999999999997</v>
      </c>
      <c r="M1917" s="50">
        <v>1.0546</v>
      </c>
      <c r="N1917" s="50">
        <v>1.3381000000000001</v>
      </c>
      <c r="O1917" s="50">
        <v>1.0538000000000001</v>
      </c>
      <c r="P1917" s="49">
        <v>2657</v>
      </c>
      <c r="Q1917" s="51">
        <f t="array" ref="Q1917">SUM(IF(($S1917&gt;=4)*($C1917='TaxCred&amp;Subs'!$D$123:$D$127)*($H1917='TaxCred&amp;Subs'!$C$123:$C$127)*($H1917&lt;='TaxCred&amp;Subs'!$C$129),'TaxCred&amp;Subs'!$E$123:$E$127,0))</f>
        <v>0</v>
      </c>
      <c r="R1917" s="171">
        <v>0</v>
      </c>
      <c r="S1917" s="49">
        <v>5</v>
      </c>
      <c r="T1917" s="49" t="s">
        <v>225</v>
      </c>
      <c r="U1917"/>
      <c r="V1917" s="153" t="str">
        <f t="array" ref="V1917">INDEX(xlRTCLNAME,MATCH(1,(xlRTCLENDU=1)*(xlRTCLEQCL=$D1917),0))</f>
        <v>DIST_FA</v>
      </c>
      <c r="W1917" s="153" t="str">
        <f t="array" ref="W1917">INDEX(xlRTCLNAME,MATCH(1,(xlRTCLENDU=2)*(xlRTCLEQCL=$F1917),0))</f>
        <v>CENT_AIR</v>
      </c>
      <c r="X1917" s="153" t="str">
        <f t="array" ref="X1917">INDEX(xlRTTYNAME,MATCH(1,(xlRTTYENDU=1)*(xlRTTYEQCL=$D1917)*(xlRTEQTYPE=$E1917),0))</f>
        <v>DIST_FA4</v>
      </c>
      <c r="Y1917" s="153" t="str">
        <f t="array" ref="Y1917">INDEX(xlRTTYNAME,MATCH(1,(xlRTTYENDU=2)*(xlRTTYEQCL=$F1917)*(xlRTEQTYPE=$G1917),0))</f>
        <v>CENT_AIR4</v>
      </c>
    </row>
    <row r="1918" spans="1:25" s="157" customFormat="1" ht="14.25" customHeight="1" x14ac:dyDescent="0.2">
      <c r="A1918"/>
      <c r="B1918" s="126">
        <v>7</v>
      </c>
      <c r="C1918" s="126">
        <v>2</v>
      </c>
      <c r="D1918" s="126">
        <v>7</v>
      </c>
      <c r="E1918" s="126">
        <v>25</v>
      </c>
      <c r="F1918" s="126">
        <v>2</v>
      </c>
      <c r="G1918" s="126">
        <v>8</v>
      </c>
      <c r="H1918" s="126">
        <v>2016</v>
      </c>
      <c r="I1918" s="159">
        <v>2022</v>
      </c>
      <c r="J1918" s="127">
        <v>1.1200000000000001</v>
      </c>
      <c r="K1918" s="127">
        <v>1.0476000000000001</v>
      </c>
      <c r="L1918" s="127">
        <v>0.44379999999999997</v>
      </c>
      <c r="M1918" s="127">
        <v>1.0569</v>
      </c>
      <c r="N1918" s="127">
        <v>1.4438</v>
      </c>
      <c r="O1918" s="127">
        <v>1.0538000000000001</v>
      </c>
      <c r="P1918" s="126">
        <v>2321</v>
      </c>
      <c r="Q1918" s="128">
        <f t="array" ref="Q1918">SUM(IF(($S1918&gt;=4)*($C1918='TaxCred&amp;Subs'!$D$123:$D$127)*($H1918='TaxCred&amp;Subs'!$C$123:$C$127)*($H1918&lt;='TaxCred&amp;Subs'!$C$129),'TaxCred&amp;Subs'!$E$123:$E$127,0))</f>
        <v>0</v>
      </c>
      <c r="R1918" s="174">
        <v>0</v>
      </c>
      <c r="S1918" s="126">
        <v>5</v>
      </c>
      <c r="T1918" s="126" t="s">
        <v>225</v>
      </c>
      <c r="U1918"/>
      <c r="V1918" s="153" t="str">
        <f t="array" ref="V1918">INDEX(xlRTCLNAME,MATCH(1,(xlRTCLENDU=1)*(xlRTCLEQCL=$D1918),0))</f>
        <v>DIST_FA</v>
      </c>
      <c r="W1918" s="153" t="str">
        <f t="array" ref="W1918">INDEX(xlRTCLNAME,MATCH(1,(xlRTCLENDU=2)*(xlRTCLEQCL=$F1918),0))</f>
        <v>CENT_AIR</v>
      </c>
      <c r="X1918" s="153" t="str">
        <f t="array" ref="X1918">INDEX(xlRTTYNAME,MATCH(1,(xlRTTYENDU=1)*(xlRTTYEQCL=$D1918)*(xlRTEQTYPE=$E1918),0))</f>
        <v>DIST_FA4</v>
      </c>
      <c r="Y1918" s="153" t="str">
        <f t="array" ref="Y1918">INDEX(xlRTTYNAME,MATCH(1,(xlRTTYENDU=2)*(xlRTTYEQCL=$F1918)*(xlRTEQTYPE=$G1918),0))</f>
        <v>CENT_AIR4</v>
      </c>
    </row>
    <row r="1919" spans="1:25" s="157" customFormat="1" ht="14.25" customHeight="1" x14ac:dyDescent="0.2">
      <c r="A1919"/>
      <c r="B1919" s="49">
        <v>7</v>
      </c>
      <c r="C1919" s="49">
        <v>2</v>
      </c>
      <c r="D1919" s="49">
        <v>7</v>
      </c>
      <c r="E1919" s="49">
        <v>25</v>
      </c>
      <c r="F1919" s="49">
        <v>2</v>
      </c>
      <c r="G1919" s="49">
        <v>8</v>
      </c>
      <c r="H1919" s="49">
        <v>2023</v>
      </c>
      <c r="I1919" s="49">
        <v>2032</v>
      </c>
      <c r="J1919" s="50">
        <v>1.1200000000000001</v>
      </c>
      <c r="K1919" s="50">
        <v>1.0476000000000001</v>
      </c>
      <c r="L1919" s="50">
        <v>0.44379999999999997</v>
      </c>
      <c r="M1919" s="50">
        <v>1.0569</v>
      </c>
      <c r="N1919" s="50">
        <v>1.4438</v>
      </c>
      <c r="O1919" s="50">
        <v>1.0538000000000001</v>
      </c>
      <c r="P1919" s="49">
        <v>2321</v>
      </c>
      <c r="Q1919" s="51">
        <f t="array" ref="Q1919">SUM(IF(($S1919&gt;=4)*($C1919='TaxCred&amp;Subs'!$D$123:$D$127)*($H1919='TaxCred&amp;Subs'!$C$123:$C$127)*($H1919&lt;='TaxCred&amp;Subs'!$C$129),'TaxCred&amp;Subs'!$E$123:$E$127,0))</f>
        <v>500</v>
      </c>
      <c r="R1919" s="171">
        <v>0</v>
      </c>
      <c r="S1919" s="49">
        <v>5</v>
      </c>
      <c r="T1919" s="49" t="s">
        <v>225</v>
      </c>
      <c r="U1919"/>
      <c r="V1919" s="153" t="str">
        <f t="array" ref="V1919">INDEX(xlRTCLNAME,MATCH(1,(xlRTCLENDU=1)*(xlRTCLEQCL=$D1919),0))</f>
        <v>DIST_FA</v>
      </c>
      <c r="W1919" s="153" t="str">
        <f t="array" ref="W1919">INDEX(xlRTCLNAME,MATCH(1,(xlRTCLENDU=2)*(xlRTCLEQCL=$F1919),0))</f>
        <v>CENT_AIR</v>
      </c>
      <c r="X1919" s="153" t="str">
        <f t="array" ref="X1919">INDEX(xlRTTYNAME,MATCH(1,(xlRTTYENDU=1)*(xlRTTYEQCL=$D1919)*(xlRTEQTYPE=$E1919),0))</f>
        <v>DIST_FA4</v>
      </c>
      <c r="Y1919" s="153" t="str">
        <f t="array" ref="Y1919">INDEX(xlRTTYNAME,MATCH(1,(xlRTTYENDU=2)*(xlRTTYEQCL=$F1919)*(xlRTEQTYPE=$G1919),0))</f>
        <v>CENT_AIR4</v>
      </c>
    </row>
    <row r="1920" spans="1:25" s="157" customFormat="1" ht="14.25" customHeight="1" x14ac:dyDescent="0.2">
      <c r="A1920"/>
      <c r="B1920" s="49">
        <v>7</v>
      </c>
      <c r="C1920" s="49">
        <v>2</v>
      </c>
      <c r="D1920" s="49">
        <v>7</v>
      </c>
      <c r="E1920" s="49">
        <v>25</v>
      </c>
      <c r="F1920" s="49">
        <v>2</v>
      </c>
      <c r="G1920" s="49">
        <v>8</v>
      </c>
      <c r="H1920" s="49">
        <v>2033</v>
      </c>
      <c r="I1920" s="49">
        <v>2050</v>
      </c>
      <c r="J1920" s="50">
        <v>1.1200000000000001</v>
      </c>
      <c r="K1920" s="50">
        <v>1.0476000000000001</v>
      </c>
      <c r="L1920" s="50">
        <v>0.44379999999999997</v>
      </c>
      <c r="M1920" s="50">
        <v>1.0569</v>
      </c>
      <c r="N1920" s="50">
        <v>1.4438</v>
      </c>
      <c r="O1920" s="50">
        <v>1.0538000000000001</v>
      </c>
      <c r="P1920" s="49">
        <v>2321</v>
      </c>
      <c r="Q1920" s="51">
        <f t="array" ref="Q1920">SUM(IF(($S1920&gt;=4)*($C1920='TaxCred&amp;Subs'!$D$123:$D$127)*($H1920='TaxCred&amp;Subs'!$C$123:$C$127)*($H1920&lt;='TaxCred&amp;Subs'!$C$129),'TaxCred&amp;Subs'!$E$123:$E$127,0))</f>
        <v>0</v>
      </c>
      <c r="R1920" s="171">
        <v>0</v>
      </c>
      <c r="S1920" s="49">
        <v>5</v>
      </c>
      <c r="T1920" s="49" t="s">
        <v>225</v>
      </c>
      <c r="U1920"/>
      <c r="V1920" s="153" t="str">
        <f t="array" ref="V1920">INDEX(xlRTCLNAME,MATCH(1,(xlRTCLENDU=1)*(xlRTCLEQCL=$D1920),0))</f>
        <v>DIST_FA</v>
      </c>
      <c r="W1920" s="153" t="str">
        <f t="array" ref="W1920">INDEX(xlRTCLNAME,MATCH(1,(xlRTCLENDU=2)*(xlRTCLEQCL=$F1920),0))</f>
        <v>CENT_AIR</v>
      </c>
      <c r="X1920" s="153" t="str">
        <f t="array" ref="X1920">INDEX(xlRTTYNAME,MATCH(1,(xlRTTYENDU=1)*(xlRTTYEQCL=$D1920)*(xlRTEQTYPE=$E1920),0))</f>
        <v>DIST_FA4</v>
      </c>
      <c r="Y1920" s="153" t="str">
        <f t="array" ref="Y1920">INDEX(xlRTTYNAME,MATCH(1,(xlRTTYENDU=2)*(xlRTTYEQCL=$F1920)*(xlRTEQTYPE=$G1920),0))</f>
        <v>CENT_AIR4</v>
      </c>
    </row>
    <row r="1921" spans="1:25" s="157" customFormat="1" ht="14.25" customHeight="1" x14ac:dyDescent="0.2">
      <c r="A1921"/>
      <c r="B1921" s="126">
        <v>8</v>
      </c>
      <c r="C1921" s="126">
        <v>2</v>
      </c>
      <c r="D1921" s="126">
        <v>7</v>
      </c>
      <c r="E1921" s="126">
        <v>25</v>
      </c>
      <c r="F1921" s="126">
        <v>2</v>
      </c>
      <c r="G1921" s="126">
        <v>8</v>
      </c>
      <c r="H1921" s="126">
        <v>2016</v>
      </c>
      <c r="I1921" s="159">
        <v>2022</v>
      </c>
      <c r="J1921" s="127">
        <v>1.1064000000000001</v>
      </c>
      <c r="K1921" s="127">
        <v>1.0645</v>
      </c>
      <c r="L1921" s="127">
        <v>0.54869999999999997</v>
      </c>
      <c r="M1921" s="127">
        <v>1.2087000000000001</v>
      </c>
      <c r="N1921" s="127">
        <v>1.2826</v>
      </c>
      <c r="O1921" s="127">
        <v>1.0538000000000001</v>
      </c>
      <c r="P1921" s="126">
        <v>2889</v>
      </c>
      <c r="Q1921" s="128">
        <f t="array" ref="Q1921">SUM(IF(($S1921&gt;=4)*($C1921='TaxCred&amp;Subs'!$D$123:$D$127)*($H1921='TaxCred&amp;Subs'!$C$123:$C$127)*($H1921&lt;='TaxCred&amp;Subs'!$C$129),'TaxCred&amp;Subs'!$E$123:$E$127,0))</f>
        <v>0</v>
      </c>
      <c r="R1921" s="174">
        <v>0</v>
      </c>
      <c r="S1921" s="126">
        <v>5</v>
      </c>
      <c r="T1921" s="126" t="s">
        <v>225</v>
      </c>
      <c r="U1921"/>
      <c r="V1921" s="153" t="str">
        <f t="array" ref="V1921">INDEX(xlRTCLNAME,MATCH(1,(xlRTCLENDU=1)*(xlRTCLEQCL=$D1921),0))</f>
        <v>DIST_FA</v>
      </c>
      <c r="W1921" s="153" t="str">
        <f t="array" ref="W1921">INDEX(xlRTCLNAME,MATCH(1,(xlRTCLENDU=2)*(xlRTCLEQCL=$F1921),0))</f>
        <v>CENT_AIR</v>
      </c>
      <c r="X1921" s="153" t="str">
        <f t="array" ref="X1921">INDEX(xlRTTYNAME,MATCH(1,(xlRTTYENDU=1)*(xlRTTYEQCL=$D1921)*(xlRTEQTYPE=$E1921),0))</f>
        <v>DIST_FA4</v>
      </c>
      <c r="Y1921" s="153" t="str">
        <f t="array" ref="Y1921">INDEX(xlRTTYNAME,MATCH(1,(xlRTTYENDU=2)*(xlRTTYEQCL=$F1921)*(xlRTEQTYPE=$G1921),0))</f>
        <v>CENT_AIR4</v>
      </c>
    </row>
    <row r="1922" spans="1:25" s="157" customFormat="1" ht="14.25" customHeight="1" x14ac:dyDescent="0.2">
      <c r="A1922"/>
      <c r="B1922" s="49">
        <v>8</v>
      </c>
      <c r="C1922" s="49">
        <v>2</v>
      </c>
      <c r="D1922" s="49">
        <v>7</v>
      </c>
      <c r="E1922" s="49">
        <v>25</v>
      </c>
      <c r="F1922" s="49">
        <v>2</v>
      </c>
      <c r="G1922" s="49">
        <v>8</v>
      </c>
      <c r="H1922" s="49">
        <v>2023</v>
      </c>
      <c r="I1922" s="49">
        <v>2032</v>
      </c>
      <c r="J1922" s="50">
        <v>1.1064000000000001</v>
      </c>
      <c r="K1922" s="50">
        <v>1.0645</v>
      </c>
      <c r="L1922" s="50">
        <v>0.54869999999999997</v>
      </c>
      <c r="M1922" s="50">
        <v>1.2087000000000001</v>
      </c>
      <c r="N1922" s="50">
        <v>1.2826</v>
      </c>
      <c r="O1922" s="50">
        <v>1.0538000000000001</v>
      </c>
      <c r="P1922" s="49">
        <v>2889</v>
      </c>
      <c r="Q1922" s="51">
        <f t="array" ref="Q1922">SUM(IF(($S1922&gt;=4)*($C1922='TaxCred&amp;Subs'!$D$123:$D$127)*($H1922='TaxCred&amp;Subs'!$C$123:$C$127)*($H1922&lt;='TaxCred&amp;Subs'!$C$129),'TaxCred&amp;Subs'!$E$123:$E$127,0))</f>
        <v>500</v>
      </c>
      <c r="R1922" s="171">
        <v>0</v>
      </c>
      <c r="S1922" s="49">
        <v>5</v>
      </c>
      <c r="T1922" s="49" t="s">
        <v>225</v>
      </c>
      <c r="U1922"/>
      <c r="V1922" s="153" t="str">
        <f t="array" ref="V1922">INDEX(xlRTCLNAME,MATCH(1,(xlRTCLENDU=1)*(xlRTCLEQCL=$D1922),0))</f>
        <v>DIST_FA</v>
      </c>
      <c r="W1922" s="153" t="str">
        <f t="array" ref="W1922">INDEX(xlRTCLNAME,MATCH(1,(xlRTCLENDU=2)*(xlRTCLEQCL=$F1922),0))</f>
        <v>CENT_AIR</v>
      </c>
      <c r="X1922" s="153" t="str">
        <f t="array" ref="X1922">INDEX(xlRTTYNAME,MATCH(1,(xlRTTYENDU=1)*(xlRTTYEQCL=$D1922)*(xlRTEQTYPE=$E1922),0))</f>
        <v>DIST_FA4</v>
      </c>
      <c r="Y1922" s="153" t="str">
        <f t="array" ref="Y1922">INDEX(xlRTTYNAME,MATCH(1,(xlRTTYENDU=2)*(xlRTTYEQCL=$F1922)*(xlRTEQTYPE=$G1922),0))</f>
        <v>CENT_AIR4</v>
      </c>
    </row>
    <row r="1923" spans="1:25" s="157" customFormat="1" ht="14.25" customHeight="1" x14ac:dyDescent="0.2">
      <c r="A1923"/>
      <c r="B1923" s="49">
        <v>8</v>
      </c>
      <c r="C1923" s="49">
        <v>2</v>
      </c>
      <c r="D1923" s="49">
        <v>7</v>
      </c>
      <c r="E1923" s="49">
        <v>25</v>
      </c>
      <c r="F1923" s="49">
        <v>2</v>
      </c>
      <c r="G1923" s="49">
        <v>8</v>
      </c>
      <c r="H1923" s="49">
        <v>2033</v>
      </c>
      <c r="I1923" s="49">
        <v>2050</v>
      </c>
      <c r="J1923" s="50">
        <v>1.1064000000000001</v>
      </c>
      <c r="K1923" s="50">
        <v>1.0645</v>
      </c>
      <c r="L1923" s="50">
        <v>0.54869999999999997</v>
      </c>
      <c r="M1923" s="50">
        <v>1.2087000000000001</v>
      </c>
      <c r="N1923" s="50">
        <v>1.2826</v>
      </c>
      <c r="O1923" s="50">
        <v>1.0538000000000001</v>
      </c>
      <c r="P1923" s="49">
        <v>2889</v>
      </c>
      <c r="Q1923" s="51">
        <f t="array" ref="Q1923">SUM(IF(($S1923&gt;=4)*($C1923='TaxCred&amp;Subs'!$D$123:$D$127)*($H1923='TaxCred&amp;Subs'!$C$123:$C$127)*($H1923&lt;='TaxCred&amp;Subs'!$C$129),'TaxCred&amp;Subs'!$E$123:$E$127,0))</f>
        <v>0</v>
      </c>
      <c r="R1923" s="171">
        <v>0</v>
      </c>
      <c r="S1923" s="49">
        <v>5</v>
      </c>
      <c r="T1923" s="49" t="s">
        <v>225</v>
      </c>
      <c r="U1923"/>
      <c r="V1923" s="153" t="str">
        <f t="array" ref="V1923">INDEX(xlRTCLNAME,MATCH(1,(xlRTCLENDU=1)*(xlRTCLEQCL=$D1923),0))</f>
        <v>DIST_FA</v>
      </c>
      <c r="W1923" s="153" t="str">
        <f t="array" ref="W1923">INDEX(xlRTCLNAME,MATCH(1,(xlRTCLENDU=2)*(xlRTCLEQCL=$F1923),0))</f>
        <v>CENT_AIR</v>
      </c>
      <c r="X1923" s="153" t="str">
        <f t="array" ref="X1923">INDEX(xlRTTYNAME,MATCH(1,(xlRTTYENDU=1)*(xlRTTYEQCL=$D1923)*(xlRTEQTYPE=$E1923),0))</f>
        <v>DIST_FA4</v>
      </c>
      <c r="Y1923" s="153" t="str">
        <f t="array" ref="Y1923">INDEX(xlRTTYNAME,MATCH(1,(xlRTTYENDU=2)*(xlRTTYEQCL=$F1923)*(xlRTEQTYPE=$G1923),0))</f>
        <v>CENT_AIR4</v>
      </c>
    </row>
    <row r="1924" spans="1:25" s="157" customFormat="1" ht="14.25" customHeight="1" x14ac:dyDescent="0.2">
      <c r="A1924"/>
      <c r="B1924" s="126">
        <v>9</v>
      </c>
      <c r="C1924" s="126">
        <v>2</v>
      </c>
      <c r="D1924" s="126">
        <v>7</v>
      </c>
      <c r="E1924" s="126">
        <v>25</v>
      </c>
      <c r="F1924" s="126">
        <v>2</v>
      </c>
      <c r="G1924" s="126">
        <v>8</v>
      </c>
      <c r="H1924" s="126">
        <v>2016</v>
      </c>
      <c r="I1924" s="159">
        <v>2022</v>
      </c>
      <c r="J1924" s="127">
        <v>1.03</v>
      </c>
      <c r="K1924" s="127">
        <v>1.0556000000000001</v>
      </c>
      <c r="L1924" s="127">
        <v>0.44379999999999997</v>
      </c>
      <c r="M1924" s="127">
        <v>1.1167</v>
      </c>
      <c r="N1924" s="127">
        <v>1.4438</v>
      </c>
      <c r="O1924" s="127">
        <v>1.0538000000000001</v>
      </c>
      <c r="P1924" s="126">
        <v>3308</v>
      </c>
      <c r="Q1924" s="128">
        <f t="array" ref="Q1924">SUM(IF(($S1924&gt;=4)*($C1924='TaxCred&amp;Subs'!$D$123:$D$127)*($H1924='TaxCred&amp;Subs'!$C$123:$C$127)*($H1924&lt;='TaxCred&amp;Subs'!$C$129),'TaxCred&amp;Subs'!$E$123:$E$127,0))</f>
        <v>0</v>
      </c>
      <c r="R1924" s="174">
        <v>0</v>
      </c>
      <c r="S1924" s="126">
        <v>5</v>
      </c>
      <c r="T1924" s="126" t="s">
        <v>225</v>
      </c>
      <c r="U1924"/>
      <c r="V1924" s="153" t="str">
        <f t="array" ref="V1924">INDEX(xlRTCLNAME,MATCH(1,(xlRTCLENDU=1)*(xlRTCLEQCL=$D1924),0))</f>
        <v>DIST_FA</v>
      </c>
      <c r="W1924" s="153" t="str">
        <f t="array" ref="W1924">INDEX(xlRTCLNAME,MATCH(1,(xlRTCLENDU=2)*(xlRTCLEQCL=$F1924),0))</f>
        <v>CENT_AIR</v>
      </c>
      <c r="X1924" s="153" t="str">
        <f t="array" ref="X1924">INDEX(xlRTTYNAME,MATCH(1,(xlRTTYENDU=1)*(xlRTTYEQCL=$D1924)*(xlRTEQTYPE=$E1924),0))</f>
        <v>DIST_FA4</v>
      </c>
      <c r="Y1924" s="153" t="str">
        <f t="array" ref="Y1924">INDEX(xlRTTYNAME,MATCH(1,(xlRTTYENDU=2)*(xlRTTYEQCL=$F1924)*(xlRTEQTYPE=$G1924),0))</f>
        <v>CENT_AIR4</v>
      </c>
    </row>
    <row r="1925" spans="1:25" s="157" customFormat="1" ht="14.25" customHeight="1" x14ac:dyDescent="0.2">
      <c r="A1925"/>
      <c r="B1925" s="49">
        <v>9</v>
      </c>
      <c r="C1925" s="49">
        <v>2</v>
      </c>
      <c r="D1925" s="49">
        <v>7</v>
      </c>
      <c r="E1925" s="49">
        <v>25</v>
      </c>
      <c r="F1925" s="49">
        <v>2</v>
      </c>
      <c r="G1925" s="49">
        <v>8</v>
      </c>
      <c r="H1925" s="49">
        <v>2023</v>
      </c>
      <c r="I1925" s="49">
        <v>2032</v>
      </c>
      <c r="J1925" s="50">
        <v>1.03</v>
      </c>
      <c r="K1925" s="50">
        <v>1.0556000000000001</v>
      </c>
      <c r="L1925" s="50">
        <v>0.44379999999999997</v>
      </c>
      <c r="M1925" s="50">
        <v>1.1167</v>
      </c>
      <c r="N1925" s="50">
        <v>1.4438</v>
      </c>
      <c r="O1925" s="50">
        <v>1.0538000000000001</v>
      </c>
      <c r="P1925" s="49">
        <v>3308</v>
      </c>
      <c r="Q1925" s="51">
        <f t="array" ref="Q1925">SUM(IF(($S1925&gt;=4)*($C1925='TaxCred&amp;Subs'!$D$123:$D$127)*($H1925='TaxCred&amp;Subs'!$C$123:$C$127)*($H1925&lt;='TaxCred&amp;Subs'!$C$129),'TaxCred&amp;Subs'!$E$123:$E$127,0))</f>
        <v>500</v>
      </c>
      <c r="R1925" s="171">
        <v>0</v>
      </c>
      <c r="S1925" s="49">
        <v>5</v>
      </c>
      <c r="T1925" s="49" t="s">
        <v>225</v>
      </c>
      <c r="U1925"/>
      <c r="V1925" s="153" t="str">
        <f t="array" ref="V1925">INDEX(xlRTCLNAME,MATCH(1,(xlRTCLENDU=1)*(xlRTCLEQCL=$D1925),0))</f>
        <v>DIST_FA</v>
      </c>
      <c r="W1925" s="153" t="str">
        <f t="array" ref="W1925">INDEX(xlRTCLNAME,MATCH(1,(xlRTCLENDU=2)*(xlRTCLEQCL=$F1925),0))</f>
        <v>CENT_AIR</v>
      </c>
      <c r="X1925" s="153" t="str">
        <f t="array" ref="X1925">INDEX(xlRTTYNAME,MATCH(1,(xlRTTYENDU=1)*(xlRTTYEQCL=$D1925)*(xlRTEQTYPE=$E1925),0))</f>
        <v>DIST_FA4</v>
      </c>
      <c r="Y1925" s="153" t="str">
        <f t="array" ref="Y1925">INDEX(xlRTTYNAME,MATCH(1,(xlRTTYENDU=2)*(xlRTTYEQCL=$F1925)*(xlRTEQTYPE=$G1925),0))</f>
        <v>CENT_AIR4</v>
      </c>
    </row>
    <row r="1926" spans="1:25" s="157" customFormat="1" ht="14.25" customHeight="1" x14ac:dyDescent="0.2">
      <c r="A1926"/>
      <c r="B1926" s="49">
        <v>9</v>
      </c>
      <c r="C1926" s="49">
        <v>2</v>
      </c>
      <c r="D1926" s="49">
        <v>7</v>
      </c>
      <c r="E1926" s="49">
        <v>25</v>
      </c>
      <c r="F1926" s="49">
        <v>2</v>
      </c>
      <c r="G1926" s="49">
        <v>8</v>
      </c>
      <c r="H1926" s="49">
        <v>2033</v>
      </c>
      <c r="I1926" s="49">
        <v>2050</v>
      </c>
      <c r="J1926" s="50">
        <v>1.03</v>
      </c>
      <c r="K1926" s="50">
        <v>1.0556000000000001</v>
      </c>
      <c r="L1926" s="50">
        <v>0.44379999999999997</v>
      </c>
      <c r="M1926" s="50">
        <v>1.1167</v>
      </c>
      <c r="N1926" s="50">
        <v>1.4438</v>
      </c>
      <c r="O1926" s="50">
        <v>1.0538000000000001</v>
      </c>
      <c r="P1926" s="49">
        <v>3308</v>
      </c>
      <c r="Q1926" s="51">
        <f t="array" ref="Q1926">SUM(IF(($S1926&gt;=4)*($C1926='TaxCred&amp;Subs'!$D$123:$D$127)*($H1926='TaxCred&amp;Subs'!$C$123:$C$127)*($H1926&lt;='TaxCred&amp;Subs'!$C$129),'TaxCred&amp;Subs'!$E$123:$E$127,0))</f>
        <v>0</v>
      </c>
      <c r="R1926" s="171">
        <v>0</v>
      </c>
      <c r="S1926" s="49">
        <v>5</v>
      </c>
      <c r="T1926" s="49" t="s">
        <v>225</v>
      </c>
      <c r="U1926"/>
      <c r="V1926" s="153" t="str">
        <f t="array" ref="V1926">INDEX(xlRTCLNAME,MATCH(1,(xlRTCLENDU=1)*(xlRTCLEQCL=$D1926),0))</f>
        <v>DIST_FA</v>
      </c>
      <c r="W1926" s="153" t="str">
        <f t="array" ref="W1926">INDEX(xlRTCLNAME,MATCH(1,(xlRTCLENDU=2)*(xlRTCLEQCL=$F1926),0))</f>
        <v>CENT_AIR</v>
      </c>
      <c r="X1926" s="153" t="str">
        <f t="array" ref="X1926">INDEX(xlRTTYNAME,MATCH(1,(xlRTTYENDU=1)*(xlRTTYEQCL=$D1926)*(xlRTEQTYPE=$E1926),0))</f>
        <v>DIST_FA4</v>
      </c>
      <c r="Y1926" s="153" t="str">
        <f t="array" ref="Y1926">INDEX(xlRTTYNAME,MATCH(1,(xlRTTYENDU=2)*(xlRTTYEQCL=$F1926)*(xlRTEQTYPE=$G1926),0))</f>
        <v>CENT_AIR4</v>
      </c>
    </row>
    <row r="1927" spans="1:25" s="157" customFormat="1" ht="14.25" customHeight="1" x14ac:dyDescent="0.2">
      <c r="A1927"/>
      <c r="B1927" s="126">
        <v>1</v>
      </c>
      <c r="C1927" s="126">
        <v>2</v>
      </c>
      <c r="D1927" s="126">
        <v>8</v>
      </c>
      <c r="E1927" s="126">
        <v>29</v>
      </c>
      <c r="F1927" s="126">
        <v>2</v>
      </c>
      <c r="G1927" s="126">
        <v>8</v>
      </c>
      <c r="H1927" s="126">
        <v>2016</v>
      </c>
      <c r="I1927" s="159">
        <v>2022</v>
      </c>
      <c r="J1927" s="127">
        <v>1.0864</v>
      </c>
      <c r="K1927" s="127">
        <v>1.0417000000000001</v>
      </c>
      <c r="L1927" s="127">
        <v>0.5786</v>
      </c>
      <c r="M1927" s="127">
        <v>1.1228</v>
      </c>
      <c r="N1927" s="127">
        <v>1.1156999999999999</v>
      </c>
      <c r="O1927" s="127">
        <v>1.0538000000000001</v>
      </c>
      <c r="P1927" s="126">
        <v>3776</v>
      </c>
      <c r="Q1927" s="128">
        <f t="array" ref="Q1927">SUM(IF(($S1927&gt;=4)*($C1927='TaxCred&amp;Subs'!$D$123:$D$127)*($H1927='TaxCred&amp;Subs'!$C$123:$C$127)*($H1927&lt;='TaxCred&amp;Subs'!$C$129),'TaxCred&amp;Subs'!$E$123:$E$127,0))</f>
        <v>0</v>
      </c>
      <c r="R1927" s="174">
        <v>0</v>
      </c>
      <c r="S1927" s="126">
        <v>5</v>
      </c>
      <c r="T1927" s="126" t="s">
        <v>225</v>
      </c>
      <c r="U1927"/>
      <c r="V1927" s="153" t="str">
        <f t="array" ref="V1927">INDEX(xlRTCLNAME,MATCH(1,(xlRTCLENDU=1)*(xlRTCLEQCL=$D1927),0))</f>
        <v>DIST_RAD</v>
      </c>
      <c r="W1927" s="153" t="str">
        <f t="array" ref="W1927">INDEX(xlRTCLNAME,MATCH(1,(xlRTCLENDU=2)*(xlRTCLEQCL=$F1927),0))</f>
        <v>CENT_AIR</v>
      </c>
      <c r="X1927" s="153" t="str">
        <f t="array" ref="X1927">INDEX(xlRTTYNAME,MATCH(1,(xlRTTYENDU=1)*(xlRTTYEQCL=$D1927)*(xlRTEQTYPE=$E1927),0))</f>
        <v>DIST_RAD4</v>
      </c>
      <c r="Y1927" s="153" t="str">
        <f t="array" ref="Y1927">INDEX(xlRTTYNAME,MATCH(1,(xlRTTYENDU=2)*(xlRTTYEQCL=$F1927)*(xlRTEQTYPE=$G1927),0))</f>
        <v>CENT_AIR4</v>
      </c>
    </row>
    <row r="1928" spans="1:25" s="157" customFormat="1" ht="14.25" customHeight="1" x14ac:dyDescent="0.2">
      <c r="A1928"/>
      <c r="B1928" s="49">
        <v>1</v>
      </c>
      <c r="C1928" s="49">
        <v>2</v>
      </c>
      <c r="D1928" s="49">
        <v>8</v>
      </c>
      <c r="E1928" s="49">
        <v>29</v>
      </c>
      <c r="F1928" s="49">
        <v>2</v>
      </c>
      <c r="G1928" s="49">
        <v>8</v>
      </c>
      <c r="H1928" s="49">
        <v>2023</v>
      </c>
      <c r="I1928" s="49">
        <v>2032</v>
      </c>
      <c r="J1928" s="50">
        <v>1.0864</v>
      </c>
      <c r="K1928" s="50">
        <v>1.0417000000000001</v>
      </c>
      <c r="L1928" s="50">
        <v>0.5786</v>
      </c>
      <c r="M1928" s="50">
        <v>1.1228</v>
      </c>
      <c r="N1928" s="50">
        <v>1.1156999999999999</v>
      </c>
      <c r="O1928" s="50">
        <v>1.0538000000000001</v>
      </c>
      <c r="P1928" s="49">
        <v>3776</v>
      </c>
      <c r="Q1928" s="51">
        <f t="array" ref="Q1928">SUM(IF(($S1928&gt;=4)*($C1928='TaxCred&amp;Subs'!$D$123:$D$127)*($H1928='TaxCred&amp;Subs'!$C$123:$C$127)*($H1928&lt;='TaxCred&amp;Subs'!$C$129),'TaxCred&amp;Subs'!$E$123:$E$127,0))</f>
        <v>500</v>
      </c>
      <c r="R1928" s="171">
        <v>0</v>
      </c>
      <c r="S1928" s="49">
        <v>5</v>
      </c>
      <c r="T1928" s="49" t="s">
        <v>225</v>
      </c>
      <c r="U1928"/>
      <c r="V1928" s="153" t="str">
        <f t="array" ref="V1928">INDEX(xlRTCLNAME,MATCH(1,(xlRTCLENDU=1)*(xlRTCLEQCL=$D1928),0))</f>
        <v>DIST_RAD</v>
      </c>
      <c r="W1928" s="153" t="str">
        <f t="array" ref="W1928">INDEX(xlRTCLNAME,MATCH(1,(xlRTCLENDU=2)*(xlRTCLEQCL=$F1928),0))</f>
        <v>CENT_AIR</v>
      </c>
      <c r="X1928" s="153" t="str">
        <f t="array" ref="X1928">INDEX(xlRTTYNAME,MATCH(1,(xlRTTYENDU=1)*(xlRTTYEQCL=$D1928)*(xlRTEQTYPE=$E1928),0))</f>
        <v>DIST_RAD4</v>
      </c>
      <c r="Y1928" s="153" t="str">
        <f t="array" ref="Y1928">INDEX(xlRTTYNAME,MATCH(1,(xlRTTYENDU=2)*(xlRTTYEQCL=$F1928)*(xlRTEQTYPE=$G1928),0))</f>
        <v>CENT_AIR4</v>
      </c>
    </row>
    <row r="1929" spans="1:25" s="157" customFormat="1" ht="14.25" customHeight="1" x14ac:dyDescent="0.2">
      <c r="A1929"/>
      <c r="B1929" s="49">
        <v>1</v>
      </c>
      <c r="C1929" s="49">
        <v>2</v>
      </c>
      <c r="D1929" s="49">
        <v>8</v>
      </c>
      <c r="E1929" s="49">
        <v>29</v>
      </c>
      <c r="F1929" s="49">
        <v>2</v>
      </c>
      <c r="G1929" s="49">
        <v>8</v>
      </c>
      <c r="H1929" s="49">
        <v>2033</v>
      </c>
      <c r="I1929" s="49">
        <v>2050</v>
      </c>
      <c r="J1929" s="50">
        <v>1.0864</v>
      </c>
      <c r="K1929" s="50">
        <v>1.0417000000000001</v>
      </c>
      <c r="L1929" s="50">
        <v>0.5786</v>
      </c>
      <c r="M1929" s="50">
        <v>1.1228</v>
      </c>
      <c r="N1929" s="50">
        <v>1.1156999999999999</v>
      </c>
      <c r="O1929" s="50">
        <v>1.0538000000000001</v>
      </c>
      <c r="P1929" s="49">
        <v>3776</v>
      </c>
      <c r="Q1929" s="51">
        <f t="array" ref="Q1929">SUM(IF(($S1929&gt;=4)*($C1929='TaxCred&amp;Subs'!$D$123:$D$127)*($H1929='TaxCred&amp;Subs'!$C$123:$C$127)*($H1929&lt;='TaxCred&amp;Subs'!$C$129),'TaxCred&amp;Subs'!$E$123:$E$127,0))</f>
        <v>0</v>
      </c>
      <c r="R1929" s="171">
        <v>0</v>
      </c>
      <c r="S1929" s="49">
        <v>5</v>
      </c>
      <c r="T1929" s="49" t="s">
        <v>225</v>
      </c>
      <c r="U1929"/>
      <c r="V1929" s="153" t="str">
        <f t="array" ref="V1929">INDEX(xlRTCLNAME,MATCH(1,(xlRTCLENDU=1)*(xlRTCLEQCL=$D1929),0))</f>
        <v>DIST_RAD</v>
      </c>
      <c r="W1929" s="153" t="str">
        <f t="array" ref="W1929">INDEX(xlRTCLNAME,MATCH(1,(xlRTCLENDU=2)*(xlRTCLEQCL=$F1929),0))</f>
        <v>CENT_AIR</v>
      </c>
      <c r="X1929" s="153" t="str">
        <f t="array" ref="X1929">INDEX(xlRTTYNAME,MATCH(1,(xlRTTYENDU=1)*(xlRTTYEQCL=$D1929)*(xlRTEQTYPE=$E1929),0))</f>
        <v>DIST_RAD4</v>
      </c>
      <c r="Y1929" s="153" t="str">
        <f t="array" ref="Y1929">INDEX(xlRTTYNAME,MATCH(1,(xlRTTYENDU=2)*(xlRTTYEQCL=$F1929)*(xlRTEQTYPE=$G1929),0))</f>
        <v>CENT_AIR4</v>
      </c>
    </row>
    <row r="1930" spans="1:25" s="157" customFormat="1" ht="14.25" customHeight="1" x14ac:dyDescent="0.2">
      <c r="A1930"/>
      <c r="B1930" s="126">
        <v>2</v>
      </c>
      <c r="C1930" s="126">
        <v>2</v>
      </c>
      <c r="D1930" s="126">
        <v>8</v>
      </c>
      <c r="E1930" s="126">
        <v>29</v>
      </c>
      <c r="F1930" s="126">
        <v>2</v>
      </c>
      <c r="G1930" s="126">
        <v>8</v>
      </c>
      <c r="H1930" s="126">
        <v>2016</v>
      </c>
      <c r="I1930" s="159">
        <v>2022</v>
      </c>
      <c r="J1930" s="127">
        <v>1.0891</v>
      </c>
      <c r="K1930" s="127">
        <v>1.0713999999999999</v>
      </c>
      <c r="L1930" s="127">
        <v>0.55879999999999996</v>
      </c>
      <c r="M1930" s="127">
        <v>1.1416999999999999</v>
      </c>
      <c r="N1930" s="127">
        <v>1.1254999999999999</v>
      </c>
      <c r="O1930" s="127">
        <v>1.0538000000000001</v>
      </c>
      <c r="P1930" s="126">
        <v>3572</v>
      </c>
      <c r="Q1930" s="128">
        <f t="array" ref="Q1930">SUM(IF(($S1930&gt;=4)*($C1930='TaxCred&amp;Subs'!$D$123:$D$127)*($H1930='TaxCred&amp;Subs'!$C$123:$C$127)*($H1930&lt;='TaxCred&amp;Subs'!$C$129),'TaxCred&amp;Subs'!$E$123:$E$127,0))</f>
        <v>0</v>
      </c>
      <c r="R1930" s="174">
        <v>0</v>
      </c>
      <c r="S1930" s="126">
        <v>5</v>
      </c>
      <c r="T1930" s="126" t="s">
        <v>225</v>
      </c>
      <c r="U1930"/>
      <c r="V1930" s="153" t="str">
        <f t="array" ref="V1930">INDEX(xlRTCLNAME,MATCH(1,(xlRTCLENDU=1)*(xlRTCLEQCL=$D1930),0))</f>
        <v>DIST_RAD</v>
      </c>
      <c r="W1930" s="153" t="str">
        <f t="array" ref="W1930">INDEX(xlRTCLNAME,MATCH(1,(xlRTCLENDU=2)*(xlRTCLEQCL=$F1930),0))</f>
        <v>CENT_AIR</v>
      </c>
      <c r="X1930" s="153" t="str">
        <f t="array" ref="X1930">INDEX(xlRTTYNAME,MATCH(1,(xlRTTYENDU=1)*(xlRTTYEQCL=$D1930)*(xlRTEQTYPE=$E1930),0))</f>
        <v>DIST_RAD4</v>
      </c>
      <c r="Y1930" s="153" t="str">
        <f t="array" ref="Y1930">INDEX(xlRTTYNAME,MATCH(1,(xlRTTYENDU=2)*(xlRTTYEQCL=$F1930)*(xlRTEQTYPE=$G1930),0))</f>
        <v>CENT_AIR4</v>
      </c>
    </row>
    <row r="1931" spans="1:25" s="157" customFormat="1" ht="14.25" customHeight="1" x14ac:dyDescent="0.2">
      <c r="A1931"/>
      <c r="B1931" s="49">
        <v>2</v>
      </c>
      <c r="C1931" s="49">
        <v>2</v>
      </c>
      <c r="D1931" s="49">
        <v>8</v>
      </c>
      <c r="E1931" s="49">
        <v>29</v>
      </c>
      <c r="F1931" s="49">
        <v>2</v>
      </c>
      <c r="G1931" s="49">
        <v>8</v>
      </c>
      <c r="H1931" s="49">
        <v>2023</v>
      </c>
      <c r="I1931" s="49">
        <v>2032</v>
      </c>
      <c r="J1931" s="50">
        <v>1.0891</v>
      </c>
      <c r="K1931" s="50">
        <v>1.0713999999999999</v>
      </c>
      <c r="L1931" s="50">
        <v>0.55879999999999996</v>
      </c>
      <c r="M1931" s="50">
        <v>1.1416999999999999</v>
      </c>
      <c r="N1931" s="50">
        <v>1.1254999999999999</v>
      </c>
      <c r="O1931" s="50">
        <v>1.0538000000000001</v>
      </c>
      <c r="P1931" s="49">
        <v>3572</v>
      </c>
      <c r="Q1931" s="51">
        <f t="array" ref="Q1931">SUM(IF(($S1931&gt;=4)*($C1931='TaxCred&amp;Subs'!$D$123:$D$127)*($H1931='TaxCred&amp;Subs'!$C$123:$C$127)*($H1931&lt;='TaxCred&amp;Subs'!$C$129),'TaxCred&amp;Subs'!$E$123:$E$127,0))</f>
        <v>500</v>
      </c>
      <c r="R1931" s="171">
        <v>0</v>
      </c>
      <c r="S1931" s="49">
        <v>5</v>
      </c>
      <c r="T1931" s="49" t="s">
        <v>225</v>
      </c>
      <c r="U1931"/>
      <c r="V1931" s="153" t="str">
        <f t="array" ref="V1931">INDEX(xlRTCLNAME,MATCH(1,(xlRTCLENDU=1)*(xlRTCLEQCL=$D1931),0))</f>
        <v>DIST_RAD</v>
      </c>
      <c r="W1931" s="153" t="str">
        <f t="array" ref="W1931">INDEX(xlRTCLNAME,MATCH(1,(xlRTCLENDU=2)*(xlRTCLEQCL=$F1931),0))</f>
        <v>CENT_AIR</v>
      </c>
      <c r="X1931" s="153" t="str">
        <f t="array" ref="X1931">INDEX(xlRTTYNAME,MATCH(1,(xlRTTYENDU=1)*(xlRTTYEQCL=$D1931)*(xlRTEQTYPE=$E1931),0))</f>
        <v>DIST_RAD4</v>
      </c>
      <c r="Y1931" s="153" t="str">
        <f t="array" ref="Y1931">INDEX(xlRTTYNAME,MATCH(1,(xlRTTYENDU=2)*(xlRTTYEQCL=$F1931)*(xlRTEQTYPE=$G1931),0))</f>
        <v>CENT_AIR4</v>
      </c>
    </row>
    <row r="1932" spans="1:25" s="157" customFormat="1" ht="14.25" customHeight="1" x14ac:dyDescent="0.2">
      <c r="A1932"/>
      <c r="B1932" s="49">
        <v>2</v>
      </c>
      <c r="C1932" s="49">
        <v>2</v>
      </c>
      <c r="D1932" s="49">
        <v>8</v>
      </c>
      <c r="E1932" s="49">
        <v>29</v>
      </c>
      <c r="F1932" s="49">
        <v>2</v>
      </c>
      <c r="G1932" s="49">
        <v>8</v>
      </c>
      <c r="H1932" s="49">
        <v>2033</v>
      </c>
      <c r="I1932" s="49">
        <v>2050</v>
      </c>
      <c r="J1932" s="50">
        <v>1.0891</v>
      </c>
      <c r="K1932" s="50">
        <v>1.0713999999999999</v>
      </c>
      <c r="L1932" s="50">
        <v>0.55879999999999996</v>
      </c>
      <c r="M1932" s="50">
        <v>1.1416999999999999</v>
      </c>
      <c r="N1932" s="50">
        <v>1.1254999999999999</v>
      </c>
      <c r="O1932" s="50">
        <v>1.0538000000000001</v>
      </c>
      <c r="P1932" s="49">
        <v>3572</v>
      </c>
      <c r="Q1932" s="51">
        <f t="array" ref="Q1932">SUM(IF(($S1932&gt;=4)*($C1932='TaxCred&amp;Subs'!$D$123:$D$127)*($H1932='TaxCred&amp;Subs'!$C$123:$C$127)*($H1932&lt;='TaxCred&amp;Subs'!$C$129),'TaxCred&amp;Subs'!$E$123:$E$127,0))</f>
        <v>0</v>
      </c>
      <c r="R1932" s="171">
        <v>0</v>
      </c>
      <c r="S1932" s="49">
        <v>5</v>
      </c>
      <c r="T1932" s="49" t="s">
        <v>225</v>
      </c>
      <c r="U1932"/>
      <c r="V1932" s="153" t="str">
        <f t="array" ref="V1932">INDEX(xlRTCLNAME,MATCH(1,(xlRTCLENDU=1)*(xlRTCLEQCL=$D1932),0))</f>
        <v>DIST_RAD</v>
      </c>
      <c r="W1932" s="153" t="str">
        <f t="array" ref="W1932">INDEX(xlRTCLNAME,MATCH(1,(xlRTCLENDU=2)*(xlRTCLEQCL=$F1932),0))</f>
        <v>CENT_AIR</v>
      </c>
      <c r="X1932" s="153" t="str">
        <f t="array" ref="X1932">INDEX(xlRTTYNAME,MATCH(1,(xlRTTYENDU=1)*(xlRTTYEQCL=$D1932)*(xlRTEQTYPE=$E1932),0))</f>
        <v>DIST_RAD4</v>
      </c>
      <c r="Y1932" s="153" t="str">
        <f t="array" ref="Y1932">INDEX(xlRTTYNAME,MATCH(1,(xlRTTYENDU=2)*(xlRTTYEQCL=$F1932)*(xlRTEQTYPE=$G1932),0))</f>
        <v>CENT_AIR4</v>
      </c>
    </row>
    <row r="1933" spans="1:25" s="157" customFormat="1" ht="14.25" customHeight="1" x14ac:dyDescent="0.2">
      <c r="A1933"/>
      <c r="B1933" s="126">
        <v>3</v>
      </c>
      <c r="C1933" s="126">
        <v>2</v>
      </c>
      <c r="D1933" s="126">
        <v>8</v>
      </c>
      <c r="E1933" s="126">
        <v>29</v>
      </c>
      <c r="F1933" s="126">
        <v>2</v>
      </c>
      <c r="G1933" s="126">
        <v>8</v>
      </c>
      <c r="H1933" s="126">
        <v>2016</v>
      </c>
      <c r="I1933" s="159">
        <v>2022</v>
      </c>
      <c r="J1933" s="127">
        <v>1.0962000000000001</v>
      </c>
      <c r="K1933" s="127">
        <v>1.0345</v>
      </c>
      <c r="L1933" s="127">
        <v>0.5524</v>
      </c>
      <c r="M1933" s="127">
        <v>1.0310999999999999</v>
      </c>
      <c r="N1933" s="127">
        <v>1.0417000000000001</v>
      </c>
      <c r="O1933" s="127">
        <v>1.0538000000000001</v>
      </c>
      <c r="P1933" s="126">
        <v>3206</v>
      </c>
      <c r="Q1933" s="128">
        <f t="array" ref="Q1933">SUM(IF(($S1933&gt;=4)*($C1933='TaxCred&amp;Subs'!$D$123:$D$127)*($H1933='TaxCred&amp;Subs'!$C$123:$C$127)*($H1933&lt;='TaxCred&amp;Subs'!$C$129),'TaxCred&amp;Subs'!$E$123:$E$127,0))</f>
        <v>0</v>
      </c>
      <c r="R1933" s="174">
        <v>0</v>
      </c>
      <c r="S1933" s="126">
        <v>5</v>
      </c>
      <c r="T1933" s="126" t="s">
        <v>225</v>
      </c>
      <c r="U1933"/>
      <c r="V1933" s="153" t="str">
        <f t="array" ref="V1933">INDEX(xlRTCLNAME,MATCH(1,(xlRTCLENDU=1)*(xlRTCLEQCL=$D1933),0))</f>
        <v>DIST_RAD</v>
      </c>
      <c r="W1933" s="153" t="str">
        <f t="array" ref="W1933">INDEX(xlRTCLNAME,MATCH(1,(xlRTCLENDU=2)*(xlRTCLEQCL=$F1933),0))</f>
        <v>CENT_AIR</v>
      </c>
      <c r="X1933" s="153" t="str">
        <f t="array" ref="X1933">INDEX(xlRTTYNAME,MATCH(1,(xlRTTYENDU=1)*(xlRTTYEQCL=$D1933)*(xlRTEQTYPE=$E1933),0))</f>
        <v>DIST_RAD4</v>
      </c>
      <c r="Y1933" s="153" t="str">
        <f t="array" ref="Y1933">INDEX(xlRTTYNAME,MATCH(1,(xlRTTYENDU=2)*(xlRTTYEQCL=$F1933)*(xlRTEQTYPE=$G1933),0))</f>
        <v>CENT_AIR4</v>
      </c>
    </row>
    <row r="1934" spans="1:25" s="157" customFormat="1" ht="14.25" customHeight="1" x14ac:dyDescent="0.2">
      <c r="A1934"/>
      <c r="B1934" s="49">
        <v>3</v>
      </c>
      <c r="C1934" s="49">
        <v>2</v>
      </c>
      <c r="D1934" s="49">
        <v>8</v>
      </c>
      <c r="E1934" s="49">
        <v>29</v>
      </c>
      <c r="F1934" s="49">
        <v>2</v>
      </c>
      <c r="G1934" s="49">
        <v>8</v>
      </c>
      <c r="H1934" s="49">
        <v>2023</v>
      </c>
      <c r="I1934" s="49">
        <v>2032</v>
      </c>
      <c r="J1934" s="50">
        <v>1.0962000000000001</v>
      </c>
      <c r="K1934" s="50">
        <v>1.0345</v>
      </c>
      <c r="L1934" s="50">
        <v>0.5524</v>
      </c>
      <c r="M1934" s="50">
        <v>1.0310999999999999</v>
      </c>
      <c r="N1934" s="50">
        <v>1.0417000000000001</v>
      </c>
      <c r="O1934" s="50">
        <v>1.0538000000000001</v>
      </c>
      <c r="P1934" s="49">
        <v>3206</v>
      </c>
      <c r="Q1934" s="51">
        <f t="array" ref="Q1934">SUM(IF(($S1934&gt;=4)*($C1934='TaxCred&amp;Subs'!$D$123:$D$127)*($H1934='TaxCred&amp;Subs'!$C$123:$C$127)*($H1934&lt;='TaxCred&amp;Subs'!$C$129),'TaxCred&amp;Subs'!$E$123:$E$127,0))</f>
        <v>500</v>
      </c>
      <c r="R1934" s="171">
        <v>0</v>
      </c>
      <c r="S1934" s="49">
        <v>5</v>
      </c>
      <c r="T1934" s="49" t="s">
        <v>225</v>
      </c>
      <c r="U1934"/>
      <c r="V1934" s="153" t="str">
        <f t="array" ref="V1934">INDEX(xlRTCLNAME,MATCH(1,(xlRTCLENDU=1)*(xlRTCLEQCL=$D1934),0))</f>
        <v>DIST_RAD</v>
      </c>
      <c r="W1934" s="153" t="str">
        <f t="array" ref="W1934">INDEX(xlRTCLNAME,MATCH(1,(xlRTCLENDU=2)*(xlRTCLEQCL=$F1934),0))</f>
        <v>CENT_AIR</v>
      </c>
      <c r="X1934" s="153" t="str">
        <f t="array" ref="X1934">INDEX(xlRTTYNAME,MATCH(1,(xlRTTYENDU=1)*(xlRTTYEQCL=$D1934)*(xlRTEQTYPE=$E1934),0))</f>
        <v>DIST_RAD4</v>
      </c>
      <c r="Y1934" s="153" t="str">
        <f t="array" ref="Y1934">INDEX(xlRTTYNAME,MATCH(1,(xlRTTYENDU=2)*(xlRTTYEQCL=$F1934)*(xlRTEQTYPE=$G1934),0))</f>
        <v>CENT_AIR4</v>
      </c>
    </row>
    <row r="1935" spans="1:25" s="157" customFormat="1" ht="14.25" customHeight="1" x14ac:dyDescent="0.2">
      <c r="A1935"/>
      <c r="B1935" s="49">
        <v>3</v>
      </c>
      <c r="C1935" s="49">
        <v>2</v>
      </c>
      <c r="D1935" s="49">
        <v>8</v>
      </c>
      <c r="E1935" s="49">
        <v>29</v>
      </c>
      <c r="F1935" s="49">
        <v>2</v>
      </c>
      <c r="G1935" s="49">
        <v>8</v>
      </c>
      <c r="H1935" s="49">
        <v>2033</v>
      </c>
      <c r="I1935" s="49">
        <v>2050</v>
      </c>
      <c r="J1935" s="50">
        <v>1.0962000000000001</v>
      </c>
      <c r="K1935" s="50">
        <v>1.0345</v>
      </c>
      <c r="L1935" s="50">
        <v>0.5524</v>
      </c>
      <c r="M1935" s="50">
        <v>1.0310999999999999</v>
      </c>
      <c r="N1935" s="50">
        <v>1.0417000000000001</v>
      </c>
      <c r="O1935" s="50">
        <v>1.0538000000000001</v>
      </c>
      <c r="P1935" s="49">
        <v>3206</v>
      </c>
      <c r="Q1935" s="51">
        <f t="array" ref="Q1935">SUM(IF(($S1935&gt;=4)*($C1935='TaxCred&amp;Subs'!$D$123:$D$127)*($H1935='TaxCred&amp;Subs'!$C$123:$C$127)*($H1935&lt;='TaxCred&amp;Subs'!$C$129),'TaxCred&amp;Subs'!$E$123:$E$127,0))</f>
        <v>0</v>
      </c>
      <c r="R1935" s="171">
        <v>0</v>
      </c>
      <c r="S1935" s="49">
        <v>5</v>
      </c>
      <c r="T1935" s="49" t="s">
        <v>225</v>
      </c>
      <c r="U1935"/>
      <c r="V1935" s="153" t="str">
        <f t="array" ref="V1935">INDEX(xlRTCLNAME,MATCH(1,(xlRTCLENDU=1)*(xlRTCLEQCL=$D1935),0))</f>
        <v>DIST_RAD</v>
      </c>
      <c r="W1935" s="153" t="str">
        <f t="array" ref="W1935">INDEX(xlRTCLNAME,MATCH(1,(xlRTCLENDU=2)*(xlRTCLEQCL=$F1935),0))</f>
        <v>CENT_AIR</v>
      </c>
      <c r="X1935" s="153" t="str">
        <f t="array" ref="X1935">INDEX(xlRTTYNAME,MATCH(1,(xlRTTYENDU=1)*(xlRTTYEQCL=$D1935)*(xlRTEQTYPE=$E1935),0))</f>
        <v>DIST_RAD4</v>
      </c>
      <c r="Y1935" s="153" t="str">
        <f t="array" ref="Y1935">INDEX(xlRTTYNAME,MATCH(1,(xlRTTYENDU=2)*(xlRTTYEQCL=$F1935)*(xlRTEQTYPE=$G1935),0))</f>
        <v>CENT_AIR4</v>
      </c>
    </row>
    <row r="1936" spans="1:25" s="157" customFormat="1" ht="14.25" customHeight="1" x14ac:dyDescent="0.2">
      <c r="A1936"/>
      <c r="B1936" s="126">
        <v>4</v>
      </c>
      <c r="C1936" s="126">
        <v>2</v>
      </c>
      <c r="D1936" s="126">
        <v>8</v>
      </c>
      <c r="E1936" s="126">
        <v>29</v>
      </c>
      <c r="F1936" s="126">
        <v>2</v>
      </c>
      <c r="G1936" s="126">
        <v>8</v>
      </c>
      <c r="H1936" s="126">
        <v>2016</v>
      </c>
      <c r="I1936" s="159">
        <v>2022</v>
      </c>
      <c r="J1936" s="127">
        <v>1.1024</v>
      </c>
      <c r="K1936" s="127">
        <v>1.0435000000000001</v>
      </c>
      <c r="L1936" s="127">
        <v>0.6149</v>
      </c>
      <c r="M1936" s="127">
        <v>1.1499999999999999</v>
      </c>
      <c r="N1936" s="127">
        <v>1.1678999999999999</v>
      </c>
      <c r="O1936" s="127">
        <v>1.0538000000000001</v>
      </c>
      <c r="P1936" s="126">
        <v>2669</v>
      </c>
      <c r="Q1936" s="128">
        <f t="array" ref="Q1936">SUM(IF(($S1936&gt;=4)*($C1936='TaxCred&amp;Subs'!$D$123:$D$127)*($H1936='TaxCred&amp;Subs'!$C$123:$C$127)*($H1936&lt;='TaxCred&amp;Subs'!$C$129),'TaxCred&amp;Subs'!$E$123:$E$127,0))</f>
        <v>0</v>
      </c>
      <c r="R1936" s="174">
        <v>0</v>
      </c>
      <c r="S1936" s="126">
        <v>5</v>
      </c>
      <c r="T1936" s="126" t="s">
        <v>225</v>
      </c>
      <c r="U1936"/>
      <c r="V1936" s="153" t="str">
        <f t="array" ref="V1936">INDEX(xlRTCLNAME,MATCH(1,(xlRTCLENDU=1)*(xlRTCLEQCL=$D1936),0))</f>
        <v>DIST_RAD</v>
      </c>
      <c r="W1936" s="153" t="str">
        <f t="array" ref="W1936">INDEX(xlRTCLNAME,MATCH(1,(xlRTCLENDU=2)*(xlRTCLEQCL=$F1936),0))</f>
        <v>CENT_AIR</v>
      </c>
      <c r="X1936" s="153" t="str">
        <f t="array" ref="X1936">INDEX(xlRTTYNAME,MATCH(1,(xlRTTYENDU=1)*(xlRTTYEQCL=$D1936)*(xlRTEQTYPE=$E1936),0))</f>
        <v>DIST_RAD4</v>
      </c>
      <c r="Y1936" s="153" t="str">
        <f t="array" ref="Y1936">INDEX(xlRTTYNAME,MATCH(1,(xlRTTYENDU=2)*(xlRTTYEQCL=$F1936)*(xlRTEQTYPE=$G1936),0))</f>
        <v>CENT_AIR4</v>
      </c>
    </row>
    <row r="1937" spans="1:25" s="157" customFormat="1" ht="14.25" customHeight="1" x14ac:dyDescent="0.2">
      <c r="A1937"/>
      <c r="B1937" s="49">
        <v>4</v>
      </c>
      <c r="C1937" s="49">
        <v>2</v>
      </c>
      <c r="D1937" s="49">
        <v>8</v>
      </c>
      <c r="E1937" s="49">
        <v>29</v>
      </c>
      <c r="F1937" s="49">
        <v>2</v>
      </c>
      <c r="G1937" s="49">
        <v>8</v>
      </c>
      <c r="H1937" s="49">
        <v>2023</v>
      </c>
      <c r="I1937" s="49">
        <v>2032</v>
      </c>
      <c r="J1937" s="50">
        <v>1.1024</v>
      </c>
      <c r="K1937" s="50">
        <v>1.0435000000000001</v>
      </c>
      <c r="L1937" s="50">
        <v>0.6149</v>
      </c>
      <c r="M1937" s="50">
        <v>1.1499999999999999</v>
      </c>
      <c r="N1937" s="50">
        <v>1.1678999999999999</v>
      </c>
      <c r="O1937" s="50">
        <v>1.0538000000000001</v>
      </c>
      <c r="P1937" s="49">
        <v>2669</v>
      </c>
      <c r="Q1937" s="51">
        <f t="array" ref="Q1937">SUM(IF(($S1937&gt;=4)*($C1937='TaxCred&amp;Subs'!$D$123:$D$127)*($H1937='TaxCred&amp;Subs'!$C$123:$C$127)*($H1937&lt;='TaxCred&amp;Subs'!$C$129),'TaxCred&amp;Subs'!$E$123:$E$127,0))</f>
        <v>500</v>
      </c>
      <c r="R1937" s="171">
        <v>0</v>
      </c>
      <c r="S1937" s="49">
        <v>5</v>
      </c>
      <c r="T1937" s="49" t="s">
        <v>225</v>
      </c>
      <c r="U1937"/>
      <c r="V1937" s="153" t="str">
        <f t="array" ref="V1937">INDEX(xlRTCLNAME,MATCH(1,(xlRTCLENDU=1)*(xlRTCLEQCL=$D1937),0))</f>
        <v>DIST_RAD</v>
      </c>
      <c r="W1937" s="153" t="str">
        <f t="array" ref="W1937">INDEX(xlRTCLNAME,MATCH(1,(xlRTCLENDU=2)*(xlRTCLEQCL=$F1937),0))</f>
        <v>CENT_AIR</v>
      </c>
      <c r="X1937" s="153" t="str">
        <f t="array" ref="X1937">INDEX(xlRTTYNAME,MATCH(1,(xlRTTYENDU=1)*(xlRTTYEQCL=$D1937)*(xlRTEQTYPE=$E1937),0))</f>
        <v>DIST_RAD4</v>
      </c>
      <c r="Y1937" s="153" t="str">
        <f t="array" ref="Y1937">INDEX(xlRTTYNAME,MATCH(1,(xlRTTYENDU=2)*(xlRTTYEQCL=$F1937)*(xlRTEQTYPE=$G1937),0))</f>
        <v>CENT_AIR4</v>
      </c>
    </row>
    <row r="1938" spans="1:25" s="157" customFormat="1" ht="14.25" customHeight="1" x14ac:dyDescent="0.2">
      <c r="A1938"/>
      <c r="B1938" s="49">
        <v>4</v>
      </c>
      <c r="C1938" s="49">
        <v>2</v>
      </c>
      <c r="D1938" s="49">
        <v>8</v>
      </c>
      <c r="E1938" s="49">
        <v>29</v>
      </c>
      <c r="F1938" s="49">
        <v>2</v>
      </c>
      <c r="G1938" s="49">
        <v>8</v>
      </c>
      <c r="H1938" s="49">
        <v>2033</v>
      </c>
      <c r="I1938" s="49">
        <v>2050</v>
      </c>
      <c r="J1938" s="50">
        <v>1.1024</v>
      </c>
      <c r="K1938" s="50">
        <v>1.0435000000000001</v>
      </c>
      <c r="L1938" s="50">
        <v>0.6149</v>
      </c>
      <c r="M1938" s="50">
        <v>1.1499999999999999</v>
      </c>
      <c r="N1938" s="50">
        <v>1.1678999999999999</v>
      </c>
      <c r="O1938" s="50">
        <v>1.0538000000000001</v>
      </c>
      <c r="P1938" s="49">
        <v>2669</v>
      </c>
      <c r="Q1938" s="51">
        <f t="array" ref="Q1938">SUM(IF(($S1938&gt;=4)*($C1938='TaxCred&amp;Subs'!$D$123:$D$127)*($H1938='TaxCred&amp;Subs'!$C$123:$C$127)*($H1938&lt;='TaxCred&amp;Subs'!$C$129),'TaxCred&amp;Subs'!$E$123:$E$127,0))</f>
        <v>0</v>
      </c>
      <c r="R1938" s="171">
        <v>0</v>
      </c>
      <c r="S1938" s="49">
        <v>5</v>
      </c>
      <c r="T1938" s="49" t="s">
        <v>225</v>
      </c>
      <c r="U1938"/>
      <c r="V1938" s="153" t="str">
        <f t="array" ref="V1938">INDEX(xlRTCLNAME,MATCH(1,(xlRTCLENDU=1)*(xlRTCLEQCL=$D1938),0))</f>
        <v>DIST_RAD</v>
      </c>
      <c r="W1938" s="153" t="str">
        <f t="array" ref="W1938">INDEX(xlRTCLNAME,MATCH(1,(xlRTCLENDU=2)*(xlRTCLEQCL=$F1938),0))</f>
        <v>CENT_AIR</v>
      </c>
      <c r="X1938" s="153" t="str">
        <f t="array" ref="X1938">INDEX(xlRTTYNAME,MATCH(1,(xlRTTYENDU=1)*(xlRTTYEQCL=$D1938)*(xlRTEQTYPE=$E1938),0))</f>
        <v>DIST_RAD4</v>
      </c>
      <c r="Y1938" s="153" t="str">
        <f t="array" ref="Y1938">INDEX(xlRTTYNAME,MATCH(1,(xlRTTYENDU=2)*(xlRTTYEQCL=$F1938)*(xlRTEQTYPE=$G1938),0))</f>
        <v>CENT_AIR4</v>
      </c>
    </row>
    <row r="1939" spans="1:25" s="157" customFormat="1" ht="14.25" customHeight="1" x14ac:dyDescent="0.2">
      <c r="A1939"/>
      <c r="B1939" s="126">
        <v>5</v>
      </c>
      <c r="C1939" s="126">
        <v>2</v>
      </c>
      <c r="D1939" s="126">
        <v>8</v>
      </c>
      <c r="E1939" s="126">
        <v>29</v>
      </c>
      <c r="F1939" s="126">
        <v>2</v>
      </c>
      <c r="G1939" s="126">
        <v>8</v>
      </c>
      <c r="H1939" s="126">
        <v>2016</v>
      </c>
      <c r="I1939" s="159">
        <v>2022</v>
      </c>
      <c r="J1939" s="127">
        <v>1.03</v>
      </c>
      <c r="K1939" s="127">
        <v>1.03</v>
      </c>
      <c r="L1939" s="127">
        <v>0.44379999999999997</v>
      </c>
      <c r="M1939" s="127">
        <v>1.0314000000000001</v>
      </c>
      <c r="N1939" s="127">
        <v>1.3003</v>
      </c>
      <c r="O1939" s="127">
        <v>1.0538000000000001</v>
      </c>
      <c r="P1939" s="126">
        <v>2401</v>
      </c>
      <c r="Q1939" s="128">
        <f t="array" ref="Q1939">SUM(IF(($S1939&gt;=4)*($C1939='TaxCred&amp;Subs'!$D$123:$D$127)*($H1939='TaxCred&amp;Subs'!$C$123:$C$127)*($H1939&lt;='TaxCred&amp;Subs'!$C$129),'TaxCred&amp;Subs'!$E$123:$E$127,0))</f>
        <v>0</v>
      </c>
      <c r="R1939" s="174">
        <v>0</v>
      </c>
      <c r="S1939" s="126">
        <v>5</v>
      </c>
      <c r="T1939" s="126" t="s">
        <v>225</v>
      </c>
      <c r="U1939"/>
      <c r="V1939" s="153" t="str">
        <f t="array" ref="V1939">INDEX(xlRTCLNAME,MATCH(1,(xlRTCLENDU=1)*(xlRTCLEQCL=$D1939),0))</f>
        <v>DIST_RAD</v>
      </c>
      <c r="W1939" s="153" t="str">
        <f t="array" ref="W1939">INDEX(xlRTCLNAME,MATCH(1,(xlRTCLENDU=2)*(xlRTCLEQCL=$F1939),0))</f>
        <v>CENT_AIR</v>
      </c>
      <c r="X1939" s="153" t="str">
        <f t="array" ref="X1939">INDEX(xlRTTYNAME,MATCH(1,(xlRTTYENDU=1)*(xlRTTYEQCL=$D1939)*(xlRTEQTYPE=$E1939),0))</f>
        <v>DIST_RAD4</v>
      </c>
      <c r="Y1939" s="153" t="str">
        <f t="array" ref="Y1939">INDEX(xlRTTYNAME,MATCH(1,(xlRTTYENDU=2)*(xlRTTYEQCL=$F1939)*(xlRTEQTYPE=$G1939),0))</f>
        <v>CENT_AIR4</v>
      </c>
    </row>
    <row r="1940" spans="1:25" s="157" customFormat="1" ht="14.25" customHeight="1" x14ac:dyDescent="0.2">
      <c r="A1940"/>
      <c r="B1940" s="49">
        <v>5</v>
      </c>
      <c r="C1940" s="49">
        <v>2</v>
      </c>
      <c r="D1940" s="49">
        <v>8</v>
      </c>
      <c r="E1940" s="49">
        <v>29</v>
      </c>
      <c r="F1940" s="49">
        <v>2</v>
      </c>
      <c r="G1940" s="49">
        <v>8</v>
      </c>
      <c r="H1940" s="49">
        <v>2023</v>
      </c>
      <c r="I1940" s="49">
        <v>2032</v>
      </c>
      <c r="J1940" s="50">
        <v>1.03</v>
      </c>
      <c r="K1940" s="50">
        <v>1.03</v>
      </c>
      <c r="L1940" s="50">
        <v>0.44379999999999997</v>
      </c>
      <c r="M1940" s="50">
        <v>1.0314000000000001</v>
      </c>
      <c r="N1940" s="50">
        <v>1.3003</v>
      </c>
      <c r="O1940" s="50">
        <v>1.0538000000000001</v>
      </c>
      <c r="P1940" s="49">
        <v>2401</v>
      </c>
      <c r="Q1940" s="51">
        <f t="array" ref="Q1940">SUM(IF(($S1940&gt;=4)*($C1940='TaxCred&amp;Subs'!$D$123:$D$127)*($H1940='TaxCred&amp;Subs'!$C$123:$C$127)*($H1940&lt;='TaxCred&amp;Subs'!$C$129),'TaxCred&amp;Subs'!$E$123:$E$127,0))</f>
        <v>500</v>
      </c>
      <c r="R1940" s="171">
        <v>0</v>
      </c>
      <c r="S1940" s="49">
        <v>5</v>
      </c>
      <c r="T1940" s="49" t="s">
        <v>225</v>
      </c>
      <c r="U1940"/>
      <c r="V1940" s="153" t="str">
        <f t="array" ref="V1940">INDEX(xlRTCLNAME,MATCH(1,(xlRTCLENDU=1)*(xlRTCLEQCL=$D1940),0))</f>
        <v>DIST_RAD</v>
      </c>
      <c r="W1940" s="153" t="str">
        <f t="array" ref="W1940">INDEX(xlRTCLNAME,MATCH(1,(xlRTCLENDU=2)*(xlRTCLEQCL=$F1940),0))</f>
        <v>CENT_AIR</v>
      </c>
      <c r="X1940" s="153" t="str">
        <f t="array" ref="X1940">INDEX(xlRTTYNAME,MATCH(1,(xlRTTYENDU=1)*(xlRTTYEQCL=$D1940)*(xlRTEQTYPE=$E1940),0))</f>
        <v>DIST_RAD4</v>
      </c>
      <c r="Y1940" s="153" t="str">
        <f t="array" ref="Y1940">INDEX(xlRTTYNAME,MATCH(1,(xlRTTYENDU=2)*(xlRTTYEQCL=$F1940)*(xlRTEQTYPE=$G1940),0))</f>
        <v>CENT_AIR4</v>
      </c>
    </row>
    <row r="1941" spans="1:25" s="157" customFormat="1" ht="14.25" customHeight="1" x14ac:dyDescent="0.2">
      <c r="A1941"/>
      <c r="B1941" s="49">
        <v>5</v>
      </c>
      <c r="C1941" s="49">
        <v>2</v>
      </c>
      <c r="D1941" s="49">
        <v>8</v>
      </c>
      <c r="E1941" s="49">
        <v>29</v>
      </c>
      <c r="F1941" s="49">
        <v>2</v>
      </c>
      <c r="G1941" s="49">
        <v>8</v>
      </c>
      <c r="H1941" s="49">
        <v>2033</v>
      </c>
      <c r="I1941" s="49">
        <v>2050</v>
      </c>
      <c r="J1941" s="50">
        <v>1.03</v>
      </c>
      <c r="K1941" s="50">
        <v>1.03</v>
      </c>
      <c r="L1941" s="50">
        <v>0.44379999999999997</v>
      </c>
      <c r="M1941" s="50">
        <v>1.0314000000000001</v>
      </c>
      <c r="N1941" s="50">
        <v>1.3003</v>
      </c>
      <c r="O1941" s="50">
        <v>1.0538000000000001</v>
      </c>
      <c r="P1941" s="49">
        <v>2401</v>
      </c>
      <c r="Q1941" s="51">
        <f t="array" ref="Q1941">SUM(IF(($S1941&gt;=4)*($C1941='TaxCred&amp;Subs'!$D$123:$D$127)*($H1941='TaxCred&amp;Subs'!$C$123:$C$127)*($H1941&lt;='TaxCred&amp;Subs'!$C$129),'TaxCred&amp;Subs'!$E$123:$E$127,0))</f>
        <v>0</v>
      </c>
      <c r="R1941" s="171">
        <v>0</v>
      </c>
      <c r="S1941" s="49">
        <v>5</v>
      </c>
      <c r="T1941" s="49" t="s">
        <v>225</v>
      </c>
      <c r="U1941"/>
      <c r="V1941" s="153" t="str">
        <f t="array" ref="V1941">INDEX(xlRTCLNAME,MATCH(1,(xlRTCLENDU=1)*(xlRTCLEQCL=$D1941),0))</f>
        <v>DIST_RAD</v>
      </c>
      <c r="W1941" s="153" t="str">
        <f t="array" ref="W1941">INDEX(xlRTCLNAME,MATCH(1,(xlRTCLENDU=2)*(xlRTCLEQCL=$F1941),0))</f>
        <v>CENT_AIR</v>
      </c>
      <c r="X1941" s="153" t="str">
        <f t="array" ref="X1941">INDEX(xlRTTYNAME,MATCH(1,(xlRTTYENDU=1)*(xlRTTYEQCL=$D1941)*(xlRTEQTYPE=$E1941),0))</f>
        <v>DIST_RAD4</v>
      </c>
      <c r="Y1941" s="153" t="str">
        <f t="array" ref="Y1941">INDEX(xlRTTYNAME,MATCH(1,(xlRTTYENDU=2)*(xlRTTYEQCL=$F1941)*(xlRTEQTYPE=$G1941),0))</f>
        <v>CENT_AIR4</v>
      </c>
    </row>
    <row r="1942" spans="1:25" s="157" customFormat="1" ht="14.25" customHeight="1" x14ac:dyDescent="0.2">
      <c r="A1942"/>
      <c r="B1942" s="126">
        <v>6</v>
      </c>
      <c r="C1942" s="126">
        <v>2</v>
      </c>
      <c r="D1942" s="126">
        <v>8</v>
      </c>
      <c r="E1942" s="126">
        <v>29</v>
      </c>
      <c r="F1942" s="126">
        <v>2</v>
      </c>
      <c r="G1942" s="126">
        <v>8</v>
      </c>
      <c r="H1942" s="126">
        <v>2016</v>
      </c>
      <c r="I1942" s="159">
        <v>2022</v>
      </c>
      <c r="J1942" s="127">
        <v>1.1200000000000001</v>
      </c>
      <c r="K1942" s="127">
        <v>1.0417000000000001</v>
      </c>
      <c r="L1942" s="127">
        <v>0.44379999999999997</v>
      </c>
      <c r="M1942" s="127">
        <v>1.0546</v>
      </c>
      <c r="N1942" s="127">
        <v>1.3656999999999999</v>
      </c>
      <c r="O1942" s="127">
        <v>1.0538000000000001</v>
      </c>
      <c r="P1942" s="126">
        <v>2657</v>
      </c>
      <c r="Q1942" s="128">
        <f t="array" ref="Q1942">SUM(IF(($S1942&gt;=4)*($C1942='TaxCred&amp;Subs'!$D$123:$D$127)*($H1942='TaxCred&amp;Subs'!$C$123:$C$127)*($H1942&lt;='TaxCred&amp;Subs'!$C$129),'TaxCred&amp;Subs'!$E$123:$E$127,0))</f>
        <v>0</v>
      </c>
      <c r="R1942" s="174">
        <v>0</v>
      </c>
      <c r="S1942" s="126">
        <v>5</v>
      </c>
      <c r="T1942" s="126" t="s">
        <v>225</v>
      </c>
      <c r="U1942"/>
      <c r="V1942" s="153" t="str">
        <f t="array" ref="V1942">INDEX(xlRTCLNAME,MATCH(1,(xlRTCLENDU=1)*(xlRTCLEQCL=$D1942),0))</f>
        <v>DIST_RAD</v>
      </c>
      <c r="W1942" s="153" t="str">
        <f t="array" ref="W1942">INDEX(xlRTCLNAME,MATCH(1,(xlRTCLENDU=2)*(xlRTCLEQCL=$F1942),0))</f>
        <v>CENT_AIR</v>
      </c>
      <c r="X1942" s="153" t="str">
        <f t="array" ref="X1942">INDEX(xlRTTYNAME,MATCH(1,(xlRTTYENDU=1)*(xlRTTYEQCL=$D1942)*(xlRTEQTYPE=$E1942),0))</f>
        <v>DIST_RAD4</v>
      </c>
      <c r="Y1942" s="153" t="str">
        <f t="array" ref="Y1942">INDEX(xlRTTYNAME,MATCH(1,(xlRTTYENDU=2)*(xlRTTYEQCL=$F1942)*(xlRTEQTYPE=$G1942),0))</f>
        <v>CENT_AIR4</v>
      </c>
    </row>
    <row r="1943" spans="1:25" s="157" customFormat="1" ht="14.25" customHeight="1" x14ac:dyDescent="0.2">
      <c r="A1943"/>
      <c r="B1943" s="49">
        <v>6</v>
      </c>
      <c r="C1943" s="49">
        <v>2</v>
      </c>
      <c r="D1943" s="49">
        <v>8</v>
      </c>
      <c r="E1943" s="49">
        <v>29</v>
      </c>
      <c r="F1943" s="49">
        <v>2</v>
      </c>
      <c r="G1943" s="49">
        <v>8</v>
      </c>
      <c r="H1943" s="49">
        <v>2023</v>
      </c>
      <c r="I1943" s="49">
        <v>2032</v>
      </c>
      <c r="J1943" s="50">
        <v>1.1200000000000001</v>
      </c>
      <c r="K1943" s="50">
        <v>1.0417000000000001</v>
      </c>
      <c r="L1943" s="50">
        <v>0.44379999999999997</v>
      </c>
      <c r="M1943" s="50">
        <v>1.0546</v>
      </c>
      <c r="N1943" s="50">
        <v>1.3656999999999999</v>
      </c>
      <c r="O1943" s="50">
        <v>1.0538000000000001</v>
      </c>
      <c r="P1943" s="49">
        <v>2657</v>
      </c>
      <c r="Q1943" s="51">
        <f t="array" ref="Q1943">SUM(IF(($S1943&gt;=4)*($C1943='TaxCred&amp;Subs'!$D$123:$D$127)*($H1943='TaxCred&amp;Subs'!$C$123:$C$127)*($H1943&lt;='TaxCred&amp;Subs'!$C$129),'TaxCred&amp;Subs'!$E$123:$E$127,0))</f>
        <v>500</v>
      </c>
      <c r="R1943" s="171">
        <v>0</v>
      </c>
      <c r="S1943" s="49">
        <v>5</v>
      </c>
      <c r="T1943" s="49" t="s">
        <v>225</v>
      </c>
      <c r="U1943"/>
      <c r="V1943" s="153" t="str">
        <f t="array" ref="V1943">INDEX(xlRTCLNAME,MATCH(1,(xlRTCLENDU=1)*(xlRTCLEQCL=$D1943),0))</f>
        <v>DIST_RAD</v>
      </c>
      <c r="W1943" s="153" t="str">
        <f t="array" ref="W1943">INDEX(xlRTCLNAME,MATCH(1,(xlRTCLENDU=2)*(xlRTCLEQCL=$F1943),0))</f>
        <v>CENT_AIR</v>
      </c>
      <c r="X1943" s="153" t="str">
        <f t="array" ref="X1943">INDEX(xlRTTYNAME,MATCH(1,(xlRTTYENDU=1)*(xlRTTYEQCL=$D1943)*(xlRTEQTYPE=$E1943),0))</f>
        <v>DIST_RAD4</v>
      </c>
      <c r="Y1943" s="153" t="str">
        <f t="array" ref="Y1943">INDEX(xlRTTYNAME,MATCH(1,(xlRTTYENDU=2)*(xlRTTYEQCL=$F1943)*(xlRTEQTYPE=$G1943),0))</f>
        <v>CENT_AIR4</v>
      </c>
    </row>
    <row r="1944" spans="1:25" s="157" customFormat="1" ht="14.25" customHeight="1" x14ac:dyDescent="0.2">
      <c r="A1944"/>
      <c r="B1944" s="49">
        <v>6</v>
      </c>
      <c r="C1944" s="49">
        <v>2</v>
      </c>
      <c r="D1944" s="49">
        <v>8</v>
      </c>
      <c r="E1944" s="49">
        <v>29</v>
      </c>
      <c r="F1944" s="49">
        <v>2</v>
      </c>
      <c r="G1944" s="49">
        <v>8</v>
      </c>
      <c r="H1944" s="49">
        <v>2033</v>
      </c>
      <c r="I1944" s="49">
        <v>2050</v>
      </c>
      <c r="J1944" s="50">
        <v>1.1200000000000001</v>
      </c>
      <c r="K1944" s="50">
        <v>1.0417000000000001</v>
      </c>
      <c r="L1944" s="50">
        <v>0.44379999999999997</v>
      </c>
      <c r="M1944" s="50">
        <v>1.0546</v>
      </c>
      <c r="N1944" s="50">
        <v>1.3656999999999999</v>
      </c>
      <c r="O1944" s="50">
        <v>1.0538000000000001</v>
      </c>
      <c r="P1944" s="49">
        <v>2657</v>
      </c>
      <c r="Q1944" s="51">
        <f t="array" ref="Q1944">SUM(IF(($S1944&gt;=4)*($C1944='TaxCred&amp;Subs'!$D$123:$D$127)*($H1944='TaxCred&amp;Subs'!$C$123:$C$127)*($H1944&lt;='TaxCred&amp;Subs'!$C$129),'TaxCred&amp;Subs'!$E$123:$E$127,0))</f>
        <v>0</v>
      </c>
      <c r="R1944" s="171">
        <v>0</v>
      </c>
      <c r="S1944" s="49">
        <v>5</v>
      </c>
      <c r="T1944" s="49" t="s">
        <v>225</v>
      </c>
      <c r="U1944"/>
      <c r="V1944" s="153" t="str">
        <f t="array" ref="V1944">INDEX(xlRTCLNAME,MATCH(1,(xlRTCLENDU=1)*(xlRTCLEQCL=$D1944),0))</f>
        <v>DIST_RAD</v>
      </c>
      <c r="W1944" s="153" t="str">
        <f t="array" ref="W1944">INDEX(xlRTCLNAME,MATCH(1,(xlRTCLENDU=2)*(xlRTCLEQCL=$F1944),0))</f>
        <v>CENT_AIR</v>
      </c>
      <c r="X1944" s="153" t="str">
        <f t="array" ref="X1944">INDEX(xlRTTYNAME,MATCH(1,(xlRTTYENDU=1)*(xlRTTYEQCL=$D1944)*(xlRTEQTYPE=$E1944),0))</f>
        <v>DIST_RAD4</v>
      </c>
      <c r="Y1944" s="153" t="str">
        <f t="array" ref="Y1944">INDEX(xlRTTYNAME,MATCH(1,(xlRTTYENDU=2)*(xlRTTYEQCL=$F1944)*(xlRTEQTYPE=$G1944),0))</f>
        <v>CENT_AIR4</v>
      </c>
    </row>
    <row r="1945" spans="1:25" s="157" customFormat="1" ht="14.25" customHeight="1" x14ac:dyDescent="0.2">
      <c r="A1945"/>
      <c r="B1945" s="126">
        <v>7</v>
      </c>
      <c r="C1945" s="126">
        <v>2</v>
      </c>
      <c r="D1945" s="126">
        <v>8</v>
      </c>
      <c r="E1945" s="126">
        <v>29</v>
      </c>
      <c r="F1945" s="126">
        <v>2</v>
      </c>
      <c r="G1945" s="126">
        <v>8</v>
      </c>
      <c r="H1945" s="126">
        <v>2016</v>
      </c>
      <c r="I1945" s="159">
        <v>2022</v>
      </c>
      <c r="J1945" s="127">
        <v>1.1200000000000001</v>
      </c>
      <c r="K1945" s="127">
        <v>1.0462</v>
      </c>
      <c r="L1945" s="127">
        <v>0.44379999999999997</v>
      </c>
      <c r="M1945" s="127">
        <v>1.0569</v>
      </c>
      <c r="N1945" s="127">
        <v>1.4438</v>
      </c>
      <c r="O1945" s="127">
        <v>1.0538000000000001</v>
      </c>
      <c r="P1945" s="126">
        <v>2321</v>
      </c>
      <c r="Q1945" s="128">
        <f t="array" ref="Q1945">SUM(IF(($S1945&gt;=4)*($C1945='TaxCred&amp;Subs'!$D$123:$D$127)*($H1945='TaxCred&amp;Subs'!$C$123:$C$127)*($H1945&lt;='TaxCred&amp;Subs'!$C$129),'TaxCred&amp;Subs'!$E$123:$E$127,0))</f>
        <v>0</v>
      </c>
      <c r="R1945" s="174">
        <v>0</v>
      </c>
      <c r="S1945" s="126">
        <v>5</v>
      </c>
      <c r="T1945" s="126" t="s">
        <v>225</v>
      </c>
      <c r="U1945"/>
      <c r="V1945" s="153" t="str">
        <f t="array" ref="V1945">INDEX(xlRTCLNAME,MATCH(1,(xlRTCLENDU=1)*(xlRTCLEQCL=$D1945),0))</f>
        <v>DIST_RAD</v>
      </c>
      <c r="W1945" s="153" t="str">
        <f t="array" ref="W1945">INDEX(xlRTCLNAME,MATCH(1,(xlRTCLENDU=2)*(xlRTCLEQCL=$F1945),0))</f>
        <v>CENT_AIR</v>
      </c>
      <c r="X1945" s="153" t="str">
        <f t="array" ref="X1945">INDEX(xlRTTYNAME,MATCH(1,(xlRTTYENDU=1)*(xlRTTYEQCL=$D1945)*(xlRTEQTYPE=$E1945),0))</f>
        <v>DIST_RAD4</v>
      </c>
      <c r="Y1945" s="153" t="str">
        <f t="array" ref="Y1945">INDEX(xlRTTYNAME,MATCH(1,(xlRTTYENDU=2)*(xlRTTYEQCL=$F1945)*(xlRTEQTYPE=$G1945),0))</f>
        <v>CENT_AIR4</v>
      </c>
    </row>
    <row r="1946" spans="1:25" s="157" customFormat="1" ht="14.25" customHeight="1" x14ac:dyDescent="0.2">
      <c r="A1946"/>
      <c r="B1946" s="49">
        <v>7</v>
      </c>
      <c r="C1946" s="49">
        <v>2</v>
      </c>
      <c r="D1946" s="49">
        <v>8</v>
      </c>
      <c r="E1946" s="49">
        <v>29</v>
      </c>
      <c r="F1946" s="49">
        <v>2</v>
      </c>
      <c r="G1946" s="49">
        <v>8</v>
      </c>
      <c r="H1946" s="49">
        <v>2023</v>
      </c>
      <c r="I1946" s="49">
        <v>2032</v>
      </c>
      <c r="J1946" s="50">
        <v>1.1200000000000001</v>
      </c>
      <c r="K1946" s="50">
        <v>1.0462</v>
      </c>
      <c r="L1946" s="50">
        <v>0.44379999999999997</v>
      </c>
      <c r="M1946" s="50">
        <v>1.0569</v>
      </c>
      <c r="N1946" s="50">
        <v>1.4438</v>
      </c>
      <c r="O1946" s="50">
        <v>1.0538000000000001</v>
      </c>
      <c r="P1946" s="49">
        <v>2321</v>
      </c>
      <c r="Q1946" s="51">
        <f t="array" ref="Q1946">SUM(IF(($S1946&gt;=4)*($C1946='TaxCred&amp;Subs'!$D$123:$D$127)*($H1946='TaxCred&amp;Subs'!$C$123:$C$127)*($H1946&lt;='TaxCred&amp;Subs'!$C$129),'TaxCred&amp;Subs'!$E$123:$E$127,0))</f>
        <v>500</v>
      </c>
      <c r="R1946" s="171">
        <v>0</v>
      </c>
      <c r="S1946" s="49">
        <v>5</v>
      </c>
      <c r="T1946" s="49" t="s">
        <v>225</v>
      </c>
      <c r="U1946"/>
      <c r="V1946" s="153" t="str">
        <f t="array" ref="V1946">INDEX(xlRTCLNAME,MATCH(1,(xlRTCLENDU=1)*(xlRTCLEQCL=$D1946),0))</f>
        <v>DIST_RAD</v>
      </c>
      <c r="W1946" s="153" t="str">
        <f t="array" ref="W1946">INDEX(xlRTCLNAME,MATCH(1,(xlRTCLENDU=2)*(xlRTCLEQCL=$F1946),0))</f>
        <v>CENT_AIR</v>
      </c>
      <c r="X1946" s="153" t="str">
        <f t="array" ref="X1946">INDEX(xlRTTYNAME,MATCH(1,(xlRTTYENDU=1)*(xlRTTYEQCL=$D1946)*(xlRTEQTYPE=$E1946),0))</f>
        <v>DIST_RAD4</v>
      </c>
      <c r="Y1946" s="153" t="str">
        <f t="array" ref="Y1946">INDEX(xlRTTYNAME,MATCH(1,(xlRTTYENDU=2)*(xlRTTYEQCL=$F1946)*(xlRTEQTYPE=$G1946),0))</f>
        <v>CENT_AIR4</v>
      </c>
    </row>
    <row r="1947" spans="1:25" s="157" customFormat="1" ht="14.25" customHeight="1" x14ac:dyDescent="0.2">
      <c r="A1947"/>
      <c r="B1947" s="49">
        <v>7</v>
      </c>
      <c r="C1947" s="49">
        <v>2</v>
      </c>
      <c r="D1947" s="49">
        <v>8</v>
      </c>
      <c r="E1947" s="49">
        <v>29</v>
      </c>
      <c r="F1947" s="49">
        <v>2</v>
      </c>
      <c r="G1947" s="49">
        <v>8</v>
      </c>
      <c r="H1947" s="49">
        <v>2033</v>
      </c>
      <c r="I1947" s="49">
        <v>2050</v>
      </c>
      <c r="J1947" s="50">
        <v>1.1200000000000001</v>
      </c>
      <c r="K1947" s="50">
        <v>1.0462</v>
      </c>
      <c r="L1947" s="50">
        <v>0.44379999999999997</v>
      </c>
      <c r="M1947" s="50">
        <v>1.0569</v>
      </c>
      <c r="N1947" s="50">
        <v>1.4438</v>
      </c>
      <c r="O1947" s="50">
        <v>1.0538000000000001</v>
      </c>
      <c r="P1947" s="49">
        <v>2321</v>
      </c>
      <c r="Q1947" s="51">
        <f t="array" ref="Q1947">SUM(IF(($S1947&gt;=4)*($C1947='TaxCred&amp;Subs'!$D$123:$D$127)*($H1947='TaxCred&amp;Subs'!$C$123:$C$127)*($H1947&lt;='TaxCred&amp;Subs'!$C$129),'TaxCred&amp;Subs'!$E$123:$E$127,0))</f>
        <v>0</v>
      </c>
      <c r="R1947" s="171">
        <v>0</v>
      </c>
      <c r="S1947" s="49">
        <v>5</v>
      </c>
      <c r="T1947" s="49" t="s">
        <v>225</v>
      </c>
      <c r="U1947"/>
      <c r="V1947" s="153" t="str">
        <f t="array" ref="V1947">INDEX(xlRTCLNAME,MATCH(1,(xlRTCLENDU=1)*(xlRTCLEQCL=$D1947),0))</f>
        <v>DIST_RAD</v>
      </c>
      <c r="W1947" s="153" t="str">
        <f t="array" ref="W1947">INDEX(xlRTCLNAME,MATCH(1,(xlRTCLENDU=2)*(xlRTCLEQCL=$F1947),0))</f>
        <v>CENT_AIR</v>
      </c>
      <c r="X1947" s="153" t="str">
        <f t="array" ref="X1947">INDEX(xlRTTYNAME,MATCH(1,(xlRTTYENDU=1)*(xlRTTYEQCL=$D1947)*(xlRTEQTYPE=$E1947),0))</f>
        <v>DIST_RAD4</v>
      </c>
      <c r="Y1947" s="153" t="str">
        <f t="array" ref="Y1947">INDEX(xlRTTYNAME,MATCH(1,(xlRTTYENDU=2)*(xlRTTYEQCL=$F1947)*(xlRTEQTYPE=$G1947),0))</f>
        <v>CENT_AIR4</v>
      </c>
    </row>
    <row r="1948" spans="1:25" s="157" customFormat="1" ht="14.25" customHeight="1" x14ac:dyDescent="0.2">
      <c r="A1948"/>
      <c r="B1948" s="126">
        <v>8</v>
      </c>
      <c r="C1948" s="126">
        <v>2</v>
      </c>
      <c r="D1948" s="126">
        <v>8</v>
      </c>
      <c r="E1948" s="126">
        <v>29</v>
      </c>
      <c r="F1948" s="126">
        <v>2</v>
      </c>
      <c r="G1948" s="126">
        <v>8</v>
      </c>
      <c r="H1948" s="126">
        <v>2016</v>
      </c>
      <c r="I1948" s="159">
        <v>2022</v>
      </c>
      <c r="J1948" s="127">
        <v>1.1045</v>
      </c>
      <c r="K1948" s="127">
        <v>1.0323</v>
      </c>
      <c r="L1948" s="127">
        <v>0.53910000000000002</v>
      </c>
      <c r="M1948" s="127">
        <v>1.2087000000000001</v>
      </c>
      <c r="N1948" s="127">
        <v>1.2847999999999999</v>
      </c>
      <c r="O1948" s="127">
        <v>1.0538000000000001</v>
      </c>
      <c r="P1948" s="126">
        <v>2889</v>
      </c>
      <c r="Q1948" s="128">
        <f t="array" ref="Q1948">SUM(IF(($S1948&gt;=4)*($C1948='TaxCred&amp;Subs'!$D$123:$D$127)*($H1948='TaxCred&amp;Subs'!$C$123:$C$127)*($H1948&lt;='TaxCred&amp;Subs'!$C$129),'TaxCred&amp;Subs'!$E$123:$E$127,0))</f>
        <v>0</v>
      </c>
      <c r="R1948" s="174">
        <v>0</v>
      </c>
      <c r="S1948" s="126">
        <v>5</v>
      </c>
      <c r="T1948" s="126" t="s">
        <v>225</v>
      </c>
      <c r="U1948"/>
      <c r="V1948" s="153" t="str">
        <f t="array" ref="V1948">INDEX(xlRTCLNAME,MATCH(1,(xlRTCLENDU=1)*(xlRTCLEQCL=$D1948),0))</f>
        <v>DIST_RAD</v>
      </c>
      <c r="W1948" s="153" t="str">
        <f t="array" ref="W1948">INDEX(xlRTCLNAME,MATCH(1,(xlRTCLENDU=2)*(xlRTCLEQCL=$F1948),0))</f>
        <v>CENT_AIR</v>
      </c>
      <c r="X1948" s="153" t="str">
        <f t="array" ref="X1948">INDEX(xlRTTYNAME,MATCH(1,(xlRTTYENDU=1)*(xlRTTYEQCL=$D1948)*(xlRTEQTYPE=$E1948),0))</f>
        <v>DIST_RAD4</v>
      </c>
      <c r="Y1948" s="153" t="str">
        <f t="array" ref="Y1948">INDEX(xlRTTYNAME,MATCH(1,(xlRTTYENDU=2)*(xlRTTYEQCL=$F1948)*(xlRTEQTYPE=$G1948),0))</f>
        <v>CENT_AIR4</v>
      </c>
    </row>
    <row r="1949" spans="1:25" s="157" customFormat="1" ht="14.25" customHeight="1" x14ac:dyDescent="0.2">
      <c r="A1949"/>
      <c r="B1949" s="49">
        <v>8</v>
      </c>
      <c r="C1949" s="49">
        <v>2</v>
      </c>
      <c r="D1949" s="49">
        <v>8</v>
      </c>
      <c r="E1949" s="49">
        <v>29</v>
      </c>
      <c r="F1949" s="49">
        <v>2</v>
      </c>
      <c r="G1949" s="49">
        <v>8</v>
      </c>
      <c r="H1949" s="49">
        <v>2023</v>
      </c>
      <c r="I1949" s="49">
        <v>2032</v>
      </c>
      <c r="J1949" s="50">
        <v>1.1045</v>
      </c>
      <c r="K1949" s="50">
        <v>1.0323</v>
      </c>
      <c r="L1949" s="50">
        <v>0.53910000000000002</v>
      </c>
      <c r="M1949" s="50">
        <v>1.2087000000000001</v>
      </c>
      <c r="N1949" s="50">
        <v>1.2847999999999999</v>
      </c>
      <c r="O1949" s="50">
        <v>1.0538000000000001</v>
      </c>
      <c r="P1949" s="49">
        <v>2889</v>
      </c>
      <c r="Q1949" s="51">
        <f t="array" ref="Q1949">SUM(IF(($S1949&gt;=4)*($C1949='TaxCred&amp;Subs'!$D$123:$D$127)*($H1949='TaxCred&amp;Subs'!$C$123:$C$127)*($H1949&lt;='TaxCred&amp;Subs'!$C$129),'TaxCred&amp;Subs'!$E$123:$E$127,0))</f>
        <v>500</v>
      </c>
      <c r="R1949" s="171">
        <v>0</v>
      </c>
      <c r="S1949" s="49">
        <v>5</v>
      </c>
      <c r="T1949" s="49" t="s">
        <v>225</v>
      </c>
      <c r="U1949"/>
      <c r="V1949" s="153" t="str">
        <f t="array" ref="V1949">INDEX(xlRTCLNAME,MATCH(1,(xlRTCLENDU=1)*(xlRTCLEQCL=$D1949),0))</f>
        <v>DIST_RAD</v>
      </c>
      <c r="W1949" s="153" t="str">
        <f t="array" ref="W1949">INDEX(xlRTCLNAME,MATCH(1,(xlRTCLENDU=2)*(xlRTCLEQCL=$F1949),0))</f>
        <v>CENT_AIR</v>
      </c>
      <c r="X1949" s="153" t="str">
        <f t="array" ref="X1949">INDEX(xlRTTYNAME,MATCH(1,(xlRTTYENDU=1)*(xlRTTYEQCL=$D1949)*(xlRTEQTYPE=$E1949),0))</f>
        <v>DIST_RAD4</v>
      </c>
      <c r="Y1949" s="153" t="str">
        <f t="array" ref="Y1949">INDEX(xlRTTYNAME,MATCH(1,(xlRTTYENDU=2)*(xlRTTYEQCL=$F1949)*(xlRTEQTYPE=$G1949),0))</f>
        <v>CENT_AIR4</v>
      </c>
    </row>
    <row r="1950" spans="1:25" s="157" customFormat="1" ht="14.25" customHeight="1" x14ac:dyDescent="0.2">
      <c r="A1950"/>
      <c r="B1950" s="49">
        <v>8</v>
      </c>
      <c r="C1950" s="49">
        <v>2</v>
      </c>
      <c r="D1950" s="49">
        <v>8</v>
      </c>
      <c r="E1950" s="49">
        <v>29</v>
      </c>
      <c r="F1950" s="49">
        <v>2</v>
      </c>
      <c r="G1950" s="49">
        <v>8</v>
      </c>
      <c r="H1950" s="49">
        <v>2033</v>
      </c>
      <c r="I1950" s="49">
        <v>2050</v>
      </c>
      <c r="J1950" s="50">
        <v>1.1045</v>
      </c>
      <c r="K1950" s="50">
        <v>1.0323</v>
      </c>
      <c r="L1950" s="50">
        <v>0.53910000000000002</v>
      </c>
      <c r="M1950" s="50">
        <v>1.2087000000000001</v>
      </c>
      <c r="N1950" s="50">
        <v>1.2847999999999999</v>
      </c>
      <c r="O1950" s="50">
        <v>1.0538000000000001</v>
      </c>
      <c r="P1950" s="49">
        <v>2889</v>
      </c>
      <c r="Q1950" s="51">
        <f t="array" ref="Q1950">SUM(IF(($S1950&gt;=4)*($C1950='TaxCred&amp;Subs'!$D$123:$D$127)*($H1950='TaxCred&amp;Subs'!$C$123:$C$127)*($H1950&lt;='TaxCred&amp;Subs'!$C$129),'TaxCred&amp;Subs'!$E$123:$E$127,0))</f>
        <v>0</v>
      </c>
      <c r="R1950" s="171">
        <v>0</v>
      </c>
      <c r="S1950" s="49">
        <v>5</v>
      </c>
      <c r="T1950" s="49" t="s">
        <v>225</v>
      </c>
      <c r="U1950"/>
      <c r="V1950" s="153" t="str">
        <f t="array" ref="V1950">INDEX(xlRTCLNAME,MATCH(1,(xlRTCLENDU=1)*(xlRTCLEQCL=$D1950),0))</f>
        <v>DIST_RAD</v>
      </c>
      <c r="W1950" s="153" t="str">
        <f t="array" ref="W1950">INDEX(xlRTCLNAME,MATCH(1,(xlRTCLENDU=2)*(xlRTCLEQCL=$F1950),0))</f>
        <v>CENT_AIR</v>
      </c>
      <c r="X1950" s="153" t="str">
        <f t="array" ref="X1950">INDEX(xlRTTYNAME,MATCH(1,(xlRTTYENDU=1)*(xlRTTYEQCL=$D1950)*(xlRTEQTYPE=$E1950),0))</f>
        <v>DIST_RAD4</v>
      </c>
      <c r="Y1950" s="153" t="str">
        <f t="array" ref="Y1950">INDEX(xlRTTYNAME,MATCH(1,(xlRTTYENDU=2)*(xlRTTYEQCL=$F1950)*(xlRTEQTYPE=$G1950),0))</f>
        <v>CENT_AIR4</v>
      </c>
    </row>
    <row r="1951" spans="1:25" s="157" customFormat="1" ht="14.25" customHeight="1" x14ac:dyDescent="0.2">
      <c r="A1951"/>
      <c r="B1951" s="126">
        <v>9</v>
      </c>
      <c r="C1951" s="126">
        <v>2</v>
      </c>
      <c r="D1951" s="126">
        <v>8</v>
      </c>
      <c r="E1951" s="126">
        <v>29</v>
      </c>
      <c r="F1951" s="126">
        <v>2</v>
      </c>
      <c r="G1951" s="126">
        <v>8</v>
      </c>
      <c r="H1951" s="126">
        <v>2016</v>
      </c>
      <c r="I1951" s="159">
        <v>2022</v>
      </c>
      <c r="J1951" s="127">
        <v>1.1200000000000001</v>
      </c>
      <c r="K1951" s="127">
        <v>1.0541</v>
      </c>
      <c r="L1951" s="127">
        <v>0.44379999999999997</v>
      </c>
      <c r="M1951" s="127">
        <v>1.1167</v>
      </c>
      <c r="N1951" s="127">
        <v>1.4438</v>
      </c>
      <c r="O1951" s="127">
        <v>1.0538000000000001</v>
      </c>
      <c r="P1951" s="126">
        <v>3308</v>
      </c>
      <c r="Q1951" s="128">
        <f t="array" ref="Q1951">SUM(IF(($S1951&gt;=4)*($C1951='TaxCred&amp;Subs'!$D$123:$D$127)*($H1951='TaxCred&amp;Subs'!$C$123:$C$127)*($H1951&lt;='TaxCred&amp;Subs'!$C$129),'TaxCred&amp;Subs'!$E$123:$E$127,0))</f>
        <v>0</v>
      </c>
      <c r="R1951" s="174">
        <v>0</v>
      </c>
      <c r="S1951" s="126">
        <v>5</v>
      </c>
      <c r="T1951" s="126" t="s">
        <v>225</v>
      </c>
      <c r="U1951"/>
      <c r="V1951" s="153" t="str">
        <f t="array" ref="V1951">INDEX(xlRTCLNAME,MATCH(1,(xlRTCLENDU=1)*(xlRTCLEQCL=$D1951),0))</f>
        <v>DIST_RAD</v>
      </c>
      <c r="W1951" s="153" t="str">
        <f t="array" ref="W1951">INDEX(xlRTCLNAME,MATCH(1,(xlRTCLENDU=2)*(xlRTCLEQCL=$F1951),0))</f>
        <v>CENT_AIR</v>
      </c>
      <c r="X1951" s="153" t="str">
        <f t="array" ref="X1951">INDEX(xlRTTYNAME,MATCH(1,(xlRTTYENDU=1)*(xlRTTYEQCL=$D1951)*(xlRTEQTYPE=$E1951),0))</f>
        <v>DIST_RAD4</v>
      </c>
      <c r="Y1951" s="153" t="str">
        <f t="array" ref="Y1951">INDEX(xlRTTYNAME,MATCH(1,(xlRTTYENDU=2)*(xlRTTYEQCL=$F1951)*(xlRTEQTYPE=$G1951),0))</f>
        <v>CENT_AIR4</v>
      </c>
    </row>
    <row r="1952" spans="1:25" s="157" customFormat="1" ht="14.25" customHeight="1" x14ac:dyDescent="0.2">
      <c r="A1952"/>
      <c r="B1952" s="49">
        <v>9</v>
      </c>
      <c r="C1952" s="49">
        <v>2</v>
      </c>
      <c r="D1952" s="49">
        <v>8</v>
      </c>
      <c r="E1952" s="49">
        <v>29</v>
      </c>
      <c r="F1952" s="49">
        <v>2</v>
      </c>
      <c r="G1952" s="49">
        <v>8</v>
      </c>
      <c r="H1952" s="49">
        <v>2023</v>
      </c>
      <c r="I1952" s="49">
        <v>2032</v>
      </c>
      <c r="J1952" s="50">
        <v>1.1200000000000001</v>
      </c>
      <c r="K1952" s="50">
        <v>1.0541</v>
      </c>
      <c r="L1952" s="50">
        <v>0.44379999999999997</v>
      </c>
      <c r="M1952" s="50">
        <v>1.1167</v>
      </c>
      <c r="N1952" s="50">
        <v>1.4438</v>
      </c>
      <c r="O1952" s="50">
        <v>1.0538000000000001</v>
      </c>
      <c r="P1952" s="49">
        <v>3308</v>
      </c>
      <c r="Q1952" s="51">
        <f t="array" ref="Q1952">SUM(IF(($S1952&gt;=4)*($C1952='TaxCred&amp;Subs'!$D$123:$D$127)*($H1952='TaxCred&amp;Subs'!$C$123:$C$127)*($H1952&lt;='TaxCred&amp;Subs'!$C$129),'TaxCred&amp;Subs'!$E$123:$E$127,0))</f>
        <v>500</v>
      </c>
      <c r="R1952" s="171">
        <v>0</v>
      </c>
      <c r="S1952" s="49">
        <v>5</v>
      </c>
      <c r="T1952" s="49" t="s">
        <v>225</v>
      </c>
      <c r="U1952"/>
      <c r="V1952" s="153" t="str">
        <f t="array" ref="V1952">INDEX(xlRTCLNAME,MATCH(1,(xlRTCLENDU=1)*(xlRTCLEQCL=$D1952),0))</f>
        <v>DIST_RAD</v>
      </c>
      <c r="W1952" s="153" t="str">
        <f t="array" ref="W1952">INDEX(xlRTCLNAME,MATCH(1,(xlRTCLENDU=2)*(xlRTCLEQCL=$F1952),0))</f>
        <v>CENT_AIR</v>
      </c>
      <c r="X1952" s="153" t="str">
        <f t="array" ref="X1952">INDEX(xlRTTYNAME,MATCH(1,(xlRTTYENDU=1)*(xlRTTYEQCL=$D1952)*(xlRTEQTYPE=$E1952),0))</f>
        <v>DIST_RAD4</v>
      </c>
      <c r="Y1952" s="153" t="str">
        <f t="array" ref="Y1952">INDEX(xlRTTYNAME,MATCH(1,(xlRTTYENDU=2)*(xlRTTYEQCL=$F1952)*(xlRTEQTYPE=$G1952),0))</f>
        <v>CENT_AIR4</v>
      </c>
    </row>
    <row r="1953" spans="1:25" s="157" customFormat="1" ht="14.25" customHeight="1" x14ac:dyDescent="0.2">
      <c r="A1953"/>
      <c r="B1953" s="49">
        <v>9</v>
      </c>
      <c r="C1953" s="49">
        <v>2</v>
      </c>
      <c r="D1953" s="49">
        <v>8</v>
      </c>
      <c r="E1953" s="49">
        <v>29</v>
      </c>
      <c r="F1953" s="49">
        <v>2</v>
      </c>
      <c r="G1953" s="49">
        <v>8</v>
      </c>
      <c r="H1953" s="49">
        <v>2033</v>
      </c>
      <c r="I1953" s="49">
        <v>2050</v>
      </c>
      <c r="J1953" s="50">
        <v>1.1200000000000001</v>
      </c>
      <c r="K1953" s="50">
        <v>1.0541</v>
      </c>
      <c r="L1953" s="50">
        <v>0.44379999999999997</v>
      </c>
      <c r="M1953" s="50">
        <v>1.1167</v>
      </c>
      <c r="N1953" s="50">
        <v>1.4438</v>
      </c>
      <c r="O1953" s="50">
        <v>1.0538000000000001</v>
      </c>
      <c r="P1953" s="49">
        <v>3308</v>
      </c>
      <c r="Q1953" s="51">
        <f t="array" ref="Q1953">SUM(IF(($S1953&gt;=4)*($C1953='TaxCred&amp;Subs'!$D$123:$D$127)*($H1953='TaxCred&amp;Subs'!$C$123:$C$127)*($H1953&lt;='TaxCred&amp;Subs'!$C$129),'TaxCred&amp;Subs'!$E$123:$E$127,0))</f>
        <v>0</v>
      </c>
      <c r="R1953" s="171">
        <v>0</v>
      </c>
      <c r="S1953" s="49">
        <v>5</v>
      </c>
      <c r="T1953" s="49" t="s">
        <v>225</v>
      </c>
      <c r="U1953"/>
      <c r="V1953" s="153" t="str">
        <f t="array" ref="V1953">INDEX(xlRTCLNAME,MATCH(1,(xlRTCLENDU=1)*(xlRTCLEQCL=$D1953),0))</f>
        <v>DIST_RAD</v>
      </c>
      <c r="W1953" s="153" t="str">
        <f t="array" ref="W1953">INDEX(xlRTCLNAME,MATCH(1,(xlRTCLENDU=2)*(xlRTCLEQCL=$F1953),0))</f>
        <v>CENT_AIR</v>
      </c>
      <c r="X1953" s="153" t="str">
        <f t="array" ref="X1953">INDEX(xlRTTYNAME,MATCH(1,(xlRTTYENDU=1)*(xlRTTYEQCL=$D1953)*(xlRTEQTYPE=$E1953),0))</f>
        <v>DIST_RAD4</v>
      </c>
      <c r="Y1953" s="153" t="str">
        <f t="array" ref="Y1953">INDEX(xlRTTYNAME,MATCH(1,(xlRTTYENDU=2)*(xlRTTYEQCL=$F1953)*(xlRTEQTYPE=$G1953),0))</f>
        <v>CENT_AIR4</v>
      </c>
    </row>
    <row r="1954" spans="1:25" s="157" customFormat="1" ht="14.25" customHeight="1" x14ac:dyDescent="0.2">
      <c r="A1954"/>
      <c r="B1954" s="126">
        <v>1</v>
      </c>
      <c r="C1954" s="126">
        <v>2</v>
      </c>
      <c r="D1954" s="126">
        <v>9</v>
      </c>
      <c r="E1954" s="126">
        <v>31</v>
      </c>
      <c r="F1954" s="126">
        <v>2</v>
      </c>
      <c r="G1954" s="126">
        <v>8</v>
      </c>
      <c r="H1954" s="126">
        <v>2016</v>
      </c>
      <c r="I1954" s="159">
        <v>2022</v>
      </c>
      <c r="J1954" s="127">
        <v>1.0864</v>
      </c>
      <c r="K1954" s="127">
        <v>1.0417000000000001</v>
      </c>
      <c r="L1954" s="127">
        <v>0.5786</v>
      </c>
      <c r="M1954" s="127">
        <v>1.1228</v>
      </c>
      <c r="N1954" s="127">
        <v>1.1156999999999999</v>
      </c>
      <c r="O1954" s="127">
        <v>1.0538000000000001</v>
      </c>
      <c r="P1954" s="126">
        <v>3776</v>
      </c>
      <c r="Q1954" s="128">
        <f t="array" ref="Q1954">SUM(IF(($S1954&gt;=4)*($C1954='TaxCred&amp;Subs'!$D$123:$D$127)*($H1954='TaxCred&amp;Subs'!$C$123:$C$127)*($H1954&lt;='TaxCred&amp;Subs'!$C$129),'TaxCred&amp;Subs'!$E$123:$E$127,0))</f>
        <v>0</v>
      </c>
      <c r="R1954" s="174">
        <v>0</v>
      </c>
      <c r="S1954" s="126">
        <v>5</v>
      </c>
      <c r="T1954" s="126" t="s">
        <v>225</v>
      </c>
      <c r="U1954"/>
      <c r="V1954" s="153" t="str">
        <f t="array" ref="V1954">INDEX(xlRTCLNAME,MATCH(1,(xlRTCLENDU=1)*(xlRTCLEQCL=$D1954),0))</f>
        <v>WOOD_HT</v>
      </c>
      <c r="W1954" s="153" t="str">
        <f t="array" ref="W1954">INDEX(xlRTCLNAME,MATCH(1,(xlRTCLENDU=2)*(xlRTCLEQCL=$F1954),0))</f>
        <v>CENT_AIR</v>
      </c>
      <c r="X1954" s="153" t="str">
        <f t="array" ref="X1954">INDEX(xlRTTYNAME,MATCH(1,(xlRTTYENDU=1)*(xlRTTYEQCL=$D1954)*(xlRTEQTYPE=$E1954),0))</f>
        <v>WOOD_HT4</v>
      </c>
      <c r="Y1954" s="153" t="str">
        <f t="array" ref="Y1954">INDEX(xlRTTYNAME,MATCH(1,(xlRTTYENDU=2)*(xlRTTYEQCL=$F1954)*(xlRTEQTYPE=$G1954),0))</f>
        <v>CENT_AIR4</v>
      </c>
    </row>
    <row r="1955" spans="1:25" s="157" customFormat="1" ht="14.25" customHeight="1" x14ac:dyDescent="0.2">
      <c r="A1955"/>
      <c r="B1955" s="49">
        <v>1</v>
      </c>
      <c r="C1955" s="49">
        <v>2</v>
      </c>
      <c r="D1955" s="49">
        <v>9</v>
      </c>
      <c r="E1955" s="49">
        <v>31</v>
      </c>
      <c r="F1955" s="49">
        <v>2</v>
      </c>
      <c r="G1955" s="49">
        <v>8</v>
      </c>
      <c r="H1955" s="49">
        <v>2023</v>
      </c>
      <c r="I1955" s="49">
        <v>2032</v>
      </c>
      <c r="J1955" s="50">
        <v>1.0864</v>
      </c>
      <c r="K1955" s="50">
        <v>1.0417000000000001</v>
      </c>
      <c r="L1955" s="50">
        <v>0.5786</v>
      </c>
      <c r="M1955" s="50">
        <v>1.1228</v>
      </c>
      <c r="N1955" s="50">
        <v>1.1156999999999999</v>
      </c>
      <c r="O1955" s="50">
        <v>1.0538000000000001</v>
      </c>
      <c r="P1955" s="49">
        <v>3776</v>
      </c>
      <c r="Q1955" s="51">
        <f t="array" ref="Q1955">SUM(IF(($S1955&gt;=4)*($C1955='TaxCred&amp;Subs'!$D$123:$D$127)*($H1955='TaxCred&amp;Subs'!$C$123:$C$127)*($H1955&lt;='TaxCred&amp;Subs'!$C$129),'TaxCred&amp;Subs'!$E$123:$E$127,0))</f>
        <v>500</v>
      </c>
      <c r="R1955" s="171">
        <v>0</v>
      </c>
      <c r="S1955" s="49">
        <v>5</v>
      </c>
      <c r="T1955" s="49" t="s">
        <v>225</v>
      </c>
      <c r="U1955"/>
      <c r="V1955" s="153" t="str">
        <f t="array" ref="V1955">INDEX(xlRTCLNAME,MATCH(1,(xlRTCLENDU=1)*(xlRTCLEQCL=$D1955),0))</f>
        <v>WOOD_HT</v>
      </c>
      <c r="W1955" s="153" t="str">
        <f t="array" ref="W1955">INDEX(xlRTCLNAME,MATCH(1,(xlRTCLENDU=2)*(xlRTCLEQCL=$F1955),0))</f>
        <v>CENT_AIR</v>
      </c>
      <c r="X1955" s="153" t="str">
        <f t="array" ref="X1955">INDEX(xlRTTYNAME,MATCH(1,(xlRTTYENDU=1)*(xlRTTYEQCL=$D1955)*(xlRTEQTYPE=$E1955),0))</f>
        <v>WOOD_HT4</v>
      </c>
      <c r="Y1955" s="153" t="str">
        <f t="array" ref="Y1955">INDEX(xlRTTYNAME,MATCH(1,(xlRTTYENDU=2)*(xlRTTYEQCL=$F1955)*(xlRTEQTYPE=$G1955),0))</f>
        <v>CENT_AIR4</v>
      </c>
    </row>
    <row r="1956" spans="1:25" s="157" customFormat="1" ht="14.25" customHeight="1" x14ac:dyDescent="0.2">
      <c r="A1956"/>
      <c r="B1956" s="49">
        <v>1</v>
      </c>
      <c r="C1956" s="49">
        <v>2</v>
      </c>
      <c r="D1956" s="49">
        <v>9</v>
      </c>
      <c r="E1956" s="49">
        <v>31</v>
      </c>
      <c r="F1956" s="49">
        <v>2</v>
      </c>
      <c r="G1956" s="49">
        <v>8</v>
      </c>
      <c r="H1956" s="49">
        <v>2033</v>
      </c>
      <c r="I1956" s="49">
        <v>2050</v>
      </c>
      <c r="J1956" s="50">
        <v>1.0864</v>
      </c>
      <c r="K1956" s="50">
        <v>1.0417000000000001</v>
      </c>
      <c r="L1956" s="50">
        <v>0.5786</v>
      </c>
      <c r="M1956" s="50">
        <v>1.1228</v>
      </c>
      <c r="N1956" s="50">
        <v>1.1156999999999999</v>
      </c>
      <c r="O1956" s="50">
        <v>1.0538000000000001</v>
      </c>
      <c r="P1956" s="49">
        <v>3776</v>
      </c>
      <c r="Q1956" s="51">
        <f t="array" ref="Q1956">SUM(IF(($S1956&gt;=4)*($C1956='TaxCred&amp;Subs'!$D$123:$D$127)*($H1956='TaxCred&amp;Subs'!$C$123:$C$127)*($H1956&lt;='TaxCred&amp;Subs'!$C$129),'TaxCred&amp;Subs'!$E$123:$E$127,0))</f>
        <v>0</v>
      </c>
      <c r="R1956" s="171">
        <v>0</v>
      </c>
      <c r="S1956" s="49">
        <v>5</v>
      </c>
      <c r="T1956" s="49" t="s">
        <v>225</v>
      </c>
      <c r="U1956"/>
      <c r="V1956" s="153" t="str">
        <f t="array" ref="V1956">INDEX(xlRTCLNAME,MATCH(1,(xlRTCLENDU=1)*(xlRTCLEQCL=$D1956),0))</f>
        <v>WOOD_HT</v>
      </c>
      <c r="W1956" s="153" t="str">
        <f t="array" ref="W1956">INDEX(xlRTCLNAME,MATCH(1,(xlRTCLENDU=2)*(xlRTCLEQCL=$F1956),0))</f>
        <v>CENT_AIR</v>
      </c>
      <c r="X1956" s="153" t="str">
        <f t="array" ref="X1956">INDEX(xlRTTYNAME,MATCH(1,(xlRTTYENDU=1)*(xlRTTYEQCL=$D1956)*(xlRTEQTYPE=$E1956),0))</f>
        <v>WOOD_HT4</v>
      </c>
      <c r="Y1956" s="153" t="str">
        <f t="array" ref="Y1956">INDEX(xlRTTYNAME,MATCH(1,(xlRTTYENDU=2)*(xlRTTYEQCL=$F1956)*(xlRTEQTYPE=$G1956),0))</f>
        <v>CENT_AIR4</v>
      </c>
    </row>
    <row r="1957" spans="1:25" s="157" customFormat="1" ht="14.25" customHeight="1" x14ac:dyDescent="0.2">
      <c r="A1957"/>
      <c r="B1957" s="126">
        <v>2</v>
      </c>
      <c r="C1957" s="126">
        <v>2</v>
      </c>
      <c r="D1957" s="126">
        <v>9</v>
      </c>
      <c r="E1957" s="126">
        <v>31</v>
      </c>
      <c r="F1957" s="126">
        <v>2</v>
      </c>
      <c r="G1957" s="126">
        <v>8</v>
      </c>
      <c r="H1957" s="126">
        <v>2016</v>
      </c>
      <c r="I1957" s="159">
        <v>2022</v>
      </c>
      <c r="J1957" s="127">
        <v>1.0891</v>
      </c>
      <c r="K1957" s="127">
        <v>1.0713999999999999</v>
      </c>
      <c r="L1957" s="127">
        <v>0.55879999999999996</v>
      </c>
      <c r="M1957" s="127">
        <v>1.1416999999999999</v>
      </c>
      <c r="N1957" s="127">
        <v>1.1254999999999999</v>
      </c>
      <c r="O1957" s="127">
        <v>1.0538000000000001</v>
      </c>
      <c r="P1957" s="126">
        <v>3572</v>
      </c>
      <c r="Q1957" s="128">
        <f t="array" ref="Q1957">SUM(IF(($S1957&gt;=4)*($C1957='TaxCred&amp;Subs'!$D$123:$D$127)*($H1957='TaxCred&amp;Subs'!$C$123:$C$127)*($H1957&lt;='TaxCred&amp;Subs'!$C$129),'TaxCred&amp;Subs'!$E$123:$E$127,0))</f>
        <v>0</v>
      </c>
      <c r="R1957" s="174">
        <v>0</v>
      </c>
      <c r="S1957" s="126">
        <v>5</v>
      </c>
      <c r="T1957" s="126" t="s">
        <v>225</v>
      </c>
      <c r="U1957"/>
      <c r="V1957" s="153" t="str">
        <f t="array" ref="V1957">INDEX(xlRTCLNAME,MATCH(1,(xlRTCLENDU=1)*(xlRTCLEQCL=$D1957),0))</f>
        <v>WOOD_HT</v>
      </c>
      <c r="W1957" s="153" t="str">
        <f t="array" ref="W1957">INDEX(xlRTCLNAME,MATCH(1,(xlRTCLENDU=2)*(xlRTCLEQCL=$F1957),0))</f>
        <v>CENT_AIR</v>
      </c>
      <c r="X1957" s="153" t="str">
        <f t="array" ref="X1957">INDEX(xlRTTYNAME,MATCH(1,(xlRTTYENDU=1)*(xlRTTYEQCL=$D1957)*(xlRTEQTYPE=$E1957),0))</f>
        <v>WOOD_HT4</v>
      </c>
      <c r="Y1957" s="153" t="str">
        <f t="array" ref="Y1957">INDEX(xlRTTYNAME,MATCH(1,(xlRTTYENDU=2)*(xlRTTYEQCL=$F1957)*(xlRTEQTYPE=$G1957),0))</f>
        <v>CENT_AIR4</v>
      </c>
    </row>
    <row r="1958" spans="1:25" s="157" customFormat="1" ht="14.25" customHeight="1" x14ac:dyDescent="0.2">
      <c r="A1958"/>
      <c r="B1958" s="49">
        <v>2</v>
      </c>
      <c r="C1958" s="49">
        <v>2</v>
      </c>
      <c r="D1958" s="49">
        <v>9</v>
      </c>
      <c r="E1958" s="49">
        <v>31</v>
      </c>
      <c r="F1958" s="49">
        <v>2</v>
      </c>
      <c r="G1958" s="49">
        <v>8</v>
      </c>
      <c r="H1958" s="49">
        <v>2023</v>
      </c>
      <c r="I1958" s="49">
        <v>2032</v>
      </c>
      <c r="J1958" s="50">
        <v>1.0891</v>
      </c>
      <c r="K1958" s="50">
        <v>1.0713999999999999</v>
      </c>
      <c r="L1958" s="50">
        <v>0.55879999999999996</v>
      </c>
      <c r="M1958" s="50">
        <v>1.1416999999999999</v>
      </c>
      <c r="N1958" s="50">
        <v>1.1254999999999999</v>
      </c>
      <c r="O1958" s="50">
        <v>1.0538000000000001</v>
      </c>
      <c r="P1958" s="49">
        <v>3572</v>
      </c>
      <c r="Q1958" s="51">
        <f t="array" ref="Q1958">SUM(IF(($S1958&gt;=4)*($C1958='TaxCred&amp;Subs'!$D$123:$D$127)*($H1958='TaxCred&amp;Subs'!$C$123:$C$127)*($H1958&lt;='TaxCred&amp;Subs'!$C$129),'TaxCred&amp;Subs'!$E$123:$E$127,0))</f>
        <v>500</v>
      </c>
      <c r="R1958" s="171">
        <v>0</v>
      </c>
      <c r="S1958" s="49">
        <v>5</v>
      </c>
      <c r="T1958" s="49" t="s">
        <v>225</v>
      </c>
      <c r="U1958"/>
      <c r="V1958" s="153" t="str">
        <f t="array" ref="V1958">INDEX(xlRTCLNAME,MATCH(1,(xlRTCLENDU=1)*(xlRTCLEQCL=$D1958),0))</f>
        <v>WOOD_HT</v>
      </c>
      <c r="W1958" s="153" t="str">
        <f t="array" ref="W1958">INDEX(xlRTCLNAME,MATCH(1,(xlRTCLENDU=2)*(xlRTCLEQCL=$F1958),0))</f>
        <v>CENT_AIR</v>
      </c>
      <c r="X1958" s="153" t="str">
        <f t="array" ref="X1958">INDEX(xlRTTYNAME,MATCH(1,(xlRTTYENDU=1)*(xlRTTYEQCL=$D1958)*(xlRTEQTYPE=$E1958),0))</f>
        <v>WOOD_HT4</v>
      </c>
      <c r="Y1958" s="153" t="str">
        <f t="array" ref="Y1958">INDEX(xlRTTYNAME,MATCH(1,(xlRTTYENDU=2)*(xlRTTYEQCL=$F1958)*(xlRTEQTYPE=$G1958),0))</f>
        <v>CENT_AIR4</v>
      </c>
    </row>
    <row r="1959" spans="1:25" s="157" customFormat="1" ht="14.25" customHeight="1" x14ac:dyDescent="0.2">
      <c r="A1959"/>
      <c r="B1959" s="49">
        <v>2</v>
      </c>
      <c r="C1959" s="49">
        <v>2</v>
      </c>
      <c r="D1959" s="49">
        <v>9</v>
      </c>
      <c r="E1959" s="49">
        <v>31</v>
      </c>
      <c r="F1959" s="49">
        <v>2</v>
      </c>
      <c r="G1959" s="49">
        <v>8</v>
      </c>
      <c r="H1959" s="49">
        <v>2033</v>
      </c>
      <c r="I1959" s="49">
        <v>2050</v>
      </c>
      <c r="J1959" s="50">
        <v>1.0891</v>
      </c>
      <c r="K1959" s="50">
        <v>1.0713999999999999</v>
      </c>
      <c r="L1959" s="50">
        <v>0.55879999999999996</v>
      </c>
      <c r="M1959" s="50">
        <v>1.1416999999999999</v>
      </c>
      <c r="N1959" s="50">
        <v>1.1254999999999999</v>
      </c>
      <c r="O1959" s="50">
        <v>1.0538000000000001</v>
      </c>
      <c r="P1959" s="49">
        <v>3572</v>
      </c>
      <c r="Q1959" s="51">
        <f t="array" ref="Q1959">SUM(IF(($S1959&gt;=4)*($C1959='TaxCred&amp;Subs'!$D$123:$D$127)*($H1959='TaxCred&amp;Subs'!$C$123:$C$127)*($H1959&lt;='TaxCred&amp;Subs'!$C$129),'TaxCred&amp;Subs'!$E$123:$E$127,0))</f>
        <v>0</v>
      </c>
      <c r="R1959" s="171">
        <v>0</v>
      </c>
      <c r="S1959" s="49">
        <v>5</v>
      </c>
      <c r="T1959" s="49" t="s">
        <v>225</v>
      </c>
      <c r="U1959"/>
      <c r="V1959" s="153" t="str">
        <f t="array" ref="V1959">INDEX(xlRTCLNAME,MATCH(1,(xlRTCLENDU=1)*(xlRTCLEQCL=$D1959),0))</f>
        <v>WOOD_HT</v>
      </c>
      <c r="W1959" s="153" t="str">
        <f t="array" ref="W1959">INDEX(xlRTCLNAME,MATCH(1,(xlRTCLENDU=2)*(xlRTCLEQCL=$F1959),0))</f>
        <v>CENT_AIR</v>
      </c>
      <c r="X1959" s="153" t="str">
        <f t="array" ref="X1959">INDEX(xlRTTYNAME,MATCH(1,(xlRTTYENDU=1)*(xlRTTYEQCL=$D1959)*(xlRTEQTYPE=$E1959),0))</f>
        <v>WOOD_HT4</v>
      </c>
      <c r="Y1959" s="153" t="str">
        <f t="array" ref="Y1959">INDEX(xlRTTYNAME,MATCH(1,(xlRTTYENDU=2)*(xlRTTYEQCL=$F1959)*(xlRTEQTYPE=$G1959),0))</f>
        <v>CENT_AIR4</v>
      </c>
    </row>
    <row r="1960" spans="1:25" s="157" customFormat="1" ht="14.25" customHeight="1" x14ac:dyDescent="0.2">
      <c r="A1960"/>
      <c r="B1960" s="126">
        <v>3</v>
      </c>
      <c r="C1960" s="126">
        <v>2</v>
      </c>
      <c r="D1960" s="126">
        <v>9</v>
      </c>
      <c r="E1960" s="126">
        <v>31</v>
      </c>
      <c r="F1960" s="126">
        <v>2</v>
      </c>
      <c r="G1960" s="126">
        <v>8</v>
      </c>
      <c r="H1960" s="126">
        <v>2016</v>
      </c>
      <c r="I1960" s="159">
        <v>2022</v>
      </c>
      <c r="J1960" s="127">
        <v>1.0962000000000001</v>
      </c>
      <c r="K1960" s="127">
        <v>1.0345</v>
      </c>
      <c r="L1960" s="127">
        <v>0.5524</v>
      </c>
      <c r="M1960" s="127">
        <v>1.0310999999999999</v>
      </c>
      <c r="N1960" s="127">
        <v>1.0417000000000001</v>
      </c>
      <c r="O1960" s="127">
        <v>1.0538000000000001</v>
      </c>
      <c r="P1960" s="126">
        <v>3206</v>
      </c>
      <c r="Q1960" s="128">
        <f t="array" ref="Q1960">SUM(IF(($S1960&gt;=4)*($C1960='TaxCred&amp;Subs'!$D$123:$D$127)*($H1960='TaxCred&amp;Subs'!$C$123:$C$127)*($H1960&lt;='TaxCred&amp;Subs'!$C$129),'TaxCred&amp;Subs'!$E$123:$E$127,0))</f>
        <v>0</v>
      </c>
      <c r="R1960" s="174">
        <v>0</v>
      </c>
      <c r="S1960" s="126">
        <v>5</v>
      </c>
      <c r="T1960" s="126" t="s">
        <v>225</v>
      </c>
      <c r="U1960"/>
      <c r="V1960" s="153" t="str">
        <f t="array" ref="V1960">INDEX(xlRTCLNAME,MATCH(1,(xlRTCLENDU=1)*(xlRTCLEQCL=$D1960),0))</f>
        <v>WOOD_HT</v>
      </c>
      <c r="W1960" s="153" t="str">
        <f t="array" ref="W1960">INDEX(xlRTCLNAME,MATCH(1,(xlRTCLENDU=2)*(xlRTCLEQCL=$F1960),0))</f>
        <v>CENT_AIR</v>
      </c>
      <c r="X1960" s="153" t="str">
        <f t="array" ref="X1960">INDEX(xlRTTYNAME,MATCH(1,(xlRTTYENDU=1)*(xlRTTYEQCL=$D1960)*(xlRTEQTYPE=$E1960),0))</f>
        <v>WOOD_HT4</v>
      </c>
      <c r="Y1960" s="153" t="str">
        <f t="array" ref="Y1960">INDEX(xlRTTYNAME,MATCH(1,(xlRTTYENDU=2)*(xlRTTYEQCL=$F1960)*(xlRTEQTYPE=$G1960),0))</f>
        <v>CENT_AIR4</v>
      </c>
    </row>
    <row r="1961" spans="1:25" s="157" customFormat="1" ht="14.25" customHeight="1" x14ac:dyDescent="0.2">
      <c r="A1961"/>
      <c r="B1961" s="49">
        <v>3</v>
      </c>
      <c r="C1961" s="49">
        <v>2</v>
      </c>
      <c r="D1961" s="49">
        <v>9</v>
      </c>
      <c r="E1961" s="49">
        <v>31</v>
      </c>
      <c r="F1961" s="49">
        <v>2</v>
      </c>
      <c r="G1961" s="49">
        <v>8</v>
      </c>
      <c r="H1961" s="49">
        <v>2023</v>
      </c>
      <c r="I1961" s="49">
        <v>2032</v>
      </c>
      <c r="J1961" s="50">
        <v>1.0962000000000001</v>
      </c>
      <c r="K1961" s="50">
        <v>1.0345</v>
      </c>
      <c r="L1961" s="50">
        <v>0.5524</v>
      </c>
      <c r="M1961" s="50">
        <v>1.0310999999999999</v>
      </c>
      <c r="N1961" s="50">
        <v>1.0417000000000001</v>
      </c>
      <c r="O1961" s="50">
        <v>1.0538000000000001</v>
      </c>
      <c r="P1961" s="49">
        <v>3206</v>
      </c>
      <c r="Q1961" s="51">
        <f t="array" ref="Q1961">SUM(IF(($S1961&gt;=4)*($C1961='TaxCred&amp;Subs'!$D$123:$D$127)*($H1961='TaxCred&amp;Subs'!$C$123:$C$127)*($H1961&lt;='TaxCred&amp;Subs'!$C$129),'TaxCred&amp;Subs'!$E$123:$E$127,0))</f>
        <v>500</v>
      </c>
      <c r="R1961" s="171">
        <v>0</v>
      </c>
      <c r="S1961" s="49">
        <v>5</v>
      </c>
      <c r="T1961" s="49" t="s">
        <v>225</v>
      </c>
      <c r="U1961"/>
      <c r="V1961" s="153" t="str">
        <f t="array" ref="V1961">INDEX(xlRTCLNAME,MATCH(1,(xlRTCLENDU=1)*(xlRTCLEQCL=$D1961),0))</f>
        <v>WOOD_HT</v>
      </c>
      <c r="W1961" s="153" t="str">
        <f t="array" ref="W1961">INDEX(xlRTCLNAME,MATCH(1,(xlRTCLENDU=2)*(xlRTCLEQCL=$F1961),0))</f>
        <v>CENT_AIR</v>
      </c>
      <c r="X1961" s="153" t="str">
        <f t="array" ref="X1961">INDEX(xlRTTYNAME,MATCH(1,(xlRTTYENDU=1)*(xlRTTYEQCL=$D1961)*(xlRTEQTYPE=$E1961),0))</f>
        <v>WOOD_HT4</v>
      </c>
      <c r="Y1961" s="153" t="str">
        <f t="array" ref="Y1961">INDEX(xlRTTYNAME,MATCH(1,(xlRTTYENDU=2)*(xlRTTYEQCL=$F1961)*(xlRTEQTYPE=$G1961),0))</f>
        <v>CENT_AIR4</v>
      </c>
    </row>
    <row r="1962" spans="1:25" s="157" customFormat="1" ht="14.25" customHeight="1" x14ac:dyDescent="0.2">
      <c r="A1962"/>
      <c r="B1962" s="49">
        <v>3</v>
      </c>
      <c r="C1962" s="49">
        <v>2</v>
      </c>
      <c r="D1962" s="49">
        <v>9</v>
      </c>
      <c r="E1962" s="49">
        <v>31</v>
      </c>
      <c r="F1962" s="49">
        <v>2</v>
      </c>
      <c r="G1962" s="49">
        <v>8</v>
      </c>
      <c r="H1962" s="49">
        <v>2033</v>
      </c>
      <c r="I1962" s="49">
        <v>2050</v>
      </c>
      <c r="J1962" s="50">
        <v>1.0962000000000001</v>
      </c>
      <c r="K1962" s="50">
        <v>1.0345</v>
      </c>
      <c r="L1962" s="50">
        <v>0.5524</v>
      </c>
      <c r="M1962" s="50">
        <v>1.0310999999999999</v>
      </c>
      <c r="N1962" s="50">
        <v>1.0417000000000001</v>
      </c>
      <c r="O1962" s="50">
        <v>1.0538000000000001</v>
      </c>
      <c r="P1962" s="49">
        <v>3206</v>
      </c>
      <c r="Q1962" s="51">
        <f t="array" ref="Q1962">SUM(IF(($S1962&gt;=4)*($C1962='TaxCred&amp;Subs'!$D$123:$D$127)*($H1962='TaxCred&amp;Subs'!$C$123:$C$127)*($H1962&lt;='TaxCred&amp;Subs'!$C$129),'TaxCred&amp;Subs'!$E$123:$E$127,0))</f>
        <v>0</v>
      </c>
      <c r="R1962" s="171">
        <v>0</v>
      </c>
      <c r="S1962" s="49">
        <v>5</v>
      </c>
      <c r="T1962" s="49" t="s">
        <v>225</v>
      </c>
      <c r="U1962"/>
      <c r="V1962" s="153" t="str">
        <f t="array" ref="V1962">INDEX(xlRTCLNAME,MATCH(1,(xlRTCLENDU=1)*(xlRTCLEQCL=$D1962),0))</f>
        <v>WOOD_HT</v>
      </c>
      <c r="W1962" s="153" t="str">
        <f t="array" ref="W1962">INDEX(xlRTCLNAME,MATCH(1,(xlRTCLENDU=2)*(xlRTCLEQCL=$F1962),0))</f>
        <v>CENT_AIR</v>
      </c>
      <c r="X1962" s="153" t="str">
        <f t="array" ref="X1962">INDEX(xlRTTYNAME,MATCH(1,(xlRTTYENDU=1)*(xlRTTYEQCL=$D1962)*(xlRTEQTYPE=$E1962),0))</f>
        <v>WOOD_HT4</v>
      </c>
      <c r="Y1962" s="153" t="str">
        <f t="array" ref="Y1962">INDEX(xlRTTYNAME,MATCH(1,(xlRTTYENDU=2)*(xlRTTYEQCL=$F1962)*(xlRTEQTYPE=$G1962),0))</f>
        <v>CENT_AIR4</v>
      </c>
    </row>
    <row r="1963" spans="1:25" s="157" customFormat="1" ht="14.25" customHeight="1" x14ac:dyDescent="0.2">
      <c r="A1963"/>
      <c r="B1963" s="126">
        <v>4</v>
      </c>
      <c r="C1963" s="126">
        <v>2</v>
      </c>
      <c r="D1963" s="126">
        <v>9</v>
      </c>
      <c r="E1963" s="126">
        <v>31</v>
      </c>
      <c r="F1963" s="126">
        <v>2</v>
      </c>
      <c r="G1963" s="126">
        <v>8</v>
      </c>
      <c r="H1963" s="126">
        <v>2016</v>
      </c>
      <c r="I1963" s="159">
        <v>2022</v>
      </c>
      <c r="J1963" s="127">
        <v>1.1024</v>
      </c>
      <c r="K1963" s="127">
        <v>1.0435000000000001</v>
      </c>
      <c r="L1963" s="127">
        <v>0.6149</v>
      </c>
      <c r="M1963" s="127">
        <v>1.1499999999999999</v>
      </c>
      <c r="N1963" s="127">
        <v>1.1678999999999999</v>
      </c>
      <c r="O1963" s="127">
        <v>1.0538000000000001</v>
      </c>
      <c r="P1963" s="126">
        <v>2669</v>
      </c>
      <c r="Q1963" s="128">
        <f t="array" ref="Q1963">SUM(IF(($S1963&gt;=4)*($C1963='TaxCred&amp;Subs'!$D$123:$D$127)*($H1963='TaxCred&amp;Subs'!$C$123:$C$127)*($H1963&lt;='TaxCred&amp;Subs'!$C$129),'TaxCred&amp;Subs'!$E$123:$E$127,0))</f>
        <v>0</v>
      </c>
      <c r="R1963" s="174">
        <v>0</v>
      </c>
      <c r="S1963" s="126">
        <v>5</v>
      </c>
      <c r="T1963" s="126" t="s">
        <v>225</v>
      </c>
      <c r="U1963"/>
      <c r="V1963" s="153" t="str">
        <f t="array" ref="V1963">INDEX(xlRTCLNAME,MATCH(1,(xlRTCLENDU=1)*(xlRTCLEQCL=$D1963),0))</f>
        <v>WOOD_HT</v>
      </c>
      <c r="W1963" s="153" t="str">
        <f t="array" ref="W1963">INDEX(xlRTCLNAME,MATCH(1,(xlRTCLENDU=2)*(xlRTCLEQCL=$F1963),0))</f>
        <v>CENT_AIR</v>
      </c>
      <c r="X1963" s="153" t="str">
        <f t="array" ref="X1963">INDEX(xlRTTYNAME,MATCH(1,(xlRTTYENDU=1)*(xlRTTYEQCL=$D1963)*(xlRTEQTYPE=$E1963),0))</f>
        <v>WOOD_HT4</v>
      </c>
      <c r="Y1963" s="153" t="str">
        <f t="array" ref="Y1963">INDEX(xlRTTYNAME,MATCH(1,(xlRTTYENDU=2)*(xlRTTYEQCL=$F1963)*(xlRTEQTYPE=$G1963),0))</f>
        <v>CENT_AIR4</v>
      </c>
    </row>
    <row r="1964" spans="1:25" s="157" customFormat="1" ht="14.25" customHeight="1" x14ac:dyDescent="0.2">
      <c r="A1964"/>
      <c r="B1964" s="49">
        <v>4</v>
      </c>
      <c r="C1964" s="49">
        <v>2</v>
      </c>
      <c r="D1964" s="49">
        <v>9</v>
      </c>
      <c r="E1964" s="49">
        <v>31</v>
      </c>
      <c r="F1964" s="49">
        <v>2</v>
      </c>
      <c r="G1964" s="49">
        <v>8</v>
      </c>
      <c r="H1964" s="49">
        <v>2023</v>
      </c>
      <c r="I1964" s="49">
        <v>2032</v>
      </c>
      <c r="J1964" s="50">
        <v>1.1024</v>
      </c>
      <c r="K1964" s="50">
        <v>1.0435000000000001</v>
      </c>
      <c r="L1964" s="50">
        <v>0.6149</v>
      </c>
      <c r="M1964" s="50">
        <v>1.1499999999999999</v>
      </c>
      <c r="N1964" s="50">
        <v>1.1678999999999999</v>
      </c>
      <c r="O1964" s="50">
        <v>1.0538000000000001</v>
      </c>
      <c r="P1964" s="49">
        <v>2669</v>
      </c>
      <c r="Q1964" s="51">
        <f t="array" ref="Q1964">SUM(IF(($S1964&gt;=4)*($C1964='TaxCred&amp;Subs'!$D$123:$D$127)*($H1964='TaxCred&amp;Subs'!$C$123:$C$127)*($H1964&lt;='TaxCred&amp;Subs'!$C$129),'TaxCred&amp;Subs'!$E$123:$E$127,0))</f>
        <v>500</v>
      </c>
      <c r="R1964" s="171">
        <v>0</v>
      </c>
      <c r="S1964" s="49">
        <v>5</v>
      </c>
      <c r="T1964" s="49" t="s">
        <v>225</v>
      </c>
      <c r="U1964"/>
      <c r="V1964" s="153" t="str">
        <f t="array" ref="V1964">INDEX(xlRTCLNAME,MATCH(1,(xlRTCLENDU=1)*(xlRTCLEQCL=$D1964),0))</f>
        <v>WOOD_HT</v>
      </c>
      <c r="W1964" s="153" t="str">
        <f t="array" ref="W1964">INDEX(xlRTCLNAME,MATCH(1,(xlRTCLENDU=2)*(xlRTCLEQCL=$F1964),0))</f>
        <v>CENT_AIR</v>
      </c>
      <c r="X1964" s="153" t="str">
        <f t="array" ref="X1964">INDEX(xlRTTYNAME,MATCH(1,(xlRTTYENDU=1)*(xlRTTYEQCL=$D1964)*(xlRTEQTYPE=$E1964),0))</f>
        <v>WOOD_HT4</v>
      </c>
      <c r="Y1964" s="153" t="str">
        <f t="array" ref="Y1964">INDEX(xlRTTYNAME,MATCH(1,(xlRTTYENDU=2)*(xlRTTYEQCL=$F1964)*(xlRTEQTYPE=$G1964),0))</f>
        <v>CENT_AIR4</v>
      </c>
    </row>
    <row r="1965" spans="1:25" s="157" customFormat="1" ht="14.25" customHeight="1" x14ac:dyDescent="0.2">
      <c r="A1965"/>
      <c r="B1965" s="49">
        <v>4</v>
      </c>
      <c r="C1965" s="49">
        <v>2</v>
      </c>
      <c r="D1965" s="49">
        <v>9</v>
      </c>
      <c r="E1965" s="49">
        <v>31</v>
      </c>
      <c r="F1965" s="49">
        <v>2</v>
      </c>
      <c r="G1965" s="49">
        <v>8</v>
      </c>
      <c r="H1965" s="49">
        <v>2033</v>
      </c>
      <c r="I1965" s="49">
        <v>2050</v>
      </c>
      <c r="J1965" s="50">
        <v>1.1024</v>
      </c>
      <c r="K1965" s="50">
        <v>1.0435000000000001</v>
      </c>
      <c r="L1965" s="50">
        <v>0.6149</v>
      </c>
      <c r="M1965" s="50">
        <v>1.1499999999999999</v>
      </c>
      <c r="N1965" s="50">
        <v>1.1678999999999999</v>
      </c>
      <c r="O1965" s="50">
        <v>1.0538000000000001</v>
      </c>
      <c r="P1965" s="49">
        <v>2669</v>
      </c>
      <c r="Q1965" s="51">
        <f t="array" ref="Q1965">SUM(IF(($S1965&gt;=4)*($C1965='TaxCred&amp;Subs'!$D$123:$D$127)*($H1965='TaxCred&amp;Subs'!$C$123:$C$127)*($H1965&lt;='TaxCred&amp;Subs'!$C$129),'TaxCred&amp;Subs'!$E$123:$E$127,0))</f>
        <v>0</v>
      </c>
      <c r="R1965" s="171">
        <v>0</v>
      </c>
      <c r="S1965" s="49">
        <v>5</v>
      </c>
      <c r="T1965" s="49" t="s">
        <v>225</v>
      </c>
      <c r="U1965"/>
      <c r="V1965" s="153" t="str">
        <f t="array" ref="V1965">INDEX(xlRTCLNAME,MATCH(1,(xlRTCLENDU=1)*(xlRTCLEQCL=$D1965),0))</f>
        <v>WOOD_HT</v>
      </c>
      <c r="W1965" s="153" t="str">
        <f t="array" ref="W1965">INDEX(xlRTCLNAME,MATCH(1,(xlRTCLENDU=2)*(xlRTCLEQCL=$F1965),0))</f>
        <v>CENT_AIR</v>
      </c>
      <c r="X1965" s="153" t="str">
        <f t="array" ref="X1965">INDEX(xlRTTYNAME,MATCH(1,(xlRTTYENDU=1)*(xlRTTYEQCL=$D1965)*(xlRTEQTYPE=$E1965),0))</f>
        <v>WOOD_HT4</v>
      </c>
      <c r="Y1965" s="153" t="str">
        <f t="array" ref="Y1965">INDEX(xlRTTYNAME,MATCH(1,(xlRTTYENDU=2)*(xlRTTYEQCL=$F1965)*(xlRTEQTYPE=$G1965),0))</f>
        <v>CENT_AIR4</v>
      </c>
    </row>
    <row r="1966" spans="1:25" s="157" customFormat="1" ht="14.25" customHeight="1" x14ac:dyDescent="0.2">
      <c r="A1966"/>
      <c r="B1966" s="126">
        <v>5</v>
      </c>
      <c r="C1966" s="126">
        <v>2</v>
      </c>
      <c r="D1966" s="126">
        <v>9</v>
      </c>
      <c r="E1966" s="126">
        <v>31</v>
      </c>
      <c r="F1966" s="126">
        <v>2</v>
      </c>
      <c r="G1966" s="126">
        <v>8</v>
      </c>
      <c r="H1966" s="126">
        <v>2016</v>
      </c>
      <c r="I1966" s="159">
        <v>2022</v>
      </c>
      <c r="J1966" s="127">
        <v>1.03</v>
      </c>
      <c r="K1966" s="127">
        <v>1.03</v>
      </c>
      <c r="L1966" s="127">
        <v>0.44379999999999997</v>
      </c>
      <c r="M1966" s="127">
        <v>1.0314000000000001</v>
      </c>
      <c r="N1966" s="127">
        <v>1.3003</v>
      </c>
      <c r="O1966" s="127">
        <v>1.0538000000000001</v>
      </c>
      <c r="P1966" s="126">
        <v>2401</v>
      </c>
      <c r="Q1966" s="128">
        <f t="array" ref="Q1966">SUM(IF(($S1966&gt;=4)*($C1966='TaxCred&amp;Subs'!$D$123:$D$127)*($H1966='TaxCred&amp;Subs'!$C$123:$C$127)*($H1966&lt;='TaxCred&amp;Subs'!$C$129),'TaxCred&amp;Subs'!$E$123:$E$127,0))</f>
        <v>0</v>
      </c>
      <c r="R1966" s="174">
        <v>0</v>
      </c>
      <c r="S1966" s="126">
        <v>5</v>
      </c>
      <c r="T1966" s="126" t="s">
        <v>225</v>
      </c>
      <c r="U1966"/>
      <c r="V1966" s="153" t="str">
        <f t="array" ref="V1966">INDEX(xlRTCLNAME,MATCH(1,(xlRTCLENDU=1)*(xlRTCLEQCL=$D1966),0))</f>
        <v>WOOD_HT</v>
      </c>
      <c r="W1966" s="153" t="str">
        <f t="array" ref="W1966">INDEX(xlRTCLNAME,MATCH(1,(xlRTCLENDU=2)*(xlRTCLEQCL=$F1966),0))</f>
        <v>CENT_AIR</v>
      </c>
      <c r="X1966" s="153" t="str">
        <f t="array" ref="X1966">INDEX(xlRTTYNAME,MATCH(1,(xlRTTYENDU=1)*(xlRTTYEQCL=$D1966)*(xlRTEQTYPE=$E1966),0))</f>
        <v>WOOD_HT4</v>
      </c>
      <c r="Y1966" s="153" t="str">
        <f t="array" ref="Y1966">INDEX(xlRTTYNAME,MATCH(1,(xlRTTYENDU=2)*(xlRTTYEQCL=$F1966)*(xlRTEQTYPE=$G1966),0))</f>
        <v>CENT_AIR4</v>
      </c>
    </row>
    <row r="1967" spans="1:25" s="157" customFormat="1" ht="14.25" customHeight="1" x14ac:dyDescent="0.2">
      <c r="A1967"/>
      <c r="B1967" s="49">
        <v>5</v>
      </c>
      <c r="C1967" s="49">
        <v>2</v>
      </c>
      <c r="D1967" s="49">
        <v>9</v>
      </c>
      <c r="E1967" s="49">
        <v>31</v>
      </c>
      <c r="F1967" s="49">
        <v>2</v>
      </c>
      <c r="G1967" s="49">
        <v>8</v>
      </c>
      <c r="H1967" s="49">
        <v>2023</v>
      </c>
      <c r="I1967" s="49">
        <v>2032</v>
      </c>
      <c r="J1967" s="50">
        <v>1.03</v>
      </c>
      <c r="K1967" s="50">
        <v>1.03</v>
      </c>
      <c r="L1967" s="50">
        <v>0.44379999999999997</v>
      </c>
      <c r="M1967" s="50">
        <v>1.0314000000000001</v>
      </c>
      <c r="N1967" s="50">
        <v>1.3003</v>
      </c>
      <c r="O1967" s="50">
        <v>1.0538000000000001</v>
      </c>
      <c r="P1967" s="49">
        <v>2401</v>
      </c>
      <c r="Q1967" s="51">
        <f t="array" ref="Q1967">SUM(IF(($S1967&gt;=4)*($C1967='TaxCred&amp;Subs'!$D$123:$D$127)*($H1967='TaxCred&amp;Subs'!$C$123:$C$127)*($H1967&lt;='TaxCred&amp;Subs'!$C$129),'TaxCred&amp;Subs'!$E$123:$E$127,0))</f>
        <v>500</v>
      </c>
      <c r="R1967" s="171">
        <v>0</v>
      </c>
      <c r="S1967" s="49">
        <v>5</v>
      </c>
      <c r="T1967" s="49" t="s">
        <v>225</v>
      </c>
      <c r="U1967"/>
      <c r="V1967" s="153" t="str">
        <f t="array" ref="V1967">INDEX(xlRTCLNAME,MATCH(1,(xlRTCLENDU=1)*(xlRTCLEQCL=$D1967),0))</f>
        <v>WOOD_HT</v>
      </c>
      <c r="W1967" s="153" t="str">
        <f t="array" ref="W1967">INDEX(xlRTCLNAME,MATCH(1,(xlRTCLENDU=2)*(xlRTCLEQCL=$F1967),0))</f>
        <v>CENT_AIR</v>
      </c>
      <c r="X1967" s="153" t="str">
        <f t="array" ref="X1967">INDEX(xlRTTYNAME,MATCH(1,(xlRTTYENDU=1)*(xlRTTYEQCL=$D1967)*(xlRTEQTYPE=$E1967),0))</f>
        <v>WOOD_HT4</v>
      </c>
      <c r="Y1967" s="153" t="str">
        <f t="array" ref="Y1967">INDEX(xlRTTYNAME,MATCH(1,(xlRTTYENDU=2)*(xlRTTYEQCL=$F1967)*(xlRTEQTYPE=$G1967),0))</f>
        <v>CENT_AIR4</v>
      </c>
    </row>
    <row r="1968" spans="1:25" s="157" customFormat="1" ht="14.25" customHeight="1" x14ac:dyDescent="0.2">
      <c r="A1968"/>
      <c r="B1968" s="49">
        <v>5</v>
      </c>
      <c r="C1968" s="49">
        <v>2</v>
      </c>
      <c r="D1968" s="49">
        <v>9</v>
      </c>
      <c r="E1968" s="49">
        <v>31</v>
      </c>
      <c r="F1968" s="49">
        <v>2</v>
      </c>
      <c r="G1968" s="49">
        <v>8</v>
      </c>
      <c r="H1968" s="49">
        <v>2033</v>
      </c>
      <c r="I1968" s="49">
        <v>2050</v>
      </c>
      <c r="J1968" s="50">
        <v>1.03</v>
      </c>
      <c r="K1968" s="50">
        <v>1.03</v>
      </c>
      <c r="L1968" s="50">
        <v>0.44379999999999997</v>
      </c>
      <c r="M1968" s="50">
        <v>1.0314000000000001</v>
      </c>
      <c r="N1968" s="50">
        <v>1.3003</v>
      </c>
      <c r="O1968" s="50">
        <v>1.0538000000000001</v>
      </c>
      <c r="P1968" s="49">
        <v>2401</v>
      </c>
      <c r="Q1968" s="51">
        <f t="array" ref="Q1968">SUM(IF(($S1968&gt;=4)*($C1968='TaxCred&amp;Subs'!$D$123:$D$127)*($H1968='TaxCred&amp;Subs'!$C$123:$C$127)*($H1968&lt;='TaxCred&amp;Subs'!$C$129),'TaxCred&amp;Subs'!$E$123:$E$127,0))</f>
        <v>0</v>
      </c>
      <c r="R1968" s="171">
        <v>0</v>
      </c>
      <c r="S1968" s="49">
        <v>5</v>
      </c>
      <c r="T1968" s="49" t="s">
        <v>225</v>
      </c>
      <c r="U1968"/>
      <c r="V1968" s="153" t="str">
        <f t="array" ref="V1968">INDEX(xlRTCLNAME,MATCH(1,(xlRTCLENDU=1)*(xlRTCLEQCL=$D1968),0))</f>
        <v>WOOD_HT</v>
      </c>
      <c r="W1968" s="153" t="str">
        <f t="array" ref="W1968">INDEX(xlRTCLNAME,MATCH(1,(xlRTCLENDU=2)*(xlRTCLEQCL=$F1968),0))</f>
        <v>CENT_AIR</v>
      </c>
      <c r="X1968" s="153" t="str">
        <f t="array" ref="X1968">INDEX(xlRTTYNAME,MATCH(1,(xlRTTYENDU=1)*(xlRTTYEQCL=$D1968)*(xlRTEQTYPE=$E1968),0))</f>
        <v>WOOD_HT4</v>
      </c>
      <c r="Y1968" s="153" t="str">
        <f t="array" ref="Y1968">INDEX(xlRTTYNAME,MATCH(1,(xlRTTYENDU=2)*(xlRTTYEQCL=$F1968)*(xlRTEQTYPE=$G1968),0))</f>
        <v>CENT_AIR4</v>
      </c>
    </row>
    <row r="1969" spans="1:25" s="157" customFormat="1" ht="14.25" customHeight="1" x14ac:dyDescent="0.2">
      <c r="A1969"/>
      <c r="B1969" s="126">
        <v>6</v>
      </c>
      <c r="C1969" s="126">
        <v>2</v>
      </c>
      <c r="D1969" s="126">
        <v>9</v>
      </c>
      <c r="E1969" s="126">
        <v>31</v>
      </c>
      <c r="F1969" s="126">
        <v>2</v>
      </c>
      <c r="G1969" s="126">
        <v>8</v>
      </c>
      <c r="H1969" s="126">
        <v>2016</v>
      </c>
      <c r="I1969" s="159">
        <v>2022</v>
      </c>
      <c r="J1969" s="127">
        <v>1.1200000000000001</v>
      </c>
      <c r="K1969" s="127">
        <v>1.0417000000000001</v>
      </c>
      <c r="L1969" s="127">
        <v>0.44379999999999997</v>
      </c>
      <c r="M1969" s="127">
        <v>1.0546</v>
      </c>
      <c r="N1969" s="127">
        <v>1.3656999999999999</v>
      </c>
      <c r="O1969" s="127">
        <v>1.0538000000000001</v>
      </c>
      <c r="P1969" s="126">
        <v>2657</v>
      </c>
      <c r="Q1969" s="128">
        <f t="array" ref="Q1969">SUM(IF(($S1969&gt;=4)*($C1969='TaxCred&amp;Subs'!$D$123:$D$127)*($H1969='TaxCred&amp;Subs'!$C$123:$C$127)*($H1969&lt;='TaxCred&amp;Subs'!$C$129),'TaxCred&amp;Subs'!$E$123:$E$127,0))</f>
        <v>0</v>
      </c>
      <c r="R1969" s="174">
        <v>0</v>
      </c>
      <c r="S1969" s="126">
        <v>5</v>
      </c>
      <c r="T1969" s="126" t="s">
        <v>225</v>
      </c>
      <c r="U1969"/>
      <c r="V1969" s="153" t="str">
        <f t="array" ref="V1969">INDEX(xlRTCLNAME,MATCH(1,(xlRTCLENDU=1)*(xlRTCLEQCL=$D1969),0))</f>
        <v>WOOD_HT</v>
      </c>
      <c r="W1969" s="153" t="str">
        <f t="array" ref="W1969">INDEX(xlRTCLNAME,MATCH(1,(xlRTCLENDU=2)*(xlRTCLEQCL=$F1969),0))</f>
        <v>CENT_AIR</v>
      </c>
      <c r="X1969" s="153" t="str">
        <f t="array" ref="X1969">INDEX(xlRTTYNAME,MATCH(1,(xlRTTYENDU=1)*(xlRTTYEQCL=$D1969)*(xlRTEQTYPE=$E1969),0))</f>
        <v>WOOD_HT4</v>
      </c>
      <c r="Y1969" s="153" t="str">
        <f t="array" ref="Y1969">INDEX(xlRTTYNAME,MATCH(1,(xlRTTYENDU=2)*(xlRTTYEQCL=$F1969)*(xlRTEQTYPE=$G1969),0))</f>
        <v>CENT_AIR4</v>
      </c>
    </row>
    <row r="1970" spans="1:25" s="157" customFormat="1" ht="14.25" customHeight="1" x14ac:dyDescent="0.2">
      <c r="A1970"/>
      <c r="B1970" s="49">
        <v>6</v>
      </c>
      <c r="C1970" s="49">
        <v>2</v>
      </c>
      <c r="D1970" s="49">
        <v>9</v>
      </c>
      <c r="E1970" s="49">
        <v>31</v>
      </c>
      <c r="F1970" s="49">
        <v>2</v>
      </c>
      <c r="G1970" s="49">
        <v>8</v>
      </c>
      <c r="H1970" s="49">
        <v>2023</v>
      </c>
      <c r="I1970" s="49">
        <v>2032</v>
      </c>
      <c r="J1970" s="50">
        <v>1.1200000000000001</v>
      </c>
      <c r="K1970" s="50">
        <v>1.0417000000000001</v>
      </c>
      <c r="L1970" s="50">
        <v>0.44379999999999997</v>
      </c>
      <c r="M1970" s="50">
        <v>1.0546</v>
      </c>
      <c r="N1970" s="50">
        <v>1.3656999999999999</v>
      </c>
      <c r="O1970" s="50">
        <v>1.0538000000000001</v>
      </c>
      <c r="P1970" s="49">
        <v>2657</v>
      </c>
      <c r="Q1970" s="51">
        <f t="array" ref="Q1970">SUM(IF(($S1970&gt;=4)*($C1970='TaxCred&amp;Subs'!$D$123:$D$127)*($H1970='TaxCred&amp;Subs'!$C$123:$C$127)*($H1970&lt;='TaxCred&amp;Subs'!$C$129),'TaxCred&amp;Subs'!$E$123:$E$127,0))</f>
        <v>500</v>
      </c>
      <c r="R1970" s="171">
        <v>0</v>
      </c>
      <c r="S1970" s="49">
        <v>5</v>
      </c>
      <c r="T1970" s="49" t="s">
        <v>225</v>
      </c>
      <c r="U1970"/>
      <c r="V1970" s="153" t="str">
        <f t="array" ref="V1970">INDEX(xlRTCLNAME,MATCH(1,(xlRTCLENDU=1)*(xlRTCLEQCL=$D1970),0))</f>
        <v>WOOD_HT</v>
      </c>
      <c r="W1970" s="153" t="str">
        <f t="array" ref="W1970">INDEX(xlRTCLNAME,MATCH(1,(xlRTCLENDU=2)*(xlRTCLEQCL=$F1970),0))</f>
        <v>CENT_AIR</v>
      </c>
      <c r="X1970" s="153" t="str">
        <f t="array" ref="X1970">INDEX(xlRTTYNAME,MATCH(1,(xlRTTYENDU=1)*(xlRTTYEQCL=$D1970)*(xlRTEQTYPE=$E1970),0))</f>
        <v>WOOD_HT4</v>
      </c>
      <c r="Y1970" s="153" t="str">
        <f t="array" ref="Y1970">INDEX(xlRTTYNAME,MATCH(1,(xlRTTYENDU=2)*(xlRTTYEQCL=$F1970)*(xlRTEQTYPE=$G1970),0))</f>
        <v>CENT_AIR4</v>
      </c>
    </row>
    <row r="1971" spans="1:25" s="157" customFormat="1" ht="14.25" customHeight="1" x14ac:dyDescent="0.2">
      <c r="A1971"/>
      <c r="B1971" s="49">
        <v>6</v>
      </c>
      <c r="C1971" s="49">
        <v>2</v>
      </c>
      <c r="D1971" s="49">
        <v>9</v>
      </c>
      <c r="E1971" s="49">
        <v>31</v>
      </c>
      <c r="F1971" s="49">
        <v>2</v>
      </c>
      <c r="G1971" s="49">
        <v>8</v>
      </c>
      <c r="H1971" s="49">
        <v>2033</v>
      </c>
      <c r="I1971" s="49">
        <v>2050</v>
      </c>
      <c r="J1971" s="50">
        <v>1.1200000000000001</v>
      </c>
      <c r="K1971" s="50">
        <v>1.0417000000000001</v>
      </c>
      <c r="L1971" s="50">
        <v>0.44379999999999997</v>
      </c>
      <c r="M1971" s="50">
        <v>1.0546</v>
      </c>
      <c r="N1971" s="50">
        <v>1.3656999999999999</v>
      </c>
      <c r="O1971" s="50">
        <v>1.0538000000000001</v>
      </c>
      <c r="P1971" s="49">
        <v>2657</v>
      </c>
      <c r="Q1971" s="51">
        <f t="array" ref="Q1971">SUM(IF(($S1971&gt;=4)*($C1971='TaxCred&amp;Subs'!$D$123:$D$127)*($H1971='TaxCred&amp;Subs'!$C$123:$C$127)*($H1971&lt;='TaxCred&amp;Subs'!$C$129),'TaxCred&amp;Subs'!$E$123:$E$127,0))</f>
        <v>0</v>
      </c>
      <c r="R1971" s="171">
        <v>0</v>
      </c>
      <c r="S1971" s="49">
        <v>5</v>
      </c>
      <c r="T1971" s="49" t="s">
        <v>225</v>
      </c>
      <c r="U1971"/>
      <c r="V1971" s="153" t="str">
        <f t="array" ref="V1971">INDEX(xlRTCLNAME,MATCH(1,(xlRTCLENDU=1)*(xlRTCLEQCL=$D1971),0))</f>
        <v>WOOD_HT</v>
      </c>
      <c r="W1971" s="153" t="str">
        <f t="array" ref="W1971">INDEX(xlRTCLNAME,MATCH(1,(xlRTCLENDU=2)*(xlRTCLEQCL=$F1971),0))</f>
        <v>CENT_AIR</v>
      </c>
      <c r="X1971" s="153" t="str">
        <f t="array" ref="X1971">INDEX(xlRTTYNAME,MATCH(1,(xlRTTYENDU=1)*(xlRTTYEQCL=$D1971)*(xlRTEQTYPE=$E1971),0))</f>
        <v>WOOD_HT4</v>
      </c>
      <c r="Y1971" s="153" t="str">
        <f t="array" ref="Y1971">INDEX(xlRTTYNAME,MATCH(1,(xlRTTYENDU=2)*(xlRTTYEQCL=$F1971)*(xlRTEQTYPE=$G1971),0))</f>
        <v>CENT_AIR4</v>
      </c>
    </row>
    <row r="1972" spans="1:25" s="157" customFormat="1" ht="14.25" customHeight="1" x14ac:dyDescent="0.2">
      <c r="A1972"/>
      <c r="B1972" s="126">
        <v>7</v>
      </c>
      <c r="C1972" s="126">
        <v>2</v>
      </c>
      <c r="D1972" s="126">
        <v>9</v>
      </c>
      <c r="E1972" s="126">
        <v>31</v>
      </c>
      <c r="F1972" s="126">
        <v>2</v>
      </c>
      <c r="G1972" s="126">
        <v>8</v>
      </c>
      <c r="H1972" s="126">
        <v>2016</v>
      </c>
      <c r="I1972" s="159">
        <v>2022</v>
      </c>
      <c r="J1972" s="127">
        <v>1.1200000000000001</v>
      </c>
      <c r="K1972" s="127">
        <v>1.0462</v>
      </c>
      <c r="L1972" s="127">
        <v>0.44379999999999997</v>
      </c>
      <c r="M1972" s="127">
        <v>1.0569</v>
      </c>
      <c r="N1972" s="127">
        <v>1.4438</v>
      </c>
      <c r="O1972" s="127">
        <v>1.0538000000000001</v>
      </c>
      <c r="P1972" s="126">
        <v>2321</v>
      </c>
      <c r="Q1972" s="128">
        <f t="array" ref="Q1972">SUM(IF(($S1972&gt;=4)*($C1972='TaxCred&amp;Subs'!$D$123:$D$127)*($H1972='TaxCred&amp;Subs'!$C$123:$C$127)*($H1972&lt;='TaxCred&amp;Subs'!$C$129),'TaxCred&amp;Subs'!$E$123:$E$127,0))</f>
        <v>0</v>
      </c>
      <c r="R1972" s="174">
        <v>0</v>
      </c>
      <c r="S1972" s="126">
        <v>5</v>
      </c>
      <c r="T1972" s="126" t="s">
        <v>225</v>
      </c>
      <c r="U1972"/>
      <c r="V1972" s="153" t="str">
        <f t="array" ref="V1972">INDEX(xlRTCLNAME,MATCH(1,(xlRTCLENDU=1)*(xlRTCLEQCL=$D1972),0))</f>
        <v>WOOD_HT</v>
      </c>
      <c r="W1972" s="153" t="str">
        <f t="array" ref="W1972">INDEX(xlRTCLNAME,MATCH(1,(xlRTCLENDU=2)*(xlRTCLEQCL=$F1972),0))</f>
        <v>CENT_AIR</v>
      </c>
      <c r="X1972" s="153" t="str">
        <f t="array" ref="X1972">INDEX(xlRTTYNAME,MATCH(1,(xlRTTYENDU=1)*(xlRTTYEQCL=$D1972)*(xlRTEQTYPE=$E1972),0))</f>
        <v>WOOD_HT4</v>
      </c>
      <c r="Y1972" s="153" t="str">
        <f t="array" ref="Y1972">INDEX(xlRTTYNAME,MATCH(1,(xlRTTYENDU=2)*(xlRTTYEQCL=$F1972)*(xlRTEQTYPE=$G1972),0))</f>
        <v>CENT_AIR4</v>
      </c>
    </row>
    <row r="1973" spans="1:25" s="157" customFormat="1" ht="14.25" customHeight="1" x14ac:dyDescent="0.2">
      <c r="A1973"/>
      <c r="B1973" s="49">
        <v>7</v>
      </c>
      <c r="C1973" s="49">
        <v>2</v>
      </c>
      <c r="D1973" s="49">
        <v>9</v>
      </c>
      <c r="E1973" s="49">
        <v>31</v>
      </c>
      <c r="F1973" s="49">
        <v>2</v>
      </c>
      <c r="G1973" s="49">
        <v>8</v>
      </c>
      <c r="H1973" s="49">
        <v>2023</v>
      </c>
      <c r="I1973" s="49">
        <v>2032</v>
      </c>
      <c r="J1973" s="50">
        <v>1.1200000000000001</v>
      </c>
      <c r="K1973" s="50">
        <v>1.0462</v>
      </c>
      <c r="L1973" s="50">
        <v>0.44379999999999997</v>
      </c>
      <c r="M1973" s="50">
        <v>1.0569</v>
      </c>
      <c r="N1973" s="50">
        <v>1.4438</v>
      </c>
      <c r="O1973" s="50">
        <v>1.0538000000000001</v>
      </c>
      <c r="P1973" s="49">
        <v>2321</v>
      </c>
      <c r="Q1973" s="51">
        <f t="array" ref="Q1973">SUM(IF(($S1973&gt;=4)*($C1973='TaxCred&amp;Subs'!$D$123:$D$127)*($H1973='TaxCred&amp;Subs'!$C$123:$C$127)*($H1973&lt;='TaxCred&amp;Subs'!$C$129),'TaxCred&amp;Subs'!$E$123:$E$127,0))</f>
        <v>500</v>
      </c>
      <c r="R1973" s="171">
        <v>0</v>
      </c>
      <c r="S1973" s="49">
        <v>5</v>
      </c>
      <c r="T1973" s="49" t="s">
        <v>225</v>
      </c>
      <c r="U1973"/>
      <c r="V1973" s="153" t="str">
        <f t="array" ref="V1973">INDEX(xlRTCLNAME,MATCH(1,(xlRTCLENDU=1)*(xlRTCLEQCL=$D1973),0))</f>
        <v>WOOD_HT</v>
      </c>
      <c r="W1973" s="153" t="str">
        <f t="array" ref="W1973">INDEX(xlRTCLNAME,MATCH(1,(xlRTCLENDU=2)*(xlRTCLEQCL=$F1973),0))</f>
        <v>CENT_AIR</v>
      </c>
      <c r="X1973" s="153" t="str">
        <f t="array" ref="X1973">INDEX(xlRTTYNAME,MATCH(1,(xlRTTYENDU=1)*(xlRTTYEQCL=$D1973)*(xlRTEQTYPE=$E1973),0))</f>
        <v>WOOD_HT4</v>
      </c>
      <c r="Y1973" s="153" t="str">
        <f t="array" ref="Y1973">INDEX(xlRTTYNAME,MATCH(1,(xlRTTYENDU=2)*(xlRTTYEQCL=$F1973)*(xlRTEQTYPE=$G1973),0))</f>
        <v>CENT_AIR4</v>
      </c>
    </row>
    <row r="1974" spans="1:25" s="157" customFormat="1" ht="14.25" customHeight="1" x14ac:dyDescent="0.2">
      <c r="A1974"/>
      <c r="B1974" s="49">
        <v>7</v>
      </c>
      <c r="C1974" s="49">
        <v>2</v>
      </c>
      <c r="D1974" s="49">
        <v>9</v>
      </c>
      <c r="E1974" s="49">
        <v>31</v>
      </c>
      <c r="F1974" s="49">
        <v>2</v>
      </c>
      <c r="G1974" s="49">
        <v>8</v>
      </c>
      <c r="H1974" s="49">
        <v>2033</v>
      </c>
      <c r="I1974" s="49">
        <v>2050</v>
      </c>
      <c r="J1974" s="50">
        <v>1.1200000000000001</v>
      </c>
      <c r="K1974" s="50">
        <v>1.0462</v>
      </c>
      <c r="L1974" s="50">
        <v>0.44379999999999997</v>
      </c>
      <c r="M1974" s="50">
        <v>1.0569</v>
      </c>
      <c r="N1974" s="50">
        <v>1.4438</v>
      </c>
      <c r="O1974" s="50">
        <v>1.0538000000000001</v>
      </c>
      <c r="P1974" s="49">
        <v>2321</v>
      </c>
      <c r="Q1974" s="51">
        <f t="array" ref="Q1974">SUM(IF(($S1974&gt;=4)*($C1974='TaxCred&amp;Subs'!$D$123:$D$127)*($H1974='TaxCred&amp;Subs'!$C$123:$C$127)*($H1974&lt;='TaxCred&amp;Subs'!$C$129),'TaxCred&amp;Subs'!$E$123:$E$127,0))</f>
        <v>0</v>
      </c>
      <c r="R1974" s="171">
        <v>0</v>
      </c>
      <c r="S1974" s="49">
        <v>5</v>
      </c>
      <c r="T1974" s="49" t="s">
        <v>225</v>
      </c>
      <c r="U1974"/>
      <c r="V1974" s="153" t="str">
        <f t="array" ref="V1974">INDEX(xlRTCLNAME,MATCH(1,(xlRTCLENDU=1)*(xlRTCLEQCL=$D1974),0))</f>
        <v>WOOD_HT</v>
      </c>
      <c r="W1974" s="153" t="str">
        <f t="array" ref="W1974">INDEX(xlRTCLNAME,MATCH(1,(xlRTCLENDU=2)*(xlRTCLEQCL=$F1974),0))</f>
        <v>CENT_AIR</v>
      </c>
      <c r="X1974" s="153" t="str">
        <f t="array" ref="X1974">INDEX(xlRTTYNAME,MATCH(1,(xlRTTYENDU=1)*(xlRTTYEQCL=$D1974)*(xlRTEQTYPE=$E1974),0))</f>
        <v>WOOD_HT4</v>
      </c>
      <c r="Y1974" s="153" t="str">
        <f t="array" ref="Y1974">INDEX(xlRTTYNAME,MATCH(1,(xlRTTYENDU=2)*(xlRTTYEQCL=$F1974)*(xlRTEQTYPE=$G1974),0))</f>
        <v>CENT_AIR4</v>
      </c>
    </row>
    <row r="1975" spans="1:25" s="157" customFormat="1" ht="14.25" customHeight="1" x14ac:dyDescent="0.2">
      <c r="A1975"/>
      <c r="B1975" s="126">
        <v>8</v>
      </c>
      <c r="C1975" s="126">
        <v>2</v>
      </c>
      <c r="D1975" s="126">
        <v>9</v>
      </c>
      <c r="E1975" s="126">
        <v>31</v>
      </c>
      <c r="F1975" s="126">
        <v>2</v>
      </c>
      <c r="G1975" s="126">
        <v>8</v>
      </c>
      <c r="H1975" s="126">
        <v>2016</v>
      </c>
      <c r="I1975" s="159">
        <v>2022</v>
      </c>
      <c r="J1975" s="127">
        <v>1.1045</v>
      </c>
      <c r="K1975" s="127">
        <v>1.0323</v>
      </c>
      <c r="L1975" s="127">
        <v>0.53910000000000002</v>
      </c>
      <c r="M1975" s="127">
        <v>1.2087000000000001</v>
      </c>
      <c r="N1975" s="127">
        <v>1.2847999999999999</v>
      </c>
      <c r="O1975" s="127">
        <v>1.0538000000000001</v>
      </c>
      <c r="P1975" s="126">
        <v>2889</v>
      </c>
      <c r="Q1975" s="128">
        <f t="array" ref="Q1975">SUM(IF(($S1975&gt;=4)*($C1975='TaxCred&amp;Subs'!$D$123:$D$127)*($H1975='TaxCred&amp;Subs'!$C$123:$C$127)*($H1975&lt;='TaxCred&amp;Subs'!$C$129),'TaxCred&amp;Subs'!$E$123:$E$127,0))</f>
        <v>0</v>
      </c>
      <c r="R1975" s="174">
        <v>0</v>
      </c>
      <c r="S1975" s="126">
        <v>5</v>
      </c>
      <c r="T1975" s="126" t="s">
        <v>225</v>
      </c>
      <c r="U1975"/>
      <c r="V1975" s="153" t="str">
        <f t="array" ref="V1975">INDEX(xlRTCLNAME,MATCH(1,(xlRTCLENDU=1)*(xlRTCLEQCL=$D1975),0))</f>
        <v>WOOD_HT</v>
      </c>
      <c r="W1975" s="153" t="str">
        <f t="array" ref="W1975">INDEX(xlRTCLNAME,MATCH(1,(xlRTCLENDU=2)*(xlRTCLEQCL=$F1975),0))</f>
        <v>CENT_AIR</v>
      </c>
      <c r="X1975" s="153" t="str">
        <f t="array" ref="X1975">INDEX(xlRTTYNAME,MATCH(1,(xlRTTYENDU=1)*(xlRTTYEQCL=$D1975)*(xlRTEQTYPE=$E1975),0))</f>
        <v>WOOD_HT4</v>
      </c>
      <c r="Y1975" s="153" t="str">
        <f t="array" ref="Y1975">INDEX(xlRTTYNAME,MATCH(1,(xlRTTYENDU=2)*(xlRTTYEQCL=$F1975)*(xlRTEQTYPE=$G1975),0))</f>
        <v>CENT_AIR4</v>
      </c>
    </row>
    <row r="1976" spans="1:25" s="157" customFormat="1" ht="14.25" customHeight="1" x14ac:dyDescent="0.2">
      <c r="A1976"/>
      <c r="B1976" s="49">
        <v>8</v>
      </c>
      <c r="C1976" s="49">
        <v>2</v>
      </c>
      <c r="D1976" s="49">
        <v>9</v>
      </c>
      <c r="E1976" s="49">
        <v>31</v>
      </c>
      <c r="F1976" s="49">
        <v>2</v>
      </c>
      <c r="G1976" s="49">
        <v>8</v>
      </c>
      <c r="H1976" s="49">
        <v>2023</v>
      </c>
      <c r="I1976" s="49">
        <v>2032</v>
      </c>
      <c r="J1976" s="50">
        <v>1.1045</v>
      </c>
      <c r="K1976" s="50">
        <v>1.0323</v>
      </c>
      <c r="L1976" s="50">
        <v>0.53910000000000002</v>
      </c>
      <c r="M1976" s="50">
        <v>1.2087000000000001</v>
      </c>
      <c r="N1976" s="50">
        <v>1.2847999999999999</v>
      </c>
      <c r="O1976" s="50">
        <v>1.0538000000000001</v>
      </c>
      <c r="P1976" s="49">
        <v>2889</v>
      </c>
      <c r="Q1976" s="51">
        <f t="array" ref="Q1976">SUM(IF(($S1976&gt;=4)*($C1976='TaxCred&amp;Subs'!$D$123:$D$127)*($H1976='TaxCred&amp;Subs'!$C$123:$C$127)*($H1976&lt;='TaxCred&amp;Subs'!$C$129),'TaxCred&amp;Subs'!$E$123:$E$127,0))</f>
        <v>500</v>
      </c>
      <c r="R1976" s="171">
        <v>0</v>
      </c>
      <c r="S1976" s="49">
        <v>5</v>
      </c>
      <c r="T1976" s="49" t="s">
        <v>225</v>
      </c>
      <c r="U1976"/>
      <c r="V1976" s="153" t="str">
        <f t="array" ref="V1976">INDEX(xlRTCLNAME,MATCH(1,(xlRTCLENDU=1)*(xlRTCLEQCL=$D1976),0))</f>
        <v>WOOD_HT</v>
      </c>
      <c r="W1976" s="153" t="str">
        <f t="array" ref="W1976">INDEX(xlRTCLNAME,MATCH(1,(xlRTCLENDU=2)*(xlRTCLEQCL=$F1976),0))</f>
        <v>CENT_AIR</v>
      </c>
      <c r="X1976" s="153" t="str">
        <f t="array" ref="X1976">INDEX(xlRTTYNAME,MATCH(1,(xlRTTYENDU=1)*(xlRTTYEQCL=$D1976)*(xlRTEQTYPE=$E1976),0))</f>
        <v>WOOD_HT4</v>
      </c>
      <c r="Y1976" s="153" t="str">
        <f t="array" ref="Y1976">INDEX(xlRTTYNAME,MATCH(1,(xlRTTYENDU=2)*(xlRTTYEQCL=$F1976)*(xlRTEQTYPE=$G1976),0))</f>
        <v>CENT_AIR4</v>
      </c>
    </row>
    <row r="1977" spans="1:25" s="157" customFormat="1" ht="14.25" customHeight="1" x14ac:dyDescent="0.2">
      <c r="A1977"/>
      <c r="B1977" s="49">
        <v>8</v>
      </c>
      <c r="C1977" s="49">
        <v>2</v>
      </c>
      <c r="D1977" s="49">
        <v>9</v>
      </c>
      <c r="E1977" s="49">
        <v>31</v>
      </c>
      <c r="F1977" s="49">
        <v>2</v>
      </c>
      <c r="G1977" s="49">
        <v>8</v>
      </c>
      <c r="H1977" s="49">
        <v>2033</v>
      </c>
      <c r="I1977" s="49">
        <v>2050</v>
      </c>
      <c r="J1977" s="50">
        <v>1.1045</v>
      </c>
      <c r="K1977" s="50">
        <v>1.0323</v>
      </c>
      <c r="L1977" s="50">
        <v>0.53910000000000002</v>
      </c>
      <c r="M1977" s="50">
        <v>1.2087000000000001</v>
      </c>
      <c r="N1977" s="50">
        <v>1.2847999999999999</v>
      </c>
      <c r="O1977" s="50">
        <v>1.0538000000000001</v>
      </c>
      <c r="P1977" s="49">
        <v>2889</v>
      </c>
      <c r="Q1977" s="51">
        <f t="array" ref="Q1977">SUM(IF(($S1977&gt;=4)*($C1977='TaxCred&amp;Subs'!$D$123:$D$127)*($H1977='TaxCred&amp;Subs'!$C$123:$C$127)*($H1977&lt;='TaxCred&amp;Subs'!$C$129),'TaxCred&amp;Subs'!$E$123:$E$127,0))</f>
        <v>0</v>
      </c>
      <c r="R1977" s="171">
        <v>0</v>
      </c>
      <c r="S1977" s="49">
        <v>5</v>
      </c>
      <c r="T1977" s="49" t="s">
        <v>225</v>
      </c>
      <c r="U1977"/>
      <c r="V1977" s="153" t="str">
        <f t="array" ref="V1977">INDEX(xlRTCLNAME,MATCH(1,(xlRTCLENDU=1)*(xlRTCLEQCL=$D1977),0))</f>
        <v>WOOD_HT</v>
      </c>
      <c r="W1977" s="153" t="str">
        <f t="array" ref="W1977">INDEX(xlRTCLNAME,MATCH(1,(xlRTCLENDU=2)*(xlRTCLEQCL=$F1977),0))</f>
        <v>CENT_AIR</v>
      </c>
      <c r="X1977" s="153" t="str">
        <f t="array" ref="X1977">INDEX(xlRTTYNAME,MATCH(1,(xlRTTYENDU=1)*(xlRTTYEQCL=$D1977)*(xlRTEQTYPE=$E1977),0))</f>
        <v>WOOD_HT4</v>
      </c>
      <c r="Y1977" s="153" t="str">
        <f t="array" ref="Y1977">INDEX(xlRTTYNAME,MATCH(1,(xlRTTYENDU=2)*(xlRTTYEQCL=$F1977)*(xlRTEQTYPE=$G1977),0))</f>
        <v>CENT_AIR4</v>
      </c>
    </row>
    <row r="1978" spans="1:25" s="157" customFormat="1" ht="14.25" customHeight="1" x14ac:dyDescent="0.2">
      <c r="A1978"/>
      <c r="B1978" s="126">
        <v>9</v>
      </c>
      <c r="C1978" s="126">
        <v>2</v>
      </c>
      <c r="D1978" s="126">
        <v>9</v>
      </c>
      <c r="E1978" s="126">
        <v>31</v>
      </c>
      <c r="F1978" s="126">
        <v>2</v>
      </c>
      <c r="G1978" s="126">
        <v>8</v>
      </c>
      <c r="H1978" s="126">
        <v>2016</v>
      </c>
      <c r="I1978" s="159">
        <v>2022</v>
      </c>
      <c r="J1978" s="127">
        <v>1.1200000000000001</v>
      </c>
      <c r="K1978" s="127">
        <v>1.0541</v>
      </c>
      <c r="L1978" s="127">
        <v>0.44379999999999997</v>
      </c>
      <c r="M1978" s="127">
        <v>1.1167</v>
      </c>
      <c r="N1978" s="127">
        <v>1.4438</v>
      </c>
      <c r="O1978" s="127">
        <v>1.0538000000000001</v>
      </c>
      <c r="P1978" s="126">
        <v>3308</v>
      </c>
      <c r="Q1978" s="128">
        <f t="array" ref="Q1978">SUM(IF(($S1978&gt;=4)*($C1978='TaxCred&amp;Subs'!$D$123:$D$127)*($H1978='TaxCred&amp;Subs'!$C$123:$C$127)*($H1978&lt;='TaxCred&amp;Subs'!$C$129),'TaxCred&amp;Subs'!$E$123:$E$127,0))</f>
        <v>0</v>
      </c>
      <c r="R1978" s="174">
        <v>0</v>
      </c>
      <c r="S1978" s="126">
        <v>5</v>
      </c>
      <c r="T1978" s="126" t="s">
        <v>225</v>
      </c>
      <c r="U1978"/>
      <c r="V1978" s="153" t="str">
        <f t="array" ref="V1978">INDEX(xlRTCLNAME,MATCH(1,(xlRTCLENDU=1)*(xlRTCLEQCL=$D1978),0))</f>
        <v>WOOD_HT</v>
      </c>
      <c r="W1978" s="153" t="str">
        <f t="array" ref="W1978">INDEX(xlRTCLNAME,MATCH(1,(xlRTCLENDU=2)*(xlRTCLEQCL=$F1978),0))</f>
        <v>CENT_AIR</v>
      </c>
      <c r="X1978" s="153" t="str">
        <f t="array" ref="X1978">INDEX(xlRTTYNAME,MATCH(1,(xlRTTYENDU=1)*(xlRTTYEQCL=$D1978)*(xlRTEQTYPE=$E1978),0))</f>
        <v>WOOD_HT4</v>
      </c>
      <c r="Y1978" s="153" t="str">
        <f t="array" ref="Y1978">INDEX(xlRTTYNAME,MATCH(1,(xlRTTYENDU=2)*(xlRTTYEQCL=$F1978)*(xlRTEQTYPE=$G1978),0))</f>
        <v>CENT_AIR4</v>
      </c>
    </row>
    <row r="1979" spans="1:25" s="157" customFormat="1" ht="14.25" customHeight="1" x14ac:dyDescent="0.2">
      <c r="A1979"/>
      <c r="B1979" s="49">
        <v>9</v>
      </c>
      <c r="C1979" s="49">
        <v>2</v>
      </c>
      <c r="D1979" s="49">
        <v>9</v>
      </c>
      <c r="E1979" s="49">
        <v>31</v>
      </c>
      <c r="F1979" s="49">
        <v>2</v>
      </c>
      <c r="G1979" s="49">
        <v>8</v>
      </c>
      <c r="H1979" s="49">
        <v>2023</v>
      </c>
      <c r="I1979" s="49">
        <v>2032</v>
      </c>
      <c r="J1979" s="50">
        <v>1.1200000000000001</v>
      </c>
      <c r="K1979" s="50">
        <v>1.0541</v>
      </c>
      <c r="L1979" s="50">
        <v>0.44379999999999997</v>
      </c>
      <c r="M1979" s="50">
        <v>1.1167</v>
      </c>
      <c r="N1979" s="50">
        <v>1.4438</v>
      </c>
      <c r="O1979" s="50">
        <v>1.0538000000000001</v>
      </c>
      <c r="P1979" s="49">
        <v>3308</v>
      </c>
      <c r="Q1979" s="51">
        <f t="array" ref="Q1979">SUM(IF(($S1979&gt;=4)*($C1979='TaxCred&amp;Subs'!$D$123:$D$127)*($H1979='TaxCred&amp;Subs'!$C$123:$C$127)*($H1979&lt;='TaxCred&amp;Subs'!$C$129),'TaxCred&amp;Subs'!$E$123:$E$127,0))</f>
        <v>500</v>
      </c>
      <c r="R1979" s="171">
        <v>0</v>
      </c>
      <c r="S1979" s="49">
        <v>5</v>
      </c>
      <c r="T1979" s="49" t="s">
        <v>225</v>
      </c>
      <c r="U1979"/>
      <c r="V1979" s="153" t="str">
        <f t="array" ref="V1979">INDEX(xlRTCLNAME,MATCH(1,(xlRTCLENDU=1)*(xlRTCLEQCL=$D1979),0))</f>
        <v>WOOD_HT</v>
      </c>
      <c r="W1979" s="153" t="str">
        <f t="array" ref="W1979">INDEX(xlRTCLNAME,MATCH(1,(xlRTCLENDU=2)*(xlRTCLEQCL=$F1979),0))</f>
        <v>CENT_AIR</v>
      </c>
      <c r="X1979" s="153" t="str">
        <f t="array" ref="X1979">INDEX(xlRTTYNAME,MATCH(1,(xlRTTYENDU=1)*(xlRTTYEQCL=$D1979)*(xlRTEQTYPE=$E1979),0))</f>
        <v>WOOD_HT4</v>
      </c>
      <c r="Y1979" s="153" t="str">
        <f t="array" ref="Y1979">INDEX(xlRTTYNAME,MATCH(1,(xlRTTYENDU=2)*(xlRTTYEQCL=$F1979)*(xlRTEQTYPE=$G1979),0))</f>
        <v>CENT_AIR4</v>
      </c>
    </row>
    <row r="1980" spans="1:25" s="157" customFormat="1" ht="14.25" customHeight="1" x14ac:dyDescent="0.2">
      <c r="A1980"/>
      <c r="B1980" s="49">
        <v>9</v>
      </c>
      <c r="C1980" s="49">
        <v>2</v>
      </c>
      <c r="D1980" s="49">
        <v>9</v>
      </c>
      <c r="E1980" s="49">
        <v>31</v>
      </c>
      <c r="F1980" s="49">
        <v>2</v>
      </c>
      <c r="G1980" s="49">
        <v>8</v>
      </c>
      <c r="H1980" s="49">
        <v>2033</v>
      </c>
      <c r="I1980" s="49">
        <v>2050</v>
      </c>
      <c r="J1980" s="50">
        <v>1.1200000000000001</v>
      </c>
      <c r="K1980" s="50">
        <v>1.0541</v>
      </c>
      <c r="L1980" s="50">
        <v>0.44379999999999997</v>
      </c>
      <c r="M1980" s="50">
        <v>1.1167</v>
      </c>
      <c r="N1980" s="50">
        <v>1.4438</v>
      </c>
      <c r="O1980" s="50">
        <v>1.0538000000000001</v>
      </c>
      <c r="P1980" s="49">
        <v>3308</v>
      </c>
      <c r="Q1980" s="51">
        <f t="array" ref="Q1980">SUM(IF(($S1980&gt;=4)*($C1980='TaxCred&amp;Subs'!$D$123:$D$127)*($H1980='TaxCred&amp;Subs'!$C$123:$C$127)*($H1980&lt;='TaxCred&amp;Subs'!$C$129),'TaxCred&amp;Subs'!$E$123:$E$127,0))</f>
        <v>0</v>
      </c>
      <c r="R1980" s="171">
        <v>0</v>
      </c>
      <c r="S1980" s="49">
        <v>5</v>
      </c>
      <c r="T1980" s="49" t="s">
        <v>225</v>
      </c>
      <c r="U1980"/>
      <c r="V1980" s="153" t="str">
        <f t="array" ref="V1980">INDEX(xlRTCLNAME,MATCH(1,(xlRTCLENDU=1)*(xlRTCLEQCL=$D1980),0))</f>
        <v>WOOD_HT</v>
      </c>
      <c r="W1980" s="153" t="str">
        <f t="array" ref="W1980">INDEX(xlRTCLNAME,MATCH(1,(xlRTCLENDU=2)*(xlRTCLEQCL=$F1980),0))</f>
        <v>CENT_AIR</v>
      </c>
      <c r="X1980" s="153" t="str">
        <f t="array" ref="X1980">INDEX(xlRTTYNAME,MATCH(1,(xlRTTYENDU=1)*(xlRTTYEQCL=$D1980)*(xlRTEQTYPE=$E1980),0))</f>
        <v>WOOD_HT4</v>
      </c>
      <c r="Y1980" s="153" t="str">
        <f t="array" ref="Y1980">INDEX(xlRTTYNAME,MATCH(1,(xlRTTYENDU=2)*(xlRTTYEQCL=$F1980)*(xlRTEQTYPE=$G1980),0))</f>
        <v>CENT_AIR4</v>
      </c>
    </row>
    <row r="1981" spans="1:25" s="157" customFormat="1" ht="14.25" customHeight="1" x14ac:dyDescent="0.2">
      <c r="A1981"/>
      <c r="B1981" s="126">
        <v>1</v>
      </c>
      <c r="C1981" s="126">
        <v>2</v>
      </c>
      <c r="D1981" s="126">
        <v>10</v>
      </c>
      <c r="E1981" s="126">
        <v>35</v>
      </c>
      <c r="F1981" s="126">
        <v>4</v>
      </c>
      <c r="G1981" s="126">
        <v>16</v>
      </c>
      <c r="H1981" s="126">
        <v>2016</v>
      </c>
      <c r="I1981" s="159">
        <v>2022</v>
      </c>
      <c r="J1981" s="127">
        <v>1.1111</v>
      </c>
      <c r="K1981" s="127">
        <v>1.0526</v>
      </c>
      <c r="L1981" s="127">
        <v>0.58379999999999999</v>
      </c>
      <c r="M1981" s="127">
        <v>1.1294</v>
      </c>
      <c r="N1981" s="127">
        <v>1.1356999999999999</v>
      </c>
      <c r="O1981" s="127">
        <v>1.0538000000000001</v>
      </c>
      <c r="P1981" s="126">
        <v>3776</v>
      </c>
      <c r="Q1981" s="128">
        <f t="array" ref="Q1981">SUM(IF(($S1981&gt;=4)*($C1981='TaxCred&amp;Subs'!$D$123:$D$127)*($H1981='TaxCred&amp;Subs'!$C$123:$C$127)*($H1981&lt;='TaxCred&amp;Subs'!$C$129),'TaxCred&amp;Subs'!$E$123:$E$127,0))</f>
        <v>0</v>
      </c>
      <c r="R1981" s="174">
        <v>0</v>
      </c>
      <c r="S1981" s="126">
        <v>5</v>
      </c>
      <c r="T1981" s="126" t="s">
        <v>225</v>
      </c>
      <c r="U1981"/>
      <c r="V1981" s="153" t="str">
        <f t="array" ref="V1981">INDEX(xlRTCLNAME,MATCH(1,(xlRTCLENDU=1)*(xlRTCLEQCL=$D1981),0))</f>
        <v>GEO_HP</v>
      </c>
      <c r="W1981" s="153" t="str">
        <f t="array" ref="W1981">INDEX(xlRTCLNAME,MATCH(1,(xlRTCLENDU=2)*(xlRTCLEQCL=$F1981),0))</f>
        <v>GEO_HP</v>
      </c>
      <c r="X1981" s="153" t="str">
        <f t="array" ref="X1981">INDEX(xlRTTYNAME,MATCH(1,(xlRTTYENDU=1)*(xlRTTYEQCL=$D1981)*(xlRTEQTYPE=$E1981),0))</f>
        <v>GEO_HP4</v>
      </c>
      <c r="Y1981" s="153" t="str">
        <f t="array" ref="Y1981">INDEX(xlRTTYNAME,MATCH(1,(xlRTTYENDU=2)*(xlRTTYEQCL=$F1981)*(xlRTEQTYPE=$G1981),0))</f>
        <v>GEO_HP4</v>
      </c>
    </row>
    <row r="1982" spans="1:25" s="157" customFormat="1" ht="14.25" customHeight="1" x14ac:dyDescent="0.2">
      <c r="A1982"/>
      <c r="B1982" s="49">
        <v>1</v>
      </c>
      <c r="C1982" s="49">
        <v>2</v>
      </c>
      <c r="D1982" s="49">
        <v>10</v>
      </c>
      <c r="E1982" s="49">
        <v>35</v>
      </c>
      <c r="F1982" s="49">
        <v>4</v>
      </c>
      <c r="G1982" s="49">
        <v>16</v>
      </c>
      <c r="H1982" s="49">
        <v>2023</v>
      </c>
      <c r="I1982" s="49">
        <v>2032</v>
      </c>
      <c r="J1982" s="50">
        <v>1.1111</v>
      </c>
      <c r="K1982" s="50">
        <v>1.0526</v>
      </c>
      <c r="L1982" s="50">
        <v>0.58379999999999999</v>
      </c>
      <c r="M1982" s="50">
        <v>1.1294</v>
      </c>
      <c r="N1982" s="50">
        <v>1.1356999999999999</v>
      </c>
      <c r="O1982" s="50">
        <v>1.0538000000000001</v>
      </c>
      <c r="P1982" s="49">
        <v>3776</v>
      </c>
      <c r="Q1982" s="51">
        <f t="array" ref="Q1982">SUM(IF(($S1982&gt;=4)*($C1982='TaxCred&amp;Subs'!$D$123:$D$127)*($H1982='TaxCred&amp;Subs'!$C$123:$C$127)*($H1982&lt;='TaxCred&amp;Subs'!$C$129),'TaxCred&amp;Subs'!$E$123:$E$127,0))</f>
        <v>500</v>
      </c>
      <c r="R1982" s="171">
        <v>0</v>
      </c>
      <c r="S1982" s="49">
        <v>5</v>
      </c>
      <c r="T1982" s="49" t="s">
        <v>225</v>
      </c>
      <c r="U1982"/>
      <c r="V1982" s="153" t="str">
        <f t="array" ref="V1982">INDEX(xlRTCLNAME,MATCH(1,(xlRTCLENDU=1)*(xlRTCLEQCL=$D1982),0))</f>
        <v>GEO_HP</v>
      </c>
      <c r="W1982" s="153" t="str">
        <f t="array" ref="W1982">INDEX(xlRTCLNAME,MATCH(1,(xlRTCLENDU=2)*(xlRTCLEQCL=$F1982),0))</f>
        <v>GEO_HP</v>
      </c>
      <c r="X1982" s="153" t="str">
        <f t="array" ref="X1982">INDEX(xlRTTYNAME,MATCH(1,(xlRTTYENDU=1)*(xlRTTYEQCL=$D1982)*(xlRTEQTYPE=$E1982),0))</f>
        <v>GEO_HP4</v>
      </c>
      <c r="Y1982" s="153" t="str">
        <f t="array" ref="Y1982">INDEX(xlRTTYNAME,MATCH(1,(xlRTTYENDU=2)*(xlRTTYEQCL=$F1982)*(xlRTEQTYPE=$G1982),0))</f>
        <v>GEO_HP4</v>
      </c>
    </row>
    <row r="1983" spans="1:25" s="157" customFormat="1" ht="14.25" customHeight="1" x14ac:dyDescent="0.2">
      <c r="A1983"/>
      <c r="B1983" s="49">
        <v>1</v>
      </c>
      <c r="C1983" s="49">
        <v>2</v>
      </c>
      <c r="D1983" s="49">
        <v>10</v>
      </c>
      <c r="E1983" s="49">
        <v>35</v>
      </c>
      <c r="F1983" s="49">
        <v>4</v>
      </c>
      <c r="G1983" s="49">
        <v>16</v>
      </c>
      <c r="H1983" s="49">
        <v>2033</v>
      </c>
      <c r="I1983" s="49">
        <v>2050</v>
      </c>
      <c r="J1983" s="50">
        <v>1.1111</v>
      </c>
      <c r="K1983" s="50">
        <v>1.0526</v>
      </c>
      <c r="L1983" s="50">
        <v>0.58379999999999999</v>
      </c>
      <c r="M1983" s="50">
        <v>1.1294</v>
      </c>
      <c r="N1983" s="50">
        <v>1.1356999999999999</v>
      </c>
      <c r="O1983" s="50">
        <v>1.0538000000000001</v>
      </c>
      <c r="P1983" s="49">
        <v>3776</v>
      </c>
      <c r="Q1983" s="51">
        <f t="array" ref="Q1983">SUM(IF(($S1983&gt;=4)*($C1983='TaxCred&amp;Subs'!$D$123:$D$127)*($H1983='TaxCred&amp;Subs'!$C$123:$C$127)*($H1983&lt;='TaxCred&amp;Subs'!$C$129),'TaxCred&amp;Subs'!$E$123:$E$127,0))</f>
        <v>0</v>
      </c>
      <c r="R1983" s="171">
        <v>0</v>
      </c>
      <c r="S1983" s="49">
        <v>5</v>
      </c>
      <c r="T1983" s="49" t="s">
        <v>225</v>
      </c>
      <c r="U1983"/>
      <c r="V1983" s="153" t="str">
        <f t="array" ref="V1983">INDEX(xlRTCLNAME,MATCH(1,(xlRTCLENDU=1)*(xlRTCLEQCL=$D1983),0))</f>
        <v>GEO_HP</v>
      </c>
      <c r="W1983" s="153" t="str">
        <f t="array" ref="W1983">INDEX(xlRTCLNAME,MATCH(1,(xlRTCLENDU=2)*(xlRTCLEQCL=$F1983),0))</f>
        <v>GEO_HP</v>
      </c>
      <c r="X1983" s="153" t="str">
        <f t="array" ref="X1983">INDEX(xlRTTYNAME,MATCH(1,(xlRTTYENDU=1)*(xlRTTYEQCL=$D1983)*(xlRTEQTYPE=$E1983),0))</f>
        <v>GEO_HP4</v>
      </c>
      <c r="Y1983" s="153" t="str">
        <f t="array" ref="Y1983">INDEX(xlRTTYNAME,MATCH(1,(xlRTTYENDU=2)*(xlRTTYEQCL=$F1983)*(xlRTEQTYPE=$G1983),0))</f>
        <v>GEO_HP4</v>
      </c>
    </row>
    <row r="1984" spans="1:25" s="157" customFormat="1" ht="14.25" customHeight="1" x14ac:dyDescent="0.2">
      <c r="A1984"/>
      <c r="B1984" s="126">
        <v>2</v>
      </c>
      <c r="C1984" s="126">
        <v>2</v>
      </c>
      <c r="D1984" s="126">
        <v>10</v>
      </c>
      <c r="E1984" s="126">
        <v>35</v>
      </c>
      <c r="F1984" s="126">
        <v>4</v>
      </c>
      <c r="G1984" s="126">
        <v>16</v>
      </c>
      <c r="H1984" s="126">
        <v>2016</v>
      </c>
      <c r="I1984" s="159">
        <v>2022</v>
      </c>
      <c r="J1984" s="127">
        <v>1.0588</v>
      </c>
      <c r="K1984" s="127">
        <v>1.0455000000000001</v>
      </c>
      <c r="L1984" s="127">
        <v>0.54910000000000003</v>
      </c>
      <c r="M1984" s="127">
        <v>1.1263000000000001</v>
      </c>
      <c r="N1984" s="127">
        <v>1.1394</v>
      </c>
      <c r="O1984" s="127">
        <v>1.0538000000000001</v>
      </c>
      <c r="P1984" s="126">
        <v>3572</v>
      </c>
      <c r="Q1984" s="128">
        <f t="array" ref="Q1984">SUM(IF(($S1984&gt;=4)*($C1984='TaxCred&amp;Subs'!$D$123:$D$127)*($H1984='TaxCred&amp;Subs'!$C$123:$C$127)*($H1984&lt;='TaxCred&amp;Subs'!$C$129),'TaxCred&amp;Subs'!$E$123:$E$127,0))</f>
        <v>0</v>
      </c>
      <c r="R1984" s="174">
        <v>0</v>
      </c>
      <c r="S1984" s="126">
        <v>5</v>
      </c>
      <c r="T1984" s="126" t="s">
        <v>225</v>
      </c>
      <c r="U1984"/>
      <c r="V1984" s="153" t="str">
        <f t="array" ref="V1984">INDEX(xlRTCLNAME,MATCH(1,(xlRTCLENDU=1)*(xlRTCLEQCL=$D1984),0))</f>
        <v>GEO_HP</v>
      </c>
      <c r="W1984" s="153" t="str">
        <f t="array" ref="W1984">INDEX(xlRTCLNAME,MATCH(1,(xlRTCLENDU=2)*(xlRTCLEQCL=$F1984),0))</f>
        <v>GEO_HP</v>
      </c>
      <c r="X1984" s="153" t="str">
        <f t="array" ref="X1984">INDEX(xlRTTYNAME,MATCH(1,(xlRTTYENDU=1)*(xlRTTYEQCL=$D1984)*(xlRTEQTYPE=$E1984),0))</f>
        <v>GEO_HP4</v>
      </c>
      <c r="Y1984" s="153" t="str">
        <f t="array" ref="Y1984">INDEX(xlRTTYNAME,MATCH(1,(xlRTTYENDU=2)*(xlRTTYEQCL=$F1984)*(xlRTEQTYPE=$G1984),0))</f>
        <v>GEO_HP4</v>
      </c>
    </row>
    <row r="1985" spans="1:25" s="157" customFormat="1" ht="14.25" customHeight="1" x14ac:dyDescent="0.2">
      <c r="A1985"/>
      <c r="B1985" s="49">
        <v>2</v>
      </c>
      <c r="C1985" s="49">
        <v>2</v>
      </c>
      <c r="D1985" s="49">
        <v>10</v>
      </c>
      <c r="E1985" s="49">
        <v>35</v>
      </c>
      <c r="F1985" s="49">
        <v>4</v>
      </c>
      <c r="G1985" s="49">
        <v>16</v>
      </c>
      <c r="H1985" s="49">
        <v>2023</v>
      </c>
      <c r="I1985" s="49">
        <v>2032</v>
      </c>
      <c r="J1985" s="50">
        <v>1.0588</v>
      </c>
      <c r="K1985" s="50">
        <v>1.0455000000000001</v>
      </c>
      <c r="L1985" s="50">
        <v>0.54910000000000003</v>
      </c>
      <c r="M1985" s="50">
        <v>1.1263000000000001</v>
      </c>
      <c r="N1985" s="50">
        <v>1.1394</v>
      </c>
      <c r="O1985" s="50">
        <v>1.0538000000000001</v>
      </c>
      <c r="P1985" s="49">
        <v>3572</v>
      </c>
      <c r="Q1985" s="51">
        <f t="array" ref="Q1985">SUM(IF(($S1985&gt;=4)*($C1985='TaxCred&amp;Subs'!$D$123:$D$127)*($H1985='TaxCred&amp;Subs'!$C$123:$C$127)*($H1985&lt;='TaxCred&amp;Subs'!$C$129),'TaxCred&amp;Subs'!$E$123:$E$127,0))</f>
        <v>500</v>
      </c>
      <c r="R1985" s="171">
        <v>0</v>
      </c>
      <c r="S1985" s="49">
        <v>5</v>
      </c>
      <c r="T1985" s="49" t="s">
        <v>225</v>
      </c>
      <c r="U1985"/>
      <c r="V1985" s="153" t="str">
        <f t="array" ref="V1985">INDEX(xlRTCLNAME,MATCH(1,(xlRTCLENDU=1)*(xlRTCLEQCL=$D1985),0))</f>
        <v>GEO_HP</v>
      </c>
      <c r="W1985" s="153" t="str">
        <f t="array" ref="W1985">INDEX(xlRTCLNAME,MATCH(1,(xlRTCLENDU=2)*(xlRTCLEQCL=$F1985),0))</f>
        <v>GEO_HP</v>
      </c>
      <c r="X1985" s="153" t="str">
        <f t="array" ref="X1985">INDEX(xlRTTYNAME,MATCH(1,(xlRTTYENDU=1)*(xlRTTYEQCL=$D1985)*(xlRTEQTYPE=$E1985),0))</f>
        <v>GEO_HP4</v>
      </c>
      <c r="Y1985" s="153" t="str">
        <f t="array" ref="Y1985">INDEX(xlRTTYNAME,MATCH(1,(xlRTTYENDU=2)*(xlRTTYEQCL=$F1985)*(xlRTEQTYPE=$G1985),0))</f>
        <v>GEO_HP4</v>
      </c>
    </row>
    <row r="1986" spans="1:25" s="157" customFormat="1" ht="14.25" customHeight="1" x14ac:dyDescent="0.2">
      <c r="A1986"/>
      <c r="B1986" s="49">
        <v>2</v>
      </c>
      <c r="C1986" s="49">
        <v>2</v>
      </c>
      <c r="D1986" s="49">
        <v>10</v>
      </c>
      <c r="E1986" s="49">
        <v>35</v>
      </c>
      <c r="F1986" s="49">
        <v>4</v>
      </c>
      <c r="G1986" s="49">
        <v>16</v>
      </c>
      <c r="H1986" s="49">
        <v>2033</v>
      </c>
      <c r="I1986" s="49">
        <v>2050</v>
      </c>
      <c r="J1986" s="50">
        <v>1.0588</v>
      </c>
      <c r="K1986" s="50">
        <v>1.0455000000000001</v>
      </c>
      <c r="L1986" s="50">
        <v>0.54910000000000003</v>
      </c>
      <c r="M1986" s="50">
        <v>1.1263000000000001</v>
      </c>
      <c r="N1986" s="50">
        <v>1.1394</v>
      </c>
      <c r="O1986" s="50">
        <v>1.0538000000000001</v>
      </c>
      <c r="P1986" s="49">
        <v>3572</v>
      </c>
      <c r="Q1986" s="51">
        <f t="array" ref="Q1986">SUM(IF(($S1986&gt;=4)*($C1986='TaxCred&amp;Subs'!$D$123:$D$127)*($H1986='TaxCred&amp;Subs'!$C$123:$C$127)*($H1986&lt;='TaxCred&amp;Subs'!$C$129),'TaxCred&amp;Subs'!$E$123:$E$127,0))</f>
        <v>0</v>
      </c>
      <c r="R1986" s="171">
        <v>0</v>
      </c>
      <c r="S1986" s="49">
        <v>5</v>
      </c>
      <c r="T1986" s="49" t="s">
        <v>225</v>
      </c>
      <c r="U1986"/>
      <c r="V1986" s="153" t="str">
        <f t="array" ref="V1986">INDEX(xlRTCLNAME,MATCH(1,(xlRTCLENDU=1)*(xlRTCLEQCL=$D1986),0))</f>
        <v>GEO_HP</v>
      </c>
      <c r="W1986" s="153" t="str">
        <f t="array" ref="W1986">INDEX(xlRTCLNAME,MATCH(1,(xlRTCLENDU=2)*(xlRTCLEQCL=$F1986),0))</f>
        <v>GEO_HP</v>
      </c>
      <c r="X1986" s="153" t="str">
        <f t="array" ref="X1986">INDEX(xlRTTYNAME,MATCH(1,(xlRTTYENDU=1)*(xlRTTYEQCL=$D1986)*(xlRTEQTYPE=$E1986),0))</f>
        <v>GEO_HP4</v>
      </c>
      <c r="Y1986" s="153" t="str">
        <f t="array" ref="Y1986">INDEX(xlRTTYNAME,MATCH(1,(xlRTTYENDU=2)*(xlRTTYEQCL=$F1986)*(xlRTEQTYPE=$G1986),0))</f>
        <v>GEO_HP4</v>
      </c>
    </row>
    <row r="1987" spans="1:25" s="157" customFormat="1" ht="14.25" customHeight="1" x14ac:dyDescent="0.2">
      <c r="A1987"/>
      <c r="B1987" s="126">
        <v>3</v>
      </c>
      <c r="C1987" s="126">
        <v>2</v>
      </c>
      <c r="D1987" s="126">
        <v>10</v>
      </c>
      <c r="E1987" s="126">
        <v>35</v>
      </c>
      <c r="F1987" s="126">
        <v>4</v>
      </c>
      <c r="G1987" s="126">
        <v>16</v>
      </c>
      <c r="H1987" s="126">
        <v>2016</v>
      </c>
      <c r="I1987" s="159">
        <v>2022</v>
      </c>
      <c r="J1987" s="127">
        <v>1.1000000000000001</v>
      </c>
      <c r="K1987" s="127">
        <v>1.03</v>
      </c>
      <c r="L1987" s="127">
        <v>0.54730000000000001</v>
      </c>
      <c r="M1987" s="127">
        <v>1.0546</v>
      </c>
      <c r="N1987" s="127">
        <v>1.0449999999999999</v>
      </c>
      <c r="O1987" s="127">
        <v>1.0538000000000001</v>
      </c>
      <c r="P1987" s="126">
        <v>2681</v>
      </c>
      <c r="Q1987" s="128">
        <f t="array" ref="Q1987">SUM(IF(($S1987&gt;=4)*($C1987='TaxCred&amp;Subs'!$D$123:$D$127)*($H1987='TaxCred&amp;Subs'!$C$123:$C$127)*($H1987&lt;='TaxCred&amp;Subs'!$C$129),'TaxCred&amp;Subs'!$E$123:$E$127,0))</f>
        <v>0</v>
      </c>
      <c r="R1987" s="174">
        <v>0</v>
      </c>
      <c r="S1987" s="126">
        <v>5</v>
      </c>
      <c r="T1987" s="126" t="s">
        <v>225</v>
      </c>
      <c r="U1987"/>
      <c r="V1987" s="153" t="str">
        <f t="array" ref="V1987">INDEX(xlRTCLNAME,MATCH(1,(xlRTCLENDU=1)*(xlRTCLEQCL=$D1987),0))</f>
        <v>GEO_HP</v>
      </c>
      <c r="W1987" s="153" t="str">
        <f t="array" ref="W1987">INDEX(xlRTCLNAME,MATCH(1,(xlRTCLENDU=2)*(xlRTCLEQCL=$F1987),0))</f>
        <v>GEO_HP</v>
      </c>
      <c r="X1987" s="153" t="str">
        <f t="array" ref="X1987">INDEX(xlRTTYNAME,MATCH(1,(xlRTTYENDU=1)*(xlRTTYEQCL=$D1987)*(xlRTEQTYPE=$E1987),0))</f>
        <v>GEO_HP4</v>
      </c>
      <c r="Y1987" s="153" t="str">
        <f t="array" ref="Y1987">INDEX(xlRTTYNAME,MATCH(1,(xlRTTYENDU=2)*(xlRTTYEQCL=$F1987)*(xlRTEQTYPE=$G1987),0))</f>
        <v>GEO_HP4</v>
      </c>
    </row>
    <row r="1988" spans="1:25" s="157" customFormat="1" ht="14.25" customHeight="1" x14ac:dyDescent="0.2">
      <c r="A1988"/>
      <c r="B1988" s="49">
        <v>3</v>
      </c>
      <c r="C1988" s="49">
        <v>2</v>
      </c>
      <c r="D1988" s="49">
        <v>10</v>
      </c>
      <c r="E1988" s="49">
        <v>35</v>
      </c>
      <c r="F1988" s="49">
        <v>4</v>
      </c>
      <c r="G1988" s="49">
        <v>16</v>
      </c>
      <c r="H1988" s="49">
        <v>2023</v>
      </c>
      <c r="I1988" s="49">
        <v>2032</v>
      </c>
      <c r="J1988" s="50">
        <v>1.1000000000000001</v>
      </c>
      <c r="K1988" s="50">
        <v>1.03</v>
      </c>
      <c r="L1988" s="50">
        <v>0.54730000000000001</v>
      </c>
      <c r="M1988" s="50">
        <v>1.0546</v>
      </c>
      <c r="N1988" s="50">
        <v>1.0449999999999999</v>
      </c>
      <c r="O1988" s="50">
        <v>1.0538000000000001</v>
      </c>
      <c r="P1988" s="49">
        <v>2681</v>
      </c>
      <c r="Q1988" s="51">
        <f t="array" ref="Q1988">SUM(IF(($S1988&gt;=4)*($C1988='TaxCred&amp;Subs'!$D$123:$D$127)*($H1988='TaxCred&amp;Subs'!$C$123:$C$127)*($H1988&lt;='TaxCred&amp;Subs'!$C$129),'TaxCred&amp;Subs'!$E$123:$E$127,0))</f>
        <v>500</v>
      </c>
      <c r="R1988" s="171">
        <v>0</v>
      </c>
      <c r="S1988" s="49">
        <v>5</v>
      </c>
      <c r="T1988" s="49" t="s">
        <v>225</v>
      </c>
      <c r="U1988"/>
      <c r="V1988" s="153" t="str">
        <f t="array" ref="V1988">INDEX(xlRTCLNAME,MATCH(1,(xlRTCLENDU=1)*(xlRTCLEQCL=$D1988),0))</f>
        <v>GEO_HP</v>
      </c>
      <c r="W1988" s="153" t="str">
        <f t="array" ref="W1988">INDEX(xlRTCLNAME,MATCH(1,(xlRTCLENDU=2)*(xlRTCLEQCL=$F1988),0))</f>
        <v>GEO_HP</v>
      </c>
      <c r="X1988" s="153" t="str">
        <f t="array" ref="X1988">INDEX(xlRTTYNAME,MATCH(1,(xlRTTYENDU=1)*(xlRTTYEQCL=$D1988)*(xlRTEQTYPE=$E1988),0))</f>
        <v>GEO_HP4</v>
      </c>
      <c r="Y1988" s="153" t="str">
        <f t="array" ref="Y1988">INDEX(xlRTTYNAME,MATCH(1,(xlRTTYENDU=2)*(xlRTTYEQCL=$F1988)*(xlRTEQTYPE=$G1988),0))</f>
        <v>GEO_HP4</v>
      </c>
    </row>
    <row r="1989" spans="1:25" s="157" customFormat="1" ht="14.25" customHeight="1" x14ac:dyDescent="0.2">
      <c r="A1989"/>
      <c r="B1989" s="49">
        <v>3</v>
      </c>
      <c r="C1989" s="49">
        <v>2</v>
      </c>
      <c r="D1989" s="49">
        <v>10</v>
      </c>
      <c r="E1989" s="49">
        <v>35</v>
      </c>
      <c r="F1989" s="49">
        <v>4</v>
      </c>
      <c r="G1989" s="49">
        <v>16</v>
      </c>
      <c r="H1989" s="49">
        <v>2033</v>
      </c>
      <c r="I1989" s="49">
        <v>2050</v>
      </c>
      <c r="J1989" s="50">
        <v>1.1000000000000001</v>
      </c>
      <c r="K1989" s="50">
        <v>1.03</v>
      </c>
      <c r="L1989" s="50">
        <v>0.54730000000000001</v>
      </c>
      <c r="M1989" s="50">
        <v>1.0546</v>
      </c>
      <c r="N1989" s="50">
        <v>1.0449999999999999</v>
      </c>
      <c r="O1989" s="50">
        <v>1.0538000000000001</v>
      </c>
      <c r="P1989" s="49">
        <v>2681</v>
      </c>
      <c r="Q1989" s="51">
        <f t="array" ref="Q1989">SUM(IF(($S1989&gt;=4)*($C1989='TaxCred&amp;Subs'!$D$123:$D$127)*($H1989='TaxCred&amp;Subs'!$C$123:$C$127)*($H1989&lt;='TaxCred&amp;Subs'!$C$129),'TaxCred&amp;Subs'!$E$123:$E$127,0))</f>
        <v>0</v>
      </c>
      <c r="R1989" s="171">
        <v>0</v>
      </c>
      <c r="S1989" s="49">
        <v>5</v>
      </c>
      <c r="T1989" s="49" t="s">
        <v>225</v>
      </c>
      <c r="U1989"/>
      <c r="V1989" s="153" t="str">
        <f t="array" ref="V1989">INDEX(xlRTCLNAME,MATCH(1,(xlRTCLENDU=1)*(xlRTCLEQCL=$D1989),0))</f>
        <v>GEO_HP</v>
      </c>
      <c r="W1989" s="153" t="str">
        <f t="array" ref="W1989">INDEX(xlRTCLNAME,MATCH(1,(xlRTCLENDU=2)*(xlRTCLEQCL=$F1989),0))</f>
        <v>GEO_HP</v>
      </c>
      <c r="X1989" s="153" t="str">
        <f t="array" ref="X1989">INDEX(xlRTTYNAME,MATCH(1,(xlRTTYENDU=1)*(xlRTTYEQCL=$D1989)*(xlRTEQTYPE=$E1989),0))</f>
        <v>GEO_HP4</v>
      </c>
      <c r="Y1989" s="153" t="str">
        <f t="array" ref="Y1989">INDEX(xlRTTYNAME,MATCH(1,(xlRTTYENDU=2)*(xlRTTYEQCL=$F1989)*(xlRTEQTYPE=$G1989),0))</f>
        <v>GEO_HP4</v>
      </c>
    </row>
    <row r="1990" spans="1:25" s="157" customFormat="1" ht="14.25" customHeight="1" x14ac:dyDescent="0.2">
      <c r="A1990"/>
      <c r="B1990" s="126">
        <v>4</v>
      </c>
      <c r="C1990" s="126">
        <v>2</v>
      </c>
      <c r="D1990" s="126">
        <v>10</v>
      </c>
      <c r="E1990" s="126">
        <v>35</v>
      </c>
      <c r="F1990" s="126">
        <v>4</v>
      </c>
      <c r="G1990" s="126">
        <v>16</v>
      </c>
      <c r="H1990" s="126">
        <v>2016</v>
      </c>
      <c r="I1990" s="159">
        <v>2022</v>
      </c>
      <c r="J1990" s="127">
        <v>1.1033999999999999</v>
      </c>
      <c r="K1990" s="127">
        <v>1.0556000000000001</v>
      </c>
      <c r="L1990" s="127">
        <v>0.6169</v>
      </c>
      <c r="M1990" s="127">
        <v>1.1313</v>
      </c>
      <c r="N1990" s="127">
        <v>1.1753</v>
      </c>
      <c r="O1990" s="127">
        <v>1.0538000000000001</v>
      </c>
      <c r="P1990" s="126">
        <v>2777</v>
      </c>
      <c r="Q1990" s="128">
        <f t="array" ref="Q1990">SUM(IF(($S1990&gt;=4)*($C1990='TaxCred&amp;Subs'!$D$123:$D$127)*($H1990='TaxCred&amp;Subs'!$C$123:$C$127)*($H1990&lt;='TaxCred&amp;Subs'!$C$129),'TaxCred&amp;Subs'!$E$123:$E$127,0))</f>
        <v>0</v>
      </c>
      <c r="R1990" s="174">
        <v>0</v>
      </c>
      <c r="S1990" s="126">
        <v>5</v>
      </c>
      <c r="T1990" s="126" t="s">
        <v>225</v>
      </c>
      <c r="U1990"/>
      <c r="V1990" s="153" t="str">
        <f t="array" ref="V1990">INDEX(xlRTCLNAME,MATCH(1,(xlRTCLENDU=1)*(xlRTCLEQCL=$D1990),0))</f>
        <v>GEO_HP</v>
      </c>
      <c r="W1990" s="153" t="str">
        <f t="array" ref="W1990">INDEX(xlRTCLNAME,MATCH(1,(xlRTCLENDU=2)*(xlRTCLEQCL=$F1990),0))</f>
        <v>GEO_HP</v>
      </c>
      <c r="X1990" s="153" t="str">
        <f t="array" ref="X1990">INDEX(xlRTTYNAME,MATCH(1,(xlRTTYENDU=1)*(xlRTTYEQCL=$D1990)*(xlRTEQTYPE=$E1990),0))</f>
        <v>GEO_HP4</v>
      </c>
      <c r="Y1990" s="153" t="str">
        <f t="array" ref="Y1990">INDEX(xlRTTYNAME,MATCH(1,(xlRTTYENDU=2)*(xlRTTYEQCL=$F1990)*(xlRTEQTYPE=$G1990),0))</f>
        <v>GEO_HP4</v>
      </c>
    </row>
    <row r="1991" spans="1:25" s="157" customFormat="1" ht="14.25" customHeight="1" x14ac:dyDescent="0.2">
      <c r="A1991"/>
      <c r="B1991" s="49">
        <v>4</v>
      </c>
      <c r="C1991" s="49">
        <v>2</v>
      </c>
      <c r="D1991" s="49">
        <v>10</v>
      </c>
      <c r="E1991" s="49">
        <v>35</v>
      </c>
      <c r="F1991" s="49">
        <v>4</v>
      </c>
      <c r="G1991" s="49">
        <v>16</v>
      </c>
      <c r="H1991" s="49">
        <v>2023</v>
      </c>
      <c r="I1991" s="49">
        <v>2032</v>
      </c>
      <c r="J1991" s="50">
        <v>1.1033999999999999</v>
      </c>
      <c r="K1991" s="50">
        <v>1.0556000000000001</v>
      </c>
      <c r="L1991" s="50">
        <v>0.6169</v>
      </c>
      <c r="M1991" s="50">
        <v>1.1313</v>
      </c>
      <c r="N1991" s="50">
        <v>1.1753</v>
      </c>
      <c r="O1991" s="50">
        <v>1.0538000000000001</v>
      </c>
      <c r="P1991" s="49">
        <v>2777</v>
      </c>
      <c r="Q1991" s="51">
        <f t="array" ref="Q1991">SUM(IF(($S1991&gt;=4)*($C1991='TaxCred&amp;Subs'!$D$123:$D$127)*($H1991='TaxCred&amp;Subs'!$C$123:$C$127)*($H1991&lt;='TaxCred&amp;Subs'!$C$129),'TaxCred&amp;Subs'!$E$123:$E$127,0))</f>
        <v>500</v>
      </c>
      <c r="R1991" s="171">
        <v>0</v>
      </c>
      <c r="S1991" s="49">
        <v>5</v>
      </c>
      <c r="T1991" s="49" t="s">
        <v>225</v>
      </c>
      <c r="U1991"/>
      <c r="V1991" s="153" t="str">
        <f t="array" ref="V1991">INDEX(xlRTCLNAME,MATCH(1,(xlRTCLENDU=1)*(xlRTCLEQCL=$D1991),0))</f>
        <v>GEO_HP</v>
      </c>
      <c r="W1991" s="153" t="str">
        <f t="array" ref="W1991">INDEX(xlRTCLNAME,MATCH(1,(xlRTCLENDU=2)*(xlRTCLEQCL=$F1991),0))</f>
        <v>GEO_HP</v>
      </c>
      <c r="X1991" s="153" t="str">
        <f t="array" ref="X1991">INDEX(xlRTTYNAME,MATCH(1,(xlRTTYENDU=1)*(xlRTTYEQCL=$D1991)*(xlRTEQTYPE=$E1991),0))</f>
        <v>GEO_HP4</v>
      </c>
      <c r="Y1991" s="153" t="str">
        <f t="array" ref="Y1991">INDEX(xlRTTYNAME,MATCH(1,(xlRTTYENDU=2)*(xlRTTYEQCL=$F1991)*(xlRTEQTYPE=$G1991),0))</f>
        <v>GEO_HP4</v>
      </c>
    </row>
    <row r="1992" spans="1:25" s="157" customFormat="1" ht="14.25" customHeight="1" x14ac:dyDescent="0.2">
      <c r="A1992"/>
      <c r="B1992" s="49">
        <v>4</v>
      </c>
      <c r="C1992" s="49">
        <v>2</v>
      </c>
      <c r="D1992" s="49">
        <v>10</v>
      </c>
      <c r="E1992" s="49">
        <v>35</v>
      </c>
      <c r="F1992" s="49">
        <v>4</v>
      </c>
      <c r="G1992" s="49">
        <v>16</v>
      </c>
      <c r="H1992" s="49">
        <v>2033</v>
      </c>
      <c r="I1992" s="49">
        <v>2050</v>
      </c>
      <c r="J1992" s="50">
        <v>1.1033999999999999</v>
      </c>
      <c r="K1992" s="50">
        <v>1.0556000000000001</v>
      </c>
      <c r="L1992" s="50">
        <v>0.6169</v>
      </c>
      <c r="M1992" s="50">
        <v>1.1313</v>
      </c>
      <c r="N1992" s="50">
        <v>1.1753</v>
      </c>
      <c r="O1992" s="50">
        <v>1.0538000000000001</v>
      </c>
      <c r="P1992" s="49">
        <v>2777</v>
      </c>
      <c r="Q1992" s="51">
        <f t="array" ref="Q1992">SUM(IF(($S1992&gt;=4)*($C1992='TaxCred&amp;Subs'!$D$123:$D$127)*($H1992='TaxCred&amp;Subs'!$C$123:$C$127)*($H1992&lt;='TaxCred&amp;Subs'!$C$129),'TaxCred&amp;Subs'!$E$123:$E$127,0))</f>
        <v>0</v>
      </c>
      <c r="R1992" s="171">
        <v>0</v>
      </c>
      <c r="S1992" s="49">
        <v>5</v>
      </c>
      <c r="T1992" s="49" t="s">
        <v>225</v>
      </c>
      <c r="U1992"/>
      <c r="V1992" s="153" t="str">
        <f t="array" ref="V1992">INDEX(xlRTCLNAME,MATCH(1,(xlRTCLENDU=1)*(xlRTCLEQCL=$D1992),0))</f>
        <v>GEO_HP</v>
      </c>
      <c r="W1992" s="153" t="str">
        <f t="array" ref="W1992">INDEX(xlRTCLNAME,MATCH(1,(xlRTCLENDU=2)*(xlRTCLEQCL=$F1992),0))</f>
        <v>GEO_HP</v>
      </c>
      <c r="X1992" s="153" t="str">
        <f t="array" ref="X1992">INDEX(xlRTTYNAME,MATCH(1,(xlRTTYENDU=1)*(xlRTTYEQCL=$D1992)*(xlRTEQTYPE=$E1992),0))</f>
        <v>GEO_HP4</v>
      </c>
      <c r="Y1992" s="153" t="str">
        <f t="array" ref="Y1992">INDEX(xlRTTYNAME,MATCH(1,(xlRTTYENDU=2)*(xlRTTYEQCL=$F1992)*(xlRTEQTYPE=$G1992),0))</f>
        <v>GEO_HP4</v>
      </c>
    </row>
    <row r="1993" spans="1:25" s="157" customFormat="1" ht="14.25" customHeight="1" x14ac:dyDescent="0.2">
      <c r="A1993"/>
      <c r="B1993" s="126">
        <v>5</v>
      </c>
      <c r="C1993" s="126">
        <v>2</v>
      </c>
      <c r="D1993" s="126">
        <v>10</v>
      </c>
      <c r="E1993" s="126">
        <v>35</v>
      </c>
      <c r="F1993" s="126">
        <v>4</v>
      </c>
      <c r="G1993" s="126">
        <v>16</v>
      </c>
      <c r="H1993" s="126">
        <v>2016</v>
      </c>
      <c r="I1993" s="159">
        <v>2022</v>
      </c>
      <c r="J1993" s="127">
        <v>1.03</v>
      </c>
      <c r="K1993" s="127">
        <v>1.0512999999999999</v>
      </c>
      <c r="L1993" s="127">
        <v>0.44379999999999997</v>
      </c>
      <c r="M1993" s="127">
        <v>1.0359</v>
      </c>
      <c r="N1993" s="127">
        <v>1.2490000000000001</v>
      </c>
      <c r="O1993" s="127">
        <v>1.0538000000000001</v>
      </c>
      <c r="P1993" s="126">
        <v>2401</v>
      </c>
      <c r="Q1993" s="128">
        <f t="array" ref="Q1993">SUM(IF(($S1993&gt;=4)*($C1993='TaxCred&amp;Subs'!$D$123:$D$127)*($H1993='TaxCred&amp;Subs'!$C$123:$C$127)*($H1993&lt;='TaxCred&amp;Subs'!$C$129),'TaxCred&amp;Subs'!$E$123:$E$127,0))</f>
        <v>0</v>
      </c>
      <c r="R1993" s="174">
        <v>0</v>
      </c>
      <c r="S1993" s="126">
        <v>5</v>
      </c>
      <c r="T1993" s="126" t="s">
        <v>225</v>
      </c>
      <c r="U1993"/>
      <c r="V1993" s="153" t="str">
        <f t="array" ref="V1993">INDEX(xlRTCLNAME,MATCH(1,(xlRTCLENDU=1)*(xlRTCLEQCL=$D1993),0))</f>
        <v>GEO_HP</v>
      </c>
      <c r="W1993" s="153" t="str">
        <f t="array" ref="W1993">INDEX(xlRTCLNAME,MATCH(1,(xlRTCLENDU=2)*(xlRTCLEQCL=$F1993),0))</f>
        <v>GEO_HP</v>
      </c>
      <c r="X1993" s="153" t="str">
        <f t="array" ref="X1993">INDEX(xlRTTYNAME,MATCH(1,(xlRTTYENDU=1)*(xlRTTYEQCL=$D1993)*(xlRTEQTYPE=$E1993),0))</f>
        <v>GEO_HP4</v>
      </c>
      <c r="Y1993" s="153" t="str">
        <f t="array" ref="Y1993">INDEX(xlRTTYNAME,MATCH(1,(xlRTTYENDU=2)*(xlRTTYEQCL=$F1993)*(xlRTEQTYPE=$G1993),0))</f>
        <v>GEO_HP4</v>
      </c>
    </row>
    <row r="1994" spans="1:25" s="157" customFormat="1" ht="14.25" customHeight="1" x14ac:dyDescent="0.2">
      <c r="A1994"/>
      <c r="B1994" s="49">
        <v>5</v>
      </c>
      <c r="C1994" s="49">
        <v>2</v>
      </c>
      <c r="D1994" s="49">
        <v>10</v>
      </c>
      <c r="E1994" s="49">
        <v>35</v>
      </c>
      <c r="F1994" s="49">
        <v>4</v>
      </c>
      <c r="G1994" s="49">
        <v>16</v>
      </c>
      <c r="H1994" s="49">
        <v>2023</v>
      </c>
      <c r="I1994" s="49">
        <v>2032</v>
      </c>
      <c r="J1994" s="50">
        <v>1.03</v>
      </c>
      <c r="K1994" s="50">
        <v>1.0512999999999999</v>
      </c>
      <c r="L1994" s="50">
        <v>0.44379999999999997</v>
      </c>
      <c r="M1994" s="50">
        <v>1.0359</v>
      </c>
      <c r="N1994" s="50">
        <v>1.2490000000000001</v>
      </c>
      <c r="O1994" s="50">
        <v>1.0538000000000001</v>
      </c>
      <c r="P1994" s="49">
        <v>2401</v>
      </c>
      <c r="Q1994" s="51">
        <f t="array" ref="Q1994">SUM(IF(($S1994&gt;=4)*($C1994='TaxCred&amp;Subs'!$D$123:$D$127)*($H1994='TaxCred&amp;Subs'!$C$123:$C$127)*($H1994&lt;='TaxCred&amp;Subs'!$C$129),'TaxCred&amp;Subs'!$E$123:$E$127,0))</f>
        <v>500</v>
      </c>
      <c r="R1994" s="171">
        <v>0</v>
      </c>
      <c r="S1994" s="49">
        <v>5</v>
      </c>
      <c r="T1994" s="49" t="s">
        <v>225</v>
      </c>
      <c r="U1994"/>
      <c r="V1994" s="153" t="str">
        <f t="array" ref="V1994">INDEX(xlRTCLNAME,MATCH(1,(xlRTCLENDU=1)*(xlRTCLEQCL=$D1994),0))</f>
        <v>GEO_HP</v>
      </c>
      <c r="W1994" s="153" t="str">
        <f t="array" ref="W1994">INDEX(xlRTCLNAME,MATCH(1,(xlRTCLENDU=2)*(xlRTCLEQCL=$F1994),0))</f>
        <v>GEO_HP</v>
      </c>
      <c r="X1994" s="153" t="str">
        <f t="array" ref="X1994">INDEX(xlRTTYNAME,MATCH(1,(xlRTTYENDU=1)*(xlRTTYEQCL=$D1994)*(xlRTEQTYPE=$E1994),0))</f>
        <v>GEO_HP4</v>
      </c>
      <c r="Y1994" s="153" t="str">
        <f t="array" ref="Y1994">INDEX(xlRTTYNAME,MATCH(1,(xlRTTYENDU=2)*(xlRTTYEQCL=$F1994)*(xlRTEQTYPE=$G1994),0))</f>
        <v>GEO_HP4</v>
      </c>
    </row>
    <row r="1995" spans="1:25" s="157" customFormat="1" ht="14.25" customHeight="1" x14ac:dyDescent="0.2">
      <c r="A1995"/>
      <c r="B1995" s="49">
        <v>5</v>
      </c>
      <c r="C1995" s="49">
        <v>2</v>
      </c>
      <c r="D1995" s="49">
        <v>10</v>
      </c>
      <c r="E1995" s="49">
        <v>35</v>
      </c>
      <c r="F1995" s="49">
        <v>4</v>
      </c>
      <c r="G1995" s="49">
        <v>16</v>
      </c>
      <c r="H1995" s="49">
        <v>2033</v>
      </c>
      <c r="I1995" s="49">
        <v>2050</v>
      </c>
      <c r="J1995" s="50">
        <v>1.03</v>
      </c>
      <c r="K1995" s="50">
        <v>1.0512999999999999</v>
      </c>
      <c r="L1995" s="50">
        <v>0.44379999999999997</v>
      </c>
      <c r="M1995" s="50">
        <v>1.0359</v>
      </c>
      <c r="N1995" s="50">
        <v>1.2490000000000001</v>
      </c>
      <c r="O1995" s="50">
        <v>1.0538000000000001</v>
      </c>
      <c r="P1995" s="49">
        <v>2401</v>
      </c>
      <c r="Q1995" s="51">
        <f t="array" ref="Q1995">SUM(IF(($S1995&gt;=4)*($C1995='TaxCred&amp;Subs'!$D$123:$D$127)*($H1995='TaxCred&amp;Subs'!$C$123:$C$127)*($H1995&lt;='TaxCred&amp;Subs'!$C$129),'TaxCred&amp;Subs'!$E$123:$E$127,0))</f>
        <v>0</v>
      </c>
      <c r="R1995" s="171">
        <v>0</v>
      </c>
      <c r="S1995" s="49">
        <v>5</v>
      </c>
      <c r="T1995" s="49" t="s">
        <v>225</v>
      </c>
      <c r="U1995"/>
      <c r="V1995" s="153" t="str">
        <f t="array" ref="V1995">INDEX(xlRTCLNAME,MATCH(1,(xlRTCLENDU=1)*(xlRTCLEQCL=$D1995),0))</f>
        <v>GEO_HP</v>
      </c>
      <c r="W1995" s="153" t="str">
        <f t="array" ref="W1995">INDEX(xlRTCLNAME,MATCH(1,(xlRTCLENDU=2)*(xlRTCLEQCL=$F1995),0))</f>
        <v>GEO_HP</v>
      </c>
      <c r="X1995" s="153" t="str">
        <f t="array" ref="X1995">INDEX(xlRTTYNAME,MATCH(1,(xlRTTYENDU=1)*(xlRTTYEQCL=$D1995)*(xlRTEQTYPE=$E1995),0))</f>
        <v>GEO_HP4</v>
      </c>
      <c r="Y1995" s="153" t="str">
        <f t="array" ref="Y1995">INDEX(xlRTTYNAME,MATCH(1,(xlRTTYENDU=2)*(xlRTTYEQCL=$F1995)*(xlRTEQTYPE=$G1995),0))</f>
        <v>GEO_HP4</v>
      </c>
    </row>
    <row r="1996" spans="1:25" s="157" customFormat="1" ht="14.25" customHeight="1" x14ac:dyDescent="0.2">
      <c r="A1996"/>
      <c r="B1996" s="126">
        <v>6</v>
      </c>
      <c r="C1996" s="126">
        <v>2</v>
      </c>
      <c r="D1996" s="126">
        <v>10</v>
      </c>
      <c r="E1996" s="126">
        <v>35</v>
      </c>
      <c r="F1996" s="126">
        <v>4</v>
      </c>
      <c r="G1996" s="126">
        <v>16</v>
      </c>
      <c r="H1996" s="126">
        <v>2016</v>
      </c>
      <c r="I1996" s="159">
        <v>2022</v>
      </c>
      <c r="J1996" s="127">
        <v>1.1200000000000001</v>
      </c>
      <c r="K1996" s="127">
        <v>1.03</v>
      </c>
      <c r="L1996" s="127">
        <v>0.44379999999999997</v>
      </c>
      <c r="M1996" s="127">
        <v>1.0411999999999999</v>
      </c>
      <c r="N1996" s="127">
        <v>1.3656999999999999</v>
      </c>
      <c r="O1996" s="127">
        <v>1.0538000000000001</v>
      </c>
      <c r="P1996" s="126">
        <v>2479</v>
      </c>
      <c r="Q1996" s="128">
        <f t="array" ref="Q1996">SUM(IF(($S1996&gt;=4)*($C1996='TaxCred&amp;Subs'!$D$123:$D$127)*($H1996='TaxCred&amp;Subs'!$C$123:$C$127)*($H1996&lt;='TaxCred&amp;Subs'!$C$129),'TaxCred&amp;Subs'!$E$123:$E$127,0))</f>
        <v>0</v>
      </c>
      <c r="R1996" s="174">
        <v>0</v>
      </c>
      <c r="S1996" s="126">
        <v>5</v>
      </c>
      <c r="T1996" s="126" t="s">
        <v>225</v>
      </c>
      <c r="U1996"/>
      <c r="V1996" s="153" t="str">
        <f t="array" ref="V1996">INDEX(xlRTCLNAME,MATCH(1,(xlRTCLENDU=1)*(xlRTCLEQCL=$D1996),0))</f>
        <v>GEO_HP</v>
      </c>
      <c r="W1996" s="153" t="str">
        <f t="array" ref="W1996">INDEX(xlRTCLNAME,MATCH(1,(xlRTCLENDU=2)*(xlRTCLEQCL=$F1996),0))</f>
        <v>GEO_HP</v>
      </c>
      <c r="X1996" s="153" t="str">
        <f t="array" ref="X1996">INDEX(xlRTTYNAME,MATCH(1,(xlRTTYENDU=1)*(xlRTTYEQCL=$D1996)*(xlRTEQTYPE=$E1996),0))</f>
        <v>GEO_HP4</v>
      </c>
      <c r="Y1996" s="153" t="str">
        <f t="array" ref="Y1996">INDEX(xlRTTYNAME,MATCH(1,(xlRTTYENDU=2)*(xlRTTYEQCL=$F1996)*(xlRTEQTYPE=$G1996),0))</f>
        <v>GEO_HP4</v>
      </c>
    </row>
    <row r="1997" spans="1:25" s="157" customFormat="1" ht="14.25" customHeight="1" x14ac:dyDescent="0.2">
      <c r="A1997"/>
      <c r="B1997" s="49">
        <v>6</v>
      </c>
      <c r="C1997" s="49">
        <v>2</v>
      </c>
      <c r="D1997" s="49">
        <v>10</v>
      </c>
      <c r="E1997" s="49">
        <v>35</v>
      </c>
      <c r="F1997" s="49">
        <v>4</v>
      </c>
      <c r="G1997" s="49">
        <v>16</v>
      </c>
      <c r="H1997" s="49">
        <v>2023</v>
      </c>
      <c r="I1997" s="49">
        <v>2032</v>
      </c>
      <c r="J1997" s="50">
        <v>1.1200000000000001</v>
      </c>
      <c r="K1997" s="50">
        <v>1.03</v>
      </c>
      <c r="L1997" s="50">
        <v>0.44379999999999997</v>
      </c>
      <c r="M1997" s="50">
        <v>1.0411999999999999</v>
      </c>
      <c r="N1997" s="50">
        <v>1.3656999999999999</v>
      </c>
      <c r="O1997" s="50">
        <v>1.0538000000000001</v>
      </c>
      <c r="P1997" s="49">
        <v>2479</v>
      </c>
      <c r="Q1997" s="51">
        <f t="array" ref="Q1997">SUM(IF(($S1997&gt;=4)*($C1997='TaxCred&amp;Subs'!$D$123:$D$127)*($H1997='TaxCred&amp;Subs'!$C$123:$C$127)*($H1997&lt;='TaxCred&amp;Subs'!$C$129),'TaxCred&amp;Subs'!$E$123:$E$127,0))</f>
        <v>500</v>
      </c>
      <c r="R1997" s="171">
        <v>0</v>
      </c>
      <c r="S1997" s="49">
        <v>5</v>
      </c>
      <c r="T1997" s="49" t="s">
        <v>225</v>
      </c>
      <c r="U1997"/>
      <c r="V1997" s="153" t="str">
        <f t="array" ref="V1997">INDEX(xlRTCLNAME,MATCH(1,(xlRTCLENDU=1)*(xlRTCLEQCL=$D1997),0))</f>
        <v>GEO_HP</v>
      </c>
      <c r="W1997" s="153" t="str">
        <f t="array" ref="W1997">INDEX(xlRTCLNAME,MATCH(1,(xlRTCLENDU=2)*(xlRTCLEQCL=$F1997),0))</f>
        <v>GEO_HP</v>
      </c>
      <c r="X1997" s="153" t="str">
        <f t="array" ref="X1997">INDEX(xlRTTYNAME,MATCH(1,(xlRTTYENDU=1)*(xlRTTYEQCL=$D1997)*(xlRTEQTYPE=$E1997),0))</f>
        <v>GEO_HP4</v>
      </c>
      <c r="Y1997" s="153" t="str">
        <f t="array" ref="Y1997">INDEX(xlRTTYNAME,MATCH(1,(xlRTTYENDU=2)*(xlRTTYEQCL=$F1997)*(xlRTEQTYPE=$G1997),0))</f>
        <v>GEO_HP4</v>
      </c>
    </row>
    <row r="1998" spans="1:25" s="157" customFormat="1" ht="14.25" customHeight="1" x14ac:dyDescent="0.2">
      <c r="A1998"/>
      <c r="B1998" s="49">
        <v>6</v>
      </c>
      <c r="C1998" s="49">
        <v>2</v>
      </c>
      <c r="D1998" s="49">
        <v>10</v>
      </c>
      <c r="E1998" s="49">
        <v>35</v>
      </c>
      <c r="F1998" s="49">
        <v>4</v>
      </c>
      <c r="G1998" s="49">
        <v>16</v>
      </c>
      <c r="H1998" s="49">
        <v>2033</v>
      </c>
      <c r="I1998" s="49">
        <v>2050</v>
      </c>
      <c r="J1998" s="50">
        <v>1.1200000000000001</v>
      </c>
      <c r="K1998" s="50">
        <v>1.03</v>
      </c>
      <c r="L1998" s="50">
        <v>0.44379999999999997</v>
      </c>
      <c r="M1998" s="50">
        <v>1.0411999999999999</v>
      </c>
      <c r="N1998" s="50">
        <v>1.3656999999999999</v>
      </c>
      <c r="O1998" s="50">
        <v>1.0538000000000001</v>
      </c>
      <c r="P1998" s="49">
        <v>2479</v>
      </c>
      <c r="Q1998" s="51">
        <f t="array" ref="Q1998">SUM(IF(($S1998&gt;=4)*($C1998='TaxCred&amp;Subs'!$D$123:$D$127)*($H1998='TaxCred&amp;Subs'!$C$123:$C$127)*($H1998&lt;='TaxCred&amp;Subs'!$C$129),'TaxCred&amp;Subs'!$E$123:$E$127,0))</f>
        <v>0</v>
      </c>
      <c r="R1998" s="171">
        <v>0</v>
      </c>
      <c r="S1998" s="49">
        <v>5</v>
      </c>
      <c r="T1998" s="49" t="s">
        <v>225</v>
      </c>
      <c r="U1998"/>
      <c r="V1998" s="153" t="str">
        <f t="array" ref="V1998">INDEX(xlRTCLNAME,MATCH(1,(xlRTCLENDU=1)*(xlRTCLEQCL=$D1998),0))</f>
        <v>GEO_HP</v>
      </c>
      <c r="W1998" s="153" t="str">
        <f t="array" ref="W1998">INDEX(xlRTCLNAME,MATCH(1,(xlRTCLENDU=2)*(xlRTCLEQCL=$F1998),0))</f>
        <v>GEO_HP</v>
      </c>
      <c r="X1998" s="153" t="str">
        <f t="array" ref="X1998">INDEX(xlRTTYNAME,MATCH(1,(xlRTTYENDU=1)*(xlRTTYEQCL=$D1998)*(xlRTEQTYPE=$E1998),0))</f>
        <v>GEO_HP4</v>
      </c>
      <c r="Y1998" s="153" t="str">
        <f t="array" ref="Y1998">INDEX(xlRTTYNAME,MATCH(1,(xlRTTYENDU=2)*(xlRTTYEQCL=$F1998)*(xlRTEQTYPE=$G1998),0))</f>
        <v>GEO_HP4</v>
      </c>
    </row>
    <row r="1999" spans="1:25" s="157" customFormat="1" ht="14.25" customHeight="1" x14ac:dyDescent="0.2">
      <c r="A1999"/>
      <c r="B1999" s="126">
        <v>7</v>
      </c>
      <c r="C1999" s="126">
        <v>2</v>
      </c>
      <c r="D1999" s="126">
        <v>10</v>
      </c>
      <c r="E1999" s="126">
        <v>35</v>
      </c>
      <c r="F1999" s="126">
        <v>4</v>
      </c>
      <c r="G1999" s="126">
        <v>16</v>
      </c>
      <c r="H1999" s="126">
        <v>2016</v>
      </c>
      <c r="I1999" s="159">
        <v>2022</v>
      </c>
      <c r="J1999" s="127">
        <v>1.03</v>
      </c>
      <c r="K1999" s="127">
        <v>1.0611999999999999</v>
      </c>
      <c r="L1999" s="127">
        <v>0.44379999999999997</v>
      </c>
      <c r="M1999" s="127">
        <v>1.0546</v>
      </c>
      <c r="N1999" s="127">
        <v>1.4438</v>
      </c>
      <c r="O1999" s="127">
        <v>1.0538000000000001</v>
      </c>
      <c r="P1999" s="126">
        <v>2321</v>
      </c>
      <c r="Q1999" s="128">
        <f t="array" ref="Q1999">SUM(IF(($S1999&gt;=4)*($C1999='TaxCred&amp;Subs'!$D$123:$D$127)*($H1999='TaxCred&amp;Subs'!$C$123:$C$127)*($H1999&lt;='TaxCred&amp;Subs'!$C$129),'TaxCred&amp;Subs'!$E$123:$E$127,0))</f>
        <v>0</v>
      </c>
      <c r="R1999" s="174">
        <v>0</v>
      </c>
      <c r="S1999" s="126">
        <v>5</v>
      </c>
      <c r="T1999" s="126" t="s">
        <v>225</v>
      </c>
      <c r="U1999"/>
      <c r="V1999" s="153" t="str">
        <f t="array" ref="V1999">INDEX(xlRTCLNAME,MATCH(1,(xlRTCLENDU=1)*(xlRTCLEQCL=$D1999),0))</f>
        <v>GEO_HP</v>
      </c>
      <c r="W1999" s="153" t="str">
        <f t="array" ref="W1999">INDEX(xlRTCLNAME,MATCH(1,(xlRTCLENDU=2)*(xlRTCLEQCL=$F1999),0))</f>
        <v>GEO_HP</v>
      </c>
      <c r="X1999" s="153" t="str">
        <f t="array" ref="X1999">INDEX(xlRTTYNAME,MATCH(1,(xlRTTYENDU=1)*(xlRTTYEQCL=$D1999)*(xlRTEQTYPE=$E1999),0))</f>
        <v>GEO_HP4</v>
      </c>
      <c r="Y1999" s="153" t="str">
        <f t="array" ref="Y1999">INDEX(xlRTTYNAME,MATCH(1,(xlRTTYENDU=2)*(xlRTTYEQCL=$F1999)*(xlRTEQTYPE=$G1999),0))</f>
        <v>GEO_HP4</v>
      </c>
    </row>
    <row r="2000" spans="1:25" s="157" customFormat="1" ht="14.25" customHeight="1" x14ac:dyDescent="0.2">
      <c r="A2000"/>
      <c r="B2000" s="49">
        <v>7</v>
      </c>
      <c r="C2000" s="49">
        <v>2</v>
      </c>
      <c r="D2000" s="49">
        <v>10</v>
      </c>
      <c r="E2000" s="49">
        <v>35</v>
      </c>
      <c r="F2000" s="49">
        <v>4</v>
      </c>
      <c r="G2000" s="49">
        <v>16</v>
      </c>
      <c r="H2000" s="49">
        <v>2023</v>
      </c>
      <c r="I2000" s="49">
        <v>2032</v>
      </c>
      <c r="J2000" s="50">
        <v>1.03</v>
      </c>
      <c r="K2000" s="50">
        <v>1.0611999999999999</v>
      </c>
      <c r="L2000" s="50">
        <v>0.44379999999999997</v>
      </c>
      <c r="M2000" s="50">
        <v>1.0546</v>
      </c>
      <c r="N2000" s="50">
        <v>1.4438</v>
      </c>
      <c r="O2000" s="50">
        <v>1.0538000000000001</v>
      </c>
      <c r="P2000" s="49">
        <v>2321</v>
      </c>
      <c r="Q2000" s="51">
        <f t="array" ref="Q2000">SUM(IF(($S2000&gt;=4)*($C2000='TaxCred&amp;Subs'!$D$123:$D$127)*($H2000='TaxCred&amp;Subs'!$C$123:$C$127)*($H2000&lt;='TaxCred&amp;Subs'!$C$129),'TaxCred&amp;Subs'!$E$123:$E$127,0))</f>
        <v>500</v>
      </c>
      <c r="R2000" s="171">
        <v>0</v>
      </c>
      <c r="S2000" s="49">
        <v>5</v>
      </c>
      <c r="T2000" s="49" t="s">
        <v>225</v>
      </c>
      <c r="U2000"/>
      <c r="V2000" s="153" t="str">
        <f t="array" ref="V2000">INDEX(xlRTCLNAME,MATCH(1,(xlRTCLENDU=1)*(xlRTCLEQCL=$D2000),0))</f>
        <v>GEO_HP</v>
      </c>
      <c r="W2000" s="153" t="str">
        <f t="array" ref="W2000">INDEX(xlRTCLNAME,MATCH(1,(xlRTCLENDU=2)*(xlRTCLEQCL=$F2000),0))</f>
        <v>GEO_HP</v>
      </c>
      <c r="X2000" s="153" t="str">
        <f t="array" ref="X2000">INDEX(xlRTTYNAME,MATCH(1,(xlRTTYENDU=1)*(xlRTTYEQCL=$D2000)*(xlRTEQTYPE=$E2000),0))</f>
        <v>GEO_HP4</v>
      </c>
      <c r="Y2000" s="153" t="str">
        <f t="array" ref="Y2000">INDEX(xlRTTYNAME,MATCH(1,(xlRTTYENDU=2)*(xlRTTYEQCL=$F2000)*(xlRTEQTYPE=$G2000),0))</f>
        <v>GEO_HP4</v>
      </c>
    </row>
    <row r="2001" spans="1:25" s="157" customFormat="1" ht="14.25" customHeight="1" x14ac:dyDescent="0.2">
      <c r="A2001"/>
      <c r="B2001" s="49">
        <v>7</v>
      </c>
      <c r="C2001" s="49">
        <v>2</v>
      </c>
      <c r="D2001" s="49">
        <v>10</v>
      </c>
      <c r="E2001" s="49">
        <v>35</v>
      </c>
      <c r="F2001" s="49">
        <v>4</v>
      </c>
      <c r="G2001" s="49">
        <v>16</v>
      </c>
      <c r="H2001" s="49">
        <v>2033</v>
      </c>
      <c r="I2001" s="49">
        <v>2050</v>
      </c>
      <c r="J2001" s="50">
        <v>1.03</v>
      </c>
      <c r="K2001" s="50">
        <v>1.0611999999999999</v>
      </c>
      <c r="L2001" s="50">
        <v>0.44379999999999997</v>
      </c>
      <c r="M2001" s="50">
        <v>1.0546</v>
      </c>
      <c r="N2001" s="50">
        <v>1.4438</v>
      </c>
      <c r="O2001" s="50">
        <v>1.0538000000000001</v>
      </c>
      <c r="P2001" s="49">
        <v>2321</v>
      </c>
      <c r="Q2001" s="51">
        <f t="array" ref="Q2001">SUM(IF(($S2001&gt;=4)*($C2001='TaxCred&amp;Subs'!$D$123:$D$127)*($H2001='TaxCred&amp;Subs'!$C$123:$C$127)*($H2001&lt;='TaxCred&amp;Subs'!$C$129),'TaxCred&amp;Subs'!$E$123:$E$127,0))</f>
        <v>0</v>
      </c>
      <c r="R2001" s="171">
        <v>0</v>
      </c>
      <c r="S2001" s="49">
        <v>5</v>
      </c>
      <c r="T2001" s="49" t="s">
        <v>225</v>
      </c>
      <c r="U2001"/>
      <c r="V2001" s="153" t="str">
        <f t="array" ref="V2001">INDEX(xlRTCLNAME,MATCH(1,(xlRTCLENDU=1)*(xlRTCLEQCL=$D2001),0))</f>
        <v>GEO_HP</v>
      </c>
      <c r="W2001" s="153" t="str">
        <f t="array" ref="W2001">INDEX(xlRTCLNAME,MATCH(1,(xlRTCLENDU=2)*(xlRTCLEQCL=$F2001),0))</f>
        <v>GEO_HP</v>
      </c>
      <c r="X2001" s="153" t="str">
        <f t="array" ref="X2001">INDEX(xlRTTYNAME,MATCH(1,(xlRTTYENDU=1)*(xlRTTYEQCL=$D2001)*(xlRTEQTYPE=$E2001),0))</f>
        <v>GEO_HP4</v>
      </c>
      <c r="Y2001" s="153" t="str">
        <f t="array" ref="Y2001">INDEX(xlRTTYNAME,MATCH(1,(xlRTTYENDU=2)*(xlRTTYEQCL=$F2001)*(xlRTEQTYPE=$G2001),0))</f>
        <v>GEO_HP4</v>
      </c>
    </row>
    <row r="2002" spans="1:25" s="157" customFormat="1" ht="14.25" customHeight="1" x14ac:dyDescent="0.2">
      <c r="A2002"/>
      <c r="B2002" s="126">
        <v>8</v>
      </c>
      <c r="C2002" s="126">
        <v>2</v>
      </c>
      <c r="D2002" s="126">
        <v>10</v>
      </c>
      <c r="E2002" s="126">
        <v>35</v>
      </c>
      <c r="F2002" s="126">
        <v>4</v>
      </c>
      <c r="G2002" s="126">
        <v>16</v>
      </c>
      <c r="H2002" s="126">
        <v>2016</v>
      </c>
      <c r="I2002" s="159">
        <v>2022</v>
      </c>
      <c r="J2002" s="127">
        <v>1.1111</v>
      </c>
      <c r="K2002" s="127">
        <v>1.0417000000000001</v>
      </c>
      <c r="L2002" s="127">
        <v>0.5272</v>
      </c>
      <c r="M2002" s="127">
        <v>1.2111000000000001</v>
      </c>
      <c r="N2002" s="127">
        <v>1.2907</v>
      </c>
      <c r="O2002" s="127">
        <v>1.0538000000000001</v>
      </c>
      <c r="P2002" s="126">
        <v>2889</v>
      </c>
      <c r="Q2002" s="128">
        <f t="array" ref="Q2002">SUM(IF(($S2002&gt;=4)*($C2002='TaxCred&amp;Subs'!$D$123:$D$127)*($H2002='TaxCred&amp;Subs'!$C$123:$C$127)*($H2002&lt;='TaxCred&amp;Subs'!$C$129),'TaxCred&amp;Subs'!$E$123:$E$127,0))</f>
        <v>0</v>
      </c>
      <c r="R2002" s="174">
        <v>0</v>
      </c>
      <c r="S2002" s="126">
        <v>5</v>
      </c>
      <c r="T2002" s="126" t="s">
        <v>225</v>
      </c>
      <c r="U2002"/>
      <c r="V2002" s="153" t="str">
        <f t="array" ref="V2002">INDEX(xlRTCLNAME,MATCH(1,(xlRTCLENDU=1)*(xlRTCLEQCL=$D2002),0))</f>
        <v>GEO_HP</v>
      </c>
      <c r="W2002" s="153" t="str">
        <f t="array" ref="W2002">INDEX(xlRTCLNAME,MATCH(1,(xlRTCLENDU=2)*(xlRTCLEQCL=$F2002),0))</f>
        <v>GEO_HP</v>
      </c>
      <c r="X2002" s="153" t="str">
        <f t="array" ref="X2002">INDEX(xlRTTYNAME,MATCH(1,(xlRTTYENDU=1)*(xlRTTYEQCL=$D2002)*(xlRTEQTYPE=$E2002),0))</f>
        <v>GEO_HP4</v>
      </c>
      <c r="Y2002" s="153" t="str">
        <f t="array" ref="Y2002">INDEX(xlRTTYNAME,MATCH(1,(xlRTTYENDU=2)*(xlRTTYEQCL=$F2002)*(xlRTEQTYPE=$G2002),0))</f>
        <v>GEO_HP4</v>
      </c>
    </row>
    <row r="2003" spans="1:25" s="157" customFormat="1" ht="14.25" customHeight="1" x14ac:dyDescent="0.2">
      <c r="A2003"/>
      <c r="B2003" s="49">
        <v>8</v>
      </c>
      <c r="C2003" s="49">
        <v>2</v>
      </c>
      <c r="D2003" s="49">
        <v>10</v>
      </c>
      <c r="E2003" s="49">
        <v>35</v>
      </c>
      <c r="F2003" s="49">
        <v>4</v>
      </c>
      <c r="G2003" s="49">
        <v>16</v>
      </c>
      <c r="H2003" s="49">
        <v>2023</v>
      </c>
      <c r="I2003" s="49">
        <v>2032</v>
      </c>
      <c r="J2003" s="50">
        <v>1.1111</v>
      </c>
      <c r="K2003" s="50">
        <v>1.0417000000000001</v>
      </c>
      <c r="L2003" s="50">
        <v>0.5272</v>
      </c>
      <c r="M2003" s="50">
        <v>1.2111000000000001</v>
      </c>
      <c r="N2003" s="50">
        <v>1.2907</v>
      </c>
      <c r="O2003" s="50">
        <v>1.0538000000000001</v>
      </c>
      <c r="P2003" s="49">
        <v>2889</v>
      </c>
      <c r="Q2003" s="51">
        <f t="array" ref="Q2003">SUM(IF(($S2003&gt;=4)*($C2003='TaxCred&amp;Subs'!$D$123:$D$127)*($H2003='TaxCred&amp;Subs'!$C$123:$C$127)*($H2003&lt;='TaxCred&amp;Subs'!$C$129),'TaxCred&amp;Subs'!$E$123:$E$127,0))</f>
        <v>500</v>
      </c>
      <c r="R2003" s="171">
        <v>0</v>
      </c>
      <c r="S2003" s="49">
        <v>5</v>
      </c>
      <c r="T2003" s="49" t="s">
        <v>225</v>
      </c>
      <c r="U2003"/>
      <c r="V2003" s="153" t="str">
        <f t="array" ref="V2003">INDEX(xlRTCLNAME,MATCH(1,(xlRTCLENDU=1)*(xlRTCLEQCL=$D2003),0))</f>
        <v>GEO_HP</v>
      </c>
      <c r="W2003" s="153" t="str">
        <f t="array" ref="W2003">INDEX(xlRTCLNAME,MATCH(1,(xlRTCLENDU=2)*(xlRTCLEQCL=$F2003),0))</f>
        <v>GEO_HP</v>
      </c>
      <c r="X2003" s="153" t="str">
        <f t="array" ref="X2003">INDEX(xlRTTYNAME,MATCH(1,(xlRTTYENDU=1)*(xlRTTYEQCL=$D2003)*(xlRTEQTYPE=$E2003),0))</f>
        <v>GEO_HP4</v>
      </c>
      <c r="Y2003" s="153" t="str">
        <f t="array" ref="Y2003">INDEX(xlRTTYNAME,MATCH(1,(xlRTTYENDU=2)*(xlRTTYEQCL=$F2003)*(xlRTEQTYPE=$G2003),0))</f>
        <v>GEO_HP4</v>
      </c>
    </row>
    <row r="2004" spans="1:25" s="157" customFormat="1" ht="14.25" customHeight="1" x14ac:dyDescent="0.2">
      <c r="A2004"/>
      <c r="B2004" s="49">
        <v>8</v>
      </c>
      <c r="C2004" s="49">
        <v>2</v>
      </c>
      <c r="D2004" s="49">
        <v>10</v>
      </c>
      <c r="E2004" s="49">
        <v>35</v>
      </c>
      <c r="F2004" s="49">
        <v>4</v>
      </c>
      <c r="G2004" s="49">
        <v>16</v>
      </c>
      <c r="H2004" s="49">
        <v>2033</v>
      </c>
      <c r="I2004" s="49">
        <v>2050</v>
      </c>
      <c r="J2004" s="50">
        <v>1.1111</v>
      </c>
      <c r="K2004" s="50">
        <v>1.0417000000000001</v>
      </c>
      <c r="L2004" s="50">
        <v>0.5272</v>
      </c>
      <c r="M2004" s="50">
        <v>1.2111000000000001</v>
      </c>
      <c r="N2004" s="50">
        <v>1.2907</v>
      </c>
      <c r="O2004" s="50">
        <v>1.0538000000000001</v>
      </c>
      <c r="P2004" s="49">
        <v>2889</v>
      </c>
      <c r="Q2004" s="51">
        <f t="array" ref="Q2004">SUM(IF(($S2004&gt;=4)*($C2004='TaxCred&amp;Subs'!$D$123:$D$127)*($H2004='TaxCred&amp;Subs'!$C$123:$C$127)*($H2004&lt;='TaxCred&amp;Subs'!$C$129),'TaxCred&amp;Subs'!$E$123:$E$127,0))</f>
        <v>0</v>
      </c>
      <c r="R2004" s="171">
        <v>0</v>
      </c>
      <c r="S2004" s="49">
        <v>5</v>
      </c>
      <c r="T2004" s="49" t="s">
        <v>225</v>
      </c>
      <c r="U2004"/>
      <c r="V2004" s="153" t="str">
        <f t="array" ref="V2004">INDEX(xlRTCLNAME,MATCH(1,(xlRTCLENDU=1)*(xlRTCLEQCL=$D2004),0))</f>
        <v>GEO_HP</v>
      </c>
      <c r="W2004" s="153" t="str">
        <f t="array" ref="W2004">INDEX(xlRTCLNAME,MATCH(1,(xlRTCLENDU=2)*(xlRTCLEQCL=$F2004),0))</f>
        <v>GEO_HP</v>
      </c>
      <c r="X2004" s="153" t="str">
        <f t="array" ref="X2004">INDEX(xlRTTYNAME,MATCH(1,(xlRTTYENDU=1)*(xlRTTYEQCL=$D2004)*(xlRTEQTYPE=$E2004),0))</f>
        <v>GEO_HP4</v>
      </c>
      <c r="Y2004" s="153" t="str">
        <f t="array" ref="Y2004">INDEX(xlRTTYNAME,MATCH(1,(xlRTTYENDU=2)*(xlRTTYEQCL=$F2004)*(xlRTEQTYPE=$G2004),0))</f>
        <v>GEO_HP4</v>
      </c>
    </row>
    <row r="2005" spans="1:25" s="157" customFormat="1" ht="14.25" customHeight="1" x14ac:dyDescent="0.2">
      <c r="A2005"/>
      <c r="B2005" s="126">
        <v>9</v>
      </c>
      <c r="C2005" s="126">
        <v>2</v>
      </c>
      <c r="D2005" s="126">
        <v>10</v>
      </c>
      <c r="E2005" s="126">
        <v>35</v>
      </c>
      <c r="F2005" s="126">
        <v>4</v>
      </c>
      <c r="G2005" s="126">
        <v>16</v>
      </c>
      <c r="H2005" s="126">
        <v>2016</v>
      </c>
      <c r="I2005" s="159">
        <v>2022</v>
      </c>
      <c r="J2005" s="127">
        <v>1.03</v>
      </c>
      <c r="K2005" s="127">
        <v>1.0741000000000001</v>
      </c>
      <c r="L2005" s="127">
        <v>0.44379999999999997</v>
      </c>
      <c r="M2005" s="127">
        <v>1.1228</v>
      </c>
      <c r="N2005" s="127">
        <v>1.4438</v>
      </c>
      <c r="O2005" s="127">
        <v>1.0538000000000001</v>
      </c>
      <c r="P2005" s="126">
        <v>4343</v>
      </c>
      <c r="Q2005" s="128">
        <f t="array" ref="Q2005">SUM(IF(($S2005&gt;=4)*($C2005='TaxCred&amp;Subs'!$D$123:$D$127)*($H2005='TaxCred&amp;Subs'!$C$123:$C$127)*($H2005&lt;='TaxCred&amp;Subs'!$C$129),'TaxCred&amp;Subs'!$E$123:$E$127,0))</f>
        <v>0</v>
      </c>
      <c r="R2005" s="174">
        <v>0</v>
      </c>
      <c r="S2005" s="126">
        <v>5</v>
      </c>
      <c r="T2005" s="126" t="s">
        <v>225</v>
      </c>
      <c r="U2005"/>
      <c r="V2005" s="153" t="str">
        <f t="array" ref="V2005">INDEX(xlRTCLNAME,MATCH(1,(xlRTCLENDU=1)*(xlRTCLEQCL=$D2005),0))</f>
        <v>GEO_HP</v>
      </c>
      <c r="W2005" s="153" t="str">
        <f t="array" ref="W2005">INDEX(xlRTCLNAME,MATCH(1,(xlRTCLENDU=2)*(xlRTCLEQCL=$F2005),0))</f>
        <v>GEO_HP</v>
      </c>
      <c r="X2005" s="153" t="str">
        <f t="array" ref="X2005">INDEX(xlRTTYNAME,MATCH(1,(xlRTTYENDU=1)*(xlRTTYEQCL=$D2005)*(xlRTEQTYPE=$E2005),0))</f>
        <v>GEO_HP4</v>
      </c>
      <c r="Y2005" s="153" t="str">
        <f t="array" ref="Y2005">INDEX(xlRTTYNAME,MATCH(1,(xlRTTYENDU=2)*(xlRTTYEQCL=$F2005)*(xlRTEQTYPE=$G2005),0))</f>
        <v>GEO_HP4</v>
      </c>
    </row>
    <row r="2006" spans="1:25" s="157" customFormat="1" ht="14.25" customHeight="1" x14ac:dyDescent="0.2">
      <c r="A2006"/>
      <c r="B2006" s="49">
        <v>9</v>
      </c>
      <c r="C2006" s="49">
        <v>2</v>
      </c>
      <c r="D2006" s="49">
        <v>10</v>
      </c>
      <c r="E2006" s="49">
        <v>35</v>
      </c>
      <c r="F2006" s="49">
        <v>4</v>
      </c>
      <c r="G2006" s="49">
        <v>16</v>
      </c>
      <c r="H2006" s="49">
        <v>2023</v>
      </c>
      <c r="I2006" s="49">
        <v>2032</v>
      </c>
      <c r="J2006" s="50">
        <v>1.03</v>
      </c>
      <c r="K2006" s="50">
        <v>1.0741000000000001</v>
      </c>
      <c r="L2006" s="50">
        <v>0.44379999999999997</v>
      </c>
      <c r="M2006" s="50">
        <v>1.1228</v>
      </c>
      <c r="N2006" s="50">
        <v>1.4438</v>
      </c>
      <c r="O2006" s="50">
        <v>1.0538000000000001</v>
      </c>
      <c r="P2006" s="49">
        <v>4343</v>
      </c>
      <c r="Q2006" s="51">
        <f t="array" ref="Q2006">SUM(IF(($S2006&gt;=4)*($C2006='TaxCred&amp;Subs'!$D$123:$D$127)*($H2006='TaxCred&amp;Subs'!$C$123:$C$127)*($H2006&lt;='TaxCred&amp;Subs'!$C$129),'TaxCred&amp;Subs'!$E$123:$E$127,0))</f>
        <v>500</v>
      </c>
      <c r="R2006" s="171">
        <v>0</v>
      </c>
      <c r="S2006" s="49">
        <v>5</v>
      </c>
      <c r="T2006" s="49" t="s">
        <v>225</v>
      </c>
      <c r="U2006"/>
      <c r="V2006" s="153" t="str">
        <f t="array" ref="V2006">INDEX(xlRTCLNAME,MATCH(1,(xlRTCLENDU=1)*(xlRTCLEQCL=$D2006),0))</f>
        <v>GEO_HP</v>
      </c>
      <c r="W2006" s="153" t="str">
        <f t="array" ref="W2006">INDEX(xlRTCLNAME,MATCH(1,(xlRTCLENDU=2)*(xlRTCLEQCL=$F2006),0))</f>
        <v>GEO_HP</v>
      </c>
      <c r="X2006" s="153" t="str">
        <f t="array" ref="X2006">INDEX(xlRTTYNAME,MATCH(1,(xlRTTYENDU=1)*(xlRTTYEQCL=$D2006)*(xlRTEQTYPE=$E2006),0))</f>
        <v>GEO_HP4</v>
      </c>
      <c r="Y2006" s="153" t="str">
        <f t="array" ref="Y2006">INDEX(xlRTTYNAME,MATCH(1,(xlRTTYENDU=2)*(xlRTTYEQCL=$F2006)*(xlRTEQTYPE=$G2006),0))</f>
        <v>GEO_HP4</v>
      </c>
    </row>
    <row r="2007" spans="1:25" s="157" customFormat="1" ht="14.25" customHeight="1" x14ac:dyDescent="0.2">
      <c r="A2007"/>
      <c r="B2007" s="49">
        <v>9</v>
      </c>
      <c r="C2007" s="49">
        <v>2</v>
      </c>
      <c r="D2007" s="49">
        <v>10</v>
      </c>
      <c r="E2007" s="49">
        <v>35</v>
      </c>
      <c r="F2007" s="49">
        <v>4</v>
      </c>
      <c r="G2007" s="49">
        <v>16</v>
      </c>
      <c r="H2007" s="49">
        <v>2033</v>
      </c>
      <c r="I2007" s="49">
        <v>2050</v>
      </c>
      <c r="J2007" s="50">
        <v>1.03</v>
      </c>
      <c r="K2007" s="50">
        <v>1.0741000000000001</v>
      </c>
      <c r="L2007" s="50">
        <v>0.44379999999999997</v>
      </c>
      <c r="M2007" s="50">
        <v>1.1228</v>
      </c>
      <c r="N2007" s="50">
        <v>1.4438</v>
      </c>
      <c r="O2007" s="50">
        <v>1.0538000000000001</v>
      </c>
      <c r="P2007" s="49">
        <v>4343</v>
      </c>
      <c r="Q2007" s="51">
        <f t="array" ref="Q2007">SUM(IF(($S2007&gt;=4)*($C2007='TaxCred&amp;Subs'!$D$123:$D$127)*($H2007='TaxCred&amp;Subs'!$C$123:$C$127)*($H2007&lt;='TaxCred&amp;Subs'!$C$129),'TaxCred&amp;Subs'!$E$123:$E$127,0))</f>
        <v>0</v>
      </c>
      <c r="R2007" s="171">
        <v>0</v>
      </c>
      <c r="S2007" s="49">
        <v>5</v>
      </c>
      <c r="T2007" s="49" t="s">
        <v>225</v>
      </c>
      <c r="U2007"/>
      <c r="V2007" s="153" t="str">
        <f t="array" ref="V2007">INDEX(xlRTCLNAME,MATCH(1,(xlRTCLENDU=1)*(xlRTCLEQCL=$D2007),0))</f>
        <v>GEO_HP</v>
      </c>
      <c r="W2007" s="153" t="str">
        <f t="array" ref="W2007">INDEX(xlRTCLNAME,MATCH(1,(xlRTCLENDU=2)*(xlRTCLEQCL=$F2007),0))</f>
        <v>GEO_HP</v>
      </c>
      <c r="X2007" s="153" t="str">
        <f t="array" ref="X2007">INDEX(xlRTTYNAME,MATCH(1,(xlRTTYENDU=1)*(xlRTTYEQCL=$D2007)*(xlRTEQTYPE=$E2007),0))</f>
        <v>GEO_HP4</v>
      </c>
      <c r="Y2007" s="153" t="str">
        <f t="array" ref="Y2007">INDEX(xlRTTYNAME,MATCH(1,(xlRTTYENDU=2)*(xlRTTYEQCL=$F2007)*(xlRTEQTYPE=$G2007),0))</f>
        <v>GEO_HP4</v>
      </c>
    </row>
    <row r="2008" spans="1:25" s="157" customFormat="1" ht="14.25" customHeight="1" x14ac:dyDescent="0.2">
      <c r="A2008"/>
      <c r="B2008" s="126">
        <v>1</v>
      </c>
      <c r="C2008" s="126">
        <v>2</v>
      </c>
      <c r="D2008" s="126">
        <v>11</v>
      </c>
      <c r="E2008" s="126">
        <v>36</v>
      </c>
      <c r="F2008" s="126">
        <v>5</v>
      </c>
      <c r="G2008" s="126">
        <v>17</v>
      </c>
      <c r="H2008" s="126">
        <v>2016</v>
      </c>
      <c r="I2008" s="159">
        <v>2022</v>
      </c>
      <c r="J2008" s="127">
        <v>1.1042000000000001</v>
      </c>
      <c r="K2008" s="127">
        <v>1.0417000000000001</v>
      </c>
      <c r="L2008" s="127">
        <v>0.58399999999999996</v>
      </c>
      <c r="M2008" s="127">
        <v>1.1228</v>
      </c>
      <c r="N2008" s="127">
        <v>1.1127</v>
      </c>
      <c r="O2008" s="127">
        <v>1.0538000000000001</v>
      </c>
      <c r="P2008" s="126">
        <v>3776</v>
      </c>
      <c r="Q2008" s="128">
        <f t="array" ref="Q2008">SUM(IF(($S2008&gt;=4)*($C2008='TaxCred&amp;Subs'!$D$123:$D$127)*($H2008='TaxCred&amp;Subs'!$C$123:$C$127)*($H2008&lt;='TaxCred&amp;Subs'!$C$129),'TaxCred&amp;Subs'!$E$123:$E$127,0))</f>
        <v>0</v>
      </c>
      <c r="R2008" s="174">
        <v>0</v>
      </c>
      <c r="S2008" s="126">
        <v>5</v>
      </c>
      <c r="T2008" s="126" t="s">
        <v>225</v>
      </c>
      <c r="U2008"/>
      <c r="V2008" s="153" t="str">
        <f t="array" ref="V2008">INDEX(xlRTCLNAME,MATCH(1,(xlRTCLENDU=1)*(xlRTCLEQCL=$D2008),0))</f>
        <v>NG_HP</v>
      </c>
      <c r="W2008" s="153" t="str">
        <f t="array" ref="W2008">INDEX(xlRTCLNAME,MATCH(1,(xlRTCLENDU=2)*(xlRTCLEQCL=$F2008),0))</f>
        <v>NG_HP</v>
      </c>
      <c r="X2008" s="153" t="str">
        <f t="array" ref="X2008">INDEX(xlRTTYNAME,MATCH(1,(xlRTTYENDU=1)*(xlRTTYEQCL=$D2008)*(xlRTEQTYPE=$E2008),0))</f>
        <v>NG_HP2</v>
      </c>
      <c r="Y2008" s="153" t="str">
        <f t="array" ref="Y2008">INDEX(xlRTTYNAME,MATCH(1,(xlRTTYENDU=2)*(xlRTTYEQCL=$F2008)*(xlRTEQTYPE=$G2008),0))</f>
        <v>NG_HP2</v>
      </c>
    </row>
    <row r="2009" spans="1:25" s="157" customFormat="1" ht="14.25" customHeight="1" x14ac:dyDescent="0.2">
      <c r="A2009"/>
      <c r="B2009" s="49">
        <v>1</v>
      </c>
      <c r="C2009" s="49">
        <v>2</v>
      </c>
      <c r="D2009" s="49">
        <v>11</v>
      </c>
      <c r="E2009" s="49">
        <v>36</v>
      </c>
      <c r="F2009" s="49">
        <v>5</v>
      </c>
      <c r="G2009" s="49">
        <v>17</v>
      </c>
      <c r="H2009" s="49">
        <v>2023</v>
      </c>
      <c r="I2009" s="49">
        <v>2032</v>
      </c>
      <c r="J2009" s="50">
        <v>1.1042000000000001</v>
      </c>
      <c r="K2009" s="50">
        <v>1.0417000000000001</v>
      </c>
      <c r="L2009" s="50">
        <v>0.58399999999999996</v>
      </c>
      <c r="M2009" s="50">
        <v>1.1228</v>
      </c>
      <c r="N2009" s="50">
        <v>1.1127</v>
      </c>
      <c r="O2009" s="50">
        <v>1.0538000000000001</v>
      </c>
      <c r="P2009" s="49">
        <v>3776</v>
      </c>
      <c r="Q2009" s="51">
        <f t="array" ref="Q2009">SUM(IF(($S2009&gt;=4)*($C2009='TaxCred&amp;Subs'!$D$123:$D$127)*($H2009='TaxCred&amp;Subs'!$C$123:$C$127)*($H2009&lt;='TaxCred&amp;Subs'!$C$129),'TaxCred&amp;Subs'!$E$123:$E$127,0))</f>
        <v>500</v>
      </c>
      <c r="R2009" s="171">
        <v>0</v>
      </c>
      <c r="S2009" s="49">
        <v>5</v>
      </c>
      <c r="T2009" s="49" t="s">
        <v>225</v>
      </c>
      <c r="U2009"/>
      <c r="V2009" s="153" t="str">
        <f t="array" ref="V2009">INDEX(xlRTCLNAME,MATCH(1,(xlRTCLENDU=1)*(xlRTCLEQCL=$D2009),0))</f>
        <v>NG_HP</v>
      </c>
      <c r="W2009" s="153" t="str">
        <f t="array" ref="W2009">INDEX(xlRTCLNAME,MATCH(1,(xlRTCLENDU=2)*(xlRTCLEQCL=$F2009),0))</f>
        <v>NG_HP</v>
      </c>
      <c r="X2009" s="153" t="str">
        <f t="array" ref="X2009">INDEX(xlRTTYNAME,MATCH(1,(xlRTTYENDU=1)*(xlRTTYEQCL=$D2009)*(xlRTEQTYPE=$E2009),0))</f>
        <v>NG_HP2</v>
      </c>
      <c r="Y2009" s="153" t="str">
        <f t="array" ref="Y2009">INDEX(xlRTTYNAME,MATCH(1,(xlRTTYENDU=2)*(xlRTTYEQCL=$F2009)*(xlRTEQTYPE=$G2009),0))</f>
        <v>NG_HP2</v>
      </c>
    </row>
    <row r="2010" spans="1:25" s="157" customFormat="1" ht="14.25" customHeight="1" x14ac:dyDescent="0.2">
      <c r="A2010"/>
      <c r="B2010" s="49">
        <v>1</v>
      </c>
      <c r="C2010" s="49">
        <v>2</v>
      </c>
      <c r="D2010" s="49">
        <v>11</v>
      </c>
      <c r="E2010" s="49">
        <v>36</v>
      </c>
      <c r="F2010" s="49">
        <v>5</v>
      </c>
      <c r="G2010" s="49">
        <v>17</v>
      </c>
      <c r="H2010" s="49">
        <v>2033</v>
      </c>
      <c r="I2010" s="49">
        <v>2050</v>
      </c>
      <c r="J2010" s="50">
        <v>1.1042000000000001</v>
      </c>
      <c r="K2010" s="50">
        <v>1.0417000000000001</v>
      </c>
      <c r="L2010" s="50">
        <v>0.58399999999999996</v>
      </c>
      <c r="M2010" s="50">
        <v>1.1228</v>
      </c>
      <c r="N2010" s="50">
        <v>1.1127</v>
      </c>
      <c r="O2010" s="50">
        <v>1.0538000000000001</v>
      </c>
      <c r="P2010" s="49">
        <v>3776</v>
      </c>
      <c r="Q2010" s="51">
        <f t="array" ref="Q2010">SUM(IF(($S2010&gt;=4)*($C2010='TaxCred&amp;Subs'!$D$123:$D$127)*($H2010='TaxCred&amp;Subs'!$C$123:$C$127)*($H2010&lt;='TaxCred&amp;Subs'!$C$129),'TaxCred&amp;Subs'!$E$123:$E$127,0))</f>
        <v>0</v>
      </c>
      <c r="R2010" s="171">
        <v>0</v>
      </c>
      <c r="S2010" s="49">
        <v>5</v>
      </c>
      <c r="T2010" s="49" t="s">
        <v>225</v>
      </c>
      <c r="U2010"/>
      <c r="V2010" s="153" t="str">
        <f t="array" ref="V2010">INDEX(xlRTCLNAME,MATCH(1,(xlRTCLENDU=1)*(xlRTCLEQCL=$D2010),0))</f>
        <v>NG_HP</v>
      </c>
      <c r="W2010" s="153" t="str">
        <f t="array" ref="W2010">INDEX(xlRTCLNAME,MATCH(1,(xlRTCLENDU=2)*(xlRTCLEQCL=$F2010),0))</f>
        <v>NG_HP</v>
      </c>
      <c r="X2010" s="153" t="str">
        <f t="array" ref="X2010">INDEX(xlRTTYNAME,MATCH(1,(xlRTTYENDU=1)*(xlRTTYEQCL=$D2010)*(xlRTEQTYPE=$E2010),0))</f>
        <v>NG_HP2</v>
      </c>
      <c r="Y2010" s="153" t="str">
        <f t="array" ref="Y2010">INDEX(xlRTTYNAME,MATCH(1,(xlRTTYENDU=2)*(xlRTTYEQCL=$F2010)*(xlRTEQTYPE=$G2010),0))</f>
        <v>NG_HP2</v>
      </c>
    </row>
    <row r="2011" spans="1:25" s="157" customFormat="1" ht="14.25" customHeight="1" x14ac:dyDescent="0.2">
      <c r="A2011"/>
      <c r="B2011" s="126">
        <v>2</v>
      </c>
      <c r="C2011" s="126">
        <v>2</v>
      </c>
      <c r="D2011" s="126">
        <v>11</v>
      </c>
      <c r="E2011" s="126">
        <v>36</v>
      </c>
      <c r="F2011" s="126">
        <v>5</v>
      </c>
      <c r="G2011" s="126">
        <v>17</v>
      </c>
      <c r="H2011" s="126">
        <v>2016</v>
      </c>
      <c r="I2011" s="159">
        <v>2022</v>
      </c>
      <c r="J2011" s="127">
        <v>1.0847</v>
      </c>
      <c r="K2011" s="127">
        <v>1.0357000000000001</v>
      </c>
      <c r="L2011" s="127">
        <v>0.56759999999999999</v>
      </c>
      <c r="M2011" s="127">
        <v>1.1416999999999999</v>
      </c>
      <c r="N2011" s="127">
        <v>1.1162000000000001</v>
      </c>
      <c r="O2011" s="127">
        <v>1.0538000000000001</v>
      </c>
      <c r="P2011" s="126">
        <v>3572</v>
      </c>
      <c r="Q2011" s="128">
        <f t="array" ref="Q2011">SUM(IF(($S2011&gt;=4)*($C2011='TaxCred&amp;Subs'!$D$123:$D$127)*($H2011='TaxCred&amp;Subs'!$C$123:$C$127)*($H2011&lt;='TaxCred&amp;Subs'!$C$129),'TaxCred&amp;Subs'!$E$123:$E$127,0))</f>
        <v>0</v>
      </c>
      <c r="R2011" s="174">
        <v>0</v>
      </c>
      <c r="S2011" s="126">
        <v>5</v>
      </c>
      <c r="T2011" s="126" t="s">
        <v>225</v>
      </c>
      <c r="U2011"/>
      <c r="V2011" s="153" t="str">
        <f t="array" ref="V2011">INDEX(xlRTCLNAME,MATCH(1,(xlRTCLENDU=1)*(xlRTCLEQCL=$D2011),0))</f>
        <v>NG_HP</v>
      </c>
      <c r="W2011" s="153" t="str">
        <f t="array" ref="W2011">INDEX(xlRTCLNAME,MATCH(1,(xlRTCLENDU=2)*(xlRTCLEQCL=$F2011),0))</f>
        <v>NG_HP</v>
      </c>
      <c r="X2011" s="153" t="str">
        <f t="array" ref="X2011">INDEX(xlRTTYNAME,MATCH(1,(xlRTTYENDU=1)*(xlRTTYEQCL=$D2011)*(xlRTEQTYPE=$E2011),0))</f>
        <v>NG_HP2</v>
      </c>
      <c r="Y2011" s="153" t="str">
        <f t="array" ref="Y2011">INDEX(xlRTTYNAME,MATCH(1,(xlRTTYENDU=2)*(xlRTTYEQCL=$F2011)*(xlRTEQTYPE=$G2011),0))</f>
        <v>NG_HP2</v>
      </c>
    </row>
    <row r="2012" spans="1:25" s="157" customFormat="1" ht="14.25" customHeight="1" x14ac:dyDescent="0.2">
      <c r="A2012"/>
      <c r="B2012" s="49">
        <v>2</v>
      </c>
      <c r="C2012" s="49">
        <v>2</v>
      </c>
      <c r="D2012" s="49">
        <v>11</v>
      </c>
      <c r="E2012" s="49">
        <v>36</v>
      </c>
      <c r="F2012" s="49">
        <v>5</v>
      </c>
      <c r="G2012" s="49">
        <v>17</v>
      </c>
      <c r="H2012" s="49">
        <v>2023</v>
      </c>
      <c r="I2012" s="49">
        <v>2032</v>
      </c>
      <c r="J2012" s="50">
        <v>1.0847</v>
      </c>
      <c r="K2012" s="50">
        <v>1.0357000000000001</v>
      </c>
      <c r="L2012" s="50">
        <v>0.56759999999999999</v>
      </c>
      <c r="M2012" s="50">
        <v>1.1416999999999999</v>
      </c>
      <c r="N2012" s="50">
        <v>1.1162000000000001</v>
      </c>
      <c r="O2012" s="50">
        <v>1.0538000000000001</v>
      </c>
      <c r="P2012" s="49">
        <v>3572</v>
      </c>
      <c r="Q2012" s="51">
        <f t="array" ref="Q2012">SUM(IF(($S2012&gt;=4)*($C2012='TaxCred&amp;Subs'!$D$123:$D$127)*($H2012='TaxCred&amp;Subs'!$C$123:$C$127)*($H2012&lt;='TaxCred&amp;Subs'!$C$129),'TaxCred&amp;Subs'!$E$123:$E$127,0))</f>
        <v>500</v>
      </c>
      <c r="R2012" s="171">
        <v>0</v>
      </c>
      <c r="S2012" s="49">
        <v>5</v>
      </c>
      <c r="T2012" s="49" t="s">
        <v>225</v>
      </c>
      <c r="U2012"/>
      <c r="V2012" s="153" t="str">
        <f t="array" ref="V2012">INDEX(xlRTCLNAME,MATCH(1,(xlRTCLENDU=1)*(xlRTCLEQCL=$D2012),0))</f>
        <v>NG_HP</v>
      </c>
      <c r="W2012" s="153" t="str">
        <f t="array" ref="W2012">INDEX(xlRTCLNAME,MATCH(1,(xlRTCLENDU=2)*(xlRTCLEQCL=$F2012),0))</f>
        <v>NG_HP</v>
      </c>
      <c r="X2012" s="153" t="str">
        <f t="array" ref="X2012">INDEX(xlRTTYNAME,MATCH(1,(xlRTTYENDU=1)*(xlRTTYEQCL=$D2012)*(xlRTEQTYPE=$E2012),0))</f>
        <v>NG_HP2</v>
      </c>
      <c r="Y2012" s="153" t="str">
        <f t="array" ref="Y2012">INDEX(xlRTTYNAME,MATCH(1,(xlRTTYENDU=2)*(xlRTTYEQCL=$F2012)*(xlRTEQTYPE=$G2012),0))</f>
        <v>NG_HP2</v>
      </c>
    </row>
    <row r="2013" spans="1:25" s="157" customFormat="1" ht="14.25" customHeight="1" x14ac:dyDescent="0.2">
      <c r="A2013"/>
      <c r="B2013" s="49">
        <v>2</v>
      </c>
      <c r="C2013" s="49">
        <v>2</v>
      </c>
      <c r="D2013" s="49">
        <v>11</v>
      </c>
      <c r="E2013" s="49">
        <v>36</v>
      </c>
      <c r="F2013" s="49">
        <v>5</v>
      </c>
      <c r="G2013" s="49">
        <v>17</v>
      </c>
      <c r="H2013" s="49">
        <v>2033</v>
      </c>
      <c r="I2013" s="49">
        <v>2050</v>
      </c>
      <c r="J2013" s="50">
        <v>1.0847</v>
      </c>
      <c r="K2013" s="50">
        <v>1.0357000000000001</v>
      </c>
      <c r="L2013" s="50">
        <v>0.56759999999999999</v>
      </c>
      <c r="M2013" s="50">
        <v>1.1416999999999999</v>
      </c>
      <c r="N2013" s="50">
        <v>1.1162000000000001</v>
      </c>
      <c r="O2013" s="50">
        <v>1.0538000000000001</v>
      </c>
      <c r="P2013" s="49">
        <v>3572</v>
      </c>
      <c r="Q2013" s="51">
        <f t="array" ref="Q2013">SUM(IF(($S2013&gt;=4)*($C2013='TaxCred&amp;Subs'!$D$123:$D$127)*($H2013='TaxCred&amp;Subs'!$C$123:$C$127)*($H2013&lt;='TaxCred&amp;Subs'!$C$129),'TaxCred&amp;Subs'!$E$123:$E$127,0))</f>
        <v>0</v>
      </c>
      <c r="R2013" s="171">
        <v>0</v>
      </c>
      <c r="S2013" s="49">
        <v>5</v>
      </c>
      <c r="T2013" s="49" t="s">
        <v>225</v>
      </c>
      <c r="U2013"/>
      <c r="V2013" s="153" t="str">
        <f t="array" ref="V2013">INDEX(xlRTCLNAME,MATCH(1,(xlRTCLENDU=1)*(xlRTCLEQCL=$D2013),0))</f>
        <v>NG_HP</v>
      </c>
      <c r="W2013" s="153" t="str">
        <f t="array" ref="W2013">INDEX(xlRTCLNAME,MATCH(1,(xlRTCLENDU=2)*(xlRTCLEQCL=$F2013),0))</f>
        <v>NG_HP</v>
      </c>
      <c r="X2013" s="153" t="str">
        <f t="array" ref="X2013">INDEX(xlRTTYNAME,MATCH(1,(xlRTTYENDU=1)*(xlRTTYEQCL=$D2013)*(xlRTEQTYPE=$E2013),0))</f>
        <v>NG_HP2</v>
      </c>
      <c r="Y2013" s="153" t="str">
        <f t="array" ref="Y2013">INDEX(xlRTTYNAME,MATCH(1,(xlRTTYENDU=2)*(xlRTTYEQCL=$F2013)*(xlRTEQTYPE=$G2013),0))</f>
        <v>NG_HP2</v>
      </c>
    </row>
    <row r="2014" spans="1:25" s="157" customFormat="1" ht="14.25" customHeight="1" x14ac:dyDescent="0.2">
      <c r="A2014"/>
      <c r="B2014" s="126">
        <v>3</v>
      </c>
      <c r="C2014" s="126">
        <v>2</v>
      </c>
      <c r="D2014" s="126">
        <v>11</v>
      </c>
      <c r="E2014" s="126">
        <v>36</v>
      </c>
      <c r="F2014" s="126">
        <v>5</v>
      </c>
      <c r="G2014" s="126">
        <v>17</v>
      </c>
      <c r="H2014" s="126">
        <v>2016</v>
      </c>
      <c r="I2014" s="159">
        <v>2022</v>
      </c>
      <c r="J2014" s="127">
        <v>1.0984</v>
      </c>
      <c r="K2014" s="127">
        <v>1.0345</v>
      </c>
      <c r="L2014" s="127">
        <v>0.5595</v>
      </c>
      <c r="M2014" s="127">
        <v>1.0310999999999999</v>
      </c>
      <c r="N2014" s="127">
        <v>1.0399</v>
      </c>
      <c r="O2014" s="127">
        <v>1.0538000000000001</v>
      </c>
      <c r="P2014" s="126">
        <v>3206</v>
      </c>
      <c r="Q2014" s="128">
        <f t="array" ref="Q2014">SUM(IF(($S2014&gt;=4)*($C2014='TaxCred&amp;Subs'!$D$123:$D$127)*($H2014='TaxCred&amp;Subs'!$C$123:$C$127)*($H2014&lt;='TaxCred&amp;Subs'!$C$129),'TaxCred&amp;Subs'!$E$123:$E$127,0))</f>
        <v>0</v>
      </c>
      <c r="R2014" s="174">
        <v>0</v>
      </c>
      <c r="S2014" s="126">
        <v>5</v>
      </c>
      <c r="T2014" s="126" t="s">
        <v>225</v>
      </c>
      <c r="U2014"/>
      <c r="V2014" s="153" t="str">
        <f t="array" ref="V2014">INDEX(xlRTCLNAME,MATCH(1,(xlRTCLENDU=1)*(xlRTCLEQCL=$D2014),0))</f>
        <v>NG_HP</v>
      </c>
      <c r="W2014" s="153" t="str">
        <f t="array" ref="W2014">INDEX(xlRTCLNAME,MATCH(1,(xlRTCLENDU=2)*(xlRTCLEQCL=$F2014),0))</f>
        <v>NG_HP</v>
      </c>
      <c r="X2014" s="153" t="str">
        <f t="array" ref="X2014">INDEX(xlRTTYNAME,MATCH(1,(xlRTTYENDU=1)*(xlRTTYEQCL=$D2014)*(xlRTEQTYPE=$E2014),0))</f>
        <v>NG_HP2</v>
      </c>
      <c r="Y2014" s="153" t="str">
        <f t="array" ref="Y2014">INDEX(xlRTTYNAME,MATCH(1,(xlRTTYENDU=2)*(xlRTTYEQCL=$F2014)*(xlRTEQTYPE=$G2014),0))</f>
        <v>NG_HP2</v>
      </c>
    </row>
    <row r="2015" spans="1:25" s="157" customFormat="1" ht="14.25" customHeight="1" x14ac:dyDescent="0.2">
      <c r="A2015"/>
      <c r="B2015" s="49">
        <v>3</v>
      </c>
      <c r="C2015" s="49">
        <v>2</v>
      </c>
      <c r="D2015" s="49">
        <v>11</v>
      </c>
      <c r="E2015" s="49">
        <v>36</v>
      </c>
      <c r="F2015" s="49">
        <v>5</v>
      </c>
      <c r="G2015" s="49">
        <v>17</v>
      </c>
      <c r="H2015" s="49">
        <v>2023</v>
      </c>
      <c r="I2015" s="49">
        <v>2032</v>
      </c>
      <c r="J2015" s="50">
        <v>1.0984</v>
      </c>
      <c r="K2015" s="50">
        <v>1.0345</v>
      </c>
      <c r="L2015" s="50">
        <v>0.5595</v>
      </c>
      <c r="M2015" s="50">
        <v>1.0310999999999999</v>
      </c>
      <c r="N2015" s="50">
        <v>1.0399</v>
      </c>
      <c r="O2015" s="50">
        <v>1.0538000000000001</v>
      </c>
      <c r="P2015" s="49">
        <v>3206</v>
      </c>
      <c r="Q2015" s="51">
        <f t="array" ref="Q2015">SUM(IF(($S2015&gt;=4)*($C2015='TaxCred&amp;Subs'!$D$123:$D$127)*($H2015='TaxCred&amp;Subs'!$C$123:$C$127)*($H2015&lt;='TaxCred&amp;Subs'!$C$129),'TaxCred&amp;Subs'!$E$123:$E$127,0))</f>
        <v>500</v>
      </c>
      <c r="R2015" s="171">
        <v>0</v>
      </c>
      <c r="S2015" s="49">
        <v>5</v>
      </c>
      <c r="T2015" s="49" t="s">
        <v>225</v>
      </c>
      <c r="U2015"/>
      <c r="V2015" s="153" t="str">
        <f t="array" ref="V2015">INDEX(xlRTCLNAME,MATCH(1,(xlRTCLENDU=1)*(xlRTCLEQCL=$D2015),0))</f>
        <v>NG_HP</v>
      </c>
      <c r="W2015" s="153" t="str">
        <f t="array" ref="W2015">INDEX(xlRTCLNAME,MATCH(1,(xlRTCLENDU=2)*(xlRTCLEQCL=$F2015),0))</f>
        <v>NG_HP</v>
      </c>
      <c r="X2015" s="153" t="str">
        <f t="array" ref="X2015">INDEX(xlRTTYNAME,MATCH(1,(xlRTTYENDU=1)*(xlRTTYEQCL=$D2015)*(xlRTEQTYPE=$E2015),0))</f>
        <v>NG_HP2</v>
      </c>
      <c r="Y2015" s="153" t="str">
        <f t="array" ref="Y2015">INDEX(xlRTTYNAME,MATCH(1,(xlRTTYENDU=2)*(xlRTTYEQCL=$F2015)*(xlRTEQTYPE=$G2015),0))</f>
        <v>NG_HP2</v>
      </c>
    </row>
    <row r="2016" spans="1:25" s="157" customFormat="1" ht="14.25" customHeight="1" x14ac:dyDescent="0.2">
      <c r="A2016"/>
      <c r="B2016" s="49">
        <v>3</v>
      </c>
      <c r="C2016" s="49">
        <v>2</v>
      </c>
      <c r="D2016" s="49">
        <v>11</v>
      </c>
      <c r="E2016" s="49">
        <v>36</v>
      </c>
      <c r="F2016" s="49">
        <v>5</v>
      </c>
      <c r="G2016" s="49">
        <v>17</v>
      </c>
      <c r="H2016" s="49">
        <v>2033</v>
      </c>
      <c r="I2016" s="49">
        <v>2050</v>
      </c>
      <c r="J2016" s="50">
        <v>1.0984</v>
      </c>
      <c r="K2016" s="50">
        <v>1.0345</v>
      </c>
      <c r="L2016" s="50">
        <v>0.5595</v>
      </c>
      <c r="M2016" s="50">
        <v>1.0310999999999999</v>
      </c>
      <c r="N2016" s="50">
        <v>1.0399</v>
      </c>
      <c r="O2016" s="50">
        <v>1.0538000000000001</v>
      </c>
      <c r="P2016" s="49">
        <v>3206</v>
      </c>
      <c r="Q2016" s="51">
        <f t="array" ref="Q2016">SUM(IF(($S2016&gt;=4)*($C2016='TaxCred&amp;Subs'!$D$123:$D$127)*($H2016='TaxCred&amp;Subs'!$C$123:$C$127)*($H2016&lt;='TaxCred&amp;Subs'!$C$129),'TaxCred&amp;Subs'!$E$123:$E$127,0))</f>
        <v>0</v>
      </c>
      <c r="R2016" s="171">
        <v>0</v>
      </c>
      <c r="S2016" s="49">
        <v>5</v>
      </c>
      <c r="T2016" s="49" t="s">
        <v>225</v>
      </c>
      <c r="U2016"/>
      <c r="V2016" s="153" t="str">
        <f t="array" ref="V2016">INDEX(xlRTCLNAME,MATCH(1,(xlRTCLENDU=1)*(xlRTCLEQCL=$D2016),0))</f>
        <v>NG_HP</v>
      </c>
      <c r="W2016" s="153" t="str">
        <f t="array" ref="W2016">INDEX(xlRTCLNAME,MATCH(1,(xlRTCLENDU=2)*(xlRTCLEQCL=$F2016),0))</f>
        <v>NG_HP</v>
      </c>
      <c r="X2016" s="153" t="str">
        <f t="array" ref="X2016">INDEX(xlRTTYNAME,MATCH(1,(xlRTTYENDU=1)*(xlRTTYEQCL=$D2016)*(xlRTEQTYPE=$E2016),0))</f>
        <v>NG_HP2</v>
      </c>
      <c r="Y2016" s="153" t="str">
        <f t="array" ref="Y2016">INDEX(xlRTTYNAME,MATCH(1,(xlRTTYENDU=2)*(xlRTTYEQCL=$F2016)*(xlRTEQTYPE=$G2016),0))</f>
        <v>NG_HP2</v>
      </c>
    </row>
    <row r="2017" spans="1:25" s="157" customFormat="1" ht="14.25" customHeight="1" x14ac:dyDescent="0.2">
      <c r="A2017"/>
      <c r="B2017" s="126">
        <v>4</v>
      </c>
      <c r="C2017" s="126">
        <v>2</v>
      </c>
      <c r="D2017" s="126">
        <v>11</v>
      </c>
      <c r="E2017" s="126">
        <v>36</v>
      </c>
      <c r="F2017" s="126">
        <v>5</v>
      </c>
      <c r="G2017" s="126">
        <v>17</v>
      </c>
      <c r="H2017" s="126">
        <v>2016</v>
      </c>
      <c r="I2017" s="159">
        <v>2022</v>
      </c>
      <c r="J2017" s="127">
        <v>1.1000000000000001</v>
      </c>
      <c r="K2017" s="127">
        <v>1.0435000000000001</v>
      </c>
      <c r="L2017" s="127">
        <v>0.626</v>
      </c>
      <c r="M2017" s="127">
        <v>1.1499999999999999</v>
      </c>
      <c r="N2017" s="127">
        <v>1.1696</v>
      </c>
      <c r="O2017" s="127">
        <v>1.0538000000000001</v>
      </c>
      <c r="P2017" s="126">
        <v>2777</v>
      </c>
      <c r="Q2017" s="128">
        <f t="array" ref="Q2017">SUM(IF(($S2017&gt;=4)*($C2017='TaxCred&amp;Subs'!$D$123:$D$127)*($H2017='TaxCred&amp;Subs'!$C$123:$C$127)*($H2017&lt;='TaxCred&amp;Subs'!$C$129),'TaxCred&amp;Subs'!$E$123:$E$127,0))</f>
        <v>0</v>
      </c>
      <c r="R2017" s="174">
        <v>0</v>
      </c>
      <c r="S2017" s="126">
        <v>5</v>
      </c>
      <c r="T2017" s="126" t="s">
        <v>225</v>
      </c>
      <c r="U2017"/>
      <c r="V2017" s="153" t="str">
        <f t="array" ref="V2017">INDEX(xlRTCLNAME,MATCH(1,(xlRTCLENDU=1)*(xlRTCLEQCL=$D2017),0))</f>
        <v>NG_HP</v>
      </c>
      <c r="W2017" s="153" t="str">
        <f t="array" ref="W2017">INDEX(xlRTCLNAME,MATCH(1,(xlRTCLENDU=2)*(xlRTCLEQCL=$F2017),0))</f>
        <v>NG_HP</v>
      </c>
      <c r="X2017" s="153" t="str">
        <f t="array" ref="X2017">INDEX(xlRTTYNAME,MATCH(1,(xlRTTYENDU=1)*(xlRTTYEQCL=$D2017)*(xlRTEQTYPE=$E2017),0))</f>
        <v>NG_HP2</v>
      </c>
      <c r="Y2017" s="153" t="str">
        <f t="array" ref="Y2017">INDEX(xlRTTYNAME,MATCH(1,(xlRTTYENDU=2)*(xlRTTYEQCL=$F2017)*(xlRTEQTYPE=$G2017),0))</f>
        <v>NG_HP2</v>
      </c>
    </row>
    <row r="2018" spans="1:25" s="157" customFormat="1" ht="14.25" customHeight="1" x14ac:dyDescent="0.2">
      <c r="A2018"/>
      <c r="B2018" s="49">
        <v>4</v>
      </c>
      <c r="C2018" s="49">
        <v>2</v>
      </c>
      <c r="D2018" s="49">
        <v>11</v>
      </c>
      <c r="E2018" s="49">
        <v>36</v>
      </c>
      <c r="F2018" s="49">
        <v>5</v>
      </c>
      <c r="G2018" s="49">
        <v>17</v>
      </c>
      <c r="H2018" s="49">
        <v>2023</v>
      </c>
      <c r="I2018" s="49">
        <v>2032</v>
      </c>
      <c r="J2018" s="50">
        <v>1.1000000000000001</v>
      </c>
      <c r="K2018" s="50">
        <v>1.0435000000000001</v>
      </c>
      <c r="L2018" s="50">
        <v>0.626</v>
      </c>
      <c r="M2018" s="50">
        <v>1.1499999999999999</v>
      </c>
      <c r="N2018" s="50">
        <v>1.1696</v>
      </c>
      <c r="O2018" s="50">
        <v>1.0538000000000001</v>
      </c>
      <c r="P2018" s="49">
        <v>2777</v>
      </c>
      <c r="Q2018" s="51">
        <f t="array" ref="Q2018">SUM(IF(($S2018&gt;=4)*($C2018='TaxCred&amp;Subs'!$D$123:$D$127)*($H2018='TaxCred&amp;Subs'!$C$123:$C$127)*($H2018&lt;='TaxCred&amp;Subs'!$C$129),'TaxCred&amp;Subs'!$E$123:$E$127,0))</f>
        <v>500</v>
      </c>
      <c r="R2018" s="171">
        <v>0</v>
      </c>
      <c r="S2018" s="49">
        <v>5</v>
      </c>
      <c r="T2018" s="49" t="s">
        <v>225</v>
      </c>
      <c r="U2018"/>
      <c r="V2018" s="153" t="str">
        <f t="array" ref="V2018">INDEX(xlRTCLNAME,MATCH(1,(xlRTCLENDU=1)*(xlRTCLEQCL=$D2018),0))</f>
        <v>NG_HP</v>
      </c>
      <c r="W2018" s="153" t="str">
        <f t="array" ref="W2018">INDEX(xlRTCLNAME,MATCH(1,(xlRTCLENDU=2)*(xlRTCLEQCL=$F2018),0))</f>
        <v>NG_HP</v>
      </c>
      <c r="X2018" s="153" t="str">
        <f t="array" ref="X2018">INDEX(xlRTTYNAME,MATCH(1,(xlRTTYENDU=1)*(xlRTTYEQCL=$D2018)*(xlRTEQTYPE=$E2018),0))</f>
        <v>NG_HP2</v>
      </c>
      <c r="Y2018" s="153" t="str">
        <f t="array" ref="Y2018">INDEX(xlRTTYNAME,MATCH(1,(xlRTTYENDU=2)*(xlRTTYEQCL=$F2018)*(xlRTEQTYPE=$G2018),0))</f>
        <v>NG_HP2</v>
      </c>
    </row>
    <row r="2019" spans="1:25" s="157" customFormat="1" ht="14.25" customHeight="1" x14ac:dyDescent="0.2">
      <c r="A2019"/>
      <c r="B2019" s="49">
        <v>4</v>
      </c>
      <c r="C2019" s="49">
        <v>2</v>
      </c>
      <c r="D2019" s="49">
        <v>11</v>
      </c>
      <c r="E2019" s="49">
        <v>36</v>
      </c>
      <c r="F2019" s="49">
        <v>5</v>
      </c>
      <c r="G2019" s="49">
        <v>17</v>
      </c>
      <c r="H2019" s="49">
        <v>2033</v>
      </c>
      <c r="I2019" s="49">
        <v>2050</v>
      </c>
      <c r="J2019" s="50">
        <v>1.1000000000000001</v>
      </c>
      <c r="K2019" s="50">
        <v>1.0435000000000001</v>
      </c>
      <c r="L2019" s="50">
        <v>0.626</v>
      </c>
      <c r="M2019" s="50">
        <v>1.1499999999999999</v>
      </c>
      <c r="N2019" s="50">
        <v>1.1696</v>
      </c>
      <c r="O2019" s="50">
        <v>1.0538000000000001</v>
      </c>
      <c r="P2019" s="49">
        <v>2777</v>
      </c>
      <c r="Q2019" s="51">
        <f t="array" ref="Q2019">SUM(IF(($S2019&gt;=4)*($C2019='TaxCred&amp;Subs'!$D$123:$D$127)*($H2019='TaxCred&amp;Subs'!$C$123:$C$127)*($H2019&lt;='TaxCred&amp;Subs'!$C$129),'TaxCred&amp;Subs'!$E$123:$E$127,0))</f>
        <v>0</v>
      </c>
      <c r="R2019" s="171">
        <v>0</v>
      </c>
      <c r="S2019" s="49">
        <v>5</v>
      </c>
      <c r="T2019" s="49" t="s">
        <v>225</v>
      </c>
      <c r="U2019"/>
      <c r="V2019" s="153" t="str">
        <f t="array" ref="V2019">INDEX(xlRTCLNAME,MATCH(1,(xlRTCLENDU=1)*(xlRTCLEQCL=$D2019),0))</f>
        <v>NG_HP</v>
      </c>
      <c r="W2019" s="153" t="str">
        <f t="array" ref="W2019">INDEX(xlRTCLNAME,MATCH(1,(xlRTCLENDU=2)*(xlRTCLEQCL=$F2019),0))</f>
        <v>NG_HP</v>
      </c>
      <c r="X2019" s="153" t="str">
        <f t="array" ref="X2019">INDEX(xlRTTYNAME,MATCH(1,(xlRTTYENDU=1)*(xlRTTYEQCL=$D2019)*(xlRTEQTYPE=$E2019),0))</f>
        <v>NG_HP2</v>
      </c>
      <c r="Y2019" s="153" t="str">
        <f t="array" ref="Y2019">INDEX(xlRTTYNAME,MATCH(1,(xlRTTYENDU=2)*(xlRTTYEQCL=$F2019)*(xlRTEQTYPE=$G2019),0))</f>
        <v>NG_HP2</v>
      </c>
    </row>
    <row r="2020" spans="1:25" s="157" customFormat="1" ht="14.25" customHeight="1" x14ac:dyDescent="0.2">
      <c r="A2020"/>
      <c r="B2020" s="126">
        <v>5</v>
      </c>
      <c r="C2020" s="126">
        <v>2</v>
      </c>
      <c r="D2020" s="126">
        <v>11</v>
      </c>
      <c r="E2020" s="126">
        <v>36</v>
      </c>
      <c r="F2020" s="126">
        <v>5</v>
      </c>
      <c r="G2020" s="126">
        <v>17</v>
      </c>
      <c r="H2020" s="126">
        <v>2016</v>
      </c>
      <c r="I2020" s="159">
        <v>2022</v>
      </c>
      <c r="J2020" s="127">
        <v>1.1200000000000001</v>
      </c>
      <c r="K2020" s="127">
        <v>1.0391999999999999</v>
      </c>
      <c r="L2020" s="127">
        <v>0.44379999999999997</v>
      </c>
      <c r="M2020" s="127">
        <v>1.0314000000000001</v>
      </c>
      <c r="N2020" s="127">
        <v>1.2750999999999999</v>
      </c>
      <c r="O2020" s="127">
        <v>1.0538000000000001</v>
      </c>
      <c r="P2020" s="126">
        <v>2401</v>
      </c>
      <c r="Q2020" s="128">
        <f t="array" ref="Q2020">SUM(IF(($S2020&gt;=4)*($C2020='TaxCred&amp;Subs'!$D$123:$D$127)*($H2020='TaxCred&amp;Subs'!$C$123:$C$127)*($H2020&lt;='TaxCred&amp;Subs'!$C$129),'TaxCred&amp;Subs'!$E$123:$E$127,0))</f>
        <v>0</v>
      </c>
      <c r="R2020" s="174">
        <v>0</v>
      </c>
      <c r="S2020" s="126">
        <v>5</v>
      </c>
      <c r="T2020" s="126" t="s">
        <v>225</v>
      </c>
      <c r="U2020"/>
      <c r="V2020" s="153" t="str">
        <f t="array" ref="V2020">INDEX(xlRTCLNAME,MATCH(1,(xlRTCLENDU=1)*(xlRTCLEQCL=$D2020),0))</f>
        <v>NG_HP</v>
      </c>
      <c r="W2020" s="153" t="str">
        <f t="array" ref="W2020">INDEX(xlRTCLNAME,MATCH(1,(xlRTCLENDU=2)*(xlRTCLEQCL=$F2020),0))</f>
        <v>NG_HP</v>
      </c>
      <c r="X2020" s="153" t="str">
        <f t="array" ref="X2020">INDEX(xlRTTYNAME,MATCH(1,(xlRTTYENDU=1)*(xlRTTYEQCL=$D2020)*(xlRTEQTYPE=$E2020),0))</f>
        <v>NG_HP2</v>
      </c>
      <c r="Y2020" s="153" t="str">
        <f t="array" ref="Y2020">INDEX(xlRTTYNAME,MATCH(1,(xlRTTYENDU=2)*(xlRTTYEQCL=$F2020)*(xlRTEQTYPE=$G2020),0))</f>
        <v>NG_HP2</v>
      </c>
    </row>
    <row r="2021" spans="1:25" s="157" customFormat="1" ht="14.25" customHeight="1" x14ac:dyDescent="0.2">
      <c r="A2021"/>
      <c r="B2021" s="49">
        <v>5</v>
      </c>
      <c r="C2021" s="49">
        <v>2</v>
      </c>
      <c r="D2021" s="49">
        <v>11</v>
      </c>
      <c r="E2021" s="49">
        <v>36</v>
      </c>
      <c r="F2021" s="49">
        <v>5</v>
      </c>
      <c r="G2021" s="49">
        <v>17</v>
      </c>
      <c r="H2021" s="49">
        <v>2023</v>
      </c>
      <c r="I2021" s="49">
        <v>2032</v>
      </c>
      <c r="J2021" s="50">
        <v>1.1200000000000001</v>
      </c>
      <c r="K2021" s="50">
        <v>1.0391999999999999</v>
      </c>
      <c r="L2021" s="50">
        <v>0.44379999999999997</v>
      </c>
      <c r="M2021" s="50">
        <v>1.0314000000000001</v>
      </c>
      <c r="N2021" s="50">
        <v>1.2750999999999999</v>
      </c>
      <c r="O2021" s="50">
        <v>1.0538000000000001</v>
      </c>
      <c r="P2021" s="49">
        <v>2401</v>
      </c>
      <c r="Q2021" s="51">
        <f t="array" ref="Q2021">SUM(IF(($S2021&gt;=4)*($C2021='TaxCred&amp;Subs'!$D$123:$D$127)*($H2021='TaxCred&amp;Subs'!$C$123:$C$127)*($H2021&lt;='TaxCred&amp;Subs'!$C$129),'TaxCred&amp;Subs'!$E$123:$E$127,0))</f>
        <v>500</v>
      </c>
      <c r="R2021" s="171">
        <v>0</v>
      </c>
      <c r="S2021" s="49">
        <v>5</v>
      </c>
      <c r="T2021" s="49" t="s">
        <v>225</v>
      </c>
      <c r="U2021"/>
      <c r="V2021" s="153" t="str">
        <f t="array" ref="V2021">INDEX(xlRTCLNAME,MATCH(1,(xlRTCLENDU=1)*(xlRTCLEQCL=$D2021),0))</f>
        <v>NG_HP</v>
      </c>
      <c r="W2021" s="153" t="str">
        <f t="array" ref="W2021">INDEX(xlRTCLNAME,MATCH(1,(xlRTCLENDU=2)*(xlRTCLEQCL=$F2021),0))</f>
        <v>NG_HP</v>
      </c>
      <c r="X2021" s="153" t="str">
        <f t="array" ref="X2021">INDEX(xlRTTYNAME,MATCH(1,(xlRTTYENDU=1)*(xlRTTYEQCL=$D2021)*(xlRTEQTYPE=$E2021),0))</f>
        <v>NG_HP2</v>
      </c>
      <c r="Y2021" s="153" t="str">
        <f t="array" ref="Y2021">INDEX(xlRTTYNAME,MATCH(1,(xlRTTYENDU=2)*(xlRTTYEQCL=$F2021)*(xlRTEQTYPE=$G2021),0))</f>
        <v>NG_HP2</v>
      </c>
    </row>
    <row r="2022" spans="1:25" s="157" customFormat="1" ht="14.25" customHeight="1" x14ac:dyDescent="0.2">
      <c r="A2022"/>
      <c r="B2022" s="49">
        <v>5</v>
      </c>
      <c r="C2022" s="49">
        <v>2</v>
      </c>
      <c r="D2022" s="49">
        <v>11</v>
      </c>
      <c r="E2022" s="49">
        <v>36</v>
      </c>
      <c r="F2022" s="49">
        <v>5</v>
      </c>
      <c r="G2022" s="49">
        <v>17</v>
      </c>
      <c r="H2022" s="49">
        <v>2033</v>
      </c>
      <c r="I2022" s="49">
        <v>2050</v>
      </c>
      <c r="J2022" s="50">
        <v>1.1200000000000001</v>
      </c>
      <c r="K2022" s="50">
        <v>1.0391999999999999</v>
      </c>
      <c r="L2022" s="50">
        <v>0.44379999999999997</v>
      </c>
      <c r="M2022" s="50">
        <v>1.0314000000000001</v>
      </c>
      <c r="N2022" s="50">
        <v>1.2750999999999999</v>
      </c>
      <c r="O2022" s="50">
        <v>1.0538000000000001</v>
      </c>
      <c r="P2022" s="49">
        <v>2401</v>
      </c>
      <c r="Q2022" s="51">
        <f t="array" ref="Q2022">SUM(IF(($S2022&gt;=4)*($C2022='TaxCred&amp;Subs'!$D$123:$D$127)*($H2022='TaxCred&amp;Subs'!$C$123:$C$127)*($H2022&lt;='TaxCred&amp;Subs'!$C$129),'TaxCred&amp;Subs'!$E$123:$E$127,0))</f>
        <v>0</v>
      </c>
      <c r="R2022" s="171">
        <v>0</v>
      </c>
      <c r="S2022" s="49">
        <v>5</v>
      </c>
      <c r="T2022" s="49" t="s">
        <v>225</v>
      </c>
      <c r="U2022"/>
      <c r="V2022" s="153" t="str">
        <f t="array" ref="V2022">INDEX(xlRTCLNAME,MATCH(1,(xlRTCLENDU=1)*(xlRTCLEQCL=$D2022),0))</f>
        <v>NG_HP</v>
      </c>
      <c r="W2022" s="153" t="str">
        <f t="array" ref="W2022">INDEX(xlRTCLNAME,MATCH(1,(xlRTCLENDU=2)*(xlRTCLEQCL=$F2022),0))</f>
        <v>NG_HP</v>
      </c>
      <c r="X2022" s="153" t="str">
        <f t="array" ref="X2022">INDEX(xlRTTYNAME,MATCH(1,(xlRTTYENDU=1)*(xlRTTYEQCL=$D2022)*(xlRTEQTYPE=$E2022),0))</f>
        <v>NG_HP2</v>
      </c>
      <c r="Y2022" s="153" t="str">
        <f t="array" ref="Y2022">INDEX(xlRTTYNAME,MATCH(1,(xlRTTYENDU=2)*(xlRTTYEQCL=$F2022)*(xlRTEQTYPE=$G2022),0))</f>
        <v>NG_HP2</v>
      </c>
    </row>
    <row r="2023" spans="1:25" s="157" customFormat="1" ht="14.25" customHeight="1" x14ac:dyDescent="0.2">
      <c r="A2023"/>
      <c r="B2023" s="126">
        <v>6</v>
      </c>
      <c r="C2023" s="126">
        <v>2</v>
      </c>
      <c r="D2023" s="126">
        <v>11</v>
      </c>
      <c r="E2023" s="126">
        <v>36</v>
      </c>
      <c r="F2023" s="126">
        <v>5</v>
      </c>
      <c r="G2023" s="126">
        <v>17</v>
      </c>
      <c r="H2023" s="126">
        <v>2016</v>
      </c>
      <c r="I2023" s="159">
        <v>2022</v>
      </c>
      <c r="J2023" s="127">
        <v>1.1200000000000001</v>
      </c>
      <c r="K2023" s="127">
        <v>1.03</v>
      </c>
      <c r="L2023" s="127">
        <v>0.44379999999999997</v>
      </c>
      <c r="M2023" s="127">
        <v>1.0546</v>
      </c>
      <c r="N2023" s="127">
        <v>1.3324</v>
      </c>
      <c r="O2023" s="127">
        <v>1.0538000000000001</v>
      </c>
      <c r="P2023" s="126">
        <v>2657</v>
      </c>
      <c r="Q2023" s="128">
        <f t="array" ref="Q2023">SUM(IF(($S2023&gt;=4)*($C2023='TaxCred&amp;Subs'!$D$123:$D$127)*($H2023='TaxCred&amp;Subs'!$C$123:$C$127)*($H2023&lt;='TaxCred&amp;Subs'!$C$129),'TaxCred&amp;Subs'!$E$123:$E$127,0))</f>
        <v>0</v>
      </c>
      <c r="R2023" s="174">
        <v>0</v>
      </c>
      <c r="S2023" s="126">
        <v>5</v>
      </c>
      <c r="T2023" s="126" t="s">
        <v>225</v>
      </c>
      <c r="U2023"/>
      <c r="V2023" s="153" t="str">
        <f t="array" ref="V2023">INDEX(xlRTCLNAME,MATCH(1,(xlRTCLENDU=1)*(xlRTCLEQCL=$D2023),0))</f>
        <v>NG_HP</v>
      </c>
      <c r="W2023" s="153" t="str">
        <f t="array" ref="W2023">INDEX(xlRTCLNAME,MATCH(1,(xlRTCLENDU=2)*(xlRTCLEQCL=$F2023),0))</f>
        <v>NG_HP</v>
      </c>
      <c r="X2023" s="153" t="str">
        <f t="array" ref="X2023">INDEX(xlRTTYNAME,MATCH(1,(xlRTTYENDU=1)*(xlRTTYEQCL=$D2023)*(xlRTEQTYPE=$E2023),0))</f>
        <v>NG_HP2</v>
      </c>
      <c r="Y2023" s="153" t="str">
        <f t="array" ref="Y2023">INDEX(xlRTTYNAME,MATCH(1,(xlRTTYENDU=2)*(xlRTTYEQCL=$F2023)*(xlRTEQTYPE=$G2023),0))</f>
        <v>NG_HP2</v>
      </c>
    </row>
    <row r="2024" spans="1:25" s="157" customFormat="1" ht="14.25" customHeight="1" x14ac:dyDescent="0.2">
      <c r="A2024"/>
      <c r="B2024" s="49">
        <v>6</v>
      </c>
      <c r="C2024" s="49">
        <v>2</v>
      </c>
      <c r="D2024" s="49">
        <v>11</v>
      </c>
      <c r="E2024" s="49">
        <v>36</v>
      </c>
      <c r="F2024" s="49">
        <v>5</v>
      </c>
      <c r="G2024" s="49">
        <v>17</v>
      </c>
      <c r="H2024" s="49">
        <v>2023</v>
      </c>
      <c r="I2024" s="49">
        <v>2032</v>
      </c>
      <c r="J2024" s="50">
        <v>1.1200000000000001</v>
      </c>
      <c r="K2024" s="50">
        <v>1.03</v>
      </c>
      <c r="L2024" s="50">
        <v>0.44379999999999997</v>
      </c>
      <c r="M2024" s="50">
        <v>1.0546</v>
      </c>
      <c r="N2024" s="50">
        <v>1.3324</v>
      </c>
      <c r="O2024" s="50">
        <v>1.0538000000000001</v>
      </c>
      <c r="P2024" s="49">
        <v>2657</v>
      </c>
      <c r="Q2024" s="51">
        <f t="array" ref="Q2024">SUM(IF(($S2024&gt;=4)*($C2024='TaxCred&amp;Subs'!$D$123:$D$127)*($H2024='TaxCred&amp;Subs'!$C$123:$C$127)*($H2024&lt;='TaxCred&amp;Subs'!$C$129),'TaxCred&amp;Subs'!$E$123:$E$127,0))</f>
        <v>500</v>
      </c>
      <c r="R2024" s="171">
        <v>0</v>
      </c>
      <c r="S2024" s="49">
        <v>5</v>
      </c>
      <c r="T2024" s="49" t="s">
        <v>225</v>
      </c>
      <c r="U2024"/>
      <c r="V2024" s="153" t="str">
        <f t="array" ref="V2024">INDEX(xlRTCLNAME,MATCH(1,(xlRTCLENDU=1)*(xlRTCLEQCL=$D2024),0))</f>
        <v>NG_HP</v>
      </c>
      <c r="W2024" s="153" t="str">
        <f t="array" ref="W2024">INDEX(xlRTCLNAME,MATCH(1,(xlRTCLENDU=2)*(xlRTCLEQCL=$F2024),0))</f>
        <v>NG_HP</v>
      </c>
      <c r="X2024" s="153" t="str">
        <f t="array" ref="X2024">INDEX(xlRTTYNAME,MATCH(1,(xlRTTYENDU=1)*(xlRTTYEQCL=$D2024)*(xlRTEQTYPE=$E2024),0))</f>
        <v>NG_HP2</v>
      </c>
      <c r="Y2024" s="153" t="str">
        <f t="array" ref="Y2024">INDEX(xlRTTYNAME,MATCH(1,(xlRTTYENDU=2)*(xlRTTYEQCL=$F2024)*(xlRTEQTYPE=$G2024),0))</f>
        <v>NG_HP2</v>
      </c>
    </row>
    <row r="2025" spans="1:25" s="157" customFormat="1" ht="14.25" customHeight="1" x14ac:dyDescent="0.2">
      <c r="A2025"/>
      <c r="B2025" s="49">
        <v>6</v>
      </c>
      <c r="C2025" s="49">
        <v>2</v>
      </c>
      <c r="D2025" s="49">
        <v>11</v>
      </c>
      <c r="E2025" s="49">
        <v>36</v>
      </c>
      <c r="F2025" s="49">
        <v>5</v>
      </c>
      <c r="G2025" s="49">
        <v>17</v>
      </c>
      <c r="H2025" s="49">
        <v>2033</v>
      </c>
      <c r="I2025" s="49">
        <v>2050</v>
      </c>
      <c r="J2025" s="50">
        <v>1.1200000000000001</v>
      </c>
      <c r="K2025" s="50">
        <v>1.03</v>
      </c>
      <c r="L2025" s="50">
        <v>0.44379999999999997</v>
      </c>
      <c r="M2025" s="50">
        <v>1.0546</v>
      </c>
      <c r="N2025" s="50">
        <v>1.3324</v>
      </c>
      <c r="O2025" s="50">
        <v>1.0538000000000001</v>
      </c>
      <c r="P2025" s="49">
        <v>2657</v>
      </c>
      <c r="Q2025" s="51">
        <f t="array" ref="Q2025">SUM(IF(($S2025&gt;=4)*($C2025='TaxCred&amp;Subs'!$D$123:$D$127)*($H2025='TaxCred&amp;Subs'!$C$123:$C$127)*($H2025&lt;='TaxCred&amp;Subs'!$C$129),'TaxCred&amp;Subs'!$E$123:$E$127,0))</f>
        <v>0</v>
      </c>
      <c r="R2025" s="171">
        <v>0</v>
      </c>
      <c r="S2025" s="49">
        <v>5</v>
      </c>
      <c r="T2025" s="49" t="s">
        <v>225</v>
      </c>
      <c r="U2025"/>
      <c r="V2025" s="153" t="str">
        <f t="array" ref="V2025">INDEX(xlRTCLNAME,MATCH(1,(xlRTCLENDU=1)*(xlRTCLEQCL=$D2025),0))</f>
        <v>NG_HP</v>
      </c>
      <c r="W2025" s="153" t="str">
        <f t="array" ref="W2025">INDEX(xlRTCLNAME,MATCH(1,(xlRTCLENDU=2)*(xlRTCLEQCL=$F2025),0))</f>
        <v>NG_HP</v>
      </c>
      <c r="X2025" s="153" t="str">
        <f t="array" ref="X2025">INDEX(xlRTTYNAME,MATCH(1,(xlRTTYENDU=1)*(xlRTTYEQCL=$D2025)*(xlRTEQTYPE=$E2025),0))</f>
        <v>NG_HP2</v>
      </c>
      <c r="Y2025" s="153" t="str">
        <f t="array" ref="Y2025">INDEX(xlRTTYNAME,MATCH(1,(xlRTTYENDU=2)*(xlRTTYEQCL=$F2025)*(xlRTEQTYPE=$G2025),0))</f>
        <v>NG_HP2</v>
      </c>
    </row>
    <row r="2026" spans="1:25" s="157" customFormat="1" ht="14.25" customHeight="1" x14ac:dyDescent="0.2">
      <c r="A2026"/>
      <c r="B2026" s="126">
        <v>7</v>
      </c>
      <c r="C2026" s="126">
        <v>2</v>
      </c>
      <c r="D2026" s="126">
        <v>11</v>
      </c>
      <c r="E2026" s="126">
        <v>36</v>
      </c>
      <c r="F2026" s="126">
        <v>5</v>
      </c>
      <c r="G2026" s="126">
        <v>17</v>
      </c>
      <c r="H2026" s="126">
        <v>2016</v>
      </c>
      <c r="I2026" s="159">
        <v>2022</v>
      </c>
      <c r="J2026" s="127">
        <v>1.1200000000000001</v>
      </c>
      <c r="K2026" s="127">
        <v>1.0462</v>
      </c>
      <c r="L2026" s="127">
        <v>0.44379999999999997</v>
      </c>
      <c r="M2026" s="127">
        <v>1.0569</v>
      </c>
      <c r="N2026" s="127">
        <v>1.4438</v>
      </c>
      <c r="O2026" s="127">
        <v>1.0538000000000001</v>
      </c>
      <c r="P2026" s="126">
        <v>2321</v>
      </c>
      <c r="Q2026" s="128">
        <f t="array" ref="Q2026">SUM(IF(($S2026&gt;=4)*($C2026='TaxCred&amp;Subs'!$D$123:$D$127)*($H2026='TaxCred&amp;Subs'!$C$123:$C$127)*($H2026&lt;='TaxCred&amp;Subs'!$C$129),'TaxCred&amp;Subs'!$E$123:$E$127,0))</f>
        <v>0</v>
      </c>
      <c r="R2026" s="174">
        <v>0</v>
      </c>
      <c r="S2026" s="126">
        <v>5</v>
      </c>
      <c r="T2026" s="126" t="s">
        <v>225</v>
      </c>
      <c r="U2026"/>
      <c r="V2026" s="153" t="str">
        <f t="array" ref="V2026">INDEX(xlRTCLNAME,MATCH(1,(xlRTCLENDU=1)*(xlRTCLEQCL=$D2026),0))</f>
        <v>NG_HP</v>
      </c>
      <c r="W2026" s="153" t="str">
        <f t="array" ref="W2026">INDEX(xlRTCLNAME,MATCH(1,(xlRTCLENDU=2)*(xlRTCLEQCL=$F2026),0))</f>
        <v>NG_HP</v>
      </c>
      <c r="X2026" s="153" t="str">
        <f t="array" ref="X2026">INDEX(xlRTTYNAME,MATCH(1,(xlRTTYENDU=1)*(xlRTTYEQCL=$D2026)*(xlRTEQTYPE=$E2026),0))</f>
        <v>NG_HP2</v>
      </c>
      <c r="Y2026" s="153" t="str">
        <f t="array" ref="Y2026">INDEX(xlRTTYNAME,MATCH(1,(xlRTTYENDU=2)*(xlRTTYEQCL=$F2026)*(xlRTEQTYPE=$G2026),0))</f>
        <v>NG_HP2</v>
      </c>
    </row>
    <row r="2027" spans="1:25" s="157" customFormat="1" ht="14.25" customHeight="1" x14ac:dyDescent="0.2">
      <c r="A2027"/>
      <c r="B2027" s="49">
        <v>7</v>
      </c>
      <c r="C2027" s="49">
        <v>2</v>
      </c>
      <c r="D2027" s="49">
        <v>11</v>
      </c>
      <c r="E2027" s="49">
        <v>36</v>
      </c>
      <c r="F2027" s="49">
        <v>5</v>
      </c>
      <c r="G2027" s="49">
        <v>17</v>
      </c>
      <c r="H2027" s="49">
        <v>2023</v>
      </c>
      <c r="I2027" s="49">
        <v>2032</v>
      </c>
      <c r="J2027" s="50">
        <v>1.1200000000000001</v>
      </c>
      <c r="K2027" s="50">
        <v>1.0462</v>
      </c>
      <c r="L2027" s="50">
        <v>0.44379999999999997</v>
      </c>
      <c r="M2027" s="50">
        <v>1.0569</v>
      </c>
      <c r="N2027" s="50">
        <v>1.4438</v>
      </c>
      <c r="O2027" s="50">
        <v>1.0538000000000001</v>
      </c>
      <c r="P2027" s="49">
        <v>2321</v>
      </c>
      <c r="Q2027" s="51">
        <f t="array" ref="Q2027">SUM(IF(($S2027&gt;=4)*($C2027='TaxCred&amp;Subs'!$D$123:$D$127)*($H2027='TaxCred&amp;Subs'!$C$123:$C$127)*($H2027&lt;='TaxCred&amp;Subs'!$C$129),'TaxCred&amp;Subs'!$E$123:$E$127,0))</f>
        <v>500</v>
      </c>
      <c r="R2027" s="171">
        <v>0</v>
      </c>
      <c r="S2027" s="49">
        <v>5</v>
      </c>
      <c r="T2027" s="49" t="s">
        <v>225</v>
      </c>
      <c r="U2027"/>
      <c r="V2027" s="153" t="str">
        <f t="array" ref="V2027">INDEX(xlRTCLNAME,MATCH(1,(xlRTCLENDU=1)*(xlRTCLEQCL=$D2027),0))</f>
        <v>NG_HP</v>
      </c>
      <c r="W2027" s="153" t="str">
        <f t="array" ref="W2027">INDEX(xlRTCLNAME,MATCH(1,(xlRTCLENDU=2)*(xlRTCLEQCL=$F2027),0))</f>
        <v>NG_HP</v>
      </c>
      <c r="X2027" s="153" t="str">
        <f t="array" ref="X2027">INDEX(xlRTTYNAME,MATCH(1,(xlRTTYENDU=1)*(xlRTTYEQCL=$D2027)*(xlRTEQTYPE=$E2027),0))</f>
        <v>NG_HP2</v>
      </c>
      <c r="Y2027" s="153" t="str">
        <f t="array" ref="Y2027">INDEX(xlRTTYNAME,MATCH(1,(xlRTTYENDU=2)*(xlRTTYEQCL=$F2027)*(xlRTEQTYPE=$G2027),0))</f>
        <v>NG_HP2</v>
      </c>
    </row>
    <row r="2028" spans="1:25" s="157" customFormat="1" ht="14.25" customHeight="1" x14ac:dyDescent="0.2">
      <c r="A2028"/>
      <c r="B2028" s="49">
        <v>7</v>
      </c>
      <c r="C2028" s="49">
        <v>2</v>
      </c>
      <c r="D2028" s="49">
        <v>11</v>
      </c>
      <c r="E2028" s="49">
        <v>36</v>
      </c>
      <c r="F2028" s="49">
        <v>5</v>
      </c>
      <c r="G2028" s="49">
        <v>17</v>
      </c>
      <c r="H2028" s="49">
        <v>2033</v>
      </c>
      <c r="I2028" s="49">
        <v>2050</v>
      </c>
      <c r="J2028" s="50">
        <v>1.1200000000000001</v>
      </c>
      <c r="K2028" s="50">
        <v>1.0462</v>
      </c>
      <c r="L2028" s="50">
        <v>0.44379999999999997</v>
      </c>
      <c r="M2028" s="50">
        <v>1.0569</v>
      </c>
      <c r="N2028" s="50">
        <v>1.4438</v>
      </c>
      <c r="O2028" s="50">
        <v>1.0538000000000001</v>
      </c>
      <c r="P2028" s="49">
        <v>2321</v>
      </c>
      <c r="Q2028" s="51">
        <f t="array" ref="Q2028">SUM(IF(($S2028&gt;=4)*($C2028='TaxCred&amp;Subs'!$D$123:$D$127)*($H2028='TaxCred&amp;Subs'!$C$123:$C$127)*($H2028&lt;='TaxCred&amp;Subs'!$C$129),'TaxCred&amp;Subs'!$E$123:$E$127,0))</f>
        <v>0</v>
      </c>
      <c r="R2028" s="171">
        <v>0</v>
      </c>
      <c r="S2028" s="49">
        <v>5</v>
      </c>
      <c r="T2028" s="49" t="s">
        <v>225</v>
      </c>
      <c r="U2028"/>
      <c r="V2028" s="153" t="str">
        <f t="array" ref="V2028">INDEX(xlRTCLNAME,MATCH(1,(xlRTCLENDU=1)*(xlRTCLEQCL=$D2028),0))</f>
        <v>NG_HP</v>
      </c>
      <c r="W2028" s="153" t="str">
        <f t="array" ref="W2028">INDEX(xlRTCLNAME,MATCH(1,(xlRTCLENDU=2)*(xlRTCLEQCL=$F2028),0))</f>
        <v>NG_HP</v>
      </c>
      <c r="X2028" s="153" t="str">
        <f t="array" ref="X2028">INDEX(xlRTTYNAME,MATCH(1,(xlRTTYENDU=1)*(xlRTTYEQCL=$D2028)*(xlRTEQTYPE=$E2028),0))</f>
        <v>NG_HP2</v>
      </c>
      <c r="Y2028" s="153" t="str">
        <f t="array" ref="Y2028">INDEX(xlRTTYNAME,MATCH(1,(xlRTTYENDU=2)*(xlRTTYEQCL=$F2028)*(xlRTEQTYPE=$G2028),0))</f>
        <v>NG_HP2</v>
      </c>
    </row>
    <row r="2029" spans="1:25" s="157" customFormat="1" ht="14.25" customHeight="1" x14ac:dyDescent="0.2">
      <c r="A2029"/>
      <c r="B2029" s="126">
        <v>8</v>
      </c>
      <c r="C2029" s="126">
        <v>2</v>
      </c>
      <c r="D2029" s="126">
        <v>11</v>
      </c>
      <c r="E2029" s="126">
        <v>36</v>
      </c>
      <c r="F2029" s="126">
        <v>5</v>
      </c>
      <c r="G2029" s="126">
        <v>17</v>
      </c>
      <c r="H2029" s="126">
        <v>2016</v>
      </c>
      <c r="I2029" s="159">
        <v>2022</v>
      </c>
      <c r="J2029" s="127">
        <v>1.0932999999999999</v>
      </c>
      <c r="K2029" s="127">
        <v>1.0323</v>
      </c>
      <c r="L2029" s="127">
        <v>0.55489999999999995</v>
      </c>
      <c r="M2029" s="127">
        <v>1.2087000000000001</v>
      </c>
      <c r="N2029" s="127">
        <v>1.2847999999999999</v>
      </c>
      <c r="O2029" s="127">
        <v>1.0538000000000001</v>
      </c>
      <c r="P2029" s="126">
        <v>2889</v>
      </c>
      <c r="Q2029" s="128">
        <f t="array" ref="Q2029">SUM(IF(($S2029&gt;=4)*($C2029='TaxCred&amp;Subs'!$D$123:$D$127)*($H2029='TaxCred&amp;Subs'!$C$123:$C$127)*($H2029&lt;='TaxCred&amp;Subs'!$C$129),'TaxCred&amp;Subs'!$E$123:$E$127,0))</f>
        <v>0</v>
      </c>
      <c r="R2029" s="174">
        <v>0</v>
      </c>
      <c r="S2029" s="126">
        <v>5</v>
      </c>
      <c r="T2029" s="126" t="s">
        <v>225</v>
      </c>
      <c r="U2029"/>
      <c r="V2029" s="153" t="str">
        <f t="array" ref="V2029">INDEX(xlRTCLNAME,MATCH(1,(xlRTCLENDU=1)*(xlRTCLEQCL=$D2029),0))</f>
        <v>NG_HP</v>
      </c>
      <c r="W2029" s="153" t="str">
        <f t="array" ref="W2029">INDEX(xlRTCLNAME,MATCH(1,(xlRTCLENDU=2)*(xlRTCLEQCL=$F2029),0))</f>
        <v>NG_HP</v>
      </c>
      <c r="X2029" s="153" t="str">
        <f t="array" ref="X2029">INDEX(xlRTTYNAME,MATCH(1,(xlRTTYENDU=1)*(xlRTTYEQCL=$D2029)*(xlRTEQTYPE=$E2029),0))</f>
        <v>NG_HP2</v>
      </c>
      <c r="Y2029" s="153" t="str">
        <f t="array" ref="Y2029">INDEX(xlRTTYNAME,MATCH(1,(xlRTTYENDU=2)*(xlRTTYEQCL=$F2029)*(xlRTEQTYPE=$G2029),0))</f>
        <v>NG_HP2</v>
      </c>
    </row>
    <row r="2030" spans="1:25" s="157" customFormat="1" ht="14.25" customHeight="1" x14ac:dyDescent="0.2">
      <c r="A2030"/>
      <c r="B2030" s="49">
        <v>8</v>
      </c>
      <c r="C2030" s="49">
        <v>2</v>
      </c>
      <c r="D2030" s="49">
        <v>11</v>
      </c>
      <c r="E2030" s="49">
        <v>36</v>
      </c>
      <c r="F2030" s="49">
        <v>5</v>
      </c>
      <c r="G2030" s="49">
        <v>17</v>
      </c>
      <c r="H2030" s="49">
        <v>2023</v>
      </c>
      <c r="I2030" s="49">
        <v>2032</v>
      </c>
      <c r="J2030" s="50">
        <v>1.0932999999999999</v>
      </c>
      <c r="K2030" s="50">
        <v>1.0323</v>
      </c>
      <c r="L2030" s="50">
        <v>0.55489999999999995</v>
      </c>
      <c r="M2030" s="50">
        <v>1.2087000000000001</v>
      </c>
      <c r="N2030" s="50">
        <v>1.2847999999999999</v>
      </c>
      <c r="O2030" s="50">
        <v>1.0538000000000001</v>
      </c>
      <c r="P2030" s="49">
        <v>2889</v>
      </c>
      <c r="Q2030" s="51">
        <f t="array" ref="Q2030">SUM(IF(($S2030&gt;=4)*($C2030='TaxCred&amp;Subs'!$D$123:$D$127)*($H2030='TaxCred&amp;Subs'!$C$123:$C$127)*($H2030&lt;='TaxCred&amp;Subs'!$C$129),'TaxCred&amp;Subs'!$E$123:$E$127,0))</f>
        <v>500</v>
      </c>
      <c r="R2030" s="171">
        <v>0</v>
      </c>
      <c r="S2030" s="49">
        <v>5</v>
      </c>
      <c r="T2030" s="49" t="s">
        <v>225</v>
      </c>
      <c r="U2030"/>
      <c r="V2030" s="153" t="str">
        <f t="array" ref="V2030">INDEX(xlRTCLNAME,MATCH(1,(xlRTCLENDU=1)*(xlRTCLEQCL=$D2030),0))</f>
        <v>NG_HP</v>
      </c>
      <c r="W2030" s="153" t="str">
        <f t="array" ref="W2030">INDEX(xlRTCLNAME,MATCH(1,(xlRTCLENDU=2)*(xlRTCLEQCL=$F2030),0))</f>
        <v>NG_HP</v>
      </c>
      <c r="X2030" s="153" t="str">
        <f t="array" ref="X2030">INDEX(xlRTTYNAME,MATCH(1,(xlRTTYENDU=1)*(xlRTTYEQCL=$D2030)*(xlRTEQTYPE=$E2030),0))</f>
        <v>NG_HP2</v>
      </c>
      <c r="Y2030" s="153" t="str">
        <f t="array" ref="Y2030">INDEX(xlRTTYNAME,MATCH(1,(xlRTTYENDU=2)*(xlRTTYEQCL=$F2030)*(xlRTEQTYPE=$G2030),0))</f>
        <v>NG_HP2</v>
      </c>
    </row>
    <row r="2031" spans="1:25" s="157" customFormat="1" ht="14.25" customHeight="1" x14ac:dyDescent="0.2">
      <c r="A2031"/>
      <c r="B2031" s="49">
        <v>8</v>
      </c>
      <c r="C2031" s="49">
        <v>2</v>
      </c>
      <c r="D2031" s="49">
        <v>11</v>
      </c>
      <c r="E2031" s="49">
        <v>36</v>
      </c>
      <c r="F2031" s="49">
        <v>5</v>
      </c>
      <c r="G2031" s="49">
        <v>17</v>
      </c>
      <c r="H2031" s="49">
        <v>2033</v>
      </c>
      <c r="I2031" s="49">
        <v>2050</v>
      </c>
      <c r="J2031" s="50">
        <v>1.0932999999999999</v>
      </c>
      <c r="K2031" s="50">
        <v>1.0323</v>
      </c>
      <c r="L2031" s="50">
        <v>0.55489999999999995</v>
      </c>
      <c r="M2031" s="50">
        <v>1.2087000000000001</v>
      </c>
      <c r="N2031" s="50">
        <v>1.2847999999999999</v>
      </c>
      <c r="O2031" s="50">
        <v>1.0538000000000001</v>
      </c>
      <c r="P2031" s="49">
        <v>2889</v>
      </c>
      <c r="Q2031" s="51">
        <f t="array" ref="Q2031">SUM(IF(($S2031&gt;=4)*($C2031='TaxCred&amp;Subs'!$D$123:$D$127)*($H2031='TaxCred&amp;Subs'!$C$123:$C$127)*($H2031&lt;='TaxCred&amp;Subs'!$C$129),'TaxCred&amp;Subs'!$E$123:$E$127,0))</f>
        <v>0</v>
      </c>
      <c r="R2031" s="171">
        <v>0</v>
      </c>
      <c r="S2031" s="49">
        <v>5</v>
      </c>
      <c r="T2031" s="49" t="s">
        <v>225</v>
      </c>
      <c r="U2031"/>
      <c r="V2031" s="153" t="str">
        <f t="array" ref="V2031">INDEX(xlRTCLNAME,MATCH(1,(xlRTCLENDU=1)*(xlRTCLEQCL=$D2031),0))</f>
        <v>NG_HP</v>
      </c>
      <c r="W2031" s="153" t="str">
        <f t="array" ref="W2031">INDEX(xlRTCLNAME,MATCH(1,(xlRTCLENDU=2)*(xlRTCLEQCL=$F2031),0))</f>
        <v>NG_HP</v>
      </c>
      <c r="X2031" s="153" t="str">
        <f t="array" ref="X2031">INDEX(xlRTTYNAME,MATCH(1,(xlRTTYENDU=1)*(xlRTTYEQCL=$D2031)*(xlRTEQTYPE=$E2031),0))</f>
        <v>NG_HP2</v>
      </c>
      <c r="Y2031" s="153" t="str">
        <f t="array" ref="Y2031">INDEX(xlRTTYNAME,MATCH(1,(xlRTTYENDU=2)*(xlRTTYEQCL=$F2031)*(xlRTEQTYPE=$G2031),0))</f>
        <v>NG_HP2</v>
      </c>
    </row>
    <row r="2032" spans="1:25" s="157" customFormat="1" ht="14.25" customHeight="1" x14ac:dyDescent="0.2">
      <c r="A2032"/>
      <c r="B2032" s="126">
        <v>9</v>
      </c>
      <c r="C2032" s="126">
        <v>2</v>
      </c>
      <c r="D2032" s="126">
        <v>11</v>
      </c>
      <c r="E2032" s="126">
        <v>36</v>
      </c>
      <c r="F2032" s="126">
        <v>5</v>
      </c>
      <c r="G2032" s="126">
        <v>17</v>
      </c>
      <c r="H2032" s="126">
        <v>2016</v>
      </c>
      <c r="I2032" s="159">
        <v>2022</v>
      </c>
      <c r="J2032" s="127">
        <v>1.07</v>
      </c>
      <c r="K2032" s="127">
        <v>1.0541</v>
      </c>
      <c r="L2032" s="127">
        <v>0.44379999999999997</v>
      </c>
      <c r="M2032" s="127">
        <v>1.1167</v>
      </c>
      <c r="N2032" s="127">
        <v>1.4438</v>
      </c>
      <c r="O2032" s="127">
        <v>1.0538000000000001</v>
      </c>
      <c r="P2032" s="126">
        <v>3308</v>
      </c>
      <c r="Q2032" s="128">
        <f t="array" ref="Q2032">SUM(IF(($S2032&gt;=4)*($C2032='TaxCred&amp;Subs'!$D$123:$D$127)*($H2032='TaxCred&amp;Subs'!$C$123:$C$127)*($H2032&lt;='TaxCred&amp;Subs'!$C$129),'TaxCred&amp;Subs'!$E$123:$E$127,0))</f>
        <v>0</v>
      </c>
      <c r="R2032" s="174">
        <v>0</v>
      </c>
      <c r="S2032" s="126">
        <v>5</v>
      </c>
      <c r="T2032" s="126" t="s">
        <v>225</v>
      </c>
      <c r="U2032"/>
      <c r="V2032" s="153" t="str">
        <f t="array" ref="V2032">INDEX(xlRTCLNAME,MATCH(1,(xlRTCLENDU=1)*(xlRTCLEQCL=$D2032),0))</f>
        <v>NG_HP</v>
      </c>
      <c r="W2032" s="153" t="str">
        <f t="array" ref="W2032">INDEX(xlRTCLNAME,MATCH(1,(xlRTCLENDU=2)*(xlRTCLEQCL=$F2032),0))</f>
        <v>NG_HP</v>
      </c>
      <c r="X2032" s="153" t="str">
        <f t="array" ref="X2032">INDEX(xlRTTYNAME,MATCH(1,(xlRTTYENDU=1)*(xlRTTYEQCL=$D2032)*(xlRTEQTYPE=$E2032),0))</f>
        <v>NG_HP2</v>
      </c>
      <c r="Y2032" s="153" t="str">
        <f t="array" ref="Y2032">INDEX(xlRTTYNAME,MATCH(1,(xlRTTYENDU=2)*(xlRTTYEQCL=$F2032)*(xlRTEQTYPE=$G2032),0))</f>
        <v>NG_HP2</v>
      </c>
    </row>
    <row r="2033" spans="1:25" s="157" customFormat="1" ht="14.25" customHeight="1" x14ac:dyDescent="0.2">
      <c r="A2033"/>
      <c r="B2033" s="49">
        <v>9</v>
      </c>
      <c r="C2033" s="49">
        <v>2</v>
      </c>
      <c r="D2033" s="49">
        <v>11</v>
      </c>
      <c r="E2033" s="49">
        <v>36</v>
      </c>
      <c r="F2033" s="49">
        <v>5</v>
      </c>
      <c r="G2033" s="49">
        <v>17</v>
      </c>
      <c r="H2033" s="49">
        <v>2023</v>
      </c>
      <c r="I2033" s="49">
        <v>2032</v>
      </c>
      <c r="J2033" s="50">
        <v>1.07</v>
      </c>
      <c r="K2033" s="50">
        <v>1.0541</v>
      </c>
      <c r="L2033" s="50">
        <v>0.44379999999999997</v>
      </c>
      <c r="M2033" s="50">
        <v>1.1167</v>
      </c>
      <c r="N2033" s="50">
        <v>1.4438</v>
      </c>
      <c r="O2033" s="50">
        <v>1.0538000000000001</v>
      </c>
      <c r="P2033" s="49">
        <v>3308</v>
      </c>
      <c r="Q2033" s="51">
        <f t="array" ref="Q2033">SUM(IF(($S2033&gt;=4)*($C2033='TaxCred&amp;Subs'!$D$123:$D$127)*($H2033='TaxCred&amp;Subs'!$C$123:$C$127)*($H2033&lt;='TaxCred&amp;Subs'!$C$129),'TaxCred&amp;Subs'!$E$123:$E$127,0))</f>
        <v>500</v>
      </c>
      <c r="R2033" s="171">
        <v>0</v>
      </c>
      <c r="S2033" s="49">
        <v>5</v>
      </c>
      <c r="T2033" s="49" t="s">
        <v>225</v>
      </c>
      <c r="U2033"/>
      <c r="V2033" s="153" t="str">
        <f t="array" ref="V2033">INDEX(xlRTCLNAME,MATCH(1,(xlRTCLENDU=1)*(xlRTCLEQCL=$D2033),0))</f>
        <v>NG_HP</v>
      </c>
      <c r="W2033" s="153" t="str">
        <f t="array" ref="W2033">INDEX(xlRTCLNAME,MATCH(1,(xlRTCLENDU=2)*(xlRTCLEQCL=$F2033),0))</f>
        <v>NG_HP</v>
      </c>
      <c r="X2033" s="153" t="str">
        <f t="array" ref="X2033">INDEX(xlRTTYNAME,MATCH(1,(xlRTTYENDU=1)*(xlRTTYEQCL=$D2033)*(xlRTEQTYPE=$E2033),0))</f>
        <v>NG_HP2</v>
      </c>
      <c r="Y2033" s="153" t="str">
        <f t="array" ref="Y2033">INDEX(xlRTTYNAME,MATCH(1,(xlRTTYENDU=2)*(xlRTTYEQCL=$F2033)*(xlRTEQTYPE=$G2033),0))</f>
        <v>NG_HP2</v>
      </c>
    </row>
    <row r="2034" spans="1:25" s="157" customFormat="1" ht="14.25" customHeight="1" x14ac:dyDescent="0.2">
      <c r="A2034"/>
      <c r="B2034" s="49">
        <v>9</v>
      </c>
      <c r="C2034" s="49">
        <v>2</v>
      </c>
      <c r="D2034" s="49">
        <v>11</v>
      </c>
      <c r="E2034" s="49">
        <v>36</v>
      </c>
      <c r="F2034" s="49">
        <v>5</v>
      </c>
      <c r="G2034" s="49">
        <v>17</v>
      </c>
      <c r="H2034" s="49">
        <v>2033</v>
      </c>
      <c r="I2034" s="49">
        <v>2050</v>
      </c>
      <c r="J2034" s="50">
        <v>1.07</v>
      </c>
      <c r="K2034" s="50">
        <v>1.0541</v>
      </c>
      <c r="L2034" s="50">
        <v>0.44379999999999997</v>
      </c>
      <c r="M2034" s="50">
        <v>1.1167</v>
      </c>
      <c r="N2034" s="50">
        <v>1.4438</v>
      </c>
      <c r="O2034" s="50">
        <v>1.0538000000000001</v>
      </c>
      <c r="P2034" s="49">
        <v>3308</v>
      </c>
      <c r="Q2034" s="51">
        <f t="array" ref="Q2034">SUM(IF(($S2034&gt;=4)*($C2034='TaxCred&amp;Subs'!$D$123:$D$127)*($H2034='TaxCred&amp;Subs'!$C$123:$C$127)*($H2034&lt;='TaxCred&amp;Subs'!$C$129),'TaxCred&amp;Subs'!$E$123:$E$127,0))</f>
        <v>0</v>
      </c>
      <c r="R2034" s="171">
        <v>0</v>
      </c>
      <c r="S2034" s="49">
        <v>5</v>
      </c>
      <c r="T2034" s="49" t="s">
        <v>225</v>
      </c>
      <c r="U2034"/>
      <c r="V2034" s="153" t="str">
        <f t="array" ref="V2034">INDEX(xlRTCLNAME,MATCH(1,(xlRTCLENDU=1)*(xlRTCLEQCL=$D2034),0))</f>
        <v>NG_HP</v>
      </c>
      <c r="W2034" s="153" t="str">
        <f t="array" ref="W2034">INDEX(xlRTCLNAME,MATCH(1,(xlRTCLENDU=2)*(xlRTCLEQCL=$F2034),0))</f>
        <v>NG_HP</v>
      </c>
      <c r="X2034" s="153" t="str">
        <f t="array" ref="X2034">INDEX(xlRTTYNAME,MATCH(1,(xlRTTYENDU=1)*(xlRTTYEQCL=$D2034)*(xlRTEQTYPE=$E2034),0))</f>
        <v>NG_HP2</v>
      </c>
      <c r="Y2034" s="153" t="str">
        <f t="array" ref="Y2034">INDEX(xlRTTYNAME,MATCH(1,(xlRTTYENDU=2)*(xlRTTYEQCL=$F2034)*(xlRTEQTYPE=$G2034),0))</f>
        <v>NG_HP2</v>
      </c>
    </row>
    <row r="2035" spans="1:25" s="32" customFormat="1" x14ac:dyDescent="0.2">
      <c r="A2035"/>
      <c r="B2035" s="126">
        <v>6</v>
      </c>
      <c r="C2035" s="126">
        <v>3</v>
      </c>
      <c r="D2035" s="126">
        <v>1</v>
      </c>
      <c r="E2035" s="126">
        <v>1</v>
      </c>
      <c r="F2035" s="126">
        <v>2</v>
      </c>
      <c r="G2035" s="126">
        <v>5</v>
      </c>
      <c r="H2035" s="126">
        <v>2016</v>
      </c>
      <c r="I2035" s="126">
        <v>2016</v>
      </c>
      <c r="J2035" s="127">
        <v>1.0821000000000001</v>
      </c>
      <c r="K2035" s="127">
        <v>1.0519000000000001</v>
      </c>
      <c r="L2035" s="127">
        <v>1.0126999999999999</v>
      </c>
      <c r="M2035" s="127">
        <v>1.1829000000000001</v>
      </c>
      <c r="N2035" s="127">
        <v>0.80269999999999997</v>
      </c>
      <c r="O2035" s="127">
        <v>1.0538000000000001</v>
      </c>
      <c r="P2035" s="126">
        <v>0</v>
      </c>
      <c r="Q2035" s="128">
        <f t="array" ref="Q2035">SUM(IF(($S2035&gt;=4)*($C2035='TaxCred&amp;Subs'!$D$123:$D$127)*($H2035='TaxCred&amp;Subs'!$C$123:$C$127)*($H2035&lt;='TaxCred&amp;Subs'!$C$129),'TaxCred&amp;Subs'!$E$123:$E$127,0))</f>
        <v>0</v>
      </c>
      <c r="R2035" s="174">
        <v>0</v>
      </c>
      <c r="S2035" s="126">
        <v>1</v>
      </c>
      <c r="T2035" s="126" t="s">
        <v>223</v>
      </c>
      <c r="U2035" s="158"/>
      <c r="V2035" s="153" t="str">
        <f t="array" ref="V2035">INDEX(xlRTCLNAME,MATCH(1,(xlRTCLENDU=1)*(xlRTCLEQCL=$D2035),0))</f>
        <v>ELEC_RAD</v>
      </c>
      <c r="W2035" s="153" t="str">
        <f t="array" ref="W2035">INDEX(xlRTCLNAME,MATCH(1,(xlRTCLENDU=2)*(xlRTCLEQCL=$F2035),0))</f>
        <v>CENT_AIR</v>
      </c>
      <c r="X2035" s="153" t="str">
        <f t="array" ref="X2035">INDEX(xlRTTYNAME,MATCH(1,(xlRTTYENDU=1)*(xlRTTYEQCL=$D2035)*(xlRTEQTYPE=$E2035),0))</f>
        <v>ELEC_RAD2</v>
      </c>
      <c r="Y2035" s="153" t="str">
        <f t="array" ref="Y2035">INDEX(xlRTTYNAME,MATCH(1,(xlRTTYENDU=2)*(xlRTTYEQCL=$F2035)*(xlRTEQTYPE=$G2035),0))</f>
        <v>CENT_AIR1</v>
      </c>
    </row>
    <row r="2036" spans="1:25" s="32" customFormat="1" x14ac:dyDescent="0.2">
      <c r="A2036"/>
      <c r="B2036" s="126">
        <v>6</v>
      </c>
      <c r="C2036" s="126">
        <v>3</v>
      </c>
      <c r="D2036" s="126">
        <v>2</v>
      </c>
      <c r="E2036" s="126">
        <v>2</v>
      </c>
      <c r="F2036" s="126">
        <v>3</v>
      </c>
      <c r="G2036" s="126">
        <v>9</v>
      </c>
      <c r="H2036" s="126">
        <v>2016</v>
      </c>
      <c r="I2036" s="126">
        <v>2016</v>
      </c>
      <c r="J2036" s="127">
        <v>1.0784</v>
      </c>
      <c r="K2036" s="127">
        <v>1.0667</v>
      </c>
      <c r="L2036" s="127">
        <v>1.0008999999999999</v>
      </c>
      <c r="M2036" s="127">
        <v>1.1829000000000001</v>
      </c>
      <c r="N2036" s="127">
        <v>0.79679999999999995</v>
      </c>
      <c r="O2036" s="127">
        <v>1.0538000000000001</v>
      </c>
      <c r="P2036" s="126">
        <v>0</v>
      </c>
      <c r="Q2036" s="128">
        <f t="array" ref="Q2036">SUM(IF(($S2036&gt;=4)*($C2036='TaxCred&amp;Subs'!$D$123:$D$127)*($H2036='TaxCred&amp;Subs'!$C$123:$C$127)*($H2036&lt;='TaxCred&amp;Subs'!$C$129),'TaxCred&amp;Subs'!$E$123:$E$127,0))</f>
        <v>0</v>
      </c>
      <c r="R2036" s="174">
        <v>0</v>
      </c>
      <c r="S2036" s="126">
        <v>1</v>
      </c>
      <c r="T2036" s="126" t="s">
        <v>223</v>
      </c>
      <c r="U2036" s="158"/>
      <c r="V2036" s="153" t="str">
        <f t="array" ref="V2036">INDEX(xlRTCLNAME,MATCH(1,(xlRTCLENDU=1)*(xlRTCLEQCL=$D2036),0))</f>
        <v>ELEC_HP</v>
      </c>
      <c r="W2036" s="153" t="str">
        <f t="array" ref="W2036">INDEX(xlRTCLNAME,MATCH(1,(xlRTCLENDU=2)*(xlRTCLEQCL=$F2036),0))</f>
        <v>ELEC_HP</v>
      </c>
      <c r="X2036" s="153" t="str">
        <f t="array" ref="X2036">INDEX(xlRTTYNAME,MATCH(1,(xlRTTYENDU=1)*(xlRTTYEQCL=$D2036)*(xlRTEQTYPE=$E2036),0))</f>
        <v>ELEC_HP1</v>
      </c>
      <c r="Y2036" s="153" t="str">
        <f t="array" ref="Y2036">INDEX(xlRTTYNAME,MATCH(1,(xlRTTYENDU=2)*(xlRTTYEQCL=$F2036)*(xlRTEQTYPE=$G2036),0))</f>
        <v>ELEC_HP1</v>
      </c>
    </row>
    <row r="2037" spans="1:25" s="32" customFormat="1" x14ac:dyDescent="0.2">
      <c r="A2037"/>
      <c r="B2037" s="126">
        <v>6</v>
      </c>
      <c r="C2037" s="126">
        <v>3</v>
      </c>
      <c r="D2037" s="126">
        <v>3</v>
      </c>
      <c r="E2037" s="126">
        <v>6</v>
      </c>
      <c r="F2037" s="126">
        <v>2</v>
      </c>
      <c r="G2037" s="126">
        <v>5</v>
      </c>
      <c r="H2037" s="126">
        <v>2016</v>
      </c>
      <c r="I2037" s="126">
        <v>2016</v>
      </c>
      <c r="J2037" s="127">
        <v>1.0872999999999999</v>
      </c>
      <c r="K2037" s="127">
        <v>1.0581</v>
      </c>
      <c r="L2037" s="127">
        <v>1.016</v>
      </c>
      <c r="M2037" s="127">
        <v>1.1812</v>
      </c>
      <c r="N2037" s="127">
        <v>0.8044</v>
      </c>
      <c r="O2037" s="127">
        <v>1.0538000000000001</v>
      </c>
      <c r="P2037" s="126">
        <v>0</v>
      </c>
      <c r="Q2037" s="128">
        <f t="array" ref="Q2037">SUM(IF(($S2037&gt;=4)*($C2037='TaxCred&amp;Subs'!$D$123:$D$127)*($H2037='TaxCred&amp;Subs'!$C$123:$C$127)*($H2037&lt;='TaxCred&amp;Subs'!$C$129),'TaxCred&amp;Subs'!$E$123:$E$127,0))</f>
        <v>0</v>
      </c>
      <c r="R2037" s="174">
        <v>0</v>
      </c>
      <c r="S2037" s="126">
        <v>1</v>
      </c>
      <c r="T2037" s="126" t="s">
        <v>223</v>
      </c>
      <c r="U2037" s="158"/>
      <c r="V2037" s="153" t="str">
        <f t="array" ref="V2037">INDEX(xlRTCLNAME,MATCH(1,(xlRTCLENDU=1)*(xlRTCLEQCL=$D2037),0))</f>
        <v>NG_FA</v>
      </c>
      <c r="W2037" s="153" t="str">
        <f t="array" ref="W2037">INDEX(xlRTCLNAME,MATCH(1,(xlRTCLENDU=2)*(xlRTCLEQCL=$F2037),0))</f>
        <v>CENT_AIR</v>
      </c>
      <c r="X2037" s="153" t="str">
        <f t="array" ref="X2037">INDEX(xlRTTYNAME,MATCH(1,(xlRTTYENDU=1)*(xlRTTYEQCL=$D2037)*(xlRTEQTYPE=$E2037),0))</f>
        <v>NG_FA1</v>
      </c>
      <c r="Y2037" s="153" t="str">
        <f t="array" ref="Y2037">INDEX(xlRTTYNAME,MATCH(1,(xlRTTYENDU=2)*(xlRTTYEQCL=$F2037)*(xlRTEQTYPE=$G2037),0))</f>
        <v>CENT_AIR1</v>
      </c>
    </row>
    <row r="2038" spans="1:25" s="32" customFormat="1" x14ac:dyDescent="0.2">
      <c r="A2038"/>
      <c r="B2038" s="126">
        <v>6</v>
      </c>
      <c r="C2038" s="126">
        <v>3</v>
      </c>
      <c r="D2038" s="126">
        <v>4</v>
      </c>
      <c r="E2038" s="126">
        <v>10</v>
      </c>
      <c r="F2038" s="126">
        <v>2</v>
      </c>
      <c r="G2038" s="126">
        <v>5</v>
      </c>
      <c r="H2038" s="126">
        <v>2016</v>
      </c>
      <c r="I2038" s="126">
        <v>2016</v>
      </c>
      <c r="J2038" s="127">
        <v>1.0873999999999999</v>
      </c>
      <c r="K2038" s="127">
        <v>1.0609999999999999</v>
      </c>
      <c r="L2038" s="127">
        <v>1.0111000000000001</v>
      </c>
      <c r="M2038" s="127">
        <v>1.1812</v>
      </c>
      <c r="N2038" s="127">
        <v>0.80189999999999995</v>
      </c>
      <c r="O2038" s="127">
        <v>1.0538000000000001</v>
      </c>
      <c r="P2038" s="126">
        <v>0</v>
      </c>
      <c r="Q2038" s="128">
        <f t="array" ref="Q2038">SUM(IF(($S2038&gt;=4)*($C2038='TaxCred&amp;Subs'!$D$123:$D$127)*($H2038='TaxCred&amp;Subs'!$C$123:$C$127)*($H2038&lt;='TaxCred&amp;Subs'!$C$129),'TaxCred&amp;Subs'!$E$123:$E$127,0))</f>
        <v>0</v>
      </c>
      <c r="R2038" s="174">
        <v>0</v>
      </c>
      <c r="S2038" s="126">
        <v>1</v>
      </c>
      <c r="T2038" s="126" t="s">
        <v>223</v>
      </c>
      <c r="U2038" s="158"/>
      <c r="V2038" s="153" t="str">
        <f t="array" ref="V2038">INDEX(xlRTCLNAME,MATCH(1,(xlRTCLENDU=1)*(xlRTCLEQCL=$D2038),0))</f>
        <v>NG_RAD</v>
      </c>
      <c r="W2038" s="153" t="str">
        <f t="array" ref="W2038">INDEX(xlRTCLNAME,MATCH(1,(xlRTCLENDU=2)*(xlRTCLEQCL=$F2038),0))</f>
        <v>CENT_AIR</v>
      </c>
      <c r="X2038" s="153" t="str">
        <f t="array" ref="X2038">INDEX(xlRTTYNAME,MATCH(1,(xlRTTYENDU=1)*(xlRTTYEQCL=$D2038)*(xlRTEQTYPE=$E2038),0))</f>
        <v>NG_RAD1</v>
      </c>
      <c r="Y2038" s="153" t="str">
        <f t="array" ref="Y2038">INDEX(xlRTTYNAME,MATCH(1,(xlRTTYENDU=2)*(xlRTTYEQCL=$F2038)*(xlRTEQTYPE=$G2038),0))</f>
        <v>CENT_AIR1</v>
      </c>
    </row>
    <row r="2039" spans="1:25" s="32" customFormat="1" x14ac:dyDescent="0.2">
      <c r="A2039"/>
      <c r="B2039" s="129">
        <v>6</v>
      </c>
      <c r="C2039" s="129">
        <v>3</v>
      </c>
      <c r="D2039" s="129">
        <v>5</v>
      </c>
      <c r="E2039" s="129">
        <v>14</v>
      </c>
      <c r="F2039" s="129">
        <v>2</v>
      </c>
      <c r="G2039" s="129">
        <v>5</v>
      </c>
      <c r="H2039" s="129">
        <v>2016</v>
      </c>
      <c r="I2039" s="129">
        <v>2016</v>
      </c>
      <c r="J2039" s="130">
        <v>1.0896999999999999</v>
      </c>
      <c r="K2039" s="130">
        <v>1.0723</v>
      </c>
      <c r="L2039" s="130">
        <v>1.0126999999999999</v>
      </c>
      <c r="M2039" s="130">
        <v>1.1829000000000001</v>
      </c>
      <c r="N2039" s="130">
        <v>0.80269999999999997</v>
      </c>
      <c r="O2039" s="130">
        <v>1.0538000000000001</v>
      </c>
      <c r="P2039" s="129">
        <v>0</v>
      </c>
      <c r="Q2039" s="128">
        <f t="array" ref="Q2039">SUM(IF(($S2039&gt;=4)*($C2039='TaxCred&amp;Subs'!$D$123:$D$127)*($H2039='TaxCred&amp;Subs'!$C$123:$C$127)*($H2039&lt;='TaxCred&amp;Subs'!$C$129),'TaxCred&amp;Subs'!$E$123:$E$127,0))</f>
        <v>0</v>
      </c>
      <c r="R2039" s="174">
        <v>0</v>
      </c>
      <c r="S2039" s="129">
        <v>1</v>
      </c>
      <c r="T2039" s="129" t="s">
        <v>223</v>
      </c>
      <c r="U2039" s="155" t="s">
        <v>235</v>
      </c>
      <c r="V2039" s="153" t="str">
        <f t="array" ref="V2039">INDEX(xlRTCLNAME,MATCH(1,(xlRTCLENDU=1)*(xlRTCLEQCL=$D2039),0))</f>
        <v>KERO_FA</v>
      </c>
      <c r="W2039" s="153" t="str">
        <f t="array" ref="W2039">INDEX(xlRTCLNAME,MATCH(1,(xlRTCLENDU=2)*(xlRTCLEQCL=$F2039),0))</f>
        <v>CENT_AIR</v>
      </c>
      <c r="X2039" s="153" t="str">
        <f t="array" ref="X2039">INDEX(xlRTTYNAME,MATCH(1,(xlRTTYENDU=1)*(xlRTTYEQCL=$D2039)*(xlRTEQTYPE=$E2039),0))</f>
        <v>KERO_FA1</v>
      </c>
      <c r="Y2039" s="153" t="str">
        <f t="array" ref="Y2039">INDEX(xlRTTYNAME,MATCH(1,(xlRTTYENDU=2)*(xlRTTYEQCL=$F2039)*(xlRTEQTYPE=$G2039),0))</f>
        <v>CENT_AIR1</v>
      </c>
    </row>
    <row r="2040" spans="1:25" s="32" customFormat="1" x14ac:dyDescent="0.2">
      <c r="A2040"/>
      <c r="B2040" s="126">
        <v>6</v>
      </c>
      <c r="C2040" s="126">
        <v>3</v>
      </c>
      <c r="D2040" s="126">
        <v>6</v>
      </c>
      <c r="E2040" s="126">
        <v>18</v>
      </c>
      <c r="F2040" s="126">
        <v>2</v>
      </c>
      <c r="G2040" s="126">
        <v>5</v>
      </c>
      <c r="H2040" s="126">
        <v>2016</v>
      </c>
      <c r="I2040" s="126">
        <v>2016</v>
      </c>
      <c r="J2040" s="127">
        <v>1.0872999999999999</v>
      </c>
      <c r="K2040" s="127">
        <v>1.0581</v>
      </c>
      <c r="L2040" s="127">
        <v>1.016</v>
      </c>
      <c r="M2040" s="127">
        <v>1.1812</v>
      </c>
      <c r="N2040" s="127">
        <v>0.8044</v>
      </c>
      <c r="O2040" s="127">
        <v>1.0538000000000001</v>
      </c>
      <c r="P2040" s="126">
        <v>0</v>
      </c>
      <c r="Q2040" s="128">
        <f t="array" ref="Q2040">SUM(IF(($S2040&gt;=4)*($C2040='TaxCred&amp;Subs'!$D$123:$D$127)*($H2040='TaxCred&amp;Subs'!$C$123:$C$127)*($H2040&lt;='TaxCred&amp;Subs'!$C$129),'TaxCred&amp;Subs'!$E$123:$E$127,0))</f>
        <v>0</v>
      </c>
      <c r="R2040" s="174">
        <v>0</v>
      </c>
      <c r="S2040" s="126">
        <v>1</v>
      </c>
      <c r="T2040" s="126" t="s">
        <v>223</v>
      </c>
      <c r="U2040" s="158"/>
      <c r="V2040" s="153" t="str">
        <f t="array" ref="V2040">INDEX(xlRTCLNAME,MATCH(1,(xlRTCLENDU=1)*(xlRTCLEQCL=$D2040),0))</f>
        <v>LPG_FA</v>
      </c>
      <c r="W2040" s="153" t="str">
        <f t="array" ref="W2040">INDEX(xlRTCLNAME,MATCH(1,(xlRTCLENDU=2)*(xlRTCLEQCL=$F2040),0))</f>
        <v>CENT_AIR</v>
      </c>
      <c r="X2040" s="153" t="str">
        <f t="array" ref="X2040">INDEX(xlRTTYNAME,MATCH(1,(xlRTTYENDU=1)*(xlRTTYEQCL=$D2040)*(xlRTEQTYPE=$E2040),0))</f>
        <v>LPG_FA1</v>
      </c>
      <c r="Y2040" s="153" t="str">
        <f t="array" ref="Y2040">INDEX(xlRTTYNAME,MATCH(1,(xlRTTYENDU=2)*(xlRTTYEQCL=$F2040)*(xlRTEQTYPE=$G2040),0))</f>
        <v>CENT_AIR1</v>
      </c>
    </row>
    <row r="2041" spans="1:25" s="32" customFormat="1" x14ac:dyDescent="0.2">
      <c r="A2041"/>
      <c r="B2041" s="126">
        <v>6</v>
      </c>
      <c r="C2041" s="126">
        <v>3</v>
      </c>
      <c r="D2041" s="126">
        <v>7</v>
      </c>
      <c r="E2041" s="126">
        <v>22</v>
      </c>
      <c r="F2041" s="126">
        <v>2</v>
      </c>
      <c r="G2041" s="126">
        <v>5</v>
      </c>
      <c r="H2041" s="126">
        <v>2016</v>
      </c>
      <c r="I2041" s="126">
        <v>2016</v>
      </c>
      <c r="J2041" s="127">
        <v>1.0896999999999999</v>
      </c>
      <c r="K2041" s="127">
        <v>1.0723</v>
      </c>
      <c r="L2041" s="127">
        <v>1.0126999999999999</v>
      </c>
      <c r="M2041" s="127">
        <v>1.1829000000000001</v>
      </c>
      <c r="N2041" s="127">
        <v>0.80269999999999997</v>
      </c>
      <c r="O2041" s="127">
        <v>1.0538000000000001</v>
      </c>
      <c r="P2041" s="126">
        <v>0</v>
      </c>
      <c r="Q2041" s="128">
        <f t="array" ref="Q2041">SUM(IF(($S2041&gt;=4)*($C2041='TaxCred&amp;Subs'!$D$123:$D$127)*($H2041='TaxCred&amp;Subs'!$C$123:$C$127)*($H2041&lt;='TaxCred&amp;Subs'!$C$129),'TaxCred&amp;Subs'!$E$123:$E$127,0))</f>
        <v>0</v>
      </c>
      <c r="R2041" s="174">
        <v>0</v>
      </c>
      <c r="S2041" s="126">
        <v>1</v>
      </c>
      <c r="T2041" s="126" t="s">
        <v>223</v>
      </c>
      <c r="U2041" s="158"/>
      <c r="V2041" s="153" t="str">
        <f t="array" ref="V2041">INDEX(xlRTCLNAME,MATCH(1,(xlRTCLENDU=1)*(xlRTCLEQCL=$D2041),0))</f>
        <v>DIST_FA</v>
      </c>
      <c r="W2041" s="153" t="str">
        <f t="array" ref="W2041">INDEX(xlRTCLNAME,MATCH(1,(xlRTCLENDU=2)*(xlRTCLEQCL=$F2041),0))</f>
        <v>CENT_AIR</v>
      </c>
      <c r="X2041" s="153" t="str">
        <f t="array" ref="X2041">INDEX(xlRTTYNAME,MATCH(1,(xlRTTYENDU=1)*(xlRTTYEQCL=$D2041)*(xlRTEQTYPE=$E2041),0))</f>
        <v>DIST_FA1</v>
      </c>
      <c r="Y2041" s="153" t="str">
        <f t="array" ref="Y2041">INDEX(xlRTTYNAME,MATCH(1,(xlRTTYENDU=2)*(xlRTTYEQCL=$F2041)*(xlRTEQTYPE=$G2041),0))</f>
        <v>CENT_AIR1</v>
      </c>
    </row>
    <row r="2042" spans="1:25" s="32" customFormat="1" x14ac:dyDescent="0.2">
      <c r="A2042"/>
      <c r="B2042" s="126">
        <v>6</v>
      </c>
      <c r="C2042" s="126">
        <v>3</v>
      </c>
      <c r="D2042" s="126">
        <v>8</v>
      </c>
      <c r="E2042" s="126">
        <v>26</v>
      </c>
      <c r="F2042" s="126">
        <v>2</v>
      </c>
      <c r="G2042" s="126">
        <v>5</v>
      </c>
      <c r="H2042" s="126">
        <v>2016</v>
      </c>
      <c r="I2042" s="126">
        <v>2016</v>
      </c>
      <c r="J2042" s="127">
        <v>1.0873999999999999</v>
      </c>
      <c r="K2042" s="127">
        <v>1.0609999999999999</v>
      </c>
      <c r="L2042" s="127">
        <v>1.0111000000000001</v>
      </c>
      <c r="M2042" s="127">
        <v>1.1812</v>
      </c>
      <c r="N2042" s="127">
        <v>0.80189999999999995</v>
      </c>
      <c r="O2042" s="127">
        <v>1.0538000000000001</v>
      </c>
      <c r="P2042" s="126">
        <v>0</v>
      </c>
      <c r="Q2042" s="128">
        <f t="array" ref="Q2042">SUM(IF(($S2042&gt;=4)*($C2042='TaxCred&amp;Subs'!$D$123:$D$127)*($H2042='TaxCred&amp;Subs'!$C$123:$C$127)*($H2042&lt;='TaxCred&amp;Subs'!$C$129),'TaxCred&amp;Subs'!$E$123:$E$127,0))</f>
        <v>0</v>
      </c>
      <c r="R2042" s="174">
        <v>0</v>
      </c>
      <c r="S2042" s="126">
        <v>1</v>
      </c>
      <c r="T2042" s="126" t="s">
        <v>223</v>
      </c>
      <c r="U2042" s="158"/>
      <c r="V2042" s="153" t="str">
        <f t="array" ref="V2042">INDEX(xlRTCLNAME,MATCH(1,(xlRTCLENDU=1)*(xlRTCLEQCL=$D2042),0))</f>
        <v>DIST_RAD</v>
      </c>
      <c r="W2042" s="153" t="str">
        <f t="array" ref="W2042">INDEX(xlRTCLNAME,MATCH(1,(xlRTCLENDU=2)*(xlRTCLEQCL=$F2042),0))</f>
        <v>CENT_AIR</v>
      </c>
      <c r="X2042" s="153" t="str">
        <f t="array" ref="X2042">INDEX(xlRTTYNAME,MATCH(1,(xlRTTYENDU=1)*(xlRTTYEQCL=$D2042)*(xlRTEQTYPE=$E2042),0))</f>
        <v>DIST_RAD1</v>
      </c>
      <c r="Y2042" s="153" t="str">
        <f t="array" ref="Y2042">INDEX(xlRTTYNAME,MATCH(1,(xlRTTYENDU=2)*(xlRTTYEQCL=$F2042)*(xlRTEQTYPE=$G2042),0))</f>
        <v>CENT_AIR1</v>
      </c>
    </row>
    <row r="2043" spans="1:25" s="32" customFormat="1" x14ac:dyDescent="0.2">
      <c r="A2043"/>
      <c r="B2043" s="126">
        <v>6</v>
      </c>
      <c r="C2043" s="126">
        <v>3</v>
      </c>
      <c r="D2043" s="126">
        <v>9</v>
      </c>
      <c r="E2043" s="126">
        <v>30</v>
      </c>
      <c r="F2043" s="126">
        <v>2</v>
      </c>
      <c r="G2043" s="126">
        <v>5</v>
      </c>
      <c r="H2043" s="126">
        <v>2016</v>
      </c>
      <c r="I2043" s="126">
        <v>2016</v>
      </c>
      <c r="J2043" s="127">
        <v>1.0873999999999999</v>
      </c>
      <c r="K2043" s="127">
        <v>1.0609999999999999</v>
      </c>
      <c r="L2043" s="127">
        <v>1.0111000000000001</v>
      </c>
      <c r="M2043" s="127">
        <v>1.1812</v>
      </c>
      <c r="N2043" s="127">
        <v>0.80189999999999995</v>
      </c>
      <c r="O2043" s="127">
        <v>1.0538000000000001</v>
      </c>
      <c r="P2043" s="126">
        <v>0</v>
      </c>
      <c r="Q2043" s="128">
        <f t="array" ref="Q2043">SUM(IF(($S2043&gt;=4)*($C2043='TaxCred&amp;Subs'!$D$123:$D$127)*($H2043='TaxCred&amp;Subs'!$C$123:$C$127)*($H2043&lt;='TaxCred&amp;Subs'!$C$129),'TaxCred&amp;Subs'!$E$123:$E$127,0))</f>
        <v>0</v>
      </c>
      <c r="R2043" s="174">
        <v>0</v>
      </c>
      <c r="S2043" s="126">
        <v>1</v>
      </c>
      <c r="T2043" s="126" t="s">
        <v>223</v>
      </c>
      <c r="U2043" s="158"/>
      <c r="V2043" s="153" t="str">
        <f t="array" ref="V2043">INDEX(xlRTCLNAME,MATCH(1,(xlRTCLENDU=1)*(xlRTCLEQCL=$D2043),0))</f>
        <v>WOOD_HT</v>
      </c>
      <c r="W2043" s="153" t="str">
        <f t="array" ref="W2043">INDEX(xlRTCLNAME,MATCH(1,(xlRTCLENDU=2)*(xlRTCLEQCL=$F2043),0))</f>
        <v>CENT_AIR</v>
      </c>
      <c r="X2043" s="153" t="str">
        <f t="array" ref="X2043">INDEX(xlRTTYNAME,MATCH(1,(xlRTTYENDU=1)*(xlRTTYEQCL=$D2043)*(xlRTEQTYPE=$E2043),0))</f>
        <v>WOOD_HT2</v>
      </c>
      <c r="Y2043" s="153" t="str">
        <f t="array" ref="Y2043">INDEX(xlRTTYNAME,MATCH(1,(xlRTTYENDU=2)*(xlRTTYEQCL=$F2043)*(xlRTEQTYPE=$G2043),0))</f>
        <v>CENT_AIR1</v>
      </c>
    </row>
    <row r="2044" spans="1:25" s="32" customFormat="1" x14ac:dyDescent="0.2">
      <c r="A2044"/>
      <c r="B2044" s="126">
        <v>6</v>
      </c>
      <c r="C2044" s="126">
        <v>3</v>
      </c>
      <c r="D2044" s="126">
        <v>10</v>
      </c>
      <c r="E2044" s="126">
        <v>32</v>
      </c>
      <c r="F2044" s="126">
        <v>4</v>
      </c>
      <c r="G2044" s="126">
        <v>13</v>
      </c>
      <c r="H2044" s="126">
        <v>2016</v>
      </c>
      <c r="I2044" s="126">
        <v>2016</v>
      </c>
      <c r="J2044" s="127">
        <v>1.0909</v>
      </c>
      <c r="K2044" s="127">
        <v>1.0588</v>
      </c>
      <c r="L2044" s="127">
        <v>1.0236000000000001</v>
      </c>
      <c r="M2044" s="127">
        <v>1.1786000000000001</v>
      </c>
      <c r="N2044" s="127">
        <v>0.80820000000000003</v>
      </c>
      <c r="O2044" s="127">
        <v>1.0538000000000001</v>
      </c>
      <c r="P2044" s="126">
        <v>0</v>
      </c>
      <c r="Q2044" s="128">
        <f t="array" ref="Q2044">SUM(IF(($S2044&gt;=4)*($C2044='TaxCred&amp;Subs'!$D$123:$D$127)*($H2044='TaxCred&amp;Subs'!$C$123:$C$127)*($H2044&lt;='TaxCred&amp;Subs'!$C$129),'TaxCred&amp;Subs'!$E$123:$E$127,0))</f>
        <v>0</v>
      </c>
      <c r="R2044" s="174">
        <v>0</v>
      </c>
      <c r="S2044" s="126">
        <v>1</v>
      </c>
      <c r="T2044" s="126" t="s">
        <v>223</v>
      </c>
      <c r="U2044" s="158"/>
      <c r="V2044" s="153" t="str">
        <f t="array" ref="V2044">INDEX(xlRTCLNAME,MATCH(1,(xlRTCLENDU=1)*(xlRTCLEQCL=$D2044),0))</f>
        <v>GEO_HP</v>
      </c>
      <c r="W2044" s="153" t="str">
        <f t="array" ref="W2044">INDEX(xlRTCLNAME,MATCH(1,(xlRTCLENDU=2)*(xlRTCLEQCL=$F2044),0))</f>
        <v>GEO_HP</v>
      </c>
      <c r="X2044" s="153" t="str">
        <f t="array" ref="X2044">INDEX(xlRTTYNAME,MATCH(1,(xlRTTYENDU=1)*(xlRTTYEQCL=$D2044)*(xlRTEQTYPE=$E2044),0))</f>
        <v>GEO_HP1</v>
      </c>
      <c r="Y2044" s="153" t="str">
        <f t="array" ref="Y2044">INDEX(xlRTTYNAME,MATCH(1,(xlRTTYENDU=2)*(xlRTTYEQCL=$F2044)*(xlRTEQTYPE=$G2044),0))</f>
        <v>GEO_HP1</v>
      </c>
    </row>
    <row r="2045" spans="1:25" s="32" customFormat="1" x14ac:dyDescent="0.2">
      <c r="A2045"/>
      <c r="B2045" s="126">
        <v>6</v>
      </c>
      <c r="C2045" s="126">
        <v>3</v>
      </c>
      <c r="D2045" s="126">
        <v>11</v>
      </c>
      <c r="E2045" s="126">
        <v>36</v>
      </c>
      <c r="F2045" s="126">
        <v>5</v>
      </c>
      <c r="G2045" s="126">
        <v>17</v>
      </c>
      <c r="H2045" s="126">
        <v>2016</v>
      </c>
      <c r="I2045" s="126">
        <v>2016</v>
      </c>
      <c r="J2045" s="127">
        <v>1.0872999999999999</v>
      </c>
      <c r="K2045" s="127">
        <v>1.0581</v>
      </c>
      <c r="L2045" s="127">
        <v>1.016</v>
      </c>
      <c r="M2045" s="127">
        <v>1.1812</v>
      </c>
      <c r="N2045" s="127">
        <v>0.8044</v>
      </c>
      <c r="O2045" s="127">
        <v>1.0538000000000001</v>
      </c>
      <c r="P2045" s="126">
        <v>0</v>
      </c>
      <c r="Q2045" s="128">
        <f t="array" ref="Q2045">SUM(IF(($S2045&gt;=4)*($C2045='TaxCred&amp;Subs'!$D$123:$D$127)*($H2045='TaxCred&amp;Subs'!$C$123:$C$127)*($H2045&lt;='TaxCred&amp;Subs'!$C$129),'TaxCred&amp;Subs'!$E$123:$E$127,0))</f>
        <v>0</v>
      </c>
      <c r="R2045" s="174">
        <v>0</v>
      </c>
      <c r="S2045" s="126">
        <v>1</v>
      </c>
      <c r="T2045" s="126" t="s">
        <v>223</v>
      </c>
      <c r="U2045" s="158"/>
      <c r="V2045" s="153" t="str">
        <f t="array" ref="V2045">INDEX(xlRTCLNAME,MATCH(1,(xlRTCLENDU=1)*(xlRTCLEQCL=$D2045),0))</f>
        <v>NG_HP</v>
      </c>
      <c r="W2045" s="153" t="str">
        <f t="array" ref="W2045">INDEX(xlRTCLNAME,MATCH(1,(xlRTCLENDU=2)*(xlRTCLEQCL=$F2045),0))</f>
        <v>NG_HP</v>
      </c>
      <c r="X2045" s="153" t="str">
        <f t="array" ref="X2045">INDEX(xlRTTYNAME,MATCH(1,(xlRTTYENDU=1)*(xlRTTYEQCL=$D2045)*(xlRTEQTYPE=$E2045),0))</f>
        <v>NG_HP2</v>
      </c>
      <c r="Y2045" s="153" t="str">
        <f t="array" ref="Y2045">INDEX(xlRTTYNAME,MATCH(1,(xlRTTYENDU=2)*(xlRTTYEQCL=$F2045)*(xlRTEQTYPE=$G2045),0))</f>
        <v>NG_HP2</v>
      </c>
    </row>
    <row r="2046" spans="1:25" x14ac:dyDescent="0.2">
      <c r="B2046" s="126">
        <v>1</v>
      </c>
      <c r="C2046" s="126">
        <v>3</v>
      </c>
      <c r="D2046" s="126">
        <v>1</v>
      </c>
      <c r="E2046" s="126">
        <v>1</v>
      </c>
      <c r="F2046" s="126">
        <v>2</v>
      </c>
      <c r="G2046" s="126">
        <v>5</v>
      </c>
      <c r="H2046" s="126">
        <v>2016</v>
      </c>
      <c r="I2046" s="126">
        <v>2022</v>
      </c>
      <c r="J2046" s="127">
        <v>1.07</v>
      </c>
      <c r="K2046" s="127">
        <v>1.07</v>
      </c>
      <c r="L2046" s="127">
        <v>0.68030000000000002</v>
      </c>
      <c r="M2046" s="127">
        <v>1.0437000000000001</v>
      </c>
      <c r="N2046" s="127">
        <v>0.77680000000000005</v>
      </c>
      <c r="O2046" s="127">
        <v>1.0538000000000001</v>
      </c>
      <c r="P2046" s="126">
        <v>6643</v>
      </c>
      <c r="Q2046" s="128">
        <f t="array" ref="Q2046">SUM(IF(($S2046&gt;=4)*($C2046='TaxCred&amp;Subs'!$D$123:$D$127)*($H2046='TaxCred&amp;Subs'!$C$123:$C$127)*($H2046&lt;='TaxCred&amp;Subs'!$C$129),'TaxCred&amp;Subs'!$E$123:$E$127,0))</f>
        <v>0</v>
      </c>
      <c r="R2046" s="174">
        <v>0</v>
      </c>
      <c r="S2046" s="126">
        <v>2</v>
      </c>
      <c r="T2046" s="126" t="s">
        <v>224</v>
      </c>
      <c r="U2046" s="158"/>
      <c r="V2046" s="153" t="str">
        <f t="array" ref="V2046">INDEX(xlRTCLNAME,MATCH(1,(xlRTCLENDU=1)*(xlRTCLEQCL=$D2046),0))</f>
        <v>ELEC_RAD</v>
      </c>
      <c r="W2046" s="153" t="str">
        <f t="array" ref="W2046">INDEX(xlRTCLNAME,MATCH(1,(xlRTCLENDU=2)*(xlRTCLEQCL=$F2046),0))</f>
        <v>CENT_AIR</v>
      </c>
      <c r="X2046" s="153" t="str">
        <f t="array" ref="X2046">INDEX(xlRTTYNAME,MATCH(1,(xlRTTYENDU=1)*(xlRTTYEQCL=$D2046)*(xlRTEQTYPE=$E2046),0))</f>
        <v>ELEC_RAD2</v>
      </c>
      <c r="Y2046" s="153" t="str">
        <f t="array" ref="Y2046">INDEX(xlRTTYNAME,MATCH(1,(xlRTTYENDU=2)*(xlRTTYEQCL=$F2046)*(xlRTEQTYPE=$G2046),0))</f>
        <v>CENT_AIR1</v>
      </c>
    </row>
    <row r="2047" spans="1:25" x14ac:dyDescent="0.2">
      <c r="B2047" s="126">
        <v>1</v>
      </c>
      <c r="C2047" s="126">
        <v>3</v>
      </c>
      <c r="D2047" s="126">
        <v>1</v>
      </c>
      <c r="E2047" s="126">
        <v>1</v>
      </c>
      <c r="F2047" s="126">
        <v>2</v>
      </c>
      <c r="G2047" s="126">
        <v>6</v>
      </c>
      <c r="H2047" s="126">
        <v>2023</v>
      </c>
      <c r="I2047" s="126">
        <v>2050</v>
      </c>
      <c r="J2047" s="127">
        <v>1.07</v>
      </c>
      <c r="K2047" s="127">
        <v>1.07</v>
      </c>
      <c r="L2047" s="127">
        <v>0.68030000000000002</v>
      </c>
      <c r="M2047" s="127">
        <v>1.0437000000000001</v>
      </c>
      <c r="N2047" s="127">
        <v>0.77680000000000005</v>
      </c>
      <c r="O2047" s="127">
        <v>1.0538000000000001</v>
      </c>
      <c r="P2047" s="126">
        <v>6643</v>
      </c>
      <c r="Q2047" s="128">
        <f t="array" ref="Q2047">SUM(IF(($S2047&gt;=4)*($C2047='TaxCred&amp;Subs'!$D$123:$D$127)*($H2047='TaxCred&amp;Subs'!$C$123:$C$127)*($H2047&lt;='TaxCred&amp;Subs'!$C$129),'TaxCred&amp;Subs'!$E$123:$E$127,0))</f>
        <v>0</v>
      </c>
      <c r="R2047" s="174">
        <v>0</v>
      </c>
      <c r="S2047" s="126">
        <v>2</v>
      </c>
      <c r="T2047" s="126" t="s">
        <v>224</v>
      </c>
      <c r="U2047" s="158"/>
      <c r="V2047" s="153" t="str">
        <f t="array" ref="V2047">INDEX(xlRTCLNAME,MATCH(1,(xlRTCLENDU=1)*(xlRTCLEQCL=$D2047),0))</f>
        <v>ELEC_RAD</v>
      </c>
      <c r="W2047" s="153" t="str">
        <f t="array" ref="W2047">INDEX(xlRTCLNAME,MATCH(1,(xlRTCLENDU=2)*(xlRTCLEQCL=$F2047),0))</f>
        <v>CENT_AIR</v>
      </c>
      <c r="X2047" s="153" t="str">
        <f t="array" ref="X2047">INDEX(xlRTTYNAME,MATCH(1,(xlRTTYENDU=1)*(xlRTTYEQCL=$D2047)*(xlRTEQTYPE=$E2047),0))</f>
        <v>ELEC_RAD2</v>
      </c>
      <c r="Y2047" s="153" t="str">
        <f t="array" ref="Y2047">INDEX(xlRTTYNAME,MATCH(1,(xlRTTYENDU=2)*(xlRTTYEQCL=$F2047)*(xlRTEQTYPE=$G2047),0))</f>
        <v>CENT_AIR2</v>
      </c>
    </row>
    <row r="2048" spans="1:25" x14ac:dyDescent="0.2">
      <c r="B2048" s="126">
        <v>2</v>
      </c>
      <c r="C2048" s="126">
        <v>3</v>
      </c>
      <c r="D2048" s="126">
        <v>1</v>
      </c>
      <c r="E2048" s="126">
        <v>1</v>
      </c>
      <c r="F2048" s="126">
        <v>2</v>
      </c>
      <c r="G2048" s="126">
        <v>5</v>
      </c>
      <c r="H2048" s="126">
        <v>2016</v>
      </c>
      <c r="I2048" s="126">
        <v>2022</v>
      </c>
      <c r="J2048" s="127">
        <v>1.0642</v>
      </c>
      <c r="K2048" s="127">
        <v>1.0426</v>
      </c>
      <c r="L2048" s="127">
        <v>0.85629999999999995</v>
      </c>
      <c r="M2048" s="127">
        <v>1.1620999999999999</v>
      </c>
      <c r="N2048" s="127">
        <v>0.84350000000000003</v>
      </c>
      <c r="O2048" s="127">
        <v>1.0538000000000001</v>
      </c>
      <c r="P2048" s="126">
        <v>6119</v>
      </c>
      <c r="Q2048" s="128">
        <f t="array" ref="Q2048">SUM(IF(($S2048&gt;=4)*($C2048='TaxCred&amp;Subs'!$D$123:$D$127)*($H2048='TaxCred&amp;Subs'!$C$123:$C$127)*($H2048&lt;='TaxCred&amp;Subs'!$C$129),'TaxCred&amp;Subs'!$E$123:$E$127,0))</f>
        <v>0</v>
      </c>
      <c r="R2048" s="174">
        <v>0</v>
      </c>
      <c r="S2048" s="126">
        <v>2</v>
      </c>
      <c r="T2048" s="126" t="s">
        <v>224</v>
      </c>
      <c r="U2048" s="158"/>
      <c r="V2048" s="153" t="str">
        <f t="array" ref="V2048">INDEX(xlRTCLNAME,MATCH(1,(xlRTCLENDU=1)*(xlRTCLEQCL=$D2048),0))</f>
        <v>ELEC_RAD</v>
      </c>
      <c r="W2048" s="153" t="str">
        <f t="array" ref="W2048">INDEX(xlRTCLNAME,MATCH(1,(xlRTCLENDU=2)*(xlRTCLEQCL=$F2048),0))</f>
        <v>CENT_AIR</v>
      </c>
      <c r="X2048" s="153" t="str">
        <f t="array" ref="X2048">INDEX(xlRTTYNAME,MATCH(1,(xlRTTYENDU=1)*(xlRTTYEQCL=$D2048)*(xlRTEQTYPE=$E2048),0))</f>
        <v>ELEC_RAD2</v>
      </c>
      <c r="Y2048" s="153" t="str">
        <f t="array" ref="Y2048">INDEX(xlRTTYNAME,MATCH(1,(xlRTTYENDU=2)*(xlRTTYEQCL=$F2048)*(xlRTEQTYPE=$G2048),0))</f>
        <v>CENT_AIR1</v>
      </c>
    </row>
    <row r="2049" spans="2:25" x14ac:dyDescent="0.2">
      <c r="B2049" s="126">
        <v>2</v>
      </c>
      <c r="C2049" s="126">
        <v>3</v>
      </c>
      <c r="D2049" s="126">
        <v>1</v>
      </c>
      <c r="E2049" s="126">
        <v>1</v>
      </c>
      <c r="F2049" s="126">
        <v>2</v>
      </c>
      <c r="G2049" s="126">
        <v>6</v>
      </c>
      <c r="H2049" s="126">
        <v>2023</v>
      </c>
      <c r="I2049" s="126">
        <v>2050</v>
      </c>
      <c r="J2049" s="127">
        <v>1.0642</v>
      </c>
      <c r="K2049" s="127">
        <v>1.0426</v>
      </c>
      <c r="L2049" s="127">
        <v>0.85629999999999995</v>
      </c>
      <c r="M2049" s="127">
        <v>1.1620999999999999</v>
      </c>
      <c r="N2049" s="127">
        <v>0.84350000000000003</v>
      </c>
      <c r="O2049" s="127">
        <v>1.0538000000000001</v>
      </c>
      <c r="P2049" s="126">
        <v>6119</v>
      </c>
      <c r="Q2049" s="128">
        <f t="array" ref="Q2049">SUM(IF(($S2049&gt;=4)*($C2049='TaxCred&amp;Subs'!$D$123:$D$127)*($H2049='TaxCred&amp;Subs'!$C$123:$C$127)*($H2049&lt;='TaxCred&amp;Subs'!$C$129),'TaxCred&amp;Subs'!$E$123:$E$127,0))</f>
        <v>0</v>
      </c>
      <c r="R2049" s="174">
        <v>0</v>
      </c>
      <c r="S2049" s="126">
        <v>2</v>
      </c>
      <c r="T2049" s="126" t="s">
        <v>224</v>
      </c>
      <c r="U2049" s="158"/>
      <c r="V2049" s="153" t="str">
        <f t="array" ref="V2049">INDEX(xlRTCLNAME,MATCH(1,(xlRTCLENDU=1)*(xlRTCLEQCL=$D2049),0))</f>
        <v>ELEC_RAD</v>
      </c>
      <c r="W2049" s="153" t="str">
        <f t="array" ref="W2049">INDEX(xlRTCLNAME,MATCH(1,(xlRTCLENDU=2)*(xlRTCLEQCL=$F2049),0))</f>
        <v>CENT_AIR</v>
      </c>
      <c r="X2049" s="153" t="str">
        <f t="array" ref="X2049">INDEX(xlRTTYNAME,MATCH(1,(xlRTTYENDU=1)*(xlRTTYEQCL=$D2049)*(xlRTEQTYPE=$E2049),0))</f>
        <v>ELEC_RAD2</v>
      </c>
      <c r="Y2049" s="153" t="str">
        <f t="array" ref="Y2049">INDEX(xlRTTYNAME,MATCH(1,(xlRTTYENDU=2)*(xlRTTYEQCL=$F2049)*(xlRTEQTYPE=$G2049),0))</f>
        <v>CENT_AIR2</v>
      </c>
    </row>
    <row r="2050" spans="2:25" x14ac:dyDescent="0.2">
      <c r="B2050" s="126">
        <v>3</v>
      </c>
      <c r="C2050" s="126">
        <v>3</v>
      </c>
      <c r="D2050" s="126">
        <v>1</v>
      </c>
      <c r="E2050" s="126">
        <v>1</v>
      </c>
      <c r="F2050" s="126">
        <v>2</v>
      </c>
      <c r="G2050" s="126">
        <v>5</v>
      </c>
      <c r="H2050" s="126">
        <v>2016</v>
      </c>
      <c r="I2050" s="126">
        <v>2022</v>
      </c>
      <c r="J2050" s="127">
        <v>1.07</v>
      </c>
      <c r="K2050" s="127">
        <v>1.07</v>
      </c>
      <c r="L2050" s="127">
        <v>0.76490000000000002</v>
      </c>
      <c r="M2050" s="127">
        <v>1.0803</v>
      </c>
      <c r="N2050" s="127">
        <v>0.84809999999999997</v>
      </c>
      <c r="O2050" s="127">
        <v>1.0538000000000001</v>
      </c>
      <c r="P2050" s="126">
        <v>6732</v>
      </c>
      <c r="Q2050" s="128">
        <f t="array" ref="Q2050">SUM(IF(($S2050&gt;=4)*($C2050='TaxCred&amp;Subs'!$D$123:$D$127)*($H2050='TaxCred&amp;Subs'!$C$123:$C$127)*($H2050&lt;='TaxCred&amp;Subs'!$C$129),'TaxCred&amp;Subs'!$E$123:$E$127,0))</f>
        <v>0</v>
      </c>
      <c r="R2050" s="174">
        <v>0</v>
      </c>
      <c r="S2050" s="126">
        <v>2</v>
      </c>
      <c r="T2050" s="126" t="s">
        <v>224</v>
      </c>
      <c r="U2050" s="158"/>
      <c r="V2050" s="153" t="str">
        <f t="array" ref="V2050">INDEX(xlRTCLNAME,MATCH(1,(xlRTCLENDU=1)*(xlRTCLEQCL=$D2050),0))</f>
        <v>ELEC_RAD</v>
      </c>
      <c r="W2050" s="153" t="str">
        <f t="array" ref="W2050">INDEX(xlRTCLNAME,MATCH(1,(xlRTCLENDU=2)*(xlRTCLEQCL=$F2050),0))</f>
        <v>CENT_AIR</v>
      </c>
      <c r="X2050" s="153" t="str">
        <f t="array" ref="X2050">INDEX(xlRTTYNAME,MATCH(1,(xlRTTYENDU=1)*(xlRTTYEQCL=$D2050)*(xlRTEQTYPE=$E2050),0))</f>
        <v>ELEC_RAD2</v>
      </c>
      <c r="Y2050" s="153" t="str">
        <f t="array" ref="Y2050">INDEX(xlRTTYNAME,MATCH(1,(xlRTTYENDU=2)*(xlRTTYEQCL=$F2050)*(xlRTEQTYPE=$G2050),0))</f>
        <v>CENT_AIR1</v>
      </c>
    </row>
    <row r="2051" spans="2:25" x14ac:dyDescent="0.2">
      <c r="B2051" s="126">
        <v>3</v>
      </c>
      <c r="C2051" s="126">
        <v>3</v>
      </c>
      <c r="D2051" s="126">
        <v>1</v>
      </c>
      <c r="E2051" s="126">
        <v>1</v>
      </c>
      <c r="F2051" s="126">
        <v>2</v>
      </c>
      <c r="G2051" s="126">
        <v>6</v>
      </c>
      <c r="H2051" s="126">
        <v>2023</v>
      </c>
      <c r="I2051" s="126">
        <v>2050</v>
      </c>
      <c r="J2051" s="127">
        <v>1.07</v>
      </c>
      <c r="K2051" s="127">
        <v>1.07</v>
      </c>
      <c r="L2051" s="127">
        <v>0.76490000000000002</v>
      </c>
      <c r="M2051" s="127">
        <v>1.0803</v>
      </c>
      <c r="N2051" s="127">
        <v>0.84809999999999997</v>
      </c>
      <c r="O2051" s="127">
        <v>1.0538000000000001</v>
      </c>
      <c r="P2051" s="126">
        <v>6732</v>
      </c>
      <c r="Q2051" s="128">
        <f t="array" ref="Q2051">SUM(IF(($S2051&gt;=4)*($C2051='TaxCred&amp;Subs'!$D$123:$D$127)*($H2051='TaxCred&amp;Subs'!$C$123:$C$127)*($H2051&lt;='TaxCred&amp;Subs'!$C$129),'TaxCred&amp;Subs'!$E$123:$E$127,0))</f>
        <v>0</v>
      </c>
      <c r="R2051" s="174">
        <v>0</v>
      </c>
      <c r="S2051" s="126">
        <v>2</v>
      </c>
      <c r="T2051" s="126" t="s">
        <v>224</v>
      </c>
      <c r="U2051" s="158"/>
      <c r="V2051" s="153" t="str">
        <f t="array" ref="V2051">INDEX(xlRTCLNAME,MATCH(1,(xlRTCLENDU=1)*(xlRTCLEQCL=$D2051),0))</f>
        <v>ELEC_RAD</v>
      </c>
      <c r="W2051" s="153" t="str">
        <f t="array" ref="W2051">INDEX(xlRTCLNAME,MATCH(1,(xlRTCLENDU=2)*(xlRTCLEQCL=$F2051),0))</f>
        <v>CENT_AIR</v>
      </c>
      <c r="X2051" s="153" t="str">
        <f t="array" ref="X2051">INDEX(xlRTTYNAME,MATCH(1,(xlRTTYENDU=1)*(xlRTTYEQCL=$D2051)*(xlRTEQTYPE=$E2051),0))</f>
        <v>ELEC_RAD2</v>
      </c>
      <c r="Y2051" s="153" t="str">
        <f t="array" ref="Y2051">INDEX(xlRTTYNAME,MATCH(1,(xlRTTYENDU=2)*(xlRTTYEQCL=$F2051)*(xlRTEQTYPE=$G2051),0))</f>
        <v>CENT_AIR2</v>
      </c>
    </row>
    <row r="2052" spans="2:25" x14ac:dyDescent="0.2">
      <c r="B2052" s="126">
        <v>4</v>
      </c>
      <c r="C2052" s="126">
        <v>3</v>
      </c>
      <c r="D2052" s="126">
        <v>1</v>
      </c>
      <c r="E2052" s="126">
        <v>1</v>
      </c>
      <c r="F2052" s="126">
        <v>2</v>
      </c>
      <c r="G2052" s="126">
        <v>5</v>
      </c>
      <c r="H2052" s="126">
        <v>2016</v>
      </c>
      <c r="I2052" s="126">
        <v>2022</v>
      </c>
      <c r="J2052" s="127">
        <v>1.07</v>
      </c>
      <c r="K2052" s="127">
        <v>1.07</v>
      </c>
      <c r="L2052" s="127">
        <v>0.68989999999999996</v>
      </c>
      <c r="M2052" s="127">
        <v>1.0580000000000001</v>
      </c>
      <c r="N2052" s="127">
        <v>0.77710000000000001</v>
      </c>
      <c r="O2052" s="127">
        <v>1.0538000000000001</v>
      </c>
      <c r="P2052" s="126">
        <v>5885</v>
      </c>
      <c r="Q2052" s="128">
        <f t="array" ref="Q2052">SUM(IF(($S2052&gt;=4)*($C2052='TaxCred&amp;Subs'!$D$123:$D$127)*($H2052='TaxCred&amp;Subs'!$C$123:$C$127)*($H2052&lt;='TaxCred&amp;Subs'!$C$129),'TaxCred&amp;Subs'!$E$123:$E$127,0))</f>
        <v>0</v>
      </c>
      <c r="R2052" s="174">
        <v>0</v>
      </c>
      <c r="S2052" s="126">
        <v>2</v>
      </c>
      <c r="T2052" s="126" t="s">
        <v>224</v>
      </c>
      <c r="U2052" s="158"/>
      <c r="V2052" s="153" t="str">
        <f t="array" ref="V2052">INDEX(xlRTCLNAME,MATCH(1,(xlRTCLENDU=1)*(xlRTCLEQCL=$D2052),0))</f>
        <v>ELEC_RAD</v>
      </c>
      <c r="W2052" s="153" t="str">
        <f t="array" ref="W2052">INDEX(xlRTCLNAME,MATCH(1,(xlRTCLENDU=2)*(xlRTCLEQCL=$F2052),0))</f>
        <v>CENT_AIR</v>
      </c>
      <c r="X2052" s="153" t="str">
        <f t="array" ref="X2052">INDEX(xlRTTYNAME,MATCH(1,(xlRTTYENDU=1)*(xlRTTYEQCL=$D2052)*(xlRTEQTYPE=$E2052),0))</f>
        <v>ELEC_RAD2</v>
      </c>
      <c r="Y2052" s="153" t="str">
        <f t="array" ref="Y2052">INDEX(xlRTTYNAME,MATCH(1,(xlRTTYENDU=2)*(xlRTTYEQCL=$F2052)*(xlRTEQTYPE=$G2052),0))</f>
        <v>CENT_AIR1</v>
      </c>
    </row>
    <row r="2053" spans="2:25" x14ac:dyDescent="0.2">
      <c r="B2053" s="126">
        <v>4</v>
      </c>
      <c r="C2053" s="126">
        <v>3</v>
      </c>
      <c r="D2053" s="126">
        <v>1</v>
      </c>
      <c r="E2053" s="126">
        <v>1</v>
      </c>
      <c r="F2053" s="126">
        <v>2</v>
      </c>
      <c r="G2053" s="126">
        <v>6</v>
      </c>
      <c r="H2053" s="126">
        <v>2023</v>
      </c>
      <c r="I2053" s="126">
        <v>2050</v>
      </c>
      <c r="J2053" s="127">
        <v>1.07</v>
      </c>
      <c r="K2053" s="127">
        <v>1.07</v>
      </c>
      <c r="L2053" s="127">
        <v>0.68989999999999996</v>
      </c>
      <c r="M2053" s="127">
        <v>1.0580000000000001</v>
      </c>
      <c r="N2053" s="127">
        <v>0.77710000000000001</v>
      </c>
      <c r="O2053" s="127">
        <v>1.0538000000000001</v>
      </c>
      <c r="P2053" s="126">
        <v>5885</v>
      </c>
      <c r="Q2053" s="128">
        <f t="array" ref="Q2053">SUM(IF(($S2053&gt;=4)*($C2053='TaxCred&amp;Subs'!$D$123:$D$127)*($H2053='TaxCred&amp;Subs'!$C$123:$C$127)*($H2053&lt;='TaxCred&amp;Subs'!$C$129),'TaxCred&amp;Subs'!$E$123:$E$127,0))</f>
        <v>0</v>
      </c>
      <c r="R2053" s="174">
        <v>0</v>
      </c>
      <c r="S2053" s="126">
        <v>2</v>
      </c>
      <c r="T2053" s="126" t="s">
        <v>224</v>
      </c>
      <c r="U2053" s="158"/>
      <c r="V2053" s="153" t="str">
        <f t="array" ref="V2053">INDEX(xlRTCLNAME,MATCH(1,(xlRTCLENDU=1)*(xlRTCLEQCL=$D2053),0))</f>
        <v>ELEC_RAD</v>
      </c>
      <c r="W2053" s="153" t="str">
        <f t="array" ref="W2053">INDEX(xlRTCLNAME,MATCH(1,(xlRTCLENDU=2)*(xlRTCLEQCL=$F2053),0))</f>
        <v>CENT_AIR</v>
      </c>
      <c r="X2053" s="153" t="str">
        <f t="array" ref="X2053">INDEX(xlRTTYNAME,MATCH(1,(xlRTTYENDU=1)*(xlRTTYEQCL=$D2053)*(xlRTEQTYPE=$E2053),0))</f>
        <v>ELEC_RAD2</v>
      </c>
      <c r="Y2053" s="153" t="str">
        <f t="array" ref="Y2053">INDEX(xlRTTYNAME,MATCH(1,(xlRTTYENDU=2)*(xlRTTYEQCL=$F2053)*(xlRTEQTYPE=$G2053),0))</f>
        <v>CENT_AIR2</v>
      </c>
    </row>
    <row r="2054" spans="2:25" x14ac:dyDescent="0.2">
      <c r="B2054" s="126">
        <v>5</v>
      </c>
      <c r="C2054" s="126">
        <v>3</v>
      </c>
      <c r="D2054" s="126">
        <v>1</v>
      </c>
      <c r="E2054" s="126">
        <v>1</v>
      </c>
      <c r="F2054" s="126">
        <v>2</v>
      </c>
      <c r="G2054" s="126">
        <v>5</v>
      </c>
      <c r="H2054" s="126">
        <v>2016</v>
      </c>
      <c r="I2054" s="126">
        <v>2022</v>
      </c>
      <c r="J2054" s="127">
        <v>1.0938000000000001</v>
      </c>
      <c r="K2054" s="127">
        <v>1.0556000000000001</v>
      </c>
      <c r="L2054" s="127">
        <v>0.83420000000000005</v>
      </c>
      <c r="M2054" s="127">
        <v>1.0730999999999999</v>
      </c>
      <c r="N2054" s="127">
        <v>0.83109999999999995</v>
      </c>
      <c r="O2054" s="127">
        <v>1.0538000000000001</v>
      </c>
      <c r="P2054" s="126">
        <v>4157</v>
      </c>
      <c r="Q2054" s="128">
        <f t="array" ref="Q2054">SUM(IF(($S2054&gt;=4)*($C2054='TaxCred&amp;Subs'!$D$123:$D$127)*($H2054='TaxCred&amp;Subs'!$C$123:$C$127)*($H2054&lt;='TaxCred&amp;Subs'!$C$129),'TaxCred&amp;Subs'!$E$123:$E$127,0))</f>
        <v>0</v>
      </c>
      <c r="R2054" s="174">
        <v>0</v>
      </c>
      <c r="S2054" s="126">
        <v>2</v>
      </c>
      <c r="T2054" s="126" t="s">
        <v>224</v>
      </c>
      <c r="U2054" s="158"/>
      <c r="V2054" s="153" t="str">
        <f t="array" ref="V2054">INDEX(xlRTCLNAME,MATCH(1,(xlRTCLENDU=1)*(xlRTCLEQCL=$D2054),0))</f>
        <v>ELEC_RAD</v>
      </c>
      <c r="W2054" s="153" t="str">
        <f t="array" ref="W2054">INDEX(xlRTCLNAME,MATCH(1,(xlRTCLENDU=2)*(xlRTCLEQCL=$F2054),0))</f>
        <v>CENT_AIR</v>
      </c>
      <c r="X2054" s="153" t="str">
        <f t="array" ref="X2054">INDEX(xlRTTYNAME,MATCH(1,(xlRTTYENDU=1)*(xlRTTYEQCL=$D2054)*(xlRTEQTYPE=$E2054),0))</f>
        <v>ELEC_RAD2</v>
      </c>
      <c r="Y2054" s="153" t="str">
        <f t="array" ref="Y2054">INDEX(xlRTTYNAME,MATCH(1,(xlRTTYENDU=2)*(xlRTTYEQCL=$F2054)*(xlRTEQTYPE=$G2054),0))</f>
        <v>CENT_AIR1</v>
      </c>
    </row>
    <row r="2055" spans="2:25" x14ac:dyDescent="0.2">
      <c r="B2055" s="126">
        <v>5</v>
      </c>
      <c r="C2055" s="126">
        <v>3</v>
      </c>
      <c r="D2055" s="126">
        <v>1</v>
      </c>
      <c r="E2055" s="126">
        <v>1</v>
      </c>
      <c r="F2055" s="126">
        <v>2</v>
      </c>
      <c r="G2055" s="126">
        <v>6</v>
      </c>
      <c r="H2055" s="126">
        <v>2023</v>
      </c>
      <c r="I2055" s="126">
        <v>2050</v>
      </c>
      <c r="J2055" s="127">
        <v>1.0938000000000001</v>
      </c>
      <c r="K2055" s="127">
        <v>1.0556000000000001</v>
      </c>
      <c r="L2055" s="127">
        <v>0.83420000000000005</v>
      </c>
      <c r="M2055" s="127">
        <v>1.0730999999999999</v>
      </c>
      <c r="N2055" s="127">
        <v>0.83109999999999995</v>
      </c>
      <c r="O2055" s="127">
        <v>1.0538000000000001</v>
      </c>
      <c r="P2055" s="126">
        <v>4157</v>
      </c>
      <c r="Q2055" s="128">
        <f t="array" ref="Q2055">SUM(IF(($S2055&gt;=4)*($C2055='TaxCred&amp;Subs'!$D$123:$D$127)*($H2055='TaxCred&amp;Subs'!$C$123:$C$127)*($H2055&lt;='TaxCred&amp;Subs'!$C$129),'TaxCred&amp;Subs'!$E$123:$E$127,0))</f>
        <v>0</v>
      </c>
      <c r="R2055" s="174">
        <v>0</v>
      </c>
      <c r="S2055" s="126">
        <v>2</v>
      </c>
      <c r="T2055" s="126" t="s">
        <v>224</v>
      </c>
      <c r="U2055" s="158"/>
      <c r="V2055" s="153" t="str">
        <f t="array" ref="V2055">INDEX(xlRTCLNAME,MATCH(1,(xlRTCLENDU=1)*(xlRTCLEQCL=$D2055),0))</f>
        <v>ELEC_RAD</v>
      </c>
      <c r="W2055" s="153" t="str">
        <f t="array" ref="W2055">INDEX(xlRTCLNAME,MATCH(1,(xlRTCLENDU=2)*(xlRTCLEQCL=$F2055),0))</f>
        <v>CENT_AIR</v>
      </c>
      <c r="X2055" s="153" t="str">
        <f t="array" ref="X2055">INDEX(xlRTTYNAME,MATCH(1,(xlRTTYENDU=1)*(xlRTTYEQCL=$D2055)*(xlRTEQTYPE=$E2055),0))</f>
        <v>ELEC_RAD2</v>
      </c>
      <c r="Y2055" s="153" t="str">
        <f t="array" ref="Y2055">INDEX(xlRTTYNAME,MATCH(1,(xlRTTYENDU=2)*(xlRTTYEQCL=$F2055)*(xlRTEQTYPE=$G2055),0))</f>
        <v>CENT_AIR2</v>
      </c>
    </row>
    <row r="2056" spans="2:25" x14ac:dyDescent="0.2">
      <c r="B2056" s="126">
        <v>6</v>
      </c>
      <c r="C2056" s="126">
        <v>3</v>
      </c>
      <c r="D2056" s="126">
        <v>1</v>
      </c>
      <c r="E2056" s="126">
        <v>1</v>
      </c>
      <c r="F2056" s="126">
        <v>2</v>
      </c>
      <c r="G2056" s="126">
        <v>5</v>
      </c>
      <c r="H2056" s="126">
        <v>2016</v>
      </c>
      <c r="I2056" s="126">
        <v>2022</v>
      </c>
      <c r="J2056" s="127">
        <v>1.0821000000000001</v>
      </c>
      <c r="K2056" s="127">
        <v>1.0519000000000001</v>
      </c>
      <c r="L2056" s="127">
        <v>0.84409999999999996</v>
      </c>
      <c r="M2056" s="127">
        <v>1.0309999999999999</v>
      </c>
      <c r="N2056" s="127">
        <v>0.80269999999999997</v>
      </c>
      <c r="O2056" s="127">
        <v>1.0538000000000001</v>
      </c>
      <c r="P2056" s="126">
        <v>4759</v>
      </c>
      <c r="Q2056" s="128">
        <f t="array" ref="Q2056">SUM(IF(($S2056&gt;=4)*($C2056='TaxCred&amp;Subs'!$D$123:$D$127)*($H2056='TaxCred&amp;Subs'!$C$123:$C$127)*($H2056&lt;='TaxCred&amp;Subs'!$C$129),'TaxCred&amp;Subs'!$E$123:$E$127,0))</f>
        <v>0</v>
      </c>
      <c r="R2056" s="174">
        <v>0</v>
      </c>
      <c r="S2056" s="126">
        <v>2</v>
      </c>
      <c r="T2056" s="126" t="s">
        <v>224</v>
      </c>
      <c r="U2056" s="158"/>
      <c r="V2056" s="153" t="str">
        <f t="array" ref="V2056">INDEX(xlRTCLNAME,MATCH(1,(xlRTCLENDU=1)*(xlRTCLEQCL=$D2056),0))</f>
        <v>ELEC_RAD</v>
      </c>
      <c r="W2056" s="153" t="str">
        <f t="array" ref="W2056">INDEX(xlRTCLNAME,MATCH(1,(xlRTCLENDU=2)*(xlRTCLEQCL=$F2056),0))</f>
        <v>CENT_AIR</v>
      </c>
      <c r="X2056" s="153" t="str">
        <f t="array" ref="X2056">INDEX(xlRTTYNAME,MATCH(1,(xlRTTYENDU=1)*(xlRTTYEQCL=$D2056)*(xlRTEQTYPE=$E2056),0))</f>
        <v>ELEC_RAD2</v>
      </c>
      <c r="Y2056" s="153" t="str">
        <f t="array" ref="Y2056">INDEX(xlRTTYNAME,MATCH(1,(xlRTTYENDU=2)*(xlRTTYEQCL=$F2056)*(xlRTEQTYPE=$G2056),0))</f>
        <v>CENT_AIR1</v>
      </c>
    </row>
    <row r="2057" spans="2:25" x14ac:dyDescent="0.2">
      <c r="B2057" s="126">
        <v>6</v>
      </c>
      <c r="C2057" s="126">
        <v>3</v>
      </c>
      <c r="D2057" s="126">
        <v>1</v>
      </c>
      <c r="E2057" s="126">
        <v>1</v>
      </c>
      <c r="F2057" s="126">
        <v>2</v>
      </c>
      <c r="G2057" s="126">
        <v>6</v>
      </c>
      <c r="H2057" s="126">
        <v>2023</v>
      </c>
      <c r="I2057" s="126">
        <v>2050</v>
      </c>
      <c r="J2057" s="127">
        <v>1.0821000000000001</v>
      </c>
      <c r="K2057" s="127">
        <v>1.0519000000000001</v>
      </c>
      <c r="L2057" s="127">
        <v>0.84409999999999996</v>
      </c>
      <c r="M2057" s="127">
        <v>1.0309999999999999</v>
      </c>
      <c r="N2057" s="127">
        <v>0.80269999999999997</v>
      </c>
      <c r="O2057" s="127">
        <v>1.0538000000000001</v>
      </c>
      <c r="P2057" s="126">
        <v>4759</v>
      </c>
      <c r="Q2057" s="128">
        <f t="array" ref="Q2057">SUM(IF(($S2057&gt;=4)*($C2057='TaxCred&amp;Subs'!$D$123:$D$127)*($H2057='TaxCred&amp;Subs'!$C$123:$C$127)*($H2057&lt;='TaxCred&amp;Subs'!$C$129),'TaxCred&amp;Subs'!$E$123:$E$127,0))</f>
        <v>0</v>
      </c>
      <c r="R2057" s="174">
        <v>0</v>
      </c>
      <c r="S2057" s="126">
        <v>2</v>
      </c>
      <c r="T2057" s="126" t="s">
        <v>224</v>
      </c>
      <c r="U2057" s="158"/>
      <c r="V2057" s="153" t="str">
        <f t="array" ref="V2057">INDEX(xlRTCLNAME,MATCH(1,(xlRTCLENDU=1)*(xlRTCLEQCL=$D2057),0))</f>
        <v>ELEC_RAD</v>
      </c>
      <c r="W2057" s="153" t="str">
        <f t="array" ref="W2057">INDEX(xlRTCLNAME,MATCH(1,(xlRTCLENDU=2)*(xlRTCLEQCL=$F2057),0))</f>
        <v>CENT_AIR</v>
      </c>
      <c r="X2057" s="153" t="str">
        <f t="array" ref="X2057">INDEX(xlRTTYNAME,MATCH(1,(xlRTTYENDU=1)*(xlRTTYEQCL=$D2057)*(xlRTEQTYPE=$E2057),0))</f>
        <v>ELEC_RAD2</v>
      </c>
      <c r="Y2057" s="153" t="str">
        <f t="array" ref="Y2057">INDEX(xlRTTYNAME,MATCH(1,(xlRTTYENDU=2)*(xlRTTYEQCL=$F2057)*(xlRTEQTYPE=$G2057),0))</f>
        <v>CENT_AIR2</v>
      </c>
    </row>
    <row r="2058" spans="2:25" x14ac:dyDescent="0.2">
      <c r="B2058" s="126">
        <v>7</v>
      </c>
      <c r="C2058" s="126">
        <v>3</v>
      </c>
      <c r="D2058" s="126">
        <v>1</v>
      </c>
      <c r="E2058" s="126">
        <v>1</v>
      </c>
      <c r="F2058" s="126">
        <v>2</v>
      </c>
      <c r="G2058" s="126">
        <v>5</v>
      </c>
      <c r="H2058" s="126">
        <v>2016</v>
      </c>
      <c r="I2058" s="126">
        <v>2022</v>
      </c>
      <c r="J2058" s="127">
        <v>1.0893999999999999</v>
      </c>
      <c r="K2058" s="127">
        <v>1.0512999999999999</v>
      </c>
      <c r="L2058" s="127">
        <v>0.86060000000000003</v>
      </c>
      <c r="M2058" s="127">
        <v>1.0754999999999999</v>
      </c>
      <c r="N2058" s="127">
        <v>0.8115</v>
      </c>
      <c r="O2058" s="127">
        <v>1.0538000000000001</v>
      </c>
      <c r="P2058" s="126">
        <v>2792</v>
      </c>
      <c r="Q2058" s="128">
        <f t="array" ref="Q2058">SUM(IF(($S2058&gt;=4)*($C2058='TaxCred&amp;Subs'!$D$123:$D$127)*($H2058='TaxCred&amp;Subs'!$C$123:$C$127)*($H2058&lt;='TaxCred&amp;Subs'!$C$129),'TaxCred&amp;Subs'!$E$123:$E$127,0))</f>
        <v>0</v>
      </c>
      <c r="R2058" s="174">
        <v>0</v>
      </c>
      <c r="S2058" s="126">
        <v>2</v>
      </c>
      <c r="T2058" s="126" t="s">
        <v>224</v>
      </c>
      <c r="U2058" s="158"/>
      <c r="V2058" s="153" t="str">
        <f t="array" ref="V2058">INDEX(xlRTCLNAME,MATCH(1,(xlRTCLENDU=1)*(xlRTCLEQCL=$D2058),0))</f>
        <v>ELEC_RAD</v>
      </c>
      <c r="W2058" s="153" t="str">
        <f t="array" ref="W2058">INDEX(xlRTCLNAME,MATCH(1,(xlRTCLENDU=2)*(xlRTCLEQCL=$F2058),0))</f>
        <v>CENT_AIR</v>
      </c>
      <c r="X2058" s="153" t="str">
        <f t="array" ref="X2058">INDEX(xlRTTYNAME,MATCH(1,(xlRTTYENDU=1)*(xlRTTYEQCL=$D2058)*(xlRTEQTYPE=$E2058),0))</f>
        <v>ELEC_RAD2</v>
      </c>
      <c r="Y2058" s="153" t="str">
        <f t="array" ref="Y2058">INDEX(xlRTTYNAME,MATCH(1,(xlRTTYENDU=2)*(xlRTTYEQCL=$F2058)*(xlRTEQTYPE=$G2058),0))</f>
        <v>CENT_AIR1</v>
      </c>
    </row>
    <row r="2059" spans="2:25" x14ac:dyDescent="0.2">
      <c r="B2059" s="126">
        <v>7</v>
      </c>
      <c r="C2059" s="126">
        <v>3</v>
      </c>
      <c r="D2059" s="126">
        <v>1</v>
      </c>
      <c r="E2059" s="126">
        <v>1</v>
      </c>
      <c r="F2059" s="126">
        <v>2</v>
      </c>
      <c r="G2059" s="126">
        <v>6</v>
      </c>
      <c r="H2059" s="126">
        <v>2023</v>
      </c>
      <c r="I2059" s="126">
        <v>2050</v>
      </c>
      <c r="J2059" s="127">
        <v>1.0893999999999999</v>
      </c>
      <c r="K2059" s="127">
        <v>1.0512999999999999</v>
      </c>
      <c r="L2059" s="127">
        <v>0.86060000000000003</v>
      </c>
      <c r="M2059" s="127">
        <v>1.0754999999999999</v>
      </c>
      <c r="N2059" s="127">
        <v>0.8115</v>
      </c>
      <c r="O2059" s="127">
        <v>1.0538000000000001</v>
      </c>
      <c r="P2059" s="126">
        <v>2792</v>
      </c>
      <c r="Q2059" s="128">
        <f t="array" ref="Q2059">SUM(IF(($S2059&gt;=4)*($C2059='TaxCred&amp;Subs'!$D$123:$D$127)*($H2059='TaxCred&amp;Subs'!$C$123:$C$127)*($H2059&lt;='TaxCred&amp;Subs'!$C$129),'TaxCred&amp;Subs'!$E$123:$E$127,0))</f>
        <v>0</v>
      </c>
      <c r="R2059" s="174">
        <v>0</v>
      </c>
      <c r="S2059" s="126">
        <v>2</v>
      </c>
      <c r="T2059" s="126" t="s">
        <v>224</v>
      </c>
      <c r="U2059" s="158"/>
      <c r="V2059" s="153" t="str">
        <f t="array" ref="V2059">INDEX(xlRTCLNAME,MATCH(1,(xlRTCLENDU=1)*(xlRTCLEQCL=$D2059),0))</f>
        <v>ELEC_RAD</v>
      </c>
      <c r="W2059" s="153" t="str">
        <f t="array" ref="W2059">INDEX(xlRTCLNAME,MATCH(1,(xlRTCLENDU=2)*(xlRTCLEQCL=$F2059),0))</f>
        <v>CENT_AIR</v>
      </c>
      <c r="X2059" s="153" t="str">
        <f t="array" ref="X2059">INDEX(xlRTTYNAME,MATCH(1,(xlRTTYENDU=1)*(xlRTTYEQCL=$D2059)*(xlRTEQTYPE=$E2059),0))</f>
        <v>ELEC_RAD2</v>
      </c>
      <c r="Y2059" s="153" t="str">
        <f t="array" ref="Y2059">INDEX(xlRTTYNAME,MATCH(1,(xlRTTYENDU=2)*(xlRTTYEQCL=$F2059)*(xlRTEQTYPE=$G2059),0))</f>
        <v>CENT_AIR2</v>
      </c>
    </row>
    <row r="2060" spans="2:25" x14ac:dyDescent="0.2">
      <c r="B2060" s="126">
        <v>8</v>
      </c>
      <c r="C2060" s="126">
        <v>3</v>
      </c>
      <c r="D2060" s="126">
        <v>1</v>
      </c>
      <c r="E2060" s="126">
        <v>1</v>
      </c>
      <c r="F2060" s="126">
        <v>2</v>
      </c>
      <c r="G2060" s="126">
        <v>5</v>
      </c>
      <c r="H2060" s="126">
        <v>2016</v>
      </c>
      <c r="I2060" s="126">
        <v>2022</v>
      </c>
      <c r="J2060" s="127">
        <v>1.07</v>
      </c>
      <c r="K2060" s="127">
        <v>1.07</v>
      </c>
      <c r="L2060" s="127">
        <v>0.75639999999999996</v>
      </c>
      <c r="M2060" s="127">
        <v>1.0437000000000001</v>
      </c>
      <c r="N2060" s="127">
        <v>0.80559999999999998</v>
      </c>
      <c r="O2060" s="127">
        <v>1.0538000000000001</v>
      </c>
      <c r="P2060" s="126">
        <v>5501</v>
      </c>
      <c r="Q2060" s="128">
        <f t="array" ref="Q2060">SUM(IF(($S2060&gt;=4)*($C2060='TaxCred&amp;Subs'!$D$123:$D$127)*($H2060='TaxCred&amp;Subs'!$C$123:$C$127)*($H2060&lt;='TaxCred&amp;Subs'!$C$129),'TaxCred&amp;Subs'!$E$123:$E$127,0))</f>
        <v>0</v>
      </c>
      <c r="R2060" s="174">
        <v>0</v>
      </c>
      <c r="S2060" s="126">
        <v>2</v>
      </c>
      <c r="T2060" s="126" t="s">
        <v>224</v>
      </c>
      <c r="U2060" s="158"/>
      <c r="V2060" s="153" t="str">
        <f t="array" ref="V2060">INDEX(xlRTCLNAME,MATCH(1,(xlRTCLENDU=1)*(xlRTCLEQCL=$D2060),0))</f>
        <v>ELEC_RAD</v>
      </c>
      <c r="W2060" s="153" t="str">
        <f t="array" ref="W2060">INDEX(xlRTCLNAME,MATCH(1,(xlRTCLENDU=2)*(xlRTCLEQCL=$F2060),0))</f>
        <v>CENT_AIR</v>
      </c>
      <c r="X2060" s="153" t="str">
        <f t="array" ref="X2060">INDEX(xlRTTYNAME,MATCH(1,(xlRTTYENDU=1)*(xlRTTYEQCL=$D2060)*(xlRTEQTYPE=$E2060),0))</f>
        <v>ELEC_RAD2</v>
      </c>
      <c r="Y2060" s="153" t="str">
        <f t="array" ref="Y2060">INDEX(xlRTTYNAME,MATCH(1,(xlRTTYENDU=2)*(xlRTTYEQCL=$F2060)*(xlRTEQTYPE=$G2060),0))</f>
        <v>CENT_AIR1</v>
      </c>
    </row>
    <row r="2061" spans="2:25" x14ac:dyDescent="0.2">
      <c r="B2061" s="126">
        <v>8</v>
      </c>
      <c r="C2061" s="126">
        <v>3</v>
      </c>
      <c r="D2061" s="126">
        <v>1</v>
      </c>
      <c r="E2061" s="126">
        <v>1</v>
      </c>
      <c r="F2061" s="126">
        <v>2</v>
      </c>
      <c r="G2061" s="126">
        <v>6</v>
      </c>
      <c r="H2061" s="126">
        <v>2023</v>
      </c>
      <c r="I2061" s="126">
        <v>2050</v>
      </c>
      <c r="J2061" s="127">
        <v>1.07</v>
      </c>
      <c r="K2061" s="127">
        <v>1.07</v>
      </c>
      <c r="L2061" s="127">
        <v>0.75639999999999996</v>
      </c>
      <c r="M2061" s="127">
        <v>1.0437000000000001</v>
      </c>
      <c r="N2061" s="127">
        <v>0.80559999999999998</v>
      </c>
      <c r="O2061" s="127">
        <v>1.0538000000000001</v>
      </c>
      <c r="P2061" s="126">
        <v>5501</v>
      </c>
      <c r="Q2061" s="128">
        <f t="array" ref="Q2061">SUM(IF(($S2061&gt;=4)*($C2061='TaxCred&amp;Subs'!$D$123:$D$127)*($H2061='TaxCred&amp;Subs'!$C$123:$C$127)*($H2061&lt;='TaxCred&amp;Subs'!$C$129),'TaxCred&amp;Subs'!$E$123:$E$127,0))</f>
        <v>0</v>
      </c>
      <c r="R2061" s="174">
        <v>0</v>
      </c>
      <c r="S2061" s="126">
        <v>2</v>
      </c>
      <c r="T2061" s="126" t="s">
        <v>224</v>
      </c>
      <c r="U2061" s="158"/>
      <c r="V2061" s="153" t="str">
        <f t="array" ref="V2061">INDEX(xlRTCLNAME,MATCH(1,(xlRTCLENDU=1)*(xlRTCLEQCL=$D2061),0))</f>
        <v>ELEC_RAD</v>
      </c>
      <c r="W2061" s="153" t="str">
        <f t="array" ref="W2061">INDEX(xlRTCLNAME,MATCH(1,(xlRTCLENDU=2)*(xlRTCLEQCL=$F2061),0))</f>
        <v>CENT_AIR</v>
      </c>
      <c r="X2061" s="153" t="str">
        <f t="array" ref="X2061">INDEX(xlRTTYNAME,MATCH(1,(xlRTTYENDU=1)*(xlRTTYEQCL=$D2061)*(xlRTEQTYPE=$E2061),0))</f>
        <v>ELEC_RAD2</v>
      </c>
      <c r="Y2061" s="153" t="str">
        <f t="array" ref="Y2061">INDEX(xlRTTYNAME,MATCH(1,(xlRTTYENDU=2)*(xlRTTYEQCL=$F2061)*(xlRTEQTYPE=$G2061),0))</f>
        <v>CENT_AIR2</v>
      </c>
    </row>
    <row r="2062" spans="2:25" x14ac:dyDescent="0.2">
      <c r="B2062" s="126">
        <v>9</v>
      </c>
      <c r="C2062" s="126">
        <v>3</v>
      </c>
      <c r="D2062" s="126">
        <v>1</v>
      </c>
      <c r="E2062" s="126">
        <v>1</v>
      </c>
      <c r="F2062" s="126">
        <v>2</v>
      </c>
      <c r="G2062" s="126">
        <v>5</v>
      </c>
      <c r="H2062" s="126">
        <v>2016</v>
      </c>
      <c r="I2062" s="126">
        <v>2022</v>
      </c>
      <c r="J2062" s="127">
        <v>1.07</v>
      </c>
      <c r="K2062" s="127">
        <v>1.07</v>
      </c>
      <c r="L2062" s="127">
        <v>0.88090000000000002</v>
      </c>
      <c r="M2062" s="127">
        <v>1.0833999999999999</v>
      </c>
      <c r="N2062" s="127">
        <v>0.84340000000000004</v>
      </c>
      <c r="O2062" s="127">
        <v>1.0538000000000001</v>
      </c>
      <c r="P2062" s="126">
        <v>7144</v>
      </c>
      <c r="Q2062" s="128">
        <f t="array" ref="Q2062">SUM(IF(($S2062&gt;=4)*($C2062='TaxCred&amp;Subs'!$D$123:$D$127)*($H2062='TaxCred&amp;Subs'!$C$123:$C$127)*($H2062&lt;='TaxCred&amp;Subs'!$C$129),'TaxCred&amp;Subs'!$E$123:$E$127,0))</f>
        <v>0</v>
      </c>
      <c r="R2062" s="174">
        <v>0</v>
      </c>
      <c r="S2062" s="126">
        <v>2</v>
      </c>
      <c r="T2062" s="126" t="s">
        <v>224</v>
      </c>
      <c r="U2062" s="158"/>
      <c r="V2062" s="153" t="str">
        <f t="array" ref="V2062">INDEX(xlRTCLNAME,MATCH(1,(xlRTCLENDU=1)*(xlRTCLEQCL=$D2062),0))</f>
        <v>ELEC_RAD</v>
      </c>
      <c r="W2062" s="153" t="str">
        <f t="array" ref="W2062">INDEX(xlRTCLNAME,MATCH(1,(xlRTCLENDU=2)*(xlRTCLEQCL=$F2062),0))</f>
        <v>CENT_AIR</v>
      </c>
      <c r="X2062" s="153" t="str">
        <f t="array" ref="X2062">INDEX(xlRTTYNAME,MATCH(1,(xlRTTYENDU=1)*(xlRTTYEQCL=$D2062)*(xlRTEQTYPE=$E2062),0))</f>
        <v>ELEC_RAD2</v>
      </c>
      <c r="Y2062" s="153" t="str">
        <f t="array" ref="Y2062">INDEX(xlRTTYNAME,MATCH(1,(xlRTTYENDU=2)*(xlRTTYEQCL=$F2062)*(xlRTEQTYPE=$G2062),0))</f>
        <v>CENT_AIR1</v>
      </c>
    </row>
    <row r="2063" spans="2:25" x14ac:dyDescent="0.2">
      <c r="B2063" s="126">
        <v>9</v>
      </c>
      <c r="C2063" s="126">
        <v>3</v>
      </c>
      <c r="D2063" s="126">
        <v>1</v>
      </c>
      <c r="E2063" s="126">
        <v>1</v>
      </c>
      <c r="F2063" s="126">
        <v>2</v>
      </c>
      <c r="G2063" s="126">
        <v>6</v>
      </c>
      <c r="H2063" s="126">
        <v>2023</v>
      </c>
      <c r="I2063" s="126">
        <v>2050</v>
      </c>
      <c r="J2063" s="127">
        <v>1.07</v>
      </c>
      <c r="K2063" s="127">
        <v>1.07</v>
      </c>
      <c r="L2063" s="127">
        <v>0.88090000000000002</v>
      </c>
      <c r="M2063" s="127">
        <v>1.0833999999999999</v>
      </c>
      <c r="N2063" s="127">
        <v>0.84340000000000004</v>
      </c>
      <c r="O2063" s="127">
        <v>1.0538000000000001</v>
      </c>
      <c r="P2063" s="126">
        <v>7144</v>
      </c>
      <c r="Q2063" s="128">
        <f t="array" ref="Q2063">SUM(IF(($S2063&gt;=4)*($C2063='TaxCred&amp;Subs'!$D$123:$D$127)*($H2063='TaxCred&amp;Subs'!$C$123:$C$127)*($H2063&lt;='TaxCred&amp;Subs'!$C$129),'TaxCred&amp;Subs'!$E$123:$E$127,0))</f>
        <v>0</v>
      </c>
      <c r="R2063" s="174">
        <v>0</v>
      </c>
      <c r="S2063" s="126">
        <v>2</v>
      </c>
      <c r="T2063" s="126" t="s">
        <v>224</v>
      </c>
      <c r="U2063" s="158"/>
      <c r="V2063" s="153" t="str">
        <f t="array" ref="V2063">INDEX(xlRTCLNAME,MATCH(1,(xlRTCLENDU=1)*(xlRTCLEQCL=$D2063),0))</f>
        <v>ELEC_RAD</v>
      </c>
      <c r="W2063" s="153" t="str">
        <f t="array" ref="W2063">INDEX(xlRTCLNAME,MATCH(1,(xlRTCLENDU=2)*(xlRTCLEQCL=$F2063),0))</f>
        <v>CENT_AIR</v>
      </c>
      <c r="X2063" s="153" t="str">
        <f t="array" ref="X2063">INDEX(xlRTTYNAME,MATCH(1,(xlRTTYENDU=1)*(xlRTTYEQCL=$D2063)*(xlRTEQTYPE=$E2063),0))</f>
        <v>ELEC_RAD2</v>
      </c>
      <c r="Y2063" s="153" t="str">
        <f t="array" ref="Y2063">INDEX(xlRTTYNAME,MATCH(1,(xlRTTYENDU=2)*(xlRTTYEQCL=$F2063)*(xlRTEQTYPE=$G2063),0))</f>
        <v>CENT_AIR2</v>
      </c>
    </row>
    <row r="2064" spans="2:25" x14ac:dyDescent="0.2">
      <c r="B2064" s="126">
        <v>1</v>
      </c>
      <c r="C2064" s="126">
        <v>3</v>
      </c>
      <c r="D2064" s="126">
        <v>2</v>
      </c>
      <c r="E2064" s="126">
        <v>2</v>
      </c>
      <c r="F2064" s="126">
        <v>3</v>
      </c>
      <c r="G2064" s="126">
        <v>9</v>
      </c>
      <c r="H2064" s="126">
        <v>2016</v>
      </c>
      <c r="I2064" s="126">
        <v>2022</v>
      </c>
      <c r="J2064" s="127">
        <v>1.0763</v>
      </c>
      <c r="K2064" s="127">
        <v>1.0588</v>
      </c>
      <c r="L2064" s="127">
        <v>0.7964</v>
      </c>
      <c r="M2064" s="127">
        <v>1.0588</v>
      </c>
      <c r="N2064" s="127">
        <v>0.77080000000000004</v>
      </c>
      <c r="O2064" s="127">
        <v>1.0538000000000001</v>
      </c>
      <c r="P2064" s="126">
        <v>4469</v>
      </c>
      <c r="Q2064" s="128">
        <f t="array" ref="Q2064">SUM(IF(($S2064&gt;=4)*($C2064='TaxCred&amp;Subs'!$D$123:$D$127)*($H2064='TaxCred&amp;Subs'!$C$123:$C$127)*($H2064&lt;='TaxCred&amp;Subs'!$C$129),'TaxCred&amp;Subs'!$E$123:$E$127,0))</f>
        <v>0</v>
      </c>
      <c r="R2064" s="174">
        <v>0</v>
      </c>
      <c r="S2064" s="126">
        <v>2</v>
      </c>
      <c r="T2064" s="126" t="s">
        <v>224</v>
      </c>
      <c r="U2064" s="158"/>
      <c r="V2064" s="153" t="str">
        <f t="array" ref="V2064">INDEX(xlRTCLNAME,MATCH(1,(xlRTCLENDU=1)*(xlRTCLEQCL=$D2064),0))</f>
        <v>ELEC_HP</v>
      </c>
      <c r="W2064" s="153" t="str">
        <f t="array" ref="W2064">INDEX(xlRTCLNAME,MATCH(1,(xlRTCLENDU=2)*(xlRTCLEQCL=$F2064),0))</f>
        <v>ELEC_HP</v>
      </c>
      <c r="X2064" s="153" t="str">
        <f t="array" ref="X2064">INDEX(xlRTTYNAME,MATCH(1,(xlRTTYENDU=1)*(xlRTTYEQCL=$D2064)*(xlRTEQTYPE=$E2064),0))</f>
        <v>ELEC_HP1</v>
      </c>
      <c r="Y2064" s="153" t="str">
        <f t="array" ref="Y2064">INDEX(xlRTTYNAME,MATCH(1,(xlRTTYENDU=2)*(xlRTTYEQCL=$F2064)*(xlRTEQTYPE=$G2064),0))</f>
        <v>ELEC_HP1</v>
      </c>
    </row>
    <row r="2065" spans="2:25" x14ac:dyDescent="0.2">
      <c r="B2065" s="126">
        <v>1</v>
      </c>
      <c r="C2065" s="126">
        <v>3</v>
      </c>
      <c r="D2065" s="126">
        <v>2</v>
      </c>
      <c r="E2065" s="126">
        <v>3</v>
      </c>
      <c r="F2065" s="126">
        <v>3</v>
      </c>
      <c r="G2065" s="126">
        <v>10</v>
      </c>
      <c r="H2065" s="126">
        <v>2023</v>
      </c>
      <c r="I2065" s="126">
        <v>2050</v>
      </c>
      <c r="J2065" s="127">
        <v>1.0763</v>
      </c>
      <c r="K2065" s="127">
        <v>1.0588</v>
      </c>
      <c r="L2065" s="127">
        <v>0.7964</v>
      </c>
      <c r="M2065" s="127">
        <v>1.0588</v>
      </c>
      <c r="N2065" s="127">
        <v>0.77080000000000004</v>
      </c>
      <c r="O2065" s="127">
        <v>1.0538000000000001</v>
      </c>
      <c r="P2065" s="126">
        <v>4469</v>
      </c>
      <c r="Q2065" s="128">
        <f t="array" ref="Q2065">SUM(IF(($S2065&gt;=4)*($C2065='TaxCred&amp;Subs'!$D$123:$D$127)*($H2065='TaxCred&amp;Subs'!$C$123:$C$127)*($H2065&lt;='TaxCred&amp;Subs'!$C$129),'TaxCred&amp;Subs'!$E$123:$E$127,0))</f>
        <v>0</v>
      </c>
      <c r="R2065" s="174">
        <v>0</v>
      </c>
      <c r="S2065" s="126">
        <v>2</v>
      </c>
      <c r="T2065" s="126" t="s">
        <v>224</v>
      </c>
      <c r="U2065" s="158"/>
      <c r="V2065" s="153" t="str">
        <f t="array" ref="V2065">INDEX(xlRTCLNAME,MATCH(1,(xlRTCLENDU=1)*(xlRTCLEQCL=$D2065),0))</f>
        <v>ELEC_HP</v>
      </c>
      <c r="W2065" s="153" t="str">
        <f t="array" ref="W2065">INDEX(xlRTCLNAME,MATCH(1,(xlRTCLENDU=2)*(xlRTCLEQCL=$F2065),0))</f>
        <v>ELEC_HP</v>
      </c>
      <c r="X2065" s="153" t="str">
        <f t="array" ref="X2065">INDEX(xlRTTYNAME,MATCH(1,(xlRTTYENDU=1)*(xlRTTYEQCL=$D2065)*(xlRTEQTYPE=$E2065),0))</f>
        <v>ELEC_HP2</v>
      </c>
      <c r="Y2065" s="153" t="str">
        <f t="array" ref="Y2065">INDEX(xlRTTYNAME,MATCH(1,(xlRTTYENDU=2)*(xlRTTYEQCL=$F2065)*(xlRTEQTYPE=$G2065),0))</f>
        <v>ELEC_HP2</v>
      </c>
    </row>
    <row r="2066" spans="2:25" x14ac:dyDescent="0.2">
      <c r="B2066" s="126">
        <v>2</v>
      </c>
      <c r="C2066" s="126">
        <v>3</v>
      </c>
      <c r="D2066" s="126">
        <v>2</v>
      </c>
      <c r="E2066" s="126">
        <v>2</v>
      </c>
      <c r="F2066" s="126">
        <v>3</v>
      </c>
      <c r="G2066" s="126">
        <v>9</v>
      </c>
      <c r="H2066" s="126">
        <v>2016</v>
      </c>
      <c r="I2066" s="126">
        <v>2022</v>
      </c>
      <c r="J2066" s="127">
        <v>1.0746</v>
      </c>
      <c r="K2066" s="127">
        <v>1.0625</v>
      </c>
      <c r="L2066" s="127">
        <v>0.91669999999999996</v>
      </c>
      <c r="M2066" s="127">
        <v>1.1753</v>
      </c>
      <c r="N2066" s="127">
        <v>0.83340000000000003</v>
      </c>
      <c r="O2066" s="127">
        <v>1.0538000000000001</v>
      </c>
      <c r="P2066" s="126">
        <v>3990</v>
      </c>
      <c r="Q2066" s="128">
        <f t="array" ref="Q2066">SUM(IF(($S2066&gt;=4)*($C2066='TaxCred&amp;Subs'!$D$123:$D$127)*($H2066='TaxCred&amp;Subs'!$C$123:$C$127)*($H2066&lt;='TaxCred&amp;Subs'!$C$129),'TaxCred&amp;Subs'!$E$123:$E$127,0))</f>
        <v>0</v>
      </c>
      <c r="R2066" s="174">
        <v>0</v>
      </c>
      <c r="S2066" s="126">
        <v>2</v>
      </c>
      <c r="T2066" s="126" t="s">
        <v>224</v>
      </c>
      <c r="U2066" s="158"/>
      <c r="V2066" s="153" t="str">
        <f t="array" ref="V2066">INDEX(xlRTCLNAME,MATCH(1,(xlRTCLENDU=1)*(xlRTCLEQCL=$D2066),0))</f>
        <v>ELEC_HP</v>
      </c>
      <c r="W2066" s="153" t="str">
        <f t="array" ref="W2066">INDEX(xlRTCLNAME,MATCH(1,(xlRTCLENDU=2)*(xlRTCLEQCL=$F2066),0))</f>
        <v>ELEC_HP</v>
      </c>
      <c r="X2066" s="153" t="str">
        <f t="array" ref="X2066">INDEX(xlRTTYNAME,MATCH(1,(xlRTTYENDU=1)*(xlRTTYEQCL=$D2066)*(xlRTEQTYPE=$E2066),0))</f>
        <v>ELEC_HP1</v>
      </c>
      <c r="Y2066" s="153" t="str">
        <f t="array" ref="Y2066">INDEX(xlRTTYNAME,MATCH(1,(xlRTTYENDU=2)*(xlRTTYEQCL=$F2066)*(xlRTEQTYPE=$G2066),0))</f>
        <v>ELEC_HP1</v>
      </c>
    </row>
    <row r="2067" spans="2:25" x14ac:dyDescent="0.2">
      <c r="B2067" s="126">
        <v>2</v>
      </c>
      <c r="C2067" s="126">
        <v>3</v>
      </c>
      <c r="D2067" s="126">
        <v>2</v>
      </c>
      <c r="E2067" s="126">
        <v>3</v>
      </c>
      <c r="F2067" s="126">
        <v>3</v>
      </c>
      <c r="G2067" s="126">
        <v>10</v>
      </c>
      <c r="H2067" s="126">
        <v>2023</v>
      </c>
      <c r="I2067" s="126">
        <v>2050</v>
      </c>
      <c r="J2067" s="127">
        <v>1.0746</v>
      </c>
      <c r="K2067" s="127">
        <v>1.0625</v>
      </c>
      <c r="L2067" s="127">
        <v>0.91669999999999996</v>
      </c>
      <c r="M2067" s="127">
        <v>1.1753</v>
      </c>
      <c r="N2067" s="127">
        <v>0.83340000000000003</v>
      </c>
      <c r="O2067" s="127">
        <v>1.0538000000000001</v>
      </c>
      <c r="P2067" s="126">
        <v>3990</v>
      </c>
      <c r="Q2067" s="128">
        <f t="array" ref="Q2067">SUM(IF(($S2067&gt;=4)*($C2067='TaxCred&amp;Subs'!$D$123:$D$127)*($H2067='TaxCred&amp;Subs'!$C$123:$C$127)*($H2067&lt;='TaxCred&amp;Subs'!$C$129),'TaxCred&amp;Subs'!$E$123:$E$127,0))</f>
        <v>0</v>
      </c>
      <c r="R2067" s="174">
        <v>0</v>
      </c>
      <c r="S2067" s="126">
        <v>2</v>
      </c>
      <c r="T2067" s="126" t="s">
        <v>224</v>
      </c>
      <c r="U2067" s="158"/>
      <c r="V2067" s="153" t="str">
        <f t="array" ref="V2067">INDEX(xlRTCLNAME,MATCH(1,(xlRTCLENDU=1)*(xlRTCLEQCL=$D2067),0))</f>
        <v>ELEC_HP</v>
      </c>
      <c r="W2067" s="153" t="str">
        <f t="array" ref="W2067">INDEX(xlRTCLNAME,MATCH(1,(xlRTCLENDU=2)*(xlRTCLEQCL=$F2067),0))</f>
        <v>ELEC_HP</v>
      </c>
      <c r="X2067" s="153" t="str">
        <f t="array" ref="X2067">INDEX(xlRTTYNAME,MATCH(1,(xlRTTYENDU=1)*(xlRTTYEQCL=$D2067)*(xlRTEQTYPE=$E2067),0))</f>
        <v>ELEC_HP2</v>
      </c>
      <c r="Y2067" s="153" t="str">
        <f t="array" ref="Y2067">INDEX(xlRTTYNAME,MATCH(1,(xlRTTYENDU=2)*(xlRTTYEQCL=$F2067)*(xlRTEQTYPE=$G2067),0))</f>
        <v>ELEC_HP2</v>
      </c>
    </row>
    <row r="2068" spans="2:25" x14ac:dyDescent="0.2">
      <c r="B2068" s="126">
        <v>3</v>
      </c>
      <c r="C2068" s="126">
        <v>3</v>
      </c>
      <c r="D2068" s="126">
        <v>2</v>
      </c>
      <c r="E2068" s="126">
        <v>2</v>
      </c>
      <c r="F2068" s="126">
        <v>3</v>
      </c>
      <c r="G2068" s="126">
        <v>9</v>
      </c>
      <c r="H2068" s="126">
        <v>2016</v>
      </c>
      <c r="I2068" s="126">
        <v>2022</v>
      </c>
      <c r="J2068" s="127">
        <v>1.0751999999999999</v>
      </c>
      <c r="K2068" s="127">
        <v>1.0651999999999999</v>
      </c>
      <c r="L2068" s="127">
        <v>0.80310000000000004</v>
      </c>
      <c r="M2068" s="127">
        <v>1.1047</v>
      </c>
      <c r="N2068" s="127">
        <v>0.8347</v>
      </c>
      <c r="O2068" s="127">
        <v>1.0538000000000001</v>
      </c>
      <c r="P2068" s="126">
        <v>6629</v>
      </c>
      <c r="Q2068" s="128">
        <f t="array" ref="Q2068">SUM(IF(($S2068&gt;=4)*($C2068='TaxCred&amp;Subs'!$D$123:$D$127)*($H2068='TaxCred&amp;Subs'!$C$123:$C$127)*($H2068&lt;='TaxCred&amp;Subs'!$C$129),'TaxCred&amp;Subs'!$E$123:$E$127,0))</f>
        <v>0</v>
      </c>
      <c r="R2068" s="174">
        <v>0</v>
      </c>
      <c r="S2068" s="126">
        <v>2</v>
      </c>
      <c r="T2068" s="126" t="s">
        <v>224</v>
      </c>
      <c r="U2068" s="158"/>
      <c r="V2068" s="153" t="str">
        <f t="array" ref="V2068">INDEX(xlRTCLNAME,MATCH(1,(xlRTCLENDU=1)*(xlRTCLEQCL=$D2068),0))</f>
        <v>ELEC_HP</v>
      </c>
      <c r="W2068" s="153" t="str">
        <f t="array" ref="W2068">INDEX(xlRTCLNAME,MATCH(1,(xlRTCLENDU=2)*(xlRTCLEQCL=$F2068),0))</f>
        <v>ELEC_HP</v>
      </c>
      <c r="X2068" s="153" t="str">
        <f t="array" ref="X2068">INDEX(xlRTTYNAME,MATCH(1,(xlRTTYENDU=1)*(xlRTTYEQCL=$D2068)*(xlRTEQTYPE=$E2068),0))</f>
        <v>ELEC_HP1</v>
      </c>
      <c r="Y2068" s="153" t="str">
        <f t="array" ref="Y2068">INDEX(xlRTTYNAME,MATCH(1,(xlRTTYENDU=2)*(xlRTTYEQCL=$F2068)*(xlRTEQTYPE=$G2068),0))</f>
        <v>ELEC_HP1</v>
      </c>
    </row>
    <row r="2069" spans="2:25" x14ac:dyDescent="0.2">
      <c r="B2069" s="126">
        <v>3</v>
      </c>
      <c r="C2069" s="126">
        <v>3</v>
      </c>
      <c r="D2069" s="126">
        <v>2</v>
      </c>
      <c r="E2069" s="126">
        <v>3</v>
      </c>
      <c r="F2069" s="126">
        <v>3</v>
      </c>
      <c r="G2069" s="126">
        <v>10</v>
      </c>
      <c r="H2069" s="126">
        <v>2023</v>
      </c>
      <c r="I2069" s="126">
        <v>2050</v>
      </c>
      <c r="J2069" s="127">
        <v>1.0751999999999999</v>
      </c>
      <c r="K2069" s="127">
        <v>1.0651999999999999</v>
      </c>
      <c r="L2069" s="127">
        <v>0.80310000000000004</v>
      </c>
      <c r="M2069" s="127">
        <v>1.1047</v>
      </c>
      <c r="N2069" s="127">
        <v>0.8347</v>
      </c>
      <c r="O2069" s="127">
        <v>1.0538000000000001</v>
      </c>
      <c r="P2069" s="126">
        <v>6629</v>
      </c>
      <c r="Q2069" s="128">
        <f t="array" ref="Q2069">SUM(IF(($S2069&gt;=4)*($C2069='TaxCred&amp;Subs'!$D$123:$D$127)*($H2069='TaxCred&amp;Subs'!$C$123:$C$127)*($H2069&lt;='TaxCred&amp;Subs'!$C$129),'TaxCred&amp;Subs'!$E$123:$E$127,0))</f>
        <v>0</v>
      </c>
      <c r="R2069" s="174">
        <v>0</v>
      </c>
      <c r="S2069" s="126">
        <v>2</v>
      </c>
      <c r="T2069" s="126" t="s">
        <v>224</v>
      </c>
      <c r="U2069" s="158"/>
      <c r="V2069" s="153" t="str">
        <f t="array" ref="V2069">INDEX(xlRTCLNAME,MATCH(1,(xlRTCLENDU=1)*(xlRTCLEQCL=$D2069),0))</f>
        <v>ELEC_HP</v>
      </c>
      <c r="W2069" s="153" t="str">
        <f t="array" ref="W2069">INDEX(xlRTCLNAME,MATCH(1,(xlRTCLENDU=2)*(xlRTCLEQCL=$F2069),0))</f>
        <v>ELEC_HP</v>
      </c>
      <c r="X2069" s="153" t="str">
        <f t="array" ref="X2069">INDEX(xlRTTYNAME,MATCH(1,(xlRTTYENDU=1)*(xlRTTYEQCL=$D2069)*(xlRTEQTYPE=$E2069),0))</f>
        <v>ELEC_HP2</v>
      </c>
      <c r="Y2069" s="153" t="str">
        <f t="array" ref="Y2069">INDEX(xlRTTYNAME,MATCH(1,(xlRTTYENDU=2)*(xlRTTYEQCL=$F2069)*(xlRTEQTYPE=$G2069),0))</f>
        <v>ELEC_HP2</v>
      </c>
    </row>
    <row r="2070" spans="2:25" x14ac:dyDescent="0.2">
      <c r="B2070" s="126">
        <v>4</v>
      </c>
      <c r="C2070" s="126">
        <v>3</v>
      </c>
      <c r="D2070" s="126">
        <v>2</v>
      </c>
      <c r="E2070" s="126">
        <v>2</v>
      </c>
      <c r="F2070" s="126">
        <v>3</v>
      </c>
      <c r="G2070" s="126">
        <v>9</v>
      </c>
      <c r="H2070" s="126">
        <v>2016</v>
      </c>
      <c r="I2070" s="126">
        <v>2022</v>
      </c>
      <c r="J2070" s="127">
        <v>1.079</v>
      </c>
      <c r="K2070" s="127">
        <v>1.0541</v>
      </c>
      <c r="L2070" s="127">
        <v>0.73070000000000002</v>
      </c>
      <c r="M2070" s="127">
        <v>1.0722</v>
      </c>
      <c r="N2070" s="127">
        <v>0.76919999999999999</v>
      </c>
      <c r="O2070" s="127">
        <v>1.0538000000000001</v>
      </c>
      <c r="P2070" s="126">
        <v>5327</v>
      </c>
      <c r="Q2070" s="128">
        <f t="array" ref="Q2070">SUM(IF(($S2070&gt;=4)*($C2070='TaxCred&amp;Subs'!$D$123:$D$127)*($H2070='TaxCred&amp;Subs'!$C$123:$C$127)*($H2070&lt;='TaxCred&amp;Subs'!$C$129),'TaxCred&amp;Subs'!$E$123:$E$127,0))</f>
        <v>0</v>
      </c>
      <c r="R2070" s="174">
        <v>0</v>
      </c>
      <c r="S2070" s="126">
        <v>2</v>
      </c>
      <c r="T2070" s="126" t="s">
        <v>224</v>
      </c>
      <c r="U2070" s="158"/>
      <c r="V2070" s="153" t="str">
        <f t="array" ref="V2070">INDEX(xlRTCLNAME,MATCH(1,(xlRTCLENDU=1)*(xlRTCLEQCL=$D2070),0))</f>
        <v>ELEC_HP</v>
      </c>
      <c r="W2070" s="153" t="str">
        <f t="array" ref="W2070">INDEX(xlRTCLNAME,MATCH(1,(xlRTCLENDU=2)*(xlRTCLEQCL=$F2070),0))</f>
        <v>ELEC_HP</v>
      </c>
      <c r="X2070" s="153" t="str">
        <f t="array" ref="X2070">INDEX(xlRTTYNAME,MATCH(1,(xlRTTYENDU=1)*(xlRTTYEQCL=$D2070)*(xlRTEQTYPE=$E2070),0))</f>
        <v>ELEC_HP1</v>
      </c>
      <c r="Y2070" s="153" t="str">
        <f t="array" ref="Y2070">INDEX(xlRTTYNAME,MATCH(1,(xlRTTYENDU=2)*(xlRTTYEQCL=$F2070)*(xlRTEQTYPE=$G2070),0))</f>
        <v>ELEC_HP1</v>
      </c>
    </row>
    <row r="2071" spans="2:25" x14ac:dyDescent="0.2">
      <c r="B2071" s="126">
        <v>4</v>
      </c>
      <c r="C2071" s="126">
        <v>3</v>
      </c>
      <c r="D2071" s="126">
        <v>2</v>
      </c>
      <c r="E2071" s="126">
        <v>3</v>
      </c>
      <c r="F2071" s="126">
        <v>3</v>
      </c>
      <c r="G2071" s="126">
        <v>10</v>
      </c>
      <c r="H2071" s="126">
        <v>2023</v>
      </c>
      <c r="I2071" s="126">
        <v>2050</v>
      </c>
      <c r="J2071" s="127">
        <v>1.079</v>
      </c>
      <c r="K2071" s="127">
        <v>1.0541</v>
      </c>
      <c r="L2071" s="127">
        <v>0.73070000000000002</v>
      </c>
      <c r="M2071" s="127">
        <v>1.0722</v>
      </c>
      <c r="N2071" s="127">
        <v>0.76919999999999999</v>
      </c>
      <c r="O2071" s="127">
        <v>1.0538000000000001</v>
      </c>
      <c r="P2071" s="126">
        <v>5327</v>
      </c>
      <c r="Q2071" s="128">
        <f t="array" ref="Q2071">SUM(IF(($S2071&gt;=4)*($C2071='TaxCred&amp;Subs'!$D$123:$D$127)*($H2071='TaxCred&amp;Subs'!$C$123:$C$127)*($H2071&lt;='TaxCred&amp;Subs'!$C$129),'TaxCred&amp;Subs'!$E$123:$E$127,0))</f>
        <v>0</v>
      </c>
      <c r="R2071" s="174">
        <v>0</v>
      </c>
      <c r="S2071" s="126">
        <v>2</v>
      </c>
      <c r="T2071" s="126" t="s">
        <v>224</v>
      </c>
      <c r="U2071" s="158"/>
      <c r="V2071" s="153" t="str">
        <f t="array" ref="V2071">INDEX(xlRTCLNAME,MATCH(1,(xlRTCLENDU=1)*(xlRTCLEQCL=$D2071),0))</f>
        <v>ELEC_HP</v>
      </c>
      <c r="W2071" s="153" t="str">
        <f t="array" ref="W2071">INDEX(xlRTCLNAME,MATCH(1,(xlRTCLENDU=2)*(xlRTCLEQCL=$F2071),0))</f>
        <v>ELEC_HP</v>
      </c>
      <c r="X2071" s="153" t="str">
        <f t="array" ref="X2071">INDEX(xlRTTYNAME,MATCH(1,(xlRTTYENDU=1)*(xlRTTYEQCL=$D2071)*(xlRTEQTYPE=$E2071),0))</f>
        <v>ELEC_HP2</v>
      </c>
      <c r="Y2071" s="153" t="str">
        <f t="array" ref="Y2071">INDEX(xlRTTYNAME,MATCH(1,(xlRTTYENDU=2)*(xlRTTYEQCL=$F2071)*(xlRTEQTYPE=$G2071),0))</f>
        <v>ELEC_HP2</v>
      </c>
    </row>
    <row r="2072" spans="2:25" x14ac:dyDescent="0.2">
      <c r="B2072" s="126">
        <v>5</v>
      </c>
      <c r="C2072" s="126">
        <v>3</v>
      </c>
      <c r="D2072" s="126">
        <v>2</v>
      </c>
      <c r="E2072" s="126">
        <v>2</v>
      </c>
      <c r="F2072" s="126">
        <v>3</v>
      </c>
      <c r="G2072" s="126">
        <v>9</v>
      </c>
      <c r="H2072" s="126">
        <v>2016</v>
      </c>
      <c r="I2072" s="126">
        <v>2022</v>
      </c>
      <c r="J2072" s="127">
        <v>1.08</v>
      </c>
      <c r="K2072" s="127">
        <v>1.0583</v>
      </c>
      <c r="L2072" s="127">
        <v>0.97819999999999996</v>
      </c>
      <c r="M2072" s="127">
        <v>1.1496</v>
      </c>
      <c r="N2072" s="127">
        <v>0.82640000000000002</v>
      </c>
      <c r="O2072" s="127">
        <v>1.0538000000000001</v>
      </c>
      <c r="P2072" s="126">
        <v>2234</v>
      </c>
      <c r="Q2072" s="128">
        <f t="array" ref="Q2072">SUM(IF(($S2072&gt;=4)*($C2072='TaxCred&amp;Subs'!$D$123:$D$127)*($H2072='TaxCred&amp;Subs'!$C$123:$C$127)*($H2072&lt;='TaxCred&amp;Subs'!$C$129),'TaxCred&amp;Subs'!$E$123:$E$127,0))</f>
        <v>0</v>
      </c>
      <c r="R2072" s="174">
        <v>0</v>
      </c>
      <c r="S2072" s="126">
        <v>2</v>
      </c>
      <c r="T2072" s="126" t="s">
        <v>224</v>
      </c>
      <c r="U2072" s="158"/>
      <c r="V2072" s="153" t="str">
        <f t="array" ref="V2072">INDEX(xlRTCLNAME,MATCH(1,(xlRTCLENDU=1)*(xlRTCLEQCL=$D2072),0))</f>
        <v>ELEC_HP</v>
      </c>
      <c r="W2072" s="153" t="str">
        <f t="array" ref="W2072">INDEX(xlRTCLNAME,MATCH(1,(xlRTCLENDU=2)*(xlRTCLEQCL=$F2072),0))</f>
        <v>ELEC_HP</v>
      </c>
      <c r="X2072" s="153" t="str">
        <f t="array" ref="X2072">INDEX(xlRTTYNAME,MATCH(1,(xlRTTYENDU=1)*(xlRTTYEQCL=$D2072)*(xlRTEQTYPE=$E2072),0))</f>
        <v>ELEC_HP1</v>
      </c>
      <c r="Y2072" s="153" t="str">
        <f t="array" ref="Y2072">INDEX(xlRTTYNAME,MATCH(1,(xlRTTYENDU=2)*(xlRTTYEQCL=$F2072)*(xlRTEQTYPE=$G2072),0))</f>
        <v>ELEC_HP1</v>
      </c>
    </row>
    <row r="2073" spans="2:25" x14ac:dyDescent="0.2">
      <c r="B2073" s="126">
        <v>5</v>
      </c>
      <c r="C2073" s="126">
        <v>3</v>
      </c>
      <c r="D2073" s="126">
        <v>2</v>
      </c>
      <c r="E2073" s="126">
        <v>3</v>
      </c>
      <c r="F2073" s="126">
        <v>3</v>
      </c>
      <c r="G2073" s="126">
        <v>10</v>
      </c>
      <c r="H2073" s="126">
        <v>2023</v>
      </c>
      <c r="I2073" s="126">
        <v>2050</v>
      </c>
      <c r="J2073" s="127">
        <v>1.08</v>
      </c>
      <c r="K2073" s="127">
        <v>1.0583</v>
      </c>
      <c r="L2073" s="127">
        <v>0.97819999999999996</v>
      </c>
      <c r="M2073" s="127">
        <v>1.1496</v>
      </c>
      <c r="N2073" s="127">
        <v>0.82640000000000002</v>
      </c>
      <c r="O2073" s="127">
        <v>1.0538000000000001</v>
      </c>
      <c r="P2073" s="126">
        <v>2234</v>
      </c>
      <c r="Q2073" s="128">
        <f t="array" ref="Q2073">SUM(IF(($S2073&gt;=4)*($C2073='TaxCred&amp;Subs'!$D$123:$D$127)*($H2073='TaxCred&amp;Subs'!$C$123:$C$127)*($H2073&lt;='TaxCred&amp;Subs'!$C$129),'TaxCred&amp;Subs'!$E$123:$E$127,0))</f>
        <v>0</v>
      </c>
      <c r="R2073" s="174">
        <v>0</v>
      </c>
      <c r="S2073" s="126">
        <v>2</v>
      </c>
      <c r="T2073" s="126" t="s">
        <v>224</v>
      </c>
      <c r="U2073" s="158"/>
      <c r="V2073" s="153" t="str">
        <f t="array" ref="V2073">INDEX(xlRTCLNAME,MATCH(1,(xlRTCLENDU=1)*(xlRTCLEQCL=$D2073),0))</f>
        <v>ELEC_HP</v>
      </c>
      <c r="W2073" s="153" t="str">
        <f t="array" ref="W2073">INDEX(xlRTCLNAME,MATCH(1,(xlRTCLENDU=2)*(xlRTCLEQCL=$F2073),0))</f>
        <v>ELEC_HP</v>
      </c>
      <c r="X2073" s="153" t="str">
        <f t="array" ref="X2073">INDEX(xlRTTYNAME,MATCH(1,(xlRTTYENDU=1)*(xlRTTYEQCL=$D2073)*(xlRTEQTYPE=$E2073),0))</f>
        <v>ELEC_HP2</v>
      </c>
      <c r="Y2073" s="153" t="str">
        <f t="array" ref="Y2073">INDEX(xlRTTYNAME,MATCH(1,(xlRTTYENDU=2)*(xlRTTYEQCL=$F2073)*(xlRTEQTYPE=$G2073),0))</f>
        <v>ELEC_HP2</v>
      </c>
    </row>
    <row r="2074" spans="2:25" x14ac:dyDescent="0.2">
      <c r="B2074" s="126">
        <v>6</v>
      </c>
      <c r="C2074" s="126">
        <v>3</v>
      </c>
      <c r="D2074" s="126">
        <v>2</v>
      </c>
      <c r="E2074" s="126">
        <v>2</v>
      </c>
      <c r="F2074" s="126">
        <v>3</v>
      </c>
      <c r="G2074" s="126">
        <v>9</v>
      </c>
      <c r="H2074" s="126">
        <v>2016</v>
      </c>
      <c r="I2074" s="126">
        <v>2022</v>
      </c>
      <c r="J2074" s="127">
        <v>1.0784</v>
      </c>
      <c r="K2074" s="127">
        <v>1.0667</v>
      </c>
      <c r="L2074" s="127">
        <v>0.87590000000000001</v>
      </c>
      <c r="M2074" s="127">
        <v>1.1133</v>
      </c>
      <c r="N2074" s="127">
        <v>0.79679999999999995</v>
      </c>
      <c r="O2074" s="127">
        <v>1.0538000000000001</v>
      </c>
      <c r="P2074" s="126">
        <v>2886</v>
      </c>
      <c r="Q2074" s="128">
        <f t="array" ref="Q2074">SUM(IF(($S2074&gt;=4)*($C2074='TaxCred&amp;Subs'!$D$123:$D$127)*($H2074='TaxCred&amp;Subs'!$C$123:$C$127)*($H2074&lt;='TaxCred&amp;Subs'!$C$129),'TaxCred&amp;Subs'!$E$123:$E$127,0))</f>
        <v>0</v>
      </c>
      <c r="R2074" s="174">
        <v>0</v>
      </c>
      <c r="S2074" s="126">
        <v>2</v>
      </c>
      <c r="T2074" s="126" t="s">
        <v>224</v>
      </c>
      <c r="U2074" s="158"/>
      <c r="V2074" s="153" t="str">
        <f t="array" ref="V2074">INDEX(xlRTCLNAME,MATCH(1,(xlRTCLENDU=1)*(xlRTCLEQCL=$D2074),0))</f>
        <v>ELEC_HP</v>
      </c>
      <c r="W2074" s="153" t="str">
        <f t="array" ref="W2074">INDEX(xlRTCLNAME,MATCH(1,(xlRTCLENDU=2)*(xlRTCLEQCL=$F2074),0))</f>
        <v>ELEC_HP</v>
      </c>
      <c r="X2074" s="153" t="str">
        <f t="array" ref="X2074">INDEX(xlRTTYNAME,MATCH(1,(xlRTTYENDU=1)*(xlRTTYEQCL=$D2074)*(xlRTEQTYPE=$E2074),0))</f>
        <v>ELEC_HP1</v>
      </c>
      <c r="Y2074" s="153" t="str">
        <f t="array" ref="Y2074">INDEX(xlRTTYNAME,MATCH(1,(xlRTTYENDU=2)*(xlRTTYEQCL=$F2074)*(xlRTEQTYPE=$G2074),0))</f>
        <v>ELEC_HP1</v>
      </c>
    </row>
    <row r="2075" spans="2:25" x14ac:dyDescent="0.2">
      <c r="B2075" s="126">
        <v>6</v>
      </c>
      <c r="C2075" s="126">
        <v>3</v>
      </c>
      <c r="D2075" s="126">
        <v>2</v>
      </c>
      <c r="E2075" s="126">
        <v>3</v>
      </c>
      <c r="F2075" s="126">
        <v>3</v>
      </c>
      <c r="G2075" s="126">
        <v>10</v>
      </c>
      <c r="H2075" s="126">
        <v>2023</v>
      </c>
      <c r="I2075" s="126">
        <v>2050</v>
      </c>
      <c r="J2075" s="127">
        <v>1.0784</v>
      </c>
      <c r="K2075" s="127">
        <v>1.0667</v>
      </c>
      <c r="L2075" s="127">
        <v>0.87590000000000001</v>
      </c>
      <c r="M2075" s="127">
        <v>1.1133</v>
      </c>
      <c r="N2075" s="127">
        <v>0.79679999999999995</v>
      </c>
      <c r="O2075" s="127">
        <v>1.0538000000000001</v>
      </c>
      <c r="P2075" s="126">
        <v>2886</v>
      </c>
      <c r="Q2075" s="128">
        <f t="array" ref="Q2075">SUM(IF(($S2075&gt;=4)*($C2075='TaxCred&amp;Subs'!$D$123:$D$127)*($H2075='TaxCred&amp;Subs'!$C$123:$C$127)*($H2075&lt;='TaxCred&amp;Subs'!$C$129),'TaxCred&amp;Subs'!$E$123:$E$127,0))</f>
        <v>0</v>
      </c>
      <c r="R2075" s="174">
        <v>0</v>
      </c>
      <c r="S2075" s="126">
        <v>2</v>
      </c>
      <c r="T2075" s="126" t="s">
        <v>224</v>
      </c>
      <c r="U2075" s="158"/>
      <c r="V2075" s="153" t="str">
        <f t="array" ref="V2075">INDEX(xlRTCLNAME,MATCH(1,(xlRTCLENDU=1)*(xlRTCLEQCL=$D2075),0))</f>
        <v>ELEC_HP</v>
      </c>
      <c r="W2075" s="153" t="str">
        <f t="array" ref="W2075">INDEX(xlRTCLNAME,MATCH(1,(xlRTCLENDU=2)*(xlRTCLEQCL=$F2075),0))</f>
        <v>ELEC_HP</v>
      </c>
      <c r="X2075" s="153" t="str">
        <f t="array" ref="X2075">INDEX(xlRTTYNAME,MATCH(1,(xlRTTYENDU=1)*(xlRTTYEQCL=$D2075)*(xlRTEQTYPE=$E2075),0))</f>
        <v>ELEC_HP2</v>
      </c>
      <c r="Y2075" s="153" t="str">
        <f t="array" ref="Y2075">INDEX(xlRTTYNAME,MATCH(1,(xlRTTYENDU=2)*(xlRTTYEQCL=$F2075)*(xlRTEQTYPE=$G2075),0))</f>
        <v>ELEC_HP2</v>
      </c>
    </row>
    <row r="2076" spans="2:25" x14ac:dyDescent="0.2">
      <c r="B2076" s="126">
        <v>7</v>
      </c>
      <c r="C2076" s="126">
        <v>3</v>
      </c>
      <c r="D2076" s="126">
        <v>2</v>
      </c>
      <c r="E2076" s="126">
        <v>2</v>
      </c>
      <c r="F2076" s="126">
        <v>3</v>
      </c>
      <c r="G2076" s="126">
        <v>9</v>
      </c>
      <c r="H2076" s="126">
        <v>2016</v>
      </c>
      <c r="I2076" s="126">
        <v>2022</v>
      </c>
      <c r="J2076" s="127">
        <v>1.0926</v>
      </c>
      <c r="K2076" s="127">
        <v>1.05</v>
      </c>
      <c r="L2076" s="127">
        <v>0.87080000000000002</v>
      </c>
      <c r="M2076" s="127">
        <v>1.0891</v>
      </c>
      <c r="N2076" s="127">
        <v>0.81159999999999999</v>
      </c>
      <c r="O2076" s="127">
        <v>1.0538000000000001</v>
      </c>
      <c r="P2076" s="126">
        <v>2706</v>
      </c>
      <c r="Q2076" s="128">
        <f t="array" ref="Q2076">SUM(IF(($S2076&gt;=4)*($C2076='TaxCred&amp;Subs'!$D$123:$D$127)*($H2076='TaxCred&amp;Subs'!$C$123:$C$127)*($H2076&lt;='TaxCred&amp;Subs'!$C$129),'TaxCred&amp;Subs'!$E$123:$E$127,0))</f>
        <v>0</v>
      </c>
      <c r="R2076" s="174">
        <v>0</v>
      </c>
      <c r="S2076" s="126">
        <v>2</v>
      </c>
      <c r="T2076" s="126" t="s">
        <v>224</v>
      </c>
      <c r="U2076" s="158"/>
      <c r="V2076" s="153" t="str">
        <f t="array" ref="V2076">INDEX(xlRTCLNAME,MATCH(1,(xlRTCLENDU=1)*(xlRTCLEQCL=$D2076),0))</f>
        <v>ELEC_HP</v>
      </c>
      <c r="W2076" s="153" t="str">
        <f t="array" ref="W2076">INDEX(xlRTCLNAME,MATCH(1,(xlRTCLENDU=2)*(xlRTCLEQCL=$F2076),0))</f>
        <v>ELEC_HP</v>
      </c>
      <c r="X2076" s="153" t="str">
        <f t="array" ref="X2076">INDEX(xlRTTYNAME,MATCH(1,(xlRTTYENDU=1)*(xlRTTYEQCL=$D2076)*(xlRTEQTYPE=$E2076),0))</f>
        <v>ELEC_HP1</v>
      </c>
      <c r="Y2076" s="153" t="str">
        <f t="array" ref="Y2076">INDEX(xlRTTYNAME,MATCH(1,(xlRTTYENDU=2)*(xlRTTYEQCL=$F2076)*(xlRTEQTYPE=$G2076),0))</f>
        <v>ELEC_HP1</v>
      </c>
    </row>
    <row r="2077" spans="2:25" x14ac:dyDescent="0.2">
      <c r="B2077" s="126">
        <v>7</v>
      </c>
      <c r="C2077" s="126">
        <v>3</v>
      </c>
      <c r="D2077" s="126">
        <v>2</v>
      </c>
      <c r="E2077" s="126">
        <v>3</v>
      </c>
      <c r="F2077" s="126">
        <v>3</v>
      </c>
      <c r="G2077" s="126">
        <v>10</v>
      </c>
      <c r="H2077" s="126">
        <v>2023</v>
      </c>
      <c r="I2077" s="126">
        <v>2050</v>
      </c>
      <c r="J2077" s="127">
        <v>1.0926</v>
      </c>
      <c r="K2077" s="127">
        <v>1.05</v>
      </c>
      <c r="L2077" s="127">
        <v>0.87080000000000002</v>
      </c>
      <c r="M2077" s="127">
        <v>1.0891</v>
      </c>
      <c r="N2077" s="127">
        <v>0.81159999999999999</v>
      </c>
      <c r="O2077" s="127">
        <v>1.0538000000000001</v>
      </c>
      <c r="P2077" s="126">
        <v>2706</v>
      </c>
      <c r="Q2077" s="128">
        <f t="array" ref="Q2077">SUM(IF(($S2077&gt;=4)*($C2077='TaxCred&amp;Subs'!$D$123:$D$127)*($H2077='TaxCred&amp;Subs'!$C$123:$C$127)*($H2077&lt;='TaxCred&amp;Subs'!$C$129),'TaxCred&amp;Subs'!$E$123:$E$127,0))</f>
        <v>0</v>
      </c>
      <c r="R2077" s="174">
        <v>0</v>
      </c>
      <c r="S2077" s="126">
        <v>2</v>
      </c>
      <c r="T2077" s="126" t="s">
        <v>224</v>
      </c>
      <c r="U2077" s="158"/>
      <c r="V2077" s="153" t="str">
        <f t="array" ref="V2077">INDEX(xlRTCLNAME,MATCH(1,(xlRTCLENDU=1)*(xlRTCLEQCL=$D2077),0))</f>
        <v>ELEC_HP</v>
      </c>
      <c r="W2077" s="153" t="str">
        <f t="array" ref="W2077">INDEX(xlRTCLNAME,MATCH(1,(xlRTCLENDU=2)*(xlRTCLEQCL=$F2077),0))</f>
        <v>ELEC_HP</v>
      </c>
      <c r="X2077" s="153" t="str">
        <f t="array" ref="X2077">INDEX(xlRTTYNAME,MATCH(1,(xlRTTYENDU=1)*(xlRTTYEQCL=$D2077)*(xlRTEQTYPE=$E2077),0))</f>
        <v>ELEC_HP2</v>
      </c>
      <c r="Y2077" s="153" t="str">
        <f t="array" ref="Y2077">INDEX(xlRTTYNAME,MATCH(1,(xlRTTYENDU=2)*(xlRTTYEQCL=$F2077)*(xlRTEQTYPE=$G2077),0))</f>
        <v>ELEC_HP2</v>
      </c>
    </row>
    <row r="2078" spans="2:25" x14ac:dyDescent="0.2">
      <c r="B2078" s="126">
        <v>8</v>
      </c>
      <c r="C2078" s="126">
        <v>3</v>
      </c>
      <c r="D2078" s="126">
        <v>2</v>
      </c>
      <c r="E2078" s="126">
        <v>2</v>
      </c>
      <c r="F2078" s="126">
        <v>3</v>
      </c>
      <c r="G2078" s="126">
        <v>9</v>
      </c>
      <c r="H2078" s="126">
        <v>2016</v>
      </c>
      <c r="I2078" s="126">
        <v>2022</v>
      </c>
      <c r="J2078" s="127">
        <v>1.0847</v>
      </c>
      <c r="K2078" s="127">
        <v>1.0556000000000001</v>
      </c>
      <c r="L2078" s="127">
        <v>0.81089999999999995</v>
      </c>
      <c r="M2078" s="127">
        <v>1.1181000000000001</v>
      </c>
      <c r="N2078" s="127">
        <v>0.79769999999999996</v>
      </c>
      <c r="O2078" s="127">
        <v>1.0538000000000001</v>
      </c>
      <c r="P2078" s="126">
        <v>4296</v>
      </c>
      <c r="Q2078" s="128">
        <f t="array" ref="Q2078">SUM(IF(($S2078&gt;=4)*($C2078='TaxCred&amp;Subs'!$D$123:$D$127)*($H2078='TaxCred&amp;Subs'!$C$123:$C$127)*($H2078&lt;='TaxCred&amp;Subs'!$C$129),'TaxCred&amp;Subs'!$E$123:$E$127,0))</f>
        <v>0</v>
      </c>
      <c r="R2078" s="174">
        <v>0</v>
      </c>
      <c r="S2078" s="126">
        <v>2</v>
      </c>
      <c r="T2078" s="126" t="s">
        <v>224</v>
      </c>
      <c r="U2078" s="158"/>
      <c r="V2078" s="153" t="str">
        <f t="array" ref="V2078">INDEX(xlRTCLNAME,MATCH(1,(xlRTCLENDU=1)*(xlRTCLEQCL=$D2078),0))</f>
        <v>ELEC_HP</v>
      </c>
      <c r="W2078" s="153" t="str">
        <f t="array" ref="W2078">INDEX(xlRTCLNAME,MATCH(1,(xlRTCLENDU=2)*(xlRTCLEQCL=$F2078),0))</f>
        <v>ELEC_HP</v>
      </c>
      <c r="X2078" s="153" t="str">
        <f t="array" ref="X2078">INDEX(xlRTTYNAME,MATCH(1,(xlRTTYENDU=1)*(xlRTTYEQCL=$D2078)*(xlRTEQTYPE=$E2078),0))</f>
        <v>ELEC_HP1</v>
      </c>
      <c r="Y2078" s="153" t="str">
        <f t="array" ref="Y2078">INDEX(xlRTTYNAME,MATCH(1,(xlRTTYENDU=2)*(xlRTTYEQCL=$F2078)*(xlRTEQTYPE=$G2078),0))</f>
        <v>ELEC_HP1</v>
      </c>
    </row>
    <row r="2079" spans="2:25" x14ac:dyDescent="0.2">
      <c r="B2079" s="126">
        <v>8</v>
      </c>
      <c r="C2079" s="126">
        <v>3</v>
      </c>
      <c r="D2079" s="126">
        <v>2</v>
      </c>
      <c r="E2079" s="126">
        <v>3</v>
      </c>
      <c r="F2079" s="126">
        <v>3</v>
      </c>
      <c r="G2079" s="126">
        <v>10</v>
      </c>
      <c r="H2079" s="126">
        <v>2023</v>
      </c>
      <c r="I2079" s="126">
        <v>2050</v>
      </c>
      <c r="J2079" s="127">
        <v>1.0847</v>
      </c>
      <c r="K2079" s="127">
        <v>1.0556000000000001</v>
      </c>
      <c r="L2079" s="127">
        <v>0.81089999999999995</v>
      </c>
      <c r="M2079" s="127">
        <v>1.1181000000000001</v>
      </c>
      <c r="N2079" s="127">
        <v>0.79769999999999996</v>
      </c>
      <c r="O2079" s="127">
        <v>1.0538000000000001</v>
      </c>
      <c r="P2079" s="126">
        <v>4296</v>
      </c>
      <c r="Q2079" s="128">
        <f t="array" ref="Q2079">SUM(IF(($S2079&gt;=4)*($C2079='TaxCred&amp;Subs'!$D$123:$D$127)*($H2079='TaxCred&amp;Subs'!$C$123:$C$127)*($H2079&lt;='TaxCred&amp;Subs'!$C$129),'TaxCred&amp;Subs'!$E$123:$E$127,0))</f>
        <v>0</v>
      </c>
      <c r="R2079" s="174">
        <v>0</v>
      </c>
      <c r="S2079" s="126">
        <v>2</v>
      </c>
      <c r="T2079" s="126" t="s">
        <v>224</v>
      </c>
      <c r="U2079" s="158"/>
      <c r="V2079" s="153" t="str">
        <f t="array" ref="V2079">INDEX(xlRTCLNAME,MATCH(1,(xlRTCLENDU=1)*(xlRTCLEQCL=$D2079),0))</f>
        <v>ELEC_HP</v>
      </c>
      <c r="W2079" s="153" t="str">
        <f t="array" ref="W2079">INDEX(xlRTCLNAME,MATCH(1,(xlRTCLENDU=2)*(xlRTCLEQCL=$F2079),0))</f>
        <v>ELEC_HP</v>
      </c>
      <c r="X2079" s="153" t="str">
        <f t="array" ref="X2079">INDEX(xlRTTYNAME,MATCH(1,(xlRTTYENDU=1)*(xlRTTYEQCL=$D2079)*(xlRTEQTYPE=$E2079),0))</f>
        <v>ELEC_HP2</v>
      </c>
      <c r="Y2079" s="153" t="str">
        <f t="array" ref="Y2079">INDEX(xlRTTYNAME,MATCH(1,(xlRTTYENDU=2)*(xlRTTYEQCL=$F2079)*(xlRTEQTYPE=$G2079),0))</f>
        <v>ELEC_HP2</v>
      </c>
    </row>
    <row r="2080" spans="2:25" x14ac:dyDescent="0.2">
      <c r="B2080" s="126">
        <v>9</v>
      </c>
      <c r="C2080" s="126">
        <v>3</v>
      </c>
      <c r="D2080" s="126">
        <v>2</v>
      </c>
      <c r="E2080" s="126">
        <v>2</v>
      </c>
      <c r="F2080" s="126">
        <v>3</v>
      </c>
      <c r="G2080" s="126">
        <v>9</v>
      </c>
      <c r="H2080" s="126">
        <v>2016</v>
      </c>
      <c r="I2080" s="126">
        <v>2022</v>
      </c>
      <c r="J2080" s="127">
        <v>1.075</v>
      </c>
      <c r="K2080" s="127">
        <v>1.0625</v>
      </c>
      <c r="L2080" s="127">
        <v>0.91180000000000005</v>
      </c>
      <c r="M2080" s="127">
        <v>1.1786000000000001</v>
      </c>
      <c r="N2080" s="127">
        <v>0.83299999999999996</v>
      </c>
      <c r="O2080" s="127">
        <v>1.0538000000000001</v>
      </c>
      <c r="P2080" s="126">
        <v>3964</v>
      </c>
      <c r="Q2080" s="128">
        <f t="array" ref="Q2080">SUM(IF(($S2080&gt;=4)*($C2080='TaxCred&amp;Subs'!$D$123:$D$127)*($H2080='TaxCred&amp;Subs'!$C$123:$C$127)*($H2080&lt;='TaxCred&amp;Subs'!$C$129),'TaxCred&amp;Subs'!$E$123:$E$127,0))</f>
        <v>0</v>
      </c>
      <c r="R2080" s="174">
        <v>0</v>
      </c>
      <c r="S2080" s="126">
        <v>2</v>
      </c>
      <c r="T2080" s="126" t="s">
        <v>224</v>
      </c>
      <c r="U2080" s="158"/>
      <c r="V2080" s="153" t="str">
        <f t="array" ref="V2080">INDEX(xlRTCLNAME,MATCH(1,(xlRTCLENDU=1)*(xlRTCLEQCL=$D2080),0))</f>
        <v>ELEC_HP</v>
      </c>
      <c r="W2080" s="153" t="str">
        <f t="array" ref="W2080">INDEX(xlRTCLNAME,MATCH(1,(xlRTCLENDU=2)*(xlRTCLEQCL=$F2080),0))</f>
        <v>ELEC_HP</v>
      </c>
      <c r="X2080" s="153" t="str">
        <f t="array" ref="X2080">INDEX(xlRTTYNAME,MATCH(1,(xlRTTYENDU=1)*(xlRTTYEQCL=$D2080)*(xlRTEQTYPE=$E2080),0))</f>
        <v>ELEC_HP1</v>
      </c>
      <c r="Y2080" s="153" t="str">
        <f t="array" ref="Y2080">INDEX(xlRTTYNAME,MATCH(1,(xlRTTYENDU=2)*(xlRTTYEQCL=$F2080)*(xlRTEQTYPE=$G2080),0))</f>
        <v>ELEC_HP1</v>
      </c>
    </row>
    <row r="2081" spans="2:25" x14ac:dyDescent="0.2">
      <c r="B2081" s="126">
        <v>9</v>
      </c>
      <c r="C2081" s="126">
        <v>3</v>
      </c>
      <c r="D2081" s="126">
        <v>2</v>
      </c>
      <c r="E2081" s="126">
        <v>3</v>
      </c>
      <c r="F2081" s="126">
        <v>3</v>
      </c>
      <c r="G2081" s="126">
        <v>10</v>
      </c>
      <c r="H2081" s="126">
        <v>2023</v>
      </c>
      <c r="I2081" s="126">
        <v>2050</v>
      </c>
      <c r="J2081" s="127">
        <v>1.075</v>
      </c>
      <c r="K2081" s="127">
        <v>1.0625</v>
      </c>
      <c r="L2081" s="127">
        <v>0.91180000000000005</v>
      </c>
      <c r="M2081" s="127">
        <v>1.1786000000000001</v>
      </c>
      <c r="N2081" s="127">
        <v>0.83299999999999996</v>
      </c>
      <c r="O2081" s="127">
        <v>1.0538000000000001</v>
      </c>
      <c r="P2081" s="126">
        <v>3964</v>
      </c>
      <c r="Q2081" s="128">
        <f t="array" ref="Q2081">SUM(IF(($S2081&gt;=4)*($C2081='TaxCred&amp;Subs'!$D$123:$D$127)*($H2081='TaxCred&amp;Subs'!$C$123:$C$127)*($H2081&lt;='TaxCred&amp;Subs'!$C$129),'TaxCred&amp;Subs'!$E$123:$E$127,0))</f>
        <v>0</v>
      </c>
      <c r="R2081" s="174">
        <v>0</v>
      </c>
      <c r="S2081" s="126">
        <v>2</v>
      </c>
      <c r="T2081" s="126" t="s">
        <v>224</v>
      </c>
      <c r="U2081" s="158"/>
      <c r="V2081" s="153" t="str">
        <f t="array" ref="V2081">INDEX(xlRTCLNAME,MATCH(1,(xlRTCLENDU=1)*(xlRTCLEQCL=$D2081),0))</f>
        <v>ELEC_HP</v>
      </c>
      <c r="W2081" s="153" t="str">
        <f t="array" ref="W2081">INDEX(xlRTCLNAME,MATCH(1,(xlRTCLENDU=2)*(xlRTCLEQCL=$F2081),0))</f>
        <v>ELEC_HP</v>
      </c>
      <c r="X2081" s="153" t="str">
        <f t="array" ref="X2081">INDEX(xlRTTYNAME,MATCH(1,(xlRTTYENDU=1)*(xlRTTYEQCL=$D2081)*(xlRTEQTYPE=$E2081),0))</f>
        <v>ELEC_HP2</v>
      </c>
      <c r="Y2081" s="153" t="str">
        <f t="array" ref="Y2081">INDEX(xlRTTYNAME,MATCH(1,(xlRTTYENDU=2)*(xlRTTYEQCL=$F2081)*(xlRTEQTYPE=$G2081),0))</f>
        <v>ELEC_HP2</v>
      </c>
    </row>
    <row r="2082" spans="2:25" x14ac:dyDescent="0.2">
      <c r="B2082" s="126">
        <v>1</v>
      </c>
      <c r="C2082" s="126">
        <v>3</v>
      </c>
      <c r="D2082" s="126">
        <v>3</v>
      </c>
      <c r="E2082" s="126">
        <v>6</v>
      </c>
      <c r="F2082" s="126">
        <v>2</v>
      </c>
      <c r="G2082" s="126">
        <v>5</v>
      </c>
      <c r="H2082" s="126">
        <v>2016</v>
      </c>
      <c r="I2082" s="126">
        <v>2022</v>
      </c>
      <c r="J2082" s="127">
        <v>1.07</v>
      </c>
      <c r="K2082" s="127">
        <v>1.07</v>
      </c>
      <c r="L2082" s="127">
        <v>0.68079999999999996</v>
      </c>
      <c r="M2082" s="127">
        <v>1.0588</v>
      </c>
      <c r="N2082" s="127">
        <v>0.77800000000000002</v>
      </c>
      <c r="O2082" s="127">
        <v>1.0538000000000001</v>
      </c>
      <c r="P2082" s="126">
        <v>6643</v>
      </c>
      <c r="Q2082" s="128">
        <f t="array" ref="Q2082">SUM(IF(($S2082&gt;=4)*($C2082='TaxCred&amp;Subs'!$D$123:$D$127)*($H2082='TaxCred&amp;Subs'!$C$123:$C$127)*($H2082&lt;='TaxCred&amp;Subs'!$C$129),'TaxCred&amp;Subs'!$E$123:$E$127,0))</f>
        <v>0</v>
      </c>
      <c r="R2082" s="174">
        <v>0</v>
      </c>
      <c r="S2082" s="126">
        <v>2</v>
      </c>
      <c r="T2082" s="126" t="s">
        <v>224</v>
      </c>
      <c r="U2082" s="158"/>
      <c r="V2082" s="153" t="str">
        <f t="array" ref="V2082">INDEX(xlRTCLNAME,MATCH(1,(xlRTCLENDU=1)*(xlRTCLEQCL=$D2082),0))</f>
        <v>NG_FA</v>
      </c>
      <c r="W2082" s="153" t="str">
        <f t="array" ref="W2082">INDEX(xlRTCLNAME,MATCH(1,(xlRTCLENDU=2)*(xlRTCLEQCL=$F2082),0))</f>
        <v>CENT_AIR</v>
      </c>
      <c r="X2082" s="153" t="str">
        <f t="array" ref="X2082">INDEX(xlRTTYNAME,MATCH(1,(xlRTTYENDU=1)*(xlRTTYEQCL=$D2082)*(xlRTEQTYPE=$E2082),0))</f>
        <v>NG_FA1</v>
      </c>
      <c r="Y2082" s="153" t="str">
        <f t="array" ref="Y2082">INDEX(xlRTTYNAME,MATCH(1,(xlRTTYENDU=2)*(xlRTTYEQCL=$F2082)*(xlRTEQTYPE=$G2082),0))</f>
        <v>CENT_AIR1</v>
      </c>
    </row>
    <row r="2083" spans="2:25" x14ac:dyDescent="0.2">
      <c r="B2083" s="126">
        <v>1</v>
      </c>
      <c r="C2083" s="126">
        <v>3</v>
      </c>
      <c r="D2083" s="126">
        <v>3</v>
      </c>
      <c r="E2083" s="126">
        <v>6</v>
      </c>
      <c r="F2083" s="126">
        <v>2</v>
      </c>
      <c r="G2083" s="126">
        <v>6</v>
      </c>
      <c r="H2083" s="126">
        <v>2023</v>
      </c>
      <c r="I2083" s="126">
        <v>2050</v>
      </c>
      <c r="J2083" s="127">
        <v>1.07</v>
      </c>
      <c r="K2083" s="127">
        <v>1.07</v>
      </c>
      <c r="L2083" s="127">
        <v>0.68079999999999996</v>
      </c>
      <c r="M2083" s="127">
        <v>1.0588</v>
      </c>
      <c r="N2083" s="127">
        <v>0.77800000000000002</v>
      </c>
      <c r="O2083" s="127">
        <v>1.0538000000000001</v>
      </c>
      <c r="P2083" s="126">
        <v>6643</v>
      </c>
      <c r="Q2083" s="128">
        <f t="array" ref="Q2083">SUM(IF(($S2083&gt;=4)*($C2083='TaxCred&amp;Subs'!$D$123:$D$127)*($H2083='TaxCred&amp;Subs'!$C$123:$C$127)*($H2083&lt;='TaxCred&amp;Subs'!$C$129),'TaxCred&amp;Subs'!$E$123:$E$127,0))</f>
        <v>0</v>
      </c>
      <c r="R2083" s="174">
        <v>0</v>
      </c>
      <c r="S2083" s="126">
        <v>2</v>
      </c>
      <c r="T2083" s="126" t="s">
        <v>224</v>
      </c>
      <c r="U2083" s="158"/>
      <c r="V2083" s="153" t="str">
        <f t="array" ref="V2083">INDEX(xlRTCLNAME,MATCH(1,(xlRTCLENDU=1)*(xlRTCLEQCL=$D2083),0))</f>
        <v>NG_FA</v>
      </c>
      <c r="W2083" s="153" t="str">
        <f t="array" ref="W2083">INDEX(xlRTCLNAME,MATCH(1,(xlRTCLENDU=2)*(xlRTCLEQCL=$F2083),0))</f>
        <v>CENT_AIR</v>
      </c>
      <c r="X2083" s="153" t="str">
        <f t="array" ref="X2083">INDEX(xlRTTYNAME,MATCH(1,(xlRTTYENDU=1)*(xlRTTYEQCL=$D2083)*(xlRTEQTYPE=$E2083),0))</f>
        <v>NG_FA1</v>
      </c>
      <c r="Y2083" s="153" t="str">
        <f t="array" ref="Y2083">INDEX(xlRTTYNAME,MATCH(1,(xlRTTYENDU=2)*(xlRTTYEQCL=$F2083)*(xlRTEQTYPE=$G2083),0))</f>
        <v>CENT_AIR2</v>
      </c>
    </row>
    <row r="2084" spans="2:25" x14ac:dyDescent="0.2">
      <c r="B2084" s="126">
        <v>2</v>
      </c>
      <c r="C2084" s="126">
        <v>3</v>
      </c>
      <c r="D2084" s="126">
        <v>3</v>
      </c>
      <c r="E2084" s="126">
        <v>6</v>
      </c>
      <c r="F2084" s="126">
        <v>2</v>
      </c>
      <c r="G2084" s="126">
        <v>5</v>
      </c>
      <c r="H2084" s="126">
        <v>2016</v>
      </c>
      <c r="I2084" s="126">
        <v>2022</v>
      </c>
      <c r="J2084" s="127">
        <v>1.0670999999999999</v>
      </c>
      <c r="K2084" s="127">
        <v>1.0638000000000001</v>
      </c>
      <c r="L2084" s="127">
        <v>0.88700000000000001</v>
      </c>
      <c r="M2084" s="127">
        <v>1.1462000000000001</v>
      </c>
      <c r="N2084" s="127">
        <v>0.84609999999999996</v>
      </c>
      <c r="O2084" s="127">
        <v>1.0538000000000001</v>
      </c>
      <c r="P2084" s="126">
        <v>5017</v>
      </c>
      <c r="Q2084" s="128">
        <f t="array" ref="Q2084">SUM(IF(($S2084&gt;=4)*($C2084='TaxCred&amp;Subs'!$D$123:$D$127)*($H2084='TaxCred&amp;Subs'!$C$123:$C$127)*($H2084&lt;='TaxCred&amp;Subs'!$C$129),'TaxCred&amp;Subs'!$E$123:$E$127,0))</f>
        <v>0</v>
      </c>
      <c r="R2084" s="174">
        <v>0</v>
      </c>
      <c r="S2084" s="126">
        <v>2</v>
      </c>
      <c r="T2084" s="126" t="s">
        <v>224</v>
      </c>
      <c r="U2084" s="158"/>
      <c r="V2084" s="153" t="str">
        <f t="array" ref="V2084">INDEX(xlRTCLNAME,MATCH(1,(xlRTCLENDU=1)*(xlRTCLEQCL=$D2084),0))</f>
        <v>NG_FA</v>
      </c>
      <c r="W2084" s="153" t="str">
        <f t="array" ref="W2084">INDEX(xlRTCLNAME,MATCH(1,(xlRTCLENDU=2)*(xlRTCLEQCL=$F2084),0))</f>
        <v>CENT_AIR</v>
      </c>
      <c r="X2084" s="153" t="str">
        <f t="array" ref="X2084">INDEX(xlRTTYNAME,MATCH(1,(xlRTTYENDU=1)*(xlRTTYEQCL=$D2084)*(xlRTEQTYPE=$E2084),0))</f>
        <v>NG_FA1</v>
      </c>
      <c r="Y2084" s="153" t="str">
        <f t="array" ref="Y2084">INDEX(xlRTTYNAME,MATCH(1,(xlRTTYENDU=2)*(xlRTTYEQCL=$F2084)*(xlRTEQTYPE=$G2084),0))</f>
        <v>CENT_AIR1</v>
      </c>
    </row>
    <row r="2085" spans="2:25" x14ac:dyDescent="0.2">
      <c r="B2085" s="126">
        <v>2</v>
      </c>
      <c r="C2085" s="126">
        <v>3</v>
      </c>
      <c r="D2085" s="126">
        <v>3</v>
      </c>
      <c r="E2085" s="126">
        <v>6</v>
      </c>
      <c r="F2085" s="126">
        <v>2</v>
      </c>
      <c r="G2085" s="126">
        <v>6</v>
      </c>
      <c r="H2085" s="126">
        <v>2023</v>
      </c>
      <c r="I2085" s="126">
        <v>2050</v>
      </c>
      <c r="J2085" s="127">
        <v>1.0670999999999999</v>
      </c>
      <c r="K2085" s="127">
        <v>1.0638000000000001</v>
      </c>
      <c r="L2085" s="127">
        <v>0.88700000000000001</v>
      </c>
      <c r="M2085" s="127">
        <v>1.1462000000000001</v>
      </c>
      <c r="N2085" s="127">
        <v>0.84609999999999996</v>
      </c>
      <c r="O2085" s="127">
        <v>1.0538000000000001</v>
      </c>
      <c r="P2085" s="126">
        <v>5017</v>
      </c>
      <c r="Q2085" s="128">
        <f t="array" ref="Q2085">SUM(IF(($S2085&gt;=4)*($C2085='TaxCred&amp;Subs'!$D$123:$D$127)*($H2085='TaxCred&amp;Subs'!$C$123:$C$127)*($H2085&lt;='TaxCred&amp;Subs'!$C$129),'TaxCred&amp;Subs'!$E$123:$E$127,0))</f>
        <v>0</v>
      </c>
      <c r="R2085" s="174">
        <v>0</v>
      </c>
      <c r="S2085" s="126">
        <v>2</v>
      </c>
      <c r="T2085" s="126" t="s">
        <v>224</v>
      </c>
      <c r="U2085" s="158"/>
      <c r="V2085" s="153" t="str">
        <f t="array" ref="V2085">INDEX(xlRTCLNAME,MATCH(1,(xlRTCLENDU=1)*(xlRTCLEQCL=$D2085),0))</f>
        <v>NG_FA</v>
      </c>
      <c r="W2085" s="153" t="str">
        <f t="array" ref="W2085">INDEX(xlRTCLNAME,MATCH(1,(xlRTCLENDU=2)*(xlRTCLEQCL=$F2085),0))</f>
        <v>CENT_AIR</v>
      </c>
      <c r="X2085" s="153" t="str">
        <f t="array" ref="X2085">INDEX(xlRTTYNAME,MATCH(1,(xlRTTYENDU=1)*(xlRTTYEQCL=$D2085)*(xlRTEQTYPE=$E2085),0))</f>
        <v>NG_FA1</v>
      </c>
      <c r="Y2085" s="153" t="str">
        <f t="array" ref="Y2085">INDEX(xlRTTYNAME,MATCH(1,(xlRTTYENDU=2)*(xlRTTYEQCL=$F2085)*(xlRTEQTYPE=$G2085),0))</f>
        <v>CENT_AIR2</v>
      </c>
    </row>
    <row r="2086" spans="2:25" x14ac:dyDescent="0.2">
      <c r="B2086" s="126">
        <v>3</v>
      </c>
      <c r="C2086" s="126">
        <v>3</v>
      </c>
      <c r="D2086" s="126">
        <v>3</v>
      </c>
      <c r="E2086" s="126">
        <v>6</v>
      </c>
      <c r="F2086" s="126">
        <v>2</v>
      </c>
      <c r="G2086" s="126">
        <v>5</v>
      </c>
      <c r="H2086" s="126">
        <v>2016</v>
      </c>
      <c r="I2086" s="126">
        <v>2022</v>
      </c>
      <c r="J2086" s="127">
        <v>1.07</v>
      </c>
      <c r="K2086" s="127">
        <v>1.07</v>
      </c>
      <c r="L2086" s="127">
        <v>0.76580000000000004</v>
      </c>
      <c r="M2086" s="127">
        <v>1.0925</v>
      </c>
      <c r="N2086" s="127">
        <v>0.8498</v>
      </c>
      <c r="O2086" s="127">
        <v>1.0538000000000001</v>
      </c>
      <c r="P2086" s="126">
        <v>6732</v>
      </c>
      <c r="Q2086" s="128">
        <f t="array" ref="Q2086">SUM(IF(($S2086&gt;=4)*($C2086='TaxCred&amp;Subs'!$D$123:$D$127)*($H2086='TaxCred&amp;Subs'!$C$123:$C$127)*($H2086&lt;='TaxCred&amp;Subs'!$C$129),'TaxCred&amp;Subs'!$E$123:$E$127,0))</f>
        <v>0</v>
      </c>
      <c r="R2086" s="174">
        <v>0</v>
      </c>
      <c r="S2086" s="126">
        <v>2</v>
      </c>
      <c r="T2086" s="126" t="s">
        <v>224</v>
      </c>
      <c r="U2086" s="158"/>
      <c r="V2086" s="153" t="str">
        <f t="array" ref="V2086">INDEX(xlRTCLNAME,MATCH(1,(xlRTCLENDU=1)*(xlRTCLEQCL=$D2086),0))</f>
        <v>NG_FA</v>
      </c>
      <c r="W2086" s="153" t="str">
        <f t="array" ref="W2086">INDEX(xlRTCLNAME,MATCH(1,(xlRTCLENDU=2)*(xlRTCLEQCL=$F2086),0))</f>
        <v>CENT_AIR</v>
      </c>
      <c r="X2086" s="153" t="str">
        <f t="array" ref="X2086">INDEX(xlRTTYNAME,MATCH(1,(xlRTTYENDU=1)*(xlRTTYEQCL=$D2086)*(xlRTEQTYPE=$E2086),0))</f>
        <v>NG_FA1</v>
      </c>
      <c r="Y2086" s="153" t="str">
        <f t="array" ref="Y2086">INDEX(xlRTTYNAME,MATCH(1,(xlRTTYENDU=2)*(xlRTTYEQCL=$F2086)*(xlRTEQTYPE=$G2086),0))</f>
        <v>CENT_AIR1</v>
      </c>
    </row>
    <row r="2087" spans="2:25" x14ac:dyDescent="0.2">
      <c r="B2087" s="126">
        <v>3</v>
      </c>
      <c r="C2087" s="126">
        <v>3</v>
      </c>
      <c r="D2087" s="126">
        <v>3</v>
      </c>
      <c r="E2087" s="126">
        <v>6</v>
      </c>
      <c r="F2087" s="126">
        <v>2</v>
      </c>
      <c r="G2087" s="126">
        <v>6</v>
      </c>
      <c r="H2087" s="126">
        <v>2023</v>
      </c>
      <c r="I2087" s="126">
        <v>2050</v>
      </c>
      <c r="J2087" s="127">
        <v>1.07</v>
      </c>
      <c r="K2087" s="127">
        <v>1.07</v>
      </c>
      <c r="L2087" s="127">
        <v>0.76580000000000004</v>
      </c>
      <c r="M2087" s="127">
        <v>1.0925</v>
      </c>
      <c r="N2087" s="127">
        <v>0.8498</v>
      </c>
      <c r="O2087" s="127">
        <v>1.0538000000000001</v>
      </c>
      <c r="P2087" s="126">
        <v>6732</v>
      </c>
      <c r="Q2087" s="128">
        <f t="array" ref="Q2087">SUM(IF(($S2087&gt;=4)*($C2087='TaxCred&amp;Subs'!$D$123:$D$127)*($H2087='TaxCred&amp;Subs'!$C$123:$C$127)*($H2087&lt;='TaxCred&amp;Subs'!$C$129),'TaxCred&amp;Subs'!$E$123:$E$127,0))</f>
        <v>0</v>
      </c>
      <c r="R2087" s="174">
        <v>0</v>
      </c>
      <c r="S2087" s="126">
        <v>2</v>
      </c>
      <c r="T2087" s="126" t="s">
        <v>224</v>
      </c>
      <c r="U2087" s="158"/>
      <c r="V2087" s="153" t="str">
        <f t="array" ref="V2087">INDEX(xlRTCLNAME,MATCH(1,(xlRTCLENDU=1)*(xlRTCLEQCL=$D2087),0))</f>
        <v>NG_FA</v>
      </c>
      <c r="W2087" s="153" t="str">
        <f t="array" ref="W2087">INDEX(xlRTCLNAME,MATCH(1,(xlRTCLENDU=2)*(xlRTCLEQCL=$F2087),0))</f>
        <v>CENT_AIR</v>
      </c>
      <c r="X2087" s="153" t="str">
        <f t="array" ref="X2087">INDEX(xlRTTYNAME,MATCH(1,(xlRTTYENDU=1)*(xlRTTYEQCL=$D2087)*(xlRTEQTYPE=$E2087),0))</f>
        <v>NG_FA1</v>
      </c>
      <c r="Y2087" s="153" t="str">
        <f t="array" ref="Y2087">INDEX(xlRTTYNAME,MATCH(1,(xlRTTYENDU=2)*(xlRTTYEQCL=$F2087)*(xlRTEQTYPE=$G2087),0))</f>
        <v>CENT_AIR2</v>
      </c>
    </row>
    <row r="2088" spans="2:25" x14ac:dyDescent="0.2">
      <c r="B2088" s="126">
        <v>4</v>
      </c>
      <c r="C2088" s="126">
        <v>3</v>
      </c>
      <c r="D2088" s="126">
        <v>3</v>
      </c>
      <c r="E2088" s="126">
        <v>6</v>
      </c>
      <c r="F2088" s="126">
        <v>2</v>
      </c>
      <c r="G2088" s="126">
        <v>5</v>
      </c>
      <c r="H2088" s="126">
        <v>2016</v>
      </c>
      <c r="I2088" s="126">
        <v>2022</v>
      </c>
      <c r="J2088" s="127">
        <v>1.07</v>
      </c>
      <c r="K2088" s="127">
        <v>1.07</v>
      </c>
      <c r="L2088" s="127">
        <v>0.68620000000000003</v>
      </c>
      <c r="M2088" s="127">
        <v>1.0580000000000001</v>
      </c>
      <c r="N2088" s="127">
        <v>0.77659999999999996</v>
      </c>
      <c r="O2088" s="127">
        <v>1.0538000000000001</v>
      </c>
      <c r="P2088" s="126">
        <v>5885</v>
      </c>
      <c r="Q2088" s="128">
        <f t="array" ref="Q2088">SUM(IF(($S2088&gt;=4)*($C2088='TaxCred&amp;Subs'!$D$123:$D$127)*($H2088='TaxCred&amp;Subs'!$C$123:$C$127)*($H2088&lt;='TaxCred&amp;Subs'!$C$129),'TaxCred&amp;Subs'!$E$123:$E$127,0))</f>
        <v>0</v>
      </c>
      <c r="R2088" s="174">
        <v>0</v>
      </c>
      <c r="S2088" s="126">
        <v>2</v>
      </c>
      <c r="T2088" s="126" t="s">
        <v>224</v>
      </c>
      <c r="U2088" s="158"/>
      <c r="V2088" s="153" t="str">
        <f t="array" ref="V2088">INDEX(xlRTCLNAME,MATCH(1,(xlRTCLENDU=1)*(xlRTCLEQCL=$D2088),0))</f>
        <v>NG_FA</v>
      </c>
      <c r="W2088" s="153" t="str">
        <f t="array" ref="W2088">INDEX(xlRTCLNAME,MATCH(1,(xlRTCLENDU=2)*(xlRTCLEQCL=$F2088),0))</f>
        <v>CENT_AIR</v>
      </c>
      <c r="X2088" s="153" t="str">
        <f t="array" ref="X2088">INDEX(xlRTTYNAME,MATCH(1,(xlRTTYENDU=1)*(xlRTTYEQCL=$D2088)*(xlRTEQTYPE=$E2088),0))</f>
        <v>NG_FA1</v>
      </c>
      <c r="Y2088" s="153" t="str">
        <f t="array" ref="Y2088">INDEX(xlRTTYNAME,MATCH(1,(xlRTTYENDU=2)*(xlRTTYEQCL=$F2088)*(xlRTEQTYPE=$G2088),0))</f>
        <v>CENT_AIR1</v>
      </c>
    </row>
    <row r="2089" spans="2:25" x14ac:dyDescent="0.2">
      <c r="B2089" s="126">
        <v>4</v>
      </c>
      <c r="C2089" s="126">
        <v>3</v>
      </c>
      <c r="D2089" s="126">
        <v>3</v>
      </c>
      <c r="E2089" s="126">
        <v>6</v>
      </c>
      <c r="F2089" s="126">
        <v>2</v>
      </c>
      <c r="G2089" s="126">
        <v>6</v>
      </c>
      <c r="H2089" s="126">
        <v>2023</v>
      </c>
      <c r="I2089" s="126">
        <v>2050</v>
      </c>
      <c r="J2089" s="127">
        <v>1.07</v>
      </c>
      <c r="K2089" s="127">
        <v>1.07</v>
      </c>
      <c r="L2089" s="127">
        <v>0.68620000000000003</v>
      </c>
      <c r="M2089" s="127">
        <v>1.0580000000000001</v>
      </c>
      <c r="N2089" s="127">
        <v>0.77659999999999996</v>
      </c>
      <c r="O2089" s="127">
        <v>1.0538000000000001</v>
      </c>
      <c r="P2089" s="126">
        <v>5885</v>
      </c>
      <c r="Q2089" s="128">
        <f t="array" ref="Q2089">SUM(IF(($S2089&gt;=4)*($C2089='TaxCred&amp;Subs'!$D$123:$D$127)*($H2089='TaxCred&amp;Subs'!$C$123:$C$127)*($H2089&lt;='TaxCred&amp;Subs'!$C$129),'TaxCred&amp;Subs'!$E$123:$E$127,0))</f>
        <v>0</v>
      </c>
      <c r="R2089" s="174">
        <v>0</v>
      </c>
      <c r="S2089" s="126">
        <v>2</v>
      </c>
      <c r="T2089" s="126" t="s">
        <v>224</v>
      </c>
      <c r="U2089" s="158"/>
      <c r="V2089" s="153" t="str">
        <f t="array" ref="V2089">INDEX(xlRTCLNAME,MATCH(1,(xlRTCLENDU=1)*(xlRTCLEQCL=$D2089),0))</f>
        <v>NG_FA</v>
      </c>
      <c r="W2089" s="153" t="str">
        <f t="array" ref="W2089">INDEX(xlRTCLNAME,MATCH(1,(xlRTCLENDU=2)*(xlRTCLEQCL=$F2089),0))</f>
        <v>CENT_AIR</v>
      </c>
      <c r="X2089" s="153" t="str">
        <f t="array" ref="X2089">INDEX(xlRTTYNAME,MATCH(1,(xlRTTYENDU=1)*(xlRTTYEQCL=$D2089)*(xlRTEQTYPE=$E2089),0))</f>
        <v>NG_FA1</v>
      </c>
      <c r="Y2089" s="153" t="str">
        <f t="array" ref="Y2089">INDEX(xlRTTYNAME,MATCH(1,(xlRTTYENDU=2)*(xlRTTYEQCL=$F2089)*(xlRTEQTYPE=$G2089),0))</f>
        <v>CENT_AIR2</v>
      </c>
    </row>
    <row r="2090" spans="2:25" x14ac:dyDescent="0.2">
      <c r="B2090" s="126">
        <v>5</v>
      </c>
      <c r="C2090" s="126">
        <v>3</v>
      </c>
      <c r="D2090" s="126">
        <v>3</v>
      </c>
      <c r="E2090" s="126">
        <v>6</v>
      </c>
      <c r="F2090" s="126">
        <v>2</v>
      </c>
      <c r="G2090" s="126">
        <v>5</v>
      </c>
      <c r="H2090" s="126">
        <v>2016</v>
      </c>
      <c r="I2090" s="126">
        <v>2022</v>
      </c>
      <c r="J2090" s="127">
        <v>1.0559000000000001</v>
      </c>
      <c r="K2090" s="127">
        <v>1.0444</v>
      </c>
      <c r="L2090" s="127">
        <v>0.86729999999999996</v>
      </c>
      <c r="M2090" s="127">
        <v>1.0669</v>
      </c>
      <c r="N2090" s="127">
        <v>0.83460000000000001</v>
      </c>
      <c r="O2090" s="127">
        <v>1.0538000000000001</v>
      </c>
      <c r="P2090" s="126">
        <v>3419</v>
      </c>
      <c r="Q2090" s="128">
        <f t="array" ref="Q2090">SUM(IF(($S2090&gt;=4)*($C2090='TaxCred&amp;Subs'!$D$123:$D$127)*($H2090='TaxCred&amp;Subs'!$C$123:$C$127)*($H2090&lt;='TaxCred&amp;Subs'!$C$129),'TaxCred&amp;Subs'!$E$123:$E$127,0))</f>
        <v>0</v>
      </c>
      <c r="R2090" s="174">
        <v>0</v>
      </c>
      <c r="S2090" s="126">
        <v>2</v>
      </c>
      <c r="T2090" s="126" t="s">
        <v>224</v>
      </c>
      <c r="U2090" s="158"/>
      <c r="V2090" s="153" t="str">
        <f t="array" ref="V2090">INDEX(xlRTCLNAME,MATCH(1,(xlRTCLENDU=1)*(xlRTCLEQCL=$D2090),0))</f>
        <v>NG_FA</v>
      </c>
      <c r="W2090" s="153" t="str">
        <f t="array" ref="W2090">INDEX(xlRTCLNAME,MATCH(1,(xlRTCLENDU=2)*(xlRTCLEQCL=$F2090),0))</f>
        <v>CENT_AIR</v>
      </c>
      <c r="X2090" s="153" t="str">
        <f t="array" ref="X2090">INDEX(xlRTTYNAME,MATCH(1,(xlRTTYENDU=1)*(xlRTTYEQCL=$D2090)*(xlRTEQTYPE=$E2090),0))</f>
        <v>NG_FA1</v>
      </c>
      <c r="Y2090" s="153" t="str">
        <f t="array" ref="Y2090">INDEX(xlRTTYNAME,MATCH(1,(xlRTTYENDU=2)*(xlRTTYEQCL=$F2090)*(xlRTEQTYPE=$G2090),0))</f>
        <v>CENT_AIR1</v>
      </c>
    </row>
    <row r="2091" spans="2:25" x14ac:dyDescent="0.2">
      <c r="B2091" s="126">
        <v>5</v>
      </c>
      <c r="C2091" s="126">
        <v>3</v>
      </c>
      <c r="D2091" s="126">
        <v>3</v>
      </c>
      <c r="E2091" s="126">
        <v>6</v>
      </c>
      <c r="F2091" s="126">
        <v>2</v>
      </c>
      <c r="G2091" s="126">
        <v>6</v>
      </c>
      <c r="H2091" s="126">
        <v>2023</v>
      </c>
      <c r="I2091" s="126">
        <v>2050</v>
      </c>
      <c r="J2091" s="127">
        <v>1.0559000000000001</v>
      </c>
      <c r="K2091" s="127">
        <v>1.0444</v>
      </c>
      <c r="L2091" s="127">
        <v>0.86729999999999996</v>
      </c>
      <c r="M2091" s="127">
        <v>1.0669</v>
      </c>
      <c r="N2091" s="127">
        <v>0.83460000000000001</v>
      </c>
      <c r="O2091" s="127">
        <v>1.0538000000000001</v>
      </c>
      <c r="P2091" s="126">
        <v>3419</v>
      </c>
      <c r="Q2091" s="128">
        <f t="array" ref="Q2091">SUM(IF(($S2091&gt;=4)*($C2091='TaxCred&amp;Subs'!$D$123:$D$127)*($H2091='TaxCred&amp;Subs'!$C$123:$C$127)*($H2091&lt;='TaxCred&amp;Subs'!$C$129),'TaxCred&amp;Subs'!$E$123:$E$127,0))</f>
        <v>0</v>
      </c>
      <c r="R2091" s="174">
        <v>0</v>
      </c>
      <c r="S2091" s="126">
        <v>2</v>
      </c>
      <c r="T2091" s="126" t="s">
        <v>224</v>
      </c>
      <c r="U2091" s="158"/>
      <c r="V2091" s="153" t="str">
        <f t="array" ref="V2091">INDEX(xlRTCLNAME,MATCH(1,(xlRTCLENDU=1)*(xlRTCLEQCL=$D2091),0))</f>
        <v>NG_FA</v>
      </c>
      <c r="W2091" s="153" t="str">
        <f t="array" ref="W2091">INDEX(xlRTCLNAME,MATCH(1,(xlRTCLENDU=2)*(xlRTCLEQCL=$F2091),0))</f>
        <v>CENT_AIR</v>
      </c>
      <c r="X2091" s="153" t="str">
        <f t="array" ref="X2091">INDEX(xlRTTYNAME,MATCH(1,(xlRTTYENDU=1)*(xlRTTYEQCL=$D2091)*(xlRTEQTYPE=$E2091),0))</f>
        <v>NG_FA1</v>
      </c>
      <c r="Y2091" s="153" t="str">
        <f t="array" ref="Y2091">INDEX(xlRTTYNAME,MATCH(1,(xlRTTYENDU=2)*(xlRTTYEQCL=$F2091)*(xlRTEQTYPE=$G2091),0))</f>
        <v>CENT_AIR2</v>
      </c>
    </row>
    <row r="2092" spans="2:25" x14ac:dyDescent="0.2">
      <c r="B2092" s="126">
        <v>6</v>
      </c>
      <c r="C2092" s="126">
        <v>3</v>
      </c>
      <c r="D2092" s="126">
        <v>3</v>
      </c>
      <c r="E2092" s="126">
        <v>6</v>
      </c>
      <c r="F2092" s="126">
        <v>2</v>
      </c>
      <c r="G2092" s="126">
        <v>5</v>
      </c>
      <c r="H2092" s="126">
        <v>2016</v>
      </c>
      <c r="I2092" s="126">
        <v>2022</v>
      </c>
      <c r="J2092" s="127">
        <v>1.0872999999999999</v>
      </c>
      <c r="K2092" s="127">
        <v>1.0581</v>
      </c>
      <c r="L2092" s="127">
        <v>0.83140000000000003</v>
      </c>
      <c r="M2092" s="127">
        <v>1.0811999999999999</v>
      </c>
      <c r="N2092" s="127">
        <v>0.8044</v>
      </c>
      <c r="O2092" s="127">
        <v>1.0538000000000001</v>
      </c>
      <c r="P2092" s="126">
        <v>3827</v>
      </c>
      <c r="Q2092" s="128">
        <f t="array" ref="Q2092">SUM(IF(($S2092&gt;=4)*($C2092='TaxCred&amp;Subs'!$D$123:$D$127)*($H2092='TaxCred&amp;Subs'!$C$123:$C$127)*($H2092&lt;='TaxCred&amp;Subs'!$C$129),'TaxCred&amp;Subs'!$E$123:$E$127,0))</f>
        <v>0</v>
      </c>
      <c r="R2092" s="174">
        <v>0</v>
      </c>
      <c r="S2092" s="126">
        <v>2</v>
      </c>
      <c r="T2092" s="126" t="s">
        <v>224</v>
      </c>
      <c r="U2092" s="158"/>
      <c r="V2092" s="153" t="str">
        <f t="array" ref="V2092">INDEX(xlRTCLNAME,MATCH(1,(xlRTCLENDU=1)*(xlRTCLEQCL=$D2092),0))</f>
        <v>NG_FA</v>
      </c>
      <c r="W2092" s="153" t="str">
        <f t="array" ref="W2092">INDEX(xlRTCLNAME,MATCH(1,(xlRTCLENDU=2)*(xlRTCLEQCL=$F2092),0))</f>
        <v>CENT_AIR</v>
      </c>
      <c r="X2092" s="153" t="str">
        <f t="array" ref="X2092">INDEX(xlRTTYNAME,MATCH(1,(xlRTTYENDU=1)*(xlRTTYEQCL=$D2092)*(xlRTEQTYPE=$E2092),0))</f>
        <v>NG_FA1</v>
      </c>
      <c r="Y2092" s="153" t="str">
        <f t="array" ref="Y2092">INDEX(xlRTTYNAME,MATCH(1,(xlRTTYENDU=2)*(xlRTTYEQCL=$F2092)*(xlRTEQTYPE=$G2092),0))</f>
        <v>CENT_AIR1</v>
      </c>
    </row>
    <row r="2093" spans="2:25" x14ac:dyDescent="0.2">
      <c r="B2093" s="126">
        <v>6</v>
      </c>
      <c r="C2093" s="126">
        <v>3</v>
      </c>
      <c r="D2093" s="126">
        <v>3</v>
      </c>
      <c r="E2093" s="126">
        <v>6</v>
      </c>
      <c r="F2093" s="126">
        <v>2</v>
      </c>
      <c r="G2093" s="126">
        <v>6</v>
      </c>
      <c r="H2093" s="126">
        <v>2023</v>
      </c>
      <c r="I2093" s="126">
        <v>2050</v>
      </c>
      <c r="J2093" s="127">
        <v>1.0872999999999999</v>
      </c>
      <c r="K2093" s="127">
        <v>1.0581</v>
      </c>
      <c r="L2093" s="127">
        <v>0.83140000000000003</v>
      </c>
      <c r="M2093" s="127">
        <v>1.0811999999999999</v>
      </c>
      <c r="N2093" s="127">
        <v>0.8044</v>
      </c>
      <c r="O2093" s="127">
        <v>1.0538000000000001</v>
      </c>
      <c r="P2093" s="126">
        <v>3827</v>
      </c>
      <c r="Q2093" s="128">
        <f t="array" ref="Q2093">SUM(IF(($S2093&gt;=4)*($C2093='TaxCred&amp;Subs'!$D$123:$D$127)*($H2093='TaxCred&amp;Subs'!$C$123:$C$127)*($H2093&lt;='TaxCred&amp;Subs'!$C$129),'TaxCred&amp;Subs'!$E$123:$E$127,0))</f>
        <v>0</v>
      </c>
      <c r="R2093" s="174">
        <v>0</v>
      </c>
      <c r="S2093" s="126">
        <v>2</v>
      </c>
      <c r="T2093" s="126" t="s">
        <v>224</v>
      </c>
      <c r="U2093" s="158"/>
      <c r="V2093" s="153" t="str">
        <f t="array" ref="V2093">INDEX(xlRTCLNAME,MATCH(1,(xlRTCLENDU=1)*(xlRTCLEQCL=$D2093),0))</f>
        <v>NG_FA</v>
      </c>
      <c r="W2093" s="153" t="str">
        <f t="array" ref="W2093">INDEX(xlRTCLNAME,MATCH(1,(xlRTCLENDU=2)*(xlRTCLEQCL=$F2093),0))</f>
        <v>CENT_AIR</v>
      </c>
      <c r="X2093" s="153" t="str">
        <f t="array" ref="X2093">INDEX(xlRTTYNAME,MATCH(1,(xlRTTYENDU=1)*(xlRTTYEQCL=$D2093)*(xlRTEQTYPE=$E2093),0))</f>
        <v>NG_FA1</v>
      </c>
      <c r="Y2093" s="153" t="str">
        <f t="array" ref="Y2093">INDEX(xlRTTYNAME,MATCH(1,(xlRTTYENDU=2)*(xlRTTYEQCL=$F2093)*(xlRTEQTYPE=$G2093),0))</f>
        <v>CENT_AIR2</v>
      </c>
    </row>
    <row r="2094" spans="2:25" x14ac:dyDescent="0.2">
      <c r="B2094" s="126">
        <v>7</v>
      </c>
      <c r="C2094" s="126">
        <v>3</v>
      </c>
      <c r="D2094" s="126">
        <v>3</v>
      </c>
      <c r="E2094" s="126">
        <v>6</v>
      </c>
      <c r="F2094" s="126">
        <v>2</v>
      </c>
      <c r="G2094" s="126">
        <v>5</v>
      </c>
      <c r="H2094" s="126">
        <v>2016</v>
      </c>
      <c r="I2094" s="126">
        <v>2022</v>
      </c>
      <c r="J2094" s="127">
        <v>1.0914999999999999</v>
      </c>
      <c r="K2094" s="127">
        <v>1.0496000000000001</v>
      </c>
      <c r="L2094" s="127">
        <v>0.89400000000000002</v>
      </c>
      <c r="M2094" s="127">
        <v>1.0887</v>
      </c>
      <c r="N2094" s="127">
        <v>0.81759999999999999</v>
      </c>
      <c r="O2094" s="127">
        <v>1.0538000000000001</v>
      </c>
      <c r="P2094" s="126">
        <v>2643</v>
      </c>
      <c r="Q2094" s="128">
        <f t="array" ref="Q2094">SUM(IF(($S2094&gt;=4)*($C2094='TaxCred&amp;Subs'!$D$123:$D$127)*($H2094='TaxCred&amp;Subs'!$C$123:$C$127)*($H2094&lt;='TaxCred&amp;Subs'!$C$129),'TaxCred&amp;Subs'!$E$123:$E$127,0))</f>
        <v>0</v>
      </c>
      <c r="R2094" s="174">
        <v>0</v>
      </c>
      <c r="S2094" s="126">
        <v>2</v>
      </c>
      <c r="T2094" s="126" t="s">
        <v>224</v>
      </c>
      <c r="U2094" s="158"/>
      <c r="V2094" s="153" t="str">
        <f t="array" ref="V2094">INDEX(xlRTCLNAME,MATCH(1,(xlRTCLENDU=1)*(xlRTCLEQCL=$D2094),0))</f>
        <v>NG_FA</v>
      </c>
      <c r="W2094" s="153" t="str">
        <f t="array" ref="W2094">INDEX(xlRTCLNAME,MATCH(1,(xlRTCLENDU=2)*(xlRTCLEQCL=$F2094),0))</f>
        <v>CENT_AIR</v>
      </c>
      <c r="X2094" s="153" t="str">
        <f t="array" ref="X2094">INDEX(xlRTTYNAME,MATCH(1,(xlRTTYENDU=1)*(xlRTTYEQCL=$D2094)*(xlRTEQTYPE=$E2094),0))</f>
        <v>NG_FA1</v>
      </c>
      <c r="Y2094" s="153" t="str">
        <f t="array" ref="Y2094">INDEX(xlRTTYNAME,MATCH(1,(xlRTTYENDU=2)*(xlRTTYEQCL=$F2094)*(xlRTEQTYPE=$G2094),0))</f>
        <v>CENT_AIR1</v>
      </c>
    </row>
    <row r="2095" spans="2:25" x14ac:dyDescent="0.2">
      <c r="B2095" s="126">
        <v>7</v>
      </c>
      <c r="C2095" s="126">
        <v>3</v>
      </c>
      <c r="D2095" s="126">
        <v>3</v>
      </c>
      <c r="E2095" s="126">
        <v>6</v>
      </c>
      <c r="F2095" s="126">
        <v>2</v>
      </c>
      <c r="G2095" s="126">
        <v>6</v>
      </c>
      <c r="H2095" s="126">
        <v>2023</v>
      </c>
      <c r="I2095" s="126">
        <v>2050</v>
      </c>
      <c r="J2095" s="127">
        <v>1.0914999999999999</v>
      </c>
      <c r="K2095" s="127">
        <v>1.0496000000000001</v>
      </c>
      <c r="L2095" s="127">
        <v>0.89400000000000002</v>
      </c>
      <c r="M2095" s="127">
        <v>1.0887</v>
      </c>
      <c r="N2095" s="127">
        <v>0.81759999999999999</v>
      </c>
      <c r="O2095" s="127">
        <v>1.0538000000000001</v>
      </c>
      <c r="P2095" s="126">
        <v>2643</v>
      </c>
      <c r="Q2095" s="128">
        <f t="array" ref="Q2095">SUM(IF(($S2095&gt;=4)*($C2095='TaxCred&amp;Subs'!$D$123:$D$127)*($H2095='TaxCred&amp;Subs'!$C$123:$C$127)*($H2095&lt;='TaxCred&amp;Subs'!$C$129),'TaxCred&amp;Subs'!$E$123:$E$127,0))</f>
        <v>0</v>
      </c>
      <c r="R2095" s="174">
        <v>0</v>
      </c>
      <c r="S2095" s="126">
        <v>2</v>
      </c>
      <c r="T2095" s="126" t="s">
        <v>224</v>
      </c>
      <c r="U2095" s="158"/>
      <c r="V2095" s="153" t="str">
        <f t="array" ref="V2095">INDEX(xlRTCLNAME,MATCH(1,(xlRTCLENDU=1)*(xlRTCLEQCL=$D2095),0))</f>
        <v>NG_FA</v>
      </c>
      <c r="W2095" s="153" t="str">
        <f t="array" ref="W2095">INDEX(xlRTCLNAME,MATCH(1,(xlRTCLENDU=2)*(xlRTCLEQCL=$F2095),0))</f>
        <v>CENT_AIR</v>
      </c>
      <c r="X2095" s="153" t="str">
        <f t="array" ref="X2095">INDEX(xlRTTYNAME,MATCH(1,(xlRTTYENDU=1)*(xlRTTYEQCL=$D2095)*(xlRTEQTYPE=$E2095),0))</f>
        <v>NG_FA1</v>
      </c>
      <c r="Y2095" s="153" t="str">
        <f t="array" ref="Y2095">INDEX(xlRTTYNAME,MATCH(1,(xlRTTYENDU=2)*(xlRTTYEQCL=$F2095)*(xlRTEQTYPE=$G2095),0))</f>
        <v>CENT_AIR2</v>
      </c>
    </row>
    <row r="2096" spans="2:25" x14ac:dyDescent="0.2">
      <c r="B2096" s="126">
        <v>8</v>
      </c>
      <c r="C2096" s="126">
        <v>3</v>
      </c>
      <c r="D2096" s="126">
        <v>3</v>
      </c>
      <c r="E2096" s="126">
        <v>6</v>
      </c>
      <c r="F2096" s="126">
        <v>2</v>
      </c>
      <c r="G2096" s="126">
        <v>5</v>
      </c>
      <c r="H2096" s="126">
        <v>2016</v>
      </c>
      <c r="I2096" s="126">
        <v>2022</v>
      </c>
      <c r="J2096" s="127">
        <v>1.07</v>
      </c>
      <c r="K2096" s="127">
        <v>1.07</v>
      </c>
      <c r="L2096" s="127">
        <v>0.75749999999999995</v>
      </c>
      <c r="M2096" s="127">
        <v>1.0437000000000001</v>
      </c>
      <c r="N2096" s="127">
        <v>0.80840000000000001</v>
      </c>
      <c r="O2096" s="127">
        <v>1.0538000000000001</v>
      </c>
      <c r="P2096" s="126">
        <v>5501</v>
      </c>
      <c r="Q2096" s="128">
        <f t="array" ref="Q2096">SUM(IF(($S2096&gt;=4)*($C2096='TaxCred&amp;Subs'!$D$123:$D$127)*($H2096='TaxCred&amp;Subs'!$C$123:$C$127)*($H2096&lt;='TaxCred&amp;Subs'!$C$129),'TaxCred&amp;Subs'!$E$123:$E$127,0))</f>
        <v>0</v>
      </c>
      <c r="R2096" s="174">
        <v>0</v>
      </c>
      <c r="S2096" s="126">
        <v>2</v>
      </c>
      <c r="T2096" s="126" t="s">
        <v>224</v>
      </c>
      <c r="U2096" s="158"/>
      <c r="V2096" s="153" t="str">
        <f t="array" ref="V2096">INDEX(xlRTCLNAME,MATCH(1,(xlRTCLENDU=1)*(xlRTCLEQCL=$D2096),0))</f>
        <v>NG_FA</v>
      </c>
      <c r="W2096" s="153" t="str">
        <f t="array" ref="W2096">INDEX(xlRTCLNAME,MATCH(1,(xlRTCLENDU=2)*(xlRTCLEQCL=$F2096),0))</f>
        <v>CENT_AIR</v>
      </c>
      <c r="X2096" s="153" t="str">
        <f t="array" ref="X2096">INDEX(xlRTTYNAME,MATCH(1,(xlRTTYENDU=1)*(xlRTTYEQCL=$D2096)*(xlRTEQTYPE=$E2096),0))</f>
        <v>NG_FA1</v>
      </c>
      <c r="Y2096" s="153" t="str">
        <f t="array" ref="Y2096">INDEX(xlRTTYNAME,MATCH(1,(xlRTTYENDU=2)*(xlRTTYEQCL=$F2096)*(xlRTEQTYPE=$G2096),0))</f>
        <v>CENT_AIR1</v>
      </c>
    </row>
    <row r="2097" spans="2:25" x14ac:dyDescent="0.2">
      <c r="B2097" s="126">
        <v>8</v>
      </c>
      <c r="C2097" s="126">
        <v>3</v>
      </c>
      <c r="D2097" s="126">
        <v>3</v>
      </c>
      <c r="E2097" s="126">
        <v>6</v>
      </c>
      <c r="F2097" s="126">
        <v>2</v>
      </c>
      <c r="G2097" s="126">
        <v>6</v>
      </c>
      <c r="H2097" s="126">
        <v>2023</v>
      </c>
      <c r="I2097" s="126">
        <v>2050</v>
      </c>
      <c r="J2097" s="127">
        <v>1.07</v>
      </c>
      <c r="K2097" s="127">
        <v>1.07</v>
      </c>
      <c r="L2097" s="127">
        <v>0.75749999999999995</v>
      </c>
      <c r="M2097" s="127">
        <v>1.0437000000000001</v>
      </c>
      <c r="N2097" s="127">
        <v>0.80840000000000001</v>
      </c>
      <c r="O2097" s="127">
        <v>1.0538000000000001</v>
      </c>
      <c r="P2097" s="126">
        <v>5501</v>
      </c>
      <c r="Q2097" s="128">
        <f t="array" ref="Q2097">SUM(IF(($S2097&gt;=4)*($C2097='TaxCred&amp;Subs'!$D$123:$D$127)*($H2097='TaxCred&amp;Subs'!$C$123:$C$127)*($H2097&lt;='TaxCred&amp;Subs'!$C$129),'TaxCred&amp;Subs'!$E$123:$E$127,0))</f>
        <v>0</v>
      </c>
      <c r="R2097" s="174">
        <v>0</v>
      </c>
      <c r="S2097" s="126">
        <v>2</v>
      </c>
      <c r="T2097" s="126" t="s">
        <v>224</v>
      </c>
      <c r="U2097" s="158"/>
      <c r="V2097" s="153" t="str">
        <f t="array" ref="V2097">INDEX(xlRTCLNAME,MATCH(1,(xlRTCLENDU=1)*(xlRTCLEQCL=$D2097),0))</f>
        <v>NG_FA</v>
      </c>
      <c r="W2097" s="153" t="str">
        <f t="array" ref="W2097">INDEX(xlRTCLNAME,MATCH(1,(xlRTCLENDU=2)*(xlRTCLEQCL=$F2097),0))</f>
        <v>CENT_AIR</v>
      </c>
      <c r="X2097" s="153" t="str">
        <f t="array" ref="X2097">INDEX(xlRTTYNAME,MATCH(1,(xlRTTYENDU=1)*(xlRTTYEQCL=$D2097)*(xlRTEQTYPE=$E2097),0))</f>
        <v>NG_FA1</v>
      </c>
      <c r="Y2097" s="153" t="str">
        <f t="array" ref="Y2097">INDEX(xlRTTYNAME,MATCH(1,(xlRTTYENDU=2)*(xlRTTYEQCL=$F2097)*(xlRTEQTYPE=$G2097),0))</f>
        <v>CENT_AIR2</v>
      </c>
    </row>
    <row r="2098" spans="2:25" x14ac:dyDescent="0.2">
      <c r="B2098" s="126">
        <v>9</v>
      </c>
      <c r="C2098" s="126">
        <v>3</v>
      </c>
      <c r="D2098" s="126">
        <v>3</v>
      </c>
      <c r="E2098" s="126">
        <v>6</v>
      </c>
      <c r="F2098" s="126">
        <v>2</v>
      </c>
      <c r="G2098" s="126">
        <v>5</v>
      </c>
      <c r="H2098" s="126">
        <v>2016</v>
      </c>
      <c r="I2098" s="126">
        <v>2022</v>
      </c>
      <c r="J2098" s="127">
        <v>1.0761000000000001</v>
      </c>
      <c r="K2098" s="127">
        <v>1.0506</v>
      </c>
      <c r="L2098" s="127">
        <v>0.86780000000000002</v>
      </c>
      <c r="M2098" s="127">
        <v>1.1609</v>
      </c>
      <c r="N2098" s="127">
        <v>0.84670000000000001</v>
      </c>
      <c r="O2098" s="127">
        <v>1.0538000000000001</v>
      </c>
      <c r="P2098" s="126">
        <v>5354</v>
      </c>
      <c r="Q2098" s="128">
        <f t="array" ref="Q2098">SUM(IF(($S2098&gt;=4)*($C2098='TaxCred&amp;Subs'!$D$123:$D$127)*($H2098='TaxCred&amp;Subs'!$C$123:$C$127)*($H2098&lt;='TaxCred&amp;Subs'!$C$129),'TaxCred&amp;Subs'!$E$123:$E$127,0))</f>
        <v>0</v>
      </c>
      <c r="R2098" s="174">
        <v>0</v>
      </c>
      <c r="S2098" s="126">
        <v>2</v>
      </c>
      <c r="T2098" s="126" t="s">
        <v>224</v>
      </c>
      <c r="U2098" s="158"/>
      <c r="V2098" s="153" t="str">
        <f t="array" ref="V2098">INDEX(xlRTCLNAME,MATCH(1,(xlRTCLENDU=1)*(xlRTCLEQCL=$D2098),0))</f>
        <v>NG_FA</v>
      </c>
      <c r="W2098" s="153" t="str">
        <f t="array" ref="W2098">INDEX(xlRTCLNAME,MATCH(1,(xlRTCLENDU=2)*(xlRTCLEQCL=$F2098),0))</f>
        <v>CENT_AIR</v>
      </c>
      <c r="X2098" s="153" t="str">
        <f t="array" ref="X2098">INDEX(xlRTTYNAME,MATCH(1,(xlRTTYENDU=1)*(xlRTTYEQCL=$D2098)*(xlRTEQTYPE=$E2098),0))</f>
        <v>NG_FA1</v>
      </c>
      <c r="Y2098" s="153" t="str">
        <f t="array" ref="Y2098">INDEX(xlRTTYNAME,MATCH(1,(xlRTTYENDU=2)*(xlRTTYEQCL=$F2098)*(xlRTEQTYPE=$G2098),0))</f>
        <v>CENT_AIR1</v>
      </c>
    </row>
    <row r="2099" spans="2:25" x14ac:dyDescent="0.2">
      <c r="B2099" s="126">
        <v>9</v>
      </c>
      <c r="C2099" s="126">
        <v>3</v>
      </c>
      <c r="D2099" s="126">
        <v>3</v>
      </c>
      <c r="E2099" s="126">
        <v>6</v>
      </c>
      <c r="F2099" s="126">
        <v>2</v>
      </c>
      <c r="G2099" s="126">
        <v>6</v>
      </c>
      <c r="H2099" s="126">
        <v>2023</v>
      </c>
      <c r="I2099" s="126">
        <v>2050</v>
      </c>
      <c r="J2099" s="127">
        <v>1.0761000000000001</v>
      </c>
      <c r="K2099" s="127">
        <v>1.0506</v>
      </c>
      <c r="L2099" s="127">
        <v>0.86780000000000002</v>
      </c>
      <c r="M2099" s="127">
        <v>1.1609</v>
      </c>
      <c r="N2099" s="127">
        <v>0.84670000000000001</v>
      </c>
      <c r="O2099" s="127">
        <v>1.0538000000000001</v>
      </c>
      <c r="P2099" s="126">
        <v>5354</v>
      </c>
      <c r="Q2099" s="128">
        <f t="array" ref="Q2099">SUM(IF(($S2099&gt;=4)*($C2099='TaxCred&amp;Subs'!$D$123:$D$127)*($H2099='TaxCred&amp;Subs'!$C$123:$C$127)*($H2099&lt;='TaxCred&amp;Subs'!$C$129),'TaxCred&amp;Subs'!$E$123:$E$127,0))</f>
        <v>0</v>
      </c>
      <c r="R2099" s="174">
        <v>0</v>
      </c>
      <c r="S2099" s="126">
        <v>2</v>
      </c>
      <c r="T2099" s="126" t="s">
        <v>224</v>
      </c>
      <c r="U2099" s="158"/>
      <c r="V2099" s="153" t="str">
        <f t="array" ref="V2099">INDEX(xlRTCLNAME,MATCH(1,(xlRTCLENDU=1)*(xlRTCLEQCL=$D2099),0))</f>
        <v>NG_FA</v>
      </c>
      <c r="W2099" s="153" t="str">
        <f t="array" ref="W2099">INDEX(xlRTCLNAME,MATCH(1,(xlRTCLENDU=2)*(xlRTCLEQCL=$F2099),0))</f>
        <v>CENT_AIR</v>
      </c>
      <c r="X2099" s="153" t="str">
        <f t="array" ref="X2099">INDEX(xlRTTYNAME,MATCH(1,(xlRTTYENDU=1)*(xlRTTYEQCL=$D2099)*(xlRTEQTYPE=$E2099),0))</f>
        <v>NG_FA1</v>
      </c>
      <c r="Y2099" s="153" t="str">
        <f t="array" ref="Y2099">INDEX(xlRTTYNAME,MATCH(1,(xlRTTYENDU=2)*(xlRTTYEQCL=$F2099)*(xlRTEQTYPE=$G2099),0))</f>
        <v>CENT_AIR2</v>
      </c>
    </row>
    <row r="2100" spans="2:25" x14ac:dyDescent="0.2">
      <c r="B2100" s="126">
        <v>1</v>
      </c>
      <c r="C2100" s="126">
        <v>3</v>
      </c>
      <c r="D2100" s="126">
        <v>4</v>
      </c>
      <c r="E2100" s="126">
        <v>10</v>
      </c>
      <c r="F2100" s="126">
        <v>2</v>
      </c>
      <c r="G2100" s="126">
        <v>5</v>
      </c>
      <c r="H2100" s="126">
        <v>2016</v>
      </c>
      <c r="I2100" s="126">
        <v>2022</v>
      </c>
      <c r="J2100" s="127">
        <v>1.07</v>
      </c>
      <c r="K2100" s="127">
        <v>1.07</v>
      </c>
      <c r="L2100" s="127">
        <v>0.69540000000000002</v>
      </c>
      <c r="M2100" s="127">
        <v>1.0588</v>
      </c>
      <c r="N2100" s="127">
        <v>0.77410000000000001</v>
      </c>
      <c r="O2100" s="127">
        <v>1.0538000000000001</v>
      </c>
      <c r="P2100" s="126">
        <v>6643</v>
      </c>
      <c r="Q2100" s="128">
        <f t="array" ref="Q2100">SUM(IF(($S2100&gt;=4)*($C2100='TaxCred&amp;Subs'!$D$123:$D$127)*($H2100='TaxCred&amp;Subs'!$C$123:$C$127)*($H2100&lt;='TaxCred&amp;Subs'!$C$129),'TaxCred&amp;Subs'!$E$123:$E$127,0))</f>
        <v>0</v>
      </c>
      <c r="R2100" s="174">
        <v>0</v>
      </c>
      <c r="S2100" s="126">
        <v>2</v>
      </c>
      <c r="T2100" s="126" t="s">
        <v>224</v>
      </c>
      <c r="U2100" s="158"/>
      <c r="V2100" s="153" t="str">
        <f t="array" ref="V2100">INDEX(xlRTCLNAME,MATCH(1,(xlRTCLENDU=1)*(xlRTCLEQCL=$D2100),0))</f>
        <v>NG_RAD</v>
      </c>
      <c r="W2100" s="153" t="str">
        <f t="array" ref="W2100">INDEX(xlRTCLNAME,MATCH(1,(xlRTCLENDU=2)*(xlRTCLEQCL=$F2100),0))</f>
        <v>CENT_AIR</v>
      </c>
      <c r="X2100" s="153" t="str">
        <f t="array" ref="X2100">INDEX(xlRTTYNAME,MATCH(1,(xlRTTYENDU=1)*(xlRTTYEQCL=$D2100)*(xlRTEQTYPE=$E2100),0))</f>
        <v>NG_RAD1</v>
      </c>
      <c r="Y2100" s="153" t="str">
        <f t="array" ref="Y2100">INDEX(xlRTTYNAME,MATCH(1,(xlRTTYENDU=2)*(xlRTTYEQCL=$F2100)*(xlRTEQTYPE=$G2100),0))</f>
        <v>CENT_AIR1</v>
      </c>
    </row>
    <row r="2101" spans="2:25" x14ac:dyDescent="0.2">
      <c r="B2101" s="126">
        <v>1</v>
      </c>
      <c r="C2101" s="126">
        <v>3</v>
      </c>
      <c r="D2101" s="126">
        <v>4</v>
      </c>
      <c r="E2101" s="126">
        <v>10</v>
      </c>
      <c r="F2101" s="126">
        <v>2</v>
      </c>
      <c r="G2101" s="126">
        <v>6</v>
      </c>
      <c r="H2101" s="126">
        <v>2023</v>
      </c>
      <c r="I2101" s="126">
        <v>2050</v>
      </c>
      <c r="J2101" s="127">
        <v>1.07</v>
      </c>
      <c r="K2101" s="127">
        <v>1.07</v>
      </c>
      <c r="L2101" s="127">
        <v>0.69540000000000002</v>
      </c>
      <c r="M2101" s="127">
        <v>1.0588</v>
      </c>
      <c r="N2101" s="127">
        <v>0.77410000000000001</v>
      </c>
      <c r="O2101" s="127">
        <v>1.0538000000000001</v>
      </c>
      <c r="P2101" s="126">
        <v>6643</v>
      </c>
      <c r="Q2101" s="128">
        <f t="array" ref="Q2101">SUM(IF(($S2101&gt;=4)*($C2101='TaxCred&amp;Subs'!$D$123:$D$127)*($H2101='TaxCred&amp;Subs'!$C$123:$C$127)*($H2101&lt;='TaxCred&amp;Subs'!$C$129),'TaxCred&amp;Subs'!$E$123:$E$127,0))</f>
        <v>0</v>
      </c>
      <c r="R2101" s="174">
        <v>0</v>
      </c>
      <c r="S2101" s="126">
        <v>2</v>
      </c>
      <c r="T2101" s="126" t="s">
        <v>224</v>
      </c>
      <c r="U2101" s="158"/>
      <c r="V2101" s="153" t="str">
        <f t="array" ref="V2101">INDEX(xlRTCLNAME,MATCH(1,(xlRTCLENDU=1)*(xlRTCLEQCL=$D2101),0))</f>
        <v>NG_RAD</v>
      </c>
      <c r="W2101" s="153" t="str">
        <f t="array" ref="W2101">INDEX(xlRTCLNAME,MATCH(1,(xlRTCLENDU=2)*(xlRTCLEQCL=$F2101),0))</f>
        <v>CENT_AIR</v>
      </c>
      <c r="X2101" s="153" t="str">
        <f t="array" ref="X2101">INDEX(xlRTTYNAME,MATCH(1,(xlRTTYENDU=1)*(xlRTTYEQCL=$D2101)*(xlRTEQTYPE=$E2101),0))</f>
        <v>NG_RAD1</v>
      </c>
      <c r="Y2101" s="153" t="str">
        <f t="array" ref="Y2101">INDEX(xlRTTYNAME,MATCH(1,(xlRTTYENDU=2)*(xlRTTYEQCL=$F2101)*(xlRTEQTYPE=$G2101),0))</f>
        <v>CENT_AIR2</v>
      </c>
    </row>
    <row r="2102" spans="2:25" x14ac:dyDescent="0.2">
      <c r="B2102" s="126">
        <v>2</v>
      </c>
      <c r="C2102" s="126">
        <v>3</v>
      </c>
      <c r="D2102" s="126">
        <v>4</v>
      </c>
      <c r="E2102" s="126">
        <v>10</v>
      </c>
      <c r="F2102" s="126">
        <v>2</v>
      </c>
      <c r="G2102" s="126">
        <v>5</v>
      </c>
      <c r="H2102" s="126">
        <v>2016</v>
      </c>
      <c r="I2102" s="126">
        <v>2022</v>
      </c>
      <c r="J2102" s="127">
        <v>1.07</v>
      </c>
      <c r="K2102" s="127">
        <v>1.07</v>
      </c>
      <c r="L2102" s="127">
        <v>0.76580000000000004</v>
      </c>
      <c r="M2102" s="127">
        <v>1.1206</v>
      </c>
      <c r="N2102" s="127">
        <v>0.83819999999999995</v>
      </c>
      <c r="O2102" s="127">
        <v>1.0538000000000001</v>
      </c>
      <c r="P2102" s="126">
        <v>6885</v>
      </c>
      <c r="Q2102" s="128">
        <f t="array" ref="Q2102">SUM(IF(($S2102&gt;=4)*($C2102='TaxCred&amp;Subs'!$D$123:$D$127)*($H2102='TaxCred&amp;Subs'!$C$123:$C$127)*($H2102&lt;='TaxCred&amp;Subs'!$C$129),'TaxCred&amp;Subs'!$E$123:$E$127,0))</f>
        <v>0</v>
      </c>
      <c r="R2102" s="174">
        <v>0</v>
      </c>
      <c r="S2102" s="126">
        <v>2</v>
      </c>
      <c r="T2102" s="126" t="s">
        <v>224</v>
      </c>
      <c r="U2102" s="158"/>
      <c r="V2102" s="153" t="str">
        <f t="array" ref="V2102">INDEX(xlRTCLNAME,MATCH(1,(xlRTCLENDU=1)*(xlRTCLEQCL=$D2102),0))</f>
        <v>NG_RAD</v>
      </c>
      <c r="W2102" s="153" t="str">
        <f t="array" ref="W2102">INDEX(xlRTCLNAME,MATCH(1,(xlRTCLENDU=2)*(xlRTCLEQCL=$F2102),0))</f>
        <v>CENT_AIR</v>
      </c>
      <c r="X2102" s="153" t="str">
        <f t="array" ref="X2102">INDEX(xlRTTYNAME,MATCH(1,(xlRTTYENDU=1)*(xlRTTYEQCL=$D2102)*(xlRTEQTYPE=$E2102),0))</f>
        <v>NG_RAD1</v>
      </c>
      <c r="Y2102" s="153" t="str">
        <f t="array" ref="Y2102">INDEX(xlRTTYNAME,MATCH(1,(xlRTTYENDU=2)*(xlRTTYEQCL=$F2102)*(xlRTEQTYPE=$G2102),0))</f>
        <v>CENT_AIR1</v>
      </c>
    </row>
    <row r="2103" spans="2:25" x14ac:dyDescent="0.2">
      <c r="B2103" s="126">
        <v>2</v>
      </c>
      <c r="C2103" s="126">
        <v>3</v>
      </c>
      <c r="D2103" s="126">
        <v>4</v>
      </c>
      <c r="E2103" s="126">
        <v>10</v>
      </c>
      <c r="F2103" s="126">
        <v>2</v>
      </c>
      <c r="G2103" s="126">
        <v>6</v>
      </c>
      <c r="H2103" s="126">
        <v>2023</v>
      </c>
      <c r="I2103" s="126">
        <v>2050</v>
      </c>
      <c r="J2103" s="127">
        <v>1.07</v>
      </c>
      <c r="K2103" s="127">
        <v>1.07</v>
      </c>
      <c r="L2103" s="127">
        <v>0.76580000000000004</v>
      </c>
      <c r="M2103" s="127">
        <v>1.1206</v>
      </c>
      <c r="N2103" s="127">
        <v>0.83819999999999995</v>
      </c>
      <c r="O2103" s="127">
        <v>1.0538000000000001</v>
      </c>
      <c r="P2103" s="126">
        <v>6885</v>
      </c>
      <c r="Q2103" s="128">
        <f t="array" ref="Q2103">SUM(IF(($S2103&gt;=4)*($C2103='TaxCred&amp;Subs'!$D$123:$D$127)*($H2103='TaxCred&amp;Subs'!$C$123:$C$127)*($H2103&lt;='TaxCred&amp;Subs'!$C$129),'TaxCred&amp;Subs'!$E$123:$E$127,0))</f>
        <v>0</v>
      </c>
      <c r="R2103" s="174">
        <v>0</v>
      </c>
      <c r="S2103" s="126">
        <v>2</v>
      </c>
      <c r="T2103" s="126" t="s">
        <v>224</v>
      </c>
      <c r="U2103" s="158"/>
      <c r="V2103" s="153" t="str">
        <f t="array" ref="V2103">INDEX(xlRTCLNAME,MATCH(1,(xlRTCLENDU=1)*(xlRTCLEQCL=$D2103),0))</f>
        <v>NG_RAD</v>
      </c>
      <c r="W2103" s="153" t="str">
        <f t="array" ref="W2103">INDEX(xlRTCLNAME,MATCH(1,(xlRTCLENDU=2)*(xlRTCLEQCL=$F2103),0))</f>
        <v>CENT_AIR</v>
      </c>
      <c r="X2103" s="153" t="str">
        <f t="array" ref="X2103">INDEX(xlRTTYNAME,MATCH(1,(xlRTTYENDU=1)*(xlRTTYEQCL=$D2103)*(xlRTEQTYPE=$E2103),0))</f>
        <v>NG_RAD1</v>
      </c>
      <c r="Y2103" s="153" t="str">
        <f t="array" ref="Y2103">INDEX(xlRTTYNAME,MATCH(1,(xlRTTYENDU=2)*(xlRTTYEQCL=$F2103)*(xlRTEQTYPE=$G2103),0))</f>
        <v>CENT_AIR2</v>
      </c>
    </row>
    <row r="2104" spans="2:25" x14ac:dyDescent="0.2">
      <c r="B2104" s="126">
        <v>3</v>
      </c>
      <c r="C2104" s="126">
        <v>3</v>
      </c>
      <c r="D2104" s="126">
        <v>4</v>
      </c>
      <c r="E2104" s="126">
        <v>10</v>
      </c>
      <c r="F2104" s="126">
        <v>2</v>
      </c>
      <c r="G2104" s="126">
        <v>5</v>
      </c>
      <c r="H2104" s="126">
        <v>2016</v>
      </c>
      <c r="I2104" s="126">
        <v>2022</v>
      </c>
      <c r="J2104" s="127">
        <v>1.07</v>
      </c>
      <c r="K2104" s="127">
        <v>1.07</v>
      </c>
      <c r="L2104" s="127">
        <v>0.78100000000000003</v>
      </c>
      <c r="M2104" s="127">
        <v>1.0925</v>
      </c>
      <c r="N2104" s="127">
        <v>0.84330000000000005</v>
      </c>
      <c r="O2104" s="127">
        <v>1.0538000000000001</v>
      </c>
      <c r="P2104" s="126">
        <v>6732</v>
      </c>
      <c r="Q2104" s="128">
        <f t="array" ref="Q2104">SUM(IF(($S2104&gt;=4)*($C2104='TaxCred&amp;Subs'!$D$123:$D$127)*($H2104='TaxCred&amp;Subs'!$C$123:$C$127)*($H2104&lt;='TaxCred&amp;Subs'!$C$129),'TaxCred&amp;Subs'!$E$123:$E$127,0))</f>
        <v>0</v>
      </c>
      <c r="R2104" s="174">
        <v>0</v>
      </c>
      <c r="S2104" s="126">
        <v>2</v>
      </c>
      <c r="T2104" s="126" t="s">
        <v>224</v>
      </c>
      <c r="U2104" s="158"/>
      <c r="V2104" s="153" t="str">
        <f t="array" ref="V2104">INDEX(xlRTCLNAME,MATCH(1,(xlRTCLENDU=1)*(xlRTCLEQCL=$D2104),0))</f>
        <v>NG_RAD</v>
      </c>
      <c r="W2104" s="153" t="str">
        <f t="array" ref="W2104">INDEX(xlRTCLNAME,MATCH(1,(xlRTCLENDU=2)*(xlRTCLEQCL=$F2104),0))</f>
        <v>CENT_AIR</v>
      </c>
      <c r="X2104" s="153" t="str">
        <f t="array" ref="X2104">INDEX(xlRTTYNAME,MATCH(1,(xlRTTYENDU=1)*(xlRTTYEQCL=$D2104)*(xlRTEQTYPE=$E2104),0))</f>
        <v>NG_RAD1</v>
      </c>
      <c r="Y2104" s="153" t="str">
        <f t="array" ref="Y2104">INDEX(xlRTTYNAME,MATCH(1,(xlRTTYENDU=2)*(xlRTTYEQCL=$F2104)*(xlRTEQTYPE=$G2104),0))</f>
        <v>CENT_AIR1</v>
      </c>
    </row>
    <row r="2105" spans="2:25" x14ac:dyDescent="0.2">
      <c r="B2105" s="126">
        <v>3</v>
      </c>
      <c r="C2105" s="126">
        <v>3</v>
      </c>
      <c r="D2105" s="126">
        <v>4</v>
      </c>
      <c r="E2105" s="126">
        <v>10</v>
      </c>
      <c r="F2105" s="126">
        <v>2</v>
      </c>
      <c r="G2105" s="126">
        <v>6</v>
      </c>
      <c r="H2105" s="126">
        <v>2023</v>
      </c>
      <c r="I2105" s="126">
        <v>2050</v>
      </c>
      <c r="J2105" s="127">
        <v>1.07</v>
      </c>
      <c r="K2105" s="127">
        <v>1.07</v>
      </c>
      <c r="L2105" s="127">
        <v>0.78100000000000003</v>
      </c>
      <c r="M2105" s="127">
        <v>1.0925</v>
      </c>
      <c r="N2105" s="127">
        <v>0.84330000000000005</v>
      </c>
      <c r="O2105" s="127">
        <v>1.0538000000000001</v>
      </c>
      <c r="P2105" s="126">
        <v>6732</v>
      </c>
      <c r="Q2105" s="128">
        <f t="array" ref="Q2105">SUM(IF(($S2105&gt;=4)*($C2105='TaxCred&amp;Subs'!$D$123:$D$127)*($H2105='TaxCred&amp;Subs'!$C$123:$C$127)*($H2105&lt;='TaxCred&amp;Subs'!$C$129),'TaxCred&amp;Subs'!$E$123:$E$127,0))</f>
        <v>0</v>
      </c>
      <c r="R2105" s="174">
        <v>0</v>
      </c>
      <c r="S2105" s="126">
        <v>2</v>
      </c>
      <c r="T2105" s="126" t="s">
        <v>224</v>
      </c>
      <c r="U2105" s="158"/>
      <c r="V2105" s="153" t="str">
        <f t="array" ref="V2105">INDEX(xlRTCLNAME,MATCH(1,(xlRTCLENDU=1)*(xlRTCLEQCL=$D2105),0))</f>
        <v>NG_RAD</v>
      </c>
      <c r="W2105" s="153" t="str">
        <f t="array" ref="W2105">INDEX(xlRTCLNAME,MATCH(1,(xlRTCLENDU=2)*(xlRTCLEQCL=$F2105),0))</f>
        <v>CENT_AIR</v>
      </c>
      <c r="X2105" s="153" t="str">
        <f t="array" ref="X2105">INDEX(xlRTTYNAME,MATCH(1,(xlRTTYENDU=1)*(xlRTTYEQCL=$D2105)*(xlRTEQTYPE=$E2105),0))</f>
        <v>NG_RAD1</v>
      </c>
      <c r="Y2105" s="153" t="str">
        <f t="array" ref="Y2105">INDEX(xlRTTYNAME,MATCH(1,(xlRTTYENDU=2)*(xlRTTYEQCL=$F2105)*(xlRTEQTYPE=$G2105),0))</f>
        <v>CENT_AIR2</v>
      </c>
    </row>
    <row r="2106" spans="2:25" x14ac:dyDescent="0.2">
      <c r="B2106" s="126">
        <v>4</v>
      </c>
      <c r="C2106" s="126">
        <v>3</v>
      </c>
      <c r="D2106" s="126">
        <v>4</v>
      </c>
      <c r="E2106" s="126">
        <v>10</v>
      </c>
      <c r="F2106" s="126">
        <v>2</v>
      </c>
      <c r="G2106" s="126">
        <v>5</v>
      </c>
      <c r="H2106" s="126">
        <v>2016</v>
      </c>
      <c r="I2106" s="126">
        <v>2022</v>
      </c>
      <c r="J2106" s="127">
        <v>1.07</v>
      </c>
      <c r="K2106" s="127">
        <v>1.07</v>
      </c>
      <c r="L2106" s="127">
        <v>0.70320000000000005</v>
      </c>
      <c r="M2106" s="127">
        <v>1.0580000000000001</v>
      </c>
      <c r="N2106" s="127">
        <v>0.77339999999999998</v>
      </c>
      <c r="O2106" s="127">
        <v>1.0538000000000001</v>
      </c>
      <c r="P2106" s="126">
        <v>5885</v>
      </c>
      <c r="Q2106" s="128">
        <f t="array" ref="Q2106">SUM(IF(($S2106&gt;=4)*($C2106='TaxCred&amp;Subs'!$D$123:$D$127)*($H2106='TaxCred&amp;Subs'!$C$123:$C$127)*($H2106&lt;='TaxCred&amp;Subs'!$C$129),'TaxCred&amp;Subs'!$E$123:$E$127,0))</f>
        <v>0</v>
      </c>
      <c r="R2106" s="174">
        <v>0</v>
      </c>
      <c r="S2106" s="126">
        <v>2</v>
      </c>
      <c r="T2106" s="126" t="s">
        <v>224</v>
      </c>
      <c r="U2106" s="158"/>
      <c r="V2106" s="153" t="str">
        <f t="array" ref="V2106">INDEX(xlRTCLNAME,MATCH(1,(xlRTCLENDU=1)*(xlRTCLEQCL=$D2106),0))</f>
        <v>NG_RAD</v>
      </c>
      <c r="W2106" s="153" t="str">
        <f t="array" ref="W2106">INDEX(xlRTCLNAME,MATCH(1,(xlRTCLENDU=2)*(xlRTCLEQCL=$F2106),0))</f>
        <v>CENT_AIR</v>
      </c>
      <c r="X2106" s="153" t="str">
        <f t="array" ref="X2106">INDEX(xlRTTYNAME,MATCH(1,(xlRTTYENDU=1)*(xlRTTYEQCL=$D2106)*(xlRTEQTYPE=$E2106),0))</f>
        <v>NG_RAD1</v>
      </c>
      <c r="Y2106" s="153" t="str">
        <f t="array" ref="Y2106">INDEX(xlRTTYNAME,MATCH(1,(xlRTTYENDU=2)*(xlRTTYEQCL=$F2106)*(xlRTEQTYPE=$G2106),0))</f>
        <v>CENT_AIR1</v>
      </c>
    </row>
    <row r="2107" spans="2:25" x14ac:dyDescent="0.2">
      <c r="B2107" s="126">
        <v>4</v>
      </c>
      <c r="C2107" s="126">
        <v>3</v>
      </c>
      <c r="D2107" s="126">
        <v>4</v>
      </c>
      <c r="E2107" s="126">
        <v>10</v>
      </c>
      <c r="F2107" s="126">
        <v>2</v>
      </c>
      <c r="G2107" s="126">
        <v>6</v>
      </c>
      <c r="H2107" s="126">
        <v>2023</v>
      </c>
      <c r="I2107" s="126">
        <v>2050</v>
      </c>
      <c r="J2107" s="127">
        <v>1.07</v>
      </c>
      <c r="K2107" s="127">
        <v>1.07</v>
      </c>
      <c r="L2107" s="127">
        <v>0.70320000000000005</v>
      </c>
      <c r="M2107" s="127">
        <v>1.0580000000000001</v>
      </c>
      <c r="N2107" s="127">
        <v>0.77339999999999998</v>
      </c>
      <c r="O2107" s="127">
        <v>1.0538000000000001</v>
      </c>
      <c r="P2107" s="126">
        <v>5885</v>
      </c>
      <c r="Q2107" s="128">
        <f t="array" ref="Q2107">SUM(IF(($S2107&gt;=4)*($C2107='TaxCred&amp;Subs'!$D$123:$D$127)*($H2107='TaxCred&amp;Subs'!$C$123:$C$127)*($H2107&lt;='TaxCred&amp;Subs'!$C$129),'TaxCred&amp;Subs'!$E$123:$E$127,0))</f>
        <v>0</v>
      </c>
      <c r="R2107" s="174">
        <v>0</v>
      </c>
      <c r="S2107" s="126">
        <v>2</v>
      </c>
      <c r="T2107" s="126" t="s">
        <v>224</v>
      </c>
      <c r="U2107" s="158"/>
      <c r="V2107" s="153" t="str">
        <f t="array" ref="V2107">INDEX(xlRTCLNAME,MATCH(1,(xlRTCLENDU=1)*(xlRTCLEQCL=$D2107),0))</f>
        <v>NG_RAD</v>
      </c>
      <c r="W2107" s="153" t="str">
        <f t="array" ref="W2107">INDEX(xlRTCLNAME,MATCH(1,(xlRTCLENDU=2)*(xlRTCLEQCL=$F2107),0))</f>
        <v>CENT_AIR</v>
      </c>
      <c r="X2107" s="153" t="str">
        <f t="array" ref="X2107">INDEX(xlRTTYNAME,MATCH(1,(xlRTTYENDU=1)*(xlRTTYEQCL=$D2107)*(xlRTEQTYPE=$E2107),0))</f>
        <v>NG_RAD1</v>
      </c>
      <c r="Y2107" s="153" t="str">
        <f t="array" ref="Y2107">INDEX(xlRTTYNAME,MATCH(1,(xlRTTYENDU=2)*(xlRTTYEQCL=$F2107)*(xlRTEQTYPE=$G2107),0))</f>
        <v>CENT_AIR2</v>
      </c>
    </row>
    <row r="2108" spans="2:25" x14ac:dyDescent="0.2">
      <c r="B2108" s="126">
        <v>5</v>
      </c>
      <c r="C2108" s="126">
        <v>3</v>
      </c>
      <c r="D2108" s="126">
        <v>4</v>
      </c>
      <c r="E2108" s="126">
        <v>10</v>
      </c>
      <c r="F2108" s="126">
        <v>2</v>
      </c>
      <c r="G2108" s="126">
        <v>5</v>
      </c>
      <c r="H2108" s="126">
        <v>2016</v>
      </c>
      <c r="I2108" s="126">
        <v>2022</v>
      </c>
      <c r="J2108" s="127">
        <v>1.0940000000000001</v>
      </c>
      <c r="K2108" s="127">
        <v>1.0575000000000001</v>
      </c>
      <c r="L2108" s="127">
        <v>0.7964</v>
      </c>
      <c r="M2108" s="127">
        <v>1.0495000000000001</v>
      </c>
      <c r="N2108" s="127">
        <v>0.83130000000000004</v>
      </c>
      <c r="O2108" s="127">
        <v>1.0538000000000001</v>
      </c>
      <c r="P2108" s="126">
        <v>4581</v>
      </c>
      <c r="Q2108" s="128">
        <f t="array" ref="Q2108">SUM(IF(($S2108&gt;=4)*($C2108='TaxCred&amp;Subs'!$D$123:$D$127)*($H2108='TaxCred&amp;Subs'!$C$123:$C$127)*($H2108&lt;='TaxCred&amp;Subs'!$C$129),'TaxCred&amp;Subs'!$E$123:$E$127,0))</f>
        <v>0</v>
      </c>
      <c r="R2108" s="174">
        <v>0</v>
      </c>
      <c r="S2108" s="126">
        <v>2</v>
      </c>
      <c r="T2108" s="126" t="s">
        <v>224</v>
      </c>
      <c r="U2108" s="158"/>
      <c r="V2108" s="153" t="str">
        <f t="array" ref="V2108">INDEX(xlRTCLNAME,MATCH(1,(xlRTCLENDU=1)*(xlRTCLEQCL=$D2108),0))</f>
        <v>NG_RAD</v>
      </c>
      <c r="W2108" s="153" t="str">
        <f t="array" ref="W2108">INDEX(xlRTCLNAME,MATCH(1,(xlRTCLENDU=2)*(xlRTCLEQCL=$F2108),0))</f>
        <v>CENT_AIR</v>
      </c>
      <c r="X2108" s="153" t="str">
        <f t="array" ref="X2108">INDEX(xlRTTYNAME,MATCH(1,(xlRTTYENDU=1)*(xlRTTYEQCL=$D2108)*(xlRTEQTYPE=$E2108),0))</f>
        <v>NG_RAD1</v>
      </c>
      <c r="Y2108" s="153" t="str">
        <f t="array" ref="Y2108">INDEX(xlRTTYNAME,MATCH(1,(xlRTTYENDU=2)*(xlRTTYEQCL=$F2108)*(xlRTEQTYPE=$G2108),0))</f>
        <v>CENT_AIR1</v>
      </c>
    </row>
    <row r="2109" spans="2:25" x14ac:dyDescent="0.2">
      <c r="B2109" s="126">
        <v>5</v>
      </c>
      <c r="C2109" s="126">
        <v>3</v>
      </c>
      <c r="D2109" s="126">
        <v>4</v>
      </c>
      <c r="E2109" s="126">
        <v>10</v>
      </c>
      <c r="F2109" s="126">
        <v>2</v>
      </c>
      <c r="G2109" s="126">
        <v>6</v>
      </c>
      <c r="H2109" s="126">
        <v>2023</v>
      </c>
      <c r="I2109" s="126">
        <v>2050</v>
      </c>
      <c r="J2109" s="127">
        <v>1.0940000000000001</v>
      </c>
      <c r="K2109" s="127">
        <v>1.0575000000000001</v>
      </c>
      <c r="L2109" s="127">
        <v>0.7964</v>
      </c>
      <c r="M2109" s="127">
        <v>1.0495000000000001</v>
      </c>
      <c r="N2109" s="127">
        <v>0.83130000000000004</v>
      </c>
      <c r="O2109" s="127">
        <v>1.0538000000000001</v>
      </c>
      <c r="P2109" s="126">
        <v>4581</v>
      </c>
      <c r="Q2109" s="128">
        <f t="array" ref="Q2109">SUM(IF(($S2109&gt;=4)*($C2109='TaxCred&amp;Subs'!$D$123:$D$127)*($H2109='TaxCred&amp;Subs'!$C$123:$C$127)*($H2109&lt;='TaxCred&amp;Subs'!$C$129),'TaxCred&amp;Subs'!$E$123:$E$127,0))</f>
        <v>0</v>
      </c>
      <c r="R2109" s="174">
        <v>0</v>
      </c>
      <c r="S2109" s="126">
        <v>2</v>
      </c>
      <c r="T2109" s="126" t="s">
        <v>224</v>
      </c>
      <c r="U2109" s="158"/>
      <c r="V2109" s="153" t="str">
        <f t="array" ref="V2109">INDEX(xlRTCLNAME,MATCH(1,(xlRTCLENDU=1)*(xlRTCLEQCL=$D2109),0))</f>
        <v>NG_RAD</v>
      </c>
      <c r="W2109" s="153" t="str">
        <f t="array" ref="W2109">INDEX(xlRTCLNAME,MATCH(1,(xlRTCLENDU=2)*(xlRTCLEQCL=$F2109),0))</f>
        <v>CENT_AIR</v>
      </c>
      <c r="X2109" s="153" t="str">
        <f t="array" ref="X2109">INDEX(xlRTTYNAME,MATCH(1,(xlRTTYENDU=1)*(xlRTTYEQCL=$D2109)*(xlRTEQTYPE=$E2109),0))</f>
        <v>NG_RAD1</v>
      </c>
      <c r="Y2109" s="153" t="str">
        <f t="array" ref="Y2109">INDEX(xlRTTYNAME,MATCH(1,(xlRTTYENDU=2)*(xlRTTYEQCL=$F2109)*(xlRTEQTYPE=$G2109),0))</f>
        <v>CENT_AIR2</v>
      </c>
    </row>
    <row r="2110" spans="2:25" x14ac:dyDescent="0.2">
      <c r="B2110" s="126">
        <v>6</v>
      </c>
      <c r="C2110" s="126">
        <v>3</v>
      </c>
      <c r="D2110" s="126">
        <v>4</v>
      </c>
      <c r="E2110" s="126">
        <v>10</v>
      </c>
      <c r="F2110" s="126">
        <v>2</v>
      </c>
      <c r="G2110" s="126">
        <v>5</v>
      </c>
      <c r="H2110" s="126">
        <v>2016</v>
      </c>
      <c r="I2110" s="126">
        <v>2022</v>
      </c>
      <c r="J2110" s="127">
        <v>1.0873999999999999</v>
      </c>
      <c r="K2110" s="127">
        <v>1.0609999999999999</v>
      </c>
      <c r="L2110" s="127">
        <v>0.87829999999999997</v>
      </c>
      <c r="M2110" s="127">
        <v>1.0562</v>
      </c>
      <c r="N2110" s="127">
        <v>0.80189999999999995</v>
      </c>
      <c r="O2110" s="127">
        <v>1.0538000000000001</v>
      </c>
      <c r="P2110" s="126">
        <v>4249</v>
      </c>
      <c r="Q2110" s="128">
        <f t="array" ref="Q2110">SUM(IF(($S2110&gt;=4)*($C2110='TaxCred&amp;Subs'!$D$123:$D$127)*($H2110='TaxCred&amp;Subs'!$C$123:$C$127)*($H2110&lt;='TaxCred&amp;Subs'!$C$129),'TaxCred&amp;Subs'!$E$123:$E$127,0))</f>
        <v>0</v>
      </c>
      <c r="R2110" s="174">
        <v>0</v>
      </c>
      <c r="S2110" s="126">
        <v>2</v>
      </c>
      <c r="T2110" s="126" t="s">
        <v>224</v>
      </c>
      <c r="U2110" s="158"/>
      <c r="V2110" s="153" t="str">
        <f t="array" ref="V2110">INDEX(xlRTCLNAME,MATCH(1,(xlRTCLENDU=1)*(xlRTCLEQCL=$D2110),0))</f>
        <v>NG_RAD</v>
      </c>
      <c r="W2110" s="153" t="str">
        <f t="array" ref="W2110">INDEX(xlRTCLNAME,MATCH(1,(xlRTCLENDU=2)*(xlRTCLEQCL=$F2110),0))</f>
        <v>CENT_AIR</v>
      </c>
      <c r="X2110" s="153" t="str">
        <f t="array" ref="X2110">INDEX(xlRTTYNAME,MATCH(1,(xlRTTYENDU=1)*(xlRTTYEQCL=$D2110)*(xlRTEQTYPE=$E2110),0))</f>
        <v>NG_RAD1</v>
      </c>
      <c r="Y2110" s="153" t="str">
        <f t="array" ref="Y2110">INDEX(xlRTTYNAME,MATCH(1,(xlRTTYENDU=2)*(xlRTTYEQCL=$F2110)*(xlRTEQTYPE=$G2110),0))</f>
        <v>CENT_AIR1</v>
      </c>
    </row>
    <row r="2111" spans="2:25" x14ac:dyDescent="0.2">
      <c r="B2111" s="126">
        <v>6</v>
      </c>
      <c r="C2111" s="126">
        <v>3</v>
      </c>
      <c r="D2111" s="126">
        <v>4</v>
      </c>
      <c r="E2111" s="126">
        <v>10</v>
      </c>
      <c r="F2111" s="126">
        <v>2</v>
      </c>
      <c r="G2111" s="126">
        <v>6</v>
      </c>
      <c r="H2111" s="126">
        <v>2023</v>
      </c>
      <c r="I2111" s="126">
        <v>2050</v>
      </c>
      <c r="J2111" s="127">
        <v>1.0873999999999999</v>
      </c>
      <c r="K2111" s="127">
        <v>1.0609999999999999</v>
      </c>
      <c r="L2111" s="127">
        <v>0.87829999999999997</v>
      </c>
      <c r="M2111" s="127">
        <v>1.0562</v>
      </c>
      <c r="N2111" s="127">
        <v>0.80189999999999995</v>
      </c>
      <c r="O2111" s="127">
        <v>1.0538000000000001</v>
      </c>
      <c r="P2111" s="126">
        <v>4249</v>
      </c>
      <c r="Q2111" s="128">
        <f t="array" ref="Q2111">SUM(IF(($S2111&gt;=4)*($C2111='TaxCred&amp;Subs'!$D$123:$D$127)*($H2111='TaxCred&amp;Subs'!$C$123:$C$127)*($H2111&lt;='TaxCred&amp;Subs'!$C$129),'TaxCred&amp;Subs'!$E$123:$E$127,0))</f>
        <v>0</v>
      </c>
      <c r="R2111" s="174">
        <v>0</v>
      </c>
      <c r="S2111" s="126">
        <v>2</v>
      </c>
      <c r="T2111" s="126" t="s">
        <v>224</v>
      </c>
      <c r="U2111" s="158"/>
      <c r="V2111" s="153" t="str">
        <f t="array" ref="V2111">INDEX(xlRTCLNAME,MATCH(1,(xlRTCLENDU=1)*(xlRTCLEQCL=$D2111),0))</f>
        <v>NG_RAD</v>
      </c>
      <c r="W2111" s="153" t="str">
        <f t="array" ref="W2111">INDEX(xlRTCLNAME,MATCH(1,(xlRTCLENDU=2)*(xlRTCLEQCL=$F2111),0))</f>
        <v>CENT_AIR</v>
      </c>
      <c r="X2111" s="153" t="str">
        <f t="array" ref="X2111">INDEX(xlRTTYNAME,MATCH(1,(xlRTTYENDU=1)*(xlRTTYEQCL=$D2111)*(xlRTEQTYPE=$E2111),0))</f>
        <v>NG_RAD1</v>
      </c>
      <c r="Y2111" s="153" t="str">
        <f t="array" ref="Y2111">INDEX(xlRTTYNAME,MATCH(1,(xlRTTYENDU=2)*(xlRTTYEQCL=$F2111)*(xlRTEQTYPE=$G2111),0))</f>
        <v>CENT_AIR2</v>
      </c>
    </row>
    <row r="2112" spans="2:25" x14ac:dyDescent="0.2">
      <c r="B2112" s="126">
        <v>7</v>
      </c>
      <c r="C2112" s="126">
        <v>3</v>
      </c>
      <c r="D2112" s="126">
        <v>4</v>
      </c>
      <c r="E2112" s="126">
        <v>10</v>
      </c>
      <c r="F2112" s="126">
        <v>2</v>
      </c>
      <c r="G2112" s="126">
        <v>5</v>
      </c>
      <c r="H2112" s="126">
        <v>2016</v>
      </c>
      <c r="I2112" s="126">
        <v>2022</v>
      </c>
      <c r="J2112" s="127">
        <v>1.0826</v>
      </c>
      <c r="K2112" s="127">
        <v>1.0412999999999999</v>
      </c>
      <c r="L2112" s="127">
        <v>0.86709999999999998</v>
      </c>
      <c r="M2112" s="127">
        <v>1.0887</v>
      </c>
      <c r="N2112" s="127">
        <v>0.8125</v>
      </c>
      <c r="O2112" s="127">
        <v>1.0538000000000001</v>
      </c>
      <c r="P2112" s="126">
        <v>2872</v>
      </c>
      <c r="Q2112" s="128">
        <f t="array" ref="Q2112">SUM(IF(($S2112&gt;=4)*($C2112='TaxCred&amp;Subs'!$D$123:$D$127)*($H2112='TaxCred&amp;Subs'!$C$123:$C$127)*($H2112&lt;='TaxCred&amp;Subs'!$C$129),'TaxCred&amp;Subs'!$E$123:$E$127,0))</f>
        <v>0</v>
      </c>
      <c r="R2112" s="174">
        <v>0</v>
      </c>
      <c r="S2112" s="126">
        <v>2</v>
      </c>
      <c r="T2112" s="126" t="s">
        <v>224</v>
      </c>
      <c r="U2112" s="158"/>
      <c r="V2112" s="153" t="str">
        <f t="array" ref="V2112">INDEX(xlRTCLNAME,MATCH(1,(xlRTCLENDU=1)*(xlRTCLEQCL=$D2112),0))</f>
        <v>NG_RAD</v>
      </c>
      <c r="W2112" s="153" t="str">
        <f t="array" ref="W2112">INDEX(xlRTCLNAME,MATCH(1,(xlRTCLENDU=2)*(xlRTCLEQCL=$F2112),0))</f>
        <v>CENT_AIR</v>
      </c>
      <c r="X2112" s="153" t="str">
        <f t="array" ref="X2112">INDEX(xlRTTYNAME,MATCH(1,(xlRTTYENDU=1)*(xlRTTYEQCL=$D2112)*(xlRTEQTYPE=$E2112),0))</f>
        <v>NG_RAD1</v>
      </c>
      <c r="Y2112" s="153" t="str">
        <f t="array" ref="Y2112">INDEX(xlRTTYNAME,MATCH(1,(xlRTTYENDU=2)*(xlRTTYEQCL=$F2112)*(xlRTEQTYPE=$G2112),0))</f>
        <v>CENT_AIR1</v>
      </c>
    </row>
    <row r="2113" spans="2:25" x14ac:dyDescent="0.2">
      <c r="B2113" s="126">
        <v>7</v>
      </c>
      <c r="C2113" s="126">
        <v>3</v>
      </c>
      <c r="D2113" s="126">
        <v>4</v>
      </c>
      <c r="E2113" s="126">
        <v>10</v>
      </c>
      <c r="F2113" s="126">
        <v>2</v>
      </c>
      <c r="G2113" s="126">
        <v>6</v>
      </c>
      <c r="H2113" s="126">
        <v>2023</v>
      </c>
      <c r="I2113" s="126">
        <v>2050</v>
      </c>
      <c r="J2113" s="127">
        <v>1.0826</v>
      </c>
      <c r="K2113" s="127">
        <v>1.0412999999999999</v>
      </c>
      <c r="L2113" s="127">
        <v>0.86709999999999998</v>
      </c>
      <c r="M2113" s="127">
        <v>1.0887</v>
      </c>
      <c r="N2113" s="127">
        <v>0.8125</v>
      </c>
      <c r="O2113" s="127">
        <v>1.0538000000000001</v>
      </c>
      <c r="P2113" s="126">
        <v>2872</v>
      </c>
      <c r="Q2113" s="128">
        <f t="array" ref="Q2113">SUM(IF(($S2113&gt;=4)*($C2113='TaxCred&amp;Subs'!$D$123:$D$127)*($H2113='TaxCred&amp;Subs'!$C$123:$C$127)*($H2113&lt;='TaxCred&amp;Subs'!$C$129),'TaxCred&amp;Subs'!$E$123:$E$127,0))</f>
        <v>0</v>
      </c>
      <c r="R2113" s="174">
        <v>0</v>
      </c>
      <c r="S2113" s="126">
        <v>2</v>
      </c>
      <c r="T2113" s="126" t="s">
        <v>224</v>
      </c>
      <c r="U2113" s="158"/>
      <c r="V2113" s="153" t="str">
        <f t="array" ref="V2113">INDEX(xlRTCLNAME,MATCH(1,(xlRTCLENDU=1)*(xlRTCLEQCL=$D2113),0))</f>
        <v>NG_RAD</v>
      </c>
      <c r="W2113" s="153" t="str">
        <f t="array" ref="W2113">INDEX(xlRTCLNAME,MATCH(1,(xlRTCLENDU=2)*(xlRTCLEQCL=$F2113),0))</f>
        <v>CENT_AIR</v>
      </c>
      <c r="X2113" s="153" t="str">
        <f t="array" ref="X2113">INDEX(xlRTTYNAME,MATCH(1,(xlRTTYENDU=1)*(xlRTTYEQCL=$D2113)*(xlRTEQTYPE=$E2113),0))</f>
        <v>NG_RAD1</v>
      </c>
      <c r="Y2113" s="153" t="str">
        <f t="array" ref="Y2113">INDEX(xlRTTYNAME,MATCH(1,(xlRTTYENDU=2)*(xlRTTYEQCL=$F2113)*(xlRTEQTYPE=$G2113),0))</f>
        <v>CENT_AIR2</v>
      </c>
    </row>
    <row r="2114" spans="2:25" x14ac:dyDescent="0.2">
      <c r="B2114" s="126">
        <v>8</v>
      </c>
      <c r="C2114" s="126">
        <v>3</v>
      </c>
      <c r="D2114" s="126">
        <v>4</v>
      </c>
      <c r="E2114" s="126">
        <v>10</v>
      </c>
      <c r="F2114" s="126">
        <v>2</v>
      </c>
      <c r="G2114" s="126">
        <v>5</v>
      </c>
      <c r="H2114" s="126">
        <v>2016</v>
      </c>
      <c r="I2114" s="126">
        <v>2022</v>
      </c>
      <c r="J2114" s="127">
        <v>1.07</v>
      </c>
      <c r="K2114" s="127">
        <v>1.07</v>
      </c>
      <c r="L2114" s="127">
        <v>0.77259999999999995</v>
      </c>
      <c r="M2114" s="127">
        <v>1.0437000000000001</v>
      </c>
      <c r="N2114" s="127">
        <v>0.8034</v>
      </c>
      <c r="O2114" s="127">
        <v>1.0538000000000001</v>
      </c>
      <c r="P2114" s="126">
        <v>5501</v>
      </c>
      <c r="Q2114" s="128">
        <f t="array" ref="Q2114">SUM(IF(($S2114&gt;=4)*($C2114='TaxCred&amp;Subs'!$D$123:$D$127)*($H2114='TaxCred&amp;Subs'!$C$123:$C$127)*($H2114&lt;='TaxCred&amp;Subs'!$C$129),'TaxCred&amp;Subs'!$E$123:$E$127,0))</f>
        <v>0</v>
      </c>
      <c r="R2114" s="174">
        <v>0</v>
      </c>
      <c r="S2114" s="126">
        <v>2</v>
      </c>
      <c r="T2114" s="126" t="s">
        <v>224</v>
      </c>
      <c r="U2114" s="158"/>
      <c r="V2114" s="153" t="str">
        <f t="array" ref="V2114">INDEX(xlRTCLNAME,MATCH(1,(xlRTCLENDU=1)*(xlRTCLEQCL=$D2114),0))</f>
        <v>NG_RAD</v>
      </c>
      <c r="W2114" s="153" t="str">
        <f t="array" ref="W2114">INDEX(xlRTCLNAME,MATCH(1,(xlRTCLENDU=2)*(xlRTCLEQCL=$F2114),0))</f>
        <v>CENT_AIR</v>
      </c>
      <c r="X2114" s="153" t="str">
        <f t="array" ref="X2114">INDEX(xlRTTYNAME,MATCH(1,(xlRTTYENDU=1)*(xlRTTYEQCL=$D2114)*(xlRTEQTYPE=$E2114),0))</f>
        <v>NG_RAD1</v>
      </c>
      <c r="Y2114" s="153" t="str">
        <f t="array" ref="Y2114">INDEX(xlRTTYNAME,MATCH(1,(xlRTTYENDU=2)*(xlRTTYEQCL=$F2114)*(xlRTEQTYPE=$G2114),0))</f>
        <v>CENT_AIR1</v>
      </c>
    </row>
    <row r="2115" spans="2:25" x14ac:dyDescent="0.2">
      <c r="B2115" s="126">
        <v>8</v>
      </c>
      <c r="C2115" s="126">
        <v>3</v>
      </c>
      <c r="D2115" s="126">
        <v>4</v>
      </c>
      <c r="E2115" s="126">
        <v>10</v>
      </c>
      <c r="F2115" s="126">
        <v>2</v>
      </c>
      <c r="G2115" s="126">
        <v>6</v>
      </c>
      <c r="H2115" s="126">
        <v>2023</v>
      </c>
      <c r="I2115" s="126">
        <v>2050</v>
      </c>
      <c r="J2115" s="127">
        <v>1.07</v>
      </c>
      <c r="K2115" s="127">
        <v>1.07</v>
      </c>
      <c r="L2115" s="127">
        <v>0.77259999999999995</v>
      </c>
      <c r="M2115" s="127">
        <v>1.0437000000000001</v>
      </c>
      <c r="N2115" s="127">
        <v>0.8034</v>
      </c>
      <c r="O2115" s="127">
        <v>1.0538000000000001</v>
      </c>
      <c r="P2115" s="126">
        <v>5501</v>
      </c>
      <c r="Q2115" s="128">
        <f t="array" ref="Q2115">SUM(IF(($S2115&gt;=4)*($C2115='TaxCred&amp;Subs'!$D$123:$D$127)*($H2115='TaxCred&amp;Subs'!$C$123:$C$127)*($H2115&lt;='TaxCred&amp;Subs'!$C$129),'TaxCred&amp;Subs'!$E$123:$E$127,0))</f>
        <v>0</v>
      </c>
      <c r="R2115" s="174">
        <v>0</v>
      </c>
      <c r="S2115" s="126">
        <v>2</v>
      </c>
      <c r="T2115" s="126" t="s">
        <v>224</v>
      </c>
      <c r="U2115" s="158"/>
      <c r="V2115" s="153" t="str">
        <f t="array" ref="V2115">INDEX(xlRTCLNAME,MATCH(1,(xlRTCLENDU=1)*(xlRTCLEQCL=$D2115),0))</f>
        <v>NG_RAD</v>
      </c>
      <c r="W2115" s="153" t="str">
        <f t="array" ref="W2115">INDEX(xlRTCLNAME,MATCH(1,(xlRTCLENDU=2)*(xlRTCLEQCL=$F2115),0))</f>
        <v>CENT_AIR</v>
      </c>
      <c r="X2115" s="153" t="str">
        <f t="array" ref="X2115">INDEX(xlRTTYNAME,MATCH(1,(xlRTTYENDU=1)*(xlRTTYEQCL=$D2115)*(xlRTEQTYPE=$E2115),0))</f>
        <v>NG_RAD1</v>
      </c>
      <c r="Y2115" s="153" t="str">
        <f t="array" ref="Y2115">INDEX(xlRTTYNAME,MATCH(1,(xlRTTYENDU=2)*(xlRTTYEQCL=$F2115)*(xlRTEQTYPE=$G2115),0))</f>
        <v>CENT_AIR2</v>
      </c>
    </row>
    <row r="2116" spans="2:25" x14ac:dyDescent="0.2">
      <c r="B2116" s="126">
        <v>9</v>
      </c>
      <c r="C2116" s="126">
        <v>3</v>
      </c>
      <c r="D2116" s="126">
        <v>4</v>
      </c>
      <c r="E2116" s="126">
        <v>10</v>
      </c>
      <c r="F2116" s="126">
        <v>2</v>
      </c>
      <c r="G2116" s="126">
        <v>5</v>
      </c>
      <c r="H2116" s="126">
        <v>2016</v>
      </c>
      <c r="I2116" s="126">
        <v>2022</v>
      </c>
      <c r="J2116" s="127">
        <v>1.0845</v>
      </c>
      <c r="K2116" s="127">
        <v>1.0658000000000001</v>
      </c>
      <c r="L2116" s="127">
        <v>0.82230000000000003</v>
      </c>
      <c r="M2116" s="127">
        <v>1.1374</v>
      </c>
      <c r="N2116" s="127">
        <v>0.84079999999999999</v>
      </c>
      <c r="O2116" s="127">
        <v>1.0538000000000001</v>
      </c>
      <c r="P2116" s="126">
        <v>6573</v>
      </c>
      <c r="Q2116" s="128">
        <f t="array" ref="Q2116">SUM(IF(($S2116&gt;=4)*($C2116='TaxCred&amp;Subs'!$D$123:$D$127)*($H2116='TaxCred&amp;Subs'!$C$123:$C$127)*($H2116&lt;='TaxCred&amp;Subs'!$C$129),'TaxCred&amp;Subs'!$E$123:$E$127,0))</f>
        <v>0</v>
      </c>
      <c r="R2116" s="174">
        <v>0</v>
      </c>
      <c r="S2116" s="126">
        <v>2</v>
      </c>
      <c r="T2116" s="126" t="s">
        <v>224</v>
      </c>
      <c r="U2116" s="158"/>
      <c r="V2116" s="153" t="str">
        <f t="array" ref="V2116">INDEX(xlRTCLNAME,MATCH(1,(xlRTCLENDU=1)*(xlRTCLEQCL=$D2116),0))</f>
        <v>NG_RAD</v>
      </c>
      <c r="W2116" s="153" t="str">
        <f t="array" ref="W2116">INDEX(xlRTCLNAME,MATCH(1,(xlRTCLENDU=2)*(xlRTCLEQCL=$F2116),0))</f>
        <v>CENT_AIR</v>
      </c>
      <c r="X2116" s="153" t="str">
        <f t="array" ref="X2116">INDEX(xlRTTYNAME,MATCH(1,(xlRTTYENDU=1)*(xlRTTYEQCL=$D2116)*(xlRTEQTYPE=$E2116),0))</f>
        <v>NG_RAD1</v>
      </c>
      <c r="Y2116" s="153" t="str">
        <f t="array" ref="Y2116">INDEX(xlRTTYNAME,MATCH(1,(xlRTTYENDU=2)*(xlRTTYEQCL=$F2116)*(xlRTEQTYPE=$G2116),0))</f>
        <v>CENT_AIR1</v>
      </c>
    </row>
    <row r="2117" spans="2:25" x14ac:dyDescent="0.2">
      <c r="B2117" s="126">
        <v>9</v>
      </c>
      <c r="C2117" s="126">
        <v>3</v>
      </c>
      <c r="D2117" s="126">
        <v>4</v>
      </c>
      <c r="E2117" s="126">
        <v>10</v>
      </c>
      <c r="F2117" s="126">
        <v>2</v>
      </c>
      <c r="G2117" s="126">
        <v>6</v>
      </c>
      <c r="H2117" s="126">
        <v>2023</v>
      </c>
      <c r="I2117" s="126">
        <v>2050</v>
      </c>
      <c r="J2117" s="127">
        <v>1.0845</v>
      </c>
      <c r="K2117" s="127">
        <v>1.0658000000000001</v>
      </c>
      <c r="L2117" s="127">
        <v>0.82230000000000003</v>
      </c>
      <c r="M2117" s="127">
        <v>1.1374</v>
      </c>
      <c r="N2117" s="127">
        <v>0.84079999999999999</v>
      </c>
      <c r="O2117" s="127">
        <v>1.0538000000000001</v>
      </c>
      <c r="P2117" s="126">
        <v>6573</v>
      </c>
      <c r="Q2117" s="128">
        <f t="array" ref="Q2117">SUM(IF(($S2117&gt;=4)*($C2117='TaxCred&amp;Subs'!$D$123:$D$127)*($H2117='TaxCred&amp;Subs'!$C$123:$C$127)*($H2117&lt;='TaxCred&amp;Subs'!$C$129),'TaxCred&amp;Subs'!$E$123:$E$127,0))</f>
        <v>0</v>
      </c>
      <c r="R2117" s="174">
        <v>0</v>
      </c>
      <c r="S2117" s="126">
        <v>2</v>
      </c>
      <c r="T2117" s="126" t="s">
        <v>224</v>
      </c>
      <c r="U2117" s="158"/>
      <c r="V2117" s="153" t="str">
        <f t="array" ref="V2117">INDEX(xlRTCLNAME,MATCH(1,(xlRTCLENDU=1)*(xlRTCLEQCL=$D2117),0))</f>
        <v>NG_RAD</v>
      </c>
      <c r="W2117" s="153" t="str">
        <f t="array" ref="W2117">INDEX(xlRTCLNAME,MATCH(1,(xlRTCLENDU=2)*(xlRTCLEQCL=$F2117),0))</f>
        <v>CENT_AIR</v>
      </c>
      <c r="X2117" s="153" t="str">
        <f t="array" ref="X2117">INDEX(xlRTTYNAME,MATCH(1,(xlRTTYENDU=1)*(xlRTTYEQCL=$D2117)*(xlRTEQTYPE=$E2117),0))</f>
        <v>NG_RAD1</v>
      </c>
      <c r="Y2117" s="153" t="str">
        <f t="array" ref="Y2117">INDEX(xlRTTYNAME,MATCH(1,(xlRTTYENDU=2)*(xlRTTYEQCL=$F2117)*(xlRTEQTYPE=$G2117),0))</f>
        <v>CENT_AIR2</v>
      </c>
    </row>
    <row r="2118" spans="2:25" x14ac:dyDescent="0.2">
      <c r="B2118" s="129">
        <v>1</v>
      </c>
      <c r="C2118" s="129">
        <v>3</v>
      </c>
      <c r="D2118" s="129">
        <v>5</v>
      </c>
      <c r="E2118" s="129">
        <v>14</v>
      </c>
      <c r="F2118" s="129">
        <v>2</v>
      </c>
      <c r="G2118" s="129">
        <v>5</v>
      </c>
      <c r="H2118" s="129">
        <v>2016</v>
      </c>
      <c r="I2118" s="129">
        <v>2022</v>
      </c>
      <c r="J2118" s="130">
        <v>1.07</v>
      </c>
      <c r="K2118" s="130">
        <v>1.07</v>
      </c>
      <c r="L2118" s="130">
        <v>0.68140000000000001</v>
      </c>
      <c r="M2118" s="130">
        <v>1.0437000000000001</v>
      </c>
      <c r="N2118" s="130">
        <v>0.77729999999999999</v>
      </c>
      <c r="O2118" s="130">
        <v>1.0538000000000001</v>
      </c>
      <c r="P2118" s="129">
        <v>6643</v>
      </c>
      <c r="Q2118" s="128">
        <f t="array" ref="Q2118">SUM(IF(($S2118&gt;=4)*($C2118='TaxCred&amp;Subs'!$D$123:$D$127)*($H2118='TaxCred&amp;Subs'!$C$123:$C$127)*($H2118&lt;='TaxCred&amp;Subs'!$C$129),'TaxCred&amp;Subs'!$E$123:$E$127,0))</f>
        <v>0</v>
      </c>
      <c r="R2118" s="174">
        <v>0</v>
      </c>
      <c r="S2118" s="129">
        <v>2</v>
      </c>
      <c r="T2118" s="129" t="s">
        <v>224</v>
      </c>
      <c r="U2118" s="155" t="s">
        <v>235</v>
      </c>
      <c r="V2118" s="153" t="str">
        <f t="array" ref="V2118">INDEX(xlRTCLNAME,MATCH(1,(xlRTCLENDU=1)*(xlRTCLEQCL=$D2118),0))</f>
        <v>KERO_FA</v>
      </c>
      <c r="W2118" s="153" t="str">
        <f t="array" ref="W2118">INDEX(xlRTCLNAME,MATCH(1,(xlRTCLENDU=2)*(xlRTCLEQCL=$F2118),0))</f>
        <v>CENT_AIR</v>
      </c>
      <c r="X2118" s="153" t="str">
        <f t="array" ref="X2118">INDEX(xlRTTYNAME,MATCH(1,(xlRTTYENDU=1)*(xlRTTYEQCL=$D2118)*(xlRTEQTYPE=$E2118),0))</f>
        <v>KERO_FA1</v>
      </c>
      <c r="Y2118" s="153" t="str">
        <f t="array" ref="Y2118">INDEX(xlRTTYNAME,MATCH(1,(xlRTTYENDU=2)*(xlRTTYEQCL=$F2118)*(xlRTEQTYPE=$G2118),0))</f>
        <v>CENT_AIR1</v>
      </c>
    </row>
    <row r="2119" spans="2:25" x14ac:dyDescent="0.2">
      <c r="B2119" s="129">
        <v>1</v>
      </c>
      <c r="C2119" s="129">
        <v>3</v>
      </c>
      <c r="D2119" s="129">
        <v>5</v>
      </c>
      <c r="E2119" s="129">
        <v>14</v>
      </c>
      <c r="F2119" s="129">
        <v>2</v>
      </c>
      <c r="G2119" s="129">
        <v>6</v>
      </c>
      <c r="H2119" s="129">
        <v>2023</v>
      </c>
      <c r="I2119" s="129">
        <v>2050</v>
      </c>
      <c r="J2119" s="130">
        <v>1.07</v>
      </c>
      <c r="K2119" s="130">
        <v>1.07</v>
      </c>
      <c r="L2119" s="130">
        <v>0.68140000000000001</v>
      </c>
      <c r="M2119" s="130">
        <v>1.0437000000000001</v>
      </c>
      <c r="N2119" s="130">
        <v>0.77729999999999999</v>
      </c>
      <c r="O2119" s="130">
        <v>1.0538000000000001</v>
      </c>
      <c r="P2119" s="129">
        <v>6643</v>
      </c>
      <c r="Q2119" s="128">
        <f t="array" ref="Q2119">SUM(IF(($S2119&gt;=4)*($C2119='TaxCred&amp;Subs'!$D$123:$D$127)*($H2119='TaxCred&amp;Subs'!$C$123:$C$127)*($H2119&lt;='TaxCred&amp;Subs'!$C$129),'TaxCred&amp;Subs'!$E$123:$E$127,0))</f>
        <v>0</v>
      </c>
      <c r="R2119" s="174">
        <v>0</v>
      </c>
      <c r="S2119" s="129">
        <v>2</v>
      </c>
      <c r="T2119" s="129" t="s">
        <v>224</v>
      </c>
      <c r="U2119" s="155" t="s">
        <v>235</v>
      </c>
      <c r="V2119" s="153" t="str">
        <f t="array" ref="V2119">INDEX(xlRTCLNAME,MATCH(1,(xlRTCLENDU=1)*(xlRTCLEQCL=$D2119),0))</f>
        <v>KERO_FA</v>
      </c>
      <c r="W2119" s="153" t="str">
        <f t="array" ref="W2119">INDEX(xlRTCLNAME,MATCH(1,(xlRTCLENDU=2)*(xlRTCLEQCL=$F2119),0))</f>
        <v>CENT_AIR</v>
      </c>
      <c r="X2119" s="153" t="str">
        <f t="array" ref="X2119">INDEX(xlRTTYNAME,MATCH(1,(xlRTTYENDU=1)*(xlRTTYEQCL=$D2119)*(xlRTEQTYPE=$E2119),0))</f>
        <v>KERO_FA1</v>
      </c>
      <c r="Y2119" s="153" t="str">
        <f t="array" ref="Y2119">INDEX(xlRTTYNAME,MATCH(1,(xlRTTYENDU=2)*(xlRTTYEQCL=$F2119)*(xlRTEQTYPE=$G2119),0))</f>
        <v>CENT_AIR2</v>
      </c>
    </row>
    <row r="2120" spans="2:25" x14ac:dyDescent="0.2">
      <c r="B2120" s="129">
        <v>2</v>
      </c>
      <c r="C2120" s="129">
        <v>3</v>
      </c>
      <c r="D2120" s="129">
        <v>5</v>
      </c>
      <c r="E2120" s="129">
        <v>14</v>
      </c>
      <c r="F2120" s="129">
        <v>2</v>
      </c>
      <c r="G2120" s="129">
        <v>5</v>
      </c>
      <c r="H2120" s="129">
        <v>2016</v>
      </c>
      <c r="I2120" s="129">
        <v>2022</v>
      </c>
      <c r="J2120" s="130">
        <v>1.0873999999999999</v>
      </c>
      <c r="K2120" s="130">
        <v>1.0638000000000001</v>
      </c>
      <c r="L2120" s="130">
        <v>0.8458</v>
      </c>
      <c r="M2120" s="130">
        <v>1.1620999999999999</v>
      </c>
      <c r="N2120" s="130">
        <v>0.84279999999999999</v>
      </c>
      <c r="O2120" s="130">
        <v>1.0538000000000001</v>
      </c>
      <c r="P2120" s="129">
        <v>6604</v>
      </c>
      <c r="Q2120" s="128">
        <f t="array" ref="Q2120">SUM(IF(($S2120&gt;=4)*($C2120='TaxCred&amp;Subs'!$D$123:$D$127)*($H2120='TaxCred&amp;Subs'!$C$123:$C$127)*($H2120&lt;='TaxCred&amp;Subs'!$C$129),'TaxCred&amp;Subs'!$E$123:$E$127,0))</f>
        <v>0</v>
      </c>
      <c r="R2120" s="174">
        <v>0</v>
      </c>
      <c r="S2120" s="129">
        <v>2</v>
      </c>
      <c r="T2120" s="129" t="s">
        <v>224</v>
      </c>
      <c r="U2120" s="155" t="s">
        <v>235</v>
      </c>
      <c r="V2120" s="153" t="str">
        <f t="array" ref="V2120">INDEX(xlRTCLNAME,MATCH(1,(xlRTCLENDU=1)*(xlRTCLEQCL=$D2120),0))</f>
        <v>KERO_FA</v>
      </c>
      <c r="W2120" s="153" t="str">
        <f t="array" ref="W2120">INDEX(xlRTCLNAME,MATCH(1,(xlRTCLENDU=2)*(xlRTCLEQCL=$F2120),0))</f>
        <v>CENT_AIR</v>
      </c>
      <c r="X2120" s="153" t="str">
        <f t="array" ref="X2120">INDEX(xlRTTYNAME,MATCH(1,(xlRTTYENDU=1)*(xlRTTYEQCL=$D2120)*(xlRTEQTYPE=$E2120),0))</f>
        <v>KERO_FA1</v>
      </c>
      <c r="Y2120" s="153" t="str">
        <f t="array" ref="Y2120">INDEX(xlRTTYNAME,MATCH(1,(xlRTTYENDU=2)*(xlRTTYEQCL=$F2120)*(xlRTEQTYPE=$G2120),0))</f>
        <v>CENT_AIR1</v>
      </c>
    </row>
    <row r="2121" spans="2:25" x14ac:dyDescent="0.2">
      <c r="B2121" s="129">
        <v>2</v>
      </c>
      <c r="C2121" s="129">
        <v>3</v>
      </c>
      <c r="D2121" s="129">
        <v>5</v>
      </c>
      <c r="E2121" s="129">
        <v>14</v>
      </c>
      <c r="F2121" s="129">
        <v>2</v>
      </c>
      <c r="G2121" s="129">
        <v>6</v>
      </c>
      <c r="H2121" s="129">
        <v>2023</v>
      </c>
      <c r="I2121" s="129">
        <v>2050</v>
      </c>
      <c r="J2121" s="130">
        <v>1.0873999999999999</v>
      </c>
      <c r="K2121" s="130">
        <v>1.0638000000000001</v>
      </c>
      <c r="L2121" s="130">
        <v>0.8458</v>
      </c>
      <c r="M2121" s="130">
        <v>1.1620999999999999</v>
      </c>
      <c r="N2121" s="130">
        <v>0.84279999999999999</v>
      </c>
      <c r="O2121" s="130">
        <v>1.0538000000000001</v>
      </c>
      <c r="P2121" s="129">
        <v>6604</v>
      </c>
      <c r="Q2121" s="128">
        <f t="array" ref="Q2121">SUM(IF(($S2121&gt;=4)*($C2121='TaxCred&amp;Subs'!$D$123:$D$127)*($H2121='TaxCred&amp;Subs'!$C$123:$C$127)*($H2121&lt;='TaxCred&amp;Subs'!$C$129),'TaxCred&amp;Subs'!$E$123:$E$127,0))</f>
        <v>0</v>
      </c>
      <c r="R2121" s="174">
        <v>0</v>
      </c>
      <c r="S2121" s="129">
        <v>2</v>
      </c>
      <c r="T2121" s="129" t="s">
        <v>224</v>
      </c>
      <c r="U2121" s="155" t="s">
        <v>235</v>
      </c>
      <c r="V2121" s="153" t="str">
        <f t="array" ref="V2121">INDEX(xlRTCLNAME,MATCH(1,(xlRTCLENDU=1)*(xlRTCLEQCL=$D2121),0))</f>
        <v>KERO_FA</v>
      </c>
      <c r="W2121" s="153" t="str">
        <f t="array" ref="W2121">INDEX(xlRTCLNAME,MATCH(1,(xlRTCLENDU=2)*(xlRTCLEQCL=$F2121),0))</f>
        <v>CENT_AIR</v>
      </c>
      <c r="X2121" s="153" t="str">
        <f t="array" ref="X2121">INDEX(xlRTTYNAME,MATCH(1,(xlRTTYENDU=1)*(xlRTTYEQCL=$D2121)*(xlRTEQTYPE=$E2121),0))</f>
        <v>KERO_FA1</v>
      </c>
      <c r="Y2121" s="153" t="str">
        <f t="array" ref="Y2121">INDEX(xlRTTYNAME,MATCH(1,(xlRTTYENDU=2)*(xlRTTYEQCL=$F2121)*(xlRTEQTYPE=$G2121),0))</f>
        <v>CENT_AIR2</v>
      </c>
    </row>
    <row r="2122" spans="2:25" x14ac:dyDescent="0.2">
      <c r="B2122" s="129">
        <v>3</v>
      </c>
      <c r="C2122" s="129">
        <v>3</v>
      </c>
      <c r="D2122" s="129">
        <v>5</v>
      </c>
      <c r="E2122" s="129">
        <v>14</v>
      </c>
      <c r="F2122" s="129">
        <v>2</v>
      </c>
      <c r="G2122" s="129">
        <v>5</v>
      </c>
      <c r="H2122" s="129">
        <v>2016</v>
      </c>
      <c r="I2122" s="129">
        <v>2022</v>
      </c>
      <c r="J2122" s="130">
        <v>1.07</v>
      </c>
      <c r="K2122" s="130">
        <v>1.07</v>
      </c>
      <c r="L2122" s="130">
        <v>0.76570000000000005</v>
      </c>
      <c r="M2122" s="130">
        <v>1.0803</v>
      </c>
      <c r="N2122" s="130">
        <v>0.8478</v>
      </c>
      <c r="O2122" s="130">
        <v>1.0538000000000001</v>
      </c>
      <c r="P2122" s="129">
        <v>6732</v>
      </c>
      <c r="Q2122" s="128">
        <f t="array" ref="Q2122">SUM(IF(($S2122&gt;=4)*($C2122='TaxCred&amp;Subs'!$D$123:$D$127)*($H2122='TaxCred&amp;Subs'!$C$123:$C$127)*($H2122&lt;='TaxCred&amp;Subs'!$C$129),'TaxCred&amp;Subs'!$E$123:$E$127,0))</f>
        <v>0</v>
      </c>
      <c r="R2122" s="174">
        <v>0</v>
      </c>
      <c r="S2122" s="129">
        <v>2</v>
      </c>
      <c r="T2122" s="129" t="s">
        <v>224</v>
      </c>
      <c r="U2122" s="155" t="s">
        <v>235</v>
      </c>
      <c r="V2122" s="153" t="str">
        <f t="array" ref="V2122">INDEX(xlRTCLNAME,MATCH(1,(xlRTCLENDU=1)*(xlRTCLEQCL=$D2122),0))</f>
        <v>KERO_FA</v>
      </c>
      <c r="W2122" s="153" t="str">
        <f t="array" ref="W2122">INDEX(xlRTCLNAME,MATCH(1,(xlRTCLENDU=2)*(xlRTCLEQCL=$F2122),0))</f>
        <v>CENT_AIR</v>
      </c>
      <c r="X2122" s="153" t="str">
        <f t="array" ref="X2122">INDEX(xlRTTYNAME,MATCH(1,(xlRTTYENDU=1)*(xlRTTYEQCL=$D2122)*(xlRTEQTYPE=$E2122),0))</f>
        <v>KERO_FA1</v>
      </c>
      <c r="Y2122" s="153" t="str">
        <f t="array" ref="Y2122">INDEX(xlRTTYNAME,MATCH(1,(xlRTTYENDU=2)*(xlRTTYEQCL=$F2122)*(xlRTEQTYPE=$G2122),0))</f>
        <v>CENT_AIR1</v>
      </c>
    </row>
    <row r="2123" spans="2:25" x14ac:dyDescent="0.2">
      <c r="B2123" s="129">
        <v>3</v>
      </c>
      <c r="C2123" s="129">
        <v>3</v>
      </c>
      <c r="D2123" s="129">
        <v>5</v>
      </c>
      <c r="E2123" s="129">
        <v>14</v>
      </c>
      <c r="F2123" s="129">
        <v>2</v>
      </c>
      <c r="G2123" s="129">
        <v>6</v>
      </c>
      <c r="H2123" s="129">
        <v>2023</v>
      </c>
      <c r="I2123" s="129">
        <v>2050</v>
      </c>
      <c r="J2123" s="130">
        <v>1.07</v>
      </c>
      <c r="K2123" s="130">
        <v>1.07</v>
      </c>
      <c r="L2123" s="130">
        <v>0.76570000000000005</v>
      </c>
      <c r="M2123" s="130">
        <v>1.0803</v>
      </c>
      <c r="N2123" s="130">
        <v>0.8478</v>
      </c>
      <c r="O2123" s="130">
        <v>1.0538000000000001</v>
      </c>
      <c r="P2123" s="129">
        <v>6732</v>
      </c>
      <c r="Q2123" s="128">
        <f t="array" ref="Q2123">SUM(IF(($S2123&gt;=4)*($C2123='TaxCred&amp;Subs'!$D$123:$D$127)*($H2123='TaxCred&amp;Subs'!$C$123:$C$127)*($H2123&lt;='TaxCred&amp;Subs'!$C$129),'TaxCred&amp;Subs'!$E$123:$E$127,0))</f>
        <v>0</v>
      </c>
      <c r="R2123" s="174">
        <v>0</v>
      </c>
      <c r="S2123" s="129">
        <v>2</v>
      </c>
      <c r="T2123" s="129" t="s">
        <v>224</v>
      </c>
      <c r="U2123" s="155" t="s">
        <v>235</v>
      </c>
      <c r="V2123" s="153" t="str">
        <f t="array" ref="V2123">INDEX(xlRTCLNAME,MATCH(1,(xlRTCLENDU=1)*(xlRTCLEQCL=$D2123),0))</f>
        <v>KERO_FA</v>
      </c>
      <c r="W2123" s="153" t="str">
        <f t="array" ref="W2123">INDEX(xlRTCLNAME,MATCH(1,(xlRTCLENDU=2)*(xlRTCLEQCL=$F2123),0))</f>
        <v>CENT_AIR</v>
      </c>
      <c r="X2123" s="153" t="str">
        <f t="array" ref="X2123">INDEX(xlRTTYNAME,MATCH(1,(xlRTTYENDU=1)*(xlRTTYEQCL=$D2123)*(xlRTEQTYPE=$E2123),0))</f>
        <v>KERO_FA1</v>
      </c>
      <c r="Y2123" s="153" t="str">
        <f t="array" ref="Y2123">INDEX(xlRTTYNAME,MATCH(1,(xlRTTYENDU=2)*(xlRTTYEQCL=$F2123)*(xlRTEQTYPE=$G2123),0))</f>
        <v>CENT_AIR2</v>
      </c>
    </row>
    <row r="2124" spans="2:25" x14ac:dyDescent="0.2">
      <c r="B2124" s="129">
        <v>4</v>
      </c>
      <c r="C2124" s="129">
        <v>3</v>
      </c>
      <c r="D2124" s="129">
        <v>5</v>
      </c>
      <c r="E2124" s="129">
        <v>14</v>
      </c>
      <c r="F2124" s="129">
        <v>2</v>
      </c>
      <c r="G2124" s="129">
        <v>5</v>
      </c>
      <c r="H2124" s="129">
        <v>2016</v>
      </c>
      <c r="I2124" s="129">
        <v>2022</v>
      </c>
      <c r="J2124" s="130">
        <v>1.07</v>
      </c>
      <c r="K2124" s="130">
        <v>1.07</v>
      </c>
      <c r="L2124" s="130">
        <v>0.69089999999999996</v>
      </c>
      <c r="M2124" s="130">
        <v>1.0580000000000001</v>
      </c>
      <c r="N2124" s="130">
        <v>0.77669999999999995</v>
      </c>
      <c r="O2124" s="130">
        <v>1.0538000000000001</v>
      </c>
      <c r="P2124" s="129">
        <v>5885</v>
      </c>
      <c r="Q2124" s="128">
        <f t="array" ref="Q2124">SUM(IF(($S2124&gt;=4)*($C2124='TaxCred&amp;Subs'!$D$123:$D$127)*($H2124='TaxCred&amp;Subs'!$C$123:$C$127)*($H2124&lt;='TaxCred&amp;Subs'!$C$129),'TaxCred&amp;Subs'!$E$123:$E$127,0))</f>
        <v>0</v>
      </c>
      <c r="R2124" s="174">
        <v>0</v>
      </c>
      <c r="S2124" s="129">
        <v>2</v>
      </c>
      <c r="T2124" s="129" t="s">
        <v>224</v>
      </c>
      <c r="U2124" s="155" t="s">
        <v>235</v>
      </c>
      <c r="V2124" s="153" t="str">
        <f t="array" ref="V2124">INDEX(xlRTCLNAME,MATCH(1,(xlRTCLENDU=1)*(xlRTCLEQCL=$D2124),0))</f>
        <v>KERO_FA</v>
      </c>
      <c r="W2124" s="153" t="str">
        <f t="array" ref="W2124">INDEX(xlRTCLNAME,MATCH(1,(xlRTCLENDU=2)*(xlRTCLEQCL=$F2124),0))</f>
        <v>CENT_AIR</v>
      </c>
      <c r="X2124" s="153" t="str">
        <f t="array" ref="X2124">INDEX(xlRTTYNAME,MATCH(1,(xlRTTYENDU=1)*(xlRTTYEQCL=$D2124)*(xlRTEQTYPE=$E2124),0))</f>
        <v>KERO_FA1</v>
      </c>
      <c r="Y2124" s="153" t="str">
        <f t="array" ref="Y2124">INDEX(xlRTTYNAME,MATCH(1,(xlRTTYENDU=2)*(xlRTTYEQCL=$F2124)*(xlRTEQTYPE=$G2124),0))</f>
        <v>CENT_AIR1</v>
      </c>
    </row>
    <row r="2125" spans="2:25" x14ac:dyDescent="0.2">
      <c r="B2125" s="129">
        <v>4</v>
      </c>
      <c r="C2125" s="129">
        <v>3</v>
      </c>
      <c r="D2125" s="129">
        <v>5</v>
      </c>
      <c r="E2125" s="129">
        <v>14</v>
      </c>
      <c r="F2125" s="129">
        <v>2</v>
      </c>
      <c r="G2125" s="129">
        <v>6</v>
      </c>
      <c r="H2125" s="129">
        <v>2023</v>
      </c>
      <c r="I2125" s="129">
        <v>2050</v>
      </c>
      <c r="J2125" s="130">
        <v>1.07</v>
      </c>
      <c r="K2125" s="130">
        <v>1.07</v>
      </c>
      <c r="L2125" s="130">
        <v>0.69089999999999996</v>
      </c>
      <c r="M2125" s="130">
        <v>1.0580000000000001</v>
      </c>
      <c r="N2125" s="130">
        <v>0.77669999999999995</v>
      </c>
      <c r="O2125" s="130">
        <v>1.0538000000000001</v>
      </c>
      <c r="P2125" s="129">
        <v>5885</v>
      </c>
      <c r="Q2125" s="128">
        <f t="array" ref="Q2125">SUM(IF(($S2125&gt;=4)*($C2125='TaxCred&amp;Subs'!$D$123:$D$127)*($H2125='TaxCred&amp;Subs'!$C$123:$C$127)*($H2125&lt;='TaxCred&amp;Subs'!$C$129),'TaxCred&amp;Subs'!$E$123:$E$127,0))</f>
        <v>0</v>
      </c>
      <c r="R2125" s="174">
        <v>0</v>
      </c>
      <c r="S2125" s="129">
        <v>2</v>
      </c>
      <c r="T2125" s="129" t="s">
        <v>224</v>
      </c>
      <c r="U2125" s="155" t="s">
        <v>235</v>
      </c>
      <c r="V2125" s="153" t="str">
        <f t="array" ref="V2125">INDEX(xlRTCLNAME,MATCH(1,(xlRTCLENDU=1)*(xlRTCLEQCL=$D2125),0))</f>
        <v>KERO_FA</v>
      </c>
      <c r="W2125" s="153" t="str">
        <f t="array" ref="W2125">INDEX(xlRTCLNAME,MATCH(1,(xlRTCLENDU=2)*(xlRTCLEQCL=$F2125),0))</f>
        <v>CENT_AIR</v>
      </c>
      <c r="X2125" s="153" t="str">
        <f t="array" ref="X2125">INDEX(xlRTTYNAME,MATCH(1,(xlRTTYENDU=1)*(xlRTTYEQCL=$D2125)*(xlRTEQTYPE=$E2125),0))</f>
        <v>KERO_FA1</v>
      </c>
      <c r="Y2125" s="153" t="str">
        <f t="array" ref="Y2125">INDEX(xlRTTYNAME,MATCH(1,(xlRTTYENDU=2)*(xlRTTYEQCL=$F2125)*(xlRTEQTYPE=$G2125),0))</f>
        <v>CENT_AIR2</v>
      </c>
    </row>
    <row r="2126" spans="2:25" x14ac:dyDescent="0.2">
      <c r="B2126" s="129">
        <v>5</v>
      </c>
      <c r="C2126" s="129">
        <v>3</v>
      </c>
      <c r="D2126" s="129">
        <v>5</v>
      </c>
      <c r="E2126" s="129">
        <v>14</v>
      </c>
      <c r="F2126" s="129">
        <v>2</v>
      </c>
      <c r="G2126" s="129">
        <v>5</v>
      </c>
      <c r="H2126" s="129">
        <v>2016</v>
      </c>
      <c r="I2126" s="129">
        <v>2022</v>
      </c>
      <c r="J2126" s="130">
        <v>1.0667</v>
      </c>
      <c r="K2126" s="130">
        <v>1.0568</v>
      </c>
      <c r="L2126" s="130">
        <v>0.76839999999999997</v>
      </c>
      <c r="M2126" s="130">
        <v>1.0612999999999999</v>
      </c>
      <c r="N2126" s="130">
        <v>0.83260000000000001</v>
      </c>
      <c r="O2126" s="130">
        <v>1.0538000000000001</v>
      </c>
      <c r="P2126" s="129">
        <v>4034</v>
      </c>
      <c r="Q2126" s="128">
        <f t="array" ref="Q2126">SUM(IF(($S2126&gt;=4)*($C2126='TaxCred&amp;Subs'!$D$123:$D$127)*($H2126='TaxCred&amp;Subs'!$C$123:$C$127)*($H2126&lt;='TaxCred&amp;Subs'!$C$129),'TaxCred&amp;Subs'!$E$123:$E$127,0))</f>
        <v>0</v>
      </c>
      <c r="R2126" s="174">
        <v>0</v>
      </c>
      <c r="S2126" s="129">
        <v>2</v>
      </c>
      <c r="T2126" s="129" t="s">
        <v>224</v>
      </c>
      <c r="U2126" s="155" t="s">
        <v>235</v>
      </c>
      <c r="V2126" s="153" t="str">
        <f t="array" ref="V2126">INDEX(xlRTCLNAME,MATCH(1,(xlRTCLENDU=1)*(xlRTCLEQCL=$D2126),0))</f>
        <v>KERO_FA</v>
      </c>
      <c r="W2126" s="153" t="str">
        <f t="array" ref="W2126">INDEX(xlRTCLNAME,MATCH(1,(xlRTCLENDU=2)*(xlRTCLEQCL=$F2126),0))</f>
        <v>CENT_AIR</v>
      </c>
      <c r="X2126" s="153" t="str">
        <f t="array" ref="X2126">INDEX(xlRTTYNAME,MATCH(1,(xlRTTYENDU=1)*(xlRTTYEQCL=$D2126)*(xlRTEQTYPE=$E2126),0))</f>
        <v>KERO_FA1</v>
      </c>
      <c r="Y2126" s="153" t="str">
        <f t="array" ref="Y2126">INDEX(xlRTTYNAME,MATCH(1,(xlRTTYENDU=2)*(xlRTTYEQCL=$F2126)*(xlRTEQTYPE=$G2126),0))</f>
        <v>CENT_AIR1</v>
      </c>
    </row>
    <row r="2127" spans="2:25" x14ac:dyDescent="0.2">
      <c r="B2127" s="129">
        <v>5</v>
      </c>
      <c r="C2127" s="129">
        <v>3</v>
      </c>
      <c r="D2127" s="129">
        <v>5</v>
      </c>
      <c r="E2127" s="129">
        <v>14</v>
      </c>
      <c r="F2127" s="129">
        <v>2</v>
      </c>
      <c r="G2127" s="129">
        <v>6</v>
      </c>
      <c r="H2127" s="129">
        <v>2023</v>
      </c>
      <c r="I2127" s="129">
        <v>2050</v>
      </c>
      <c r="J2127" s="130">
        <v>1.0667</v>
      </c>
      <c r="K2127" s="130">
        <v>1.0568</v>
      </c>
      <c r="L2127" s="130">
        <v>0.76839999999999997</v>
      </c>
      <c r="M2127" s="130">
        <v>1.0612999999999999</v>
      </c>
      <c r="N2127" s="130">
        <v>0.83260000000000001</v>
      </c>
      <c r="O2127" s="130">
        <v>1.0538000000000001</v>
      </c>
      <c r="P2127" s="129">
        <v>4034</v>
      </c>
      <c r="Q2127" s="128">
        <f t="array" ref="Q2127">SUM(IF(($S2127&gt;=4)*($C2127='TaxCred&amp;Subs'!$D$123:$D$127)*($H2127='TaxCred&amp;Subs'!$C$123:$C$127)*($H2127&lt;='TaxCred&amp;Subs'!$C$129),'TaxCred&amp;Subs'!$E$123:$E$127,0))</f>
        <v>0</v>
      </c>
      <c r="R2127" s="174">
        <v>0</v>
      </c>
      <c r="S2127" s="129">
        <v>2</v>
      </c>
      <c r="T2127" s="129" t="s">
        <v>224</v>
      </c>
      <c r="U2127" s="155" t="s">
        <v>235</v>
      </c>
      <c r="V2127" s="153" t="str">
        <f t="array" ref="V2127">INDEX(xlRTCLNAME,MATCH(1,(xlRTCLENDU=1)*(xlRTCLEQCL=$D2127),0))</f>
        <v>KERO_FA</v>
      </c>
      <c r="W2127" s="153" t="str">
        <f t="array" ref="W2127">INDEX(xlRTCLNAME,MATCH(1,(xlRTCLENDU=2)*(xlRTCLEQCL=$F2127),0))</f>
        <v>CENT_AIR</v>
      </c>
      <c r="X2127" s="153" t="str">
        <f t="array" ref="X2127">INDEX(xlRTTYNAME,MATCH(1,(xlRTTYENDU=1)*(xlRTTYEQCL=$D2127)*(xlRTEQTYPE=$E2127),0))</f>
        <v>KERO_FA1</v>
      </c>
      <c r="Y2127" s="153" t="str">
        <f t="array" ref="Y2127">INDEX(xlRTTYNAME,MATCH(1,(xlRTTYENDU=2)*(xlRTTYEQCL=$F2127)*(xlRTEQTYPE=$G2127),0))</f>
        <v>CENT_AIR2</v>
      </c>
    </row>
    <row r="2128" spans="2:25" x14ac:dyDescent="0.2">
      <c r="B2128" s="129">
        <v>6</v>
      </c>
      <c r="C2128" s="129">
        <v>3</v>
      </c>
      <c r="D2128" s="129">
        <v>5</v>
      </c>
      <c r="E2128" s="129">
        <v>14</v>
      </c>
      <c r="F2128" s="129">
        <v>2</v>
      </c>
      <c r="G2128" s="129">
        <v>5</v>
      </c>
      <c r="H2128" s="129">
        <v>2016</v>
      </c>
      <c r="I2128" s="129">
        <v>2022</v>
      </c>
      <c r="J2128" s="130">
        <v>1.0896999999999999</v>
      </c>
      <c r="K2128" s="130">
        <v>1.0723</v>
      </c>
      <c r="L2128" s="130">
        <v>0.81499999999999995</v>
      </c>
      <c r="M2128" s="130">
        <v>1.069</v>
      </c>
      <c r="N2128" s="130">
        <v>0.80269999999999997</v>
      </c>
      <c r="O2128" s="130">
        <v>1.0538000000000001</v>
      </c>
      <c r="P2128" s="129">
        <v>3905</v>
      </c>
      <c r="Q2128" s="128">
        <f t="array" ref="Q2128">SUM(IF(($S2128&gt;=4)*($C2128='TaxCred&amp;Subs'!$D$123:$D$127)*($H2128='TaxCred&amp;Subs'!$C$123:$C$127)*($H2128&lt;='TaxCred&amp;Subs'!$C$129),'TaxCred&amp;Subs'!$E$123:$E$127,0))</f>
        <v>0</v>
      </c>
      <c r="R2128" s="174">
        <v>0</v>
      </c>
      <c r="S2128" s="129">
        <v>2</v>
      </c>
      <c r="T2128" s="129" t="s">
        <v>224</v>
      </c>
      <c r="U2128" s="155" t="s">
        <v>235</v>
      </c>
      <c r="V2128" s="153" t="str">
        <f t="array" ref="V2128">INDEX(xlRTCLNAME,MATCH(1,(xlRTCLENDU=1)*(xlRTCLEQCL=$D2128),0))</f>
        <v>KERO_FA</v>
      </c>
      <c r="W2128" s="153" t="str">
        <f t="array" ref="W2128">INDEX(xlRTCLNAME,MATCH(1,(xlRTCLENDU=2)*(xlRTCLEQCL=$F2128),0))</f>
        <v>CENT_AIR</v>
      </c>
      <c r="X2128" s="153" t="str">
        <f t="array" ref="X2128">INDEX(xlRTTYNAME,MATCH(1,(xlRTTYENDU=1)*(xlRTTYEQCL=$D2128)*(xlRTEQTYPE=$E2128),0))</f>
        <v>KERO_FA1</v>
      </c>
      <c r="Y2128" s="153" t="str">
        <f t="array" ref="Y2128">INDEX(xlRTTYNAME,MATCH(1,(xlRTTYENDU=2)*(xlRTTYEQCL=$F2128)*(xlRTEQTYPE=$G2128),0))</f>
        <v>CENT_AIR1</v>
      </c>
    </row>
    <row r="2129" spans="2:25" x14ac:dyDescent="0.2">
      <c r="B2129" s="129">
        <v>6</v>
      </c>
      <c r="C2129" s="129">
        <v>3</v>
      </c>
      <c r="D2129" s="129">
        <v>5</v>
      </c>
      <c r="E2129" s="129">
        <v>14</v>
      </c>
      <c r="F2129" s="129">
        <v>2</v>
      </c>
      <c r="G2129" s="129">
        <v>6</v>
      </c>
      <c r="H2129" s="129">
        <v>2023</v>
      </c>
      <c r="I2129" s="129">
        <v>2050</v>
      </c>
      <c r="J2129" s="130">
        <v>1.0896999999999999</v>
      </c>
      <c r="K2129" s="130">
        <v>1.0723</v>
      </c>
      <c r="L2129" s="130">
        <v>0.81499999999999995</v>
      </c>
      <c r="M2129" s="130">
        <v>1.069</v>
      </c>
      <c r="N2129" s="130">
        <v>0.80269999999999997</v>
      </c>
      <c r="O2129" s="130">
        <v>1.0538000000000001</v>
      </c>
      <c r="P2129" s="129">
        <v>3905</v>
      </c>
      <c r="Q2129" s="128">
        <f t="array" ref="Q2129">SUM(IF(($S2129&gt;=4)*($C2129='TaxCred&amp;Subs'!$D$123:$D$127)*($H2129='TaxCred&amp;Subs'!$C$123:$C$127)*($H2129&lt;='TaxCred&amp;Subs'!$C$129),'TaxCred&amp;Subs'!$E$123:$E$127,0))</f>
        <v>0</v>
      </c>
      <c r="R2129" s="174">
        <v>0</v>
      </c>
      <c r="S2129" s="129">
        <v>2</v>
      </c>
      <c r="T2129" s="129" t="s">
        <v>224</v>
      </c>
      <c r="U2129" s="155" t="s">
        <v>235</v>
      </c>
      <c r="V2129" s="153" t="str">
        <f t="array" ref="V2129">INDEX(xlRTCLNAME,MATCH(1,(xlRTCLENDU=1)*(xlRTCLEQCL=$D2129),0))</f>
        <v>KERO_FA</v>
      </c>
      <c r="W2129" s="153" t="str">
        <f t="array" ref="W2129">INDEX(xlRTCLNAME,MATCH(1,(xlRTCLENDU=2)*(xlRTCLEQCL=$F2129),0))</f>
        <v>CENT_AIR</v>
      </c>
      <c r="X2129" s="153" t="str">
        <f t="array" ref="X2129">INDEX(xlRTTYNAME,MATCH(1,(xlRTTYENDU=1)*(xlRTTYEQCL=$D2129)*(xlRTEQTYPE=$E2129),0))</f>
        <v>KERO_FA1</v>
      </c>
      <c r="Y2129" s="153" t="str">
        <f t="array" ref="Y2129">INDEX(xlRTTYNAME,MATCH(1,(xlRTTYENDU=2)*(xlRTTYEQCL=$F2129)*(xlRTEQTYPE=$G2129),0))</f>
        <v>CENT_AIR2</v>
      </c>
    </row>
    <row r="2130" spans="2:25" x14ac:dyDescent="0.2">
      <c r="B2130" s="129">
        <v>7</v>
      </c>
      <c r="C2130" s="129">
        <v>3</v>
      </c>
      <c r="D2130" s="129">
        <v>5</v>
      </c>
      <c r="E2130" s="129">
        <v>14</v>
      </c>
      <c r="F2130" s="129">
        <v>2</v>
      </c>
      <c r="G2130" s="129">
        <v>5</v>
      </c>
      <c r="H2130" s="129">
        <v>2016</v>
      </c>
      <c r="I2130" s="129">
        <v>2022</v>
      </c>
      <c r="J2130" s="130">
        <v>1.0940000000000001</v>
      </c>
      <c r="K2130" s="130">
        <v>1.0512999999999999</v>
      </c>
      <c r="L2130" s="130">
        <v>0.86509999999999998</v>
      </c>
      <c r="M2130" s="130">
        <v>1.0754999999999999</v>
      </c>
      <c r="N2130" s="130">
        <v>0.81289999999999996</v>
      </c>
      <c r="O2130" s="130">
        <v>1.0538000000000001</v>
      </c>
      <c r="P2130" s="129">
        <v>2743</v>
      </c>
      <c r="Q2130" s="128">
        <f t="array" ref="Q2130">SUM(IF(($S2130&gt;=4)*($C2130='TaxCred&amp;Subs'!$D$123:$D$127)*($H2130='TaxCred&amp;Subs'!$C$123:$C$127)*($H2130&lt;='TaxCred&amp;Subs'!$C$129),'TaxCred&amp;Subs'!$E$123:$E$127,0))</f>
        <v>0</v>
      </c>
      <c r="R2130" s="174">
        <v>0</v>
      </c>
      <c r="S2130" s="129">
        <v>2</v>
      </c>
      <c r="T2130" s="129" t="s">
        <v>224</v>
      </c>
      <c r="U2130" s="155" t="s">
        <v>235</v>
      </c>
      <c r="V2130" s="153" t="str">
        <f t="array" ref="V2130">INDEX(xlRTCLNAME,MATCH(1,(xlRTCLENDU=1)*(xlRTCLEQCL=$D2130),0))</f>
        <v>KERO_FA</v>
      </c>
      <c r="W2130" s="153" t="str">
        <f t="array" ref="W2130">INDEX(xlRTCLNAME,MATCH(1,(xlRTCLENDU=2)*(xlRTCLEQCL=$F2130),0))</f>
        <v>CENT_AIR</v>
      </c>
      <c r="X2130" s="153" t="str">
        <f t="array" ref="X2130">INDEX(xlRTTYNAME,MATCH(1,(xlRTTYENDU=1)*(xlRTTYEQCL=$D2130)*(xlRTEQTYPE=$E2130),0))</f>
        <v>KERO_FA1</v>
      </c>
      <c r="Y2130" s="153" t="str">
        <f t="array" ref="Y2130">INDEX(xlRTTYNAME,MATCH(1,(xlRTTYENDU=2)*(xlRTTYEQCL=$F2130)*(xlRTEQTYPE=$G2130),0))</f>
        <v>CENT_AIR1</v>
      </c>
    </row>
    <row r="2131" spans="2:25" x14ac:dyDescent="0.2">
      <c r="B2131" s="129">
        <v>7</v>
      </c>
      <c r="C2131" s="129">
        <v>3</v>
      </c>
      <c r="D2131" s="129">
        <v>5</v>
      </c>
      <c r="E2131" s="129">
        <v>14</v>
      </c>
      <c r="F2131" s="129">
        <v>2</v>
      </c>
      <c r="G2131" s="129">
        <v>6</v>
      </c>
      <c r="H2131" s="129">
        <v>2023</v>
      </c>
      <c r="I2131" s="129">
        <v>2050</v>
      </c>
      <c r="J2131" s="130">
        <v>1.0940000000000001</v>
      </c>
      <c r="K2131" s="130">
        <v>1.0512999999999999</v>
      </c>
      <c r="L2131" s="130">
        <v>0.86509999999999998</v>
      </c>
      <c r="M2131" s="130">
        <v>1.0754999999999999</v>
      </c>
      <c r="N2131" s="130">
        <v>0.81289999999999996</v>
      </c>
      <c r="O2131" s="130">
        <v>1.0538000000000001</v>
      </c>
      <c r="P2131" s="129">
        <v>2743</v>
      </c>
      <c r="Q2131" s="128">
        <f t="array" ref="Q2131">SUM(IF(($S2131&gt;=4)*($C2131='TaxCred&amp;Subs'!$D$123:$D$127)*($H2131='TaxCred&amp;Subs'!$C$123:$C$127)*($H2131&lt;='TaxCred&amp;Subs'!$C$129),'TaxCred&amp;Subs'!$E$123:$E$127,0))</f>
        <v>0</v>
      </c>
      <c r="R2131" s="174">
        <v>0</v>
      </c>
      <c r="S2131" s="129">
        <v>2</v>
      </c>
      <c r="T2131" s="129" t="s">
        <v>224</v>
      </c>
      <c r="U2131" s="155" t="s">
        <v>235</v>
      </c>
      <c r="V2131" s="153" t="str">
        <f t="array" ref="V2131">INDEX(xlRTCLNAME,MATCH(1,(xlRTCLENDU=1)*(xlRTCLEQCL=$D2131),0))</f>
        <v>KERO_FA</v>
      </c>
      <c r="W2131" s="153" t="str">
        <f t="array" ref="W2131">INDEX(xlRTCLNAME,MATCH(1,(xlRTCLENDU=2)*(xlRTCLEQCL=$F2131),0))</f>
        <v>CENT_AIR</v>
      </c>
      <c r="X2131" s="153" t="str">
        <f t="array" ref="X2131">INDEX(xlRTTYNAME,MATCH(1,(xlRTTYENDU=1)*(xlRTTYEQCL=$D2131)*(xlRTEQTYPE=$E2131),0))</f>
        <v>KERO_FA1</v>
      </c>
      <c r="Y2131" s="153" t="str">
        <f t="array" ref="Y2131">INDEX(xlRTTYNAME,MATCH(1,(xlRTTYENDU=2)*(xlRTTYEQCL=$F2131)*(xlRTEQTYPE=$G2131),0))</f>
        <v>CENT_AIR2</v>
      </c>
    </row>
    <row r="2132" spans="2:25" x14ac:dyDescent="0.2">
      <c r="B2132" s="129">
        <v>8</v>
      </c>
      <c r="C2132" s="129">
        <v>3</v>
      </c>
      <c r="D2132" s="129">
        <v>5</v>
      </c>
      <c r="E2132" s="129">
        <v>14</v>
      </c>
      <c r="F2132" s="129">
        <v>2</v>
      </c>
      <c r="G2132" s="129">
        <v>5</v>
      </c>
      <c r="H2132" s="129">
        <v>2016</v>
      </c>
      <c r="I2132" s="129">
        <v>2022</v>
      </c>
      <c r="J2132" s="130">
        <v>1.07</v>
      </c>
      <c r="K2132" s="130">
        <v>1.07</v>
      </c>
      <c r="L2132" s="130">
        <v>0.75760000000000005</v>
      </c>
      <c r="M2132" s="130">
        <v>1.0437000000000001</v>
      </c>
      <c r="N2132" s="130">
        <v>0.80589999999999995</v>
      </c>
      <c r="O2132" s="130">
        <v>1.0538000000000001</v>
      </c>
      <c r="P2132" s="129">
        <v>5501</v>
      </c>
      <c r="Q2132" s="128">
        <f t="array" ref="Q2132">SUM(IF(($S2132&gt;=4)*($C2132='TaxCred&amp;Subs'!$D$123:$D$127)*($H2132='TaxCred&amp;Subs'!$C$123:$C$127)*($H2132&lt;='TaxCred&amp;Subs'!$C$129),'TaxCred&amp;Subs'!$E$123:$E$127,0))</f>
        <v>0</v>
      </c>
      <c r="R2132" s="174">
        <v>0</v>
      </c>
      <c r="S2132" s="129">
        <v>2</v>
      </c>
      <c r="T2132" s="129" t="s">
        <v>224</v>
      </c>
      <c r="U2132" s="155" t="s">
        <v>235</v>
      </c>
      <c r="V2132" s="153" t="str">
        <f t="array" ref="V2132">INDEX(xlRTCLNAME,MATCH(1,(xlRTCLENDU=1)*(xlRTCLEQCL=$D2132),0))</f>
        <v>KERO_FA</v>
      </c>
      <c r="W2132" s="153" t="str">
        <f t="array" ref="W2132">INDEX(xlRTCLNAME,MATCH(1,(xlRTCLENDU=2)*(xlRTCLEQCL=$F2132),0))</f>
        <v>CENT_AIR</v>
      </c>
      <c r="X2132" s="153" t="str">
        <f t="array" ref="X2132">INDEX(xlRTTYNAME,MATCH(1,(xlRTTYENDU=1)*(xlRTTYEQCL=$D2132)*(xlRTEQTYPE=$E2132),0))</f>
        <v>KERO_FA1</v>
      </c>
      <c r="Y2132" s="153" t="str">
        <f t="array" ref="Y2132">INDEX(xlRTTYNAME,MATCH(1,(xlRTTYENDU=2)*(xlRTTYEQCL=$F2132)*(xlRTEQTYPE=$G2132),0))</f>
        <v>CENT_AIR1</v>
      </c>
    </row>
    <row r="2133" spans="2:25" x14ac:dyDescent="0.2">
      <c r="B2133" s="129">
        <v>8</v>
      </c>
      <c r="C2133" s="129">
        <v>3</v>
      </c>
      <c r="D2133" s="129">
        <v>5</v>
      </c>
      <c r="E2133" s="129">
        <v>14</v>
      </c>
      <c r="F2133" s="129">
        <v>2</v>
      </c>
      <c r="G2133" s="129">
        <v>6</v>
      </c>
      <c r="H2133" s="129">
        <v>2023</v>
      </c>
      <c r="I2133" s="129">
        <v>2050</v>
      </c>
      <c r="J2133" s="130">
        <v>1.07</v>
      </c>
      <c r="K2133" s="130">
        <v>1.07</v>
      </c>
      <c r="L2133" s="130">
        <v>0.75760000000000005</v>
      </c>
      <c r="M2133" s="130">
        <v>1.0437000000000001</v>
      </c>
      <c r="N2133" s="130">
        <v>0.80589999999999995</v>
      </c>
      <c r="O2133" s="130">
        <v>1.0538000000000001</v>
      </c>
      <c r="P2133" s="129">
        <v>5501</v>
      </c>
      <c r="Q2133" s="128">
        <f t="array" ref="Q2133">SUM(IF(($S2133&gt;=4)*($C2133='TaxCred&amp;Subs'!$D$123:$D$127)*($H2133='TaxCred&amp;Subs'!$C$123:$C$127)*($H2133&lt;='TaxCred&amp;Subs'!$C$129),'TaxCred&amp;Subs'!$E$123:$E$127,0))</f>
        <v>0</v>
      </c>
      <c r="R2133" s="174">
        <v>0</v>
      </c>
      <c r="S2133" s="129">
        <v>2</v>
      </c>
      <c r="T2133" s="129" t="s">
        <v>224</v>
      </c>
      <c r="U2133" s="155" t="s">
        <v>235</v>
      </c>
      <c r="V2133" s="153" t="str">
        <f t="array" ref="V2133">INDEX(xlRTCLNAME,MATCH(1,(xlRTCLENDU=1)*(xlRTCLEQCL=$D2133),0))</f>
        <v>KERO_FA</v>
      </c>
      <c r="W2133" s="153" t="str">
        <f t="array" ref="W2133">INDEX(xlRTCLNAME,MATCH(1,(xlRTCLENDU=2)*(xlRTCLEQCL=$F2133),0))</f>
        <v>CENT_AIR</v>
      </c>
      <c r="X2133" s="153" t="str">
        <f t="array" ref="X2133">INDEX(xlRTTYNAME,MATCH(1,(xlRTTYENDU=1)*(xlRTTYEQCL=$D2133)*(xlRTEQTYPE=$E2133),0))</f>
        <v>KERO_FA1</v>
      </c>
      <c r="Y2133" s="153" t="str">
        <f t="array" ref="Y2133">INDEX(xlRTTYNAME,MATCH(1,(xlRTTYENDU=2)*(xlRTTYEQCL=$F2133)*(xlRTEQTYPE=$G2133),0))</f>
        <v>CENT_AIR2</v>
      </c>
    </row>
    <row r="2134" spans="2:25" x14ac:dyDescent="0.2">
      <c r="B2134" s="129">
        <v>9</v>
      </c>
      <c r="C2134" s="129">
        <v>3</v>
      </c>
      <c r="D2134" s="129">
        <v>5</v>
      </c>
      <c r="E2134" s="129">
        <v>14</v>
      </c>
      <c r="F2134" s="129">
        <v>2</v>
      </c>
      <c r="G2134" s="129">
        <v>5</v>
      </c>
      <c r="H2134" s="129">
        <v>2016</v>
      </c>
      <c r="I2134" s="129">
        <v>2022</v>
      </c>
      <c r="J2134" s="130">
        <v>1.0743</v>
      </c>
      <c r="K2134" s="130">
        <v>1.0519000000000001</v>
      </c>
      <c r="L2134" s="130">
        <v>0.82989999999999997</v>
      </c>
      <c r="M2134" s="130">
        <v>1.1548</v>
      </c>
      <c r="N2134" s="130">
        <v>0.84240000000000004</v>
      </c>
      <c r="O2134" s="130">
        <v>1.0538000000000001</v>
      </c>
      <c r="P2134" s="129">
        <v>6374</v>
      </c>
      <c r="Q2134" s="128">
        <f t="array" ref="Q2134">SUM(IF(($S2134&gt;=4)*($C2134='TaxCred&amp;Subs'!$D$123:$D$127)*($H2134='TaxCred&amp;Subs'!$C$123:$C$127)*($H2134&lt;='TaxCred&amp;Subs'!$C$129),'TaxCred&amp;Subs'!$E$123:$E$127,0))</f>
        <v>0</v>
      </c>
      <c r="R2134" s="174">
        <v>0</v>
      </c>
      <c r="S2134" s="129">
        <v>2</v>
      </c>
      <c r="T2134" s="129" t="s">
        <v>224</v>
      </c>
      <c r="U2134" s="155" t="s">
        <v>235</v>
      </c>
      <c r="V2134" s="153" t="str">
        <f t="array" ref="V2134">INDEX(xlRTCLNAME,MATCH(1,(xlRTCLENDU=1)*(xlRTCLEQCL=$D2134),0))</f>
        <v>KERO_FA</v>
      </c>
      <c r="W2134" s="153" t="str">
        <f t="array" ref="W2134">INDEX(xlRTCLNAME,MATCH(1,(xlRTCLENDU=2)*(xlRTCLEQCL=$F2134),0))</f>
        <v>CENT_AIR</v>
      </c>
      <c r="X2134" s="153" t="str">
        <f t="array" ref="X2134">INDEX(xlRTTYNAME,MATCH(1,(xlRTTYENDU=1)*(xlRTTYEQCL=$D2134)*(xlRTEQTYPE=$E2134),0))</f>
        <v>KERO_FA1</v>
      </c>
      <c r="Y2134" s="153" t="str">
        <f t="array" ref="Y2134">INDEX(xlRTTYNAME,MATCH(1,(xlRTTYENDU=2)*(xlRTTYEQCL=$F2134)*(xlRTEQTYPE=$G2134),0))</f>
        <v>CENT_AIR1</v>
      </c>
    </row>
    <row r="2135" spans="2:25" x14ac:dyDescent="0.2">
      <c r="B2135" s="129">
        <v>9</v>
      </c>
      <c r="C2135" s="129">
        <v>3</v>
      </c>
      <c r="D2135" s="129">
        <v>5</v>
      </c>
      <c r="E2135" s="129">
        <v>14</v>
      </c>
      <c r="F2135" s="129">
        <v>2</v>
      </c>
      <c r="G2135" s="129">
        <v>6</v>
      </c>
      <c r="H2135" s="129">
        <v>2023</v>
      </c>
      <c r="I2135" s="129">
        <v>2050</v>
      </c>
      <c r="J2135" s="130">
        <v>1.0743</v>
      </c>
      <c r="K2135" s="130">
        <v>1.0519000000000001</v>
      </c>
      <c r="L2135" s="130">
        <v>0.82989999999999997</v>
      </c>
      <c r="M2135" s="130">
        <v>1.1548</v>
      </c>
      <c r="N2135" s="130">
        <v>0.84240000000000004</v>
      </c>
      <c r="O2135" s="130">
        <v>1.0538000000000001</v>
      </c>
      <c r="P2135" s="129">
        <v>6374</v>
      </c>
      <c r="Q2135" s="128">
        <f t="array" ref="Q2135">SUM(IF(($S2135&gt;=4)*($C2135='TaxCred&amp;Subs'!$D$123:$D$127)*($H2135='TaxCred&amp;Subs'!$C$123:$C$127)*($H2135&lt;='TaxCred&amp;Subs'!$C$129),'TaxCred&amp;Subs'!$E$123:$E$127,0))</f>
        <v>0</v>
      </c>
      <c r="R2135" s="174">
        <v>0</v>
      </c>
      <c r="S2135" s="129">
        <v>2</v>
      </c>
      <c r="T2135" s="129" t="s">
        <v>224</v>
      </c>
      <c r="U2135" s="155" t="s">
        <v>235</v>
      </c>
      <c r="V2135" s="153" t="str">
        <f t="array" ref="V2135">INDEX(xlRTCLNAME,MATCH(1,(xlRTCLENDU=1)*(xlRTCLEQCL=$D2135),0))</f>
        <v>KERO_FA</v>
      </c>
      <c r="W2135" s="153" t="str">
        <f t="array" ref="W2135">INDEX(xlRTCLNAME,MATCH(1,(xlRTCLENDU=2)*(xlRTCLEQCL=$F2135),0))</f>
        <v>CENT_AIR</v>
      </c>
      <c r="X2135" s="153" t="str">
        <f t="array" ref="X2135">INDEX(xlRTTYNAME,MATCH(1,(xlRTTYENDU=1)*(xlRTTYEQCL=$D2135)*(xlRTEQTYPE=$E2135),0))</f>
        <v>KERO_FA1</v>
      </c>
      <c r="Y2135" s="153" t="str">
        <f t="array" ref="Y2135">INDEX(xlRTTYNAME,MATCH(1,(xlRTTYENDU=2)*(xlRTTYEQCL=$F2135)*(xlRTEQTYPE=$G2135),0))</f>
        <v>CENT_AIR2</v>
      </c>
    </row>
    <row r="2136" spans="2:25" x14ac:dyDescent="0.2">
      <c r="B2136" s="126">
        <v>1</v>
      </c>
      <c r="C2136" s="126">
        <v>3</v>
      </c>
      <c r="D2136" s="126">
        <v>6</v>
      </c>
      <c r="E2136" s="126">
        <v>18</v>
      </c>
      <c r="F2136" s="126">
        <v>2</v>
      </c>
      <c r="G2136" s="126">
        <v>5</v>
      </c>
      <c r="H2136" s="126">
        <v>2016</v>
      </c>
      <c r="I2136" s="126">
        <v>2022</v>
      </c>
      <c r="J2136" s="127">
        <v>1.07</v>
      </c>
      <c r="K2136" s="127">
        <v>1.07</v>
      </c>
      <c r="L2136" s="127">
        <v>0.68079999999999996</v>
      </c>
      <c r="M2136" s="127">
        <v>1.0588</v>
      </c>
      <c r="N2136" s="127">
        <v>0.77800000000000002</v>
      </c>
      <c r="O2136" s="127">
        <v>1.0538000000000001</v>
      </c>
      <c r="P2136" s="126">
        <v>6643</v>
      </c>
      <c r="Q2136" s="128">
        <f t="array" ref="Q2136">SUM(IF(($S2136&gt;=4)*($C2136='TaxCred&amp;Subs'!$D$123:$D$127)*($H2136='TaxCred&amp;Subs'!$C$123:$C$127)*($H2136&lt;='TaxCred&amp;Subs'!$C$129),'TaxCred&amp;Subs'!$E$123:$E$127,0))</f>
        <v>0</v>
      </c>
      <c r="R2136" s="174">
        <v>0</v>
      </c>
      <c r="S2136" s="126">
        <v>2</v>
      </c>
      <c r="T2136" s="126" t="s">
        <v>224</v>
      </c>
      <c r="U2136" s="158"/>
      <c r="V2136" s="153" t="str">
        <f t="array" ref="V2136">INDEX(xlRTCLNAME,MATCH(1,(xlRTCLENDU=1)*(xlRTCLEQCL=$D2136),0))</f>
        <v>LPG_FA</v>
      </c>
      <c r="W2136" s="153" t="str">
        <f t="array" ref="W2136">INDEX(xlRTCLNAME,MATCH(1,(xlRTCLENDU=2)*(xlRTCLEQCL=$F2136),0))</f>
        <v>CENT_AIR</v>
      </c>
      <c r="X2136" s="153" t="str">
        <f t="array" ref="X2136">INDEX(xlRTTYNAME,MATCH(1,(xlRTTYENDU=1)*(xlRTTYEQCL=$D2136)*(xlRTEQTYPE=$E2136),0))</f>
        <v>LPG_FA1</v>
      </c>
      <c r="Y2136" s="153" t="str">
        <f t="array" ref="Y2136">INDEX(xlRTTYNAME,MATCH(1,(xlRTTYENDU=2)*(xlRTTYEQCL=$F2136)*(xlRTEQTYPE=$G2136),0))</f>
        <v>CENT_AIR1</v>
      </c>
    </row>
    <row r="2137" spans="2:25" x14ac:dyDescent="0.2">
      <c r="B2137" s="126">
        <v>1</v>
      </c>
      <c r="C2137" s="126">
        <v>3</v>
      </c>
      <c r="D2137" s="126">
        <v>6</v>
      </c>
      <c r="E2137" s="126">
        <v>18</v>
      </c>
      <c r="F2137" s="126">
        <v>2</v>
      </c>
      <c r="G2137" s="126">
        <v>6</v>
      </c>
      <c r="H2137" s="126">
        <v>2023</v>
      </c>
      <c r="I2137" s="126">
        <v>2050</v>
      </c>
      <c r="J2137" s="127">
        <v>1.07</v>
      </c>
      <c r="K2137" s="127">
        <v>1.07</v>
      </c>
      <c r="L2137" s="127">
        <v>0.68079999999999996</v>
      </c>
      <c r="M2137" s="127">
        <v>1.0588</v>
      </c>
      <c r="N2137" s="127">
        <v>0.77800000000000002</v>
      </c>
      <c r="O2137" s="127">
        <v>1.0538000000000001</v>
      </c>
      <c r="P2137" s="126">
        <v>6643</v>
      </c>
      <c r="Q2137" s="128">
        <f t="array" ref="Q2137">SUM(IF(($S2137&gt;=4)*($C2137='TaxCred&amp;Subs'!$D$123:$D$127)*($H2137='TaxCred&amp;Subs'!$C$123:$C$127)*($H2137&lt;='TaxCred&amp;Subs'!$C$129),'TaxCred&amp;Subs'!$E$123:$E$127,0))</f>
        <v>0</v>
      </c>
      <c r="R2137" s="174">
        <v>0</v>
      </c>
      <c r="S2137" s="126">
        <v>2</v>
      </c>
      <c r="T2137" s="126" t="s">
        <v>224</v>
      </c>
      <c r="U2137" s="158"/>
      <c r="V2137" s="153" t="str">
        <f t="array" ref="V2137">INDEX(xlRTCLNAME,MATCH(1,(xlRTCLENDU=1)*(xlRTCLEQCL=$D2137),0))</f>
        <v>LPG_FA</v>
      </c>
      <c r="W2137" s="153" t="str">
        <f t="array" ref="W2137">INDEX(xlRTCLNAME,MATCH(1,(xlRTCLENDU=2)*(xlRTCLEQCL=$F2137),0))</f>
        <v>CENT_AIR</v>
      </c>
      <c r="X2137" s="153" t="str">
        <f t="array" ref="X2137">INDEX(xlRTTYNAME,MATCH(1,(xlRTTYENDU=1)*(xlRTTYEQCL=$D2137)*(xlRTEQTYPE=$E2137),0))</f>
        <v>LPG_FA1</v>
      </c>
      <c r="Y2137" s="153" t="str">
        <f t="array" ref="Y2137">INDEX(xlRTTYNAME,MATCH(1,(xlRTTYENDU=2)*(xlRTTYEQCL=$F2137)*(xlRTEQTYPE=$G2137),0))</f>
        <v>CENT_AIR2</v>
      </c>
    </row>
    <row r="2138" spans="2:25" x14ac:dyDescent="0.2">
      <c r="B2138" s="126">
        <v>2</v>
      </c>
      <c r="C2138" s="126">
        <v>3</v>
      </c>
      <c r="D2138" s="126">
        <v>6</v>
      </c>
      <c r="E2138" s="126">
        <v>18</v>
      </c>
      <c r="F2138" s="126">
        <v>2</v>
      </c>
      <c r="G2138" s="126">
        <v>5</v>
      </c>
      <c r="H2138" s="126">
        <v>2016</v>
      </c>
      <c r="I2138" s="126">
        <v>2022</v>
      </c>
      <c r="J2138" s="127">
        <v>1.0670999999999999</v>
      </c>
      <c r="K2138" s="127">
        <v>1.0638000000000001</v>
      </c>
      <c r="L2138" s="127">
        <v>0.88700000000000001</v>
      </c>
      <c r="M2138" s="127">
        <v>1.1462000000000001</v>
      </c>
      <c r="N2138" s="127">
        <v>0.84609999999999996</v>
      </c>
      <c r="O2138" s="127">
        <v>1.0538000000000001</v>
      </c>
      <c r="P2138" s="126">
        <v>5017</v>
      </c>
      <c r="Q2138" s="128">
        <f t="array" ref="Q2138">SUM(IF(($S2138&gt;=4)*($C2138='TaxCred&amp;Subs'!$D$123:$D$127)*($H2138='TaxCred&amp;Subs'!$C$123:$C$127)*($H2138&lt;='TaxCred&amp;Subs'!$C$129),'TaxCred&amp;Subs'!$E$123:$E$127,0))</f>
        <v>0</v>
      </c>
      <c r="R2138" s="174">
        <v>0</v>
      </c>
      <c r="S2138" s="126">
        <v>2</v>
      </c>
      <c r="T2138" s="126" t="s">
        <v>224</v>
      </c>
      <c r="U2138" s="158"/>
      <c r="V2138" s="153" t="str">
        <f t="array" ref="V2138">INDEX(xlRTCLNAME,MATCH(1,(xlRTCLENDU=1)*(xlRTCLEQCL=$D2138),0))</f>
        <v>LPG_FA</v>
      </c>
      <c r="W2138" s="153" t="str">
        <f t="array" ref="W2138">INDEX(xlRTCLNAME,MATCH(1,(xlRTCLENDU=2)*(xlRTCLEQCL=$F2138),0))</f>
        <v>CENT_AIR</v>
      </c>
      <c r="X2138" s="153" t="str">
        <f t="array" ref="X2138">INDEX(xlRTTYNAME,MATCH(1,(xlRTTYENDU=1)*(xlRTTYEQCL=$D2138)*(xlRTEQTYPE=$E2138),0))</f>
        <v>LPG_FA1</v>
      </c>
      <c r="Y2138" s="153" t="str">
        <f t="array" ref="Y2138">INDEX(xlRTTYNAME,MATCH(1,(xlRTTYENDU=2)*(xlRTTYEQCL=$F2138)*(xlRTEQTYPE=$G2138),0))</f>
        <v>CENT_AIR1</v>
      </c>
    </row>
    <row r="2139" spans="2:25" x14ac:dyDescent="0.2">
      <c r="B2139" s="126">
        <v>2</v>
      </c>
      <c r="C2139" s="126">
        <v>3</v>
      </c>
      <c r="D2139" s="126">
        <v>6</v>
      </c>
      <c r="E2139" s="126">
        <v>18</v>
      </c>
      <c r="F2139" s="126">
        <v>2</v>
      </c>
      <c r="G2139" s="126">
        <v>6</v>
      </c>
      <c r="H2139" s="126">
        <v>2023</v>
      </c>
      <c r="I2139" s="126">
        <v>2050</v>
      </c>
      <c r="J2139" s="127">
        <v>1.0670999999999999</v>
      </c>
      <c r="K2139" s="127">
        <v>1.0638000000000001</v>
      </c>
      <c r="L2139" s="127">
        <v>0.88700000000000001</v>
      </c>
      <c r="M2139" s="127">
        <v>1.1462000000000001</v>
      </c>
      <c r="N2139" s="127">
        <v>0.84609999999999996</v>
      </c>
      <c r="O2139" s="127">
        <v>1.0538000000000001</v>
      </c>
      <c r="P2139" s="126">
        <v>5017</v>
      </c>
      <c r="Q2139" s="128">
        <f t="array" ref="Q2139">SUM(IF(($S2139&gt;=4)*($C2139='TaxCred&amp;Subs'!$D$123:$D$127)*($H2139='TaxCred&amp;Subs'!$C$123:$C$127)*($H2139&lt;='TaxCred&amp;Subs'!$C$129),'TaxCred&amp;Subs'!$E$123:$E$127,0))</f>
        <v>0</v>
      </c>
      <c r="R2139" s="174">
        <v>0</v>
      </c>
      <c r="S2139" s="126">
        <v>2</v>
      </c>
      <c r="T2139" s="126" t="s">
        <v>224</v>
      </c>
      <c r="U2139" s="158"/>
      <c r="V2139" s="153" t="str">
        <f t="array" ref="V2139">INDEX(xlRTCLNAME,MATCH(1,(xlRTCLENDU=1)*(xlRTCLEQCL=$D2139),0))</f>
        <v>LPG_FA</v>
      </c>
      <c r="W2139" s="153" t="str">
        <f t="array" ref="W2139">INDEX(xlRTCLNAME,MATCH(1,(xlRTCLENDU=2)*(xlRTCLEQCL=$F2139),0))</f>
        <v>CENT_AIR</v>
      </c>
      <c r="X2139" s="153" t="str">
        <f t="array" ref="X2139">INDEX(xlRTTYNAME,MATCH(1,(xlRTTYENDU=1)*(xlRTTYEQCL=$D2139)*(xlRTEQTYPE=$E2139),0))</f>
        <v>LPG_FA1</v>
      </c>
      <c r="Y2139" s="153" t="str">
        <f t="array" ref="Y2139">INDEX(xlRTTYNAME,MATCH(1,(xlRTTYENDU=2)*(xlRTTYEQCL=$F2139)*(xlRTEQTYPE=$G2139),0))</f>
        <v>CENT_AIR2</v>
      </c>
    </row>
    <row r="2140" spans="2:25" x14ac:dyDescent="0.2">
      <c r="B2140" s="126">
        <v>3</v>
      </c>
      <c r="C2140" s="126">
        <v>3</v>
      </c>
      <c r="D2140" s="126">
        <v>6</v>
      </c>
      <c r="E2140" s="126">
        <v>18</v>
      </c>
      <c r="F2140" s="126">
        <v>2</v>
      </c>
      <c r="G2140" s="126">
        <v>5</v>
      </c>
      <c r="H2140" s="126">
        <v>2016</v>
      </c>
      <c r="I2140" s="126">
        <v>2022</v>
      </c>
      <c r="J2140" s="127">
        <v>1.07</v>
      </c>
      <c r="K2140" s="127">
        <v>1.07</v>
      </c>
      <c r="L2140" s="127">
        <v>0.76580000000000004</v>
      </c>
      <c r="M2140" s="127">
        <v>1.0925</v>
      </c>
      <c r="N2140" s="127">
        <v>0.8498</v>
      </c>
      <c r="O2140" s="127">
        <v>1.0538000000000001</v>
      </c>
      <c r="P2140" s="126">
        <v>6732</v>
      </c>
      <c r="Q2140" s="128">
        <f t="array" ref="Q2140">SUM(IF(($S2140&gt;=4)*($C2140='TaxCred&amp;Subs'!$D$123:$D$127)*($H2140='TaxCred&amp;Subs'!$C$123:$C$127)*($H2140&lt;='TaxCred&amp;Subs'!$C$129),'TaxCred&amp;Subs'!$E$123:$E$127,0))</f>
        <v>0</v>
      </c>
      <c r="R2140" s="174">
        <v>0</v>
      </c>
      <c r="S2140" s="126">
        <v>2</v>
      </c>
      <c r="T2140" s="126" t="s">
        <v>224</v>
      </c>
      <c r="U2140" s="158"/>
      <c r="V2140" s="153" t="str">
        <f t="array" ref="V2140">INDEX(xlRTCLNAME,MATCH(1,(xlRTCLENDU=1)*(xlRTCLEQCL=$D2140),0))</f>
        <v>LPG_FA</v>
      </c>
      <c r="W2140" s="153" t="str">
        <f t="array" ref="W2140">INDEX(xlRTCLNAME,MATCH(1,(xlRTCLENDU=2)*(xlRTCLEQCL=$F2140),0))</f>
        <v>CENT_AIR</v>
      </c>
      <c r="X2140" s="153" t="str">
        <f t="array" ref="X2140">INDEX(xlRTTYNAME,MATCH(1,(xlRTTYENDU=1)*(xlRTTYEQCL=$D2140)*(xlRTEQTYPE=$E2140),0))</f>
        <v>LPG_FA1</v>
      </c>
      <c r="Y2140" s="153" t="str">
        <f t="array" ref="Y2140">INDEX(xlRTTYNAME,MATCH(1,(xlRTTYENDU=2)*(xlRTTYEQCL=$F2140)*(xlRTEQTYPE=$G2140),0))</f>
        <v>CENT_AIR1</v>
      </c>
    </row>
    <row r="2141" spans="2:25" x14ac:dyDescent="0.2">
      <c r="B2141" s="126">
        <v>3</v>
      </c>
      <c r="C2141" s="126">
        <v>3</v>
      </c>
      <c r="D2141" s="126">
        <v>6</v>
      </c>
      <c r="E2141" s="126">
        <v>18</v>
      </c>
      <c r="F2141" s="126">
        <v>2</v>
      </c>
      <c r="G2141" s="126">
        <v>6</v>
      </c>
      <c r="H2141" s="126">
        <v>2023</v>
      </c>
      <c r="I2141" s="126">
        <v>2050</v>
      </c>
      <c r="J2141" s="127">
        <v>1.07</v>
      </c>
      <c r="K2141" s="127">
        <v>1.07</v>
      </c>
      <c r="L2141" s="127">
        <v>0.76580000000000004</v>
      </c>
      <c r="M2141" s="127">
        <v>1.0925</v>
      </c>
      <c r="N2141" s="127">
        <v>0.8498</v>
      </c>
      <c r="O2141" s="127">
        <v>1.0538000000000001</v>
      </c>
      <c r="P2141" s="126">
        <v>6732</v>
      </c>
      <c r="Q2141" s="128">
        <f t="array" ref="Q2141">SUM(IF(($S2141&gt;=4)*($C2141='TaxCred&amp;Subs'!$D$123:$D$127)*($H2141='TaxCred&amp;Subs'!$C$123:$C$127)*($H2141&lt;='TaxCred&amp;Subs'!$C$129),'TaxCred&amp;Subs'!$E$123:$E$127,0))</f>
        <v>0</v>
      </c>
      <c r="R2141" s="174">
        <v>0</v>
      </c>
      <c r="S2141" s="126">
        <v>2</v>
      </c>
      <c r="T2141" s="126" t="s">
        <v>224</v>
      </c>
      <c r="U2141" s="158"/>
      <c r="V2141" s="153" t="str">
        <f t="array" ref="V2141">INDEX(xlRTCLNAME,MATCH(1,(xlRTCLENDU=1)*(xlRTCLEQCL=$D2141),0))</f>
        <v>LPG_FA</v>
      </c>
      <c r="W2141" s="153" t="str">
        <f t="array" ref="W2141">INDEX(xlRTCLNAME,MATCH(1,(xlRTCLENDU=2)*(xlRTCLEQCL=$F2141),0))</f>
        <v>CENT_AIR</v>
      </c>
      <c r="X2141" s="153" t="str">
        <f t="array" ref="X2141">INDEX(xlRTTYNAME,MATCH(1,(xlRTTYENDU=1)*(xlRTTYEQCL=$D2141)*(xlRTEQTYPE=$E2141),0))</f>
        <v>LPG_FA1</v>
      </c>
      <c r="Y2141" s="153" t="str">
        <f t="array" ref="Y2141">INDEX(xlRTTYNAME,MATCH(1,(xlRTTYENDU=2)*(xlRTTYEQCL=$F2141)*(xlRTEQTYPE=$G2141),0))</f>
        <v>CENT_AIR2</v>
      </c>
    </row>
    <row r="2142" spans="2:25" x14ac:dyDescent="0.2">
      <c r="B2142" s="126">
        <v>4</v>
      </c>
      <c r="C2142" s="126">
        <v>3</v>
      </c>
      <c r="D2142" s="126">
        <v>6</v>
      </c>
      <c r="E2142" s="126">
        <v>18</v>
      </c>
      <c r="F2142" s="126">
        <v>2</v>
      </c>
      <c r="G2142" s="126">
        <v>5</v>
      </c>
      <c r="H2142" s="126">
        <v>2016</v>
      </c>
      <c r="I2142" s="126">
        <v>2022</v>
      </c>
      <c r="J2142" s="127">
        <v>1.07</v>
      </c>
      <c r="K2142" s="127">
        <v>1.07</v>
      </c>
      <c r="L2142" s="127">
        <v>0.68620000000000003</v>
      </c>
      <c r="M2142" s="127">
        <v>1.0580000000000001</v>
      </c>
      <c r="N2142" s="127">
        <v>0.77659999999999996</v>
      </c>
      <c r="O2142" s="127">
        <v>1.0538000000000001</v>
      </c>
      <c r="P2142" s="126">
        <v>5885</v>
      </c>
      <c r="Q2142" s="128">
        <f t="array" ref="Q2142">SUM(IF(($S2142&gt;=4)*($C2142='TaxCred&amp;Subs'!$D$123:$D$127)*($H2142='TaxCred&amp;Subs'!$C$123:$C$127)*($H2142&lt;='TaxCred&amp;Subs'!$C$129),'TaxCred&amp;Subs'!$E$123:$E$127,0))</f>
        <v>0</v>
      </c>
      <c r="R2142" s="174">
        <v>0</v>
      </c>
      <c r="S2142" s="126">
        <v>2</v>
      </c>
      <c r="T2142" s="126" t="s">
        <v>224</v>
      </c>
      <c r="U2142" s="158"/>
      <c r="V2142" s="153" t="str">
        <f t="array" ref="V2142">INDEX(xlRTCLNAME,MATCH(1,(xlRTCLENDU=1)*(xlRTCLEQCL=$D2142),0))</f>
        <v>LPG_FA</v>
      </c>
      <c r="W2142" s="153" t="str">
        <f t="array" ref="W2142">INDEX(xlRTCLNAME,MATCH(1,(xlRTCLENDU=2)*(xlRTCLEQCL=$F2142),0))</f>
        <v>CENT_AIR</v>
      </c>
      <c r="X2142" s="153" t="str">
        <f t="array" ref="X2142">INDEX(xlRTTYNAME,MATCH(1,(xlRTTYENDU=1)*(xlRTTYEQCL=$D2142)*(xlRTEQTYPE=$E2142),0))</f>
        <v>LPG_FA1</v>
      </c>
      <c r="Y2142" s="153" t="str">
        <f t="array" ref="Y2142">INDEX(xlRTTYNAME,MATCH(1,(xlRTTYENDU=2)*(xlRTTYEQCL=$F2142)*(xlRTEQTYPE=$G2142),0))</f>
        <v>CENT_AIR1</v>
      </c>
    </row>
    <row r="2143" spans="2:25" x14ac:dyDescent="0.2">
      <c r="B2143" s="126">
        <v>4</v>
      </c>
      <c r="C2143" s="126">
        <v>3</v>
      </c>
      <c r="D2143" s="126">
        <v>6</v>
      </c>
      <c r="E2143" s="126">
        <v>18</v>
      </c>
      <c r="F2143" s="126">
        <v>2</v>
      </c>
      <c r="G2143" s="126">
        <v>6</v>
      </c>
      <c r="H2143" s="126">
        <v>2023</v>
      </c>
      <c r="I2143" s="126">
        <v>2050</v>
      </c>
      <c r="J2143" s="127">
        <v>1.07</v>
      </c>
      <c r="K2143" s="127">
        <v>1.07</v>
      </c>
      <c r="L2143" s="127">
        <v>0.68620000000000003</v>
      </c>
      <c r="M2143" s="127">
        <v>1.0580000000000001</v>
      </c>
      <c r="N2143" s="127">
        <v>0.77659999999999996</v>
      </c>
      <c r="O2143" s="127">
        <v>1.0538000000000001</v>
      </c>
      <c r="P2143" s="126">
        <v>5885</v>
      </c>
      <c r="Q2143" s="128">
        <f t="array" ref="Q2143">SUM(IF(($S2143&gt;=4)*($C2143='TaxCred&amp;Subs'!$D$123:$D$127)*($H2143='TaxCred&amp;Subs'!$C$123:$C$127)*($H2143&lt;='TaxCred&amp;Subs'!$C$129),'TaxCred&amp;Subs'!$E$123:$E$127,0))</f>
        <v>0</v>
      </c>
      <c r="R2143" s="174">
        <v>0</v>
      </c>
      <c r="S2143" s="126">
        <v>2</v>
      </c>
      <c r="T2143" s="126" t="s">
        <v>224</v>
      </c>
      <c r="U2143" s="158"/>
      <c r="V2143" s="153" t="str">
        <f t="array" ref="V2143">INDEX(xlRTCLNAME,MATCH(1,(xlRTCLENDU=1)*(xlRTCLEQCL=$D2143),0))</f>
        <v>LPG_FA</v>
      </c>
      <c r="W2143" s="153" t="str">
        <f t="array" ref="W2143">INDEX(xlRTCLNAME,MATCH(1,(xlRTCLENDU=2)*(xlRTCLEQCL=$F2143),0))</f>
        <v>CENT_AIR</v>
      </c>
      <c r="X2143" s="153" t="str">
        <f t="array" ref="X2143">INDEX(xlRTTYNAME,MATCH(1,(xlRTTYENDU=1)*(xlRTTYEQCL=$D2143)*(xlRTEQTYPE=$E2143),0))</f>
        <v>LPG_FA1</v>
      </c>
      <c r="Y2143" s="153" t="str">
        <f t="array" ref="Y2143">INDEX(xlRTTYNAME,MATCH(1,(xlRTTYENDU=2)*(xlRTTYEQCL=$F2143)*(xlRTEQTYPE=$G2143),0))</f>
        <v>CENT_AIR2</v>
      </c>
    </row>
    <row r="2144" spans="2:25" x14ac:dyDescent="0.2">
      <c r="B2144" s="126">
        <v>5</v>
      </c>
      <c r="C2144" s="126">
        <v>3</v>
      </c>
      <c r="D2144" s="126">
        <v>6</v>
      </c>
      <c r="E2144" s="126">
        <v>18</v>
      </c>
      <c r="F2144" s="126">
        <v>2</v>
      </c>
      <c r="G2144" s="126">
        <v>5</v>
      </c>
      <c r="H2144" s="126">
        <v>2016</v>
      </c>
      <c r="I2144" s="126">
        <v>2022</v>
      </c>
      <c r="J2144" s="127">
        <v>1.0559000000000001</v>
      </c>
      <c r="K2144" s="127">
        <v>1.0444</v>
      </c>
      <c r="L2144" s="127">
        <v>0.86729999999999996</v>
      </c>
      <c r="M2144" s="127">
        <v>1.0669</v>
      </c>
      <c r="N2144" s="127">
        <v>0.83460000000000001</v>
      </c>
      <c r="O2144" s="127">
        <v>1.0538000000000001</v>
      </c>
      <c r="P2144" s="126">
        <v>3419</v>
      </c>
      <c r="Q2144" s="128">
        <f t="array" ref="Q2144">SUM(IF(($S2144&gt;=4)*($C2144='TaxCred&amp;Subs'!$D$123:$D$127)*($H2144='TaxCred&amp;Subs'!$C$123:$C$127)*($H2144&lt;='TaxCred&amp;Subs'!$C$129),'TaxCred&amp;Subs'!$E$123:$E$127,0))</f>
        <v>0</v>
      </c>
      <c r="R2144" s="174">
        <v>0</v>
      </c>
      <c r="S2144" s="126">
        <v>2</v>
      </c>
      <c r="T2144" s="126" t="s">
        <v>224</v>
      </c>
      <c r="U2144" s="158"/>
      <c r="V2144" s="153" t="str">
        <f t="array" ref="V2144">INDEX(xlRTCLNAME,MATCH(1,(xlRTCLENDU=1)*(xlRTCLEQCL=$D2144),0))</f>
        <v>LPG_FA</v>
      </c>
      <c r="W2144" s="153" t="str">
        <f t="array" ref="W2144">INDEX(xlRTCLNAME,MATCH(1,(xlRTCLENDU=2)*(xlRTCLEQCL=$F2144),0))</f>
        <v>CENT_AIR</v>
      </c>
      <c r="X2144" s="153" t="str">
        <f t="array" ref="X2144">INDEX(xlRTTYNAME,MATCH(1,(xlRTTYENDU=1)*(xlRTTYEQCL=$D2144)*(xlRTEQTYPE=$E2144),0))</f>
        <v>LPG_FA1</v>
      </c>
      <c r="Y2144" s="153" t="str">
        <f t="array" ref="Y2144">INDEX(xlRTTYNAME,MATCH(1,(xlRTTYENDU=2)*(xlRTTYEQCL=$F2144)*(xlRTEQTYPE=$G2144),0))</f>
        <v>CENT_AIR1</v>
      </c>
    </row>
    <row r="2145" spans="2:25" x14ac:dyDescent="0.2">
      <c r="B2145" s="126">
        <v>5</v>
      </c>
      <c r="C2145" s="126">
        <v>3</v>
      </c>
      <c r="D2145" s="126">
        <v>6</v>
      </c>
      <c r="E2145" s="126">
        <v>18</v>
      </c>
      <c r="F2145" s="126">
        <v>2</v>
      </c>
      <c r="G2145" s="126">
        <v>6</v>
      </c>
      <c r="H2145" s="126">
        <v>2023</v>
      </c>
      <c r="I2145" s="126">
        <v>2050</v>
      </c>
      <c r="J2145" s="127">
        <v>1.0559000000000001</v>
      </c>
      <c r="K2145" s="127">
        <v>1.0444</v>
      </c>
      <c r="L2145" s="127">
        <v>0.86729999999999996</v>
      </c>
      <c r="M2145" s="127">
        <v>1.0669</v>
      </c>
      <c r="N2145" s="127">
        <v>0.83460000000000001</v>
      </c>
      <c r="O2145" s="127">
        <v>1.0538000000000001</v>
      </c>
      <c r="P2145" s="126">
        <v>3419</v>
      </c>
      <c r="Q2145" s="128">
        <f t="array" ref="Q2145">SUM(IF(($S2145&gt;=4)*($C2145='TaxCred&amp;Subs'!$D$123:$D$127)*($H2145='TaxCred&amp;Subs'!$C$123:$C$127)*($H2145&lt;='TaxCred&amp;Subs'!$C$129),'TaxCred&amp;Subs'!$E$123:$E$127,0))</f>
        <v>0</v>
      </c>
      <c r="R2145" s="174">
        <v>0</v>
      </c>
      <c r="S2145" s="126">
        <v>2</v>
      </c>
      <c r="T2145" s="126" t="s">
        <v>224</v>
      </c>
      <c r="U2145" s="158"/>
      <c r="V2145" s="153" t="str">
        <f t="array" ref="V2145">INDEX(xlRTCLNAME,MATCH(1,(xlRTCLENDU=1)*(xlRTCLEQCL=$D2145),0))</f>
        <v>LPG_FA</v>
      </c>
      <c r="W2145" s="153" t="str">
        <f t="array" ref="W2145">INDEX(xlRTCLNAME,MATCH(1,(xlRTCLENDU=2)*(xlRTCLEQCL=$F2145),0))</f>
        <v>CENT_AIR</v>
      </c>
      <c r="X2145" s="153" t="str">
        <f t="array" ref="X2145">INDEX(xlRTTYNAME,MATCH(1,(xlRTTYENDU=1)*(xlRTTYEQCL=$D2145)*(xlRTEQTYPE=$E2145),0))</f>
        <v>LPG_FA1</v>
      </c>
      <c r="Y2145" s="153" t="str">
        <f t="array" ref="Y2145">INDEX(xlRTTYNAME,MATCH(1,(xlRTTYENDU=2)*(xlRTTYEQCL=$F2145)*(xlRTEQTYPE=$G2145),0))</f>
        <v>CENT_AIR2</v>
      </c>
    </row>
    <row r="2146" spans="2:25" x14ac:dyDescent="0.2">
      <c r="B2146" s="126">
        <v>6</v>
      </c>
      <c r="C2146" s="126">
        <v>3</v>
      </c>
      <c r="D2146" s="126">
        <v>6</v>
      </c>
      <c r="E2146" s="126">
        <v>18</v>
      </c>
      <c r="F2146" s="126">
        <v>2</v>
      </c>
      <c r="G2146" s="126">
        <v>5</v>
      </c>
      <c r="H2146" s="126">
        <v>2016</v>
      </c>
      <c r="I2146" s="126">
        <v>2022</v>
      </c>
      <c r="J2146" s="127">
        <v>1.0872999999999999</v>
      </c>
      <c r="K2146" s="127">
        <v>1.0581</v>
      </c>
      <c r="L2146" s="127">
        <v>0.83140000000000003</v>
      </c>
      <c r="M2146" s="127">
        <v>1.0811999999999999</v>
      </c>
      <c r="N2146" s="127">
        <v>0.8044</v>
      </c>
      <c r="O2146" s="127">
        <v>1.0538000000000001</v>
      </c>
      <c r="P2146" s="126">
        <v>3827</v>
      </c>
      <c r="Q2146" s="128">
        <f t="array" ref="Q2146">SUM(IF(($S2146&gt;=4)*($C2146='TaxCred&amp;Subs'!$D$123:$D$127)*($H2146='TaxCred&amp;Subs'!$C$123:$C$127)*($H2146&lt;='TaxCred&amp;Subs'!$C$129),'TaxCred&amp;Subs'!$E$123:$E$127,0))</f>
        <v>0</v>
      </c>
      <c r="R2146" s="174">
        <v>0</v>
      </c>
      <c r="S2146" s="126">
        <v>2</v>
      </c>
      <c r="T2146" s="126" t="s">
        <v>224</v>
      </c>
      <c r="U2146" s="158"/>
      <c r="V2146" s="153" t="str">
        <f t="array" ref="V2146">INDEX(xlRTCLNAME,MATCH(1,(xlRTCLENDU=1)*(xlRTCLEQCL=$D2146),0))</f>
        <v>LPG_FA</v>
      </c>
      <c r="W2146" s="153" t="str">
        <f t="array" ref="W2146">INDEX(xlRTCLNAME,MATCH(1,(xlRTCLENDU=2)*(xlRTCLEQCL=$F2146),0))</f>
        <v>CENT_AIR</v>
      </c>
      <c r="X2146" s="153" t="str">
        <f t="array" ref="X2146">INDEX(xlRTTYNAME,MATCH(1,(xlRTTYENDU=1)*(xlRTTYEQCL=$D2146)*(xlRTEQTYPE=$E2146),0))</f>
        <v>LPG_FA1</v>
      </c>
      <c r="Y2146" s="153" t="str">
        <f t="array" ref="Y2146">INDEX(xlRTTYNAME,MATCH(1,(xlRTTYENDU=2)*(xlRTTYEQCL=$F2146)*(xlRTEQTYPE=$G2146),0))</f>
        <v>CENT_AIR1</v>
      </c>
    </row>
    <row r="2147" spans="2:25" x14ac:dyDescent="0.2">
      <c r="B2147" s="126">
        <v>6</v>
      </c>
      <c r="C2147" s="126">
        <v>3</v>
      </c>
      <c r="D2147" s="126">
        <v>6</v>
      </c>
      <c r="E2147" s="126">
        <v>18</v>
      </c>
      <c r="F2147" s="126">
        <v>2</v>
      </c>
      <c r="G2147" s="126">
        <v>6</v>
      </c>
      <c r="H2147" s="126">
        <v>2023</v>
      </c>
      <c r="I2147" s="126">
        <v>2050</v>
      </c>
      <c r="J2147" s="127">
        <v>1.0872999999999999</v>
      </c>
      <c r="K2147" s="127">
        <v>1.0581</v>
      </c>
      <c r="L2147" s="127">
        <v>0.83140000000000003</v>
      </c>
      <c r="M2147" s="127">
        <v>1.0811999999999999</v>
      </c>
      <c r="N2147" s="127">
        <v>0.8044</v>
      </c>
      <c r="O2147" s="127">
        <v>1.0538000000000001</v>
      </c>
      <c r="P2147" s="126">
        <v>3827</v>
      </c>
      <c r="Q2147" s="128">
        <f t="array" ref="Q2147">SUM(IF(($S2147&gt;=4)*($C2147='TaxCred&amp;Subs'!$D$123:$D$127)*($H2147='TaxCred&amp;Subs'!$C$123:$C$127)*($H2147&lt;='TaxCred&amp;Subs'!$C$129),'TaxCred&amp;Subs'!$E$123:$E$127,0))</f>
        <v>0</v>
      </c>
      <c r="R2147" s="174">
        <v>0</v>
      </c>
      <c r="S2147" s="126">
        <v>2</v>
      </c>
      <c r="T2147" s="126" t="s">
        <v>224</v>
      </c>
      <c r="U2147" s="158"/>
      <c r="V2147" s="153" t="str">
        <f t="array" ref="V2147">INDEX(xlRTCLNAME,MATCH(1,(xlRTCLENDU=1)*(xlRTCLEQCL=$D2147),0))</f>
        <v>LPG_FA</v>
      </c>
      <c r="W2147" s="153" t="str">
        <f t="array" ref="W2147">INDEX(xlRTCLNAME,MATCH(1,(xlRTCLENDU=2)*(xlRTCLEQCL=$F2147),0))</f>
        <v>CENT_AIR</v>
      </c>
      <c r="X2147" s="153" t="str">
        <f t="array" ref="X2147">INDEX(xlRTTYNAME,MATCH(1,(xlRTTYENDU=1)*(xlRTTYEQCL=$D2147)*(xlRTEQTYPE=$E2147),0))</f>
        <v>LPG_FA1</v>
      </c>
      <c r="Y2147" s="153" t="str">
        <f t="array" ref="Y2147">INDEX(xlRTTYNAME,MATCH(1,(xlRTTYENDU=2)*(xlRTTYEQCL=$F2147)*(xlRTEQTYPE=$G2147),0))</f>
        <v>CENT_AIR2</v>
      </c>
    </row>
    <row r="2148" spans="2:25" x14ac:dyDescent="0.2">
      <c r="B2148" s="126">
        <v>7</v>
      </c>
      <c r="C2148" s="126">
        <v>3</v>
      </c>
      <c r="D2148" s="126">
        <v>6</v>
      </c>
      <c r="E2148" s="126">
        <v>18</v>
      </c>
      <c r="F2148" s="126">
        <v>2</v>
      </c>
      <c r="G2148" s="126">
        <v>5</v>
      </c>
      <c r="H2148" s="126">
        <v>2016</v>
      </c>
      <c r="I2148" s="126">
        <v>2022</v>
      </c>
      <c r="J2148" s="127">
        <v>1.0914999999999999</v>
      </c>
      <c r="K2148" s="127">
        <v>1.0496000000000001</v>
      </c>
      <c r="L2148" s="127">
        <v>0.89400000000000002</v>
      </c>
      <c r="M2148" s="127">
        <v>1.0887</v>
      </c>
      <c r="N2148" s="127">
        <v>0.81759999999999999</v>
      </c>
      <c r="O2148" s="127">
        <v>1.0538000000000001</v>
      </c>
      <c r="P2148" s="126">
        <v>2643</v>
      </c>
      <c r="Q2148" s="128">
        <f t="array" ref="Q2148">SUM(IF(($S2148&gt;=4)*($C2148='TaxCred&amp;Subs'!$D$123:$D$127)*($H2148='TaxCred&amp;Subs'!$C$123:$C$127)*($H2148&lt;='TaxCred&amp;Subs'!$C$129),'TaxCred&amp;Subs'!$E$123:$E$127,0))</f>
        <v>0</v>
      </c>
      <c r="R2148" s="174">
        <v>0</v>
      </c>
      <c r="S2148" s="126">
        <v>2</v>
      </c>
      <c r="T2148" s="126" t="s">
        <v>224</v>
      </c>
      <c r="U2148" s="158"/>
      <c r="V2148" s="153" t="str">
        <f t="array" ref="V2148">INDEX(xlRTCLNAME,MATCH(1,(xlRTCLENDU=1)*(xlRTCLEQCL=$D2148),0))</f>
        <v>LPG_FA</v>
      </c>
      <c r="W2148" s="153" t="str">
        <f t="array" ref="W2148">INDEX(xlRTCLNAME,MATCH(1,(xlRTCLENDU=2)*(xlRTCLEQCL=$F2148),0))</f>
        <v>CENT_AIR</v>
      </c>
      <c r="X2148" s="153" t="str">
        <f t="array" ref="X2148">INDEX(xlRTTYNAME,MATCH(1,(xlRTTYENDU=1)*(xlRTTYEQCL=$D2148)*(xlRTEQTYPE=$E2148),0))</f>
        <v>LPG_FA1</v>
      </c>
      <c r="Y2148" s="153" t="str">
        <f t="array" ref="Y2148">INDEX(xlRTTYNAME,MATCH(1,(xlRTTYENDU=2)*(xlRTTYEQCL=$F2148)*(xlRTEQTYPE=$G2148),0))</f>
        <v>CENT_AIR1</v>
      </c>
    </row>
    <row r="2149" spans="2:25" x14ac:dyDescent="0.2">
      <c r="B2149" s="126">
        <v>7</v>
      </c>
      <c r="C2149" s="126">
        <v>3</v>
      </c>
      <c r="D2149" s="126">
        <v>6</v>
      </c>
      <c r="E2149" s="126">
        <v>18</v>
      </c>
      <c r="F2149" s="126">
        <v>2</v>
      </c>
      <c r="G2149" s="126">
        <v>6</v>
      </c>
      <c r="H2149" s="126">
        <v>2023</v>
      </c>
      <c r="I2149" s="126">
        <v>2050</v>
      </c>
      <c r="J2149" s="127">
        <v>1.0914999999999999</v>
      </c>
      <c r="K2149" s="127">
        <v>1.0496000000000001</v>
      </c>
      <c r="L2149" s="127">
        <v>0.89400000000000002</v>
      </c>
      <c r="M2149" s="127">
        <v>1.0887</v>
      </c>
      <c r="N2149" s="127">
        <v>0.81759999999999999</v>
      </c>
      <c r="O2149" s="127">
        <v>1.0538000000000001</v>
      </c>
      <c r="P2149" s="126">
        <v>2643</v>
      </c>
      <c r="Q2149" s="128">
        <f t="array" ref="Q2149">SUM(IF(($S2149&gt;=4)*($C2149='TaxCred&amp;Subs'!$D$123:$D$127)*($H2149='TaxCred&amp;Subs'!$C$123:$C$127)*($H2149&lt;='TaxCred&amp;Subs'!$C$129),'TaxCred&amp;Subs'!$E$123:$E$127,0))</f>
        <v>0</v>
      </c>
      <c r="R2149" s="174">
        <v>0</v>
      </c>
      <c r="S2149" s="126">
        <v>2</v>
      </c>
      <c r="T2149" s="126" t="s">
        <v>224</v>
      </c>
      <c r="U2149" s="158"/>
      <c r="V2149" s="153" t="str">
        <f t="array" ref="V2149">INDEX(xlRTCLNAME,MATCH(1,(xlRTCLENDU=1)*(xlRTCLEQCL=$D2149),0))</f>
        <v>LPG_FA</v>
      </c>
      <c r="W2149" s="153" t="str">
        <f t="array" ref="W2149">INDEX(xlRTCLNAME,MATCH(1,(xlRTCLENDU=2)*(xlRTCLEQCL=$F2149),0))</f>
        <v>CENT_AIR</v>
      </c>
      <c r="X2149" s="153" t="str">
        <f t="array" ref="X2149">INDEX(xlRTTYNAME,MATCH(1,(xlRTTYENDU=1)*(xlRTTYEQCL=$D2149)*(xlRTEQTYPE=$E2149),0))</f>
        <v>LPG_FA1</v>
      </c>
      <c r="Y2149" s="153" t="str">
        <f t="array" ref="Y2149">INDEX(xlRTTYNAME,MATCH(1,(xlRTTYENDU=2)*(xlRTTYEQCL=$F2149)*(xlRTEQTYPE=$G2149),0))</f>
        <v>CENT_AIR2</v>
      </c>
    </row>
    <row r="2150" spans="2:25" x14ac:dyDescent="0.2">
      <c r="B2150" s="126">
        <v>8</v>
      </c>
      <c r="C2150" s="126">
        <v>3</v>
      </c>
      <c r="D2150" s="126">
        <v>6</v>
      </c>
      <c r="E2150" s="126">
        <v>18</v>
      </c>
      <c r="F2150" s="126">
        <v>2</v>
      </c>
      <c r="G2150" s="126">
        <v>5</v>
      </c>
      <c r="H2150" s="126">
        <v>2016</v>
      </c>
      <c r="I2150" s="126">
        <v>2022</v>
      </c>
      <c r="J2150" s="127">
        <v>1.07</v>
      </c>
      <c r="K2150" s="127">
        <v>1.07</v>
      </c>
      <c r="L2150" s="127">
        <v>0.75749999999999995</v>
      </c>
      <c r="M2150" s="127">
        <v>1.0437000000000001</v>
      </c>
      <c r="N2150" s="127">
        <v>0.80840000000000001</v>
      </c>
      <c r="O2150" s="127">
        <v>1.0538000000000001</v>
      </c>
      <c r="P2150" s="126">
        <v>5501</v>
      </c>
      <c r="Q2150" s="128">
        <f t="array" ref="Q2150">SUM(IF(($S2150&gt;=4)*($C2150='TaxCred&amp;Subs'!$D$123:$D$127)*($H2150='TaxCred&amp;Subs'!$C$123:$C$127)*($H2150&lt;='TaxCred&amp;Subs'!$C$129),'TaxCred&amp;Subs'!$E$123:$E$127,0))</f>
        <v>0</v>
      </c>
      <c r="R2150" s="174">
        <v>0</v>
      </c>
      <c r="S2150" s="126">
        <v>2</v>
      </c>
      <c r="T2150" s="126" t="s">
        <v>224</v>
      </c>
      <c r="U2150" s="158"/>
      <c r="V2150" s="153" t="str">
        <f t="array" ref="V2150">INDEX(xlRTCLNAME,MATCH(1,(xlRTCLENDU=1)*(xlRTCLEQCL=$D2150),0))</f>
        <v>LPG_FA</v>
      </c>
      <c r="W2150" s="153" t="str">
        <f t="array" ref="W2150">INDEX(xlRTCLNAME,MATCH(1,(xlRTCLENDU=2)*(xlRTCLEQCL=$F2150),0))</f>
        <v>CENT_AIR</v>
      </c>
      <c r="X2150" s="153" t="str">
        <f t="array" ref="X2150">INDEX(xlRTTYNAME,MATCH(1,(xlRTTYENDU=1)*(xlRTTYEQCL=$D2150)*(xlRTEQTYPE=$E2150),0))</f>
        <v>LPG_FA1</v>
      </c>
      <c r="Y2150" s="153" t="str">
        <f t="array" ref="Y2150">INDEX(xlRTTYNAME,MATCH(1,(xlRTTYENDU=2)*(xlRTTYEQCL=$F2150)*(xlRTEQTYPE=$G2150),0))</f>
        <v>CENT_AIR1</v>
      </c>
    </row>
    <row r="2151" spans="2:25" x14ac:dyDescent="0.2">
      <c r="B2151" s="126">
        <v>8</v>
      </c>
      <c r="C2151" s="126">
        <v>3</v>
      </c>
      <c r="D2151" s="126">
        <v>6</v>
      </c>
      <c r="E2151" s="126">
        <v>18</v>
      </c>
      <c r="F2151" s="126">
        <v>2</v>
      </c>
      <c r="G2151" s="126">
        <v>6</v>
      </c>
      <c r="H2151" s="126">
        <v>2023</v>
      </c>
      <c r="I2151" s="126">
        <v>2050</v>
      </c>
      <c r="J2151" s="127">
        <v>1.07</v>
      </c>
      <c r="K2151" s="127">
        <v>1.07</v>
      </c>
      <c r="L2151" s="127">
        <v>0.75749999999999995</v>
      </c>
      <c r="M2151" s="127">
        <v>1.0437000000000001</v>
      </c>
      <c r="N2151" s="127">
        <v>0.80840000000000001</v>
      </c>
      <c r="O2151" s="127">
        <v>1.0538000000000001</v>
      </c>
      <c r="P2151" s="126">
        <v>5501</v>
      </c>
      <c r="Q2151" s="128">
        <f t="array" ref="Q2151">SUM(IF(($S2151&gt;=4)*($C2151='TaxCred&amp;Subs'!$D$123:$D$127)*($H2151='TaxCred&amp;Subs'!$C$123:$C$127)*($H2151&lt;='TaxCred&amp;Subs'!$C$129),'TaxCred&amp;Subs'!$E$123:$E$127,0))</f>
        <v>0</v>
      </c>
      <c r="R2151" s="174">
        <v>0</v>
      </c>
      <c r="S2151" s="126">
        <v>2</v>
      </c>
      <c r="T2151" s="126" t="s">
        <v>224</v>
      </c>
      <c r="U2151" s="158"/>
      <c r="V2151" s="153" t="str">
        <f t="array" ref="V2151">INDEX(xlRTCLNAME,MATCH(1,(xlRTCLENDU=1)*(xlRTCLEQCL=$D2151),0))</f>
        <v>LPG_FA</v>
      </c>
      <c r="W2151" s="153" t="str">
        <f t="array" ref="W2151">INDEX(xlRTCLNAME,MATCH(1,(xlRTCLENDU=2)*(xlRTCLEQCL=$F2151),0))</f>
        <v>CENT_AIR</v>
      </c>
      <c r="X2151" s="153" t="str">
        <f t="array" ref="X2151">INDEX(xlRTTYNAME,MATCH(1,(xlRTTYENDU=1)*(xlRTTYEQCL=$D2151)*(xlRTEQTYPE=$E2151),0))</f>
        <v>LPG_FA1</v>
      </c>
      <c r="Y2151" s="153" t="str">
        <f t="array" ref="Y2151">INDEX(xlRTTYNAME,MATCH(1,(xlRTTYENDU=2)*(xlRTTYEQCL=$F2151)*(xlRTEQTYPE=$G2151),0))</f>
        <v>CENT_AIR2</v>
      </c>
    </row>
    <row r="2152" spans="2:25" x14ac:dyDescent="0.2">
      <c r="B2152" s="126">
        <v>9</v>
      </c>
      <c r="C2152" s="126">
        <v>3</v>
      </c>
      <c r="D2152" s="126">
        <v>6</v>
      </c>
      <c r="E2152" s="126">
        <v>18</v>
      </c>
      <c r="F2152" s="126">
        <v>2</v>
      </c>
      <c r="G2152" s="126">
        <v>5</v>
      </c>
      <c r="H2152" s="126">
        <v>2016</v>
      </c>
      <c r="I2152" s="126">
        <v>2022</v>
      </c>
      <c r="J2152" s="127">
        <v>1.0761000000000001</v>
      </c>
      <c r="K2152" s="127">
        <v>1.0506</v>
      </c>
      <c r="L2152" s="127">
        <v>0.86780000000000002</v>
      </c>
      <c r="M2152" s="127">
        <v>1.1609</v>
      </c>
      <c r="N2152" s="127">
        <v>0.84670000000000001</v>
      </c>
      <c r="O2152" s="127">
        <v>1.0538000000000001</v>
      </c>
      <c r="P2152" s="126">
        <v>5354</v>
      </c>
      <c r="Q2152" s="128">
        <f t="array" ref="Q2152">SUM(IF(($S2152&gt;=4)*($C2152='TaxCred&amp;Subs'!$D$123:$D$127)*($H2152='TaxCred&amp;Subs'!$C$123:$C$127)*($H2152&lt;='TaxCred&amp;Subs'!$C$129),'TaxCred&amp;Subs'!$E$123:$E$127,0))</f>
        <v>0</v>
      </c>
      <c r="R2152" s="174">
        <v>0</v>
      </c>
      <c r="S2152" s="126">
        <v>2</v>
      </c>
      <c r="T2152" s="126" t="s">
        <v>224</v>
      </c>
      <c r="U2152" s="158"/>
      <c r="V2152" s="153" t="str">
        <f t="array" ref="V2152">INDEX(xlRTCLNAME,MATCH(1,(xlRTCLENDU=1)*(xlRTCLEQCL=$D2152),0))</f>
        <v>LPG_FA</v>
      </c>
      <c r="W2152" s="153" t="str">
        <f t="array" ref="W2152">INDEX(xlRTCLNAME,MATCH(1,(xlRTCLENDU=2)*(xlRTCLEQCL=$F2152),0))</f>
        <v>CENT_AIR</v>
      </c>
      <c r="X2152" s="153" t="str">
        <f t="array" ref="X2152">INDEX(xlRTTYNAME,MATCH(1,(xlRTTYENDU=1)*(xlRTTYEQCL=$D2152)*(xlRTEQTYPE=$E2152),0))</f>
        <v>LPG_FA1</v>
      </c>
      <c r="Y2152" s="153" t="str">
        <f t="array" ref="Y2152">INDEX(xlRTTYNAME,MATCH(1,(xlRTTYENDU=2)*(xlRTTYEQCL=$F2152)*(xlRTEQTYPE=$G2152),0))</f>
        <v>CENT_AIR1</v>
      </c>
    </row>
    <row r="2153" spans="2:25" x14ac:dyDescent="0.2">
      <c r="B2153" s="126">
        <v>9</v>
      </c>
      <c r="C2153" s="126">
        <v>3</v>
      </c>
      <c r="D2153" s="126">
        <v>6</v>
      </c>
      <c r="E2153" s="126">
        <v>18</v>
      </c>
      <c r="F2153" s="126">
        <v>2</v>
      </c>
      <c r="G2153" s="126">
        <v>6</v>
      </c>
      <c r="H2153" s="126">
        <v>2023</v>
      </c>
      <c r="I2153" s="126">
        <v>2050</v>
      </c>
      <c r="J2153" s="127">
        <v>1.0761000000000001</v>
      </c>
      <c r="K2153" s="127">
        <v>1.0506</v>
      </c>
      <c r="L2153" s="127">
        <v>0.86780000000000002</v>
      </c>
      <c r="M2153" s="127">
        <v>1.1609</v>
      </c>
      <c r="N2153" s="127">
        <v>0.84670000000000001</v>
      </c>
      <c r="O2153" s="127">
        <v>1.0538000000000001</v>
      </c>
      <c r="P2153" s="126">
        <v>5354</v>
      </c>
      <c r="Q2153" s="128">
        <f t="array" ref="Q2153">SUM(IF(($S2153&gt;=4)*($C2153='TaxCred&amp;Subs'!$D$123:$D$127)*($H2153='TaxCred&amp;Subs'!$C$123:$C$127)*($H2153&lt;='TaxCred&amp;Subs'!$C$129),'TaxCred&amp;Subs'!$E$123:$E$127,0))</f>
        <v>0</v>
      </c>
      <c r="R2153" s="174">
        <v>0</v>
      </c>
      <c r="S2153" s="126">
        <v>2</v>
      </c>
      <c r="T2153" s="126" t="s">
        <v>224</v>
      </c>
      <c r="U2153" s="158"/>
      <c r="V2153" s="153" t="str">
        <f t="array" ref="V2153">INDEX(xlRTCLNAME,MATCH(1,(xlRTCLENDU=1)*(xlRTCLEQCL=$D2153),0))</f>
        <v>LPG_FA</v>
      </c>
      <c r="W2153" s="153" t="str">
        <f t="array" ref="W2153">INDEX(xlRTCLNAME,MATCH(1,(xlRTCLENDU=2)*(xlRTCLEQCL=$F2153),0))</f>
        <v>CENT_AIR</v>
      </c>
      <c r="X2153" s="153" t="str">
        <f t="array" ref="X2153">INDEX(xlRTTYNAME,MATCH(1,(xlRTTYENDU=1)*(xlRTTYEQCL=$D2153)*(xlRTEQTYPE=$E2153),0))</f>
        <v>LPG_FA1</v>
      </c>
      <c r="Y2153" s="153" t="str">
        <f t="array" ref="Y2153">INDEX(xlRTTYNAME,MATCH(1,(xlRTTYENDU=2)*(xlRTTYEQCL=$F2153)*(xlRTEQTYPE=$G2153),0))</f>
        <v>CENT_AIR2</v>
      </c>
    </row>
    <row r="2154" spans="2:25" x14ac:dyDescent="0.2">
      <c r="B2154" s="126">
        <v>1</v>
      </c>
      <c r="C2154" s="126">
        <v>3</v>
      </c>
      <c r="D2154" s="126">
        <v>7</v>
      </c>
      <c r="E2154" s="126">
        <v>22</v>
      </c>
      <c r="F2154" s="126">
        <v>2</v>
      </c>
      <c r="G2154" s="126">
        <v>5</v>
      </c>
      <c r="H2154" s="126">
        <v>2016</v>
      </c>
      <c r="I2154" s="126">
        <v>2022</v>
      </c>
      <c r="J2154" s="127">
        <v>1.07</v>
      </c>
      <c r="K2154" s="127">
        <v>1.07</v>
      </c>
      <c r="L2154" s="127">
        <v>0.68140000000000001</v>
      </c>
      <c r="M2154" s="127">
        <v>1.0437000000000001</v>
      </c>
      <c r="N2154" s="127">
        <v>0.77729999999999999</v>
      </c>
      <c r="O2154" s="127">
        <v>1.0538000000000001</v>
      </c>
      <c r="P2154" s="126">
        <v>6643</v>
      </c>
      <c r="Q2154" s="128">
        <f t="array" ref="Q2154">SUM(IF(($S2154&gt;=4)*($C2154='TaxCred&amp;Subs'!$D$123:$D$127)*($H2154='TaxCred&amp;Subs'!$C$123:$C$127)*($H2154&lt;='TaxCred&amp;Subs'!$C$129),'TaxCred&amp;Subs'!$E$123:$E$127,0))</f>
        <v>0</v>
      </c>
      <c r="R2154" s="174">
        <v>0</v>
      </c>
      <c r="S2154" s="126">
        <v>2</v>
      </c>
      <c r="T2154" s="126" t="s">
        <v>224</v>
      </c>
      <c r="U2154" s="158"/>
      <c r="V2154" s="153" t="str">
        <f t="array" ref="V2154">INDEX(xlRTCLNAME,MATCH(1,(xlRTCLENDU=1)*(xlRTCLEQCL=$D2154),0))</f>
        <v>DIST_FA</v>
      </c>
      <c r="W2154" s="153" t="str">
        <f t="array" ref="W2154">INDEX(xlRTCLNAME,MATCH(1,(xlRTCLENDU=2)*(xlRTCLEQCL=$F2154),0))</f>
        <v>CENT_AIR</v>
      </c>
      <c r="X2154" s="153" t="str">
        <f t="array" ref="X2154">INDEX(xlRTTYNAME,MATCH(1,(xlRTTYENDU=1)*(xlRTTYEQCL=$D2154)*(xlRTEQTYPE=$E2154),0))</f>
        <v>DIST_FA1</v>
      </c>
      <c r="Y2154" s="153" t="str">
        <f t="array" ref="Y2154">INDEX(xlRTTYNAME,MATCH(1,(xlRTTYENDU=2)*(xlRTTYEQCL=$F2154)*(xlRTEQTYPE=$G2154),0))</f>
        <v>CENT_AIR1</v>
      </c>
    </row>
    <row r="2155" spans="2:25" x14ac:dyDescent="0.2">
      <c r="B2155" s="126">
        <v>1</v>
      </c>
      <c r="C2155" s="126">
        <v>3</v>
      </c>
      <c r="D2155" s="126">
        <v>7</v>
      </c>
      <c r="E2155" s="126">
        <v>22</v>
      </c>
      <c r="F2155" s="126">
        <v>2</v>
      </c>
      <c r="G2155" s="126">
        <v>6</v>
      </c>
      <c r="H2155" s="126">
        <v>2023</v>
      </c>
      <c r="I2155" s="126">
        <v>2050</v>
      </c>
      <c r="J2155" s="127">
        <v>1.07</v>
      </c>
      <c r="K2155" s="127">
        <v>1.07</v>
      </c>
      <c r="L2155" s="127">
        <v>0.68140000000000001</v>
      </c>
      <c r="M2155" s="127">
        <v>1.0437000000000001</v>
      </c>
      <c r="N2155" s="127">
        <v>0.77729999999999999</v>
      </c>
      <c r="O2155" s="127">
        <v>1.0538000000000001</v>
      </c>
      <c r="P2155" s="126">
        <v>6643</v>
      </c>
      <c r="Q2155" s="128">
        <f t="array" ref="Q2155">SUM(IF(($S2155&gt;=4)*($C2155='TaxCred&amp;Subs'!$D$123:$D$127)*($H2155='TaxCred&amp;Subs'!$C$123:$C$127)*($H2155&lt;='TaxCred&amp;Subs'!$C$129),'TaxCred&amp;Subs'!$E$123:$E$127,0))</f>
        <v>0</v>
      </c>
      <c r="R2155" s="174">
        <v>0</v>
      </c>
      <c r="S2155" s="126">
        <v>2</v>
      </c>
      <c r="T2155" s="126" t="s">
        <v>224</v>
      </c>
      <c r="U2155" s="158"/>
      <c r="V2155" s="153" t="str">
        <f t="array" ref="V2155">INDEX(xlRTCLNAME,MATCH(1,(xlRTCLENDU=1)*(xlRTCLEQCL=$D2155),0))</f>
        <v>DIST_FA</v>
      </c>
      <c r="W2155" s="153" t="str">
        <f t="array" ref="W2155">INDEX(xlRTCLNAME,MATCH(1,(xlRTCLENDU=2)*(xlRTCLEQCL=$F2155),0))</f>
        <v>CENT_AIR</v>
      </c>
      <c r="X2155" s="153" t="str">
        <f t="array" ref="X2155">INDEX(xlRTTYNAME,MATCH(1,(xlRTTYENDU=1)*(xlRTTYEQCL=$D2155)*(xlRTEQTYPE=$E2155),0))</f>
        <v>DIST_FA1</v>
      </c>
      <c r="Y2155" s="153" t="str">
        <f t="array" ref="Y2155">INDEX(xlRTTYNAME,MATCH(1,(xlRTTYENDU=2)*(xlRTTYEQCL=$F2155)*(xlRTEQTYPE=$G2155),0))</f>
        <v>CENT_AIR2</v>
      </c>
    </row>
    <row r="2156" spans="2:25" x14ac:dyDescent="0.2">
      <c r="B2156" s="126">
        <v>2</v>
      </c>
      <c r="C2156" s="126">
        <v>3</v>
      </c>
      <c r="D2156" s="126">
        <v>7</v>
      </c>
      <c r="E2156" s="126">
        <v>22</v>
      </c>
      <c r="F2156" s="126">
        <v>2</v>
      </c>
      <c r="G2156" s="126">
        <v>5</v>
      </c>
      <c r="H2156" s="126">
        <v>2016</v>
      </c>
      <c r="I2156" s="126">
        <v>2022</v>
      </c>
      <c r="J2156" s="127">
        <v>1.0873999999999999</v>
      </c>
      <c r="K2156" s="127">
        <v>1.0638000000000001</v>
      </c>
      <c r="L2156" s="127">
        <v>0.8458</v>
      </c>
      <c r="M2156" s="127">
        <v>1.1620999999999999</v>
      </c>
      <c r="N2156" s="127">
        <v>0.84279999999999999</v>
      </c>
      <c r="O2156" s="127">
        <v>1.0538000000000001</v>
      </c>
      <c r="P2156" s="126">
        <v>6604</v>
      </c>
      <c r="Q2156" s="128">
        <f t="array" ref="Q2156">SUM(IF(($S2156&gt;=4)*($C2156='TaxCred&amp;Subs'!$D$123:$D$127)*($H2156='TaxCred&amp;Subs'!$C$123:$C$127)*($H2156&lt;='TaxCred&amp;Subs'!$C$129),'TaxCred&amp;Subs'!$E$123:$E$127,0))</f>
        <v>0</v>
      </c>
      <c r="R2156" s="174">
        <v>0</v>
      </c>
      <c r="S2156" s="126">
        <v>2</v>
      </c>
      <c r="T2156" s="126" t="s">
        <v>224</v>
      </c>
      <c r="U2156" s="158"/>
      <c r="V2156" s="153" t="str">
        <f t="array" ref="V2156">INDEX(xlRTCLNAME,MATCH(1,(xlRTCLENDU=1)*(xlRTCLEQCL=$D2156),0))</f>
        <v>DIST_FA</v>
      </c>
      <c r="W2156" s="153" t="str">
        <f t="array" ref="W2156">INDEX(xlRTCLNAME,MATCH(1,(xlRTCLENDU=2)*(xlRTCLEQCL=$F2156),0))</f>
        <v>CENT_AIR</v>
      </c>
      <c r="X2156" s="153" t="str">
        <f t="array" ref="X2156">INDEX(xlRTTYNAME,MATCH(1,(xlRTTYENDU=1)*(xlRTTYEQCL=$D2156)*(xlRTEQTYPE=$E2156),0))</f>
        <v>DIST_FA1</v>
      </c>
      <c r="Y2156" s="153" t="str">
        <f t="array" ref="Y2156">INDEX(xlRTTYNAME,MATCH(1,(xlRTTYENDU=2)*(xlRTTYEQCL=$F2156)*(xlRTEQTYPE=$G2156),0))</f>
        <v>CENT_AIR1</v>
      </c>
    </row>
    <row r="2157" spans="2:25" x14ac:dyDescent="0.2">
      <c r="B2157" s="126">
        <v>2</v>
      </c>
      <c r="C2157" s="126">
        <v>3</v>
      </c>
      <c r="D2157" s="126">
        <v>7</v>
      </c>
      <c r="E2157" s="126">
        <v>22</v>
      </c>
      <c r="F2157" s="126">
        <v>2</v>
      </c>
      <c r="G2157" s="126">
        <v>6</v>
      </c>
      <c r="H2157" s="126">
        <v>2023</v>
      </c>
      <c r="I2157" s="126">
        <v>2050</v>
      </c>
      <c r="J2157" s="127">
        <v>1.0873999999999999</v>
      </c>
      <c r="K2157" s="127">
        <v>1.0638000000000001</v>
      </c>
      <c r="L2157" s="127">
        <v>0.8458</v>
      </c>
      <c r="M2157" s="127">
        <v>1.1620999999999999</v>
      </c>
      <c r="N2157" s="127">
        <v>0.84279999999999999</v>
      </c>
      <c r="O2157" s="127">
        <v>1.0538000000000001</v>
      </c>
      <c r="P2157" s="126">
        <v>6604</v>
      </c>
      <c r="Q2157" s="128">
        <f t="array" ref="Q2157">SUM(IF(($S2157&gt;=4)*($C2157='TaxCred&amp;Subs'!$D$123:$D$127)*($H2157='TaxCred&amp;Subs'!$C$123:$C$127)*($H2157&lt;='TaxCred&amp;Subs'!$C$129),'TaxCred&amp;Subs'!$E$123:$E$127,0))</f>
        <v>0</v>
      </c>
      <c r="R2157" s="174">
        <v>0</v>
      </c>
      <c r="S2157" s="126">
        <v>2</v>
      </c>
      <c r="T2157" s="126" t="s">
        <v>224</v>
      </c>
      <c r="U2157" s="158"/>
      <c r="V2157" s="153" t="str">
        <f t="array" ref="V2157">INDEX(xlRTCLNAME,MATCH(1,(xlRTCLENDU=1)*(xlRTCLEQCL=$D2157),0))</f>
        <v>DIST_FA</v>
      </c>
      <c r="W2157" s="153" t="str">
        <f t="array" ref="W2157">INDEX(xlRTCLNAME,MATCH(1,(xlRTCLENDU=2)*(xlRTCLEQCL=$F2157),0))</f>
        <v>CENT_AIR</v>
      </c>
      <c r="X2157" s="153" t="str">
        <f t="array" ref="X2157">INDEX(xlRTTYNAME,MATCH(1,(xlRTTYENDU=1)*(xlRTTYEQCL=$D2157)*(xlRTEQTYPE=$E2157),0))</f>
        <v>DIST_FA1</v>
      </c>
      <c r="Y2157" s="153" t="str">
        <f t="array" ref="Y2157">INDEX(xlRTTYNAME,MATCH(1,(xlRTTYENDU=2)*(xlRTTYEQCL=$F2157)*(xlRTEQTYPE=$G2157),0))</f>
        <v>CENT_AIR2</v>
      </c>
    </row>
    <row r="2158" spans="2:25" x14ac:dyDescent="0.2">
      <c r="B2158" s="126">
        <v>3</v>
      </c>
      <c r="C2158" s="126">
        <v>3</v>
      </c>
      <c r="D2158" s="126">
        <v>7</v>
      </c>
      <c r="E2158" s="126">
        <v>22</v>
      </c>
      <c r="F2158" s="126">
        <v>2</v>
      </c>
      <c r="G2158" s="126">
        <v>5</v>
      </c>
      <c r="H2158" s="126">
        <v>2016</v>
      </c>
      <c r="I2158" s="126">
        <v>2022</v>
      </c>
      <c r="J2158" s="127">
        <v>1.07</v>
      </c>
      <c r="K2158" s="127">
        <v>1.07</v>
      </c>
      <c r="L2158" s="127">
        <v>0.76570000000000005</v>
      </c>
      <c r="M2158" s="127">
        <v>1.0803</v>
      </c>
      <c r="N2158" s="127">
        <v>0.8478</v>
      </c>
      <c r="O2158" s="127">
        <v>1.0538000000000001</v>
      </c>
      <c r="P2158" s="126">
        <v>6732</v>
      </c>
      <c r="Q2158" s="128">
        <f t="array" ref="Q2158">SUM(IF(($S2158&gt;=4)*($C2158='TaxCred&amp;Subs'!$D$123:$D$127)*($H2158='TaxCred&amp;Subs'!$C$123:$C$127)*($H2158&lt;='TaxCred&amp;Subs'!$C$129),'TaxCred&amp;Subs'!$E$123:$E$127,0))</f>
        <v>0</v>
      </c>
      <c r="R2158" s="174">
        <v>0</v>
      </c>
      <c r="S2158" s="126">
        <v>2</v>
      </c>
      <c r="T2158" s="126" t="s">
        <v>224</v>
      </c>
      <c r="U2158" s="158"/>
      <c r="V2158" s="153" t="str">
        <f t="array" ref="V2158">INDEX(xlRTCLNAME,MATCH(1,(xlRTCLENDU=1)*(xlRTCLEQCL=$D2158),0))</f>
        <v>DIST_FA</v>
      </c>
      <c r="W2158" s="153" t="str">
        <f t="array" ref="W2158">INDEX(xlRTCLNAME,MATCH(1,(xlRTCLENDU=2)*(xlRTCLEQCL=$F2158),0))</f>
        <v>CENT_AIR</v>
      </c>
      <c r="X2158" s="153" t="str">
        <f t="array" ref="X2158">INDEX(xlRTTYNAME,MATCH(1,(xlRTTYENDU=1)*(xlRTTYEQCL=$D2158)*(xlRTEQTYPE=$E2158),0))</f>
        <v>DIST_FA1</v>
      </c>
      <c r="Y2158" s="153" t="str">
        <f t="array" ref="Y2158">INDEX(xlRTTYNAME,MATCH(1,(xlRTTYENDU=2)*(xlRTTYEQCL=$F2158)*(xlRTEQTYPE=$G2158),0))</f>
        <v>CENT_AIR1</v>
      </c>
    </row>
    <row r="2159" spans="2:25" x14ac:dyDescent="0.2">
      <c r="B2159" s="126">
        <v>3</v>
      </c>
      <c r="C2159" s="126">
        <v>3</v>
      </c>
      <c r="D2159" s="126">
        <v>7</v>
      </c>
      <c r="E2159" s="126">
        <v>22</v>
      </c>
      <c r="F2159" s="126">
        <v>2</v>
      </c>
      <c r="G2159" s="126">
        <v>6</v>
      </c>
      <c r="H2159" s="126">
        <v>2023</v>
      </c>
      <c r="I2159" s="126">
        <v>2050</v>
      </c>
      <c r="J2159" s="127">
        <v>1.07</v>
      </c>
      <c r="K2159" s="127">
        <v>1.07</v>
      </c>
      <c r="L2159" s="127">
        <v>0.76570000000000005</v>
      </c>
      <c r="M2159" s="127">
        <v>1.0803</v>
      </c>
      <c r="N2159" s="127">
        <v>0.8478</v>
      </c>
      <c r="O2159" s="127">
        <v>1.0538000000000001</v>
      </c>
      <c r="P2159" s="126">
        <v>6732</v>
      </c>
      <c r="Q2159" s="128">
        <f t="array" ref="Q2159">SUM(IF(($S2159&gt;=4)*($C2159='TaxCred&amp;Subs'!$D$123:$D$127)*($H2159='TaxCred&amp;Subs'!$C$123:$C$127)*($H2159&lt;='TaxCred&amp;Subs'!$C$129),'TaxCred&amp;Subs'!$E$123:$E$127,0))</f>
        <v>0</v>
      </c>
      <c r="R2159" s="174">
        <v>0</v>
      </c>
      <c r="S2159" s="126">
        <v>2</v>
      </c>
      <c r="T2159" s="126" t="s">
        <v>224</v>
      </c>
      <c r="U2159" s="158"/>
      <c r="V2159" s="153" t="str">
        <f t="array" ref="V2159">INDEX(xlRTCLNAME,MATCH(1,(xlRTCLENDU=1)*(xlRTCLEQCL=$D2159),0))</f>
        <v>DIST_FA</v>
      </c>
      <c r="W2159" s="153" t="str">
        <f t="array" ref="W2159">INDEX(xlRTCLNAME,MATCH(1,(xlRTCLENDU=2)*(xlRTCLEQCL=$F2159),0))</f>
        <v>CENT_AIR</v>
      </c>
      <c r="X2159" s="153" t="str">
        <f t="array" ref="X2159">INDEX(xlRTTYNAME,MATCH(1,(xlRTTYENDU=1)*(xlRTTYEQCL=$D2159)*(xlRTEQTYPE=$E2159),0))</f>
        <v>DIST_FA1</v>
      </c>
      <c r="Y2159" s="153" t="str">
        <f t="array" ref="Y2159">INDEX(xlRTTYNAME,MATCH(1,(xlRTTYENDU=2)*(xlRTTYEQCL=$F2159)*(xlRTEQTYPE=$G2159),0))</f>
        <v>CENT_AIR2</v>
      </c>
    </row>
    <row r="2160" spans="2:25" x14ac:dyDescent="0.2">
      <c r="B2160" s="126">
        <v>4</v>
      </c>
      <c r="C2160" s="126">
        <v>3</v>
      </c>
      <c r="D2160" s="126">
        <v>7</v>
      </c>
      <c r="E2160" s="126">
        <v>22</v>
      </c>
      <c r="F2160" s="126">
        <v>2</v>
      </c>
      <c r="G2160" s="126">
        <v>5</v>
      </c>
      <c r="H2160" s="126">
        <v>2016</v>
      </c>
      <c r="I2160" s="126">
        <v>2022</v>
      </c>
      <c r="J2160" s="127">
        <v>1.07</v>
      </c>
      <c r="K2160" s="127">
        <v>1.07</v>
      </c>
      <c r="L2160" s="127">
        <v>0.69089999999999996</v>
      </c>
      <c r="M2160" s="127">
        <v>1.0580000000000001</v>
      </c>
      <c r="N2160" s="127">
        <v>0.77669999999999995</v>
      </c>
      <c r="O2160" s="127">
        <v>1.0538000000000001</v>
      </c>
      <c r="P2160" s="126">
        <v>5885</v>
      </c>
      <c r="Q2160" s="128">
        <f t="array" ref="Q2160">SUM(IF(($S2160&gt;=4)*($C2160='TaxCred&amp;Subs'!$D$123:$D$127)*($H2160='TaxCred&amp;Subs'!$C$123:$C$127)*($H2160&lt;='TaxCred&amp;Subs'!$C$129),'TaxCred&amp;Subs'!$E$123:$E$127,0))</f>
        <v>0</v>
      </c>
      <c r="R2160" s="174">
        <v>0</v>
      </c>
      <c r="S2160" s="126">
        <v>2</v>
      </c>
      <c r="T2160" s="126" t="s">
        <v>224</v>
      </c>
      <c r="U2160" s="158"/>
      <c r="V2160" s="153" t="str">
        <f t="array" ref="V2160">INDEX(xlRTCLNAME,MATCH(1,(xlRTCLENDU=1)*(xlRTCLEQCL=$D2160),0))</f>
        <v>DIST_FA</v>
      </c>
      <c r="W2160" s="153" t="str">
        <f t="array" ref="W2160">INDEX(xlRTCLNAME,MATCH(1,(xlRTCLENDU=2)*(xlRTCLEQCL=$F2160),0))</f>
        <v>CENT_AIR</v>
      </c>
      <c r="X2160" s="153" t="str">
        <f t="array" ref="X2160">INDEX(xlRTTYNAME,MATCH(1,(xlRTTYENDU=1)*(xlRTTYEQCL=$D2160)*(xlRTEQTYPE=$E2160),0))</f>
        <v>DIST_FA1</v>
      </c>
      <c r="Y2160" s="153" t="str">
        <f t="array" ref="Y2160">INDEX(xlRTTYNAME,MATCH(1,(xlRTTYENDU=2)*(xlRTTYEQCL=$F2160)*(xlRTEQTYPE=$G2160),0))</f>
        <v>CENT_AIR1</v>
      </c>
    </row>
    <row r="2161" spans="2:25" x14ac:dyDescent="0.2">
      <c r="B2161" s="126">
        <v>4</v>
      </c>
      <c r="C2161" s="126">
        <v>3</v>
      </c>
      <c r="D2161" s="126">
        <v>7</v>
      </c>
      <c r="E2161" s="126">
        <v>22</v>
      </c>
      <c r="F2161" s="126">
        <v>2</v>
      </c>
      <c r="G2161" s="126">
        <v>6</v>
      </c>
      <c r="H2161" s="126">
        <v>2023</v>
      </c>
      <c r="I2161" s="126">
        <v>2050</v>
      </c>
      <c r="J2161" s="127">
        <v>1.07</v>
      </c>
      <c r="K2161" s="127">
        <v>1.07</v>
      </c>
      <c r="L2161" s="127">
        <v>0.69089999999999996</v>
      </c>
      <c r="M2161" s="127">
        <v>1.0580000000000001</v>
      </c>
      <c r="N2161" s="127">
        <v>0.77669999999999995</v>
      </c>
      <c r="O2161" s="127">
        <v>1.0538000000000001</v>
      </c>
      <c r="P2161" s="126">
        <v>5885</v>
      </c>
      <c r="Q2161" s="128">
        <f t="array" ref="Q2161">SUM(IF(($S2161&gt;=4)*($C2161='TaxCred&amp;Subs'!$D$123:$D$127)*($H2161='TaxCred&amp;Subs'!$C$123:$C$127)*($H2161&lt;='TaxCred&amp;Subs'!$C$129),'TaxCred&amp;Subs'!$E$123:$E$127,0))</f>
        <v>0</v>
      </c>
      <c r="R2161" s="174">
        <v>0</v>
      </c>
      <c r="S2161" s="126">
        <v>2</v>
      </c>
      <c r="T2161" s="126" t="s">
        <v>224</v>
      </c>
      <c r="U2161" s="158"/>
      <c r="V2161" s="153" t="str">
        <f t="array" ref="V2161">INDEX(xlRTCLNAME,MATCH(1,(xlRTCLENDU=1)*(xlRTCLEQCL=$D2161),0))</f>
        <v>DIST_FA</v>
      </c>
      <c r="W2161" s="153" t="str">
        <f t="array" ref="W2161">INDEX(xlRTCLNAME,MATCH(1,(xlRTCLENDU=2)*(xlRTCLEQCL=$F2161),0))</f>
        <v>CENT_AIR</v>
      </c>
      <c r="X2161" s="153" t="str">
        <f t="array" ref="X2161">INDEX(xlRTTYNAME,MATCH(1,(xlRTTYENDU=1)*(xlRTTYEQCL=$D2161)*(xlRTEQTYPE=$E2161),0))</f>
        <v>DIST_FA1</v>
      </c>
      <c r="Y2161" s="153" t="str">
        <f t="array" ref="Y2161">INDEX(xlRTTYNAME,MATCH(1,(xlRTTYENDU=2)*(xlRTTYEQCL=$F2161)*(xlRTEQTYPE=$G2161),0))</f>
        <v>CENT_AIR2</v>
      </c>
    </row>
    <row r="2162" spans="2:25" x14ac:dyDescent="0.2">
      <c r="B2162" s="126">
        <v>5</v>
      </c>
      <c r="C2162" s="126">
        <v>3</v>
      </c>
      <c r="D2162" s="126">
        <v>7</v>
      </c>
      <c r="E2162" s="126">
        <v>22</v>
      </c>
      <c r="F2162" s="126">
        <v>2</v>
      </c>
      <c r="G2162" s="126">
        <v>5</v>
      </c>
      <c r="H2162" s="126">
        <v>2016</v>
      </c>
      <c r="I2162" s="126">
        <v>2022</v>
      </c>
      <c r="J2162" s="127">
        <v>1.0667</v>
      </c>
      <c r="K2162" s="127">
        <v>1.0568</v>
      </c>
      <c r="L2162" s="127">
        <v>0.76839999999999997</v>
      </c>
      <c r="M2162" s="127">
        <v>1.0612999999999999</v>
      </c>
      <c r="N2162" s="127">
        <v>0.83260000000000001</v>
      </c>
      <c r="O2162" s="127">
        <v>1.0538000000000001</v>
      </c>
      <c r="P2162" s="126">
        <v>4034</v>
      </c>
      <c r="Q2162" s="128">
        <f t="array" ref="Q2162">SUM(IF(($S2162&gt;=4)*($C2162='TaxCred&amp;Subs'!$D$123:$D$127)*($H2162='TaxCred&amp;Subs'!$C$123:$C$127)*($H2162&lt;='TaxCred&amp;Subs'!$C$129),'TaxCred&amp;Subs'!$E$123:$E$127,0))</f>
        <v>0</v>
      </c>
      <c r="R2162" s="174">
        <v>0</v>
      </c>
      <c r="S2162" s="126">
        <v>2</v>
      </c>
      <c r="T2162" s="126" t="s">
        <v>224</v>
      </c>
      <c r="U2162" s="158"/>
      <c r="V2162" s="153" t="str">
        <f t="array" ref="V2162">INDEX(xlRTCLNAME,MATCH(1,(xlRTCLENDU=1)*(xlRTCLEQCL=$D2162),0))</f>
        <v>DIST_FA</v>
      </c>
      <c r="W2162" s="153" t="str">
        <f t="array" ref="W2162">INDEX(xlRTCLNAME,MATCH(1,(xlRTCLENDU=2)*(xlRTCLEQCL=$F2162),0))</f>
        <v>CENT_AIR</v>
      </c>
      <c r="X2162" s="153" t="str">
        <f t="array" ref="X2162">INDEX(xlRTTYNAME,MATCH(1,(xlRTTYENDU=1)*(xlRTTYEQCL=$D2162)*(xlRTEQTYPE=$E2162),0))</f>
        <v>DIST_FA1</v>
      </c>
      <c r="Y2162" s="153" t="str">
        <f t="array" ref="Y2162">INDEX(xlRTTYNAME,MATCH(1,(xlRTTYENDU=2)*(xlRTTYEQCL=$F2162)*(xlRTEQTYPE=$G2162),0))</f>
        <v>CENT_AIR1</v>
      </c>
    </row>
    <row r="2163" spans="2:25" x14ac:dyDescent="0.2">
      <c r="B2163" s="126">
        <v>5</v>
      </c>
      <c r="C2163" s="126">
        <v>3</v>
      </c>
      <c r="D2163" s="126">
        <v>7</v>
      </c>
      <c r="E2163" s="126">
        <v>22</v>
      </c>
      <c r="F2163" s="126">
        <v>2</v>
      </c>
      <c r="G2163" s="126">
        <v>6</v>
      </c>
      <c r="H2163" s="126">
        <v>2023</v>
      </c>
      <c r="I2163" s="126">
        <v>2050</v>
      </c>
      <c r="J2163" s="127">
        <v>1.0667</v>
      </c>
      <c r="K2163" s="127">
        <v>1.0568</v>
      </c>
      <c r="L2163" s="127">
        <v>0.76839999999999997</v>
      </c>
      <c r="M2163" s="127">
        <v>1.0612999999999999</v>
      </c>
      <c r="N2163" s="127">
        <v>0.83260000000000001</v>
      </c>
      <c r="O2163" s="127">
        <v>1.0538000000000001</v>
      </c>
      <c r="P2163" s="126">
        <v>4034</v>
      </c>
      <c r="Q2163" s="128">
        <f t="array" ref="Q2163">SUM(IF(($S2163&gt;=4)*($C2163='TaxCred&amp;Subs'!$D$123:$D$127)*($H2163='TaxCred&amp;Subs'!$C$123:$C$127)*($H2163&lt;='TaxCred&amp;Subs'!$C$129),'TaxCred&amp;Subs'!$E$123:$E$127,0))</f>
        <v>0</v>
      </c>
      <c r="R2163" s="174">
        <v>0</v>
      </c>
      <c r="S2163" s="126">
        <v>2</v>
      </c>
      <c r="T2163" s="126" t="s">
        <v>224</v>
      </c>
      <c r="U2163" s="158"/>
      <c r="V2163" s="153" t="str">
        <f t="array" ref="V2163">INDEX(xlRTCLNAME,MATCH(1,(xlRTCLENDU=1)*(xlRTCLEQCL=$D2163),0))</f>
        <v>DIST_FA</v>
      </c>
      <c r="W2163" s="153" t="str">
        <f t="array" ref="W2163">INDEX(xlRTCLNAME,MATCH(1,(xlRTCLENDU=2)*(xlRTCLEQCL=$F2163),0))</f>
        <v>CENT_AIR</v>
      </c>
      <c r="X2163" s="153" t="str">
        <f t="array" ref="X2163">INDEX(xlRTTYNAME,MATCH(1,(xlRTTYENDU=1)*(xlRTTYEQCL=$D2163)*(xlRTEQTYPE=$E2163),0))</f>
        <v>DIST_FA1</v>
      </c>
      <c r="Y2163" s="153" t="str">
        <f t="array" ref="Y2163">INDEX(xlRTTYNAME,MATCH(1,(xlRTTYENDU=2)*(xlRTTYEQCL=$F2163)*(xlRTEQTYPE=$G2163),0))</f>
        <v>CENT_AIR2</v>
      </c>
    </row>
    <row r="2164" spans="2:25" x14ac:dyDescent="0.2">
      <c r="B2164" s="126">
        <v>6</v>
      </c>
      <c r="C2164" s="126">
        <v>3</v>
      </c>
      <c r="D2164" s="126">
        <v>7</v>
      </c>
      <c r="E2164" s="126">
        <v>22</v>
      </c>
      <c r="F2164" s="126">
        <v>2</v>
      </c>
      <c r="G2164" s="126">
        <v>5</v>
      </c>
      <c r="H2164" s="126">
        <v>2016</v>
      </c>
      <c r="I2164" s="126">
        <v>2022</v>
      </c>
      <c r="J2164" s="127">
        <v>1.0896999999999999</v>
      </c>
      <c r="K2164" s="127">
        <v>1.0723</v>
      </c>
      <c r="L2164" s="127">
        <v>0.81499999999999995</v>
      </c>
      <c r="M2164" s="127">
        <v>1.069</v>
      </c>
      <c r="N2164" s="127">
        <v>0.80269999999999997</v>
      </c>
      <c r="O2164" s="127">
        <v>1.0538000000000001</v>
      </c>
      <c r="P2164" s="126">
        <v>3905</v>
      </c>
      <c r="Q2164" s="128">
        <f t="array" ref="Q2164">SUM(IF(($S2164&gt;=4)*($C2164='TaxCred&amp;Subs'!$D$123:$D$127)*($H2164='TaxCred&amp;Subs'!$C$123:$C$127)*($H2164&lt;='TaxCred&amp;Subs'!$C$129),'TaxCred&amp;Subs'!$E$123:$E$127,0))</f>
        <v>0</v>
      </c>
      <c r="R2164" s="174">
        <v>0</v>
      </c>
      <c r="S2164" s="126">
        <v>2</v>
      </c>
      <c r="T2164" s="126" t="s">
        <v>224</v>
      </c>
      <c r="U2164" s="158"/>
      <c r="V2164" s="153" t="str">
        <f t="array" ref="V2164">INDEX(xlRTCLNAME,MATCH(1,(xlRTCLENDU=1)*(xlRTCLEQCL=$D2164),0))</f>
        <v>DIST_FA</v>
      </c>
      <c r="W2164" s="153" t="str">
        <f t="array" ref="W2164">INDEX(xlRTCLNAME,MATCH(1,(xlRTCLENDU=2)*(xlRTCLEQCL=$F2164),0))</f>
        <v>CENT_AIR</v>
      </c>
      <c r="X2164" s="153" t="str">
        <f t="array" ref="X2164">INDEX(xlRTTYNAME,MATCH(1,(xlRTTYENDU=1)*(xlRTTYEQCL=$D2164)*(xlRTEQTYPE=$E2164),0))</f>
        <v>DIST_FA1</v>
      </c>
      <c r="Y2164" s="153" t="str">
        <f t="array" ref="Y2164">INDEX(xlRTTYNAME,MATCH(1,(xlRTTYENDU=2)*(xlRTTYEQCL=$F2164)*(xlRTEQTYPE=$G2164),0))</f>
        <v>CENT_AIR1</v>
      </c>
    </row>
    <row r="2165" spans="2:25" x14ac:dyDescent="0.2">
      <c r="B2165" s="126">
        <v>6</v>
      </c>
      <c r="C2165" s="126">
        <v>3</v>
      </c>
      <c r="D2165" s="126">
        <v>7</v>
      </c>
      <c r="E2165" s="126">
        <v>22</v>
      </c>
      <c r="F2165" s="126">
        <v>2</v>
      </c>
      <c r="G2165" s="126">
        <v>6</v>
      </c>
      <c r="H2165" s="126">
        <v>2023</v>
      </c>
      <c r="I2165" s="126">
        <v>2050</v>
      </c>
      <c r="J2165" s="127">
        <v>1.0896999999999999</v>
      </c>
      <c r="K2165" s="127">
        <v>1.0723</v>
      </c>
      <c r="L2165" s="127">
        <v>0.81499999999999995</v>
      </c>
      <c r="M2165" s="127">
        <v>1.069</v>
      </c>
      <c r="N2165" s="127">
        <v>0.80269999999999997</v>
      </c>
      <c r="O2165" s="127">
        <v>1.0538000000000001</v>
      </c>
      <c r="P2165" s="126">
        <v>3905</v>
      </c>
      <c r="Q2165" s="128">
        <f t="array" ref="Q2165">SUM(IF(($S2165&gt;=4)*($C2165='TaxCred&amp;Subs'!$D$123:$D$127)*($H2165='TaxCred&amp;Subs'!$C$123:$C$127)*($H2165&lt;='TaxCred&amp;Subs'!$C$129),'TaxCred&amp;Subs'!$E$123:$E$127,0))</f>
        <v>0</v>
      </c>
      <c r="R2165" s="174">
        <v>0</v>
      </c>
      <c r="S2165" s="126">
        <v>2</v>
      </c>
      <c r="T2165" s="126" t="s">
        <v>224</v>
      </c>
      <c r="U2165" s="158"/>
      <c r="V2165" s="153" t="str">
        <f t="array" ref="V2165">INDEX(xlRTCLNAME,MATCH(1,(xlRTCLENDU=1)*(xlRTCLEQCL=$D2165),0))</f>
        <v>DIST_FA</v>
      </c>
      <c r="W2165" s="153" t="str">
        <f t="array" ref="W2165">INDEX(xlRTCLNAME,MATCH(1,(xlRTCLENDU=2)*(xlRTCLEQCL=$F2165),0))</f>
        <v>CENT_AIR</v>
      </c>
      <c r="X2165" s="153" t="str">
        <f t="array" ref="X2165">INDEX(xlRTTYNAME,MATCH(1,(xlRTTYENDU=1)*(xlRTTYEQCL=$D2165)*(xlRTEQTYPE=$E2165),0))</f>
        <v>DIST_FA1</v>
      </c>
      <c r="Y2165" s="153" t="str">
        <f t="array" ref="Y2165">INDEX(xlRTTYNAME,MATCH(1,(xlRTTYENDU=2)*(xlRTTYEQCL=$F2165)*(xlRTEQTYPE=$G2165),0))</f>
        <v>CENT_AIR2</v>
      </c>
    </row>
    <row r="2166" spans="2:25" x14ac:dyDescent="0.2">
      <c r="B2166" s="126">
        <v>7</v>
      </c>
      <c r="C2166" s="126">
        <v>3</v>
      </c>
      <c r="D2166" s="126">
        <v>7</v>
      </c>
      <c r="E2166" s="126">
        <v>22</v>
      </c>
      <c r="F2166" s="126">
        <v>2</v>
      </c>
      <c r="G2166" s="126">
        <v>5</v>
      </c>
      <c r="H2166" s="126">
        <v>2016</v>
      </c>
      <c r="I2166" s="126">
        <v>2022</v>
      </c>
      <c r="J2166" s="127">
        <v>1.0940000000000001</v>
      </c>
      <c r="K2166" s="127">
        <v>1.0512999999999999</v>
      </c>
      <c r="L2166" s="127">
        <v>0.86509999999999998</v>
      </c>
      <c r="M2166" s="127">
        <v>1.0754999999999999</v>
      </c>
      <c r="N2166" s="127">
        <v>0.81289999999999996</v>
      </c>
      <c r="O2166" s="127">
        <v>1.0538000000000001</v>
      </c>
      <c r="P2166" s="126">
        <v>2743</v>
      </c>
      <c r="Q2166" s="128">
        <f t="array" ref="Q2166">SUM(IF(($S2166&gt;=4)*($C2166='TaxCred&amp;Subs'!$D$123:$D$127)*($H2166='TaxCred&amp;Subs'!$C$123:$C$127)*($H2166&lt;='TaxCred&amp;Subs'!$C$129),'TaxCred&amp;Subs'!$E$123:$E$127,0))</f>
        <v>0</v>
      </c>
      <c r="R2166" s="174">
        <v>0</v>
      </c>
      <c r="S2166" s="126">
        <v>2</v>
      </c>
      <c r="T2166" s="126" t="s">
        <v>224</v>
      </c>
      <c r="U2166" s="158"/>
      <c r="V2166" s="153" t="str">
        <f t="array" ref="V2166">INDEX(xlRTCLNAME,MATCH(1,(xlRTCLENDU=1)*(xlRTCLEQCL=$D2166),0))</f>
        <v>DIST_FA</v>
      </c>
      <c r="W2166" s="153" t="str">
        <f t="array" ref="W2166">INDEX(xlRTCLNAME,MATCH(1,(xlRTCLENDU=2)*(xlRTCLEQCL=$F2166),0))</f>
        <v>CENT_AIR</v>
      </c>
      <c r="X2166" s="153" t="str">
        <f t="array" ref="X2166">INDEX(xlRTTYNAME,MATCH(1,(xlRTTYENDU=1)*(xlRTTYEQCL=$D2166)*(xlRTEQTYPE=$E2166),0))</f>
        <v>DIST_FA1</v>
      </c>
      <c r="Y2166" s="153" t="str">
        <f t="array" ref="Y2166">INDEX(xlRTTYNAME,MATCH(1,(xlRTTYENDU=2)*(xlRTTYEQCL=$F2166)*(xlRTEQTYPE=$G2166),0))</f>
        <v>CENT_AIR1</v>
      </c>
    </row>
    <row r="2167" spans="2:25" x14ac:dyDescent="0.2">
      <c r="B2167" s="126">
        <v>7</v>
      </c>
      <c r="C2167" s="126">
        <v>3</v>
      </c>
      <c r="D2167" s="126">
        <v>7</v>
      </c>
      <c r="E2167" s="126">
        <v>22</v>
      </c>
      <c r="F2167" s="126">
        <v>2</v>
      </c>
      <c r="G2167" s="126">
        <v>6</v>
      </c>
      <c r="H2167" s="126">
        <v>2023</v>
      </c>
      <c r="I2167" s="126">
        <v>2050</v>
      </c>
      <c r="J2167" s="127">
        <v>1.0940000000000001</v>
      </c>
      <c r="K2167" s="127">
        <v>1.0512999999999999</v>
      </c>
      <c r="L2167" s="127">
        <v>0.86509999999999998</v>
      </c>
      <c r="M2167" s="127">
        <v>1.0754999999999999</v>
      </c>
      <c r="N2167" s="127">
        <v>0.81289999999999996</v>
      </c>
      <c r="O2167" s="127">
        <v>1.0538000000000001</v>
      </c>
      <c r="P2167" s="126">
        <v>2743</v>
      </c>
      <c r="Q2167" s="128">
        <f t="array" ref="Q2167">SUM(IF(($S2167&gt;=4)*($C2167='TaxCred&amp;Subs'!$D$123:$D$127)*($H2167='TaxCred&amp;Subs'!$C$123:$C$127)*($H2167&lt;='TaxCred&amp;Subs'!$C$129),'TaxCred&amp;Subs'!$E$123:$E$127,0))</f>
        <v>0</v>
      </c>
      <c r="R2167" s="174">
        <v>0</v>
      </c>
      <c r="S2167" s="126">
        <v>2</v>
      </c>
      <c r="T2167" s="126" t="s">
        <v>224</v>
      </c>
      <c r="U2167" s="158"/>
      <c r="V2167" s="153" t="str">
        <f t="array" ref="V2167">INDEX(xlRTCLNAME,MATCH(1,(xlRTCLENDU=1)*(xlRTCLEQCL=$D2167),0))</f>
        <v>DIST_FA</v>
      </c>
      <c r="W2167" s="153" t="str">
        <f t="array" ref="W2167">INDEX(xlRTCLNAME,MATCH(1,(xlRTCLENDU=2)*(xlRTCLEQCL=$F2167),0))</f>
        <v>CENT_AIR</v>
      </c>
      <c r="X2167" s="153" t="str">
        <f t="array" ref="X2167">INDEX(xlRTTYNAME,MATCH(1,(xlRTTYENDU=1)*(xlRTTYEQCL=$D2167)*(xlRTEQTYPE=$E2167),0))</f>
        <v>DIST_FA1</v>
      </c>
      <c r="Y2167" s="153" t="str">
        <f t="array" ref="Y2167">INDEX(xlRTTYNAME,MATCH(1,(xlRTTYENDU=2)*(xlRTTYEQCL=$F2167)*(xlRTEQTYPE=$G2167),0))</f>
        <v>CENT_AIR2</v>
      </c>
    </row>
    <row r="2168" spans="2:25" x14ac:dyDescent="0.2">
      <c r="B2168" s="126">
        <v>8</v>
      </c>
      <c r="C2168" s="126">
        <v>3</v>
      </c>
      <c r="D2168" s="126">
        <v>7</v>
      </c>
      <c r="E2168" s="126">
        <v>22</v>
      </c>
      <c r="F2168" s="126">
        <v>2</v>
      </c>
      <c r="G2168" s="126">
        <v>5</v>
      </c>
      <c r="H2168" s="126">
        <v>2016</v>
      </c>
      <c r="I2168" s="126">
        <v>2022</v>
      </c>
      <c r="J2168" s="127">
        <v>1.07</v>
      </c>
      <c r="K2168" s="127">
        <v>1.07</v>
      </c>
      <c r="L2168" s="127">
        <v>0.75760000000000005</v>
      </c>
      <c r="M2168" s="127">
        <v>1.0437000000000001</v>
      </c>
      <c r="N2168" s="127">
        <v>0.80589999999999995</v>
      </c>
      <c r="O2168" s="127">
        <v>1.0538000000000001</v>
      </c>
      <c r="P2168" s="126">
        <v>5501</v>
      </c>
      <c r="Q2168" s="128">
        <f t="array" ref="Q2168">SUM(IF(($S2168&gt;=4)*($C2168='TaxCred&amp;Subs'!$D$123:$D$127)*($H2168='TaxCred&amp;Subs'!$C$123:$C$127)*($H2168&lt;='TaxCred&amp;Subs'!$C$129),'TaxCred&amp;Subs'!$E$123:$E$127,0))</f>
        <v>0</v>
      </c>
      <c r="R2168" s="174">
        <v>0</v>
      </c>
      <c r="S2168" s="126">
        <v>2</v>
      </c>
      <c r="T2168" s="126" t="s">
        <v>224</v>
      </c>
      <c r="U2168" s="158"/>
      <c r="V2168" s="153" t="str">
        <f t="array" ref="V2168">INDEX(xlRTCLNAME,MATCH(1,(xlRTCLENDU=1)*(xlRTCLEQCL=$D2168),0))</f>
        <v>DIST_FA</v>
      </c>
      <c r="W2168" s="153" t="str">
        <f t="array" ref="W2168">INDEX(xlRTCLNAME,MATCH(1,(xlRTCLENDU=2)*(xlRTCLEQCL=$F2168),0))</f>
        <v>CENT_AIR</v>
      </c>
      <c r="X2168" s="153" t="str">
        <f t="array" ref="X2168">INDEX(xlRTTYNAME,MATCH(1,(xlRTTYENDU=1)*(xlRTTYEQCL=$D2168)*(xlRTEQTYPE=$E2168),0))</f>
        <v>DIST_FA1</v>
      </c>
      <c r="Y2168" s="153" t="str">
        <f t="array" ref="Y2168">INDEX(xlRTTYNAME,MATCH(1,(xlRTTYENDU=2)*(xlRTTYEQCL=$F2168)*(xlRTEQTYPE=$G2168),0))</f>
        <v>CENT_AIR1</v>
      </c>
    </row>
    <row r="2169" spans="2:25" x14ac:dyDescent="0.2">
      <c r="B2169" s="126">
        <v>8</v>
      </c>
      <c r="C2169" s="126">
        <v>3</v>
      </c>
      <c r="D2169" s="126">
        <v>7</v>
      </c>
      <c r="E2169" s="126">
        <v>22</v>
      </c>
      <c r="F2169" s="126">
        <v>2</v>
      </c>
      <c r="G2169" s="126">
        <v>6</v>
      </c>
      <c r="H2169" s="126">
        <v>2023</v>
      </c>
      <c r="I2169" s="126">
        <v>2050</v>
      </c>
      <c r="J2169" s="127">
        <v>1.07</v>
      </c>
      <c r="K2169" s="127">
        <v>1.07</v>
      </c>
      <c r="L2169" s="127">
        <v>0.75760000000000005</v>
      </c>
      <c r="M2169" s="127">
        <v>1.0437000000000001</v>
      </c>
      <c r="N2169" s="127">
        <v>0.80589999999999995</v>
      </c>
      <c r="O2169" s="127">
        <v>1.0538000000000001</v>
      </c>
      <c r="P2169" s="126">
        <v>5501</v>
      </c>
      <c r="Q2169" s="128">
        <f t="array" ref="Q2169">SUM(IF(($S2169&gt;=4)*($C2169='TaxCred&amp;Subs'!$D$123:$D$127)*($H2169='TaxCred&amp;Subs'!$C$123:$C$127)*($H2169&lt;='TaxCred&amp;Subs'!$C$129),'TaxCred&amp;Subs'!$E$123:$E$127,0))</f>
        <v>0</v>
      </c>
      <c r="R2169" s="174">
        <v>0</v>
      </c>
      <c r="S2169" s="126">
        <v>2</v>
      </c>
      <c r="T2169" s="126" t="s">
        <v>224</v>
      </c>
      <c r="U2169" s="158"/>
      <c r="V2169" s="153" t="str">
        <f t="array" ref="V2169">INDEX(xlRTCLNAME,MATCH(1,(xlRTCLENDU=1)*(xlRTCLEQCL=$D2169),0))</f>
        <v>DIST_FA</v>
      </c>
      <c r="W2169" s="153" t="str">
        <f t="array" ref="W2169">INDEX(xlRTCLNAME,MATCH(1,(xlRTCLENDU=2)*(xlRTCLEQCL=$F2169),0))</f>
        <v>CENT_AIR</v>
      </c>
      <c r="X2169" s="153" t="str">
        <f t="array" ref="X2169">INDEX(xlRTTYNAME,MATCH(1,(xlRTTYENDU=1)*(xlRTTYEQCL=$D2169)*(xlRTEQTYPE=$E2169),0))</f>
        <v>DIST_FA1</v>
      </c>
      <c r="Y2169" s="153" t="str">
        <f t="array" ref="Y2169">INDEX(xlRTTYNAME,MATCH(1,(xlRTTYENDU=2)*(xlRTTYEQCL=$F2169)*(xlRTEQTYPE=$G2169),0))</f>
        <v>CENT_AIR2</v>
      </c>
    </row>
    <row r="2170" spans="2:25" x14ac:dyDescent="0.2">
      <c r="B2170" s="126">
        <v>9</v>
      </c>
      <c r="C2170" s="126">
        <v>3</v>
      </c>
      <c r="D2170" s="126">
        <v>7</v>
      </c>
      <c r="E2170" s="126">
        <v>22</v>
      </c>
      <c r="F2170" s="126">
        <v>2</v>
      </c>
      <c r="G2170" s="126">
        <v>5</v>
      </c>
      <c r="H2170" s="126">
        <v>2016</v>
      </c>
      <c r="I2170" s="126">
        <v>2022</v>
      </c>
      <c r="J2170" s="127">
        <v>1.0743</v>
      </c>
      <c r="K2170" s="127">
        <v>1.0519000000000001</v>
      </c>
      <c r="L2170" s="127">
        <v>0.82989999999999997</v>
      </c>
      <c r="M2170" s="127">
        <v>1.1548</v>
      </c>
      <c r="N2170" s="127">
        <v>0.84240000000000004</v>
      </c>
      <c r="O2170" s="127">
        <v>1.0538000000000001</v>
      </c>
      <c r="P2170" s="126">
        <v>6374</v>
      </c>
      <c r="Q2170" s="128">
        <f t="array" ref="Q2170">SUM(IF(($S2170&gt;=4)*($C2170='TaxCred&amp;Subs'!$D$123:$D$127)*($H2170='TaxCred&amp;Subs'!$C$123:$C$127)*($H2170&lt;='TaxCred&amp;Subs'!$C$129),'TaxCred&amp;Subs'!$E$123:$E$127,0))</f>
        <v>0</v>
      </c>
      <c r="R2170" s="174">
        <v>0</v>
      </c>
      <c r="S2170" s="126">
        <v>2</v>
      </c>
      <c r="T2170" s="126" t="s">
        <v>224</v>
      </c>
      <c r="U2170" s="158"/>
      <c r="V2170" s="153" t="str">
        <f t="array" ref="V2170">INDEX(xlRTCLNAME,MATCH(1,(xlRTCLENDU=1)*(xlRTCLEQCL=$D2170),0))</f>
        <v>DIST_FA</v>
      </c>
      <c r="W2170" s="153" t="str">
        <f t="array" ref="W2170">INDEX(xlRTCLNAME,MATCH(1,(xlRTCLENDU=2)*(xlRTCLEQCL=$F2170),0))</f>
        <v>CENT_AIR</v>
      </c>
      <c r="X2170" s="153" t="str">
        <f t="array" ref="X2170">INDEX(xlRTTYNAME,MATCH(1,(xlRTTYENDU=1)*(xlRTTYEQCL=$D2170)*(xlRTEQTYPE=$E2170),0))</f>
        <v>DIST_FA1</v>
      </c>
      <c r="Y2170" s="153" t="str">
        <f t="array" ref="Y2170">INDEX(xlRTTYNAME,MATCH(1,(xlRTTYENDU=2)*(xlRTTYEQCL=$F2170)*(xlRTEQTYPE=$G2170),0))</f>
        <v>CENT_AIR1</v>
      </c>
    </row>
    <row r="2171" spans="2:25" x14ac:dyDescent="0.2">
      <c r="B2171" s="126">
        <v>9</v>
      </c>
      <c r="C2171" s="126">
        <v>3</v>
      </c>
      <c r="D2171" s="126">
        <v>7</v>
      </c>
      <c r="E2171" s="126">
        <v>22</v>
      </c>
      <c r="F2171" s="126">
        <v>2</v>
      </c>
      <c r="G2171" s="126">
        <v>6</v>
      </c>
      <c r="H2171" s="126">
        <v>2023</v>
      </c>
      <c r="I2171" s="126">
        <v>2050</v>
      </c>
      <c r="J2171" s="127">
        <v>1.0743</v>
      </c>
      <c r="K2171" s="127">
        <v>1.0519000000000001</v>
      </c>
      <c r="L2171" s="127">
        <v>0.82989999999999997</v>
      </c>
      <c r="M2171" s="127">
        <v>1.1548</v>
      </c>
      <c r="N2171" s="127">
        <v>0.84240000000000004</v>
      </c>
      <c r="O2171" s="127">
        <v>1.0538000000000001</v>
      </c>
      <c r="P2171" s="126">
        <v>6374</v>
      </c>
      <c r="Q2171" s="128">
        <f t="array" ref="Q2171">SUM(IF(($S2171&gt;=4)*($C2171='TaxCred&amp;Subs'!$D$123:$D$127)*($H2171='TaxCred&amp;Subs'!$C$123:$C$127)*($H2171&lt;='TaxCred&amp;Subs'!$C$129),'TaxCred&amp;Subs'!$E$123:$E$127,0))</f>
        <v>0</v>
      </c>
      <c r="R2171" s="174">
        <v>0</v>
      </c>
      <c r="S2171" s="126">
        <v>2</v>
      </c>
      <c r="T2171" s="126" t="s">
        <v>224</v>
      </c>
      <c r="U2171" s="158"/>
      <c r="V2171" s="153" t="str">
        <f t="array" ref="V2171">INDEX(xlRTCLNAME,MATCH(1,(xlRTCLENDU=1)*(xlRTCLEQCL=$D2171),0))</f>
        <v>DIST_FA</v>
      </c>
      <c r="W2171" s="153" t="str">
        <f t="array" ref="W2171">INDEX(xlRTCLNAME,MATCH(1,(xlRTCLENDU=2)*(xlRTCLEQCL=$F2171),0))</f>
        <v>CENT_AIR</v>
      </c>
      <c r="X2171" s="153" t="str">
        <f t="array" ref="X2171">INDEX(xlRTTYNAME,MATCH(1,(xlRTTYENDU=1)*(xlRTTYEQCL=$D2171)*(xlRTEQTYPE=$E2171),0))</f>
        <v>DIST_FA1</v>
      </c>
      <c r="Y2171" s="153" t="str">
        <f t="array" ref="Y2171">INDEX(xlRTTYNAME,MATCH(1,(xlRTTYENDU=2)*(xlRTTYEQCL=$F2171)*(xlRTEQTYPE=$G2171),0))</f>
        <v>CENT_AIR2</v>
      </c>
    </row>
    <row r="2172" spans="2:25" x14ac:dyDescent="0.2">
      <c r="B2172" s="126">
        <v>1</v>
      </c>
      <c r="C2172" s="126">
        <v>3</v>
      </c>
      <c r="D2172" s="126">
        <v>8</v>
      </c>
      <c r="E2172" s="126">
        <v>26</v>
      </c>
      <c r="F2172" s="126">
        <v>2</v>
      </c>
      <c r="G2172" s="126">
        <v>5</v>
      </c>
      <c r="H2172" s="126">
        <v>2016</v>
      </c>
      <c r="I2172" s="126">
        <v>2022</v>
      </c>
      <c r="J2172" s="127">
        <v>1.07</v>
      </c>
      <c r="K2172" s="127">
        <v>1.07</v>
      </c>
      <c r="L2172" s="127">
        <v>0.69540000000000002</v>
      </c>
      <c r="M2172" s="127">
        <v>1.0588</v>
      </c>
      <c r="N2172" s="127">
        <v>0.77410000000000001</v>
      </c>
      <c r="O2172" s="127">
        <v>1.0538000000000001</v>
      </c>
      <c r="P2172" s="126">
        <v>6643</v>
      </c>
      <c r="Q2172" s="128">
        <f t="array" ref="Q2172">SUM(IF(($S2172&gt;=4)*($C2172='TaxCred&amp;Subs'!$D$123:$D$127)*($H2172='TaxCred&amp;Subs'!$C$123:$C$127)*($H2172&lt;='TaxCred&amp;Subs'!$C$129),'TaxCred&amp;Subs'!$E$123:$E$127,0))</f>
        <v>0</v>
      </c>
      <c r="R2172" s="174">
        <v>0</v>
      </c>
      <c r="S2172" s="126">
        <v>2</v>
      </c>
      <c r="T2172" s="126" t="s">
        <v>224</v>
      </c>
      <c r="U2172" s="158"/>
      <c r="V2172" s="153" t="str">
        <f t="array" ref="V2172">INDEX(xlRTCLNAME,MATCH(1,(xlRTCLENDU=1)*(xlRTCLEQCL=$D2172),0))</f>
        <v>DIST_RAD</v>
      </c>
      <c r="W2172" s="153" t="str">
        <f t="array" ref="W2172">INDEX(xlRTCLNAME,MATCH(1,(xlRTCLENDU=2)*(xlRTCLEQCL=$F2172),0))</f>
        <v>CENT_AIR</v>
      </c>
      <c r="X2172" s="153" t="str">
        <f t="array" ref="X2172">INDEX(xlRTTYNAME,MATCH(1,(xlRTTYENDU=1)*(xlRTTYEQCL=$D2172)*(xlRTEQTYPE=$E2172),0))</f>
        <v>DIST_RAD1</v>
      </c>
      <c r="Y2172" s="153" t="str">
        <f t="array" ref="Y2172">INDEX(xlRTTYNAME,MATCH(1,(xlRTTYENDU=2)*(xlRTTYEQCL=$F2172)*(xlRTEQTYPE=$G2172),0))</f>
        <v>CENT_AIR1</v>
      </c>
    </row>
    <row r="2173" spans="2:25" x14ac:dyDescent="0.2">
      <c r="B2173" s="126">
        <v>1</v>
      </c>
      <c r="C2173" s="126">
        <v>3</v>
      </c>
      <c r="D2173" s="126">
        <v>8</v>
      </c>
      <c r="E2173" s="126">
        <v>26</v>
      </c>
      <c r="F2173" s="126">
        <v>2</v>
      </c>
      <c r="G2173" s="126">
        <v>6</v>
      </c>
      <c r="H2173" s="126">
        <v>2023</v>
      </c>
      <c r="I2173" s="126">
        <v>2050</v>
      </c>
      <c r="J2173" s="127">
        <v>1.07</v>
      </c>
      <c r="K2173" s="127">
        <v>1.07</v>
      </c>
      <c r="L2173" s="127">
        <v>0.69540000000000002</v>
      </c>
      <c r="M2173" s="127">
        <v>1.0588</v>
      </c>
      <c r="N2173" s="127">
        <v>0.77410000000000001</v>
      </c>
      <c r="O2173" s="127">
        <v>1.0538000000000001</v>
      </c>
      <c r="P2173" s="126">
        <v>6643</v>
      </c>
      <c r="Q2173" s="128">
        <f t="array" ref="Q2173">SUM(IF(($S2173&gt;=4)*($C2173='TaxCred&amp;Subs'!$D$123:$D$127)*($H2173='TaxCred&amp;Subs'!$C$123:$C$127)*($H2173&lt;='TaxCred&amp;Subs'!$C$129),'TaxCred&amp;Subs'!$E$123:$E$127,0))</f>
        <v>0</v>
      </c>
      <c r="R2173" s="174">
        <v>0</v>
      </c>
      <c r="S2173" s="126">
        <v>2</v>
      </c>
      <c r="T2173" s="126" t="s">
        <v>224</v>
      </c>
      <c r="U2173" s="158"/>
      <c r="V2173" s="153" t="str">
        <f t="array" ref="V2173">INDEX(xlRTCLNAME,MATCH(1,(xlRTCLENDU=1)*(xlRTCLEQCL=$D2173),0))</f>
        <v>DIST_RAD</v>
      </c>
      <c r="W2173" s="153" t="str">
        <f t="array" ref="W2173">INDEX(xlRTCLNAME,MATCH(1,(xlRTCLENDU=2)*(xlRTCLEQCL=$F2173),0))</f>
        <v>CENT_AIR</v>
      </c>
      <c r="X2173" s="153" t="str">
        <f t="array" ref="X2173">INDEX(xlRTTYNAME,MATCH(1,(xlRTTYENDU=1)*(xlRTTYEQCL=$D2173)*(xlRTEQTYPE=$E2173),0))</f>
        <v>DIST_RAD1</v>
      </c>
      <c r="Y2173" s="153" t="str">
        <f t="array" ref="Y2173">INDEX(xlRTTYNAME,MATCH(1,(xlRTTYENDU=2)*(xlRTTYEQCL=$F2173)*(xlRTEQTYPE=$G2173),0))</f>
        <v>CENT_AIR2</v>
      </c>
    </row>
    <row r="2174" spans="2:25" x14ac:dyDescent="0.2">
      <c r="B2174" s="126">
        <v>2</v>
      </c>
      <c r="C2174" s="126">
        <v>3</v>
      </c>
      <c r="D2174" s="126">
        <v>8</v>
      </c>
      <c r="E2174" s="126">
        <v>26</v>
      </c>
      <c r="F2174" s="126">
        <v>2</v>
      </c>
      <c r="G2174" s="126">
        <v>5</v>
      </c>
      <c r="H2174" s="126">
        <v>2016</v>
      </c>
      <c r="I2174" s="126">
        <v>2022</v>
      </c>
      <c r="J2174" s="127">
        <v>1.07</v>
      </c>
      <c r="K2174" s="127">
        <v>1.07</v>
      </c>
      <c r="L2174" s="127">
        <v>0.76580000000000004</v>
      </c>
      <c r="M2174" s="127">
        <v>1.1206</v>
      </c>
      <c r="N2174" s="127">
        <v>0.83819999999999995</v>
      </c>
      <c r="O2174" s="127">
        <v>1.0538000000000001</v>
      </c>
      <c r="P2174" s="126">
        <v>6885</v>
      </c>
      <c r="Q2174" s="128">
        <f t="array" ref="Q2174">SUM(IF(($S2174&gt;=4)*($C2174='TaxCred&amp;Subs'!$D$123:$D$127)*($H2174='TaxCred&amp;Subs'!$C$123:$C$127)*($H2174&lt;='TaxCred&amp;Subs'!$C$129),'TaxCred&amp;Subs'!$E$123:$E$127,0))</f>
        <v>0</v>
      </c>
      <c r="R2174" s="174">
        <v>0</v>
      </c>
      <c r="S2174" s="126">
        <v>2</v>
      </c>
      <c r="T2174" s="126" t="s">
        <v>224</v>
      </c>
      <c r="U2174" s="158"/>
      <c r="V2174" s="153" t="str">
        <f t="array" ref="V2174">INDEX(xlRTCLNAME,MATCH(1,(xlRTCLENDU=1)*(xlRTCLEQCL=$D2174),0))</f>
        <v>DIST_RAD</v>
      </c>
      <c r="W2174" s="153" t="str">
        <f t="array" ref="W2174">INDEX(xlRTCLNAME,MATCH(1,(xlRTCLENDU=2)*(xlRTCLEQCL=$F2174),0))</f>
        <v>CENT_AIR</v>
      </c>
      <c r="X2174" s="153" t="str">
        <f t="array" ref="X2174">INDEX(xlRTTYNAME,MATCH(1,(xlRTTYENDU=1)*(xlRTTYEQCL=$D2174)*(xlRTEQTYPE=$E2174),0))</f>
        <v>DIST_RAD1</v>
      </c>
      <c r="Y2174" s="153" t="str">
        <f t="array" ref="Y2174">INDEX(xlRTTYNAME,MATCH(1,(xlRTTYENDU=2)*(xlRTTYEQCL=$F2174)*(xlRTEQTYPE=$G2174),0))</f>
        <v>CENT_AIR1</v>
      </c>
    </row>
    <row r="2175" spans="2:25" x14ac:dyDescent="0.2">
      <c r="B2175" s="126">
        <v>2</v>
      </c>
      <c r="C2175" s="126">
        <v>3</v>
      </c>
      <c r="D2175" s="126">
        <v>8</v>
      </c>
      <c r="E2175" s="126">
        <v>26</v>
      </c>
      <c r="F2175" s="126">
        <v>2</v>
      </c>
      <c r="G2175" s="126">
        <v>6</v>
      </c>
      <c r="H2175" s="126">
        <v>2023</v>
      </c>
      <c r="I2175" s="126">
        <v>2050</v>
      </c>
      <c r="J2175" s="127">
        <v>1.07</v>
      </c>
      <c r="K2175" s="127">
        <v>1.07</v>
      </c>
      <c r="L2175" s="127">
        <v>0.76580000000000004</v>
      </c>
      <c r="M2175" s="127">
        <v>1.1206</v>
      </c>
      <c r="N2175" s="127">
        <v>0.83819999999999995</v>
      </c>
      <c r="O2175" s="127">
        <v>1.0538000000000001</v>
      </c>
      <c r="P2175" s="126">
        <v>6885</v>
      </c>
      <c r="Q2175" s="128">
        <f t="array" ref="Q2175">SUM(IF(($S2175&gt;=4)*($C2175='TaxCred&amp;Subs'!$D$123:$D$127)*($H2175='TaxCred&amp;Subs'!$C$123:$C$127)*($H2175&lt;='TaxCred&amp;Subs'!$C$129),'TaxCred&amp;Subs'!$E$123:$E$127,0))</f>
        <v>0</v>
      </c>
      <c r="R2175" s="174">
        <v>0</v>
      </c>
      <c r="S2175" s="126">
        <v>2</v>
      </c>
      <c r="T2175" s="126" t="s">
        <v>224</v>
      </c>
      <c r="U2175" s="158"/>
      <c r="V2175" s="153" t="str">
        <f t="array" ref="V2175">INDEX(xlRTCLNAME,MATCH(1,(xlRTCLENDU=1)*(xlRTCLEQCL=$D2175),0))</f>
        <v>DIST_RAD</v>
      </c>
      <c r="W2175" s="153" t="str">
        <f t="array" ref="W2175">INDEX(xlRTCLNAME,MATCH(1,(xlRTCLENDU=2)*(xlRTCLEQCL=$F2175),0))</f>
        <v>CENT_AIR</v>
      </c>
      <c r="X2175" s="153" t="str">
        <f t="array" ref="X2175">INDEX(xlRTTYNAME,MATCH(1,(xlRTTYENDU=1)*(xlRTTYEQCL=$D2175)*(xlRTEQTYPE=$E2175),0))</f>
        <v>DIST_RAD1</v>
      </c>
      <c r="Y2175" s="153" t="str">
        <f t="array" ref="Y2175">INDEX(xlRTTYNAME,MATCH(1,(xlRTTYENDU=2)*(xlRTTYEQCL=$F2175)*(xlRTEQTYPE=$G2175),0))</f>
        <v>CENT_AIR2</v>
      </c>
    </row>
    <row r="2176" spans="2:25" x14ac:dyDescent="0.2">
      <c r="B2176" s="126">
        <v>3</v>
      </c>
      <c r="C2176" s="126">
        <v>3</v>
      </c>
      <c r="D2176" s="126">
        <v>8</v>
      </c>
      <c r="E2176" s="126">
        <v>26</v>
      </c>
      <c r="F2176" s="126">
        <v>2</v>
      </c>
      <c r="G2176" s="126">
        <v>5</v>
      </c>
      <c r="H2176" s="126">
        <v>2016</v>
      </c>
      <c r="I2176" s="126">
        <v>2022</v>
      </c>
      <c r="J2176" s="127">
        <v>1.07</v>
      </c>
      <c r="K2176" s="127">
        <v>1.07</v>
      </c>
      <c r="L2176" s="127">
        <v>0.78100000000000003</v>
      </c>
      <c r="M2176" s="127">
        <v>1.0925</v>
      </c>
      <c r="N2176" s="127">
        <v>0.84330000000000005</v>
      </c>
      <c r="O2176" s="127">
        <v>1.0538000000000001</v>
      </c>
      <c r="P2176" s="126">
        <v>6732</v>
      </c>
      <c r="Q2176" s="128">
        <f t="array" ref="Q2176">SUM(IF(($S2176&gt;=4)*($C2176='TaxCred&amp;Subs'!$D$123:$D$127)*($H2176='TaxCred&amp;Subs'!$C$123:$C$127)*($H2176&lt;='TaxCred&amp;Subs'!$C$129),'TaxCred&amp;Subs'!$E$123:$E$127,0))</f>
        <v>0</v>
      </c>
      <c r="R2176" s="174">
        <v>0</v>
      </c>
      <c r="S2176" s="126">
        <v>2</v>
      </c>
      <c r="T2176" s="126" t="s">
        <v>224</v>
      </c>
      <c r="U2176" s="158"/>
      <c r="V2176" s="153" t="str">
        <f t="array" ref="V2176">INDEX(xlRTCLNAME,MATCH(1,(xlRTCLENDU=1)*(xlRTCLEQCL=$D2176),0))</f>
        <v>DIST_RAD</v>
      </c>
      <c r="W2176" s="153" t="str">
        <f t="array" ref="W2176">INDEX(xlRTCLNAME,MATCH(1,(xlRTCLENDU=2)*(xlRTCLEQCL=$F2176),0))</f>
        <v>CENT_AIR</v>
      </c>
      <c r="X2176" s="153" t="str">
        <f t="array" ref="X2176">INDEX(xlRTTYNAME,MATCH(1,(xlRTTYENDU=1)*(xlRTTYEQCL=$D2176)*(xlRTEQTYPE=$E2176),0))</f>
        <v>DIST_RAD1</v>
      </c>
      <c r="Y2176" s="153" t="str">
        <f t="array" ref="Y2176">INDEX(xlRTTYNAME,MATCH(1,(xlRTTYENDU=2)*(xlRTTYEQCL=$F2176)*(xlRTEQTYPE=$G2176),0))</f>
        <v>CENT_AIR1</v>
      </c>
    </row>
    <row r="2177" spans="2:25" x14ac:dyDescent="0.2">
      <c r="B2177" s="126">
        <v>3</v>
      </c>
      <c r="C2177" s="126">
        <v>3</v>
      </c>
      <c r="D2177" s="126">
        <v>8</v>
      </c>
      <c r="E2177" s="126">
        <v>26</v>
      </c>
      <c r="F2177" s="126">
        <v>2</v>
      </c>
      <c r="G2177" s="126">
        <v>6</v>
      </c>
      <c r="H2177" s="126">
        <v>2023</v>
      </c>
      <c r="I2177" s="126">
        <v>2050</v>
      </c>
      <c r="J2177" s="127">
        <v>1.07</v>
      </c>
      <c r="K2177" s="127">
        <v>1.07</v>
      </c>
      <c r="L2177" s="127">
        <v>0.78100000000000003</v>
      </c>
      <c r="M2177" s="127">
        <v>1.0925</v>
      </c>
      <c r="N2177" s="127">
        <v>0.84330000000000005</v>
      </c>
      <c r="O2177" s="127">
        <v>1.0538000000000001</v>
      </c>
      <c r="P2177" s="126">
        <v>6732</v>
      </c>
      <c r="Q2177" s="128">
        <f t="array" ref="Q2177">SUM(IF(($S2177&gt;=4)*($C2177='TaxCred&amp;Subs'!$D$123:$D$127)*($H2177='TaxCred&amp;Subs'!$C$123:$C$127)*($H2177&lt;='TaxCred&amp;Subs'!$C$129),'TaxCred&amp;Subs'!$E$123:$E$127,0))</f>
        <v>0</v>
      </c>
      <c r="R2177" s="174">
        <v>0</v>
      </c>
      <c r="S2177" s="126">
        <v>2</v>
      </c>
      <c r="T2177" s="126" t="s">
        <v>224</v>
      </c>
      <c r="U2177" s="158"/>
      <c r="V2177" s="153" t="str">
        <f t="array" ref="V2177">INDEX(xlRTCLNAME,MATCH(1,(xlRTCLENDU=1)*(xlRTCLEQCL=$D2177),0))</f>
        <v>DIST_RAD</v>
      </c>
      <c r="W2177" s="153" t="str">
        <f t="array" ref="W2177">INDEX(xlRTCLNAME,MATCH(1,(xlRTCLENDU=2)*(xlRTCLEQCL=$F2177),0))</f>
        <v>CENT_AIR</v>
      </c>
      <c r="X2177" s="153" t="str">
        <f t="array" ref="X2177">INDEX(xlRTTYNAME,MATCH(1,(xlRTTYENDU=1)*(xlRTTYEQCL=$D2177)*(xlRTEQTYPE=$E2177),0))</f>
        <v>DIST_RAD1</v>
      </c>
      <c r="Y2177" s="153" t="str">
        <f t="array" ref="Y2177">INDEX(xlRTTYNAME,MATCH(1,(xlRTTYENDU=2)*(xlRTTYEQCL=$F2177)*(xlRTEQTYPE=$G2177),0))</f>
        <v>CENT_AIR2</v>
      </c>
    </row>
    <row r="2178" spans="2:25" x14ac:dyDescent="0.2">
      <c r="B2178" s="126">
        <v>4</v>
      </c>
      <c r="C2178" s="126">
        <v>3</v>
      </c>
      <c r="D2178" s="126">
        <v>8</v>
      </c>
      <c r="E2178" s="126">
        <v>26</v>
      </c>
      <c r="F2178" s="126">
        <v>2</v>
      </c>
      <c r="G2178" s="126">
        <v>5</v>
      </c>
      <c r="H2178" s="126">
        <v>2016</v>
      </c>
      <c r="I2178" s="126">
        <v>2022</v>
      </c>
      <c r="J2178" s="127">
        <v>1.07</v>
      </c>
      <c r="K2178" s="127">
        <v>1.07</v>
      </c>
      <c r="L2178" s="127">
        <v>0.70320000000000005</v>
      </c>
      <c r="M2178" s="127">
        <v>1.0580000000000001</v>
      </c>
      <c r="N2178" s="127">
        <v>0.77339999999999998</v>
      </c>
      <c r="O2178" s="127">
        <v>1.0538000000000001</v>
      </c>
      <c r="P2178" s="126">
        <v>5885</v>
      </c>
      <c r="Q2178" s="128">
        <f t="array" ref="Q2178">SUM(IF(($S2178&gt;=4)*($C2178='TaxCred&amp;Subs'!$D$123:$D$127)*($H2178='TaxCred&amp;Subs'!$C$123:$C$127)*($H2178&lt;='TaxCred&amp;Subs'!$C$129),'TaxCred&amp;Subs'!$E$123:$E$127,0))</f>
        <v>0</v>
      </c>
      <c r="R2178" s="174">
        <v>0</v>
      </c>
      <c r="S2178" s="126">
        <v>2</v>
      </c>
      <c r="T2178" s="126" t="s">
        <v>224</v>
      </c>
      <c r="U2178" s="158"/>
      <c r="V2178" s="153" t="str">
        <f t="array" ref="V2178">INDEX(xlRTCLNAME,MATCH(1,(xlRTCLENDU=1)*(xlRTCLEQCL=$D2178),0))</f>
        <v>DIST_RAD</v>
      </c>
      <c r="W2178" s="153" t="str">
        <f t="array" ref="W2178">INDEX(xlRTCLNAME,MATCH(1,(xlRTCLENDU=2)*(xlRTCLEQCL=$F2178),0))</f>
        <v>CENT_AIR</v>
      </c>
      <c r="X2178" s="153" t="str">
        <f t="array" ref="X2178">INDEX(xlRTTYNAME,MATCH(1,(xlRTTYENDU=1)*(xlRTTYEQCL=$D2178)*(xlRTEQTYPE=$E2178),0))</f>
        <v>DIST_RAD1</v>
      </c>
      <c r="Y2178" s="153" t="str">
        <f t="array" ref="Y2178">INDEX(xlRTTYNAME,MATCH(1,(xlRTTYENDU=2)*(xlRTTYEQCL=$F2178)*(xlRTEQTYPE=$G2178),0))</f>
        <v>CENT_AIR1</v>
      </c>
    </row>
    <row r="2179" spans="2:25" x14ac:dyDescent="0.2">
      <c r="B2179" s="126">
        <v>4</v>
      </c>
      <c r="C2179" s="126">
        <v>3</v>
      </c>
      <c r="D2179" s="126">
        <v>8</v>
      </c>
      <c r="E2179" s="126">
        <v>26</v>
      </c>
      <c r="F2179" s="126">
        <v>2</v>
      </c>
      <c r="G2179" s="126">
        <v>6</v>
      </c>
      <c r="H2179" s="126">
        <v>2023</v>
      </c>
      <c r="I2179" s="126">
        <v>2050</v>
      </c>
      <c r="J2179" s="127">
        <v>1.07</v>
      </c>
      <c r="K2179" s="127">
        <v>1.07</v>
      </c>
      <c r="L2179" s="127">
        <v>0.70320000000000005</v>
      </c>
      <c r="M2179" s="127">
        <v>1.0580000000000001</v>
      </c>
      <c r="N2179" s="127">
        <v>0.77339999999999998</v>
      </c>
      <c r="O2179" s="127">
        <v>1.0538000000000001</v>
      </c>
      <c r="P2179" s="126">
        <v>5885</v>
      </c>
      <c r="Q2179" s="128">
        <f t="array" ref="Q2179">SUM(IF(($S2179&gt;=4)*($C2179='TaxCred&amp;Subs'!$D$123:$D$127)*($H2179='TaxCred&amp;Subs'!$C$123:$C$127)*($H2179&lt;='TaxCred&amp;Subs'!$C$129),'TaxCred&amp;Subs'!$E$123:$E$127,0))</f>
        <v>0</v>
      </c>
      <c r="R2179" s="174">
        <v>0</v>
      </c>
      <c r="S2179" s="126">
        <v>2</v>
      </c>
      <c r="T2179" s="126" t="s">
        <v>224</v>
      </c>
      <c r="U2179" s="158"/>
      <c r="V2179" s="153" t="str">
        <f t="array" ref="V2179">INDEX(xlRTCLNAME,MATCH(1,(xlRTCLENDU=1)*(xlRTCLEQCL=$D2179),0))</f>
        <v>DIST_RAD</v>
      </c>
      <c r="W2179" s="153" t="str">
        <f t="array" ref="W2179">INDEX(xlRTCLNAME,MATCH(1,(xlRTCLENDU=2)*(xlRTCLEQCL=$F2179),0))</f>
        <v>CENT_AIR</v>
      </c>
      <c r="X2179" s="153" t="str">
        <f t="array" ref="X2179">INDEX(xlRTTYNAME,MATCH(1,(xlRTTYENDU=1)*(xlRTTYEQCL=$D2179)*(xlRTEQTYPE=$E2179),0))</f>
        <v>DIST_RAD1</v>
      </c>
      <c r="Y2179" s="153" t="str">
        <f t="array" ref="Y2179">INDEX(xlRTTYNAME,MATCH(1,(xlRTTYENDU=2)*(xlRTTYEQCL=$F2179)*(xlRTEQTYPE=$G2179),0))</f>
        <v>CENT_AIR2</v>
      </c>
    </row>
    <row r="2180" spans="2:25" x14ac:dyDescent="0.2">
      <c r="B2180" s="126">
        <v>5</v>
      </c>
      <c r="C2180" s="126">
        <v>3</v>
      </c>
      <c r="D2180" s="126">
        <v>8</v>
      </c>
      <c r="E2180" s="126">
        <v>26</v>
      </c>
      <c r="F2180" s="126">
        <v>2</v>
      </c>
      <c r="G2180" s="126">
        <v>5</v>
      </c>
      <c r="H2180" s="126">
        <v>2016</v>
      </c>
      <c r="I2180" s="126">
        <v>2022</v>
      </c>
      <c r="J2180" s="127">
        <v>1.0940000000000001</v>
      </c>
      <c r="K2180" s="127">
        <v>1.0575000000000001</v>
      </c>
      <c r="L2180" s="127">
        <v>0.7964</v>
      </c>
      <c r="M2180" s="127">
        <v>1.0495000000000001</v>
      </c>
      <c r="N2180" s="127">
        <v>0.83130000000000004</v>
      </c>
      <c r="O2180" s="127">
        <v>1.0538000000000001</v>
      </c>
      <c r="P2180" s="126">
        <v>4581</v>
      </c>
      <c r="Q2180" s="128">
        <f t="array" ref="Q2180">SUM(IF(($S2180&gt;=4)*($C2180='TaxCred&amp;Subs'!$D$123:$D$127)*($H2180='TaxCred&amp;Subs'!$C$123:$C$127)*($H2180&lt;='TaxCred&amp;Subs'!$C$129),'TaxCred&amp;Subs'!$E$123:$E$127,0))</f>
        <v>0</v>
      </c>
      <c r="R2180" s="174">
        <v>0</v>
      </c>
      <c r="S2180" s="126">
        <v>2</v>
      </c>
      <c r="T2180" s="126" t="s">
        <v>224</v>
      </c>
      <c r="U2180" s="158"/>
      <c r="V2180" s="153" t="str">
        <f t="array" ref="V2180">INDEX(xlRTCLNAME,MATCH(1,(xlRTCLENDU=1)*(xlRTCLEQCL=$D2180),0))</f>
        <v>DIST_RAD</v>
      </c>
      <c r="W2180" s="153" t="str">
        <f t="array" ref="W2180">INDEX(xlRTCLNAME,MATCH(1,(xlRTCLENDU=2)*(xlRTCLEQCL=$F2180),0))</f>
        <v>CENT_AIR</v>
      </c>
      <c r="X2180" s="153" t="str">
        <f t="array" ref="X2180">INDEX(xlRTTYNAME,MATCH(1,(xlRTTYENDU=1)*(xlRTTYEQCL=$D2180)*(xlRTEQTYPE=$E2180),0))</f>
        <v>DIST_RAD1</v>
      </c>
      <c r="Y2180" s="153" t="str">
        <f t="array" ref="Y2180">INDEX(xlRTTYNAME,MATCH(1,(xlRTTYENDU=2)*(xlRTTYEQCL=$F2180)*(xlRTEQTYPE=$G2180),0))</f>
        <v>CENT_AIR1</v>
      </c>
    </row>
    <row r="2181" spans="2:25" x14ac:dyDescent="0.2">
      <c r="B2181" s="126">
        <v>5</v>
      </c>
      <c r="C2181" s="126">
        <v>3</v>
      </c>
      <c r="D2181" s="126">
        <v>8</v>
      </c>
      <c r="E2181" s="126">
        <v>26</v>
      </c>
      <c r="F2181" s="126">
        <v>2</v>
      </c>
      <c r="G2181" s="126">
        <v>6</v>
      </c>
      <c r="H2181" s="126">
        <v>2023</v>
      </c>
      <c r="I2181" s="126">
        <v>2050</v>
      </c>
      <c r="J2181" s="127">
        <v>1.0940000000000001</v>
      </c>
      <c r="K2181" s="127">
        <v>1.0575000000000001</v>
      </c>
      <c r="L2181" s="127">
        <v>0.7964</v>
      </c>
      <c r="M2181" s="127">
        <v>1.0495000000000001</v>
      </c>
      <c r="N2181" s="127">
        <v>0.83130000000000004</v>
      </c>
      <c r="O2181" s="127">
        <v>1.0538000000000001</v>
      </c>
      <c r="P2181" s="126">
        <v>4581</v>
      </c>
      <c r="Q2181" s="128">
        <f t="array" ref="Q2181">SUM(IF(($S2181&gt;=4)*($C2181='TaxCred&amp;Subs'!$D$123:$D$127)*($H2181='TaxCred&amp;Subs'!$C$123:$C$127)*($H2181&lt;='TaxCred&amp;Subs'!$C$129),'TaxCred&amp;Subs'!$E$123:$E$127,0))</f>
        <v>0</v>
      </c>
      <c r="R2181" s="174">
        <v>0</v>
      </c>
      <c r="S2181" s="126">
        <v>2</v>
      </c>
      <c r="T2181" s="126" t="s">
        <v>224</v>
      </c>
      <c r="U2181" s="158"/>
      <c r="V2181" s="153" t="str">
        <f t="array" ref="V2181">INDEX(xlRTCLNAME,MATCH(1,(xlRTCLENDU=1)*(xlRTCLEQCL=$D2181),0))</f>
        <v>DIST_RAD</v>
      </c>
      <c r="W2181" s="153" t="str">
        <f t="array" ref="W2181">INDEX(xlRTCLNAME,MATCH(1,(xlRTCLENDU=2)*(xlRTCLEQCL=$F2181),0))</f>
        <v>CENT_AIR</v>
      </c>
      <c r="X2181" s="153" t="str">
        <f t="array" ref="X2181">INDEX(xlRTTYNAME,MATCH(1,(xlRTTYENDU=1)*(xlRTTYEQCL=$D2181)*(xlRTEQTYPE=$E2181),0))</f>
        <v>DIST_RAD1</v>
      </c>
      <c r="Y2181" s="153" t="str">
        <f t="array" ref="Y2181">INDEX(xlRTTYNAME,MATCH(1,(xlRTTYENDU=2)*(xlRTTYEQCL=$F2181)*(xlRTEQTYPE=$G2181),0))</f>
        <v>CENT_AIR2</v>
      </c>
    </row>
    <row r="2182" spans="2:25" x14ac:dyDescent="0.2">
      <c r="B2182" s="126">
        <v>6</v>
      </c>
      <c r="C2182" s="126">
        <v>3</v>
      </c>
      <c r="D2182" s="126">
        <v>8</v>
      </c>
      <c r="E2182" s="126">
        <v>26</v>
      </c>
      <c r="F2182" s="126">
        <v>2</v>
      </c>
      <c r="G2182" s="126">
        <v>5</v>
      </c>
      <c r="H2182" s="126">
        <v>2016</v>
      </c>
      <c r="I2182" s="126">
        <v>2022</v>
      </c>
      <c r="J2182" s="127">
        <v>1.0873999999999999</v>
      </c>
      <c r="K2182" s="127">
        <v>1.0609999999999999</v>
      </c>
      <c r="L2182" s="127">
        <v>0.87829999999999997</v>
      </c>
      <c r="M2182" s="127">
        <v>1.0562</v>
      </c>
      <c r="N2182" s="127">
        <v>0.80189999999999995</v>
      </c>
      <c r="O2182" s="127">
        <v>1.0538000000000001</v>
      </c>
      <c r="P2182" s="126">
        <v>4249</v>
      </c>
      <c r="Q2182" s="128">
        <f t="array" ref="Q2182">SUM(IF(($S2182&gt;=4)*($C2182='TaxCred&amp;Subs'!$D$123:$D$127)*($H2182='TaxCred&amp;Subs'!$C$123:$C$127)*($H2182&lt;='TaxCred&amp;Subs'!$C$129),'TaxCred&amp;Subs'!$E$123:$E$127,0))</f>
        <v>0</v>
      </c>
      <c r="R2182" s="174">
        <v>0</v>
      </c>
      <c r="S2182" s="126">
        <v>2</v>
      </c>
      <c r="T2182" s="126" t="s">
        <v>224</v>
      </c>
      <c r="U2182" s="158"/>
      <c r="V2182" s="153" t="str">
        <f t="array" ref="V2182">INDEX(xlRTCLNAME,MATCH(1,(xlRTCLENDU=1)*(xlRTCLEQCL=$D2182),0))</f>
        <v>DIST_RAD</v>
      </c>
      <c r="W2182" s="153" t="str">
        <f t="array" ref="W2182">INDEX(xlRTCLNAME,MATCH(1,(xlRTCLENDU=2)*(xlRTCLEQCL=$F2182),0))</f>
        <v>CENT_AIR</v>
      </c>
      <c r="X2182" s="153" t="str">
        <f t="array" ref="X2182">INDEX(xlRTTYNAME,MATCH(1,(xlRTTYENDU=1)*(xlRTTYEQCL=$D2182)*(xlRTEQTYPE=$E2182),0))</f>
        <v>DIST_RAD1</v>
      </c>
      <c r="Y2182" s="153" t="str">
        <f t="array" ref="Y2182">INDEX(xlRTTYNAME,MATCH(1,(xlRTTYENDU=2)*(xlRTTYEQCL=$F2182)*(xlRTEQTYPE=$G2182),0))</f>
        <v>CENT_AIR1</v>
      </c>
    </row>
    <row r="2183" spans="2:25" x14ac:dyDescent="0.2">
      <c r="B2183" s="126">
        <v>6</v>
      </c>
      <c r="C2183" s="126">
        <v>3</v>
      </c>
      <c r="D2183" s="126">
        <v>8</v>
      </c>
      <c r="E2183" s="126">
        <v>26</v>
      </c>
      <c r="F2183" s="126">
        <v>2</v>
      </c>
      <c r="G2183" s="126">
        <v>6</v>
      </c>
      <c r="H2183" s="126">
        <v>2023</v>
      </c>
      <c r="I2183" s="126">
        <v>2050</v>
      </c>
      <c r="J2183" s="127">
        <v>1.0873999999999999</v>
      </c>
      <c r="K2183" s="127">
        <v>1.0609999999999999</v>
      </c>
      <c r="L2183" s="127">
        <v>0.87829999999999997</v>
      </c>
      <c r="M2183" s="127">
        <v>1.0562</v>
      </c>
      <c r="N2183" s="127">
        <v>0.80189999999999995</v>
      </c>
      <c r="O2183" s="127">
        <v>1.0538000000000001</v>
      </c>
      <c r="P2183" s="126">
        <v>4249</v>
      </c>
      <c r="Q2183" s="128">
        <f t="array" ref="Q2183">SUM(IF(($S2183&gt;=4)*($C2183='TaxCred&amp;Subs'!$D$123:$D$127)*($H2183='TaxCred&amp;Subs'!$C$123:$C$127)*($H2183&lt;='TaxCred&amp;Subs'!$C$129),'TaxCred&amp;Subs'!$E$123:$E$127,0))</f>
        <v>0</v>
      </c>
      <c r="R2183" s="174">
        <v>0</v>
      </c>
      <c r="S2183" s="126">
        <v>2</v>
      </c>
      <c r="T2183" s="126" t="s">
        <v>224</v>
      </c>
      <c r="U2183" s="158"/>
      <c r="V2183" s="153" t="str">
        <f t="array" ref="V2183">INDEX(xlRTCLNAME,MATCH(1,(xlRTCLENDU=1)*(xlRTCLEQCL=$D2183),0))</f>
        <v>DIST_RAD</v>
      </c>
      <c r="W2183" s="153" t="str">
        <f t="array" ref="W2183">INDEX(xlRTCLNAME,MATCH(1,(xlRTCLENDU=2)*(xlRTCLEQCL=$F2183),0))</f>
        <v>CENT_AIR</v>
      </c>
      <c r="X2183" s="153" t="str">
        <f t="array" ref="X2183">INDEX(xlRTTYNAME,MATCH(1,(xlRTTYENDU=1)*(xlRTTYEQCL=$D2183)*(xlRTEQTYPE=$E2183),0))</f>
        <v>DIST_RAD1</v>
      </c>
      <c r="Y2183" s="153" t="str">
        <f t="array" ref="Y2183">INDEX(xlRTTYNAME,MATCH(1,(xlRTTYENDU=2)*(xlRTTYEQCL=$F2183)*(xlRTEQTYPE=$G2183),0))</f>
        <v>CENT_AIR2</v>
      </c>
    </row>
    <row r="2184" spans="2:25" x14ac:dyDescent="0.2">
      <c r="B2184" s="126">
        <v>7</v>
      </c>
      <c r="C2184" s="126">
        <v>3</v>
      </c>
      <c r="D2184" s="126">
        <v>8</v>
      </c>
      <c r="E2184" s="126">
        <v>26</v>
      </c>
      <c r="F2184" s="126">
        <v>2</v>
      </c>
      <c r="G2184" s="126">
        <v>5</v>
      </c>
      <c r="H2184" s="126">
        <v>2016</v>
      </c>
      <c r="I2184" s="126">
        <v>2022</v>
      </c>
      <c r="J2184" s="127">
        <v>1.0826</v>
      </c>
      <c r="K2184" s="127">
        <v>1.0412999999999999</v>
      </c>
      <c r="L2184" s="127">
        <v>0.86709999999999998</v>
      </c>
      <c r="M2184" s="127">
        <v>1.0887</v>
      </c>
      <c r="N2184" s="127">
        <v>0.8125</v>
      </c>
      <c r="O2184" s="127">
        <v>1.0538000000000001</v>
      </c>
      <c r="P2184" s="126">
        <v>2872</v>
      </c>
      <c r="Q2184" s="128">
        <f t="array" ref="Q2184">SUM(IF(($S2184&gt;=4)*($C2184='TaxCred&amp;Subs'!$D$123:$D$127)*($H2184='TaxCred&amp;Subs'!$C$123:$C$127)*($H2184&lt;='TaxCred&amp;Subs'!$C$129),'TaxCred&amp;Subs'!$E$123:$E$127,0))</f>
        <v>0</v>
      </c>
      <c r="R2184" s="174">
        <v>0</v>
      </c>
      <c r="S2184" s="126">
        <v>2</v>
      </c>
      <c r="T2184" s="126" t="s">
        <v>224</v>
      </c>
      <c r="U2184" s="158"/>
      <c r="V2184" s="153" t="str">
        <f t="array" ref="V2184">INDEX(xlRTCLNAME,MATCH(1,(xlRTCLENDU=1)*(xlRTCLEQCL=$D2184),0))</f>
        <v>DIST_RAD</v>
      </c>
      <c r="W2184" s="153" t="str">
        <f t="array" ref="W2184">INDEX(xlRTCLNAME,MATCH(1,(xlRTCLENDU=2)*(xlRTCLEQCL=$F2184),0))</f>
        <v>CENT_AIR</v>
      </c>
      <c r="X2184" s="153" t="str">
        <f t="array" ref="X2184">INDEX(xlRTTYNAME,MATCH(1,(xlRTTYENDU=1)*(xlRTTYEQCL=$D2184)*(xlRTEQTYPE=$E2184),0))</f>
        <v>DIST_RAD1</v>
      </c>
      <c r="Y2184" s="153" t="str">
        <f t="array" ref="Y2184">INDEX(xlRTTYNAME,MATCH(1,(xlRTTYENDU=2)*(xlRTTYEQCL=$F2184)*(xlRTEQTYPE=$G2184),0))</f>
        <v>CENT_AIR1</v>
      </c>
    </row>
    <row r="2185" spans="2:25" x14ac:dyDescent="0.2">
      <c r="B2185" s="126">
        <v>7</v>
      </c>
      <c r="C2185" s="126">
        <v>3</v>
      </c>
      <c r="D2185" s="126">
        <v>8</v>
      </c>
      <c r="E2185" s="126">
        <v>26</v>
      </c>
      <c r="F2185" s="126">
        <v>2</v>
      </c>
      <c r="G2185" s="126">
        <v>6</v>
      </c>
      <c r="H2185" s="126">
        <v>2023</v>
      </c>
      <c r="I2185" s="126">
        <v>2050</v>
      </c>
      <c r="J2185" s="127">
        <v>1.0826</v>
      </c>
      <c r="K2185" s="127">
        <v>1.0412999999999999</v>
      </c>
      <c r="L2185" s="127">
        <v>0.86709999999999998</v>
      </c>
      <c r="M2185" s="127">
        <v>1.0887</v>
      </c>
      <c r="N2185" s="127">
        <v>0.8125</v>
      </c>
      <c r="O2185" s="127">
        <v>1.0538000000000001</v>
      </c>
      <c r="P2185" s="126">
        <v>2872</v>
      </c>
      <c r="Q2185" s="128">
        <f t="array" ref="Q2185">SUM(IF(($S2185&gt;=4)*($C2185='TaxCred&amp;Subs'!$D$123:$D$127)*($H2185='TaxCred&amp;Subs'!$C$123:$C$127)*($H2185&lt;='TaxCred&amp;Subs'!$C$129),'TaxCred&amp;Subs'!$E$123:$E$127,0))</f>
        <v>0</v>
      </c>
      <c r="R2185" s="174">
        <v>0</v>
      </c>
      <c r="S2185" s="126">
        <v>2</v>
      </c>
      <c r="T2185" s="126" t="s">
        <v>224</v>
      </c>
      <c r="U2185" s="158"/>
      <c r="V2185" s="153" t="str">
        <f t="array" ref="V2185">INDEX(xlRTCLNAME,MATCH(1,(xlRTCLENDU=1)*(xlRTCLEQCL=$D2185),0))</f>
        <v>DIST_RAD</v>
      </c>
      <c r="W2185" s="153" t="str">
        <f t="array" ref="W2185">INDEX(xlRTCLNAME,MATCH(1,(xlRTCLENDU=2)*(xlRTCLEQCL=$F2185),0))</f>
        <v>CENT_AIR</v>
      </c>
      <c r="X2185" s="153" t="str">
        <f t="array" ref="X2185">INDEX(xlRTTYNAME,MATCH(1,(xlRTTYENDU=1)*(xlRTTYEQCL=$D2185)*(xlRTEQTYPE=$E2185),0))</f>
        <v>DIST_RAD1</v>
      </c>
      <c r="Y2185" s="153" t="str">
        <f t="array" ref="Y2185">INDEX(xlRTTYNAME,MATCH(1,(xlRTTYENDU=2)*(xlRTTYEQCL=$F2185)*(xlRTEQTYPE=$G2185),0))</f>
        <v>CENT_AIR2</v>
      </c>
    </row>
    <row r="2186" spans="2:25" x14ac:dyDescent="0.2">
      <c r="B2186" s="126">
        <v>8</v>
      </c>
      <c r="C2186" s="126">
        <v>3</v>
      </c>
      <c r="D2186" s="126">
        <v>8</v>
      </c>
      <c r="E2186" s="126">
        <v>26</v>
      </c>
      <c r="F2186" s="126">
        <v>2</v>
      </c>
      <c r="G2186" s="126">
        <v>5</v>
      </c>
      <c r="H2186" s="126">
        <v>2016</v>
      </c>
      <c r="I2186" s="126">
        <v>2022</v>
      </c>
      <c r="J2186" s="127">
        <v>1.07</v>
      </c>
      <c r="K2186" s="127">
        <v>1.07</v>
      </c>
      <c r="L2186" s="127">
        <v>0.77259999999999995</v>
      </c>
      <c r="M2186" s="127">
        <v>1.0437000000000001</v>
      </c>
      <c r="N2186" s="127">
        <v>0.8034</v>
      </c>
      <c r="O2186" s="127">
        <v>1.0538000000000001</v>
      </c>
      <c r="P2186" s="126">
        <v>5501</v>
      </c>
      <c r="Q2186" s="128">
        <f t="array" ref="Q2186">SUM(IF(($S2186&gt;=4)*($C2186='TaxCred&amp;Subs'!$D$123:$D$127)*($H2186='TaxCred&amp;Subs'!$C$123:$C$127)*($H2186&lt;='TaxCred&amp;Subs'!$C$129),'TaxCred&amp;Subs'!$E$123:$E$127,0))</f>
        <v>0</v>
      </c>
      <c r="R2186" s="174">
        <v>0</v>
      </c>
      <c r="S2186" s="126">
        <v>2</v>
      </c>
      <c r="T2186" s="126" t="s">
        <v>224</v>
      </c>
      <c r="U2186" s="158"/>
      <c r="V2186" s="153" t="str">
        <f t="array" ref="V2186">INDEX(xlRTCLNAME,MATCH(1,(xlRTCLENDU=1)*(xlRTCLEQCL=$D2186),0))</f>
        <v>DIST_RAD</v>
      </c>
      <c r="W2186" s="153" t="str">
        <f t="array" ref="W2186">INDEX(xlRTCLNAME,MATCH(1,(xlRTCLENDU=2)*(xlRTCLEQCL=$F2186),0))</f>
        <v>CENT_AIR</v>
      </c>
      <c r="X2186" s="153" t="str">
        <f t="array" ref="X2186">INDEX(xlRTTYNAME,MATCH(1,(xlRTTYENDU=1)*(xlRTTYEQCL=$D2186)*(xlRTEQTYPE=$E2186),0))</f>
        <v>DIST_RAD1</v>
      </c>
      <c r="Y2186" s="153" t="str">
        <f t="array" ref="Y2186">INDEX(xlRTTYNAME,MATCH(1,(xlRTTYENDU=2)*(xlRTTYEQCL=$F2186)*(xlRTEQTYPE=$G2186),0))</f>
        <v>CENT_AIR1</v>
      </c>
    </row>
    <row r="2187" spans="2:25" x14ac:dyDescent="0.2">
      <c r="B2187" s="126">
        <v>8</v>
      </c>
      <c r="C2187" s="126">
        <v>3</v>
      </c>
      <c r="D2187" s="126">
        <v>8</v>
      </c>
      <c r="E2187" s="126">
        <v>26</v>
      </c>
      <c r="F2187" s="126">
        <v>2</v>
      </c>
      <c r="G2187" s="126">
        <v>6</v>
      </c>
      <c r="H2187" s="126">
        <v>2023</v>
      </c>
      <c r="I2187" s="126">
        <v>2050</v>
      </c>
      <c r="J2187" s="127">
        <v>1.07</v>
      </c>
      <c r="K2187" s="127">
        <v>1.07</v>
      </c>
      <c r="L2187" s="127">
        <v>0.77259999999999995</v>
      </c>
      <c r="M2187" s="127">
        <v>1.0437000000000001</v>
      </c>
      <c r="N2187" s="127">
        <v>0.8034</v>
      </c>
      <c r="O2187" s="127">
        <v>1.0538000000000001</v>
      </c>
      <c r="P2187" s="126">
        <v>5501</v>
      </c>
      <c r="Q2187" s="128">
        <f t="array" ref="Q2187">SUM(IF(($S2187&gt;=4)*($C2187='TaxCred&amp;Subs'!$D$123:$D$127)*($H2187='TaxCred&amp;Subs'!$C$123:$C$127)*($H2187&lt;='TaxCred&amp;Subs'!$C$129),'TaxCred&amp;Subs'!$E$123:$E$127,0))</f>
        <v>0</v>
      </c>
      <c r="R2187" s="174">
        <v>0</v>
      </c>
      <c r="S2187" s="126">
        <v>2</v>
      </c>
      <c r="T2187" s="126" t="s">
        <v>224</v>
      </c>
      <c r="U2187" s="158"/>
      <c r="V2187" s="153" t="str">
        <f t="array" ref="V2187">INDEX(xlRTCLNAME,MATCH(1,(xlRTCLENDU=1)*(xlRTCLEQCL=$D2187),0))</f>
        <v>DIST_RAD</v>
      </c>
      <c r="W2187" s="153" t="str">
        <f t="array" ref="W2187">INDEX(xlRTCLNAME,MATCH(1,(xlRTCLENDU=2)*(xlRTCLEQCL=$F2187),0))</f>
        <v>CENT_AIR</v>
      </c>
      <c r="X2187" s="153" t="str">
        <f t="array" ref="X2187">INDEX(xlRTTYNAME,MATCH(1,(xlRTTYENDU=1)*(xlRTTYEQCL=$D2187)*(xlRTEQTYPE=$E2187),0))</f>
        <v>DIST_RAD1</v>
      </c>
      <c r="Y2187" s="153" t="str">
        <f t="array" ref="Y2187">INDEX(xlRTTYNAME,MATCH(1,(xlRTTYENDU=2)*(xlRTTYEQCL=$F2187)*(xlRTEQTYPE=$G2187),0))</f>
        <v>CENT_AIR2</v>
      </c>
    </row>
    <row r="2188" spans="2:25" x14ac:dyDescent="0.2">
      <c r="B2188" s="126">
        <v>9</v>
      </c>
      <c r="C2188" s="126">
        <v>3</v>
      </c>
      <c r="D2188" s="126">
        <v>8</v>
      </c>
      <c r="E2188" s="126">
        <v>26</v>
      </c>
      <c r="F2188" s="126">
        <v>2</v>
      </c>
      <c r="G2188" s="126">
        <v>5</v>
      </c>
      <c r="H2188" s="126">
        <v>2016</v>
      </c>
      <c r="I2188" s="126">
        <v>2022</v>
      </c>
      <c r="J2188" s="127">
        <v>1.0845</v>
      </c>
      <c r="K2188" s="127">
        <v>1.0658000000000001</v>
      </c>
      <c r="L2188" s="127">
        <v>0.82230000000000003</v>
      </c>
      <c r="M2188" s="127">
        <v>1.1374</v>
      </c>
      <c r="N2188" s="127">
        <v>0.84079999999999999</v>
      </c>
      <c r="O2188" s="127">
        <v>1.0538000000000001</v>
      </c>
      <c r="P2188" s="126">
        <v>6573</v>
      </c>
      <c r="Q2188" s="128">
        <f t="array" ref="Q2188">SUM(IF(($S2188&gt;=4)*($C2188='TaxCred&amp;Subs'!$D$123:$D$127)*($H2188='TaxCred&amp;Subs'!$C$123:$C$127)*($H2188&lt;='TaxCred&amp;Subs'!$C$129),'TaxCred&amp;Subs'!$E$123:$E$127,0))</f>
        <v>0</v>
      </c>
      <c r="R2188" s="174">
        <v>0</v>
      </c>
      <c r="S2188" s="126">
        <v>2</v>
      </c>
      <c r="T2188" s="126" t="s">
        <v>224</v>
      </c>
      <c r="U2188" s="158"/>
      <c r="V2188" s="153" t="str">
        <f t="array" ref="V2188">INDEX(xlRTCLNAME,MATCH(1,(xlRTCLENDU=1)*(xlRTCLEQCL=$D2188),0))</f>
        <v>DIST_RAD</v>
      </c>
      <c r="W2188" s="153" t="str">
        <f t="array" ref="W2188">INDEX(xlRTCLNAME,MATCH(1,(xlRTCLENDU=2)*(xlRTCLEQCL=$F2188),0))</f>
        <v>CENT_AIR</v>
      </c>
      <c r="X2188" s="153" t="str">
        <f t="array" ref="X2188">INDEX(xlRTTYNAME,MATCH(1,(xlRTTYENDU=1)*(xlRTTYEQCL=$D2188)*(xlRTEQTYPE=$E2188),0))</f>
        <v>DIST_RAD1</v>
      </c>
      <c r="Y2188" s="153" t="str">
        <f t="array" ref="Y2188">INDEX(xlRTTYNAME,MATCH(1,(xlRTTYENDU=2)*(xlRTTYEQCL=$F2188)*(xlRTEQTYPE=$G2188),0))</f>
        <v>CENT_AIR1</v>
      </c>
    </row>
    <row r="2189" spans="2:25" x14ac:dyDescent="0.2">
      <c r="B2189" s="126">
        <v>9</v>
      </c>
      <c r="C2189" s="126">
        <v>3</v>
      </c>
      <c r="D2189" s="126">
        <v>8</v>
      </c>
      <c r="E2189" s="126">
        <v>26</v>
      </c>
      <c r="F2189" s="126">
        <v>2</v>
      </c>
      <c r="G2189" s="126">
        <v>6</v>
      </c>
      <c r="H2189" s="126">
        <v>2023</v>
      </c>
      <c r="I2189" s="126">
        <v>2050</v>
      </c>
      <c r="J2189" s="127">
        <v>1.0845</v>
      </c>
      <c r="K2189" s="127">
        <v>1.0658000000000001</v>
      </c>
      <c r="L2189" s="127">
        <v>0.82230000000000003</v>
      </c>
      <c r="M2189" s="127">
        <v>1.1374</v>
      </c>
      <c r="N2189" s="127">
        <v>0.84079999999999999</v>
      </c>
      <c r="O2189" s="127">
        <v>1.0538000000000001</v>
      </c>
      <c r="P2189" s="126">
        <v>6573</v>
      </c>
      <c r="Q2189" s="128">
        <f t="array" ref="Q2189">SUM(IF(($S2189&gt;=4)*($C2189='TaxCred&amp;Subs'!$D$123:$D$127)*($H2189='TaxCred&amp;Subs'!$C$123:$C$127)*($H2189&lt;='TaxCred&amp;Subs'!$C$129),'TaxCred&amp;Subs'!$E$123:$E$127,0))</f>
        <v>0</v>
      </c>
      <c r="R2189" s="174">
        <v>0</v>
      </c>
      <c r="S2189" s="126">
        <v>2</v>
      </c>
      <c r="T2189" s="126" t="s">
        <v>224</v>
      </c>
      <c r="U2189" s="158"/>
      <c r="V2189" s="153" t="str">
        <f t="array" ref="V2189">INDEX(xlRTCLNAME,MATCH(1,(xlRTCLENDU=1)*(xlRTCLEQCL=$D2189),0))</f>
        <v>DIST_RAD</v>
      </c>
      <c r="W2189" s="153" t="str">
        <f t="array" ref="W2189">INDEX(xlRTCLNAME,MATCH(1,(xlRTCLENDU=2)*(xlRTCLEQCL=$F2189),0))</f>
        <v>CENT_AIR</v>
      </c>
      <c r="X2189" s="153" t="str">
        <f t="array" ref="X2189">INDEX(xlRTTYNAME,MATCH(1,(xlRTTYENDU=1)*(xlRTTYEQCL=$D2189)*(xlRTEQTYPE=$E2189),0))</f>
        <v>DIST_RAD1</v>
      </c>
      <c r="Y2189" s="153" t="str">
        <f t="array" ref="Y2189">INDEX(xlRTTYNAME,MATCH(1,(xlRTTYENDU=2)*(xlRTTYEQCL=$F2189)*(xlRTEQTYPE=$G2189),0))</f>
        <v>CENT_AIR2</v>
      </c>
    </row>
    <row r="2190" spans="2:25" x14ac:dyDescent="0.2">
      <c r="B2190" s="126">
        <v>1</v>
      </c>
      <c r="C2190" s="126">
        <v>3</v>
      </c>
      <c r="D2190" s="126">
        <v>9</v>
      </c>
      <c r="E2190" s="126">
        <v>30</v>
      </c>
      <c r="F2190" s="126">
        <v>2</v>
      </c>
      <c r="G2190" s="126">
        <v>5</v>
      </c>
      <c r="H2190" s="126">
        <v>2016</v>
      </c>
      <c r="I2190" s="126">
        <v>2022</v>
      </c>
      <c r="J2190" s="127">
        <v>1.07</v>
      </c>
      <c r="K2190" s="127">
        <v>1.07</v>
      </c>
      <c r="L2190" s="127">
        <v>0.69540000000000002</v>
      </c>
      <c r="M2190" s="127">
        <v>1.0588</v>
      </c>
      <c r="N2190" s="127">
        <v>0.77410000000000001</v>
      </c>
      <c r="O2190" s="127">
        <v>1.0538000000000001</v>
      </c>
      <c r="P2190" s="126">
        <v>6643</v>
      </c>
      <c r="Q2190" s="128">
        <f t="array" ref="Q2190">SUM(IF(($S2190&gt;=4)*($C2190='TaxCred&amp;Subs'!$D$123:$D$127)*($H2190='TaxCred&amp;Subs'!$C$123:$C$127)*($H2190&lt;='TaxCred&amp;Subs'!$C$129),'TaxCred&amp;Subs'!$E$123:$E$127,0))</f>
        <v>0</v>
      </c>
      <c r="R2190" s="174">
        <v>0</v>
      </c>
      <c r="S2190" s="126">
        <v>2</v>
      </c>
      <c r="T2190" s="126" t="s">
        <v>224</v>
      </c>
      <c r="U2190" s="158"/>
      <c r="V2190" s="153" t="str">
        <f t="array" ref="V2190">INDEX(xlRTCLNAME,MATCH(1,(xlRTCLENDU=1)*(xlRTCLEQCL=$D2190),0))</f>
        <v>WOOD_HT</v>
      </c>
      <c r="W2190" s="153" t="str">
        <f t="array" ref="W2190">INDEX(xlRTCLNAME,MATCH(1,(xlRTCLENDU=2)*(xlRTCLEQCL=$F2190),0))</f>
        <v>CENT_AIR</v>
      </c>
      <c r="X2190" s="153" t="str">
        <f t="array" ref="X2190">INDEX(xlRTTYNAME,MATCH(1,(xlRTTYENDU=1)*(xlRTTYEQCL=$D2190)*(xlRTEQTYPE=$E2190),0))</f>
        <v>WOOD_HT2</v>
      </c>
      <c r="Y2190" s="153" t="str">
        <f t="array" ref="Y2190">INDEX(xlRTTYNAME,MATCH(1,(xlRTTYENDU=2)*(xlRTTYEQCL=$F2190)*(xlRTEQTYPE=$G2190),0))</f>
        <v>CENT_AIR1</v>
      </c>
    </row>
    <row r="2191" spans="2:25" x14ac:dyDescent="0.2">
      <c r="B2191" s="126">
        <v>1</v>
      </c>
      <c r="C2191" s="126">
        <v>3</v>
      </c>
      <c r="D2191" s="126">
        <v>9</v>
      </c>
      <c r="E2191" s="126">
        <v>30</v>
      </c>
      <c r="F2191" s="126">
        <v>2</v>
      </c>
      <c r="G2191" s="126">
        <v>6</v>
      </c>
      <c r="H2191" s="126">
        <v>2023</v>
      </c>
      <c r="I2191" s="126">
        <v>2050</v>
      </c>
      <c r="J2191" s="127">
        <v>1.07</v>
      </c>
      <c r="K2191" s="127">
        <v>1.07</v>
      </c>
      <c r="L2191" s="127">
        <v>0.69540000000000002</v>
      </c>
      <c r="M2191" s="127">
        <v>1.0588</v>
      </c>
      <c r="N2191" s="127">
        <v>0.77410000000000001</v>
      </c>
      <c r="O2191" s="127">
        <v>1.0538000000000001</v>
      </c>
      <c r="P2191" s="126">
        <v>6643</v>
      </c>
      <c r="Q2191" s="128">
        <f t="array" ref="Q2191">SUM(IF(($S2191&gt;=4)*($C2191='TaxCred&amp;Subs'!$D$123:$D$127)*($H2191='TaxCred&amp;Subs'!$C$123:$C$127)*($H2191&lt;='TaxCred&amp;Subs'!$C$129),'TaxCred&amp;Subs'!$E$123:$E$127,0))</f>
        <v>0</v>
      </c>
      <c r="R2191" s="174">
        <v>0</v>
      </c>
      <c r="S2191" s="126">
        <v>2</v>
      </c>
      <c r="T2191" s="126" t="s">
        <v>224</v>
      </c>
      <c r="U2191" s="158"/>
      <c r="V2191" s="153" t="str">
        <f t="array" ref="V2191">INDEX(xlRTCLNAME,MATCH(1,(xlRTCLENDU=1)*(xlRTCLEQCL=$D2191),0))</f>
        <v>WOOD_HT</v>
      </c>
      <c r="W2191" s="153" t="str">
        <f t="array" ref="W2191">INDEX(xlRTCLNAME,MATCH(1,(xlRTCLENDU=2)*(xlRTCLEQCL=$F2191),0))</f>
        <v>CENT_AIR</v>
      </c>
      <c r="X2191" s="153" t="str">
        <f t="array" ref="X2191">INDEX(xlRTTYNAME,MATCH(1,(xlRTTYENDU=1)*(xlRTTYEQCL=$D2191)*(xlRTEQTYPE=$E2191),0))</f>
        <v>WOOD_HT2</v>
      </c>
      <c r="Y2191" s="153" t="str">
        <f t="array" ref="Y2191">INDEX(xlRTTYNAME,MATCH(1,(xlRTTYENDU=2)*(xlRTTYEQCL=$F2191)*(xlRTEQTYPE=$G2191),0))</f>
        <v>CENT_AIR2</v>
      </c>
    </row>
    <row r="2192" spans="2:25" x14ac:dyDescent="0.2">
      <c r="B2192" s="126">
        <v>2</v>
      </c>
      <c r="C2192" s="126">
        <v>3</v>
      </c>
      <c r="D2192" s="126">
        <v>9</v>
      </c>
      <c r="E2192" s="126">
        <v>30</v>
      </c>
      <c r="F2192" s="126">
        <v>2</v>
      </c>
      <c r="G2192" s="126">
        <v>5</v>
      </c>
      <c r="H2192" s="126">
        <v>2016</v>
      </c>
      <c r="I2192" s="126">
        <v>2022</v>
      </c>
      <c r="J2192" s="127">
        <v>1.07</v>
      </c>
      <c r="K2192" s="127">
        <v>1.07</v>
      </c>
      <c r="L2192" s="127">
        <v>0.76580000000000004</v>
      </c>
      <c r="M2192" s="127">
        <v>1.1206</v>
      </c>
      <c r="N2192" s="127">
        <v>0.83819999999999995</v>
      </c>
      <c r="O2192" s="127">
        <v>1.0538000000000001</v>
      </c>
      <c r="P2192" s="126">
        <v>6885</v>
      </c>
      <c r="Q2192" s="128">
        <f t="array" ref="Q2192">SUM(IF(($S2192&gt;=4)*($C2192='TaxCred&amp;Subs'!$D$123:$D$127)*($H2192='TaxCred&amp;Subs'!$C$123:$C$127)*($H2192&lt;='TaxCred&amp;Subs'!$C$129),'TaxCred&amp;Subs'!$E$123:$E$127,0))</f>
        <v>0</v>
      </c>
      <c r="R2192" s="174">
        <v>0</v>
      </c>
      <c r="S2192" s="126">
        <v>2</v>
      </c>
      <c r="T2192" s="126" t="s">
        <v>224</v>
      </c>
      <c r="U2192" s="158"/>
      <c r="V2192" s="153" t="str">
        <f t="array" ref="V2192">INDEX(xlRTCLNAME,MATCH(1,(xlRTCLENDU=1)*(xlRTCLEQCL=$D2192),0))</f>
        <v>WOOD_HT</v>
      </c>
      <c r="W2192" s="153" t="str">
        <f t="array" ref="W2192">INDEX(xlRTCLNAME,MATCH(1,(xlRTCLENDU=2)*(xlRTCLEQCL=$F2192),0))</f>
        <v>CENT_AIR</v>
      </c>
      <c r="X2192" s="153" t="str">
        <f t="array" ref="X2192">INDEX(xlRTTYNAME,MATCH(1,(xlRTTYENDU=1)*(xlRTTYEQCL=$D2192)*(xlRTEQTYPE=$E2192),0))</f>
        <v>WOOD_HT2</v>
      </c>
      <c r="Y2192" s="153" t="str">
        <f t="array" ref="Y2192">INDEX(xlRTTYNAME,MATCH(1,(xlRTTYENDU=2)*(xlRTTYEQCL=$F2192)*(xlRTEQTYPE=$G2192),0))</f>
        <v>CENT_AIR1</v>
      </c>
    </row>
    <row r="2193" spans="2:25" x14ac:dyDescent="0.2">
      <c r="B2193" s="126">
        <v>2</v>
      </c>
      <c r="C2193" s="126">
        <v>3</v>
      </c>
      <c r="D2193" s="126">
        <v>9</v>
      </c>
      <c r="E2193" s="126">
        <v>30</v>
      </c>
      <c r="F2193" s="126">
        <v>2</v>
      </c>
      <c r="G2193" s="126">
        <v>6</v>
      </c>
      <c r="H2193" s="126">
        <v>2023</v>
      </c>
      <c r="I2193" s="126">
        <v>2050</v>
      </c>
      <c r="J2193" s="127">
        <v>1.07</v>
      </c>
      <c r="K2193" s="127">
        <v>1.07</v>
      </c>
      <c r="L2193" s="127">
        <v>0.76580000000000004</v>
      </c>
      <c r="M2193" s="127">
        <v>1.1206</v>
      </c>
      <c r="N2193" s="127">
        <v>0.83819999999999995</v>
      </c>
      <c r="O2193" s="127">
        <v>1.0538000000000001</v>
      </c>
      <c r="P2193" s="126">
        <v>6885</v>
      </c>
      <c r="Q2193" s="128">
        <f t="array" ref="Q2193">SUM(IF(($S2193&gt;=4)*($C2193='TaxCred&amp;Subs'!$D$123:$D$127)*($H2193='TaxCred&amp;Subs'!$C$123:$C$127)*($H2193&lt;='TaxCred&amp;Subs'!$C$129),'TaxCred&amp;Subs'!$E$123:$E$127,0))</f>
        <v>0</v>
      </c>
      <c r="R2193" s="174">
        <v>0</v>
      </c>
      <c r="S2193" s="126">
        <v>2</v>
      </c>
      <c r="T2193" s="126" t="s">
        <v>224</v>
      </c>
      <c r="U2193" s="158"/>
      <c r="V2193" s="153" t="str">
        <f t="array" ref="V2193">INDEX(xlRTCLNAME,MATCH(1,(xlRTCLENDU=1)*(xlRTCLEQCL=$D2193),0))</f>
        <v>WOOD_HT</v>
      </c>
      <c r="W2193" s="153" t="str">
        <f t="array" ref="W2193">INDEX(xlRTCLNAME,MATCH(1,(xlRTCLENDU=2)*(xlRTCLEQCL=$F2193),0))</f>
        <v>CENT_AIR</v>
      </c>
      <c r="X2193" s="153" t="str">
        <f t="array" ref="X2193">INDEX(xlRTTYNAME,MATCH(1,(xlRTTYENDU=1)*(xlRTTYEQCL=$D2193)*(xlRTEQTYPE=$E2193),0))</f>
        <v>WOOD_HT2</v>
      </c>
      <c r="Y2193" s="153" t="str">
        <f t="array" ref="Y2193">INDEX(xlRTTYNAME,MATCH(1,(xlRTTYENDU=2)*(xlRTTYEQCL=$F2193)*(xlRTEQTYPE=$G2193),0))</f>
        <v>CENT_AIR2</v>
      </c>
    </row>
    <row r="2194" spans="2:25" x14ac:dyDescent="0.2">
      <c r="B2194" s="126">
        <v>3</v>
      </c>
      <c r="C2194" s="126">
        <v>3</v>
      </c>
      <c r="D2194" s="126">
        <v>9</v>
      </c>
      <c r="E2194" s="126">
        <v>30</v>
      </c>
      <c r="F2194" s="126">
        <v>2</v>
      </c>
      <c r="G2194" s="126">
        <v>5</v>
      </c>
      <c r="H2194" s="126">
        <v>2016</v>
      </c>
      <c r="I2194" s="126">
        <v>2022</v>
      </c>
      <c r="J2194" s="127">
        <v>1.07</v>
      </c>
      <c r="K2194" s="127">
        <v>1.07</v>
      </c>
      <c r="L2194" s="127">
        <v>0.78100000000000003</v>
      </c>
      <c r="M2194" s="127">
        <v>1.0925</v>
      </c>
      <c r="N2194" s="127">
        <v>0.84330000000000005</v>
      </c>
      <c r="O2194" s="127">
        <v>1.0538000000000001</v>
      </c>
      <c r="P2194" s="126">
        <v>6732</v>
      </c>
      <c r="Q2194" s="128">
        <f t="array" ref="Q2194">SUM(IF(($S2194&gt;=4)*($C2194='TaxCred&amp;Subs'!$D$123:$D$127)*($H2194='TaxCred&amp;Subs'!$C$123:$C$127)*($H2194&lt;='TaxCred&amp;Subs'!$C$129),'TaxCred&amp;Subs'!$E$123:$E$127,0))</f>
        <v>0</v>
      </c>
      <c r="R2194" s="174">
        <v>0</v>
      </c>
      <c r="S2194" s="126">
        <v>2</v>
      </c>
      <c r="T2194" s="126" t="s">
        <v>224</v>
      </c>
      <c r="U2194" s="158"/>
      <c r="V2194" s="153" t="str">
        <f t="array" ref="V2194">INDEX(xlRTCLNAME,MATCH(1,(xlRTCLENDU=1)*(xlRTCLEQCL=$D2194),0))</f>
        <v>WOOD_HT</v>
      </c>
      <c r="W2194" s="153" t="str">
        <f t="array" ref="W2194">INDEX(xlRTCLNAME,MATCH(1,(xlRTCLENDU=2)*(xlRTCLEQCL=$F2194),0))</f>
        <v>CENT_AIR</v>
      </c>
      <c r="X2194" s="153" t="str">
        <f t="array" ref="X2194">INDEX(xlRTTYNAME,MATCH(1,(xlRTTYENDU=1)*(xlRTTYEQCL=$D2194)*(xlRTEQTYPE=$E2194),0))</f>
        <v>WOOD_HT2</v>
      </c>
      <c r="Y2194" s="153" t="str">
        <f t="array" ref="Y2194">INDEX(xlRTTYNAME,MATCH(1,(xlRTTYENDU=2)*(xlRTTYEQCL=$F2194)*(xlRTEQTYPE=$G2194),0))</f>
        <v>CENT_AIR1</v>
      </c>
    </row>
    <row r="2195" spans="2:25" x14ac:dyDescent="0.2">
      <c r="B2195" s="126">
        <v>3</v>
      </c>
      <c r="C2195" s="126">
        <v>3</v>
      </c>
      <c r="D2195" s="126">
        <v>9</v>
      </c>
      <c r="E2195" s="126">
        <v>30</v>
      </c>
      <c r="F2195" s="126">
        <v>2</v>
      </c>
      <c r="G2195" s="126">
        <v>6</v>
      </c>
      <c r="H2195" s="126">
        <v>2023</v>
      </c>
      <c r="I2195" s="126">
        <v>2050</v>
      </c>
      <c r="J2195" s="127">
        <v>1.07</v>
      </c>
      <c r="K2195" s="127">
        <v>1.07</v>
      </c>
      <c r="L2195" s="127">
        <v>0.78100000000000003</v>
      </c>
      <c r="M2195" s="127">
        <v>1.0925</v>
      </c>
      <c r="N2195" s="127">
        <v>0.84330000000000005</v>
      </c>
      <c r="O2195" s="127">
        <v>1.0538000000000001</v>
      </c>
      <c r="P2195" s="126">
        <v>6732</v>
      </c>
      <c r="Q2195" s="128">
        <f t="array" ref="Q2195">SUM(IF(($S2195&gt;=4)*($C2195='TaxCred&amp;Subs'!$D$123:$D$127)*($H2195='TaxCred&amp;Subs'!$C$123:$C$127)*($H2195&lt;='TaxCred&amp;Subs'!$C$129),'TaxCred&amp;Subs'!$E$123:$E$127,0))</f>
        <v>0</v>
      </c>
      <c r="R2195" s="174">
        <v>0</v>
      </c>
      <c r="S2195" s="126">
        <v>2</v>
      </c>
      <c r="T2195" s="126" t="s">
        <v>224</v>
      </c>
      <c r="U2195" s="158"/>
      <c r="V2195" s="153" t="str">
        <f t="array" ref="V2195">INDEX(xlRTCLNAME,MATCH(1,(xlRTCLENDU=1)*(xlRTCLEQCL=$D2195),0))</f>
        <v>WOOD_HT</v>
      </c>
      <c r="W2195" s="153" t="str">
        <f t="array" ref="W2195">INDEX(xlRTCLNAME,MATCH(1,(xlRTCLENDU=2)*(xlRTCLEQCL=$F2195),0))</f>
        <v>CENT_AIR</v>
      </c>
      <c r="X2195" s="153" t="str">
        <f t="array" ref="X2195">INDEX(xlRTTYNAME,MATCH(1,(xlRTTYENDU=1)*(xlRTTYEQCL=$D2195)*(xlRTEQTYPE=$E2195),0))</f>
        <v>WOOD_HT2</v>
      </c>
      <c r="Y2195" s="153" t="str">
        <f t="array" ref="Y2195">INDEX(xlRTTYNAME,MATCH(1,(xlRTTYENDU=2)*(xlRTTYEQCL=$F2195)*(xlRTEQTYPE=$G2195),0))</f>
        <v>CENT_AIR2</v>
      </c>
    </row>
    <row r="2196" spans="2:25" x14ac:dyDescent="0.2">
      <c r="B2196" s="126">
        <v>4</v>
      </c>
      <c r="C2196" s="126">
        <v>3</v>
      </c>
      <c r="D2196" s="126">
        <v>9</v>
      </c>
      <c r="E2196" s="126">
        <v>30</v>
      </c>
      <c r="F2196" s="126">
        <v>2</v>
      </c>
      <c r="G2196" s="126">
        <v>5</v>
      </c>
      <c r="H2196" s="126">
        <v>2016</v>
      </c>
      <c r="I2196" s="126">
        <v>2022</v>
      </c>
      <c r="J2196" s="127">
        <v>1.07</v>
      </c>
      <c r="K2196" s="127">
        <v>1.07</v>
      </c>
      <c r="L2196" s="127">
        <v>0.70320000000000005</v>
      </c>
      <c r="M2196" s="127">
        <v>1.0580000000000001</v>
      </c>
      <c r="N2196" s="127">
        <v>0.77339999999999998</v>
      </c>
      <c r="O2196" s="127">
        <v>1.0538000000000001</v>
      </c>
      <c r="P2196" s="126">
        <v>5885</v>
      </c>
      <c r="Q2196" s="128">
        <f t="array" ref="Q2196">SUM(IF(($S2196&gt;=4)*($C2196='TaxCred&amp;Subs'!$D$123:$D$127)*($H2196='TaxCred&amp;Subs'!$C$123:$C$127)*($H2196&lt;='TaxCred&amp;Subs'!$C$129),'TaxCred&amp;Subs'!$E$123:$E$127,0))</f>
        <v>0</v>
      </c>
      <c r="R2196" s="174">
        <v>0</v>
      </c>
      <c r="S2196" s="126">
        <v>2</v>
      </c>
      <c r="T2196" s="126" t="s">
        <v>224</v>
      </c>
      <c r="U2196" s="158"/>
      <c r="V2196" s="153" t="str">
        <f t="array" ref="V2196">INDEX(xlRTCLNAME,MATCH(1,(xlRTCLENDU=1)*(xlRTCLEQCL=$D2196),0))</f>
        <v>WOOD_HT</v>
      </c>
      <c r="W2196" s="153" t="str">
        <f t="array" ref="W2196">INDEX(xlRTCLNAME,MATCH(1,(xlRTCLENDU=2)*(xlRTCLEQCL=$F2196),0))</f>
        <v>CENT_AIR</v>
      </c>
      <c r="X2196" s="153" t="str">
        <f t="array" ref="X2196">INDEX(xlRTTYNAME,MATCH(1,(xlRTTYENDU=1)*(xlRTTYEQCL=$D2196)*(xlRTEQTYPE=$E2196),0))</f>
        <v>WOOD_HT2</v>
      </c>
      <c r="Y2196" s="153" t="str">
        <f t="array" ref="Y2196">INDEX(xlRTTYNAME,MATCH(1,(xlRTTYENDU=2)*(xlRTTYEQCL=$F2196)*(xlRTEQTYPE=$G2196),0))</f>
        <v>CENT_AIR1</v>
      </c>
    </row>
    <row r="2197" spans="2:25" x14ac:dyDescent="0.2">
      <c r="B2197" s="126">
        <v>4</v>
      </c>
      <c r="C2197" s="126">
        <v>3</v>
      </c>
      <c r="D2197" s="126">
        <v>9</v>
      </c>
      <c r="E2197" s="126">
        <v>30</v>
      </c>
      <c r="F2197" s="126">
        <v>2</v>
      </c>
      <c r="G2197" s="126">
        <v>6</v>
      </c>
      <c r="H2197" s="126">
        <v>2023</v>
      </c>
      <c r="I2197" s="126">
        <v>2050</v>
      </c>
      <c r="J2197" s="127">
        <v>1.07</v>
      </c>
      <c r="K2197" s="127">
        <v>1.07</v>
      </c>
      <c r="L2197" s="127">
        <v>0.70320000000000005</v>
      </c>
      <c r="M2197" s="127">
        <v>1.0580000000000001</v>
      </c>
      <c r="N2197" s="127">
        <v>0.77339999999999998</v>
      </c>
      <c r="O2197" s="127">
        <v>1.0538000000000001</v>
      </c>
      <c r="P2197" s="126">
        <v>5885</v>
      </c>
      <c r="Q2197" s="128">
        <f t="array" ref="Q2197">SUM(IF(($S2197&gt;=4)*($C2197='TaxCred&amp;Subs'!$D$123:$D$127)*($H2197='TaxCred&amp;Subs'!$C$123:$C$127)*($H2197&lt;='TaxCred&amp;Subs'!$C$129),'TaxCred&amp;Subs'!$E$123:$E$127,0))</f>
        <v>0</v>
      </c>
      <c r="R2197" s="174">
        <v>0</v>
      </c>
      <c r="S2197" s="126">
        <v>2</v>
      </c>
      <c r="T2197" s="126" t="s">
        <v>224</v>
      </c>
      <c r="U2197" s="158"/>
      <c r="V2197" s="153" t="str">
        <f t="array" ref="V2197">INDEX(xlRTCLNAME,MATCH(1,(xlRTCLENDU=1)*(xlRTCLEQCL=$D2197),0))</f>
        <v>WOOD_HT</v>
      </c>
      <c r="W2197" s="153" t="str">
        <f t="array" ref="W2197">INDEX(xlRTCLNAME,MATCH(1,(xlRTCLENDU=2)*(xlRTCLEQCL=$F2197),0))</f>
        <v>CENT_AIR</v>
      </c>
      <c r="X2197" s="153" t="str">
        <f t="array" ref="X2197">INDEX(xlRTTYNAME,MATCH(1,(xlRTTYENDU=1)*(xlRTTYEQCL=$D2197)*(xlRTEQTYPE=$E2197),0))</f>
        <v>WOOD_HT2</v>
      </c>
      <c r="Y2197" s="153" t="str">
        <f t="array" ref="Y2197">INDEX(xlRTTYNAME,MATCH(1,(xlRTTYENDU=2)*(xlRTTYEQCL=$F2197)*(xlRTEQTYPE=$G2197),0))</f>
        <v>CENT_AIR2</v>
      </c>
    </row>
    <row r="2198" spans="2:25" x14ac:dyDescent="0.2">
      <c r="B2198" s="126">
        <v>5</v>
      </c>
      <c r="C2198" s="126">
        <v>3</v>
      </c>
      <c r="D2198" s="126">
        <v>9</v>
      </c>
      <c r="E2198" s="126">
        <v>30</v>
      </c>
      <c r="F2198" s="126">
        <v>2</v>
      </c>
      <c r="G2198" s="126">
        <v>5</v>
      </c>
      <c r="H2198" s="126">
        <v>2016</v>
      </c>
      <c r="I2198" s="126">
        <v>2022</v>
      </c>
      <c r="J2198" s="127">
        <v>1.0940000000000001</v>
      </c>
      <c r="K2198" s="127">
        <v>1.0575000000000001</v>
      </c>
      <c r="L2198" s="127">
        <v>0.7964</v>
      </c>
      <c r="M2198" s="127">
        <v>1.0495000000000001</v>
      </c>
      <c r="N2198" s="127">
        <v>0.83130000000000004</v>
      </c>
      <c r="O2198" s="127">
        <v>1.0538000000000001</v>
      </c>
      <c r="P2198" s="126">
        <v>4581</v>
      </c>
      <c r="Q2198" s="128">
        <f t="array" ref="Q2198">SUM(IF(($S2198&gt;=4)*($C2198='TaxCred&amp;Subs'!$D$123:$D$127)*($H2198='TaxCred&amp;Subs'!$C$123:$C$127)*($H2198&lt;='TaxCred&amp;Subs'!$C$129),'TaxCred&amp;Subs'!$E$123:$E$127,0))</f>
        <v>0</v>
      </c>
      <c r="R2198" s="174">
        <v>0</v>
      </c>
      <c r="S2198" s="126">
        <v>2</v>
      </c>
      <c r="T2198" s="126" t="s">
        <v>224</v>
      </c>
      <c r="U2198" s="158"/>
      <c r="V2198" s="153" t="str">
        <f t="array" ref="V2198">INDEX(xlRTCLNAME,MATCH(1,(xlRTCLENDU=1)*(xlRTCLEQCL=$D2198),0))</f>
        <v>WOOD_HT</v>
      </c>
      <c r="W2198" s="153" t="str">
        <f t="array" ref="W2198">INDEX(xlRTCLNAME,MATCH(1,(xlRTCLENDU=2)*(xlRTCLEQCL=$F2198),0))</f>
        <v>CENT_AIR</v>
      </c>
      <c r="X2198" s="153" t="str">
        <f t="array" ref="X2198">INDEX(xlRTTYNAME,MATCH(1,(xlRTTYENDU=1)*(xlRTTYEQCL=$D2198)*(xlRTEQTYPE=$E2198),0))</f>
        <v>WOOD_HT2</v>
      </c>
      <c r="Y2198" s="153" t="str">
        <f t="array" ref="Y2198">INDEX(xlRTTYNAME,MATCH(1,(xlRTTYENDU=2)*(xlRTTYEQCL=$F2198)*(xlRTEQTYPE=$G2198),0))</f>
        <v>CENT_AIR1</v>
      </c>
    </row>
    <row r="2199" spans="2:25" x14ac:dyDescent="0.2">
      <c r="B2199" s="126">
        <v>5</v>
      </c>
      <c r="C2199" s="126">
        <v>3</v>
      </c>
      <c r="D2199" s="126">
        <v>9</v>
      </c>
      <c r="E2199" s="126">
        <v>30</v>
      </c>
      <c r="F2199" s="126">
        <v>2</v>
      </c>
      <c r="G2199" s="126">
        <v>6</v>
      </c>
      <c r="H2199" s="126">
        <v>2023</v>
      </c>
      <c r="I2199" s="126">
        <v>2050</v>
      </c>
      <c r="J2199" s="127">
        <v>1.0940000000000001</v>
      </c>
      <c r="K2199" s="127">
        <v>1.0575000000000001</v>
      </c>
      <c r="L2199" s="127">
        <v>0.7964</v>
      </c>
      <c r="M2199" s="127">
        <v>1.0495000000000001</v>
      </c>
      <c r="N2199" s="127">
        <v>0.83130000000000004</v>
      </c>
      <c r="O2199" s="127">
        <v>1.0538000000000001</v>
      </c>
      <c r="P2199" s="126">
        <v>4581</v>
      </c>
      <c r="Q2199" s="128">
        <f t="array" ref="Q2199">SUM(IF(($S2199&gt;=4)*($C2199='TaxCred&amp;Subs'!$D$123:$D$127)*($H2199='TaxCred&amp;Subs'!$C$123:$C$127)*($H2199&lt;='TaxCred&amp;Subs'!$C$129),'TaxCred&amp;Subs'!$E$123:$E$127,0))</f>
        <v>0</v>
      </c>
      <c r="R2199" s="174">
        <v>0</v>
      </c>
      <c r="S2199" s="126">
        <v>2</v>
      </c>
      <c r="T2199" s="126" t="s">
        <v>224</v>
      </c>
      <c r="U2199" s="158"/>
      <c r="V2199" s="153" t="str">
        <f t="array" ref="V2199">INDEX(xlRTCLNAME,MATCH(1,(xlRTCLENDU=1)*(xlRTCLEQCL=$D2199),0))</f>
        <v>WOOD_HT</v>
      </c>
      <c r="W2199" s="153" t="str">
        <f t="array" ref="W2199">INDEX(xlRTCLNAME,MATCH(1,(xlRTCLENDU=2)*(xlRTCLEQCL=$F2199),0))</f>
        <v>CENT_AIR</v>
      </c>
      <c r="X2199" s="153" t="str">
        <f t="array" ref="X2199">INDEX(xlRTTYNAME,MATCH(1,(xlRTTYENDU=1)*(xlRTTYEQCL=$D2199)*(xlRTEQTYPE=$E2199),0))</f>
        <v>WOOD_HT2</v>
      </c>
      <c r="Y2199" s="153" t="str">
        <f t="array" ref="Y2199">INDEX(xlRTTYNAME,MATCH(1,(xlRTTYENDU=2)*(xlRTTYEQCL=$F2199)*(xlRTEQTYPE=$G2199),0))</f>
        <v>CENT_AIR2</v>
      </c>
    </row>
    <row r="2200" spans="2:25" x14ac:dyDescent="0.2">
      <c r="B2200" s="126">
        <v>6</v>
      </c>
      <c r="C2200" s="126">
        <v>3</v>
      </c>
      <c r="D2200" s="126">
        <v>9</v>
      </c>
      <c r="E2200" s="126">
        <v>30</v>
      </c>
      <c r="F2200" s="126">
        <v>2</v>
      </c>
      <c r="G2200" s="126">
        <v>5</v>
      </c>
      <c r="H2200" s="126">
        <v>2016</v>
      </c>
      <c r="I2200" s="126">
        <v>2022</v>
      </c>
      <c r="J2200" s="127">
        <v>1.0873999999999999</v>
      </c>
      <c r="K2200" s="127">
        <v>1.0609999999999999</v>
      </c>
      <c r="L2200" s="127">
        <v>0.87829999999999997</v>
      </c>
      <c r="M2200" s="127">
        <v>1.0562</v>
      </c>
      <c r="N2200" s="127">
        <v>0.80189999999999995</v>
      </c>
      <c r="O2200" s="127">
        <v>1.0538000000000001</v>
      </c>
      <c r="P2200" s="126">
        <v>4249</v>
      </c>
      <c r="Q2200" s="128">
        <f t="array" ref="Q2200">SUM(IF(($S2200&gt;=4)*($C2200='TaxCred&amp;Subs'!$D$123:$D$127)*($H2200='TaxCred&amp;Subs'!$C$123:$C$127)*($H2200&lt;='TaxCred&amp;Subs'!$C$129),'TaxCred&amp;Subs'!$E$123:$E$127,0))</f>
        <v>0</v>
      </c>
      <c r="R2200" s="174">
        <v>0</v>
      </c>
      <c r="S2200" s="126">
        <v>2</v>
      </c>
      <c r="T2200" s="126" t="s">
        <v>224</v>
      </c>
      <c r="U2200" s="158"/>
      <c r="V2200" s="153" t="str">
        <f t="array" ref="V2200">INDEX(xlRTCLNAME,MATCH(1,(xlRTCLENDU=1)*(xlRTCLEQCL=$D2200),0))</f>
        <v>WOOD_HT</v>
      </c>
      <c r="W2200" s="153" t="str">
        <f t="array" ref="W2200">INDEX(xlRTCLNAME,MATCH(1,(xlRTCLENDU=2)*(xlRTCLEQCL=$F2200),0))</f>
        <v>CENT_AIR</v>
      </c>
      <c r="X2200" s="153" t="str">
        <f t="array" ref="X2200">INDEX(xlRTTYNAME,MATCH(1,(xlRTTYENDU=1)*(xlRTTYEQCL=$D2200)*(xlRTEQTYPE=$E2200),0))</f>
        <v>WOOD_HT2</v>
      </c>
      <c r="Y2200" s="153" t="str">
        <f t="array" ref="Y2200">INDEX(xlRTTYNAME,MATCH(1,(xlRTTYENDU=2)*(xlRTTYEQCL=$F2200)*(xlRTEQTYPE=$G2200),0))</f>
        <v>CENT_AIR1</v>
      </c>
    </row>
    <row r="2201" spans="2:25" x14ac:dyDescent="0.2">
      <c r="B2201" s="126">
        <v>6</v>
      </c>
      <c r="C2201" s="126">
        <v>3</v>
      </c>
      <c r="D2201" s="126">
        <v>9</v>
      </c>
      <c r="E2201" s="126">
        <v>30</v>
      </c>
      <c r="F2201" s="126">
        <v>2</v>
      </c>
      <c r="G2201" s="126">
        <v>6</v>
      </c>
      <c r="H2201" s="126">
        <v>2023</v>
      </c>
      <c r="I2201" s="126">
        <v>2050</v>
      </c>
      <c r="J2201" s="127">
        <v>1.0873999999999999</v>
      </c>
      <c r="K2201" s="127">
        <v>1.0609999999999999</v>
      </c>
      <c r="L2201" s="127">
        <v>0.87829999999999997</v>
      </c>
      <c r="M2201" s="127">
        <v>1.0562</v>
      </c>
      <c r="N2201" s="127">
        <v>0.80189999999999995</v>
      </c>
      <c r="O2201" s="127">
        <v>1.0538000000000001</v>
      </c>
      <c r="P2201" s="126">
        <v>4249</v>
      </c>
      <c r="Q2201" s="128">
        <f t="array" ref="Q2201">SUM(IF(($S2201&gt;=4)*($C2201='TaxCred&amp;Subs'!$D$123:$D$127)*($H2201='TaxCred&amp;Subs'!$C$123:$C$127)*($H2201&lt;='TaxCred&amp;Subs'!$C$129),'TaxCred&amp;Subs'!$E$123:$E$127,0))</f>
        <v>0</v>
      </c>
      <c r="R2201" s="174">
        <v>0</v>
      </c>
      <c r="S2201" s="126">
        <v>2</v>
      </c>
      <c r="T2201" s="126" t="s">
        <v>224</v>
      </c>
      <c r="U2201" s="158"/>
      <c r="V2201" s="153" t="str">
        <f t="array" ref="V2201">INDEX(xlRTCLNAME,MATCH(1,(xlRTCLENDU=1)*(xlRTCLEQCL=$D2201),0))</f>
        <v>WOOD_HT</v>
      </c>
      <c r="W2201" s="153" t="str">
        <f t="array" ref="W2201">INDEX(xlRTCLNAME,MATCH(1,(xlRTCLENDU=2)*(xlRTCLEQCL=$F2201),0))</f>
        <v>CENT_AIR</v>
      </c>
      <c r="X2201" s="153" t="str">
        <f t="array" ref="X2201">INDEX(xlRTTYNAME,MATCH(1,(xlRTTYENDU=1)*(xlRTTYEQCL=$D2201)*(xlRTEQTYPE=$E2201),0))</f>
        <v>WOOD_HT2</v>
      </c>
      <c r="Y2201" s="153" t="str">
        <f t="array" ref="Y2201">INDEX(xlRTTYNAME,MATCH(1,(xlRTTYENDU=2)*(xlRTTYEQCL=$F2201)*(xlRTEQTYPE=$G2201),0))</f>
        <v>CENT_AIR2</v>
      </c>
    </row>
    <row r="2202" spans="2:25" x14ac:dyDescent="0.2">
      <c r="B2202" s="126">
        <v>7</v>
      </c>
      <c r="C2202" s="126">
        <v>3</v>
      </c>
      <c r="D2202" s="126">
        <v>9</v>
      </c>
      <c r="E2202" s="126">
        <v>30</v>
      </c>
      <c r="F2202" s="126">
        <v>2</v>
      </c>
      <c r="G2202" s="126">
        <v>5</v>
      </c>
      <c r="H2202" s="126">
        <v>2016</v>
      </c>
      <c r="I2202" s="126">
        <v>2022</v>
      </c>
      <c r="J2202" s="127">
        <v>1.0826</v>
      </c>
      <c r="K2202" s="127">
        <v>1.0412999999999999</v>
      </c>
      <c r="L2202" s="127">
        <v>0.86709999999999998</v>
      </c>
      <c r="M2202" s="127">
        <v>1.0887</v>
      </c>
      <c r="N2202" s="127">
        <v>0.8125</v>
      </c>
      <c r="O2202" s="127">
        <v>1.0538000000000001</v>
      </c>
      <c r="P2202" s="126">
        <v>2872</v>
      </c>
      <c r="Q2202" s="128">
        <f t="array" ref="Q2202">SUM(IF(($S2202&gt;=4)*($C2202='TaxCred&amp;Subs'!$D$123:$D$127)*($H2202='TaxCred&amp;Subs'!$C$123:$C$127)*($H2202&lt;='TaxCred&amp;Subs'!$C$129),'TaxCred&amp;Subs'!$E$123:$E$127,0))</f>
        <v>0</v>
      </c>
      <c r="R2202" s="174">
        <v>0</v>
      </c>
      <c r="S2202" s="126">
        <v>2</v>
      </c>
      <c r="T2202" s="126" t="s">
        <v>224</v>
      </c>
      <c r="U2202" s="158"/>
      <c r="V2202" s="153" t="str">
        <f t="array" ref="V2202">INDEX(xlRTCLNAME,MATCH(1,(xlRTCLENDU=1)*(xlRTCLEQCL=$D2202),0))</f>
        <v>WOOD_HT</v>
      </c>
      <c r="W2202" s="153" t="str">
        <f t="array" ref="W2202">INDEX(xlRTCLNAME,MATCH(1,(xlRTCLENDU=2)*(xlRTCLEQCL=$F2202),0))</f>
        <v>CENT_AIR</v>
      </c>
      <c r="X2202" s="153" t="str">
        <f t="array" ref="X2202">INDEX(xlRTTYNAME,MATCH(1,(xlRTTYENDU=1)*(xlRTTYEQCL=$D2202)*(xlRTEQTYPE=$E2202),0))</f>
        <v>WOOD_HT2</v>
      </c>
      <c r="Y2202" s="153" t="str">
        <f t="array" ref="Y2202">INDEX(xlRTTYNAME,MATCH(1,(xlRTTYENDU=2)*(xlRTTYEQCL=$F2202)*(xlRTEQTYPE=$G2202),0))</f>
        <v>CENT_AIR1</v>
      </c>
    </row>
    <row r="2203" spans="2:25" x14ac:dyDescent="0.2">
      <c r="B2203" s="126">
        <v>7</v>
      </c>
      <c r="C2203" s="126">
        <v>3</v>
      </c>
      <c r="D2203" s="126">
        <v>9</v>
      </c>
      <c r="E2203" s="126">
        <v>30</v>
      </c>
      <c r="F2203" s="126">
        <v>2</v>
      </c>
      <c r="G2203" s="126">
        <v>6</v>
      </c>
      <c r="H2203" s="126">
        <v>2023</v>
      </c>
      <c r="I2203" s="126">
        <v>2050</v>
      </c>
      <c r="J2203" s="127">
        <v>1.0826</v>
      </c>
      <c r="K2203" s="127">
        <v>1.0412999999999999</v>
      </c>
      <c r="L2203" s="127">
        <v>0.86709999999999998</v>
      </c>
      <c r="M2203" s="127">
        <v>1.0887</v>
      </c>
      <c r="N2203" s="127">
        <v>0.8125</v>
      </c>
      <c r="O2203" s="127">
        <v>1.0538000000000001</v>
      </c>
      <c r="P2203" s="126">
        <v>2872</v>
      </c>
      <c r="Q2203" s="128">
        <f t="array" ref="Q2203">SUM(IF(($S2203&gt;=4)*($C2203='TaxCred&amp;Subs'!$D$123:$D$127)*($H2203='TaxCred&amp;Subs'!$C$123:$C$127)*($H2203&lt;='TaxCred&amp;Subs'!$C$129),'TaxCred&amp;Subs'!$E$123:$E$127,0))</f>
        <v>0</v>
      </c>
      <c r="R2203" s="174">
        <v>0</v>
      </c>
      <c r="S2203" s="126">
        <v>2</v>
      </c>
      <c r="T2203" s="126" t="s">
        <v>224</v>
      </c>
      <c r="U2203" s="158"/>
      <c r="V2203" s="153" t="str">
        <f t="array" ref="V2203">INDEX(xlRTCLNAME,MATCH(1,(xlRTCLENDU=1)*(xlRTCLEQCL=$D2203),0))</f>
        <v>WOOD_HT</v>
      </c>
      <c r="W2203" s="153" t="str">
        <f t="array" ref="W2203">INDEX(xlRTCLNAME,MATCH(1,(xlRTCLENDU=2)*(xlRTCLEQCL=$F2203),0))</f>
        <v>CENT_AIR</v>
      </c>
      <c r="X2203" s="153" t="str">
        <f t="array" ref="X2203">INDEX(xlRTTYNAME,MATCH(1,(xlRTTYENDU=1)*(xlRTTYEQCL=$D2203)*(xlRTEQTYPE=$E2203),0))</f>
        <v>WOOD_HT2</v>
      </c>
      <c r="Y2203" s="153" t="str">
        <f t="array" ref="Y2203">INDEX(xlRTTYNAME,MATCH(1,(xlRTTYENDU=2)*(xlRTTYEQCL=$F2203)*(xlRTEQTYPE=$G2203),0))</f>
        <v>CENT_AIR2</v>
      </c>
    </row>
    <row r="2204" spans="2:25" x14ac:dyDescent="0.2">
      <c r="B2204" s="126">
        <v>8</v>
      </c>
      <c r="C2204" s="126">
        <v>3</v>
      </c>
      <c r="D2204" s="126">
        <v>9</v>
      </c>
      <c r="E2204" s="126">
        <v>30</v>
      </c>
      <c r="F2204" s="126">
        <v>2</v>
      </c>
      <c r="G2204" s="126">
        <v>5</v>
      </c>
      <c r="H2204" s="126">
        <v>2016</v>
      </c>
      <c r="I2204" s="126">
        <v>2022</v>
      </c>
      <c r="J2204" s="127">
        <v>1.07</v>
      </c>
      <c r="K2204" s="127">
        <v>1.07</v>
      </c>
      <c r="L2204" s="127">
        <v>0.77259999999999995</v>
      </c>
      <c r="M2204" s="127">
        <v>1.0437000000000001</v>
      </c>
      <c r="N2204" s="127">
        <v>0.8034</v>
      </c>
      <c r="O2204" s="127">
        <v>1.0538000000000001</v>
      </c>
      <c r="P2204" s="126">
        <v>5501</v>
      </c>
      <c r="Q2204" s="128">
        <f t="array" ref="Q2204">SUM(IF(($S2204&gt;=4)*($C2204='TaxCred&amp;Subs'!$D$123:$D$127)*($H2204='TaxCred&amp;Subs'!$C$123:$C$127)*($H2204&lt;='TaxCred&amp;Subs'!$C$129),'TaxCred&amp;Subs'!$E$123:$E$127,0))</f>
        <v>0</v>
      </c>
      <c r="R2204" s="174">
        <v>0</v>
      </c>
      <c r="S2204" s="126">
        <v>2</v>
      </c>
      <c r="T2204" s="126" t="s">
        <v>224</v>
      </c>
      <c r="U2204" s="158"/>
      <c r="V2204" s="153" t="str">
        <f t="array" ref="V2204">INDEX(xlRTCLNAME,MATCH(1,(xlRTCLENDU=1)*(xlRTCLEQCL=$D2204),0))</f>
        <v>WOOD_HT</v>
      </c>
      <c r="W2204" s="153" t="str">
        <f t="array" ref="W2204">INDEX(xlRTCLNAME,MATCH(1,(xlRTCLENDU=2)*(xlRTCLEQCL=$F2204),0))</f>
        <v>CENT_AIR</v>
      </c>
      <c r="X2204" s="153" t="str">
        <f t="array" ref="X2204">INDEX(xlRTTYNAME,MATCH(1,(xlRTTYENDU=1)*(xlRTTYEQCL=$D2204)*(xlRTEQTYPE=$E2204),0))</f>
        <v>WOOD_HT2</v>
      </c>
      <c r="Y2204" s="153" t="str">
        <f t="array" ref="Y2204">INDEX(xlRTTYNAME,MATCH(1,(xlRTTYENDU=2)*(xlRTTYEQCL=$F2204)*(xlRTEQTYPE=$G2204),0))</f>
        <v>CENT_AIR1</v>
      </c>
    </row>
    <row r="2205" spans="2:25" x14ac:dyDescent="0.2">
      <c r="B2205" s="126">
        <v>8</v>
      </c>
      <c r="C2205" s="126">
        <v>3</v>
      </c>
      <c r="D2205" s="126">
        <v>9</v>
      </c>
      <c r="E2205" s="126">
        <v>30</v>
      </c>
      <c r="F2205" s="126">
        <v>2</v>
      </c>
      <c r="G2205" s="126">
        <v>6</v>
      </c>
      <c r="H2205" s="126">
        <v>2023</v>
      </c>
      <c r="I2205" s="126">
        <v>2050</v>
      </c>
      <c r="J2205" s="127">
        <v>1.07</v>
      </c>
      <c r="K2205" s="127">
        <v>1.07</v>
      </c>
      <c r="L2205" s="127">
        <v>0.77259999999999995</v>
      </c>
      <c r="M2205" s="127">
        <v>1.0437000000000001</v>
      </c>
      <c r="N2205" s="127">
        <v>0.8034</v>
      </c>
      <c r="O2205" s="127">
        <v>1.0538000000000001</v>
      </c>
      <c r="P2205" s="126">
        <v>5501</v>
      </c>
      <c r="Q2205" s="128">
        <f t="array" ref="Q2205">SUM(IF(($S2205&gt;=4)*($C2205='TaxCred&amp;Subs'!$D$123:$D$127)*($H2205='TaxCred&amp;Subs'!$C$123:$C$127)*($H2205&lt;='TaxCred&amp;Subs'!$C$129),'TaxCred&amp;Subs'!$E$123:$E$127,0))</f>
        <v>0</v>
      </c>
      <c r="R2205" s="174">
        <v>0</v>
      </c>
      <c r="S2205" s="126">
        <v>2</v>
      </c>
      <c r="T2205" s="126" t="s">
        <v>224</v>
      </c>
      <c r="U2205" s="158"/>
      <c r="V2205" s="153" t="str">
        <f t="array" ref="V2205">INDEX(xlRTCLNAME,MATCH(1,(xlRTCLENDU=1)*(xlRTCLEQCL=$D2205),0))</f>
        <v>WOOD_HT</v>
      </c>
      <c r="W2205" s="153" t="str">
        <f t="array" ref="W2205">INDEX(xlRTCLNAME,MATCH(1,(xlRTCLENDU=2)*(xlRTCLEQCL=$F2205),0))</f>
        <v>CENT_AIR</v>
      </c>
      <c r="X2205" s="153" t="str">
        <f t="array" ref="X2205">INDEX(xlRTTYNAME,MATCH(1,(xlRTTYENDU=1)*(xlRTTYEQCL=$D2205)*(xlRTEQTYPE=$E2205),0))</f>
        <v>WOOD_HT2</v>
      </c>
      <c r="Y2205" s="153" t="str">
        <f t="array" ref="Y2205">INDEX(xlRTTYNAME,MATCH(1,(xlRTTYENDU=2)*(xlRTTYEQCL=$F2205)*(xlRTEQTYPE=$G2205),0))</f>
        <v>CENT_AIR2</v>
      </c>
    </row>
    <row r="2206" spans="2:25" x14ac:dyDescent="0.2">
      <c r="B2206" s="126">
        <v>9</v>
      </c>
      <c r="C2206" s="126">
        <v>3</v>
      </c>
      <c r="D2206" s="126">
        <v>9</v>
      </c>
      <c r="E2206" s="126">
        <v>30</v>
      </c>
      <c r="F2206" s="126">
        <v>2</v>
      </c>
      <c r="G2206" s="126">
        <v>5</v>
      </c>
      <c r="H2206" s="126">
        <v>2016</v>
      </c>
      <c r="I2206" s="126">
        <v>2022</v>
      </c>
      <c r="J2206" s="127">
        <v>1.0845</v>
      </c>
      <c r="K2206" s="127">
        <v>1.0658000000000001</v>
      </c>
      <c r="L2206" s="127">
        <v>0.82230000000000003</v>
      </c>
      <c r="M2206" s="127">
        <v>1.1374</v>
      </c>
      <c r="N2206" s="127">
        <v>0.84079999999999999</v>
      </c>
      <c r="O2206" s="127">
        <v>1.0538000000000001</v>
      </c>
      <c r="P2206" s="126">
        <v>6573</v>
      </c>
      <c r="Q2206" s="128">
        <f t="array" ref="Q2206">SUM(IF(($S2206&gt;=4)*($C2206='TaxCred&amp;Subs'!$D$123:$D$127)*($H2206='TaxCred&amp;Subs'!$C$123:$C$127)*($H2206&lt;='TaxCred&amp;Subs'!$C$129),'TaxCred&amp;Subs'!$E$123:$E$127,0))</f>
        <v>0</v>
      </c>
      <c r="R2206" s="174">
        <v>0</v>
      </c>
      <c r="S2206" s="126">
        <v>2</v>
      </c>
      <c r="T2206" s="126" t="s">
        <v>224</v>
      </c>
      <c r="U2206" s="158"/>
      <c r="V2206" s="153" t="str">
        <f t="array" ref="V2206">INDEX(xlRTCLNAME,MATCH(1,(xlRTCLENDU=1)*(xlRTCLEQCL=$D2206),0))</f>
        <v>WOOD_HT</v>
      </c>
      <c r="W2206" s="153" t="str">
        <f t="array" ref="W2206">INDEX(xlRTCLNAME,MATCH(1,(xlRTCLENDU=2)*(xlRTCLEQCL=$F2206),0))</f>
        <v>CENT_AIR</v>
      </c>
      <c r="X2206" s="153" t="str">
        <f t="array" ref="X2206">INDEX(xlRTTYNAME,MATCH(1,(xlRTTYENDU=1)*(xlRTTYEQCL=$D2206)*(xlRTEQTYPE=$E2206),0))</f>
        <v>WOOD_HT2</v>
      </c>
      <c r="Y2206" s="153" t="str">
        <f t="array" ref="Y2206">INDEX(xlRTTYNAME,MATCH(1,(xlRTTYENDU=2)*(xlRTTYEQCL=$F2206)*(xlRTEQTYPE=$G2206),0))</f>
        <v>CENT_AIR1</v>
      </c>
    </row>
    <row r="2207" spans="2:25" x14ac:dyDescent="0.2">
      <c r="B2207" s="126">
        <v>9</v>
      </c>
      <c r="C2207" s="126">
        <v>3</v>
      </c>
      <c r="D2207" s="126">
        <v>9</v>
      </c>
      <c r="E2207" s="126">
        <v>30</v>
      </c>
      <c r="F2207" s="126">
        <v>2</v>
      </c>
      <c r="G2207" s="126">
        <v>6</v>
      </c>
      <c r="H2207" s="126">
        <v>2023</v>
      </c>
      <c r="I2207" s="126">
        <v>2050</v>
      </c>
      <c r="J2207" s="127">
        <v>1.0845</v>
      </c>
      <c r="K2207" s="127">
        <v>1.0658000000000001</v>
      </c>
      <c r="L2207" s="127">
        <v>0.82230000000000003</v>
      </c>
      <c r="M2207" s="127">
        <v>1.1374</v>
      </c>
      <c r="N2207" s="127">
        <v>0.84079999999999999</v>
      </c>
      <c r="O2207" s="127">
        <v>1.0538000000000001</v>
      </c>
      <c r="P2207" s="126">
        <v>6573</v>
      </c>
      <c r="Q2207" s="128">
        <f t="array" ref="Q2207">SUM(IF(($S2207&gt;=4)*($C2207='TaxCred&amp;Subs'!$D$123:$D$127)*($H2207='TaxCred&amp;Subs'!$C$123:$C$127)*($H2207&lt;='TaxCred&amp;Subs'!$C$129),'TaxCred&amp;Subs'!$E$123:$E$127,0))</f>
        <v>0</v>
      </c>
      <c r="R2207" s="174">
        <v>0</v>
      </c>
      <c r="S2207" s="126">
        <v>2</v>
      </c>
      <c r="T2207" s="126" t="s">
        <v>224</v>
      </c>
      <c r="U2207" s="158"/>
      <c r="V2207" s="153" t="str">
        <f t="array" ref="V2207">INDEX(xlRTCLNAME,MATCH(1,(xlRTCLENDU=1)*(xlRTCLEQCL=$D2207),0))</f>
        <v>WOOD_HT</v>
      </c>
      <c r="W2207" s="153" t="str">
        <f t="array" ref="W2207">INDEX(xlRTCLNAME,MATCH(1,(xlRTCLENDU=2)*(xlRTCLEQCL=$F2207),0))</f>
        <v>CENT_AIR</v>
      </c>
      <c r="X2207" s="153" t="str">
        <f t="array" ref="X2207">INDEX(xlRTTYNAME,MATCH(1,(xlRTTYENDU=1)*(xlRTTYEQCL=$D2207)*(xlRTEQTYPE=$E2207),0))</f>
        <v>WOOD_HT2</v>
      </c>
      <c r="Y2207" s="153" t="str">
        <f t="array" ref="Y2207">INDEX(xlRTTYNAME,MATCH(1,(xlRTTYENDU=2)*(xlRTTYEQCL=$F2207)*(xlRTEQTYPE=$G2207),0))</f>
        <v>CENT_AIR2</v>
      </c>
    </row>
    <row r="2208" spans="2:25" x14ac:dyDescent="0.2">
      <c r="B2208" s="126">
        <v>1</v>
      </c>
      <c r="C2208" s="126">
        <v>3</v>
      </c>
      <c r="D2208" s="126">
        <v>10</v>
      </c>
      <c r="E2208" s="126">
        <v>32</v>
      </c>
      <c r="F2208" s="126">
        <v>4</v>
      </c>
      <c r="G2208" s="126">
        <v>13</v>
      </c>
      <c r="H2208" s="126">
        <v>2016</v>
      </c>
      <c r="I2208" s="126">
        <v>2050</v>
      </c>
      <c r="J2208" s="127">
        <v>1.07</v>
      </c>
      <c r="K2208" s="127">
        <v>1.07</v>
      </c>
      <c r="L2208" s="127">
        <v>0.66659999999999997</v>
      </c>
      <c r="M2208" s="127">
        <v>1.0437000000000001</v>
      </c>
      <c r="N2208" s="127">
        <v>0.7883</v>
      </c>
      <c r="O2208" s="127">
        <v>1.0538000000000001</v>
      </c>
      <c r="P2208" s="126">
        <v>6643</v>
      </c>
      <c r="Q2208" s="128">
        <f t="array" ref="Q2208">SUM(IF(($S2208&gt;=4)*($C2208='TaxCred&amp;Subs'!$D$123:$D$127)*($H2208='TaxCred&amp;Subs'!$C$123:$C$127)*($H2208&lt;='TaxCred&amp;Subs'!$C$129),'TaxCred&amp;Subs'!$E$123:$E$127,0))</f>
        <v>0</v>
      </c>
      <c r="R2208" s="174">
        <v>0</v>
      </c>
      <c r="S2208" s="126">
        <v>2</v>
      </c>
      <c r="T2208" s="126" t="s">
        <v>224</v>
      </c>
      <c r="U2208" s="158"/>
      <c r="V2208" s="153" t="str">
        <f t="array" ref="V2208">INDEX(xlRTCLNAME,MATCH(1,(xlRTCLENDU=1)*(xlRTCLEQCL=$D2208),0))</f>
        <v>GEO_HP</v>
      </c>
      <c r="W2208" s="153" t="str">
        <f t="array" ref="W2208">INDEX(xlRTCLNAME,MATCH(1,(xlRTCLENDU=2)*(xlRTCLEQCL=$F2208),0))</f>
        <v>GEO_HP</v>
      </c>
      <c r="X2208" s="153" t="str">
        <f t="array" ref="X2208">INDEX(xlRTTYNAME,MATCH(1,(xlRTTYENDU=1)*(xlRTTYEQCL=$D2208)*(xlRTEQTYPE=$E2208),0))</f>
        <v>GEO_HP1</v>
      </c>
      <c r="Y2208" s="153" t="str">
        <f t="array" ref="Y2208">INDEX(xlRTTYNAME,MATCH(1,(xlRTTYENDU=2)*(xlRTTYEQCL=$F2208)*(xlRTEQTYPE=$G2208),0))</f>
        <v>GEO_HP1</v>
      </c>
    </row>
    <row r="2209" spans="2:25" x14ac:dyDescent="0.2">
      <c r="B2209" s="126">
        <v>2</v>
      </c>
      <c r="C2209" s="126">
        <v>3</v>
      </c>
      <c r="D2209" s="126">
        <v>10</v>
      </c>
      <c r="E2209" s="126">
        <v>32</v>
      </c>
      <c r="F2209" s="126">
        <v>4</v>
      </c>
      <c r="G2209" s="126">
        <v>13</v>
      </c>
      <c r="H2209" s="126">
        <v>2016</v>
      </c>
      <c r="I2209" s="126">
        <v>2050</v>
      </c>
      <c r="J2209" s="127">
        <v>1.0832999999999999</v>
      </c>
      <c r="K2209" s="127">
        <v>1.0713999999999999</v>
      </c>
      <c r="L2209" s="127">
        <v>0.85640000000000005</v>
      </c>
      <c r="M2209" s="127">
        <v>1.1524000000000001</v>
      </c>
      <c r="N2209" s="127">
        <v>0.86450000000000005</v>
      </c>
      <c r="O2209" s="127">
        <v>1.0538000000000001</v>
      </c>
      <c r="P2209" s="126">
        <v>6491</v>
      </c>
      <c r="Q2209" s="128">
        <f t="array" ref="Q2209">SUM(IF(($S2209&gt;=4)*($C2209='TaxCred&amp;Subs'!$D$123:$D$127)*($H2209='TaxCred&amp;Subs'!$C$123:$C$127)*($H2209&lt;='TaxCred&amp;Subs'!$C$129),'TaxCred&amp;Subs'!$E$123:$E$127,0))</f>
        <v>0</v>
      </c>
      <c r="R2209" s="174">
        <v>0</v>
      </c>
      <c r="S2209" s="126">
        <v>2</v>
      </c>
      <c r="T2209" s="126" t="s">
        <v>224</v>
      </c>
      <c r="U2209" s="158"/>
      <c r="V2209" s="153" t="str">
        <f t="array" ref="V2209">INDEX(xlRTCLNAME,MATCH(1,(xlRTCLENDU=1)*(xlRTCLEQCL=$D2209),0))</f>
        <v>GEO_HP</v>
      </c>
      <c r="W2209" s="153" t="str">
        <f t="array" ref="W2209">INDEX(xlRTCLNAME,MATCH(1,(xlRTCLENDU=2)*(xlRTCLEQCL=$F2209),0))</f>
        <v>GEO_HP</v>
      </c>
      <c r="X2209" s="153" t="str">
        <f t="array" ref="X2209">INDEX(xlRTTYNAME,MATCH(1,(xlRTTYENDU=1)*(xlRTTYEQCL=$D2209)*(xlRTEQTYPE=$E2209),0))</f>
        <v>GEO_HP1</v>
      </c>
      <c r="Y2209" s="153" t="str">
        <f t="array" ref="Y2209">INDEX(xlRTTYNAME,MATCH(1,(xlRTTYENDU=2)*(xlRTTYEQCL=$F2209)*(xlRTEQTYPE=$G2209),0))</f>
        <v>GEO_HP1</v>
      </c>
    </row>
    <row r="2210" spans="2:25" x14ac:dyDescent="0.2">
      <c r="B2210" s="126">
        <v>3</v>
      </c>
      <c r="C2210" s="126">
        <v>3</v>
      </c>
      <c r="D2210" s="126">
        <v>10</v>
      </c>
      <c r="E2210" s="126">
        <v>32</v>
      </c>
      <c r="F2210" s="126">
        <v>4</v>
      </c>
      <c r="G2210" s="126">
        <v>13</v>
      </c>
      <c r="H2210" s="126">
        <v>2016</v>
      </c>
      <c r="I2210" s="126">
        <v>2050</v>
      </c>
      <c r="J2210" s="127">
        <v>1.07</v>
      </c>
      <c r="K2210" s="127">
        <v>1.07</v>
      </c>
      <c r="L2210" s="127">
        <v>0.75829999999999997</v>
      </c>
      <c r="M2210" s="127">
        <v>1.0837000000000001</v>
      </c>
      <c r="N2210" s="127">
        <v>0.87390000000000001</v>
      </c>
      <c r="O2210" s="127">
        <v>1.0538000000000001</v>
      </c>
      <c r="P2210" s="126">
        <v>6732</v>
      </c>
      <c r="Q2210" s="128">
        <f t="array" ref="Q2210">SUM(IF(($S2210&gt;=4)*($C2210='TaxCred&amp;Subs'!$D$123:$D$127)*($H2210='TaxCred&amp;Subs'!$C$123:$C$127)*($H2210&lt;='TaxCred&amp;Subs'!$C$129),'TaxCred&amp;Subs'!$E$123:$E$127,0))</f>
        <v>0</v>
      </c>
      <c r="R2210" s="174">
        <v>0</v>
      </c>
      <c r="S2210" s="126">
        <v>2</v>
      </c>
      <c r="T2210" s="126" t="s">
        <v>224</v>
      </c>
      <c r="U2210" s="158"/>
      <c r="V2210" s="153" t="str">
        <f t="array" ref="V2210">INDEX(xlRTCLNAME,MATCH(1,(xlRTCLENDU=1)*(xlRTCLEQCL=$D2210),0))</f>
        <v>GEO_HP</v>
      </c>
      <c r="W2210" s="153" t="str">
        <f t="array" ref="W2210">INDEX(xlRTCLNAME,MATCH(1,(xlRTCLENDU=2)*(xlRTCLEQCL=$F2210),0))</f>
        <v>GEO_HP</v>
      </c>
      <c r="X2210" s="153" t="str">
        <f t="array" ref="X2210">INDEX(xlRTTYNAME,MATCH(1,(xlRTTYENDU=1)*(xlRTTYEQCL=$D2210)*(xlRTEQTYPE=$E2210),0))</f>
        <v>GEO_HP1</v>
      </c>
      <c r="Y2210" s="153" t="str">
        <f t="array" ref="Y2210">INDEX(xlRTTYNAME,MATCH(1,(xlRTTYENDU=2)*(xlRTTYEQCL=$F2210)*(xlRTEQTYPE=$G2210),0))</f>
        <v>GEO_HP1</v>
      </c>
    </row>
    <row r="2211" spans="2:25" x14ac:dyDescent="0.2">
      <c r="B2211" s="126">
        <v>4</v>
      </c>
      <c r="C2211" s="126">
        <v>3</v>
      </c>
      <c r="D2211" s="126">
        <v>10</v>
      </c>
      <c r="E2211" s="126">
        <v>32</v>
      </c>
      <c r="F2211" s="126">
        <v>4</v>
      </c>
      <c r="G2211" s="126">
        <v>13</v>
      </c>
      <c r="H2211" s="126">
        <v>2016</v>
      </c>
      <c r="I2211" s="126">
        <v>2050</v>
      </c>
      <c r="J2211" s="127">
        <v>1.07</v>
      </c>
      <c r="K2211" s="127">
        <v>1.07</v>
      </c>
      <c r="L2211" s="127">
        <v>0.67310000000000003</v>
      </c>
      <c r="M2211" s="127">
        <v>1.0674999999999999</v>
      </c>
      <c r="N2211" s="127">
        <v>0.79669999999999996</v>
      </c>
      <c r="O2211" s="127">
        <v>1.0538000000000001</v>
      </c>
      <c r="P2211" s="126">
        <v>5885</v>
      </c>
      <c r="Q2211" s="128">
        <f t="array" ref="Q2211">SUM(IF(($S2211&gt;=4)*($C2211='TaxCred&amp;Subs'!$D$123:$D$127)*($H2211='TaxCred&amp;Subs'!$C$123:$C$127)*($H2211&lt;='TaxCred&amp;Subs'!$C$129),'TaxCred&amp;Subs'!$E$123:$E$127,0))</f>
        <v>0</v>
      </c>
      <c r="R2211" s="174">
        <v>0</v>
      </c>
      <c r="S2211" s="126">
        <v>2</v>
      </c>
      <c r="T2211" s="126" t="s">
        <v>224</v>
      </c>
      <c r="U2211" s="158"/>
      <c r="V2211" s="153" t="str">
        <f t="array" ref="V2211">INDEX(xlRTCLNAME,MATCH(1,(xlRTCLENDU=1)*(xlRTCLEQCL=$D2211),0))</f>
        <v>GEO_HP</v>
      </c>
      <c r="W2211" s="153" t="str">
        <f t="array" ref="W2211">INDEX(xlRTCLNAME,MATCH(1,(xlRTCLENDU=2)*(xlRTCLEQCL=$F2211),0))</f>
        <v>GEO_HP</v>
      </c>
      <c r="X2211" s="153" t="str">
        <f t="array" ref="X2211">INDEX(xlRTTYNAME,MATCH(1,(xlRTTYENDU=1)*(xlRTTYEQCL=$D2211)*(xlRTEQTYPE=$E2211),0))</f>
        <v>GEO_HP1</v>
      </c>
      <c r="Y2211" s="153" t="str">
        <f t="array" ref="Y2211">INDEX(xlRTTYNAME,MATCH(1,(xlRTTYENDU=2)*(xlRTTYEQCL=$F2211)*(xlRTEQTYPE=$G2211),0))</f>
        <v>GEO_HP1</v>
      </c>
    </row>
    <row r="2212" spans="2:25" x14ac:dyDescent="0.2">
      <c r="B2212" s="126">
        <v>5</v>
      </c>
      <c r="C2212" s="126">
        <v>3</v>
      </c>
      <c r="D2212" s="126">
        <v>10</v>
      </c>
      <c r="E2212" s="126">
        <v>32</v>
      </c>
      <c r="F2212" s="126">
        <v>4</v>
      </c>
      <c r="G2212" s="126">
        <v>13</v>
      </c>
      <c r="H2212" s="126">
        <v>2016</v>
      </c>
      <c r="I2212" s="126">
        <v>2050</v>
      </c>
      <c r="J2212" s="127">
        <v>1.1071</v>
      </c>
      <c r="K2212" s="127">
        <v>1.03</v>
      </c>
      <c r="L2212" s="127">
        <v>0.77910000000000001</v>
      </c>
      <c r="M2212" s="127">
        <v>1.0670999999999999</v>
      </c>
      <c r="N2212" s="127">
        <v>0.84109999999999996</v>
      </c>
      <c r="O2212" s="127">
        <v>1.0538000000000001</v>
      </c>
      <c r="P2212" s="126">
        <v>4397</v>
      </c>
      <c r="Q2212" s="128">
        <f t="array" ref="Q2212">SUM(IF(($S2212&gt;=4)*($C2212='TaxCred&amp;Subs'!$D$123:$D$127)*($H2212='TaxCred&amp;Subs'!$C$123:$C$127)*($H2212&lt;='TaxCred&amp;Subs'!$C$129),'TaxCred&amp;Subs'!$E$123:$E$127,0))</f>
        <v>0</v>
      </c>
      <c r="R2212" s="174">
        <v>0</v>
      </c>
      <c r="S2212" s="126">
        <v>2</v>
      </c>
      <c r="T2212" s="126" t="s">
        <v>224</v>
      </c>
      <c r="U2212" s="158"/>
      <c r="V2212" s="153" t="str">
        <f t="array" ref="V2212">INDEX(xlRTCLNAME,MATCH(1,(xlRTCLENDU=1)*(xlRTCLEQCL=$D2212),0))</f>
        <v>GEO_HP</v>
      </c>
      <c r="W2212" s="153" t="str">
        <f t="array" ref="W2212">INDEX(xlRTCLNAME,MATCH(1,(xlRTCLENDU=2)*(xlRTCLEQCL=$F2212),0))</f>
        <v>GEO_HP</v>
      </c>
      <c r="X2212" s="153" t="str">
        <f t="array" ref="X2212">INDEX(xlRTTYNAME,MATCH(1,(xlRTTYENDU=1)*(xlRTTYEQCL=$D2212)*(xlRTEQTYPE=$E2212),0))</f>
        <v>GEO_HP1</v>
      </c>
      <c r="Y2212" s="153" t="str">
        <f t="array" ref="Y2212">INDEX(xlRTTYNAME,MATCH(1,(xlRTTYENDU=2)*(xlRTTYEQCL=$F2212)*(xlRTEQTYPE=$G2212),0))</f>
        <v>GEO_HP1</v>
      </c>
    </row>
    <row r="2213" spans="2:25" x14ac:dyDescent="0.2">
      <c r="B2213" s="126">
        <v>6</v>
      </c>
      <c r="C2213" s="126">
        <v>3</v>
      </c>
      <c r="D2213" s="126">
        <v>10</v>
      </c>
      <c r="E2213" s="126">
        <v>32</v>
      </c>
      <c r="F2213" s="126">
        <v>4</v>
      </c>
      <c r="G2213" s="126">
        <v>13</v>
      </c>
      <c r="H2213" s="126">
        <v>2016</v>
      </c>
      <c r="I2213" s="126">
        <v>2050</v>
      </c>
      <c r="J2213" s="127">
        <v>1.0909</v>
      </c>
      <c r="K2213" s="127">
        <v>1.0588</v>
      </c>
      <c r="L2213" s="127">
        <v>0.7964</v>
      </c>
      <c r="M2213" s="127">
        <v>1.0833999999999999</v>
      </c>
      <c r="N2213" s="127">
        <v>0.80820000000000003</v>
      </c>
      <c r="O2213" s="127">
        <v>1.0538000000000001</v>
      </c>
      <c r="P2213" s="126">
        <v>4280</v>
      </c>
      <c r="Q2213" s="128">
        <f t="array" ref="Q2213">SUM(IF(($S2213&gt;=4)*($C2213='TaxCred&amp;Subs'!$D$123:$D$127)*($H2213='TaxCred&amp;Subs'!$C$123:$C$127)*($H2213&lt;='TaxCred&amp;Subs'!$C$129),'TaxCred&amp;Subs'!$E$123:$E$127,0))</f>
        <v>0</v>
      </c>
      <c r="R2213" s="174">
        <v>0</v>
      </c>
      <c r="S2213" s="126">
        <v>2</v>
      </c>
      <c r="T2213" s="126" t="s">
        <v>224</v>
      </c>
      <c r="U2213" s="158"/>
      <c r="V2213" s="153" t="str">
        <f t="array" ref="V2213">INDEX(xlRTCLNAME,MATCH(1,(xlRTCLENDU=1)*(xlRTCLEQCL=$D2213),0))</f>
        <v>GEO_HP</v>
      </c>
      <c r="W2213" s="153" t="str">
        <f t="array" ref="W2213">INDEX(xlRTCLNAME,MATCH(1,(xlRTCLENDU=2)*(xlRTCLEQCL=$F2213),0))</f>
        <v>GEO_HP</v>
      </c>
      <c r="X2213" s="153" t="str">
        <f t="array" ref="X2213">INDEX(xlRTTYNAME,MATCH(1,(xlRTTYENDU=1)*(xlRTTYEQCL=$D2213)*(xlRTEQTYPE=$E2213),0))</f>
        <v>GEO_HP1</v>
      </c>
      <c r="Y2213" s="153" t="str">
        <f t="array" ref="Y2213">INDEX(xlRTTYNAME,MATCH(1,(xlRTTYENDU=2)*(xlRTTYEQCL=$F2213)*(xlRTEQTYPE=$G2213),0))</f>
        <v>GEO_HP1</v>
      </c>
    </row>
    <row r="2214" spans="2:25" x14ac:dyDescent="0.2">
      <c r="B2214" s="126">
        <v>7</v>
      </c>
      <c r="C2214" s="126">
        <v>3</v>
      </c>
      <c r="D2214" s="126">
        <v>10</v>
      </c>
      <c r="E2214" s="126">
        <v>32</v>
      </c>
      <c r="F2214" s="126">
        <v>4</v>
      </c>
      <c r="G2214" s="126">
        <v>13</v>
      </c>
      <c r="H2214" s="126">
        <v>2016</v>
      </c>
      <c r="I2214" s="126">
        <v>2050</v>
      </c>
      <c r="J2214" s="127">
        <v>1.0968</v>
      </c>
      <c r="K2214" s="127">
        <v>1.036</v>
      </c>
      <c r="L2214" s="127">
        <v>0.89249999999999996</v>
      </c>
      <c r="M2214" s="127">
        <v>1.0866</v>
      </c>
      <c r="N2214" s="127">
        <v>0.81950000000000001</v>
      </c>
      <c r="O2214" s="127">
        <v>1.0538000000000001</v>
      </c>
      <c r="P2214" s="126">
        <v>2643</v>
      </c>
      <c r="Q2214" s="128">
        <f t="array" ref="Q2214">SUM(IF(($S2214&gt;=4)*($C2214='TaxCred&amp;Subs'!$D$123:$D$127)*($H2214='TaxCred&amp;Subs'!$C$123:$C$127)*($H2214&lt;='TaxCred&amp;Subs'!$C$129),'TaxCred&amp;Subs'!$E$123:$E$127,0))</f>
        <v>0</v>
      </c>
      <c r="R2214" s="174">
        <v>0</v>
      </c>
      <c r="S2214" s="126">
        <v>2</v>
      </c>
      <c r="T2214" s="126" t="s">
        <v>224</v>
      </c>
      <c r="U2214" s="158"/>
      <c r="V2214" s="153" t="str">
        <f t="array" ref="V2214">INDEX(xlRTCLNAME,MATCH(1,(xlRTCLENDU=1)*(xlRTCLEQCL=$D2214),0))</f>
        <v>GEO_HP</v>
      </c>
      <c r="W2214" s="153" t="str">
        <f t="array" ref="W2214">INDEX(xlRTCLNAME,MATCH(1,(xlRTCLENDU=2)*(xlRTCLEQCL=$F2214),0))</f>
        <v>GEO_HP</v>
      </c>
      <c r="X2214" s="153" t="str">
        <f t="array" ref="X2214">INDEX(xlRTTYNAME,MATCH(1,(xlRTTYENDU=1)*(xlRTTYEQCL=$D2214)*(xlRTEQTYPE=$E2214),0))</f>
        <v>GEO_HP1</v>
      </c>
      <c r="Y2214" s="153" t="str">
        <f t="array" ref="Y2214">INDEX(xlRTTYNAME,MATCH(1,(xlRTTYENDU=2)*(xlRTTYEQCL=$F2214)*(xlRTEQTYPE=$G2214),0))</f>
        <v>GEO_HP1</v>
      </c>
    </row>
    <row r="2215" spans="2:25" x14ac:dyDescent="0.2">
      <c r="B2215" s="126">
        <v>8</v>
      </c>
      <c r="C2215" s="126">
        <v>3</v>
      </c>
      <c r="D2215" s="126">
        <v>10</v>
      </c>
      <c r="E2215" s="126">
        <v>32</v>
      </c>
      <c r="F2215" s="126">
        <v>4</v>
      </c>
      <c r="G2215" s="126">
        <v>13</v>
      </c>
      <c r="H2215" s="126">
        <v>2016</v>
      </c>
      <c r="I2215" s="126">
        <v>2050</v>
      </c>
      <c r="J2215" s="127">
        <v>1.07</v>
      </c>
      <c r="K2215" s="127">
        <v>1.07</v>
      </c>
      <c r="L2215" s="127">
        <v>0.75580000000000003</v>
      </c>
      <c r="M2215" s="127">
        <v>1.0437000000000001</v>
      </c>
      <c r="N2215" s="127">
        <v>0.81950000000000001</v>
      </c>
      <c r="O2215" s="127">
        <v>1.0538000000000001</v>
      </c>
      <c r="P2215" s="126">
        <v>5501</v>
      </c>
      <c r="Q2215" s="128">
        <f t="array" ref="Q2215">SUM(IF(($S2215&gt;=4)*($C2215='TaxCred&amp;Subs'!$D$123:$D$127)*($H2215='TaxCred&amp;Subs'!$C$123:$C$127)*($H2215&lt;='TaxCred&amp;Subs'!$C$129),'TaxCred&amp;Subs'!$E$123:$E$127,0))</f>
        <v>0</v>
      </c>
      <c r="R2215" s="174">
        <v>0</v>
      </c>
      <c r="S2215" s="126">
        <v>2</v>
      </c>
      <c r="T2215" s="126" t="s">
        <v>224</v>
      </c>
      <c r="U2215" s="158"/>
      <c r="V2215" s="153" t="str">
        <f t="array" ref="V2215">INDEX(xlRTCLNAME,MATCH(1,(xlRTCLENDU=1)*(xlRTCLEQCL=$D2215),0))</f>
        <v>GEO_HP</v>
      </c>
      <c r="W2215" s="153" t="str">
        <f t="array" ref="W2215">INDEX(xlRTCLNAME,MATCH(1,(xlRTCLENDU=2)*(xlRTCLEQCL=$F2215),0))</f>
        <v>GEO_HP</v>
      </c>
      <c r="X2215" s="153" t="str">
        <f t="array" ref="X2215">INDEX(xlRTTYNAME,MATCH(1,(xlRTTYENDU=1)*(xlRTTYEQCL=$D2215)*(xlRTEQTYPE=$E2215),0))</f>
        <v>GEO_HP1</v>
      </c>
      <c r="Y2215" s="153" t="str">
        <f t="array" ref="Y2215">INDEX(xlRTTYNAME,MATCH(1,(xlRTTYENDU=2)*(xlRTTYEQCL=$F2215)*(xlRTEQTYPE=$G2215),0))</f>
        <v>GEO_HP1</v>
      </c>
    </row>
    <row r="2216" spans="2:25" x14ac:dyDescent="0.2">
      <c r="B2216" s="126">
        <v>9</v>
      </c>
      <c r="C2216" s="126">
        <v>3</v>
      </c>
      <c r="D2216" s="126">
        <v>10</v>
      </c>
      <c r="E2216" s="126">
        <v>32</v>
      </c>
      <c r="F2216" s="126">
        <v>4</v>
      </c>
      <c r="G2216" s="126">
        <v>13</v>
      </c>
      <c r="H2216" s="126">
        <v>2016</v>
      </c>
      <c r="I2216" s="126">
        <v>2050</v>
      </c>
      <c r="J2216" s="127">
        <v>1.0857000000000001</v>
      </c>
      <c r="K2216" s="127">
        <v>1.0611999999999999</v>
      </c>
      <c r="L2216" s="127">
        <v>0.84330000000000005</v>
      </c>
      <c r="M2216" s="127">
        <v>1.1561999999999999</v>
      </c>
      <c r="N2216" s="127">
        <v>0.85860000000000003</v>
      </c>
      <c r="O2216" s="127">
        <v>1.0538000000000001</v>
      </c>
      <c r="P2216" s="126">
        <v>5846</v>
      </c>
      <c r="Q2216" s="128">
        <f t="array" ref="Q2216">SUM(IF(($S2216&gt;=4)*($C2216='TaxCred&amp;Subs'!$D$123:$D$127)*($H2216='TaxCred&amp;Subs'!$C$123:$C$127)*($H2216&lt;='TaxCred&amp;Subs'!$C$129),'TaxCred&amp;Subs'!$E$123:$E$127,0))</f>
        <v>0</v>
      </c>
      <c r="R2216" s="174">
        <v>0</v>
      </c>
      <c r="S2216" s="126">
        <v>2</v>
      </c>
      <c r="T2216" s="126" t="s">
        <v>224</v>
      </c>
      <c r="U2216" s="158"/>
      <c r="V2216" s="153" t="str">
        <f t="array" ref="V2216">INDEX(xlRTCLNAME,MATCH(1,(xlRTCLENDU=1)*(xlRTCLEQCL=$D2216),0))</f>
        <v>GEO_HP</v>
      </c>
      <c r="W2216" s="153" t="str">
        <f t="array" ref="W2216">INDEX(xlRTCLNAME,MATCH(1,(xlRTCLENDU=2)*(xlRTCLEQCL=$F2216),0))</f>
        <v>GEO_HP</v>
      </c>
      <c r="X2216" s="153" t="str">
        <f t="array" ref="X2216">INDEX(xlRTTYNAME,MATCH(1,(xlRTTYENDU=1)*(xlRTTYEQCL=$D2216)*(xlRTEQTYPE=$E2216),0))</f>
        <v>GEO_HP1</v>
      </c>
      <c r="Y2216" s="153" t="str">
        <f t="array" ref="Y2216">INDEX(xlRTTYNAME,MATCH(1,(xlRTTYENDU=2)*(xlRTTYEQCL=$F2216)*(xlRTEQTYPE=$G2216),0))</f>
        <v>GEO_HP1</v>
      </c>
    </row>
    <row r="2217" spans="2:25" x14ac:dyDescent="0.2">
      <c r="B2217" s="126">
        <v>1</v>
      </c>
      <c r="C2217" s="126">
        <v>3</v>
      </c>
      <c r="D2217" s="126">
        <v>11</v>
      </c>
      <c r="E2217" s="126">
        <v>36</v>
      </c>
      <c r="F2217" s="126">
        <v>5</v>
      </c>
      <c r="G2217" s="126">
        <v>17</v>
      </c>
      <c r="H2217" s="126">
        <v>2016</v>
      </c>
      <c r="I2217" s="126">
        <v>2050</v>
      </c>
      <c r="J2217" s="127">
        <v>1.07</v>
      </c>
      <c r="K2217" s="127">
        <v>1.07</v>
      </c>
      <c r="L2217" s="127">
        <v>0.68079999999999996</v>
      </c>
      <c r="M2217" s="127">
        <v>1.0588</v>
      </c>
      <c r="N2217" s="127">
        <v>0.77800000000000002</v>
      </c>
      <c r="O2217" s="127">
        <v>1.0538000000000001</v>
      </c>
      <c r="P2217" s="126">
        <v>6643</v>
      </c>
      <c r="Q2217" s="128">
        <f t="array" ref="Q2217">SUM(IF(($S2217&gt;=4)*($C2217='TaxCred&amp;Subs'!$D$123:$D$127)*($H2217='TaxCred&amp;Subs'!$C$123:$C$127)*($H2217&lt;='TaxCred&amp;Subs'!$C$129),'TaxCred&amp;Subs'!$E$123:$E$127,0))</f>
        <v>0</v>
      </c>
      <c r="R2217" s="174">
        <v>0</v>
      </c>
      <c r="S2217" s="126">
        <v>2</v>
      </c>
      <c r="T2217" s="126" t="s">
        <v>224</v>
      </c>
      <c r="U2217" s="158"/>
      <c r="V2217" s="153" t="str">
        <f t="array" ref="V2217">INDEX(xlRTCLNAME,MATCH(1,(xlRTCLENDU=1)*(xlRTCLEQCL=$D2217),0))</f>
        <v>NG_HP</v>
      </c>
      <c r="W2217" s="153" t="str">
        <f t="array" ref="W2217">INDEX(xlRTCLNAME,MATCH(1,(xlRTCLENDU=2)*(xlRTCLEQCL=$F2217),0))</f>
        <v>NG_HP</v>
      </c>
      <c r="X2217" s="153" t="str">
        <f t="array" ref="X2217">INDEX(xlRTTYNAME,MATCH(1,(xlRTTYENDU=1)*(xlRTTYEQCL=$D2217)*(xlRTEQTYPE=$E2217),0))</f>
        <v>NG_HP2</v>
      </c>
      <c r="Y2217" s="153" t="str">
        <f t="array" ref="Y2217">INDEX(xlRTTYNAME,MATCH(1,(xlRTTYENDU=2)*(xlRTTYEQCL=$F2217)*(xlRTEQTYPE=$G2217),0))</f>
        <v>NG_HP2</v>
      </c>
    </row>
    <row r="2218" spans="2:25" x14ac:dyDescent="0.2">
      <c r="B2218" s="126">
        <v>2</v>
      </c>
      <c r="C2218" s="126">
        <v>3</v>
      </c>
      <c r="D2218" s="126">
        <v>11</v>
      </c>
      <c r="E2218" s="126">
        <v>36</v>
      </c>
      <c r="F2218" s="126">
        <v>5</v>
      </c>
      <c r="G2218" s="126">
        <v>17</v>
      </c>
      <c r="H2218" s="126">
        <v>2016</v>
      </c>
      <c r="I2218" s="126">
        <v>2050</v>
      </c>
      <c r="J2218" s="127">
        <v>1.0670999999999999</v>
      </c>
      <c r="K2218" s="127">
        <v>1.0638000000000001</v>
      </c>
      <c r="L2218" s="127">
        <v>0.88700000000000001</v>
      </c>
      <c r="M2218" s="127">
        <v>1.1462000000000001</v>
      </c>
      <c r="N2218" s="127">
        <v>0.84609999999999996</v>
      </c>
      <c r="O2218" s="127">
        <v>1.0538000000000001</v>
      </c>
      <c r="P2218" s="126">
        <v>5017</v>
      </c>
      <c r="Q2218" s="128">
        <f t="array" ref="Q2218">SUM(IF(($S2218&gt;=4)*($C2218='TaxCred&amp;Subs'!$D$123:$D$127)*($H2218='TaxCred&amp;Subs'!$C$123:$C$127)*($H2218&lt;='TaxCred&amp;Subs'!$C$129),'TaxCred&amp;Subs'!$E$123:$E$127,0))</f>
        <v>0</v>
      </c>
      <c r="R2218" s="174">
        <v>0</v>
      </c>
      <c r="S2218" s="126">
        <v>2</v>
      </c>
      <c r="T2218" s="126" t="s">
        <v>224</v>
      </c>
      <c r="U2218" s="158"/>
      <c r="V2218" s="153" t="str">
        <f t="array" ref="V2218">INDEX(xlRTCLNAME,MATCH(1,(xlRTCLENDU=1)*(xlRTCLEQCL=$D2218),0))</f>
        <v>NG_HP</v>
      </c>
      <c r="W2218" s="153" t="str">
        <f t="array" ref="W2218">INDEX(xlRTCLNAME,MATCH(1,(xlRTCLENDU=2)*(xlRTCLEQCL=$F2218),0))</f>
        <v>NG_HP</v>
      </c>
      <c r="X2218" s="153" t="str">
        <f t="array" ref="X2218">INDEX(xlRTTYNAME,MATCH(1,(xlRTTYENDU=1)*(xlRTTYEQCL=$D2218)*(xlRTEQTYPE=$E2218),0))</f>
        <v>NG_HP2</v>
      </c>
      <c r="Y2218" s="153" t="str">
        <f t="array" ref="Y2218">INDEX(xlRTTYNAME,MATCH(1,(xlRTTYENDU=2)*(xlRTTYEQCL=$F2218)*(xlRTEQTYPE=$G2218),0))</f>
        <v>NG_HP2</v>
      </c>
    </row>
    <row r="2219" spans="2:25" x14ac:dyDescent="0.2">
      <c r="B2219" s="126">
        <v>3</v>
      </c>
      <c r="C2219" s="126">
        <v>3</v>
      </c>
      <c r="D2219" s="126">
        <v>11</v>
      </c>
      <c r="E2219" s="126">
        <v>36</v>
      </c>
      <c r="F2219" s="126">
        <v>5</v>
      </c>
      <c r="G2219" s="126">
        <v>17</v>
      </c>
      <c r="H2219" s="126">
        <v>2016</v>
      </c>
      <c r="I2219" s="126">
        <v>2050</v>
      </c>
      <c r="J2219" s="127">
        <v>1.07</v>
      </c>
      <c r="K2219" s="127">
        <v>1.07</v>
      </c>
      <c r="L2219" s="127">
        <v>0.76580000000000004</v>
      </c>
      <c r="M2219" s="127">
        <v>1.0925</v>
      </c>
      <c r="N2219" s="127">
        <v>0.8498</v>
      </c>
      <c r="O2219" s="127">
        <v>1.0538000000000001</v>
      </c>
      <c r="P2219" s="126">
        <v>6732</v>
      </c>
      <c r="Q2219" s="128">
        <f t="array" ref="Q2219">SUM(IF(($S2219&gt;=4)*($C2219='TaxCred&amp;Subs'!$D$123:$D$127)*($H2219='TaxCred&amp;Subs'!$C$123:$C$127)*($H2219&lt;='TaxCred&amp;Subs'!$C$129),'TaxCred&amp;Subs'!$E$123:$E$127,0))</f>
        <v>0</v>
      </c>
      <c r="R2219" s="174">
        <v>0</v>
      </c>
      <c r="S2219" s="126">
        <v>2</v>
      </c>
      <c r="T2219" s="126" t="s">
        <v>224</v>
      </c>
      <c r="U2219" s="158"/>
      <c r="V2219" s="153" t="str">
        <f t="array" ref="V2219">INDEX(xlRTCLNAME,MATCH(1,(xlRTCLENDU=1)*(xlRTCLEQCL=$D2219),0))</f>
        <v>NG_HP</v>
      </c>
      <c r="W2219" s="153" t="str">
        <f t="array" ref="W2219">INDEX(xlRTCLNAME,MATCH(1,(xlRTCLENDU=2)*(xlRTCLEQCL=$F2219),0))</f>
        <v>NG_HP</v>
      </c>
      <c r="X2219" s="153" t="str">
        <f t="array" ref="X2219">INDEX(xlRTTYNAME,MATCH(1,(xlRTTYENDU=1)*(xlRTTYEQCL=$D2219)*(xlRTEQTYPE=$E2219),0))</f>
        <v>NG_HP2</v>
      </c>
      <c r="Y2219" s="153" t="str">
        <f t="array" ref="Y2219">INDEX(xlRTTYNAME,MATCH(1,(xlRTTYENDU=2)*(xlRTTYEQCL=$F2219)*(xlRTEQTYPE=$G2219),0))</f>
        <v>NG_HP2</v>
      </c>
    </row>
    <row r="2220" spans="2:25" x14ac:dyDescent="0.2">
      <c r="B2220" s="126">
        <v>4</v>
      </c>
      <c r="C2220" s="126">
        <v>3</v>
      </c>
      <c r="D2220" s="126">
        <v>11</v>
      </c>
      <c r="E2220" s="126">
        <v>36</v>
      </c>
      <c r="F2220" s="126">
        <v>5</v>
      </c>
      <c r="G2220" s="126">
        <v>17</v>
      </c>
      <c r="H2220" s="126">
        <v>2016</v>
      </c>
      <c r="I2220" s="126">
        <v>2050</v>
      </c>
      <c r="J2220" s="127">
        <v>1.07</v>
      </c>
      <c r="K2220" s="127">
        <v>1.07</v>
      </c>
      <c r="L2220" s="127">
        <v>0.68620000000000003</v>
      </c>
      <c r="M2220" s="127">
        <v>1.0580000000000001</v>
      </c>
      <c r="N2220" s="127">
        <v>0.77659999999999996</v>
      </c>
      <c r="O2220" s="127">
        <v>1.0538000000000001</v>
      </c>
      <c r="P2220" s="126">
        <v>5885</v>
      </c>
      <c r="Q2220" s="128">
        <f t="array" ref="Q2220">SUM(IF(($S2220&gt;=4)*($C2220='TaxCred&amp;Subs'!$D$123:$D$127)*($H2220='TaxCred&amp;Subs'!$C$123:$C$127)*($H2220&lt;='TaxCred&amp;Subs'!$C$129),'TaxCred&amp;Subs'!$E$123:$E$127,0))</f>
        <v>0</v>
      </c>
      <c r="R2220" s="174">
        <v>0</v>
      </c>
      <c r="S2220" s="126">
        <v>2</v>
      </c>
      <c r="T2220" s="126" t="s">
        <v>224</v>
      </c>
      <c r="U2220" s="158"/>
      <c r="V2220" s="153" t="str">
        <f t="array" ref="V2220">INDEX(xlRTCLNAME,MATCH(1,(xlRTCLENDU=1)*(xlRTCLEQCL=$D2220),0))</f>
        <v>NG_HP</v>
      </c>
      <c r="W2220" s="153" t="str">
        <f t="array" ref="W2220">INDEX(xlRTCLNAME,MATCH(1,(xlRTCLENDU=2)*(xlRTCLEQCL=$F2220),0))</f>
        <v>NG_HP</v>
      </c>
      <c r="X2220" s="153" t="str">
        <f t="array" ref="X2220">INDEX(xlRTTYNAME,MATCH(1,(xlRTTYENDU=1)*(xlRTTYEQCL=$D2220)*(xlRTEQTYPE=$E2220),0))</f>
        <v>NG_HP2</v>
      </c>
      <c r="Y2220" s="153" t="str">
        <f t="array" ref="Y2220">INDEX(xlRTTYNAME,MATCH(1,(xlRTTYENDU=2)*(xlRTTYEQCL=$F2220)*(xlRTEQTYPE=$G2220),0))</f>
        <v>NG_HP2</v>
      </c>
    </row>
    <row r="2221" spans="2:25" x14ac:dyDescent="0.2">
      <c r="B2221" s="126">
        <v>5</v>
      </c>
      <c r="C2221" s="126">
        <v>3</v>
      </c>
      <c r="D2221" s="126">
        <v>11</v>
      </c>
      <c r="E2221" s="126">
        <v>36</v>
      </c>
      <c r="F2221" s="126">
        <v>5</v>
      </c>
      <c r="G2221" s="126">
        <v>17</v>
      </c>
      <c r="H2221" s="126">
        <v>2016</v>
      </c>
      <c r="I2221" s="126">
        <v>2050</v>
      </c>
      <c r="J2221" s="127">
        <v>1.0559000000000001</v>
      </c>
      <c r="K2221" s="127">
        <v>1.0444</v>
      </c>
      <c r="L2221" s="127">
        <v>0.86729999999999996</v>
      </c>
      <c r="M2221" s="127">
        <v>1.0669</v>
      </c>
      <c r="N2221" s="127">
        <v>0.83460000000000001</v>
      </c>
      <c r="O2221" s="127">
        <v>1.0538000000000001</v>
      </c>
      <c r="P2221" s="126">
        <v>3419</v>
      </c>
      <c r="Q2221" s="128">
        <f t="array" ref="Q2221">SUM(IF(($S2221&gt;=4)*($C2221='TaxCred&amp;Subs'!$D$123:$D$127)*($H2221='TaxCred&amp;Subs'!$C$123:$C$127)*($H2221&lt;='TaxCred&amp;Subs'!$C$129),'TaxCred&amp;Subs'!$E$123:$E$127,0))</f>
        <v>0</v>
      </c>
      <c r="R2221" s="174">
        <v>0</v>
      </c>
      <c r="S2221" s="126">
        <v>2</v>
      </c>
      <c r="T2221" s="126" t="s">
        <v>224</v>
      </c>
      <c r="U2221" s="158"/>
      <c r="V2221" s="153" t="str">
        <f t="array" ref="V2221">INDEX(xlRTCLNAME,MATCH(1,(xlRTCLENDU=1)*(xlRTCLEQCL=$D2221),0))</f>
        <v>NG_HP</v>
      </c>
      <c r="W2221" s="153" t="str">
        <f t="array" ref="W2221">INDEX(xlRTCLNAME,MATCH(1,(xlRTCLENDU=2)*(xlRTCLEQCL=$F2221),0))</f>
        <v>NG_HP</v>
      </c>
      <c r="X2221" s="153" t="str">
        <f t="array" ref="X2221">INDEX(xlRTTYNAME,MATCH(1,(xlRTTYENDU=1)*(xlRTTYEQCL=$D2221)*(xlRTEQTYPE=$E2221),0))</f>
        <v>NG_HP2</v>
      </c>
      <c r="Y2221" s="153" t="str">
        <f t="array" ref="Y2221">INDEX(xlRTTYNAME,MATCH(1,(xlRTTYENDU=2)*(xlRTTYEQCL=$F2221)*(xlRTEQTYPE=$G2221),0))</f>
        <v>NG_HP2</v>
      </c>
    </row>
    <row r="2222" spans="2:25" x14ac:dyDescent="0.2">
      <c r="B2222" s="126">
        <v>6</v>
      </c>
      <c r="C2222" s="126">
        <v>3</v>
      </c>
      <c r="D2222" s="126">
        <v>11</v>
      </c>
      <c r="E2222" s="126">
        <v>36</v>
      </c>
      <c r="F2222" s="126">
        <v>5</v>
      </c>
      <c r="G2222" s="126">
        <v>17</v>
      </c>
      <c r="H2222" s="126">
        <v>2016</v>
      </c>
      <c r="I2222" s="126">
        <v>2050</v>
      </c>
      <c r="J2222" s="127">
        <v>1.0872999999999999</v>
      </c>
      <c r="K2222" s="127">
        <v>1.0581</v>
      </c>
      <c r="L2222" s="127">
        <v>0.83140000000000003</v>
      </c>
      <c r="M2222" s="127">
        <v>1.0811999999999999</v>
      </c>
      <c r="N2222" s="127">
        <v>0.8044</v>
      </c>
      <c r="O2222" s="127">
        <v>1.0538000000000001</v>
      </c>
      <c r="P2222" s="126">
        <v>3827</v>
      </c>
      <c r="Q2222" s="128">
        <f t="array" ref="Q2222">SUM(IF(($S2222&gt;=4)*($C2222='TaxCred&amp;Subs'!$D$123:$D$127)*($H2222='TaxCred&amp;Subs'!$C$123:$C$127)*($H2222&lt;='TaxCred&amp;Subs'!$C$129),'TaxCred&amp;Subs'!$E$123:$E$127,0))</f>
        <v>0</v>
      </c>
      <c r="R2222" s="174">
        <v>0</v>
      </c>
      <c r="S2222" s="126">
        <v>2</v>
      </c>
      <c r="T2222" s="126" t="s">
        <v>224</v>
      </c>
      <c r="U2222" s="158"/>
      <c r="V2222" s="153" t="str">
        <f t="array" ref="V2222">INDEX(xlRTCLNAME,MATCH(1,(xlRTCLENDU=1)*(xlRTCLEQCL=$D2222),0))</f>
        <v>NG_HP</v>
      </c>
      <c r="W2222" s="153" t="str">
        <f t="array" ref="W2222">INDEX(xlRTCLNAME,MATCH(1,(xlRTCLENDU=2)*(xlRTCLEQCL=$F2222),0))</f>
        <v>NG_HP</v>
      </c>
      <c r="X2222" s="153" t="str">
        <f t="array" ref="X2222">INDEX(xlRTTYNAME,MATCH(1,(xlRTTYENDU=1)*(xlRTTYEQCL=$D2222)*(xlRTEQTYPE=$E2222),0))</f>
        <v>NG_HP2</v>
      </c>
      <c r="Y2222" s="153" t="str">
        <f t="array" ref="Y2222">INDEX(xlRTTYNAME,MATCH(1,(xlRTTYENDU=2)*(xlRTTYEQCL=$F2222)*(xlRTEQTYPE=$G2222),0))</f>
        <v>NG_HP2</v>
      </c>
    </row>
    <row r="2223" spans="2:25" x14ac:dyDescent="0.2">
      <c r="B2223" s="126">
        <v>7</v>
      </c>
      <c r="C2223" s="126">
        <v>3</v>
      </c>
      <c r="D2223" s="126">
        <v>11</v>
      </c>
      <c r="E2223" s="126">
        <v>36</v>
      </c>
      <c r="F2223" s="126">
        <v>5</v>
      </c>
      <c r="G2223" s="126">
        <v>17</v>
      </c>
      <c r="H2223" s="126">
        <v>2016</v>
      </c>
      <c r="I2223" s="126">
        <v>2050</v>
      </c>
      <c r="J2223" s="127">
        <v>1.0914999999999999</v>
      </c>
      <c r="K2223" s="127">
        <v>1.0496000000000001</v>
      </c>
      <c r="L2223" s="127">
        <v>0.89400000000000002</v>
      </c>
      <c r="M2223" s="127">
        <v>1.0887</v>
      </c>
      <c r="N2223" s="127">
        <v>0.81759999999999999</v>
      </c>
      <c r="O2223" s="127">
        <v>1.0538000000000001</v>
      </c>
      <c r="P2223" s="126">
        <v>2643</v>
      </c>
      <c r="Q2223" s="128">
        <f t="array" ref="Q2223">SUM(IF(($S2223&gt;=4)*($C2223='TaxCred&amp;Subs'!$D$123:$D$127)*($H2223='TaxCred&amp;Subs'!$C$123:$C$127)*($H2223&lt;='TaxCred&amp;Subs'!$C$129),'TaxCred&amp;Subs'!$E$123:$E$127,0))</f>
        <v>0</v>
      </c>
      <c r="R2223" s="174">
        <v>0</v>
      </c>
      <c r="S2223" s="126">
        <v>2</v>
      </c>
      <c r="T2223" s="126" t="s">
        <v>224</v>
      </c>
      <c r="U2223" s="158"/>
      <c r="V2223" s="153" t="str">
        <f t="array" ref="V2223">INDEX(xlRTCLNAME,MATCH(1,(xlRTCLENDU=1)*(xlRTCLEQCL=$D2223),0))</f>
        <v>NG_HP</v>
      </c>
      <c r="W2223" s="153" t="str">
        <f t="array" ref="W2223">INDEX(xlRTCLNAME,MATCH(1,(xlRTCLENDU=2)*(xlRTCLEQCL=$F2223),0))</f>
        <v>NG_HP</v>
      </c>
      <c r="X2223" s="153" t="str">
        <f t="array" ref="X2223">INDEX(xlRTTYNAME,MATCH(1,(xlRTTYENDU=1)*(xlRTTYEQCL=$D2223)*(xlRTEQTYPE=$E2223),0))</f>
        <v>NG_HP2</v>
      </c>
      <c r="Y2223" s="153" t="str">
        <f t="array" ref="Y2223">INDEX(xlRTTYNAME,MATCH(1,(xlRTTYENDU=2)*(xlRTTYEQCL=$F2223)*(xlRTEQTYPE=$G2223),0))</f>
        <v>NG_HP2</v>
      </c>
    </row>
    <row r="2224" spans="2:25" x14ac:dyDescent="0.2">
      <c r="B2224" s="126">
        <v>8</v>
      </c>
      <c r="C2224" s="126">
        <v>3</v>
      </c>
      <c r="D2224" s="126">
        <v>11</v>
      </c>
      <c r="E2224" s="126">
        <v>36</v>
      </c>
      <c r="F2224" s="126">
        <v>5</v>
      </c>
      <c r="G2224" s="126">
        <v>17</v>
      </c>
      <c r="H2224" s="126">
        <v>2016</v>
      </c>
      <c r="I2224" s="126">
        <v>2050</v>
      </c>
      <c r="J2224" s="127">
        <v>1.07</v>
      </c>
      <c r="K2224" s="127">
        <v>1.07</v>
      </c>
      <c r="L2224" s="127">
        <v>0.75749999999999995</v>
      </c>
      <c r="M2224" s="127">
        <v>1.0437000000000001</v>
      </c>
      <c r="N2224" s="127">
        <v>0.80840000000000001</v>
      </c>
      <c r="O2224" s="127">
        <v>1.0538000000000001</v>
      </c>
      <c r="P2224" s="126">
        <v>5501</v>
      </c>
      <c r="Q2224" s="128">
        <f t="array" ref="Q2224">SUM(IF(($S2224&gt;=4)*($C2224='TaxCred&amp;Subs'!$D$123:$D$127)*($H2224='TaxCred&amp;Subs'!$C$123:$C$127)*($H2224&lt;='TaxCred&amp;Subs'!$C$129),'TaxCred&amp;Subs'!$E$123:$E$127,0))</f>
        <v>0</v>
      </c>
      <c r="R2224" s="174">
        <v>0</v>
      </c>
      <c r="S2224" s="126">
        <v>2</v>
      </c>
      <c r="T2224" s="126" t="s">
        <v>224</v>
      </c>
      <c r="U2224" s="158"/>
      <c r="V2224" s="153" t="str">
        <f t="array" ref="V2224">INDEX(xlRTCLNAME,MATCH(1,(xlRTCLENDU=1)*(xlRTCLEQCL=$D2224),0))</f>
        <v>NG_HP</v>
      </c>
      <c r="W2224" s="153" t="str">
        <f t="array" ref="W2224">INDEX(xlRTCLNAME,MATCH(1,(xlRTCLENDU=2)*(xlRTCLEQCL=$F2224),0))</f>
        <v>NG_HP</v>
      </c>
      <c r="X2224" s="153" t="str">
        <f t="array" ref="X2224">INDEX(xlRTTYNAME,MATCH(1,(xlRTTYENDU=1)*(xlRTTYEQCL=$D2224)*(xlRTEQTYPE=$E2224),0))</f>
        <v>NG_HP2</v>
      </c>
      <c r="Y2224" s="153" t="str">
        <f t="array" ref="Y2224">INDEX(xlRTTYNAME,MATCH(1,(xlRTTYENDU=2)*(xlRTTYEQCL=$F2224)*(xlRTEQTYPE=$G2224),0))</f>
        <v>NG_HP2</v>
      </c>
    </row>
    <row r="2225" spans="2:25" x14ac:dyDescent="0.2">
      <c r="B2225" s="126">
        <v>9</v>
      </c>
      <c r="C2225" s="126">
        <v>3</v>
      </c>
      <c r="D2225" s="126">
        <v>11</v>
      </c>
      <c r="E2225" s="126">
        <v>36</v>
      </c>
      <c r="F2225" s="126">
        <v>5</v>
      </c>
      <c r="G2225" s="126">
        <v>17</v>
      </c>
      <c r="H2225" s="126">
        <v>2016</v>
      </c>
      <c r="I2225" s="126">
        <v>2050</v>
      </c>
      <c r="J2225" s="127">
        <v>1.0761000000000001</v>
      </c>
      <c r="K2225" s="127">
        <v>1.0506</v>
      </c>
      <c r="L2225" s="127">
        <v>0.86780000000000002</v>
      </c>
      <c r="M2225" s="127">
        <v>1.1609</v>
      </c>
      <c r="N2225" s="127">
        <v>0.84670000000000001</v>
      </c>
      <c r="O2225" s="127">
        <v>1.0538000000000001</v>
      </c>
      <c r="P2225" s="126">
        <v>5354</v>
      </c>
      <c r="Q2225" s="128">
        <f t="array" ref="Q2225">SUM(IF(($S2225&gt;=4)*($C2225='TaxCred&amp;Subs'!$D$123:$D$127)*($H2225='TaxCred&amp;Subs'!$C$123:$C$127)*($H2225&lt;='TaxCred&amp;Subs'!$C$129),'TaxCred&amp;Subs'!$E$123:$E$127,0))</f>
        <v>0</v>
      </c>
      <c r="R2225" s="174">
        <v>0</v>
      </c>
      <c r="S2225" s="126">
        <v>2</v>
      </c>
      <c r="T2225" s="126" t="s">
        <v>224</v>
      </c>
      <c r="U2225" s="158"/>
      <c r="V2225" s="153" t="str">
        <f t="array" ref="V2225">INDEX(xlRTCLNAME,MATCH(1,(xlRTCLENDU=1)*(xlRTCLEQCL=$D2225),0))</f>
        <v>NG_HP</v>
      </c>
      <c r="W2225" s="153" t="str">
        <f t="array" ref="W2225">INDEX(xlRTCLNAME,MATCH(1,(xlRTCLENDU=2)*(xlRTCLEQCL=$F2225),0))</f>
        <v>NG_HP</v>
      </c>
      <c r="X2225" s="153" t="str">
        <f t="array" ref="X2225">INDEX(xlRTTYNAME,MATCH(1,(xlRTTYENDU=1)*(xlRTTYEQCL=$D2225)*(xlRTEQTYPE=$E2225),0))</f>
        <v>NG_HP2</v>
      </c>
      <c r="Y2225" s="153" t="str">
        <f t="array" ref="Y2225">INDEX(xlRTTYNAME,MATCH(1,(xlRTTYENDU=2)*(xlRTTYEQCL=$F2225)*(xlRTEQTYPE=$G2225),0))</f>
        <v>NG_HP2</v>
      </c>
    </row>
    <row r="2226" spans="2:25" x14ac:dyDescent="0.2">
      <c r="B2226" s="126">
        <v>2</v>
      </c>
      <c r="C2226" s="126">
        <v>3</v>
      </c>
      <c r="D2226" s="126">
        <v>1</v>
      </c>
      <c r="E2226" s="126">
        <v>1</v>
      </c>
      <c r="F2226" s="126">
        <v>2</v>
      </c>
      <c r="G2226" s="126">
        <v>7</v>
      </c>
      <c r="H2226" s="126">
        <v>2016</v>
      </c>
      <c r="I2226" s="126">
        <v>2050</v>
      </c>
      <c r="J2226" s="127">
        <v>1.0642</v>
      </c>
      <c r="K2226" s="127">
        <v>1.0426</v>
      </c>
      <c r="L2226" s="127">
        <v>0.75009999999999999</v>
      </c>
      <c r="M2226" s="127">
        <v>1.1226</v>
      </c>
      <c r="N2226" s="127">
        <v>0.84350000000000003</v>
      </c>
      <c r="O2226" s="127">
        <v>1.0538000000000001</v>
      </c>
      <c r="P2226" s="126">
        <v>6885</v>
      </c>
      <c r="Q2226" s="128">
        <f t="array" ref="Q2226">SUM(IF(($S2226&gt;=4)*($C2226='TaxCred&amp;Subs'!$D$123:$D$127)*($H2226='TaxCred&amp;Subs'!$C$123:$C$127)*($H2226&lt;='TaxCred&amp;Subs'!$C$129),'TaxCred&amp;Subs'!$E$123:$E$127,0))</f>
        <v>0</v>
      </c>
      <c r="R2226" s="174">
        <v>0</v>
      </c>
      <c r="S2226" s="126">
        <v>3</v>
      </c>
      <c r="T2226" s="126" t="s">
        <v>247</v>
      </c>
      <c r="U2226" s="158"/>
      <c r="V2226" s="153" t="str">
        <f t="array" ref="V2226">INDEX(xlRTCLNAME,MATCH(1,(xlRTCLENDU=1)*(xlRTCLEQCL=$D2226),0))</f>
        <v>ELEC_RAD</v>
      </c>
      <c r="W2226" s="153" t="str">
        <f t="array" ref="W2226">INDEX(xlRTCLNAME,MATCH(1,(xlRTCLENDU=2)*(xlRTCLEQCL=$F2226),0))</f>
        <v>CENT_AIR</v>
      </c>
      <c r="X2226" s="153" t="str">
        <f t="array" ref="X2226">INDEX(xlRTTYNAME,MATCH(1,(xlRTTYENDU=1)*(xlRTTYEQCL=$D2226)*(xlRTEQTYPE=$E2226),0))</f>
        <v>ELEC_RAD2</v>
      </c>
      <c r="Y2226" s="153" t="str">
        <f t="array" ref="Y2226">INDEX(xlRTTYNAME,MATCH(1,(xlRTTYENDU=2)*(xlRTTYEQCL=$F2226)*(xlRTEQTYPE=$G2226),0))</f>
        <v>CENT_AIR3</v>
      </c>
    </row>
    <row r="2227" spans="2:25" x14ac:dyDescent="0.2">
      <c r="B2227" s="126">
        <v>5</v>
      </c>
      <c r="C2227" s="126">
        <v>3</v>
      </c>
      <c r="D2227" s="126">
        <v>1</v>
      </c>
      <c r="E2227" s="126">
        <v>1</v>
      </c>
      <c r="F2227" s="126">
        <v>2</v>
      </c>
      <c r="G2227" s="126">
        <v>7</v>
      </c>
      <c r="H2227" s="126">
        <v>2016</v>
      </c>
      <c r="I2227" s="126">
        <v>2050</v>
      </c>
      <c r="J2227" s="127">
        <v>1.0938000000000001</v>
      </c>
      <c r="K2227" s="127">
        <v>1.0556000000000001</v>
      </c>
      <c r="L2227" s="127">
        <v>0.73329999999999995</v>
      </c>
      <c r="M2227" s="127">
        <v>0.97309999999999997</v>
      </c>
      <c r="N2227" s="127">
        <v>0.83109999999999995</v>
      </c>
      <c r="O2227" s="127">
        <v>1.0538000000000001</v>
      </c>
      <c r="P2227" s="126">
        <v>5495</v>
      </c>
      <c r="Q2227" s="128">
        <f t="array" ref="Q2227">SUM(IF(($S2227&gt;=4)*($C2227='TaxCred&amp;Subs'!$D$123:$D$127)*($H2227='TaxCred&amp;Subs'!$C$123:$C$127)*($H2227&lt;='TaxCred&amp;Subs'!$C$129),'TaxCred&amp;Subs'!$E$123:$E$127,0))</f>
        <v>0</v>
      </c>
      <c r="R2227" s="174">
        <v>0</v>
      </c>
      <c r="S2227" s="126">
        <v>3</v>
      </c>
      <c r="T2227" s="126" t="s">
        <v>247</v>
      </c>
      <c r="U2227" s="158"/>
      <c r="V2227" s="153" t="str">
        <f t="array" ref="V2227">INDEX(xlRTCLNAME,MATCH(1,(xlRTCLENDU=1)*(xlRTCLEQCL=$D2227),0))</f>
        <v>ELEC_RAD</v>
      </c>
      <c r="W2227" s="153" t="str">
        <f t="array" ref="W2227">INDEX(xlRTCLNAME,MATCH(1,(xlRTCLENDU=2)*(xlRTCLEQCL=$F2227),0))</f>
        <v>CENT_AIR</v>
      </c>
      <c r="X2227" s="153" t="str">
        <f t="array" ref="X2227">INDEX(xlRTTYNAME,MATCH(1,(xlRTTYENDU=1)*(xlRTTYEQCL=$D2227)*(xlRTEQTYPE=$E2227),0))</f>
        <v>ELEC_RAD2</v>
      </c>
      <c r="Y2227" s="153" t="str">
        <f t="array" ref="Y2227">INDEX(xlRTTYNAME,MATCH(1,(xlRTTYENDU=2)*(xlRTTYEQCL=$F2227)*(xlRTEQTYPE=$G2227),0))</f>
        <v>CENT_AIR3</v>
      </c>
    </row>
    <row r="2228" spans="2:25" x14ac:dyDescent="0.2">
      <c r="B2228" s="126">
        <v>6</v>
      </c>
      <c r="C2228" s="126">
        <v>3</v>
      </c>
      <c r="D2228" s="126">
        <v>1</v>
      </c>
      <c r="E2228" s="126">
        <v>1</v>
      </c>
      <c r="F2228" s="126">
        <v>2</v>
      </c>
      <c r="G2228" s="126">
        <v>7</v>
      </c>
      <c r="H2228" s="126">
        <v>2016</v>
      </c>
      <c r="I2228" s="126">
        <v>2050</v>
      </c>
      <c r="J2228" s="127">
        <v>1.0821000000000001</v>
      </c>
      <c r="K2228" s="127">
        <v>1.0519000000000001</v>
      </c>
      <c r="L2228" s="127">
        <v>0.72050000000000003</v>
      </c>
      <c r="M2228" s="127">
        <v>0.98040000000000005</v>
      </c>
      <c r="N2228" s="127">
        <v>0.80269999999999997</v>
      </c>
      <c r="O2228" s="127">
        <v>1.0538000000000001</v>
      </c>
      <c r="P2228" s="126">
        <v>5435</v>
      </c>
      <c r="Q2228" s="128">
        <f t="array" ref="Q2228">SUM(IF(($S2228&gt;=4)*($C2228='TaxCred&amp;Subs'!$D$123:$D$127)*($H2228='TaxCred&amp;Subs'!$C$123:$C$127)*($H2228&lt;='TaxCred&amp;Subs'!$C$129),'TaxCred&amp;Subs'!$E$123:$E$127,0))</f>
        <v>0</v>
      </c>
      <c r="R2228" s="174">
        <v>0</v>
      </c>
      <c r="S2228" s="126">
        <v>3</v>
      </c>
      <c r="T2228" s="126" t="s">
        <v>247</v>
      </c>
      <c r="U2228" s="158"/>
      <c r="V2228" s="153" t="str">
        <f t="array" ref="V2228">INDEX(xlRTCLNAME,MATCH(1,(xlRTCLENDU=1)*(xlRTCLEQCL=$D2228),0))</f>
        <v>ELEC_RAD</v>
      </c>
      <c r="W2228" s="153" t="str">
        <f t="array" ref="W2228">INDEX(xlRTCLNAME,MATCH(1,(xlRTCLENDU=2)*(xlRTCLEQCL=$F2228),0))</f>
        <v>CENT_AIR</v>
      </c>
      <c r="X2228" s="153" t="str">
        <f t="array" ref="X2228">INDEX(xlRTTYNAME,MATCH(1,(xlRTTYENDU=1)*(xlRTTYEQCL=$D2228)*(xlRTEQTYPE=$E2228),0))</f>
        <v>ELEC_RAD2</v>
      </c>
      <c r="Y2228" s="153" t="str">
        <f t="array" ref="Y2228">INDEX(xlRTTYNAME,MATCH(1,(xlRTTYENDU=2)*(xlRTTYEQCL=$F2228)*(xlRTEQTYPE=$G2228),0))</f>
        <v>CENT_AIR3</v>
      </c>
    </row>
    <row r="2229" spans="2:25" x14ac:dyDescent="0.2">
      <c r="B2229" s="126">
        <v>7</v>
      </c>
      <c r="C2229" s="126">
        <v>3</v>
      </c>
      <c r="D2229" s="126">
        <v>1</v>
      </c>
      <c r="E2229" s="126">
        <v>1</v>
      </c>
      <c r="F2229" s="126">
        <v>2</v>
      </c>
      <c r="G2229" s="126">
        <v>7</v>
      </c>
      <c r="H2229" s="126">
        <v>2016</v>
      </c>
      <c r="I2229" s="126">
        <v>2050</v>
      </c>
      <c r="J2229" s="127">
        <v>1.0893999999999999</v>
      </c>
      <c r="K2229" s="127">
        <v>1.0512999999999999</v>
      </c>
      <c r="L2229" s="127">
        <v>0.85599999999999998</v>
      </c>
      <c r="M2229" s="127">
        <v>1.0208999999999999</v>
      </c>
      <c r="N2229" s="127">
        <v>0.8115</v>
      </c>
      <c r="O2229" s="127">
        <v>1.0538000000000001</v>
      </c>
      <c r="P2229" s="126">
        <v>4118</v>
      </c>
      <c r="Q2229" s="128">
        <f t="array" ref="Q2229">SUM(IF(($S2229&gt;=4)*($C2229='TaxCred&amp;Subs'!$D$123:$D$127)*($H2229='TaxCred&amp;Subs'!$C$123:$C$127)*($H2229&lt;='TaxCred&amp;Subs'!$C$129),'TaxCred&amp;Subs'!$E$123:$E$127,0))</f>
        <v>0</v>
      </c>
      <c r="R2229" s="174">
        <v>0</v>
      </c>
      <c r="S2229" s="126">
        <v>3</v>
      </c>
      <c r="T2229" s="126" t="s">
        <v>247</v>
      </c>
      <c r="U2229" s="158"/>
      <c r="V2229" s="153" t="str">
        <f t="array" ref="V2229">INDEX(xlRTCLNAME,MATCH(1,(xlRTCLENDU=1)*(xlRTCLEQCL=$D2229),0))</f>
        <v>ELEC_RAD</v>
      </c>
      <c r="W2229" s="153" t="str">
        <f t="array" ref="W2229">INDEX(xlRTCLNAME,MATCH(1,(xlRTCLENDU=2)*(xlRTCLEQCL=$F2229),0))</f>
        <v>CENT_AIR</v>
      </c>
      <c r="X2229" s="153" t="str">
        <f t="array" ref="X2229">INDEX(xlRTTYNAME,MATCH(1,(xlRTTYENDU=1)*(xlRTTYEQCL=$D2229)*(xlRTEQTYPE=$E2229),0))</f>
        <v>ELEC_RAD2</v>
      </c>
      <c r="Y2229" s="153" t="str">
        <f t="array" ref="Y2229">INDEX(xlRTTYNAME,MATCH(1,(xlRTTYENDU=2)*(xlRTTYEQCL=$F2229)*(xlRTEQTYPE=$G2229),0))</f>
        <v>CENT_AIR3</v>
      </c>
    </row>
    <row r="2230" spans="2:25" x14ac:dyDescent="0.2">
      <c r="B2230" s="126">
        <v>9</v>
      </c>
      <c r="C2230" s="126">
        <v>3</v>
      </c>
      <c r="D2230" s="126">
        <v>1</v>
      </c>
      <c r="E2230" s="126">
        <v>1</v>
      </c>
      <c r="F2230" s="126">
        <v>2</v>
      </c>
      <c r="G2230" s="126">
        <v>7</v>
      </c>
      <c r="H2230" s="126">
        <v>2016</v>
      </c>
      <c r="I2230" s="126">
        <v>2050</v>
      </c>
      <c r="J2230" s="127">
        <v>1.07</v>
      </c>
      <c r="K2230" s="127">
        <v>1.07</v>
      </c>
      <c r="L2230" s="127">
        <v>0.77059999999999995</v>
      </c>
      <c r="M2230" s="127">
        <v>1.0674999999999999</v>
      </c>
      <c r="N2230" s="127">
        <v>0.84340000000000004</v>
      </c>
      <c r="O2230" s="127">
        <v>1.0538000000000001</v>
      </c>
      <c r="P2230" s="126">
        <v>7270</v>
      </c>
      <c r="Q2230" s="128">
        <f t="array" ref="Q2230">SUM(IF(($S2230&gt;=4)*($C2230='TaxCred&amp;Subs'!$D$123:$D$127)*($H2230='TaxCred&amp;Subs'!$C$123:$C$127)*($H2230&lt;='TaxCred&amp;Subs'!$C$129),'TaxCred&amp;Subs'!$E$123:$E$127,0))</f>
        <v>0</v>
      </c>
      <c r="R2230" s="174">
        <v>0</v>
      </c>
      <c r="S2230" s="126">
        <v>3</v>
      </c>
      <c r="T2230" s="126" t="s">
        <v>247</v>
      </c>
      <c r="U2230" s="158"/>
      <c r="V2230" s="153" t="str">
        <f t="array" ref="V2230">INDEX(xlRTCLNAME,MATCH(1,(xlRTCLENDU=1)*(xlRTCLEQCL=$D2230),0))</f>
        <v>ELEC_RAD</v>
      </c>
      <c r="W2230" s="153" t="str">
        <f t="array" ref="W2230">INDEX(xlRTCLNAME,MATCH(1,(xlRTCLENDU=2)*(xlRTCLEQCL=$F2230),0))</f>
        <v>CENT_AIR</v>
      </c>
      <c r="X2230" s="153" t="str">
        <f t="array" ref="X2230">INDEX(xlRTTYNAME,MATCH(1,(xlRTTYENDU=1)*(xlRTTYEQCL=$D2230)*(xlRTEQTYPE=$E2230),0))</f>
        <v>ELEC_RAD2</v>
      </c>
      <c r="Y2230" s="153" t="str">
        <f t="array" ref="Y2230">INDEX(xlRTTYNAME,MATCH(1,(xlRTTYENDU=2)*(xlRTTYEQCL=$F2230)*(xlRTEQTYPE=$G2230),0))</f>
        <v>CENT_AIR3</v>
      </c>
    </row>
    <row r="2231" spans="2:25" x14ac:dyDescent="0.2">
      <c r="B2231" s="126">
        <v>1</v>
      </c>
      <c r="C2231" s="126">
        <v>3</v>
      </c>
      <c r="D2231" s="126">
        <v>2</v>
      </c>
      <c r="E2231" s="126">
        <v>4</v>
      </c>
      <c r="F2231" s="126">
        <v>3</v>
      </c>
      <c r="G2231" s="126">
        <v>11</v>
      </c>
      <c r="H2231" s="126">
        <v>2016</v>
      </c>
      <c r="I2231" s="126">
        <v>2050</v>
      </c>
      <c r="J2231" s="127">
        <v>1.0763</v>
      </c>
      <c r="K2231" s="127">
        <v>1.0588</v>
      </c>
      <c r="L2231" s="127">
        <v>0.7752</v>
      </c>
      <c r="M2231" s="127">
        <v>1.0437000000000001</v>
      </c>
      <c r="N2231" s="127">
        <v>0.77080000000000004</v>
      </c>
      <c r="O2231" s="127">
        <v>1.0538000000000001</v>
      </c>
      <c r="P2231" s="126">
        <v>4928</v>
      </c>
      <c r="Q2231" s="128">
        <f t="array" ref="Q2231">SUM(IF(($S2231&gt;=4)*($C2231='TaxCred&amp;Subs'!$D$123:$D$127)*($H2231='TaxCred&amp;Subs'!$C$123:$C$127)*($H2231&lt;='TaxCred&amp;Subs'!$C$129),'TaxCred&amp;Subs'!$E$123:$E$127,0))</f>
        <v>0</v>
      </c>
      <c r="R2231" s="174">
        <v>0</v>
      </c>
      <c r="S2231" s="126">
        <v>3</v>
      </c>
      <c r="T2231" s="126" t="s">
        <v>247</v>
      </c>
      <c r="U2231" s="158"/>
      <c r="V2231" s="153" t="str">
        <f t="array" ref="V2231">INDEX(xlRTCLNAME,MATCH(1,(xlRTCLENDU=1)*(xlRTCLEQCL=$D2231),0))</f>
        <v>ELEC_HP</v>
      </c>
      <c r="W2231" s="153" t="str">
        <f t="array" ref="W2231">INDEX(xlRTCLNAME,MATCH(1,(xlRTCLENDU=2)*(xlRTCLEQCL=$F2231),0))</f>
        <v>ELEC_HP</v>
      </c>
      <c r="X2231" s="153" t="str">
        <f t="array" ref="X2231">INDEX(xlRTTYNAME,MATCH(1,(xlRTTYENDU=1)*(xlRTTYEQCL=$D2231)*(xlRTEQTYPE=$E2231),0))</f>
        <v>ELEC_HP3</v>
      </c>
      <c r="Y2231" s="153" t="str">
        <f t="array" ref="Y2231">INDEX(xlRTTYNAME,MATCH(1,(xlRTTYENDU=2)*(xlRTTYEQCL=$F2231)*(xlRTEQTYPE=$G2231),0))</f>
        <v>ELEC_HP3</v>
      </c>
    </row>
    <row r="2232" spans="2:25" x14ac:dyDescent="0.2">
      <c r="B2232" s="126">
        <v>2</v>
      </c>
      <c r="C2232" s="126">
        <v>3</v>
      </c>
      <c r="D2232" s="126">
        <v>2</v>
      </c>
      <c r="E2232" s="126">
        <v>4</v>
      </c>
      <c r="F2232" s="126">
        <v>3</v>
      </c>
      <c r="G2232" s="126">
        <v>11</v>
      </c>
      <c r="H2232" s="126">
        <v>2016</v>
      </c>
      <c r="I2232" s="126">
        <v>2050</v>
      </c>
      <c r="J2232" s="127">
        <v>1.0746</v>
      </c>
      <c r="K2232" s="127">
        <v>1.0625</v>
      </c>
      <c r="L2232" s="127">
        <v>0.90439999999999998</v>
      </c>
      <c r="M2232" s="127">
        <v>1.1620999999999999</v>
      </c>
      <c r="N2232" s="127">
        <v>0.83340000000000003</v>
      </c>
      <c r="O2232" s="127">
        <v>1.0538000000000001</v>
      </c>
      <c r="P2232" s="126">
        <v>4032</v>
      </c>
      <c r="Q2232" s="128">
        <f t="array" ref="Q2232">SUM(IF(($S2232&gt;=4)*($C2232='TaxCred&amp;Subs'!$D$123:$D$127)*($H2232='TaxCred&amp;Subs'!$C$123:$C$127)*($H2232&lt;='TaxCred&amp;Subs'!$C$129),'TaxCred&amp;Subs'!$E$123:$E$127,0))</f>
        <v>0</v>
      </c>
      <c r="R2232" s="174">
        <v>0</v>
      </c>
      <c r="S2232" s="126">
        <v>3</v>
      </c>
      <c r="T2232" s="126" t="s">
        <v>247</v>
      </c>
      <c r="U2232" s="158"/>
      <c r="V2232" s="153" t="str">
        <f t="array" ref="V2232">INDEX(xlRTCLNAME,MATCH(1,(xlRTCLENDU=1)*(xlRTCLEQCL=$D2232),0))</f>
        <v>ELEC_HP</v>
      </c>
      <c r="W2232" s="153" t="str">
        <f t="array" ref="W2232">INDEX(xlRTCLNAME,MATCH(1,(xlRTCLENDU=2)*(xlRTCLEQCL=$F2232),0))</f>
        <v>ELEC_HP</v>
      </c>
      <c r="X2232" s="153" t="str">
        <f t="array" ref="X2232">INDEX(xlRTTYNAME,MATCH(1,(xlRTTYENDU=1)*(xlRTTYEQCL=$D2232)*(xlRTEQTYPE=$E2232),0))</f>
        <v>ELEC_HP3</v>
      </c>
      <c r="Y2232" s="153" t="str">
        <f t="array" ref="Y2232">INDEX(xlRTTYNAME,MATCH(1,(xlRTTYENDU=2)*(xlRTTYEQCL=$F2232)*(xlRTEQTYPE=$G2232),0))</f>
        <v>ELEC_HP3</v>
      </c>
    </row>
    <row r="2233" spans="2:25" x14ac:dyDescent="0.2">
      <c r="B2233" s="126">
        <v>3</v>
      </c>
      <c r="C2233" s="126">
        <v>3</v>
      </c>
      <c r="D2233" s="126">
        <v>2</v>
      </c>
      <c r="E2233" s="126">
        <v>4</v>
      </c>
      <c r="F2233" s="126">
        <v>3</v>
      </c>
      <c r="G2233" s="126">
        <v>11</v>
      </c>
      <c r="H2233" s="126">
        <v>2016</v>
      </c>
      <c r="I2233" s="126">
        <v>2050</v>
      </c>
      <c r="J2233" s="127">
        <v>1.0751999999999999</v>
      </c>
      <c r="K2233" s="127">
        <v>1.0651999999999999</v>
      </c>
      <c r="L2233" s="127">
        <v>0.79410000000000003</v>
      </c>
      <c r="M2233" s="127">
        <v>1.1047</v>
      </c>
      <c r="N2233" s="127">
        <v>0.8347</v>
      </c>
      <c r="O2233" s="127">
        <v>1.0538000000000001</v>
      </c>
      <c r="P2233" s="126">
        <v>6667</v>
      </c>
      <c r="Q2233" s="128">
        <f t="array" ref="Q2233">SUM(IF(($S2233&gt;=4)*($C2233='TaxCred&amp;Subs'!$D$123:$D$127)*($H2233='TaxCred&amp;Subs'!$C$123:$C$127)*($H2233&lt;='TaxCred&amp;Subs'!$C$129),'TaxCred&amp;Subs'!$E$123:$E$127,0))</f>
        <v>0</v>
      </c>
      <c r="R2233" s="174">
        <v>0</v>
      </c>
      <c r="S2233" s="126">
        <v>3</v>
      </c>
      <c r="T2233" s="126" t="s">
        <v>247</v>
      </c>
      <c r="U2233" s="158"/>
      <c r="V2233" s="153" t="str">
        <f t="array" ref="V2233">INDEX(xlRTCLNAME,MATCH(1,(xlRTCLENDU=1)*(xlRTCLEQCL=$D2233),0))</f>
        <v>ELEC_HP</v>
      </c>
      <c r="W2233" s="153" t="str">
        <f t="array" ref="W2233">INDEX(xlRTCLNAME,MATCH(1,(xlRTCLENDU=2)*(xlRTCLEQCL=$F2233),0))</f>
        <v>ELEC_HP</v>
      </c>
      <c r="X2233" s="153" t="str">
        <f t="array" ref="X2233">INDEX(xlRTTYNAME,MATCH(1,(xlRTTYENDU=1)*(xlRTTYEQCL=$D2233)*(xlRTEQTYPE=$E2233),0))</f>
        <v>ELEC_HP3</v>
      </c>
      <c r="Y2233" s="153" t="str">
        <f t="array" ref="Y2233">INDEX(xlRTTYNAME,MATCH(1,(xlRTTYENDU=2)*(xlRTTYEQCL=$F2233)*(xlRTEQTYPE=$G2233),0))</f>
        <v>ELEC_HP3</v>
      </c>
    </row>
    <row r="2234" spans="2:25" x14ac:dyDescent="0.2">
      <c r="B2234" s="126">
        <v>4</v>
      </c>
      <c r="C2234" s="126">
        <v>3</v>
      </c>
      <c r="D2234" s="126">
        <v>2</v>
      </c>
      <c r="E2234" s="126">
        <v>4</v>
      </c>
      <c r="F2234" s="126">
        <v>3</v>
      </c>
      <c r="G2234" s="126">
        <v>11</v>
      </c>
      <c r="H2234" s="126">
        <v>2016</v>
      </c>
      <c r="I2234" s="126">
        <v>2050</v>
      </c>
      <c r="J2234" s="127">
        <v>1.079</v>
      </c>
      <c r="K2234" s="127">
        <v>1.0541</v>
      </c>
      <c r="L2234" s="127">
        <v>0.72470000000000001</v>
      </c>
      <c r="M2234" s="127">
        <v>1.0722</v>
      </c>
      <c r="N2234" s="127">
        <v>0.76919999999999999</v>
      </c>
      <c r="O2234" s="127">
        <v>1.0538000000000001</v>
      </c>
      <c r="P2234" s="126">
        <v>5359</v>
      </c>
      <c r="Q2234" s="128">
        <f t="array" ref="Q2234">SUM(IF(($S2234&gt;=4)*($C2234='TaxCred&amp;Subs'!$D$123:$D$127)*($H2234='TaxCred&amp;Subs'!$C$123:$C$127)*($H2234&lt;='TaxCred&amp;Subs'!$C$129),'TaxCred&amp;Subs'!$E$123:$E$127,0))</f>
        <v>0</v>
      </c>
      <c r="R2234" s="174">
        <v>0</v>
      </c>
      <c r="S2234" s="126">
        <v>3</v>
      </c>
      <c r="T2234" s="126" t="s">
        <v>247</v>
      </c>
      <c r="U2234" s="158"/>
      <c r="V2234" s="153" t="str">
        <f t="array" ref="V2234">INDEX(xlRTCLNAME,MATCH(1,(xlRTCLENDU=1)*(xlRTCLEQCL=$D2234),0))</f>
        <v>ELEC_HP</v>
      </c>
      <c r="W2234" s="153" t="str">
        <f t="array" ref="W2234">INDEX(xlRTCLNAME,MATCH(1,(xlRTCLENDU=2)*(xlRTCLEQCL=$F2234),0))</f>
        <v>ELEC_HP</v>
      </c>
      <c r="X2234" s="153" t="str">
        <f t="array" ref="X2234">INDEX(xlRTTYNAME,MATCH(1,(xlRTTYENDU=1)*(xlRTTYEQCL=$D2234)*(xlRTEQTYPE=$E2234),0))</f>
        <v>ELEC_HP3</v>
      </c>
      <c r="Y2234" s="153" t="str">
        <f t="array" ref="Y2234">INDEX(xlRTTYNAME,MATCH(1,(xlRTTYENDU=2)*(xlRTTYEQCL=$F2234)*(xlRTEQTYPE=$G2234),0))</f>
        <v>ELEC_HP3</v>
      </c>
    </row>
    <row r="2235" spans="2:25" x14ac:dyDescent="0.2">
      <c r="B2235" s="126">
        <v>5</v>
      </c>
      <c r="C2235" s="126">
        <v>3</v>
      </c>
      <c r="D2235" s="126">
        <v>2</v>
      </c>
      <c r="E2235" s="126">
        <v>4</v>
      </c>
      <c r="F2235" s="126">
        <v>3</v>
      </c>
      <c r="G2235" s="126">
        <v>11</v>
      </c>
      <c r="H2235" s="126">
        <v>2016</v>
      </c>
      <c r="I2235" s="126">
        <v>2050</v>
      </c>
      <c r="J2235" s="127">
        <v>1.08</v>
      </c>
      <c r="K2235" s="127">
        <v>1.0583</v>
      </c>
      <c r="L2235" s="127">
        <v>0.96909999999999996</v>
      </c>
      <c r="M2235" s="127">
        <v>1.1201000000000001</v>
      </c>
      <c r="N2235" s="127">
        <v>0.82640000000000002</v>
      </c>
      <c r="O2235" s="127">
        <v>1.0538000000000001</v>
      </c>
      <c r="P2235" s="126">
        <v>2314</v>
      </c>
      <c r="Q2235" s="128">
        <f t="array" ref="Q2235">SUM(IF(($S2235&gt;=4)*($C2235='TaxCred&amp;Subs'!$D$123:$D$127)*($H2235='TaxCred&amp;Subs'!$C$123:$C$127)*($H2235&lt;='TaxCred&amp;Subs'!$C$129),'TaxCred&amp;Subs'!$E$123:$E$127,0))</f>
        <v>0</v>
      </c>
      <c r="R2235" s="174">
        <v>0</v>
      </c>
      <c r="S2235" s="126">
        <v>3</v>
      </c>
      <c r="T2235" s="126" t="s">
        <v>247</v>
      </c>
      <c r="U2235" s="158"/>
      <c r="V2235" s="153" t="str">
        <f t="array" ref="V2235">INDEX(xlRTCLNAME,MATCH(1,(xlRTCLENDU=1)*(xlRTCLEQCL=$D2235),0))</f>
        <v>ELEC_HP</v>
      </c>
      <c r="W2235" s="153" t="str">
        <f t="array" ref="W2235">INDEX(xlRTCLNAME,MATCH(1,(xlRTCLENDU=2)*(xlRTCLEQCL=$F2235),0))</f>
        <v>ELEC_HP</v>
      </c>
      <c r="X2235" s="153" t="str">
        <f t="array" ref="X2235">INDEX(xlRTTYNAME,MATCH(1,(xlRTTYENDU=1)*(xlRTTYEQCL=$D2235)*(xlRTEQTYPE=$E2235),0))</f>
        <v>ELEC_HP3</v>
      </c>
      <c r="Y2235" s="153" t="str">
        <f t="array" ref="Y2235">INDEX(xlRTTYNAME,MATCH(1,(xlRTTYENDU=2)*(xlRTTYEQCL=$F2235)*(xlRTEQTYPE=$G2235),0))</f>
        <v>ELEC_HP3</v>
      </c>
    </row>
    <row r="2236" spans="2:25" x14ac:dyDescent="0.2">
      <c r="B2236" s="126">
        <v>6</v>
      </c>
      <c r="C2236" s="126">
        <v>3</v>
      </c>
      <c r="D2236" s="126">
        <v>2</v>
      </c>
      <c r="E2236" s="126">
        <v>4</v>
      </c>
      <c r="F2236" s="126">
        <v>3</v>
      </c>
      <c r="G2236" s="126">
        <v>11</v>
      </c>
      <c r="H2236" s="126">
        <v>2016</v>
      </c>
      <c r="I2236" s="126">
        <v>2050</v>
      </c>
      <c r="J2236" s="127">
        <v>1.0784</v>
      </c>
      <c r="K2236" s="127">
        <v>1.0667</v>
      </c>
      <c r="L2236" s="127">
        <v>0.80210000000000004</v>
      </c>
      <c r="M2236" s="127">
        <v>1.069</v>
      </c>
      <c r="N2236" s="127">
        <v>0.79679999999999995</v>
      </c>
      <c r="O2236" s="127">
        <v>1.0538000000000001</v>
      </c>
      <c r="P2236" s="126">
        <v>3584</v>
      </c>
      <c r="Q2236" s="128">
        <f t="array" ref="Q2236">SUM(IF(($S2236&gt;=4)*($C2236='TaxCred&amp;Subs'!$D$123:$D$127)*($H2236='TaxCred&amp;Subs'!$C$123:$C$127)*($H2236&lt;='TaxCred&amp;Subs'!$C$129),'TaxCred&amp;Subs'!$E$123:$E$127,0))</f>
        <v>0</v>
      </c>
      <c r="R2236" s="174">
        <v>0</v>
      </c>
      <c r="S2236" s="126">
        <v>3</v>
      </c>
      <c r="T2236" s="126" t="s">
        <v>247</v>
      </c>
      <c r="U2236" s="158"/>
      <c r="V2236" s="153" t="str">
        <f t="array" ref="V2236">INDEX(xlRTCLNAME,MATCH(1,(xlRTCLENDU=1)*(xlRTCLEQCL=$D2236),0))</f>
        <v>ELEC_HP</v>
      </c>
      <c r="W2236" s="153" t="str">
        <f t="array" ref="W2236">INDEX(xlRTCLNAME,MATCH(1,(xlRTCLENDU=2)*(xlRTCLEQCL=$F2236),0))</f>
        <v>ELEC_HP</v>
      </c>
      <c r="X2236" s="153" t="str">
        <f t="array" ref="X2236">INDEX(xlRTTYNAME,MATCH(1,(xlRTTYENDU=1)*(xlRTTYEQCL=$D2236)*(xlRTEQTYPE=$E2236),0))</f>
        <v>ELEC_HP3</v>
      </c>
      <c r="Y2236" s="153" t="str">
        <f t="array" ref="Y2236">INDEX(xlRTTYNAME,MATCH(1,(xlRTTYENDU=2)*(xlRTTYEQCL=$F2236)*(xlRTEQTYPE=$G2236),0))</f>
        <v>ELEC_HP3</v>
      </c>
    </row>
    <row r="2237" spans="2:25" x14ac:dyDescent="0.2">
      <c r="B2237" s="126">
        <v>7</v>
      </c>
      <c r="C2237" s="126">
        <v>3</v>
      </c>
      <c r="D2237" s="126">
        <v>2</v>
      </c>
      <c r="E2237" s="126">
        <v>4</v>
      </c>
      <c r="F2237" s="126">
        <v>3</v>
      </c>
      <c r="G2237" s="126">
        <v>11</v>
      </c>
      <c r="H2237" s="126">
        <v>2016</v>
      </c>
      <c r="I2237" s="126">
        <v>2050</v>
      </c>
      <c r="J2237" s="127">
        <v>1.0926</v>
      </c>
      <c r="K2237" s="127">
        <v>1.05</v>
      </c>
      <c r="L2237" s="127">
        <v>0.86019999999999996</v>
      </c>
      <c r="M2237" s="127">
        <v>1.08</v>
      </c>
      <c r="N2237" s="127">
        <v>0.81159999999999999</v>
      </c>
      <c r="O2237" s="127">
        <v>1.0538000000000001</v>
      </c>
      <c r="P2237" s="126">
        <v>2736</v>
      </c>
      <c r="Q2237" s="128">
        <f t="array" ref="Q2237">SUM(IF(($S2237&gt;=4)*($C2237='TaxCred&amp;Subs'!$D$123:$D$127)*($H2237='TaxCred&amp;Subs'!$C$123:$C$127)*($H2237&lt;='TaxCred&amp;Subs'!$C$129),'TaxCred&amp;Subs'!$E$123:$E$127,0))</f>
        <v>0</v>
      </c>
      <c r="R2237" s="174">
        <v>0</v>
      </c>
      <c r="S2237" s="126">
        <v>3</v>
      </c>
      <c r="T2237" s="126" t="s">
        <v>247</v>
      </c>
      <c r="U2237" s="158"/>
      <c r="V2237" s="153" t="str">
        <f t="array" ref="V2237">INDEX(xlRTCLNAME,MATCH(1,(xlRTCLENDU=1)*(xlRTCLEQCL=$D2237),0))</f>
        <v>ELEC_HP</v>
      </c>
      <c r="W2237" s="153" t="str">
        <f t="array" ref="W2237">INDEX(xlRTCLNAME,MATCH(1,(xlRTCLENDU=2)*(xlRTCLEQCL=$F2237),0))</f>
        <v>ELEC_HP</v>
      </c>
      <c r="X2237" s="153" t="str">
        <f t="array" ref="X2237">INDEX(xlRTTYNAME,MATCH(1,(xlRTTYENDU=1)*(xlRTTYEQCL=$D2237)*(xlRTEQTYPE=$E2237),0))</f>
        <v>ELEC_HP3</v>
      </c>
      <c r="Y2237" s="153" t="str">
        <f t="array" ref="Y2237">INDEX(xlRTTYNAME,MATCH(1,(xlRTTYENDU=2)*(xlRTTYEQCL=$F2237)*(xlRTEQTYPE=$G2237),0))</f>
        <v>ELEC_HP3</v>
      </c>
    </row>
    <row r="2238" spans="2:25" x14ac:dyDescent="0.2">
      <c r="B2238" s="126">
        <v>8</v>
      </c>
      <c r="C2238" s="126">
        <v>3</v>
      </c>
      <c r="D2238" s="126">
        <v>2</v>
      </c>
      <c r="E2238" s="126">
        <v>4</v>
      </c>
      <c r="F2238" s="126">
        <v>3</v>
      </c>
      <c r="G2238" s="126">
        <v>11</v>
      </c>
      <c r="H2238" s="126">
        <v>2016</v>
      </c>
      <c r="I2238" s="126">
        <v>2050</v>
      </c>
      <c r="J2238" s="127">
        <v>1.0847</v>
      </c>
      <c r="K2238" s="127">
        <v>1.0556000000000001</v>
      </c>
      <c r="L2238" s="127">
        <v>0.81379999999999997</v>
      </c>
      <c r="M2238" s="127">
        <v>1.1181000000000001</v>
      </c>
      <c r="N2238" s="127">
        <v>0.79769999999999996</v>
      </c>
      <c r="O2238" s="127">
        <v>1.0538000000000001</v>
      </c>
      <c r="P2238" s="126">
        <v>4250</v>
      </c>
      <c r="Q2238" s="128">
        <f t="array" ref="Q2238">SUM(IF(($S2238&gt;=4)*($C2238='TaxCred&amp;Subs'!$D$123:$D$127)*($H2238='TaxCred&amp;Subs'!$C$123:$C$127)*($H2238&lt;='TaxCred&amp;Subs'!$C$129),'TaxCred&amp;Subs'!$E$123:$E$127,0))</f>
        <v>0</v>
      </c>
      <c r="R2238" s="174">
        <v>0</v>
      </c>
      <c r="S2238" s="126">
        <v>3</v>
      </c>
      <c r="T2238" s="126" t="s">
        <v>247</v>
      </c>
      <c r="U2238" s="158"/>
      <c r="V2238" s="153" t="str">
        <f t="array" ref="V2238">INDEX(xlRTCLNAME,MATCH(1,(xlRTCLENDU=1)*(xlRTCLEQCL=$D2238),0))</f>
        <v>ELEC_HP</v>
      </c>
      <c r="W2238" s="153" t="str">
        <f t="array" ref="W2238">INDEX(xlRTCLNAME,MATCH(1,(xlRTCLENDU=2)*(xlRTCLEQCL=$F2238),0))</f>
        <v>ELEC_HP</v>
      </c>
      <c r="X2238" s="153" t="str">
        <f t="array" ref="X2238">INDEX(xlRTTYNAME,MATCH(1,(xlRTTYENDU=1)*(xlRTTYEQCL=$D2238)*(xlRTEQTYPE=$E2238),0))</f>
        <v>ELEC_HP3</v>
      </c>
      <c r="Y2238" s="153" t="str">
        <f t="array" ref="Y2238">INDEX(xlRTTYNAME,MATCH(1,(xlRTTYENDU=2)*(xlRTTYEQCL=$F2238)*(xlRTEQTYPE=$G2238),0))</f>
        <v>ELEC_HP3</v>
      </c>
    </row>
    <row r="2239" spans="2:25" x14ac:dyDescent="0.2">
      <c r="B2239" s="126">
        <v>9</v>
      </c>
      <c r="C2239" s="126">
        <v>3</v>
      </c>
      <c r="D2239" s="126">
        <v>2</v>
      </c>
      <c r="E2239" s="126">
        <v>4</v>
      </c>
      <c r="F2239" s="126">
        <v>3</v>
      </c>
      <c r="G2239" s="126">
        <v>11</v>
      </c>
      <c r="H2239" s="126">
        <v>2016</v>
      </c>
      <c r="I2239" s="126">
        <v>2050</v>
      </c>
      <c r="J2239" s="127">
        <v>1.075</v>
      </c>
      <c r="K2239" s="127">
        <v>1.0625</v>
      </c>
      <c r="L2239" s="127">
        <v>0.87329999999999997</v>
      </c>
      <c r="M2239" s="127">
        <v>1.1548</v>
      </c>
      <c r="N2239" s="127">
        <v>0.83299999999999996</v>
      </c>
      <c r="O2239" s="127">
        <v>1.0538000000000001</v>
      </c>
      <c r="P2239" s="126">
        <v>4404</v>
      </c>
      <c r="Q2239" s="128">
        <f t="array" ref="Q2239">SUM(IF(($S2239&gt;=4)*($C2239='TaxCred&amp;Subs'!$D$123:$D$127)*($H2239='TaxCred&amp;Subs'!$C$123:$C$127)*($H2239&lt;='TaxCred&amp;Subs'!$C$129),'TaxCred&amp;Subs'!$E$123:$E$127,0))</f>
        <v>0</v>
      </c>
      <c r="R2239" s="174">
        <v>0</v>
      </c>
      <c r="S2239" s="126">
        <v>3</v>
      </c>
      <c r="T2239" s="126" t="s">
        <v>247</v>
      </c>
      <c r="U2239" s="158"/>
      <c r="V2239" s="153" t="str">
        <f t="array" ref="V2239">INDEX(xlRTCLNAME,MATCH(1,(xlRTCLENDU=1)*(xlRTCLEQCL=$D2239),0))</f>
        <v>ELEC_HP</v>
      </c>
      <c r="W2239" s="153" t="str">
        <f t="array" ref="W2239">INDEX(xlRTCLNAME,MATCH(1,(xlRTCLENDU=2)*(xlRTCLEQCL=$F2239),0))</f>
        <v>ELEC_HP</v>
      </c>
      <c r="X2239" s="153" t="str">
        <f t="array" ref="X2239">INDEX(xlRTTYNAME,MATCH(1,(xlRTTYENDU=1)*(xlRTTYEQCL=$D2239)*(xlRTEQTYPE=$E2239),0))</f>
        <v>ELEC_HP3</v>
      </c>
      <c r="Y2239" s="153" t="str">
        <f t="array" ref="Y2239">INDEX(xlRTTYNAME,MATCH(1,(xlRTTYENDU=2)*(xlRTTYEQCL=$F2239)*(xlRTEQTYPE=$G2239),0))</f>
        <v>ELEC_HP3</v>
      </c>
    </row>
    <row r="2240" spans="2:25" x14ac:dyDescent="0.2">
      <c r="B2240" s="126">
        <v>2</v>
      </c>
      <c r="C2240" s="126">
        <v>3</v>
      </c>
      <c r="D2240" s="126">
        <v>3</v>
      </c>
      <c r="E2240" s="126">
        <v>8</v>
      </c>
      <c r="F2240" s="126">
        <v>2</v>
      </c>
      <c r="G2240" s="126">
        <v>7</v>
      </c>
      <c r="H2240" s="126">
        <v>2016</v>
      </c>
      <c r="I2240" s="126">
        <v>2050</v>
      </c>
      <c r="J2240" s="127">
        <v>1.0670999999999999</v>
      </c>
      <c r="K2240" s="127">
        <v>1.0638000000000001</v>
      </c>
      <c r="L2240" s="127">
        <v>0.87570000000000003</v>
      </c>
      <c r="M2240" s="127">
        <v>1.1334</v>
      </c>
      <c r="N2240" s="127">
        <v>0.84609999999999996</v>
      </c>
      <c r="O2240" s="127">
        <v>1.0538000000000001</v>
      </c>
      <c r="P2240" s="126">
        <v>5059</v>
      </c>
      <c r="Q2240" s="128">
        <f t="array" ref="Q2240">SUM(IF(($S2240&gt;=4)*($C2240='TaxCred&amp;Subs'!$D$123:$D$127)*($H2240='TaxCred&amp;Subs'!$C$123:$C$127)*($H2240&lt;='TaxCred&amp;Subs'!$C$129),'TaxCred&amp;Subs'!$E$123:$E$127,0))</f>
        <v>0</v>
      </c>
      <c r="R2240" s="174">
        <v>0</v>
      </c>
      <c r="S2240" s="126">
        <v>3</v>
      </c>
      <c r="T2240" s="126" t="s">
        <v>247</v>
      </c>
      <c r="U2240" s="158"/>
      <c r="V2240" s="153" t="str">
        <f t="array" ref="V2240">INDEX(xlRTCLNAME,MATCH(1,(xlRTCLENDU=1)*(xlRTCLEQCL=$D2240),0))</f>
        <v>NG_FA</v>
      </c>
      <c r="W2240" s="153" t="str">
        <f t="array" ref="W2240">INDEX(xlRTCLNAME,MATCH(1,(xlRTCLENDU=2)*(xlRTCLEQCL=$F2240),0))</f>
        <v>CENT_AIR</v>
      </c>
      <c r="X2240" s="153" t="str">
        <f t="array" ref="X2240">INDEX(xlRTTYNAME,MATCH(1,(xlRTTYENDU=1)*(xlRTTYEQCL=$D2240)*(xlRTEQTYPE=$E2240),0))</f>
        <v>NG_FA3</v>
      </c>
      <c r="Y2240" s="153" t="str">
        <f t="array" ref="Y2240">INDEX(xlRTTYNAME,MATCH(1,(xlRTTYENDU=2)*(xlRTTYEQCL=$F2240)*(xlRTEQTYPE=$G2240),0))</f>
        <v>CENT_AIR3</v>
      </c>
    </row>
    <row r="2241" spans="2:25" x14ac:dyDescent="0.2">
      <c r="B2241" s="126">
        <v>5</v>
      </c>
      <c r="C2241" s="126">
        <v>3</v>
      </c>
      <c r="D2241" s="126">
        <v>3</v>
      </c>
      <c r="E2241" s="126">
        <v>8</v>
      </c>
      <c r="F2241" s="126">
        <v>2</v>
      </c>
      <c r="G2241" s="126">
        <v>7</v>
      </c>
      <c r="H2241" s="126">
        <v>2016</v>
      </c>
      <c r="I2241" s="126">
        <v>2050</v>
      </c>
      <c r="J2241" s="127">
        <v>1.0559000000000001</v>
      </c>
      <c r="K2241" s="127">
        <v>1.0444</v>
      </c>
      <c r="L2241" s="127">
        <v>0.84960000000000002</v>
      </c>
      <c r="M2241" s="127">
        <v>1.0552999999999999</v>
      </c>
      <c r="N2241" s="127">
        <v>0.83460000000000001</v>
      </c>
      <c r="O2241" s="127">
        <v>1.0538000000000001</v>
      </c>
      <c r="P2241" s="126">
        <v>3449</v>
      </c>
      <c r="Q2241" s="128">
        <f t="array" ref="Q2241">SUM(IF(($S2241&gt;=4)*($C2241='TaxCred&amp;Subs'!$D$123:$D$127)*($H2241='TaxCred&amp;Subs'!$C$123:$C$127)*($H2241&lt;='TaxCred&amp;Subs'!$C$129),'TaxCred&amp;Subs'!$E$123:$E$127,0))</f>
        <v>0</v>
      </c>
      <c r="R2241" s="174">
        <v>0</v>
      </c>
      <c r="S2241" s="126">
        <v>3</v>
      </c>
      <c r="T2241" s="126" t="s">
        <v>247</v>
      </c>
      <c r="U2241" s="158"/>
      <c r="V2241" s="153" t="str">
        <f t="array" ref="V2241">INDEX(xlRTCLNAME,MATCH(1,(xlRTCLENDU=1)*(xlRTCLEQCL=$D2241),0))</f>
        <v>NG_FA</v>
      </c>
      <c r="W2241" s="153" t="str">
        <f t="array" ref="W2241">INDEX(xlRTCLNAME,MATCH(1,(xlRTCLENDU=2)*(xlRTCLEQCL=$F2241),0))</f>
        <v>CENT_AIR</v>
      </c>
      <c r="X2241" s="153" t="str">
        <f t="array" ref="X2241">INDEX(xlRTTYNAME,MATCH(1,(xlRTTYENDU=1)*(xlRTTYEQCL=$D2241)*(xlRTEQTYPE=$E2241),0))</f>
        <v>NG_FA3</v>
      </c>
      <c r="Y2241" s="153" t="str">
        <f t="array" ref="Y2241">INDEX(xlRTTYNAME,MATCH(1,(xlRTTYENDU=2)*(xlRTTYEQCL=$F2241)*(xlRTEQTYPE=$G2241),0))</f>
        <v>CENT_AIR3</v>
      </c>
    </row>
    <row r="2242" spans="2:25" x14ac:dyDescent="0.2">
      <c r="B2242" s="126">
        <v>6</v>
      </c>
      <c r="C2242" s="126">
        <v>3</v>
      </c>
      <c r="D2242" s="126">
        <v>3</v>
      </c>
      <c r="E2242" s="126">
        <v>8</v>
      </c>
      <c r="F2242" s="126">
        <v>2</v>
      </c>
      <c r="G2242" s="126">
        <v>7</v>
      </c>
      <c r="H2242" s="126">
        <v>2016</v>
      </c>
      <c r="I2242" s="126">
        <v>2050</v>
      </c>
      <c r="J2242" s="127">
        <v>1.0872999999999999</v>
      </c>
      <c r="K2242" s="127">
        <v>1.0581</v>
      </c>
      <c r="L2242" s="127">
        <v>0.83140000000000003</v>
      </c>
      <c r="M2242" s="127">
        <v>1.0811999999999999</v>
      </c>
      <c r="N2242" s="127">
        <v>0.8044</v>
      </c>
      <c r="O2242" s="127">
        <v>1.0538000000000001</v>
      </c>
      <c r="P2242" s="126">
        <v>3858</v>
      </c>
      <c r="Q2242" s="128">
        <f t="array" ref="Q2242">SUM(IF(($S2242&gt;=4)*($C2242='TaxCred&amp;Subs'!$D$123:$D$127)*($H2242='TaxCred&amp;Subs'!$C$123:$C$127)*($H2242&lt;='TaxCred&amp;Subs'!$C$129),'TaxCred&amp;Subs'!$E$123:$E$127,0))</f>
        <v>0</v>
      </c>
      <c r="R2242" s="174">
        <v>0</v>
      </c>
      <c r="S2242" s="126">
        <v>3</v>
      </c>
      <c r="T2242" s="126" t="s">
        <v>247</v>
      </c>
      <c r="U2242" s="158"/>
      <c r="V2242" s="153" t="str">
        <f t="array" ref="V2242">INDEX(xlRTCLNAME,MATCH(1,(xlRTCLENDU=1)*(xlRTCLEQCL=$D2242),0))</f>
        <v>NG_FA</v>
      </c>
      <c r="W2242" s="153" t="str">
        <f t="array" ref="W2242">INDEX(xlRTCLNAME,MATCH(1,(xlRTCLENDU=2)*(xlRTCLEQCL=$F2242),0))</f>
        <v>CENT_AIR</v>
      </c>
      <c r="X2242" s="153" t="str">
        <f t="array" ref="X2242">INDEX(xlRTTYNAME,MATCH(1,(xlRTTYENDU=1)*(xlRTTYEQCL=$D2242)*(xlRTEQTYPE=$E2242),0))</f>
        <v>NG_FA3</v>
      </c>
      <c r="Y2242" s="153" t="str">
        <f t="array" ref="Y2242">INDEX(xlRTTYNAME,MATCH(1,(xlRTTYENDU=2)*(xlRTTYEQCL=$F2242)*(xlRTEQTYPE=$G2242),0))</f>
        <v>CENT_AIR3</v>
      </c>
    </row>
    <row r="2243" spans="2:25" x14ac:dyDescent="0.2">
      <c r="B2243" s="126">
        <v>7</v>
      </c>
      <c r="C2243" s="126">
        <v>3</v>
      </c>
      <c r="D2243" s="126">
        <v>3</v>
      </c>
      <c r="E2243" s="126">
        <v>8</v>
      </c>
      <c r="F2243" s="126">
        <v>2</v>
      </c>
      <c r="G2243" s="126">
        <v>7</v>
      </c>
      <c r="H2243" s="126">
        <v>2016</v>
      </c>
      <c r="I2243" s="126">
        <v>2050</v>
      </c>
      <c r="J2243" s="127">
        <v>1.0914999999999999</v>
      </c>
      <c r="K2243" s="127">
        <v>1.0496000000000001</v>
      </c>
      <c r="L2243" s="127">
        <v>0.87839999999999996</v>
      </c>
      <c r="M2243" s="127">
        <v>1.0842000000000001</v>
      </c>
      <c r="N2243" s="127">
        <v>0.81759999999999999</v>
      </c>
      <c r="O2243" s="127">
        <v>1.0538000000000001</v>
      </c>
      <c r="P2243" s="126">
        <v>2672</v>
      </c>
      <c r="Q2243" s="128">
        <f t="array" ref="Q2243">SUM(IF(($S2243&gt;=4)*($C2243='TaxCred&amp;Subs'!$D$123:$D$127)*($H2243='TaxCred&amp;Subs'!$C$123:$C$127)*($H2243&lt;='TaxCred&amp;Subs'!$C$129),'TaxCred&amp;Subs'!$E$123:$E$127,0))</f>
        <v>0</v>
      </c>
      <c r="R2243" s="174">
        <v>0</v>
      </c>
      <c r="S2243" s="126">
        <v>3</v>
      </c>
      <c r="T2243" s="126" t="s">
        <v>247</v>
      </c>
      <c r="U2243" s="158"/>
      <c r="V2243" s="153" t="str">
        <f t="array" ref="V2243">INDEX(xlRTCLNAME,MATCH(1,(xlRTCLENDU=1)*(xlRTCLEQCL=$D2243),0))</f>
        <v>NG_FA</v>
      </c>
      <c r="W2243" s="153" t="str">
        <f t="array" ref="W2243">INDEX(xlRTCLNAME,MATCH(1,(xlRTCLENDU=2)*(xlRTCLEQCL=$F2243),0))</f>
        <v>CENT_AIR</v>
      </c>
      <c r="X2243" s="153" t="str">
        <f t="array" ref="X2243">INDEX(xlRTTYNAME,MATCH(1,(xlRTTYENDU=1)*(xlRTTYEQCL=$D2243)*(xlRTEQTYPE=$E2243),0))</f>
        <v>NG_FA3</v>
      </c>
      <c r="Y2243" s="153" t="str">
        <f t="array" ref="Y2243">INDEX(xlRTTYNAME,MATCH(1,(xlRTTYENDU=2)*(xlRTTYEQCL=$F2243)*(xlRTEQTYPE=$G2243),0))</f>
        <v>CENT_AIR3</v>
      </c>
    </row>
    <row r="2244" spans="2:25" x14ac:dyDescent="0.2">
      <c r="B2244" s="126">
        <v>9</v>
      </c>
      <c r="C2244" s="126">
        <v>3</v>
      </c>
      <c r="D2244" s="126">
        <v>3</v>
      </c>
      <c r="E2244" s="126">
        <v>8</v>
      </c>
      <c r="F2244" s="126">
        <v>2</v>
      </c>
      <c r="G2244" s="126">
        <v>7</v>
      </c>
      <c r="H2244" s="126">
        <v>2016</v>
      </c>
      <c r="I2244" s="126">
        <v>2050</v>
      </c>
      <c r="J2244" s="127">
        <v>1.0761000000000001</v>
      </c>
      <c r="K2244" s="127">
        <v>1.0506</v>
      </c>
      <c r="L2244" s="127">
        <v>0.84919999999999995</v>
      </c>
      <c r="M2244" s="127">
        <v>1.1452</v>
      </c>
      <c r="N2244" s="127">
        <v>0.84670000000000001</v>
      </c>
      <c r="O2244" s="127">
        <v>1.0538000000000001</v>
      </c>
      <c r="P2244" s="126">
        <v>5447</v>
      </c>
      <c r="Q2244" s="128">
        <f t="array" ref="Q2244">SUM(IF(($S2244&gt;=4)*($C2244='TaxCred&amp;Subs'!$D$123:$D$127)*($H2244='TaxCred&amp;Subs'!$C$123:$C$127)*($H2244&lt;='TaxCred&amp;Subs'!$C$129),'TaxCred&amp;Subs'!$E$123:$E$127,0))</f>
        <v>0</v>
      </c>
      <c r="R2244" s="174">
        <v>0</v>
      </c>
      <c r="S2244" s="126">
        <v>3</v>
      </c>
      <c r="T2244" s="126" t="s">
        <v>247</v>
      </c>
      <c r="U2244" s="158"/>
      <c r="V2244" s="153" t="str">
        <f t="array" ref="V2244">INDEX(xlRTCLNAME,MATCH(1,(xlRTCLENDU=1)*(xlRTCLEQCL=$D2244),0))</f>
        <v>NG_FA</v>
      </c>
      <c r="W2244" s="153" t="str">
        <f t="array" ref="W2244">INDEX(xlRTCLNAME,MATCH(1,(xlRTCLENDU=2)*(xlRTCLEQCL=$F2244),0))</f>
        <v>CENT_AIR</v>
      </c>
      <c r="X2244" s="153" t="str">
        <f t="array" ref="X2244">INDEX(xlRTTYNAME,MATCH(1,(xlRTTYENDU=1)*(xlRTTYEQCL=$D2244)*(xlRTEQTYPE=$E2244),0))</f>
        <v>NG_FA3</v>
      </c>
      <c r="Y2244" s="153" t="str">
        <f t="array" ref="Y2244">INDEX(xlRTTYNAME,MATCH(1,(xlRTTYENDU=2)*(xlRTTYEQCL=$F2244)*(xlRTEQTYPE=$G2244),0))</f>
        <v>CENT_AIR3</v>
      </c>
    </row>
    <row r="2245" spans="2:25" x14ac:dyDescent="0.2">
      <c r="B2245" s="126">
        <v>5</v>
      </c>
      <c r="C2245" s="126">
        <v>3</v>
      </c>
      <c r="D2245" s="126">
        <v>4</v>
      </c>
      <c r="E2245" s="126">
        <v>12</v>
      </c>
      <c r="F2245" s="126">
        <v>2</v>
      </c>
      <c r="G2245" s="126">
        <v>7</v>
      </c>
      <c r="H2245" s="126">
        <v>2016</v>
      </c>
      <c r="I2245" s="126">
        <v>2050</v>
      </c>
      <c r="J2245" s="127">
        <v>1.0940000000000001</v>
      </c>
      <c r="K2245" s="127">
        <v>1.0575000000000001</v>
      </c>
      <c r="L2245" s="127">
        <v>0.78359999999999996</v>
      </c>
      <c r="M2245" s="127">
        <v>1.0437000000000001</v>
      </c>
      <c r="N2245" s="127">
        <v>0.83130000000000004</v>
      </c>
      <c r="O2245" s="127">
        <v>1.0538000000000001</v>
      </c>
      <c r="P2245" s="126">
        <v>4611</v>
      </c>
      <c r="Q2245" s="128">
        <f t="array" ref="Q2245">SUM(IF(($S2245&gt;=4)*($C2245='TaxCred&amp;Subs'!$D$123:$D$127)*($H2245='TaxCred&amp;Subs'!$C$123:$C$127)*($H2245&lt;='TaxCred&amp;Subs'!$C$129),'TaxCred&amp;Subs'!$E$123:$E$127,0))</f>
        <v>0</v>
      </c>
      <c r="R2245" s="174">
        <v>0</v>
      </c>
      <c r="S2245" s="126">
        <v>3</v>
      </c>
      <c r="T2245" s="126" t="s">
        <v>247</v>
      </c>
      <c r="U2245" s="158"/>
      <c r="V2245" s="153" t="str">
        <f t="array" ref="V2245">INDEX(xlRTCLNAME,MATCH(1,(xlRTCLENDU=1)*(xlRTCLEQCL=$D2245),0))</f>
        <v>NG_RAD</v>
      </c>
      <c r="W2245" s="153" t="str">
        <f t="array" ref="W2245">INDEX(xlRTCLNAME,MATCH(1,(xlRTCLENDU=2)*(xlRTCLEQCL=$F2245),0))</f>
        <v>CENT_AIR</v>
      </c>
      <c r="X2245" s="153" t="str">
        <f t="array" ref="X2245">INDEX(xlRTTYNAME,MATCH(1,(xlRTTYENDU=1)*(xlRTTYEQCL=$D2245)*(xlRTEQTYPE=$E2245),0))</f>
        <v>NG_RAD3</v>
      </c>
      <c r="Y2245" s="153" t="str">
        <f t="array" ref="Y2245">INDEX(xlRTTYNAME,MATCH(1,(xlRTTYENDU=2)*(xlRTTYEQCL=$F2245)*(xlRTEQTYPE=$G2245),0))</f>
        <v>CENT_AIR3</v>
      </c>
    </row>
    <row r="2246" spans="2:25" x14ac:dyDescent="0.2">
      <c r="B2246" s="126">
        <v>6</v>
      </c>
      <c r="C2246" s="126">
        <v>3</v>
      </c>
      <c r="D2246" s="126">
        <v>4</v>
      </c>
      <c r="E2246" s="126">
        <v>12</v>
      </c>
      <c r="F2246" s="126">
        <v>2</v>
      </c>
      <c r="G2246" s="126">
        <v>7</v>
      </c>
      <c r="H2246" s="126">
        <v>2016</v>
      </c>
      <c r="I2246" s="126">
        <v>2050</v>
      </c>
      <c r="J2246" s="127">
        <v>1.0873999999999999</v>
      </c>
      <c r="K2246" s="127">
        <v>1.0609999999999999</v>
      </c>
      <c r="L2246" s="127">
        <v>0.86419999999999997</v>
      </c>
      <c r="M2246" s="127">
        <v>1.0437000000000001</v>
      </c>
      <c r="N2246" s="127">
        <v>0.80189999999999995</v>
      </c>
      <c r="O2246" s="127">
        <v>1.0538000000000001</v>
      </c>
      <c r="P2246" s="126">
        <v>4280</v>
      </c>
      <c r="Q2246" s="128">
        <f t="array" ref="Q2246">SUM(IF(($S2246&gt;=4)*($C2246='TaxCred&amp;Subs'!$D$123:$D$127)*($H2246='TaxCred&amp;Subs'!$C$123:$C$127)*($H2246&lt;='TaxCred&amp;Subs'!$C$129),'TaxCred&amp;Subs'!$E$123:$E$127,0))</f>
        <v>0</v>
      </c>
      <c r="R2246" s="174">
        <v>0</v>
      </c>
      <c r="S2246" s="126">
        <v>3</v>
      </c>
      <c r="T2246" s="126" t="s">
        <v>247</v>
      </c>
      <c r="U2246" s="158"/>
      <c r="V2246" s="153" t="str">
        <f t="array" ref="V2246">INDEX(xlRTCLNAME,MATCH(1,(xlRTCLENDU=1)*(xlRTCLEQCL=$D2246),0))</f>
        <v>NG_RAD</v>
      </c>
      <c r="W2246" s="153" t="str">
        <f t="array" ref="W2246">INDEX(xlRTCLNAME,MATCH(1,(xlRTCLENDU=2)*(xlRTCLEQCL=$F2246),0))</f>
        <v>CENT_AIR</v>
      </c>
      <c r="X2246" s="153" t="str">
        <f t="array" ref="X2246">INDEX(xlRTTYNAME,MATCH(1,(xlRTTYENDU=1)*(xlRTTYEQCL=$D2246)*(xlRTEQTYPE=$E2246),0))</f>
        <v>NG_RAD3</v>
      </c>
      <c r="Y2246" s="153" t="str">
        <f t="array" ref="Y2246">INDEX(xlRTTYNAME,MATCH(1,(xlRTTYENDU=2)*(xlRTTYEQCL=$F2246)*(xlRTEQTYPE=$G2246),0))</f>
        <v>CENT_AIR3</v>
      </c>
    </row>
    <row r="2247" spans="2:25" x14ac:dyDescent="0.2">
      <c r="B2247" s="126">
        <v>7</v>
      </c>
      <c r="C2247" s="126">
        <v>3</v>
      </c>
      <c r="D2247" s="126">
        <v>4</v>
      </c>
      <c r="E2247" s="126">
        <v>12</v>
      </c>
      <c r="F2247" s="126">
        <v>2</v>
      </c>
      <c r="G2247" s="126">
        <v>7</v>
      </c>
      <c r="H2247" s="126">
        <v>2016</v>
      </c>
      <c r="I2247" s="126">
        <v>2050</v>
      </c>
      <c r="J2247" s="127">
        <v>1.0826</v>
      </c>
      <c r="K2247" s="127">
        <v>1.0412999999999999</v>
      </c>
      <c r="L2247" s="127">
        <v>0.85299999999999998</v>
      </c>
      <c r="M2247" s="127">
        <v>1.0797000000000001</v>
      </c>
      <c r="N2247" s="127">
        <v>0.8125</v>
      </c>
      <c r="O2247" s="127">
        <v>1.0538000000000001</v>
      </c>
      <c r="P2247" s="126">
        <v>2902</v>
      </c>
      <c r="Q2247" s="128">
        <f t="array" ref="Q2247">SUM(IF(($S2247&gt;=4)*($C2247='TaxCred&amp;Subs'!$D$123:$D$127)*($H2247='TaxCred&amp;Subs'!$C$123:$C$127)*($H2247&lt;='TaxCred&amp;Subs'!$C$129),'TaxCred&amp;Subs'!$E$123:$E$127,0))</f>
        <v>0</v>
      </c>
      <c r="R2247" s="174">
        <v>0</v>
      </c>
      <c r="S2247" s="126">
        <v>3</v>
      </c>
      <c r="T2247" s="126" t="s">
        <v>247</v>
      </c>
      <c r="U2247" s="158"/>
      <c r="V2247" s="153" t="str">
        <f t="array" ref="V2247">INDEX(xlRTCLNAME,MATCH(1,(xlRTCLENDU=1)*(xlRTCLEQCL=$D2247),0))</f>
        <v>NG_RAD</v>
      </c>
      <c r="W2247" s="153" t="str">
        <f t="array" ref="W2247">INDEX(xlRTCLNAME,MATCH(1,(xlRTCLENDU=2)*(xlRTCLEQCL=$F2247),0))</f>
        <v>CENT_AIR</v>
      </c>
      <c r="X2247" s="153" t="str">
        <f t="array" ref="X2247">INDEX(xlRTTYNAME,MATCH(1,(xlRTTYENDU=1)*(xlRTTYEQCL=$D2247)*(xlRTEQTYPE=$E2247),0))</f>
        <v>NG_RAD3</v>
      </c>
      <c r="Y2247" s="153" t="str">
        <f t="array" ref="Y2247">INDEX(xlRTTYNAME,MATCH(1,(xlRTTYENDU=2)*(xlRTTYEQCL=$F2247)*(xlRTEQTYPE=$G2247),0))</f>
        <v>CENT_AIR3</v>
      </c>
    </row>
    <row r="2248" spans="2:25" x14ac:dyDescent="0.2">
      <c r="B2248" s="126">
        <v>9</v>
      </c>
      <c r="C2248" s="126">
        <v>3</v>
      </c>
      <c r="D2248" s="126">
        <v>4</v>
      </c>
      <c r="E2248" s="126">
        <v>12</v>
      </c>
      <c r="F2248" s="126">
        <v>2</v>
      </c>
      <c r="G2248" s="126">
        <v>7</v>
      </c>
      <c r="H2248" s="126">
        <v>2016</v>
      </c>
      <c r="I2248" s="126">
        <v>2050</v>
      </c>
      <c r="J2248" s="127">
        <v>1.0845</v>
      </c>
      <c r="K2248" s="127">
        <v>1.0658000000000001</v>
      </c>
      <c r="L2248" s="127">
        <v>0.80379999999999996</v>
      </c>
      <c r="M2248" s="127">
        <v>1.1217999999999999</v>
      </c>
      <c r="N2248" s="127">
        <v>0.84079999999999999</v>
      </c>
      <c r="O2248" s="127">
        <v>1.0538000000000001</v>
      </c>
      <c r="P2248" s="126">
        <v>6614</v>
      </c>
      <c r="Q2248" s="128">
        <f t="array" ref="Q2248">SUM(IF(($S2248&gt;=4)*($C2248='TaxCred&amp;Subs'!$D$123:$D$127)*($H2248='TaxCred&amp;Subs'!$C$123:$C$127)*($H2248&lt;='TaxCred&amp;Subs'!$C$129),'TaxCred&amp;Subs'!$E$123:$E$127,0))</f>
        <v>0</v>
      </c>
      <c r="R2248" s="174">
        <v>0</v>
      </c>
      <c r="S2248" s="126">
        <v>3</v>
      </c>
      <c r="T2248" s="126" t="s">
        <v>247</v>
      </c>
      <c r="U2248" s="158"/>
      <c r="V2248" s="153" t="str">
        <f t="array" ref="V2248">INDEX(xlRTCLNAME,MATCH(1,(xlRTCLENDU=1)*(xlRTCLEQCL=$D2248),0))</f>
        <v>NG_RAD</v>
      </c>
      <c r="W2248" s="153" t="str">
        <f t="array" ref="W2248">INDEX(xlRTCLNAME,MATCH(1,(xlRTCLENDU=2)*(xlRTCLEQCL=$F2248),0))</f>
        <v>CENT_AIR</v>
      </c>
      <c r="X2248" s="153" t="str">
        <f t="array" ref="X2248">INDEX(xlRTTYNAME,MATCH(1,(xlRTTYENDU=1)*(xlRTTYEQCL=$D2248)*(xlRTEQTYPE=$E2248),0))</f>
        <v>NG_RAD3</v>
      </c>
      <c r="Y2248" s="153" t="str">
        <f t="array" ref="Y2248">INDEX(xlRTTYNAME,MATCH(1,(xlRTTYENDU=2)*(xlRTTYEQCL=$F2248)*(xlRTEQTYPE=$G2248),0))</f>
        <v>CENT_AIR3</v>
      </c>
    </row>
    <row r="2249" spans="2:25" x14ac:dyDescent="0.2">
      <c r="B2249" s="129">
        <v>2</v>
      </c>
      <c r="C2249" s="129">
        <v>3</v>
      </c>
      <c r="D2249" s="129">
        <v>5</v>
      </c>
      <c r="E2249" s="129">
        <v>16</v>
      </c>
      <c r="F2249" s="129">
        <v>2</v>
      </c>
      <c r="G2249" s="129">
        <v>7</v>
      </c>
      <c r="H2249" s="129">
        <v>2016</v>
      </c>
      <c r="I2249" s="129">
        <v>2050</v>
      </c>
      <c r="J2249" s="130">
        <v>1.0873999999999999</v>
      </c>
      <c r="K2249" s="130">
        <v>1.0638000000000001</v>
      </c>
      <c r="L2249" s="130">
        <v>0.74980000000000002</v>
      </c>
      <c r="M2249" s="130">
        <v>1.1226</v>
      </c>
      <c r="N2249" s="130">
        <v>0.84279999999999999</v>
      </c>
      <c r="O2249" s="130">
        <v>1.0538000000000001</v>
      </c>
      <c r="P2249" s="129">
        <v>6646</v>
      </c>
      <c r="Q2249" s="128">
        <f t="array" ref="Q2249">SUM(IF(($S2249&gt;=4)*($C2249='TaxCred&amp;Subs'!$D$123:$D$127)*($H2249='TaxCred&amp;Subs'!$C$123:$C$127)*($H2249&lt;='TaxCred&amp;Subs'!$C$129),'TaxCred&amp;Subs'!$E$123:$E$127,0))</f>
        <v>0</v>
      </c>
      <c r="R2249" s="174">
        <v>0</v>
      </c>
      <c r="S2249" s="129">
        <v>3</v>
      </c>
      <c r="T2249" s="129" t="s">
        <v>247</v>
      </c>
      <c r="U2249" s="155" t="s">
        <v>235</v>
      </c>
      <c r="V2249" s="153" t="str">
        <f t="array" ref="V2249">INDEX(xlRTCLNAME,MATCH(1,(xlRTCLENDU=1)*(xlRTCLEQCL=$D2249),0))</f>
        <v>KERO_FA</v>
      </c>
      <c r="W2249" s="153" t="str">
        <f t="array" ref="W2249">INDEX(xlRTCLNAME,MATCH(1,(xlRTCLENDU=2)*(xlRTCLEQCL=$F2249),0))</f>
        <v>CENT_AIR</v>
      </c>
      <c r="X2249" s="153" t="str">
        <f t="array" ref="X2249">INDEX(xlRTTYNAME,MATCH(1,(xlRTTYENDU=1)*(xlRTTYEQCL=$D2249)*(xlRTEQTYPE=$E2249),0))</f>
        <v>KERO_FA3</v>
      </c>
      <c r="Y2249" s="153" t="str">
        <f t="array" ref="Y2249">INDEX(xlRTTYNAME,MATCH(1,(xlRTTYENDU=2)*(xlRTTYEQCL=$F2249)*(xlRTEQTYPE=$G2249),0))</f>
        <v>CENT_AIR3</v>
      </c>
    </row>
    <row r="2250" spans="2:25" x14ac:dyDescent="0.2">
      <c r="B2250" s="129">
        <v>5</v>
      </c>
      <c r="C2250" s="129">
        <v>3</v>
      </c>
      <c r="D2250" s="129">
        <v>5</v>
      </c>
      <c r="E2250" s="129">
        <v>16</v>
      </c>
      <c r="F2250" s="129">
        <v>2</v>
      </c>
      <c r="G2250" s="129">
        <v>7</v>
      </c>
      <c r="H2250" s="129">
        <v>2016</v>
      </c>
      <c r="I2250" s="129">
        <v>2050</v>
      </c>
      <c r="J2250" s="130">
        <v>1.0667</v>
      </c>
      <c r="K2250" s="130">
        <v>1.0568</v>
      </c>
      <c r="L2250" s="130">
        <v>0.75439999999999996</v>
      </c>
      <c r="M2250" s="130">
        <v>1.0553999999999999</v>
      </c>
      <c r="N2250" s="130">
        <v>0.83260000000000001</v>
      </c>
      <c r="O2250" s="130">
        <v>1.0538000000000001</v>
      </c>
      <c r="P2250" s="129">
        <v>4065</v>
      </c>
      <c r="Q2250" s="128">
        <f t="array" ref="Q2250">SUM(IF(($S2250&gt;=4)*($C2250='TaxCred&amp;Subs'!$D$123:$D$127)*($H2250='TaxCred&amp;Subs'!$C$123:$C$127)*($H2250&lt;='TaxCred&amp;Subs'!$C$129),'TaxCred&amp;Subs'!$E$123:$E$127,0))</f>
        <v>0</v>
      </c>
      <c r="R2250" s="174">
        <v>0</v>
      </c>
      <c r="S2250" s="129">
        <v>3</v>
      </c>
      <c r="T2250" s="129" t="s">
        <v>247</v>
      </c>
      <c r="U2250" s="155" t="s">
        <v>235</v>
      </c>
      <c r="V2250" s="153" t="str">
        <f t="array" ref="V2250">INDEX(xlRTCLNAME,MATCH(1,(xlRTCLENDU=1)*(xlRTCLEQCL=$D2250),0))</f>
        <v>KERO_FA</v>
      </c>
      <c r="W2250" s="153" t="str">
        <f t="array" ref="W2250">INDEX(xlRTCLNAME,MATCH(1,(xlRTCLENDU=2)*(xlRTCLEQCL=$F2250),0))</f>
        <v>CENT_AIR</v>
      </c>
      <c r="X2250" s="153" t="str">
        <f t="array" ref="X2250">INDEX(xlRTTYNAME,MATCH(1,(xlRTTYENDU=1)*(xlRTTYEQCL=$D2250)*(xlRTEQTYPE=$E2250),0))</f>
        <v>KERO_FA3</v>
      </c>
      <c r="Y2250" s="153" t="str">
        <f t="array" ref="Y2250">INDEX(xlRTTYNAME,MATCH(1,(xlRTTYENDU=2)*(xlRTTYEQCL=$F2250)*(xlRTEQTYPE=$G2250),0))</f>
        <v>CENT_AIR3</v>
      </c>
    </row>
    <row r="2251" spans="2:25" x14ac:dyDescent="0.2">
      <c r="B2251" s="129">
        <v>6</v>
      </c>
      <c r="C2251" s="129">
        <v>3</v>
      </c>
      <c r="D2251" s="129">
        <v>5</v>
      </c>
      <c r="E2251" s="129">
        <v>16</v>
      </c>
      <c r="F2251" s="129">
        <v>2</v>
      </c>
      <c r="G2251" s="129">
        <v>7</v>
      </c>
      <c r="H2251" s="129">
        <v>2016</v>
      </c>
      <c r="I2251" s="129">
        <v>2050</v>
      </c>
      <c r="J2251" s="130">
        <v>1.0896999999999999</v>
      </c>
      <c r="K2251" s="130">
        <v>1.0723</v>
      </c>
      <c r="L2251" s="130">
        <v>0.80100000000000005</v>
      </c>
      <c r="M2251" s="130">
        <v>1.0627</v>
      </c>
      <c r="N2251" s="130">
        <v>0.80269999999999997</v>
      </c>
      <c r="O2251" s="130">
        <v>1.0538000000000001</v>
      </c>
      <c r="P2251" s="129">
        <v>3936</v>
      </c>
      <c r="Q2251" s="128">
        <f t="array" ref="Q2251">SUM(IF(($S2251&gt;=4)*($C2251='TaxCred&amp;Subs'!$D$123:$D$127)*($H2251='TaxCred&amp;Subs'!$C$123:$C$127)*($H2251&lt;='TaxCred&amp;Subs'!$C$129),'TaxCred&amp;Subs'!$E$123:$E$127,0))</f>
        <v>0</v>
      </c>
      <c r="R2251" s="174">
        <v>0</v>
      </c>
      <c r="S2251" s="129">
        <v>3</v>
      </c>
      <c r="T2251" s="129" t="s">
        <v>247</v>
      </c>
      <c r="U2251" s="155" t="s">
        <v>235</v>
      </c>
      <c r="V2251" s="153" t="str">
        <f t="array" ref="V2251">INDEX(xlRTCLNAME,MATCH(1,(xlRTCLENDU=1)*(xlRTCLEQCL=$D2251),0))</f>
        <v>KERO_FA</v>
      </c>
      <c r="W2251" s="153" t="str">
        <f t="array" ref="W2251">INDEX(xlRTCLNAME,MATCH(1,(xlRTCLENDU=2)*(xlRTCLEQCL=$F2251),0))</f>
        <v>CENT_AIR</v>
      </c>
      <c r="X2251" s="153" t="str">
        <f t="array" ref="X2251">INDEX(xlRTTYNAME,MATCH(1,(xlRTTYENDU=1)*(xlRTTYEQCL=$D2251)*(xlRTEQTYPE=$E2251),0))</f>
        <v>KERO_FA3</v>
      </c>
      <c r="Y2251" s="153" t="str">
        <f t="array" ref="Y2251">INDEX(xlRTTYNAME,MATCH(1,(xlRTTYENDU=2)*(xlRTTYEQCL=$F2251)*(xlRTEQTYPE=$G2251),0))</f>
        <v>CENT_AIR3</v>
      </c>
    </row>
    <row r="2252" spans="2:25" x14ac:dyDescent="0.2">
      <c r="B2252" s="129">
        <v>7</v>
      </c>
      <c r="C2252" s="129">
        <v>3</v>
      </c>
      <c r="D2252" s="129">
        <v>5</v>
      </c>
      <c r="E2252" s="129">
        <v>16</v>
      </c>
      <c r="F2252" s="129">
        <v>2</v>
      </c>
      <c r="G2252" s="129">
        <v>7</v>
      </c>
      <c r="H2252" s="129">
        <v>2016</v>
      </c>
      <c r="I2252" s="129">
        <v>2050</v>
      </c>
      <c r="J2252" s="130">
        <v>1.0940000000000001</v>
      </c>
      <c r="K2252" s="130">
        <v>1.0512999999999999</v>
      </c>
      <c r="L2252" s="130">
        <v>0.85360000000000003</v>
      </c>
      <c r="M2252" s="130">
        <v>1.0709</v>
      </c>
      <c r="N2252" s="130">
        <v>0.81289999999999996</v>
      </c>
      <c r="O2252" s="130">
        <v>1.0538000000000001</v>
      </c>
      <c r="P2252" s="129">
        <v>2772</v>
      </c>
      <c r="Q2252" s="128">
        <f t="array" ref="Q2252">SUM(IF(($S2252&gt;=4)*($C2252='TaxCred&amp;Subs'!$D$123:$D$127)*($H2252='TaxCred&amp;Subs'!$C$123:$C$127)*($H2252&lt;='TaxCred&amp;Subs'!$C$129),'TaxCred&amp;Subs'!$E$123:$E$127,0))</f>
        <v>0</v>
      </c>
      <c r="R2252" s="174">
        <v>0</v>
      </c>
      <c r="S2252" s="129">
        <v>3</v>
      </c>
      <c r="T2252" s="129" t="s">
        <v>247</v>
      </c>
      <c r="U2252" s="155" t="s">
        <v>235</v>
      </c>
      <c r="V2252" s="153" t="str">
        <f t="array" ref="V2252">INDEX(xlRTCLNAME,MATCH(1,(xlRTCLENDU=1)*(xlRTCLEQCL=$D2252),0))</f>
        <v>KERO_FA</v>
      </c>
      <c r="W2252" s="153" t="str">
        <f t="array" ref="W2252">INDEX(xlRTCLNAME,MATCH(1,(xlRTCLENDU=2)*(xlRTCLEQCL=$F2252),0))</f>
        <v>CENT_AIR</v>
      </c>
      <c r="X2252" s="153" t="str">
        <f t="array" ref="X2252">INDEX(xlRTTYNAME,MATCH(1,(xlRTTYENDU=1)*(xlRTTYEQCL=$D2252)*(xlRTEQTYPE=$E2252),0))</f>
        <v>KERO_FA3</v>
      </c>
      <c r="Y2252" s="153" t="str">
        <f t="array" ref="Y2252">INDEX(xlRTTYNAME,MATCH(1,(xlRTTYENDU=2)*(xlRTTYEQCL=$F2252)*(xlRTEQTYPE=$G2252),0))</f>
        <v>CENT_AIR3</v>
      </c>
    </row>
    <row r="2253" spans="2:25" x14ac:dyDescent="0.2">
      <c r="B2253" s="129">
        <v>9</v>
      </c>
      <c r="C2253" s="129">
        <v>3</v>
      </c>
      <c r="D2253" s="129">
        <v>5</v>
      </c>
      <c r="E2253" s="129">
        <v>16</v>
      </c>
      <c r="F2253" s="129">
        <v>2</v>
      </c>
      <c r="G2253" s="129">
        <v>7</v>
      </c>
      <c r="H2253" s="129">
        <v>2016</v>
      </c>
      <c r="I2253" s="129">
        <v>2050</v>
      </c>
      <c r="J2253" s="130">
        <v>1.0743</v>
      </c>
      <c r="K2253" s="130">
        <v>1.0519000000000001</v>
      </c>
      <c r="L2253" s="130">
        <v>0.82989999999999997</v>
      </c>
      <c r="M2253" s="130">
        <v>1.1548</v>
      </c>
      <c r="N2253" s="130">
        <v>0.84240000000000004</v>
      </c>
      <c r="O2253" s="130">
        <v>1.0538000000000001</v>
      </c>
      <c r="P2253" s="129">
        <v>6415</v>
      </c>
      <c r="Q2253" s="128">
        <f t="array" ref="Q2253">SUM(IF(($S2253&gt;=4)*($C2253='TaxCred&amp;Subs'!$D$123:$D$127)*($H2253='TaxCred&amp;Subs'!$C$123:$C$127)*($H2253&lt;='TaxCred&amp;Subs'!$C$129),'TaxCred&amp;Subs'!$E$123:$E$127,0))</f>
        <v>0</v>
      </c>
      <c r="R2253" s="174">
        <v>0</v>
      </c>
      <c r="S2253" s="129">
        <v>3</v>
      </c>
      <c r="T2253" s="129" t="s">
        <v>247</v>
      </c>
      <c r="U2253" s="155" t="s">
        <v>235</v>
      </c>
      <c r="V2253" s="153" t="str">
        <f t="array" ref="V2253">INDEX(xlRTCLNAME,MATCH(1,(xlRTCLENDU=1)*(xlRTCLEQCL=$D2253),0))</f>
        <v>KERO_FA</v>
      </c>
      <c r="W2253" s="153" t="str">
        <f t="array" ref="W2253">INDEX(xlRTCLNAME,MATCH(1,(xlRTCLENDU=2)*(xlRTCLEQCL=$F2253),0))</f>
        <v>CENT_AIR</v>
      </c>
      <c r="X2253" s="153" t="str">
        <f t="array" ref="X2253">INDEX(xlRTTYNAME,MATCH(1,(xlRTTYENDU=1)*(xlRTTYEQCL=$D2253)*(xlRTEQTYPE=$E2253),0))</f>
        <v>KERO_FA3</v>
      </c>
      <c r="Y2253" s="153" t="str">
        <f t="array" ref="Y2253">INDEX(xlRTTYNAME,MATCH(1,(xlRTTYENDU=2)*(xlRTTYEQCL=$F2253)*(xlRTEQTYPE=$G2253),0))</f>
        <v>CENT_AIR3</v>
      </c>
    </row>
    <row r="2254" spans="2:25" x14ac:dyDescent="0.2">
      <c r="B2254" s="126">
        <v>2</v>
      </c>
      <c r="C2254" s="126">
        <v>3</v>
      </c>
      <c r="D2254" s="126">
        <v>6</v>
      </c>
      <c r="E2254" s="126">
        <v>20</v>
      </c>
      <c r="F2254" s="126">
        <v>2</v>
      </c>
      <c r="G2254" s="126">
        <v>7</v>
      </c>
      <c r="H2254" s="126">
        <v>2016</v>
      </c>
      <c r="I2254" s="126">
        <v>2050</v>
      </c>
      <c r="J2254" s="127">
        <v>1.0670999999999999</v>
      </c>
      <c r="K2254" s="127">
        <v>1.0638000000000001</v>
      </c>
      <c r="L2254" s="127">
        <v>0.87570000000000003</v>
      </c>
      <c r="M2254" s="127">
        <v>1.1334</v>
      </c>
      <c r="N2254" s="127">
        <v>0.84609999999999996</v>
      </c>
      <c r="O2254" s="127">
        <v>1.0538000000000001</v>
      </c>
      <c r="P2254" s="126">
        <v>5059</v>
      </c>
      <c r="Q2254" s="128">
        <f t="array" ref="Q2254">SUM(IF(($S2254&gt;=4)*($C2254='TaxCred&amp;Subs'!$D$123:$D$127)*($H2254='TaxCred&amp;Subs'!$C$123:$C$127)*($H2254&lt;='TaxCred&amp;Subs'!$C$129),'TaxCred&amp;Subs'!$E$123:$E$127,0))</f>
        <v>0</v>
      </c>
      <c r="R2254" s="174">
        <v>0</v>
      </c>
      <c r="S2254" s="126">
        <v>3</v>
      </c>
      <c r="T2254" s="126" t="s">
        <v>247</v>
      </c>
      <c r="U2254" s="158"/>
      <c r="V2254" s="153" t="str">
        <f t="array" ref="V2254">INDEX(xlRTCLNAME,MATCH(1,(xlRTCLENDU=1)*(xlRTCLEQCL=$D2254),0))</f>
        <v>LPG_FA</v>
      </c>
      <c r="W2254" s="153" t="str">
        <f t="array" ref="W2254">INDEX(xlRTCLNAME,MATCH(1,(xlRTCLENDU=2)*(xlRTCLEQCL=$F2254),0))</f>
        <v>CENT_AIR</v>
      </c>
      <c r="X2254" s="153" t="str">
        <f t="array" ref="X2254">INDEX(xlRTTYNAME,MATCH(1,(xlRTTYENDU=1)*(xlRTTYEQCL=$D2254)*(xlRTEQTYPE=$E2254),0))</f>
        <v>LPG_FA3</v>
      </c>
      <c r="Y2254" s="153" t="str">
        <f t="array" ref="Y2254">INDEX(xlRTTYNAME,MATCH(1,(xlRTTYENDU=2)*(xlRTTYEQCL=$F2254)*(xlRTEQTYPE=$G2254),0))</f>
        <v>CENT_AIR3</v>
      </c>
    </row>
    <row r="2255" spans="2:25" x14ac:dyDescent="0.2">
      <c r="B2255" s="126">
        <v>5</v>
      </c>
      <c r="C2255" s="126">
        <v>3</v>
      </c>
      <c r="D2255" s="126">
        <v>6</v>
      </c>
      <c r="E2255" s="126">
        <v>20</v>
      </c>
      <c r="F2255" s="126">
        <v>2</v>
      </c>
      <c r="G2255" s="126">
        <v>7</v>
      </c>
      <c r="H2255" s="126">
        <v>2016</v>
      </c>
      <c r="I2255" s="126">
        <v>2050</v>
      </c>
      <c r="J2255" s="127">
        <v>1.0559000000000001</v>
      </c>
      <c r="K2255" s="127">
        <v>1.0444</v>
      </c>
      <c r="L2255" s="127">
        <v>0.84960000000000002</v>
      </c>
      <c r="M2255" s="127">
        <v>1.0552999999999999</v>
      </c>
      <c r="N2255" s="127">
        <v>0.83460000000000001</v>
      </c>
      <c r="O2255" s="127">
        <v>1.0538000000000001</v>
      </c>
      <c r="P2255" s="126">
        <v>3449</v>
      </c>
      <c r="Q2255" s="128">
        <f t="array" ref="Q2255">SUM(IF(($S2255&gt;=4)*($C2255='TaxCred&amp;Subs'!$D$123:$D$127)*($H2255='TaxCred&amp;Subs'!$C$123:$C$127)*($H2255&lt;='TaxCred&amp;Subs'!$C$129),'TaxCred&amp;Subs'!$E$123:$E$127,0))</f>
        <v>0</v>
      </c>
      <c r="R2255" s="174">
        <v>0</v>
      </c>
      <c r="S2255" s="126">
        <v>3</v>
      </c>
      <c r="T2255" s="126" t="s">
        <v>247</v>
      </c>
      <c r="U2255" s="158"/>
      <c r="V2255" s="153" t="str">
        <f t="array" ref="V2255">INDEX(xlRTCLNAME,MATCH(1,(xlRTCLENDU=1)*(xlRTCLEQCL=$D2255),0))</f>
        <v>LPG_FA</v>
      </c>
      <c r="W2255" s="153" t="str">
        <f t="array" ref="W2255">INDEX(xlRTCLNAME,MATCH(1,(xlRTCLENDU=2)*(xlRTCLEQCL=$F2255),0))</f>
        <v>CENT_AIR</v>
      </c>
      <c r="X2255" s="153" t="str">
        <f t="array" ref="X2255">INDEX(xlRTTYNAME,MATCH(1,(xlRTTYENDU=1)*(xlRTTYEQCL=$D2255)*(xlRTEQTYPE=$E2255),0))</f>
        <v>LPG_FA3</v>
      </c>
      <c r="Y2255" s="153" t="str">
        <f t="array" ref="Y2255">INDEX(xlRTTYNAME,MATCH(1,(xlRTTYENDU=2)*(xlRTTYEQCL=$F2255)*(xlRTEQTYPE=$G2255),0))</f>
        <v>CENT_AIR3</v>
      </c>
    </row>
    <row r="2256" spans="2:25" x14ac:dyDescent="0.2">
      <c r="B2256" s="126">
        <v>6</v>
      </c>
      <c r="C2256" s="126">
        <v>3</v>
      </c>
      <c r="D2256" s="126">
        <v>6</v>
      </c>
      <c r="E2256" s="126">
        <v>20</v>
      </c>
      <c r="F2256" s="126">
        <v>2</v>
      </c>
      <c r="G2256" s="126">
        <v>7</v>
      </c>
      <c r="H2256" s="126">
        <v>2016</v>
      </c>
      <c r="I2256" s="126">
        <v>2050</v>
      </c>
      <c r="J2256" s="127">
        <v>1.0872999999999999</v>
      </c>
      <c r="K2256" s="127">
        <v>1.0581</v>
      </c>
      <c r="L2256" s="127">
        <v>0.83140000000000003</v>
      </c>
      <c r="M2256" s="127">
        <v>1.0811999999999999</v>
      </c>
      <c r="N2256" s="127">
        <v>0.8044</v>
      </c>
      <c r="O2256" s="127">
        <v>1.0538000000000001</v>
      </c>
      <c r="P2256" s="126">
        <v>3858</v>
      </c>
      <c r="Q2256" s="128">
        <f t="array" ref="Q2256">SUM(IF(($S2256&gt;=4)*($C2256='TaxCred&amp;Subs'!$D$123:$D$127)*($H2256='TaxCred&amp;Subs'!$C$123:$C$127)*($H2256&lt;='TaxCred&amp;Subs'!$C$129),'TaxCred&amp;Subs'!$E$123:$E$127,0))</f>
        <v>0</v>
      </c>
      <c r="R2256" s="174">
        <v>0</v>
      </c>
      <c r="S2256" s="126">
        <v>3</v>
      </c>
      <c r="T2256" s="126" t="s">
        <v>247</v>
      </c>
      <c r="U2256" s="158"/>
      <c r="V2256" s="153" t="str">
        <f t="array" ref="V2256">INDEX(xlRTCLNAME,MATCH(1,(xlRTCLENDU=1)*(xlRTCLEQCL=$D2256),0))</f>
        <v>LPG_FA</v>
      </c>
      <c r="W2256" s="153" t="str">
        <f t="array" ref="W2256">INDEX(xlRTCLNAME,MATCH(1,(xlRTCLENDU=2)*(xlRTCLEQCL=$F2256),0))</f>
        <v>CENT_AIR</v>
      </c>
      <c r="X2256" s="153" t="str">
        <f t="array" ref="X2256">INDEX(xlRTTYNAME,MATCH(1,(xlRTTYENDU=1)*(xlRTTYEQCL=$D2256)*(xlRTEQTYPE=$E2256),0))</f>
        <v>LPG_FA3</v>
      </c>
      <c r="Y2256" s="153" t="str">
        <f t="array" ref="Y2256">INDEX(xlRTTYNAME,MATCH(1,(xlRTTYENDU=2)*(xlRTTYEQCL=$F2256)*(xlRTEQTYPE=$G2256),0))</f>
        <v>CENT_AIR3</v>
      </c>
    </row>
    <row r="2257" spans="2:25" x14ac:dyDescent="0.2">
      <c r="B2257" s="126">
        <v>7</v>
      </c>
      <c r="C2257" s="126">
        <v>3</v>
      </c>
      <c r="D2257" s="126">
        <v>6</v>
      </c>
      <c r="E2257" s="126">
        <v>20</v>
      </c>
      <c r="F2257" s="126">
        <v>2</v>
      </c>
      <c r="G2257" s="126">
        <v>7</v>
      </c>
      <c r="H2257" s="126">
        <v>2016</v>
      </c>
      <c r="I2257" s="126">
        <v>2050</v>
      </c>
      <c r="J2257" s="127">
        <v>1.0914999999999999</v>
      </c>
      <c r="K2257" s="127">
        <v>1.0496000000000001</v>
      </c>
      <c r="L2257" s="127">
        <v>0.87839999999999996</v>
      </c>
      <c r="M2257" s="127">
        <v>1.0842000000000001</v>
      </c>
      <c r="N2257" s="127">
        <v>0.81759999999999999</v>
      </c>
      <c r="O2257" s="127">
        <v>1.0538000000000001</v>
      </c>
      <c r="P2257" s="126">
        <v>2672</v>
      </c>
      <c r="Q2257" s="128">
        <f t="array" ref="Q2257">SUM(IF(($S2257&gt;=4)*($C2257='TaxCred&amp;Subs'!$D$123:$D$127)*($H2257='TaxCred&amp;Subs'!$C$123:$C$127)*($H2257&lt;='TaxCred&amp;Subs'!$C$129),'TaxCred&amp;Subs'!$E$123:$E$127,0))</f>
        <v>0</v>
      </c>
      <c r="R2257" s="174">
        <v>0</v>
      </c>
      <c r="S2257" s="126">
        <v>3</v>
      </c>
      <c r="T2257" s="126" t="s">
        <v>247</v>
      </c>
      <c r="U2257" s="158"/>
      <c r="V2257" s="153" t="str">
        <f t="array" ref="V2257">INDEX(xlRTCLNAME,MATCH(1,(xlRTCLENDU=1)*(xlRTCLEQCL=$D2257),0))</f>
        <v>LPG_FA</v>
      </c>
      <c r="W2257" s="153" t="str">
        <f t="array" ref="W2257">INDEX(xlRTCLNAME,MATCH(1,(xlRTCLENDU=2)*(xlRTCLEQCL=$F2257),0))</f>
        <v>CENT_AIR</v>
      </c>
      <c r="X2257" s="153" t="str">
        <f t="array" ref="X2257">INDEX(xlRTTYNAME,MATCH(1,(xlRTTYENDU=1)*(xlRTTYEQCL=$D2257)*(xlRTEQTYPE=$E2257),0))</f>
        <v>LPG_FA3</v>
      </c>
      <c r="Y2257" s="153" t="str">
        <f t="array" ref="Y2257">INDEX(xlRTTYNAME,MATCH(1,(xlRTTYENDU=2)*(xlRTTYEQCL=$F2257)*(xlRTEQTYPE=$G2257),0))</f>
        <v>CENT_AIR3</v>
      </c>
    </row>
    <row r="2258" spans="2:25" x14ac:dyDescent="0.2">
      <c r="B2258" s="126">
        <v>9</v>
      </c>
      <c r="C2258" s="126">
        <v>3</v>
      </c>
      <c r="D2258" s="126">
        <v>6</v>
      </c>
      <c r="E2258" s="126">
        <v>20</v>
      </c>
      <c r="F2258" s="126">
        <v>2</v>
      </c>
      <c r="G2258" s="126">
        <v>7</v>
      </c>
      <c r="H2258" s="126">
        <v>2016</v>
      </c>
      <c r="I2258" s="126">
        <v>2050</v>
      </c>
      <c r="J2258" s="127">
        <v>1.0761000000000001</v>
      </c>
      <c r="K2258" s="127">
        <v>1.0506</v>
      </c>
      <c r="L2258" s="127">
        <v>0.84919999999999995</v>
      </c>
      <c r="M2258" s="127">
        <v>1.1452</v>
      </c>
      <c r="N2258" s="127">
        <v>0.84670000000000001</v>
      </c>
      <c r="O2258" s="127">
        <v>1.0538000000000001</v>
      </c>
      <c r="P2258" s="126">
        <v>5447</v>
      </c>
      <c r="Q2258" s="128">
        <f t="array" ref="Q2258">SUM(IF(($S2258&gt;=4)*($C2258='TaxCred&amp;Subs'!$D$123:$D$127)*($H2258='TaxCred&amp;Subs'!$C$123:$C$127)*($H2258&lt;='TaxCred&amp;Subs'!$C$129),'TaxCred&amp;Subs'!$E$123:$E$127,0))</f>
        <v>0</v>
      </c>
      <c r="R2258" s="174">
        <v>0</v>
      </c>
      <c r="S2258" s="126">
        <v>3</v>
      </c>
      <c r="T2258" s="126" t="s">
        <v>247</v>
      </c>
      <c r="U2258" s="158"/>
      <c r="V2258" s="153" t="str">
        <f t="array" ref="V2258">INDEX(xlRTCLNAME,MATCH(1,(xlRTCLENDU=1)*(xlRTCLEQCL=$D2258),0))</f>
        <v>LPG_FA</v>
      </c>
      <c r="W2258" s="153" t="str">
        <f t="array" ref="W2258">INDEX(xlRTCLNAME,MATCH(1,(xlRTCLENDU=2)*(xlRTCLEQCL=$F2258),0))</f>
        <v>CENT_AIR</v>
      </c>
      <c r="X2258" s="153" t="str">
        <f t="array" ref="X2258">INDEX(xlRTTYNAME,MATCH(1,(xlRTTYENDU=1)*(xlRTTYEQCL=$D2258)*(xlRTEQTYPE=$E2258),0))</f>
        <v>LPG_FA3</v>
      </c>
      <c r="Y2258" s="153" t="str">
        <f t="array" ref="Y2258">INDEX(xlRTTYNAME,MATCH(1,(xlRTTYENDU=2)*(xlRTTYEQCL=$F2258)*(xlRTEQTYPE=$G2258),0))</f>
        <v>CENT_AIR3</v>
      </c>
    </row>
    <row r="2259" spans="2:25" x14ac:dyDescent="0.2">
      <c r="B2259" s="126">
        <v>2</v>
      </c>
      <c r="C2259" s="126">
        <v>3</v>
      </c>
      <c r="D2259" s="126">
        <v>7</v>
      </c>
      <c r="E2259" s="126">
        <v>24</v>
      </c>
      <c r="F2259" s="126">
        <v>2</v>
      </c>
      <c r="G2259" s="126">
        <v>7</v>
      </c>
      <c r="H2259" s="126">
        <v>2016</v>
      </c>
      <c r="I2259" s="126">
        <v>2050</v>
      </c>
      <c r="J2259" s="127">
        <v>1.0873999999999999</v>
      </c>
      <c r="K2259" s="127">
        <v>1.0638000000000001</v>
      </c>
      <c r="L2259" s="127">
        <v>0.74980000000000002</v>
      </c>
      <c r="M2259" s="127">
        <v>1.1226</v>
      </c>
      <c r="N2259" s="127">
        <v>0.84279999999999999</v>
      </c>
      <c r="O2259" s="127">
        <v>1.0538000000000001</v>
      </c>
      <c r="P2259" s="126">
        <v>6646</v>
      </c>
      <c r="Q2259" s="128">
        <f t="array" ref="Q2259">SUM(IF(($S2259&gt;=4)*($C2259='TaxCred&amp;Subs'!$D$123:$D$127)*($H2259='TaxCred&amp;Subs'!$C$123:$C$127)*($H2259&lt;='TaxCred&amp;Subs'!$C$129),'TaxCred&amp;Subs'!$E$123:$E$127,0))</f>
        <v>0</v>
      </c>
      <c r="R2259" s="174">
        <v>0</v>
      </c>
      <c r="S2259" s="126">
        <v>3</v>
      </c>
      <c r="T2259" s="126" t="s">
        <v>247</v>
      </c>
      <c r="U2259" s="158"/>
      <c r="V2259" s="153" t="str">
        <f t="array" ref="V2259">INDEX(xlRTCLNAME,MATCH(1,(xlRTCLENDU=1)*(xlRTCLEQCL=$D2259),0))</f>
        <v>DIST_FA</v>
      </c>
      <c r="W2259" s="153" t="str">
        <f t="array" ref="W2259">INDEX(xlRTCLNAME,MATCH(1,(xlRTCLENDU=2)*(xlRTCLEQCL=$F2259),0))</f>
        <v>CENT_AIR</v>
      </c>
      <c r="X2259" s="153" t="str">
        <f t="array" ref="X2259">INDEX(xlRTTYNAME,MATCH(1,(xlRTTYENDU=1)*(xlRTTYEQCL=$D2259)*(xlRTEQTYPE=$E2259),0))</f>
        <v>DIST_FA3</v>
      </c>
      <c r="Y2259" s="153" t="str">
        <f t="array" ref="Y2259">INDEX(xlRTTYNAME,MATCH(1,(xlRTTYENDU=2)*(xlRTTYEQCL=$F2259)*(xlRTEQTYPE=$G2259),0))</f>
        <v>CENT_AIR3</v>
      </c>
    </row>
    <row r="2260" spans="2:25" x14ac:dyDescent="0.2">
      <c r="B2260" s="126">
        <v>5</v>
      </c>
      <c r="C2260" s="126">
        <v>3</v>
      </c>
      <c r="D2260" s="126">
        <v>7</v>
      </c>
      <c r="E2260" s="126">
        <v>24</v>
      </c>
      <c r="F2260" s="126">
        <v>2</v>
      </c>
      <c r="G2260" s="126">
        <v>7</v>
      </c>
      <c r="H2260" s="126">
        <v>2016</v>
      </c>
      <c r="I2260" s="126">
        <v>2050</v>
      </c>
      <c r="J2260" s="127">
        <v>1.0667</v>
      </c>
      <c r="K2260" s="127">
        <v>1.0568</v>
      </c>
      <c r="L2260" s="127">
        <v>0.75439999999999996</v>
      </c>
      <c r="M2260" s="127">
        <v>1.0553999999999999</v>
      </c>
      <c r="N2260" s="127">
        <v>0.83260000000000001</v>
      </c>
      <c r="O2260" s="127">
        <v>1.0538000000000001</v>
      </c>
      <c r="P2260" s="126">
        <v>4065</v>
      </c>
      <c r="Q2260" s="128">
        <f t="array" ref="Q2260">SUM(IF(($S2260&gt;=4)*($C2260='TaxCred&amp;Subs'!$D$123:$D$127)*($H2260='TaxCred&amp;Subs'!$C$123:$C$127)*($H2260&lt;='TaxCred&amp;Subs'!$C$129),'TaxCred&amp;Subs'!$E$123:$E$127,0))</f>
        <v>0</v>
      </c>
      <c r="R2260" s="174">
        <v>0</v>
      </c>
      <c r="S2260" s="126">
        <v>3</v>
      </c>
      <c r="T2260" s="126" t="s">
        <v>247</v>
      </c>
      <c r="U2260" s="158"/>
      <c r="V2260" s="153" t="str">
        <f t="array" ref="V2260">INDEX(xlRTCLNAME,MATCH(1,(xlRTCLENDU=1)*(xlRTCLEQCL=$D2260),0))</f>
        <v>DIST_FA</v>
      </c>
      <c r="W2260" s="153" t="str">
        <f t="array" ref="W2260">INDEX(xlRTCLNAME,MATCH(1,(xlRTCLENDU=2)*(xlRTCLEQCL=$F2260),0))</f>
        <v>CENT_AIR</v>
      </c>
      <c r="X2260" s="153" t="str">
        <f t="array" ref="X2260">INDEX(xlRTTYNAME,MATCH(1,(xlRTTYENDU=1)*(xlRTTYEQCL=$D2260)*(xlRTEQTYPE=$E2260),0))</f>
        <v>DIST_FA3</v>
      </c>
      <c r="Y2260" s="153" t="str">
        <f t="array" ref="Y2260">INDEX(xlRTTYNAME,MATCH(1,(xlRTTYENDU=2)*(xlRTTYEQCL=$F2260)*(xlRTEQTYPE=$G2260),0))</f>
        <v>CENT_AIR3</v>
      </c>
    </row>
    <row r="2261" spans="2:25" x14ac:dyDescent="0.2">
      <c r="B2261" s="126">
        <v>6</v>
      </c>
      <c r="C2261" s="126">
        <v>3</v>
      </c>
      <c r="D2261" s="126">
        <v>7</v>
      </c>
      <c r="E2261" s="126">
        <v>24</v>
      </c>
      <c r="F2261" s="126">
        <v>2</v>
      </c>
      <c r="G2261" s="126">
        <v>7</v>
      </c>
      <c r="H2261" s="126">
        <v>2016</v>
      </c>
      <c r="I2261" s="126">
        <v>2050</v>
      </c>
      <c r="J2261" s="127">
        <v>1.0896999999999999</v>
      </c>
      <c r="K2261" s="127">
        <v>1.0723</v>
      </c>
      <c r="L2261" s="127">
        <v>0.80100000000000005</v>
      </c>
      <c r="M2261" s="127">
        <v>1.0627</v>
      </c>
      <c r="N2261" s="127">
        <v>0.80269999999999997</v>
      </c>
      <c r="O2261" s="127">
        <v>1.0538000000000001</v>
      </c>
      <c r="P2261" s="126">
        <v>3936</v>
      </c>
      <c r="Q2261" s="128">
        <f t="array" ref="Q2261">SUM(IF(($S2261&gt;=4)*($C2261='TaxCred&amp;Subs'!$D$123:$D$127)*($H2261='TaxCred&amp;Subs'!$C$123:$C$127)*($H2261&lt;='TaxCred&amp;Subs'!$C$129),'TaxCred&amp;Subs'!$E$123:$E$127,0))</f>
        <v>0</v>
      </c>
      <c r="R2261" s="174">
        <v>0</v>
      </c>
      <c r="S2261" s="126">
        <v>3</v>
      </c>
      <c r="T2261" s="126" t="s">
        <v>247</v>
      </c>
      <c r="U2261" s="158"/>
      <c r="V2261" s="153" t="str">
        <f t="array" ref="V2261">INDEX(xlRTCLNAME,MATCH(1,(xlRTCLENDU=1)*(xlRTCLEQCL=$D2261),0))</f>
        <v>DIST_FA</v>
      </c>
      <c r="W2261" s="153" t="str">
        <f t="array" ref="W2261">INDEX(xlRTCLNAME,MATCH(1,(xlRTCLENDU=2)*(xlRTCLEQCL=$F2261),0))</f>
        <v>CENT_AIR</v>
      </c>
      <c r="X2261" s="153" t="str">
        <f t="array" ref="X2261">INDEX(xlRTTYNAME,MATCH(1,(xlRTTYENDU=1)*(xlRTTYEQCL=$D2261)*(xlRTEQTYPE=$E2261),0))</f>
        <v>DIST_FA3</v>
      </c>
      <c r="Y2261" s="153" t="str">
        <f t="array" ref="Y2261">INDEX(xlRTTYNAME,MATCH(1,(xlRTTYENDU=2)*(xlRTTYEQCL=$F2261)*(xlRTEQTYPE=$G2261),0))</f>
        <v>CENT_AIR3</v>
      </c>
    </row>
    <row r="2262" spans="2:25" x14ac:dyDescent="0.2">
      <c r="B2262" s="126">
        <v>7</v>
      </c>
      <c r="C2262" s="126">
        <v>3</v>
      </c>
      <c r="D2262" s="126">
        <v>7</v>
      </c>
      <c r="E2262" s="126">
        <v>24</v>
      </c>
      <c r="F2262" s="126">
        <v>2</v>
      </c>
      <c r="G2262" s="126">
        <v>7</v>
      </c>
      <c r="H2262" s="126">
        <v>2016</v>
      </c>
      <c r="I2262" s="126">
        <v>2050</v>
      </c>
      <c r="J2262" s="127">
        <v>1.0940000000000001</v>
      </c>
      <c r="K2262" s="127">
        <v>1.0512999999999999</v>
      </c>
      <c r="L2262" s="127">
        <v>0.85360000000000003</v>
      </c>
      <c r="M2262" s="127">
        <v>1.0709</v>
      </c>
      <c r="N2262" s="127">
        <v>0.81289999999999996</v>
      </c>
      <c r="O2262" s="127">
        <v>1.0538000000000001</v>
      </c>
      <c r="P2262" s="126">
        <v>2772</v>
      </c>
      <c r="Q2262" s="128">
        <f t="array" ref="Q2262">SUM(IF(($S2262&gt;=4)*($C2262='TaxCred&amp;Subs'!$D$123:$D$127)*($H2262='TaxCred&amp;Subs'!$C$123:$C$127)*($H2262&lt;='TaxCred&amp;Subs'!$C$129),'TaxCred&amp;Subs'!$E$123:$E$127,0))</f>
        <v>0</v>
      </c>
      <c r="R2262" s="174">
        <v>0</v>
      </c>
      <c r="S2262" s="126">
        <v>3</v>
      </c>
      <c r="T2262" s="126" t="s">
        <v>247</v>
      </c>
      <c r="U2262" s="158"/>
      <c r="V2262" s="153" t="str">
        <f t="array" ref="V2262">INDEX(xlRTCLNAME,MATCH(1,(xlRTCLENDU=1)*(xlRTCLEQCL=$D2262),0))</f>
        <v>DIST_FA</v>
      </c>
      <c r="W2262" s="153" t="str">
        <f t="array" ref="W2262">INDEX(xlRTCLNAME,MATCH(1,(xlRTCLENDU=2)*(xlRTCLEQCL=$F2262),0))</f>
        <v>CENT_AIR</v>
      </c>
      <c r="X2262" s="153" t="str">
        <f t="array" ref="X2262">INDEX(xlRTTYNAME,MATCH(1,(xlRTTYENDU=1)*(xlRTTYEQCL=$D2262)*(xlRTEQTYPE=$E2262),0))</f>
        <v>DIST_FA3</v>
      </c>
      <c r="Y2262" s="153" t="str">
        <f t="array" ref="Y2262">INDEX(xlRTTYNAME,MATCH(1,(xlRTTYENDU=2)*(xlRTTYEQCL=$F2262)*(xlRTEQTYPE=$G2262),0))</f>
        <v>CENT_AIR3</v>
      </c>
    </row>
    <row r="2263" spans="2:25" x14ac:dyDescent="0.2">
      <c r="B2263" s="126">
        <v>9</v>
      </c>
      <c r="C2263" s="126">
        <v>3</v>
      </c>
      <c r="D2263" s="126">
        <v>7</v>
      </c>
      <c r="E2263" s="126">
        <v>24</v>
      </c>
      <c r="F2263" s="126">
        <v>2</v>
      </c>
      <c r="G2263" s="126">
        <v>7</v>
      </c>
      <c r="H2263" s="126">
        <v>2016</v>
      </c>
      <c r="I2263" s="126">
        <v>2050</v>
      </c>
      <c r="J2263" s="127">
        <v>1.0743</v>
      </c>
      <c r="K2263" s="127">
        <v>1.0519000000000001</v>
      </c>
      <c r="L2263" s="127">
        <v>0.82989999999999997</v>
      </c>
      <c r="M2263" s="127">
        <v>1.1548</v>
      </c>
      <c r="N2263" s="127">
        <v>0.84240000000000004</v>
      </c>
      <c r="O2263" s="127">
        <v>1.0538000000000001</v>
      </c>
      <c r="P2263" s="126">
        <v>6415</v>
      </c>
      <c r="Q2263" s="128">
        <f t="array" ref="Q2263">SUM(IF(($S2263&gt;=4)*($C2263='TaxCred&amp;Subs'!$D$123:$D$127)*($H2263='TaxCred&amp;Subs'!$C$123:$C$127)*($H2263&lt;='TaxCred&amp;Subs'!$C$129),'TaxCred&amp;Subs'!$E$123:$E$127,0))</f>
        <v>0</v>
      </c>
      <c r="R2263" s="174">
        <v>0</v>
      </c>
      <c r="S2263" s="126">
        <v>3</v>
      </c>
      <c r="T2263" s="126" t="s">
        <v>247</v>
      </c>
      <c r="U2263" s="158"/>
      <c r="V2263" s="153" t="str">
        <f t="array" ref="V2263">INDEX(xlRTCLNAME,MATCH(1,(xlRTCLENDU=1)*(xlRTCLEQCL=$D2263),0))</f>
        <v>DIST_FA</v>
      </c>
      <c r="W2263" s="153" t="str">
        <f t="array" ref="W2263">INDEX(xlRTCLNAME,MATCH(1,(xlRTCLENDU=2)*(xlRTCLEQCL=$F2263),0))</f>
        <v>CENT_AIR</v>
      </c>
      <c r="X2263" s="153" t="str">
        <f t="array" ref="X2263">INDEX(xlRTTYNAME,MATCH(1,(xlRTTYENDU=1)*(xlRTTYEQCL=$D2263)*(xlRTEQTYPE=$E2263),0))</f>
        <v>DIST_FA3</v>
      </c>
      <c r="Y2263" s="153" t="str">
        <f t="array" ref="Y2263">INDEX(xlRTTYNAME,MATCH(1,(xlRTTYENDU=2)*(xlRTTYEQCL=$F2263)*(xlRTEQTYPE=$G2263),0))</f>
        <v>CENT_AIR3</v>
      </c>
    </row>
    <row r="2264" spans="2:25" x14ac:dyDescent="0.2">
      <c r="B2264" s="126">
        <v>5</v>
      </c>
      <c r="C2264" s="126">
        <v>3</v>
      </c>
      <c r="D2264" s="126">
        <v>8</v>
      </c>
      <c r="E2264" s="126">
        <v>28</v>
      </c>
      <c r="F2264" s="126">
        <v>2</v>
      </c>
      <c r="G2264" s="126">
        <v>7</v>
      </c>
      <c r="H2264" s="126">
        <v>2016</v>
      </c>
      <c r="I2264" s="126">
        <v>2050</v>
      </c>
      <c r="J2264" s="127">
        <v>1.0940000000000001</v>
      </c>
      <c r="K2264" s="127">
        <v>1.0575000000000001</v>
      </c>
      <c r="L2264" s="127">
        <v>0.78359999999999996</v>
      </c>
      <c r="M2264" s="127">
        <v>1.0437000000000001</v>
      </c>
      <c r="N2264" s="127">
        <v>0.83130000000000004</v>
      </c>
      <c r="O2264" s="127">
        <v>1.0538000000000001</v>
      </c>
      <c r="P2264" s="126">
        <v>4611</v>
      </c>
      <c r="Q2264" s="128">
        <f t="array" ref="Q2264">SUM(IF(($S2264&gt;=4)*($C2264='TaxCred&amp;Subs'!$D$123:$D$127)*($H2264='TaxCred&amp;Subs'!$C$123:$C$127)*($H2264&lt;='TaxCred&amp;Subs'!$C$129),'TaxCred&amp;Subs'!$E$123:$E$127,0))</f>
        <v>0</v>
      </c>
      <c r="R2264" s="174">
        <v>0</v>
      </c>
      <c r="S2264" s="126">
        <v>3</v>
      </c>
      <c r="T2264" s="126" t="s">
        <v>247</v>
      </c>
      <c r="U2264" s="158"/>
      <c r="V2264" s="153" t="str">
        <f t="array" ref="V2264">INDEX(xlRTCLNAME,MATCH(1,(xlRTCLENDU=1)*(xlRTCLEQCL=$D2264),0))</f>
        <v>DIST_RAD</v>
      </c>
      <c r="W2264" s="153" t="str">
        <f t="array" ref="W2264">INDEX(xlRTCLNAME,MATCH(1,(xlRTCLENDU=2)*(xlRTCLEQCL=$F2264),0))</f>
        <v>CENT_AIR</v>
      </c>
      <c r="X2264" s="153" t="str">
        <f t="array" ref="X2264">INDEX(xlRTTYNAME,MATCH(1,(xlRTTYENDU=1)*(xlRTTYEQCL=$D2264)*(xlRTEQTYPE=$E2264),0))</f>
        <v>DIST_RAD3</v>
      </c>
      <c r="Y2264" s="153" t="str">
        <f t="array" ref="Y2264">INDEX(xlRTTYNAME,MATCH(1,(xlRTTYENDU=2)*(xlRTTYEQCL=$F2264)*(xlRTEQTYPE=$G2264),0))</f>
        <v>CENT_AIR3</v>
      </c>
    </row>
    <row r="2265" spans="2:25" x14ac:dyDescent="0.2">
      <c r="B2265" s="126">
        <v>6</v>
      </c>
      <c r="C2265" s="126">
        <v>3</v>
      </c>
      <c r="D2265" s="126">
        <v>8</v>
      </c>
      <c r="E2265" s="126">
        <v>28</v>
      </c>
      <c r="F2265" s="126">
        <v>2</v>
      </c>
      <c r="G2265" s="126">
        <v>7</v>
      </c>
      <c r="H2265" s="126">
        <v>2016</v>
      </c>
      <c r="I2265" s="126">
        <v>2050</v>
      </c>
      <c r="J2265" s="127">
        <v>1.0873999999999999</v>
      </c>
      <c r="K2265" s="127">
        <v>1.0609999999999999</v>
      </c>
      <c r="L2265" s="127">
        <v>0.86419999999999997</v>
      </c>
      <c r="M2265" s="127">
        <v>1.0437000000000001</v>
      </c>
      <c r="N2265" s="127">
        <v>0.80189999999999995</v>
      </c>
      <c r="O2265" s="127">
        <v>1.0538000000000001</v>
      </c>
      <c r="P2265" s="126">
        <v>4280</v>
      </c>
      <c r="Q2265" s="128">
        <f t="array" ref="Q2265">SUM(IF(($S2265&gt;=4)*($C2265='TaxCred&amp;Subs'!$D$123:$D$127)*($H2265='TaxCred&amp;Subs'!$C$123:$C$127)*($H2265&lt;='TaxCred&amp;Subs'!$C$129),'TaxCred&amp;Subs'!$E$123:$E$127,0))</f>
        <v>0</v>
      </c>
      <c r="R2265" s="174">
        <v>0</v>
      </c>
      <c r="S2265" s="126">
        <v>3</v>
      </c>
      <c r="T2265" s="126" t="s">
        <v>247</v>
      </c>
      <c r="U2265" s="158"/>
      <c r="V2265" s="153" t="str">
        <f t="array" ref="V2265">INDEX(xlRTCLNAME,MATCH(1,(xlRTCLENDU=1)*(xlRTCLEQCL=$D2265),0))</f>
        <v>DIST_RAD</v>
      </c>
      <c r="W2265" s="153" t="str">
        <f t="array" ref="W2265">INDEX(xlRTCLNAME,MATCH(1,(xlRTCLENDU=2)*(xlRTCLEQCL=$F2265),0))</f>
        <v>CENT_AIR</v>
      </c>
      <c r="X2265" s="153" t="str">
        <f t="array" ref="X2265">INDEX(xlRTTYNAME,MATCH(1,(xlRTTYENDU=1)*(xlRTTYEQCL=$D2265)*(xlRTEQTYPE=$E2265),0))</f>
        <v>DIST_RAD3</v>
      </c>
      <c r="Y2265" s="153" t="str">
        <f t="array" ref="Y2265">INDEX(xlRTTYNAME,MATCH(1,(xlRTTYENDU=2)*(xlRTTYEQCL=$F2265)*(xlRTEQTYPE=$G2265),0))</f>
        <v>CENT_AIR3</v>
      </c>
    </row>
    <row r="2266" spans="2:25" x14ac:dyDescent="0.2">
      <c r="B2266" s="126">
        <v>7</v>
      </c>
      <c r="C2266" s="126">
        <v>3</v>
      </c>
      <c r="D2266" s="126">
        <v>8</v>
      </c>
      <c r="E2266" s="126">
        <v>28</v>
      </c>
      <c r="F2266" s="126">
        <v>2</v>
      </c>
      <c r="G2266" s="126">
        <v>7</v>
      </c>
      <c r="H2266" s="126">
        <v>2016</v>
      </c>
      <c r="I2266" s="126">
        <v>2050</v>
      </c>
      <c r="J2266" s="127">
        <v>1.0826</v>
      </c>
      <c r="K2266" s="127">
        <v>1.0412999999999999</v>
      </c>
      <c r="L2266" s="127">
        <v>0.85299999999999998</v>
      </c>
      <c r="M2266" s="127">
        <v>1.0797000000000001</v>
      </c>
      <c r="N2266" s="127">
        <v>0.8125</v>
      </c>
      <c r="O2266" s="127">
        <v>1.0538000000000001</v>
      </c>
      <c r="P2266" s="126">
        <v>2902</v>
      </c>
      <c r="Q2266" s="128">
        <f t="array" ref="Q2266">SUM(IF(($S2266&gt;=4)*($C2266='TaxCred&amp;Subs'!$D$123:$D$127)*($H2266='TaxCred&amp;Subs'!$C$123:$C$127)*($H2266&lt;='TaxCred&amp;Subs'!$C$129),'TaxCred&amp;Subs'!$E$123:$E$127,0))</f>
        <v>0</v>
      </c>
      <c r="R2266" s="174">
        <v>0</v>
      </c>
      <c r="S2266" s="126">
        <v>3</v>
      </c>
      <c r="T2266" s="126" t="s">
        <v>247</v>
      </c>
      <c r="U2266" s="158"/>
      <c r="V2266" s="153" t="str">
        <f t="array" ref="V2266">INDEX(xlRTCLNAME,MATCH(1,(xlRTCLENDU=1)*(xlRTCLEQCL=$D2266),0))</f>
        <v>DIST_RAD</v>
      </c>
      <c r="W2266" s="153" t="str">
        <f t="array" ref="W2266">INDEX(xlRTCLNAME,MATCH(1,(xlRTCLENDU=2)*(xlRTCLEQCL=$F2266),0))</f>
        <v>CENT_AIR</v>
      </c>
      <c r="X2266" s="153" t="str">
        <f t="array" ref="X2266">INDEX(xlRTTYNAME,MATCH(1,(xlRTTYENDU=1)*(xlRTTYEQCL=$D2266)*(xlRTEQTYPE=$E2266),0))</f>
        <v>DIST_RAD3</v>
      </c>
      <c r="Y2266" s="153" t="str">
        <f t="array" ref="Y2266">INDEX(xlRTTYNAME,MATCH(1,(xlRTTYENDU=2)*(xlRTTYEQCL=$F2266)*(xlRTEQTYPE=$G2266),0))</f>
        <v>CENT_AIR3</v>
      </c>
    </row>
    <row r="2267" spans="2:25" x14ac:dyDescent="0.2">
      <c r="B2267" s="126">
        <v>9</v>
      </c>
      <c r="C2267" s="126">
        <v>3</v>
      </c>
      <c r="D2267" s="126">
        <v>8</v>
      </c>
      <c r="E2267" s="126">
        <v>28</v>
      </c>
      <c r="F2267" s="126">
        <v>2</v>
      </c>
      <c r="G2267" s="126">
        <v>7</v>
      </c>
      <c r="H2267" s="126">
        <v>2016</v>
      </c>
      <c r="I2267" s="126">
        <v>2050</v>
      </c>
      <c r="J2267" s="127">
        <v>1.0845</v>
      </c>
      <c r="K2267" s="127">
        <v>1.0658000000000001</v>
      </c>
      <c r="L2267" s="127">
        <v>0.80379999999999996</v>
      </c>
      <c r="M2267" s="127">
        <v>1.1217999999999999</v>
      </c>
      <c r="N2267" s="127">
        <v>0.84079999999999999</v>
      </c>
      <c r="O2267" s="127">
        <v>1.0538000000000001</v>
      </c>
      <c r="P2267" s="126">
        <v>6614</v>
      </c>
      <c r="Q2267" s="128">
        <f t="array" ref="Q2267">SUM(IF(($S2267&gt;=4)*($C2267='TaxCred&amp;Subs'!$D$123:$D$127)*($H2267='TaxCred&amp;Subs'!$C$123:$C$127)*($H2267&lt;='TaxCred&amp;Subs'!$C$129),'TaxCred&amp;Subs'!$E$123:$E$127,0))</f>
        <v>0</v>
      </c>
      <c r="R2267" s="174">
        <v>0</v>
      </c>
      <c r="S2267" s="126">
        <v>3</v>
      </c>
      <c r="T2267" s="126" t="s">
        <v>247</v>
      </c>
      <c r="U2267" s="158"/>
      <c r="V2267" s="153" t="str">
        <f t="array" ref="V2267">INDEX(xlRTCLNAME,MATCH(1,(xlRTCLENDU=1)*(xlRTCLEQCL=$D2267),0))</f>
        <v>DIST_RAD</v>
      </c>
      <c r="W2267" s="153" t="str">
        <f t="array" ref="W2267">INDEX(xlRTCLNAME,MATCH(1,(xlRTCLENDU=2)*(xlRTCLEQCL=$F2267),0))</f>
        <v>CENT_AIR</v>
      </c>
      <c r="X2267" s="153" t="str">
        <f t="array" ref="X2267">INDEX(xlRTTYNAME,MATCH(1,(xlRTTYENDU=1)*(xlRTTYEQCL=$D2267)*(xlRTEQTYPE=$E2267),0))</f>
        <v>DIST_RAD3</v>
      </c>
      <c r="Y2267" s="153" t="str">
        <f t="array" ref="Y2267">INDEX(xlRTTYNAME,MATCH(1,(xlRTTYENDU=2)*(xlRTTYEQCL=$F2267)*(xlRTEQTYPE=$G2267),0))</f>
        <v>CENT_AIR3</v>
      </c>
    </row>
    <row r="2268" spans="2:25" x14ac:dyDescent="0.2">
      <c r="B2268" s="126">
        <v>5</v>
      </c>
      <c r="C2268" s="126">
        <v>3</v>
      </c>
      <c r="D2268" s="126">
        <v>9</v>
      </c>
      <c r="E2268" s="126">
        <v>30</v>
      </c>
      <c r="F2268" s="126">
        <v>2</v>
      </c>
      <c r="G2268" s="126">
        <v>7</v>
      </c>
      <c r="H2268" s="126">
        <v>2016</v>
      </c>
      <c r="I2268" s="126">
        <v>2050</v>
      </c>
      <c r="J2268" s="127">
        <v>1.0940000000000001</v>
      </c>
      <c r="K2268" s="127">
        <v>1.0575000000000001</v>
      </c>
      <c r="L2268" s="127">
        <v>0.78359999999999996</v>
      </c>
      <c r="M2268" s="127">
        <v>1.0437000000000001</v>
      </c>
      <c r="N2268" s="127">
        <v>0.83130000000000004</v>
      </c>
      <c r="O2268" s="127">
        <v>1.0538000000000001</v>
      </c>
      <c r="P2268" s="126">
        <v>4611</v>
      </c>
      <c r="Q2268" s="128">
        <f t="array" ref="Q2268">SUM(IF(($S2268&gt;=4)*($C2268='TaxCred&amp;Subs'!$D$123:$D$127)*($H2268='TaxCred&amp;Subs'!$C$123:$C$127)*($H2268&lt;='TaxCred&amp;Subs'!$C$129),'TaxCred&amp;Subs'!$E$123:$E$127,0))</f>
        <v>0</v>
      </c>
      <c r="R2268" s="174">
        <v>0</v>
      </c>
      <c r="S2268" s="126">
        <v>3</v>
      </c>
      <c r="T2268" s="126" t="s">
        <v>247</v>
      </c>
      <c r="U2268" s="158"/>
      <c r="V2268" s="153" t="str">
        <f t="array" ref="V2268">INDEX(xlRTCLNAME,MATCH(1,(xlRTCLENDU=1)*(xlRTCLEQCL=$D2268),0))</f>
        <v>WOOD_HT</v>
      </c>
      <c r="W2268" s="153" t="str">
        <f t="array" ref="W2268">INDEX(xlRTCLNAME,MATCH(1,(xlRTCLENDU=2)*(xlRTCLEQCL=$F2268),0))</f>
        <v>CENT_AIR</v>
      </c>
      <c r="X2268" s="153" t="str">
        <f t="array" ref="X2268">INDEX(xlRTTYNAME,MATCH(1,(xlRTTYENDU=1)*(xlRTTYEQCL=$D2268)*(xlRTEQTYPE=$E2268),0))</f>
        <v>WOOD_HT2</v>
      </c>
      <c r="Y2268" s="153" t="str">
        <f t="array" ref="Y2268">INDEX(xlRTTYNAME,MATCH(1,(xlRTTYENDU=2)*(xlRTTYEQCL=$F2268)*(xlRTEQTYPE=$G2268),0))</f>
        <v>CENT_AIR3</v>
      </c>
    </row>
    <row r="2269" spans="2:25" x14ac:dyDescent="0.2">
      <c r="B2269" s="126">
        <v>6</v>
      </c>
      <c r="C2269" s="126">
        <v>3</v>
      </c>
      <c r="D2269" s="126">
        <v>9</v>
      </c>
      <c r="E2269" s="126">
        <v>30</v>
      </c>
      <c r="F2269" s="126">
        <v>2</v>
      </c>
      <c r="G2269" s="126">
        <v>7</v>
      </c>
      <c r="H2269" s="126">
        <v>2016</v>
      </c>
      <c r="I2269" s="126">
        <v>2050</v>
      </c>
      <c r="J2269" s="127">
        <v>1.0873999999999999</v>
      </c>
      <c r="K2269" s="127">
        <v>1.0609999999999999</v>
      </c>
      <c r="L2269" s="127">
        <v>0.86419999999999997</v>
      </c>
      <c r="M2269" s="127">
        <v>1.0437000000000001</v>
      </c>
      <c r="N2269" s="127">
        <v>0.80189999999999995</v>
      </c>
      <c r="O2269" s="127">
        <v>1.0538000000000001</v>
      </c>
      <c r="P2269" s="126">
        <v>4280</v>
      </c>
      <c r="Q2269" s="128">
        <f t="array" ref="Q2269">SUM(IF(($S2269&gt;=4)*($C2269='TaxCred&amp;Subs'!$D$123:$D$127)*($H2269='TaxCred&amp;Subs'!$C$123:$C$127)*($H2269&lt;='TaxCred&amp;Subs'!$C$129),'TaxCred&amp;Subs'!$E$123:$E$127,0))</f>
        <v>0</v>
      </c>
      <c r="R2269" s="174">
        <v>0</v>
      </c>
      <c r="S2269" s="126">
        <v>3</v>
      </c>
      <c r="T2269" s="126" t="s">
        <v>247</v>
      </c>
      <c r="U2269" s="158"/>
      <c r="V2269" s="153" t="str">
        <f t="array" ref="V2269">INDEX(xlRTCLNAME,MATCH(1,(xlRTCLENDU=1)*(xlRTCLEQCL=$D2269),0))</f>
        <v>WOOD_HT</v>
      </c>
      <c r="W2269" s="153" t="str">
        <f t="array" ref="W2269">INDEX(xlRTCLNAME,MATCH(1,(xlRTCLENDU=2)*(xlRTCLEQCL=$F2269),0))</f>
        <v>CENT_AIR</v>
      </c>
      <c r="X2269" s="153" t="str">
        <f t="array" ref="X2269">INDEX(xlRTTYNAME,MATCH(1,(xlRTTYENDU=1)*(xlRTTYEQCL=$D2269)*(xlRTEQTYPE=$E2269),0))</f>
        <v>WOOD_HT2</v>
      </c>
      <c r="Y2269" s="153" t="str">
        <f t="array" ref="Y2269">INDEX(xlRTTYNAME,MATCH(1,(xlRTTYENDU=2)*(xlRTTYEQCL=$F2269)*(xlRTEQTYPE=$G2269),0))</f>
        <v>CENT_AIR3</v>
      </c>
    </row>
    <row r="2270" spans="2:25" x14ac:dyDescent="0.2">
      <c r="B2270" s="126">
        <v>7</v>
      </c>
      <c r="C2270" s="126">
        <v>3</v>
      </c>
      <c r="D2270" s="126">
        <v>9</v>
      </c>
      <c r="E2270" s="126">
        <v>30</v>
      </c>
      <c r="F2270" s="126">
        <v>2</v>
      </c>
      <c r="G2270" s="126">
        <v>7</v>
      </c>
      <c r="H2270" s="126">
        <v>2016</v>
      </c>
      <c r="I2270" s="126">
        <v>2050</v>
      </c>
      <c r="J2270" s="127">
        <v>1.0826</v>
      </c>
      <c r="K2270" s="127">
        <v>1.0412999999999999</v>
      </c>
      <c r="L2270" s="127">
        <v>0.85299999999999998</v>
      </c>
      <c r="M2270" s="127">
        <v>1.0797000000000001</v>
      </c>
      <c r="N2270" s="127">
        <v>0.8125</v>
      </c>
      <c r="O2270" s="127">
        <v>1.0538000000000001</v>
      </c>
      <c r="P2270" s="126">
        <v>2902</v>
      </c>
      <c r="Q2270" s="128">
        <f t="array" ref="Q2270">SUM(IF(($S2270&gt;=4)*($C2270='TaxCred&amp;Subs'!$D$123:$D$127)*($H2270='TaxCred&amp;Subs'!$C$123:$C$127)*($H2270&lt;='TaxCred&amp;Subs'!$C$129),'TaxCred&amp;Subs'!$E$123:$E$127,0))</f>
        <v>0</v>
      </c>
      <c r="R2270" s="174">
        <v>0</v>
      </c>
      <c r="S2270" s="126">
        <v>3</v>
      </c>
      <c r="T2270" s="126" t="s">
        <v>247</v>
      </c>
      <c r="U2270" s="158"/>
      <c r="V2270" s="153" t="str">
        <f t="array" ref="V2270">INDEX(xlRTCLNAME,MATCH(1,(xlRTCLENDU=1)*(xlRTCLEQCL=$D2270),0))</f>
        <v>WOOD_HT</v>
      </c>
      <c r="W2270" s="153" t="str">
        <f t="array" ref="W2270">INDEX(xlRTCLNAME,MATCH(1,(xlRTCLENDU=2)*(xlRTCLEQCL=$F2270),0))</f>
        <v>CENT_AIR</v>
      </c>
      <c r="X2270" s="153" t="str">
        <f t="array" ref="X2270">INDEX(xlRTTYNAME,MATCH(1,(xlRTTYENDU=1)*(xlRTTYEQCL=$D2270)*(xlRTEQTYPE=$E2270),0))</f>
        <v>WOOD_HT2</v>
      </c>
      <c r="Y2270" s="153" t="str">
        <f t="array" ref="Y2270">INDEX(xlRTTYNAME,MATCH(1,(xlRTTYENDU=2)*(xlRTTYEQCL=$F2270)*(xlRTEQTYPE=$G2270),0))</f>
        <v>CENT_AIR3</v>
      </c>
    </row>
    <row r="2271" spans="2:25" x14ac:dyDescent="0.2">
      <c r="B2271" s="126">
        <v>9</v>
      </c>
      <c r="C2271" s="126">
        <v>3</v>
      </c>
      <c r="D2271" s="126">
        <v>9</v>
      </c>
      <c r="E2271" s="126">
        <v>30</v>
      </c>
      <c r="F2271" s="126">
        <v>2</v>
      </c>
      <c r="G2271" s="126">
        <v>7</v>
      </c>
      <c r="H2271" s="126">
        <v>2016</v>
      </c>
      <c r="I2271" s="126">
        <v>2050</v>
      </c>
      <c r="J2271" s="127">
        <v>1.0845</v>
      </c>
      <c r="K2271" s="127">
        <v>1.0658000000000001</v>
      </c>
      <c r="L2271" s="127">
        <v>0.80379999999999996</v>
      </c>
      <c r="M2271" s="127">
        <v>1.1217999999999999</v>
      </c>
      <c r="N2271" s="127">
        <v>0.84079999999999999</v>
      </c>
      <c r="O2271" s="127">
        <v>1.0538000000000001</v>
      </c>
      <c r="P2271" s="126">
        <v>6614</v>
      </c>
      <c r="Q2271" s="128">
        <f t="array" ref="Q2271">SUM(IF(($S2271&gt;=4)*($C2271='TaxCred&amp;Subs'!$D$123:$D$127)*($H2271='TaxCred&amp;Subs'!$C$123:$C$127)*($H2271&lt;='TaxCred&amp;Subs'!$C$129),'TaxCred&amp;Subs'!$E$123:$E$127,0))</f>
        <v>0</v>
      </c>
      <c r="R2271" s="174">
        <v>0</v>
      </c>
      <c r="S2271" s="126">
        <v>3</v>
      </c>
      <c r="T2271" s="126" t="s">
        <v>247</v>
      </c>
      <c r="U2271" s="158"/>
      <c r="V2271" s="153" t="str">
        <f t="array" ref="V2271">INDEX(xlRTCLNAME,MATCH(1,(xlRTCLENDU=1)*(xlRTCLEQCL=$D2271),0))</f>
        <v>WOOD_HT</v>
      </c>
      <c r="W2271" s="153" t="str">
        <f t="array" ref="W2271">INDEX(xlRTCLNAME,MATCH(1,(xlRTCLENDU=2)*(xlRTCLEQCL=$F2271),0))</f>
        <v>CENT_AIR</v>
      </c>
      <c r="X2271" s="153" t="str">
        <f t="array" ref="X2271">INDEX(xlRTTYNAME,MATCH(1,(xlRTTYENDU=1)*(xlRTTYEQCL=$D2271)*(xlRTEQTYPE=$E2271),0))</f>
        <v>WOOD_HT2</v>
      </c>
      <c r="Y2271" s="153" t="str">
        <f t="array" ref="Y2271">INDEX(xlRTTYNAME,MATCH(1,(xlRTTYENDU=2)*(xlRTTYEQCL=$F2271)*(xlRTEQTYPE=$G2271),0))</f>
        <v>CENT_AIR3</v>
      </c>
    </row>
    <row r="2272" spans="2:25" x14ac:dyDescent="0.2">
      <c r="B2272" s="126">
        <v>2</v>
      </c>
      <c r="C2272" s="126">
        <v>3</v>
      </c>
      <c r="D2272" s="126">
        <v>10</v>
      </c>
      <c r="E2272" s="126">
        <v>34</v>
      </c>
      <c r="F2272" s="126">
        <v>4</v>
      </c>
      <c r="G2272" s="126">
        <v>15</v>
      </c>
      <c r="H2272" s="126">
        <v>2016</v>
      </c>
      <c r="I2272" s="126">
        <v>2016</v>
      </c>
      <c r="J2272" s="127">
        <v>1.0832999999999999</v>
      </c>
      <c r="K2272" s="127">
        <v>1.0713999999999999</v>
      </c>
      <c r="L2272" s="127">
        <v>0.84299999999999997</v>
      </c>
      <c r="M2272" s="127">
        <v>1.1524000000000001</v>
      </c>
      <c r="N2272" s="127">
        <v>0.86450000000000005</v>
      </c>
      <c r="O2272" s="127">
        <v>1.0538000000000001</v>
      </c>
      <c r="P2272" s="126">
        <v>6533</v>
      </c>
      <c r="Q2272" s="128">
        <f t="array" ref="Q2272">SUM(IF(($S2272&gt;=4)*($C2272='TaxCred&amp;Subs'!$D$123:$D$127)*($H2272='TaxCred&amp;Subs'!$C$123:$C$127)*($H2272&lt;='TaxCred&amp;Subs'!$C$129),'TaxCred&amp;Subs'!$E$123:$E$127,0))</f>
        <v>0</v>
      </c>
      <c r="R2272" s="174">
        <v>0</v>
      </c>
      <c r="S2272" s="126">
        <v>3</v>
      </c>
      <c r="T2272" s="126" t="s">
        <v>247</v>
      </c>
      <c r="U2272" s="158"/>
      <c r="V2272" s="153" t="str">
        <f t="array" ref="V2272">INDEX(xlRTCLNAME,MATCH(1,(xlRTCLENDU=1)*(xlRTCLEQCL=$D2272),0))</f>
        <v>GEO_HP</v>
      </c>
      <c r="W2272" s="153" t="str">
        <f t="array" ref="W2272">INDEX(xlRTCLNAME,MATCH(1,(xlRTCLENDU=2)*(xlRTCLEQCL=$F2272),0))</f>
        <v>GEO_HP</v>
      </c>
      <c r="X2272" s="153" t="str">
        <f t="array" ref="X2272">INDEX(xlRTTYNAME,MATCH(1,(xlRTTYENDU=1)*(xlRTTYEQCL=$D2272)*(xlRTEQTYPE=$E2272),0))</f>
        <v>GEO_HP3</v>
      </c>
      <c r="Y2272" s="153" t="str">
        <f t="array" ref="Y2272">INDEX(xlRTTYNAME,MATCH(1,(xlRTTYENDU=2)*(xlRTTYEQCL=$F2272)*(xlRTEQTYPE=$G2272),0))</f>
        <v>GEO_HP3</v>
      </c>
    </row>
    <row r="2273" spans="1:25" x14ac:dyDescent="0.2">
      <c r="B2273" s="126">
        <v>2</v>
      </c>
      <c r="C2273" s="126">
        <v>3</v>
      </c>
      <c r="D2273" s="126">
        <v>10</v>
      </c>
      <c r="E2273" s="126">
        <v>34</v>
      </c>
      <c r="F2273" s="126">
        <v>4</v>
      </c>
      <c r="G2273" s="126">
        <v>15</v>
      </c>
      <c r="H2273" s="126">
        <v>2018</v>
      </c>
      <c r="I2273" s="126">
        <v>2050</v>
      </c>
      <c r="J2273" s="127">
        <v>1.0832999999999999</v>
      </c>
      <c r="K2273" s="127">
        <v>1.0713999999999999</v>
      </c>
      <c r="L2273" s="127">
        <v>0.84299999999999997</v>
      </c>
      <c r="M2273" s="127">
        <v>1.1524000000000001</v>
      </c>
      <c r="N2273" s="127">
        <v>0.86450000000000005</v>
      </c>
      <c r="O2273" s="127">
        <v>1.0538000000000001</v>
      </c>
      <c r="P2273" s="126">
        <v>6533</v>
      </c>
      <c r="Q2273" s="128">
        <f t="array" ref="Q2273">SUM(IF(($S2273&gt;=4)*($C2273='TaxCred&amp;Subs'!$D$123:$D$127)*($H2273='TaxCred&amp;Subs'!$C$123:$C$127)*($H2273&lt;='TaxCred&amp;Subs'!$C$129),'TaxCred&amp;Subs'!$E$123:$E$127,0))</f>
        <v>0</v>
      </c>
      <c r="R2273" s="174">
        <v>0</v>
      </c>
      <c r="S2273" s="126">
        <v>3</v>
      </c>
      <c r="T2273" s="126" t="s">
        <v>247</v>
      </c>
      <c r="U2273" s="158"/>
      <c r="V2273" s="153" t="str">
        <f t="array" ref="V2273">INDEX(xlRTCLNAME,MATCH(1,(xlRTCLENDU=1)*(xlRTCLEQCL=$D2273),0))</f>
        <v>GEO_HP</v>
      </c>
      <c r="W2273" s="153" t="str">
        <f t="array" ref="W2273">INDEX(xlRTCLNAME,MATCH(1,(xlRTCLENDU=2)*(xlRTCLEQCL=$F2273),0))</f>
        <v>GEO_HP</v>
      </c>
      <c r="X2273" s="153" t="str">
        <f t="array" ref="X2273">INDEX(xlRTTYNAME,MATCH(1,(xlRTTYENDU=1)*(xlRTTYEQCL=$D2273)*(xlRTEQTYPE=$E2273),0))</f>
        <v>GEO_HP3</v>
      </c>
      <c r="Y2273" s="153" t="str">
        <f t="array" ref="Y2273">INDEX(xlRTTYNAME,MATCH(1,(xlRTTYENDU=2)*(xlRTTYEQCL=$F2273)*(xlRTEQTYPE=$G2273),0))</f>
        <v>GEO_HP3</v>
      </c>
    </row>
    <row r="2274" spans="1:25" x14ac:dyDescent="0.2">
      <c r="B2274" s="126">
        <v>5</v>
      </c>
      <c r="C2274" s="126">
        <v>3</v>
      </c>
      <c r="D2274" s="126">
        <v>10</v>
      </c>
      <c r="E2274" s="126">
        <v>34</v>
      </c>
      <c r="F2274" s="126">
        <v>4</v>
      </c>
      <c r="G2274" s="126">
        <v>15</v>
      </c>
      <c r="H2274" s="126">
        <v>2016</v>
      </c>
      <c r="I2274" s="126">
        <v>2050</v>
      </c>
      <c r="J2274" s="127">
        <v>1.1071</v>
      </c>
      <c r="K2274" s="127">
        <v>1.03</v>
      </c>
      <c r="L2274" s="127">
        <v>0.76190000000000002</v>
      </c>
      <c r="M2274" s="127">
        <v>1.0592999999999999</v>
      </c>
      <c r="N2274" s="127">
        <v>0.84109999999999996</v>
      </c>
      <c r="O2274" s="127">
        <v>1.0538000000000001</v>
      </c>
      <c r="P2274" s="126">
        <v>4427</v>
      </c>
      <c r="Q2274" s="128">
        <f t="array" ref="Q2274">SUM(IF(($S2274&gt;=4)*($C2274='TaxCred&amp;Subs'!$D$123:$D$127)*($H2274='TaxCred&amp;Subs'!$C$123:$C$127)*($H2274&lt;='TaxCred&amp;Subs'!$C$129),'TaxCred&amp;Subs'!$E$123:$E$127,0))</f>
        <v>0</v>
      </c>
      <c r="R2274" s="174">
        <v>0</v>
      </c>
      <c r="S2274" s="126">
        <v>3</v>
      </c>
      <c r="T2274" s="126" t="s">
        <v>247</v>
      </c>
      <c r="U2274" s="158"/>
      <c r="V2274" s="153" t="str">
        <f t="array" ref="V2274">INDEX(xlRTCLNAME,MATCH(1,(xlRTCLENDU=1)*(xlRTCLEQCL=$D2274),0))</f>
        <v>GEO_HP</v>
      </c>
      <c r="W2274" s="153" t="str">
        <f t="array" ref="W2274">INDEX(xlRTCLNAME,MATCH(1,(xlRTCLENDU=2)*(xlRTCLEQCL=$F2274),0))</f>
        <v>GEO_HP</v>
      </c>
      <c r="X2274" s="153" t="str">
        <f t="array" ref="X2274">INDEX(xlRTTYNAME,MATCH(1,(xlRTTYENDU=1)*(xlRTTYEQCL=$D2274)*(xlRTEQTYPE=$E2274),0))</f>
        <v>GEO_HP3</v>
      </c>
      <c r="Y2274" s="153" t="str">
        <f t="array" ref="Y2274">INDEX(xlRTTYNAME,MATCH(1,(xlRTTYENDU=2)*(xlRTTYEQCL=$F2274)*(xlRTEQTYPE=$G2274),0))</f>
        <v>GEO_HP3</v>
      </c>
    </row>
    <row r="2275" spans="1:25" x14ac:dyDescent="0.2">
      <c r="B2275" s="126">
        <v>6</v>
      </c>
      <c r="C2275" s="126">
        <v>3</v>
      </c>
      <c r="D2275" s="126">
        <v>10</v>
      </c>
      <c r="E2275" s="126">
        <v>34</v>
      </c>
      <c r="F2275" s="126">
        <v>4</v>
      </c>
      <c r="G2275" s="126">
        <v>15</v>
      </c>
      <c r="H2275" s="126">
        <v>2016</v>
      </c>
      <c r="I2275" s="126">
        <v>2016</v>
      </c>
      <c r="J2275" s="127">
        <v>1.0909</v>
      </c>
      <c r="K2275" s="127">
        <v>1.0588</v>
      </c>
      <c r="L2275" s="127">
        <v>0.78500000000000003</v>
      </c>
      <c r="M2275" s="127">
        <v>1.0753999999999999</v>
      </c>
      <c r="N2275" s="127">
        <v>0.80820000000000003</v>
      </c>
      <c r="O2275" s="127">
        <v>1.0538000000000001</v>
      </c>
      <c r="P2275" s="126">
        <v>4310</v>
      </c>
      <c r="Q2275" s="128">
        <f t="array" ref="Q2275">SUM(IF(($S2275&gt;=4)*($C2275='TaxCred&amp;Subs'!$D$123:$D$127)*($H2275='TaxCred&amp;Subs'!$C$123:$C$127)*($H2275&lt;='TaxCred&amp;Subs'!$C$129),'TaxCred&amp;Subs'!$E$123:$E$127,0))</f>
        <v>0</v>
      </c>
      <c r="R2275" s="174">
        <v>0</v>
      </c>
      <c r="S2275" s="126">
        <v>3</v>
      </c>
      <c r="T2275" s="126" t="s">
        <v>247</v>
      </c>
      <c r="U2275" s="158"/>
      <c r="V2275" s="153" t="str">
        <f t="array" ref="V2275">INDEX(xlRTCLNAME,MATCH(1,(xlRTCLENDU=1)*(xlRTCLEQCL=$D2275),0))</f>
        <v>GEO_HP</v>
      </c>
      <c r="W2275" s="153" t="str">
        <f t="array" ref="W2275">INDEX(xlRTCLNAME,MATCH(1,(xlRTCLENDU=2)*(xlRTCLEQCL=$F2275),0))</f>
        <v>GEO_HP</v>
      </c>
      <c r="X2275" s="153" t="str">
        <f t="array" ref="X2275">INDEX(xlRTTYNAME,MATCH(1,(xlRTTYENDU=1)*(xlRTTYEQCL=$D2275)*(xlRTEQTYPE=$E2275),0))</f>
        <v>GEO_HP3</v>
      </c>
      <c r="Y2275" s="153" t="str">
        <f t="array" ref="Y2275">INDEX(xlRTTYNAME,MATCH(1,(xlRTTYENDU=2)*(xlRTTYEQCL=$F2275)*(xlRTEQTYPE=$G2275),0))</f>
        <v>GEO_HP3</v>
      </c>
    </row>
    <row r="2276" spans="1:25" x14ac:dyDescent="0.2">
      <c r="B2276" s="126">
        <v>6</v>
      </c>
      <c r="C2276" s="126">
        <v>3</v>
      </c>
      <c r="D2276" s="126">
        <v>10</v>
      </c>
      <c r="E2276" s="126">
        <v>34</v>
      </c>
      <c r="F2276" s="126">
        <v>4</v>
      </c>
      <c r="G2276" s="126">
        <v>15</v>
      </c>
      <c r="H2276" s="126">
        <v>2018</v>
      </c>
      <c r="I2276" s="126">
        <v>2050</v>
      </c>
      <c r="J2276" s="127">
        <v>1.0909</v>
      </c>
      <c r="K2276" s="127">
        <v>1.0588</v>
      </c>
      <c r="L2276" s="127">
        <v>0.78500000000000003</v>
      </c>
      <c r="M2276" s="127">
        <v>1.0753999999999999</v>
      </c>
      <c r="N2276" s="127">
        <v>0.80820000000000003</v>
      </c>
      <c r="O2276" s="127">
        <v>1.0538000000000001</v>
      </c>
      <c r="P2276" s="126">
        <v>4310</v>
      </c>
      <c r="Q2276" s="128">
        <f t="array" ref="Q2276">SUM(IF(($S2276&gt;=4)*($C2276='TaxCred&amp;Subs'!$D$123:$D$127)*($H2276='TaxCred&amp;Subs'!$C$123:$C$127)*($H2276&lt;='TaxCred&amp;Subs'!$C$129),'TaxCred&amp;Subs'!$E$123:$E$127,0))</f>
        <v>0</v>
      </c>
      <c r="R2276" s="174">
        <v>0</v>
      </c>
      <c r="S2276" s="126">
        <v>3</v>
      </c>
      <c r="T2276" s="126" t="s">
        <v>247</v>
      </c>
      <c r="U2276" s="158"/>
      <c r="V2276" s="153" t="str">
        <f t="array" ref="V2276">INDEX(xlRTCLNAME,MATCH(1,(xlRTCLENDU=1)*(xlRTCLEQCL=$D2276),0))</f>
        <v>GEO_HP</v>
      </c>
      <c r="W2276" s="153" t="str">
        <f t="array" ref="W2276">INDEX(xlRTCLNAME,MATCH(1,(xlRTCLENDU=2)*(xlRTCLEQCL=$F2276),0))</f>
        <v>GEO_HP</v>
      </c>
      <c r="X2276" s="153" t="str">
        <f t="array" ref="X2276">INDEX(xlRTTYNAME,MATCH(1,(xlRTTYENDU=1)*(xlRTTYEQCL=$D2276)*(xlRTEQTYPE=$E2276),0))</f>
        <v>GEO_HP3</v>
      </c>
      <c r="Y2276" s="153" t="str">
        <f t="array" ref="Y2276">INDEX(xlRTTYNAME,MATCH(1,(xlRTTYENDU=2)*(xlRTTYEQCL=$F2276)*(xlRTEQTYPE=$G2276),0))</f>
        <v>GEO_HP3</v>
      </c>
    </row>
    <row r="2277" spans="1:25" x14ac:dyDescent="0.2">
      <c r="B2277" s="126">
        <v>7</v>
      </c>
      <c r="C2277" s="126">
        <v>3</v>
      </c>
      <c r="D2277" s="126">
        <v>10</v>
      </c>
      <c r="E2277" s="126">
        <v>34</v>
      </c>
      <c r="F2277" s="126">
        <v>4</v>
      </c>
      <c r="G2277" s="126">
        <v>15</v>
      </c>
      <c r="H2277" s="126">
        <v>2016</v>
      </c>
      <c r="I2277" s="126">
        <v>2050</v>
      </c>
      <c r="J2277" s="127">
        <v>1.0968</v>
      </c>
      <c r="K2277" s="127">
        <v>1.036</v>
      </c>
      <c r="L2277" s="127">
        <v>0.89249999999999996</v>
      </c>
      <c r="M2277" s="127">
        <v>1.0788</v>
      </c>
      <c r="N2277" s="127">
        <v>0.81950000000000001</v>
      </c>
      <c r="O2277" s="127">
        <v>1.0538000000000001</v>
      </c>
      <c r="P2277" s="126">
        <v>2672</v>
      </c>
      <c r="Q2277" s="128">
        <f t="array" ref="Q2277">SUM(IF(($S2277&gt;=4)*($C2277='TaxCred&amp;Subs'!$D$123:$D$127)*($H2277='TaxCred&amp;Subs'!$C$123:$C$127)*($H2277&lt;='TaxCred&amp;Subs'!$C$129),'TaxCred&amp;Subs'!$E$123:$E$127,0))</f>
        <v>0</v>
      </c>
      <c r="R2277" s="174">
        <v>0</v>
      </c>
      <c r="S2277" s="126">
        <v>3</v>
      </c>
      <c r="T2277" s="126" t="s">
        <v>247</v>
      </c>
      <c r="U2277" s="158"/>
      <c r="V2277" s="153" t="str">
        <f t="array" ref="V2277">INDEX(xlRTCLNAME,MATCH(1,(xlRTCLENDU=1)*(xlRTCLEQCL=$D2277),0))</f>
        <v>GEO_HP</v>
      </c>
      <c r="W2277" s="153" t="str">
        <f t="array" ref="W2277">INDEX(xlRTCLNAME,MATCH(1,(xlRTCLENDU=2)*(xlRTCLEQCL=$F2277),0))</f>
        <v>GEO_HP</v>
      </c>
      <c r="X2277" s="153" t="str">
        <f t="array" ref="X2277">INDEX(xlRTTYNAME,MATCH(1,(xlRTTYENDU=1)*(xlRTTYEQCL=$D2277)*(xlRTEQTYPE=$E2277),0))</f>
        <v>GEO_HP3</v>
      </c>
      <c r="Y2277" s="153" t="str">
        <f t="array" ref="Y2277">INDEX(xlRTTYNAME,MATCH(1,(xlRTTYENDU=2)*(xlRTTYEQCL=$F2277)*(xlRTEQTYPE=$G2277),0))</f>
        <v>GEO_HP3</v>
      </c>
    </row>
    <row r="2278" spans="1:25" x14ac:dyDescent="0.2">
      <c r="B2278" s="126">
        <v>9</v>
      </c>
      <c r="C2278" s="126">
        <v>3</v>
      </c>
      <c r="D2278" s="126">
        <v>10</v>
      </c>
      <c r="E2278" s="126">
        <v>34</v>
      </c>
      <c r="F2278" s="126">
        <v>4</v>
      </c>
      <c r="G2278" s="126">
        <v>15</v>
      </c>
      <c r="H2278" s="126">
        <v>2016</v>
      </c>
      <c r="I2278" s="126">
        <v>2016</v>
      </c>
      <c r="J2278" s="127">
        <v>1.0857000000000001</v>
      </c>
      <c r="K2278" s="127">
        <v>1.0611999999999999</v>
      </c>
      <c r="L2278" s="127">
        <v>0.8276</v>
      </c>
      <c r="M2278" s="127">
        <v>1.1436999999999999</v>
      </c>
      <c r="N2278" s="127">
        <v>0.85860000000000003</v>
      </c>
      <c r="O2278" s="127">
        <v>1.0538000000000001</v>
      </c>
      <c r="P2278" s="126">
        <v>5887</v>
      </c>
      <c r="Q2278" s="128">
        <f t="array" ref="Q2278">SUM(IF(($S2278&gt;=4)*($C2278='TaxCred&amp;Subs'!$D$123:$D$127)*($H2278='TaxCred&amp;Subs'!$C$123:$C$127)*($H2278&lt;='TaxCred&amp;Subs'!$C$129),'TaxCred&amp;Subs'!$E$123:$E$127,0))</f>
        <v>0</v>
      </c>
      <c r="R2278" s="174">
        <v>0</v>
      </c>
      <c r="S2278" s="126">
        <v>3</v>
      </c>
      <c r="T2278" s="126" t="s">
        <v>247</v>
      </c>
      <c r="U2278" s="158"/>
      <c r="V2278" s="153" t="str">
        <f t="array" ref="V2278">INDEX(xlRTCLNAME,MATCH(1,(xlRTCLENDU=1)*(xlRTCLEQCL=$D2278),0))</f>
        <v>GEO_HP</v>
      </c>
      <c r="W2278" s="153" t="str">
        <f t="array" ref="W2278">INDEX(xlRTCLNAME,MATCH(1,(xlRTCLENDU=2)*(xlRTCLEQCL=$F2278),0))</f>
        <v>GEO_HP</v>
      </c>
      <c r="X2278" s="153" t="str">
        <f t="array" ref="X2278">INDEX(xlRTTYNAME,MATCH(1,(xlRTTYENDU=1)*(xlRTTYEQCL=$D2278)*(xlRTEQTYPE=$E2278),0))</f>
        <v>GEO_HP3</v>
      </c>
      <c r="Y2278" s="153" t="str">
        <f t="array" ref="Y2278">INDEX(xlRTTYNAME,MATCH(1,(xlRTTYENDU=2)*(xlRTTYEQCL=$F2278)*(xlRTEQTYPE=$G2278),0))</f>
        <v>GEO_HP3</v>
      </c>
    </row>
    <row r="2279" spans="1:25" x14ac:dyDescent="0.2">
      <c r="B2279" s="126">
        <v>9</v>
      </c>
      <c r="C2279" s="126">
        <v>3</v>
      </c>
      <c r="D2279" s="126">
        <v>10</v>
      </c>
      <c r="E2279" s="126">
        <v>34</v>
      </c>
      <c r="F2279" s="126">
        <v>4</v>
      </c>
      <c r="G2279" s="126">
        <v>15</v>
      </c>
      <c r="H2279" s="126">
        <v>2018</v>
      </c>
      <c r="I2279" s="126">
        <v>2050</v>
      </c>
      <c r="J2279" s="127">
        <v>1.0857000000000001</v>
      </c>
      <c r="K2279" s="127">
        <v>1.0611999999999999</v>
      </c>
      <c r="L2279" s="127">
        <v>0.8276</v>
      </c>
      <c r="M2279" s="127">
        <v>1.1436999999999999</v>
      </c>
      <c r="N2279" s="127">
        <v>0.85860000000000003</v>
      </c>
      <c r="O2279" s="127">
        <v>1.0538000000000001</v>
      </c>
      <c r="P2279" s="126">
        <v>5887</v>
      </c>
      <c r="Q2279" s="128">
        <f t="array" ref="Q2279">SUM(IF(($S2279&gt;=4)*($C2279='TaxCred&amp;Subs'!$D$123:$D$127)*($H2279='TaxCred&amp;Subs'!$C$123:$C$127)*($H2279&lt;='TaxCred&amp;Subs'!$C$129),'TaxCred&amp;Subs'!$E$123:$E$127,0))</f>
        <v>0</v>
      </c>
      <c r="R2279" s="174">
        <v>0</v>
      </c>
      <c r="S2279" s="126">
        <v>3</v>
      </c>
      <c r="T2279" s="126" t="s">
        <v>247</v>
      </c>
      <c r="U2279" s="158"/>
      <c r="V2279" s="153" t="str">
        <f t="array" ref="V2279">INDEX(xlRTCLNAME,MATCH(1,(xlRTCLENDU=1)*(xlRTCLEQCL=$D2279),0))</f>
        <v>GEO_HP</v>
      </c>
      <c r="W2279" s="153" t="str">
        <f t="array" ref="W2279">INDEX(xlRTCLNAME,MATCH(1,(xlRTCLENDU=2)*(xlRTCLEQCL=$F2279),0))</f>
        <v>GEO_HP</v>
      </c>
      <c r="X2279" s="153" t="str">
        <f t="array" ref="X2279">INDEX(xlRTTYNAME,MATCH(1,(xlRTTYENDU=1)*(xlRTTYEQCL=$D2279)*(xlRTEQTYPE=$E2279),0))</f>
        <v>GEO_HP3</v>
      </c>
      <c r="Y2279" s="153" t="str">
        <f t="array" ref="Y2279">INDEX(xlRTTYNAME,MATCH(1,(xlRTTYENDU=2)*(xlRTTYEQCL=$F2279)*(xlRTEQTYPE=$G2279),0))</f>
        <v>GEO_HP3</v>
      </c>
    </row>
    <row r="2280" spans="1:25" x14ac:dyDescent="0.2">
      <c r="B2280" s="126">
        <v>2</v>
      </c>
      <c r="C2280" s="126">
        <v>3</v>
      </c>
      <c r="D2280" s="126">
        <v>11</v>
      </c>
      <c r="E2280" s="126">
        <v>36</v>
      </c>
      <c r="F2280" s="126">
        <v>5</v>
      </c>
      <c r="G2280" s="126">
        <v>17</v>
      </c>
      <c r="H2280" s="126">
        <v>2016</v>
      </c>
      <c r="I2280" s="126">
        <v>2050</v>
      </c>
      <c r="J2280" s="127">
        <v>1.0670999999999999</v>
      </c>
      <c r="K2280" s="127">
        <v>1.0638000000000001</v>
      </c>
      <c r="L2280" s="127">
        <v>0.87570000000000003</v>
      </c>
      <c r="M2280" s="127">
        <v>1.1334</v>
      </c>
      <c r="N2280" s="127">
        <v>0.84609999999999996</v>
      </c>
      <c r="O2280" s="127">
        <v>1.0538000000000001</v>
      </c>
      <c r="P2280" s="126">
        <v>5059</v>
      </c>
      <c r="Q2280" s="128">
        <f t="array" ref="Q2280">SUM(IF(($S2280&gt;=4)*($C2280='TaxCred&amp;Subs'!$D$123:$D$127)*($H2280='TaxCred&amp;Subs'!$C$123:$C$127)*($H2280&lt;='TaxCred&amp;Subs'!$C$129),'TaxCred&amp;Subs'!$E$123:$E$127,0))</f>
        <v>0</v>
      </c>
      <c r="R2280" s="174">
        <v>0</v>
      </c>
      <c r="S2280" s="126">
        <v>3</v>
      </c>
      <c r="T2280" s="126" t="s">
        <v>247</v>
      </c>
      <c r="U2280" s="158"/>
      <c r="V2280" s="153" t="str">
        <f t="array" ref="V2280">INDEX(xlRTCLNAME,MATCH(1,(xlRTCLENDU=1)*(xlRTCLEQCL=$D2280),0))</f>
        <v>NG_HP</v>
      </c>
      <c r="W2280" s="153" t="str">
        <f t="array" ref="W2280">INDEX(xlRTCLNAME,MATCH(1,(xlRTCLENDU=2)*(xlRTCLEQCL=$F2280),0))</f>
        <v>NG_HP</v>
      </c>
      <c r="X2280" s="153" t="str">
        <f t="array" ref="X2280">INDEX(xlRTTYNAME,MATCH(1,(xlRTTYENDU=1)*(xlRTTYEQCL=$D2280)*(xlRTEQTYPE=$E2280),0))</f>
        <v>NG_HP2</v>
      </c>
      <c r="Y2280" s="153" t="str">
        <f t="array" ref="Y2280">INDEX(xlRTTYNAME,MATCH(1,(xlRTTYENDU=2)*(xlRTTYEQCL=$F2280)*(xlRTEQTYPE=$G2280),0))</f>
        <v>NG_HP2</v>
      </c>
    </row>
    <row r="2281" spans="1:25" x14ac:dyDescent="0.2">
      <c r="B2281" s="126">
        <v>5</v>
      </c>
      <c r="C2281" s="126">
        <v>3</v>
      </c>
      <c r="D2281" s="126">
        <v>11</v>
      </c>
      <c r="E2281" s="126">
        <v>36</v>
      </c>
      <c r="F2281" s="126">
        <v>5</v>
      </c>
      <c r="G2281" s="126">
        <v>17</v>
      </c>
      <c r="H2281" s="126">
        <v>2016</v>
      </c>
      <c r="I2281" s="126">
        <v>2050</v>
      </c>
      <c r="J2281" s="127">
        <v>1.0559000000000001</v>
      </c>
      <c r="K2281" s="127">
        <v>1.0444</v>
      </c>
      <c r="L2281" s="127">
        <v>0.84960000000000002</v>
      </c>
      <c r="M2281" s="127">
        <v>1.0552999999999999</v>
      </c>
      <c r="N2281" s="127">
        <v>0.83460000000000001</v>
      </c>
      <c r="O2281" s="127">
        <v>1.0538000000000001</v>
      </c>
      <c r="P2281" s="126">
        <v>3449</v>
      </c>
      <c r="Q2281" s="128">
        <f t="array" ref="Q2281">SUM(IF(($S2281&gt;=4)*($C2281='TaxCred&amp;Subs'!$D$123:$D$127)*($H2281='TaxCred&amp;Subs'!$C$123:$C$127)*($H2281&lt;='TaxCred&amp;Subs'!$C$129),'TaxCred&amp;Subs'!$E$123:$E$127,0))</f>
        <v>0</v>
      </c>
      <c r="R2281" s="174">
        <v>0</v>
      </c>
      <c r="S2281" s="126">
        <v>3</v>
      </c>
      <c r="T2281" s="126" t="s">
        <v>247</v>
      </c>
      <c r="U2281" s="158"/>
      <c r="V2281" s="153" t="str">
        <f t="array" ref="V2281">INDEX(xlRTCLNAME,MATCH(1,(xlRTCLENDU=1)*(xlRTCLEQCL=$D2281),0))</f>
        <v>NG_HP</v>
      </c>
      <c r="W2281" s="153" t="str">
        <f t="array" ref="W2281">INDEX(xlRTCLNAME,MATCH(1,(xlRTCLENDU=2)*(xlRTCLEQCL=$F2281),0))</f>
        <v>NG_HP</v>
      </c>
      <c r="X2281" s="153" t="str">
        <f t="array" ref="X2281">INDEX(xlRTTYNAME,MATCH(1,(xlRTTYENDU=1)*(xlRTTYEQCL=$D2281)*(xlRTEQTYPE=$E2281),0))</f>
        <v>NG_HP2</v>
      </c>
      <c r="Y2281" s="153" t="str">
        <f t="array" ref="Y2281">INDEX(xlRTTYNAME,MATCH(1,(xlRTTYENDU=2)*(xlRTTYEQCL=$F2281)*(xlRTEQTYPE=$G2281),0))</f>
        <v>NG_HP2</v>
      </c>
    </row>
    <row r="2282" spans="1:25" x14ac:dyDescent="0.2">
      <c r="B2282" s="126">
        <v>6</v>
      </c>
      <c r="C2282" s="126">
        <v>3</v>
      </c>
      <c r="D2282" s="126">
        <v>11</v>
      </c>
      <c r="E2282" s="126">
        <v>36</v>
      </c>
      <c r="F2282" s="126">
        <v>5</v>
      </c>
      <c r="G2282" s="126">
        <v>17</v>
      </c>
      <c r="H2282" s="126">
        <v>2016</v>
      </c>
      <c r="I2282" s="126">
        <v>2050</v>
      </c>
      <c r="J2282" s="127">
        <v>1.0872999999999999</v>
      </c>
      <c r="K2282" s="127">
        <v>1.0581</v>
      </c>
      <c r="L2282" s="127">
        <v>0.83140000000000003</v>
      </c>
      <c r="M2282" s="127">
        <v>1.0811999999999999</v>
      </c>
      <c r="N2282" s="127">
        <v>0.8044</v>
      </c>
      <c r="O2282" s="127">
        <v>1.0538000000000001</v>
      </c>
      <c r="P2282" s="126">
        <v>3858</v>
      </c>
      <c r="Q2282" s="128">
        <f t="array" ref="Q2282">SUM(IF(($S2282&gt;=4)*($C2282='TaxCred&amp;Subs'!$D$123:$D$127)*($H2282='TaxCred&amp;Subs'!$C$123:$C$127)*($H2282&lt;='TaxCred&amp;Subs'!$C$129),'TaxCred&amp;Subs'!$E$123:$E$127,0))</f>
        <v>0</v>
      </c>
      <c r="R2282" s="174">
        <v>0</v>
      </c>
      <c r="S2282" s="126">
        <v>3</v>
      </c>
      <c r="T2282" s="126" t="s">
        <v>247</v>
      </c>
      <c r="U2282" s="158"/>
      <c r="V2282" s="153" t="str">
        <f t="array" ref="V2282">INDEX(xlRTCLNAME,MATCH(1,(xlRTCLENDU=1)*(xlRTCLEQCL=$D2282),0))</f>
        <v>NG_HP</v>
      </c>
      <c r="W2282" s="153" t="str">
        <f t="array" ref="W2282">INDEX(xlRTCLNAME,MATCH(1,(xlRTCLENDU=2)*(xlRTCLEQCL=$F2282),0))</f>
        <v>NG_HP</v>
      </c>
      <c r="X2282" s="153" t="str">
        <f t="array" ref="X2282">INDEX(xlRTTYNAME,MATCH(1,(xlRTTYENDU=1)*(xlRTTYEQCL=$D2282)*(xlRTEQTYPE=$E2282),0))</f>
        <v>NG_HP2</v>
      </c>
      <c r="Y2282" s="153" t="str">
        <f t="array" ref="Y2282">INDEX(xlRTTYNAME,MATCH(1,(xlRTTYENDU=2)*(xlRTTYEQCL=$F2282)*(xlRTEQTYPE=$G2282),0))</f>
        <v>NG_HP2</v>
      </c>
    </row>
    <row r="2283" spans="1:25" x14ac:dyDescent="0.2">
      <c r="B2283" s="126">
        <v>7</v>
      </c>
      <c r="C2283" s="126">
        <v>3</v>
      </c>
      <c r="D2283" s="126">
        <v>11</v>
      </c>
      <c r="E2283" s="126">
        <v>36</v>
      </c>
      <c r="F2283" s="126">
        <v>5</v>
      </c>
      <c r="G2283" s="126">
        <v>17</v>
      </c>
      <c r="H2283" s="126">
        <v>2016</v>
      </c>
      <c r="I2283" s="126">
        <v>2050</v>
      </c>
      <c r="J2283" s="127">
        <v>1.0914999999999999</v>
      </c>
      <c r="K2283" s="127">
        <v>1.0496000000000001</v>
      </c>
      <c r="L2283" s="127">
        <v>0.87839999999999996</v>
      </c>
      <c r="M2283" s="127">
        <v>1.0842000000000001</v>
      </c>
      <c r="N2283" s="127">
        <v>0.81759999999999999</v>
      </c>
      <c r="O2283" s="127">
        <v>1.0538000000000001</v>
      </c>
      <c r="P2283" s="126">
        <v>2672</v>
      </c>
      <c r="Q2283" s="128">
        <f t="array" ref="Q2283">SUM(IF(($S2283&gt;=4)*($C2283='TaxCred&amp;Subs'!$D$123:$D$127)*($H2283='TaxCred&amp;Subs'!$C$123:$C$127)*($H2283&lt;='TaxCred&amp;Subs'!$C$129),'TaxCred&amp;Subs'!$E$123:$E$127,0))</f>
        <v>0</v>
      </c>
      <c r="R2283" s="174">
        <v>0</v>
      </c>
      <c r="S2283" s="126">
        <v>3</v>
      </c>
      <c r="T2283" s="126" t="s">
        <v>247</v>
      </c>
      <c r="U2283" s="158"/>
      <c r="V2283" s="153" t="str">
        <f t="array" ref="V2283">INDEX(xlRTCLNAME,MATCH(1,(xlRTCLENDU=1)*(xlRTCLEQCL=$D2283),0))</f>
        <v>NG_HP</v>
      </c>
      <c r="W2283" s="153" t="str">
        <f t="array" ref="W2283">INDEX(xlRTCLNAME,MATCH(1,(xlRTCLENDU=2)*(xlRTCLEQCL=$F2283),0))</f>
        <v>NG_HP</v>
      </c>
      <c r="X2283" s="153" t="str">
        <f t="array" ref="X2283">INDEX(xlRTTYNAME,MATCH(1,(xlRTTYENDU=1)*(xlRTTYEQCL=$D2283)*(xlRTEQTYPE=$E2283),0))</f>
        <v>NG_HP2</v>
      </c>
      <c r="Y2283" s="153" t="str">
        <f t="array" ref="Y2283">INDEX(xlRTTYNAME,MATCH(1,(xlRTTYENDU=2)*(xlRTTYEQCL=$F2283)*(xlRTEQTYPE=$G2283),0))</f>
        <v>NG_HP2</v>
      </c>
    </row>
    <row r="2284" spans="1:25" x14ac:dyDescent="0.2">
      <c r="B2284" s="126">
        <v>9</v>
      </c>
      <c r="C2284" s="126">
        <v>3</v>
      </c>
      <c r="D2284" s="126">
        <v>11</v>
      </c>
      <c r="E2284" s="126">
        <v>36</v>
      </c>
      <c r="F2284" s="126">
        <v>5</v>
      </c>
      <c r="G2284" s="126">
        <v>17</v>
      </c>
      <c r="H2284" s="126">
        <v>2016</v>
      </c>
      <c r="I2284" s="126">
        <v>2050</v>
      </c>
      <c r="J2284" s="127">
        <v>1.0761000000000001</v>
      </c>
      <c r="K2284" s="127">
        <v>1.0506</v>
      </c>
      <c r="L2284" s="127">
        <v>0.84919999999999995</v>
      </c>
      <c r="M2284" s="127">
        <v>1.1452</v>
      </c>
      <c r="N2284" s="127">
        <v>0.84670000000000001</v>
      </c>
      <c r="O2284" s="127">
        <v>1.0538000000000001</v>
      </c>
      <c r="P2284" s="126">
        <v>5447</v>
      </c>
      <c r="Q2284" s="128">
        <f t="array" ref="Q2284">SUM(IF(($S2284&gt;=4)*($C2284='TaxCred&amp;Subs'!$D$123:$D$127)*($H2284='TaxCred&amp;Subs'!$C$123:$C$127)*($H2284&lt;='TaxCred&amp;Subs'!$C$129),'TaxCred&amp;Subs'!$E$123:$E$127,0))</f>
        <v>0</v>
      </c>
      <c r="R2284" s="174">
        <v>0</v>
      </c>
      <c r="S2284" s="126">
        <v>3</v>
      </c>
      <c r="T2284" s="126" t="s">
        <v>247</v>
      </c>
      <c r="U2284" s="158"/>
      <c r="V2284" s="153" t="str">
        <f t="array" ref="V2284">INDEX(xlRTCLNAME,MATCH(1,(xlRTCLENDU=1)*(xlRTCLEQCL=$D2284),0))</f>
        <v>NG_HP</v>
      </c>
      <c r="W2284" s="153" t="str">
        <f t="array" ref="W2284">INDEX(xlRTCLNAME,MATCH(1,(xlRTCLENDU=2)*(xlRTCLEQCL=$F2284),0))</f>
        <v>NG_HP</v>
      </c>
      <c r="X2284" s="153" t="str">
        <f t="array" ref="X2284">INDEX(xlRTTYNAME,MATCH(1,(xlRTTYENDU=1)*(xlRTTYEQCL=$D2284)*(xlRTEQTYPE=$E2284),0))</f>
        <v>NG_HP2</v>
      </c>
      <c r="Y2284" s="153" t="str">
        <f t="array" ref="Y2284">INDEX(xlRTTYNAME,MATCH(1,(xlRTTYENDU=2)*(xlRTTYEQCL=$F2284)*(xlRTEQTYPE=$G2284),0))</f>
        <v>NG_HP2</v>
      </c>
    </row>
    <row r="2285" spans="1:25" x14ac:dyDescent="0.2">
      <c r="B2285" s="126">
        <v>7</v>
      </c>
      <c r="C2285" s="126">
        <v>3</v>
      </c>
      <c r="D2285" s="126">
        <v>1</v>
      </c>
      <c r="E2285" s="126">
        <v>1</v>
      </c>
      <c r="F2285" s="126">
        <v>2</v>
      </c>
      <c r="G2285" s="126">
        <v>7</v>
      </c>
      <c r="H2285" s="126">
        <v>2016</v>
      </c>
      <c r="I2285" s="159">
        <v>2022</v>
      </c>
      <c r="J2285" s="127">
        <v>1.0893999999999999</v>
      </c>
      <c r="K2285" s="127">
        <v>1.0512999999999999</v>
      </c>
      <c r="L2285" s="127">
        <v>0.71379999999999999</v>
      </c>
      <c r="M2285" s="127">
        <v>0.97550000000000003</v>
      </c>
      <c r="N2285" s="127">
        <v>0.8115</v>
      </c>
      <c r="O2285" s="127">
        <v>1.0538000000000001</v>
      </c>
      <c r="P2285" s="126">
        <v>5138</v>
      </c>
      <c r="Q2285" s="128">
        <f t="array" ref="Q2285">SUM(IF(($S2285&gt;=4)*($C2285='TaxCred&amp;Subs'!$D$123:$D$127)*($H2285='TaxCred&amp;Subs'!$C$123:$C$127)*($H2285&lt;='TaxCred&amp;Subs'!$C$129),'TaxCred&amp;Subs'!$E$123:$E$127,0))</f>
        <v>1000</v>
      </c>
      <c r="R2285" s="174">
        <v>0</v>
      </c>
      <c r="S2285" s="126">
        <v>4</v>
      </c>
      <c r="T2285" s="126" t="s">
        <v>248</v>
      </c>
      <c r="V2285" s="153" t="str">
        <f t="array" ref="V2285">INDEX(xlRTCLNAME,MATCH(1,(xlRTCLENDU=1)*(xlRTCLEQCL=$D2285),0))</f>
        <v>ELEC_RAD</v>
      </c>
      <c r="W2285" s="153" t="str">
        <f t="array" ref="W2285">INDEX(xlRTCLNAME,MATCH(1,(xlRTCLENDU=2)*(xlRTCLEQCL=$F2285),0))</f>
        <v>CENT_AIR</v>
      </c>
      <c r="X2285" s="153" t="str">
        <f t="array" ref="X2285">INDEX(xlRTTYNAME,MATCH(1,(xlRTTYENDU=1)*(xlRTTYEQCL=$D2285)*(xlRTEQTYPE=$E2285),0))</f>
        <v>ELEC_RAD2</v>
      </c>
      <c r="Y2285" s="153" t="str">
        <f t="array" ref="Y2285">INDEX(xlRTTYNAME,MATCH(1,(xlRTTYENDU=2)*(xlRTTYEQCL=$F2285)*(xlRTEQTYPE=$G2285),0))</f>
        <v>CENT_AIR3</v>
      </c>
    </row>
    <row r="2286" spans="1:25" s="158" customFormat="1" x14ac:dyDescent="0.2">
      <c r="A2286"/>
      <c r="B2286" s="49">
        <v>7</v>
      </c>
      <c r="C2286" s="49">
        <v>3</v>
      </c>
      <c r="D2286" s="49">
        <v>1</v>
      </c>
      <c r="E2286" s="49">
        <v>1</v>
      </c>
      <c r="F2286" s="49">
        <v>2</v>
      </c>
      <c r="G2286" s="49">
        <v>7</v>
      </c>
      <c r="H2286" s="49">
        <v>2023</v>
      </c>
      <c r="I2286" s="49">
        <v>2032</v>
      </c>
      <c r="J2286" s="50">
        <v>1.0893999999999999</v>
      </c>
      <c r="K2286" s="50">
        <v>1.0512999999999999</v>
      </c>
      <c r="L2286" s="50">
        <v>0.71379999999999999</v>
      </c>
      <c r="M2286" s="50">
        <v>0.97550000000000003</v>
      </c>
      <c r="N2286" s="50">
        <v>0.8115</v>
      </c>
      <c r="O2286" s="50">
        <v>1.0538000000000001</v>
      </c>
      <c r="P2286" s="49">
        <v>5138</v>
      </c>
      <c r="Q2286" s="51">
        <f t="array" ref="Q2286">SUM(IF(($S2286&gt;=4)*($C2286='TaxCred&amp;Subs'!$D$123:$D$127)*($H2286='TaxCred&amp;Subs'!$C$123:$C$127)*($H2286&lt;='TaxCred&amp;Subs'!$C$129),'TaxCred&amp;Subs'!$E$123:$E$127,0))</f>
        <v>2500</v>
      </c>
      <c r="R2286" s="171">
        <v>0</v>
      </c>
      <c r="S2286" s="49">
        <v>4</v>
      </c>
      <c r="T2286" s="49" t="s">
        <v>248</v>
      </c>
      <c r="U2286"/>
      <c r="V2286" s="153" t="str">
        <f t="array" ref="V2286">INDEX(xlRTCLNAME,MATCH(1,(xlRTCLENDU=1)*(xlRTCLEQCL=$D2286),0))</f>
        <v>ELEC_RAD</v>
      </c>
      <c r="W2286" s="153" t="str">
        <f t="array" ref="W2286">INDEX(xlRTCLNAME,MATCH(1,(xlRTCLENDU=2)*(xlRTCLEQCL=$F2286),0))</f>
        <v>CENT_AIR</v>
      </c>
      <c r="X2286" s="153" t="str">
        <f t="array" ref="X2286">INDEX(xlRTTYNAME,MATCH(1,(xlRTTYENDU=1)*(xlRTTYEQCL=$D2286)*(xlRTEQTYPE=$E2286),0))</f>
        <v>ELEC_RAD2</v>
      </c>
      <c r="Y2286" s="153" t="str">
        <f t="array" ref="Y2286">INDEX(xlRTTYNAME,MATCH(1,(xlRTTYENDU=2)*(xlRTTYEQCL=$F2286)*(xlRTEQTYPE=$G2286),0))</f>
        <v>CENT_AIR3</v>
      </c>
    </row>
    <row r="2287" spans="1:25" s="158" customFormat="1" x14ac:dyDescent="0.2">
      <c r="A2287"/>
      <c r="B2287" s="126">
        <v>7</v>
      </c>
      <c r="C2287" s="126">
        <v>3</v>
      </c>
      <c r="D2287" s="126">
        <v>1</v>
      </c>
      <c r="E2287" s="126">
        <v>1</v>
      </c>
      <c r="F2287" s="126">
        <v>2</v>
      </c>
      <c r="G2287" s="126">
        <v>7</v>
      </c>
      <c r="H2287" s="159">
        <v>2033</v>
      </c>
      <c r="I2287" s="159">
        <v>2050</v>
      </c>
      <c r="J2287" s="127">
        <v>1.0893999999999999</v>
      </c>
      <c r="K2287" s="127">
        <v>1.0512999999999999</v>
      </c>
      <c r="L2287" s="127">
        <v>0.71379999999999999</v>
      </c>
      <c r="M2287" s="127">
        <v>0.97550000000000003</v>
      </c>
      <c r="N2287" s="127">
        <v>0.8115</v>
      </c>
      <c r="O2287" s="127">
        <v>1.0538000000000001</v>
      </c>
      <c r="P2287" s="126">
        <v>5138</v>
      </c>
      <c r="Q2287" s="128">
        <f t="array" ref="Q2287">SUM(IF(($S2287&gt;=4)*($C2287='TaxCred&amp;Subs'!$D$123:$D$127)*($H2287='TaxCred&amp;Subs'!$C$123:$C$127)*($H2287&lt;='TaxCred&amp;Subs'!$C$129),'TaxCred&amp;Subs'!$E$123:$E$127,0))</f>
        <v>0</v>
      </c>
      <c r="R2287" s="174">
        <v>0</v>
      </c>
      <c r="S2287" s="126">
        <v>4</v>
      </c>
      <c r="T2287" s="126" t="s">
        <v>248</v>
      </c>
      <c r="U2287"/>
      <c r="V2287" s="153" t="str">
        <f t="array" ref="V2287">INDEX(xlRTCLNAME,MATCH(1,(xlRTCLENDU=1)*(xlRTCLEQCL=$D2287),0))</f>
        <v>ELEC_RAD</v>
      </c>
      <c r="W2287" s="153" t="str">
        <f t="array" ref="W2287">INDEX(xlRTCLNAME,MATCH(1,(xlRTCLENDU=2)*(xlRTCLEQCL=$F2287),0))</f>
        <v>CENT_AIR</v>
      </c>
      <c r="X2287" s="153" t="str">
        <f t="array" ref="X2287">INDEX(xlRTTYNAME,MATCH(1,(xlRTTYENDU=1)*(xlRTTYEQCL=$D2287)*(xlRTEQTYPE=$E2287),0))</f>
        <v>ELEC_RAD2</v>
      </c>
      <c r="Y2287" s="153" t="str">
        <f t="array" ref="Y2287">INDEX(xlRTTYNAME,MATCH(1,(xlRTTYENDU=2)*(xlRTTYEQCL=$F2287)*(xlRTEQTYPE=$G2287),0))</f>
        <v>CENT_AIR3</v>
      </c>
    </row>
    <row r="2288" spans="1:25" x14ac:dyDescent="0.2">
      <c r="B2288" s="126">
        <v>1</v>
      </c>
      <c r="C2288" s="126">
        <v>3</v>
      </c>
      <c r="D2288" s="126">
        <v>2</v>
      </c>
      <c r="E2288" s="126">
        <v>4</v>
      </c>
      <c r="F2288" s="126">
        <v>3</v>
      </c>
      <c r="G2288" s="126">
        <v>11</v>
      </c>
      <c r="H2288" s="126">
        <v>2016</v>
      </c>
      <c r="I2288" s="37">
        <v>2022</v>
      </c>
      <c r="J2288" s="127">
        <v>1.0763</v>
      </c>
      <c r="K2288" s="127">
        <v>1.0588</v>
      </c>
      <c r="L2288" s="127">
        <v>0.68410000000000004</v>
      </c>
      <c r="M2288" s="127">
        <v>1.0437000000000001</v>
      </c>
      <c r="N2288" s="127">
        <v>0.77080000000000004</v>
      </c>
      <c r="O2288" s="127">
        <v>1.0538000000000001</v>
      </c>
      <c r="P2288" s="126">
        <v>6643</v>
      </c>
      <c r="Q2288" s="128">
        <f t="array" ref="Q2288">SUM(IF(($S2288&gt;=4)*($C2288='TaxCred&amp;Subs'!$D$123:$D$127)*($H2288='TaxCred&amp;Subs'!$C$123:$C$127)*($H2288&lt;='TaxCred&amp;Subs'!$C$129),'TaxCred&amp;Subs'!$E$123:$E$127,0))</f>
        <v>1000</v>
      </c>
      <c r="R2288" s="174">
        <v>0</v>
      </c>
      <c r="S2288" s="126">
        <v>4</v>
      </c>
      <c r="T2288" s="126" t="s">
        <v>248</v>
      </c>
      <c r="V2288" s="153" t="str">
        <f t="array" ref="V2288">INDEX(xlRTCLNAME,MATCH(1,(xlRTCLENDU=1)*(xlRTCLEQCL=$D2288),0))</f>
        <v>ELEC_HP</v>
      </c>
      <c r="W2288" s="153" t="str">
        <f t="array" ref="W2288">INDEX(xlRTCLNAME,MATCH(1,(xlRTCLENDU=2)*(xlRTCLEQCL=$F2288),0))</f>
        <v>ELEC_HP</v>
      </c>
      <c r="X2288" s="153" t="str">
        <f t="array" ref="X2288">INDEX(xlRTTYNAME,MATCH(1,(xlRTTYENDU=1)*(xlRTTYEQCL=$D2288)*(xlRTEQTYPE=$E2288),0))</f>
        <v>ELEC_HP3</v>
      </c>
      <c r="Y2288" s="153" t="str">
        <f t="array" ref="Y2288">INDEX(xlRTTYNAME,MATCH(1,(xlRTTYENDU=2)*(xlRTTYEQCL=$F2288)*(xlRTEQTYPE=$G2288),0))</f>
        <v>ELEC_HP3</v>
      </c>
    </row>
    <row r="2289" spans="1:25" s="158" customFormat="1" x14ac:dyDescent="0.2">
      <c r="A2289"/>
      <c r="B2289" s="49">
        <v>1</v>
      </c>
      <c r="C2289" s="49">
        <v>3</v>
      </c>
      <c r="D2289" s="49">
        <v>2</v>
      </c>
      <c r="E2289" s="49">
        <v>4</v>
      </c>
      <c r="F2289" s="49">
        <v>3</v>
      </c>
      <c r="G2289" s="49">
        <v>11</v>
      </c>
      <c r="H2289" s="49">
        <v>2023</v>
      </c>
      <c r="I2289" s="49">
        <v>2032</v>
      </c>
      <c r="J2289" s="50">
        <v>1.0763</v>
      </c>
      <c r="K2289" s="50">
        <v>1.0588</v>
      </c>
      <c r="L2289" s="50">
        <v>0.68410000000000004</v>
      </c>
      <c r="M2289" s="50">
        <v>1.0437000000000001</v>
      </c>
      <c r="N2289" s="50">
        <v>0.77080000000000004</v>
      </c>
      <c r="O2289" s="50">
        <v>1.0538000000000001</v>
      </c>
      <c r="P2289" s="49">
        <v>6643</v>
      </c>
      <c r="Q2289" s="51">
        <f t="array" ref="Q2289">SUM(IF(($S2289&gt;=4)*($C2289='TaxCred&amp;Subs'!$D$123:$D$127)*($H2289='TaxCred&amp;Subs'!$C$123:$C$127)*($H2289&lt;='TaxCred&amp;Subs'!$C$129),'TaxCred&amp;Subs'!$E$123:$E$127,0))</f>
        <v>2500</v>
      </c>
      <c r="R2289" s="171">
        <v>0</v>
      </c>
      <c r="S2289" s="49">
        <v>4</v>
      </c>
      <c r="T2289" s="49" t="s">
        <v>248</v>
      </c>
      <c r="U2289"/>
      <c r="V2289" s="153" t="str">
        <f t="array" ref="V2289">INDEX(xlRTCLNAME,MATCH(1,(xlRTCLENDU=1)*(xlRTCLEQCL=$D2289),0))</f>
        <v>ELEC_HP</v>
      </c>
      <c r="W2289" s="153" t="str">
        <f t="array" ref="W2289">INDEX(xlRTCLNAME,MATCH(1,(xlRTCLENDU=2)*(xlRTCLEQCL=$F2289),0))</f>
        <v>ELEC_HP</v>
      </c>
      <c r="X2289" s="153" t="str">
        <f t="array" ref="X2289">INDEX(xlRTTYNAME,MATCH(1,(xlRTTYENDU=1)*(xlRTTYEQCL=$D2289)*(xlRTEQTYPE=$E2289),0))</f>
        <v>ELEC_HP3</v>
      </c>
      <c r="Y2289" s="153" t="str">
        <f t="array" ref="Y2289">INDEX(xlRTTYNAME,MATCH(1,(xlRTTYENDU=2)*(xlRTTYEQCL=$F2289)*(xlRTEQTYPE=$G2289),0))</f>
        <v>ELEC_HP3</v>
      </c>
    </row>
    <row r="2290" spans="1:25" s="158" customFormat="1" x14ac:dyDescent="0.2">
      <c r="A2290"/>
      <c r="B2290" s="126">
        <v>1</v>
      </c>
      <c r="C2290" s="126">
        <v>3</v>
      </c>
      <c r="D2290" s="126">
        <v>2</v>
      </c>
      <c r="E2290" s="126">
        <v>4</v>
      </c>
      <c r="F2290" s="126">
        <v>3</v>
      </c>
      <c r="G2290" s="126">
        <v>11</v>
      </c>
      <c r="H2290" s="159">
        <v>2033</v>
      </c>
      <c r="I2290" s="159">
        <v>2050</v>
      </c>
      <c r="J2290" s="127">
        <v>1.0763</v>
      </c>
      <c r="K2290" s="127">
        <v>1.0588</v>
      </c>
      <c r="L2290" s="127">
        <v>0.68410000000000004</v>
      </c>
      <c r="M2290" s="127">
        <v>1.0437000000000001</v>
      </c>
      <c r="N2290" s="127">
        <v>0.77080000000000004</v>
      </c>
      <c r="O2290" s="127">
        <v>1.0538000000000001</v>
      </c>
      <c r="P2290" s="126">
        <v>6643</v>
      </c>
      <c r="Q2290" s="128">
        <f t="array" ref="Q2290">SUM(IF(($S2290&gt;=4)*($C2290='TaxCred&amp;Subs'!$D$123:$D$127)*($H2290='TaxCred&amp;Subs'!$C$123:$C$127)*($H2290&lt;='TaxCred&amp;Subs'!$C$129),'TaxCred&amp;Subs'!$E$123:$E$127,0))</f>
        <v>0</v>
      </c>
      <c r="R2290" s="174">
        <v>0</v>
      </c>
      <c r="S2290" s="126">
        <v>4</v>
      </c>
      <c r="T2290" s="126" t="s">
        <v>248</v>
      </c>
      <c r="U2290"/>
      <c r="V2290" s="153" t="str">
        <f t="array" ref="V2290">INDEX(xlRTCLNAME,MATCH(1,(xlRTCLENDU=1)*(xlRTCLEQCL=$D2290),0))</f>
        <v>ELEC_HP</v>
      </c>
      <c r="W2290" s="153" t="str">
        <f t="array" ref="W2290">INDEX(xlRTCLNAME,MATCH(1,(xlRTCLENDU=2)*(xlRTCLEQCL=$F2290),0))</f>
        <v>ELEC_HP</v>
      </c>
      <c r="X2290" s="153" t="str">
        <f t="array" ref="X2290">INDEX(xlRTTYNAME,MATCH(1,(xlRTTYENDU=1)*(xlRTTYEQCL=$D2290)*(xlRTEQTYPE=$E2290),0))</f>
        <v>ELEC_HP3</v>
      </c>
      <c r="Y2290" s="153" t="str">
        <f t="array" ref="Y2290">INDEX(xlRTTYNAME,MATCH(1,(xlRTTYENDU=2)*(xlRTTYEQCL=$F2290)*(xlRTEQTYPE=$G2290),0))</f>
        <v>ELEC_HP3</v>
      </c>
    </row>
    <row r="2291" spans="1:25" x14ac:dyDescent="0.2">
      <c r="B2291" s="126">
        <v>2</v>
      </c>
      <c r="C2291" s="126">
        <v>3</v>
      </c>
      <c r="D2291" s="126">
        <v>2</v>
      </c>
      <c r="E2291" s="126">
        <v>4</v>
      </c>
      <c r="F2291" s="126">
        <v>3</v>
      </c>
      <c r="G2291" s="126">
        <v>11</v>
      </c>
      <c r="H2291" s="126">
        <v>2016</v>
      </c>
      <c r="I2291" s="37">
        <v>2022</v>
      </c>
      <c r="J2291" s="127">
        <v>1.0746</v>
      </c>
      <c r="K2291" s="127">
        <v>1.0625</v>
      </c>
      <c r="L2291" s="127">
        <v>0.75009999999999999</v>
      </c>
      <c r="M2291" s="127">
        <v>1.1226</v>
      </c>
      <c r="N2291" s="127">
        <v>0.83340000000000003</v>
      </c>
      <c r="O2291" s="127">
        <v>1.0538000000000001</v>
      </c>
      <c r="P2291" s="126">
        <v>6885</v>
      </c>
      <c r="Q2291" s="128">
        <f t="array" ref="Q2291">SUM(IF(($S2291&gt;=4)*($C2291='TaxCred&amp;Subs'!$D$123:$D$127)*($H2291='TaxCred&amp;Subs'!$C$123:$C$127)*($H2291&lt;='TaxCred&amp;Subs'!$C$129),'TaxCred&amp;Subs'!$E$123:$E$127,0))</f>
        <v>1000</v>
      </c>
      <c r="R2291" s="174">
        <v>0</v>
      </c>
      <c r="S2291" s="126">
        <v>4</v>
      </c>
      <c r="T2291" s="126" t="s">
        <v>248</v>
      </c>
      <c r="V2291" s="153" t="str">
        <f t="array" ref="V2291">INDEX(xlRTCLNAME,MATCH(1,(xlRTCLENDU=1)*(xlRTCLEQCL=$D2291),0))</f>
        <v>ELEC_HP</v>
      </c>
      <c r="W2291" s="153" t="str">
        <f t="array" ref="W2291">INDEX(xlRTCLNAME,MATCH(1,(xlRTCLENDU=2)*(xlRTCLEQCL=$F2291),0))</f>
        <v>ELEC_HP</v>
      </c>
      <c r="X2291" s="153" t="str">
        <f t="array" ref="X2291">INDEX(xlRTTYNAME,MATCH(1,(xlRTTYENDU=1)*(xlRTTYEQCL=$D2291)*(xlRTEQTYPE=$E2291),0))</f>
        <v>ELEC_HP3</v>
      </c>
      <c r="Y2291" s="153" t="str">
        <f t="array" ref="Y2291">INDEX(xlRTTYNAME,MATCH(1,(xlRTTYENDU=2)*(xlRTTYEQCL=$F2291)*(xlRTEQTYPE=$G2291),0))</f>
        <v>ELEC_HP3</v>
      </c>
    </row>
    <row r="2292" spans="1:25" s="158" customFormat="1" x14ac:dyDescent="0.2">
      <c r="A2292"/>
      <c r="B2292" s="49">
        <v>2</v>
      </c>
      <c r="C2292" s="49">
        <v>3</v>
      </c>
      <c r="D2292" s="49">
        <v>2</v>
      </c>
      <c r="E2292" s="49">
        <v>4</v>
      </c>
      <c r="F2292" s="49">
        <v>3</v>
      </c>
      <c r="G2292" s="49">
        <v>11</v>
      </c>
      <c r="H2292" s="49">
        <v>2023</v>
      </c>
      <c r="I2292" s="49">
        <v>2032</v>
      </c>
      <c r="J2292" s="50">
        <v>1.0746</v>
      </c>
      <c r="K2292" s="50">
        <v>1.0625</v>
      </c>
      <c r="L2292" s="50">
        <v>0.75009999999999999</v>
      </c>
      <c r="M2292" s="50">
        <v>1.1226</v>
      </c>
      <c r="N2292" s="50">
        <v>0.83340000000000003</v>
      </c>
      <c r="O2292" s="50">
        <v>1.0538000000000001</v>
      </c>
      <c r="P2292" s="49">
        <v>6885</v>
      </c>
      <c r="Q2292" s="51">
        <f t="array" ref="Q2292">SUM(IF(($S2292&gt;=4)*($C2292='TaxCred&amp;Subs'!$D$123:$D$127)*($H2292='TaxCred&amp;Subs'!$C$123:$C$127)*($H2292&lt;='TaxCred&amp;Subs'!$C$129),'TaxCred&amp;Subs'!$E$123:$E$127,0))</f>
        <v>2500</v>
      </c>
      <c r="R2292" s="171">
        <v>0</v>
      </c>
      <c r="S2292" s="49">
        <v>4</v>
      </c>
      <c r="T2292" s="49" t="s">
        <v>248</v>
      </c>
      <c r="U2292"/>
      <c r="V2292" s="153" t="str">
        <f t="array" ref="V2292">INDEX(xlRTCLNAME,MATCH(1,(xlRTCLENDU=1)*(xlRTCLEQCL=$D2292),0))</f>
        <v>ELEC_HP</v>
      </c>
      <c r="W2292" s="153" t="str">
        <f t="array" ref="W2292">INDEX(xlRTCLNAME,MATCH(1,(xlRTCLENDU=2)*(xlRTCLEQCL=$F2292),0))</f>
        <v>ELEC_HP</v>
      </c>
      <c r="X2292" s="153" t="str">
        <f t="array" ref="X2292">INDEX(xlRTTYNAME,MATCH(1,(xlRTTYENDU=1)*(xlRTTYEQCL=$D2292)*(xlRTEQTYPE=$E2292),0))</f>
        <v>ELEC_HP3</v>
      </c>
      <c r="Y2292" s="153" t="str">
        <f t="array" ref="Y2292">INDEX(xlRTTYNAME,MATCH(1,(xlRTTYENDU=2)*(xlRTTYEQCL=$F2292)*(xlRTEQTYPE=$G2292),0))</f>
        <v>ELEC_HP3</v>
      </c>
    </row>
    <row r="2293" spans="1:25" s="158" customFormat="1" x14ac:dyDescent="0.2">
      <c r="A2293"/>
      <c r="B2293" s="126">
        <v>2</v>
      </c>
      <c r="C2293" s="126">
        <v>3</v>
      </c>
      <c r="D2293" s="126">
        <v>2</v>
      </c>
      <c r="E2293" s="126">
        <v>4</v>
      </c>
      <c r="F2293" s="126">
        <v>3</v>
      </c>
      <c r="G2293" s="126">
        <v>11</v>
      </c>
      <c r="H2293" s="159">
        <v>2033</v>
      </c>
      <c r="I2293" s="159">
        <v>2050</v>
      </c>
      <c r="J2293" s="127">
        <v>1.0746</v>
      </c>
      <c r="K2293" s="127">
        <v>1.0625</v>
      </c>
      <c r="L2293" s="127">
        <v>0.75009999999999999</v>
      </c>
      <c r="M2293" s="127">
        <v>1.1226</v>
      </c>
      <c r="N2293" s="127">
        <v>0.83340000000000003</v>
      </c>
      <c r="O2293" s="127">
        <v>1.0538000000000001</v>
      </c>
      <c r="P2293" s="126">
        <v>6885</v>
      </c>
      <c r="Q2293" s="128">
        <f t="array" ref="Q2293">SUM(IF(($S2293&gt;=4)*($C2293='TaxCred&amp;Subs'!$D$123:$D$127)*($H2293='TaxCred&amp;Subs'!$C$123:$C$127)*($H2293&lt;='TaxCred&amp;Subs'!$C$129),'TaxCred&amp;Subs'!$E$123:$E$127,0))</f>
        <v>0</v>
      </c>
      <c r="R2293" s="174">
        <v>0</v>
      </c>
      <c r="S2293" s="126">
        <v>4</v>
      </c>
      <c r="T2293" s="126" t="s">
        <v>248</v>
      </c>
      <c r="U2293"/>
      <c r="V2293" s="153" t="str">
        <f t="array" ref="V2293">INDEX(xlRTCLNAME,MATCH(1,(xlRTCLENDU=1)*(xlRTCLEQCL=$D2293),0))</f>
        <v>ELEC_HP</v>
      </c>
      <c r="W2293" s="153" t="str">
        <f t="array" ref="W2293">INDEX(xlRTCLNAME,MATCH(1,(xlRTCLENDU=2)*(xlRTCLEQCL=$F2293),0))</f>
        <v>ELEC_HP</v>
      </c>
      <c r="X2293" s="153" t="str">
        <f t="array" ref="X2293">INDEX(xlRTTYNAME,MATCH(1,(xlRTTYENDU=1)*(xlRTTYEQCL=$D2293)*(xlRTEQTYPE=$E2293),0))</f>
        <v>ELEC_HP3</v>
      </c>
      <c r="Y2293" s="153" t="str">
        <f t="array" ref="Y2293">INDEX(xlRTTYNAME,MATCH(1,(xlRTTYENDU=2)*(xlRTTYEQCL=$F2293)*(xlRTEQTYPE=$G2293),0))</f>
        <v>ELEC_HP3</v>
      </c>
    </row>
    <row r="2294" spans="1:25" x14ac:dyDescent="0.2">
      <c r="B2294" s="126">
        <v>3</v>
      </c>
      <c r="C2294" s="126">
        <v>3</v>
      </c>
      <c r="D2294" s="126">
        <v>2</v>
      </c>
      <c r="E2294" s="126">
        <v>4</v>
      </c>
      <c r="F2294" s="126">
        <v>3</v>
      </c>
      <c r="G2294" s="126">
        <v>11</v>
      </c>
      <c r="H2294" s="126">
        <v>2016</v>
      </c>
      <c r="I2294" s="159">
        <v>2022</v>
      </c>
      <c r="J2294" s="127">
        <v>1.0751999999999999</v>
      </c>
      <c r="K2294" s="127">
        <v>1.0651999999999999</v>
      </c>
      <c r="L2294" s="127">
        <v>0.76500000000000001</v>
      </c>
      <c r="M2294" s="127">
        <v>1.0803</v>
      </c>
      <c r="N2294" s="127">
        <v>0.8347</v>
      </c>
      <c r="O2294" s="127">
        <v>1.0538000000000001</v>
      </c>
      <c r="P2294" s="126">
        <v>6732</v>
      </c>
      <c r="Q2294" s="128">
        <f t="array" ref="Q2294">SUM(IF(($S2294&gt;=4)*($C2294='TaxCred&amp;Subs'!$D$123:$D$127)*($H2294='TaxCred&amp;Subs'!$C$123:$C$127)*($H2294&lt;='TaxCred&amp;Subs'!$C$129),'TaxCred&amp;Subs'!$E$123:$E$127,0))</f>
        <v>1000</v>
      </c>
      <c r="R2294" s="174">
        <v>0</v>
      </c>
      <c r="S2294" s="126">
        <v>4</v>
      </c>
      <c r="T2294" s="126" t="s">
        <v>248</v>
      </c>
      <c r="V2294" s="153" t="str">
        <f t="array" ref="V2294">INDEX(xlRTCLNAME,MATCH(1,(xlRTCLENDU=1)*(xlRTCLEQCL=$D2294),0))</f>
        <v>ELEC_HP</v>
      </c>
      <c r="W2294" s="153" t="str">
        <f t="array" ref="W2294">INDEX(xlRTCLNAME,MATCH(1,(xlRTCLENDU=2)*(xlRTCLEQCL=$F2294),0))</f>
        <v>ELEC_HP</v>
      </c>
      <c r="X2294" s="153" t="str">
        <f t="array" ref="X2294">INDEX(xlRTTYNAME,MATCH(1,(xlRTTYENDU=1)*(xlRTTYEQCL=$D2294)*(xlRTEQTYPE=$E2294),0))</f>
        <v>ELEC_HP3</v>
      </c>
      <c r="Y2294" s="153" t="str">
        <f t="array" ref="Y2294">INDEX(xlRTTYNAME,MATCH(1,(xlRTTYENDU=2)*(xlRTTYEQCL=$F2294)*(xlRTEQTYPE=$G2294),0))</f>
        <v>ELEC_HP3</v>
      </c>
    </row>
    <row r="2295" spans="1:25" s="158" customFormat="1" x14ac:dyDescent="0.2">
      <c r="A2295"/>
      <c r="B2295" s="49">
        <v>3</v>
      </c>
      <c r="C2295" s="49">
        <v>3</v>
      </c>
      <c r="D2295" s="49">
        <v>2</v>
      </c>
      <c r="E2295" s="49">
        <v>4</v>
      </c>
      <c r="F2295" s="49">
        <v>3</v>
      </c>
      <c r="G2295" s="49">
        <v>11</v>
      </c>
      <c r="H2295" s="49">
        <v>2023</v>
      </c>
      <c r="I2295" s="49">
        <v>2032</v>
      </c>
      <c r="J2295" s="50">
        <v>1.0751999999999999</v>
      </c>
      <c r="K2295" s="50">
        <v>1.0651999999999999</v>
      </c>
      <c r="L2295" s="50">
        <v>0.76500000000000001</v>
      </c>
      <c r="M2295" s="50">
        <v>1.0803</v>
      </c>
      <c r="N2295" s="50">
        <v>0.8347</v>
      </c>
      <c r="O2295" s="50">
        <v>1.0538000000000001</v>
      </c>
      <c r="P2295" s="49">
        <v>6732</v>
      </c>
      <c r="Q2295" s="51">
        <f t="array" ref="Q2295">SUM(IF(($S2295&gt;=4)*($C2295='TaxCred&amp;Subs'!$D$123:$D$127)*($H2295='TaxCred&amp;Subs'!$C$123:$C$127)*($H2295&lt;='TaxCred&amp;Subs'!$C$129),'TaxCred&amp;Subs'!$E$123:$E$127,0))</f>
        <v>2500</v>
      </c>
      <c r="R2295" s="171">
        <v>0</v>
      </c>
      <c r="S2295" s="49">
        <v>4</v>
      </c>
      <c r="T2295" s="49" t="s">
        <v>248</v>
      </c>
      <c r="U2295"/>
      <c r="V2295" s="153" t="str">
        <f t="array" ref="V2295">INDEX(xlRTCLNAME,MATCH(1,(xlRTCLENDU=1)*(xlRTCLEQCL=$D2295),0))</f>
        <v>ELEC_HP</v>
      </c>
      <c r="W2295" s="153" t="str">
        <f t="array" ref="W2295">INDEX(xlRTCLNAME,MATCH(1,(xlRTCLENDU=2)*(xlRTCLEQCL=$F2295),0))</f>
        <v>ELEC_HP</v>
      </c>
      <c r="X2295" s="153" t="str">
        <f t="array" ref="X2295">INDEX(xlRTTYNAME,MATCH(1,(xlRTTYENDU=1)*(xlRTTYEQCL=$D2295)*(xlRTEQTYPE=$E2295),0))</f>
        <v>ELEC_HP3</v>
      </c>
      <c r="Y2295" s="153" t="str">
        <f t="array" ref="Y2295">INDEX(xlRTTYNAME,MATCH(1,(xlRTTYENDU=2)*(xlRTTYEQCL=$F2295)*(xlRTEQTYPE=$G2295),0))</f>
        <v>ELEC_HP3</v>
      </c>
    </row>
    <row r="2296" spans="1:25" s="158" customFormat="1" x14ac:dyDescent="0.2">
      <c r="A2296"/>
      <c r="B2296" s="126">
        <v>3</v>
      </c>
      <c r="C2296" s="126">
        <v>3</v>
      </c>
      <c r="D2296" s="126">
        <v>2</v>
      </c>
      <c r="E2296" s="126">
        <v>4</v>
      </c>
      <c r="F2296" s="126">
        <v>3</v>
      </c>
      <c r="G2296" s="126">
        <v>11</v>
      </c>
      <c r="H2296" s="159">
        <v>2033</v>
      </c>
      <c r="I2296" s="159">
        <v>2050</v>
      </c>
      <c r="J2296" s="127">
        <v>1.0751999999999999</v>
      </c>
      <c r="K2296" s="127">
        <v>1.0651999999999999</v>
      </c>
      <c r="L2296" s="127">
        <v>0.76500000000000001</v>
      </c>
      <c r="M2296" s="127">
        <v>1.0803</v>
      </c>
      <c r="N2296" s="127">
        <v>0.8347</v>
      </c>
      <c r="O2296" s="127">
        <v>1.0538000000000001</v>
      </c>
      <c r="P2296" s="126">
        <v>6732</v>
      </c>
      <c r="Q2296" s="128">
        <f t="array" ref="Q2296">SUM(IF(($S2296&gt;=4)*($C2296='TaxCred&amp;Subs'!$D$123:$D$127)*($H2296='TaxCred&amp;Subs'!$C$123:$C$127)*($H2296&lt;='TaxCred&amp;Subs'!$C$129),'TaxCred&amp;Subs'!$E$123:$E$127,0))</f>
        <v>0</v>
      </c>
      <c r="R2296" s="174">
        <v>0</v>
      </c>
      <c r="S2296" s="126">
        <v>4</v>
      </c>
      <c r="T2296" s="126" t="s">
        <v>248</v>
      </c>
      <c r="U2296"/>
      <c r="V2296" s="153" t="str">
        <f t="array" ref="V2296">INDEX(xlRTCLNAME,MATCH(1,(xlRTCLENDU=1)*(xlRTCLEQCL=$D2296),0))</f>
        <v>ELEC_HP</v>
      </c>
      <c r="W2296" s="153" t="str">
        <f t="array" ref="W2296">INDEX(xlRTCLNAME,MATCH(1,(xlRTCLENDU=2)*(xlRTCLEQCL=$F2296),0))</f>
        <v>ELEC_HP</v>
      </c>
      <c r="X2296" s="153" t="str">
        <f t="array" ref="X2296">INDEX(xlRTTYNAME,MATCH(1,(xlRTTYENDU=1)*(xlRTTYEQCL=$D2296)*(xlRTEQTYPE=$E2296),0))</f>
        <v>ELEC_HP3</v>
      </c>
      <c r="Y2296" s="153" t="str">
        <f t="array" ref="Y2296">INDEX(xlRTTYNAME,MATCH(1,(xlRTTYENDU=2)*(xlRTTYEQCL=$F2296)*(xlRTEQTYPE=$G2296),0))</f>
        <v>ELEC_HP3</v>
      </c>
    </row>
    <row r="2297" spans="1:25" x14ac:dyDescent="0.2">
      <c r="B2297" s="126">
        <v>4</v>
      </c>
      <c r="C2297" s="126">
        <v>3</v>
      </c>
      <c r="D2297" s="126">
        <v>2</v>
      </c>
      <c r="E2297" s="126">
        <v>4</v>
      </c>
      <c r="F2297" s="126">
        <v>3</v>
      </c>
      <c r="G2297" s="126">
        <v>11</v>
      </c>
      <c r="H2297" s="126">
        <v>2016</v>
      </c>
      <c r="I2297" s="159">
        <v>2022</v>
      </c>
      <c r="J2297" s="127">
        <v>1.079</v>
      </c>
      <c r="K2297" s="127">
        <v>1.0541</v>
      </c>
      <c r="L2297" s="127">
        <v>0.69040000000000001</v>
      </c>
      <c r="M2297" s="127">
        <v>1.0580000000000001</v>
      </c>
      <c r="N2297" s="127">
        <v>0.76919999999999999</v>
      </c>
      <c r="O2297" s="127">
        <v>1.0538000000000001</v>
      </c>
      <c r="P2297" s="126">
        <v>5885</v>
      </c>
      <c r="Q2297" s="128">
        <f t="array" ref="Q2297">SUM(IF(($S2297&gt;=4)*($C2297='TaxCred&amp;Subs'!$D$123:$D$127)*($H2297='TaxCred&amp;Subs'!$C$123:$C$127)*($H2297&lt;='TaxCred&amp;Subs'!$C$129),'TaxCred&amp;Subs'!$E$123:$E$127,0))</f>
        <v>1000</v>
      </c>
      <c r="R2297" s="174">
        <v>0</v>
      </c>
      <c r="S2297" s="126">
        <v>4</v>
      </c>
      <c r="T2297" s="126" t="s">
        <v>248</v>
      </c>
      <c r="V2297" s="153" t="str">
        <f t="array" ref="V2297">INDEX(xlRTCLNAME,MATCH(1,(xlRTCLENDU=1)*(xlRTCLEQCL=$D2297),0))</f>
        <v>ELEC_HP</v>
      </c>
      <c r="W2297" s="153" t="str">
        <f t="array" ref="W2297">INDEX(xlRTCLNAME,MATCH(1,(xlRTCLENDU=2)*(xlRTCLEQCL=$F2297),0))</f>
        <v>ELEC_HP</v>
      </c>
      <c r="X2297" s="153" t="str">
        <f t="array" ref="X2297">INDEX(xlRTTYNAME,MATCH(1,(xlRTTYENDU=1)*(xlRTTYEQCL=$D2297)*(xlRTEQTYPE=$E2297),0))</f>
        <v>ELEC_HP3</v>
      </c>
      <c r="Y2297" s="153" t="str">
        <f t="array" ref="Y2297">INDEX(xlRTTYNAME,MATCH(1,(xlRTTYENDU=2)*(xlRTTYEQCL=$F2297)*(xlRTEQTYPE=$G2297),0))</f>
        <v>ELEC_HP3</v>
      </c>
    </row>
    <row r="2298" spans="1:25" s="158" customFormat="1" x14ac:dyDescent="0.2">
      <c r="A2298"/>
      <c r="B2298" s="49">
        <v>4</v>
      </c>
      <c r="C2298" s="49">
        <v>3</v>
      </c>
      <c r="D2298" s="49">
        <v>2</v>
      </c>
      <c r="E2298" s="49">
        <v>4</v>
      </c>
      <c r="F2298" s="49">
        <v>3</v>
      </c>
      <c r="G2298" s="49">
        <v>11</v>
      </c>
      <c r="H2298" s="49">
        <v>2023</v>
      </c>
      <c r="I2298" s="49">
        <v>2032</v>
      </c>
      <c r="J2298" s="50">
        <v>1.079</v>
      </c>
      <c r="K2298" s="50">
        <v>1.0541</v>
      </c>
      <c r="L2298" s="50">
        <v>0.69040000000000001</v>
      </c>
      <c r="M2298" s="50">
        <v>1.0580000000000001</v>
      </c>
      <c r="N2298" s="50">
        <v>0.76919999999999999</v>
      </c>
      <c r="O2298" s="50">
        <v>1.0538000000000001</v>
      </c>
      <c r="P2298" s="49">
        <v>5885</v>
      </c>
      <c r="Q2298" s="51">
        <f t="array" ref="Q2298">SUM(IF(($S2298&gt;=4)*($C2298='TaxCred&amp;Subs'!$D$123:$D$127)*($H2298='TaxCred&amp;Subs'!$C$123:$C$127)*($H2298&lt;='TaxCred&amp;Subs'!$C$129),'TaxCred&amp;Subs'!$E$123:$E$127,0))</f>
        <v>2500</v>
      </c>
      <c r="R2298" s="171">
        <v>0</v>
      </c>
      <c r="S2298" s="49">
        <v>4</v>
      </c>
      <c r="T2298" s="49" t="s">
        <v>248</v>
      </c>
      <c r="U2298"/>
      <c r="V2298" s="153" t="str">
        <f t="array" ref="V2298">INDEX(xlRTCLNAME,MATCH(1,(xlRTCLENDU=1)*(xlRTCLEQCL=$D2298),0))</f>
        <v>ELEC_HP</v>
      </c>
      <c r="W2298" s="153" t="str">
        <f t="array" ref="W2298">INDEX(xlRTCLNAME,MATCH(1,(xlRTCLENDU=2)*(xlRTCLEQCL=$F2298),0))</f>
        <v>ELEC_HP</v>
      </c>
      <c r="X2298" s="153" t="str">
        <f t="array" ref="X2298">INDEX(xlRTTYNAME,MATCH(1,(xlRTTYENDU=1)*(xlRTTYEQCL=$D2298)*(xlRTEQTYPE=$E2298),0))</f>
        <v>ELEC_HP3</v>
      </c>
      <c r="Y2298" s="153" t="str">
        <f t="array" ref="Y2298">INDEX(xlRTTYNAME,MATCH(1,(xlRTTYENDU=2)*(xlRTTYEQCL=$F2298)*(xlRTEQTYPE=$G2298),0))</f>
        <v>ELEC_HP3</v>
      </c>
    </row>
    <row r="2299" spans="1:25" s="158" customFormat="1" x14ac:dyDescent="0.2">
      <c r="A2299"/>
      <c r="B2299" s="126">
        <v>4</v>
      </c>
      <c r="C2299" s="126">
        <v>3</v>
      </c>
      <c r="D2299" s="126">
        <v>2</v>
      </c>
      <c r="E2299" s="126">
        <v>4</v>
      </c>
      <c r="F2299" s="126">
        <v>3</v>
      </c>
      <c r="G2299" s="126">
        <v>11</v>
      </c>
      <c r="H2299" s="159">
        <v>2033</v>
      </c>
      <c r="I2299" s="159">
        <v>2050</v>
      </c>
      <c r="J2299" s="127">
        <v>1.079</v>
      </c>
      <c r="K2299" s="127">
        <v>1.0541</v>
      </c>
      <c r="L2299" s="127">
        <v>0.69040000000000001</v>
      </c>
      <c r="M2299" s="127">
        <v>1.0580000000000001</v>
      </c>
      <c r="N2299" s="127">
        <v>0.76919999999999999</v>
      </c>
      <c r="O2299" s="127">
        <v>1.0538000000000001</v>
      </c>
      <c r="P2299" s="126">
        <v>5885</v>
      </c>
      <c r="Q2299" s="128">
        <f t="array" ref="Q2299">SUM(IF(($S2299&gt;=4)*($C2299='TaxCred&amp;Subs'!$D$123:$D$127)*($H2299='TaxCred&amp;Subs'!$C$123:$C$127)*($H2299&lt;='TaxCred&amp;Subs'!$C$129),'TaxCred&amp;Subs'!$E$123:$E$127,0))</f>
        <v>0</v>
      </c>
      <c r="R2299" s="174">
        <v>0</v>
      </c>
      <c r="S2299" s="126">
        <v>4</v>
      </c>
      <c r="T2299" s="126" t="s">
        <v>248</v>
      </c>
      <c r="U2299"/>
      <c r="V2299" s="153" t="str">
        <f t="array" ref="V2299">INDEX(xlRTCLNAME,MATCH(1,(xlRTCLENDU=1)*(xlRTCLEQCL=$D2299),0))</f>
        <v>ELEC_HP</v>
      </c>
      <c r="W2299" s="153" t="str">
        <f t="array" ref="W2299">INDEX(xlRTCLNAME,MATCH(1,(xlRTCLENDU=2)*(xlRTCLEQCL=$F2299),0))</f>
        <v>ELEC_HP</v>
      </c>
      <c r="X2299" s="153" t="str">
        <f t="array" ref="X2299">INDEX(xlRTTYNAME,MATCH(1,(xlRTTYENDU=1)*(xlRTTYEQCL=$D2299)*(xlRTEQTYPE=$E2299),0))</f>
        <v>ELEC_HP3</v>
      </c>
      <c r="Y2299" s="153" t="str">
        <f t="array" ref="Y2299">INDEX(xlRTTYNAME,MATCH(1,(xlRTTYENDU=2)*(xlRTTYEQCL=$F2299)*(xlRTEQTYPE=$G2299),0))</f>
        <v>ELEC_HP3</v>
      </c>
    </row>
    <row r="2300" spans="1:25" x14ac:dyDescent="0.2">
      <c r="B2300" s="126">
        <v>5</v>
      </c>
      <c r="C2300" s="126">
        <v>3</v>
      </c>
      <c r="D2300" s="126">
        <v>2</v>
      </c>
      <c r="E2300" s="126">
        <v>4</v>
      </c>
      <c r="F2300" s="126">
        <v>3</v>
      </c>
      <c r="G2300" s="126">
        <v>11</v>
      </c>
      <c r="H2300" s="126">
        <v>2016</v>
      </c>
      <c r="I2300" s="159">
        <v>2022</v>
      </c>
      <c r="J2300" s="127">
        <v>1.08</v>
      </c>
      <c r="K2300" s="127">
        <v>1.0583</v>
      </c>
      <c r="L2300" s="127">
        <v>0.73270000000000002</v>
      </c>
      <c r="M2300" s="127">
        <v>0.97309999999999997</v>
      </c>
      <c r="N2300" s="127">
        <v>0.82640000000000002</v>
      </c>
      <c r="O2300" s="127">
        <v>1.0538000000000001</v>
      </c>
      <c r="P2300" s="126">
        <v>5495</v>
      </c>
      <c r="Q2300" s="128">
        <f t="array" ref="Q2300">SUM(IF(($S2300&gt;=4)*($C2300='TaxCred&amp;Subs'!$D$123:$D$127)*($H2300='TaxCred&amp;Subs'!$C$123:$C$127)*($H2300&lt;='TaxCred&amp;Subs'!$C$129),'TaxCred&amp;Subs'!$E$123:$E$127,0))</f>
        <v>1000</v>
      </c>
      <c r="R2300" s="174">
        <v>0</v>
      </c>
      <c r="S2300" s="126">
        <v>4</v>
      </c>
      <c r="T2300" s="126" t="s">
        <v>248</v>
      </c>
      <c r="V2300" s="153" t="str">
        <f t="array" ref="V2300">INDEX(xlRTCLNAME,MATCH(1,(xlRTCLENDU=1)*(xlRTCLEQCL=$D2300),0))</f>
        <v>ELEC_HP</v>
      </c>
      <c r="W2300" s="153" t="str">
        <f t="array" ref="W2300">INDEX(xlRTCLNAME,MATCH(1,(xlRTCLENDU=2)*(xlRTCLEQCL=$F2300),0))</f>
        <v>ELEC_HP</v>
      </c>
      <c r="X2300" s="153" t="str">
        <f t="array" ref="X2300">INDEX(xlRTTYNAME,MATCH(1,(xlRTTYENDU=1)*(xlRTTYEQCL=$D2300)*(xlRTEQTYPE=$E2300),0))</f>
        <v>ELEC_HP3</v>
      </c>
      <c r="Y2300" s="153" t="str">
        <f t="array" ref="Y2300">INDEX(xlRTTYNAME,MATCH(1,(xlRTTYENDU=2)*(xlRTTYEQCL=$F2300)*(xlRTEQTYPE=$G2300),0))</f>
        <v>ELEC_HP3</v>
      </c>
    </row>
    <row r="2301" spans="1:25" s="158" customFormat="1" x14ac:dyDescent="0.2">
      <c r="A2301"/>
      <c r="B2301" s="49">
        <v>5</v>
      </c>
      <c r="C2301" s="49">
        <v>3</v>
      </c>
      <c r="D2301" s="49">
        <v>2</v>
      </c>
      <c r="E2301" s="49">
        <v>4</v>
      </c>
      <c r="F2301" s="49">
        <v>3</v>
      </c>
      <c r="G2301" s="49">
        <v>11</v>
      </c>
      <c r="H2301" s="49">
        <v>2023</v>
      </c>
      <c r="I2301" s="49">
        <v>2032</v>
      </c>
      <c r="J2301" s="50">
        <v>1.08</v>
      </c>
      <c r="K2301" s="50">
        <v>1.0583</v>
      </c>
      <c r="L2301" s="50">
        <v>0.73270000000000002</v>
      </c>
      <c r="M2301" s="50">
        <v>0.97309999999999997</v>
      </c>
      <c r="N2301" s="50">
        <v>0.82640000000000002</v>
      </c>
      <c r="O2301" s="50">
        <v>1.0538000000000001</v>
      </c>
      <c r="P2301" s="49">
        <v>5495</v>
      </c>
      <c r="Q2301" s="51">
        <f t="array" ref="Q2301">SUM(IF(($S2301&gt;=4)*($C2301='TaxCred&amp;Subs'!$D$123:$D$127)*($H2301='TaxCred&amp;Subs'!$C$123:$C$127)*($H2301&lt;='TaxCred&amp;Subs'!$C$129),'TaxCred&amp;Subs'!$E$123:$E$127,0))</f>
        <v>2500</v>
      </c>
      <c r="R2301" s="171">
        <v>0</v>
      </c>
      <c r="S2301" s="49">
        <v>4</v>
      </c>
      <c r="T2301" s="49" t="s">
        <v>248</v>
      </c>
      <c r="U2301"/>
      <c r="V2301" s="153" t="str">
        <f t="array" ref="V2301">INDEX(xlRTCLNAME,MATCH(1,(xlRTCLENDU=1)*(xlRTCLEQCL=$D2301),0))</f>
        <v>ELEC_HP</v>
      </c>
      <c r="W2301" s="153" t="str">
        <f t="array" ref="W2301">INDEX(xlRTCLNAME,MATCH(1,(xlRTCLENDU=2)*(xlRTCLEQCL=$F2301),0))</f>
        <v>ELEC_HP</v>
      </c>
      <c r="X2301" s="153" t="str">
        <f t="array" ref="X2301">INDEX(xlRTTYNAME,MATCH(1,(xlRTTYENDU=1)*(xlRTTYEQCL=$D2301)*(xlRTEQTYPE=$E2301),0))</f>
        <v>ELEC_HP3</v>
      </c>
      <c r="Y2301" s="153" t="str">
        <f t="array" ref="Y2301">INDEX(xlRTTYNAME,MATCH(1,(xlRTTYENDU=2)*(xlRTTYEQCL=$F2301)*(xlRTEQTYPE=$G2301),0))</f>
        <v>ELEC_HP3</v>
      </c>
    </row>
    <row r="2302" spans="1:25" x14ac:dyDescent="0.2">
      <c r="B2302" s="126">
        <v>5</v>
      </c>
      <c r="C2302" s="126">
        <v>3</v>
      </c>
      <c r="D2302" s="126">
        <v>2</v>
      </c>
      <c r="E2302" s="126">
        <v>4</v>
      </c>
      <c r="F2302" s="126">
        <v>3</v>
      </c>
      <c r="G2302" s="126">
        <v>11</v>
      </c>
      <c r="H2302" s="159">
        <v>2033</v>
      </c>
      <c r="I2302" s="159">
        <v>2050</v>
      </c>
      <c r="J2302" s="127">
        <v>1.08</v>
      </c>
      <c r="K2302" s="127">
        <v>1.0583</v>
      </c>
      <c r="L2302" s="127">
        <v>0.73270000000000002</v>
      </c>
      <c r="M2302" s="127">
        <v>0.97309999999999997</v>
      </c>
      <c r="N2302" s="127">
        <v>0.82640000000000002</v>
      </c>
      <c r="O2302" s="127">
        <v>1.0538000000000001</v>
      </c>
      <c r="P2302" s="126">
        <v>5495</v>
      </c>
      <c r="Q2302" s="128">
        <f t="array" ref="Q2302">SUM(IF(($S2302&gt;=4)*($C2302='TaxCred&amp;Subs'!$D$123:$D$127)*($H2302='TaxCred&amp;Subs'!$C$123:$C$127)*($H2302&lt;='TaxCred&amp;Subs'!$C$129),'TaxCred&amp;Subs'!$E$123:$E$127,0))</f>
        <v>0</v>
      </c>
      <c r="R2302" s="174">
        <v>0</v>
      </c>
      <c r="S2302" s="126">
        <v>4</v>
      </c>
      <c r="T2302" s="126" t="s">
        <v>248</v>
      </c>
      <c r="V2302" s="153" t="str">
        <f t="array" ref="V2302">INDEX(xlRTCLNAME,MATCH(1,(xlRTCLENDU=1)*(xlRTCLEQCL=$D2302),0))</f>
        <v>ELEC_HP</v>
      </c>
      <c r="W2302" s="153" t="str">
        <f t="array" ref="W2302">INDEX(xlRTCLNAME,MATCH(1,(xlRTCLENDU=2)*(xlRTCLEQCL=$F2302),0))</f>
        <v>ELEC_HP</v>
      </c>
      <c r="X2302" s="153" t="str">
        <f t="array" ref="X2302">INDEX(xlRTTYNAME,MATCH(1,(xlRTTYENDU=1)*(xlRTTYEQCL=$D2302)*(xlRTEQTYPE=$E2302),0))</f>
        <v>ELEC_HP3</v>
      </c>
      <c r="Y2302" s="153" t="str">
        <f t="array" ref="Y2302">INDEX(xlRTTYNAME,MATCH(1,(xlRTTYENDU=2)*(xlRTTYEQCL=$F2302)*(xlRTEQTYPE=$G2302),0))</f>
        <v>ELEC_HP3</v>
      </c>
    </row>
    <row r="2303" spans="1:25" x14ac:dyDescent="0.2">
      <c r="B2303" s="126">
        <v>6</v>
      </c>
      <c r="C2303" s="126">
        <v>3</v>
      </c>
      <c r="D2303" s="126">
        <v>2</v>
      </c>
      <c r="E2303" s="126">
        <v>4</v>
      </c>
      <c r="F2303" s="126">
        <v>3</v>
      </c>
      <c r="G2303" s="126">
        <v>11</v>
      </c>
      <c r="H2303" s="126">
        <v>2016</v>
      </c>
      <c r="I2303" s="159">
        <v>2022</v>
      </c>
      <c r="J2303" s="127">
        <v>1.0784</v>
      </c>
      <c r="K2303" s="127">
        <v>1.0667</v>
      </c>
      <c r="L2303" s="127">
        <v>0.72250000000000003</v>
      </c>
      <c r="M2303" s="127">
        <v>0.98040000000000005</v>
      </c>
      <c r="N2303" s="127">
        <v>0.79679999999999995</v>
      </c>
      <c r="O2303" s="127">
        <v>1.0538000000000001</v>
      </c>
      <c r="P2303" s="126">
        <v>5435</v>
      </c>
      <c r="Q2303" s="128">
        <f t="array" ref="Q2303">SUM(IF(($S2303&gt;=4)*($C2303='TaxCred&amp;Subs'!$D$123:$D$127)*($H2303='TaxCred&amp;Subs'!$C$123:$C$127)*($H2303&lt;='TaxCred&amp;Subs'!$C$129),'TaxCred&amp;Subs'!$E$123:$E$127,0))</f>
        <v>1000</v>
      </c>
      <c r="R2303" s="174">
        <v>0</v>
      </c>
      <c r="S2303" s="126">
        <v>4</v>
      </c>
      <c r="T2303" s="126" t="s">
        <v>248</v>
      </c>
      <c r="V2303" s="153" t="str">
        <f t="array" ref="V2303">INDEX(xlRTCLNAME,MATCH(1,(xlRTCLENDU=1)*(xlRTCLEQCL=$D2303),0))</f>
        <v>ELEC_HP</v>
      </c>
      <c r="W2303" s="153" t="str">
        <f t="array" ref="W2303">INDEX(xlRTCLNAME,MATCH(1,(xlRTCLENDU=2)*(xlRTCLEQCL=$F2303),0))</f>
        <v>ELEC_HP</v>
      </c>
      <c r="X2303" s="153" t="str">
        <f t="array" ref="X2303">INDEX(xlRTTYNAME,MATCH(1,(xlRTTYENDU=1)*(xlRTTYEQCL=$D2303)*(xlRTEQTYPE=$E2303),0))</f>
        <v>ELEC_HP3</v>
      </c>
      <c r="Y2303" s="153" t="str">
        <f t="array" ref="Y2303">INDEX(xlRTTYNAME,MATCH(1,(xlRTTYENDU=2)*(xlRTTYEQCL=$F2303)*(xlRTEQTYPE=$G2303),0))</f>
        <v>ELEC_HP3</v>
      </c>
    </row>
    <row r="2304" spans="1:25" x14ac:dyDescent="0.2">
      <c r="B2304" s="49">
        <v>6</v>
      </c>
      <c r="C2304" s="49">
        <v>3</v>
      </c>
      <c r="D2304" s="49">
        <v>2</v>
      </c>
      <c r="E2304" s="49">
        <v>4</v>
      </c>
      <c r="F2304" s="49">
        <v>3</v>
      </c>
      <c r="G2304" s="49">
        <v>11</v>
      </c>
      <c r="H2304" s="49">
        <v>2023</v>
      </c>
      <c r="I2304" s="49">
        <v>2032</v>
      </c>
      <c r="J2304" s="50">
        <v>1.0784</v>
      </c>
      <c r="K2304" s="50">
        <v>1.0667</v>
      </c>
      <c r="L2304" s="50">
        <v>0.72250000000000003</v>
      </c>
      <c r="M2304" s="50">
        <v>0.98040000000000005</v>
      </c>
      <c r="N2304" s="50">
        <v>0.79679999999999995</v>
      </c>
      <c r="O2304" s="50">
        <v>1.0538000000000001</v>
      </c>
      <c r="P2304" s="49">
        <v>5435</v>
      </c>
      <c r="Q2304" s="51">
        <f t="array" ref="Q2304">SUM(IF(($S2304&gt;=4)*($C2304='TaxCred&amp;Subs'!$D$123:$D$127)*($H2304='TaxCred&amp;Subs'!$C$123:$C$127)*($H2304&lt;='TaxCred&amp;Subs'!$C$129),'TaxCred&amp;Subs'!$E$123:$E$127,0))</f>
        <v>2500</v>
      </c>
      <c r="R2304" s="171">
        <v>0</v>
      </c>
      <c r="S2304" s="49">
        <v>4</v>
      </c>
      <c r="T2304" s="49" t="s">
        <v>248</v>
      </c>
      <c r="V2304" s="153" t="str">
        <f t="array" ref="V2304">INDEX(xlRTCLNAME,MATCH(1,(xlRTCLENDU=1)*(xlRTCLEQCL=$D2304),0))</f>
        <v>ELEC_HP</v>
      </c>
      <c r="W2304" s="153" t="str">
        <f t="array" ref="W2304">INDEX(xlRTCLNAME,MATCH(1,(xlRTCLENDU=2)*(xlRTCLEQCL=$F2304),0))</f>
        <v>ELEC_HP</v>
      </c>
      <c r="X2304" s="153" t="str">
        <f t="array" ref="X2304">INDEX(xlRTTYNAME,MATCH(1,(xlRTTYENDU=1)*(xlRTTYEQCL=$D2304)*(xlRTEQTYPE=$E2304),0))</f>
        <v>ELEC_HP3</v>
      </c>
      <c r="Y2304" s="153" t="str">
        <f t="array" ref="Y2304">INDEX(xlRTTYNAME,MATCH(1,(xlRTTYENDU=2)*(xlRTTYEQCL=$F2304)*(xlRTEQTYPE=$G2304),0))</f>
        <v>ELEC_HP3</v>
      </c>
    </row>
    <row r="2305" spans="1:25" x14ac:dyDescent="0.2">
      <c r="B2305" s="126">
        <v>6</v>
      </c>
      <c r="C2305" s="126">
        <v>3</v>
      </c>
      <c r="D2305" s="126">
        <v>2</v>
      </c>
      <c r="E2305" s="126">
        <v>4</v>
      </c>
      <c r="F2305" s="126">
        <v>3</v>
      </c>
      <c r="G2305" s="126">
        <v>11</v>
      </c>
      <c r="H2305" s="159">
        <v>2033</v>
      </c>
      <c r="I2305" s="159">
        <v>2050</v>
      </c>
      <c r="J2305" s="127">
        <v>1.0784</v>
      </c>
      <c r="K2305" s="127">
        <v>1.0667</v>
      </c>
      <c r="L2305" s="127">
        <v>0.72250000000000003</v>
      </c>
      <c r="M2305" s="127">
        <v>0.98040000000000005</v>
      </c>
      <c r="N2305" s="127">
        <v>0.79679999999999995</v>
      </c>
      <c r="O2305" s="127">
        <v>1.0538000000000001</v>
      </c>
      <c r="P2305" s="126">
        <v>5435</v>
      </c>
      <c r="Q2305" s="128">
        <f t="array" ref="Q2305">SUM(IF(($S2305&gt;=4)*($C2305='TaxCred&amp;Subs'!$D$123:$D$127)*($H2305='TaxCred&amp;Subs'!$C$123:$C$127)*($H2305&lt;='TaxCred&amp;Subs'!$C$129),'TaxCred&amp;Subs'!$E$123:$E$127,0))</f>
        <v>0</v>
      </c>
      <c r="R2305" s="174">
        <v>0</v>
      </c>
      <c r="S2305" s="126">
        <v>4</v>
      </c>
      <c r="T2305" s="126" t="s">
        <v>248</v>
      </c>
      <c r="V2305" s="153" t="str">
        <f t="array" ref="V2305">INDEX(xlRTCLNAME,MATCH(1,(xlRTCLENDU=1)*(xlRTCLEQCL=$D2305),0))</f>
        <v>ELEC_HP</v>
      </c>
      <c r="W2305" s="153" t="str">
        <f t="array" ref="W2305">INDEX(xlRTCLNAME,MATCH(1,(xlRTCLENDU=2)*(xlRTCLEQCL=$F2305),0))</f>
        <v>ELEC_HP</v>
      </c>
      <c r="X2305" s="153" t="str">
        <f t="array" ref="X2305">INDEX(xlRTTYNAME,MATCH(1,(xlRTTYENDU=1)*(xlRTTYEQCL=$D2305)*(xlRTEQTYPE=$E2305),0))</f>
        <v>ELEC_HP3</v>
      </c>
      <c r="Y2305" s="153" t="str">
        <f t="array" ref="Y2305">INDEX(xlRTTYNAME,MATCH(1,(xlRTTYENDU=2)*(xlRTTYEQCL=$F2305)*(xlRTEQTYPE=$G2305),0))</f>
        <v>ELEC_HP3</v>
      </c>
    </row>
    <row r="2306" spans="1:25" x14ac:dyDescent="0.2">
      <c r="B2306" s="126">
        <v>7</v>
      </c>
      <c r="C2306" s="126">
        <v>3</v>
      </c>
      <c r="D2306" s="126">
        <v>2</v>
      </c>
      <c r="E2306" s="126">
        <v>4</v>
      </c>
      <c r="F2306" s="126">
        <v>3</v>
      </c>
      <c r="G2306" s="126">
        <v>11</v>
      </c>
      <c r="H2306" s="126">
        <v>2016</v>
      </c>
      <c r="I2306" s="159">
        <v>2022</v>
      </c>
      <c r="J2306" s="127">
        <v>1.0926</v>
      </c>
      <c r="K2306" s="127">
        <v>1.05</v>
      </c>
      <c r="L2306" s="127">
        <v>0.72189999999999999</v>
      </c>
      <c r="M2306" s="127">
        <v>0.97550000000000003</v>
      </c>
      <c r="N2306" s="127">
        <v>0.81159999999999999</v>
      </c>
      <c r="O2306" s="127">
        <v>1.0538000000000001</v>
      </c>
      <c r="P2306" s="126">
        <v>5138</v>
      </c>
      <c r="Q2306" s="128">
        <f t="array" ref="Q2306">SUM(IF(($S2306&gt;=4)*($C2306='TaxCred&amp;Subs'!$D$123:$D$127)*($H2306='TaxCred&amp;Subs'!$C$123:$C$127)*($H2306&lt;='TaxCred&amp;Subs'!$C$129),'TaxCred&amp;Subs'!$E$123:$E$127,0))</f>
        <v>1000</v>
      </c>
      <c r="R2306" s="174">
        <v>0</v>
      </c>
      <c r="S2306" s="126">
        <v>4</v>
      </c>
      <c r="T2306" s="126" t="s">
        <v>248</v>
      </c>
      <c r="V2306" s="153" t="str">
        <f t="array" ref="V2306">INDEX(xlRTCLNAME,MATCH(1,(xlRTCLENDU=1)*(xlRTCLEQCL=$D2306),0))</f>
        <v>ELEC_HP</v>
      </c>
      <c r="W2306" s="153" t="str">
        <f t="array" ref="W2306">INDEX(xlRTCLNAME,MATCH(1,(xlRTCLENDU=2)*(xlRTCLEQCL=$F2306),0))</f>
        <v>ELEC_HP</v>
      </c>
      <c r="X2306" s="153" t="str">
        <f t="array" ref="X2306">INDEX(xlRTTYNAME,MATCH(1,(xlRTTYENDU=1)*(xlRTTYEQCL=$D2306)*(xlRTEQTYPE=$E2306),0))</f>
        <v>ELEC_HP3</v>
      </c>
      <c r="Y2306" s="153" t="str">
        <f t="array" ref="Y2306">INDEX(xlRTTYNAME,MATCH(1,(xlRTTYENDU=2)*(xlRTTYEQCL=$F2306)*(xlRTEQTYPE=$G2306),0))</f>
        <v>ELEC_HP3</v>
      </c>
    </row>
    <row r="2307" spans="1:25" x14ac:dyDescent="0.2">
      <c r="B2307" s="49">
        <v>7</v>
      </c>
      <c r="C2307" s="49">
        <v>3</v>
      </c>
      <c r="D2307" s="49">
        <v>2</v>
      </c>
      <c r="E2307" s="49">
        <v>4</v>
      </c>
      <c r="F2307" s="49">
        <v>3</v>
      </c>
      <c r="G2307" s="49">
        <v>11</v>
      </c>
      <c r="H2307" s="49">
        <v>2023</v>
      </c>
      <c r="I2307" s="49">
        <v>2032</v>
      </c>
      <c r="J2307" s="50">
        <v>1.0926</v>
      </c>
      <c r="K2307" s="50">
        <v>1.05</v>
      </c>
      <c r="L2307" s="50">
        <v>0.72189999999999999</v>
      </c>
      <c r="M2307" s="50">
        <v>0.97550000000000003</v>
      </c>
      <c r="N2307" s="50">
        <v>0.81159999999999999</v>
      </c>
      <c r="O2307" s="50">
        <v>1.0538000000000001</v>
      </c>
      <c r="P2307" s="49">
        <v>5138</v>
      </c>
      <c r="Q2307" s="51">
        <f t="array" ref="Q2307">SUM(IF(($S2307&gt;=4)*($C2307='TaxCred&amp;Subs'!$D$123:$D$127)*($H2307='TaxCred&amp;Subs'!$C$123:$C$127)*($H2307&lt;='TaxCred&amp;Subs'!$C$129),'TaxCred&amp;Subs'!$E$123:$E$127,0))</f>
        <v>2500</v>
      </c>
      <c r="R2307" s="171">
        <v>0</v>
      </c>
      <c r="S2307" s="49">
        <v>4</v>
      </c>
      <c r="T2307" s="49" t="s">
        <v>248</v>
      </c>
      <c r="V2307" s="153" t="str">
        <f t="array" ref="V2307">INDEX(xlRTCLNAME,MATCH(1,(xlRTCLENDU=1)*(xlRTCLEQCL=$D2307),0))</f>
        <v>ELEC_HP</v>
      </c>
      <c r="W2307" s="153" t="str">
        <f t="array" ref="W2307">INDEX(xlRTCLNAME,MATCH(1,(xlRTCLENDU=2)*(xlRTCLEQCL=$F2307),0))</f>
        <v>ELEC_HP</v>
      </c>
      <c r="X2307" s="153" t="str">
        <f t="array" ref="X2307">INDEX(xlRTTYNAME,MATCH(1,(xlRTTYENDU=1)*(xlRTTYEQCL=$D2307)*(xlRTEQTYPE=$E2307),0))</f>
        <v>ELEC_HP3</v>
      </c>
      <c r="Y2307" s="153" t="str">
        <f t="array" ref="Y2307">INDEX(xlRTTYNAME,MATCH(1,(xlRTTYENDU=2)*(xlRTTYEQCL=$F2307)*(xlRTEQTYPE=$G2307),0))</f>
        <v>ELEC_HP3</v>
      </c>
    </row>
    <row r="2308" spans="1:25" x14ac:dyDescent="0.2">
      <c r="B2308" s="126">
        <v>7</v>
      </c>
      <c r="C2308" s="126">
        <v>3</v>
      </c>
      <c r="D2308" s="126">
        <v>2</v>
      </c>
      <c r="E2308" s="126">
        <v>4</v>
      </c>
      <c r="F2308" s="126">
        <v>3</v>
      </c>
      <c r="G2308" s="126">
        <v>11</v>
      </c>
      <c r="H2308" s="159">
        <v>2033</v>
      </c>
      <c r="I2308" s="159">
        <v>2050</v>
      </c>
      <c r="J2308" s="127">
        <v>1.0926</v>
      </c>
      <c r="K2308" s="127">
        <v>1.05</v>
      </c>
      <c r="L2308" s="127">
        <v>0.72189999999999999</v>
      </c>
      <c r="M2308" s="127">
        <v>0.97550000000000003</v>
      </c>
      <c r="N2308" s="127">
        <v>0.81159999999999999</v>
      </c>
      <c r="O2308" s="127">
        <v>1.0538000000000001</v>
      </c>
      <c r="P2308" s="126">
        <v>5138</v>
      </c>
      <c r="Q2308" s="128">
        <f t="array" ref="Q2308">SUM(IF(($S2308&gt;=4)*($C2308='TaxCred&amp;Subs'!$D$123:$D$127)*($H2308='TaxCred&amp;Subs'!$C$123:$C$127)*($H2308&lt;='TaxCred&amp;Subs'!$C$129),'TaxCred&amp;Subs'!$E$123:$E$127,0))</f>
        <v>0</v>
      </c>
      <c r="R2308" s="174">
        <v>0</v>
      </c>
      <c r="S2308" s="126">
        <v>4</v>
      </c>
      <c r="T2308" s="126" t="s">
        <v>248</v>
      </c>
      <c r="V2308" s="153" t="str">
        <f t="array" ref="V2308">INDEX(xlRTCLNAME,MATCH(1,(xlRTCLENDU=1)*(xlRTCLEQCL=$D2308),0))</f>
        <v>ELEC_HP</v>
      </c>
      <c r="W2308" s="153" t="str">
        <f t="array" ref="W2308">INDEX(xlRTCLNAME,MATCH(1,(xlRTCLENDU=2)*(xlRTCLEQCL=$F2308),0))</f>
        <v>ELEC_HP</v>
      </c>
      <c r="X2308" s="153" t="str">
        <f t="array" ref="X2308">INDEX(xlRTTYNAME,MATCH(1,(xlRTTYENDU=1)*(xlRTTYEQCL=$D2308)*(xlRTEQTYPE=$E2308),0))</f>
        <v>ELEC_HP3</v>
      </c>
      <c r="Y2308" s="153" t="str">
        <f t="array" ref="Y2308">INDEX(xlRTTYNAME,MATCH(1,(xlRTTYENDU=2)*(xlRTTYEQCL=$F2308)*(xlRTEQTYPE=$G2308),0))</f>
        <v>ELEC_HP3</v>
      </c>
    </row>
    <row r="2309" spans="1:25" x14ac:dyDescent="0.2">
      <c r="B2309" s="126">
        <v>8</v>
      </c>
      <c r="C2309" s="126">
        <v>3</v>
      </c>
      <c r="D2309" s="126">
        <v>2</v>
      </c>
      <c r="E2309" s="126">
        <v>4</v>
      </c>
      <c r="F2309" s="126">
        <v>3</v>
      </c>
      <c r="G2309" s="126">
        <v>11</v>
      </c>
      <c r="H2309" s="126">
        <v>2016</v>
      </c>
      <c r="I2309" s="159">
        <v>2022</v>
      </c>
      <c r="J2309" s="127">
        <v>1.0847</v>
      </c>
      <c r="K2309" s="127">
        <v>1.0556000000000001</v>
      </c>
      <c r="L2309" s="127">
        <v>0.75860000000000005</v>
      </c>
      <c r="M2309" s="127">
        <v>1.0437000000000001</v>
      </c>
      <c r="N2309" s="127">
        <v>0.79769999999999996</v>
      </c>
      <c r="O2309" s="127">
        <v>1.0538000000000001</v>
      </c>
      <c r="P2309" s="126">
        <v>5501</v>
      </c>
      <c r="Q2309" s="128">
        <f t="array" ref="Q2309">SUM(IF(($S2309&gt;=4)*($C2309='TaxCred&amp;Subs'!$D$123:$D$127)*($H2309='TaxCred&amp;Subs'!$C$123:$C$127)*($H2309&lt;='TaxCred&amp;Subs'!$C$129),'TaxCred&amp;Subs'!$E$123:$E$127,0))</f>
        <v>1000</v>
      </c>
      <c r="R2309" s="174">
        <v>0</v>
      </c>
      <c r="S2309" s="126">
        <v>4</v>
      </c>
      <c r="T2309" s="126" t="s">
        <v>248</v>
      </c>
      <c r="V2309" s="153" t="str">
        <f t="array" ref="V2309">INDEX(xlRTCLNAME,MATCH(1,(xlRTCLENDU=1)*(xlRTCLEQCL=$D2309),0))</f>
        <v>ELEC_HP</v>
      </c>
      <c r="W2309" s="153" t="str">
        <f t="array" ref="W2309">INDEX(xlRTCLNAME,MATCH(1,(xlRTCLENDU=2)*(xlRTCLEQCL=$F2309),0))</f>
        <v>ELEC_HP</v>
      </c>
      <c r="X2309" s="153" t="str">
        <f t="array" ref="X2309">INDEX(xlRTTYNAME,MATCH(1,(xlRTTYENDU=1)*(xlRTTYEQCL=$D2309)*(xlRTEQTYPE=$E2309),0))</f>
        <v>ELEC_HP3</v>
      </c>
      <c r="Y2309" s="153" t="str">
        <f t="array" ref="Y2309">INDEX(xlRTTYNAME,MATCH(1,(xlRTTYENDU=2)*(xlRTTYEQCL=$F2309)*(xlRTEQTYPE=$G2309),0))</f>
        <v>ELEC_HP3</v>
      </c>
    </row>
    <row r="2310" spans="1:25" x14ac:dyDescent="0.2">
      <c r="B2310" s="49">
        <v>8</v>
      </c>
      <c r="C2310" s="49">
        <v>3</v>
      </c>
      <c r="D2310" s="49">
        <v>2</v>
      </c>
      <c r="E2310" s="49">
        <v>4</v>
      </c>
      <c r="F2310" s="49">
        <v>3</v>
      </c>
      <c r="G2310" s="49">
        <v>11</v>
      </c>
      <c r="H2310" s="49">
        <v>2023</v>
      </c>
      <c r="I2310" s="49">
        <v>2032</v>
      </c>
      <c r="J2310" s="50">
        <v>1.0847</v>
      </c>
      <c r="K2310" s="50">
        <v>1.0556000000000001</v>
      </c>
      <c r="L2310" s="50">
        <v>0.75860000000000005</v>
      </c>
      <c r="M2310" s="50">
        <v>1.0437000000000001</v>
      </c>
      <c r="N2310" s="50">
        <v>0.79769999999999996</v>
      </c>
      <c r="O2310" s="50">
        <v>1.0538000000000001</v>
      </c>
      <c r="P2310" s="49">
        <v>5501</v>
      </c>
      <c r="Q2310" s="51">
        <f t="array" ref="Q2310">SUM(IF(($S2310&gt;=4)*($C2310='TaxCred&amp;Subs'!$D$123:$D$127)*($H2310='TaxCred&amp;Subs'!$C$123:$C$127)*($H2310&lt;='TaxCred&amp;Subs'!$C$129),'TaxCred&amp;Subs'!$E$123:$E$127,0))</f>
        <v>2500</v>
      </c>
      <c r="R2310" s="171">
        <v>0</v>
      </c>
      <c r="S2310" s="49">
        <v>4</v>
      </c>
      <c r="T2310" s="49" t="s">
        <v>248</v>
      </c>
      <c r="V2310" s="153" t="str">
        <f t="array" ref="V2310">INDEX(xlRTCLNAME,MATCH(1,(xlRTCLENDU=1)*(xlRTCLEQCL=$D2310),0))</f>
        <v>ELEC_HP</v>
      </c>
      <c r="W2310" s="153" t="str">
        <f t="array" ref="W2310">INDEX(xlRTCLNAME,MATCH(1,(xlRTCLENDU=2)*(xlRTCLEQCL=$F2310),0))</f>
        <v>ELEC_HP</v>
      </c>
      <c r="X2310" s="153" t="str">
        <f t="array" ref="X2310">INDEX(xlRTTYNAME,MATCH(1,(xlRTTYENDU=1)*(xlRTTYEQCL=$D2310)*(xlRTEQTYPE=$E2310),0))</f>
        <v>ELEC_HP3</v>
      </c>
      <c r="Y2310" s="153" t="str">
        <f t="array" ref="Y2310">INDEX(xlRTTYNAME,MATCH(1,(xlRTTYENDU=2)*(xlRTTYEQCL=$F2310)*(xlRTEQTYPE=$G2310),0))</f>
        <v>ELEC_HP3</v>
      </c>
    </row>
    <row r="2311" spans="1:25" x14ac:dyDescent="0.2">
      <c r="B2311" s="126">
        <v>8</v>
      </c>
      <c r="C2311" s="126">
        <v>3</v>
      </c>
      <c r="D2311" s="126">
        <v>2</v>
      </c>
      <c r="E2311" s="126">
        <v>4</v>
      </c>
      <c r="F2311" s="126">
        <v>3</v>
      </c>
      <c r="G2311" s="126">
        <v>11</v>
      </c>
      <c r="H2311" s="159">
        <v>2033</v>
      </c>
      <c r="I2311" s="159">
        <v>2050</v>
      </c>
      <c r="J2311" s="127">
        <v>1.0847</v>
      </c>
      <c r="K2311" s="127">
        <v>1.0556000000000001</v>
      </c>
      <c r="L2311" s="127">
        <v>0.75860000000000005</v>
      </c>
      <c r="M2311" s="127">
        <v>1.0437000000000001</v>
      </c>
      <c r="N2311" s="127">
        <v>0.79769999999999996</v>
      </c>
      <c r="O2311" s="127">
        <v>1.0538000000000001</v>
      </c>
      <c r="P2311" s="126">
        <v>5501</v>
      </c>
      <c r="Q2311" s="128">
        <f t="array" ref="Q2311">SUM(IF(($S2311&gt;=4)*($C2311='TaxCred&amp;Subs'!$D$123:$D$127)*($H2311='TaxCred&amp;Subs'!$C$123:$C$127)*($H2311&lt;='TaxCred&amp;Subs'!$C$129),'TaxCred&amp;Subs'!$E$123:$E$127,0))</f>
        <v>0</v>
      </c>
      <c r="R2311" s="174">
        <v>0</v>
      </c>
      <c r="S2311" s="126">
        <v>4</v>
      </c>
      <c r="T2311" s="126" t="s">
        <v>248</v>
      </c>
      <c r="V2311" s="153" t="str">
        <f t="array" ref="V2311">INDEX(xlRTCLNAME,MATCH(1,(xlRTCLENDU=1)*(xlRTCLEQCL=$D2311),0))</f>
        <v>ELEC_HP</v>
      </c>
      <c r="W2311" s="153" t="str">
        <f t="array" ref="W2311">INDEX(xlRTCLNAME,MATCH(1,(xlRTCLENDU=2)*(xlRTCLEQCL=$F2311),0))</f>
        <v>ELEC_HP</v>
      </c>
      <c r="X2311" s="153" t="str">
        <f t="array" ref="X2311">INDEX(xlRTTYNAME,MATCH(1,(xlRTTYENDU=1)*(xlRTTYEQCL=$D2311)*(xlRTEQTYPE=$E2311),0))</f>
        <v>ELEC_HP3</v>
      </c>
      <c r="Y2311" s="153" t="str">
        <f t="array" ref="Y2311">INDEX(xlRTTYNAME,MATCH(1,(xlRTTYENDU=2)*(xlRTTYEQCL=$F2311)*(xlRTEQTYPE=$G2311),0))</f>
        <v>ELEC_HP3</v>
      </c>
    </row>
    <row r="2312" spans="1:25" x14ac:dyDescent="0.2">
      <c r="B2312" s="126">
        <v>9</v>
      </c>
      <c r="C2312" s="126">
        <v>3</v>
      </c>
      <c r="D2312" s="126">
        <v>2</v>
      </c>
      <c r="E2312" s="126">
        <v>4</v>
      </c>
      <c r="F2312" s="126">
        <v>3</v>
      </c>
      <c r="G2312" s="126">
        <v>11</v>
      </c>
      <c r="H2312" s="126">
        <v>2016</v>
      </c>
      <c r="I2312" s="159">
        <v>2022</v>
      </c>
      <c r="J2312" s="127">
        <v>1.075</v>
      </c>
      <c r="K2312" s="127">
        <v>1.0625</v>
      </c>
      <c r="L2312" s="127">
        <v>0.77329999999999999</v>
      </c>
      <c r="M2312" s="127">
        <v>1.0674999999999999</v>
      </c>
      <c r="N2312" s="127">
        <v>0.83299999999999996</v>
      </c>
      <c r="O2312" s="127">
        <v>1.0538000000000001</v>
      </c>
      <c r="P2312" s="126">
        <v>7270</v>
      </c>
      <c r="Q2312" s="128">
        <f t="array" ref="Q2312">SUM(IF(($S2312&gt;=4)*($C2312='TaxCred&amp;Subs'!$D$123:$D$127)*($H2312='TaxCred&amp;Subs'!$C$123:$C$127)*($H2312&lt;='TaxCred&amp;Subs'!$C$129),'TaxCred&amp;Subs'!$E$123:$E$127,0))</f>
        <v>1000</v>
      </c>
      <c r="R2312" s="174">
        <v>0</v>
      </c>
      <c r="S2312" s="126">
        <v>4</v>
      </c>
      <c r="T2312" s="126" t="s">
        <v>248</v>
      </c>
      <c r="V2312" s="153" t="str">
        <f t="array" ref="V2312">INDEX(xlRTCLNAME,MATCH(1,(xlRTCLENDU=1)*(xlRTCLEQCL=$D2312),0))</f>
        <v>ELEC_HP</v>
      </c>
      <c r="W2312" s="153" t="str">
        <f t="array" ref="W2312">INDEX(xlRTCLNAME,MATCH(1,(xlRTCLENDU=2)*(xlRTCLEQCL=$F2312),0))</f>
        <v>ELEC_HP</v>
      </c>
      <c r="X2312" s="153" t="str">
        <f t="array" ref="X2312">INDEX(xlRTTYNAME,MATCH(1,(xlRTTYENDU=1)*(xlRTTYEQCL=$D2312)*(xlRTEQTYPE=$E2312),0))</f>
        <v>ELEC_HP3</v>
      </c>
      <c r="Y2312" s="153" t="str">
        <f t="array" ref="Y2312">INDEX(xlRTTYNAME,MATCH(1,(xlRTTYENDU=2)*(xlRTTYEQCL=$F2312)*(xlRTEQTYPE=$G2312),0))</f>
        <v>ELEC_HP3</v>
      </c>
    </row>
    <row r="2313" spans="1:25" x14ac:dyDescent="0.2">
      <c r="B2313" s="49">
        <v>9</v>
      </c>
      <c r="C2313" s="49">
        <v>3</v>
      </c>
      <c r="D2313" s="49">
        <v>2</v>
      </c>
      <c r="E2313" s="49">
        <v>4</v>
      </c>
      <c r="F2313" s="49">
        <v>3</v>
      </c>
      <c r="G2313" s="49">
        <v>11</v>
      </c>
      <c r="H2313" s="49">
        <v>2023</v>
      </c>
      <c r="I2313" s="49">
        <v>2032</v>
      </c>
      <c r="J2313" s="50">
        <v>1.075</v>
      </c>
      <c r="K2313" s="50">
        <v>1.0625</v>
      </c>
      <c r="L2313" s="50">
        <v>0.77329999999999999</v>
      </c>
      <c r="M2313" s="50">
        <v>1.0674999999999999</v>
      </c>
      <c r="N2313" s="50">
        <v>0.83299999999999996</v>
      </c>
      <c r="O2313" s="50">
        <v>1.0538000000000001</v>
      </c>
      <c r="P2313" s="49">
        <v>7270</v>
      </c>
      <c r="Q2313" s="51">
        <f t="array" ref="Q2313">SUM(IF(($S2313&gt;=4)*($C2313='TaxCred&amp;Subs'!$D$123:$D$127)*($H2313='TaxCred&amp;Subs'!$C$123:$C$127)*($H2313&lt;='TaxCred&amp;Subs'!$C$129),'TaxCred&amp;Subs'!$E$123:$E$127,0))</f>
        <v>2500</v>
      </c>
      <c r="R2313" s="171">
        <v>0</v>
      </c>
      <c r="S2313" s="49">
        <v>4</v>
      </c>
      <c r="T2313" s="49" t="s">
        <v>248</v>
      </c>
      <c r="V2313" s="153" t="str">
        <f t="array" ref="V2313">INDEX(xlRTCLNAME,MATCH(1,(xlRTCLENDU=1)*(xlRTCLEQCL=$D2313),0))</f>
        <v>ELEC_HP</v>
      </c>
      <c r="W2313" s="153" t="str">
        <f t="array" ref="W2313">INDEX(xlRTCLNAME,MATCH(1,(xlRTCLENDU=2)*(xlRTCLEQCL=$F2313),0))</f>
        <v>ELEC_HP</v>
      </c>
      <c r="X2313" s="153" t="str">
        <f t="array" ref="X2313">INDEX(xlRTTYNAME,MATCH(1,(xlRTTYENDU=1)*(xlRTTYEQCL=$D2313)*(xlRTEQTYPE=$E2313),0))</f>
        <v>ELEC_HP3</v>
      </c>
      <c r="Y2313" s="153" t="str">
        <f t="array" ref="Y2313">INDEX(xlRTTYNAME,MATCH(1,(xlRTTYENDU=2)*(xlRTTYEQCL=$F2313)*(xlRTEQTYPE=$G2313),0))</f>
        <v>ELEC_HP3</v>
      </c>
    </row>
    <row r="2314" spans="1:25" s="158" customFormat="1" x14ac:dyDescent="0.2">
      <c r="A2314"/>
      <c r="B2314" s="126">
        <v>9</v>
      </c>
      <c r="C2314" s="126">
        <v>3</v>
      </c>
      <c r="D2314" s="126">
        <v>2</v>
      </c>
      <c r="E2314" s="126">
        <v>4</v>
      </c>
      <c r="F2314" s="126">
        <v>3</v>
      </c>
      <c r="G2314" s="126">
        <v>11</v>
      </c>
      <c r="H2314" s="159">
        <v>2033</v>
      </c>
      <c r="I2314" s="159">
        <v>2050</v>
      </c>
      <c r="J2314" s="127">
        <v>1.075</v>
      </c>
      <c r="K2314" s="127">
        <v>1.0625</v>
      </c>
      <c r="L2314" s="127">
        <v>0.77329999999999999</v>
      </c>
      <c r="M2314" s="127">
        <v>1.0674999999999999</v>
      </c>
      <c r="N2314" s="127">
        <v>0.83299999999999996</v>
      </c>
      <c r="O2314" s="127">
        <v>1.0538000000000001</v>
      </c>
      <c r="P2314" s="126">
        <v>7270</v>
      </c>
      <c r="Q2314" s="128">
        <f t="array" ref="Q2314">SUM(IF(($S2314&gt;=4)*($C2314='TaxCred&amp;Subs'!$D$123:$D$127)*($H2314='TaxCred&amp;Subs'!$C$123:$C$127)*($H2314&lt;='TaxCred&amp;Subs'!$C$129),'TaxCred&amp;Subs'!$E$123:$E$127,0))</f>
        <v>0</v>
      </c>
      <c r="R2314" s="174">
        <v>0</v>
      </c>
      <c r="S2314" s="126">
        <v>4</v>
      </c>
      <c r="T2314" s="126" t="s">
        <v>248</v>
      </c>
      <c r="U2314"/>
      <c r="V2314" s="153" t="str">
        <f t="array" ref="V2314">INDEX(xlRTCLNAME,MATCH(1,(xlRTCLENDU=1)*(xlRTCLEQCL=$D2314),0))</f>
        <v>ELEC_HP</v>
      </c>
      <c r="W2314" s="153" t="str">
        <f t="array" ref="W2314">INDEX(xlRTCLNAME,MATCH(1,(xlRTCLENDU=2)*(xlRTCLEQCL=$F2314),0))</f>
        <v>ELEC_HP</v>
      </c>
      <c r="X2314" s="153" t="str">
        <f t="array" ref="X2314">INDEX(xlRTTYNAME,MATCH(1,(xlRTTYENDU=1)*(xlRTTYEQCL=$D2314)*(xlRTEQTYPE=$E2314),0))</f>
        <v>ELEC_HP3</v>
      </c>
      <c r="Y2314" s="153" t="str">
        <f t="array" ref="Y2314">INDEX(xlRTTYNAME,MATCH(1,(xlRTTYENDU=2)*(xlRTTYEQCL=$F2314)*(xlRTEQTYPE=$G2314),0))</f>
        <v>ELEC_HP3</v>
      </c>
    </row>
    <row r="2315" spans="1:25" x14ac:dyDescent="0.2">
      <c r="B2315" s="126">
        <v>2</v>
      </c>
      <c r="C2315" s="126">
        <v>3</v>
      </c>
      <c r="D2315" s="126">
        <v>3</v>
      </c>
      <c r="E2315" s="126">
        <v>8</v>
      </c>
      <c r="F2315" s="126">
        <v>2</v>
      </c>
      <c r="G2315" s="126">
        <v>7</v>
      </c>
      <c r="H2315" s="126">
        <v>2016</v>
      </c>
      <c r="I2315" s="159">
        <v>2022</v>
      </c>
      <c r="J2315" s="127">
        <v>1.0670999999999999</v>
      </c>
      <c r="K2315" s="127">
        <v>1.0638000000000001</v>
      </c>
      <c r="L2315" s="127">
        <v>0.75249999999999995</v>
      </c>
      <c r="M2315" s="127">
        <v>1.1206</v>
      </c>
      <c r="N2315" s="127">
        <v>0.84609999999999996</v>
      </c>
      <c r="O2315" s="127">
        <v>1.0538000000000001</v>
      </c>
      <c r="P2315" s="126">
        <v>6885</v>
      </c>
      <c r="Q2315" s="128">
        <f t="array" ref="Q2315">SUM(IF(($S2315&gt;=4)*($C2315='TaxCred&amp;Subs'!$D$123:$D$127)*($H2315='TaxCred&amp;Subs'!$C$123:$C$127)*($H2315&lt;='TaxCred&amp;Subs'!$C$129),'TaxCred&amp;Subs'!$E$123:$E$127,0))</f>
        <v>1000</v>
      </c>
      <c r="R2315" s="174">
        <v>0</v>
      </c>
      <c r="S2315" s="126">
        <v>4</v>
      </c>
      <c r="T2315" s="126" t="s">
        <v>248</v>
      </c>
      <c r="V2315" s="153" t="str">
        <f t="array" ref="V2315">INDEX(xlRTCLNAME,MATCH(1,(xlRTCLENDU=1)*(xlRTCLEQCL=$D2315),0))</f>
        <v>NG_FA</v>
      </c>
      <c r="W2315" s="153" t="str">
        <f t="array" ref="W2315">INDEX(xlRTCLNAME,MATCH(1,(xlRTCLENDU=2)*(xlRTCLEQCL=$F2315),0))</f>
        <v>CENT_AIR</v>
      </c>
      <c r="X2315" s="153" t="str">
        <f t="array" ref="X2315">INDEX(xlRTTYNAME,MATCH(1,(xlRTTYENDU=1)*(xlRTTYEQCL=$D2315)*(xlRTEQTYPE=$E2315),0))</f>
        <v>NG_FA3</v>
      </c>
      <c r="Y2315" s="153" t="str">
        <f t="array" ref="Y2315">INDEX(xlRTTYNAME,MATCH(1,(xlRTTYENDU=2)*(xlRTTYEQCL=$F2315)*(xlRTEQTYPE=$G2315),0))</f>
        <v>CENT_AIR3</v>
      </c>
    </row>
    <row r="2316" spans="1:25" x14ac:dyDescent="0.2">
      <c r="B2316" s="49">
        <v>2</v>
      </c>
      <c r="C2316" s="49">
        <v>3</v>
      </c>
      <c r="D2316" s="49">
        <v>3</v>
      </c>
      <c r="E2316" s="49">
        <v>8</v>
      </c>
      <c r="F2316" s="49">
        <v>2</v>
      </c>
      <c r="G2316" s="49">
        <v>7</v>
      </c>
      <c r="H2316" s="49">
        <v>2023</v>
      </c>
      <c r="I2316" s="49">
        <v>2032</v>
      </c>
      <c r="J2316" s="50">
        <v>1.0670999999999999</v>
      </c>
      <c r="K2316" s="50">
        <v>1.0638000000000001</v>
      </c>
      <c r="L2316" s="50">
        <v>0.75249999999999995</v>
      </c>
      <c r="M2316" s="50">
        <v>1.1206</v>
      </c>
      <c r="N2316" s="50">
        <v>0.84609999999999996</v>
      </c>
      <c r="O2316" s="50">
        <v>1.0538000000000001</v>
      </c>
      <c r="P2316" s="49">
        <v>6885</v>
      </c>
      <c r="Q2316" s="51">
        <f t="array" ref="Q2316">SUM(IF(($S2316&gt;=4)*($C2316='TaxCred&amp;Subs'!$D$123:$D$127)*($H2316='TaxCred&amp;Subs'!$C$123:$C$127)*($H2316&lt;='TaxCred&amp;Subs'!$C$129),'TaxCred&amp;Subs'!$E$123:$E$127,0))</f>
        <v>2500</v>
      </c>
      <c r="R2316" s="171">
        <v>0</v>
      </c>
      <c r="S2316" s="49">
        <v>4</v>
      </c>
      <c r="T2316" s="49" t="s">
        <v>248</v>
      </c>
      <c r="V2316" s="153" t="str">
        <f t="array" ref="V2316">INDEX(xlRTCLNAME,MATCH(1,(xlRTCLENDU=1)*(xlRTCLEQCL=$D2316),0))</f>
        <v>NG_FA</v>
      </c>
      <c r="W2316" s="153" t="str">
        <f t="array" ref="W2316">INDEX(xlRTCLNAME,MATCH(1,(xlRTCLENDU=2)*(xlRTCLEQCL=$F2316),0))</f>
        <v>CENT_AIR</v>
      </c>
      <c r="X2316" s="153" t="str">
        <f t="array" ref="X2316">INDEX(xlRTTYNAME,MATCH(1,(xlRTTYENDU=1)*(xlRTTYEQCL=$D2316)*(xlRTEQTYPE=$E2316),0))</f>
        <v>NG_FA3</v>
      </c>
      <c r="Y2316" s="153" t="str">
        <f t="array" ref="Y2316">INDEX(xlRTTYNAME,MATCH(1,(xlRTTYENDU=2)*(xlRTTYEQCL=$F2316)*(xlRTEQTYPE=$G2316),0))</f>
        <v>CENT_AIR3</v>
      </c>
    </row>
    <row r="2317" spans="1:25" s="158" customFormat="1" x14ac:dyDescent="0.2">
      <c r="A2317"/>
      <c r="B2317" s="126">
        <v>2</v>
      </c>
      <c r="C2317" s="126">
        <v>3</v>
      </c>
      <c r="D2317" s="126">
        <v>3</v>
      </c>
      <c r="E2317" s="126">
        <v>8</v>
      </c>
      <c r="F2317" s="126">
        <v>2</v>
      </c>
      <c r="G2317" s="126">
        <v>7</v>
      </c>
      <c r="H2317" s="159">
        <v>2033</v>
      </c>
      <c r="I2317" s="159">
        <v>2050</v>
      </c>
      <c r="J2317" s="127">
        <v>1.0670999999999999</v>
      </c>
      <c r="K2317" s="127">
        <v>1.0638000000000001</v>
      </c>
      <c r="L2317" s="127">
        <v>0.75249999999999995</v>
      </c>
      <c r="M2317" s="127">
        <v>1.1206</v>
      </c>
      <c r="N2317" s="127">
        <v>0.84609999999999996</v>
      </c>
      <c r="O2317" s="127">
        <v>1.0538000000000001</v>
      </c>
      <c r="P2317" s="126">
        <v>6885</v>
      </c>
      <c r="Q2317" s="128">
        <f t="array" ref="Q2317">SUM(IF(($S2317&gt;=4)*($C2317='TaxCred&amp;Subs'!$D$123:$D$127)*($H2317='TaxCred&amp;Subs'!$C$123:$C$127)*($H2317&lt;='TaxCred&amp;Subs'!$C$129),'TaxCred&amp;Subs'!$E$123:$E$127,0))</f>
        <v>0</v>
      </c>
      <c r="R2317" s="174">
        <v>0</v>
      </c>
      <c r="S2317" s="126">
        <v>4</v>
      </c>
      <c r="T2317" s="126" t="s">
        <v>248</v>
      </c>
      <c r="U2317"/>
      <c r="V2317" s="153" t="str">
        <f t="array" ref="V2317">INDEX(xlRTCLNAME,MATCH(1,(xlRTCLENDU=1)*(xlRTCLEQCL=$D2317),0))</f>
        <v>NG_FA</v>
      </c>
      <c r="W2317" s="153" t="str">
        <f t="array" ref="W2317">INDEX(xlRTCLNAME,MATCH(1,(xlRTCLENDU=2)*(xlRTCLEQCL=$F2317),0))</f>
        <v>CENT_AIR</v>
      </c>
      <c r="X2317" s="153" t="str">
        <f t="array" ref="X2317">INDEX(xlRTTYNAME,MATCH(1,(xlRTTYENDU=1)*(xlRTTYEQCL=$D2317)*(xlRTEQTYPE=$E2317),0))</f>
        <v>NG_FA3</v>
      </c>
      <c r="Y2317" s="153" t="str">
        <f t="array" ref="Y2317">INDEX(xlRTTYNAME,MATCH(1,(xlRTTYENDU=2)*(xlRTTYEQCL=$F2317)*(xlRTEQTYPE=$G2317),0))</f>
        <v>CENT_AIR3</v>
      </c>
    </row>
    <row r="2318" spans="1:25" x14ac:dyDescent="0.2">
      <c r="B2318" s="126">
        <v>5</v>
      </c>
      <c r="C2318" s="126">
        <v>3</v>
      </c>
      <c r="D2318" s="126">
        <v>3</v>
      </c>
      <c r="E2318" s="126">
        <v>8</v>
      </c>
      <c r="F2318" s="126">
        <v>2</v>
      </c>
      <c r="G2318" s="126">
        <v>7</v>
      </c>
      <c r="H2318" s="126">
        <v>2016</v>
      </c>
      <c r="I2318" s="159">
        <v>2022</v>
      </c>
      <c r="J2318" s="127">
        <v>1.0559000000000001</v>
      </c>
      <c r="K2318" s="127">
        <v>1.0444</v>
      </c>
      <c r="L2318" s="127">
        <v>0.86019999999999996</v>
      </c>
      <c r="M2318" s="127">
        <v>1.0145999999999999</v>
      </c>
      <c r="N2318" s="127">
        <v>0.83460000000000001</v>
      </c>
      <c r="O2318" s="127">
        <v>1.0538000000000001</v>
      </c>
      <c r="P2318" s="126">
        <v>5058</v>
      </c>
      <c r="Q2318" s="128">
        <f t="array" ref="Q2318">SUM(IF(($S2318&gt;=4)*($C2318='TaxCred&amp;Subs'!$D$123:$D$127)*($H2318='TaxCred&amp;Subs'!$C$123:$C$127)*($H2318&lt;='TaxCred&amp;Subs'!$C$129),'TaxCred&amp;Subs'!$E$123:$E$127,0))</f>
        <v>1000</v>
      </c>
      <c r="R2318" s="174">
        <v>0</v>
      </c>
      <c r="S2318" s="126">
        <v>4</v>
      </c>
      <c r="T2318" s="126" t="s">
        <v>248</v>
      </c>
      <c r="V2318" s="153" t="str">
        <f t="array" ref="V2318">INDEX(xlRTCLNAME,MATCH(1,(xlRTCLENDU=1)*(xlRTCLEQCL=$D2318),0))</f>
        <v>NG_FA</v>
      </c>
      <c r="W2318" s="153" t="str">
        <f t="array" ref="W2318">INDEX(xlRTCLNAME,MATCH(1,(xlRTCLENDU=2)*(xlRTCLEQCL=$F2318),0))</f>
        <v>CENT_AIR</v>
      </c>
      <c r="X2318" s="153" t="str">
        <f t="array" ref="X2318">INDEX(xlRTTYNAME,MATCH(1,(xlRTTYENDU=1)*(xlRTTYEQCL=$D2318)*(xlRTEQTYPE=$E2318),0))</f>
        <v>NG_FA3</v>
      </c>
      <c r="Y2318" s="153" t="str">
        <f t="array" ref="Y2318">INDEX(xlRTTYNAME,MATCH(1,(xlRTTYENDU=2)*(xlRTTYEQCL=$F2318)*(xlRTEQTYPE=$G2318),0))</f>
        <v>CENT_AIR3</v>
      </c>
    </row>
    <row r="2319" spans="1:25" x14ac:dyDescent="0.2">
      <c r="B2319" s="49">
        <v>5</v>
      </c>
      <c r="C2319" s="49">
        <v>3</v>
      </c>
      <c r="D2319" s="49">
        <v>3</v>
      </c>
      <c r="E2319" s="49">
        <v>8</v>
      </c>
      <c r="F2319" s="49">
        <v>2</v>
      </c>
      <c r="G2319" s="49">
        <v>7</v>
      </c>
      <c r="H2319" s="49">
        <v>2023</v>
      </c>
      <c r="I2319" s="49">
        <v>2032</v>
      </c>
      <c r="J2319" s="50">
        <v>1.0559000000000001</v>
      </c>
      <c r="K2319" s="50">
        <v>1.0444</v>
      </c>
      <c r="L2319" s="50">
        <v>0.86019999999999996</v>
      </c>
      <c r="M2319" s="50">
        <v>1.0145999999999999</v>
      </c>
      <c r="N2319" s="50">
        <v>0.83460000000000001</v>
      </c>
      <c r="O2319" s="50">
        <v>1.0538000000000001</v>
      </c>
      <c r="P2319" s="49">
        <v>5058</v>
      </c>
      <c r="Q2319" s="51">
        <f t="array" ref="Q2319">SUM(IF(($S2319&gt;=4)*($C2319='TaxCred&amp;Subs'!$D$123:$D$127)*($H2319='TaxCred&amp;Subs'!$C$123:$C$127)*($H2319&lt;='TaxCred&amp;Subs'!$C$129),'TaxCred&amp;Subs'!$E$123:$E$127,0))</f>
        <v>2500</v>
      </c>
      <c r="R2319" s="171">
        <v>0</v>
      </c>
      <c r="S2319" s="49">
        <v>4</v>
      </c>
      <c r="T2319" s="49" t="s">
        <v>248</v>
      </c>
      <c r="V2319" s="153" t="str">
        <f t="array" ref="V2319">INDEX(xlRTCLNAME,MATCH(1,(xlRTCLENDU=1)*(xlRTCLEQCL=$D2319),0))</f>
        <v>NG_FA</v>
      </c>
      <c r="W2319" s="153" t="str">
        <f t="array" ref="W2319">INDEX(xlRTCLNAME,MATCH(1,(xlRTCLENDU=2)*(xlRTCLEQCL=$F2319),0))</f>
        <v>CENT_AIR</v>
      </c>
      <c r="X2319" s="153" t="str">
        <f t="array" ref="X2319">INDEX(xlRTTYNAME,MATCH(1,(xlRTTYENDU=1)*(xlRTTYEQCL=$D2319)*(xlRTEQTYPE=$E2319),0))</f>
        <v>NG_FA3</v>
      </c>
      <c r="Y2319" s="153" t="str">
        <f t="array" ref="Y2319">INDEX(xlRTTYNAME,MATCH(1,(xlRTTYENDU=2)*(xlRTTYEQCL=$F2319)*(xlRTEQTYPE=$G2319),0))</f>
        <v>CENT_AIR3</v>
      </c>
    </row>
    <row r="2320" spans="1:25" x14ac:dyDescent="0.2">
      <c r="B2320" s="126">
        <v>5</v>
      </c>
      <c r="C2320" s="126">
        <v>3</v>
      </c>
      <c r="D2320" s="126">
        <v>3</v>
      </c>
      <c r="E2320" s="126">
        <v>8</v>
      </c>
      <c r="F2320" s="126">
        <v>2</v>
      </c>
      <c r="G2320" s="126">
        <v>7</v>
      </c>
      <c r="H2320" s="159">
        <v>2033</v>
      </c>
      <c r="I2320" s="159">
        <v>2050</v>
      </c>
      <c r="J2320" s="127">
        <v>1.0559000000000001</v>
      </c>
      <c r="K2320" s="127">
        <v>1.0444</v>
      </c>
      <c r="L2320" s="127">
        <v>0.86019999999999996</v>
      </c>
      <c r="M2320" s="127">
        <v>1.0145999999999999</v>
      </c>
      <c r="N2320" s="127">
        <v>0.83460000000000001</v>
      </c>
      <c r="O2320" s="127">
        <v>1.0538000000000001</v>
      </c>
      <c r="P2320" s="126">
        <v>5058</v>
      </c>
      <c r="Q2320" s="128">
        <f t="array" ref="Q2320">SUM(IF(($S2320&gt;=4)*($C2320='TaxCred&amp;Subs'!$D$123:$D$127)*($H2320='TaxCred&amp;Subs'!$C$123:$C$127)*($H2320&lt;='TaxCred&amp;Subs'!$C$129),'TaxCred&amp;Subs'!$E$123:$E$127,0))</f>
        <v>0</v>
      </c>
      <c r="R2320" s="174">
        <v>0</v>
      </c>
      <c r="S2320" s="126">
        <v>4</v>
      </c>
      <c r="T2320" s="126" t="s">
        <v>248</v>
      </c>
      <c r="V2320" s="153" t="str">
        <f t="array" ref="V2320">INDEX(xlRTCLNAME,MATCH(1,(xlRTCLENDU=1)*(xlRTCLEQCL=$D2320),0))</f>
        <v>NG_FA</v>
      </c>
      <c r="W2320" s="153" t="str">
        <f t="array" ref="W2320">INDEX(xlRTCLNAME,MATCH(1,(xlRTCLENDU=2)*(xlRTCLEQCL=$F2320),0))</f>
        <v>CENT_AIR</v>
      </c>
      <c r="X2320" s="153" t="str">
        <f t="array" ref="X2320">INDEX(xlRTTYNAME,MATCH(1,(xlRTTYENDU=1)*(xlRTTYEQCL=$D2320)*(xlRTEQTYPE=$E2320),0))</f>
        <v>NG_FA3</v>
      </c>
      <c r="Y2320" s="153" t="str">
        <f t="array" ref="Y2320">INDEX(xlRTTYNAME,MATCH(1,(xlRTTYENDU=2)*(xlRTTYEQCL=$F2320)*(xlRTEQTYPE=$G2320),0))</f>
        <v>CENT_AIR3</v>
      </c>
    </row>
    <row r="2321" spans="1:25" x14ac:dyDescent="0.2">
      <c r="B2321" s="126">
        <v>6</v>
      </c>
      <c r="C2321" s="126">
        <v>3</v>
      </c>
      <c r="D2321" s="126">
        <v>3</v>
      </c>
      <c r="E2321" s="126">
        <v>8</v>
      </c>
      <c r="F2321" s="126">
        <v>2</v>
      </c>
      <c r="G2321" s="126">
        <v>7</v>
      </c>
      <c r="H2321" s="126">
        <v>2016</v>
      </c>
      <c r="I2321" s="159">
        <v>2022</v>
      </c>
      <c r="J2321" s="127">
        <v>1.0872999999999999</v>
      </c>
      <c r="K2321" s="127">
        <v>1.0581</v>
      </c>
      <c r="L2321" s="127">
        <v>0.82210000000000005</v>
      </c>
      <c r="M2321" s="127">
        <v>1.0062</v>
      </c>
      <c r="N2321" s="127">
        <v>0.8044</v>
      </c>
      <c r="O2321" s="127">
        <v>1.0538000000000001</v>
      </c>
      <c r="P2321" s="126">
        <v>4828</v>
      </c>
      <c r="Q2321" s="128">
        <f t="array" ref="Q2321">SUM(IF(($S2321&gt;=4)*($C2321='TaxCred&amp;Subs'!$D$123:$D$127)*($H2321='TaxCred&amp;Subs'!$C$123:$C$127)*($H2321&lt;='TaxCred&amp;Subs'!$C$129),'TaxCred&amp;Subs'!$E$123:$E$127,0))</f>
        <v>1000</v>
      </c>
      <c r="R2321" s="174">
        <v>0</v>
      </c>
      <c r="S2321" s="126">
        <v>4</v>
      </c>
      <c r="T2321" s="126" t="s">
        <v>248</v>
      </c>
      <c r="V2321" s="153" t="str">
        <f t="array" ref="V2321">INDEX(xlRTCLNAME,MATCH(1,(xlRTCLENDU=1)*(xlRTCLEQCL=$D2321),0))</f>
        <v>NG_FA</v>
      </c>
      <c r="W2321" s="153" t="str">
        <f t="array" ref="W2321">INDEX(xlRTCLNAME,MATCH(1,(xlRTCLENDU=2)*(xlRTCLEQCL=$F2321),0))</f>
        <v>CENT_AIR</v>
      </c>
      <c r="X2321" s="153" t="str">
        <f t="array" ref="X2321">INDEX(xlRTTYNAME,MATCH(1,(xlRTTYENDU=1)*(xlRTTYEQCL=$D2321)*(xlRTEQTYPE=$E2321),0))</f>
        <v>NG_FA3</v>
      </c>
      <c r="Y2321" s="153" t="str">
        <f t="array" ref="Y2321">INDEX(xlRTTYNAME,MATCH(1,(xlRTTYENDU=2)*(xlRTTYEQCL=$F2321)*(xlRTEQTYPE=$G2321),0))</f>
        <v>CENT_AIR3</v>
      </c>
    </row>
    <row r="2322" spans="1:25" s="158" customFormat="1" x14ac:dyDescent="0.2">
      <c r="A2322"/>
      <c r="B2322" s="49">
        <v>6</v>
      </c>
      <c r="C2322" s="49">
        <v>3</v>
      </c>
      <c r="D2322" s="49">
        <v>3</v>
      </c>
      <c r="E2322" s="49">
        <v>8</v>
      </c>
      <c r="F2322" s="49">
        <v>2</v>
      </c>
      <c r="G2322" s="49">
        <v>7</v>
      </c>
      <c r="H2322" s="49">
        <v>2023</v>
      </c>
      <c r="I2322" s="49">
        <v>2032</v>
      </c>
      <c r="J2322" s="50">
        <v>1.0872999999999999</v>
      </c>
      <c r="K2322" s="50">
        <v>1.0581</v>
      </c>
      <c r="L2322" s="50">
        <v>0.82210000000000005</v>
      </c>
      <c r="M2322" s="50">
        <v>1.0062</v>
      </c>
      <c r="N2322" s="50">
        <v>0.8044</v>
      </c>
      <c r="O2322" s="50">
        <v>1.0538000000000001</v>
      </c>
      <c r="P2322" s="49">
        <v>4828</v>
      </c>
      <c r="Q2322" s="51">
        <f t="array" ref="Q2322">SUM(IF(($S2322&gt;=4)*($C2322='TaxCred&amp;Subs'!$D$123:$D$127)*($H2322='TaxCred&amp;Subs'!$C$123:$C$127)*($H2322&lt;='TaxCred&amp;Subs'!$C$129),'TaxCred&amp;Subs'!$E$123:$E$127,0))</f>
        <v>2500</v>
      </c>
      <c r="R2322" s="171">
        <v>0</v>
      </c>
      <c r="S2322" s="49">
        <v>4</v>
      </c>
      <c r="T2322" s="49" t="s">
        <v>248</v>
      </c>
      <c r="U2322"/>
      <c r="V2322" s="153" t="str">
        <f t="array" ref="V2322">INDEX(xlRTCLNAME,MATCH(1,(xlRTCLENDU=1)*(xlRTCLEQCL=$D2322),0))</f>
        <v>NG_FA</v>
      </c>
      <c r="W2322" s="153" t="str">
        <f t="array" ref="W2322">INDEX(xlRTCLNAME,MATCH(1,(xlRTCLENDU=2)*(xlRTCLEQCL=$F2322),0))</f>
        <v>CENT_AIR</v>
      </c>
      <c r="X2322" s="153" t="str">
        <f t="array" ref="X2322">INDEX(xlRTTYNAME,MATCH(1,(xlRTTYENDU=1)*(xlRTTYEQCL=$D2322)*(xlRTEQTYPE=$E2322),0))</f>
        <v>NG_FA3</v>
      </c>
      <c r="Y2322" s="153" t="str">
        <f t="array" ref="Y2322">INDEX(xlRTTYNAME,MATCH(1,(xlRTTYENDU=2)*(xlRTTYEQCL=$F2322)*(xlRTEQTYPE=$G2322),0))</f>
        <v>CENT_AIR3</v>
      </c>
    </row>
    <row r="2323" spans="1:25" x14ac:dyDescent="0.2">
      <c r="B2323" s="126">
        <v>6</v>
      </c>
      <c r="C2323" s="126">
        <v>3</v>
      </c>
      <c r="D2323" s="126">
        <v>3</v>
      </c>
      <c r="E2323" s="126">
        <v>8</v>
      </c>
      <c r="F2323" s="126">
        <v>2</v>
      </c>
      <c r="G2323" s="126">
        <v>7</v>
      </c>
      <c r="H2323" s="159">
        <v>2033</v>
      </c>
      <c r="I2323" s="159">
        <v>2050</v>
      </c>
      <c r="J2323" s="127">
        <v>1.0872999999999999</v>
      </c>
      <c r="K2323" s="127">
        <v>1.0581</v>
      </c>
      <c r="L2323" s="127">
        <v>0.82210000000000005</v>
      </c>
      <c r="M2323" s="127">
        <v>1.0062</v>
      </c>
      <c r="N2323" s="127">
        <v>0.8044</v>
      </c>
      <c r="O2323" s="127">
        <v>1.0538000000000001</v>
      </c>
      <c r="P2323" s="126">
        <v>4828</v>
      </c>
      <c r="Q2323" s="128">
        <f t="array" ref="Q2323">SUM(IF(($S2323&gt;=4)*($C2323='TaxCred&amp;Subs'!$D$123:$D$127)*($H2323='TaxCred&amp;Subs'!$C$123:$C$127)*($H2323&lt;='TaxCred&amp;Subs'!$C$129),'TaxCred&amp;Subs'!$E$123:$E$127,0))</f>
        <v>0</v>
      </c>
      <c r="R2323" s="174">
        <v>0</v>
      </c>
      <c r="S2323" s="126">
        <v>4</v>
      </c>
      <c r="T2323" s="126" t="s">
        <v>248</v>
      </c>
      <c r="V2323" s="153" t="str">
        <f t="array" ref="V2323">INDEX(xlRTCLNAME,MATCH(1,(xlRTCLENDU=1)*(xlRTCLEQCL=$D2323),0))</f>
        <v>NG_FA</v>
      </c>
      <c r="W2323" s="153" t="str">
        <f t="array" ref="W2323">INDEX(xlRTCLNAME,MATCH(1,(xlRTCLENDU=2)*(xlRTCLEQCL=$F2323),0))</f>
        <v>CENT_AIR</v>
      </c>
      <c r="X2323" s="153" t="str">
        <f t="array" ref="X2323">INDEX(xlRTTYNAME,MATCH(1,(xlRTTYENDU=1)*(xlRTTYEQCL=$D2323)*(xlRTEQTYPE=$E2323),0))</f>
        <v>NG_FA3</v>
      </c>
      <c r="Y2323" s="153" t="str">
        <f t="array" ref="Y2323">INDEX(xlRTTYNAME,MATCH(1,(xlRTTYENDU=2)*(xlRTTYEQCL=$F2323)*(xlRTEQTYPE=$G2323),0))</f>
        <v>CENT_AIR3</v>
      </c>
    </row>
    <row r="2324" spans="1:25" x14ac:dyDescent="0.2">
      <c r="B2324" s="126">
        <v>7</v>
      </c>
      <c r="C2324" s="126">
        <v>3</v>
      </c>
      <c r="D2324" s="126">
        <v>3</v>
      </c>
      <c r="E2324" s="126">
        <v>8</v>
      </c>
      <c r="F2324" s="126">
        <v>2</v>
      </c>
      <c r="G2324" s="126">
        <v>7</v>
      </c>
      <c r="H2324" s="126">
        <v>2016</v>
      </c>
      <c r="I2324" s="159">
        <v>2022</v>
      </c>
      <c r="J2324" s="127">
        <v>1.0914999999999999</v>
      </c>
      <c r="K2324" s="127">
        <v>1.0496000000000001</v>
      </c>
      <c r="L2324" s="127">
        <v>0.82369999999999999</v>
      </c>
      <c r="M2324" s="127">
        <v>1.0031000000000001</v>
      </c>
      <c r="N2324" s="127">
        <v>0.81759999999999999</v>
      </c>
      <c r="O2324" s="127">
        <v>1.0538000000000001</v>
      </c>
      <c r="P2324" s="126">
        <v>4621</v>
      </c>
      <c r="Q2324" s="128">
        <f t="array" ref="Q2324">SUM(IF(($S2324&gt;=4)*($C2324='TaxCred&amp;Subs'!$D$123:$D$127)*($H2324='TaxCred&amp;Subs'!$C$123:$C$127)*($H2324&lt;='TaxCred&amp;Subs'!$C$129),'TaxCred&amp;Subs'!$E$123:$E$127,0))</f>
        <v>1000</v>
      </c>
      <c r="R2324" s="174">
        <v>0</v>
      </c>
      <c r="S2324" s="126">
        <v>4</v>
      </c>
      <c r="T2324" s="126" t="s">
        <v>248</v>
      </c>
      <c r="V2324" s="153" t="str">
        <f t="array" ref="V2324">INDEX(xlRTCLNAME,MATCH(1,(xlRTCLENDU=1)*(xlRTCLEQCL=$D2324),0))</f>
        <v>NG_FA</v>
      </c>
      <c r="W2324" s="153" t="str">
        <f t="array" ref="W2324">INDEX(xlRTCLNAME,MATCH(1,(xlRTCLENDU=2)*(xlRTCLEQCL=$F2324),0))</f>
        <v>CENT_AIR</v>
      </c>
      <c r="X2324" s="153" t="str">
        <f t="array" ref="X2324">INDEX(xlRTTYNAME,MATCH(1,(xlRTTYENDU=1)*(xlRTTYEQCL=$D2324)*(xlRTEQTYPE=$E2324),0))</f>
        <v>NG_FA3</v>
      </c>
      <c r="Y2324" s="153" t="str">
        <f t="array" ref="Y2324">INDEX(xlRTTYNAME,MATCH(1,(xlRTTYENDU=2)*(xlRTTYEQCL=$F2324)*(xlRTEQTYPE=$G2324),0))</f>
        <v>CENT_AIR3</v>
      </c>
    </row>
    <row r="2325" spans="1:25" x14ac:dyDescent="0.2">
      <c r="B2325" s="49">
        <v>7</v>
      </c>
      <c r="C2325" s="49">
        <v>3</v>
      </c>
      <c r="D2325" s="49">
        <v>3</v>
      </c>
      <c r="E2325" s="49">
        <v>8</v>
      </c>
      <c r="F2325" s="49">
        <v>2</v>
      </c>
      <c r="G2325" s="49">
        <v>7</v>
      </c>
      <c r="H2325" s="49">
        <v>2023</v>
      </c>
      <c r="I2325" s="49">
        <v>2032</v>
      </c>
      <c r="J2325" s="50">
        <v>1.0914999999999999</v>
      </c>
      <c r="K2325" s="50">
        <v>1.0496000000000001</v>
      </c>
      <c r="L2325" s="50">
        <v>0.82369999999999999</v>
      </c>
      <c r="M2325" s="50">
        <v>1.0031000000000001</v>
      </c>
      <c r="N2325" s="50">
        <v>0.81759999999999999</v>
      </c>
      <c r="O2325" s="50">
        <v>1.0538000000000001</v>
      </c>
      <c r="P2325" s="49">
        <v>4621</v>
      </c>
      <c r="Q2325" s="51">
        <f t="array" ref="Q2325">SUM(IF(($S2325&gt;=4)*($C2325='TaxCred&amp;Subs'!$D$123:$D$127)*($H2325='TaxCred&amp;Subs'!$C$123:$C$127)*($H2325&lt;='TaxCred&amp;Subs'!$C$129),'TaxCred&amp;Subs'!$E$123:$E$127,0))</f>
        <v>2500</v>
      </c>
      <c r="R2325" s="171">
        <v>0</v>
      </c>
      <c r="S2325" s="49">
        <v>4</v>
      </c>
      <c r="T2325" s="49" t="s">
        <v>248</v>
      </c>
      <c r="V2325" s="153" t="str">
        <f t="array" ref="V2325">INDEX(xlRTCLNAME,MATCH(1,(xlRTCLENDU=1)*(xlRTCLEQCL=$D2325),0))</f>
        <v>NG_FA</v>
      </c>
      <c r="W2325" s="153" t="str">
        <f t="array" ref="W2325">INDEX(xlRTCLNAME,MATCH(1,(xlRTCLENDU=2)*(xlRTCLEQCL=$F2325),0))</f>
        <v>CENT_AIR</v>
      </c>
      <c r="X2325" s="153" t="str">
        <f t="array" ref="X2325">INDEX(xlRTTYNAME,MATCH(1,(xlRTTYENDU=1)*(xlRTTYEQCL=$D2325)*(xlRTEQTYPE=$E2325),0))</f>
        <v>NG_FA3</v>
      </c>
      <c r="Y2325" s="153" t="str">
        <f t="array" ref="Y2325">INDEX(xlRTTYNAME,MATCH(1,(xlRTTYENDU=2)*(xlRTTYEQCL=$F2325)*(xlRTEQTYPE=$G2325),0))</f>
        <v>CENT_AIR3</v>
      </c>
    </row>
    <row r="2326" spans="1:25" x14ac:dyDescent="0.2">
      <c r="B2326" s="126">
        <v>7</v>
      </c>
      <c r="C2326" s="126">
        <v>3</v>
      </c>
      <c r="D2326" s="126">
        <v>3</v>
      </c>
      <c r="E2326" s="126">
        <v>8</v>
      </c>
      <c r="F2326" s="126">
        <v>2</v>
      </c>
      <c r="G2326" s="126">
        <v>7</v>
      </c>
      <c r="H2326" s="159">
        <v>2033</v>
      </c>
      <c r="I2326" s="159">
        <v>2050</v>
      </c>
      <c r="J2326" s="127">
        <v>1.0914999999999999</v>
      </c>
      <c r="K2326" s="127">
        <v>1.0496000000000001</v>
      </c>
      <c r="L2326" s="127">
        <v>0.82369999999999999</v>
      </c>
      <c r="M2326" s="127">
        <v>1.0031000000000001</v>
      </c>
      <c r="N2326" s="127">
        <v>0.81759999999999999</v>
      </c>
      <c r="O2326" s="127">
        <v>1.0538000000000001</v>
      </c>
      <c r="P2326" s="126">
        <v>4621</v>
      </c>
      <c r="Q2326" s="128">
        <f t="array" ref="Q2326">SUM(IF(($S2326&gt;=4)*($C2326='TaxCred&amp;Subs'!$D$123:$D$127)*($H2326='TaxCred&amp;Subs'!$C$123:$C$127)*($H2326&lt;='TaxCred&amp;Subs'!$C$129),'TaxCred&amp;Subs'!$E$123:$E$127,0))</f>
        <v>0</v>
      </c>
      <c r="R2326" s="174">
        <v>0</v>
      </c>
      <c r="S2326" s="126">
        <v>4</v>
      </c>
      <c r="T2326" s="126" t="s">
        <v>248</v>
      </c>
      <c r="V2326" s="153" t="str">
        <f t="array" ref="V2326">INDEX(xlRTCLNAME,MATCH(1,(xlRTCLENDU=1)*(xlRTCLEQCL=$D2326),0))</f>
        <v>NG_FA</v>
      </c>
      <c r="W2326" s="153" t="str">
        <f t="array" ref="W2326">INDEX(xlRTCLNAME,MATCH(1,(xlRTCLENDU=2)*(xlRTCLEQCL=$F2326),0))</f>
        <v>CENT_AIR</v>
      </c>
      <c r="X2326" s="153" t="str">
        <f t="array" ref="X2326">INDEX(xlRTTYNAME,MATCH(1,(xlRTTYENDU=1)*(xlRTTYEQCL=$D2326)*(xlRTEQTYPE=$E2326),0))</f>
        <v>NG_FA3</v>
      </c>
      <c r="Y2326" s="153" t="str">
        <f t="array" ref="Y2326">INDEX(xlRTTYNAME,MATCH(1,(xlRTTYENDU=2)*(xlRTTYEQCL=$F2326)*(xlRTEQTYPE=$G2326),0))</f>
        <v>CENT_AIR3</v>
      </c>
    </row>
    <row r="2327" spans="1:25" x14ac:dyDescent="0.2">
      <c r="B2327" s="126">
        <v>9</v>
      </c>
      <c r="C2327" s="126">
        <v>3</v>
      </c>
      <c r="D2327" s="126">
        <v>3</v>
      </c>
      <c r="E2327" s="126">
        <v>8</v>
      </c>
      <c r="F2327" s="126">
        <v>2</v>
      </c>
      <c r="G2327" s="126">
        <v>7</v>
      </c>
      <c r="H2327" s="126">
        <v>2016</v>
      </c>
      <c r="I2327" s="159">
        <v>2022</v>
      </c>
      <c r="J2327" s="127">
        <v>1.0761000000000001</v>
      </c>
      <c r="K2327" s="127">
        <v>1.0506</v>
      </c>
      <c r="L2327" s="127">
        <v>0.90200000000000002</v>
      </c>
      <c r="M2327" s="127">
        <v>1.0749</v>
      </c>
      <c r="N2327" s="127">
        <v>0.84670000000000001</v>
      </c>
      <c r="O2327" s="127">
        <v>1.0538000000000001</v>
      </c>
      <c r="P2327" s="126">
        <v>6165</v>
      </c>
      <c r="Q2327" s="128">
        <f t="array" ref="Q2327">SUM(IF(($S2327&gt;=4)*($C2327='TaxCred&amp;Subs'!$D$123:$D$127)*($H2327='TaxCred&amp;Subs'!$C$123:$C$127)*($H2327&lt;='TaxCred&amp;Subs'!$C$129),'TaxCred&amp;Subs'!$E$123:$E$127,0))</f>
        <v>1000</v>
      </c>
      <c r="R2327" s="174">
        <v>0</v>
      </c>
      <c r="S2327" s="126">
        <v>4</v>
      </c>
      <c r="T2327" s="126" t="s">
        <v>248</v>
      </c>
      <c r="V2327" s="153" t="str">
        <f t="array" ref="V2327">INDEX(xlRTCLNAME,MATCH(1,(xlRTCLENDU=1)*(xlRTCLEQCL=$D2327),0))</f>
        <v>NG_FA</v>
      </c>
      <c r="W2327" s="153" t="str">
        <f t="array" ref="W2327">INDEX(xlRTCLNAME,MATCH(1,(xlRTCLENDU=2)*(xlRTCLEQCL=$F2327),0))</f>
        <v>CENT_AIR</v>
      </c>
      <c r="X2327" s="153" t="str">
        <f t="array" ref="X2327">INDEX(xlRTTYNAME,MATCH(1,(xlRTTYENDU=1)*(xlRTTYEQCL=$D2327)*(xlRTEQTYPE=$E2327),0))</f>
        <v>NG_FA3</v>
      </c>
      <c r="Y2327" s="153" t="str">
        <f t="array" ref="Y2327">INDEX(xlRTTYNAME,MATCH(1,(xlRTTYENDU=2)*(xlRTTYEQCL=$F2327)*(xlRTEQTYPE=$G2327),0))</f>
        <v>CENT_AIR3</v>
      </c>
    </row>
    <row r="2328" spans="1:25" x14ac:dyDescent="0.2">
      <c r="B2328" s="49">
        <v>9</v>
      </c>
      <c r="C2328" s="49">
        <v>3</v>
      </c>
      <c r="D2328" s="49">
        <v>3</v>
      </c>
      <c r="E2328" s="49">
        <v>8</v>
      </c>
      <c r="F2328" s="49">
        <v>2</v>
      </c>
      <c r="G2328" s="49">
        <v>7</v>
      </c>
      <c r="H2328" s="49">
        <v>2023</v>
      </c>
      <c r="I2328" s="49">
        <v>2032</v>
      </c>
      <c r="J2328" s="50">
        <v>1.0761000000000001</v>
      </c>
      <c r="K2328" s="50">
        <v>1.0506</v>
      </c>
      <c r="L2328" s="50">
        <v>0.90200000000000002</v>
      </c>
      <c r="M2328" s="50">
        <v>1.0749</v>
      </c>
      <c r="N2328" s="50">
        <v>0.84670000000000001</v>
      </c>
      <c r="O2328" s="50">
        <v>1.0538000000000001</v>
      </c>
      <c r="P2328" s="49">
        <v>6165</v>
      </c>
      <c r="Q2328" s="51">
        <f t="array" ref="Q2328">SUM(IF(($S2328&gt;=4)*($C2328='TaxCred&amp;Subs'!$D$123:$D$127)*($H2328='TaxCred&amp;Subs'!$C$123:$C$127)*($H2328&lt;='TaxCred&amp;Subs'!$C$129),'TaxCred&amp;Subs'!$E$123:$E$127,0))</f>
        <v>2500</v>
      </c>
      <c r="R2328" s="171">
        <v>0</v>
      </c>
      <c r="S2328" s="49">
        <v>4</v>
      </c>
      <c r="T2328" s="49" t="s">
        <v>248</v>
      </c>
      <c r="V2328" s="153" t="str">
        <f t="array" ref="V2328">INDEX(xlRTCLNAME,MATCH(1,(xlRTCLENDU=1)*(xlRTCLEQCL=$D2328),0))</f>
        <v>NG_FA</v>
      </c>
      <c r="W2328" s="153" t="str">
        <f t="array" ref="W2328">INDEX(xlRTCLNAME,MATCH(1,(xlRTCLENDU=2)*(xlRTCLEQCL=$F2328),0))</f>
        <v>CENT_AIR</v>
      </c>
      <c r="X2328" s="153" t="str">
        <f t="array" ref="X2328">INDEX(xlRTTYNAME,MATCH(1,(xlRTTYENDU=1)*(xlRTTYEQCL=$D2328)*(xlRTEQTYPE=$E2328),0))</f>
        <v>NG_FA3</v>
      </c>
      <c r="Y2328" s="153" t="str">
        <f t="array" ref="Y2328">INDEX(xlRTTYNAME,MATCH(1,(xlRTTYENDU=2)*(xlRTTYEQCL=$F2328)*(xlRTEQTYPE=$G2328),0))</f>
        <v>CENT_AIR3</v>
      </c>
    </row>
    <row r="2329" spans="1:25" s="158" customFormat="1" x14ac:dyDescent="0.2">
      <c r="A2329"/>
      <c r="B2329" s="126">
        <v>9</v>
      </c>
      <c r="C2329" s="126">
        <v>3</v>
      </c>
      <c r="D2329" s="126">
        <v>3</v>
      </c>
      <c r="E2329" s="126">
        <v>8</v>
      </c>
      <c r="F2329" s="126">
        <v>2</v>
      </c>
      <c r="G2329" s="126">
        <v>7</v>
      </c>
      <c r="H2329" s="159">
        <v>2033</v>
      </c>
      <c r="I2329" s="159">
        <v>2050</v>
      </c>
      <c r="J2329" s="127">
        <v>1.0761000000000001</v>
      </c>
      <c r="K2329" s="127">
        <v>1.0506</v>
      </c>
      <c r="L2329" s="127">
        <v>0.90200000000000002</v>
      </c>
      <c r="M2329" s="127">
        <v>1.0749</v>
      </c>
      <c r="N2329" s="127">
        <v>0.84670000000000001</v>
      </c>
      <c r="O2329" s="127">
        <v>1.0538000000000001</v>
      </c>
      <c r="P2329" s="126">
        <v>6165</v>
      </c>
      <c r="Q2329" s="128">
        <f t="array" ref="Q2329">SUM(IF(($S2329&gt;=4)*($C2329='TaxCred&amp;Subs'!$D$123:$D$127)*($H2329='TaxCred&amp;Subs'!$C$123:$C$127)*($H2329&lt;='TaxCred&amp;Subs'!$C$129),'TaxCred&amp;Subs'!$E$123:$E$127,0))</f>
        <v>0</v>
      </c>
      <c r="R2329" s="174">
        <v>0</v>
      </c>
      <c r="S2329" s="126">
        <v>4</v>
      </c>
      <c r="T2329" s="126" t="s">
        <v>248</v>
      </c>
      <c r="U2329"/>
      <c r="V2329" s="153" t="str">
        <f t="array" ref="V2329">INDEX(xlRTCLNAME,MATCH(1,(xlRTCLENDU=1)*(xlRTCLEQCL=$D2329),0))</f>
        <v>NG_FA</v>
      </c>
      <c r="W2329" s="153" t="str">
        <f t="array" ref="W2329">INDEX(xlRTCLNAME,MATCH(1,(xlRTCLENDU=2)*(xlRTCLEQCL=$F2329),0))</f>
        <v>CENT_AIR</v>
      </c>
      <c r="X2329" s="153" t="str">
        <f t="array" ref="X2329">INDEX(xlRTTYNAME,MATCH(1,(xlRTTYENDU=1)*(xlRTTYEQCL=$D2329)*(xlRTEQTYPE=$E2329),0))</f>
        <v>NG_FA3</v>
      </c>
      <c r="Y2329" s="153" t="str">
        <f t="array" ref="Y2329">INDEX(xlRTTYNAME,MATCH(1,(xlRTTYENDU=2)*(xlRTTYEQCL=$F2329)*(xlRTEQTYPE=$G2329),0))</f>
        <v>CENT_AIR3</v>
      </c>
    </row>
    <row r="2330" spans="1:25" x14ac:dyDescent="0.2">
      <c r="B2330" s="126">
        <v>5</v>
      </c>
      <c r="C2330" s="126">
        <v>3</v>
      </c>
      <c r="D2330" s="126">
        <v>4</v>
      </c>
      <c r="E2330" s="126">
        <v>12</v>
      </c>
      <c r="F2330" s="126">
        <v>2</v>
      </c>
      <c r="G2330" s="126">
        <v>7</v>
      </c>
      <c r="H2330" s="126">
        <v>2016</v>
      </c>
      <c r="I2330" s="159">
        <v>2022</v>
      </c>
      <c r="J2330" s="127">
        <v>1.0940000000000001</v>
      </c>
      <c r="K2330" s="127">
        <v>1.0575000000000001</v>
      </c>
      <c r="L2330" s="127">
        <v>0.85619999999999996</v>
      </c>
      <c r="M2330" s="127">
        <v>0.99719999999999998</v>
      </c>
      <c r="N2330" s="127">
        <v>0.83130000000000004</v>
      </c>
      <c r="O2330" s="127">
        <v>1.0538000000000001</v>
      </c>
      <c r="P2330" s="126">
        <v>5431</v>
      </c>
      <c r="Q2330" s="128">
        <f t="array" ref="Q2330">SUM(IF(($S2330&gt;=4)*($C2330='TaxCred&amp;Subs'!$D$123:$D$127)*($H2330='TaxCred&amp;Subs'!$C$123:$C$127)*($H2330&lt;='TaxCred&amp;Subs'!$C$129),'TaxCred&amp;Subs'!$E$123:$E$127,0))</f>
        <v>1000</v>
      </c>
      <c r="R2330" s="174">
        <v>0</v>
      </c>
      <c r="S2330" s="126">
        <v>4</v>
      </c>
      <c r="T2330" s="126" t="s">
        <v>248</v>
      </c>
      <c r="V2330" s="153" t="str">
        <f t="array" ref="V2330">INDEX(xlRTCLNAME,MATCH(1,(xlRTCLENDU=1)*(xlRTCLEQCL=$D2330),0))</f>
        <v>NG_RAD</v>
      </c>
      <c r="W2330" s="153" t="str">
        <f t="array" ref="W2330">INDEX(xlRTCLNAME,MATCH(1,(xlRTCLENDU=2)*(xlRTCLEQCL=$F2330),0))</f>
        <v>CENT_AIR</v>
      </c>
      <c r="X2330" s="153" t="str">
        <f t="array" ref="X2330">INDEX(xlRTTYNAME,MATCH(1,(xlRTTYENDU=1)*(xlRTTYEQCL=$D2330)*(xlRTEQTYPE=$E2330),0))</f>
        <v>NG_RAD3</v>
      </c>
      <c r="Y2330" s="153" t="str">
        <f t="array" ref="Y2330">INDEX(xlRTTYNAME,MATCH(1,(xlRTTYENDU=2)*(xlRTTYEQCL=$F2330)*(xlRTEQTYPE=$G2330),0))</f>
        <v>CENT_AIR3</v>
      </c>
    </row>
    <row r="2331" spans="1:25" x14ac:dyDescent="0.2">
      <c r="B2331" s="49">
        <v>5</v>
      </c>
      <c r="C2331" s="49">
        <v>3</v>
      </c>
      <c r="D2331" s="49">
        <v>4</v>
      </c>
      <c r="E2331" s="49">
        <v>12</v>
      </c>
      <c r="F2331" s="49">
        <v>2</v>
      </c>
      <c r="G2331" s="49">
        <v>7</v>
      </c>
      <c r="H2331" s="49">
        <v>2023</v>
      </c>
      <c r="I2331" s="49">
        <v>2032</v>
      </c>
      <c r="J2331" s="50">
        <v>1.0940000000000001</v>
      </c>
      <c r="K2331" s="50">
        <v>1.0575000000000001</v>
      </c>
      <c r="L2331" s="50">
        <v>0.85619999999999996</v>
      </c>
      <c r="M2331" s="50">
        <v>0.99719999999999998</v>
      </c>
      <c r="N2331" s="50">
        <v>0.83130000000000004</v>
      </c>
      <c r="O2331" s="50">
        <v>1.0538000000000001</v>
      </c>
      <c r="P2331" s="49">
        <v>5431</v>
      </c>
      <c r="Q2331" s="51">
        <f t="array" ref="Q2331">SUM(IF(($S2331&gt;=4)*($C2331='TaxCred&amp;Subs'!$D$123:$D$127)*($H2331='TaxCred&amp;Subs'!$C$123:$C$127)*($H2331&lt;='TaxCred&amp;Subs'!$C$129),'TaxCred&amp;Subs'!$E$123:$E$127,0))</f>
        <v>2500</v>
      </c>
      <c r="R2331" s="171">
        <v>0</v>
      </c>
      <c r="S2331" s="49">
        <v>4</v>
      </c>
      <c r="T2331" s="49" t="s">
        <v>248</v>
      </c>
      <c r="V2331" s="153" t="str">
        <f t="array" ref="V2331">INDEX(xlRTCLNAME,MATCH(1,(xlRTCLENDU=1)*(xlRTCLEQCL=$D2331),0))</f>
        <v>NG_RAD</v>
      </c>
      <c r="W2331" s="153" t="str">
        <f t="array" ref="W2331">INDEX(xlRTCLNAME,MATCH(1,(xlRTCLENDU=2)*(xlRTCLEQCL=$F2331),0))</f>
        <v>CENT_AIR</v>
      </c>
      <c r="X2331" s="153" t="str">
        <f t="array" ref="X2331">INDEX(xlRTTYNAME,MATCH(1,(xlRTTYENDU=1)*(xlRTTYEQCL=$D2331)*(xlRTEQTYPE=$E2331),0))</f>
        <v>NG_RAD3</v>
      </c>
      <c r="Y2331" s="153" t="str">
        <f t="array" ref="Y2331">INDEX(xlRTTYNAME,MATCH(1,(xlRTTYENDU=2)*(xlRTTYEQCL=$F2331)*(xlRTEQTYPE=$G2331),0))</f>
        <v>CENT_AIR3</v>
      </c>
    </row>
    <row r="2332" spans="1:25" s="158" customFormat="1" x14ac:dyDescent="0.2">
      <c r="A2332"/>
      <c r="B2332" s="126">
        <v>5</v>
      </c>
      <c r="C2332" s="126">
        <v>3</v>
      </c>
      <c r="D2332" s="126">
        <v>4</v>
      </c>
      <c r="E2332" s="126">
        <v>12</v>
      </c>
      <c r="F2332" s="126">
        <v>2</v>
      </c>
      <c r="G2332" s="126">
        <v>7</v>
      </c>
      <c r="H2332" s="159">
        <v>2033</v>
      </c>
      <c r="I2332" s="159">
        <v>2050</v>
      </c>
      <c r="J2332" s="127">
        <v>1.0940000000000001</v>
      </c>
      <c r="K2332" s="127">
        <v>1.0575000000000001</v>
      </c>
      <c r="L2332" s="127">
        <v>0.85619999999999996</v>
      </c>
      <c r="M2332" s="127">
        <v>0.99719999999999998</v>
      </c>
      <c r="N2332" s="127">
        <v>0.83130000000000004</v>
      </c>
      <c r="O2332" s="127">
        <v>1.0538000000000001</v>
      </c>
      <c r="P2332" s="126">
        <v>5431</v>
      </c>
      <c r="Q2332" s="128">
        <f t="array" ref="Q2332">SUM(IF(($S2332&gt;=4)*($C2332='TaxCred&amp;Subs'!$D$123:$D$127)*($H2332='TaxCred&amp;Subs'!$C$123:$C$127)*($H2332&lt;='TaxCred&amp;Subs'!$C$129),'TaxCred&amp;Subs'!$E$123:$E$127,0))</f>
        <v>0</v>
      </c>
      <c r="R2332" s="174">
        <v>0</v>
      </c>
      <c r="S2332" s="126">
        <v>4</v>
      </c>
      <c r="T2332" s="126" t="s">
        <v>248</v>
      </c>
      <c r="U2332"/>
      <c r="V2332" s="153" t="str">
        <f t="array" ref="V2332">INDEX(xlRTCLNAME,MATCH(1,(xlRTCLENDU=1)*(xlRTCLEQCL=$D2332),0))</f>
        <v>NG_RAD</v>
      </c>
      <c r="W2332" s="153" t="str">
        <f t="array" ref="W2332">INDEX(xlRTCLNAME,MATCH(1,(xlRTCLENDU=2)*(xlRTCLEQCL=$F2332),0))</f>
        <v>CENT_AIR</v>
      </c>
      <c r="X2332" s="153" t="str">
        <f t="array" ref="X2332">INDEX(xlRTTYNAME,MATCH(1,(xlRTTYENDU=1)*(xlRTTYEQCL=$D2332)*(xlRTEQTYPE=$E2332),0))</f>
        <v>NG_RAD3</v>
      </c>
      <c r="Y2332" s="153" t="str">
        <f t="array" ref="Y2332">INDEX(xlRTTYNAME,MATCH(1,(xlRTTYENDU=2)*(xlRTTYEQCL=$F2332)*(xlRTEQTYPE=$G2332),0))</f>
        <v>CENT_AIR3</v>
      </c>
    </row>
    <row r="2333" spans="1:25" x14ac:dyDescent="0.2">
      <c r="B2333" s="126">
        <v>6</v>
      </c>
      <c r="C2333" s="126">
        <v>3</v>
      </c>
      <c r="D2333" s="126">
        <v>4</v>
      </c>
      <c r="E2333" s="126">
        <v>12</v>
      </c>
      <c r="F2333" s="126">
        <v>2</v>
      </c>
      <c r="G2333" s="126">
        <v>7</v>
      </c>
      <c r="H2333" s="126">
        <v>2016</v>
      </c>
      <c r="I2333" s="159">
        <v>2022</v>
      </c>
      <c r="J2333" s="127">
        <v>1.0873999999999999</v>
      </c>
      <c r="K2333" s="127">
        <v>1.0609999999999999</v>
      </c>
      <c r="L2333" s="127">
        <v>0.82179999999999997</v>
      </c>
      <c r="M2333" s="127">
        <v>1.0124</v>
      </c>
      <c r="N2333" s="127">
        <v>0.80189999999999995</v>
      </c>
      <c r="O2333" s="127">
        <v>1.0538000000000001</v>
      </c>
      <c r="P2333" s="126">
        <v>5305</v>
      </c>
      <c r="Q2333" s="128">
        <f t="array" ref="Q2333">SUM(IF(($S2333&gt;=4)*($C2333='TaxCred&amp;Subs'!$D$123:$D$127)*($H2333='TaxCred&amp;Subs'!$C$123:$C$127)*($H2333&lt;='TaxCred&amp;Subs'!$C$129),'TaxCred&amp;Subs'!$E$123:$E$127,0))</f>
        <v>1000</v>
      </c>
      <c r="R2333" s="174">
        <v>0</v>
      </c>
      <c r="S2333" s="126">
        <v>4</v>
      </c>
      <c r="T2333" s="126" t="s">
        <v>248</v>
      </c>
      <c r="V2333" s="153" t="str">
        <f t="array" ref="V2333">INDEX(xlRTCLNAME,MATCH(1,(xlRTCLENDU=1)*(xlRTCLEQCL=$D2333),0))</f>
        <v>NG_RAD</v>
      </c>
      <c r="W2333" s="153" t="str">
        <f t="array" ref="W2333">INDEX(xlRTCLNAME,MATCH(1,(xlRTCLENDU=2)*(xlRTCLEQCL=$F2333),0))</f>
        <v>CENT_AIR</v>
      </c>
      <c r="X2333" s="153" t="str">
        <f t="array" ref="X2333">INDEX(xlRTTYNAME,MATCH(1,(xlRTTYENDU=1)*(xlRTTYEQCL=$D2333)*(xlRTEQTYPE=$E2333),0))</f>
        <v>NG_RAD3</v>
      </c>
      <c r="Y2333" s="153" t="str">
        <f t="array" ref="Y2333">INDEX(xlRTTYNAME,MATCH(1,(xlRTTYENDU=2)*(xlRTTYEQCL=$F2333)*(xlRTEQTYPE=$G2333),0))</f>
        <v>CENT_AIR3</v>
      </c>
    </row>
    <row r="2334" spans="1:25" x14ac:dyDescent="0.2">
      <c r="B2334" s="49">
        <v>6</v>
      </c>
      <c r="C2334" s="49">
        <v>3</v>
      </c>
      <c r="D2334" s="49">
        <v>4</v>
      </c>
      <c r="E2334" s="49">
        <v>12</v>
      </c>
      <c r="F2334" s="49">
        <v>2</v>
      </c>
      <c r="G2334" s="49">
        <v>7</v>
      </c>
      <c r="H2334" s="49">
        <v>2023</v>
      </c>
      <c r="I2334" s="49">
        <v>2032</v>
      </c>
      <c r="J2334" s="50">
        <v>1.0873999999999999</v>
      </c>
      <c r="K2334" s="50">
        <v>1.0609999999999999</v>
      </c>
      <c r="L2334" s="50">
        <v>0.82179999999999997</v>
      </c>
      <c r="M2334" s="50">
        <v>1.0124</v>
      </c>
      <c r="N2334" s="50">
        <v>0.80189999999999995</v>
      </c>
      <c r="O2334" s="50">
        <v>1.0538000000000001</v>
      </c>
      <c r="P2334" s="49">
        <v>5305</v>
      </c>
      <c r="Q2334" s="51">
        <f t="array" ref="Q2334">SUM(IF(($S2334&gt;=4)*($C2334='TaxCred&amp;Subs'!$D$123:$D$127)*($H2334='TaxCred&amp;Subs'!$C$123:$C$127)*($H2334&lt;='TaxCred&amp;Subs'!$C$129),'TaxCred&amp;Subs'!$E$123:$E$127,0))</f>
        <v>2500</v>
      </c>
      <c r="R2334" s="171">
        <v>0</v>
      </c>
      <c r="S2334" s="49">
        <v>4</v>
      </c>
      <c r="T2334" s="49" t="s">
        <v>248</v>
      </c>
      <c r="V2334" s="153" t="str">
        <f t="array" ref="V2334">INDEX(xlRTCLNAME,MATCH(1,(xlRTCLENDU=1)*(xlRTCLEQCL=$D2334),0))</f>
        <v>NG_RAD</v>
      </c>
      <c r="W2334" s="153" t="str">
        <f t="array" ref="W2334">INDEX(xlRTCLNAME,MATCH(1,(xlRTCLENDU=2)*(xlRTCLEQCL=$F2334),0))</f>
        <v>CENT_AIR</v>
      </c>
      <c r="X2334" s="153" t="str">
        <f t="array" ref="X2334">INDEX(xlRTTYNAME,MATCH(1,(xlRTTYENDU=1)*(xlRTTYEQCL=$D2334)*(xlRTEQTYPE=$E2334),0))</f>
        <v>NG_RAD3</v>
      </c>
      <c r="Y2334" s="153" t="str">
        <f t="array" ref="Y2334">INDEX(xlRTTYNAME,MATCH(1,(xlRTTYENDU=2)*(xlRTTYEQCL=$F2334)*(xlRTEQTYPE=$G2334),0))</f>
        <v>CENT_AIR3</v>
      </c>
    </row>
    <row r="2335" spans="1:25" x14ac:dyDescent="0.2">
      <c r="B2335" s="126">
        <v>6</v>
      </c>
      <c r="C2335" s="126">
        <v>3</v>
      </c>
      <c r="D2335" s="126">
        <v>4</v>
      </c>
      <c r="E2335" s="126">
        <v>12</v>
      </c>
      <c r="F2335" s="126">
        <v>2</v>
      </c>
      <c r="G2335" s="126">
        <v>7</v>
      </c>
      <c r="H2335" s="159">
        <v>2033</v>
      </c>
      <c r="I2335" s="159">
        <v>2050</v>
      </c>
      <c r="J2335" s="127">
        <v>1.0873999999999999</v>
      </c>
      <c r="K2335" s="127">
        <v>1.0609999999999999</v>
      </c>
      <c r="L2335" s="127">
        <v>0.82179999999999997</v>
      </c>
      <c r="M2335" s="127">
        <v>1.0124</v>
      </c>
      <c r="N2335" s="127">
        <v>0.80189999999999995</v>
      </c>
      <c r="O2335" s="127">
        <v>1.0538000000000001</v>
      </c>
      <c r="P2335" s="126">
        <v>5305</v>
      </c>
      <c r="Q2335" s="128">
        <f t="array" ref="Q2335">SUM(IF(($S2335&gt;=4)*($C2335='TaxCred&amp;Subs'!$D$123:$D$127)*($H2335='TaxCred&amp;Subs'!$C$123:$C$127)*($H2335&lt;='TaxCred&amp;Subs'!$C$129),'TaxCred&amp;Subs'!$E$123:$E$127,0))</f>
        <v>0</v>
      </c>
      <c r="R2335" s="174">
        <v>0</v>
      </c>
      <c r="S2335" s="126">
        <v>4</v>
      </c>
      <c r="T2335" s="126" t="s">
        <v>248</v>
      </c>
      <c r="V2335" s="153" t="str">
        <f t="array" ref="V2335">INDEX(xlRTCLNAME,MATCH(1,(xlRTCLENDU=1)*(xlRTCLEQCL=$D2335),0))</f>
        <v>NG_RAD</v>
      </c>
      <c r="W2335" s="153" t="str">
        <f t="array" ref="W2335">INDEX(xlRTCLNAME,MATCH(1,(xlRTCLENDU=2)*(xlRTCLEQCL=$F2335),0))</f>
        <v>CENT_AIR</v>
      </c>
      <c r="X2335" s="153" t="str">
        <f t="array" ref="X2335">INDEX(xlRTTYNAME,MATCH(1,(xlRTTYENDU=1)*(xlRTTYEQCL=$D2335)*(xlRTEQTYPE=$E2335),0))</f>
        <v>NG_RAD3</v>
      </c>
      <c r="Y2335" s="153" t="str">
        <f t="array" ref="Y2335">INDEX(xlRTTYNAME,MATCH(1,(xlRTTYENDU=2)*(xlRTTYEQCL=$F2335)*(xlRTEQTYPE=$G2335),0))</f>
        <v>CENT_AIR3</v>
      </c>
    </row>
    <row r="2336" spans="1:25" x14ac:dyDescent="0.2">
      <c r="B2336" s="126">
        <v>7</v>
      </c>
      <c r="C2336" s="126">
        <v>3</v>
      </c>
      <c r="D2336" s="126">
        <v>4</v>
      </c>
      <c r="E2336" s="126">
        <v>12</v>
      </c>
      <c r="F2336" s="126">
        <v>2</v>
      </c>
      <c r="G2336" s="126">
        <v>7</v>
      </c>
      <c r="H2336" s="126">
        <v>2016</v>
      </c>
      <c r="I2336" s="159">
        <v>2022</v>
      </c>
      <c r="J2336" s="127">
        <v>1.0826</v>
      </c>
      <c r="K2336" s="127">
        <v>1.0412999999999999</v>
      </c>
      <c r="L2336" s="127">
        <v>0.80110000000000003</v>
      </c>
      <c r="M2336" s="127">
        <v>1.0165999999999999</v>
      </c>
      <c r="N2336" s="127">
        <v>0.8125</v>
      </c>
      <c r="O2336" s="127">
        <v>1.0538000000000001</v>
      </c>
      <c r="P2336" s="126">
        <v>2912</v>
      </c>
      <c r="Q2336" s="128">
        <f t="array" ref="Q2336">SUM(IF(($S2336&gt;=4)*($C2336='TaxCred&amp;Subs'!$D$123:$D$127)*($H2336='TaxCred&amp;Subs'!$C$123:$C$127)*($H2336&lt;='TaxCred&amp;Subs'!$C$129),'TaxCred&amp;Subs'!$E$123:$E$127,0))</f>
        <v>1000</v>
      </c>
      <c r="R2336" s="174">
        <v>0</v>
      </c>
      <c r="S2336" s="126">
        <v>4</v>
      </c>
      <c r="T2336" s="126" t="s">
        <v>248</v>
      </c>
      <c r="V2336" s="153" t="str">
        <f t="array" ref="V2336">INDEX(xlRTCLNAME,MATCH(1,(xlRTCLENDU=1)*(xlRTCLEQCL=$D2336),0))</f>
        <v>NG_RAD</v>
      </c>
      <c r="W2336" s="153" t="str">
        <f t="array" ref="W2336">INDEX(xlRTCLNAME,MATCH(1,(xlRTCLENDU=2)*(xlRTCLEQCL=$F2336),0))</f>
        <v>CENT_AIR</v>
      </c>
      <c r="X2336" s="153" t="str">
        <f t="array" ref="X2336">INDEX(xlRTTYNAME,MATCH(1,(xlRTTYENDU=1)*(xlRTTYEQCL=$D2336)*(xlRTEQTYPE=$E2336),0))</f>
        <v>NG_RAD3</v>
      </c>
      <c r="Y2336" s="153" t="str">
        <f t="array" ref="Y2336">INDEX(xlRTTYNAME,MATCH(1,(xlRTTYENDU=2)*(xlRTTYEQCL=$F2336)*(xlRTEQTYPE=$G2336),0))</f>
        <v>CENT_AIR3</v>
      </c>
    </row>
    <row r="2337" spans="2:25" x14ac:dyDescent="0.2">
      <c r="B2337" s="49">
        <v>7</v>
      </c>
      <c r="C2337" s="49">
        <v>3</v>
      </c>
      <c r="D2337" s="49">
        <v>4</v>
      </c>
      <c r="E2337" s="49">
        <v>12</v>
      </c>
      <c r="F2337" s="49">
        <v>2</v>
      </c>
      <c r="G2337" s="49">
        <v>7</v>
      </c>
      <c r="H2337" s="49">
        <v>2023</v>
      </c>
      <c r="I2337" s="49">
        <v>2032</v>
      </c>
      <c r="J2337" s="50">
        <v>1.0826</v>
      </c>
      <c r="K2337" s="50">
        <v>1.0412999999999999</v>
      </c>
      <c r="L2337" s="50">
        <v>0.80110000000000003</v>
      </c>
      <c r="M2337" s="50">
        <v>1.0165999999999999</v>
      </c>
      <c r="N2337" s="50">
        <v>0.8125</v>
      </c>
      <c r="O2337" s="50">
        <v>1.0538000000000001</v>
      </c>
      <c r="P2337" s="49">
        <v>2912</v>
      </c>
      <c r="Q2337" s="51">
        <f t="array" ref="Q2337">SUM(IF(($S2337&gt;=4)*($C2337='TaxCred&amp;Subs'!$D$123:$D$127)*($H2337='TaxCred&amp;Subs'!$C$123:$C$127)*($H2337&lt;='TaxCred&amp;Subs'!$C$129),'TaxCred&amp;Subs'!$E$123:$E$127,0))</f>
        <v>2500</v>
      </c>
      <c r="R2337" s="171">
        <v>0</v>
      </c>
      <c r="S2337" s="49">
        <v>4</v>
      </c>
      <c r="T2337" s="49" t="s">
        <v>248</v>
      </c>
      <c r="V2337" s="153" t="str">
        <f t="array" ref="V2337">INDEX(xlRTCLNAME,MATCH(1,(xlRTCLENDU=1)*(xlRTCLEQCL=$D2337),0))</f>
        <v>NG_RAD</v>
      </c>
      <c r="W2337" s="153" t="str">
        <f t="array" ref="W2337">INDEX(xlRTCLNAME,MATCH(1,(xlRTCLENDU=2)*(xlRTCLEQCL=$F2337),0))</f>
        <v>CENT_AIR</v>
      </c>
      <c r="X2337" s="153" t="str">
        <f t="array" ref="X2337">INDEX(xlRTTYNAME,MATCH(1,(xlRTTYENDU=1)*(xlRTTYEQCL=$D2337)*(xlRTEQTYPE=$E2337),0))</f>
        <v>NG_RAD3</v>
      </c>
      <c r="Y2337" s="153" t="str">
        <f t="array" ref="Y2337">INDEX(xlRTTYNAME,MATCH(1,(xlRTTYENDU=2)*(xlRTTYEQCL=$F2337)*(xlRTEQTYPE=$G2337),0))</f>
        <v>CENT_AIR3</v>
      </c>
    </row>
    <row r="2338" spans="2:25" x14ac:dyDescent="0.2">
      <c r="B2338" s="126">
        <v>7</v>
      </c>
      <c r="C2338" s="126">
        <v>3</v>
      </c>
      <c r="D2338" s="126">
        <v>4</v>
      </c>
      <c r="E2338" s="126">
        <v>12</v>
      </c>
      <c r="F2338" s="126">
        <v>2</v>
      </c>
      <c r="G2338" s="126">
        <v>7</v>
      </c>
      <c r="H2338" s="159">
        <v>2033</v>
      </c>
      <c r="I2338" s="159">
        <v>2050</v>
      </c>
      <c r="J2338" s="127">
        <v>1.0826</v>
      </c>
      <c r="K2338" s="127">
        <v>1.0412999999999999</v>
      </c>
      <c r="L2338" s="127">
        <v>0.80110000000000003</v>
      </c>
      <c r="M2338" s="127">
        <v>1.0165999999999999</v>
      </c>
      <c r="N2338" s="127">
        <v>0.8125</v>
      </c>
      <c r="O2338" s="127">
        <v>1.0538000000000001</v>
      </c>
      <c r="P2338" s="126">
        <v>2912</v>
      </c>
      <c r="Q2338" s="128">
        <f t="array" ref="Q2338">SUM(IF(($S2338&gt;=4)*($C2338='TaxCred&amp;Subs'!$D$123:$D$127)*($H2338='TaxCred&amp;Subs'!$C$123:$C$127)*($H2338&lt;='TaxCred&amp;Subs'!$C$129),'TaxCred&amp;Subs'!$E$123:$E$127,0))</f>
        <v>0</v>
      </c>
      <c r="R2338" s="174">
        <v>0</v>
      </c>
      <c r="S2338" s="126">
        <v>4</v>
      </c>
      <c r="T2338" s="126" t="s">
        <v>248</v>
      </c>
      <c r="V2338" s="153" t="str">
        <f t="array" ref="V2338">INDEX(xlRTCLNAME,MATCH(1,(xlRTCLENDU=1)*(xlRTCLEQCL=$D2338),0))</f>
        <v>NG_RAD</v>
      </c>
      <c r="W2338" s="153" t="str">
        <f t="array" ref="W2338">INDEX(xlRTCLNAME,MATCH(1,(xlRTCLENDU=2)*(xlRTCLEQCL=$F2338),0))</f>
        <v>CENT_AIR</v>
      </c>
      <c r="X2338" s="153" t="str">
        <f t="array" ref="X2338">INDEX(xlRTTYNAME,MATCH(1,(xlRTTYENDU=1)*(xlRTTYEQCL=$D2338)*(xlRTEQTYPE=$E2338),0))</f>
        <v>NG_RAD3</v>
      </c>
      <c r="Y2338" s="153" t="str">
        <f t="array" ref="Y2338">INDEX(xlRTTYNAME,MATCH(1,(xlRTTYENDU=2)*(xlRTTYEQCL=$F2338)*(xlRTEQTYPE=$G2338),0))</f>
        <v>CENT_AIR3</v>
      </c>
    </row>
    <row r="2339" spans="2:25" x14ac:dyDescent="0.2">
      <c r="B2339" s="126">
        <v>9</v>
      </c>
      <c r="C2339" s="126">
        <v>3</v>
      </c>
      <c r="D2339" s="126">
        <v>4</v>
      </c>
      <c r="E2339" s="126">
        <v>12</v>
      </c>
      <c r="F2339" s="126">
        <v>2</v>
      </c>
      <c r="G2339" s="126">
        <v>7</v>
      </c>
      <c r="H2339" s="126">
        <v>2016</v>
      </c>
      <c r="I2339" s="159">
        <v>2022</v>
      </c>
      <c r="J2339" s="127">
        <v>1.0845</v>
      </c>
      <c r="K2339" s="127">
        <v>1.0658000000000001</v>
      </c>
      <c r="L2339" s="127">
        <v>0.90380000000000005</v>
      </c>
      <c r="M2339" s="127">
        <v>1.0827</v>
      </c>
      <c r="N2339" s="127">
        <v>0.84079999999999999</v>
      </c>
      <c r="O2339" s="127">
        <v>1.0538000000000001</v>
      </c>
      <c r="P2339" s="126">
        <v>6554</v>
      </c>
      <c r="Q2339" s="128">
        <f t="array" ref="Q2339">SUM(IF(($S2339&gt;=4)*($C2339='TaxCred&amp;Subs'!$D$123:$D$127)*($H2339='TaxCred&amp;Subs'!$C$123:$C$127)*($H2339&lt;='TaxCred&amp;Subs'!$C$129),'TaxCred&amp;Subs'!$E$123:$E$127,0))</f>
        <v>1000</v>
      </c>
      <c r="R2339" s="174">
        <v>0</v>
      </c>
      <c r="S2339" s="126">
        <v>4</v>
      </c>
      <c r="T2339" s="126" t="s">
        <v>248</v>
      </c>
      <c r="V2339" s="153" t="str">
        <f t="array" ref="V2339">INDEX(xlRTCLNAME,MATCH(1,(xlRTCLENDU=1)*(xlRTCLEQCL=$D2339),0))</f>
        <v>NG_RAD</v>
      </c>
      <c r="W2339" s="153" t="str">
        <f t="array" ref="W2339">INDEX(xlRTCLNAME,MATCH(1,(xlRTCLENDU=2)*(xlRTCLEQCL=$F2339),0))</f>
        <v>CENT_AIR</v>
      </c>
      <c r="X2339" s="153" t="str">
        <f t="array" ref="X2339">INDEX(xlRTTYNAME,MATCH(1,(xlRTTYENDU=1)*(xlRTTYEQCL=$D2339)*(xlRTEQTYPE=$E2339),0))</f>
        <v>NG_RAD3</v>
      </c>
      <c r="Y2339" s="153" t="str">
        <f t="array" ref="Y2339">INDEX(xlRTTYNAME,MATCH(1,(xlRTTYENDU=2)*(xlRTTYEQCL=$F2339)*(xlRTEQTYPE=$G2339),0))</f>
        <v>CENT_AIR3</v>
      </c>
    </row>
    <row r="2340" spans="2:25" x14ac:dyDescent="0.2">
      <c r="B2340" s="49">
        <v>9</v>
      </c>
      <c r="C2340" s="49">
        <v>3</v>
      </c>
      <c r="D2340" s="49">
        <v>4</v>
      </c>
      <c r="E2340" s="49">
        <v>12</v>
      </c>
      <c r="F2340" s="49">
        <v>2</v>
      </c>
      <c r="G2340" s="49">
        <v>7</v>
      </c>
      <c r="H2340" s="49">
        <v>2023</v>
      </c>
      <c r="I2340" s="49">
        <v>2032</v>
      </c>
      <c r="J2340" s="50">
        <v>1.0845</v>
      </c>
      <c r="K2340" s="50">
        <v>1.0658000000000001</v>
      </c>
      <c r="L2340" s="50">
        <v>0.90380000000000005</v>
      </c>
      <c r="M2340" s="50">
        <v>1.0827</v>
      </c>
      <c r="N2340" s="50">
        <v>0.84079999999999999</v>
      </c>
      <c r="O2340" s="50">
        <v>1.0538000000000001</v>
      </c>
      <c r="P2340" s="49">
        <v>6554</v>
      </c>
      <c r="Q2340" s="51">
        <f t="array" ref="Q2340">SUM(IF(($S2340&gt;=4)*($C2340='TaxCred&amp;Subs'!$D$123:$D$127)*($H2340='TaxCred&amp;Subs'!$C$123:$C$127)*($H2340&lt;='TaxCred&amp;Subs'!$C$129),'TaxCred&amp;Subs'!$E$123:$E$127,0))</f>
        <v>2500</v>
      </c>
      <c r="R2340" s="171">
        <v>0</v>
      </c>
      <c r="S2340" s="49">
        <v>4</v>
      </c>
      <c r="T2340" s="49" t="s">
        <v>248</v>
      </c>
      <c r="V2340" s="153" t="str">
        <f t="array" ref="V2340">INDEX(xlRTCLNAME,MATCH(1,(xlRTCLENDU=1)*(xlRTCLEQCL=$D2340),0))</f>
        <v>NG_RAD</v>
      </c>
      <c r="W2340" s="153" t="str">
        <f t="array" ref="W2340">INDEX(xlRTCLNAME,MATCH(1,(xlRTCLENDU=2)*(xlRTCLEQCL=$F2340),0))</f>
        <v>CENT_AIR</v>
      </c>
      <c r="X2340" s="153" t="str">
        <f t="array" ref="X2340">INDEX(xlRTTYNAME,MATCH(1,(xlRTTYENDU=1)*(xlRTTYEQCL=$D2340)*(xlRTEQTYPE=$E2340),0))</f>
        <v>NG_RAD3</v>
      </c>
      <c r="Y2340" s="153" t="str">
        <f t="array" ref="Y2340">INDEX(xlRTTYNAME,MATCH(1,(xlRTTYENDU=2)*(xlRTTYEQCL=$F2340)*(xlRTEQTYPE=$G2340),0))</f>
        <v>CENT_AIR3</v>
      </c>
    </row>
    <row r="2341" spans="2:25" x14ac:dyDescent="0.2">
      <c r="B2341" s="126">
        <v>9</v>
      </c>
      <c r="C2341" s="126">
        <v>3</v>
      </c>
      <c r="D2341" s="126">
        <v>4</v>
      </c>
      <c r="E2341" s="126">
        <v>12</v>
      </c>
      <c r="F2341" s="126">
        <v>2</v>
      </c>
      <c r="G2341" s="126">
        <v>7</v>
      </c>
      <c r="H2341" s="159">
        <v>2033</v>
      </c>
      <c r="I2341" s="159">
        <v>2050</v>
      </c>
      <c r="J2341" s="127">
        <v>1.0845</v>
      </c>
      <c r="K2341" s="127">
        <v>1.0658000000000001</v>
      </c>
      <c r="L2341" s="127">
        <v>0.90380000000000005</v>
      </c>
      <c r="M2341" s="127">
        <v>1.0827</v>
      </c>
      <c r="N2341" s="127">
        <v>0.84079999999999999</v>
      </c>
      <c r="O2341" s="127">
        <v>1.0538000000000001</v>
      </c>
      <c r="P2341" s="126">
        <v>6554</v>
      </c>
      <c r="Q2341" s="128">
        <f t="array" ref="Q2341">SUM(IF(($S2341&gt;=4)*($C2341='TaxCred&amp;Subs'!$D$123:$D$127)*($H2341='TaxCred&amp;Subs'!$C$123:$C$127)*($H2341&lt;='TaxCred&amp;Subs'!$C$129),'TaxCred&amp;Subs'!$E$123:$E$127,0))</f>
        <v>0</v>
      </c>
      <c r="R2341" s="174">
        <v>0</v>
      </c>
      <c r="S2341" s="126">
        <v>4</v>
      </c>
      <c r="T2341" s="126" t="s">
        <v>248</v>
      </c>
      <c r="V2341" s="153" t="str">
        <f t="array" ref="V2341">INDEX(xlRTCLNAME,MATCH(1,(xlRTCLENDU=1)*(xlRTCLEQCL=$D2341),0))</f>
        <v>NG_RAD</v>
      </c>
      <c r="W2341" s="153" t="str">
        <f t="array" ref="W2341">INDEX(xlRTCLNAME,MATCH(1,(xlRTCLENDU=2)*(xlRTCLEQCL=$F2341),0))</f>
        <v>CENT_AIR</v>
      </c>
      <c r="X2341" s="153" t="str">
        <f t="array" ref="X2341">INDEX(xlRTTYNAME,MATCH(1,(xlRTTYENDU=1)*(xlRTTYEQCL=$D2341)*(xlRTEQTYPE=$E2341),0))</f>
        <v>NG_RAD3</v>
      </c>
      <c r="Y2341" s="153" t="str">
        <f t="array" ref="Y2341">INDEX(xlRTTYNAME,MATCH(1,(xlRTTYENDU=2)*(xlRTTYEQCL=$F2341)*(xlRTEQTYPE=$G2341),0))</f>
        <v>CENT_AIR3</v>
      </c>
    </row>
    <row r="2342" spans="2:25" x14ac:dyDescent="0.2">
      <c r="B2342" s="129">
        <v>2</v>
      </c>
      <c r="C2342" s="129">
        <v>3</v>
      </c>
      <c r="D2342" s="129">
        <v>5</v>
      </c>
      <c r="E2342" s="129">
        <v>16</v>
      </c>
      <c r="F2342" s="129">
        <v>2</v>
      </c>
      <c r="G2342" s="129">
        <v>7</v>
      </c>
      <c r="H2342" s="129">
        <v>2016</v>
      </c>
      <c r="I2342" s="38">
        <v>2022</v>
      </c>
      <c r="J2342" s="130">
        <v>1.0873999999999999</v>
      </c>
      <c r="K2342" s="130">
        <v>1.0638000000000001</v>
      </c>
      <c r="L2342" s="130">
        <v>0.74980000000000002</v>
      </c>
      <c r="M2342" s="130">
        <v>1.1226</v>
      </c>
      <c r="N2342" s="130">
        <v>0.84279999999999999</v>
      </c>
      <c r="O2342" s="130">
        <v>1.0538000000000001</v>
      </c>
      <c r="P2342" s="129">
        <v>6885</v>
      </c>
      <c r="Q2342" s="128">
        <f t="array" ref="Q2342">SUM(IF(($S2342&gt;=4)*($C2342='TaxCred&amp;Subs'!$D$123:$D$127)*($H2342='TaxCred&amp;Subs'!$C$123:$C$127)*($H2342&lt;='TaxCred&amp;Subs'!$C$129),'TaxCred&amp;Subs'!$E$123:$E$127,0))</f>
        <v>1000</v>
      </c>
      <c r="R2342" s="174">
        <v>0</v>
      </c>
      <c r="S2342" s="129">
        <v>4</v>
      </c>
      <c r="T2342" s="129" t="s">
        <v>248</v>
      </c>
      <c r="U2342" s="155" t="s">
        <v>235</v>
      </c>
      <c r="V2342" s="153" t="str">
        <f t="array" ref="V2342">INDEX(xlRTCLNAME,MATCH(1,(xlRTCLENDU=1)*(xlRTCLEQCL=$D2342),0))</f>
        <v>KERO_FA</v>
      </c>
      <c r="W2342" s="153" t="str">
        <f t="array" ref="W2342">INDEX(xlRTCLNAME,MATCH(1,(xlRTCLENDU=2)*(xlRTCLEQCL=$F2342),0))</f>
        <v>CENT_AIR</v>
      </c>
      <c r="X2342" s="153" t="str">
        <f t="array" ref="X2342">INDEX(xlRTTYNAME,MATCH(1,(xlRTTYENDU=1)*(xlRTTYEQCL=$D2342)*(xlRTEQTYPE=$E2342),0))</f>
        <v>KERO_FA3</v>
      </c>
      <c r="Y2342" s="153" t="str">
        <f t="array" ref="Y2342">INDEX(xlRTTYNAME,MATCH(1,(xlRTTYENDU=2)*(xlRTTYEQCL=$F2342)*(xlRTEQTYPE=$G2342),0))</f>
        <v>CENT_AIR3</v>
      </c>
    </row>
    <row r="2343" spans="2:25" x14ac:dyDescent="0.2">
      <c r="B2343" s="131">
        <v>2</v>
      </c>
      <c r="C2343" s="131">
        <v>3</v>
      </c>
      <c r="D2343" s="131">
        <v>5</v>
      </c>
      <c r="E2343" s="131">
        <v>16</v>
      </c>
      <c r="F2343" s="131">
        <v>2</v>
      </c>
      <c r="G2343" s="131">
        <v>7</v>
      </c>
      <c r="H2343" s="131">
        <v>2023</v>
      </c>
      <c r="I2343" s="131">
        <v>2032</v>
      </c>
      <c r="J2343" s="132">
        <v>1.0873999999999999</v>
      </c>
      <c r="K2343" s="132">
        <v>1.0638000000000001</v>
      </c>
      <c r="L2343" s="132">
        <v>0.74980000000000002</v>
      </c>
      <c r="M2343" s="132">
        <v>1.1226</v>
      </c>
      <c r="N2343" s="132">
        <v>0.84279999999999999</v>
      </c>
      <c r="O2343" s="132">
        <v>1.0538000000000001</v>
      </c>
      <c r="P2343" s="131">
        <v>6885</v>
      </c>
      <c r="Q2343" s="51">
        <f t="array" ref="Q2343">SUM(IF(($S2343&gt;=4)*($C2343='TaxCred&amp;Subs'!$D$123:$D$127)*($H2343='TaxCred&amp;Subs'!$C$123:$C$127)*($H2343&lt;='TaxCred&amp;Subs'!$C$129),'TaxCred&amp;Subs'!$E$123:$E$127,0))</f>
        <v>2500</v>
      </c>
      <c r="R2343" s="171">
        <v>0</v>
      </c>
      <c r="S2343" s="131">
        <v>4</v>
      </c>
      <c r="T2343" s="131" t="s">
        <v>248</v>
      </c>
      <c r="U2343" s="155" t="s">
        <v>235</v>
      </c>
      <c r="V2343" s="153" t="str">
        <f t="array" ref="V2343">INDEX(xlRTCLNAME,MATCH(1,(xlRTCLENDU=1)*(xlRTCLEQCL=$D2343),0))</f>
        <v>KERO_FA</v>
      </c>
      <c r="W2343" s="153" t="str">
        <f t="array" ref="W2343">INDEX(xlRTCLNAME,MATCH(1,(xlRTCLENDU=2)*(xlRTCLEQCL=$F2343),0))</f>
        <v>CENT_AIR</v>
      </c>
      <c r="X2343" s="153" t="str">
        <f t="array" ref="X2343">INDEX(xlRTTYNAME,MATCH(1,(xlRTTYENDU=1)*(xlRTTYEQCL=$D2343)*(xlRTEQTYPE=$E2343),0))</f>
        <v>KERO_FA3</v>
      </c>
      <c r="Y2343" s="153" t="str">
        <f t="array" ref="Y2343">INDEX(xlRTTYNAME,MATCH(1,(xlRTTYENDU=2)*(xlRTTYEQCL=$F2343)*(xlRTEQTYPE=$G2343),0))</f>
        <v>CENT_AIR3</v>
      </c>
    </row>
    <row r="2344" spans="2:25" x14ac:dyDescent="0.2">
      <c r="B2344" s="129">
        <v>2</v>
      </c>
      <c r="C2344" s="129">
        <v>3</v>
      </c>
      <c r="D2344" s="129">
        <v>5</v>
      </c>
      <c r="E2344" s="129">
        <v>16</v>
      </c>
      <c r="F2344" s="129">
        <v>2</v>
      </c>
      <c r="G2344" s="129">
        <v>7</v>
      </c>
      <c r="H2344" s="38">
        <v>2033</v>
      </c>
      <c r="I2344" s="129">
        <v>2050</v>
      </c>
      <c r="J2344" s="130">
        <v>1.0873999999999999</v>
      </c>
      <c r="K2344" s="130">
        <v>1.0638000000000001</v>
      </c>
      <c r="L2344" s="130">
        <v>0.74980000000000002</v>
      </c>
      <c r="M2344" s="130">
        <v>1.1226</v>
      </c>
      <c r="N2344" s="130">
        <v>0.84279999999999999</v>
      </c>
      <c r="O2344" s="130">
        <v>1.0538000000000001</v>
      </c>
      <c r="P2344" s="129">
        <v>6885</v>
      </c>
      <c r="Q2344" s="128">
        <f t="array" ref="Q2344">SUM(IF(($S2344&gt;=4)*($C2344='TaxCred&amp;Subs'!$D$123:$D$127)*($H2344='TaxCred&amp;Subs'!$C$123:$C$127)*($H2344&lt;='TaxCred&amp;Subs'!$C$129),'TaxCred&amp;Subs'!$E$123:$E$127,0))</f>
        <v>0</v>
      </c>
      <c r="R2344" s="174">
        <v>0</v>
      </c>
      <c r="S2344" s="129">
        <v>4</v>
      </c>
      <c r="T2344" s="129" t="s">
        <v>248</v>
      </c>
      <c r="U2344" s="155" t="s">
        <v>235</v>
      </c>
      <c r="V2344" s="153" t="str">
        <f t="array" ref="V2344">INDEX(xlRTCLNAME,MATCH(1,(xlRTCLENDU=1)*(xlRTCLEQCL=$D2344),0))</f>
        <v>KERO_FA</v>
      </c>
      <c r="W2344" s="153" t="str">
        <f t="array" ref="W2344">INDEX(xlRTCLNAME,MATCH(1,(xlRTCLENDU=2)*(xlRTCLEQCL=$F2344),0))</f>
        <v>CENT_AIR</v>
      </c>
      <c r="X2344" s="153" t="str">
        <f t="array" ref="X2344">INDEX(xlRTTYNAME,MATCH(1,(xlRTTYENDU=1)*(xlRTTYEQCL=$D2344)*(xlRTEQTYPE=$E2344),0))</f>
        <v>KERO_FA3</v>
      </c>
      <c r="Y2344" s="153" t="str">
        <f t="array" ref="Y2344">INDEX(xlRTTYNAME,MATCH(1,(xlRTTYENDU=2)*(xlRTTYEQCL=$F2344)*(xlRTEQTYPE=$G2344),0))</f>
        <v>CENT_AIR3</v>
      </c>
    </row>
    <row r="2345" spans="2:25" x14ac:dyDescent="0.2">
      <c r="B2345" s="129">
        <v>5</v>
      </c>
      <c r="C2345" s="129">
        <v>3</v>
      </c>
      <c r="D2345" s="129">
        <v>5</v>
      </c>
      <c r="E2345" s="129">
        <v>16</v>
      </c>
      <c r="F2345" s="129">
        <v>2</v>
      </c>
      <c r="G2345" s="129">
        <v>7</v>
      </c>
      <c r="H2345" s="129">
        <v>2016</v>
      </c>
      <c r="I2345" s="38">
        <v>2022</v>
      </c>
      <c r="J2345" s="130">
        <v>1.0667</v>
      </c>
      <c r="K2345" s="130">
        <v>1.0568</v>
      </c>
      <c r="L2345" s="130">
        <v>0.77539999999999998</v>
      </c>
      <c r="M2345" s="130">
        <v>1.0201</v>
      </c>
      <c r="N2345" s="130">
        <v>0.83260000000000001</v>
      </c>
      <c r="O2345" s="130">
        <v>1.0538000000000001</v>
      </c>
      <c r="P2345" s="129">
        <v>4952</v>
      </c>
      <c r="Q2345" s="128">
        <f t="array" ref="Q2345">SUM(IF(($S2345&gt;=4)*($C2345='TaxCred&amp;Subs'!$D$123:$D$127)*($H2345='TaxCred&amp;Subs'!$C$123:$C$127)*($H2345&lt;='TaxCred&amp;Subs'!$C$129),'TaxCred&amp;Subs'!$E$123:$E$127,0))</f>
        <v>1000</v>
      </c>
      <c r="R2345" s="174">
        <v>0</v>
      </c>
      <c r="S2345" s="129">
        <v>4</v>
      </c>
      <c r="T2345" s="129" t="s">
        <v>248</v>
      </c>
      <c r="U2345" s="155" t="s">
        <v>235</v>
      </c>
      <c r="V2345" s="153" t="str">
        <f t="array" ref="V2345">INDEX(xlRTCLNAME,MATCH(1,(xlRTCLENDU=1)*(xlRTCLEQCL=$D2345),0))</f>
        <v>KERO_FA</v>
      </c>
      <c r="W2345" s="153" t="str">
        <f t="array" ref="W2345">INDEX(xlRTCLNAME,MATCH(1,(xlRTCLENDU=2)*(xlRTCLEQCL=$F2345),0))</f>
        <v>CENT_AIR</v>
      </c>
      <c r="X2345" s="153" t="str">
        <f t="array" ref="X2345">INDEX(xlRTTYNAME,MATCH(1,(xlRTTYENDU=1)*(xlRTTYEQCL=$D2345)*(xlRTEQTYPE=$E2345),0))</f>
        <v>KERO_FA3</v>
      </c>
      <c r="Y2345" s="153" t="str">
        <f t="array" ref="Y2345">INDEX(xlRTTYNAME,MATCH(1,(xlRTTYENDU=2)*(xlRTTYEQCL=$F2345)*(xlRTEQTYPE=$G2345),0))</f>
        <v>CENT_AIR3</v>
      </c>
    </row>
    <row r="2346" spans="2:25" x14ac:dyDescent="0.2">
      <c r="B2346" s="131">
        <v>5</v>
      </c>
      <c r="C2346" s="131">
        <v>3</v>
      </c>
      <c r="D2346" s="131">
        <v>5</v>
      </c>
      <c r="E2346" s="131">
        <v>16</v>
      </c>
      <c r="F2346" s="131">
        <v>2</v>
      </c>
      <c r="G2346" s="131">
        <v>7</v>
      </c>
      <c r="H2346" s="131">
        <v>2023</v>
      </c>
      <c r="I2346" s="131">
        <v>2032</v>
      </c>
      <c r="J2346" s="132">
        <v>1.0667</v>
      </c>
      <c r="K2346" s="132">
        <v>1.0568</v>
      </c>
      <c r="L2346" s="132">
        <v>0.77539999999999998</v>
      </c>
      <c r="M2346" s="132">
        <v>1.0201</v>
      </c>
      <c r="N2346" s="132">
        <v>0.83260000000000001</v>
      </c>
      <c r="O2346" s="132">
        <v>1.0538000000000001</v>
      </c>
      <c r="P2346" s="131">
        <v>4952</v>
      </c>
      <c r="Q2346" s="51">
        <f t="array" ref="Q2346">SUM(IF(($S2346&gt;=4)*($C2346='TaxCred&amp;Subs'!$D$123:$D$127)*($H2346='TaxCred&amp;Subs'!$C$123:$C$127)*($H2346&lt;='TaxCred&amp;Subs'!$C$129),'TaxCred&amp;Subs'!$E$123:$E$127,0))</f>
        <v>2500</v>
      </c>
      <c r="R2346" s="171">
        <v>0</v>
      </c>
      <c r="S2346" s="131">
        <v>4</v>
      </c>
      <c r="T2346" s="131" t="s">
        <v>248</v>
      </c>
      <c r="U2346" s="155" t="s">
        <v>235</v>
      </c>
      <c r="V2346" s="153" t="str">
        <f t="array" ref="V2346">INDEX(xlRTCLNAME,MATCH(1,(xlRTCLENDU=1)*(xlRTCLEQCL=$D2346),0))</f>
        <v>KERO_FA</v>
      </c>
      <c r="W2346" s="153" t="str">
        <f t="array" ref="W2346">INDEX(xlRTCLNAME,MATCH(1,(xlRTCLENDU=2)*(xlRTCLEQCL=$F2346),0))</f>
        <v>CENT_AIR</v>
      </c>
      <c r="X2346" s="153" t="str">
        <f t="array" ref="X2346">INDEX(xlRTTYNAME,MATCH(1,(xlRTTYENDU=1)*(xlRTTYEQCL=$D2346)*(xlRTEQTYPE=$E2346),0))</f>
        <v>KERO_FA3</v>
      </c>
      <c r="Y2346" s="153" t="str">
        <f t="array" ref="Y2346">INDEX(xlRTTYNAME,MATCH(1,(xlRTTYENDU=2)*(xlRTTYEQCL=$F2346)*(xlRTEQTYPE=$G2346),0))</f>
        <v>CENT_AIR3</v>
      </c>
    </row>
    <row r="2347" spans="2:25" x14ac:dyDescent="0.2">
      <c r="B2347" s="129">
        <v>5</v>
      </c>
      <c r="C2347" s="129">
        <v>3</v>
      </c>
      <c r="D2347" s="129">
        <v>5</v>
      </c>
      <c r="E2347" s="129">
        <v>16</v>
      </c>
      <c r="F2347" s="129">
        <v>2</v>
      </c>
      <c r="G2347" s="129">
        <v>7</v>
      </c>
      <c r="H2347" s="38">
        <v>2033</v>
      </c>
      <c r="I2347" s="129">
        <v>2050</v>
      </c>
      <c r="J2347" s="130">
        <v>1.0667</v>
      </c>
      <c r="K2347" s="130">
        <v>1.0568</v>
      </c>
      <c r="L2347" s="130">
        <v>0.77539999999999998</v>
      </c>
      <c r="M2347" s="130">
        <v>1.0201</v>
      </c>
      <c r="N2347" s="130">
        <v>0.83260000000000001</v>
      </c>
      <c r="O2347" s="130">
        <v>1.0538000000000001</v>
      </c>
      <c r="P2347" s="129">
        <v>4952</v>
      </c>
      <c r="Q2347" s="128">
        <f t="array" ref="Q2347">SUM(IF(($S2347&gt;=4)*($C2347='TaxCred&amp;Subs'!$D$123:$D$127)*($H2347='TaxCred&amp;Subs'!$C$123:$C$127)*($H2347&lt;='TaxCred&amp;Subs'!$C$129),'TaxCred&amp;Subs'!$E$123:$E$127,0))</f>
        <v>0</v>
      </c>
      <c r="R2347" s="174">
        <v>0</v>
      </c>
      <c r="S2347" s="129">
        <v>4</v>
      </c>
      <c r="T2347" s="129" t="s">
        <v>248</v>
      </c>
      <c r="U2347" s="155" t="s">
        <v>235</v>
      </c>
      <c r="V2347" s="153" t="str">
        <f t="array" ref="V2347">INDEX(xlRTCLNAME,MATCH(1,(xlRTCLENDU=1)*(xlRTCLEQCL=$D2347),0))</f>
        <v>KERO_FA</v>
      </c>
      <c r="W2347" s="153" t="str">
        <f t="array" ref="W2347">INDEX(xlRTCLNAME,MATCH(1,(xlRTCLENDU=2)*(xlRTCLEQCL=$F2347),0))</f>
        <v>CENT_AIR</v>
      </c>
      <c r="X2347" s="153" t="str">
        <f t="array" ref="X2347">INDEX(xlRTTYNAME,MATCH(1,(xlRTTYENDU=1)*(xlRTTYEQCL=$D2347)*(xlRTEQTYPE=$E2347),0))</f>
        <v>KERO_FA3</v>
      </c>
      <c r="Y2347" s="153" t="str">
        <f t="array" ref="Y2347">INDEX(xlRTTYNAME,MATCH(1,(xlRTTYENDU=2)*(xlRTTYEQCL=$F2347)*(xlRTEQTYPE=$G2347),0))</f>
        <v>CENT_AIR3</v>
      </c>
    </row>
    <row r="2348" spans="2:25" x14ac:dyDescent="0.2">
      <c r="B2348" s="129">
        <v>6</v>
      </c>
      <c r="C2348" s="129">
        <v>3</v>
      </c>
      <c r="D2348" s="129">
        <v>5</v>
      </c>
      <c r="E2348" s="129">
        <v>16</v>
      </c>
      <c r="F2348" s="129">
        <v>2</v>
      </c>
      <c r="G2348" s="129">
        <v>7</v>
      </c>
      <c r="H2348" s="129">
        <v>2016</v>
      </c>
      <c r="I2348" s="38">
        <v>2022</v>
      </c>
      <c r="J2348" s="130">
        <v>1.0896999999999999</v>
      </c>
      <c r="K2348" s="130">
        <v>1.0723</v>
      </c>
      <c r="L2348" s="130">
        <v>0.82430000000000003</v>
      </c>
      <c r="M2348" s="130">
        <v>1.0309999999999999</v>
      </c>
      <c r="N2348" s="130">
        <v>0.80269999999999997</v>
      </c>
      <c r="O2348" s="130">
        <v>1.0538000000000001</v>
      </c>
      <c r="P2348" s="129">
        <v>4810</v>
      </c>
      <c r="Q2348" s="128">
        <f t="array" ref="Q2348">SUM(IF(($S2348&gt;=4)*($C2348='TaxCred&amp;Subs'!$D$123:$D$127)*($H2348='TaxCred&amp;Subs'!$C$123:$C$127)*($H2348&lt;='TaxCred&amp;Subs'!$C$129),'TaxCred&amp;Subs'!$E$123:$E$127,0))</f>
        <v>1000</v>
      </c>
      <c r="R2348" s="174">
        <v>0</v>
      </c>
      <c r="S2348" s="129">
        <v>4</v>
      </c>
      <c r="T2348" s="129" t="s">
        <v>248</v>
      </c>
      <c r="U2348" s="155" t="s">
        <v>235</v>
      </c>
      <c r="V2348" s="153" t="str">
        <f t="array" ref="V2348">INDEX(xlRTCLNAME,MATCH(1,(xlRTCLENDU=1)*(xlRTCLEQCL=$D2348),0))</f>
        <v>KERO_FA</v>
      </c>
      <c r="W2348" s="153" t="str">
        <f t="array" ref="W2348">INDEX(xlRTCLNAME,MATCH(1,(xlRTCLENDU=2)*(xlRTCLEQCL=$F2348),0))</f>
        <v>CENT_AIR</v>
      </c>
      <c r="X2348" s="153" t="str">
        <f t="array" ref="X2348">INDEX(xlRTTYNAME,MATCH(1,(xlRTTYENDU=1)*(xlRTTYEQCL=$D2348)*(xlRTEQTYPE=$E2348),0))</f>
        <v>KERO_FA3</v>
      </c>
      <c r="Y2348" s="153" t="str">
        <f t="array" ref="Y2348">INDEX(xlRTTYNAME,MATCH(1,(xlRTTYENDU=2)*(xlRTTYEQCL=$F2348)*(xlRTEQTYPE=$G2348),0))</f>
        <v>CENT_AIR3</v>
      </c>
    </row>
    <row r="2349" spans="2:25" x14ac:dyDescent="0.2">
      <c r="B2349" s="131">
        <v>6</v>
      </c>
      <c r="C2349" s="131">
        <v>3</v>
      </c>
      <c r="D2349" s="131">
        <v>5</v>
      </c>
      <c r="E2349" s="131">
        <v>16</v>
      </c>
      <c r="F2349" s="131">
        <v>2</v>
      </c>
      <c r="G2349" s="131">
        <v>7</v>
      </c>
      <c r="H2349" s="131">
        <v>2023</v>
      </c>
      <c r="I2349" s="131">
        <v>2032</v>
      </c>
      <c r="J2349" s="132">
        <v>1.0896999999999999</v>
      </c>
      <c r="K2349" s="132">
        <v>1.0723</v>
      </c>
      <c r="L2349" s="132">
        <v>0.82430000000000003</v>
      </c>
      <c r="M2349" s="132">
        <v>1.0309999999999999</v>
      </c>
      <c r="N2349" s="132">
        <v>0.80269999999999997</v>
      </c>
      <c r="O2349" s="132">
        <v>1.0538000000000001</v>
      </c>
      <c r="P2349" s="131">
        <v>4810</v>
      </c>
      <c r="Q2349" s="51">
        <f t="array" ref="Q2349">SUM(IF(($S2349&gt;=4)*($C2349='TaxCred&amp;Subs'!$D$123:$D$127)*($H2349='TaxCred&amp;Subs'!$C$123:$C$127)*($H2349&lt;='TaxCred&amp;Subs'!$C$129),'TaxCred&amp;Subs'!$E$123:$E$127,0))</f>
        <v>2500</v>
      </c>
      <c r="R2349" s="171">
        <v>0</v>
      </c>
      <c r="S2349" s="131">
        <v>4</v>
      </c>
      <c r="T2349" s="131" t="s">
        <v>248</v>
      </c>
      <c r="U2349" s="155" t="s">
        <v>235</v>
      </c>
      <c r="V2349" s="153" t="str">
        <f t="array" ref="V2349">INDEX(xlRTCLNAME,MATCH(1,(xlRTCLENDU=1)*(xlRTCLEQCL=$D2349),0))</f>
        <v>KERO_FA</v>
      </c>
      <c r="W2349" s="153" t="str">
        <f t="array" ref="W2349">INDEX(xlRTCLNAME,MATCH(1,(xlRTCLENDU=2)*(xlRTCLEQCL=$F2349),0))</f>
        <v>CENT_AIR</v>
      </c>
      <c r="X2349" s="153" t="str">
        <f t="array" ref="X2349">INDEX(xlRTTYNAME,MATCH(1,(xlRTTYENDU=1)*(xlRTTYEQCL=$D2349)*(xlRTEQTYPE=$E2349),0))</f>
        <v>KERO_FA3</v>
      </c>
      <c r="Y2349" s="153" t="str">
        <f t="array" ref="Y2349">INDEX(xlRTTYNAME,MATCH(1,(xlRTTYENDU=2)*(xlRTTYEQCL=$F2349)*(xlRTEQTYPE=$G2349),0))</f>
        <v>CENT_AIR3</v>
      </c>
    </row>
    <row r="2350" spans="2:25" x14ac:dyDescent="0.2">
      <c r="B2350" s="129">
        <v>6</v>
      </c>
      <c r="C2350" s="129">
        <v>3</v>
      </c>
      <c r="D2350" s="129">
        <v>5</v>
      </c>
      <c r="E2350" s="129">
        <v>16</v>
      </c>
      <c r="F2350" s="129">
        <v>2</v>
      </c>
      <c r="G2350" s="129">
        <v>7</v>
      </c>
      <c r="H2350" s="38">
        <v>2033</v>
      </c>
      <c r="I2350" s="129">
        <v>2050</v>
      </c>
      <c r="J2350" s="130">
        <v>1.0896999999999999</v>
      </c>
      <c r="K2350" s="130">
        <v>1.0723</v>
      </c>
      <c r="L2350" s="130">
        <v>0.82430000000000003</v>
      </c>
      <c r="M2350" s="130">
        <v>1.0309999999999999</v>
      </c>
      <c r="N2350" s="130">
        <v>0.80269999999999997</v>
      </c>
      <c r="O2350" s="130">
        <v>1.0538000000000001</v>
      </c>
      <c r="P2350" s="129">
        <v>4810</v>
      </c>
      <c r="Q2350" s="128">
        <f t="array" ref="Q2350">SUM(IF(($S2350&gt;=4)*($C2350='TaxCred&amp;Subs'!$D$123:$D$127)*($H2350='TaxCred&amp;Subs'!$C$123:$C$127)*($H2350&lt;='TaxCred&amp;Subs'!$C$129),'TaxCred&amp;Subs'!$E$123:$E$127,0))</f>
        <v>0</v>
      </c>
      <c r="R2350" s="174">
        <v>0</v>
      </c>
      <c r="S2350" s="129">
        <v>4</v>
      </c>
      <c r="T2350" s="129" t="s">
        <v>248</v>
      </c>
      <c r="U2350" s="155" t="s">
        <v>235</v>
      </c>
      <c r="V2350" s="153" t="str">
        <f t="array" ref="V2350">INDEX(xlRTCLNAME,MATCH(1,(xlRTCLENDU=1)*(xlRTCLEQCL=$D2350),0))</f>
        <v>KERO_FA</v>
      </c>
      <c r="W2350" s="153" t="str">
        <f t="array" ref="W2350">INDEX(xlRTCLNAME,MATCH(1,(xlRTCLENDU=2)*(xlRTCLEQCL=$F2350),0))</f>
        <v>CENT_AIR</v>
      </c>
      <c r="X2350" s="153" t="str">
        <f t="array" ref="X2350">INDEX(xlRTTYNAME,MATCH(1,(xlRTTYENDU=1)*(xlRTTYEQCL=$D2350)*(xlRTEQTYPE=$E2350),0))</f>
        <v>KERO_FA3</v>
      </c>
      <c r="Y2350" s="153" t="str">
        <f t="array" ref="Y2350">INDEX(xlRTTYNAME,MATCH(1,(xlRTTYENDU=2)*(xlRTTYEQCL=$F2350)*(xlRTEQTYPE=$G2350),0))</f>
        <v>CENT_AIR3</v>
      </c>
    </row>
    <row r="2351" spans="2:25" x14ac:dyDescent="0.2">
      <c r="B2351" s="129">
        <v>7</v>
      </c>
      <c r="C2351" s="129">
        <v>3</v>
      </c>
      <c r="D2351" s="129">
        <v>5</v>
      </c>
      <c r="E2351" s="129">
        <v>16</v>
      </c>
      <c r="F2351" s="129">
        <v>2</v>
      </c>
      <c r="G2351" s="129">
        <v>7</v>
      </c>
      <c r="H2351" s="129">
        <v>2016</v>
      </c>
      <c r="I2351" s="38">
        <v>2022</v>
      </c>
      <c r="J2351" s="130">
        <v>1.0940000000000001</v>
      </c>
      <c r="K2351" s="130">
        <v>1.0512999999999999</v>
      </c>
      <c r="L2351" s="130">
        <v>0.72770000000000001</v>
      </c>
      <c r="M2351" s="130">
        <v>0.98</v>
      </c>
      <c r="N2351" s="130">
        <v>0.81289999999999996</v>
      </c>
      <c r="O2351" s="130">
        <v>1.0538000000000001</v>
      </c>
      <c r="P2351" s="129">
        <v>4738</v>
      </c>
      <c r="Q2351" s="128">
        <f t="array" ref="Q2351">SUM(IF(($S2351&gt;=4)*($C2351='TaxCred&amp;Subs'!$D$123:$D$127)*($H2351='TaxCred&amp;Subs'!$C$123:$C$127)*($H2351&lt;='TaxCred&amp;Subs'!$C$129),'TaxCred&amp;Subs'!$E$123:$E$127,0))</f>
        <v>1000</v>
      </c>
      <c r="R2351" s="174">
        <v>0</v>
      </c>
      <c r="S2351" s="129">
        <v>4</v>
      </c>
      <c r="T2351" s="129" t="s">
        <v>248</v>
      </c>
      <c r="U2351" s="155" t="s">
        <v>235</v>
      </c>
      <c r="V2351" s="153" t="str">
        <f t="array" ref="V2351">INDEX(xlRTCLNAME,MATCH(1,(xlRTCLENDU=1)*(xlRTCLEQCL=$D2351),0))</f>
        <v>KERO_FA</v>
      </c>
      <c r="W2351" s="153" t="str">
        <f t="array" ref="W2351">INDEX(xlRTCLNAME,MATCH(1,(xlRTCLENDU=2)*(xlRTCLEQCL=$F2351),0))</f>
        <v>CENT_AIR</v>
      </c>
      <c r="X2351" s="153" t="str">
        <f t="array" ref="X2351">INDEX(xlRTTYNAME,MATCH(1,(xlRTTYENDU=1)*(xlRTTYEQCL=$D2351)*(xlRTEQTYPE=$E2351),0))</f>
        <v>KERO_FA3</v>
      </c>
      <c r="Y2351" s="153" t="str">
        <f t="array" ref="Y2351">INDEX(xlRTTYNAME,MATCH(1,(xlRTTYENDU=2)*(xlRTTYEQCL=$F2351)*(xlRTEQTYPE=$G2351),0))</f>
        <v>CENT_AIR3</v>
      </c>
    </row>
    <row r="2352" spans="2:25" x14ac:dyDescent="0.2">
      <c r="B2352" s="131">
        <v>7</v>
      </c>
      <c r="C2352" s="131">
        <v>3</v>
      </c>
      <c r="D2352" s="131">
        <v>5</v>
      </c>
      <c r="E2352" s="131">
        <v>16</v>
      </c>
      <c r="F2352" s="131">
        <v>2</v>
      </c>
      <c r="G2352" s="131">
        <v>7</v>
      </c>
      <c r="H2352" s="131">
        <v>2023</v>
      </c>
      <c r="I2352" s="131">
        <v>2032</v>
      </c>
      <c r="J2352" s="132">
        <v>1.0940000000000001</v>
      </c>
      <c r="K2352" s="132">
        <v>1.0512999999999999</v>
      </c>
      <c r="L2352" s="132">
        <v>0.72770000000000001</v>
      </c>
      <c r="M2352" s="132">
        <v>0.98</v>
      </c>
      <c r="N2352" s="132">
        <v>0.81289999999999996</v>
      </c>
      <c r="O2352" s="132">
        <v>1.0538000000000001</v>
      </c>
      <c r="P2352" s="131">
        <v>4738</v>
      </c>
      <c r="Q2352" s="51">
        <f t="array" ref="Q2352">SUM(IF(($S2352&gt;=4)*($C2352='TaxCred&amp;Subs'!$D$123:$D$127)*($H2352='TaxCred&amp;Subs'!$C$123:$C$127)*($H2352&lt;='TaxCred&amp;Subs'!$C$129),'TaxCred&amp;Subs'!$E$123:$E$127,0))</f>
        <v>2500</v>
      </c>
      <c r="R2352" s="171">
        <v>0</v>
      </c>
      <c r="S2352" s="131">
        <v>4</v>
      </c>
      <c r="T2352" s="131" t="s">
        <v>248</v>
      </c>
      <c r="U2352" s="155" t="s">
        <v>235</v>
      </c>
      <c r="V2352" s="153" t="str">
        <f t="array" ref="V2352">INDEX(xlRTCLNAME,MATCH(1,(xlRTCLENDU=1)*(xlRTCLEQCL=$D2352),0))</f>
        <v>KERO_FA</v>
      </c>
      <c r="W2352" s="153" t="str">
        <f t="array" ref="W2352">INDEX(xlRTCLNAME,MATCH(1,(xlRTCLENDU=2)*(xlRTCLEQCL=$F2352),0))</f>
        <v>CENT_AIR</v>
      </c>
      <c r="X2352" s="153" t="str">
        <f t="array" ref="X2352">INDEX(xlRTTYNAME,MATCH(1,(xlRTTYENDU=1)*(xlRTTYEQCL=$D2352)*(xlRTEQTYPE=$E2352),0))</f>
        <v>KERO_FA3</v>
      </c>
      <c r="Y2352" s="153" t="str">
        <f t="array" ref="Y2352">INDEX(xlRTTYNAME,MATCH(1,(xlRTTYENDU=2)*(xlRTTYEQCL=$F2352)*(xlRTEQTYPE=$G2352),0))</f>
        <v>CENT_AIR3</v>
      </c>
    </row>
    <row r="2353" spans="1:25" x14ac:dyDescent="0.2">
      <c r="B2353" s="129">
        <v>7</v>
      </c>
      <c r="C2353" s="129">
        <v>3</v>
      </c>
      <c r="D2353" s="129">
        <v>5</v>
      </c>
      <c r="E2353" s="129">
        <v>16</v>
      </c>
      <c r="F2353" s="129">
        <v>2</v>
      </c>
      <c r="G2353" s="129">
        <v>7</v>
      </c>
      <c r="H2353" s="38">
        <v>2033</v>
      </c>
      <c r="I2353" s="129">
        <v>2050</v>
      </c>
      <c r="J2353" s="130">
        <v>1.0940000000000001</v>
      </c>
      <c r="K2353" s="130">
        <v>1.0512999999999999</v>
      </c>
      <c r="L2353" s="130">
        <v>0.72770000000000001</v>
      </c>
      <c r="M2353" s="130">
        <v>0.98</v>
      </c>
      <c r="N2353" s="130">
        <v>0.81289999999999996</v>
      </c>
      <c r="O2353" s="130">
        <v>1.0538000000000001</v>
      </c>
      <c r="P2353" s="129">
        <v>4738</v>
      </c>
      <c r="Q2353" s="128">
        <f t="array" ref="Q2353">SUM(IF(($S2353&gt;=4)*($C2353='TaxCred&amp;Subs'!$D$123:$D$127)*($H2353='TaxCred&amp;Subs'!$C$123:$C$127)*($H2353&lt;='TaxCred&amp;Subs'!$C$129),'TaxCred&amp;Subs'!$E$123:$E$127,0))</f>
        <v>0</v>
      </c>
      <c r="R2353" s="174">
        <v>0</v>
      </c>
      <c r="S2353" s="129">
        <v>4</v>
      </c>
      <c r="T2353" s="129" t="s">
        <v>248</v>
      </c>
      <c r="U2353" s="155" t="s">
        <v>235</v>
      </c>
      <c r="V2353" s="153" t="str">
        <f t="array" ref="V2353">INDEX(xlRTCLNAME,MATCH(1,(xlRTCLENDU=1)*(xlRTCLEQCL=$D2353),0))</f>
        <v>KERO_FA</v>
      </c>
      <c r="W2353" s="153" t="str">
        <f t="array" ref="W2353">INDEX(xlRTCLNAME,MATCH(1,(xlRTCLENDU=2)*(xlRTCLEQCL=$F2353),0))</f>
        <v>CENT_AIR</v>
      </c>
      <c r="X2353" s="153" t="str">
        <f t="array" ref="X2353">INDEX(xlRTTYNAME,MATCH(1,(xlRTTYENDU=1)*(xlRTTYEQCL=$D2353)*(xlRTEQTYPE=$E2353),0))</f>
        <v>KERO_FA3</v>
      </c>
      <c r="Y2353" s="153" t="str">
        <f t="array" ref="Y2353">INDEX(xlRTTYNAME,MATCH(1,(xlRTTYENDU=2)*(xlRTTYEQCL=$F2353)*(xlRTEQTYPE=$G2353),0))</f>
        <v>CENT_AIR3</v>
      </c>
    </row>
    <row r="2354" spans="1:25" x14ac:dyDescent="0.2">
      <c r="B2354" s="129">
        <v>9</v>
      </c>
      <c r="C2354" s="129">
        <v>3</v>
      </c>
      <c r="D2354" s="129">
        <v>5</v>
      </c>
      <c r="E2354" s="129">
        <v>16</v>
      </c>
      <c r="F2354" s="129">
        <v>2</v>
      </c>
      <c r="G2354" s="129">
        <v>7</v>
      </c>
      <c r="H2354" s="129">
        <v>2016</v>
      </c>
      <c r="I2354" s="38">
        <v>2022</v>
      </c>
      <c r="J2354" s="130">
        <v>1.0743</v>
      </c>
      <c r="K2354" s="130">
        <v>1.0519000000000001</v>
      </c>
      <c r="L2354" s="130">
        <v>0.89390000000000003</v>
      </c>
      <c r="M2354" s="130">
        <v>1.0992</v>
      </c>
      <c r="N2354" s="130">
        <v>0.84240000000000004</v>
      </c>
      <c r="O2354" s="130">
        <v>1.0538000000000001</v>
      </c>
      <c r="P2354" s="129">
        <v>6502</v>
      </c>
      <c r="Q2354" s="128">
        <f t="array" ref="Q2354">SUM(IF(($S2354&gt;=4)*($C2354='TaxCred&amp;Subs'!$D$123:$D$127)*($H2354='TaxCred&amp;Subs'!$C$123:$C$127)*($H2354&lt;='TaxCred&amp;Subs'!$C$129),'TaxCred&amp;Subs'!$E$123:$E$127,0))</f>
        <v>1000</v>
      </c>
      <c r="R2354" s="174">
        <v>0</v>
      </c>
      <c r="S2354" s="129">
        <v>4</v>
      </c>
      <c r="T2354" s="129" t="s">
        <v>248</v>
      </c>
      <c r="U2354" s="155" t="s">
        <v>235</v>
      </c>
      <c r="V2354" s="153" t="str">
        <f t="array" ref="V2354">INDEX(xlRTCLNAME,MATCH(1,(xlRTCLENDU=1)*(xlRTCLEQCL=$D2354),0))</f>
        <v>KERO_FA</v>
      </c>
      <c r="W2354" s="153" t="str">
        <f t="array" ref="W2354">INDEX(xlRTCLNAME,MATCH(1,(xlRTCLENDU=2)*(xlRTCLEQCL=$F2354),0))</f>
        <v>CENT_AIR</v>
      </c>
      <c r="X2354" s="153" t="str">
        <f t="array" ref="X2354">INDEX(xlRTTYNAME,MATCH(1,(xlRTTYENDU=1)*(xlRTTYEQCL=$D2354)*(xlRTEQTYPE=$E2354),0))</f>
        <v>KERO_FA3</v>
      </c>
      <c r="Y2354" s="153" t="str">
        <f t="array" ref="Y2354">INDEX(xlRTTYNAME,MATCH(1,(xlRTTYENDU=2)*(xlRTTYEQCL=$F2354)*(xlRTEQTYPE=$G2354),0))</f>
        <v>CENT_AIR3</v>
      </c>
    </row>
    <row r="2355" spans="1:25" x14ac:dyDescent="0.2">
      <c r="B2355" s="131">
        <v>9</v>
      </c>
      <c r="C2355" s="131">
        <v>3</v>
      </c>
      <c r="D2355" s="131">
        <v>5</v>
      </c>
      <c r="E2355" s="131">
        <v>16</v>
      </c>
      <c r="F2355" s="131">
        <v>2</v>
      </c>
      <c r="G2355" s="131">
        <v>7</v>
      </c>
      <c r="H2355" s="131">
        <v>2023</v>
      </c>
      <c r="I2355" s="131">
        <v>2032</v>
      </c>
      <c r="J2355" s="132">
        <v>1.0743</v>
      </c>
      <c r="K2355" s="132">
        <v>1.0519000000000001</v>
      </c>
      <c r="L2355" s="132">
        <v>0.89390000000000003</v>
      </c>
      <c r="M2355" s="132">
        <v>1.0992</v>
      </c>
      <c r="N2355" s="132">
        <v>0.84240000000000004</v>
      </c>
      <c r="O2355" s="132">
        <v>1.0538000000000001</v>
      </c>
      <c r="P2355" s="131">
        <v>6502</v>
      </c>
      <c r="Q2355" s="51">
        <f t="array" ref="Q2355">SUM(IF(($S2355&gt;=4)*($C2355='TaxCred&amp;Subs'!$D$123:$D$127)*($H2355='TaxCred&amp;Subs'!$C$123:$C$127)*($H2355&lt;='TaxCred&amp;Subs'!$C$129),'TaxCred&amp;Subs'!$E$123:$E$127,0))</f>
        <v>2500</v>
      </c>
      <c r="R2355" s="171">
        <v>0</v>
      </c>
      <c r="S2355" s="131">
        <v>4</v>
      </c>
      <c r="T2355" s="131" t="s">
        <v>248</v>
      </c>
      <c r="U2355" s="155" t="s">
        <v>235</v>
      </c>
      <c r="V2355" s="153" t="str">
        <f t="array" ref="V2355">INDEX(xlRTCLNAME,MATCH(1,(xlRTCLENDU=1)*(xlRTCLEQCL=$D2355),0))</f>
        <v>KERO_FA</v>
      </c>
      <c r="W2355" s="153" t="str">
        <f t="array" ref="W2355">INDEX(xlRTCLNAME,MATCH(1,(xlRTCLENDU=2)*(xlRTCLEQCL=$F2355),0))</f>
        <v>CENT_AIR</v>
      </c>
      <c r="X2355" s="153" t="str">
        <f t="array" ref="X2355">INDEX(xlRTTYNAME,MATCH(1,(xlRTTYENDU=1)*(xlRTTYEQCL=$D2355)*(xlRTEQTYPE=$E2355),0))</f>
        <v>KERO_FA3</v>
      </c>
      <c r="Y2355" s="153" t="str">
        <f t="array" ref="Y2355">INDEX(xlRTTYNAME,MATCH(1,(xlRTTYENDU=2)*(xlRTTYEQCL=$F2355)*(xlRTEQTYPE=$G2355),0))</f>
        <v>CENT_AIR3</v>
      </c>
    </row>
    <row r="2356" spans="1:25" s="158" customFormat="1" x14ac:dyDescent="0.2">
      <c r="A2356"/>
      <c r="B2356" s="129">
        <v>9</v>
      </c>
      <c r="C2356" s="129">
        <v>3</v>
      </c>
      <c r="D2356" s="129">
        <v>5</v>
      </c>
      <c r="E2356" s="129">
        <v>16</v>
      </c>
      <c r="F2356" s="129">
        <v>2</v>
      </c>
      <c r="G2356" s="129">
        <v>7</v>
      </c>
      <c r="H2356" s="38">
        <v>2033</v>
      </c>
      <c r="I2356" s="129">
        <v>2050</v>
      </c>
      <c r="J2356" s="130">
        <v>1.0743</v>
      </c>
      <c r="K2356" s="130">
        <v>1.0519000000000001</v>
      </c>
      <c r="L2356" s="130">
        <v>0.89390000000000003</v>
      </c>
      <c r="M2356" s="130">
        <v>1.0992</v>
      </c>
      <c r="N2356" s="130">
        <v>0.84240000000000004</v>
      </c>
      <c r="O2356" s="130">
        <v>1.0538000000000001</v>
      </c>
      <c r="P2356" s="129">
        <v>6502</v>
      </c>
      <c r="Q2356" s="128">
        <f t="array" ref="Q2356">SUM(IF(($S2356&gt;=4)*($C2356='TaxCred&amp;Subs'!$D$123:$D$127)*($H2356='TaxCred&amp;Subs'!$C$123:$C$127)*($H2356&lt;='TaxCred&amp;Subs'!$C$129),'TaxCred&amp;Subs'!$E$123:$E$127,0))</f>
        <v>0</v>
      </c>
      <c r="R2356" s="174">
        <v>0</v>
      </c>
      <c r="S2356" s="129">
        <v>4</v>
      </c>
      <c r="T2356" s="129" t="s">
        <v>248</v>
      </c>
      <c r="U2356" s="155" t="s">
        <v>235</v>
      </c>
      <c r="V2356" s="153" t="str">
        <f t="array" ref="V2356">INDEX(xlRTCLNAME,MATCH(1,(xlRTCLENDU=1)*(xlRTCLEQCL=$D2356),0))</f>
        <v>KERO_FA</v>
      </c>
      <c r="W2356" s="153" t="str">
        <f t="array" ref="W2356">INDEX(xlRTCLNAME,MATCH(1,(xlRTCLENDU=2)*(xlRTCLEQCL=$F2356),0))</f>
        <v>CENT_AIR</v>
      </c>
      <c r="X2356" s="153" t="str">
        <f t="array" ref="X2356">INDEX(xlRTTYNAME,MATCH(1,(xlRTTYENDU=1)*(xlRTTYEQCL=$D2356)*(xlRTEQTYPE=$E2356),0))</f>
        <v>KERO_FA3</v>
      </c>
      <c r="Y2356" s="153" t="str">
        <f t="array" ref="Y2356">INDEX(xlRTTYNAME,MATCH(1,(xlRTTYENDU=2)*(xlRTTYEQCL=$F2356)*(xlRTEQTYPE=$G2356),0))</f>
        <v>CENT_AIR3</v>
      </c>
    </row>
    <row r="2357" spans="1:25" x14ac:dyDescent="0.2">
      <c r="B2357" s="126">
        <v>2</v>
      </c>
      <c r="C2357" s="126">
        <v>3</v>
      </c>
      <c r="D2357" s="126">
        <v>6</v>
      </c>
      <c r="E2357" s="126">
        <v>20</v>
      </c>
      <c r="F2357" s="126">
        <v>2</v>
      </c>
      <c r="G2357" s="126">
        <v>7</v>
      </c>
      <c r="H2357" s="126">
        <v>2016</v>
      </c>
      <c r="I2357" s="159">
        <v>2022</v>
      </c>
      <c r="J2357" s="127">
        <v>1.0670999999999999</v>
      </c>
      <c r="K2357" s="127">
        <v>1.0638000000000001</v>
      </c>
      <c r="L2357" s="127">
        <v>0.75249999999999995</v>
      </c>
      <c r="M2357" s="127">
        <v>1.1206</v>
      </c>
      <c r="N2357" s="127">
        <v>0.84609999999999996</v>
      </c>
      <c r="O2357" s="127">
        <v>1.0538000000000001</v>
      </c>
      <c r="P2357" s="126">
        <v>6885</v>
      </c>
      <c r="Q2357" s="128">
        <f t="array" ref="Q2357">SUM(IF(($S2357&gt;=4)*($C2357='TaxCred&amp;Subs'!$D$123:$D$127)*($H2357='TaxCred&amp;Subs'!$C$123:$C$127)*($H2357&lt;='TaxCred&amp;Subs'!$C$129),'TaxCred&amp;Subs'!$E$123:$E$127,0))</f>
        <v>1000</v>
      </c>
      <c r="R2357" s="174">
        <v>0</v>
      </c>
      <c r="S2357" s="126">
        <v>4</v>
      </c>
      <c r="T2357" s="126" t="s">
        <v>248</v>
      </c>
      <c r="V2357" s="153" t="str">
        <f t="array" ref="V2357">INDEX(xlRTCLNAME,MATCH(1,(xlRTCLENDU=1)*(xlRTCLEQCL=$D2357),0))</f>
        <v>LPG_FA</v>
      </c>
      <c r="W2357" s="153" t="str">
        <f t="array" ref="W2357">INDEX(xlRTCLNAME,MATCH(1,(xlRTCLENDU=2)*(xlRTCLEQCL=$F2357),0))</f>
        <v>CENT_AIR</v>
      </c>
      <c r="X2357" s="153" t="str">
        <f t="array" ref="X2357">INDEX(xlRTTYNAME,MATCH(1,(xlRTTYENDU=1)*(xlRTTYEQCL=$D2357)*(xlRTEQTYPE=$E2357),0))</f>
        <v>LPG_FA3</v>
      </c>
      <c r="Y2357" s="153" t="str">
        <f t="array" ref="Y2357">INDEX(xlRTTYNAME,MATCH(1,(xlRTTYENDU=2)*(xlRTTYEQCL=$F2357)*(xlRTEQTYPE=$G2357),0))</f>
        <v>CENT_AIR3</v>
      </c>
    </row>
    <row r="2358" spans="1:25" x14ac:dyDescent="0.2">
      <c r="B2358" s="49">
        <v>2</v>
      </c>
      <c r="C2358" s="49">
        <v>3</v>
      </c>
      <c r="D2358" s="49">
        <v>6</v>
      </c>
      <c r="E2358" s="49">
        <v>20</v>
      </c>
      <c r="F2358" s="49">
        <v>2</v>
      </c>
      <c r="G2358" s="49">
        <v>7</v>
      </c>
      <c r="H2358" s="49">
        <v>2023</v>
      </c>
      <c r="I2358" s="49">
        <v>2032</v>
      </c>
      <c r="J2358" s="50">
        <v>1.0670999999999999</v>
      </c>
      <c r="K2358" s="50">
        <v>1.0638000000000001</v>
      </c>
      <c r="L2358" s="50">
        <v>0.75249999999999995</v>
      </c>
      <c r="M2358" s="50">
        <v>1.1206</v>
      </c>
      <c r="N2358" s="50">
        <v>0.84609999999999996</v>
      </c>
      <c r="O2358" s="50">
        <v>1.0538000000000001</v>
      </c>
      <c r="P2358" s="49">
        <v>6885</v>
      </c>
      <c r="Q2358" s="51">
        <f t="array" ref="Q2358">SUM(IF(($S2358&gt;=4)*($C2358='TaxCred&amp;Subs'!$D$123:$D$127)*($H2358='TaxCred&amp;Subs'!$C$123:$C$127)*($H2358&lt;='TaxCred&amp;Subs'!$C$129),'TaxCred&amp;Subs'!$E$123:$E$127,0))</f>
        <v>2500</v>
      </c>
      <c r="R2358" s="171">
        <v>0</v>
      </c>
      <c r="S2358" s="49">
        <v>4</v>
      </c>
      <c r="T2358" s="49" t="s">
        <v>248</v>
      </c>
      <c r="V2358" s="153" t="str">
        <f t="array" ref="V2358">INDEX(xlRTCLNAME,MATCH(1,(xlRTCLENDU=1)*(xlRTCLEQCL=$D2358),0))</f>
        <v>LPG_FA</v>
      </c>
      <c r="W2358" s="153" t="str">
        <f t="array" ref="W2358">INDEX(xlRTCLNAME,MATCH(1,(xlRTCLENDU=2)*(xlRTCLEQCL=$F2358),0))</f>
        <v>CENT_AIR</v>
      </c>
      <c r="X2358" s="153" t="str">
        <f t="array" ref="X2358">INDEX(xlRTTYNAME,MATCH(1,(xlRTTYENDU=1)*(xlRTTYEQCL=$D2358)*(xlRTEQTYPE=$E2358),0))</f>
        <v>LPG_FA3</v>
      </c>
      <c r="Y2358" s="153" t="str">
        <f t="array" ref="Y2358">INDEX(xlRTTYNAME,MATCH(1,(xlRTTYENDU=2)*(xlRTTYEQCL=$F2358)*(xlRTEQTYPE=$G2358),0))</f>
        <v>CENT_AIR3</v>
      </c>
    </row>
    <row r="2359" spans="1:25" x14ac:dyDescent="0.2">
      <c r="B2359" s="126">
        <v>2</v>
      </c>
      <c r="C2359" s="126">
        <v>3</v>
      </c>
      <c r="D2359" s="126">
        <v>6</v>
      </c>
      <c r="E2359" s="126">
        <v>20</v>
      </c>
      <c r="F2359" s="126">
        <v>2</v>
      </c>
      <c r="G2359" s="126">
        <v>7</v>
      </c>
      <c r="H2359" s="159">
        <v>2033</v>
      </c>
      <c r="I2359" s="126">
        <v>2050</v>
      </c>
      <c r="J2359" s="127">
        <v>1.0670999999999999</v>
      </c>
      <c r="K2359" s="127">
        <v>1.0638000000000001</v>
      </c>
      <c r="L2359" s="127">
        <v>0.75249999999999995</v>
      </c>
      <c r="M2359" s="127">
        <v>1.1206</v>
      </c>
      <c r="N2359" s="127">
        <v>0.84609999999999996</v>
      </c>
      <c r="O2359" s="127">
        <v>1.0538000000000001</v>
      </c>
      <c r="P2359" s="126">
        <v>6885</v>
      </c>
      <c r="Q2359" s="128">
        <f t="array" ref="Q2359">SUM(IF(($S2359&gt;=4)*($C2359='TaxCred&amp;Subs'!$D$123:$D$127)*($H2359='TaxCred&amp;Subs'!$C$123:$C$127)*($H2359&lt;='TaxCred&amp;Subs'!$C$129),'TaxCred&amp;Subs'!$E$123:$E$127,0))</f>
        <v>0</v>
      </c>
      <c r="R2359" s="174">
        <v>0</v>
      </c>
      <c r="S2359" s="126">
        <v>4</v>
      </c>
      <c r="T2359" s="126" t="s">
        <v>248</v>
      </c>
      <c r="V2359" s="153" t="str">
        <f t="array" ref="V2359">INDEX(xlRTCLNAME,MATCH(1,(xlRTCLENDU=1)*(xlRTCLEQCL=$D2359),0))</f>
        <v>LPG_FA</v>
      </c>
      <c r="W2359" s="153" t="str">
        <f t="array" ref="W2359">INDEX(xlRTCLNAME,MATCH(1,(xlRTCLENDU=2)*(xlRTCLEQCL=$F2359),0))</f>
        <v>CENT_AIR</v>
      </c>
      <c r="X2359" s="153" t="str">
        <f t="array" ref="X2359">INDEX(xlRTTYNAME,MATCH(1,(xlRTTYENDU=1)*(xlRTTYEQCL=$D2359)*(xlRTEQTYPE=$E2359),0))</f>
        <v>LPG_FA3</v>
      </c>
      <c r="Y2359" s="153" t="str">
        <f t="array" ref="Y2359">INDEX(xlRTTYNAME,MATCH(1,(xlRTTYENDU=2)*(xlRTTYEQCL=$F2359)*(xlRTEQTYPE=$G2359),0))</f>
        <v>CENT_AIR3</v>
      </c>
    </row>
    <row r="2360" spans="1:25" x14ac:dyDescent="0.2">
      <c r="B2360" s="126">
        <v>5</v>
      </c>
      <c r="C2360" s="126">
        <v>3</v>
      </c>
      <c r="D2360" s="126">
        <v>6</v>
      </c>
      <c r="E2360" s="126">
        <v>20</v>
      </c>
      <c r="F2360" s="126">
        <v>2</v>
      </c>
      <c r="G2360" s="126">
        <v>7</v>
      </c>
      <c r="H2360" s="126">
        <v>2016</v>
      </c>
      <c r="I2360" s="159">
        <v>2022</v>
      </c>
      <c r="J2360" s="127">
        <v>1.0559000000000001</v>
      </c>
      <c r="K2360" s="127">
        <v>1.0444</v>
      </c>
      <c r="L2360" s="127">
        <v>0.86019999999999996</v>
      </c>
      <c r="M2360" s="127">
        <v>1.0145999999999999</v>
      </c>
      <c r="N2360" s="127">
        <v>0.83460000000000001</v>
      </c>
      <c r="O2360" s="127">
        <v>1.0538000000000001</v>
      </c>
      <c r="P2360" s="126">
        <v>5058</v>
      </c>
      <c r="Q2360" s="128">
        <f t="array" ref="Q2360">SUM(IF(($S2360&gt;=4)*($C2360='TaxCred&amp;Subs'!$D$123:$D$127)*($H2360='TaxCred&amp;Subs'!$C$123:$C$127)*($H2360&lt;='TaxCred&amp;Subs'!$C$129),'TaxCred&amp;Subs'!$E$123:$E$127,0))</f>
        <v>1000</v>
      </c>
      <c r="R2360" s="174">
        <v>0</v>
      </c>
      <c r="S2360" s="126">
        <v>4</v>
      </c>
      <c r="T2360" s="126" t="s">
        <v>248</v>
      </c>
      <c r="V2360" s="153" t="str">
        <f t="array" ref="V2360">INDEX(xlRTCLNAME,MATCH(1,(xlRTCLENDU=1)*(xlRTCLEQCL=$D2360),0))</f>
        <v>LPG_FA</v>
      </c>
      <c r="W2360" s="153" t="str">
        <f t="array" ref="W2360">INDEX(xlRTCLNAME,MATCH(1,(xlRTCLENDU=2)*(xlRTCLEQCL=$F2360),0))</f>
        <v>CENT_AIR</v>
      </c>
      <c r="X2360" s="153" t="str">
        <f t="array" ref="X2360">INDEX(xlRTTYNAME,MATCH(1,(xlRTTYENDU=1)*(xlRTTYEQCL=$D2360)*(xlRTEQTYPE=$E2360),0))</f>
        <v>LPG_FA3</v>
      </c>
      <c r="Y2360" s="153" t="str">
        <f t="array" ref="Y2360">INDEX(xlRTTYNAME,MATCH(1,(xlRTTYENDU=2)*(xlRTTYEQCL=$F2360)*(xlRTEQTYPE=$G2360),0))</f>
        <v>CENT_AIR3</v>
      </c>
    </row>
    <row r="2361" spans="1:25" x14ac:dyDescent="0.2">
      <c r="B2361" s="49">
        <v>5</v>
      </c>
      <c r="C2361" s="49">
        <v>3</v>
      </c>
      <c r="D2361" s="49">
        <v>6</v>
      </c>
      <c r="E2361" s="49">
        <v>20</v>
      </c>
      <c r="F2361" s="49">
        <v>2</v>
      </c>
      <c r="G2361" s="49">
        <v>7</v>
      </c>
      <c r="H2361" s="49">
        <v>2023</v>
      </c>
      <c r="I2361" s="49">
        <v>2032</v>
      </c>
      <c r="J2361" s="50">
        <v>1.0559000000000001</v>
      </c>
      <c r="K2361" s="50">
        <v>1.0444</v>
      </c>
      <c r="L2361" s="50">
        <v>0.86019999999999996</v>
      </c>
      <c r="M2361" s="50">
        <v>1.0145999999999999</v>
      </c>
      <c r="N2361" s="50">
        <v>0.83460000000000001</v>
      </c>
      <c r="O2361" s="50">
        <v>1.0538000000000001</v>
      </c>
      <c r="P2361" s="49">
        <v>5058</v>
      </c>
      <c r="Q2361" s="51">
        <f t="array" ref="Q2361">SUM(IF(($S2361&gt;=4)*($C2361='TaxCred&amp;Subs'!$D$123:$D$127)*($H2361='TaxCred&amp;Subs'!$C$123:$C$127)*($H2361&lt;='TaxCred&amp;Subs'!$C$129),'TaxCred&amp;Subs'!$E$123:$E$127,0))</f>
        <v>2500</v>
      </c>
      <c r="R2361" s="171">
        <v>0</v>
      </c>
      <c r="S2361" s="49">
        <v>4</v>
      </c>
      <c r="T2361" s="49" t="s">
        <v>248</v>
      </c>
      <c r="V2361" s="153" t="str">
        <f t="array" ref="V2361">INDEX(xlRTCLNAME,MATCH(1,(xlRTCLENDU=1)*(xlRTCLEQCL=$D2361),0))</f>
        <v>LPG_FA</v>
      </c>
      <c r="W2361" s="153" t="str">
        <f t="array" ref="W2361">INDEX(xlRTCLNAME,MATCH(1,(xlRTCLENDU=2)*(xlRTCLEQCL=$F2361),0))</f>
        <v>CENT_AIR</v>
      </c>
      <c r="X2361" s="153" t="str">
        <f t="array" ref="X2361">INDEX(xlRTTYNAME,MATCH(1,(xlRTTYENDU=1)*(xlRTTYEQCL=$D2361)*(xlRTEQTYPE=$E2361),0))</f>
        <v>LPG_FA3</v>
      </c>
      <c r="Y2361" s="153" t="str">
        <f t="array" ref="Y2361">INDEX(xlRTTYNAME,MATCH(1,(xlRTTYENDU=2)*(xlRTTYEQCL=$F2361)*(xlRTEQTYPE=$G2361),0))</f>
        <v>CENT_AIR3</v>
      </c>
    </row>
    <row r="2362" spans="1:25" x14ac:dyDescent="0.2">
      <c r="B2362" s="126">
        <v>5</v>
      </c>
      <c r="C2362" s="126">
        <v>3</v>
      </c>
      <c r="D2362" s="126">
        <v>6</v>
      </c>
      <c r="E2362" s="126">
        <v>20</v>
      </c>
      <c r="F2362" s="126">
        <v>2</v>
      </c>
      <c r="G2362" s="126">
        <v>7</v>
      </c>
      <c r="H2362" s="159">
        <v>2033</v>
      </c>
      <c r="I2362" s="126">
        <v>2050</v>
      </c>
      <c r="J2362" s="127">
        <v>1.0559000000000001</v>
      </c>
      <c r="K2362" s="127">
        <v>1.0444</v>
      </c>
      <c r="L2362" s="127">
        <v>0.86019999999999996</v>
      </c>
      <c r="M2362" s="127">
        <v>1.0145999999999999</v>
      </c>
      <c r="N2362" s="127">
        <v>0.83460000000000001</v>
      </c>
      <c r="O2362" s="127">
        <v>1.0538000000000001</v>
      </c>
      <c r="P2362" s="126">
        <v>5058</v>
      </c>
      <c r="Q2362" s="128">
        <f t="array" ref="Q2362">SUM(IF(($S2362&gt;=4)*($C2362='TaxCred&amp;Subs'!$D$123:$D$127)*($H2362='TaxCred&amp;Subs'!$C$123:$C$127)*($H2362&lt;='TaxCred&amp;Subs'!$C$129),'TaxCred&amp;Subs'!$E$123:$E$127,0))</f>
        <v>0</v>
      </c>
      <c r="R2362" s="174">
        <v>0</v>
      </c>
      <c r="S2362" s="126">
        <v>4</v>
      </c>
      <c r="T2362" s="126" t="s">
        <v>248</v>
      </c>
      <c r="V2362" s="153" t="str">
        <f t="array" ref="V2362">INDEX(xlRTCLNAME,MATCH(1,(xlRTCLENDU=1)*(xlRTCLEQCL=$D2362),0))</f>
        <v>LPG_FA</v>
      </c>
      <c r="W2362" s="153" t="str">
        <f t="array" ref="W2362">INDEX(xlRTCLNAME,MATCH(1,(xlRTCLENDU=2)*(xlRTCLEQCL=$F2362),0))</f>
        <v>CENT_AIR</v>
      </c>
      <c r="X2362" s="153" t="str">
        <f t="array" ref="X2362">INDEX(xlRTTYNAME,MATCH(1,(xlRTTYENDU=1)*(xlRTTYEQCL=$D2362)*(xlRTEQTYPE=$E2362),0))</f>
        <v>LPG_FA3</v>
      </c>
      <c r="Y2362" s="153" t="str">
        <f t="array" ref="Y2362">INDEX(xlRTTYNAME,MATCH(1,(xlRTTYENDU=2)*(xlRTTYEQCL=$F2362)*(xlRTEQTYPE=$G2362),0))</f>
        <v>CENT_AIR3</v>
      </c>
    </row>
    <row r="2363" spans="1:25" x14ac:dyDescent="0.2">
      <c r="B2363" s="126">
        <v>6</v>
      </c>
      <c r="C2363" s="126">
        <v>3</v>
      </c>
      <c r="D2363" s="126">
        <v>6</v>
      </c>
      <c r="E2363" s="126">
        <v>20</v>
      </c>
      <c r="F2363" s="126">
        <v>2</v>
      </c>
      <c r="G2363" s="126">
        <v>7</v>
      </c>
      <c r="H2363" s="126">
        <v>2016</v>
      </c>
      <c r="I2363" s="159">
        <v>2022</v>
      </c>
      <c r="J2363" s="127">
        <v>1.0872999999999999</v>
      </c>
      <c r="K2363" s="127">
        <v>1.0581</v>
      </c>
      <c r="L2363" s="127">
        <v>0.82210000000000005</v>
      </c>
      <c r="M2363" s="127">
        <v>1.0062</v>
      </c>
      <c r="N2363" s="127">
        <v>0.8044</v>
      </c>
      <c r="O2363" s="127">
        <v>1.0538000000000001</v>
      </c>
      <c r="P2363" s="126">
        <v>4828</v>
      </c>
      <c r="Q2363" s="128">
        <f t="array" ref="Q2363">SUM(IF(($S2363&gt;=4)*($C2363='TaxCred&amp;Subs'!$D$123:$D$127)*($H2363='TaxCred&amp;Subs'!$C$123:$C$127)*($H2363&lt;='TaxCred&amp;Subs'!$C$129),'TaxCred&amp;Subs'!$E$123:$E$127,0))</f>
        <v>1000</v>
      </c>
      <c r="R2363" s="174">
        <v>0</v>
      </c>
      <c r="S2363" s="126">
        <v>4</v>
      </c>
      <c r="T2363" s="126" t="s">
        <v>248</v>
      </c>
      <c r="V2363" s="153" t="str">
        <f t="array" ref="V2363">INDEX(xlRTCLNAME,MATCH(1,(xlRTCLENDU=1)*(xlRTCLEQCL=$D2363),0))</f>
        <v>LPG_FA</v>
      </c>
      <c r="W2363" s="153" t="str">
        <f t="array" ref="W2363">INDEX(xlRTCLNAME,MATCH(1,(xlRTCLENDU=2)*(xlRTCLEQCL=$F2363),0))</f>
        <v>CENT_AIR</v>
      </c>
      <c r="X2363" s="153" t="str">
        <f t="array" ref="X2363">INDEX(xlRTTYNAME,MATCH(1,(xlRTTYENDU=1)*(xlRTTYEQCL=$D2363)*(xlRTEQTYPE=$E2363),0))</f>
        <v>LPG_FA3</v>
      </c>
      <c r="Y2363" s="153" t="str">
        <f t="array" ref="Y2363">INDEX(xlRTTYNAME,MATCH(1,(xlRTTYENDU=2)*(xlRTTYEQCL=$F2363)*(xlRTEQTYPE=$G2363),0))</f>
        <v>CENT_AIR3</v>
      </c>
    </row>
    <row r="2364" spans="1:25" x14ac:dyDescent="0.2">
      <c r="B2364" s="49">
        <v>6</v>
      </c>
      <c r="C2364" s="49">
        <v>3</v>
      </c>
      <c r="D2364" s="49">
        <v>6</v>
      </c>
      <c r="E2364" s="49">
        <v>20</v>
      </c>
      <c r="F2364" s="49">
        <v>2</v>
      </c>
      <c r="G2364" s="49">
        <v>7</v>
      </c>
      <c r="H2364" s="49">
        <v>2023</v>
      </c>
      <c r="I2364" s="49">
        <v>2032</v>
      </c>
      <c r="J2364" s="50">
        <v>1.0872999999999999</v>
      </c>
      <c r="K2364" s="50">
        <v>1.0581</v>
      </c>
      <c r="L2364" s="50">
        <v>0.82210000000000005</v>
      </c>
      <c r="M2364" s="50">
        <v>1.0062</v>
      </c>
      <c r="N2364" s="50">
        <v>0.8044</v>
      </c>
      <c r="O2364" s="50">
        <v>1.0538000000000001</v>
      </c>
      <c r="P2364" s="49">
        <v>4828</v>
      </c>
      <c r="Q2364" s="51">
        <f t="array" ref="Q2364">SUM(IF(($S2364&gt;=4)*($C2364='TaxCred&amp;Subs'!$D$123:$D$127)*($H2364='TaxCred&amp;Subs'!$C$123:$C$127)*($H2364&lt;='TaxCred&amp;Subs'!$C$129),'TaxCred&amp;Subs'!$E$123:$E$127,0))</f>
        <v>2500</v>
      </c>
      <c r="R2364" s="171">
        <v>0</v>
      </c>
      <c r="S2364" s="49">
        <v>4</v>
      </c>
      <c r="T2364" s="49" t="s">
        <v>248</v>
      </c>
      <c r="V2364" s="153" t="str">
        <f t="array" ref="V2364">INDEX(xlRTCLNAME,MATCH(1,(xlRTCLENDU=1)*(xlRTCLEQCL=$D2364),0))</f>
        <v>LPG_FA</v>
      </c>
      <c r="W2364" s="153" t="str">
        <f t="array" ref="W2364">INDEX(xlRTCLNAME,MATCH(1,(xlRTCLENDU=2)*(xlRTCLEQCL=$F2364),0))</f>
        <v>CENT_AIR</v>
      </c>
      <c r="X2364" s="153" t="str">
        <f t="array" ref="X2364">INDEX(xlRTTYNAME,MATCH(1,(xlRTTYENDU=1)*(xlRTTYEQCL=$D2364)*(xlRTEQTYPE=$E2364),0))</f>
        <v>LPG_FA3</v>
      </c>
      <c r="Y2364" s="153" t="str">
        <f t="array" ref="Y2364">INDEX(xlRTTYNAME,MATCH(1,(xlRTTYENDU=2)*(xlRTTYEQCL=$F2364)*(xlRTEQTYPE=$G2364),0))</f>
        <v>CENT_AIR3</v>
      </c>
    </row>
    <row r="2365" spans="1:25" x14ac:dyDescent="0.2">
      <c r="B2365" s="126">
        <v>6</v>
      </c>
      <c r="C2365" s="126">
        <v>3</v>
      </c>
      <c r="D2365" s="126">
        <v>6</v>
      </c>
      <c r="E2365" s="126">
        <v>20</v>
      </c>
      <c r="F2365" s="126">
        <v>2</v>
      </c>
      <c r="G2365" s="126">
        <v>7</v>
      </c>
      <c r="H2365" s="159">
        <v>2033</v>
      </c>
      <c r="I2365" s="126">
        <v>2050</v>
      </c>
      <c r="J2365" s="127">
        <v>1.0872999999999999</v>
      </c>
      <c r="K2365" s="127">
        <v>1.0581</v>
      </c>
      <c r="L2365" s="127">
        <v>0.82210000000000005</v>
      </c>
      <c r="M2365" s="127">
        <v>1.0062</v>
      </c>
      <c r="N2365" s="127">
        <v>0.8044</v>
      </c>
      <c r="O2365" s="127">
        <v>1.0538000000000001</v>
      </c>
      <c r="P2365" s="126">
        <v>4828</v>
      </c>
      <c r="Q2365" s="128">
        <f t="array" ref="Q2365">SUM(IF(($S2365&gt;=4)*($C2365='TaxCred&amp;Subs'!$D$123:$D$127)*($H2365='TaxCred&amp;Subs'!$C$123:$C$127)*($H2365&lt;='TaxCred&amp;Subs'!$C$129),'TaxCred&amp;Subs'!$E$123:$E$127,0))</f>
        <v>0</v>
      </c>
      <c r="R2365" s="174">
        <v>0</v>
      </c>
      <c r="S2365" s="126">
        <v>4</v>
      </c>
      <c r="T2365" s="126" t="s">
        <v>248</v>
      </c>
      <c r="V2365" s="153" t="str">
        <f t="array" ref="V2365">INDEX(xlRTCLNAME,MATCH(1,(xlRTCLENDU=1)*(xlRTCLEQCL=$D2365),0))</f>
        <v>LPG_FA</v>
      </c>
      <c r="W2365" s="153" t="str">
        <f t="array" ref="W2365">INDEX(xlRTCLNAME,MATCH(1,(xlRTCLENDU=2)*(xlRTCLEQCL=$F2365),0))</f>
        <v>CENT_AIR</v>
      </c>
      <c r="X2365" s="153" t="str">
        <f t="array" ref="X2365">INDEX(xlRTTYNAME,MATCH(1,(xlRTTYENDU=1)*(xlRTTYEQCL=$D2365)*(xlRTEQTYPE=$E2365),0))</f>
        <v>LPG_FA3</v>
      </c>
      <c r="Y2365" s="153" t="str">
        <f t="array" ref="Y2365">INDEX(xlRTTYNAME,MATCH(1,(xlRTTYENDU=2)*(xlRTTYEQCL=$F2365)*(xlRTEQTYPE=$G2365),0))</f>
        <v>CENT_AIR3</v>
      </c>
    </row>
    <row r="2366" spans="1:25" x14ac:dyDescent="0.2">
      <c r="B2366" s="126">
        <v>7</v>
      </c>
      <c r="C2366" s="126">
        <v>3</v>
      </c>
      <c r="D2366" s="126">
        <v>6</v>
      </c>
      <c r="E2366" s="126">
        <v>20</v>
      </c>
      <c r="F2366" s="126">
        <v>2</v>
      </c>
      <c r="G2366" s="126">
        <v>7</v>
      </c>
      <c r="H2366" s="126">
        <v>2016</v>
      </c>
      <c r="I2366" s="159">
        <v>2022</v>
      </c>
      <c r="J2366" s="127">
        <v>1.0914999999999999</v>
      </c>
      <c r="K2366" s="127">
        <v>1.0496000000000001</v>
      </c>
      <c r="L2366" s="127">
        <v>0.82369999999999999</v>
      </c>
      <c r="M2366" s="127">
        <v>1.0031000000000001</v>
      </c>
      <c r="N2366" s="127">
        <v>0.81759999999999999</v>
      </c>
      <c r="O2366" s="127">
        <v>1.0538000000000001</v>
      </c>
      <c r="P2366" s="126">
        <v>4621</v>
      </c>
      <c r="Q2366" s="128">
        <f t="array" ref="Q2366">SUM(IF(($S2366&gt;=4)*($C2366='TaxCred&amp;Subs'!$D$123:$D$127)*($H2366='TaxCred&amp;Subs'!$C$123:$C$127)*($H2366&lt;='TaxCred&amp;Subs'!$C$129),'TaxCred&amp;Subs'!$E$123:$E$127,0))</f>
        <v>1000</v>
      </c>
      <c r="R2366" s="174">
        <v>0</v>
      </c>
      <c r="S2366" s="126">
        <v>4</v>
      </c>
      <c r="T2366" s="126" t="s">
        <v>248</v>
      </c>
      <c r="V2366" s="153" t="str">
        <f t="array" ref="V2366">INDEX(xlRTCLNAME,MATCH(1,(xlRTCLENDU=1)*(xlRTCLEQCL=$D2366),0))</f>
        <v>LPG_FA</v>
      </c>
      <c r="W2366" s="153" t="str">
        <f t="array" ref="W2366">INDEX(xlRTCLNAME,MATCH(1,(xlRTCLENDU=2)*(xlRTCLEQCL=$F2366),0))</f>
        <v>CENT_AIR</v>
      </c>
      <c r="X2366" s="153" t="str">
        <f t="array" ref="X2366">INDEX(xlRTTYNAME,MATCH(1,(xlRTTYENDU=1)*(xlRTTYEQCL=$D2366)*(xlRTEQTYPE=$E2366),0))</f>
        <v>LPG_FA3</v>
      </c>
      <c r="Y2366" s="153" t="str">
        <f t="array" ref="Y2366">INDEX(xlRTTYNAME,MATCH(1,(xlRTTYENDU=2)*(xlRTTYEQCL=$F2366)*(xlRTEQTYPE=$G2366),0))</f>
        <v>CENT_AIR3</v>
      </c>
    </row>
    <row r="2367" spans="1:25" x14ac:dyDescent="0.2">
      <c r="B2367" s="49">
        <v>7</v>
      </c>
      <c r="C2367" s="49">
        <v>3</v>
      </c>
      <c r="D2367" s="49">
        <v>6</v>
      </c>
      <c r="E2367" s="49">
        <v>20</v>
      </c>
      <c r="F2367" s="49">
        <v>2</v>
      </c>
      <c r="G2367" s="49">
        <v>7</v>
      </c>
      <c r="H2367" s="49">
        <v>2023</v>
      </c>
      <c r="I2367" s="49">
        <v>2032</v>
      </c>
      <c r="J2367" s="50">
        <v>1.0914999999999999</v>
      </c>
      <c r="K2367" s="50">
        <v>1.0496000000000001</v>
      </c>
      <c r="L2367" s="50">
        <v>0.82369999999999999</v>
      </c>
      <c r="M2367" s="50">
        <v>1.0031000000000001</v>
      </c>
      <c r="N2367" s="50">
        <v>0.81759999999999999</v>
      </c>
      <c r="O2367" s="50">
        <v>1.0538000000000001</v>
      </c>
      <c r="P2367" s="49">
        <v>4621</v>
      </c>
      <c r="Q2367" s="51">
        <f t="array" ref="Q2367">SUM(IF(($S2367&gt;=4)*($C2367='TaxCred&amp;Subs'!$D$123:$D$127)*($H2367='TaxCred&amp;Subs'!$C$123:$C$127)*($H2367&lt;='TaxCred&amp;Subs'!$C$129),'TaxCred&amp;Subs'!$E$123:$E$127,0))</f>
        <v>2500</v>
      </c>
      <c r="R2367" s="171">
        <v>0</v>
      </c>
      <c r="S2367" s="49">
        <v>4</v>
      </c>
      <c r="T2367" s="49" t="s">
        <v>248</v>
      </c>
      <c r="V2367" s="153" t="str">
        <f t="array" ref="V2367">INDEX(xlRTCLNAME,MATCH(1,(xlRTCLENDU=1)*(xlRTCLEQCL=$D2367),0))</f>
        <v>LPG_FA</v>
      </c>
      <c r="W2367" s="153" t="str">
        <f t="array" ref="W2367">INDEX(xlRTCLNAME,MATCH(1,(xlRTCLENDU=2)*(xlRTCLEQCL=$F2367),0))</f>
        <v>CENT_AIR</v>
      </c>
      <c r="X2367" s="153" t="str">
        <f t="array" ref="X2367">INDEX(xlRTTYNAME,MATCH(1,(xlRTTYENDU=1)*(xlRTTYEQCL=$D2367)*(xlRTEQTYPE=$E2367),0))</f>
        <v>LPG_FA3</v>
      </c>
      <c r="Y2367" s="153" t="str">
        <f t="array" ref="Y2367">INDEX(xlRTTYNAME,MATCH(1,(xlRTTYENDU=2)*(xlRTTYEQCL=$F2367)*(xlRTEQTYPE=$G2367),0))</f>
        <v>CENT_AIR3</v>
      </c>
    </row>
    <row r="2368" spans="1:25" x14ac:dyDescent="0.2">
      <c r="B2368" s="126">
        <v>7</v>
      </c>
      <c r="C2368" s="126">
        <v>3</v>
      </c>
      <c r="D2368" s="126">
        <v>6</v>
      </c>
      <c r="E2368" s="126">
        <v>20</v>
      </c>
      <c r="F2368" s="126">
        <v>2</v>
      </c>
      <c r="G2368" s="126">
        <v>7</v>
      </c>
      <c r="H2368" s="159">
        <v>2033</v>
      </c>
      <c r="I2368" s="126">
        <v>2050</v>
      </c>
      <c r="J2368" s="127">
        <v>1.0914999999999999</v>
      </c>
      <c r="K2368" s="127">
        <v>1.0496000000000001</v>
      </c>
      <c r="L2368" s="127">
        <v>0.82369999999999999</v>
      </c>
      <c r="M2368" s="127">
        <v>1.0031000000000001</v>
      </c>
      <c r="N2368" s="127">
        <v>0.81759999999999999</v>
      </c>
      <c r="O2368" s="127">
        <v>1.0538000000000001</v>
      </c>
      <c r="P2368" s="126">
        <v>4621</v>
      </c>
      <c r="Q2368" s="128">
        <f t="array" ref="Q2368">SUM(IF(($S2368&gt;=4)*($C2368='TaxCred&amp;Subs'!$D$123:$D$127)*($H2368='TaxCred&amp;Subs'!$C$123:$C$127)*($H2368&lt;='TaxCred&amp;Subs'!$C$129),'TaxCred&amp;Subs'!$E$123:$E$127,0))</f>
        <v>0</v>
      </c>
      <c r="R2368" s="174">
        <v>0</v>
      </c>
      <c r="S2368" s="126">
        <v>4</v>
      </c>
      <c r="T2368" s="126" t="s">
        <v>248</v>
      </c>
      <c r="V2368" s="153" t="str">
        <f t="array" ref="V2368">INDEX(xlRTCLNAME,MATCH(1,(xlRTCLENDU=1)*(xlRTCLEQCL=$D2368),0))</f>
        <v>LPG_FA</v>
      </c>
      <c r="W2368" s="153" t="str">
        <f t="array" ref="W2368">INDEX(xlRTCLNAME,MATCH(1,(xlRTCLENDU=2)*(xlRTCLEQCL=$F2368),0))</f>
        <v>CENT_AIR</v>
      </c>
      <c r="X2368" s="153" t="str">
        <f t="array" ref="X2368">INDEX(xlRTTYNAME,MATCH(1,(xlRTTYENDU=1)*(xlRTTYEQCL=$D2368)*(xlRTEQTYPE=$E2368),0))</f>
        <v>LPG_FA3</v>
      </c>
      <c r="Y2368" s="153" t="str">
        <f t="array" ref="Y2368">INDEX(xlRTTYNAME,MATCH(1,(xlRTTYENDU=2)*(xlRTTYEQCL=$F2368)*(xlRTEQTYPE=$G2368),0))</f>
        <v>CENT_AIR3</v>
      </c>
    </row>
    <row r="2369" spans="2:25" x14ac:dyDescent="0.2">
      <c r="B2369" s="126">
        <v>9</v>
      </c>
      <c r="C2369" s="126">
        <v>3</v>
      </c>
      <c r="D2369" s="126">
        <v>6</v>
      </c>
      <c r="E2369" s="126">
        <v>20</v>
      </c>
      <c r="F2369" s="126">
        <v>2</v>
      </c>
      <c r="G2369" s="126">
        <v>7</v>
      </c>
      <c r="H2369" s="126">
        <v>2016</v>
      </c>
      <c r="I2369" s="159">
        <v>2022</v>
      </c>
      <c r="J2369" s="127">
        <v>1.0761000000000001</v>
      </c>
      <c r="K2369" s="127">
        <v>1.0506</v>
      </c>
      <c r="L2369" s="127">
        <v>0.90200000000000002</v>
      </c>
      <c r="M2369" s="127">
        <v>1.0749</v>
      </c>
      <c r="N2369" s="127">
        <v>0.84670000000000001</v>
      </c>
      <c r="O2369" s="127">
        <v>1.0538000000000001</v>
      </c>
      <c r="P2369" s="126">
        <v>6165</v>
      </c>
      <c r="Q2369" s="128">
        <f t="array" ref="Q2369">SUM(IF(($S2369&gt;=4)*($C2369='TaxCred&amp;Subs'!$D$123:$D$127)*($H2369='TaxCred&amp;Subs'!$C$123:$C$127)*($H2369&lt;='TaxCred&amp;Subs'!$C$129),'TaxCred&amp;Subs'!$E$123:$E$127,0))</f>
        <v>1000</v>
      </c>
      <c r="R2369" s="174">
        <v>0</v>
      </c>
      <c r="S2369" s="126">
        <v>4</v>
      </c>
      <c r="T2369" s="126" t="s">
        <v>248</v>
      </c>
      <c r="V2369" s="153" t="str">
        <f t="array" ref="V2369">INDEX(xlRTCLNAME,MATCH(1,(xlRTCLENDU=1)*(xlRTCLEQCL=$D2369),0))</f>
        <v>LPG_FA</v>
      </c>
      <c r="W2369" s="153" t="str">
        <f t="array" ref="W2369">INDEX(xlRTCLNAME,MATCH(1,(xlRTCLENDU=2)*(xlRTCLEQCL=$F2369),0))</f>
        <v>CENT_AIR</v>
      </c>
      <c r="X2369" s="153" t="str">
        <f t="array" ref="X2369">INDEX(xlRTTYNAME,MATCH(1,(xlRTTYENDU=1)*(xlRTTYEQCL=$D2369)*(xlRTEQTYPE=$E2369),0))</f>
        <v>LPG_FA3</v>
      </c>
      <c r="Y2369" s="153" t="str">
        <f t="array" ref="Y2369">INDEX(xlRTTYNAME,MATCH(1,(xlRTTYENDU=2)*(xlRTTYEQCL=$F2369)*(xlRTEQTYPE=$G2369),0))</f>
        <v>CENT_AIR3</v>
      </c>
    </row>
    <row r="2370" spans="2:25" x14ac:dyDescent="0.2">
      <c r="B2370" s="49">
        <v>9</v>
      </c>
      <c r="C2370" s="49">
        <v>3</v>
      </c>
      <c r="D2370" s="49">
        <v>6</v>
      </c>
      <c r="E2370" s="49">
        <v>20</v>
      </c>
      <c r="F2370" s="49">
        <v>2</v>
      </c>
      <c r="G2370" s="49">
        <v>7</v>
      </c>
      <c r="H2370" s="49">
        <v>2023</v>
      </c>
      <c r="I2370" s="49">
        <v>2032</v>
      </c>
      <c r="J2370" s="50">
        <v>1.0761000000000001</v>
      </c>
      <c r="K2370" s="50">
        <v>1.0506</v>
      </c>
      <c r="L2370" s="50">
        <v>0.90200000000000002</v>
      </c>
      <c r="M2370" s="50">
        <v>1.0749</v>
      </c>
      <c r="N2370" s="50">
        <v>0.84670000000000001</v>
      </c>
      <c r="O2370" s="50">
        <v>1.0538000000000001</v>
      </c>
      <c r="P2370" s="49">
        <v>6165</v>
      </c>
      <c r="Q2370" s="51">
        <f t="array" ref="Q2370">SUM(IF(($S2370&gt;=4)*($C2370='TaxCred&amp;Subs'!$D$123:$D$127)*($H2370='TaxCred&amp;Subs'!$C$123:$C$127)*($H2370&lt;='TaxCred&amp;Subs'!$C$129),'TaxCred&amp;Subs'!$E$123:$E$127,0))</f>
        <v>2500</v>
      </c>
      <c r="R2370" s="171">
        <v>0</v>
      </c>
      <c r="S2370" s="49">
        <v>4</v>
      </c>
      <c r="T2370" s="49" t="s">
        <v>248</v>
      </c>
      <c r="V2370" s="153" t="str">
        <f t="array" ref="V2370">INDEX(xlRTCLNAME,MATCH(1,(xlRTCLENDU=1)*(xlRTCLEQCL=$D2370),0))</f>
        <v>LPG_FA</v>
      </c>
      <c r="W2370" s="153" t="str">
        <f t="array" ref="W2370">INDEX(xlRTCLNAME,MATCH(1,(xlRTCLENDU=2)*(xlRTCLEQCL=$F2370),0))</f>
        <v>CENT_AIR</v>
      </c>
      <c r="X2370" s="153" t="str">
        <f t="array" ref="X2370">INDEX(xlRTTYNAME,MATCH(1,(xlRTTYENDU=1)*(xlRTTYEQCL=$D2370)*(xlRTEQTYPE=$E2370),0))</f>
        <v>LPG_FA3</v>
      </c>
      <c r="Y2370" s="153" t="str">
        <f t="array" ref="Y2370">INDEX(xlRTTYNAME,MATCH(1,(xlRTTYENDU=2)*(xlRTTYEQCL=$F2370)*(xlRTEQTYPE=$G2370),0))</f>
        <v>CENT_AIR3</v>
      </c>
    </row>
    <row r="2371" spans="2:25" x14ac:dyDescent="0.2">
      <c r="B2371" s="126">
        <v>9</v>
      </c>
      <c r="C2371" s="126">
        <v>3</v>
      </c>
      <c r="D2371" s="126">
        <v>6</v>
      </c>
      <c r="E2371" s="126">
        <v>20</v>
      </c>
      <c r="F2371" s="126">
        <v>2</v>
      </c>
      <c r="G2371" s="126">
        <v>7</v>
      </c>
      <c r="H2371" s="159">
        <v>2033</v>
      </c>
      <c r="I2371" s="126">
        <v>2050</v>
      </c>
      <c r="J2371" s="127">
        <v>1.0761000000000001</v>
      </c>
      <c r="K2371" s="127">
        <v>1.0506</v>
      </c>
      <c r="L2371" s="127">
        <v>0.90200000000000002</v>
      </c>
      <c r="M2371" s="127">
        <v>1.0749</v>
      </c>
      <c r="N2371" s="127">
        <v>0.84670000000000001</v>
      </c>
      <c r="O2371" s="127">
        <v>1.0538000000000001</v>
      </c>
      <c r="P2371" s="126">
        <v>6165</v>
      </c>
      <c r="Q2371" s="128">
        <f t="array" ref="Q2371">SUM(IF(($S2371&gt;=4)*($C2371='TaxCred&amp;Subs'!$D$123:$D$127)*($H2371='TaxCred&amp;Subs'!$C$123:$C$127)*($H2371&lt;='TaxCred&amp;Subs'!$C$129),'TaxCred&amp;Subs'!$E$123:$E$127,0))</f>
        <v>0</v>
      </c>
      <c r="R2371" s="174">
        <v>0</v>
      </c>
      <c r="S2371" s="126">
        <v>4</v>
      </c>
      <c r="T2371" s="126" t="s">
        <v>248</v>
      </c>
      <c r="V2371" s="153" t="str">
        <f t="array" ref="V2371">INDEX(xlRTCLNAME,MATCH(1,(xlRTCLENDU=1)*(xlRTCLEQCL=$D2371),0))</f>
        <v>LPG_FA</v>
      </c>
      <c r="W2371" s="153" t="str">
        <f t="array" ref="W2371">INDEX(xlRTCLNAME,MATCH(1,(xlRTCLENDU=2)*(xlRTCLEQCL=$F2371),0))</f>
        <v>CENT_AIR</v>
      </c>
      <c r="X2371" s="153" t="str">
        <f t="array" ref="X2371">INDEX(xlRTTYNAME,MATCH(1,(xlRTTYENDU=1)*(xlRTTYEQCL=$D2371)*(xlRTEQTYPE=$E2371),0))</f>
        <v>LPG_FA3</v>
      </c>
      <c r="Y2371" s="153" t="str">
        <f t="array" ref="Y2371">INDEX(xlRTTYNAME,MATCH(1,(xlRTTYENDU=2)*(xlRTTYEQCL=$F2371)*(xlRTEQTYPE=$G2371),0))</f>
        <v>CENT_AIR3</v>
      </c>
    </row>
    <row r="2372" spans="2:25" x14ac:dyDescent="0.2">
      <c r="B2372" s="126">
        <v>2</v>
      </c>
      <c r="C2372" s="126">
        <v>3</v>
      </c>
      <c r="D2372" s="126">
        <v>7</v>
      </c>
      <c r="E2372" s="126">
        <v>24</v>
      </c>
      <c r="F2372" s="126">
        <v>2</v>
      </c>
      <c r="G2372" s="126">
        <v>7</v>
      </c>
      <c r="H2372" s="126">
        <v>2016</v>
      </c>
      <c r="I2372" s="159">
        <v>2022</v>
      </c>
      <c r="J2372" s="127">
        <v>1.0873999999999999</v>
      </c>
      <c r="K2372" s="127">
        <v>1.0638000000000001</v>
      </c>
      <c r="L2372" s="127">
        <v>0.74980000000000002</v>
      </c>
      <c r="M2372" s="127">
        <v>1.1226</v>
      </c>
      <c r="N2372" s="127">
        <v>0.84279999999999999</v>
      </c>
      <c r="O2372" s="127">
        <v>1.0538000000000001</v>
      </c>
      <c r="P2372" s="126">
        <v>6885</v>
      </c>
      <c r="Q2372" s="128">
        <f t="array" ref="Q2372">SUM(IF(($S2372&gt;=4)*($C2372='TaxCred&amp;Subs'!$D$123:$D$127)*($H2372='TaxCred&amp;Subs'!$C$123:$C$127)*($H2372&lt;='TaxCred&amp;Subs'!$C$129),'TaxCred&amp;Subs'!$E$123:$E$127,0))</f>
        <v>1000</v>
      </c>
      <c r="R2372" s="174">
        <v>0</v>
      </c>
      <c r="S2372" s="126">
        <v>4</v>
      </c>
      <c r="T2372" s="126" t="s">
        <v>248</v>
      </c>
      <c r="V2372" s="153" t="str">
        <f t="array" ref="V2372">INDEX(xlRTCLNAME,MATCH(1,(xlRTCLENDU=1)*(xlRTCLEQCL=$D2372),0))</f>
        <v>DIST_FA</v>
      </c>
      <c r="W2372" s="153" t="str">
        <f t="array" ref="W2372">INDEX(xlRTCLNAME,MATCH(1,(xlRTCLENDU=2)*(xlRTCLEQCL=$F2372),0))</f>
        <v>CENT_AIR</v>
      </c>
      <c r="X2372" s="153" t="str">
        <f t="array" ref="X2372">INDEX(xlRTTYNAME,MATCH(1,(xlRTTYENDU=1)*(xlRTTYEQCL=$D2372)*(xlRTEQTYPE=$E2372),0))</f>
        <v>DIST_FA3</v>
      </c>
      <c r="Y2372" s="153" t="str">
        <f t="array" ref="Y2372">INDEX(xlRTTYNAME,MATCH(1,(xlRTTYENDU=2)*(xlRTTYEQCL=$F2372)*(xlRTEQTYPE=$G2372),0))</f>
        <v>CENT_AIR3</v>
      </c>
    </row>
    <row r="2373" spans="2:25" x14ac:dyDescent="0.2">
      <c r="B2373" s="49">
        <v>2</v>
      </c>
      <c r="C2373" s="49">
        <v>3</v>
      </c>
      <c r="D2373" s="49">
        <v>7</v>
      </c>
      <c r="E2373" s="49">
        <v>24</v>
      </c>
      <c r="F2373" s="49">
        <v>2</v>
      </c>
      <c r="G2373" s="49">
        <v>7</v>
      </c>
      <c r="H2373" s="49">
        <v>2023</v>
      </c>
      <c r="I2373" s="49">
        <v>2032</v>
      </c>
      <c r="J2373" s="50">
        <v>1.0873999999999999</v>
      </c>
      <c r="K2373" s="50">
        <v>1.0638000000000001</v>
      </c>
      <c r="L2373" s="50">
        <v>0.74980000000000002</v>
      </c>
      <c r="M2373" s="50">
        <v>1.1226</v>
      </c>
      <c r="N2373" s="50">
        <v>0.84279999999999999</v>
      </c>
      <c r="O2373" s="50">
        <v>1.0538000000000001</v>
      </c>
      <c r="P2373" s="49">
        <v>6885</v>
      </c>
      <c r="Q2373" s="51">
        <f t="array" ref="Q2373">SUM(IF(($S2373&gt;=4)*($C2373='TaxCred&amp;Subs'!$D$123:$D$127)*($H2373='TaxCred&amp;Subs'!$C$123:$C$127)*($H2373&lt;='TaxCred&amp;Subs'!$C$129),'TaxCred&amp;Subs'!$E$123:$E$127,0))</f>
        <v>2500</v>
      </c>
      <c r="R2373" s="171">
        <v>0</v>
      </c>
      <c r="S2373" s="49">
        <v>4</v>
      </c>
      <c r="T2373" s="49" t="s">
        <v>248</v>
      </c>
      <c r="V2373" s="153" t="str">
        <f t="array" ref="V2373">INDEX(xlRTCLNAME,MATCH(1,(xlRTCLENDU=1)*(xlRTCLEQCL=$D2373),0))</f>
        <v>DIST_FA</v>
      </c>
      <c r="W2373" s="153" t="str">
        <f t="array" ref="W2373">INDEX(xlRTCLNAME,MATCH(1,(xlRTCLENDU=2)*(xlRTCLEQCL=$F2373),0))</f>
        <v>CENT_AIR</v>
      </c>
      <c r="X2373" s="153" t="str">
        <f t="array" ref="X2373">INDEX(xlRTTYNAME,MATCH(1,(xlRTTYENDU=1)*(xlRTTYEQCL=$D2373)*(xlRTEQTYPE=$E2373),0))</f>
        <v>DIST_FA3</v>
      </c>
      <c r="Y2373" s="153" t="str">
        <f t="array" ref="Y2373">INDEX(xlRTTYNAME,MATCH(1,(xlRTTYENDU=2)*(xlRTTYEQCL=$F2373)*(xlRTEQTYPE=$G2373),0))</f>
        <v>CENT_AIR3</v>
      </c>
    </row>
    <row r="2374" spans="2:25" x14ac:dyDescent="0.2">
      <c r="B2374" s="126">
        <v>2</v>
      </c>
      <c r="C2374" s="126">
        <v>3</v>
      </c>
      <c r="D2374" s="126">
        <v>7</v>
      </c>
      <c r="E2374" s="126">
        <v>24</v>
      </c>
      <c r="F2374" s="126">
        <v>2</v>
      </c>
      <c r="G2374" s="126">
        <v>7</v>
      </c>
      <c r="H2374" s="159">
        <v>2033</v>
      </c>
      <c r="I2374" s="126">
        <v>2050</v>
      </c>
      <c r="J2374" s="127">
        <v>1.0873999999999999</v>
      </c>
      <c r="K2374" s="127">
        <v>1.0638000000000001</v>
      </c>
      <c r="L2374" s="127">
        <v>0.74980000000000002</v>
      </c>
      <c r="M2374" s="127">
        <v>1.1226</v>
      </c>
      <c r="N2374" s="127">
        <v>0.84279999999999999</v>
      </c>
      <c r="O2374" s="127">
        <v>1.0538000000000001</v>
      </c>
      <c r="P2374" s="126">
        <v>6885</v>
      </c>
      <c r="Q2374" s="128">
        <f t="array" ref="Q2374">SUM(IF(($S2374&gt;=4)*($C2374='TaxCred&amp;Subs'!$D$123:$D$127)*($H2374='TaxCred&amp;Subs'!$C$123:$C$127)*($H2374&lt;='TaxCred&amp;Subs'!$C$129),'TaxCred&amp;Subs'!$E$123:$E$127,0))</f>
        <v>0</v>
      </c>
      <c r="R2374" s="174">
        <v>0</v>
      </c>
      <c r="S2374" s="126">
        <v>4</v>
      </c>
      <c r="T2374" s="126" t="s">
        <v>248</v>
      </c>
      <c r="V2374" s="153" t="str">
        <f t="array" ref="V2374">INDEX(xlRTCLNAME,MATCH(1,(xlRTCLENDU=1)*(xlRTCLEQCL=$D2374),0))</f>
        <v>DIST_FA</v>
      </c>
      <c r="W2374" s="153" t="str">
        <f t="array" ref="W2374">INDEX(xlRTCLNAME,MATCH(1,(xlRTCLENDU=2)*(xlRTCLEQCL=$F2374),0))</f>
        <v>CENT_AIR</v>
      </c>
      <c r="X2374" s="153" t="str">
        <f t="array" ref="X2374">INDEX(xlRTTYNAME,MATCH(1,(xlRTTYENDU=1)*(xlRTTYEQCL=$D2374)*(xlRTEQTYPE=$E2374),0))</f>
        <v>DIST_FA3</v>
      </c>
      <c r="Y2374" s="153" t="str">
        <f t="array" ref="Y2374">INDEX(xlRTTYNAME,MATCH(1,(xlRTTYENDU=2)*(xlRTTYEQCL=$F2374)*(xlRTEQTYPE=$G2374),0))</f>
        <v>CENT_AIR3</v>
      </c>
    </row>
    <row r="2375" spans="2:25" x14ac:dyDescent="0.2">
      <c r="B2375" s="126">
        <v>5</v>
      </c>
      <c r="C2375" s="126">
        <v>3</v>
      </c>
      <c r="D2375" s="126">
        <v>7</v>
      </c>
      <c r="E2375" s="126">
        <v>24</v>
      </c>
      <c r="F2375" s="126">
        <v>2</v>
      </c>
      <c r="G2375" s="126">
        <v>7</v>
      </c>
      <c r="H2375" s="126">
        <v>2016</v>
      </c>
      <c r="I2375" s="159">
        <v>2022</v>
      </c>
      <c r="J2375" s="127">
        <v>1.0667</v>
      </c>
      <c r="K2375" s="127">
        <v>1.0568</v>
      </c>
      <c r="L2375" s="127">
        <v>0.77539999999999998</v>
      </c>
      <c r="M2375" s="127">
        <v>1.0201</v>
      </c>
      <c r="N2375" s="127">
        <v>0.83260000000000001</v>
      </c>
      <c r="O2375" s="127">
        <v>1.0538000000000001</v>
      </c>
      <c r="P2375" s="126">
        <v>4952</v>
      </c>
      <c r="Q2375" s="128">
        <f t="array" ref="Q2375">SUM(IF(($S2375&gt;=4)*($C2375='TaxCred&amp;Subs'!$D$123:$D$127)*($H2375='TaxCred&amp;Subs'!$C$123:$C$127)*($H2375&lt;='TaxCred&amp;Subs'!$C$129),'TaxCred&amp;Subs'!$E$123:$E$127,0))</f>
        <v>1000</v>
      </c>
      <c r="R2375" s="174">
        <v>0</v>
      </c>
      <c r="S2375" s="126">
        <v>4</v>
      </c>
      <c r="T2375" s="126" t="s">
        <v>248</v>
      </c>
      <c r="V2375" s="153" t="str">
        <f t="array" ref="V2375">INDEX(xlRTCLNAME,MATCH(1,(xlRTCLENDU=1)*(xlRTCLEQCL=$D2375),0))</f>
        <v>DIST_FA</v>
      </c>
      <c r="W2375" s="153" t="str">
        <f t="array" ref="W2375">INDEX(xlRTCLNAME,MATCH(1,(xlRTCLENDU=2)*(xlRTCLEQCL=$F2375),0))</f>
        <v>CENT_AIR</v>
      </c>
      <c r="X2375" s="153" t="str">
        <f t="array" ref="X2375">INDEX(xlRTTYNAME,MATCH(1,(xlRTTYENDU=1)*(xlRTTYEQCL=$D2375)*(xlRTEQTYPE=$E2375),0))</f>
        <v>DIST_FA3</v>
      </c>
      <c r="Y2375" s="153" t="str">
        <f t="array" ref="Y2375">INDEX(xlRTTYNAME,MATCH(1,(xlRTTYENDU=2)*(xlRTTYEQCL=$F2375)*(xlRTEQTYPE=$G2375),0))</f>
        <v>CENT_AIR3</v>
      </c>
    </row>
    <row r="2376" spans="2:25" x14ac:dyDescent="0.2">
      <c r="B2376" s="49">
        <v>5</v>
      </c>
      <c r="C2376" s="49">
        <v>3</v>
      </c>
      <c r="D2376" s="49">
        <v>7</v>
      </c>
      <c r="E2376" s="49">
        <v>24</v>
      </c>
      <c r="F2376" s="49">
        <v>2</v>
      </c>
      <c r="G2376" s="49">
        <v>7</v>
      </c>
      <c r="H2376" s="49">
        <v>2023</v>
      </c>
      <c r="I2376" s="49">
        <v>2032</v>
      </c>
      <c r="J2376" s="50">
        <v>1.0667</v>
      </c>
      <c r="K2376" s="50">
        <v>1.0568</v>
      </c>
      <c r="L2376" s="50">
        <v>0.77539999999999998</v>
      </c>
      <c r="M2376" s="50">
        <v>1.0201</v>
      </c>
      <c r="N2376" s="50">
        <v>0.83260000000000001</v>
      </c>
      <c r="O2376" s="50">
        <v>1.0538000000000001</v>
      </c>
      <c r="P2376" s="49">
        <v>4952</v>
      </c>
      <c r="Q2376" s="51">
        <f t="array" ref="Q2376">SUM(IF(($S2376&gt;=4)*($C2376='TaxCred&amp;Subs'!$D$123:$D$127)*($H2376='TaxCred&amp;Subs'!$C$123:$C$127)*($H2376&lt;='TaxCred&amp;Subs'!$C$129),'TaxCred&amp;Subs'!$E$123:$E$127,0))</f>
        <v>2500</v>
      </c>
      <c r="R2376" s="171">
        <v>0</v>
      </c>
      <c r="S2376" s="49">
        <v>4</v>
      </c>
      <c r="T2376" s="49" t="s">
        <v>248</v>
      </c>
      <c r="V2376" s="153" t="str">
        <f t="array" ref="V2376">INDEX(xlRTCLNAME,MATCH(1,(xlRTCLENDU=1)*(xlRTCLEQCL=$D2376),0))</f>
        <v>DIST_FA</v>
      </c>
      <c r="W2376" s="153" t="str">
        <f t="array" ref="W2376">INDEX(xlRTCLNAME,MATCH(1,(xlRTCLENDU=2)*(xlRTCLEQCL=$F2376),0))</f>
        <v>CENT_AIR</v>
      </c>
      <c r="X2376" s="153" t="str">
        <f t="array" ref="X2376">INDEX(xlRTTYNAME,MATCH(1,(xlRTTYENDU=1)*(xlRTTYEQCL=$D2376)*(xlRTEQTYPE=$E2376),0))</f>
        <v>DIST_FA3</v>
      </c>
      <c r="Y2376" s="153" t="str">
        <f t="array" ref="Y2376">INDEX(xlRTTYNAME,MATCH(1,(xlRTTYENDU=2)*(xlRTTYEQCL=$F2376)*(xlRTEQTYPE=$G2376),0))</f>
        <v>CENT_AIR3</v>
      </c>
    </row>
    <row r="2377" spans="2:25" x14ac:dyDescent="0.2">
      <c r="B2377" s="126">
        <v>5</v>
      </c>
      <c r="C2377" s="126">
        <v>3</v>
      </c>
      <c r="D2377" s="126">
        <v>7</v>
      </c>
      <c r="E2377" s="126">
        <v>24</v>
      </c>
      <c r="F2377" s="126">
        <v>2</v>
      </c>
      <c r="G2377" s="126">
        <v>7</v>
      </c>
      <c r="H2377" s="159">
        <v>2033</v>
      </c>
      <c r="I2377" s="126">
        <v>2050</v>
      </c>
      <c r="J2377" s="127">
        <v>1.0667</v>
      </c>
      <c r="K2377" s="127">
        <v>1.0568</v>
      </c>
      <c r="L2377" s="127">
        <v>0.77539999999999998</v>
      </c>
      <c r="M2377" s="127">
        <v>1.0201</v>
      </c>
      <c r="N2377" s="127">
        <v>0.83260000000000001</v>
      </c>
      <c r="O2377" s="127">
        <v>1.0538000000000001</v>
      </c>
      <c r="P2377" s="126">
        <v>4952</v>
      </c>
      <c r="Q2377" s="128">
        <f t="array" ref="Q2377">SUM(IF(($S2377&gt;=4)*($C2377='TaxCred&amp;Subs'!$D$123:$D$127)*($H2377='TaxCred&amp;Subs'!$C$123:$C$127)*($H2377&lt;='TaxCred&amp;Subs'!$C$129),'TaxCred&amp;Subs'!$E$123:$E$127,0))</f>
        <v>0</v>
      </c>
      <c r="R2377" s="174">
        <v>0</v>
      </c>
      <c r="S2377" s="126">
        <v>4</v>
      </c>
      <c r="T2377" s="126" t="s">
        <v>248</v>
      </c>
      <c r="V2377" s="153" t="str">
        <f t="array" ref="V2377">INDEX(xlRTCLNAME,MATCH(1,(xlRTCLENDU=1)*(xlRTCLEQCL=$D2377),0))</f>
        <v>DIST_FA</v>
      </c>
      <c r="W2377" s="153" t="str">
        <f t="array" ref="W2377">INDEX(xlRTCLNAME,MATCH(1,(xlRTCLENDU=2)*(xlRTCLEQCL=$F2377),0))</f>
        <v>CENT_AIR</v>
      </c>
      <c r="X2377" s="153" t="str">
        <f t="array" ref="X2377">INDEX(xlRTTYNAME,MATCH(1,(xlRTTYENDU=1)*(xlRTTYEQCL=$D2377)*(xlRTEQTYPE=$E2377),0))</f>
        <v>DIST_FA3</v>
      </c>
      <c r="Y2377" s="153" t="str">
        <f t="array" ref="Y2377">INDEX(xlRTTYNAME,MATCH(1,(xlRTTYENDU=2)*(xlRTTYEQCL=$F2377)*(xlRTEQTYPE=$G2377),0))</f>
        <v>CENT_AIR3</v>
      </c>
    </row>
    <row r="2378" spans="2:25" x14ac:dyDescent="0.2">
      <c r="B2378" s="126">
        <v>6</v>
      </c>
      <c r="C2378" s="126">
        <v>3</v>
      </c>
      <c r="D2378" s="126">
        <v>7</v>
      </c>
      <c r="E2378" s="126">
        <v>24</v>
      </c>
      <c r="F2378" s="126">
        <v>2</v>
      </c>
      <c r="G2378" s="126">
        <v>7</v>
      </c>
      <c r="H2378" s="126">
        <v>2016</v>
      </c>
      <c r="I2378" s="159">
        <v>2022</v>
      </c>
      <c r="J2378" s="127">
        <v>1.0896999999999999</v>
      </c>
      <c r="K2378" s="127">
        <v>1.0723</v>
      </c>
      <c r="L2378" s="127">
        <v>0.82430000000000003</v>
      </c>
      <c r="M2378" s="127">
        <v>1.0309999999999999</v>
      </c>
      <c r="N2378" s="127">
        <v>0.80269999999999997</v>
      </c>
      <c r="O2378" s="127">
        <v>1.0538000000000001</v>
      </c>
      <c r="P2378" s="126">
        <v>4810</v>
      </c>
      <c r="Q2378" s="128">
        <f t="array" ref="Q2378">SUM(IF(($S2378&gt;=4)*($C2378='TaxCred&amp;Subs'!$D$123:$D$127)*($H2378='TaxCred&amp;Subs'!$C$123:$C$127)*($H2378&lt;='TaxCred&amp;Subs'!$C$129),'TaxCred&amp;Subs'!$E$123:$E$127,0))</f>
        <v>1000</v>
      </c>
      <c r="R2378" s="174">
        <v>0</v>
      </c>
      <c r="S2378" s="126">
        <v>4</v>
      </c>
      <c r="T2378" s="126" t="s">
        <v>248</v>
      </c>
      <c r="V2378" s="153" t="str">
        <f t="array" ref="V2378">INDEX(xlRTCLNAME,MATCH(1,(xlRTCLENDU=1)*(xlRTCLEQCL=$D2378),0))</f>
        <v>DIST_FA</v>
      </c>
      <c r="W2378" s="153" t="str">
        <f t="array" ref="W2378">INDEX(xlRTCLNAME,MATCH(1,(xlRTCLENDU=2)*(xlRTCLEQCL=$F2378),0))</f>
        <v>CENT_AIR</v>
      </c>
      <c r="X2378" s="153" t="str">
        <f t="array" ref="X2378">INDEX(xlRTTYNAME,MATCH(1,(xlRTTYENDU=1)*(xlRTTYEQCL=$D2378)*(xlRTEQTYPE=$E2378),0))</f>
        <v>DIST_FA3</v>
      </c>
      <c r="Y2378" s="153" t="str">
        <f t="array" ref="Y2378">INDEX(xlRTTYNAME,MATCH(1,(xlRTTYENDU=2)*(xlRTTYEQCL=$F2378)*(xlRTEQTYPE=$G2378),0))</f>
        <v>CENT_AIR3</v>
      </c>
    </row>
    <row r="2379" spans="2:25" x14ac:dyDescent="0.2">
      <c r="B2379" s="49">
        <v>6</v>
      </c>
      <c r="C2379" s="49">
        <v>3</v>
      </c>
      <c r="D2379" s="49">
        <v>7</v>
      </c>
      <c r="E2379" s="49">
        <v>24</v>
      </c>
      <c r="F2379" s="49">
        <v>2</v>
      </c>
      <c r="G2379" s="49">
        <v>7</v>
      </c>
      <c r="H2379" s="49">
        <v>2023</v>
      </c>
      <c r="I2379" s="49">
        <v>2032</v>
      </c>
      <c r="J2379" s="50">
        <v>1.0896999999999999</v>
      </c>
      <c r="K2379" s="50">
        <v>1.0723</v>
      </c>
      <c r="L2379" s="50">
        <v>0.82430000000000003</v>
      </c>
      <c r="M2379" s="50">
        <v>1.0309999999999999</v>
      </c>
      <c r="N2379" s="50">
        <v>0.80269999999999997</v>
      </c>
      <c r="O2379" s="50">
        <v>1.0538000000000001</v>
      </c>
      <c r="P2379" s="49">
        <v>4810</v>
      </c>
      <c r="Q2379" s="51">
        <f t="array" ref="Q2379">SUM(IF(($S2379&gt;=4)*($C2379='TaxCred&amp;Subs'!$D$123:$D$127)*($H2379='TaxCred&amp;Subs'!$C$123:$C$127)*($H2379&lt;='TaxCred&amp;Subs'!$C$129),'TaxCred&amp;Subs'!$E$123:$E$127,0))</f>
        <v>2500</v>
      </c>
      <c r="R2379" s="171">
        <v>0</v>
      </c>
      <c r="S2379" s="49">
        <v>4</v>
      </c>
      <c r="T2379" s="49" t="s">
        <v>248</v>
      </c>
      <c r="V2379" s="153" t="str">
        <f t="array" ref="V2379">INDEX(xlRTCLNAME,MATCH(1,(xlRTCLENDU=1)*(xlRTCLEQCL=$D2379),0))</f>
        <v>DIST_FA</v>
      </c>
      <c r="W2379" s="153" t="str">
        <f t="array" ref="W2379">INDEX(xlRTCLNAME,MATCH(1,(xlRTCLENDU=2)*(xlRTCLEQCL=$F2379),0))</f>
        <v>CENT_AIR</v>
      </c>
      <c r="X2379" s="153" t="str">
        <f t="array" ref="X2379">INDEX(xlRTTYNAME,MATCH(1,(xlRTTYENDU=1)*(xlRTTYEQCL=$D2379)*(xlRTEQTYPE=$E2379),0))</f>
        <v>DIST_FA3</v>
      </c>
      <c r="Y2379" s="153" t="str">
        <f t="array" ref="Y2379">INDEX(xlRTTYNAME,MATCH(1,(xlRTTYENDU=2)*(xlRTTYEQCL=$F2379)*(xlRTEQTYPE=$G2379),0))</f>
        <v>CENT_AIR3</v>
      </c>
    </row>
    <row r="2380" spans="2:25" x14ac:dyDescent="0.2">
      <c r="B2380" s="126">
        <v>6</v>
      </c>
      <c r="C2380" s="126">
        <v>3</v>
      </c>
      <c r="D2380" s="126">
        <v>7</v>
      </c>
      <c r="E2380" s="126">
        <v>24</v>
      </c>
      <c r="F2380" s="126">
        <v>2</v>
      </c>
      <c r="G2380" s="126">
        <v>7</v>
      </c>
      <c r="H2380" s="159">
        <v>2033</v>
      </c>
      <c r="I2380" s="126">
        <v>2050</v>
      </c>
      <c r="J2380" s="127">
        <v>1.0896999999999999</v>
      </c>
      <c r="K2380" s="127">
        <v>1.0723</v>
      </c>
      <c r="L2380" s="127">
        <v>0.82430000000000003</v>
      </c>
      <c r="M2380" s="127">
        <v>1.0309999999999999</v>
      </c>
      <c r="N2380" s="127">
        <v>0.80269999999999997</v>
      </c>
      <c r="O2380" s="127">
        <v>1.0538000000000001</v>
      </c>
      <c r="P2380" s="126">
        <v>4810</v>
      </c>
      <c r="Q2380" s="128">
        <f t="array" ref="Q2380">SUM(IF(($S2380&gt;=4)*($C2380='TaxCred&amp;Subs'!$D$123:$D$127)*($H2380='TaxCred&amp;Subs'!$C$123:$C$127)*($H2380&lt;='TaxCred&amp;Subs'!$C$129),'TaxCred&amp;Subs'!$E$123:$E$127,0))</f>
        <v>0</v>
      </c>
      <c r="R2380" s="174">
        <v>0</v>
      </c>
      <c r="S2380" s="126">
        <v>4</v>
      </c>
      <c r="T2380" s="126" t="s">
        <v>248</v>
      </c>
      <c r="V2380" s="153" t="str">
        <f t="array" ref="V2380">INDEX(xlRTCLNAME,MATCH(1,(xlRTCLENDU=1)*(xlRTCLEQCL=$D2380),0))</f>
        <v>DIST_FA</v>
      </c>
      <c r="W2380" s="153" t="str">
        <f t="array" ref="W2380">INDEX(xlRTCLNAME,MATCH(1,(xlRTCLENDU=2)*(xlRTCLEQCL=$F2380),0))</f>
        <v>CENT_AIR</v>
      </c>
      <c r="X2380" s="153" t="str">
        <f t="array" ref="X2380">INDEX(xlRTTYNAME,MATCH(1,(xlRTTYENDU=1)*(xlRTTYEQCL=$D2380)*(xlRTEQTYPE=$E2380),0))</f>
        <v>DIST_FA3</v>
      </c>
      <c r="Y2380" s="153" t="str">
        <f t="array" ref="Y2380">INDEX(xlRTTYNAME,MATCH(1,(xlRTTYENDU=2)*(xlRTTYEQCL=$F2380)*(xlRTEQTYPE=$G2380),0))</f>
        <v>CENT_AIR3</v>
      </c>
    </row>
    <row r="2381" spans="2:25" x14ac:dyDescent="0.2">
      <c r="B2381" s="126">
        <v>7</v>
      </c>
      <c r="C2381" s="126">
        <v>3</v>
      </c>
      <c r="D2381" s="126">
        <v>7</v>
      </c>
      <c r="E2381" s="126">
        <v>24</v>
      </c>
      <c r="F2381" s="126">
        <v>2</v>
      </c>
      <c r="G2381" s="126">
        <v>7</v>
      </c>
      <c r="H2381" s="126">
        <v>2016</v>
      </c>
      <c r="I2381" s="159">
        <v>2022</v>
      </c>
      <c r="J2381" s="127">
        <v>1.0940000000000001</v>
      </c>
      <c r="K2381" s="127">
        <v>1.0512999999999999</v>
      </c>
      <c r="L2381" s="127">
        <v>0.72770000000000001</v>
      </c>
      <c r="M2381" s="127">
        <v>0.98</v>
      </c>
      <c r="N2381" s="127">
        <v>0.81289999999999996</v>
      </c>
      <c r="O2381" s="127">
        <v>1.0538000000000001</v>
      </c>
      <c r="P2381" s="126">
        <v>4738</v>
      </c>
      <c r="Q2381" s="128">
        <f t="array" ref="Q2381">SUM(IF(($S2381&gt;=4)*($C2381='TaxCred&amp;Subs'!$D$123:$D$127)*($H2381='TaxCred&amp;Subs'!$C$123:$C$127)*($H2381&lt;='TaxCred&amp;Subs'!$C$129),'TaxCred&amp;Subs'!$E$123:$E$127,0))</f>
        <v>1000</v>
      </c>
      <c r="R2381" s="174">
        <v>0</v>
      </c>
      <c r="S2381" s="126">
        <v>4</v>
      </c>
      <c r="T2381" s="126" t="s">
        <v>248</v>
      </c>
      <c r="V2381" s="153" t="str">
        <f t="array" ref="V2381">INDEX(xlRTCLNAME,MATCH(1,(xlRTCLENDU=1)*(xlRTCLEQCL=$D2381),0))</f>
        <v>DIST_FA</v>
      </c>
      <c r="W2381" s="153" t="str">
        <f t="array" ref="W2381">INDEX(xlRTCLNAME,MATCH(1,(xlRTCLENDU=2)*(xlRTCLEQCL=$F2381),0))</f>
        <v>CENT_AIR</v>
      </c>
      <c r="X2381" s="153" t="str">
        <f t="array" ref="X2381">INDEX(xlRTTYNAME,MATCH(1,(xlRTTYENDU=1)*(xlRTTYEQCL=$D2381)*(xlRTEQTYPE=$E2381),0))</f>
        <v>DIST_FA3</v>
      </c>
      <c r="Y2381" s="153" t="str">
        <f t="array" ref="Y2381">INDEX(xlRTTYNAME,MATCH(1,(xlRTTYENDU=2)*(xlRTTYEQCL=$F2381)*(xlRTEQTYPE=$G2381),0))</f>
        <v>CENT_AIR3</v>
      </c>
    </row>
    <row r="2382" spans="2:25" x14ac:dyDescent="0.2">
      <c r="B2382" s="49">
        <v>7</v>
      </c>
      <c r="C2382" s="49">
        <v>3</v>
      </c>
      <c r="D2382" s="49">
        <v>7</v>
      </c>
      <c r="E2382" s="49">
        <v>24</v>
      </c>
      <c r="F2382" s="49">
        <v>2</v>
      </c>
      <c r="G2382" s="49">
        <v>7</v>
      </c>
      <c r="H2382" s="49">
        <v>2023</v>
      </c>
      <c r="I2382" s="49">
        <v>2032</v>
      </c>
      <c r="J2382" s="50">
        <v>1.0940000000000001</v>
      </c>
      <c r="K2382" s="50">
        <v>1.0512999999999999</v>
      </c>
      <c r="L2382" s="50">
        <v>0.72770000000000001</v>
      </c>
      <c r="M2382" s="50">
        <v>0.98</v>
      </c>
      <c r="N2382" s="50">
        <v>0.81289999999999996</v>
      </c>
      <c r="O2382" s="50">
        <v>1.0538000000000001</v>
      </c>
      <c r="P2382" s="49">
        <v>4738</v>
      </c>
      <c r="Q2382" s="51">
        <f t="array" ref="Q2382">SUM(IF(($S2382&gt;=4)*($C2382='TaxCred&amp;Subs'!$D$123:$D$127)*($H2382='TaxCred&amp;Subs'!$C$123:$C$127)*($H2382&lt;='TaxCred&amp;Subs'!$C$129),'TaxCred&amp;Subs'!$E$123:$E$127,0))</f>
        <v>2500</v>
      </c>
      <c r="R2382" s="171">
        <v>0</v>
      </c>
      <c r="S2382" s="49">
        <v>4</v>
      </c>
      <c r="T2382" s="49" t="s">
        <v>248</v>
      </c>
      <c r="V2382" s="153" t="str">
        <f t="array" ref="V2382">INDEX(xlRTCLNAME,MATCH(1,(xlRTCLENDU=1)*(xlRTCLEQCL=$D2382),0))</f>
        <v>DIST_FA</v>
      </c>
      <c r="W2382" s="153" t="str">
        <f t="array" ref="W2382">INDEX(xlRTCLNAME,MATCH(1,(xlRTCLENDU=2)*(xlRTCLEQCL=$F2382),0))</f>
        <v>CENT_AIR</v>
      </c>
      <c r="X2382" s="153" t="str">
        <f t="array" ref="X2382">INDEX(xlRTTYNAME,MATCH(1,(xlRTTYENDU=1)*(xlRTTYEQCL=$D2382)*(xlRTEQTYPE=$E2382),0))</f>
        <v>DIST_FA3</v>
      </c>
      <c r="Y2382" s="153" t="str">
        <f t="array" ref="Y2382">INDEX(xlRTTYNAME,MATCH(1,(xlRTTYENDU=2)*(xlRTTYEQCL=$F2382)*(xlRTEQTYPE=$G2382),0))</f>
        <v>CENT_AIR3</v>
      </c>
    </row>
    <row r="2383" spans="2:25" x14ac:dyDescent="0.2">
      <c r="B2383" s="126">
        <v>7</v>
      </c>
      <c r="C2383" s="126">
        <v>3</v>
      </c>
      <c r="D2383" s="126">
        <v>7</v>
      </c>
      <c r="E2383" s="126">
        <v>24</v>
      </c>
      <c r="F2383" s="126">
        <v>2</v>
      </c>
      <c r="G2383" s="126">
        <v>7</v>
      </c>
      <c r="H2383" s="159">
        <v>2033</v>
      </c>
      <c r="I2383" s="126">
        <v>2050</v>
      </c>
      <c r="J2383" s="127">
        <v>1.0940000000000001</v>
      </c>
      <c r="K2383" s="127">
        <v>1.0512999999999999</v>
      </c>
      <c r="L2383" s="127">
        <v>0.72770000000000001</v>
      </c>
      <c r="M2383" s="127">
        <v>0.98</v>
      </c>
      <c r="N2383" s="127">
        <v>0.81289999999999996</v>
      </c>
      <c r="O2383" s="127">
        <v>1.0538000000000001</v>
      </c>
      <c r="P2383" s="126">
        <v>4738</v>
      </c>
      <c r="Q2383" s="128">
        <f t="array" ref="Q2383">SUM(IF(($S2383&gt;=4)*($C2383='TaxCred&amp;Subs'!$D$123:$D$127)*($H2383='TaxCred&amp;Subs'!$C$123:$C$127)*($H2383&lt;='TaxCred&amp;Subs'!$C$129),'TaxCred&amp;Subs'!$E$123:$E$127,0))</f>
        <v>0</v>
      </c>
      <c r="R2383" s="174">
        <v>0</v>
      </c>
      <c r="S2383" s="126">
        <v>4</v>
      </c>
      <c r="T2383" s="126" t="s">
        <v>248</v>
      </c>
      <c r="V2383" s="153" t="str">
        <f t="array" ref="V2383">INDEX(xlRTCLNAME,MATCH(1,(xlRTCLENDU=1)*(xlRTCLEQCL=$D2383),0))</f>
        <v>DIST_FA</v>
      </c>
      <c r="W2383" s="153" t="str">
        <f t="array" ref="W2383">INDEX(xlRTCLNAME,MATCH(1,(xlRTCLENDU=2)*(xlRTCLEQCL=$F2383),0))</f>
        <v>CENT_AIR</v>
      </c>
      <c r="X2383" s="153" t="str">
        <f t="array" ref="X2383">INDEX(xlRTTYNAME,MATCH(1,(xlRTTYENDU=1)*(xlRTTYEQCL=$D2383)*(xlRTEQTYPE=$E2383),0))</f>
        <v>DIST_FA3</v>
      </c>
      <c r="Y2383" s="153" t="str">
        <f t="array" ref="Y2383">INDEX(xlRTTYNAME,MATCH(1,(xlRTTYENDU=2)*(xlRTTYEQCL=$F2383)*(xlRTEQTYPE=$G2383),0))</f>
        <v>CENT_AIR3</v>
      </c>
    </row>
    <row r="2384" spans="2:25" x14ac:dyDescent="0.2">
      <c r="B2384" s="126">
        <v>9</v>
      </c>
      <c r="C2384" s="126">
        <v>3</v>
      </c>
      <c r="D2384" s="126">
        <v>7</v>
      </c>
      <c r="E2384" s="126">
        <v>24</v>
      </c>
      <c r="F2384" s="126">
        <v>2</v>
      </c>
      <c r="G2384" s="126">
        <v>7</v>
      </c>
      <c r="H2384" s="126">
        <v>2016</v>
      </c>
      <c r="I2384" s="159">
        <v>2022</v>
      </c>
      <c r="J2384" s="127">
        <v>1.0743</v>
      </c>
      <c r="K2384" s="127">
        <v>1.0519000000000001</v>
      </c>
      <c r="L2384" s="127">
        <v>0.89390000000000003</v>
      </c>
      <c r="M2384" s="127">
        <v>1.0992</v>
      </c>
      <c r="N2384" s="127">
        <v>0.84240000000000004</v>
      </c>
      <c r="O2384" s="127">
        <v>1.0538000000000001</v>
      </c>
      <c r="P2384" s="126">
        <v>6502</v>
      </c>
      <c r="Q2384" s="128">
        <f t="array" ref="Q2384">SUM(IF(($S2384&gt;=4)*($C2384='TaxCred&amp;Subs'!$D$123:$D$127)*($H2384='TaxCred&amp;Subs'!$C$123:$C$127)*($H2384&lt;='TaxCred&amp;Subs'!$C$129),'TaxCred&amp;Subs'!$E$123:$E$127,0))</f>
        <v>1000</v>
      </c>
      <c r="R2384" s="174">
        <v>0</v>
      </c>
      <c r="S2384" s="126">
        <v>4</v>
      </c>
      <c r="T2384" s="126" t="s">
        <v>248</v>
      </c>
      <c r="V2384" s="153" t="str">
        <f t="array" ref="V2384">INDEX(xlRTCLNAME,MATCH(1,(xlRTCLENDU=1)*(xlRTCLEQCL=$D2384),0))</f>
        <v>DIST_FA</v>
      </c>
      <c r="W2384" s="153" t="str">
        <f t="array" ref="W2384">INDEX(xlRTCLNAME,MATCH(1,(xlRTCLENDU=2)*(xlRTCLEQCL=$F2384),0))</f>
        <v>CENT_AIR</v>
      </c>
      <c r="X2384" s="153" t="str">
        <f t="array" ref="X2384">INDEX(xlRTTYNAME,MATCH(1,(xlRTTYENDU=1)*(xlRTTYEQCL=$D2384)*(xlRTEQTYPE=$E2384),0))</f>
        <v>DIST_FA3</v>
      </c>
      <c r="Y2384" s="153" t="str">
        <f t="array" ref="Y2384">INDEX(xlRTTYNAME,MATCH(1,(xlRTTYENDU=2)*(xlRTTYEQCL=$F2384)*(xlRTEQTYPE=$G2384),0))</f>
        <v>CENT_AIR3</v>
      </c>
    </row>
    <row r="2385" spans="2:25" x14ac:dyDescent="0.2">
      <c r="B2385" s="49">
        <v>9</v>
      </c>
      <c r="C2385" s="49">
        <v>3</v>
      </c>
      <c r="D2385" s="49">
        <v>7</v>
      </c>
      <c r="E2385" s="49">
        <v>24</v>
      </c>
      <c r="F2385" s="49">
        <v>2</v>
      </c>
      <c r="G2385" s="49">
        <v>7</v>
      </c>
      <c r="H2385" s="49">
        <v>2023</v>
      </c>
      <c r="I2385" s="49">
        <v>2032</v>
      </c>
      <c r="J2385" s="50">
        <v>1.0743</v>
      </c>
      <c r="K2385" s="50">
        <v>1.0519000000000001</v>
      </c>
      <c r="L2385" s="50">
        <v>0.89390000000000003</v>
      </c>
      <c r="M2385" s="50">
        <v>1.0992</v>
      </c>
      <c r="N2385" s="50">
        <v>0.84240000000000004</v>
      </c>
      <c r="O2385" s="50">
        <v>1.0538000000000001</v>
      </c>
      <c r="P2385" s="49">
        <v>6502</v>
      </c>
      <c r="Q2385" s="51">
        <f t="array" ref="Q2385">SUM(IF(($S2385&gt;=4)*($C2385='TaxCred&amp;Subs'!$D$123:$D$127)*($H2385='TaxCred&amp;Subs'!$C$123:$C$127)*($H2385&lt;='TaxCred&amp;Subs'!$C$129),'TaxCred&amp;Subs'!$E$123:$E$127,0))</f>
        <v>2500</v>
      </c>
      <c r="R2385" s="171">
        <v>0</v>
      </c>
      <c r="S2385" s="49">
        <v>4</v>
      </c>
      <c r="T2385" s="49" t="s">
        <v>248</v>
      </c>
      <c r="V2385" s="153" t="str">
        <f t="array" ref="V2385">INDEX(xlRTCLNAME,MATCH(1,(xlRTCLENDU=1)*(xlRTCLEQCL=$D2385),0))</f>
        <v>DIST_FA</v>
      </c>
      <c r="W2385" s="153" t="str">
        <f t="array" ref="W2385">INDEX(xlRTCLNAME,MATCH(1,(xlRTCLENDU=2)*(xlRTCLEQCL=$F2385),0))</f>
        <v>CENT_AIR</v>
      </c>
      <c r="X2385" s="153" t="str">
        <f t="array" ref="X2385">INDEX(xlRTTYNAME,MATCH(1,(xlRTTYENDU=1)*(xlRTTYEQCL=$D2385)*(xlRTEQTYPE=$E2385),0))</f>
        <v>DIST_FA3</v>
      </c>
      <c r="Y2385" s="153" t="str">
        <f t="array" ref="Y2385">INDEX(xlRTTYNAME,MATCH(1,(xlRTTYENDU=2)*(xlRTTYEQCL=$F2385)*(xlRTEQTYPE=$G2385),0))</f>
        <v>CENT_AIR3</v>
      </c>
    </row>
    <row r="2386" spans="2:25" x14ac:dyDescent="0.2">
      <c r="B2386" s="126">
        <v>9</v>
      </c>
      <c r="C2386" s="126">
        <v>3</v>
      </c>
      <c r="D2386" s="126">
        <v>7</v>
      </c>
      <c r="E2386" s="126">
        <v>24</v>
      </c>
      <c r="F2386" s="126">
        <v>2</v>
      </c>
      <c r="G2386" s="126">
        <v>7</v>
      </c>
      <c r="H2386" s="159">
        <v>2033</v>
      </c>
      <c r="I2386" s="126">
        <v>2050</v>
      </c>
      <c r="J2386" s="127">
        <v>1.0743</v>
      </c>
      <c r="K2386" s="127">
        <v>1.0519000000000001</v>
      </c>
      <c r="L2386" s="127">
        <v>0.89390000000000003</v>
      </c>
      <c r="M2386" s="127">
        <v>1.0992</v>
      </c>
      <c r="N2386" s="127">
        <v>0.84240000000000004</v>
      </c>
      <c r="O2386" s="127">
        <v>1.0538000000000001</v>
      </c>
      <c r="P2386" s="126">
        <v>6502</v>
      </c>
      <c r="Q2386" s="128">
        <f t="array" ref="Q2386">SUM(IF(($S2386&gt;=4)*($C2386='TaxCred&amp;Subs'!$D$123:$D$127)*($H2386='TaxCred&amp;Subs'!$C$123:$C$127)*($H2386&lt;='TaxCred&amp;Subs'!$C$129),'TaxCred&amp;Subs'!$E$123:$E$127,0))</f>
        <v>0</v>
      </c>
      <c r="R2386" s="174">
        <v>0</v>
      </c>
      <c r="S2386" s="126">
        <v>4</v>
      </c>
      <c r="T2386" s="126" t="s">
        <v>248</v>
      </c>
      <c r="V2386" s="153" t="str">
        <f t="array" ref="V2386">INDEX(xlRTCLNAME,MATCH(1,(xlRTCLENDU=1)*(xlRTCLEQCL=$D2386),0))</f>
        <v>DIST_FA</v>
      </c>
      <c r="W2386" s="153" t="str">
        <f t="array" ref="W2386">INDEX(xlRTCLNAME,MATCH(1,(xlRTCLENDU=2)*(xlRTCLEQCL=$F2386),0))</f>
        <v>CENT_AIR</v>
      </c>
      <c r="X2386" s="153" t="str">
        <f t="array" ref="X2386">INDEX(xlRTTYNAME,MATCH(1,(xlRTTYENDU=1)*(xlRTTYEQCL=$D2386)*(xlRTEQTYPE=$E2386),0))</f>
        <v>DIST_FA3</v>
      </c>
      <c r="Y2386" s="153" t="str">
        <f t="array" ref="Y2386">INDEX(xlRTTYNAME,MATCH(1,(xlRTTYENDU=2)*(xlRTTYEQCL=$F2386)*(xlRTEQTYPE=$G2386),0))</f>
        <v>CENT_AIR3</v>
      </c>
    </row>
    <row r="2387" spans="2:25" x14ac:dyDescent="0.2">
      <c r="B2387" s="126">
        <v>5</v>
      </c>
      <c r="C2387" s="126">
        <v>3</v>
      </c>
      <c r="D2387" s="126">
        <v>8</v>
      </c>
      <c r="E2387" s="126">
        <v>28</v>
      </c>
      <c r="F2387" s="126">
        <v>2</v>
      </c>
      <c r="G2387" s="126">
        <v>7</v>
      </c>
      <c r="H2387" s="126">
        <v>2016</v>
      </c>
      <c r="I2387" s="159">
        <v>2022</v>
      </c>
      <c r="J2387" s="127">
        <v>1.0940000000000001</v>
      </c>
      <c r="K2387" s="127">
        <v>1.0575000000000001</v>
      </c>
      <c r="L2387" s="127">
        <v>0.85619999999999996</v>
      </c>
      <c r="M2387" s="127">
        <v>0.99719999999999998</v>
      </c>
      <c r="N2387" s="127">
        <v>0.83130000000000004</v>
      </c>
      <c r="O2387" s="127">
        <v>1.0538000000000001</v>
      </c>
      <c r="P2387" s="126">
        <v>5431</v>
      </c>
      <c r="Q2387" s="128">
        <f t="array" ref="Q2387">SUM(IF(($S2387&gt;=4)*($C2387='TaxCred&amp;Subs'!$D$123:$D$127)*($H2387='TaxCred&amp;Subs'!$C$123:$C$127)*($H2387&lt;='TaxCred&amp;Subs'!$C$129),'TaxCred&amp;Subs'!$E$123:$E$127,0))</f>
        <v>1000</v>
      </c>
      <c r="R2387" s="174">
        <v>0</v>
      </c>
      <c r="S2387" s="126">
        <v>4</v>
      </c>
      <c r="T2387" s="126" t="s">
        <v>248</v>
      </c>
      <c r="V2387" s="153" t="str">
        <f t="array" ref="V2387">INDEX(xlRTCLNAME,MATCH(1,(xlRTCLENDU=1)*(xlRTCLEQCL=$D2387),0))</f>
        <v>DIST_RAD</v>
      </c>
      <c r="W2387" s="153" t="str">
        <f t="array" ref="W2387">INDEX(xlRTCLNAME,MATCH(1,(xlRTCLENDU=2)*(xlRTCLEQCL=$F2387),0))</f>
        <v>CENT_AIR</v>
      </c>
      <c r="X2387" s="153" t="str">
        <f t="array" ref="X2387">INDEX(xlRTTYNAME,MATCH(1,(xlRTTYENDU=1)*(xlRTTYEQCL=$D2387)*(xlRTEQTYPE=$E2387),0))</f>
        <v>DIST_RAD3</v>
      </c>
      <c r="Y2387" s="153" t="str">
        <f t="array" ref="Y2387">INDEX(xlRTTYNAME,MATCH(1,(xlRTTYENDU=2)*(xlRTTYEQCL=$F2387)*(xlRTEQTYPE=$G2387),0))</f>
        <v>CENT_AIR3</v>
      </c>
    </row>
    <row r="2388" spans="2:25" x14ac:dyDescent="0.2">
      <c r="B2388" s="49">
        <v>5</v>
      </c>
      <c r="C2388" s="49">
        <v>3</v>
      </c>
      <c r="D2388" s="49">
        <v>8</v>
      </c>
      <c r="E2388" s="49">
        <v>28</v>
      </c>
      <c r="F2388" s="49">
        <v>2</v>
      </c>
      <c r="G2388" s="49">
        <v>7</v>
      </c>
      <c r="H2388" s="49">
        <v>2023</v>
      </c>
      <c r="I2388" s="49">
        <v>2032</v>
      </c>
      <c r="J2388" s="50">
        <v>1.0940000000000001</v>
      </c>
      <c r="K2388" s="50">
        <v>1.0575000000000001</v>
      </c>
      <c r="L2388" s="50">
        <v>0.85619999999999996</v>
      </c>
      <c r="M2388" s="50">
        <v>0.99719999999999998</v>
      </c>
      <c r="N2388" s="50">
        <v>0.83130000000000004</v>
      </c>
      <c r="O2388" s="50">
        <v>1.0538000000000001</v>
      </c>
      <c r="P2388" s="49">
        <v>5431</v>
      </c>
      <c r="Q2388" s="51">
        <f t="array" ref="Q2388">SUM(IF(($S2388&gt;=4)*($C2388='TaxCred&amp;Subs'!$D$123:$D$127)*($H2388='TaxCred&amp;Subs'!$C$123:$C$127)*($H2388&lt;='TaxCred&amp;Subs'!$C$129),'TaxCred&amp;Subs'!$E$123:$E$127,0))</f>
        <v>2500</v>
      </c>
      <c r="R2388" s="171">
        <v>0</v>
      </c>
      <c r="S2388" s="49">
        <v>4</v>
      </c>
      <c r="T2388" s="49" t="s">
        <v>248</v>
      </c>
      <c r="V2388" s="153" t="str">
        <f t="array" ref="V2388">INDEX(xlRTCLNAME,MATCH(1,(xlRTCLENDU=1)*(xlRTCLEQCL=$D2388),0))</f>
        <v>DIST_RAD</v>
      </c>
      <c r="W2388" s="153" t="str">
        <f t="array" ref="W2388">INDEX(xlRTCLNAME,MATCH(1,(xlRTCLENDU=2)*(xlRTCLEQCL=$F2388),0))</f>
        <v>CENT_AIR</v>
      </c>
      <c r="X2388" s="153" t="str">
        <f t="array" ref="X2388">INDEX(xlRTTYNAME,MATCH(1,(xlRTTYENDU=1)*(xlRTTYEQCL=$D2388)*(xlRTEQTYPE=$E2388),0))</f>
        <v>DIST_RAD3</v>
      </c>
      <c r="Y2388" s="153" t="str">
        <f t="array" ref="Y2388">INDEX(xlRTTYNAME,MATCH(1,(xlRTTYENDU=2)*(xlRTTYEQCL=$F2388)*(xlRTEQTYPE=$G2388),0))</f>
        <v>CENT_AIR3</v>
      </c>
    </row>
    <row r="2389" spans="2:25" x14ac:dyDescent="0.2">
      <c r="B2389" s="126">
        <v>5</v>
      </c>
      <c r="C2389" s="126">
        <v>3</v>
      </c>
      <c r="D2389" s="126">
        <v>8</v>
      </c>
      <c r="E2389" s="126">
        <v>28</v>
      </c>
      <c r="F2389" s="126">
        <v>2</v>
      </c>
      <c r="G2389" s="126">
        <v>7</v>
      </c>
      <c r="H2389" s="159">
        <v>2033</v>
      </c>
      <c r="I2389" s="126">
        <v>2050</v>
      </c>
      <c r="J2389" s="127">
        <v>1.0940000000000001</v>
      </c>
      <c r="K2389" s="127">
        <v>1.0575000000000001</v>
      </c>
      <c r="L2389" s="127">
        <v>0.85619999999999996</v>
      </c>
      <c r="M2389" s="127">
        <v>0.99719999999999998</v>
      </c>
      <c r="N2389" s="127">
        <v>0.83130000000000004</v>
      </c>
      <c r="O2389" s="127">
        <v>1.0538000000000001</v>
      </c>
      <c r="P2389" s="126">
        <v>5431</v>
      </c>
      <c r="Q2389" s="128">
        <f t="array" ref="Q2389">SUM(IF(($S2389&gt;=4)*($C2389='TaxCred&amp;Subs'!$D$123:$D$127)*($H2389='TaxCred&amp;Subs'!$C$123:$C$127)*($H2389&lt;='TaxCred&amp;Subs'!$C$129),'TaxCred&amp;Subs'!$E$123:$E$127,0))</f>
        <v>0</v>
      </c>
      <c r="R2389" s="174">
        <v>0</v>
      </c>
      <c r="S2389" s="126">
        <v>4</v>
      </c>
      <c r="T2389" s="126" t="s">
        <v>248</v>
      </c>
      <c r="V2389" s="153" t="str">
        <f t="array" ref="V2389">INDEX(xlRTCLNAME,MATCH(1,(xlRTCLENDU=1)*(xlRTCLEQCL=$D2389),0))</f>
        <v>DIST_RAD</v>
      </c>
      <c r="W2389" s="153" t="str">
        <f t="array" ref="W2389">INDEX(xlRTCLNAME,MATCH(1,(xlRTCLENDU=2)*(xlRTCLEQCL=$F2389),0))</f>
        <v>CENT_AIR</v>
      </c>
      <c r="X2389" s="153" t="str">
        <f t="array" ref="X2389">INDEX(xlRTTYNAME,MATCH(1,(xlRTTYENDU=1)*(xlRTTYEQCL=$D2389)*(xlRTEQTYPE=$E2389),0))</f>
        <v>DIST_RAD3</v>
      </c>
      <c r="Y2389" s="153" t="str">
        <f t="array" ref="Y2389">INDEX(xlRTTYNAME,MATCH(1,(xlRTTYENDU=2)*(xlRTTYEQCL=$F2389)*(xlRTEQTYPE=$G2389),0))</f>
        <v>CENT_AIR3</v>
      </c>
    </row>
    <row r="2390" spans="2:25" x14ac:dyDescent="0.2">
      <c r="B2390" s="126">
        <v>6</v>
      </c>
      <c r="C2390" s="126">
        <v>3</v>
      </c>
      <c r="D2390" s="126">
        <v>8</v>
      </c>
      <c r="E2390" s="126">
        <v>28</v>
      </c>
      <c r="F2390" s="126">
        <v>2</v>
      </c>
      <c r="G2390" s="126">
        <v>7</v>
      </c>
      <c r="H2390" s="126">
        <v>2016</v>
      </c>
      <c r="I2390" s="159">
        <v>2022</v>
      </c>
      <c r="J2390" s="127">
        <v>1.0873999999999999</v>
      </c>
      <c r="K2390" s="127">
        <v>1.0609999999999999</v>
      </c>
      <c r="L2390" s="127">
        <v>0.82179999999999997</v>
      </c>
      <c r="M2390" s="127">
        <v>1.0124</v>
      </c>
      <c r="N2390" s="127">
        <v>0.80189999999999995</v>
      </c>
      <c r="O2390" s="127">
        <v>1.0538000000000001</v>
      </c>
      <c r="P2390" s="126">
        <v>5305</v>
      </c>
      <c r="Q2390" s="128">
        <f t="array" ref="Q2390">SUM(IF(($S2390&gt;=4)*($C2390='TaxCred&amp;Subs'!$D$123:$D$127)*($H2390='TaxCred&amp;Subs'!$C$123:$C$127)*($H2390&lt;='TaxCred&amp;Subs'!$C$129),'TaxCred&amp;Subs'!$E$123:$E$127,0))</f>
        <v>1000</v>
      </c>
      <c r="R2390" s="174">
        <v>0</v>
      </c>
      <c r="S2390" s="126">
        <v>4</v>
      </c>
      <c r="T2390" s="126" t="s">
        <v>248</v>
      </c>
      <c r="V2390" s="153" t="str">
        <f t="array" ref="V2390">INDEX(xlRTCLNAME,MATCH(1,(xlRTCLENDU=1)*(xlRTCLEQCL=$D2390),0))</f>
        <v>DIST_RAD</v>
      </c>
      <c r="W2390" s="153" t="str">
        <f t="array" ref="W2390">INDEX(xlRTCLNAME,MATCH(1,(xlRTCLENDU=2)*(xlRTCLEQCL=$F2390),0))</f>
        <v>CENT_AIR</v>
      </c>
      <c r="X2390" s="153" t="str">
        <f t="array" ref="X2390">INDEX(xlRTTYNAME,MATCH(1,(xlRTTYENDU=1)*(xlRTTYEQCL=$D2390)*(xlRTEQTYPE=$E2390),0))</f>
        <v>DIST_RAD3</v>
      </c>
      <c r="Y2390" s="153" t="str">
        <f t="array" ref="Y2390">INDEX(xlRTTYNAME,MATCH(1,(xlRTTYENDU=2)*(xlRTTYEQCL=$F2390)*(xlRTEQTYPE=$G2390),0))</f>
        <v>CENT_AIR3</v>
      </c>
    </row>
    <row r="2391" spans="2:25" x14ac:dyDescent="0.2">
      <c r="B2391" s="49">
        <v>6</v>
      </c>
      <c r="C2391" s="49">
        <v>3</v>
      </c>
      <c r="D2391" s="49">
        <v>8</v>
      </c>
      <c r="E2391" s="49">
        <v>28</v>
      </c>
      <c r="F2391" s="49">
        <v>2</v>
      </c>
      <c r="G2391" s="49">
        <v>7</v>
      </c>
      <c r="H2391" s="49">
        <v>2023</v>
      </c>
      <c r="I2391" s="49">
        <v>2032</v>
      </c>
      <c r="J2391" s="50">
        <v>1.0873999999999999</v>
      </c>
      <c r="K2391" s="50">
        <v>1.0609999999999999</v>
      </c>
      <c r="L2391" s="50">
        <v>0.82179999999999997</v>
      </c>
      <c r="M2391" s="50">
        <v>1.0124</v>
      </c>
      <c r="N2391" s="50">
        <v>0.80189999999999995</v>
      </c>
      <c r="O2391" s="50">
        <v>1.0538000000000001</v>
      </c>
      <c r="P2391" s="49">
        <v>5305</v>
      </c>
      <c r="Q2391" s="51">
        <f t="array" ref="Q2391">SUM(IF(($S2391&gt;=4)*($C2391='TaxCred&amp;Subs'!$D$123:$D$127)*($H2391='TaxCred&amp;Subs'!$C$123:$C$127)*($H2391&lt;='TaxCred&amp;Subs'!$C$129),'TaxCred&amp;Subs'!$E$123:$E$127,0))</f>
        <v>2500</v>
      </c>
      <c r="R2391" s="171">
        <v>0</v>
      </c>
      <c r="S2391" s="49">
        <v>4</v>
      </c>
      <c r="T2391" s="49" t="s">
        <v>248</v>
      </c>
      <c r="V2391" s="153" t="str">
        <f t="array" ref="V2391">INDEX(xlRTCLNAME,MATCH(1,(xlRTCLENDU=1)*(xlRTCLEQCL=$D2391),0))</f>
        <v>DIST_RAD</v>
      </c>
      <c r="W2391" s="153" t="str">
        <f t="array" ref="W2391">INDEX(xlRTCLNAME,MATCH(1,(xlRTCLENDU=2)*(xlRTCLEQCL=$F2391),0))</f>
        <v>CENT_AIR</v>
      </c>
      <c r="X2391" s="153" t="str">
        <f t="array" ref="X2391">INDEX(xlRTTYNAME,MATCH(1,(xlRTTYENDU=1)*(xlRTTYEQCL=$D2391)*(xlRTEQTYPE=$E2391),0))</f>
        <v>DIST_RAD3</v>
      </c>
      <c r="Y2391" s="153" t="str">
        <f t="array" ref="Y2391">INDEX(xlRTTYNAME,MATCH(1,(xlRTTYENDU=2)*(xlRTTYEQCL=$F2391)*(xlRTEQTYPE=$G2391),0))</f>
        <v>CENT_AIR3</v>
      </c>
    </row>
    <row r="2392" spans="2:25" x14ac:dyDescent="0.2">
      <c r="B2392" s="126">
        <v>6</v>
      </c>
      <c r="C2392" s="126">
        <v>3</v>
      </c>
      <c r="D2392" s="126">
        <v>8</v>
      </c>
      <c r="E2392" s="126">
        <v>28</v>
      </c>
      <c r="F2392" s="126">
        <v>2</v>
      </c>
      <c r="G2392" s="126">
        <v>7</v>
      </c>
      <c r="H2392" s="159">
        <v>2033</v>
      </c>
      <c r="I2392" s="126">
        <v>2050</v>
      </c>
      <c r="J2392" s="127">
        <v>1.0873999999999999</v>
      </c>
      <c r="K2392" s="127">
        <v>1.0609999999999999</v>
      </c>
      <c r="L2392" s="127">
        <v>0.82179999999999997</v>
      </c>
      <c r="M2392" s="127">
        <v>1.0124</v>
      </c>
      <c r="N2392" s="127">
        <v>0.80189999999999995</v>
      </c>
      <c r="O2392" s="127">
        <v>1.0538000000000001</v>
      </c>
      <c r="P2392" s="126">
        <v>5305</v>
      </c>
      <c r="Q2392" s="128">
        <f t="array" ref="Q2392">SUM(IF(($S2392&gt;=4)*($C2392='TaxCred&amp;Subs'!$D$123:$D$127)*($H2392='TaxCred&amp;Subs'!$C$123:$C$127)*($H2392&lt;='TaxCred&amp;Subs'!$C$129),'TaxCred&amp;Subs'!$E$123:$E$127,0))</f>
        <v>0</v>
      </c>
      <c r="R2392" s="174">
        <v>0</v>
      </c>
      <c r="S2392" s="126">
        <v>4</v>
      </c>
      <c r="T2392" s="126" t="s">
        <v>248</v>
      </c>
      <c r="V2392" s="153" t="str">
        <f t="array" ref="V2392">INDEX(xlRTCLNAME,MATCH(1,(xlRTCLENDU=1)*(xlRTCLEQCL=$D2392),0))</f>
        <v>DIST_RAD</v>
      </c>
      <c r="W2392" s="153" t="str">
        <f t="array" ref="W2392">INDEX(xlRTCLNAME,MATCH(1,(xlRTCLENDU=2)*(xlRTCLEQCL=$F2392),0))</f>
        <v>CENT_AIR</v>
      </c>
      <c r="X2392" s="153" t="str">
        <f t="array" ref="X2392">INDEX(xlRTTYNAME,MATCH(1,(xlRTTYENDU=1)*(xlRTTYEQCL=$D2392)*(xlRTEQTYPE=$E2392),0))</f>
        <v>DIST_RAD3</v>
      </c>
      <c r="Y2392" s="153" t="str">
        <f t="array" ref="Y2392">INDEX(xlRTTYNAME,MATCH(1,(xlRTTYENDU=2)*(xlRTTYEQCL=$F2392)*(xlRTEQTYPE=$G2392),0))</f>
        <v>CENT_AIR3</v>
      </c>
    </row>
    <row r="2393" spans="2:25" x14ac:dyDescent="0.2">
      <c r="B2393" s="126">
        <v>7</v>
      </c>
      <c r="C2393" s="126">
        <v>3</v>
      </c>
      <c r="D2393" s="126">
        <v>8</v>
      </c>
      <c r="E2393" s="126">
        <v>28</v>
      </c>
      <c r="F2393" s="126">
        <v>2</v>
      </c>
      <c r="G2393" s="126">
        <v>7</v>
      </c>
      <c r="H2393" s="126">
        <v>2016</v>
      </c>
      <c r="I2393" s="159">
        <v>2022</v>
      </c>
      <c r="J2393" s="127">
        <v>1.0826</v>
      </c>
      <c r="K2393" s="127">
        <v>1.0412999999999999</v>
      </c>
      <c r="L2393" s="127">
        <v>0.80110000000000003</v>
      </c>
      <c r="M2393" s="127">
        <v>1.0165999999999999</v>
      </c>
      <c r="N2393" s="127">
        <v>0.8125</v>
      </c>
      <c r="O2393" s="127">
        <v>1.0538000000000001</v>
      </c>
      <c r="P2393" s="126">
        <v>2912</v>
      </c>
      <c r="Q2393" s="128">
        <f t="array" ref="Q2393">SUM(IF(($S2393&gt;=4)*($C2393='TaxCred&amp;Subs'!$D$123:$D$127)*($H2393='TaxCred&amp;Subs'!$C$123:$C$127)*($H2393&lt;='TaxCred&amp;Subs'!$C$129),'TaxCred&amp;Subs'!$E$123:$E$127,0))</f>
        <v>1000</v>
      </c>
      <c r="R2393" s="174">
        <v>0</v>
      </c>
      <c r="S2393" s="126">
        <v>4</v>
      </c>
      <c r="T2393" s="126" t="s">
        <v>248</v>
      </c>
      <c r="V2393" s="153" t="str">
        <f t="array" ref="V2393">INDEX(xlRTCLNAME,MATCH(1,(xlRTCLENDU=1)*(xlRTCLEQCL=$D2393),0))</f>
        <v>DIST_RAD</v>
      </c>
      <c r="W2393" s="153" t="str">
        <f t="array" ref="W2393">INDEX(xlRTCLNAME,MATCH(1,(xlRTCLENDU=2)*(xlRTCLEQCL=$F2393),0))</f>
        <v>CENT_AIR</v>
      </c>
      <c r="X2393" s="153" t="str">
        <f t="array" ref="X2393">INDEX(xlRTTYNAME,MATCH(1,(xlRTTYENDU=1)*(xlRTTYEQCL=$D2393)*(xlRTEQTYPE=$E2393),0))</f>
        <v>DIST_RAD3</v>
      </c>
      <c r="Y2393" s="153" t="str">
        <f t="array" ref="Y2393">INDEX(xlRTTYNAME,MATCH(1,(xlRTTYENDU=2)*(xlRTTYEQCL=$F2393)*(xlRTEQTYPE=$G2393),0))</f>
        <v>CENT_AIR3</v>
      </c>
    </row>
    <row r="2394" spans="2:25" x14ac:dyDescent="0.2">
      <c r="B2394" s="49">
        <v>7</v>
      </c>
      <c r="C2394" s="49">
        <v>3</v>
      </c>
      <c r="D2394" s="49">
        <v>8</v>
      </c>
      <c r="E2394" s="49">
        <v>28</v>
      </c>
      <c r="F2394" s="49">
        <v>2</v>
      </c>
      <c r="G2394" s="49">
        <v>7</v>
      </c>
      <c r="H2394" s="49">
        <v>2023</v>
      </c>
      <c r="I2394" s="49">
        <v>2032</v>
      </c>
      <c r="J2394" s="50">
        <v>1.0826</v>
      </c>
      <c r="K2394" s="50">
        <v>1.0412999999999999</v>
      </c>
      <c r="L2394" s="50">
        <v>0.80110000000000003</v>
      </c>
      <c r="M2394" s="50">
        <v>1.0165999999999999</v>
      </c>
      <c r="N2394" s="50">
        <v>0.8125</v>
      </c>
      <c r="O2394" s="50">
        <v>1.0538000000000001</v>
      </c>
      <c r="P2394" s="49">
        <v>2912</v>
      </c>
      <c r="Q2394" s="51">
        <f t="array" ref="Q2394">SUM(IF(($S2394&gt;=4)*($C2394='TaxCred&amp;Subs'!$D$123:$D$127)*($H2394='TaxCred&amp;Subs'!$C$123:$C$127)*($H2394&lt;='TaxCred&amp;Subs'!$C$129),'TaxCred&amp;Subs'!$E$123:$E$127,0))</f>
        <v>2500</v>
      </c>
      <c r="R2394" s="171">
        <v>0</v>
      </c>
      <c r="S2394" s="49">
        <v>4</v>
      </c>
      <c r="T2394" s="49" t="s">
        <v>248</v>
      </c>
      <c r="V2394" s="153" t="str">
        <f t="array" ref="V2394">INDEX(xlRTCLNAME,MATCH(1,(xlRTCLENDU=1)*(xlRTCLEQCL=$D2394),0))</f>
        <v>DIST_RAD</v>
      </c>
      <c r="W2394" s="153" t="str">
        <f t="array" ref="W2394">INDEX(xlRTCLNAME,MATCH(1,(xlRTCLENDU=2)*(xlRTCLEQCL=$F2394),0))</f>
        <v>CENT_AIR</v>
      </c>
      <c r="X2394" s="153" t="str">
        <f t="array" ref="X2394">INDEX(xlRTTYNAME,MATCH(1,(xlRTTYENDU=1)*(xlRTTYEQCL=$D2394)*(xlRTEQTYPE=$E2394),0))</f>
        <v>DIST_RAD3</v>
      </c>
      <c r="Y2394" s="153" t="str">
        <f t="array" ref="Y2394">INDEX(xlRTTYNAME,MATCH(1,(xlRTTYENDU=2)*(xlRTTYEQCL=$F2394)*(xlRTEQTYPE=$G2394),0))</f>
        <v>CENT_AIR3</v>
      </c>
    </row>
    <row r="2395" spans="2:25" x14ac:dyDescent="0.2">
      <c r="B2395" s="126">
        <v>7</v>
      </c>
      <c r="C2395" s="126">
        <v>3</v>
      </c>
      <c r="D2395" s="126">
        <v>8</v>
      </c>
      <c r="E2395" s="126">
        <v>28</v>
      </c>
      <c r="F2395" s="126">
        <v>2</v>
      </c>
      <c r="G2395" s="126">
        <v>7</v>
      </c>
      <c r="H2395" s="159">
        <v>2033</v>
      </c>
      <c r="I2395" s="126">
        <v>2050</v>
      </c>
      <c r="J2395" s="127">
        <v>1.0826</v>
      </c>
      <c r="K2395" s="127">
        <v>1.0412999999999999</v>
      </c>
      <c r="L2395" s="127">
        <v>0.80110000000000003</v>
      </c>
      <c r="M2395" s="127">
        <v>1.0165999999999999</v>
      </c>
      <c r="N2395" s="127">
        <v>0.8125</v>
      </c>
      <c r="O2395" s="127">
        <v>1.0538000000000001</v>
      </c>
      <c r="P2395" s="126">
        <v>2912</v>
      </c>
      <c r="Q2395" s="128">
        <f t="array" ref="Q2395">SUM(IF(($S2395&gt;=4)*($C2395='TaxCred&amp;Subs'!$D$123:$D$127)*($H2395='TaxCred&amp;Subs'!$C$123:$C$127)*($H2395&lt;='TaxCred&amp;Subs'!$C$129),'TaxCred&amp;Subs'!$E$123:$E$127,0))</f>
        <v>0</v>
      </c>
      <c r="R2395" s="174">
        <v>0</v>
      </c>
      <c r="S2395" s="126">
        <v>4</v>
      </c>
      <c r="T2395" s="126" t="s">
        <v>248</v>
      </c>
      <c r="V2395" s="153" t="str">
        <f t="array" ref="V2395">INDEX(xlRTCLNAME,MATCH(1,(xlRTCLENDU=1)*(xlRTCLEQCL=$D2395),0))</f>
        <v>DIST_RAD</v>
      </c>
      <c r="W2395" s="153" t="str">
        <f t="array" ref="W2395">INDEX(xlRTCLNAME,MATCH(1,(xlRTCLENDU=2)*(xlRTCLEQCL=$F2395),0))</f>
        <v>CENT_AIR</v>
      </c>
      <c r="X2395" s="153" t="str">
        <f t="array" ref="X2395">INDEX(xlRTTYNAME,MATCH(1,(xlRTTYENDU=1)*(xlRTTYEQCL=$D2395)*(xlRTEQTYPE=$E2395),0))</f>
        <v>DIST_RAD3</v>
      </c>
      <c r="Y2395" s="153" t="str">
        <f t="array" ref="Y2395">INDEX(xlRTTYNAME,MATCH(1,(xlRTTYENDU=2)*(xlRTTYEQCL=$F2395)*(xlRTEQTYPE=$G2395),0))</f>
        <v>CENT_AIR3</v>
      </c>
    </row>
    <row r="2396" spans="2:25" x14ac:dyDescent="0.2">
      <c r="B2396" s="126">
        <v>9</v>
      </c>
      <c r="C2396" s="126">
        <v>3</v>
      </c>
      <c r="D2396" s="126">
        <v>8</v>
      </c>
      <c r="E2396" s="126">
        <v>28</v>
      </c>
      <c r="F2396" s="126">
        <v>2</v>
      </c>
      <c r="G2396" s="126">
        <v>7</v>
      </c>
      <c r="H2396" s="126">
        <v>2016</v>
      </c>
      <c r="I2396" s="159">
        <v>2022</v>
      </c>
      <c r="J2396" s="127">
        <v>1.0845</v>
      </c>
      <c r="K2396" s="127">
        <v>1.0658000000000001</v>
      </c>
      <c r="L2396" s="127">
        <v>0.90380000000000005</v>
      </c>
      <c r="M2396" s="127">
        <v>1.0827</v>
      </c>
      <c r="N2396" s="127">
        <v>0.84079999999999999</v>
      </c>
      <c r="O2396" s="127">
        <v>1.0538000000000001</v>
      </c>
      <c r="P2396" s="126">
        <v>6554</v>
      </c>
      <c r="Q2396" s="128">
        <f t="array" ref="Q2396">SUM(IF(($S2396&gt;=4)*($C2396='TaxCred&amp;Subs'!$D$123:$D$127)*($H2396='TaxCred&amp;Subs'!$C$123:$C$127)*($H2396&lt;='TaxCred&amp;Subs'!$C$129),'TaxCred&amp;Subs'!$E$123:$E$127,0))</f>
        <v>1000</v>
      </c>
      <c r="R2396" s="174">
        <v>0</v>
      </c>
      <c r="S2396" s="126">
        <v>4</v>
      </c>
      <c r="T2396" s="126" t="s">
        <v>248</v>
      </c>
      <c r="V2396" s="153" t="str">
        <f t="array" ref="V2396">INDEX(xlRTCLNAME,MATCH(1,(xlRTCLENDU=1)*(xlRTCLEQCL=$D2396),0))</f>
        <v>DIST_RAD</v>
      </c>
      <c r="W2396" s="153" t="str">
        <f t="array" ref="W2396">INDEX(xlRTCLNAME,MATCH(1,(xlRTCLENDU=2)*(xlRTCLEQCL=$F2396),0))</f>
        <v>CENT_AIR</v>
      </c>
      <c r="X2396" s="153" t="str">
        <f t="array" ref="X2396">INDEX(xlRTTYNAME,MATCH(1,(xlRTTYENDU=1)*(xlRTTYEQCL=$D2396)*(xlRTEQTYPE=$E2396),0))</f>
        <v>DIST_RAD3</v>
      </c>
      <c r="Y2396" s="153" t="str">
        <f t="array" ref="Y2396">INDEX(xlRTTYNAME,MATCH(1,(xlRTTYENDU=2)*(xlRTTYEQCL=$F2396)*(xlRTEQTYPE=$G2396),0))</f>
        <v>CENT_AIR3</v>
      </c>
    </row>
    <row r="2397" spans="2:25" x14ac:dyDescent="0.2">
      <c r="B2397" s="49">
        <v>9</v>
      </c>
      <c r="C2397" s="49">
        <v>3</v>
      </c>
      <c r="D2397" s="49">
        <v>8</v>
      </c>
      <c r="E2397" s="49">
        <v>28</v>
      </c>
      <c r="F2397" s="49">
        <v>2</v>
      </c>
      <c r="G2397" s="49">
        <v>7</v>
      </c>
      <c r="H2397" s="49">
        <v>2023</v>
      </c>
      <c r="I2397" s="49">
        <v>2032</v>
      </c>
      <c r="J2397" s="50">
        <v>1.0845</v>
      </c>
      <c r="K2397" s="50">
        <v>1.0658000000000001</v>
      </c>
      <c r="L2397" s="50">
        <v>0.90380000000000005</v>
      </c>
      <c r="M2397" s="50">
        <v>1.0827</v>
      </c>
      <c r="N2397" s="50">
        <v>0.84079999999999999</v>
      </c>
      <c r="O2397" s="50">
        <v>1.0538000000000001</v>
      </c>
      <c r="P2397" s="49">
        <v>6554</v>
      </c>
      <c r="Q2397" s="51">
        <f t="array" ref="Q2397">SUM(IF(($S2397&gt;=4)*($C2397='TaxCred&amp;Subs'!$D$123:$D$127)*($H2397='TaxCred&amp;Subs'!$C$123:$C$127)*($H2397&lt;='TaxCred&amp;Subs'!$C$129),'TaxCred&amp;Subs'!$E$123:$E$127,0))</f>
        <v>2500</v>
      </c>
      <c r="R2397" s="171">
        <v>0</v>
      </c>
      <c r="S2397" s="49">
        <v>4</v>
      </c>
      <c r="T2397" s="49" t="s">
        <v>248</v>
      </c>
      <c r="V2397" s="153" t="str">
        <f t="array" ref="V2397">INDEX(xlRTCLNAME,MATCH(1,(xlRTCLENDU=1)*(xlRTCLEQCL=$D2397),0))</f>
        <v>DIST_RAD</v>
      </c>
      <c r="W2397" s="153" t="str">
        <f t="array" ref="W2397">INDEX(xlRTCLNAME,MATCH(1,(xlRTCLENDU=2)*(xlRTCLEQCL=$F2397),0))</f>
        <v>CENT_AIR</v>
      </c>
      <c r="X2397" s="153" t="str">
        <f t="array" ref="X2397">INDEX(xlRTTYNAME,MATCH(1,(xlRTTYENDU=1)*(xlRTTYEQCL=$D2397)*(xlRTEQTYPE=$E2397),0))</f>
        <v>DIST_RAD3</v>
      </c>
      <c r="Y2397" s="153" t="str">
        <f t="array" ref="Y2397">INDEX(xlRTTYNAME,MATCH(1,(xlRTTYENDU=2)*(xlRTTYEQCL=$F2397)*(xlRTEQTYPE=$G2397),0))</f>
        <v>CENT_AIR3</v>
      </c>
    </row>
    <row r="2398" spans="2:25" x14ac:dyDescent="0.2">
      <c r="B2398" s="126">
        <v>9</v>
      </c>
      <c r="C2398" s="126">
        <v>3</v>
      </c>
      <c r="D2398" s="126">
        <v>8</v>
      </c>
      <c r="E2398" s="126">
        <v>28</v>
      </c>
      <c r="F2398" s="126">
        <v>2</v>
      </c>
      <c r="G2398" s="126">
        <v>7</v>
      </c>
      <c r="H2398" s="159">
        <v>2033</v>
      </c>
      <c r="I2398" s="126">
        <v>2050</v>
      </c>
      <c r="J2398" s="127">
        <v>1.0845</v>
      </c>
      <c r="K2398" s="127">
        <v>1.0658000000000001</v>
      </c>
      <c r="L2398" s="127">
        <v>0.90380000000000005</v>
      </c>
      <c r="M2398" s="127">
        <v>1.0827</v>
      </c>
      <c r="N2398" s="127">
        <v>0.84079999999999999</v>
      </c>
      <c r="O2398" s="127">
        <v>1.0538000000000001</v>
      </c>
      <c r="P2398" s="126">
        <v>6554</v>
      </c>
      <c r="Q2398" s="128">
        <f t="array" ref="Q2398">SUM(IF(($S2398&gt;=4)*($C2398='TaxCred&amp;Subs'!$D$123:$D$127)*($H2398='TaxCred&amp;Subs'!$C$123:$C$127)*($H2398&lt;='TaxCred&amp;Subs'!$C$129),'TaxCred&amp;Subs'!$E$123:$E$127,0))</f>
        <v>0</v>
      </c>
      <c r="R2398" s="174">
        <v>0</v>
      </c>
      <c r="S2398" s="126">
        <v>4</v>
      </c>
      <c r="T2398" s="126" t="s">
        <v>248</v>
      </c>
      <c r="V2398" s="153" t="str">
        <f t="array" ref="V2398">INDEX(xlRTCLNAME,MATCH(1,(xlRTCLENDU=1)*(xlRTCLEQCL=$D2398),0))</f>
        <v>DIST_RAD</v>
      </c>
      <c r="W2398" s="153" t="str">
        <f t="array" ref="W2398">INDEX(xlRTCLNAME,MATCH(1,(xlRTCLENDU=2)*(xlRTCLEQCL=$F2398),0))</f>
        <v>CENT_AIR</v>
      </c>
      <c r="X2398" s="153" t="str">
        <f t="array" ref="X2398">INDEX(xlRTTYNAME,MATCH(1,(xlRTTYENDU=1)*(xlRTTYEQCL=$D2398)*(xlRTEQTYPE=$E2398),0))</f>
        <v>DIST_RAD3</v>
      </c>
      <c r="Y2398" s="153" t="str">
        <f t="array" ref="Y2398">INDEX(xlRTTYNAME,MATCH(1,(xlRTTYENDU=2)*(xlRTTYEQCL=$F2398)*(xlRTEQTYPE=$G2398),0))</f>
        <v>CENT_AIR3</v>
      </c>
    </row>
    <row r="2399" spans="2:25" x14ac:dyDescent="0.2">
      <c r="B2399" s="126">
        <v>5</v>
      </c>
      <c r="C2399" s="126">
        <v>3</v>
      </c>
      <c r="D2399" s="126">
        <v>9</v>
      </c>
      <c r="E2399" s="126">
        <v>30</v>
      </c>
      <c r="F2399" s="126">
        <v>2</v>
      </c>
      <c r="G2399" s="126">
        <v>7</v>
      </c>
      <c r="H2399" s="126">
        <v>2016</v>
      </c>
      <c r="I2399" s="159">
        <v>2022</v>
      </c>
      <c r="J2399" s="127">
        <v>1.0940000000000001</v>
      </c>
      <c r="K2399" s="127">
        <v>1.0575000000000001</v>
      </c>
      <c r="L2399" s="127">
        <v>0.85619999999999996</v>
      </c>
      <c r="M2399" s="127">
        <v>0.99719999999999998</v>
      </c>
      <c r="N2399" s="127">
        <v>0.83130000000000004</v>
      </c>
      <c r="O2399" s="127">
        <v>1.0538000000000001</v>
      </c>
      <c r="P2399" s="126">
        <v>5431</v>
      </c>
      <c r="Q2399" s="128">
        <f t="array" ref="Q2399">SUM(IF(($S2399&gt;=4)*($C2399='TaxCred&amp;Subs'!$D$123:$D$127)*($H2399='TaxCred&amp;Subs'!$C$123:$C$127)*($H2399&lt;='TaxCred&amp;Subs'!$C$129),'TaxCred&amp;Subs'!$E$123:$E$127,0))</f>
        <v>1000</v>
      </c>
      <c r="R2399" s="174">
        <v>0</v>
      </c>
      <c r="S2399" s="126">
        <v>4</v>
      </c>
      <c r="T2399" s="126" t="s">
        <v>248</v>
      </c>
      <c r="V2399" s="153" t="str">
        <f t="array" ref="V2399">INDEX(xlRTCLNAME,MATCH(1,(xlRTCLENDU=1)*(xlRTCLEQCL=$D2399),0))</f>
        <v>WOOD_HT</v>
      </c>
      <c r="W2399" s="153" t="str">
        <f t="array" ref="W2399">INDEX(xlRTCLNAME,MATCH(1,(xlRTCLENDU=2)*(xlRTCLEQCL=$F2399),0))</f>
        <v>CENT_AIR</v>
      </c>
      <c r="X2399" s="153" t="str">
        <f t="array" ref="X2399">INDEX(xlRTTYNAME,MATCH(1,(xlRTTYENDU=1)*(xlRTTYEQCL=$D2399)*(xlRTEQTYPE=$E2399),0))</f>
        <v>WOOD_HT2</v>
      </c>
      <c r="Y2399" s="153" t="str">
        <f t="array" ref="Y2399">INDEX(xlRTTYNAME,MATCH(1,(xlRTTYENDU=2)*(xlRTTYEQCL=$F2399)*(xlRTEQTYPE=$G2399),0))</f>
        <v>CENT_AIR3</v>
      </c>
    </row>
    <row r="2400" spans="2:25" x14ac:dyDescent="0.2">
      <c r="B2400" s="49">
        <v>5</v>
      </c>
      <c r="C2400" s="49">
        <v>3</v>
      </c>
      <c r="D2400" s="49">
        <v>9</v>
      </c>
      <c r="E2400" s="49">
        <v>30</v>
      </c>
      <c r="F2400" s="49">
        <v>2</v>
      </c>
      <c r="G2400" s="49">
        <v>7</v>
      </c>
      <c r="H2400" s="49">
        <v>2023</v>
      </c>
      <c r="I2400" s="49">
        <v>2032</v>
      </c>
      <c r="J2400" s="50">
        <v>1.0940000000000001</v>
      </c>
      <c r="K2400" s="50">
        <v>1.0575000000000001</v>
      </c>
      <c r="L2400" s="50">
        <v>0.85619999999999996</v>
      </c>
      <c r="M2400" s="50">
        <v>0.99719999999999998</v>
      </c>
      <c r="N2400" s="50">
        <v>0.83130000000000004</v>
      </c>
      <c r="O2400" s="50">
        <v>1.0538000000000001</v>
      </c>
      <c r="P2400" s="49">
        <v>5431</v>
      </c>
      <c r="Q2400" s="51">
        <f t="array" ref="Q2400">SUM(IF(($S2400&gt;=4)*($C2400='TaxCred&amp;Subs'!$D$123:$D$127)*($H2400='TaxCred&amp;Subs'!$C$123:$C$127)*($H2400&lt;='TaxCred&amp;Subs'!$C$129),'TaxCred&amp;Subs'!$E$123:$E$127,0))</f>
        <v>2500</v>
      </c>
      <c r="R2400" s="171">
        <v>0</v>
      </c>
      <c r="S2400" s="49">
        <v>4</v>
      </c>
      <c r="T2400" s="49" t="s">
        <v>248</v>
      </c>
      <c r="V2400" s="153" t="str">
        <f t="array" ref="V2400">INDEX(xlRTCLNAME,MATCH(1,(xlRTCLENDU=1)*(xlRTCLEQCL=$D2400),0))</f>
        <v>WOOD_HT</v>
      </c>
      <c r="W2400" s="153" t="str">
        <f t="array" ref="W2400">INDEX(xlRTCLNAME,MATCH(1,(xlRTCLENDU=2)*(xlRTCLEQCL=$F2400),0))</f>
        <v>CENT_AIR</v>
      </c>
      <c r="X2400" s="153" t="str">
        <f t="array" ref="X2400">INDEX(xlRTTYNAME,MATCH(1,(xlRTTYENDU=1)*(xlRTTYEQCL=$D2400)*(xlRTEQTYPE=$E2400),0))</f>
        <v>WOOD_HT2</v>
      </c>
      <c r="Y2400" s="153" t="str">
        <f t="array" ref="Y2400">INDEX(xlRTTYNAME,MATCH(1,(xlRTTYENDU=2)*(xlRTTYEQCL=$F2400)*(xlRTEQTYPE=$G2400),0))</f>
        <v>CENT_AIR3</v>
      </c>
    </row>
    <row r="2401" spans="2:25" x14ac:dyDescent="0.2">
      <c r="B2401" s="126">
        <v>5</v>
      </c>
      <c r="C2401" s="126">
        <v>3</v>
      </c>
      <c r="D2401" s="126">
        <v>9</v>
      </c>
      <c r="E2401" s="126">
        <v>30</v>
      </c>
      <c r="F2401" s="126">
        <v>2</v>
      </c>
      <c r="G2401" s="126">
        <v>7</v>
      </c>
      <c r="H2401" s="159">
        <v>2033</v>
      </c>
      <c r="I2401" s="126">
        <v>2050</v>
      </c>
      <c r="J2401" s="127">
        <v>1.0940000000000001</v>
      </c>
      <c r="K2401" s="127">
        <v>1.0575000000000001</v>
      </c>
      <c r="L2401" s="127">
        <v>0.85619999999999996</v>
      </c>
      <c r="M2401" s="127">
        <v>0.99719999999999998</v>
      </c>
      <c r="N2401" s="127">
        <v>0.83130000000000004</v>
      </c>
      <c r="O2401" s="127">
        <v>1.0538000000000001</v>
      </c>
      <c r="P2401" s="126">
        <v>5431</v>
      </c>
      <c r="Q2401" s="128">
        <f t="array" ref="Q2401">SUM(IF(($S2401&gt;=4)*($C2401='TaxCred&amp;Subs'!$D$123:$D$127)*($H2401='TaxCred&amp;Subs'!$C$123:$C$127)*($H2401&lt;='TaxCred&amp;Subs'!$C$129),'TaxCred&amp;Subs'!$E$123:$E$127,0))</f>
        <v>0</v>
      </c>
      <c r="R2401" s="174">
        <v>0</v>
      </c>
      <c r="S2401" s="126">
        <v>4</v>
      </c>
      <c r="T2401" s="126" t="s">
        <v>248</v>
      </c>
      <c r="V2401" s="153" t="str">
        <f t="array" ref="V2401">INDEX(xlRTCLNAME,MATCH(1,(xlRTCLENDU=1)*(xlRTCLEQCL=$D2401),0))</f>
        <v>WOOD_HT</v>
      </c>
      <c r="W2401" s="153" t="str">
        <f t="array" ref="W2401">INDEX(xlRTCLNAME,MATCH(1,(xlRTCLENDU=2)*(xlRTCLEQCL=$F2401),0))</f>
        <v>CENT_AIR</v>
      </c>
      <c r="X2401" s="153" t="str">
        <f t="array" ref="X2401">INDEX(xlRTTYNAME,MATCH(1,(xlRTTYENDU=1)*(xlRTTYEQCL=$D2401)*(xlRTEQTYPE=$E2401),0))</f>
        <v>WOOD_HT2</v>
      </c>
      <c r="Y2401" s="153" t="str">
        <f t="array" ref="Y2401">INDEX(xlRTTYNAME,MATCH(1,(xlRTTYENDU=2)*(xlRTTYEQCL=$F2401)*(xlRTEQTYPE=$G2401),0))</f>
        <v>CENT_AIR3</v>
      </c>
    </row>
    <row r="2402" spans="2:25" x14ac:dyDescent="0.2">
      <c r="B2402" s="126">
        <v>6</v>
      </c>
      <c r="C2402" s="126">
        <v>3</v>
      </c>
      <c r="D2402" s="126">
        <v>9</v>
      </c>
      <c r="E2402" s="126">
        <v>30</v>
      </c>
      <c r="F2402" s="126">
        <v>2</v>
      </c>
      <c r="G2402" s="126">
        <v>7</v>
      </c>
      <c r="H2402" s="126">
        <v>2016</v>
      </c>
      <c r="I2402" s="159">
        <v>2022</v>
      </c>
      <c r="J2402" s="127">
        <v>1.0873999999999999</v>
      </c>
      <c r="K2402" s="127">
        <v>1.0609999999999999</v>
      </c>
      <c r="L2402" s="127">
        <v>0.82179999999999997</v>
      </c>
      <c r="M2402" s="127">
        <v>1.0124</v>
      </c>
      <c r="N2402" s="127">
        <v>0.80189999999999995</v>
      </c>
      <c r="O2402" s="127">
        <v>1.0538000000000001</v>
      </c>
      <c r="P2402" s="126">
        <v>5305</v>
      </c>
      <c r="Q2402" s="128">
        <f t="array" ref="Q2402">SUM(IF(($S2402&gt;=4)*($C2402='TaxCred&amp;Subs'!$D$123:$D$127)*($H2402='TaxCred&amp;Subs'!$C$123:$C$127)*($H2402&lt;='TaxCred&amp;Subs'!$C$129),'TaxCred&amp;Subs'!$E$123:$E$127,0))</f>
        <v>1000</v>
      </c>
      <c r="R2402" s="174">
        <v>0</v>
      </c>
      <c r="S2402" s="126">
        <v>4</v>
      </c>
      <c r="T2402" s="126" t="s">
        <v>248</v>
      </c>
      <c r="V2402" s="153" t="str">
        <f t="array" ref="V2402">INDEX(xlRTCLNAME,MATCH(1,(xlRTCLENDU=1)*(xlRTCLEQCL=$D2402),0))</f>
        <v>WOOD_HT</v>
      </c>
      <c r="W2402" s="153" t="str">
        <f t="array" ref="W2402">INDEX(xlRTCLNAME,MATCH(1,(xlRTCLENDU=2)*(xlRTCLEQCL=$F2402),0))</f>
        <v>CENT_AIR</v>
      </c>
      <c r="X2402" s="153" t="str">
        <f t="array" ref="X2402">INDEX(xlRTTYNAME,MATCH(1,(xlRTTYENDU=1)*(xlRTTYEQCL=$D2402)*(xlRTEQTYPE=$E2402),0))</f>
        <v>WOOD_HT2</v>
      </c>
      <c r="Y2402" s="153" t="str">
        <f t="array" ref="Y2402">INDEX(xlRTTYNAME,MATCH(1,(xlRTTYENDU=2)*(xlRTTYEQCL=$F2402)*(xlRTEQTYPE=$G2402),0))</f>
        <v>CENT_AIR3</v>
      </c>
    </row>
    <row r="2403" spans="2:25" x14ac:dyDescent="0.2">
      <c r="B2403" s="49">
        <v>6</v>
      </c>
      <c r="C2403" s="49">
        <v>3</v>
      </c>
      <c r="D2403" s="49">
        <v>9</v>
      </c>
      <c r="E2403" s="49">
        <v>30</v>
      </c>
      <c r="F2403" s="49">
        <v>2</v>
      </c>
      <c r="G2403" s="49">
        <v>7</v>
      </c>
      <c r="H2403" s="49">
        <v>2023</v>
      </c>
      <c r="I2403" s="49">
        <v>2032</v>
      </c>
      <c r="J2403" s="50">
        <v>1.0873999999999999</v>
      </c>
      <c r="K2403" s="50">
        <v>1.0609999999999999</v>
      </c>
      <c r="L2403" s="50">
        <v>0.82179999999999997</v>
      </c>
      <c r="M2403" s="50">
        <v>1.0124</v>
      </c>
      <c r="N2403" s="50">
        <v>0.80189999999999995</v>
      </c>
      <c r="O2403" s="50">
        <v>1.0538000000000001</v>
      </c>
      <c r="P2403" s="49">
        <v>5305</v>
      </c>
      <c r="Q2403" s="51">
        <f t="array" ref="Q2403">SUM(IF(($S2403&gt;=4)*($C2403='TaxCred&amp;Subs'!$D$123:$D$127)*($H2403='TaxCred&amp;Subs'!$C$123:$C$127)*($H2403&lt;='TaxCred&amp;Subs'!$C$129),'TaxCred&amp;Subs'!$E$123:$E$127,0))</f>
        <v>2500</v>
      </c>
      <c r="R2403" s="171">
        <v>0</v>
      </c>
      <c r="S2403" s="49">
        <v>4</v>
      </c>
      <c r="T2403" s="49" t="s">
        <v>248</v>
      </c>
      <c r="V2403" s="153" t="str">
        <f t="array" ref="V2403">INDEX(xlRTCLNAME,MATCH(1,(xlRTCLENDU=1)*(xlRTCLEQCL=$D2403),0))</f>
        <v>WOOD_HT</v>
      </c>
      <c r="W2403" s="153" t="str">
        <f t="array" ref="W2403">INDEX(xlRTCLNAME,MATCH(1,(xlRTCLENDU=2)*(xlRTCLEQCL=$F2403),0))</f>
        <v>CENT_AIR</v>
      </c>
      <c r="X2403" s="153" t="str">
        <f t="array" ref="X2403">INDEX(xlRTTYNAME,MATCH(1,(xlRTTYENDU=1)*(xlRTTYEQCL=$D2403)*(xlRTEQTYPE=$E2403),0))</f>
        <v>WOOD_HT2</v>
      </c>
      <c r="Y2403" s="153" t="str">
        <f t="array" ref="Y2403">INDEX(xlRTTYNAME,MATCH(1,(xlRTTYENDU=2)*(xlRTTYEQCL=$F2403)*(xlRTEQTYPE=$G2403),0))</f>
        <v>CENT_AIR3</v>
      </c>
    </row>
    <row r="2404" spans="2:25" x14ac:dyDescent="0.2">
      <c r="B2404" s="126">
        <v>6</v>
      </c>
      <c r="C2404" s="126">
        <v>3</v>
      </c>
      <c r="D2404" s="126">
        <v>9</v>
      </c>
      <c r="E2404" s="126">
        <v>30</v>
      </c>
      <c r="F2404" s="126">
        <v>2</v>
      </c>
      <c r="G2404" s="126">
        <v>7</v>
      </c>
      <c r="H2404" s="159">
        <v>2033</v>
      </c>
      <c r="I2404" s="126">
        <v>2050</v>
      </c>
      <c r="J2404" s="127">
        <v>1.0873999999999999</v>
      </c>
      <c r="K2404" s="127">
        <v>1.0609999999999999</v>
      </c>
      <c r="L2404" s="127">
        <v>0.82179999999999997</v>
      </c>
      <c r="M2404" s="127">
        <v>1.0124</v>
      </c>
      <c r="N2404" s="127">
        <v>0.80189999999999995</v>
      </c>
      <c r="O2404" s="127">
        <v>1.0538000000000001</v>
      </c>
      <c r="P2404" s="126">
        <v>5305</v>
      </c>
      <c r="Q2404" s="128">
        <f t="array" ref="Q2404">SUM(IF(($S2404&gt;=4)*($C2404='TaxCred&amp;Subs'!$D$123:$D$127)*($H2404='TaxCred&amp;Subs'!$C$123:$C$127)*($H2404&lt;='TaxCred&amp;Subs'!$C$129),'TaxCred&amp;Subs'!$E$123:$E$127,0))</f>
        <v>0</v>
      </c>
      <c r="R2404" s="174">
        <v>0</v>
      </c>
      <c r="S2404" s="126">
        <v>4</v>
      </c>
      <c r="T2404" s="126" t="s">
        <v>248</v>
      </c>
      <c r="V2404" s="153" t="str">
        <f t="array" ref="V2404">INDEX(xlRTCLNAME,MATCH(1,(xlRTCLENDU=1)*(xlRTCLEQCL=$D2404),0))</f>
        <v>WOOD_HT</v>
      </c>
      <c r="W2404" s="153" t="str">
        <f t="array" ref="W2404">INDEX(xlRTCLNAME,MATCH(1,(xlRTCLENDU=2)*(xlRTCLEQCL=$F2404),0))</f>
        <v>CENT_AIR</v>
      </c>
      <c r="X2404" s="153" t="str">
        <f t="array" ref="X2404">INDEX(xlRTTYNAME,MATCH(1,(xlRTTYENDU=1)*(xlRTTYEQCL=$D2404)*(xlRTEQTYPE=$E2404),0))</f>
        <v>WOOD_HT2</v>
      </c>
      <c r="Y2404" s="153" t="str">
        <f t="array" ref="Y2404">INDEX(xlRTTYNAME,MATCH(1,(xlRTTYENDU=2)*(xlRTTYEQCL=$F2404)*(xlRTEQTYPE=$G2404),0))</f>
        <v>CENT_AIR3</v>
      </c>
    </row>
    <row r="2405" spans="2:25" x14ac:dyDescent="0.2">
      <c r="B2405" s="126">
        <v>7</v>
      </c>
      <c r="C2405" s="126">
        <v>3</v>
      </c>
      <c r="D2405" s="126">
        <v>9</v>
      </c>
      <c r="E2405" s="126">
        <v>30</v>
      </c>
      <c r="F2405" s="126">
        <v>2</v>
      </c>
      <c r="G2405" s="126">
        <v>7</v>
      </c>
      <c r="H2405" s="126">
        <v>2016</v>
      </c>
      <c r="I2405" s="159">
        <v>2022</v>
      </c>
      <c r="J2405" s="127">
        <v>1.0826</v>
      </c>
      <c r="K2405" s="127">
        <v>1.0412999999999999</v>
      </c>
      <c r="L2405" s="127">
        <v>0.80110000000000003</v>
      </c>
      <c r="M2405" s="127">
        <v>1.0165999999999999</v>
      </c>
      <c r="N2405" s="127">
        <v>0.8125</v>
      </c>
      <c r="O2405" s="127">
        <v>1.0538000000000001</v>
      </c>
      <c r="P2405" s="126">
        <v>2912</v>
      </c>
      <c r="Q2405" s="128">
        <f t="array" ref="Q2405">SUM(IF(($S2405&gt;=4)*($C2405='TaxCred&amp;Subs'!$D$123:$D$127)*($H2405='TaxCred&amp;Subs'!$C$123:$C$127)*($H2405&lt;='TaxCred&amp;Subs'!$C$129),'TaxCred&amp;Subs'!$E$123:$E$127,0))</f>
        <v>1000</v>
      </c>
      <c r="R2405" s="174">
        <v>0</v>
      </c>
      <c r="S2405" s="126">
        <v>4</v>
      </c>
      <c r="T2405" s="126" t="s">
        <v>248</v>
      </c>
      <c r="V2405" s="153" t="str">
        <f t="array" ref="V2405">INDEX(xlRTCLNAME,MATCH(1,(xlRTCLENDU=1)*(xlRTCLEQCL=$D2405),0))</f>
        <v>WOOD_HT</v>
      </c>
      <c r="W2405" s="153" t="str">
        <f t="array" ref="W2405">INDEX(xlRTCLNAME,MATCH(1,(xlRTCLENDU=2)*(xlRTCLEQCL=$F2405),0))</f>
        <v>CENT_AIR</v>
      </c>
      <c r="X2405" s="153" t="str">
        <f t="array" ref="X2405">INDEX(xlRTTYNAME,MATCH(1,(xlRTTYENDU=1)*(xlRTTYEQCL=$D2405)*(xlRTEQTYPE=$E2405),0))</f>
        <v>WOOD_HT2</v>
      </c>
      <c r="Y2405" s="153" t="str">
        <f t="array" ref="Y2405">INDEX(xlRTTYNAME,MATCH(1,(xlRTTYENDU=2)*(xlRTTYEQCL=$F2405)*(xlRTEQTYPE=$G2405),0))</f>
        <v>CENT_AIR3</v>
      </c>
    </row>
    <row r="2406" spans="2:25" x14ac:dyDescent="0.2">
      <c r="B2406" s="49">
        <v>7</v>
      </c>
      <c r="C2406" s="49">
        <v>3</v>
      </c>
      <c r="D2406" s="49">
        <v>9</v>
      </c>
      <c r="E2406" s="49">
        <v>30</v>
      </c>
      <c r="F2406" s="49">
        <v>2</v>
      </c>
      <c r="G2406" s="49">
        <v>7</v>
      </c>
      <c r="H2406" s="49">
        <v>2023</v>
      </c>
      <c r="I2406" s="49">
        <v>2032</v>
      </c>
      <c r="J2406" s="50">
        <v>1.0826</v>
      </c>
      <c r="K2406" s="50">
        <v>1.0412999999999999</v>
      </c>
      <c r="L2406" s="50">
        <v>0.80110000000000003</v>
      </c>
      <c r="M2406" s="50">
        <v>1.0165999999999999</v>
      </c>
      <c r="N2406" s="50">
        <v>0.8125</v>
      </c>
      <c r="O2406" s="50">
        <v>1.0538000000000001</v>
      </c>
      <c r="P2406" s="49">
        <v>2912</v>
      </c>
      <c r="Q2406" s="51">
        <f t="array" ref="Q2406">SUM(IF(($S2406&gt;=4)*($C2406='TaxCred&amp;Subs'!$D$123:$D$127)*($H2406='TaxCred&amp;Subs'!$C$123:$C$127)*($H2406&lt;='TaxCred&amp;Subs'!$C$129),'TaxCred&amp;Subs'!$E$123:$E$127,0))</f>
        <v>2500</v>
      </c>
      <c r="R2406" s="171">
        <v>0</v>
      </c>
      <c r="S2406" s="49">
        <v>4</v>
      </c>
      <c r="T2406" s="49" t="s">
        <v>248</v>
      </c>
      <c r="V2406" s="153" t="str">
        <f t="array" ref="V2406">INDEX(xlRTCLNAME,MATCH(1,(xlRTCLENDU=1)*(xlRTCLEQCL=$D2406),0))</f>
        <v>WOOD_HT</v>
      </c>
      <c r="W2406" s="153" t="str">
        <f t="array" ref="W2406">INDEX(xlRTCLNAME,MATCH(1,(xlRTCLENDU=2)*(xlRTCLEQCL=$F2406),0))</f>
        <v>CENT_AIR</v>
      </c>
      <c r="X2406" s="153" t="str">
        <f t="array" ref="X2406">INDEX(xlRTTYNAME,MATCH(1,(xlRTTYENDU=1)*(xlRTTYEQCL=$D2406)*(xlRTEQTYPE=$E2406),0))</f>
        <v>WOOD_HT2</v>
      </c>
      <c r="Y2406" s="153" t="str">
        <f t="array" ref="Y2406">INDEX(xlRTTYNAME,MATCH(1,(xlRTTYENDU=2)*(xlRTTYEQCL=$F2406)*(xlRTEQTYPE=$G2406),0))</f>
        <v>CENT_AIR3</v>
      </c>
    </row>
    <row r="2407" spans="2:25" x14ac:dyDescent="0.2">
      <c r="B2407" s="126">
        <v>7</v>
      </c>
      <c r="C2407" s="126">
        <v>3</v>
      </c>
      <c r="D2407" s="126">
        <v>9</v>
      </c>
      <c r="E2407" s="126">
        <v>30</v>
      </c>
      <c r="F2407" s="126">
        <v>2</v>
      </c>
      <c r="G2407" s="126">
        <v>7</v>
      </c>
      <c r="H2407" s="159">
        <v>2033</v>
      </c>
      <c r="I2407" s="126">
        <v>2050</v>
      </c>
      <c r="J2407" s="127">
        <v>1.0826</v>
      </c>
      <c r="K2407" s="127">
        <v>1.0412999999999999</v>
      </c>
      <c r="L2407" s="127">
        <v>0.80110000000000003</v>
      </c>
      <c r="M2407" s="127">
        <v>1.0165999999999999</v>
      </c>
      <c r="N2407" s="127">
        <v>0.8125</v>
      </c>
      <c r="O2407" s="127">
        <v>1.0538000000000001</v>
      </c>
      <c r="P2407" s="126">
        <v>2912</v>
      </c>
      <c r="Q2407" s="128">
        <f t="array" ref="Q2407">SUM(IF(($S2407&gt;=4)*($C2407='TaxCred&amp;Subs'!$D$123:$D$127)*($H2407='TaxCred&amp;Subs'!$C$123:$C$127)*($H2407&lt;='TaxCred&amp;Subs'!$C$129),'TaxCred&amp;Subs'!$E$123:$E$127,0))</f>
        <v>0</v>
      </c>
      <c r="R2407" s="174">
        <v>0</v>
      </c>
      <c r="S2407" s="126">
        <v>4</v>
      </c>
      <c r="T2407" s="126" t="s">
        <v>248</v>
      </c>
      <c r="V2407" s="153" t="str">
        <f t="array" ref="V2407">INDEX(xlRTCLNAME,MATCH(1,(xlRTCLENDU=1)*(xlRTCLEQCL=$D2407),0))</f>
        <v>WOOD_HT</v>
      </c>
      <c r="W2407" s="153" t="str">
        <f t="array" ref="W2407">INDEX(xlRTCLNAME,MATCH(1,(xlRTCLENDU=2)*(xlRTCLEQCL=$F2407),0))</f>
        <v>CENT_AIR</v>
      </c>
      <c r="X2407" s="153" t="str">
        <f t="array" ref="X2407">INDEX(xlRTTYNAME,MATCH(1,(xlRTTYENDU=1)*(xlRTTYEQCL=$D2407)*(xlRTEQTYPE=$E2407),0))</f>
        <v>WOOD_HT2</v>
      </c>
      <c r="Y2407" s="153" t="str">
        <f t="array" ref="Y2407">INDEX(xlRTTYNAME,MATCH(1,(xlRTTYENDU=2)*(xlRTTYEQCL=$F2407)*(xlRTEQTYPE=$G2407),0))</f>
        <v>CENT_AIR3</v>
      </c>
    </row>
    <row r="2408" spans="2:25" x14ac:dyDescent="0.2">
      <c r="B2408" s="126">
        <v>9</v>
      </c>
      <c r="C2408" s="126">
        <v>3</v>
      </c>
      <c r="D2408" s="126">
        <v>9</v>
      </c>
      <c r="E2408" s="126">
        <v>30</v>
      </c>
      <c r="F2408" s="126">
        <v>2</v>
      </c>
      <c r="G2408" s="126">
        <v>7</v>
      </c>
      <c r="H2408" s="126">
        <v>2016</v>
      </c>
      <c r="I2408" s="159">
        <v>2022</v>
      </c>
      <c r="J2408" s="127">
        <v>1.0845</v>
      </c>
      <c r="K2408" s="127">
        <v>1.0658000000000001</v>
      </c>
      <c r="L2408" s="127">
        <v>0.90380000000000005</v>
      </c>
      <c r="M2408" s="127">
        <v>1.0827</v>
      </c>
      <c r="N2408" s="127">
        <v>0.84079999999999999</v>
      </c>
      <c r="O2408" s="127">
        <v>1.0538000000000001</v>
      </c>
      <c r="P2408" s="126">
        <v>6554</v>
      </c>
      <c r="Q2408" s="128">
        <f t="array" ref="Q2408">SUM(IF(($S2408&gt;=4)*($C2408='TaxCred&amp;Subs'!$D$123:$D$127)*($H2408='TaxCred&amp;Subs'!$C$123:$C$127)*($H2408&lt;='TaxCred&amp;Subs'!$C$129),'TaxCred&amp;Subs'!$E$123:$E$127,0))</f>
        <v>1000</v>
      </c>
      <c r="R2408" s="174">
        <v>0</v>
      </c>
      <c r="S2408" s="126">
        <v>4</v>
      </c>
      <c r="T2408" s="126" t="s">
        <v>248</v>
      </c>
      <c r="V2408" s="153" t="str">
        <f t="array" ref="V2408">INDEX(xlRTCLNAME,MATCH(1,(xlRTCLENDU=1)*(xlRTCLEQCL=$D2408),0))</f>
        <v>WOOD_HT</v>
      </c>
      <c r="W2408" s="153" t="str">
        <f t="array" ref="W2408">INDEX(xlRTCLNAME,MATCH(1,(xlRTCLENDU=2)*(xlRTCLEQCL=$F2408),0))</f>
        <v>CENT_AIR</v>
      </c>
      <c r="X2408" s="153" t="str">
        <f t="array" ref="X2408">INDEX(xlRTTYNAME,MATCH(1,(xlRTTYENDU=1)*(xlRTTYEQCL=$D2408)*(xlRTEQTYPE=$E2408),0))</f>
        <v>WOOD_HT2</v>
      </c>
      <c r="Y2408" s="153" t="str">
        <f t="array" ref="Y2408">INDEX(xlRTTYNAME,MATCH(1,(xlRTTYENDU=2)*(xlRTTYEQCL=$F2408)*(xlRTEQTYPE=$G2408),0))</f>
        <v>CENT_AIR3</v>
      </c>
    </row>
    <row r="2409" spans="2:25" x14ac:dyDescent="0.2">
      <c r="B2409" s="49">
        <v>9</v>
      </c>
      <c r="C2409" s="49">
        <v>3</v>
      </c>
      <c r="D2409" s="49">
        <v>9</v>
      </c>
      <c r="E2409" s="49">
        <v>30</v>
      </c>
      <c r="F2409" s="49">
        <v>2</v>
      </c>
      <c r="G2409" s="49">
        <v>7</v>
      </c>
      <c r="H2409" s="49">
        <v>2023</v>
      </c>
      <c r="I2409" s="49">
        <v>2032</v>
      </c>
      <c r="J2409" s="50">
        <v>1.0845</v>
      </c>
      <c r="K2409" s="50">
        <v>1.0658000000000001</v>
      </c>
      <c r="L2409" s="50">
        <v>0.90380000000000005</v>
      </c>
      <c r="M2409" s="50">
        <v>1.0827</v>
      </c>
      <c r="N2409" s="50">
        <v>0.84079999999999999</v>
      </c>
      <c r="O2409" s="50">
        <v>1.0538000000000001</v>
      </c>
      <c r="P2409" s="49">
        <v>6554</v>
      </c>
      <c r="Q2409" s="51">
        <f t="array" ref="Q2409">SUM(IF(($S2409&gt;=4)*($C2409='TaxCred&amp;Subs'!$D$123:$D$127)*($H2409='TaxCred&amp;Subs'!$C$123:$C$127)*($H2409&lt;='TaxCred&amp;Subs'!$C$129),'TaxCred&amp;Subs'!$E$123:$E$127,0))</f>
        <v>2500</v>
      </c>
      <c r="R2409" s="171">
        <v>0</v>
      </c>
      <c r="S2409" s="49">
        <v>4</v>
      </c>
      <c r="T2409" s="49" t="s">
        <v>248</v>
      </c>
      <c r="V2409" s="153" t="str">
        <f t="array" ref="V2409">INDEX(xlRTCLNAME,MATCH(1,(xlRTCLENDU=1)*(xlRTCLEQCL=$D2409),0))</f>
        <v>WOOD_HT</v>
      </c>
      <c r="W2409" s="153" t="str">
        <f t="array" ref="W2409">INDEX(xlRTCLNAME,MATCH(1,(xlRTCLENDU=2)*(xlRTCLEQCL=$F2409),0))</f>
        <v>CENT_AIR</v>
      </c>
      <c r="X2409" s="153" t="str">
        <f t="array" ref="X2409">INDEX(xlRTTYNAME,MATCH(1,(xlRTTYENDU=1)*(xlRTTYEQCL=$D2409)*(xlRTEQTYPE=$E2409),0))</f>
        <v>WOOD_HT2</v>
      </c>
      <c r="Y2409" s="153" t="str">
        <f t="array" ref="Y2409">INDEX(xlRTTYNAME,MATCH(1,(xlRTTYENDU=2)*(xlRTTYEQCL=$F2409)*(xlRTEQTYPE=$G2409),0))</f>
        <v>CENT_AIR3</v>
      </c>
    </row>
    <row r="2410" spans="2:25" x14ac:dyDescent="0.2">
      <c r="B2410" s="126">
        <v>9</v>
      </c>
      <c r="C2410" s="126">
        <v>3</v>
      </c>
      <c r="D2410" s="126">
        <v>9</v>
      </c>
      <c r="E2410" s="126">
        <v>30</v>
      </c>
      <c r="F2410" s="126">
        <v>2</v>
      </c>
      <c r="G2410" s="126">
        <v>7</v>
      </c>
      <c r="H2410" s="159">
        <v>2033</v>
      </c>
      <c r="I2410" s="126">
        <v>2050</v>
      </c>
      <c r="J2410" s="127">
        <v>1.0845</v>
      </c>
      <c r="K2410" s="127">
        <v>1.0658000000000001</v>
      </c>
      <c r="L2410" s="127">
        <v>0.90380000000000005</v>
      </c>
      <c r="M2410" s="127">
        <v>1.0827</v>
      </c>
      <c r="N2410" s="127">
        <v>0.84079999999999999</v>
      </c>
      <c r="O2410" s="127">
        <v>1.0538000000000001</v>
      </c>
      <c r="P2410" s="126">
        <v>6554</v>
      </c>
      <c r="Q2410" s="128">
        <f t="array" ref="Q2410">SUM(IF(($S2410&gt;=4)*($C2410='TaxCred&amp;Subs'!$D$123:$D$127)*($H2410='TaxCred&amp;Subs'!$C$123:$C$127)*($H2410&lt;='TaxCred&amp;Subs'!$C$129),'TaxCred&amp;Subs'!$E$123:$E$127,0))</f>
        <v>0</v>
      </c>
      <c r="R2410" s="174">
        <v>0</v>
      </c>
      <c r="S2410" s="126">
        <v>4</v>
      </c>
      <c r="T2410" s="126" t="s">
        <v>248</v>
      </c>
      <c r="V2410" s="153" t="str">
        <f t="array" ref="V2410">INDEX(xlRTCLNAME,MATCH(1,(xlRTCLENDU=1)*(xlRTCLEQCL=$D2410),0))</f>
        <v>WOOD_HT</v>
      </c>
      <c r="W2410" s="153" t="str">
        <f t="array" ref="W2410">INDEX(xlRTCLNAME,MATCH(1,(xlRTCLENDU=2)*(xlRTCLEQCL=$F2410),0))</f>
        <v>CENT_AIR</v>
      </c>
      <c r="X2410" s="153" t="str">
        <f t="array" ref="X2410">INDEX(xlRTTYNAME,MATCH(1,(xlRTTYENDU=1)*(xlRTTYEQCL=$D2410)*(xlRTEQTYPE=$E2410),0))</f>
        <v>WOOD_HT2</v>
      </c>
      <c r="Y2410" s="153" t="str">
        <f t="array" ref="Y2410">INDEX(xlRTTYNAME,MATCH(1,(xlRTTYENDU=2)*(xlRTTYEQCL=$F2410)*(xlRTEQTYPE=$G2410),0))</f>
        <v>CENT_AIR3</v>
      </c>
    </row>
    <row r="2411" spans="2:25" x14ac:dyDescent="0.2">
      <c r="B2411" s="126">
        <v>2</v>
      </c>
      <c r="C2411" s="126">
        <v>3</v>
      </c>
      <c r="D2411" s="126">
        <v>10</v>
      </c>
      <c r="E2411" s="126">
        <v>34</v>
      </c>
      <c r="F2411" s="126">
        <v>4</v>
      </c>
      <c r="G2411" s="126">
        <v>15</v>
      </c>
      <c r="H2411" s="126">
        <v>2016</v>
      </c>
      <c r="I2411" s="159">
        <v>2022</v>
      </c>
      <c r="J2411" s="127">
        <v>1.0832999999999999</v>
      </c>
      <c r="K2411" s="127">
        <v>1.0713999999999999</v>
      </c>
      <c r="L2411" s="127">
        <v>0.84299999999999997</v>
      </c>
      <c r="M2411" s="127">
        <v>1.1524000000000001</v>
      </c>
      <c r="N2411" s="127">
        <v>0.86450000000000005</v>
      </c>
      <c r="O2411" s="127">
        <v>1.0538000000000001</v>
      </c>
      <c r="P2411" s="126">
        <v>6533</v>
      </c>
      <c r="Q2411" s="128">
        <f t="array" ref="Q2411">SUM(IF(($S2411&gt;=4)*($C2411='TaxCred&amp;Subs'!$D$123:$D$127)*($H2411='TaxCred&amp;Subs'!$C$123:$C$127)*($H2411&lt;='TaxCred&amp;Subs'!$C$129),'TaxCred&amp;Subs'!$E$123:$E$127,0))</f>
        <v>1000</v>
      </c>
      <c r="R2411" s="174">
        <v>0</v>
      </c>
      <c r="S2411" s="126">
        <v>4</v>
      </c>
      <c r="T2411" s="126" t="s">
        <v>248</v>
      </c>
      <c r="V2411" s="153" t="str">
        <f t="array" ref="V2411">INDEX(xlRTCLNAME,MATCH(1,(xlRTCLENDU=1)*(xlRTCLEQCL=$D2411),0))</f>
        <v>GEO_HP</v>
      </c>
      <c r="W2411" s="153" t="str">
        <f t="array" ref="W2411">INDEX(xlRTCLNAME,MATCH(1,(xlRTCLENDU=2)*(xlRTCLEQCL=$F2411),0))</f>
        <v>GEO_HP</v>
      </c>
      <c r="X2411" s="153" t="str">
        <f t="array" ref="X2411">INDEX(xlRTTYNAME,MATCH(1,(xlRTTYENDU=1)*(xlRTTYEQCL=$D2411)*(xlRTEQTYPE=$E2411),0))</f>
        <v>GEO_HP3</v>
      </c>
      <c r="Y2411" s="153" t="str">
        <f t="array" ref="Y2411">INDEX(xlRTTYNAME,MATCH(1,(xlRTTYENDU=2)*(xlRTTYEQCL=$F2411)*(xlRTEQTYPE=$G2411),0))</f>
        <v>GEO_HP3</v>
      </c>
    </row>
    <row r="2412" spans="2:25" x14ac:dyDescent="0.2">
      <c r="B2412" s="49">
        <v>2</v>
      </c>
      <c r="C2412" s="49">
        <v>3</v>
      </c>
      <c r="D2412" s="49">
        <v>10</v>
      </c>
      <c r="E2412" s="49">
        <v>34</v>
      </c>
      <c r="F2412" s="49">
        <v>4</v>
      </c>
      <c r="G2412" s="49">
        <v>15</v>
      </c>
      <c r="H2412" s="49">
        <v>2023</v>
      </c>
      <c r="I2412" s="49">
        <v>2032</v>
      </c>
      <c r="J2412" s="50">
        <v>1.0832999999999999</v>
      </c>
      <c r="K2412" s="50">
        <v>1.0713999999999999</v>
      </c>
      <c r="L2412" s="50">
        <v>0.84299999999999997</v>
      </c>
      <c r="M2412" s="50">
        <v>1.1524000000000001</v>
      </c>
      <c r="N2412" s="50">
        <v>0.86450000000000005</v>
      </c>
      <c r="O2412" s="50">
        <v>1.0538000000000001</v>
      </c>
      <c r="P2412" s="49">
        <v>6533</v>
      </c>
      <c r="Q2412" s="51">
        <f t="array" ref="Q2412">SUM(IF(($S2412&gt;=4)*($C2412='TaxCred&amp;Subs'!$D$123:$D$127)*($H2412='TaxCred&amp;Subs'!$C$123:$C$127)*($H2412&lt;='TaxCred&amp;Subs'!$C$129),'TaxCred&amp;Subs'!$E$123:$E$127,0))</f>
        <v>2500</v>
      </c>
      <c r="R2412" s="171">
        <v>0</v>
      </c>
      <c r="S2412" s="49">
        <v>4</v>
      </c>
      <c r="T2412" s="49" t="s">
        <v>248</v>
      </c>
      <c r="V2412" s="153" t="str">
        <f t="array" ref="V2412">INDEX(xlRTCLNAME,MATCH(1,(xlRTCLENDU=1)*(xlRTCLEQCL=$D2412),0))</f>
        <v>GEO_HP</v>
      </c>
      <c r="W2412" s="153" t="str">
        <f t="array" ref="W2412">INDEX(xlRTCLNAME,MATCH(1,(xlRTCLENDU=2)*(xlRTCLEQCL=$F2412),0))</f>
        <v>GEO_HP</v>
      </c>
      <c r="X2412" s="153" t="str">
        <f t="array" ref="X2412">INDEX(xlRTTYNAME,MATCH(1,(xlRTTYENDU=1)*(xlRTTYEQCL=$D2412)*(xlRTEQTYPE=$E2412),0))</f>
        <v>GEO_HP3</v>
      </c>
      <c r="Y2412" s="153" t="str">
        <f t="array" ref="Y2412">INDEX(xlRTTYNAME,MATCH(1,(xlRTTYENDU=2)*(xlRTTYEQCL=$F2412)*(xlRTEQTYPE=$G2412),0))</f>
        <v>GEO_HP3</v>
      </c>
    </row>
    <row r="2413" spans="2:25" x14ac:dyDescent="0.2">
      <c r="B2413" s="126">
        <v>2</v>
      </c>
      <c r="C2413" s="126">
        <v>3</v>
      </c>
      <c r="D2413" s="126">
        <v>10</v>
      </c>
      <c r="E2413" s="126">
        <v>34</v>
      </c>
      <c r="F2413" s="126">
        <v>4</v>
      </c>
      <c r="G2413" s="126">
        <v>15</v>
      </c>
      <c r="H2413" s="159">
        <v>2033</v>
      </c>
      <c r="I2413" s="126">
        <v>2050</v>
      </c>
      <c r="J2413" s="127">
        <v>1.0832999999999999</v>
      </c>
      <c r="K2413" s="127">
        <v>1.0713999999999999</v>
      </c>
      <c r="L2413" s="127">
        <v>0.84299999999999997</v>
      </c>
      <c r="M2413" s="127">
        <v>1.1524000000000001</v>
      </c>
      <c r="N2413" s="127">
        <v>0.86450000000000005</v>
      </c>
      <c r="O2413" s="127">
        <v>1.0538000000000001</v>
      </c>
      <c r="P2413" s="126">
        <v>6533</v>
      </c>
      <c r="Q2413" s="128">
        <f t="array" ref="Q2413">SUM(IF(($S2413&gt;=4)*($C2413='TaxCred&amp;Subs'!$D$123:$D$127)*($H2413='TaxCred&amp;Subs'!$C$123:$C$127)*($H2413&lt;='TaxCred&amp;Subs'!$C$129),'TaxCred&amp;Subs'!$E$123:$E$127,0))</f>
        <v>0</v>
      </c>
      <c r="R2413" s="174">
        <v>0</v>
      </c>
      <c r="S2413" s="126">
        <v>4</v>
      </c>
      <c r="T2413" s="126" t="s">
        <v>248</v>
      </c>
      <c r="V2413" s="153" t="str">
        <f t="array" ref="V2413">INDEX(xlRTCLNAME,MATCH(1,(xlRTCLENDU=1)*(xlRTCLEQCL=$D2413),0))</f>
        <v>GEO_HP</v>
      </c>
      <c r="W2413" s="153" t="str">
        <f t="array" ref="W2413">INDEX(xlRTCLNAME,MATCH(1,(xlRTCLENDU=2)*(xlRTCLEQCL=$F2413),0))</f>
        <v>GEO_HP</v>
      </c>
      <c r="X2413" s="153" t="str">
        <f t="array" ref="X2413">INDEX(xlRTTYNAME,MATCH(1,(xlRTTYENDU=1)*(xlRTTYEQCL=$D2413)*(xlRTEQTYPE=$E2413),0))</f>
        <v>GEO_HP3</v>
      </c>
      <c r="Y2413" s="153" t="str">
        <f t="array" ref="Y2413">INDEX(xlRTTYNAME,MATCH(1,(xlRTTYENDU=2)*(xlRTTYEQCL=$F2413)*(xlRTEQTYPE=$G2413),0))</f>
        <v>GEO_HP3</v>
      </c>
    </row>
    <row r="2414" spans="2:25" x14ac:dyDescent="0.2">
      <c r="B2414" s="126">
        <v>5</v>
      </c>
      <c r="C2414" s="126">
        <v>3</v>
      </c>
      <c r="D2414" s="126">
        <v>10</v>
      </c>
      <c r="E2414" s="126">
        <v>34</v>
      </c>
      <c r="F2414" s="126">
        <v>4</v>
      </c>
      <c r="G2414" s="126">
        <v>15</v>
      </c>
      <c r="H2414" s="126">
        <v>2016</v>
      </c>
      <c r="I2414" s="159">
        <v>2022</v>
      </c>
      <c r="J2414" s="127">
        <v>1.1071</v>
      </c>
      <c r="K2414" s="127">
        <v>1.03</v>
      </c>
      <c r="L2414" s="127">
        <v>0.76190000000000002</v>
      </c>
      <c r="M2414" s="127">
        <v>1.0437000000000001</v>
      </c>
      <c r="N2414" s="127">
        <v>0.84109999999999996</v>
      </c>
      <c r="O2414" s="127">
        <v>1.0538000000000001</v>
      </c>
      <c r="P2414" s="126">
        <v>4466</v>
      </c>
      <c r="Q2414" s="128">
        <f t="array" ref="Q2414">SUM(IF(($S2414&gt;=4)*($C2414='TaxCred&amp;Subs'!$D$123:$D$127)*($H2414='TaxCred&amp;Subs'!$C$123:$C$127)*($H2414&lt;='TaxCred&amp;Subs'!$C$129),'TaxCred&amp;Subs'!$E$123:$E$127,0))</f>
        <v>1000</v>
      </c>
      <c r="R2414" s="174">
        <v>0</v>
      </c>
      <c r="S2414" s="126">
        <v>4</v>
      </c>
      <c r="T2414" s="126" t="s">
        <v>248</v>
      </c>
      <c r="V2414" s="153" t="str">
        <f t="array" ref="V2414">INDEX(xlRTCLNAME,MATCH(1,(xlRTCLENDU=1)*(xlRTCLEQCL=$D2414),0))</f>
        <v>GEO_HP</v>
      </c>
      <c r="W2414" s="153" t="str">
        <f t="array" ref="W2414">INDEX(xlRTCLNAME,MATCH(1,(xlRTCLENDU=2)*(xlRTCLEQCL=$F2414),0))</f>
        <v>GEO_HP</v>
      </c>
      <c r="X2414" s="153" t="str">
        <f t="array" ref="X2414">INDEX(xlRTTYNAME,MATCH(1,(xlRTTYENDU=1)*(xlRTTYEQCL=$D2414)*(xlRTEQTYPE=$E2414),0))</f>
        <v>GEO_HP3</v>
      </c>
      <c r="Y2414" s="153" t="str">
        <f t="array" ref="Y2414">INDEX(xlRTTYNAME,MATCH(1,(xlRTTYENDU=2)*(xlRTTYEQCL=$F2414)*(xlRTEQTYPE=$G2414),0))</f>
        <v>GEO_HP3</v>
      </c>
    </row>
    <row r="2415" spans="2:25" x14ac:dyDescent="0.2">
      <c r="B2415" s="49">
        <v>5</v>
      </c>
      <c r="C2415" s="49">
        <v>3</v>
      </c>
      <c r="D2415" s="49">
        <v>10</v>
      </c>
      <c r="E2415" s="49">
        <v>34</v>
      </c>
      <c r="F2415" s="49">
        <v>4</v>
      </c>
      <c r="G2415" s="49">
        <v>15</v>
      </c>
      <c r="H2415" s="49">
        <v>2023</v>
      </c>
      <c r="I2415" s="49">
        <v>2032</v>
      </c>
      <c r="J2415" s="50">
        <v>1.1071</v>
      </c>
      <c r="K2415" s="50">
        <v>1.03</v>
      </c>
      <c r="L2415" s="50">
        <v>0.76190000000000002</v>
      </c>
      <c r="M2415" s="50">
        <v>1.0437000000000001</v>
      </c>
      <c r="N2415" s="50">
        <v>0.84109999999999996</v>
      </c>
      <c r="O2415" s="50">
        <v>1.0538000000000001</v>
      </c>
      <c r="P2415" s="49">
        <v>4466</v>
      </c>
      <c r="Q2415" s="51">
        <f t="array" ref="Q2415">SUM(IF(($S2415&gt;=4)*($C2415='TaxCred&amp;Subs'!$D$123:$D$127)*($H2415='TaxCred&amp;Subs'!$C$123:$C$127)*($H2415&lt;='TaxCred&amp;Subs'!$C$129),'TaxCred&amp;Subs'!$E$123:$E$127,0))</f>
        <v>2500</v>
      </c>
      <c r="R2415" s="171">
        <v>0</v>
      </c>
      <c r="S2415" s="49">
        <v>4</v>
      </c>
      <c r="T2415" s="49" t="s">
        <v>248</v>
      </c>
      <c r="V2415" s="153" t="str">
        <f t="array" ref="V2415">INDEX(xlRTCLNAME,MATCH(1,(xlRTCLENDU=1)*(xlRTCLEQCL=$D2415),0))</f>
        <v>GEO_HP</v>
      </c>
      <c r="W2415" s="153" t="str">
        <f t="array" ref="W2415">INDEX(xlRTCLNAME,MATCH(1,(xlRTCLENDU=2)*(xlRTCLEQCL=$F2415),0))</f>
        <v>GEO_HP</v>
      </c>
      <c r="X2415" s="153" t="str">
        <f t="array" ref="X2415">INDEX(xlRTTYNAME,MATCH(1,(xlRTTYENDU=1)*(xlRTTYEQCL=$D2415)*(xlRTEQTYPE=$E2415),0))</f>
        <v>GEO_HP3</v>
      </c>
      <c r="Y2415" s="153" t="str">
        <f t="array" ref="Y2415">INDEX(xlRTTYNAME,MATCH(1,(xlRTTYENDU=2)*(xlRTTYEQCL=$F2415)*(xlRTEQTYPE=$G2415),0))</f>
        <v>GEO_HP3</v>
      </c>
    </row>
    <row r="2416" spans="2:25" x14ac:dyDescent="0.2">
      <c r="B2416" s="126">
        <v>5</v>
      </c>
      <c r="C2416" s="126">
        <v>3</v>
      </c>
      <c r="D2416" s="126">
        <v>10</v>
      </c>
      <c r="E2416" s="126">
        <v>34</v>
      </c>
      <c r="F2416" s="126">
        <v>4</v>
      </c>
      <c r="G2416" s="126">
        <v>15</v>
      </c>
      <c r="H2416" s="159">
        <v>2033</v>
      </c>
      <c r="I2416" s="126">
        <v>2050</v>
      </c>
      <c r="J2416" s="127">
        <v>1.1071</v>
      </c>
      <c r="K2416" s="127">
        <v>1.03</v>
      </c>
      <c r="L2416" s="127">
        <v>0.76190000000000002</v>
      </c>
      <c r="M2416" s="127">
        <v>1.0437000000000001</v>
      </c>
      <c r="N2416" s="127">
        <v>0.84109999999999996</v>
      </c>
      <c r="O2416" s="127">
        <v>1.0538000000000001</v>
      </c>
      <c r="P2416" s="126">
        <v>4466</v>
      </c>
      <c r="Q2416" s="128">
        <f t="array" ref="Q2416">SUM(IF(($S2416&gt;=4)*($C2416='TaxCred&amp;Subs'!$D$123:$D$127)*($H2416='TaxCred&amp;Subs'!$C$123:$C$127)*($H2416&lt;='TaxCred&amp;Subs'!$C$129),'TaxCred&amp;Subs'!$E$123:$E$127,0))</f>
        <v>0</v>
      </c>
      <c r="R2416" s="174">
        <v>0</v>
      </c>
      <c r="S2416" s="126">
        <v>4</v>
      </c>
      <c r="T2416" s="126" t="s">
        <v>248</v>
      </c>
      <c r="V2416" s="153" t="str">
        <f t="array" ref="V2416">INDEX(xlRTCLNAME,MATCH(1,(xlRTCLENDU=1)*(xlRTCLEQCL=$D2416),0))</f>
        <v>GEO_HP</v>
      </c>
      <c r="W2416" s="153" t="str">
        <f t="array" ref="W2416">INDEX(xlRTCLNAME,MATCH(1,(xlRTCLENDU=2)*(xlRTCLEQCL=$F2416),0))</f>
        <v>GEO_HP</v>
      </c>
      <c r="X2416" s="153" t="str">
        <f t="array" ref="X2416">INDEX(xlRTTYNAME,MATCH(1,(xlRTTYENDU=1)*(xlRTTYEQCL=$D2416)*(xlRTEQTYPE=$E2416),0))</f>
        <v>GEO_HP3</v>
      </c>
      <c r="Y2416" s="153" t="str">
        <f t="array" ref="Y2416">INDEX(xlRTTYNAME,MATCH(1,(xlRTTYENDU=2)*(xlRTTYEQCL=$F2416)*(xlRTEQTYPE=$G2416),0))</f>
        <v>GEO_HP3</v>
      </c>
    </row>
    <row r="2417" spans="1:25" x14ac:dyDescent="0.2">
      <c r="B2417" s="126">
        <v>6</v>
      </c>
      <c r="C2417" s="126">
        <v>3</v>
      </c>
      <c r="D2417" s="126">
        <v>10</v>
      </c>
      <c r="E2417" s="126">
        <v>34</v>
      </c>
      <c r="F2417" s="126">
        <v>4</v>
      </c>
      <c r="G2417" s="126">
        <v>15</v>
      </c>
      <c r="H2417" s="126">
        <v>2016</v>
      </c>
      <c r="I2417" s="159">
        <v>2022</v>
      </c>
      <c r="J2417" s="127">
        <v>1.0909</v>
      </c>
      <c r="K2417" s="127">
        <v>1.0588</v>
      </c>
      <c r="L2417" s="127">
        <v>0.78500000000000003</v>
      </c>
      <c r="M2417" s="127">
        <v>1.0753999999999999</v>
      </c>
      <c r="N2417" s="127">
        <v>0.80820000000000003</v>
      </c>
      <c r="O2417" s="127">
        <v>1.0538000000000001</v>
      </c>
      <c r="P2417" s="126">
        <v>4310</v>
      </c>
      <c r="Q2417" s="128">
        <f t="array" ref="Q2417">SUM(IF(($S2417&gt;=4)*($C2417='TaxCred&amp;Subs'!$D$123:$D$127)*($H2417='TaxCred&amp;Subs'!$C$123:$C$127)*($H2417&lt;='TaxCred&amp;Subs'!$C$129),'TaxCred&amp;Subs'!$E$123:$E$127,0))</f>
        <v>1000</v>
      </c>
      <c r="R2417" s="174">
        <v>0</v>
      </c>
      <c r="S2417" s="126">
        <v>4</v>
      </c>
      <c r="T2417" s="126" t="s">
        <v>248</v>
      </c>
      <c r="V2417" s="153" t="str">
        <f t="array" ref="V2417">INDEX(xlRTCLNAME,MATCH(1,(xlRTCLENDU=1)*(xlRTCLEQCL=$D2417),0))</f>
        <v>GEO_HP</v>
      </c>
      <c r="W2417" s="153" t="str">
        <f t="array" ref="W2417">INDEX(xlRTCLNAME,MATCH(1,(xlRTCLENDU=2)*(xlRTCLEQCL=$F2417),0))</f>
        <v>GEO_HP</v>
      </c>
      <c r="X2417" s="153" t="str">
        <f t="array" ref="X2417">INDEX(xlRTTYNAME,MATCH(1,(xlRTTYENDU=1)*(xlRTTYEQCL=$D2417)*(xlRTEQTYPE=$E2417),0))</f>
        <v>GEO_HP3</v>
      </c>
      <c r="Y2417" s="153" t="str">
        <f t="array" ref="Y2417">INDEX(xlRTTYNAME,MATCH(1,(xlRTTYENDU=2)*(xlRTTYEQCL=$F2417)*(xlRTEQTYPE=$G2417),0))</f>
        <v>GEO_HP3</v>
      </c>
    </row>
    <row r="2418" spans="1:25" x14ac:dyDescent="0.2">
      <c r="B2418" s="49">
        <v>6</v>
      </c>
      <c r="C2418" s="49">
        <v>3</v>
      </c>
      <c r="D2418" s="49">
        <v>10</v>
      </c>
      <c r="E2418" s="49">
        <v>34</v>
      </c>
      <c r="F2418" s="49">
        <v>4</v>
      </c>
      <c r="G2418" s="49">
        <v>15</v>
      </c>
      <c r="H2418" s="49">
        <v>2023</v>
      </c>
      <c r="I2418" s="49">
        <v>2032</v>
      </c>
      <c r="J2418" s="50">
        <v>1.0909</v>
      </c>
      <c r="K2418" s="50">
        <v>1.0588</v>
      </c>
      <c r="L2418" s="50">
        <v>0.78500000000000003</v>
      </c>
      <c r="M2418" s="50">
        <v>1.0753999999999999</v>
      </c>
      <c r="N2418" s="50">
        <v>0.80820000000000003</v>
      </c>
      <c r="O2418" s="50">
        <v>1.0538000000000001</v>
      </c>
      <c r="P2418" s="49">
        <v>4310</v>
      </c>
      <c r="Q2418" s="51">
        <f t="array" ref="Q2418">SUM(IF(($S2418&gt;=4)*($C2418='TaxCred&amp;Subs'!$D$123:$D$127)*($H2418='TaxCred&amp;Subs'!$C$123:$C$127)*($H2418&lt;='TaxCred&amp;Subs'!$C$129),'TaxCred&amp;Subs'!$E$123:$E$127,0))</f>
        <v>2500</v>
      </c>
      <c r="R2418" s="171">
        <v>0</v>
      </c>
      <c r="S2418" s="49">
        <v>4</v>
      </c>
      <c r="T2418" s="49" t="s">
        <v>248</v>
      </c>
      <c r="V2418" s="153" t="str">
        <f t="array" ref="V2418">INDEX(xlRTCLNAME,MATCH(1,(xlRTCLENDU=1)*(xlRTCLEQCL=$D2418),0))</f>
        <v>GEO_HP</v>
      </c>
      <c r="W2418" s="153" t="str">
        <f t="array" ref="W2418">INDEX(xlRTCLNAME,MATCH(1,(xlRTCLENDU=2)*(xlRTCLEQCL=$F2418),0))</f>
        <v>GEO_HP</v>
      </c>
      <c r="X2418" s="153" t="str">
        <f t="array" ref="X2418">INDEX(xlRTTYNAME,MATCH(1,(xlRTTYENDU=1)*(xlRTTYEQCL=$D2418)*(xlRTEQTYPE=$E2418),0))</f>
        <v>GEO_HP3</v>
      </c>
      <c r="Y2418" s="153" t="str">
        <f t="array" ref="Y2418">INDEX(xlRTTYNAME,MATCH(1,(xlRTTYENDU=2)*(xlRTTYEQCL=$F2418)*(xlRTEQTYPE=$G2418),0))</f>
        <v>GEO_HP3</v>
      </c>
    </row>
    <row r="2419" spans="1:25" s="158" customFormat="1" x14ac:dyDescent="0.2">
      <c r="A2419"/>
      <c r="B2419" s="126">
        <v>6</v>
      </c>
      <c r="C2419" s="126">
        <v>3</v>
      </c>
      <c r="D2419" s="126">
        <v>10</v>
      </c>
      <c r="E2419" s="126">
        <v>34</v>
      </c>
      <c r="F2419" s="126">
        <v>4</v>
      </c>
      <c r="G2419" s="126">
        <v>15</v>
      </c>
      <c r="H2419" s="159">
        <v>2033</v>
      </c>
      <c r="I2419" s="126">
        <v>2050</v>
      </c>
      <c r="J2419" s="127">
        <v>1.0909</v>
      </c>
      <c r="K2419" s="127">
        <v>1.0588</v>
      </c>
      <c r="L2419" s="127">
        <v>0.78500000000000003</v>
      </c>
      <c r="M2419" s="127">
        <v>1.0753999999999999</v>
      </c>
      <c r="N2419" s="127">
        <v>0.80820000000000003</v>
      </c>
      <c r="O2419" s="127">
        <v>1.0538000000000001</v>
      </c>
      <c r="P2419" s="126">
        <v>4310</v>
      </c>
      <c r="Q2419" s="128">
        <f t="array" ref="Q2419">SUM(IF(($S2419&gt;=4)*($C2419='TaxCred&amp;Subs'!$D$123:$D$127)*($H2419='TaxCred&amp;Subs'!$C$123:$C$127)*($H2419&lt;='TaxCred&amp;Subs'!$C$129),'TaxCred&amp;Subs'!$E$123:$E$127,0))</f>
        <v>0</v>
      </c>
      <c r="R2419" s="174">
        <v>0</v>
      </c>
      <c r="S2419" s="126">
        <v>4</v>
      </c>
      <c r="T2419" s="126" t="s">
        <v>248</v>
      </c>
      <c r="U2419"/>
      <c r="V2419" s="153" t="str">
        <f t="array" ref="V2419">INDEX(xlRTCLNAME,MATCH(1,(xlRTCLENDU=1)*(xlRTCLEQCL=$D2419),0))</f>
        <v>GEO_HP</v>
      </c>
      <c r="W2419" s="153" t="str">
        <f t="array" ref="W2419">INDEX(xlRTCLNAME,MATCH(1,(xlRTCLENDU=2)*(xlRTCLEQCL=$F2419),0))</f>
        <v>GEO_HP</v>
      </c>
      <c r="X2419" s="153" t="str">
        <f t="array" ref="X2419">INDEX(xlRTTYNAME,MATCH(1,(xlRTTYENDU=1)*(xlRTTYEQCL=$D2419)*(xlRTEQTYPE=$E2419),0))</f>
        <v>GEO_HP3</v>
      </c>
      <c r="Y2419" s="153" t="str">
        <f t="array" ref="Y2419">INDEX(xlRTTYNAME,MATCH(1,(xlRTTYENDU=2)*(xlRTTYEQCL=$F2419)*(xlRTEQTYPE=$G2419),0))</f>
        <v>GEO_HP3</v>
      </c>
    </row>
    <row r="2420" spans="1:25" s="157" customFormat="1" x14ac:dyDescent="0.2">
      <c r="A2420"/>
      <c r="B2420" s="126">
        <v>7</v>
      </c>
      <c r="C2420" s="126">
        <v>3</v>
      </c>
      <c r="D2420" s="126">
        <v>10</v>
      </c>
      <c r="E2420" s="126">
        <v>34</v>
      </c>
      <c r="F2420" s="126">
        <v>4</v>
      </c>
      <c r="G2420" s="126">
        <v>15</v>
      </c>
      <c r="H2420" s="126">
        <v>2016</v>
      </c>
      <c r="I2420" s="159">
        <v>2022</v>
      </c>
      <c r="J2420" s="127">
        <v>1.0968</v>
      </c>
      <c r="K2420" s="127">
        <v>1.036</v>
      </c>
      <c r="L2420" s="127">
        <v>0.89249999999999996</v>
      </c>
      <c r="M2420" s="127">
        <v>1.0906</v>
      </c>
      <c r="N2420" s="127">
        <v>0.81950000000000001</v>
      </c>
      <c r="O2420" s="127">
        <v>1.0538000000000001</v>
      </c>
      <c r="P2420" s="126">
        <v>2636</v>
      </c>
      <c r="Q2420" s="128">
        <f t="array" ref="Q2420">SUM(IF(($S2420&gt;=4)*($C2420='TaxCred&amp;Subs'!$D$123:$D$127)*($H2420='TaxCred&amp;Subs'!$C$123:$C$127)*($H2420&lt;='TaxCred&amp;Subs'!$C$129),'TaxCred&amp;Subs'!$E$123:$E$127,0))</f>
        <v>1000</v>
      </c>
      <c r="R2420" s="174">
        <v>0</v>
      </c>
      <c r="S2420" s="126">
        <v>4</v>
      </c>
      <c r="T2420" s="126" t="s">
        <v>248</v>
      </c>
      <c r="U2420"/>
      <c r="V2420" s="153" t="str">
        <f t="array" ref="V2420">INDEX(xlRTCLNAME,MATCH(1,(xlRTCLENDU=1)*(xlRTCLEQCL=$D2420),0))</f>
        <v>GEO_HP</v>
      </c>
      <c r="W2420" s="153" t="str">
        <f t="array" ref="W2420">INDEX(xlRTCLNAME,MATCH(1,(xlRTCLENDU=2)*(xlRTCLEQCL=$F2420),0))</f>
        <v>GEO_HP</v>
      </c>
      <c r="X2420" s="153" t="str">
        <f t="array" ref="X2420">INDEX(xlRTTYNAME,MATCH(1,(xlRTTYENDU=1)*(xlRTTYEQCL=$D2420)*(xlRTEQTYPE=$E2420),0))</f>
        <v>GEO_HP3</v>
      </c>
      <c r="Y2420" s="153" t="str">
        <f t="array" ref="Y2420">INDEX(xlRTTYNAME,MATCH(1,(xlRTTYENDU=2)*(xlRTTYEQCL=$F2420)*(xlRTEQTYPE=$G2420),0))</f>
        <v>GEO_HP3</v>
      </c>
    </row>
    <row r="2421" spans="1:25" s="158" customFormat="1" x14ac:dyDescent="0.2">
      <c r="A2421"/>
      <c r="B2421" s="49">
        <v>7</v>
      </c>
      <c r="C2421" s="49">
        <v>3</v>
      </c>
      <c r="D2421" s="49">
        <v>10</v>
      </c>
      <c r="E2421" s="49">
        <v>34</v>
      </c>
      <c r="F2421" s="49">
        <v>4</v>
      </c>
      <c r="G2421" s="49">
        <v>15</v>
      </c>
      <c r="H2421" s="49">
        <v>2023</v>
      </c>
      <c r="I2421" s="49">
        <v>2032</v>
      </c>
      <c r="J2421" s="50">
        <v>1.0968</v>
      </c>
      <c r="K2421" s="50">
        <v>1.036</v>
      </c>
      <c r="L2421" s="50">
        <v>0.89249999999999996</v>
      </c>
      <c r="M2421" s="50">
        <v>1.0906</v>
      </c>
      <c r="N2421" s="50">
        <v>0.81950000000000001</v>
      </c>
      <c r="O2421" s="50">
        <v>1.0538000000000001</v>
      </c>
      <c r="P2421" s="49">
        <v>2636</v>
      </c>
      <c r="Q2421" s="51">
        <f t="array" ref="Q2421">SUM(IF(($S2421&gt;=4)*($C2421='TaxCred&amp;Subs'!$D$123:$D$127)*($H2421='TaxCred&amp;Subs'!$C$123:$C$127)*($H2421&lt;='TaxCred&amp;Subs'!$C$129),'TaxCred&amp;Subs'!$E$123:$E$127,0))</f>
        <v>2500</v>
      </c>
      <c r="R2421" s="171">
        <v>0</v>
      </c>
      <c r="S2421" s="49">
        <v>4</v>
      </c>
      <c r="T2421" s="49" t="s">
        <v>248</v>
      </c>
      <c r="U2421"/>
      <c r="V2421" s="153" t="str">
        <f t="array" ref="V2421">INDEX(xlRTCLNAME,MATCH(1,(xlRTCLENDU=1)*(xlRTCLEQCL=$D2421),0))</f>
        <v>GEO_HP</v>
      </c>
      <c r="W2421" s="153" t="str">
        <f t="array" ref="W2421">INDEX(xlRTCLNAME,MATCH(1,(xlRTCLENDU=2)*(xlRTCLEQCL=$F2421),0))</f>
        <v>GEO_HP</v>
      </c>
      <c r="X2421" s="153" t="str">
        <f t="array" ref="X2421">INDEX(xlRTTYNAME,MATCH(1,(xlRTTYENDU=1)*(xlRTTYEQCL=$D2421)*(xlRTEQTYPE=$E2421),0))</f>
        <v>GEO_HP3</v>
      </c>
      <c r="Y2421" s="153" t="str">
        <f t="array" ref="Y2421">INDEX(xlRTTYNAME,MATCH(1,(xlRTTYENDU=2)*(xlRTTYEQCL=$F2421)*(xlRTEQTYPE=$G2421),0))</f>
        <v>GEO_HP3</v>
      </c>
    </row>
    <row r="2422" spans="1:25" s="158" customFormat="1" x14ac:dyDescent="0.2">
      <c r="A2422"/>
      <c r="B2422" s="126">
        <v>7</v>
      </c>
      <c r="C2422" s="126">
        <v>3</v>
      </c>
      <c r="D2422" s="126">
        <v>10</v>
      </c>
      <c r="E2422" s="126">
        <v>34</v>
      </c>
      <c r="F2422" s="126">
        <v>4</v>
      </c>
      <c r="G2422" s="126">
        <v>15</v>
      </c>
      <c r="H2422" s="159">
        <v>2033</v>
      </c>
      <c r="I2422" s="126">
        <v>2050</v>
      </c>
      <c r="J2422" s="127">
        <v>1.0968</v>
      </c>
      <c r="K2422" s="127">
        <v>1.036</v>
      </c>
      <c r="L2422" s="127">
        <v>0.89249999999999996</v>
      </c>
      <c r="M2422" s="127">
        <v>1.0906</v>
      </c>
      <c r="N2422" s="127">
        <v>0.81950000000000001</v>
      </c>
      <c r="O2422" s="127">
        <v>1.0538000000000001</v>
      </c>
      <c r="P2422" s="126">
        <v>2636</v>
      </c>
      <c r="Q2422" s="128">
        <f t="array" ref="Q2422">SUM(IF(($S2422&gt;=4)*($C2422='TaxCred&amp;Subs'!$D$123:$D$127)*($H2422='TaxCred&amp;Subs'!$C$123:$C$127)*($H2422&lt;='TaxCred&amp;Subs'!$C$129),'TaxCred&amp;Subs'!$E$123:$E$127,0))</f>
        <v>0</v>
      </c>
      <c r="R2422" s="174">
        <v>0</v>
      </c>
      <c r="S2422" s="126">
        <v>4</v>
      </c>
      <c r="T2422" s="126" t="s">
        <v>248</v>
      </c>
      <c r="U2422"/>
      <c r="V2422" s="153" t="str">
        <f t="array" ref="V2422">INDEX(xlRTCLNAME,MATCH(1,(xlRTCLENDU=1)*(xlRTCLEQCL=$D2422),0))</f>
        <v>GEO_HP</v>
      </c>
      <c r="W2422" s="153" t="str">
        <f t="array" ref="W2422">INDEX(xlRTCLNAME,MATCH(1,(xlRTCLENDU=2)*(xlRTCLEQCL=$F2422),0))</f>
        <v>GEO_HP</v>
      </c>
      <c r="X2422" s="153" t="str">
        <f t="array" ref="X2422">INDEX(xlRTTYNAME,MATCH(1,(xlRTTYENDU=1)*(xlRTTYEQCL=$D2422)*(xlRTEQTYPE=$E2422),0))</f>
        <v>GEO_HP3</v>
      </c>
      <c r="Y2422" s="153" t="str">
        <f t="array" ref="Y2422">INDEX(xlRTTYNAME,MATCH(1,(xlRTTYENDU=2)*(xlRTTYEQCL=$F2422)*(xlRTEQTYPE=$G2422),0))</f>
        <v>GEO_HP3</v>
      </c>
    </row>
    <row r="2423" spans="1:25" s="157" customFormat="1" x14ac:dyDescent="0.2">
      <c r="A2423"/>
      <c r="B2423" s="126">
        <v>9</v>
      </c>
      <c r="C2423" s="126">
        <v>3</v>
      </c>
      <c r="D2423" s="126">
        <v>10</v>
      </c>
      <c r="E2423" s="126">
        <v>34</v>
      </c>
      <c r="F2423" s="126">
        <v>4</v>
      </c>
      <c r="G2423" s="126">
        <v>15</v>
      </c>
      <c r="H2423" s="126">
        <v>2016</v>
      </c>
      <c r="I2423" s="159">
        <v>2022</v>
      </c>
      <c r="J2423" s="127">
        <v>1.0857000000000001</v>
      </c>
      <c r="K2423" s="127">
        <v>1.0611999999999999</v>
      </c>
      <c r="L2423" s="127">
        <v>0.8276</v>
      </c>
      <c r="M2423" s="127">
        <v>1.1436999999999999</v>
      </c>
      <c r="N2423" s="127">
        <v>0.85860000000000003</v>
      </c>
      <c r="O2423" s="127">
        <v>1.0538000000000001</v>
      </c>
      <c r="P2423" s="126">
        <v>5887</v>
      </c>
      <c r="Q2423" s="128">
        <f t="array" ref="Q2423">SUM(IF(($S2423&gt;=4)*($C2423='TaxCred&amp;Subs'!$D$123:$D$127)*($H2423='TaxCred&amp;Subs'!$C$123:$C$127)*($H2423&lt;='TaxCred&amp;Subs'!$C$129),'TaxCred&amp;Subs'!$E$123:$E$127,0))</f>
        <v>1000</v>
      </c>
      <c r="R2423" s="174">
        <v>0</v>
      </c>
      <c r="S2423" s="126">
        <v>4</v>
      </c>
      <c r="T2423" s="126" t="s">
        <v>248</v>
      </c>
      <c r="U2423"/>
      <c r="V2423" s="153" t="str">
        <f t="array" ref="V2423">INDEX(xlRTCLNAME,MATCH(1,(xlRTCLENDU=1)*(xlRTCLEQCL=$D2423),0))</f>
        <v>GEO_HP</v>
      </c>
      <c r="W2423" s="153" t="str">
        <f t="array" ref="W2423">INDEX(xlRTCLNAME,MATCH(1,(xlRTCLENDU=2)*(xlRTCLEQCL=$F2423),0))</f>
        <v>GEO_HP</v>
      </c>
      <c r="X2423" s="153" t="str">
        <f t="array" ref="X2423">INDEX(xlRTTYNAME,MATCH(1,(xlRTTYENDU=1)*(xlRTTYEQCL=$D2423)*(xlRTEQTYPE=$E2423),0))</f>
        <v>GEO_HP3</v>
      </c>
      <c r="Y2423" s="153" t="str">
        <f t="array" ref="Y2423">INDEX(xlRTTYNAME,MATCH(1,(xlRTTYENDU=2)*(xlRTTYEQCL=$F2423)*(xlRTEQTYPE=$G2423),0))</f>
        <v>GEO_HP3</v>
      </c>
    </row>
    <row r="2424" spans="1:25" s="158" customFormat="1" x14ac:dyDescent="0.2">
      <c r="A2424"/>
      <c r="B2424" s="49">
        <v>9</v>
      </c>
      <c r="C2424" s="49">
        <v>3</v>
      </c>
      <c r="D2424" s="49">
        <v>10</v>
      </c>
      <c r="E2424" s="49">
        <v>34</v>
      </c>
      <c r="F2424" s="49">
        <v>4</v>
      </c>
      <c r="G2424" s="49">
        <v>15</v>
      </c>
      <c r="H2424" s="49">
        <v>2023</v>
      </c>
      <c r="I2424" s="49">
        <v>2032</v>
      </c>
      <c r="J2424" s="50">
        <v>1.0857000000000001</v>
      </c>
      <c r="K2424" s="50">
        <v>1.0611999999999999</v>
      </c>
      <c r="L2424" s="50">
        <v>0.8276</v>
      </c>
      <c r="M2424" s="50">
        <v>1.1436999999999999</v>
      </c>
      <c r="N2424" s="50">
        <v>0.85860000000000003</v>
      </c>
      <c r="O2424" s="50">
        <v>1.0538000000000001</v>
      </c>
      <c r="P2424" s="49">
        <v>5887</v>
      </c>
      <c r="Q2424" s="51">
        <f t="array" ref="Q2424">SUM(IF(($S2424&gt;=4)*($C2424='TaxCred&amp;Subs'!$D$123:$D$127)*($H2424='TaxCred&amp;Subs'!$C$123:$C$127)*($H2424&lt;='TaxCred&amp;Subs'!$C$129),'TaxCred&amp;Subs'!$E$123:$E$127,0))</f>
        <v>2500</v>
      </c>
      <c r="R2424" s="171">
        <v>0</v>
      </c>
      <c r="S2424" s="49">
        <v>4</v>
      </c>
      <c r="T2424" s="49" t="s">
        <v>248</v>
      </c>
      <c r="U2424"/>
      <c r="V2424" s="153" t="str">
        <f t="array" ref="V2424">INDEX(xlRTCLNAME,MATCH(1,(xlRTCLENDU=1)*(xlRTCLEQCL=$D2424),0))</f>
        <v>GEO_HP</v>
      </c>
      <c r="W2424" s="153" t="str">
        <f t="array" ref="W2424">INDEX(xlRTCLNAME,MATCH(1,(xlRTCLENDU=2)*(xlRTCLEQCL=$F2424),0))</f>
        <v>GEO_HP</v>
      </c>
      <c r="X2424" s="153" t="str">
        <f t="array" ref="X2424">INDEX(xlRTTYNAME,MATCH(1,(xlRTTYENDU=1)*(xlRTTYEQCL=$D2424)*(xlRTEQTYPE=$E2424),0))</f>
        <v>GEO_HP3</v>
      </c>
      <c r="Y2424" s="153" t="str">
        <f t="array" ref="Y2424">INDEX(xlRTTYNAME,MATCH(1,(xlRTTYENDU=2)*(xlRTTYEQCL=$F2424)*(xlRTEQTYPE=$G2424),0))</f>
        <v>GEO_HP3</v>
      </c>
    </row>
    <row r="2425" spans="1:25" s="158" customFormat="1" x14ac:dyDescent="0.2">
      <c r="A2425"/>
      <c r="B2425" s="126">
        <v>9</v>
      </c>
      <c r="C2425" s="126">
        <v>3</v>
      </c>
      <c r="D2425" s="126">
        <v>10</v>
      </c>
      <c r="E2425" s="126">
        <v>34</v>
      </c>
      <c r="F2425" s="126">
        <v>4</v>
      </c>
      <c r="G2425" s="126">
        <v>15</v>
      </c>
      <c r="H2425" s="159">
        <v>2033</v>
      </c>
      <c r="I2425" s="126">
        <v>2050</v>
      </c>
      <c r="J2425" s="127">
        <v>1.0857000000000001</v>
      </c>
      <c r="K2425" s="127">
        <v>1.0611999999999999</v>
      </c>
      <c r="L2425" s="127">
        <v>0.8276</v>
      </c>
      <c r="M2425" s="127">
        <v>1.1436999999999999</v>
      </c>
      <c r="N2425" s="127">
        <v>0.85860000000000003</v>
      </c>
      <c r="O2425" s="127">
        <v>1.0538000000000001</v>
      </c>
      <c r="P2425" s="126">
        <v>5887</v>
      </c>
      <c r="Q2425" s="128">
        <f t="array" ref="Q2425">SUM(IF(($S2425&gt;=4)*($C2425='TaxCred&amp;Subs'!$D$123:$D$127)*($H2425='TaxCred&amp;Subs'!$C$123:$C$127)*($H2425&lt;='TaxCred&amp;Subs'!$C$129),'TaxCred&amp;Subs'!$E$123:$E$127,0))</f>
        <v>0</v>
      </c>
      <c r="R2425" s="174">
        <v>0</v>
      </c>
      <c r="S2425" s="126">
        <v>4</v>
      </c>
      <c r="T2425" s="126" t="s">
        <v>248</v>
      </c>
      <c r="U2425"/>
      <c r="V2425" s="153" t="str">
        <f t="array" ref="V2425">INDEX(xlRTCLNAME,MATCH(1,(xlRTCLENDU=1)*(xlRTCLEQCL=$D2425),0))</f>
        <v>GEO_HP</v>
      </c>
      <c r="W2425" s="153" t="str">
        <f t="array" ref="W2425">INDEX(xlRTCLNAME,MATCH(1,(xlRTCLENDU=2)*(xlRTCLEQCL=$F2425),0))</f>
        <v>GEO_HP</v>
      </c>
      <c r="X2425" s="153" t="str">
        <f t="array" ref="X2425">INDEX(xlRTTYNAME,MATCH(1,(xlRTTYENDU=1)*(xlRTTYEQCL=$D2425)*(xlRTEQTYPE=$E2425),0))</f>
        <v>GEO_HP3</v>
      </c>
      <c r="Y2425" s="153" t="str">
        <f t="array" ref="Y2425">INDEX(xlRTTYNAME,MATCH(1,(xlRTTYENDU=2)*(xlRTTYEQCL=$F2425)*(xlRTEQTYPE=$G2425),0))</f>
        <v>GEO_HP3</v>
      </c>
    </row>
    <row r="2426" spans="1:25" s="157" customFormat="1" x14ac:dyDescent="0.2">
      <c r="A2426"/>
      <c r="B2426" s="126">
        <v>2</v>
      </c>
      <c r="C2426" s="126">
        <v>3</v>
      </c>
      <c r="D2426" s="126">
        <v>11</v>
      </c>
      <c r="E2426" s="126">
        <v>36</v>
      </c>
      <c r="F2426" s="126">
        <v>5</v>
      </c>
      <c r="G2426" s="126">
        <v>17</v>
      </c>
      <c r="H2426" s="126">
        <v>2016</v>
      </c>
      <c r="I2426" s="159">
        <v>2022</v>
      </c>
      <c r="J2426" s="127">
        <v>1.0670999999999999</v>
      </c>
      <c r="K2426" s="127">
        <v>1.0638000000000001</v>
      </c>
      <c r="L2426" s="127">
        <v>0.75249999999999995</v>
      </c>
      <c r="M2426" s="127">
        <v>1.1206</v>
      </c>
      <c r="N2426" s="127">
        <v>0.84609999999999996</v>
      </c>
      <c r="O2426" s="127">
        <v>1.0538000000000001</v>
      </c>
      <c r="P2426" s="126">
        <v>6885</v>
      </c>
      <c r="Q2426" s="128">
        <f t="array" ref="Q2426">SUM(IF(($S2426&gt;=4)*($C2426='TaxCred&amp;Subs'!$D$123:$D$127)*($H2426='TaxCred&amp;Subs'!$C$123:$C$127)*($H2426&lt;='TaxCred&amp;Subs'!$C$129),'TaxCred&amp;Subs'!$E$123:$E$127,0))</f>
        <v>1000</v>
      </c>
      <c r="R2426" s="174">
        <v>0</v>
      </c>
      <c r="S2426" s="126">
        <v>4</v>
      </c>
      <c r="T2426" s="126" t="s">
        <v>248</v>
      </c>
      <c r="U2426"/>
      <c r="V2426" s="153" t="str">
        <f t="array" ref="V2426">INDEX(xlRTCLNAME,MATCH(1,(xlRTCLENDU=1)*(xlRTCLEQCL=$D2426),0))</f>
        <v>NG_HP</v>
      </c>
      <c r="W2426" s="153" t="str">
        <f t="array" ref="W2426">INDEX(xlRTCLNAME,MATCH(1,(xlRTCLENDU=2)*(xlRTCLEQCL=$F2426),0))</f>
        <v>NG_HP</v>
      </c>
      <c r="X2426" s="153" t="str">
        <f t="array" ref="X2426">INDEX(xlRTTYNAME,MATCH(1,(xlRTTYENDU=1)*(xlRTTYEQCL=$D2426)*(xlRTEQTYPE=$E2426),0))</f>
        <v>NG_HP2</v>
      </c>
      <c r="Y2426" s="153" t="str">
        <f t="array" ref="Y2426">INDEX(xlRTTYNAME,MATCH(1,(xlRTTYENDU=2)*(xlRTTYEQCL=$F2426)*(xlRTEQTYPE=$G2426),0))</f>
        <v>NG_HP2</v>
      </c>
    </row>
    <row r="2427" spans="1:25" s="158" customFormat="1" x14ac:dyDescent="0.2">
      <c r="A2427"/>
      <c r="B2427" s="49">
        <v>2</v>
      </c>
      <c r="C2427" s="49">
        <v>3</v>
      </c>
      <c r="D2427" s="49">
        <v>11</v>
      </c>
      <c r="E2427" s="49">
        <v>36</v>
      </c>
      <c r="F2427" s="49">
        <v>5</v>
      </c>
      <c r="G2427" s="49">
        <v>17</v>
      </c>
      <c r="H2427" s="49">
        <v>2023</v>
      </c>
      <c r="I2427" s="49">
        <v>2032</v>
      </c>
      <c r="J2427" s="50">
        <v>1.0670999999999999</v>
      </c>
      <c r="K2427" s="50">
        <v>1.0638000000000001</v>
      </c>
      <c r="L2427" s="50">
        <v>0.75249999999999995</v>
      </c>
      <c r="M2427" s="50">
        <v>1.1206</v>
      </c>
      <c r="N2427" s="50">
        <v>0.84609999999999996</v>
      </c>
      <c r="O2427" s="50">
        <v>1.0538000000000001</v>
      </c>
      <c r="P2427" s="49">
        <v>6885</v>
      </c>
      <c r="Q2427" s="51">
        <f t="array" ref="Q2427">SUM(IF(($S2427&gt;=4)*($C2427='TaxCred&amp;Subs'!$D$123:$D$127)*($H2427='TaxCred&amp;Subs'!$C$123:$C$127)*($H2427&lt;='TaxCred&amp;Subs'!$C$129),'TaxCred&amp;Subs'!$E$123:$E$127,0))</f>
        <v>2500</v>
      </c>
      <c r="R2427" s="171">
        <v>0</v>
      </c>
      <c r="S2427" s="49">
        <v>4</v>
      </c>
      <c r="T2427" s="49" t="s">
        <v>248</v>
      </c>
      <c r="U2427"/>
      <c r="V2427" s="153" t="str">
        <f t="array" ref="V2427">INDEX(xlRTCLNAME,MATCH(1,(xlRTCLENDU=1)*(xlRTCLEQCL=$D2427),0))</f>
        <v>NG_HP</v>
      </c>
      <c r="W2427" s="153" t="str">
        <f t="array" ref="W2427">INDEX(xlRTCLNAME,MATCH(1,(xlRTCLENDU=2)*(xlRTCLEQCL=$F2427),0))</f>
        <v>NG_HP</v>
      </c>
      <c r="X2427" s="153" t="str">
        <f t="array" ref="X2427">INDEX(xlRTTYNAME,MATCH(1,(xlRTTYENDU=1)*(xlRTTYEQCL=$D2427)*(xlRTEQTYPE=$E2427),0))</f>
        <v>NG_HP2</v>
      </c>
      <c r="Y2427" s="153" t="str">
        <f t="array" ref="Y2427">INDEX(xlRTTYNAME,MATCH(1,(xlRTTYENDU=2)*(xlRTTYEQCL=$F2427)*(xlRTEQTYPE=$G2427),0))</f>
        <v>NG_HP2</v>
      </c>
    </row>
    <row r="2428" spans="1:25" s="158" customFormat="1" x14ac:dyDescent="0.2">
      <c r="A2428"/>
      <c r="B2428" s="126">
        <v>2</v>
      </c>
      <c r="C2428" s="126">
        <v>3</v>
      </c>
      <c r="D2428" s="126">
        <v>11</v>
      </c>
      <c r="E2428" s="126">
        <v>36</v>
      </c>
      <c r="F2428" s="126">
        <v>5</v>
      </c>
      <c r="G2428" s="126">
        <v>17</v>
      </c>
      <c r="H2428" s="159">
        <v>2033</v>
      </c>
      <c r="I2428" s="126">
        <v>2050</v>
      </c>
      <c r="J2428" s="127">
        <v>1.0670999999999999</v>
      </c>
      <c r="K2428" s="127">
        <v>1.0638000000000001</v>
      </c>
      <c r="L2428" s="127">
        <v>0.75249999999999995</v>
      </c>
      <c r="M2428" s="127">
        <v>1.1206</v>
      </c>
      <c r="N2428" s="127">
        <v>0.84609999999999996</v>
      </c>
      <c r="O2428" s="127">
        <v>1.0538000000000001</v>
      </c>
      <c r="P2428" s="126">
        <v>6885</v>
      </c>
      <c r="Q2428" s="128">
        <f t="array" ref="Q2428">SUM(IF(($S2428&gt;=4)*($C2428='TaxCred&amp;Subs'!$D$123:$D$127)*($H2428='TaxCred&amp;Subs'!$C$123:$C$127)*($H2428&lt;='TaxCred&amp;Subs'!$C$129),'TaxCred&amp;Subs'!$E$123:$E$127,0))</f>
        <v>0</v>
      </c>
      <c r="R2428" s="174">
        <v>0</v>
      </c>
      <c r="S2428" s="126">
        <v>4</v>
      </c>
      <c r="T2428" s="126" t="s">
        <v>248</v>
      </c>
      <c r="U2428"/>
      <c r="V2428" s="153" t="str">
        <f t="array" ref="V2428">INDEX(xlRTCLNAME,MATCH(1,(xlRTCLENDU=1)*(xlRTCLEQCL=$D2428),0))</f>
        <v>NG_HP</v>
      </c>
      <c r="W2428" s="153" t="str">
        <f t="array" ref="W2428">INDEX(xlRTCLNAME,MATCH(1,(xlRTCLENDU=2)*(xlRTCLEQCL=$F2428),0))</f>
        <v>NG_HP</v>
      </c>
      <c r="X2428" s="153" t="str">
        <f t="array" ref="X2428">INDEX(xlRTTYNAME,MATCH(1,(xlRTTYENDU=1)*(xlRTTYEQCL=$D2428)*(xlRTEQTYPE=$E2428),0))</f>
        <v>NG_HP2</v>
      </c>
      <c r="Y2428" s="153" t="str">
        <f t="array" ref="Y2428">INDEX(xlRTTYNAME,MATCH(1,(xlRTTYENDU=2)*(xlRTTYEQCL=$F2428)*(xlRTEQTYPE=$G2428),0))</f>
        <v>NG_HP2</v>
      </c>
    </row>
    <row r="2429" spans="1:25" s="157" customFormat="1" x14ac:dyDescent="0.2">
      <c r="A2429"/>
      <c r="B2429" s="126">
        <v>5</v>
      </c>
      <c r="C2429" s="126">
        <v>3</v>
      </c>
      <c r="D2429" s="126">
        <v>11</v>
      </c>
      <c r="E2429" s="126">
        <v>36</v>
      </c>
      <c r="F2429" s="126">
        <v>5</v>
      </c>
      <c r="G2429" s="126">
        <v>17</v>
      </c>
      <c r="H2429" s="126">
        <v>2016</v>
      </c>
      <c r="I2429" s="159">
        <v>2022</v>
      </c>
      <c r="J2429" s="127">
        <v>1.0559000000000001</v>
      </c>
      <c r="K2429" s="127">
        <v>1.0444</v>
      </c>
      <c r="L2429" s="127">
        <v>0.86019999999999996</v>
      </c>
      <c r="M2429" s="127">
        <v>1.0145999999999999</v>
      </c>
      <c r="N2429" s="127">
        <v>0.83460000000000001</v>
      </c>
      <c r="O2429" s="127">
        <v>1.0538000000000001</v>
      </c>
      <c r="P2429" s="126">
        <v>5058</v>
      </c>
      <c r="Q2429" s="128">
        <f t="array" ref="Q2429">SUM(IF(($S2429&gt;=4)*($C2429='TaxCred&amp;Subs'!$D$123:$D$127)*($H2429='TaxCred&amp;Subs'!$C$123:$C$127)*($H2429&lt;='TaxCred&amp;Subs'!$C$129),'TaxCred&amp;Subs'!$E$123:$E$127,0))</f>
        <v>1000</v>
      </c>
      <c r="R2429" s="174">
        <v>0</v>
      </c>
      <c r="S2429" s="126">
        <v>4</v>
      </c>
      <c r="T2429" s="126" t="s">
        <v>248</v>
      </c>
      <c r="U2429"/>
      <c r="V2429" s="153" t="str">
        <f t="array" ref="V2429">INDEX(xlRTCLNAME,MATCH(1,(xlRTCLENDU=1)*(xlRTCLEQCL=$D2429),0))</f>
        <v>NG_HP</v>
      </c>
      <c r="W2429" s="153" t="str">
        <f t="array" ref="W2429">INDEX(xlRTCLNAME,MATCH(1,(xlRTCLENDU=2)*(xlRTCLEQCL=$F2429),0))</f>
        <v>NG_HP</v>
      </c>
      <c r="X2429" s="153" t="str">
        <f t="array" ref="X2429">INDEX(xlRTTYNAME,MATCH(1,(xlRTTYENDU=1)*(xlRTTYEQCL=$D2429)*(xlRTEQTYPE=$E2429),0))</f>
        <v>NG_HP2</v>
      </c>
      <c r="Y2429" s="153" t="str">
        <f t="array" ref="Y2429">INDEX(xlRTTYNAME,MATCH(1,(xlRTTYENDU=2)*(xlRTTYEQCL=$F2429)*(xlRTEQTYPE=$G2429),0))</f>
        <v>NG_HP2</v>
      </c>
    </row>
    <row r="2430" spans="1:25" s="158" customFormat="1" x14ac:dyDescent="0.2">
      <c r="A2430"/>
      <c r="B2430" s="49">
        <v>5</v>
      </c>
      <c r="C2430" s="49">
        <v>3</v>
      </c>
      <c r="D2430" s="49">
        <v>11</v>
      </c>
      <c r="E2430" s="49">
        <v>36</v>
      </c>
      <c r="F2430" s="49">
        <v>5</v>
      </c>
      <c r="G2430" s="49">
        <v>17</v>
      </c>
      <c r="H2430" s="49">
        <v>2023</v>
      </c>
      <c r="I2430" s="49">
        <v>2032</v>
      </c>
      <c r="J2430" s="50">
        <v>1.0559000000000001</v>
      </c>
      <c r="K2430" s="50">
        <v>1.0444</v>
      </c>
      <c r="L2430" s="50">
        <v>0.86019999999999996</v>
      </c>
      <c r="M2430" s="50">
        <v>1.0145999999999999</v>
      </c>
      <c r="N2430" s="50">
        <v>0.83460000000000001</v>
      </c>
      <c r="O2430" s="50">
        <v>1.0538000000000001</v>
      </c>
      <c r="P2430" s="49">
        <v>5058</v>
      </c>
      <c r="Q2430" s="51">
        <f t="array" ref="Q2430">SUM(IF(($S2430&gt;=4)*($C2430='TaxCred&amp;Subs'!$D$123:$D$127)*($H2430='TaxCred&amp;Subs'!$C$123:$C$127)*($H2430&lt;='TaxCred&amp;Subs'!$C$129),'TaxCred&amp;Subs'!$E$123:$E$127,0))</f>
        <v>2500</v>
      </c>
      <c r="R2430" s="171">
        <v>0</v>
      </c>
      <c r="S2430" s="49">
        <v>4</v>
      </c>
      <c r="T2430" s="49" t="s">
        <v>248</v>
      </c>
      <c r="U2430"/>
      <c r="V2430" s="153" t="str">
        <f t="array" ref="V2430">INDEX(xlRTCLNAME,MATCH(1,(xlRTCLENDU=1)*(xlRTCLEQCL=$D2430),0))</f>
        <v>NG_HP</v>
      </c>
      <c r="W2430" s="153" t="str">
        <f t="array" ref="W2430">INDEX(xlRTCLNAME,MATCH(1,(xlRTCLENDU=2)*(xlRTCLEQCL=$F2430),0))</f>
        <v>NG_HP</v>
      </c>
      <c r="X2430" s="153" t="str">
        <f t="array" ref="X2430">INDEX(xlRTTYNAME,MATCH(1,(xlRTTYENDU=1)*(xlRTTYEQCL=$D2430)*(xlRTEQTYPE=$E2430),0))</f>
        <v>NG_HP2</v>
      </c>
      <c r="Y2430" s="153" t="str">
        <f t="array" ref="Y2430">INDEX(xlRTTYNAME,MATCH(1,(xlRTTYENDU=2)*(xlRTTYEQCL=$F2430)*(xlRTEQTYPE=$G2430),0))</f>
        <v>NG_HP2</v>
      </c>
    </row>
    <row r="2431" spans="1:25" s="158" customFormat="1" x14ac:dyDescent="0.2">
      <c r="A2431"/>
      <c r="B2431" s="126">
        <v>5</v>
      </c>
      <c r="C2431" s="126">
        <v>3</v>
      </c>
      <c r="D2431" s="126">
        <v>11</v>
      </c>
      <c r="E2431" s="126">
        <v>36</v>
      </c>
      <c r="F2431" s="126">
        <v>5</v>
      </c>
      <c r="G2431" s="126">
        <v>17</v>
      </c>
      <c r="H2431" s="159">
        <v>2033</v>
      </c>
      <c r="I2431" s="126">
        <v>2050</v>
      </c>
      <c r="J2431" s="127">
        <v>1.0559000000000001</v>
      </c>
      <c r="K2431" s="127">
        <v>1.0444</v>
      </c>
      <c r="L2431" s="127">
        <v>0.86019999999999996</v>
      </c>
      <c r="M2431" s="127">
        <v>1.0145999999999999</v>
      </c>
      <c r="N2431" s="127">
        <v>0.83460000000000001</v>
      </c>
      <c r="O2431" s="127">
        <v>1.0538000000000001</v>
      </c>
      <c r="P2431" s="126">
        <v>5058</v>
      </c>
      <c r="Q2431" s="128">
        <f t="array" ref="Q2431">SUM(IF(($S2431&gt;=4)*($C2431='TaxCred&amp;Subs'!$D$123:$D$127)*($H2431='TaxCred&amp;Subs'!$C$123:$C$127)*($H2431&lt;='TaxCred&amp;Subs'!$C$129),'TaxCred&amp;Subs'!$E$123:$E$127,0))</f>
        <v>0</v>
      </c>
      <c r="R2431" s="174">
        <v>0</v>
      </c>
      <c r="S2431" s="126">
        <v>4</v>
      </c>
      <c r="T2431" s="126" t="s">
        <v>248</v>
      </c>
      <c r="U2431"/>
      <c r="V2431" s="153" t="str">
        <f t="array" ref="V2431">INDEX(xlRTCLNAME,MATCH(1,(xlRTCLENDU=1)*(xlRTCLEQCL=$D2431),0))</f>
        <v>NG_HP</v>
      </c>
      <c r="W2431" s="153" t="str">
        <f t="array" ref="W2431">INDEX(xlRTCLNAME,MATCH(1,(xlRTCLENDU=2)*(xlRTCLEQCL=$F2431),0))</f>
        <v>NG_HP</v>
      </c>
      <c r="X2431" s="153" t="str">
        <f t="array" ref="X2431">INDEX(xlRTTYNAME,MATCH(1,(xlRTTYENDU=1)*(xlRTTYEQCL=$D2431)*(xlRTEQTYPE=$E2431),0))</f>
        <v>NG_HP2</v>
      </c>
      <c r="Y2431" s="153" t="str">
        <f t="array" ref="Y2431">INDEX(xlRTTYNAME,MATCH(1,(xlRTTYENDU=2)*(xlRTTYEQCL=$F2431)*(xlRTEQTYPE=$G2431),0))</f>
        <v>NG_HP2</v>
      </c>
    </row>
    <row r="2432" spans="1:25" s="157" customFormat="1" x14ac:dyDescent="0.2">
      <c r="A2432"/>
      <c r="B2432" s="126">
        <v>6</v>
      </c>
      <c r="C2432" s="126">
        <v>3</v>
      </c>
      <c r="D2432" s="126">
        <v>11</v>
      </c>
      <c r="E2432" s="126">
        <v>36</v>
      </c>
      <c r="F2432" s="126">
        <v>5</v>
      </c>
      <c r="G2432" s="126">
        <v>17</v>
      </c>
      <c r="H2432" s="126">
        <v>2016</v>
      </c>
      <c r="I2432" s="159">
        <v>2022</v>
      </c>
      <c r="J2432" s="127">
        <v>1.0872999999999999</v>
      </c>
      <c r="K2432" s="127">
        <v>1.0581</v>
      </c>
      <c r="L2432" s="127">
        <v>0.82210000000000005</v>
      </c>
      <c r="M2432" s="127">
        <v>1.0062</v>
      </c>
      <c r="N2432" s="127">
        <v>0.8044</v>
      </c>
      <c r="O2432" s="127">
        <v>1.0538000000000001</v>
      </c>
      <c r="P2432" s="126">
        <v>4828</v>
      </c>
      <c r="Q2432" s="128">
        <f t="array" ref="Q2432">SUM(IF(($S2432&gt;=4)*($C2432='TaxCred&amp;Subs'!$D$123:$D$127)*($H2432='TaxCred&amp;Subs'!$C$123:$C$127)*($H2432&lt;='TaxCred&amp;Subs'!$C$129),'TaxCred&amp;Subs'!$E$123:$E$127,0))</f>
        <v>1000</v>
      </c>
      <c r="R2432" s="174">
        <v>0</v>
      </c>
      <c r="S2432" s="126">
        <v>4</v>
      </c>
      <c r="T2432" s="126" t="s">
        <v>248</v>
      </c>
      <c r="U2432"/>
      <c r="V2432" s="153" t="str">
        <f t="array" ref="V2432">INDEX(xlRTCLNAME,MATCH(1,(xlRTCLENDU=1)*(xlRTCLEQCL=$D2432),0))</f>
        <v>NG_HP</v>
      </c>
      <c r="W2432" s="153" t="str">
        <f t="array" ref="W2432">INDEX(xlRTCLNAME,MATCH(1,(xlRTCLENDU=2)*(xlRTCLEQCL=$F2432),0))</f>
        <v>NG_HP</v>
      </c>
      <c r="X2432" s="153" t="str">
        <f t="array" ref="X2432">INDEX(xlRTTYNAME,MATCH(1,(xlRTTYENDU=1)*(xlRTTYEQCL=$D2432)*(xlRTEQTYPE=$E2432),0))</f>
        <v>NG_HP2</v>
      </c>
      <c r="Y2432" s="153" t="str">
        <f t="array" ref="Y2432">INDEX(xlRTTYNAME,MATCH(1,(xlRTTYENDU=2)*(xlRTTYEQCL=$F2432)*(xlRTEQTYPE=$G2432),0))</f>
        <v>NG_HP2</v>
      </c>
    </row>
    <row r="2433" spans="1:25" s="158" customFormat="1" x14ac:dyDescent="0.2">
      <c r="A2433"/>
      <c r="B2433" s="49">
        <v>6</v>
      </c>
      <c r="C2433" s="49">
        <v>3</v>
      </c>
      <c r="D2433" s="49">
        <v>11</v>
      </c>
      <c r="E2433" s="49">
        <v>36</v>
      </c>
      <c r="F2433" s="49">
        <v>5</v>
      </c>
      <c r="G2433" s="49">
        <v>17</v>
      </c>
      <c r="H2433" s="49">
        <v>2023</v>
      </c>
      <c r="I2433" s="49">
        <v>2032</v>
      </c>
      <c r="J2433" s="50">
        <v>1.0872999999999999</v>
      </c>
      <c r="K2433" s="50">
        <v>1.0581</v>
      </c>
      <c r="L2433" s="50">
        <v>0.82210000000000005</v>
      </c>
      <c r="M2433" s="50">
        <v>1.0062</v>
      </c>
      <c r="N2433" s="50">
        <v>0.8044</v>
      </c>
      <c r="O2433" s="50">
        <v>1.0538000000000001</v>
      </c>
      <c r="P2433" s="49">
        <v>4828</v>
      </c>
      <c r="Q2433" s="51">
        <f t="array" ref="Q2433">SUM(IF(($S2433&gt;=4)*($C2433='TaxCred&amp;Subs'!$D$123:$D$127)*($H2433='TaxCred&amp;Subs'!$C$123:$C$127)*($H2433&lt;='TaxCred&amp;Subs'!$C$129),'TaxCred&amp;Subs'!$E$123:$E$127,0))</f>
        <v>2500</v>
      </c>
      <c r="R2433" s="171">
        <v>0</v>
      </c>
      <c r="S2433" s="49">
        <v>4</v>
      </c>
      <c r="T2433" s="49" t="s">
        <v>248</v>
      </c>
      <c r="U2433"/>
      <c r="V2433" s="153" t="str">
        <f t="array" ref="V2433">INDEX(xlRTCLNAME,MATCH(1,(xlRTCLENDU=1)*(xlRTCLEQCL=$D2433),0))</f>
        <v>NG_HP</v>
      </c>
      <c r="W2433" s="153" t="str">
        <f t="array" ref="W2433">INDEX(xlRTCLNAME,MATCH(1,(xlRTCLENDU=2)*(xlRTCLEQCL=$F2433),0))</f>
        <v>NG_HP</v>
      </c>
      <c r="X2433" s="153" t="str">
        <f t="array" ref="X2433">INDEX(xlRTTYNAME,MATCH(1,(xlRTTYENDU=1)*(xlRTTYEQCL=$D2433)*(xlRTEQTYPE=$E2433),0))</f>
        <v>NG_HP2</v>
      </c>
      <c r="Y2433" s="153" t="str">
        <f t="array" ref="Y2433">INDEX(xlRTTYNAME,MATCH(1,(xlRTTYENDU=2)*(xlRTTYEQCL=$F2433)*(xlRTEQTYPE=$G2433),0))</f>
        <v>NG_HP2</v>
      </c>
    </row>
    <row r="2434" spans="1:25" s="158" customFormat="1" x14ac:dyDescent="0.2">
      <c r="A2434"/>
      <c r="B2434" s="126">
        <v>6</v>
      </c>
      <c r="C2434" s="126">
        <v>3</v>
      </c>
      <c r="D2434" s="126">
        <v>11</v>
      </c>
      <c r="E2434" s="126">
        <v>36</v>
      </c>
      <c r="F2434" s="126">
        <v>5</v>
      </c>
      <c r="G2434" s="126">
        <v>17</v>
      </c>
      <c r="H2434" s="159">
        <v>2033</v>
      </c>
      <c r="I2434" s="126">
        <v>2050</v>
      </c>
      <c r="J2434" s="127">
        <v>1.0872999999999999</v>
      </c>
      <c r="K2434" s="127">
        <v>1.0581</v>
      </c>
      <c r="L2434" s="127">
        <v>0.82210000000000005</v>
      </c>
      <c r="M2434" s="127">
        <v>1.0062</v>
      </c>
      <c r="N2434" s="127">
        <v>0.8044</v>
      </c>
      <c r="O2434" s="127">
        <v>1.0538000000000001</v>
      </c>
      <c r="P2434" s="126">
        <v>4828</v>
      </c>
      <c r="Q2434" s="128">
        <f t="array" ref="Q2434">SUM(IF(($S2434&gt;=4)*($C2434='TaxCred&amp;Subs'!$D$123:$D$127)*($H2434='TaxCred&amp;Subs'!$C$123:$C$127)*($H2434&lt;='TaxCred&amp;Subs'!$C$129),'TaxCred&amp;Subs'!$E$123:$E$127,0))</f>
        <v>0</v>
      </c>
      <c r="R2434" s="174">
        <v>0</v>
      </c>
      <c r="S2434" s="126">
        <v>4</v>
      </c>
      <c r="T2434" s="126" t="s">
        <v>248</v>
      </c>
      <c r="U2434"/>
      <c r="V2434" s="153" t="str">
        <f t="array" ref="V2434">INDEX(xlRTCLNAME,MATCH(1,(xlRTCLENDU=1)*(xlRTCLEQCL=$D2434),0))</f>
        <v>NG_HP</v>
      </c>
      <c r="W2434" s="153" t="str">
        <f t="array" ref="W2434">INDEX(xlRTCLNAME,MATCH(1,(xlRTCLENDU=2)*(xlRTCLEQCL=$F2434),0))</f>
        <v>NG_HP</v>
      </c>
      <c r="X2434" s="153" t="str">
        <f t="array" ref="X2434">INDEX(xlRTTYNAME,MATCH(1,(xlRTTYENDU=1)*(xlRTTYEQCL=$D2434)*(xlRTEQTYPE=$E2434),0))</f>
        <v>NG_HP2</v>
      </c>
      <c r="Y2434" s="153" t="str">
        <f t="array" ref="Y2434">INDEX(xlRTTYNAME,MATCH(1,(xlRTTYENDU=2)*(xlRTTYEQCL=$F2434)*(xlRTEQTYPE=$G2434),0))</f>
        <v>NG_HP2</v>
      </c>
    </row>
    <row r="2435" spans="1:25" s="157" customFormat="1" x14ac:dyDescent="0.2">
      <c r="A2435"/>
      <c r="B2435" s="126">
        <v>7</v>
      </c>
      <c r="C2435" s="126">
        <v>3</v>
      </c>
      <c r="D2435" s="126">
        <v>11</v>
      </c>
      <c r="E2435" s="126">
        <v>36</v>
      </c>
      <c r="F2435" s="126">
        <v>5</v>
      </c>
      <c r="G2435" s="126">
        <v>17</v>
      </c>
      <c r="H2435" s="126">
        <v>2016</v>
      </c>
      <c r="I2435" s="159">
        <v>2022</v>
      </c>
      <c r="J2435" s="127">
        <v>1.0914999999999999</v>
      </c>
      <c r="K2435" s="127">
        <v>1.0496000000000001</v>
      </c>
      <c r="L2435" s="127">
        <v>0.82369999999999999</v>
      </c>
      <c r="M2435" s="127">
        <v>1.0031000000000001</v>
      </c>
      <c r="N2435" s="127">
        <v>0.81759999999999999</v>
      </c>
      <c r="O2435" s="127">
        <v>1.0538000000000001</v>
      </c>
      <c r="P2435" s="126">
        <v>4621</v>
      </c>
      <c r="Q2435" s="128">
        <f t="array" ref="Q2435">SUM(IF(($S2435&gt;=4)*($C2435='TaxCred&amp;Subs'!$D$123:$D$127)*($H2435='TaxCred&amp;Subs'!$C$123:$C$127)*($H2435&lt;='TaxCred&amp;Subs'!$C$129),'TaxCred&amp;Subs'!$E$123:$E$127,0))</f>
        <v>1000</v>
      </c>
      <c r="R2435" s="174">
        <v>0</v>
      </c>
      <c r="S2435" s="126">
        <v>4</v>
      </c>
      <c r="T2435" s="126" t="s">
        <v>248</v>
      </c>
      <c r="U2435"/>
      <c r="V2435" s="153" t="str">
        <f t="array" ref="V2435">INDEX(xlRTCLNAME,MATCH(1,(xlRTCLENDU=1)*(xlRTCLEQCL=$D2435),0))</f>
        <v>NG_HP</v>
      </c>
      <c r="W2435" s="153" t="str">
        <f t="array" ref="W2435">INDEX(xlRTCLNAME,MATCH(1,(xlRTCLENDU=2)*(xlRTCLEQCL=$F2435),0))</f>
        <v>NG_HP</v>
      </c>
      <c r="X2435" s="153" t="str">
        <f t="array" ref="X2435">INDEX(xlRTTYNAME,MATCH(1,(xlRTTYENDU=1)*(xlRTTYEQCL=$D2435)*(xlRTEQTYPE=$E2435),0))</f>
        <v>NG_HP2</v>
      </c>
      <c r="Y2435" s="153" t="str">
        <f t="array" ref="Y2435">INDEX(xlRTTYNAME,MATCH(1,(xlRTTYENDU=2)*(xlRTTYEQCL=$F2435)*(xlRTEQTYPE=$G2435),0))</f>
        <v>NG_HP2</v>
      </c>
    </row>
    <row r="2436" spans="1:25" s="157" customFormat="1" x14ac:dyDescent="0.2">
      <c r="A2436"/>
      <c r="B2436" s="49">
        <v>7</v>
      </c>
      <c r="C2436" s="49">
        <v>3</v>
      </c>
      <c r="D2436" s="49">
        <v>11</v>
      </c>
      <c r="E2436" s="49">
        <v>36</v>
      </c>
      <c r="F2436" s="49">
        <v>5</v>
      </c>
      <c r="G2436" s="49">
        <v>17</v>
      </c>
      <c r="H2436" s="49">
        <v>2023</v>
      </c>
      <c r="I2436" s="49">
        <v>2032</v>
      </c>
      <c r="J2436" s="50">
        <v>1.0914999999999999</v>
      </c>
      <c r="K2436" s="50">
        <v>1.0496000000000001</v>
      </c>
      <c r="L2436" s="50">
        <v>0.82369999999999999</v>
      </c>
      <c r="M2436" s="50">
        <v>1.0031000000000001</v>
      </c>
      <c r="N2436" s="50">
        <v>0.81759999999999999</v>
      </c>
      <c r="O2436" s="50">
        <v>1.0538000000000001</v>
      </c>
      <c r="P2436" s="49">
        <v>4621</v>
      </c>
      <c r="Q2436" s="51">
        <f t="array" ref="Q2436">SUM(IF(($S2436&gt;=4)*($C2436='TaxCred&amp;Subs'!$D$123:$D$127)*($H2436='TaxCred&amp;Subs'!$C$123:$C$127)*($H2436&lt;='TaxCred&amp;Subs'!$C$129),'TaxCred&amp;Subs'!$E$123:$E$127,0))</f>
        <v>2500</v>
      </c>
      <c r="R2436" s="171">
        <v>0</v>
      </c>
      <c r="S2436" s="49">
        <v>4</v>
      </c>
      <c r="T2436" s="49" t="s">
        <v>248</v>
      </c>
      <c r="U2436"/>
      <c r="V2436" s="153" t="str">
        <f t="array" ref="V2436">INDEX(xlRTCLNAME,MATCH(1,(xlRTCLENDU=1)*(xlRTCLEQCL=$D2436),0))</f>
        <v>NG_HP</v>
      </c>
      <c r="W2436" s="153" t="str">
        <f t="array" ref="W2436">INDEX(xlRTCLNAME,MATCH(1,(xlRTCLENDU=2)*(xlRTCLEQCL=$F2436),0))</f>
        <v>NG_HP</v>
      </c>
      <c r="X2436" s="153" t="str">
        <f t="array" ref="X2436">INDEX(xlRTTYNAME,MATCH(1,(xlRTTYENDU=1)*(xlRTTYEQCL=$D2436)*(xlRTEQTYPE=$E2436),0))</f>
        <v>NG_HP2</v>
      </c>
      <c r="Y2436" s="153" t="str">
        <f t="array" ref="Y2436">INDEX(xlRTTYNAME,MATCH(1,(xlRTTYENDU=2)*(xlRTTYEQCL=$F2436)*(xlRTEQTYPE=$G2436),0))</f>
        <v>NG_HP2</v>
      </c>
    </row>
    <row r="2437" spans="1:25" s="157" customFormat="1" x14ac:dyDescent="0.2">
      <c r="A2437"/>
      <c r="B2437" s="126">
        <v>7</v>
      </c>
      <c r="C2437" s="126">
        <v>3</v>
      </c>
      <c r="D2437" s="126">
        <v>11</v>
      </c>
      <c r="E2437" s="126">
        <v>36</v>
      </c>
      <c r="F2437" s="126">
        <v>5</v>
      </c>
      <c r="G2437" s="126">
        <v>17</v>
      </c>
      <c r="H2437" s="159">
        <v>2033</v>
      </c>
      <c r="I2437" s="126">
        <v>2050</v>
      </c>
      <c r="J2437" s="127">
        <v>1.0914999999999999</v>
      </c>
      <c r="K2437" s="127">
        <v>1.0496000000000001</v>
      </c>
      <c r="L2437" s="127">
        <v>0.82369999999999999</v>
      </c>
      <c r="M2437" s="127">
        <v>1.0031000000000001</v>
      </c>
      <c r="N2437" s="127">
        <v>0.81759999999999999</v>
      </c>
      <c r="O2437" s="127">
        <v>1.0538000000000001</v>
      </c>
      <c r="P2437" s="126">
        <v>4621</v>
      </c>
      <c r="Q2437" s="128">
        <f t="array" ref="Q2437">SUM(IF(($S2437&gt;=4)*($C2437='TaxCred&amp;Subs'!$D$123:$D$127)*($H2437='TaxCred&amp;Subs'!$C$123:$C$127)*($H2437&lt;='TaxCred&amp;Subs'!$C$129),'TaxCred&amp;Subs'!$E$123:$E$127,0))</f>
        <v>0</v>
      </c>
      <c r="R2437" s="174">
        <v>0</v>
      </c>
      <c r="S2437" s="126">
        <v>4</v>
      </c>
      <c r="T2437" s="126" t="s">
        <v>248</v>
      </c>
      <c r="U2437"/>
      <c r="V2437" s="153" t="str">
        <f t="array" ref="V2437">INDEX(xlRTCLNAME,MATCH(1,(xlRTCLENDU=1)*(xlRTCLEQCL=$D2437),0))</f>
        <v>NG_HP</v>
      </c>
      <c r="W2437" s="153" t="str">
        <f t="array" ref="W2437">INDEX(xlRTCLNAME,MATCH(1,(xlRTCLENDU=2)*(xlRTCLEQCL=$F2437),0))</f>
        <v>NG_HP</v>
      </c>
      <c r="X2437" s="153" t="str">
        <f t="array" ref="X2437">INDEX(xlRTTYNAME,MATCH(1,(xlRTTYENDU=1)*(xlRTTYEQCL=$D2437)*(xlRTEQTYPE=$E2437),0))</f>
        <v>NG_HP2</v>
      </c>
      <c r="Y2437" s="153" t="str">
        <f t="array" ref="Y2437">INDEX(xlRTTYNAME,MATCH(1,(xlRTTYENDU=2)*(xlRTTYEQCL=$F2437)*(xlRTEQTYPE=$G2437),0))</f>
        <v>NG_HP2</v>
      </c>
    </row>
    <row r="2438" spans="1:25" s="157" customFormat="1" x14ac:dyDescent="0.2">
      <c r="A2438"/>
      <c r="B2438" s="126">
        <v>9</v>
      </c>
      <c r="C2438" s="126">
        <v>3</v>
      </c>
      <c r="D2438" s="126">
        <v>11</v>
      </c>
      <c r="E2438" s="126">
        <v>36</v>
      </c>
      <c r="F2438" s="126">
        <v>5</v>
      </c>
      <c r="G2438" s="126">
        <v>17</v>
      </c>
      <c r="H2438" s="126">
        <v>2016</v>
      </c>
      <c r="I2438" s="159">
        <v>2022</v>
      </c>
      <c r="J2438" s="127">
        <v>1.0761000000000001</v>
      </c>
      <c r="K2438" s="127">
        <v>1.0506</v>
      </c>
      <c r="L2438" s="127">
        <v>0.90200000000000002</v>
      </c>
      <c r="M2438" s="127">
        <v>1.0749</v>
      </c>
      <c r="N2438" s="127">
        <v>0.84670000000000001</v>
      </c>
      <c r="O2438" s="127">
        <v>1.0538000000000001</v>
      </c>
      <c r="P2438" s="126">
        <v>6165</v>
      </c>
      <c r="Q2438" s="128">
        <f t="array" ref="Q2438">SUM(IF(($S2438&gt;=4)*($C2438='TaxCred&amp;Subs'!$D$123:$D$127)*($H2438='TaxCred&amp;Subs'!$C$123:$C$127)*($H2438&lt;='TaxCred&amp;Subs'!$C$129),'TaxCred&amp;Subs'!$E$123:$E$127,0))</f>
        <v>1000</v>
      </c>
      <c r="R2438" s="174">
        <v>0</v>
      </c>
      <c r="S2438" s="126">
        <v>4</v>
      </c>
      <c r="T2438" s="126" t="s">
        <v>248</v>
      </c>
      <c r="U2438"/>
      <c r="V2438" s="153" t="str">
        <f t="array" ref="V2438">INDEX(xlRTCLNAME,MATCH(1,(xlRTCLENDU=1)*(xlRTCLEQCL=$D2438),0))</f>
        <v>NG_HP</v>
      </c>
      <c r="W2438" s="153" t="str">
        <f t="array" ref="W2438">INDEX(xlRTCLNAME,MATCH(1,(xlRTCLENDU=2)*(xlRTCLEQCL=$F2438),0))</f>
        <v>NG_HP</v>
      </c>
      <c r="X2438" s="153" t="str">
        <f t="array" ref="X2438">INDEX(xlRTTYNAME,MATCH(1,(xlRTTYENDU=1)*(xlRTTYEQCL=$D2438)*(xlRTEQTYPE=$E2438),0))</f>
        <v>NG_HP2</v>
      </c>
      <c r="Y2438" s="153" t="str">
        <f t="array" ref="Y2438">INDEX(xlRTTYNAME,MATCH(1,(xlRTTYENDU=2)*(xlRTTYEQCL=$F2438)*(xlRTEQTYPE=$G2438),0))</f>
        <v>NG_HP2</v>
      </c>
    </row>
    <row r="2439" spans="1:25" s="157" customFormat="1" x14ac:dyDescent="0.2">
      <c r="A2439"/>
      <c r="B2439" s="49">
        <v>9</v>
      </c>
      <c r="C2439" s="49">
        <v>3</v>
      </c>
      <c r="D2439" s="49">
        <v>11</v>
      </c>
      <c r="E2439" s="49">
        <v>36</v>
      </c>
      <c r="F2439" s="49">
        <v>5</v>
      </c>
      <c r="G2439" s="49">
        <v>17</v>
      </c>
      <c r="H2439" s="49">
        <v>2023</v>
      </c>
      <c r="I2439" s="49">
        <v>2032</v>
      </c>
      <c r="J2439" s="50">
        <v>1.0761000000000001</v>
      </c>
      <c r="K2439" s="50">
        <v>1.0506</v>
      </c>
      <c r="L2439" s="50">
        <v>0.90200000000000002</v>
      </c>
      <c r="M2439" s="50">
        <v>1.0749</v>
      </c>
      <c r="N2439" s="50">
        <v>0.84670000000000001</v>
      </c>
      <c r="O2439" s="50">
        <v>1.0538000000000001</v>
      </c>
      <c r="P2439" s="49">
        <v>6165</v>
      </c>
      <c r="Q2439" s="51">
        <f t="array" ref="Q2439">SUM(IF(($S2439&gt;=4)*($C2439='TaxCred&amp;Subs'!$D$123:$D$127)*($H2439='TaxCred&amp;Subs'!$C$123:$C$127)*($H2439&lt;='TaxCred&amp;Subs'!$C$129),'TaxCred&amp;Subs'!$E$123:$E$127,0))</f>
        <v>2500</v>
      </c>
      <c r="R2439" s="171">
        <v>0</v>
      </c>
      <c r="S2439" s="49">
        <v>4</v>
      </c>
      <c r="T2439" s="49" t="s">
        <v>248</v>
      </c>
      <c r="U2439"/>
      <c r="V2439" s="153" t="str">
        <f t="array" ref="V2439">INDEX(xlRTCLNAME,MATCH(1,(xlRTCLENDU=1)*(xlRTCLEQCL=$D2439),0))</f>
        <v>NG_HP</v>
      </c>
      <c r="W2439" s="153" t="str">
        <f t="array" ref="W2439">INDEX(xlRTCLNAME,MATCH(1,(xlRTCLENDU=2)*(xlRTCLEQCL=$F2439),0))</f>
        <v>NG_HP</v>
      </c>
      <c r="X2439" s="153" t="str">
        <f t="array" ref="X2439">INDEX(xlRTTYNAME,MATCH(1,(xlRTTYENDU=1)*(xlRTTYEQCL=$D2439)*(xlRTEQTYPE=$E2439),0))</f>
        <v>NG_HP2</v>
      </c>
      <c r="Y2439" s="153" t="str">
        <f t="array" ref="Y2439">INDEX(xlRTTYNAME,MATCH(1,(xlRTTYENDU=2)*(xlRTTYEQCL=$F2439)*(xlRTEQTYPE=$G2439),0))</f>
        <v>NG_HP2</v>
      </c>
    </row>
    <row r="2440" spans="1:25" s="157" customFormat="1" x14ac:dyDescent="0.2">
      <c r="A2440"/>
      <c r="B2440" s="126">
        <v>9</v>
      </c>
      <c r="C2440" s="126">
        <v>3</v>
      </c>
      <c r="D2440" s="126">
        <v>11</v>
      </c>
      <c r="E2440" s="126">
        <v>36</v>
      </c>
      <c r="F2440" s="126">
        <v>5</v>
      </c>
      <c r="G2440" s="126">
        <v>17</v>
      </c>
      <c r="H2440" s="159">
        <v>2033</v>
      </c>
      <c r="I2440" s="126">
        <v>2050</v>
      </c>
      <c r="J2440" s="127">
        <v>1.0761000000000001</v>
      </c>
      <c r="K2440" s="127">
        <v>1.0506</v>
      </c>
      <c r="L2440" s="127">
        <v>0.90200000000000002</v>
      </c>
      <c r="M2440" s="127">
        <v>1.0749</v>
      </c>
      <c r="N2440" s="127">
        <v>0.84670000000000001</v>
      </c>
      <c r="O2440" s="127">
        <v>1.0538000000000001</v>
      </c>
      <c r="P2440" s="126">
        <v>6165</v>
      </c>
      <c r="Q2440" s="128">
        <f t="array" ref="Q2440">SUM(IF(($S2440&gt;=4)*($C2440='TaxCred&amp;Subs'!$D$123:$D$127)*($H2440='TaxCred&amp;Subs'!$C$123:$C$127)*($H2440&lt;='TaxCred&amp;Subs'!$C$129),'TaxCred&amp;Subs'!$E$123:$E$127,0))</f>
        <v>0</v>
      </c>
      <c r="R2440" s="174">
        <v>0</v>
      </c>
      <c r="S2440" s="126">
        <v>4</v>
      </c>
      <c r="T2440" s="126" t="s">
        <v>248</v>
      </c>
      <c r="U2440"/>
      <c r="V2440" s="153" t="str">
        <f t="array" ref="V2440">INDEX(xlRTCLNAME,MATCH(1,(xlRTCLENDU=1)*(xlRTCLEQCL=$D2440),0))</f>
        <v>NG_HP</v>
      </c>
      <c r="W2440" s="153" t="str">
        <f t="array" ref="W2440">INDEX(xlRTCLNAME,MATCH(1,(xlRTCLENDU=2)*(xlRTCLEQCL=$F2440),0))</f>
        <v>NG_HP</v>
      </c>
      <c r="X2440" s="153" t="str">
        <f t="array" ref="X2440">INDEX(xlRTTYNAME,MATCH(1,(xlRTTYENDU=1)*(xlRTTYEQCL=$D2440)*(xlRTEQTYPE=$E2440),0))</f>
        <v>NG_HP2</v>
      </c>
      <c r="Y2440" s="153" t="str">
        <f t="array" ref="Y2440">INDEX(xlRTTYNAME,MATCH(1,(xlRTTYENDU=2)*(xlRTTYEQCL=$F2440)*(xlRTEQTYPE=$G2440),0))</f>
        <v>NG_HP2</v>
      </c>
    </row>
    <row r="2441" spans="1:25" s="157" customFormat="1" x14ac:dyDescent="0.2">
      <c r="A2441"/>
      <c r="B2441" s="126">
        <v>5</v>
      </c>
      <c r="C2441" s="126">
        <v>3</v>
      </c>
      <c r="D2441" s="126">
        <v>3</v>
      </c>
      <c r="E2441" s="126">
        <v>9</v>
      </c>
      <c r="F2441" s="126">
        <v>2</v>
      </c>
      <c r="G2441" s="126">
        <v>8</v>
      </c>
      <c r="H2441" s="148">
        <v>2016</v>
      </c>
      <c r="I2441" s="143">
        <v>2022</v>
      </c>
      <c r="J2441" s="127">
        <v>1.0559000000000001</v>
      </c>
      <c r="K2441" s="127">
        <v>1.0444</v>
      </c>
      <c r="L2441" s="127">
        <v>0.73609999999999998</v>
      </c>
      <c r="M2441" s="127">
        <v>0.97389999999999999</v>
      </c>
      <c r="N2441" s="127">
        <v>0.83460000000000001</v>
      </c>
      <c r="O2441" s="127">
        <v>1.0538000000000001</v>
      </c>
      <c r="P2441" s="126">
        <v>5495</v>
      </c>
      <c r="Q2441" s="128">
        <f t="array" ref="Q2441">SUM(IF(($S2441&gt;=4)*($C2441='TaxCred&amp;Subs'!$D$123:$D$127)*($H2441='TaxCred&amp;Subs'!$C$123:$C$127)*($H2441&lt;='TaxCred&amp;Subs'!$C$129),'TaxCred&amp;Subs'!$E$123:$E$127,0))</f>
        <v>1000</v>
      </c>
      <c r="R2441" s="174">
        <v>0</v>
      </c>
      <c r="S2441" s="126">
        <v>5</v>
      </c>
      <c r="T2441" s="126" t="s">
        <v>225</v>
      </c>
      <c r="U2441"/>
      <c r="V2441" s="153" t="str">
        <f t="array" ref="V2441">INDEX(xlRTCLNAME,MATCH(1,(xlRTCLENDU=1)*(xlRTCLEQCL=$D2441),0))</f>
        <v>NG_FA</v>
      </c>
      <c r="W2441" s="153" t="str">
        <f t="array" ref="W2441">INDEX(xlRTCLNAME,MATCH(1,(xlRTCLENDU=2)*(xlRTCLEQCL=$F2441),0))</f>
        <v>CENT_AIR</v>
      </c>
      <c r="X2441" s="153" t="str">
        <f t="array" ref="X2441">INDEX(xlRTTYNAME,MATCH(1,(xlRTTYENDU=1)*(xlRTTYEQCL=$D2441)*(xlRTEQTYPE=$E2441),0))</f>
        <v>NG_FA4</v>
      </c>
      <c r="Y2441" s="153" t="str">
        <f t="array" ref="Y2441">INDEX(xlRTTYNAME,MATCH(1,(xlRTTYENDU=2)*(xlRTTYEQCL=$F2441)*(xlRTEQTYPE=$G2441),0))</f>
        <v>CENT_AIR4</v>
      </c>
    </row>
    <row r="2442" spans="1:25" s="157" customFormat="1" x14ac:dyDescent="0.2">
      <c r="A2442"/>
      <c r="B2442" s="49">
        <v>5</v>
      </c>
      <c r="C2442" s="49">
        <v>3</v>
      </c>
      <c r="D2442" s="49">
        <v>3</v>
      </c>
      <c r="E2442" s="49">
        <v>9</v>
      </c>
      <c r="F2442" s="49">
        <v>2</v>
      </c>
      <c r="G2442" s="49">
        <v>8</v>
      </c>
      <c r="H2442" s="166">
        <v>2023</v>
      </c>
      <c r="I2442" s="166">
        <v>2032</v>
      </c>
      <c r="J2442" s="50">
        <v>1.0559000000000001</v>
      </c>
      <c r="K2442" s="50">
        <v>1.0444</v>
      </c>
      <c r="L2442" s="50">
        <v>0.73609999999999998</v>
      </c>
      <c r="M2442" s="50">
        <v>0.97389999999999999</v>
      </c>
      <c r="N2442" s="50">
        <v>0.83460000000000001</v>
      </c>
      <c r="O2442" s="50">
        <v>1.0538000000000001</v>
      </c>
      <c r="P2442" s="49">
        <v>5495</v>
      </c>
      <c r="Q2442" s="51">
        <f t="array" ref="Q2442">SUM(IF(($S2442&gt;=4)*($C2442='TaxCred&amp;Subs'!$D$123:$D$127)*($H2442='TaxCred&amp;Subs'!$C$123:$C$127)*($H2442&lt;='TaxCred&amp;Subs'!$C$129),'TaxCred&amp;Subs'!$E$123:$E$127,0))</f>
        <v>2500</v>
      </c>
      <c r="R2442" s="171">
        <v>0</v>
      </c>
      <c r="S2442" s="49">
        <v>5</v>
      </c>
      <c r="T2442" s="49" t="s">
        <v>225</v>
      </c>
      <c r="U2442"/>
      <c r="V2442" s="153" t="str">
        <f t="array" ref="V2442">INDEX(xlRTCLNAME,MATCH(1,(xlRTCLENDU=1)*(xlRTCLEQCL=$D2442),0))</f>
        <v>NG_FA</v>
      </c>
      <c r="W2442" s="153" t="str">
        <f t="array" ref="W2442">INDEX(xlRTCLNAME,MATCH(1,(xlRTCLENDU=2)*(xlRTCLEQCL=$F2442),0))</f>
        <v>CENT_AIR</v>
      </c>
      <c r="X2442" s="153" t="str">
        <f t="array" ref="X2442">INDEX(xlRTTYNAME,MATCH(1,(xlRTTYENDU=1)*(xlRTTYEQCL=$D2442)*(xlRTEQTYPE=$E2442),0))</f>
        <v>NG_FA4</v>
      </c>
      <c r="Y2442" s="153" t="str">
        <f t="array" ref="Y2442">INDEX(xlRTTYNAME,MATCH(1,(xlRTTYENDU=2)*(xlRTTYEQCL=$F2442)*(xlRTEQTYPE=$G2442),0))</f>
        <v>CENT_AIR4</v>
      </c>
    </row>
    <row r="2443" spans="1:25" s="157" customFormat="1" x14ac:dyDescent="0.2">
      <c r="A2443"/>
      <c r="B2443" s="126">
        <v>5</v>
      </c>
      <c r="C2443" s="126">
        <v>3</v>
      </c>
      <c r="D2443" s="126">
        <v>3</v>
      </c>
      <c r="E2443" s="126">
        <v>9</v>
      </c>
      <c r="F2443" s="126">
        <v>2</v>
      </c>
      <c r="G2443" s="126">
        <v>8</v>
      </c>
      <c r="H2443" s="143">
        <v>2033</v>
      </c>
      <c r="I2443" s="148">
        <v>2050</v>
      </c>
      <c r="J2443" s="127">
        <v>1.0559000000000001</v>
      </c>
      <c r="K2443" s="127">
        <v>1.0444</v>
      </c>
      <c r="L2443" s="127">
        <v>0.73609999999999998</v>
      </c>
      <c r="M2443" s="127">
        <v>0.97389999999999999</v>
      </c>
      <c r="N2443" s="127">
        <v>0.83460000000000001</v>
      </c>
      <c r="O2443" s="127">
        <v>1.0538000000000001</v>
      </c>
      <c r="P2443" s="126">
        <v>5495</v>
      </c>
      <c r="Q2443" s="128">
        <f t="array" ref="Q2443">SUM(IF(($S2443&gt;=4)*($C2443='TaxCred&amp;Subs'!$D$123:$D$127)*($H2443='TaxCred&amp;Subs'!$C$123:$C$127)*($H2443&lt;='TaxCred&amp;Subs'!$C$129),'TaxCred&amp;Subs'!$E$123:$E$127,0))</f>
        <v>0</v>
      </c>
      <c r="R2443" s="174">
        <v>0</v>
      </c>
      <c r="S2443" s="126">
        <v>5</v>
      </c>
      <c r="T2443" s="126" t="s">
        <v>225</v>
      </c>
      <c r="U2443"/>
      <c r="V2443" s="153" t="str">
        <f t="array" ref="V2443">INDEX(xlRTCLNAME,MATCH(1,(xlRTCLENDU=1)*(xlRTCLEQCL=$D2443),0))</f>
        <v>NG_FA</v>
      </c>
      <c r="W2443" s="153" t="str">
        <f t="array" ref="W2443">INDEX(xlRTCLNAME,MATCH(1,(xlRTCLENDU=2)*(xlRTCLEQCL=$F2443),0))</f>
        <v>CENT_AIR</v>
      </c>
      <c r="X2443" s="153" t="str">
        <f t="array" ref="X2443">INDEX(xlRTTYNAME,MATCH(1,(xlRTTYENDU=1)*(xlRTTYEQCL=$D2443)*(xlRTEQTYPE=$E2443),0))</f>
        <v>NG_FA4</v>
      </c>
      <c r="Y2443" s="153" t="str">
        <f t="array" ref="Y2443">INDEX(xlRTTYNAME,MATCH(1,(xlRTTYENDU=2)*(xlRTTYEQCL=$F2443)*(xlRTEQTYPE=$G2443),0))</f>
        <v>CENT_AIR4</v>
      </c>
    </row>
    <row r="2444" spans="1:25" s="157" customFormat="1" x14ac:dyDescent="0.2">
      <c r="A2444"/>
      <c r="B2444" s="126">
        <v>6</v>
      </c>
      <c r="C2444" s="126">
        <v>3</v>
      </c>
      <c r="D2444" s="126">
        <v>3</v>
      </c>
      <c r="E2444" s="126">
        <v>9</v>
      </c>
      <c r="F2444" s="126">
        <v>2</v>
      </c>
      <c r="G2444" s="126">
        <v>8</v>
      </c>
      <c r="H2444" s="148">
        <v>2016</v>
      </c>
      <c r="I2444" s="143">
        <v>2022</v>
      </c>
      <c r="J2444" s="127">
        <v>1.0872999999999999</v>
      </c>
      <c r="K2444" s="127">
        <v>1.0581</v>
      </c>
      <c r="L2444" s="127">
        <v>0.71930000000000005</v>
      </c>
      <c r="M2444" s="127">
        <v>0.97489999999999999</v>
      </c>
      <c r="N2444" s="127">
        <v>0.8044</v>
      </c>
      <c r="O2444" s="127">
        <v>1.0538000000000001</v>
      </c>
      <c r="P2444" s="126">
        <v>5435</v>
      </c>
      <c r="Q2444" s="128">
        <f t="array" ref="Q2444">SUM(IF(($S2444&gt;=4)*($C2444='TaxCred&amp;Subs'!$D$123:$D$127)*($H2444='TaxCred&amp;Subs'!$C$123:$C$127)*($H2444&lt;='TaxCred&amp;Subs'!$C$129),'TaxCred&amp;Subs'!$E$123:$E$127,0))</f>
        <v>1000</v>
      </c>
      <c r="R2444" s="174">
        <v>0</v>
      </c>
      <c r="S2444" s="126">
        <v>5</v>
      </c>
      <c r="T2444" s="126" t="s">
        <v>225</v>
      </c>
      <c r="U2444"/>
      <c r="V2444" s="153" t="str">
        <f t="array" ref="V2444">INDEX(xlRTCLNAME,MATCH(1,(xlRTCLENDU=1)*(xlRTCLEQCL=$D2444),0))</f>
        <v>NG_FA</v>
      </c>
      <c r="W2444" s="153" t="str">
        <f t="array" ref="W2444">INDEX(xlRTCLNAME,MATCH(1,(xlRTCLENDU=2)*(xlRTCLEQCL=$F2444),0))</f>
        <v>CENT_AIR</v>
      </c>
      <c r="X2444" s="153" t="str">
        <f t="array" ref="X2444">INDEX(xlRTTYNAME,MATCH(1,(xlRTTYENDU=1)*(xlRTTYEQCL=$D2444)*(xlRTEQTYPE=$E2444),0))</f>
        <v>NG_FA4</v>
      </c>
      <c r="Y2444" s="153" t="str">
        <f t="array" ref="Y2444">INDEX(xlRTTYNAME,MATCH(1,(xlRTTYENDU=2)*(xlRTTYEQCL=$F2444)*(xlRTEQTYPE=$G2444),0))</f>
        <v>CENT_AIR4</v>
      </c>
    </row>
    <row r="2445" spans="1:25" s="157" customFormat="1" x14ac:dyDescent="0.2">
      <c r="A2445"/>
      <c r="B2445" s="49">
        <v>6</v>
      </c>
      <c r="C2445" s="49">
        <v>3</v>
      </c>
      <c r="D2445" s="49">
        <v>3</v>
      </c>
      <c r="E2445" s="49">
        <v>9</v>
      </c>
      <c r="F2445" s="49">
        <v>2</v>
      </c>
      <c r="G2445" s="49">
        <v>8</v>
      </c>
      <c r="H2445" s="166">
        <v>2023</v>
      </c>
      <c r="I2445" s="166">
        <v>2032</v>
      </c>
      <c r="J2445" s="50">
        <v>1.0872999999999999</v>
      </c>
      <c r="K2445" s="50">
        <v>1.0581</v>
      </c>
      <c r="L2445" s="50">
        <v>0.71930000000000005</v>
      </c>
      <c r="M2445" s="50">
        <v>0.97489999999999999</v>
      </c>
      <c r="N2445" s="50">
        <v>0.8044</v>
      </c>
      <c r="O2445" s="50">
        <v>1.0538000000000001</v>
      </c>
      <c r="P2445" s="49">
        <v>5435</v>
      </c>
      <c r="Q2445" s="51">
        <f t="array" ref="Q2445">SUM(IF(($S2445&gt;=4)*($C2445='TaxCred&amp;Subs'!$D$123:$D$127)*($H2445='TaxCred&amp;Subs'!$C$123:$C$127)*($H2445&lt;='TaxCred&amp;Subs'!$C$129),'TaxCred&amp;Subs'!$E$123:$E$127,0))</f>
        <v>2500</v>
      </c>
      <c r="R2445" s="171">
        <v>0</v>
      </c>
      <c r="S2445" s="49">
        <v>5</v>
      </c>
      <c r="T2445" s="49" t="s">
        <v>225</v>
      </c>
      <c r="U2445"/>
      <c r="V2445" s="153" t="str">
        <f t="array" ref="V2445">INDEX(xlRTCLNAME,MATCH(1,(xlRTCLENDU=1)*(xlRTCLEQCL=$D2445),0))</f>
        <v>NG_FA</v>
      </c>
      <c r="W2445" s="153" t="str">
        <f t="array" ref="W2445">INDEX(xlRTCLNAME,MATCH(1,(xlRTCLENDU=2)*(xlRTCLEQCL=$F2445),0))</f>
        <v>CENT_AIR</v>
      </c>
      <c r="X2445" s="153" t="str">
        <f t="array" ref="X2445">INDEX(xlRTTYNAME,MATCH(1,(xlRTTYENDU=1)*(xlRTTYEQCL=$D2445)*(xlRTEQTYPE=$E2445),0))</f>
        <v>NG_FA4</v>
      </c>
      <c r="Y2445" s="153" t="str">
        <f t="array" ref="Y2445">INDEX(xlRTTYNAME,MATCH(1,(xlRTTYENDU=2)*(xlRTTYEQCL=$F2445)*(xlRTEQTYPE=$G2445),0))</f>
        <v>CENT_AIR4</v>
      </c>
    </row>
    <row r="2446" spans="1:25" s="157" customFormat="1" x14ac:dyDescent="0.2">
      <c r="A2446"/>
      <c r="B2446" s="126">
        <v>6</v>
      </c>
      <c r="C2446" s="126">
        <v>3</v>
      </c>
      <c r="D2446" s="126">
        <v>3</v>
      </c>
      <c r="E2446" s="126">
        <v>9</v>
      </c>
      <c r="F2446" s="126">
        <v>2</v>
      </c>
      <c r="G2446" s="126">
        <v>8</v>
      </c>
      <c r="H2446" s="143">
        <v>2033</v>
      </c>
      <c r="I2446" s="148">
        <v>2050</v>
      </c>
      <c r="J2446" s="127">
        <v>1.0872999999999999</v>
      </c>
      <c r="K2446" s="127">
        <v>1.0581</v>
      </c>
      <c r="L2446" s="127">
        <v>0.71930000000000005</v>
      </c>
      <c r="M2446" s="127">
        <v>0.97489999999999999</v>
      </c>
      <c r="N2446" s="127">
        <v>0.8044</v>
      </c>
      <c r="O2446" s="127">
        <v>1.0538000000000001</v>
      </c>
      <c r="P2446" s="126">
        <v>5435</v>
      </c>
      <c r="Q2446" s="128">
        <f t="array" ref="Q2446">SUM(IF(($S2446&gt;=4)*($C2446='TaxCred&amp;Subs'!$D$123:$D$127)*($H2446='TaxCred&amp;Subs'!$C$123:$C$127)*($H2446&lt;='TaxCred&amp;Subs'!$C$129),'TaxCred&amp;Subs'!$E$123:$E$127,0))</f>
        <v>0</v>
      </c>
      <c r="R2446" s="174">
        <v>0</v>
      </c>
      <c r="S2446" s="126">
        <v>5</v>
      </c>
      <c r="T2446" s="126" t="s">
        <v>225</v>
      </c>
      <c r="U2446"/>
      <c r="V2446" s="153" t="str">
        <f t="array" ref="V2446">INDEX(xlRTCLNAME,MATCH(1,(xlRTCLENDU=1)*(xlRTCLEQCL=$D2446),0))</f>
        <v>NG_FA</v>
      </c>
      <c r="W2446" s="153" t="str">
        <f t="array" ref="W2446">INDEX(xlRTCLNAME,MATCH(1,(xlRTCLENDU=2)*(xlRTCLEQCL=$F2446),0))</f>
        <v>CENT_AIR</v>
      </c>
      <c r="X2446" s="153" t="str">
        <f t="array" ref="X2446">INDEX(xlRTTYNAME,MATCH(1,(xlRTTYENDU=1)*(xlRTTYEQCL=$D2446)*(xlRTEQTYPE=$E2446),0))</f>
        <v>NG_FA4</v>
      </c>
      <c r="Y2446" s="153" t="str">
        <f t="array" ref="Y2446">INDEX(xlRTTYNAME,MATCH(1,(xlRTTYENDU=2)*(xlRTTYEQCL=$F2446)*(xlRTEQTYPE=$G2446),0))</f>
        <v>CENT_AIR4</v>
      </c>
    </row>
    <row r="2447" spans="1:25" s="157" customFormat="1" x14ac:dyDescent="0.2">
      <c r="A2447"/>
      <c r="B2447" s="126">
        <v>7</v>
      </c>
      <c r="C2447" s="126">
        <v>3</v>
      </c>
      <c r="D2447" s="126">
        <v>3</v>
      </c>
      <c r="E2447" s="126">
        <v>9</v>
      </c>
      <c r="F2447" s="126">
        <v>2</v>
      </c>
      <c r="G2447" s="126">
        <v>8</v>
      </c>
      <c r="H2447" s="148">
        <v>2016</v>
      </c>
      <c r="I2447" s="143">
        <v>2022</v>
      </c>
      <c r="J2447" s="127">
        <v>1.0914999999999999</v>
      </c>
      <c r="K2447" s="127">
        <v>1.0496000000000001</v>
      </c>
      <c r="L2447" s="127">
        <v>0.71430000000000005</v>
      </c>
      <c r="M2447" s="127">
        <v>0.97609999999999997</v>
      </c>
      <c r="N2447" s="127">
        <v>0.81759999999999999</v>
      </c>
      <c r="O2447" s="127">
        <v>1.0538000000000001</v>
      </c>
      <c r="P2447" s="126">
        <v>5138</v>
      </c>
      <c r="Q2447" s="128">
        <f t="array" ref="Q2447">SUM(IF(($S2447&gt;=4)*($C2447='TaxCred&amp;Subs'!$D$123:$D$127)*($H2447='TaxCred&amp;Subs'!$C$123:$C$127)*($H2447&lt;='TaxCred&amp;Subs'!$C$129),'TaxCred&amp;Subs'!$E$123:$E$127,0))</f>
        <v>1000</v>
      </c>
      <c r="R2447" s="174">
        <v>0</v>
      </c>
      <c r="S2447" s="126">
        <v>5</v>
      </c>
      <c r="T2447" s="126" t="s">
        <v>225</v>
      </c>
      <c r="U2447"/>
      <c r="V2447" s="153" t="str">
        <f t="array" ref="V2447">INDEX(xlRTCLNAME,MATCH(1,(xlRTCLENDU=1)*(xlRTCLEQCL=$D2447),0))</f>
        <v>NG_FA</v>
      </c>
      <c r="W2447" s="153" t="str">
        <f t="array" ref="W2447">INDEX(xlRTCLNAME,MATCH(1,(xlRTCLENDU=2)*(xlRTCLEQCL=$F2447),0))</f>
        <v>CENT_AIR</v>
      </c>
      <c r="X2447" s="153" t="str">
        <f t="array" ref="X2447">INDEX(xlRTTYNAME,MATCH(1,(xlRTTYENDU=1)*(xlRTTYEQCL=$D2447)*(xlRTEQTYPE=$E2447),0))</f>
        <v>NG_FA4</v>
      </c>
      <c r="Y2447" s="153" t="str">
        <f t="array" ref="Y2447">INDEX(xlRTTYNAME,MATCH(1,(xlRTTYENDU=2)*(xlRTTYEQCL=$F2447)*(xlRTEQTYPE=$G2447),0))</f>
        <v>CENT_AIR4</v>
      </c>
    </row>
    <row r="2448" spans="1:25" s="158" customFormat="1" x14ac:dyDescent="0.2">
      <c r="A2448"/>
      <c r="B2448" s="49">
        <v>7</v>
      </c>
      <c r="C2448" s="49">
        <v>3</v>
      </c>
      <c r="D2448" s="49">
        <v>3</v>
      </c>
      <c r="E2448" s="49">
        <v>9</v>
      </c>
      <c r="F2448" s="49">
        <v>2</v>
      </c>
      <c r="G2448" s="49">
        <v>8</v>
      </c>
      <c r="H2448" s="166">
        <v>2023</v>
      </c>
      <c r="I2448" s="166">
        <v>2032</v>
      </c>
      <c r="J2448" s="50">
        <v>1.0914999999999999</v>
      </c>
      <c r="K2448" s="50">
        <v>1.0496000000000001</v>
      </c>
      <c r="L2448" s="50">
        <v>0.71430000000000005</v>
      </c>
      <c r="M2448" s="50">
        <v>0.97609999999999997</v>
      </c>
      <c r="N2448" s="50">
        <v>0.81759999999999999</v>
      </c>
      <c r="O2448" s="50">
        <v>1.0538000000000001</v>
      </c>
      <c r="P2448" s="49">
        <v>5138</v>
      </c>
      <c r="Q2448" s="51">
        <f t="array" ref="Q2448">SUM(IF(($S2448&gt;=4)*($C2448='TaxCred&amp;Subs'!$D$123:$D$127)*($H2448='TaxCred&amp;Subs'!$C$123:$C$127)*($H2448&lt;='TaxCred&amp;Subs'!$C$129),'TaxCred&amp;Subs'!$E$123:$E$127,0))</f>
        <v>2500</v>
      </c>
      <c r="R2448" s="171">
        <v>0</v>
      </c>
      <c r="S2448" s="49">
        <v>5</v>
      </c>
      <c r="T2448" s="49" t="s">
        <v>225</v>
      </c>
      <c r="U2448"/>
      <c r="V2448" s="153" t="str">
        <f t="array" ref="V2448">INDEX(xlRTCLNAME,MATCH(1,(xlRTCLENDU=1)*(xlRTCLEQCL=$D2448),0))</f>
        <v>NG_FA</v>
      </c>
      <c r="W2448" s="153" t="str">
        <f t="array" ref="W2448">INDEX(xlRTCLNAME,MATCH(1,(xlRTCLENDU=2)*(xlRTCLEQCL=$F2448),0))</f>
        <v>CENT_AIR</v>
      </c>
      <c r="X2448" s="153" t="str">
        <f t="array" ref="X2448">INDEX(xlRTTYNAME,MATCH(1,(xlRTTYENDU=1)*(xlRTTYEQCL=$D2448)*(xlRTEQTYPE=$E2448),0))</f>
        <v>NG_FA4</v>
      </c>
      <c r="Y2448" s="153" t="str">
        <f t="array" ref="Y2448">INDEX(xlRTTYNAME,MATCH(1,(xlRTTYENDU=2)*(xlRTTYEQCL=$F2448)*(xlRTEQTYPE=$G2448),0))</f>
        <v>CENT_AIR4</v>
      </c>
    </row>
    <row r="2449" spans="1:25" s="157" customFormat="1" x14ac:dyDescent="0.2">
      <c r="A2449"/>
      <c r="B2449" s="126">
        <v>7</v>
      </c>
      <c r="C2449" s="126">
        <v>3</v>
      </c>
      <c r="D2449" s="126">
        <v>3</v>
      </c>
      <c r="E2449" s="126">
        <v>9</v>
      </c>
      <c r="F2449" s="126">
        <v>2</v>
      </c>
      <c r="G2449" s="126">
        <v>8</v>
      </c>
      <c r="H2449" s="143">
        <v>2033</v>
      </c>
      <c r="I2449" s="148">
        <v>2050</v>
      </c>
      <c r="J2449" s="127">
        <v>1.0914999999999999</v>
      </c>
      <c r="K2449" s="127">
        <v>1.0496000000000001</v>
      </c>
      <c r="L2449" s="127">
        <v>0.71430000000000005</v>
      </c>
      <c r="M2449" s="127">
        <v>0.97609999999999997</v>
      </c>
      <c r="N2449" s="127">
        <v>0.81759999999999999</v>
      </c>
      <c r="O2449" s="127">
        <v>1.0538000000000001</v>
      </c>
      <c r="P2449" s="126">
        <v>5138</v>
      </c>
      <c r="Q2449" s="128">
        <f t="array" ref="Q2449">SUM(IF(($S2449&gt;=4)*($C2449='TaxCred&amp;Subs'!$D$123:$D$127)*($H2449='TaxCred&amp;Subs'!$C$123:$C$127)*($H2449&lt;='TaxCred&amp;Subs'!$C$129),'TaxCred&amp;Subs'!$E$123:$E$127,0))</f>
        <v>0</v>
      </c>
      <c r="R2449" s="174">
        <v>0</v>
      </c>
      <c r="S2449" s="126">
        <v>5</v>
      </c>
      <c r="T2449" s="126" t="s">
        <v>225</v>
      </c>
      <c r="U2449"/>
      <c r="V2449" s="153" t="str">
        <f t="array" ref="V2449">INDEX(xlRTCLNAME,MATCH(1,(xlRTCLENDU=1)*(xlRTCLEQCL=$D2449),0))</f>
        <v>NG_FA</v>
      </c>
      <c r="W2449" s="153" t="str">
        <f t="array" ref="W2449">INDEX(xlRTCLNAME,MATCH(1,(xlRTCLENDU=2)*(xlRTCLEQCL=$F2449),0))</f>
        <v>CENT_AIR</v>
      </c>
      <c r="X2449" s="153" t="str">
        <f t="array" ref="X2449">INDEX(xlRTTYNAME,MATCH(1,(xlRTTYENDU=1)*(xlRTTYEQCL=$D2449)*(xlRTEQTYPE=$E2449),0))</f>
        <v>NG_FA4</v>
      </c>
      <c r="Y2449" s="153" t="str">
        <f t="array" ref="Y2449">INDEX(xlRTTYNAME,MATCH(1,(xlRTTYENDU=2)*(xlRTTYEQCL=$F2449)*(xlRTEQTYPE=$G2449),0))</f>
        <v>CENT_AIR4</v>
      </c>
    </row>
    <row r="2450" spans="1:25" s="157" customFormat="1" x14ac:dyDescent="0.2">
      <c r="A2450"/>
      <c r="B2450" s="126">
        <v>9</v>
      </c>
      <c r="C2450" s="126">
        <v>3</v>
      </c>
      <c r="D2450" s="126">
        <v>3</v>
      </c>
      <c r="E2450" s="126">
        <v>9</v>
      </c>
      <c r="F2450" s="126">
        <v>2</v>
      </c>
      <c r="G2450" s="126">
        <v>8</v>
      </c>
      <c r="H2450" s="148">
        <v>2016</v>
      </c>
      <c r="I2450" s="143">
        <v>2022</v>
      </c>
      <c r="J2450" s="127">
        <v>1.0761000000000001</v>
      </c>
      <c r="K2450" s="127">
        <v>1.0506</v>
      </c>
      <c r="L2450" s="127">
        <v>0.77149999999999996</v>
      </c>
      <c r="M2450" s="127">
        <v>1.0670999999999999</v>
      </c>
      <c r="N2450" s="127">
        <v>0.84670000000000001</v>
      </c>
      <c r="O2450" s="127">
        <v>1.0538000000000001</v>
      </c>
      <c r="P2450" s="126">
        <v>7270</v>
      </c>
      <c r="Q2450" s="128">
        <f t="array" ref="Q2450">SUM(IF(($S2450&gt;=4)*($C2450='TaxCred&amp;Subs'!$D$123:$D$127)*($H2450='TaxCred&amp;Subs'!$C$123:$C$127)*($H2450&lt;='TaxCred&amp;Subs'!$C$129),'TaxCred&amp;Subs'!$E$123:$E$127,0))</f>
        <v>1000</v>
      </c>
      <c r="R2450" s="174">
        <v>0</v>
      </c>
      <c r="S2450" s="126">
        <v>5</v>
      </c>
      <c r="T2450" s="126" t="s">
        <v>225</v>
      </c>
      <c r="U2450"/>
      <c r="V2450" s="153" t="str">
        <f t="array" ref="V2450">INDEX(xlRTCLNAME,MATCH(1,(xlRTCLENDU=1)*(xlRTCLEQCL=$D2450),0))</f>
        <v>NG_FA</v>
      </c>
      <c r="W2450" s="153" t="str">
        <f t="array" ref="W2450">INDEX(xlRTCLNAME,MATCH(1,(xlRTCLENDU=2)*(xlRTCLEQCL=$F2450),0))</f>
        <v>CENT_AIR</v>
      </c>
      <c r="X2450" s="153" t="str">
        <f t="array" ref="X2450">INDEX(xlRTTYNAME,MATCH(1,(xlRTTYENDU=1)*(xlRTTYEQCL=$D2450)*(xlRTEQTYPE=$E2450),0))</f>
        <v>NG_FA4</v>
      </c>
      <c r="Y2450" s="153" t="str">
        <f t="array" ref="Y2450">INDEX(xlRTTYNAME,MATCH(1,(xlRTTYENDU=2)*(xlRTTYEQCL=$F2450)*(xlRTEQTYPE=$G2450),0))</f>
        <v>CENT_AIR4</v>
      </c>
    </row>
    <row r="2451" spans="1:25" s="158" customFormat="1" x14ac:dyDescent="0.2">
      <c r="A2451"/>
      <c r="B2451" s="49">
        <v>9</v>
      </c>
      <c r="C2451" s="49">
        <v>3</v>
      </c>
      <c r="D2451" s="49">
        <v>3</v>
      </c>
      <c r="E2451" s="49">
        <v>9</v>
      </c>
      <c r="F2451" s="49">
        <v>2</v>
      </c>
      <c r="G2451" s="49">
        <v>8</v>
      </c>
      <c r="H2451" s="166">
        <v>2023</v>
      </c>
      <c r="I2451" s="166">
        <v>2032</v>
      </c>
      <c r="J2451" s="50">
        <v>1.0761000000000001</v>
      </c>
      <c r="K2451" s="50">
        <v>1.0506</v>
      </c>
      <c r="L2451" s="50">
        <v>0.77149999999999996</v>
      </c>
      <c r="M2451" s="50">
        <v>1.0670999999999999</v>
      </c>
      <c r="N2451" s="50">
        <v>0.84670000000000001</v>
      </c>
      <c r="O2451" s="50">
        <v>1.0538000000000001</v>
      </c>
      <c r="P2451" s="49">
        <v>7270</v>
      </c>
      <c r="Q2451" s="51">
        <f t="array" ref="Q2451">SUM(IF(($S2451&gt;=4)*($C2451='TaxCred&amp;Subs'!$D$123:$D$127)*($H2451='TaxCred&amp;Subs'!$C$123:$C$127)*($H2451&lt;='TaxCred&amp;Subs'!$C$129),'TaxCred&amp;Subs'!$E$123:$E$127,0))</f>
        <v>2500</v>
      </c>
      <c r="R2451" s="171">
        <v>0</v>
      </c>
      <c r="S2451" s="49">
        <v>5</v>
      </c>
      <c r="T2451" s="49" t="s">
        <v>225</v>
      </c>
      <c r="U2451"/>
      <c r="V2451" s="153" t="str">
        <f t="array" ref="V2451">INDEX(xlRTCLNAME,MATCH(1,(xlRTCLENDU=1)*(xlRTCLEQCL=$D2451),0))</f>
        <v>NG_FA</v>
      </c>
      <c r="W2451" s="153" t="str">
        <f t="array" ref="W2451">INDEX(xlRTCLNAME,MATCH(1,(xlRTCLENDU=2)*(xlRTCLEQCL=$F2451),0))</f>
        <v>CENT_AIR</v>
      </c>
      <c r="X2451" s="153" t="str">
        <f t="array" ref="X2451">INDEX(xlRTTYNAME,MATCH(1,(xlRTTYENDU=1)*(xlRTTYEQCL=$D2451)*(xlRTEQTYPE=$E2451),0))</f>
        <v>NG_FA4</v>
      </c>
      <c r="Y2451" s="153" t="str">
        <f t="array" ref="Y2451">INDEX(xlRTTYNAME,MATCH(1,(xlRTTYENDU=2)*(xlRTTYEQCL=$F2451)*(xlRTEQTYPE=$G2451),0))</f>
        <v>CENT_AIR4</v>
      </c>
    </row>
    <row r="2452" spans="1:25" s="157" customFormat="1" x14ac:dyDescent="0.2">
      <c r="A2452"/>
      <c r="B2452" s="126">
        <v>9</v>
      </c>
      <c r="C2452" s="126">
        <v>3</v>
      </c>
      <c r="D2452" s="126">
        <v>3</v>
      </c>
      <c r="E2452" s="126">
        <v>9</v>
      </c>
      <c r="F2452" s="126">
        <v>2</v>
      </c>
      <c r="G2452" s="126">
        <v>8</v>
      </c>
      <c r="H2452" s="143">
        <v>2033</v>
      </c>
      <c r="I2452" s="148">
        <v>2050</v>
      </c>
      <c r="J2452" s="127">
        <v>1.0761000000000001</v>
      </c>
      <c r="K2452" s="127">
        <v>1.0506</v>
      </c>
      <c r="L2452" s="127">
        <v>0.77149999999999996</v>
      </c>
      <c r="M2452" s="127">
        <v>1.0670999999999999</v>
      </c>
      <c r="N2452" s="127">
        <v>0.84670000000000001</v>
      </c>
      <c r="O2452" s="127">
        <v>1.0538000000000001</v>
      </c>
      <c r="P2452" s="126">
        <v>7270</v>
      </c>
      <c r="Q2452" s="128">
        <f t="array" ref="Q2452">SUM(IF(($S2452&gt;=4)*($C2452='TaxCred&amp;Subs'!$D$123:$D$127)*($H2452='TaxCred&amp;Subs'!$C$123:$C$127)*($H2452&lt;='TaxCred&amp;Subs'!$C$129),'TaxCred&amp;Subs'!$E$123:$E$127,0))</f>
        <v>0</v>
      </c>
      <c r="R2452" s="174">
        <v>0</v>
      </c>
      <c r="S2452" s="126">
        <v>5</v>
      </c>
      <c r="T2452" s="126" t="s">
        <v>225</v>
      </c>
      <c r="U2452"/>
      <c r="V2452" s="153" t="str">
        <f t="array" ref="V2452">INDEX(xlRTCLNAME,MATCH(1,(xlRTCLENDU=1)*(xlRTCLEQCL=$D2452),0))</f>
        <v>NG_FA</v>
      </c>
      <c r="W2452" s="153" t="str">
        <f t="array" ref="W2452">INDEX(xlRTCLNAME,MATCH(1,(xlRTCLENDU=2)*(xlRTCLEQCL=$F2452),0))</f>
        <v>CENT_AIR</v>
      </c>
      <c r="X2452" s="153" t="str">
        <f t="array" ref="X2452">INDEX(xlRTTYNAME,MATCH(1,(xlRTTYENDU=1)*(xlRTTYEQCL=$D2452)*(xlRTEQTYPE=$E2452),0))</f>
        <v>NG_FA4</v>
      </c>
      <c r="Y2452" s="153" t="str">
        <f t="array" ref="Y2452">INDEX(xlRTTYNAME,MATCH(1,(xlRTTYENDU=2)*(xlRTTYEQCL=$F2452)*(xlRTEQTYPE=$G2452),0))</f>
        <v>CENT_AIR4</v>
      </c>
    </row>
    <row r="2453" spans="1:25" s="157" customFormat="1" x14ac:dyDescent="0.2">
      <c r="A2453"/>
      <c r="B2453" s="126">
        <v>5</v>
      </c>
      <c r="C2453" s="126">
        <v>3</v>
      </c>
      <c r="D2453" s="126">
        <v>4</v>
      </c>
      <c r="E2453" s="126">
        <v>13</v>
      </c>
      <c r="F2453" s="126">
        <v>2</v>
      </c>
      <c r="G2453" s="126">
        <v>8</v>
      </c>
      <c r="H2453" s="148">
        <v>2016</v>
      </c>
      <c r="I2453" s="143">
        <v>2022</v>
      </c>
      <c r="J2453" s="127">
        <v>1.0940000000000001</v>
      </c>
      <c r="K2453" s="127">
        <v>1.0575000000000001</v>
      </c>
      <c r="L2453" s="127">
        <v>0.74939999999999996</v>
      </c>
      <c r="M2453" s="127">
        <v>0.97389999999999999</v>
      </c>
      <c r="N2453" s="127">
        <v>0.83130000000000004</v>
      </c>
      <c r="O2453" s="127">
        <v>1.0538000000000001</v>
      </c>
      <c r="P2453" s="126">
        <v>5495</v>
      </c>
      <c r="Q2453" s="128">
        <f t="array" ref="Q2453">SUM(IF(($S2453&gt;=4)*($C2453='TaxCred&amp;Subs'!$D$123:$D$127)*($H2453='TaxCred&amp;Subs'!$C$123:$C$127)*($H2453&lt;='TaxCred&amp;Subs'!$C$129),'TaxCred&amp;Subs'!$E$123:$E$127,0))</f>
        <v>1000</v>
      </c>
      <c r="R2453" s="174">
        <v>0</v>
      </c>
      <c r="S2453" s="126">
        <v>5</v>
      </c>
      <c r="T2453" s="126" t="s">
        <v>225</v>
      </c>
      <c r="U2453"/>
      <c r="V2453" s="153" t="str">
        <f t="array" ref="V2453">INDEX(xlRTCLNAME,MATCH(1,(xlRTCLENDU=1)*(xlRTCLEQCL=$D2453),0))</f>
        <v>NG_RAD</v>
      </c>
      <c r="W2453" s="153" t="str">
        <f t="array" ref="W2453">INDEX(xlRTCLNAME,MATCH(1,(xlRTCLENDU=2)*(xlRTCLEQCL=$F2453),0))</f>
        <v>CENT_AIR</v>
      </c>
      <c r="X2453" s="153" t="str">
        <f t="array" ref="X2453">INDEX(xlRTTYNAME,MATCH(1,(xlRTTYENDU=1)*(xlRTTYEQCL=$D2453)*(xlRTEQTYPE=$E2453),0))</f>
        <v>NG_RAD4</v>
      </c>
      <c r="Y2453" s="153" t="str">
        <f t="array" ref="Y2453">INDEX(xlRTTYNAME,MATCH(1,(xlRTTYENDU=2)*(xlRTTYEQCL=$F2453)*(xlRTEQTYPE=$G2453),0))</f>
        <v>CENT_AIR4</v>
      </c>
    </row>
    <row r="2454" spans="1:25" s="157" customFormat="1" x14ac:dyDescent="0.2">
      <c r="A2454"/>
      <c r="B2454" s="49">
        <v>5</v>
      </c>
      <c r="C2454" s="49">
        <v>3</v>
      </c>
      <c r="D2454" s="49">
        <v>4</v>
      </c>
      <c r="E2454" s="49">
        <v>13</v>
      </c>
      <c r="F2454" s="49">
        <v>2</v>
      </c>
      <c r="G2454" s="49">
        <v>8</v>
      </c>
      <c r="H2454" s="166">
        <v>2023</v>
      </c>
      <c r="I2454" s="166">
        <v>2032</v>
      </c>
      <c r="J2454" s="50">
        <v>1.0940000000000001</v>
      </c>
      <c r="K2454" s="50">
        <v>1.0575000000000001</v>
      </c>
      <c r="L2454" s="50">
        <v>0.74939999999999996</v>
      </c>
      <c r="M2454" s="50">
        <v>0.97389999999999999</v>
      </c>
      <c r="N2454" s="50">
        <v>0.83130000000000004</v>
      </c>
      <c r="O2454" s="50">
        <v>1.0538000000000001</v>
      </c>
      <c r="P2454" s="49">
        <v>5495</v>
      </c>
      <c r="Q2454" s="51">
        <f t="array" ref="Q2454">SUM(IF(($S2454&gt;=4)*($C2454='TaxCred&amp;Subs'!$D$123:$D$127)*($H2454='TaxCred&amp;Subs'!$C$123:$C$127)*($H2454&lt;='TaxCred&amp;Subs'!$C$129),'TaxCred&amp;Subs'!$E$123:$E$127,0))</f>
        <v>2500</v>
      </c>
      <c r="R2454" s="171">
        <v>0</v>
      </c>
      <c r="S2454" s="49">
        <v>5</v>
      </c>
      <c r="T2454" s="49" t="s">
        <v>225</v>
      </c>
      <c r="U2454"/>
      <c r="V2454" s="153" t="str">
        <f t="array" ref="V2454">INDEX(xlRTCLNAME,MATCH(1,(xlRTCLENDU=1)*(xlRTCLEQCL=$D2454),0))</f>
        <v>NG_RAD</v>
      </c>
      <c r="W2454" s="153" t="str">
        <f t="array" ref="W2454">INDEX(xlRTCLNAME,MATCH(1,(xlRTCLENDU=2)*(xlRTCLEQCL=$F2454),0))</f>
        <v>CENT_AIR</v>
      </c>
      <c r="X2454" s="153" t="str">
        <f t="array" ref="X2454">INDEX(xlRTTYNAME,MATCH(1,(xlRTTYENDU=1)*(xlRTTYEQCL=$D2454)*(xlRTEQTYPE=$E2454),0))</f>
        <v>NG_RAD4</v>
      </c>
      <c r="Y2454" s="153" t="str">
        <f t="array" ref="Y2454">INDEX(xlRTTYNAME,MATCH(1,(xlRTTYENDU=2)*(xlRTTYEQCL=$F2454)*(xlRTEQTYPE=$G2454),0))</f>
        <v>CENT_AIR4</v>
      </c>
    </row>
    <row r="2455" spans="1:25" s="158" customFormat="1" x14ac:dyDescent="0.2">
      <c r="A2455"/>
      <c r="B2455" s="126">
        <v>5</v>
      </c>
      <c r="C2455" s="126">
        <v>3</v>
      </c>
      <c r="D2455" s="126">
        <v>4</v>
      </c>
      <c r="E2455" s="126">
        <v>13</v>
      </c>
      <c r="F2455" s="126">
        <v>2</v>
      </c>
      <c r="G2455" s="126">
        <v>8</v>
      </c>
      <c r="H2455" s="143">
        <v>2033</v>
      </c>
      <c r="I2455" s="148">
        <v>2050</v>
      </c>
      <c r="J2455" s="127">
        <v>1.0940000000000001</v>
      </c>
      <c r="K2455" s="127">
        <v>1.0575000000000001</v>
      </c>
      <c r="L2455" s="127">
        <v>0.74939999999999996</v>
      </c>
      <c r="M2455" s="127">
        <v>0.97389999999999999</v>
      </c>
      <c r="N2455" s="127">
        <v>0.83130000000000004</v>
      </c>
      <c r="O2455" s="127">
        <v>1.0538000000000001</v>
      </c>
      <c r="P2455" s="126">
        <v>5495</v>
      </c>
      <c r="Q2455" s="128">
        <f t="array" ref="Q2455">SUM(IF(($S2455&gt;=4)*($C2455='TaxCred&amp;Subs'!$D$123:$D$127)*($H2455='TaxCred&amp;Subs'!$C$123:$C$127)*($H2455&lt;='TaxCred&amp;Subs'!$C$129),'TaxCred&amp;Subs'!$E$123:$E$127,0))</f>
        <v>0</v>
      </c>
      <c r="R2455" s="174">
        <v>0</v>
      </c>
      <c r="S2455" s="126">
        <v>5</v>
      </c>
      <c r="T2455" s="126" t="s">
        <v>225</v>
      </c>
      <c r="U2455"/>
      <c r="V2455" s="153" t="str">
        <f t="array" ref="V2455">INDEX(xlRTCLNAME,MATCH(1,(xlRTCLENDU=1)*(xlRTCLEQCL=$D2455),0))</f>
        <v>NG_RAD</v>
      </c>
      <c r="W2455" s="153" t="str">
        <f t="array" ref="W2455">INDEX(xlRTCLNAME,MATCH(1,(xlRTCLENDU=2)*(xlRTCLEQCL=$F2455),0))</f>
        <v>CENT_AIR</v>
      </c>
      <c r="X2455" s="153" t="str">
        <f t="array" ref="X2455">INDEX(xlRTTYNAME,MATCH(1,(xlRTTYENDU=1)*(xlRTTYEQCL=$D2455)*(xlRTEQTYPE=$E2455),0))</f>
        <v>NG_RAD4</v>
      </c>
      <c r="Y2455" s="153" t="str">
        <f t="array" ref="Y2455">INDEX(xlRTTYNAME,MATCH(1,(xlRTTYENDU=2)*(xlRTTYEQCL=$F2455)*(xlRTEQTYPE=$G2455),0))</f>
        <v>CENT_AIR4</v>
      </c>
    </row>
    <row r="2456" spans="1:25" s="157" customFormat="1" x14ac:dyDescent="0.2">
      <c r="A2456"/>
      <c r="B2456" s="126">
        <v>6</v>
      </c>
      <c r="C2456" s="126">
        <v>3</v>
      </c>
      <c r="D2456" s="126">
        <v>4</v>
      </c>
      <c r="E2456" s="126">
        <v>13</v>
      </c>
      <c r="F2456" s="126">
        <v>2</v>
      </c>
      <c r="G2456" s="126">
        <v>8</v>
      </c>
      <c r="H2456" s="148">
        <v>2016</v>
      </c>
      <c r="I2456" s="143">
        <v>2022</v>
      </c>
      <c r="J2456" s="127">
        <v>1.0873999999999999</v>
      </c>
      <c r="K2456" s="127">
        <v>1.0609999999999999</v>
      </c>
      <c r="L2456" s="127">
        <v>0.73709999999999998</v>
      </c>
      <c r="M2456" s="127">
        <v>0.97489999999999999</v>
      </c>
      <c r="N2456" s="127">
        <v>0.80189999999999995</v>
      </c>
      <c r="O2456" s="127">
        <v>1.0538000000000001</v>
      </c>
      <c r="P2456" s="126">
        <v>5435</v>
      </c>
      <c r="Q2456" s="128">
        <f t="array" ref="Q2456">SUM(IF(($S2456&gt;=4)*($C2456='TaxCred&amp;Subs'!$D$123:$D$127)*($H2456='TaxCred&amp;Subs'!$C$123:$C$127)*($H2456&lt;='TaxCred&amp;Subs'!$C$129),'TaxCred&amp;Subs'!$E$123:$E$127,0))</f>
        <v>1000</v>
      </c>
      <c r="R2456" s="174">
        <v>0</v>
      </c>
      <c r="S2456" s="126">
        <v>5</v>
      </c>
      <c r="T2456" s="126" t="s">
        <v>225</v>
      </c>
      <c r="U2456"/>
      <c r="V2456" s="153" t="str">
        <f t="array" ref="V2456">INDEX(xlRTCLNAME,MATCH(1,(xlRTCLENDU=1)*(xlRTCLEQCL=$D2456),0))</f>
        <v>NG_RAD</v>
      </c>
      <c r="W2456" s="153" t="str">
        <f t="array" ref="W2456">INDEX(xlRTCLNAME,MATCH(1,(xlRTCLENDU=2)*(xlRTCLEQCL=$F2456),0))</f>
        <v>CENT_AIR</v>
      </c>
      <c r="X2456" s="153" t="str">
        <f t="array" ref="X2456">INDEX(xlRTTYNAME,MATCH(1,(xlRTTYENDU=1)*(xlRTTYEQCL=$D2456)*(xlRTEQTYPE=$E2456),0))</f>
        <v>NG_RAD4</v>
      </c>
      <c r="Y2456" s="153" t="str">
        <f t="array" ref="Y2456">INDEX(xlRTTYNAME,MATCH(1,(xlRTTYENDU=2)*(xlRTTYEQCL=$F2456)*(xlRTEQTYPE=$G2456),0))</f>
        <v>CENT_AIR4</v>
      </c>
    </row>
    <row r="2457" spans="1:25" s="157" customFormat="1" x14ac:dyDescent="0.2">
      <c r="A2457"/>
      <c r="B2457" s="49">
        <v>6</v>
      </c>
      <c r="C2457" s="49">
        <v>3</v>
      </c>
      <c r="D2457" s="49">
        <v>4</v>
      </c>
      <c r="E2457" s="49">
        <v>13</v>
      </c>
      <c r="F2457" s="49">
        <v>2</v>
      </c>
      <c r="G2457" s="49">
        <v>8</v>
      </c>
      <c r="H2457" s="166">
        <v>2023</v>
      </c>
      <c r="I2457" s="166">
        <v>2032</v>
      </c>
      <c r="J2457" s="50">
        <v>1.0873999999999999</v>
      </c>
      <c r="K2457" s="50">
        <v>1.0609999999999999</v>
      </c>
      <c r="L2457" s="50">
        <v>0.73709999999999998</v>
      </c>
      <c r="M2457" s="50">
        <v>0.97489999999999999</v>
      </c>
      <c r="N2457" s="50">
        <v>0.80189999999999995</v>
      </c>
      <c r="O2457" s="50">
        <v>1.0538000000000001</v>
      </c>
      <c r="P2457" s="49">
        <v>5435</v>
      </c>
      <c r="Q2457" s="51">
        <f t="array" ref="Q2457">SUM(IF(($S2457&gt;=4)*($C2457='TaxCred&amp;Subs'!$D$123:$D$127)*($H2457='TaxCred&amp;Subs'!$C$123:$C$127)*($H2457&lt;='TaxCred&amp;Subs'!$C$129),'TaxCred&amp;Subs'!$E$123:$E$127,0))</f>
        <v>2500</v>
      </c>
      <c r="R2457" s="171">
        <v>0</v>
      </c>
      <c r="S2457" s="49">
        <v>5</v>
      </c>
      <c r="T2457" s="49" t="s">
        <v>225</v>
      </c>
      <c r="U2457"/>
      <c r="V2457" s="153" t="str">
        <f t="array" ref="V2457">INDEX(xlRTCLNAME,MATCH(1,(xlRTCLENDU=1)*(xlRTCLEQCL=$D2457),0))</f>
        <v>NG_RAD</v>
      </c>
      <c r="W2457" s="153" t="str">
        <f t="array" ref="W2457">INDEX(xlRTCLNAME,MATCH(1,(xlRTCLENDU=2)*(xlRTCLEQCL=$F2457),0))</f>
        <v>CENT_AIR</v>
      </c>
      <c r="X2457" s="153" t="str">
        <f t="array" ref="X2457">INDEX(xlRTTYNAME,MATCH(1,(xlRTTYENDU=1)*(xlRTTYEQCL=$D2457)*(xlRTEQTYPE=$E2457),0))</f>
        <v>NG_RAD4</v>
      </c>
      <c r="Y2457" s="153" t="str">
        <f t="array" ref="Y2457">INDEX(xlRTTYNAME,MATCH(1,(xlRTTYENDU=2)*(xlRTTYEQCL=$F2457)*(xlRTEQTYPE=$G2457),0))</f>
        <v>CENT_AIR4</v>
      </c>
    </row>
    <row r="2458" spans="1:25" s="157" customFormat="1" x14ac:dyDescent="0.2">
      <c r="A2458"/>
      <c r="B2458" s="126">
        <v>6</v>
      </c>
      <c r="C2458" s="126">
        <v>3</v>
      </c>
      <c r="D2458" s="126">
        <v>4</v>
      </c>
      <c r="E2458" s="126">
        <v>13</v>
      </c>
      <c r="F2458" s="126">
        <v>2</v>
      </c>
      <c r="G2458" s="126">
        <v>8</v>
      </c>
      <c r="H2458" s="143">
        <v>2033</v>
      </c>
      <c r="I2458" s="148">
        <v>2050</v>
      </c>
      <c r="J2458" s="127">
        <v>1.0873999999999999</v>
      </c>
      <c r="K2458" s="127">
        <v>1.0609999999999999</v>
      </c>
      <c r="L2458" s="127">
        <v>0.73709999999999998</v>
      </c>
      <c r="M2458" s="127">
        <v>0.97489999999999999</v>
      </c>
      <c r="N2458" s="127">
        <v>0.80189999999999995</v>
      </c>
      <c r="O2458" s="127">
        <v>1.0538000000000001</v>
      </c>
      <c r="P2458" s="126">
        <v>5435</v>
      </c>
      <c r="Q2458" s="128">
        <f t="array" ref="Q2458">SUM(IF(($S2458&gt;=4)*($C2458='TaxCred&amp;Subs'!$D$123:$D$127)*($H2458='TaxCred&amp;Subs'!$C$123:$C$127)*($H2458&lt;='TaxCred&amp;Subs'!$C$129),'TaxCred&amp;Subs'!$E$123:$E$127,0))</f>
        <v>0</v>
      </c>
      <c r="R2458" s="174">
        <v>0</v>
      </c>
      <c r="S2458" s="126">
        <v>5</v>
      </c>
      <c r="T2458" s="126" t="s">
        <v>225</v>
      </c>
      <c r="U2458"/>
      <c r="V2458" s="153" t="str">
        <f t="array" ref="V2458">INDEX(xlRTCLNAME,MATCH(1,(xlRTCLENDU=1)*(xlRTCLEQCL=$D2458),0))</f>
        <v>NG_RAD</v>
      </c>
      <c r="W2458" s="153" t="str">
        <f t="array" ref="W2458">INDEX(xlRTCLNAME,MATCH(1,(xlRTCLENDU=2)*(xlRTCLEQCL=$F2458),0))</f>
        <v>CENT_AIR</v>
      </c>
      <c r="X2458" s="153" t="str">
        <f t="array" ref="X2458">INDEX(xlRTTYNAME,MATCH(1,(xlRTTYENDU=1)*(xlRTTYEQCL=$D2458)*(xlRTEQTYPE=$E2458),0))</f>
        <v>NG_RAD4</v>
      </c>
      <c r="Y2458" s="153" t="str">
        <f t="array" ref="Y2458">INDEX(xlRTTYNAME,MATCH(1,(xlRTTYENDU=2)*(xlRTTYEQCL=$F2458)*(xlRTEQTYPE=$G2458),0))</f>
        <v>CENT_AIR4</v>
      </c>
    </row>
    <row r="2459" spans="1:25" s="157" customFormat="1" x14ac:dyDescent="0.2">
      <c r="A2459"/>
      <c r="B2459" s="126">
        <v>7</v>
      </c>
      <c r="C2459" s="126">
        <v>3</v>
      </c>
      <c r="D2459" s="126">
        <v>4</v>
      </c>
      <c r="E2459" s="126">
        <v>13</v>
      </c>
      <c r="F2459" s="126">
        <v>2</v>
      </c>
      <c r="G2459" s="126">
        <v>8</v>
      </c>
      <c r="H2459" s="148">
        <v>2016</v>
      </c>
      <c r="I2459" s="143">
        <v>2022</v>
      </c>
      <c r="J2459" s="127">
        <v>1.0826</v>
      </c>
      <c r="K2459" s="127">
        <v>1.0412999999999999</v>
      </c>
      <c r="L2459" s="127">
        <v>0.72560000000000002</v>
      </c>
      <c r="M2459" s="127">
        <v>0.97609999999999997</v>
      </c>
      <c r="N2459" s="127">
        <v>0.8125</v>
      </c>
      <c r="O2459" s="127">
        <v>1.0538000000000001</v>
      </c>
      <c r="P2459" s="126">
        <v>5138</v>
      </c>
      <c r="Q2459" s="128">
        <f t="array" ref="Q2459">SUM(IF(($S2459&gt;=4)*($C2459='TaxCred&amp;Subs'!$D$123:$D$127)*($H2459='TaxCred&amp;Subs'!$C$123:$C$127)*($H2459&lt;='TaxCred&amp;Subs'!$C$129),'TaxCred&amp;Subs'!$E$123:$E$127,0))</f>
        <v>1000</v>
      </c>
      <c r="R2459" s="174">
        <v>0</v>
      </c>
      <c r="S2459" s="126">
        <v>5</v>
      </c>
      <c r="T2459" s="126" t="s">
        <v>225</v>
      </c>
      <c r="U2459"/>
      <c r="V2459" s="153" t="str">
        <f t="array" ref="V2459">INDEX(xlRTCLNAME,MATCH(1,(xlRTCLENDU=1)*(xlRTCLEQCL=$D2459),0))</f>
        <v>NG_RAD</v>
      </c>
      <c r="W2459" s="153" t="str">
        <f t="array" ref="W2459">INDEX(xlRTCLNAME,MATCH(1,(xlRTCLENDU=2)*(xlRTCLEQCL=$F2459),0))</f>
        <v>CENT_AIR</v>
      </c>
      <c r="X2459" s="153" t="str">
        <f t="array" ref="X2459">INDEX(xlRTTYNAME,MATCH(1,(xlRTTYENDU=1)*(xlRTTYEQCL=$D2459)*(xlRTEQTYPE=$E2459),0))</f>
        <v>NG_RAD4</v>
      </c>
      <c r="Y2459" s="153" t="str">
        <f t="array" ref="Y2459">INDEX(xlRTTYNAME,MATCH(1,(xlRTTYENDU=2)*(xlRTTYEQCL=$F2459)*(xlRTEQTYPE=$G2459),0))</f>
        <v>CENT_AIR4</v>
      </c>
    </row>
    <row r="2460" spans="1:25" s="157" customFormat="1" x14ac:dyDescent="0.2">
      <c r="A2460"/>
      <c r="B2460" s="49">
        <v>7</v>
      </c>
      <c r="C2460" s="49">
        <v>3</v>
      </c>
      <c r="D2460" s="49">
        <v>4</v>
      </c>
      <c r="E2460" s="49">
        <v>13</v>
      </c>
      <c r="F2460" s="49">
        <v>2</v>
      </c>
      <c r="G2460" s="49">
        <v>8</v>
      </c>
      <c r="H2460" s="166">
        <v>2023</v>
      </c>
      <c r="I2460" s="166">
        <v>2032</v>
      </c>
      <c r="J2460" s="50">
        <v>1.0826</v>
      </c>
      <c r="K2460" s="50">
        <v>1.0412999999999999</v>
      </c>
      <c r="L2460" s="50">
        <v>0.72560000000000002</v>
      </c>
      <c r="M2460" s="50">
        <v>0.97609999999999997</v>
      </c>
      <c r="N2460" s="50">
        <v>0.8125</v>
      </c>
      <c r="O2460" s="50">
        <v>1.0538000000000001</v>
      </c>
      <c r="P2460" s="49">
        <v>5138</v>
      </c>
      <c r="Q2460" s="51">
        <f t="array" ref="Q2460">SUM(IF(($S2460&gt;=4)*($C2460='TaxCred&amp;Subs'!$D$123:$D$127)*($H2460='TaxCred&amp;Subs'!$C$123:$C$127)*($H2460&lt;='TaxCred&amp;Subs'!$C$129),'TaxCred&amp;Subs'!$E$123:$E$127,0))</f>
        <v>2500</v>
      </c>
      <c r="R2460" s="171">
        <v>0</v>
      </c>
      <c r="S2460" s="49">
        <v>5</v>
      </c>
      <c r="T2460" s="49" t="s">
        <v>225</v>
      </c>
      <c r="U2460"/>
      <c r="V2460" s="153" t="str">
        <f t="array" ref="V2460">INDEX(xlRTCLNAME,MATCH(1,(xlRTCLENDU=1)*(xlRTCLEQCL=$D2460),0))</f>
        <v>NG_RAD</v>
      </c>
      <c r="W2460" s="153" t="str">
        <f t="array" ref="W2460">INDEX(xlRTCLNAME,MATCH(1,(xlRTCLENDU=2)*(xlRTCLEQCL=$F2460),0))</f>
        <v>CENT_AIR</v>
      </c>
      <c r="X2460" s="153" t="str">
        <f t="array" ref="X2460">INDEX(xlRTTYNAME,MATCH(1,(xlRTTYENDU=1)*(xlRTTYEQCL=$D2460)*(xlRTEQTYPE=$E2460),0))</f>
        <v>NG_RAD4</v>
      </c>
      <c r="Y2460" s="153" t="str">
        <f t="array" ref="Y2460">INDEX(xlRTTYNAME,MATCH(1,(xlRTTYENDU=2)*(xlRTTYEQCL=$F2460)*(xlRTEQTYPE=$G2460),0))</f>
        <v>CENT_AIR4</v>
      </c>
    </row>
    <row r="2461" spans="1:25" s="157" customFormat="1" x14ac:dyDescent="0.2">
      <c r="A2461"/>
      <c r="B2461" s="126">
        <v>7</v>
      </c>
      <c r="C2461" s="126">
        <v>3</v>
      </c>
      <c r="D2461" s="126">
        <v>4</v>
      </c>
      <c r="E2461" s="126">
        <v>13</v>
      </c>
      <c r="F2461" s="126">
        <v>2</v>
      </c>
      <c r="G2461" s="126">
        <v>8</v>
      </c>
      <c r="H2461" s="143">
        <v>2033</v>
      </c>
      <c r="I2461" s="148">
        <v>2050</v>
      </c>
      <c r="J2461" s="127">
        <v>1.0826</v>
      </c>
      <c r="K2461" s="127">
        <v>1.0412999999999999</v>
      </c>
      <c r="L2461" s="127">
        <v>0.72560000000000002</v>
      </c>
      <c r="M2461" s="127">
        <v>0.97609999999999997</v>
      </c>
      <c r="N2461" s="127">
        <v>0.8125</v>
      </c>
      <c r="O2461" s="127">
        <v>1.0538000000000001</v>
      </c>
      <c r="P2461" s="126">
        <v>5138</v>
      </c>
      <c r="Q2461" s="128">
        <f t="array" ref="Q2461">SUM(IF(($S2461&gt;=4)*($C2461='TaxCred&amp;Subs'!$D$123:$D$127)*($H2461='TaxCred&amp;Subs'!$C$123:$C$127)*($H2461&lt;='TaxCred&amp;Subs'!$C$129),'TaxCred&amp;Subs'!$E$123:$E$127,0))</f>
        <v>0</v>
      </c>
      <c r="R2461" s="174">
        <v>0</v>
      </c>
      <c r="S2461" s="126">
        <v>5</v>
      </c>
      <c r="T2461" s="126" t="s">
        <v>225</v>
      </c>
      <c r="U2461"/>
      <c r="V2461" s="153" t="str">
        <f t="array" ref="V2461">INDEX(xlRTCLNAME,MATCH(1,(xlRTCLENDU=1)*(xlRTCLEQCL=$D2461),0))</f>
        <v>NG_RAD</v>
      </c>
      <c r="W2461" s="153" t="str">
        <f t="array" ref="W2461">INDEX(xlRTCLNAME,MATCH(1,(xlRTCLENDU=2)*(xlRTCLEQCL=$F2461),0))</f>
        <v>CENT_AIR</v>
      </c>
      <c r="X2461" s="153" t="str">
        <f t="array" ref="X2461">INDEX(xlRTTYNAME,MATCH(1,(xlRTTYENDU=1)*(xlRTTYEQCL=$D2461)*(xlRTEQTYPE=$E2461),0))</f>
        <v>NG_RAD4</v>
      </c>
      <c r="Y2461" s="153" t="str">
        <f t="array" ref="Y2461">INDEX(xlRTTYNAME,MATCH(1,(xlRTTYENDU=2)*(xlRTTYEQCL=$F2461)*(xlRTEQTYPE=$G2461),0))</f>
        <v>CENT_AIR4</v>
      </c>
    </row>
    <row r="2462" spans="1:25" s="157" customFormat="1" x14ac:dyDescent="0.2">
      <c r="A2462"/>
      <c r="B2462" s="126">
        <v>9</v>
      </c>
      <c r="C2462" s="126">
        <v>3</v>
      </c>
      <c r="D2462" s="126">
        <v>4</v>
      </c>
      <c r="E2462" s="126">
        <v>13</v>
      </c>
      <c r="F2462" s="126">
        <v>2</v>
      </c>
      <c r="G2462" s="126">
        <v>8</v>
      </c>
      <c r="H2462" s="148">
        <v>2016</v>
      </c>
      <c r="I2462" s="143">
        <v>2022</v>
      </c>
      <c r="J2462" s="127">
        <v>1.0845</v>
      </c>
      <c r="K2462" s="127">
        <v>1.0658000000000001</v>
      </c>
      <c r="L2462" s="127">
        <v>0.78159999999999996</v>
      </c>
      <c r="M2462" s="127">
        <v>1.0670999999999999</v>
      </c>
      <c r="N2462" s="127">
        <v>0.84079999999999999</v>
      </c>
      <c r="O2462" s="127">
        <v>1.0538000000000001</v>
      </c>
      <c r="P2462" s="126">
        <v>7270</v>
      </c>
      <c r="Q2462" s="128">
        <f t="array" ref="Q2462">SUM(IF(($S2462&gt;=4)*($C2462='TaxCred&amp;Subs'!$D$123:$D$127)*($H2462='TaxCred&amp;Subs'!$C$123:$C$127)*($H2462&lt;='TaxCred&amp;Subs'!$C$129),'TaxCred&amp;Subs'!$E$123:$E$127,0))</f>
        <v>1000</v>
      </c>
      <c r="R2462" s="174">
        <v>0</v>
      </c>
      <c r="S2462" s="126">
        <v>5</v>
      </c>
      <c r="T2462" s="126" t="s">
        <v>225</v>
      </c>
      <c r="U2462"/>
      <c r="V2462" s="153" t="str">
        <f t="array" ref="V2462">INDEX(xlRTCLNAME,MATCH(1,(xlRTCLENDU=1)*(xlRTCLEQCL=$D2462),0))</f>
        <v>NG_RAD</v>
      </c>
      <c r="W2462" s="153" t="str">
        <f t="array" ref="W2462">INDEX(xlRTCLNAME,MATCH(1,(xlRTCLENDU=2)*(xlRTCLEQCL=$F2462),0))</f>
        <v>CENT_AIR</v>
      </c>
      <c r="X2462" s="153" t="str">
        <f t="array" ref="X2462">INDEX(xlRTTYNAME,MATCH(1,(xlRTTYENDU=1)*(xlRTTYEQCL=$D2462)*(xlRTEQTYPE=$E2462),0))</f>
        <v>NG_RAD4</v>
      </c>
      <c r="Y2462" s="153" t="str">
        <f t="array" ref="Y2462">INDEX(xlRTTYNAME,MATCH(1,(xlRTTYENDU=2)*(xlRTTYEQCL=$F2462)*(xlRTEQTYPE=$G2462),0))</f>
        <v>CENT_AIR4</v>
      </c>
    </row>
    <row r="2463" spans="1:25" s="158" customFormat="1" x14ac:dyDescent="0.2">
      <c r="A2463"/>
      <c r="B2463" s="49">
        <v>9</v>
      </c>
      <c r="C2463" s="49">
        <v>3</v>
      </c>
      <c r="D2463" s="49">
        <v>4</v>
      </c>
      <c r="E2463" s="49">
        <v>13</v>
      </c>
      <c r="F2463" s="49">
        <v>2</v>
      </c>
      <c r="G2463" s="49">
        <v>8</v>
      </c>
      <c r="H2463" s="166">
        <v>2023</v>
      </c>
      <c r="I2463" s="166">
        <v>2032</v>
      </c>
      <c r="J2463" s="50">
        <v>1.0845</v>
      </c>
      <c r="K2463" s="50">
        <v>1.0658000000000001</v>
      </c>
      <c r="L2463" s="50">
        <v>0.78159999999999996</v>
      </c>
      <c r="M2463" s="50">
        <v>1.0670999999999999</v>
      </c>
      <c r="N2463" s="50">
        <v>0.84079999999999999</v>
      </c>
      <c r="O2463" s="50">
        <v>1.0538000000000001</v>
      </c>
      <c r="P2463" s="49">
        <v>7270</v>
      </c>
      <c r="Q2463" s="51">
        <f t="array" ref="Q2463">SUM(IF(($S2463&gt;=4)*($C2463='TaxCred&amp;Subs'!$D$123:$D$127)*($H2463='TaxCred&amp;Subs'!$C$123:$C$127)*($H2463&lt;='TaxCred&amp;Subs'!$C$129),'TaxCred&amp;Subs'!$E$123:$E$127,0))</f>
        <v>2500</v>
      </c>
      <c r="R2463" s="171">
        <v>0</v>
      </c>
      <c r="S2463" s="49">
        <v>5</v>
      </c>
      <c r="T2463" s="49" t="s">
        <v>225</v>
      </c>
      <c r="U2463"/>
      <c r="V2463" s="153" t="str">
        <f t="array" ref="V2463">INDEX(xlRTCLNAME,MATCH(1,(xlRTCLENDU=1)*(xlRTCLEQCL=$D2463),0))</f>
        <v>NG_RAD</v>
      </c>
      <c r="W2463" s="153" t="str">
        <f t="array" ref="W2463">INDEX(xlRTCLNAME,MATCH(1,(xlRTCLENDU=2)*(xlRTCLEQCL=$F2463),0))</f>
        <v>CENT_AIR</v>
      </c>
      <c r="X2463" s="153" t="str">
        <f t="array" ref="X2463">INDEX(xlRTTYNAME,MATCH(1,(xlRTTYENDU=1)*(xlRTTYEQCL=$D2463)*(xlRTEQTYPE=$E2463),0))</f>
        <v>NG_RAD4</v>
      </c>
      <c r="Y2463" s="153" t="str">
        <f t="array" ref="Y2463">INDEX(xlRTTYNAME,MATCH(1,(xlRTTYENDU=2)*(xlRTTYEQCL=$F2463)*(xlRTEQTYPE=$G2463),0))</f>
        <v>CENT_AIR4</v>
      </c>
    </row>
    <row r="2464" spans="1:25" s="157" customFormat="1" x14ac:dyDescent="0.2">
      <c r="A2464"/>
      <c r="B2464" s="126">
        <v>9</v>
      </c>
      <c r="C2464" s="126">
        <v>3</v>
      </c>
      <c r="D2464" s="126">
        <v>4</v>
      </c>
      <c r="E2464" s="126">
        <v>13</v>
      </c>
      <c r="F2464" s="126">
        <v>2</v>
      </c>
      <c r="G2464" s="126">
        <v>8</v>
      </c>
      <c r="H2464" s="143">
        <v>2033</v>
      </c>
      <c r="I2464" s="148">
        <v>2050</v>
      </c>
      <c r="J2464" s="127">
        <v>1.0845</v>
      </c>
      <c r="K2464" s="127">
        <v>1.0658000000000001</v>
      </c>
      <c r="L2464" s="127">
        <v>0.78159999999999996</v>
      </c>
      <c r="M2464" s="127">
        <v>1.0670999999999999</v>
      </c>
      <c r="N2464" s="127">
        <v>0.84079999999999999</v>
      </c>
      <c r="O2464" s="127">
        <v>1.0538000000000001</v>
      </c>
      <c r="P2464" s="126">
        <v>7270</v>
      </c>
      <c r="Q2464" s="128">
        <f t="array" ref="Q2464">SUM(IF(($S2464&gt;=4)*($C2464='TaxCred&amp;Subs'!$D$123:$D$127)*($H2464='TaxCred&amp;Subs'!$C$123:$C$127)*($H2464&lt;='TaxCred&amp;Subs'!$C$129),'TaxCred&amp;Subs'!$E$123:$E$127,0))</f>
        <v>0</v>
      </c>
      <c r="R2464" s="174">
        <v>0</v>
      </c>
      <c r="S2464" s="126">
        <v>5</v>
      </c>
      <c r="T2464" s="126" t="s">
        <v>225</v>
      </c>
      <c r="U2464"/>
      <c r="V2464" s="153" t="str">
        <f t="array" ref="V2464">INDEX(xlRTCLNAME,MATCH(1,(xlRTCLENDU=1)*(xlRTCLEQCL=$D2464),0))</f>
        <v>NG_RAD</v>
      </c>
      <c r="W2464" s="153" t="str">
        <f t="array" ref="W2464">INDEX(xlRTCLNAME,MATCH(1,(xlRTCLENDU=2)*(xlRTCLEQCL=$F2464),0))</f>
        <v>CENT_AIR</v>
      </c>
      <c r="X2464" s="153" t="str">
        <f t="array" ref="X2464">INDEX(xlRTTYNAME,MATCH(1,(xlRTTYENDU=1)*(xlRTTYEQCL=$D2464)*(xlRTEQTYPE=$E2464),0))</f>
        <v>NG_RAD4</v>
      </c>
      <c r="Y2464" s="153" t="str">
        <f t="array" ref="Y2464">INDEX(xlRTTYNAME,MATCH(1,(xlRTTYENDU=2)*(xlRTTYEQCL=$F2464)*(xlRTEQTYPE=$G2464),0))</f>
        <v>CENT_AIR4</v>
      </c>
    </row>
    <row r="2465" spans="1:25" s="157" customFormat="1" x14ac:dyDescent="0.2">
      <c r="A2465"/>
      <c r="B2465" s="129">
        <v>5</v>
      </c>
      <c r="C2465" s="129">
        <v>3</v>
      </c>
      <c r="D2465" s="129">
        <v>5</v>
      </c>
      <c r="E2465" s="129">
        <v>17</v>
      </c>
      <c r="F2465" s="129">
        <v>2</v>
      </c>
      <c r="G2465" s="129">
        <v>8</v>
      </c>
      <c r="H2465" s="129">
        <v>2016</v>
      </c>
      <c r="I2465" s="38">
        <v>2022</v>
      </c>
      <c r="J2465" s="130">
        <v>1.0667</v>
      </c>
      <c r="K2465" s="130">
        <v>1.0568</v>
      </c>
      <c r="L2465" s="130">
        <v>0.67749999999999999</v>
      </c>
      <c r="M2465" s="130">
        <v>0.97309999999999997</v>
      </c>
      <c r="N2465" s="130">
        <v>0.83260000000000001</v>
      </c>
      <c r="O2465" s="130">
        <v>1.0538000000000001</v>
      </c>
      <c r="P2465" s="129">
        <v>5495</v>
      </c>
      <c r="Q2465" s="128">
        <f t="array" ref="Q2465">SUM(IF(($S2465&gt;=4)*($C2465='TaxCred&amp;Subs'!$D$123:$D$127)*($H2465='TaxCred&amp;Subs'!$C$123:$C$127)*($H2465&lt;='TaxCred&amp;Subs'!$C$129),'TaxCred&amp;Subs'!$E$123:$E$127,0))</f>
        <v>1000</v>
      </c>
      <c r="R2465" s="174">
        <v>0</v>
      </c>
      <c r="S2465" s="129">
        <v>5</v>
      </c>
      <c r="T2465" s="129" t="s">
        <v>225</v>
      </c>
      <c r="U2465" s="155" t="s">
        <v>235</v>
      </c>
      <c r="V2465" s="153" t="str">
        <f t="array" ref="V2465">INDEX(xlRTCLNAME,MATCH(1,(xlRTCLENDU=1)*(xlRTCLEQCL=$D2465),0))</f>
        <v>KERO_FA</v>
      </c>
      <c r="W2465" s="153" t="str">
        <f t="array" ref="W2465">INDEX(xlRTCLNAME,MATCH(1,(xlRTCLENDU=2)*(xlRTCLEQCL=$F2465),0))</f>
        <v>CENT_AIR</v>
      </c>
      <c r="X2465" s="153" t="str">
        <f t="array" ref="X2465">INDEX(xlRTTYNAME,MATCH(1,(xlRTTYENDU=1)*(xlRTTYEQCL=$D2465)*(xlRTEQTYPE=$E2465),0))</f>
        <v>KERO_FA4</v>
      </c>
      <c r="Y2465" s="153" t="str">
        <f t="array" ref="Y2465">INDEX(xlRTTYNAME,MATCH(1,(xlRTTYENDU=2)*(xlRTTYEQCL=$F2465)*(xlRTEQTYPE=$G2465),0))</f>
        <v>CENT_AIR4</v>
      </c>
    </row>
    <row r="2466" spans="1:25" s="158" customFormat="1" x14ac:dyDescent="0.2">
      <c r="A2466"/>
      <c r="B2466" s="131">
        <v>5</v>
      </c>
      <c r="C2466" s="131">
        <v>3</v>
      </c>
      <c r="D2466" s="131">
        <v>5</v>
      </c>
      <c r="E2466" s="131">
        <v>17</v>
      </c>
      <c r="F2466" s="131">
        <v>2</v>
      </c>
      <c r="G2466" s="131">
        <v>8</v>
      </c>
      <c r="H2466" s="131">
        <v>2023</v>
      </c>
      <c r="I2466" s="131">
        <v>2032</v>
      </c>
      <c r="J2466" s="132">
        <v>1.0667</v>
      </c>
      <c r="K2466" s="132">
        <v>1.0568</v>
      </c>
      <c r="L2466" s="132">
        <v>0.67749999999999999</v>
      </c>
      <c r="M2466" s="132">
        <v>0.97309999999999997</v>
      </c>
      <c r="N2466" s="132">
        <v>0.83260000000000001</v>
      </c>
      <c r="O2466" s="132">
        <v>1.0538000000000001</v>
      </c>
      <c r="P2466" s="131">
        <v>5495</v>
      </c>
      <c r="Q2466" s="51">
        <f t="array" ref="Q2466">SUM(IF(($S2466&gt;=4)*($C2466='TaxCred&amp;Subs'!$D$123:$D$127)*($H2466='TaxCred&amp;Subs'!$C$123:$C$127)*($H2466&lt;='TaxCred&amp;Subs'!$C$129),'TaxCred&amp;Subs'!$E$123:$E$127,0))</f>
        <v>2500</v>
      </c>
      <c r="R2466" s="171">
        <v>0</v>
      </c>
      <c r="S2466" s="131">
        <v>5</v>
      </c>
      <c r="T2466" s="131" t="s">
        <v>225</v>
      </c>
      <c r="U2466" s="155" t="s">
        <v>235</v>
      </c>
      <c r="V2466" s="153" t="str">
        <f t="array" ref="V2466">INDEX(xlRTCLNAME,MATCH(1,(xlRTCLENDU=1)*(xlRTCLEQCL=$D2466),0))</f>
        <v>KERO_FA</v>
      </c>
      <c r="W2466" s="153" t="str">
        <f t="array" ref="W2466">INDEX(xlRTCLNAME,MATCH(1,(xlRTCLENDU=2)*(xlRTCLEQCL=$F2466),0))</f>
        <v>CENT_AIR</v>
      </c>
      <c r="X2466" s="153" t="str">
        <f t="array" ref="X2466">INDEX(xlRTTYNAME,MATCH(1,(xlRTTYENDU=1)*(xlRTTYEQCL=$D2466)*(xlRTEQTYPE=$E2466),0))</f>
        <v>KERO_FA4</v>
      </c>
      <c r="Y2466" s="153" t="str">
        <f t="array" ref="Y2466">INDEX(xlRTTYNAME,MATCH(1,(xlRTTYENDU=2)*(xlRTTYEQCL=$F2466)*(xlRTEQTYPE=$G2466),0))</f>
        <v>CENT_AIR4</v>
      </c>
    </row>
    <row r="2467" spans="1:25" s="157" customFormat="1" x14ac:dyDescent="0.2">
      <c r="A2467"/>
      <c r="B2467" s="129">
        <v>5</v>
      </c>
      <c r="C2467" s="129">
        <v>3</v>
      </c>
      <c r="D2467" s="129">
        <v>5</v>
      </c>
      <c r="E2467" s="129">
        <v>17</v>
      </c>
      <c r="F2467" s="129">
        <v>2</v>
      </c>
      <c r="G2467" s="129">
        <v>8</v>
      </c>
      <c r="H2467" s="38">
        <v>2033</v>
      </c>
      <c r="I2467" s="129">
        <v>2050</v>
      </c>
      <c r="J2467" s="130">
        <v>1.0667</v>
      </c>
      <c r="K2467" s="130">
        <v>1.0568</v>
      </c>
      <c r="L2467" s="130">
        <v>0.67749999999999999</v>
      </c>
      <c r="M2467" s="130">
        <v>0.97309999999999997</v>
      </c>
      <c r="N2467" s="130">
        <v>0.83260000000000001</v>
      </c>
      <c r="O2467" s="130">
        <v>1.0538000000000001</v>
      </c>
      <c r="P2467" s="129">
        <v>5495</v>
      </c>
      <c r="Q2467" s="128">
        <f t="array" ref="Q2467">SUM(IF(($S2467&gt;=4)*($C2467='TaxCred&amp;Subs'!$D$123:$D$127)*($H2467='TaxCred&amp;Subs'!$C$123:$C$127)*($H2467&lt;='TaxCred&amp;Subs'!$C$129),'TaxCred&amp;Subs'!$E$123:$E$127,0))</f>
        <v>0</v>
      </c>
      <c r="R2467" s="174">
        <v>0</v>
      </c>
      <c r="S2467" s="129">
        <v>5</v>
      </c>
      <c r="T2467" s="129" t="s">
        <v>225</v>
      </c>
      <c r="U2467" s="155" t="s">
        <v>235</v>
      </c>
      <c r="V2467" s="153" t="str">
        <f t="array" ref="V2467">INDEX(xlRTCLNAME,MATCH(1,(xlRTCLENDU=1)*(xlRTCLEQCL=$D2467),0))</f>
        <v>KERO_FA</v>
      </c>
      <c r="W2467" s="153" t="str">
        <f t="array" ref="W2467">INDEX(xlRTCLNAME,MATCH(1,(xlRTCLENDU=2)*(xlRTCLEQCL=$F2467),0))</f>
        <v>CENT_AIR</v>
      </c>
      <c r="X2467" s="153" t="str">
        <f t="array" ref="X2467">INDEX(xlRTTYNAME,MATCH(1,(xlRTTYENDU=1)*(xlRTTYEQCL=$D2467)*(xlRTEQTYPE=$E2467),0))</f>
        <v>KERO_FA4</v>
      </c>
      <c r="Y2467" s="153" t="str">
        <f t="array" ref="Y2467">INDEX(xlRTTYNAME,MATCH(1,(xlRTTYENDU=2)*(xlRTTYEQCL=$F2467)*(xlRTEQTYPE=$G2467),0))</f>
        <v>CENT_AIR4</v>
      </c>
    </row>
    <row r="2468" spans="1:25" s="157" customFormat="1" x14ac:dyDescent="0.2">
      <c r="A2468"/>
      <c r="B2468" s="129">
        <v>6</v>
      </c>
      <c r="C2468" s="129">
        <v>3</v>
      </c>
      <c r="D2468" s="129">
        <v>5</v>
      </c>
      <c r="E2468" s="129">
        <v>17</v>
      </c>
      <c r="F2468" s="129">
        <v>2</v>
      </c>
      <c r="G2468" s="129">
        <v>8</v>
      </c>
      <c r="H2468" s="129">
        <v>2016</v>
      </c>
      <c r="I2468" s="38">
        <v>2022</v>
      </c>
      <c r="J2468" s="130">
        <v>1.0896999999999999</v>
      </c>
      <c r="K2468" s="130">
        <v>1.0723</v>
      </c>
      <c r="L2468" s="130">
        <v>0.71960000000000002</v>
      </c>
      <c r="M2468" s="130">
        <v>0.98040000000000005</v>
      </c>
      <c r="N2468" s="130">
        <v>0.80269999999999997</v>
      </c>
      <c r="O2468" s="130">
        <v>1.0538000000000001</v>
      </c>
      <c r="P2468" s="129">
        <v>5435</v>
      </c>
      <c r="Q2468" s="128">
        <f t="array" ref="Q2468">SUM(IF(($S2468&gt;=4)*($C2468='TaxCred&amp;Subs'!$D$123:$D$127)*($H2468='TaxCred&amp;Subs'!$C$123:$C$127)*($H2468&lt;='TaxCred&amp;Subs'!$C$129),'TaxCred&amp;Subs'!$E$123:$E$127,0))</f>
        <v>1000</v>
      </c>
      <c r="R2468" s="174">
        <v>0</v>
      </c>
      <c r="S2468" s="129">
        <v>5</v>
      </c>
      <c r="T2468" s="129" t="s">
        <v>225</v>
      </c>
      <c r="U2468" s="155" t="s">
        <v>235</v>
      </c>
      <c r="V2468" s="153" t="str">
        <f t="array" ref="V2468">INDEX(xlRTCLNAME,MATCH(1,(xlRTCLENDU=1)*(xlRTCLEQCL=$D2468),0))</f>
        <v>KERO_FA</v>
      </c>
      <c r="W2468" s="153" t="str">
        <f t="array" ref="W2468">INDEX(xlRTCLNAME,MATCH(1,(xlRTCLENDU=2)*(xlRTCLEQCL=$F2468),0))</f>
        <v>CENT_AIR</v>
      </c>
      <c r="X2468" s="153" t="str">
        <f t="array" ref="X2468">INDEX(xlRTTYNAME,MATCH(1,(xlRTTYENDU=1)*(xlRTTYEQCL=$D2468)*(xlRTEQTYPE=$E2468),0))</f>
        <v>KERO_FA4</v>
      </c>
      <c r="Y2468" s="153" t="str">
        <f t="array" ref="Y2468">INDEX(xlRTTYNAME,MATCH(1,(xlRTTYENDU=2)*(xlRTTYEQCL=$F2468)*(xlRTEQTYPE=$G2468),0))</f>
        <v>CENT_AIR4</v>
      </c>
    </row>
    <row r="2469" spans="1:25" s="157" customFormat="1" x14ac:dyDescent="0.2">
      <c r="A2469"/>
      <c r="B2469" s="131">
        <v>6</v>
      </c>
      <c r="C2469" s="131">
        <v>3</v>
      </c>
      <c r="D2469" s="131">
        <v>5</v>
      </c>
      <c r="E2469" s="131">
        <v>17</v>
      </c>
      <c r="F2469" s="131">
        <v>2</v>
      </c>
      <c r="G2469" s="131">
        <v>8</v>
      </c>
      <c r="H2469" s="131">
        <v>2023</v>
      </c>
      <c r="I2469" s="131">
        <v>2032</v>
      </c>
      <c r="J2469" s="132">
        <v>1.0896999999999999</v>
      </c>
      <c r="K2469" s="132">
        <v>1.0723</v>
      </c>
      <c r="L2469" s="132">
        <v>0.71960000000000002</v>
      </c>
      <c r="M2469" s="132">
        <v>0.98040000000000005</v>
      </c>
      <c r="N2469" s="132">
        <v>0.80269999999999997</v>
      </c>
      <c r="O2469" s="132">
        <v>1.0538000000000001</v>
      </c>
      <c r="P2469" s="131">
        <v>5435</v>
      </c>
      <c r="Q2469" s="51">
        <f t="array" ref="Q2469">SUM(IF(($S2469&gt;=4)*($C2469='TaxCred&amp;Subs'!$D$123:$D$127)*($H2469='TaxCred&amp;Subs'!$C$123:$C$127)*($H2469&lt;='TaxCred&amp;Subs'!$C$129),'TaxCred&amp;Subs'!$E$123:$E$127,0))</f>
        <v>2500</v>
      </c>
      <c r="R2469" s="171">
        <v>0</v>
      </c>
      <c r="S2469" s="131">
        <v>5</v>
      </c>
      <c r="T2469" s="131" t="s">
        <v>225</v>
      </c>
      <c r="U2469" s="155" t="s">
        <v>235</v>
      </c>
      <c r="V2469" s="153" t="str">
        <f t="array" ref="V2469">INDEX(xlRTCLNAME,MATCH(1,(xlRTCLENDU=1)*(xlRTCLEQCL=$D2469),0))</f>
        <v>KERO_FA</v>
      </c>
      <c r="W2469" s="153" t="str">
        <f t="array" ref="W2469">INDEX(xlRTCLNAME,MATCH(1,(xlRTCLENDU=2)*(xlRTCLEQCL=$F2469),0))</f>
        <v>CENT_AIR</v>
      </c>
      <c r="X2469" s="153" t="str">
        <f t="array" ref="X2469">INDEX(xlRTTYNAME,MATCH(1,(xlRTTYENDU=1)*(xlRTTYEQCL=$D2469)*(xlRTEQTYPE=$E2469),0))</f>
        <v>KERO_FA4</v>
      </c>
      <c r="Y2469" s="153" t="str">
        <f t="array" ref="Y2469">INDEX(xlRTTYNAME,MATCH(1,(xlRTTYENDU=2)*(xlRTTYEQCL=$F2469)*(xlRTEQTYPE=$G2469),0))</f>
        <v>CENT_AIR4</v>
      </c>
    </row>
    <row r="2470" spans="1:25" s="157" customFormat="1" x14ac:dyDescent="0.2">
      <c r="A2470"/>
      <c r="B2470" s="129">
        <v>6</v>
      </c>
      <c r="C2470" s="129">
        <v>3</v>
      </c>
      <c r="D2470" s="129">
        <v>5</v>
      </c>
      <c r="E2470" s="129">
        <v>17</v>
      </c>
      <c r="F2470" s="129">
        <v>2</v>
      </c>
      <c r="G2470" s="129">
        <v>8</v>
      </c>
      <c r="H2470" s="38">
        <v>2033</v>
      </c>
      <c r="I2470" s="129">
        <v>2050</v>
      </c>
      <c r="J2470" s="130">
        <v>1.0896999999999999</v>
      </c>
      <c r="K2470" s="130">
        <v>1.0723</v>
      </c>
      <c r="L2470" s="130">
        <v>0.71960000000000002</v>
      </c>
      <c r="M2470" s="130">
        <v>0.98040000000000005</v>
      </c>
      <c r="N2470" s="130">
        <v>0.80269999999999997</v>
      </c>
      <c r="O2470" s="130">
        <v>1.0538000000000001</v>
      </c>
      <c r="P2470" s="129">
        <v>5435</v>
      </c>
      <c r="Q2470" s="128">
        <f t="array" ref="Q2470">SUM(IF(($S2470&gt;=4)*($C2470='TaxCred&amp;Subs'!$D$123:$D$127)*($H2470='TaxCred&amp;Subs'!$C$123:$C$127)*($H2470&lt;='TaxCred&amp;Subs'!$C$129),'TaxCred&amp;Subs'!$E$123:$E$127,0))</f>
        <v>0</v>
      </c>
      <c r="R2470" s="174">
        <v>0</v>
      </c>
      <c r="S2470" s="129">
        <v>5</v>
      </c>
      <c r="T2470" s="129" t="s">
        <v>225</v>
      </c>
      <c r="U2470" s="155" t="s">
        <v>235</v>
      </c>
      <c r="V2470" s="153" t="str">
        <f t="array" ref="V2470">INDEX(xlRTCLNAME,MATCH(1,(xlRTCLENDU=1)*(xlRTCLEQCL=$D2470),0))</f>
        <v>KERO_FA</v>
      </c>
      <c r="W2470" s="153" t="str">
        <f t="array" ref="W2470">INDEX(xlRTCLNAME,MATCH(1,(xlRTCLENDU=2)*(xlRTCLEQCL=$F2470),0))</f>
        <v>CENT_AIR</v>
      </c>
      <c r="X2470" s="153" t="str">
        <f t="array" ref="X2470">INDEX(xlRTTYNAME,MATCH(1,(xlRTTYENDU=1)*(xlRTTYEQCL=$D2470)*(xlRTEQTYPE=$E2470),0))</f>
        <v>KERO_FA4</v>
      </c>
      <c r="Y2470" s="153" t="str">
        <f t="array" ref="Y2470">INDEX(xlRTTYNAME,MATCH(1,(xlRTTYENDU=2)*(xlRTTYEQCL=$F2470)*(xlRTEQTYPE=$G2470),0))</f>
        <v>CENT_AIR4</v>
      </c>
    </row>
    <row r="2471" spans="1:25" s="157" customFormat="1" x14ac:dyDescent="0.2">
      <c r="A2471"/>
      <c r="B2471" s="129">
        <v>7</v>
      </c>
      <c r="C2471" s="129">
        <v>3</v>
      </c>
      <c r="D2471" s="129">
        <v>5</v>
      </c>
      <c r="E2471" s="129">
        <v>17</v>
      </c>
      <c r="F2471" s="129">
        <v>2</v>
      </c>
      <c r="G2471" s="129">
        <v>8</v>
      </c>
      <c r="H2471" s="129">
        <v>2016</v>
      </c>
      <c r="I2471" s="38">
        <v>2022</v>
      </c>
      <c r="J2471" s="130">
        <v>1.0940000000000001</v>
      </c>
      <c r="K2471" s="130">
        <v>1.0512999999999999</v>
      </c>
      <c r="L2471" s="130">
        <v>0.71619999999999995</v>
      </c>
      <c r="M2471" s="130">
        <v>0.97550000000000003</v>
      </c>
      <c r="N2471" s="130">
        <v>0.81289999999999996</v>
      </c>
      <c r="O2471" s="130">
        <v>1.0538000000000001</v>
      </c>
      <c r="P2471" s="129">
        <v>5138</v>
      </c>
      <c r="Q2471" s="128">
        <f t="array" ref="Q2471">SUM(IF(($S2471&gt;=4)*($C2471='TaxCred&amp;Subs'!$D$123:$D$127)*($H2471='TaxCred&amp;Subs'!$C$123:$C$127)*($H2471&lt;='TaxCred&amp;Subs'!$C$129),'TaxCred&amp;Subs'!$E$123:$E$127,0))</f>
        <v>1000</v>
      </c>
      <c r="R2471" s="174">
        <v>0</v>
      </c>
      <c r="S2471" s="129">
        <v>5</v>
      </c>
      <c r="T2471" s="129" t="s">
        <v>225</v>
      </c>
      <c r="U2471" s="155" t="s">
        <v>235</v>
      </c>
      <c r="V2471" s="153" t="str">
        <f t="array" ref="V2471">INDEX(xlRTCLNAME,MATCH(1,(xlRTCLENDU=1)*(xlRTCLEQCL=$D2471),0))</f>
        <v>KERO_FA</v>
      </c>
      <c r="W2471" s="153" t="str">
        <f t="array" ref="W2471">INDEX(xlRTCLNAME,MATCH(1,(xlRTCLENDU=2)*(xlRTCLEQCL=$F2471),0))</f>
        <v>CENT_AIR</v>
      </c>
      <c r="X2471" s="153" t="str">
        <f t="array" ref="X2471">INDEX(xlRTTYNAME,MATCH(1,(xlRTTYENDU=1)*(xlRTTYEQCL=$D2471)*(xlRTEQTYPE=$E2471),0))</f>
        <v>KERO_FA4</v>
      </c>
      <c r="Y2471" s="153" t="str">
        <f t="array" ref="Y2471">INDEX(xlRTTYNAME,MATCH(1,(xlRTTYENDU=2)*(xlRTTYEQCL=$F2471)*(xlRTEQTYPE=$G2471),0))</f>
        <v>CENT_AIR4</v>
      </c>
    </row>
    <row r="2472" spans="1:25" s="157" customFormat="1" x14ac:dyDescent="0.2">
      <c r="A2472"/>
      <c r="B2472" s="131">
        <v>7</v>
      </c>
      <c r="C2472" s="131">
        <v>3</v>
      </c>
      <c r="D2472" s="131">
        <v>5</v>
      </c>
      <c r="E2472" s="131">
        <v>17</v>
      </c>
      <c r="F2472" s="131">
        <v>2</v>
      </c>
      <c r="G2472" s="131">
        <v>8</v>
      </c>
      <c r="H2472" s="131">
        <v>2023</v>
      </c>
      <c r="I2472" s="131">
        <v>2032</v>
      </c>
      <c r="J2472" s="132">
        <v>1.0940000000000001</v>
      </c>
      <c r="K2472" s="132">
        <v>1.0512999999999999</v>
      </c>
      <c r="L2472" s="132">
        <v>0.71619999999999995</v>
      </c>
      <c r="M2472" s="132">
        <v>0.97550000000000003</v>
      </c>
      <c r="N2472" s="132">
        <v>0.81289999999999996</v>
      </c>
      <c r="O2472" s="132">
        <v>1.0538000000000001</v>
      </c>
      <c r="P2472" s="131">
        <v>5138</v>
      </c>
      <c r="Q2472" s="51">
        <f t="array" ref="Q2472">SUM(IF(($S2472&gt;=4)*($C2472='TaxCred&amp;Subs'!$D$123:$D$127)*($H2472='TaxCred&amp;Subs'!$C$123:$C$127)*($H2472&lt;='TaxCred&amp;Subs'!$C$129),'TaxCred&amp;Subs'!$E$123:$E$127,0))</f>
        <v>2500</v>
      </c>
      <c r="R2472" s="171">
        <v>0</v>
      </c>
      <c r="S2472" s="131">
        <v>5</v>
      </c>
      <c r="T2472" s="131" t="s">
        <v>225</v>
      </c>
      <c r="U2472" s="155" t="s">
        <v>235</v>
      </c>
      <c r="V2472" s="153" t="str">
        <f t="array" ref="V2472">INDEX(xlRTCLNAME,MATCH(1,(xlRTCLENDU=1)*(xlRTCLEQCL=$D2472),0))</f>
        <v>KERO_FA</v>
      </c>
      <c r="W2472" s="153" t="str">
        <f t="array" ref="W2472">INDEX(xlRTCLNAME,MATCH(1,(xlRTCLENDU=2)*(xlRTCLEQCL=$F2472),0))</f>
        <v>CENT_AIR</v>
      </c>
      <c r="X2472" s="153" t="str">
        <f t="array" ref="X2472">INDEX(xlRTTYNAME,MATCH(1,(xlRTTYENDU=1)*(xlRTTYEQCL=$D2472)*(xlRTEQTYPE=$E2472),0))</f>
        <v>KERO_FA4</v>
      </c>
      <c r="Y2472" s="153" t="str">
        <f t="array" ref="Y2472">INDEX(xlRTTYNAME,MATCH(1,(xlRTTYENDU=2)*(xlRTTYEQCL=$F2472)*(xlRTEQTYPE=$G2472),0))</f>
        <v>CENT_AIR4</v>
      </c>
    </row>
    <row r="2473" spans="1:25" s="157" customFormat="1" x14ac:dyDescent="0.2">
      <c r="A2473"/>
      <c r="B2473" s="129">
        <v>7</v>
      </c>
      <c r="C2473" s="129">
        <v>3</v>
      </c>
      <c r="D2473" s="129">
        <v>5</v>
      </c>
      <c r="E2473" s="129">
        <v>17</v>
      </c>
      <c r="F2473" s="129">
        <v>2</v>
      </c>
      <c r="G2473" s="129">
        <v>8</v>
      </c>
      <c r="H2473" s="38">
        <v>2033</v>
      </c>
      <c r="I2473" s="129">
        <v>2050</v>
      </c>
      <c r="J2473" s="130">
        <v>1.0940000000000001</v>
      </c>
      <c r="K2473" s="130">
        <v>1.0512999999999999</v>
      </c>
      <c r="L2473" s="130">
        <v>0.71619999999999995</v>
      </c>
      <c r="M2473" s="130">
        <v>0.97550000000000003</v>
      </c>
      <c r="N2473" s="130">
        <v>0.81289999999999996</v>
      </c>
      <c r="O2473" s="130">
        <v>1.0538000000000001</v>
      </c>
      <c r="P2473" s="129">
        <v>5138</v>
      </c>
      <c r="Q2473" s="128">
        <f t="array" ref="Q2473">SUM(IF(($S2473&gt;=4)*($C2473='TaxCred&amp;Subs'!$D$123:$D$127)*($H2473='TaxCred&amp;Subs'!$C$123:$C$127)*($H2473&lt;='TaxCred&amp;Subs'!$C$129),'TaxCred&amp;Subs'!$E$123:$E$127,0))</f>
        <v>0</v>
      </c>
      <c r="R2473" s="174">
        <v>0</v>
      </c>
      <c r="S2473" s="129">
        <v>5</v>
      </c>
      <c r="T2473" s="129" t="s">
        <v>225</v>
      </c>
      <c r="U2473" s="155" t="s">
        <v>235</v>
      </c>
      <c r="V2473" s="153" t="str">
        <f t="array" ref="V2473">INDEX(xlRTCLNAME,MATCH(1,(xlRTCLENDU=1)*(xlRTCLEQCL=$D2473),0))</f>
        <v>KERO_FA</v>
      </c>
      <c r="W2473" s="153" t="str">
        <f t="array" ref="W2473">INDEX(xlRTCLNAME,MATCH(1,(xlRTCLENDU=2)*(xlRTCLEQCL=$F2473),0))</f>
        <v>CENT_AIR</v>
      </c>
      <c r="X2473" s="153" t="str">
        <f t="array" ref="X2473">INDEX(xlRTTYNAME,MATCH(1,(xlRTTYENDU=1)*(xlRTTYEQCL=$D2473)*(xlRTEQTYPE=$E2473),0))</f>
        <v>KERO_FA4</v>
      </c>
      <c r="Y2473" s="153" t="str">
        <f t="array" ref="Y2473">INDEX(xlRTTYNAME,MATCH(1,(xlRTTYENDU=2)*(xlRTTYEQCL=$F2473)*(xlRTEQTYPE=$G2473),0))</f>
        <v>CENT_AIR4</v>
      </c>
    </row>
    <row r="2474" spans="1:25" s="157" customFormat="1" x14ac:dyDescent="0.2">
      <c r="A2474"/>
      <c r="B2474" s="129">
        <v>9</v>
      </c>
      <c r="C2474" s="129">
        <v>3</v>
      </c>
      <c r="D2474" s="129">
        <v>5</v>
      </c>
      <c r="E2474" s="129">
        <v>17</v>
      </c>
      <c r="F2474" s="129">
        <v>2</v>
      </c>
      <c r="G2474" s="129">
        <v>8</v>
      </c>
      <c r="H2474" s="129">
        <v>2016</v>
      </c>
      <c r="I2474" s="38">
        <v>2022</v>
      </c>
      <c r="J2474" s="130">
        <v>1.0743</v>
      </c>
      <c r="K2474" s="130">
        <v>1.0519000000000001</v>
      </c>
      <c r="L2474" s="130">
        <v>0.77200000000000002</v>
      </c>
      <c r="M2474" s="130">
        <v>1.0674999999999999</v>
      </c>
      <c r="N2474" s="130">
        <v>0.84240000000000004</v>
      </c>
      <c r="O2474" s="130">
        <v>1.0538000000000001</v>
      </c>
      <c r="P2474" s="129">
        <v>7270</v>
      </c>
      <c r="Q2474" s="128">
        <f t="array" ref="Q2474">SUM(IF(($S2474&gt;=4)*($C2474='TaxCred&amp;Subs'!$D$123:$D$127)*($H2474='TaxCred&amp;Subs'!$C$123:$C$127)*($H2474&lt;='TaxCred&amp;Subs'!$C$129),'TaxCred&amp;Subs'!$E$123:$E$127,0))</f>
        <v>1000</v>
      </c>
      <c r="R2474" s="174">
        <v>0</v>
      </c>
      <c r="S2474" s="129">
        <v>5</v>
      </c>
      <c r="T2474" s="129" t="s">
        <v>225</v>
      </c>
      <c r="U2474" s="155" t="s">
        <v>235</v>
      </c>
      <c r="V2474" s="153" t="str">
        <f t="array" ref="V2474">INDEX(xlRTCLNAME,MATCH(1,(xlRTCLENDU=1)*(xlRTCLEQCL=$D2474),0))</f>
        <v>KERO_FA</v>
      </c>
      <c r="W2474" s="153" t="str">
        <f t="array" ref="W2474">INDEX(xlRTCLNAME,MATCH(1,(xlRTCLENDU=2)*(xlRTCLEQCL=$F2474),0))</f>
        <v>CENT_AIR</v>
      </c>
      <c r="X2474" s="153" t="str">
        <f t="array" ref="X2474">INDEX(xlRTTYNAME,MATCH(1,(xlRTTYENDU=1)*(xlRTTYEQCL=$D2474)*(xlRTEQTYPE=$E2474),0))</f>
        <v>KERO_FA4</v>
      </c>
      <c r="Y2474" s="153" t="str">
        <f t="array" ref="Y2474">INDEX(xlRTTYNAME,MATCH(1,(xlRTTYENDU=2)*(xlRTTYEQCL=$F2474)*(xlRTEQTYPE=$G2474),0))</f>
        <v>CENT_AIR4</v>
      </c>
    </row>
    <row r="2475" spans="1:25" s="157" customFormat="1" x14ac:dyDescent="0.2">
      <c r="A2475"/>
      <c r="B2475" s="131">
        <v>9</v>
      </c>
      <c r="C2475" s="131">
        <v>3</v>
      </c>
      <c r="D2475" s="131">
        <v>5</v>
      </c>
      <c r="E2475" s="131">
        <v>17</v>
      </c>
      <c r="F2475" s="131">
        <v>2</v>
      </c>
      <c r="G2475" s="131">
        <v>8</v>
      </c>
      <c r="H2475" s="131">
        <v>2023</v>
      </c>
      <c r="I2475" s="131">
        <v>2032</v>
      </c>
      <c r="J2475" s="132">
        <v>1.0743</v>
      </c>
      <c r="K2475" s="132">
        <v>1.0519000000000001</v>
      </c>
      <c r="L2475" s="132">
        <v>0.77200000000000002</v>
      </c>
      <c r="M2475" s="132">
        <v>1.0674999999999999</v>
      </c>
      <c r="N2475" s="132">
        <v>0.84240000000000004</v>
      </c>
      <c r="O2475" s="132">
        <v>1.0538000000000001</v>
      </c>
      <c r="P2475" s="131">
        <v>7270</v>
      </c>
      <c r="Q2475" s="51">
        <f t="array" ref="Q2475">SUM(IF(($S2475&gt;=4)*($C2475='TaxCred&amp;Subs'!$D$123:$D$127)*($H2475='TaxCred&amp;Subs'!$C$123:$C$127)*($H2475&lt;='TaxCred&amp;Subs'!$C$129),'TaxCred&amp;Subs'!$E$123:$E$127,0))</f>
        <v>2500</v>
      </c>
      <c r="R2475" s="171">
        <v>0</v>
      </c>
      <c r="S2475" s="131">
        <v>5</v>
      </c>
      <c r="T2475" s="131" t="s">
        <v>225</v>
      </c>
      <c r="U2475" s="155" t="s">
        <v>235</v>
      </c>
      <c r="V2475" s="153" t="str">
        <f t="array" ref="V2475">INDEX(xlRTCLNAME,MATCH(1,(xlRTCLENDU=1)*(xlRTCLEQCL=$D2475),0))</f>
        <v>KERO_FA</v>
      </c>
      <c r="W2475" s="153" t="str">
        <f t="array" ref="W2475">INDEX(xlRTCLNAME,MATCH(1,(xlRTCLENDU=2)*(xlRTCLEQCL=$F2475),0))</f>
        <v>CENT_AIR</v>
      </c>
      <c r="X2475" s="153" t="str">
        <f t="array" ref="X2475">INDEX(xlRTTYNAME,MATCH(1,(xlRTTYENDU=1)*(xlRTTYEQCL=$D2475)*(xlRTEQTYPE=$E2475),0))</f>
        <v>KERO_FA4</v>
      </c>
      <c r="Y2475" s="153" t="str">
        <f t="array" ref="Y2475">INDEX(xlRTTYNAME,MATCH(1,(xlRTTYENDU=2)*(xlRTTYEQCL=$F2475)*(xlRTEQTYPE=$G2475),0))</f>
        <v>CENT_AIR4</v>
      </c>
    </row>
    <row r="2476" spans="1:25" s="157" customFormat="1" x14ac:dyDescent="0.2">
      <c r="A2476"/>
      <c r="B2476" s="129">
        <v>9</v>
      </c>
      <c r="C2476" s="129">
        <v>3</v>
      </c>
      <c r="D2476" s="129">
        <v>5</v>
      </c>
      <c r="E2476" s="129">
        <v>17</v>
      </c>
      <c r="F2476" s="129">
        <v>2</v>
      </c>
      <c r="G2476" s="129">
        <v>8</v>
      </c>
      <c r="H2476" s="38">
        <v>2033</v>
      </c>
      <c r="I2476" s="129">
        <v>2050</v>
      </c>
      <c r="J2476" s="130">
        <v>1.0743</v>
      </c>
      <c r="K2476" s="130">
        <v>1.0519000000000001</v>
      </c>
      <c r="L2476" s="130">
        <v>0.77200000000000002</v>
      </c>
      <c r="M2476" s="130">
        <v>1.0674999999999999</v>
      </c>
      <c r="N2476" s="130">
        <v>0.84240000000000004</v>
      </c>
      <c r="O2476" s="130">
        <v>1.0538000000000001</v>
      </c>
      <c r="P2476" s="129">
        <v>7270</v>
      </c>
      <c r="Q2476" s="128">
        <f t="array" ref="Q2476">SUM(IF(($S2476&gt;=4)*($C2476='TaxCred&amp;Subs'!$D$123:$D$127)*($H2476='TaxCred&amp;Subs'!$C$123:$C$127)*($H2476&lt;='TaxCred&amp;Subs'!$C$129),'TaxCred&amp;Subs'!$E$123:$E$127,0))</f>
        <v>0</v>
      </c>
      <c r="R2476" s="174">
        <v>0</v>
      </c>
      <c r="S2476" s="129">
        <v>5</v>
      </c>
      <c r="T2476" s="129" t="s">
        <v>225</v>
      </c>
      <c r="U2476" s="155" t="s">
        <v>235</v>
      </c>
      <c r="V2476" s="153" t="str">
        <f t="array" ref="V2476">INDEX(xlRTCLNAME,MATCH(1,(xlRTCLENDU=1)*(xlRTCLEQCL=$D2476),0))</f>
        <v>KERO_FA</v>
      </c>
      <c r="W2476" s="153" t="str">
        <f t="array" ref="W2476">INDEX(xlRTCLNAME,MATCH(1,(xlRTCLENDU=2)*(xlRTCLEQCL=$F2476),0))</f>
        <v>CENT_AIR</v>
      </c>
      <c r="X2476" s="153" t="str">
        <f t="array" ref="X2476">INDEX(xlRTTYNAME,MATCH(1,(xlRTTYENDU=1)*(xlRTTYEQCL=$D2476)*(xlRTEQTYPE=$E2476),0))</f>
        <v>KERO_FA4</v>
      </c>
      <c r="Y2476" s="153" t="str">
        <f t="array" ref="Y2476">INDEX(xlRTTYNAME,MATCH(1,(xlRTTYENDU=2)*(xlRTTYEQCL=$F2476)*(xlRTEQTYPE=$G2476),0))</f>
        <v>CENT_AIR4</v>
      </c>
    </row>
    <row r="2477" spans="1:25" s="157" customFormat="1" x14ac:dyDescent="0.2">
      <c r="A2477"/>
      <c r="B2477" s="126">
        <v>5</v>
      </c>
      <c r="C2477" s="126">
        <v>3</v>
      </c>
      <c r="D2477" s="126">
        <v>6</v>
      </c>
      <c r="E2477" s="126">
        <v>21</v>
      </c>
      <c r="F2477" s="126">
        <v>2</v>
      </c>
      <c r="G2477" s="126">
        <v>8</v>
      </c>
      <c r="H2477" s="148">
        <v>2016</v>
      </c>
      <c r="I2477" s="143">
        <v>2022</v>
      </c>
      <c r="J2477" s="127">
        <v>1.0559000000000001</v>
      </c>
      <c r="K2477" s="127">
        <v>1.0444</v>
      </c>
      <c r="L2477" s="127">
        <v>0.73609999999999998</v>
      </c>
      <c r="M2477" s="127">
        <v>0.97389999999999999</v>
      </c>
      <c r="N2477" s="127">
        <v>0.83460000000000001</v>
      </c>
      <c r="O2477" s="127">
        <v>1.0538000000000001</v>
      </c>
      <c r="P2477" s="126">
        <v>5495</v>
      </c>
      <c r="Q2477" s="128">
        <f t="array" ref="Q2477">SUM(IF(($S2477&gt;=4)*($C2477='TaxCred&amp;Subs'!$D$123:$D$127)*($H2477='TaxCred&amp;Subs'!$C$123:$C$127)*($H2477&lt;='TaxCred&amp;Subs'!$C$129),'TaxCred&amp;Subs'!$E$123:$E$127,0))</f>
        <v>1000</v>
      </c>
      <c r="R2477" s="174">
        <v>0</v>
      </c>
      <c r="S2477" s="126">
        <v>5</v>
      </c>
      <c r="T2477" s="126" t="s">
        <v>225</v>
      </c>
      <c r="U2477"/>
      <c r="V2477" s="153" t="str">
        <f t="array" ref="V2477">INDEX(xlRTCLNAME,MATCH(1,(xlRTCLENDU=1)*(xlRTCLEQCL=$D2477),0))</f>
        <v>LPG_FA</v>
      </c>
      <c r="W2477" s="153" t="str">
        <f t="array" ref="W2477">INDEX(xlRTCLNAME,MATCH(1,(xlRTCLENDU=2)*(xlRTCLEQCL=$F2477),0))</f>
        <v>CENT_AIR</v>
      </c>
      <c r="X2477" s="153" t="str">
        <f t="array" ref="X2477">INDEX(xlRTTYNAME,MATCH(1,(xlRTTYENDU=1)*(xlRTTYEQCL=$D2477)*(xlRTEQTYPE=$E2477),0))</f>
        <v>LPG_FA4</v>
      </c>
      <c r="Y2477" s="153" t="str">
        <f t="array" ref="Y2477">INDEX(xlRTTYNAME,MATCH(1,(xlRTTYENDU=2)*(xlRTTYEQCL=$F2477)*(xlRTEQTYPE=$G2477),0))</f>
        <v>CENT_AIR4</v>
      </c>
    </row>
    <row r="2478" spans="1:25" s="157" customFormat="1" x14ac:dyDescent="0.2">
      <c r="A2478"/>
      <c r="B2478" s="49">
        <v>5</v>
      </c>
      <c r="C2478" s="49">
        <v>3</v>
      </c>
      <c r="D2478" s="49">
        <v>6</v>
      </c>
      <c r="E2478" s="49">
        <v>21</v>
      </c>
      <c r="F2478" s="49">
        <v>2</v>
      </c>
      <c r="G2478" s="49">
        <v>8</v>
      </c>
      <c r="H2478" s="166">
        <v>2023</v>
      </c>
      <c r="I2478" s="166">
        <v>2032</v>
      </c>
      <c r="J2478" s="50">
        <v>1.0559000000000001</v>
      </c>
      <c r="K2478" s="50">
        <v>1.0444</v>
      </c>
      <c r="L2478" s="50">
        <v>0.73609999999999998</v>
      </c>
      <c r="M2478" s="50">
        <v>0.97389999999999999</v>
      </c>
      <c r="N2478" s="50">
        <v>0.83460000000000001</v>
      </c>
      <c r="O2478" s="50">
        <v>1.0538000000000001</v>
      </c>
      <c r="P2478" s="49">
        <v>5495</v>
      </c>
      <c r="Q2478" s="51">
        <f t="array" ref="Q2478">SUM(IF(($S2478&gt;=4)*($C2478='TaxCred&amp;Subs'!$D$123:$D$127)*($H2478='TaxCred&amp;Subs'!$C$123:$C$127)*($H2478&lt;='TaxCred&amp;Subs'!$C$129),'TaxCred&amp;Subs'!$E$123:$E$127,0))</f>
        <v>2500</v>
      </c>
      <c r="R2478" s="171">
        <v>0</v>
      </c>
      <c r="S2478" s="49">
        <v>5</v>
      </c>
      <c r="T2478" s="49" t="s">
        <v>225</v>
      </c>
      <c r="U2478"/>
      <c r="V2478" s="153" t="str">
        <f t="array" ref="V2478">INDEX(xlRTCLNAME,MATCH(1,(xlRTCLENDU=1)*(xlRTCLEQCL=$D2478),0))</f>
        <v>LPG_FA</v>
      </c>
      <c r="W2478" s="153" t="str">
        <f t="array" ref="W2478">INDEX(xlRTCLNAME,MATCH(1,(xlRTCLENDU=2)*(xlRTCLEQCL=$F2478),0))</f>
        <v>CENT_AIR</v>
      </c>
      <c r="X2478" s="153" t="str">
        <f t="array" ref="X2478">INDEX(xlRTTYNAME,MATCH(1,(xlRTTYENDU=1)*(xlRTTYEQCL=$D2478)*(xlRTEQTYPE=$E2478),0))</f>
        <v>LPG_FA4</v>
      </c>
      <c r="Y2478" s="153" t="str">
        <f t="array" ref="Y2478">INDEX(xlRTTYNAME,MATCH(1,(xlRTTYENDU=2)*(xlRTTYEQCL=$F2478)*(xlRTEQTYPE=$G2478),0))</f>
        <v>CENT_AIR4</v>
      </c>
    </row>
    <row r="2479" spans="1:25" s="157" customFormat="1" x14ac:dyDescent="0.2">
      <c r="A2479"/>
      <c r="B2479" s="126">
        <v>5</v>
      </c>
      <c r="C2479" s="126">
        <v>3</v>
      </c>
      <c r="D2479" s="126">
        <v>6</v>
      </c>
      <c r="E2479" s="126">
        <v>21</v>
      </c>
      <c r="F2479" s="126">
        <v>2</v>
      </c>
      <c r="G2479" s="126">
        <v>8</v>
      </c>
      <c r="H2479" s="143">
        <v>2033</v>
      </c>
      <c r="I2479" s="148">
        <v>2050</v>
      </c>
      <c r="J2479" s="127">
        <v>1.0559000000000001</v>
      </c>
      <c r="K2479" s="127">
        <v>1.0444</v>
      </c>
      <c r="L2479" s="127">
        <v>0.73609999999999998</v>
      </c>
      <c r="M2479" s="127">
        <v>0.97389999999999999</v>
      </c>
      <c r="N2479" s="127">
        <v>0.83460000000000001</v>
      </c>
      <c r="O2479" s="127">
        <v>1.0538000000000001</v>
      </c>
      <c r="P2479" s="126">
        <v>5495</v>
      </c>
      <c r="Q2479" s="128">
        <f t="array" ref="Q2479">SUM(IF(($S2479&gt;=4)*($C2479='TaxCred&amp;Subs'!$D$123:$D$127)*($H2479='TaxCred&amp;Subs'!$C$123:$C$127)*($H2479&lt;='TaxCred&amp;Subs'!$C$129),'TaxCred&amp;Subs'!$E$123:$E$127,0))</f>
        <v>0</v>
      </c>
      <c r="R2479" s="174">
        <v>0</v>
      </c>
      <c r="S2479" s="126">
        <v>5</v>
      </c>
      <c r="T2479" s="126" t="s">
        <v>225</v>
      </c>
      <c r="U2479"/>
      <c r="V2479" s="153" t="str">
        <f t="array" ref="V2479">INDEX(xlRTCLNAME,MATCH(1,(xlRTCLENDU=1)*(xlRTCLEQCL=$D2479),0))</f>
        <v>LPG_FA</v>
      </c>
      <c r="W2479" s="153" t="str">
        <f t="array" ref="W2479">INDEX(xlRTCLNAME,MATCH(1,(xlRTCLENDU=2)*(xlRTCLEQCL=$F2479),0))</f>
        <v>CENT_AIR</v>
      </c>
      <c r="X2479" s="153" t="str">
        <f t="array" ref="X2479">INDEX(xlRTTYNAME,MATCH(1,(xlRTTYENDU=1)*(xlRTTYEQCL=$D2479)*(xlRTEQTYPE=$E2479),0))</f>
        <v>LPG_FA4</v>
      </c>
      <c r="Y2479" s="153" t="str">
        <f t="array" ref="Y2479">INDEX(xlRTTYNAME,MATCH(1,(xlRTTYENDU=2)*(xlRTTYEQCL=$F2479)*(xlRTEQTYPE=$G2479),0))</f>
        <v>CENT_AIR4</v>
      </c>
    </row>
    <row r="2480" spans="1:25" s="157" customFormat="1" x14ac:dyDescent="0.2">
      <c r="A2480"/>
      <c r="B2480" s="126">
        <v>6</v>
      </c>
      <c r="C2480" s="126">
        <v>3</v>
      </c>
      <c r="D2480" s="126">
        <v>6</v>
      </c>
      <c r="E2480" s="126">
        <v>21</v>
      </c>
      <c r="F2480" s="126">
        <v>2</v>
      </c>
      <c r="G2480" s="126">
        <v>8</v>
      </c>
      <c r="H2480" s="148">
        <v>2016</v>
      </c>
      <c r="I2480" s="143">
        <v>2022</v>
      </c>
      <c r="J2480" s="127">
        <v>1.0872999999999999</v>
      </c>
      <c r="K2480" s="127">
        <v>1.0581</v>
      </c>
      <c r="L2480" s="127">
        <v>0.71930000000000005</v>
      </c>
      <c r="M2480" s="127">
        <v>0.97489999999999999</v>
      </c>
      <c r="N2480" s="127">
        <v>0.8044</v>
      </c>
      <c r="O2480" s="127">
        <v>1.0538000000000001</v>
      </c>
      <c r="P2480" s="126">
        <v>5435</v>
      </c>
      <c r="Q2480" s="128">
        <f t="array" ref="Q2480">SUM(IF(($S2480&gt;=4)*($C2480='TaxCred&amp;Subs'!$D$123:$D$127)*($H2480='TaxCred&amp;Subs'!$C$123:$C$127)*($H2480&lt;='TaxCred&amp;Subs'!$C$129),'TaxCred&amp;Subs'!$E$123:$E$127,0))</f>
        <v>1000</v>
      </c>
      <c r="R2480" s="174">
        <v>0</v>
      </c>
      <c r="S2480" s="126">
        <v>5</v>
      </c>
      <c r="T2480" s="126" t="s">
        <v>225</v>
      </c>
      <c r="U2480"/>
      <c r="V2480" s="153" t="str">
        <f t="array" ref="V2480">INDEX(xlRTCLNAME,MATCH(1,(xlRTCLENDU=1)*(xlRTCLEQCL=$D2480),0))</f>
        <v>LPG_FA</v>
      </c>
      <c r="W2480" s="153" t="str">
        <f t="array" ref="W2480">INDEX(xlRTCLNAME,MATCH(1,(xlRTCLENDU=2)*(xlRTCLEQCL=$F2480),0))</f>
        <v>CENT_AIR</v>
      </c>
      <c r="X2480" s="153" t="str">
        <f t="array" ref="X2480">INDEX(xlRTTYNAME,MATCH(1,(xlRTTYENDU=1)*(xlRTTYEQCL=$D2480)*(xlRTEQTYPE=$E2480),0))</f>
        <v>LPG_FA4</v>
      </c>
      <c r="Y2480" s="153" t="str">
        <f t="array" ref="Y2480">INDEX(xlRTTYNAME,MATCH(1,(xlRTTYENDU=2)*(xlRTTYEQCL=$F2480)*(xlRTEQTYPE=$G2480),0))</f>
        <v>CENT_AIR4</v>
      </c>
    </row>
    <row r="2481" spans="1:25" s="157" customFormat="1" x14ac:dyDescent="0.2">
      <c r="A2481"/>
      <c r="B2481" s="49">
        <v>6</v>
      </c>
      <c r="C2481" s="49">
        <v>3</v>
      </c>
      <c r="D2481" s="49">
        <v>6</v>
      </c>
      <c r="E2481" s="49">
        <v>21</v>
      </c>
      <c r="F2481" s="49">
        <v>2</v>
      </c>
      <c r="G2481" s="49">
        <v>8</v>
      </c>
      <c r="H2481" s="166">
        <v>2023</v>
      </c>
      <c r="I2481" s="166">
        <v>2032</v>
      </c>
      <c r="J2481" s="50">
        <v>1.0872999999999999</v>
      </c>
      <c r="K2481" s="50">
        <v>1.0581</v>
      </c>
      <c r="L2481" s="50">
        <v>0.71930000000000005</v>
      </c>
      <c r="M2481" s="50">
        <v>0.97489999999999999</v>
      </c>
      <c r="N2481" s="50">
        <v>0.8044</v>
      </c>
      <c r="O2481" s="50">
        <v>1.0538000000000001</v>
      </c>
      <c r="P2481" s="49">
        <v>5435</v>
      </c>
      <c r="Q2481" s="51">
        <f t="array" ref="Q2481">SUM(IF(($S2481&gt;=4)*($C2481='TaxCred&amp;Subs'!$D$123:$D$127)*($H2481='TaxCred&amp;Subs'!$C$123:$C$127)*($H2481&lt;='TaxCred&amp;Subs'!$C$129),'TaxCred&amp;Subs'!$E$123:$E$127,0))</f>
        <v>2500</v>
      </c>
      <c r="R2481" s="171">
        <v>0</v>
      </c>
      <c r="S2481" s="49">
        <v>5</v>
      </c>
      <c r="T2481" s="49" t="s">
        <v>225</v>
      </c>
      <c r="U2481"/>
      <c r="V2481" s="153" t="str">
        <f t="array" ref="V2481">INDEX(xlRTCLNAME,MATCH(1,(xlRTCLENDU=1)*(xlRTCLEQCL=$D2481),0))</f>
        <v>LPG_FA</v>
      </c>
      <c r="W2481" s="153" t="str">
        <f t="array" ref="W2481">INDEX(xlRTCLNAME,MATCH(1,(xlRTCLENDU=2)*(xlRTCLEQCL=$F2481),0))</f>
        <v>CENT_AIR</v>
      </c>
      <c r="X2481" s="153" t="str">
        <f t="array" ref="X2481">INDEX(xlRTTYNAME,MATCH(1,(xlRTTYENDU=1)*(xlRTTYEQCL=$D2481)*(xlRTEQTYPE=$E2481),0))</f>
        <v>LPG_FA4</v>
      </c>
      <c r="Y2481" s="153" t="str">
        <f t="array" ref="Y2481">INDEX(xlRTTYNAME,MATCH(1,(xlRTTYENDU=2)*(xlRTTYEQCL=$F2481)*(xlRTEQTYPE=$G2481),0))</f>
        <v>CENT_AIR4</v>
      </c>
    </row>
    <row r="2482" spans="1:25" s="157" customFormat="1" x14ac:dyDescent="0.2">
      <c r="A2482"/>
      <c r="B2482" s="126">
        <v>6</v>
      </c>
      <c r="C2482" s="126">
        <v>3</v>
      </c>
      <c r="D2482" s="126">
        <v>6</v>
      </c>
      <c r="E2482" s="126">
        <v>21</v>
      </c>
      <c r="F2482" s="126">
        <v>2</v>
      </c>
      <c r="G2482" s="126">
        <v>8</v>
      </c>
      <c r="H2482" s="143">
        <v>2033</v>
      </c>
      <c r="I2482" s="148">
        <v>2050</v>
      </c>
      <c r="J2482" s="127">
        <v>1.0872999999999999</v>
      </c>
      <c r="K2482" s="127">
        <v>1.0581</v>
      </c>
      <c r="L2482" s="127">
        <v>0.71930000000000005</v>
      </c>
      <c r="M2482" s="127">
        <v>0.97489999999999999</v>
      </c>
      <c r="N2482" s="127">
        <v>0.8044</v>
      </c>
      <c r="O2482" s="127">
        <v>1.0538000000000001</v>
      </c>
      <c r="P2482" s="126">
        <v>5435</v>
      </c>
      <c r="Q2482" s="128">
        <f t="array" ref="Q2482">SUM(IF(($S2482&gt;=4)*($C2482='TaxCred&amp;Subs'!$D$123:$D$127)*($H2482='TaxCred&amp;Subs'!$C$123:$C$127)*($H2482&lt;='TaxCred&amp;Subs'!$C$129),'TaxCred&amp;Subs'!$E$123:$E$127,0))</f>
        <v>0</v>
      </c>
      <c r="R2482" s="174">
        <v>0</v>
      </c>
      <c r="S2482" s="126">
        <v>5</v>
      </c>
      <c r="T2482" s="126" t="s">
        <v>225</v>
      </c>
      <c r="U2482"/>
      <c r="V2482" s="153" t="str">
        <f t="array" ref="V2482">INDEX(xlRTCLNAME,MATCH(1,(xlRTCLENDU=1)*(xlRTCLEQCL=$D2482),0))</f>
        <v>LPG_FA</v>
      </c>
      <c r="W2482" s="153" t="str">
        <f t="array" ref="W2482">INDEX(xlRTCLNAME,MATCH(1,(xlRTCLENDU=2)*(xlRTCLEQCL=$F2482),0))</f>
        <v>CENT_AIR</v>
      </c>
      <c r="X2482" s="153" t="str">
        <f t="array" ref="X2482">INDEX(xlRTTYNAME,MATCH(1,(xlRTTYENDU=1)*(xlRTTYEQCL=$D2482)*(xlRTEQTYPE=$E2482),0))</f>
        <v>LPG_FA4</v>
      </c>
      <c r="Y2482" s="153" t="str">
        <f t="array" ref="Y2482">INDEX(xlRTTYNAME,MATCH(1,(xlRTTYENDU=2)*(xlRTTYEQCL=$F2482)*(xlRTEQTYPE=$G2482),0))</f>
        <v>CENT_AIR4</v>
      </c>
    </row>
    <row r="2483" spans="1:25" s="157" customFormat="1" x14ac:dyDescent="0.2">
      <c r="A2483"/>
      <c r="B2483" s="126">
        <v>7</v>
      </c>
      <c r="C2483" s="126">
        <v>3</v>
      </c>
      <c r="D2483" s="126">
        <v>6</v>
      </c>
      <c r="E2483" s="126">
        <v>21</v>
      </c>
      <c r="F2483" s="126">
        <v>2</v>
      </c>
      <c r="G2483" s="126">
        <v>8</v>
      </c>
      <c r="H2483" s="148">
        <v>2016</v>
      </c>
      <c r="I2483" s="143">
        <v>2022</v>
      </c>
      <c r="J2483" s="127">
        <v>1.0914999999999999</v>
      </c>
      <c r="K2483" s="127">
        <v>1.0496000000000001</v>
      </c>
      <c r="L2483" s="127">
        <v>0.71430000000000005</v>
      </c>
      <c r="M2483" s="127">
        <v>0.97609999999999997</v>
      </c>
      <c r="N2483" s="127">
        <v>0.81759999999999999</v>
      </c>
      <c r="O2483" s="127">
        <v>1.0538000000000001</v>
      </c>
      <c r="P2483" s="126">
        <v>5138</v>
      </c>
      <c r="Q2483" s="128">
        <f t="array" ref="Q2483">SUM(IF(($S2483&gt;=4)*($C2483='TaxCred&amp;Subs'!$D$123:$D$127)*($H2483='TaxCred&amp;Subs'!$C$123:$C$127)*($H2483&lt;='TaxCred&amp;Subs'!$C$129),'TaxCred&amp;Subs'!$E$123:$E$127,0))</f>
        <v>1000</v>
      </c>
      <c r="R2483" s="174">
        <v>0</v>
      </c>
      <c r="S2483" s="126">
        <v>5</v>
      </c>
      <c r="T2483" s="126" t="s">
        <v>225</v>
      </c>
      <c r="U2483"/>
      <c r="V2483" s="153" t="str">
        <f t="array" ref="V2483">INDEX(xlRTCLNAME,MATCH(1,(xlRTCLENDU=1)*(xlRTCLEQCL=$D2483),0))</f>
        <v>LPG_FA</v>
      </c>
      <c r="W2483" s="153" t="str">
        <f t="array" ref="W2483">INDEX(xlRTCLNAME,MATCH(1,(xlRTCLENDU=2)*(xlRTCLEQCL=$F2483),0))</f>
        <v>CENT_AIR</v>
      </c>
      <c r="X2483" s="153" t="str">
        <f t="array" ref="X2483">INDEX(xlRTTYNAME,MATCH(1,(xlRTTYENDU=1)*(xlRTTYEQCL=$D2483)*(xlRTEQTYPE=$E2483),0))</f>
        <v>LPG_FA4</v>
      </c>
      <c r="Y2483" s="153" t="str">
        <f t="array" ref="Y2483">INDEX(xlRTTYNAME,MATCH(1,(xlRTTYENDU=2)*(xlRTTYEQCL=$F2483)*(xlRTEQTYPE=$G2483),0))</f>
        <v>CENT_AIR4</v>
      </c>
    </row>
    <row r="2484" spans="1:25" s="157" customFormat="1" x14ac:dyDescent="0.2">
      <c r="A2484"/>
      <c r="B2484" s="49">
        <v>7</v>
      </c>
      <c r="C2484" s="49">
        <v>3</v>
      </c>
      <c r="D2484" s="49">
        <v>6</v>
      </c>
      <c r="E2484" s="49">
        <v>21</v>
      </c>
      <c r="F2484" s="49">
        <v>2</v>
      </c>
      <c r="G2484" s="49">
        <v>8</v>
      </c>
      <c r="H2484" s="166">
        <v>2023</v>
      </c>
      <c r="I2484" s="166">
        <v>2032</v>
      </c>
      <c r="J2484" s="50">
        <v>1.0914999999999999</v>
      </c>
      <c r="K2484" s="50">
        <v>1.0496000000000001</v>
      </c>
      <c r="L2484" s="50">
        <v>0.71430000000000005</v>
      </c>
      <c r="M2484" s="50">
        <v>0.97609999999999997</v>
      </c>
      <c r="N2484" s="50">
        <v>0.81759999999999999</v>
      </c>
      <c r="O2484" s="50">
        <v>1.0538000000000001</v>
      </c>
      <c r="P2484" s="49">
        <v>5138</v>
      </c>
      <c r="Q2484" s="51">
        <f t="array" ref="Q2484">SUM(IF(($S2484&gt;=4)*($C2484='TaxCred&amp;Subs'!$D$123:$D$127)*($H2484='TaxCred&amp;Subs'!$C$123:$C$127)*($H2484&lt;='TaxCred&amp;Subs'!$C$129),'TaxCred&amp;Subs'!$E$123:$E$127,0))</f>
        <v>2500</v>
      </c>
      <c r="R2484" s="171">
        <v>0</v>
      </c>
      <c r="S2484" s="49">
        <v>5</v>
      </c>
      <c r="T2484" s="49" t="s">
        <v>225</v>
      </c>
      <c r="U2484"/>
      <c r="V2484" s="153" t="str">
        <f t="array" ref="V2484">INDEX(xlRTCLNAME,MATCH(1,(xlRTCLENDU=1)*(xlRTCLEQCL=$D2484),0))</f>
        <v>LPG_FA</v>
      </c>
      <c r="W2484" s="153" t="str">
        <f t="array" ref="W2484">INDEX(xlRTCLNAME,MATCH(1,(xlRTCLENDU=2)*(xlRTCLEQCL=$F2484),0))</f>
        <v>CENT_AIR</v>
      </c>
      <c r="X2484" s="153" t="str">
        <f t="array" ref="X2484">INDEX(xlRTTYNAME,MATCH(1,(xlRTTYENDU=1)*(xlRTTYEQCL=$D2484)*(xlRTEQTYPE=$E2484),0))</f>
        <v>LPG_FA4</v>
      </c>
      <c r="Y2484" s="153" t="str">
        <f t="array" ref="Y2484">INDEX(xlRTTYNAME,MATCH(1,(xlRTTYENDU=2)*(xlRTTYEQCL=$F2484)*(xlRTEQTYPE=$G2484),0))</f>
        <v>CENT_AIR4</v>
      </c>
    </row>
    <row r="2485" spans="1:25" s="157" customFormat="1" x14ac:dyDescent="0.2">
      <c r="A2485"/>
      <c r="B2485" s="126">
        <v>7</v>
      </c>
      <c r="C2485" s="126">
        <v>3</v>
      </c>
      <c r="D2485" s="126">
        <v>6</v>
      </c>
      <c r="E2485" s="126">
        <v>21</v>
      </c>
      <c r="F2485" s="126">
        <v>2</v>
      </c>
      <c r="G2485" s="126">
        <v>8</v>
      </c>
      <c r="H2485" s="143">
        <v>2033</v>
      </c>
      <c r="I2485" s="148">
        <v>2050</v>
      </c>
      <c r="J2485" s="127">
        <v>1.0914999999999999</v>
      </c>
      <c r="K2485" s="127">
        <v>1.0496000000000001</v>
      </c>
      <c r="L2485" s="127">
        <v>0.71430000000000005</v>
      </c>
      <c r="M2485" s="127">
        <v>0.97609999999999997</v>
      </c>
      <c r="N2485" s="127">
        <v>0.81759999999999999</v>
      </c>
      <c r="O2485" s="127">
        <v>1.0538000000000001</v>
      </c>
      <c r="P2485" s="126">
        <v>5138</v>
      </c>
      <c r="Q2485" s="128">
        <f t="array" ref="Q2485">SUM(IF(($S2485&gt;=4)*($C2485='TaxCred&amp;Subs'!$D$123:$D$127)*($H2485='TaxCred&amp;Subs'!$C$123:$C$127)*($H2485&lt;='TaxCred&amp;Subs'!$C$129),'TaxCred&amp;Subs'!$E$123:$E$127,0))</f>
        <v>0</v>
      </c>
      <c r="R2485" s="174">
        <v>0</v>
      </c>
      <c r="S2485" s="126">
        <v>5</v>
      </c>
      <c r="T2485" s="126" t="s">
        <v>225</v>
      </c>
      <c r="U2485"/>
      <c r="V2485" s="153" t="str">
        <f t="array" ref="V2485">INDEX(xlRTCLNAME,MATCH(1,(xlRTCLENDU=1)*(xlRTCLEQCL=$D2485),0))</f>
        <v>LPG_FA</v>
      </c>
      <c r="W2485" s="153" t="str">
        <f t="array" ref="W2485">INDEX(xlRTCLNAME,MATCH(1,(xlRTCLENDU=2)*(xlRTCLEQCL=$F2485),0))</f>
        <v>CENT_AIR</v>
      </c>
      <c r="X2485" s="153" t="str">
        <f t="array" ref="X2485">INDEX(xlRTTYNAME,MATCH(1,(xlRTTYENDU=1)*(xlRTTYEQCL=$D2485)*(xlRTEQTYPE=$E2485),0))</f>
        <v>LPG_FA4</v>
      </c>
      <c r="Y2485" s="153" t="str">
        <f t="array" ref="Y2485">INDEX(xlRTTYNAME,MATCH(1,(xlRTTYENDU=2)*(xlRTTYEQCL=$F2485)*(xlRTEQTYPE=$G2485),0))</f>
        <v>CENT_AIR4</v>
      </c>
    </row>
    <row r="2486" spans="1:25" s="157" customFormat="1" x14ac:dyDescent="0.2">
      <c r="A2486"/>
      <c r="B2486" s="126">
        <v>9</v>
      </c>
      <c r="C2486" s="126">
        <v>3</v>
      </c>
      <c r="D2486" s="126">
        <v>6</v>
      </c>
      <c r="E2486" s="126">
        <v>21</v>
      </c>
      <c r="F2486" s="126">
        <v>2</v>
      </c>
      <c r="G2486" s="126">
        <v>8</v>
      </c>
      <c r="H2486" s="148">
        <v>2016</v>
      </c>
      <c r="I2486" s="143">
        <v>2022</v>
      </c>
      <c r="J2486" s="127">
        <v>1.0761000000000001</v>
      </c>
      <c r="K2486" s="127">
        <v>1.0506</v>
      </c>
      <c r="L2486" s="127">
        <v>0.77149999999999996</v>
      </c>
      <c r="M2486" s="127">
        <v>1.0670999999999999</v>
      </c>
      <c r="N2486" s="127">
        <v>0.84670000000000001</v>
      </c>
      <c r="O2486" s="127">
        <v>1.0538000000000001</v>
      </c>
      <c r="P2486" s="126">
        <v>7270</v>
      </c>
      <c r="Q2486" s="128">
        <f t="array" ref="Q2486">SUM(IF(($S2486&gt;=4)*($C2486='TaxCred&amp;Subs'!$D$123:$D$127)*($H2486='TaxCred&amp;Subs'!$C$123:$C$127)*($H2486&lt;='TaxCred&amp;Subs'!$C$129),'TaxCred&amp;Subs'!$E$123:$E$127,0))</f>
        <v>1000</v>
      </c>
      <c r="R2486" s="174">
        <v>0</v>
      </c>
      <c r="S2486" s="126">
        <v>5</v>
      </c>
      <c r="T2486" s="126" t="s">
        <v>225</v>
      </c>
      <c r="U2486"/>
      <c r="V2486" s="153" t="str">
        <f t="array" ref="V2486">INDEX(xlRTCLNAME,MATCH(1,(xlRTCLENDU=1)*(xlRTCLEQCL=$D2486),0))</f>
        <v>LPG_FA</v>
      </c>
      <c r="W2486" s="153" t="str">
        <f t="array" ref="W2486">INDEX(xlRTCLNAME,MATCH(1,(xlRTCLENDU=2)*(xlRTCLEQCL=$F2486),0))</f>
        <v>CENT_AIR</v>
      </c>
      <c r="X2486" s="153" t="str">
        <f t="array" ref="X2486">INDEX(xlRTTYNAME,MATCH(1,(xlRTTYENDU=1)*(xlRTTYEQCL=$D2486)*(xlRTEQTYPE=$E2486),0))</f>
        <v>LPG_FA4</v>
      </c>
      <c r="Y2486" s="153" t="str">
        <f t="array" ref="Y2486">INDEX(xlRTTYNAME,MATCH(1,(xlRTTYENDU=2)*(xlRTTYEQCL=$F2486)*(xlRTEQTYPE=$G2486),0))</f>
        <v>CENT_AIR4</v>
      </c>
    </row>
    <row r="2487" spans="1:25" s="157" customFormat="1" x14ac:dyDescent="0.2">
      <c r="A2487"/>
      <c r="B2487" s="49">
        <v>9</v>
      </c>
      <c r="C2487" s="49">
        <v>3</v>
      </c>
      <c r="D2487" s="49">
        <v>6</v>
      </c>
      <c r="E2487" s="49">
        <v>21</v>
      </c>
      <c r="F2487" s="49">
        <v>2</v>
      </c>
      <c r="G2487" s="49">
        <v>8</v>
      </c>
      <c r="H2487" s="166">
        <v>2023</v>
      </c>
      <c r="I2487" s="166">
        <v>2032</v>
      </c>
      <c r="J2487" s="50">
        <v>1.0761000000000001</v>
      </c>
      <c r="K2487" s="50">
        <v>1.0506</v>
      </c>
      <c r="L2487" s="50">
        <v>0.77149999999999996</v>
      </c>
      <c r="M2487" s="50">
        <v>1.0670999999999999</v>
      </c>
      <c r="N2487" s="50">
        <v>0.84670000000000001</v>
      </c>
      <c r="O2487" s="50">
        <v>1.0538000000000001</v>
      </c>
      <c r="P2487" s="49">
        <v>7270</v>
      </c>
      <c r="Q2487" s="51">
        <f t="array" ref="Q2487">SUM(IF(($S2487&gt;=4)*($C2487='TaxCred&amp;Subs'!$D$123:$D$127)*($H2487='TaxCred&amp;Subs'!$C$123:$C$127)*($H2487&lt;='TaxCred&amp;Subs'!$C$129),'TaxCred&amp;Subs'!$E$123:$E$127,0))</f>
        <v>2500</v>
      </c>
      <c r="R2487" s="171">
        <v>0</v>
      </c>
      <c r="S2487" s="49">
        <v>5</v>
      </c>
      <c r="T2487" s="49" t="s">
        <v>225</v>
      </c>
      <c r="U2487"/>
      <c r="V2487" s="153" t="str">
        <f t="array" ref="V2487">INDEX(xlRTCLNAME,MATCH(1,(xlRTCLENDU=1)*(xlRTCLEQCL=$D2487),0))</f>
        <v>LPG_FA</v>
      </c>
      <c r="W2487" s="153" t="str">
        <f t="array" ref="W2487">INDEX(xlRTCLNAME,MATCH(1,(xlRTCLENDU=2)*(xlRTCLEQCL=$F2487),0))</f>
        <v>CENT_AIR</v>
      </c>
      <c r="X2487" s="153" t="str">
        <f t="array" ref="X2487">INDEX(xlRTTYNAME,MATCH(1,(xlRTTYENDU=1)*(xlRTTYEQCL=$D2487)*(xlRTEQTYPE=$E2487),0))</f>
        <v>LPG_FA4</v>
      </c>
      <c r="Y2487" s="153" t="str">
        <f t="array" ref="Y2487">INDEX(xlRTTYNAME,MATCH(1,(xlRTTYENDU=2)*(xlRTTYEQCL=$F2487)*(xlRTEQTYPE=$G2487),0))</f>
        <v>CENT_AIR4</v>
      </c>
    </row>
    <row r="2488" spans="1:25" s="157" customFormat="1" x14ac:dyDescent="0.2">
      <c r="A2488"/>
      <c r="B2488" s="126">
        <v>9</v>
      </c>
      <c r="C2488" s="126">
        <v>3</v>
      </c>
      <c r="D2488" s="126">
        <v>6</v>
      </c>
      <c r="E2488" s="126">
        <v>21</v>
      </c>
      <c r="F2488" s="126">
        <v>2</v>
      </c>
      <c r="G2488" s="126">
        <v>8</v>
      </c>
      <c r="H2488" s="143">
        <v>2033</v>
      </c>
      <c r="I2488" s="148">
        <v>2050</v>
      </c>
      <c r="J2488" s="127">
        <v>1.0761000000000001</v>
      </c>
      <c r="K2488" s="127">
        <v>1.0506</v>
      </c>
      <c r="L2488" s="127">
        <v>0.77149999999999996</v>
      </c>
      <c r="M2488" s="127">
        <v>1.0670999999999999</v>
      </c>
      <c r="N2488" s="127">
        <v>0.84670000000000001</v>
      </c>
      <c r="O2488" s="127">
        <v>1.0538000000000001</v>
      </c>
      <c r="P2488" s="126">
        <v>7270</v>
      </c>
      <c r="Q2488" s="128">
        <f t="array" ref="Q2488">SUM(IF(($S2488&gt;=4)*($C2488='TaxCred&amp;Subs'!$D$123:$D$127)*($H2488='TaxCred&amp;Subs'!$C$123:$C$127)*($H2488&lt;='TaxCred&amp;Subs'!$C$129),'TaxCred&amp;Subs'!$E$123:$E$127,0))</f>
        <v>0</v>
      </c>
      <c r="R2488" s="174">
        <v>0</v>
      </c>
      <c r="S2488" s="126">
        <v>5</v>
      </c>
      <c r="T2488" s="126" t="s">
        <v>225</v>
      </c>
      <c r="U2488"/>
      <c r="V2488" s="153" t="str">
        <f t="array" ref="V2488">INDEX(xlRTCLNAME,MATCH(1,(xlRTCLENDU=1)*(xlRTCLEQCL=$D2488),0))</f>
        <v>LPG_FA</v>
      </c>
      <c r="W2488" s="153" t="str">
        <f t="array" ref="W2488">INDEX(xlRTCLNAME,MATCH(1,(xlRTCLENDU=2)*(xlRTCLEQCL=$F2488),0))</f>
        <v>CENT_AIR</v>
      </c>
      <c r="X2488" s="153" t="str">
        <f t="array" ref="X2488">INDEX(xlRTTYNAME,MATCH(1,(xlRTTYENDU=1)*(xlRTTYEQCL=$D2488)*(xlRTEQTYPE=$E2488),0))</f>
        <v>LPG_FA4</v>
      </c>
      <c r="Y2488" s="153" t="str">
        <f t="array" ref="Y2488">INDEX(xlRTTYNAME,MATCH(1,(xlRTTYENDU=2)*(xlRTTYEQCL=$F2488)*(xlRTEQTYPE=$G2488),0))</f>
        <v>CENT_AIR4</v>
      </c>
    </row>
    <row r="2489" spans="1:25" s="157" customFormat="1" x14ac:dyDescent="0.2">
      <c r="A2489"/>
      <c r="B2489" s="126">
        <v>5</v>
      </c>
      <c r="C2489" s="126">
        <v>3</v>
      </c>
      <c r="D2489" s="126">
        <v>7</v>
      </c>
      <c r="E2489" s="126">
        <v>25</v>
      </c>
      <c r="F2489" s="126">
        <v>2</v>
      </c>
      <c r="G2489" s="126">
        <v>8</v>
      </c>
      <c r="H2489" s="148">
        <v>2016</v>
      </c>
      <c r="I2489" s="143">
        <v>2022</v>
      </c>
      <c r="J2489" s="127">
        <v>1.0667</v>
      </c>
      <c r="K2489" s="127">
        <v>1.0568</v>
      </c>
      <c r="L2489" s="127">
        <v>0.67749999999999999</v>
      </c>
      <c r="M2489" s="127">
        <v>0.97309999999999997</v>
      </c>
      <c r="N2489" s="127">
        <v>0.83260000000000001</v>
      </c>
      <c r="O2489" s="127">
        <v>1.0538000000000001</v>
      </c>
      <c r="P2489" s="126">
        <v>5495</v>
      </c>
      <c r="Q2489" s="128">
        <f t="array" ref="Q2489">SUM(IF(($S2489&gt;=4)*($C2489='TaxCred&amp;Subs'!$D$123:$D$127)*($H2489='TaxCred&amp;Subs'!$C$123:$C$127)*($H2489&lt;='TaxCred&amp;Subs'!$C$129),'TaxCred&amp;Subs'!$E$123:$E$127,0))</f>
        <v>1000</v>
      </c>
      <c r="R2489" s="174">
        <v>0</v>
      </c>
      <c r="S2489" s="126">
        <v>5</v>
      </c>
      <c r="T2489" s="126" t="s">
        <v>225</v>
      </c>
      <c r="U2489"/>
      <c r="V2489" s="153" t="str">
        <f t="array" ref="V2489">INDEX(xlRTCLNAME,MATCH(1,(xlRTCLENDU=1)*(xlRTCLEQCL=$D2489),0))</f>
        <v>DIST_FA</v>
      </c>
      <c r="W2489" s="153" t="str">
        <f t="array" ref="W2489">INDEX(xlRTCLNAME,MATCH(1,(xlRTCLENDU=2)*(xlRTCLEQCL=$F2489),0))</f>
        <v>CENT_AIR</v>
      </c>
      <c r="X2489" s="153" t="str">
        <f t="array" ref="X2489">INDEX(xlRTTYNAME,MATCH(1,(xlRTTYENDU=1)*(xlRTTYEQCL=$D2489)*(xlRTEQTYPE=$E2489),0))</f>
        <v>DIST_FA4</v>
      </c>
      <c r="Y2489" s="153" t="str">
        <f t="array" ref="Y2489">INDEX(xlRTTYNAME,MATCH(1,(xlRTTYENDU=2)*(xlRTTYEQCL=$F2489)*(xlRTEQTYPE=$G2489),0))</f>
        <v>CENT_AIR4</v>
      </c>
    </row>
    <row r="2490" spans="1:25" s="158" customFormat="1" x14ac:dyDescent="0.2">
      <c r="A2490"/>
      <c r="B2490" s="49">
        <v>5</v>
      </c>
      <c r="C2490" s="49">
        <v>3</v>
      </c>
      <c r="D2490" s="49">
        <v>7</v>
      </c>
      <c r="E2490" s="49">
        <v>25</v>
      </c>
      <c r="F2490" s="49">
        <v>2</v>
      </c>
      <c r="G2490" s="49">
        <v>8</v>
      </c>
      <c r="H2490" s="166">
        <v>2023</v>
      </c>
      <c r="I2490" s="166">
        <v>2032</v>
      </c>
      <c r="J2490" s="50">
        <v>1.0667</v>
      </c>
      <c r="K2490" s="50">
        <v>1.0568</v>
      </c>
      <c r="L2490" s="50">
        <v>0.67749999999999999</v>
      </c>
      <c r="M2490" s="50">
        <v>0.97309999999999997</v>
      </c>
      <c r="N2490" s="50">
        <v>0.83260000000000001</v>
      </c>
      <c r="O2490" s="50">
        <v>1.0538000000000001</v>
      </c>
      <c r="P2490" s="49">
        <v>5495</v>
      </c>
      <c r="Q2490" s="51">
        <f t="array" ref="Q2490">SUM(IF(($S2490&gt;=4)*($C2490='TaxCred&amp;Subs'!$D$123:$D$127)*($H2490='TaxCred&amp;Subs'!$C$123:$C$127)*($H2490&lt;='TaxCred&amp;Subs'!$C$129),'TaxCred&amp;Subs'!$E$123:$E$127,0))</f>
        <v>2500</v>
      </c>
      <c r="R2490" s="171">
        <v>0</v>
      </c>
      <c r="S2490" s="49">
        <v>5</v>
      </c>
      <c r="T2490" s="49" t="s">
        <v>225</v>
      </c>
      <c r="U2490"/>
      <c r="V2490" s="153" t="str">
        <f t="array" ref="V2490">INDEX(xlRTCLNAME,MATCH(1,(xlRTCLENDU=1)*(xlRTCLEQCL=$D2490),0))</f>
        <v>DIST_FA</v>
      </c>
      <c r="W2490" s="153" t="str">
        <f t="array" ref="W2490">INDEX(xlRTCLNAME,MATCH(1,(xlRTCLENDU=2)*(xlRTCLEQCL=$F2490),0))</f>
        <v>CENT_AIR</v>
      </c>
      <c r="X2490" s="153" t="str">
        <f t="array" ref="X2490">INDEX(xlRTTYNAME,MATCH(1,(xlRTTYENDU=1)*(xlRTTYEQCL=$D2490)*(xlRTEQTYPE=$E2490),0))</f>
        <v>DIST_FA4</v>
      </c>
      <c r="Y2490" s="153" t="str">
        <f t="array" ref="Y2490">INDEX(xlRTTYNAME,MATCH(1,(xlRTTYENDU=2)*(xlRTTYEQCL=$F2490)*(xlRTEQTYPE=$G2490),0))</f>
        <v>CENT_AIR4</v>
      </c>
    </row>
    <row r="2491" spans="1:25" s="157" customFormat="1" x14ac:dyDescent="0.2">
      <c r="A2491"/>
      <c r="B2491" s="126">
        <v>5</v>
      </c>
      <c r="C2491" s="126">
        <v>3</v>
      </c>
      <c r="D2491" s="126">
        <v>7</v>
      </c>
      <c r="E2491" s="126">
        <v>25</v>
      </c>
      <c r="F2491" s="126">
        <v>2</v>
      </c>
      <c r="G2491" s="126">
        <v>8</v>
      </c>
      <c r="H2491" s="143">
        <v>2033</v>
      </c>
      <c r="I2491" s="148">
        <v>2050</v>
      </c>
      <c r="J2491" s="127">
        <v>1.0667</v>
      </c>
      <c r="K2491" s="127">
        <v>1.0568</v>
      </c>
      <c r="L2491" s="127">
        <v>0.67749999999999999</v>
      </c>
      <c r="M2491" s="127">
        <v>0.97309999999999997</v>
      </c>
      <c r="N2491" s="127">
        <v>0.83260000000000001</v>
      </c>
      <c r="O2491" s="127">
        <v>1.0538000000000001</v>
      </c>
      <c r="P2491" s="126">
        <v>5495</v>
      </c>
      <c r="Q2491" s="128">
        <f t="array" ref="Q2491">SUM(IF(($S2491&gt;=4)*($C2491='TaxCred&amp;Subs'!$D$123:$D$127)*($H2491='TaxCred&amp;Subs'!$C$123:$C$127)*($H2491&lt;='TaxCred&amp;Subs'!$C$129),'TaxCred&amp;Subs'!$E$123:$E$127,0))</f>
        <v>0</v>
      </c>
      <c r="R2491" s="174">
        <v>0</v>
      </c>
      <c r="S2491" s="126">
        <v>5</v>
      </c>
      <c r="T2491" s="126" t="s">
        <v>225</v>
      </c>
      <c r="U2491"/>
      <c r="V2491" s="153" t="str">
        <f t="array" ref="V2491">INDEX(xlRTCLNAME,MATCH(1,(xlRTCLENDU=1)*(xlRTCLEQCL=$D2491),0))</f>
        <v>DIST_FA</v>
      </c>
      <c r="W2491" s="153" t="str">
        <f t="array" ref="W2491">INDEX(xlRTCLNAME,MATCH(1,(xlRTCLENDU=2)*(xlRTCLEQCL=$F2491),0))</f>
        <v>CENT_AIR</v>
      </c>
      <c r="X2491" s="153" t="str">
        <f t="array" ref="X2491">INDEX(xlRTTYNAME,MATCH(1,(xlRTTYENDU=1)*(xlRTTYEQCL=$D2491)*(xlRTEQTYPE=$E2491),0))</f>
        <v>DIST_FA4</v>
      </c>
      <c r="Y2491" s="153" t="str">
        <f t="array" ref="Y2491">INDEX(xlRTTYNAME,MATCH(1,(xlRTTYENDU=2)*(xlRTTYEQCL=$F2491)*(xlRTEQTYPE=$G2491),0))</f>
        <v>CENT_AIR4</v>
      </c>
    </row>
    <row r="2492" spans="1:25" s="157" customFormat="1" x14ac:dyDescent="0.2">
      <c r="A2492"/>
      <c r="B2492" s="126">
        <v>6</v>
      </c>
      <c r="C2492" s="126">
        <v>3</v>
      </c>
      <c r="D2492" s="126">
        <v>7</v>
      </c>
      <c r="E2492" s="126">
        <v>25</v>
      </c>
      <c r="F2492" s="126">
        <v>2</v>
      </c>
      <c r="G2492" s="126">
        <v>8</v>
      </c>
      <c r="H2492" s="148">
        <v>2016</v>
      </c>
      <c r="I2492" s="143">
        <v>2022</v>
      </c>
      <c r="J2492" s="127">
        <v>1.0896999999999999</v>
      </c>
      <c r="K2492" s="127">
        <v>1.0723</v>
      </c>
      <c r="L2492" s="127">
        <v>0.71960000000000002</v>
      </c>
      <c r="M2492" s="127">
        <v>0.98040000000000005</v>
      </c>
      <c r="N2492" s="127">
        <v>0.80269999999999997</v>
      </c>
      <c r="O2492" s="127">
        <v>1.0538000000000001</v>
      </c>
      <c r="P2492" s="126">
        <v>5435</v>
      </c>
      <c r="Q2492" s="128">
        <f t="array" ref="Q2492">SUM(IF(($S2492&gt;=4)*($C2492='TaxCred&amp;Subs'!$D$123:$D$127)*($H2492='TaxCred&amp;Subs'!$C$123:$C$127)*($H2492&lt;='TaxCred&amp;Subs'!$C$129),'TaxCred&amp;Subs'!$E$123:$E$127,0))</f>
        <v>1000</v>
      </c>
      <c r="R2492" s="174">
        <v>0</v>
      </c>
      <c r="S2492" s="126">
        <v>5</v>
      </c>
      <c r="T2492" s="126" t="s">
        <v>225</v>
      </c>
      <c r="U2492"/>
      <c r="V2492" s="153" t="str">
        <f t="array" ref="V2492">INDEX(xlRTCLNAME,MATCH(1,(xlRTCLENDU=1)*(xlRTCLEQCL=$D2492),0))</f>
        <v>DIST_FA</v>
      </c>
      <c r="W2492" s="153" t="str">
        <f t="array" ref="W2492">INDEX(xlRTCLNAME,MATCH(1,(xlRTCLENDU=2)*(xlRTCLEQCL=$F2492),0))</f>
        <v>CENT_AIR</v>
      </c>
      <c r="X2492" s="153" t="str">
        <f t="array" ref="X2492">INDEX(xlRTTYNAME,MATCH(1,(xlRTTYENDU=1)*(xlRTTYEQCL=$D2492)*(xlRTEQTYPE=$E2492),0))</f>
        <v>DIST_FA4</v>
      </c>
      <c r="Y2492" s="153" t="str">
        <f t="array" ref="Y2492">INDEX(xlRTTYNAME,MATCH(1,(xlRTTYENDU=2)*(xlRTTYEQCL=$F2492)*(xlRTEQTYPE=$G2492),0))</f>
        <v>CENT_AIR4</v>
      </c>
    </row>
    <row r="2493" spans="1:25" s="157" customFormat="1" x14ac:dyDescent="0.2">
      <c r="A2493"/>
      <c r="B2493" s="49">
        <v>6</v>
      </c>
      <c r="C2493" s="49">
        <v>3</v>
      </c>
      <c r="D2493" s="49">
        <v>7</v>
      </c>
      <c r="E2493" s="49">
        <v>25</v>
      </c>
      <c r="F2493" s="49">
        <v>2</v>
      </c>
      <c r="G2493" s="49">
        <v>8</v>
      </c>
      <c r="H2493" s="166">
        <v>2023</v>
      </c>
      <c r="I2493" s="166">
        <v>2032</v>
      </c>
      <c r="J2493" s="50">
        <v>1.0896999999999999</v>
      </c>
      <c r="K2493" s="50">
        <v>1.0723</v>
      </c>
      <c r="L2493" s="50">
        <v>0.71960000000000002</v>
      </c>
      <c r="M2493" s="50">
        <v>0.98040000000000005</v>
      </c>
      <c r="N2493" s="50">
        <v>0.80269999999999997</v>
      </c>
      <c r="O2493" s="50">
        <v>1.0538000000000001</v>
      </c>
      <c r="P2493" s="49">
        <v>5435</v>
      </c>
      <c r="Q2493" s="51">
        <f t="array" ref="Q2493">SUM(IF(($S2493&gt;=4)*($C2493='TaxCred&amp;Subs'!$D$123:$D$127)*($H2493='TaxCred&amp;Subs'!$C$123:$C$127)*($H2493&lt;='TaxCred&amp;Subs'!$C$129),'TaxCred&amp;Subs'!$E$123:$E$127,0))</f>
        <v>2500</v>
      </c>
      <c r="R2493" s="171">
        <v>0</v>
      </c>
      <c r="S2493" s="49">
        <v>5</v>
      </c>
      <c r="T2493" s="49" t="s">
        <v>225</v>
      </c>
      <c r="U2493"/>
      <c r="V2493" s="153" t="str">
        <f t="array" ref="V2493">INDEX(xlRTCLNAME,MATCH(1,(xlRTCLENDU=1)*(xlRTCLEQCL=$D2493),0))</f>
        <v>DIST_FA</v>
      </c>
      <c r="W2493" s="153" t="str">
        <f t="array" ref="W2493">INDEX(xlRTCLNAME,MATCH(1,(xlRTCLENDU=2)*(xlRTCLEQCL=$F2493),0))</f>
        <v>CENT_AIR</v>
      </c>
      <c r="X2493" s="153" t="str">
        <f t="array" ref="X2493">INDEX(xlRTTYNAME,MATCH(1,(xlRTTYENDU=1)*(xlRTTYEQCL=$D2493)*(xlRTEQTYPE=$E2493),0))</f>
        <v>DIST_FA4</v>
      </c>
      <c r="Y2493" s="153" t="str">
        <f t="array" ref="Y2493">INDEX(xlRTTYNAME,MATCH(1,(xlRTTYENDU=2)*(xlRTTYEQCL=$F2493)*(xlRTEQTYPE=$G2493),0))</f>
        <v>CENT_AIR4</v>
      </c>
    </row>
    <row r="2494" spans="1:25" s="157" customFormat="1" x14ac:dyDescent="0.2">
      <c r="A2494"/>
      <c r="B2494" s="126">
        <v>6</v>
      </c>
      <c r="C2494" s="126">
        <v>3</v>
      </c>
      <c r="D2494" s="126">
        <v>7</v>
      </c>
      <c r="E2494" s="126">
        <v>25</v>
      </c>
      <c r="F2494" s="126">
        <v>2</v>
      </c>
      <c r="G2494" s="126">
        <v>8</v>
      </c>
      <c r="H2494" s="143">
        <v>2033</v>
      </c>
      <c r="I2494" s="148">
        <v>2050</v>
      </c>
      <c r="J2494" s="127">
        <v>1.0896999999999999</v>
      </c>
      <c r="K2494" s="127">
        <v>1.0723</v>
      </c>
      <c r="L2494" s="127">
        <v>0.71960000000000002</v>
      </c>
      <c r="M2494" s="127">
        <v>0.98040000000000005</v>
      </c>
      <c r="N2494" s="127">
        <v>0.80269999999999997</v>
      </c>
      <c r="O2494" s="127">
        <v>1.0538000000000001</v>
      </c>
      <c r="P2494" s="126">
        <v>5435</v>
      </c>
      <c r="Q2494" s="128">
        <f t="array" ref="Q2494">SUM(IF(($S2494&gt;=4)*($C2494='TaxCred&amp;Subs'!$D$123:$D$127)*($H2494='TaxCred&amp;Subs'!$C$123:$C$127)*($H2494&lt;='TaxCred&amp;Subs'!$C$129),'TaxCred&amp;Subs'!$E$123:$E$127,0))</f>
        <v>0</v>
      </c>
      <c r="R2494" s="174">
        <v>0</v>
      </c>
      <c r="S2494" s="126">
        <v>5</v>
      </c>
      <c r="T2494" s="126" t="s">
        <v>225</v>
      </c>
      <c r="U2494"/>
      <c r="V2494" s="153" t="str">
        <f t="array" ref="V2494">INDEX(xlRTCLNAME,MATCH(1,(xlRTCLENDU=1)*(xlRTCLEQCL=$D2494),0))</f>
        <v>DIST_FA</v>
      </c>
      <c r="W2494" s="153" t="str">
        <f t="array" ref="W2494">INDEX(xlRTCLNAME,MATCH(1,(xlRTCLENDU=2)*(xlRTCLEQCL=$F2494),0))</f>
        <v>CENT_AIR</v>
      </c>
      <c r="X2494" s="153" t="str">
        <f t="array" ref="X2494">INDEX(xlRTTYNAME,MATCH(1,(xlRTTYENDU=1)*(xlRTTYEQCL=$D2494)*(xlRTEQTYPE=$E2494),0))</f>
        <v>DIST_FA4</v>
      </c>
      <c r="Y2494" s="153" t="str">
        <f t="array" ref="Y2494">INDEX(xlRTTYNAME,MATCH(1,(xlRTTYENDU=2)*(xlRTTYEQCL=$F2494)*(xlRTEQTYPE=$G2494),0))</f>
        <v>CENT_AIR4</v>
      </c>
    </row>
    <row r="2495" spans="1:25" s="157" customFormat="1" x14ac:dyDescent="0.2">
      <c r="A2495"/>
      <c r="B2495" s="126">
        <v>7</v>
      </c>
      <c r="C2495" s="126">
        <v>3</v>
      </c>
      <c r="D2495" s="126">
        <v>7</v>
      </c>
      <c r="E2495" s="126">
        <v>25</v>
      </c>
      <c r="F2495" s="126">
        <v>2</v>
      </c>
      <c r="G2495" s="126">
        <v>8</v>
      </c>
      <c r="H2495" s="148">
        <v>2016</v>
      </c>
      <c r="I2495" s="143">
        <v>2022</v>
      </c>
      <c r="J2495" s="127">
        <v>1.0940000000000001</v>
      </c>
      <c r="K2495" s="127">
        <v>1.0512999999999999</v>
      </c>
      <c r="L2495" s="127">
        <v>0.71619999999999995</v>
      </c>
      <c r="M2495" s="127">
        <v>0.97550000000000003</v>
      </c>
      <c r="N2495" s="127">
        <v>0.81289999999999996</v>
      </c>
      <c r="O2495" s="127">
        <v>1.0538000000000001</v>
      </c>
      <c r="P2495" s="126">
        <v>5138</v>
      </c>
      <c r="Q2495" s="128">
        <f t="array" ref="Q2495">SUM(IF(($S2495&gt;=4)*($C2495='TaxCred&amp;Subs'!$D$123:$D$127)*($H2495='TaxCred&amp;Subs'!$C$123:$C$127)*($H2495&lt;='TaxCred&amp;Subs'!$C$129),'TaxCred&amp;Subs'!$E$123:$E$127,0))</f>
        <v>1000</v>
      </c>
      <c r="R2495" s="174">
        <v>0</v>
      </c>
      <c r="S2495" s="126">
        <v>5</v>
      </c>
      <c r="T2495" s="126" t="s">
        <v>225</v>
      </c>
      <c r="U2495"/>
      <c r="V2495" s="153" t="str">
        <f t="array" ref="V2495">INDEX(xlRTCLNAME,MATCH(1,(xlRTCLENDU=1)*(xlRTCLEQCL=$D2495),0))</f>
        <v>DIST_FA</v>
      </c>
      <c r="W2495" s="153" t="str">
        <f t="array" ref="W2495">INDEX(xlRTCLNAME,MATCH(1,(xlRTCLENDU=2)*(xlRTCLEQCL=$F2495),0))</f>
        <v>CENT_AIR</v>
      </c>
      <c r="X2495" s="153" t="str">
        <f t="array" ref="X2495">INDEX(xlRTTYNAME,MATCH(1,(xlRTTYENDU=1)*(xlRTTYEQCL=$D2495)*(xlRTEQTYPE=$E2495),0))</f>
        <v>DIST_FA4</v>
      </c>
      <c r="Y2495" s="153" t="str">
        <f t="array" ref="Y2495">INDEX(xlRTTYNAME,MATCH(1,(xlRTTYENDU=2)*(xlRTTYEQCL=$F2495)*(xlRTEQTYPE=$G2495),0))</f>
        <v>CENT_AIR4</v>
      </c>
    </row>
    <row r="2496" spans="1:25" s="157" customFormat="1" x14ac:dyDescent="0.2">
      <c r="A2496"/>
      <c r="B2496" s="49">
        <v>7</v>
      </c>
      <c r="C2496" s="49">
        <v>3</v>
      </c>
      <c r="D2496" s="49">
        <v>7</v>
      </c>
      <c r="E2496" s="49">
        <v>25</v>
      </c>
      <c r="F2496" s="49">
        <v>2</v>
      </c>
      <c r="G2496" s="49">
        <v>8</v>
      </c>
      <c r="H2496" s="166">
        <v>2023</v>
      </c>
      <c r="I2496" s="166">
        <v>2032</v>
      </c>
      <c r="J2496" s="50">
        <v>1.0940000000000001</v>
      </c>
      <c r="K2496" s="50">
        <v>1.0512999999999999</v>
      </c>
      <c r="L2496" s="50">
        <v>0.71619999999999995</v>
      </c>
      <c r="M2496" s="50">
        <v>0.97550000000000003</v>
      </c>
      <c r="N2496" s="50">
        <v>0.81289999999999996</v>
      </c>
      <c r="O2496" s="50">
        <v>1.0538000000000001</v>
      </c>
      <c r="P2496" s="49">
        <v>5138</v>
      </c>
      <c r="Q2496" s="51">
        <f t="array" ref="Q2496">SUM(IF(($S2496&gt;=4)*($C2496='TaxCred&amp;Subs'!$D$123:$D$127)*($H2496='TaxCred&amp;Subs'!$C$123:$C$127)*($H2496&lt;='TaxCred&amp;Subs'!$C$129),'TaxCred&amp;Subs'!$E$123:$E$127,0))</f>
        <v>2500</v>
      </c>
      <c r="R2496" s="171">
        <v>0</v>
      </c>
      <c r="S2496" s="49">
        <v>5</v>
      </c>
      <c r="T2496" s="49" t="s">
        <v>225</v>
      </c>
      <c r="U2496"/>
      <c r="V2496" s="153" t="str">
        <f t="array" ref="V2496">INDEX(xlRTCLNAME,MATCH(1,(xlRTCLENDU=1)*(xlRTCLEQCL=$D2496),0))</f>
        <v>DIST_FA</v>
      </c>
      <c r="W2496" s="153" t="str">
        <f t="array" ref="W2496">INDEX(xlRTCLNAME,MATCH(1,(xlRTCLENDU=2)*(xlRTCLEQCL=$F2496),0))</f>
        <v>CENT_AIR</v>
      </c>
      <c r="X2496" s="153" t="str">
        <f t="array" ref="X2496">INDEX(xlRTTYNAME,MATCH(1,(xlRTTYENDU=1)*(xlRTTYEQCL=$D2496)*(xlRTEQTYPE=$E2496),0))</f>
        <v>DIST_FA4</v>
      </c>
      <c r="Y2496" s="153" t="str">
        <f t="array" ref="Y2496">INDEX(xlRTTYNAME,MATCH(1,(xlRTTYENDU=2)*(xlRTTYEQCL=$F2496)*(xlRTEQTYPE=$G2496),0))</f>
        <v>CENT_AIR4</v>
      </c>
    </row>
    <row r="2497" spans="1:25" s="157" customFormat="1" x14ac:dyDescent="0.2">
      <c r="A2497"/>
      <c r="B2497" s="126">
        <v>7</v>
      </c>
      <c r="C2497" s="126">
        <v>3</v>
      </c>
      <c r="D2497" s="126">
        <v>7</v>
      </c>
      <c r="E2497" s="126">
        <v>25</v>
      </c>
      <c r="F2497" s="126">
        <v>2</v>
      </c>
      <c r="G2497" s="126">
        <v>8</v>
      </c>
      <c r="H2497" s="143">
        <v>2033</v>
      </c>
      <c r="I2497" s="148">
        <v>2050</v>
      </c>
      <c r="J2497" s="127">
        <v>1.0940000000000001</v>
      </c>
      <c r="K2497" s="127">
        <v>1.0512999999999999</v>
      </c>
      <c r="L2497" s="127">
        <v>0.71619999999999995</v>
      </c>
      <c r="M2497" s="127">
        <v>0.97550000000000003</v>
      </c>
      <c r="N2497" s="127">
        <v>0.81289999999999996</v>
      </c>
      <c r="O2497" s="127">
        <v>1.0538000000000001</v>
      </c>
      <c r="P2497" s="126">
        <v>5138</v>
      </c>
      <c r="Q2497" s="128">
        <f t="array" ref="Q2497">SUM(IF(($S2497&gt;=4)*($C2497='TaxCred&amp;Subs'!$D$123:$D$127)*($H2497='TaxCred&amp;Subs'!$C$123:$C$127)*($H2497&lt;='TaxCred&amp;Subs'!$C$129),'TaxCred&amp;Subs'!$E$123:$E$127,0))</f>
        <v>0</v>
      </c>
      <c r="R2497" s="174">
        <v>0</v>
      </c>
      <c r="S2497" s="126">
        <v>5</v>
      </c>
      <c r="T2497" s="126" t="s">
        <v>225</v>
      </c>
      <c r="U2497"/>
      <c r="V2497" s="153" t="str">
        <f t="array" ref="V2497">INDEX(xlRTCLNAME,MATCH(1,(xlRTCLENDU=1)*(xlRTCLEQCL=$D2497),0))</f>
        <v>DIST_FA</v>
      </c>
      <c r="W2497" s="153" t="str">
        <f t="array" ref="W2497">INDEX(xlRTCLNAME,MATCH(1,(xlRTCLENDU=2)*(xlRTCLEQCL=$F2497),0))</f>
        <v>CENT_AIR</v>
      </c>
      <c r="X2497" s="153" t="str">
        <f t="array" ref="X2497">INDEX(xlRTTYNAME,MATCH(1,(xlRTTYENDU=1)*(xlRTTYEQCL=$D2497)*(xlRTEQTYPE=$E2497),0))</f>
        <v>DIST_FA4</v>
      </c>
      <c r="Y2497" s="153" t="str">
        <f t="array" ref="Y2497">INDEX(xlRTTYNAME,MATCH(1,(xlRTTYENDU=2)*(xlRTTYEQCL=$F2497)*(xlRTEQTYPE=$G2497),0))</f>
        <v>CENT_AIR4</v>
      </c>
    </row>
    <row r="2498" spans="1:25" s="157" customFormat="1" x14ac:dyDescent="0.2">
      <c r="A2498"/>
      <c r="B2498" s="126">
        <v>9</v>
      </c>
      <c r="C2498" s="126">
        <v>3</v>
      </c>
      <c r="D2498" s="126">
        <v>7</v>
      </c>
      <c r="E2498" s="126">
        <v>25</v>
      </c>
      <c r="F2498" s="126">
        <v>2</v>
      </c>
      <c r="G2498" s="126">
        <v>8</v>
      </c>
      <c r="H2498" s="148">
        <v>2016</v>
      </c>
      <c r="I2498" s="143">
        <v>2022</v>
      </c>
      <c r="J2498" s="127">
        <v>1.0743</v>
      </c>
      <c r="K2498" s="127">
        <v>1.0519000000000001</v>
      </c>
      <c r="L2498" s="127">
        <v>0.77200000000000002</v>
      </c>
      <c r="M2498" s="127">
        <v>1.0674999999999999</v>
      </c>
      <c r="N2498" s="127">
        <v>0.84240000000000004</v>
      </c>
      <c r="O2498" s="127">
        <v>1.0538000000000001</v>
      </c>
      <c r="P2498" s="126">
        <v>7270</v>
      </c>
      <c r="Q2498" s="128">
        <f t="array" ref="Q2498">SUM(IF(($S2498&gt;=4)*($C2498='TaxCred&amp;Subs'!$D$123:$D$127)*($H2498='TaxCred&amp;Subs'!$C$123:$C$127)*($H2498&lt;='TaxCred&amp;Subs'!$C$129),'TaxCred&amp;Subs'!$E$123:$E$127,0))</f>
        <v>1000</v>
      </c>
      <c r="R2498" s="174">
        <v>0</v>
      </c>
      <c r="S2498" s="126">
        <v>5</v>
      </c>
      <c r="T2498" s="126" t="s">
        <v>225</v>
      </c>
      <c r="U2498"/>
      <c r="V2498" s="153" t="str">
        <f t="array" ref="V2498">INDEX(xlRTCLNAME,MATCH(1,(xlRTCLENDU=1)*(xlRTCLEQCL=$D2498),0))</f>
        <v>DIST_FA</v>
      </c>
      <c r="W2498" s="153" t="str">
        <f t="array" ref="W2498">INDEX(xlRTCLNAME,MATCH(1,(xlRTCLENDU=2)*(xlRTCLEQCL=$F2498),0))</f>
        <v>CENT_AIR</v>
      </c>
      <c r="X2498" s="153" t="str">
        <f t="array" ref="X2498">INDEX(xlRTTYNAME,MATCH(1,(xlRTTYENDU=1)*(xlRTTYEQCL=$D2498)*(xlRTEQTYPE=$E2498),0))</f>
        <v>DIST_FA4</v>
      </c>
      <c r="Y2498" s="153" t="str">
        <f t="array" ref="Y2498">INDEX(xlRTTYNAME,MATCH(1,(xlRTTYENDU=2)*(xlRTTYEQCL=$F2498)*(xlRTEQTYPE=$G2498),0))</f>
        <v>CENT_AIR4</v>
      </c>
    </row>
    <row r="2499" spans="1:25" s="157" customFormat="1" x14ac:dyDescent="0.2">
      <c r="A2499"/>
      <c r="B2499" s="49">
        <v>9</v>
      </c>
      <c r="C2499" s="49">
        <v>3</v>
      </c>
      <c r="D2499" s="49">
        <v>7</v>
      </c>
      <c r="E2499" s="49">
        <v>25</v>
      </c>
      <c r="F2499" s="49">
        <v>2</v>
      </c>
      <c r="G2499" s="49">
        <v>8</v>
      </c>
      <c r="H2499" s="166">
        <v>2023</v>
      </c>
      <c r="I2499" s="166">
        <v>2032</v>
      </c>
      <c r="J2499" s="50">
        <v>1.0743</v>
      </c>
      <c r="K2499" s="50">
        <v>1.0519000000000001</v>
      </c>
      <c r="L2499" s="50">
        <v>0.77200000000000002</v>
      </c>
      <c r="M2499" s="50">
        <v>1.0674999999999999</v>
      </c>
      <c r="N2499" s="50">
        <v>0.84240000000000004</v>
      </c>
      <c r="O2499" s="50">
        <v>1.0538000000000001</v>
      </c>
      <c r="P2499" s="49">
        <v>7270</v>
      </c>
      <c r="Q2499" s="51">
        <f t="array" ref="Q2499">SUM(IF(($S2499&gt;=4)*($C2499='TaxCred&amp;Subs'!$D$123:$D$127)*($H2499='TaxCred&amp;Subs'!$C$123:$C$127)*($H2499&lt;='TaxCred&amp;Subs'!$C$129),'TaxCred&amp;Subs'!$E$123:$E$127,0))</f>
        <v>2500</v>
      </c>
      <c r="R2499" s="171">
        <v>0</v>
      </c>
      <c r="S2499" s="49">
        <v>5</v>
      </c>
      <c r="T2499" s="49" t="s">
        <v>225</v>
      </c>
      <c r="U2499"/>
      <c r="V2499" s="153" t="str">
        <f t="array" ref="V2499">INDEX(xlRTCLNAME,MATCH(1,(xlRTCLENDU=1)*(xlRTCLEQCL=$D2499),0))</f>
        <v>DIST_FA</v>
      </c>
      <c r="W2499" s="153" t="str">
        <f t="array" ref="W2499">INDEX(xlRTCLNAME,MATCH(1,(xlRTCLENDU=2)*(xlRTCLEQCL=$F2499),0))</f>
        <v>CENT_AIR</v>
      </c>
      <c r="X2499" s="153" t="str">
        <f t="array" ref="X2499">INDEX(xlRTTYNAME,MATCH(1,(xlRTTYENDU=1)*(xlRTTYEQCL=$D2499)*(xlRTEQTYPE=$E2499),0))</f>
        <v>DIST_FA4</v>
      </c>
      <c r="Y2499" s="153" t="str">
        <f t="array" ref="Y2499">INDEX(xlRTTYNAME,MATCH(1,(xlRTTYENDU=2)*(xlRTTYEQCL=$F2499)*(xlRTEQTYPE=$G2499),0))</f>
        <v>CENT_AIR4</v>
      </c>
    </row>
    <row r="2500" spans="1:25" s="157" customFormat="1" x14ac:dyDescent="0.2">
      <c r="A2500"/>
      <c r="B2500" s="126">
        <v>9</v>
      </c>
      <c r="C2500" s="126">
        <v>3</v>
      </c>
      <c r="D2500" s="126">
        <v>7</v>
      </c>
      <c r="E2500" s="126">
        <v>25</v>
      </c>
      <c r="F2500" s="126">
        <v>2</v>
      </c>
      <c r="G2500" s="126">
        <v>8</v>
      </c>
      <c r="H2500" s="143">
        <v>2033</v>
      </c>
      <c r="I2500" s="148">
        <v>2050</v>
      </c>
      <c r="J2500" s="127">
        <v>1.0743</v>
      </c>
      <c r="K2500" s="127">
        <v>1.0519000000000001</v>
      </c>
      <c r="L2500" s="127">
        <v>0.77200000000000002</v>
      </c>
      <c r="M2500" s="127">
        <v>1.0674999999999999</v>
      </c>
      <c r="N2500" s="127">
        <v>0.84240000000000004</v>
      </c>
      <c r="O2500" s="127">
        <v>1.0538000000000001</v>
      </c>
      <c r="P2500" s="126">
        <v>7270</v>
      </c>
      <c r="Q2500" s="128">
        <f t="array" ref="Q2500">SUM(IF(($S2500&gt;=4)*($C2500='TaxCred&amp;Subs'!$D$123:$D$127)*($H2500='TaxCred&amp;Subs'!$C$123:$C$127)*($H2500&lt;='TaxCred&amp;Subs'!$C$129),'TaxCred&amp;Subs'!$E$123:$E$127,0))</f>
        <v>0</v>
      </c>
      <c r="R2500" s="174">
        <v>0</v>
      </c>
      <c r="S2500" s="126">
        <v>5</v>
      </c>
      <c r="T2500" s="126" t="s">
        <v>225</v>
      </c>
      <c r="U2500"/>
      <c r="V2500" s="153" t="str">
        <f t="array" ref="V2500">INDEX(xlRTCLNAME,MATCH(1,(xlRTCLENDU=1)*(xlRTCLEQCL=$D2500),0))</f>
        <v>DIST_FA</v>
      </c>
      <c r="W2500" s="153" t="str">
        <f t="array" ref="W2500">INDEX(xlRTCLNAME,MATCH(1,(xlRTCLENDU=2)*(xlRTCLEQCL=$F2500),0))</f>
        <v>CENT_AIR</v>
      </c>
      <c r="X2500" s="153" t="str">
        <f t="array" ref="X2500">INDEX(xlRTTYNAME,MATCH(1,(xlRTTYENDU=1)*(xlRTTYEQCL=$D2500)*(xlRTEQTYPE=$E2500),0))</f>
        <v>DIST_FA4</v>
      </c>
      <c r="Y2500" s="153" t="str">
        <f t="array" ref="Y2500">INDEX(xlRTTYNAME,MATCH(1,(xlRTTYENDU=2)*(xlRTTYEQCL=$F2500)*(xlRTEQTYPE=$G2500),0))</f>
        <v>CENT_AIR4</v>
      </c>
    </row>
    <row r="2501" spans="1:25" s="157" customFormat="1" x14ac:dyDescent="0.2">
      <c r="A2501"/>
      <c r="B2501" s="126">
        <v>5</v>
      </c>
      <c r="C2501" s="126">
        <v>3</v>
      </c>
      <c r="D2501" s="126">
        <v>8</v>
      </c>
      <c r="E2501" s="126">
        <v>29</v>
      </c>
      <c r="F2501" s="126">
        <v>2</v>
      </c>
      <c r="G2501" s="126">
        <v>8</v>
      </c>
      <c r="H2501" s="148">
        <v>2016</v>
      </c>
      <c r="I2501" s="143">
        <v>2022</v>
      </c>
      <c r="J2501" s="127">
        <v>1.0940000000000001</v>
      </c>
      <c r="K2501" s="127">
        <v>1.0575000000000001</v>
      </c>
      <c r="L2501" s="127">
        <v>0.74939999999999996</v>
      </c>
      <c r="M2501" s="127">
        <v>0.97389999999999999</v>
      </c>
      <c r="N2501" s="127">
        <v>0.83130000000000004</v>
      </c>
      <c r="O2501" s="127">
        <v>1.0538000000000001</v>
      </c>
      <c r="P2501" s="126">
        <v>5495</v>
      </c>
      <c r="Q2501" s="128">
        <f t="array" ref="Q2501">SUM(IF(($S2501&gt;=4)*($C2501='TaxCred&amp;Subs'!$D$123:$D$127)*($H2501='TaxCred&amp;Subs'!$C$123:$C$127)*($H2501&lt;='TaxCred&amp;Subs'!$C$129),'TaxCred&amp;Subs'!$E$123:$E$127,0))</f>
        <v>1000</v>
      </c>
      <c r="R2501" s="174">
        <v>0</v>
      </c>
      <c r="S2501" s="126">
        <v>5</v>
      </c>
      <c r="T2501" s="126" t="s">
        <v>225</v>
      </c>
      <c r="U2501"/>
      <c r="V2501" s="153" t="str">
        <f t="array" ref="V2501">INDEX(xlRTCLNAME,MATCH(1,(xlRTCLENDU=1)*(xlRTCLEQCL=$D2501),0))</f>
        <v>DIST_RAD</v>
      </c>
      <c r="W2501" s="153" t="str">
        <f t="array" ref="W2501">INDEX(xlRTCLNAME,MATCH(1,(xlRTCLENDU=2)*(xlRTCLEQCL=$F2501),0))</f>
        <v>CENT_AIR</v>
      </c>
      <c r="X2501" s="153" t="str">
        <f t="array" ref="X2501">INDEX(xlRTTYNAME,MATCH(1,(xlRTTYENDU=1)*(xlRTTYEQCL=$D2501)*(xlRTEQTYPE=$E2501),0))</f>
        <v>DIST_RAD4</v>
      </c>
      <c r="Y2501" s="153" t="str">
        <f t="array" ref="Y2501">INDEX(xlRTTYNAME,MATCH(1,(xlRTTYENDU=2)*(xlRTTYEQCL=$F2501)*(xlRTEQTYPE=$G2501),0))</f>
        <v>CENT_AIR4</v>
      </c>
    </row>
    <row r="2502" spans="1:25" s="157" customFormat="1" x14ac:dyDescent="0.2">
      <c r="A2502"/>
      <c r="B2502" s="49">
        <v>5</v>
      </c>
      <c r="C2502" s="49">
        <v>3</v>
      </c>
      <c r="D2502" s="49">
        <v>8</v>
      </c>
      <c r="E2502" s="49">
        <v>29</v>
      </c>
      <c r="F2502" s="49">
        <v>2</v>
      </c>
      <c r="G2502" s="49">
        <v>8</v>
      </c>
      <c r="H2502" s="166">
        <v>2023</v>
      </c>
      <c r="I2502" s="166">
        <v>2032</v>
      </c>
      <c r="J2502" s="50">
        <v>1.0940000000000001</v>
      </c>
      <c r="K2502" s="50">
        <v>1.0575000000000001</v>
      </c>
      <c r="L2502" s="50">
        <v>0.74939999999999996</v>
      </c>
      <c r="M2502" s="50">
        <v>0.97389999999999999</v>
      </c>
      <c r="N2502" s="50">
        <v>0.83130000000000004</v>
      </c>
      <c r="O2502" s="50">
        <v>1.0538000000000001</v>
      </c>
      <c r="P2502" s="49">
        <v>5495</v>
      </c>
      <c r="Q2502" s="51">
        <f t="array" ref="Q2502">SUM(IF(($S2502&gt;=4)*($C2502='TaxCred&amp;Subs'!$D$123:$D$127)*($H2502='TaxCred&amp;Subs'!$C$123:$C$127)*($H2502&lt;='TaxCred&amp;Subs'!$C$129),'TaxCred&amp;Subs'!$E$123:$E$127,0))</f>
        <v>2500</v>
      </c>
      <c r="R2502" s="171">
        <v>0</v>
      </c>
      <c r="S2502" s="49">
        <v>5</v>
      </c>
      <c r="T2502" s="49" t="s">
        <v>225</v>
      </c>
      <c r="U2502"/>
      <c r="V2502" s="153" t="str">
        <f t="array" ref="V2502">INDEX(xlRTCLNAME,MATCH(1,(xlRTCLENDU=1)*(xlRTCLEQCL=$D2502),0))</f>
        <v>DIST_RAD</v>
      </c>
      <c r="W2502" s="153" t="str">
        <f t="array" ref="W2502">INDEX(xlRTCLNAME,MATCH(1,(xlRTCLENDU=2)*(xlRTCLEQCL=$F2502),0))</f>
        <v>CENT_AIR</v>
      </c>
      <c r="X2502" s="153" t="str">
        <f t="array" ref="X2502">INDEX(xlRTTYNAME,MATCH(1,(xlRTTYENDU=1)*(xlRTTYEQCL=$D2502)*(xlRTEQTYPE=$E2502),0))</f>
        <v>DIST_RAD4</v>
      </c>
      <c r="Y2502" s="153" t="str">
        <f t="array" ref="Y2502">INDEX(xlRTTYNAME,MATCH(1,(xlRTTYENDU=2)*(xlRTTYEQCL=$F2502)*(xlRTEQTYPE=$G2502),0))</f>
        <v>CENT_AIR4</v>
      </c>
    </row>
    <row r="2503" spans="1:25" s="157" customFormat="1" x14ac:dyDescent="0.2">
      <c r="A2503"/>
      <c r="B2503" s="126">
        <v>5</v>
      </c>
      <c r="C2503" s="126">
        <v>3</v>
      </c>
      <c r="D2503" s="126">
        <v>8</v>
      </c>
      <c r="E2503" s="126">
        <v>29</v>
      </c>
      <c r="F2503" s="126">
        <v>2</v>
      </c>
      <c r="G2503" s="126">
        <v>8</v>
      </c>
      <c r="H2503" s="143">
        <v>2033</v>
      </c>
      <c r="I2503" s="148">
        <v>2050</v>
      </c>
      <c r="J2503" s="127">
        <v>1.0940000000000001</v>
      </c>
      <c r="K2503" s="127">
        <v>1.0575000000000001</v>
      </c>
      <c r="L2503" s="127">
        <v>0.74939999999999996</v>
      </c>
      <c r="M2503" s="127">
        <v>0.97389999999999999</v>
      </c>
      <c r="N2503" s="127">
        <v>0.83130000000000004</v>
      </c>
      <c r="O2503" s="127">
        <v>1.0538000000000001</v>
      </c>
      <c r="P2503" s="126">
        <v>5495</v>
      </c>
      <c r="Q2503" s="128">
        <f t="array" ref="Q2503">SUM(IF(($S2503&gt;=4)*($C2503='TaxCred&amp;Subs'!$D$123:$D$127)*($H2503='TaxCred&amp;Subs'!$C$123:$C$127)*($H2503&lt;='TaxCred&amp;Subs'!$C$129),'TaxCred&amp;Subs'!$E$123:$E$127,0))</f>
        <v>0</v>
      </c>
      <c r="R2503" s="174">
        <v>0</v>
      </c>
      <c r="S2503" s="126">
        <v>5</v>
      </c>
      <c r="T2503" s="126" t="s">
        <v>225</v>
      </c>
      <c r="U2503"/>
      <c r="V2503" s="153" t="str">
        <f t="array" ref="V2503">INDEX(xlRTCLNAME,MATCH(1,(xlRTCLENDU=1)*(xlRTCLEQCL=$D2503),0))</f>
        <v>DIST_RAD</v>
      </c>
      <c r="W2503" s="153" t="str">
        <f t="array" ref="W2503">INDEX(xlRTCLNAME,MATCH(1,(xlRTCLENDU=2)*(xlRTCLEQCL=$F2503),0))</f>
        <v>CENT_AIR</v>
      </c>
      <c r="X2503" s="153" t="str">
        <f t="array" ref="X2503">INDEX(xlRTTYNAME,MATCH(1,(xlRTTYENDU=1)*(xlRTTYEQCL=$D2503)*(xlRTEQTYPE=$E2503),0))</f>
        <v>DIST_RAD4</v>
      </c>
      <c r="Y2503" s="153" t="str">
        <f t="array" ref="Y2503">INDEX(xlRTTYNAME,MATCH(1,(xlRTTYENDU=2)*(xlRTTYEQCL=$F2503)*(xlRTEQTYPE=$G2503),0))</f>
        <v>CENT_AIR4</v>
      </c>
    </row>
    <row r="2504" spans="1:25" s="157" customFormat="1" x14ac:dyDescent="0.2">
      <c r="A2504"/>
      <c r="B2504" s="126">
        <v>6</v>
      </c>
      <c r="C2504" s="126">
        <v>3</v>
      </c>
      <c r="D2504" s="126">
        <v>8</v>
      </c>
      <c r="E2504" s="126">
        <v>29</v>
      </c>
      <c r="F2504" s="126">
        <v>2</v>
      </c>
      <c r="G2504" s="126">
        <v>8</v>
      </c>
      <c r="H2504" s="148">
        <v>2016</v>
      </c>
      <c r="I2504" s="143">
        <v>2022</v>
      </c>
      <c r="J2504" s="127">
        <v>1.0873999999999999</v>
      </c>
      <c r="K2504" s="127">
        <v>1.0609999999999999</v>
      </c>
      <c r="L2504" s="127">
        <v>0.73709999999999998</v>
      </c>
      <c r="M2504" s="127">
        <v>0.97489999999999999</v>
      </c>
      <c r="N2504" s="127">
        <v>0.80189999999999995</v>
      </c>
      <c r="O2504" s="127">
        <v>1.0538000000000001</v>
      </c>
      <c r="P2504" s="126">
        <v>5435</v>
      </c>
      <c r="Q2504" s="128">
        <f t="array" ref="Q2504">SUM(IF(($S2504&gt;=4)*($C2504='TaxCred&amp;Subs'!$D$123:$D$127)*($H2504='TaxCred&amp;Subs'!$C$123:$C$127)*($H2504&lt;='TaxCred&amp;Subs'!$C$129),'TaxCred&amp;Subs'!$E$123:$E$127,0))</f>
        <v>1000</v>
      </c>
      <c r="R2504" s="174">
        <v>0</v>
      </c>
      <c r="S2504" s="126">
        <v>5</v>
      </c>
      <c r="T2504" s="126" t="s">
        <v>225</v>
      </c>
      <c r="U2504"/>
      <c r="V2504" s="153" t="str">
        <f t="array" ref="V2504">INDEX(xlRTCLNAME,MATCH(1,(xlRTCLENDU=1)*(xlRTCLEQCL=$D2504),0))</f>
        <v>DIST_RAD</v>
      </c>
      <c r="W2504" s="153" t="str">
        <f t="array" ref="W2504">INDEX(xlRTCLNAME,MATCH(1,(xlRTCLENDU=2)*(xlRTCLEQCL=$F2504),0))</f>
        <v>CENT_AIR</v>
      </c>
      <c r="X2504" s="153" t="str">
        <f t="array" ref="X2504">INDEX(xlRTTYNAME,MATCH(1,(xlRTTYENDU=1)*(xlRTTYEQCL=$D2504)*(xlRTEQTYPE=$E2504),0))</f>
        <v>DIST_RAD4</v>
      </c>
      <c r="Y2504" s="153" t="str">
        <f t="array" ref="Y2504">INDEX(xlRTTYNAME,MATCH(1,(xlRTTYENDU=2)*(xlRTTYEQCL=$F2504)*(xlRTEQTYPE=$G2504),0))</f>
        <v>CENT_AIR4</v>
      </c>
    </row>
    <row r="2505" spans="1:25" s="157" customFormat="1" x14ac:dyDescent="0.2">
      <c r="A2505"/>
      <c r="B2505" s="49">
        <v>6</v>
      </c>
      <c r="C2505" s="49">
        <v>3</v>
      </c>
      <c r="D2505" s="49">
        <v>8</v>
      </c>
      <c r="E2505" s="49">
        <v>29</v>
      </c>
      <c r="F2505" s="49">
        <v>2</v>
      </c>
      <c r="G2505" s="49">
        <v>8</v>
      </c>
      <c r="H2505" s="166">
        <v>2023</v>
      </c>
      <c r="I2505" s="166">
        <v>2032</v>
      </c>
      <c r="J2505" s="50">
        <v>1.0873999999999999</v>
      </c>
      <c r="K2505" s="50">
        <v>1.0609999999999999</v>
      </c>
      <c r="L2505" s="50">
        <v>0.73709999999999998</v>
      </c>
      <c r="M2505" s="50">
        <v>0.97489999999999999</v>
      </c>
      <c r="N2505" s="50">
        <v>0.80189999999999995</v>
      </c>
      <c r="O2505" s="50">
        <v>1.0538000000000001</v>
      </c>
      <c r="P2505" s="49">
        <v>5435</v>
      </c>
      <c r="Q2505" s="51">
        <f t="array" ref="Q2505">SUM(IF(($S2505&gt;=4)*($C2505='TaxCred&amp;Subs'!$D$123:$D$127)*($H2505='TaxCred&amp;Subs'!$C$123:$C$127)*($H2505&lt;='TaxCred&amp;Subs'!$C$129),'TaxCred&amp;Subs'!$E$123:$E$127,0))</f>
        <v>2500</v>
      </c>
      <c r="R2505" s="171">
        <v>0</v>
      </c>
      <c r="S2505" s="49">
        <v>5</v>
      </c>
      <c r="T2505" s="49" t="s">
        <v>225</v>
      </c>
      <c r="U2505"/>
      <c r="V2505" s="153" t="str">
        <f t="array" ref="V2505">INDEX(xlRTCLNAME,MATCH(1,(xlRTCLENDU=1)*(xlRTCLEQCL=$D2505),0))</f>
        <v>DIST_RAD</v>
      </c>
      <c r="W2505" s="153" t="str">
        <f t="array" ref="W2505">INDEX(xlRTCLNAME,MATCH(1,(xlRTCLENDU=2)*(xlRTCLEQCL=$F2505),0))</f>
        <v>CENT_AIR</v>
      </c>
      <c r="X2505" s="153" t="str">
        <f t="array" ref="X2505">INDEX(xlRTTYNAME,MATCH(1,(xlRTTYENDU=1)*(xlRTTYEQCL=$D2505)*(xlRTEQTYPE=$E2505),0))</f>
        <v>DIST_RAD4</v>
      </c>
      <c r="Y2505" s="153" t="str">
        <f t="array" ref="Y2505">INDEX(xlRTTYNAME,MATCH(1,(xlRTTYENDU=2)*(xlRTTYEQCL=$F2505)*(xlRTEQTYPE=$G2505),0))</f>
        <v>CENT_AIR4</v>
      </c>
    </row>
    <row r="2506" spans="1:25" s="157" customFormat="1" x14ac:dyDescent="0.2">
      <c r="A2506"/>
      <c r="B2506" s="126">
        <v>6</v>
      </c>
      <c r="C2506" s="126">
        <v>3</v>
      </c>
      <c r="D2506" s="126">
        <v>8</v>
      </c>
      <c r="E2506" s="126">
        <v>29</v>
      </c>
      <c r="F2506" s="126">
        <v>2</v>
      </c>
      <c r="G2506" s="126">
        <v>8</v>
      </c>
      <c r="H2506" s="143">
        <v>2033</v>
      </c>
      <c r="I2506" s="148">
        <v>2050</v>
      </c>
      <c r="J2506" s="127">
        <v>1.0873999999999999</v>
      </c>
      <c r="K2506" s="127">
        <v>1.0609999999999999</v>
      </c>
      <c r="L2506" s="127">
        <v>0.73709999999999998</v>
      </c>
      <c r="M2506" s="127">
        <v>0.97489999999999999</v>
      </c>
      <c r="N2506" s="127">
        <v>0.80189999999999995</v>
      </c>
      <c r="O2506" s="127">
        <v>1.0538000000000001</v>
      </c>
      <c r="P2506" s="126">
        <v>5435</v>
      </c>
      <c r="Q2506" s="128">
        <f t="array" ref="Q2506">SUM(IF(($S2506&gt;=4)*($C2506='TaxCred&amp;Subs'!$D$123:$D$127)*($H2506='TaxCred&amp;Subs'!$C$123:$C$127)*($H2506&lt;='TaxCred&amp;Subs'!$C$129),'TaxCred&amp;Subs'!$E$123:$E$127,0))</f>
        <v>0</v>
      </c>
      <c r="R2506" s="174">
        <v>0</v>
      </c>
      <c r="S2506" s="126">
        <v>5</v>
      </c>
      <c r="T2506" s="126" t="s">
        <v>225</v>
      </c>
      <c r="U2506"/>
      <c r="V2506" s="153" t="str">
        <f t="array" ref="V2506">INDEX(xlRTCLNAME,MATCH(1,(xlRTCLENDU=1)*(xlRTCLEQCL=$D2506),0))</f>
        <v>DIST_RAD</v>
      </c>
      <c r="W2506" s="153" t="str">
        <f t="array" ref="W2506">INDEX(xlRTCLNAME,MATCH(1,(xlRTCLENDU=2)*(xlRTCLEQCL=$F2506),0))</f>
        <v>CENT_AIR</v>
      </c>
      <c r="X2506" s="153" t="str">
        <f t="array" ref="X2506">INDEX(xlRTTYNAME,MATCH(1,(xlRTTYENDU=1)*(xlRTTYEQCL=$D2506)*(xlRTEQTYPE=$E2506),0))</f>
        <v>DIST_RAD4</v>
      </c>
      <c r="Y2506" s="153" t="str">
        <f t="array" ref="Y2506">INDEX(xlRTTYNAME,MATCH(1,(xlRTTYENDU=2)*(xlRTTYEQCL=$F2506)*(xlRTEQTYPE=$G2506),0))</f>
        <v>CENT_AIR4</v>
      </c>
    </row>
    <row r="2507" spans="1:25" s="157" customFormat="1" x14ac:dyDescent="0.2">
      <c r="A2507"/>
      <c r="B2507" s="126">
        <v>7</v>
      </c>
      <c r="C2507" s="126">
        <v>3</v>
      </c>
      <c r="D2507" s="126">
        <v>8</v>
      </c>
      <c r="E2507" s="126">
        <v>29</v>
      </c>
      <c r="F2507" s="126">
        <v>2</v>
      </c>
      <c r="G2507" s="126">
        <v>8</v>
      </c>
      <c r="H2507" s="148">
        <v>2016</v>
      </c>
      <c r="I2507" s="143">
        <v>2022</v>
      </c>
      <c r="J2507" s="127">
        <v>1.0826</v>
      </c>
      <c r="K2507" s="127">
        <v>1.0412999999999999</v>
      </c>
      <c r="L2507" s="127">
        <v>0.72560000000000002</v>
      </c>
      <c r="M2507" s="127">
        <v>0.97609999999999997</v>
      </c>
      <c r="N2507" s="127">
        <v>0.8125</v>
      </c>
      <c r="O2507" s="127">
        <v>1.0538000000000001</v>
      </c>
      <c r="P2507" s="126">
        <v>5138</v>
      </c>
      <c r="Q2507" s="128">
        <f t="array" ref="Q2507">SUM(IF(($S2507&gt;=4)*($C2507='TaxCred&amp;Subs'!$D$123:$D$127)*($H2507='TaxCred&amp;Subs'!$C$123:$C$127)*($H2507&lt;='TaxCred&amp;Subs'!$C$129),'TaxCred&amp;Subs'!$E$123:$E$127,0))</f>
        <v>1000</v>
      </c>
      <c r="R2507" s="174">
        <v>0</v>
      </c>
      <c r="S2507" s="126">
        <v>5</v>
      </c>
      <c r="T2507" s="126" t="s">
        <v>225</v>
      </c>
      <c r="U2507"/>
      <c r="V2507" s="153" t="str">
        <f t="array" ref="V2507">INDEX(xlRTCLNAME,MATCH(1,(xlRTCLENDU=1)*(xlRTCLEQCL=$D2507),0))</f>
        <v>DIST_RAD</v>
      </c>
      <c r="W2507" s="153" t="str">
        <f t="array" ref="W2507">INDEX(xlRTCLNAME,MATCH(1,(xlRTCLENDU=2)*(xlRTCLEQCL=$F2507),0))</f>
        <v>CENT_AIR</v>
      </c>
      <c r="X2507" s="153" t="str">
        <f t="array" ref="X2507">INDEX(xlRTTYNAME,MATCH(1,(xlRTTYENDU=1)*(xlRTTYEQCL=$D2507)*(xlRTEQTYPE=$E2507),0))</f>
        <v>DIST_RAD4</v>
      </c>
      <c r="Y2507" s="153" t="str">
        <f t="array" ref="Y2507">INDEX(xlRTTYNAME,MATCH(1,(xlRTTYENDU=2)*(xlRTTYEQCL=$F2507)*(xlRTEQTYPE=$G2507),0))</f>
        <v>CENT_AIR4</v>
      </c>
    </row>
    <row r="2508" spans="1:25" s="157" customFormat="1" x14ac:dyDescent="0.2">
      <c r="A2508"/>
      <c r="B2508" s="49">
        <v>7</v>
      </c>
      <c r="C2508" s="49">
        <v>3</v>
      </c>
      <c r="D2508" s="49">
        <v>8</v>
      </c>
      <c r="E2508" s="49">
        <v>29</v>
      </c>
      <c r="F2508" s="49">
        <v>2</v>
      </c>
      <c r="G2508" s="49">
        <v>8</v>
      </c>
      <c r="H2508" s="166">
        <v>2023</v>
      </c>
      <c r="I2508" s="166">
        <v>2032</v>
      </c>
      <c r="J2508" s="50">
        <v>1.0826</v>
      </c>
      <c r="K2508" s="50">
        <v>1.0412999999999999</v>
      </c>
      <c r="L2508" s="50">
        <v>0.72560000000000002</v>
      </c>
      <c r="M2508" s="50">
        <v>0.97609999999999997</v>
      </c>
      <c r="N2508" s="50">
        <v>0.8125</v>
      </c>
      <c r="O2508" s="50">
        <v>1.0538000000000001</v>
      </c>
      <c r="P2508" s="49">
        <v>5138</v>
      </c>
      <c r="Q2508" s="51">
        <f t="array" ref="Q2508">SUM(IF(($S2508&gt;=4)*($C2508='TaxCred&amp;Subs'!$D$123:$D$127)*($H2508='TaxCred&amp;Subs'!$C$123:$C$127)*($H2508&lt;='TaxCred&amp;Subs'!$C$129),'TaxCred&amp;Subs'!$E$123:$E$127,0))</f>
        <v>2500</v>
      </c>
      <c r="R2508" s="171">
        <v>0</v>
      </c>
      <c r="S2508" s="49">
        <v>5</v>
      </c>
      <c r="T2508" s="49" t="s">
        <v>225</v>
      </c>
      <c r="U2508"/>
      <c r="V2508" s="153" t="str">
        <f t="array" ref="V2508">INDEX(xlRTCLNAME,MATCH(1,(xlRTCLENDU=1)*(xlRTCLEQCL=$D2508),0))</f>
        <v>DIST_RAD</v>
      </c>
      <c r="W2508" s="153" t="str">
        <f t="array" ref="W2508">INDEX(xlRTCLNAME,MATCH(1,(xlRTCLENDU=2)*(xlRTCLEQCL=$F2508),0))</f>
        <v>CENT_AIR</v>
      </c>
      <c r="X2508" s="153" t="str">
        <f t="array" ref="X2508">INDEX(xlRTTYNAME,MATCH(1,(xlRTTYENDU=1)*(xlRTTYEQCL=$D2508)*(xlRTEQTYPE=$E2508),0))</f>
        <v>DIST_RAD4</v>
      </c>
      <c r="Y2508" s="153" t="str">
        <f t="array" ref="Y2508">INDEX(xlRTTYNAME,MATCH(1,(xlRTTYENDU=2)*(xlRTTYEQCL=$F2508)*(xlRTEQTYPE=$G2508),0))</f>
        <v>CENT_AIR4</v>
      </c>
    </row>
    <row r="2509" spans="1:25" s="157" customFormat="1" x14ac:dyDescent="0.2">
      <c r="A2509"/>
      <c r="B2509" s="126">
        <v>7</v>
      </c>
      <c r="C2509" s="126">
        <v>3</v>
      </c>
      <c r="D2509" s="126">
        <v>8</v>
      </c>
      <c r="E2509" s="126">
        <v>29</v>
      </c>
      <c r="F2509" s="126">
        <v>2</v>
      </c>
      <c r="G2509" s="126">
        <v>8</v>
      </c>
      <c r="H2509" s="143">
        <v>2033</v>
      </c>
      <c r="I2509" s="148">
        <v>2050</v>
      </c>
      <c r="J2509" s="127">
        <v>1.0826</v>
      </c>
      <c r="K2509" s="127">
        <v>1.0412999999999999</v>
      </c>
      <c r="L2509" s="127">
        <v>0.72560000000000002</v>
      </c>
      <c r="M2509" s="127">
        <v>0.97609999999999997</v>
      </c>
      <c r="N2509" s="127">
        <v>0.8125</v>
      </c>
      <c r="O2509" s="127">
        <v>1.0538000000000001</v>
      </c>
      <c r="P2509" s="126">
        <v>5138</v>
      </c>
      <c r="Q2509" s="128">
        <f t="array" ref="Q2509">SUM(IF(($S2509&gt;=4)*($C2509='TaxCred&amp;Subs'!$D$123:$D$127)*($H2509='TaxCred&amp;Subs'!$C$123:$C$127)*($H2509&lt;='TaxCred&amp;Subs'!$C$129),'TaxCred&amp;Subs'!$E$123:$E$127,0))</f>
        <v>0</v>
      </c>
      <c r="R2509" s="174">
        <v>0</v>
      </c>
      <c r="S2509" s="126">
        <v>5</v>
      </c>
      <c r="T2509" s="126" t="s">
        <v>225</v>
      </c>
      <c r="U2509"/>
      <c r="V2509" s="153" t="str">
        <f t="array" ref="V2509">INDEX(xlRTCLNAME,MATCH(1,(xlRTCLENDU=1)*(xlRTCLEQCL=$D2509),0))</f>
        <v>DIST_RAD</v>
      </c>
      <c r="W2509" s="153" t="str">
        <f t="array" ref="W2509">INDEX(xlRTCLNAME,MATCH(1,(xlRTCLENDU=2)*(xlRTCLEQCL=$F2509),0))</f>
        <v>CENT_AIR</v>
      </c>
      <c r="X2509" s="153" t="str">
        <f t="array" ref="X2509">INDEX(xlRTTYNAME,MATCH(1,(xlRTTYENDU=1)*(xlRTTYEQCL=$D2509)*(xlRTEQTYPE=$E2509),0))</f>
        <v>DIST_RAD4</v>
      </c>
      <c r="Y2509" s="153" t="str">
        <f t="array" ref="Y2509">INDEX(xlRTTYNAME,MATCH(1,(xlRTTYENDU=2)*(xlRTTYEQCL=$F2509)*(xlRTEQTYPE=$G2509),0))</f>
        <v>CENT_AIR4</v>
      </c>
    </row>
    <row r="2510" spans="1:25" s="157" customFormat="1" x14ac:dyDescent="0.2">
      <c r="A2510"/>
      <c r="B2510" s="126">
        <v>9</v>
      </c>
      <c r="C2510" s="126">
        <v>3</v>
      </c>
      <c r="D2510" s="126">
        <v>8</v>
      </c>
      <c r="E2510" s="126">
        <v>29</v>
      </c>
      <c r="F2510" s="126">
        <v>2</v>
      </c>
      <c r="G2510" s="126">
        <v>8</v>
      </c>
      <c r="H2510" s="148">
        <v>2016</v>
      </c>
      <c r="I2510" s="143">
        <v>2022</v>
      </c>
      <c r="J2510" s="127">
        <v>1.0845</v>
      </c>
      <c r="K2510" s="127">
        <v>1.0658000000000001</v>
      </c>
      <c r="L2510" s="127">
        <v>0.78159999999999996</v>
      </c>
      <c r="M2510" s="127">
        <v>1.0670999999999999</v>
      </c>
      <c r="N2510" s="127">
        <v>0.84079999999999999</v>
      </c>
      <c r="O2510" s="127">
        <v>1.0538000000000001</v>
      </c>
      <c r="P2510" s="126">
        <v>7270</v>
      </c>
      <c r="Q2510" s="128">
        <f t="array" ref="Q2510">SUM(IF(($S2510&gt;=4)*($C2510='TaxCred&amp;Subs'!$D$123:$D$127)*($H2510='TaxCred&amp;Subs'!$C$123:$C$127)*($H2510&lt;='TaxCred&amp;Subs'!$C$129),'TaxCred&amp;Subs'!$E$123:$E$127,0))</f>
        <v>1000</v>
      </c>
      <c r="R2510" s="174">
        <v>0</v>
      </c>
      <c r="S2510" s="126">
        <v>5</v>
      </c>
      <c r="T2510" s="126" t="s">
        <v>225</v>
      </c>
      <c r="U2510"/>
      <c r="V2510" s="153" t="str">
        <f t="array" ref="V2510">INDEX(xlRTCLNAME,MATCH(1,(xlRTCLENDU=1)*(xlRTCLEQCL=$D2510),0))</f>
        <v>DIST_RAD</v>
      </c>
      <c r="W2510" s="153" t="str">
        <f t="array" ref="W2510">INDEX(xlRTCLNAME,MATCH(1,(xlRTCLENDU=2)*(xlRTCLEQCL=$F2510),0))</f>
        <v>CENT_AIR</v>
      </c>
      <c r="X2510" s="153" t="str">
        <f t="array" ref="X2510">INDEX(xlRTTYNAME,MATCH(1,(xlRTTYENDU=1)*(xlRTTYEQCL=$D2510)*(xlRTEQTYPE=$E2510),0))</f>
        <v>DIST_RAD4</v>
      </c>
      <c r="Y2510" s="153" t="str">
        <f t="array" ref="Y2510">INDEX(xlRTTYNAME,MATCH(1,(xlRTTYENDU=2)*(xlRTTYEQCL=$F2510)*(xlRTEQTYPE=$G2510),0))</f>
        <v>CENT_AIR4</v>
      </c>
    </row>
    <row r="2511" spans="1:25" s="157" customFormat="1" x14ac:dyDescent="0.2">
      <c r="A2511"/>
      <c r="B2511" s="49">
        <v>9</v>
      </c>
      <c r="C2511" s="49">
        <v>3</v>
      </c>
      <c r="D2511" s="49">
        <v>8</v>
      </c>
      <c r="E2511" s="49">
        <v>29</v>
      </c>
      <c r="F2511" s="49">
        <v>2</v>
      </c>
      <c r="G2511" s="49">
        <v>8</v>
      </c>
      <c r="H2511" s="166">
        <v>2023</v>
      </c>
      <c r="I2511" s="166">
        <v>2032</v>
      </c>
      <c r="J2511" s="50">
        <v>1.0845</v>
      </c>
      <c r="K2511" s="50">
        <v>1.0658000000000001</v>
      </c>
      <c r="L2511" s="50">
        <v>0.78159999999999996</v>
      </c>
      <c r="M2511" s="50">
        <v>1.0670999999999999</v>
      </c>
      <c r="N2511" s="50">
        <v>0.84079999999999999</v>
      </c>
      <c r="O2511" s="50">
        <v>1.0538000000000001</v>
      </c>
      <c r="P2511" s="49">
        <v>7270</v>
      </c>
      <c r="Q2511" s="51">
        <f t="array" ref="Q2511">SUM(IF(($S2511&gt;=4)*($C2511='TaxCred&amp;Subs'!$D$123:$D$127)*($H2511='TaxCred&amp;Subs'!$C$123:$C$127)*($H2511&lt;='TaxCred&amp;Subs'!$C$129),'TaxCred&amp;Subs'!$E$123:$E$127,0))</f>
        <v>2500</v>
      </c>
      <c r="R2511" s="171">
        <v>0</v>
      </c>
      <c r="S2511" s="49">
        <v>5</v>
      </c>
      <c r="T2511" s="49" t="s">
        <v>225</v>
      </c>
      <c r="U2511"/>
      <c r="V2511" s="153" t="str">
        <f t="array" ref="V2511">INDEX(xlRTCLNAME,MATCH(1,(xlRTCLENDU=1)*(xlRTCLEQCL=$D2511),0))</f>
        <v>DIST_RAD</v>
      </c>
      <c r="W2511" s="153" t="str">
        <f t="array" ref="W2511">INDEX(xlRTCLNAME,MATCH(1,(xlRTCLENDU=2)*(xlRTCLEQCL=$F2511),0))</f>
        <v>CENT_AIR</v>
      </c>
      <c r="X2511" s="153" t="str">
        <f t="array" ref="X2511">INDEX(xlRTTYNAME,MATCH(1,(xlRTTYENDU=1)*(xlRTTYEQCL=$D2511)*(xlRTEQTYPE=$E2511),0))</f>
        <v>DIST_RAD4</v>
      </c>
      <c r="Y2511" s="153" t="str">
        <f t="array" ref="Y2511">INDEX(xlRTTYNAME,MATCH(1,(xlRTTYENDU=2)*(xlRTTYEQCL=$F2511)*(xlRTEQTYPE=$G2511),0))</f>
        <v>CENT_AIR4</v>
      </c>
    </row>
    <row r="2512" spans="1:25" s="157" customFormat="1" x14ac:dyDescent="0.2">
      <c r="A2512"/>
      <c r="B2512" s="126">
        <v>9</v>
      </c>
      <c r="C2512" s="126">
        <v>3</v>
      </c>
      <c r="D2512" s="126">
        <v>8</v>
      </c>
      <c r="E2512" s="126">
        <v>29</v>
      </c>
      <c r="F2512" s="126">
        <v>2</v>
      </c>
      <c r="G2512" s="126">
        <v>8</v>
      </c>
      <c r="H2512" s="143">
        <v>2033</v>
      </c>
      <c r="I2512" s="148">
        <v>2050</v>
      </c>
      <c r="J2512" s="127">
        <v>1.0845</v>
      </c>
      <c r="K2512" s="127">
        <v>1.0658000000000001</v>
      </c>
      <c r="L2512" s="127">
        <v>0.78159999999999996</v>
      </c>
      <c r="M2512" s="127">
        <v>1.0670999999999999</v>
      </c>
      <c r="N2512" s="127">
        <v>0.84079999999999999</v>
      </c>
      <c r="O2512" s="127">
        <v>1.0538000000000001</v>
      </c>
      <c r="P2512" s="126">
        <v>7270</v>
      </c>
      <c r="Q2512" s="128">
        <f t="array" ref="Q2512">SUM(IF(($S2512&gt;=4)*($C2512='TaxCred&amp;Subs'!$D$123:$D$127)*($H2512='TaxCred&amp;Subs'!$C$123:$C$127)*($H2512&lt;='TaxCred&amp;Subs'!$C$129),'TaxCred&amp;Subs'!$E$123:$E$127,0))</f>
        <v>0</v>
      </c>
      <c r="R2512" s="174">
        <v>0</v>
      </c>
      <c r="S2512" s="126">
        <v>5</v>
      </c>
      <c r="T2512" s="126" t="s">
        <v>225</v>
      </c>
      <c r="U2512"/>
      <c r="V2512" s="153" t="str">
        <f t="array" ref="V2512">INDEX(xlRTCLNAME,MATCH(1,(xlRTCLENDU=1)*(xlRTCLEQCL=$D2512),0))</f>
        <v>DIST_RAD</v>
      </c>
      <c r="W2512" s="153" t="str">
        <f t="array" ref="W2512">INDEX(xlRTCLNAME,MATCH(1,(xlRTCLENDU=2)*(xlRTCLEQCL=$F2512),0))</f>
        <v>CENT_AIR</v>
      </c>
      <c r="X2512" s="153" t="str">
        <f t="array" ref="X2512">INDEX(xlRTTYNAME,MATCH(1,(xlRTTYENDU=1)*(xlRTTYEQCL=$D2512)*(xlRTEQTYPE=$E2512),0))</f>
        <v>DIST_RAD4</v>
      </c>
      <c r="Y2512" s="153" t="str">
        <f t="array" ref="Y2512">INDEX(xlRTTYNAME,MATCH(1,(xlRTTYENDU=2)*(xlRTTYEQCL=$F2512)*(xlRTEQTYPE=$G2512),0))</f>
        <v>CENT_AIR4</v>
      </c>
    </row>
    <row r="2513" spans="1:25" s="157" customFormat="1" x14ac:dyDescent="0.2">
      <c r="A2513"/>
      <c r="B2513" s="126">
        <v>5</v>
      </c>
      <c r="C2513" s="126">
        <v>3</v>
      </c>
      <c r="D2513" s="126">
        <v>9</v>
      </c>
      <c r="E2513" s="126">
        <v>31</v>
      </c>
      <c r="F2513" s="126">
        <v>2</v>
      </c>
      <c r="G2513" s="126">
        <v>8</v>
      </c>
      <c r="H2513" s="148">
        <v>2016</v>
      </c>
      <c r="I2513" s="143">
        <v>2022</v>
      </c>
      <c r="J2513" s="127">
        <v>1.0940000000000001</v>
      </c>
      <c r="K2513" s="127">
        <v>1.0575000000000001</v>
      </c>
      <c r="L2513" s="127">
        <v>0.74939999999999996</v>
      </c>
      <c r="M2513" s="127">
        <v>0.97389999999999999</v>
      </c>
      <c r="N2513" s="127">
        <v>0.83130000000000004</v>
      </c>
      <c r="O2513" s="127">
        <v>1.0538000000000001</v>
      </c>
      <c r="P2513" s="126">
        <v>5495</v>
      </c>
      <c r="Q2513" s="128">
        <f t="array" ref="Q2513">SUM(IF(($S2513&gt;=4)*($C2513='TaxCred&amp;Subs'!$D$123:$D$127)*($H2513='TaxCred&amp;Subs'!$C$123:$C$127)*($H2513&lt;='TaxCred&amp;Subs'!$C$129),'TaxCred&amp;Subs'!$E$123:$E$127,0))</f>
        <v>1000</v>
      </c>
      <c r="R2513" s="174">
        <v>0</v>
      </c>
      <c r="S2513" s="126">
        <v>5</v>
      </c>
      <c r="T2513" s="126" t="s">
        <v>225</v>
      </c>
      <c r="U2513"/>
      <c r="V2513" s="153" t="str">
        <f t="array" ref="V2513">INDEX(xlRTCLNAME,MATCH(1,(xlRTCLENDU=1)*(xlRTCLEQCL=$D2513),0))</f>
        <v>WOOD_HT</v>
      </c>
      <c r="W2513" s="153" t="str">
        <f t="array" ref="W2513">INDEX(xlRTCLNAME,MATCH(1,(xlRTCLENDU=2)*(xlRTCLEQCL=$F2513),0))</f>
        <v>CENT_AIR</v>
      </c>
      <c r="X2513" s="153" t="str">
        <f t="array" ref="X2513">INDEX(xlRTTYNAME,MATCH(1,(xlRTTYENDU=1)*(xlRTTYEQCL=$D2513)*(xlRTEQTYPE=$E2513),0))</f>
        <v>WOOD_HT4</v>
      </c>
      <c r="Y2513" s="153" t="str">
        <f t="array" ref="Y2513">INDEX(xlRTTYNAME,MATCH(1,(xlRTTYENDU=2)*(xlRTTYEQCL=$F2513)*(xlRTEQTYPE=$G2513),0))</f>
        <v>CENT_AIR4</v>
      </c>
    </row>
    <row r="2514" spans="1:25" s="157" customFormat="1" x14ac:dyDescent="0.2">
      <c r="A2514"/>
      <c r="B2514" s="49">
        <v>5</v>
      </c>
      <c r="C2514" s="49">
        <v>3</v>
      </c>
      <c r="D2514" s="49">
        <v>9</v>
      </c>
      <c r="E2514" s="49">
        <v>31</v>
      </c>
      <c r="F2514" s="49">
        <v>2</v>
      </c>
      <c r="G2514" s="49">
        <v>8</v>
      </c>
      <c r="H2514" s="166">
        <v>2023</v>
      </c>
      <c r="I2514" s="166">
        <v>2032</v>
      </c>
      <c r="J2514" s="50">
        <v>1.0940000000000001</v>
      </c>
      <c r="K2514" s="50">
        <v>1.0575000000000001</v>
      </c>
      <c r="L2514" s="50">
        <v>0.74939999999999996</v>
      </c>
      <c r="M2514" s="50">
        <v>0.97389999999999999</v>
      </c>
      <c r="N2514" s="50">
        <v>0.83130000000000004</v>
      </c>
      <c r="O2514" s="50">
        <v>1.0538000000000001</v>
      </c>
      <c r="P2514" s="49">
        <v>5495</v>
      </c>
      <c r="Q2514" s="51">
        <f t="array" ref="Q2514">SUM(IF(($S2514&gt;=4)*($C2514='TaxCred&amp;Subs'!$D$123:$D$127)*($H2514='TaxCred&amp;Subs'!$C$123:$C$127)*($H2514&lt;='TaxCred&amp;Subs'!$C$129),'TaxCred&amp;Subs'!$E$123:$E$127,0))</f>
        <v>2500</v>
      </c>
      <c r="R2514" s="171">
        <v>0</v>
      </c>
      <c r="S2514" s="49">
        <v>5</v>
      </c>
      <c r="T2514" s="49" t="s">
        <v>225</v>
      </c>
      <c r="U2514"/>
      <c r="V2514" s="153" t="str">
        <f t="array" ref="V2514">INDEX(xlRTCLNAME,MATCH(1,(xlRTCLENDU=1)*(xlRTCLEQCL=$D2514),0))</f>
        <v>WOOD_HT</v>
      </c>
      <c r="W2514" s="153" t="str">
        <f t="array" ref="W2514">INDEX(xlRTCLNAME,MATCH(1,(xlRTCLENDU=2)*(xlRTCLEQCL=$F2514),0))</f>
        <v>CENT_AIR</v>
      </c>
      <c r="X2514" s="153" t="str">
        <f t="array" ref="X2514">INDEX(xlRTTYNAME,MATCH(1,(xlRTTYENDU=1)*(xlRTTYEQCL=$D2514)*(xlRTEQTYPE=$E2514),0))</f>
        <v>WOOD_HT4</v>
      </c>
      <c r="Y2514" s="153" t="str">
        <f t="array" ref="Y2514">INDEX(xlRTTYNAME,MATCH(1,(xlRTTYENDU=2)*(xlRTTYEQCL=$F2514)*(xlRTEQTYPE=$G2514),0))</f>
        <v>CENT_AIR4</v>
      </c>
    </row>
    <row r="2515" spans="1:25" s="157" customFormat="1" x14ac:dyDescent="0.2">
      <c r="A2515"/>
      <c r="B2515" s="126">
        <v>5</v>
      </c>
      <c r="C2515" s="126">
        <v>3</v>
      </c>
      <c r="D2515" s="126">
        <v>9</v>
      </c>
      <c r="E2515" s="126">
        <v>31</v>
      </c>
      <c r="F2515" s="126">
        <v>2</v>
      </c>
      <c r="G2515" s="126">
        <v>8</v>
      </c>
      <c r="H2515" s="143">
        <v>2033</v>
      </c>
      <c r="I2515" s="148">
        <v>2050</v>
      </c>
      <c r="J2515" s="127">
        <v>1.0940000000000001</v>
      </c>
      <c r="K2515" s="127">
        <v>1.0575000000000001</v>
      </c>
      <c r="L2515" s="127">
        <v>0.74939999999999996</v>
      </c>
      <c r="M2515" s="127">
        <v>0.97389999999999999</v>
      </c>
      <c r="N2515" s="127">
        <v>0.83130000000000004</v>
      </c>
      <c r="O2515" s="127">
        <v>1.0538000000000001</v>
      </c>
      <c r="P2515" s="126">
        <v>5495</v>
      </c>
      <c r="Q2515" s="128">
        <f t="array" ref="Q2515">SUM(IF(($S2515&gt;=4)*($C2515='TaxCred&amp;Subs'!$D$123:$D$127)*($H2515='TaxCred&amp;Subs'!$C$123:$C$127)*($H2515&lt;='TaxCred&amp;Subs'!$C$129),'TaxCred&amp;Subs'!$E$123:$E$127,0))</f>
        <v>0</v>
      </c>
      <c r="R2515" s="174">
        <v>0</v>
      </c>
      <c r="S2515" s="126">
        <v>5</v>
      </c>
      <c r="T2515" s="126" t="s">
        <v>225</v>
      </c>
      <c r="U2515"/>
      <c r="V2515" s="153" t="str">
        <f t="array" ref="V2515">INDEX(xlRTCLNAME,MATCH(1,(xlRTCLENDU=1)*(xlRTCLEQCL=$D2515),0))</f>
        <v>WOOD_HT</v>
      </c>
      <c r="W2515" s="153" t="str">
        <f t="array" ref="W2515">INDEX(xlRTCLNAME,MATCH(1,(xlRTCLENDU=2)*(xlRTCLEQCL=$F2515),0))</f>
        <v>CENT_AIR</v>
      </c>
      <c r="X2515" s="153" t="str">
        <f t="array" ref="X2515">INDEX(xlRTTYNAME,MATCH(1,(xlRTTYENDU=1)*(xlRTTYEQCL=$D2515)*(xlRTEQTYPE=$E2515),0))</f>
        <v>WOOD_HT4</v>
      </c>
      <c r="Y2515" s="153" t="str">
        <f t="array" ref="Y2515">INDEX(xlRTTYNAME,MATCH(1,(xlRTTYENDU=2)*(xlRTTYEQCL=$F2515)*(xlRTEQTYPE=$G2515),0))</f>
        <v>CENT_AIR4</v>
      </c>
    </row>
    <row r="2516" spans="1:25" s="157" customFormat="1" x14ac:dyDescent="0.2">
      <c r="A2516"/>
      <c r="B2516" s="126">
        <v>6</v>
      </c>
      <c r="C2516" s="126">
        <v>3</v>
      </c>
      <c r="D2516" s="126">
        <v>9</v>
      </c>
      <c r="E2516" s="126">
        <v>31</v>
      </c>
      <c r="F2516" s="126">
        <v>2</v>
      </c>
      <c r="G2516" s="126">
        <v>8</v>
      </c>
      <c r="H2516" s="148">
        <v>2016</v>
      </c>
      <c r="I2516" s="143">
        <v>2022</v>
      </c>
      <c r="J2516" s="127">
        <v>1.0873999999999999</v>
      </c>
      <c r="K2516" s="127">
        <v>1.0609999999999999</v>
      </c>
      <c r="L2516" s="127">
        <v>0.73709999999999998</v>
      </c>
      <c r="M2516" s="127">
        <v>0.97489999999999999</v>
      </c>
      <c r="N2516" s="127">
        <v>0.80189999999999995</v>
      </c>
      <c r="O2516" s="127">
        <v>1.0538000000000001</v>
      </c>
      <c r="P2516" s="126">
        <v>5435</v>
      </c>
      <c r="Q2516" s="128">
        <f t="array" ref="Q2516">SUM(IF(($S2516&gt;=4)*($C2516='TaxCred&amp;Subs'!$D$123:$D$127)*($H2516='TaxCred&amp;Subs'!$C$123:$C$127)*($H2516&lt;='TaxCred&amp;Subs'!$C$129),'TaxCred&amp;Subs'!$E$123:$E$127,0))</f>
        <v>1000</v>
      </c>
      <c r="R2516" s="174">
        <v>0</v>
      </c>
      <c r="S2516" s="126">
        <v>5</v>
      </c>
      <c r="T2516" s="126" t="s">
        <v>225</v>
      </c>
      <c r="U2516"/>
      <c r="V2516" s="153" t="str">
        <f t="array" ref="V2516">INDEX(xlRTCLNAME,MATCH(1,(xlRTCLENDU=1)*(xlRTCLEQCL=$D2516),0))</f>
        <v>WOOD_HT</v>
      </c>
      <c r="W2516" s="153" t="str">
        <f t="array" ref="W2516">INDEX(xlRTCLNAME,MATCH(1,(xlRTCLENDU=2)*(xlRTCLEQCL=$F2516),0))</f>
        <v>CENT_AIR</v>
      </c>
      <c r="X2516" s="153" t="str">
        <f t="array" ref="X2516">INDEX(xlRTTYNAME,MATCH(1,(xlRTTYENDU=1)*(xlRTTYEQCL=$D2516)*(xlRTEQTYPE=$E2516),0))</f>
        <v>WOOD_HT4</v>
      </c>
      <c r="Y2516" s="153" t="str">
        <f t="array" ref="Y2516">INDEX(xlRTTYNAME,MATCH(1,(xlRTTYENDU=2)*(xlRTTYEQCL=$F2516)*(xlRTEQTYPE=$G2516),0))</f>
        <v>CENT_AIR4</v>
      </c>
    </row>
    <row r="2517" spans="1:25" s="157" customFormat="1" x14ac:dyDescent="0.2">
      <c r="A2517"/>
      <c r="B2517" s="49">
        <v>6</v>
      </c>
      <c r="C2517" s="49">
        <v>3</v>
      </c>
      <c r="D2517" s="49">
        <v>9</v>
      </c>
      <c r="E2517" s="49">
        <v>31</v>
      </c>
      <c r="F2517" s="49">
        <v>2</v>
      </c>
      <c r="G2517" s="49">
        <v>8</v>
      </c>
      <c r="H2517" s="166">
        <v>2023</v>
      </c>
      <c r="I2517" s="166">
        <v>2032</v>
      </c>
      <c r="J2517" s="50">
        <v>1.0873999999999999</v>
      </c>
      <c r="K2517" s="50">
        <v>1.0609999999999999</v>
      </c>
      <c r="L2517" s="50">
        <v>0.73709999999999998</v>
      </c>
      <c r="M2517" s="50">
        <v>0.97489999999999999</v>
      </c>
      <c r="N2517" s="50">
        <v>0.80189999999999995</v>
      </c>
      <c r="O2517" s="50">
        <v>1.0538000000000001</v>
      </c>
      <c r="P2517" s="49">
        <v>5435</v>
      </c>
      <c r="Q2517" s="51">
        <f t="array" ref="Q2517">SUM(IF(($S2517&gt;=4)*($C2517='TaxCred&amp;Subs'!$D$123:$D$127)*($H2517='TaxCred&amp;Subs'!$C$123:$C$127)*($H2517&lt;='TaxCred&amp;Subs'!$C$129),'TaxCred&amp;Subs'!$E$123:$E$127,0))</f>
        <v>2500</v>
      </c>
      <c r="R2517" s="171">
        <v>0</v>
      </c>
      <c r="S2517" s="49">
        <v>5</v>
      </c>
      <c r="T2517" s="49" t="s">
        <v>225</v>
      </c>
      <c r="U2517"/>
      <c r="V2517" s="153" t="str">
        <f t="array" ref="V2517">INDEX(xlRTCLNAME,MATCH(1,(xlRTCLENDU=1)*(xlRTCLEQCL=$D2517),0))</f>
        <v>WOOD_HT</v>
      </c>
      <c r="W2517" s="153" t="str">
        <f t="array" ref="W2517">INDEX(xlRTCLNAME,MATCH(1,(xlRTCLENDU=2)*(xlRTCLEQCL=$F2517),0))</f>
        <v>CENT_AIR</v>
      </c>
      <c r="X2517" s="153" t="str">
        <f t="array" ref="X2517">INDEX(xlRTTYNAME,MATCH(1,(xlRTTYENDU=1)*(xlRTTYEQCL=$D2517)*(xlRTEQTYPE=$E2517),0))</f>
        <v>WOOD_HT4</v>
      </c>
      <c r="Y2517" s="153" t="str">
        <f t="array" ref="Y2517">INDEX(xlRTTYNAME,MATCH(1,(xlRTTYENDU=2)*(xlRTTYEQCL=$F2517)*(xlRTEQTYPE=$G2517),0))</f>
        <v>CENT_AIR4</v>
      </c>
    </row>
    <row r="2518" spans="1:25" s="157" customFormat="1" x14ac:dyDescent="0.2">
      <c r="A2518"/>
      <c r="B2518" s="126">
        <v>6</v>
      </c>
      <c r="C2518" s="126">
        <v>3</v>
      </c>
      <c r="D2518" s="126">
        <v>9</v>
      </c>
      <c r="E2518" s="126">
        <v>31</v>
      </c>
      <c r="F2518" s="126">
        <v>2</v>
      </c>
      <c r="G2518" s="126">
        <v>8</v>
      </c>
      <c r="H2518" s="143">
        <v>2033</v>
      </c>
      <c r="I2518" s="148">
        <v>2050</v>
      </c>
      <c r="J2518" s="127">
        <v>1.0873999999999999</v>
      </c>
      <c r="K2518" s="127">
        <v>1.0609999999999999</v>
      </c>
      <c r="L2518" s="127">
        <v>0.73709999999999998</v>
      </c>
      <c r="M2518" s="127">
        <v>0.97489999999999999</v>
      </c>
      <c r="N2518" s="127">
        <v>0.80189999999999995</v>
      </c>
      <c r="O2518" s="127">
        <v>1.0538000000000001</v>
      </c>
      <c r="P2518" s="126">
        <v>5435</v>
      </c>
      <c r="Q2518" s="128">
        <f t="array" ref="Q2518">SUM(IF(($S2518&gt;=4)*($C2518='TaxCred&amp;Subs'!$D$123:$D$127)*($H2518='TaxCred&amp;Subs'!$C$123:$C$127)*($H2518&lt;='TaxCred&amp;Subs'!$C$129),'TaxCred&amp;Subs'!$E$123:$E$127,0))</f>
        <v>0</v>
      </c>
      <c r="R2518" s="174">
        <v>0</v>
      </c>
      <c r="S2518" s="126">
        <v>5</v>
      </c>
      <c r="T2518" s="126" t="s">
        <v>225</v>
      </c>
      <c r="U2518"/>
      <c r="V2518" s="153" t="str">
        <f t="array" ref="V2518">INDEX(xlRTCLNAME,MATCH(1,(xlRTCLENDU=1)*(xlRTCLEQCL=$D2518),0))</f>
        <v>WOOD_HT</v>
      </c>
      <c r="W2518" s="153" t="str">
        <f t="array" ref="W2518">INDEX(xlRTCLNAME,MATCH(1,(xlRTCLENDU=2)*(xlRTCLEQCL=$F2518),0))</f>
        <v>CENT_AIR</v>
      </c>
      <c r="X2518" s="153" t="str">
        <f t="array" ref="X2518">INDEX(xlRTTYNAME,MATCH(1,(xlRTTYENDU=1)*(xlRTTYEQCL=$D2518)*(xlRTEQTYPE=$E2518),0))</f>
        <v>WOOD_HT4</v>
      </c>
      <c r="Y2518" s="153" t="str">
        <f t="array" ref="Y2518">INDEX(xlRTTYNAME,MATCH(1,(xlRTTYENDU=2)*(xlRTTYEQCL=$F2518)*(xlRTEQTYPE=$G2518),0))</f>
        <v>CENT_AIR4</v>
      </c>
    </row>
    <row r="2519" spans="1:25" s="157" customFormat="1" x14ac:dyDescent="0.2">
      <c r="A2519"/>
      <c r="B2519" s="126">
        <v>7</v>
      </c>
      <c r="C2519" s="126">
        <v>3</v>
      </c>
      <c r="D2519" s="126">
        <v>9</v>
      </c>
      <c r="E2519" s="126">
        <v>31</v>
      </c>
      <c r="F2519" s="126">
        <v>2</v>
      </c>
      <c r="G2519" s="126">
        <v>8</v>
      </c>
      <c r="H2519" s="148">
        <v>2016</v>
      </c>
      <c r="I2519" s="143">
        <v>2022</v>
      </c>
      <c r="J2519" s="127">
        <v>1.0826</v>
      </c>
      <c r="K2519" s="127">
        <v>1.0412999999999999</v>
      </c>
      <c r="L2519" s="127">
        <v>0.72560000000000002</v>
      </c>
      <c r="M2519" s="127">
        <v>0.97609999999999997</v>
      </c>
      <c r="N2519" s="127">
        <v>0.8125</v>
      </c>
      <c r="O2519" s="127">
        <v>1.0538000000000001</v>
      </c>
      <c r="P2519" s="126">
        <v>5138</v>
      </c>
      <c r="Q2519" s="128">
        <f t="array" ref="Q2519">SUM(IF(($S2519&gt;=4)*($C2519='TaxCred&amp;Subs'!$D$123:$D$127)*($H2519='TaxCred&amp;Subs'!$C$123:$C$127)*($H2519&lt;='TaxCred&amp;Subs'!$C$129),'TaxCred&amp;Subs'!$E$123:$E$127,0))</f>
        <v>1000</v>
      </c>
      <c r="R2519" s="174">
        <v>0</v>
      </c>
      <c r="S2519" s="126">
        <v>5</v>
      </c>
      <c r="T2519" s="126" t="s">
        <v>225</v>
      </c>
      <c r="U2519"/>
      <c r="V2519" s="153" t="str">
        <f t="array" ref="V2519">INDEX(xlRTCLNAME,MATCH(1,(xlRTCLENDU=1)*(xlRTCLEQCL=$D2519),0))</f>
        <v>WOOD_HT</v>
      </c>
      <c r="W2519" s="153" t="str">
        <f t="array" ref="W2519">INDEX(xlRTCLNAME,MATCH(1,(xlRTCLENDU=2)*(xlRTCLEQCL=$F2519),0))</f>
        <v>CENT_AIR</v>
      </c>
      <c r="X2519" s="153" t="str">
        <f t="array" ref="X2519">INDEX(xlRTTYNAME,MATCH(1,(xlRTTYENDU=1)*(xlRTTYEQCL=$D2519)*(xlRTEQTYPE=$E2519),0))</f>
        <v>WOOD_HT4</v>
      </c>
      <c r="Y2519" s="153" t="str">
        <f t="array" ref="Y2519">INDEX(xlRTTYNAME,MATCH(1,(xlRTTYENDU=2)*(xlRTTYEQCL=$F2519)*(xlRTEQTYPE=$G2519),0))</f>
        <v>CENT_AIR4</v>
      </c>
    </row>
    <row r="2520" spans="1:25" s="157" customFormat="1" x14ac:dyDescent="0.2">
      <c r="A2520"/>
      <c r="B2520" s="49">
        <v>7</v>
      </c>
      <c r="C2520" s="49">
        <v>3</v>
      </c>
      <c r="D2520" s="49">
        <v>9</v>
      </c>
      <c r="E2520" s="49">
        <v>31</v>
      </c>
      <c r="F2520" s="49">
        <v>2</v>
      </c>
      <c r="G2520" s="49">
        <v>8</v>
      </c>
      <c r="H2520" s="166">
        <v>2023</v>
      </c>
      <c r="I2520" s="166">
        <v>2032</v>
      </c>
      <c r="J2520" s="50">
        <v>1.0826</v>
      </c>
      <c r="K2520" s="50">
        <v>1.0412999999999999</v>
      </c>
      <c r="L2520" s="50">
        <v>0.72560000000000002</v>
      </c>
      <c r="M2520" s="50">
        <v>0.97609999999999997</v>
      </c>
      <c r="N2520" s="50">
        <v>0.8125</v>
      </c>
      <c r="O2520" s="50">
        <v>1.0538000000000001</v>
      </c>
      <c r="P2520" s="49">
        <v>5138</v>
      </c>
      <c r="Q2520" s="51">
        <f t="array" ref="Q2520">SUM(IF(($S2520&gt;=4)*($C2520='TaxCred&amp;Subs'!$D$123:$D$127)*($H2520='TaxCred&amp;Subs'!$C$123:$C$127)*($H2520&lt;='TaxCred&amp;Subs'!$C$129),'TaxCred&amp;Subs'!$E$123:$E$127,0))</f>
        <v>2500</v>
      </c>
      <c r="R2520" s="171">
        <v>0</v>
      </c>
      <c r="S2520" s="49">
        <v>5</v>
      </c>
      <c r="T2520" s="49" t="s">
        <v>225</v>
      </c>
      <c r="U2520"/>
      <c r="V2520" s="153" t="str">
        <f t="array" ref="V2520">INDEX(xlRTCLNAME,MATCH(1,(xlRTCLENDU=1)*(xlRTCLEQCL=$D2520),0))</f>
        <v>WOOD_HT</v>
      </c>
      <c r="W2520" s="153" t="str">
        <f t="array" ref="W2520">INDEX(xlRTCLNAME,MATCH(1,(xlRTCLENDU=2)*(xlRTCLEQCL=$F2520),0))</f>
        <v>CENT_AIR</v>
      </c>
      <c r="X2520" s="153" t="str">
        <f t="array" ref="X2520">INDEX(xlRTTYNAME,MATCH(1,(xlRTTYENDU=1)*(xlRTTYEQCL=$D2520)*(xlRTEQTYPE=$E2520),0))</f>
        <v>WOOD_HT4</v>
      </c>
      <c r="Y2520" s="153" t="str">
        <f t="array" ref="Y2520">INDEX(xlRTTYNAME,MATCH(1,(xlRTTYENDU=2)*(xlRTTYEQCL=$F2520)*(xlRTEQTYPE=$G2520),0))</f>
        <v>CENT_AIR4</v>
      </c>
    </row>
    <row r="2521" spans="1:25" s="157" customFormat="1" x14ac:dyDescent="0.2">
      <c r="A2521"/>
      <c r="B2521" s="126">
        <v>7</v>
      </c>
      <c r="C2521" s="126">
        <v>3</v>
      </c>
      <c r="D2521" s="126">
        <v>9</v>
      </c>
      <c r="E2521" s="126">
        <v>31</v>
      </c>
      <c r="F2521" s="126">
        <v>2</v>
      </c>
      <c r="G2521" s="126">
        <v>8</v>
      </c>
      <c r="H2521" s="143">
        <v>2033</v>
      </c>
      <c r="I2521" s="148">
        <v>2050</v>
      </c>
      <c r="J2521" s="127">
        <v>1.0826</v>
      </c>
      <c r="K2521" s="127">
        <v>1.0412999999999999</v>
      </c>
      <c r="L2521" s="127">
        <v>0.72560000000000002</v>
      </c>
      <c r="M2521" s="127">
        <v>0.97609999999999997</v>
      </c>
      <c r="N2521" s="127">
        <v>0.8125</v>
      </c>
      <c r="O2521" s="127">
        <v>1.0538000000000001</v>
      </c>
      <c r="P2521" s="126">
        <v>5138</v>
      </c>
      <c r="Q2521" s="128">
        <f t="array" ref="Q2521">SUM(IF(($S2521&gt;=4)*($C2521='TaxCred&amp;Subs'!$D$123:$D$127)*($H2521='TaxCred&amp;Subs'!$C$123:$C$127)*($H2521&lt;='TaxCred&amp;Subs'!$C$129),'TaxCred&amp;Subs'!$E$123:$E$127,0))</f>
        <v>0</v>
      </c>
      <c r="R2521" s="174">
        <v>0</v>
      </c>
      <c r="S2521" s="126">
        <v>5</v>
      </c>
      <c r="T2521" s="126" t="s">
        <v>225</v>
      </c>
      <c r="U2521"/>
      <c r="V2521" s="153" t="str">
        <f t="array" ref="V2521">INDEX(xlRTCLNAME,MATCH(1,(xlRTCLENDU=1)*(xlRTCLEQCL=$D2521),0))</f>
        <v>WOOD_HT</v>
      </c>
      <c r="W2521" s="153" t="str">
        <f t="array" ref="W2521">INDEX(xlRTCLNAME,MATCH(1,(xlRTCLENDU=2)*(xlRTCLEQCL=$F2521),0))</f>
        <v>CENT_AIR</v>
      </c>
      <c r="X2521" s="153" t="str">
        <f t="array" ref="X2521">INDEX(xlRTTYNAME,MATCH(1,(xlRTTYENDU=1)*(xlRTTYEQCL=$D2521)*(xlRTEQTYPE=$E2521),0))</f>
        <v>WOOD_HT4</v>
      </c>
      <c r="Y2521" s="153" t="str">
        <f t="array" ref="Y2521">INDEX(xlRTTYNAME,MATCH(1,(xlRTTYENDU=2)*(xlRTTYEQCL=$F2521)*(xlRTEQTYPE=$G2521),0))</f>
        <v>CENT_AIR4</v>
      </c>
    </row>
    <row r="2522" spans="1:25" s="157" customFormat="1" x14ac:dyDescent="0.2">
      <c r="A2522"/>
      <c r="B2522" s="126">
        <v>9</v>
      </c>
      <c r="C2522" s="126">
        <v>3</v>
      </c>
      <c r="D2522" s="126">
        <v>9</v>
      </c>
      <c r="E2522" s="126">
        <v>31</v>
      </c>
      <c r="F2522" s="126">
        <v>2</v>
      </c>
      <c r="G2522" s="126">
        <v>8</v>
      </c>
      <c r="H2522" s="148">
        <v>2016</v>
      </c>
      <c r="I2522" s="143">
        <v>2022</v>
      </c>
      <c r="J2522" s="127">
        <v>1.0845</v>
      </c>
      <c r="K2522" s="127">
        <v>1.0658000000000001</v>
      </c>
      <c r="L2522" s="127">
        <v>0.78159999999999996</v>
      </c>
      <c r="M2522" s="127">
        <v>1.0670999999999999</v>
      </c>
      <c r="N2522" s="127">
        <v>0.84079999999999999</v>
      </c>
      <c r="O2522" s="127">
        <v>1.0538000000000001</v>
      </c>
      <c r="P2522" s="126">
        <v>7270</v>
      </c>
      <c r="Q2522" s="128">
        <f t="array" ref="Q2522">SUM(IF(($S2522&gt;=4)*($C2522='TaxCred&amp;Subs'!$D$123:$D$127)*($H2522='TaxCred&amp;Subs'!$C$123:$C$127)*($H2522&lt;='TaxCred&amp;Subs'!$C$129),'TaxCred&amp;Subs'!$E$123:$E$127,0))</f>
        <v>1000</v>
      </c>
      <c r="R2522" s="174">
        <v>0</v>
      </c>
      <c r="S2522" s="126">
        <v>5</v>
      </c>
      <c r="T2522" s="126" t="s">
        <v>225</v>
      </c>
      <c r="U2522"/>
      <c r="V2522" s="153" t="str">
        <f t="array" ref="V2522">INDEX(xlRTCLNAME,MATCH(1,(xlRTCLENDU=1)*(xlRTCLEQCL=$D2522),0))</f>
        <v>WOOD_HT</v>
      </c>
      <c r="W2522" s="153" t="str">
        <f t="array" ref="W2522">INDEX(xlRTCLNAME,MATCH(1,(xlRTCLENDU=2)*(xlRTCLEQCL=$F2522),0))</f>
        <v>CENT_AIR</v>
      </c>
      <c r="X2522" s="153" t="str">
        <f t="array" ref="X2522">INDEX(xlRTTYNAME,MATCH(1,(xlRTTYENDU=1)*(xlRTTYEQCL=$D2522)*(xlRTEQTYPE=$E2522),0))</f>
        <v>WOOD_HT4</v>
      </c>
      <c r="Y2522" s="153" t="str">
        <f t="array" ref="Y2522">INDEX(xlRTTYNAME,MATCH(1,(xlRTTYENDU=2)*(xlRTTYEQCL=$F2522)*(xlRTEQTYPE=$G2522),0))</f>
        <v>CENT_AIR4</v>
      </c>
    </row>
    <row r="2523" spans="1:25" s="157" customFormat="1" x14ac:dyDescent="0.2">
      <c r="A2523"/>
      <c r="B2523" s="49">
        <v>9</v>
      </c>
      <c r="C2523" s="49">
        <v>3</v>
      </c>
      <c r="D2523" s="49">
        <v>9</v>
      </c>
      <c r="E2523" s="49">
        <v>31</v>
      </c>
      <c r="F2523" s="49">
        <v>2</v>
      </c>
      <c r="G2523" s="49">
        <v>8</v>
      </c>
      <c r="H2523" s="166">
        <v>2023</v>
      </c>
      <c r="I2523" s="166">
        <v>2032</v>
      </c>
      <c r="J2523" s="50">
        <v>1.0845</v>
      </c>
      <c r="K2523" s="50">
        <v>1.0658000000000001</v>
      </c>
      <c r="L2523" s="50">
        <v>0.78159999999999996</v>
      </c>
      <c r="M2523" s="50">
        <v>1.0670999999999999</v>
      </c>
      <c r="N2523" s="50">
        <v>0.84079999999999999</v>
      </c>
      <c r="O2523" s="50">
        <v>1.0538000000000001</v>
      </c>
      <c r="P2523" s="49">
        <v>7270</v>
      </c>
      <c r="Q2523" s="51">
        <f t="array" ref="Q2523">SUM(IF(($S2523&gt;=4)*($C2523='TaxCred&amp;Subs'!$D$123:$D$127)*($H2523='TaxCred&amp;Subs'!$C$123:$C$127)*($H2523&lt;='TaxCred&amp;Subs'!$C$129),'TaxCred&amp;Subs'!$E$123:$E$127,0))</f>
        <v>2500</v>
      </c>
      <c r="R2523" s="171">
        <v>0</v>
      </c>
      <c r="S2523" s="49">
        <v>5</v>
      </c>
      <c r="T2523" s="49" t="s">
        <v>225</v>
      </c>
      <c r="U2523"/>
      <c r="V2523" s="153" t="str">
        <f t="array" ref="V2523">INDEX(xlRTCLNAME,MATCH(1,(xlRTCLENDU=1)*(xlRTCLEQCL=$D2523),0))</f>
        <v>WOOD_HT</v>
      </c>
      <c r="W2523" s="153" t="str">
        <f t="array" ref="W2523">INDEX(xlRTCLNAME,MATCH(1,(xlRTCLENDU=2)*(xlRTCLEQCL=$F2523),0))</f>
        <v>CENT_AIR</v>
      </c>
      <c r="X2523" s="153" t="str">
        <f t="array" ref="X2523">INDEX(xlRTTYNAME,MATCH(1,(xlRTTYENDU=1)*(xlRTTYEQCL=$D2523)*(xlRTEQTYPE=$E2523),0))</f>
        <v>WOOD_HT4</v>
      </c>
      <c r="Y2523" s="153" t="str">
        <f t="array" ref="Y2523">INDEX(xlRTTYNAME,MATCH(1,(xlRTTYENDU=2)*(xlRTTYEQCL=$F2523)*(xlRTEQTYPE=$G2523),0))</f>
        <v>CENT_AIR4</v>
      </c>
    </row>
    <row r="2524" spans="1:25" s="157" customFormat="1" x14ac:dyDescent="0.2">
      <c r="A2524"/>
      <c r="B2524" s="126">
        <v>9</v>
      </c>
      <c r="C2524" s="126">
        <v>3</v>
      </c>
      <c r="D2524" s="126">
        <v>9</v>
      </c>
      <c r="E2524" s="126">
        <v>31</v>
      </c>
      <c r="F2524" s="126">
        <v>2</v>
      </c>
      <c r="G2524" s="126">
        <v>8</v>
      </c>
      <c r="H2524" s="143">
        <v>2033</v>
      </c>
      <c r="I2524" s="148">
        <v>2050</v>
      </c>
      <c r="J2524" s="127">
        <v>1.0845</v>
      </c>
      <c r="K2524" s="127">
        <v>1.0658000000000001</v>
      </c>
      <c r="L2524" s="127">
        <v>0.78159999999999996</v>
      </c>
      <c r="M2524" s="127">
        <v>1.0670999999999999</v>
      </c>
      <c r="N2524" s="127">
        <v>0.84079999999999999</v>
      </c>
      <c r="O2524" s="127">
        <v>1.0538000000000001</v>
      </c>
      <c r="P2524" s="126">
        <v>7270</v>
      </c>
      <c r="Q2524" s="128">
        <f t="array" ref="Q2524">SUM(IF(($S2524&gt;=4)*($C2524='TaxCred&amp;Subs'!$D$123:$D$127)*($H2524='TaxCred&amp;Subs'!$C$123:$C$127)*($H2524&lt;='TaxCred&amp;Subs'!$C$129),'TaxCred&amp;Subs'!$E$123:$E$127,0))</f>
        <v>0</v>
      </c>
      <c r="R2524" s="174">
        <v>0</v>
      </c>
      <c r="S2524" s="126">
        <v>5</v>
      </c>
      <c r="T2524" s="126" t="s">
        <v>225</v>
      </c>
      <c r="U2524"/>
      <c r="V2524" s="153" t="str">
        <f t="array" ref="V2524">INDEX(xlRTCLNAME,MATCH(1,(xlRTCLENDU=1)*(xlRTCLEQCL=$D2524),0))</f>
        <v>WOOD_HT</v>
      </c>
      <c r="W2524" s="153" t="str">
        <f t="array" ref="W2524">INDEX(xlRTCLNAME,MATCH(1,(xlRTCLENDU=2)*(xlRTCLEQCL=$F2524),0))</f>
        <v>CENT_AIR</v>
      </c>
      <c r="X2524" s="153" t="str">
        <f t="array" ref="X2524">INDEX(xlRTTYNAME,MATCH(1,(xlRTTYENDU=1)*(xlRTTYEQCL=$D2524)*(xlRTEQTYPE=$E2524),0))</f>
        <v>WOOD_HT4</v>
      </c>
      <c r="Y2524" s="153" t="str">
        <f t="array" ref="Y2524">INDEX(xlRTTYNAME,MATCH(1,(xlRTTYENDU=2)*(xlRTTYEQCL=$F2524)*(xlRTEQTYPE=$G2524),0))</f>
        <v>CENT_AIR4</v>
      </c>
    </row>
    <row r="2525" spans="1:25" s="157" customFormat="1" x14ac:dyDescent="0.2">
      <c r="A2525"/>
      <c r="B2525" s="126">
        <v>2</v>
      </c>
      <c r="C2525" s="126">
        <v>3</v>
      </c>
      <c r="D2525" s="126">
        <v>10</v>
      </c>
      <c r="E2525" s="126">
        <v>35</v>
      </c>
      <c r="F2525" s="126">
        <v>4</v>
      </c>
      <c r="G2525" s="126">
        <v>16</v>
      </c>
      <c r="H2525" s="148">
        <v>2016</v>
      </c>
      <c r="I2525" s="143">
        <v>2022</v>
      </c>
      <c r="J2525" s="127">
        <v>1.0832999999999999</v>
      </c>
      <c r="K2525" s="127">
        <v>1.0713999999999999</v>
      </c>
      <c r="L2525" s="127">
        <v>0.74970000000000003</v>
      </c>
      <c r="M2525" s="127">
        <v>1.1306</v>
      </c>
      <c r="N2525" s="127">
        <v>0.86450000000000005</v>
      </c>
      <c r="O2525" s="127">
        <v>1.0538000000000001</v>
      </c>
      <c r="P2525" s="126">
        <v>6885</v>
      </c>
      <c r="Q2525" s="128">
        <f t="array" ref="Q2525">SUM(IF(($S2525&gt;=4)*($C2525='TaxCred&amp;Subs'!$D$123:$D$127)*($H2525='TaxCred&amp;Subs'!$C$123:$C$127)*($H2525&lt;='TaxCred&amp;Subs'!$C$129),'TaxCred&amp;Subs'!$E$123:$E$127,0))</f>
        <v>1000</v>
      </c>
      <c r="R2525" s="174">
        <v>0</v>
      </c>
      <c r="S2525" s="126">
        <v>5</v>
      </c>
      <c r="T2525" s="126" t="s">
        <v>225</v>
      </c>
      <c r="U2525"/>
      <c r="V2525" s="153" t="str">
        <f t="array" ref="V2525">INDEX(xlRTCLNAME,MATCH(1,(xlRTCLENDU=1)*(xlRTCLEQCL=$D2525),0))</f>
        <v>GEO_HP</v>
      </c>
      <c r="W2525" s="153" t="str">
        <f t="array" ref="W2525">INDEX(xlRTCLNAME,MATCH(1,(xlRTCLENDU=2)*(xlRTCLEQCL=$F2525),0))</f>
        <v>GEO_HP</v>
      </c>
      <c r="X2525" s="153" t="str">
        <f t="array" ref="X2525">INDEX(xlRTTYNAME,MATCH(1,(xlRTTYENDU=1)*(xlRTTYEQCL=$D2525)*(xlRTEQTYPE=$E2525),0))</f>
        <v>GEO_HP4</v>
      </c>
      <c r="Y2525" s="153" t="str">
        <f t="array" ref="Y2525">INDEX(xlRTTYNAME,MATCH(1,(xlRTTYENDU=2)*(xlRTTYEQCL=$F2525)*(xlRTEQTYPE=$G2525),0))</f>
        <v>GEO_HP4</v>
      </c>
    </row>
    <row r="2526" spans="1:25" s="157" customFormat="1" x14ac:dyDescent="0.2">
      <c r="A2526"/>
      <c r="B2526" s="49">
        <v>2</v>
      </c>
      <c r="C2526" s="49">
        <v>3</v>
      </c>
      <c r="D2526" s="49">
        <v>10</v>
      </c>
      <c r="E2526" s="49">
        <v>35</v>
      </c>
      <c r="F2526" s="49">
        <v>4</v>
      </c>
      <c r="G2526" s="49">
        <v>16</v>
      </c>
      <c r="H2526" s="166">
        <v>2023</v>
      </c>
      <c r="I2526" s="166">
        <v>2032</v>
      </c>
      <c r="J2526" s="50">
        <v>1.0832999999999999</v>
      </c>
      <c r="K2526" s="50">
        <v>1.0713999999999999</v>
      </c>
      <c r="L2526" s="50">
        <v>0.74970000000000003</v>
      </c>
      <c r="M2526" s="50">
        <v>1.1306</v>
      </c>
      <c r="N2526" s="50">
        <v>0.86450000000000005</v>
      </c>
      <c r="O2526" s="50">
        <v>1.0538000000000001</v>
      </c>
      <c r="P2526" s="49">
        <v>6885</v>
      </c>
      <c r="Q2526" s="51">
        <f t="array" ref="Q2526">SUM(IF(($S2526&gt;=4)*($C2526='TaxCred&amp;Subs'!$D$123:$D$127)*($H2526='TaxCred&amp;Subs'!$C$123:$C$127)*($H2526&lt;='TaxCred&amp;Subs'!$C$129),'TaxCred&amp;Subs'!$E$123:$E$127,0))</f>
        <v>2500</v>
      </c>
      <c r="R2526" s="171">
        <v>0</v>
      </c>
      <c r="S2526" s="49">
        <v>5</v>
      </c>
      <c r="T2526" s="49" t="s">
        <v>225</v>
      </c>
      <c r="U2526"/>
      <c r="V2526" s="153" t="str">
        <f t="array" ref="V2526">INDEX(xlRTCLNAME,MATCH(1,(xlRTCLENDU=1)*(xlRTCLEQCL=$D2526),0))</f>
        <v>GEO_HP</v>
      </c>
      <c r="W2526" s="153" t="str">
        <f t="array" ref="W2526">INDEX(xlRTCLNAME,MATCH(1,(xlRTCLENDU=2)*(xlRTCLEQCL=$F2526),0))</f>
        <v>GEO_HP</v>
      </c>
      <c r="X2526" s="153" t="str">
        <f t="array" ref="X2526">INDEX(xlRTTYNAME,MATCH(1,(xlRTTYENDU=1)*(xlRTTYEQCL=$D2526)*(xlRTEQTYPE=$E2526),0))</f>
        <v>GEO_HP4</v>
      </c>
      <c r="Y2526" s="153" t="str">
        <f t="array" ref="Y2526">INDEX(xlRTTYNAME,MATCH(1,(xlRTTYENDU=2)*(xlRTTYEQCL=$F2526)*(xlRTEQTYPE=$G2526),0))</f>
        <v>GEO_HP4</v>
      </c>
    </row>
    <row r="2527" spans="1:25" s="157" customFormat="1" x14ac:dyDescent="0.2">
      <c r="A2527"/>
      <c r="B2527" s="126">
        <v>2</v>
      </c>
      <c r="C2527" s="126">
        <v>3</v>
      </c>
      <c r="D2527" s="126">
        <v>10</v>
      </c>
      <c r="E2527" s="126">
        <v>35</v>
      </c>
      <c r="F2527" s="126">
        <v>4</v>
      </c>
      <c r="G2527" s="126">
        <v>16</v>
      </c>
      <c r="H2527" s="143">
        <v>2033</v>
      </c>
      <c r="I2527" s="148">
        <v>2050</v>
      </c>
      <c r="J2527" s="127">
        <v>1.0832999999999999</v>
      </c>
      <c r="K2527" s="127">
        <v>1.0713999999999999</v>
      </c>
      <c r="L2527" s="127">
        <v>0.74970000000000003</v>
      </c>
      <c r="M2527" s="127">
        <v>1.1306</v>
      </c>
      <c r="N2527" s="127">
        <v>0.86450000000000005</v>
      </c>
      <c r="O2527" s="127">
        <v>1.0538000000000001</v>
      </c>
      <c r="P2527" s="126">
        <v>6885</v>
      </c>
      <c r="Q2527" s="128">
        <f t="array" ref="Q2527">SUM(IF(($S2527&gt;=4)*($C2527='TaxCred&amp;Subs'!$D$123:$D$127)*($H2527='TaxCred&amp;Subs'!$C$123:$C$127)*($H2527&lt;='TaxCred&amp;Subs'!$C$129),'TaxCred&amp;Subs'!$E$123:$E$127,0))</f>
        <v>0</v>
      </c>
      <c r="R2527" s="174">
        <v>0</v>
      </c>
      <c r="S2527" s="126">
        <v>5</v>
      </c>
      <c r="T2527" s="126" t="s">
        <v>225</v>
      </c>
      <c r="U2527"/>
      <c r="V2527" s="153" t="str">
        <f t="array" ref="V2527">INDEX(xlRTCLNAME,MATCH(1,(xlRTCLENDU=1)*(xlRTCLEQCL=$D2527),0))</f>
        <v>GEO_HP</v>
      </c>
      <c r="W2527" s="153" t="str">
        <f t="array" ref="W2527">INDEX(xlRTCLNAME,MATCH(1,(xlRTCLENDU=2)*(xlRTCLEQCL=$F2527),0))</f>
        <v>GEO_HP</v>
      </c>
      <c r="X2527" s="153" t="str">
        <f t="array" ref="X2527">INDEX(xlRTTYNAME,MATCH(1,(xlRTTYENDU=1)*(xlRTTYEQCL=$D2527)*(xlRTEQTYPE=$E2527),0))</f>
        <v>GEO_HP4</v>
      </c>
      <c r="Y2527" s="153" t="str">
        <f t="array" ref="Y2527">INDEX(xlRTTYNAME,MATCH(1,(xlRTTYENDU=2)*(xlRTTYEQCL=$F2527)*(xlRTEQTYPE=$G2527),0))</f>
        <v>GEO_HP4</v>
      </c>
    </row>
    <row r="2528" spans="1:25" s="157" customFormat="1" x14ac:dyDescent="0.2">
      <c r="A2528"/>
      <c r="B2528" s="126">
        <v>5</v>
      </c>
      <c r="C2528" s="126">
        <v>3</v>
      </c>
      <c r="D2528" s="126">
        <v>10</v>
      </c>
      <c r="E2528" s="126">
        <v>35</v>
      </c>
      <c r="F2528" s="126">
        <v>4</v>
      </c>
      <c r="G2528" s="126">
        <v>16</v>
      </c>
      <c r="H2528" s="148">
        <v>2016</v>
      </c>
      <c r="I2528" s="143">
        <v>2022</v>
      </c>
      <c r="J2528" s="127">
        <v>1.1071</v>
      </c>
      <c r="K2528" s="127">
        <v>1.03</v>
      </c>
      <c r="L2528" s="127">
        <v>0.72740000000000005</v>
      </c>
      <c r="M2528" s="127">
        <v>0.98119999999999996</v>
      </c>
      <c r="N2528" s="127">
        <v>0.84109999999999996</v>
      </c>
      <c r="O2528" s="127">
        <v>1.0538000000000001</v>
      </c>
      <c r="P2528" s="126">
        <v>5495</v>
      </c>
      <c r="Q2528" s="128">
        <f t="array" ref="Q2528">SUM(IF(($S2528&gt;=4)*($C2528='TaxCred&amp;Subs'!$D$123:$D$127)*($H2528='TaxCred&amp;Subs'!$C$123:$C$127)*($H2528&lt;='TaxCred&amp;Subs'!$C$129),'TaxCred&amp;Subs'!$E$123:$E$127,0))</f>
        <v>1000</v>
      </c>
      <c r="R2528" s="174">
        <v>0</v>
      </c>
      <c r="S2528" s="126">
        <v>5</v>
      </c>
      <c r="T2528" s="126" t="s">
        <v>225</v>
      </c>
      <c r="U2528"/>
      <c r="V2528" s="153" t="str">
        <f t="array" ref="V2528">INDEX(xlRTCLNAME,MATCH(1,(xlRTCLENDU=1)*(xlRTCLEQCL=$D2528),0))</f>
        <v>GEO_HP</v>
      </c>
      <c r="W2528" s="153" t="str">
        <f t="array" ref="W2528">INDEX(xlRTCLNAME,MATCH(1,(xlRTCLENDU=2)*(xlRTCLEQCL=$F2528),0))</f>
        <v>GEO_HP</v>
      </c>
      <c r="X2528" s="153" t="str">
        <f t="array" ref="X2528">INDEX(xlRTTYNAME,MATCH(1,(xlRTTYENDU=1)*(xlRTTYEQCL=$D2528)*(xlRTEQTYPE=$E2528),0))</f>
        <v>GEO_HP4</v>
      </c>
      <c r="Y2528" s="153" t="str">
        <f t="array" ref="Y2528">INDEX(xlRTTYNAME,MATCH(1,(xlRTTYENDU=2)*(xlRTTYEQCL=$F2528)*(xlRTEQTYPE=$G2528),0))</f>
        <v>GEO_HP4</v>
      </c>
    </row>
    <row r="2529" spans="1:25" s="157" customFormat="1" x14ac:dyDescent="0.2">
      <c r="A2529"/>
      <c r="B2529" s="49">
        <v>5</v>
      </c>
      <c r="C2529" s="49">
        <v>3</v>
      </c>
      <c r="D2529" s="49">
        <v>10</v>
      </c>
      <c r="E2529" s="49">
        <v>35</v>
      </c>
      <c r="F2529" s="49">
        <v>4</v>
      </c>
      <c r="G2529" s="49">
        <v>16</v>
      </c>
      <c r="H2529" s="166">
        <v>2023</v>
      </c>
      <c r="I2529" s="166">
        <v>2032</v>
      </c>
      <c r="J2529" s="50">
        <v>1.1071</v>
      </c>
      <c r="K2529" s="50">
        <v>1.03</v>
      </c>
      <c r="L2529" s="50">
        <v>0.72740000000000005</v>
      </c>
      <c r="M2529" s="50">
        <v>0.98119999999999996</v>
      </c>
      <c r="N2529" s="50">
        <v>0.84109999999999996</v>
      </c>
      <c r="O2529" s="50">
        <v>1.0538000000000001</v>
      </c>
      <c r="P2529" s="49">
        <v>5495</v>
      </c>
      <c r="Q2529" s="51">
        <f t="array" ref="Q2529">SUM(IF(($S2529&gt;=4)*($C2529='TaxCred&amp;Subs'!$D$123:$D$127)*($H2529='TaxCred&amp;Subs'!$C$123:$C$127)*($H2529&lt;='TaxCred&amp;Subs'!$C$129),'TaxCred&amp;Subs'!$E$123:$E$127,0))</f>
        <v>2500</v>
      </c>
      <c r="R2529" s="171">
        <v>0</v>
      </c>
      <c r="S2529" s="49">
        <v>5</v>
      </c>
      <c r="T2529" s="49" t="s">
        <v>225</v>
      </c>
      <c r="U2529"/>
      <c r="V2529" s="153" t="str">
        <f t="array" ref="V2529">INDEX(xlRTCLNAME,MATCH(1,(xlRTCLENDU=1)*(xlRTCLEQCL=$D2529),0))</f>
        <v>GEO_HP</v>
      </c>
      <c r="W2529" s="153" t="str">
        <f t="array" ref="W2529">INDEX(xlRTCLNAME,MATCH(1,(xlRTCLENDU=2)*(xlRTCLEQCL=$F2529),0))</f>
        <v>GEO_HP</v>
      </c>
      <c r="X2529" s="153" t="str">
        <f t="array" ref="X2529">INDEX(xlRTTYNAME,MATCH(1,(xlRTTYENDU=1)*(xlRTTYEQCL=$D2529)*(xlRTEQTYPE=$E2529),0))</f>
        <v>GEO_HP4</v>
      </c>
      <c r="Y2529" s="153" t="str">
        <f t="array" ref="Y2529">INDEX(xlRTTYNAME,MATCH(1,(xlRTTYENDU=2)*(xlRTTYEQCL=$F2529)*(xlRTEQTYPE=$G2529),0))</f>
        <v>GEO_HP4</v>
      </c>
    </row>
    <row r="2530" spans="1:25" s="157" customFormat="1" x14ac:dyDescent="0.2">
      <c r="A2530"/>
      <c r="B2530" s="126">
        <v>5</v>
      </c>
      <c r="C2530" s="126">
        <v>3</v>
      </c>
      <c r="D2530" s="126">
        <v>10</v>
      </c>
      <c r="E2530" s="126">
        <v>35</v>
      </c>
      <c r="F2530" s="126">
        <v>4</v>
      </c>
      <c r="G2530" s="126">
        <v>16</v>
      </c>
      <c r="H2530" s="143">
        <v>2033</v>
      </c>
      <c r="I2530" s="148">
        <v>2050</v>
      </c>
      <c r="J2530" s="127">
        <v>1.1071</v>
      </c>
      <c r="K2530" s="127">
        <v>1.03</v>
      </c>
      <c r="L2530" s="127">
        <v>0.72740000000000005</v>
      </c>
      <c r="M2530" s="127">
        <v>0.98119999999999996</v>
      </c>
      <c r="N2530" s="127">
        <v>0.84109999999999996</v>
      </c>
      <c r="O2530" s="127">
        <v>1.0538000000000001</v>
      </c>
      <c r="P2530" s="126">
        <v>5495</v>
      </c>
      <c r="Q2530" s="128">
        <f t="array" ref="Q2530">SUM(IF(($S2530&gt;=4)*($C2530='TaxCred&amp;Subs'!$D$123:$D$127)*($H2530='TaxCred&amp;Subs'!$C$123:$C$127)*($H2530&lt;='TaxCred&amp;Subs'!$C$129),'TaxCred&amp;Subs'!$E$123:$E$127,0))</f>
        <v>0</v>
      </c>
      <c r="R2530" s="174">
        <v>0</v>
      </c>
      <c r="S2530" s="126">
        <v>5</v>
      </c>
      <c r="T2530" s="126" t="s">
        <v>225</v>
      </c>
      <c r="U2530"/>
      <c r="V2530" s="153" t="str">
        <f t="array" ref="V2530">INDEX(xlRTCLNAME,MATCH(1,(xlRTCLENDU=1)*(xlRTCLEQCL=$D2530),0))</f>
        <v>GEO_HP</v>
      </c>
      <c r="W2530" s="153" t="str">
        <f t="array" ref="W2530">INDEX(xlRTCLNAME,MATCH(1,(xlRTCLENDU=2)*(xlRTCLEQCL=$F2530),0))</f>
        <v>GEO_HP</v>
      </c>
      <c r="X2530" s="153" t="str">
        <f t="array" ref="X2530">INDEX(xlRTTYNAME,MATCH(1,(xlRTTYENDU=1)*(xlRTTYEQCL=$D2530)*(xlRTEQTYPE=$E2530),0))</f>
        <v>GEO_HP4</v>
      </c>
      <c r="Y2530" s="153" t="str">
        <f t="array" ref="Y2530">INDEX(xlRTTYNAME,MATCH(1,(xlRTTYENDU=2)*(xlRTTYEQCL=$F2530)*(xlRTEQTYPE=$G2530),0))</f>
        <v>GEO_HP4</v>
      </c>
    </row>
    <row r="2531" spans="1:25" s="157" customFormat="1" x14ac:dyDescent="0.2">
      <c r="A2531"/>
      <c r="B2531" s="126">
        <v>6</v>
      </c>
      <c r="C2531" s="126">
        <v>3</v>
      </c>
      <c r="D2531" s="126">
        <v>10</v>
      </c>
      <c r="E2531" s="126">
        <v>35</v>
      </c>
      <c r="F2531" s="126">
        <v>4</v>
      </c>
      <c r="G2531" s="126">
        <v>16</v>
      </c>
      <c r="H2531" s="148">
        <v>2016</v>
      </c>
      <c r="I2531" s="143">
        <v>2022</v>
      </c>
      <c r="J2531" s="127">
        <v>1.0909</v>
      </c>
      <c r="K2531" s="127">
        <v>1.0588</v>
      </c>
      <c r="L2531" s="127">
        <v>0.70550000000000002</v>
      </c>
      <c r="M2531" s="127">
        <v>0.98809999999999998</v>
      </c>
      <c r="N2531" s="127">
        <v>0.80820000000000003</v>
      </c>
      <c r="O2531" s="127">
        <v>1.0538000000000001</v>
      </c>
      <c r="P2531" s="126">
        <v>5435</v>
      </c>
      <c r="Q2531" s="128">
        <f t="array" ref="Q2531">SUM(IF(($S2531&gt;=4)*($C2531='TaxCred&amp;Subs'!$D$123:$D$127)*($H2531='TaxCred&amp;Subs'!$C$123:$C$127)*($H2531&lt;='TaxCred&amp;Subs'!$C$129),'TaxCred&amp;Subs'!$E$123:$E$127,0))</f>
        <v>1000</v>
      </c>
      <c r="R2531" s="174">
        <v>0</v>
      </c>
      <c r="S2531" s="126">
        <v>5</v>
      </c>
      <c r="T2531" s="126" t="s">
        <v>225</v>
      </c>
      <c r="U2531"/>
      <c r="V2531" s="153" t="str">
        <f t="array" ref="V2531">INDEX(xlRTCLNAME,MATCH(1,(xlRTCLENDU=1)*(xlRTCLEQCL=$D2531),0))</f>
        <v>GEO_HP</v>
      </c>
      <c r="W2531" s="153" t="str">
        <f t="array" ref="W2531">INDEX(xlRTCLNAME,MATCH(1,(xlRTCLENDU=2)*(xlRTCLEQCL=$F2531),0))</f>
        <v>GEO_HP</v>
      </c>
      <c r="X2531" s="153" t="str">
        <f t="array" ref="X2531">INDEX(xlRTTYNAME,MATCH(1,(xlRTTYENDU=1)*(xlRTTYEQCL=$D2531)*(xlRTEQTYPE=$E2531),0))</f>
        <v>GEO_HP4</v>
      </c>
      <c r="Y2531" s="153" t="str">
        <f t="array" ref="Y2531">INDEX(xlRTTYNAME,MATCH(1,(xlRTTYENDU=2)*(xlRTTYEQCL=$F2531)*(xlRTEQTYPE=$G2531),0))</f>
        <v>GEO_HP4</v>
      </c>
    </row>
    <row r="2532" spans="1:25" s="157" customFormat="1" x14ac:dyDescent="0.2">
      <c r="A2532"/>
      <c r="B2532" s="49">
        <v>6</v>
      </c>
      <c r="C2532" s="49">
        <v>3</v>
      </c>
      <c r="D2532" s="49">
        <v>10</v>
      </c>
      <c r="E2532" s="49">
        <v>35</v>
      </c>
      <c r="F2532" s="49">
        <v>4</v>
      </c>
      <c r="G2532" s="49">
        <v>16</v>
      </c>
      <c r="H2532" s="166">
        <v>2023</v>
      </c>
      <c r="I2532" s="166">
        <v>2032</v>
      </c>
      <c r="J2532" s="50">
        <v>1.0909</v>
      </c>
      <c r="K2532" s="50">
        <v>1.0588</v>
      </c>
      <c r="L2532" s="50">
        <v>0.70550000000000002</v>
      </c>
      <c r="M2532" s="50">
        <v>0.98809999999999998</v>
      </c>
      <c r="N2532" s="50">
        <v>0.80820000000000003</v>
      </c>
      <c r="O2532" s="50">
        <v>1.0538000000000001</v>
      </c>
      <c r="P2532" s="49">
        <v>5435</v>
      </c>
      <c r="Q2532" s="51">
        <f t="array" ref="Q2532">SUM(IF(($S2532&gt;=4)*($C2532='TaxCred&amp;Subs'!$D$123:$D$127)*($H2532='TaxCred&amp;Subs'!$C$123:$C$127)*($H2532&lt;='TaxCred&amp;Subs'!$C$129),'TaxCred&amp;Subs'!$E$123:$E$127,0))</f>
        <v>2500</v>
      </c>
      <c r="R2532" s="171">
        <v>0</v>
      </c>
      <c r="S2532" s="49">
        <v>5</v>
      </c>
      <c r="T2532" s="49" t="s">
        <v>225</v>
      </c>
      <c r="U2532"/>
      <c r="V2532" s="153" t="str">
        <f t="array" ref="V2532">INDEX(xlRTCLNAME,MATCH(1,(xlRTCLENDU=1)*(xlRTCLEQCL=$D2532),0))</f>
        <v>GEO_HP</v>
      </c>
      <c r="W2532" s="153" t="str">
        <f t="array" ref="W2532">INDEX(xlRTCLNAME,MATCH(1,(xlRTCLENDU=2)*(xlRTCLEQCL=$F2532),0))</f>
        <v>GEO_HP</v>
      </c>
      <c r="X2532" s="153" t="str">
        <f t="array" ref="X2532">INDEX(xlRTTYNAME,MATCH(1,(xlRTTYENDU=1)*(xlRTTYEQCL=$D2532)*(xlRTEQTYPE=$E2532),0))</f>
        <v>GEO_HP4</v>
      </c>
      <c r="Y2532" s="153" t="str">
        <f t="array" ref="Y2532">INDEX(xlRTTYNAME,MATCH(1,(xlRTTYENDU=2)*(xlRTTYEQCL=$F2532)*(xlRTEQTYPE=$G2532),0))</f>
        <v>GEO_HP4</v>
      </c>
    </row>
    <row r="2533" spans="1:25" s="157" customFormat="1" x14ac:dyDescent="0.2">
      <c r="A2533"/>
      <c r="B2533" s="126">
        <v>6</v>
      </c>
      <c r="C2533" s="126">
        <v>3</v>
      </c>
      <c r="D2533" s="126">
        <v>10</v>
      </c>
      <c r="E2533" s="126">
        <v>35</v>
      </c>
      <c r="F2533" s="126">
        <v>4</v>
      </c>
      <c r="G2533" s="126">
        <v>16</v>
      </c>
      <c r="H2533" s="143">
        <v>2033</v>
      </c>
      <c r="I2533" s="148">
        <v>2050</v>
      </c>
      <c r="J2533" s="127">
        <v>1.0909</v>
      </c>
      <c r="K2533" s="127">
        <v>1.0588</v>
      </c>
      <c r="L2533" s="127">
        <v>0.70550000000000002</v>
      </c>
      <c r="M2533" s="127">
        <v>0.98809999999999998</v>
      </c>
      <c r="N2533" s="127">
        <v>0.80820000000000003</v>
      </c>
      <c r="O2533" s="127">
        <v>1.0538000000000001</v>
      </c>
      <c r="P2533" s="126">
        <v>5435</v>
      </c>
      <c r="Q2533" s="128">
        <f t="array" ref="Q2533">SUM(IF(($S2533&gt;=4)*($C2533='TaxCred&amp;Subs'!$D$123:$D$127)*($H2533='TaxCred&amp;Subs'!$C$123:$C$127)*($H2533&lt;='TaxCred&amp;Subs'!$C$129),'TaxCred&amp;Subs'!$E$123:$E$127,0))</f>
        <v>0</v>
      </c>
      <c r="R2533" s="174">
        <v>0</v>
      </c>
      <c r="S2533" s="126">
        <v>5</v>
      </c>
      <c r="T2533" s="126" t="s">
        <v>225</v>
      </c>
      <c r="U2533"/>
      <c r="V2533" s="153" t="str">
        <f t="array" ref="V2533">INDEX(xlRTCLNAME,MATCH(1,(xlRTCLENDU=1)*(xlRTCLEQCL=$D2533),0))</f>
        <v>GEO_HP</v>
      </c>
      <c r="W2533" s="153" t="str">
        <f t="array" ref="W2533">INDEX(xlRTCLNAME,MATCH(1,(xlRTCLENDU=2)*(xlRTCLEQCL=$F2533),0))</f>
        <v>GEO_HP</v>
      </c>
      <c r="X2533" s="153" t="str">
        <f t="array" ref="X2533">INDEX(xlRTTYNAME,MATCH(1,(xlRTTYENDU=1)*(xlRTTYEQCL=$D2533)*(xlRTEQTYPE=$E2533),0))</f>
        <v>GEO_HP4</v>
      </c>
      <c r="Y2533" s="153" t="str">
        <f t="array" ref="Y2533">INDEX(xlRTTYNAME,MATCH(1,(xlRTTYENDU=2)*(xlRTTYEQCL=$F2533)*(xlRTEQTYPE=$G2533),0))</f>
        <v>GEO_HP4</v>
      </c>
    </row>
    <row r="2534" spans="1:25" s="157" customFormat="1" x14ac:dyDescent="0.2">
      <c r="A2534"/>
      <c r="B2534" s="126">
        <v>7</v>
      </c>
      <c r="C2534" s="126">
        <v>3</v>
      </c>
      <c r="D2534" s="126">
        <v>10</v>
      </c>
      <c r="E2534" s="126">
        <v>35</v>
      </c>
      <c r="F2534" s="126">
        <v>4</v>
      </c>
      <c r="G2534" s="126">
        <v>16</v>
      </c>
      <c r="H2534" s="148">
        <v>2016</v>
      </c>
      <c r="I2534" s="143">
        <v>2022</v>
      </c>
      <c r="J2534" s="127">
        <v>1.0968</v>
      </c>
      <c r="K2534" s="127">
        <v>1.036</v>
      </c>
      <c r="L2534" s="127">
        <v>0.71950000000000003</v>
      </c>
      <c r="M2534" s="127">
        <v>0.98899999999999999</v>
      </c>
      <c r="N2534" s="127">
        <v>0.81950000000000001</v>
      </c>
      <c r="O2534" s="127">
        <v>1.0538000000000001</v>
      </c>
      <c r="P2534" s="126">
        <v>5138</v>
      </c>
      <c r="Q2534" s="128">
        <f t="array" ref="Q2534">SUM(IF(($S2534&gt;=4)*($C2534='TaxCred&amp;Subs'!$D$123:$D$127)*($H2534='TaxCred&amp;Subs'!$C$123:$C$127)*($H2534&lt;='TaxCred&amp;Subs'!$C$129),'TaxCred&amp;Subs'!$E$123:$E$127,0))</f>
        <v>1000</v>
      </c>
      <c r="R2534" s="174">
        <v>0</v>
      </c>
      <c r="S2534" s="126">
        <v>5</v>
      </c>
      <c r="T2534" s="126" t="s">
        <v>225</v>
      </c>
      <c r="U2534"/>
      <c r="V2534" s="153" t="str">
        <f t="array" ref="V2534">INDEX(xlRTCLNAME,MATCH(1,(xlRTCLENDU=1)*(xlRTCLEQCL=$D2534),0))</f>
        <v>GEO_HP</v>
      </c>
      <c r="W2534" s="153" t="str">
        <f t="array" ref="W2534">INDEX(xlRTCLNAME,MATCH(1,(xlRTCLENDU=2)*(xlRTCLEQCL=$F2534),0))</f>
        <v>GEO_HP</v>
      </c>
      <c r="X2534" s="153" t="str">
        <f t="array" ref="X2534">INDEX(xlRTTYNAME,MATCH(1,(xlRTTYENDU=1)*(xlRTTYEQCL=$D2534)*(xlRTEQTYPE=$E2534),0))</f>
        <v>GEO_HP4</v>
      </c>
      <c r="Y2534" s="153" t="str">
        <f t="array" ref="Y2534">INDEX(xlRTTYNAME,MATCH(1,(xlRTTYENDU=2)*(xlRTTYEQCL=$F2534)*(xlRTEQTYPE=$G2534),0))</f>
        <v>GEO_HP4</v>
      </c>
    </row>
    <row r="2535" spans="1:25" s="157" customFormat="1" x14ac:dyDescent="0.2">
      <c r="A2535"/>
      <c r="B2535" s="49">
        <v>7</v>
      </c>
      <c r="C2535" s="49">
        <v>3</v>
      </c>
      <c r="D2535" s="49">
        <v>10</v>
      </c>
      <c r="E2535" s="49">
        <v>35</v>
      </c>
      <c r="F2535" s="49">
        <v>4</v>
      </c>
      <c r="G2535" s="49">
        <v>16</v>
      </c>
      <c r="H2535" s="166">
        <v>2023</v>
      </c>
      <c r="I2535" s="166">
        <v>2032</v>
      </c>
      <c r="J2535" s="50">
        <v>1.0968</v>
      </c>
      <c r="K2535" s="50">
        <v>1.036</v>
      </c>
      <c r="L2535" s="50">
        <v>0.71950000000000003</v>
      </c>
      <c r="M2535" s="50">
        <v>0.98899999999999999</v>
      </c>
      <c r="N2535" s="50">
        <v>0.81950000000000001</v>
      </c>
      <c r="O2535" s="50">
        <v>1.0538000000000001</v>
      </c>
      <c r="P2535" s="49">
        <v>5138</v>
      </c>
      <c r="Q2535" s="51">
        <f t="array" ref="Q2535">SUM(IF(($S2535&gt;=4)*($C2535='TaxCred&amp;Subs'!$D$123:$D$127)*($H2535='TaxCred&amp;Subs'!$C$123:$C$127)*($H2535&lt;='TaxCred&amp;Subs'!$C$129),'TaxCred&amp;Subs'!$E$123:$E$127,0))</f>
        <v>2500</v>
      </c>
      <c r="R2535" s="171">
        <v>0</v>
      </c>
      <c r="S2535" s="49">
        <v>5</v>
      </c>
      <c r="T2535" s="49" t="s">
        <v>225</v>
      </c>
      <c r="U2535"/>
      <c r="V2535" s="153" t="str">
        <f t="array" ref="V2535">INDEX(xlRTCLNAME,MATCH(1,(xlRTCLENDU=1)*(xlRTCLEQCL=$D2535),0))</f>
        <v>GEO_HP</v>
      </c>
      <c r="W2535" s="153" t="str">
        <f t="array" ref="W2535">INDEX(xlRTCLNAME,MATCH(1,(xlRTCLENDU=2)*(xlRTCLEQCL=$F2535),0))</f>
        <v>GEO_HP</v>
      </c>
      <c r="X2535" s="153" t="str">
        <f t="array" ref="X2535">INDEX(xlRTTYNAME,MATCH(1,(xlRTTYENDU=1)*(xlRTTYEQCL=$D2535)*(xlRTEQTYPE=$E2535),0))</f>
        <v>GEO_HP4</v>
      </c>
      <c r="Y2535" s="153" t="str">
        <f t="array" ref="Y2535">INDEX(xlRTTYNAME,MATCH(1,(xlRTTYENDU=2)*(xlRTTYEQCL=$F2535)*(xlRTEQTYPE=$G2535),0))</f>
        <v>GEO_HP4</v>
      </c>
    </row>
    <row r="2536" spans="1:25" s="157" customFormat="1" x14ac:dyDescent="0.2">
      <c r="A2536"/>
      <c r="B2536" s="126">
        <v>7</v>
      </c>
      <c r="C2536" s="126">
        <v>3</v>
      </c>
      <c r="D2536" s="126">
        <v>10</v>
      </c>
      <c r="E2536" s="126">
        <v>35</v>
      </c>
      <c r="F2536" s="126">
        <v>4</v>
      </c>
      <c r="G2536" s="126">
        <v>16</v>
      </c>
      <c r="H2536" s="143">
        <v>2033</v>
      </c>
      <c r="I2536" s="148">
        <v>2050</v>
      </c>
      <c r="J2536" s="127">
        <v>1.0968</v>
      </c>
      <c r="K2536" s="127">
        <v>1.036</v>
      </c>
      <c r="L2536" s="127">
        <v>0.71950000000000003</v>
      </c>
      <c r="M2536" s="127">
        <v>0.98899999999999999</v>
      </c>
      <c r="N2536" s="127">
        <v>0.81950000000000001</v>
      </c>
      <c r="O2536" s="127">
        <v>1.0538000000000001</v>
      </c>
      <c r="P2536" s="126">
        <v>5138</v>
      </c>
      <c r="Q2536" s="128">
        <f t="array" ref="Q2536">SUM(IF(($S2536&gt;=4)*($C2536='TaxCred&amp;Subs'!$D$123:$D$127)*($H2536='TaxCred&amp;Subs'!$C$123:$C$127)*($H2536&lt;='TaxCred&amp;Subs'!$C$129),'TaxCred&amp;Subs'!$E$123:$E$127,0))</f>
        <v>0</v>
      </c>
      <c r="R2536" s="174">
        <v>0</v>
      </c>
      <c r="S2536" s="126">
        <v>5</v>
      </c>
      <c r="T2536" s="126" t="s">
        <v>225</v>
      </c>
      <c r="U2536"/>
      <c r="V2536" s="153" t="str">
        <f t="array" ref="V2536">INDEX(xlRTCLNAME,MATCH(1,(xlRTCLENDU=1)*(xlRTCLEQCL=$D2536),0))</f>
        <v>GEO_HP</v>
      </c>
      <c r="W2536" s="153" t="str">
        <f t="array" ref="W2536">INDEX(xlRTCLNAME,MATCH(1,(xlRTCLENDU=2)*(xlRTCLEQCL=$F2536),0))</f>
        <v>GEO_HP</v>
      </c>
      <c r="X2536" s="153" t="str">
        <f t="array" ref="X2536">INDEX(xlRTTYNAME,MATCH(1,(xlRTTYENDU=1)*(xlRTTYEQCL=$D2536)*(xlRTEQTYPE=$E2536),0))</f>
        <v>GEO_HP4</v>
      </c>
      <c r="Y2536" s="153" t="str">
        <f t="array" ref="Y2536">INDEX(xlRTTYNAME,MATCH(1,(xlRTTYENDU=2)*(xlRTTYEQCL=$F2536)*(xlRTEQTYPE=$G2536),0))</f>
        <v>GEO_HP4</v>
      </c>
    </row>
    <row r="2537" spans="1:25" s="157" customFormat="1" x14ac:dyDescent="0.2">
      <c r="A2537"/>
      <c r="B2537" s="126">
        <v>9</v>
      </c>
      <c r="C2537" s="126">
        <v>3</v>
      </c>
      <c r="D2537" s="126">
        <v>10</v>
      </c>
      <c r="E2537" s="126">
        <v>35</v>
      </c>
      <c r="F2537" s="126">
        <v>4</v>
      </c>
      <c r="G2537" s="126">
        <v>16</v>
      </c>
      <c r="H2537" s="148">
        <v>2016</v>
      </c>
      <c r="I2537" s="143">
        <v>2022</v>
      </c>
      <c r="J2537" s="127">
        <v>1.0857000000000001</v>
      </c>
      <c r="K2537" s="127">
        <v>1.0611999999999999</v>
      </c>
      <c r="L2537" s="127">
        <v>0.7651</v>
      </c>
      <c r="M2537" s="127">
        <v>1.0687</v>
      </c>
      <c r="N2537" s="127">
        <v>0.85860000000000003</v>
      </c>
      <c r="O2537" s="127">
        <v>1.0538000000000001</v>
      </c>
      <c r="P2537" s="126">
        <v>7270</v>
      </c>
      <c r="Q2537" s="128">
        <f t="array" ref="Q2537">SUM(IF(($S2537&gt;=4)*($C2537='TaxCred&amp;Subs'!$D$123:$D$127)*($H2537='TaxCred&amp;Subs'!$C$123:$C$127)*($H2537&lt;='TaxCred&amp;Subs'!$C$129),'TaxCred&amp;Subs'!$E$123:$E$127,0))</f>
        <v>1000</v>
      </c>
      <c r="R2537" s="174">
        <v>0</v>
      </c>
      <c r="S2537" s="126">
        <v>5</v>
      </c>
      <c r="T2537" s="126" t="s">
        <v>225</v>
      </c>
      <c r="U2537"/>
      <c r="V2537" s="153" t="str">
        <f t="array" ref="V2537">INDEX(xlRTCLNAME,MATCH(1,(xlRTCLENDU=1)*(xlRTCLEQCL=$D2537),0))</f>
        <v>GEO_HP</v>
      </c>
      <c r="W2537" s="153" t="str">
        <f t="array" ref="W2537">INDEX(xlRTCLNAME,MATCH(1,(xlRTCLENDU=2)*(xlRTCLEQCL=$F2537),0))</f>
        <v>GEO_HP</v>
      </c>
      <c r="X2537" s="153" t="str">
        <f t="array" ref="X2537">INDEX(xlRTTYNAME,MATCH(1,(xlRTTYENDU=1)*(xlRTTYEQCL=$D2537)*(xlRTEQTYPE=$E2537),0))</f>
        <v>GEO_HP4</v>
      </c>
      <c r="Y2537" s="153" t="str">
        <f t="array" ref="Y2537">INDEX(xlRTTYNAME,MATCH(1,(xlRTTYENDU=2)*(xlRTTYEQCL=$F2537)*(xlRTEQTYPE=$G2537),0))</f>
        <v>GEO_HP4</v>
      </c>
    </row>
    <row r="2538" spans="1:25" s="157" customFormat="1" x14ac:dyDescent="0.2">
      <c r="A2538"/>
      <c r="B2538" s="49">
        <v>9</v>
      </c>
      <c r="C2538" s="49">
        <v>3</v>
      </c>
      <c r="D2538" s="49">
        <v>10</v>
      </c>
      <c r="E2538" s="49">
        <v>35</v>
      </c>
      <c r="F2538" s="49">
        <v>4</v>
      </c>
      <c r="G2538" s="49">
        <v>16</v>
      </c>
      <c r="H2538" s="166">
        <v>2023</v>
      </c>
      <c r="I2538" s="166">
        <v>2032</v>
      </c>
      <c r="J2538" s="50">
        <v>1.0857000000000001</v>
      </c>
      <c r="K2538" s="50">
        <v>1.0611999999999999</v>
      </c>
      <c r="L2538" s="50">
        <v>0.7651</v>
      </c>
      <c r="M2538" s="50">
        <v>1.0687</v>
      </c>
      <c r="N2538" s="50">
        <v>0.85860000000000003</v>
      </c>
      <c r="O2538" s="50">
        <v>1.0538000000000001</v>
      </c>
      <c r="P2538" s="49">
        <v>7270</v>
      </c>
      <c r="Q2538" s="51">
        <f t="array" ref="Q2538">SUM(IF(($S2538&gt;=4)*($C2538='TaxCred&amp;Subs'!$D$123:$D$127)*($H2538='TaxCred&amp;Subs'!$C$123:$C$127)*($H2538&lt;='TaxCred&amp;Subs'!$C$129),'TaxCred&amp;Subs'!$E$123:$E$127,0))</f>
        <v>2500</v>
      </c>
      <c r="R2538" s="171">
        <v>0</v>
      </c>
      <c r="S2538" s="49">
        <v>5</v>
      </c>
      <c r="T2538" s="49" t="s">
        <v>225</v>
      </c>
      <c r="U2538"/>
      <c r="V2538" s="153" t="str">
        <f t="array" ref="V2538">INDEX(xlRTCLNAME,MATCH(1,(xlRTCLENDU=1)*(xlRTCLEQCL=$D2538),0))</f>
        <v>GEO_HP</v>
      </c>
      <c r="W2538" s="153" t="str">
        <f t="array" ref="W2538">INDEX(xlRTCLNAME,MATCH(1,(xlRTCLENDU=2)*(xlRTCLEQCL=$F2538),0))</f>
        <v>GEO_HP</v>
      </c>
      <c r="X2538" s="153" t="str">
        <f t="array" ref="X2538">INDEX(xlRTTYNAME,MATCH(1,(xlRTTYENDU=1)*(xlRTTYEQCL=$D2538)*(xlRTEQTYPE=$E2538),0))</f>
        <v>GEO_HP4</v>
      </c>
      <c r="Y2538" s="153" t="str">
        <f t="array" ref="Y2538">INDEX(xlRTTYNAME,MATCH(1,(xlRTTYENDU=2)*(xlRTTYEQCL=$F2538)*(xlRTEQTYPE=$G2538),0))</f>
        <v>GEO_HP4</v>
      </c>
    </row>
    <row r="2539" spans="1:25" s="157" customFormat="1" x14ac:dyDescent="0.2">
      <c r="A2539"/>
      <c r="B2539" s="126">
        <v>9</v>
      </c>
      <c r="C2539" s="126">
        <v>3</v>
      </c>
      <c r="D2539" s="126">
        <v>10</v>
      </c>
      <c r="E2539" s="126">
        <v>35</v>
      </c>
      <c r="F2539" s="126">
        <v>4</v>
      </c>
      <c r="G2539" s="126">
        <v>16</v>
      </c>
      <c r="H2539" s="143">
        <v>2033</v>
      </c>
      <c r="I2539" s="148">
        <v>2050</v>
      </c>
      <c r="J2539" s="127">
        <v>1.0857000000000001</v>
      </c>
      <c r="K2539" s="127">
        <v>1.0611999999999999</v>
      </c>
      <c r="L2539" s="127">
        <v>0.7651</v>
      </c>
      <c r="M2539" s="127">
        <v>1.0687</v>
      </c>
      <c r="N2539" s="127">
        <v>0.85860000000000003</v>
      </c>
      <c r="O2539" s="127">
        <v>1.0538000000000001</v>
      </c>
      <c r="P2539" s="126">
        <v>7270</v>
      </c>
      <c r="Q2539" s="128">
        <f t="array" ref="Q2539">SUM(IF(($S2539&gt;=4)*($C2539='TaxCred&amp;Subs'!$D$123:$D$127)*($H2539='TaxCred&amp;Subs'!$C$123:$C$127)*($H2539&lt;='TaxCred&amp;Subs'!$C$129),'TaxCred&amp;Subs'!$E$123:$E$127,0))</f>
        <v>0</v>
      </c>
      <c r="R2539" s="174">
        <v>0</v>
      </c>
      <c r="S2539" s="126">
        <v>5</v>
      </c>
      <c r="T2539" s="126" t="s">
        <v>225</v>
      </c>
      <c r="U2539"/>
      <c r="V2539" s="153" t="str">
        <f t="array" ref="V2539">INDEX(xlRTCLNAME,MATCH(1,(xlRTCLENDU=1)*(xlRTCLEQCL=$D2539),0))</f>
        <v>GEO_HP</v>
      </c>
      <c r="W2539" s="153" t="str">
        <f t="array" ref="W2539">INDEX(xlRTCLNAME,MATCH(1,(xlRTCLENDU=2)*(xlRTCLEQCL=$F2539),0))</f>
        <v>GEO_HP</v>
      </c>
      <c r="X2539" s="153" t="str">
        <f t="array" ref="X2539">INDEX(xlRTTYNAME,MATCH(1,(xlRTTYENDU=1)*(xlRTTYEQCL=$D2539)*(xlRTEQTYPE=$E2539),0))</f>
        <v>GEO_HP4</v>
      </c>
      <c r="Y2539" s="153" t="str">
        <f t="array" ref="Y2539">INDEX(xlRTTYNAME,MATCH(1,(xlRTTYENDU=2)*(xlRTTYEQCL=$F2539)*(xlRTEQTYPE=$G2539),0))</f>
        <v>GEO_HP4</v>
      </c>
    </row>
    <row r="2540" spans="1:25" s="157" customFormat="1" x14ac:dyDescent="0.2">
      <c r="A2540"/>
      <c r="B2540" s="126">
        <v>5</v>
      </c>
      <c r="C2540" s="126">
        <v>3</v>
      </c>
      <c r="D2540" s="126">
        <v>11</v>
      </c>
      <c r="E2540" s="126">
        <v>36</v>
      </c>
      <c r="F2540" s="126">
        <v>5</v>
      </c>
      <c r="G2540" s="126">
        <v>17</v>
      </c>
      <c r="H2540" s="148">
        <v>2016</v>
      </c>
      <c r="I2540" s="143">
        <v>2022</v>
      </c>
      <c r="J2540" s="127">
        <v>1.0559000000000001</v>
      </c>
      <c r="K2540" s="127">
        <v>1.0444</v>
      </c>
      <c r="L2540" s="127">
        <v>0.73609999999999998</v>
      </c>
      <c r="M2540" s="127">
        <v>0.97389999999999999</v>
      </c>
      <c r="N2540" s="127">
        <v>0.83460000000000001</v>
      </c>
      <c r="O2540" s="127">
        <v>1.0538000000000001</v>
      </c>
      <c r="P2540" s="126">
        <v>5495</v>
      </c>
      <c r="Q2540" s="128">
        <f t="array" ref="Q2540">SUM(IF(($S2540&gt;=4)*($C2540='TaxCred&amp;Subs'!$D$123:$D$127)*($H2540='TaxCred&amp;Subs'!$C$123:$C$127)*($H2540&lt;='TaxCred&amp;Subs'!$C$129),'TaxCred&amp;Subs'!$E$123:$E$127,0))</f>
        <v>1000</v>
      </c>
      <c r="R2540" s="174">
        <v>0</v>
      </c>
      <c r="S2540" s="126">
        <v>5</v>
      </c>
      <c r="T2540" s="126" t="s">
        <v>225</v>
      </c>
      <c r="U2540"/>
      <c r="V2540" s="153" t="str">
        <f t="array" ref="V2540">INDEX(xlRTCLNAME,MATCH(1,(xlRTCLENDU=1)*(xlRTCLEQCL=$D2540),0))</f>
        <v>NG_HP</v>
      </c>
      <c r="W2540" s="153" t="str">
        <f t="array" ref="W2540">INDEX(xlRTCLNAME,MATCH(1,(xlRTCLENDU=2)*(xlRTCLEQCL=$F2540),0))</f>
        <v>NG_HP</v>
      </c>
      <c r="X2540" s="153" t="str">
        <f t="array" ref="X2540">INDEX(xlRTTYNAME,MATCH(1,(xlRTTYENDU=1)*(xlRTTYEQCL=$D2540)*(xlRTEQTYPE=$E2540),0))</f>
        <v>NG_HP2</v>
      </c>
      <c r="Y2540" s="153" t="str">
        <f t="array" ref="Y2540">INDEX(xlRTTYNAME,MATCH(1,(xlRTTYENDU=2)*(xlRTTYEQCL=$F2540)*(xlRTEQTYPE=$G2540),0))</f>
        <v>NG_HP2</v>
      </c>
    </row>
    <row r="2541" spans="1:25" s="157" customFormat="1" x14ac:dyDescent="0.2">
      <c r="A2541"/>
      <c r="B2541" s="49">
        <v>5</v>
      </c>
      <c r="C2541" s="49">
        <v>3</v>
      </c>
      <c r="D2541" s="49">
        <v>11</v>
      </c>
      <c r="E2541" s="49">
        <v>36</v>
      </c>
      <c r="F2541" s="49">
        <v>5</v>
      </c>
      <c r="G2541" s="49">
        <v>17</v>
      </c>
      <c r="H2541" s="166">
        <v>2023</v>
      </c>
      <c r="I2541" s="166">
        <v>2032</v>
      </c>
      <c r="J2541" s="50">
        <v>1.0559000000000001</v>
      </c>
      <c r="K2541" s="50">
        <v>1.0444</v>
      </c>
      <c r="L2541" s="50">
        <v>0.73609999999999998</v>
      </c>
      <c r="M2541" s="50">
        <v>0.97389999999999999</v>
      </c>
      <c r="N2541" s="50">
        <v>0.83460000000000001</v>
      </c>
      <c r="O2541" s="50">
        <v>1.0538000000000001</v>
      </c>
      <c r="P2541" s="49">
        <v>5495</v>
      </c>
      <c r="Q2541" s="51">
        <f t="array" ref="Q2541">SUM(IF(($S2541&gt;=4)*($C2541='TaxCred&amp;Subs'!$D$123:$D$127)*($H2541='TaxCred&amp;Subs'!$C$123:$C$127)*($H2541&lt;='TaxCred&amp;Subs'!$C$129),'TaxCred&amp;Subs'!$E$123:$E$127,0))</f>
        <v>2500</v>
      </c>
      <c r="R2541" s="171">
        <v>0</v>
      </c>
      <c r="S2541" s="49">
        <v>5</v>
      </c>
      <c r="T2541" s="49" t="s">
        <v>225</v>
      </c>
      <c r="U2541"/>
      <c r="V2541" s="153" t="str">
        <f t="array" ref="V2541">INDEX(xlRTCLNAME,MATCH(1,(xlRTCLENDU=1)*(xlRTCLEQCL=$D2541),0))</f>
        <v>NG_HP</v>
      </c>
      <c r="W2541" s="153" t="str">
        <f t="array" ref="W2541">INDEX(xlRTCLNAME,MATCH(1,(xlRTCLENDU=2)*(xlRTCLEQCL=$F2541),0))</f>
        <v>NG_HP</v>
      </c>
      <c r="X2541" s="153" t="str">
        <f t="array" ref="X2541">INDEX(xlRTTYNAME,MATCH(1,(xlRTTYENDU=1)*(xlRTTYEQCL=$D2541)*(xlRTEQTYPE=$E2541),0))</f>
        <v>NG_HP2</v>
      </c>
      <c r="Y2541" s="153" t="str">
        <f t="array" ref="Y2541">INDEX(xlRTTYNAME,MATCH(1,(xlRTTYENDU=2)*(xlRTTYEQCL=$F2541)*(xlRTEQTYPE=$G2541),0))</f>
        <v>NG_HP2</v>
      </c>
    </row>
    <row r="2542" spans="1:25" s="157" customFormat="1" x14ac:dyDescent="0.2">
      <c r="A2542"/>
      <c r="B2542" s="126">
        <v>5</v>
      </c>
      <c r="C2542" s="126">
        <v>3</v>
      </c>
      <c r="D2542" s="126">
        <v>11</v>
      </c>
      <c r="E2542" s="126">
        <v>36</v>
      </c>
      <c r="F2542" s="126">
        <v>5</v>
      </c>
      <c r="G2542" s="126">
        <v>17</v>
      </c>
      <c r="H2542" s="143">
        <v>2033</v>
      </c>
      <c r="I2542" s="148">
        <v>2050</v>
      </c>
      <c r="J2542" s="127">
        <v>1.0559000000000001</v>
      </c>
      <c r="K2542" s="127">
        <v>1.0444</v>
      </c>
      <c r="L2542" s="127">
        <v>0.73609999999999998</v>
      </c>
      <c r="M2542" s="127">
        <v>0.97389999999999999</v>
      </c>
      <c r="N2542" s="127">
        <v>0.83460000000000001</v>
      </c>
      <c r="O2542" s="127">
        <v>1.0538000000000001</v>
      </c>
      <c r="P2542" s="126">
        <v>5495</v>
      </c>
      <c r="Q2542" s="128">
        <f t="array" ref="Q2542">SUM(IF(($S2542&gt;=4)*($C2542='TaxCred&amp;Subs'!$D$123:$D$127)*($H2542='TaxCred&amp;Subs'!$C$123:$C$127)*($H2542&lt;='TaxCred&amp;Subs'!$C$129),'TaxCred&amp;Subs'!$E$123:$E$127,0))</f>
        <v>0</v>
      </c>
      <c r="R2542" s="174">
        <v>0</v>
      </c>
      <c r="S2542" s="126">
        <v>5</v>
      </c>
      <c r="T2542" s="126" t="s">
        <v>225</v>
      </c>
      <c r="U2542"/>
      <c r="V2542" s="153" t="str">
        <f t="array" ref="V2542">INDEX(xlRTCLNAME,MATCH(1,(xlRTCLENDU=1)*(xlRTCLEQCL=$D2542),0))</f>
        <v>NG_HP</v>
      </c>
      <c r="W2542" s="153" t="str">
        <f t="array" ref="W2542">INDEX(xlRTCLNAME,MATCH(1,(xlRTCLENDU=2)*(xlRTCLEQCL=$F2542),0))</f>
        <v>NG_HP</v>
      </c>
      <c r="X2542" s="153" t="str">
        <f t="array" ref="X2542">INDEX(xlRTTYNAME,MATCH(1,(xlRTTYENDU=1)*(xlRTTYEQCL=$D2542)*(xlRTEQTYPE=$E2542),0))</f>
        <v>NG_HP2</v>
      </c>
      <c r="Y2542" s="153" t="str">
        <f t="array" ref="Y2542">INDEX(xlRTTYNAME,MATCH(1,(xlRTTYENDU=2)*(xlRTTYEQCL=$F2542)*(xlRTEQTYPE=$G2542),0))</f>
        <v>NG_HP2</v>
      </c>
    </row>
    <row r="2543" spans="1:25" s="157" customFormat="1" x14ac:dyDescent="0.2">
      <c r="A2543"/>
      <c r="B2543" s="126">
        <v>6</v>
      </c>
      <c r="C2543" s="126">
        <v>3</v>
      </c>
      <c r="D2543" s="126">
        <v>11</v>
      </c>
      <c r="E2543" s="126">
        <v>36</v>
      </c>
      <c r="F2543" s="126">
        <v>5</v>
      </c>
      <c r="G2543" s="126">
        <v>17</v>
      </c>
      <c r="H2543" s="148">
        <v>2016</v>
      </c>
      <c r="I2543" s="143">
        <v>2022</v>
      </c>
      <c r="J2543" s="127">
        <v>1.0872999999999999</v>
      </c>
      <c r="K2543" s="127">
        <v>1.0581</v>
      </c>
      <c r="L2543" s="127">
        <v>0.71930000000000005</v>
      </c>
      <c r="M2543" s="127">
        <v>0.97489999999999999</v>
      </c>
      <c r="N2543" s="127">
        <v>0.8044</v>
      </c>
      <c r="O2543" s="127">
        <v>1.0538000000000001</v>
      </c>
      <c r="P2543" s="126">
        <v>5435</v>
      </c>
      <c r="Q2543" s="128">
        <f t="array" ref="Q2543">SUM(IF(($S2543&gt;=4)*($C2543='TaxCred&amp;Subs'!$D$123:$D$127)*($H2543='TaxCred&amp;Subs'!$C$123:$C$127)*($H2543&lt;='TaxCred&amp;Subs'!$C$129),'TaxCred&amp;Subs'!$E$123:$E$127,0))</f>
        <v>1000</v>
      </c>
      <c r="R2543" s="174">
        <v>0</v>
      </c>
      <c r="S2543" s="126">
        <v>5</v>
      </c>
      <c r="T2543" s="126" t="s">
        <v>225</v>
      </c>
      <c r="U2543"/>
      <c r="V2543" s="153" t="str">
        <f t="array" ref="V2543">INDEX(xlRTCLNAME,MATCH(1,(xlRTCLENDU=1)*(xlRTCLEQCL=$D2543),0))</f>
        <v>NG_HP</v>
      </c>
      <c r="W2543" s="153" t="str">
        <f t="array" ref="W2543">INDEX(xlRTCLNAME,MATCH(1,(xlRTCLENDU=2)*(xlRTCLEQCL=$F2543),0))</f>
        <v>NG_HP</v>
      </c>
      <c r="X2543" s="153" t="str">
        <f t="array" ref="X2543">INDEX(xlRTTYNAME,MATCH(1,(xlRTTYENDU=1)*(xlRTTYEQCL=$D2543)*(xlRTEQTYPE=$E2543),0))</f>
        <v>NG_HP2</v>
      </c>
      <c r="Y2543" s="153" t="str">
        <f t="array" ref="Y2543">INDEX(xlRTTYNAME,MATCH(1,(xlRTTYENDU=2)*(xlRTTYEQCL=$F2543)*(xlRTEQTYPE=$G2543),0))</f>
        <v>NG_HP2</v>
      </c>
    </row>
    <row r="2544" spans="1:25" s="157" customFormat="1" x14ac:dyDescent="0.2">
      <c r="A2544"/>
      <c r="B2544" s="49">
        <v>6</v>
      </c>
      <c r="C2544" s="49">
        <v>3</v>
      </c>
      <c r="D2544" s="49">
        <v>11</v>
      </c>
      <c r="E2544" s="49">
        <v>36</v>
      </c>
      <c r="F2544" s="49">
        <v>5</v>
      </c>
      <c r="G2544" s="49">
        <v>17</v>
      </c>
      <c r="H2544" s="166">
        <v>2023</v>
      </c>
      <c r="I2544" s="166">
        <v>2032</v>
      </c>
      <c r="J2544" s="50">
        <v>1.0872999999999999</v>
      </c>
      <c r="K2544" s="50">
        <v>1.0581</v>
      </c>
      <c r="L2544" s="50">
        <v>0.71930000000000005</v>
      </c>
      <c r="M2544" s="50">
        <v>0.97489999999999999</v>
      </c>
      <c r="N2544" s="50">
        <v>0.8044</v>
      </c>
      <c r="O2544" s="50">
        <v>1.0538000000000001</v>
      </c>
      <c r="P2544" s="49">
        <v>5435</v>
      </c>
      <c r="Q2544" s="51">
        <f t="array" ref="Q2544">SUM(IF(($S2544&gt;=4)*($C2544='TaxCred&amp;Subs'!$D$123:$D$127)*($H2544='TaxCred&amp;Subs'!$C$123:$C$127)*($H2544&lt;='TaxCred&amp;Subs'!$C$129),'TaxCred&amp;Subs'!$E$123:$E$127,0))</f>
        <v>2500</v>
      </c>
      <c r="R2544" s="171">
        <v>0</v>
      </c>
      <c r="S2544" s="49">
        <v>5</v>
      </c>
      <c r="T2544" s="49" t="s">
        <v>225</v>
      </c>
      <c r="U2544"/>
      <c r="V2544" s="153" t="str">
        <f t="array" ref="V2544">INDEX(xlRTCLNAME,MATCH(1,(xlRTCLENDU=1)*(xlRTCLEQCL=$D2544),0))</f>
        <v>NG_HP</v>
      </c>
      <c r="W2544" s="153" t="str">
        <f t="array" ref="W2544">INDEX(xlRTCLNAME,MATCH(1,(xlRTCLENDU=2)*(xlRTCLEQCL=$F2544),0))</f>
        <v>NG_HP</v>
      </c>
      <c r="X2544" s="153" t="str">
        <f t="array" ref="X2544">INDEX(xlRTTYNAME,MATCH(1,(xlRTTYENDU=1)*(xlRTTYEQCL=$D2544)*(xlRTEQTYPE=$E2544),0))</f>
        <v>NG_HP2</v>
      </c>
      <c r="Y2544" s="153" t="str">
        <f t="array" ref="Y2544">INDEX(xlRTTYNAME,MATCH(1,(xlRTTYENDU=2)*(xlRTTYEQCL=$F2544)*(xlRTEQTYPE=$G2544),0))</f>
        <v>NG_HP2</v>
      </c>
    </row>
    <row r="2545" spans="1:25" s="157" customFormat="1" x14ac:dyDescent="0.2">
      <c r="A2545"/>
      <c r="B2545" s="126">
        <v>6</v>
      </c>
      <c r="C2545" s="126">
        <v>3</v>
      </c>
      <c r="D2545" s="126">
        <v>11</v>
      </c>
      <c r="E2545" s="126">
        <v>36</v>
      </c>
      <c r="F2545" s="126">
        <v>5</v>
      </c>
      <c r="G2545" s="126">
        <v>17</v>
      </c>
      <c r="H2545" s="143">
        <v>2033</v>
      </c>
      <c r="I2545" s="148">
        <v>2050</v>
      </c>
      <c r="J2545" s="127">
        <v>1.0872999999999999</v>
      </c>
      <c r="K2545" s="127">
        <v>1.0581</v>
      </c>
      <c r="L2545" s="127">
        <v>0.71930000000000005</v>
      </c>
      <c r="M2545" s="127">
        <v>0.97489999999999999</v>
      </c>
      <c r="N2545" s="127">
        <v>0.8044</v>
      </c>
      <c r="O2545" s="127">
        <v>1.0538000000000001</v>
      </c>
      <c r="P2545" s="126">
        <v>5435</v>
      </c>
      <c r="Q2545" s="128">
        <f t="array" ref="Q2545">SUM(IF(($S2545&gt;=4)*($C2545='TaxCred&amp;Subs'!$D$123:$D$127)*($H2545='TaxCred&amp;Subs'!$C$123:$C$127)*($H2545&lt;='TaxCred&amp;Subs'!$C$129),'TaxCred&amp;Subs'!$E$123:$E$127,0))</f>
        <v>0</v>
      </c>
      <c r="R2545" s="174">
        <v>0</v>
      </c>
      <c r="S2545" s="126">
        <v>5</v>
      </c>
      <c r="T2545" s="126" t="s">
        <v>225</v>
      </c>
      <c r="U2545"/>
      <c r="V2545" s="153" t="str">
        <f t="array" ref="V2545">INDEX(xlRTCLNAME,MATCH(1,(xlRTCLENDU=1)*(xlRTCLEQCL=$D2545),0))</f>
        <v>NG_HP</v>
      </c>
      <c r="W2545" s="153" t="str">
        <f t="array" ref="W2545">INDEX(xlRTCLNAME,MATCH(1,(xlRTCLENDU=2)*(xlRTCLEQCL=$F2545),0))</f>
        <v>NG_HP</v>
      </c>
      <c r="X2545" s="153" t="str">
        <f t="array" ref="X2545">INDEX(xlRTTYNAME,MATCH(1,(xlRTTYENDU=1)*(xlRTTYEQCL=$D2545)*(xlRTEQTYPE=$E2545),0))</f>
        <v>NG_HP2</v>
      </c>
      <c r="Y2545" s="153" t="str">
        <f t="array" ref="Y2545">INDEX(xlRTTYNAME,MATCH(1,(xlRTTYENDU=2)*(xlRTTYEQCL=$F2545)*(xlRTEQTYPE=$G2545),0))</f>
        <v>NG_HP2</v>
      </c>
    </row>
    <row r="2546" spans="1:25" s="157" customFormat="1" x14ac:dyDescent="0.2">
      <c r="A2546"/>
      <c r="B2546" s="126">
        <v>7</v>
      </c>
      <c r="C2546" s="126">
        <v>3</v>
      </c>
      <c r="D2546" s="126">
        <v>11</v>
      </c>
      <c r="E2546" s="126">
        <v>36</v>
      </c>
      <c r="F2546" s="126">
        <v>5</v>
      </c>
      <c r="G2546" s="126">
        <v>17</v>
      </c>
      <c r="H2546" s="148">
        <v>2016</v>
      </c>
      <c r="I2546" s="143">
        <v>2022</v>
      </c>
      <c r="J2546" s="127">
        <v>1.0914999999999999</v>
      </c>
      <c r="K2546" s="127">
        <v>1.0496000000000001</v>
      </c>
      <c r="L2546" s="127">
        <v>0.71430000000000005</v>
      </c>
      <c r="M2546" s="127">
        <v>0.97609999999999997</v>
      </c>
      <c r="N2546" s="127">
        <v>0.81759999999999999</v>
      </c>
      <c r="O2546" s="127">
        <v>1.0538000000000001</v>
      </c>
      <c r="P2546" s="126">
        <v>5138</v>
      </c>
      <c r="Q2546" s="128">
        <f t="array" ref="Q2546">SUM(IF(($S2546&gt;=4)*($C2546='TaxCred&amp;Subs'!$D$123:$D$127)*($H2546='TaxCred&amp;Subs'!$C$123:$C$127)*($H2546&lt;='TaxCred&amp;Subs'!$C$129),'TaxCred&amp;Subs'!$E$123:$E$127,0))</f>
        <v>1000</v>
      </c>
      <c r="R2546" s="174">
        <v>0</v>
      </c>
      <c r="S2546" s="126">
        <v>5</v>
      </c>
      <c r="T2546" s="126" t="s">
        <v>225</v>
      </c>
      <c r="U2546"/>
      <c r="V2546" s="153" t="str">
        <f t="array" ref="V2546">INDEX(xlRTCLNAME,MATCH(1,(xlRTCLENDU=1)*(xlRTCLEQCL=$D2546),0))</f>
        <v>NG_HP</v>
      </c>
      <c r="W2546" s="153" t="str">
        <f t="array" ref="W2546">INDEX(xlRTCLNAME,MATCH(1,(xlRTCLENDU=2)*(xlRTCLEQCL=$F2546),0))</f>
        <v>NG_HP</v>
      </c>
      <c r="X2546" s="153" t="str">
        <f t="array" ref="X2546">INDEX(xlRTTYNAME,MATCH(1,(xlRTTYENDU=1)*(xlRTTYEQCL=$D2546)*(xlRTEQTYPE=$E2546),0))</f>
        <v>NG_HP2</v>
      </c>
      <c r="Y2546" s="153" t="str">
        <f t="array" ref="Y2546">INDEX(xlRTTYNAME,MATCH(1,(xlRTTYENDU=2)*(xlRTTYEQCL=$F2546)*(xlRTEQTYPE=$G2546),0))</f>
        <v>NG_HP2</v>
      </c>
    </row>
    <row r="2547" spans="1:25" s="157" customFormat="1" x14ac:dyDescent="0.2">
      <c r="A2547"/>
      <c r="B2547" s="49">
        <v>7</v>
      </c>
      <c r="C2547" s="49">
        <v>3</v>
      </c>
      <c r="D2547" s="49">
        <v>11</v>
      </c>
      <c r="E2547" s="49">
        <v>36</v>
      </c>
      <c r="F2547" s="49">
        <v>5</v>
      </c>
      <c r="G2547" s="49">
        <v>17</v>
      </c>
      <c r="H2547" s="166">
        <v>2023</v>
      </c>
      <c r="I2547" s="166">
        <v>2032</v>
      </c>
      <c r="J2547" s="50">
        <v>1.0914999999999999</v>
      </c>
      <c r="K2547" s="50">
        <v>1.0496000000000001</v>
      </c>
      <c r="L2547" s="50">
        <v>0.71430000000000005</v>
      </c>
      <c r="M2547" s="50">
        <v>0.97609999999999997</v>
      </c>
      <c r="N2547" s="50">
        <v>0.81759999999999999</v>
      </c>
      <c r="O2547" s="50">
        <v>1.0538000000000001</v>
      </c>
      <c r="P2547" s="49">
        <v>5138</v>
      </c>
      <c r="Q2547" s="51">
        <f t="array" ref="Q2547">SUM(IF(($S2547&gt;=4)*($C2547='TaxCred&amp;Subs'!$D$123:$D$127)*($H2547='TaxCred&amp;Subs'!$C$123:$C$127)*($H2547&lt;='TaxCred&amp;Subs'!$C$129),'TaxCred&amp;Subs'!$E$123:$E$127,0))</f>
        <v>2500</v>
      </c>
      <c r="R2547" s="171">
        <v>0</v>
      </c>
      <c r="S2547" s="49">
        <v>5</v>
      </c>
      <c r="T2547" s="49" t="s">
        <v>225</v>
      </c>
      <c r="U2547"/>
      <c r="V2547" s="153" t="str">
        <f t="array" ref="V2547">INDEX(xlRTCLNAME,MATCH(1,(xlRTCLENDU=1)*(xlRTCLEQCL=$D2547),0))</f>
        <v>NG_HP</v>
      </c>
      <c r="W2547" s="153" t="str">
        <f t="array" ref="W2547">INDEX(xlRTCLNAME,MATCH(1,(xlRTCLENDU=2)*(xlRTCLEQCL=$F2547),0))</f>
        <v>NG_HP</v>
      </c>
      <c r="X2547" s="153" t="str">
        <f t="array" ref="X2547">INDEX(xlRTTYNAME,MATCH(1,(xlRTTYENDU=1)*(xlRTTYEQCL=$D2547)*(xlRTEQTYPE=$E2547),0))</f>
        <v>NG_HP2</v>
      </c>
      <c r="Y2547" s="153" t="str">
        <f t="array" ref="Y2547">INDEX(xlRTTYNAME,MATCH(1,(xlRTTYENDU=2)*(xlRTTYEQCL=$F2547)*(xlRTEQTYPE=$G2547),0))</f>
        <v>NG_HP2</v>
      </c>
    </row>
    <row r="2548" spans="1:25" s="157" customFormat="1" x14ac:dyDescent="0.2">
      <c r="A2548"/>
      <c r="B2548" s="126">
        <v>7</v>
      </c>
      <c r="C2548" s="126">
        <v>3</v>
      </c>
      <c r="D2548" s="126">
        <v>11</v>
      </c>
      <c r="E2548" s="126">
        <v>36</v>
      </c>
      <c r="F2548" s="126">
        <v>5</v>
      </c>
      <c r="G2548" s="126">
        <v>17</v>
      </c>
      <c r="H2548" s="143">
        <v>2033</v>
      </c>
      <c r="I2548" s="148">
        <v>2050</v>
      </c>
      <c r="J2548" s="127">
        <v>1.0914999999999999</v>
      </c>
      <c r="K2548" s="127">
        <v>1.0496000000000001</v>
      </c>
      <c r="L2548" s="127">
        <v>0.71430000000000005</v>
      </c>
      <c r="M2548" s="127">
        <v>0.97609999999999997</v>
      </c>
      <c r="N2548" s="127">
        <v>0.81759999999999999</v>
      </c>
      <c r="O2548" s="127">
        <v>1.0538000000000001</v>
      </c>
      <c r="P2548" s="126">
        <v>5138</v>
      </c>
      <c r="Q2548" s="128">
        <f t="array" ref="Q2548">SUM(IF(($S2548&gt;=4)*($C2548='TaxCred&amp;Subs'!$D$123:$D$127)*($H2548='TaxCred&amp;Subs'!$C$123:$C$127)*($H2548&lt;='TaxCred&amp;Subs'!$C$129),'TaxCred&amp;Subs'!$E$123:$E$127,0))</f>
        <v>0</v>
      </c>
      <c r="R2548" s="174">
        <v>0</v>
      </c>
      <c r="S2548" s="126">
        <v>5</v>
      </c>
      <c r="T2548" s="126" t="s">
        <v>225</v>
      </c>
      <c r="U2548"/>
      <c r="V2548" s="153" t="str">
        <f t="array" ref="V2548">INDEX(xlRTCLNAME,MATCH(1,(xlRTCLENDU=1)*(xlRTCLEQCL=$D2548),0))</f>
        <v>NG_HP</v>
      </c>
      <c r="W2548" s="153" t="str">
        <f t="array" ref="W2548">INDEX(xlRTCLNAME,MATCH(1,(xlRTCLENDU=2)*(xlRTCLEQCL=$F2548),0))</f>
        <v>NG_HP</v>
      </c>
      <c r="X2548" s="153" t="str">
        <f t="array" ref="X2548">INDEX(xlRTTYNAME,MATCH(1,(xlRTTYENDU=1)*(xlRTTYEQCL=$D2548)*(xlRTEQTYPE=$E2548),0))</f>
        <v>NG_HP2</v>
      </c>
      <c r="Y2548" s="153" t="str">
        <f t="array" ref="Y2548">INDEX(xlRTTYNAME,MATCH(1,(xlRTTYENDU=2)*(xlRTTYEQCL=$F2548)*(xlRTEQTYPE=$G2548),0))</f>
        <v>NG_HP2</v>
      </c>
    </row>
    <row r="2549" spans="1:25" s="157" customFormat="1" x14ac:dyDescent="0.2">
      <c r="A2549"/>
      <c r="B2549" s="126">
        <v>9</v>
      </c>
      <c r="C2549" s="126">
        <v>3</v>
      </c>
      <c r="D2549" s="126">
        <v>11</v>
      </c>
      <c r="E2549" s="126">
        <v>36</v>
      </c>
      <c r="F2549" s="126">
        <v>5</v>
      </c>
      <c r="G2549" s="126">
        <v>17</v>
      </c>
      <c r="H2549" s="148">
        <v>2016</v>
      </c>
      <c r="I2549" s="143">
        <v>2022</v>
      </c>
      <c r="J2549" s="127">
        <v>1.0761000000000001</v>
      </c>
      <c r="K2549" s="127">
        <v>1.0506</v>
      </c>
      <c r="L2549" s="127">
        <v>0.77149999999999996</v>
      </c>
      <c r="M2549" s="127">
        <v>1.0670999999999999</v>
      </c>
      <c r="N2549" s="127">
        <v>0.84670000000000001</v>
      </c>
      <c r="O2549" s="127">
        <v>1.0538000000000001</v>
      </c>
      <c r="P2549" s="126">
        <v>7270</v>
      </c>
      <c r="Q2549" s="128">
        <f t="array" ref="Q2549">SUM(IF(($S2549&gt;=4)*($C2549='TaxCred&amp;Subs'!$D$123:$D$127)*($H2549='TaxCred&amp;Subs'!$C$123:$C$127)*($H2549&lt;='TaxCred&amp;Subs'!$C$129),'TaxCred&amp;Subs'!$E$123:$E$127,0))</f>
        <v>1000</v>
      </c>
      <c r="R2549" s="174">
        <v>0</v>
      </c>
      <c r="S2549" s="126">
        <v>5</v>
      </c>
      <c r="T2549" s="126" t="s">
        <v>225</v>
      </c>
      <c r="U2549"/>
      <c r="V2549" s="153" t="str">
        <f t="array" ref="V2549">INDEX(xlRTCLNAME,MATCH(1,(xlRTCLENDU=1)*(xlRTCLEQCL=$D2549),0))</f>
        <v>NG_HP</v>
      </c>
      <c r="W2549" s="153" t="str">
        <f t="array" ref="W2549">INDEX(xlRTCLNAME,MATCH(1,(xlRTCLENDU=2)*(xlRTCLEQCL=$F2549),0))</f>
        <v>NG_HP</v>
      </c>
      <c r="X2549" s="153" t="str">
        <f t="array" ref="X2549">INDEX(xlRTTYNAME,MATCH(1,(xlRTTYENDU=1)*(xlRTTYEQCL=$D2549)*(xlRTEQTYPE=$E2549),0))</f>
        <v>NG_HP2</v>
      </c>
      <c r="Y2549" s="153" t="str">
        <f t="array" ref="Y2549">INDEX(xlRTTYNAME,MATCH(1,(xlRTTYENDU=2)*(xlRTTYEQCL=$F2549)*(xlRTEQTYPE=$G2549),0))</f>
        <v>NG_HP2</v>
      </c>
    </row>
    <row r="2550" spans="1:25" s="157" customFormat="1" x14ac:dyDescent="0.2">
      <c r="A2550"/>
      <c r="B2550" s="49">
        <v>9</v>
      </c>
      <c r="C2550" s="49">
        <v>3</v>
      </c>
      <c r="D2550" s="49">
        <v>11</v>
      </c>
      <c r="E2550" s="49">
        <v>36</v>
      </c>
      <c r="F2550" s="49">
        <v>5</v>
      </c>
      <c r="G2550" s="49">
        <v>17</v>
      </c>
      <c r="H2550" s="166">
        <v>2023</v>
      </c>
      <c r="I2550" s="166">
        <v>2032</v>
      </c>
      <c r="J2550" s="50">
        <v>1.0761000000000001</v>
      </c>
      <c r="K2550" s="50">
        <v>1.0506</v>
      </c>
      <c r="L2550" s="50">
        <v>0.77149999999999996</v>
      </c>
      <c r="M2550" s="50">
        <v>1.0670999999999999</v>
      </c>
      <c r="N2550" s="50">
        <v>0.84670000000000001</v>
      </c>
      <c r="O2550" s="50">
        <v>1.0538000000000001</v>
      </c>
      <c r="P2550" s="49">
        <v>7270</v>
      </c>
      <c r="Q2550" s="51">
        <f t="array" ref="Q2550">SUM(IF(($S2550&gt;=4)*($C2550='TaxCred&amp;Subs'!$D$123:$D$127)*($H2550='TaxCred&amp;Subs'!$C$123:$C$127)*($H2550&lt;='TaxCred&amp;Subs'!$C$129),'TaxCred&amp;Subs'!$E$123:$E$127,0))</f>
        <v>2500</v>
      </c>
      <c r="R2550" s="171">
        <v>0</v>
      </c>
      <c r="S2550" s="49">
        <v>5</v>
      </c>
      <c r="T2550" s="49" t="s">
        <v>225</v>
      </c>
      <c r="U2550"/>
      <c r="V2550" s="153" t="str">
        <f t="array" ref="V2550">INDEX(xlRTCLNAME,MATCH(1,(xlRTCLENDU=1)*(xlRTCLEQCL=$D2550),0))</f>
        <v>NG_HP</v>
      </c>
      <c r="W2550" s="153" t="str">
        <f t="array" ref="W2550">INDEX(xlRTCLNAME,MATCH(1,(xlRTCLENDU=2)*(xlRTCLEQCL=$F2550),0))</f>
        <v>NG_HP</v>
      </c>
      <c r="X2550" s="153" t="str">
        <f t="array" ref="X2550">INDEX(xlRTTYNAME,MATCH(1,(xlRTTYENDU=1)*(xlRTTYEQCL=$D2550)*(xlRTEQTYPE=$E2550),0))</f>
        <v>NG_HP2</v>
      </c>
      <c r="Y2550" s="153" t="str">
        <f t="array" ref="Y2550">INDEX(xlRTTYNAME,MATCH(1,(xlRTTYENDU=2)*(xlRTTYEQCL=$F2550)*(xlRTEQTYPE=$G2550),0))</f>
        <v>NG_HP2</v>
      </c>
    </row>
    <row r="2551" spans="1:25" s="157" customFormat="1" x14ac:dyDescent="0.2">
      <c r="A2551"/>
      <c r="B2551" s="126">
        <v>9</v>
      </c>
      <c r="C2551" s="126">
        <v>3</v>
      </c>
      <c r="D2551" s="126">
        <v>11</v>
      </c>
      <c r="E2551" s="126">
        <v>36</v>
      </c>
      <c r="F2551" s="126">
        <v>5</v>
      </c>
      <c r="G2551" s="126">
        <v>17</v>
      </c>
      <c r="H2551" s="143">
        <v>2033</v>
      </c>
      <c r="I2551" s="148">
        <v>2050</v>
      </c>
      <c r="J2551" s="127">
        <v>1.0761000000000001</v>
      </c>
      <c r="K2551" s="127">
        <v>1.0506</v>
      </c>
      <c r="L2551" s="127">
        <v>0.77149999999999996</v>
      </c>
      <c r="M2551" s="127">
        <v>1.0670999999999999</v>
      </c>
      <c r="N2551" s="127">
        <v>0.84670000000000001</v>
      </c>
      <c r="O2551" s="127">
        <v>1.0538000000000001</v>
      </c>
      <c r="P2551" s="126">
        <v>7270</v>
      </c>
      <c r="Q2551" s="128">
        <f t="array" ref="Q2551">SUM(IF(($S2551&gt;=4)*($C2551='TaxCred&amp;Subs'!$D$123:$D$127)*($H2551='TaxCred&amp;Subs'!$C$123:$C$127)*($H2551&lt;='TaxCred&amp;Subs'!$C$129),'TaxCred&amp;Subs'!$E$123:$E$127,0))</f>
        <v>0</v>
      </c>
      <c r="R2551" s="174">
        <v>0</v>
      </c>
      <c r="S2551" s="126">
        <v>5</v>
      </c>
      <c r="T2551" s="126" t="s">
        <v>225</v>
      </c>
      <c r="U2551"/>
      <c r="V2551" s="153" t="str">
        <f t="array" ref="V2551">INDEX(xlRTCLNAME,MATCH(1,(xlRTCLENDU=1)*(xlRTCLEQCL=$D2551),0))</f>
        <v>NG_HP</v>
      </c>
      <c r="W2551" s="153" t="str">
        <f t="array" ref="W2551">INDEX(xlRTCLNAME,MATCH(1,(xlRTCLENDU=2)*(xlRTCLEQCL=$F2551),0))</f>
        <v>NG_HP</v>
      </c>
      <c r="X2551" s="153" t="str">
        <f t="array" ref="X2551">INDEX(xlRTTYNAME,MATCH(1,(xlRTTYENDU=1)*(xlRTTYEQCL=$D2551)*(xlRTEQTYPE=$E2551),0))</f>
        <v>NG_HP2</v>
      </c>
      <c r="Y2551" s="153" t="str">
        <f t="array" ref="Y2551">INDEX(xlRTTYNAME,MATCH(1,(xlRTTYENDU=2)*(xlRTTYEQCL=$F2551)*(xlRTEQTYPE=$G2551),0))</f>
        <v>NG_HP2</v>
      </c>
    </row>
    <row r="2552" spans="1:25" ht="15" x14ac:dyDescent="0.25">
      <c r="B2552" s="11" t="s">
        <v>486</v>
      </c>
      <c r="C2552" s="10"/>
      <c r="D2552" s="10"/>
      <c r="E2552" s="10"/>
      <c r="F2552" s="10"/>
      <c r="G2552" s="10"/>
      <c r="H2552" s="10"/>
      <c r="I2552" s="10"/>
      <c r="J2552" s="10"/>
      <c r="K2552" s="10"/>
      <c r="L2552" s="10"/>
      <c r="M2552" s="10"/>
      <c r="N2552" s="10"/>
      <c r="O2552" s="10"/>
      <c r="P2552" s="10"/>
      <c r="Q2552" s="10"/>
      <c r="R2552" s="10"/>
      <c r="S2552" s="10"/>
      <c r="T2552" s="10"/>
      <c r="U2552" s="158"/>
    </row>
    <row r="2553" spans="1:25" x14ac:dyDescent="0.2">
      <c r="U2553" s="158"/>
    </row>
    <row r="2554" spans="1:25" x14ac:dyDescent="0.2">
      <c r="U2554" s="158"/>
    </row>
    <row r="2555" spans="1:25" x14ac:dyDescent="0.2">
      <c r="U2555" s="158"/>
    </row>
    <row r="2556" spans="1:25" x14ac:dyDescent="0.2">
      <c r="U2556" s="158"/>
    </row>
    <row r="2557" spans="1:25" x14ac:dyDescent="0.2">
      <c r="U2557" s="158"/>
    </row>
    <row r="2558" spans="1:25" x14ac:dyDescent="0.2">
      <c r="U2558" s="158"/>
    </row>
    <row r="2559" spans="1:25" x14ac:dyDescent="0.2">
      <c r="U2559" s="158"/>
    </row>
    <row r="2560" spans="1:25" x14ac:dyDescent="0.2">
      <c r="U2560" s="158"/>
    </row>
  </sheetData>
  <autoFilter ref="B24:T2560" xr:uid="{00000000-0009-0000-0000-000003000000}"/>
  <sortState xmlns:xlrd2="http://schemas.microsoft.com/office/spreadsheetml/2017/richdata2" ref="B25:T2805">
    <sortCondition ref="C25:C2805"/>
    <sortCondition ref="S25:S2805"/>
    <sortCondition ref="D25:D2805"/>
    <sortCondition ref="F25:F2805"/>
    <sortCondition ref="B25:B2805"/>
    <sortCondition ref="E25:E2805"/>
    <sortCondition ref="G25:G2805"/>
    <sortCondition ref="H25:H2805"/>
  </sortState>
  <mergeCells count="6">
    <mergeCell ref="Q20:R20"/>
    <mergeCell ref="B20:G20"/>
    <mergeCell ref="H20:I20"/>
    <mergeCell ref="J20:K20"/>
    <mergeCell ref="L20:M20"/>
    <mergeCell ref="N20:O20"/>
  </mergeCell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9" tint="0.79998168889431442"/>
  </sheetPr>
  <dimension ref="A2:S159"/>
  <sheetViews>
    <sheetView topLeftCell="A19" zoomScale="70" zoomScaleNormal="70" workbookViewId="0">
      <selection activeCell="C2" sqref="C2"/>
    </sheetView>
  </sheetViews>
  <sheetFormatPr defaultRowHeight="14.25" x14ac:dyDescent="0.2"/>
  <cols>
    <col min="2" max="2" width="38.75" customWidth="1"/>
    <col min="3" max="3" width="17.125" bestFit="1" customWidth="1"/>
    <col min="4" max="4" width="11.75" customWidth="1"/>
    <col min="5" max="5" width="12.875" customWidth="1"/>
    <col min="6" max="6" width="11.375" customWidth="1"/>
    <col min="7" max="7" width="11.5" customWidth="1"/>
    <col min="8" max="8" width="11.875" customWidth="1"/>
    <col min="9" max="9" width="11.5" customWidth="1"/>
    <col min="10" max="10" width="12" customWidth="1"/>
    <col min="11" max="11" width="11" customWidth="1"/>
    <col min="12" max="12" width="12.5" customWidth="1"/>
    <col min="13" max="15" width="9.125" bestFit="1" customWidth="1"/>
    <col min="16" max="16" width="13.625" customWidth="1"/>
    <col min="17" max="18" width="7.25" bestFit="1" customWidth="1"/>
    <col min="19" max="19" width="9.5" customWidth="1"/>
    <col min="20" max="20" width="9.75" bestFit="1" customWidth="1"/>
    <col min="21" max="23" width="5" bestFit="1" customWidth="1"/>
    <col min="24" max="24" width="5.625" bestFit="1" customWidth="1"/>
    <col min="25" max="29" width="5" bestFit="1" customWidth="1"/>
    <col min="30" max="30" width="13.875" bestFit="1" customWidth="1"/>
    <col min="33" max="34" width="10.5" bestFit="1" customWidth="1"/>
  </cols>
  <sheetData>
    <row r="2" spans="2:16" ht="15" x14ac:dyDescent="0.25">
      <c r="B2" s="6" t="s">
        <v>76</v>
      </c>
      <c r="C2" s="109">
        <v>44880</v>
      </c>
    </row>
    <row r="3" spans="2:16" x14ac:dyDescent="0.2">
      <c r="B3" s="36" t="s">
        <v>478</v>
      </c>
    </row>
    <row r="5" spans="2:16" ht="15" x14ac:dyDescent="0.25">
      <c r="B5" s="6" t="s">
        <v>243</v>
      </c>
    </row>
    <row r="6" spans="2:16" x14ac:dyDescent="0.2">
      <c r="B6" s="42" t="s">
        <v>244</v>
      </c>
    </row>
    <row r="9" spans="2:16" ht="15" x14ac:dyDescent="0.25">
      <c r="B9" s="6" t="s">
        <v>467</v>
      </c>
      <c r="C9" s="103"/>
    </row>
    <row r="10" spans="2:16" x14ac:dyDescent="0.2">
      <c r="C10" s="103"/>
      <c r="F10" s="9" t="s">
        <v>103</v>
      </c>
      <c r="G10" s="9" t="s">
        <v>151</v>
      </c>
      <c r="H10" s="9" t="s">
        <v>133</v>
      </c>
      <c r="J10" s="9" t="s">
        <v>103</v>
      </c>
      <c r="K10" s="9" t="s">
        <v>151</v>
      </c>
      <c r="L10" s="9" t="s">
        <v>133</v>
      </c>
      <c r="N10" s="9" t="s">
        <v>136</v>
      </c>
    </row>
    <row r="11" spans="2:16" ht="60.75" thickBot="1" x14ac:dyDescent="0.3">
      <c r="B11" s="57" t="s">
        <v>53</v>
      </c>
      <c r="C11" s="178" t="s">
        <v>246</v>
      </c>
      <c r="D11" s="44" t="s">
        <v>304</v>
      </c>
      <c r="E11" s="44" t="s">
        <v>305</v>
      </c>
      <c r="F11" s="44" t="s">
        <v>263</v>
      </c>
      <c r="G11" s="44" t="s">
        <v>58</v>
      </c>
      <c r="H11" s="44" t="s">
        <v>257</v>
      </c>
      <c r="I11" s="44" t="s">
        <v>258</v>
      </c>
      <c r="J11" s="44" t="s">
        <v>264</v>
      </c>
      <c r="K11" s="44" t="s">
        <v>60</v>
      </c>
      <c r="L11" s="44" t="s">
        <v>259</v>
      </c>
      <c r="M11" s="44" t="s">
        <v>260</v>
      </c>
      <c r="N11" s="44" t="s">
        <v>252</v>
      </c>
    </row>
    <row r="12" spans="2:16" ht="15" thickTop="1" x14ac:dyDescent="0.2">
      <c r="B12" s="201" t="s">
        <v>253</v>
      </c>
      <c r="C12" s="179">
        <v>2016</v>
      </c>
      <c r="D12" s="85" t="str">
        <f>F12&amp;G12</f>
        <v>13</v>
      </c>
      <c r="E12" s="85" t="str">
        <f>J12&amp;K12</f>
        <v>--</v>
      </c>
      <c r="F12" s="47">
        <v>1</v>
      </c>
      <c r="G12" s="47">
        <v>3</v>
      </c>
      <c r="H12" s="47">
        <v>0.95</v>
      </c>
      <c r="I12" s="47" t="s">
        <v>282</v>
      </c>
      <c r="J12" s="47" t="s">
        <v>262</v>
      </c>
      <c r="K12" s="47" t="s">
        <v>262</v>
      </c>
      <c r="L12" s="47" t="s">
        <v>262</v>
      </c>
      <c r="M12" s="47" t="s">
        <v>262</v>
      </c>
      <c r="N12" s="55">
        <v>150</v>
      </c>
    </row>
    <row r="13" spans="2:16" s="157" customFormat="1" ht="15" thickBot="1" x14ac:dyDescent="0.25">
      <c r="B13" s="201" t="s">
        <v>253</v>
      </c>
      <c r="C13" s="179">
        <v>2022</v>
      </c>
      <c r="D13" s="85" t="str">
        <f>F13&amp;G13</f>
        <v>13</v>
      </c>
      <c r="E13" s="85" t="str">
        <f>J13&amp;K13</f>
        <v>--</v>
      </c>
      <c r="F13" s="47">
        <v>1</v>
      </c>
      <c r="G13" s="47">
        <v>3</v>
      </c>
      <c r="H13" s="47">
        <v>0.95</v>
      </c>
      <c r="I13" s="47" t="s">
        <v>282</v>
      </c>
      <c r="J13" s="47" t="s">
        <v>262</v>
      </c>
      <c r="K13" s="47" t="s">
        <v>262</v>
      </c>
      <c r="L13" s="47" t="s">
        <v>262</v>
      </c>
      <c r="M13" s="47" t="s">
        <v>262</v>
      </c>
      <c r="N13" s="55">
        <v>600</v>
      </c>
    </row>
    <row r="14" spans="2:16" x14ac:dyDescent="0.2">
      <c r="B14" s="202" t="s">
        <v>280</v>
      </c>
      <c r="C14" s="181">
        <v>2016</v>
      </c>
      <c r="D14" s="182" t="str">
        <f t="shared" ref="D14:D47" si="0">F14&amp;G14</f>
        <v>16</v>
      </c>
      <c r="E14" s="182" t="str">
        <f t="shared" ref="E14:E47" si="1">J14&amp;K14</f>
        <v>--</v>
      </c>
      <c r="F14" s="66">
        <v>1</v>
      </c>
      <c r="G14" s="66">
        <v>6</v>
      </c>
      <c r="H14" s="66">
        <v>0.95</v>
      </c>
      <c r="I14" s="66" t="s">
        <v>282</v>
      </c>
      <c r="J14" s="66" t="s">
        <v>262</v>
      </c>
      <c r="K14" s="66" t="s">
        <v>262</v>
      </c>
      <c r="L14" s="65" t="s">
        <v>262</v>
      </c>
      <c r="M14" s="65" t="s">
        <v>262</v>
      </c>
      <c r="N14" s="68">
        <v>150</v>
      </c>
    </row>
    <row r="15" spans="2:16" s="157" customFormat="1" ht="15" thickBot="1" x14ac:dyDescent="0.25">
      <c r="B15" s="203" t="s">
        <v>280</v>
      </c>
      <c r="C15" s="183">
        <v>2022</v>
      </c>
      <c r="D15" s="184" t="str">
        <f t="shared" ref="D15:D17" si="2">F15&amp;G15</f>
        <v>16</v>
      </c>
      <c r="E15" s="184" t="str">
        <f t="shared" ref="E15:E17" si="3">J15&amp;K15</f>
        <v>--</v>
      </c>
      <c r="F15" s="185">
        <v>1</v>
      </c>
      <c r="G15" s="185">
        <v>6</v>
      </c>
      <c r="H15" s="185">
        <v>0.95</v>
      </c>
      <c r="I15" s="185" t="s">
        <v>282</v>
      </c>
      <c r="J15" s="185" t="s">
        <v>262</v>
      </c>
      <c r="K15" s="185" t="s">
        <v>262</v>
      </c>
      <c r="L15" s="186" t="s">
        <v>262</v>
      </c>
      <c r="M15" s="186" t="s">
        <v>262</v>
      </c>
      <c r="N15" s="187">
        <v>600</v>
      </c>
    </row>
    <row r="16" spans="2:16" s="157" customFormat="1" x14ac:dyDescent="0.2">
      <c r="B16" s="202" t="s">
        <v>281</v>
      </c>
      <c r="C16" s="181">
        <v>2016</v>
      </c>
      <c r="D16" s="182" t="str">
        <f t="shared" si="2"/>
        <v>17</v>
      </c>
      <c r="E16" s="182" t="str">
        <f t="shared" si="3"/>
        <v>--</v>
      </c>
      <c r="F16" s="66">
        <v>1</v>
      </c>
      <c r="G16" s="66">
        <v>7</v>
      </c>
      <c r="H16" s="66">
        <v>0.85</v>
      </c>
      <c r="I16" s="66" t="s">
        <v>282</v>
      </c>
      <c r="J16" s="66" t="s">
        <v>262</v>
      </c>
      <c r="K16" s="66" t="s">
        <v>262</v>
      </c>
      <c r="L16" s="65" t="s">
        <v>262</v>
      </c>
      <c r="M16" s="65" t="s">
        <v>262</v>
      </c>
      <c r="N16" s="68">
        <v>150</v>
      </c>
      <c r="P16" s="58" t="s">
        <v>488</v>
      </c>
    </row>
    <row r="17" spans="2:15" s="157" customFormat="1" x14ac:dyDescent="0.2">
      <c r="B17" s="201" t="s">
        <v>281</v>
      </c>
      <c r="C17" s="207">
        <v>2023</v>
      </c>
      <c r="D17" s="208" t="str">
        <f t="shared" si="2"/>
        <v>17</v>
      </c>
      <c r="E17" s="208" t="str">
        <f t="shared" si="3"/>
        <v>--</v>
      </c>
      <c r="F17" s="67">
        <v>1</v>
      </c>
      <c r="G17" s="67">
        <v>7</v>
      </c>
      <c r="H17" s="67">
        <v>0.85</v>
      </c>
      <c r="I17" s="67" t="s">
        <v>282</v>
      </c>
      <c r="J17" s="67" t="s">
        <v>262</v>
      </c>
      <c r="K17" s="67" t="s">
        <v>262</v>
      </c>
      <c r="L17" s="47" t="s">
        <v>262</v>
      </c>
      <c r="M17" s="47" t="s">
        <v>262</v>
      </c>
      <c r="N17" s="55">
        <v>600</v>
      </c>
    </row>
    <row r="18" spans="2:15" ht="15" thickBot="1" x14ac:dyDescent="0.25">
      <c r="B18" s="203" t="s">
        <v>281</v>
      </c>
      <c r="C18" s="183">
        <v>2027</v>
      </c>
      <c r="D18" s="184" t="str">
        <f t="shared" si="0"/>
        <v>17</v>
      </c>
      <c r="E18" s="184" t="str">
        <f t="shared" si="1"/>
        <v>--</v>
      </c>
      <c r="F18" s="185">
        <v>1</v>
      </c>
      <c r="G18" s="185">
        <v>7</v>
      </c>
      <c r="H18" s="225">
        <v>0.9</v>
      </c>
      <c r="I18" s="185" t="s">
        <v>282</v>
      </c>
      <c r="J18" s="185" t="s">
        <v>262</v>
      </c>
      <c r="K18" s="185" t="s">
        <v>262</v>
      </c>
      <c r="L18" s="186" t="s">
        <v>262</v>
      </c>
      <c r="M18" s="186" t="s">
        <v>262</v>
      </c>
      <c r="N18" s="187">
        <v>600</v>
      </c>
    </row>
    <row r="19" spans="2:15" s="157" customFormat="1" x14ac:dyDescent="0.2">
      <c r="B19" s="204" t="s">
        <v>310</v>
      </c>
      <c r="C19" s="181">
        <v>2016</v>
      </c>
      <c r="D19" s="188" t="str">
        <f t="shared" si="0"/>
        <v>15</v>
      </c>
      <c r="E19" s="188" t="str">
        <f t="shared" si="1"/>
        <v>--</v>
      </c>
      <c r="F19" s="188">
        <v>1</v>
      </c>
      <c r="G19" s="188">
        <v>5</v>
      </c>
      <c r="H19" s="231">
        <v>0.85</v>
      </c>
      <c r="I19" s="188" t="s">
        <v>282</v>
      </c>
      <c r="J19" s="188" t="s">
        <v>262</v>
      </c>
      <c r="K19" s="188" t="s">
        <v>262</v>
      </c>
      <c r="L19" s="189" t="s">
        <v>262</v>
      </c>
      <c r="M19" s="189" t="s">
        <v>262</v>
      </c>
      <c r="N19" s="190">
        <v>150</v>
      </c>
      <c r="O19" s="54" t="s">
        <v>330</v>
      </c>
    </row>
    <row r="20" spans="2:15" s="157" customFormat="1" x14ac:dyDescent="0.2">
      <c r="B20" s="226" t="s">
        <v>310</v>
      </c>
      <c r="C20" s="207">
        <v>2023</v>
      </c>
      <c r="D20" s="227" t="str">
        <f t="shared" si="0"/>
        <v>15</v>
      </c>
      <c r="E20" s="227" t="str">
        <f t="shared" si="1"/>
        <v>--</v>
      </c>
      <c r="F20" s="227">
        <v>1</v>
      </c>
      <c r="G20" s="227">
        <v>5</v>
      </c>
      <c r="H20" s="232">
        <v>0.85</v>
      </c>
      <c r="I20" s="227" t="s">
        <v>282</v>
      </c>
      <c r="J20" s="227" t="s">
        <v>262</v>
      </c>
      <c r="K20" s="227" t="s">
        <v>262</v>
      </c>
      <c r="L20" s="228" t="s">
        <v>262</v>
      </c>
      <c r="M20" s="228" t="s">
        <v>262</v>
      </c>
      <c r="N20" s="229">
        <v>600</v>
      </c>
      <c r="O20" s="230" t="s">
        <v>330</v>
      </c>
    </row>
    <row r="21" spans="2:15" ht="15" thickBot="1" x14ac:dyDescent="0.25">
      <c r="B21" s="205" t="s">
        <v>310</v>
      </c>
      <c r="C21" s="183">
        <v>2027</v>
      </c>
      <c r="D21" s="191" t="str">
        <f t="shared" ref="D21:D22" si="4">F21&amp;G21</f>
        <v>15</v>
      </c>
      <c r="E21" s="191" t="str">
        <f t="shared" ref="E21:E22" si="5">J21&amp;K21</f>
        <v>--</v>
      </c>
      <c r="F21" s="191">
        <v>1</v>
      </c>
      <c r="G21" s="191">
        <v>5</v>
      </c>
      <c r="H21" s="233">
        <v>0.9</v>
      </c>
      <c r="I21" s="191" t="s">
        <v>282</v>
      </c>
      <c r="J21" s="191" t="s">
        <v>262</v>
      </c>
      <c r="K21" s="191" t="s">
        <v>262</v>
      </c>
      <c r="L21" s="192" t="s">
        <v>262</v>
      </c>
      <c r="M21" s="192" t="s">
        <v>262</v>
      </c>
      <c r="N21" s="193">
        <v>600</v>
      </c>
      <c r="O21" s="54" t="s">
        <v>330</v>
      </c>
    </row>
    <row r="22" spans="2:15" s="157" customFormat="1" x14ac:dyDescent="0.2">
      <c r="B22" s="202" t="s">
        <v>278</v>
      </c>
      <c r="C22" s="181">
        <v>2016</v>
      </c>
      <c r="D22" s="182" t="str">
        <f t="shared" si="4"/>
        <v>14</v>
      </c>
      <c r="E22" s="182" t="str">
        <f t="shared" si="5"/>
        <v>--</v>
      </c>
      <c r="F22" s="66">
        <v>1</v>
      </c>
      <c r="G22" s="66">
        <v>4</v>
      </c>
      <c r="H22" s="66">
        <v>0.95</v>
      </c>
      <c r="I22" s="66" t="s">
        <v>282</v>
      </c>
      <c r="J22" s="66" t="s">
        <v>262</v>
      </c>
      <c r="K22" s="66" t="s">
        <v>262</v>
      </c>
      <c r="L22" s="65" t="s">
        <v>262</v>
      </c>
      <c r="M22" s="65" t="s">
        <v>262</v>
      </c>
      <c r="N22" s="68">
        <v>150</v>
      </c>
    </row>
    <row r="23" spans="2:15" ht="15" thickBot="1" x14ac:dyDescent="0.25">
      <c r="B23" s="203" t="s">
        <v>278</v>
      </c>
      <c r="C23" s="183">
        <v>2022</v>
      </c>
      <c r="D23" s="184" t="str">
        <f t="shared" si="0"/>
        <v>14</v>
      </c>
      <c r="E23" s="184" t="str">
        <f t="shared" si="1"/>
        <v>--</v>
      </c>
      <c r="F23" s="185">
        <v>1</v>
      </c>
      <c r="G23" s="185">
        <v>4</v>
      </c>
      <c r="H23" s="185">
        <v>0.95</v>
      </c>
      <c r="I23" s="185" t="s">
        <v>282</v>
      </c>
      <c r="J23" s="185" t="s">
        <v>262</v>
      </c>
      <c r="K23" s="185" t="s">
        <v>262</v>
      </c>
      <c r="L23" s="186" t="s">
        <v>262</v>
      </c>
      <c r="M23" s="186" t="s">
        <v>262</v>
      </c>
      <c r="N23" s="187">
        <v>600</v>
      </c>
    </row>
    <row r="24" spans="2:15" s="157" customFormat="1" x14ac:dyDescent="0.2">
      <c r="B24" s="202" t="s">
        <v>279</v>
      </c>
      <c r="C24" s="181">
        <v>2016</v>
      </c>
      <c r="D24" s="182" t="str">
        <f t="shared" ref="D24:D25" si="6">F24&amp;G24</f>
        <v>18</v>
      </c>
      <c r="E24" s="182" t="str">
        <f t="shared" ref="E24:E25" si="7">J24&amp;K24</f>
        <v>--</v>
      </c>
      <c r="F24" s="66">
        <v>1</v>
      </c>
      <c r="G24" s="66">
        <v>8</v>
      </c>
      <c r="H24" s="66">
        <v>0.87</v>
      </c>
      <c r="I24" s="66" t="s">
        <v>282</v>
      </c>
      <c r="J24" s="66" t="s">
        <v>262</v>
      </c>
      <c r="K24" s="66" t="s">
        <v>262</v>
      </c>
      <c r="L24" s="65" t="s">
        <v>262</v>
      </c>
      <c r="M24" s="65" t="s">
        <v>262</v>
      </c>
      <c r="N24" s="68">
        <v>150</v>
      </c>
    </row>
    <row r="25" spans="2:15" s="157" customFormat="1" x14ac:dyDescent="0.2">
      <c r="B25" s="201" t="s">
        <v>279</v>
      </c>
      <c r="C25" s="207">
        <v>2023</v>
      </c>
      <c r="D25" s="208" t="str">
        <f t="shared" si="6"/>
        <v>18</v>
      </c>
      <c r="E25" s="208" t="str">
        <f t="shared" si="7"/>
        <v>--</v>
      </c>
      <c r="F25" s="67">
        <v>1</v>
      </c>
      <c r="G25" s="67">
        <v>8</v>
      </c>
      <c r="H25" s="67">
        <v>0.87</v>
      </c>
      <c r="I25" s="67" t="s">
        <v>282</v>
      </c>
      <c r="J25" s="67" t="s">
        <v>262</v>
      </c>
      <c r="K25" s="67" t="s">
        <v>262</v>
      </c>
      <c r="L25" s="47" t="s">
        <v>262</v>
      </c>
      <c r="M25" s="47" t="s">
        <v>262</v>
      </c>
      <c r="N25" s="55">
        <v>600</v>
      </c>
    </row>
    <row r="26" spans="2:15" ht="15" thickBot="1" x14ac:dyDescent="0.25">
      <c r="B26" s="203" t="s">
        <v>279</v>
      </c>
      <c r="C26" s="183">
        <v>2027</v>
      </c>
      <c r="D26" s="184" t="str">
        <f t="shared" si="0"/>
        <v>18</v>
      </c>
      <c r="E26" s="184" t="str">
        <f t="shared" si="1"/>
        <v>--</v>
      </c>
      <c r="F26" s="185">
        <v>1</v>
      </c>
      <c r="G26" s="185">
        <v>8</v>
      </c>
      <c r="H26" s="225">
        <v>0.9</v>
      </c>
      <c r="I26" s="185" t="s">
        <v>282</v>
      </c>
      <c r="J26" s="185" t="s">
        <v>262</v>
      </c>
      <c r="K26" s="185" t="s">
        <v>262</v>
      </c>
      <c r="L26" s="186" t="s">
        <v>262</v>
      </c>
      <c r="M26" s="186" t="s">
        <v>262</v>
      </c>
      <c r="N26" s="187">
        <v>600</v>
      </c>
    </row>
    <row r="27" spans="2:15" s="157" customFormat="1" ht="28.5" x14ac:dyDescent="0.2">
      <c r="B27" s="202" t="s">
        <v>270</v>
      </c>
      <c r="C27" s="181">
        <v>2016</v>
      </c>
      <c r="D27" s="182" t="str">
        <f t="shared" ref="D27:D31" si="8">F27&amp;G27</f>
        <v>19</v>
      </c>
      <c r="E27" s="182" t="str">
        <f t="shared" ref="E27:E31" si="9">J27&amp;K27</f>
        <v>--</v>
      </c>
      <c r="F27" s="66">
        <v>1</v>
      </c>
      <c r="G27" s="66">
        <v>9</v>
      </c>
      <c r="H27" s="66">
        <v>0.75</v>
      </c>
      <c r="I27" s="66" t="s">
        <v>256</v>
      </c>
      <c r="J27" s="66" t="s">
        <v>262</v>
      </c>
      <c r="K27" s="66" t="s">
        <v>262</v>
      </c>
      <c r="L27" s="65" t="s">
        <v>262</v>
      </c>
      <c r="M27" s="65" t="s">
        <v>262</v>
      </c>
      <c r="N27" s="235">
        <v>300</v>
      </c>
    </row>
    <row r="28" spans="2:15" s="157" customFormat="1" ht="28.5" x14ac:dyDescent="0.2">
      <c r="B28" s="201" t="s">
        <v>270</v>
      </c>
      <c r="C28" s="207">
        <v>2020</v>
      </c>
      <c r="D28" s="208" t="str">
        <f t="shared" ref="D28" si="10">F28&amp;G28</f>
        <v>19</v>
      </c>
      <c r="E28" s="208" t="str">
        <f t="shared" ref="E28" si="11">J28&amp;K28</f>
        <v>--</v>
      </c>
      <c r="F28" s="67">
        <v>1</v>
      </c>
      <c r="G28" s="67">
        <v>9</v>
      </c>
      <c r="H28" s="67">
        <v>0.75</v>
      </c>
      <c r="I28" s="67" t="s">
        <v>256</v>
      </c>
      <c r="J28" s="67" t="s">
        <v>262</v>
      </c>
      <c r="K28" s="67" t="s">
        <v>262</v>
      </c>
      <c r="L28" s="47" t="s">
        <v>262</v>
      </c>
      <c r="M28" s="47" t="s">
        <v>262</v>
      </c>
      <c r="N28" s="236">
        <v>300</v>
      </c>
    </row>
    <row r="29" spans="2:15" s="157" customFormat="1" ht="28.5" x14ac:dyDescent="0.2">
      <c r="B29" s="201" t="s">
        <v>270</v>
      </c>
      <c r="C29" s="207">
        <v>2021</v>
      </c>
      <c r="D29" s="208" t="str">
        <f t="shared" si="8"/>
        <v>19</v>
      </c>
      <c r="E29" s="208" t="str">
        <f t="shared" si="9"/>
        <v>--</v>
      </c>
      <c r="F29" s="67">
        <v>1</v>
      </c>
      <c r="G29" s="67">
        <v>9</v>
      </c>
      <c r="H29" s="67">
        <v>0.75</v>
      </c>
      <c r="I29" s="67" t="s">
        <v>256</v>
      </c>
      <c r="J29" s="67" t="s">
        <v>262</v>
      </c>
      <c r="K29" s="67" t="s">
        <v>262</v>
      </c>
      <c r="L29" s="47" t="s">
        <v>262</v>
      </c>
      <c r="M29" s="47" t="s">
        <v>262</v>
      </c>
      <c r="N29" s="236">
        <v>0</v>
      </c>
      <c r="O29" s="157" t="s">
        <v>485</v>
      </c>
    </row>
    <row r="30" spans="2:15" s="157" customFormat="1" ht="28.5" x14ac:dyDescent="0.2">
      <c r="B30" s="201" t="s">
        <v>270</v>
      </c>
      <c r="C30" s="207">
        <v>2022</v>
      </c>
      <c r="D30" s="208" t="str">
        <f t="shared" si="8"/>
        <v>19</v>
      </c>
      <c r="E30" s="208" t="str">
        <f t="shared" si="9"/>
        <v>--</v>
      </c>
      <c r="F30" s="67">
        <v>1</v>
      </c>
      <c r="G30" s="67">
        <v>9</v>
      </c>
      <c r="H30" s="67">
        <v>0.75</v>
      </c>
      <c r="I30" s="67" t="s">
        <v>256</v>
      </c>
      <c r="J30" s="67" t="s">
        <v>262</v>
      </c>
      <c r="K30" s="67" t="s">
        <v>262</v>
      </c>
      <c r="L30" s="47" t="s">
        <v>262</v>
      </c>
      <c r="M30" s="47" t="s">
        <v>262</v>
      </c>
      <c r="N30" s="236">
        <v>0</v>
      </c>
      <c r="O30" s="157" t="s">
        <v>485</v>
      </c>
    </row>
    <row r="31" spans="2:15" s="157" customFormat="1" ht="28.5" x14ac:dyDescent="0.2">
      <c r="B31" s="201" t="s">
        <v>270</v>
      </c>
      <c r="C31" s="207">
        <v>2023</v>
      </c>
      <c r="D31" s="208" t="str">
        <f t="shared" si="8"/>
        <v>19</v>
      </c>
      <c r="E31" s="208" t="str">
        <f t="shared" si="9"/>
        <v>--</v>
      </c>
      <c r="F31" s="67">
        <v>1</v>
      </c>
      <c r="G31" s="67">
        <v>9</v>
      </c>
      <c r="H31" s="67">
        <v>0.75</v>
      </c>
      <c r="I31" s="67" t="s">
        <v>256</v>
      </c>
      <c r="J31" s="67" t="s">
        <v>262</v>
      </c>
      <c r="K31" s="67" t="s">
        <v>262</v>
      </c>
      <c r="L31" s="47" t="s">
        <v>262</v>
      </c>
      <c r="M31" s="47" t="s">
        <v>262</v>
      </c>
      <c r="N31" s="236">
        <v>2000</v>
      </c>
    </row>
    <row r="32" spans="2:15" ht="29.25" thickBot="1" x14ac:dyDescent="0.25">
      <c r="B32" s="203" t="s">
        <v>270</v>
      </c>
      <c r="C32" s="183">
        <v>2030</v>
      </c>
      <c r="D32" s="184" t="str">
        <f t="shared" si="0"/>
        <v>19</v>
      </c>
      <c r="E32" s="184" t="str">
        <f t="shared" si="1"/>
        <v>--</v>
      </c>
      <c r="F32" s="185">
        <v>1</v>
      </c>
      <c r="G32" s="185">
        <v>9</v>
      </c>
      <c r="H32" s="185">
        <v>0.75</v>
      </c>
      <c r="I32" s="185" t="s">
        <v>256</v>
      </c>
      <c r="J32" s="185" t="s">
        <v>262</v>
      </c>
      <c r="K32" s="185" t="s">
        <v>262</v>
      </c>
      <c r="L32" s="186" t="s">
        <v>262</v>
      </c>
      <c r="M32" s="186" t="s">
        <v>262</v>
      </c>
      <c r="N32" s="237">
        <v>2000</v>
      </c>
    </row>
    <row r="33" spans="1:15" x14ac:dyDescent="0.2">
      <c r="B33" s="202" t="s">
        <v>254</v>
      </c>
      <c r="C33" s="181">
        <v>2016</v>
      </c>
      <c r="D33" s="182" t="str">
        <f t="shared" si="0"/>
        <v>--</v>
      </c>
      <c r="E33" s="182" t="str">
        <f t="shared" si="1"/>
        <v>22</v>
      </c>
      <c r="F33" s="66" t="s">
        <v>262</v>
      </c>
      <c r="G33" s="66" t="s">
        <v>262</v>
      </c>
      <c r="H33" s="66" t="s">
        <v>262</v>
      </c>
      <c r="I33" s="66" t="s">
        <v>262</v>
      </c>
      <c r="J33" s="66">
        <v>2</v>
      </c>
      <c r="K33" s="66">
        <v>2</v>
      </c>
      <c r="L33" s="195">
        <f>16/3.412</f>
        <v>4.6893317702227435</v>
      </c>
      <c r="M33" s="65" t="s">
        <v>302</v>
      </c>
      <c r="N33" s="68">
        <v>300</v>
      </c>
    </row>
    <row r="34" spans="1:15" s="157" customFormat="1" x14ac:dyDescent="0.2">
      <c r="B34" s="201" t="s">
        <v>254</v>
      </c>
      <c r="C34" s="207">
        <v>2022</v>
      </c>
      <c r="D34" s="208" t="str">
        <f t="shared" si="0"/>
        <v>--</v>
      </c>
      <c r="E34" s="208" t="str">
        <f t="shared" si="1"/>
        <v>22</v>
      </c>
      <c r="F34" s="67" t="s">
        <v>262</v>
      </c>
      <c r="G34" s="67" t="s">
        <v>262</v>
      </c>
      <c r="H34" s="67" t="s">
        <v>262</v>
      </c>
      <c r="I34" s="67" t="s">
        <v>262</v>
      </c>
      <c r="J34" s="67">
        <v>2</v>
      </c>
      <c r="K34" s="67">
        <v>2</v>
      </c>
      <c r="L34" s="222">
        <f t="shared" ref="L34:L35" si="12">16/3.412</f>
        <v>4.6893317702227435</v>
      </c>
      <c r="M34" s="47" t="s">
        <v>302</v>
      </c>
      <c r="N34" s="55">
        <v>2000</v>
      </c>
    </row>
    <row r="35" spans="1:15" s="157" customFormat="1" ht="15" thickBot="1" x14ac:dyDescent="0.25">
      <c r="B35" s="203" t="s">
        <v>254</v>
      </c>
      <c r="C35" s="183">
        <v>2023</v>
      </c>
      <c r="D35" s="184" t="str">
        <f t="shared" ref="D35" si="13">F35&amp;G35</f>
        <v>--</v>
      </c>
      <c r="E35" s="184" t="str">
        <f t="shared" ref="E35" si="14">J35&amp;K35</f>
        <v>22</v>
      </c>
      <c r="F35" s="185" t="s">
        <v>262</v>
      </c>
      <c r="G35" s="185" t="s">
        <v>262</v>
      </c>
      <c r="H35" s="185" t="s">
        <v>262</v>
      </c>
      <c r="I35" s="185" t="s">
        <v>262</v>
      </c>
      <c r="J35" s="185">
        <v>2</v>
      </c>
      <c r="K35" s="185">
        <v>2</v>
      </c>
      <c r="L35" s="222">
        <f t="shared" si="12"/>
        <v>4.6893317702227435</v>
      </c>
      <c r="M35" s="186" t="s">
        <v>302</v>
      </c>
      <c r="N35" s="187">
        <v>2000</v>
      </c>
    </row>
    <row r="36" spans="1:15" x14ac:dyDescent="0.2">
      <c r="B36" s="202" t="s">
        <v>265</v>
      </c>
      <c r="C36" s="194">
        <v>2016</v>
      </c>
      <c r="D36" s="102" t="str">
        <f t="shared" si="0"/>
        <v>12</v>
      </c>
      <c r="E36" s="102" t="str">
        <f t="shared" si="1"/>
        <v>23</v>
      </c>
      <c r="F36" s="65">
        <v>1</v>
      </c>
      <c r="G36" s="65">
        <v>2</v>
      </c>
      <c r="H36" s="195">
        <f>8.5/3.412</f>
        <v>2.4912075029308323</v>
      </c>
      <c r="I36" s="65" t="s">
        <v>302</v>
      </c>
      <c r="J36" s="65">
        <v>2</v>
      </c>
      <c r="K36" s="65">
        <v>3</v>
      </c>
      <c r="L36" s="195">
        <f>15/3.412</f>
        <v>4.3962485345838216</v>
      </c>
      <c r="M36" s="65" t="s">
        <v>302</v>
      </c>
      <c r="N36" s="196">
        <f>300/2</f>
        <v>150</v>
      </c>
      <c r="O36" s="54" t="s">
        <v>303</v>
      </c>
    </row>
    <row r="37" spans="1:15" s="157" customFormat="1" x14ac:dyDescent="0.2">
      <c r="B37" s="201" t="s">
        <v>265</v>
      </c>
      <c r="C37" s="179">
        <v>2022</v>
      </c>
      <c r="D37" s="85" t="str">
        <f t="shared" si="0"/>
        <v>12</v>
      </c>
      <c r="E37" s="85" t="str">
        <f t="shared" si="1"/>
        <v>23</v>
      </c>
      <c r="F37" s="47">
        <v>1</v>
      </c>
      <c r="G37" s="47">
        <v>2</v>
      </c>
      <c r="H37" s="222">
        <f>8.5/3.412</f>
        <v>2.4912075029308323</v>
      </c>
      <c r="I37" s="47" t="s">
        <v>302</v>
      </c>
      <c r="J37" s="47">
        <v>2</v>
      </c>
      <c r="K37" s="47">
        <v>3</v>
      </c>
      <c r="L37" s="222">
        <f>15/3.412</f>
        <v>4.3962485345838216</v>
      </c>
      <c r="M37" s="47" t="s">
        <v>302</v>
      </c>
      <c r="N37" s="224">
        <f>2000/2</f>
        <v>1000</v>
      </c>
    </row>
    <row r="38" spans="1:15" s="157" customFormat="1" ht="15" thickBot="1" x14ac:dyDescent="0.25">
      <c r="B38" s="203" t="s">
        <v>265</v>
      </c>
      <c r="C38" s="197">
        <v>2023</v>
      </c>
      <c r="D38" s="198" t="str">
        <f t="shared" ref="D38" si="15">F38&amp;G38</f>
        <v>12</v>
      </c>
      <c r="E38" s="198" t="str">
        <f t="shared" ref="E38" si="16">J38&amp;K38</f>
        <v>23</v>
      </c>
      <c r="F38" s="186">
        <v>1</v>
      </c>
      <c r="G38" s="186">
        <v>2</v>
      </c>
      <c r="H38" s="199">
        <f>8.5/3.412</f>
        <v>2.4912075029308323</v>
      </c>
      <c r="I38" s="186" t="s">
        <v>302</v>
      </c>
      <c r="J38" s="186">
        <v>2</v>
      </c>
      <c r="K38" s="186">
        <v>3</v>
      </c>
      <c r="L38" s="199">
        <f>15/3.412</f>
        <v>4.3962485345838216</v>
      </c>
      <c r="M38" s="186" t="s">
        <v>302</v>
      </c>
      <c r="N38" s="200">
        <f>2000/2</f>
        <v>1000</v>
      </c>
    </row>
    <row r="39" spans="1:15" ht="28.5" x14ac:dyDescent="0.2">
      <c r="A39" s="157"/>
      <c r="B39" s="202" t="s">
        <v>266</v>
      </c>
      <c r="C39" s="194">
        <v>2016</v>
      </c>
      <c r="D39" s="102" t="str">
        <f t="shared" si="0"/>
        <v>51</v>
      </c>
      <c r="E39" s="102" t="str">
        <f t="shared" si="1"/>
        <v>--</v>
      </c>
      <c r="F39" s="65">
        <v>5</v>
      </c>
      <c r="G39" s="65">
        <v>1</v>
      </c>
      <c r="H39" s="65">
        <v>0.81</v>
      </c>
      <c r="I39" s="65" t="s">
        <v>261</v>
      </c>
      <c r="J39" s="65" t="s">
        <v>262</v>
      </c>
      <c r="K39" s="65" t="s">
        <v>262</v>
      </c>
      <c r="L39" s="65" t="s">
        <v>262</v>
      </c>
      <c r="M39" s="65" t="s">
        <v>262</v>
      </c>
      <c r="N39" s="68">
        <v>300</v>
      </c>
    </row>
    <row r="40" spans="1:15" s="157" customFormat="1" ht="28.5" x14ac:dyDescent="0.2">
      <c r="B40" s="201" t="s">
        <v>266</v>
      </c>
      <c r="C40" s="179">
        <v>2022</v>
      </c>
      <c r="D40" s="85" t="str">
        <f t="shared" si="0"/>
        <v>51</v>
      </c>
      <c r="E40" s="85" t="str">
        <f t="shared" si="1"/>
        <v>--</v>
      </c>
      <c r="F40" s="47">
        <v>5</v>
      </c>
      <c r="G40" s="47">
        <v>1</v>
      </c>
      <c r="H40" s="47">
        <v>0.81</v>
      </c>
      <c r="I40" s="47" t="s">
        <v>261</v>
      </c>
      <c r="J40" s="47" t="s">
        <v>262</v>
      </c>
      <c r="K40" s="47" t="s">
        <v>262</v>
      </c>
      <c r="L40" s="47" t="s">
        <v>262</v>
      </c>
      <c r="M40" s="47" t="s">
        <v>262</v>
      </c>
      <c r="N40" s="55">
        <v>600</v>
      </c>
    </row>
    <row r="41" spans="1:15" s="157" customFormat="1" ht="29.25" thickBot="1" x14ac:dyDescent="0.25">
      <c r="B41" s="203" t="s">
        <v>266</v>
      </c>
      <c r="C41" s="197">
        <v>2023</v>
      </c>
      <c r="D41" s="198" t="str">
        <f t="shared" ref="D41" si="17">F41&amp;G41</f>
        <v>51</v>
      </c>
      <c r="E41" s="198" t="str">
        <f t="shared" ref="E41" si="18">J41&amp;K41</f>
        <v>--</v>
      </c>
      <c r="F41" s="186">
        <v>5</v>
      </c>
      <c r="G41" s="186">
        <v>1</v>
      </c>
      <c r="H41" s="186">
        <v>0.81</v>
      </c>
      <c r="I41" s="186" t="s">
        <v>261</v>
      </c>
      <c r="J41" s="186" t="s">
        <v>262</v>
      </c>
      <c r="K41" s="186" t="s">
        <v>262</v>
      </c>
      <c r="L41" s="186" t="s">
        <v>262</v>
      </c>
      <c r="M41" s="186" t="s">
        <v>262</v>
      </c>
      <c r="N41" s="187">
        <v>600</v>
      </c>
    </row>
    <row r="42" spans="1:15" ht="28.5" x14ac:dyDescent="0.2">
      <c r="B42" s="202" t="s">
        <v>299</v>
      </c>
      <c r="C42" s="194">
        <v>2016</v>
      </c>
      <c r="D42" s="102" t="str">
        <f t="shared" si="0"/>
        <v>54</v>
      </c>
      <c r="E42" s="102" t="str">
        <f t="shared" si="1"/>
        <v>--</v>
      </c>
      <c r="F42" s="65">
        <v>5</v>
      </c>
      <c r="G42" s="65">
        <v>4</v>
      </c>
      <c r="H42" s="65">
        <v>0.81</v>
      </c>
      <c r="I42" s="65" t="s">
        <v>261</v>
      </c>
      <c r="J42" s="65" t="s">
        <v>262</v>
      </c>
      <c r="K42" s="65" t="s">
        <v>262</v>
      </c>
      <c r="L42" s="65" t="s">
        <v>262</v>
      </c>
      <c r="M42" s="65" t="s">
        <v>262</v>
      </c>
      <c r="N42" s="68">
        <v>300</v>
      </c>
    </row>
    <row r="43" spans="1:15" s="157" customFormat="1" ht="28.5" x14ac:dyDescent="0.2">
      <c r="B43" s="201" t="s">
        <v>299</v>
      </c>
      <c r="C43" s="179">
        <v>2022</v>
      </c>
      <c r="D43" s="85" t="str">
        <f t="shared" si="0"/>
        <v>54</v>
      </c>
      <c r="E43" s="85" t="str">
        <f t="shared" si="1"/>
        <v>--</v>
      </c>
      <c r="F43" s="47">
        <v>5</v>
      </c>
      <c r="G43" s="47">
        <v>4</v>
      </c>
      <c r="H43" s="47">
        <v>0.81</v>
      </c>
      <c r="I43" s="47" t="s">
        <v>261</v>
      </c>
      <c r="J43" s="47" t="s">
        <v>262</v>
      </c>
      <c r="K43" s="47" t="s">
        <v>262</v>
      </c>
      <c r="L43" s="47" t="s">
        <v>262</v>
      </c>
      <c r="M43" s="47" t="s">
        <v>262</v>
      </c>
      <c r="N43" s="55">
        <v>600</v>
      </c>
    </row>
    <row r="44" spans="1:15" s="157" customFormat="1" ht="29.25" thickBot="1" x14ac:dyDescent="0.25">
      <c r="B44" s="203" t="s">
        <v>299</v>
      </c>
      <c r="C44" s="197">
        <v>2023</v>
      </c>
      <c r="D44" s="198" t="str">
        <f t="shared" ref="D44" si="19">F44&amp;G44</f>
        <v>54</v>
      </c>
      <c r="E44" s="198" t="str">
        <f t="shared" ref="E44" si="20">J44&amp;K44</f>
        <v>--</v>
      </c>
      <c r="F44" s="186">
        <v>5</v>
      </c>
      <c r="G44" s="186">
        <v>4</v>
      </c>
      <c r="H44" s="186">
        <v>0.81</v>
      </c>
      <c r="I44" s="186" t="s">
        <v>261</v>
      </c>
      <c r="J44" s="186" t="s">
        <v>262</v>
      </c>
      <c r="K44" s="186" t="s">
        <v>262</v>
      </c>
      <c r="L44" s="186" t="s">
        <v>262</v>
      </c>
      <c r="M44" s="186" t="s">
        <v>262</v>
      </c>
      <c r="N44" s="187">
        <v>600</v>
      </c>
    </row>
    <row r="45" spans="1:15" ht="28.5" x14ac:dyDescent="0.2">
      <c r="B45" s="202" t="s">
        <v>300</v>
      </c>
      <c r="C45" s="194">
        <v>2016</v>
      </c>
      <c r="D45" s="102" t="str">
        <f t="shared" si="0"/>
        <v>53</v>
      </c>
      <c r="E45" s="102" t="str">
        <f t="shared" si="1"/>
        <v>--</v>
      </c>
      <c r="F45" s="65">
        <v>5</v>
      </c>
      <c r="G45" s="65">
        <v>3</v>
      </c>
      <c r="H45" s="65">
        <v>0.81</v>
      </c>
      <c r="I45" s="65" t="s">
        <v>261</v>
      </c>
      <c r="J45" s="65" t="s">
        <v>262</v>
      </c>
      <c r="K45" s="65" t="s">
        <v>262</v>
      </c>
      <c r="L45" s="65" t="s">
        <v>262</v>
      </c>
      <c r="M45" s="65" t="s">
        <v>262</v>
      </c>
      <c r="N45" s="68">
        <v>300</v>
      </c>
    </row>
    <row r="46" spans="1:15" s="157" customFormat="1" ht="29.25" thickBot="1" x14ac:dyDescent="0.25">
      <c r="B46" s="203" t="s">
        <v>300</v>
      </c>
      <c r="C46" s="197">
        <v>2022</v>
      </c>
      <c r="D46" s="198" t="str">
        <f t="shared" ref="D46" si="21">F46&amp;G46</f>
        <v>53</v>
      </c>
      <c r="E46" s="198" t="str">
        <f t="shared" ref="E46" si="22">J46&amp;K46</f>
        <v>--</v>
      </c>
      <c r="F46" s="186">
        <v>5</v>
      </c>
      <c r="G46" s="186">
        <v>3</v>
      </c>
      <c r="H46" s="186">
        <v>0.81</v>
      </c>
      <c r="I46" s="186" t="s">
        <v>261</v>
      </c>
      <c r="J46" s="186" t="s">
        <v>262</v>
      </c>
      <c r="K46" s="186" t="s">
        <v>262</v>
      </c>
      <c r="L46" s="186" t="s">
        <v>262</v>
      </c>
      <c r="M46" s="186" t="s">
        <v>262</v>
      </c>
      <c r="N46" s="187">
        <v>600</v>
      </c>
    </row>
    <row r="47" spans="1:15" ht="28.5" x14ac:dyDescent="0.2">
      <c r="B47" s="201" t="s">
        <v>298</v>
      </c>
      <c r="C47" s="180">
        <v>2016</v>
      </c>
      <c r="D47" s="86" t="str">
        <f t="shared" si="0"/>
        <v>52</v>
      </c>
      <c r="E47" s="86" t="str">
        <f t="shared" si="1"/>
        <v>--</v>
      </c>
      <c r="F47" s="61">
        <v>5</v>
      </c>
      <c r="G47" s="61">
        <v>2</v>
      </c>
      <c r="H47" s="60">
        <v>2</v>
      </c>
      <c r="I47" s="47" t="s">
        <v>261</v>
      </c>
      <c r="J47" s="61" t="s">
        <v>262</v>
      </c>
      <c r="K47" s="61" t="s">
        <v>262</v>
      </c>
      <c r="L47" s="47" t="s">
        <v>262</v>
      </c>
      <c r="M47" s="47" t="s">
        <v>262</v>
      </c>
      <c r="N47" s="55">
        <v>300</v>
      </c>
    </row>
    <row r="48" spans="1:15" s="157" customFormat="1" ht="28.5" x14ac:dyDescent="0.2">
      <c r="B48" s="201" t="s">
        <v>298</v>
      </c>
      <c r="C48" s="180">
        <v>2022</v>
      </c>
      <c r="D48" s="86" t="str">
        <f t="shared" ref="D48" si="23">F48&amp;G48</f>
        <v>52</v>
      </c>
      <c r="E48" s="86" t="str">
        <f t="shared" ref="E48" si="24">J48&amp;K48</f>
        <v>--</v>
      </c>
      <c r="F48" s="61">
        <v>5</v>
      </c>
      <c r="G48" s="61">
        <v>2</v>
      </c>
      <c r="H48" s="60">
        <v>2</v>
      </c>
      <c r="I48" s="47" t="s">
        <v>261</v>
      </c>
      <c r="J48" s="61" t="s">
        <v>262</v>
      </c>
      <c r="K48" s="61" t="s">
        <v>262</v>
      </c>
      <c r="L48" s="47" t="s">
        <v>262</v>
      </c>
      <c r="M48" s="47" t="s">
        <v>262</v>
      </c>
      <c r="N48" s="238">
        <v>600</v>
      </c>
    </row>
    <row r="50" spans="2:7" x14ac:dyDescent="0.2">
      <c r="B50" s="63" t="s">
        <v>289</v>
      </c>
      <c r="C50" s="31">
        <v>2032</v>
      </c>
    </row>
    <row r="52" spans="2:7" x14ac:dyDescent="0.2">
      <c r="B52" s="58" t="s">
        <v>488</v>
      </c>
    </row>
    <row r="53" spans="2:7" x14ac:dyDescent="0.2">
      <c r="B53" s="42" t="s">
        <v>463</v>
      </c>
    </row>
    <row r="54" spans="2:7" x14ac:dyDescent="0.2">
      <c r="B54" s="42" t="s">
        <v>242</v>
      </c>
    </row>
    <row r="55" spans="2:7" x14ac:dyDescent="0.2">
      <c r="B55" s="59" t="s">
        <v>296</v>
      </c>
    </row>
    <row r="56" spans="2:7" x14ac:dyDescent="0.2">
      <c r="B56" s="58" t="s">
        <v>255</v>
      </c>
    </row>
    <row r="57" spans="2:7" x14ac:dyDescent="0.2">
      <c r="B57" s="42" t="s">
        <v>464</v>
      </c>
      <c r="G57" s="42" t="s">
        <v>468</v>
      </c>
    </row>
    <row r="58" spans="2:7" x14ac:dyDescent="0.2">
      <c r="B58" s="8" t="s">
        <v>285</v>
      </c>
    </row>
    <row r="59" spans="2:7" x14ac:dyDescent="0.2">
      <c r="B59" s="8" t="s">
        <v>465</v>
      </c>
    </row>
    <row r="60" spans="2:7" x14ac:dyDescent="0.2">
      <c r="B60" s="8" t="s">
        <v>284</v>
      </c>
    </row>
    <row r="61" spans="2:7" x14ac:dyDescent="0.2">
      <c r="B61" s="8" t="s">
        <v>295</v>
      </c>
    </row>
    <row r="62" spans="2:7" x14ac:dyDescent="0.2">
      <c r="B62" s="42" t="s">
        <v>477</v>
      </c>
    </row>
    <row r="64" spans="2:7" ht="15" x14ac:dyDescent="0.25">
      <c r="B64" s="6" t="s">
        <v>275</v>
      </c>
    </row>
    <row r="65" spans="2:10" x14ac:dyDescent="0.2">
      <c r="C65" s="9"/>
      <c r="D65" s="9" t="s">
        <v>151</v>
      </c>
      <c r="E65" s="9" t="s">
        <v>103</v>
      </c>
      <c r="F65" s="9" t="s">
        <v>151</v>
      </c>
      <c r="G65" s="9" t="s">
        <v>276</v>
      </c>
      <c r="H65" s="9" t="s">
        <v>276</v>
      </c>
    </row>
    <row r="66" spans="2:10" ht="45.75" thickBot="1" x14ac:dyDescent="0.3">
      <c r="B66" s="57" t="s">
        <v>53</v>
      </c>
      <c r="C66" s="69" t="s">
        <v>246</v>
      </c>
      <c r="D66" s="44" t="s">
        <v>304</v>
      </c>
      <c r="E66" s="44" t="s">
        <v>305</v>
      </c>
      <c r="F66" s="44" t="s">
        <v>263</v>
      </c>
      <c r="G66" s="44" t="s">
        <v>58</v>
      </c>
      <c r="H66" s="44" t="s">
        <v>264</v>
      </c>
      <c r="I66" s="44" t="s">
        <v>60</v>
      </c>
      <c r="J66" s="44" t="s">
        <v>252</v>
      </c>
    </row>
    <row r="67" spans="2:10" ht="15" thickTop="1" x14ac:dyDescent="0.2">
      <c r="B67" s="56" t="s">
        <v>274</v>
      </c>
      <c r="C67" s="70">
        <v>2016</v>
      </c>
      <c r="D67" s="85" t="str">
        <f>F67&amp;G67</f>
        <v>110</v>
      </c>
      <c r="E67" s="85" t="str">
        <f>H67&amp;I67</f>
        <v>24</v>
      </c>
      <c r="F67" s="47">
        <v>1</v>
      </c>
      <c r="G67" s="47">
        <v>10</v>
      </c>
      <c r="H67" s="47">
        <v>2</v>
      </c>
      <c r="I67" s="47">
        <v>4</v>
      </c>
      <c r="J67" s="84">
        <v>0.3</v>
      </c>
    </row>
    <row r="68" spans="2:10" s="157" customFormat="1" x14ac:dyDescent="0.2">
      <c r="B68" s="56" t="s">
        <v>274</v>
      </c>
      <c r="C68" s="70">
        <v>2017</v>
      </c>
      <c r="D68" s="85" t="str">
        <f t="shared" ref="D68:D70" si="25">F68&amp;G68</f>
        <v>110</v>
      </c>
      <c r="E68" s="85" t="str">
        <f t="shared" ref="E68:E70" si="26">H68&amp;I68</f>
        <v>24</v>
      </c>
      <c r="F68" s="47">
        <v>1</v>
      </c>
      <c r="G68" s="47">
        <v>10</v>
      </c>
      <c r="H68" s="47">
        <v>2</v>
      </c>
      <c r="I68" s="47">
        <v>4</v>
      </c>
      <c r="J68" s="48">
        <v>0.3</v>
      </c>
    </row>
    <row r="69" spans="2:10" s="157" customFormat="1" x14ac:dyDescent="0.2">
      <c r="B69" s="56" t="s">
        <v>274</v>
      </c>
      <c r="C69" s="70">
        <v>2018</v>
      </c>
      <c r="D69" s="85" t="str">
        <f t="shared" si="25"/>
        <v>110</v>
      </c>
      <c r="E69" s="85" t="str">
        <f t="shared" si="26"/>
        <v>24</v>
      </c>
      <c r="F69" s="47">
        <v>1</v>
      </c>
      <c r="G69" s="47">
        <v>10</v>
      </c>
      <c r="H69" s="47">
        <v>2</v>
      </c>
      <c r="I69" s="47">
        <v>4</v>
      </c>
      <c r="J69" s="48">
        <v>0.3</v>
      </c>
    </row>
    <row r="70" spans="2:10" s="157" customFormat="1" x14ac:dyDescent="0.2">
      <c r="B70" s="56" t="s">
        <v>274</v>
      </c>
      <c r="C70" s="70">
        <v>2019</v>
      </c>
      <c r="D70" s="85" t="str">
        <f t="shared" si="25"/>
        <v>110</v>
      </c>
      <c r="E70" s="85" t="str">
        <f t="shared" si="26"/>
        <v>24</v>
      </c>
      <c r="F70" s="47">
        <v>1</v>
      </c>
      <c r="G70" s="47">
        <v>10</v>
      </c>
      <c r="H70" s="47">
        <v>2</v>
      </c>
      <c r="I70" s="47">
        <v>4</v>
      </c>
      <c r="J70" s="48">
        <v>0.3</v>
      </c>
    </row>
    <row r="71" spans="2:10" s="157" customFormat="1" x14ac:dyDescent="0.2">
      <c r="B71" s="56" t="s">
        <v>274</v>
      </c>
      <c r="C71" s="70">
        <v>2020</v>
      </c>
      <c r="D71" s="85" t="str">
        <f t="shared" ref="D71" si="27">F71&amp;G71</f>
        <v>110</v>
      </c>
      <c r="E71" s="85" t="str">
        <f t="shared" ref="E71" si="28">H71&amp;I71</f>
        <v>24</v>
      </c>
      <c r="F71" s="47">
        <v>1</v>
      </c>
      <c r="G71" s="47">
        <v>10</v>
      </c>
      <c r="H71" s="47">
        <v>2</v>
      </c>
      <c r="I71" s="47">
        <v>4</v>
      </c>
      <c r="J71" s="48">
        <v>0.26</v>
      </c>
    </row>
    <row r="72" spans="2:10" s="157" customFormat="1" x14ac:dyDescent="0.2">
      <c r="B72" s="56" t="s">
        <v>274</v>
      </c>
      <c r="C72" s="70">
        <v>2021</v>
      </c>
      <c r="D72" s="85" t="str">
        <f t="shared" ref="D72:D83" si="29">F72&amp;G72</f>
        <v>110</v>
      </c>
      <c r="E72" s="85" t="str">
        <f t="shared" ref="E72:E83" si="30">H72&amp;I72</f>
        <v>24</v>
      </c>
      <c r="F72" s="47">
        <v>1</v>
      </c>
      <c r="G72" s="47">
        <v>10</v>
      </c>
      <c r="H72" s="47">
        <v>2</v>
      </c>
      <c r="I72" s="47">
        <v>4</v>
      </c>
      <c r="J72" s="48">
        <v>0.26</v>
      </c>
    </row>
    <row r="73" spans="2:10" s="157" customFormat="1" x14ac:dyDescent="0.2">
      <c r="B73" s="56" t="s">
        <v>274</v>
      </c>
      <c r="C73" s="70">
        <v>2022</v>
      </c>
      <c r="D73" s="85" t="str">
        <f t="shared" ref="D73:D82" si="31">F73&amp;G73</f>
        <v>110</v>
      </c>
      <c r="E73" s="85" t="str">
        <f t="shared" ref="E73:E82" si="32">H73&amp;I73</f>
        <v>24</v>
      </c>
      <c r="F73" s="47">
        <v>1</v>
      </c>
      <c r="G73" s="47">
        <v>10</v>
      </c>
      <c r="H73" s="47">
        <v>2</v>
      </c>
      <c r="I73" s="47">
        <v>4</v>
      </c>
      <c r="J73" s="48">
        <v>0.3</v>
      </c>
    </row>
    <row r="74" spans="2:10" s="157" customFormat="1" x14ac:dyDescent="0.2">
      <c r="B74" s="56" t="s">
        <v>274</v>
      </c>
      <c r="C74" s="70">
        <v>2023</v>
      </c>
      <c r="D74" s="85" t="str">
        <f t="shared" si="31"/>
        <v>110</v>
      </c>
      <c r="E74" s="85" t="str">
        <f t="shared" si="32"/>
        <v>24</v>
      </c>
      <c r="F74" s="47">
        <v>1</v>
      </c>
      <c r="G74" s="47">
        <v>10</v>
      </c>
      <c r="H74" s="47">
        <v>2</v>
      </c>
      <c r="I74" s="47">
        <v>4</v>
      </c>
      <c r="J74" s="48">
        <v>0.3</v>
      </c>
    </row>
    <row r="75" spans="2:10" s="157" customFormat="1" x14ac:dyDescent="0.2">
      <c r="B75" s="56" t="s">
        <v>274</v>
      </c>
      <c r="C75" s="70">
        <v>2024</v>
      </c>
      <c r="D75" s="85" t="str">
        <f t="shared" si="31"/>
        <v>110</v>
      </c>
      <c r="E75" s="85" t="str">
        <f t="shared" si="32"/>
        <v>24</v>
      </c>
      <c r="F75" s="47">
        <v>1</v>
      </c>
      <c r="G75" s="47">
        <v>10</v>
      </c>
      <c r="H75" s="47">
        <v>2</v>
      </c>
      <c r="I75" s="47">
        <v>4</v>
      </c>
      <c r="J75" s="48">
        <v>0.3</v>
      </c>
    </row>
    <row r="76" spans="2:10" s="157" customFormat="1" x14ac:dyDescent="0.2">
      <c r="B76" s="56" t="s">
        <v>274</v>
      </c>
      <c r="C76" s="70">
        <v>2025</v>
      </c>
      <c r="D76" s="85" t="str">
        <f t="shared" si="31"/>
        <v>110</v>
      </c>
      <c r="E76" s="85" t="str">
        <f t="shared" si="32"/>
        <v>24</v>
      </c>
      <c r="F76" s="47">
        <v>1</v>
      </c>
      <c r="G76" s="47">
        <v>10</v>
      </c>
      <c r="H76" s="47">
        <v>2</v>
      </c>
      <c r="I76" s="47">
        <v>4</v>
      </c>
      <c r="J76" s="48">
        <v>0.3</v>
      </c>
    </row>
    <row r="77" spans="2:10" s="157" customFormat="1" x14ac:dyDescent="0.2">
      <c r="B77" s="56" t="s">
        <v>274</v>
      </c>
      <c r="C77" s="70">
        <v>2026</v>
      </c>
      <c r="D77" s="85" t="str">
        <f t="shared" si="31"/>
        <v>110</v>
      </c>
      <c r="E77" s="85" t="str">
        <f t="shared" si="32"/>
        <v>24</v>
      </c>
      <c r="F77" s="47">
        <v>1</v>
      </c>
      <c r="G77" s="47">
        <v>10</v>
      </c>
      <c r="H77" s="47">
        <v>2</v>
      </c>
      <c r="I77" s="47">
        <v>4</v>
      </c>
      <c r="J77" s="48">
        <v>0.3</v>
      </c>
    </row>
    <row r="78" spans="2:10" s="157" customFormat="1" x14ac:dyDescent="0.2">
      <c r="B78" s="56" t="s">
        <v>274</v>
      </c>
      <c r="C78" s="70">
        <v>2027</v>
      </c>
      <c r="D78" s="85" t="str">
        <f t="shared" si="31"/>
        <v>110</v>
      </c>
      <c r="E78" s="85" t="str">
        <f t="shared" si="32"/>
        <v>24</v>
      </c>
      <c r="F78" s="47">
        <v>1</v>
      </c>
      <c r="G78" s="47">
        <v>10</v>
      </c>
      <c r="H78" s="47">
        <v>2</v>
      </c>
      <c r="I78" s="47">
        <v>4</v>
      </c>
      <c r="J78" s="48">
        <v>0.3</v>
      </c>
    </row>
    <row r="79" spans="2:10" s="157" customFormat="1" x14ac:dyDescent="0.2">
      <c r="B79" s="56" t="s">
        <v>274</v>
      </c>
      <c r="C79" s="70">
        <v>2028</v>
      </c>
      <c r="D79" s="85" t="str">
        <f t="shared" si="31"/>
        <v>110</v>
      </c>
      <c r="E79" s="85" t="str">
        <f t="shared" si="32"/>
        <v>24</v>
      </c>
      <c r="F79" s="47">
        <v>1</v>
      </c>
      <c r="G79" s="47">
        <v>10</v>
      </c>
      <c r="H79" s="47">
        <v>2</v>
      </c>
      <c r="I79" s="47">
        <v>4</v>
      </c>
      <c r="J79" s="48">
        <v>0.3</v>
      </c>
    </row>
    <row r="80" spans="2:10" s="157" customFormat="1" x14ac:dyDescent="0.2">
      <c r="B80" s="56" t="s">
        <v>274</v>
      </c>
      <c r="C80" s="70">
        <v>2029</v>
      </c>
      <c r="D80" s="85" t="str">
        <f t="shared" si="31"/>
        <v>110</v>
      </c>
      <c r="E80" s="85" t="str">
        <f t="shared" si="32"/>
        <v>24</v>
      </c>
      <c r="F80" s="47">
        <v>1</v>
      </c>
      <c r="G80" s="47">
        <v>10</v>
      </c>
      <c r="H80" s="47">
        <v>2</v>
      </c>
      <c r="I80" s="47">
        <v>4</v>
      </c>
      <c r="J80" s="48">
        <v>0.3</v>
      </c>
    </row>
    <row r="81" spans="1:10" s="157" customFormat="1" x14ac:dyDescent="0.2">
      <c r="B81" s="56" t="s">
        <v>274</v>
      </c>
      <c r="C81" s="70">
        <v>2030</v>
      </c>
      <c r="D81" s="85" t="str">
        <f t="shared" si="31"/>
        <v>110</v>
      </c>
      <c r="E81" s="85" t="str">
        <f t="shared" si="32"/>
        <v>24</v>
      </c>
      <c r="F81" s="47">
        <v>1</v>
      </c>
      <c r="G81" s="47">
        <v>10</v>
      </c>
      <c r="H81" s="47">
        <v>2</v>
      </c>
      <c r="I81" s="47">
        <v>4</v>
      </c>
      <c r="J81" s="48">
        <v>0.3</v>
      </c>
    </row>
    <row r="82" spans="1:10" s="157" customFormat="1" x14ac:dyDescent="0.2">
      <c r="B82" s="56" t="s">
        <v>274</v>
      </c>
      <c r="C82" s="70">
        <v>2031</v>
      </c>
      <c r="D82" s="85" t="str">
        <f t="shared" si="31"/>
        <v>110</v>
      </c>
      <c r="E82" s="85" t="str">
        <f t="shared" si="32"/>
        <v>24</v>
      </c>
      <c r="F82" s="47">
        <v>1</v>
      </c>
      <c r="G82" s="47">
        <v>10</v>
      </c>
      <c r="H82" s="47">
        <v>2</v>
      </c>
      <c r="I82" s="47">
        <v>4</v>
      </c>
      <c r="J82" s="48">
        <v>0.3</v>
      </c>
    </row>
    <row r="83" spans="1:10" s="157" customFormat="1" x14ac:dyDescent="0.2">
      <c r="B83" s="56" t="s">
        <v>274</v>
      </c>
      <c r="C83" s="70">
        <v>2032</v>
      </c>
      <c r="D83" s="85" t="str">
        <f t="shared" si="29"/>
        <v>110</v>
      </c>
      <c r="E83" s="85" t="str">
        <f t="shared" si="30"/>
        <v>24</v>
      </c>
      <c r="F83" s="47">
        <v>1</v>
      </c>
      <c r="G83" s="47">
        <v>10</v>
      </c>
      <c r="H83" s="47">
        <v>2</v>
      </c>
      <c r="I83" s="47">
        <v>4</v>
      </c>
      <c r="J83" s="48">
        <v>0.3</v>
      </c>
    </row>
    <row r="84" spans="1:10" x14ac:dyDescent="0.2">
      <c r="B84" s="56" t="s">
        <v>274</v>
      </c>
      <c r="C84" s="70">
        <v>2033</v>
      </c>
      <c r="D84" s="85" t="str">
        <f t="shared" ref="D84:D108" si="33">F84&amp;G84</f>
        <v>110</v>
      </c>
      <c r="E84" s="85" t="str">
        <f t="shared" ref="E84:E108" si="34">H84&amp;I84</f>
        <v>24</v>
      </c>
      <c r="F84" s="47">
        <v>1</v>
      </c>
      <c r="G84" s="47">
        <v>10</v>
      </c>
      <c r="H84" s="47">
        <v>2</v>
      </c>
      <c r="I84" s="47">
        <v>4</v>
      </c>
      <c r="J84" s="48">
        <v>0.26</v>
      </c>
    </row>
    <row r="85" spans="1:10" x14ac:dyDescent="0.2">
      <c r="B85" s="56" t="s">
        <v>274</v>
      </c>
      <c r="C85" s="70">
        <v>2034</v>
      </c>
      <c r="D85" s="85" t="str">
        <f t="shared" si="33"/>
        <v>110</v>
      </c>
      <c r="E85" s="85" t="str">
        <f t="shared" si="34"/>
        <v>24</v>
      </c>
      <c r="F85" s="47">
        <v>1</v>
      </c>
      <c r="G85" s="47">
        <v>10</v>
      </c>
      <c r="H85" s="47">
        <v>2</v>
      </c>
      <c r="I85" s="47">
        <v>4</v>
      </c>
      <c r="J85" s="48">
        <v>0.22</v>
      </c>
    </row>
    <row r="86" spans="1:10" ht="15" thickBot="1" x14ac:dyDescent="0.25">
      <c r="B86" s="56" t="s">
        <v>274</v>
      </c>
      <c r="C86" s="70">
        <v>2035</v>
      </c>
      <c r="D86" s="85" t="str">
        <f t="shared" si="33"/>
        <v>110</v>
      </c>
      <c r="E86" s="85" t="str">
        <f t="shared" si="34"/>
        <v>24</v>
      </c>
      <c r="F86" s="47">
        <v>1</v>
      </c>
      <c r="G86" s="47">
        <v>10</v>
      </c>
      <c r="H86" s="47">
        <v>2</v>
      </c>
      <c r="I86" s="47">
        <v>4</v>
      </c>
      <c r="J86" s="161">
        <v>0</v>
      </c>
    </row>
    <row r="87" spans="1:10" s="157" customFormat="1" x14ac:dyDescent="0.2">
      <c r="B87" s="64" t="s">
        <v>479</v>
      </c>
      <c r="C87" s="83">
        <v>2021</v>
      </c>
      <c r="D87" s="102" t="str">
        <f t="shared" si="33"/>
        <v>19</v>
      </c>
      <c r="E87" s="102" t="str">
        <f t="shared" si="34"/>
        <v>--</v>
      </c>
      <c r="F87" s="65">
        <v>1</v>
      </c>
      <c r="G87" s="65">
        <v>9</v>
      </c>
      <c r="H87" s="66" t="s">
        <v>262</v>
      </c>
      <c r="I87" s="66" t="s">
        <v>262</v>
      </c>
      <c r="J87" s="162">
        <v>0.26</v>
      </c>
    </row>
    <row r="88" spans="1:10" s="157" customFormat="1" ht="15" thickBot="1" x14ac:dyDescent="0.25">
      <c r="B88" s="56" t="s">
        <v>479</v>
      </c>
      <c r="C88" s="70">
        <v>2022</v>
      </c>
      <c r="D88" s="85" t="str">
        <f t="shared" ref="D88" si="35">F88&amp;G88</f>
        <v>19</v>
      </c>
      <c r="E88" s="85" t="str">
        <f t="shared" ref="E88" si="36">H88&amp;I88</f>
        <v>--</v>
      </c>
      <c r="F88" s="47">
        <v>1</v>
      </c>
      <c r="G88" s="47">
        <v>9</v>
      </c>
      <c r="H88" s="67" t="s">
        <v>262</v>
      </c>
      <c r="I88" s="67" t="s">
        <v>262</v>
      </c>
      <c r="J88" s="176">
        <v>0.26</v>
      </c>
    </row>
    <row r="89" spans="1:10" x14ac:dyDescent="0.2">
      <c r="A89" s="157"/>
      <c r="B89" s="64" t="s">
        <v>269</v>
      </c>
      <c r="C89" s="83">
        <v>2016</v>
      </c>
      <c r="D89" s="102" t="str">
        <f t="shared" si="33"/>
        <v>55</v>
      </c>
      <c r="E89" s="102" t="str">
        <f t="shared" si="34"/>
        <v>--</v>
      </c>
      <c r="F89" s="65">
        <v>5</v>
      </c>
      <c r="G89" s="65">
        <v>5</v>
      </c>
      <c r="H89" s="66" t="s">
        <v>262</v>
      </c>
      <c r="I89" s="66" t="s">
        <v>262</v>
      </c>
      <c r="J89" s="162">
        <v>0.3</v>
      </c>
    </row>
    <row r="90" spans="1:10" s="157" customFormat="1" x14ac:dyDescent="0.2">
      <c r="B90" s="56" t="s">
        <v>269</v>
      </c>
      <c r="C90" s="70">
        <v>2017</v>
      </c>
      <c r="D90" s="85" t="str">
        <f t="shared" ref="D90:D92" si="37">F90&amp;G90</f>
        <v>55</v>
      </c>
      <c r="E90" s="85" t="str">
        <f t="shared" ref="E90:E92" si="38">H90&amp;I90</f>
        <v>--</v>
      </c>
      <c r="F90" s="47">
        <v>5</v>
      </c>
      <c r="G90" s="47">
        <v>5</v>
      </c>
      <c r="H90" s="67" t="s">
        <v>262</v>
      </c>
      <c r="I90" s="67" t="s">
        <v>262</v>
      </c>
      <c r="J90" s="48">
        <v>0.3</v>
      </c>
    </row>
    <row r="91" spans="1:10" s="157" customFormat="1" x14ac:dyDescent="0.2">
      <c r="B91" s="56" t="s">
        <v>269</v>
      </c>
      <c r="C91" s="70">
        <v>2018</v>
      </c>
      <c r="D91" s="85" t="str">
        <f t="shared" si="37"/>
        <v>55</v>
      </c>
      <c r="E91" s="85" t="str">
        <f t="shared" si="38"/>
        <v>--</v>
      </c>
      <c r="F91" s="47">
        <v>5</v>
      </c>
      <c r="G91" s="47">
        <v>5</v>
      </c>
      <c r="H91" s="67" t="s">
        <v>262</v>
      </c>
      <c r="I91" s="67" t="s">
        <v>262</v>
      </c>
      <c r="J91" s="48">
        <v>0.3</v>
      </c>
    </row>
    <row r="92" spans="1:10" s="157" customFormat="1" x14ac:dyDescent="0.2">
      <c r="B92" s="56" t="s">
        <v>269</v>
      </c>
      <c r="C92" s="70">
        <v>2019</v>
      </c>
      <c r="D92" s="85" t="str">
        <f t="shared" si="37"/>
        <v>55</v>
      </c>
      <c r="E92" s="85" t="str">
        <f t="shared" si="38"/>
        <v>--</v>
      </c>
      <c r="F92" s="47">
        <v>5</v>
      </c>
      <c r="G92" s="47">
        <v>5</v>
      </c>
      <c r="H92" s="67" t="s">
        <v>262</v>
      </c>
      <c r="I92" s="67" t="s">
        <v>262</v>
      </c>
      <c r="J92" s="48">
        <v>0.3</v>
      </c>
    </row>
    <row r="93" spans="1:10" s="157" customFormat="1" x14ac:dyDescent="0.2">
      <c r="B93" s="56" t="s">
        <v>269</v>
      </c>
      <c r="C93" s="70">
        <v>2020</v>
      </c>
      <c r="D93" s="85" t="str">
        <f t="shared" si="33"/>
        <v>55</v>
      </c>
      <c r="E93" s="85" t="str">
        <f t="shared" si="34"/>
        <v>--</v>
      </c>
      <c r="F93" s="47">
        <v>5</v>
      </c>
      <c r="G93" s="47">
        <v>5</v>
      </c>
      <c r="H93" s="67" t="s">
        <v>262</v>
      </c>
      <c r="I93" s="67" t="s">
        <v>262</v>
      </c>
      <c r="J93" s="48">
        <v>0.26</v>
      </c>
    </row>
    <row r="94" spans="1:10" s="157" customFormat="1" x14ac:dyDescent="0.2">
      <c r="B94" s="56" t="s">
        <v>269</v>
      </c>
      <c r="C94" s="70">
        <v>2021</v>
      </c>
      <c r="D94" s="85" t="str">
        <f t="shared" ref="D94:D105" si="39">F94&amp;G94</f>
        <v>55</v>
      </c>
      <c r="E94" s="85" t="str">
        <f t="shared" ref="E94:E105" si="40">H94&amp;I94</f>
        <v>--</v>
      </c>
      <c r="F94" s="47">
        <v>5</v>
      </c>
      <c r="G94" s="47">
        <v>5</v>
      </c>
      <c r="H94" s="67" t="s">
        <v>262</v>
      </c>
      <c r="I94" s="67" t="s">
        <v>262</v>
      </c>
      <c r="J94" s="48">
        <v>0.26</v>
      </c>
    </row>
    <row r="95" spans="1:10" s="157" customFormat="1" x14ac:dyDescent="0.2">
      <c r="B95" s="56" t="s">
        <v>269</v>
      </c>
      <c r="C95" s="70">
        <v>2022</v>
      </c>
      <c r="D95" s="85" t="str">
        <f t="shared" ref="D95:D104" si="41">F95&amp;G95</f>
        <v>55</v>
      </c>
      <c r="E95" s="85" t="str">
        <f t="shared" ref="E95:E104" si="42">H95&amp;I95</f>
        <v>--</v>
      </c>
      <c r="F95" s="47">
        <v>5</v>
      </c>
      <c r="G95" s="47">
        <v>5</v>
      </c>
      <c r="H95" s="67" t="s">
        <v>262</v>
      </c>
      <c r="I95" s="67" t="s">
        <v>262</v>
      </c>
      <c r="J95" s="48">
        <v>0.3</v>
      </c>
    </row>
    <row r="96" spans="1:10" s="157" customFormat="1" x14ac:dyDescent="0.2">
      <c r="B96" s="56" t="s">
        <v>269</v>
      </c>
      <c r="C96" s="70">
        <v>2023</v>
      </c>
      <c r="D96" s="85" t="str">
        <f t="shared" si="41"/>
        <v>55</v>
      </c>
      <c r="E96" s="85" t="str">
        <f t="shared" si="42"/>
        <v>--</v>
      </c>
      <c r="F96" s="47">
        <v>5</v>
      </c>
      <c r="G96" s="47">
        <v>5</v>
      </c>
      <c r="H96" s="67" t="s">
        <v>262</v>
      </c>
      <c r="I96" s="67" t="s">
        <v>262</v>
      </c>
      <c r="J96" s="48">
        <v>0.3</v>
      </c>
    </row>
    <row r="97" spans="1:10" s="157" customFormat="1" x14ac:dyDescent="0.2">
      <c r="B97" s="56" t="s">
        <v>269</v>
      </c>
      <c r="C97" s="70">
        <v>2024</v>
      </c>
      <c r="D97" s="85" t="str">
        <f t="shared" si="41"/>
        <v>55</v>
      </c>
      <c r="E97" s="85" t="str">
        <f t="shared" si="42"/>
        <v>--</v>
      </c>
      <c r="F97" s="47">
        <v>5</v>
      </c>
      <c r="G97" s="47">
        <v>5</v>
      </c>
      <c r="H97" s="67" t="s">
        <v>262</v>
      </c>
      <c r="I97" s="67" t="s">
        <v>262</v>
      </c>
      <c r="J97" s="48">
        <v>0.3</v>
      </c>
    </row>
    <row r="98" spans="1:10" s="157" customFormat="1" x14ac:dyDescent="0.2">
      <c r="B98" s="56" t="s">
        <v>269</v>
      </c>
      <c r="C98" s="70">
        <v>2025</v>
      </c>
      <c r="D98" s="85" t="str">
        <f t="shared" si="41"/>
        <v>55</v>
      </c>
      <c r="E98" s="85" t="str">
        <f t="shared" si="42"/>
        <v>--</v>
      </c>
      <c r="F98" s="47">
        <v>5</v>
      </c>
      <c r="G98" s="47">
        <v>5</v>
      </c>
      <c r="H98" s="67" t="s">
        <v>262</v>
      </c>
      <c r="I98" s="67" t="s">
        <v>262</v>
      </c>
      <c r="J98" s="48">
        <v>0.3</v>
      </c>
    </row>
    <row r="99" spans="1:10" s="157" customFormat="1" x14ac:dyDescent="0.2">
      <c r="B99" s="56" t="s">
        <v>269</v>
      </c>
      <c r="C99" s="70">
        <v>2026</v>
      </c>
      <c r="D99" s="85" t="str">
        <f t="shared" si="41"/>
        <v>55</v>
      </c>
      <c r="E99" s="85" t="str">
        <f t="shared" si="42"/>
        <v>--</v>
      </c>
      <c r="F99" s="47">
        <v>5</v>
      </c>
      <c r="G99" s="47">
        <v>5</v>
      </c>
      <c r="H99" s="67" t="s">
        <v>262</v>
      </c>
      <c r="I99" s="67" t="s">
        <v>262</v>
      </c>
      <c r="J99" s="48">
        <v>0.3</v>
      </c>
    </row>
    <row r="100" spans="1:10" s="157" customFormat="1" x14ac:dyDescent="0.2">
      <c r="B100" s="56" t="s">
        <v>269</v>
      </c>
      <c r="C100" s="70">
        <v>2027</v>
      </c>
      <c r="D100" s="85" t="str">
        <f t="shared" si="41"/>
        <v>55</v>
      </c>
      <c r="E100" s="85" t="str">
        <f t="shared" si="42"/>
        <v>--</v>
      </c>
      <c r="F100" s="47">
        <v>5</v>
      </c>
      <c r="G100" s="47">
        <v>5</v>
      </c>
      <c r="H100" s="67" t="s">
        <v>262</v>
      </c>
      <c r="I100" s="67" t="s">
        <v>262</v>
      </c>
      <c r="J100" s="48">
        <v>0.3</v>
      </c>
    </row>
    <row r="101" spans="1:10" s="157" customFormat="1" x14ac:dyDescent="0.2">
      <c r="B101" s="56" t="s">
        <v>269</v>
      </c>
      <c r="C101" s="70">
        <v>2028</v>
      </c>
      <c r="D101" s="85" t="str">
        <f t="shared" si="41"/>
        <v>55</v>
      </c>
      <c r="E101" s="85" t="str">
        <f t="shared" si="42"/>
        <v>--</v>
      </c>
      <c r="F101" s="47">
        <v>5</v>
      </c>
      <c r="G101" s="47">
        <v>5</v>
      </c>
      <c r="H101" s="67" t="s">
        <v>262</v>
      </c>
      <c r="I101" s="67" t="s">
        <v>262</v>
      </c>
      <c r="J101" s="48">
        <v>0.3</v>
      </c>
    </row>
    <row r="102" spans="1:10" s="157" customFormat="1" x14ac:dyDescent="0.2">
      <c r="B102" s="56" t="s">
        <v>269</v>
      </c>
      <c r="C102" s="70">
        <v>2029</v>
      </c>
      <c r="D102" s="85" t="str">
        <f t="shared" si="41"/>
        <v>55</v>
      </c>
      <c r="E102" s="85" t="str">
        <f t="shared" si="42"/>
        <v>--</v>
      </c>
      <c r="F102" s="47">
        <v>5</v>
      </c>
      <c r="G102" s="47">
        <v>5</v>
      </c>
      <c r="H102" s="67" t="s">
        <v>262</v>
      </c>
      <c r="I102" s="67" t="s">
        <v>262</v>
      </c>
      <c r="J102" s="48">
        <v>0.3</v>
      </c>
    </row>
    <row r="103" spans="1:10" s="157" customFormat="1" x14ac:dyDescent="0.2">
      <c r="B103" s="56" t="s">
        <v>269</v>
      </c>
      <c r="C103" s="70">
        <v>2030</v>
      </c>
      <c r="D103" s="85" t="str">
        <f t="shared" si="41"/>
        <v>55</v>
      </c>
      <c r="E103" s="85" t="str">
        <f t="shared" si="42"/>
        <v>--</v>
      </c>
      <c r="F103" s="47">
        <v>5</v>
      </c>
      <c r="G103" s="47">
        <v>5</v>
      </c>
      <c r="H103" s="67" t="s">
        <v>262</v>
      </c>
      <c r="I103" s="67" t="s">
        <v>262</v>
      </c>
      <c r="J103" s="48">
        <v>0.3</v>
      </c>
    </row>
    <row r="104" spans="1:10" s="157" customFormat="1" x14ac:dyDescent="0.2">
      <c r="B104" s="56" t="s">
        <v>269</v>
      </c>
      <c r="C104" s="70">
        <v>2031</v>
      </c>
      <c r="D104" s="85" t="str">
        <f t="shared" si="41"/>
        <v>55</v>
      </c>
      <c r="E104" s="85" t="str">
        <f t="shared" si="42"/>
        <v>--</v>
      </c>
      <c r="F104" s="47">
        <v>5</v>
      </c>
      <c r="G104" s="47">
        <v>5</v>
      </c>
      <c r="H104" s="67" t="s">
        <v>262</v>
      </c>
      <c r="I104" s="67" t="s">
        <v>262</v>
      </c>
      <c r="J104" s="48">
        <v>0.3</v>
      </c>
    </row>
    <row r="105" spans="1:10" s="157" customFormat="1" x14ac:dyDescent="0.2">
      <c r="B105" s="56" t="s">
        <v>269</v>
      </c>
      <c r="C105" s="70">
        <v>2032</v>
      </c>
      <c r="D105" s="85" t="str">
        <f t="shared" si="39"/>
        <v>55</v>
      </c>
      <c r="E105" s="85" t="str">
        <f t="shared" si="40"/>
        <v>--</v>
      </c>
      <c r="F105" s="47">
        <v>5</v>
      </c>
      <c r="G105" s="47">
        <v>5</v>
      </c>
      <c r="H105" s="67" t="s">
        <v>262</v>
      </c>
      <c r="I105" s="67" t="s">
        <v>262</v>
      </c>
      <c r="J105" s="48">
        <v>0.3</v>
      </c>
    </row>
    <row r="106" spans="1:10" x14ac:dyDescent="0.2">
      <c r="A106" s="157"/>
      <c r="B106" s="56" t="s">
        <v>269</v>
      </c>
      <c r="C106" s="70">
        <v>2033</v>
      </c>
      <c r="D106" s="85" t="str">
        <f t="shared" si="33"/>
        <v>55</v>
      </c>
      <c r="E106" s="85" t="str">
        <f t="shared" si="34"/>
        <v>--</v>
      </c>
      <c r="F106" s="47">
        <v>5</v>
      </c>
      <c r="G106" s="47">
        <v>5</v>
      </c>
      <c r="H106" s="67" t="s">
        <v>262</v>
      </c>
      <c r="I106" s="67" t="s">
        <v>262</v>
      </c>
      <c r="J106" s="48">
        <v>0.26</v>
      </c>
    </row>
    <row r="107" spans="1:10" x14ac:dyDescent="0.2">
      <c r="A107" s="157"/>
      <c r="B107" s="56" t="s">
        <v>269</v>
      </c>
      <c r="C107" s="70">
        <v>2034</v>
      </c>
      <c r="D107" s="85" t="str">
        <f t="shared" si="33"/>
        <v>55</v>
      </c>
      <c r="E107" s="85" t="str">
        <f t="shared" si="34"/>
        <v>--</v>
      </c>
      <c r="F107" s="47">
        <v>5</v>
      </c>
      <c r="G107" s="47">
        <v>5</v>
      </c>
      <c r="H107" s="67" t="s">
        <v>262</v>
      </c>
      <c r="I107" s="67" t="s">
        <v>262</v>
      </c>
      <c r="J107" s="48">
        <v>0.22</v>
      </c>
    </row>
    <row r="108" spans="1:10" x14ac:dyDescent="0.2">
      <c r="A108" s="157"/>
      <c r="B108" s="56" t="s">
        <v>269</v>
      </c>
      <c r="C108" s="70">
        <v>2035</v>
      </c>
      <c r="D108" s="85" t="str">
        <f t="shared" si="33"/>
        <v>55</v>
      </c>
      <c r="E108" s="85" t="str">
        <f t="shared" si="34"/>
        <v>--</v>
      </c>
      <c r="F108" s="47">
        <v>5</v>
      </c>
      <c r="G108" s="47">
        <v>5</v>
      </c>
      <c r="H108" s="67" t="s">
        <v>262</v>
      </c>
      <c r="I108" s="67" t="s">
        <v>262</v>
      </c>
      <c r="J108" s="48">
        <v>0</v>
      </c>
    </row>
    <row r="109" spans="1:10" x14ac:dyDescent="0.2">
      <c r="J109" s="139"/>
    </row>
    <row r="110" spans="1:10" x14ac:dyDescent="0.2">
      <c r="B110" s="42" t="s">
        <v>245</v>
      </c>
    </row>
    <row r="111" spans="1:10" x14ac:dyDescent="0.2">
      <c r="B111" s="59" t="s">
        <v>297</v>
      </c>
    </row>
    <row r="112" spans="1:10" x14ac:dyDescent="0.2">
      <c r="B112" s="58" t="s">
        <v>255</v>
      </c>
    </row>
    <row r="114" spans="2:5" x14ac:dyDescent="0.2">
      <c r="B114" s="8" t="s">
        <v>272</v>
      </c>
    </row>
    <row r="115" spans="2:5" x14ac:dyDescent="0.2">
      <c r="B115" s="62" t="s">
        <v>273</v>
      </c>
    </row>
    <row r="116" spans="2:5" x14ac:dyDescent="0.2">
      <c r="B116" s="8" t="s">
        <v>283</v>
      </c>
    </row>
    <row r="117" spans="2:5" x14ac:dyDescent="0.2">
      <c r="B117" s="8" t="s">
        <v>364</v>
      </c>
    </row>
    <row r="120" spans="2:5" ht="15" x14ac:dyDescent="0.25">
      <c r="B120" s="6" t="s">
        <v>286</v>
      </c>
    </row>
    <row r="121" spans="2:5" x14ac:dyDescent="0.2">
      <c r="C121" s="9"/>
      <c r="D121" s="9" t="s">
        <v>107</v>
      </c>
      <c r="E121" s="9" t="s">
        <v>121</v>
      </c>
    </row>
    <row r="122" spans="2:5" ht="30.75" thickBot="1" x14ac:dyDescent="0.3">
      <c r="B122" s="57" t="s">
        <v>53</v>
      </c>
      <c r="C122" s="44" t="s">
        <v>246</v>
      </c>
      <c r="D122" s="44" t="s">
        <v>57</v>
      </c>
      <c r="E122" s="44" t="s">
        <v>252</v>
      </c>
    </row>
    <row r="123" spans="2:5" ht="15" thickTop="1" x14ac:dyDescent="0.2">
      <c r="B123" s="56" t="s">
        <v>290</v>
      </c>
      <c r="C123" s="47">
        <v>2016</v>
      </c>
      <c r="D123" s="47">
        <v>1</v>
      </c>
      <c r="E123" s="68">
        <v>2000</v>
      </c>
    </row>
    <row r="124" spans="2:5" s="157" customFormat="1" ht="15" thickBot="1" x14ac:dyDescent="0.25">
      <c r="B124" s="56" t="s">
        <v>290</v>
      </c>
      <c r="C124" s="47">
        <v>2023</v>
      </c>
      <c r="D124" s="47">
        <v>1</v>
      </c>
      <c r="E124" s="187">
        <v>2500</v>
      </c>
    </row>
    <row r="125" spans="2:5" ht="15" thickBot="1" x14ac:dyDescent="0.25">
      <c r="B125" s="64" t="s">
        <v>481</v>
      </c>
      <c r="C125" s="65">
        <v>2023</v>
      </c>
      <c r="D125" s="65">
        <v>2</v>
      </c>
      <c r="E125" s="68">
        <v>500</v>
      </c>
    </row>
    <row r="126" spans="2:5" s="157" customFormat="1" x14ac:dyDescent="0.2">
      <c r="B126" s="64" t="s">
        <v>291</v>
      </c>
      <c r="C126" s="65">
        <v>2016</v>
      </c>
      <c r="D126" s="65">
        <v>3</v>
      </c>
      <c r="E126" s="68">
        <v>1000</v>
      </c>
    </row>
    <row r="127" spans="2:5" s="157" customFormat="1" x14ac:dyDescent="0.2">
      <c r="B127" s="56" t="s">
        <v>291</v>
      </c>
      <c r="C127" s="47">
        <v>2023</v>
      </c>
      <c r="D127" s="47">
        <v>3</v>
      </c>
      <c r="E127" s="55">
        <v>2500</v>
      </c>
    </row>
    <row r="129" spans="2:19" x14ac:dyDescent="0.2">
      <c r="B129" s="63" t="s">
        <v>289</v>
      </c>
      <c r="C129" s="31">
        <v>2032</v>
      </c>
    </row>
    <row r="131" spans="2:19" x14ac:dyDescent="0.2">
      <c r="B131" s="42" t="s">
        <v>463</v>
      </c>
    </row>
    <row r="132" spans="2:19" x14ac:dyDescent="0.2">
      <c r="B132" s="42" t="s">
        <v>287</v>
      </c>
    </row>
    <row r="133" spans="2:19" x14ac:dyDescent="0.2">
      <c r="B133" s="42" t="s">
        <v>288</v>
      </c>
    </row>
    <row r="134" spans="2:19" x14ac:dyDescent="0.2">
      <c r="B134" s="42" t="s">
        <v>466</v>
      </c>
    </row>
    <row r="135" spans="2:19" x14ac:dyDescent="0.2">
      <c r="B135" s="8" t="s">
        <v>293</v>
      </c>
    </row>
    <row r="136" spans="2:19" x14ac:dyDescent="0.2">
      <c r="B136" s="62" t="s">
        <v>292</v>
      </c>
    </row>
    <row r="137" spans="2:19" x14ac:dyDescent="0.2">
      <c r="B137" s="146" t="s">
        <v>294</v>
      </c>
    </row>
    <row r="140" spans="2:19" ht="15" x14ac:dyDescent="0.25">
      <c r="B140" s="6" t="s">
        <v>267</v>
      </c>
    </row>
    <row r="142" spans="2:19" ht="15" customHeight="1" x14ac:dyDescent="0.2">
      <c r="F142" s="9" t="s">
        <v>104</v>
      </c>
      <c r="G142" s="9" t="s">
        <v>125</v>
      </c>
      <c r="H142" s="9" t="s">
        <v>104</v>
      </c>
      <c r="I142" s="9" t="s">
        <v>125</v>
      </c>
      <c r="J142" s="9" t="s">
        <v>105</v>
      </c>
      <c r="K142" s="247" t="s">
        <v>241</v>
      </c>
      <c r="L142" s="248"/>
      <c r="M142" s="248"/>
      <c r="N142" s="248"/>
      <c r="O142" s="248"/>
      <c r="P142" s="248"/>
      <c r="Q142" s="248"/>
      <c r="R142" s="248"/>
      <c r="S142" s="249"/>
    </row>
    <row r="143" spans="2:19" ht="45.75" thickBot="1" x14ac:dyDescent="0.3">
      <c r="B143" s="92" t="s">
        <v>240</v>
      </c>
      <c r="C143" s="96" t="s">
        <v>304</v>
      </c>
      <c r="D143" s="97" t="s">
        <v>305</v>
      </c>
      <c r="E143" s="97" t="s">
        <v>306</v>
      </c>
      <c r="F143" s="90" t="s">
        <v>263</v>
      </c>
      <c r="G143" s="90" t="s">
        <v>58</v>
      </c>
      <c r="H143" s="90" t="s">
        <v>264</v>
      </c>
      <c r="I143" s="90" t="s">
        <v>60</v>
      </c>
      <c r="J143" s="91" t="s">
        <v>53</v>
      </c>
      <c r="K143" s="87">
        <v>1</v>
      </c>
      <c r="L143" s="88">
        <v>2</v>
      </c>
      <c r="M143" s="88">
        <v>3</v>
      </c>
      <c r="N143" s="88">
        <v>4</v>
      </c>
      <c r="O143" s="88">
        <v>5</v>
      </c>
      <c r="P143" s="88">
        <v>6</v>
      </c>
      <c r="Q143" s="88">
        <v>7</v>
      </c>
      <c r="R143" s="88">
        <v>8</v>
      </c>
      <c r="S143" s="89">
        <v>9</v>
      </c>
    </row>
    <row r="144" spans="2:19" x14ac:dyDescent="0.2">
      <c r="B144" s="43" t="s">
        <v>342</v>
      </c>
      <c r="C144" s="93" t="str">
        <f>F144&amp;G144</f>
        <v>31</v>
      </c>
      <c r="D144" s="98" t="str">
        <f>H144&amp;I144</f>
        <v>--</v>
      </c>
      <c r="E144" s="98" t="str">
        <f>F144&amp;G144&amp;J144</f>
        <v>31-</v>
      </c>
      <c r="F144" s="74">
        <v>3</v>
      </c>
      <c r="G144" s="74">
        <v>1</v>
      </c>
      <c r="H144" s="75" t="s">
        <v>262</v>
      </c>
      <c r="I144" s="75" t="s">
        <v>262</v>
      </c>
      <c r="J144" s="76" t="s">
        <v>262</v>
      </c>
      <c r="K144" s="209">
        <v>0.10701948130669352</v>
      </c>
      <c r="L144" s="210">
        <v>2.6529316536083342E-2</v>
      </c>
      <c r="M144" s="210">
        <v>2.1808478034463858E-2</v>
      </c>
      <c r="N144" s="210">
        <v>1.6730853388415214E-2</v>
      </c>
      <c r="O144" s="210">
        <v>2.9353984504327319E-2</v>
      </c>
      <c r="P144" s="210">
        <v>0</v>
      </c>
      <c r="Q144" s="210">
        <v>6.6276163832331278E-3</v>
      </c>
      <c r="R144" s="210">
        <v>2.0786430179117181E-2</v>
      </c>
      <c r="S144" s="211">
        <v>6.679303896256511E-2</v>
      </c>
    </row>
    <row r="145" spans="2:19" x14ac:dyDescent="0.2">
      <c r="B145" s="39" t="s">
        <v>343</v>
      </c>
      <c r="C145" s="94" t="str">
        <f t="shared" ref="C145:C156" si="43">F145&amp;G145</f>
        <v>81</v>
      </c>
      <c r="D145" s="99" t="str">
        <f t="shared" ref="D145:D156" si="44">H145&amp;I145</f>
        <v>--</v>
      </c>
      <c r="E145" s="99" t="str">
        <f t="shared" ref="E145:E156" si="45">F145&amp;G145&amp;J145</f>
        <v>81RefTF</v>
      </c>
      <c r="F145" s="77">
        <v>8</v>
      </c>
      <c r="G145" s="77">
        <v>1</v>
      </c>
      <c r="H145" s="78" t="s">
        <v>262</v>
      </c>
      <c r="I145" s="78" t="s">
        <v>262</v>
      </c>
      <c r="J145" s="105" t="s">
        <v>307</v>
      </c>
      <c r="K145" s="212">
        <v>4.7730647028949276E-3</v>
      </c>
      <c r="L145" s="213">
        <v>4.0042287135258911E-2</v>
      </c>
      <c r="M145" s="213">
        <v>2.0638381520511926E-2</v>
      </c>
      <c r="N145" s="213">
        <v>2.5416017899832864E-2</v>
      </c>
      <c r="O145" s="213">
        <v>4.8717311937487989E-2</v>
      </c>
      <c r="P145" s="213">
        <v>0</v>
      </c>
      <c r="Q145" s="213">
        <v>0</v>
      </c>
      <c r="R145" s="213">
        <v>2.3879972002597297E-2</v>
      </c>
      <c r="S145" s="214">
        <v>8.2805482866951177E-2</v>
      </c>
    </row>
    <row r="146" spans="2:19" x14ac:dyDescent="0.2">
      <c r="B146" s="39" t="s">
        <v>344</v>
      </c>
      <c r="C146" s="94" t="str">
        <f t="shared" si="43"/>
        <v>81</v>
      </c>
      <c r="D146" s="99" t="str">
        <f t="shared" si="44"/>
        <v>--</v>
      </c>
      <c r="E146" s="99" t="str">
        <f t="shared" si="45"/>
        <v>81RefSF</v>
      </c>
      <c r="F146" s="77">
        <v>8</v>
      </c>
      <c r="G146" s="77">
        <v>1</v>
      </c>
      <c r="H146" s="78" t="s">
        <v>262</v>
      </c>
      <c r="I146" s="78" t="s">
        <v>262</v>
      </c>
      <c r="J146" s="105" t="s">
        <v>309</v>
      </c>
      <c r="K146" s="212">
        <v>2.6174870951359282E-3</v>
      </c>
      <c r="L146" s="213">
        <v>2.1958673590303273E-2</v>
      </c>
      <c r="M146" s="213">
        <v>1.1317822124151701E-2</v>
      </c>
      <c r="N146" s="213">
        <v>1.3937816267650281E-2</v>
      </c>
      <c r="O146" s="213">
        <v>2.6715945256041804E-2</v>
      </c>
      <c r="P146" s="213">
        <v>0</v>
      </c>
      <c r="Q146" s="213">
        <v>0</v>
      </c>
      <c r="R146" s="213">
        <v>1.3095468517553357E-2</v>
      </c>
      <c r="S146" s="214">
        <v>4.5409458346392588E-2</v>
      </c>
    </row>
    <row r="147" spans="2:19" x14ac:dyDescent="0.2">
      <c r="B147" s="39" t="s">
        <v>345</v>
      </c>
      <c r="C147" s="94" t="str">
        <f t="shared" si="43"/>
        <v>81</v>
      </c>
      <c r="D147" s="99" t="str">
        <f t="shared" si="44"/>
        <v>--</v>
      </c>
      <c r="E147" s="99" t="str">
        <f t="shared" si="45"/>
        <v>81RefBF</v>
      </c>
      <c r="F147" s="77">
        <v>8</v>
      </c>
      <c r="G147" s="77">
        <v>1</v>
      </c>
      <c r="H147" s="78" t="s">
        <v>262</v>
      </c>
      <c r="I147" s="78" t="s">
        <v>262</v>
      </c>
      <c r="J147" s="105" t="s">
        <v>308</v>
      </c>
      <c r="K147" s="212">
        <v>3.4975043081557659E-3</v>
      </c>
      <c r="L147" s="213">
        <v>2.9341331090491442E-2</v>
      </c>
      <c r="M147" s="213">
        <v>1.5122951976237187E-2</v>
      </c>
      <c r="N147" s="213">
        <v>1.8623806219705115E-2</v>
      </c>
      <c r="O147" s="213">
        <v>3.5698030299021376E-2</v>
      </c>
      <c r="P147" s="213">
        <v>0</v>
      </c>
      <c r="Q147" s="213">
        <v>0</v>
      </c>
      <c r="R147" s="213">
        <v>1.7498255346730777E-2</v>
      </c>
      <c r="S147" s="214">
        <v>6.0676431411128023E-2</v>
      </c>
    </row>
    <row r="148" spans="2:19" x14ac:dyDescent="0.2">
      <c r="B148" s="39" t="s">
        <v>265</v>
      </c>
      <c r="C148" s="94" t="str">
        <f t="shared" si="43"/>
        <v>12</v>
      </c>
      <c r="D148" s="99" t="str">
        <f t="shared" si="44"/>
        <v>23</v>
      </c>
      <c r="E148" s="99" t="str">
        <f t="shared" si="45"/>
        <v>12-</v>
      </c>
      <c r="F148" s="77">
        <v>1</v>
      </c>
      <c r="G148" s="77">
        <v>2</v>
      </c>
      <c r="H148" s="77">
        <v>2</v>
      </c>
      <c r="I148" s="77">
        <v>3</v>
      </c>
      <c r="J148" s="79" t="s">
        <v>262</v>
      </c>
      <c r="K148" s="212">
        <v>0.26263736073104554</v>
      </c>
      <c r="L148" s="213">
        <v>8.4948241858986029E-2</v>
      </c>
      <c r="M148" s="213">
        <v>6.3292252709764768E-2</v>
      </c>
      <c r="N148" s="213">
        <v>8.3979265880998855E-2</v>
      </c>
      <c r="O148" s="213">
        <v>4.8109391110183017E-2</v>
      </c>
      <c r="P148" s="213">
        <v>8.5308145193403809E-3</v>
      </c>
      <c r="Q148" s="213">
        <v>0.38305442820879471</v>
      </c>
      <c r="R148" s="213">
        <v>6.9518751601359174E-2</v>
      </c>
      <c r="S148" s="214">
        <v>0.13469436347223271</v>
      </c>
    </row>
    <row r="149" spans="2:19" x14ac:dyDescent="0.2">
      <c r="B149" s="39" t="s">
        <v>254</v>
      </c>
      <c r="C149" s="94" t="str">
        <f t="shared" si="43"/>
        <v>--</v>
      </c>
      <c r="D149" s="99" t="str">
        <f t="shared" si="44"/>
        <v>22</v>
      </c>
      <c r="E149" s="99" t="str">
        <f t="shared" si="45"/>
        <v>---</v>
      </c>
      <c r="F149" s="78" t="s">
        <v>262</v>
      </c>
      <c r="G149" s="78" t="s">
        <v>262</v>
      </c>
      <c r="H149" s="77">
        <v>2</v>
      </c>
      <c r="I149" s="77">
        <v>2</v>
      </c>
      <c r="J149" s="79" t="s">
        <v>262</v>
      </c>
      <c r="K149" s="212">
        <v>3.9271477862174914E-2</v>
      </c>
      <c r="L149" s="213">
        <v>5.849579946350239E-2</v>
      </c>
      <c r="M149" s="213">
        <v>5.763660944421644E-2</v>
      </c>
      <c r="N149" s="213">
        <v>5.7980217059925891E-2</v>
      </c>
      <c r="O149" s="213">
        <v>3.321367746931278E-2</v>
      </c>
      <c r="P149" s="213">
        <v>1.3805154650047943E-2</v>
      </c>
      <c r="Q149" s="213">
        <v>0.17828900109775506</v>
      </c>
      <c r="R149" s="213">
        <v>3.8310149160390716E-2</v>
      </c>
      <c r="S149" s="214">
        <v>0.10242356535370536</v>
      </c>
    </row>
    <row r="150" spans="2:19" x14ac:dyDescent="0.2">
      <c r="B150" s="39" t="s">
        <v>274</v>
      </c>
      <c r="C150" s="94" t="str">
        <f t="shared" si="43"/>
        <v>110</v>
      </c>
      <c r="D150" s="99" t="str">
        <f t="shared" si="44"/>
        <v>24</v>
      </c>
      <c r="E150" s="99" t="str">
        <f t="shared" si="45"/>
        <v>110-</v>
      </c>
      <c r="F150" s="77">
        <v>1</v>
      </c>
      <c r="G150" s="77">
        <v>10</v>
      </c>
      <c r="H150" s="77">
        <v>2</v>
      </c>
      <c r="I150" s="77">
        <v>4</v>
      </c>
      <c r="J150" s="79" t="s">
        <v>262</v>
      </c>
      <c r="K150" s="212">
        <v>0.2074885765315444</v>
      </c>
      <c r="L150" s="213">
        <v>0.10787675819119191</v>
      </c>
      <c r="M150" s="213">
        <v>5.2857151308481752E-2</v>
      </c>
      <c r="N150" s="213">
        <v>4.6591575965871601E-2</v>
      </c>
      <c r="O150" s="213">
        <v>2.4061049619525415E-2</v>
      </c>
      <c r="P150" s="213">
        <v>4.827152964504108E-3</v>
      </c>
      <c r="Q150" s="213">
        <v>9.5710943439951419E-3</v>
      </c>
      <c r="R150" s="213">
        <v>3.5787919009273972E-2</v>
      </c>
      <c r="S150" s="214">
        <v>2.0035549467083275E-2</v>
      </c>
    </row>
    <row r="151" spans="2:19" x14ac:dyDescent="0.2">
      <c r="B151" s="39" t="s">
        <v>298</v>
      </c>
      <c r="C151" s="94" t="str">
        <f t="shared" si="43"/>
        <v>52</v>
      </c>
      <c r="D151" s="99" t="str">
        <f t="shared" si="44"/>
        <v>--</v>
      </c>
      <c r="E151" s="99" t="str">
        <f t="shared" si="45"/>
        <v>52-</v>
      </c>
      <c r="F151" s="77">
        <v>5</v>
      </c>
      <c r="G151" s="77">
        <v>2</v>
      </c>
      <c r="H151" s="78" t="s">
        <v>262</v>
      </c>
      <c r="I151" s="78" t="s">
        <v>262</v>
      </c>
      <c r="J151" s="79" t="s">
        <v>262</v>
      </c>
      <c r="K151" s="212">
        <v>0.30947488821160118</v>
      </c>
      <c r="L151" s="213">
        <v>0.30125242070403241</v>
      </c>
      <c r="M151" s="213">
        <v>0.10698252515396844</v>
      </c>
      <c r="N151" s="213">
        <v>9.079528262548224E-2</v>
      </c>
      <c r="O151" s="213">
        <v>0.14530094659830564</v>
      </c>
      <c r="P151" s="213">
        <v>5.9553419614608721E-2</v>
      </c>
      <c r="Q151" s="213">
        <v>0.24236113317724134</v>
      </c>
      <c r="R151" s="213">
        <v>9.7801241533955724E-2</v>
      </c>
      <c r="S151" s="214">
        <v>0.23687436164173808</v>
      </c>
    </row>
    <row r="152" spans="2:19" x14ac:dyDescent="0.2">
      <c r="B152" s="39" t="s">
        <v>253</v>
      </c>
      <c r="C152" s="94" t="str">
        <f t="shared" si="43"/>
        <v>13</v>
      </c>
      <c r="D152" s="99" t="str">
        <f t="shared" si="44"/>
        <v>--</v>
      </c>
      <c r="E152" s="99" t="str">
        <f t="shared" si="45"/>
        <v>13-</v>
      </c>
      <c r="F152" s="77">
        <v>1</v>
      </c>
      <c r="G152" s="77">
        <v>3</v>
      </c>
      <c r="H152" s="78" t="s">
        <v>262</v>
      </c>
      <c r="I152" s="78" t="s">
        <v>262</v>
      </c>
      <c r="J152" s="79" t="s">
        <v>262</v>
      </c>
      <c r="K152" s="212">
        <v>0.21033491428553289</v>
      </c>
      <c r="L152" s="213">
        <v>0.17346447491751829</v>
      </c>
      <c r="M152" s="213">
        <v>8.2683458500172752E-2</v>
      </c>
      <c r="N152" s="213">
        <v>4.3220214204942146E-2</v>
      </c>
      <c r="O152" s="213">
        <v>9.6295596405171074E-2</v>
      </c>
      <c r="P152" s="213">
        <v>2.9537045502867731E-2</v>
      </c>
      <c r="Q152" s="213">
        <v>0</v>
      </c>
      <c r="R152" s="213">
        <v>6.7519733084751787E-2</v>
      </c>
      <c r="S152" s="214">
        <v>0.26326452007880052</v>
      </c>
    </row>
    <row r="153" spans="2:19" x14ac:dyDescent="0.2">
      <c r="B153" s="39" t="s">
        <v>278</v>
      </c>
      <c r="C153" s="94" t="str">
        <f t="shared" si="43"/>
        <v>14</v>
      </c>
      <c r="D153" s="99" t="str">
        <f t="shared" si="44"/>
        <v>--</v>
      </c>
      <c r="E153" s="99" t="str">
        <f t="shared" si="45"/>
        <v>14-</v>
      </c>
      <c r="F153" s="77">
        <v>1</v>
      </c>
      <c r="G153" s="77">
        <v>4</v>
      </c>
      <c r="H153" s="78" t="s">
        <v>262</v>
      </c>
      <c r="I153" s="78" t="s">
        <v>262</v>
      </c>
      <c r="J153" s="79" t="s">
        <v>262</v>
      </c>
      <c r="K153" s="212">
        <v>0.14595677812520552</v>
      </c>
      <c r="L153" s="213">
        <v>7.3666475781146129E-2</v>
      </c>
      <c r="M153" s="213">
        <v>1.0155931666697478E-2</v>
      </c>
      <c r="N153" s="213">
        <v>1.636959264191027E-2</v>
      </c>
      <c r="O153" s="213">
        <v>1.1706186225306054E-2</v>
      </c>
      <c r="P153" s="213">
        <v>0</v>
      </c>
      <c r="Q153" s="213">
        <v>1.0061916754712543E-3</v>
      </c>
      <c r="R153" s="213">
        <v>4.2103828309771441E-2</v>
      </c>
      <c r="S153" s="214">
        <v>0</v>
      </c>
    </row>
    <row r="154" spans="2:19" x14ac:dyDescent="0.2">
      <c r="B154" s="133" t="s">
        <v>281</v>
      </c>
      <c r="C154" s="134" t="str">
        <f t="shared" si="43"/>
        <v>17</v>
      </c>
      <c r="D154" s="135" t="str">
        <f t="shared" si="44"/>
        <v>--</v>
      </c>
      <c r="E154" s="135" t="str">
        <f t="shared" si="45"/>
        <v>17-</v>
      </c>
      <c r="F154" s="136">
        <v>1</v>
      </c>
      <c r="G154" s="136">
        <v>7</v>
      </c>
      <c r="H154" s="137" t="s">
        <v>262</v>
      </c>
      <c r="I154" s="137" t="s">
        <v>262</v>
      </c>
      <c r="J154" s="138" t="s">
        <v>262</v>
      </c>
      <c r="K154" s="215">
        <v>0</v>
      </c>
      <c r="L154" s="216">
        <v>0</v>
      </c>
      <c r="M154" s="216">
        <v>0</v>
      </c>
      <c r="N154" s="216">
        <v>0</v>
      </c>
      <c r="O154" s="216">
        <v>0</v>
      </c>
      <c r="P154" s="216">
        <v>0</v>
      </c>
      <c r="Q154" s="216">
        <v>0</v>
      </c>
      <c r="R154" s="216">
        <v>0</v>
      </c>
      <c r="S154" s="217">
        <v>0</v>
      </c>
    </row>
    <row r="155" spans="2:19" x14ac:dyDescent="0.2">
      <c r="B155" s="133" t="s">
        <v>279</v>
      </c>
      <c r="C155" s="134" t="str">
        <f t="shared" si="43"/>
        <v>18</v>
      </c>
      <c r="D155" s="135" t="str">
        <f t="shared" si="44"/>
        <v>--</v>
      </c>
      <c r="E155" s="135" t="str">
        <f t="shared" si="45"/>
        <v>18-</v>
      </c>
      <c r="F155" s="136">
        <v>1</v>
      </c>
      <c r="G155" s="136">
        <v>8</v>
      </c>
      <c r="H155" s="137" t="s">
        <v>262</v>
      </c>
      <c r="I155" s="137" t="s">
        <v>262</v>
      </c>
      <c r="J155" s="138" t="s">
        <v>262</v>
      </c>
      <c r="K155" s="215">
        <v>0</v>
      </c>
      <c r="L155" s="216">
        <v>0</v>
      </c>
      <c r="M155" s="216">
        <v>0</v>
      </c>
      <c r="N155" s="216">
        <v>0</v>
      </c>
      <c r="O155" s="216">
        <v>0</v>
      </c>
      <c r="P155" s="216">
        <v>0</v>
      </c>
      <c r="Q155" s="216">
        <v>0</v>
      </c>
      <c r="R155" s="216">
        <v>0</v>
      </c>
      <c r="S155" s="217">
        <v>0</v>
      </c>
    </row>
    <row r="156" spans="2:19" ht="15" thickBot="1" x14ac:dyDescent="0.25">
      <c r="B156" s="40" t="s">
        <v>266</v>
      </c>
      <c r="C156" s="95" t="str">
        <f t="shared" si="43"/>
        <v>51</v>
      </c>
      <c r="D156" s="100" t="str">
        <f t="shared" si="44"/>
        <v>--</v>
      </c>
      <c r="E156" s="100" t="str">
        <f t="shared" si="45"/>
        <v>51-</v>
      </c>
      <c r="F156" s="80">
        <v>5</v>
      </c>
      <c r="G156" s="80">
        <v>1</v>
      </c>
      <c r="H156" s="81" t="s">
        <v>262</v>
      </c>
      <c r="I156" s="81" t="s">
        <v>262</v>
      </c>
      <c r="J156" s="82" t="s">
        <v>262</v>
      </c>
      <c r="K156" s="218">
        <v>0.17450579708360425</v>
      </c>
      <c r="L156" s="219">
        <v>9.8452947374494892E-2</v>
      </c>
      <c r="M156" s="219">
        <v>2.0780921460477313E-2</v>
      </c>
      <c r="N156" s="219">
        <v>2.1720517577636694E-2</v>
      </c>
      <c r="O156" s="219">
        <v>6.2521477155561708E-2</v>
      </c>
      <c r="P156" s="219">
        <v>7.0278941039371044E-3</v>
      </c>
      <c r="Q156" s="219">
        <v>0</v>
      </c>
      <c r="R156" s="219">
        <v>1.751843978369309E-2</v>
      </c>
      <c r="S156" s="220">
        <v>8.6265844175055284E-2</v>
      </c>
    </row>
    <row r="157" spans="2:19" ht="15" x14ac:dyDescent="0.2">
      <c r="B157" s="45"/>
      <c r="C157" s="46"/>
      <c r="D157" s="46"/>
      <c r="E157" s="46"/>
      <c r="F157" s="46"/>
      <c r="G157" s="46"/>
      <c r="H157" s="46"/>
      <c r="I157" s="46"/>
      <c r="J157" s="46"/>
      <c r="K157" s="46"/>
    </row>
    <row r="158" spans="2:19" x14ac:dyDescent="0.2">
      <c r="B158" s="8" t="s">
        <v>301</v>
      </c>
      <c r="O158" s="32"/>
      <c r="P158" s="32"/>
      <c r="Q158" s="32"/>
    </row>
    <row r="159" spans="2:19" x14ac:dyDescent="0.2">
      <c r="B159" t="s">
        <v>474</v>
      </c>
    </row>
  </sheetData>
  <mergeCells count="1">
    <mergeCell ref="K142:S142"/>
  </mergeCells>
  <hyperlinks>
    <hyperlink ref="B54" r:id="rId1" xr:uid="{00000000-0004-0000-0400-000000000000}"/>
    <hyperlink ref="B6" r:id="rId2" location="census" xr:uid="{00000000-0004-0000-0400-000001000000}"/>
    <hyperlink ref="B110" r:id="rId3" xr:uid="{00000000-0004-0000-0400-000002000000}"/>
    <hyperlink ref="B56" r:id="rId4" xr:uid="{00000000-0004-0000-0400-000003000000}"/>
    <hyperlink ref="B132" r:id="rId5" xr:uid="{00000000-0004-0000-0400-000004000000}"/>
    <hyperlink ref="B133" r:id="rId6" xr:uid="{00000000-0004-0000-0400-000005000000}"/>
    <hyperlink ref="B53" r:id="rId7" xr:uid="{00000000-0004-0000-0400-000006000000}"/>
    <hyperlink ref="B131" r:id="rId8" xr:uid="{00000000-0004-0000-0400-000007000000}"/>
    <hyperlink ref="B57" r:id="rId9" xr:uid="{00000000-0004-0000-0400-000008000000}"/>
    <hyperlink ref="B134" r:id="rId10" xr:uid="{00000000-0004-0000-0400-000009000000}"/>
    <hyperlink ref="G57" r:id="rId11" xr:uid="{00000000-0004-0000-0400-00000A000000}"/>
    <hyperlink ref="B62" r:id="rId12" xr:uid="{00000000-0004-0000-0400-00000B000000}"/>
    <hyperlink ref="B112" r:id="rId13" xr:uid="{00000000-0004-0000-0400-00000C000000}"/>
    <hyperlink ref="B52" r:id="rId14" xr:uid="{00000000-0004-0000-0400-00000D000000}"/>
    <hyperlink ref="P16" r:id="rId15" xr:uid="{00000000-0004-0000-0400-00000E000000}"/>
  </hyperlinks>
  <pageMargins left="0.7" right="0.7" top="0.75" bottom="0.75" header="0.3" footer="0.3"/>
  <pageSetup orientation="portrait" r:id="rId16"/>
  <drawing r:id="rId17"/>
  <legacyDrawing r:id="rId1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285D0-BD0D-4108-ACA1-AEAD4490EFD0}">
  <sheetPr>
    <tabColor theme="9" tint="0.79998168889431442"/>
  </sheetPr>
  <dimension ref="A1:X245"/>
  <sheetViews>
    <sheetView tabSelected="1" workbookViewId="0">
      <selection activeCell="V12" sqref="V12"/>
    </sheetView>
  </sheetViews>
  <sheetFormatPr defaultRowHeight="14.25" x14ac:dyDescent="0.2"/>
  <cols>
    <col min="1" max="1" width="15.375" style="239" customWidth="1"/>
  </cols>
  <sheetData>
    <row r="1" spans="1:24" s="157" customFormat="1" ht="15" x14ac:dyDescent="0.25">
      <c r="A1" s="240"/>
      <c r="B1" s="241" t="s">
        <v>495</v>
      </c>
      <c r="H1"/>
      <c r="I1"/>
      <c r="J1"/>
    </row>
    <row r="2" spans="1:24" ht="15" x14ac:dyDescent="0.25">
      <c r="A2" s="240" t="str" cm="1">
        <f t="array" ref="A2:A31">xlRTCLNAME</f>
        <v>ELEC_RAD</v>
      </c>
      <c r="B2" s="242">
        <f>RSCLASS!P21*_xlfn.GAMMA(1+1/RSCLASS!O21)</f>
        <v>22.308189520706183</v>
      </c>
    </row>
    <row r="3" spans="1:24" s="157" customFormat="1" ht="15" x14ac:dyDescent="0.25">
      <c r="A3" s="240" t="str">
        <v>ELEC_HP</v>
      </c>
      <c r="B3" s="242">
        <f>RSCLASS!P22*_xlfn.GAMMA(1+1/RSCLASS!O22)</f>
        <v>15.513643187900668</v>
      </c>
      <c r="H3" s="157">
        <v>-2</v>
      </c>
      <c r="I3" s="157">
        <v>0</v>
      </c>
    </row>
    <row r="4" spans="1:24" ht="15" x14ac:dyDescent="0.25">
      <c r="A4" s="240" t="str">
        <v>NG_FA</v>
      </c>
      <c r="B4" s="242">
        <f>RSCLASS!P23*_xlfn.GAMMA(1+1/RSCLASS!O23)</f>
        <v>21.171414471119473</v>
      </c>
      <c r="H4">
        <v>-1</v>
      </c>
      <c r="I4">
        <v>0</v>
      </c>
      <c r="N4" t="s">
        <v>496</v>
      </c>
      <c r="O4">
        <v>1</v>
      </c>
      <c r="P4">
        <v>2</v>
      </c>
      <c r="Q4">
        <v>3</v>
      </c>
      <c r="R4">
        <v>4</v>
      </c>
      <c r="S4" s="157">
        <v>5</v>
      </c>
      <c r="T4" s="157">
        <v>6</v>
      </c>
      <c r="U4" s="157">
        <v>7</v>
      </c>
      <c r="V4" s="157">
        <v>8</v>
      </c>
      <c r="W4" s="157">
        <v>9</v>
      </c>
      <c r="X4" s="157">
        <v>10</v>
      </c>
    </row>
    <row r="5" spans="1:24" ht="15" x14ac:dyDescent="0.25">
      <c r="A5" s="240" t="str">
        <v>NG_RAD</v>
      </c>
      <c r="B5" s="242">
        <f>RSCLASS!P24*_xlfn.GAMMA(1+1/RSCLASS!O24)</f>
        <v>24.639585438826391</v>
      </c>
      <c r="H5" s="157">
        <v>0</v>
      </c>
      <c r="I5" s="157">
        <v>10</v>
      </c>
      <c r="J5">
        <f>I5-I4+J1</f>
        <v>10</v>
      </c>
      <c r="K5" s="157">
        <f>(J4+J3*2+J2*3)/SUM(J2:J5)</f>
        <v>0</v>
      </c>
      <c r="L5">
        <f>AVERAGE(K2:K5)</f>
        <v>0</v>
      </c>
      <c r="N5" t="s">
        <v>498</v>
      </c>
      <c r="O5">
        <f>O4/2-0.5</f>
        <v>0</v>
      </c>
      <c r="P5" s="157">
        <f>P4/2-0.5</f>
        <v>0.5</v>
      </c>
      <c r="Q5" s="157">
        <f>Q4/2-0.5</f>
        <v>1</v>
      </c>
      <c r="R5" s="157">
        <f>R4/2-0.5</f>
        <v>1.5</v>
      </c>
      <c r="S5" s="157">
        <f>S4/2-0.5</f>
        <v>2</v>
      </c>
      <c r="T5" s="157">
        <f>T4/2-0.5</f>
        <v>2.5</v>
      </c>
      <c r="U5" s="157">
        <f>U4/2-0.5</f>
        <v>3</v>
      </c>
      <c r="V5" s="157">
        <f>V4/2-0.5</f>
        <v>3.5</v>
      </c>
      <c r="W5" s="157">
        <f>W4/2-0.5</f>
        <v>4</v>
      </c>
      <c r="X5" s="157">
        <f>X4/2-0.5</f>
        <v>4.5</v>
      </c>
    </row>
    <row r="6" spans="1:24" ht="15" x14ac:dyDescent="0.25">
      <c r="A6" s="240" t="str">
        <v>KERO_FA</v>
      </c>
      <c r="B6" s="242">
        <f>RSCLASS!P25*_xlfn.GAMMA(1+1/RSCLASS!O25)</f>
        <v>26.13234646315987</v>
      </c>
      <c r="H6">
        <v>1</v>
      </c>
      <c r="I6" s="157">
        <f>I5*1.02</f>
        <v>10.199999999999999</v>
      </c>
      <c r="J6" s="157">
        <f t="shared" ref="J6:J69" si="0">I6-I5+J2</f>
        <v>0.19999999999999929</v>
      </c>
      <c r="K6" s="157">
        <f t="shared" ref="K6:K69" si="1">(J5+J4*2+J3*3)/SUM(J3:J6)</f>
        <v>0.98039215686274517</v>
      </c>
      <c r="L6" s="157">
        <f t="shared" ref="L6:L69" si="2">AVERAGE(K3:K6)</f>
        <v>0.49019607843137258</v>
      </c>
      <c r="N6" t="s">
        <v>497</v>
      </c>
    </row>
    <row r="7" spans="1:24" ht="15" x14ac:dyDescent="0.25">
      <c r="A7" s="240" t="str">
        <v>LPG_FA</v>
      </c>
      <c r="B7" s="242">
        <f>RSCLASS!P26*_xlfn.GAMMA(1+1/RSCLASS!O26)</f>
        <v>21.171414471119473</v>
      </c>
      <c r="H7" s="157">
        <v>2</v>
      </c>
      <c r="I7" s="157">
        <f t="shared" ref="I7:I70" si="3">I6*1.02</f>
        <v>10.404</v>
      </c>
      <c r="J7" s="157">
        <f t="shared" si="0"/>
        <v>0.20400000000000063</v>
      </c>
      <c r="K7" s="157">
        <f t="shared" si="1"/>
        <v>1.9415609381007304</v>
      </c>
      <c r="L7" s="157">
        <f t="shared" si="2"/>
        <v>0.97398436498782515</v>
      </c>
    </row>
    <row r="8" spans="1:24" ht="15" x14ac:dyDescent="0.25">
      <c r="A8" s="240" t="str">
        <v>DIST_FA</v>
      </c>
      <c r="B8" s="242">
        <f>RSCLASS!P27*_xlfn.GAMMA(1+1/RSCLASS!O27)</f>
        <v>26.13234646315987</v>
      </c>
      <c r="H8" s="157">
        <v>3</v>
      </c>
      <c r="I8" s="157">
        <f t="shared" si="3"/>
        <v>10.612080000000001</v>
      </c>
      <c r="J8" s="157">
        <f t="shared" si="0"/>
        <v>0.20808000000000071</v>
      </c>
      <c r="K8" s="157">
        <f t="shared" si="1"/>
        <v>2.8838832726477746</v>
      </c>
      <c r="L8" s="157">
        <f t="shared" si="2"/>
        <v>1.4514590919028125</v>
      </c>
    </row>
    <row r="9" spans="1:24" ht="15" x14ac:dyDescent="0.25">
      <c r="A9" s="240" t="str">
        <v>DIST_RAD</v>
      </c>
      <c r="B9" s="242">
        <f>RSCLASS!P28*_xlfn.GAMMA(1+1/RSCLASS!O28)</f>
        <v>22.66806115045366</v>
      </c>
      <c r="H9" s="157">
        <v>4</v>
      </c>
      <c r="I9" s="157">
        <f t="shared" si="3"/>
        <v>10.824321600000001</v>
      </c>
      <c r="J9" s="157">
        <f t="shared" si="0"/>
        <v>10.2122416</v>
      </c>
      <c r="K9" s="157">
        <f t="shared" si="1"/>
        <v>0.11234699456823231</v>
      </c>
      <c r="L9" s="157">
        <f t="shared" si="2"/>
        <v>1.4795458405448707</v>
      </c>
    </row>
    <row r="10" spans="1:24" ht="15" x14ac:dyDescent="0.25">
      <c r="A10" s="240" t="str">
        <v>WOOD_HT</v>
      </c>
      <c r="B10" s="242">
        <f>RSCLASS!P29*_xlfn.GAMMA(1+1/RSCLASS!O29)</f>
        <v>18.335150110703019</v>
      </c>
      <c r="H10" s="157">
        <v>5</v>
      </c>
      <c r="I10" s="157">
        <f t="shared" si="3"/>
        <v>11.040808032000001</v>
      </c>
      <c r="J10" s="157">
        <f t="shared" si="0"/>
        <v>0.41648643199999924</v>
      </c>
      <c r="K10" s="157">
        <f t="shared" si="1"/>
        <v>1.0180778043981484</v>
      </c>
      <c r="L10" s="157">
        <f t="shared" si="2"/>
        <v>1.4889672524287216</v>
      </c>
    </row>
    <row r="11" spans="1:24" ht="15" x14ac:dyDescent="0.25">
      <c r="A11" s="240" t="str">
        <v>GEO_HP</v>
      </c>
      <c r="B11" s="242">
        <f>RSCLASS!P30*_xlfn.GAMMA(1+1/RSCLASS!O30)</f>
        <v>14.51398898031896</v>
      </c>
      <c r="H11" s="157">
        <v>6</v>
      </c>
      <c r="I11" s="157">
        <f t="shared" si="3"/>
        <v>11.261624192640001</v>
      </c>
      <c r="J11" s="157">
        <f t="shared" si="0"/>
        <v>0.42481616064000072</v>
      </c>
      <c r="K11" s="157">
        <f t="shared" si="1"/>
        <v>1.9060491865843405</v>
      </c>
      <c r="L11" s="157">
        <f t="shared" si="2"/>
        <v>1.4800893145496239</v>
      </c>
    </row>
    <row r="12" spans="1:24" ht="15" x14ac:dyDescent="0.25">
      <c r="A12" s="240" t="str">
        <v>NG_HP</v>
      </c>
      <c r="B12" s="242">
        <f>RSCLASS!P31*_xlfn.GAMMA(1+1/RSCLASS!O31)</f>
        <v>14.802488590625741</v>
      </c>
      <c r="H12" s="157">
        <v>7</v>
      </c>
      <c r="I12" s="157">
        <f t="shared" si="3"/>
        <v>11.486856676492801</v>
      </c>
      <c r="J12" s="157">
        <f t="shared" si="0"/>
        <v>0.43331248385280041</v>
      </c>
      <c r="K12" s="157">
        <f t="shared" si="1"/>
        <v>2.776609365198254</v>
      </c>
      <c r="L12" s="157">
        <f t="shared" si="2"/>
        <v>1.4532708376872439</v>
      </c>
    </row>
    <row r="13" spans="1:24" ht="15" x14ac:dyDescent="0.25">
      <c r="A13" s="240" t="str">
        <v>ROOM_AIR</v>
      </c>
      <c r="B13" s="242">
        <f>RSCLASS!P32*_xlfn.GAMMA(1+1/RSCLASS!O32)</f>
        <v>9.4157992245399775</v>
      </c>
      <c r="H13" s="157">
        <v>8</v>
      </c>
      <c r="I13" s="157">
        <f t="shared" si="3"/>
        <v>11.716593810022657</v>
      </c>
      <c r="J13" s="157">
        <f t="shared" si="0"/>
        <v>10.441978733529856</v>
      </c>
      <c r="K13" s="157">
        <f t="shared" si="1"/>
        <v>0.21613825162791939</v>
      </c>
      <c r="L13" s="157">
        <f t="shared" si="2"/>
        <v>1.4792186519521655</v>
      </c>
    </row>
    <row r="14" spans="1:24" ht="15" x14ac:dyDescent="0.25">
      <c r="A14" s="240" t="str">
        <v>CENT_AIR</v>
      </c>
      <c r="B14" s="242">
        <f>RSCLASS!P33*_xlfn.GAMMA(1+1/RSCLASS!O33)</f>
        <v>17.887094349420554</v>
      </c>
      <c r="H14" s="157">
        <v>9</v>
      </c>
      <c r="I14" s="157">
        <f t="shared" si="3"/>
        <v>11.95092568622311</v>
      </c>
      <c r="J14" s="157">
        <f t="shared" si="0"/>
        <v>0.65081830820045283</v>
      </c>
      <c r="K14" s="157">
        <f t="shared" si="1"/>
        <v>1.052893517500578</v>
      </c>
      <c r="L14" s="157">
        <f t="shared" si="2"/>
        <v>1.4879225802277731</v>
      </c>
    </row>
    <row r="15" spans="1:24" ht="15" x14ac:dyDescent="0.25">
      <c r="A15" s="240" t="str">
        <v>ELEC_HP</v>
      </c>
      <c r="B15" s="242">
        <f>RSCLASS!P34*_xlfn.GAMMA(1+1/RSCLASS!O34)</f>
        <v>15.513643187900668</v>
      </c>
      <c r="H15" s="157">
        <v>10</v>
      </c>
      <c r="I15" s="157">
        <f t="shared" si="3"/>
        <v>12.189944199947572</v>
      </c>
      <c r="J15" s="157">
        <f t="shared" si="0"/>
        <v>0.66383467436446253</v>
      </c>
      <c r="K15" s="157">
        <f t="shared" si="1"/>
        <v>1.873241817375733</v>
      </c>
      <c r="L15" s="157">
        <f t="shared" si="2"/>
        <v>1.479720737925621</v>
      </c>
    </row>
    <row r="16" spans="1:24" ht="15" x14ac:dyDescent="0.25">
      <c r="A16" s="240" t="str">
        <v>GEO_HP</v>
      </c>
      <c r="B16" s="242">
        <f>RSCLASS!P35*_xlfn.GAMMA(1+1/RSCLASS!O35)</f>
        <v>14.51398898031896</v>
      </c>
      <c r="H16" s="157">
        <v>11</v>
      </c>
      <c r="I16" s="157">
        <f t="shared" si="3"/>
        <v>12.433743083946524</v>
      </c>
      <c r="J16" s="157">
        <f t="shared" si="0"/>
        <v>0.67711136785175263</v>
      </c>
      <c r="K16" s="157">
        <f t="shared" si="1"/>
        <v>2.6775048564690218</v>
      </c>
      <c r="L16" s="157">
        <f t="shared" si="2"/>
        <v>1.454944610743313</v>
      </c>
    </row>
    <row r="17" spans="1:12" ht="15" x14ac:dyDescent="0.25">
      <c r="A17" s="240" t="str">
        <v>NG_HP</v>
      </c>
      <c r="B17" s="242">
        <f>RSCLASS!P36*_xlfn.GAMMA(1+1/RSCLASS!O36)</f>
        <v>14.802488590625741</v>
      </c>
      <c r="H17" s="157">
        <v>12</v>
      </c>
      <c r="I17" s="157">
        <f t="shared" si="3"/>
        <v>12.682417945625454</v>
      </c>
      <c r="J17" s="157">
        <f t="shared" si="0"/>
        <v>10.690653595208786</v>
      </c>
      <c r="K17" s="157">
        <f t="shared" si="1"/>
        <v>0.31202532972405356</v>
      </c>
      <c r="L17" s="157">
        <f t="shared" si="2"/>
        <v>1.4789163802673466</v>
      </c>
    </row>
    <row r="18" spans="1:12" ht="15" x14ac:dyDescent="0.25">
      <c r="A18" s="240" t="str">
        <v>CL_WASH</v>
      </c>
      <c r="B18" s="242">
        <f>RSCLASS!P37*_xlfn.GAMMA(1+1/RSCLASS!O37)</f>
        <v>11.608733650400241</v>
      </c>
      <c r="H18" s="157">
        <v>13</v>
      </c>
      <c r="I18" s="157">
        <f t="shared" si="3"/>
        <v>12.936066304537963</v>
      </c>
      <c r="J18" s="157">
        <f t="shared" si="0"/>
        <v>0.90446666711296153</v>
      </c>
      <c r="K18" s="157">
        <f t="shared" si="1"/>
        <v>1.085057854804109</v>
      </c>
      <c r="L18" s="157">
        <f t="shared" si="2"/>
        <v>1.4869574645932293</v>
      </c>
    </row>
    <row r="19" spans="1:12" ht="15" x14ac:dyDescent="0.25">
      <c r="A19" s="240" t="str">
        <v>DS_WASH</v>
      </c>
      <c r="B19" s="242">
        <f>RSCLASS!P38*_xlfn.GAMMA(1+1/RSCLASS!O38)</f>
        <v>14.354712054602905</v>
      </c>
      <c r="H19" s="157">
        <v>14</v>
      </c>
      <c r="I19" s="157">
        <f t="shared" si="3"/>
        <v>13.194787630628722</v>
      </c>
      <c r="J19" s="157">
        <f t="shared" si="0"/>
        <v>0.92255600045522179</v>
      </c>
      <c r="K19" s="157">
        <f t="shared" si="1"/>
        <v>1.8429328793923985</v>
      </c>
      <c r="L19" s="157">
        <f t="shared" si="2"/>
        <v>1.4793802300973957</v>
      </c>
    </row>
    <row r="20" spans="1:12" ht="15" x14ac:dyDescent="0.25">
      <c r="A20" s="240" t="str">
        <v>NG_WH</v>
      </c>
      <c r="B20" s="242">
        <f>RSCLASS!P39*_xlfn.GAMMA(1+1/RSCLASS!O39)</f>
        <v>13.246994618058659</v>
      </c>
      <c r="H20" s="157">
        <v>15</v>
      </c>
      <c r="I20" s="157">
        <f t="shared" si="3"/>
        <v>13.458683383241297</v>
      </c>
      <c r="J20" s="157">
        <f t="shared" si="0"/>
        <v>0.94100712046432733</v>
      </c>
      <c r="K20" s="157">
        <f t="shared" si="1"/>
        <v>2.5859476093809168</v>
      </c>
      <c r="L20" s="157">
        <f t="shared" si="2"/>
        <v>1.4564909183253696</v>
      </c>
    </row>
    <row r="21" spans="1:12" ht="15" x14ac:dyDescent="0.25">
      <c r="A21" s="240" t="str">
        <v>ELEC_WH</v>
      </c>
      <c r="B21" s="242">
        <f>RSCLASS!P40*_xlfn.GAMMA(1+1/RSCLASS!O40)</f>
        <v>13.246994618058659</v>
      </c>
      <c r="H21" s="157">
        <v>16</v>
      </c>
      <c r="I21" s="157">
        <f t="shared" si="3"/>
        <v>13.727857050906124</v>
      </c>
      <c r="J21" s="157">
        <f t="shared" si="0"/>
        <v>10.959827262873613</v>
      </c>
      <c r="K21" s="157">
        <f t="shared" si="1"/>
        <v>0.40061016823821405</v>
      </c>
      <c r="L21" s="157">
        <f t="shared" si="2"/>
        <v>1.4786371279539094</v>
      </c>
    </row>
    <row r="22" spans="1:12" ht="15" x14ac:dyDescent="0.25">
      <c r="A22" s="240" t="str">
        <v>DIST_WH</v>
      </c>
      <c r="B22" s="242">
        <f>RSCLASS!P41*_xlfn.GAMMA(1+1/RSCLASS!O41)</f>
        <v>13.246994618058659</v>
      </c>
      <c r="H22" s="157">
        <v>17</v>
      </c>
      <c r="I22" s="157">
        <f t="shared" si="3"/>
        <v>14.002414191924247</v>
      </c>
      <c r="J22" s="157">
        <f t="shared" si="0"/>
        <v>1.1790238081310846</v>
      </c>
      <c r="K22" s="157">
        <f t="shared" si="1"/>
        <v>1.1147727307031499</v>
      </c>
      <c r="L22" s="157">
        <f t="shared" si="2"/>
        <v>1.4860658469286698</v>
      </c>
    </row>
    <row r="23" spans="1:12" ht="15" x14ac:dyDescent="0.25">
      <c r="A23" s="240" t="str">
        <v>LPG_WH</v>
      </c>
      <c r="B23" s="242">
        <f>RSCLASS!P42*_xlfn.GAMMA(1+1/RSCLASS!O42)</f>
        <v>13.246994618058659</v>
      </c>
      <c r="H23" s="157">
        <v>18</v>
      </c>
      <c r="I23" s="157">
        <f t="shared" si="3"/>
        <v>14.282462475762733</v>
      </c>
      <c r="J23" s="157">
        <f t="shared" si="0"/>
        <v>1.2026042842937077</v>
      </c>
      <c r="K23" s="157">
        <f t="shared" si="1"/>
        <v>1.8149321056687731</v>
      </c>
      <c r="L23" s="157">
        <f t="shared" si="2"/>
        <v>1.4790656534977635</v>
      </c>
    </row>
    <row r="24" spans="1:12" ht="15" x14ac:dyDescent="0.25">
      <c r="A24" s="240" t="str">
        <v>SOLAR_WH</v>
      </c>
      <c r="B24" s="242">
        <f>RSCLASS!P43*_xlfn.GAMMA(1+1/RSCLASS!O43)</f>
        <v>22.308189520706183</v>
      </c>
      <c r="H24" s="157">
        <v>19</v>
      </c>
      <c r="I24" s="157">
        <f t="shared" si="3"/>
        <v>14.568111725277987</v>
      </c>
      <c r="J24" s="157">
        <f t="shared" si="0"/>
        <v>1.2266563699795814</v>
      </c>
      <c r="K24" s="157">
        <f t="shared" si="1"/>
        <v>2.501362865438991</v>
      </c>
      <c r="L24" s="157">
        <f t="shared" si="2"/>
        <v>1.457919467512282</v>
      </c>
    </row>
    <row r="25" spans="1:12" ht="15" x14ac:dyDescent="0.25">
      <c r="A25" s="240" t="str">
        <v>NG_STV</v>
      </c>
      <c r="B25" s="242">
        <f>RSCLASS!P44*_xlfn.GAMMA(1+1/RSCLASS!O44)</f>
        <v>11.848978344643989</v>
      </c>
      <c r="H25" s="157">
        <v>20</v>
      </c>
      <c r="I25" s="157">
        <f t="shared" si="3"/>
        <v>14.859473959783546</v>
      </c>
      <c r="J25" s="157">
        <f t="shared" si="0"/>
        <v>11.251189497379173</v>
      </c>
      <c r="K25" s="157">
        <f t="shared" si="1"/>
        <v>0.48244886611481896</v>
      </c>
      <c r="L25" s="157">
        <f t="shared" si="2"/>
        <v>1.4783791419814332</v>
      </c>
    </row>
    <row r="26" spans="1:12" ht="15" x14ac:dyDescent="0.25">
      <c r="A26" s="240" t="str">
        <v>LPG_STV</v>
      </c>
      <c r="B26" s="242">
        <f>RSCLASS!P45*_xlfn.GAMMA(1+1/RSCLASS!O45)</f>
        <v>11.848978344643989</v>
      </c>
      <c r="H26" s="157">
        <v>21</v>
      </c>
      <c r="I26" s="157">
        <f t="shared" si="3"/>
        <v>15.156663438979217</v>
      </c>
      <c r="J26" s="157">
        <f t="shared" si="0"/>
        <v>1.4762132873267557</v>
      </c>
      <c r="K26" s="157">
        <f t="shared" si="1"/>
        <v>1.1422246828874245</v>
      </c>
      <c r="L26" s="157">
        <f t="shared" si="2"/>
        <v>1.4852421300275018</v>
      </c>
    </row>
    <row r="27" spans="1:12" ht="15" x14ac:dyDescent="0.25">
      <c r="A27" s="240" t="str">
        <v>ELEC_STV</v>
      </c>
      <c r="B27" s="242">
        <f>RSCLASS!P46*_xlfn.GAMMA(1+1/RSCLASS!O46)</f>
        <v>14.839790143085612</v>
      </c>
      <c r="H27" s="157">
        <v>22</v>
      </c>
      <c r="I27" s="157">
        <f t="shared" si="3"/>
        <v>15.459796707758802</v>
      </c>
      <c r="J27" s="157">
        <f t="shared" si="0"/>
        <v>1.5057375530732919</v>
      </c>
      <c r="K27" s="157">
        <f t="shared" si="1"/>
        <v>1.7890637189389986</v>
      </c>
      <c r="L27" s="157">
        <f t="shared" si="2"/>
        <v>1.4787750333450582</v>
      </c>
    </row>
    <row r="28" spans="1:12" ht="15" x14ac:dyDescent="0.25">
      <c r="A28" s="240" t="str">
        <v>NG_DRY</v>
      </c>
      <c r="B28" s="242">
        <f>RSCLASS!P47*_xlfn.GAMMA(1+1/RSCLASS!O47)</f>
        <v>12.914646936549692</v>
      </c>
      <c r="H28" s="157">
        <v>23</v>
      </c>
      <c r="I28" s="157">
        <f t="shared" si="3"/>
        <v>15.768992641913979</v>
      </c>
      <c r="J28" s="157">
        <f t="shared" si="0"/>
        <v>1.5358523041347585</v>
      </c>
      <c r="K28" s="157">
        <f t="shared" si="1"/>
        <v>2.4232196366366199</v>
      </c>
      <c r="L28" s="157">
        <f t="shared" si="2"/>
        <v>1.4592392261444656</v>
      </c>
    </row>
    <row r="29" spans="1:12" ht="15" x14ac:dyDescent="0.25">
      <c r="A29" s="240" t="str">
        <v>ELEC_DRY</v>
      </c>
      <c r="B29" s="242">
        <f>RSCLASS!P48*_xlfn.GAMMA(1+1/RSCLASS!O48)</f>
        <v>12.914646936549692</v>
      </c>
      <c r="H29" s="157">
        <v>24</v>
      </c>
      <c r="I29" s="157">
        <f t="shared" si="3"/>
        <v>16.084372494752259</v>
      </c>
      <c r="J29" s="157">
        <f t="shared" si="0"/>
        <v>11.566569350217453</v>
      </c>
      <c r="K29" s="157">
        <f t="shared" si="1"/>
        <v>0.55805517282008599</v>
      </c>
      <c r="L29" s="157">
        <f t="shared" si="2"/>
        <v>1.4781408028207823</v>
      </c>
    </row>
    <row r="30" spans="1:12" ht="15" x14ac:dyDescent="0.25">
      <c r="A30" s="240" t="str">
        <v>REFR</v>
      </c>
      <c r="B30" s="242">
        <f>RSCLASS!P49*_xlfn.GAMMA(1+1/RSCLASS!O49)</f>
        <v>16.784835961120578</v>
      </c>
      <c r="H30" s="157">
        <v>25</v>
      </c>
      <c r="I30" s="157">
        <f t="shared" si="3"/>
        <v>16.406059944647303</v>
      </c>
      <c r="J30" s="157">
        <f t="shared" si="0"/>
        <v>1.7979007372218003</v>
      </c>
      <c r="K30" s="157">
        <f t="shared" si="1"/>
        <v>1.1675860433483654</v>
      </c>
      <c r="L30" s="157">
        <f t="shared" si="2"/>
        <v>1.4844811429360174</v>
      </c>
    </row>
    <row r="31" spans="1:12" ht="15" x14ac:dyDescent="0.25">
      <c r="A31" s="240" t="str">
        <v>FREZ</v>
      </c>
      <c r="B31" s="242">
        <f>RSCLASS!P50*_xlfn.GAMMA(1+1/RSCLASS!O50)</f>
        <v>21.683122811640295</v>
      </c>
      <c r="H31" s="157">
        <v>26</v>
      </c>
      <c r="I31" s="157">
        <f t="shared" si="3"/>
        <v>16.734181143540251</v>
      </c>
      <c r="J31" s="157">
        <f t="shared" si="0"/>
        <v>1.8338587519662397</v>
      </c>
      <c r="K31" s="157">
        <f t="shared" si="1"/>
        <v>1.7651653281800113</v>
      </c>
      <c r="L31" s="157">
        <f t="shared" si="2"/>
        <v>1.4785065452462707</v>
      </c>
    </row>
    <row r="32" spans="1:12" x14ac:dyDescent="0.2">
      <c r="H32" s="157">
        <v>27</v>
      </c>
      <c r="I32" s="157">
        <f t="shared" si="3"/>
        <v>17.068864766411057</v>
      </c>
      <c r="J32" s="157">
        <f t="shared" si="0"/>
        <v>1.8705359270055641</v>
      </c>
      <c r="K32" s="157">
        <f t="shared" si="1"/>
        <v>2.3510273721326049</v>
      </c>
      <c r="L32" s="157">
        <f t="shared" si="2"/>
        <v>1.4604584791202668</v>
      </c>
    </row>
    <row r="33" spans="8:12" x14ac:dyDescent="0.2">
      <c r="H33" s="157">
        <v>28</v>
      </c>
      <c r="I33" s="157">
        <f t="shared" si="3"/>
        <v>17.410242061739279</v>
      </c>
      <c r="J33" s="157">
        <f t="shared" si="0"/>
        <v>11.907946645545675</v>
      </c>
      <c r="K33" s="157">
        <f t="shared" si="1"/>
        <v>0.62790371344850471</v>
      </c>
      <c r="L33" s="157">
        <f t="shared" si="2"/>
        <v>1.4779206142773715</v>
      </c>
    </row>
    <row r="34" spans="8:12" x14ac:dyDescent="0.2">
      <c r="H34" s="157">
        <v>29</v>
      </c>
      <c r="I34" s="157">
        <f t="shared" si="3"/>
        <v>17.758446902974065</v>
      </c>
      <c r="J34" s="157">
        <f t="shared" si="0"/>
        <v>2.1461055784565861</v>
      </c>
      <c r="K34" s="157">
        <f t="shared" si="1"/>
        <v>1.1910160202080151</v>
      </c>
      <c r="L34" s="157">
        <f t="shared" si="2"/>
        <v>1.4837781084922841</v>
      </c>
    </row>
    <row r="35" spans="8:12" x14ac:dyDescent="0.2">
      <c r="H35" s="157">
        <v>30</v>
      </c>
      <c r="I35" s="157">
        <f t="shared" si="3"/>
        <v>18.113615841033546</v>
      </c>
      <c r="J35" s="157">
        <f t="shared" si="0"/>
        <v>2.1890276900257213</v>
      </c>
      <c r="K35" s="157">
        <f t="shared" si="1"/>
        <v>1.7430869091879264</v>
      </c>
      <c r="L35" s="157">
        <f t="shared" si="2"/>
        <v>1.4782585037442628</v>
      </c>
    </row>
    <row r="36" spans="8:12" x14ac:dyDescent="0.2">
      <c r="H36" s="157">
        <v>31</v>
      </c>
      <c r="I36" s="157">
        <f t="shared" si="3"/>
        <v>18.475888157854218</v>
      </c>
      <c r="J36" s="157">
        <f t="shared" si="0"/>
        <v>2.232808243826236</v>
      </c>
      <c r="K36" s="157">
        <f t="shared" si="1"/>
        <v>2.284332878776075</v>
      </c>
      <c r="L36" s="157">
        <f t="shared" si="2"/>
        <v>1.4615848804051303</v>
      </c>
    </row>
    <row r="37" spans="8:12" x14ac:dyDescent="0.2">
      <c r="H37" s="157">
        <v>32</v>
      </c>
      <c r="I37" s="157">
        <f t="shared" si="3"/>
        <v>18.845405921011302</v>
      </c>
      <c r="J37" s="157">
        <f t="shared" si="0"/>
        <v>12.277464408702759</v>
      </c>
      <c r="K37" s="157">
        <f t="shared" si="1"/>
        <v>0.69243296822269662</v>
      </c>
      <c r="L37" s="157">
        <f t="shared" si="2"/>
        <v>1.4777171940986784</v>
      </c>
    </row>
    <row r="38" spans="8:12" x14ac:dyDescent="0.2">
      <c r="H38" s="157">
        <v>33</v>
      </c>
      <c r="I38" s="157">
        <f t="shared" si="3"/>
        <v>19.222314039431527</v>
      </c>
      <c r="J38" s="157">
        <f t="shared" si="0"/>
        <v>2.5230136968768111</v>
      </c>
      <c r="K38" s="157">
        <f t="shared" si="1"/>
        <v>1.2126616971617099</v>
      </c>
      <c r="L38" s="157">
        <f t="shared" si="2"/>
        <v>1.4831286133371022</v>
      </c>
    </row>
    <row r="39" spans="8:12" x14ac:dyDescent="0.2">
      <c r="H39" s="157">
        <v>34</v>
      </c>
      <c r="I39" s="157">
        <f t="shared" si="3"/>
        <v>19.606760320220157</v>
      </c>
      <c r="J39" s="157">
        <f t="shared" si="0"/>
        <v>2.5734739708143515</v>
      </c>
      <c r="K39" s="157">
        <f t="shared" si="1"/>
        <v>1.7226898627881924</v>
      </c>
      <c r="L39" s="157">
        <f t="shared" si="2"/>
        <v>1.4780293517371685</v>
      </c>
    </row>
    <row r="40" spans="8:12" x14ac:dyDescent="0.2">
      <c r="H40" s="157">
        <v>35</v>
      </c>
      <c r="I40" s="157">
        <f t="shared" si="3"/>
        <v>19.998895526624562</v>
      </c>
      <c r="J40" s="157">
        <f t="shared" si="0"/>
        <v>2.6249434502306404</v>
      </c>
      <c r="K40" s="157">
        <f t="shared" si="1"/>
        <v>2.2227174761474893</v>
      </c>
      <c r="L40" s="157">
        <f t="shared" si="2"/>
        <v>1.462625501080022</v>
      </c>
    </row>
    <row r="41" spans="8:12" x14ac:dyDescent="0.2">
      <c r="H41" s="157">
        <v>36</v>
      </c>
      <c r="I41" s="157">
        <f t="shared" si="3"/>
        <v>20.398873437157054</v>
      </c>
      <c r="J41" s="157">
        <f t="shared" si="0"/>
        <v>12.677442319235251</v>
      </c>
      <c r="K41" s="157">
        <f t="shared" si="1"/>
        <v>0.7520480250907331</v>
      </c>
      <c r="L41" s="157">
        <f t="shared" si="2"/>
        <v>1.4775292652970311</v>
      </c>
    </row>
    <row r="42" spans="8:12" x14ac:dyDescent="0.2">
      <c r="H42" s="157">
        <v>37</v>
      </c>
      <c r="I42" s="157">
        <f t="shared" si="3"/>
        <v>20.806850905900195</v>
      </c>
      <c r="J42" s="157">
        <f t="shared" si="0"/>
        <v>2.9309911656199521</v>
      </c>
      <c r="K42" s="157">
        <f t="shared" si="1"/>
        <v>1.2326589568086279</v>
      </c>
      <c r="L42" s="157">
        <f t="shared" si="2"/>
        <v>1.4825285802087607</v>
      </c>
    </row>
    <row r="43" spans="8:12" x14ac:dyDescent="0.2">
      <c r="H43" s="157">
        <v>38</v>
      </c>
      <c r="I43" s="157">
        <f t="shared" si="3"/>
        <v>21.222987924018199</v>
      </c>
      <c r="J43" s="157">
        <f t="shared" si="0"/>
        <v>2.9896109889323554</v>
      </c>
      <c r="K43" s="157">
        <f t="shared" si="1"/>
        <v>1.7038461447673472</v>
      </c>
      <c r="L43" s="157">
        <f t="shared" si="2"/>
        <v>1.4778176507035492</v>
      </c>
    </row>
    <row r="44" spans="8:12" x14ac:dyDescent="0.2">
      <c r="H44" s="157">
        <v>39</v>
      </c>
      <c r="I44" s="157">
        <f t="shared" si="3"/>
        <v>21.647447682498562</v>
      </c>
      <c r="J44" s="157">
        <f t="shared" si="0"/>
        <v>3.0494032087110039</v>
      </c>
      <c r="K44" s="157">
        <f t="shared" si="1"/>
        <v>2.1657943682562868</v>
      </c>
      <c r="L44" s="157">
        <f t="shared" si="2"/>
        <v>1.4635868737307487</v>
      </c>
    </row>
    <row r="45" spans="8:12" x14ac:dyDescent="0.2">
      <c r="H45" s="157">
        <v>40</v>
      </c>
      <c r="I45" s="157">
        <f t="shared" si="3"/>
        <v>22.080396636148535</v>
      </c>
      <c r="J45" s="157">
        <f t="shared" si="0"/>
        <v>13.110391272885224</v>
      </c>
      <c r="K45" s="157">
        <f t="shared" si="1"/>
        <v>0.80712312270057929</v>
      </c>
      <c r="L45" s="157">
        <f t="shared" si="2"/>
        <v>1.4773556481332104</v>
      </c>
    </row>
    <row r="46" spans="8:12" x14ac:dyDescent="0.2">
      <c r="H46" s="157">
        <v>41</v>
      </c>
      <c r="I46" s="157">
        <f t="shared" si="3"/>
        <v>22.522004568871505</v>
      </c>
      <c r="J46" s="157">
        <f t="shared" si="0"/>
        <v>3.3725990983429224</v>
      </c>
      <c r="K46" s="157">
        <f t="shared" si="1"/>
        <v>1.2511333336664974</v>
      </c>
      <c r="L46" s="157">
        <f t="shared" si="2"/>
        <v>1.4819742423476776</v>
      </c>
    </row>
    <row r="47" spans="8:12" x14ac:dyDescent="0.2">
      <c r="H47" s="157">
        <v>42</v>
      </c>
      <c r="I47" s="157">
        <f t="shared" si="3"/>
        <v>22.972444660248936</v>
      </c>
      <c r="J47" s="157">
        <f t="shared" si="0"/>
        <v>3.4400510803097859</v>
      </c>
      <c r="K47" s="157">
        <f t="shared" si="1"/>
        <v>1.6864374620644558</v>
      </c>
      <c r="L47" s="157">
        <f t="shared" si="2"/>
        <v>1.4776220716719548</v>
      </c>
    </row>
    <row r="48" spans="8:12" x14ac:dyDescent="0.2">
      <c r="H48" s="157">
        <v>43</v>
      </c>
      <c r="I48" s="157">
        <f t="shared" si="3"/>
        <v>23.431893553453914</v>
      </c>
      <c r="J48" s="157">
        <f t="shared" si="0"/>
        <v>3.5088521019159824</v>
      </c>
      <c r="K48" s="157">
        <f t="shared" si="1"/>
        <v>2.1132062153957873</v>
      </c>
      <c r="L48" s="157">
        <f t="shared" si="2"/>
        <v>1.4644750334568299</v>
      </c>
    </row>
    <row r="49" spans="8:12" x14ac:dyDescent="0.2">
      <c r="H49" s="157">
        <v>44</v>
      </c>
      <c r="I49" s="157">
        <f t="shared" si="3"/>
        <v>23.900531424522992</v>
      </c>
      <c r="J49" s="157">
        <f t="shared" si="0"/>
        <v>13.579029143954301</v>
      </c>
      <c r="K49" s="157">
        <f t="shared" si="1"/>
        <v>0.85800399971539942</v>
      </c>
      <c r="L49" s="157">
        <f t="shared" si="2"/>
        <v>1.477195252710535</v>
      </c>
    </row>
    <row r="50" spans="8:12" x14ac:dyDescent="0.2">
      <c r="H50" s="157">
        <v>45</v>
      </c>
      <c r="I50" s="157">
        <f t="shared" si="3"/>
        <v>24.378542053013451</v>
      </c>
      <c r="J50" s="157">
        <f t="shared" si="0"/>
        <v>3.8506097268333814</v>
      </c>
      <c r="K50" s="157">
        <f t="shared" si="1"/>
        <v>1.2682008022253306</v>
      </c>
      <c r="L50" s="157">
        <f t="shared" si="2"/>
        <v>1.4814621198502433</v>
      </c>
    </row>
    <row r="51" spans="8:12" x14ac:dyDescent="0.2">
      <c r="H51" s="157">
        <v>46</v>
      </c>
      <c r="I51" s="157">
        <f t="shared" si="3"/>
        <v>24.866112894073719</v>
      </c>
      <c r="J51" s="157">
        <f t="shared" si="0"/>
        <v>3.9276219213700543</v>
      </c>
      <c r="K51" s="157">
        <f t="shared" si="1"/>
        <v>1.670354530176243</v>
      </c>
      <c r="L51" s="157">
        <f t="shared" si="2"/>
        <v>1.4774413868781902</v>
      </c>
    </row>
    <row r="52" spans="8:12" x14ac:dyDescent="0.2">
      <c r="H52" s="157">
        <v>47</v>
      </c>
      <c r="I52" s="157">
        <f t="shared" si="3"/>
        <v>25.363435151955194</v>
      </c>
      <c r="J52" s="157">
        <f t="shared" si="0"/>
        <v>4.0061743597974573</v>
      </c>
      <c r="K52" s="157">
        <f t="shared" si="1"/>
        <v>2.0646228909124313</v>
      </c>
      <c r="L52" s="157">
        <f t="shared" si="2"/>
        <v>1.465295555757351</v>
      </c>
    </row>
    <row r="53" spans="8:12" x14ac:dyDescent="0.2">
      <c r="H53" s="157">
        <v>48</v>
      </c>
      <c r="I53" s="157">
        <f t="shared" si="3"/>
        <v>25.8707038549943</v>
      </c>
      <c r="J53" s="157">
        <f t="shared" si="0"/>
        <v>14.086297846993407</v>
      </c>
      <c r="K53" s="157">
        <f t="shared" si="1"/>
        <v>0.90501006521775862</v>
      </c>
      <c r="L53" s="157">
        <f t="shared" si="2"/>
        <v>1.4770470721329412</v>
      </c>
    </row>
    <row r="54" spans="8:12" x14ac:dyDescent="0.2">
      <c r="H54" s="157">
        <v>49</v>
      </c>
      <c r="I54" s="157">
        <f t="shared" si="3"/>
        <v>26.388117932094186</v>
      </c>
      <c r="J54" s="157">
        <f t="shared" si="0"/>
        <v>4.3680238039332675</v>
      </c>
      <c r="K54" s="157">
        <f t="shared" si="1"/>
        <v>1.28396850498726</v>
      </c>
      <c r="L54" s="157">
        <f t="shared" si="2"/>
        <v>1.4809889978234232</v>
      </c>
    </row>
    <row r="55" spans="8:12" x14ac:dyDescent="0.2">
      <c r="H55" s="157">
        <v>50</v>
      </c>
      <c r="I55" s="157">
        <f t="shared" si="3"/>
        <v>26.915880290736069</v>
      </c>
      <c r="J55" s="157">
        <f t="shared" si="0"/>
        <v>4.4553842800119376</v>
      </c>
      <c r="K55" s="157">
        <f t="shared" si="1"/>
        <v>1.6554963871142216</v>
      </c>
      <c r="L55" s="157">
        <f t="shared" si="2"/>
        <v>1.4772744620579179</v>
      </c>
    </row>
    <row r="56" spans="8:12" x14ac:dyDescent="0.2">
      <c r="H56" s="157">
        <v>51</v>
      </c>
      <c r="I56" s="157">
        <f t="shared" si="3"/>
        <v>27.454197896550792</v>
      </c>
      <c r="J56" s="157">
        <f t="shared" si="0"/>
        <v>4.5444919656121794</v>
      </c>
      <c r="K56" s="157">
        <f t="shared" si="1"/>
        <v>2.0197394088073213</v>
      </c>
      <c r="L56" s="157">
        <f t="shared" si="2"/>
        <v>1.4660535915316406</v>
      </c>
    </row>
    <row r="57" spans="8:12" x14ac:dyDescent="0.2">
      <c r="H57" s="157">
        <v>52</v>
      </c>
      <c r="I57" s="157">
        <f t="shared" si="3"/>
        <v>28.003281854481809</v>
      </c>
      <c r="J57" s="157">
        <f t="shared" si="0"/>
        <v>14.635381804924425</v>
      </c>
      <c r="K57" s="157">
        <f t="shared" si="1"/>
        <v>0.94843640382761585</v>
      </c>
      <c r="L57" s="157">
        <f t="shared" si="2"/>
        <v>1.4769101761841048</v>
      </c>
    </row>
    <row r="58" spans="8:12" x14ac:dyDescent="0.2">
      <c r="H58" s="157">
        <v>53</v>
      </c>
      <c r="I58" s="157">
        <f t="shared" si="3"/>
        <v>28.563347491571445</v>
      </c>
      <c r="J58" s="157">
        <f t="shared" si="0"/>
        <v>4.9280894410229035</v>
      </c>
      <c r="K58" s="157">
        <f t="shared" si="1"/>
        <v>1.2985354250628141</v>
      </c>
      <c r="L58" s="157">
        <f t="shared" si="2"/>
        <v>1.4805519062029933</v>
      </c>
    </row>
    <row r="59" spans="8:12" x14ac:dyDescent="0.2">
      <c r="H59" s="157">
        <v>54</v>
      </c>
      <c r="I59" s="157">
        <f t="shared" si="3"/>
        <v>29.134614441402874</v>
      </c>
      <c r="J59" s="157">
        <f t="shared" si="0"/>
        <v>5.0266512298433668</v>
      </c>
      <c r="K59" s="157">
        <f t="shared" si="1"/>
        <v>1.6417697596071257</v>
      </c>
      <c r="L59" s="157">
        <f t="shared" si="2"/>
        <v>1.4771202493262192</v>
      </c>
    </row>
    <row r="60" spans="8:12" x14ac:dyDescent="0.2">
      <c r="H60" s="157">
        <v>55</v>
      </c>
      <c r="I60" s="157">
        <f t="shared" si="3"/>
        <v>29.717306730230931</v>
      </c>
      <c r="J60" s="157">
        <f t="shared" si="0"/>
        <v>5.1271842544402357</v>
      </c>
      <c r="K60" s="157">
        <f t="shared" si="1"/>
        <v>1.9782740091603721</v>
      </c>
      <c r="L60" s="157">
        <f t="shared" si="2"/>
        <v>1.466753899414482</v>
      </c>
    </row>
    <row r="61" spans="8:12" x14ac:dyDescent="0.2">
      <c r="H61" s="157">
        <v>56</v>
      </c>
      <c r="I61" s="157">
        <f t="shared" si="3"/>
        <v>30.311652864835551</v>
      </c>
      <c r="J61" s="157">
        <f t="shared" si="0"/>
        <v>15.229727939529045</v>
      </c>
      <c r="K61" s="157">
        <f t="shared" si="1"/>
        <v>0.98855562812141118</v>
      </c>
      <c r="L61" s="157">
        <f t="shared" si="2"/>
        <v>1.4767837054879309</v>
      </c>
    </row>
    <row r="62" spans="8:12" x14ac:dyDescent="0.2">
      <c r="H62" s="157">
        <v>57</v>
      </c>
      <c r="I62" s="157">
        <f t="shared" si="3"/>
        <v>30.917885922132264</v>
      </c>
      <c r="J62" s="157">
        <f t="shared" si="0"/>
        <v>5.5343224983196162</v>
      </c>
      <c r="K62" s="157">
        <f t="shared" si="1"/>
        <v>1.3119930075459085</v>
      </c>
      <c r="L62" s="157">
        <f t="shared" si="2"/>
        <v>1.4801481011087043</v>
      </c>
    </row>
    <row r="63" spans="8:12" x14ac:dyDescent="0.2">
      <c r="H63" s="157">
        <v>58</v>
      </c>
      <c r="I63" s="157">
        <f t="shared" si="3"/>
        <v>31.536243640574909</v>
      </c>
      <c r="J63" s="157">
        <f t="shared" si="0"/>
        <v>5.6450089482860122</v>
      </c>
      <c r="K63" s="157">
        <f t="shared" si="1"/>
        <v>1.6290884775699253</v>
      </c>
      <c r="L63" s="157">
        <f t="shared" si="2"/>
        <v>1.4769777805994042</v>
      </c>
    </row>
    <row r="64" spans="8:12" x14ac:dyDescent="0.2">
      <c r="H64" s="157">
        <v>59</v>
      </c>
      <c r="I64" s="157">
        <f t="shared" si="3"/>
        <v>32.166968513386408</v>
      </c>
      <c r="J64" s="157">
        <f t="shared" si="0"/>
        <v>5.7579091272517342</v>
      </c>
      <c r="K64" s="157">
        <f t="shared" si="1"/>
        <v>1.9399663893581764</v>
      </c>
      <c r="L64" s="157">
        <f t="shared" si="2"/>
        <v>1.4674008756488552</v>
      </c>
    </row>
    <row r="65" spans="8:12" x14ac:dyDescent="0.2">
      <c r="H65" s="157">
        <v>60</v>
      </c>
      <c r="I65" s="157">
        <f t="shared" si="3"/>
        <v>32.81030788365414</v>
      </c>
      <c r="J65" s="157">
        <f t="shared" si="0"/>
        <v>15.873067309796777</v>
      </c>
      <c r="K65" s="157">
        <f t="shared" si="1"/>
        <v>1.0256195899809657</v>
      </c>
      <c r="L65" s="157">
        <f t="shared" si="2"/>
        <v>1.4766668661137441</v>
      </c>
    </row>
    <row r="66" spans="8:12" x14ac:dyDescent="0.2">
      <c r="H66" s="157">
        <v>61</v>
      </c>
      <c r="I66" s="157">
        <f t="shared" si="3"/>
        <v>33.466514041327223</v>
      </c>
      <c r="J66" s="157">
        <f t="shared" si="0"/>
        <v>6.1905286559926989</v>
      </c>
      <c r="K66" s="157">
        <f t="shared" si="1"/>
        <v>1.3244257335682899</v>
      </c>
      <c r="L66" s="157">
        <f t="shared" si="2"/>
        <v>1.4797750476193392</v>
      </c>
    </row>
    <row r="67" spans="8:12" x14ac:dyDescent="0.2">
      <c r="H67" s="157">
        <v>62</v>
      </c>
      <c r="I67" s="157">
        <f t="shared" si="3"/>
        <v>34.135844322153766</v>
      </c>
      <c r="J67" s="157">
        <f t="shared" si="0"/>
        <v>6.3143392291125551</v>
      </c>
      <c r="K67" s="157">
        <f t="shared" si="1"/>
        <v>1.6173729331637055</v>
      </c>
      <c r="L67" s="157">
        <f t="shared" si="2"/>
        <v>1.4768461615177846</v>
      </c>
    </row>
    <row r="68" spans="8:12" x14ac:dyDescent="0.2">
      <c r="H68" s="157">
        <v>63</v>
      </c>
      <c r="I68" s="157">
        <f t="shared" si="3"/>
        <v>34.81856120859684</v>
      </c>
      <c r="J68" s="157">
        <f t="shared" si="0"/>
        <v>6.4406260136948088</v>
      </c>
      <c r="K68" s="157">
        <f t="shared" si="1"/>
        <v>1.9045760700219554</v>
      </c>
      <c r="L68" s="157">
        <f t="shared" si="2"/>
        <v>1.4679985816837291</v>
      </c>
    </row>
    <row r="69" spans="8:12" x14ac:dyDescent="0.2">
      <c r="H69" s="157">
        <v>64</v>
      </c>
      <c r="I69" s="157">
        <f t="shared" si="3"/>
        <v>35.514932432768781</v>
      </c>
      <c r="J69" s="157">
        <f t="shared" si="0"/>
        <v>16.569438533968718</v>
      </c>
      <c r="K69" s="157">
        <f t="shared" si="1"/>
        <v>1.0598609616153363</v>
      </c>
      <c r="L69" s="157">
        <f t="shared" si="2"/>
        <v>1.4765589245923219</v>
      </c>
    </row>
    <row r="70" spans="8:12" x14ac:dyDescent="0.2">
      <c r="H70" s="157">
        <v>65</v>
      </c>
      <c r="I70" s="157">
        <f t="shared" si="3"/>
        <v>36.225231081424155</v>
      </c>
      <c r="J70" s="157">
        <f t="shared" ref="J70:J133" si="4">I70-I69+J66</f>
        <v>6.9008273046480735</v>
      </c>
      <c r="K70" s="157">
        <f t="shared" ref="K70:K133" si="5">(J69+J68*2+J67*3)/SUM(J67:J70)</f>
        <v>1.3359116506371076</v>
      </c>
      <c r="L70" s="157">
        <f t="shared" ref="L70:L133" si="6">AVERAGE(K67:K70)</f>
        <v>1.4794304038595261</v>
      </c>
    </row>
    <row r="71" spans="8:12" x14ac:dyDescent="0.2">
      <c r="H71" s="157">
        <v>66</v>
      </c>
      <c r="I71" s="157">
        <f t="shared" ref="I71:I134" si="7">I70*1.02</f>
        <v>36.949735703052639</v>
      </c>
      <c r="J71" s="157">
        <f t="shared" si="4"/>
        <v>7.0388438507410385</v>
      </c>
      <c r="K71" s="157">
        <f t="shared" si="5"/>
        <v>1.6065495810506087</v>
      </c>
      <c r="L71" s="157">
        <f t="shared" si="6"/>
        <v>1.476724565831252</v>
      </c>
    </row>
    <row r="72" spans="8:12" x14ac:dyDescent="0.2">
      <c r="H72" s="157">
        <v>67</v>
      </c>
      <c r="I72" s="157">
        <f t="shared" si="7"/>
        <v>37.688730417113689</v>
      </c>
      <c r="J72" s="157">
        <f t="shared" si="4"/>
        <v>7.179620727755859</v>
      </c>
      <c r="K72" s="157">
        <f t="shared" si="5"/>
        <v>1.8718808853775701</v>
      </c>
      <c r="L72" s="157">
        <f t="shared" si="6"/>
        <v>1.4685507696701559</v>
      </c>
    </row>
    <row r="73" spans="8:12" x14ac:dyDescent="0.2">
      <c r="H73" s="157">
        <v>68</v>
      </c>
      <c r="I73" s="157">
        <f t="shared" si="7"/>
        <v>38.442505025455965</v>
      </c>
      <c r="J73" s="157">
        <f t="shared" si="4"/>
        <v>17.323213142310994</v>
      </c>
      <c r="K73" s="157">
        <f t="shared" si="5"/>
        <v>1.0914946961806236</v>
      </c>
      <c r="L73" s="157">
        <f t="shared" si="6"/>
        <v>1.4764592033114774</v>
      </c>
    </row>
    <row r="74" spans="8:12" x14ac:dyDescent="0.2">
      <c r="H74" s="157">
        <v>69</v>
      </c>
      <c r="I74" s="157">
        <f t="shared" si="7"/>
        <v>39.211355125965085</v>
      </c>
      <c r="J74" s="157">
        <f t="shared" si="4"/>
        <v>7.6696774051571932</v>
      </c>
      <c r="K74" s="157">
        <f t="shared" si="5"/>
        <v>1.3465228625848549</v>
      </c>
      <c r="L74" s="157">
        <f t="shared" si="6"/>
        <v>1.4791120062984144</v>
      </c>
    </row>
    <row r="75" spans="8:12" x14ac:dyDescent="0.2">
      <c r="H75" s="157">
        <v>70</v>
      </c>
      <c r="I75" s="157">
        <f t="shared" si="7"/>
        <v>39.995582228484388</v>
      </c>
      <c r="J75" s="157">
        <f t="shared" si="4"/>
        <v>7.8230709532603413</v>
      </c>
      <c r="K75" s="157">
        <f t="shared" si="5"/>
        <v>1.5965504767066498</v>
      </c>
      <c r="L75" s="157">
        <f t="shared" si="6"/>
        <v>1.4766122302124245</v>
      </c>
    </row>
    <row r="76" spans="8:12" x14ac:dyDescent="0.2">
      <c r="H76" s="157">
        <v>71</v>
      </c>
      <c r="I76" s="157">
        <f t="shared" si="7"/>
        <v>40.795493873054077</v>
      </c>
      <c r="J76" s="157">
        <f t="shared" si="4"/>
        <v>7.9795323723255489</v>
      </c>
      <c r="K76" s="157">
        <f t="shared" si="5"/>
        <v>1.8416755885907625</v>
      </c>
      <c r="L76" s="157">
        <f t="shared" si="6"/>
        <v>1.4690609060157227</v>
      </c>
    </row>
    <row r="77" spans="8:12" x14ac:dyDescent="0.2">
      <c r="H77" s="157">
        <v>72</v>
      </c>
      <c r="I77" s="157">
        <f t="shared" si="7"/>
        <v>41.611403750515159</v>
      </c>
      <c r="J77" s="157">
        <f t="shared" si="4"/>
        <v>18.139123019772075</v>
      </c>
      <c r="K77" s="157">
        <f t="shared" si="5"/>
        <v>1.1207193771669013</v>
      </c>
      <c r="L77" s="157">
        <f t="shared" si="6"/>
        <v>1.4763670762622922</v>
      </c>
    </row>
    <row r="78" spans="8:12" x14ac:dyDescent="0.2">
      <c r="H78" s="157">
        <v>73</v>
      </c>
      <c r="I78" s="157">
        <f t="shared" si="7"/>
        <v>42.443631825525465</v>
      </c>
      <c r="J78" s="157">
        <f t="shared" si="4"/>
        <v>8.5019054801674994</v>
      </c>
      <c r="K78" s="157">
        <f t="shared" si="5"/>
        <v>1.356325982207379</v>
      </c>
      <c r="L78" s="157">
        <f t="shared" si="6"/>
        <v>1.4788178561679231</v>
      </c>
    </row>
    <row r="79" spans="8:12" x14ac:dyDescent="0.2">
      <c r="H79" s="157">
        <v>74</v>
      </c>
      <c r="I79" s="157">
        <f t="shared" si="7"/>
        <v>43.292504462035971</v>
      </c>
      <c r="J79" s="157">
        <f t="shared" si="4"/>
        <v>8.6719435897708479</v>
      </c>
      <c r="K79" s="157">
        <f t="shared" si="5"/>
        <v>1.5873128498941218</v>
      </c>
      <c r="L79" s="157">
        <f t="shared" si="6"/>
        <v>1.4765084494647911</v>
      </c>
    </row>
    <row r="80" spans="8:12" x14ac:dyDescent="0.2">
      <c r="H80" s="157">
        <v>75</v>
      </c>
      <c r="I80" s="157">
        <f t="shared" si="7"/>
        <v>44.158354551276695</v>
      </c>
      <c r="J80" s="157">
        <f t="shared" si="4"/>
        <v>8.8453824615662722</v>
      </c>
      <c r="K80" s="157">
        <f t="shared" si="5"/>
        <v>1.8137705633124965</v>
      </c>
      <c r="L80" s="157">
        <f t="shared" si="6"/>
        <v>1.4695321931452248</v>
      </c>
    </row>
    <row r="81" spans="8:12" x14ac:dyDescent="0.2">
      <c r="H81" s="157">
        <v>76</v>
      </c>
      <c r="I81" s="157">
        <f t="shared" si="7"/>
        <v>45.041521642302229</v>
      </c>
      <c r="J81" s="157">
        <f t="shared" si="4"/>
        <v>19.022290110797609</v>
      </c>
      <c r="K81" s="157">
        <f t="shared" si="5"/>
        <v>1.147718465023158</v>
      </c>
      <c r="L81" s="157">
        <f t="shared" si="6"/>
        <v>1.4762819651092889</v>
      </c>
    </row>
    <row r="82" spans="8:12" x14ac:dyDescent="0.2">
      <c r="H82" s="157">
        <v>77</v>
      </c>
      <c r="I82" s="157">
        <f t="shared" si="7"/>
        <v>45.942352075148271</v>
      </c>
      <c r="J82" s="157">
        <f t="shared" si="4"/>
        <v>9.4027359130135419</v>
      </c>
      <c r="K82" s="157">
        <f t="shared" si="5"/>
        <v>1.3653825494314384</v>
      </c>
      <c r="L82" s="157">
        <f t="shared" si="6"/>
        <v>1.4785461069153036</v>
      </c>
    </row>
    <row r="83" spans="8:12" x14ac:dyDescent="0.2">
      <c r="H83" s="157">
        <v>78</v>
      </c>
      <c r="I83" s="157">
        <f t="shared" si="7"/>
        <v>46.861199116651235</v>
      </c>
      <c r="J83" s="157">
        <f t="shared" si="4"/>
        <v>9.590790631273812</v>
      </c>
      <c r="K83" s="157">
        <f t="shared" si="5"/>
        <v>1.5787787106160278</v>
      </c>
      <c r="L83" s="157">
        <f t="shared" si="6"/>
        <v>1.4764125720957804</v>
      </c>
    </row>
    <row r="84" spans="8:12" x14ac:dyDescent="0.2">
      <c r="H84" s="157">
        <v>79</v>
      </c>
      <c r="I84" s="157">
        <f t="shared" si="7"/>
        <v>47.798423098984259</v>
      </c>
      <c r="J84" s="157">
        <f t="shared" si="4"/>
        <v>9.7826064438992955</v>
      </c>
      <c r="K84" s="157">
        <f t="shared" si="5"/>
        <v>1.7879906333460163</v>
      </c>
      <c r="L84" s="157">
        <f t="shared" si="6"/>
        <v>1.4699675896041602</v>
      </c>
    </row>
    <row r="85" spans="8:12" x14ac:dyDescent="0.2">
      <c r="H85" s="157">
        <v>80</v>
      </c>
      <c r="I85" s="157">
        <f t="shared" si="7"/>
        <v>48.754391560963946</v>
      </c>
      <c r="J85" s="157">
        <f t="shared" si="4"/>
        <v>19.978258572777296</v>
      </c>
      <c r="K85" s="157">
        <f t="shared" si="5"/>
        <v>1.1726614488460485</v>
      </c>
      <c r="L85" s="157">
        <f t="shared" si="6"/>
        <v>1.4762033355598829</v>
      </c>
    </row>
    <row r="86" spans="8:12" x14ac:dyDescent="0.2">
      <c r="H86" s="157">
        <v>81</v>
      </c>
      <c r="I86" s="157">
        <f t="shared" si="7"/>
        <v>49.729479392183222</v>
      </c>
      <c r="J86" s="157">
        <f t="shared" si="4"/>
        <v>10.377823744232819</v>
      </c>
      <c r="K86" s="157">
        <f t="shared" si="5"/>
        <v>1.3737494176368876</v>
      </c>
      <c r="L86" s="157">
        <f t="shared" si="6"/>
        <v>1.4782950526112451</v>
      </c>
    </row>
    <row r="87" spans="8:12" x14ac:dyDescent="0.2">
      <c r="H87" s="157">
        <v>82</v>
      </c>
      <c r="I87" s="157">
        <f t="shared" si="7"/>
        <v>50.724068980026885</v>
      </c>
      <c r="J87" s="157">
        <f t="shared" si="4"/>
        <v>10.585380219117475</v>
      </c>
      <c r="K87" s="157">
        <f t="shared" si="5"/>
        <v>1.5708944850788875</v>
      </c>
      <c r="L87" s="157">
        <f t="shared" si="6"/>
        <v>1.4763239962269599</v>
      </c>
    </row>
    <row r="88" spans="8:12" x14ac:dyDescent="0.2">
      <c r="H88" s="157">
        <v>83</v>
      </c>
      <c r="I88" s="157">
        <f t="shared" si="7"/>
        <v>51.738550359627425</v>
      </c>
      <c r="J88" s="157">
        <f t="shared" si="4"/>
        <v>10.797087823499835</v>
      </c>
      <c r="K88" s="157">
        <f t="shared" si="5"/>
        <v>1.7641739629631998</v>
      </c>
      <c r="L88" s="157">
        <f t="shared" si="6"/>
        <v>1.4703698286312559</v>
      </c>
    </row>
    <row r="89" spans="8:12" x14ac:dyDescent="0.2">
      <c r="H89" s="157">
        <v>84</v>
      </c>
      <c r="I89" s="157">
        <f t="shared" si="7"/>
        <v>52.773321366819971</v>
      </c>
      <c r="J89" s="157">
        <f t="shared" si="4"/>
        <v>21.013029579969842</v>
      </c>
      <c r="K89" s="157">
        <f t="shared" si="5"/>
        <v>1.1957049103622794</v>
      </c>
      <c r="L89" s="157">
        <f t="shared" si="6"/>
        <v>1.4761306940103136</v>
      </c>
    </row>
    <row r="90" spans="8:12" x14ac:dyDescent="0.2">
      <c r="H90" s="157">
        <v>85</v>
      </c>
      <c r="I90" s="157">
        <f t="shared" si="7"/>
        <v>53.828787794156369</v>
      </c>
      <c r="J90" s="157">
        <f t="shared" si="4"/>
        <v>11.433290171569217</v>
      </c>
      <c r="K90" s="157">
        <f t="shared" si="5"/>
        <v>1.3814791105586588</v>
      </c>
      <c r="L90" s="157">
        <f t="shared" si="6"/>
        <v>1.4780631172407566</v>
      </c>
    </row>
    <row r="91" spans="8:12" x14ac:dyDescent="0.2">
      <c r="H91" s="157">
        <v>86</v>
      </c>
      <c r="I91" s="157">
        <f t="shared" si="7"/>
        <v>54.905363550039496</v>
      </c>
      <c r="J91" s="157">
        <f t="shared" si="4"/>
        <v>11.661955975000602</v>
      </c>
      <c r="K91" s="157">
        <f t="shared" si="5"/>
        <v>1.5636106793786388</v>
      </c>
      <c r="L91" s="157">
        <f t="shared" si="6"/>
        <v>1.4762421658156941</v>
      </c>
    </row>
    <row r="92" spans="8:12" x14ac:dyDescent="0.2">
      <c r="H92" s="157">
        <v>87</v>
      </c>
      <c r="I92" s="157">
        <f t="shared" si="7"/>
        <v>56.003470821040288</v>
      </c>
      <c r="J92" s="157">
        <f t="shared" si="4"/>
        <v>11.895195094500627</v>
      </c>
      <c r="K92" s="157">
        <f t="shared" si="5"/>
        <v>1.7421710409668534</v>
      </c>
      <c r="L92" s="157">
        <f t="shared" si="6"/>
        <v>1.4707414353166075</v>
      </c>
    </row>
    <row r="93" spans="8:12" x14ac:dyDescent="0.2">
      <c r="H93" s="157">
        <v>88</v>
      </c>
      <c r="I93" s="157">
        <f t="shared" si="7"/>
        <v>57.123540237461093</v>
      </c>
      <c r="J93" s="157">
        <f t="shared" si="4"/>
        <v>22.133098996390647</v>
      </c>
      <c r="K93" s="157">
        <f t="shared" si="5"/>
        <v>1.2169935068838671</v>
      </c>
      <c r="L93" s="157">
        <f t="shared" si="6"/>
        <v>1.4760635844470045</v>
      </c>
    </row>
    <row r="94" spans="8:12" x14ac:dyDescent="0.2">
      <c r="H94" s="157">
        <v>89</v>
      </c>
      <c r="I94" s="157">
        <f t="shared" si="7"/>
        <v>58.266011042210316</v>
      </c>
      <c r="J94" s="157">
        <f t="shared" si="4"/>
        <v>12.57576097631844</v>
      </c>
      <c r="K94" s="157">
        <f t="shared" si="5"/>
        <v>1.3886201520090264</v>
      </c>
      <c r="L94" s="157">
        <f t="shared" si="6"/>
        <v>1.4778488448095963</v>
      </c>
    </row>
    <row r="95" spans="8:12" x14ac:dyDescent="0.2">
      <c r="H95" s="157">
        <v>90</v>
      </c>
      <c r="I95" s="157">
        <f t="shared" si="7"/>
        <v>59.431331263054524</v>
      </c>
      <c r="J95" s="157">
        <f t="shared" si="4"/>
        <v>12.82727619584481</v>
      </c>
      <c r="K95" s="157">
        <f t="shared" si="5"/>
        <v>1.5568815687983981</v>
      </c>
      <c r="L95" s="157">
        <f t="shared" si="6"/>
        <v>1.4761665671645363</v>
      </c>
    </row>
    <row r="96" spans="8:12" x14ac:dyDescent="0.2">
      <c r="H96" s="157">
        <v>91</v>
      </c>
      <c r="I96" s="157">
        <f t="shared" si="7"/>
        <v>60.619957888315618</v>
      </c>
      <c r="J96" s="157">
        <f t="shared" si="4"/>
        <v>13.083821719761721</v>
      </c>
      <c r="K96" s="157">
        <f t="shared" si="5"/>
        <v>1.7218437421213106</v>
      </c>
      <c r="L96" s="157">
        <f t="shared" si="6"/>
        <v>1.4710847424531506</v>
      </c>
    </row>
    <row r="97" spans="8:12" x14ac:dyDescent="0.2">
      <c r="H97" s="157">
        <v>92</v>
      </c>
      <c r="I97" s="157">
        <f t="shared" si="7"/>
        <v>61.832357046081931</v>
      </c>
      <c r="J97" s="157">
        <f t="shared" si="4"/>
        <v>23.34549815415696</v>
      </c>
      <c r="K97" s="157">
        <f t="shared" si="5"/>
        <v>1.2366608794068601</v>
      </c>
      <c r="L97" s="157">
        <f t="shared" si="6"/>
        <v>1.4760015855838988</v>
      </c>
    </row>
    <row r="98" spans="8:12" x14ac:dyDescent="0.2">
      <c r="H98" s="157">
        <v>93</v>
      </c>
      <c r="I98" s="157">
        <f t="shared" si="7"/>
        <v>63.069004187003571</v>
      </c>
      <c r="J98" s="157">
        <f t="shared" si="4"/>
        <v>13.81240811724008</v>
      </c>
      <c r="K98" s="157">
        <f t="shared" si="5"/>
        <v>1.3952173704900144</v>
      </c>
      <c r="L98" s="157">
        <f t="shared" si="6"/>
        <v>1.4776508902041459</v>
      </c>
    </row>
    <row r="99" spans="8:12" x14ac:dyDescent="0.2">
      <c r="H99" s="157">
        <v>94</v>
      </c>
      <c r="I99" s="157">
        <f t="shared" si="7"/>
        <v>64.33038427074365</v>
      </c>
      <c r="J99" s="157">
        <f t="shared" si="4"/>
        <v>14.088656279584889</v>
      </c>
      <c r="K99" s="157">
        <f t="shared" si="5"/>
        <v>1.550664910767616</v>
      </c>
      <c r="L99" s="157">
        <f t="shared" si="6"/>
        <v>1.4760967256964503</v>
      </c>
    </row>
    <row r="100" spans="8:12" x14ac:dyDescent="0.2">
      <c r="H100" s="157">
        <v>95</v>
      </c>
      <c r="I100" s="157">
        <f t="shared" si="7"/>
        <v>65.616991956158529</v>
      </c>
      <c r="J100" s="157">
        <f t="shared" si="4"/>
        <v>14.3704294051766</v>
      </c>
      <c r="K100" s="157">
        <f t="shared" si="5"/>
        <v>1.7030644600593818</v>
      </c>
      <c r="L100" s="157">
        <f t="shared" si="6"/>
        <v>1.4714019051809681</v>
      </c>
    </row>
    <row r="101" spans="8:12" x14ac:dyDescent="0.2">
      <c r="H101" s="157">
        <v>96</v>
      </c>
      <c r="I101" s="157">
        <f t="shared" si="7"/>
        <v>66.929331795281698</v>
      </c>
      <c r="J101" s="157">
        <f t="shared" si="4"/>
        <v>24.657837993280129</v>
      </c>
      <c r="K101" s="157">
        <f t="shared" si="5"/>
        <v>1.254830491554187</v>
      </c>
      <c r="L101" s="157">
        <f t="shared" si="6"/>
        <v>1.4759443082177999</v>
      </c>
    </row>
    <row r="102" spans="8:12" x14ac:dyDescent="0.2">
      <c r="H102" s="157">
        <v>97</v>
      </c>
      <c r="I102" s="157">
        <f t="shared" si="7"/>
        <v>68.26791843118734</v>
      </c>
      <c r="J102" s="157">
        <f t="shared" si="4"/>
        <v>15.150994753145723</v>
      </c>
      <c r="K102" s="157">
        <f t="shared" si="5"/>
        <v>1.4013121806081728</v>
      </c>
      <c r="L102" s="157">
        <f t="shared" si="6"/>
        <v>1.4774680107473395</v>
      </c>
    </row>
    <row r="103" spans="8:12" x14ac:dyDescent="0.2">
      <c r="H103" s="157">
        <v>98</v>
      </c>
      <c r="I103" s="157">
        <f t="shared" si="7"/>
        <v>69.633276799811085</v>
      </c>
      <c r="J103" s="157">
        <f t="shared" si="4"/>
        <v>15.454014648208634</v>
      </c>
      <c r="K103" s="157">
        <f t="shared" si="5"/>
        <v>1.5449216796807073</v>
      </c>
      <c r="L103" s="157">
        <f t="shared" si="6"/>
        <v>1.4760322029756123</v>
      </c>
    </row>
    <row r="104" spans="8:12" x14ac:dyDescent="0.2">
      <c r="H104" s="157">
        <v>99</v>
      </c>
      <c r="I104" s="157">
        <f t="shared" si="7"/>
        <v>71.025942335807315</v>
      </c>
      <c r="J104" s="157">
        <f t="shared" si="4"/>
        <v>15.763094941172829</v>
      </c>
      <c r="K104" s="157">
        <f t="shared" si="5"/>
        <v>1.6857153062224073</v>
      </c>
      <c r="L104" s="157">
        <f t="shared" si="6"/>
        <v>1.4716949145163687</v>
      </c>
    </row>
    <row r="105" spans="8:12" x14ac:dyDescent="0.2">
      <c r="H105" s="157">
        <v>100</v>
      </c>
      <c r="I105" s="157">
        <f t="shared" si="7"/>
        <v>72.446461182523464</v>
      </c>
      <c r="J105" s="157">
        <f t="shared" si="4"/>
        <v>26.078356839996278</v>
      </c>
      <c r="K105" s="157">
        <f t="shared" si="5"/>
        <v>1.2716164046291707</v>
      </c>
      <c r="L105" s="157">
        <f t="shared" si="6"/>
        <v>1.4758913927851145</v>
      </c>
    </row>
    <row r="106" spans="8:12" x14ac:dyDescent="0.2">
      <c r="H106" s="157">
        <v>101</v>
      </c>
      <c r="I106" s="157">
        <f t="shared" si="7"/>
        <v>73.895390406173931</v>
      </c>
      <c r="J106" s="157">
        <f t="shared" si="4"/>
        <v>16.599923976796191</v>
      </c>
      <c r="K106" s="157">
        <f t="shared" si="5"/>
        <v>1.4069428430583335</v>
      </c>
      <c r="L106" s="157">
        <f t="shared" si="6"/>
        <v>1.4772990583976546</v>
      </c>
    </row>
    <row r="107" spans="8:12" x14ac:dyDescent="0.2">
      <c r="H107" s="157">
        <v>102</v>
      </c>
      <c r="I107" s="157">
        <f t="shared" si="7"/>
        <v>75.373298214297407</v>
      </c>
      <c r="J107" s="157">
        <f t="shared" si="4"/>
        <v>16.93192245633211</v>
      </c>
      <c r="K107" s="157">
        <f t="shared" si="5"/>
        <v>1.5396158219104537</v>
      </c>
      <c r="L107" s="157">
        <f t="shared" si="6"/>
        <v>1.4759725939550914</v>
      </c>
    </row>
    <row r="108" spans="8:12" x14ac:dyDescent="0.2">
      <c r="H108" s="157">
        <v>103</v>
      </c>
      <c r="I108" s="157">
        <f t="shared" si="7"/>
        <v>76.880764178583362</v>
      </c>
      <c r="J108" s="157">
        <f t="shared" si="4"/>
        <v>17.270560905458787</v>
      </c>
      <c r="K108" s="157">
        <f t="shared" si="5"/>
        <v>1.6696873698046881</v>
      </c>
      <c r="L108" s="157">
        <f t="shared" si="6"/>
        <v>1.4719656098506615</v>
      </c>
    </row>
    <row r="109" spans="8:12" x14ac:dyDescent="0.2">
      <c r="H109" s="157">
        <v>104</v>
      </c>
      <c r="I109" s="157">
        <f t="shared" si="7"/>
        <v>78.418379462155031</v>
      </c>
      <c r="J109" s="157">
        <f t="shared" si="4"/>
        <v>27.615972123567946</v>
      </c>
      <c r="K109" s="157">
        <f t="shared" si="5"/>
        <v>1.2871239936451728</v>
      </c>
      <c r="L109" s="157">
        <f t="shared" si="6"/>
        <v>1.4758425071046619</v>
      </c>
    </row>
    <row r="110" spans="8:12" x14ac:dyDescent="0.2">
      <c r="H110" s="157">
        <v>105</v>
      </c>
      <c r="I110" s="157">
        <f t="shared" si="7"/>
        <v>79.986747051398126</v>
      </c>
      <c r="J110" s="157">
        <f t="shared" si="4"/>
        <v>18.168291566039287</v>
      </c>
      <c r="K110" s="157">
        <f t="shared" si="5"/>
        <v>1.4121447048084137</v>
      </c>
      <c r="L110" s="157">
        <f t="shared" si="6"/>
        <v>1.4771429725421821</v>
      </c>
    </row>
    <row r="111" spans="8:12" x14ac:dyDescent="0.2">
      <c r="H111" s="157">
        <v>106</v>
      </c>
      <c r="I111" s="157">
        <f t="shared" si="7"/>
        <v>81.586481992426087</v>
      </c>
      <c r="J111" s="157">
        <f t="shared" si="4"/>
        <v>18.531657397360071</v>
      </c>
      <c r="K111" s="157">
        <f t="shared" si="5"/>
        <v>1.5347140294782577</v>
      </c>
      <c r="L111" s="157">
        <f t="shared" si="6"/>
        <v>1.4759175244341329</v>
      </c>
    </row>
    <row r="112" spans="8:12" x14ac:dyDescent="0.2">
      <c r="H112" s="157">
        <v>107</v>
      </c>
      <c r="I112" s="157">
        <f t="shared" si="7"/>
        <v>83.218211632274617</v>
      </c>
      <c r="J112" s="157">
        <f t="shared" si="4"/>
        <v>18.902290545307316</v>
      </c>
      <c r="K112" s="157">
        <f t="shared" si="5"/>
        <v>1.6548800340565339</v>
      </c>
      <c r="L112" s="157">
        <f t="shared" si="6"/>
        <v>1.4722156904970944</v>
      </c>
    </row>
    <row r="113" spans="8:12" x14ac:dyDescent="0.2">
      <c r="H113" s="157">
        <v>108</v>
      </c>
      <c r="I113" s="157">
        <f t="shared" si="7"/>
        <v>84.882575864920113</v>
      </c>
      <c r="J113" s="157">
        <f t="shared" si="4"/>
        <v>29.280336356213443</v>
      </c>
      <c r="K113" s="157">
        <f t="shared" si="5"/>
        <v>1.3014506088263051</v>
      </c>
      <c r="L113" s="157">
        <f t="shared" si="6"/>
        <v>1.4757973442923775</v>
      </c>
    </row>
    <row r="114" spans="8:12" x14ac:dyDescent="0.2">
      <c r="H114" s="157">
        <v>109</v>
      </c>
      <c r="I114" s="157">
        <f t="shared" si="7"/>
        <v>86.580227382218524</v>
      </c>
      <c r="J114" s="157">
        <f t="shared" si="4"/>
        <v>19.865943083337697</v>
      </c>
      <c r="K114" s="157">
        <f t="shared" si="5"/>
        <v>1.4169504209930472</v>
      </c>
      <c r="L114" s="157">
        <f t="shared" si="6"/>
        <v>1.4769987733385361</v>
      </c>
    </row>
    <row r="115" spans="8:12" x14ac:dyDescent="0.2">
      <c r="H115" s="157">
        <v>110</v>
      </c>
      <c r="I115" s="157">
        <f t="shared" si="7"/>
        <v>88.31183192986289</v>
      </c>
      <c r="J115" s="157">
        <f t="shared" si="4"/>
        <v>20.263261945004437</v>
      </c>
      <c r="K115" s="157">
        <f t="shared" si="5"/>
        <v>1.5301855309604413</v>
      </c>
      <c r="L115" s="157">
        <f t="shared" si="6"/>
        <v>1.4758666487090819</v>
      </c>
    </row>
    <row r="116" spans="8:12" x14ac:dyDescent="0.2">
      <c r="H116" s="157">
        <v>111</v>
      </c>
      <c r="I116" s="157">
        <f t="shared" si="7"/>
        <v>90.078068568460154</v>
      </c>
      <c r="J116" s="157">
        <f t="shared" si="4"/>
        <v>20.66852718390458</v>
      </c>
      <c r="K116" s="157">
        <f t="shared" si="5"/>
        <v>1.6412003446539631</v>
      </c>
      <c r="L116" s="157">
        <f t="shared" si="6"/>
        <v>1.4724467263584393</v>
      </c>
    </row>
    <row r="117" spans="8:12" x14ac:dyDescent="0.2">
      <c r="H117" s="157">
        <v>112</v>
      </c>
      <c r="I117" s="157">
        <f t="shared" si="7"/>
        <v>91.879629939829357</v>
      </c>
      <c r="J117" s="157">
        <f t="shared" si="4"/>
        <v>31.081897727582646</v>
      </c>
      <c r="K117" s="157">
        <f t="shared" si="5"/>
        <v>1.3146861867318365</v>
      </c>
      <c r="L117" s="157">
        <f t="shared" si="6"/>
        <v>1.4757556208348219</v>
      </c>
    </row>
    <row r="118" spans="8:12" x14ac:dyDescent="0.2">
      <c r="H118" s="157">
        <v>113</v>
      </c>
      <c r="I118" s="157">
        <f t="shared" si="7"/>
        <v>93.717222538625947</v>
      </c>
      <c r="J118" s="157">
        <f t="shared" si="4"/>
        <v>21.703535682134287</v>
      </c>
      <c r="K118" s="157">
        <f t="shared" si="5"/>
        <v>1.4213901599090024</v>
      </c>
      <c r="L118" s="157">
        <f t="shared" si="6"/>
        <v>1.4768655555638108</v>
      </c>
    </row>
    <row r="119" spans="8:12" x14ac:dyDescent="0.2">
      <c r="H119" s="157">
        <v>114</v>
      </c>
      <c r="I119" s="157">
        <f t="shared" si="7"/>
        <v>95.591566989398473</v>
      </c>
      <c r="J119" s="157">
        <f t="shared" si="4"/>
        <v>22.137606395776963</v>
      </c>
      <c r="K119" s="157">
        <f t="shared" si="5"/>
        <v>1.5260018983179893</v>
      </c>
      <c r="L119" s="157">
        <f t="shared" si="6"/>
        <v>1.4758196474031977</v>
      </c>
    </row>
    <row r="120" spans="8:12" x14ac:dyDescent="0.2">
      <c r="H120" s="157">
        <v>115</v>
      </c>
      <c r="I120" s="157">
        <f t="shared" si="7"/>
        <v>97.503398329186439</v>
      </c>
      <c r="J120" s="157">
        <f t="shared" si="4"/>
        <v>22.580358523692546</v>
      </c>
      <c r="K120" s="157">
        <f t="shared" si="5"/>
        <v>1.6285624261699354</v>
      </c>
      <c r="L120" s="157">
        <f t="shared" si="6"/>
        <v>1.4726601677821909</v>
      </c>
    </row>
    <row r="121" spans="8:12" x14ac:dyDescent="0.2">
      <c r="H121" s="157">
        <v>116</v>
      </c>
      <c r="I121" s="157">
        <f t="shared" si="7"/>
        <v>99.45346629577017</v>
      </c>
      <c r="J121" s="157">
        <f t="shared" si="4"/>
        <v>33.031965694166374</v>
      </c>
      <c r="K121" s="157">
        <f t="shared" si="5"/>
        <v>1.3269138148406794</v>
      </c>
      <c r="L121" s="157">
        <f t="shared" si="6"/>
        <v>1.4757170748094017</v>
      </c>
    </row>
    <row r="122" spans="8:12" x14ac:dyDescent="0.2">
      <c r="H122" s="157">
        <v>117</v>
      </c>
      <c r="I122" s="157">
        <f t="shared" si="7"/>
        <v>101.44253562168558</v>
      </c>
      <c r="J122" s="157">
        <f t="shared" si="4"/>
        <v>23.692605008049696</v>
      </c>
      <c r="K122" s="157">
        <f t="shared" si="5"/>
        <v>1.4254917923992598</v>
      </c>
      <c r="L122" s="157">
        <f t="shared" si="6"/>
        <v>1.476742482931966</v>
      </c>
    </row>
    <row r="123" spans="8:12" x14ac:dyDescent="0.2">
      <c r="H123" s="157">
        <v>118</v>
      </c>
      <c r="I123" s="157">
        <f t="shared" si="7"/>
        <v>103.47138633411929</v>
      </c>
      <c r="J123" s="157">
        <f t="shared" si="4"/>
        <v>24.166457108210672</v>
      </c>
      <c r="K123" s="157">
        <f t="shared" si="5"/>
        <v>1.5221368684370846</v>
      </c>
      <c r="L123" s="157">
        <f t="shared" si="6"/>
        <v>1.4757762254617399</v>
      </c>
    </row>
    <row r="124" spans="8:12" x14ac:dyDescent="0.2">
      <c r="H124" s="157">
        <v>119</v>
      </c>
      <c r="I124" s="157">
        <f t="shared" si="7"/>
        <v>105.54081406080168</v>
      </c>
      <c r="J124" s="157">
        <f t="shared" si="4"/>
        <v>24.649786250374937</v>
      </c>
      <c r="K124" s="157">
        <f t="shared" si="5"/>
        <v>1.6168869429839694</v>
      </c>
      <c r="L124" s="157">
        <f t="shared" si="6"/>
        <v>1.4728573546652481</v>
      </c>
    </row>
    <row r="125" spans="8:12" x14ac:dyDescent="0.2">
      <c r="H125" s="157">
        <v>120</v>
      </c>
      <c r="I125" s="157">
        <f t="shared" si="7"/>
        <v>107.65163034201771</v>
      </c>
      <c r="J125" s="157">
        <f t="shared" si="4"/>
        <v>35.142781975382405</v>
      </c>
      <c r="K125" s="157">
        <f t="shared" si="5"/>
        <v>1.3382102531401872</v>
      </c>
      <c r="L125" s="157">
        <f t="shared" si="6"/>
        <v>1.4756814642401253</v>
      </c>
    </row>
    <row r="126" spans="8:12" x14ac:dyDescent="0.2">
      <c r="H126" s="157">
        <v>121</v>
      </c>
      <c r="I126" s="157">
        <f t="shared" si="7"/>
        <v>109.80466294885807</v>
      </c>
      <c r="J126" s="157">
        <f t="shared" si="4"/>
        <v>25.845637614890052</v>
      </c>
      <c r="K126" s="157">
        <f t="shared" si="5"/>
        <v>1.4292810668146259</v>
      </c>
      <c r="L126" s="157">
        <f t="shared" si="6"/>
        <v>1.4766287828439668</v>
      </c>
    </row>
    <row r="127" spans="8:12" x14ac:dyDescent="0.2">
      <c r="H127" s="157">
        <v>122</v>
      </c>
      <c r="I127" s="157">
        <f t="shared" si="7"/>
        <v>112.00075620783522</v>
      </c>
      <c r="J127" s="157">
        <f t="shared" si="4"/>
        <v>26.362550367187829</v>
      </c>
      <c r="K127" s="157">
        <f t="shared" si="5"/>
        <v>1.5185661782601549</v>
      </c>
      <c r="L127" s="157">
        <f t="shared" si="6"/>
        <v>1.4757361102997342</v>
      </c>
    </row>
    <row r="128" spans="8:12" x14ac:dyDescent="0.2">
      <c r="H128" s="157">
        <v>123</v>
      </c>
      <c r="I128" s="157">
        <f t="shared" si="7"/>
        <v>114.24077133199194</v>
      </c>
      <c r="J128" s="157">
        <f t="shared" si="4"/>
        <v>26.88980137453165</v>
      </c>
      <c r="K128" s="157">
        <f t="shared" si="5"/>
        <v>1.6061006012459658</v>
      </c>
      <c r="L128" s="157">
        <f t="shared" si="6"/>
        <v>1.4730395248652333</v>
      </c>
    </row>
    <row r="129" spans="8:12" x14ac:dyDescent="0.2">
      <c r="H129" s="157">
        <v>124</v>
      </c>
      <c r="I129" s="157">
        <f t="shared" si="7"/>
        <v>116.52558675863177</v>
      </c>
      <c r="J129" s="157">
        <f t="shared" si="4"/>
        <v>37.427597402022244</v>
      </c>
      <c r="K129" s="157">
        <f t="shared" si="5"/>
        <v>1.3486464159935778</v>
      </c>
      <c r="L129" s="157">
        <f t="shared" si="6"/>
        <v>1.4756485655785812</v>
      </c>
    </row>
    <row r="130" spans="8:12" x14ac:dyDescent="0.2">
      <c r="H130" s="157">
        <v>125</v>
      </c>
      <c r="I130" s="157">
        <f t="shared" si="7"/>
        <v>118.85609849380441</v>
      </c>
      <c r="J130" s="157">
        <f t="shared" si="4"/>
        <v>28.176149350062687</v>
      </c>
      <c r="K130" s="157">
        <f t="shared" si="5"/>
        <v>1.4327817706512214</v>
      </c>
      <c r="L130" s="157">
        <f t="shared" si="6"/>
        <v>1.4765237415377299</v>
      </c>
    </row>
    <row r="131" spans="8:12" x14ac:dyDescent="0.2">
      <c r="H131" s="157">
        <v>126</v>
      </c>
      <c r="I131" s="157">
        <f t="shared" si="7"/>
        <v>121.2332204636805</v>
      </c>
      <c r="J131" s="157">
        <f t="shared" si="4"/>
        <v>28.739672337063915</v>
      </c>
      <c r="K131" s="157">
        <f t="shared" si="5"/>
        <v>1.5152674124724412</v>
      </c>
      <c r="L131" s="157">
        <f t="shared" si="6"/>
        <v>1.4756990500908014</v>
      </c>
    </row>
    <row r="132" spans="8:12" x14ac:dyDescent="0.2">
      <c r="H132" s="157">
        <v>127</v>
      </c>
      <c r="I132" s="157">
        <f t="shared" si="7"/>
        <v>123.65788487295411</v>
      </c>
      <c r="J132" s="157">
        <f t="shared" si="4"/>
        <v>29.314465783805268</v>
      </c>
      <c r="K132" s="157">
        <f t="shared" si="5"/>
        <v>1.5961356887677522</v>
      </c>
      <c r="L132" s="157">
        <f t="shared" si="6"/>
        <v>1.4732078219712483</v>
      </c>
    </row>
    <row r="133" spans="8:12" x14ac:dyDescent="0.2">
      <c r="H133" s="157">
        <v>128</v>
      </c>
      <c r="I133" s="157">
        <f t="shared" si="7"/>
        <v>126.1310425704132</v>
      </c>
      <c r="J133" s="157">
        <f t="shared" si="4"/>
        <v>39.90075509948133</v>
      </c>
      <c r="K133" s="157">
        <f t="shared" si="5"/>
        <v>1.3582878173109505</v>
      </c>
      <c r="L133" s="157">
        <f t="shared" si="6"/>
        <v>1.4756181723005912</v>
      </c>
    </row>
    <row r="134" spans="8:12" x14ac:dyDescent="0.2">
      <c r="H134" s="157">
        <v>129</v>
      </c>
      <c r="I134" s="157">
        <f t="shared" si="7"/>
        <v>128.65366342182148</v>
      </c>
      <c r="J134" s="157">
        <f t="shared" ref="J134:J197" si="8">I134-I133+J130</f>
        <v>30.698770201470964</v>
      </c>
      <c r="K134" s="157">
        <f t="shared" ref="K134:K197" si="9">(J133+J132*2+J131*3)/SUM(J131:J134)</f>
        <v>1.4360158798785332</v>
      </c>
      <c r="L134" s="157">
        <f t="shared" ref="L134:L197" si="10">AVERAGE(K131:K134)</f>
        <v>1.4764266996074191</v>
      </c>
    </row>
    <row r="135" spans="8:12" x14ac:dyDescent="0.2">
      <c r="H135" s="157">
        <v>130</v>
      </c>
      <c r="I135" s="157">
        <f t="shared" ref="I135:I198" si="11">I134*1.02</f>
        <v>131.22673669025792</v>
      </c>
      <c r="J135" s="157">
        <f t="shared" si="8"/>
        <v>31.312745605500361</v>
      </c>
      <c r="K135" s="157">
        <f t="shared" si="9"/>
        <v>1.5122198627879282</v>
      </c>
      <c r="L135" s="157">
        <f t="shared" si="10"/>
        <v>1.475664812186291</v>
      </c>
    </row>
    <row r="136" spans="8:12" x14ac:dyDescent="0.2">
      <c r="H136" s="157">
        <v>131</v>
      </c>
      <c r="I136" s="157">
        <f t="shared" si="11"/>
        <v>133.85127142406307</v>
      </c>
      <c r="J136" s="157">
        <f t="shared" si="8"/>
        <v>31.939000517610417</v>
      </c>
      <c r="K136" s="157">
        <f t="shared" si="9"/>
        <v>1.5869296499540002</v>
      </c>
      <c r="L136" s="157">
        <f t="shared" si="10"/>
        <v>1.4733633024828532</v>
      </c>
    </row>
    <row r="137" spans="8:12" x14ac:dyDescent="0.2">
      <c r="H137" s="157">
        <v>132</v>
      </c>
      <c r="I137" s="157">
        <f t="shared" si="11"/>
        <v>136.52829685254434</v>
      </c>
      <c r="J137" s="157">
        <f t="shared" si="8"/>
        <v>42.577780527962602</v>
      </c>
      <c r="K137" s="157">
        <f t="shared" si="9"/>
        <v>1.3671949818184919</v>
      </c>
      <c r="L137" s="157">
        <f t="shared" si="10"/>
        <v>1.4755900936097384</v>
      </c>
    </row>
    <row r="138" spans="8:12" x14ac:dyDescent="0.2">
      <c r="H138" s="157">
        <v>133</v>
      </c>
      <c r="I138" s="157">
        <f t="shared" si="11"/>
        <v>139.25886278959524</v>
      </c>
      <c r="J138" s="157">
        <f t="shared" si="8"/>
        <v>33.429336138521862</v>
      </c>
      <c r="K138" s="157">
        <f t="shared" si="9"/>
        <v>1.4390036968954552</v>
      </c>
      <c r="L138" s="157">
        <f t="shared" si="10"/>
        <v>1.4763370478639688</v>
      </c>
    </row>
    <row r="139" spans="8:12" x14ac:dyDescent="0.2">
      <c r="H139" s="157">
        <v>134</v>
      </c>
      <c r="I139" s="157">
        <f t="shared" si="11"/>
        <v>142.04404004538713</v>
      </c>
      <c r="J139" s="157">
        <f t="shared" si="8"/>
        <v>34.097922861292254</v>
      </c>
      <c r="K139" s="157">
        <f t="shared" si="9"/>
        <v>1.5094043979513028</v>
      </c>
      <c r="L139" s="157">
        <f t="shared" si="10"/>
        <v>1.4756331816548125</v>
      </c>
    </row>
    <row r="140" spans="8:12" x14ac:dyDescent="0.2">
      <c r="H140" s="157">
        <v>135</v>
      </c>
      <c r="I140" s="157">
        <f t="shared" si="11"/>
        <v>144.88492084629488</v>
      </c>
      <c r="J140" s="157">
        <f t="shared" si="8"/>
        <v>34.779881318518157</v>
      </c>
      <c r="K140" s="157">
        <f t="shared" si="9"/>
        <v>1.5784246931040931</v>
      </c>
      <c r="L140" s="157">
        <f t="shared" si="10"/>
        <v>1.4735069424423357</v>
      </c>
    </row>
    <row r="141" spans="8:12" x14ac:dyDescent="0.2">
      <c r="H141" s="157">
        <v>136</v>
      </c>
      <c r="I141" s="157">
        <f t="shared" si="11"/>
        <v>147.78261926322077</v>
      </c>
      <c r="J141" s="157">
        <f t="shared" si="8"/>
        <v>45.475478944888494</v>
      </c>
      <c r="K141" s="157">
        <f t="shared" si="9"/>
        <v>1.3754238250076496</v>
      </c>
      <c r="L141" s="157">
        <f t="shared" si="10"/>
        <v>1.4755641532396251</v>
      </c>
    </row>
    <row r="142" spans="8:12" x14ac:dyDescent="0.2">
      <c r="H142" s="157">
        <v>137</v>
      </c>
      <c r="I142" s="157">
        <f t="shared" si="11"/>
        <v>150.73827164848518</v>
      </c>
      <c r="J142" s="157">
        <f t="shared" si="8"/>
        <v>36.384988523786276</v>
      </c>
      <c r="K142" s="157">
        <f t="shared" si="9"/>
        <v>1.4417639779803431</v>
      </c>
      <c r="L142" s="157">
        <f t="shared" si="10"/>
        <v>1.4762542235108471</v>
      </c>
    </row>
    <row r="143" spans="8:12" x14ac:dyDescent="0.2">
      <c r="H143" s="157">
        <v>138</v>
      </c>
      <c r="I143" s="157">
        <f t="shared" si="11"/>
        <v>153.75303708145489</v>
      </c>
      <c r="J143" s="157">
        <f t="shared" si="8"/>
        <v>37.112688294261964</v>
      </c>
      <c r="K143" s="157">
        <f t="shared" si="9"/>
        <v>1.5068033436398478</v>
      </c>
      <c r="L143" s="157">
        <f t="shared" si="10"/>
        <v>1.4756039599329833</v>
      </c>
    </row>
    <row r="144" spans="8:12" x14ac:dyDescent="0.2">
      <c r="H144" s="157">
        <v>139</v>
      </c>
      <c r="I144" s="157">
        <f t="shared" si="11"/>
        <v>156.82809782308399</v>
      </c>
      <c r="J144" s="157">
        <f t="shared" si="8"/>
        <v>37.854942060147259</v>
      </c>
      <c r="K144" s="157">
        <f t="shared" si="9"/>
        <v>1.570567427619753</v>
      </c>
      <c r="L144" s="157">
        <f t="shared" si="10"/>
        <v>1.4736396435618984</v>
      </c>
    </row>
    <row r="145" spans="8:12" x14ac:dyDescent="0.2">
      <c r="H145" s="157">
        <v>140</v>
      </c>
      <c r="I145" s="157">
        <f t="shared" si="11"/>
        <v>159.96465977954568</v>
      </c>
      <c r="J145" s="157">
        <f t="shared" si="8"/>
        <v>48.612040901350184</v>
      </c>
      <c r="K145" s="157">
        <f t="shared" si="9"/>
        <v>1.3830260041494418</v>
      </c>
      <c r="L145" s="157">
        <f t="shared" si="10"/>
        <v>1.4755401883473465</v>
      </c>
    </row>
    <row r="146" spans="8:12" x14ac:dyDescent="0.2">
      <c r="H146" s="157">
        <v>141</v>
      </c>
      <c r="I146" s="157">
        <f t="shared" si="11"/>
        <v>163.1639529751366</v>
      </c>
      <c r="J146" s="157">
        <f t="shared" si="8"/>
        <v>39.584281719377188</v>
      </c>
      <c r="K146" s="157">
        <f t="shared" si="9"/>
        <v>1.4443140510351642</v>
      </c>
      <c r="L146" s="157">
        <f t="shared" si="10"/>
        <v>1.4761777066110517</v>
      </c>
    </row>
    <row r="147" spans="8:12" x14ac:dyDescent="0.2">
      <c r="H147" s="157">
        <v>142</v>
      </c>
      <c r="I147" s="157">
        <f t="shared" si="11"/>
        <v>166.42723203463933</v>
      </c>
      <c r="J147" s="157">
        <f t="shared" si="8"/>
        <v>40.3759673537647</v>
      </c>
      <c r="K147" s="157">
        <f t="shared" si="9"/>
        <v>1.5044003715113636</v>
      </c>
      <c r="L147" s="157">
        <f t="shared" si="10"/>
        <v>1.4755769635789306</v>
      </c>
    </row>
    <row r="148" spans="8:12" x14ac:dyDescent="0.2">
      <c r="H148" s="157">
        <v>143</v>
      </c>
      <c r="I148" s="157">
        <f t="shared" si="11"/>
        <v>169.75577667533213</v>
      </c>
      <c r="J148" s="157">
        <f t="shared" si="8"/>
        <v>41.183486700840056</v>
      </c>
      <c r="K148" s="157">
        <f t="shared" si="9"/>
        <v>1.5633085288409694</v>
      </c>
      <c r="L148" s="157">
        <f t="shared" si="10"/>
        <v>1.4737622388842346</v>
      </c>
    </row>
    <row r="149" spans="8:12" x14ac:dyDescent="0.2">
      <c r="H149" s="157">
        <v>144</v>
      </c>
      <c r="I149" s="157">
        <f t="shared" si="11"/>
        <v>173.15089220883877</v>
      </c>
      <c r="J149" s="157">
        <f t="shared" si="8"/>
        <v>52.007156434856824</v>
      </c>
      <c r="K149" s="157">
        <f t="shared" si="9"/>
        <v>1.3900492425774209</v>
      </c>
      <c r="L149" s="157">
        <f t="shared" si="10"/>
        <v>1.4755180484912294</v>
      </c>
    </row>
    <row r="150" spans="8:12" x14ac:dyDescent="0.2">
      <c r="H150" s="157">
        <v>145</v>
      </c>
      <c r="I150" s="157">
        <f t="shared" si="11"/>
        <v>176.61391005301556</v>
      </c>
      <c r="J150" s="157">
        <f t="shared" si="8"/>
        <v>43.047299563553977</v>
      </c>
      <c r="K150" s="157">
        <f t="shared" si="9"/>
        <v>1.4466699243628944</v>
      </c>
      <c r="L150" s="157">
        <f t="shared" si="10"/>
        <v>1.476107016823162</v>
      </c>
    </row>
    <row r="151" spans="8:12" x14ac:dyDescent="0.2">
      <c r="H151" s="157">
        <v>146</v>
      </c>
      <c r="I151" s="157">
        <f t="shared" si="11"/>
        <v>180.14618825407587</v>
      </c>
      <c r="J151" s="157">
        <f t="shared" si="8"/>
        <v>43.908245554825008</v>
      </c>
      <c r="K151" s="157">
        <f t="shared" si="9"/>
        <v>1.5021803967015941</v>
      </c>
      <c r="L151" s="157">
        <f t="shared" si="10"/>
        <v>1.4755520231207198</v>
      </c>
    </row>
    <row r="152" spans="8:12" x14ac:dyDescent="0.2">
      <c r="H152" s="157">
        <v>147</v>
      </c>
      <c r="I152" s="157">
        <f t="shared" si="11"/>
        <v>183.74911201915739</v>
      </c>
      <c r="J152" s="157">
        <f t="shared" si="8"/>
        <v>44.786410465921584</v>
      </c>
      <c r="K152" s="157">
        <f t="shared" si="9"/>
        <v>1.556602428406201</v>
      </c>
      <c r="L152" s="157">
        <f t="shared" si="10"/>
        <v>1.4738754980120277</v>
      </c>
    </row>
    <row r="153" spans="8:12" x14ac:dyDescent="0.2">
      <c r="H153" s="157">
        <v>148</v>
      </c>
      <c r="I153" s="157">
        <f t="shared" si="11"/>
        <v>187.42409425954054</v>
      </c>
      <c r="J153" s="157">
        <f t="shared" si="8"/>
        <v>55.682138675239969</v>
      </c>
      <c r="K153" s="157">
        <f t="shared" si="9"/>
        <v>1.3965376292750036</v>
      </c>
      <c r="L153" s="157">
        <f t="shared" si="10"/>
        <v>1.4754975946864235</v>
      </c>
    </row>
    <row r="154" spans="8:12" x14ac:dyDescent="0.2">
      <c r="H154" s="157">
        <v>149</v>
      </c>
      <c r="I154" s="157">
        <f t="shared" si="11"/>
        <v>191.17257614473135</v>
      </c>
      <c r="J154" s="157">
        <f t="shared" si="8"/>
        <v>46.795781448744791</v>
      </c>
      <c r="K154" s="157">
        <f t="shared" si="9"/>
        <v>1.4488463871610155</v>
      </c>
      <c r="L154" s="157">
        <f t="shared" si="10"/>
        <v>1.4760417103859536</v>
      </c>
    </row>
    <row r="155" spans="8:12" x14ac:dyDescent="0.2">
      <c r="H155" s="157">
        <v>150</v>
      </c>
      <c r="I155" s="157">
        <f t="shared" si="11"/>
        <v>194.99602766762598</v>
      </c>
      <c r="J155" s="157">
        <f t="shared" si="8"/>
        <v>47.731697077719637</v>
      </c>
      <c r="K155" s="157">
        <f t="shared" si="9"/>
        <v>1.5001294831276948</v>
      </c>
      <c r="L155" s="157">
        <f t="shared" si="10"/>
        <v>1.4755289819924786</v>
      </c>
    </row>
    <row r="156" spans="8:12" x14ac:dyDescent="0.2">
      <c r="H156" s="157">
        <v>151</v>
      </c>
      <c r="I156" s="157">
        <f t="shared" si="11"/>
        <v>198.89594822097851</v>
      </c>
      <c r="J156" s="157">
        <f t="shared" si="8"/>
        <v>48.686331019274114</v>
      </c>
      <c r="K156" s="157">
        <f t="shared" si="9"/>
        <v>1.5504070281930655</v>
      </c>
      <c r="L156" s="157">
        <f t="shared" si="10"/>
        <v>1.4739801319391947</v>
      </c>
    </row>
    <row r="157" spans="8:12" x14ac:dyDescent="0.2">
      <c r="H157" s="157">
        <v>152</v>
      </c>
      <c r="I157" s="157">
        <f t="shared" si="11"/>
        <v>202.8738671853981</v>
      </c>
      <c r="J157" s="157">
        <f t="shared" si="8"/>
        <v>59.660057639659556</v>
      </c>
      <c r="K157" s="157">
        <f t="shared" si="9"/>
        <v>1.4025318956478559</v>
      </c>
      <c r="L157" s="157">
        <f t="shared" si="10"/>
        <v>1.475478698532408</v>
      </c>
    </row>
    <row r="158" spans="8:12" x14ac:dyDescent="0.2">
      <c r="H158" s="157">
        <v>153</v>
      </c>
      <c r="I158" s="157">
        <f t="shared" si="11"/>
        <v>206.93134452910607</v>
      </c>
      <c r="J158" s="157">
        <f t="shared" si="8"/>
        <v>50.853258792452763</v>
      </c>
      <c r="K158" s="157">
        <f t="shared" si="9"/>
        <v>1.4508571023619767</v>
      </c>
      <c r="L158" s="157">
        <f t="shared" si="10"/>
        <v>1.4759813773326482</v>
      </c>
    </row>
    <row r="159" spans="8:12" x14ac:dyDescent="0.2">
      <c r="H159" s="157">
        <v>154</v>
      </c>
      <c r="I159" s="157">
        <f t="shared" si="11"/>
        <v>211.06997141968819</v>
      </c>
      <c r="J159" s="157">
        <f t="shared" si="8"/>
        <v>51.870323968301754</v>
      </c>
      <c r="K159" s="157">
        <f t="shared" si="9"/>
        <v>1.4982347560032721</v>
      </c>
      <c r="L159" s="157">
        <f t="shared" si="10"/>
        <v>1.4755076955515425</v>
      </c>
    </row>
    <row r="160" spans="8:12" x14ac:dyDescent="0.2">
      <c r="H160" s="157">
        <v>155</v>
      </c>
      <c r="I160" s="157">
        <f t="shared" si="11"/>
        <v>215.29137084808195</v>
      </c>
      <c r="J160" s="157">
        <f t="shared" si="8"/>
        <v>52.90773044766788</v>
      </c>
      <c r="K160" s="157">
        <f t="shared" si="9"/>
        <v>1.5446834360437571</v>
      </c>
      <c r="L160" s="157">
        <f t="shared" si="10"/>
        <v>1.4740767975142153</v>
      </c>
    </row>
    <row r="161" spans="8:12" x14ac:dyDescent="0.2">
      <c r="H161" s="157">
        <v>156</v>
      </c>
      <c r="I161" s="157">
        <f t="shared" si="11"/>
        <v>219.5971982650436</v>
      </c>
      <c r="J161" s="157">
        <f t="shared" si="8"/>
        <v>63.965885056621204</v>
      </c>
      <c r="K161" s="157">
        <f t="shared" si="9"/>
        <v>1.4080696712188003</v>
      </c>
      <c r="L161" s="157">
        <f t="shared" si="10"/>
        <v>1.4754612414069515</v>
      </c>
    </row>
    <row r="162" spans="8:12" x14ac:dyDescent="0.2">
      <c r="H162" s="157">
        <v>157</v>
      </c>
      <c r="I162" s="157">
        <f t="shared" si="11"/>
        <v>223.98914223034447</v>
      </c>
      <c r="J162" s="157">
        <f t="shared" si="8"/>
        <v>55.245202757753631</v>
      </c>
      <c r="K162" s="157">
        <f t="shared" si="9"/>
        <v>1.4527146924034262</v>
      </c>
      <c r="L162" s="157">
        <f t="shared" si="10"/>
        <v>1.4759256389173141</v>
      </c>
    </row>
    <row r="163" spans="8:12" x14ac:dyDescent="0.2">
      <c r="H163" s="157">
        <v>158</v>
      </c>
      <c r="I163" s="157">
        <f t="shared" si="11"/>
        <v>228.46892507495136</v>
      </c>
      <c r="J163" s="157">
        <f t="shared" si="8"/>
        <v>56.350106812908642</v>
      </c>
      <c r="K163" s="157">
        <f t="shared" si="9"/>
        <v>1.4964843210158061</v>
      </c>
      <c r="L163" s="157">
        <f t="shared" si="10"/>
        <v>1.4754880301704474</v>
      </c>
    </row>
    <row r="164" spans="8:12" x14ac:dyDescent="0.2">
      <c r="H164" s="157">
        <v>159</v>
      </c>
      <c r="I164" s="157">
        <f t="shared" si="11"/>
        <v>233.0383035764504</v>
      </c>
      <c r="J164" s="157">
        <f t="shared" si="8"/>
        <v>57.477108949166926</v>
      </c>
      <c r="K164" s="157">
        <f t="shared" si="9"/>
        <v>1.5393957216161767</v>
      </c>
      <c r="L164" s="157">
        <f t="shared" si="10"/>
        <v>1.4741661015635523</v>
      </c>
    </row>
    <row r="165" spans="8:12" x14ac:dyDescent="0.2">
      <c r="H165" s="157">
        <v>160</v>
      </c>
      <c r="I165" s="157">
        <f t="shared" si="11"/>
        <v>237.69906964797943</v>
      </c>
      <c r="J165" s="157">
        <f t="shared" si="8"/>
        <v>68.626651128150229</v>
      </c>
      <c r="K165" s="157">
        <f t="shared" si="9"/>
        <v>1.4131857198503786</v>
      </c>
      <c r="L165" s="157">
        <f t="shared" si="10"/>
        <v>1.4754451137214468</v>
      </c>
    </row>
    <row r="166" spans="8:12" x14ac:dyDescent="0.2">
      <c r="H166" s="157">
        <v>161</v>
      </c>
      <c r="I166" s="157">
        <f t="shared" si="11"/>
        <v>242.45305104093902</v>
      </c>
      <c r="J166" s="157">
        <f t="shared" si="8"/>
        <v>59.999184150713219</v>
      </c>
      <c r="K166" s="157">
        <f t="shared" si="9"/>
        <v>1.4544308184666523</v>
      </c>
      <c r="L166" s="157">
        <f t="shared" si="10"/>
        <v>1.4758741452372535</v>
      </c>
    </row>
    <row r="167" spans="8:12" x14ac:dyDescent="0.2">
      <c r="H167" s="157">
        <v>162</v>
      </c>
      <c r="I167" s="157">
        <f t="shared" si="11"/>
        <v>247.30211206175781</v>
      </c>
      <c r="J167" s="157">
        <f t="shared" si="8"/>
        <v>61.199167833727437</v>
      </c>
      <c r="K167" s="157">
        <f t="shared" si="9"/>
        <v>1.4948671896590788</v>
      </c>
      <c r="L167" s="157">
        <f t="shared" si="10"/>
        <v>1.4754698623980715</v>
      </c>
    </row>
    <row r="168" spans="8:12" x14ac:dyDescent="0.2">
      <c r="H168" s="157">
        <v>163</v>
      </c>
      <c r="I168" s="157">
        <f t="shared" si="11"/>
        <v>252.24815430299296</v>
      </c>
      <c r="J168" s="157">
        <f t="shared" si="8"/>
        <v>62.423151190402073</v>
      </c>
      <c r="K168" s="157">
        <f t="shared" si="9"/>
        <v>1.5345106908281223</v>
      </c>
      <c r="L168" s="157">
        <f t="shared" si="10"/>
        <v>1.4742486047010579</v>
      </c>
    </row>
    <row r="169" spans="8:12" x14ac:dyDescent="0.2">
      <c r="H169" s="157">
        <v>164</v>
      </c>
      <c r="I169" s="157">
        <f t="shared" si="11"/>
        <v>257.29311738905284</v>
      </c>
      <c r="J169" s="157">
        <f t="shared" si="8"/>
        <v>73.671614214210109</v>
      </c>
      <c r="K169" s="157">
        <f t="shared" si="9"/>
        <v>1.4179121579779914</v>
      </c>
      <c r="L169" s="157">
        <f t="shared" si="10"/>
        <v>1.4754302142329609</v>
      </c>
    </row>
    <row r="170" spans="8:12" x14ac:dyDescent="0.2">
      <c r="H170" s="157">
        <v>165</v>
      </c>
      <c r="I170" s="157">
        <f t="shared" si="11"/>
        <v>262.43897973683391</v>
      </c>
      <c r="J170" s="157">
        <f t="shared" si="8"/>
        <v>65.145046498494295</v>
      </c>
      <c r="K170" s="157">
        <f t="shared" si="9"/>
        <v>1.4560162536806485</v>
      </c>
      <c r="L170" s="157">
        <f t="shared" si="10"/>
        <v>1.4758265730364601</v>
      </c>
    </row>
    <row r="171" spans="8:12" x14ac:dyDescent="0.2">
      <c r="H171" s="157">
        <v>166</v>
      </c>
      <c r="I171" s="157">
        <f t="shared" si="11"/>
        <v>267.68775933157059</v>
      </c>
      <c r="J171" s="157">
        <f t="shared" si="8"/>
        <v>66.447947428464119</v>
      </c>
      <c r="K171" s="157">
        <f t="shared" si="9"/>
        <v>1.4933732102518817</v>
      </c>
      <c r="L171" s="157">
        <f t="shared" si="10"/>
        <v>1.4754530781846609</v>
      </c>
    </row>
    <row r="172" spans="8:12" x14ac:dyDescent="0.2">
      <c r="H172" s="157">
        <v>167</v>
      </c>
      <c r="I172" s="157">
        <f t="shared" si="11"/>
        <v>273.04151451820201</v>
      </c>
      <c r="J172" s="157">
        <f t="shared" si="8"/>
        <v>67.776906377033498</v>
      </c>
      <c r="K172" s="157">
        <f t="shared" si="9"/>
        <v>1.52999767747858</v>
      </c>
      <c r="L172" s="157">
        <f t="shared" si="10"/>
        <v>1.4743248248472753</v>
      </c>
    </row>
    <row r="173" spans="8:12" x14ac:dyDescent="0.2">
      <c r="H173" s="157">
        <v>168</v>
      </c>
      <c r="I173" s="157">
        <f t="shared" si="11"/>
        <v>278.50234480856608</v>
      </c>
      <c r="J173" s="157">
        <f t="shared" si="8"/>
        <v>79.132444504574181</v>
      </c>
      <c r="K173" s="157">
        <f t="shared" si="9"/>
        <v>1.4222786562235841</v>
      </c>
      <c r="L173" s="157">
        <f t="shared" si="10"/>
        <v>1.4754164494086737</v>
      </c>
    </row>
    <row r="174" spans="8:12" x14ac:dyDescent="0.2">
      <c r="H174" s="157">
        <v>169</v>
      </c>
      <c r="I174" s="157">
        <f t="shared" si="11"/>
        <v>284.07239170473741</v>
      </c>
      <c r="J174" s="157">
        <f t="shared" si="8"/>
        <v>70.715093394665629</v>
      </c>
      <c r="K174" s="157">
        <f t="shared" si="9"/>
        <v>1.4574809507513604</v>
      </c>
      <c r="L174" s="157">
        <f t="shared" si="10"/>
        <v>1.4757826236763516</v>
      </c>
    </row>
    <row r="175" spans="8:12" x14ac:dyDescent="0.2">
      <c r="H175" s="157">
        <v>170</v>
      </c>
      <c r="I175" s="157">
        <f t="shared" si="11"/>
        <v>289.75383953883215</v>
      </c>
      <c r="J175" s="157">
        <f t="shared" si="8"/>
        <v>72.129395262558859</v>
      </c>
      <c r="K175" s="157">
        <f t="shared" si="9"/>
        <v>1.4919930042099656</v>
      </c>
      <c r="L175" s="157">
        <f t="shared" si="10"/>
        <v>1.4754375721658726</v>
      </c>
    </row>
    <row r="176" spans="8:12" x14ac:dyDescent="0.2">
      <c r="H176" s="157">
        <v>171</v>
      </c>
      <c r="I176" s="157">
        <f t="shared" si="11"/>
        <v>295.5489163296088</v>
      </c>
      <c r="J176" s="157">
        <f t="shared" si="8"/>
        <v>73.571983167810146</v>
      </c>
      <c r="K176" s="157">
        <f t="shared" si="9"/>
        <v>1.5258283507380086</v>
      </c>
      <c r="L176" s="157">
        <f t="shared" si="10"/>
        <v>1.4743952404807295</v>
      </c>
    </row>
    <row r="177" spans="8:12" x14ac:dyDescent="0.2">
      <c r="H177" s="157">
        <v>172</v>
      </c>
      <c r="I177" s="157">
        <f t="shared" si="11"/>
        <v>301.45989465620096</v>
      </c>
      <c r="J177" s="157">
        <f t="shared" si="8"/>
        <v>85.043422831166339</v>
      </c>
      <c r="K177" s="157">
        <f t="shared" si="9"/>
        <v>1.4263126256555276</v>
      </c>
      <c r="L177" s="157">
        <f t="shared" si="10"/>
        <v>1.4754037328387157</v>
      </c>
    </row>
    <row r="178" spans="8:12" x14ac:dyDescent="0.2">
      <c r="H178" s="157">
        <v>173</v>
      </c>
      <c r="I178" s="157">
        <f t="shared" si="11"/>
        <v>307.48909254932499</v>
      </c>
      <c r="J178" s="157">
        <f t="shared" si="8"/>
        <v>76.744291287789665</v>
      </c>
      <c r="K178" s="157">
        <f t="shared" si="9"/>
        <v>1.4588341044406516</v>
      </c>
      <c r="L178" s="157">
        <f t="shared" si="10"/>
        <v>1.4757420212610382</v>
      </c>
    </row>
    <row r="179" spans="8:12" x14ac:dyDescent="0.2">
      <c r="H179" s="157">
        <v>174</v>
      </c>
      <c r="I179" s="157">
        <f t="shared" si="11"/>
        <v>313.63887440031152</v>
      </c>
      <c r="J179" s="157">
        <f t="shared" si="8"/>
        <v>78.279177113545387</v>
      </c>
      <c r="K179" s="157">
        <f t="shared" si="9"/>
        <v>1.4907179071711663</v>
      </c>
      <c r="L179" s="157">
        <f t="shared" si="10"/>
        <v>1.4754232470013386</v>
      </c>
    </row>
    <row r="180" spans="8:12" x14ac:dyDescent="0.2">
      <c r="H180" s="157">
        <v>175</v>
      </c>
      <c r="I180" s="157">
        <f t="shared" si="11"/>
        <v>319.91165188831775</v>
      </c>
      <c r="J180" s="157">
        <f t="shared" si="8"/>
        <v>79.844760655816373</v>
      </c>
      <c r="K180" s="157">
        <f t="shared" si="9"/>
        <v>1.5219765372991214</v>
      </c>
      <c r="L180" s="157">
        <f t="shared" si="10"/>
        <v>1.4744602936416167</v>
      </c>
    </row>
    <row r="181" spans="8:12" x14ac:dyDescent="0.2">
      <c r="H181" s="157">
        <v>176</v>
      </c>
      <c r="I181" s="157">
        <f t="shared" si="11"/>
        <v>326.30988492608412</v>
      </c>
      <c r="J181" s="157">
        <f t="shared" si="8"/>
        <v>91.441655868932713</v>
      </c>
      <c r="K181" s="157">
        <f t="shared" si="9"/>
        <v>1.4300393898639592</v>
      </c>
      <c r="L181" s="157">
        <f t="shared" si="10"/>
        <v>1.4753919846937245</v>
      </c>
    </row>
    <row r="182" spans="8:12" x14ac:dyDescent="0.2">
      <c r="H182" s="157">
        <v>177</v>
      </c>
      <c r="I182" s="157">
        <f t="shared" si="11"/>
        <v>332.83608262460581</v>
      </c>
      <c r="J182" s="157">
        <f t="shared" si="8"/>
        <v>83.270488986311349</v>
      </c>
      <c r="K182" s="157">
        <f t="shared" si="9"/>
        <v>1.4600842092872146</v>
      </c>
      <c r="L182" s="157">
        <f t="shared" si="10"/>
        <v>1.4757045109053653</v>
      </c>
    </row>
    <row r="183" spans="8:12" x14ac:dyDescent="0.2">
      <c r="H183" s="157">
        <v>178</v>
      </c>
      <c r="I183" s="157">
        <f t="shared" si="11"/>
        <v>339.49280427709795</v>
      </c>
      <c r="J183" s="157">
        <f t="shared" si="8"/>
        <v>84.935898766037525</v>
      </c>
      <c r="K183" s="157">
        <f t="shared" si="9"/>
        <v>1.4895399146041322</v>
      </c>
      <c r="L183" s="157">
        <f t="shared" si="10"/>
        <v>1.4754100127636067</v>
      </c>
    </row>
    <row r="184" spans="8:12" x14ac:dyDescent="0.2">
      <c r="H184" s="157">
        <v>179</v>
      </c>
      <c r="I184" s="157">
        <f t="shared" si="11"/>
        <v>346.28266036263989</v>
      </c>
      <c r="J184" s="157">
        <f t="shared" si="8"/>
        <v>86.634616741358315</v>
      </c>
      <c r="K184" s="157">
        <f t="shared" si="9"/>
        <v>1.5184180570716985</v>
      </c>
      <c r="L184" s="157">
        <f t="shared" si="10"/>
        <v>1.4745203927067512</v>
      </c>
    </row>
    <row r="185" spans="8:12" x14ac:dyDescent="0.2">
      <c r="H185" s="157">
        <v>180</v>
      </c>
      <c r="I185" s="157">
        <f t="shared" si="11"/>
        <v>353.20831356989271</v>
      </c>
      <c r="J185" s="157">
        <f t="shared" si="8"/>
        <v>98.367309076185535</v>
      </c>
      <c r="K185" s="157">
        <f t="shared" si="9"/>
        <v>1.4334823439317983</v>
      </c>
      <c r="L185" s="157">
        <f t="shared" si="10"/>
        <v>1.4753811312237111</v>
      </c>
    </row>
    <row r="186" spans="8:12" x14ac:dyDescent="0.2">
      <c r="H186" s="157">
        <v>181</v>
      </c>
      <c r="I186" s="157">
        <f t="shared" si="11"/>
        <v>360.27247984129059</v>
      </c>
      <c r="J186" s="157">
        <f t="shared" si="8"/>
        <v>90.33465525770923</v>
      </c>
      <c r="K186" s="157">
        <f t="shared" si="9"/>
        <v>1.4612391129317652</v>
      </c>
      <c r="L186" s="157">
        <f t="shared" si="10"/>
        <v>1.4756698571348486</v>
      </c>
    </row>
    <row r="187" spans="8:12" x14ac:dyDescent="0.2">
      <c r="H187" s="157">
        <v>182</v>
      </c>
      <c r="I187" s="157">
        <f t="shared" si="11"/>
        <v>367.4779294381164</v>
      </c>
      <c r="J187" s="157">
        <f t="shared" si="8"/>
        <v>92.14134836286334</v>
      </c>
      <c r="K187" s="157">
        <f t="shared" si="9"/>
        <v>1.4884516315591845</v>
      </c>
      <c r="L187" s="157">
        <f t="shared" si="10"/>
        <v>1.4753977863736116</v>
      </c>
    </row>
    <row r="188" spans="8:12" x14ac:dyDescent="0.2">
      <c r="H188" s="157">
        <v>183</v>
      </c>
      <c r="I188" s="157">
        <f t="shared" si="11"/>
        <v>374.82748802687871</v>
      </c>
      <c r="J188" s="157">
        <f t="shared" si="8"/>
        <v>93.984175330120621</v>
      </c>
      <c r="K188" s="157">
        <f t="shared" si="9"/>
        <v>1.5151305713899879</v>
      </c>
      <c r="L188" s="157">
        <f t="shared" si="10"/>
        <v>1.4745759149531839</v>
      </c>
    </row>
    <row r="189" spans="8:12" x14ac:dyDescent="0.2">
      <c r="H189" s="157">
        <v>184</v>
      </c>
      <c r="I189" s="157">
        <f t="shared" si="11"/>
        <v>382.32403778741627</v>
      </c>
      <c r="J189" s="157">
        <f t="shared" si="8"/>
        <v>105.8638588367231</v>
      </c>
      <c r="K189" s="157">
        <f t="shared" si="9"/>
        <v>1.4366631012993909</v>
      </c>
      <c r="L189" s="157">
        <f t="shared" si="10"/>
        <v>1.4753711042950823</v>
      </c>
    </row>
    <row r="190" spans="8:12" x14ac:dyDescent="0.2">
      <c r="H190" s="157">
        <v>185</v>
      </c>
      <c r="I190" s="157">
        <f t="shared" si="11"/>
        <v>389.97051854316459</v>
      </c>
      <c r="J190" s="157">
        <f t="shared" si="8"/>
        <v>97.981136013457544</v>
      </c>
      <c r="K190" s="157">
        <f t="shared" si="9"/>
        <v>1.4623060653812845</v>
      </c>
      <c r="L190" s="157">
        <f t="shared" si="10"/>
        <v>1.4756378424074619</v>
      </c>
    </row>
    <row r="191" spans="8:12" x14ac:dyDescent="0.2">
      <c r="H191" s="157">
        <v>186</v>
      </c>
      <c r="I191" s="157">
        <f t="shared" si="11"/>
        <v>397.7699289140279</v>
      </c>
      <c r="J191" s="157">
        <f t="shared" si="8"/>
        <v>99.940758733726653</v>
      </c>
      <c r="K191" s="157">
        <f t="shared" si="9"/>
        <v>1.4874462262458872</v>
      </c>
      <c r="L191" s="157">
        <f t="shared" si="10"/>
        <v>1.4753864910791377</v>
      </c>
    </row>
    <row r="192" spans="8:12" x14ac:dyDescent="0.2">
      <c r="H192" s="157">
        <v>187</v>
      </c>
      <c r="I192" s="157">
        <f t="shared" si="11"/>
        <v>405.72532749230845</v>
      </c>
      <c r="J192" s="157">
        <f t="shared" si="8"/>
        <v>101.93957390840117</v>
      </c>
      <c r="K192" s="157">
        <f t="shared" si="9"/>
        <v>1.5120934427798109</v>
      </c>
      <c r="L192" s="157">
        <f t="shared" si="10"/>
        <v>1.4746272089265935</v>
      </c>
    </row>
    <row r="193" spans="8:12" x14ac:dyDescent="0.2">
      <c r="H193" s="157">
        <v>188</v>
      </c>
      <c r="I193" s="157">
        <f t="shared" si="11"/>
        <v>413.83983404215462</v>
      </c>
      <c r="J193" s="157">
        <f t="shared" si="8"/>
        <v>113.97836538656927</v>
      </c>
      <c r="K193" s="157">
        <f t="shared" si="9"/>
        <v>1.4396016294447416</v>
      </c>
      <c r="L193" s="157">
        <f t="shared" si="10"/>
        <v>1.475361840962931</v>
      </c>
    </row>
    <row r="194" spans="8:12" x14ac:dyDescent="0.2">
      <c r="H194" s="157">
        <v>189</v>
      </c>
      <c r="I194" s="157">
        <f t="shared" si="11"/>
        <v>422.11663072299774</v>
      </c>
      <c r="J194" s="157">
        <f t="shared" si="8"/>
        <v>106.25793269430066</v>
      </c>
      <c r="K194" s="157">
        <f t="shared" si="9"/>
        <v>1.4632917645215611</v>
      </c>
      <c r="L194" s="157">
        <f t="shared" si="10"/>
        <v>1.4756082657480003</v>
      </c>
    </row>
    <row r="195" spans="8:12" x14ac:dyDescent="0.2">
      <c r="H195" s="157">
        <v>190</v>
      </c>
      <c r="I195" s="157">
        <f t="shared" si="11"/>
        <v>430.55896333745773</v>
      </c>
      <c r="J195" s="157">
        <f t="shared" si="8"/>
        <v>108.38309134818664</v>
      </c>
      <c r="K195" s="157">
        <f t="shared" si="9"/>
        <v>1.4865173871458948</v>
      </c>
      <c r="L195" s="157">
        <f t="shared" si="10"/>
        <v>1.475376055973002</v>
      </c>
    </row>
    <row r="196" spans="8:12" x14ac:dyDescent="0.2">
      <c r="H196" s="157">
        <v>191</v>
      </c>
      <c r="I196" s="157">
        <f t="shared" si="11"/>
        <v>439.17014260420689</v>
      </c>
      <c r="J196" s="157">
        <f t="shared" si="8"/>
        <v>110.55075317515033</v>
      </c>
      <c r="K196" s="157">
        <f t="shared" si="9"/>
        <v>1.509287605405045</v>
      </c>
      <c r="L196" s="157">
        <f t="shared" si="10"/>
        <v>1.4746745966293107</v>
      </c>
    </row>
    <row r="197" spans="8:12" x14ac:dyDescent="0.2">
      <c r="H197" s="157">
        <v>192</v>
      </c>
      <c r="I197" s="157">
        <f t="shared" si="11"/>
        <v>447.95354545629101</v>
      </c>
      <c r="J197" s="157">
        <f t="shared" si="8"/>
        <v>122.76176823865339</v>
      </c>
      <c r="K197" s="157">
        <f t="shared" si="9"/>
        <v>1.4423163752310733</v>
      </c>
      <c r="L197" s="157">
        <f t="shared" si="10"/>
        <v>1.4753532830758935</v>
      </c>
    </row>
    <row r="198" spans="8:12" x14ac:dyDescent="0.2">
      <c r="H198" s="157">
        <v>193</v>
      </c>
      <c r="I198" s="157">
        <f t="shared" si="11"/>
        <v>456.91261636541685</v>
      </c>
      <c r="J198" s="157">
        <f t="shared" ref="J198:J245" si="12">I198-I197+J194</f>
        <v>115.21700360342651</v>
      </c>
      <c r="K198" s="157">
        <f t="shared" ref="K198:K245" si="13">(J197+J196*2+J195*3)/SUM(J195:J198)</f>
        <v>1.4642023981637435</v>
      </c>
      <c r="L198" s="157">
        <f t="shared" ref="L198:L245" si="14">AVERAGE(K195:K198)</f>
        <v>1.4755809414864394</v>
      </c>
    </row>
    <row r="199" spans="8:12" x14ac:dyDescent="0.2">
      <c r="H199" s="157">
        <v>194</v>
      </c>
      <c r="I199" s="157">
        <f t="shared" ref="I199:I245" si="15">I198*1.02</f>
        <v>466.0508686927252</v>
      </c>
      <c r="J199" s="157">
        <f t="shared" si="12"/>
        <v>117.52134367549499</v>
      </c>
      <c r="K199" s="157">
        <f t="shared" si="13"/>
        <v>1.4856592833918523</v>
      </c>
      <c r="L199" s="157">
        <f t="shared" si="14"/>
        <v>1.4753664155479287</v>
      </c>
    </row>
    <row r="200" spans="8:12" x14ac:dyDescent="0.2">
      <c r="H200" s="157">
        <v>195</v>
      </c>
      <c r="I200" s="157">
        <f t="shared" si="15"/>
        <v>475.37188606657969</v>
      </c>
      <c r="J200" s="157">
        <f t="shared" si="12"/>
        <v>119.87177054900482</v>
      </c>
      <c r="K200" s="157">
        <f t="shared" si="13"/>
        <v>1.5066954453801942</v>
      </c>
      <c r="L200" s="157">
        <f t="shared" si="14"/>
        <v>1.4747183755417157</v>
      </c>
    </row>
    <row r="201" spans="8:12" x14ac:dyDescent="0.2">
      <c r="H201" s="157">
        <v>196</v>
      </c>
      <c r="I201" s="157">
        <f t="shared" si="15"/>
        <v>484.87932378791129</v>
      </c>
      <c r="J201" s="157">
        <f t="shared" si="12"/>
        <v>132.26920595998499</v>
      </c>
      <c r="K201" s="157">
        <f t="shared" si="13"/>
        <v>1.4448243807086012</v>
      </c>
      <c r="L201" s="157">
        <f t="shared" si="14"/>
        <v>1.4753453769110978</v>
      </c>
    </row>
    <row r="202" spans="8:12" x14ac:dyDescent="0.2">
      <c r="H202" s="157">
        <v>197</v>
      </c>
      <c r="I202" s="157">
        <f t="shared" si="15"/>
        <v>494.5769102636695</v>
      </c>
      <c r="J202" s="157">
        <f t="shared" si="12"/>
        <v>124.91459007918472</v>
      </c>
      <c r="K202" s="157">
        <f t="shared" si="13"/>
        <v>1.46504368288886</v>
      </c>
      <c r="L202" s="157">
        <f t="shared" si="14"/>
        <v>1.4755556980923767</v>
      </c>
    </row>
    <row r="203" spans="8:12" x14ac:dyDescent="0.2">
      <c r="H203" s="157">
        <v>198</v>
      </c>
      <c r="I203" s="157">
        <f t="shared" si="15"/>
        <v>504.46844846894288</v>
      </c>
      <c r="J203" s="157">
        <f t="shared" si="12"/>
        <v>127.41288188076837</v>
      </c>
      <c r="K203" s="157">
        <f t="shared" si="13"/>
        <v>1.4848665281636235</v>
      </c>
      <c r="L203" s="157">
        <f t="shared" si="14"/>
        <v>1.4753575092853197</v>
      </c>
    </row>
    <row r="204" spans="8:12" x14ac:dyDescent="0.2">
      <c r="H204" s="157">
        <v>199</v>
      </c>
      <c r="I204" s="157">
        <f t="shared" si="15"/>
        <v>514.55781743832176</v>
      </c>
      <c r="J204" s="157">
        <f t="shared" si="12"/>
        <v>129.9611395183837</v>
      </c>
      <c r="K204" s="157">
        <f t="shared" si="13"/>
        <v>1.5043006901977063</v>
      </c>
      <c r="L204" s="157">
        <f t="shared" si="14"/>
        <v>1.4747588204896975</v>
      </c>
    </row>
    <row r="205" spans="8:12" x14ac:dyDescent="0.2">
      <c r="H205" s="157">
        <v>200</v>
      </c>
      <c r="I205" s="157">
        <f t="shared" si="15"/>
        <v>524.8489737870882</v>
      </c>
      <c r="J205" s="157">
        <f t="shared" si="12"/>
        <v>142.56036230875142</v>
      </c>
      <c r="K205" s="157">
        <f t="shared" si="13"/>
        <v>1.4471413900974646</v>
      </c>
      <c r="L205" s="157">
        <f t="shared" si="14"/>
        <v>1.4753380728369136</v>
      </c>
    </row>
    <row r="206" spans="8:12" x14ac:dyDescent="0.2">
      <c r="H206" s="157">
        <v>201</v>
      </c>
      <c r="I206" s="157">
        <f t="shared" si="15"/>
        <v>535.34595326282999</v>
      </c>
      <c r="J206" s="157">
        <f t="shared" si="12"/>
        <v>135.41156955492653</v>
      </c>
      <c r="K206" s="157">
        <f t="shared" si="13"/>
        <v>1.465820899934144</v>
      </c>
      <c r="L206" s="157">
        <f t="shared" si="14"/>
        <v>1.4755323770982347</v>
      </c>
    </row>
    <row r="207" spans="8:12" x14ac:dyDescent="0.2">
      <c r="H207" s="157">
        <v>202</v>
      </c>
      <c r="I207" s="157">
        <f t="shared" si="15"/>
        <v>546.05287232808655</v>
      </c>
      <c r="J207" s="157">
        <f t="shared" si="12"/>
        <v>138.11980094602492</v>
      </c>
      <c r="K207" s="157">
        <f t="shared" si="13"/>
        <v>1.4841341448720666</v>
      </c>
      <c r="L207" s="157">
        <f t="shared" si="14"/>
        <v>1.4753492812753453</v>
      </c>
    </row>
    <row r="208" spans="8:12" x14ac:dyDescent="0.2">
      <c r="H208" s="157">
        <v>203</v>
      </c>
      <c r="I208" s="157">
        <f t="shared" si="15"/>
        <v>556.97392977464824</v>
      </c>
      <c r="J208" s="157">
        <f t="shared" si="12"/>
        <v>140.88219696494539</v>
      </c>
      <c r="K208" s="157">
        <f t="shared" si="13"/>
        <v>1.5020883065759119</v>
      </c>
      <c r="L208" s="157">
        <f t="shared" si="14"/>
        <v>1.4747961853698968</v>
      </c>
    </row>
    <row r="209" spans="8:12" x14ac:dyDescent="0.2">
      <c r="H209" s="157">
        <v>204</v>
      </c>
      <c r="I209" s="157">
        <f t="shared" si="15"/>
        <v>568.1134083701412</v>
      </c>
      <c r="J209" s="157">
        <f t="shared" si="12"/>
        <v>153.69984090424438</v>
      </c>
      <c r="K209" s="157">
        <f t="shared" si="13"/>
        <v>1.4492819486234267</v>
      </c>
      <c r="L209" s="157">
        <f t="shared" si="14"/>
        <v>1.4753313250013873</v>
      </c>
    </row>
    <row r="210" spans="8:12" x14ac:dyDescent="0.2">
      <c r="H210" s="157">
        <v>205</v>
      </c>
      <c r="I210" s="157">
        <f t="shared" si="15"/>
        <v>579.47567653754402</v>
      </c>
      <c r="J210" s="157">
        <f t="shared" si="12"/>
        <v>146.77383772232935</v>
      </c>
      <c r="K210" s="157">
        <f t="shared" si="13"/>
        <v>1.46653892834646</v>
      </c>
      <c r="L210" s="157">
        <f t="shared" si="14"/>
        <v>1.4755108321044663</v>
      </c>
    </row>
    <row r="211" spans="8:12" x14ac:dyDescent="0.2">
      <c r="H211" s="157">
        <v>206</v>
      </c>
      <c r="I211" s="157">
        <f t="shared" si="15"/>
        <v>591.0651900682949</v>
      </c>
      <c r="J211" s="157">
        <f t="shared" si="12"/>
        <v>149.7093144767758</v>
      </c>
      <c r="K211" s="157">
        <f t="shared" si="13"/>
        <v>1.4834575359180631</v>
      </c>
      <c r="L211" s="157">
        <f t="shared" si="14"/>
        <v>1.4753416798659655</v>
      </c>
    </row>
    <row r="212" spans="8:12" x14ac:dyDescent="0.2">
      <c r="H212" s="157">
        <v>207</v>
      </c>
      <c r="I212" s="157">
        <f t="shared" si="15"/>
        <v>602.88649386966085</v>
      </c>
      <c r="J212" s="157">
        <f t="shared" si="12"/>
        <v>152.70350076631135</v>
      </c>
      <c r="K212" s="157">
        <f t="shared" si="13"/>
        <v>1.5000444060863007</v>
      </c>
      <c r="L212" s="157">
        <f t="shared" si="14"/>
        <v>1.4748307047435627</v>
      </c>
    </row>
    <row r="213" spans="8:12" x14ac:dyDescent="0.2">
      <c r="H213" s="157">
        <v>208</v>
      </c>
      <c r="I213" s="157">
        <f t="shared" si="15"/>
        <v>614.94422374705402</v>
      </c>
      <c r="J213" s="157">
        <f t="shared" si="12"/>
        <v>165.75757078163755</v>
      </c>
      <c r="K213" s="157">
        <f t="shared" si="13"/>
        <v>1.4512594938267787</v>
      </c>
      <c r="L213" s="157">
        <f t="shared" si="14"/>
        <v>1.4753250910444007</v>
      </c>
    </row>
    <row r="214" spans="8:12" x14ac:dyDescent="0.2">
      <c r="H214" s="157">
        <v>209</v>
      </c>
      <c r="I214" s="157">
        <f t="shared" si="15"/>
        <v>627.24310822199516</v>
      </c>
      <c r="J214" s="157">
        <f t="shared" si="12"/>
        <v>159.07272219727048</v>
      </c>
      <c r="K214" s="157">
        <f t="shared" si="13"/>
        <v>1.4672022756109353</v>
      </c>
      <c r="L214" s="157">
        <f t="shared" si="14"/>
        <v>1.4754909278605195</v>
      </c>
    </row>
    <row r="215" spans="8:12" x14ac:dyDescent="0.2">
      <c r="H215" s="157">
        <v>210</v>
      </c>
      <c r="I215" s="157">
        <f t="shared" si="15"/>
        <v>639.78797038643506</v>
      </c>
      <c r="J215" s="157">
        <f t="shared" si="12"/>
        <v>162.25417664121571</v>
      </c>
      <c r="K215" s="157">
        <f t="shared" si="13"/>
        <v>1.4828324538306983</v>
      </c>
      <c r="L215" s="157">
        <f t="shared" si="14"/>
        <v>1.4753346573386783</v>
      </c>
    </row>
    <row r="216" spans="8:12" x14ac:dyDescent="0.2">
      <c r="H216" s="157">
        <v>211</v>
      </c>
      <c r="I216" s="157">
        <f t="shared" si="15"/>
        <v>652.58372979416379</v>
      </c>
      <c r="J216" s="157">
        <f t="shared" si="12"/>
        <v>165.49926017404007</v>
      </c>
      <c r="K216" s="157">
        <f t="shared" si="13"/>
        <v>1.4981561579677203</v>
      </c>
      <c r="L216" s="157">
        <f t="shared" si="14"/>
        <v>1.4748625953090333</v>
      </c>
    </row>
    <row r="217" spans="8:12" x14ac:dyDescent="0.2">
      <c r="H217" s="157">
        <v>212</v>
      </c>
      <c r="I217" s="157">
        <f t="shared" si="15"/>
        <v>665.63540439004703</v>
      </c>
      <c r="J217" s="157">
        <f t="shared" si="12"/>
        <v>178.8092453775208</v>
      </c>
      <c r="K217" s="157">
        <f t="shared" si="13"/>
        <v>1.4530864399176564</v>
      </c>
      <c r="L217" s="157">
        <f t="shared" si="14"/>
        <v>1.4753193318317526</v>
      </c>
    </row>
    <row r="218" spans="8:12" x14ac:dyDescent="0.2">
      <c r="H218" s="157">
        <v>213</v>
      </c>
      <c r="I218" s="157">
        <f t="shared" si="15"/>
        <v>678.94811247784799</v>
      </c>
      <c r="J218" s="157">
        <f t="shared" si="12"/>
        <v>172.38543028507144</v>
      </c>
      <c r="K218" s="157">
        <f t="shared" si="13"/>
        <v>1.4678151059470881</v>
      </c>
      <c r="L218" s="157">
        <f t="shared" si="14"/>
        <v>1.4754725394157908</v>
      </c>
    </row>
    <row r="219" spans="8:12" x14ac:dyDescent="0.2">
      <c r="H219" s="157">
        <v>214</v>
      </c>
      <c r="I219" s="157">
        <f t="shared" si="15"/>
        <v>692.52707472740497</v>
      </c>
      <c r="J219" s="157">
        <f t="shared" si="12"/>
        <v>175.83313889077269</v>
      </c>
      <c r="K219" s="157">
        <f t="shared" si="13"/>
        <v>1.4822549746033953</v>
      </c>
      <c r="L219" s="157">
        <f t="shared" si="14"/>
        <v>1.4753281696089651</v>
      </c>
    </row>
    <row r="220" spans="8:12" x14ac:dyDescent="0.2">
      <c r="H220" s="157">
        <v>215</v>
      </c>
      <c r="I220" s="157">
        <f t="shared" si="15"/>
        <v>706.37761622195308</v>
      </c>
      <c r="J220" s="157">
        <f t="shared" si="12"/>
        <v>179.34980166858819</v>
      </c>
      <c r="K220" s="157">
        <f t="shared" si="13"/>
        <v>1.4964117085801667</v>
      </c>
      <c r="L220" s="157">
        <f t="shared" si="14"/>
        <v>1.4748920572620765</v>
      </c>
    </row>
    <row r="221" spans="8:12" x14ac:dyDescent="0.2">
      <c r="H221" s="157">
        <v>216</v>
      </c>
      <c r="I221" s="157">
        <f t="shared" si="15"/>
        <v>720.50516854639216</v>
      </c>
      <c r="J221" s="157">
        <f t="shared" si="12"/>
        <v>192.93679770195988</v>
      </c>
      <c r="K221" s="157">
        <f t="shared" si="13"/>
        <v>1.4547742557073107</v>
      </c>
      <c r="L221" s="157">
        <f t="shared" si="14"/>
        <v>1.4753140112094902</v>
      </c>
    </row>
    <row r="222" spans="8:12" x14ac:dyDescent="0.2">
      <c r="H222" s="157">
        <v>217</v>
      </c>
      <c r="I222" s="157">
        <f t="shared" si="15"/>
        <v>734.91527191731996</v>
      </c>
      <c r="J222" s="157">
        <f t="shared" si="12"/>
        <v>186.79553365599924</v>
      </c>
      <c r="K222" s="157">
        <f t="shared" si="13"/>
        <v>1.4683812664500733</v>
      </c>
      <c r="L222" s="157">
        <f t="shared" si="14"/>
        <v>1.4754555513352365</v>
      </c>
    </row>
    <row r="223" spans="8:12" x14ac:dyDescent="0.2">
      <c r="H223" s="157">
        <v>218</v>
      </c>
      <c r="I223" s="157">
        <f t="shared" si="15"/>
        <v>749.61357735566639</v>
      </c>
      <c r="J223" s="157">
        <f t="shared" si="12"/>
        <v>190.53144432911913</v>
      </c>
      <c r="K223" s="157">
        <f t="shared" si="13"/>
        <v>1.4817214730606258</v>
      </c>
      <c r="L223" s="157">
        <f t="shared" si="14"/>
        <v>1.4753221759495441</v>
      </c>
    </row>
    <row r="224" spans="8:12" x14ac:dyDescent="0.2">
      <c r="H224" s="157">
        <v>219</v>
      </c>
      <c r="I224" s="157">
        <f t="shared" si="15"/>
        <v>764.60584890277971</v>
      </c>
      <c r="J224" s="157">
        <f t="shared" si="12"/>
        <v>194.3420732157015</v>
      </c>
      <c r="K224" s="157">
        <f t="shared" si="13"/>
        <v>1.4948001069925405</v>
      </c>
      <c r="L224" s="157">
        <f t="shared" si="14"/>
        <v>1.4749192755526377</v>
      </c>
    </row>
    <row r="225" spans="8:12" x14ac:dyDescent="0.2">
      <c r="H225" s="157">
        <v>220</v>
      </c>
      <c r="I225" s="157">
        <f t="shared" si="15"/>
        <v>779.89796588083527</v>
      </c>
      <c r="J225" s="157">
        <f t="shared" si="12"/>
        <v>208.22891468001544</v>
      </c>
      <c r="K225" s="157">
        <f t="shared" si="13"/>
        <v>1.4563335366045578</v>
      </c>
      <c r="L225" s="157">
        <f t="shared" si="14"/>
        <v>1.4753090957769495</v>
      </c>
    </row>
    <row r="226" spans="8:12" x14ac:dyDescent="0.2">
      <c r="H226" s="157">
        <v>221</v>
      </c>
      <c r="I226" s="157">
        <f t="shared" si="15"/>
        <v>795.49592519845203</v>
      </c>
      <c r="J226" s="157">
        <f t="shared" si="12"/>
        <v>202.39349297361599</v>
      </c>
      <c r="K226" s="157">
        <f t="shared" si="13"/>
        <v>1.4689043112411526</v>
      </c>
      <c r="L226" s="157">
        <f t="shared" si="14"/>
        <v>1.4754398569747194</v>
      </c>
    </row>
    <row r="227" spans="8:12" x14ac:dyDescent="0.2">
      <c r="H227" s="157">
        <v>222</v>
      </c>
      <c r="I227" s="157">
        <f t="shared" si="15"/>
        <v>811.40584370242107</v>
      </c>
      <c r="J227" s="157">
        <f t="shared" si="12"/>
        <v>206.44136283308816</v>
      </c>
      <c r="K227" s="157">
        <f t="shared" si="13"/>
        <v>1.4812286001005606</v>
      </c>
      <c r="L227" s="157">
        <f t="shared" si="14"/>
        <v>1.4753166387347028</v>
      </c>
    </row>
    <row r="228" spans="8:12" x14ac:dyDescent="0.2">
      <c r="H228" s="157">
        <v>223</v>
      </c>
      <c r="I228" s="157">
        <f t="shared" si="15"/>
        <v>827.63396057646946</v>
      </c>
      <c r="J228" s="157">
        <f t="shared" si="12"/>
        <v>210.5701900897499</v>
      </c>
      <c r="K228" s="157">
        <f t="shared" si="13"/>
        <v>1.4933112362372347</v>
      </c>
      <c r="L228" s="157">
        <f t="shared" si="14"/>
        <v>1.4749444210458762</v>
      </c>
    </row>
    <row r="229" spans="8:12" x14ac:dyDescent="0.2">
      <c r="H229" s="157">
        <v>224</v>
      </c>
      <c r="I229" s="157">
        <f t="shared" si="15"/>
        <v>844.18663978799884</v>
      </c>
      <c r="J229" s="157">
        <f t="shared" si="12"/>
        <v>224.78159389154482</v>
      </c>
      <c r="K229" s="157">
        <f t="shared" si="13"/>
        <v>1.4577740711293701</v>
      </c>
      <c r="L229" s="157">
        <f t="shared" si="14"/>
        <v>1.4753045546770793</v>
      </c>
    </row>
    <row r="230" spans="8:12" x14ac:dyDescent="0.2">
      <c r="H230" s="157">
        <v>225</v>
      </c>
      <c r="I230" s="157">
        <f t="shared" si="15"/>
        <v>861.07037258375885</v>
      </c>
      <c r="J230" s="157">
        <f t="shared" si="12"/>
        <v>219.277225769376</v>
      </c>
      <c r="K230" s="157">
        <f t="shared" si="13"/>
        <v>1.4693875237789984</v>
      </c>
      <c r="L230" s="157">
        <f t="shared" si="14"/>
        <v>1.4754253578115408</v>
      </c>
    </row>
    <row r="231" spans="8:12" x14ac:dyDescent="0.2">
      <c r="H231" s="157">
        <v>226</v>
      </c>
      <c r="I231" s="157">
        <f t="shared" si="15"/>
        <v>878.29178003543404</v>
      </c>
      <c r="J231" s="157">
        <f t="shared" si="12"/>
        <v>223.66277028476335</v>
      </c>
      <c r="K231" s="157">
        <f t="shared" si="13"/>
        <v>1.4807732616707916</v>
      </c>
      <c r="L231" s="157">
        <f t="shared" si="14"/>
        <v>1.4753115232040988</v>
      </c>
    </row>
    <row r="232" spans="8:12" x14ac:dyDescent="0.2">
      <c r="H232" s="157">
        <v>227</v>
      </c>
      <c r="I232" s="157">
        <f t="shared" si="15"/>
        <v>895.85761563614278</v>
      </c>
      <c r="J232" s="157">
        <f t="shared" si="12"/>
        <v>228.13602569045864</v>
      </c>
      <c r="K232" s="157">
        <f t="shared" si="13"/>
        <v>1.491935749800001</v>
      </c>
      <c r="L232" s="157">
        <f t="shared" si="14"/>
        <v>1.4749676515947905</v>
      </c>
    </row>
    <row r="233" spans="8:12" x14ac:dyDescent="0.2">
      <c r="H233" s="157">
        <v>228</v>
      </c>
      <c r="I233" s="157">
        <f t="shared" si="15"/>
        <v>913.7747679488657</v>
      </c>
      <c r="J233" s="157">
        <f t="shared" si="12"/>
        <v>242.69874620426774</v>
      </c>
      <c r="K233" s="157">
        <f t="shared" si="13"/>
        <v>1.4591049023611513</v>
      </c>
      <c r="L233" s="157">
        <f t="shared" si="14"/>
        <v>1.4753003594027354</v>
      </c>
    </row>
    <row r="234" spans="8:12" x14ac:dyDescent="0.2">
      <c r="H234" s="157">
        <v>229</v>
      </c>
      <c r="I234" s="157">
        <f t="shared" si="15"/>
        <v>932.05026330784301</v>
      </c>
      <c r="J234" s="157">
        <f t="shared" si="12"/>
        <v>237.55272112835331</v>
      </c>
      <c r="K234" s="157">
        <f t="shared" si="13"/>
        <v>1.4698339374718861</v>
      </c>
      <c r="L234" s="157">
        <f t="shared" si="14"/>
        <v>1.4754119628259574</v>
      </c>
    </row>
    <row r="235" spans="8:12" x14ac:dyDescent="0.2">
      <c r="H235" s="157">
        <v>230</v>
      </c>
      <c r="I235" s="157">
        <f t="shared" si="15"/>
        <v>950.69126857399988</v>
      </c>
      <c r="J235" s="157">
        <f t="shared" si="12"/>
        <v>242.30377555092022</v>
      </c>
      <c r="K235" s="157">
        <f t="shared" si="13"/>
        <v>1.4803525993451561</v>
      </c>
      <c r="L235" s="157">
        <f t="shared" si="14"/>
        <v>1.4753067972445488</v>
      </c>
    </row>
    <row r="236" spans="8:12" x14ac:dyDescent="0.2">
      <c r="H236" s="157">
        <v>231</v>
      </c>
      <c r="I236" s="157">
        <f t="shared" si="15"/>
        <v>969.70509394547992</v>
      </c>
      <c r="J236" s="157">
        <f t="shared" si="12"/>
        <v>247.14985106193868</v>
      </c>
      <c r="K236" s="157">
        <f t="shared" si="13"/>
        <v>1.4906650129464014</v>
      </c>
      <c r="L236" s="157">
        <f t="shared" si="14"/>
        <v>1.4749891130311488</v>
      </c>
    </row>
    <row r="237" spans="8:12" x14ac:dyDescent="0.2">
      <c r="H237" s="157">
        <v>232</v>
      </c>
      <c r="I237" s="157">
        <f t="shared" si="15"/>
        <v>989.09919582438954</v>
      </c>
      <c r="J237" s="157">
        <f t="shared" si="12"/>
        <v>262.09284808317739</v>
      </c>
      <c r="K237" s="157">
        <f t="shared" si="13"/>
        <v>1.4603343847074455</v>
      </c>
      <c r="L237" s="157">
        <f t="shared" si="14"/>
        <v>1.475296483617722</v>
      </c>
    </row>
    <row r="238" spans="8:12" x14ac:dyDescent="0.2">
      <c r="H238" s="157">
        <v>233</v>
      </c>
      <c r="I238" s="157">
        <f t="shared" si="15"/>
        <v>1008.8811797408773</v>
      </c>
      <c r="J238" s="157">
        <f t="shared" si="12"/>
        <v>257.33470504484109</v>
      </c>
      <c r="K238" s="157">
        <f t="shared" si="13"/>
        <v>1.4702463547201758</v>
      </c>
      <c r="L238" s="157">
        <f t="shared" si="14"/>
        <v>1.475399587929795</v>
      </c>
    </row>
    <row r="239" spans="8:12" x14ac:dyDescent="0.2">
      <c r="H239" s="157">
        <v>234</v>
      </c>
      <c r="I239" s="157">
        <f t="shared" si="15"/>
        <v>1029.0588033356948</v>
      </c>
      <c r="J239" s="157">
        <f t="shared" si="12"/>
        <v>262.48139914573778</v>
      </c>
      <c r="K239" s="157">
        <f t="shared" si="13"/>
        <v>1.479963972379716</v>
      </c>
      <c r="L239" s="157">
        <f t="shared" si="14"/>
        <v>1.4753024311884348</v>
      </c>
    </row>
    <row r="240" spans="8:12" x14ac:dyDescent="0.2">
      <c r="H240" s="157">
        <v>235</v>
      </c>
      <c r="I240" s="157">
        <f t="shared" si="15"/>
        <v>1049.6399794024087</v>
      </c>
      <c r="J240" s="157">
        <f t="shared" si="12"/>
        <v>267.7310271286525</v>
      </c>
      <c r="K240" s="157">
        <f t="shared" si="13"/>
        <v>1.48949104851652</v>
      </c>
      <c r="L240" s="157">
        <f t="shared" si="14"/>
        <v>1.4750089400809643</v>
      </c>
    </row>
    <row r="241" spans="8:12" x14ac:dyDescent="0.2">
      <c r="H241" s="157">
        <v>236</v>
      </c>
      <c r="I241" s="157">
        <f t="shared" si="15"/>
        <v>1070.6327789904569</v>
      </c>
      <c r="J241" s="157">
        <f t="shared" si="12"/>
        <v>283.08564767122562</v>
      </c>
      <c r="K241" s="157">
        <f t="shared" si="13"/>
        <v>1.4614702363494494</v>
      </c>
      <c r="L241" s="157">
        <f t="shared" si="14"/>
        <v>1.4752929029914654</v>
      </c>
    </row>
    <row r="242" spans="8:12" x14ac:dyDescent="0.2">
      <c r="H242" s="157">
        <v>237</v>
      </c>
      <c r="I242" s="157">
        <f t="shared" si="15"/>
        <v>1092.045434570266</v>
      </c>
      <c r="J242" s="157">
        <f t="shared" si="12"/>
        <v>278.74736062465018</v>
      </c>
      <c r="K242" s="157">
        <f t="shared" si="13"/>
        <v>1.4706273645086227</v>
      </c>
      <c r="L242" s="157">
        <f t="shared" si="14"/>
        <v>1.475388155438577</v>
      </c>
    </row>
    <row r="243" spans="8:12" x14ac:dyDescent="0.2">
      <c r="H243" s="157">
        <v>238</v>
      </c>
      <c r="I243" s="157">
        <f t="shared" si="15"/>
        <v>1113.8863432616713</v>
      </c>
      <c r="J243" s="157">
        <f t="shared" si="12"/>
        <v>284.32230783714306</v>
      </c>
      <c r="K243" s="157">
        <f t="shared" si="13"/>
        <v>1.4796049411352632</v>
      </c>
      <c r="L243" s="157">
        <f t="shared" si="14"/>
        <v>1.4752983976274638</v>
      </c>
    </row>
    <row r="244" spans="8:12" x14ac:dyDescent="0.2">
      <c r="H244" s="157">
        <v>239</v>
      </c>
      <c r="I244" s="157">
        <f t="shared" si="15"/>
        <v>1136.1640701269048</v>
      </c>
      <c r="J244" s="157">
        <f t="shared" si="12"/>
        <v>290.00875399388599</v>
      </c>
      <c r="K244" s="157">
        <f t="shared" si="13"/>
        <v>1.4884064868476561</v>
      </c>
      <c r="L244" s="157">
        <f t="shared" si="14"/>
        <v>1.4750272572102479</v>
      </c>
    </row>
    <row r="245" spans="8:12" x14ac:dyDescent="0.2">
      <c r="H245" s="157">
        <v>240</v>
      </c>
      <c r="I245" s="157">
        <f t="shared" si="15"/>
        <v>1158.8873515294429</v>
      </c>
      <c r="J245" s="157">
        <f t="shared" si="12"/>
        <v>305.80892907376369</v>
      </c>
      <c r="K245" s="157">
        <f t="shared" si="13"/>
        <v>1.4625195876935599</v>
      </c>
      <c r="L245" s="157">
        <f t="shared" si="14"/>
        <v>1.4752895950462754</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90</vt:i4>
      </vt:variant>
    </vt:vector>
  </HeadingPairs>
  <TitlesOfParts>
    <vt:vector size="96" baseType="lpstr">
      <vt:lpstr>READ_ME</vt:lpstr>
      <vt:lpstr>RSCLASS</vt:lpstr>
      <vt:lpstr>RSMEQP</vt:lpstr>
      <vt:lpstr>RSMSHL</vt:lpstr>
      <vt:lpstr>TaxCred&amp;Subs</vt:lpstr>
      <vt:lpstr>Average of weibull life</vt:lpstr>
      <vt:lpstr>ClsRecords</vt:lpstr>
      <vt:lpstr>EqpRecords</vt:lpstr>
      <vt:lpstr>MNUMRTTY</vt:lpstr>
      <vt:lpstr>nClDryClasses</vt:lpstr>
      <vt:lpstr>nClDryTypes</vt:lpstr>
      <vt:lpstr>nClWashClasses</vt:lpstr>
      <vt:lpstr>nClWashTypes</vt:lpstr>
      <vt:lpstr>nCookClasses</vt:lpstr>
      <vt:lpstr>nCookTypes</vt:lpstr>
      <vt:lpstr>nCoolClasses</vt:lpstr>
      <vt:lpstr>nCoolTypes</vt:lpstr>
      <vt:lpstr>nDishClasses</vt:lpstr>
      <vt:lpstr>nDishTypes</vt:lpstr>
      <vt:lpstr>nFrezClasses</vt:lpstr>
      <vt:lpstr>nFrezTypes</vt:lpstr>
      <vt:lpstr>nHeatClasses</vt:lpstr>
      <vt:lpstr>nHeatTypes</vt:lpstr>
      <vt:lpstr>nRefrClasses</vt:lpstr>
      <vt:lpstr>nRefrTypes</vt:lpstr>
      <vt:lpstr>nShellTypes</vt:lpstr>
      <vt:lpstr>nWatHtClasses</vt:lpstr>
      <vt:lpstr>nWatHtTypes</vt:lpstr>
      <vt:lpstr>RSHLDOLLARYR</vt:lpstr>
      <vt:lpstr>RTEKDOLLARYR</vt:lpstr>
      <vt:lpstr>ShlRecords</vt:lpstr>
      <vt:lpstr>xlCLSHBASE</vt:lpstr>
      <vt:lpstr>xlCLSHEFF</vt:lpstr>
      <vt:lpstr>xlCWMEF</vt:lpstr>
      <vt:lpstr>xlHTSHBASE</vt:lpstr>
      <vt:lpstr>xlHTSHEFF</vt:lpstr>
      <vt:lpstr>xlHVACPNTR</vt:lpstr>
      <vt:lpstr>xlHVCLEQCL</vt:lpstr>
      <vt:lpstr>xlHVCLEQTY</vt:lpstr>
      <vt:lpstr>xlHVCOOLFACTOR</vt:lpstr>
      <vt:lpstr>xlHVFYEAR</vt:lpstr>
      <vt:lpstr>xlHVHEATFACTOR</vt:lpstr>
      <vt:lpstr>xlHVHTEQCL</vt:lpstr>
      <vt:lpstr>xlHVHTEQTY</vt:lpstr>
      <vt:lpstr>xlHVLYEAR</vt:lpstr>
      <vt:lpstr>xlHVPACKG</vt:lpstr>
      <vt:lpstr>xlHVPGNAME</vt:lpstr>
      <vt:lpstr>xlLOADADJ</vt:lpstr>
      <vt:lpstr>xlRSBTYPE</vt:lpstr>
      <vt:lpstr>xlRSCENDIV</vt:lpstr>
      <vt:lpstr>xlRTALPHA</vt:lpstr>
      <vt:lpstr>xlRTBASEFF</vt:lpstr>
      <vt:lpstr>xlRTCENDIV</vt:lpstr>
      <vt:lpstr>xlRTCLENDU</vt:lpstr>
      <vt:lpstr>xlRTCLEQCL</vt:lpstr>
      <vt:lpstr>xlRTCLNAME</vt:lpstr>
      <vt:lpstr>xlRTCLPNTR</vt:lpstr>
      <vt:lpstr>xlRTCLREPL</vt:lpstr>
      <vt:lpstr>xlRTCLTYPT</vt:lpstr>
      <vt:lpstr>xlRTCOSTP1</vt:lpstr>
      <vt:lpstr>xlRTCOSTP2</vt:lpstr>
      <vt:lpstr>xlRTCOSTP3</vt:lpstr>
      <vt:lpstr>xlRTECBIAS</vt:lpstr>
      <vt:lpstr>xlRTECBTA1</vt:lpstr>
      <vt:lpstr>xlRTECBTA2</vt:lpstr>
      <vt:lpstr>xlRTECBTA3</vt:lpstr>
      <vt:lpstr>xlRTEQCOST</vt:lpstr>
      <vt:lpstr>xlRTEQEFF</vt:lpstr>
      <vt:lpstr>xlRTEQSUB</vt:lpstr>
      <vt:lpstr>xlRTEQSUB111D</vt:lpstr>
      <vt:lpstr>xlRTEQSUBN</vt:lpstr>
      <vt:lpstr>xlRTEQTYPE</vt:lpstr>
      <vt:lpstr>xlRTFCBETA</vt:lpstr>
      <vt:lpstr>xlRTFFAN</vt:lpstr>
      <vt:lpstr>xlRTFUEL</vt:lpstr>
      <vt:lpstr>xlRTINITYR</vt:lpstr>
      <vt:lpstr>xlRTK</vt:lpstr>
      <vt:lpstr>xlRTLAMBDA</vt:lpstr>
      <vt:lpstr>xlRTLASTYR</vt:lpstr>
      <vt:lpstr>xlRTMATURE</vt:lpstr>
      <vt:lpstr>xlRTMAXLIF</vt:lpstr>
      <vt:lpstr>xlRTMINLIF</vt:lpstr>
      <vt:lpstr>xlRTRECOST</vt:lpstr>
      <vt:lpstr>xlRTRESUB</vt:lpstr>
      <vt:lpstr>xlRTRESUB111D</vt:lpstr>
      <vt:lpstr>xlRTRESUBN</vt:lpstr>
      <vt:lpstr>xlRTSWBETA</vt:lpstr>
      <vt:lpstr>xlRTSWBIAS</vt:lpstr>
      <vt:lpstr>xlRTSWFACT</vt:lpstr>
      <vt:lpstr>xlRTTYENDU</vt:lpstr>
      <vt:lpstr>xlRTTYEQCL</vt:lpstr>
      <vt:lpstr>xlRTTYNAME</vt:lpstr>
      <vt:lpstr>xlRTTYPNTR</vt:lpstr>
      <vt:lpstr>xlSHELCOST</vt:lpstr>
      <vt:lpstr>xlSHELSUB</vt:lpstr>
      <vt:lpstr>xlSHELSUB111D</vt:lpstr>
    </vt:vector>
  </TitlesOfParts>
  <Company>EIA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Jarzomski, Kevin</dc:creator>
  <cp:lastModifiedBy>David Elder</cp:lastModifiedBy>
  <dcterms:created xsi:type="dcterms:W3CDTF">2016-01-15T13:46:54Z</dcterms:created>
  <dcterms:modified xsi:type="dcterms:W3CDTF">2023-07-26T19:59:17Z</dcterms:modified>
</cp:coreProperties>
</file>