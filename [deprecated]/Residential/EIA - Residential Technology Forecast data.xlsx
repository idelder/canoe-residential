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0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toronto-my.sharepoint.com/personal/daniel_posen_utoronto_ca/Documents/Academia/File Sharing/Alliance Mission - TEMOA/Full team - TEMOA/TEMOA model and data/Data sources/Buildings/Residential/"/>
    </mc:Choice>
  </mc:AlternateContent>
  <xr:revisionPtr revIDLastSave="1" documentId="8_{1D2C3C9E-8130-444D-A434-42D3194DF28B}" xr6:coauthVersionLast="47" xr6:coauthVersionMax="47" xr10:uidLastSave="{2C4B3BA1-30E3-4313-9853-500EBD9FFD1C}"/>
  <bookViews>
    <workbookView xWindow="-120" yWindow="-120" windowWidth="29040" windowHeight="15840" firstSheet="19" activeTab="19" xr2:uid="{03F08783-9248-4373-B7B4-1ABF37010D04}"/>
  </bookViews>
  <sheets>
    <sheet name="R_SPH_NGS" sheetId="1" r:id="rId1"/>
    <sheet name="R_SPH_OIL" sheetId="3" r:id="rId2"/>
    <sheet name="R_SPH_ELC_FRN" sheetId="5" r:id="rId3"/>
    <sheet name="R_SPH_ELC_RES" sheetId="6" r:id="rId4"/>
    <sheet name="R_SPC_AC_CEN" sheetId="8" r:id="rId5"/>
    <sheet name="R_SPC_AC_ROM" sheetId="12" r:id="rId6"/>
    <sheet name="R_SPC_AC_PORT" sheetId="15" r:id="rId7"/>
    <sheet name="R_SPHC_HP_AIR" sheetId="16" r:id="rId8"/>
    <sheet name="R_SPHC_HP_AIR_DMS" sheetId="22" r:id="rId9"/>
    <sheet name="R_SPHC_HP_GND" sheetId="24" r:id="rId10"/>
    <sheet name="R_SPHC_HP_NGS" sheetId="25" r:id="rId11"/>
    <sheet name="R_SPH_WOD_CRD" sheetId="27" r:id="rId12"/>
    <sheet name="R_SPH_WOD_PEL" sheetId="29" r:id="rId13"/>
    <sheet name="R_WAH_GAS" sheetId="31" r:id="rId14"/>
    <sheet name="R_WAH_OIL" sheetId="32" r:id="rId15"/>
    <sheet name="R_WAH_ELC" sheetId="34" r:id="rId16"/>
    <sheet name="R_WAH_HP" sheetId="37" r:id="rId17"/>
    <sheet name="R_WAH_SOL" sheetId="39" r:id="rId18"/>
    <sheet name="R_WAH_GAS_INST" sheetId="41" r:id="rId19"/>
    <sheet name="R_WAH_ELC_INST" sheetId="42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39" l="1"/>
  <c r="B15" i="39" s="1"/>
  <c r="E20" i="42"/>
  <c r="D20" i="42"/>
  <c r="C20" i="42"/>
  <c r="B20" i="42"/>
  <c r="B16" i="42"/>
  <c r="C7" i="42" s="1"/>
  <c r="B13" i="42"/>
  <c r="E9" i="42"/>
  <c r="C9" i="42"/>
  <c r="E8" i="42"/>
  <c r="C8" i="42"/>
  <c r="E7" i="42"/>
  <c r="C13" i="41"/>
  <c r="E29" i="41"/>
  <c r="D29" i="41"/>
  <c r="C29" i="41"/>
  <c r="B29" i="41"/>
  <c r="B25" i="41"/>
  <c r="E7" i="41" s="1"/>
  <c r="B22" i="41"/>
  <c r="E14" i="41"/>
  <c r="C14" i="41"/>
  <c r="E13" i="41"/>
  <c r="E9" i="41"/>
  <c r="C9" i="41"/>
  <c r="E8" i="41"/>
  <c r="C8" i="41"/>
  <c r="E4" i="42" l="1"/>
  <c r="E5" i="42"/>
  <c r="C6" i="42"/>
  <c r="E3" i="42"/>
  <c r="C4" i="42"/>
  <c r="E6" i="42"/>
  <c r="C3" i="42"/>
  <c r="C5" i="42"/>
  <c r="C15" i="41"/>
  <c r="E15" i="41"/>
  <c r="C17" i="41"/>
  <c r="C3" i="41"/>
  <c r="E19" i="41"/>
  <c r="C16" i="41"/>
  <c r="C18" i="41"/>
  <c r="C4" i="41"/>
  <c r="E4" i="41"/>
  <c r="C5" i="41"/>
  <c r="E16" i="41"/>
  <c r="E3" i="41"/>
  <c r="C19" i="41"/>
  <c r="E5" i="41"/>
  <c r="C6" i="41"/>
  <c r="E17" i="41"/>
  <c r="E18" i="41"/>
  <c r="E6" i="41"/>
  <c r="C7" i="41"/>
  <c r="E20" i="39"/>
  <c r="D20" i="39"/>
  <c r="C20" i="39"/>
  <c r="B20" i="39"/>
  <c r="B16" i="39"/>
  <c r="C9" i="39" s="1"/>
  <c r="B13" i="39"/>
  <c r="E3" i="39"/>
  <c r="C3" i="39"/>
  <c r="B18" i="37"/>
  <c r="B16" i="37"/>
  <c r="B14" i="37"/>
  <c r="B8" i="37"/>
  <c r="B6" i="37"/>
  <c r="B4" i="37"/>
  <c r="I29" i="37"/>
  <c r="H29" i="37"/>
  <c r="G29" i="37"/>
  <c r="F29" i="37"/>
  <c r="E29" i="37"/>
  <c r="D29" i="37"/>
  <c r="C29" i="37"/>
  <c r="B29" i="37"/>
  <c r="B22" i="37"/>
  <c r="B25" i="37" s="1"/>
  <c r="B25" i="34"/>
  <c r="E29" i="34"/>
  <c r="D29" i="34"/>
  <c r="C29" i="34"/>
  <c r="B29" i="34"/>
  <c r="B22" i="34"/>
  <c r="E29" i="32"/>
  <c r="D29" i="32"/>
  <c r="C29" i="32"/>
  <c r="B29" i="32"/>
  <c r="B22" i="32"/>
  <c r="B25" i="32" s="1"/>
  <c r="E29" i="31"/>
  <c r="D29" i="31"/>
  <c r="C29" i="31"/>
  <c r="B29" i="31"/>
  <c r="B22" i="31"/>
  <c r="B25" i="31" s="1"/>
  <c r="E28" i="29"/>
  <c r="D28" i="29"/>
  <c r="C28" i="29"/>
  <c r="B28" i="29"/>
  <c r="B21" i="29"/>
  <c r="B24" i="29" s="1"/>
  <c r="J9" i="27"/>
  <c r="J8" i="27"/>
  <c r="J7" i="27"/>
  <c r="J6" i="27"/>
  <c r="J5" i="27"/>
  <c r="J4" i="27"/>
  <c r="E29" i="27"/>
  <c r="D29" i="27"/>
  <c r="C29" i="27"/>
  <c r="B29" i="27"/>
  <c r="B22" i="27"/>
  <c r="B25" i="27" s="1"/>
  <c r="E18" i="27" s="1"/>
  <c r="C5" i="39" l="1"/>
  <c r="E4" i="39"/>
  <c r="C6" i="39"/>
  <c r="E5" i="39"/>
  <c r="C4" i="39"/>
  <c r="E6" i="39"/>
  <c r="C7" i="39"/>
  <c r="C8" i="39"/>
  <c r="E9" i="39"/>
  <c r="E8" i="39"/>
  <c r="E7" i="39"/>
  <c r="E7" i="37"/>
  <c r="E19" i="37"/>
  <c r="C3" i="37"/>
  <c r="E16" i="37"/>
  <c r="C8" i="37"/>
  <c r="C7" i="37"/>
  <c r="E4" i="37"/>
  <c r="E3" i="37"/>
  <c r="E17" i="37"/>
  <c r="E14" i="37"/>
  <c r="E9" i="37"/>
  <c r="E6" i="37"/>
  <c r="C19" i="37"/>
  <c r="E18" i="37"/>
  <c r="C16" i="37"/>
  <c r="C14" i="37"/>
  <c r="C9" i="37"/>
  <c r="C6" i="37"/>
  <c r="C5" i="37"/>
  <c r="C4" i="37"/>
  <c r="C18" i="37"/>
  <c r="C15" i="37"/>
  <c r="E13" i="37"/>
  <c r="E5" i="37"/>
  <c r="C17" i="37"/>
  <c r="E15" i="37"/>
  <c r="C13" i="37"/>
  <c r="E8" i="37"/>
  <c r="E7" i="34"/>
  <c r="C4" i="34"/>
  <c r="C17" i="34"/>
  <c r="E9" i="34"/>
  <c r="C7" i="34"/>
  <c r="E4" i="34"/>
  <c r="E18" i="34"/>
  <c r="C3" i="34"/>
  <c r="C15" i="34"/>
  <c r="C13" i="34"/>
  <c r="E6" i="34"/>
  <c r="E19" i="34"/>
  <c r="E3" i="34"/>
  <c r="E17" i="34"/>
  <c r="C16" i="34"/>
  <c r="C14" i="34"/>
  <c r="C9" i="34"/>
  <c r="C6" i="34"/>
  <c r="C5" i="34"/>
  <c r="C19" i="34"/>
  <c r="C18" i="34"/>
  <c r="E15" i="34"/>
  <c r="E13" i="34"/>
  <c r="C8" i="34"/>
  <c r="E5" i="34"/>
  <c r="E16" i="34"/>
  <c r="E14" i="34"/>
  <c r="E8" i="34"/>
  <c r="E7" i="32"/>
  <c r="E3" i="32"/>
  <c r="C18" i="32"/>
  <c r="E13" i="32"/>
  <c r="C7" i="32"/>
  <c r="C16" i="32"/>
  <c r="E9" i="32"/>
  <c r="E6" i="32"/>
  <c r="C17" i="32"/>
  <c r="C13" i="32"/>
  <c r="C6" i="32"/>
  <c r="E16" i="32"/>
  <c r="E14" i="32"/>
  <c r="E8" i="32"/>
  <c r="E5" i="32"/>
  <c r="C4" i="32"/>
  <c r="E17" i="32"/>
  <c r="C15" i="32"/>
  <c r="C8" i="32"/>
  <c r="C5" i="32"/>
  <c r="C19" i="32"/>
  <c r="C3" i="32"/>
  <c r="C14" i="32"/>
  <c r="E19" i="32"/>
  <c r="E4" i="32"/>
  <c r="E18" i="32"/>
  <c r="E15" i="32"/>
  <c r="C9" i="32"/>
  <c r="C14" i="31"/>
  <c r="C3" i="31"/>
  <c r="C18" i="31"/>
  <c r="E17" i="31"/>
  <c r="E5" i="31"/>
  <c r="C16" i="31"/>
  <c r="C15" i="31"/>
  <c r="E14" i="31"/>
  <c r="E19" i="31"/>
  <c r="E18" i="31"/>
  <c r="C6" i="31"/>
  <c r="C5" i="31"/>
  <c r="E15" i="31"/>
  <c r="E3" i="31"/>
  <c r="E13" i="31"/>
  <c r="C13" i="31"/>
  <c r="C9" i="31"/>
  <c r="E8" i="31"/>
  <c r="E7" i="31"/>
  <c r="C7" i="31"/>
  <c r="E6" i="31"/>
  <c r="E4" i="31"/>
  <c r="C4" i="31"/>
  <c r="E9" i="31"/>
  <c r="C19" i="31"/>
  <c r="C8" i="31"/>
  <c r="C17" i="31"/>
  <c r="E16" i="31"/>
  <c r="E13" i="29"/>
  <c r="E4" i="29"/>
  <c r="C17" i="29"/>
  <c r="E16" i="29"/>
  <c r="C13" i="29"/>
  <c r="C4" i="29"/>
  <c r="C8" i="29"/>
  <c r="E7" i="29"/>
  <c r="C15" i="29"/>
  <c r="E5" i="29"/>
  <c r="E17" i="29"/>
  <c r="C7" i="29"/>
  <c r="E15" i="29"/>
  <c r="C14" i="29"/>
  <c r="C3" i="29"/>
  <c r="C16" i="29"/>
  <c r="E6" i="29"/>
  <c r="C5" i="29"/>
  <c r="E12" i="29"/>
  <c r="E3" i="29"/>
  <c r="C12" i="29"/>
  <c r="E8" i="29"/>
  <c r="C6" i="29"/>
  <c r="E14" i="29"/>
  <c r="L7" i="27"/>
  <c r="L9" i="27"/>
  <c r="L8" i="27"/>
  <c r="J13" i="27"/>
  <c r="L4" i="27"/>
  <c r="L13" i="27"/>
  <c r="L5" i="27"/>
  <c r="J14" i="27"/>
  <c r="L6" i="27"/>
  <c r="L14" i="27"/>
  <c r="J15" i="27"/>
  <c r="L15" i="27"/>
  <c r="J16" i="27"/>
  <c r="L16" i="27"/>
  <c r="J17" i="27"/>
  <c r="L17" i="27"/>
  <c r="J18" i="27"/>
  <c r="L18" i="27"/>
  <c r="C16" i="27"/>
  <c r="E14" i="27"/>
  <c r="E16" i="27"/>
  <c r="C14" i="27"/>
  <c r="C17" i="27"/>
  <c r="E15" i="27"/>
  <c r="E17" i="27"/>
  <c r="E13" i="27"/>
  <c r="C18" i="27"/>
  <c r="C13" i="27"/>
  <c r="C15" i="27"/>
  <c r="E7" i="27"/>
  <c r="E8" i="27"/>
  <c r="E5" i="27"/>
  <c r="C7" i="27"/>
  <c r="E6" i="27"/>
  <c r="C9" i="27"/>
  <c r="E4" i="27"/>
  <c r="C8" i="27"/>
  <c r="C6" i="27"/>
  <c r="C4" i="27"/>
  <c r="E9" i="27"/>
  <c r="C5" i="27"/>
  <c r="F28" i="25" l="1"/>
  <c r="E28" i="25"/>
  <c r="D28" i="25"/>
  <c r="C28" i="25"/>
  <c r="B28" i="25"/>
  <c r="B21" i="25"/>
  <c r="B24" i="25" s="1"/>
  <c r="G3" i="24"/>
  <c r="G5" i="24"/>
  <c r="G6" i="24"/>
  <c r="G7" i="24"/>
  <c r="G8" i="24"/>
  <c r="G9" i="24"/>
  <c r="G29" i="24"/>
  <c r="F29" i="24"/>
  <c r="E29" i="24"/>
  <c r="D29" i="24"/>
  <c r="C29" i="24"/>
  <c r="B29" i="24"/>
  <c r="B22" i="24"/>
  <c r="B25" i="24" s="1"/>
  <c r="G19" i="24"/>
  <c r="G18" i="24"/>
  <c r="G17" i="24"/>
  <c r="G16" i="24"/>
  <c r="G15" i="24"/>
  <c r="G14" i="24"/>
  <c r="G13" i="24"/>
  <c r="G4" i="24"/>
  <c r="J4" i="22"/>
  <c r="E8" i="25" l="1"/>
  <c r="E6" i="25"/>
  <c r="C8" i="25"/>
  <c r="E7" i="25"/>
  <c r="E5" i="25"/>
  <c r="E3" i="25"/>
  <c r="C7" i="25"/>
  <c r="C4" i="25"/>
  <c r="C3" i="25"/>
  <c r="C6" i="25"/>
  <c r="C5" i="25"/>
  <c r="E4" i="25"/>
  <c r="E14" i="24"/>
  <c r="C17" i="24"/>
  <c r="E17" i="24"/>
  <c r="E19" i="24"/>
  <c r="C19" i="24"/>
  <c r="C4" i="24"/>
  <c r="C8" i="24"/>
  <c r="E16" i="24"/>
  <c r="C18" i="24"/>
  <c r="C3" i="24"/>
  <c r="C16" i="24"/>
  <c r="E8" i="24"/>
  <c r="E4" i="24"/>
  <c r="C9" i="24"/>
  <c r="E9" i="24"/>
  <c r="E18" i="24"/>
  <c r="C5" i="24"/>
  <c r="E5" i="24"/>
  <c r="C13" i="24"/>
  <c r="E13" i="24"/>
  <c r="E15" i="24"/>
  <c r="E7" i="24"/>
  <c r="C6" i="24"/>
  <c r="E6" i="24"/>
  <c r="C14" i="24"/>
  <c r="C15" i="24"/>
  <c r="C7" i="24"/>
  <c r="E3" i="24"/>
  <c r="H29" i="22"/>
  <c r="G29" i="22"/>
  <c r="F29" i="22"/>
  <c r="E29" i="22"/>
  <c r="D29" i="22"/>
  <c r="C29" i="22"/>
  <c r="B29" i="22"/>
  <c r="B22" i="22"/>
  <c r="B25" i="22" s="1"/>
  <c r="I9" i="22"/>
  <c r="G9" i="22"/>
  <c r="I8" i="22"/>
  <c r="G8" i="22"/>
  <c r="I7" i="22"/>
  <c r="G7" i="22"/>
  <c r="I6" i="22"/>
  <c r="G6" i="22"/>
  <c r="I5" i="22"/>
  <c r="G5" i="22"/>
  <c r="I4" i="22"/>
  <c r="G4" i="22"/>
  <c r="I3" i="22"/>
  <c r="G3" i="22"/>
  <c r="H29" i="15"/>
  <c r="G29" i="15"/>
  <c r="F29" i="15"/>
  <c r="E29" i="15"/>
  <c r="D29" i="15"/>
  <c r="C29" i="15"/>
  <c r="B29" i="15"/>
  <c r="G19" i="15"/>
  <c r="G18" i="15"/>
  <c r="G17" i="15"/>
  <c r="G16" i="15"/>
  <c r="G15" i="15"/>
  <c r="G14" i="15"/>
  <c r="G13" i="15"/>
  <c r="E19" i="15"/>
  <c r="E18" i="15"/>
  <c r="E17" i="15"/>
  <c r="E16" i="15"/>
  <c r="E15" i="15"/>
  <c r="E14" i="15"/>
  <c r="E13" i="15"/>
  <c r="C19" i="15"/>
  <c r="C18" i="15"/>
  <c r="C17" i="15"/>
  <c r="C16" i="15"/>
  <c r="C15" i="15"/>
  <c r="C14" i="15"/>
  <c r="C13" i="15"/>
  <c r="D14" i="15"/>
  <c r="G19" i="12"/>
  <c r="G18" i="12"/>
  <c r="G17" i="12"/>
  <c r="G16" i="12"/>
  <c r="G15" i="12"/>
  <c r="G14" i="12"/>
  <c r="G13" i="12"/>
  <c r="E19" i="12"/>
  <c r="E18" i="12"/>
  <c r="E17" i="12"/>
  <c r="E16" i="12"/>
  <c r="E15" i="12"/>
  <c r="E14" i="12"/>
  <c r="E13" i="12"/>
  <c r="E3" i="12"/>
  <c r="E4" i="12"/>
  <c r="E5" i="12"/>
  <c r="E6" i="12"/>
  <c r="E7" i="12"/>
  <c r="E8" i="12"/>
  <c r="E9" i="12"/>
  <c r="C19" i="12"/>
  <c r="C18" i="12"/>
  <c r="C17" i="12"/>
  <c r="C16" i="12"/>
  <c r="C15" i="12"/>
  <c r="C14" i="12"/>
  <c r="C13" i="12"/>
  <c r="H18" i="12"/>
  <c r="H16" i="12"/>
  <c r="H14" i="12"/>
  <c r="D14" i="12"/>
  <c r="G19" i="8"/>
  <c r="G18" i="8"/>
  <c r="G17" i="8"/>
  <c r="G16" i="8"/>
  <c r="G15" i="8"/>
  <c r="G14" i="8"/>
  <c r="G13" i="8"/>
  <c r="C14" i="8"/>
  <c r="D4" i="8"/>
  <c r="E19" i="8"/>
  <c r="E18" i="8"/>
  <c r="E17" i="8"/>
  <c r="E16" i="8"/>
  <c r="E15" i="8"/>
  <c r="E14" i="8"/>
  <c r="E13" i="8"/>
  <c r="C19" i="8"/>
  <c r="C18" i="8"/>
  <c r="C17" i="8"/>
  <c r="C16" i="8"/>
  <c r="C15" i="8"/>
  <c r="C13" i="8"/>
  <c r="H18" i="8"/>
  <c r="H16" i="8"/>
  <c r="H14" i="8"/>
  <c r="G20" i="3"/>
  <c r="G18" i="3"/>
  <c r="G16" i="3"/>
  <c r="E21" i="1"/>
  <c r="E20" i="1"/>
  <c r="E19" i="1"/>
  <c r="E18" i="1"/>
  <c r="E17" i="1"/>
  <c r="E16" i="1"/>
  <c r="E15" i="1"/>
  <c r="E14" i="1"/>
  <c r="C21" i="1"/>
  <c r="C20" i="1"/>
  <c r="C19" i="1"/>
  <c r="C18" i="1"/>
  <c r="C17" i="1"/>
  <c r="C16" i="1"/>
  <c r="C15" i="1"/>
  <c r="C14" i="1"/>
  <c r="G20" i="1"/>
  <c r="F20" i="1"/>
  <c r="G18" i="1"/>
  <c r="F18" i="1"/>
  <c r="G16" i="1"/>
  <c r="F16" i="1"/>
  <c r="I19" i="16"/>
  <c r="G19" i="16"/>
  <c r="I18" i="16"/>
  <c r="G18" i="16"/>
  <c r="I17" i="16"/>
  <c r="G17" i="16"/>
  <c r="I16" i="16"/>
  <c r="G16" i="16"/>
  <c r="I15" i="16"/>
  <c r="G15" i="16"/>
  <c r="I14" i="16"/>
  <c r="G14" i="16"/>
  <c r="I13" i="16"/>
  <c r="G13" i="16"/>
  <c r="F6" i="16"/>
  <c r="H6" i="16"/>
  <c r="I6" i="16" s="1"/>
  <c r="C29" i="16"/>
  <c r="D29" i="16"/>
  <c r="E29" i="16"/>
  <c r="F29" i="16"/>
  <c r="G29" i="16"/>
  <c r="H29" i="16"/>
  <c r="B29" i="16"/>
  <c r="F5" i="1"/>
  <c r="F4" i="8"/>
  <c r="B4" i="8"/>
  <c r="F4" i="12"/>
  <c r="D4" i="12"/>
  <c r="B4" i="12"/>
  <c r="H4" i="16"/>
  <c r="I4" i="16" s="1"/>
  <c r="F4" i="16"/>
  <c r="B4" i="16"/>
  <c r="D4" i="15"/>
  <c r="F8" i="16"/>
  <c r="H8" i="16"/>
  <c r="B8" i="16"/>
  <c r="B6" i="16"/>
  <c r="I9" i="16"/>
  <c r="I8" i="16"/>
  <c r="I7" i="16"/>
  <c r="I5" i="16"/>
  <c r="I3" i="16"/>
  <c r="C6" i="22" l="1"/>
  <c r="C5" i="22"/>
  <c r="C3" i="22"/>
  <c r="E6" i="22"/>
  <c r="C9" i="22"/>
  <c r="E7" i="22"/>
  <c r="C7" i="22"/>
  <c r="E9" i="22"/>
  <c r="C4" i="22"/>
  <c r="E8" i="22"/>
  <c r="E4" i="22"/>
  <c r="C8" i="22"/>
  <c r="E5" i="22"/>
  <c r="E3" i="22"/>
  <c r="B22" i="16"/>
  <c r="B25" i="16" s="1"/>
  <c r="G9" i="16"/>
  <c r="G8" i="16"/>
  <c r="G7" i="16"/>
  <c r="G6" i="16"/>
  <c r="G5" i="16"/>
  <c r="G4" i="16"/>
  <c r="E4" i="16"/>
  <c r="C4" i="16"/>
  <c r="G3" i="16"/>
  <c r="B22" i="15"/>
  <c r="B25" i="15" s="1"/>
  <c r="C4" i="15" s="1"/>
  <c r="G9" i="15"/>
  <c r="G8" i="15"/>
  <c r="G7" i="15"/>
  <c r="G6" i="15"/>
  <c r="G5" i="15"/>
  <c r="G4" i="15"/>
  <c r="G3" i="15"/>
  <c r="E29" i="12"/>
  <c r="D29" i="12"/>
  <c r="C29" i="12"/>
  <c r="B29" i="12"/>
  <c r="B22" i="12"/>
  <c r="B25" i="12" s="1"/>
  <c r="G9" i="12"/>
  <c r="H8" i="12"/>
  <c r="G8" i="12"/>
  <c r="G7" i="12"/>
  <c r="H6" i="12"/>
  <c r="G6" i="12"/>
  <c r="G5" i="12"/>
  <c r="H4" i="12"/>
  <c r="G4" i="12"/>
  <c r="G3" i="12"/>
  <c r="G4" i="8"/>
  <c r="C30" i="8"/>
  <c r="G3" i="8"/>
  <c r="G5" i="8"/>
  <c r="G6" i="8"/>
  <c r="G7" i="8"/>
  <c r="G8" i="8"/>
  <c r="G9" i="8"/>
  <c r="B30" i="8"/>
  <c r="B23" i="8"/>
  <c r="B26" i="8" s="1"/>
  <c r="H8" i="8"/>
  <c r="H6" i="8"/>
  <c r="H4" i="8"/>
  <c r="D2" i="6"/>
  <c r="F3" i="6"/>
  <c r="F4" i="6"/>
  <c r="F5" i="6"/>
  <c r="F6" i="6"/>
  <c r="F7" i="6"/>
  <c r="F8" i="6"/>
  <c r="F9" i="6"/>
  <c r="F2" i="6"/>
  <c r="D3" i="6"/>
  <c r="D4" i="6"/>
  <c r="D5" i="6"/>
  <c r="D6" i="6"/>
  <c r="D7" i="6"/>
  <c r="D8" i="6"/>
  <c r="D9" i="6"/>
  <c r="D21" i="6"/>
  <c r="C21" i="6"/>
  <c r="B21" i="6"/>
  <c r="B14" i="6"/>
  <c r="B17" i="6" s="1"/>
  <c r="H8" i="6"/>
  <c r="H6" i="6"/>
  <c r="H4" i="6"/>
  <c r="B21" i="5"/>
  <c r="B14" i="5"/>
  <c r="B17" i="5" s="1"/>
  <c r="G8" i="5"/>
  <c r="E8" i="5"/>
  <c r="C8" i="5"/>
  <c r="G6" i="5"/>
  <c r="E6" i="5"/>
  <c r="C6" i="5"/>
  <c r="G4" i="5"/>
  <c r="C4" i="5"/>
  <c r="G9" i="3"/>
  <c r="G7" i="3"/>
  <c r="G5" i="3"/>
  <c r="G9" i="1"/>
  <c r="G7" i="1"/>
  <c r="G5" i="1"/>
  <c r="B31" i="3"/>
  <c r="B24" i="3"/>
  <c r="B27" i="3" s="1"/>
  <c r="F9" i="1"/>
  <c r="F7" i="1"/>
  <c r="D5" i="1"/>
  <c r="B5" i="1"/>
  <c r="B31" i="1"/>
  <c r="D9" i="1"/>
  <c r="D7" i="1"/>
  <c r="B24" i="1"/>
  <c r="B27" i="1" s="1"/>
  <c r="C4" i="1" s="1"/>
  <c r="B9" i="1"/>
  <c r="B7" i="1"/>
  <c r="E4" i="15" l="1"/>
  <c r="E21" i="3"/>
  <c r="E20" i="3"/>
  <c r="E19" i="3"/>
  <c r="E18" i="3"/>
  <c r="E17" i="3"/>
  <c r="C19" i="3"/>
  <c r="C16" i="3"/>
  <c r="C14" i="3"/>
  <c r="E16" i="3"/>
  <c r="E14" i="3"/>
  <c r="C21" i="3"/>
  <c r="C18" i="3"/>
  <c r="E15" i="3"/>
  <c r="C20" i="3"/>
  <c r="C17" i="3"/>
  <c r="C15" i="3"/>
  <c r="E15" i="16"/>
  <c r="C15" i="16"/>
  <c r="C17" i="16"/>
  <c r="E16" i="16"/>
  <c r="E19" i="16"/>
  <c r="C19" i="16"/>
  <c r="E14" i="16"/>
  <c r="E18" i="16"/>
  <c r="C13" i="16"/>
  <c r="E13" i="16"/>
  <c r="E17" i="16"/>
  <c r="C16" i="16"/>
  <c r="C14" i="16"/>
  <c r="C18" i="16"/>
  <c r="E3" i="16"/>
  <c r="E6" i="16"/>
  <c r="C3" i="16"/>
  <c r="C5" i="16"/>
  <c r="E9" i="16"/>
  <c r="C9" i="16"/>
  <c r="E7" i="16"/>
  <c r="C6" i="16"/>
  <c r="E8" i="16"/>
  <c r="C8" i="16"/>
  <c r="C7" i="16"/>
  <c r="E5" i="16"/>
  <c r="E3" i="15"/>
  <c r="E7" i="15"/>
  <c r="E6" i="15"/>
  <c r="E9" i="15"/>
  <c r="C6" i="15"/>
  <c r="C7" i="15"/>
  <c r="C5" i="15"/>
  <c r="C3" i="15"/>
  <c r="C8" i="15"/>
  <c r="E5" i="15"/>
  <c r="C9" i="15"/>
  <c r="E8" i="15"/>
  <c r="C7" i="12"/>
  <c r="C6" i="12"/>
  <c r="C9" i="12"/>
  <c r="C3" i="12"/>
  <c r="C8" i="12"/>
  <c r="E9" i="8"/>
  <c r="C4" i="8"/>
  <c r="E3" i="8"/>
  <c r="C3" i="8"/>
  <c r="E8" i="8"/>
  <c r="E4" i="8"/>
  <c r="C8" i="8"/>
  <c r="C5" i="8"/>
  <c r="E5" i="8"/>
  <c r="C6" i="8"/>
  <c r="E6" i="8"/>
  <c r="C7" i="8"/>
  <c r="E7" i="8"/>
  <c r="C9" i="8"/>
  <c r="E7" i="5"/>
  <c r="E2" i="5"/>
  <c r="E5" i="5"/>
  <c r="C2" i="5"/>
  <c r="C5" i="5"/>
  <c r="E4" i="5"/>
  <c r="E9" i="5"/>
  <c r="E3" i="5"/>
  <c r="C9" i="5"/>
  <c r="C3" i="5"/>
  <c r="C7" i="5"/>
  <c r="C7" i="3"/>
  <c r="C5" i="3"/>
  <c r="C9" i="3"/>
  <c r="E7" i="3"/>
  <c r="E8" i="3"/>
  <c r="E10" i="3"/>
  <c r="E4" i="3"/>
  <c r="C3" i="3"/>
  <c r="C8" i="3"/>
  <c r="C10" i="3"/>
  <c r="C4" i="3"/>
  <c r="E3" i="3"/>
  <c r="E5" i="3"/>
  <c r="C6" i="3"/>
  <c r="E6" i="3"/>
  <c r="E9" i="3"/>
  <c r="E7" i="1"/>
  <c r="E8" i="1"/>
  <c r="C7" i="1"/>
  <c r="E5" i="1"/>
  <c r="E4" i="1"/>
  <c r="E9" i="1"/>
  <c r="E6" i="1"/>
  <c r="C5" i="1"/>
  <c r="E10" i="1"/>
  <c r="C9" i="1"/>
  <c r="C10" i="1"/>
  <c r="C8" i="1"/>
  <c r="C6" i="1"/>
  <c r="E3" i="1"/>
  <c r="C3" i="1"/>
  <c r="C4" i="12"/>
  <c r="C5" i="12"/>
</calcChain>
</file>

<file path=xl/sharedStrings.xml><?xml version="1.0" encoding="utf-8"?>
<sst xmlns="http://schemas.openxmlformats.org/spreadsheetml/2006/main" count="462" uniqueCount="40">
  <si>
    <t>Medium efficiency</t>
  </si>
  <si>
    <t>USD2022</t>
  </si>
  <si>
    <t>invest</t>
  </si>
  <si>
    <t>M$/GW</t>
  </si>
  <si>
    <t>fixed</t>
  </si>
  <si>
    <t xml:space="preserve">M$/GWy </t>
  </si>
  <si>
    <t>eff</t>
  </si>
  <si>
    <t>life</t>
  </si>
  <si>
    <t>High efficiency</t>
  </si>
  <si>
    <t>1 kbtu/h =</t>
  </si>
  <si>
    <t>GW</t>
  </si>
  <si>
    <t>kbtu/h</t>
  </si>
  <si>
    <t>life low</t>
  </si>
  <si>
    <t>life high</t>
  </si>
  <si>
    <t>average life</t>
  </si>
  <si>
    <t>2022/23</t>
  </si>
  <si>
    <t>SEER2</t>
  </si>
  <si>
    <t xml:space="preserve">EER = </t>
  </si>
  <si>
    <t>x COP</t>
  </si>
  <si>
    <t xml:space="preserve">GW = </t>
  </si>
  <si>
    <t>x kBtu/h</t>
  </si>
  <si>
    <t>low</t>
  </si>
  <si>
    <t>high</t>
  </si>
  <si>
    <t>average</t>
  </si>
  <si>
    <t>CEER</t>
  </si>
  <si>
    <t>eff cool</t>
  </si>
  <si>
    <t>HSPF2</t>
  </si>
  <si>
    <t>eff heat</t>
  </si>
  <si>
    <t>SEER</t>
  </si>
  <si>
    <t>HSPF</t>
  </si>
  <si>
    <t>High efficiency excluded as costs assumptions are the same</t>
  </si>
  <si>
    <t>Catalytic</t>
  </si>
  <si>
    <t>Non-catalytic</t>
  </si>
  <si>
    <t>UEF</t>
  </si>
  <si>
    <t>kW</t>
  </si>
  <si>
    <t>Assume only used in HP mode for now (not realistic)</t>
  </si>
  <si>
    <t>At 100% efficiency and 100% capacity factor. Use CapacityFactorTech to handle efficiency and seasons.</t>
  </si>
  <si>
    <t>m2</t>
  </si>
  <si>
    <t>W</t>
  </si>
  <si>
    <t>High efficiency excluded as costs were not selective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</si>
</sst>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&quot;$&quot;* #,##0.00_-;\-&quot;$&quot;* #,##0.00_-;_-&quot;$&quot;* &quot;-&quot;??_-;_-@_-"/>
    <numFmt numFmtId="165" formatCode="0.0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A7A7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4" fillId="0" borderId="0" xfId="0" applyFont="1"/>
    <xf numFmtId="9" fontId="0" fillId="0" borderId="0" xfId="1" applyFont="1"/>
    <xf numFmtId="0" fontId="3" fillId="0" borderId="0" xfId="0" applyFont="1"/>
    <xf numFmtId="0" fontId="0" fillId="0" borderId="0" xfId="1" applyNumberFormat="1" applyFont="1"/>
    <xf numFmtId="9" fontId="3" fillId="0" borderId="0" xfId="1" applyFont="1"/>
    <xf numFmtId="2" fontId="3" fillId="0" borderId="0" xfId="0" applyNumberFormat="1" applyFont="1"/>
    <xf numFmtId="0" fontId="2" fillId="0" borderId="0" xfId="0" applyFont="1"/>
    <xf numFmtId="0" fontId="0" fillId="0" borderId="0" xfId="0" applyAlignment="1">
      <alignment horizontal="right"/>
    </xf>
    <xf numFmtId="9" fontId="2" fillId="0" borderId="0" xfId="1" applyFont="1"/>
    <xf numFmtId="0" fontId="2" fillId="0" borderId="0" xfId="1" applyNumberFormat="1" applyFont="1"/>
    <xf numFmtId="0" fontId="0" fillId="0" borderId="1" xfId="0" applyBorder="1" applyAlignment="1">
      <alignment horizontal="right"/>
    </xf>
    <xf numFmtId="9" fontId="2" fillId="0" borderId="1" xfId="1" applyFont="1" applyBorder="1"/>
    <xf numFmtId="0" fontId="0" fillId="2" borderId="0" xfId="0" applyFill="1"/>
    <xf numFmtId="164" fontId="0" fillId="0" borderId="0" xfId="2" applyFont="1"/>
    <xf numFmtId="2" fontId="0" fillId="0" borderId="0" xfId="0" applyNumberFormat="1"/>
    <xf numFmtId="2" fontId="5" fillId="0" borderId="0" xfId="0" applyNumberFormat="1" applyFont="1"/>
    <xf numFmtId="2" fontId="6" fillId="0" borderId="0" xfId="0" applyNumberFormat="1" applyFont="1"/>
    <xf numFmtId="0" fontId="7" fillId="0" borderId="0" xfId="0" applyFont="1"/>
    <xf numFmtId="0" fontId="7" fillId="0" borderId="0" xfId="1" applyNumberFormat="1" applyFont="1"/>
    <xf numFmtId="0" fontId="5" fillId="0" borderId="0" xfId="0" applyFont="1"/>
    <xf numFmtId="2" fontId="2" fillId="0" borderId="1" xfId="0" applyNumberFormat="1" applyFont="1" applyBorder="1"/>
    <xf numFmtId="2" fontId="8" fillId="0" borderId="1" xfId="0" applyNumberFormat="1" applyFont="1" applyBorder="1"/>
    <xf numFmtId="0" fontId="8" fillId="0" borderId="0" xfId="0" applyFont="1"/>
    <xf numFmtId="2" fontId="8" fillId="0" borderId="0" xfId="0" applyNumberFormat="1" applyFont="1"/>
    <xf numFmtId="0" fontId="0" fillId="2" borderId="0" xfId="0" applyFill="1" applyAlignment="1">
      <alignment horizontal="right"/>
    </xf>
    <xf numFmtId="9" fontId="0" fillId="0" borderId="0" xfId="1" applyFont="1" applyFill="1" applyBorder="1"/>
    <xf numFmtId="0" fontId="0" fillId="0" borderId="0" xfId="1" applyNumberFormat="1" applyFont="1" applyFill="1" applyBorder="1"/>
    <xf numFmtId="9" fontId="0" fillId="2" borderId="0" xfId="1" applyFont="1" applyFill="1"/>
    <xf numFmtId="0" fontId="3" fillId="2" borderId="0" xfId="0" applyFont="1" applyFill="1"/>
    <xf numFmtId="165" fontId="0" fillId="2" borderId="0" xfId="0" applyNumberFormat="1" applyFill="1"/>
    <xf numFmtId="165" fontId="2" fillId="0" borderId="0" xfId="0" applyNumberFormat="1" applyFont="1"/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A7C08-3AB0-404E-9C72-2E16F59A47C1}">
  <dimension ref="A1:G31"/>
  <sheetViews>
    <sheetView workbookViewId="0">
      <selection activeCell="B5" sqref="B5"/>
    </sheetView>
  </sheetViews>
  <sheetFormatPr defaultRowHeight="15"/>
  <cols>
    <col min="2" max="2" width="12" bestFit="1" customWidth="1"/>
    <col min="4" max="4" width="9.140625" style="2"/>
  </cols>
  <sheetData>
    <row r="1" spans="1:7">
      <c r="A1" t="s">
        <v>0</v>
      </c>
    </row>
    <row r="2" spans="1:7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>
      <c r="A3">
        <v>2020</v>
      </c>
      <c r="B3">
        <v>2880</v>
      </c>
      <c r="C3" s="6">
        <f>B3/$B$27/1000000</f>
        <v>122.83712820442825</v>
      </c>
      <c r="D3" s="4">
        <v>60</v>
      </c>
      <c r="E3" s="6">
        <f>D3/$B$27/1000000</f>
        <v>2.5591068375922554</v>
      </c>
      <c r="F3" s="5">
        <v>0.8</v>
      </c>
      <c r="G3" s="3"/>
    </row>
    <row r="4" spans="1:7">
      <c r="A4" s="8">
        <v>2022</v>
      </c>
      <c r="B4">
        <v>4130</v>
      </c>
      <c r="C4" s="6">
        <f t="shared" ref="C4:C10" si="0">B4/$B$27/1000000</f>
        <v>176.15185398760025</v>
      </c>
      <c r="D4">
        <v>130</v>
      </c>
      <c r="E4" s="6">
        <f t="shared" ref="E4:E10" si="1">D4/$B$27/1000000</f>
        <v>5.5447314814498876</v>
      </c>
      <c r="F4" s="5">
        <v>0.9</v>
      </c>
      <c r="G4" s="3"/>
    </row>
    <row r="5" spans="1:7">
      <c r="A5" s="11">
        <v>2025</v>
      </c>
      <c r="B5" s="7">
        <f>0.2*(B6-B4)+B4</f>
        <v>4134</v>
      </c>
      <c r="C5" s="6">
        <f t="shared" si="0"/>
        <v>176.32246111010642</v>
      </c>
      <c r="D5" s="7">
        <f>0.2*(D6-D4)+D4</f>
        <v>130</v>
      </c>
      <c r="E5" s="6">
        <f t="shared" si="1"/>
        <v>5.5447314814498876</v>
      </c>
      <c r="F5" s="12">
        <f>($A$4-$A$3)/($A$5-$A$3)*(F6-F4)+F4</f>
        <v>0.92</v>
      </c>
      <c r="G5" s="7">
        <f>0.2*(G6-G4)+G4</f>
        <v>0</v>
      </c>
    </row>
    <row r="6" spans="1:7">
      <c r="A6">
        <v>2030</v>
      </c>
      <c r="B6">
        <v>4150</v>
      </c>
      <c r="C6" s="6">
        <f t="shared" si="0"/>
        <v>177.00488960013101</v>
      </c>
      <c r="D6" s="4">
        <v>130</v>
      </c>
      <c r="E6" s="6">
        <f t="shared" si="1"/>
        <v>5.5447314814498876</v>
      </c>
      <c r="F6" s="5">
        <v>0.95</v>
      </c>
      <c r="G6" s="3"/>
    </row>
    <row r="7" spans="1:7">
      <c r="A7">
        <v>2035</v>
      </c>
      <c r="B7" s="7">
        <f>AVERAGE(B6,B8)</f>
        <v>4150</v>
      </c>
      <c r="C7" s="6">
        <f t="shared" si="0"/>
        <v>177.00488960013101</v>
      </c>
      <c r="D7" s="7">
        <f>AVERAGE(D6,D8)</f>
        <v>130</v>
      </c>
      <c r="E7" s="6">
        <f t="shared" si="1"/>
        <v>5.5447314814498876</v>
      </c>
      <c r="F7" s="9">
        <f>AVERAGE(F6,F8)</f>
        <v>0.95</v>
      </c>
      <c r="G7" s="10">
        <f>(G6+G8)/2</f>
        <v>0</v>
      </c>
    </row>
    <row r="8" spans="1:7">
      <c r="A8">
        <v>2040</v>
      </c>
      <c r="B8">
        <v>4150</v>
      </c>
      <c r="C8" s="6">
        <f t="shared" si="0"/>
        <v>177.00488960013101</v>
      </c>
      <c r="D8" s="4">
        <v>130</v>
      </c>
      <c r="E8" s="6">
        <f t="shared" si="1"/>
        <v>5.5447314814498876</v>
      </c>
      <c r="F8" s="5">
        <v>0.95</v>
      </c>
      <c r="G8" s="3"/>
    </row>
    <row r="9" spans="1:7">
      <c r="A9">
        <v>2045</v>
      </c>
      <c r="B9" s="7">
        <f>AVERAGE(B8,B10)</f>
        <v>4150</v>
      </c>
      <c r="C9" s="6">
        <f t="shared" si="0"/>
        <v>177.00488960013101</v>
      </c>
      <c r="D9" s="7">
        <f>AVERAGE(D8,D10)</f>
        <v>130</v>
      </c>
      <c r="E9" s="6">
        <f t="shared" si="1"/>
        <v>5.5447314814498876</v>
      </c>
      <c r="F9" s="9">
        <f>AVERAGE(F8,F10)</f>
        <v>0.95</v>
      </c>
      <c r="G9" s="10">
        <f>(G8+G10)/2</f>
        <v>0</v>
      </c>
    </row>
    <row r="10" spans="1:7">
      <c r="A10">
        <v>2050</v>
      </c>
      <c r="B10">
        <v>4150</v>
      </c>
      <c r="C10" s="6">
        <f t="shared" si="0"/>
        <v>177.00488960013101</v>
      </c>
      <c r="D10" s="4">
        <v>130</v>
      </c>
      <c r="E10" s="6">
        <f t="shared" si="1"/>
        <v>5.5447314814498876</v>
      </c>
      <c r="F10" s="5">
        <v>0.95</v>
      </c>
      <c r="G10" s="3"/>
    </row>
    <row r="12" spans="1:7">
      <c r="A12" t="s">
        <v>8</v>
      </c>
    </row>
    <row r="13" spans="1:7">
      <c r="A13" s="1" t="s">
        <v>1</v>
      </c>
      <c r="B13" t="s">
        <v>2</v>
      </c>
      <c r="C13" s="3" t="s">
        <v>3</v>
      </c>
      <c r="D13" s="2" t="s">
        <v>4</v>
      </c>
      <c r="E13" s="3" t="s">
        <v>5</v>
      </c>
      <c r="F13" s="3" t="s">
        <v>6</v>
      </c>
      <c r="G13" s="3" t="s">
        <v>7</v>
      </c>
    </row>
    <row r="14" spans="1:7">
      <c r="A14">
        <v>2020</v>
      </c>
      <c r="B14">
        <v>2880</v>
      </c>
      <c r="C14" s="6">
        <f>B14/$B$27/1000000</f>
        <v>122.83712820442825</v>
      </c>
      <c r="D14" s="4">
        <v>130</v>
      </c>
      <c r="E14" s="6">
        <f>D14/$B$27/1000000</f>
        <v>5.5447314814498876</v>
      </c>
      <c r="F14" s="5">
        <v>0.8</v>
      </c>
      <c r="G14" s="3"/>
    </row>
    <row r="15" spans="1:7">
      <c r="A15" s="8">
        <v>2022</v>
      </c>
      <c r="B15">
        <v>4320</v>
      </c>
      <c r="C15" s="6">
        <f t="shared" ref="C15:C21" si="2">B15/$B$27/1000000</f>
        <v>184.25569230664237</v>
      </c>
      <c r="D15">
        <v>130</v>
      </c>
      <c r="E15" s="6">
        <f t="shared" ref="E15:E21" si="3">D15/$B$27/1000000</f>
        <v>5.5447314814498876</v>
      </c>
      <c r="F15" s="5">
        <v>0.9</v>
      </c>
      <c r="G15" s="3"/>
    </row>
    <row r="16" spans="1:7">
      <c r="A16" s="11">
        <v>2025</v>
      </c>
      <c r="B16">
        <v>4320</v>
      </c>
      <c r="C16" s="6">
        <f t="shared" si="2"/>
        <v>184.25569230664237</v>
      </c>
      <c r="D16">
        <v>130</v>
      </c>
      <c r="E16" s="6">
        <f t="shared" si="3"/>
        <v>5.5447314814498876</v>
      </c>
      <c r="F16" s="12">
        <f>($A$4-$A$3)/($A$5-$A$3)*(F17-F15)+F15</f>
        <v>0.93600000000000005</v>
      </c>
      <c r="G16" s="7">
        <f>0.2*(G17-G15)+G15</f>
        <v>0</v>
      </c>
    </row>
    <row r="17" spans="1:7">
      <c r="A17">
        <v>2030</v>
      </c>
      <c r="B17">
        <v>4320</v>
      </c>
      <c r="C17" s="6">
        <f t="shared" si="2"/>
        <v>184.25569230664237</v>
      </c>
      <c r="D17">
        <v>130</v>
      </c>
      <c r="E17" s="6">
        <f t="shared" si="3"/>
        <v>5.5447314814498876</v>
      </c>
      <c r="F17" s="5">
        <v>0.99</v>
      </c>
      <c r="G17" s="3"/>
    </row>
    <row r="18" spans="1:7">
      <c r="A18">
        <v>2035</v>
      </c>
      <c r="B18">
        <v>4320</v>
      </c>
      <c r="C18" s="6">
        <f t="shared" si="2"/>
        <v>184.25569230664237</v>
      </c>
      <c r="D18">
        <v>130</v>
      </c>
      <c r="E18" s="6">
        <f t="shared" si="3"/>
        <v>5.5447314814498876</v>
      </c>
      <c r="F18" s="9">
        <f>AVERAGE(F17,F19)</f>
        <v>0.99</v>
      </c>
      <c r="G18" s="10">
        <f>(G17+G19)/2</f>
        <v>0</v>
      </c>
    </row>
    <row r="19" spans="1:7">
      <c r="A19">
        <v>2040</v>
      </c>
      <c r="B19">
        <v>4320</v>
      </c>
      <c r="C19" s="6">
        <f t="shared" si="2"/>
        <v>184.25569230664237</v>
      </c>
      <c r="D19">
        <v>130</v>
      </c>
      <c r="E19" s="6">
        <f t="shared" si="3"/>
        <v>5.5447314814498876</v>
      </c>
      <c r="F19" s="5">
        <v>0.99</v>
      </c>
      <c r="G19" s="3"/>
    </row>
    <row r="20" spans="1:7">
      <c r="A20">
        <v>2045</v>
      </c>
      <c r="B20">
        <v>4320</v>
      </c>
      <c r="C20" s="6">
        <f t="shared" si="2"/>
        <v>184.25569230664237</v>
      </c>
      <c r="D20">
        <v>130</v>
      </c>
      <c r="E20" s="6">
        <f t="shared" si="3"/>
        <v>5.5447314814498876</v>
      </c>
      <c r="F20" s="9">
        <f>AVERAGE(F19,F21)</f>
        <v>0.99</v>
      </c>
      <c r="G20" s="10">
        <f>(G19+G21)/2</f>
        <v>0</v>
      </c>
    </row>
    <row r="21" spans="1:7">
      <c r="A21">
        <v>2050</v>
      </c>
      <c r="B21">
        <v>4320</v>
      </c>
      <c r="C21" s="6">
        <f t="shared" si="2"/>
        <v>184.25569230664237</v>
      </c>
      <c r="D21" s="4">
        <v>130</v>
      </c>
      <c r="E21" s="6">
        <f t="shared" si="3"/>
        <v>5.5447314814498876</v>
      </c>
      <c r="F21" s="5">
        <v>0.99</v>
      </c>
      <c r="G21" s="3"/>
    </row>
    <row r="24" spans="1:7">
      <c r="A24" t="s">
        <v>9</v>
      </c>
      <c r="B24">
        <f>0.293071*1000/1000000000</f>
        <v>2.9307100000000004E-7</v>
      </c>
      <c r="C24" t="s">
        <v>10</v>
      </c>
    </row>
    <row r="26" spans="1:7">
      <c r="A26" t="s">
        <v>11</v>
      </c>
      <c r="B26" s="13">
        <v>80</v>
      </c>
    </row>
    <row r="27" spans="1:7">
      <c r="A27" t="s">
        <v>10</v>
      </c>
      <c r="B27">
        <f>B26*B24</f>
        <v>2.3445680000000004E-5</v>
      </c>
    </row>
    <row r="29" spans="1:7">
      <c r="A29" t="s">
        <v>12</v>
      </c>
      <c r="B29" s="13">
        <v>17</v>
      </c>
    </row>
    <row r="30" spans="1:7">
      <c r="A30" t="s">
        <v>13</v>
      </c>
      <c r="B30" s="13">
        <v>26</v>
      </c>
    </row>
    <row r="31" spans="1:7">
      <c r="A31" t="s">
        <v>14</v>
      </c>
      <c r="B31">
        <f>AVERAGE(B29:B30)</f>
        <v>21.5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9935F-A3A3-4461-B1F2-040B90D56A34}">
  <dimension ref="A1:G31"/>
  <sheetViews>
    <sheetView workbookViewId="0">
      <selection activeCell="I27" sqref="I26:I27"/>
    </sheetView>
  </sheetViews>
  <sheetFormatPr defaultRowHeight="15"/>
  <cols>
    <col min="2" max="2" width="12" bestFit="1" customWidth="1"/>
    <col min="4" max="4" width="9.140625" style="2"/>
  </cols>
  <sheetData>
    <row r="1" spans="1:7">
      <c r="A1" t="s">
        <v>0</v>
      </c>
    </row>
    <row r="2" spans="1:7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>
      <c r="A3">
        <v>2020</v>
      </c>
      <c r="B3">
        <v>6520</v>
      </c>
      <c r="C3" s="6">
        <f>B3/$B$27/1000000</f>
        <v>211.87779785525717</v>
      </c>
      <c r="D3" s="4">
        <v>80</v>
      </c>
      <c r="E3" s="6">
        <f>D3/$B$27/1000000</f>
        <v>2.5997275810461007</v>
      </c>
      <c r="F3" s="5">
        <v>0.83</v>
      </c>
      <c r="G3" s="3"/>
    </row>
    <row r="4" spans="1:7">
      <c r="A4" s="8" t="s">
        <v>15</v>
      </c>
      <c r="B4">
        <v>6820</v>
      </c>
      <c r="C4" s="6">
        <f t="shared" ref="C4:C10" si="0">B4/$B$27/1000000</f>
        <v>221.62677628418007</v>
      </c>
      <c r="D4" s="4">
        <v>80</v>
      </c>
      <c r="E4" s="6">
        <f t="shared" ref="E4:E10" si="1">D4/$B$27/1000000</f>
        <v>2.5997275810461007</v>
      </c>
      <c r="F4" s="5">
        <v>0.85</v>
      </c>
      <c r="G4" s="3"/>
    </row>
    <row r="5" spans="1:7">
      <c r="A5" s="11">
        <v>2025</v>
      </c>
      <c r="B5">
        <v>6820</v>
      </c>
      <c r="C5" s="6">
        <f t="shared" si="0"/>
        <v>221.62677628418007</v>
      </c>
      <c r="D5" s="4">
        <v>80</v>
      </c>
      <c r="E5" s="6">
        <f t="shared" si="1"/>
        <v>2.5997275810461007</v>
      </c>
      <c r="F5" s="5">
        <v>0.85</v>
      </c>
      <c r="G5" s="7">
        <f>0.2*(G6-G4)+G4</f>
        <v>0</v>
      </c>
    </row>
    <row r="6" spans="1:7">
      <c r="A6">
        <v>2030</v>
      </c>
      <c r="B6">
        <v>6820</v>
      </c>
      <c r="C6" s="6">
        <f t="shared" si="0"/>
        <v>221.62677628418007</v>
      </c>
      <c r="D6" s="4">
        <v>80</v>
      </c>
      <c r="E6" s="6">
        <f t="shared" si="1"/>
        <v>2.5997275810461007</v>
      </c>
      <c r="F6" s="5">
        <v>0.85</v>
      </c>
      <c r="G6" s="3"/>
    </row>
    <row r="7" spans="1:7">
      <c r="A7">
        <v>2035</v>
      </c>
      <c r="B7">
        <v>6820</v>
      </c>
      <c r="C7" s="6">
        <f t="shared" si="0"/>
        <v>221.62677628418007</v>
      </c>
      <c r="D7" s="4">
        <v>80</v>
      </c>
      <c r="E7" s="6">
        <f t="shared" si="1"/>
        <v>2.5997275810461007</v>
      </c>
      <c r="F7" s="5">
        <v>0.85</v>
      </c>
      <c r="G7" s="10">
        <f>(G6+G8)/2</f>
        <v>0</v>
      </c>
    </row>
    <row r="8" spans="1:7">
      <c r="A8">
        <v>2040</v>
      </c>
      <c r="B8">
        <v>6820</v>
      </c>
      <c r="C8" s="6">
        <f t="shared" si="0"/>
        <v>221.62677628418007</v>
      </c>
      <c r="D8" s="4">
        <v>80</v>
      </c>
      <c r="E8" s="6">
        <f t="shared" si="1"/>
        <v>2.5997275810461007</v>
      </c>
      <c r="F8" s="5">
        <v>0.85</v>
      </c>
      <c r="G8" s="3"/>
    </row>
    <row r="9" spans="1:7">
      <c r="A9">
        <v>2045</v>
      </c>
      <c r="B9">
        <v>6820</v>
      </c>
      <c r="C9" s="6">
        <f t="shared" si="0"/>
        <v>221.62677628418007</v>
      </c>
      <c r="D9" s="4">
        <v>80</v>
      </c>
      <c r="E9" s="6">
        <f t="shared" si="1"/>
        <v>2.5997275810461007</v>
      </c>
      <c r="F9" s="5">
        <v>0.85</v>
      </c>
      <c r="G9" s="10">
        <f>(G8+G10)/2</f>
        <v>0</v>
      </c>
    </row>
    <row r="10" spans="1:7">
      <c r="A10">
        <v>2050</v>
      </c>
      <c r="B10">
        <v>6820</v>
      </c>
      <c r="C10" s="6">
        <f t="shared" si="0"/>
        <v>221.62677628418007</v>
      </c>
      <c r="D10" s="4">
        <v>80</v>
      </c>
      <c r="E10" s="6">
        <f t="shared" si="1"/>
        <v>2.5997275810461007</v>
      </c>
      <c r="F10" s="5">
        <v>0.85</v>
      </c>
      <c r="G10" s="3"/>
    </row>
    <row r="12" spans="1:7">
      <c r="A12" t="s">
        <v>8</v>
      </c>
    </row>
    <row r="13" spans="1:7">
      <c r="A13" s="1" t="s">
        <v>1</v>
      </c>
      <c r="B13" t="s">
        <v>2</v>
      </c>
      <c r="C13" s="3" t="s">
        <v>3</v>
      </c>
      <c r="D13" s="2" t="s">
        <v>4</v>
      </c>
      <c r="E13" s="3" t="s">
        <v>5</v>
      </c>
      <c r="F13" s="3" t="s">
        <v>6</v>
      </c>
      <c r="G13" s="3" t="s">
        <v>7</v>
      </c>
    </row>
    <row r="14" spans="1:7">
      <c r="A14">
        <v>2020</v>
      </c>
      <c r="B14">
        <v>6520</v>
      </c>
      <c r="C14" s="6">
        <f>B14/$B$27/1000000</f>
        <v>211.87779785525717</v>
      </c>
      <c r="D14" s="4">
        <v>240</v>
      </c>
      <c r="E14" s="6">
        <f>D14/$B$27/1000000</f>
        <v>7.7991827431383012</v>
      </c>
      <c r="F14" s="5">
        <v>0.83</v>
      </c>
      <c r="G14" s="3"/>
    </row>
    <row r="15" spans="1:7">
      <c r="A15" s="8" t="s">
        <v>15</v>
      </c>
      <c r="B15">
        <v>10110</v>
      </c>
      <c r="C15" s="6">
        <f t="shared" ref="C15:C21" si="2">B15/$B$27/1000000</f>
        <v>328.54057305470099</v>
      </c>
      <c r="D15" s="4">
        <v>240</v>
      </c>
      <c r="E15" s="6">
        <f t="shared" ref="E15:E21" si="3">D15/$B$27/1000000</f>
        <v>7.7991827431383012</v>
      </c>
      <c r="F15" s="5">
        <v>0.97</v>
      </c>
      <c r="G15" s="3"/>
    </row>
    <row r="16" spans="1:7">
      <c r="A16" s="11">
        <v>2025</v>
      </c>
      <c r="B16">
        <v>10110</v>
      </c>
      <c r="C16" s="6">
        <f t="shared" si="2"/>
        <v>328.54057305470099</v>
      </c>
      <c r="D16" s="4">
        <v>240</v>
      </c>
      <c r="E16" s="6">
        <f t="shared" si="3"/>
        <v>7.7991827431383012</v>
      </c>
      <c r="F16" s="5">
        <v>0.97</v>
      </c>
      <c r="G16" s="7">
        <f>0.2*(G17-G15)+G15</f>
        <v>0</v>
      </c>
    </row>
    <row r="17" spans="1:7">
      <c r="A17">
        <v>2030</v>
      </c>
      <c r="B17">
        <v>10110</v>
      </c>
      <c r="C17" s="6">
        <f t="shared" si="2"/>
        <v>328.54057305470099</v>
      </c>
      <c r="D17" s="4">
        <v>240</v>
      </c>
      <c r="E17" s="6">
        <f t="shared" si="3"/>
        <v>7.7991827431383012</v>
      </c>
      <c r="F17" s="5">
        <v>0.97</v>
      </c>
      <c r="G17" s="3"/>
    </row>
    <row r="18" spans="1:7">
      <c r="A18">
        <v>2035</v>
      </c>
      <c r="B18">
        <v>10110</v>
      </c>
      <c r="C18" s="6">
        <f t="shared" si="2"/>
        <v>328.54057305470099</v>
      </c>
      <c r="D18" s="4">
        <v>240</v>
      </c>
      <c r="E18" s="6">
        <f t="shared" si="3"/>
        <v>7.7991827431383012</v>
      </c>
      <c r="F18" s="5">
        <v>0.97</v>
      </c>
      <c r="G18" s="10">
        <f>(G17+G19)/2</f>
        <v>0</v>
      </c>
    </row>
    <row r="19" spans="1:7">
      <c r="A19">
        <v>2040</v>
      </c>
      <c r="B19">
        <v>10110</v>
      </c>
      <c r="C19" s="6">
        <f t="shared" si="2"/>
        <v>328.54057305470099</v>
      </c>
      <c r="D19" s="4">
        <v>240</v>
      </c>
      <c r="E19" s="6">
        <f t="shared" si="3"/>
        <v>7.7991827431383012</v>
      </c>
      <c r="F19" s="5">
        <v>0.97</v>
      </c>
      <c r="G19" s="3"/>
    </row>
    <row r="20" spans="1:7">
      <c r="A20">
        <v>2045</v>
      </c>
      <c r="B20">
        <v>10110</v>
      </c>
      <c r="C20" s="6">
        <f t="shared" si="2"/>
        <v>328.54057305470099</v>
      </c>
      <c r="D20" s="4">
        <v>240</v>
      </c>
      <c r="E20" s="6">
        <f t="shared" si="3"/>
        <v>7.7991827431383012</v>
      </c>
      <c r="F20" s="5">
        <v>0.97</v>
      </c>
      <c r="G20" s="10">
        <f>(G19+G21)/2</f>
        <v>0</v>
      </c>
    </row>
    <row r="21" spans="1:7">
      <c r="A21">
        <v>2050</v>
      </c>
      <c r="B21">
        <v>10110</v>
      </c>
      <c r="C21" s="6">
        <f t="shared" si="2"/>
        <v>328.54057305470099</v>
      </c>
      <c r="D21" s="4">
        <v>240</v>
      </c>
      <c r="E21" s="6">
        <f t="shared" si="3"/>
        <v>7.7991827431383012</v>
      </c>
      <c r="F21" s="5">
        <v>0.97</v>
      </c>
      <c r="G21" s="3"/>
    </row>
    <row r="24" spans="1:7">
      <c r="A24" t="s">
        <v>9</v>
      </c>
      <c r="B24">
        <f>0.293071*1000/1000000000</f>
        <v>2.9307100000000004E-7</v>
      </c>
      <c r="C24" t="s">
        <v>10</v>
      </c>
    </row>
    <row r="26" spans="1:7">
      <c r="A26" t="s">
        <v>11</v>
      </c>
      <c r="B26" s="13">
        <v>105</v>
      </c>
    </row>
    <row r="27" spans="1:7">
      <c r="A27" t="s">
        <v>10</v>
      </c>
      <c r="B27">
        <f>B26*B24</f>
        <v>3.0772455000000008E-5</v>
      </c>
    </row>
    <row r="29" spans="1:7">
      <c r="A29" t="s">
        <v>12</v>
      </c>
      <c r="B29" s="13">
        <v>20</v>
      </c>
    </row>
    <row r="30" spans="1:7">
      <c r="A30" t="s">
        <v>13</v>
      </c>
      <c r="B30" s="13">
        <v>33</v>
      </c>
    </row>
    <row r="31" spans="1:7">
      <c r="A31" t="s">
        <v>14</v>
      </c>
      <c r="B31">
        <f>AVERAGE(B29:B30)</f>
        <v>26.5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DD471-ABCC-4C9B-8D6D-F5C398DDEB68}">
  <dimension ref="A1:G21"/>
  <sheetViews>
    <sheetView workbookViewId="0">
      <selection activeCell="B4" sqref="B4"/>
    </sheetView>
  </sheetViews>
  <sheetFormatPr defaultRowHeight="15"/>
  <cols>
    <col min="2" max="2" width="12" bestFit="1" customWidth="1"/>
    <col min="4" max="4" width="9.140625" style="2"/>
  </cols>
  <sheetData>
    <row r="1" spans="1:7">
      <c r="A1" s="1" t="s">
        <v>1</v>
      </c>
      <c r="B1" t="s">
        <v>2</v>
      </c>
      <c r="C1" s="3" t="s">
        <v>3</v>
      </c>
      <c r="D1" s="2" t="s">
        <v>4</v>
      </c>
      <c r="E1" s="3" t="s">
        <v>5</v>
      </c>
      <c r="F1" s="3" t="s">
        <v>6</v>
      </c>
      <c r="G1" s="3" t="s">
        <v>7</v>
      </c>
    </row>
    <row r="2" spans="1:7">
      <c r="A2">
        <v>2020</v>
      </c>
      <c r="B2">
        <v>1290</v>
      </c>
      <c r="C2" s="6">
        <f>B2/$B$17/1000000</f>
        <v>64.73034942145118</v>
      </c>
      <c r="D2" s="4">
        <v>50</v>
      </c>
      <c r="E2" s="6">
        <f>D2/$B$17/1000000</f>
        <v>2.5089282721492703</v>
      </c>
      <c r="F2" s="5">
        <v>1</v>
      </c>
      <c r="G2" s="3"/>
    </row>
    <row r="3" spans="1:7">
      <c r="A3" s="8" t="s">
        <v>15</v>
      </c>
      <c r="B3">
        <v>1420</v>
      </c>
      <c r="C3" s="6">
        <f t="shared" ref="C3:C9" si="0">B3/$B$17/1000000</f>
        <v>71.253562929039276</v>
      </c>
      <c r="D3" s="4">
        <v>50</v>
      </c>
      <c r="E3" s="6">
        <f t="shared" ref="E3:E9" si="1">D3/$B$17/1000000</f>
        <v>2.5089282721492703</v>
      </c>
      <c r="F3" s="5">
        <v>1</v>
      </c>
      <c r="G3" s="3"/>
    </row>
    <row r="4" spans="1:7">
      <c r="A4" s="11">
        <v>2025</v>
      </c>
      <c r="B4">
        <v>1420</v>
      </c>
      <c r="C4" s="6">
        <f t="shared" si="0"/>
        <v>71.253562929039276</v>
      </c>
      <c r="D4" s="4">
        <v>50</v>
      </c>
      <c r="E4" s="6">
        <f t="shared" si="1"/>
        <v>2.5089282721492703</v>
      </c>
      <c r="F4" s="5">
        <v>1</v>
      </c>
      <c r="G4" s="7">
        <f>0.2*(G5-G3)+G3</f>
        <v>0</v>
      </c>
    </row>
    <row r="5" spans="1:7">
      <c r="A5">
        <v>2030</v>
      </c>
      <c r="B5">
        <v>1420</v>
      </c>
      <c r="C5" s="6">
        <f t="shared" si="0"/>
        <v>71.253562929039276</v>
      </c>
      <c r="D5" s="4">
        <v>50</v>
      </c>
      <c r="E5" s="6">
        <f t="shared" si="1"/>
        <v>2.5089282721492703</v>
      </c>
      <c r="F5" s="5">
        <v>1</v>
      </c>
      <c r="G5" s="3"/>
    </row>
    <row r="6" spans="1:7">
      <c r="A6">
        <v>2035</v>
      </c>
      <c r="B6">
        <v>1420</v>
      </c>
      <c r="C6" s="6">
        <f t="shared" si="0"/>
        <v>71.253562929039276</v>
      </c>
      <c r="D6" s="4">
        <v>50</v>
      </c>
      <c r="E6" s="6">
        <f t="shared" si="1"/>
        <v>2.5089282721492703</v>
      </c>
      <c r="F6" s="5">
        <v>1</v>
      </c>
      <c r="G6" s="10">
        <f>(G5+G7)/2</f>
        <v>0</v>
      </c>
    </row>
    <row r="7" spans="1:7">
      <c r="A7">
        <v>2040</v>
      </c>
      <c r="B7">
        <v>1420</v>
      </c>
      <c r="C7" s="6">
        <f t="shared" si="0"/>
        <v>71.253562929039276</v>
      </c>
      <c r="D7" s="4">
        <v>50</v>
      </c>
      <c r="E7" s="6">
        <f t="shared" si="1"/>
        <v>2.5089282721492703</v>
      </c>
      <c r="F7" s="5">
        <v>1</v>
      </c>
      <c r="G7" s="3"/>
    </row>
    <row r="8" spans="1:7">
      <c r="A8">
        <v>2045</v>
      </c>
      <c r="B8">
        <v>1420</v>
      </c>
      <c r="C8" s="6">
        <f t="shared" si="0"/>
        <v>71.253562929039276</v>
      </c>
      <c r="D8" s="4">
        <v>50</v>
      </c>
      <c r="E8" s="6">
        <f t="shared" si="1"/>
        <v>2.5089282721492703</v>
      </c>
      <c r="F8" s="5">
        <v>1</v>
      </c>
      <c r="G8" s="10">
        <f>(G7+G9)/2</f>
        <v>0</v>
      </c>
    </row>
    <row r="9" spans="1:7">
      <c r="A9">
        <v>2050</v>
      </c>
      <c r="B9">
        <v>1420</v>
      </c>
      <c r="C9" s="6">
        <f t="shared" si="0"/>
        <v>71.253562929039276</v>
      </c>
      <c r="D9" s="4">
        <v>50</v>
      </c>
      <c r="E9" s="6">
        <f t="shared" si="1"/>
        <v>2.5089282721492703</v>
      </c>
      <c r="F9" s="5">
        <v>1</v>
      </c>
      <c r="G9" s="3"/>
    </row>
    <row r="14" spans="1:7">
      <c r="A14" t="s">
        <v>9</v>
      </c>
      <c r="B14">
        <f>0.293071*1000/1000000000</f>
        <v>2.9307100000000004E-7</v>
      </c>
      <c r="C14" t="s">
        <v>10</v>
      </c>
    </row>
    <row r="16" spans="1:7">
      <c r="A16" t="s">
        <v>11</v>
      </c>
      <c r="B16" s="13">
        <v>68</v>
      </c>
    </row>
    <row r="17" spans="1:2">
      <c r="A17" t="s">
        <v>10</v>
      </c>
      <c r="B17">
        <f>B16*B14</f>
        <v>1.9928828000000001E-5</v>
      </c>
    </row>
    <row r="19" spans="1:2">
      <c r="A19" t="s">
        <v>12</v>
      </c>
      <c r="B19" s="13">
        <v>15</v>
      </c>
    </row>
    <row r="20" spans="1:2">
      <c r="A20" t="s">
        <v>13</v>
      </c>
      <c r="B20" s="13">
        <v>30</v>
      </c>
    </row>
    <row r="21" spans="1:2">
      <c r="A21" t="s">
        <v>14</v>
      </c>
      <c r="B21">
        <f>AVERAGE(B19:B20)</f>
        <v>22.5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1ABB2-FFF7-4F19-93DA-72115E92408A}">
  <dimension ref="A1:H21"/>
  <sheetViews>
    <sheetView workbookViewId="0">
      <selection activeCell="L5" sqref="L5"/>
    </sheetView>
  </sheetViews>
  <sheetFormatPr defaultRowHeight="15"/>
  <cols>
    <col min="2" max="2" width="12" bestFit="1" customWidth="1"/>
    <col min="3" max="3" width="12" customWidth="1"/>
    <col min="4" max="4" width="10.5703125" bestFit="1" customWidth="1"/>
    <col min="5" max="5" width="9.140625" style="2"/>
  </cols>
  <sheetData>
    <row r="1" spans="1:8">
      <c r="A1" s="1" t="s">
        <v>1</v>
      </c>
      <c r="B1" t="s">
        <v>2</v>
      </c>
      <c r="C1" t="s">
        <v>11</v>
      </c>
      <c r="D1" s="3" t="s">
        <v>3</v>
      </c>
      <c r="E1" s="2" t="s">
        <v>4</v>
      </c>
      <c r="F1" s="3" t="s">
        <v>5</v>
      </c>
      <c r="G1" s="3" t="s">
        <v>6</v>
      </c>
      <c r="H1" s="3" t="s">
        <v>7</v>
      </c>
    </row>
    <row r="2" spans="1:8">
      <c r="A2">
        <v>2020</v>
      </c>
      <c r="B2">
        <v>235</v>
      </c>
      <c r="C2">
        <v>3.5</v>
      </c>
      <c r="D2" s="6">
        <f>B2/($B$14*$C2)/1000000</f>
        <v>229.10099307968761</v>
      </c>
      <c r="E2" s="4"/>
      <c r="F2" s="6">
        <f>E2/($B$14*$C2)/1000000</f>
        <v>0</v>
      </c>
      <c r="G2" s="5">
        <v>1</v>
      </c>
      <c r="H2" s="3"/>
    </row>
    <row r="3" spans="1:8">
      <c r="A3" s="8" t="s">
        <v>15</v>
      </c>
      <c r="B3">
        <v>790</v>
      </c>
      <c r="C3">
        <v>5.0999999999999996</v>
      </c>
      <c r="D3" s="6">
        <f t="shared" ref="D3:D9" si="0">B3/($B$14*$C3)/1000000</f>
        <v>528.54755599944622</v>
      </c>
      <c r="E3" s="4"/>
      <c r="F3" s="6">
        <f t="shared" ref="F3:F9" si="1">E3/($B$14*$C3)/1000000</f>
        <v>0</v>
      </c>
      <c r="G3" s="5">
        <v>1</v>
      </c>
      <c r="H3" s="3"/>
    </row>
    <row r="4" spans="1:8">
      <c r="A4" s="11">
        <v>2025</v>
      </c>
      <c r="B4">
        <v>790</v>
      </c>
      <c r="C4">
        <v>5.0999999999999996</v>
      </c>
      <c r="D4" s="6">
        <f t="shared" si="0"/>
        <v>528.54755599944622</v>
      </c>
      <c r="E4" s="4"/>
      <c r="F4" s="6">
        <f t="shared" si="1"/>
        <v>0</v>
      </c>
      <c r="G4" s="5">
        <v>1</v>
      </c>
      <c r="H4" s="7">
        <f>0.2*(H5-H3)+H3</f>
        <v>0</v>
      </c>
    </row>
    <row r="5" spans="1:8">
      <c r="A5">
        <v>2030</v>
      </c>
      <c r="B5">
        <v>790</v>
      </c>
      <c r="C5">
        <v>5.0999999999999996</v>
      </c>
      <c r="D5" s="6">
        <f t="shared" si="0"/>
        <v>528.54755599944622</v>
      </c>
      <c r="E5" s="4"/>
      <c r="F5" s="6">
        <f t="shared" si="1"/>
        <v>0</v>
      </c>
      <c r="G5" s="5">
        <v>1</v>
      </c>
      <c r="H5" s="3"/>
    </row>
    <row r="6" spans="1:8">
      <c r="A6">
        <v>2035</v>
      </c>
      <c r="B6">
        <v>790</v>
      </c>
      <c r="C6">
        <v>5.0999999999999996</v>
      </c>
      <c r="D6" s="6">
        <f t="shared" si="0"/>
        <v>528.54755599944622</v>
      </c>
      <c r="E6" s="4"/>
      <c r="F6" s="6">
        <f t="shared" si="1"/>
        <v>0</v>
      </c>
      <c r="G6" s="5">
        <v>1</v>
      </c>
      <c r="H6" s="10">
        <f>(H5+H7)/2</f>
        <v>0</v>
      </c>
    </row>
    <row r="7" spans="1:8">
      <c r="A7">
        <v>2040</v>
      </c>
      <c r="B7">
        <v>790</v>
      </c>
      <c r="C7">
        <v>5.0999999999999996</v>
      </c>
      <c r="D7" s="6">
        <f t="shared" si="0"/>
        <v>528.54755599944622</v>
      </c>
      <c r="E7" s="4"/>
      <c r="F7" s="6">
        <f t="shared" si="1"/>
        <v>0</v>
      </c>
      <c r="G7" s="5">
        <v>1</v>
      </c>
      <c r="H7" s="3"/>
    </row>
    <row r="8" spans="1:8">
      <c r="A8">
        <v>2045</v>
      </c>
      <c r="B8">
        <v>790</v>
      </c>
      <c r="C8">
        <v>5.0999999999999996</v>
      </c>
      <c r="D8" s="6">
        <f t="shared" si="0"/>
        <v>528.54755599944622</v>
      </c>
      <c r="E8" s="4"/>
      <c r="F8" s="6">
        <f t="shared" si="1"/>
        <v>0</v>
      </c>
      <c r="G8" s="5">
        <v>1</v>
      </c>
      <c r="H8" s="10">
        <f>(H7+H9)/2</f>
        <v>0</v>
      </c>
    </row>
    <row r="9" spans="1:8">
      <c r="A9">
        <v>2050</v>
      </c>
      <c r="B9">
        <v>790</v>
      </c>
      <c r="C9">
        <v>5.0999999999999996</v>
      </c>
      <c r="D9" s="6">
        <f t="shared" si="0"/>
        <v>528.54755599944622</v>
      </c>
      <c r="E9" s="4"/>
      <c r="F9" s="6">
        <f t="shared" si="1"/>
        <v>0</v>
      </c>
      <c r="G9" s="5">
        <v>1</v>
      </c>
      <c r="H9" s="3"/>
    </row>
    <row r="14" spans="1:8">
      <c r="A14" t="s">
        <v>9</v>
      </c>
      <c r="B14">
        <f>0.293071*1000/1000000000</f>
        <v>2.9307100000000004E-7</v>
      </c>
      <c r="C14" t="s">
        <v>10</v>
      </c>
    </row>
    <row r="16" spans="1:8">
      <c r="A16" t="s">
        <v>11</v>
      </c>
      <c r="B16" s="13"/>
    </row>
    <row r="17" spans="1:4">
      <c r="A17" t="s">
        <v>10</v>
      </c>
      <c r="B17">
        <f>B16*B14</f>
        <v>0</v>
      </c>
    </row>
    <row r="19" spans="1:4">
      <c r="A19" t="s">
        <v>12</v>
      </c>
      <c r="B19" s="13">
        <v>15</v>
      </c>
      <c r="C19" s="14">
        <v>150</v>
      </c>
      <c r="D19" s="14">
        <v>390</v>
      </c>
    </row>
    <row r="20" spans="1:4">
      <c r="A20" t="s">
        <v>13</v>
      </c>
      <c r="B20" s="13">
        <v>30</v>
      </c>
      <c r="C20" s="14">
        <v>320</v>
      </c>
      <c r="D20" s="14">
        <v>1190</v>
      </c>
    </row>
    <row r="21" spans="1:4">
      <c r="A21" t="s">
        <v>14</v>
      </c>
      <c r="B21">
        <f>AVERAGE(B19:B20)</f>
        <v>22.5</v>
      </c>
      <c r="C21" s="14">
        <f>AVERAGE(C19:C20)</f>
        <v>235</v>
      </c>
      <c r="D21" s="14">
        <f>AVERAGE(D19:D20)</f>
        <v>790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743A1-3A2D-42B0-9E7C-F0A82E84DC6A}">
  <dimension ref="A2:H30"/>
  <sheetViews>
    <sheetView workbookViewId="0">
      <selection activeCell="F28" sqref="F28"/>
    </sheetView>
  </sheetViews>
  <sheetFormatPr defaultRowHeight="15"/>
  <cols>
    <col min="2" max="2" width="12" bestFit="1" customWidth="1"/>
    <col min="4" max="4" width="9.140625" style="2"/>
  </cols>
  <sheetData>
    <row r="2" spans="1:8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16</v>
      </c>
      <c r="G2" s="3" t="s">
        <v>6</v>
      </c>
      <c r="H2" s="3" t="s">
        <v>7</v>
      </c>
    </row>
    <row r="3" spans="1:8">
      <c r="A3" s="8">
        <v>2023</v>
      </c>
      <c r="B3">
        <v>5310</v>
      </c>
      <c r="C3" s="16">
        <f t="shared" ref="C3:C9" si="0">B3/$B$26/1000000</f>
        <v>503.29101139314361</v>
      </c>
      <c r="D3" s="4">
        <v>85</v>
      </c>
      <c r="E3" s="16">
        <f t="shared" ref="E3:E9" si="1">D3/$B$26/1000000</f>
        <v>8.0564474516793236</v>
      </c>
      <c r="F3" s="15">
        <v>13.4</v>
      </c>
      <c r="G3" s="17">
        <f t="shared" ref="G3:G9" si="2">F3/$B$22</f>
        <v>3.9271542199323592</v>
      </c>
      <c r="H3" s="1"/>
    </row>
    <row r="4" spans="1:8">
      <c r="A4" s="11">
        <v>2025</v>
      </c>
      <c r="B4" s="21">
        <f>($A$4-$A$3)/($A$5-$A$3)*(B5-B3)+B3</f>
        <v>5321.4285714285716</v>
      </c>
      <c r="C4" s="16">
        <f t="shared" si="0"/>
        <v>504.3742312185795</v>
      </c>
      <c r="D4" s="21">
        <f>($A$4-$A$3)/($A$5-$A$3)*(D5-D3)+D3</f>
        <v>85</v>
      </c>
      <c r="E4" s="16">
        <f t="shared" si="1"/>
        <v>8.0564474516793236</v>
      </c>
      <c r="F4" s="21">
        <f>($A$4-$A$3)/($A$5-$A$3)*(F5-F3)+F3</f>
        <v>13.485714285714286</v>
      </c>
      <c r="G4" s="17">
        <f t="shared" si="2"/>
        <v>3.9522746093988776</v>
      </c>
      <c r="H4" s="18">
        <f>0.2*(H5-H3)+H3</f>
        <v>0</v>
      </c>
    </row>
    <row r="5" spans="1:8">
      <c r="A5">
        <v>2030</v>
      </c>
      <c r="B5">
        <v>5350</v>
      </c>
      <c r="C5" s="16">
        <f t="shared" si="0"/>
        <v>507.08228078216911</v>
      </c>
      <c r="D5" s="4">
        <v>85</v>
      </c>
      <c r="E5" s="16">
        <f t="shared" si="1"/>
        <v>8.0564474516793236</v>
      </c>
      <c r="F5" s="15">
        <v>13.7</v>
      </c>
      <c r="G5" s="17">
        <f t="shared" si="2"/>
        <v>4.0150755830651734</v>
      </c>
      <c r="H5" s="1"/>
    </row>
    <row r="6" spans="1:8">
      <c r="A6">
        <v>2035</v>
      </c>
      <c r="B6">
        <v>5350</v>
      </c>
      <c r="C6" s="16">
        <f t="shared" si="0"/>
        <v>507.08228078216911</v>
      </c>
      <c r="D6" s="4">
        <v>85</v>
      </c>
      <c r="E6" s="16">
        <f t="shared" si="1"/>
        <v>8.0564474516793236</v>
      </c>
      <c r="F6" s="15">
        <v>13.7</v>
      </c>
      <c r="G6" s="17">
        <f t="shared" si="2"/>
        <v>4.0150755830651734</v>
      </c>
      <c r="H6" s="19">
        <f>(H5+H7)/2</f>
        <v>0</v>
      </c>
    </row>
    <row r="7" spans="1:8">
      <c r="A7">
        <v>2040</v>
      </c>
      <c r="B7">
        <v>5350</v>
      </c>
      <c r="C7" s="16">
        <f t="shared" si="0"/>
        <v>507.08228078216911</v>
      </c>
      <c r="D7" s="4">
        <v>85</v>
      </c>
      <c r="E7" s="16">
        <f t="shared" si="1"/>
        <v>8.0564474516793236</v>
      </c>
      <c r="F7" s="15">
        <v>13.7</v>
      </c>
      <c r="G7" s="17">
        <f t="shared" si="2"/>
        <v>4.0150755830651734</v>
      </c>
      <c r="H7" s="1"/>
    </row>
    <row r="8" spans="1:8">
      <c r="A8">
        <v>2045</v>
      </c>
      <c r="B8">
        <v>5350</v>
      </c>
      <c r="C8" s="16">
        <f t="shared" si="0"/>
        <v>507.08228078216911</v>
      </c>
      <c r="D8" s="4">
        <v>85</v>
      </c>
      <c r="E8" s="16">
        <f t="shared" si="1"/>
        <v>8.0564474516793236</v>
      </c>
      <c r="F8" s="15">
        <v>13.7</v>
      </c>
      <c r="G8" s="17">
        <f t="shared" si="2"/>
        <v>4.0150755830651734</v>
      </c>
      <c r="H8" s="19">
        <f>(H7+H9)/2</f>
        <v>0</v>
      </c>
    </row>
    <row r="9" spans="1:8">
      <c r="A9">
        <v>2050</v>
      </c>
      <c r="B9">
        <v>5350</v>
      </c>
      <c r="C9" s="16">
        <f t="shared" si="0"/>
        <v>507.08228078216911</v>
      </c>
      <c r="D9" s="4">
        <v>85</v>
      </c>
      <c r="E9" s="16">
        <f t="shared" si="1"/>
        <v>8.0564474516793236</v>
      </c>
      <c r="F9" s="15">
        <v>13.7</v>
      </c>
      <c r="G9" s="17">
        <f t="shared" si="2"/>
        <v>4.0150755830651734</v>
      </c>
      <c r="H9" s="1"/>
    </row>
    <row r="12" spans="1:8">
      <c r="A12" s="1" t="s">
        <v>1</v>
      </c>
      <c r="B12" t="s">
        <v>2</v>
      </c>
      <c r="C12" s="3" t="s">
        <v>3</v>
      </c>
      <c r="D12" s="2" t="s">
        <v>4</v>
      </c>
      <c r="E12" s="3" t="s">
        <v>5</v>
      </c>
      <c r="F12" s="3" t="s">
        <v>16</v>
      </c>
      <c r="G12" s="3" t="s">
        <v>6</v>
      </c>
      <c r="H12" s="3" t="s">
        <v>7</v>
      </c>
    </row>
    <row r="13" spans="1:8">
      <c r="A13" s="8">
        <v>2023</v>
      </c>
      <c r="B13">
        <v>5980</v>
      </c>
      <c r="C13" s="16">
        <f t="shared" ref="C13:C19" si="3">B13/$B$26/1000000</f>
        <v>566.79477365932178</v>
      </c>
      <c r="D13" s="4">
        <v>85</v>
      </c>
      <c r="E13" s="16">
        <f t="shared" ref="E13:E19" si="4">D13/$B$26/1000000</f>
        <v>8.0564474516793236</v>
      </c>
      <c r="F13" s="15">
        <v>16.2</v>
      </c>
      <c r="G13" s="17">
        <f t="shared" ref="G13:G19" si="5">F13/$B$22</f>
        <v>4.7477536091719568</v>
      </c>
      <c r="H13" s="1"/>
    </row>
    <row r="14" spans="1:8">
      <c r="A14" s="11">
        <v>2025</v>
      </c>
      <c r="B14">
        <v>5980</v>
      </c>
      <c r="C14" s="16">
        <f t="shared" si="3"/>
        <v>566.79477365932178</v>
      </c>
      <c r="D14" s="4">
        <v>85</v>
      </c>
      <c r="E14" s="16">
        <f t="shared" si="4"/>
        <v>8.0564474516793236</v>
      </c>
      <c r="F14" s="15">
        <v>16.2</v>
      </c>
      <c r="G14" s="17">
        <f t="shared" si="5"/>
        <v>4.7477536091719568</v>
      </c>
      <c r="H14" s="18">
        <f>0.2*(H15-H13)+H13</f>
        <v>0</v>
      </c>
    </row>
    <row r="15" spans="1:8">
      <c r="A15">
        <v>2030</v>
      </c>
      <c r="B15">
        <v>5980</v>
      </c>
      <c r="C15" s="16">
        <f t="shared" si="3"/>
        <v>566.79477365932178</v>
      </c>
      <c r="D15" s="4">
        <v>85</v>
      </c>
      <c r="E15" s="16">
        <f t="shared" si="4"/>
        <v>8.0564474516793236</v>
      </c>
      <c r="F15" s="15">
        <v>16.2</v>
      </c>
      <c r="G15" s="17">
        <f t="shared" si="5"/>
        <v>4.7477536091719568</v>
      </c>
      <c r="H15" s="1"/>
    </row>
    <row r="16" spans="1:8">
      <c r="A16">
        <v>2035</v>
      </c>
      <c r="B16">
        <v>5980</v>
      </c>
      <c r="C16" s="16">
        <f t="shared" si="3"/>
        <v>566.79477365932178</v>
      </c>
      <c r="D16" s="4">
        <v>85</v>
      </c>
      <c r="E16" s="16">
        <f t="shared" si="4"/>
        <v>8.0564474516793236</v>
      </c>
      <c r="F16" s="15">
        <v>16.2</v>
      </c>
      <c r="G16" s="17">
        <f t="shared" si="5"/>
        <v>4.7477536091719568</v>
      </c>
      <c r="H16" s="19">
        <f>(H15+H17)/2</f>
        <v>0</v>
      </c>
    </row>
    <row r="17" spans="1:8">
      <c r="A17">
        <v>2040</v>
      </c>
      <c r="B17">
        <v>5980</v>
      </c>
      <c r="C17" s="16">
        <f t="shared" si="3"/>
        <v>566.79477365932178</v>
      </c>
      <c r="D17" s="4">
        <v>85</v>
      </c>
      <c r="E17" s="16">
        <f t="shared" si="4"/>
        <v>8.0564474516793236</v>
      </c>
      <c r="F17" s="15">
        <v>16.2</v>
      </c>
      <c r="G17" s="17">
        <f t="shared" si="5"/>
        <v>4.7477536091719568</v>
      </c>
      <c r="H17" s="1"/>
    </row>
    <row r="18" spans="1:8">
      <c r="A18">
        <v>2045</v>
      </c>
      <c r="B18">
        <v>5980</v>
      </c>
      <c r="C18" s="16">
        <f t="shared" si="3"/>
        <v>566.79477365932178</v>
      </c>
      <c r="D18" s="4">
        <v>85</v>
      </c>
      <c r="E18" s="16">
        <f t="shared" si="4"/>
        <v>8.0564474516793236</v>
      </c>
      <c r="F18" s="15">
        <v>16.2</v>
      </c>
      <c r="G18" s="17">
        <f t="shared" si="5"/>
        <v>4.7477536091719568</v>
      </c>
      <c r="H18" s="19">
        <f>(H17+H19)/2</f>
        <v>0</v>
      </c>
    </row>
    <row r="19" spans="1:8">
      <c r="A19">
        <v>2050</v>
      </c>
      <c r="B19">
        <v>5980</v>
      </c>
      <c r="C19" s="16">
        <f t="shared" si="3"/>
        <v>566.79477365932178</v>
      </c>
      <c r="D19" s="4">
        <v>85</v>
      </c>
      <c r="E19" s="16">
        <f t="shared" si="4"/>
        <v>8.0564474516793236</v>
      </c>
      <c r="F19" s="15">
        <v>16.2</v>
      </c>
      <c r="G19" s="17">
        <f t="shared" si="5"/>
        <v>4.7477536091719568</v>
      </c>
      <c r="H19" s="1"/>
    </row>
    <row r="22" spans="1:8">
      <c r="A22" t="s">
        <v>17</v>
      </c>
      <c r="B22">
        <v>3.41214</v>
      </c>
      <c r="C22" t="s">
        <v>18</v>
      </c>
    </row>
    <row r="23" spans="1:8">
      <c r="A23" t="s">
        <v>19</v>
      </c>
      <c r="B23">
        <f>0.293071*1000/1000000000</f>
        <v>2.9307100000000004E-7</v>
      </c>
      <c r="C23" t="s">
        <v>20</v>
      </c>
    </row>
    <row r="25" spans="1:8">
      <c r="A25" t="s">
        <v>11</v>
      </c>
      <c r="B25" s="13">
        <v>36</v>
      </c>
    </row>
    <row r="26" spans="1:8">
      <c r="A26" t="s">
        <v>10</v>
      </c>
      <c r="B26">
        <f>B25*B23</f>
        <v>1.0550556000000002E-5</v>
      </c>
    </row>
    <row r="28" spans="1:8">
      <c r="A28" t="s">
        <v>21</v>
      </c>
      <c r="B28" s="13">
        <v>11</v>
      </c>
      <c r="C28" s="13">
        <v>20</v>
      </c>
    </row>
    <row r="29" spans="1:8">
      <c r="A29" t="s">
        <v>22</v>
      </c>
      <c r="B29" s="13">
        <v>25</v>
      </c>
      <c r="C29" s="13">
        <v>150</v>
      </c>
    </row>
    <row r="30" spans="1:8">
      <c r="A30" t="s">
        <v>23</v>
      </c>
      <c r="B30" s="20">
        <f>AVERAGE(B28:B29)</f>
        <v>18</v>
      </c>
      <c r="C30" s="20">
        <f>AVERAGE(C28:C29)</f>
        <v>85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0AF57-B83B-4778-AC88-E3C50999B167}">
  <dimension ref="A1:H29"/>
  <sheetViews>
    <sheetView workbookViewId="0">
      <selection activeCell="K27" sqref="K27"/>
    </sheetView>
  </sheetViews>
  <sheetFormatPr defaultRowHeight="15"/>
  <cols>
    <col min="2" max="2" width="12" bestFit="1" customWidth="1"/>
    <col min="4" max="4" width="9.140625" style="2"/>
  </cols>
  <sheetData>
    <row r="1" spans="1:8">
      <c r="A1" t="s">
        <v>0</v>
      </c>
    </row>
    <row r="2" spans="1:8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24</v>
      </c>
      <c r="G2" s="3" t="s">
        <v>6</v>
      </c>
      <c r="H2" s="3" t="s">
        <v>7</v>
      </c>
    </row>
    <row r="3" spans="1:8">
      <c r="A3" s="8">
        <v>2022</v>
      </c>
      <c r="B3">
        <v>565</v>
      </c>
      <c r="C3" s="16">
        <f t="shared" ref="C3:C9" si="0">B3/$B$25/1000000</f>
        <v>192.78604843194992</v>
      </c>
      <c r="D3" s="4"/>
      <c r="E3" s="16">
        <f t="shared" ref="E3:E9" si="1">D3/$B$25/1000000</f>
        <v>0</v>
      </c>
      <c r="F3" s="15">
        <v>12</v>
      </c>
      <c r="G3" s="17">
        <f t="shared" ref="G3:G9" si="2">F3/$B$21</f>
        <v>3.5168545253125605</v>
      </c>
      <c r="H3" s="1"/>
    </row>
    <row r="4" spans="1:8">
      <c r="A4" s="11">
        <v>2025</v>
      </c>
      <c r="B4" s="21">
        <f>($A$4-$A$3)/($A$5-$A$3)*(B5-B3)+B3</f>
        <v>565</v>
      </c>
      <c r="C4" s="16">
        <f t="shared" si="0"/>
        <v>192.78604843194992</v>
      </c>
      <c r="D4" s="21">
        <f>($A$4-$A$3)/($A$5-$A$3)*(D5-D3)+D3</f>
        <v>0</v>
      </c>
      <c r="E4" s="16">
        <f t="shared" si="1"/>
        <v>0</v>
      </c>
      <c r="F4" s="21">
        <f>($A$4-$A$3)/($A$5-$A$3)*(F5-F3)+F3</f>
        <v>12</v>
      </c>
      <c r="G4" s="17">
        <f t="shared" si="2"/>
        <v>3.5168545253125605</v>
      </c>
      <c r="H4" s="18">
        <f>0.2*(H5-H3)+H3</f>
        <v>0</v>
      </c>
    </row>
    <row r="5" spans="1:8">
      <c r="A5">
        <v>2030</v>
      </c>
      <c r="B5">
        <v>565</v>
      </c>
      <c r="C5" s="16">
        <f t="shared" si="0"/>
        <v>192.78604843194992</v>
      </c>
      <c r="D5" s="4"/>
      <c r="E5" s="16">
        <f t="shared" si="1"/>
        <v>0</v>
      </c>
      <c r="F5" s="15">
        <v>12</v>
      </c>
      <c r="G5" s="17">
        <f t="shared" si="2"/>
        <v>3.5168545253125605</v>
      </c>
      <c r="H5" s="1"/>
    </row>
    <row r="6" spans="1:8">
      <c r="A6">
        <v>2035</v>
      </c>
      <c r="B6">
        <v>565</v>
      </c>
      <c r="C6" s="16">
        <f t="shared" si="0"/>
        <v>192.78604843194992</v>
      </c>
      <c r="D6" s="4"/>
      <c r="E6" s="16">
        <f t="shared" si="1"/>
        <v>0</v>
      </c>
      <c r="F6" s="15">
        <v>12</v>
      </c>
      <c r="G6" s="17">
        <f t="shared" si="2"/>
        <v>3.5168545253125605</v>
      </c>
      <c r="H6" s="19">
        <f>(H5+H7)/2</f>
        <v>0</v>
      </c>
    </row>
    <row r="7" spans="1:8">
      <c r="A7">
        <v>2040</v>
      </c>
      <c r="B7">
        <v>565</v>
      </c>
      <c r="C7" s="16">
        <f t="shared" si="0"/>
        <v>192.78604843194992</v>
      </c>
      <c r="D7" s="4"/>
      <c r="E7" s="16">
        <f t="shared" si="1"/>
        <v>0</v>
      </c>
      <c r="F7" s="15">
        <v>12</v>
      </c>
      <c r="G7" s="17">
        <f t="shared" si="2"/>
        <v>3.5168545253125605</v>
      </c>
      <c r="H7" s="1"/>
    </row>
    <row r="8" spans="1:8">
      <c r="A8">
        <v>2045</v>
      </c>
      <c r="B8">
        <v>565</v>
      </c>
      <c r="C8" s="16">
        <f t="shared" si="0"/>
        <v>192.78604843194992</v>
      </c>
      <c r="D8" s="4"/>
      <c r="E8" s="16">
        <f t="shared" si="1"/>
        <v>0</v>
      </c>
      <c r="F8" s="15">
        <v>12</v>
      </c>
      <c r="G8" s="17">
        <f t="shared" si="2"/>
        <v>3.5168545253125605</v>
      </c>
      <c r="H8" s="19">
        <f>(H7+H9)/2</f>
        <v>0</v>
      </c>
    </row>
    <row r="9" spans="1:8">
      <c r="A9">
        <v>2050</v>
      </c>
      <c r="B9">
        <v>565</v>
      </c>
      <c r="C9" s="16">
        <f t="shared" si="0"/>
        <v>192.78604843194992</v>
      </c>
      <c r="D9" s="4"/>
      <c r="E9" s="16">
        <f t="shared" si="1"/>
        <v>0</v>
      </c>
      <c r="F9" s="15">
        <v>12</v>
      </c>
      <c r="G9" s="17">
        <f t="shared" si="2"/>
        <v>3.5168545253125605</v>
      </c>
      <c r="H9" s="1"/>
    </row>
    <row r="11" spans="1:8">
      <c r="A11" t="s">
        <v>8</v>
      </c>
    </row>
    <row r="12" spans="1:8">
      <c r="A12" s="1" t="s">
        <v>1</v>
      </c>
      <c r="B12" t="s">
        <v>2</v>
      </c>
      <c r="C12" s="3" t="s">
        <v>3</v>
      </c>
      <c r="D12" s="2" t="s">
        <v>4</v>
      </c>
      <c r="E12" s="3" t="s">
        <v>5</v>
      </c>
      <c r="F12" s="3" t="s">
        <v>24</v>
      </c>
      <c r="G12" s="3" t="s">
        <v>6</v>
      </c>
      <c r="H12" s="3" t="s">
        <v>7</v>
      </c>
    </row>
    <row r="13" spans="1:8">
      <c r="A13" s="8">
        <v>2022</v>
      </c>
      <c r="B13">
        <v>675</v>
      </c>
      <c r="C13" s="16">
        <f t="shared" ref="C13:C19" si="3">B13/$B$25/1000000</f>
        <v>230.31961538330299</v>
      </c>
      <c r="D13" s="4"/>
      <c r="E13" s="16">
        <f t="shared" ref="E13:E19" si="4">D13/$B$25/1000000</f>
        <v>0</v>
      </c>
      <c r="F13" s="15">
        <v>15.7</v>
      </c>
      <c r="G13" s="17">
        <f t="shared" ref="G13:G19" si="5">F13/$B$21</f>
        <v>4.6012180039506001</v>
      </c>
      <c r="H13" s="1"/>
    </row>
    <row r="14" spans="1:8">
      <c r="A14" s="11">
        <v>2025</v>
      </c>
      <c r="B14">
        <v>675</v>
      </c>
      <c r="C14" s="16">
        <f t="shared" si="3"/>
        <v>230.31961538330299</v>
      </c>
      <c r="D14" s="21">
        <f>($A$4-$A$3)/($A$5-$A$3)*(D15-D13)+D13</f>
        <v>0</v>
      </c>
      <c r="E14" s="16">
        <f t="shared" si="4"/>
        <v>0</v>
      </c>
      <c r="F14" s="15">
        <v>15.7</v>
      </c>
      <c r="G14" s="17">
        <f t="shared" si="5"/>
        <v>4.6012180039506001</v>
      </c>
      <c r="H14" s="18">
        <f>0.2*(H15-H13)+H13</f>
        <v>0</v>
      </c>
    </row>
    <row r="15" spans="1:8">
      <c r="A15">
        <v>2030</v>
      </c>
      <c r="B15">
        <v>675</v>
      </c>
      <c r="C15" s="16">
        <f t="shared" si="3"/>
        <v>230.31961538330299</v>
      </c>
      <c r="D15" s="4"/>
      <c r="E15" s="16">
        <f t="shared" si="4"/>
        <v>0</v>
      </c>
      <c r="F15" s="15">
        <v>15.7</v>
      </c>
      <c r="G15" s="17">
        <f t="shared" si="5"/>
        <v>4.6012180039506001</v>
      </c>
      <c r="H15" s="1"/>
    </row>
    <row r="16" spans="1:8">
      <c r="A16">
        <v>2035</v>
      </c>
      <c r="B16">
        <v>675</v>
      </c>
      <c r="C16" s="16">
        <f t="shared" si="3"/>
        <v>230.31961538330299</v>
      </c>
      <c r="D16" s="4"/>
      <c r="E16" s="16">
        <f t="shared" si="4"/>
        <v>0</v>
      </c>
      <c r="F16" s="15">
        <v>15.7</v>
      </c>
      <c r="G16" s="17">
        <f t="shared" si="5"/>
        <v>4.6012180039506001</v>
      </c>
      <c r="H16" s="19">
        <f>(H15+H17)/2</f>
        <v>0</v>
      </c>
    </row>
    <row r="17" spans="1:8">
      <c r="A17">
        <v>2040</v>
      </c>
      <c r="B17">
        <v>675</v>
      </c>
      <c r="C17" s="16">
        <f t="shared" si="3"/>
        <v>230.31961538330299</v>
      </c>
      <c r="D17" s="4"/>
      <c r="E17" s="16">
        <f t="shared" si="4"/>
        <v>0</v>
      </c>
      <c r="F17" s="15">
        <v>15.7</v>
      </c>
      <c r="G17" s="17">
        <f t="shared" si="5"/>
        <v>4.6012180039506001</v>
      </c>
      <c r="H17" s="1"/>
    </row>
    <row r="18" spans="1:8">
      <c r="A18">
        <v>2045</v>
      </c>
      <c r="B18">
        <v>675</v>
      </c>
      <c r="C18" s="16">
        <f t="shared" si="3"/>
        <v>230.31961538330299</v>
      </c>
      <c r="D18" s="4"/>
      <c r="E18" s="16">
        <f t="shared" si="4"/>
        <v>0</v>
      </c>
      <c r="F18" s="15">
        <v>15.7</v>
      </c>
      <c r="G18" s="17">
        <f t="shared" si="5"/>
        <v>4.6012180039506001</v>
      </c>
      <c r="H18" s="19">
        <f>(H17+H19)/2</f>
        <v>0</v>
      </c>
    </row>
    <row r="19" spans="1:8">
      <c r="A19">
        <v>2050</v>
      </c>
      <c r="B19">
        <v>675</v>
      </c>
      <c r="C19" s="16">
        <f t="shared" si="3"/>
        <v>230.31961538330299</v>
      </c>
      <c r="D19" s="4"/>
      <c r="E19" s="16">
        <f t="shared" si="4"/>
        <v>0</v>
      </c>
      <c r="F19" s="15">
        <v>15.7</v>
      </c>
      <c r="G19" s="17">
        <f t="shared" si="5"/>
        <v>4.6012180039506001</v>
      </c>
      <c r="H19" s="1"/>
    </row>
    <row r="21" spans="1:8">
      <c r="A21" t="s">
        <v>17</v>
      </c>
      <c r="B21">
        <v>3.41214</v>
      </c>
      <c r="C21" t="s">
        <v>18</v>
      </c>
    </row>
    <row r="22" spans="1:8">
      <c r="A22" t="s">
        <v>19</v>
      </c>
      <c r="B22">
        <f>0.293071*1000/1000000000</f>
        <v>2.9307100000000004E-7</v>
      </c>
      <c r="C22" t="s">
        <v>20</v>
      </c>
    </row>
    <row r="24" spans="1:8">
      <c r="A24" t="s">
        <v>11</v>
      </c>
      <c r="B24" s="13">
        <v>10</v>
      </c>
    </row>
    <row r="25" spans="1:8">
      <c r="A25" t="s">
        <v>10</v>
      </c>
      <c r="B25">
        <f>B24*B22</f>
        <v>2.9307100000000004E-6</v>
      </c>
    </row>
    <row r="27" spans="1:8">
      <c r="A27" t="s">
        <v>21</v>
      </c>
      <c r="B27" s="13">
        <v>6</v>
      </c>
      <c r="C27" s="13">
        <v>640</v>
      </c>
      <c r="D27" s="13">
        <v>490</v>
      </c>
      <c r="E27" s="13">
        <v>490</v>
      </c>
    </row>
    <row r="28" spans="1:8">
      <c r="A28" t="s">
        <v>22</v>
      </c>
      <c r="B28" s="13">
        <v>13</v>
      </c>
      <c r="C28" s="13">
        <v>830</v>
      </c>
      <c r="D28" s="13">
        <v>630</v>
      </c>
      <c r="E28" s="13">
        <v>640</v>
      </c>
    </row>
    <row r="29" spans="1:8">
      <c r="A29" t="s">
        <v>23</v>
      </c>
      <c r="B29" s="20">
        <f>AVERAGE(B27:B28)</f>
        <v>9.5</v>
      </c>
      <c r="C29" s="20">
        <f>AVERAGE(C27:C28)</f>
        <v>735</v>
      </c>
      <c r="D29" s="20">
        <f>AVERAGE(D27:D28)</f>
        <v>560</v>
      </c>
      <c r="E29" s="20">
        <f>AVERAGE(E27:E28)</f>
        <v>565</v>
      </c>
      <c r="F29" s="2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4F7D4-2B3A-4B9A-BD87-08BEE3F38574}">
  <dimension ref="A1:H29"/>
  <sheetViews>
    <sheetView workbookViewId="0">
      <selection activeCell="B38" sqref="B38"/>
    </sheetView>
  </sheetViews>
  <sheetFormatPr defaultRowHeight="15"/>
  <cols>
    <col min="2" max="2" width="12" bestFit="1" customWidth="1"/>
    <col min="4" max="4" width="9.140625" style="2"/>
  </cols>
  <sheetData>
    <row r="1" spans="1:7">
      <c r="A1" t="s">
        <v>0</v>
      </c>
    </row>
    <row r="2" spans="1:7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24</v>
      </c>
      <c r="G2" s="3" t="s">
        <v>6</v>
      </c>
    </row>
    <row r="3" spans="1:7">
      <c r="A3" s="8">
        <v>2022</v>
      </c>
      <c r="B3">
        <v>700</v>
      </c>
      <c r="C3" s="16">
        <f t="shared" ref="C3:C9" si="0">B3/$B$25/1000000</f>
        <v>361.89389622516745</v>
      </c>
      <c r="D3" s="4"/>
      <c r="E3" s="16">
        <f t="shared" ref="E3:E9" si="1">D3/$B$25/1000000</f>
        <v>0</v>
      </c>
      <c r="F3" s="15">
        <v>5.5</v>
      </c>
      <c r="G3" s="17">
        <f t="shared" ref="G3:G9" si="2">F3/$B$21</f>
        <v>1.6118916574349236</v>
      </c>
    </row>
    <row r="4" spans="1:7">
      <c r="A4" s="11">
        <v>2025</v>
      </c>
      <c r="B4" s="22">
        <v>760</v>
      </c>
      <c r="C4" s="16">
        <f t="shared" si="0"/>
        <v>392.91337304446751</v>
      </c>
      <c r="D4" s="21">
        <f>($A$4-$A$3)/($A$5-$A$3)*(D5-D3)+D3</f>
        <v>0</v>
      </c>
      <c r="E4" s="16">
        <f t="shared" si="1"/>
        <v>0</v>
      </c>
      <c r="F4" s="22">
        <v>6.7</v>
      </c>
      <c r="G4" s="17">
        <f t="shared" si="2"/>
        <v>1.9635771099661796</v>
      </c>
    </row>
    <row r="5" spans="1:7">
      <c r="A5">
        <v>2030</v>
      </c>
      <c r="B5">
        <v>760</v>
      </c>
      <c r="C5" s="16">
        <f t="shared" si="0"/>
        <v>392.91337304446751</v>
      </c>
      <c r="D5" s="4"/>
      <c r="E5" s="16">
        <f t="shared" si="1"/>
        <v>0</v>
      </c>
      <c r="F5" s="15">
        <v>6.7</v>
      </c>
      <c r="G5" s="17">
        <f t="shared" si="2"/>
        <v>1.9635771099661796</v>
      </c>
    </row>
    <row r="6" spans="1:7">
      <c r="A6">
        <v>2035</v>
      </c>
      <c r="B6">
        <v>760</v>
      </c>
      <c r="C6" s="16">
        <f t="shared" si="0"/>
        <v>392.91337304446751</v>
      </c>
      <c r="D6" s="4"/>
      <c r="E6" s="16">
        <f t="shared" si="1"/>
        <v>0</v>
      </c>
      <c r="F6" s="15">
        <v>6.7</v>
      </c>
      <c r="G6" s="17">
        <f t="shared" si="2"/>
        <v>1.9635771099661796</v>
      </c>
    </row>
    <row r="7" spans="1:7">
      <c r="A7">
        <v>2040</v>
      </c>
      <c r="B7">
        <v>760</v>
      </c>
      <c r="C7" s="16">
        <f t="shared" si="0"/>
        <v>392.91337304446751</v>
      </c>
      <c r="D7" s="4"/>
      <c r="E7" s="16">
        <f t="shared" si="1"/>
        <v>0</v>
      </c>
      <c r="F7" s="15">
        <v>6.7</v>
      </c>
      <c r="G7" s="17">
        <f t="shared" si="2"/>
        <v>1.9635771099661796</v>
      </c>
    </row>
    <row r="8" spans="1:7">
      <c r="A8">
        <v>2045</v>
      </c>
      <c r="B8">
        <v>760</v>
      </c>
      <c r="C8" s="16">
        <f t="shared" si="0"/>
        <v>392.91337304446751</v>
      </c>
      <c r="D8" s="4"/>
      <c r="E8" s="16">
        <f t="shared" si="1"/>
        <v>0</v>
      </c>
      <c r="F8" s="15">
        <v>6.7</v>
      </c>
      <c r="G8" s="17">
        <f t="shared" si="2"/>
        <v>1.9635771099661796</v>
      </c>
    </row>
    <row r="9" spans="1:7">
      <c r="A9">
        <v>2050</v>
      </c>
      <c r="B9">
        <v>760</v>
      </c>
      <c r="C9" s="16">
        <f t="shared" si="0"/>
        <v>392.91337304446751</v>
      </c>
      <c r="D9" s="4"/>
      <c r="E9" s="16">
        <f t="shared" si="1"/>
        <v>0</v>
      </c>
      <c r="F9" s="15">
        <v>6.7</v>
      </c>
      <c r="G9" s="17">
        <f t="shared" si="2"/>
        <v>1.9635771099661796</v>
      </c>
    </row>
    <row r="11" spans="1:7">
      <c r="A11" t="s">
        <v>8</v>
      </c>
    </row>
    <row r="12" spans="1:7">
      <c r="A12" s="1" t="s">
        <v>1</v>
      </c>
      <c r="B12" t="s">
        <v>2</v>
      </c>
      <c r="C12" s="3" t="s">
        <v>3</v>
      </c>
      <c r="D12" s="2" t="s">
        <v>4</v>
      </c>
      <c r="E12" s="3" t="s">
        <v>5</v>
      </c>
      <c r="F12" s="3" t="s">
        <v>24</v>
      </c>
      <c r="G12" s="3" t="s">
        <v>6</v>
      </c>
    </row>
    <row r="13" spans="1:7">
      <c r="A13" s="8">
        <v>2022</v>
      </c>
      <c r="B13" s="23">
        <v>810</v>
      </c>
      <c r="C13" s="16">
        <f t="shared" ref="C13:C19" si="3">B13/$B$25/1000000</f>
        <v>418.76293706055088</v>
      </c>
      <c r="D13" s="4"/>
      <c r="E13" s="16">
        <f t="shared" ref="E13:E19" si="4">D13/$B$25/1000000</f>
        <v>0</v>
      </c>
      <c r="F13" s="24">
        <v>7.6</v>
      </c>
      <c r="G13" s="17">
        <f t="shared" ref="G13:G19" si="5">F13/$B$21</f>
        <v>2.2273411993646217</v>
      </c>
    </row>
    <row r="14" spans="1:7">
      <c r="A14" s="11">
        <v>2025</v>
      </c>
      <c r="B14" s="23">
        <v>810</v>
      </c>
      <c r="C14" s="16">
        <f t="shared" si="3"/>
        <v>418.76293706055088</v>
      </c>
      <c r="D14" s="21">
        <f>($A$4-$A$3)/($A$5-$A$3)*(D15-D13)+D13</f>
        <v>0</v>
      </c>
      <c r="E14" s="16">
        <f t="shared" si="4"/>
        <v>0</v>
      </c>
      <c r="F14" s="24">
        <v>7.6</v>
      </c>
      <c r="G14" s="17">
        <f t="shared" si="5"/>
        <v>2.2273411993646217</v>
      </c>
    </row>
    <row r="15" spans="1:7">
      <c r="A15">
        <v>2030</v>
      </c>
      <c r="B15" s="23">
        <v>810</v>
      </c>
      <c r="C15" s="16">
        <f t="shared" si="3"/>
        <v>418.76293706055088</v>
      </c>
      <c r="D15" s="4"/>
      <c r="E15" s="16">
        <f t="shared" si="4"/>
        <v>0</v>
      </c>
      <c r="F15" s="24">
        <v>7.6</v>
      </c>
      <c r="G15" s="17">
        <f t="shared" si="5"/>
        <v>2.2273411993646217</v>
      </c>
    </row>
    <row r="16" spans="1:7">
      <c r="A16">
        <v>2035</v>
      </c>
      <c r="B16" s="23">
        <v>810</v>
      </c>
      <c r="C16" s="16">
        <f t="shared" si="3"/>
        <v>418.76293706055088</v>
      </c>
      <c r="D16" s="4"/>
      <c r="E16" s="16">
        <f t="shared" si="4"/>
        <v>0</v>
      </c>
      <c r="F16" s="24">
        <v>7.6</v>
      </c>
      <c r="G16" s="17">
        <f t="shared" si="5"/>
        <v>2.2273411993646217</v>
      </c>
    </row>
    <row r="17" spans="1:8">
      <c r="A17">
        <v>2040</v>
      </c>
      <c r="B17" s="23">
        <v>810</v>
      </c>
      <c r="C17" s="16">
        <f t="shared" si="3"/>
        <v>418.76293706055088</v>
      </c>
      <c r="D17" s="4"/>
      <c r="E17" s="16">
        <f t="shared" si="4"/>
        <v>0</v>
      </c>
      <c r="F17" s="24">
        <v>7.6</v>
      </c>
      <c r="G17" s="17">
        <f t="shared" si="5"/>
        <v>2.2273411993646217</v>
      </c>
    </row>
    <row r="18" spans="1:8">
      <c r="A18">
        <v>2045</v>
      </c>
      <c r="B18" s="23">
        <v>810</v>
      </c>
      <c r="C18" s="16">
        <f t="shared" si="3"/>
        <v>418.76293706055088</v>
      </c>
      <c r="D18" s="4"/>
      <c r="E18" s="16">
        <f t="shared" si="4"/>
        <v>0</v>
      </c>
      <c r="F18" s="24">
        <v>7.6</v>
      </c>
      <c r="G18" s="17">
        <f t="shared" si="5"/>
        <v>2.2273411993646217</v>
      </c>
    </row>
    <row r="19" spans="1:8">
      <c r="A19">
        <v>2050</v>
      </c>
      <c r="B19" s="23">
        <v>810</v>
      </c>
      <c r="C19" s="16">
        <f t="shared" si="3"/>
        <v>418.76293706055088</v>
      </c>
      <c r="D19" s="4"/>
      <c r="E19" s="16">
        <f t="shared" si="4"/>
        <v>0</v>
      </c>
      <c r="F19" s="24">
        <v>7.6</v>
      </c>
      <c r="G19" s="17">
        <f t="shared" si="5"/>
        <v>2.2273411993646217</v>
      </c>
    </row>
    <row r="21" spans="1:8">
      <c r="A21" t="s">
        <v>17</v>
      </c>
      <c r="B21">
        <v>3.41214</v>
      </c>
      <c r="C21" t="s">
        <v>18</v>
      </c>
    </row>
    <row r="22" spans="1:8">
      <c r="A22" t="s">
        <v>19</v>
      </c>
      <c r="B22">
        <f>0.293071*1000/1000000000</f>
        <v>2.9307100000000004E-7</v>
      </c>
      <c r="C22" t="s">
        <v>20</v>
      </c>
    </row>
    <row r="24" spans="1:8">
      <c r="A24" t="s">
        <v>11</v>
      </c>
      <c r="B24" s="13">
        <v>6.6</v>
      </c>
    </row>
    <row r="25" spans="1:8">
      <c r="A25" t="s">
        <v>10</v>
      </c>
      <c r="B25">
        <f>B24*B22</f>
        <v>1.9342686000000003E-6</v>
      </c>
    </row>
    <row r="26" spans="1:8">
      <c r="D26"/>
    </row>
    <row r="27" spans="1:8">
      <c r="A27" t="s">
        <v>21</v>
      </c>
      <c r="B27" s="13">
        <v>7</v>
      </c>
      <c r="C27" s="13"/>
      <c r="D27" s="13"/>
      <c r="E27" s="13"/>
    </row>
    <row r="28" spans="1:8">
      <c r="A28" t="s">
        <v>22</v>
      </c>
      <c r="B28" s="13">
        <v>12</v>
      </c>
      <c r="C28" s="13"/>
      <c r="D28" s="13"/>
      <c r="E28" s="13"/>
    </row>
    <row r="29" spans="1:8">
      <c r="A29" t="s">
        <v>23</v>
      </c>
      <c r="B29" s="20">
        <f>(B27+B28)/2</f>
        <v>9.5</v>
      </c>
      <c r="C29" s="20">
        <f t="shared" ref="C29:H29" si="6">(C27+C28)/2</f>
        <v>0</v>
      </c>
      <c r="D29" s="20">
        <f t="shared" si="6"/>
        <v>0</v>
      </c>
      <c r="E29" s="20">
        <f t="shared" si="6"/>
        <v>0</v>
      </c>
      <c r="F29" s="20">
        <f t="shared" si="6"/>
        <v>0</v>
      </c>
      <c r="G29" s="20">
        <f t="shared" si="6"/>
        <v>0</v>
      </c>
      <c r="H29" s="20">
        <f t="shared" si="6"/>
        <v>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AC1CD8-55B4-4100-8521-43050CFDF9A8}">
  <dimension ref="A1:I29"/>
  <sheetViews>
    <sheetView workbookViewId="0">
      <selection activeCell="F21" sqref="F21"/>
    </sheetView>
  </sheetViews>
  <sheetFormatPr defaultRowHeight="15"/>
  <cols>
    <col min="2" max="2" width="12" bestFit="1" customWidth="1"/>
    <col min="4" max="4" width="9.140625" style="2"/>
  </cols>
  <sheetData>
    <row r="1" spans="1:9">
      <c r="A1" t="s">
        <v>0</v>
      </c>
    </row>
    <row r="2" spans="1:9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16</v>
      </c>
      <c r="G2" s="3" t="s">
        <v>25</v>
      </c>
      <c r="H2" s="3" t="s">
        <v>26</v>
      </c>
      <c r="I2" s="3" t="s">
        <v>27</v>
      </c>
    </row>
    <row r="3" spans="1:9">
      <c r="A3" s="25">
        <v>2023</v>
      </c>
      <c r="B3">
        <v>6810</v>
      </c>
      <c r="C3" s="16">
        <f t="shared" ref="C3:C9" si="0">B3/$B$25/1000000</f>
        <v>645.46361348160224</v>
      </c>
      <c r="D3" s="4">
        <v>85</v>
      </c>
      <c r="E3" s="16">
        <f t="shared" ref="E3:E9" si="1">D3/$B$25/1000000</f>
        <v>8.0564474516793236</v>
      </c>
      <c r="F3" s="15">
        <v>14.3</v>
      </c>
      <c r="G3" s="17">
        <f t="shared" ref="G3:G9" si="2">F3/$B$21</f>
        <v>4.1909183093308018</v>
      </c>
      <c r="H3" s="15">
        <v>7.5</v>
      </c>
      <c r="I3" s="17">
        <f t="shared" ref="I3:I9" si="3">H3/$B$21</f>
        <v>2.1980340783203505</v>
      </c>
    </row>
    <row r="4" spans="1:9">
      <c r="A4" s="11">
        <v>2025</v>
      </c>
      <c r="B4" s="21">
        <f>($A$4-$A$3)/($A$5-$A$3)*(B5-B3)+B3</f>
        <v>6847.1428571428569</v>
      </c>
      <c r="C4" s="16">
        <f t="shared" si="0"/>
        <v>648.98407791426871</v>
      </c>
      <c r="D4" s="4">
        <v>85</v>
      </c>
      <c r="E4" s="16">
        <f t="shared" si="1"/>
        <v>8.0564474516793236</v>
      </c>
      <c r="F4" s="21">
        <f>($A$4-$A$3)/($A$5-$A$3)*(F5-F3)+F3</f>
        <v>14.557142857142857</v>
      </c>
      <c r="G4" s="17">
        <f t="shared" si="2"/>
        <v>4.2662794777303557</v>
      </c>
      <c r="H4" s="21">
        <f>($A$4-$A$3)/($A$5-$A$3)*(H5-H3)+H3</f>
        <v>7.5857142857142854</v>
      </c>
      <c r="I4" s="17">
        <f t="shared" si="3"/>
        <v>2.2231544677868684</v>
      </c>
    </row>
    <row r="5" spans="1:9">
      <c r="A5">
        <v>2030</v>
      </c>
      <c r="B5">
        <v>6940</v>
      </c>
      <c r="C5" s="16">
        <f t="shared" si="0"/>
        <v>657.78523899593529</v>
      </c>
      <c r="D5" s="4">
        <v>85</v>
      </c>
      <c r="E5" s="16">
        <f t="shared" si="1"/>
        <v>8.0564474516793236</v>
      </c>
      <c r="F5" s="15">
        <v>15.2</v>
      </c>
      <c r="G5" s="17">
        <f t="shared" si="2"/>
        <v>4.4546823987292434</v>
      </c>
      <c r="H5" s="15">
        <v>7.8</v>
      </c>
      <c r="I5" s="17">
        <f t="shared" si="3"/>
        <v>2.2859554414531642</v>
      </c>
    </row>
    <row r="6" spans="1:9">
      <c r="A6">
        <v>2035</v>
      </c>
      <c r="B6" s="7">
        <f>(B5+B7)/2</f>
        <v>7090</v>
      </c>
      <c r="C6" s="16">
        <f t="shared" si="0"/>
        <v>672.0024992047812</v>
      </c>
      <c r="D6" s="4">
        <v>85</v>
      </c>
      <c r="E6" s="16">
        <f t="shared" si="1"/>
        <v>8.0564474516793236</v>
      </c>
      <c r="F6" s="7">
        <f>(F5+F7)/2</f>
        <v>15.45</v>
      </c>
      <c r="G6" s="17">
        <f t="shared" si="2"/>
        <v>4.5279502013399213</v>
      </c>
      <c r="H6" s="7">
        <f>(H5+H7)/2</f>
        <v>7.85</v>
      </c>
      <c r="I6" s="17">
        <f t="shared" si="3"/>
        <v>2.3006090019753</v>
      </c>
    </row>
    <row r="7" spans="1:9">
      <c r="A7">
        <v>2040</v>
      </c>
      <c r="B7">
        <v>7240</v>
      </c>
      <c r="C7" s="16">
        <f t="shared" si="0"/>
        <v>686.219759413627</v>
      </c>
      <c r="D7" s="4">
        <v>85</v>
      </c>
      <c r="E7" s="16">
        <f t="shared" si="1"/>
        <v>8.0564474516793236</v>
      </c>
      <c r="F7" s="15">
        <v>15.7</v>
      </c>
      <c r="G7" s="17">
        <f t="shared" si="2"/>
        <v>4.6012180039506001</v>
      </c>
      <c r="H7" s="15">
        <v>7.9</v>
      </c>
      <c r="I7" s="17">
        <f t="shared" si="3"/>
        <v>2.3152625624974359</v>
      </c>
    </row>
    <row r="8" spans="1:9">
      <c r="A8">
        <v>2045</v>
      </c>
      <c r="B8" s="7">
        <f>(B7+B9)/2</f>
        <v>7285</v>
      </c>
      <c r="C8" s="16">
        <f t="shared" si="0"/>
        <v>690.48493747628083</v>
      </c>
      <c r="D8" s="4">
        <v>85</v>
      </c>
      <c r="E8" s="16">
        <f t="shared" si="1"/>
        <v>8.0564474516793236</v>
      </c>
      <c r="F8" s="7">
        <f>(F7+F9)/2</f>
        <v>15.95</v>
      </c>
      <c r="G8" s="17">
        <f t="shared" si="2"/>
        <v>4.674485806561278</v>
      </c>
      <c r="H8" s="7">
        <f>(H7+H9)/2</f>
        <v>7.9</v>
      </c>
      <c r="I8" s="17">
        <f t="shared" si="3"/>
        <v>2.3152625624974359</v>
      </c>
    </row>
    <row r="9" spans="1:9">
      <c r="A9">
        <v>2050</v>
      </c>
      <c r="B9">
        <v>7330</v>
      </c>
      <c r="C9" s="16">
        <f t="shared" si="0"/>
        <v>694.75011553893444</v>
      </c>
      <c r="D9" s="4">
        <v>85</v>
      </c>
      <c r="E9" s="16">
        <f t="shared" si="1"/>
        <v>8.0564474516793236</v>
      </c>
      <c r="F9" s="15">
        <v>16.2</v>
      </c>
      <c r="G9" s="17">
        <f t="shared" si="2"/>
        <v>4.7477536091719568</v>
      </c>
      <c r="H9" s="15">
        <v>7.9</v>
      </c>
      <c r="I9" s="17">
        <f t="shared" si="3"/>
        <v>2.3152625624974359</v>
      </c>
    </row>
    <row r="11" spans="1:9">
      <c r="A11" t="s">
        <v>8</v>
      </c>
    </row>
    <row r="12" spans="1:9">
      <c r="A12" s="1" t="s">
        <v>1</v>
      </c>
      <c r="B12" t="s">
        <v>2</v>
      </c>
      <c r="C12" s="3" t="s">
        <v>3</v>
      </c>
      <c r="D12" s="2" t="s">
        <v>4</v>
      </c>
      <c r="E12" s="3" t="s">
        <v>5</v>
      </c>
      <c r="F12" s="3" t="s">
        <v>16</v>
      </c>
      <c r="G12" s="3" t="s">
        <v>25</v>
      </c>
      <c r="H12" s="3" t="s">
        <v>26</v>
      </c>
      <c r="I12" s="3" t="s">
        <v>27</v>
      </c>
    </row>
    <row r="13" spans="1:9">
      <c r="A13" s="25">
        <v>2023</v>
      </c>
      <c r="B13">
        <v>8620</v>
      </c>
      <c r="C13" s="16">
        <f t="shared" ref="C13:C19" si="4">B13/$B$25/1000000</f>
        <v>817.01855333500896</v>
      </c>
      <c r="D13" s="4">
        <v>85</v>
      </c>
      <c r="E13" s="16">
        <f t="shared" ref="E13:E19" si="5">D13/$B$25/1000000</f>
        <v>8.0564474516793236</v>
      </c>
      <c r="F13" s="15">
        <v>21.5</v>
      </c>
      <c r="G13" s="17">
        <f t="shared" ref="G13:G19" si="6">F13/$B$21</f>
        <v>6.3010310245183376</v>
      </c>
      <c r="H13" s="15">
        <v>10.6</v>
      </c>
      <c r="I13" s="17">
        <f t="shared" ref="I13:I19" si="7">H13/$B$21</f>
        <v>3.1065548306927617</v>
      </c>
    </row>
    <row r="14" spans="1:9">
      <c r="A14" s="11">
        <v>2025</v>
      </c>
      <c r="B14">
        <v>8620</v>
      </c>
      <c r="C14" s="16">
        <f t="shared" si="4"/>
        <v>817.01855333500896</v>
      </c>
      <c r="D14" s="4">
        <v>85</v>
      </c>
      <c r="E14" s="16">
        <f t="shared" si="5"/>
        <v>8.0564474516793236</v>
      </c>
      <c r="F14" s="15">
        <v>21.5</v>
      </c>
      <c r="G14" s="17">
        <f t="shared" si="6"/>
        <v>6.3010310245183376</v>
      </c>
      <c r="H14" s="15">
        <v>10.6</v>
      </c>
      <c r="I14" s="17">
        <f t="shared" si="7"/>
        <v>3.1065548306927617</v>
      </c>
    </row>
    <row r="15" spans="1:9">
      <c r="A15">
        <v>2030</v>
      </c>
      <c r="B15">
        <v>8620</v>
      </c>
      <c r="C15" s="16">
        <f t="shared" si="4"/>
        <v>817.01855333500896</v>
      </c>
      <c r="D15" s="4">
        <v>85</v>
      </c>
      <c r="E15" s="16">
        <f t="shared" si="5"/>
        <v>8.0564474516793236</v>
      </c>
      <c r="F15" s="15">
        <v>21.5</v>
      </c>
      <c r="G15" s="17">
        <f t="shared" si="6"/>
        <v>6.3010310245183376</v>
      </c>
      <c r="H15" s="15">
        <v>10.6</v>
      </c>
      <c r="I15" s="17">
        <f t="shared" si="7"/>
        <v>3.1065548306927617</v>
      </c>
    </row>
    <row r="16" spans="1:9">
      <c r="A16">
        <v>2035</v>
      </c>
      <c r="B16">
        <v>8620</v>
      </c>
      <c r="C16" s="16">
        <f t="shared" si="4"/>
        <v>817.01855333500896</v>
      </c>
      <c r="D16" s="4">
        <v>85</v>
      </c>
      <c r="E16" s="16">
        <f t="shared" si="5"/>
        <v>8.0564474516793236</v>
      </c>
      <c r="F16" s="15">
        <v>21.5</v>
      </c>
      <c r="G16" s="17">
        <f t="shared" si="6"/>
        <v>6.3010310245183376</v>
      </c>
      <c r="H16" s="15">
        <v>10.6</v>
      </c>
      <c r="I16" s="17">
        <f t="shared" si="7"/>
        <v>3.1065548306927617</v>
      </c>
    </row>
    <row r="17" spans="1:9">
      <c r="A17">
        <v>2040</v>
      </c>
      <c r="B17">
        <v>8620</v>
      </c>
      <c r="C17" s="16">
        <f t="shared" si="4"/>
        <v>817.01855333500896</v>
      </c>
      <c r="D17" s="4">
        <v>85</v>
      </c>
      <c r="E17" s="16">
        <f t="shared" si="5"/>
        <v>8.0564474516793236</v>
      </c>
      <c r="F17" s="15">
        <v>21.5</v>
      </c>
      <c r="G17" s="17">
        <f t="shared" si="6"/>
        <v>6.3010310245183376</v>
      </c>
      <c r="H17" s="15">
        <v>10.6</v>
      </c>
      <c r="I17" s="17">
        <f t="shared" si="7"/>
        <v>3.1065548306927617</v>
      </c>
    </row>
    <row r="18" spans="1:9">
      <c r="A18">
        <v>2045</v>
      </c>
      <c r="B18">
        <v>8620</v>
      </c>
      <c r="C18" s="16">
        <f t="shared" si="4"/>
        <v>817.01855333500896</v>
      </c>
      <c r="D18" s="4">
        <v>85</v>
      </c>
      <c r="E18" s="16">
        <f t="shared" si="5"/>
        <v>8.0564474516793236</v>
      </c>
      <c r="F18" s="15">
        <v>21.5</v>
      </c>
      <c r="G18" s="17">
        <f t="shared" si="6"/>
        <v>6.3010310245183376</v>
      </c>
      <c r="H18" s="15">
        <v>10.6</v>
      </c>
      <c r="I18" s="17">
        <f t="shared" si="7"/>
        <v>3.1065548306927617</v>
      </c>
    </row>
    <row r="19" spans="1:9">
      <c r="A19">
        <v>2050</v>
      </c>
      <c r="B19">
        <v>8620</v>
      </c>
      <c r="C19" s="16">
        <f t="shared" si="4"/>
        <v>817.01855333500896</v>
      </c>
      <c r="D19" s="4">
        <v>85</v>
      </c>
      <c r="E19" s="16">
        <f t="shared" si="5"/>
        <v>8.0564474516793236</v>
      </c>
      <c r="F19" s="15">
        <v>21.5</v>
      </c>
      <c r="G19" s="17">
        <f t="shared" si="6"/>
        <v>6.3010310245183376</v>
      </c>
      <c r="H19" s="15">
        <v>10.6</v>
      </c>
      <c r="I19" s="17">
        <f t="shared" si="7"/>
        <v>3.1065548306927617</v>
      </c>
    </row>
    <row r="21" spans="1:9">
      <c r="A21" t="s">
        <v>17</v>
      </c>
      <c r="B21">
        <v>3.41214</v>
      </c>
      <c r="C21" t="s">
        <v>18</v>
      </c>
    </row>
    <row r="22" spans="1:9">
      <c r="A22" t="s">
        <v>19</v>
      </c>
      <c r="B22">
        <f>0.293071*1000/1000000000</f>
        <v>2.9307100000000004E-7</v>
      </c>
      <c r="C22" t="s">
        <v>20</v>
      </c>
    </row>
    <row r="24" spans="1:9">
      <c r="A24" t="s">
        <v>11</v>
      </c>
      <c r="B24" s="13">
        <v>36</v>
      </c>
    </row>
    <row r="25" spans="1:9">
      <c r="A25" t="s">
        <v>10</v>
      </c>
      <c r="B25">
        <f>B24*B22</f>
        <v>1.0550556000000002E-5</v>
      </c>
    </row>
    <row r="26" spans="1:9">
      <c r="D26"/>
    </row>
    <row r="27" spans="1:9">
      <c r="A27" t="s">
        <v>21</v>
      </c>
      <c r="B27">
        <v>20</v>
      </c>
      <c r="D27"/>
    </row>
    <row r="28" spans="1:9">
      <c r="A28" t="s">
        <v>22</v>
      </c>
      <c r="B28">
        <v>150</v>
      </c>
      <c r="D28"/>
    </row>
    <row r="29" spans="1:9">
      <c r="A29" t="s">
        <v>23</v>
      </c>
      <c r="B29" s="20">
        <f>(B27+B28)/2</f>
        <v>85</v>
      </c>
      <c r="C29" s="20">
        <f t="shared" ref="C29:H29" si="8">(C27+C28)/2</f>
        <v>0</v>
      </c>
      <c r="D29" s="20">
        <f t="shared" si="8"/>
        <v>0</v>
      </c>
      <c r="E29" s="20">
        <f t="shared" si="8"/>
        <v>0</v>
      </c>
      <c r="F29" s="20">
        <f t="shared" si="8"/>
        <v>0</v>
      </c>
      <c r="G29" s="20">
        <f t="shared" si="8"/>
        <v>0</v>
      </c>
      <c r="H29" s="20">
        <f t="shared" si="8"/>
        <v>0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29B54-1CC1-4358-A34E-750B18618389}">
  <dimension ref="A1:J29"/>
  <sheetViews>
    <sheetView workbookViewId="0">
      <selection activeCell="I50" sqref="I50"/>
    </sheetView>
  </sheetViews>
  <sheetFormatPr defaultRowHeight="15"/>
  <cols>
    <col min="2" max="2" width="12" bestFit="1" customWidth="1"/>
    <col min="4" max="4" width="9.140625" style="2"/>
  </cols>
  <sheetData>
    <row r="1" spans="1:10">
      <c r="A1" t="s">
        <v>0</v>
      </c>
    </row>
    <row r="2" spans="1:10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28</v>
      </c>
      <c r="G2" s="3" t="s">
        <v>25</v>
      </c>
      <c r="H2" s="3" t="s">
        <v>29</v>
      </c>
      <c r="I2" s="3" t="s">
        <v>27</v>
      </c>
    </row>
    <row r="3" spans="1:10">
      <c r="A3" s="25">
        <v>2022</v>
      </c>
      <c r="B3">
        <v>2030</v>
      </c>
      <c r="C3" s="16">
        <f t="shared" ref="C3:C9" si="0">B3/$B$25/1000000</f>
        <v>577.22076447914208</v>
      </c>
      <c r="D3" s="4">
        <v>100</v>
      </c>
      <c r="E3" s="16">
        <f t="shared" ref="E3:E9" si="1">D3/$B$25/1000000</f>
        <v>28.434520417691726</v>
      </c>
      <c r="F3" s="15">
        <v>21.9</v>
      </c>
      <c r="G3" s="17">
        <f t="shared" ref="G3:G9" si="2">F3/$B$21</f>
        <v>6.4182595086954226</v>
      </c>
      <c r="H3" s="15">
        <v>11.1</v>
      </c>
      <c r="I3" s="17">
        <f t="shared" ref="I3:I9" si="3">H3/$B$21</f>
        <v>3.2530904359141184</v>
      </c>
    </row>
    <row r="4" spans="1:10">
      <c r="A4" s="11">
        <v>2025</v>
      </c>
      <c r="B4">
        <v>2030</v>
      </c>
      <c r="C4" s="16">
        <f t="shared" si="0"/>
        <v>577.22076447914208</v>
      </c>
      <c r="D4" s="4">
        <v>100</v>
      </c>
      <c r="E4" s="16">
        <f t="shared" si="1"/>
        <v>28.434520417691726</v>
      </c>
      <c r="F4" s="15">
        <v>21.9</v>
      </c>
      <c r="G4" s="17">
        <f t="shared" si="2"/>
        <v>6.4182595086954226</v>
      </c>
      <c r="H4" s="15">
        <v>11.1</v>
      </c>
      <c r="I4" s="17">
        <f t="shared" si="3"/>
        <v>3.2530904359141184</v>
      </c>
      <c r="J4" s="21">
        <f>($A$4-$A$3)/($A$5-$A$3)*(J5-J3)+J3</f>
        <v>0</v>
      </c>
    </row>
    <row r="5" spans="1:10">
      <c r="A5">
        <v>2030</v>
      </c>
      <c r="B5">
        <v>2030</v>
      </c>
      <c r="C5" s="16">
        <f t="shared" si="0"/>
        <v>577.22076447914208</v>
      </c>
      <c r="D5" s="4">
        <v>100</v>
      </c>
      <c r="E5" s="16">
        <f t="shared" si="1"/>
        <v>28.434520417691726</v>
      </c>
      <c r="F5" s="15">
        <v>21.9</v>
      </c>
      <c r="G5" s="17">
        <f t="shared" si="2"/>
        <v>6.4182595086954226</v>
      </c>
      <c r="H5" s="15">
        <v>11.1</v>
      </c>
      <c r="I5" s="17">
        <f t="shared" si="3"/>
        <v>3.2530904359141184</v>
      </c>
    </row>
    <row r="6" spans="1:10">
      <c r="A6">
        <v>2035</v>
      </c>
      <c r="B6">
        <v>2030</v>
      </c>
      <c r="C6" s="16">
        <f t="shared" si="0"/>
        <v>577.22076447914208</v>
      </c>
      <c r="D6" s="4">
        <v>100</v>
      </c>
      <c r="E6" s="16">
        <f t="shared" si="1"/>
        <v>28.434520417691726</v>
      </c>
      <c r="F6" s="15">
        <v>21.9</v>
      </c>
      <c r="G6" s="17">
        <f t="shared" si="2"/>
        <v>6.4182595086954226</v>
      </c>
      <c r="H6" s="15">
        <v>11.1</v>
      </c>
      <c r="I6" s="17">
        <f t="shared" si="3"/>
        <v>3.2530904359141184</v>
      </c>
    </row>
    <row r="7" spans="1:10">
      <c r="A7">
        <v>2040</v>
      </c>
      <c r="B7">
        <v>2030</v>
      </c>
      <c r="C7" s="16">
        <f t="shared" si="0"/>
        <v>577.22076447914208</v>
      </c>
      <c r="D7" s="4">
        <v>100</v>
      </c>
      <c r="E7" s="16">
        <f t="shared" si="1"/>
        <v>28.434520417691726</v>
      </c>
      <c r="F7" s="15">
        <v>21.9</v>
      </c>
      <c r="G7" s="17">
        <f t="shared" si="2"/>
        <v>6.4182595086954226</v>
      </c>
      <c r="H7" s="15">
        <v>11.1</v>
      </c>
      <c r="I7" s="17">
        <f t="shared" si="3"/>
        <v>3.2530904359141184</v>
      </c>
    </row>
    <row r="8" spans="1:10">
      <c r="A8">
        <v>2045</v>
      </c>
      <c r="B8">
        <v>2030</v>
      </c>
      <c r="C8" s="16">
        <f t="shared" si="0"/>
        <v>577.22076447914208</v>
      </c>
      <c r="D8" s="4">
        <v>100</v>
      </c>
      <c r="E8" s="16">
        <f t="shared" si="1"/>
        <v>28.434520417691726</v>
      </c>
      <c r="F8" s="15">
        <v>21.9</v>
      </c>
      <c r="G8" s="17">
        <f t="shared" si="2"/>
        <v>6.4182595086954226</v>
      </c>
      <c r="H8" s="15">
        <v>11.1</v>
      </c>
      <c r="I8" s="17">
        <f t="shared" si="3"/>
        <v>3.2530904359141184</v>
      </c>
    </row>
    <row r="9" spans="1:10">
      <c r="A9">
        <v>2050</v>
      </c>
      <c r="B9">
        <v>2030</v>
      </c>
      <c r="C9" s="16">
        <f t="shared" si="0"/>
        <v>577.22076447914208</v>
      </c>
      <c r="D9" s="4">
        <v>100</v>
      </c>
      <c r="E9" s="16">
        <f t="shared" si="1"/>
        <v>28.434520417691726</v>
      </c>
      <c r="F9" s="15">
        <v>21.9</v>
      </c>
      <c r="G9" s="17">
        <f t="shared" si="2"/>
        <v>6.4182595086954226</v>
      </c>
      <c r="H9" s="15">
        <v>11.1</v>
      </c>
      <c r="I9" s="17">
        <f t="shared" si="3"/>
        <v>3.2530904359141184</v>
      </c>
    </row>
    <row r="12" spans="1:10">
      <c r="A12" s="1" t="s">
        <v>30</v>
      </c>
      <c r="C12" s="3"/>
      <c r="E12" s="3"/>
      <c r="F12" s="3"/>
      <c r="G12" s="3"/>
      <c r="H12" s="3"/>
      <c r="I12" s="3"/>
    </row>
    <row r="13" spans="1:10">
      <c r="A13" s="25"/>
      <c r="C13" s="16"/>
      <c r="D13" s="4"/>
      <c r="E13" s="16"/>
      <c r="F13" s="15"/>
      <c r="G13" s="17"/>
      <c r="H13" s="15"/>
      <c r="I13" s="17"/>
    </row>
    <row r="14" spans="1:10">
      <c r="A14" s="11"/>
      <c r="C14" s="16"/>
      <c r="D14" s="21"/>
      <c r="E14" s="16"/>
      <c r="F14" s="21"/>
      <c r="G14" s="17"/>
      <c r="H14" s="15"/>
      <c r="I14" s="17"/>
    </row>
    <row r="15" spans="1:10">
      <c r="C15" s="16"/>
      <c r="D15" s="4"/>
      <c r="E15" s="16"/>
      <c r="F15" s="15"/>
      <c r="G15" s="17"/>
      <c r="H15" s="15"/>
      <c r="I15" s="17"/>
    </row>
    <row r="16" spans="1:10">
      <c r="C16" s="16"/>
      <c r="D16" s="4"/>
      <c r="E16" s="16"/>
      <c r="F16" s="15"/>
      <c r="G16" s="17"/>
      <c r="H16" s="15"/>
      <c r="I16" s="17"/>
    </row>
    <row r="17" spans="1:9">
      <c r="C17" s="16"/>
      <c r="D17" s="4"/>
      <c r="E17" s="16"/>
      <c r="F17" s="15"/>
      <c r="G17" s="17"/>
      <c r="H17" s="15"/>
      <c r="I17" s="17"/>
    </row>
    <row r="18" spans="1:9">
      <c r="C18" s="16"/>
      <c r="D18" s="4"/>
      <c r="E18" s="16"/>
      <c r="F18" s="15"/>
      <c r="G18" s="17"/>
      <c r="H18" s="15"/>
      <c r="I18" s="17"/>
    </row>
    <row r="19" spans="1:9">
      <c r="C19" s="16"/>
      <c r="D19" s="4"/>
      <c r="E19" s="16"/>
      <c r="F19" s="15"/>
      <c r="G19" s="17"/>
      <c r="H19" s="15"/>
      <c r="I19" s="17"/>
    </row>
    <row r="21" spans="1:9">
      <c r="A21" t="s">
        <v>17</v>
      </c>
      <c r="B21">
        <v>3.41214</v>
      </c>
      <c r="C21" t="s">
        <v>18</v>
      </c>
    </row>
    <row r="22" spans="1:9">
      <c r="A22" t="s">
        <v>19</v>
      </c>
      <c r="B22">
        <f>0.293071*1000/1000000000</f>
        <v>2.9307100000000004E-7</v>
      </c>
      <c r="C22" t="s">
        <v>20</v>
      </c>
    </row>
    <row r="24" spans="1:9">
      <c r="A24" t="s">
        <v>11</v>
      </c>
      <c r="B24" s="13">
        <v>12</v>
      </c>
    </row>
    <row r="25" spans="1:9">
      <c r="A25" t="s">
        <v>10</v>
      </c>
      <c r="B25">
        <f>B24*B22</f>
        <v>3.5168520000000005E-6</v>
      </c>
    </row>
    <row r="26" spans="1:9">
      <c r="D26"/>
    </row>
    <row r="27" spans="1:9">
      <c r="A27" t="s">
        <v>21</v>
      </c>
      <c r="D27"/>
    </row>
    <row r="28" spans="1:9">
      <c r="A28" t="s">
        <v>22</v>
      </c>
      <c r="D28"/>
    </row>
    <row r="29" spans="1:9">
      <c r="A29" t="s">
        <v>23</v>
      </c>
      <c r="B29" s="20">
        <f>(B27+B28)/2</f>
        <v>0</v>
      </c>
      <c r="C29" s="20">
        <f t="shared" ref="C29:H29" si="4">(C27+C28)/2</f>
        <v>0</v>
      </c>
      <c r="D29" s="20">
        <f t="shared" si="4"/>
        <v>0</v>
      </c>
      <c r="E29" s="20">
        <f t="shared" si="4"/>
        <v>0</v>
      </c>
      <c r="F29" s="20">
        <f t="shared" si="4"/>
        <v>0</v>
      </c>
      <c r="G29" s="20">
        <f t="shared" si="4"/>
        <v>0</v>
      </c>
      <c r="H29" s="20">
        <f t="shared" si="4"/>
        <v>0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56E39-784E-4B5B-8232-5717ADCEEA42}">
  <dimension ref="A1:H29"/>
  <sheetViews>
    <sheetView workbookViewId="0">
      <selection activeCell="D24" sqref="D24"/>
    </sheetView>
  </sheetViews>
  <sheetFormatPr defaultRowHeight="15"/>
  <cols>
    <col min="2" max="2" width="12" bestFit="1" customWidth="1"/>
    <col min="4" max="4" width="9.140625" style="2"/>
  </cols>
  <sheetData>
    <row r="1" spans="1:8">
      <c r="A1" t="s">
        <v>0</v>
      </c>
    </row>
    <row r="2" spans="1:8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16</v>
      </c>
      <c r="G2" s="3" t="s">
        <v>25</v>
      </c>
      <c r="H2" s="3" t="s">
        <v>27</v>
      </c>
    </row>
    <row r="3" spans="1:8">
      <c r="A3" s="25">
        <v>2022</v>
      </c>
      <c r="B3">
        <v>19000</v>
      </c>
      <c r="C3" s="16">
        <f t="shared" ref="C3:C9" si="0">B3/$B$25/1000000</f>
        <v>1800.8529597871427</v>
      </c>
      <c r="D3" s="4">
        <v>90</v>
      </c>
      <c r="E3" s="16">
        <f t="shared" ref="E3:E9" si="1">D3/$B$25/1000000</f>
        <v>8.5303561253075184</v>
      </c>
      <c r="F3" s="15">
        <v>17.3</v>
      </c>
      <c r="G3" s="17">
        <f t="shared" ref="G3:G9" si="2">F3/$B$21</f>
        <v>5.0701319406589418</v>
      </c>
      <c r="H3" s="17">
        <v>3.6</v>
      </c>
    </row>
    <row r="4" spans="1:8">
      <c r="A4" s="11">
        <v>2025</v>
      </c>
      <c r="B4">
        <v>19000</v>
      </c>
      <c r="C4" s="16">
        <f t="shared" si="0"/>
        <v>1800.8529597871427</v>
      </c>
      <c r="D4" s="4">
        <v>90</v>
      </c>
      <c r="E4" s="16">
        <f t="shared" si="1"/>
        <v>8.5303561253075184</v>
      </c>
      <c r="F4" s="15">
        <v>17.3</v>
      </c>
      <c r="G4" s="17">
        <f t="shared" si="2"/>
        <v>5.0701319406589418</v>
      </c>
      <c r="H4" s="17">
        <v>3.6</v>
      </c>
    </row>
    <row r="5" spans="1:8">
      <c r="A5">
        <v>2030</v>
      </c>
      <c r="B5">
        <v>19000</v>
      </c>
      <c r="C5" s="16">
        <f t="shared" si="0"/>
        <v>1800.8529597871427</v>
      </c>
      <c r="D5" s="4">
        <v>90</v>
      </c>
      <c r="E5" s="16">
        <f t="shared" si="1"/>
        <v>8.5303561253075184</v>
      </c>
      <c r="F5" s="15">
        <v>17.3</v>
      </c>
      <c r="G5" s="17">
        <f t="shared" si="2"/>
        <v>5.0701319406589418</v>
      </c>
      <c r="H5" s="17">
        <v>3.6</v>
      </c>
    </row>
    <row r="6" spans="1:8">
      <c r="A6">
        <v>2035</v>
      </c>
      <c r="B6">
        <v>19000</v>
      </c>
      <c r="C6" s="16">
        <f t="shared" si="0"/>
        <v>1800.8529597871427</v>
      </c>
      <c r="D6" s="4">
        <v>90</v>
      </c>
      <c r="E6" s="16">
        <f t="shared" si="1"/>
        <v>8.5303561253075184</v>
      </c>
      <c r="F6" s="15">
        <v>17.3</v>
      </c>
      <c r="G6" s="17">
        <f t="shared" si="2"/>
        <v>5.0701319406589418</v>
      </c>
      <c r="H6" s="17">
        <v>3.6</v>
      </c>
    </row>
    <row r="7" spans="1:8">
      <c r="A7">
        <v>2040</v>
      </c>
      <c r="B7">
        <v>19000</v>
      </c>
      <c r="C7" s="16">
        <f t="shared" si="0"/>
        <v>1800.8529597871427</v>
      </c>
      <c r="D7" s="4">
        <v>90</v>
      </c>
      <c r="E7" s="16">
        <f t="shared" si="1"/>
        <v>8.5303561253075184</v>
      </c>
      <c r="F7" s="15">
        <v>17.3</v>
      </c>
      <c r="G7" s="17">
        <f t="shared" si="2"/>
        <v>5.0701319406589418</v>
      </c>
      <c r="H7" s="17">
        <v>3.6</v>
      </c>
    </row>
    <row r="8" spans="1:8">
      <c r="A8">
        <v>2045</v>
      </c>
      <c r="B8">
        <v>19000</v>
      </c>
      <c r="C8" s="16">
        <f t="shared" si="0"/>
        <v>1800.8529597871427</v>
      </c>
      <c r="D8" s="4">
        <v>90</v>
      </c>
      <c r="E8" s="16">
        <f t="shared" si="1"/>
        <v>8.5303561253075184</v>
      </c>
      <c r="F8" s="15">
        <v>17.3</v>
      </c>
      <c r="G8" s="17">
        <f t="shared" si="2"/>
        <v>5.0701319406589418</v>
      </c>
      <c r="H8" s="17">
        <v>3.6</v>
      </c>
    </row>
    <row r="9" spans="1:8">
      <c r="A9">
        <v>2050</v>
      </c>
      <c r="B9">
        <v>19000</v>
      </c>
      <c r="C9" s="16">
        <f t="shared" si="0"/>
        <v>1800.8529597871427</v>
      </c>
      <c r="D9" s="4">
        <v>90</v>
      </c>
      <c r="E9" s="16">
        <f t="shared" si="1"/>
        <v>8.5303561253075184</v>
      </c>
      <c r="F9" s="15">
        <v>17.3</v>
      </c>
      <c r="G9" s="17">
        <f t="shared" si="2"/>
        <v>5.0701319406589418</v>
      </c>
      <c r="H9" s="17">
        <v>3.6</v>
      </c>
    </row>
    <row r="11" spans="1:8">
      <c r="A11" t="s">
        <v>8</v>
      </c>
    </row>
    <row r="12" spans="1:8">
      <c r="A12" s="1" t="s">
        <v>1</v>
      </c>
      <c r="B12" t="s">
        <v>2</v>
      </c>
      <c r="C12" s="3" t="s">
        <v>3</v>
      </c>
      <c r="D12" s="2" t="s">
        <v>4</v>
      </c>
      <c r="E12" s="3" t="s">
        <v>5</v>
      </c>
      <c r="F12" s="3" t="s">
        <v>16</v>
      </c>
      <c r="G12" s="3" t="s">
        <v>25</v>
      </c>
      <c r="H12" s="3" t="s">
        <v>27</v>
      </c>
    </row>
    <row r="13" spans="1:8">
      <c r="A13" s="25">
        <v>2022</v>
      </c>
      <c r="B13">
        <v>20055</v>
      </c>
      <c r="C13" s="16">
        <f t="shared" ref="C13:C19" si="3">B13/$B$25/1000000</f>
        <v>1900.8476899226919</v>
      </c>
      <c r="D13" s="4">
        <v>90</v>
      </c>
      <c r="E13" s="16">
        <f t="shared" ref="E13:E19" si="4">D13/$B$25/1000000</f>
        <v>8.5303561253075184</v>
      </c>
      <c r="F13" s="15">
        <v>22</v>
      </c>
      <c r="G13" s="17">
        <f t="shared" ref="G13:G19" si="5">F13/$B$21</f>
        <v>6.4475666297396943</v>
      </c>
      <c r="H13" s="17">
        <v>4.5</v>
      </c>
    </row>
    <row r="14" spans="1:8">
      <c r="A14" s="11">
        <v>2025</v>
      </c>
      <c r="B14">
        <v>20055</v>
      </c>
      <c r="C14" s="16">
        <f t="shared" si="3"/>
        <v>1900.8476899226919</v>
      </c>
      <c r="D14" s="4">
        <v>90</v>
      </c>
      <c r="E14" s="16">
        <f t="shared" si="4"/>
        <v>8.5303561253075184</v>
      </c>
      <c r="F14" s="15">
        <v>22</v>
      </c>
      <c r="G14" s="17">
        <f t="shared" si="5"/>
        <v>6.4475666297396943</v>
      </c>
      <c r="H14" s="17">
        <v>4.5</v>
      </c>
    </row>
    <row r="15" spans="1:8">
      <c r="A15">
        <v>2030</v>
      </c>
      <c r="B15">
        <v>20055</v>
      </c>
      <c r="C15" s="16">
        <f t="shared" si="3"/>
        <v>1900.8476899226919</v>
      </c>
      <c r="D15" s="4">
        <v>90</v>
      </c>
      <c r="E15" s="16">
        <f t="shared" si="4"/>
        <v>8.5303561253075184</v>
      </c>
      <c r="F15" s="15">
        <v>22</v>
      </c>
      <c r="G15" s="17">
        <f t="shared" si="5"/>
        <v>6.4475666297396943</v>
      </c>
      <c r="H15" s="17">
        <v>4.5</v>
      </c>
    </row>
    <row r="16" spans="1:8">
      <c r="A16">
        <v>2035</v>
      </c>
      <c r="B16">
        <v>20055</v>
      </c>
      <c r="C16" s="16">
        <f t="shared" si="3"/>
        <v>1900.8476899226919</v>
      </c>
      <c r="D16" s="4">
        <v>90</v>
      </c>
      <c r="E16" s="16">
        <f t="shared" si="4"/>
        <v>8.5303561253075184</v>
      </c>
      <c r="F16" s="15">
        <v>22</v>
      </c>
      <c r="G16" s="17">
        <f t="shared" si="5"/>
        <v>6.4475666297396943</v>
      </c>
      <c r="H16" s="17">
        <v>4.5</v>
      </c>
    </row>
    <row r="17" spans="1:8">
      <c r="A17">
        <v>2040</v>
      </c>
      <c r="B17">
        <v>20055</v>
      </c>
      <c r="C17" s="16">
        <f t="shared" si="3"/>
        <v>1900.8476899226919</v>
      </c>
      <c r="D17" s="4">
        <v>90</v>
      </c>
      <c r="E17" s="16">
        <f t="shared" si="4"/>
        <v>8.5303561253075184</v>
      </c>
      <c r="F17" s="15">
        <v>22</v>
      </c>
      <c r="G17" s="17">
        <f t="shared" si="5"/>
        <v>6.4475666297396943</v>
      </c>
      <c r="H17" s="17">
        <v>4.5</v>
      </c>
    </row>
    <row r="18" spans="1:8">
      <c r="A18">
        <v>2045</v>
      </c>
      <c r="B18">
        <v>20055</v>
      </c>
      <c r="C18" s="16">
        <f t="shared" si="3"/>
        <v>1900.8476899226919</v>
      </c>
      <c r="D18" s="4">
        <v>90</v>
      </c>
      <c r="E18" s="16">
        <f t="shared" si="4"/>
        <v>8.5303561253075184</v>
      </c>
      <c r="F18" s="15">
        <v>22</v>
      </c>
      <c r="G18" s="17">
        <f t="shared" si="5"/>
        <v>6.4475666297396943</v>
      </c>
      <c r="H18" s="17">
        <v>4.5</v>
      </c>
    </row>
    <row r="19" spans="1:8">
      <c r="A19">
        <v>2050</v>
      </c>
      <c r="B19">
        <v>20055</v>
      </c>
      <c r="C19" s="16">
        <f t="shared" si="3"/>
        <v>1900.8476899226919</v>
      </c>
      <c r="D19" s="4">
        <v>90</v>
      </c>
      <c r="E19" s="16">
        <f t="shared" si="4"/>
        <v>8.5303561253075184</v>
      </c>
      <c r="F19" s="15">
        <v>22</v>
      </c>
      <c r="G19" s="17">
        <f t="shared" si="5"/>
        <v>6.4475666297396943</v>
      </c>
      <c r="H19" s="17">
        <v>4.5</v>
      </c>
    </row>
    <row r="21" spans="1:8">
      <c r="A21" t="s">
        <v>17</v>
      </c>
      <c r="B21">
        <v>3.41214</v>
      </c>
      <c r="C21" t="s">
        <v>18</v>
      </c>
    </row>
    <row r="22" spans="1:8">
      <c r="A22" t="s">
        <v>19</v>
      </c>
      <c r="B22">
        <f>0.293071*1000/1000000000</f>
        <v>2.9307100000000004E-7</v>
      </c>
      <c r="C22" t="s">
        <v>20</v>
      </c>
    </row>
    <row r="24" spans="1:8">
      <c r="A24" t="s">
        <v>11</v>
      </c>
      <c r="B24" s="13">
        <v>36</v>
      </c>
    </row>
    <row r="25" spans="1:8">
      <c r="A25" t="s">
        <v>10</v>
      </c>
      <c r="B25">
        <f>B24*B22</f>
        <v>1.0550556000000002E-5</v>
      </c>
    </row>
    <row r="26" spans="1:8">
      <c r="D26"/>
    </row>
    <row r="27" spans="1:8">
      <c r="A27" t="s">
        <v>21</v>
      </c>
      <c r="B27">
        <v>8</v>
      </c>
      <c r="C27">
        <v>14880</v>
      </c>
      <c r="D27">
        <v>15940</v>
      </c>
    </row>
    <row r="28" spans="1:8">
      <c r="A28" t="s">
        <v>22</v>
      </c>
      <c r="B28">
        <v>21</v>
      </c>
      <c r="C28">
        <v>23120</v>
      </c>
      <c r="D28">
        <v>24170</v>
      </c>
    </row>
    <row r="29" spans="1:8">
      <c r="A29" t="s">
        <v>23</v>
      </c>
      <c r="B29" s="20">
        <f t="shared" ref="B29:G29" si="6">(B27+B28)/2</f>
        <v>14.5</v>
      </c>
      <c r="C29" s="20">
        <f t="shared" si="6"/>
        <v>19000</v>
      </c>
      <c r="D29" s="20">
        <f t="shared" si="6"/>
        <v>20055</v>
      </c>
      <c r="E29" s="20">
        <f t="shared" si="6"/>
        <v>0</v>
      </c>
      <c r="F29" s="20">
        <f t="shared" si="6"/>
        <v>0</v>
      </c>
      <c r="G29" s="20">
        <f t="shared" si="6"/>
        <v>0</v>
      </c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48F9E0-944D-4B25-9BC9-E1E53C454357}">
  <dimension ref="A1:G28"/>
  <sheetViews>
    <sheetView workbookViewId="0">
      <selection activeCell="F19" sqref="F19"/>
    </sheetView>
  </sheetViews>
  <sheetFormatPr defaultRowHeight="15"/>
  <cols>
    <col min="2" max="2" width="12" bestFit="1" customWidth="1"/>
    <col min="4" max="4" width="9.140625" style="2"/>
  </cols>
  <sheetData>
    <row r="1" spans="1:7">
      <c r="A1" t="s">
        <v>0</v>
      </c>
    </row>
    <row r="2" spans="1:7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25</v>
      </c>
      <c r="G2" s="3" t="s">
        <v>27</v>
      </c>
    </row>
    <row r="3" spans="1:7">
      <c r="A3" s="11">
        <v>2025</v>
      </c>
      <c r="B3">
        <v>15995</v>
      </c>
      <c r="C3" s="16">
        <f t="shared" ref="C3:C8" si="0">B3/$B$24/1000000</f>
        <v>909.62030816195818</v>
      </c>
      <c r="D3" s="4">
        <v>200</v>
      </c>
      <c r="E3" s="16">
        <f t="shared" ref="E3:E8" si="1">D3/$B$24/1000000</f>
        <v>11.373808167076691</v>
      </c>
      <c r="F3" s="17">
        <v>0.7</v>
      </c>
      <c r="G3" s="17">
        <v>1.3</v>
      </c>
    </row>
    <row r="4" spans="1:7">
      <c r="A4">
        <v>2030</v>
      </c>
      <c r="B4">
        <v>15995</v>
      </c>
      <c r="C4" s="16">
        <f t="shared" si="0"/>
        <v>909.62030816195818</v>
      </c>
      <c r="D4" s="4">
        <v>200</v>
      </c>
      <c r="E4" s="16">
        <f t="shared" si="1"/>
        <v>11.373808167076691</v>
      </c>
      <c r="F4" s="17">
        <v>0.7</v>
      </c>
      <c r="G4" s="17">
        <v>1.3</v>
      </c>
    </row>
    <row r="5" spans="1:7">
      <c r="A5">
        <v>2035</v>
      </c>
      <c r="B5">
        <v>15995</v>
      </c>
      <c r="C5" s="16">
        <f t="shared" si="0"/>
        <v>909.62030816195818</v>
      </c>
      <c r="D5" s="4">
        <v>200</v>
      </c>
      <c r="E5" s="16">
        <f t="shared" si="1"/>
        <v>11.373808167076691</v>
      </c>
      <c r="F5" s="17">
        <v>0.7</v>
      </c>
      <c r="G5" s="17">
        <v>1.3</v>
      </c>
    </row>
    <row r="6" spans="1:7">
      <c r="A6">
        <v>2040</v>
      </c>
      <c r="B6">
        <v>15995</v>
      </c>
      <c r="C6" s="16">
        <f t="shared" si="0"/>
        <v>909.62030816195818</v>
      </c>
      <c r="D6" s="4">
        <v>200</v>
      </c>
      <c r="E6" s="16">
        <f t="shared" si="1"/>
        <v>11.373808167076691</v>
      </c>
      <c r="F6" s="17">
        <v>0.7</v>
      </c>
      <c r="G6" s="17">
        <v>1.3</v>
      </c>
    </row>
    <row r="7" spans="1:7">
      <c r="A7">
        <v>2045</v>
      </c>
      <c r="B7">
        <v>15995</v>
      </c>
      <c r="C7" s="16">
        <f t="shared" si="0"/>
        <v>909.62030816195818</v>
      </c>
      <c r="D7" s="4">
        <v>200</v>
      </c>
      <c r="E7" s="16">
        <f t="shared" si="1"/>
        <v>11.373808167076691</v>
      </c>
      <c r="F7" s="17">
        <v>0.7</v>
      </c>
      <c r="G7" s="17">
        <v>1.3</v>
      </c>
    </row>
    <row r="8" spans="1:7">
      <c r="A8">
        <v>2050</v>
      </c>
      <c r="B8">
        <v>15995</v>
      </c>
      <c r="C8" s="16">
        <f t="shared" si="0"/>
        <v>909.62030816195818</v>
      </c>
      <c r="D8" s="4">
        <v>200</v>
      </c>
      <c r="E8" s="16">
        <f t="shared" si="1"/>
        <v>11.373808167076691</v>
      </c>
      <c r="F8" s="17">
        <v>0.7</v>
      </c>
      <c r="G8" s="17">
        <v>1.3</v>
      </c>
    </row>
    <row r="10" spans="1:7">
      <c r="D10" s="26"/>
    </row>
    <row r="11" spans="1:7">
      <c r="A11" s="1"/>
      <c r="C11" s="3"/>
      <c r="D11" s="26"/>
      <c r="E11" s="3"/>
      <c r="F11" s="3"/>
      <c r="G11" s="3"/>
    </row>
    <row r="12" spans="1:7">
      <c r="A12" s="8"/>
      <c r="C12" s="16"/>
      <c r="D12" s="27"/>
      <c r="E12" s="16"/>
      <c r="F12" s="17"/>
      <c r="G12" s="17"/>
    </row>
    <row r="13" spans="1:7">
      <c r="A13" s="8"/>
      <c r="C13" s="16"/>
      <c r="D13" s="27"/>
      <c r="E13" s="16"/>
      <c r="F13" s="17"/>
      <c r="G13" s="17"/>
    </row>
    <row r="14" spans="1:7">
      <c r="C14" s="16"/>
      <c r="D14" s="27"/>
      <c r="E14" s="16"/>
      <c r="F14" s="17"/>
      <c r="G14" s="17"/>
    </row>
    <row r="15" spans="1:7">
      <c r="C15" s="16"/>
      <c r="D15" s="27"/>
      <c r="E15" s="16"/>
      <c r="F15" s="17"/>
      <c r="G15" s="17"/>
    </row>
    <row r="16" spans="1:7">
      <c r="C16" s="16"/>
      <c r="D16" s="27"/>
      <c r="E16" s="16"/>
      <c r="F16" s="17"/>
      <c r="G16" s="17"/>
    </row>
    <row r="17" spans="1:7">
      <c r="C17" s="16"/>
      <c r="D17" s="27"/>
      <c r="E17" s="16"/>
      <c r="F17" s="17"/>
      <c r="G17" s="17"/>
    </row>
    <row r="18" spans="1:7">
      <c r="C18" s="16"/>
      <c r="D18" s="27"/>
      <c r="E18" s="16"/>
      <c r="F18" s="17"/>
      <c r="G18" s="17"/>
    </row>
    <row r="20" spans="1:7">
      <c r="A20" t="s">
        <v>17</v>
      </c>
      <c r="B20">
        <v>3.41214</v>
      </c>
      <c r="C20" t="s">
        <v>18</v>
      </c>
    </row>
    <row r="21" spans="1:7">
      <c r="A21" t="s">
        <v>19</v>
      </c>
      <c r="B21">
        <f>0.293071*1000/1000000000</f>
        <v>2.9307100000000004E-7</v>
      </c>
      <c r="C21" t="s">
        <v>20</v>
      </c>
    </row>
    <row r="23" spans="1:7">
      <c r="A23" t="s">
        <v>11</v>
      </c>
      <c r="B23" s="13">
        <v>60</v>
      </c>
    </row>
    <row r="24" spans="1:7">
      <c r="A24" t="s">
        <v>10</v>
      </c>
      <c r="B24">
        <f>B23*B21</f>
        <v>1.7584260000000004E-5</v>
      </c>
    </row>
    <row r="25" spans="1:7">
      <c r="D25"/>
    </row>
    <row r="26" spans="1:7">
      <c r="A26" t="s">
        <v>21</v>
      </c>
      <c r="B26">
        <v>12</v>
      </c>
      <c r="C26">
        <v>14700</v>
      </c>
      <c r="D26"/>
    </row>
    <row r="27" spans="1:7">
      <c r="A27" t="s">
        <v>22</v>
      </c>
      <c r="B27">
        <v>18</v>
      </c>
      <c r="C27">
        <v>17290</v>
      </c>
      <c r="D27"/>
    </row>
    <row r="28" spans="1:7">
      <c r="A28" t="s">
        <v>23</v>
      </c>
      <c r="B28" s="20">
        <f>(B26+B27)/2</f>
        <v>15</v>
      </c>
      <c r="C28" s="20">
        <f>(C26+C27)/2</f>
        <v>15995</v>
      </c>
      <c r="D28" s="20">
        <f>(D26+D27)/2</f>
        <v>0</v>
      </c>
      <c r="E28" s="20">
        <f>(E26+E27)/2</f>
        <v>0</v>
      </c>
      <c r="F28" s="20">
        <f>(F26+F27)/2</f>
        <v>0</v>
      </c>
    </row>
  </sheetData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26D29-0B01-4BD8-A828-FF1803F59495}">
  <dimension ref="A1:M29"/>
  <sheetViews>
    <sheetView workbookViewId="0">
      <selection activeCell="L5" sqref="L5"/>
    </sheetView>
  </sheetViews>
  <sheetFormatPr defaultRowHeight="15"/>
  <cols>
    <col min="2" max="2" width="12" bestFit="1" customWidth="1"/>
    <col min="4" max="4" width="9.140625" style="2"/>
  </cols>
  <sheetData>
    <row r="1" spans="1:13">
      <c r="A1" t="s">
        <v>31</v>
      </c>
      <c r="H1" t="s">
        <v>32</v>
      </c>
      <c r="K1" s="2"/>
    </row>
    <row r="2" spans="1:13">
      <c r="A2" t="s">
        <v>0</v>
      </c>
      <c r="H2" t="s">
        <v>0</v>
      </c>
      <c r="K2" s="2"/>
    </row>
    <row r="3" spans="1:13">
      <c r="A3" s="1" t="s">
        <v>1</v>
      </c>
      <c r="B3" t="s">
        <v>2</v>
      </c>
      <c r="C3" s="3" t="s">
        <v>3</v>
      </c>
      <c r="D3" s="2" t="s">
        <v>4</v>
      </c>
      <c r="E3" s="3" t="s">
        <v>5</v>
      </c>
      <c r="F3" s="3" t="s">
        <v>27</v>
      </c>
      <c r="H3" s="1" t="s">
        <v>1</v>
      </c>
      <c r="I3" t="s">
        <v>2</v>
      </c>
      <c r="J3" s="3" t="s">
        <v>3</v>
      </c>
      <c r="K3" s="2" t="s">
        <v>4</v>
      </c>
      <c r="L3" s="3" t="s">
        <v>5</v>
      </c>
      <c r="M3" s="3" t="s">
        <v>27</v>
      </c>
    </row>
    <row r="4" spans="1:13">
      <c r="A4" s="11">
        <v>2025</v>
      </c>
      <c r="B4">
        <v>8460</v>
      </c>
      <c r="C4" s="16">
        <f t="shared" ref="C4:C9" si="0">B4/$B$25/1000000</f>
        <v>577.33450256081278</v>
      </c>
      <c r="D4" s="4">
        <v>280</v>
      </c>
      <c r="E4" s="16">
        <f t="shared" ref="E4:E9" si="1">D4/$B$25/1000000</f>
        <v>19.107997720688843</v>
      </c>
      <c r="F4" s="17">
        <v>0.76</v>
      </c>
      <c r="H4" s="11">
        <v>2025</v>
      </c>
      <c r="I4">
        <v>7090</v>
      </c>
      <c r="J4" s="16">
        <f t="shared" ref="J4:J9" si="2">I4/$B$25/1000000</f>
        <v>483.84179942744242</v>
      </c>
      <c r="K4" s="4">
        <v>190</v>
      </c>
      <c r="L4" s="16">
        <f t="shared" ref="L4:L9" si="3">K4/$B$25/1000000</f>
        <v>12.966141310467428</v>
      </c>
      <c r="M4" s="17">
        <v>0.71</v>
      </c>
    </row>
    <row r="5" spans="1:13">
      <c r="A5">
        <v>2030</v>
      </c>
      <c r="B5">
        <v>8460</v>
      </c>
      <c r="C5" s="16">
        <f t="shared" si="0"/>
        <v>577.33450256081278</v>
      </c>
      <c r="D5" s="4">
        <v>280</v>
      </c>
      <c r="E5" s="16">
        <f t="shared" si="1"/>
        <v>19.107997720688843</v>
      </c>
      <c r="F5" s="17">
        <v>0.76</v>
      </c>
      <c r="H5">
        <v>2030</v>
      </c>
      <c r="I5">
        <v>7090</v>
      </c>
      <c r="J5" s="16">
        <f t="shared" si="2"/>
        <v>483.84179942744242</v>
      </c>
      <c r="K5" s="4">
        <v>190</v>
      </c>
      <c r="L5" s="16">
        <f t="shared" si="3"/>
        <v>12.966141310467428</v>
      </c>
      <c r="M5" s="17">
        <v>0.71</v>
      </c>
    </row>
    <row r="6" spans="1:13">
      <c r="A6">
        <v>2035</v>
      </c>
      <c r="B6">
        <v>8460</v>
      </c>
      <c r="C6" s="16">
        <f t="shared" si="0"/>
        <v>577.33450256081278</v>
      </c>
      <c r="D6" s="4">
        <v>280</v>
      </c>
      <c r="E6" s="16">
        <f t="shared" si="1"/>
        <v>19.107997720688843</v>
      </c>
      <c r="F6" s="17">
        <v>0.76</v>
      </c>
      <c r="H6">
        <v>2035</v>
      </c>
      <c r="I6">
        <v>7090</v>
      </c>
      <c r="J6" s="16">
        <f t="shared" si="2"/>
        <v>483.84179942744242</v>
      </c>
      <c r="K6" s="4">
        <v>190</v>
      </c>
      <c r="L6" s="16">
        <f t="shared" si="3"/>
        <v>12.966141310467428</v>
      </c>
      <c r="M6" s="17">
        <v>0.71</v>
      </c>
    </row>
    <row r="7" spans="1:13">
      <c r="A7">
        <v>2040</v>
      </c>
      <c r="B7">
        <v>8460</v>
      </c>
      <c r="C7" s="16">
        <f t="shared" si="0"/>
        <v>577.33450256081278</v>
      </c>
      <c r="D7" s="4">
        <v>280</v>
      </c>
      <c r="E7" s="16">
        <f t="shared" si="1"/>
        <v>19.107997720688843</v>
      </c>
      <c r="F7" s="17">
        <v>0.76</v>
      </c>
      <c r="H7">
        <v>2040</v>
      </c>
      <c r="I7">
        <v>7090</v>
      </c>
      <c r="J7" s="16">
        <f t="shared" si="2"/>
        <v>483.84179942744242</v>
      </c>
      <c r="K7" s="4">
        <v>190</v>
      </c>
      <c r="L7" s="16">
        <f t="shared" si="3"/>
        <v>12.966141310467428</v>
      </c>
      <c r="M7" s="17">
        <v>0.71</v>
      </c>
    </row>
    <row r="8" spans="1:13">
      <c r="A8">
        <v>2045</v>
      </c>
      <c r="B8">
        <v>8460</v>
      </c>
      <c r="C8" s="16">
        <f t="shared" si="0"/>
        <v>577.33450256081278</v>
      </c>
      <c r="D8" s="4">
        <v>280</v>
      </c>
      <c r="E8" s="16">
        <f t="shared" si="1"/>
        <v>19.107997720688843</v>
      </c>
      <c r="F8" s="17">
        <v>0.76</v>
      </c>
      <c r="H8">
        <v>2045</v>
      </c>
      <c r="I8">
        <v>7090</v>
      </c>
      <c r="J8" s="16">
        <f t="shared" si="2"/>
        <v>483.84179942744242</v>
      </c>
      <c r="K8" s="4">
        <v>190</v>
      </c>
      <c r="L8" s="16">
        <f t="shared" si="3"/>
        <v>12.966141310467428</v>
      </c>
      <c r="M8" s="17">
        <v>0.71</v>
      </c>
    </row>
    <row r="9" spans="1:13">
      <c r="A9">
        <v>2050</v>
      </c>
      <c r="B9">
        <v>8460</v>
      </c>
      <c r="C9" s="16">
        <f t="shared" si="0"/>
        <v>577.33450256081278</v>
      </c>
      <c r="D9" s="4">
        <v>280</v>
      </c>
      <c r="E9" s="16">
        <f t="shared" si="1"/>
        <v>19.107997720688843</v>
      </c>
      <c r="F9" s="17">
        <v>0.76</v>
      </c>
      <c r="H9">
        <v>2050</v>
      </c>
      <c r="I9">
        <v>7090</v>
      </c>
      <c r="J9" s="16">
        <f t="shared" si="2"/>
        <v>483.84179942744242</v>
      </c>
      <c r="K9" s="4">
        <v>190</v>
      </c>
      <c r="L9" s="16">
        <f t="shared" si="3"/>
        <v>12.966141310467428</v>
      </c>
      <c r="M9" s="17">
        <v>0.71</v>
      </c>
    </row>
    <row r="10" spans="1:13">
      <c r="K10" s="2"/>
    </row>
    <row r="11" spans="1:13">
      <c r="A11" t="s">
        <v>8</v>
      </c>
      <c r="H11" t="s">
        <v>8</v>
      </c>
      <c r="K11" s="2"/>
    </row>
    <row r="12" spans="1:13">
      <c r="A12" s="1" t="s">
        <v>1</v>
      </c>
      <c r="B12" t="s">
        <v>2</v>
      </c>
      <c r="C12" s="3" t="s">
        <v>3</v>
      </c>
      <c r="D12" s="2" t="s">
        <v>4</v>
      </c>
      <c r="E12" s="3" t="s">
        <v>5</v>
      </c>
      <c r="F12" s="3" t="s">
        <v>27</v>
      </c>
      <c r="H12" s="1" t="s">
        <v>1</v>
      </c>
      <c r="I12" t="s">
        <v>2</v>
      </c>
      <c r="J12" s="3" t="s">
        <v>3</v>
      </c>
      <c r="K12" s="2" t="s">
        <v>4</v>
      </c>
      <c r="L12" s="3" t="s">
        <v>5</v>
      </c>
      <c r="M12" s="3" t="s">
        <v>27</v>
      </c>
    </row>
    <row r="13" spans="1:13">
      <c r="A13" s="11">
        <v>2025</v>
      </c>
      <c r="B13">
        <v>9240</v>
      </c>
      <c r="C13" s="16">
        <f t="shared" ref="C13:C18" si="4">B13/$B$25/1000000</f>
        <v>630.56392478273176</v>
      </c>
      <c r="D13" s="4">
        <v>280</v>
      </c>
      <c r="E13" s="16">
        <f t="shared" ref="E13:E18" si="5">D13/$B$25/1000000</f>
        <v>19.107997720688843</v>
      </c>
      <c r="F13" s="17">
        <v>0.81</v>
      </c>
      <c r="H13" s="11">
        <v>2025</v>
      </c>
      <c r="I13">
        <v>7710</v>
      </c>
      <c r="J13" s="16">
        <f t="shared" ref="J13:J18" si="6">I13/$B$25/1000000</f>
        <v>526.15236580896772</v>
      </c>
      <c r="K13" s="4">
        <v>190</v>
      </c>
      <c r="L13" s="16">
        <f t="shared" ref="L13:L18" si="7">K13/$B$25/1000000</f>
        <v>12.966141310467428</v>
      </c>
      <c r="M13" s="17">
        <v>0.8</v>
      </c>
    </row>
    <row r="14" spans="1:13">
      <c r="A14">
        <v>2030</v>
      </c>
      <c r="B14">
        <v>9240</v>
      </c>
      <c r="C14" s="16">
        <f t="shared" si="4"/>
        <v>630.56392478273176</v>
      </c>
      <c r="D14" s="4">
        <v>280</v>
      </c>
      <c r="E14" s="16">
        <f t="shared" si="5"/>
        <v>19.107997720688843</v>
      </c>
      <c r="F14" s="17">
        <v>0.81</v>
      </c>
      <c r="H14">
        <v>2030</v>
      </c>
      <c r="I14">
        <v>7710</v>
      </c>
      <c r="J14" s="16">
        <f t="shared" si="6"/>
        <v>526.15236580896772</v>
      </c>
      <c r="K14" s="4">
        <v>190</v>
      </c>
      <c r="L14" s="16">
        <f t="shared" si="7"/>
        <v>12.966141310467428</v>
      </c>
      <c r="M14" s="17">
        <v>0.8</v>
      </c>
    </row>
    <row r="15" spans="1:13">
      <c r="A15">
        <v>2035</v>
      </c>
      <c r="B15">
        <v>9240</v>
      </c>
      <c r="C15" s="16">
        <f t="shared" si="4"/>
        <v>630.56392478273176</v>
      </c>
      <c r="D15" s="4">
        <v>280</v>
      </c>
      <c r="E15" s="16">
        <f t="shared" si="5"/>
        <v>19.107997720688843</v>
      </c>
      <c r="F15" s="17">
        <v>0.81</v>
      </c>
      <c r="H15">
        <v>2035</v>
      </c>
      <c r="I15">
        <v>7710</v>
      </c>
      <c r="J15" s="16">
        <f t="shared" si="6"/>
        <v>526.15236580896772</v>
      </c>
      <c r="K15" s="4">
        <v>190</v>
      </c>
      <c r="L15" s="16">
        <f t="shared" si="7"/>
        <v>12.966141310467428</v>
      </c>
      <c r="M15" s="17">
        <v>0.8</v>
      </c>
    </row>
    <row r="16" spans="1:13">
      <c r="A16">
        <v>2040</v>
      </c>
      <c r="B16">
        <v>9240</v>
      </c>
      <c r="C16" s="16">
        <f t="shared" si="4"/>
        <v>630.56392478273176</v>
      </c>
      <c r="D16" s="4">
        <v>280</v>
      </c>
      <c r="E16" s="16">
        <f t="shared" si="5"/>
        <v>19.107997720688843</v>
      </c>
      <c r="F16" s="17">
        <v>0.81</v>
      </c>
      <c r="H16">
        <v>2040</v>
      </c>
      <c r="I16">
        <v>7710</v>
      </c>
      <c r="J16" s="16">
        <f t="shared" si="6"/>
        <v>526.15236580896772</v>
      </c>
      <c r="K16" s="4">
        <v>190</v>
      </c>
      <c r="L16" s="16">
        <f t="shared" si="7"/>
        <v>12.966141310467428</v>
      </c>
      <c r="M16" s="17">
        <v>0.8</v>
      </c>
    </row>
    <row r="17" spans="1:13">
      <c r="A17">
        <v>2045</v>
      </c>
      <c r="B17">
        <v>9240</v>
      </c>
      <c r="C17" s="16">
        <f t="shared" si="4"/>
        <v>630.56392478273176</v>
      </c>
      <c r="D17" s="4">
        <v>280</v>
      </c>
      <c r="E17" s="16">
        <f t="shared" si="5"/>
        <v>19.107997720688843</v>
      </c>
      <c r="F17" s="17">
        <v>0.81</v>
      </c>
      <c r="H17">
        <v>2045</v>
      </c>
      <c r="I17">
        <v>7710</v>
      </c>
      <c r="J17" s="16">
        <f t="shared" si="6"/>
        <v>526.15236580896772</v>
      </c>
      <c r="K17" s="4">
        <v>190</v>
      </c>
      <c r="L17" s="16">
        <f t="shared" si="7"/>
        <v>12.966141310467428</v>
      </c>
      <c r="M17" s="17">
        <v>0.8</v>
      </c>
    </row>
    <row r="18" spans="1:13">
      <c r="A18">
        <v>2050</v>
      </c>
      <c r="B18">
        <v>9240</v>
      </c>
      <c r="C18" s="16">
        <f t="shared" si="4"/>
        <v>630.56392478273176</v>
      </c>
      <c r="D18" s="4">
        <v>280</v>
      </c>
      <c r="E18" s="16">
        <f t="shared" si="5"/>
        <v>19.107997720688843</v>
      </c>
      <c r="F18" s="17">
        <v>0.81</v>
      </c>
      <c r="H18">
        <v>2050</v>
      </c>
      <c r="I18">
        <v>7710</v>
      </c>
      <c r="J18" s="16">
        <f t="shared" si="6"/>
        <v>526.15236580896772</v>
      </c>
      <c r="K18" s="4">
        <v>190</v>
      </c>
      <c r="L18" s="16">
        <f t="shared" si="7"/>
        <v>12.966141310467428</v>
      </c>
      <c r="M18" s="17">
        <v>0.8</v>
      </c>
    </row>
    <row r="19" spans="1:13">
      <c r="C19" s="16"/>
      <c r="D19" s="27"/>
      <c r="E19" s="16"/>
      <c r="F19" s="17"/>
    </row>
    <row r="21" spans="1:13">
      <c r="A21" t="s">
        <v>17</v>
      </c>
      <c r="B21">
        <v>3.41214</v>
      </c>
      <c r="C21" t="s">
        <v>18</v>
      </c>
    </row>
    <row r="22" spans="1:13">
      <c r="A22" t="s">
        <v>19</v>
      </c>
      <c r="B22">
        <f>0.293071*1000/1000000000</f>
        <v>2.9307100000000004E-7</v>
      </c>
      <c r="C22" t="s">
        <v>20</v>
      </c>
    </row>
    <row r="24" spans="1:13">
      <c r="A24" t="s">
        <v>11</v>
      </c>
      <c r="B24" s="13">
        <v>50</v>
      </c>
    </row>
    <row r="25" spans="1:13">
      <c r="A25" t="s">
        <v>10</v>
      </c>
      <c r="B25">
        <f>B24*B22</f>
        <v>1.4653550000000001E-5</v>
      </c>
    </row>
    <row r="26" spans="1:13">
      <c r="D26"/>
    </row>
    <row r="27" spans="1:13">
      <c r="A27" t="s">
        <v>21</v>
      </c>
      <c r="B27">
        <v>12</v>
      </c>
      <c r="D27"/>
    </row>
    <row r="28" spans="1:13">
      <c r="A28" t="s">
        <v>22</v>
      </c>
      <c r="B28">
        <v>25</v>
      </c>
      <c r="D28"/>
    </row>
    <row r="29" spans="1:13">
      <c r="A29" t="s">
        <v>23</v>
      </c>
      <c r="B29" s="20">
        <f>(B27+B28)/2</f>
        <v>18.5</v>
      </c>
      <c r="C29" s="20">
        <f>(C27+C28)/2</f>
        <v>0</v>
      </c>
      <c r="D29" s="20">
        <f>(D27+D28)/2</f>
        <v>0</v>
      </c>
      <c r="E29" s="20">
        <f>(E27+E28)/2</f>
        <v>0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01CAC-4803-4388-88D7-7CB56003CA69}">
  <dimension ref="A1:L28"/>
  <sheetViews>
    <sheetView workbookViewId="0">
      <selection activeCell="E23" sqref="E23"/>
    </sheetView>
  </sheetViews>
  <sheetFormatPr defaultRowHeight="15"/>
  <cols>
    <col min="2" max="2" width="12" bestFit="1" customWidth="1"/>
    <col min="4" max="4" width="9.140625" style="2"/>
  </cols>
  <sheetData>
    <row r="1" spans="1:12">
      <c r="A1" t="s">
        <v>0</v>
      </c>
      <c r="J1" s="2"/>
    </row>
    <row r="2" spans="1:12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27</v>
      </c>
      <c r="I2" s="3"/>
      <c r="J2" s="2"/>
      <c r="K2" s="3"/>
      <c r="L2" s="3"/>
    </row>
    <row r="3" spans="1:12">
      <c r="A3" s="11">
        <v>2025</v>
      </c>
      <c r="B3">
        <v>4520</v>
      </c>
      <c r="C3" s="16">
        <f t="shared" ref="C3:C8" si="0">B3/$B$24/1000000</f>
        <v>308.45767749111985</v>
      </c>
      <c r="D3" s="4">
        <v>310</v>
      </c>
      <c r="E3" s="16">
        <f t="shared" ref="E3:E8" si="1">D3/$B$24/1000000</f>
        <v>21.155283190762646</v>
      </c>
      <c r="F3" s="17">
        <v>0.73</v>
      </c>
      <c r="I3" s="16"/>
      <c r="J3" s="4"/>
      <c r="K3" s="16"/>
      <c r="L3" s="17"/>
    </row>
    <row r="4" spans="1:12">
      <c r="A4">
        <v>2030</v>
      </c>
      <c r="B4">
        <v>4520</v>
      </c>
      <c r="C4" s="16">
        <f t="shared" si="0"/>
        <v>308.45767749111985</v>
      </c>
      <c r="D4" s="4">
        <v>310</v>
      </c>
      <c r="E4" s="16">
        <f t="shared" si="1"/>
        <v>21.155283190762646</v>
      </c>
      <c r="F4" s="17">
        <v>0.73</v>
      </c>
      <c r="I4" s="16"/>
      <c r="J4" s="4"/>
      <c r="K4" s="16"/>
      <c r="L4" s="17"/>
    </row>
    <row r="5" spans="1:12">
      <c r="A5">
        <v>2035</v>
      </c>
      <c r="B5">
        <v>4520</v>
      </c>
      <c r="C5" s="16">
        <f t="shared" si="0"/>
        <v>308.45767749111985</v>
      </c>
      <c r="D5" s="4">
        <v>310</v>
      </c>
      <c r="E5" s="16">
        <f t="shared" si="1"/>
        <v>21.155283190762646</v>
      </c>
      <c r="F5" s="17">
        <v>0.73</v>
      </c>
      <c r="I5" s="16"/>
      <c r="J5" s="4"/>
      <c r="K5" s="16"/>
      <c r="L5" s="17"/>
    </row>
    <row r="6" spans="1:12">
      <c r="A6">
        <v>2040</v>
      </c>
      <c r="B6">
        <v>4520</v>
      </c>
      <c r="C6" s="16">
        <f t="shared" si="0"/>
        <v>308.45767749111985</v>
      </c>
      <c r="D6" s="4">
        <v>310</v>
      </c>
      <c r="E6" s="16">
        <f t="shared" si="1"/>
        <v>21.155283190762646</v>
      </c>
      <c r="F6" s="17">
        <v>0.73</v>
      </c>
      <c r="I6" s="16"/>
      <c r="J6" s="4"/>
      <c r="K6" s="16"/>
      <c r="L6" s="17"/>
    </row>
    <row r="7" spans="1:12">
      <c r="A7">
        <v>2045</v>
      </c>
      <c r="B7">
        <v>4520</v>
      </c>
      <c r="C7" s="16">
        <f t="shared" si="0"/>
        <v>308.45767749111985</v>
      </c>
      <c r="D7" s="4">
        <v>310</v>
      </c>
      <c r="E7" s="16">
        <f t="shared" si="1"/>
        <v>21.155283190762646</v>
      </c>
      <c r="F7" s="17">
        <v>0.73</v>
      </c>
      <c r="I7" s="16"/>
      <c r="J7" s="4"/>
      <c r="K7" s="16"/>
      <c r="L7" s="17"/>
    </row>
    <row r="8" spans="1:12">
      <c r="A8">
        <v>2050</v>
      </c>
      <c r="B8">
        <v>4520</v>
      </c>
      <c r="C8" s="16">
        <f t="shared" si="0"/>
        <v>308.45767749111985</v>
      </c>
      <c r="D8" s="4">
        <v>310</v>
      </c>
      <c r="E8" s="16">
        <f t="shared" si="1"/>
        <v>21.155283190762646</v>
      </c>
      <c r="F8" s="17">
        <v>0.73</v>
      </c>
      <c r="I8" s="16"/>
      <c r="J8" s="4"/>
      <c r="K8" s="16"/>
      <c r="L8" s="17"/>
    </row>
    <row r="9" spans="1:12">
      <c r="J9" s="2"/>
    </row>
    <row r="10" spans="1:12">
      <c r="A10" t="s">
        <v>8</v>
      </c>
      <c r="J10" s="2"/>
    </row>
    <row r="11" spans="1:12">
      <c r="A11" s="1" t="s">
        <v>1</v>
      </c>
      <c r="B11" t="s">
        <v>2</v>
      </c>
      <c r="C11" s="3" t="s">
        <v>3</v>
      </c>
      <c r="D11" s="2" t="s">
        <v>4</v>
      </c>
      <c r="E11" s="3" t="s">
        <v>5</v>
      </c>
      <c r="F11" s="3" t="s">
        <v>27</v>
      </c>
      <c r="I11" s="3"/>
      <c r="J11" s="2"/>
      <c r="K11" s="3"/>
      <c r="L11" s="3"/>
    </row>
    <row r="12" spans="1:12">
      <c r="A12" s="11">
        <v>2025</v>
      </c>
      <c r="B12">
        <v>5400</v>
      </c>
      <c r="C12" s="16">
        <f t="shared" ref="C12:C17" si="2">B12/$B$24/1000000</f>
        <v>368.5113846132848</v>
      </c>
      <c r="D12" s="4">
        <v>310</v>
      </c>
      <c r="E12" s="16">
        <f t="shared" ref="E12:E17" si="3">D12/$B$24/1000000</f>
        <v>21.155283190762646</v>
      </c>
      <c r="F12" s="17">
        <v>0.85</v>
      </c>
      <c r="I12" s="16"/>
      <c r="J12" s="4"/>
      <c r="K12" s="16"/>
      <c r="L12" s="17"/>
    </row>
    <row r="13" spans="1:12">
      <c r="A13">
        <v>2030</v>
      </c>
      <c r="B13">
        <v>5400</v>
      </c>
      <c r="C13" s="16">
        <f t="shared" si="2"/>
        <v>368.5113846132848</v>
      </c>
      <c r="D13" s="4">
        <v>310</v>
      </c>
      <c r="E13" s="16">
        <f t="shared" si="3"/>
        <v>21.155283190762646</v>
      </c>
      <c r="F13" s="17">
        <v>0.85</v>
      </c>
      <c r="I13" s="16"/>
      <c r="J13" s="4"/>
      <c r="K13" s="16"/>
      <c r="L13" s="17"/>
    </row>
    <row r="14" spans="1:12">
      <c r="A14">
        <v>2035</v>
      </c>
      <c r="B14">
        <v>5400</v>
      </c>
      <c r="C14" s="16">
        <f t="shared" si="2"/>
        <v>368.5113846132848</v>
      </c>
      <c r="D14" s="4">
        <v>310</v>
      </c>
      <c r="E14" s="16">
        <f t="shared" si="3"/>
        <v>21.155283190762646</v>
      </c>
      <c r="F14" s="17">
        <v>0.85</v>
      </c>
      <c r="I14" s="16"/>
      <c r="J14" s="4"/>
      <c r="K14" s="16"/>
      <c r="L14" s="17"/>
    </row>
    <row r="15" spans="1:12">
      <c r="A15">
        <v>2040</v>
      </c>
      <c r="B15">
        <v>5400</v>
      </c>
      <c r="C15" s="16">
        <f t="shared" si="2"/>
        <v>368.5113846132848</v>
      </c>
      <c r="D15" s="4">
        <v>310</v>
      </c>
      <c r="E15" s="16">
        <f t="shared" si="3"/>
        <v>21.155283190762646</v>
      </c>
      <c r="F15" s="17">
        <v>0.85</v>
      </c>
      <c r="I15" s="16"/>
      <c r="J15" s="4"/>
      <c r="K15" s="16"/>
      <c r="L15" s="17"/>
    </row>
    <row r="16" spans="1:12">
      <c r="A16">
        <v>2045</v>
      </c>
      <c r="B16">
        <v>5400</v>
      </c>
      <c r="C16" s="16">
        <f t="shared" si="2"/>
        <v>368.5113846132848</v>
      </c>
      <c r="D16" s="4">
        <v>310</v>
      </c>
      <c r="E16" s="16">
        <f t="shared" si="3"/>
        <v>21.155283190762646</v>
      </c>
      <c r="F16" s="17">
        <v>0.85</v>
      </c>
      <c r="I16" s="16"/>
      <c r="J16" s="4"/>
      <c r="K16" s="16"/>
      <c r="L16" s="17"/>
    </row>
    <row r="17" spans="1:12">
      <c r="A17">
        <v>2050</v>
      </c>
      <c r="B17">
        <v>5400</v>
      </c>
      <c r="C17" s="16">
        <f t="shared" si="2"/>
        <v>368.5113846132848</v>
      </c>
      <c r="D17" s="4">
        <v>310</v>
      </c>
      <c r="E17" s="16">
        <f t="shared" si="3"/>
        <v>21.155283190762646</v>
      </c>
      <c r="F17" s="17">
        <v>0.85</v>
      </c>
      <c r="I17" s="16"/>
      <c r="J17" s="4"/>
      <c r="K17" s="16"/>
      <c r="L17" s="17"/>
    </row>
    <row r="18" spans="1:12">
      <c r="C18" s="16"/>
      <c r="D18" s="27"/>
      <c r="E18" s="16"/>
      <c r="F18" s="17"/>
    </row>
    <row r="20" spans="1:12">
      <c r="A20" t="s">
        <v>17</v>
      </c>
      <c r="B20">
        <v>3.41214</v>
      </c>
      <c r="C20" t="s">
        <v>18</v>
      </c>
    </row>
    <row r="21" spans="1:12">
      <c r="A21" t="s">
        <v>19</v>
      </c>
      <c r="B21">
        <f>0.293071*1000/1000000000</f>
        <v>2.9307100000000004E-7</v>
      </c>
      <c r="C21" t="s">
        <v>20</v>
      </c>
    </row>
    <row r="23" spans="1:12">
      <c r="A23" t="s">
        <v>11</v>
      </c>
      <c r="B23" s="13">
        <v>50</v>
      </c>
    </row>
    <row r="24" spans="1:12">
      <c r="A24" t="s">
        <v>10</v>
      </c>
      <c r="B24">
        <f>B23*B21</f>
        <v>1.4653550000000001E-5</v>
      </c>
    </row>
    <row r="25" spans="1:12">
      <c r="D25"/>
    </row>
    <row r="26" spans="1:12">
      <c r="A26" t="s">
        <v>21</v>
      </c>
      <c r="B26">
        <v>12</v>
      </c>
      <c r="D26"/>
    </row>
    <row r="27" spans="1:12">
      <c r="A27" t="s">
        <v>22</v>
      </c>
      <c r="B27">
        <v>25</v>
      </c>
      <c r="D27"/>
    </row>
    <row r="28" spans="1:12">
      <c r="A28" t="s">
        <v>23</v>
      </c>
      <c r="B28" s="20">
        <f>(B26+B27)/2</f>
        <v>18.5</v>
      </c>
      <c r="C28" s="20">
        <f>(C26+C27)/2</f>
        <v>0</v>
      </c>
      <c r="D28" s="20">
        <f>(D26+D27)/2</f>
        <v>0</v>
      </c>
      <c r="E28" s="20">
        <f>(E26+E27)/2</f>
        <v>0</v>
      </c>
    </row>
  </sheetData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ED085-3C60-450E-81E8-F3D2E955CD71}">
  <dimension ref="A1:F29"/>
  <sheetViews>
    <sheetView workbookViewId="0">
      <selection activeCell="C14" sqref="C14:C19"/>
    </sheetView>
  </sheetViews>
  <sheetFormatPr defaultRowHeight="15"/>
  <cols>
    <col min="2" max="2" width="12" bestFit="1" customWidth="1"/>
    <col min="4" max="4" width="9.140625" style="2"/>
  </cols>
  <sheetData>
    <row r="1" spans="1:6">
      <c r="A1" t="s">
        <v>0</v>
      </c>
    </row>
    <row r="2" spans="1:6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33</v>
      </c>
    </row>
    <row r="3" spans="1:6">
      <c r="A3" s="25">
        <v>2022</v>
      </c>
      <c r="B3">
        <v>1215</v>
      </c>
      <c r="C3" s="16">
        <f t="shared" ref="C3:C9" si="0">B3/$B$25/1000000</f>
        <v>103.64382692248635</v>
      </c>
      <c r="D3" s="4">
        <v>20</v>
      </c>
      <c r="E3" s="16">
        <f t="shared" ref="E3:E9" si="1">D3/$B$25/1000000</f>
        <v>1.7060712250615038</v>
      </c>
      <c r="F3" s="17">
        <v>0.61</v>
      </c>
    </row>
    <row r="4" spans="1:6">
      <c r="A4" s="11">
        <v>2025</v>
      </c>
      <c r="B4">
        <v>1215</v>
      </c>
      <c r="C4" s="16">
        <f t="shared" si="0"/>
        <v>103.64382692248635</v>
      </c>
      <c r="D4" s="4">
        <v>20</v>
      </c>
      <c r="E4" s="16">
        <f t="shared" si="1"/>
        <v>1.7060712250615038</v>
      </c>
      <c r="F4" s="17">
        <v>0.61</v>
      </c>
    </row>
    <row r="5" spans="1:6">
      <c r="A5">
        <v>2030</v>
      </c>
      <c r="B5">
        <v>1215</v>
      </c>
      <c r="C5" s="16">
        <f t="shared" si="0"/>
        <v>103.64382692248635</v>
      </c>
      <c r="D5" s="4">
        <v>20</v>
      </c>
      <c r="E5" s="16">
        <f t="shared" si="1"/>
        <v>1.7060712250615038</v>
      </c>
      <c r="F5" s="17">
        <v>0.61</v>
      </c>
    </row>
    <row r="6" spans="1:6">
      <c r="A6">
        <v>2035</v>
      </c>
      <c r="B6">
        <v>1215</v>
      </c>
      <c r="C6" s="16">
        <f t="shared" si="0"/>
        <v>103.64382692248635</v>
      </c>
      <c r="D6" s="4">
        <v>20</v>
      </c>
      <c r="E6" s="16">
        <f t="shared" si="1"/>
        <v>1.7060712250615038</v>
      </c>
      <c r="F6" s="17">
        <v>0.61</v>
      </c>
    </row>
    <row r="7" spans="1:6">
      <c r="A7">
        <v>2040</v>
      </c>
      <c r="B7">
        <v>1215</v>
      </c>
      <c r="C7" s="16">
        <f t="shared" si="0"/>
        <v>103.64382692248635</v>
      </c>
      <c r="D7" s="4">
        <v>20</v>
      </c>
      <c r="E7" s="16">
        <f t="shared" si="1"/>
        <v>1.7060712250615038</v>
      </c>
      <c r="F7" s="17">
        <v>0.61</v>
      </c>
    </row>
    <row r="8" spans="1:6">
      <c r="A8">
        <v>2045</v>
      </c>
      <c r="B8">
        <v>1215</v>
      </c>
      <c r="C8" s="16">
        <f t="shared" si="0"/>
        <v>103.64382692248635</v>
      </c>
      <c r="D8" s="4">
        <v>20</v>
      </c>
      <c r="E8" s="16">
        <f t="shared" si="1"/>
        <v>1.7060712250615038</v>
      </c>
      <c r="F8" s="17">
        <v>0.61</v>
      </c>
    </row>
    <row r="9" spans="1:6">
      <c r="A9">
        <v>2050</v>
      </c>
      <c r="B9">
        <v>1215</v>
      </c>
      <c r="C9" s="16">
        <f t="shared" si="0"/>
        <v>103.64382692248635</v>
      </c>
      <c r="D9" s="4">
        <v>20</v>
      </c>
      <c r="E9" s="16">
        <f t="shared" si="1"/>
        <v>1.7060712250615038</v>
      </c>
      <c r="F9" s="17">
        <v>0.61</v>
      </c>
    </row>
    <row r="11" spans="1:6">
      <c r="A11" t="s">
        <v>8</v>
      </c>
    </row>
    <row r="12" spans="1:6">
      <c r="A12" s="1" t="s">
        <v>1</v>
      </c>
      <c r="B12" t="s">
        <v>2</v>
      </c>
      <c r="C12" s="3" t="s">
        <v>3</v>
      </c>
      <c r="D12" s="2" t="s">
        <v>4</v>
      </c>
      <c r="E12" s="3" t="s">
        <v>5</v>
      </c>
      <c r="F12" s="3" t="s">
        <v>33</v>
      </c>
    </row>
    <row r="13" spans="1:6">
      <c r="A13" s="25">
        <v>2022</v>
      </c>
      <c r="B13">
        <v>2135</v>
      </c>
      <c r="C13" s="16">
        <f t="shared" ref="C13:C19" si="2">B13/$B$25/1000000</f>
        <v>182.12310327531551</v>
      </c>
      <c r="D13" s="4">
        <v>20</v>
      </c>
      <c r="E13" s="16">
        <f t="shared" ref="E13:E19" si="3">D13/$B$25/1000000</f>
        <v>1.7060712250615038</v>
      </c>
      <c r="F13" s="17">
        <v>0.84</v>
      </c>
    </row>
    <row r="14" spans="1:6">
      <c r="A14" s="11">
        <v>2025</v>
      </c>
      <c r="B14">
        <v>2135</v>
      </c>
      <c r="C14" s="16">
        <f t="shared" si="2"/>
        <v>182.12310327531551</v>
      </c>
      <c r="D14" s="4">
        <v>20</v>
      </c>
      <c r="E14" s="16">
        <f t="shared" si="3"/>
        <v>1.7060712250615038</v>
      </c>
      <c r="F14" s="17">
        <v>0.84</v>
      </c>
    </row>
    <row r="15" spans="1:6">
      <c r="A15">
        <v>2030</v>
      </c>
      <c r="B15">
        <v>2135</v>
      </c>
      <c r="C15" s="16">
        <f t="shared" si="2"/>
        <v>182.12310327531551</v>
      </c>
      <c r="D15" s="4">
        <v>20</v>
      </c>
      <c r="E15" s="16">
        <f t="shared" si="3"/>
        <v>1.7060712250615038</v>
      </c>
      <c r="F15" s="17">
        <v>0.84</v>
      </c>
    </row>
    <row r="16" spans="1:6">
      <c r="A16">
        <v>2035</v>
      </c>
      <c r="B16">
        <v>2135</v>
      </c>
      <c r="C16" s="16">
        <f t="shared" si="2"/>
        <v>182.12310327531551</v>
      </c>
      <c r="D16" s="4">
        <v>20</v>
      </c>
      <c r="E16" s="16">
        <f t="shared" si="3"/>
        <v>1.7060712250615038</v>
      </c>
      <c r="F16" s="17">
        <v>0.84</v>
      </c>
    </row>
    <row r="17" spans="1:6">
      <c r="A17">
        <v>2040</v>
      </c>
      <c r="B17">
        <v>2135</v>
      </c>
      <c r="C17" s="16">
        <f t="shared" si="2"/>
        <v>182.12310327531551</v>
      </c>
      <c r="D17" s="4">
        <v>20</v>
      </c>
      <c r="E17" s="16">
        <f t="shared" si="3"/>
        <v>1.7060712250615038</v>
      </c>
      <c r="F17" s="17">
        <v>0.84</v>
      </c>
    </row>
    <row r="18" spans="1:6">
      <c r="A18">
        <v>2045</v>
      </c>
      <c r="B18">
        <v>2135</v>
      </c>
      <c r="C18" s="16">
        <f t="shared" si="2"/>
        <v>182.12310327531551</v>
      </c>
      <c r="D18" s="4">
        <v>20</v>
      </c>
      <c r="E18" s="16">
        <f t="shared" si="3"/>
        <v>1.7060712250615038</v>
      </c>
      <c r="F18" s="17">
        <v>0.84</v>
      </c>
    </row>
    <row r="19" spans="1:6">
      <c r="A19">
        <v>2050</v>
      </c>
      <c r="B19">
        <v>2135</v>
      </c>
      <c r="C19" s="16">
        <f t="shared" si="2"/>
        <v>182.12310327531551</v>
      </c>
      <c r="D19" s="4">
        <v>20</v>
      </c>
      <c r="E19" s="16">
        <f t="shared" si="3"/>
        <v>1.7060712250615038</v>
      </c>
      <c r="F19" s="17">
        <v>0.84</v>
      </c>
    </row>
    <row r="21" spans="1:6">
      <c r="A21" t="s">
        <v>17</v>
      </c>
      <c r="B21">
        <v>3.41214</v>
      </c>
      <c r="C21" t="s">
        <v>18</v>
      </c>
    </row>
    <row r="22" spans="1:6">
      <c r="A22" t="s">
        <v>19</v>
      </c>
      <c r="B22">
        <f>0.293071*1000/1000000000</f>
        <v>2.9307100000000004E-7</v>
      </c>
      <c r="C22" t="s">
        <v>20</v>
      </c>
    </row>
    <row r="24" spans="1:6">
      <c r="A24" t="s">
        <v>11</v>
      </c>
      <c r="B24" s="13">
        <v>40</v>
      </c>
    </row>
    <row r="25" spans="1:6">
      <c r="A25" t="s">
        <v>10</v>
      </c>
      <c r="B25">
        <f>B24*B22</f>
        <v>1.1722840000000002E-5</v>
      </c>
    </row>
    <row r="26" spans="1:6">
      <c r="D26"/>
    </row>
    <row r="27" spans="1:6">
      <c r="A27" t="s">
        <v>21</v>
      </c>
      <c r="B27">
        <v>740</v>
      </c>
      <c r="C27">
        <v>1140</v>
      </c>
      <c r="D27"/>
    </row>
    <row r="28" spans="1:6">
      <c r="A28" t="s">
        <v>22</v>
      </c>
      <c r="B28">
        <v>1690</v>
      </c>
      <c r="C28">
        <v>3130</v>
      </c>
      <c r="D28"/>
    </row>
    <row r="29" spans="1:6">
      <c r="A29" t="s">
        <v>23</v>
      </c>
      <c r="B29" s="20">
        <f>(B27+B28)/2</f>
        <v>1215</v>
      </c>
      <c r="C29" s="20">
        <f>(C27+C28)/2</f>
        <v>2135</v>
      </c>
      <c r="D29" s="20">
        <f>(D27+D28)/2</f>
        <v>0</v>
      </c>
      <c r="E29" s="20">
        <f>(E27+E28)/2</f>
        <v>0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479262-9594-487C-AC20-7078C6F86DA8}">
  <dimension ref="A1:F29"/>
  <sheetViews>
    <sheetView workbookViewId="0">
      <selection activeCell="C14" sqref="C14:C19"/>
    </sheetView>
  </sheetViews>
  <sheetFormatPr defaultRowHeight="15"/>
  <cols>
    <col min="2" max="2" width="12" bestFit="1" customWidth="1"/>
    <col min="4" max="4" width="9.140625" style="2"/>
  </cols>
  <sheetData>
    <row r="1" spans="1:6">
      <c r="A1" t="s">
        <v>0</v>
      </c>
    </row>
    <row r="2" spans="1:6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33</v>
      </c>
    </row>
    <row r="3" spans="1:6">
      <c r="A3" s="25">
        <v>2022</v>
      </c>
      <c r="B3">
        <v>3385</v>
      </c>
      <c r="C3" s="16">
        <f t="shared" ref="C3:C9" si="0">B3/$B$25/1000000</f>
        <v>115.5010219366638</v>
      </c>
      <c r="D3" s="4">
        <v>20</v>
      </c>
      <c r="E3" s="16">
        <f t="shared" ref="E3:E9" si="1">D3/$B$25/1000000</f>
        <v>0.68242849002460149</v>
      </c>
      <c r="F3" s="17">
        <v>0.66</v>
      </c>
    </row>
    <row r="4" spans="1:6">
      <c r="A4" s="11">
        <v>2025</v>
      </c>
      <c r="B4">
        <v>3385</v>
      </c>
      <c r="C4" s="16">
        <f t="shared" si="0"/>
        <v>115.5010219366638</v>
      </c>
      <c r="D4" s="4">
        <v>20</v>
      </c>
      <c r="E4" s="16">
        <f t="shared" si="1"/>
        <v>0.68242849002460149</v>
      </c>
      <c r="F4" s="17">
        <v>0.66</v>
      </c>
    </row>
    <row r="5" spans="1:6">
      <c r="A5">
        <v>2030</v>
      </c>
      <c r="B5">
        <v>3385</v>
      </c>
      <c r="C5" s="16">
        <f t="shared" si="0"/>
        <v>115.5010219366638</v>
      </c>
      <c r="D5" s="4">
        <v>20</v>
      </c>
      <c r="E5" s="16">
        <f t="shared" si="1"/>
        <v>0.68242849002460149</v>
      </c>
      <c r="F5" s="17">
        <v>0.66</v>
      </c>
    </row>
    <row r="6" spans="1:6">
      <c r="A6">
        <v>2035</v>
      </c>
      <c r="B6">
        <v>3385</v>
      </c>
      <c r="C6" s="16">
        <f t="shared" si="0"/>
        <v>115.5010219366638</v>
      </c>
      <c r="D6" s="4">
        <v>20</v>
      </c>
      <c r="E6" s="16">
        <f t="shared" si="1"/>
        <v>0.68242849002460149</v>
      </c>
      <c r="F6" s="17">
        <v>0.66</v>
      </c>
    </row>
    <row r="7" spans="1:6">
      <c r="A7">
        <v>2040</v>
      </c>
      <c r="B7">
        <v>3385</v>
      </c>
      <c r="C7" s="16">
        <f t="shared" si="0"/>
        <v>115.5010219366638</v>
      </c>
      <c r="D7" s="4">
        <v>20</v>
      </c>
      <c r="E7" s="16">
        <f t="shared" si="1"/>
        <v>0.68242849002460149</v>
      </c>
      <c r="F7" s="17">
        <v>0.66</v>
      </c>
    </row>
    <row r="8" spans="1:6">
      <c r="A8">
        <v>2045</v>
      </c>
      <c r="B8">
        <v>3385</v>
      </c>
      <c r="C8" s="16">
        <f t="shared" si="0"/>
        <v>115.5010219366638</v>
      </c>
      <c r="D8" s="4">
        <v>20</v>
      </c>
      <c r="E8" s="16">
        <f t="shared" si="1"/>
        <v>0.68242849002460149</v>
      </c>
      <c r="F8" s="17">
        <v>0.66</v>
      </c>
    </row>
    <row r="9" spans="1:6">
      <c r="A9">
        <v>2050</v>
      </c>
      <c r="B9">
        <v>3385</v>
      </c>
      <c r="C9" s="16">
        <f t="shared" si="0"/>
        <v>115.5010219366638</v>
      </c>
      <c r="D9" s="4">
        <v>20</v>
      </c>
      <c r="E9" s="16">
        <f t="shared" si="1"/>
        <v>0.68242849002460149</v>
      </c>
      <c r="F9" s="17">
        <v>0.66</v>
      </c>
    </row>
    <row r="11" spans="1:6">
      <c r="A11" t="s">
        <v>8</v>
      </c>
    </row>
    <row r="12" spans="1:6">
      <c r="A12" s="1" t="s">
        <v>1</v>
      </c>
      <c r="B12" t="s">
        <v>2</v>
      </c>
      <c r="C12" s="3" t="s">
        <v>3</v>
      </c>
      <c r="D12" s="2" t="s">
        <v>4</v>
      </c>
      <c r="E12" s="3" t="s">
        <v>5</v>
      </c>
      <c r="F12" s="3" t="s">
        <v>33</v>
      </c>
    </row>
    <row r="13" spans="1:6">
      <c r="A13" s="25">
        <v>2022</v>
      </c>
      <c r="B13">
        <v>3505</v>
      </c>
      <c r="C13" s="16">
        <f t="shared" ref="C13:C19" si="2">B13/$B$25/1000000</f>
        <v>119.59559287681141</v>
      </c>
      <c r="D13" s="4">
        <v>20</v>
      </c>
      <c r="E13" s="16">
        <f t="shared" ref="E13:E19" si="3">D13/$B$25/1000000</f>
        <v>0.68242849002460149</v>
      </c>
      <c r="F13" s="17">
        <v>0.68</v>
      </c>
    </row>
    <row r="14" spans="1:6">
      <c r="A14" s="11">
        <v>2025</v>
      </c>
      <c r="B14">
        <v>3505</v>
      </c>
      <c r="C14" s="16">
        <f t="shared" si="2"/>
        <v>119.59559287681141</v>
      </c>
      <c r="D14" s="4">
        <v>20</v>
      </c>
      <c r="E14" s="16">
        <f t="shared" si="3"/>
        <v>0.68242849002460149</v>
      </c>
      <c r="F14" s="17">
        <v>0.68</v>
      </c>
    </row>
    <row r="15" spans="1:6">
      <c r="A15">
        <v>2030</v>
      </c>
      <c r="B15">
        <v>3505</v>
      </c>
      <c r="C15" s="16">
        <f t="shared" si="2"/>
        <v>119.59559287681141</v>
      </c>
      <c r="D15" s="4">
        <v>20</v>
      </c>
      <c r="E15" s="16">
        <f t="shared" si="3"/>
        <v>0.68242849002460149</v>
      </c>
      <c r="F15" s="17">
        <v>0.68</v>
      </c>
    </row>
    <row r="16" spans="1:6">
      <c r="A16">
        <v>2035</v>
      </c>
      <c r="B16">
        <v>3505</v>
      </c>
      <c r="C16" s="16">
        <f t="shared" si="2"/>
        <v>119.59559287681141</v>
      </c>
      <c r="D16" s="4">
        <v>20</v>
      </c>
      <c r="E16" s="16">
        <f t="shared" si="3"/>
        <v>0.68242849002460149</v>
      </c>
      <c r="F16" s="17">
        <v>0.68</v>
      </c>
    </row>
    <row r="17" spans="1:6">
      <c r="A17">
        <v>2040</v>
      </c>
      <c r="B17">
        <v>3505</v>
      </c>
      <c r="C17" s="16">
        <f t="shared" si="2"/>
        <v>119.59559287681141</v>
      </c>
      <c r="D17" s="4">
        <v>20</v>
      </c>
      <c r="E17" s="16">
        <f t="shared" si="3"/>
        <v>0.68242849002460149</v>
      </c>
      <c r="F17" s="17">
        <v>0.68</v>
      </c>
    </row>
    <row r="18" spans="1:6">
      <c r="A18">
        <v>2045</v>
      </c>
      <c r="B18">
        <v>3505</v>
      </c>
      <c r="C18" s="16">
        <f t="shared" si="2"/>
        <v>119.59559287681141</v>
      </c>
      <c r="D18" s="4">
        <v>20</v>
      </c>
      <c r="E18" s="16">
        <f t="shared" si="3"/>
        <v>0.68242849002460149</v>
      </c>
      <c r="F18" s="17">
        <v>0.68</v>
      </c>
    </row>
    <row r="19" spans="1:6">
      <c r="A19">
        <v>2050</v>
      </c>
      <c r="B19">
        <v>3505</v>
      </c>
      <c r="C19" s="16">
        <f t="shared" si="2"/>
        <v>119.59559287681141</v>
      </c>
      <c r="D19" s="4">
        <v>20</v>
      </c>
      <c r="E19" s="16">
        <f t="shared" si="3"/>
        <v>0.68242849002460149</v>
      </c>
      <c r="F19" s="17">
        <v>0.68</v>
      </c>
    </row>
    <row r="21" spans="1:6">
      <c r="A21" t="s">
        <v>17</v>
      </c>
      <c r="B21">
        <v>3.41214</v>
      </c>
      <c r="C21" t="s">
        <v>18</v>
      </c>
    </row>
    <row r="22" spans="1:6">
      <c r="A22" t="s">
        <v>19</v>
      </c>
      <c r="B22">
        <f>0.293071*1000/1000000000</f>
        <v>2.9307100000000004E-7</v>
      </c>
      <c r="C22" t="s">
        <v>20</v>
      </c>
    </row>
    <row r="24" spans="1:6">
      <c r="A24" t="s">
        <v>11</v>
      </c>
      <c r="B24" s="13">
        <v>100</v>
      </c>
    </row>
    <row r="25" spans="1:6">
      <c r="A25" t="s">
        <v>10</v>
      </c>
      <c r="B25">
        <f>B24*B22</f>
        <v>2.9307100000000003E-5</v>
      </c>
    </row>
    <row r="26" spans="1:6">
      <c r="D26"/>
    </row>
    <row r="27" spans="1:6">
      <c r="A27" t="s">
        <v>21</v>
      </c>
      <c r="B27">
        <v>2650</v>
      </c>
      <c r="C27">
        <v>2730</v>
      </c>
      <c r="D27"/>
    </row>
    <row r="28" spans="1:6">
      <c r="A28" t="s">
        <v>22</v>
      </c>
      <c r="B28">
        <v>4120</v>
      </c>
      <c r="C28">
        <v>4280</v>
      </c>
      <c r="D28"/>
    </row>
    <row r="29" spans="1:6">
      <c r="A29" t="s">
        <v>23</v>
      </c>
      <c r="B29" s="20">
        <f>(B27+B28)/2</f>
        <v>3385</v>
      </c>
      <c r="C29" s="20">
        <f>(C27+C28)/2</f>
        <v>3505</v>
      </c>
      <c r="D29" s="20">
        <f>(D27+D28)/2</f>
        <v>0</v>
      </c>
      <c r="E29" s="20">
        <f>(E27+E28)/2</f>
        <v>0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2CE1-A67E-4A75-A130-4316F2E486C6}">
  <dimension ref="A1:F29"/>
  <sheetViews>
    <sheetView workbookViewId="0">
      <selection activeCell="C14" sqref="C14:C19"/>
    </sheetView>
  </sheetViews>
  <sheetFormatPr defaultRowHeight="15"/>
  <cols>
    <col min="2" max="2" width="12" bestFit="1" customWidth="1"/>
    <col min="4" max="4" width="9.140625" style="2"/>
  </cols>
  <sheetData>
    <row r="1" spans="1:6">
      <c r="A1" t="s">
        <v>0</v>
      </c>
    </row>
    <row r="2" spans="1:6">
      <c r="A2" s="1" t="s">
        <v>1</v>
      </c>
      <c r="B2" s="13" t="s">
        <v>2</v>
      </c>
      <c r="C2" s="3" t="s">
        <v>3</v>
      </c>
      <c r="D2" s="28" t="s">
        <v>4</v>
      </c>
      <c r="E2" s="3" t="s">
        <v>5</v>
      </c>
      <c r="F2" s="29" t="s">
        <v>33</v>
      </c>
    </row>
    <row r="3" spans="1:6">
      <c r="A3" s="25">
        <v>2022</v>
      </c>
      <c r="B3">
        <v>905</v>
      </c>
      <c r="C3" s="16">
        <f t="shared" ref="C3:C9" si="0">B3/$B$25/1000000</f>
        <v>226.25</v>
      </c>
      <c r="D3" s="4">
        <v>20</v>
      </c>
      <c r="E3" s="16">
        <f t="shared" ref="E3:E9" si="1">D3/$B$25/1000000</f>
        <v>5</v>
      </c>
      <c r="F3" s="17">
        <v>0.92</v>
      </c>
    </row>
    <row r="4" spans="1:6">
      <c r="A4" s="11">
        <v>2025</v>
      </c>
      <c r="B4">
        <v>905</v>
      </c>
      <c r="C4" s="16">
        <f t="shared" si="0"/>
        <v>226.25</v>
      </c>
      <c r="D4" s="4">
        <v>20</v>
      </c>
      <c r="E4" s="16">
        <f t="shared" si="1"/>
        <v>5</v>
      </c>
      <c r="F4" s="17">
        <v>0.92</v>
      </c>
    </row>
    <row r="5" spans="1:6">
      <c r="A5">
        <v>2030</v>
      </c>
      <c r="B5">
        <v>905</v>
      </c>
      <c r="C5" s="16">
        <f t="shared" si="0"/>
        <v>226.25</v>
      </c>
      <c r="D5" s="4">
        <v>20</v>
      </c>
      <c r="E5" s="16">
        <f t="shared" si="1"/>
        <v>5</v>
      </c>
      <c r="F5" s="17">
        <v>0.92</v>
      </c>
    </row>
    <row r="6" spans="1:6">
      <c r="A6">
        <v>2035</v>
      </c>
      <c r="B6">
        <v>905</v>
      </c>
      <c r="C6" s="16">
        <f t="shared" si="0"/>
        <v>226.25</v>
      </c>
      <c r="D6" s="4">
        <v>20</v>
      </c>
      <c r="E6" s="16">
        <f t="shared" si="1"/>
        <v>5</v>
      </c>
      <c r="F6" s="17">
        <v>0.92</v>
      </c>
    </row>
    <row r="7" spans="1:6">
      <c r="A7">
        <v>2040</v>
      </c>
      <c r="B7">
        <v>905</v>
      </c>
      <c r="C7" s="16">
        <f t="shared" si="0"/>
        <v>226.25</v>
      </c>
      <c r="D7" s="4">
        <v>20</v>
      </c>
      <c r="E7" s="16">
        <f t="shared" si="1"/>
        <v>5</v>
      </c>
      <c r="F7" s="17">
        <v>0.92</v>
      </c>
    </row>
    <row r="8" spans="1:6">
      <c r="A8">
        <v>2045</v>
      </c>
      <c r="B8">
        <v>905</v>
      </c>
      <c r="C8" s="16">
        <f t="shared" si="0"/>
        <v>226.25</v>
      </c>
      <c r="D8" s="4">
        <v>20</v>
      </c>
      <c r="E8" s="16">
        <f t="shared" si="1"/>
        <v>5</v>
      </c>
      <c r="F8" s="17">
        <v>0.92</v>
      </c>
    </row>
    <row r="9" spans="1:6">
      <c r="A9">
        <v>2050</v>
      </c>
      <c r="B9">
        <v>905</v>
      </c>
      <c r="C9" s="16">
        <f t="shared" si="0"/>
        <v>226.25</v>
      </c>
      <c r="D9" s="4">
        <v>20</v>
      </c>
      <c r="E9" s="16">
        <f t="shared" si="1"/>
        <v>5</v>
      </c>
      <c r="F9" s="17">
        <v>0.92</v>
      </c>
    </row>
    <row r="11" spans="1:6">
      <c r="A11" t="s">
        <v>8</v>
      </c>
    </row>
    <row r="12" spans="1:6">
      <c r="A12" s="1" t="s">
        <v>1</v>
      </c>
      <c r="B12" s="13" t="s">
        <v>2</v>
      </c>
      <c r="C12" s="3" t="s">
        <v>3</v>
      </c>
      <c r="D12" s="28" t="s">
        <v>4</v>
      </c>
      <c r="E12" s="3" t="s">
        <v>5</v>
      </c>
      <c r="F12" s="29" t="s">
        <v>33</v>
      </c>
    </row>
    <row r="13" spans="1:6">
      <c r="A13" s="25">
        <v>2022</v>
      </c>
      <c r="B13">
        <v>990</v>
      </c>
      <c r="C13" s="16">
        <f t="shared" ref="C13:C19" si="2">B13/$B$25/1000000</f>
        <v>247.5</v>
      </c>
      <c r="D13" s="4">
        <v>20</v>
      </c>
      <c r="E13" s="16">
        <f t="shared" ref="E13:E19" si="3">D13/$B$25/1000000</f>
        <v>5</v>
      </c>
      <c r="F13" s="17">
        <v>0.93</v>
      </c>
    </row>
    <row r="14" spans="1:6">
      <c r="A14" s="11">
        <v>2025</v>
      </c>
      <c r="B14">
        <v>990</v>
      </c>
      <c r="C14" s="16">
        <f t="shared" si="2"/>
        <v>247.5</v>
      </c>
      <c r="D14" s="4">
        <v>20</v>
      </c>
      <c r="E14" s="16">
        <f t="shared" si="3"/>
        <v>5</v>
      </c>
      <c r="F14" s="17">
        <v>0.93</v>
      </c>
    </row>
    <row r="15" spans="1:6">
      <c r="A15">
        <v>2030</v>
      </c>
      <c r="B15">
        <v>990</v>
      </c>
      <c r="C15" s="16">
        <f t="shared" si="2"/>
        <v>247.5</v>
      </c>
      <c r="D15" s="4">
        <v>20</v>
      </c>
      <c r="E15" s="16">
        <f t="shared" si="3"/>
        <v>5</v>
      </c>
      <c r="F15" s="17">
        <v>0.93</v>
      </c>
    </row>
    <row r="16" spans="1:6">
      <c r="A16">
        <v>2035</v>
      </c>
      <c r="B16">
        <v>990</v>
      </c>
      <c r="C16" s="16">
        <f t="shared" si="2"/>
        <v>247.5</v>
      </c>
      <c r="D16" s="4">
        <v>20</v>
      </c>
      <c r="E16" s="16">
        <f t="shared" si="3"/>
        <v>5</v>
      </c>
      <c r="F16" s="17">
        <v>0.93</v>
      </c>
    </row>
    <row r="17" spans="1:6">
      <c r="A17">
        <v>2040</v>
      </c>
      <c r="B17">
        <v>990</v>
      </c>
      <c r="C17" s="16">
        <f t="shared" si="2"/>
        <v>247.5</v>
      </c>
      <c r="D17" s="4">
        <v>20</v>
      </c>
      <c r="E17" s="16">
        <f t="shared" si="3"/>
        <v>5</v>
      </c>
      <c r="F17" s="17">
        <v>0.93</v>
      </c>
    </row>
    <row r="18" spans="1:6">
      <c r="A18">
        <v>2045</v>
      </c>
      <c r="B18">
        <v>990</v>
      </c>
      <c r="C18" s="16">
        <f t="shared" si="2"/>
        <v>247.5</v>
      </c>
      <c r="D18" s="4">
        <v>20</v>
      </c>
      <c r="E18" s="16">
        <f t="shared" si="3"/>
        <v>5</v>
      </c>
      <c r="F18" s="17">
        <v>0.93</v>
      </c>
    </row>
    <row r="19" spans="1:6">
      <c r="A19">
        <v>2050</v>
      </c>
      <c r="B19">
        <v>990</v>
      </c>
      <c r="C19" s="16">
        <f t="shared" si="2"/>
        <v>247.5</v>
      </c>
      <c r="D19" s="4">
        <v>20</v>
      </c>
      <c r="E19" s="16">
        <f t="shared" si="3"/>
        <v>5</v>
      </c>
      <c r="F19" s="17">
        <v>0.93</v>
      </c>
    </row>
    <row r="21" spans="1:6">
      <c r="A21" t="s">
        <v>17</v>
      </c>
      <c r="B21">
        <v>3.41214</v>
      </c>
      <c r="C21" t="s">
        <v>18</v>
      </c>
    </row>
    <row r="22" spans="1:6">
      <c r="A22" t="s">
        <v>19</v>
      </c>
      <c r="B22">
        <f>0.293071*1000/1000000000</f>
        <v>2.9307100000000004E-7</v>
      </c>
      <c r="C22" t="s">
        <v>20</v>
      </c>
    </row>
    <row r="24" spans="1:6">
      <c r="A24" t="s">
        <v>34</v>
      </c>
      <c r="B24" s="13">
        <v>4</v>
      </c>
    </row>
    <row r="25" spans="1:6">
      <c r="A25" t="s">
        <v>10</v>
      </c>
      <c r="B25" s="7">
        <f>B24/1000000</f>
        <v>3.9999999999999998E-6</v>
      </c>
    </row>
    <row r="26" spans="1:6">
      <c r="D26"/>
    </row>
    <row r="27" spans="1:6">
      <c r="A27" t="s">
        <v>21</v>
      </c>
      <c r="B27">
        <v>500</v>
      </c>
      <c r="C27">
        <v>550</v>
      </c>
      <c r="D27"/>
    </row>
    <row r="28" spans="1:6">
      <c r="A28" t="s">
        <v>22</v>
      </c>
      <c r="B28">
        <v>1310</v>
      </c>
      <c r="C28">
        <v>1430</v>
      </c>
      <c r="D28"/>
    </row>
    <row r="29" spans="1:6">
      <c r="A29" t="s">
        <v>23</v>
      </c>
      <c r="B29" s="20">
        <f>(B27+B28)/2</f>
        <v>905</v>
      </c>
      <c r="C29" s="20">
        <f>(C27+C28)/2</f>
        <v>990</v>
      </c>
      <c r="D29" s="20">
        <f>(D27+D28)/2</f>
        <v>0</v>
      </c>
      <c r="E29" s="20">
        <f>(E27+E28)/2</f>
        <v>0</v>
      </c>
    </row>
  </sheetData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7B724-3010-46FB-A5D9-0CACB78BAA7D}">
  <dimension ref="A1:I29"/>
  <sheetViews>
    <sheetView workbookViewId="0">
      <selection activeCell="C21" sqref="C21"/>
    </sheetView>
  </sheetViews>
  <sheetFormatPr defaultRowHeight="15"/>
  <cols>
    <col min="2" max="2" width="12" bestFit="1" customWidth="1"/>
    <col min="4" max="4" width="9.140625" style="2"/>
  </cols>
  <sheetData>
    <row r="1" spans="1:6">
      <c r="A1" t="s">
        <v>0</v>
      </c>
    </row>
    <row r="2" spans="1:6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33</v>
      </c>
    </row>
    <row r="3" spans="1:6">
      <c r="A3" s="25">
        <v>2022</v>
      </c>
      <c r="B3">
        <v>1550</v>
      </c>
      <c r="C3" s="16">
        <f t="shared" ref="C3:C9" si="0">B3/$B$25/1000000</f>
        <v>1259.243047069205</v>
      </c>
      <c r="D3" s="4">
        <v>20</v>
      </c>
      <c r="E3" s="16">
        <f t="shared" ref="E3:E9" si="1">D3/$B$25/1000000</f>
        <v>16.24829738153813</v>
      </c>
      <c r="F3" s="17">
        <v>3.33</v>
      </c>
    </row>
    <row r="4" spans="1:6">
      <c r="A4" s="11">
        <v>2025</v>
      </c>
      <c r="B4" s="7">
        <f>(A4-A3)/(A5-A3)*(B5-B3)+B3</f>
        <v>1529.375</v>
      </c>
      <c r="C4" s="16">
        <f t="shared" si="0"/>
        <v>1242.4869903944939</v>
      </c>
      <c r="D4" s="4">
        <v>20</v>
      </c>
      <c r="E4" s="16">
        <f t="shared" si="1"/>
        <v>16.24829738153813</v>
      </c>
      <c r="F4" s="17">
        <v>3.33</v>
      </c>
    </row>
    <row r="5" spans="1:6">
      <c r="A5">
        <v>2030</v>
      </c>
      <c r="B5">
        <v>1495</v>
      </c>
      <c r="C5" s="16">
        <f t="shared" si="0"/>
        <v>1214.5602292699753</v>
      </c>
      <c r="D5" s="4">
        <v>20</v>
      </c>
      <c r="E5" s="16">
        <f t="shared" si="1"/>
        <v>16.24829738153813</v>
      </c>
      <c r="F5" s="17">
        <v>3.33</v>
      </c>
    </row>
    <row r="6" spans="1:6">
      <c r="A6">
        <v>2035</v>
      </c>
      <c r="B6" s="7">
        <f>(A6-A5)/(A7-A5)*(B7-B5)+B5</f>
        <v>1467.5</v>
      </c>
      <c r="C6" s="16">
        <f t="shared" si="0"/>
        <v>1192.2188203703604</v>
      </c>
      <c r="D6" s="4">
        <v>20</v>
      </c>
      <c r="E6" s="16">
        <f t="shared" si="1"/>
        <v>16.24829738153813</v>
      </c>
      <c r="F6" s="17">
        <v>3.33</v>
      </c>
    </row>
    <row r="7" spans="1:6">
      <c r="A7">
        <v>2040</v>
      </c>
      <c r="B7">
        <v>1440</v>
      </c>
      <c r="C7" s="16">
        <f t="shared" si="0"/>
        <v>1169.8774114707453</v>
      </c>
      <c r="D7" s="4">
        <v>20</v>
      </c>
      <c r="E7" s="16">
        <f t="shared" si="1"/>
        <v>16.24829738153813</v>
      </c>
      <c r="F7" s="17">
        <v>3.33</v>
      </c>
    </row>
    <row r="8" spans="1:6">
      <c r="A8">
        <v>2045</v>
      </c>
      <c r="B8" s="7">
        <f>(A8-A7)/(A9-A7)*(B9-B7)+B7</f>
        <v>1415</v>
      </c>
      <c r="C8" s="16">
        <f t="shared" si="0"/>
        <v>1149.5670397438225</v>
      </c>
      <c r="D8" s="4">
        <v>20</v>
      </c>
      <c r="E8" s="16">
        <f t="shared" si="1"/>
        <v>16.24829738153813</v>
      </c>
      <c r="F8" s="17">
        <v>3.33</v>
      </c>
    </row>
    <row r="9" spans="1:6">
      <c r="A9">
        <v>2050</v>
      </c>
      <c r="B9">
        <v>1390</v>
      </c>
      <c r="C9" s="16">
        <f t="shared" si="0"/>
        <v>1129.2566680169</v>
      </c>
      <c r="D9" s="4">
        <v>20</v>
      </c>
      <c r="E9" s="16">
        <f t="shared" si="1"/>
        <v>16.24829738153813</v>
      </c>
      <c r="F9" s="17">
        <v>3.33</v>
      </c>
    </row>
    <row r="11" spans="1:6">
      <c r="A11" t="s">
        <v>8</v>
      </c>
    </row>
    <row r="12" spans="1:6">
      <c r="A12" s="1" t="s">
        <v>1</v>
      </c>
      <c r="B12" t="s">
        <v>2</v>
      </c>
      <c r="C12" s="3" t="s">
        <v>3</v>
      </c>
      <c r="D12" s="2" t="s">
        <v>4</v>
      </c>
      <c r="E12" s="3" t="s">
        <v>5</v>
      </c>
      <c r="F12" s="3" t="s">
        <v>33</v>
      </c>
    </row>
    <row r="13" spans="1:6">
      <c r="A13" s="25">
        <v>2022</v>
      </c>
      <c r="B13">
        <v>1715</v>
      </c>
      <c r="C13" s="16">
        <f t="shared" ref="C13:C19" si="2">B13/$B$25/1000000</f>
        <v>1393.2915004668946</v>
      </c>
      <c r="D13" s="4">
        <v>20</v>
      </c>
      <c r="E13" s="16">
        <f t="shared" ref="E13:E19" si="3">D13/$B$25/1000000</f>
        <v>16.24829738153813</v>
      </c>
      <c r="F13" s="17">
        <v>3.73</v>
      </c>
    </row>
    <row r="14" spans="1:6">
      <c r="A14" s="11">
        <v>2025</v>
      </c>
      <c r="B14" s="7">
        <f>(A14-A13)/(A15-A13)*(B15-B13)+B13</f>
        <v>1692.5</v>
      </c>
      <c r="C14" s="16">
        <f t="shared" si="2"/>
        <v>1375.0121659126642</v>
      </c>
      <c r="D14" s="4">
        <v>20</v>
      </c>
      <c r="E14" s="16">
        <f t="shared" si="3"/>
        <v>16.24829738153813</v>
      </c>
      <c r="F14" s="17">
        <v>3.73</v>
      </c>
    </row>
    <row r="15" spans="1:6">
      <c r="A15">
        <v>2030</v>
      </c>
      <c r="B15">
        <v>1655</v>
      </c>
      <c r="C15" s="16">
        <f t="shared" si="2"/>
        <v>1344.5466083222802</v>
      </c>
      <c r="D15" s="4">
        <v>20</v>
      </c>
      <c r="E15" s="16">
        <f t="shared" si="3"/>
        <v>16.24829738153813</v>
      </c>
      <c r="F15" s="17">
        <v>3.73</v>
      </c>
    </row>
    <row r="16" spans="1:6">
      <c r="A16">
        <v>2035</v>
      </c>
      <c r="B16" s="7">
        <f>(A16-A15)/(A17-A15)*(B17-B15)+B15</f>
        <v>1625</v>
      </c>
      <c r="C16" s="16">
        <f t="shared" si="2"/>
        <v>1320.1741622499731</v>
      </c>
      <c r="D16" s="4">
        <v>20</v>
      </c>
      <c r="E16" s="16">
        <f t="shared" si="3"/>
        <v>16.24829738153813</v>
      </c>
      <c r="F16" s="17">
        <v>3.73</v>
      </c>
    </row>
    <row r="17" spans="1:9">
      <c r="A17">
        <v>2040</v>
      </c>
      <c r="B17">
        <v>1595</v>
      </c>
      <c r="C17" s="16">
        <f t="shared" si="2"/>
        <v>1295.8017161776659</v>
      </c>
      <c r="D17" s="4">
        <v>20</v>
      </c>
      <c r="E17" s="16">
        <f t="shared" si="3"/>
        <v>16.24829738153813</v>
      </c>
      <c r="F17" s="17">
        <v>3.73</v>
      </c>
    </row>
    <row r="18" spans="1:9">
      <c r="A18">
        <v>2045</v>
      </c>
      <c r="B18" s="7">
        <f>(A18-A17)/(A19-A17)*(B19-B17)+B17</f>
        <v>1567.5</v>
      </c>
      <c r="C18" s="16">
        <f t="shared" si="2"/>
        <v>1273.460307278051</v>
      </c>
      <c r="D18" s="4">
        <v>20</v>
      </c>
      <c r="E18" s="16">
        <f t="shared" si="3"/>
        <v>16.24829738153813</v>
      </c>
      <c r="F18" s="17">
        <v>3.73</v>
      </c>
    </row>
    <row r="19" spans="1:9">
      <c r="A19">
        <v>2050</v>
      </c>
      <c r="B19">
        <v>1540</v>
      </c>
      <c r="C19" s="16">
        <f t="shared" si="2"/>
        <v>1251.1188983784361</v>
      </c>
      <c r="D19" s="4">
        <v>20</v>
      </c>
      <c r="E19" s="16">
        <f t="shared" si="3"/>
        <v>16.24829738153813</v>
      </c>
      <c r="F19" s="17">
        <v>3.73</v>
      </c>
    </row>
    <row r="21" spans="1:9">
      <c r="A21" t="s">
        <v>17</v>
      </c>
      <c r="B21">
        <v>3.41214</v>
      </c>
      <c r="C21" t="s">
        <v>18</v>
      </c>
    </row>
    <row r="22" spans="1:9">
      <c r="A22" t="s">
        <v>19</v>
      </c>
      <c r="B22">
        <f>0.293071*1000/1000000000</f>
        <v>2.9307100000000004E-7</v>
      </c>
      <c r="C22" t="s">
        <v>20</v>
      </c>
    </row>
    <row r="24" spans="1:9">
      <c r="A24" t="s">
        <v>11</v>
      </c>
      <c r="B24" s="13">
        <v>4.2</v>
      </c>
      <c r="C24" t="s">
        <v>35</v>
      </c>
    </row>
    <row r="25" spans="1:9">
      <c r="A25" t="s">
        <v>10</v>
      </c>
      <c r="B25">
        <f>B24*B22</f>
        <v>1.2308982000000002E-6</v>
      </c>
    </row>
    <row r="26" spans="1:9">
      <c r="D26"/>
    </row>
    <row r="27" spans="1:9">
      <c r="A27" t="s">
        <v>21</v>
      </c>
      <c r="B27">
        <v>870</v>
      </c>
      <c r="C27">
        <v>870</v>
      </c>
      <c r="D27">
        <v>870</v>
      </c>
      <c r="E27">
        <v>870</v>
      </c>
      <c r="F27">
        <v>980</v>
      </c>
      <c r="G27">
        <v>980</v>
      </c>
      <c r="H27">
        <v>980</v>
      </c>
      <c r="I27">
        <v>980</v>
      </c>
    </row>
    <row r="28" spans="1:9">
      <c r="A28" t="s">
        <v>22</v>
      </c>
      <c r="B28">
        <v>2230</v>
      </c>
      <c r="C28">
        <v>2120</v>
      </c>
      <c r="D28">
        <v>2010</v>
      </c>
      <c r="E28">
        <v>1910</v>
      </c>
      <c r="F28">
        <v>2450</v>
      </c>
      <c r="G28">
        <v>2330</v>
      </c>
      <c r="H28">
        <v>2210</v>
      </c>
      <c r="I28">
        <v>2100</v>
      </c>
    </row>
    <row r="29" spans="1:9">
      <c r="A29" t="s">
        <v>23</v>
      </c>
      <c r="B29" s="20">
        <f t="shared" ref="B29:I29" si="4">(B27+B28)/2</f>
        <v>1550</v>
      </c>
      <c r="C29" s="20">
        <f t="shared" si="4"/>
        <v>1495</v>
      </c>
      <c r="D29" s="20">
        <f t="shared" si="4"/>
        <v>1440</v>
      </c>
      <c r="E29" s="20">
        <f t="shared" si="4"/>
        <v>1390</v>
      </c>
      <c r="F29" s="20">
        <f t="shared" si="4"/>
        <v>1715</v>
      </c>
      <c r="G29" s="20">
        <f t="shared" si="4"/>
        <v>1655</v>
      </c>
      <c r="H29" s="20">
        <f t="shared" si="4"/>
        <v>1595</v>
      </c>
      <c r="I29" s="20">
        <f t="shared" si="4"/>
        <v>1540</v>
      </c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4501D-19B7-4691-BA23-7E08A93455F9}">
  <dimension ref="A1:F20"/>
  <sheetViews>
    <sheetView workbookViewId="0">
      <selection activeCell="C4" sqref="C4:C9"/>
    </sheetView>
  </sheetViews>
  <sheetFormatPr defaultRowHeight="15"/>
  <cols>
    <col min="2" max="2" width="12" bestFit="1" customWidth="1"/>
    <col min="4" max="4" width="9.140625" style="2"/>
  </cols>
  <sheetData>
    <row r="1" spans="1:6">
      <c r="A1" t="s">
        <v>0</v>
      </c>
    </row>
    <row r="2" spans="1:6">
      <c r="A2" s="1" t="s">
        <v>1</v>
      </c>
      <c r="B2" s="13" t="s">
        <v>2</v>
      </c>
      <c r="C2" s="3" t="s">
        <v>3</v>
      </c>
      <c r="D2" s="28" t="s">
        <v>4</v>
      </c>
      <c r="E2" s="3" t="s">
        <v>5</v>
      </c>
      <c r="F2" s="3"/>
    </row>
    <row r="3" spans="1:6">
      <c r="A3" s="25">
        <v>2022</v>
      </c>
      <c r="B3" s="23">
        <v>8060</v>
      </c>
      <c r="C3" s="16">
        <f t="shared" ref="C3:C9" si="0">B3/$B$16/1000000</f>
        <v>1351.525542337017</v>
      </c>
      <c r="D3" s="4">
        <v>80</v>
      </c>
      <c r="E3" s="16">
        <f t="shared" ref="E3:E9" si="1">D3/$B$16/1000000</f>
        <v>13.414645581508854</v>
      </c>
      <c r="F3" s="17"/>
    </row>
    <row r="4" spans="1:6">
      <c r="A4" s="11">
        <v>2025</v>
      </c>
      <c r="B4" s="23">
        <v>8060</v>
      </c>
      <c r="C4" s="16">
        <f t="shared" si="0"/>
        <v>1351.525542337017</v>
      </c>
      <c r="D4" s="4">
        <v>80</v>
      </c>
      <c r="E4" s="16">
        <f t="shared" si="1"/>
        <v>13.414645581508854</v>
      </c>
      <c r="F4" s="17"/>
    </row>
    <row r="5" spans="1:6">
      <c r="A5">
        <v>2030</v>
      </c>
      <c r="B5" s="23">
        <v>8060</v>
      </c>
      <c r="C5" s="16">
        <f t="shared" si="0"/>
        <v>1351.525542337017</v>
      </c>
      <c r="D5" s="4">
        <v>80</v>
      </c>
      <c r="E5" s="16">
        <f t="shared" si="1"/>
        <v>13.414645581508854</v>
      </c>
      <c r="F5" s="17"/>
    </row>
    <row r="6" spans="1:6">
      <c r="A6">
        <v>2035</v>
      </c>
      <c r="B6" s="23">
        <v>8060</v>
      </c>
      <c r="C6" s="16">
        <f t="shared" si="0"/>
        <v>1351.525542337017</v>
      </c>
      <c r="D6" s="4">
        <v>80</v>
      </c>
      <c r="E6" s="16">
        <f t="shared" si="1"/>
        <v>13.414645581508854</v>
      </c>
      <c r="F6" s="17"/>
    </row>
    <row r="7" spans="1:6">
      <c r="A7">
        <v>2040</v>
      </c>
      <c r="B7" s="23">
        <v>8060</v>
      </c>
      <c r="C7" s="16">
        <f t="shared" si="0"/>
        <v>1351.525542337017</v>
      </c>
      <c r="D7" s="4">
        <v>80</v>
      </c>
      <c r="E7" s="16">
        <f t="shared" si="1"/>
        <v>13.414645581508854</v>
      </c>
      <c r="F7" s="17"/>
    </row>
    <row r="8" spans="1:6">
      <c r="A8">
        <v>2045</v>
      </c>
      <c r="B8" s="23">
        <v>8060</v>
      </c>
      <c r="C8" s="16">
        <f t="shared" si="0"/>
        <v>1351.525542337017</v>
      </c>
      <c r="D8" s="4">
        <v>80</v>
      </c>
      <c r="E8" s="16">
        <f t="shared" si="1"/>
        <v>13.414645581508854</v>
      </c>
      <c r="F8" s="17"/>
    </row>
    <row r="9" spans="1:6">
      <c r="A9">
        <v>2050</v>
      </c>
      <c r="B9" s="23">
        <v>8060</v>
      </c>
      <c r="C9" s="16">
        <f t="shared" si="0"/>
        <v>1351.525542337017</v>
      </c>
      <c r="D9" s="4">
        <v>80</v>
      </c>
      <c r="E9" s="16">
        <f t="shared" si="1"/>
        <v>13.414645581508854</v>
      </c>
      <c r="F9" s="17"/>
    </row>
    <row r="12" spans="1:6">
      <c r="A12" t="s">
        <v>17</v>
      </c>
      <c r="B12">
        <v>3.41214</v>
      </c>
      <c r="C12" t="s">
        <v>18</v>
      </c>
    </row>
    <row r="13" spans="1:6">
      <c r="A13" t="s">
        <v>19</v>
      </c>
      <c r="B13">
        <f>0.293071*1000/1000000000</f>
        <v>2.9307100000000004E-7</v>
      </c>
      <c r="C13" t="s">
        <v>20</v>
      </c>
    </row>
    <row r="15" spans="1:6">
      <c r="A15" t="s">
        <v>34</v>
      </c>
      <c r="B15" s="31">
        <f>E16/1000</f>
        <v>5.9636312800000004</v>
      </c>
      <c r="C15" t="s">
        <v>36</v>
      </c>
    </row>
    <row r="16" spans="1:6">
      <c r="A16" t="s">
        <v>10</v>
      </c>
      <c r="B16" s="7">
        <f>B15/1000000</f>
        <v>5.9636312800000008E-6</v>
      </c>
      <c r="C16" s="30">
        <v>4.3850230000000003</v>
      </c>
      <c r="D16" s="2" t="s">
        <v>37</v>
      </c>
      <c r="E16">
        <f>C16*1360</f>
        <v>5963.6312800000005</v>
      </c>
      <c r="F16" t="s">
        <v>38</v>
      </c>
    </row>
    <row r="17" spans="1:5">
      <c r="D17"/>
    </row>
    <row r="18" spans="1:5">
      <c r="A18" t="s">
        <v>21</v>
      </c>
      <c r="B18">
        <v>15</v>
      </c>
      <c r="D18"/>
    </row>
    <row r="19" spans="1:5">
      <c r="A19" t="s">
        <v>22</v>
      </c>
      <c r="B19">
        <v>30</v>
      </c>
      <c r="D19"/>
    </row>
    <row r="20" spans="1:5">
      <c r="A20" t="s">
        <v>23</v>
      </c>
      <c r="B20" s="20">
        <f>(B18+B19)/2</f>
        <v>22.5</v>
      </c>
      <c r="C20" s="20">
        <f>(C18+C19)/2</f>
        <v>0</v>
      </c>
      <c r="D20" s="20">
        <f>(D18+D19)/2</f>
        <v>0</v>
      </c>
      <c r="E20" s="20">
        <f>(E18+E19)/2</f>
        <v>0</v>
      </c>
    </row>
  </sheetData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5BFA9-62FE-44BF-B6C9-85281A11B00E}">
  <dimension ref="A1:F29"/>
  <sheetViews>
    <sheetView workbookViewId="0">
      <selection activeCell="C4" sqref="C4:C9"/>
    </sheetView>
  </sheetViews>
  <sheetFormatPr defaultRowHeight="15"/>
  <cols>
    <col min="2" max="2" width="12" bestFit="1" customWidth="1"/>
    <col min="4" max="4" width="9.140625" style="2"/>
  </cols>
  <sheetData>
    <row r="1" spans="1:6">
      <c r="A1" t="s">
        <v>0</v>
      </c>
    </row>
    <row r="2" spans="1:6">
      <c r="A2" s="1" t="s">
        <v>1</v>
      </c>
      <c r="B2" t="s">
        <v>2</v>
      </c>
      <c r="C2" s="3" t="s">
        <v>3</v>
      </c>
      <c r="D2" s="2" t="s">
        <v>4</v>
      </c>
      <c r="E2" s="3" t="s">
        <v>5</v>
      </c>
      <c r="F2" s="3" t="s">
        <v>33</v>
      </c>
    </row>
    <row r="3" spans="1:6">
      <c r="A3" s="25">
        <v>2022</v>
      </c>
      <c r="B3">
        <v>2115</v>
      </c>
      <c r="C3" s="16">
        <f t="shared" ref="C3:C9" si="0">B3/$B$25/1000000</f>
        <v>36.264730060352562</v>
      </c>
      <c r="D3" s="4">
        <v>90</v>
      </c>
      <c r="E3" s="16">
        <f t="shared" ref="E3:E9" si="1">D3/$B$25/1000000</f>
        <v>1.5431800025681943</v>
      </c>
      <c r="F3" s="17">
        <v>0.92</v>
      </c>
    </row>
    <row r="4" spans="1:6">
      <c r="A4" s="11">
        <v>2025</v>
      </c>
      <c r="B4">
        <v>2115</v>
      </c>
      <c r="C4" s="16">
        <f t="shared" si="0"/>
        <v>36.264730060352562</v>
      </c>
      <c r="D4" s="4">
        <v>90</v>
      </c>
      <c r="E4" s="16">
        <f t="shared" si="1"/>
        <v>1.5431800025681943</v>
      </c>
      <c r="F4" s="17">
        <v>0.92</v>
      </c>
    </row>
    <row r="5" spans="1:6">
      <c r="A5">
        <v>2030</v>
      </c>
      <c r="B5">
        <v>2115</v>
      </c>
      <c r="C5" s="16">
        <f t="shared" si="0"/>
        <v>36.264730060352562</v>
      </c>
      <c r="D5" s="4">
        <v>90</v>
      </c>
      <c r="E5" s="16">
        <f t="shared" si="1"/>
        <v>1.5431800025681943</v>
      </c>
      <c r="F5" s="17">
        <v>0.92</v>
      </c>
    </row>
    <row r="6" spans="1:6">
      <c r="A6">
        <v>2035</v>
      </c>
      <c r="B6">
        <v>2115</v>
      </c>
      <c r="C6" s="16">
        <f t="shared" si="0"/>
        <v>36.264730060352562</v>
      </c>
      <c r="D6" s="4">
        <v>90</v>
      </c>
      <c r="E6" s="16">
        <f t="shared" si="1"/>
        <v>1.5431800025681943</v>
      </c>
      <c r="F6" s="17">
        <v>0.92</v>
      </c>
    </row>
    <row r="7" spans="1:6">
      <c r="A7">
        <v>2040</v>
      </c>
      <c r="B7">
        <v>2115</v>
      </c>
      <c r="C7" s="16">
        <f t="shared" si="0"/>
        <v>36.264730060352562</v>
      </c>
      <c r="D7" s="4">
        <v>90</v>
      </c>
      <c r="E7" s="16">
        <f t="shared" si="1"/>
        <v>1.5431800025681943</v>
      </c>
      <c r="F7" s="17">
        <v>0.92</v>
      </c>
    </row>
    <row r="8" spans="1:6">
      <c r="A8">
        <v>2045</v>
      </c>
      <c r="B8">
        <v>2115</v>
      </c>
      <c r="C8" s="16">
        <f t="shared" si="0"/>
        <v>36.264730060352562</v>
      </c>
      <c r="D8" s="4">
        <v>90</v>
      </c>
      <c r="E8" s="16">
        <f t="shared" si="1"/>
        <v>1.5431800025681943</v>
      </c>
      <c r="F8" s="17">
        <v>0.92</v>
      </c>
    </row>
    <row r="9" spans="1:6">
      <c r="A9">
        <v>2050</v>
      </c>
      <c r="B9">
        <v>2115</v>
      </c>
      <c r="C9" s="16">
        <f t="shared" si="0"/>
        <v>36.264730060352562</v>
      </c>
      <c r="D9" s="4">
        <v>90</v>
      </c>
      <c r="E9" s="16">
        <f t="shared" si="1"/>
        <v>1.5431800025681943</v>
      </c>
      <c r="F9" s="17">
        <v>0.92</v>
      </c>
    </row>
    <row r="11" spans="1:6">
      <c r="A11" t="s">
        <v>8</v>
      </c>
    </row>
    <row r="12" spans="1:6">
      <c r="A12" s="1" t="s">
        <v>1</v>
      </c>
      <c r="B12" t="s">
        <v>2</v>
      </c>
      <c r="C12" s="3" t="s">
        <v>3</v>
      </c>
      <c r="D12" s="2" t="s">
        <v>4</v>
      </c>
      <c r="E12" s="3" t="s">
        <v>5</v>
      </c>
      <c r="F12" s="3" t="s">
        <v>33</v>
      </c>
    </row>
    <row r="13" spans="1:6">
      <c r="A13" s="25">
        <v>2022</v>
      </c>
      <c r="B13">
        <v>2160</v>
      </c>
      <c r="C13" s="16">
        <f t="shared" ref="C13:C19" si="2">B13/$B$25/1000000</f>
        <v>37.036320061636665</v>
      </c>
      <c r="D13" s="4">
        <v>90</v>
      </c>
      <c r="E13" s="16">
        <f t="shared" ref="E13:E19" si="3">D13/$B$25/1000000</f>
        <v>1.5431800025681943</v>
      </c>
      <c r="F13" s="17">
        <v>0.97</v>
      </c>
    </row>
    <row r="14" spans="1:6">
      <c r="A14" s="11">
        <v>2025</v>
      </c>
      <c r="B14">
        <v>2160</v>
      </c>
      <c r="C14" s="16">
        <f t="shared" si="2"/>
        <v>37.036320061636665</v>
      </c>
      <c r="D14" s="4">
        <v>90</v>
      </c>
      <c r="E14" s="16">
        <f t="shared" si="3"/>
        <v>1.5431800025681943</v>
      </c>
      <c r="F14" s="17">
        <v>0.97</v>
      </c>
    </row>
    <row r="15" spans="1:6">
      <c r="A15">
        <v>2030</v>
      </c>
      <c r="B15">
        <v>2160</v>
      </c>
      <c r="C15" s="16">
        <f t="shared" si="2"/>
        <v>37.036320061636665</v>
      </c>
      <c r="D15" s="4">
        <v>90</v>
      </c>
      <c r="E15" s="16">
        <f t="shared" si="3"/>
        <v>1.5431800025681943</v>
      </c>
      <c r="F15" s="17">
        <v>0.97</v>
      </c>
    </row>
    <row r="16" spans="1:6">
      <c r="A16">
        <v>2035</v>
      </c>
      <c r="B16">
        <v>2160</v>
      </c>
      <c r="C16" s="16">
        <f t="shared" si="2"/>
        <v>37.036320061636665</v>
      </c>
      <c r="D16" s="4">
        <v>90</v>
      </c>
      <c r="E16" s="16">
        <f t="shared" si="3"/>
        <v>1.5431800025681943</v>
      </c>
      <c r="F16" s="17">
        <v>0.97</v>
      </c>
    </row>
    <row r="17" spans="1:6">
      <c r="A17">
        <v>2040</v>
      </c>
      <c r="B17">
        <v>2160</v>
      </c>
      <c r="C17" s="16">
        <f t="shared" si="2"/>
        <v>37.036320061636665</v>
      </c>
      <c r="D17" s="4">
        <v>90</v>
      </c>
      <c r="E17" s="16">
        <f t="shared" si="3"/>
        <v>1.5431800025681943</v>
      </c>
      <c r="F17" s="17">
        <v>0.97</v>
      </c>
    </row>
    <row r="18" spans="1:6">
      <c r="A18">
        <v>2045</v>
      </c>
      <c r="B18">
        <v>2160</v>
      </c>
      <c r="C18" s="16">
        <f t="shared" si="2"/>
        <v>37.036320061636665</v>
      </c>
      <c r="D18" s="4">
        <v>90</v>
      </c>
      <c r="E18" s="16">
        <f t="shared" si="3"/>
        <v>1.5431800025681943</v>
      </c>
      <c r="F18" s="17">
        <v>0.97</v>
      </c>
    </row>
    <row r="19" spans="1:6">
      <c r="A19">
        <v>2050</v>
      </c>
      <c r="B19">
        <v>2160</v>
      </c>
      <c r="C19" s="16">
        <f t="shared" si="2"/>
        <v>37.036320061636665</v>
      </c>
      <c r="D19" s="4">
        <v>90</v>
      </c>
      <c r="E19" s="16">
        <f t="shared" si="3"/>
        <v>1.5431800025681943</v>
      </c>
      <c r="F19" s="17">
        <v>0.97</v>
      </c>
    </row>
    <row r="21" spans="1:6">
      <c r="A21" t="s">
        <v>17</v>
      </c>
      <c r="B21">
        <v>3.41214</v>
      </c>
      <c r="C21" t="s">
        <v>18</v>
      </c>
    </row>
    <row r="22" spans="1:6">
      <c r="A22" t="s">
        <v>19</v>
      </c>
      <c r="B22">
        <f>0.293071*1000/1000000000</f>
        <v>2.9307100000000004E-7</v>
      </c>
      <c r="C22" t="s">
        <v>20</v>
      </c>
    </row>
    <row r="24" spans="1:6">
      <c r="A24" t="s">
        <v>11</v>
      </c>
      <c r="B24" s="13">
        <v>199</v>
      </c>
    </row>
    <row r="25" spans="1:6">
      <c r="A25" t="s">
        <v>10</v>
      </c>
      <c r="B25">
        <f>B24*B22</f>
        <v>5.8321129000000006E-5</v>
      </c>
    </row>
    <row r="26" spans="1:6">
      <c r="D26"/>
    </row>
    <row r="27" spans="1:6">
      <c r="A27" t="s">
        <v>21</v>
      </c>
      <c r="B27">
        <v>1070</v>
      </c>
      <c r="C27">
        <v>1090</v>
      </c>
      <c r="D27"/>
    </row>
    <row r="28" spans="1:6">
      <c r="A28" t="s">
        <v>22</v>
      </c>
      <c r="B28">
        <v>3160</v>
      </c>
      <c r="C28">
        <v>3230</v>
      </c>
      <c r="D28"/>
    </row>
    <row r="29" spans="1:6">
      <c r="A29" t="s">
        <v>23</v>
      </c>
      <c r="B29" s="20">
        <f>(B27+B28)/2</f>
        <v>2115</v>
      </c>
      <c r="C29" s="20">
        <f>(C27+C28)/2</f>
        <v>2160</v>
      </c>
      <c r="D29" s="20">
        <f>(D27+D28)/2</f>
        <v>0</v>
      </c>
      <c r="E29" s="20">
        <f>(E27+E28)/2</f>
        <v>0</v>
      </c>
    </row>
  </sheetData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22D57-616F-4C8D-AF42-C601545EA521}">
  <dimension ref="A1:F20"/>
  <sheetViews>
    <sheetView tabSelected="1" workbookViewId="0">
      <selection activeCell="L13" sqref="L13"/>
    </sheetView>
  </sheetViews>
  <sheetFormatPr defaultRowHeight="15"/>
  <cols>
    <col min="2" max="2" width="12" bestFit="1" customWidth="1"/>
    <col min="4" max="4" width="9.140625" style="2"/>
  </cols>
  <sheetData>
    <row r="1" spans="1:6">
      <c r="A1" t="s">
        <v>0</v>
      </c>
    </row>
    <row r="2" spans="1:6">
      <c r="A2" s="1" t="s">
        <v>1</v>
      </c>
      <c r="B2" s="13" t="s">
        <v>2</v>
      </c>
      <c r="C2" s="3" t="s">
        <v>3</v>
      </c>
      <c r="D2" s="28" t="s">
        <v>4</v>
      </c>
      <c r="E2" s="3" t="s">
        <v>5</v>
      </c>
      <c r="F2" s="29" t="s">
        <v>33</v>
      </c>
    </row>
    <row r="3" spans="1:6">
      <c r="A3" s="25">
        <v>2022</v>
      </c>
      <c r="B3">
        <v>520</v>
      </c>
      <c r="C3" s="16">
        <f t="shared" ref="C3:C9" si="0">B3/$B$16/1000000</f>
        <v>148.57142857142856</v>
      </c>
      <c r="D3" s="4">
        <v>90</v>
      </c>
      <c r="E3" s="16">
        <f t="shared" ref="E3:E9" si="1">D3/$B$16/1000000</f>
        <v>25.714285714285715</v>
      </c>
      <c r="F3" s="17">
        <v>0.96</v>
      </c>
    </row>
    <row r="4" spans="1:6">
      <c r="A4" s="11">
        <v>2025</v>
      </c>
      <c r="B4">
        <v>520</v>
      </c>
      <c r="C4" s="16">
        <f t="shared" si="0"/>
        <v>148.57142857142856</v>
      </c>
      <c r="D4" s="4">
        <v>90</v>
      </c>
      <c r="E4" s="16">
        <f t="shared" si="1"/>
        <v>25.714285714285715</v>
      </c>
      <c r="F4" s="17">
        <v>0.96</v>
      </c>
    </row>
    <row r="5" spans="1:6">
      <c r="A5">
        <v>2030</v>
      </c>
      <c r="B5">
        <v>520</v>
      </c>
      <c r="C5" s="16">
        <f t="shared" si="0"/>
        <v>148.57142857142856</v>
      </c>
      <c r="D5" s="4">
        <v>90</v>
      </c>
      <c r="E5" s="16">
        <f t="shared" si="1"/>
        <v>25.714285714285715</v>
      </c>
      <c r="F5" s="17">
        <v>0.96</v>
      </c>
    </row>
    <row r="6" spans="1:6">
      <c r="A6">
        <v>2035</v>
      </c>
      <c r="B6">
        <v>520</v>
      </c>
      <c r="C6" s="16">
        <f t="shared" si="0"/>
        <v>148.57142857142856</v>
      </c>
      <c r="D6" s="4">
        <v>90</v>
      </c>
      <c r="E6" s="16">
        <f t="shared" si="1"/>
        <v>25.714285714285715</v>
      </c>
      <c r="F6" s="17">
        <v>0.96</v>
      </c>
    </row>
    <row r="7" spans="1:6">
      <c r="A7">
        <v>2040</v>
      </c>
      <c r="B7">
        <v>520</v>
      </c>
      <c r="C7" s="16">
        <f t="shared" si="0"/>
        <v>148.57142857142856</v>
      </c>
      <c r="D7" s="4">
        <v>90</v>
      </c>
      <c r="E7" s="16">
        <f t="shared" si="1"/>
        <v>25.714285714285715</v>
      </c>
      <c r="F7" s="17">
        <v>0.96</v>
      </c>
    </row>
    <row r="8" spans="1:6">
      <c r="A8">
        <v>2045</v>
      </c>
      <c r="B8">
        <v>520</v>
      </c>
      <c r="C8" s="16">
        <f t="shared" si="0"/>
        <v>148.57142857142856</v>
      </c>
      <c r="D8" s="4">
        <v>90</v>
      </c>
      <c r="E8" s="16">
        <f t="shared" si="1"/>
        <v>25.714285714285715</v>
      </c>
      <c r="F8" s="17">
        <v>0.96</v>
      </c>
    </row>
    <row r="9" spans="1:6">
      <c r="A9">
        <v>2050</v>
      </c>
      <c r="B9">
        <v>520</v>
      </c>
      <c r="C9" s="16">
        <f t="shared" si="0"/>
        <v>148.57142857142856</v>
      </c>
      <c r="D9" s="4">
        <v>90</v>
      </c>
      <c r="E9" s="16">
        <f t="shared" si="1"/>
        <v>25.714285714285715</v>
      </c>
      <c r="F9" s="17">
        <v>0.96</v>
      </c>
    </row>
    <row r="11" spans="1:6">
      <c r="A11" t="s">
        <v>39</v>
      </c>
    </row>
    <row r="12" spans="1:6">
      <c r="A12" t="s">
        <v>17</v>
      </c>
      <c r="B12">
        <v>3.41214</v>
      </c>
      <c r="C12" t="s">
        <v>18</v>
      </c>
    </row>
    <row r="13" spans="1:6">
      <c r="A13" t="s">
        <v>19</v>
      </c>
      <c r="B13">
        <f>0.293071*1000/1000000000</f>
        <v>2.9307100000000004E-7</v>
      </c>
      <c r="C13" t="s">
        <v>20</v>
      </c>
    </row>
    <row r="15" spans="1:6">
      <c r="A15" t="s">
        <v>34</v>
      </c>
      <c r="B15" s="13">
        <v>3.5</v>
      </c>
    </row>
    <row r="16" spans="1:6">
      <c r="A16" t="s">
        <v>10</v>
      </c>
      <c r="B16" s="7">
        <f>B15/1000000</f>
        <v>3.4999999999999999E-6</v>
      </c>
    </row>
    <row r="17" spans="1:5">
      <c r="D17"/>
    </row>
    <row r="18" spans="1:5">
      <c r="A18" t="s">
        <v>21</v>
      </c>
      <c r="D18"/>
    </row>
    <row r="19" spans="1:5">
      <c r="A19" t="s">
        <v>22</v>
      </c>
      <c r="D19"/>
    </row>
    <row r="20" spans="1:5">
      <c r="A20" t="s">
        <v>23</v>
      </c>
      <c r="B20" s="20">
        <f>(B18+B19)/2</f>
        <v>0</v>
      </c>
      <c r="C20" s="20">
        <f>(C18+C19)/2</f>
        <v>0</v>
      </c>
      <c r="D20" s="20">
        <f>(D18+D19)/2</f>
        <v>0</v>
      </c>
      <c r="E20" s="20">
        <f>(E18+E19)/2</f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Davey Elder</dc:creator>
  <cp:keywords/>
  <dc:description/>
  <cp:lastModifiedBy>noah.ermers@ucalgary.ca</cp:lastModifiedBy>
  <cp:revision/>
  <dcterms:created xsi:type="dcterms:W3CDTF">2023-07-10T20:26:17Z</dcterms:created>
  <dcterms:modified xsi:type="dcterms:W3CDTF">2023-10-16T18:38:43Z</dcterms:modified>
  <cp:category/>
  <cp:contentStatus/>
</cp:coreProperties>
</file>