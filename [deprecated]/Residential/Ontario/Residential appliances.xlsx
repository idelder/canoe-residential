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oronto-my.sharepoint.com/personal/daniel_posen_utoronto_ca/Documents/Academia/File Sharing/Alliance Mission - TEMOA/Full team - TEMOA/TEMOA model and data/Data sources/Buildings/Residential/Ontario/"/>
    </mc:Choice>
  </mc:AlternateContent>
  <xr:revisionPtr revIDLastSave="15" documentId="13_ncr:40009_{CB50274A-2E39-44CA-935F-6467133D2C25}" xr6:coauthVersionLast="47" xr6:coauthVersionMax="47" xr10:uidLastSave="{1096CE5C-D188-49DA-BC62-4305916BF7AE}"/>
  <bookViews>
    <workbookView xWindow="-120" yWindow="-120" windowWidth="29040" windowHeight="15840" xr2:uid="{00000000-000D-0000-FFFF-FFFF00000000}"/>
  </bookViews>
  <sheets>
    <sheet name="Demand" sheetId="4" r:id="rId1"/>
    <sheet name="Existing capacities" sheetId="6" r:id="rId2"/>
    <sheet name="Munit.yr per PJ" sheetId="3" r:id="rId3"/>
    <sheet name="Rel. eff." sheetId="5" r:id="rId4"/>
    <sheet name="stock" sheetId="1" r:id="rId5"/>
    <sheet name="secondary energy" sheetId="2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2" i="3"/>
  <c r="C2" i="4" a="1"/>
  <c r="C2" i="4" s="1"/>
  <c r="E2" i="3" l="1"/>
  <c r="F2" i="3"/>
  <c r="G2" i="3"/>
  <c r="E3" i="3"/>
  <c r="F3" i="3"/>
  <c r="G3" i="3"/>
  <c r="E4" i="3"/>
  <c r="F4" i="3"/>
  <c r="G4" i="3"/>
  <c r="E5" i="3"/>
  <c r="F5" i="3"/>
  <c r="G5" i="3"/>
  <c r="E6" i="3"/>
  <c r="F6" i="3"/>
  <c r="G6" i="3"/>
  <c r="E7" i="3"/>
  <c r="F7" i="3"/>
  <c r="G7" i="3"/>
  <c r="E8" i="3"/>
  <c r="F8" i="3"/>
  <c r="G8" i="3"/>
  <c r="H3" i="3"/>
  <c r="H4" i="3"/>
  <c r="H5" i="3"/>
  <c r="H6" i="3"/>
  <c r="H7" i="3"/>
  <c r="H8" i="3"/>
  <c r="H2" i="3"/>
  <c r="D3" i="6"/>
  <c r="D4" i="6"/>
  <c r="D5" i="6"/>
  <c r="D6" i="6"/>
  <c r="D7" i="6"/>
  <c r="D8" i="6"/>
  <c r="D9" i="6"/>
  <c r="D10" i="6"/>
  <c r="D2" i="6"/>
  <c r="C7" i="6" l="1"/>
  <c r="C9" i="6"/>
  <c r="C3" i="6"/>
  <c r="C4" i="6"/>
  <c r="C5" i="6"/>
  <c r="C6" i="6"/>
  <c r="C8" i="6"/>
  <c r="C10" i="6"/>
  <c r="C2" i="6"/>
  <c r="Q37" i="3" a="1"/>
  <c r="Q37" i="3" s="1"/>
  <c r="B49" i="5"/>
  <c r="C49" i="5"/>
  <c r="D49" i="5"/>
  <c r="E49" i="5"/>
  <c r="F49" i="5"/>
  <c r="H49" i="5"/>
  <c r="I49" i="5"/>
  <c r="J49" i="5"/>
  <c r="K49" i="5"/>
  <c r="L49" i="5"/>
  <c r="M49" i="5"/>
  <c r="H50" i="5"/>
  <c r="I50" i="5"/>
  <c r="J50" i="5"/>
  <c r="K50" i="5"/>
  <c r="L50" i="5"/>
  <c r="M50" i="5"/>
  <c r="G49" i="5"/>
  <c r="H48" i="5"/>
  <c r="I48" i="5"/>
  <c r="J48" i="5"/>
  <c r="K48" i="5"/>
  <c r="L48" i="5"/>
  <c r="M48" i="5"/>
  <c r="B47" i="5"/>
  <c r="C47" i="5"/>
  <c r="D47" i="5"/>
  <c r="E47" i="5"/>
  <c r="F47" i="5"/>
  <c r="H47" i="5"/>
  <c r="I47" i="5"/>
  <c r="J47" i="5"/>
  <c r="K47" i="5"/>
  <c r="L47" i="5"/>
  <c r="M47" i="5"/>
  <c r="G47" i="5"/>
  <c r="H46" i="5"/>
  <c r="I46" i="5"/>
  <c r="J46" i="5"/>
  <c r="K46" i="5"/>
  <c r="L46" i="5"/>
  <c r="M46" i="5"/>
  <c r="F45" i="5"/>
  <c r="E45" i="5"/>
  <c r="D45" i="5"/>
  <c r="C45" i="5"/>
  <c r="B45" i="5"/>
  <c r="H45" i="5"/>
  <c r="I45" i="5"/>
  <c r="J45" i="5"/>
  <c r="K45" i="5"/>
  <c r="L45" i="5"/>
  <c r="M45" i="5"/>
  <c r="G45" i="5"/>
  <c r="B44" i="5"/>
  <c r="C44" i="5"/>
  <c r="D44" i="5"/>
  <c r="E44" i="5"/>
  <c r="F44" i="5"/>
  <c r="H44" i="5"/>
  <c r="I44" i="5"/>
  <c r="J44" i="5"/>
  <c r="K44" i="5"/>
  <c r="L44" i="5"/>
  <c r="M44" i="5"/>
  <c r="G44" i="5"/>
  <c r="G29" i="5"/>
  <c r="H29" i="5"/>
  <c r="I29" i="5"/>
  <c r="J29" i="5"/>
  <c r="K29" i="5"/>
  <c r="L29" i="5"/>
  <c r="M29" i="5"/>
  <c r="B29" i="5"/>
  <c r="C29" i="5"/>
  <c r="D29" i="5"/>
  <c r="E29" i="5"/>
  <c r="F29" i="5"/>
  <c r="H30" i="5"/>
  <c r="I30" i="5"/>
  <c r="J30" i="5"/>
  <c r="K30" i="5"/>
  <c r="L30" i="5"/>
  <c r="M30" i="5"/>
  <c r="B31" i="5"/>
  <c r="C31" i="5"/>
  <c r="D31" i="5"/>
  <c r="E31" i="5"/>
  <c r="F31" i="5"/>
  <c r="G31" i="5"/>
  <c r="H31" i="5"/>
  <c r="I31" i="5"/>
  <c r="J31" i="5"/>
  <c r="K31" i="5"/>
  <c r="L31" i="5"/>
  <c r="M31" i="5"/>
  <c r="H32" i="5"/>
  <c r="I32" i="5"/>
  <c r="J32" i="5"/>
  <c r="K32" i="5"/>
  <c r="L32" i="5"/>
  <c r="M32" i="5"/>
  <c r="H43" i="5"/>
  <c r="I43" i="5"/>
  <c r="J43" i="5"/>
  <c r="K43" i="5"/>
  <c r="L43" i="5"/>
  <c r="M43" i="5"/>
  <c r="B42" i="5"/>
  <c r="C42" i="5"/>
  <c r="D42" i="5"/>
  <c r="E42" i="5"/>
  <c r="F42" i="5"/>
  <c r="H42" i="5"/>
  <c r="I42" i="5"/>
  <c r="J42" i="5"/>
  <c r="K42" i="5"/>
  <c r="L42" i="5"/>
  <c r="M42" i="5"/>
  <c r="G42" i="5"/>
  <c r="B38" i="5"/>
  <c r="C38" i="5"/>
  <c r="D38" i="5"/>
  <c r="E38" i="5"/>
  <c r="F38" i="5"/>
  <c r="G38" i="5"/>
  <c r="H38" i="5"/>
  <c r="I38" i="5"/>
  <c r="J38" i="5"/>
  <c r="K38" i="5"/>
  <c r="L38" i="5"/>
  <c r="M38" i="5"/>
  <c r="H39" i="5"/>
  <c r="I39" i="5"/>
  <c r="J39" i="5"/>
  <c r="K39" i="5"/>
  <c r="L39" i="5"/>
  <c r="M39" i="5"/>
  <c r="B35" i="5"/>
  <c r="C35" i="5"/>
  <c r="D35" i="5"/>
  <c r="E35" i="5"/>
  <c r="F35" i="5"/>
  <c r="G35" i="5"/>
  <c r="H35" i="5"/>
  <c r="I35" i="5"/>
  <c r="J35" i="5"/>
  <c r="K35" i="5"/>
  <c r="L35" i="5"/>
  <c r="M35" i="5"/>
  <c r="H36" i="5"/>
  <c r="I36" i="5"/>
  <c r="J36" i="5"/>
  <c r="K36" i="5"/>
  <c r="L36" i="5"/>
  <c r="M36" i="5"/>
  <c r="M34" i="5"/>
  <c r="L34" i="5"/>
  <c r="K34" i="5"/>
  <c r="J34" i="5"/>
  <c r="I34" i="5"/>
  <c r="H34" i="5"/>
  <c r="M33" i="5"/>
  <c r="L33" i="5"/>
  <c r="K33" i="5"/>
  <c r="J33" i="5"/>
  <c r="I33" i="5"/>
  <c r="H33" i="5"/>
  <c r="G33" i="5"/>
  <c r="F33" i="5"/>
  <c r="E33" i="5"/>
  <c r="D33" i="5"/>
  <c r="C33" i="5"/>
  <c r="B33" i="5"/>
  <c r="B18" i="5"/>
  <c r="C18" i="5"/>
  <c r="D18" i="5"/>
  <c r="E18" i="5"/>
  <c r="F18" i="5"/>
  <c r="G18" i="5"/>
  <c r="H18" i="5"/>
  <c r="I18" i="5"/>
  <c r="J18" i="5"/>
  <c r="K18" i="5"/>
  <c r="L18" i="5"/>
  <c r="M18" i="5"/>
  <c r="B11" i="5" l="1"/>
  <c r="C11" i="5"/>
  <c r="D11" i="5"/>
  <c r="E11" i="5"/>
  <c r="F11" i="5"/>
  <c r="I41" i="5"/>
  <c r="J41" i="5"/>
  <c r="K41" i="5"/>
  <c r="L41" i="5"/>
  <c r="H11" i="5"/>
  <c r="I11" i="5"/>
  <c r="J11" i="5"/>
  <c r="K11" i="5"/>
  <c r="L11" i="5"/>
  <c r="M11" i="5"/>
  <c r="G11" i="5"/>
  <c r="H40" i="5" s="1"/>
  <c r="H7" i="5"/>
  <c r="J2" i="3"/>
  <c r="F37" i="5" l="1"/>
  <c r="C37" i="5"/>
  <c r="E37" i="5"/>
  <c r="F40" i="5"/>
  <c r="D37" i="5"/>
  <c r="E40" i="5"/>
  <c r="L37" i="5"/>
  <c r="B40" i="5"/>
  <c r="D40" i="5"/>
  <c r="J37" i="5"/>
  <c r="K37" i="5"/>
  <c r="I37" i="5"/>
  <c r="B37" i="5"/>
  <c r="M37" i="5"/>
  <c r="G40" i="5"/>
  <c r="C40" i="5"/>
  <c r="M41" i="5"/>
  <c r="J7" i="3"/>
  <c r="K8" i="3"/>
  <c r="J8" i="3"/>
  <c r="E33" i="3" s="1" a="1"/>
  <c r="J6" i="3"/>
  <c r="E25" i="3" s="1" a="1"/>
  <c r="J5" i="3"/>
  <c r="O4" i="3"/>
  <c r="J4" i="3"/>
  <c r="L3" i="3"/>
  <c r="J3" i="3"/>
  <c r="H37" i="5"/>
  <c r="H41" i="5"/>
  <c r="M40" i="5"/>
  <c r="L40" i="5"/>
  <c r="K40" i="5"/>
  <c r="J40" i="5"/>
  <c r="G37" i="5"/>
  <c r="I40" i="5"/>
  <c r="N2" i="3"/>
  <c r="K3" i="3"/>
  <c r="M2" i="3"/>
  <c r="L2" i="3"/>
  <c r="O2" i="3"/>
  <c r="K2" i="3"/>
  <c r="E11" i="3" s="1" a="1"/>
  <c r="L7" i="3"/>
  <c r="K7" i="3"/>
  <c r="O6" i="3"/>
  <c r="N6" i="3"/>
  <c r="O7" i="3"/>
  <c r="N7" i="3"/>
  <c r="M7" i="3"/>
  <c r="L5" i="3"/>
  <c r="M4" i="3"/>
  <c r="L6" i="3"/>
  <c r="O5" i="3"/>
  <c r="L4" i="3"/>
  <c r="K6" i="3"/>
  <c r="N4" i="3"/>
  <c r="O8" i="3"/>
  <c r="K4" i="3"/>
  <c r="M6" i="3"/>
  <c r="M5" i="3"/>
  <c r="K5" i="3"/>
  <c r="N8" i="3"/>
  <c r="O3" i="3"/>
  <c r="N5" i="3"/>
  <c r="M8" i="3"/>
  <c r="N3" i="3"/>
  <c r="L8" i="3"/>
  <c r="M3" i="3"/>
  <c r="E33" i="3" l="1"/>
  <c r="E58" i="3" s="1"/>
  <c r="I58" i="3"/>
  <c r="G58" i="3"/>
  <c r="F58" i="3"/>
  <c r="H58" i="3"/>
  <c r="K58" i="3"/>
  <c r="O58" i="3"/>
  <c r="N58" i="3"/>
  <c r="M58" i="3"/>
  <c r="L58" i="3"/>
  <c r="J58" i="3"/>
  <c r="E31" i="3" a="1"/>
  <c r="E32" i="3" a="1"/>
  <c r="E25" i="3"/>
  <c r="K50" i="3"/>
  <c r="O50" i="3"/>
  <c r="J50" i="3"/>
  <c r="N50" i="3"/>
  <c r="M50" i="3"/>
  <c r="L50" i="3"/>
  <c r="F36" i="3"/>
  <c r="H36" i="3"/>
  <c r="I36" i="3"/>
  <c r="G36" i="3"/>
  <c r="E16" i="3" a="1"/>
  <c r="E27" i="3" a="1"/>
  <c r="E11" i="3"/>
  <c r="E36" i="3" s="1"/>
  <c r="M36" i="3"/>
  <c r="E17" i="3" a="1"/>
  <c r="E17" i="3" s="1"/>
  <c r="E42" i="3" s="1"/>
  <c r="E19" i="3" a="1"/>
  <c r="E19" i="3" s="1"/>
  <c r="E14" i="3" a="1"/>
  <c r="E12" i="3" a="1"/>
  <c r="E28" i="3" a="1"/>
  <c r="E15" i="3" a="1"/>
  <c r="E20" i="3" a="1"/>
  <c r="E18" i="3" a="1"/>
  <c r="L36" i="3"/>
  <c r="E21" i="3" a="1"/>
  <c r="E24" i="3" a="1"/>
  <c r="E23" i="3" a="1"/>
  <c r="E13" i="3" a="1"/>
  <c r="E22" i="3" a="1"/>
  <c r="O36" i="3"/>
  <c r="E30" i="3" a="1"/>
  <c r="E26" i="3" a="1"/>
  <c r="E26" i="3" s="1"/>
  <c r="N36" i="3"/>
  <c r="E29" i="3" a="1"/>
  <c r="K36" i="3"/>
  <c r="J36" i="3"/>
  <c r="F45" i="3" l="1"/>
  <c r="H45" i="3"/>
  <c r="G45" i="3"/>
  <c r="I45" i="3"/>
  <c r="L45" i="3"/>
  <c r="J45" i="3"/>
  <c r="M45" i="3"/>
  <c r="O45" i="3"/>
  <c r="N45" i="3"/>
  <c r="K45" i="3"/>
  <c r="E32" i="3"/>
  <c r="J57" i="3"/>
  <c r="N57" i="3"/>
  <c r="L57" i="3"/>
  <c r="O57" i="3"/>
  <c r="M57" i="3"/>
  <c r="K57" i="3"/>
  <c r="G47" i="3"/>
  <c r="F47" i="3"/>
  <c r="H47" i="3"/>
  <c r="I47" i="3"/>
  <c r="M47" i="3"/>
  <c r="L47" i="3"/>
  <c r="K47" i="3"/>
  <c r="J47" i="3"/>
  <c r="O47" i="3"/>
  <c r="N47" i="3"/>
  <c r="F40" i="3"/>
  <c r="G40" i="3"/>
  <c r="H40" i="3"/>
  <c r="I40" i="3"/>
  <c r="M40" i="3"/>
  <c r="L40" i="3"/>
  <c r="K40" i="3"/>
  <c r="O40" i="3"/>
  <c r="N40" i="3"/>
  <c r="J40" i="3"/>
  <c r="F54" i="3"/>
  <c r="G54" i="3"/>
  <c r="H54" i="3"/>
  <c r="I54" i="3"/>
  <c r="J54" i="3"/>
  <c r="L54" i="3"/>
  <c r="K54" i="3"/>
  <c r="O54" i="3"/>
  <c r="M54" i="3"/>
  <c r="N54" i="3"/>
  <c r="M48" i="3"/>
  <c r="K48" i="3"/>
  <c r="O48" i="3"/>
  <c r="J48" i="3"/>
  <c r="L48" i="3"/>
  <c r="N48" i="3"/>
  <c r="N43" i="3"/>
  <c r="M43" i="3"/>
  <c r="K43" i="3"/>
  <c r="O43" i="3"/>
  <c r="J43" i="3"/>
  <c r="L43" i="3"/>
  <c r="G42" i="3"/>
  <c r="F42" i="3"/>
  <c r="H42" i="3"/>
  <c r="I42" i="3"/>
  <c r="M42" i="3"/>
  <c r="L42" i="3"/>
  <c r="K42" i="3"/>
  <c r="J42" i="3"/>
  <c r="O42" i="3"/>
  <c r="N42" i="3"/>
  <c r="O41" i="3"/>
  <c r="N41" i="3"/>
  <c r="M41" i="3"/>
  <c r="L41" i="3"/>
  <c r="K41" i="3"/>
  <c r="J41" i="3"/>
  <c r="J46" i="3"/>
  <c r="O46" i="3"/>
  <c r="K46" i="3"/>
  <c r="N46" i="3"/>
  <c r="M46" i="3"/>
  <c r="L46" i="3"/>
  <c r="E28" i="3"/>
  <c r="L53" i="3"/>
  <c r="J53" i="3"/>
  <c r="M53" i="3"/>
  <c r="O53" i="3"/>
  <c r="K53" i="3"/>
  <c r="N53" i="3"/>
  <c r="K55" i="3"/>
  <c r="O55" i="3"/>
  <c r="N55" i="3"/>
  <c r="J55" i="3"/>
  <c r="M55" i="3"/>
  <c r="L55" i="3"/>
  <c r="F49" i="3"/>
  <c r="G49" i="3"/>
  <c r="H49" i="3"/>
  <c r="I49" i="3"/>
  <c r="M49" i="3"/>
  <c r="K49" i="3"/>
  <c r="L49" i="3"/>
  <c r="J49" i="3"/>
  <c r="O49" i="3"/>
  <c r="N49" i="3"/>
  <c r="O39" i="3"/>
  <c r="N39" i="3"/>
  <c r="M39" i="3"/>
  <c r="L39" i="3"/>
  <c r="K39" i="3"/>
  <c r="J39" i="3"/>
  <c r="H38" i="3"/>
  <c r="G38" i="3"/>
  <c r="I38" i="3"/>
  <c r="F38" i="3"/>
  <c r="M38" i="3"/>
  <c r="L38" i="3"/>
  <c r="K38" i="3"/>
  <c r="J38" i="3"/>
  <c r="N38" i="3"/>
  <c r="O38" i="3"/>
  <c r="E31" i="3"/>
  <c r="E56" i="3" s="1"/>
  <c r="G56" i="3"/>
  <c r="H56" i="3"/>
  <c r="I56" i="3"/>
  <c r="F56" i="3"/>
  <c r="M56" i="3"/>
  <c r="N56" i="3"/>
  <c r="L56" i="3"/>
  <c r="K56" i="3"/>
  <c r="O56" i="3"/>
  <c r="J56" i="3"/>
  <c r="G52" i="3"/>
  <c r="H52" i="3"/>
  <c r="I52" i="3"/>
  <c r="F52" i="3"/>
  <c r="M52" i="3"/>
  <c r="L52" i="3"/>
  <c r="O52" i="3"/>
  <c r="K52" i="3"/>
  <c r="J52" i="3"/>
  <c r="N52" i="3"/>
  <c r="E12" i="3"/>
  <c r="N37" i="3"/>
  <c r="K37" i="3"/>
  <c r="L37" i="3"/>
  <c r="J37" i="3"/>
  <c r="O37" i="3"/>
  <c r="M37" i="3"/>
  <c r="E16" i="3"/>
  <c r="E15" i="3"/>
  <c r="E40" i="3" s="1"/>
  <c r="E27" i="3"/>
  <c r="E52" i="3" s="1"/>
  <c r="E20" i="3"/>
  <c r="E45" i="3" s="1"/>
  <c r="E14" i="3"/>
  <c r="E18" i="3"/>
  <c r="E13" i="3"/>
  <c r="E38" i="3" s="1"/>
  <c r="E24" i="3"/>
  <c r="E49" i="3" s="1"/>
  <c r="E23" i="3"/>
  <c r="E21" i="3"/>
  <c r="E22" i="3"/>
  <c r="E47" i="3" s="1"/>
  <c r="E29" i="3"/>
  <c r="E54" i="3" s="1"/>
  <c r="E30" i="3"/>
  <c r="R36" i="3" l="1" a="1"/>
  <c r="R36" i="3" s="1"/>
  <c r="C8" i="4"/>
  <c r="H8" i="4"/>
  <c r="G8" i="4"/>
  <c r="F8" i="4"/>
  <c r="E8" i="4"/>
  <c r="I8" i="4"/>
  <c r="D8" i="4"/>
  <c r="C4" i="4"/>
  <c r="H4" i="4"/>
  <c r="G4" i="4"/>
  <c r="F4" i="4"/>
  <c r="E4" i="4"/>
  <c r="I4" i="4"/>
  <c r="D4" i="4"/>
  <c r="C7" i="4"/>
  <c r="H7" i="4"/>
  <c r="G7" i="4"/>
  <c r="F7" i="4"/>
  <c r="E7" i="4"/>
  <c r="I7" i="4"/>
  <c r="D7" i="4"/>
  <c r="C6" i="4"/>
  <c r="H6" i="4"/>
  <c r="G6" i="4"/>
  <c r="F6" i="4"/>
  <c r="E6" i="4"/>
  <c r="I6" i="4"/>
  <c r="D6" i="4"/>
  <c r="C5" i="4"/>
  <c r="H5" i="4"/>
  <c r="G5" i="4"/>
  <c r="F5" i="4"/>
  <c r="E5" i="4"/>
  <c r="I5" i="4"/>
  <c r="D5" i="4"/>
  <c r="H3" i="4"/>
  <c r="G3" i="4"/>
  <c r="F3" i="4"/>
  <c r="E3" i="4"/>
  <c r="D3" i="4"/>
  <c r="I3" i="4"/>
  <c r="C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<sst xmlns="http://schemas.openxmlformats.org/spreadsheetml/2006/main" count="285" uniqueCount="90">
  <si>
    <t>Appliance</t>
  </si>
  <si>
    <t>Pop. Index</t>
  </si>
  <si>
    <t>Refrigerator</t>
  </si>
  <si>
    <t>Freezer</t>
  </si>
  <si>
    <t>Dishwasher</t>
  </si>
  <si>
    <t>Clothes Washer</t>
  </si>
  <si>
    <t>Clothes Dryer</t>
  </si>
  <si>
    <t>Range</t>
  </si>
  <si>
    <t>Other Appliances</t>
  </si>
  <si>
    <t>Units</t>
  </si>
  <si>
    <t>Munit.yr</t>
  </si>
  <si>
    <t>Arbitrary annual capacity factor</t>
  </si>
  <si>
    <t>Technology</t>
  </si>
  <si>
    <t>Model tech</t>
  </si>
  <si>
    <t>Existing capacity (Munits) 2020</t>
  </si>
  <si>
    <t>Lifetimes</t>
  </si>
  <si>
    <t>R_APP_REF_MEF</t>
  </si>
  <si>
    <t>R_APP_FRZ_MEF</t>
  </si>
  <si>
    <t>R_APP_DSH_MEF</t>
  </si>
  <si>
    <t>R_APP_CWSH_MEF</t>
  </si>
  <si>
    <t>Clothes Dryer (electric)</t>
  </si>
  <si>
    <t>R_APP_CDRY_ELC_MEF</t>
  </si>
  <si>
    <t>Clothes Dryer (natural gas)</t>
  </si>
  <si>
    <t>R_APP_CDRY_NGS_MEF</t>
  </si>
  <si>
    <t>Range (electric)</t>
  </si>
  <si>
    <t>R_APP_COOK_RNG_ELC_MEF</t>
  </si>
  <si>
    <t>Range (natural gas)</t>
  </si>
  <si>
    <t>R_APP_COOK_RNG_NGS_MEF</t>
  </si>
  <si>
    <r>
      <t>Other Appliances</t>
    </r>
    <r>
      <rPr>
        <vertAlign val="superscript"/>
        <sz val="10"/>
        <rFont val="Arial"/>
        <family val="2"/>
      </rPr>
      <t>1</t>
    </r>
  </si>
  <si>
    <t>R_APP_OTH_APP</t>
  </si>
  <si>
    <t>(inf)</t>
  </si>
  <si>
    <t>Population index</t>
  </si>
  <si>
    <t>Appliance Munits/PJ (bigger better)</t>
  </si>
  <si>
    <t>Cost invest</t>
  </si>
  <si>
    <t>Cost fixed</t>
  </si>
  <si>
    <t>Life</t>
  </si>
  <si>
    <t>These are not vintages. They are periods of existing capacity</t>
  </si>
  <si>
    <t>R_APP_REF_HEF</t>
  </si>
  <si>
    <t>R_APP_FRZ_HEF</t>
  </si>
  <si>
    <t>R_APP_DSH_HEF</t>
  </si>
  <si>
    <t>R_APP_CWSH_HEF</t>
  </si>
  <si>
    <t>R_APP_CDRY_EXS</t>
  </si>
  <si>
    <t>R_APP_CDRY_ELC_HEF</t>
  </si>
  <si>
    <t>R_APP_CDRY_LPG_MEF</t>
  </si>
  <si>
    <t>R_APP_CDRY_LPG_HEF</t>
  </si>
  <si>
    <t>R_APP_CDRY_NGS_HEF</t>
  </si>
  <si>
    <t>R_APP_COOK_RNG_EXS</t>
  </si>
  <si>
    <t>R_APP_COOK_RNG_ELC_HEF</t>
  </si>
  <si>
    <t>R_APP_COOK_RNG_LPG_MEF</t>
  </si>
  <si>
    <t>R_APP_COOK_RNG_LPG_HEF</t>
  </si>
  <si>
    <t>R_APP_COOK_RNG_NGS_HEF</t>
  </si>
  <si>
    <t>Adjusted for relative efficiency</t>
  </si>
  <si>
    <t>Absolute efficiency / energy consumption (AEO updated assumptions 2023)</t>
  </si>
  <si>
    <t>2022 (EXS)</t>
  </si>
  <si>
    <t>units</t>
  </si>
  <si>
    <t>kWh/y</t>
  </si>
  <si>
    <t>ft3cycle/kWh</t>
  </si>
  <si>
    <t>lb/kWh</t>
  </si>
  <si>
    <t>kBTU/y</t>
  </si>
  <si>
    <r>
      <t xml:space="preserve">Relative to </t>
    </r>
    <r>
      <rPr>
        <b/>
        <u/>
        <sz val="11"/>
        <color theme="1"/>
        <rFont val="Calibri"/>
        <family val="2"/>
        <scheme val="minor"/>
      </rPr>
      <t>base year and tech</t>
    </r>
  </si>
  <si>
    <t>Munit.yr/PJ</t>
  </si>
  <si>
    <t>Residential Sector</t>
  </si>
  <si>
    <t>Ontario</t>
  </si>
  <si>
    <t>Table 31: Appliance Stock by Appliance Type and Energy Source</t>
  </si>
  <si>
    <t>Appliance Stock by Appliance Type (thousands)</t>
  </si>
  <si>
    <t>Appliances per Household by Appliance Type</t>
  </si>
  <si>
    <t>Stock of Electric Appliances (thousands)</t>
  </si>
  <si>
    <t>Electric Appliances per Household by Appliance Type</t>
  </si>
  <si>
    <t>Stock of Natural Gas Appliances (thousands)</t>
  </si>
  <si>
    <t>Natural Gas Appliances per Household by Appliance Type</t>
  </si>
  <si>
    <t>1) “Other Appliances”  includes small appliances such as microwaves, televisions, cable boxes, video cassette recorders, stereo systems and computers.</t>
  </si>
  <si>
    <r>
      <t>Ontario</t>
    </r>
    <r>
      <rPr>
        <b/>
        <vertAlign val="superscript"/>
        <sz val="12"/>
        <rFont val="Arial"/>
        <family val="2"/>
      </rPr>
      <t>1</t>
    </r>
  </si>
  <si>
    <t>Table 13: Appliance Secondary Energy Use and GHG Emissions by Appliance Type</t>
  </si>
  <si>
    <t>Total Appliance Energy Use (PJ)</t>
  </si>
  <si>
    <t>Energy Use by Appliance Type (PJ)</t>
  </si>
  <si>
    <r>
      <t>Dishwasher</t>
    </r>
    <r>
      <rPr>
        <vertAlign val="superscript"/>
        <sz val="10"/>
        <rFont val="Arial"/>
        <family val="2"/>
      </rPr>
      <t>2</t>
    </r>
  </si>
  <si>
    <r>
      <t>Clothes Washer</t>
    </r>
    <r>
      <rPr>
        <vertAlign val="superscript"/>
        <sz val="10"/>
        <rFont val="Arial"/>
        <family val="2"/>
      </rPr>
      <t>2</t>
    </r>
  </si>
  <si>
    <r>
      <t>Other Appliances</t>
    </r>
    <r>
      <rPr>
        <vertAlign val="superscript"/>
        <sz val="10"/>
        <rFont val="Arial"/>
        <family val="2"/>
      </rPr>
      <t>3</t>
    </r>
  </si>
  <si>
    <t>Shares (%)</t>
  </si>
  <si>
    <t>Activity</t>
  </si>
  <si>
    <t>Total Households (thousands)</t>
  </si>
  <si>
    <t>Energy Intensity (GJ/household)</t>
  </si>
  <si>
    <r>
      <t xml:space="preserve">Total Appliance GHG Emissions </t>
    </r>
    <r>
      <rPr>
        <b/>
        <u/>
        <sz val="10"/>
        <rFont val="Arial"/>
        <family val="2"/>
      </rPr>
      <t>Excluding</t>
    </r>
    <r>
      <rPr>
        <b/>
        <sz val="10"/>
        <rFont val="Arial"/>
        <family val="2"/>
      </rPr>
      <t xml:space="preserve"> Electricity (Mt of 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e)</t>
    </r>
  </si>
  <si>
    <r>
      <t>GHG Emissions by Appliance Type (Mt of CO</t>
    </r>
    <r>
      <rPr>
        <b/>
        <i/>
        <vertAlign val="subscript"/>
        <sz val="10"/>
        <rFont val="Arial"/>
        <family val="2"/>
      </rPr>
      <t>2</t>
    </r>
    <r>
      <rPr>
        <b/>
        <i/>
        <sz val="10"/>
        <rFont val="Arial"/>
        <family val="2"/>
      </rPr>
      <t>e)</t>
    </r>
  </si>
  <si>
    <t>GHG Intensity (tonne/TJ)</t>
  </si>
  <si>
    <t>Heat Loss by Appliance Type (PJ)</t>
  </si>
  <si>
    <r>
      <t>Other</t>
    </r>
    <r>
      <rPr>
        <vertAlign val="superscript"/>
        <sz val="10"/>
        <rFont val="Arial"/>
        <family val="2"/>
      </rPr>
      <t>3</t>
    </r>
  </si>
  <si>
    <r>
      <t xml:space="preserve">1) Data on GHG emissions are presented </t>
    </r>
    <r>
      <rPr>
        <u/>
        <sz val="10"/>
        <rFont val="Arial"/>
        <family val="2"/>
      </rPr>
      <t>excluding</t>
    </r>
    <r>
      <rPr>
        <sz val="10"/>
        <rFont val="Arial"/>
        <family val="2"/>
      </rPr>
      <t xml:space="preserve"> GHG emissions related to electricity production only.</t>
    </r>
  </si>
  <si>
    <r>
      <t xml:space="preserve">2) </t>
    </r>
    <r>
      <rPr>
        <u/>
        <sz val="10"/>
        <rFont val="Arial"/>
        <family val="2"/>
      </rPr>
      <t>Excludes</t>
    </r>
    <r>
      <rPr>
        <sz val="10"/>
        <rFont val="Arial"/>
        <family val="2"/>
      </rPr>
      <t xml:space="preserve"> hot water requirements.</t>
    </r>
  </si>
  <si>
    <t>3) “Other Appliances”  includes small appliances such as microwaves, televisions, cable boxes, video cassette recorders, stereo systems and computers.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</si>
</sst>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0.0"/>
    <numFmt numFmtId="165" formatCode="#,##0.0"/>
    <numFmt numFmtId="166" formatCode="0.00000"/>
    <numFmt numFmtId="167" formatCode="0.000"/>
    <numFmt numFmtId="168" formatCode="#,##0.000"/>
    <numFmt numFmtId="169" formatCode="0.0000"/>
  </numFmts>
  <fonts count="20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2"/>
      <name val="Arial"/>
      <family val="2"/>
    </font>
    <font>
      <b/>
      <i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u/>
      <sz val="10"/>
      <name val="Arial"/>
      <family val="2"/>
    </font>
    <font>
      <b/>
      <vertAlign val="subscript"/>
      <sz val="10"/>
      <name val="Arial"/>
      <family val="2"/>
    </font>
    <font>
      <b/>
      <i/>
      <vertAlign val="subscript"/>
      <sz val="10"/>
      <name val="Arial"/>
      <family val="2"/>
    </font>
    <font>
      <u/>
      <sz val="10"/>
      <name val="Arial"/>
      <family val="2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7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0" fontId="5" fillId="0" borderId="1" xfId="0" applyFont="1" applyBorder="1"/>
    <xf numFmtId="0" fontId="5" fillId="0" borderId="0" xfId="0" applyFont="1" applyAlignment="1">
      <alignment horizontal="left" wrapText="1"/>
    </xf>
    <xf numFmtId="0" fontId="1" fillId="0" borderId="0" xfId="0" applyFont="1" applyAlignment="1">
      <alignment horizontal="left" indent="2"/>
    </xf>
    <xf numFmtId="3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left" indent="2"/>
    </xf>
    <xf numFmtId="2" fontId="0" fillId="0" borderId="0" xfId="0" applyNumberFormat="1"/>
    <xf numFmtId="0" fontId="5" fillId="0" borderId="0" xfId="0" applyFont="1" applyAlignment="1">
      <alignment horizontal="left"/>
    </xf>
    <xf numFmtId="164" fontId="0" fillId="0" borderId="0" xfId="0" applyNumberFormat="1"/>
    <xf numFmtId="0" fontId="1" fillId="0" borderId="0" xfId="0" applyFont="1"/>
    <xf numFmtId="0" fontId="5" fillId="0" borderId="0" xfId="0" applyFont="1"/>
    <xf numFmtId="164" fontId="5" fillId="0" borderId="0" xfId="0" applyNumberFormat="1" applyFont="1"/>
    <xf numFmtId="0" fontId="10" fillId="0" borderId="0" xfId="0" applyFont="1" applyAlignment="1">
      <alignment horizontal="left" indent="1"/>
    </xf>
    <xf numFmtId="2" fontId="11" fillId="0" borderId="0" xfId="0" applyNumberFormat="1" applyFont="1" applyAlignment="1">
      <alignment horizontal="left"/>
    </xf>
    <xf numFmtId="1" fontId="12" fillId="0" borderId="0" xfId="0" applyNumberFormat="1" applyFont="1" applyAlignment="1">
      <alignment horizontal="left" indent="2"/>
    </xf>
    <xf numFmtId="165" fontId="0" fillId="0" borderId="0" xfId="0" applyNumberFormat="1"/>
    <xf numFmtId="166" fontId="0" fillId="0" borderId="0" xfId="0" applyNumberFormat="1"/>
    <xf numFmtId="0" fontId="8" fillId="0" borderId="0" xfId="0" applyFont="1"/>
    <xf numFmtId="0" fontId="8" fillId="0" borderId="2" xfId="0" applyFont="1" applyBorder="1"/>
    <xf numFmtId="0" fontId="0" fillId="0" borderId="3" xfId="0" applyBorder="1"/>
    <xf numFmtId="0" fontId="8" fillId="0" borderId="4" xfId="0" applyFont="1" applyBorder="1"/>
    <xf numFmtId="0" fontId="8" fillId="0" borderId="3" xfId="0" applyFont="1" applyBorder="1"/>
    <xf numFmtId="0" fontId="0" fillId="0" borderId="6" xfId="0" applyBorder="1"/>
    <xf numFmtId="2" fontId="0" fillId="0" borderId="5" xfId="0" applyNumberFormat="1" applyBorder="1"/>
    <xf numFmtId="2" fontId="8" fillId="0" borderId="0" xfId="0" applyNumberFormat="1" applyFont="1"/>
    <xf numFmtId="2" fontId="8" fillId="0" borderId="2" xfId="0" applyNumberFormat="1" applyFont="1" applyBorder="1"/>
    <xf numFmtId="2" fontId="8" fillId="0" borderId="8" xfId="0" applyNumberFormat="1" applyFont="1" applyBorder="1"/>
    <xf numFmtId="2" fontId="8" fillId="0" borderId="9" xfId="0" applyNumberFormat="1" applyFont="1" applyBorder="1"/>
    <xf numFmtId="164" fontId="8" fillId="0" borderId="0" xfId="0" applyNumberFormat="1" applyFont="1"/>
    <xf numFmtId="1" fontId="8" fillId="0" borderId="2" xfId="0" applyNumberFormat="1" applyFont="1" applyBorder="1"/>
    <xf numFmtId="1" fontId="8" fillId="0" borderId="0" xfId="0" applyNumberFormat="1" applyFont="1"/>
    <xf numFmtId="2" fontId="17" fillId="0" borderId="0" xfId="0" applyNumberFormat="1" applyFont="1"/>
    <xf numFmtId="3" fontId="8" fillId="0" borderId="0" xfId="0" applyNumberFormat="1" applyFont="1"/>
    <xf numFmtId="165" fontId="8" fillId="0" borderId="0" xfId="0" applyNumberFormat="1" applyFont="1"/>
    <xf numFmtId="2" fontId="18" fillId="0" borderId="0" xfId="0" applyNumberFormat="1" applyFont="1"/>
    <xf numFmtId="0" fontId="17" fillId="0" borderId="0" xfId="0" applyFont="1"/>
    <xf numFmtId="1" fontId="17" fillId="0" borderId="0" xfId="0" applyNumberFormat="1" applyFont="1"/>
    <xf numFmtId="0" fontId="8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9" fillId="0" borderId="0" xfId="0" applyFont="1"/>
    <xf numFmtId="2" fontId="19" fillId="0" borderId="0" xfId="0" applyNumberFormat="1" applyFont="1"/>
    <xf numFmtId="167" fontId="8" fillId="0" borderId="7" xfId="0" applyNumberFormat="1" applyFont="1" applyBorder="1" applyAlignment="1">
      <alignment horizontal="center" vertical="center"/>
    </xf>
    <xf numFmtId="2" fontId="0" fillId="0" borderId="0" xfId="1" applyNumberFormat="1" applyFont="1"/>
    <xf numFmtId="2" fontId="0" fillId="0" borderId="0" xfId="1" applyNumberFormat="1" applyFont="1" applyBorder="1"/>
    <xf numFmtId="2" fontId="0" fillId="0" borderId="0" xfId="1" applyNumberFormat="1" applyFont="1" applyFill="1" applyBorder="1"/>
    <xf numFmtId="166" fontId="19" fillId="0" borderId="0" xfId="0" applyNumberFormat="1" applyFont="1"/>
    <xf numFmtId="2" fontId="8" fillId="0" borderId="3" xfId="1" applyNumberFormat="1" applyFont="1" applyBorder="1"/>
    <xf numFmtId="0" fontId="0" fillId="0" borderId="11" xfId="0" applyBorder="1"/>
    <xf numFmtId="2" fontId="0" fillId="0" borderId="11" xfId="0" applyNumberFormat="1" applyBorder="1" applyAlignment="1">
      <alignment horizontal="right"/>
    </xf>
    <xf numFmtId="2" fontId="0" fillId="0" borderId="6" xfId="0" applyNumberFormat="1" applyBorder="1"/>
    <xf numFmtId="0" fontId="0" fillId="0" borderId="12" xfId="0" applyBorder="1"/>
    <xf numFmtId="2" fontId="0" fillId="0" borderId="12" xfId="0" applyNumberFormat="1" applyBorder="1" applyAlignment="1">
      <alignment horizontal="right"/>
    </xf>
    <xf numFmtId="168" fontId="0" fillId="0" borderId="0" xfId="0" applyNumberFormat="1"/>
    <xf numFmtId="169" fontId="0" fillId="0" borderId="0" xfId="0" applyNumberFormat="1"/>
    <xf numFmtId="167" fontId="0" fillId="0" borderId="0" xfId="0" applyNumberFormat="1"/>
    <xf numFmtId="0" fontId="0" fillId="0" borderId="2" xfId="0" applyBorder="1"/>
    <xf numFmtId="9" fontId="0" fillId="0" borderId="0" xfId="2" applyFont="1" applyBorder="1"/>
    <xf numFmtId="9" fontId="0" fillId="0" borderId="0" xfId="0" applyNumberFormat="1" applyAlignment="1">
      <alignment horizontal="right"/>
    </xf>
    <xf numFmtId="167" fontId="0" fillId="0" borderId="0" xfId="2" applyNumberFormat="1" applyFont="1"/>
    <xf numFmtId="167" fontId="8" fillId="0" borderId="2" xfId="2" applyNumberFormat="1" applyFont="1" applyBorder="1"/>
    <xf numFmtId="167" fontId="8" fillId="0" borderId="0" xfId="2" applyNumberFormat="1" applyFont="1"/>
    <xf numFmtId="167" fontId="17" fillId="0" borderId="0" xfId="0" applyNumberFormat="1" applyFont="1"/>
    <xf numFmtId="169" fontId="0" fillId="0" borderId="5" xfId="0" applyNumberFormat="1" applyBorder="1"/>
    <xf numFmtId="169" fontId="0" fillId="0" borderId="3" xfId="0" applyNumberFormat="1" applyBorder="1"/>
    <xf numFmtId="169" fontId="0" fillId="0" borderId="6" xfId="0" applyNumberForma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VFP%20PROJECTS\NEUD\IMAGES\CANADA_BLK.JPG" TargetMode="External"/><Relationship Id="rId1" Type="http://schemas.openxmlformats.org/officeDocument/2006/relationships/image" Target="file:///C:\VFP%20PROJECTS\NEUD\IMAGES\NRCANLOGOEN.JPG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file:///C:\VFP%20PROJECTS\NEUD\IMAGES\CANADA_BLK.JPG" TargetMode="External"/><Relationship Id="rId1" Type="http://schemas.openxmlformats.org/officeDocument/2006/relationships/image" Target="file:///C:\VFP%20PROJECTS\NEUD\IMAGES\NRCANLOGOEN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542925</xdr:colOff>
      <xdr:row>1</xdr:row>
      <xdr:rowOff>0</xdr:rowOff>
    </xdr:to>
    <xdr:pic>
      <xdr:nvPicPr>
        <xdr:cNvPr id="1025" name="Picture 2">
          <a:extLst>
            <a:ext uri="{FF2B5EF4-FFF2-40B4-BE49-F238E27FC236}">
              <a16:creationId xmlns:a16="http://schemas.microsoft.com/office/drawing/2014/main" id="{D92652BB-0B09-4250-87EB-74C4E4A53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03872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219075</xdr:colOff>
      <xdr:row>0</xdr:row>
      <xdr:rowOff>152400</xdr:rowOff>
    </xdr:from>
    <xdr:to>
      <xdr:col>23</xdr:col>
      <xdr:colOff>66675</xdr:colOff>
      <xdr:row>0</xdr:row>
      <xdr:rowOff>419100</xdr:rowOff>
    </xdr:to>
    <xdr:pic>
      <xdr:nvPicPr>
        <xdr:cNvPr id="1026" name="Picture 4">
          <a:extLst>
            <a:ext uri="{FF2B5EF4-FFF2-40B4-BE49-F238E27FC236}">
              <a16:creationId xmlns:a16="http://schemas.microsoft.com/office/drawing/2014/main" id="{8CB9646E-C46E-4028-BCC5-E962C34DC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11650" y="152400"/>
          <a:ext cx="1066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161925</xdr:colOff>
      <xdr:row>3</xdr:row>
      <xdr:rowOff>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2D183285-A583-472A-B649-A431C2C2B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03872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447675</xdr:colOff>
      <xdr:row>0</xdr:row>
      <xdr:rowOff>152400</xdr:rowOff>
    </xdr:from>
    <xdr:to>
      <xdr:col>23</xdr:col>
      <xdr:colOff>285750</xdr:colOff>
      <xdr:row>2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945AE41-2208-4786-AC7C-FA343B3C6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5450" y="152400"/>
          <a:ext cx="105727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"/>
  <sheetViews>
    <sheetView tabSelected="1" workbookViewId="0">
      <selection activeCell="J11" sqref="J11"/>
    </sheetView>
  </sheetViews>
  <sheetFormatPr defaultRowHeight="15"/>
  <cols>
    <col min="1" max="1" width="17.28515625" customWidth="1"/>
    <col min="2" max="2" width="13.7109375" customWidth="1"/>
    <col min="3" max="9" width="17.28515625" customWidth="1"/>
  </cols>
  <sheetData>
    <row r="1" spans="1:11">
      <c r="A1" s="27" t="s">
        <v>0</v>
      </c>
      <c r="B1" s="30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30" t="s">
        <v>8</v>
      </c>
    </row>
    <row r="2" spans="1:11">
      <c r="A2">
        <v>2020</v>
      </c>
      <c r="B2" s="31">
        <v>1</v>
      </c>
      <c r="C2" s="61" cm="1">
        <f t="array" ref="C2:I2">TRANSPOSE(stock!W14:W20/1000)*C11</f>
        <v>0.35927720000000002</v>
      </c>
      <c r="D2" s="61">
        <v>0.1410247</v>
      </c>
      <c r="E2" s="61">
        <v>0.16061144999999999</v>
      </c>
      <c r="F2" s="61">
        <v>0.21237645000000002</v>
      </c>
      <c r="G2" s="61">
        <v>0.22007665000000004</v>
      </c>
      <c r="H2" s="61">
        <v>0.27981089999999997</v>
      </c>
      <c r="I2" s="70">
        <v>5.4073461000000007</v>
      </c>
      <c r="J2" s="14"/>
      <c r="K2" s="14"/>
    </row>
    <row r="3" spans="1:11">
      <c r="A3">
        <v>2025</v>
      </c>
      <c r="B3" s="31">
        <v>1.0754975104614131</v>
      </c>
      <c r="C3" s="61">
        <f t="shared" ref="C3:I8" si="0">C$2*$B3/$B$2</f>
        <v>0.38640173416554724</v>
      </c>
      <c r="D3" s="61">
        <f t="shared" si="0"/>
        <v>0.15167171376356764</v>
      </c>
      <c r="E3" s="61">
        <f t="shared" si="0"/>
        <v>0.17273721462659772</v>
      </c>
      <c r="F3" s="61">
        <f t="shared" si="0"/>
        <v>0.22841034325563278</v>
      </c>
      <c r="G3" s="61">
        <f t="shared" si="0"/>
        <v>0.23669188918568779</v>
      </c>
      <c r="H3" s="61">
        <f t="shared" si="0"/>
        <v>0.30093592634996735</v>
      </c>
      <c r="I3" s="70">
        <f t="shared" si="0"/>
        <v>5.815587268753232</v>
      </c>
      <c r="J3" s="14"/>
      <c r="K3" s="14"/>
    </row>
    <row r="4" spans="1:11">
      <c r="A4">
        <v>2030</v>
      </c>
      <c r="B4" s="31">
        <v>1.1465282341694178</v>
      </c>
      <c r="C4" s="61">
        <f t="shared" si="0"/>
        <v>0.41192145369333277</v>
      </c>
      <c r="D4" s="61">
        <f t="shared" si="0"/>
        <v>0.16168880026527191</v>
      </c>
      <c r="E4" s="61">
        <f t="shared" si="0"/>
        <v>0.18414556215588973</v>
      </c>
      <c r="F4" s="61">
        <f t="shared" si="0"/>
        <v>0.24349559619766969</v>
      </c>
      <c r="G4" s="61">
        <f t="shared" si="0"/>
        <v>0.25232409290642105</v>
      </c>
      <c r="H4" s="61">
        <f t="shared" si="0"/>
        <v>0.32081109707835553</v>
      </c>
      <c r="I4" s="70">
        <f t="shared" si="0"/>
        <v>6.1996749755758893</v>
      </c>
      <c r="J4" s="14"/>
      <c r="K4" s="14"/>
    </row>
    <row r="5" spans="1:11">
      <c r="A5">
        <v>2035</v>
      </c>
      <c r="B5" s="31">
        <v>1.2092335594772301</v>
      </c>
      <c r="C5" s="61">
        <f t="shared" si="0"/>
        <v>0.4344500473950127</v>
      </c>
      <c r="D5" s="61">
        <f t="shared" si="0"/>
        <v>0.17053179995520854</v>
      </c>
      <c r="E5" s="61">
        <f t="shared" si="0"/>
        <v>0.19421675537629915</v>
      </c>
      <c r="F5" s="61">
        <f t="shared" si="0"/>
        <v>0.25681273058263804</v>
      </c>
      <c r="G5" s="61">
        <f t="shared" si="0"/>
        <v>0.26612407083732459</v>
      </c>
      <c r="H5" s="61">
        <f t="shared" si="0"/>
        <v>0.33835673058752724</v>
      </c>
      <c r="I5" s="70">
        <f t="shared" si="0"/>
        <v>6.5387443718283187</v>
      </c>
      <c r="J5" s="14"/>
      <c r="K5" s="14"/>
    </row>
    <row r="6" spans="1:11">
      <c r="A6">
        <v>2040</v>
      </c>
      <c r="B6" s="31">
        <v>1.2641159981969332</v>
      </c>
      <c r="C6" s="61">
        <f t="shared" si="0"/>
        <v>0.45416805630739926</v>
      </c>
      <c r="D6" s="61">
        <f t="shared" si="0"/>
        <v>0.17827157941092306</v>
      </c>
      <c r="E6" s="61">
        <f t="shared" si="0"/>
        <v>0.20303150343860682</v>
      </c>
      <c r="F6" s="61">
        <f t="shared" si="0"/>
        <v>0.26846846808527108</v>
      </c>
      <c r="G6" s="61">
        <f t="shared" si="0"/>
        <v>0.27820241409458712</v>
      </c>
      <c r="H6" s="61">
        <f t="shared" si="0"/>
        <v>0.35371343515988224</v>
      </c>
      <c r="I6" s="70">
        <f t="shared" si="0"/>
        <v>6.8355127127977946</v>
      </c>
      <c r="J6" s="14"/>
      <c r="K6" s="14"/>
    </row>
    <row r="7" spans="1:11">
      <c r="A7">
        <v>2045</v>
      </c>
      <c r="B7" s="31">
        <v>1.313049783573595</v>
      </c>
      <c r="C7" s="61">
        <f t="shared" si="0"/>
        <v>0.47174884970292724</v>
      </c>
      <c r="D7" s="61">
        <f t="shared" si="0"/>
        <v>0.18517245181353117</v>
      </c>
      <c r="E7" s="61">
        <f t="shared" si="0"/>
        <v>0.21089082966194125</v>
      </c>
      <c r="F7" s="61">
        <f t="shared" si="0"/>
        <v>0.27886085170862845</v>
      </c>
      <c r="G7" s="61">
        <f t="shared" si="0"/>
        <v>0.2889715976521019</v>
      </c>
      <c r="H7" s="61">
        <f t="shared" si="0"/>
        <v>0.36740564168653278</v>
      </c>
      <c r="I7" s="70">
        <f t="shared" si="0"/>
        <v>7.1001146263125241</v>
      </c>
      <c r="J7" s="14"/>
      <c r="K7" s="14"/>
    </row>
    <row r="8" spans="1:11">
      <c r="A8" s="27">
        <v>2050</v>
      </c>
      <c r="B8" s="57">
        <v>1.3579363116529366</v>
      </c>
      <c r="C8" s="71">
        <f t="shared" si="0"/>
        <v>0.48787555582899444</v>
      </c>
      <c r="D8" s="71">
        <f t="shared" si="0"/>
        <v>0.1915025609699619</v>
      </c>
      <c r="E8" s="71">
        <f t="shared" si="0"/>
        <v>0.21810012002223003</v>
      </c>
      <c r="F8" s="71">
        <f t="shared" si="0"/>
        <v>0.28839369319494434</v>
      </c>
      <c r="G8" s="71">
        <f t="shared" si="0"/>
        <v>0.29885007438193428</v>
      </c>
      <c r="H8" s="71">
        <f t="shared" si="0"/>
        <v>0.37996538150628867</v>
      </c>
      <c r="I8" s="72">
        <f t="shared" si="0"/>
        <v>7.3428316188648921</v>
      </c>
      <c r="J8" s="14"/>
      <c r="K8" s="14"/>
    </row>
    <row r="9" spans="1:11">
      <c r="A9" s="55" t="s">
        <v>9</v>
      </c>
      <c r="B9" s="58"/>
      <c r="C9" s="56" t="s">
        <v>10</v>
      </c>
      <c r="D9" s="56" t="s">
        <v>10</v>
      </c>
      <c r="E9" s="56" t="s">
        <v>10</v>
      </c>
      <c r="F9" s="56" t="s">
        <v>10</v>
      </c>
      <c r="G9" s="56" t="s">
        <v>10</v>
      </c>
      <c r="H9" s="56" t="s">
        <v>10</v>
      </c>
      <c r="I9" s="59" t="s">
        <v>10</v>
      </c>
    </row>
    <row r="11" spans="1:11">
      <c r="A11" t="s">
        <v>11</v>
      </c>
      <c r="B11" s="3"/>
      <c r="C11" s="65">
        <v>0.05</v>
      </c>
      <c r="D11" s="64"/>
      <c r="E11" s="16"/>
      <c r="F11" s="16"/>
      <c r="G11" s="16"/>
      <c r="H11" s="16"/>
      <c r="I11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F33D-35AD-4B4A-945F-862DF8CAB4B9}">
  <dimension ref="A1:F12"/>
  <sheetViews>
    <sheetView workbookViewId="0">
      <selection activeCell="D16" sqref="D16"/>
    </sheetView>
  </sheetViews>
  <sheetFormatPr defaultRowHeight="15"/>
  <cols>
    <col min="1" max="1" width="28.42578125" customWidth="1"/>
    <col min="2" max="2" width="29.5703125" customWidth="1"/>
    <col min="3" max="3" width="29.140625" customWidth="1"/>
    <col min="4" max="4" width="15.140625" customWidth="1"/>
    <col min="5" max="5" width="16.140625" customWidth="1"/>
  </cols>
  <sheetData>
    <row r="1" spans="1:6">
      <c r="A1" t="s">
        <v>12</v>
      </c>
      <c r="B1" t="s">
        <v>13</v>
      </c>
      <c r="C1" t="s">
        <v>14</v>
      </c>
      <c r="D1">
        <v>2023</v>
      </c>
      <c r="E1" t="s">
        <v>15</v>
      </c>
    </row>
    <row r="2" spans="1:6">
      <c r="A2" s="9" t="s">
        <v>2</v>
      </c>
      <c r="B2" t="s">
        <v>16</v>
      </c>
      <c r="C2" s="60">
        <f>stock!W14/1000</f>
        <v>7.1855440000000002</v>
      </c>
      <c r="D2" s="62">
        <f>C2*$D$12/$C$12</f>
        <v>7.5007969513015809</v>
      </c>
      <c r="E2">
        <v>15</v>
      </c>
    </row>
    <row r="3" spans="1:6">
      <c r="A3" s="9" t="s">
        <v>3</v>
      </c>
      <c r="B3" t="s">
        <v>17</v>
      </c>
      <c r="C3" s="60">
        <f>stock!W15/1000</f>
        <v>2.8204940000000001</v>
      </c>
      <c r="D3" s="62">
        <f t="shared" ref="D3:D10" si="0">C3*$D$12/$C$12</f>
        <v>2.9442381532093327</v>
      </c>
      <c r="E3">
        <v>21</v>
      </c>
    </row>
    <row r="4" spans="1:6">
      <c r="A4" s="9" t="s">
        <v>4</v>
      </c>
      <c r="B4" t="s">
        <v>18</v>
      </c>
      <c r="C4" s="60">
        <f>stock!W16/1000</f>
        <v>3.2122289999999998</v>
      </c>
      <c r="D4" s="62">
        <f t="shared" si="0"/>
        <v>3.3531598289680673</v>
      </c>
      <c r="E4">
        <v>15</v>
      </c>
    </row>
    <row r="5" spans="1:6">
      <c r="A5" s="9" t="s">
        <v>5</v>
      </c>
      <c r="B5" t="s">
        <v>19</v>
      </c>
      <c r="C5" s="60">
        <f>stock!W17/1000</f>
        <v>4.2475290000000001</v>
      </c>
      <c r="D5" s="62">
        <f t="shared" si="0"/>
        <v>4.433881773428018</v>
      </c>
      <c r="E5">
        <v>12</v>
      </c>
    </row>
    <row r="6" spans="1:6">
      <c r="A6" s="9" t="s">
        <v>20</v>
      </c>
      <c r="B6" t="s">
        <v>21</v>
      </c>
      <c r="C6" s="60">
        <f>stock!W18/1000</f>
        <v>4.4015330000000006</v>
      </c>
      <c r="D6" s="62">
        <f t="shared" si="0"/>
        <v>4.5946424247702478</v>
      </c>
      <c r="E6">
        <v>13</v>
      </c>
    </row>
    <row r="7" spans="1:6">
      <c r="A7" s="9" t="s">
        <v>22</v>
      </c>
      <c r="B7" t="s">
        <v>23</v>
      </c>
      <c r="C7" s="60">
        <f>stock!W50/1000</f>
        <v>0.12042600000000001</v>
      </c>
      <c r="D7" s="62">
        <f t="shared" si="0"/>
        <v>0.12570947636775229</v>
      </c>
      <c r="E7">
        <v>13</v>
      </c>
    </row>
    <row r="8" spans="1:6">
      <c r="A8" s="9" t="s">
        <v>24</v>
      </c>
      <c r="B8" t="s">
        <v>25</v>
      </c>
      <c r="C8" s="60">
        <f>stock!W19/1000</f>
        <v>5.5962179999999995</v>
      </c>
      <c r="D8" s="62">
        <f t="shared" si="0"/>
        <v>5.8417421023681744</v>
      </c>
      <c r="E8">
        <v>17</v>
      </c>
    </row>
    <row r="9" spans="1:6">
      <c r="A9" s="9" t="s">
        <v>26</v>
      </c>
      <c r="B9" t="s">
        <v>27</v>
      </c>
      <c r="C9" s="60">
        <f>stock!W51/1000</f>
        <v>0.79466300000000001</v>
      </c>
      <c r="D9" s="62">
        <f t="shared" si="0"/>
        <v>0.82952742446670258</v>
      </c>
      <c r="E9">
        <v>15</v>
      </c>
    </row>
    <row r="10" spans="1:6">
      <c r="A10" s="9" t="s">
        <v>28</v>
      </c>
      <c r="B10" t="s">
        <v>29</v>
      </c>
      <c r="C10" s="60">
        <f>stock!W20/1000</f>
        <v>108.146922</v>
      </c>
      <c r="D10" s="62">
        <f t="shared" si="0"/>
        <v>112.89167567970496</v>
      </c>
      <c r="E10">
        <v>0</v>
      </c>
      <c r="F10" t="s">
        <v>30</v>
      </c>
    </row>
    <row r="12" spans="1:6">
      <c r="A12" s="9" t="s">
        <v>31</v>
      </c>
      <c r="C12">
        <v>1</v>
      </c>
      <c r="D12" s="61">
        <v>1.0438732198009755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58"/>
  <sheetViews>
    <sheetView workbookViewId="0">
      <pane xSplit="4" ySplit="1" topLeftCell="E29" activePane="bottomRight" state="frozen"/>
      <selection pane="bottomRight" activeCell="L55" sqref="L55"/>
      <selection pane="bottomLeft" activeCell="A2" sqref="A2"/>
      <selection pane="topRight" activeCell="C1" sqref="C1"/>
    </sheetView>
  </sheetViews>
  <sheetFormatPr defaultRowHeight="15"/>
  <cols>
    <col min="1" max="1" width="34.7109375" customWidth="1"/>
    <col min="2" max="2" width="10.7109375" style="50" bestFit="1" customWidth="1"/>
    <col min="3" max="3" width="9.85546875" style="50" bestFit="1" customWidth="1"/>
    <col min="4" max="4" width="7.5703125" style="46" customWidth="1"/>
    <col min="5" max="15" width="8.85546875" customWidth="1"/>
    <col min="18" max="18" width="14.140625" bestFit="1" customWidth="1"/>
    <col min="19" max="19" width="9.5703125" bestFit="1" customWidth="1"/>
    <col min="20" max="20" width="14.140625" bestFit="1" customWidth="1"/>
    <col min="21" max="21" width="9.5703125" bestFit="1" customWidth="1"/>
    <col min="22" max="22" width="14.5703125" bestFit="1" customWidth="1"/>
    <col min="23" max="23" width="9.5703125" bestFit="1" customWidth="1"/>
    <col min="24" max="24" width="16.28515625" bestFit="1" customWidth="1"/>
    <col min="25" max="25" width="10.7109375" bestFit="1" customWidth="1"/>
    <col min="26" max="26" width="9.85546875" bestFit="1" customWidth="1"/>
    <col min="27" max="27" width="19.7109375" bestFit="1" customWidth="1"/>
    <col min="28" max="28" width="14.140625" bestFit="1" customWidth="1"/>
    <col min="29" max="29" width="20.42578125" bestFit="1" customWidth="1"/>
    <col min="30" max="30" width="14.85546875" bestFit="1" customWidth="1"/>
    <col min="31" max="31" width="9.5703125" bestFit="1" customWidth="1"/>
    <col min="32" max="32" width="19" bestFit="1" customWidth="1"/>
    <col min="33" max="33" width="13.42578125" bestFit="1" customWidth="1"/>
    <col min="34" max="34" width="19.5703125" bestFit="1" customWidth="1"/>
    <col min="35" max="35" width="14" bestFit="1" customWidth="1"/>
    <col min="36" max="36" width="14.5703125" bestFit="1" customWidth="1"/>
    <col min="37" max="38" width="9.5703125" bestFit="1" customWidth="1"/>
  </cols>
  <sheetData>
    <row r="1" spans="1:16" s="27" customFormat="1">
      <c r="A1" s="29" t="s">
        <v>32</v>
      </c>
      <c r="B1" s="54" t="s">
        <v>33</v>
      </c>
      <c r="C1" s="54" t="s">
        <v>34</v>
      </c>
      <c r="D1" s="45" t="s">
        <v>35</v>
      </c>
      <c r="E1" s="27">
        <v>2000</v>
      </c>
      <c r="F1" s="27">
        <v>2005</v>
      </c>
      <c r="G1" s="27">
        <v>2010</v>
      </c>
      <c r="H1" s="27">
        <v>2015</v>
      </c>
      <c r="I1" s="27">
        <v>2018</v>
      </c>
      <c r="J1" s="28">
        <v>2025</v>
      </c>
      <c r="K1" s="29">
        <v>2030</v>
      </c>
      <c r="L1" s="29">
        <v>2035</v>
      </c>
      <c r="M1" s="29">
        <v>2040</v>
      </c>
      <c r="N1" s="29">
        <v>2045</v>
      </c>
      <c r="O1" s="29">
        <v>2050</v>
      </c>
      <c r="P1" s="27" t="s">
        <v>36</v>
      </c>
    </row>
    <row r="2" spans="1:16">
      <c r="A2" t="s">
        <v>2</v>
      </c>
      <c r="E2" s="66">
        <f t="shared" ref="E2:G8" si="0">$I2</f>
        <v>4.2620886094699273E-2</v>
      </c>
      <c r="F2" s="66">
        <f t="shared" si="0"/>
        <v>4.2620886094699273E-2</v>
      </c>
      <c r="G2" s="66">
        <f t="shared" si="0"/>
        <v>4.2620886094699273E-2</v>
      </c>
      <c r="H2" s="66">
        <f>$I2</f>
        <v>4.2620886094699273E-2</v>
      </c>
      <c r="I2" s="66">
        <f>stock!U14*Demand!$C$11/1000/'secondary energy'!U15</f>
        <v>4.2620886094699273E-2</v>
      </c>
      <c r="J2" s="67">
        <f>$I2</f>
        <v>4.2620886094699273E-2</v>
      </c>
      <c r="K2" s="68">
        <f t="shared" ref="K2:O2" si="1">$I2</f>
        <v>4.2620886094699273E-2</v>
      </c>
      <c r="L2" s="68">
        <f t="shared" si="1"/>
        <v>4.2620886094699273E-2</v>
      </c>
      <c r="M2" s="68">
        <f t="shared" si="1"/>
        <v>4.2620886094699273E-2</v>
      </c>
      <c r="N2" s="68">
        <f t="shared" si="1"/>
        <v>4.2620886094699273E-2</v>
      </c>
      <c r="O2" s="68">
        <f t="shared" si="1"/>
        <v>4.2620886094699273E-2</v>
      </c>
    </row>
    <row r="3" spans="1:16">
      <c r="A3" t="s">
        <v>3</v>
      </c>
      <c r="E3" s="66">
        <f t="shared" si="0"/>
        <v>5.2328969490726573E-2</v>
      </c>
      <c r="F3" s="66">
        <f t="shared" si="0"/>
        <v>5.2328969490726573E-2</v>
      </c>
      <c r="G3" s="66">
        <f t="shared" si="0"/>
        <v>5.2328969490726573E-2</v>
      </c>
      <c r="H3" s="66">
        <f t="shared" ref="H3:H8" si="2">$I3</f>
        <v>5.2328969490726573E-2</v>
      </c>
      <c r="I3" s="66">
        <f>stock!U15*Demand!$C$11/1000/'secondary energy'!U16</f>
        <v>5.2328969490726573E-2</v>
      </c>
      <c r="J3" s="67">
        <f t="shared" ref="J3:O8" si="3">$I3</f>
        <v>5.2328969490726573E-2</v>
      </c>
      <c r="K3" s="68">
        <f t="shared" si="3"/>
        <v>5.2328969490726573E-2</v>
      </c>
      <c r="L3" s="68">
        <f t="shared" si="3"/>
        <v>5.2328969490726573E-2</v>
      </c>
      <c r="M3" s="68">
        <f t="shared" si="3"/>
        <v>5.2328969490726573E-2</v>
      </c>
      <c r="N3" s="68">
        <f t="shared" si="3"/>
        <v>5.2328969490726573E-2</v>
      </c>
      <c r="O3" s="68">
        <f t="shared" si="3"/>
        <v>5.2328969490726573E-2</v>
      </c>
    </row>
    <row r="4" spans="1:16">
      <c r="A4" t="s">
        <v>4</v>
      </c>
      <c r="E4" s="66">
        <f t="shared" si="0"/>
        <v>0.24048268614091131</v>
      </c>
      <c r="F4" s="66">
        <f t="shared" si="0"/>
        <v>0.24048268614091131</v>
      </c>
      <c r="G4" s="66">
        <f t="shared" si="0"/>
        <v>0.24048268614091131</v>
      </c>
      <c r="H4" s="66">
        <f t="shared" si="2"/>
        <v>0.24048268614091131</v>
      </c>
      <c r="I4" s="66">
        <f>stock!U16*Demand!$C$11/1000/'secondary energy'!U17</f>
        <v>0.24048268614091131</v>
      </c>
      <c r="J4" s="67">
        <f t="shared" si="3"/>
        <v>0.24048268614091131</v>
      </c>
      <c r="K4" s="68">
        <f t="shared" si="3"/>
        <v>0.24048268614091131</v>
      </c>
      <c r="L4" s="68">
        <f t="shared" si="3"/>
        <v>0.24048268614091131</v>
      </c>
      <c r="M4" s="68">
        <f t="shared" si="3"/>
        <v>0.24048268614091131</v>
      </c>
      <c r="N4" s="68">
        <f t="shared" si="3"/>
        <v>0.24048268614091131</v>
      </c>
      <c r="O4" s="68">
        <f t="shared" si="3"/>
        <v>0.24048268614091131</v>
      </c>
    </row>
    <row r="5" spans="1:16">
      <c r="A5" t="s">
        <v>5</v>
      </c>
      <c r="E5" s="66">
        <f t="shared" si="0"/>
        <v>0.441184809132112</v>
      </c>
      <c r="F5" s="66">
        <f t="shared" si="0"/>
        <v>0.441184809132112</v>
      </c>
      <c r="G5" s="66">
        <f t="shared" si="0"/>
        <v>0.441184809132112</v>
      </c>
      <c r="H5" s="66">
        <f t="shared" si="2"/>
        <v>0.441184809132112</v>
      </c>
      <c r="I5" s="66">
        <f>stock!U17*Demand!$C$11/1000/'secondary energy'!U18</f>
        <v>0.441184809132112</v>
      </c>
      <c r="J5" s="67">
        <f t="shared" si="3"/>
        <v>0.441184809132112</v>
      </c>
      <c r="K5" s="68">
        <f t="shared" si="3"/>
        <v>0.441184809132112</v>
      </c>
      <c r="L5" s="68">
        <f t="shared" si="3"/>
        <v>0.441184809132112</v>
      </c>
      <c r="M5" s="68">
        <f t="shared" si="3"/>
        <v>0.441184809132112</v>
      </c>
      <c r="N5" s="68">
        <f t="shared" si="3"/>
        <v>0.441184809132112</v>
      </c>
      <c r="O5" s="68">
        <f t="shared" si="3"/>
        <v>0.441184809132112</v>
      </c>
    </row>
    <row r="6" spans="1:16">
      <c r="A6" t="s">
        <v>6</v>
      </c>
      <c r="E6" s="66">
        <f t="shared" si="0"/>
        <v>2.1172849814229233E-2</v>
      </c>
      <c r="F6" s="66">
        <f t="shared" si="0"/>
        <v>2.1172849814229233E-2</v>
      </c>
      <c r="G6" s="66">
        <f t="shared" si="0"/>
        <v>2.1172849814229233E-2</v>
      </c>
      <c r="H6" s="66">
        <f t="shared" si="2"/>
        <v>2.1172849814229233E-2</v>
      </c>
      <c r="I6" s="66">
        <f>stock!U18*Demand!$C$11/1000/'secondary energy'!U19</f>
        <v>2.1172849814229233E-2</v>
      </c>
      <c r="J6" s="67">
        <f t="shared" si="3"/>
        <v>2.1172849814229233E-2</v>
      </c>
      <c r="K6" s="68">
        <f t="shared" si="3"/>
        <v>2.1172849814229233E-2</v>
      </c>
      <c r="L6" s="68">
        <f t="shared" si="3"/>
        <v>2.1172849814229233E-2</v>
      </c>
      <c r="M6" s="68">
        <f t="shared" si="3"/>
        <v>2.1172849814229233E-2</v>
      </c>
      <c r="N6" s="68">
        <f t="shared" si="3"/>
        <v>2.1172849814229233E-2</v>
      </c>
      <c r="O6" s="68">
        <f t="shared" si="3"/>
        <v>2.1172849814229233E-2</v>
      </c>
    </row>
    <row r="7" spans="1:16">
      <c r="A7" t="s">
        <v>7</v>
      </c>
      <c r="E7" s="66">
        <f t="shared" si="0"/>
        <v>2.3948000888347479E-2</v>
      </c>
      <c r="F7" s="66">
        <f t="shared" si="0"/>
        <v>2.3948000888347479E-2</v>
      </c>
      <c r="G7" s="66">
        <f t="shared" si="0"/>
        <v>2.3948000888347479E-2</v>
      </c>
      <c r="H7" s="66">
        <f t="shared" si="2"/>
        <v>2.3948000888347479E-2</v>
      </c>
      <c r="I7" s="66">
        <f>stock!U19*Demand!$C$11/1000/'secondary energy'!U20</f>
        <v>2.3948000888347479E-2</v>
      </c>
      <c r="J7" s="67">
        <f t="shared" si="3"/>
        <v>2.3948000888347479E-2</v>
      </c>
      <c r="K7" s="68">
        <f t="shared" si="3"/>
        <v>2.3948000888347479E-2</v>
      </c>
      <c r="L7" s="68">
        <f t="shared" si="3"/>
        <v>2.3948000888347479E-2</v>
      </c>
      <c r="M7" s="68">
        <f t="shared" si="3"/>
        <v>2.3948000888347479E-2</v>
      </c>
      <c r="N7" s="68">
        <f t="shared" si="3"/>
        <v>2.3948000888347479E-2</v>
      </c>
      <c r="O7" s="68">
        <f t="shared" si="3"/>
        <v>2.3948000888347479E-2</v>
      </c>
    </row>
    <row r="8" spans="1:16">
      <c r="A8" t="s">
        <v>8</v>
      </c>
      <c r="E8" s="66">
        <f t="shared" si="0"/>
        <v>0.18562273222509823</v>
      </c>
      <c r="F8" s="66">
        <f t="shared" si="0"/>
        <v>0.18562273222509823</v>
      </c>
      <c r="G8" s="66">
        <f t="shared" si="0"/>
        <v>0.18562273222509823</v>
      </c>
      <c r="H8" s="66">
        <f t="shared" si="2"/>
        <v>0.18562273222509823</v>
      </c>
      <c r="I8" s="66">
        <f>stock!U20*Demand!$C$11/1000/'secondary energy'!U21</f>
        <v>0.18562273222509823</v>
      </c>
      <c r="J8" s="67">
        <f t="shared" si="3"/>
        <v>0.18562273222509823</v>
      </c>
      <c r="K8" s="68">
        <f t="shared" si="3"/>
        <v>0.18562273222509823</v>
      </c>
      <c r="L8" s="68">
        <f t="shared" si="3"/>
        <v>0.18562273222509823</v>
      </c>
      <c r="M8" s="68">
        <f t="shared" si="3"/>
        <v>0.18562273222509823</v>
      </c>
      <c r="N8" s="68">
        <f t="shared" si="3"/>
        <v>0.18562273222509823</v>
      </c>
      <c r="O8" s="68">
        <f t="shared" si="3"/>
        <v>0.18562273222509823</v>
      </c>
    </row>
    <row r="9" spans="1:16">
      <c r="E9" s="69"/>
      <c r="F9" s="69"/>
      <c r="G9" s="69"/>
      <c r="H9" s="69"/>
      <c r="I9" s="66"/>
      <c r="J9" s="67"/>
      <c r="K9" s="68"/>
      <c r="L9" s="68"/>
      <c r="M9" s="68"/>
      <c r="N9" s="68"/>
      <c r="O9" s="68"/>
    </row>
    <row r="10" spans="1:16">
      <c r="A10" s="25" t="s">
        <v>12</v>
      </c>
      <c r="E10" s="69"/>
      <c r="F10" s="69"/>
      <c r="G10" s="69"/>
      <c r="H10" s="69"/>
      <c r="I10" s="66"/>
      <c r="J10" s="67"/>
      <c r="K10" s="68"/>
      <c r="L10" s="68"/>
      <c r="M10" s="68"/>
      <c r="N10" s="68"/>
      <c r="O10" s="68"/>
    </row>
    <row r="11" spans="1:16">
      <c r="A11" t="s">
        <v>16</v>
      </c>
      <c r="B11" s="51"/>
      <c r="C11" s="51"/>
      <c r="E11" s="69" cm="1">
        <f t="array" ref="E11:O11">E2:O2</f>
        <v>4.2620886094699273E-2</v>
      </c>
      <c r="F11" s="69">
        <v>4.2620886094699273E-2</v>
      </c>
      <c r="G11" s="69">
        <v>4.2620886094699273E-2</v>
      </c>
      <c r="H11" s="69">
        <v>4.2620886094699273E-2</v>
      </c>
      <c r="I11" s="66">
        <v>4.2620886094699273E-2</v>
      </c>
      <c r="J11" s="67">
        <v>4.2620886094699273E-2</v>
      </c>
      <c r="K11" s="68">
        <v>4.2620886094699273E-2</v>
      </c>
      <c r="L11" s="68">
        <v>4.2620886094699273E-2</v>
      </c>
      <c r="M11" s="68">
        <v>4.2620886094699273E-2</v>
      </c>
      <c r="N11" s="68">
        <v>4.2620886094699273E-2</v>
      </c>
      <c r="O11" s="68">
        <v>4.2620886094699273E-2</v>
      </c>
    </row>
    <row r="12" spans="1:16">
      <c r="A12" t="s">
        <v>37</v>
      </c>
      <c r="B12" s="52"/>
      <c r="C12" s="52"/>
      <c r="E12" s="69" cm="1">
        <f t="array" ref="E12:O12">E2:O2</f>
        <v>4.2620886094699273E-2</v>
      </c>
      <c r="F12" s="69">
        <v>4.2620886094699273E-2</v>
      </c>
      <c r="G12" s="69">
        <v>4.2620886094699273E-2</v>
      </c>
      <c r="H12" s="69">
        <v>4.2620886094699273E-2</v>
      </c>
      <c r="I12" s="66">
        <v>4.2620886094699273E-2</v>
      </c>
      <c r="J12" s="67">
        <v>4.2620886094699273E-2</v>
      </c>
      <c r="K12" s="68">
        <v>4.2620886094699273E-2</v>
      </c>
      <c r="L12" s="68">
        <v>4.2620886094699273E-2</v>
      </c>
      <c r="M12" s="68">
        <v>4.2620886094699273E-2</v>
      </c>
      <c r="N12" s="68">
        <v>4.2620886094699273E-2</v>
      </c>
      <c r="O12" s="68">
        <v>4.2620886094699273E-2</v>
      </c>
    </row>
    <row r="13" spans="1:16">
      <c r="A13" t="s">
        <v>17</v>
      </c>
      <c r="B13" s="52"/>
      <c r="C13" s="52"/>
      <c r="E13" s="69" cm="1">
        <f t="array" ref="E13:O13">E3:O3</f>
        <v>5.2328969490726573E-2</v>
      </c>
      <c r="F13" s="69">
        <v>5.2328969490726573E-2</v>
      </c>
      <c r="G13" s="69">
        <v>5.2328969490726573E-2</v>
      </c>
      <c r="H13" s="69">
        <v>5.2328969490726573E-2</v>
      </c>
      <c r="I13" s="66">
        <v>5.2328969490726573E-2</v>
      </c>
      <c r="J13" s="67">
        <v>5.2328969490726573E-2</v>
      </c>
      <c r="K13" s="68">
        <v>5.2328969490726573E-2</v>
      </c>
      <c r="L13" s="68">
        <v>5.2328969490726573E-2</v>
      </c>
      <c r="M13" s="68">
        <v>5.2328969490726573E-2</v>
      </c>
      <c r="N13" s="68">
        <v>5.2328969490726573E-2</v>
      </c>
      <c r="O13" s="68">
        <v>5.2328969490726573E-2</v>
      </c>
    </row>
    <row r="14" spans="1:16">
      <c r="A14" t="s">
        <v>38</v>
      </c>
      <c r="B14" s="52"/>
      <c r="C14" s="52"/>
      <c r="E14" s="69" cm="1">
        <f t="array" ref="E14:O14">E3:O3</f>
        <v>5.2328969490726573E-2</v>
      </c>
      <c r="F14" s="69">
        <v>5.2328969490726573E-2</v>
      </c>
      <c r="G14" s="69">
        <v>5.2328969490726573E-2</v>
      </c>
      <c r="H14" s="69">
        <v>5.2328969490726573E-2</v>
      </c>
      <c r="I14" s="66">
        <v>5.2328969490726573E-2</v>
      </c>
      <c r="J14" s="67">
        <v>5.2328969490726573E-2</v>
      </c>
      <c r="K14" s="68">
        <v>5.2328969490726573E-2</v>
      </c>
      <c r="L14" s="68">
        <v>5.2328969490726573E-2</v>
      </c>
      <c r="M14" s="68">
        <v>5.2328969490726573E-2</v>
      </c>
      <c r="N14" s="68">
        <v>5.2328969490726573E-2</v>
      </c>
      <c r="O14" s="68">
        <v>5.2328969490726573E-2</v>
      </c>
    </row>
    <row r="15" spans="1:16">
      <c r="A15" t="s">
        <v>18</v>
      </c>
      <c r="B15" s="52"/>
      <c r="C15" s="52"/>
      <c r="E15" s="69" cm="1">
        <f t="array" ref="E15:O15">E4:O4</f>
        <v>0.24048268614091131</v>
      </c>
      <c r="F15" s="69">
        <v>0.24048268614091131</v>
      </c>
      <c r="G15" s="69">
        <v>0.24048268614091131</v>
      </c>
      <c r="H15" s="69">
        <v>0.24048268614091131</v>
      </c>
      <c r="I15" s="66">
        <v>0.24048268614091131</v>
      </c>
      <c r="J15" s="67">
        <v>0.24048268614091131</v>
      </c>
      <c r="K15" s="68">
        <v>0.24048268614091131</v>
      </c>
      <c r="L15" s="68">
        <v>0.24048268614091131</v>
      </c>
      <c r="M15" s="68">
        <v>0.24048268614091131</v>
      </c>
      <c r="N15" s="68">
        <v>0.24048268614091131</v>
      </c>
      <c r="O15" s="68">
        <v>0.24048268614091131</v>
      </c>
    </row>
    <row r="16" spans="1:16">
      <c r="A16" t="s">
        <v>39</v>
      </c>
      <c r="B16" s="52"/>
      <c r="C16" s="52"/>
      <c r="E16" s="69" cm="1">
        <f t="array" ref="E16:O16">E4:O4</f>
        <v>0.24048268614091131</v>
      </c>
      <c r="F16" s="69">
        <v>0.24048268614091131</v>
      </c>
      <c r="G16" s="69">
        <v>0.24048268614091131</v>
      </c>
      <c r="H16" s="69">
        <v>0.24048268614091131</v>
      </c>
      <c r="I16" s="66">
        <v>0.24048268614091131</v>
      </c>
      <c r="J16" s="67">
        <v>0.24048268614091131</v>
      </c>
      <c r="K16" s="68">
        <v>0.24048268614091131</v>
      </c>
      <c r="L16" s="68">
        <v>0.24048268614091131</v>
      </c>
      <c r="M16" s="68">
        <v>0.24048268614091131</v>
      </c>
      <c r="N16" s="68">
        <v>0.24048268614091131</v>
      </c>
      <c r="O16" s="68">
        <v>0.24048268614091131</v>
      </c>
    </row>
    <row r="17" spans="1:15">
      <c r="A17" t="s">
        <v>19</v>
      </c>
      <c r="B17" s="52"/>
      <c r="C17" s="52"/>
      <c r="E17" s="69" cm="1">
        <f t="array" ref="E17:O17">E5:O5</f>
        <v>0.441184809132112</v>
      </c>
      <c r="F17" s="69">
        <v>0.441184809132112</v>
      </c>
      <c r="G17" s="69">
        <v>0.441184809132112</v>
      </c>
      <c r="H17" s="69">
        <v>0.441184809132112</v>
      </c>
      <c r="I17" s="66">
        <v>0.441184809132112</v>
      </c>
      <c r="J17" s="67">
        <v>0.441184809132112</v>
      </c>
      <c r="K17" s="68">
        <v>0.441184809132112</v>
      </c>
      <c r="L17" s="68">
        <v>0.441184809132112</v>
      </c>
      <c r="M17" s="68">
        <v>0.441184809132112</v>
      </c>
      <c r="N17" s="68">
        <v>0.441184809132112</v>
      </c>
      <c r="O17" s="68">
        <v>0.441184809132112</v>
      </c>
    </row>
    <row r="18" spans="1:15">
      <c r="A18" t="s">
        <v>40</v>
      </c>
      <c r="E18" s="69" cm="1">
        <f t="array" ref="E18:O18">E5:O5</f>
        <v>0.441184809132112</v>
      </c>
      <c r="F18" s="69">
        <v>0.441184809132112</v>
      </c>
      <c r="G18" s="69">
        <v>0.441184809132112</v>
      </c>
      <c r="H18" s="69">
        <v>0.441184809132112</v>
      </c>
      <c r="I18" s="66">
        <v>0.441184809132112</v>
      </c>
      <c r="J18" s="67">
        <v>0.441184809132112</v>
      </c>
      <c r="K18" s="68">
        <v>0.441184809132112</v>
      </c>
      <c r="L18" s="68">
        <v>0.441184809132112</v>
      </c>
      <c r="M18" s="68">
        <v>0.441184809132112</v>
      </c>
      <c r="N18" s="68">
        <v>0.441184809132112</v>
      </c>
      <c r="O18" s="68">
        <v>0.441184809132112</v>
      </c>
    </row>
    <row r="19" spans="1:15">
      <c r="A19" t="s">
        <v>41</v>
      </c>
      <c r="E19" s="69" cm="1">
        <f t="array" ref="E19:O19">E6:O6</f>
        <v>2.1172849814229233E-2</v>
      </c>
      <c r="F19" s="69">
        <v>2.1172849814229233E-2</v>
      </c>
      <c r="G19" s="69">
        <v>2.1172849814229233E-2</v>
      </c>
      <c r="H19" s="69">
        <v>2.1172849814229233E-2</v>
      </c>
      <c r="I19" s="66">
        <v>2.1172849814229233E-2</v>
      </c>
      <c r="J19" s="67">
        <v>2.1172849814229233E-2</v>
      </c>
      <c r="K19" s="68">
        <v>2.1172849814229233E-2</v>
      </c>
      <c r="L19" s="68">
        <v>2.1172849814229233E-2</v>
      </c>
      <c r="M19" s="68">
        <v>2.1172849814229233E-2</v>
      </c>
      <c r="N19" s="68">
        <v>2.1172849814229233E-2</v>
      </c>
      <c r="O19" s="68">
        <v>2.1172849814229233E-2</v>
      </c>
    </row>
    <row r="20" spans="1:15">
      <c r="A20" t="s">
        <v>21</v>
      </c>
      <c r="E20" s="69" cm="1">
        <f t="array" ref="E20:O20">E6:O6</f>
        <v>2.1172849814229233E-2</v>
      </c>
      <c r="F20" s="69">
        <v>2.1172849814229233E-2</v>
      </c>
      <c r="G20" s="69">
        <v>2.1172849814229233E-2</v>
      </c>
      <c r="H20" s="69">
        <v>2.1172849814229233E-2</v>
      </c>
      <c r="I20" s="66">
        <v>2.1172849814229233E-2</v>
      </c>
      <c r="J20" s="67">
        <v>2.1172849814229233E-2</v>
      </c>
      <c r="K20" s="68">
        <v>2.1172849814229233E-2</v>
      </c>
      <c r="L20" s="68">
        <v>2.1172849814229233E-2</v>
      </c>
      <c r="M20" s="68">
        <v>2.1172849814229233E-2</v>
      </c>
      <c r="N20" s="68">
        <v>2.1172849814229233E-2</v>
      </c>
      <c r="O20" s="68">
        <v>2.1172849814229233E-2</v>
      </c>
    </row>
    <row r="21" spans="1:15">
      <c r="A21" t="s">
        <v>42</v>
      </c>
      <c r="E21" s="69" cm="1">
        <f t="array" ref="E21:O21">E6:O6</f>
        <v>2.1172849814229233E-2</v>
      </c>
      <c r="F21" s="69">
        <v>2.1172849814229233E-2</v>
      </c>
      <c r="G21" s="69">
        <v>2.1172849814229233E-2</v>
      </c>
      <c r="H21" s="69">
        <v>2.1172849814229233E-2</v>
      </c>
      <c r="I21" s="66">
        <v>2.1172849814229233E-2</v>
      </c>
      <c r="J21" s="67">
        <v>2.1172849814229233E-2</v>
      </c>
      <c r="K21" s="68">
        <v>2.1172849814229233E-2</v>
      </c>
      <c r="L21" s="68">
        <v>2.1172849814229233E-2</v>
      </c>
      <c r="M21" s="68">
        <v>2.1172849814229233E-2</v>
      </c>
      <c r="N21" s="68">
        <v>2.1172849814229233E-2</v>
      </c>
      <c r="O21" s="68">
        <v>2.1172849814229233E-2</v>
      </c>
    </row>
    <row r="22" spans="1:15">
      <c r="A22" t="s">
        <v>43</v>
      </c>
      <c r="E22" s="69" cm="1">
        <f t="array" ref="E22:O22">E6:O6</f>
        <v>2.1172849814229233E-2</v>
      </c>
      <c r="F22" s="69">
        <v>2.1172849814229233E-2</v>
      </c>
      <c r="G22" s="69">
        <v>2.1172849814229233E-2</v>
      </c>
      <c r="H22" s="69">
        <v>2.1172849814229233E-2</v>
      </c>
      <c r="I22" s="66">
        <v>2.1172849814229233E-2</v>
      </c>
      <c r="J22" s="67">
        <v>2.1172849814229233E-2</v>
      </c>
      <c r="K22" s="68">
        <v>2.1172849814229233E-2</v>
      </c>
      <c r="L22" s="68">
        <v>2.1172849814229233E-2</v>
      </c>
      <c r="M22" s="68">
        <v>2.1172849814229233E-2</v>
      </c>
      <c r="N22" s="68">
        <v>2.1172849814229233E-2</v>
      </c>
      <c r="O22" s="68">
        <v>2.1172849814229233E-2</v>
      </c>
    </row>
    <row r="23" spans="1:15">
      <c r="A23" t="s">
        <v>44</v>
      </c>
      <c r="E23" s="69" cm="1">
        <f t="array" ref="E23:O23">E6:O6</f>
        <v>2.1172849814229233E-2</v>
      </c>
      <c r="F23" s="69">
        <v>2.1172849814229233E-2</v>
      </c>
      <c r="G23" s="69">
        <v>2.1172849814229233E-2</v>
      </c>
      <c r="H23" s="69">
        <v>2.1172849814229233E-2</v>
      </c>
      <c r="I23" s="66">
        <v>2.1172849814229233E-2</v>
      </c>
      <c r="J23" s="67">
        <v>2.1172849814229233E-2</v>
      </c>
      <c r="K23" s="68">
        <v>2.1172849814229233E-2</v>
      </c>
      <c r="L23" s="68">
        <v>2.1172849814229233E-2</v>
      </c>
      <c r="M23" s="68">
        <v>2.1172849814229233E-2</v>
      </c>
      <c r="N23" s="68">
        <v>2.1172849814229233E-2</v>
      </c>
      <c r="O23" s="68">
        <v>2.1172849814229233E-2</v>
      </c>
    </row>
    <row r="24" spans="1:15">
      <c r="A24" t="s">
        <v>23</v>
      </c>
      <c r="E24" s="69" cm="1">
        <f t="array" ref="E24:O24">E6:O6</f>
        <v>2.1172849814229233E-2</v>
      </c>
      <c r="F24" s="69">
        <v>2.1172849814229233E-2</v>
      </c>
      <c r="G24" s="69">
        <v>2.1172849814229233E-2</v>
      </c>
      <c r="H24" s="69">
        <v>2.1172849814229233E-2</v>
      </c>
      <c r="I24" s="66">
        <v>2.1172849814229233E-2</v>
      </c>
      <c r="J24" s="67">
        <v>2.1172849814229233E-2</v>
      </c>
      <c r="K24" s="68">
        <v>2.1172849814229233E-2</v>
      </c>
      <c r="L24" s="68">
        <v>2.1172849814229233E-2</v>
      </c>
      <c r="M24" s="68">
        <v>2.1172849814229233E-2</v>
      </c>
      <c r="N24" s="68">
        <v>2.1172849814229233E-2</v>
      </c>
      <c r="O24" s="68">
        <v>2.1172849814229233E-2</v>
      </c>
    </row>
    <row r="25" spans="1:15">
      <c r="A25" t="s">
        <v>45</v>
      </c>
      <c r="E25" s="69" cm="1">
        <f t="array" ref="E25:O25">E6:O6</f>
        <v>2.1172849814229233E-2</v>
      </c>
      <c r="F25" s="69">
        <v>2.1172849814229233E-2</v>
      </c>
      <c r="G25" s="69">
        <v>2.1172849814229233E-2</v>
      </c>
      <c r="H25" s="69">
        <v>2.1172849814229233E-2</v>
      </c>
      <c r="I25" s="66">
        <v>2.1172849814229233E-2</v>
      </c>
      <c r="J25" s="67">
        <v>2.1172849814229233E-2</v>
      </c>
      <c r="K25" s="68">
        <v>2.1172849814229233E-2</v>
      </c>
      <c r="L25" s="68">
        <v>2.1172849814229233E-2</v>
      </c>
      <c r="M25" s="68">
        <v>2.1172849814229233E-2</v>
      </c>
      <c r="N25" s="68">
        <v>2.1172849814229233E-2</v>
      </c>
      <c r="O25" s="68">
        <v>2.1172849814229233E-2</v>
      </c>
    </row>
    <row r="26" spans="1:15">
      <c r="A26" t="s">
        <v>46</v>
      </c>
      <c r="E26" s="69" cm="1">
        <f t="array" ref="E26:O26">E7:O7</f>
        <v>2.3948000888347479E-2</v>
      </c>
      <c r="F26" s="69">
        <v>2.3948000888347479E-2</v>
      </c>
      <c r="G26" s="69">
        <v>2.3948000888347479E-2</v>
      </c>
      <c r="H26" s="69">
        <v>2.3948000888347479E-2</v>
      </c>
      <c r="I26" s="66">
        <v>2.3948000888347479E-2</v>
      </c>
      <c r="J26" s="67">
        <v>2.3948000888347479E-2</v>
      </c>
      <c r="K26" s="68">
        <v>2.3948000888347479E-2</v>
      </c>
      <c r="L26" s="68">
        <v>2.3948000888347479E-2</v>
      </c>
      <c r="M26" s="68">
        <v>2.3948000888347479E-2</v>
      </c>
      <c r="N26" s="68">
        <v>2.3948000888347479E-2</v>
      </c>
      <c r="O26" s="68">
        <v>2.3948000888347479E-2</v>
      </c>
    </row>
    <row r="27" spans="1:15">
      <c r="A27" t="s">
        <v>25</v>
      </c>
      <c r="E27" s="69" cm="1">
        <f t="array" ref="E27:O27">E7:O7</f>
        <v>2.3948000888347479E-2</v>
      </c>
      <c r="F27" s="69">
        <v>2.3948000888347479E-2</v>
      </c>
      <c r="G27" s="69">
        <v>2.3948000888347479E-2</v>
      </c>
      <c r="H27" s="69">
        <v>2.3948000888347479E-2</v>
      </c>
      <c r="I27" s="66">
        <v>2.3948000888347479E-2</v>
      </c>
      <c r="J27" s="67">
        <v>2.3948000888347479E-2</v>
      </c>
      <c r="K27" s="68">
        <v>2.3948000888347479E-2</v>
      </c>
      <c r="L27" s="68">
        <v>2.3948000888347479E-2</v>
      </c>
      <c r="M27" s="68">
        <v>2.3948000888347479E-2</v>
      </c>
      <c r="N27" s="68">
        <v>2.3948000888347479E-2</v>
      </c>
      <c r="O27" s="68">
        <v>2.3948000888347479E-2</v>
      </c>
    </row>
    <row r="28" spans="1:15">
      <c r="A28" t="s">
        <v>47</v>
      </c>
      <c r="E28" s="69" cm="1">
        <f t="array" ref="E28:O28">E7:O7</f>
        <v>2.3948000888347479E-2</v>
      </c>
      <c r="F28" s="69">
        <v>2.3948000888347479E-2</v>
      </c>
      <c r="G28" s="69">
        <v>2.3948000888347479E-2</v>
      </c>
      <c r="H28" s="69">
        <v>2.3948000888347479E-2</v>
      </c>
      <c r="I28" s="66">
        <v>2.3948000888347479E-2</v>
      </c>
      <c r="J28" s="67">
        <v>2.3948000888347479E-2</v>
      </c>
      <c r="K28" s="68">
        <v>2.3948000888347479E-2</v>
      </c>
      <c r="L28" s="68">
        <v>2.3948000888347479E-2</v>
      </c>
      <c r="M28" s="68">
        <v>2.3948000888347479E-2</v>
      </c>
      <c r="N28" s="68">
        <v>2.3948000888347479E-2</v>
      </c>
      <c r="O28" s="68">
        <v>2.3948000888347479E-2</v>
      </c>
    </row>
    <row r="29" spans="1:15">
      <c r="A29" t="s">
        <v>48</v>
      </c>
      <c r="E29" s="69" cm="1">
        <f t="array" ref="E29:O29">E7:O7</f>
        <v>2.3948000888347479E-2</v>
      </c>
      <c r="F29" s="69">
        <v>2.3948000888347479E-2</v>
      </c>
      <c r="G29" s="69">
        <v>2.3948000888347479E-2</v>
      </c>
      <c r="H29" s="69">
        <v>2.3948000888347479E-2</v>
      </c>
      <c r="I29" s="66">
        <v>2.3948000888347479E-2</v>
      </c>
      <c r="J29" s="67">
        <v>2.3948000888347479E-2</v>
      </c>
      <c r="K29" s="68">
        <v>2.3948000888347479E-2</v>
      </c>
      <c r="L29" s="68">
        <v>2.3948000888347479E-2</v>
      </c>
      <c r="M29" s="68">
        <v>2.3948000888347479E-2</v>
      </c>
      <c r="N29" s="68">
        <v>2.3948000888347479E-2</v>
      </c>
      <c r="O29" s="68">
        <v>2.3948000888347479E-2</v>
      </c>
    </row>
    <row r="30" spans="1:15">
      <c r="A30" t="s">
        <v>49</v>
      </c>
      <c r="E30" s="69" cm="1">
        <f t="array" ref="E30:O30">E7:O7</f>
        <v>2.3948000888347479E-2</v>
      </c>
      <c r="F30" s="69">
        <v>2.3948000888347479E-2</v>
      </c>
      <c r="G30" s="69">
        <v>2.3948000888347479E-2</v>
      </c>
      <c r="H30" s="69">
        <v>2.3948000888347479E-2</v>
      </c>
      <c r="I30" s="66">
        <v>2.3948000888347479E-2</v>
      </c>
      <c r="J30" s="67">
        <v>2.3948000888347479E-2</v>
      </c>
      <c r="K30" s="68">
        <v>2.3948000888347479E-2</v>
      </c>
      <c r="L30" s="68">
        <v>2.3948000888347479E-2</v>
      </c>
      <c r="M30" s="68">
        <v>2.3948000888347479E-2</v>
      </c>
      <c r="N30" s="68">
        <v>2.3948000888347479E-2</v>
      </c>
      <c r="O30" s="68">
        <v>2.3948000888347479E-2</v>
      </c>
    </row>
    <row r="31" spans="1:15">
      <c r="A31" t="s">
        <v>27</v>
      </c>
      <c r="E31" s="69" cm="1">
        <f t="array" ref="E31:O31">E7:O7</f>
        <v>2.3948000888347479E-2</v>
      </c>
      <c r="F31" s="69">
        <v>2.3948000888347479E-2</v>
      </c>
      <c r="G31" s="69">
        <v>2.3948000888347479E-2</v>
      </c>
      <c r="H31" s="69">
        <v>2.3948000888347479E-2</v>
      </c>
      <c r="I31" s="66">
        <v>2.3948000888347479E-2</v>
      </c>
      <c r="J31" s="67">
        <v>2.3948000888347479E-2</v>
      </c>
      <c r="K31" s="68">
        <v>2.3948000888347479E-2</v>
      </c>
      <c r="L31" s="68">
        <v>2.3948000888347479E-2</v>
      </c>
      <c r="M31" s="68">
        <v>2.3948000888347479E-2</v>
      </c>
      <c r="N31" s="68">
        <v>2.3948000888347479E-2</v>
      </c>
      <c r="O31" s="68">
        <v>2.3948000888347479E-2</v>
      </c>
    </row>
    <row r="32" spans="1:15">
      <c r="A32" t="s">
        <v>50</v>
      </c>
      <c r="E32" s="69" cm="1">
        <f t="array" ref="E32:O32">E7:O7</f>
        <v>2.3948000888347479E-2</v>
      </c>
      <c r="F32" s="69">
        <v>2.3948000888347479E-2</v>
      </c>
      <c r="G32" s="69">
        <v>2.3948000888347479E-2</v>
      </c>
      <c r="H32" s="69">
        <v>2.3948000888347479E-2</v>
      </c>
      <c r="I32" s="66">
        <v>2.3948000888347479E-2</v>
      </c>
      <c r="J32" s="67">
        <v>2.3948000888347479E-2</v>
      </c>
      <c r="K32" s="68">
        <v>2.3948000888347479E-2</v>
      </c>
      <c r="L32" s="68">
        <v>2.3948000888347479E-2</v>
      </c>
      <c r="M32" s="68">
        <v>2.3948000888347479E-2</v>
      </c>
      <c r="N32" s="68">
        <v>2.3948000888347479E-2</v>
      </c>
      <c r="O32" s="68">
        <v>2.3948000888347479E-2</v>
      </c>
    </row>
    <row r="33" spans="1:40">
      <c r="A33" t="s">
        <v>29</v>
      </c>
      <c r="E33" s="69" cm="1">
        <f t="array" ref="E33:O33">E8:O8</f>
        <v>0.18562273222509823</v>
      </c>
      <c r="F33" s="69">
        <v>0.18562273222509823</v>
      </c>
      <c r="G33" s="69">
        <v>0.18562273222509823</v>
      </c>
      <c r="H33" s="69">
        <v>0.18562273222509823</v>
      </c>
      <c r="I33" s="66">
        <v>0.18562273222509823</v>
      </c>
      <c r="J33" s="67">
        <v>0.18562273222509823</v>
      </c>
      <c r="K33" s="68">
        <v>0.18562273222509823</v>
      </c>
      <c r="L33" s="68">
        <v>0.18562273222509823</v>
      </c>
      <c r="M33" s="68">
        <v>0.18562273222509823</v>
      </c>
      <c r="N33" s="68">
        <v>0.18562273222509823</v>
      </c>
      <c r="O33" s="68">
        <v>0.18562273222509823</v>
      </c>
    </row>
    <row r="34" spans="1:40">
      <c r="J34" s="63"/>
    </row>
    <row r="35" spans="1:40">
      <c r="A35" s="25" t="s">
        <v>51</v>
      </c>
      <c r="E35" s="27">
        <v>2000</v>
      </c>
      <c r="F35" s="27">
        <v>2005</v>
      </c>
      <c r="G35" s="27">
        <v>2010</v>
      </c>
      <c r="H35" s="27">
        <v>2015</v>
      </c>
      <c r="I35" s="27">
        <v>2020</v>
      </c>
      <c r="J35" s="28">
        <v>2025</v>
      </c>
      <c r="K35" s="29">
        <v>2030</v>
      </c>
      <c r="L35" s="29">
        <v>2035</v>
      </c>
      <c r="M35" s="29">
        <v>2040</v>
      </c>
      <c r="N35" s="29">
        <v>2045</v>
      </c>
      <c r="O35" s="29">
        <v>2050</v>
      </c>
    </row>
    <row r="36" spans="1:40">
      <c r="A36" t="s">
        <v>16</v>
      </c>
      <c r="B36" s="51">
        <v>750</v>
      </c>
      <c r="C36" s="51">
        <v>10</v>
      </c>
      <c r="D36" s="49">
        <v>15</v>
      </c>
      <c r="E36" s="66">
        <f>E11*'Rel. eff.'!B29</f>
        <v>3.3380811179637516E-2</v>
      </c>
      <c r="F36" s="66">
        <f>F11*'Rel. eff.'!C29</f>
        <v>3.3380811179637516E-2</v>
      </c>
      <c r="G36" s="66">
        <f>G11*'Rel. eff.'!D29</f>
        <v>3.3380811179637516E-2</v>
      </c>
      <c r="H36" s="66">
        <f>H11*'Rel. eff.'!E29</f>
        <v>3.3380811179637516E-2</v>
      </c>
      <c r="I36" s="66">
        <f>I11*'Rel. eff.'!F29</f>
        <v>4.2620886094699273E-2</v>
      </c>
      <c r="J36" s="67">
        <f>J11*'Rel. eff.'!H29</f>
        <v>4.2620886094699273E-2</v>
      </c>
      <c r="K36" s="68">
        <f>K11*'Rel. eff.'!I29</f>
        <v>4.2620886094699273E-2</v>
      </c>
      <c r="L36" s="68">
        <f>L11*'Rel. eff.'!J29</f>
        <v>4.2620886094699273E-2</v>
      </c>
      <c r="M36" s="68">
        <f>M11*'Rel. eff.'!K29</f>
        <v>4.2620886094699273E-2</v>
      </c>
      <c r="N36" s="68">
        <f>N11*'Rel. eff.'!L29</f>
        <v>4.2620886094699273E-2</v>
      </c>
      <c r="O36" s="68">
        <f>O11*'Rel. eff.'!M29</f>
        <v>4.2620886094699273E-2</v>
      </c>
      <c r="R36" t="str" cm="1">
        <f t="array" ref="R36:AN50">TRANSPOSE(A36:O58)</f>
        <v>R_APP_REF_MEF</v>
      </c>
      <c r="S36" t="str">
        <v>R_APP_REF_HEF</v>
      </c>
      <c r="T36" t="str">
        <v>R_APP_FRZ_MEF</v>
      </c>
      <c r="U36" t="str">
        <v>R_APP_FRZ_HEF</v>
      </c>
      <c r="V36" t="str">
        <v>R_APP_DSH_MEF</v>
      </c>
      <c r="W36" t="str">
        <v>R_APP_DSH_HEF</v>
      </c>
      <c r="X36" t="str">
        <v>R_APP_CWSH_MEF</v>
      </c>
      <c r="Y36" t="str">
        <v>R_APP_CWSH_HEF</v>
      </c>
      <c r="Z36">
        <v>0</v>
      </c>
      <c r="AA36" t="str">
        <v>R_APP_CDRY_ELC_MEF</v>
      </c>
      <c r="AB36" t="str">
        <v>R_APP_CDRY_ELC_HEF</v>
      </c>
      <c r="AC36" t="str">
        <v>R_APP_CDRY_LPG_MEF</v>
      </c>
      <c r="AD36" t="str">
        <v>R_APP_CDRY_LPG_HEF</v>
      </c>
      <c r="AE36" t="str">
        <v>R_APP_CDRY_NGS_MEF</v>
      </c>
      <c r="AF36" t="str">
        <v>R_APP_CDRY_NGS_HEF</v>
      </c>
      <c r="AG36">
        <v>0</v>
      </c>
      <c r="AH36" t="str">
        <v>R_APP_COOK_RNG_ELC_MEF</v>
      </c>
      <c r="AI36" t="str">
        <v>R_APP_COOK_RNG_ELC_HEF</v>
      </c>
      <c r="AJ36" t="str">
        <v>R_APP_COOK_RNG_LPG_MEF</v>
      </c>
      <c r="AK36" t="str">
        <v>R_APP_COOK_RNG_LPG_HEF</v>
      </c>
      <c r="AL36" t="str">
        <v>R_APP_COOK_RNG_NGS_MEF</v>
      </c>
      <c r="AM36" t="str">
        <v>R_APP_COOK_RNG_NGS_HEF</v>
      </c>
      <c r="AN36" t="str">
        <v>R_APP_OTH_APP</v>
      </c>
    </row>
    <row r="37" spans="1:40">
      <c r="A37" t="s">
        <v>37</v>
      </c>
      <c r="B37" s="52">
        <v>760</v>
      </c>
      <c r="C37" s="52">
        <v>10</v>
      </c>
      <c r="D37" s="49">
        <v>15</v>
      </c>
      <c r="E37" s="62"/>
      <c r="F37" s="62"/>
      <c r="G37" s="62"/>
      <c r="H37" s="62"/>
      <c r="I37" s="66"/>
      <c r="J37" s="67">
        <f>J12*'Rel. eff.'!H30</f>
        <v>4.7740154536241364E-2</v>
      </c>
      <c r="K37" s="68">
        <f>K12*'Rel. eff.'!I30</f>
        <v>4.7740154536241364E-2</v>
      </c>
      <c r="L37" s="68">
        <f>L12*'Rel. eff.'!J30</f>
        <v>4.7740154536241364E-2</v>
      </c>
      <c r="M37" s="68">
        <f>M12*'Rel. eff.'!K30</f>
        <v>4.7740154536241364E-2</v>
      </c>
      <c r="N37" s="68">
        <f>N12*'Rel. eff.'!L30</f>
        <v>4.7740154536241364E-2</v>
      </c>
      <c r="O37" s="68">
        <f>O12*'Rel. eff.'!M30</f>
        <v>4.7740154536241364E-2</v>
      </c>
      <c r="Q37" s="47" t="str" cm="1">
        <f t="array" ref="Q37:Q50">TRANSPOSE(B1:O1)</f>
        <v>Cost invest</v>
      </c>
      <c r="R37" s="48">
        <v>750</v>
      </c>
      <c r="S37" s="48">
        <v>760</v>
      </c>
      <c r="T37" s="48">
        <v>680</v>
      </c>
      <c r="U37" s="48">
        <v>690</v>
      </c>
      <c r="V37" s="48">
        <v>340</v>
      </c>
      <c r="W37" s="48">
        <v>500</v>
      </c>
      <c r="X37" s="48">
        <v>520</v>
      </c>
      <c r="Y37" s="48">
        <v>725</v>
      </c>
      <c r="Z37" s="48">
        <v>0</v>
      </c>
      <c r="AA37" s="48">
        <v>710</v>
      </c>
      <c r="AB37" s="48">
        <v>1110</v>
      </c>
      <c r="AC37" s="48">
        <v>670</v>
      </c>
      <c r="AD37" s="48">
        <v>870</v>
      </c>
      <c r="AE37" s="48">
        <v>670</v>
      </c>
      <c r="AF37" s="48">
        <v>870</v>
      </c>
      <c r="AG37" s="48">
        <v>0</v>
      </c>
      <c r="AH37" s="48">
        <v>770</v>
      </c>
      <c r="AI37" s="48">
        <v>1050</v>
      </c>
      <c r="AJ37" s="48">
        <v>920</v>
      </c>
      <c r="AK37" s="47">
        <v>1000</v>
      </c>
      <c r="AL37" s="47">
        <v>920</v>
      </c>
      <c r="AM37">
        <v>1000</v>
      </c>
      <c r="AN37">
        <v>0</v>
      </c>
    </row>
    <row r="38" spans="1:40">
      <c r="A38" t="s">
        <v>17</v>
      </c>
      <c r="B38" s="52">
        <v>680</v>
      </c>
      <c r="C38" s="52">
        <v>10</v>
      </c>
      <c r="D38" s="49">
        <v>21</v>
      </c>
      <c r="E38" s="66">
        <f>E13*'Rel. eff.'!B31</f>
        <v>4.3171399829849418E-2</v>
      </c>
      <c r="F38" s="66">
        <f>F13*'Rel. eff.'!C31</f>
        <v>4.3171399829849418E-2</v>
      </c>
      <c r="G38" s="66">
        <f>G13*'Rel. eff.'!D31</f>
        <v>4.3171399829849418E-2</v>
      </c>
      <c r="H38" s="66">
        <f>H13*'Rel. eff.'!E31</f>
        <v>4.3171399829849418E-2</v>
      </c>
      <c r="I38" s="66">
        <f>I13*'Rel. eff.'!F31</f>
        <v>5.2328969490726573E-2</v>
      </c>
      <c r="J38" s="67">
        <f>J13*'Rel. eff.'!H31</f>
        <v>5.2328969490726573E-2</v>
      </c>
      <c r="K38" s="68">
        <f>K13*'Rel. eff.'!I31</f>
        <v>5.2328969490726573E-2</v>
      </c>
      <c r="L38" s="68">
        <f>L13*'Rel. eff.'!J31</f>
        <v>5.2328969490726573E-2</v>
      </c>
      <c r="M38" s="68">
        <f>M13*'Rel. eff.'!K31</f>
        <v>5.2328969490726573E-2</v>
      </c>
      <c r="N38" s="68">
        <f>N13*'Rel. eff.'!L31</f>
        <v>5.2328969490726573E-2</v>
      </c>
      <c r="O38" s="68">
        <f>O13*'Rel. eff.'!M31</f>
        <v>5.2328969490726573E-2</v>
      </c>
      <c r="Q38" s="47" t="str">
        <v>Cost fixed</v>
      </c>
      <c r="R38" s="53">
        <v>10</v>
      </c>
      <c r="S38" s="53">
        <v>10</v>
      </c>
      <c r="T38" s="53">
        <v>10</v>
      </c>
      <c r="U38" s="53">
        <v>10</v>
      </c>
      <c r="V38" s="53">
        <v>0</v>
      </c>
      <c r="W38" s="53">
        <v>0</v>
      </c>
      <c r="X38" s="53">
        <v>15</v>
      </c>
      <c r="Y38" s="53">
        <v>15</v>
      </c>
      <c r="Z38" s="53">
        <v>0</v>
      </c>
      <c r="AA38" s="53">
        <v>0</v>
      </c>
      <c r="AB38" s="53">
        <v>0</v>
      </c>
      <c r="AC38" s="53">
        <v>0</v>
      </c>
      <c r="AD38" s="53">
        <v>0</v>
      </c>
      <c r="AE38" s="53">
        <v>0</v>
      </c>
      <c r="AF38" s="53">
        <v>0</v>
      </c>
      <c r="AG38" s="53">
        <v>0</v>
      </c>
      <c r="AH38" s="53">
        <v>0</v>
      </c>
      <c r="AI38" s="53">
        <v>0</v>
      </c>
      <c r="AJ38" s="53">
        <v>0</v>
      </c>
      <c r="AK38" s="53">
        <v>0</v>
      </c>
      <c r="AL38" s="53">
        <v>0</v>
      </c>
      <c r="AM38">
        <v>0</v>
      </c>
      <c r="AN38">
        <v>0</v>
      </c>
    </row>
    <row r="39" spans="1:40">
      <c r="A39" t="s">
        <v>38</v>
      </c>
      <c r="B39" s="52">
        <v>690</v>
      </c>
      <c r="C39" s="52">
        <v>10</v>
      </c>
      <c r="D39" s="49">
        <v>21</v>
      </c>
      <c r="E39" s="62"/>
      <c r="F39" s="62"/>
      <c r="G39" s="62"/>
      <c r="H39" s="62"/>
      <c r="I39" s="66"/>
      <c r="J39" s="67">
        <f>J14*'Rel. eff.'!H32</f>
        <v>5.4152278532215298E-2</v>
      </c>
      <c r="K39" s="68">
        <f>K14*'Rel. eff.'!I32</f>
        <v>5.4152278532215298E-2</v>
      </c>
      <c r="L39" s="68">
        <f>L14*'Rel. eff.'!J32</f>
        <v>5.4152278532215298E-2</v>
      </c>
      <c r="M39" s="68">
        <f>M14*'Rel. eff.'!K32</f>
        <v>5.4152278532215298E-2</v>
      </c>
      <c r="N39" s="68">
        <f>N14*'Rel. eff.'!L32</f>
        <v>5.4152278532215298E-2</v>
      </c>
      <c r="O39" s="68">
        <f>O14*'Rel. eff.'!M32</f>
        <v>5.4152278532215298E-2</v>
      </c>
      <c r="Q39" s="47" t="str">
        <v>Life</v>
      </c>
      <c r="R39" s="53">
        <v>15</v>
      </c>
      <c r="S39" s="53">
        <v>15</v>
      </c>
      <c r="T39" s="53">
        <v>21</v>
      </c>
      <c r="U39" s="53">
        <v>21</v>
      </c>
      <c r="V39" s="53">
        <v>15</v>
      </c>
      <c r="W39" s="53">
        <v>15</v>
      </c>
      <c r="X39" s="53">
        <v>12</v>
      </c>
      <c r="Y39" s="53">
        <v>12</v>
      </c>
      <c r="Z39" s="53">
        <v>0</v>
      </c>
      <c r="AA39" s="53">
        <v>13</v>
      </c>
      <c r="AB39" s="53">
        <v>13</v>
      </c>
      <c r="AC39" s="53">
        <v>13</v>
      </c>
      <c r="AD39" s="53">
        <v>13</v>
      </c>
      <c r="AE39" s="53">
        <v>13</v>
      </c>
      <c r="AF39" s="53">
        <v>13</v>
      </c>
      <c r="AG39" s="53">
        <v>0</v>
      </c>
      <c r="AH39" s="53">
        <v>17</v>
      </c>
      <c r="AI39" s="53">
        <v>17</v>
      </c>
      <c r="AJ39" s="53">
        <v>15</v>
      </c>
      <c r="AK39" s="53">
        <v>15</v>
      </c>
      <c r="AL39" s="53">
        <v>15</v>
      </c>
      <c r="AM39">
        <v>15</v>
      </c>
      <c r="AN39">
        <v>100</v>
      </c>
    </row>
    <row r="40" spans="1:40">
      <c r="A40" t="s">
        <v>18</v>
      </c>
      <c r="B40" s="52">
        <v>340</v>
      </c>
      <c r="C40" s="52"/>
      <c r="D40" s="49">
        <v>15</v>
      </c>
      <c r="E40" s="66">
        <f>E15*'Rel. eff.'!B33</f>
        <v>0.22010279748490189</v>
      </c>
      <c r="F40" s="66">
        <f>F15*'Rel. eff.'!C33</f>
        <v>0.22010279748490189</v>
      </c>
      <c r="G40" s="66">
        <f>G15*'Rel. eff.'!D33</f>
        <v>0.22010279748490189</v>
      </c>
      <c r="H40" s="66">
        <f>H15*'Rel. eff.'!E33</f>
        <v>0.22010279748490189</v>
      </c>
      <c r="I40" s="66">
        <f>I15*'Rel. eff.'!F33</f>
        <v>0.24048268614091131</v>
      </c>
      <c r="J40" s="67">
        <f>J15*'Rel. eff.'!H33</f>
        <v>0.25093845510355961</v>
      </c>
      <c r="K40" s="68">
        <f>K15*'Rel. eff.'!I33</f>
        <v>0.27054302190852525</v>
      </c>
      <c r="L40" s="68">
        <f>L15*'Rel. eff.'!J33</f>
        <v>0.27054302190852525</v>
      </c>
      <c r="M40" s="68">
        <f>M15*'Rel. eff.'!K33</f>
        <v>0.27054302190852525</v>
      </c>
      <c r="N40" s="68">
        <f>N15*'Rel. eff.'!L33</f>
        <v>0.27054302190852525</v>
      </c>
      <c r="O40" s="68">
        <f>O15*'Rel. eff.'!M33</f>
        <v>0.27054302190852525</v>
      </c>
      <c r="Q40">
        <v>2000</v>
      </c>
      <c r="R40" s="24">
        <v>3.3380811179637516E-2</v>
      </c>
      <c r="S40" s="24">
        <v>0</v>
      </c>
      <c r="T40" s="24">
        <v>4.3171399829849418E-2</v>
      </c>
      <c r="U40" s="24">
        <v>0</v>
      </c>
      <c r="V40" s="24">
        <v>0.22010279748490189</v>
      </c>
      <c r="W40" s="24">
        <v>0</v>
      </c>
      <c r="X40" s="24">
        <v>0.43275452615506527</v>
      </c>
      <c r="Y40" s="24">
        <v>0</v>
      </c>
      <c r="Z40" s="24">
        <v>0</v>
      </c>
      <c r="AA40" s="24">
        <v>2.0442636589303904E-2</v>
      </c>
      <c r="AB40" s="24">
        <v>0</v>
      </c>
      <c r="AC40" s="24">
        <v>1.8107962215595106E-2</v>
      </c>
      <c r="AD40" s="24">
        <v>0</v>
      </c>
      <c r="AE40" s="24">
        <v>1.8107962215595106E-2</v>
      </c>
      <c r="AF40" s="24">
        <v>0</v>
      </c>
      <c r="AG40" s="24">
        <v>0</v>
      </c>
      <c r="AH40" s="24">
        <v>2.616364708196383E-2</v>
      </c>
      <c r="AI40" s="24">
        <v>0</v>
      </c>
      <c r="AJ40" s="24">
        <v>1.4691767130618563E-2</v>
      </c>
      <c r="AK40" s="24">
        <v>0</v>
      </c>
      <c r="AL40" s="24">
        <v>1.4691767130618563E-2</v>
      </c>
      <c r="AM40">
        <v>0</v>
      </c>
      <c r="AN40">
        <v>0.18562273222509823</v>
      </c>
    </row>
    <row r="41" spans="1:40">
      <c r="A41" t="s">
        <v>39</v>
      </c>
      <c r="B41" s="52">
        <v>500</v>
      </c>
      <c r="C41" s="52"/>
      <c r="D41" s="49">
        <v>15</v>
      </c>
      <c r="E41" s="62"/>
      <c r="F41" s="62"/>
      <c r="G41" s="62"/>
      <c r="H41" s="62"/>
      <c r="I41" s="66"/>
      <c r="J41" s="67">
        <f>J16*'Rel. eff.'!H34</f>
        <v>0.28857922336909358</v>
      </c>
      <c r="K41" s="68">
        <f>K16*'Rel. eff.'!I34</f>
        <v>0.28857922336909358</v>
      </c>
      <c r="L41" s="68">
        <f>L16*'Rel. eff.'!J34</f>
        <v>0.28857922336909358</v>
      </c>
      <c r="M41" s="68">
        <f>M16*'Rel. eff.'!K34</f>
        <v>0.28857922336909358</v>
      </c>
      <c r="N41" s="68">
        <f>N16*'Rel. eff.'!L34</f>
        <v>0.28857922336909358</v>
      </c>
      <c r="O41" s="68">
        <f>O16*'Rel. eff.'!M34</f>
        <v>0.28857922336909358</v>
      </c>
      <c r="Q41">
        <v>2005</v>
      </c>
      <c r="R41" s="24">
        <v>3.3380811179637516E-2</v>
      </c>
      <c r="S41" s="24">
        <v>0</v>
      </c>
      <c r="T41" s="24">
        <v>4.3171399829849418E-2</v>
      </c>
      <c r="U41" s="24">
        <v>0</v>
      </c>
      <c r="V41" s="24">
        <v>0.22010279748490189</v>
      </c>
      <c r="W41" s="24">
        <v>0</v>
      </c>
      <c r="X41" s="24">
        <v>0.43275452615506527</v>
      </c>
      <c r="Y41" s="24">
        <v>0</v>
      </c>
      <c r="Z41" s="24">
        <v>0</v>
      </c>
      <c r="AA41" s="24">
        <v>2.0442636589303904E-2</v>
      </c>
      <c r="AB41" s="24">
        <v>0</v>
      </c>
      <c r="AC41" s="24">
        <v>1.8107962215595106E-2</v>
      </c>
      <c r="AD41" s="24">
        <v>0</v>
      </c>
      <c r="AE41" s="24">
        <v>1.8107962215595106E-2</v>
      </c>
      <c r="AF41" s="24">
        <v>0</v>
      </c>
      <c r="AG41" s="24">
        <v>0</v>
      </c>
      <c r="AH41" s="24">
        <v>2.616364708196383E-2</v>
      </c>
      <c r="AI41" s="24">
        <v>0</v>
      </c>
      <c r="AJ41" s="24">
        <v>1.4691767130618563E-2</v>
      </c>
      <c r="AK41" s="24">
        <v>0</v>
      </c>
      <c r="AL41" s="24">
        <v>1.4691767130618563E-2</v>
      </c>
      <c r="AM41">
        <v>0</v>
      </c>
      <c r="AN41">
        <v>0.18562273222509823</v>
      </c>
    </row>
    <row r="42" spans="1:40">
      <c r="A42" t="s">
        <v>19</v>
      </c>
      <c r="B42" s="52">
        <v>520</v>
      </c>
      <c r="C42" s="52">
        <v>15</v>
      </c>
      <c r="D42" s="49">
        <v>12</v>
      </c>
      <c r="E42" s="66">
        <f>E17*'Rel. eff.'!B35</f>
        <v>0.43275452615506527</v>
      </c>
      <c r="F42" s="66">
        <f>F17*'Rel. eff.'!C35</f>
        <v>0.43275452615506527</v>
      </c>
      <c r="G42" s="66">
        <f>G17*'Rel. eff.'!D35</f>
        <v>0.43275452615506527</v>
      </c>
      <c r="H42" s="66">
        <f>H17*'Rel. eff.'!E35</f>
        <v>0.43275452615506527</v>
      </c>
      <c r="I42" s="66">
        <f>I17*'Rel. eff.'!F35</f>
        <v>0.441184809132112</v>
      </c>
      <c r="J42" s="67">
        <f>J17*'Rel. eff.'!H35</f>
        <v>0.441184809132112</v>
      </c>
      <c r="K42" s="68">
        <f>K17*'Rel. eff.'!I35</f>
        <v>0.441184809132112</v>
      </c>
      <c r="L42" s="68">
        <f>L17*'Rel. eff.'!J35</f>
        <v>0.441184809132112</v>
      </c>
      <c r="M42" s="68">
        <f>M17*'Rel. eff.'!K35</f>
        <v>0.441184809132112</v>
      </c>
      <c r="N42" s="68">
        <f>N17*'Rel. eff.'!L35</f>
        <v>0.441184809132112</v>
      </c>
      <c r="O42" s="68">
        <f>O17*'Rel. eff.'!M35</f>
        <v>0.441184809132112</v>
      </c>
      <c r="Q42">
        <v>2010</v>
      </c>
      <c r="R42" s="24">
        <v>3.3380811179637516E-2</v>
      </c>
      <c r="S42" s="24">
        <v>0</v>
      </c>
      <c r="T42" s="24">
        <v>4.3171399829849418E-2</v>
      </c>
      <c r="U42" s="24">
        <v>0</v>
      </c>
      <c r="V42" s="24">
        <v>0.22010279748490189</v>
      </c>
      <c r="W42" s="24">
        <v>0</v>
      </c>
      <c r="X42" s="24">
        <v>0.43275452615506527</v>
      </c>
      <c r="Y42" s="24">
        <v>0</v>
      </c>
      <c r="Z42" s="24">
        <v>0</v>
      </c>
      <c r="AA42" s="24">
        <v>2.0442636589303904E-2</v>
      </c>
      <c r="AB42" s="24">
        <v>0</v>
      </c>
      <c r="AC42" s="24">
        <v>1.8107962215595106E-2</v>
      </c>
      <c r="AD42" s="24">
        <v>0</v>
      </c>
      <c r="AE42" s="24">
        <v>1.8107962215595106E-2</v>
      </c>
      <c r="AF42" s="24">
        <v>0</v>
      </c>
      <c r="AG42" s="24">
        <v>0</v>
      </c>
      <c r="AH42" s="24">
        <v>2.616364708196383E-2</v>
      </c>
      <c r="AI42" s="24">
        <v>0</v>
      </c>
      <c r="AJ42" s="24">
        <v>1.4691767130618563E-2</v>
      </c>
      <c r="AK42" s="24">
        <v>0</v>
      </c>
      <c r="AL42" s="24">
        <v>1.4691767130618563E-2</v>
      </c>
      <c r="AM42">
        <v>0</v>
      </c>
      <c r="AN42">
        <v>0.18562273222509823</v>
      </c>
    </row>
    <row r="43" spans="1:40">
      <c r="A43" t="s">
        <v>40</v>
      </c>
      <c r="B43" s="50">
        <v>725</v>
      </c>
      <c r="C43" s="52">
        <v>15</v>
      </c>
      <c r="D43" s="49">
        <v>12</v>
      </c>
      <c r="E43" s="62"/>
      <c r="F43" s="62"/>
      <c r="G43" s="62"/>
      <c r="H43" s="62"/>
      <c r="I43" s="66"/>
      <c r="J43" s="67">
        <f>J18*'Rel. eff.'!H36</f>
        <v>0.77558603388829872</v>
      </c>
      <c r="K43" s="68">
        <f>K18*'Rel. eff.'!I36</f>
        <v>0.77558603388829872</v>
      </c>
      <c r="L43" s="68">
        <f>L18*'Rel. eff.'!J36</f>
        <v>0.77558603388829872</v>
      </c>
      <c r="M43" s="68">
        <f>M18*'Rel. eff.'!K36</f>
        <v>0.77558603388829872</v>
      </c>
      <c r="N43" s="68">
        <f>N18*'Rel. eff.'!L36</f>
        <v>0.77558603388829872</v>
      </c>
      <c r="O43" s="68">
        <f>O18*'Rel. eff.'!M36</f>
        <v>0.77558603388829872</v>
      </c>
      <c r="Q43">
        <v>2015</v>
      </c>
      <c r="R43" s="24">
        <v>3.3380811179637516E-2</v>
      </c>
      <c r="S43" s="24">
        <v>0</v>
      </c>
      <c r="T43" s="24">
        <v>4.3171399829849418E-2</v>
      </c>
      <c r="U43" s="24">
        <v>0</v>
      </c>
      <c r="V43" s="24">
        <v>0.22010279748490189</v>
      </c>
      <c r="W43" s="24">
        <v>0</v>
      </c>
      <c r="X43" s="24">
        <v>0.43275452615506527</v>
      </c>
      <c r="Y43" s="24">
        <v>0</v>
      </c>
      <c r="Z43" s="24">
        <v>0</v>
      </c>
      <c r="AA43" s="24">
        <v>2.0442636589303904E-2</v>
      </c>
      <c r="AB43" s="24">
        <v>0</v>
      </c>
      <c r="AC43" s="24">
        <v>1.8107962215595106E-2</v>
      </c>
      <c r="AD43" s="24">
        <v>0</v>
      </c>
      <c r="AE43" s="24">
        <v>1.8107962215595106E-2</v>
      </c>
      <c r="AF43" s="24">
        <v>0</v>
      </c>
      <c r="AG43" s="24">
        <v>0</v>
      </c>
      <c r="AH43" s="24">
        <v>2.616364708196383E-2</v>
      </c>
      <c r="AI43" s="24">
        <v>0</v>
      </c>
      <c r="AJ43" s="24">
        <v>1.4691767130618563E-2</v>
      </c>
      <c r="AK43" s="24">
        <v>0</v>
      </c>
      <c r="AL43" s="24">
        <v>1.4691767130618563E-2</v>
      </c>
      <c r="AM43">
        <v>0</v>
      </c>
      <c r="AN43">
        <v>0.18562273222509823</v>
      </c>
    </row>
    <row r="44" spans="1:40">
      <c r="C44" s="52"/>
      <c r="D44" s="49"/>
      <c r="E44" s="62"/>
      <c r="F44" s="62"/>
      <c r="G44" s="62"/>
      <c r="H44" s="62"/>
      <c r="I44" s="66"/>
      <c r="J44" s="67"/>
      <c r="K44" s="68"/>
      <c r="L44" s="68"/>
      <c r="M44" s="68"/>
      <c r="N44" s="68"/>
      <c r="O44" s="68"/>
      <c r="Q44">
        <v>2018</v>
      </c>
      <c r="R44" s="24">
        <v>4.2620886094699273E-2</v>
      </c>
      <c r="S44" s="24">
        <v>0</v>
      </c>
      <c r="T44" s="24">
        <v>5.2328969490726573E-2</v>
      </c>
      <c r="U44" s="24">
        <v>0</v>
      </c>
      <c r="V44" s="24">
        <v>0.24048268614091131</v>
      </c>
      <c r="W44" s="24">
        <v>0</v>
      </c>
      <c r="X44" s="24">
        <v>0.441184809132112</v>
      </c>
      <c r="Y44" s="24">
        <v>0</v>
      </c>
      <c r="Z44" s="24">
        <v>0</v>
      </c>
      <c r="AA44" s="24">
        <v>2.1239842473009349E-2</v>
      </c>
      <c r="AB44" s="24">
        <v>0</v>
      </c>
      <c r="AC44" s="24">
        <v>1.8791281544485484E-2</v>
      </c>
      <c r="AD44" s="24">
        <v>0</v>
      </c>
      <c r="AE44" s="24">
        <v>1.8791281544485484E-2</v>
      </c>
      <c r="AF44" s="24">
        <v>0</v>
      </c>
      <c r="AG44" s="24">
        <v>0</v>
      </c>
      <c r="AH44" s="24">
        <v>2.616364708196383E-2</v>
      </c>
      <c r="AI44" s="24">
        <v>0</v>
      </c>
      <c r="AJ44" s="24">
        <v>1.5841957667984317E-2</v>
      </c>
      <c r="AK44" s="24">
        <v>0</v>
      </c>
      <c r="AL44" s="24">
        <v>1.5841957667984317E-2</v>
      </c>
      <c r="AM44">
        <v>0</v>
      </c>
      <c r="AN44">
        <v>0.18562273222509823</v>
      </c>
    </row>
    <row r="45" spans="1:40">
      <c r="A45" t="s">
        <v>21</v>
      </c>
      <c r="B45" s="50">
        <v>710</v>
      </c>
      <c r="D45" s="49">
        <v>13</v>
      </c>
      <c r="E45" s="66">
        <f>E20*'Rel. eff.'!B38</f>
        <v>2.0442636589303904E-2</v>
      </c>
      <c r="F45" s="66">
        <f>F20*'Rel. eff.'!C38</f>
        <v>2.0442636589303904E-2</v>
      </c>
      <c r="G45" s="66">
        <f>G20*'Rel. eff.'!D38</f>
        <v>2.0442636589303904E-2</v>
      </c>
      <c r="H45" s="66">
        <f>H20*'Rel. eff.'!E38</f>
        <v>2.0442636589303904E-2</v>
      </c>
      <c r="I45" s="66">
        <f>I20*'Rel. eff.'!F38</f>
        <v>2.1239842473009349E-2</v>
      </c>
      <c r="J45" s="67">
        <f>J20*'Rel. eff.'!H38</f>
        <v>2.1239842473009349E-2</v>
      </c>
      <c r="K45" s="68">
        <f>K20*'Rel. eff.'!I38</f>
        <v>2.1239842473009349E-2</v>
      </c>
      <c r="L45" s="68">
        <f>L20*'Rel. eff.'!J38</f>
        <v>2.1239842473009349E-2</v>
      </c>
      <c r="M45" s="68">
        <f>M20*'Rel. eff.'!K38</f>
        <v>2.1239842473009349E-2</v>
      </c>
      <c r="N45" s="68">
        <f>N20*'Rel. eff.'!L38</f>
        <v>2.1239842473009349E-2</v>
      </c>
      <c r="O45" s="68">
        <f>O20*'Rel. eff.'!M38</f>
        <v>2.1239842473009349E-2</v>
      </c>
      <c r="Q45">
        <v>2025</v>
      </c>
      <c r="R45" s="24">
        <v>4.2620886094699273E-2</v>
      </c>
      <c r="S45" s="24">
        <v>4.7740154536241364E-2</v>
      </c>
      <c r="T45" s="24">
        <v>5.2328969490726573E-2</v>
      </c>
      <c r="U45" s="24">
        <v>5.4152278532215298E-2</v>
      </c>
      <c r="V45" s="24">
        <v>0.25093845510355961</v>
      </c>
      <c r="W45" s="24">
        <v>0.28857922336909358</v>
      </c>
      <c r="X45" s="24">
        <v>0.441184809132112</v>
      </c>
      <c r="Y45" s="24">
        <v>0.77558603388829872</v>
      </c>
      <c r="Z45" s="24">
        <v>0</v>
      </c>
      <c r="AA45" s="24">
        <v>2.1239842473009349E-2</v>
      </c>
      <c r="AB45" s="24">
        <v>2.2378708021159988E-2</v>
      </c>
      <c r="AC45" s="24">
        <v>1.8791281544485484E-2</v>
      </c>
      <c r="AD45" s="24">
        <v>1.9816260537821057E-2</v>
      </c>
      <c r="AE45" s="24">
        <v>1.8791281544485484E-2</v>
      </c>
      <c r="AF45" s="24">
        <v>1.9753758003624056E-2</v>
      </c>
      <c r="AG45" s="24">
        <v>0</v>
      </c>
      <c r="AH45" s="24">
        <v>2.616364708196383E-2</v>
      </c>
      <c r="AI45" s="24">
        <v>3.3610730508316249E-2</v>
      </c>
      <c r="AJ45" s="24">
        <v>1.5841957667984317E-2</v>
      </c>
      <c r="AK45" s="24">
        <v>1.6272602544952795E-2</v>
      </c>
      <c r="AL45" s="24">
        <v>1.5841957667984317E-2</v>
      </c>
      <c r="AM45">
        <v>1.7778128206867212E-2</v>
      </c>
      <c r="AN45">
        <v>0.18562273222509823</v>
      </c>
    </row>
    <row r="46" spans="1:40">
      <c r="A46" t="s">
        <v>42</v>
      </c>
      <c r="B46" s="50">
        <v>1110</v>
      </c>
      <c r="D46" s="49">
        <v>13</v>
      </c>
      <c r="E46" s="62"/>
      <c r="F46" s="62"/>
      <c r="G46" s="62"/>
      <c r="H46" s="62"/>
      <c r="I46" s="66"/>
      <c r="J46" s="67">
        <f>J21*'Rel. eff.'!H39</f>
        <v>2.2378708021159988E-2</v>
      </c>
      <c r="K46" s="68">
        <f>K21*'Rel. eff.'!I39</f>
        <v>2.2378708021159988E-2</v>
      </c>
      <c r="L46" s="68">
        <f>L21*'Rel. eff.'!J39</f>
        <v>2.2378708021159988E-2</v>
      </c>
      <c r="M46" s="68">
        <f>M21*'Rel. eff.'!K39</f>
        <v>2.2378708021159988E-2</v>
      </c>
      <c r="N46" s="68">
        <f>N21*'Rel. eff.'!L39</f>
        <v>2.2378708021159988E-2</v>
      </c>
      <c r="O46" s="68">
        <f>O21*'Rel. eff.'!M39</f>
        <v>2.2378708021159988E-2</v>
      </c>
      <c r="Q46">
        <v>2030</v>
      </c>
      <c r="R46" s="24">
        <v>4.2620886094699273E-2</v>
      </c>
      <c r="S46" s="24">
        <v>4.7740154536241364E-2</v>
      </c>
      <c r="T46" s="24">
        <v>5.2328969490726573E-2</v>
      </c>
      <c r="U46" s="24">
        <v>5.4152278532215298E-2</v>
      </c>
      <c r="V46" s="24">
        <v>0.27054302190852525</v>
      </c>
      <c r="W46" s="24">
        <v>0.28857922336909358</v>
      </c>
      <c r="X46" s="24">
        <v>0.441184809132112</v>
      </c>
      <c r="Y46" s="24">
        <v>0.77558603388829872</v>
      </c>
      <c r="Z46" s="24">
        <v>0</v>
      </c>
      <c r="AA46" s="24">
        <v>2.1239842473009349E-2</v>
      </c>
      <c r="AB46" s="24">
        <v>2.2378708021159988E-2</v>
      </c>
      <c r="AC46" s="24">
        <v>1.8791281544485484E-2</v>
      </c>
      <c r="AD46" s="24">
        <v>1.9816260537821057E-2</v>
      </c>
      <c r="AE46" s="24">
        <v>1.8791281544485484E-2</v>
      </c>
      <c r="AF46" s="24">
        <v>1.9753758003624056E-2</v>
      </c>
      <c r="AG46" s="24">
        <v>0</v>
      </c>
      <c r="AH46" s="24">
        <v>2.616364708196383E-2</v>
      </c>
      <c r="AI46" s="24">
        <v>3.3610730508316249E-2</v>
      </c>
      <c r="AJ46" s="24">
        <v>1.5841957667984317E-2</v>
      </c>
      <c r="AK46" s="24">
        <v>1.6272602544952795E-2</v>
      </c>
      <c r="AL46" s="24">
        <v>1.5841957667984317E-2</v>
      </c>
      <c r="AM46">
        <v>1.7778128206867212E-2</v>
      </c>
      <c r="AN46">
        <v>0.18562273222509823</v>
      </c>
    </row>
    <row r="47" spans="1:40">
      <c r="A47" t="s">
        <v>43</v>
      </c>
      <c r="B47" s="50">
        <v>670</v>
      </c>
      <c r="D47" s="49">
        <v>13</v>
      </c>
      <c r="E47" s="66">
        <f>E22*'Rel. eff.'!B40</f>
        <v>1.8107962215595106E-2</v>
      </c>
      <c r="F47" s="66">
        <f>F22*'Rel. eff.'!C40</f>
        <v>1.8107962215595106E-2</v>
      </c>
      <c r="G47" s="66">
        <f>G22*'Rel. eff.'!D40</f>
        <v>1.8107962215595106E-2</v>
      </c>
      <c r="H47" s="66">
        <f>H22*'Rel. eff.'!E40</f>
        <v>1.8107962215595106E-2</v>
      </c>
      <c r="I47" s="66">
        <f>I22*'Rel. eff.'!F40</f>
        <v>1.8791281544485484E-2</v>
      </c>
      <c r="J47" s="67">
        <f>J22*'Rel. eff.'!H40</f>
        <v>1.8791281544485484E-2</v>
      </c>
      <c r="K47" s="68">
        <f>K22*'Rel. eff.'!I40</f>
        <v>1.8791281544485484E-2</v>
      </c>
      <c r="L47" s="68">
        <f>L22*'Rel. eff.'!J40</f>
        <v>1.8791281544485484E-2</v>
      </c>
      <c r="M47" s="68">
        <f>M22*'Rel. eff.'!K40</f>
        <v>1.8791281544485484E-2</v>
      </c>
      <c r="N47" s="68">
        <f>N22*'Rel. eff.'!L40</f>
        <v>1.8791281544485484E-2</v>
      </c>
      <c r="O47" s="68">
        <f>O22*'Rel. eff.'!M40</f>
        <v>1.8791281544485484E-2</v>
      </c>
      <c r="Q47">
        <v>2035</v>
      </c>
      <c r="R47" s="24">
        <v>4.2620886094699273E-2</v>
      </c>
      <c r="S47" s="24">
        <v>4.7740154536241364E-2</v>
      </c>
      <c r="T47" s="24">
        <v>5.2328969490726573E-2</v>
      </c>
      <c r="U47" s="24">
        <v>5.4152278532215298E-2</v>
      </c>
      <c r="V47" s="24">
        <v>0.27054302190852525</v>
      </c>
      <c r="W47" s="24">
        <v>0.28857922336909358</v>
      </c>
      <c r="X47" s="24">
        <v>0.441184809132112</v>
      </c>
      <c r="Y47" s="24">
        <v>0.77558603388829872</v>
      </c>
      <c r="Z47" s="24">
        <v>0</v>
      </c>
      <c r="AA47" s="24">
        <v>2.1239842473009349E-2</v>
      </c>
      <c r="AB47" s="24">
        <v>2.2378708021159988E-2</v>
      </c>
      <c r="AC47" s="24">
        <v>1.8791281544485484E-2</v>
      </c>
      <c r="AD47" s="24">
        <v>1.9816260537821057E-2</v>
      </c>
      <c r="AE47" s="24">
        <v>1.8791281544485484E-2</v>
      </c>
      <c r="AF47" s="24">
        <v>1.9753758003624056E-2</v>
      </c>
      <c r="AG47" s="24">
        <v>0</v>
      </c>
      <c r="AH47" s="24">
        <v>2.616364708196383E-2</v>
      </c>
      <c r="AI47" s="24">
        <v>3.3610730508316249E-2</v>
      </c>
      <c r="AJ47" s="24">
        <v>1.5841957667984317E-2</v>
      </c>
      <c r="AK47" s="24">
        <v>1.6272602544952795E-2</v>
      </c>
      <c r="AL47" s="24">
        <v>1.5841957667984317E-2</v>
      </c>
      <c r="AM47">
        <v>1.7778128206867212E-2</v>
      </c>
      <c r="AN47">
        <v>0.18562273222509823</v>
      </c>
    </row>
    <row r="48" spans="1:40">
      <c r="A48" t="s">
        <v>44</v>
      </c>
      <c r="B48" s="50">
        <v>870</v>
      </c>
      <c r="D48" s="49">
        <v>13</v>
      </c>
      <c r="E48" s="62"/>
      <c r="F48" s="62"/>
      <c r="G48" s="62"/>
      <c r="H48" s="62"/>
      <c r="I48" s="66"/>
      <c r="J48" s="67">
        <f>J23*'Rel. eff.'!H41</f>
        <v>1.9816260537821057E-2</v>
      </c>
      <c r="K48" s="68">
        <f>K23*'Rel. eff.'!I41</f>
        <v>1.9816260537821057E-2</v>
      </c>
      <c r="L48" s="68">
        <f>L23*'Rel. eff.'!J41</f>
        <v>1.9816260537821057E-2</v>
      </c>
      <c r="M48" s="68">
        <f>M23*'Rel. eff.'!K41</f>
        <v>1.9816260537821057E-2</v>
      </c>
      <c r="N48" s="68">
        <f>N23*'Rel. eff.'!L41</f>
        <v>1.9816260537821057E-2</v>
      </c>
      <c r="O48" s="68">
        <f>O23*'Rel. eff.'!M41</f>
        <v>1.9816260537821057E-2</v>
      </c>
      <c r="Q48">
        <v>2040</v>
      </c>
      <c r="R48" s="24">
        <v>4.2620886094699273E-2</v>
      </c>
      <c r="S48" s="24">
        <v>4.7740154536241364E-2</v>
      </c>
      <c r="T48" s="24">
        <v>5.2328969490726573E-2</v>
      </c>
      <c r="U48" s="24">
        <v>5.4152278532215298E-2</v>
      </c>
      <c r="V48" s="24">
        <v>0.27054302190852525</v>
      </c>
      <c r="W48" s="24">
        <v>0.28857922336909358</v>
      </c>
      <c r="X48" s="24">
        <v>0.441184809132112</v>
      </c>
      <c r="Y48" s="24">
        <v>0.77558603388829872</v>
      </c>
      <c r="Z48" s="24">
        <v>0</v>
      </c>
      <c r="AA48" s="24">
        <v>2.1239842473009349E-2</v>
      </c>
      <c r="AB48" s="24">
        <v>2.2378708021159988E-2</v>
      </c>
      <c r="AC48" s="24">
        <v>1.8791281544485484E-2</v>
      </c>
      <c r="AD48" s="24">
        <v>1.9816260537821057E-2</v>
      </c>
      <c r="AE48" s="24">
        <v>1.8791281544485484E-2</v>
      </c>
      <c r="AF48" s="24">
        <v>1.9753758003624056E-2</v>
      </c>
      <c r="AG48" s="24">
        <v>0</v>
      </c>
      <c r="AH48" s="24">
        <v>2.616364708196383E-2</v>
      </c>
      <c r="AI48" s="24">
        <v>3.3610730508316249E-2</v>
      </c>
      <c r="AJ48" s="24">
        <v>1.5841957667984317E-2</v>
      </c>
      <c r="AK48" s="24">
        <v>1.6272602544952795E-2</v>
      </c>
      <c r="AL48" s="24">
        <v>1.5841957667984317E-2</v>
      </c>
      <c r="AM48">
        <v>1.7778128206867212E-2</v>
      </c>
      <c r="AN48">
        <v>0.18562273222509823</v>
      </c>
    </row>
    <row r="49" spans="1:40">
      <c r="A49" t="s">
        <v>23</v>
      </c>
      <c r="B49" s="50">
        <v>670</v>
      </c>
      <c r="D49" s="49">
        <v>13</v>
      </c>
      <c r="E49" s="66">
        <f>E24*'Rel. eff.'!B42</f>
        <v>1.8107962215595106E-2</v>
      </c>
      <c r="F49" s="66">
        <f>F24*'Rel. eff.'!C42</f>
        <v>1.8107962215595106E-2</v>
      </c>
      <c r="G49" s="66">
        <f>G24*'Rel. eff.'!D42</f>
        <v>1.8107962215595106E-2</v>
      </c>
      <c r="H49" s="66">
        <f>H24*'Rel. eff.'!E42</f>
        <v>1.8107962215595106E-2</v>
      </c>
      <c r="I49" s="66">
        <f>I24*'Rel. eff.'!F42</f>
        <v>1.8791281544485484E-2</v>
      </c>
      <c r="J49" s="67">
        <f>J24*'Rel. eff.'!H42</f>
        <v>1.8791281544485484E-2</v>
      </c>
      <c r="K49" s="68">
        <f>K24*'Rel. eff.'!I42</f>
        <v>1.8791281544485484E-2</v>
      </c>
      <c r="L49" s="68">
        <f>L24*'Rel. eff.'!J42</f>
        <v>1.8791281544485484E-2</v>
      </c>
      <c r="M49" s="68">
        <f>M24*'Rel. eff.'!K42</f>
        <v>1.8791281544485484E-2</v>
      </c>
      <c r="N49" s="68">
        <f>N24*'Rel. eff.'!L42</f>
        <v>1.8791281544485484E-2</v>
      </c>
      <c r="O49" s="68">
        <f>O24*'Rel. eff.'!M42</f>
        <v>1.8791281544485484E-2</v>
      </c>
      <c r="Q49">
        <v>2045</v>
      </c>
      <c r="R49" s="24">
        <v>4.2620886094699273E-2</v>
      </c>
      <c r="S49" s="24">
        <v>4.7740154536241364E-2</v>
      </c>
      <c r="T49" s="24">
        <v>5.2328969490726573E-2</v>
      </c>
      <c r="U49" s="24">
        <v>5.4152278532215298E-2</v>
      </c>
      <c r="V49" s="24">
        <v>0.27054302190852525</v>
      </c>
      <c r="W49" s="24">
        <v>0.28857922336909358</v>
      </c>
      <c r="X49" s="24">
        <v>0.441184809132112</v>
      </c>
      <c r="Y49" s="24">
        <v>0.77558603388829872</v>
      </c>
      <c r="Z49" s="24">
        <v>0</v>
      </c>
      <c r="AA49" s="24">
        <v>2.1239842473009349E-2</v>
      </c>
      <c r="AB49" s="24">
        <v>2.2378708021159988E-2</v>
      </c>
      <c r="AC49" s="24">
        <v>1.8791281544485484E-2</v>
      </c>
      <c r="AD49" s="24">
        <v>1.9816260537821057E-2</v>
      </c>
      <c r="AE49" s="24">
        <v>1.8791281544485484E-2</v>
      </c>
      <c r="AF49" s="24">
        <v>1.9753758003624056E-2</v>
      </c>
      <c r="AG49" s="24">
        <v>0</v>
      </c>
      <c r="AH49" s="24">
        <v>2.616364708196383E-2</v>
      </c>
      <c r="AI49" s="24">
        <v>3.3610730508316249E-2</v>
      </c>
      <c r="AJ49" s="24">
        <v>1.5841957667984317E-2</v>
      </c>
      <c r="AK49" s="24">
        <v>1.6272602544952795E-2</v>
      </c>
      <c r="AL49" s="24">
        <v>1.5841957667984317E-2</v>
      </c>
      <c r="AM49">
        <v>1.7778128206867212E-2</v>
      </c>
      <c r="AN49">
        <v>0.18562273222509823</v>
      </c>
    </row>
    <row r="50" spans="1:40">
      <c r="A50" t="s">
        <v>45</v>
      </c>
      <c r="B50" s="50">
        <v>870</v>
      </c>
      <c r="D50" s="49">
        <v>13</v>
      </c>
      <c r="E50" s="62"/>
      <c r="F50" s="62"/>
      <c r="G50" s="62"/>
      <c r="H50" s="62"/>
      <c r="I50" s="66"/>
      <c r="J50" s="67">
        <f>J25*'Rel. eff.'!H43</f>
        <v>1.9753758003624056E-2</v>
      </c>
      <c r="K50" s="68">
        <f>K25*'Rel. eff.'!I43</f>
        <v>1.9753758003624056E-2</v>
      </c>
      <c r="L50" s="68">
        <f>L25*'Rel. eff.'!J43</f>
        <v>1.9753758003624056E-2</v>
      </c>
      <c r="M50" s="68">
        <f>M25*'Rel. eff.'!K43</f>
        <v>1.9753758003624056E-2</v>
      </c>
      <c r="N50" s="68">
        <f>N25*'Rel. eff.'!L43</f>
        <v>1.9753758003624056E-2</v>
      </c>
      <c r="O50" s="68">
        <f>O25*'Rel. eff.'!M43</f>
        <v>1.9753758003624056E-2</v>
      </c>
      <c r="Q50">
        <v>2050</v>
      </c>
      <c r="R50" s="24">
        <v>4.2620886094699273E-2</v>
      </c>
      <c r="S50" s="24">
        <v>4.7740154536241364E-2</v>
      </c>
      <c r="T50" s="24">
        <v>5.2328969490726573E-2</v>
      </c>
      <c r="U50" s="24">
        <v>5.4152278532215298E-2</v>
      </c>
      <c r="V50" s="24">
        <v>0.27054302190852525</v>
      </c>
      <c r="W50" s="24">
        <v>0.28857922336909358</v>
      </c>
      <c r="X50" s="24">
        <v>0.441184809132112</v>
      </c>
      <c r="Y50" s="24">
        <v>0.77558603388829872</v>
      </c>
      <c r="Z50" s="24">
        <v>0</v>
      </c>
      <c r="AA50" s="24">
        <v>2.1239842473009349E-2</v>
      </c>
      <c r="AB50" s="24">
        <v>2.2378708021159988E-2</v>
      </c>
      <c r="AC50" s="24">
        <v>1.8791281544485484E-2</v>
      </c>
      <c r="AD50" s="24">
        <v>1.9816260537821057E-2</v>
      </c>
      <c r="AE50" s="24">
        <v>1.8791281544485484E-2</v>
      </c>
      <c r="AF50" s="24">
        <v>1.9753758003624056E-2</v>
      </c>
      <c r="AG50" s="24">
        <v>0</v>
      </c>
      <c r="AH50" s="24">
        <v>2.616364708196383E-2</v>
      </c>
      <c r="AI50" s="24">
        <v>3.3610730508316249E-2</v>
      </c>
      <c r="AJ50" s="24">
        <v>1.5841957667984317E-2</v>
      </c>
      <c r="AK50" s="24">
        <v>1.6272602544952795E-2</v>
      </c>
      <c r="AL50" s="24">
        <v>1.5841957667984317E-2</v>
      </c>
      <c r="AM50">
        <v>1.7778128206867212E-2</v>
      </c>
      <c r="AN50">
        <v>0.18562273222509823</v>
      </c>
    </row>
    <row r="51" spans="1:40">
      <c r="D51" s="49"/>
      <c r="E51" s="62"/>
      <c r="F51" s="62"/>
      <c r="G51" s="62"/>
      <c r="H51" s="62"/>
      <c r="I51" s="66"/>
      <c r="J51" s="67"/>
      <c r="K51" s="68"/>
      <c r="L51" s="68"/>
      <c r="M51" s="68"/>
      <c r="N51" s="68"/>
      <c r="O51" s="68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</row>
    <row r="52" spans="1:40">
      <c r="A52" t="s">
        <v>25</v>
      </c>
      <c r="B52" s="50">
        <v>770</v>
      </c>
      <c r="D52" s="49">
        <v>17</v>
      </c>
      <c r="E52" s="66">
        <f>E27*'Rel. eff.'!B45</f>
        <v>2.616364708196383E-2</v>
      </c>
      <c r="F52" s="66">
        <f>F27*'Rel. eff.'!C45</f>
        <v>2.616364708196383E-2</v>
      </c>
      <c r="G52" s="66">
        <f>G27*'Rel. eff.'!D45</f>
        <v>2.616364708196383E-2</v>
      </c>
      <c r="H52" s="66">
        <f>H27*'Rel. eff.'!E45</f>
        <v>2.616364708196383E-2</v>
      </c>
      <c r="I52" s="66">
        <f>I27*'Rel. eff.'!F45</f>
        <v>2.616364708196383E-2</v>
      </c>
      <c r="J52" s="67">
        <f>J27*'Rel. eff.'!H45</f>
        <v>2.616364708196383E-2</v>
      </c>
      <c r="K52" s="68">
        <f>K27*'Rel. eff.'!I45</f>
        <v>2.616364708196383E-2</v>
      </c>
      <c r="L52" s="68">
        <f>L27*'Rel. eff.'!J45</f>
        <v>2.616364708196383E-2</v>
      </c>
      <c r="M52" s="68">
        <f>M27*'Rel. eff.'!K45</f>
        <v>2.616364708196383E-2</v>
      </c>
      <c r="N52" s="68">
        <f>N27*'Rel. eff.'!L45</f>
        <v>2.616364708196383E-2</v>
      </c>
      <c r="O52" s="68">
        <f>O27*'Rel. eff.'!M45</f>
        <v>2.616364708196383E-2</v>
      </c>
    </row>
    <row r="53" spans="1:40">
      <c r="A53" t="s">
        <v>47</v>
      </c>
      <c r="B53" s="50">
        <v>1050</v>
      </c>
      <c r="D53" s="49">
        <v>17</v>
      </c>
      <c r="E53" s="62"/>
      <c r="F53" s="62"/>
      <c r="G53" s="62"/>
      <c r="H53" s="62"/>
      <c r="I53" s="66"/>
      <c r="J53" s="67">
        <f>J28*'Rel. eff.'!H46</f>
        <v>3.3610730508316249E-2</v>
      </c>
      <c r="K53" s="68">
        <f>K28*'Rel. eff.'!I46</f>
        <v>3.3610730508316249E-2</v>
      </c>
      <c r="L53" s="68">
        <f>L28*'Rel. eff.'!J46</f>
        <v>3.3610730508316249E-2</v>
      </c>
      <c r="M53" s="68">
        <f>M28*'Rel. eff.'!K46</f>
        <v>3.3610730508316249E-2</v>
      </c>
      <c r="N53" s="68">
        <f>N28*'Rel. eff.'!L46</f>
        <v>3.3610730508316249E-2</v>
      </c>
      <c r="O53" s="68">
        <f>O28*'Rel. eff.'!M46</f>
        <v>3.3610730508316249E-2</v>
      </c>
    </row>
    <row r="54" spans="1:40">
      <c r="A54" t="s">
        <v>48</v>
      </c>
      <c r="B54" s="50">
        <v>920</v>
      </c>
      <c r="D54" s="49">
        <v>15</v>
      </c>
      <c r="E54" s="66">
        <f>E29*'Rel. eff.'!B47</f>
        <v>1.4691767130618563E-2</v>
      </c>
      <c r="F54" s="66">
        <f>F29*'Rel. eff.'!C47</f>
        <v>1.4691767130618563E-2</v>
      </c>
      <c r="G54" s="66">
        <f>G29*'Rel. eff.'!D47</f>
        <v>1.4691767130618563E-2</v>
      </c>
      <c r="H54" s="66">
        <f>H29*'Rel. eff.'!E47</f>
        <v>1.4691767130618563E-2</v>
      </c>
      <c r="I54" s="66">
        <f>I29*'Rel. eff.'!F47</f>
        <v>1.5841957667984317E-2</v>
      </c>
      <c r="J54" s="67">
        <f>J29*'Rel. eff.'!H47</f>
        <v>1.5841957667984317E-2</v>
      </c>
      <c r="K54" s="68">
        <f>K29*'Rel. eff.'!I47</f>
        <v>1.5841957667984317E-2</v>
      </c>
      <c r="L54" s="68">
        <f>L29*'Rel. eff.'!J47</f>
        <v>1.5841957667984317E-2</v>
      </c>
      <c r="M54" s="68">
        <f>M29*'Rel. eff.'!K47</f>
        <v>1.5841957667984317E-2</v>
      </c>
      <c r="N54" s="68">
        <f>N29*'Rel. eff.'!L47</f>
        <v>1.5841957667984317E-2</v>
      </c>
      <c r="O54" s="68">
        <f>O29*'Rel. eff.'!M47</f>
        <v>1.5841957667984317E-2</v>
      </c>
    </row>
    <row r="55" spans="1:40">
      <c r="A55" t="s">
        <v>49</v>
      </c>
      <c r="B55" s="50">
        <v>1000</v>
      </c>
      <c r="D55" s="49">
        <v>15</v>
      </c>
      <c r="E55" s="62"/>
      <c r="F55" s="62"/>
      <c r="G55" s="62"/>
      <c r="H55" s="62"/>
      <c r="I55" s="66"/>
      <c r="J55" s="67">
        <f>J30*'Rel. eff.'!H48</f>
        <v>1.6272602544952795E-2</v>
      </c>
      <c r="K55" s="68">
        <f>K30*'Rel. eff.'!I48</f>
        <v>1.6272602544952795E-2</v>
      </c>
      <c r="L55" s="68">
        <f>L30*'Rel. eff.'!J48</f>
        <v>1.6272602544952795E-2</v>
      </c>
      <c r="M55" s="68">
        <f>M30*'Rel. eff.'!K48</f>
        <v>1.6272602544952795E-2</v>
      </c>
      <c r="N55" s="68">
        <f>N30*'Rel. eff.'!L48</f>
        <v>1.6272602544952795E-2</v>
      </c>
      <c r="O55" s="68">
        <f>O30*'Rel. eff.'!M48</f>
        <v>1.6272602544952795E-2</v>
      </c>
    </row>
    <row r="56" spans="1:40">
      <c r="A56" t="s">
        <v>27</v>
      </c>
      <c r="B56" s="50">
        <v>920</v>
      </c>
      <c r="D56" s="49">
        <v>15</v>
      </c>
      <c r="E56" s="66">
        <f>E31*'Rel. eff.'!B49</f>
        <v>1.4691767130618563E-2</v>
      </c>
      <c r="F56" s="66">
        <f>F31*'Rel. eff.'!C49</f>
        <v>1.4691767130618563E-2</v>
      </c>
      <c r="G56" s="66">
        <f>G31*'Rel. eff.'!D49</f>
        <v>1.4691767130618563E-2</v>
      </c>
      <c r="H56" s="66">
        <f>H31*'Rel. eff.'!E49</f>
        <v>1.4691767130618563E-2</v>
      </c>
      <c r="I56" s="66">
        <f>I31*'Rel. eff.'!F49</f>
        <v>1.5841957667984317E-2</v>
      </c>
      <c r="J56" s="67">
        <f>J31*'Rel. eff.'!H49</f>
        <v>1.5841957667984317E-2</v>
      </c>
      <c r="K56" s="68">
        <f>K31*'Rel. eff.'!I49</f>
        <v>1.5841957667984317E-2</v>
      </c>
      <c r="L56" s="68">
        <f>L31*'Rel. eff.'!J49</f>
        <v>1.5841957667984317E-2</v>
      </c>
      <c r="M56" s="68">
        <f>M31*'Rel. eff.'!K49</f>
        <v>1.5841957667984317E-2</v>
      </c>
      <c r="N56" s="68">
        <f>N31*'Rel. eff.'!L49</f>
        <v>1.5841957667984317E-2</v>
      </c>
      <c r="O56" s="68">
        <f>O31*'Rel. eff.'!M49</f>
        <v>1.5841957667984317E-2</v>
      </c>
    </row>
    <row r="57" spans="1:40">
      <c r="A57" t="s">
        <v>50</v>
      </c>
      <c r="B57" s="50">
        <v>1000</v>
      </c>
      <c r="D57" s="49">
        <v>15</v>
      </c>
      <c r="E57" s="62"/>
      <c r="F57" s="62"/>
      <c r="G57" s="62"/>
      <c r="H57" s="62"/>
      <c r="I57" s="66"/>
      <c r="J57" s="67">
        <f>J32*'Rel. eff.'!H50</f>
        <v>1.7778128206867212E-2</v>
      </c>
      <c r="K57" s="68">
        <f>K32*'Rel. eff.'!I50</f>
        <v>1.7778128206867212E-2</v>
      </c>
      <c r="L57" s="68">
        <f>L32*'Rel. eff.'!J50</f>
        <v>1.7778128206867212E-2</v>
      </c>
      <c r="M57" s="68">
        <f>M32*'Rel. eff.'!K50</f>
        <v>1.7778128206867212E-2</v>
      </c>
      <c r="N57" s="68">
        <f>N32*'Rel. eff.'!L50</f>
        <v>1.7778128206867212E-2</v>
      </c>
      <c r="O57" s="68">
        <f>O32*'Rel. eff.'!M50</f>
        <v>1.7778128206867212E-2</v>
      </c>
    </row>
    <row r="58" spans="1:40">
      <c r="A58" t="s">
        <v>29</v>
      </c>
      <c r="D58" s="49">
        <v>100</v>
      </c>
      <c r="E58" s="66">
        <f>E33*'Rel. eff.'!B51</f>
        <v>0.18562273222509823</v>
      </c>
      <c r="F58" s="66">
        <f>F33*'Rel. eff.'!C51</f>
        <v>0.18562273222509823</v>
      </c>
      <c r="G58" s="66">
        <f>G33*'Rel. eff.'!D51</f>
        <v>0.18562273222509823</v>
      </c>
      <c r="H58" s="66">
        <f>H33*'Rel. eff.'!E51</f>
        <v>0.18562273222509823</v>
      </c>
      <c r="I58" s="66">
        <f>I33*'Rel. eff.'!F51</f>
        <v>0.18562273222509823</v>
      </c>
      <c r="J58" s="67">
        <f>J33*'Rel. eff.'!H51</f>
        <v>0.18562273222509823</v>
      </c>
      <c r="K58" s="68">
        <f>K33*'Rel. eff.'!I51</f>
        <v>0.18562273222509823</v>
      </c>
      <c r="L58" s="68">
        <f>L33*'Rel. eff.'!J51</f>
        <v>0.18562273222509823</v>
      </c>
      <c r="M58" s="68">
        <f>M33*'Rel. eff.'!K51</f>
        <v>0.18562273222509823</v>
      </c>
      <c r="N58" s="68">
        <f>N33*'Rel. eff.'!L51</f>
        <v>0.18562273222509823</v>
      </c>
      <c r="O58" s="68">
        <f>O33*'Rel. eff.'!M51</f>
        <v>0.18562273222509823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1"/>
  <sheetViews>
    <sheetView workbookViewId="0">
      <selection activeCell="A2" sqref="A2"/>
    </sheetView>
  </sheetViews>
  <sheetFormatPr defaultRowHeight="15"/>
  <cols>
    <col min="1" max="1" width="32.28515625" customWidth="1"/>
    <col min="2" max="13" width="10.42578125" customWidth="1"/>
    <col min="17" max="17" width="10" bestFit="1" customWidth="1"/>
    <col min="18" max="18" width="11.28515625" bestFit="1" customWidth="1"/>
    <col min="19" max="19" width="12" bestFit="1" customWidth="1"/>
    <col min="20" max="20" width="11.28515625" bestFit="1" customWidth="1"/>
    <col min="21" max="22" width="12" bestFit="1" customWidth="1"/>
    <col min="23" max="24" width="11.28515625" bestFit="1" customWidth="1"/>
    <col min="25" max="25" width="12" bestFit="1" customWidth="1"/>
    <col min="26" max="26" width="11.28515625" bestFit="1" customWidth="1"/>
    <col min="27" max="27" width="14.42578125" bestFit="1" customWidth="1"/>
    <col min="28" max="28" width="14" bestFit="1" customWidth="1"/>
    <col min="29" max="29" width="15.140625" bestFit="1" customWidth="1"/>
    <col min="30" max="30" width="14.7109375" bestFit="1" customWidth="1"/>
    <col min="31" max="31" width="11.28515625" bestFit="1" customWidth="1"/>
    <col min="32" max="32" width="13.7109375" bestFit="1" customWidth="1"/>
    <col min="33" max="33" width="13.28515625" bestFit="1" customWidth="1"/>
    <col min="34" max="34" width="14.42578125" bestFit="1" customWidth="1"/>
    <col min="35" max="35" width="14" bestFit="1" customWidth="1"/>
    <col min="36" max="37" width="11.28515625" bestFit="1" customWidth="1"/>
  </cols>
  <sheetData>
    <row r="1" spans="1:14">
      <c r="A1" t="s">
        <v>52</v>
      </c>
    </row>
    <row r="2" spans="1:14">
      <c r="A2" s="27" t="s">
        <v>0</v>
      </c>
      <c r="B2" s="27">
        <v>2000</v>
      </c>
      <c r="C2" s="27">
        <v>2005</v>
      </c>
      <c r="D2" s="27">
        <v>2010</v>
      </c>
      <c r="E2" s="27">
        <v>2015</v>
      </c>
      <c r="F2" s="27">
        <v>2020</v>
      </c>
      <c r="G2" s="27" t="s">
        <v>53</v>
      </c>
      <c r="H2" s="28">
        <v>2025</v>
      </c>
      <c r="I2" s="29">
        <v>2030</v>
      </c>
      <c r="J2" s="29">
        <v>2035</v>
      </c>
      <c r="K2" s="29">
        <v>2040</v>
      </c>
      <c r="L2" s="29">
        <v>2045</v>
      </c>
      <c r="M2" s="29">
        <v>2050</v>
      </c>
      <c r="N2" t="s">
        <v>54</v>
      </c>
    </row>
    <row r="3" spans="1:14">
      <c r="A3" t="s">
        <v>16</v>
      </c>
      <c r="B3" s="43">
        <v>512</v>
      </c>
      <c r="C3" s="43">
        <v>512</v>
      </c>
      <c r="D3" s="43">
        <v>512</v>
      </c>
      <c r="E3">
        <v>512</v>
      </c>
      <c r="F3">
        <v>401</v>
      </c>
      <c r="G3">
        <v>401</v>
      </c>
      <c r="H3" s="26">
        <v>401</v>
      </c>
      <c r="I3" s="25">
        <v>401</v>
      </c>
      <c r="J3" s="25">
        <v>401</v>
      </c>
      <c r="K3" s="25">
        <v>401</v>
      </c>
      <c r="L3" s="25">
        <v>401</v>
      </c>
      <c r="M3" s="25">
        <v>401</v>
      </c>
      <c r="N3" t="s">
        <v>55</v>
      </c>
    </row>
    <row r="4" spans="1:14">
      <c r="A4" t="s">
        <v>37</v>
      </c>
      <c r="B4" s="43"/>
      <c r="C4" s="43"/>
      <c r="D4" s="43"/>
      <c r="G4">
        <v>358</v>
      </c>
      <c r="H4" s="26">
        <v>358</v>
      </c>
      <c r="I4" s="25">
        <v>358</v>
      </c>
      <c r="J4" s="25">
        <v>358</v>
      </c>
      <c r="K4" s="25">
        <v>358</v>
      </c>
      <c r="L4" s="25">
        <v>358</v>
      </c>
      <c r="M4" s="25">
        <v>358</v>
      </c>
      <c r="N4" t="s">
        <v>55</v>
      </c>
    </row>
    <row r="5" spans="1:14">
      <c r="A5" t="s">
        <v>17</v>
      </c>
      <c r="B5" s="43">
        <v>360</v>
      </c>
      <c r="C5" s="43">
        <v>360</v>
      </c>
      <c r="D5" s="43">
        <v>360</v>
      </c>
      <c r="E5">
        <v>360</v>
      </c>
      <c r="F5">
        <v>297</v>
      </c>
      <c r="G5">
        <v>297</v>
      </c>
      <c r="H5" s="26">
        <v>297</v>
      </c>
      <c r="I5" s="25">
        <v>297</v>
      </c>
      <c r="J5" s="25">
        <v>297</v>
      </c>
      <c r="K5" s="25">
        <v>297</v>
      </c>
      <c r="L5" s="25">
        <v>297</v>
      </c>
      <c r="M5" s="25">
        <v>297</v>
      </c>
      <c r="N5" t="s">
        <v>55</v>
      </c>
    </row>
    <row r="6" spans="1:14">
      <c r="A6" t="s">
        <v>38</v>
      </c>
      <c r="B6" s="43"/>
      <c r="C6" s="43"/>
      <c r="D6" s="43"/>
      <c r="G6">
        <v>287</v>
      </c>
      <c r="H6" s="26">
        <v>287</v>
      </c>
      <c r="I6" s="25">
        <v>287</v>
      </c>
      <c r="J6" s="25">
        <v>287</v>
      </c>
      <c r="K6" s="25">
        <v>287</v>
      </c>
      <c r="L6" s="25">
        <v>287</v>
      </c>
      <c r="M6" s="25">
        <v>287</v>
      </c>
      <c r="N6" t="s">
        <v>55</v>
      </c>
    </row>
    <row r="7" spans="1:14">
      <c r="A7" t="s">
        <v>18</v>
      </c>
      <c r="B7" s="43">
        <v>295</v>
      </c>
      <c r="C7" s="43">
        <v>295</v>
      </c>
      <c r="D7" s="43">
        <v>295</v>
      </c>
      <c r="E7">
        <v>295</v>
      </c>
      <c r="F7">
        <v>270</v>
      </c>
      <c r="G7">
        <v>270</v>
      </c>
      <c r="H7" s="26">
        <f>(I7-G7)*3/8+G7</f>
        <v>258.75</v>
      </c>
      <c r="I7" s="25">
        <v>240</v>
      </c>
      <c r="J7" s="25">
        <v>240</v>
      </c>
      <c r="K7" s="25">
        <v>240</v>
      </c>
      <c r="L7" s="25">
        <v>240</v>
      </c>
      <c r="M7" s="25">
        <v>240</v>
      </c>
      <c r="N7" t="s">
        <v>55</v>
      </c>
    </row>
    <row r="8" spans="1:14">
      <c r="A8" t="s">
        <v>39</v>
      </c>
      <c r="B8" s="43"/>
      <c r="C8" s="43"/>
      <c r="D8" s="43"/>
      <c r="G8">
        <v>225</v>
      </c>
      <c r="H8" s="26">
        <v>225</v>
      </c>
      <c r="I8" s="25">
        <v>225</v>
      </c>
      <c r="J8" s="25">
        <v>225</v>
      </c>
      <c r="K8" s="25">
        <v>225</v>
      </c>
      <c r="L8" s="25">
        <v>225</v>
      </c>
      <c r="M8" s="25">
        <v>225</v>
      </c>
      <c r="N8" t="s">
        <v>55</v>
      </c>
    </row>
    <row r="9" spans="1:14">
      <c r="A9" t="s">
        <v>19</v>
      </c>
      <c r="B9" s="43">
        <v>1.54</v>
      </c>
      <c r="C9" s="43">
        <v>1.54</v>
      </c>
      <c r="D9" s="43">
        <v>1.54</v>
      </c>
      <c r="E9">
        <v>1.54</v>
      </c>
      <c r="F9">
        <v>1.57</v>
      </c>
      <c r="G9">
        <v>1.57</v>
      </c>
      <c r="H9" s="26">
        <v>1.57</v>
      </c>
      <c r="I9" s="25">
        <v>1.57</v>
      </c>
      <c r="J9" s="25">
        <v>1.57</v>
      </c>
      <c r="K9" s="25">
        <v>1.57</v>
      </c>
      <c r="L9" s="25">
        <v>1.57</v>
      </c>
      <c r="M9" s="25">
        <v>1.57</v>
      </c>
      <c r="N9" t="s">
        <v>56</v>
      </c>
    </row>
    <row r="10" spans="1:14">
      <c r="A10" t="s">
        <v>40</v>
      </c>
      <c r="B10" s="43"/>
      <c r="C10" s="43"/>
      <c r="D10" s="43"/>
      <c r="G10" s="14">
        <v>2.76</v>
      </c>
      <c r="H10" s="33">
        <v>2.76</v>
      </c>
      <c r="I10" s="32">
        <v>2.76</v>
      </c>
      <c r="J10" s="32">
        <v>2.76</v>
      </c>
      <c r="K10" s="32">
        <v>2.76</v>
      </c>
      <c r="L10" s="32">
        <v>2.76</v>
      </c>
      <c r="M10" s="32">
        <v>2.76</v>
      </c>
      <c r="N10" t="s">
        <v>56</v>
      </c>
    </row>
    <row r="11" spans="1:14">
      <c r="A11" t="s">
        <v>41</v>
      </c>
      <c r="B11" s="39">
        <f>(stock!$W$36*'Rel. eff.'!B12+stock!$W$50*'Rel. eff.'!B14)/stock!$W$18</f>
        <v>3.5787823946793083</v>
      </c>
      <c r="C11" s="39">
        <f>(stock!$W$36*'Rel. eff.'!C12+stock!$W$50*'Rel. eff.'!C14)/stock!$W$18</f>
        <v>3.5787823946793083</v>
      </c>
      <c r="D11" s="39">
        <f>(stock!$W$36*'Rel. eff.'!D12+stock!$W$50*'Rel. eff.'!D14)/stock!$W$18</f>
        <v>3.5787823946793083</v>
      </c>
      <c r="E11" s="14">
        <f>(stock!$W$36*'Rel. eff.'!E12+stock!$W$50*'Rel. eff.'!E14)/stock!$W$18</f>
        <v>3.5787823946793083</v>
      </c>
      <c r="F11" s="14">
        <f>(stock!$W$36*'Rel. eff.'!F12+stock!$W$50*'Rel. eff.'!F14)/stock!$W$18</f>
        <v>3.718235194419762</v>
      </c>
      <c r="G11" s="14">
        <f>(stock!$W$36*'Rel. eff.'!G12+stock!$W$50*'Rel. eff.'!G14)/stock!$W$18</f>
        <v>3.718235194419762</v>
      </c>
      <c r="H11" s="33">
        <f>(stock!$W$36*'Rel. eff.'!H12+stock!$W$50*'Rel. eff.'!H14)/stock!$W$18</f>
        <v>3.718235194419762</v>
      </c>
      <c r="I11" s="32">
        <f>(stock!$W$36*'Rel. eff.'!I12+stock!$W$50*'Rel. eff.'!I14)/stock!$W$18</f>
        <v>3.718235194419762</v>
      </c>
      <c r="J11" s="32">
        <f>(stock!$W$36*'Rel. eff.'!J12+stock!$W$50*'Rel. eff.'!J14)/stock!$W$18</f>
        <v>3.718235194419762</v>
      </c>
      <c r="K11" s="32">
        <f>(stock!$W$36*'Rel. eff.'!K12+stock!$W$50*'Rel. eff.'!K14)/stock!$W$18</f>
        <v>3.718235194419762</v>
      </c>
      <c r="L11" s="32">
        <f>(stock!$W$36*'Rel. eff.'!L12+stock!$W$50*'Rel. eff.'!L14)/stock!$W$18</f>
        <v>3.718235194419762</v>
      </c>
      <c r="M11" s="32">
        <f>(stock!$W$36*'Rel. eff.'!M12+stock!$W$50*'Rel. eff.'!M14)/stock!$W$18</f>
        <v>3.718235194419762</v>
      </c>
      <c r="N11" t="s">
        <v>57</v>
      </c>
    </row>
    <row r="12" spans="1:14">
      <c r="A12" t="s">
        <v>21</v>
      </c>
      <c r="B12" s="43">
        <v>3.59</v>
      </c>
      <c r="C12" s="43">
        <v>3.59</v>
      </c>
      <c r="D12" s="43">
        <v>3.59</v>
      </c>
      <c r="E12">
        <v>3.59</v>
      </c>
      <c r="F12" s="14">
        <v>3.73</v>
      </c>
      <c r="G12" s="14">
        <v>3.73</v>
      </c>
      <c r="H12" s="33">
        <v>3.73</v>
      </c>
      <c r="I12" s="32">
        <v>3.73</v>
      </c>
      <c r="J12" s="32">
        <v>3.73</v>
      </c>
      <c r="K12" s="32">
        <v>3.73</v>
      </c>
      <c r="L12" s="32">
        <v>3.73</v>
      </c>
      <c r="M12" s="32">
        <v>3.73</v>
      </c>
      <c r="N12" t="s">
        <v>57</v>
      </c>
    </row>
    <row r="13" spans="1:14">
      <c r="A13" t="s">
        <v>42</v>
      </c>
      <c r="B13" s="43"/>
      <c r="C13" s="43"/>
      <c r="D13" s="43"/>
      <c r="G13" s="14">
        <v>3.93</v>
      </c>
      <c r="H13" s="33">
        <v>3.93</v>
      </c>
      <c r="I13" s="32">
        <v>3.93</v>
      </c>
      <c r="J13" s="32">
        <v>3.93</v>
      </c>
      <c r="K13" s="32">
        <v>3.93</v>
      </c>
      <c r="L13" s="32">
        <v>3.93</v>
      </c>
      <c r="M13" s="32">
        <v>3.93</v>
      </c>
      <c r="N13" t="s">
        <v>57</v>
      </c>
    </row>
    <row r="14" spans="1:14">
      <c r="A14" t="s">
        <v>43</v>
      </c>
      <c r="B14" s="43">
        <v>3.18</v>
      </c>
      <c r="C14" s="43">
        <v>3.18</v>
      </c>
      <c r="D14" s="43">
        <v>3.18</v>
      </c>
      <c r="E14">
        <v>3.18</v>
      </c>
      <c r="F14">
        <v>3.3</v>
      </c>
      <c r="G14" s="14">
        <v>3.3</v>
      </c>
      <c r="H14" s="33">
        <v>3.3</v>
      </c>
      <c r="I14" s="32">
        <v>3.3</v>
      </c>
      <c r="J14" s="32">
        <v>3.3</v>
      </c>
      <c r="K14" s="32">
        <v>3.3</v>
      </c>
      <c r="L14" s="32">
        <v>3.3</v>
      </c>
      <c r="M14" s="32">
        <v>3.3</v>
      </c>
      <c r="N14" t="s">
        <v>57</v>
      </c>
    </row>
    <row r="15" spans="1:14">
      <c r="A15" t="s">
        <v>44</v>
      </c>
      <c r="B15" s="43"/>
      <c r="C15" s="43"/>
      <c r="D15" s="43"/>
      <c r="G15" s="14">
        <v>3.48</v>
      </c>
      <c r="H15" s="33">
        <v>3.48</v>
      </c>
      <c r="I15" s="32">
        <v>3.48</v>
      </c>
      <c r="J15" s="32">
        <v>3.48</v>
      </c>
      <c r="K15" s="32">
        <v>3.48</v>
      </c>
      <c r="L15" s="32">
        <v>3.48</v>
      </c>
      <c r="M15" s="32">
        <v>3.48</v>
      </c>
      <c r="N15" t="s">
        <v>57</v>
      </c>
    </row>
    <row r="16" spans="1:14">
      <c r="A16" t="s">
        <v>23</v>
      </c>
      <c r="B16" s="43">
        <v>3.18</v>
      </c>
      <c r="C16" s="43">
        <v>3.18</v>
      </c>
      <c r="D16" s="43">
        <v>3.18</v>
      </c>
      <c r="E16">
        <v>3.18</v>
      </c>
      <c r="F16">
        <v>3.3</v>
      </c>
      <c r="G16" s="14">
        <v>3.3</v>
      </c>
      <c r="H16" s="33">
        <v>3.3</v>
      </c>
      <c r="I16" s="32">
        <v>3.3</v>
      </c>
      <c r="J16" s="32">
        <v>3.3</v>
      </c>
      <c r="K16" s="32">
        <v>3.3</v>
      </c>
      <c r="L16" s="32">
        <v>3.3</v>
      </c>
      <c r="M16" s="32">
        <v>3.3</v>
      </c>
      <c r="N16" t="s">
        <v>57</v>
      </c>
    </row>
    <row r="17" spans="1:14">
      <c r="A17" t="s">
        <v>45</v>
      </c>
      <c r="B17" s="43"/>
      <c r="C17" s="43"/>
      <c r="D17" s="43"/>
      <c r="G17" s="14">
        <v>3.48</v>
      </c>
      <c r="H17" s="33">
        <v>3.48</v>
      </c>
      <c r="I17" s="32">
        <v>3.48</v>
      </c>
      <c r="J17" s="32">
        <v>3.48</v>
      </c>
      <c r="K17" s="32">
        <v>3.48</v>
      </c>
      <c r="L17" s="32">
        <v>3.48</v>
      </c>
      <c r="M17" s="32">
        <v>3.48</v>
      </c>
      <c r="N17" t="s">
        <v>57</v>
      </c>
    </row>
    <row r="18" spans="1:14">
      <c r="A18" t="s">
        <v>46</v>
      </c>
      <c r="B18" s="44">
        <f>(stock!$W$37*'Rel. eff.'!B19+0.293071*stock!$W$51*'Rel. eff.'!B21)/stock!$W$19</f>
        <v>566.54833238201707</v>
      </c>
      <c r="C18" s="44">
        <f>(stock!$W$37*'Rel. eff.'!C19+0.293071*stock!$W$51*'Rel. eff.'!C21)/stock!$W$19</f>
        <v>566.54833238201707</v>
      </c>
      <c r="D18" s="44">
        <f>(stock!$W$37*'Rel. eff.'!D19+0.293071*stock!$W$51*'Rel. eff.'!D21)/stock!$W$19</f>
        <v>566.54833238201707</v>
      </c>
      <c r="E18" s="12">
        <f>(stock!$W$37*'Rel. eff.'!E19+0.293071*stock!$W$51*'Rel. eff.'!E21)/stock!$W$19</f>
        <v>566.54833238201707</v>
      </c>
      <c r="F18" s="12">
        <f>(stock!$W$37*'Rel. eff.'!F19+0.293071*stock!$W$51*'Rel. eff.'!F21)/stock!$W$19</f>
        <v>557.18471341355928</v>
      </c>
      <c r="G18" s="12">
        <f>(stock!$W$37*'Rel. eff.'!G19+0.293071*stock!$W$51*'Rel. eff.'!G21)/stock!$W$19</f>
        <v>557.18471341355928</v>
      </c>
      <c r="H18" s="37">
        <f>(stock!$W$37*'Rel. eff.'!H19+0.293071*stock!$W$51*'Rel. eff.'!H21)/stock!$W$19</f>
        <v>557.18471341355928</v>
      </c>
      <c r="I18" s="38">
        <f>(stock!$W$37*'Rel. eff.'!I19+0.293071*stock!$W$51*'Rel. eff.'!I21)/stock!$W$19</f>
        <v>557.18471341355928</v>
      </c>
      <c r="J18" s="38">
        <f>(stock!$W$37*'Rel. eff.'!J19+0.293071*stock!$W$51*'Rel. eff.'!J21)/stock!$W$19</f>
        <v>557.18471341355928</v>
      </c>
      <c r="K18" s="38">
        <f>(stock!$W$37*'Rel. eff.'!K19+0.293071*stock!$W$51*'Rel. eff.'!K21)/stock!$W$19</f>
        <v>557.18471341355928</v>
      </c>
      <c r="L18" s="38">
        <f>(stock!$W$37*'Rel. eff.'!L19+0.293071*stock!$W$51*'Rel. eff.'!L21)/stock!$W$19</f>
        <v>557.18471341355928</v>
      </c>
      <c r="M18" s="38">
        <f>(stock!$W$37*'Rel. eff.'!M19+0.293071*stock!$W$51*'Rel. eff.'!M21)/stock!$W$19</f>
        <v>557.18471341355928</v>
      </c>
      <c r="N18" t="s">
        <v>55</v>
      </c>
    </row>
    <row r="19" spans="1:14">
      <c r="A19" t="s">
        <v>25</v>
      </c>
      <c r="B19" s="44">
        <v>510</v>
      </c>
      <c r="C19" s="44">
        <v>510</v>
      </c>
      <c r="D19" s="44">
        <v>510</v>
      </c>
      <c r="E19" s="12">
        <v>510</v>
      </c>
      <c r="F19" s="12">
        <v>510</v>
      </c>
      <c r="G19" s="12">
        <v>510</v>
      </c>
      <c r="H19" s="37">
        <v>510</v>
      </c>
      <c r="I19" s="38">
        <v>510</v>
      </c>
      <c r="J19" s="38">
        <v>510</v>
      </c>
      <c r="K19" s="38">
        <v>510</v>
      </c>
      <c r="L19" s="38">
        <v>510</v>
      </c>
      <c r="M19" s="38">
        <v>510</v>
      </c>
      <c r="N19" t="s">
        <v>55</v>
      </c>
    </row>
    <row r="20" spans="1:14">
      <c r="A20" t="s">
        <v>47</v>
      </c>
      <c r="B20" s="43"/>
      <c r="C20" s="43"/>
      <c r="D20" s="43"/>
      <c r="G20" s="12">
        <v>397</v>
      </c>
      <c r="H20" s="37">
        <v>397</v>
      </c>
      <c r="I20" s="38">
        <v>397</v>
      </c>
      <c r="J20" s="38">
        <v>397</v>
      </c>
      <c r="K20" s="38">
        <v>397</v>
      </c>
      <c r="L20" s="38">
        <v>397</v>
      </c>
      <c r="M20" s="38">
        <v>397</v>
      </c>
      <c r="N20" t="s">
        <v>55</v>
      </c>
    </row>
    <row r="21" spans="1:14">
      <c r="A21" t="s">
        <v>48</v>
      </c>
      <c r="B21" s="43">
        <v>3099</v>
      </c>
      <c r="C21" s="43">
        <v>3099</v>
      </c>
      <c r="D21" s="43">
        <v>3099</v>
      </c>
      <c r="E21">
        <v>3099</v>
      </c>
      <c r="F21" s="12">
        <v>2874</v>
      </c>
      <c r="G21" s="12">
        <v>2874</v>
      </c>
      <c r="H21" s="37">
        <v>2874</v>
      </c>
      <c r="I21" s="38">
        <v>2874</v>
      </c>
      <c r="J21" s="38">
        <v>2874</v>
      </c>
      <c r="K21" s="38">
        <v>2874</v>
      </c>
      <c r="L21" s="38">
        <v>2874</v>
      </c>
      <c r="M21" s="38">
        <v>2874</v>
      </c>
      <c r="N21" t="s">
        <v>58</v>
      </c>
    </row>
    <row r="22" spans="1:14">
      <c r="A22" t="s">
        <v>49</v>
      </c>
      <c r="B22" s="43"/>
      <c r="C22" s="43"/>
      <c r="D22" s="43"/>
      <c r="G22" s="12">
        <v>2561</v>
      </c>
      <c r="H22" s="37">
        <v>2561</v>
      </c>
      <c r="I22" s="38">
        <v>2561</v>
      </c>
      <c r="J22" s="38">
        <v>2561</v>
      </c>
      <c r="K22" s="38">
        <v>2561</v>
      </c>
      <c r="L22" s="38">
        <v>2561</v>
      </c>
      <c r="M22" s="38">
        <v>2561</v>
      </c>
      <c r="N22" t="s">
        <v>58</v>
      </c>
    </row>
    <row r="23" spans="1:14">
      <c r="A23" t="s">
        <v>27</v>
      </c>
      <c r="B23" s="43">
        <v>3099</v>
      </c>
      <c r="C23" s="43">
        <v>3099</v>
      </c>
      <c r="D23" s="43">
        <v>3099</v>
      </c>
      <c r="E23">
        <v>3099</v>
      </c>
      <c r="F23" s="12">
        <v>2874</v>
      </c>
      <c r="G23" s="12">
        <v>2874</v>
      </c>
      <c r="H23" s="37">
        <v>2874</v>
      </c>
      <c r="I23" s="38">
        <v>2874</v>
      </c>
      <c r="J23" s="38">
        <v>2874</v>
      </c>
      <c r="K23" s="38">
        <v>2874</v>
      </c>
      <c r="L23" s="38">
        <v>2874</v>
      </c>
      <c r="M23" s="38">
        <v>2874</v>
      </c>
      <c r="N23" t="s">
        <v>58</v>
      </c>
    </row>
    <row r="24" spans="1:14">
      <c r="A24" t="s">
        <v>50</v>
      </c>
      <c r="B24" s="43"/>
      <c r="C24" s="43"/>
      <c r="D24" s="43"/>
      <c r="G24" s="12">
        <v>2561</v>
      </c>
      <c r="H24" s="37">
        <v>2561</v>
      </c>
      <c r="I24" s="38">
        <v>2561</v>
      </c>
      <c r="J24" s="38">
        <v>2561</v>
      </c>
      <c r="K24" s="38">
        <v>2561</v>
      </c>
      <c r="L24" s="38">
        <v>2561</v>
      </c>
      <c r="M24" s="38">
        <v>2561</v>
      </c>
      <c r="N24" t="s">
        <v>58</v>
      </c>
    </row>
    <row r="25" spans="1:14">
      <c r="A25" t="s">
        <v>29</v>
      </c>
      <c r="B25" s="43"/>
      <c r="C25" s="43"/>
      <c r="D25" s="43"/>
      <c r="G25" s="12"/>
      <c r="H25" s="37"/>
      <c r="I25" s="38"/>
      <c r="J25" s="38"/>
      <c r="K25" s="38"/>
      <c r="L25" s="38"/>
      <c r="M25" s="38"/>
    </row>
    <row r="27" spans="1:14">
      <c r="A27" t="s">
        <v>59</v>
      </c>
    </row>
    <row r="28" spans="1:14">
      <c r="A28" s="27" t="s">
        <v>0</v>
      </c>
      <c r="B28" s="27">
        <v>2000</v>
      </c>
      <c r="C28" s="27">
        <v>2005</v>
      </c>
      <c r="D28" s="27">
        <v>2010</v>
      </c>
      <c r="E28" s="27">
        <v>2015</v>
      </c>
      <c r="F28" s="27">
        <v>2020</v>
      </c>
      <c r="G28" s="27" t="s">
        <v>53</v>
      </c>
      <c r="H28" s="26">
        <v>2025</v>
      </c>
      <c r="I28" s="25">
        <v>2030</v>
      </c>
      <c r="J28" s="25">
        <v>2035</v>
      </c>
      <c r="K28" s="25">
        <v>2040</v>
      </c>
      <c r="L28" s="25">
        <v>2045</v>
      </c>
      <c r="M28" s="25">
        <v>2050</v>
      </c>
      <c r="N28" t="s">
        <v>54</v>
      </c>
    </row>
    <row r="29" spans="1:14">
      <c r="A29" t="s">
        <v>16</v>
      </c>
      <c r="B29" s="14">
        <f t="shared" ref="B29:F29" si="0">1/(B3/$G3)</f>
        <v>0.783203125</v>
      </c>
      <c r="C29" s="14">
        <f t="shared" si="0"/>
        <v>0.783203125</v>
      </c>
      <c r="D29" s="14">
        <f t="shared" si="0"/>
        <v>0.783203125</v>
      </c>
      <c r="E29" s="14">
        <f t="shared" si="0"/>
        <v>0.783203125</v>
      </c>
      <c r="F29" s="14">
        <f t="shared" si="0"/>
        <v>1</v>
      </c>
      <c r="G29" s="42">
        <f>1/(G3/$G3)</f>
        <v>1</v>
      </c>
      <c r="H29" s="35">
        <f t="shared" ref="H29:M29" si="1">1/(H3/$G3)</f>
        <v>1</v>
      </c>
      <c r="I29" s="34">
        <f t="shared" si="1"/>
        <v>1</v>
      </c>
      <c r="J29" s="34">
        <f t="shared" si="1"/>
        <v>1</v>
      </c>
      <c r="K29" s="34">
        <f t="shared" si="1"/>
        <v>1</v>
      </c>
      <c r="L29" s="34">
        <f t="shared" si="1"/>
        <v>1</v>
      </c>
      <c r="M29" s="34">
        <f t="shared" si="1"/>
        <v>1</v>
      </c>
      <c r="N29" t="s">
        <v>60</v>
      </c>
    </row>
    <row r="30" spans="1:14">
      <c r="A30" t="s">
        <v>37</v>
      </c>
      <c r="B30" s="14"/>
      <c r="C30" s="14"/>
      <c r="D30" s="14"/>
      <c r="E30" s="14"/>
      <c r="F30" s="14"/>
      <c r="G30" s="14"/>
      <c r="H30" s="33">
        <f t="shared" ref="H30:M30" si="2">1/(H4/$G3)</f>
        <v>1.1201117318435754</v>
      </c>
      <c r="I30" s="32">
        <f t="shared" si="2"/>
        <v>1.1201117318435754</v>
      </c>
      <c r="J30" s="32">
        <f t="shared" si="2"/>
        <v>1.1201117318435754</v>
      </c>
      <c r="K30" s="32">
        <f t="shared" si="2"/>
        <v>1.1201117318435754</v>
      </c>
      <c r="L30" s="32">
        <f t="shared" si="2"/>
        <v>1.1201117318435754</v>
      </c>
      <c r="M30" s="32">
        <f t="shared" si="2"/>
        <v>1.1201117318435754</v>
      </c>
      <c r="N30" t="s">
        <v>60</v>
      </c>
    </row>
    <row r="31" spans="1:14">
      <c r="A31" t="s">
        <v>17</v>
      </c>
      <c r="B31" s="14">
        <f t="shared" ref="B31:F31" si="3">1/(B5/$G5)</f>
        <v>0.82499999999999996</v>
      </c>
      <c r="C31" s="14">
        <f t="shared" si="3"/>
        <v>0.82499999999999996</v>
      </c>
      <c r="D31" s="14">
        <f t="shared" si="3"/>
        <v>0.82499999999999996</v>
      </c>
      <c r="E31" s="14">
        <f t="shared" si="3"/>
        <v>0.82499999999999996</v>
      </c>
      <c r="F31" s="14">
        <f t="shared" si="3"/>
        <v>1</v>
      </c>
      <c r="G31" s="42">
        <f>1/(G5/$G5)</f>
        <v>1</v>
      </c>
      <c r="H31" s="33">
        <f t="shared" ref="H31:M31" si="4">1/(H5/$G5)</f>
        <v>1</v>
      </c>
      <c r="I31" s="32">
        <f t="shared" si="4"/>
        <v>1</v>
      </c>
      <c r="J31" s="32">
        <f t="shared" si="4"/>
        <v>1</v>
      </c>
      <c r="K31" s="32">
        <f t="shared" si="4"/>
        <v>1</v>
      </c>
      <c r="L31" s="32">
        <f t="shared" si="4"/>
        <v>1</v>
      </c>
      <c r="M31" s="32">
        <f t="shared" si="4"/>
        <v>1</v>
      </c>
      <c r="N31" t="s">
        <v>60</v>
      </c>
    </row>
    <row r="32" spans="1:14">
      <c r="A32" t="s">
        <v>38</v>
      </c>
      <c r="B32" s="14"/>
      <c r="C32" s="14"/>
      <c r="D32" s="14"/>
      <c r="E32" s="14"/>
      <c r="F32" s="14"/>
      <c r="G32" s="14"/>
      <c r="H32" s="33">
        <f t="shared" ref="H32:M32" si="5">1/(H6/$G5)</f>
        <v>1.0348432055749128</v>
      </c>
      <c r="I32" s="32">
        <f t="shared" si="5"/>
        <v>1.0348432055749128</v>
      </c>
      <c r="J32" s="32">
        <f t="shared" si="5"/>
        <v>1.0348432055749128</v>
      </c>
      <c r="K32" s="32">
        <f t="shared" si="5"/>
        <v>1.0348432055749128</v>
      </c>
      <c r="L32" s="32">
        <f t="shared" si="5"/>
        <v>1.0348432055749128</v>
      </c>
      <c r="M32" s="32">
        <f t="shared" si="5"/>
        <v>1.0348432055749128</v>
      </c>
      <c r="N32" t="s">
        <v>60</v>
      </c>
    </row>
    <row r="33" spans="1:14">
      <c r="A33" t="s">
        <v>18</v>
      </c>
      <c r="B33" s="14">
        <f t="shared" ref="B33:F33" si="6">1/(B7/$G7)</f>
        <v>0.9152542372881356</v>
      </c>
      <c r="C33" s="14">
        <f t="shared" si="6"/>
        <v>0.9152542372881356</v>
      </c>
      <c r="D33" s="14">
        <f t="shared" si="6"/>
        <v>0.9152542372881356</v>
      </c>
      <c r="E33" s="14">
        <f t="shared" si="6"/>
        <v>0.9152542372881356</v>
      </c>
      <c r="F33" s="14">
        <f t="shared" si="6"/>
        <v>1</v>
      </c>
      <c r="G33" s="42">
        <f>1/(G7/$G7)</f>
        <v>1</v>
      </c>
      <c r="H33" s="33">
        <f t="shared" ref="H33:M33" si="7">1/(H7/$G7)</f>
        <v>1.0434782608695652</v>
      </c>
      <c r="I33" s="32">
        <f t="shared" si="7"/>
        <v>1.125</v>
      </c>
      <c r="J33" s="32">
        <f t="shared" si="7"/>
        <v>1.125</v>
      </c>
      <c r="K33" s="32">
        <f t="shared" si="7"/>
        <v>1.125</v>
      </c>
      <c r="L33" s="32">
        <f t="shared" si="7"/>
        <v>1.125</v>
      </c>
      <c r="M33" s="32">
        <f t="shared" si="7"/>
        <v>1.125</v>
      </c>
      <c r="N33" t="s">
        <v>60</v>
      </c>
    </row>
    <row r="34" spans="1:14">
      <c r="A34" t="s">
        <v>39</v>
      </c>
      <c r="B34" s="14"/>
      <c r="C34" s="14"/>
      <c r="D34" s="14"/>
      <c r="E34" s="14"/>
      <c r="F34" s="14"/>
      <c r="G34" s="14"/>
      <c r="H34" s="33">
        <f t="shared" ref="H34:M34" si="8">1/(H8/$G7)</f>
        <v>1.2</v>
      </c>
      <c r="I34" s="32">
        <f t="shared" si="8"/>
        <v>1.2</v>
      </c>
      <c r="J34" s="32">
        <f t="shared" si="8"/>
        <v>1.2</v>
      </c>
      <c r="K34" s="32">
        <f t="shared" si="8"/>
        <v>1.2</v>
      </c>
      <c r="L34" s="32">
        <f t="shared" si="8"/>
        <v>1.2</v>
      </c>
      <c r="M34" s="32">
        <f t="shared" si="8"/>
        <v>1.2</v>
      </c>
      <c r="N34" t="s">
        <v>60</v>
      </c>
    </row>
    <row r="35" spans="1:14">
      <c r="A35" t="s">
        <v>19</v>
      </c>
      <c r="B35" s="14">
        <f t="shared" ref="B35:F35" si="9">B9/$G9</f>
        <v>0.98089171974522293</v>
      </c>
      <c r="C35" s="14">
        <f t="shared" si="9"/>
        <v>0.98089171974522293</v>
      </c>
      <c r="D35" s="14">
        <f t="shared" si="9"/>
        <v>0.98089171974522293</v>
      </c>
      <c r="E35" s="14">
        <f t="shared" si="9"/>
        <v>0.98089171974522293</v>
      </c>
      <c r="F35" s="14">
        <f t="shared" si="9"/>
        <v>1</v>
      </c>
      <c r="G35" s="42">
        <f>G9/$G9</f>
        <v>1</v>
      </c>
      <c r="H35" s="33">
        <f t="shared" ref="H35:M35" si="10">H9/$G9</f>
        <v>1</v>
      </c>
      <c r="I35" s="32">
        <f t="shared" si="10"/>
        <v>1</v>
      </c>
      <c r="J35" s="32">
        <f t="shared" si="10"/>
        <v>1</v>
      </c>
      <c r="K35" s="32">
        <f t="shared" si="10"/>
        <v>1</v>
      </c>
      <c r="L35" s="32">
        <f t="shared" si="10"/>
        <v>1</v>
      </c>
      <c r="M35" s="32">
        <f t="shared" si="10"/>
        <v>1</v>
      </c>
      <c r="N35" t="s">
        <v>60</v>
      </c>
    </row>
    <row r="36" spans="1:14">
      <c r="A36" t="s">
        <v>40</v>
      </c>
      <c r="B36" s="14"/>
      <c r="C36" s="14"/>
      <c r="D36" s="14"/>
      <c r="E36" s="14"/>
      <c r="F36" s="14"/>
      <c r="G36" s="14"/>
      <c r="H36" s="33">
        <f t="shared" ref="H36:M36" si="11">H10/$G9</f>
        <v>1.7579617834394903</v>
      </c>
      <c r="I36" s="32">
        <f t="shared" si="11"/>
        <v>1.7579617834394903</v>
      </c>
      <c r="J36" s="32">
        <f t="shared" si="11"/>
        <v>1.7579617834394903</v>
      </c>
      <c r="K36" s="32">
        <f t="shared" si="11"/>
        <v>1.7579617834394903</v>
      </c>
      <c r="L36" s="32">
        <f t="shared" si="11"/>
        <v>1.7579617834394903</v>
      </c>
      <c r="M36" s="32">
        <f t="shared" si="11"/>
        <v>1.7579617834394903</v>
      </c>
      <c r="N36" t="s">
        <v>60</v>
      </c>
    </row>
    <row r="37" spans="1:14">
      <c r="A37" t="s">
        <v>41</v>
      </c>
      <c r="B37" s="14">
        <f t="shared" ref="B37:F37" si="12">B11/$G11</f>
        <v>0.96249489544132627</v>
      </c>
      <c r="C37" s="14">
        <f t="shared" si="12"/>
        <v>0.96249489544132627</v>
      </c>
      <c r="D37" s="14">
        <f t="shared" si="12"/>
        <v>0.96249489544132627</v>
      </c>
      <c r="E37" s="14">
        <f t="shared" si="12"/>
        <v>0.96249489544132627</v>
      </c>
      <c r="F37" s="14">
        <f t="shared" si="12"/>
        <v>1</v>
      </c>
      <c r="G37" s="42">
        <f>G11/$G11</f>
        <v>1</v>
      </c>
      <c r="H37" s="33">
        <f t="shared" ref="H37:M37" si="13">H11/$G11</f>
        <v>1</v>
      </c>
      <c r="I37" s="32">
        <f t="shared" si="13"/>
        <v>1</v>
      </c>
      <c r="J37" s="32">
        <f t="shared" si="13"/>
        <v>1</v>
      </c>
      <c r="K37" s="32">
        <f t="shared" si="13"/>
        <v>1</v>
      </c>
      <c r="L37" s="32">
        <f t="shared" si="13"/>
        <v>1</v>
      </c>
      <c r="M37" s="32">
        <f t="shared" si="13"/>
        <v>1</v>
      </c>
      <c r="N37" t="s">
        <v>60</v>
      </c>
    </row>
    <row r="38" spans="1:14">
      <c r="A38" t="s">
        <v>21</v>
      </c>
      <c r="B38" s="14">
        <f t="shared" ref="B38:F38" si="14">B12/$G11</f>
        <v>0.96551181199827962</v>
      </c>
      <c r="C38" s="14">
        <f t="shared" si="14"/>
        <v>0.96551181199827962</v>
      </c>
      <c r="D38" s="14">
        <f t="shared" si="14"/>
        <v>0.96551181199827962</v>
      </c>
      <c r="E38" s="14">
        <f t="shared" si="14"/>
        <v>0.96551181199827962</v>
      </c>
      <c r="F38" s="14">
        <f t="shared" si="14"/>
        <v>1.0031640832182682</v>
      </c>
      <c r="G38" s="14">
        <f>G12/$G11</f>
        <v>1.0031640832182682</v>
      </c>
      <c r="H38" s="33">
        <f t="shared" ref="H38:M38" si="15">H12/$G11</f>
        <v>1.0031640832182682</v>
      </c>
      <c r="I38" s="32">
        <f t="shared" si="15"/>
        <v>1.0031640832182682</v>
      </c>
      <c r="J38" s="32">
        <f t="shared" si="15"/>
        <v>1.0031640832182682</v>
      </c>
      <c r="K38" s="32">
        <f t="shared" si="15"/>
        <v>1.0031640832182682</v>
      </c>
      <c r="L38" s="32">
        <f t="shared" si="15"/>
        <v>1.0031640832182682</v>
      </c>
      <c r="M38" s="32">
        <f t="shared" si="15"/>
        <v>1.0031640832182682</v>
      </c>
      <c r="N38" t="s">
        <v>60</v>
      </c>
    </row>
    <row r="39" spans="1:14">
      <c r="A39" t="s">
        <v>42</v>
      </c>
      <c r="B39" s="14"/>
      <c r="C39" s="14"/>
      <c r="D39" s="14"/>
      <c r="E39" s="14"/>
      <c r="F39" s="14"/>
      <c r="G39" s="14"/>
      <c r="H39" s="33">
        <f t="shared" ref="H39:M39" si="16">H13/$G11</f>
        <v>1.0569530421039663</v>
      </c>
      <c r="I39" s="32">
        <f t="shared" si="16"/>
        <v>1.0569530421039663</v>
      </c>
      <c r="J39" s="32">
        <f t="shared" si="16"/>
        <v>1.0569530421039663</v>
      </c>
      <c r="K39" s="32">
        <f t="shared" si="16"/>
        <v>1.0569530421039663</v>
      </c>
      <c r="L39" s="32">
        <f t="shared" si="16"/>
        <v>1.0569530421039663</v>
      </c>
      <c r="M39" s="32">
        <f t="shared" si="16"/>
        <v>1.0569530421039663</v>
      </c>
      <c r="N39" t="s">
        <v>60</v>
      </c>
    </row>
    <row r="40" spans="1:14">
      <c r="A40" t="s">
        <v>43</v>
      </c>
      <c r="B40" s="14">
        <f t="shared" ref="B40:F40" si="17">B14/$G11</f>
        <v>0.85524444628259877</v>
      </c>
      <c r="C40" s="14">
        <f t="shared" si="17"/>
        <v>0.85524444628259877</v>
      </c>
      <c r="D40" s="14">
        <f t="shared" si="17"/>
        <v>0.85524444628259877</v>
      </c>
      <c r="E40" s="14">
        <f t="shared" si="17"/>
        <v>0.85524444628259877</v>
      </c>
      <c r="F40" s="14">
        <f t="shared" si="17"/>
        <v>0.88751782161401749</v>
      </c>
      <c r="G40" s="14">
        <f>G14/$G11</f>
        <v>0.88751782161401749</v>
      </c>
      <c r="H40" s="33">
        <f t="shared" ref="H40:M40" si="18">H14/$G11</f>
        <v>0.88751782161401749</v>
      </c>
      <c r="I40" s="32">
        <f t="shared" si="18"/>
        <v>0.88751782161401749</v>
      </c>
      <c r="J40" s="32">
        <f t="shared" si="18"/>
        <v>0.88751782161401749</v>
      </c>
      <c r="K40" s="32">
        <f t="shared" si="18"/>
        <v>0.88751782161401749</v>
      </c>
      <c r="L40" s="32">
        <f t="shared" si="18"/>
        <v>0.88751782161401749</v>
      </c>
      <c r="M40" s="32">
        <f t="shared" si="18"/>
        <v>0.88751782161401749</v>
      </c>
      <c r="N40" t="s">
        <v>60</v>
      </c>
    </row>
    <row r="41" spans="1:14">
      <c r="A41" t="s">
        <v>44</v>
      </c>
      <c r="B41" s="14"/>
      <c r="C41" s="14"/>
      <c r="D41" s="14"/>
      <c r="E41" s="14"/>
      <c r="F41" s="14"/>
      <c r="G41" s="14"/>
      <c r="H41" s="33">
        <f t="shared" ref="H41:M41" si="19">H15/$G11</f>
        <v>0.93592788461114573</v>
      </c>
      <c r="I41" s="32">
        <f t="shared" si="19"/>
        <v>0.93592788461114573</v>
      </c>
      <c r="J41" s="32">
        <f t="shared" si="19"/>
        <v>0.93592788461114573</v>
      </c>
      <c r="K41" s="32">
        <f t="shared" si="19"/>
        <v>0.93592788461114573</v>
      </c>
      <c r="L41" s="32">
        <f t="shared" si="19"/>
        <v>0.93592788461114573</v>
      </c>
      <c r="M41" s="32">
        <f t="shared" si="19"/>
        <v>0.93592788461114573</v>
      </c>
      <c r="N41" t="s">
        <v>60</v>
      </c>
    </row>
    <row r="42" spans="1:14">
      <c r="A42" t="s">
        <v>23</v>
      </c>
      <c r="B42" s="14">
        <f t="shared" ref="B42:F42" si="20">B16/$G11</f>
        <v>0.85524444628259877</v>
      </c>
      <c r="C42" s="14">
        <f t="shared" si="20"/>
        <v>0.85524444628259877</v>
      </c>
      <c r="D42" s="14">
        <f t="shared" si="20"/>
        <v>0.85524444628259877</v>
      </c>
      <c r="E42" s="14">
        <f t="shared" si="20"/>
        <v>0.85524444628259877</v>
      </c>
      <c r="F42" s="14">
        <f t="shared" si="20"/>
        <v>0.88751782161401749</v>
      </c>
      <c r="G42" s="14">
        <f>G16/$G11</f>
        <v>0.88751782161401749</v>
      </c>
      <c r="H42" s="33">
        <f t="shared" ref="H42:M43" si="21">H16/$G11</f>
        <v>0.88751782161401749</v>
      </c>
      <c r="I42" s="32">
        <f t="shared" si="21"/>
        <v>0.88751782161401749</v>
      </c>
      <c r="J42" s="32">
        <f t="shared" si="21"/>
        <v>0.88751782161401749</v>
      </c>
      <c r="K42" s="32">
        <f t="shared" si="21"/>
        <v>0.88751782161401749</v>
      </c>
      <c r="L42" s="32">
        <f t="shared" si="21"/>
        <v>0.88751782161401749</v>
      </c>
      <c r="M42" s="32">
        <f t="shared" si="21"/>
        <v>0.88751782161401749</v>
      </c>
      <c r="N42" t="s">
        <v>60</v>
      </c>
    </row>
    <row r="43" spans="1:14">
      <c r="A43" t="s">
        <v>45</v>
      </c>
      <c r="B43" s="14"/>
      <c r="C43" s="14"/>
      <c r="D43" s="14"/>
      <c r="E43" s="14"/>
      <c r="F43" s="14"/>
      <c r="G43" s="14"/>
      <c r="H43" s="33">
        <f t="shared" si="21"/>
        <v>0.93297587131367288</v>
      </c>
      <c r="I43" s="32">
        <f t="shared" si="21"/>
        <v>0.93297587131367288</v>
      </c>
      <c r="J43" s="32">
        <f t="shared" si="21"/>
        <v>0.93297587131367288</v>
      </c>
      <c r="K43" s="32">
        <f t="shared" si="21"/>
        <v>0.93297587131367288</v>
      </c>
      <c r="L43" s="32">
        <f t="shared" si="21"/>
        <v>0.93297587131367288</v>
      </c>
      <c r="M43" s="32">
        <f t="shared" si="21"/>
        <v>0.93297587131367288</v>
      </c>
      <c r="N43" t="s">
        <v>60</v>
      </c>
    </row>
    <row r="44" spans="1:14">
      <c r="A44" t="s">
        <v>46</v>
      </c>
      <c r="B44" s="14">
        <f t="shared" ref="B44:F44" si="22">1/(B18/$G18)</f>
        <v>0.98347251517079037</v>
      </c>
      <c r="C44" s="14">
        <f t="shared" si="22"/>
        <v>0.98347251517079037</v>
      </c>
      <c r="D44" s="14">
        <f t="shared" si="22"/>
        <v>0.98347251517079037</v>
      </c>
      <c r="E44" s="14">
        <f t="shared" si="22"/>
        <v>0.98347251517079037</v>
      </c>
      <c r="F44" s="14">
        <f t="shared" si="22"/>
        <v>1</v>
      </c>
      <c r="G44" s="42">
        <f>1/(G18/$G18)</f>
        <v>1</v>
      </c>
      <c r="H44" s="33">
        <f t="shared" ref="H44:M44" si="23">1/(H18/$G18)</f>
        <v>1</v>
      </c>
      <c r="I44" s="32">
        <f t="shared" si="23"/>
        <v>1</v>
      </c>
      <c r="J44" s="32">
        <f t="shared" si="23"/>
        <v>1</v>
      </c>
      <c r="K44" s="32">
        <f t="shared" si="23"/>
        <v>1</v>
      </c>
      <c r="L44" s="32">
        <f t="shared" si="23"/>
        <v>1</v>
      </c>
      <c r="M44" s="32">
        <f t="shared" si="23"/>
        <v>1</v>
      </c>
      <c r="N44" t="s">
        <v>60</v>
      </c>
    </row>
    <row r="45" spans="1:14">
      <c r="A45" t="s">
        <v>25</v>
      </c>
      <c r="B45" s="14">
        <f t="shared" ref="B45:F45" si="24">1/(B19/$G18)</f>
        <v>1.0925190459089398</v>
      </c>
      <c r="C45" s="14">
        <f t="shared" si="24"/>
        <v>1.0925190459089398</v>
      </c>
      <c r="D45" s="14">
        <f t="shared" si="24"/>
        <v>1.0925190459089398</v>
      </c>
      <c r="E45" s="14">
        <f t="shared" si="24"/>
        <v>1.0925190459089398</v>
      </c>
      <c r="F45" s="14">
        <f t="shared" si="24"/>
        <v>1.0925190459089398</v>
      </c>
      <c r="G45" s="14">
        <f>1/(G19/$G18)</f>
        <v>1.0925190459089398</v>
      </c>
      <c r="H45" s="33">
        <f t="shared" ref="H45:M45" si="25">1/(H19/$G18)</f>
        <v>1.0925190459089398</v>
      </c>
      <c r="I45" s="32">
        <f t="shared" si="25"/>
        <v>1.0925190459089398</v>
      </c>
      <c r="J45" s="32">
        <f t="shared" si="25"/>
        <v>1.0925190459089398</v>
      </c>
      <c r="K45" s="32">
        <f t="shared" si="25"/>
        <v>1.0925190459089398</v>
      </c>
      <c r="L45" s="32">
        <f t="shared" si="25"/>
        <v>1.0925190459089398</v>
      </c>
      <c r="M45" s="32">
        <f t="shared" si="25"/>
        <v>1.0925190459089398</v>
      </c>
      <c r="N45" t="s">
        <v>60</v>
      </c>
    </row>
    <row r="46" spans="1:14">
      <c r="A46" t="s">
        <v>47</v>
      </c>
      <c r="B46" s="14"/>
      <c r="C46" s="14"/>
      <c r="D46" s="14"/>
      <c r="E46" s="14"/>
      <c r="F46" s="14"/>
      <c r="G46" s="14"/>
      <c r="H46" s="33">
        <f t="shared" ref="H46:M46" si="26">1/(H20/$G18)</f>
        <v>1.403487943107202</v>
      </c>
      <c r="I46" s="32">
        <f t="shared" si="26"/>
        <v>1.403487943107202</v>
      </c>
      <c r="J46" s="32">
        <f t="shared" si="26"/>
        <v>1.403487943107202</v>
      </c>
      <c r="K46" s="32">
        <f t="shared" si="26"/>
        <v>1.403487943107202</v>
      </c>
      <c r="L46" s="32">
        <f t="shared" si="26"/>
        <v>1.403487943107202</v>
      </c>
      <c r="M46" s="32">
        <f t="shared" si="26"/>
        <v>1.403487943107202</v>
      </c>
      <c r="N46" t="s">
        <v>60</v>
      </c>
    </row>
    <row r="47" spans="1:14">
      <c r="A47" t="s">
        <v>48</v>
      </c>
      <c r="B47" s="14">
        <f t="shared" ref="B47:F47" si="27">1/(B21*0.293071/$G18)</f>
        <v>0.61348616108358434</v>
      </c>
      <c r="C47" s="14">
        <f t="shared" si="27"/>
        <v>0.61348616108358434</v>
      </c>
      <c r="D47" s="14">
        <f t="shared" si="27"/>
        <v>0.61348616108358434</v>
      </c>
      <c r="E47" s="14">
        <f t="shared" si="27"/>
        <v>0.61348616108358434</v>
      </c>
      <c r="F47" s="14">
        <f t="shared" si="27"/>
        <v>0.66151482713918863</v>
      </c>
      <c r="G47" s="14">
        <f>1/(G21*0.293071/$G18)</f>
        <v>0.66151482713918863</v>
      </c>
      <c r="H47" s="33">
        <f t="shared" ref="H47:M47" si="28">1/(H21*0.293071/$G18)</f>
        <v>0.66151482713918863</v>
      </c>
      <c r="I47" s="32">
        <f t="shared" si="28"/>
        <v>0.66151482713918863</v>
      </c>
      <c r="J47" s="32">
        <f t="shared" si="28"/>
        <v>0.66151482713918863</v>
      </c>
      <c r="K47" s="32">
        <f t="shared" si="28"/>
        <v>0.66151482713918863</v>
      </c>
      <c r="L47" s="32">
        <f t="shared" si="28"/>
        <v>0.66151482713918863</v>
      </c>
      <c r="M47" s="32">
        <f t="shared" si="28"/>
        <v>0.66151482713918863</v>
      </c>
      <c r="N47" t="s">
        <v>60</v>
      </c>
    </row>
    <row r="48" spans="1:14">
      <c r="A48" t="s">
        <v>49</v>
      </c>
      <c r="B48" s="14"/>
      <c r="C48" s="14"/>
      <c r="D48" s="14"/>
      <c r="E48" s="14"/>
      <c r="F48" s="14"/>
      <c r="G48" s="14"/>
      <c r="H48" s="33">
        <f t="shared" ref="H48:M48" si="29">1/(H22*0.293071/$G19)</f>
        <v>0.67949732509282856</v>
      </c>
      <c r="I48" s="32">
        <f t="shared" si="29"/>
        <v>0.67949732509282856</v>
      </c>
      <c r="J48" s="32">
        <f t="shared" si="29"/>
        <v>0.67949732509282856</v>
      </c>
      <c r="K48" s="32">
        <f t="shared" si="29"/>
        <v>0.67949732509282856</v>
      </c>
      <c r="L48" s="32">
        <f t="shared" si="29"/>
        <v>0.67949732509282856</v>
      </c>
      <c r="M48" s="32">
        <f t="shared" si="29"/>
        <v>0.67949732509282856</v>
      </c>
      <c r="N48" t="s">
        <v>60</v>
      </c>
    </row>
    <row r="49" spans="1:14">
      <c r="A49" t="s">
        <v>27</v>
      </c>
      <c r="B49" s="14">
        <f t="shared" ref="B49:F49" si="30">1/(B23*0.293071/$G18)</f>
        <v>0.61348616108358434</v>
      </c>
      <c r="C49" s="14">
        <f t="shared" si="30"/>
        <v>0.61348616108358434</v>
      </c>
      <c r="D49" s="14">
        <f t="shared" si="30"/>
        <v>0.61348616108358434</v>
      </c>
      <c r="E49" s="14">
        <f t="shared" si="30"/>
        <v>0.61348616108358434</v>
      </c>
      <c r="F49" s="14">
        <f t="shared" si="30"/>
        <v>0.66151482713918863</v>
      </c>
      <c r="G49" s="14">
        <f>1/(G23*0.293071/$G18)</f>
        <v>0.66151482713918863</v>
      </c>
      <c r="H49" s="33">
        <f t="shared" ref="H49:M49" si="31">1/(H23*0.293071/$G18)</f>
        <v>0.66151482713918863</v>
      </c>
      <c r="I49" s="32">
        <f t="shared" si="31"/>
        <v>0.66151482713918863</v>
      </c>
      <c r="J49" s="32">
        <f t="shared" si="31"/>
        <v>0.66151482713918863</v>
      </c>
      <c r="K49" s="32">
        <f t="shared" si="31"/>
        <v>0.66151482713918863</v>
      </c>
      <c r="L49" s="32">
        <f t="shared" si="31"/>
        <v>0.66151482713918863</v>
      </c>
      <c r="M49" s="32">
        <f t="shared" si="31"/>
        <v>0.66151482713918863</v>
      </c>
      <c r="N49" t="s">
        <v>60</v>
      </c>
    </row>
    <row r="50" spans="1:14">
      <c r="A50" t="s">
        <v>50</v>
      </c>
      <c r="B50" s="14"/>
      <c r="C50" s="14"/>
      <c r="D50" s="14"/>
      <c r="E50" s="14"/>
      <c r="F50" s="14"/>
      <c r="G50" s="14"/>
      <c r="H50" s="33">
        <f t="shared" ref="H50:M50" si="32">1/(H24*0.293071/$G18)</f>
        <v>0.74236376930809367</v>
      </c>
      <c r="I50" s="32">
        <f t="shared" si="32"/>
        <v>0.74236376930809367</v>
      </c>
      <c r="J50" s="32">
        <f t="shared" si="32"/>
        <v>0.74236376930809367</v>
      </c>
      <c r="K50" s="32">
        <f t="shared" si="32"/>
        <v>0.74236376930809367</v>
      </c>
      <c r="L50" s="32">
        <f t="shared" si="32"/>
        <v>0.74236376930809367</v>
      </c>
      <c r="M50" s="32">
        <f t="shared" si="32"/>
        <v>0.74236376930809367</v>
      </c>
      <c r="N50" t="s">
        <v>60</v>
      </c>
    </row>
    <row r="51" spans="1:14">
      <c r="A51" t="s">
        <v>29</v>
      </c>
      <c r="B51" s="14">
        <v>1</v>
      </c>
      <c r="C51" s="14">
        <v>1</v>
      </c>
      <c r="D51" s="14">
        <v>1</v>
      </c>
      <c r="E51" s="14">
        <v>1</v>
      </c>
      <c r="F51" s="14">
        <v>1</v>
      </c>
      <c r="G51" s="42">
        <v>1</v>
      </c>
      <c r="H51" s="33">
        <v>1</v>
      </c>
      <c r="I51" s="32">
        <v>1</v>
      </c>
      <c r="J51" s="32">
        <v>1</v>
      </c>
      <c r="K51" s="32">
        <v>1</v>
      </c>
      <c r="L51" s="32">
        <v>1</v>
      </c>
      <c r="M51" s="32">
        <v>1</v>
      </c>
      <c r="N51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7"/>
  <sheetViews>
    <sheetView topLeftCell="A10" zoomScale="80" zoomScaleNormal="80" workbookViewId="0">
      <selection activeCell="U14" sqref="U14"/>
    </sheetView>
  </sheetViews>
  <sheetFormatPr defaultRowHeight="15"/>
  <cols>
    <col min="1" max="1" width="3" customWidth="1"/>
    <col min="2" max="2" width="54" style="1" customWidth="1"/>
    <col min="3" max="15" width="10.42578125" customWidth="1"/>
    <col min="16" max="17" width="10.28515625" customWidth="1"/>
    <col min="18" max="19" width="9.5703125" customWidth="1"/>
    <col min="20" max="20" width="10.42578125" customWidth="1"/>
    <col min="23" max="23" width="9.140625" style="25"/>
  </cols>
  <sheetData>
    <row r="1" spans="1:23" ht="45.2" customHeight="1"/>
    <row r="2" spans="1:23" ht="34.5" customHeight="1">
      <c r="B2"/>
    </row>
    <row r="5" spans="1:23" ht="13.5" customHeight="1">
      <c r="A5" s="2" t="s">
        <v>61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23" ht="13.5" customHeight="1">
      <c r="A6" s="2"/>
      <c r="F6" s="3"/>
      <c r="G6" s="3"/>
      <c r="H6" s="3"/>
      <c r="I6" s="3"/>
      <c r="J6" s="3"/>
      <c r="K6" s="3"/>
      <c r="L6" s="3"/>
      <c r="M6" s="3"/>
      <c r="N6" s="3"/>
      <c r="O6" s="3"/>
    </row>
    <row r="7" spans="1:23" ht="16.5" customHeight="1">
      <c r="A7" s="4" t="s">
        <v>62</v>
      </c>
      <c r="C7" s="3"/>
      <c r="D7" s="3"/>
      <c r="E7" s="3"/>
    </row>
    <row r="8" spans="1:23" s="5" customFormat="1" ht="13.5" customHeight="1">
      <c r="A8" s="4" t="s">
        <v>63</v>
      </c>
      <c r="B8" s="1"/>
      <c r="W8" s="4"/>
    </row>
    <row r="9" spans="1:23" ht="13.5" customHeight="1">
      <c r="C9" s="6"/>
      <c r="D9" s="6"/>
    </row>
    <row r="10" spans="1:23" ht="13.5" customHeight="1"/>
    <row r="11" spans="1:23" ht="13.5" customHeight="1" thickBot="1">
      <c r="C11" s="7">
        <v>2000</v>
      </c>
      <c r="D11" s="7">
        <v>2001</v>
      </c>
      <c r="E11" s="7">
        <v>2002</v>
      </c>
      <c r="F11" s="7">
        <v>2003</v>
      </c>
      <c r="G11" s="7">
        <v>2004</v>
      </c>
      <c r="H11" s="7">
        <v>2005</v>
      </c>
      <c r="I11" s="7">
        <v>2006</v>
      </c>
      <c r="J11" s="7">
        <v>2007</v>
      </c>
      <c r="K11" s="7">
        <v>2008</v>
      </c>
      <c r="L11" s="7">
        <v>2009</v>
      </c>
      <c r="M11" s="7">
        <v>2010</v>
      </c>
      <c r="N11" s="7">
        <v>2011</v>
      </c>
      <c r="O11" s="7">
        <v>2012</v>
      </c>
      <c r="P11" s="7">
        <v>2013</v>
      </c>
      <c r="Q11" s="7">
        <v>2014</v>
      </c>
      <c r="R11" s="7">
        <v>2015</v>
      </c>
      <c r="S11" s="7">
        <v>2016</v>
      </c>
      <c r="T11" s="7">
        <v>2017</v>
      </c>
      <c r="U11" s="7">
        <v>2018</v>
      </c>
      <c r="V11" s="7">
        <v>2019</v>
      </c>
      <c r="W11" s="7">
        <v>2020</v>
      </c>
    </row>
    <row r="12" spans="1:23" ht="13.5" customHeight="1"/>
    <row r="13" spans="1:23" ht="13.5" customHeight="1">
      <c r="B13" s="8" t="s">
        <v>64</v>
      </c>
    </row>
    <row r="14" spans="1:23" ht="13.5" customHeight="1">
      <c r="B14" s="9" t="s">
        <v>2</v>
      </c>
      <c r="C14" s="10">
        <v>5422.759</v>
      </c>
      <c r="D14" s="10">
        <v>5534.3990000000003</v>
      </c>
      <c r="E14" s="10">
        <v>5642.616</v>
      </c>
      <c r="F14" s="10">
        <v>5749.3440000000001</v>
      </c>
      <c r="G14" s="10">
        <v>5864.7439999999997</v>
      </c>
      <c r="H14" s="10">
        <v>6080.4489999999996</v>
      </c>
      <c r="I14" s="10">
        <v>6173.67</v>
      </c>
      <c r="J14" s="10">
        <v>6248.59</v>
      </c>
      <c r="K14" s="10">
        <v>6357.92</v>
      </c>
      <c r="L14" s="10">
        <v>6444.7309999999998</v>
      </c>
      <c r="M14" s="10">
        <v>6358.21</v>
      </c>
      <c r="N14" s="10">
        <v>6450.5680000000002</v>
      </c>
      <c r="O14" s="10">
        <v>6544.5479999999998</v>
      </c>
      <c r="P14" s="10">
        <v>6595.63</v>
      </c>
      <c r="Q14" s="10">
        <v>6671.6639999999998</v>
      </c>
      <c r="R14" s="10">
        <v>6741</v>
      </c>
      <c r="S14" s="10">
        <v>6833.4480000000003</v>
      </c>
      <c r="T14" s="10">
        <v>6882.24</v>
      </c>
      <c r="U14" s="10">
        <v>6992.0219999999999</v>
      </c>
      <c r="V14" s="10">
        <v>7101.8040000000001</v>
      </c>
      <c r="W14" s="40">
        <v>7185.5439999999999</v>
      </c>
    </row>
    <row r="15" spans="1:23" ht="13.5" customHeight="1">
      <c r="B15" s="9" t="s">
        <v>3</v>
      </c>
      <c r="C15" s="10">
        <v>2443.942</v>
      </c>
      <c r="D15" s="10">
        <v>2443.9059999999999</v>
      </c>
      <c r="E15" s="10">
        <v>2437.3739999999998</v>
      </c>
      <c r="F15" s="10">
        <v>2441.5590000000002</v>
      </c>
      <c r="G15" s="10">
        <v>2415.451</v>
      </c>
      <c r="H15" s="10">
        <v>2402.0300000000002</v>
      </c>
      <c r="I15" s="10">
        <v>2399.7930000000001</v>
      </c>
      <c r="J15" s="10">
        <v>2422.5839999999998</v>
      </c>
      <c r="K15" s="10">
        <v>2430.9740000000002</v>
      </c>
      <c r="L15" s="10">
        <v>2470.0390000000002</v>
      </c>
      <c r="M15" s="10">
        <v>2497.3220000000001</v>
      </c>
      <c r="N15" s="10">
        <v>2531.9989999999998</v>
      </c>
      <c r="O15" s="10">
        <v>2568.8879999999999</v>
      </c>
      <c r="P15" s="10">
        <v>2588.9389999999999</v>
      </c>
      <c r="Q15" s="10">
        <v>2618.7840000000001</v>
      </c>
      <c r="R15" s="10">
        <v>2646</v>
      </c>
      <c r="S15" s="10">
        <v>2682.288</v>
      </c>
      <c r="T15" s="10">
        <v>2701.44</v>
      </c>
      <c r="U15" s="10">
        <v>2744.5320000000002</v>
      </c>
      <c r="V15" s="10">
        <v>2787.6239999999998</v>
      </c>
      <c r="W15" s="40">
        <v>2820.4940000000001</v>
      </c>
    </row>
    <row r="16" spans="1:23" ht="13.5" customHeight="1">
      <c r="B16" s="9" t="s">
        <v>4</v>
      </c>
      <c r="C16" s="10">
        <v>2073.3009999999999</v>
      </c>
      <c r="D16" s="10">
        <v>2127.0479999999998</v>
      </c>
      <c r="E16" s="10">
        <v>2230.3490000000002</v>
      </c>
      <c r="F16" s="10">
        <v>2321.835</v>
      </c>
      <c r="G16" s="10">
        <v>2409.201</v>
      </c>
      <c r="H16" s="10">
        <v>2523.123</v>
      </c>
      <c r="I16" s="10">
        <v>2612.4270000000001</v>
      </c>
      <c r="J16" s="10">
        <v>2689.1030000000001</v>
      </c>
      <c r="K16" s="10">
        <v>2767.085</v>
      </c>
      <c r="L16" s="10">
        <v>2848.2559999999999</v>
      </c>
      <c r="M16" s="10">
        <v>2841.5219999999999</v>
      </c>
      <c r="N16" s="10">
        <v>2883.665</v>
      </c>
      <c r="O16" s="10">
        <v>2925.6779999999999</v>
      </c>
      <c r="P16" s="10">
        <v>2948.5140000000001</v>
      </c>
      <c r="Q16" s="10">
        <v>2982.5039999999999</v>
      </c>
      <c r="R16" s="10">
        <v>3013.5</v>
      </c>
      <c r="S16" s="10">
        <v>3054.828</v>
      </c>
      <c r="T16" s="10">
        <v>3076.64</v>
      </c>
      <c r="U16" s="10">
        <v>3125.7170000000001</v>
      </c>
      <c r="V16" s="10">
        <v>3174.7939999999999</v>
      </c>
      <c r="W16" s="40">
        <v>3212.2289999999998</v>
      </c>
    </row>
    <row r="17" spans="2:23" ht="13.5" customHeight="1">
      <c r="B17" s="9" t="s">
        <v>5</v>
      </c>
      <c r="C17" s="10">
        <v>3232.7979999999998</v>
      </c>
      <c r="D17" s="10">
        <v>3300.4830000000002</v>
      </c>
      <c r="E17" s="10">
        <v>3382.7950000000001</v>
      </c>
      <c r="F17" s="10">
        <v>3453.0390000000002</v>
      </c>
      <c r="G17" s="10">
        <v>3506.346</v>
      </c>
      <c r="H17" s="10">
        <v>3582.6680000000001</v>
      </c>
      <c r="I17" s="10">
        <v>3628.6210000000001</v>
      </c>
      <c r="J17" s="10">
        <v>3665.8809999999999</v>
      </c>
      <c r="K17" s="10">
        <v>3712.0650000000001</v>
      </c>
      <c r="L17" s="10">
        <v>3772.6210000000001</v>
      </c>
      <c r="M17" s="10">
        <v>3771.4209999999998</v>
      </c>
      <c r="N17" s="10">
        <v>3813.07</v>
      </c>
      <c r="O17" s="10">
        <v>3868.623</v>
      </c>
      <c r="P17" s="10">
        <v>3898.819</v>
      </c>
      <c r="Q17" s="10">
        <v>3943.7640000000001</v>
      </c>
      <c r="R17" s="10">
        <v>3984.75</v>
      </c>
      <c r="S17" s="10">
        <v>4039.3980000000001</v>
      </c>
      <c r="T17" s="10">
        <v>4068.24</v>
      </c>
      <c r="U17" s="10">
        <v>4133.134</v>
      </c>
      <c r="V17" s="10">
        <v>4198.0290000000005</v>
      </c>
      <c r="W17" s="40">
        <v>4247.5290000000005</v>
      </c>
    </row>
    <row r="18" spans="2:23" ht="13.5" customHeight="1">
      <c r="B18" s="9" t="s">
        <v>6</v>
      </c>
      <c r="C18" s="10">
        <v>3339.9259999999999</v>
      </c>
      <c r="D18" s="10">
        <v>3389.66</v>
      </c>
      <c r="E18" s="10">
        <v>3463.1239999999998</v>
      </c>
      <c r="F18" s="10">
        <v>3527.4589999999998</v>
      </c>
      <c r="G18" s="10">
        <v>3583.9760000000001</v>
      </c>
      <c r="H18" s="10">
        <v>3748.5729999999999</v>
      </c>
      <c r="I18" s="10">
        <v>3808.2460000000001</v>
      </c>
      <c r="J18" s="10">
        <v>3870.0639999999999</v>
      </c>
      <c r="K18" s="10">
        <v>3938.6610000000001</v>
      </c>
      <c r="L18" s="10">
        <v>4002.788</v>
      </c>
      <c r="M18" s="10">
        <v>3922.5830000000001</v>
      </c>
      <c r="N18" s="10">
        <v>3973.1590000000001</v>
      </c>
      <c r="O18" s="10">
        <v>4026.7809999999999</v>
      </c>
      <c r="P18" s="10">
        <v>4053.6080000000002</v>
      </c>
      <c r="Q18" s="10">
        <v>4095.8649999999998</v>
      </c>
      <c r="R18" s="10">
        <v>4134.9859999999999</v>
      </c>
      <c r="S18" s="10">
        <v>4189.2489999999998</v>
      </c>
      <c r="T18" s="10">
        <v>4216.6970000000001</v>
      </c>
      <c r="U18" s="10">
        <v>4282.991</v>
      </c>
      <c r="V18" s="10">
        <v>4350.2370000000001</v>
      </c>
      <c r="W18" s="40">
        <v>4401.5330000000004</v>
      </c>
    </row>
    <row r="19" spans="2:23" ht="13.5" customHeight="1">
      <c r="B19" s="9" t="s">
        <v>7</v>
      </c>
      <c r="C19" s="10">
        <v>4264.7749999999996</v>
      </c>
      <c r="D19" s="10">
        <v>4351.3280000000004</v>
      </c>
      <c r="E19" s="10">
        <v>4418.3710000000001</v>
      </c>
      <c r="F19" s="10">
        <v>4489.7839999999997</v>
      </c>
      <c r="G19" s="10">
        <v>4559.4989999999998</v>
      </c>
      <c r="H19" s="10">
        <v>4646.3209999999999</v>
      </c>
      <c r="I19" s="10">
        <v>4706.0330000000004</v>
      </c>
      <c r="J19" s="10">
        <v>4784.817</v>
      </c>
      <c r="K19" s="10">
        <v>4865.0680000000002</v>
      </c>
      <c r="L19" s="10">
        <v>4944.5209999999997</v>
      </c>
      <c r="M19" s="10">
        <v>4955.97</v>
      </c>
      <c r="N19" s="10">
        <v>5023.8069999999998</v>
      </c>
      <c r="O19" s="10">
        <v>5097</v>
      </c>
      <c r="P19" s="10">
        <v>5136.7830000000004</v>
      </c>
      <c r="Q19" s="10">
        <v>5196</v>
      </c>
      <c r="R19" s="10">
        <v>5250</v>
      </c>
      <c r="S19" s="10">
        <v>5322</v>
      </c>
      <c r="T19" s="10">
        <v>5360</v>
      </c>
      <c r="U19" s="10">
        <v>5445.5</v>
      </c>
      <c r="V19" s="10">
        <v>5531</v>
      </c>
      <c r="W19" s="40">
        <v>5596.2179999999998</v>
      </c>
    </row>
    <row r="20" spans="2:23" ht="13.5" customHeight="1">
      <c r="B20" s="9" t="s">
        <v>28</v>
      </c>
      <c r="C20" s="10">
        <v>57008.894999999997</v>
      </c>
      <c r="D20" s="10">
        <v>60852.773000000001</v>
      </c>
      <c r="E20" s="10">
        <v>63629.531000000003</v>
      </c>
      <c r="F20" s="10">
        <v>66375.218999999997</v>
      </c>
      <c r="G20" s="10">
        <v>69828.960999999996</v>
      </c>
      <c r="H20" s="10">
        <v>74215.812000000005</v>
      </c>
      <c r="I20" s="10">
        <v>76329.116999999998</v>
      </c>
      <c r="J20" s="10">
        <v>78934.914000000004</v>
      </c>
      <c r="K20" s="10">
        <v>80296.812000000005</v>
      </c>
      <c r="L20" s="10">
        <v>82983.125</v>
      </c>
      <c r="M20" s="10">
        <v>80887.741999999998</v>
      </c>
      <c r="N20" s="10">
        <v>83691.601999999999</v>
      </c>
      <c r="O20" s="10">
        <v>87148.508000000002</v>
      </c>
      <c r="P20" s="10">
        <v>89883.43</v>
      </c>
      <c r="Q20" s="10">
        <v>93366.922000000006</v>
      </c>
      <c r="R20" s="10">
        <v>96883.508000000002</v>
      </c>
      <c r="S20" s="10">
        <v>99047.741999999998</v>
      </c>
      <c r="T20" s="10">
        <v>100505.359</v>
      </c>
      <c r="U20" s="10">
        <v>103159.55499999999</v>
      </c>
      <c r="V20" s="10">
        <v>105846.742</v>
      </c>
      <c r="W20" s="40">
        <v>108146.92200000001</v>
      </c>
    </row>
    <row r="21" spans="2:23" ht="13.5" customHeight="1"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38"/>
    </row>
    <row r="22" spans="2:23" ht="13.5" customHeight="1">
      <c r="B22" s="8" t="s">
        <v>65</v>
      </c>
    </row>
    <row r="23" spans="2:23" ht="13.5" customHeight="1">
      <c r="B23" s="13" t="s">
        <v>2</v>
      </c>
      <c r="C23" s="14">
        <v>1.263781</v>
      </c>
      <c r="D23" s="14">
        <v>1.2650779999999999</v>
      </c>
      <c r="E23" s="14">
        <v>1.267935</v>
      </c>
      <c r="F23" s="14">
        <v>1.272257</v>
      </c>
      <c r="G23" s="14">
        <v>1.2774460000000001</v>
      </c>
      <c r="H23" s="14">
        <v>1.301037</v>
      </c>
      <c r="I23" s="14">
        <v>1.303337</v>
      </c>
      <c r="J23" s="14">
        <v>1.3011740000000001</v>
      </c>
      <c r="K23" s="14">
        <v>1.303307</v>
      </c>
      <c r="L23" s="14">
        <v>1.30179</v>
      </c>
      <c r="M23" s="14">
        <v>1.2813460000000001</v>
      </c>
      <c r="N23" s="14">
        <v>1.284</v>
      </c>
      <c r="O23" s="14">
        <v>1.284</v>
      </c>
      <c r="P23" s="14">
        <v>1.284</v>
      </c>
      <c r="Q23" s="14">
        <v>1.284</v>
      </c>
      <c r="R23" s="14">
        <v>1.284</v>
      </c>
      <c r="S23" s="14">
        <v>1.284</v>
      </c>
      <c r="T23" s="14">
        <v>1.284</v>
      </c>
      <c r="U23" s="14">
        <v>1.284</v>
      </c>
      <c r="V23" s="14">
        <v>1.284</v>
      </c>
      <c r="W23" s="32">
        <v>1.284</v>
      </c>
    </row>
    <row r="24" spans="2:23" ht="13.5" customHeight="1">
      <c r="B24" s="13" t="s">
        <v>3</v>
      </c>
      <c r="C24" s="14">
        <v>0.56956399999999996</v>
      </c>
      <c r="D24" s="14">
        <v>0.558639</v>
      </c>
      <c r="E24" s="14">
        <v>0.54769500000000004</v>
      </c>
      <c r="F24" s="14">
        <v>0.54028600000000004</v>
      </c>
      <c r="G24" s="14">
        <v>0.52612899999999996</v>
      </c>
      <c r="H24" s="14">
        <v>0.51396399999999998</v>
      </c>
      <c r="I24" s="14">
        <v>0.50662499999999999</v>
      </c>
      <c r="J24" s="14">
        <v>0.504467</v>
      </c>
      <c r="K24" s="14">
        <v>0.49832399999999999</v>
      </c>
      <c r="L24" s="14">
        <v>0.49892999999999998</v>
      </c>
      <c r="M24" s="14">
        <v>0.50327599999999995</v>
      </c>
      <c r="N24" s="14">
        <v>0.504</v>
      </c>
      <c r="O24" s="14">
        <v>0.504</v>
      </c>
      <c r="P24" s="14">
        <v>0.504</v>
      </c>
      <c r="Q24" s="14">
        <v>0.504</v>
      </c>
      <c r="R24" s="14">
        <v>0.504</v>
      </c>
      <c r="S24" s="14">
        <v>0.504</v>
      </c>
      <c r="T24" s="14">
        <v>0.504</v>
      </c>
      <c r="U24" s="14">
        <v>0.504</v>
      </c>
      <c r="V24" s="14">
        <v>0.504</v>
      </c>
      <c r="W24" s="32">
        <v>0.504</v>
      </c>
    </row>
    <row r="25" spans="2:23" ht="13.5" customHeight="1">
      <c r="B25" s="13" t="s">
        <v>4</v>
      </c>
      <c r="C25" s="14">
        <v>0.483186</v>
      </c>
      <c r="D25" s="14">
        <v>0.48620999999999998</v>
      </c>
      <c r="E25" s="14">
        <v>0.50117500000000004</v>
      </c>
      <c r="F25" s="14">
        <v>0.51379300000000006</v>
      </c>
      <c r="G25" s="14">
        <v>0.52476699999999998</v>
      </c>
      <c r="H25" s="14">
        <v>0.53987399999999997</v>
      </c>
      <c r="I25" s="14">
        <v>0.55151499999999998</v>
      </c>
      <c r="J25" s="14">
        <v>0.55996500000000005</v>
      </c>
      <c r="K25" s="14">
        <v>0.56722300000000003</v>
      </c>
      <c r="L25" s="14">
        <v>0.57532700000000003</v>
      </c>
      <c r="M25" s="14">
        <v>0.57264099999999996</v>
      </c>
      <c r="N25" s="14">
        <v>0.57399999999999995</v>
      </c>
      <c r="O25" s="14">
        <v>0.57399999999999995</v>
      </c>
      <c r="P25" s="14">
        <v>0.57399999999999995</v>
      </c>
      <c r="Q25" s="14">
        <v>0.57399999999999995</v>
      </c>
      <c r="R25" s="14">
        <v>0.57399999999999995</v>
      </c>
      <c r="S25" s="14">
        <v>0.57399999999999995</v>
      </c>
      <c r="T25" s="14">
        <v>0.57399999999999995</v>
      </c>
      <c r="U25" s="14">
        <v>0.57399999999999995</v>
      </c>
      <c r="V25" s="14">
        <v>0.57399999999999995</v>
      </c>
      <c r="W25" s="32">
        <v>0.57399999999999995</v>
      </c>
    </row>
    <row r="26" spans="2:23" ht="13.5" customHeight="1">
      <c r="B26" s="13" t="s">
        <v>5</v>
      </c>
      <c r="C26" s="14">
        <v>0.75340799999999997</v>
      </c>
      <c r="D26" s="14">
        <v>0.75443899999999997</v>
      </c>
      <c r="E26" s="14">
        <v>0.76013799999999998</v>
      </c>
      <c r="F26" s="14">
        <v>0.76411399999999996</v>
      </c>
      <c r="G26" s="14">
        <v>0.76374500000000001</v>
      </c>
      <c r="H26" s="14">
        <v>0.76658599999999999</v>
      </c>
      <c r="I26" s="14">
        <v>0.766046</v>
      </c>
      <c r="J26" s="14">
        <v>0.76336400000000004</v>
      </c>
      <c r="K26" s="14">
        <v>0.760934</v>
      </c>
      <c r="L26" s="14">
        <v>0.762042</v>
      </c>
      <c r="M26" s="14">
        <v>0.76004000000000005</v>
      </c>
      <c r="N26" s="14">
        <v>0.75900000000000001</v>
      </c>
      <c r="O26" s="14">
        <v>0.75900000000000001</v>
      </c>
      <c r="P26" s="14">
        <v>0.75900000000000001</v>
      </c>
      <c r="Q26" s="14">
        <v>0.75900000000000001</v>
      </c>
      <c r="R26" s="14">
        <v>0.75900000000000001</v>
      </c>
      <c r="S26" s="14">
        <v>0.75900000000000001</v>
      </c>
      <c r="T26" s="14">
        <v>0.75900000000000001</v>
      </c>
      <c r="U26" s="14">
        <v>0.75900000000000001</v>
      </c>
      <c r="V26" s="14">
        <v>0.75900000000000001</v>
      </c>
      <c r="W26" s="32">
        <v>0.75900000000000001</v>
      </c>
    </row>
    <row r="27" spans="2:23" ht="13.5" customHeight="1">
      <c r="B27" s="13" t="s">
        <v>6</v>
      </c>
      <c r="C27" s="14">
        <v>0.77837400000000001</v>
      </c>
      <c r="D27" s="14">
        <v>0.77482399999999996</v>
      </c>
      <c r="E27" s="14">
        <v>0.77818799999999999</v>
      </c>
      <c r="F27" s="14">
        <v>0.780582</v>
      </c>
      <c r="G27" s="14">
        <v>0.78065399999999996</v>
      </c>
      <c r="H27" s="14">
        <v>0.80208400000000002</v>
      </c>
      <c r="I27" s="14">
        <v>0.80396699999999999</v>
      </c>
      <c r="J27" s="14">
        <v>0.80588199999999999</v>
      </c>
      <c r="K27" s="14">
        <v>0.80738399999999999</v>
      </c>
      <c r="L27" s="14">
        <v>0.808535</v>
      </c>
      <c r="M27" s="14">
        <v>0.79050299999999996</v>
      </c>
      <c r="N27" s="14">
        <v>0.79086599999999996</v>
      </c>
      <c r="O27" s="14">
        <v>0.79003000000000001</v>
      </c>
      <c r="P27" s="14">
        <v>0.789134</v>
      </c>
      <c r="Q27" s="14">
        <v>0.788273</v>
      </c>
      <c r="R27" s="14">
        <v>0.78761599999999998</v>
      </c>
      <c r="S27" s="14">
        <v>0.787157</v>
      </c>
      <c r="T27" s="14">
        <v>0.78669699999999998</v>
      </c>
      <c r="U27" s="14">
        <v>0.78651899999999997</v>
      </c>
      <c r="V27" s="14">
        <v>0.78651899999999997</v>
      </c>
      <c r="W27" s="32">
        <v>0.78651899999999997</v>
      </c>
    </row>
    <row r="28" spans="2:23" ht="13.5" customHeight="1">
      <c r="B28" s="13" t="s">
        <v>7</v>
      </c>
      <c r="C28" s="14">
        <v>0.99391200000000002</v>
      </c>
      <c r="D28" s="14">
        <v>0.99464600000000003</v>
      </c>
      <c r="E28" s="14">
        <v>0.99283900000000003</v>
      </c>
      <c r="F28" s="14">
        <v>0.993533</v>
      </c>
      <c r="G28" s="14">
        <v>0.99314100000000005</v>
      </c>
      <c r="H28" s="14">
        <v>0.99417599999999995</v>
      </c>
      <c r="I28" s="14">
        <v>0.99350000000000005</v>
      </c>
      <c r="J28" s="14">
        <v>0.99636599999999997</v>
      </c>
      <c r="K28" s="14">
        <v>0.99728799999999995</v>
      </c>
      <c r="L28" s="14">
        <v>0.99875800000000003</v>
      </c>
      <c r="M28" s="14">
        <v>0.99875800000000003</v>
      </c>
      <c r="N28" s="14">
        <v>1</v>
      </c>
      <c r="O28" s="14">
        <v>1</v>
      </c>
      <c r="P28" s="14">
        <v>1</v>
      </c>
      <c r="Q28" s="14">
        <v>1</v>
      </c>
      <c r="R28" s="14">
        <v>1</v>
      </c>
      <c r="S28" s="14">
        <v>1</v>
      </c>
      <c r="T28" s="14">
        <v>1</v>
      </c>
      <c r="U28" s="14">
        <v>1</v>
      </c>
      <c r="V28" s="14">
        <v>1</v>
      </c>
      <c r="W28" s="32">
        <v>1</v>
      </c>
    </row>
    <row r="29" spans="2:23" ht="13.5" customHeight="1">
      <c r="B29" s="9" t="s">
        <v>28</v>
      </c>
      <c r="C29" s="14">
        <v>13.286</v>
      </c>
      <c r="D29" s="14">
        <v>13.91</v>
      </c>
      <c r="E29" s="14">
        <v>14.298</v>
      </c>
      <c r="F29" s="14">
        <v>14.688000000000001</v>
      </c>
      <c r="G29" s="14">
        <v>15.21</v>
      </c>
      <c r="H29" s="14">
        <v>15.88</v>
      </c>
      <c r="I29" s="14">
        <v>16.114000999999998</v>
      </c>
      <c r="J29" s="14">
        <v>16.437000000000001</v>
      </c>
      <c r="K29" s="14">
        <v>16.46</v>
      </c>
      <c r="L29" s="14">
        <v>16.761998999999999</v>
      </c>
      <c r="M29" s="14">
        <v>16.300999999999998</v>
      </c>
      <c r="N29" s="14">
        <v>16.658999999999999</v>
      </c>
      <c r="O29" s="14">
        <v>17.097999999999999</v>
      </c>
      <c r="P29" s="14">
        <v>17.497999</v>
      </c>
      <c r="Q29" s="14">
        <v>17.968999</v>
      </c>
      <c r="R29" s="14">
        <v>18.454001000000002</v>
      </c>
      <c r="S29" s="14">
        <v>18.611000000000001</v>
      </c>
      <c r="T29" s="14">
        <v>18.751000000000001</v>
      </c>
      <c r="U29" s="14">
        <v>18.943999999999999</v>
      </c>
      <c r="V29" s="14">
        <v>19.136998999999999</v>
      </c>
      <c r="W29" s="32">
        <v>19.324999999999999</v>
      </c>
    </row>
    <row r="30" spans="2:23" ht="13.5" customHeight="1">
      <c r="B30" s="11"/>
    </row>
    <row r="31" spans="2:23" ht="13.5" customHeight="1">
      <c r="B31" s="15" t="s">
        <v>66</v>
      </c>
    </row>
    <row r="32" spans="2:23" ht="13.5" customHeight="1">
      <c r="B32" s="13" t="s">
        <v>2</v>
      </c>
      <c r="C32" s="10">
        <v>5422.759</v>
      </c>
      <c r="D32" s="10">
        <v>5534.3990000000003</v>
      </c>
      <c r="E32" s="10">
        <v>5642.616</v>
      </c>
      <c r="F32" s="10">
        <v>5749.3440000000001</v>
      </c>
      <c r="G32" s="10">
        <v>5864.7439999999997</v>
      </c>
      <c r="H32" s="10">
        <v>6080.4489999999996</v>
      </c>
      <c r="I32" s="10">
        <v>6173.67</v>
      </c>
      <c r="J32" s="10">
        <v>6248.59</v>
      </c>
      <c r="K32" s="10">
        <v>6357.92</v>
      </c>
      <c r="L32" s="10">
        <v>6444.7309999999998</v>
      </c>
      <c r="M32" s="10">
        <v>6358.21</v>
      </c>
      <c r="N32" s="10">
        <v>6450.5680000000002</v>
      </c>
      <c r="O32" s="10">
        <v>6544.5479999999998</v>
      </c>
      <c r="P32" s="10">
        <v>6595.63</v>
      </c>
      <c r="Q32" s="10">
        <v>6671.6639999999998</v>
      </c>
      <c r="R32" s="10">
        <v>6741</v>
      </c>
      <c r="S32" s="10">
        <v>6833.4480000000003</v>
      </c>
      <c r="T32" s="10">
        <v>6882.24</v>
      </c>
      <c r="U32" s="10">
        <v>6992.0219999999999</v>
      </c>
      <c r="V32" s="10">
        <v>7101.8040000000001</v>
      </c>
      <c r="W32" s="40">
        <v>7185.5439999999999</v>
      </c>
    </row>
    <row r="33" spans="2:23" ht="13.5" customHeight="1">
      <c r="B33" s="13" t="s">
        <v>3</v>
      </c>
      <c r="C33" s="10">
        <v>2443.942</v>
      </c>
      <c r="D33" s="10">
        <v>2443.9059999999999</v>
      </c>
      <c r="E33" s="10">
        <v>2437.3739999999998</v>
      </c>
      <c r="F33" s="10">
        <v>2441.5590000000002</v>
      </c>
      <c r="G33" s="10">
        <v>2415.451</v>
      </c>
      <c r="H33" s="10">
        <v>2402.0300000000002</v>
      </c>
      <c r="I33" s="10">
        <v>2399.7930000000001</v>
      </c>
      <c r="J33" s="10">
        <v>2422.5839999999998</v>
      </c>
      <c r="K33" s="10">
        <v>2430.9740000000002</v>
      </c>
      <c r="L33" s="10">
        <v>2470.0390000000002</v>
      </c>
      <c r="M33" s="10">
        <v>2497.3220000000001</v>
      </c>
      <c r="N33" s="10">
        <v>2531.9989999999998</v>
      </c>
      <c r="O33" s="10">
        <v>2568.8879999999999</v>
      </c>
      <c r="P33" s="10">
        <v>2588.9389999999999</v>
      </c>
      <c r="Q33" s="10">
        <v>2618.7840000000001</v>
      </c>
      <c r="R33" s="10">
        <v>2646</v>
      </c>
      <c r="S33" s="10">
        <v>2682.288</v>
      </c>
      <c r="T33" s="10">
        <v>2701.44</v>
      </c>
      <c r="U33" s="10">
        <v>2744.5320000000002</v>
      </c>
      <c r="V33" s="10">
        <v>2787.6239999999998</v>
      </c>
      <c r="W33" s="40">
        <v>2820.4940000000001</v>
      </c>
    </row>
    <row r="34" spans="2:23" ht="13.5" customHeight="1">
      <c r="B34" s="13" t="s">
        <v>4</v>
      </c>
      <c r="C34" s="10">
        <v>2073.3009999999999</v>
      </c>
      <c r="D34" s="10">
        <v>2127.0479999999998</v>
      </c>
      <c r="E34" s="10">
        <v>2230.3490000000002</v>
      </c>
      <c r="F34" s="10">
        <v>2321.835</v>
      </c>
      <c r="G34" s="10">
        <v>2409.201</v>
      </c>
      <c r="H34" s="10">
        <v>2523.123</v>
      </c>
      <c r="I34" s="10">
        <v>2612.4270000000001</v>
      </c>
      <c r="J34" s="10">
        <v>2689.1030000000001</v>
      </c>
      <c r="K34" s="10">
        <v>2767.085</v>
      </c>
      <c r="L34" s="10">
        <v>2848.2559999999999</v>
      </c>
      <c r="M34" s="10">
        <v>2841.5219999999999</v>
      </c>
      <c r="N34" s="10">
        <v>2883.665</v>
      </c>
      <c r="O34" s="10">
        <v>2925.6779999999999</v>
      </c>
      <c r="P34" s="10">
        <v>2948.5140000000001</v>
      </c>
      <c r="Q34" s="10">
        <v>2982.5039999999999</v>
      </c>
      <c r="R34" s="10">
        <v>3013.5</v>
      </c>
      <c r="S34" s="10">
        <v>3054.828</v>
      </c>
      <c r="T34" s="10">
        <v>3076.64</v>
      </c>
      <c r="U34" s="10">
        <v>3125.7170000000001</v>
      </c>
      <c r="V34" s="10">
        <v>3174.7939999999999</v>
      </c>
      <c r="W34" s="40">
        <v>3212.2289999999998</v>
      </c>
    </row>
    <row r="35" spans="2:23" ht="13.5" customHeight="1">
      <c r="B35" s="13" t="s">
        <v>5</v>
      </c>
      <c r="C35" s="10">
        <v>3232.7979999999998</v>
      </c>
      <c r="D35" s="10">
        <v>3300.4830000000002</v>
      </c>
      <c r="E35" s="10">
        <v>3382.7950000000001</v>
      </c>
      <c r="F35" s="10">
        <v>3453.0390000000002</v>
      </c>
      <c r="G35" s="10">
        <v>3506.346</v>
      </c>
      <c r="H35" s="10">
        <v>3582.6680000000001</v>
      </c>
      <c r="I35" s="10">
        <v>3628.6210000000001</v>
      </c>
      <c r="J35" s="10">
        <v>3665.8809999999999</v>
      </c>
      <c r="K35" s="10">
        <v>3712.0650000000001</v>
      </c>
      <c r="L35" s="10">
        <v>3772.6210000000001</v>
      </c>
      <c r="M35" s="10">
        <v>3771.4209999999998</v>
      </c>
      <c r="N35" s="10">
        <v>3813.07</v>
      </c>
      <c r="O35" s="10">
        <v>3868.623</v>
      </c>
      <c r="P35" s="10">
        <v>3898.819</v>
      </c>
      <c r="Q35" s="10">
        <v>3943.7640000000001</v>
      </c>
      <c r="R35" s="10">
        <v>3984.75</v>
      </c>
      <c r="S35" s="10">
        <v>4039.3980000000001</v>
      </c>
      <c r="T35" s="10">
        <v>4068.24</v>
      </c>
      <c r="U35" s="10">
        <v>4133.134</v>
      </c>
      <c r="V35" s="10">
        <v>4198.0290000000005</v>
      </c>
      <c r="W35" s="40">
        <v>4247.5290000000005</v>
      </c>
    </row>
    <row r="36" spans="2:23" ht="13.5" customHeight="1">
      <c r="B36" s="13" t="s">
        <v>6</v>
      </c>
      <c r="C36" s="10">
        <v>3166.9870000000001</v>
      </c>
      <c r="D36" s="10">
        <v>3220.0909999999999</v>
      </c>
      <c r="E36" s="10">
        <v>3297.4659999999999</v>
      </c>
      <c r="F36" s="10">
        <v>3365.9090000000001</v>
      </c>
      <c r="G36" s="10">
        <v>3426.3589999999999</v>
      </c>
      <c r="H36" s="10">
        <v>3594.4830000000002</v>
      </c>
      <c r="I36" s="10">
        <v>3658.26</v>
      </c>
      <c r="J36" s="10">
        <v>3724.0329999999999</v>
      </c>
      <c r="K36" s="10">
        <v>3796.1990000000001</v>
      </c>
      <c r="L36" s="10">
        <v>3863.9430000000002</v>
      </c>
      <c r="M36" s="10">
        <v>3788.933</v>
      </c>
      <c r="N36" s="10">
        <v>3843.212</v>
      </c>
      <c r="O36" s="10">
        <v>3899.2049999999999</v>
      </c>
      <c r="P36" s="10">
        <v>3929.6390000000001</v>
      </c>
      <c r="Q36" s="10">
        <v>3974.94</v>
      </c>
      <c r="R36" s="10">
        <v>4016.25</v>
      </c>
      <c r="S36" s="10">
        <v>4071.33</v>
      </c>
      <c r="T36" s="10">
        <v>4100.3999999999996</v>
      </c>
      <c r="U36" s="10">
        <v>4165.808</v>
      </c>
      <c r="V36" s="10">
        <v>4231.2150000000001</v>
      </c>
      <c r="W36" s="40">
        <v>4281.107</v>
      </c>
    </row>
    <row r="37" spans="2:23" ht="13.5" customHeight="1">
      <c r="B37" s="13" t="s">
        <v>7</v>
      </c>
      <c r="C37" s="10">
        <v>3852.26</v>
      </c>
      <c r="D37" s="10">
        <v>3915.2530000000002</v>
      </c>
      <c r="E37" s="10">
        <v>3964.0639999999999</v>
      </c>
      <c r="F37" s="10">
        <v>4016.16</v>
      </c>
      <c r="G37" s="10">
        <v>4055.848</v>
      </c>
      <c r="H37" s="10">
        <v>4089.8820000000001</v>
      </c>
      <c r="I37" s="10">
        <v>4113.8879999999999</v>
      </c>
      <c r="J37" s="10">
        <v>4147.7030000000004</v>
      </c>
      <c r="K37" s="10">
        <v>4182.8689999999997</v>
      </c>
      <c r="L37" s="10">
        <v>4233.6750000000002</v>
      </c>
      <c r="M37" s="10">
        <v>4247.6270000000004</v>
      </c>
      <c r="N37" s="10">
        <v>4310.4260000000004</v>
      </c>
      <c r="O37" s="10">
        <v>4373.2259999999997</v>
      </c>
      <c r="P37" s="10">
        <v>4407.3599999999997</v>
      </c>
      <c r="Q37" s="10">
        <v>4458.1679999999997</v>
      </c>
      <c r="R37" s="10">
        <v>4504.5</v>
      </c>
      <c r="S37" s="10">
        <v>4566.2759999999998</v>
      </c>
      <c r="T37" s="10">
        <v>4598.88</v>
      </c>
      <c r="U37" s="10">
        <v>4672.2389999999996</v>
      </c>
      <c r="V37" s="10">
        <v>4745.598</v>
      </c>
      <c r="W37" s="40">
        <v>4801.5559999999996</v>
      </c>
    </row>
    <row r="38" spans="2:23" ht="13.5" customHeight="1">
      <c r="B38" s="9" t="s">
        <v>28</v>
      </c>
      <c r="C38" s="10">
        <v>57008.894999999997</v>
      </c>
      <c r="D38" s="10">
        <v>60852.773000000001</v>
      </c>
      <c r="E38" s="10">
        <v>63629.531000000003</v>
      </c>
      <c r="F38" s="10">
        <v>66375.218999999997</v>
      </c>
      <c r="G38" s="10">
        <v>69828.960999999996</v>
      </c>
      <c r="H38" s="10">
        <v>74215.812000000005</v>
      </c>
      <c r="I38" s="10">
        <v>76329.116999999998</v>
      </c>
      <c r="J38" s="10">
        <v>78934.914000000004</v>
      </c>
      <c r="K38" s="10">
        <v>80296.812000000005</v>
      </c>
      <c r="L38" s="10">
        <v>82983.125</v>
      </c>
      <c r="M38" s="10">
        <v>80887.741999999998</v>
      </c>
      <c r="N38" s="10">
        <v>83691.601999999999</v>
      </c>
      <c r="O38" s="10">
        <v>87148.508000000002</v>
      </c>
      <c r="P38" s="10">
        <v>89883.43</v>
      </c>
      <c r="Q38" s="10">
        <v>93366.922000000006</v>
      </c>
      <c r="R38" s="10">
        <v>96883.508000000002</v>
      </c>
      <c r="S38" s="10">
        <v>99047.741999999998</v>
      </c>
      <c r="T38" s="10">
        <v>100505.359</v>
      </c>
      <c r="U38" s="10">
        <v>103159.55499999999</v>
      </c>
      <c r="V38" s="10">
        <v>105846.742</v>
      </c>
      <c r="W38" s="40">
        <v>108146.92200000001</v>
      </c>
    </row>
    <row r="39" spans="2:23" ht="13.5" customHeight="1">
      <c r="B39" s="11"/>
    </row>
    <row r="40" spans="2:23" ht="13.5" customHeight="1">
      <c r="B40" s="8" t="s">
        <v>67</v>
      </c>
    </row>
    <row r="41" spans="2:23" ht="13.5" customHeight="1">
      <c r="B41" s="13" t="s">
        <v>2</v>
      </c>
      <c r="C41" s="14">
        <v>1.263781</v>
      </c>
      <c r="D41" s="14">
        <v>1.2650779999999999</v>
      </c>
      <c r="E41" s="14">
        <v>1.267935</v>
      </c>
      <c r="F41" s="14">
        <v>1.272257</v>
      </c>
      <c r="G41" s="14">
        <v>1.2774460000000001</v>
      </c>
      <c r="H41" s="14">
        <v>1.301037</v>
      </c>
      <c r="I41" s="14">
        <v>1.303337</v>
      </c>
      <c r="J41" s="14">
        <v>1.3011740000000001</v>
      </c>
      <c r="K41" s="14">
        <v>1.303307</v>
      </c>
      <c r="L41" s="14">
        <v>1.30179</v>
      </c>
      <c r="M41" s="14">
        <v>1.2813460000000001</v>
      </c>
      <c r="N41" s="14">
        <v>1.284</v>
      </c>
      <c r="O41" s="14">
        <v>1.284</v>
      </c>
      <c r="P41" s="14">
        <v>1.284</v>
      </c>
      <c r="Q41" s="14">
        <v>1.284</v>
      </c>
      <c r="R41" s="14">
        <v>1.284</v>
      </c>
      <c r="S41" s="14">
        <v>1.284</v>
      </c>
      <c r="T41" s="14">
        <v>1.284</v>
      </c>
      <c r="U41" s="14">
        <v>1.284</v>
      </c>
      <c r="V41" s="14">
        <v>1.284</v>
      </c>
      <c r="W41" s="32">
        <v>1.284</v>
      </c>
    </row>
    <row r="42" spans="2:23" ht="13.5" customHeight="1">
      <c r="B42" s="13" t="s">
        <v>3</v>
      </c>
      <c r="C42" s="14">
        <v>0.56956399999999996</v>
      </c>
      <c r="D42" s="14">
        <v>0.558639</v>
      </c>
      <c r="E42" s="14">
        <v>0.54769500000000004</v>
      </c>
      <c r="F42" s="14">
        <v>0.54028600000000004</v>
      </c>
      <c r="G42" s="14">
        <v>0.52612899999999996</v>
      </c>
      <c r="H42" s="14">
        <v>0.51396399999999998</v>
      </c>
      <c r="I42" s="14">
        <v>0.50662499999999999</v>
      </c>
      <c r="J42" s="14">
        <v>0.504467</v>
      </c>
      <c r="K42" s="14">
        <v>0.49832399999999999</v>
      </c>
      <c r="L42" s="14">
        <v>0.49892999999999998</v>
      </c>
      <c r="M42" s="14">
        <v>0.50327599999999995</v>
      </c>
      <c r="N42" s="14">
        <v>0.504</v>
      </c>
      <c r="O42" s="14">
        <v>0.504</v>
      </c>
      <c r="P42" s="14">
        <v>0.504</v>
      </c>
      <c r="Q42" s="14">
        <v>0.504</v>
      </c>
      <c r="R42" s="14">
        <v>0.504</v>
      </c>
      <c r="S42" s="14">
        <v>0.504</v>
      </c>
      <c r="T42" s="14">
        <v>0.504</v>
      </c>
      <c r="U42" s="14">
        <v>0.504</v>
      </c>
      <c r="V42" s="14">
        <v>0.504</v>
      </c>
      <c r="W42" s="32">
        <v>0.504</v>
      </c>
    </row>
    <row r="43" spans="2:23" ht="13.5" customHeight="1">
      <c r="B43" s="13" t="s">
        <v>4</v>
      </c>
      <c r="C43" s="14">
        <v>0.483186</v>
      </c>
      <c r="D43" s="14">
        <v>0.48620999999999998</v>
      </c>
      <c r="E43" s="14">
        <v>0.50117500000000004</v>
      </c>
      <c r="F43" s="14">
        <v>0.51379300000000006</v>
      </c>
      <c r="G43" s="14">
        <v>0.52476699999999998</v>
      </c>
      <c r="H43" s="14">
        <v>0.53987399999999997</v>
      </c>
      <c r="I43" s="14">
        <v>0.55151499999999998</v>
      </c>
      <c r="J43" s="14">
        <v>0.55996500000000005</v>
      </c>
      <c r="K43" s="14">
        <v>0.56722300000000003</v>
      </c>
      <c r="L43" s="14">
        <v>0.57532700000000003</v>
      </c>
      <c r="M43" s="14">
        <v>0.57264099999999996</v>
      </c>
      <c r="N43" s="14">
        <v>0.57399999999999995</v>
      </c>
      <c r="O43" s="14">
        <v>0.57399999999999995</v>
      </c>
      <c r="P43" s="14">
        <v>0.57399999999999995</v>
      </c>
      <c r="Q43" s="14">
        <v>0.57399999999999995</v>
      </c>
      <c r="R43" s="14">
        <v>0.57399999999999995</v>
      </c>
      <c r="S43" s="14">
        <v>0.57399999999999995</v>
      </c>
      <c r="T43" s="14">
        <v>0.57399999999999995</v>
      </c>
      <c r="U43" s="14">
        <v>0.57399999999999995</v>
      </c>
      <c r="V43" s="14">
        <v>0.57399999999999995</v>
      </c>
      <c r="W43" s="32">
        <v>0.57399999999999995</v>
      </c>
    </row>
    <row r="44" spans="2:23" ht="13.5" customHeight="1">
      <c r="B44" s="13" t="s">
        <v>5</v>
      </c>
      <c r="C44" s="14">
        <v>0.75340799999999997</v>
      </c>
      <c r="D44" s="14">
        <v>0.75443899999999997</v>
      </c>
      <c r="E44" s="14">
        <v>0.76013799999999998</v>
      </c>
      <c r="F44" s="14">
        <v>0.76411399999999996</v>
      </c>
      <c r="G44" s="14">
        <v>0.76374500000000001</v>
      </c>
      <c r="H44" s="14">
        <v>0.76658599999999999</v>
      </c>
      <c r="I44" s="14">
        <v>0.766046</v>
      </c>
      <c r="J44" s="14">
        <v>0.76336400000000004</v>
      </c>
      <c r="K44" s="14">
        <v>0.760934</v>
      </c>
      <c r="L44" s="14">
        <v>0.762042</v>
      </c>
      <c r="M44" s="14">
        <v>0.76004000000000005</v>
      </c>
      <c r="N44" s="14">
        <v>0.75900000000000001</v>
      </c>
      <c r="O44" s="14">
        <v>0.75900000000000001</v>
      </c>
      <c r="P44" s="14">
        <v>0.75900000000000001</v>
      </c>
      <c r="Q44" s="14">
        <v>0.75900000000000001</v>
      </c>
      <c r="R44" s="14">
        <v>0.75900000000000001</v>
      </c>
      <c r="S44" s="14">
        <v>0.75900000000000001</v>
      </c>
      <c r="T44" s="14">
        <v>0.75900000000000001</v>
      </c>
      <c r="U44" s="14">
        <v>0.75900000000000001</v>
      </c>
      <c r="V44" s="14">
        <v>0.75900000000000001</v>
      </c>
      <c r="W44" s="32">
        <v>0.75900000000000001</v>
      </c>
    </row>
    <row r="45" spans="2:23" ht="13.5" customHeight="1">
      <c r="B45" s="13" t="s">
        <v>6</v>
      </c>
      <c r="C45" s="14">
        <v>0.73807100000000003</v>
      </c>
      <c r="D45" s="14">
        <v>0.73606300000000002</v>
      </c>
      <c r="E45" s="14">
        <v>0.74096399999999996</v>
      </c>
      <c r="F45" s="14">
        <v>0.74483299999999997</v>
      </c>
      <c r="G45" s="14">
        <v>0.74632299999999996</v>
      </c>
      <c r="H45" s="14">
        <v>0.76911399999999996</v>
      </c>
      <c r="I45" s="14">
        <v>0.77230299999999996</v>
      </c>
      <c r="J45" s="14">
        <v>0.775474</v>
      </c>
      <c r="K45" s="14">
        <v>0.77818100000000001</v>
      </c>
      <c r="L45" s="14">
        <v>0.78048899999999999</v>
      </c>
      <c r="M45" s="14">
        <v>0.76356900000000005</v>
      </c>
      <c r="N45" s="14">
        <v>0.76500000000000001</v>
      </c>
      <c r="O45" s="14">
        <v>0.76500000000000001</v>
      </c>
      <c r="P45" s="14">
        <v>0.76500000000000001</v>
      </c>
      <c r="Q45" s="14">
        <v>0.76500000000000001</v>
      </c>
      <c r="R45" s="14">
        <v>0.76500000000000001</v>
      </c>
      <c r="S45" s="14">
        <v>0.76500000000000001</v>
      </c>
      <c r="T45" s="14">
        <v>0.76500000000000001</v>
      </c>
      <c r="U45" s="14">
        <v>0.76500000000000001</v>
      </c>
      <c r="V45" s="14">
        <v>0.76500000000000001</v>
      </c>
      <c r="W45" s="32">
        <v>0.76500000000000001</v>
      </c>
    </row>
    <row r="46" spans="2:23" ht="13.5" customHeight="1">
      <c r="B46" s="13" t="s">
        <v>7</v>
      </c>
      <c r="C46" s="14">
        <v>0.89777399999999996</v>
      </c>
      <c r="D46" s="14">
        <v>0.89496600000000004</v>
      </c>
      <c r="E46" s="14">
        <v>0.89075300000000002</v>
      </c>
      <c r="F46" s="14">
        <v>0.88872600000000002</v>
      </c>
      <c r="G46" s="14">
        <v>0.88343700000000003</v>
      </c>
      <c r="H46" s="14">
        <v>0.87511399999999995</v>
      </c>
      <c r="I46" s="14">
        <v>0.86849100000000001</v>
      </c>
      <c r="J46" s="14">
        <v>0.86369600000000002</v>
      </c>
      <c r="K46" s="14">
        <v>0.85744399999999998</v>
      </c>
      <c r="L46" s="14">
        <v>0.85517200000000004</v>
      </c>
      <c r="M46" s="14">
        <v>0.85600799999999999</v>
      </c>
      <c r="N46" s="14">
        <v>0.85799999999999998</v>
      </c>
      <c r="O46" s="14">
        <v>0.85799999999999998</v>
      </c>
      <c r="P46" s="14">
        <v>0.85799999999999998</v>
      </c>
      <c r="Q46" s="14">
        <v>0.85799999999999998</v>
      </c>
      <c r="R46" s="14">
        <v>0.85799999999999998</v>
      </c>
      <c r="S46" s="14">
        <v>0.85799999999999998</v>
      </c>
      <c r="T46" s="14">
        <v>0.85799999999999998</v>
      </c>
      <c r="U46" s="14">
        <v>0.85799999999999998</v>
      </c>
      <c r="V46" s="14">
        <v>0.85799999999999998</v>
      </c>
      <c r="W46" s="32">
        <v>0.85799999999999998</v>
      </c>
    </row>
    <row r="47" spans="2:23" ht="13.5" customHeight="1">
      <c r="B47" s="9" t="s">
        <v>28</v>
      </c>
      <c r="C47" s="14">
        <v>13.286</v>
      </c>
      <c r="D47" s="14">
        <v>13.91</v>
      </c>
      <c r="E47" s="14">
        <v>14.298</v>
      </c>
      <c r="F47" s="14">
        <v>14.688000000000001</v>
      </c>
      <c r="G47" s="14">
        <v>15.21</v>
      </c>
      <c r="H47" s="14">
        <v>15.88</v>
      </c>
      <c r="I47" s="14">
        <v>16.114000999999998</v>
      </c>
      <c r="J47" s="14">
        <v>16.437000000000001</v>
      </c>
      <c r="K47" s="14">
        <v>16.46</v>
      </c>
      <c r="L47" s="14">
        <v>16.761998999999999</v>
      </c>
      <c r="M47" s="14">
        <v>16.300999999999998</v>
      </c>
      <c r="N47" s="14">
        <v>16.658999999999999</v>
      </c>
      <c r="O47" s="14">
        <v>17.097999999999999</v>
      </c>
      <c r="P47" s="14">
        <v>17.497999</v>
      </c>
      <c r="Q47" s="14">
        <v>17.968999</v>
      </c>
      <c r="R47" s="14">
        <v>18.454001000000002</v>
      </c>
      <c r="S47" s="14">
        <v>18.611000000000001</v>
      </c>
      <c r="T47" s="14">
        <v>18.751000000000001</v>
      </c>
      <c r="U47" s="14">
        <v>18.943999999999999</v>
      </c>
      <c r="V47" s="14">
        <v>19.136998999999999</v>
      </c>
      <c r="W47" s="32">
        <v>19.324999999999999</v>
      </c>
    </row>
    <row r="48" spans="2:23" ht="13.5" customHeight="1">
      <c r="B48" s="11"/>
    </row>
    <row r="49" spans="1:23" ht="13.5" customHeight="1">
      <c r="B49" s="15" t="s">
        <v>68</v>
      </c>
    </row>
    <row r="50" spans="1:23" ht="13.5" customHeight="1">
      <c r="B50" s="13" t="s">
        <v>6</v>
      </c>
      <c r="C50" s="16">
        <v>172.93899999999999</v>
      </c>
      <c r="D50" s="16">
        <v>169.56899999999999</v>
      </c>
      <c r="E50" s="16">
        <v>165.65700000000001</v>
      </c>
      <c r="F50" s="16">
        <v>161.54900000000001</v>
      </c>
      <c r="G50" s="16">
        <v>157.61699999999999</v>
      </c>
      <c r="H50" s="16">
        <v>154.09</v>
      </c>
      <c r="I50" s="16">
        <v>149.98599999999999</v>
      </c>
      <c r="J50" s="16">
        <v>146.03100000000001</v>
      </c>
      <c r="K50" s="16">
        <v>142.46199999999999</v>
      </c>
      <c r="L50" s="16">
        <v>138.845</v>
      </c>
      <c r="M50" s="16">
        <v>133.65</v>
      </c>
      <c r="N50" s="16">
        <v>129.947</v>
      </c>
      <c r="O50" s="16">
        <v>127.577</v>
      </c>
      <c r="P50" s="16">
        <v>123.96899999999999</v>
      </c>
      <c r="Q50" s="16">
        <v>120.925</v>
      </c>
      <c r="R50" s="16">
        <v>118.736</v>
      </c>
      <c r="S50" s="16">
        <v>117.919</v>
      </c>
      <c r="T50" s="16">
        <v>116.297</v>
      </c>
      <c r="U50" s="16">
        <v>117.18300000000001</v>
      </c>
      <c r="V50" s="16">
        <v>119.023</v>
      </c>
      <c r="W50" s="36">
        <v>120.426</v>
      </c>
    </row>
    <row r="51" spans="1:23" ht="13.5" customHeight="1">
      <c r="B51" s="13" t="s">
        <v>7</v>
      </c>
      <c r="C51" s="16">
        <v>412.51499999999999</v>
      </c>
      <c r="D51" s="16">
        <v>436.07400000000001</v>
      </c>
      <c r="E51" s="16">
        <v>454.30700000000002</v>
      </c>
      <c r="F51" s="16">
        <v>473.62400000000002</v>
      </c>
      <c r="G51" s="16">
        <v>503.65100000000001</v>
      </c>
      <c r="H51" s="16">
        <v>556.44000000000005</v>
      </c>
      <c r="I51" s="16">
        <v>592.14499999999998</v>
      </c>
      <c r="J51" s="16">
        <v>637.11500000000001</v>
      </c>
      <c r="K51" s="16">
        <v>682.19899999999996</v>
      </c>
      <c r="L51" s="16">
        <v>710.84500000000003</v>
      </c>
      <c r="M51" s="16">
        <v>708.34199999999998</v>
      </c>
      <c r="N51" s="16">
        <v>713.38099999999997</v>
      </c>
      <c r="O51" s="16">
        <v>723.774</v>
      </c>
      <c r="P51" s="16">
        <v>729.423</v>
      </c>
      <c r="Q51" s="16">
        <v>737.83199999999999</v>
      </c>
      <c r="R51" s="16">
        <v>745.5</v>
      </c>
      <c r="S51" s="16">
        <v>755.72400000000005</v>
      </c>
      <c r="T51" s="16">
        <v>761.12</v>
      </c>
      <c r="U51" s="16">
        <v>773.26099999999997</v>
      </c>
      <c r="V51" s="16">
        <v>785.40200000000004</v>
      </c>
      <c r="W51" s="36">
        <v>794.66300000000001</v>
      </c>
    </row>
    <row r="52" spans="1:23" ht="13.5" customHeight="1">
      <c r="B52" s="11"/>
    </row>
    <row r="53" spans="1:23" ht="13.5" customHeight="1">
      <c r="B53" s="8" t="s">
        <v>69</v>
      </c>
    </row>
    <row r="54" spans="1:23" ht="13.5" customHeight="1">
      <c r="B54" s="13" t="s">
        <v>6</v>
      </c>
      <c r="C54" s="14">
        <v>4.0304E-2</v>
      </c>
      <c r="D54" s="14">
        <v>3.8760999999999997E-2</v>
      </c>
      <c r="E54" s="14">
        <v>3.7224E-2</v>
      </c>
      <c r="F54" s="14">
        <v>3.5749000000000003E-2</v>
      </c>
      <c r="G54" s="14">
        <v>3.4332000000000001E-2</v>
      </c>
      <c r="H54" s="14">
        <v>3.2971E-2</v>
      </c>
      <c r="I54" s="14">
        <v>3.1663999999999998E-2</v>
      </c>
      <c r="J54" s="14">
        <v>3.0408999999999999E-2</v>
      </c>
      <c r="K54" s="14">
        <v>2.9203E-2</v>
      </c>
      <c r="L54" s="14">
        <v>2.8046000000000001E-2</v>
      </c>
      <c r="M54" s="14">
        <v>2.6934E-2</v>
      </c>
      <c r="N54" s="14">
        <v>2.5866E-2</v>
      </c>
      <c r="O54" s="14">
        <v>2.503E-2</v>
      </c>
      <c r="P54" s="14">
        <v>2.4133999999999999E-2</v>
      </c>
      <c r="Q54" s="14">
        <v>2.3272999999999999E-2</v>
      </c>
      <c r="R54" s="14">
        <v>2.2616000000000001E-2</v>
      </c>
      <c r="S54" s="14">
        <v>2.2157E-2</v>
      </c>
      <c r="T54" s="14">
        <v>2.1697000000000001E-2</v>
      </c>
      <c r="U54" s="14">
        <v>2.1519E-2</v>
      </c>
      <c r="V54" s="14">
        <v>2.1519E-2</v>
      </c>
      <c r="W54" s="32">
        <v>2.1519E-2</v>
      </c>
    </row>
    <row r="55" spans="1:23" ht="13.5" customHeight="1">
      <c r="B55" s="13" t="s">
        <v>7</v>
      </c>
      <c r="C55" s="14">
        <v>9.6137E-2</v>
      </c>
      <c r="D55" s="14">
        <v>9.9680000000000005E-2</v>
      </c>
      <c r="E55" s="14">
        <v>0.102086</v>
      </c>
      <c r="F55" s="14">
        <v>0.104807</v>
      </c>
      <c r="G55" s="14">
        <v>0.109704</v>
      </c>
      <c r="H55" s="14">
        <v>0.119062</v>
      </c>
      <c r="I55" s="14">
        <v>0.12500900000000001</v>
      </c>
      <c r="J55" s="14">
        <v>0.13266900000000001</v>
      </c>
      <c r="K55" s="14">
        <v>0.139844</v>
      </c>
      <c r="L55" s="14">
        <v>0.14358599999999999</v>
      </c>
      <c r="M55" s="14">
        <v>0.14274899999999999</v>
      </c>
      <c r="N55" s="14">
        <v>0.14199999999999999</v>
      </c>
      <c r="O55" s="14">
        <v>0.14199999999999999</v>
      </c>
      <c r="P55" s="14">
        <v>0.14199999999999999</v>
      </c>
      <c r="Q55" s="14">
        <v>0.14199999999999999</v>
      </c>
      <c r="R55" s="14">
        <v>0.14199999999999999</v>
      </c>
      <c r="S55" s="14">
        <v>0.14199999999999999</v>
      </c>
      <c r="T55" s="14">
        <v>0.14199999999999999</v>
      </c>
      <c r="U55" s="14">
        <v>0.14199999999999999</v>
      </c>
      <c r="V55" s="14">
        <v>0.14199999999999999</v>
      </c>
      <c r="W55" s="32">
        <v>0.14199999999999999</v>
      </c>
    </row>
    <row r="56" spans="1:23" ht="13.5" customHeight="1"/>
    <row r="57" spans="1:23" ht="13.5" customHeight="1">
      <c r="A57" s="17" t="s">
        <v>70</v>
      </c>
      <c r="B57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topLeftCell="A10" zoomScale="80" zoomScaleNormal="80" workbookViewId="0">
      <selection activeCell="U15" sqref="U15"/>
    </sheetView>
  </sheetViews>
  <sheetFormatPr defaultRowHeight="15"/>
  <cols>
    <col min="1" max="1" width="3" customWidth="1"/>
    <col min="2" max="2" width="47.7109375" style="1" customWidth="1"/>
    <col min="3" max="15" width="10.42578125" customWidth="1"/>
    <col min="16" max="16" width="9.7109375" customWidth="1"/>
    <col min="17" max="17" width="10.28515625" customWidth="1"/>
    <col min="18" max="19" width="9.5703125" customWidth="1"/>
    <col min="20" max="20" width="11" customWidth="1"/>
    <col min="21" max="22" width="10.85546875" customWidth="1"/>
    <col min="23" max="23" width="10.85546875" style="25" customWidth="1"/>
  </cols>
  <sheetData>
    <row r="1" spans="1:23" ht="45.2" customHeight="1"/>
    <row r="2" spans="1:23" ht="34.5" customHeight="1">
      <c r="B2"/>
    </row>
    <row r="5" spans="1:23" ht="13.5" customHeight="1">
      <c r="A5" s="2" t="s">
        <v>61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23" ht="13.5" customHeight="1">
      <c r="A6" s="2"/>
      <c r="F6" s="3"/>
      <c r="G6" s="3"/>
      <c r="H6" s="3"/>
      <c r="I6" s="3"/>
      <c r="J6" s="3"/>
      <c r="K6" s="3"/>
      <c r="L6" s="3"/>
      <c r="M6" s="3"/>
      <c r="N6" s="3"/>
      <c r="O6" s="3"/>
    </row>
    <row r="7" spans="1:23" ht="16.5" customHeight="1">
      <c r="A7" s="4" t="s">
        <v>71</v>
      </c>
      <c r="C7" s="3"/>
      <c r="D7" s="3"/>
      <c r="E7" s="3"/>
    </row>
    <row r="8" spans="1:23" s="5" customFormat="1" ht="13.5" customHeight="1">
      <c r="A8" s="4" t="s">
        <v>72</v>
      </c>
      <c r="B8" s="1"/>
      <c r="W8" s="4"/>
    </row>
    <row r="9" spans="1:23" ht="13.5" customHeight="1">
      <c r="C9" s="6"/>
      <c r="D9" s="6"/>
    </row>
    <row r="10" spans="1:23" ht="13.5" customHeight="1"/>
    <row r="11" spans="1:23" ht="13.5" customHeight="1" thickBot="1">
      <c r="C11" s="7">
        <v>2000</v>
      </c>
      <c r="D11" s="7">
        <v>2001</v>
      </c>
      <c r="E11" s="7">
        <v>2002</v>
      </c>
      <c r="F11" s="7">
        <v>2003</v>
      </c>
      <c r="G11" s="7">
        <v>2004</v>
      </c>
      <c r="H11" s="7">
        <v>2005</v>
      </c>
      <c r="I11" s="7">
        <v>2006</v>
      </c>
      <c r="J11" s="7">
        <v>2007</v>
      </c>
      <c r="K11" s="7">
        <v>2008</v>
      </c>
      <c r="L11" s="7">
        <v>2009</v>
      </c>
      <c r="M11" s="7">
        <v>2010</v>
      </c>
      <c r="N11" s="7">
        <v>2011</v>
      </c>
      <c r="O11" s="7">
        <v>2012</v>
      </c>
      <c r="P11" s="7">
        <v>2013</v>
      </c>
      <c r="Q11" s="7">
        <v>2014</v>
      </c>
      <c r="R11" s="7">
        <v>2015</v>
      </c>
      <c r="S11" s="7">
        <v>2016</v>
      </c>
      <c r="T11" s="7">
        <v>2017</v>
      </c>
      <c r="U11" s="7">
        <v>2018</v>
      </c>
      <c r="V11" s="7">
        <v>2019</v>
      </c>
      <c r="W11" s="7">
        <v>2020</v>
      </c>
    </row>
    <row r="12" spans="1:23" ht="13.5" customHeight="1"/>
    <row r="13" spans="1:23" s="18" customFormat="1" ht="13.5" customHeight="1">
      <c r="B13" s="15" t="s">
        <v>73</v>
      </c>
      <c r="C13" s="19">
        <v>61.844149000000002</v>
      </c>
      <c r="D13" s="19">
        <v>63.890934000000001</v>
      </c>
      <c r="E13" s="19">
        <v>60.482748999999998</v>
      </c>
      <c r="F13" s="19">
        <v>61.946669</v>
      </c>
      <c r="G13" s="19">
        <v>64.826505999999995</v>
      </c>
      <c r="H13" s="19">
        <v>60.616106000000002</v>
      </c>
      <c r="I13" s="19">
        <v>61.323492999999999</v>
      </c>
      <c r="J13" s="19">
        <v>60.695245</v>
      </c>
      <c r="K13" s="19">
        <v>61.960847999999999</v>
      </c>
      <c r="L13" s="19">
        <v>64.432648</v>
      </c>
      <c r="M13" s="19">
        <v>64.757268999999994</v>
      </c>
      <c r="N13" s="19">
        <v>64.090172999999993</v>
      </c>
      <c r="O13" s="19">
        <v>66.048029999999997</v>
      </c>
      <c r="P13" s="19">
        <v>66.719144</v>
      </c>
      <c r="Q13" s="19">
        <v>65.574316999999994</v>
      </c>
      <c r="R13" s="19">
        <v>66.903829000000002</v>
      </c>
      <c r="S13" s="19">
        <v>61.586903999999997</v>
      </c>
      <c r="T13" s="19">
        <v>62.230953</v>
      </c>
      <c r="U13" s="19">
        <v>61.214455999999998</v>
      </c>
      <c r="V13" s="19">
        <v>62.164526000000002</v>
      </c>
      <c r="W13" s="19">
        <v>63.938434000000001</v>
      </c>
    </row>
    <row r="14" spans="1:23" ht="13.5" customHeight="1">
      <c r="B14" s="20" t="s">
        <v>74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36"/>
    </row>
    <row r="15" spans="1:23" ht="13.5" customHeight="1">
      <c r="B15" s="13" t="s">
        <v>2</v>
      </c>
      <c r="C15" s="16">
        <v>15.720027999999999</v>
      </c>
      <c r="D15" s="16">
        <v>15.635089000000001</v>
      </c>
      <c r="E15" s="16">
        <v>14.212484</v>
      </c>
      <c r="F15" s="16">
        <v>13.622657999999999</v>
      </c>
      <c r="G15" s="16">
        <v>13.668284999999999</v>
      </c>
      <c r="H15" s="16">
        <v>12.301406</v>
      </c>
      <c r="I15" s="16">
        <v>12.025607000000001</v>
      </c>
      <c r="J15" s="16">
        <v>11.414944</v>
      </c>
      <c r="K15" s="16">
        <v>11.284488</v>
      </c>
      <c r="L15" s="16">
        <v>11.35952</v>
      </c>
      <c r="M15" s="16">
        <v>10.930443</v>
      </c>
      <c r="N15" s="16">
        <v>10.277448</v>
      </c>
      <c r="O15" s="16">
        <v>10.263192999999999</v>
      </c>
      <c r="P15" s="16">
        <v>10.036842999999999</v>
      </c>
      <c r="Q15" s="16">
        <v>9.6097490000000008</v>
      </c>
      <c r="R15" s="16">
        <v>9.4848490000000005</v>
      </c>
      <c r="S15" s="16">
        <v>8.5185010000000005</v>
      </c>
      <c r="T15" s="16">
        <v>8.5405660000000001</v>
      </c>
      <c r="U15" s="16">
        <v>8.2025769999999998</v>
      </c>
      <c r="V15" s="16">
        <v>8.427206</v>
      </c>
      <c r="W15" s="36">
        <v>8.6857009999999999</v>
      </c>
    </row>
    <row r="16" spans="1:23" ht="13.5" customHeight="1">
      <c r="B16" s="13" t="s">
        <v>3</v>
      </c>
      <c r="C16" s="16">
        <v>5.4197189999999997</v>
      </c>
      <c r="D16" s="16">
        <v>5.1901859999999997</v>
      </c>
      <c r="E16" s="16">
        <v>4.5266099999999998</v>
      </c>
      <c r="F16" s="16">
        <v>4.356236</v>
      </c>
      <c r="G16" s="16">
        <v>4.2639849999999999</v>
      </c>
      <c r="H16" s="16">
        <v>3.6833909999999999</v>
      </c>
      <c r="I16" s="16">
        <v>3.5263879999999999</v>
      </c>
      <c r="J16" s="16">
        <v>3.3162349999999998</v>
      </c>
      <c r="K16" s="16">
        <v>3.2103869999999999</v>
      </c>
      <c r="L16" s="16">
        <v>3.2117429999999998</v>
      </c>
      <c r="M16" s="16">
        <v>3.1292219999999999</v>
      </c>
      <c r="N16" s="16">
        <v>2.9650720000000002</v>
      </c>
      <c r="O16" s="16">
        <v>3.0005389999999998</v>
      </c>
      <c r="P16" s="16">
        <v>2.993687</v>
      </c>
      <c r="Q16" s="16">
        <v>2.9251710000000002</v>
      </c>
      <c r="R16" s="16">
        <v>2.954799</v>
      </c>
      <c r="S16" s="16">
        <v>2.709578</v>
      </c>
      <c r="T16" s="16">
        <v>2.725768</v>
      </c>
      <c r="U16" s="16">
        <v>2.6223830000000001</v>
      </c>
      <c r="V16" s="16">
        <v>2.6856360000000001</v>
      </c>
      <c r="W16" s="36">
        <v>2.7517200000000002</v>
      </c>
    </row>
    <row r="17" spans="2:23" ht="13.5" customHeight="1">
      <c r="B17" s="13" t="s">
        <v>75</v>
      </c>
      <c r="C17" s="16">
        <v>1.4625030000000001</v>
      </c>
      <c r="D17" s="16">
        <v>1.486499</v>
      </c>
      <c r="E17" s="16">
        <v>1.4004449999999999</v>
      </c>
      <c r="F17" s="16">
        <v>1.424113</v>
      </c>
      <c r="G17" s="16">
        <v>1.46349</v>
      </c>
      <c r="H17" s="16">
        <v>1.3221860000000001</v>
      </c>
      <c r="I17" s="16">
        <v>1.2982210000000001</v>
      </c>
      <c r="J17" s="16">
        <v>1.182059</v>
      </c>
      <c r="K17" s="16">
        <v>1.1472819999999999</v>
      </c>
      <c r="L17" s="16">
        <v>1.1518459999999999</v>
      </c>
      <c r="M17" s="16">
        <v>1.0824579999999999</v>
      </c>
      <c r="N17" s="16">
        <v>0.98296600000000001</v>
      </c>
      <c r="O17" s="16">
        <v>0.94594</v>
      </c>
      <c r="P17" s="16">
        <v>0.89246400000000004</v>
      </c>
      <c r="Q17" s="16">
        <v>0.82914200000000005</v>
      </c>
      <c r="R17" s="16">
        <v>0.80057599999999995</v>
      </c>
      <c r="S17" s="16">
        <v>0.70660400000000001</v>
      </c>
      <c r="T17" s="16">
        <v>0.69156799999999996</v>
      </c>
      <c r="U17" s="16">
        <v>0.64988400000000002</v>
      </c>
      <c r="V17" s="16">
        <v>0.65307800000000005</v>
      </c>
      <c r="W17" s="36">
        <v>0.65966899999999995</v>
      </c>
    </row>
    <row r="18" spans="2:23" ht="13.5" customHeight="1">
      <c r="B18" s="13" t="s">
        <v>76</v>
      </c>
      <c r="C18" s="16">
        <v>1.4213480000000001</v>
      </c>
      <c r="D18" s="16">
        <v>1.4802249999999999</v>
      </c>
      <c r="E18" s="16">
        <v>1.4084270000000001</v>
      </c>
      <c r="F18" s="16">
        <v>1.451905</v>
      </c>
      <c r="G18" s="16">
        <v>1.503047</v>
      </c>
      <c r="H18" s="16">
        <v>1.3516550000000001</v>
      </c>
      <c r="I18" s="16">
        <v>1.3227880000000001</v>
      </c>
      <c r="J18" s="16">
        <v>1.244148</v>
      </c>
      <c r="K18" s="16">
        <v>1.14235</v>
      </c>
      <c r="L18" s="16">
        <v>1.091688</v>
      </c>
      <c r="M18" s="16">
        <v>1.0471090000000001</v>
      </c>
      <c r="N18" s="16">
        <v>0.942882</v>
      </c>
      <c r="O18" s="16">
        <v>0.89907199999999998</v>
      </c>
      <c r="P18" s="16">
        <v>0.83366799999999996</v>
      </c>
      <c r="Q18" s="16">
        <v>0.75296700000000005</v>
      </c>
      <c r="R18" s="16">
        <v>0.69622099999999998</v>
      </c>
      <c r="S18" s="16">
        <v>0.58208800000000005</v>
      </c>
      <c r="T18" s="16">
        <v>0.53371800000000003</v>
      </c>
      <c r="U18" s="16">
        <v>0.46841300000000002</v>
      </c>
      <c r="V18" s="16">
        <v>0.444241</v>
      </c>
      <c r="W18" s="36">
        <v>0.42840899999999998</v>
      </c>
    </row>
    <row r="19" spans="2:23" ht="13.5" customHeight="1">
      <c r="B19" s="13" t="s">
        <v>6</v>
      </c>
      <c r="C19" s="16">
        <v>10.818</v>
      </c>
      <c r="D19" s="16">
        <v>11.133393999999999</v>
      </c>
      <c r="E19" s="16">
        <v>10.569353</v>
      </c>
      <c r="F19" s="16">
        <v>10.945916</v>
      </c>
      <c r="G19" s="16">
        <v>11.515041999999999</v>
      </c>
      <c r="H19" s="16">
        <v>10.971228</v>
      </c>
      <c r="I19" s="16">
        <v>11.096939000000001</v>
      </c>
      <c r="J19" s="16">
        <v>10.933082000000001</v>
      </c>
      <c r="K19" s="16">
        <v>11.109894000000001</v>
      </c>
      <c r="L19" s="16">
        <v>11.486594</v>
      </c>
      <c r="M19" s="16">
        <v>11.41676</v>
      </c>
      <c r="N19" s="16">
        <v>11.138082000000001</v>
      </c>
      <c r="O19" s="16">
        <v>11.397007</v>
      </c>
      <c r="P19" s="16">
        <v>11.440333000000001</v>
      </c>
      <c r="Q19" s="16">
        <v>11.224219</v>
      </c>
      <c r="R19" s="16">
        <v>11.427187999999999</v>
      </c>
      <c r="S19" s="16">
        <v>10.543854</v>
      </c>
      <c r="T19" s="16">
        <v>10.530472</v>
      </c>
      <c r="U19" s="16">
        <v>10.114347</v>
      </c>
      <c r="V19" s="16">
        <v>10.148489</v>
      </c>
      <c r="W19" s="36">
        <v>10.28895</v>
      </c>
    </row>
    <row r="20" spans="2:23" ht="13.5" customHeight="1">
      <c r="B20" s="13" t="s">
        <v>7</v>
      </c>
      <c r="C20" s="16">
        <v>10.980598000000001</v>
      </c>
      <c r="D20" s="16">
        <v>11.538349999999999</v>
      </c>
      <c r="E20" s="16">
        <v>11.095946</v>
      </c>
      <c r="F20" s="16">
        <v>11.566271</v>
      </c>
      <c r="G20" s="16">
        <v>12.121475999999999</v>
      </c>
      <c r="H20" s="16">
        <v>11.521592999999999</v>
      </c>
      <c r="I20" s="16">
        <v>11.638674999999999</v>
      </c>
      <c r="J20" s="16">
        <v>11.689707</v>
      </c>
      <c r="K20" s="16">
        <v>11.856218999999999</v>
      </c>
      <c r="L20" s="16">
        <v>11.952527999999999</v>
      </c>
      <c r="M20" s="16">
        <v>12.086121</v>
      </c>
      <c r="N20" s="16">
        <v>12.064969</v>
      </c>
      <c r="O20" s="16">
        <v>12.003475999999999</v>
      </c>
      <c r="P20" s="16">
        <v>12.001545</v>
      </c>
      <c r="Q20" s="16">
        <v>11.56113</v>
      </c>
      <c r="R20" s="16">
        <v>11.863704</v>
      </c>
      <c r="S20" s="16">
        <v>10.896172999999999</v>
      </c>
      <c r="T20" s="16">
        <v>10.923209</v>
      </c>
      <c r="U20" s="16">
        <v>11.369425</v>
      </c>
      <c r="V20" s="16">
        <v>10.738253</v>
      </c>
      <c r="W20" s="36">
        <v>10.940383000000001</v>
      </c>
    </row>
    <row r="21" spans="2:23" ht="13.5" customHeight="1">
      <c r="B21" s="9" t="s">
        <v>77</v>
      </c>
      <c r="C21" s="16">
        <v>16.021948999999999</v>
      </c>
      <c r="D21" s="16">
        <v>17.427191000000001</v>
      </c>
      <c r="E21" s="16">
        <v>17.269483999999999</v>
      </c>
      <c r="F21" s="16">
        <v>18.579571000000001</v>
      </c>
      <c r="G21" s="16">
        <v>20.291180000000001</v>
      </c>
      <c r="H21" s="16">
        <v>19.464648</v>
      </c>
      <c r="I21" s="16">
        <v>20.414874999999999</v>
      </c>
      <c r="J21" s="16">
        <v>20.915068999999999</v>
      </c>
      <c r="K21" s="16">
        <v>22.210229000000002</v>
      </c>
      <c r="L21" s="16">
        <v>24.178729000000001</v>
      </c>
      <c r="M21" s="16">
        <v>25.065156000000002</v>
      </c>
      <c r="N21" s="16">
        <v>25.718754000000001</v>
      </c>
      <c r="O21" s="16">
        <v>27.538802</v>
      </c>
      <c r="P21" s="16">
        <v>28.520603999999999</v>
      </c>
      <c r="Q21" s="16">
        <v>28.671938999999998</v>
      </c>
      <c r="R21" s="16">
        <v>29.676490999999999</v>
      </c>
      <c r="S21" s="16">
        <v>27.630106999999999</v>
      </c>
      <c r="T21" s="16">
        <v>28.285651999999999</v>
      </c>
      <c r="U21" s="16">
        <v>27.787424999999999</v>
      </c>
      <c r="V21" s="16">
        <v>29.067623999999999</v>
      </c>
      <c r="W21" s="36">
        <v>30.183602</v>
      </c>
    </row>
    <row r="22" spans="2:23" ht="13.5" customHeight="1">
      <c r="B22" s="11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36"/>
    </row>
    <row r="23" spans="2:23" ht="13.5" customHeight="1">
      <c r="B23" s="20" t="s">
        <v>78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36"/>
    </row>
    <row r="24" spans="2:23" ht="13.5" customHeight="1">
      <c r="B24" s="13" t="s">
        <v>2</v>
      </c>
      <c r="C24" s="16">
        <v>25.418780999999999</v>
      </c>
      <c r="D24" s="16">
        <v>24.471530999999999</v>
      </c>
      <c r="E24" s="16">
        <v>23.498408999999999</v>
      </c>
      <c r="F24" s="16">
        <v>21.990943999999999</v>
      </c>
      <c r="G24" s="16">
        <v>21.084408</v>
      </c>
      <c r="H24" s="16">
        <v>20.293955</v>
      </c>
      <c r="I24" s="16">
        <v>19.610112999999998</v>
      </c>
      <c r="J24" s="16">
        <v>18.806982000000001</v>
      </c>
      <c r="K24" s="16">
        <v>18.212288000000001</v>
      </c>
      <c r="L24" s="16">
        <v>17.630068000000001</v>
      </c>
      <c r="M24" s="16">
        <v>16.879099</v>
      </c>
      <c r="N24" s="16">
        <v>16.035919</v>
      </c>
      <c r="O24" s="16">
        <v>15.538983999999999</v>
      </c>
      <c r="P24" s="16">
        <v>15.043423000000001</v>
      </c>
      <c r="Q24" s="16">
        <v>14.654745</v>
      </c>
      <c r="R24" s="16">
        <v>14.176841</v>
      </c>
      <c r="S24" s="16">
        <v>13.831676</v>
      </c>
      <c r="T24" s="16">
        <v>13.723985000000001</v>
      </c>
      <c r="U24" s="16">
        <v>13.399739</v>
      </c>
      <c r="V24" s="16">
        <v>13.556293999999999</v>
      </c>
      <c r="W24" s="36">
        <v>13.584476</v>
      </c>
    </row>
    <row r="25" spans="2:23" ht="13.5" customHeight="1">
      <c r="B25" s="13" t="s">
        <v>3</v>
      </c>
      <c r="C25" s="16">
        <v>8.7635129999999997</v>
      </c>
      <c r="D25" s="16">
        <v>8.1235090000000003</v>
      </c>
      <c r="E25" s="16">
        <v>7.4841350000000002</v>
      </c>
      <c r="F25" s="16">
        <v>7.0322360000000002</v>
      </c>
      <c r="G25" s="16">
        <v>6.5775329999999999</v>
      </c>
      <c r="H25" s="16">
        <v>6.076587</v>
      </c>
      <c r="I25" s="16">
        <v>5.7504689999999998</v>
      </c>
      <c r="J25" s="16">
        <v>5.4637479999999998</v>
      </c>
      <c r="K25" s="16">
        <v>5.1813149999999997</v>
      </c>
      <c r="L25" s="16">
        <v>4.9846519999999996</v>
      </c>
      <c r="M25" s="16">
        <v>4.8322329999999996</v>
      </c>
      <c r="N25" s="16">
        <v>4.6264060000000002</v>
      </c>
      <c r="O25" s="16">
        <v>4.5429649999999997</v>
      </c>
      <c r="P25" s="16">
        <v>4.486999</v>
      </c>
      <c r="Q25" s="16">
        <v>4.4608480000000004</v>
      </c>
      <c r="R25" s="16">
        <v>4.4164870000000001</v>
      </c>
      <c r="S25" s="16">
        <v>4.3996009999999997</v>
      </c>
      <c r="T25" s="16">
        <v>4.3800850000000002</v>
      </c>
      <c r="U25" s="16">
        <v>4.2839280000000004</v>
      </c>
      <c r="V25" s="16">
        <v>4.3202069999999999</v>
      </c>
      <c r="W25" s="36">
        <v>4.3037029999999996</v>
      </c>
    </row>
    <row r="26" spans="2:23" ht="13.5" customHeight="1">
      <c r="B26" s="13" t="s">
        <v>75</v>
      </c>
      <c r="C26" s="16">
        <v>2.3648199999999999</v>
      </c>
      <c r="D26" s="16">
        <v>2.326619</v>
      </c>
      <c r="E26" s="16">
        <v>2.315445</v>
      </c>
      <c r="F26" s="16">
        <v>2.298934</v>
      </c>
      <c r="G26" s="16">
        <v>2.257549</v>
      </c>
      <c r="H26" s="16">
        <v>2.1812459999999998</v>
      </c>
      <c r="I26" s="16">
        <v>2.1170040000000001</v>
      </c>
      <c r="J26" s="16">
        <v>1.947532</v>
      </c>
      <c r="K26" s="16">
        <v>1.8516250000000001</v>
      </c>
      <c r="L26" s="16">
        <v>1.787674</v>
      </c>
      <c r="M26" s="16">
        <v>1.671562</v>
      </c>
      <c r="N26" s="16">
        <v>1.5337240000000001</v>
      </c>
      <c r="O26" s="16">
        <v>1.4321999999999999</v>
      </c>
      <c r="P26" s="16">
        <v>1.3376429999999999</v>
      </c>
      <c r="Q26" s="16">
        <v>1.2644310000000001</v>
      </c>
      <c r="R26" s="16">
        <v>1.196607</v>
      </c>
      <c r="S26" s="16">
        <v>1.147329</v>
      </c>
      <c r="T26" s="16">
        <v>1.1112930000000001</v>
      </c>
      <c r="U26" s="16">
        <v>1.0616509999999999</v>
      </c>
      <c r="V26" s="16">
        <v>1.0505640000000001</v>
      </c>
      <c r="W26" s="36">
        <v>1.0317259999999999</v>
      </c>
    </row>
    <row r="27" spans="2:23" ht="13.5" customHeight="1">
      <c r="B27" s="13" t="s">
        <v>76</v>
      </c>
      <c r="C27" s="16">
        <v>2.2982749999999998</v>
      </c>
      <c r="D27" s="16">
        <v>2.3168000000000002</v>
      </c>
      <c r="E27" s="16">
        <v>2.3286419999999999</v>
      </c>
      <c r="F27" s="16">
        <v>2.343798</v>
      </c>
      <c r="G27" s="16">
        <v>2.3185690000000001</v>
      </c>
      <c r="H27" s="16">
        <v>2.2298619999999998</v>
      </c>
      <c r="I27" s="16">
        <v>2.1570659999999999</v>
      </c>
      <c r="J27" s="16">
        <v>2.0498280000000002</v>
      </c>
      <c r="K27" s="16">
        <v>1.843664</v>
      </c>
      <c r="L27" s="16">
        <v>1.6943090000000001</v>
      </c>
      <c r="M27" s="16">
        <v>1.6169750000000001</v>
      </c>
      <c r="N27" s="16">
        <v>1.4711799999999999</v>
      </c>
      <c r="O27" s="16">
        <v>1.36124</v>
      </c>
      <c r="P27" s="16">
        <v>1.249519</v>
      </c>
      <c r="Q27" s="16">
        <v>1.1482650000000001</v>
      </c>
      <c r="R27" s="16">
        <v>1.0406299999999999</v>
      </c>
      <c r="S27" s="16">
        <v>0.94514799999999999</v>
      </c>
      <c r="T27" s="16">
        <v>0.85763999999999996</v>
      </c>
      <c r="U27" s="16">
        <v>0.76520100000000002</v>
      </c>
      <c r="V27" s="16">
        <v>0.71462099999999995</v>
      </c>
      <c r="W27" s="36">
        <v>0.67003400000000002</v>
      </c>
    </row>
    <row r="28" spans="2:23" ht="13.5" customHeight="1">
      <c r="B28" s="13" t="s">
        <v>6</v>
      </c>
      <c r="C28" s="16">
        <v>17.492359</v>
      </c>
      <c r="D28" s="16">
        <v>17.425623000000002</v>
      </c>
      <c r="E28" s="16">
        <v>17.474989000000001</v>
      </c>
      <c r="F28" s="16">
        <v>17.669903000000001</v>
      </c>
      <c r="G28" s="16">
        <v>17.762861000000001</v>
      </c>
      <c r="H28" s="16">
        <v>18.099525</v>
      </c>
      <c r="I28" s="16">
        <v>18.095738999999998</v>
      </c>
      <c r="J28" s="16">
        <v>18.013079000000001</v>
      </c>
      <c r="K28" s="16">
        <v>17.930506000000001</v>
      </c>
      <c r="L28" s="16">
        <v>17.827290000000001</v>
      </c>
      <c r="M28" s="16">
        <v>17.630082999999999</v>
      </c>
      <c r="N28" s="16">
        <v>17.378767</v>
      </c>
      <c r="O28" s="16">
        <v>17.255635999999999</v>
      </c>
      <c r="P28" s="16">
        <v>17.147000999999999</v>
      </c>
      <c r="Q28" s="16">
        <v>17.116793000000001</v>
      </c>
      <c r="R28" s="16">
        <v>17.080020999999999</v>
      </c>
      <c r="S28" s="16">
        <v>17.120284999999999</v>
      </c>
      <c r="T28" s="16">
        <v>16.921597999999999</v>
      </c>
      <c r="U28" s="16">
        <v>16.522808000000001</v>
      </c>
      <c r="V28" s="16">
        <v>16.325210999999999</v>
      </c>
      <c r="W28" s="36">
        <v>16.091963</v>
      </c>
    </row>
    <row r="29" spans="2:23" ht="13.5" customHeight="1">
      <c r="B29" s="13" t="s">
        <v>7</v>
      </c>
      <c r="C29" s="16">
        <v>17.755274</v>
      </c>
      <c r="D29" s="16">
        <v>18.059448</v>
      </c>
      <c r="E29" s="16">
        <v>18.345638000000001</v>
      </c>
      <c r="F29" s="16">
        <v>18.671334999999999</v>
      </c>
      <c r="G29" s="16">
        <v>18.698333999999999</v>
      </c>
      <c r="H29" s="16">
        <v>19.007479</v>
      </c>
      <c r="I29" s="16">
        <v>18.979144999999999</v>
      </c>
      <c r="J29" s="16">
        <v>19.259674</v>
      </c>
      <c r="K29" s="16">
        <v>19.135014999999999</v>
      </c>
      <c r="L29" s="16">
        <v>18.550421</v>
      </c>
      <c r="M29" s="16">
        <v>18.663729</v>
      </c>
      <c r="N29" s="16">
        <v>18.824991000000001</v>
      </c>
      <c r="O29" s="16">
        <v>18.173860999999999</v>
      </c>
      <c r="P29" s="16">
        <v>17.988159</v>
      </c>
      <c r="Q29" s="16">
        <v>17.630575</v>
      </c>
      <c r="R29" s="16">
        <v>17.732472999999999</v>
      </c>
      <c r="S29" s="16">
        <v>17.692354000000002</v>
      </c>
      <c r="T29" s="16">
        <v>17.552693999999999</v>
      </c>
      <c r="U29" s="16">
        <v>18.573105000000002</v>
      </c>
      <c r="V29" s="16">
        <v>17.273924000000001</v>
      </c>
      <c r="W29" s="36">
        <v>17.110809</v>
      </c>
    </row>
    <row r="30" spans="2:23" ht="13.5" customHeight="1">
      <c r="B30" s="9" t="s">
        <v>77</v>
      </c>
      <c r="C30" s="16">
        <v>25.906977000000001</v>
      </c>
      <c r="D30" s="16">
        <v>27.276468000000001</v>
      </c>
      <c r="E30" s="16">
        <v>28.552744000000001</v>
      </c>
      <c r="F30" s="16">
        <v>29.992849</v>
      </c>
      <c r="G30" s="16">
        <v>31.300747000000001</v>
      </c>
      <c r="H30" s="16">
        <v>32.111347000000002</v>
      </c>
      <c r="I30" s="16">
        <v>33.290461999999998</v>
      </c>
      <c r="J30" s="16">
        <v>34.459156</v>
      </c>
      <c r="K30" s="16">
        <v>35.845585</v>
      </c>
      <c r="L30" s="16">
        <v>37.525585</v>
      </c>
      <c r="M30" s="16">
        <v>38.706322</v>
      </c>
      <c r="N30" s="16">
        <v>40.129013</v>
      </c>
      <c r="O30" s="16">
        <v>41.695113999999997</v>
      </c>
      <c r="P30" s="16">
        <v>42.747256999999998</v>
      </c>
      <c r="Q30" s="16">
        <v>43.724342</v>
      </c>
      <c r="R30" s="16">
        <v>44.356937000000002</v>
      </c>
      <c r="S30" s="16">
        <v>44.863605</v>
      </c>
      <c r="T30" s="16">
        <v>45.452705000000002</v>
      </c>
      <c r="U30" s="16">
        <v>45.393569999999997</v>
      </c>
      <c r="V30" s="16">
        <v>46.759182000000003</v>
      </c>
      <c r="W30" s="36">
        <v>47.207290999999998</v>
      </c>
    </row>
    <row r="31" spans="2:23" ht="13.5" customHeight="1">
      <c r="B31" s="11"/>
    </row>
    <row r="32" spans="2:23" ht="13.5" customHeight="1">
      <c r="B32" s="21" t="s">
        <v>79</v>
      </c>
    </row>
    <row r="33" spans="2:23" ht="13.5" customHeight="1">
      <c r="B33" s="22" t="s">
        <v>80</v>
      </c>
      <c r="C33" s="23">
        <v>4290.8999999999996</v>
      </c>
      <c r="D33" s="23">
        <v>4374.75</v>
      </c>
      <c r="E33" s="23">
        <v>4450.24</v>
      </c>
      <c r="F33" s="23">
        <v>4519.01</v>
      </c>
      <c r="G33" s="23">
        <v>4590.99</v>
      </c>
      <c r="H33" s="23">
        <v>4673.54</v>
      </c>
      <c r="I33" s="23">
        <v>4736.82</v>
      </c>
      <c r="J33" s="23">
        <v>4802.2700000000004</v>
      </c>
      <c r="K33" s="23">
        <v>4878.3</v>
      </c>
      <c r="L33" s="23">
        <v>4950.67</v>
      </c>
      <c r="M33" s="23">
        <v>4962.134</v>
      </c>
      <c r="N33" s="23">
        <v>5023.8069999999998</v>
      </c>
      <c r="O33" s="23">
        <v>5097</v>
      </c>
      <c r="P33" s="23">
        <v>5136.7830000000004</v>
      </c>
      <c r="Q33" s="23">
        <v>5196</v>
      </c>
      <c r="R33" s="23">
        <v>5250</v>
      </c>
      <c r="S33" s="23">
        <v>5322</v>
      </c>
      <c r="T33" s="23">
        <v>5360</v>
      </c>
      <c r="U33" s="23">
        <v>5445.5</v>
      </c>
      <c r="V33" s="23">
        <v>5531</v>
      </c>
      <c r="W33" s="41">
        <v>5596.2179999999998</v>
      </c>
    </row>
    <row r="34" spans="2:23" ht="13.5" customHeight="1">
      <c r="B34" s="11"/>
    </row>
    <row r="35" spans="2:23" s="18" customFormat="1" ht="13.5" customHeight="1">
      <c r="B35" s="21" t="s">
        <v>81</v>
      </c>
      <c r="C35" s="19">
        <v>14.412862000000001</v>
      </c>
      <c r="D35" s="19">
        <v>14.604476999999999</v>
      </c>
      <c r="E35" s="19">
        <v>13.590896000000001</v>
      </c>
      <c r="F35" s="19">
        <v>13.708017999999999</v>
      </c>
      <c r="G35" s="19">
        <v>14.120376</v>
      </c>
      <c r="H35" s="19">
        <v>12.970063</v>
      </c>
      <c r="I35" s="19">
        <v>12.946130999999999</v>
      </c>
      <c r="J35" s="19">
        <v>12.638866</v>
      </c>
      <c r="K35" s="19">
        <v>12.701320000000001</v>
      </c>
      <c r="L35" s="19">
        <v>13.014934999999999</v>
      </c>
      <c r="M35" s="19">
        <v>13.050286</v>
      </c>
      <c r="N35" s="19">
        <v>12.757292</v>
      </c>
      <c r="O35" s="19">
        <v>12.958216999999999</v>
      </c>
      <c r="P35" s="19">
        <v>12.988505999999999</v>
      </c>
      <c r="Q35" s="19">
        <v>12.620153</v>
      </c>
      <c r="R35" s="19">
        <v>12.743586000000001</v>
      </c>
      <c r="S35" s="19">
        <v>11.572134999999999</v>
      </c>
      <c r="T35" s="19">
        <v>11.610253</v>
      </c>
      <c r="U35" s="19">
        <v>11.241292</v>
      </c>
      <c r="V35" s="19">
        <v>11.239292000000001</v>
      </c>
      <c r="W35" s="19">
        <v>11.425293</v>
      </c>
    </row>
    <row r="36" spans="2:23" ht="13.5" customHeight="1">
      <c r="B36" s="11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36"/>
    </row>
    <row r="37" spans="2:23" ht="13.5" customHeight="1">
      <c r="B37" s="11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36"/>
    </row>
    <row r="38" spans="2:23" s="18" customFormat="1" ht="30" customHeight="1">
      <c r="B38" s="8" t="s">
        <v>82</v>
      </c>
      <c r="C38" s="19">
        <v>0.119744</v>
      </c>
      <c r="D38" s="19">
        <v>0.12672900000000001</v>
      </c>
      <c r="E38" s="19">
        <v>0.126972</v>
      </c>
      <c r="F38" s="19">
        <v>0.13317799999999999</v>
      </c>
      <c r="G38" s="19">
        <v>0.13591</v>
      </c>
      <c r="H38" s="19">
        <v>0.14927799999999999</v>
      </c>
      <c r="I38" s="19">
        <v>0.15603500000000001</v>
      </c>
      <c r="J38" s="19">
        <v>0.17349400000000001</v>
      </c>
      <c r="K38" s="19">
        <v>0.184499</v>
      </c>
      <c r="L38" s="19">
        <v>0.176012</v>
      </c>
      <c r="M38" s="19">
        <v>0.179955</v>
      </c>
      <c r="N38" s="19">
        <v>0.20022200000000001</v>
      </c>
      <c r="O38" s="19">
        <v>0.19498599999999999</v>
      </c>
      <c r="P38" s="19">
        <v>0.20216200000000001</v>
      </c>
      <c r="Q38" s="19">
        <v>0.193384</v>
      </c>
      <c r="R38" s="19">
        <v>0.21087</v>
      </c>
      <c r="S38" s="19">
        <v>0.200241</v>
      </c>
      <c r="T38" s="19">
        <v>0.20216700000000001</v>
      </c>
      <c r="U38" s="19">
        <v>0.241651</v>
      </c>
      <c r="V38" s="19">
        <v>0.19881499999999999</v>
      </c>
      <c r="W38" s="19">
        <v>0.20105500000000001</v>
      </c>
    </row>
    <row r="39" spans="2:23" ht="13.5" customHeight="1">
      <c r="B39" s="20" t="s">
        <v>83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36"/>
    </row>
    <row r="40" spans="2:23" ht="13.5" customHeight="1">
      <c r="B40" s="13" t="s">
        <v>2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36">
        <v>0</v>
      </c>
    </row>
    <row r="41" spans="2:23" ht="13.5" customHeight="1">
      <c r="B41" s="13" t="s">
        <v>3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36">
        <v>0</v>
      </c>
    </row>
    <row r="42" spans="2:23" ht="13.5" customHeight="1">
      <c r="B42" s="13" t="s">
        <v>75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36">
        <v>0</v>
      </c>
    </row>
    <row r="43" spans="2:23" ht="13.5" customHeight="1">
      <c r="B43" s="13" t="s">
        <v>76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36">
        <v>0</v>
      </c>
    </row>
    <row r="44" spans="2:23" ht="13.5" customHeight="1">
      <c r="B44" s="13" t="s">
        <v>6</v>
      </c>
      <c r="C44" s="16">
        <v>2.6577E-2</v>
      </c>
      <c r="D44" s="16">
        <v>2.6592000000000001E-2</v>
      </c>
      <c r="E44" s="16">
        <v>2.5554E-2</v>
      </c>
      <c r="F44" s="16">
        <v>2.5599E-2</v>
      </c>
      <c r="G44" s="16">
        <v>2.4441000000000001E-2</v>
      </c>
      <c r="H44" s="16">
        <v>2.4348999999999999E-2</v>
      </c>
      <c r="I44" s="16">
        <v>2.3685000000000001E-2</v>
      </c>
      <c r="J44" s="16">
        <v>2.4261000000000001E-2</v>
      </c>
      <c r="K44" s="16">
        <v>2.3866999999999999E-2</v>
      </c>
      <c r="L44" s="16">
        <v>2.1526E-2</v>
      </c>
      <c r="M44" s="16">
        <v>2.1406999999999999E-2</v>
      </c>
      <c r="N44" s="16">
        <v>2.3123999999999999E-2</v>
      </c>
      <c r="O44" s="16">
        <v>2.1888999999999999E-2</v>
      </c>
      <c r="P44" s="16">
        <v>2.1975000000000001E-2</v>
      </c>
      <c r="Q44" s="16">
        <v>2.0355000000000002E-2</v>
      </c>
      <c r="R44" s="16">
        <v>2.1634E-2</v>
      </c>
      <c r="S44" s="16">
        <v>2.0167999999999998E-2</v>
      </c>
      <c r="T44" s="16">
        <v>1.9980999999999999E-2</v>
      </c>
      <c r="U44" s="16">
        <v>2.3706999999999999E-2</v>
      </c>
      <c r="V44" s="16">
        <v>1.9491999999999999E-2</v>
      </c>
      <c r="W44" s="36">
        <v>1.9727999999999999E-2</v>
      </c>
    </row>
    <row r="45" spans="2:23" ht="13.5" customHeight="1">
      <c r="B45" s="13" t="s">
        <v>7</v>
      </c>
      <c r="C45" s="16">
        <v>9.3167E-2</v>
      </c>
      <c r="D45" s="16">
        <v>0.100137</v>
      </c>
      <c r="E45" s="16">
        <v>0.10141799999999999</v>
      </c>
      <c r="F45" s="16">
        <v>0.10757899999999999</v>
      </c>
      <c r="G45" s="16">
        <v>0.11147</v>
      </c>
      <c r="H45" s="16">
        <v>0.124929</v>
      </c>
      <c r="I45" s="16">
        <v>0.13235</v>
      </c>
      <c r="J45" s="16">
        <v>0.149233</v>
      </c>
      <c r="K45" s="16">
        <v>0.160632</v>
      </c>
      <c r="L45" s="16">
        <v>0.15448700000000001</v>
      </c>
      <c r="M45" s="16">
        <v>0.158549</v>
      </c>
      <c r="N45" s="16">
        <v>0.17709800000000001</v>
      </c>
      <c r="O45" s="16">
        <v>0.173098</v>
      </c>
      <c r="P45" s="16">
        <v>0.18018600000000001</v>
      </c>
      <c r="Q45" s="16">
        <v>0.17302899999999999</v>
      </c>
      <c r="R45" s="16">
        <v>0.18923599999999999</v>
      </c>
      <c r="S45" s="16">
        <v>0.18007300000000001</v>
      </c>
      <c r="T45" s="16">
        <v>0.18218599999999999</v>
      </c>
      <c r="U45" s="16">
        <v>0.217944</v>
      </c>
      <c r="V45" s="16">
        <v>0.17932300000000001</v>
      </c>
      <c r="W45" s="36">
        <v>0.18132599999999999</v>
      </c>
    </row>
    <row r="46" spans="2:23" ht="13.5" customHeight="1">
      <c r="B46" s="9" t="s">
        <v>77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36">
        <v>0</v>
      </c>
    </row>
    <row r="47" spans="2:23" ht="13.5" customHeight="1">
      <c r="B47" s="11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36"/>
    </row>
    <row r="48" spans="2:23" s="18" customFormat="1" ht="13.5" customHeight="1">
      <c r="B48" s="15" t="s">
        <v>84</v>
      </c>
      <c r="C48" s="19">
        <v>1.9362140000000001</v>
      </c>
      <c r="D48" s="19">
        <v>1.983514</v>
      </c>
      <c r="E48" s="19">
        <v>2.09931</v>
      </c>
      <c r="F48" s="19">
        <v>2.1498810000000002</v>
      </c>
      <c r="G48" s="19">
        <v>2.0965220000000002</v>
      </c>
      <c r="H48" s="19">
        <v>2.4626760000000001</v>
      </c>
      <c r="I48" s="19">
        <v>2.5444599999999999</v>
      </c>
      <c r="J48" s="19">
        <v>2.858444</v>
      </c>
      <c r="K48" s="19">
        <v>2.977678</v>
      </c>
      <c r="L48" s="19">
        <v>2.7317269999999998</v>
      </c>
      <c r="M48" s="19">
        <v>2.7789229999999998</v>
      </c>
      <c r="N48" s="19">
        <v>3.124069</v>
      </c>
      <c r="O48" s="19">
        <v>2.9521890000000002</v>
      </c>
      <c r="P48" s="19">
        <v>3.0300379999999998</v>
      </c>
      <c r="Q48" s="19">
        <v>2.9490780000000001</v>
      </c>
      <c r="R48" s="19">
        <v>3.151831</v>
      </c>
      <c r="S48" s="19">
        <v>3.2513570000000001</v>
      </c>
      <c r="T48" s="19">
        <v>3.2486630000000001</v>
      </c>
      <c r="U48" s="19">
        <v>3.9476149999999999</v>
      </c>
      <c r="V48" s="19">
        <v>3.198213</v>
      </c>
      <c r="W48" s="19">
        <v>3.1445020000000001</v>
      </c>
    </row>
    <row r="49" spans="1:23" s="18" customFormat="1" ht="13.5" customHeight="1">
      <c r="B49" s="15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spans="1:23" ht="13.5" customHeight="1">
      <c r="B50" s="11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36"/>
    </row>
    <row r="51" spans="1:23" ht="13.5" customHeight="1">
      <c r="B51" s="15" t="s">
        <v>85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36"/>
    </row>
    <row r="52" spans="1:23" ht="13.5" customHeight="1">
      <c r="B52" s="13" t="s">
        <v>2</v>
      </c>
      <c r="C52" s="16">
        <v>6.4464410000000001</v>
      </c>
      <c r="D52" s="16">
        <v>5.7636260000000004</v>
      </c>
      <c r="E52" s="16">
        <v>5.5601010000000004</v>
      </c>
      <c r="F52" s="16">
        <v>5.7490759999999996</v>
      </c>
      <c r="G52" s="16">
        <v>5.5667200000000001</v>
      </c>
      <c r="H52" s="16">
        <v>4.9738559999999996</v>
      </c>
      <c r="I52" s="16">
        <v>4.3494109999999999</v>
      </c>
      <c r="J52" s="16">
        <v>4.5436439999999996</v>
      </c>
      <c r="K52" s="16">
        <v>4.6198769999999998</v>
      </c>
      <c r="L52" s="16">
        <v>4.6543869999999998</v>
      </c>
      <c r="M52" s="16">
        <v>4.0592829999999998</v>
      </c>
      <c r="N52" s="16">
        <v>3.912865</v>
      </c>
      <c r="O52" s="16">
        <v>3.543482</v>
      </c>
      <c r="P52" s="16">
        <v>4.0176670000000003</v>
      </c>
      <c r="Q52" s="16">
        <v>4.182105</v>
      </c>
      <c r="R52" s="16">
        <v>3.8141859999999999</v>
      </c>
      <c r="S52" s="16">
        <v>3.2846250000000001</v>
      </c>
      <c r="T52" s="16">
        <v>3.4345629999999998</v>
      </c>
      <c r="U52" s="16">
        <v>3.3036059999999998</v>
      </c>
      <c r="V52" s="16">
        <v>3.5208949999999999</v>
      </c>
      <c r="W52" s="36">
        <v>3.1887439999999998</v>
      </c>
    </row>
    <row r="53" spans="1:23" ht="13.5" customHeight="1">
      <c r="B53" s="13" t="s">
        <v>3</v>
      </c>
      <c r="C53" s="16">
        <v>2.2225090000000001</v>
      </c>
      <c r="D53" s="16">
        <v>1.913279</v>
      </c>
      <c r="E53" s="16">
        <v>1.7708660000000001</v>
      </c>
      <c r="F53" s="16">
        <v>1.8384320000000001</v>
      </c>
      <c r="G53" s="16">
        <v>1.736605</v>
      </c>
      <c r="H53" s="16">
        <v>1.489314</v>
      </c>
      <c r="I53" s="16">
        <v>1.2754209999999999</v>
      </c>
      <c r="J53" s="16">
        <v>1.320006</v>
      </c>
      <c r="K53" s="16">
        <v>1.3143339999999999</v>
      </c>
      <c r="L53" s="16">
        <v>1.3159620000000001</v>
      </c>
      <c r="M53" s="16">
        <v>1.162112</v>
      </c>
      <c r="N53" s="16">
        <v>1.1288720000000001</v>
      </c>
      <c r="O53" s="16">
        <v>1.0359700000000001</v>
      </c>
      <c r="P53" s="16">
        <v>1.1983490000000001</v>
      </c>
      <c r="Q53" s="16">
        <v>1.2730170000000001</v>
      </c>
      <c r="R53" s="16">
        <v>1.1882269999999999</v>
      </c>
      <c r="S53" s="16">
        <v>1.044778</v>
      </c>
      <c r="T53" s="16">
        <v>1.0961590000000001</v>
      </c>
      <c r="U53" s="16">
        <v>1.056171</v>
      </c>
      <c r="V53" s="16">
        <v>1.1220619999999999</v>
      </c>
      <c r="W53" s="36">
        <v>1.010227</v>
      </c>
    </row>
    <row r="54" spans="1:23" ht="13.5" customHeight="1">
      <c r="B54" s="13" t="s">
        <v>75</v>
      </c>
      <c r="C54" s="16">
        <v>0.19991300000000001</v>
      </c>
      <c r="D54" s="16">
        <v>0.18265799999999999</v>
      </c>
      <c r="E54" s="16">
        <v>0.18262400000000001</v>
      </c>
      <c r="F54" s="16">
        <v>0.20033599999999999</v>
      </c>
      <c r="G54" s="16">
        <v>0.19868</v>
      </c>
      <c r="H54" s="16">
        <v>0.178201</v>
      </c>
      <c r="I54" s="16">
        <v>0.15651300000000001</v>
      </c>
      <c r="J54" s="16">
        <v>0.156837</v>
      </c>
      <c r="K54" s="16">
        <v>0.15656600000000001</v>
      </c>
      <c r="L54" s="16">
        <v>0.15731700000000001</v>
      </c>
      <c r="M54" s="16">
        <v>0.13399900000000001</v>
      </c>
      <c r="N54" s="16">
        <v>0.124746</v>
      </c>
      <c r="O54" s="16">
        <v>0.108865</v>
      </c>
      <c r="P54" s="16">
        <v>0.11908199999999999</v>
      </c>
      <c r="Q54" s="16">
        <v>0.120279</v>
      </c>
      <c r="R54" s="16">
        <v>0.10731300000000001</v>
      </c>
      <c r="S54" s="16">
        <v>9.0818999999999997E-2</v>
      </c>
      <c r="T54" s="16">
        <v>9.2703999999999995E-2</v>
      </c>
      <c r="U54" s="16">
        <v>8.7247000000000005E-2</v>
      </c>
      <c r="V54" s="16">
        <v>9.0952000000000005E-2</v>
      </c>
      <c r="W54" s="36">
        <v>8.0726999999999993E-2</v>
      </c>
    </row>
    <row r="55" spans="1:23" ht="13.5" customHeight="1">
      <c r="B55" s="13" t="s">
        <v>76</v>
      </c>
      <c r="C55" s="16">
        <v>0.32381300000000002</v>
      </c>
      <c r="D55" s="16">
        <v>0.303145</v>
      </c>
      <c r="E55" s="16">
        <v>0.30610799999999999</v>
      </c>
      <c r="F55" s="16">
        <v>0.34040999999999999</v>
      </c>
      <c r="G55" s="16">
        <v>0.34008300000000002</v>
      </c>
      <c r="H55" s="16">
        <v>0.30362099999999997</v>
      </c>
      <c r="I55" s="16">
        <v>0.26579199999999997</v>
      </c>
      <c r="J55" s="16">
        <v>0.27512500000000001</v>
      </c>
      <c r="K55" s="16">
        <v>0.25982100000000002</v>
      </c>
      <c r="L55" s="16">
        <v>0.248501</v>
      </c>
      <c r="M55" s="16">
        <v>0.21603800000000001</v>
      </c>
      <c r="N55" s="16">
        <v>0.199432</v>
      </c>
      <c r="O55" s="16">
        <v>0.172453</v>
      </c>
      <c r="P55" s="16">
        <v>0.185395</v>
      </c>
      <c r="Q55" s="16">
        <v>0.18204799999999999</v>
      </c>
      <c r="R55" s="16">
        <v>0.15554100000000001</v>
      </c>
      <c r="S55" s="16">
        <v>0.124692</v>
      </c>
      <c r="T55" s="16">
        <v>0.119241</v>
      </c>
      <c r="U55" s="16">
        <v>0.104808</v>
      </c>
      <c r="V55" s="16">
        <v>0.103113</v>
      </c>
      <c r="W55" s="36">
        <v>8.7377999999999997E-2</v>
      </c>
    </row>
    <row r="56" spans="1:23" ht="13.5" customHeight="1">
      <c r="B56" s="13" t="s">
        <v>6</v>
      </c>
      <c r="C56" s="16">
        <v>1.2322850000000001</v>
      </c>
      <c r="D56" s="16">
        <v>1.1400410000000001</v>
      </c>
      <c r="E56" s="16">
        <v>1.1485730000000001</v>
      </c>
      <c r="F56" s="16">
        <v>1.283175</v>
      </c>
      <c r="G56" s="16">
        <v>1.3027120000000001</v>
      </c>
      <c r="H56" s="16">
        <v>1.2322280000000001</v>
      </c>
      <c r="I56" s="16">
        <v>1.11487</v>
      </c>
      <c r="J56" s="16">
        <v>1.2088449999999999</v>
      </c>
      <c r="K56" s="16">
        <v>1.263444</v>
      </c>
      <c r="L56" s="16">
        <v>1.307348</v>
      </c>
      <c r="M56" s="16">
        <v>1.1777470000000001</v>
      </c>
      <c r="N56" s="16">
        <v>1.1779250000000001</v>
      </c>
      <c r="O56" s="16">
        <v>1.09304</v>
      </c>
      <c r="P56" s="16">
        <v>1.272076</v>
      </c>
      <c r="Q56" s="16">
        <v>1.356865</v>
      </c>
      <c r="R56" s="16">
        <v>1.2764629999999999</v>
      </c>
      <c r="S56" s="16">
        <v>1.1293260000000001</v>
      </c>
      <c r="T56" s="16">
        <v>1.1763330000000001</v>
      </c>
      <c r="U56" s="16">
        <v>1.1315489999999999</v>
      </c>
      <c r="V56" s="16">
        <v>1.177791</v>
      </c>
      <c r="W56" s="36">
        <v>1.049261</v>
      </c>
    </row>
    <row r="57" spans="1:23" ht="13.5" customHeight="1">
      <c r="B57" s="13" t="s">
        <v>7</v>
      </c>
      <c r="C57" s="16">
        <v>3.7524199999999999</v>
      </c>
      <c r="D57" s="16">
        <v>3.544524</v>
      </c>
      <c r="E57" s="16">
        <v>3.617394</v>
      </c>
      <c r="F57" s="16">
        <v>4.0676949999999996</v>
      </c>
      <c r="G57" s="16">
        <v>4.1139559999999999</v>
      </c>
      <c r="H57" s="16">
        <v>3.8821270000000001</v>
      </c>
      <c r="I57" s="16">
        <v>3.507889</v>
      </c>
      <c r="J57" s="16">
        <v>3.87751</v>
      </c>
      <c r="K57" s="16">
        <v>4.0449529999999996</v>
      </c>
      <c r="L57" s="16">
        <v>4.0811359999999999</v>
      </c>
      <c r="M57" s="16">
        <v>3.7403930000000001</v>
      </c>
      <c r="N57" s="16">
        <v>3.8278470000000002</v>
      </c>
      <c r="O57" s="16">
        <v>3.4536120000000001</v>
      </c>
      <c r="P57" s="16">
        <v>4.0034349999999996</v>
      </c>
      <c r="Q57" s="16">
        <v>4.1927789999999998</v>
      </c>
      <c r="R57" s="16">
        <v>3.9756710000000002</v>
      </c>
      <c r="S57" s="16">
        <v>3.5011860000000001</v>
      </c>
      <c r="T57" s="16">
        <v>3.6606130000000001</v>
      </c>
      <c r="U57" s="16">
        <v>3.8158840000000001</v>
      </c>
      <c r="V57" s="16">
        <v>3.7387109999999999</v>
      </c>
      <c r="W57" s="36">
        <v>3.3470800000000001</v>
      </c>
    </row>
    <row r="58" spans="1:23">
      <c r="B58" s="9" t="s">
        <v>86</v>
      </c>
      <c r="C58" s="16">
        <v>6.5702530000000001</v>
      </c>
      <c r="D58" s="16">
        <v>6.4242559999999997</v>
      </c>
      <c r="E58" s="16">
        <v>6.7560370000000001</v>
      </c>
      <c r="F58" s="16">
        <v>7.8410080000000004</v>
      </c>
      <c r="G58" s="16">
        <v>8.2640449999999994</v>
      </c>
      <c r="H58" s="16">
        <v>7.8701860000000003</v>
      </c>
      <c r="I58" s="16">
        <v>7.3836349999999999</v>
      </c>
      <c r="J58" s="16">
        <v>8.3251069999999991</v>
      </c>
      <c r="K58" s="16">
        <v>9.0928830000000005</v>
      </c>
      <c r="L58" s="16">
        <v>9.90686</v>
      </c>
      <c r="M58" s="16">
        <v>9.3085489999999993</v>
      </c>
      <c r="N58" s="16">
        <v>9.7917310000000004</v>
      </c>
      <c r="O58" s="16">
        <v>9.5080799999999996</v>
      </c>
      <c r="P58" s="16">
        <v>11.416567000000001</v>
      </c>
      <c r="Q58" s="16">
        <v>12.477855999999999</v>
      </c>
      <c r="R58" s="16">
        <v>11.933945</v>
      </c>
      <c r="S58" s="16">
        <v>10.653813</v>
      </c>
      <c r="T58" s="16">
        <v>11.374988999999999</v>
      </c>
      <c r="U58" s="16">
        <v>11.191447</v>
      </c>
      <c r="V58" s="16">
        <v>12.144482999999999</v>
      </c>
      <c r="W58" s="36">
        <v>11.081178</v>
      </c>
    </row>
    <row r="60" spans="1:23">
      <c r="A60" s="1" t="s">
        <v>87</v>
      </c>
      <c r="B60"/>
    </row>
    <row r="61" spans="1:23">
      <c r="A61" s="1" t="s">
        <v>88</v>
      </c>
      <c r="B61"/>
    </row>
    <row r="62" spans="1:23">
      <c r="A62" s="1" t="s">
        <v>89</v>
      </c>
      <c r="B62"/>
    </row>
    <row r="69" spans="2:2">
      <c r="B69" s="1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NRCan - RNCan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Blais, Michel</dc:creator>
  <cp:keywords/>
  <dc:description/>
  <cp:lastModifiedBy>noah.ermers@ucalgary.ca</cp:lastModifiedBy>
  <cp:revision/>
  <dcterms:created xsi:type="dcterms:W3CDTF">2023-04-24T20:20:10Z</dcterms:created>
  <dcterms:modified xsi:type="dcterms:W3CDTF">2023-09-25T17:56:29Z</dcterms:modified>
  <cp:category/>
  <cp:contentStatus/>
</cp:coreProperties>
</file>