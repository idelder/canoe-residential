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daniel_posen_utoronto_ca/Documents/Academia/File Sharing/Alliance Mission - TEMOA/Full team - TEMOA/TEMOA model and data/Data sources/Buildings/Residential/Ontario/"/>
    </mc:Choice>
  </mc:AlternateContent>
  <xr:revisionPtr revIDLastSave="0" documentId="8_{9955818F-B943-4AB8-ABDE-B12C184B7B18}" xr6:coauthVersionLast="47" xr6:coauthVersionMax="47" xr10:uidLastSave="{00000000-0000-0000-0000-000000000000}"/>
  <bookViews>
    <workbookView xWindow="-12720" yWindow="2955" windowWidth="21600" windowHeight="11385" xr2:uid="{82EAC76F-1348-43B4-9812-553293992A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1" l="1"/>
  <c r="L9" i="1"/>
  <c r="L10" i="1"/>
  <c r="L11" i="1"/>
  <c r="L12" i="1"/>
  <c r="L13" i="1"/>
  <c r="L14" i="1"/>
  <c r="K14" i="1"/>
  <c r="K13" i="1"/>
  <c r="K12" i="1"/>
  <c r="K11" i="1"/>
  <c r="K10" i="1"/>
  <c r="K9" i="1"/>
  <c r="K8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F2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2" i="1"/>
  <c r="J5" i="1"/>
</calcChain>
</file>

<file path=xl/sharedStrings.xml><?xml version="1.0" encoding="utf-8"?>
<sst xmlns="http://schemas.openxmlformats.org/spreadsheetml/2006/main" count="83" uniqueCount="25">
  <si>
    <t>R_SPH_NGS_MEF</t>
  </si>
  <si>
    <t>R_SPH_LPG_MEF</t>
  </si>
  <si>
    <t>R_SPH_LPG_HEF</t>
  </si>
  <si>
    <t>R_SPH_NGS_HEF</t>
  </si>
  <si>
    <t>R_SPHC_HP_NGS</t>
  </si>
  <si>
    <t>R_SPH_WOD_PEL_MEF</t>
  </si>
  <si>
    <t>R_SPH_WOD_PEL_HEF</t>
  </si>
  <si>
    <t>Tech</t>
  </si>
  <si>
    <t>Vintage</t>
  </si>
  <si>
    <t>Efficiency ELC</t>
  </si>
  <si>
    <t>Reference</t>
  </si>
  <si>
    <t>nyserda. (2013, April 15). Gas Furnace Electricity Usage. https://www.taitem.com/wp-content/uploads/tt_furnace_electricity_use_20130507.pdf</t>
  </si>
  <si>
    <t>kWh / MMBtu</t>
  </si>
  <si>
    <t>Equivalent to ~600W blower running at full</t>
  </si>
  <si>
    <t>kWh =</t>
  </si>
  <si>
    <t>x MMBtu</t>
  </si>
  <si>
    <t>6 kWh / MMBtu =</t>
  </si>
  <si>
    <t>kWh / kWh (PJ / PJ)</t>
  </si>
  <si>
    <t>Efficiency fuel</t>
  </si>
  <si>
    <t>Input split fuel</t>
  </si>
  <si>
    <t>Input split ELC</t>
  </si>
  <si>
    <t>Tech list</t>
  </si>
  <si>
    <t>TechInputSplit table doesn't take vintages anyway so just round to 2 d.p.</t>
  </si>
  <si>
    <t>Split fuel</t>
  </si>
  <si>
    <t>Split 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</si>
</sst>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 applyAlignment="1">
      <alignment horizontal="left" vertical="center" indent="2"/>
    </xf>
    <xf numFmtId="0" fontId="0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17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aitem.com/wp-content/uploads/tt_furnace_electricity_use_2013050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A60EC-D608-4624-8FA4-5E6FA09BAB1E}">
  <dimension ref="A1:L59"/>
  <sheetViews>
    <sheetView tabSelected="1" topLeftCell="B4" workbookViewId="0">
      <selection activeCell="H18" sqref="H18"/>
    </sheetView>
  </sheetViews>
  <sheetFormatPr defaultRowHeight="15" x14ac:dyDescent="0.25"/>
  <cols>
    <col min="1" max="1" width="21.140625" bestFit="1" customWidth="1"/>
    <col min="2" max="2" width="7.85546875" bestFit="1" customWidth="1"/>
    <col min="3" max="3" width="13.7109375" bestFit="1" customWidth="1"/>
    <col min="4" max="4" width="13.140625" style="5" bestFit="1" customWidth="1"/>
    <col min="5" max="5" width="14.140625" style="4" bestFit="1" customWidth="1"/>
    <col min="6" max="6" width="13.5703125" style="4" bestFit="1" customWidth="1"/>
    <col min="7" max="7" width="13.140625" customWidth="1"/>
  </cols>
  <sheetData>
    <row r="1" spans="1:12" x14ac:dyDescent="0.25">
      <c r="A1" t="s">
        <v>7</v>
      </c>
      <c r="B1" t="s">
        <v>8</v>
      </c>
      <c r="C1" t="s">
        <v>18</v>
      </c>
      <c r="D1" t="s">
        <v>9</v>
      </c>
      <c r="E1" t="s">
        <v>19</v>
      </c>
      <c r="F1" t="s">
        <v>20</v>
      </c>
      <c r="I1" t="s">
        <v>10</v>
      </c>
      <c r="J1" s="1" t="s">
        <v>11</v>
      </c>
    </row>
    <row r="2" spans="1:12" x14ac:dyDescent="0.25">
      <c r="A2" t="s">
        <v>0</v>
      </c>
      <c r="B2">
        <v>2005</v>
      </c>
      <c r="C2">
        <v>0.8</v>
      </c>
      <c r="D2" s="5">
        <f>1/$J$5</f>
        <v>48.845178333333337</v>
      </c>
      <c r="E2" s="4">
        <f>(1/C2) / (1/$C2 + 1/$D2)</f>
        <v>0.98388564555799263</v>
      </c>
      <c r="F2" s="4">
        <f>(1/D2) / (1/$C2 + 1/$D2)</f>
        <v>1.6114354442007407E-2</v>
      </c>
      <c r="I2">
        <v>6</v>
      </c>
      <c r="J2" t="s">
        <v>12</v>
      </c>
      <c r="L2" t="s">
        <v>13</v>
      </c>
    </row>
    <row r="3" spans="1:12" x14ac:dyDescent="0.25">
      <c r="A3" t="s">
        <v>0</v>
      </c>
      <c r="B3">
        <v>2010</v>
      </c>
      <c r="C3">
        <v>0.8</v>
      </c>
      <c r="D3" s="5">
        <f t="shared" ref="D3:D59" si="0">1/$J$5</f>
        <v>48.845178333333337</v>
      </c>
      <c r="E3" s="4">
        <f t="shared" ref="E3:E59" si="1">(1/C3) / (1/$C3 + 1/$D3)</f>
        <v>0.98388564555799263</v>
      </c>
      <c r="F3" s="4">
        <f t="shared" ref="F3:F59" si="2">(1/D3) / (1/$C3 + 1/$D3)</f>
        <v>1.6114354442007407E-2</v>
      </c>
    </row>
    <row r="4" spans="1:12" x14ac:dyDescent="0.25">
      <c r="A4" t="s">
        <v>0</v>
      </c>
      <c r="B4">
        <v>2015</v>
      </c>
      <c r="C4">
        <v>0.8</v>
      </c>
      <c r="D4" s="5">
        <f t="shared" si="0"/>
        <v>48.845178333333337</v>
      </c>
      <c r="E4" s="4">
        <f t="shared" si="1"/>
        <v>0.98388564555799263</v>
      </c>
      <c r="F4" s="4">
        <f t="shared" si="2"/>
        <v>1.6114354442007407E-2</v>
      </c>
      <c r="I4" s="3" t="s">
        <v>14</v>
      </c>
      <c r="J4" s="2">
        <v>293.07107000000002</v>
      </c>
      <c r="K4" t="s">
        <v>15</v>
      </c>
    </row>
    <row r="5" spans="1:12" x14ac:dyDescent="0.25">
      <c r="A5" t="s">
        <v>0</v>
      </c>
      <c r="B5">
        <v>2020</v>
      </c>
      <c r="C5">
        <v>0.8</v>
      </c>
      <c r="D5" s="5">
        <f t="shared" si="0"/>
        <v>48.845178333333337</v>
      </c>
      <c r="E5" s="4">
        <f t="shared" si="1"/>
        <v>0.98388564555799263</v>
      </c>
      <c r="F5" s="4">
        <f t="shared" si="2"/>
        <v>1.6114354442007407E-2</v>
      </c>
      <c r="I5" s="3" t="s">
        <v>16</v>
      </c>
      <c r="J5">
        <f>I2/J4</f>
        <v>2.0472849810798451E-2</v>
      </c>
      <c r="K5" t="s">
        <v>17</v>
      </c>
    </row>
    <row r="6" spans="1:12" x14ac:dyDescent="0.25">
      <c r="A6" t="s">
        <v>0</v>
      </c>
      <c r="B6">
        <v>2025</v>
      </c>
      <c r="C6">
        <v>0.92</v>
      </c>
      <c r="D6" s="5">
        <f t="shared" si="0"/>
        <v>48.845178333333337</v>
      </c>
      <c r="E6" s="4">
        <f t="shared" si="1"/>
        <v>0.98151317787233228</v>
      </c>
      <c r="F6" s="4">
        <f t="shared" si="2"/>
        <v>1.8486822127667783E-2</v>
      </c>
    </row>
    <row r="7" spans="1:12" x14ac:dyDescent="0.25">
      <c r="A7" t="s">
        <v>0</v>
      </c>
      <c r="B7">
        <v>2030</v>
      </c>
      <c r="C7">
        <v>0.95</v>
      </c>
      <c r="D7" s="5">
        <f t="shared" si="0"/>
        <v>48.845178333333337</v>
      </c>
      <c r="E7" s="4">
        <f t="shared" si="1"/>
        <v>0.98092184762065482</v>
      </c>
      <c r="F7" s="4">
        <f t="shared" si="2"/>
        <v>1.907815237934516E-2</v>
      </c>
      <c r="H7" t="s">
        <v>21</v>
      </c>
      <c r="K7" t="s">
        <v>23</v>
      </c>
      <c r="L7" t="s">
        <v>24</v>
      </c>
    </row>
    <row r="8" spans="1:12" x14ac:dyDescent="0.25">
      <c r="A8" t="s">
        <v>0</v>
      </c>
      <c r="B8">
        <v>2035</v>
      </c>
      <c r="C8">
        <v>0.95</v>
      </c>
      <c r="D8" s="5">
        <f t="shared" si="0"/>
        <v>48.845178333333337</v>
      </c>
      <c r="E8" s="4">
        <f t="shared" si="1"/>
        <v>0.98092184762065482</v>
      </c>
      <c r="F8" s="4">
        <f t="shared" si="2"/>
        <v>1.907815237934516E-2</v>
      </c>
      <c r="H8" t="s">
        <v>0</v>
      </c>
      <c r="K8" s="4">
        <f>E2</f>
        <v>0.98388564555799263</v>
      </c>
      <c r="L8" s="4">
        <f>F2</f>
        <v>1.6114354442007407E-2</v>
      </c>
    </row>
    <row r="9" spans="1:12" x14ac:dyDescent="0.25">
      <c r="A9" t="s">
        <v>0</v>
      </c>
      <c r="B9">
        <v>2040</v>
      </c>
      <c r="C9">
        <v>0.95</v>
      </c>
      <c r="D9" s="5">
        <f t="shared" si="0"/>
        <v>48.845178333333337</v>
      </c>
      <c r="E9" s="4">
        <f t="shared" si="1"/>
        <v>0.98092184762065482</v>
      </c>
      <c r="F9" s="4">
        <f t="shared" si="2"/>
        <v>1.907815237934516E-2</v>
      </c>
      <c r="H9" t="s">
        <v>1</v>
      </c>
      <c r="K9" s="4">
        <f>E12</f>
        <v>0.98388564555799263</v>
      </c>
      <c r="L9" s="4">
        <f>F12</f>
        <v>1.6114354442007407E-2</v>
      </c>
    </row>
    <row r="10" spans="1:12" x14ac:dyDescent="0.25">
      <c r="A10" t="s">
        <v>0</v>
      </c>
      <c r="B10">
        <v>2045</v>
      </c>
      <c r="C10">
        <v>0.95</v>
      </c>
      <c r="D10" s="5">
        <f t="shared" si="0"/>
        <v>48.845178333333337</v>
      </c>
      <c r="E10" s="4">
        <f t="shared" si="1"/>
        <v>0.98092184762065482</v>
      </c>
      <c r="F10" s="4">
        <f t="shared" si="2"/>
        <v>1.907815237934516E-2</v>
      </c>
      <c r="H10" t="s">
        <v>2</v>
      </c>
      <c r="K10" s="4">
        <f>E22</f>
        <v>0.98190779427969355</v>
      </c>
      <c r="L10" s="4">
        <f>F22</f>
        <v>1.8092205720306492E-2</v>
      </c>
    </row>
    <row r="11" spans="1:12" x14ac:dyDescent="0.25">
      <c r="A11" t="s">
        <v>0</v>
      </c>
      <c r="B11">
        <v>2050</v>
      </c>
      <c r="C11">
        <v>0.95</v>
      </c>
      <c r="D11" s="5">
        <f t="shared" si="0"/>
        <v>48.845178333333337</v>
      </c>
      <c r="E11" s="4">
        <f t="shared" si="1"/>
        <v>0.98092184762065482</v>
      </c>
      <c r="F11" s="4">
        <f t="shared" si="2"/>
        <v>1.907815237934516E-2</v>
      </c>
      <c r="H11" t="s">
        <v>3</v>
      </c>
      <c r="K11" s="4">
        <f>E32</f>
        <v>0.98190779427969355</v>
      </c>
      <c r="L11" s="4">
        <f>F32</f>
        <v>1.8092205720306492E-2</v>
      </c>
    </row>
    <row r="12" spans="1:12" x14ac:dyDescent="0.25">
      <c r="A12" t="s">
        <v>1</v>
      </c>
      <c r="B12">
        <v>2005</v>
      </c>
      <c r="C12">
        <v>0.8</v>
      </c>
      <c r="D12" s="5">
        <f t="shared" si="0"/>
        <v>48.845178333333337</v>
      </c>
      <c r="E12" s="4">
        <f t="shared" si="1"/>
        <v>0.98388564555799263</v>
      </c>
      <c r="F12" s="4">
        <f t="shared" si="2"/>
        <v>1.6114354442007407E-2</v>
      </c>
      <c r="H12" t="s">
        <v>4</v>
      </c>
      <c r="K12" s="4">
        <f>E42</f>
        <v>0.97407527416976314</v>
      </c>
      <c r="L12" s="4">
        <f>F42</f>
        <v>2.5924725830236851E-2</v>
      </c>
    </row>
    <row r="13" spans="1:12" x14ac:dyDescent="0.25">
      <c r="A13" t="s">
        <v>1</v>
      </c>
      <c r="B13">
        <v>2010</v>
      </c>
      <c r="C13">
        <v>0.8</v>
      </c>
      <c r="D13" s="5">
        <f t="shared" si="0"/>
        <v>48.845178333333337</v>
      </c>
      <c r="E13" s="4">
        <f t="shared" si="1"/>
        <v>0.98388564555799263</v>
      </c>
      <c r="F13" s="4">
        <f t="shared" si="2"/>
        <v>1.6114354442007407E-2</v>
      </c>
      <c r="H13" t="s">
        <v>5</v>
      </c>
      <c r="K13" s="4">
        <f>E48</f>
        <v>0.98527488907671434</v>
      </c>
      <c r="L13" s="4">
        <f>F48</f>
        <v>1.4725110923285635E-2</v>
      </c>
    </row>
    <row r="14" spans="1:12" x14ac:dyDescent="0.25">
      <c r="A14" t="s">
        <v>1</v>
      </c>
      <c r="B14">
        <v>2015</v>
      </c>
      <c r="C14">
        <v>0.8</v>
      </c>
      <c r="D14" s="5">
        <f t="shared" si="0"/>
        <v>48.845178333333337</v>
      </c>
      <c r="E14" s="4">
        <f t="shared" si="1"/>
        <v>0.98388564555799263</v>
      </c>
      <c r="F14" s="4">
        <f t="shared" si="2"/>
        <v>1.6114354442007407E-2</v>
      </c>
      <c r="H14" t="s">
        <v>6</v>
      </c>
      <c r="K14" s="4">
        <f>E54</f>
        <v>0.98289572492730437</v>
      </c>
      <c r="L14" s="4">
        <f>F54</f>
        <v>1.7104275072695681E-2</v>
      </c>
    </row>
    <row r="15" spans="1:12" x14ac:dyDescent="0.25">
      <c r="A15" t="s">
        <v>1</v>
      </c>
      <c r="B15">
        <v>2020</v>
      </c>
      <c r="C15">
        <v>0.8</v>
      </c>
      <c r="D15" s="5">
        <f t="shared" si="0"/>
        <v>48.845178333333337</v>
      </c>
      <c r="E15" s="4">
        <f t="shared" si="1"/>
        <v>0.98388564555799263</v>
      </c>
      <c r="F15" s="4">
        <f t="shared" si="2"/>
        <v>1.6114354442007407E-2</v>
      </c>
    </row>
    <row r="16" spans="1:12" x14ac:dyDescent="0.25">
      <c r="A16" t="s">
        <v>1</v>
      </c>
      <c r="B16">
        <v>2025</v>
      </c>
      <c r="C16">
        <v>0.92</v>
      </c>
      <c r="D16" s="5">
        <f t="shared" si="0"/>
        <v>48.845178333333337</v>
      </c>
      <c r="E16" s="4">
        <f t="shared" si="1"/>
        <v>0.98151317787233228</v>
      </c>
      <c r="F16" s="4">
        <f t="shared" si="2"/>
        <v>1.8486822127667783E-2</v>
      </c>
      <c r="H16" t="s">
        <v>22</v>
      </c>
    </row>
    <row r="17" spans="1:6" x14ac:dyDescent="0.25">
      <c r="A17" t="s">
        <v>1</v>
      </c>
      <c r="B17">
        <v>2030</v>
      </c>
      <c r="C17">
        <v>0.95</v>
      </c>
      <c r="D17" s="5">
        <f t="shared" si="0"/>
        <v>48.845178333333337</v>
      </c>
      <c r="E17" s="4">
        <f t="shared" si="1"/>
        <v>0.98092184762065482</v>
      </c>
      <c r="F17" s="4">
        <f t="shared" si="2"/>
        <v>1.907815237934516E-2</v>
      </c>
    </row>
    <row r="18" spans="1:6" x14ac:dyDescent="0.25">
      <c r="A18" t="s">
        <v>1</v>
      </c>
      <c r="B18">
        <v>2035</v>
      </c>
      <c r="C18">
        <v>0.95</v>
      </c>
      <c r="D18" s="5">
        <f t="shared" si="0"/>
        <v>48.845178333333337</v>
      </c>
      <c r="E18" s="4">
        <f t="shared" si="1"/>
        <v>0.98092184762065482</v>
      </c>
      <c r="F18" s="4">
        <f t="shared" si="2"/>
        <v>1.907815237934516E-2</v>
      </c>
    </row>
    <row r="19" spans="1:6" x14ac:dyDescent="0.25">
      <c r="A19" t="s">
        <v>1</v>
      </c>
      <c r="B19">
        <v>2040</v>
      </c>
      <c r="C19">
        <v>0.95</v>
      </c>
      <c r="D19" s="5">
        <f t="shared" si="0"/>
        <v>48.845178333333337</v>
      </c>
      <c r="E19" s="4">
        <f t="shared" si="1"/>
        <v>0.98092184762065482</v>
      </c>
      <c r="F19" s="4">
        <f t="shared" si="2"/>
        <v>1.907815237934516E-2</v>
      </c>
    </row>
    <row r="20" spans="1:6" x14ac:dyDescent="0.25">
      <c r="A20" t="s">
        <v>1</v>
      </c>
      <c r="B20">
        <v>2045</v>
      </c>
      <c r="C20">
        <v>0.95</v>
      </c>
      <c r="D20" s="5">
        <f t="shared" si="0"/>
        <v>48.845178333333337</v>
      </c>
      <c r="E20" s="4">
        <f t="shared" si="1"/>
        <v>0.98092184762065482</v>
      </c>
      <c r="F20" s="4">
        <f t="shared" si="2"/>
        <v>1.907815237934516E-2</v>
      </c>
    </row>
    <row r="21" spans="1:6" x14ac:dyDescent="0.25">
      <c r="A21" t="s">
        <v>1</v>
      </c>
      <c r="B21">
        <v>2050</v>
      </c>
      <c r="C21">
        <v>0.95</v>
      </c>
      <c r="D21" s="5">
        <f t="shared" si="0"/>
        <v>48.845178333333337</v>
      </c>
      <c r="E21" s="4">
        <f t="shared" si="1"/>
        <v>0.98092184762065482</v>
      </c>
      <c r="F21" s="4">
        <f t="shared" si="2"/>
        <v>1.907815237934516E-2</v>
      </c>
    </row>
    <row r="22" spans="1:6" x14ac:dyDescent="0.25">
      <c r="A22" t="s">
        <v>2</v>
      </c>
      <c r="B22">
        <v>2005</v>
      </c>
      <c r="C22">
        <v>0.9</v>
      </c>
      <c r="D22" s="5">
        <f t="shared" si="0"/>
        <v>48.845178333333337</v>
      </c>
      <c r="E22" s="4">
        <f t="shared" si="1"/>
        <v>0.98190779427969355</v>
      </c>
      <c r="F22" s="4">
        <f t="shared" si="2"/>
        <v>1.8092205720306492E-2</v>
      </c>
    </row>
    <row r="23" spans="1:6" x14ac:dyDescent="0.25">
      <c r="A23" t="s">
        <v>2</v>
      </c>
      <c r="B23">
        <v>2010</v>
      </c>
      <c r="C23">
        <v>0.9</v>
      </c>
      <c r="D23" s="5">
        <f t="shared" si="0"/>
        <v>48.845178333333337</v>
      </c>
      <c r="E23" s="4">
        <f t="shared" si="1"/>
        <v>0.98190779427969355</v>
      </c>
      <c r="F23" s="4">
        <f t="shared" si="2"/>
        <v>1.8092205720306492E-2</v>
      </c>
    </row>
    <row r="24" spans="1:6" x14ac:dyDescent="0.25">
      <c r="A24" t="s">
        <v>2</v>
      </c>
      <c r="B24">
        <v>2015</v>
      </c>
      <c r="C24">
        <v>0.9</v>
      </c>
      <c r="D24" s="5">
        <f t="shared" si="0"/>
        <v>48.845178333333337</v>
      </c>
      <c r="E24" s="4">
        <f t="shared" si="1"/>
        <v>0.98190779427969355</v>
      </c>
      <c r="F24" s="4">
        <f t="shared" si="2"/>
        <v>1.8092205720306492E-2</v>
      </c>
    </row>
    <row r="25" spans="1:6" x14ac:dyDescent="0.25">
      <c r="A25" t="s">
        <v>2</v>
      </c>
      <c r="B25">
        <v>2020</v>
      </c>
      <c r="C25">
        <v>0.9</v>
      </c>
      <c r="D25" s="5">
        <f t="shared" si="0"/>
        <v>48.845178333333337</v>
      </c>
      <c r="E25" s="4">
        <f t="shared" si="1"/>
        <v>0.98190779427969355</v>
      </c>
      <c r="F25" s="4">
        <f t="shared" si="2"/>
        <v>1.8092205720306492E-2</v>
      </c>
    </row>
    <row r="26" spans="1:6" x14ac:dyDescent="0.25">
      <c r="A26" t="s">
        <v>2</v>
      </c>
      <c r="B26">
        <v>2025</v>
      </c>
      <c r="C26">
        <v>0.93600000000000005</v>
      </c>
      <c r="D26" s="5">
        <f t="shared" si="0"/>
        <v>48.845178333333337</v>
      </c>
      <c r="E26" s="4">
        <f t="shared" si="1"/>
        <v>0.98119771304462566</v>
      </c>
      <c r="F26" s="4">
        <f t="shared" si="2"/>
        <v>1.8802286955374399E-2</v>
      </c>
    </row>
    <row r="27" spans="1:6" x14ac:dyDescent="0.25">
      <c r="A27" t="s">
        <v>2</v>
      </c>
      <c r="B27">
        <v>2030</v>
      </c>
      <c r="C27">
        <v>0.99</v>
      </c>
      <c r="D27" s="5">
        <f t="shared" si="0"/>
        <v>48.845178333333337</v>
      </c>
      <c r="E27" s="4">
        <f t="shared" si="1"/>
        <v>0.98013451475224644</v>
      </c>
      <c r="F27" s="4">
        <f t="shared" si="2"/>
        <v>1.9865485247753535E-2</v>
      </c>
    </row>
    <row r="28" spans="1:6" x14ac:dyDescent="0.25">
      <c r="A28" t="s">
        <v>2</v>
      </c>
      <c r="B28">
        <v>2035</v>
      </c>
      <c r="C28">
        <v>0.99</v>
      </c>
      <c r="D28" s="5">
        <f t="shared" si="0"/>
        <v>48.845178333333337</v>
      </c>
      <c r="E28" s="4">
        <f t="shared" si="1"/>
        <v>0.98013451475224644</v>
      </c>
      <c r="F28" s="4">
        <f t="shared" si="2"/>
        <v>1.9865485247753535E-2</v>
      </c>
    </row>
    <row r="29" spans="1:6" x14ac:dyDescent="0.25">
      <c r="A29" t="s">
        <v>2</v>
      </c>
      <c r="B29">
        <v>2040</v>
      </c>
      <c r="C29">
        <v>0.99</v>
      </c>
      <c r="D29" s="5">
        <f t="shared" si="0"/>
        <v>48.845178333333337</v>
      </c>
      <c r="E29" s="4">
        <f t="shared" si="1"/>
        <v>0.98013451475224644</v>
      </c>
      <c r="F29" s="4">
        <f t="shared" si="2"/>
        <v>1.9865485247753535E-2</v>
      </c>
    </row>
    <row r="30" spans="1:6" x14ac:dyDescent="0.25">
      <c r="A30" t="s">
        <v>2</v>
      </c>
      <c r="B30">
        <v>2045</v>
      </c>
      <c r="C30">
        <v>0.99</v>
      </c>
      <c r="D30" s="5">
        <f t="shared" si="0"/>
        <v>48.845178333333337</v>
      </c>
      <c r="E30" s="4">
        <f t="shared" si="1"/>
        <v>0.98013451475224644</v>
      </c>
      <c r="F30" s="4">
        <f t="shared" si="2"/>
        <v>1.9865485247753535E-2</v>
      </c>
    </row>
    <row r="31" spans="1:6" x14ac:dyDescent="0.25">
      <c r="A31" t="s">
        <v>2</v>
      </c>
      <c r="B31">
        <v>2050</v>
      </c>
      <c r="C31">
        <v>0.99</v>
      </c>
      <c r="D31" s="5">
        <f t="shared" si="0"/>
        <v>48.845178333333337</v>
      </c>
      <c r="E31" s="4">
        <f t="shared" si="1"/>
        <v>0.98013451475224644</v>
      </c>
      <c r="F31" s="4">
        <f t="shared" si="2"/>
        <v>1.9865485247753535E-2</v>
      </c>
    </row>
    <row r="32" spans="1:6" x14ac:dyDescent="0.25">
      <c r="A32" t="s">
        <v>3</v>
      </c>
      <c r="B32">
        <v>2005</v>
      </c>
      <c r="C32">
        <v>0.9</v>
      </c>
      <c r="D32" s="5">
        <f t="shared" si="0"/>
        <v>48.845178333333337</v>
      </c>
      <c r="E32" s="4">
        <f t="shared" si="1"/>
        <v>0.98190779427969355</v>
      </c>
      <c r="F32" s="4">
        <f t="shared" si="2"/>
        <v>1.8092205720306492E-2</v>
      </c>
    </row>
    <row r="33" spans="1:6" x14ac:dyDescent="0.25">
      <c r="A33" t="s">
        <v>3</v>
      </c>
      <c r="B33">
        <v>2010</v>
      </c>
      <c r="C33">
        <v>0.9</v>
      </c>
      <c r="D33" s="5">
        <f t="shared" si="0"/>
        <v>48.845178333333337</v>
      </c>
      <c r="E33" s="4">
        <f t="shared" si="1"/>
        <v>0.98190779427969355</v>
      </c>
      <c r="F33" s="4">
        <f t="shared" si="2"/>
        <v>1.8092205720306492E-2</v>
      </c>
    </row>
    <row r="34" spans="1:6" x14ac:dyDescent="0.25">
      <c r="A34" t="s">
        <v>3</v>
      </c>
      <c r="B34">
        <v>2015</v>
      </c>
      <c r="C34">
        <v>0.9</v>
      </c>
      <c r="D34" s="5">
        <f t="shared" si="0"/>
        <v>48.845178333333337</v>
      </c>
      <c r="E34" s="4">
        <f t="shared" si="1"/>
        <v>0.98190779427969355</v>
      </c>
      <c r="F34" s="4">
        <f t="shared" si="2"/>
        <v>1.8092205720306492E-2</v>
      </c>
    </row>
    <row r="35" spans="1:6" x14ac:dyDescent="0.25">
      <c r="A35" t="s">
        <v>3</v>
      </c>
      <c r="B35">
        <v>2020</v>
      </c>
      <c r="C35">
        <v>0.9</v>
      </c>
      <c r="D35" s="5">
        <f t="shared" si="0"/>
        <v>48.845178333333337</v>
      </c>
      <c r="E35" s="4">
        <f t="shared" si="1"/>
        <v>0.98190779427969355</v>
      </c>
      <c r="F35" s="4">
        <f t="shared" si="2"/>
        <v>1.8092205720306492E-2</v>
      </c>
    </row>
    <row r="36" spans="1:6" x14ac:dyDescent="0.25">
      <c r="A36" t="s">
        <v>3</v>
      </c>
      <c r="B36">
        <v>2025</v>
      </c>
      <c r="C36">
        <v>0.93600000000000005</v>
      </c>
      <c r="D36" s="5">
        <f t="shared" si="0"/>
        <v>48.845178333333337</v>
      </c>
      <c r="E36" s="4">
        <f t="shared" si="1"/>
        <v>0.98119771304462566</v>
      </c>
      <c r="F36" s="4">
        <f t="shared" si="2"/>
        <v>1.8802286955374399E-2</v>
      </c>
    </row>
    <row r="37" spans="1:6" x14ac:dyDescent="0.25">
      <c r="A37" t="s">
        <v>3</v>
      </c>
      <c r="B37">
        <v>2030</v>
      </c>
      <c r="C37">
        <v>0.99</v>
      </c>
      <c r="D37" s="5">
        <f t="shared" si="0"/>
        <v>48.845178333333337</v>
      </c>
      <c r="E37" s="4">
        <f t="shared" si="1"/>
        <v>0.98013451475224644</v>
      </c>
      <c r="F37" s="4">
        <f t="shared" si="2"/>
        <v>1.9865485247753535E-2</v>
      </c>
    </row>
    <row r="38" spans="1:6" x14ac:dyDescent="0.25">
      <c r="A38" t="s">
        <v>3</v>
      </c>
      <c r="B38">
        <v>2035</v>
      </c>
      <c r="C38">
        <v>0.99</v>
      </c>
      <c r="D38" s="5">
        <f t="shared" si="0"/>
        <v>48.845178333333337</v>
      </c>
      <c r="E38" s="4">
        <f t="shared" si="1"/>
        <v>0.98013451475224644</v>
      </c>
      <c r="F38" s="4">
        <f t="shared" si="2"/>
        <v>1.9865485247753535E-2</v>
      </c>
    </row>
    <row r="39" spans="1:6" x14ac:dyDescent="0.25">
      <c r="A39" t="s">
        <v>3</v>
      </c>
      <c r="B39">
        <v>2040</v>
      </c>
      <c r="C39">
        <v>0.99</v>
      </c>
      <c r="D39" s="5">
        <f t="shared" si="0"/>
        <v>48.845178333333337</v>
      </c>
      <c r="E39" s="4">
        <f t="shared" si="1"/>
        <v>0.98013451475224644</v>
      </c>
      <c r="F39" s="4">
        <f t="shared" si="2"/>
        <v>1.9865485247753535E-2</v>
      </c>
    </row>
    <row r="40" spans="1:6" x14ac:dyDescent="0.25">
      <c r="A40" t="s">
        <v>3</v>
      </c>
      <c r="B40">
        <v>2045</v>
      </c>
      <c r="C40">
        <v>0.99</v>
      </c>
      <c r="D40" s="5">
        <f t="shared" si="0"/>
        <v>48.845178333333337</v>
      </c>
      <c r="E40" s="4">
        <f t="shared" si="1"/>
        <v>0.98013451475224644</v>
      </c>
      <c r="F40" s="4">
        <f t="shared" si="2"/>
        <v>1.9865485247753535E-2</v>
      </c>
    </row>
    <row r="41" spans="1:6" x14ac:dyDescent="0.25">
      <c r="A41" t="s">
        <v>3</v>
      </c>
      <c r="B41">
        <v>2050</v>
      </c>
      <c r="C41">
        <v>0.99</v>
      </c>
      <c r="D41" s="5">
        <f t="shared" si="0"/>
        <v>48.845178333333337</v>
      </c>
      <c r="E41" s="4">
        <f t="shared" si="1"/>
        <v>0.98013451475224644</v>
      </c>
      <c r="F41" s="4">
        <f t="shared" si="2"/>
        <v>1.9865485247753535E-2</v>
      </c>
    </row>
    <row r="42" spans="1:6" x14ac:dyDescent="0.25">
      <c r="A42" t="s">
        <v>4</v>
      </c>
      <c r="B42">
        <v>2025</v>
      </c>
      <c r="C42">
        <v>1.3</v>
      </c>
      <c r="D42" s="5">
        <f t="shared" si="0"/>
        <v>48.845178333333337</v>
      </c>
      <c r="E42" s="4">
        <f t="shared" si="1"/>
        <v>0.97407527416976314</v>
      </c>
      <c r="F42" s="4">
        <f t="shared" si="2"/>
        <v>2.5924725830236851E-2</v>
      </c>
    </row>
    <row r="43" spans="1:6" x14ac:dyDescent="0.25">
      <c r="A43" t="s">
        <v>4</v>
      </c>
      <c r="B43">
        <v>2030</v>
      </c>
      <c r="C43">
        <v>1.3</v>
      </c>
      <c r="D43" s="5">
        <f t="shared" si="0"/>
        <v>48.845178333333337</v>
      </c>
      <c r="E43" s="4">
        <f t="shared" si="1"/>
        <v>0.97407527416976314</v>
      </c>
      <c r="F43" s="4">
        <f t="shared" si="2"/>
        <v>2.5924725830236851E-2</v>
      </c>
    </row>
    <row r="44" spans="1:6" x14ac:dyDescent="0.25">
      <c r="A44" t="s">
        <v>4</v>
      </c>
      <c r="B44">
        <v>2035</v>
      </c>
      <c r="C44">
        <v>1.3</v>
      </c>
      <c r="D44" s="5">
        <f t="shared" si="0"/>
        <v>48.845178333333337</v>
      </c>
      <c r="E44" s="4">
        <f t="shared" si="1"/>
        <v>0.97407527416976314</v>
      </c>
      <c r="F44" s="4">
        <f t="shared" si="2"/>
        <v>2.5924725830236851E-2</v>
      </c>
    </row>
    <row r="45" spans="1:6" x14ac:dyDescent="0.25">
      <c r="A45" t="s">
        <v>4</v>
      </c>
      <c r="B45">
        <v>2040</v>
      </c>
      <c r="C45">
        <v>1.3</v>
      </c>
      <c r="D45" s="5">
        <f t="shared" si="0"/>
        <v>48.845178333333337</v>
      </c>
      <c r="E45" s="4">
        <f t="shared" si="1"/>
        <v>0.97407527416976314</v>
      </c>
      <c r="F45" s="4">
        <f t="shared" si="2"/>
        <v>2.5924725830236851E-2</v>
      </c>
    </row>
    <row r="46" spans="1:6" x14ac:dyDescent="0.25">
      <c r="A46" t="s">
        <v>4</v>
      </c>
      <c r="B46">
        <v>2045</v>
      </c>
      <c r="C46">
        <v>1.3</v>
      </c>
      <c r="D46" s="5">
        <f t="shared" si="0"/>
        <v>48.845178333333337</v>
      </c>
      <c r="E46" s="4">
        <f t="shared" si="1"/>
        <v>0.97407527416976314</v>
      </c>
      <c r="F46" s="4">
        <f t="shared" si="2"/>
        <v>2.5924725830236851E-2</v>
      </c>
    </row>
    <row r="47" spans="1:6" x14ac:dyDescent="0.25">
      <c r="A47" t="s">
        <v>4</v>
      </c>
      <c r="B47">
        <v>2050</v>
      </c>
      <c r="C47">
        <v>1.3</v>
      </c>
      <c r="D47" s="5">
        <f t="shared" si="0"/>
        <v>48.845178333333337</v>
      </c>
      <c r="E47" s="4">
        <f t="shared" si="1"/>
        <v>0.97407527416976314</v>
      </c>
      <c r="F47" s="4">
        <f t="shared" si="2"/>
        <v>2.5924725830236851E-2</v>
      </c>
    </row>
    <row r="48" spans="1:6" x14ac:dyDescent="0.25">
      <c r="A48" t="s">
        <v>5</v>
      </c>
      <c r="B48">
        <v>2025</v>
      </c>
      <c r="C48">
        <v>0.73</v>
      </c>
      <c r="D48" s="5">
        <f t="shared" si="0"/>
        <v>48.845178333333337</v>
      </c>
      <c r="E48" s="4">
        <f t="shared" si="1"/>
        <v>0.98527488907671434</v>
      </c>
      <c r="F48" s="4">
        <f t="shared" si="2"/>
        <v>1.4725110923285635E-2</v>
      </c>
    </row>
    <row r="49" spans="1:6" x14ac:dyDescent="0.25">
      <c r="A49" t="s">
        <v>5</v>
      </c>
      <c r="B49">
        <v>2030</v>
      </c>
      <c r="C49">
        <v>0.73</v>
      </c>
      <c r="D49" s="5">
        <f t="shared" si="0"/>
        <v>48.845178333333337</v>
      </c>
      <c r="E49" s="4">
        <f t="shared" si="1"/>
        <v>0.98527488907671434</v>
      </c>
      <c r="F49" s="4">
        <f t="shared" si="2"/>
        <v>1.4725110923285635E-2</v>
      </c>
    </row>
    <row r="50" spans="1:6" x14ac:dyDescent="0.25">
      <c r="A50" t="s">
        <v>5</v>
      </c>
      <c r="B50">
        <v>2035</v>
      </c>
      <c r="C50">
        <v>0.73</v>
      </c>
      <c r="D50" s="5">
        <f t="shared" si="0"/>
        <v>48.845178333333337</v>
      </c>
      <c r="E50" s="4">
        <f t="shared" si="1"/>
        <v>0.98527488907671434</v>
      </c>
      <c r="F50" s="4">
        <f t="shared" si="2"/>
        <v>1.4725110923285635E-2</v>
      </c>
    </row>
    <row r="51" spans="1:6" x14ac:dyDescent="0.25">
      <c r="A51" t="s">
        <v>5</v>
      </c>
      <c r="B51">
        <v>2040</v>
      </c>
      <c r="C51">
        <v>0.73</v>
      </c>
      <c r="D51" s="5">
        <f t="shared" si="0"/>
        <v>48.845178333333337</v>
      </c>
      <c r="E51" s="4">
        <f t="shared" si="1"/>
        <v>0.98527488907671434</v>
      </c>
      <c r="F51" s="4">
        <f t="shared" si="2"/>
        <v>1.4725110923285635E-2</v>
      </c>
    </row>
    <row r="52" spans="1:6" x14ac:dyDescent="0.25">
      <c r="A52" t="s">
        <v>5</v>
      </c>
      <c r="B52">
        <v>2045</v>
      </c>
      <c r="C52">
        <v>0.73</v>
      </c>
      <c r="D52" s="5">
        <f t="shared" si="0"/>
        <v>48.845178333333337</v>
      </c>
      <c r="E52" s="4">
        <f t="shared" si="1"/>
        <v>0.98527488907671434</v>
      </c>
      <c r="F52" s="4">
        <f t="shared" si="2"/>
        <v>1.4725110923285635E-2</v>
      </c>
    </row>
    <row r="53" spans="1:6" x14ac:dyDescent="0.25">
      <c r="A53" t="s">
        <v>5</v>
      </c>
      <c r="B53">
        <v>2050</v>
      </c>
      <c r="C53">
        <v>0.73</v>
      </c>
      <c r="D53" s="5">
        <f t="shared" si="0"/>
        <v>48.845178333333337</v>
      </c>
      <c r="E53" s="4">
        <f t="shared" si="1"/>
        <v>0.98527488907671434</v>
      </c>
      <c r="F53" s="4">
        <f t="shared" si="2"/>
        <v>1.4725110923285635E-2</v>
      </c>
    </row>
    <row r="54" spans="1:6" x14ac:dyDescent="0.25">
      <c r="A54" t="s">
        <v>6</v>
      </c>
      <c r="B54">
        <v>2025</v>
      </c>
      <c r="C54">
        <v>0.85</v>
      </c>
      <c r="D54" s="5">
        <f t="shared" si="0"/>
        <v>48.845178333333337</v>
      </c>
      <c r="E54" s="4">
        <f t="shared" si="1"/>
        <v>0.98289572492730437</v>
      </c>
      <c r="F54" s="4">
        <f t="shared" si="2"/>
        <v>1.7104275072695681E-2</v>
      </c>
    </row>
    <row r="55" spans="1:6" x14ac:dyDescent="0.25">
      <c r="A55" t="s">
        <v>6</v>
      </c>
      <c r="B55">
        <v>2030</v>
      </c>
      <c r="C55">
        <v>0.85</v>
      </c>
      <c r="D55" s="5">
        <f t="shared" si="0"/>
        <v>48.845178333333337</v>
      </c>
      <c r="E55" s="4">
        <f t="shared" si="1"/>
        <v>0.98289572492730437</v>
      </c>
      <c r="F55" s="4">
        <f t="shared" si="2"/>
        <v>1.7104275072695681E-2</v>
      </c>
    </row>
    <row r="56" spans="1:6" x14ac:dyDescent="0.25">
      <c r="A56" t="s">
        <v>6</v>
      </c>
      <c r="B56">
        <v>2035</v>
      </c>
      <c r="C56">
        <v>0.85</v>
      </c>
      <c r="D56" s="5">
        <f t="shared" si="0"/>
        <v>48.845178333333337</v>
      </c>
      <c r="E56" s="4">
        <f t="shared" si="1"/>
        <v>0.98289572492730437</v>
      </c>
      <c r="F56" s="4">
        <f t="shared" si="2"/>
        <v>1.7104275072695681E-2</v>
      </c>
    </row>
    <row r="57" spans="1:6" x14ac:dyDescent="0.25">
      <c r="A57" t="s">
        <v>6</v>
      </c>
      <c r="B57">
        <v>2040</v>
      </c>
      <c r="C57">
        <v>0.85</v>
      </c>
      <c r="D57" s="5">
        <f t="shared" si="0"/>
        <v>48.845178333333337</v>
      </c>
      <c r="E57" s="4">
        <f t="shared" si="1"/>
        <v>0.98289572492730437</v>
      </c>
      <c r="F57" s="4">
        <f t="shared" si="2"/>
        <v>1.7104275072695681E-2</v>
      </c>
    </row>
    <row r="58" spans="1:6" x14ac:dyDescent="0.25">
      <c r="A58" t="s">
        <v>6</v>
      </c>
      <c r="B58">
        <v>2045</v>
      </c>
      <c r="C58">
        <v>0.85</v>
      </c>
      <c r="D58" s="5">
        <f t="shared" si="0"/>
        <v>48.845178333333337</v>
      </c>
      <c r="E58" s="4">
        <f t="shared" si="1"/>
        <v>0.98289572492730437</v>
      </c>
      <c r="F58" s="4">
        <f t="shared" si="2"/>
        <v>1.7104275072695681E-2</v>
      </c>
    </row>
    <row r="59" spans="1:6" x14ac:dyDescent="0.25">
      <c r="A59" t="s">
        <v>6</v>
      </c>
      <c r="B59">
        <v>2050</v>
      </c>
      <c r="C59">
        <v>0.85</v>
      </c>
      <c r="D59" s="5">
        <f t="shared" si="0"/>
        <v>48.845178333333337</v>
      </c>
      <c r="E59" s="4">
        <f t="shared" si="1"/>
        <v>0.98289572492730437</v>
      </c>
      <c r="F59" s="4">
        <f t="shared" si="2"/>
        <v>1.7104275072695681E-2</v>
      </c>
    </row>
  </sheetData>
  <hyperlinks>
    <hyperlink ref="J1" r:id="rId1" display="https://www.taitem.com/wp-content/uploads/tt_furnace_electricity_use_20130507.pdf" xr:uid="{350BF857-BAC2-4C7D-AEAA-5D5FA09CC3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Elder</dc:creator>
  <cp:lastModifiedBy>David Elder</cp:lastModifiedBy>
  <dcterms:created xsi:type="dcterms:W3CDTF">2023-08-02T15:47:35Z</dcterms:created>
  <dcterms:modified xsi:type="dcterms:W3CDTF">2023-08-02T20:59:52Z</dcterms:modified>
</cp:coreProperties>
</file>