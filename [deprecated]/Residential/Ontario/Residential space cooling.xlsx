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toronto-my.sharepoint.com/personal/daniel_posen_utoronto_ca/Documents/Academia/File Sharing/Alliance Mission - TEMOA/Full team - TEMOA/TEMOA model and data/Data sources/Buildings/Residential/Ontario/"/>
    </mc:Choice>
  </mc:AlternateContent>
  <xr:revisionPtr revIDLastSave="6" documentId="13_ncr:40009_{D5B80FD9-2AB7-47F2-AE61-4E4335F9F641}" xr6:coauthVersionLast="47" xr6:coauthVersionMax="47" xr10:uidLastSave="{384FBCFE-AAAA-4C33-A6D8-09047EE7F5A0}"/>
  <bookViews>
    <workbookView xWindow="15765" yWindow="3195" windowWidth="21600" windowHeight="11385" xr2:uid="{00000000-000D-0000-FFFF-FFFF00000000}"/>
  </bookViews>
  <sheets>
    <sheet name="Demand and Existing Capacity" sheetId="3" r:id="rId1"/>
    <sheet name="Model efficiencies" sheetId="5" r:id="rId2"/>
    <sheet name="efficiency" sheetId="1" r:id="rId3"/>
    <sheet name="secondary energy" sheetId="2" r:id="rId4"/>
    <sheet name="stock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3" l="1"/>
  <c r="G13" i="3"/>
  <c r="C9" i="3"/>
  <c r="G16" i="3" l="1"/>
  <c r="B6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B5" i="5"/>
  <c r="A2" i="5" a="1"/>
  <c r="A2" i="5" s="1"/>
  <c r="B1" i="5" a="1"/>
  <c r="B1" i="5" s="1"/>
  <c r="B19" i="3"/>
  <c r="B18" i="3"/>
  <c r="E14" i="3" l="1"/>
  <c r="F14" i="3" s="1"/>
  <c r="E13" i="3"/>
  <c r="F13" i="3" s="1"/>
  <c r="C14" i="3"/>
  <c r="D14" i="3" s="1"/>
  <c r="C13" i="3"/>
  <c r="D13" i="3" s="1"/>
  <c r="E9" i="3"/>
  <c r="F9" i="3"/>
  <c r="G9" i="3"/>
  <c r="H9" i="3"/>
  <c r="I9" i="3"/>
  <c r="D9" i="3"/>
  <c r="B3" i="3"/>
  <c r="B2" i="3"/>
  <c r="B5" i="3" s="1"/>
  <c r="J13" i="3" l="1"/>
  <c r="J14" i="3"/>
  <c r="J16" i="3" l="1"/>
  <c r="K16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<sst xmlns="http://schemas.openxmlformats.org/spreadsheetml/2006/main" count="109" uniqueCount="54">
  <si>
    <t>Residential Sector</t>
  </si>
  <si>
    <t>Ontario</t>
  </si>
  <si>
    <t>Table 27: Cooling System Stock by Type, New Unit Efficiencies, Stock Efficiencies and Unit Capacity Ratio</t>
  </si>
  <si>
    <t>Total Cooling System Stock (thousands)</t>
  </si>
  <si>
    <t>System Stock by Type (thousands)</t>
  </si>
  <si>
    <t>Room</t>
  </si>
  <si>
    <t>Central</t>
  </si>
  <si>
    <t>Shares (%)</t>
  </si>
  <si>
    <t>New Unit Efficiencies</t>
  </si>
  <si>
    <r>
      <t>Room (EER)</t>
    </r>
    <r>
      <rPr>
        <vertAlign val="superscript"/>
        <sz val="10"/>
        <rFont val="Arial"/>
        <family val="2"/>
      </rPr>
      <t>1</t>
    </r>
  </si>
  <si>
    <r>
      <t>Central (SEER)</t>
    </r>
    <r>
      <rPr>
        <vertAlign val="superscript"/>
        <sz val="10"/>
        <rFont val="Arial"/>
        <family val="2"/>
      </rPr>
      <t>2</t>
    </r>
  </si>
  <si>
    <t>Stock Efficiencies</t>
  </si>
  <si>
    <t>Unit Capacity Ratio (Btu/hour)</t>
  </si>
  <si>
    <t>1) Energy Efficiency Ratio.</t>
  </si>
  <si>
    <t>2) Seasonal Energy Efficiency Ratio.</t>
  </si>
  <si>
    <r>
      <t>Ontario</t>
    </r>
    <r>
      <rPr>
        <b/>
        <vertAlign val="superscript"/>
        <sz val="12"/>
        <rFont val="Arial"/>
        <family val="2"/>
      </rPr>
      <t>1</t>
    </r>
  </si>
  <si>
    <t>Table 4: Space Cooling Secondary Energy Use and GHG Emissions by Cooling System Type</t>
  </si>
  <si>
    <r>
      <t>Total Space Cooling Energy Use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(PJ)</t>
    </r>
  </si>
  <si>
    <t>Energy Use by Cooling System Type (PJ)</t>
  </si>
  <si>
    <t>Shares  (%)</t>
  </si>
  <si>
    <t>Activity</t>
  </si>
  <si>
    <r>
      <t>Cooled Floor Space (million m</t>
    </r>
    <r>
      <rPr>
        <vertAlign val="superscript"/>
        <sz val="10"/>
        <color indexed="8"/>
        <rFont val="Arial"/>
        <family val="2"/>
      </rPr>
      <t>2</t>
    </r>
    <r>
      <rPr>
        <sz val="10"/>
        <color indexed="8"/>
        <rFont val="Arial"/>
        <family val="2"/>
      </rPr>
      <t>)</t>
    </r>
  </si>
  <si>
    <r>
      <t>Energy Intensity (MJ/m</t>
    </r>
    <r>
      <rPr>
        <b/>
        <vertAlign val="superscript"/>
        <sz val="10"/>
        <color indexed="8"/>
        <rFont val="Arial"/>
        <family val="2"/>
      </rPr>
      <t>2</t>
    </r>
    <r>
      <rPr>
        <b/>
        <sz val="10"/>
        <color indexed="8"/>
        <rFont val="Arial"/>
        <family val="2"/>
      </rPr>
      <t>)</t>
    </r>
  </si>
  <si>
    <r>
      <t xml:space="preserve">Total Space Cooling GHG Emissions </t>
    </r>
    <r>
      <rPr>
        <b/>
        <u/>
        <sz val="10"/>
        <rFont val="Arial"/>
        <family val="2"/>
      </rPr>
      <t>Excluding</t>
    </r>
    <r>
      <rPr>
        <b/>
        <sz val="10"/>
        <rFont val="Arial"/>
        <family val="2"/>
      </rPr>
      <t xml:space="preserve"> Electricity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(Mt of 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>e)</t>
    </r>
  </si>
  <si>
    <t>–</t>
  </si>
  <si>
    <t>Cooling Degree-Day Index</t>
  </si>
  <si>
    <r>
      <t xml:space="preserve">1) Data on GHG emissions are presented </t>
    </r>
    <r>
      <rPr>
        <u/>
        <sz val="10"/>
        <rFont val="Arial"/>
        <family val="2"/>
      </rPr>
      <t>excluding</t>
    </r>
    <r>
      <rPr>
        <sz val="10"/>
        <rFont val="Arial"/>
        <family val="2"/>
      </rPr>
      <t xml:space="preserve"> GHG emissions related to electricity production only.</t>
    </r>
  </si>
  <si>
    <t>2) Space cooling consumes only electricity.</t>
  </si>
  <si>
    <t>Primary energy (PJ p.a.)</t>
  </si>
  <si>
    <t>Total</t>
  </si>
  <si>
    <t>Year</t>
  </si>
  <si>
    <t>Pop. Index</t>
  </si>
  <si>
    <t>SPC demand (PJ p.a.)</t>
  </si>
  <si>
    <t>Technology</t>
  </si>
  <si>
    <t>R_SPC_ROM_EXS</t>
  </si>
  <si>
    <t>R_SPC_CEN_EXS</t>
  </si>
  <si>
    <t>Stock (x1000)</t>
  </si>
  <si>
    <t>Population index</t>
  </si>
  <si>
    <t>Unit cap.</t>
  </si>
  <si>
    <t>(GW)</t>
  </si>
  <si>
    <t>(kBtu/h)</t>
  </si>
  <si>
    <t xml:space="preserve">GW = </t>
  </si>
  <si>
    <t>x kBtu/h</t>
  </si>
  <si>
    <t>PJ =</t>
  </si>
  <si>
    <t>x GW</t>
  </si>
  <si>
    <t>Annual CF</t>
  </si>
  <si>
    <t>Exs cap. (GW)</t>
  </si>
  <si>
    <t>(Y)</t>
  </si>
  <si>
    <t>Lifetime</t>
  </si>
  <si>
    <t>Room (PJ/PJ)</t>
  </si>
  <si>
    <t>Central (PJ/PJ)</t>
  </si>
  <si>
    <t>Btu =</t>
  </si>
  <si>
    <t>x Wh</t>
  </si>
  <si>
    <t>2023 max annual 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</si>
</sst>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#\ ##0"/>
    <numFmt numFmtId="166" formatCode="0.0000"/>
    <numFmt numFmtId="167" formatCode="#,##0.000"/>
    <numFmt numFmtId="168" formatCode="0.000"/>
    <numFmt numFmtId="171" formatCode="0.000%"/>
  </numFmts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sz val="10"/>
      <color indexed="8"/>
      <name val="Arial"/>
      <family val="2"/>
    </font>
    <font>
      <vertAlign val="superscript"/>
      <sz val="10"/>
      <name val="Arial"/>
      <family val="2"/>
    </font>
    <font>
      <b/>
      <sz val="11"/>
      <color theme="1"/>
      <name val="Calibri"/>
      <family val="2"/>
      <scheme val="minor"/>
    </font>
    <font>
      <b/>
      <vertAlign val="superscript"/>
      <sz val="12"/>
      <name val="Arial"/>
      <family val="2"/>
    </font>
    <font>
      <b/>
      <vertAlign val="superscript"/>
      <sz val="10"/>
      <name val="Arial"/>
      <family val="2"/>
    </font>
    <font>
      <sz val="10"/>
      <color indexed="8"/>
      <name val="Arial"/>
      <family val="2"/>
    </font>
    <font>
      <vertAlign val="superscript"/>
      <sz val="10"/>
      <color indexed="8"/>
      <name val="Arial"/>
      <family val="2"/>
    </font>
    <font>
      <b/>
      <vertAlign val="superscript"/>
      <sz val="10"/>
      <color indexed="8"/>
      <name val="Arial"/>
      <family val="2"/>
    </font>
    <font>
      <b/>
      <u/>
      <sz val="10"/>
      <name val="Arial"/>
      <family val="2"/>
    </font>
    <font>
      <b/>
      <vertAlign val="subscript"/>
      <sz val="10"/>
      <name val="Arial"/>
      <family val="2"/>
    </font>
    <font>
      <u/>
      <sz val="10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20" fillId="0" borderId="0" applyFont="0" applyFill="0" applyBorder="0" applyAlignment="0" applyProtection="0"/>
  </cellStyleXfs>
  <cellXfs count="5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right"/>
    </xf>
    <xf numFmtId="0" fontId="5" fillId="0" borderId="1" xfId="0" applyFont="1" applyBorder="1"/>
    <xf numFmtId="0" fontId="5" fillId="0" borderId="0" xfId="0" applyFont="1"/>
    <xf numFmtId="0" fontId="5" fillId="0" borderId="0" xfId="0" applyFont="1" applyAlignment="1">
      <alignment horizontal="left"/>
    </xf>
    <xf numFmtId="164" fontId="5" fillId="0" borderId="0" xfId="0" applyNumberFormat="1" applyFont="1"/>
    <xf numFmtId="0" fontId="6" fillId="0" borderId="0" xfId="0" applyFont="1" applyAlignment="1">
      <alignment horizontal="left" wrapText="1" indent="1"/>
    </xf>
    <xf numFmtId="164" fontId="0" fillId="0" borderId="0" xfId="0" applyNumberFormat="1"/>
    <xf numFmtId="0" fontId="1" fillId="0" borderId="0" xfId="0" applyFont="1" applyAlignment="1">
      <alignment horizontal="left" indent="2"/>
    </xf>
    <xf numFmtId="0" fontId="6" fillId="0" borderId="0" xfId="0" applyFont="1" applyAlignment="1">
      <alignment horizontal="left" indent="1"/>
    </xf>
    <xf numFmtId="2" fontId="7" fillId="0" borderId="0" xfId="0" applyNumberFormat="1" applyFont="1" applyAlignment="1">
      <alignment horizontal="left"/>
    </xf>
    <xf numFmtId="2" fontId="7" fillId="0" borderId="0" xfId="0" applyNumberFormat="1" applyFont="1"/>
    <xf numFmtId="3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 indent="2"/>
    </xf>
    <xf numFmtId="0" fontId="0" fillId="0" borderId="0" xfId="0" applyAlignment="1">
      <alignment horizontal="left"/>
    </xf>
    <xf numFmtId="1" fontId="12" fillId="0" borderId="0" xfId="0" applyNumberFormat="1" applyFont="1" applyAlignment="1">
      <alignment horizontal="left" indent="2"/>
    </xf>
    <xf numFmtId="1" fontId="12" fillId="0" borderId="0" xfId="0" applyNumberFormat="1" applyFont="1" applyAlignment="1">
      <alignment horizontal="left"/>
    </xf>
    <xf numFmtId="0" fontId="5" fillId="0" borderId="0" xfId="0" applyFont="1" applyAlignment="1">
      <alignment horizontal="left" wrapText="1"/>
    </xf>
    <xf numFmtId="164" fontId="5" fillId="0" borderId="0" xfId="0" applyNumberFormat="1" applyFont="1" applyAlignment="1">
      <alignment horizontal="right"/>
    </xf>
    <xf numFmtId="2" fontId="5" fillId="0" borderId="0" xfId="0" applyNumberFormat="1" applyFont="1"/>
    <xf numFmtId="0" fontId="9" fillId="0" borderId="0" xfId="0" applyFont="1" applyAlignment="1">
      <alignment horizontal="left" indent="2"/>
    </xf>
    <xf numFmtId="0" fontId="9" fillId="0" borderId="0" xfId="0" applyFont="1"/>
    <xf numFmtId="0" fontId="19" fillId="0" borderId="0" xfId="0" applyFont="1"/>
    <xf numFmtId="0" fontId="18" fillId="0" borderId="0" xfId="0" applyFont="1"/>
    <xf numFmtId="0" fontId="0" fillId="0" borderId="0" xfId="0" applyFont="1"/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right"/>
    </xf>
    <xf numFmtId="0" fontId="5" fillId="0" borderId="1" xfId="0" applyFont="1" applyBorder="1"/>
    <xf numFmtId="0" fontId="5" fillId="0" borderId="0" xfId="0" applyFont="1"/>
    <xf numFmtId="0" fontId="5" fillId="0" borderId="0" xfId="0" applyFont="1" applyAlignment="1">
      <alignment horizontal="left"/>
    </xf>
    <xf numFmtId="164" fontId="5" fillId="0" borderId="0" xfId="0" applyNumberFormat="1" applyFont="1"/>
    <xf numFmtId="0" fontId="6" fillId="0" borderId="0" xfId="0" applyFont="1" applyAlignment="1">
      <alignment horizontal="left" wrapText="1" indent="1"/>
    </xf>
    <xf numFmtId="164" fontId="0" fillId="0" borderId="0" xfId="0" applyNumberFormat="1"/>
    <xf numFmtId="0" fontId="1" fillId="0" borderId="0" xfId="0" applyFont="1" applyAlignment="1">
      <alignment horizontal="left" indent="2"/>
    </xf>
    <xf numFmtId="0" fontId="6" fillId="0" borderId="0" xfId="0" applyFont="1" applyAlignment="1">
      <alignment horizontal="left" indent="1"/>
    </xf>
    <xf numFmtId="2" fontId="7" fillId="0" borderId="0" xfId="0" applyNumberFormat="1" applyFont="1" applyAlignment="1">
      <alignment horizontal="left"/>
    </xf>
    <xf numFmtId="2" fontId="7" fillId="0" borderId="0" xfId="0" applyNumberFormat="1" applyFont="1"/>
    <xf numFmtId="3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1" fontId="0" fillId="0" borderId="0" xfId="0" applyNumberFormat="1"/>
    <xf numFmtId="168" fontId="0" fillId="0" borderId="0" xfId="0" applyNumberFormat="1"/>
    <xf numFmtId="2" fontId="0" fillId="0" borderId="0" xfId="0" applyNumberFormat="1"/>
    <xf numFmtId="171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VFP%20PROJECTS\NEUD\IMAGES\CANADA_BLK.JPG" TargetMode="External"/><Relationship Id="rId1" Type="http://schemas.openxmlformats.org/officeDocument/2006/relationships/image" Target="file:///C:\VFP%20PROJECTS\NEUD\IMAGES\NRCANLOGOEN.JPG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file:///C:\VFP%20PROJECTS\NEUD\IMAGES\CANADA_BLK.JPG" TargetMode="External"/><Relationship Id="rId1" Type="http://schemas.openxmlformats.org/officeDocument/2006/relationships/image" Target="file:///C:\VFP%20PROJECTS\NEUD\IMAGES\NRCANLOGOEN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438150</xdr:colOff>
      <xdr:row>1</xdr:row>
      <xdr:rowOff>0</xdr:rowOff>
    </xdr:to>
    <xdr:pic>
      <xdr:nvPicPr>
        <xdr:cNvPr id="1025" name="Picture 2">
          <a:extLst>
            <a:ext uri="{FF2B5EF4-FFF2-40B4-BE49-F238E27FC236}">
              <a16:creationId xmlns:a16="http://schemas.microsoft.com/office/drawing/2014/main" id="{2A788D1F-0777-4865-93B7-6AC1A13D6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04825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209550</xdr:colOff>
      <xdr:row>0</xdr:row>
      <xdr:rowOff>152400</xdr:rowOff>
    </xdr:from>
    <xdr:to>
      <xdr:col>23</xdr:col>
      <xdr:colOff>57150</xdr:colOff>
      <xdr:row>0</xdr:row>
      <xdr:rowOff>419100</xdr:rowOff>
    </xdr:to>
    <xdr:pic>
      <xdr:nvPicPr>
        <xdr:cNvPr id="1026" name="Picture 4">
          <a:extLst>
            <a:ext uri="{FF2B5EF4-FFF2-40B4-BE49-F238E27FC236}">
              <a16:creationId xmlns:a16="http://schemas.microsoft.com/office/drawing/2014/main" id="{43712CA6-C097-48EB-A55D-F381CFC52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21100" y="152400"/>
          <a:ext cx="1066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171450</xdr:colOff>
      <xdr:row>3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DB22B672-DF4A-4AD5-A15D-EFA729064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04825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438150</xdr:colOff>
      <xdr:row>0</xdr:row>
      <xdr:rowOff>152400</xdr:rowOff>
    </xdr:from>
    <xdr:to>
      <xdr:col>23</xdr:col>
      <xdr:colOff>276225</xdr:colOff>
      <xdr:row>2</xdr:row>
      <xdr:rowOff>38100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D1620412-A170-4B39-90D4-17EB5A470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0" y="152400"/>
          <a:ext cx="105727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G23" sqref="G23"/>
    </sheetView>
  </sheetViews>
  <sheetFormatPr defaultRowHeight="15" x14ac:dyDescent="0.25"/>
  <cols>
    <col min="1" max="1" width="22.42578125" customWidth="1"/>
    <col min="5" max="5" width="9.42578125" customWidth="1"/>
    <col min="9" max="9" width="9.140625" style="31"/>
    <col min="10" max="10" width="22.28515625" customWidth="1"/>
    <col min="11" max="11" width="11.5703125" customWidth="1"/>
  </cols>
  <sheetData>
    <row r="1" spans="1:11" x14ac:dyDescent="0.25">
      <c r="A1" s="14">
        <v>2018</v>
      </c>
      <c r="B1" t="s">
        <v>28</v>
      </c>
    </row>
    <row r="2" spans="1:11" x14ac:dyDescent="0.25">
      <c r="A2" s="19" t="s">
        <v>5</v>
      </c>
      <c r="B2">
        <f>'secondary energy'!U15*efficiency!U27*0.293071</f>
        <v>4.3615729801956222</v>
      </c>
    </row>
    <row r="3" spans="1:11" x14ac:dyDescent="0.25">
      <c r="A3" s="19" t="s">
        <v>6</v>
      </c>
      <c r="B3">
        <f>'secondary energy'!U16*efficiency!U28*0.293071</f>
        <v>86.32862363633761</v>
      </c>
    </row>
    <row r="5" spans="1:11" x14ac:dyDescent="0.25">
      <c r="A5" s="26" t="s">
        <v>29</v>
      </c>
      <c r="B5">
        <f>SUM(B2:B3)</f>
        <v>90.690196616533228</v>
      </c>
    </row>
    <row r="7" spans="1:11" x14ac:dyDescent="0.25">
      <c r="A7" s="27" t="s">
        <v>30</v>
      </c>
      <c r="B7" s="28">
        <v>2018</v>
      </c>
      <c r="C7">
        <v>2023</v>
      </c>
      <c r="D7" s="27">
        <v>2025</v>
      </c>
      <c r="E7" s="27">
        <v>2030</v>
      </c>
      <c r="F7" s="27">
        <v>2035</v>
      </c>
      <c r="G7" s="27">
        <v>2040</v>
      </c>
      <c r="H7" s="27">
        <v>2045</v>
      </c>
      <c r="I7" s="27">
        <v>2050</v>
      </c>
    </row>
    <row r="8" spans="1:11" x14ac:dyDescent="0.25">
      <c r="A8" s="27" t="s">
        <v>31</v>
      </c>
      <c r="B8" s="29">
        <v>1</v>
      </c>
      <c r="C8">
        <v>1.0743186469040473</v>
      </c>
      <c r="D8">
        <v>1.1068652861962205</v>
      </c>
      <c r="E8">
        <v>1.1799676797964203</v>
      </c>
      <c r="F8">
        <v>1.2445018578560998</v>
      </c>
      <c r="G8">
        <v>1.3009849883605753</v>
      </c>
      <c r="H8">
        <v>1.3513459681199482</v>
      </c>
      <c r="I8">
        <v>1.3975416489705528</v>
      </c>
    </row>
    <row r="9" spans="1:11" x14ac:dyDescent="0.25">
      <c r="A9" s="27" t="s">
        <v>32</v>
      </c>
      <c r="B9" s="29">
        <v>90.690196616533228</v>
      </c>
      <c r="C9" s="31">
        <f>$B$9*C8/$B$8</f>
        <v>97.430169316535995</v>
      </c>
      <c r="D9">
        <f>$B$9*D8/$B$8</f>
        <v>100.38183043315055</v>
      </c>
      <c r="E9">
        <f t="shared" ref="E9:I9" si="0">$B$9*E8/$B$8</f>
        <v>107.01150088189188</v>
      </c>
      <c r="F9">
        <f t="shared" si="0"/>
        <v>112.86411817861058</v>
      </c>
      <c r="G9">
        <f t="shared" si="0"/>
        <v>117.98658438957877</v>
      </c>
      <c r="H9">
        <f t="shared" si="0"/>
        <v>122.55383154575755</v>
      </c>
      <c r="I9">
        <f t="shared" si="0"/>
        <v>126.7433269249335</v>
      </c>
    </row>
    <row r="11" spans="1:11" x14ac:dyDescent="0.25">
      <c r="B11" t="s">
        <v>48</v>
      </c>
      <c r="C11" t="s">
        <v>36</v>
      </c>
      <c r="E11" t="s">
        <v>38</v>
      </c>
    </row>
    <row r="12" spans="1:11" x14ac:dyDescent="0.25">
      <c r="A12" s="27" t="s">
        <v>33</v>
      </c>
      <c r="B12" t="s">
        <v>47</v>
      </c>
      <c r="C12">
        <v>2020</v>
      </c>
      <c r="D12" s="27">
        <v>2023</v>
      </c>
      <c r="E12" t="s">
        <v>40</v>
      </c>
      <c r="F12" t="s">
        <v>39</v>
      </c>
      <c r="G12" t="s">
        <v>46</v>
      </c>
      <c r="J12" t="s">
        <v>53</v>
      </c>
    </row>
    <row r="13" spans="1:11" x14ac:dyDescent="0.25">
      <c r="A13" s="30" t="s">
        <v>34</v>
      </c>
      <c r="B13">
        <v>9</v>
      </c>
      <c r="C13">
        <f>stock!W15</f>
        <v>479.07</v>
      </c>
      <c r="D13">
        <f>$D$16/$C$16*C13</f>
        <v>500.08834341005331</v>
      </c>
      <c r="E13" s="51">
        <f>stock!W31/1000</f>
        <v>9.1720000000000006</v>
      </c>
      <c r="F13" s="52">
        <f>$B$18*E13</f>
        <v>2.6880472120000005E-6</v>
      </c>
      <c r="G13" s="53">
        <f>F13*D13*1000</f>
        <v>1.3442610772570927</v>
      </c>
      <c r="J13">
        <f>G13*$B$19</f>
        <v>42.392617332379679</v>
      </c>
    </row>
    <row r="14" spans="1:11" x14ac:dyDescent="0.25">
      <c r="A14" s="30" t="s">
        <v>35</v>
      </c>
      <c r="B14">
        <v>18</v>
      </c>
      <c r="C14" s="31">
        <f>stock!W16</f>
        <v>4028.4560000000001</v>
      </c>
      <c r="D14" s="31">
        <f>$D$16/$C$16*C14</f>
        <v>4205.1973355465589</v>
      </c>
      <c r="E14" s="51">
        <f>stock!W32/1000</f>
        <v>33.198999999999998</v>
      </c>
      <c r="F14" s="52">
        <f>$B$18*E14</f>
        <v>9.7296641290000017E-6</v>
      </c>
      <c r="G14" s="53">
        <f>F14*D14*1000</f>
        <v>40.915157671033739</v>
      </c>
      <c r="J14" s="31">
        <f>G14*$B$19</f>
        <v>1290.30041231372</v>
      </c>
    </row>
    <row r="15" spans="1:11" x14ac:dyDescent="0.25">
      <c r="K15" s="34" t="s">
        <v>45</v>
      </c>
    </row>
    <row r="16" spans="1:11" x14ac:dyDescent="0.25">
      <c r="A16" t="s">
        <v>37</v>
      </c>
      <c r="C16" s="31">
        <v>1</v>
      </c>
      <c r="D16" s="50">
        <v>1.0438732198009755</v>
      </c>
      <c r="F16" s="34" t="s">
        <v>29</v>
      </c>
      <c r="G16" s="53">
        <f>SUM(G13:G14)</f>
        <v>42.259418748290834</v>
      </c>
      <c r="J16">
        <f>SUM(J13:J14)</f>
        <v>1332.6930296460996</v>
      </c>
      <c r="K16" s="55">
        <f>C9/J16</f>
        <v>7.3107735351785288E-2</v>
      </c>
    </row>
    <row r="18" spans="1:3" x14ac:dyDescent="0.25">
      <c r="A18" s="34" t="s">
        <v>41</v>
      </c>
      <c r="B18" s="31">
        <f>0.293071*1000/1000000000</f>
        <v>2.9307100000000004E-7</v>
      </c>
      <c r="C18" s="31" t="s">
        <v>42</v>
      </c>
    </row>
    <row r="19" spans="1:3" x14ac:dyDescent="0.25">
      <c r="A19" s="34" t="s">
        <v>43</v>
      </c>
      <c r="B19" s="31">
        <f>8760*3600/1000000</f>
        <v>31.536000000000001</v>
      </c>
      <c r="C19" s="31" t="s">
        <v>44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3505C-E4A1-4EDF-84EB-62E2EFB6B045}">
  <dimension ref="A1:V8"/>
  <sheetViews>
    <sheetView workbookViewId="0">
      <selection activeCell="L18" sqref="L18"/>
    </sheetView>
  </sheetViews>
  <sheetFormatPr defaultRowHeight="15" x14ac:dyDescent="0.25"/>
  <cols>
    <col min="1" max="1" width="22.7109375" customWidth="1"/>
  </cols>
  <sheetData>
    <row r="1" spans="1:22" x14ac:dyDescent="0.25">
      <c r="B1" cm="1">
        <f t="array" ref="B1:V1">efficiency!C11:W11</f>
        <v>2000</v>
      </c>
      <c r="C1">
        <v>2001</v>
      </c>
      <c r="D1">
        <v>2002</v>
      </c>
      <c r="E1">
        <v>2003</v>
      </c>
      <c r="F1">
        <v>2004</v>
      </c>
      <c r="G1">
        <v>2005</v>
      </c>
      <c r="H1">
        <v>2006</v>
      </c>
      <c r="I1">
        <v>2007</v>
      </c>
      <c r="J1">
        <v>2008</v>
      </c>
      <c r="K1">
        <v>2009</v>
      </c>
      <c r="L1">
        <v>2010</v>
      </c>
      <c r="M1">
        <v>2011</v>
      </c>
      <c r="N1">
        <v>2012</v>
      </c>
      <c r="O1">
        <v>2013</v>
      </c>
      <c r="P1">
        <v>2014</v>
      </c>
      <c r="Q1">
        <v>2015</v>
      </c>
      <c r="R1">
        <v>2016</v>
      </c>
      <c r="S1">
        <v>2017</v>
      </c>
      <c r="T1">
        <v>2018</v>
      </c>
      <c r="U1">
        <v>2019</v>
      </c>
      <c r="V1">
        <v>2020</v>
      </c>
    </row>
    <row r="2" spans="1:22" x14ac:dyDescent="0.25">
      <c r="A2" s="54" t="str" cm="1">
        <f t="array" ref="A2:V3">efficiency!B23:W24</f>
        <v>Room (EER)1</v>
      </c>
      <c r="B2">
        <v>9.35</v>
      </c>
      <c r="C2">
        <v>9.35</v>
      </c>
      <c r="D2">
        <v>9.35</v>
      </c>
      <c r="E2">
        <v>9.35</v>
      </c>
      <c r="F2">
        <v>9.35</v>
      </c>
      <c r="G2">
        <v>9.35</v>
      </c>
      <c r="H2">
        <v>10.9</v>
      </c>
      <c r="I2">
        <v>10.9</v>
      </c>
      <c r="J2">
        <v>10.9</v>
      </c>
      <c r="K2">
        <v>10.9</v>
      </c>
      <c r="L2">
        <v>12</v>
      </c>
      <c r="M2">
        <v>12</v>
      </c>
      <c r="N2">
        <v>12</v>
      </c>
      <c r="O2">
        <v>12</v>
      </c>
      <c r="P2">
        <v>12</v>
      </c>
      <c r="Q2">
        <v>12</v>
      </c>
      <c r="R2">
        <v>12</v>
      </c>
      <c r="S2">
        <v>12</v>
      </c>
      <c r="T2">
        <v>12</v>
      </c>
      <c r="U2">
        <v>12</v>
      </c>
      <c r="V2">
        <v>12</v>
      </c>
    </row>
    <row r="3" spans="1:22" x14ac:dyDescent="0.25">
      <c r="A3" t="str">
        <v>Central (SEER)2</v>
      </c>
      <c r="B3">
        <v>10.3</v>
      </c>
      <c r="C3">
        <v>10.3</v>
      </c>
      <c r="D3">
        <v>10.3</v>
      </c>
      <c r="E3">
        <v>10.3</v>
      </c>
      <c r="F3">
        <v>10.3</v>
      </c>
      <c r="G3">
        <v>10.3</v>
      </c>
      <c r="H3">
        <v>13</v>
      </c>
      <c r="I3">
        <v>13</v>
      </c>
      <c r="J3">
        <v>13</v>
      </c>
      <c r="K3">
        <v>13</v>
      </c>
      <c r="L3">
        <v>13</v>
      </c>
      <c r="M3">
        <v>13</v>
      </c>
      <c r="N3">
        <v>13</v>
      </c>
      <c r="O3">
        <v>13</v>
      </c>
      <c r="P3">
        <v>13</v>
      </c>
      <c r="Q3">
        <v>13</v>
      </c>
      <c r="R3">
        <v>13</v>
      </c>
      <c r="S3">
        <v>13</v>
      </c>
      <c r="T3">
        <v>13</v>
      </c>
      <c r="U3">
        <v>13</v>
      </c>
      <c r="V3">
        <v>13</v>
      </c>
    </row>
    <row r="5" spans="1:22" x14ac:dyDescent="0.25">
      <c r="A5" t="s">
        <v>49</v>
      </c>
      <c r="B5">
        <f>B2/$B$8</f>
        <v>2.7402158176393701</v>
      </c>
      <c r="C5" s="31">
        <f t="shared" ref="C5:V6" si="0">C2/$B$8</f>
        <v>2.7402158176393701</v>
      </c>
      <c r="D5" s="31">
        <f t="shared" si="0"/>
        <v>2.7402158176393701</v>
      </c>
      <c r="E5" s="31">
        <f t="shared" si="0"/>
        <v>2.7402158176393701</v>
      </c>
      <c r="F5" s="31">
        <f t="shared" si="0"/>
        <v>2.7402158176393701</v>
      </c>
      <c r="G5" s="31">
        <f t="shared" si="0"/>
        <v>2.7402158176393701</v>
      </c>
      <c r="H5" s="31">
        <f t="shared" si="0"/>
        <v>3.1944761938255759</v>
      </c>
      <c r="I5" s="31">
        <f t="shared" si="0"/>
        <v>3.1944761938255759</v>
      </c>
      <c r="J5" s="31">
        <f t="shared" si="0"/>
        <v>3.1944761938255759</v>
      </c>
      <c r="K5" s="31">
        <f t="shared" si="0"/>
        <v>3.1944761938255759</v>
      </c>
      <c r="L5" s="31">
        <f t="shared" si="0"/>
        <v>3.5168545253125605</v>
      </c>
      <c r="M5" s="31">
        <f t="shared" si="0"/>
        <v>3.5168545253125605</v>
      </c>
      <c r="N5" s="31">
        <f t="shared" si="0"/>
        <v>3.5168545253125605</v>
      </c>
      <c r="O5" s="31">
        <f t="shared" si="0"/>
        <v>3.5168545253125605</v>
      </c>
      <c r="P5" s="31">
        <f t="shared" si="0"/>
        <v>3.5168545253125605</v>
      </c>
      <c r="Q5" s="31">
        <f t="shared" si="0"/>
        <v>3.5168545253125605</v>
      </c>
      <c r="R5" s="31">
        <f t="shared" si="0"/>
        <v>3.5168545253125605</v>
      </c>
      <c r="S5" s="31">
        <f t="shared" si="0"/>
        <v>3.5168545253125605</v>
      </c>
      <c r="T5" s="31">
        <f t="shared" si="0"/>
        <v>3.5168545253125605</v>
      </c>
      <c r="U5" s="31">
        <f t="shared" si="0"/>
        <v>3.5168545253125605</v>
      </c>
      <c r="V5" s="31">
        <f t="shared" si="0"/>
        <v>3.5168545253125605</v>
      </c>
    </row>
    <row r="6" spans="1:22" x14ac:dyDescent="0.25">
      <c r="A6" t="s">
        <v>50</v>
      </c>
      <c r="B6" s="31">
        <f>B3/$B$8</f>
        <v>3.018633467559948</v>
      </c>
      <c r="C6" s="31">
        <f t="shared" si="0"/>
        <v>3.018633467559948</v>
      </c>
      <c r="D6" s="31">
        <f t="shared" si="0"/>
        <v>3.018633467559948</v>
      </c>
      <c r="E6" s="31">
        <f t="shared" si="0"/>
        <v>3.018633467559948</v>
      </c>
      <c r="F6" s="31">
        <f t="shared" si="0"/>
        <v>3.018633467559948</v>
      </c>
      <c r="G6" s="31">
        <f t="shared" si="0"/>
        <v>3.018633467559948</v>
      </c>
      <c r="H6" s="31">
        <f t="shared" si="0"/>
        <v>3.8099257357552738</v>
      </c>
      <c r="I6" s="31">
        <f t="shared" si="0"/>
        <v>3.8099257357552738</v>
      </c>
      <c r="J6" s="31">
        <f t="shared" si="0"/>
        <v>3.8099257357552738</v>
      </c>
      <c r="K6" s="31">
        <f t="shared" si="0"/>
        <v>3.8099257357552738</v>
      </c>
      <c r="L6" s="31">
        <f t="shared" si="0"/>
        <v>3.8099257357552738</v>
      </c>
      <c r="M6" s="31">
        <f t="shared" si="0"/>
        <v>3.8099257357552738</v>
      </c>
      <c r="N6" s="31">
        <f t="shared" si="0"/>
        <v>3.8099257357552738</v>
      </c>
      <c r="O6" s="31">
        <f t="shared" si="0"/>
        <v>3.8099257357552738</v>
      </c>
      <c r="P6" s="31">
        <f t="shared" si="0"/>
        <v>3.8099257357552738</v>
      </c>
      <c r="Q6" s="31">
        <f t="shared" si="0"/>
        <v>3.8099257357552738</v>
      </c>
      <c r="R6" s="31">
        <f t="shared" si="0"/>
        <v>3.8099257357552738</v>
      </c>
      <c r="S6" s="31">
        <f t="shared" si="0"/>
        <v>3.8099257357552738</v>
      </c>
      <c r="T6" s="31">
        <f t="shared" si="0"/>
        <v>3.8099257357552738</v>
      </c>
      <c r="U6" s="31">
        <f t="shared" si="0"/>
        <v>3.8099257357552738</v>
      </c>
      <c r="V6" s="31">
        <f t="shared" si="0"/>
        <v>3.8099257357552738</v>
      </c>
    </row>
    <row r="8" spans="1:22" x14ac:dyDescent="0.25">
      <c r="A8" s="34" t="s">
        <v>51</v>
      </c>
      <c r="B8">
        <v>3.41214</v>
      </c>
      <c r="C8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57"/>
  <sheetViews>
    <sheetView topLeftCell="A4" zoomScale="80" zoomScaleNormal="80" workbookViewId="0">
      <selection activeCell="B37" sqref="B37"/>
    </sheetView>
  </sheetViews>
  <sheetFormatPr defaultRowHeight="15" x14ac:dyDescent="0.25"/>
  <cols>
    <col min="1" max="1" width="3" customWidth="1"/>
    <col min="2" max="2" width="45.28515625" style="1" customWidth="1"/>
    <col min="3" max="15" width="10.42578125" customWidth="1"/>
    <col min="16" max="17" width="10.28515625" customWidth="1"/>
    <col min="18" max="19" width="9.5703125" customWidth="1"/>
    <col min="20" max="20" width="10.42578125" customWidth="1"/>
  </cols>
  <sheetData>
    <row r="1" spans="1:23" ht="45.2" customHeight="1" x14ac:dyDescent="0.25"/>
    <row r="2" spans="1:23" ht="34.5" customHeight="1" x14ac:dyDescent="0.25">
      <c r="B2"/>
    </row>
    <row r="5" spans="1:23" ht="13.5" customHeight="1" x14ac:dyDescent="0.25">
      <c r="A5" s="2" t="s">
        <v>0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23" ht="13.5" customHeight="1" x14ac:dyDescent="0.25">
      <c r="A6" s="2"/>
      <c r="F6" s="3"/>
      <c r="G6" s="3"/>
      <c r="H6" s="3"/>
      <c r="I6" s="3"/>
      <c r="J6" s="3"/>
      <c r="K6" s="3"/>
      <c r="L6" s="3"/>
      <c r="M6" s="3"/>
      <c r="N6" s="3"/>
      <c r="O6" s="3"/>
    </row>
    <row r="7" spans="1:23" ht="16.5" customHeight="1" x14ac:dyDescent="0.25">
      <c r="A7" s="4" t="s">
        <v>1</v>
      </c>
      <c r="C7" s="3"/>
      <c r="D7" s="3"/>
      <c r="E7" s="3"/>
    </row>
    <row r="8" spans="1:23" s="5" customFormat="1" ht="13.5" customHeight="1" x14ac:dyDescent="0.25">
      <c r="A8" s="4" t="s">
        <v>2</v>
      </c>
      <c r="B8" s="1"/>
    </row>
    <row r="9" spans="1:23" ht="13.5" customHeight="1" x14ac:dyDescent="0.25">
      <c r="A9" s="4"/>
      <c r="C9" s="6"/>
      <c r="D9" s="6"/>
    </row>
    <row r="10" spans="1:23" ht="13.5" customHeight="1" x14ac:dyDescent="0.25"/>
    <row r="11" spans="1:23" ht="13.5" customHeight="1" thickBot="1" x14ac:dyDescent="0.3">
      <c r="C11" s="7">
        <v>2000</v>
      </c>
      <c r="D11" s="7">
        <v>2001</v>
      </c>
      <c r="E11" s="7">
        <v>2002</v>
      </c>
      <c r="F11" s="7">
        <v>2003</v>
      </c>
      <c r="G11" s="7">
        <v>2004</v>
      </c>
      <c r="H11" s="7">
        <v>2005</v>
      </c>
      <c r="I11" s="7">
        <v>2006</v>
      </c>
      <c r="J11" s="7">
        <v>2007</v>
      </c>
      <c r="K11" s="7">
        <v>2008</v>
      </c>
      <c r="L11" s="7">
        <v>2009</v>
      </c>
      <c r="M11" s="7">
        <v>2010</v>
      </c>
      <c r="N11" s="7">
        <v>2011</v>
      </c>
      <c r="O11" s="7">
        <v>2012</v>
      </c>
      <c r="P11" s="7">
        <v>2013</v>
      </c>
      <c r="Q11" s="7">
        <v>2014</v>
      </c>
      <c r="R11" s="7">
        <v>2015</v>
      </c>
      <c r="S11" s="7">
        <v>2016</v>
      </c>
      <c r="T11" s="7">
        <v>2017</v>
      </c>
      <c r="U11" s="7">
        <v>2018</v>
      </c>
      <c r="V11" s="7">
        <v>2019</v>
      </c>
      <c r="W11" s="7">
        <v>2020</v>
      </c>
    </row>
    <row r="12" spans="1:23" ht="13.5" customHeight="1" x14ac:dyDescent="0.25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1:23" s="8" customFormat="1" ht="13.5" customHeight="1" x14ac:dyDescent="0.2">
      <c r="B13" s="9" t="s">
        <v>3</v>
      </c>
      <c r="C13" s="10">
        <v>2689</v>
      </c>
      <c r="D13" s="10">
        <v>2783</v>
      </c>
      <c r="E13" s="10">
        <v>2905</v>
      </c>
      <c r="F13" s="10">
        <v>3006</v>
      </c>
      <c r="G13" s="10">
        <v>3187</v>
      </c>
      <c r="H13" s="10">
        <v>3338</v>
      </c>
      <c r="I13" s="10">
        <v>3599.9839999999999</v>
      </c>
      <c r="J13" s="10">
        <v>3606.5050000000001</v>
      </c>
      <c r="K13" s="10">
        <v>3762</v>
      </c>
      <c r="L13" s="10">
        <v>3767.46</v>
      </c>
      <c r="M13" s="10">
        <v>3848.4679999999998</v>
      </c>
      <c r="N13" s="10">
        <v>3928.9450000000002</v>
      </c>
      <c r="O13" s="10">
        <v>3972.1790000000001</v>
      </c>
      <c r="P13" s="10">
        <v>4052.9229999999998</v>
      </c>
      <c r="Q13" s="10">
        <v>4114.7790000000005</v>
      </c>
      <c r="R13" s="10">
        <v>4176.7669999999998</v>
      </c>
      <c r="S13" s="10">
        <v>4248.067</v>
      </c>
      <c r="T13" s="10">
        <v>4309.9889999999996</v>
      </c>
      <c r="U13" s="10">
        <v>4376.6329999999998</v>
      </c>
      <c r="V13" s="10">
        <v>4443.2430000000004</v>
      </c>
      <c r="W13" s="10">
        <v>4507.5259999999998</v>
      </c>
    </row>
    <row r="14" spans="1:23" ht="13.5" customHeight="1" x14ac:dyDescent="0.25">
      <c r="B14" s="11" t="s">
        <v>4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</row>
    <row r="15" spans="1:23" ht="13.5" customHeight="1" x14ac:dyDescent="0.25">
      <c r="B15" s="13" t="s">
        <v>5</v>
      </c>
      <c r="C15" s="12">
        <v>751</v>
      </c>
      <c r="D15" s="12">
        <v>776</v>
      </c>
      <c r="E15" s="12">
        <v>845</v>
      </c>
      <c r="F15" s="12">
        <v>796</v>
      </c>
      <c r="G15" s="12">
        <v>790</v>
      </c>
      <c r="H15" s="12">
        <v>827</v>
      </c>
      <c r="I15" s="12">
        <v>985.25900000000001</v>
      </c>
      <c r="J15" s="12">
        <v>965.25599999999997</v>
      </c>
      <c r="K15" s="12">
        <v>944</v>
      </c>
      <c r="L15" s="12">
        <v>881.21900000000005</v>
      </c>
      <c r="M15" s="12">
        <v>860.59</v>
      </c>
      <c r="N15" s="12">
        <v>818.57100000000003</v>
      </c>
      <c r="O15" s="12">
        <v>776.86599999999999</v>
      </c>
      <c r="P15" s="12">
        <v>745.54300000000001</v>
      </c>
      <c r="Q15" s="12">
        <v>703.68100000000004</v>
      </c>
      <c r="R15" s="12">
        <v>667.16600000000005</v>
      </c>
      <c r="S15" s="12">
        <v>630.57399999999996</v>
      </c>
      <c r="T15" s="12">
        <v>591.38499999999999</v>
      </c>
      <c r="U15" s="12">
        <v>554.83199999999999</v>
      </c>
      <c r="V15" s="12">
        <v>516.94100000000003</v>
      </c>
      <c r="W15" s="12">
        <v>479.07</v>
      </c>
    </row>
    <row r="16" spans="1:23" ht="13.5" customHeight="1" x14ac:dyDescent="0.25">
      <c r="B16" s="13" t="s">
        <v>6</v>
      </c>
      <c r="C16" s="12">
        <v>1938</v>
      </c>
      <c r="D16" s="12">
        <v>2007</v>
      </c>
      <c r="E16" s="12">
        <v>2060</v>
      </c>
      <c r="F16" s="12">
        <v>2210</v>
      </c>
      <c r="G16" s="12">
        <v>2397</v>
      </c>
      <c r="H16" s="12">
        <v>2511</v>
      </c>
      <c r="I16" s="12">
        <v>2614.7249999999999</v>
      </c>
      <c r="J16" s="12">
        <v>2641.2489999999998</v>
      </c>
      <c r="K16" s="12">
        <v>2818</v>
      </c>
      <c r="L16" s="12">
        <v>2886.241</v>
      </c>
      <c r="M16" s="12">
        <v>2987.8780000000002</v>
      </c>
      <c r="N16" s="12">
        <v>3110.3739999999998</v>
      </c>
      <c r="O16" s="12">
        <v>3195.3130000000001</v>
      </c>
      <c r="P16" s="12">
        <v>3307.38</v>
      </c>
      <c r="Q16" s="12">
        <v>3411.098</v>
      </c>
      <c r="R16" s="12">
        <v>3509.6010000000001</v>
      </c>
      <c r="S16" s="12">
        <v>3617.4929999999999</v>
      </c>
      <c r="T16" s="12">
        <v>3718.6039999999998</v>
      </c>
      <c r="U16" s="12">
        <v>3821.8009999999999</v>
      </c>
      <c r="V16" s="12">
        <v>3926.3020000000001</v>
      </c>
      <c r="W16" s="12">
        <v>4028.4560000000001</v>
      </c>
    </row>
    <row r="17" spans="2:23" ht="13.5" customHeight="1" x14ac:dyDescent="0.25"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</row>
    <row r="18" spans="2:23" ht="13.5" customHeight="1" x14ac:dyDescent="0.25">
      <c r="B18" s="14" t="s">
        <v>7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</row>
    <row r="19" spans="2:23" ht="13.5" customHeight="1" x14ac:dyDescent="0.25">
      <c r="B19" s="13" t="s">
        <v>5</v>
      </c>
      <c r="C19" s="12">
        <v>27.928598000000001</v>
      </c>
      <c r="D19" s="12">
        <v>27.883579000000001</v>
      </c>
      <c r="E19" s="12">
        <v>29.087779999999999</v>
      </c>
      <c r="F19" s="12">
        <v>26.480373</v>
      </c>
      <c r="G19" s="12">
        <v>24.788201999999998</v>
      </c>
      <c r="H19" s="12">
        <v>24.775314999999999</v>
      </c>
      <c r="I19" s="12">
        <v>27.368427000000001</v>
      </c>
      <c r="J19" s="12">
        <v>26.764305</v>
      </c>
      <c r="K19" s="12">
        <v>25.093036000000001</v>
      </c>
      <c r="L19" s="12">
        <v>23.390267999999999</v>
      </c>
      <c r="M19" s="12">
        <v>22.361885000000001</v>
      </c>
      <c r="N19" s="12">
        <v>20.834371999999998</v>
      </c>
      <c r="O19" s="12">
        <v>19.557679</v>
      </c>
      <c r="P19" s="12">
        <v>18.395192999999999</v>
      </c>
      <c r="Q19" s="12">
        <v>17.101306999999998</v>
      </c>
      <c r="R19" s="12">
        <v>15.973264</v>
      </c>
      <c r="S19" s="12">
        <v>14.843787000000001</v>
      </c>
      <c r="T19" s="12">
        <v>13.721265000000001</v>
      </c>
      <c r="U19" s="12">
        <v>12.677142</v>
      </c>
      <c r="V19" s="12">
        <v>11.634318</v>
      </c>
      <c r="W19" s="12">
        <v>10.628225</v>
      </c>
    </row>
    <row r="20" spans="2:23" ht="13.5" customHeight="1" x14ac:dyDescent="0.25">
      <c r="B20" s="13" t="s">
        <v>6</v>
      </c>
      <c r="C20" s="12">
        <v>72.071402000000006</v>
      </c>
      <c r="D20" s="12">
        <v>72.116421000000003</v>
      </c>
      <c r="E20" s="12">
        <v>70.912220000000005</v>
      </c>
      <c r="F20" s="12">
        <v>73.519627</v>
      </c>
      <c r="G20" s="12">
        <v>75.211798000000002</v>
      </c>
      <c r="H20" s="12">
        <v>75.224684999999994</v>
      </c>
      <c r="I20" s="12">
        <v>72.631573000000003</v>
      </c>
      <c r="J20" s="12">
        <v>73.235695000000007</v>
      </c>
      <c r="K20" s="12">
        <v>74.906964000000002</v>
      </c>
      <c r="L20" s="12">
        <v>76.609731999999994</v>
      </c>
      <c r="M20" s="12">
        <v>77.638114999999999</v>
      </c>
      <c r="N20" s="12">
        <v>79.165627999999998</v>
      </c>
      <c r="O20" s="12">
        <v>80.442321000000007</v>
      </c>
      <c r="P20" s="12">
        <v>81.604806999999994</v>
      </c>
      <c r="Q20" s="12">
        <v>82.898692999999994</v>
      </c>
      <c r="R20" s="12">
        <v>84.026736</v>
      </c>
      <c r="S20" s="12">
        <v>85.156212999999994</v>
      </c>
      <c r="T20" s="12">
        <v>86.278734999999998</v>
      </c>
      <c r="U20" s="12">
        <v>87.322857999999997</v>
      </c>
      <c r="V20" s="12">
        <v>88.365682000000007</v>
      </c>
      <c r="W20" s="12">
        <v>89.371775</v>
      </c>
    </row>
    <row r="21" spans="2:23" ht="13.5" customHeight="1" x14ac:dyDescent="0.25"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</row>
    <row r="22" spans="2:23" ht="13.5" customHeight="1" x14ac:dyDescent="0.25">
      <c r="B22" s="15" t="s">
        <v>8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</row>
    <row r="23" spans="2:23" ht="13.5" customHeight="1" x14ac:dyDescent="0.25">
      <c r="B23" s="13" t="s">
        <v>9</v>
      </c>
      <c r="C23" s="12">
        <v>9.35</v>
      </c>
      <c r="D23" s="12">
        <v>9.35</v>
      </c>
      <c r="E23" s="12">
        <v>9.35</v>
      </c>
      <c r="F23" s="12">
        <v>9.35</v>
      </c>
      <c r="G23" s="12">
        <v>9.35</v>
      </c>
      <c r="H23" s="12">
        <v>9.35</v>
      </c>
      <c r="I23" s="12">
        <v>10.9</v>
      </c>
      <c r="J23" s="12">
        <v>10.9</v>
      </c>
      <c r="K23" s="12">
        <v>10.9</v>
      </c>
      <c r="L23" s="12">
        <v>10.9</v>
      </c>
      <c r="M23" s="12">
        <v>12</v>
      </c>
      <c r="N23" s="12">
        <v>12</v>
      </c>
      <c r="O23" s="12">
        <v>12</v>
      </c>
      <c r="P23" s="12">
        <v>12</v>
      </c>
      <c r="Q23" s="12">
        <v>12</v>
      </c>
      <c r="R23" s="12">
        <v>12</v>
      </c>
      <c r="S23" s="12">
        <v>12</v>
      </c>
      <c r="T23" s="12">
        <v>12</v>
      </c>
      <c r="U23" s="12">
        <v>12</v>
      </c>
      <c r="V23" s="12">
        <v>12</v>
      </c>
      <c r="W23" s="12">
        <v>12</v>
      </c>
    </row>
    <row r="24" spans="2:23" ht="13.5" customHeight="1" x14ac:dyDescent="0.25">
      <c r="B24" s="13" t="s">
        <v>10</v>
      </c>
      <c r="C24" s="12">
        <v>10.3</v>
      </c>
      <c r="D24" s="12">
        <v>10.3</v>
      </c>
      <c r="E24" s="12">
        <v>10.3</v>
      </c>
      <c r="F24" s="12">
        <v>10.3</v>
      </c>
      <c r="G24" s="12">
        <v>10.3</v>
      </c>
      <c r="H24" s="12">
        <v>10.3</v>
      </c>
      <c r="I24" s="12">
        <v>13</v>
      </c>
      <c r="J24" s="12">
        <v>13</v>
      </c>
      <c r="K24" s="12">
        <v>13</v>
      </c>
      <c r="L24" s="12">
        <v>13</v>
      </c>
      <c r="M24" s="12">
        <v>13</v>
      </c>
      <c r="N24" s="12">
        <v>13</v>
      </c>
      <c r="O24" s="12">
        <v>13</v>
      </c>
      <c r="P24" s="12">
        <v>13</v>
      </c>
      <c r="Q24" s="12">
        <v>13</v>
      </c>
      <c r="R24" s="12">
        <v>13</v>
      </c>
      <c r="S24" s="12">
        <v>13</v>
      </c>
      <c r="T24" s="12">
        <v>13</v>
      </c>
      <c r="U24" s="12">
        <v>13</v>
      </c>
      <c r="V24" s="12">
        <v>13</v>
      </c>
      <c r="W24" s="12">
        <v>13</v>
      </c>
    </row>
    <row r="25" spans="2:23" ht="13.5" customHeight="1" x14ac:dyDescent="0.25">
      <c r="B25" s="15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</row>
    <row r="26" spans="2:23" ht="13.5" customHeight="1" x14ac:dyDescent="0.25">
      <c r="B26" s="16" t="s">
        <v>11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</row>
    <row r="27" spans="2:23" ht="13.5" customHeight="1" x14ac:dyDescent="0.25">
      <c r="B27" s="13" t="s">
        <v>9</v>
      </c>
      <c r="C27" s="12">
        <v>8.254899</v>
      </c>
      <c r="D27" s="12">
        <v>8.4073619999999991</v>
      </c>
      <c r="E27" s="12">
        <v>8.5724540000000005</v>
      </c>
      <c r="F27" s="12">
        <v>8.7537540000000007</v>
      </c>
      <c r="G27" s="12">
        <v>8.9275710000000004</v>
      </c>
      <c r="H27" s="12">
        <v>9.0872240000000009</v>
      </c>
      <c r="I27" s="12">
        <v>9.4962630000000008</v>
      </c>
      <c r="J27" s="12">
        <v>9.7930130000000002</v>
      </c>
      <c r="K27" s="12">
        <v>9.9979700000000005</v>
      </c>
      <c r="L27" s="12">
        <v>10.143787</v>
      </c>
      <c r="M27" s="12">
        <v>10.411020000000001</v>
      </c>
      <c r="N27" s="12">
        <v>10.646141999999999</v>
      </c>
      <c r="O27" s="12">
        <v>10.847928</v>
      </c>
      <c r="P27" s="12">
        <v>11.018858</v>
      </c>
      <c r="Q27" s="12">
        <v>11.163881</v>
      </c>
      <c r="R27" s="12">
        <v>11.287236999999999</v>
      </c>
      <c r="S27" s="12">
        <v>11.394584999999999</v>
      </c>
      <c r="T27" s="12">
        <v>11.493143</v>
      </c>
      <c r="U27" s="12">
        <v>11.586477</v>
      </c>
      <c r="V27" s="12">
        <v>11.674761</v>
      </c>
      <c r="W27" s="12">
        <v>11.755246</v>
      </c>
    </row>
    <row r="28" spans="2:23" ht="13.5" customHeight="1" x14ac:dyDescent="0.25">
      <c r="B28" s="13" t="s">
        <v>10</v>
      </c>
      <c r="C28" s="12">
        <v>9.5897089999999992</v>
      </c>
      <c r="D28" s="12">
        <v>9.6586390000000009</v>
      </c>
      <c r="E28" s="12">
        <v>9.7456560000000003</v>
      </c>
      <c r="F28" s="12">
        <v>9.8394600000000008</v>
      </c>
      <c r="G28" s="12">
        <v>9.9334860000000003</v>
      </c>
      <c r="H28" s="12">
        <v>10.030915</v>
      </c>
      <c r="I28" s="12">
        <v>10.273657999999999</v>
      </c>
      <c r="J28" s="12">
        <v>10.497527</v>
      </c>
      <c r="K28" s="12">
        <v>10.704959000000001</v>
      </c>
      <c r="L28" s="12">
        <v>10.877649</v>
      </c>
      <c r="M28" s="12">
        <v>11.055011</v>
      </c>
      <c r="N28" s="12">
        <v>11.219061999999999</v>
      </c>
      <c r="O28" s="12">
        <v>11.404553999999999</v>
      </c>
      <c r="P28" s="12">
        <v>11.579781000000001</v>
      </c>
      <c r="Q28" s="12">
        <v>11.734743999999999</v>
      </c>
      <c r="R28" s="12">
        <v>11.914078999999999</v>
      </c>
      <c r="S28" s="12">
        <v>12.101099</v>
      </c>
      <c r="T28" s="12">
        <v>12.287822999999999</v>
      </c>
      <c r="U28" s="12">
        <v>12.483280000000001</v>
      </c>
      <c r="V28" s="12">
        <v>12.667294999999999</v>
      </c>
      <c r="W28" s="12">
        <v>12.824119</v>
      </c>
    </row>
    <row r="29" spans="2:23" ht="13.5" customHeight="1" x14ac:dyDescent="0.25">
      <c r="B29" s="9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</row>
    <row r="30" spans="2:23" ht="13.5" customHeight="1" x14ac:dyDescent="0.25">
      <c r="B30" s="8" t="s">
        <v>12</v>
      </c>
    </row>
    <row r="31" spans="2:23" ht="13.5" customHeight="1" x14ac:dyDescent="0.25">
      <c r="B31" s="13" t="s">
        <v>5</v>
      </c>
      <c r="C31" s="17">
        <v>9898</v>
      </c>
      <c r="D31" s="17">
        <v>9829</v>
      </c>
      <c r="E31" s="17">
        <v>9797</v>
      </c>
      <c r="F31" s="17">
        <v>9717</v>
      </c>
      <c r="G31" s="17">
        <v>9531</v>
      </c>
      <c r="H31" s="17">
        <v>9345</v>
      </c>
      <c r="I31" s="17">
        <v>9181</v>
      </c>
      <c r="J31" s="17">
        <v>9015</v>
      </c>
      <c r="K31" s="17">
        <v>9048</v>
      </c>
      <c r="L31" s="17">
        <v>9064</v>
      </c>
      <c r="M31" s="17">
        <v>9086</v>
      </c>
      <c r="N31" s="17">
        <v>9080</v>
      </c>
      <c r="O31" s="17">
        <v>9090</v>
      </c>
      <c r="P31" s="17">
        <v>9101</v>
      </c>
      <c r="Q31" s="17">
        <v>9111</v>
      </c>
      <c r="R31" s="17">
        <v>9121</v>
      </c>
      <c r="S31" s="17">
        <v>9132</v>
      </c>
      <c r="T31" s="17">
        <v>9142</v>
      </c>
      <c r="U31" s="17">
        <v>9152</v>
      </c>
      <c r="V31" s="17">
        <v>9162</v>
      </c>
      <c r="W31" s="17">
        <v>9172</v>
      </c>
    </row>
    <row r="32" spans="2:23" ht="13.5" customHeight="1" x14ac:dyDescent="0.25">
      <c r="B32" s="13" t="s">
        <v>6</v>
      </c>
      <c r="C32" s="17">
        <v>33466</v>
      </c>
      <c r="D32" s="17">
        <v>33624</v>
      </c>
      <c r="E32" s="17">
        <v>33768</v>
      </c>
      <c r="F32" s="17">
        <v>33919</v>
      </c>
      <c r="G32" s="17">
        <v>33389</v>
      </c>
      <c r="H32" s="17">
        <v>32873</v>
      </c>
      <c r="I32" s="17">
        <v>32372</v>
      </c>
      <c r="J32" s="17">
        <v>31873</v>
      </c>
      <c r="K32" s="17">
        <v>31872</v>
      </c>
      <c r="L32" s="17">
        <v>31884</v>
      </c>
      <c r="M32" s="17">
        <v>31886</v>
      </c>
      <c r="N32" s="17">
        <v>33236</v>
      </c>
      <c r="O32" s="17">
        <v>33225</v>
      </c>
      <c r="P32" s="17">
        <v>33225</v>
      </c>
      <c r="Q32" s="17">
        <v>33220</v>
      </c>
      <c r="R32" s="17">
        <v>33215</v>
      </c>
      <c r="S32" s="17">
        <v>33213</v>
      </c>
      <c r="T32" s="17">
        <v>33208</v>
      </c>
      <c r="U32" s="17">
        <v>33205</v>
      </c>
      <c r="V32" s="17">
        <v>33202</v>
      </c>
      <c r="W32" s="17">
        <v>33199</v>
      </c>
    </row>
    <row r="33" spans="1:15" ht="13.5" customHeight="1" x14ac:dyDescent="0.25">
      <c r="B33" s="9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</row>
    <row r="34" spans="1:15" ht="13.5" customHeight="1" x14ac:dyDescent="0.25">
      <c r="A34" t="s">
        <v>13</v>
      </c>
      <c r="B34"/>
    </row>
    <row r="35" spans="1:15" ht="13.5" customHeight="1" x14ac:dyDescent="0.25">
      <c r="A35" t="s">
        <v>14</v>
      </c>
      <c r="B35"/>
    </row>
    <row r="36" spans="1:15" ht="13.5" customHeight="1" x14ac:dyDescent="0.25">
      <c r="B36"/>
    </row>
    <row r="37" spans="1:15" ht="13.5" customHeight="1" x14ac:dyDescent="0.25"/>
    <row r="38" spans="1:15" ht="13.5" customHeight="1" x14ac:dyDescent="0.25"/>
    <row r="39" spans="1:15" ht="13.5" customHeight="1" x14ac:dyDescent="0.25">
      <c r="B39" s="9"/>
    </row>
    <row r="40" spans="1:15" ht="13.5" customHeight="1" x14ac:dyDescent="0.25">
      <c r="B40" s="9"/>
    </row>
    <row r="41" spans="1:15" ht="13.5" customHeight="1" x14ac:dyDescent="0.25"/>
    <row r="42" spans="1:15" ht="13.5" customHeight="1" x14ac:dyDescent="0.25"/>
    <row r="43" spans="1:15" ht="13.5" customHeight="1" x14ac:dyDescent="0.25"/>
    <row r="44" spans="1:15" ht="13.5" customHeight="1" x14ac:dyDescent="0.25">
      <c r="B44" s="9"/>
    </row>
    <row r="45" spans="1:15" ht="13.5" customHeight="1" x14ac:dyDescent="0.25"/>
    <row r="46" spans="1:15" ht="13.5" customHeight="1" x14ac:dyDescent="0.25"/>
    <row r="47" spans="1:15" ht="13.5" customHeight="1" x14ac:dyDescent="0.25"/>
    <row r="48" spans="1:15" ht="13.5" customHeight="1" x14ac:dyDescent="0.25">
      <c r="B48" s="9"/>
    </row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</sheetData>
  <sheetProtection sheet="1" objects="1" scenarios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57"/>
  <sheetViews>
    <sheetView zoomScale="80" zoomScaleNormal="80" workbookViewId="0">
      <selection activeCell="K44" sqref="K44"/>
    </sheetView>
  </sheetViews>
  <sheetFormatPr defaultRowHeight="15" x14ac:dyDescent="0.25"/>
  <cols>
    <col min="1" max="1" width="3" customWidth="1"/>
    <col min="2" max="2" width="48.140625" style="1" customWidth="1"/>
    <col min="3" max="15" width="10.42578125" customWidth="1"/>
    <col min="16" max="16" width="9.7109375" customWidth="1"/>
    <col min="17" max="17" width="10.28515625" customWidth="1"/>
    <col min="18" max="19" width="9.5703125" customWidth="1"/>
    <col min="20" max="20" width="11" customWidth="1"/>
    <col min="21" max="23" width="10.85546875" customWidth="1"/>
  </cols>
  <sheetData>
    <row r="1" spans="1:23" ht="45.2" customHeight="1" x14ac:dyDescent="0.25"/>
    <row r="2" spans="1:23" ht="34.5" customHeight="1" x14ac:dyDescent="0.25">
      <c r="B2"/>
    </row>
    <row r="5" spans="1:23" ht="13.5" customHeight="1" x14ac:dyDescent="0.25">
      <c r="A5" s="2" t="s">
        <v>0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23" ht="13.5" customHeight="1" x14ac:dyDescent="0.25">
      <c r="A6" s="2"/>
      <c r="F6" s="3"/>
      <c r="G6" s="3"/>
      <c r="H6" s="3"/>
      <c r="I6" s="3"/>
      <c r="J6" s="3"/>
      <c r="K6" s="3"/>
      <c r="L6" s="3"/>
      <c r="M6" s="3"/>
      <c r="N6" s="3"/>
      <c r="O6" s="3"/>
    </row>
    <row r="7" spans="1:23" ht="16.5" customHeight="1" x14ac:dyDescent="0.25">
      <c r="A7" s="4" t="s">
        <v>15</v>
      </c>
      <c r="C7" s="3"/>
      <c r="D7" s="3"/>
      <c r="E7" s="3"/>
    </row>
    <row r="8" spans="1:23" s="5" customFormat="1" ht="13.5" customHeight="1" x14ac:dyDescent="0.25">
      <c r="A8" s="4" t="s">
        <v>16</v>
      </c>
      <c r="B8" s="1"/>
    </row>
    <row r="9" spans="1:23" ht="13.5" customHeight="1" x14ac:dyDescent="0.25">
      <c r="C9" s="6"/>
    </row>
    <row r="10" spans="1:23" ht="13.5" customHeight="1" x14ac:dyDescent="0.25"/>
    <row r="11" spans="1:23" ht="13.5" customHeight="1" thickBot="1" x14ac:dyDescent="0.3">
      <c r="C11" s="7">
        <v>2000</v>
      </c>
      <c r="D11" s="7">
        <v>2001</v>
      </c>
      <c r="E11" s="7">
        <v>2002</v>
      </c>
      <c r="F11" s="7">
        <v>2003</v>
      </c>
      <c r="G11" s="7">
        <v>2004</v>
      </c>
      <c r="H11" s="7">
        <v>2005</v>
      </c>
      <c r="I11" s="7">
        <v>2006</v>
      </c>
      <c r="J11" s="7">
        <v>2007</v>
      </c>
      <c r="K11" s="7">
        <v>2008</v>
      </c>
      <c r="L11" s="7">
        <v>2009</v>
      </c>
      <c r="M11" s="7">
        <v>2010</v>
      </c>
      <c r="N11" s="7">
        <v>2011</v>
      </c>
      <c r="O11" s="7">
        <v>2012</v>
      </c>
      <c r="P11" s="7">
        <v>2013</v>
      </c>
      <c r="Q11" s="7">
        <v>2014</v>
      </c>
      <c r="R11" s="7">
        <v>2015</v>
      </c>
      <c r="S11" s="7">
        <v>2016</v>
      </c>
      <c r="T11" s="7">
        <v>2017</v>
      </c>
      <c r="U11" s="7">
        <v>2018</v>
      </c>
      <c r="V11" s="7">
        <v>2019</v>
      </c>
      <c r="W11" s="7">
        <v>2020</v>
      </c>
    </row>
    <row r="12" spans="1:23" ht="13.5" customHeight="1" x14ac:dyDescent="0.25"/>
    <row r="13" spans="1:23" s="8" customFormat="1" ht="13.5" customHeight="1" x14ac:dyDescent="0.2">
      <c r="B13" s="9" t="s">
        <v>17</v>
      </c>
      <c r="C13" s="10">
        <v>10.715195</v>
      </c>
      <c r="D13" s="10">
        <v>17.188184</v>
      </c>
      <c r="E13" s="10">
        <v>21.175903000000002</v>
      </c>
      <c r="F13" s="10">
        <v>14.813044</v>
      </c>
      <c r="G13" s="10">
        <v>11.753876999999999</v>
      </c>
      <c r="H13" s="10">
        <v>24.917604999999998</v>
      </c>
      <c r="I13" s="10">
        <v>18.142692</v>
      </c>
      <c r="J13" s="10">
        <v>19.303820000000002</v>
      </c>
      <c r="K13" s="10">
        <v>13.236321</v>
      </c>
      <c r="L13" s="10">
        <v>10.268825</v>
      </c>
      <c r="M13" s="10">
        <v>23.031361</v>
      </c>
      <c r="N13" s="10">
        <v>22.482008</v>
      </c>
      <c r="O13" s="10">
        <v>25.638190000000002</v>
      </c>
      <c r="P13" s="10">
        <v>17.216042999999999</v>
      </c>
      <c r="Q13" s="10">
        <v>14.203881000000001</v>
      </c>
      <c r="R13" s="10">
        <v>18.976295</v>
      </c>
      <c r="S13" s="10">
        <v>26.898253</v>
      </c>
      <c r="T13" s="10">
        <v>17.705492</v>
      </c>
      <c r="U13" s="10">
        <v>24.881263000000001</v>
      </c>
      <c r="V13" s="10">
        <v>16.635278</v>
      </c>
      <c r="W13" s="10">
        <v>25.180610999999999</v>
      </c>
    </row>
    <row r="14" spans="1:23" ht="13.5" customHeight="1" x14ac:dyDescent="0.25">
      <c r="B14" s="14" t="s">
        <v>18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</row>
    <row r="15" spans="1:23" ht="13.5" customHeight="1" x14ac:dyDescent="0.25">
      <c r="B15" s="19" t="s">
        <v>5</v>
      </c>
      <c r="C15" s="12">
        <v>1.4963070000000001</v>
      </c>
      <c r="D15" s="12">
        <v>2.3683550000000002</v>
      </c>
      <c r="E15" s="12">
        <v>3.0374699999999999</v>
      </c>
      <c r="F15" s="12">
        <v>1.8762920000000001</v>
      </c>
      <c r="G15" s="12">
        <v>1.3514189999999999</v>
      </c>
      <c r="H15" s="12">
        <v>2.8150740000000001</v>
      </c>
      <c r="I15" s="12">
        <v>2.2559089999999999</v>
      </c>
      <c r="J15" s="12">
        <v>2.2999320000000001</v>
      </c>
      <c r="K15" s="12">
        <v>1.4619340000000001</v>
      </c>
      <c r="L15" s="12">
        <v>1.047558</v>
      </c>
      <c r="M15" s="12">
        <v>2.2154250000000002</v>
      </c>
      <c r="N15" s="12">
        <v>1.953541</v>
      </c>
      <c r="O15" s="12">
        <v>2.0753490000000001</v>
      </c>
      <c r="P15" s="12">
        <v>1.303156</v>
      </c>
      <c r="Q15" s="12">
        <v>0.992591</v>
      </c>
      <c r="R15" s="12">
        <v>1.2362439999999999</v>
      </c>
      <c r="S15" s="12">
        <v>1.6257779999999999</v>
      </c>
      <c r="T15" s="12">
        <v>0.98860400000000004</v>
      </c>
      <c r="U15" s="12">
        <v>1.2844549999999999</v>
      </c>
      <c r="V15" s="12">
        <v>0.78791599999999995</v>
      </c>
      <c r="W15" s="12">
        <v>1.0890280000000001</v>
      </c>
    </row>
    <row r="16" spans="1:23" ht="13.5" customHeight="1" x14ac:dyDescent="0.25">
      <c r="B16" s="19" t="s">
        <v>6</v>
      </c>
      <c r="C16" s="12">
        <v>9.2188870000000005</v>
      </c>
      <c r="D16" s="12">
        <v>14.819829</v>
      </c>
      <c r="E16" s="12">
        <v>18.138432999999999</v>
      </c>
      <c r="F16" s="12">
        <v>12.936753</v>
      </c>
      <c r="G16" s="12">
        <v>10.402457999999999</v>
      </c>
      <c r="H16" s="12">
        <v>22.102532</v>
      </c>
      <c r="I16" s="12">
        <v>15.886782999999999</v>
      </c>
      <c r="J16" s="12">
        <v>17.003888</v>
      </c>
      <c r="K16" s="12">
        <v>11.774387000000001</v>
      </c>
      <c r="L16" s="12">
        <v>9.2212669999999992</v>
      </c>
      <c r="M16" s="12">
        <v>20.815937000000002</v>
      </c>
      <c r="N16" s="12">
        <v>20.528466999999999</v>
      </c>
      <c r="O16" s="12">
        <v>23.562840999999999</v>
      </c>
      <c r="P16" s="12">
        <v>15.912887</v>
      </c>
      <c r="Q16" s="12">
        <v>13.21129</v>
      </c>
      <c r="R16" s="12">
        <v>17.740051000000001</v>
      </c>
      <c r="S16" s="12">
        <v>25.272475</v>
      </c>
      <c r="T16" s="12">
        <v>16.716888000000001</v>
      </c>
      <c r="U16" s="12">
        <v>23.596807999999999</v>
      </c>
      <c r="V16" s="12">
        <v>15.847363</v>
      </c>
      <c r="W16" s="12">
        <v>24.091583</v>
      </c>
    </row>
    <row r="17" spans="2:23" ht="13.5" customHeight="1" x14ac:dyDescent="0.25">
      <c r="B17" s="20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</row>
    <row r="18" spans="2:23" ht="13.5" customHeight="1" x14ac:dyDescent="0.25">
      <c r="B18" s="14" t="s">
        <v>19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</row>
    <row r="19" spans="2:23" ht="13.5" customHeight="1" x14ac:dyDescent="0.25">
      <c r="B19" s="19" t="s">
        <v>5</v>
      </c>
      <c r="C19" s="12">
        <v>13.964349</v>
      </c>
      <c r="D19" s="12">
        <v>13.778971</v>
      </c>
      <c r="E19" s="12">
        <v>14.343995</v>
      </c>
      <c r="F19" s="12">
        <v>12.666482999999999</v>
      </c>
      <c r="G19" s="12">
        <v>11.497646</v>
      </c>
      <c r="H19" s="12">
        <v>11.297528</v>
      </c>
      <c r="I19" s="12">
        <v>12.434258</v>
      </c>
      <c r="J19" s="12">
        <v>11.914387</v>
      </c>
      <c r="K19" s="12">
        <v>11.044862999999999</v>
      </c>
      <c r="L19" s="12">
        <v>10.201347</v>
      </c>
      <c r="M19" s="12">
        <v>9.6191650000000006</v>
      </c>
      <c r="N19" s="12">
        <v>8.6893519999999995</v>
      </c>
      <c r="O19" s="12">
        <v>8.0947549999999993</v>
      </c>
      <c r="P19" s="12">
        <v>7.5694290000000004</v>
      </c>
      <c r="Q19" s="12">
        <v>6.9881679999999999</v>
      </c>
      <c r="R19" s="12">
        <v>6.5146750000000004</v>
      </c>
      <c r="S19" s="12">
        <v>6.0441770000000004</v>
      </c>
      <c r="T19" s="12">
        <v>5.5836009999999998</v>
      </c>
      <c r="U19" s="12">
        <v>5.162337</v>
      </c>
      <c r="V19" s="12">
        <v>4.736415</v>
      </c>
      <c r="W19" s="12">
        <v>4.3248680000000004</v>
      </c>
    </row>
    <row r="20" spans="2:23" ht="13.5" customHeight="1" x14ac:dyDescent="0.25">
      <c r="B20" s="19" t="s">
        <v>6</v>
      </c>
      <c r="C20" s="12">
        <v>86.035651000000001</v>
      </c>
      <c r="D20" s="12">
        <v>86.221029000000001</v>
      </c>
      <c r="E20" s="12">
        <v>85.656004999999993</v>
      </c>
      <c r="F20" s="12">
        <v>87.333517000000001</v>
      </c>
      <c r="G20" s="12">
        <v>88.502353999999997</v>
      </c>
      <c r="H20" s="12">
        <v>88.702472</v>
      </c>
      <c r="I20" s="12">
        <v>87.565742</v>
      </c>
      <c r="J20" s="12">
        <v>88.085612999999995</v>
      </c>
      <c r="K20" s="12">
        <v>88.955136999999993</v>
      </c>
      <c r="L20" s="12">
        <v>89.798653000000002</v>
      </c>
      <c r="M20" s="12">
        <v>90.380835000000005</v>
      </c>
      <c r="N20" s="12">
        <v>91.310648</v>
      </c>
      <c r="O20" s="12">
        <v>91.905244999999994</v>
      </c>
      <c r="P20" s="12">
        <v>92.430571</v>
      </c>
      <c r="Q20" s="12">
        <v>93.011831999999998</v>
      </c>
      <c r="R20" s="12">
        <v>93.485325000000003</v>
      </c>
      <c r="S20" s="12">
        <v>93.955822999999995</v>
      </c>
      <c r="T20" s="12">
        <v>94.416398999999998</v>
      </c>
      <c r="U20" s="12">
        <v>94.837663000000006</v>
      </c>
      <c r="V20" s="12">
        <v>95.263585000000006</v>
      </c>
      <c r="W20" s="12">
        <v>95.675132000000005</v>
      </c>
    </row>
    <row r="21" spans="2:23" ht="13.5" customHeight="1" x14ac:dyDescent="0.25">
      <c r="B21" s="20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</row>
    <row r="22" spans="2:23" ht="13.5" customHeight="1" x14ac:dyDescent="0.25">
      <c r="B22" s="15" t="s">
        <v>20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</row>
    <row r="23" spans="2:23" ht="13.5" customHeight="1" x14ac:dyDescent="0.25">
      <c r="B23" s="21" t="s">
        <v>21</v>
      </c>
      <c r="C23" s="12">
        <v>360.48</v>
      </c>
      <c r="D23" s="12">
        <v>376.34800000000001</v>
      </c>
      <c r="E23" s="12">
        <v>395.81400000000002</v>
      </c>
      <c r="F23" s="12">
        <v>414.75400000000002</v>
      </c>
      <c r="G23" s="12">
        <v>430.48899999999998</v>
      </c>
      <c r="H23" s="12">
        <v>439.55</v>
      </c>
      <c r="I23" s="12">
        <v>461.517</v>
      </c>
      <c r="J23" s="12">
        <v>448.58300000000003</v>
      </c>
      <c r="K23" s="12">
        <v>473.762</v>
      </c>
      <c r="L23" s="12">
        <v>477.524</v>
      </c>
      <c r="M23" s="12">
        <v>492.25200000000001</v>
      </c>
      <c r="N23" s="12">
        <v>548.41999999999996</v>
      </c>
      <c r="O23" s="12">
        <v>558.67999999999995</v>
      </c>
      <c r="P23" s="12">
        <v>574.75800000000004</v>
      </c>
      <c r="Q23" s="12">
        <v>588.02700000000004</v>
      </c>
      <c r="R23" s="12">
        <v>601.22699999999998</v>
      </c>
      <c r="S23" s="12">
        <v>615.89099999999996</v>
      </c>
      <c r="T23" s="12">
        <v>629.37400000000002</v>
      </c>
      <c r="U23" s="12">
        <v>644.14</v>
      </c>
      <c r="V23" s="12">
        <v>659.05600000000004</v>
      </c>
      <c r="W23" s="12">
        <v>673.29399999999998</v>
      </c>
    </row>
    <row r="24" spans="2:23" ht="13.5" customHeight="1" x14ac:dyDescent="0.25">
      <c r="B24" s="2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</row>
    <row r="25" spans="2:23" s="8" customFormat="1" ht="13.5" customHeight="1" x14ac:dyDescent="0.2">
      <c r="B25" s="15" t="s">
        <v>22</v>
      </c>
      <c r="C25" s="10">
        <v>29.724781</v>
      </c>
      <c r="D25" s="10">
        <v>45.670999000000002</v>
      </c>
      <c r="E25" s="10">
        <v>53.499599000000003</v>
      </c>
      <c r="F25" s="10">
        <v>35.715223999999999</v>
      </c>
      <c r="G25" s="10">
        <v>27.303556</v>
      </c>
      <c r="H25" s="10">
        <v>56.688859999999998</v>
      </c>
      <c r="I25" s="10">
        <v>39.310994000000001</v>
      </c>
      <c r="J25" s="10">
        <v>43.032905</v>
      </c>
      <c r="K25" s="10">
        <v>27.938765</v>
      </c>
      <c r="L25" s="10">
        <v>21.504332999999999</v>
      </c>
      <c r="M25" s="10">
        <v>46.787697999999999</v>
      </c>
      <c r="N25" s="10">
        <v>40.994143999999999</v>
      </c>
      <c r="O25" s="10">
        <v>45.890676999999997</v>
      </c>
      <c r="P25" s="10">
        <v>29.953530000000001</v>
      </c>
      <c r="Q25" s="10">
        <v>24.155146999999999</v>
      </c>
      <c r="R25" s="10">
        <v>31.562628</v>
      </c>
      <c r="S25" s="10">
        <v>43.673712999999999</v>
      </c>
      <c r="T25" s="10">
        <v>28.131905</v>
      </c>
      <c r="U25" s="10">
        <v>38.627077999999997</v>
      </c>
      <c r="V25" s="10">
        <v>25.241053999999998</v>
      </c>
      <c r="W25" s="10">
        <v>37.399135999999999</v>
      </c>
    </row>
    <row r="26" spans="2:23" ht="13.5" customHeight="1" x14ac:dyDescent="0.25">
      <c r="B26" s="20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</row>
    <row r="27" spans="2:23" ht="13.5" customHeight="1" x14ac:dyDescent="0.25">
      <c r="B27" s="20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</row>
    <row r="28" spans="2:23" s="8" customFormat="1" ht="28.5" customHeight="1" x14ac:dyDescent="0.25">
      <c r="B28" s="23" t="s">
        <v>23</v>
      </c>
      <c r="C28" s="24" t="s">
        <v>24</v>
      </c>
      <c r="D28" s="24" t="s">
        <v>24</v>
      </c>
      <c r="E28" s="24" t="s">
        <v>24</v>
      </c>
      <c r="F28" s="24" t="s">
        <v>24</v>
      </c>
      <c r="G28" s="24" t="s">
        <v>24</v>
      </c>
      <c r="H28" s="24" t="s">
        <v>24</v>
      </c>
      <c r="I28" s="24" t="s">
        <v>24</v>
      </c>
      <c r="J28" s="24" t="s">
        <v>24</v>
      </c>
      <c r="K28" s="24" t="s">
        <v>24</v>
      </c>
      <c r="L28" s="24" t="s">
        <v>24</v>
      </c>
      <c r="M28" s="24" t="s">
        <v>24</v>
      </c>
      <c r="N28" s="24" t="s">
        <v>24</v>
      </c>
      <c r="O28" s="24" t="s">
        <v>24</v>
      </c>
      <c r="P28" s="24" t="s">
        <v>24</v>
      </c>
      <c r="Q28" s="24" t="s">
        <v>24</v>
      </c>
      <c r="R28" s="24" t="s">
        <v>24</v>
      </c>
      <c r="S28" s="24" t="s">
        <v>24</v>
      </c>
      <c r="T28" s="24" t="s">
        <v>24</v>
      </c>
      <c r="U28" s="24" t="s">
        <v>24</v>
      </c>
      <c r="V28" s="24" t="s">
        <v>24</v>
      </c>
      <c r="W28" s="24" t="s">
        <v>24</v>
      </c>
    </row>
    <row r="29" spans="2:23" ht="13.5" customHeight="1" x14ac:dyDescent="0.25">
      <c r="B29" s="9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</row>
    <row r="30" spans="2:23" ht="13.5" customHeight="1" x14ac:dyDescent="0.25">
      <c r="B30" s="20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</row>
    <row r="31" spans="2:23" s="8" customFormat="1" ht="13.5" customHeight="1" x14ac:dyDescent="0.2">
      <c r="B31" s="9" t="s">
        <v>25</v>
      </c>
      <c r="C31" s="25">
        <v>1.0025269999999999</v>
      </c>
      <c r="D31" s="25">
        <v>1.5143340000000001</v>
      </c>
      <c r="E31" s="25">
        <v>1.928358</v>
      </c>
      <c r="F31" s="25">
        <v>1.2520199999999999</v>
      </c>
      <c r="G31" s="25">
        <v>0.90410400000000002</v>
      </c>
      <c r="H31" s="25">
        <v>2.0425849999999999</v>
      </c>
      <c r="I31" s="25">
        <v>1.451506</v>
      </c>
      <c r="J31" s="25">
        <v>1.6276200000000001</v>
      </c>
      <c r="K31" s="25">
        <v>1.0636909999999999</v>
      </c>
      <c r="L31" s="25">
        <v>0.79829600000000001</v>
      </c>
      <c r="M31" s="25">
        <v>1.717894</v>
      </c>
      <c r="N31" s="25">
        <v>1.653662</v>
      </c>
      <c r="O31" s="25">
        <v>1.8473999999999999</v>
      </c>
      <c r="P31" s="25">
        <v>1.226289</v>
      </c>
      <c r="Q31" s="25">
        <v>1.0287550000000001</v>
      </c>
      <c r="R31" s="25">
        <v>1.3555010000000001</v>
      </c>
      <c r="S31" s="25">
        <v>2.091494</v>
      </c>
      <c r="T31" s="25">
        <v>1.355046</v>
      </c>
      <c r="U31" s="25">
        <v>1.9772080000000001</v>
      </c>
      <c r="V31" s="25">
        <v>1.2878050000000001</v>
      </c>
      <c r="W31" s="25">
        <v>1.8887860000000001</v>
      </c>
    </row>
    <row r="32" spans="2:23" ht="13.5" customHeight="1" x14ac:dyDescent="0.25"/>
    <row r="33" spans="1:2" ht="13.5" customHeight="1" x14ac:dyDescent="0.25">
      <c r="A33" s="1" t="s">
        <v>26</v>
      </c>
      <c r="B33"/>
    </row>
    <row r="34" spans="1:2" ht="13.5" customHeight="1" x14ac:dyDescent="0.25">
      <c r="A34" s="1" t="s">
        <v>27</v>
      </c>
    </row>
    <row r="35" spans="1:2" ht="13.5" customHeight="1" x14ac:dyDescent="0.25"/>
    <row r="36" spans="1:2" ht="13.5" customHeight="1" x14ac:dyDescent="0.25"/>
    <row r="37" spans="1:2" ht="13.5" customHeight="1" x14ac:dyDescent="0.25"/>
    <row r="38" spans="1:2" ht="13.5" customHeight="1" x14ac:dyDescent="0.25"/>
    <row r="39" spans="1:2" ht="13.5" customHeight="1" x14ac:dyDescent="0.25"/>
    <row r="40" spans="1:2" ht="13.5" customHeight="1" x14ac:dyDescent="0.25"/>
    <row r="41" spans="1:2" ht="13.5" customHeight="1" x14ac:dyDescent="0.25"/>
    <row r="42" spans="1:2" ht="13.5" customHeight="1" x14ac:dyDescent="0.25"/>
    <row r="43" spans="1:2" ht="13.5" customHeight="1" x14ac:dyDescent="0.25"/>
    <row r="44" spans="1:2" ht="13.5" customHeight="1" x14ac:dyDescent="0.25"/>
    <row r="45" spans="1:2" ht="13.5" customHeight="1" x14ac:dyDescent="0.25"/>
    <row r="46" spans="1:2" ht="13.5" customHeight="1" x14ac:dyDescent="0.25"/>
    <row r="47" spans="1:2" ht="13.5" customHeight="1" x14ac:dyDescent="0.25"/>
    <row r="48" spans="1:2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4CFC6-D776-46AC-B368-93FCC869FD87}">
  <dimension ref="A1:W48"/>
  <sheetViews>
    <sheetView zoomScale="70" zoomScaleNormal="70" workbookViewId="0">
      <selection activeCell="Y33" sqref="Y33"/>
    </sheetView>
  </sheetViews>
  <sheetFormatPr defaultRowHeight="15" x14ac:dyDescent="0.25"/>
  <sheetData>
    <row r="1" spans="1:23" x14ac:dyDescent="0.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</row>
    <row r="2" spans="1:23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</row>
    <row r="5" spans="1:23" ht="18" x14ac:dyDescent="0.25">
      <c r="A5" s="33" t="s">
        <v>0</v>
      </c>
      <c r="B5" s="31"/>
      <c r="C5" s="31"/>
      <c r="D5" s="31"/>
      <c r="E5" s="31"/>
      <c r="F5" s="34"/>
      <c r="G5" s="34"/>
      <c r="H5" s="34"/>
      <c r="I5" s="34"/>
      <c r="J5" s="34"/>
      <c r="K5" s="34"/>
      <c r="L5" s="34"/>
      <c r="M5" s="34"/>
      <c r="N5" s="34"/>
      <c r="O5" s="34"/>
      <c r="P5" s="31"/>
      <c r="Q5" s="31"/>
      <c r="R5" s="31"/>
      <c r="S5" s="31"/>
      <c r="T5" s="31"/>
      <c r="U5" s="31"/>
      <c r="V5" s="31"/>
      <c r="W5" s="31"/>
    </row>
    <row r="6" spans="1:23" ht="18" x14ac:dyDescent="0.25">
      <c r="A6" s="33"/>
      <c r="B6" s="31"/>
      <c r="C6" s="31"/>
      <c r="D6" s="31"/>
      <c r="E6" s="31"/>
      <c r="F6" s="34"/>
      <c r="G6" s="34"/>
      <c r="H6" s="34"/>
      <c r="I6" s="34"/>
      <c r="J6" s="34"/>
      <c r="K6" s="34"/>
      <c r="L6" s="34"/>
      <c r="M6" s="34"/>
      <c r="N6" s="34"/>
      <c r="O6" s="34"/>
      <c r="P6" s="31"/>
      <c r="Q6" s="31"/>
      <c r="R6" s="31"/>
      <c r="S6" s="31"/>
      <c r="T6" s="31"/>
      <c r="U6" s="31"/>
      <c r="V6" s="31"/>
      <c r="W6" s="31"/>
    </row>
    <row r="7" spans="1:23" ht="15.75" x14ac:dyDescent="0.25">
      <c r="A7" s="35" t="s">
        <v>1</v>
      </c>
      <c r="B7" s="31"/>
      <c r="C7" s="34"/>
      <c r="D7" s="34"/>
      <c r="E7" s="34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</row>
    <row r="8" spans="1:23" ht="15.75" x14ac:dyDescent="0.25">
      <c r="A8" s="35" t="s">
        <v>2</v>
      </c>
      <c r="B8" s="32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</row>
    <row r="9" spans="1:23" ht="15.75" x14ac:dyDescent="0.25">
      <c r="A9" s="35"/>
      <c r="B9" s="31"/>
      <c r="C9" s="37"/>
      <c r="D9" s="37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</row>
    <row r="10" spans="1:23" x14ac:dyDescent="0.25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</row>
    <row r="11" spans="1:23" ht="15.75" thickBot="1" x14ac:dyDescent="0.3">
      <c r="A11" s="31"/>
      <c r="B11" s="31"/>
      <c r="C11" s="38">
        <v>2000</v>
      </c>
      <c r="D11" s="38">
        <v>2001</v>
      </c>
      <c r="E11" s="38">
        <v>2002</v>
      </c>
      <c r="F11" s="38">
        <v>2003</v>
      </c>
      <c r="G11" s="38">
        <v>2004</v>
      </c>
      <c r="H11" s="38">
        <v>2005</v>
      </c>
      <c r="I11" s="38">
        <v>2006</v>
      </c>
      <c r="J11" s="38">
        <v>2007</v>
      </c>
      <c r="K11" s="38">
        <v>2008</v>
      </c>
      <c r="L11" s="38">
        <v>2009</v>
      </c>
      <c r="M11" s="38">
        <v>2010</v>
      </c>
      <c r="N11" s="38">
        <v>2011</v>
      </c>
      <c r="O11" s="38">
        <v>2012</v>
      </c>
      <c r="P11" s="38">
        <v>2013</v>
      </c>
      <c r="Q11" s="38">
        <v>2014</v>
      </c>
      <c r="R11" s="38">
        <v>2015</v>
      </c>
      <c r="S11" s="38">
        <v>2016</v>
      </c>
      <c r="T11" s="38">
        <v>2017</v>
      </c>
      <c r="U11" s="38">
        <v>2018</v>
      </c>
      <c r="V11" s="38">
        <v>2019</v>
      </c>
      <c r="W11" s="38">
        <v>2020</v>
      </c>
    </row>
    <row r="12" spans="1:23" x14ac:dyDescent="0.25">
      <c r="A12" s="31"/>
      <c r="B12" s="31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1"/>
      <c r="U12" s="31"/>
      <c r="V12" s="31"/>
      <c r="W12" s="31"/>
    </row>
    <row r="13" spans="1:23" x14ac:dyDescent="0.25">
      <c r="A13" s="39"/>
      <c r="B13" s="40" t="s">
        <v>3</v>
      </c>
      <c r="C13" s="41">
        <v>2689</v>
      </c>
      <c r="D13" s="41">
        <v>2783</v>
      </c>
      <c r="E13" s="41">
        <v>2905</v>
      </c>
      <c r="F13" s="41">
        <v>3006</v>
      </c>
      <c r="G13" s="41">
        <v>3187</v>
      </c>
      <c r="H13" s="41">
        <v>3338</v>
      </c>
      <c r="I13" s="41">
        <v>3599.9839999999999</v>
      </c>
      <c r="J13" s="41">
        <v>3606.5050000000001</v>
      </c>
      <c r="K13" s="41">
        <v>3762</v>
      </c>
      <c r="L13" s="41">
        <v>3767.46</v>
      </c>
      <c r="M13" s="41">
        <v>3848.4679999999998</v>
      </c>
      <c r="N13" s="41">
        <v>3928.9450000000002</v>
      </c>
      <c r="O13" s="41">
        <v>3972.1790000000001</v>
      </c>
      <c r="P13" s="41">
        <v>4052.9229999999998</v>
      </c>
      <c r="Q13" s="41">
        <v>4114.7790000000005</v>
      </c>
      <c r="R13" s="41">
        <v>4176.7669999999998</v>
      </c>
      <c r="S13" s="41">
        <v>4248.067</v>
      </c>
      <c r="T13" s="41">
        <v>4309.9889999999996</v>
      </c>
      <c r="U13" s="41">
        <v>4376.6329999999998</v>
      </c>
      <c r="V13" s="41">
        <v>4443.2430000000004</v>
      </c>
      <c r="W13" s="41">
        <v>4507.5259999999998</v>
      </c>
    </row>
    <row r="14" spans="1:23" ht="77.25" x14ac:dyDescent="0.25">
      <c r="A14" s="31"/>
      <c r="B14" s="42" t="s">
        <v>4</v>
      </c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</row>
    <row r="15" spans="1:23" x14ac:dyDescent="0.25">
      <c r="A15" s="31"/>
      <c r="B15" s="44" t="s">
        <v>5</v>
      </c>
      <c r="C15" s="43">
        <v>751</v>
      </c>
      <c r="D15" s="43">
        <v>776</v>
      </c>
      <c r="E15" s="43">
        <v>845</v>
      </c>
      <c r="F15" s="43">
        <v>796</v>
      </c>
      <c r="G15" s="43">
        <v>790</v>
      </c>
      <c r="H15" s="43">
        <v>827</v>
      </c>
      <c r="I15" s="43">
        <v>985.25900000000001</v>
      </c>
      <c r="J15" s="43">
        <v>965.25599999999997</v>
      </c>
      <c r="K15" s="43">
        <v>944</v>
      </c>
      <c r="L15" s="43">
        <v>881.21900000000005</v>
      </c>
      <c r="M15" s="43">
        <v>860.59</v>
      </c>
      <c r="N15" s="43">
        <v>818.57100000000003</v>
      </c>
      <c r="O15" s="43">
        <v>776.86599999999999</v>
      </c>
      <c r="P15" s="43">
        <v>745.54300000000001</v>
      </c>
      <c r="Q15" s="43">
        <v>703.68100000000004</v>
      </c>
      <c r="R15" s="43">
        <v>667.16600000000005</v>
      </c>
      <c r="S15" s="43">
        <v>630.57399999999996</v>
      </c>
      <c r="T15" s="43">
        <v>591.38499999999999</v>
      </c>
      <c r="U15" s="43">
        <v>554.83199999999999</v>
      </c>
      <c r="V15" s="43">
        <v>516.94100000000003</v>
      </c>
      <c r="W15" s="43">
        <v>479.07</v>
      </c>
    </row>
    <row r="16" spans="1:23" x14ac:dyDescent="0.25">
      <c r="A16" s="31"/>
      <c r="B16" s="44" t="s">
        <v>6</v>
      </c>
      <c r="C16" s="43">
        <v>1938</v>
      </c>
      <c r="D16" s="43">
        <v>2007</v>
      </c>
      <c r="E16" s="43">
        <v>2060</v>
      </c>
      <c r="F16" s="43">
        <v>2210</v>
      </c>
      <c r="G16" s="43">
        <v>2397</v>
      </c>
      <c r="H16" s="43">
        <v>2511</v>
      </c>
      <c r="I16" s="43">
        <v>2614.7249999999999</v>
      </c>
      <c r="J16" s="43">
        <v>2641.2489999999998</v>
      </c>
      <c r="K16" s="43">
        <v>2818</v>
      </c>
      <c r="L16" s="43">
        <v>2886.241</v>
      </c>
      <c r="M16" s="43">
        <v>2987.8780000000002</v>
      </c>
      <c r="N16" s="43">
        <v>3110.3739999999998</v>
      </c>
      <c r="O16" s="43">
        <v>3195.3130000000001</v>
      </c>
      <c r="P16" s="43">
        <v>3307.38</v>
      </c>
      <c r="Q16" s="43">
        <v>3411.098</v>
      </c>
      <c r="R16" s="43">
        <v>3509.6010000000001</v>
      </c>
      <c r="S16" s="43">
        <v>3617.4929999999999</v>
      </c>
      <c r="T16" s="43">
        <v>3718.6039999999998</v>
      </c>
      <c r="U16" s="43">
        <v>3821.8009999999999</v>
      </c>
      <c r="V16" s="43">
        <v>3926.3020000000001</v>
      </c>
      <c r="W16" s="43">
        <v>4028.4560000000001</v>
      </c>
    </row>
    <row r="17" spans="2:23" x14ac:dyDescent="0.25">
      <c r="B17" s="31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</row>
    <row r="18" spans="2:23" x14ac:dyDescent="0.25">
      <c r="B18" s="45" t="s">
        <v>7</v>
      </c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</row>
    <row r="19" spans="2:23" x14ac:dyDescent="0.25">
      <c r="B19" s="44" t="s">
        <v>5</v>
      </c>
      <c r="C19" s="43">
        <v>27.928598000000001</v>
      </c>
      <c r="D19" s="43">
        <v>27.883579000000001</v>
      </c>
      <c r="E19" s="43">
        <v>29.087779999999999</v>
      </c>
      <c r="F19" s="43">
        <v>26.480373</v>
      </c>
      <c r="G19" s="43">
        <v>24.788201999999998</v>
      </c>
      <c r="H19" s="43">
        <v>24.775314999999999</v>
      </c>
      <c r="I19" s="43">
        <v>27.368427000000001</v>
      </c>
      <c r="J19" s="43">
        <v>26.764305</v>
      </c>
      <c r="K19" s="43">
        <v>25.093036000000001</v>
      </c>
      <c r="L19" s="43">
        <v>23.390267999999999</v>
      </c>
      <c r="M19" s="43">
        <v>22.361885000000001</v>
      </c>
      <c r="N19" s="43">
        <v>20.834371999999998</v>
      </c>
      <c r="O19" s="43">
        <v>19.557679</v>
      </c>
      <c r="P19" s="43">
        <v>18.395192999999999</v>
      </c>
      <c r="Q19" s="43">
        <v>17.101306999999998</v>
      </c>
      <c r="R19" s="43">
        <v>15.973264</v>
      </c>
      <c r="S19" s="43">
        <v>14.843787000000001</v>
      </c>
      <c r="T19" s="43">
        <v>13.721265000000001</v>
      </c>
      <c r="U19" s="43">
        <v>12.677142</v>
      </c>
      <c r="V19" s="43">
        <v>11.634318</v>
      </c>
      <c r="W19" s="43">
        <v>10.628225</v>
      </c>
    </row>
    <row r="20" spans="2:23" x14ac:dyDescent="0.25">
      <c r="B20" s="44" t="s">
        <v>6</v>
      </c>
      <c r="C20" s="43">
        <v>72.071402000000006</v>
      </c>
      <c r="D20" s="43">
        <v>72.116421000000003</v>
      </c>
      <c r="E20" s="43">
        <v>70.912220000000005</v>
      </c>
      <c r="F20" s="43">
        <v>73.519627</v>
      </c>
      <c r="G20" s="43">
        <v>75.211798000000002</v>
      </c>
      <c r="H20" s="43">
        <v>75.224684999999994</v>
      </c>
      <c r="I20" s="43">
        <v>72.631573000000003</v>
      </c>
      <c r="J20" s="43">
        <v>73.235695000000007</v>
      </c>
      <c r="K20" s="43">
        <v>74.906964000000002</v>
      </c>
      <c r="L20" s="43">
        <v>76.609731999999994</v>
      </c>
      <c r="M20" s="43">
        <v>77.638114999999999</v>
      </c>
      <c r="N20" s="43">
        <v>79.165627999999998</v>
      </c>
      <c r="O20" s="43">
        <v>80.442321000000007</v>
      </c>
      <c r="P20" s="43">
        <v>81.604806999999994</v>
      </c>
      <c r="Q20" s="43">
        <v>82.898692999999994</v>
      </c>
      <c r="R20" s="43">
        <v>84.026736</v>
      </c>
      <c r="S20" s="43">
        <v>85.156212999999994</v>
      </c>
      <c r="T20" s="43">
        <v>86.278734999999998</v>
      </c>
      <c r="U20" s="43">
        <v>87.322857999999997</v>
      </c>
      <c r="V20" s="43">
        <v>88.365682000000007</v>
      </c>
      <c r="W20" s="43">
        <v>89.371775</v>
      </c>
    </row>
    <row r="21" spans="2:23" x14ac:dyDescent="0.25">
      <c r="B21" s="31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</row>
    <row r="22" spans="2:23" x14ac:dyDescent="0.25">
      <c r="B22" s="46" t="s">
        <v>8</v>
      </c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</row>
    <row r="23" spans="2:23" x14ac:dyDescent="0.25">
      <c r="B23" s="44" t="s">
        <v>9</v>
      </c>
      <c r="C23" s="43">
        <v>9.35</v>
      </c>
      <c r="D23" s="43">
        <v>9.35</v>
      </c>
      <c r="E23" s="43">
        <v>9.35</v>
      </c>
      <c r="F23" s="43">
        <v>9.35</v>
      </c>
      <c r="G23" s="43">
        <v>9.35</v>
      </c>
      <c r="H23" s="43">
        <v>9.35</v>
      </c>
      <c r="I23" s="43">
        <v>10.9</v>
      </c>
      <c r="J23" s="43">
        <v>10.9</v>
      </c>
      <c r="K23" s="43">
        <v>10.9</v>
      </c>
      <c r="L23" s="43">
        <v>10.9</v>
      </c>
      <c r="M23" s="43">
        <v>12</v>
      </c>
      <c r="N23" s="43">
        <v>12</v>
      </c>
      <c r="O23" s="43">
        <v>12</v>
      </c>
      <c r="P23" s="43">
        <v>12</v>
      </c>
      <c r="Q23" s="43">
        <v>12</v>
      </c>
      <c r="R23" s="43">
        <v>12</v>
      </c>
      <c r="S23" s="43">
        <v>12</v>
      </c>
      <c r="T23" s="43">
        <v>12</v>
      </c>
      <c r="U23" s="43">
        <v>12</v>
      </c>
      <c r="V23" s="43">
        <v>12</v>
      </c>
      <c r="W23" s="43">
        <v>12</v>
      </c>
    </row>
    <row r="24" spans="2:23" x14ac:dyDescent="0.25">
      <c r="B24" s="44" t="s">
        <v>10</v>
      </c>
      <c r="C24" s="43">
        <v>10.3</v>
      </c>
      <c r="D24" s="43">
        <v>10.3</v>
      </c>
      <c r="E24" s="43">
        <v>10.3</v>
      </c>
      <c r="F24" s="43">
        <v>10.3</v>
      </c>
      <c r="G24" s="43">
        <v>10.3</v>
      </c>
      <c r="H24" s="43">
        <v>10.3</v>
      </c>
      <c r="I24" s="43">
        <v>13</v>
      </c>
      <c r="J24" s="43">
        <v>13</v>
      </c>
      <c r="K24" s="43">
        <v>13</v>
      </c>
      <c r="L24" s="43">
        <v>13</v>
      </c>
      <c r="M24" s="43">
        <v>13</v>
      </c>
      <c r="N24" s="43">
        <v>13</v>
      </c>
      <c r="O24" s="43">
        <v>13</v>
      </c>
      <c r="P24" s="43">
        <v>13</v>
      </c>
      <c r="Q24" s="43">
        <v>13</v>
      </c>
      <c r="R24" s="43">
        <v>13</v>
      </c>
      <c r="S24" s="43">
        <v>13</v>
      </c>
      <c r="T24" s="43">
        <v>13</v>
      </c>
      <c r="U24" s="43">
        <v>13</v>
      </c>
      <c r="V24" s="43">
        <v>13</v>
      </c>
      <c r="W24" s="43">
        <v>13</v>
      </c>
    </row>
    <row r="25" spans="2:23" x14ac:dyDescent="0.25">
      <c r="B25" s="46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</row>
    <row r="26" spans="2:23" x14ac:dyDescent="0.25">
      <c r="B26" s="47" t="s">
        <v>11</v>
      </c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</row>
    <row r="27" spans="2:23" x14ac:dyDescent="0.25">
      <c r="B27" s="44" t="s">
        <v>9</v>
      </c>
      <c r="C27" s="43">
        <v>8.254899</v>
      </c>
      <c r="D27" s="43">
        <v>8.4073619999999991</v>
      </c>
      <c r="E27" s="43">
        <v>8.5724540000000005</v>
      </c>
      <c r="F27" s="43">
        <v>8.7537540000000007</v>
      </c>
      <c r="G27" s="43">
        <v>8.9275710000000004</v>
      </c>
      <c r="H27" s="43">
        <v>9.0872240000000009</v>
      </c>
      <c r="I27" s="43">
        <v>9.4962630000000008</v>
      </c>
      <c r="J27" s="43">
        <v>9.7930130000000002</v>
      </c>
      <c r="K27" s="43">
        <v>9.9979700000000005</v>
      </c>
      <c r="L27" s="43">
        <v>10.143787</v>
      </c>
      <c r="M27" s="43">
        <v>10.411020000000001</v>
      </c>
      <c r="N27" s="43">
        <v>10.646141999999999</v>
      </c>
      <c r="O27" s="43">
        <v>10.847928</v>
      </c>
      <c r="P27" s="43">
        <v>11.018858</v>
      </c>
      <c r="Q27" s="43">
        <v>11.163881</v>
      </c>
      <c r="R27" s="43">
        <v>11.287236999999999</v>
      </c>
      <c r="S27" s="43">
        <v>11.394584999999999</v>
      </c>
      <c r="T27" s="43">
        <v>11.493143</v>
      </c>
      <c r="U27" s="43">
        <v>11.586477</v>
      </c>
      <c r="V27" s="43">
        <v>11.674761</v>
      </c>
      <c r="W27" s="43">
        <v>11.755246</v>
      </c>
    </row>
    <row r="28" spans="2:23" x14ac:dyDescent="0.25">
      <c r="B28" s="44" t="s">
        <v>10</v>
      </c>
      <c r="C28" s="43">
        <v>9.5897089999999992</v>
      </c>
      <c r="D28" s="43">
        <v>9.6586390000000009</v>
      </c>
      <c r="E28" s="43">
        <v>9.7456560000000003</v>
      </c>
      <c r="F28" s="43">
        <v>9.8394600000000008</v>
      </c>
      <c r="G28" s="43">
        <v>9.9334860000000003</v>
      </c>
      <c r="H28" s="43">
        <v>10.030915</v>
      </c>
      <c r="I28" s="43">
        <v>10.273657999999999</v>
      </c>
      <c r="J28" s="43">
        <v>10.497527</v>
      </c>
      <c r="K28" s="43">
        <v>10.704959000000001</v>
      </c>
      <c r="L28" s="43">
        <v>10.877649</v>
      </c>
      <c r="M28" s="43">
        <v>11.055011</v>
      </c>
      <c r="N28" s="43">
        <v>11.219061999999999</v>
      </c>
      <c r="O28" s="43">
        <v>11.404553999999999</v>
      </c>
      <c r="P28" s="43">
        <v>11.579781000000001</v>
      </c>
      <c r="Q28" s="43">
        <v>11.734743999999999</v>
      </c>
      <c r="R28" s="43">
        <v>11.914078999999999</v>
      </c>
      <c r="S28" s="43">
        <v>12.101099</v>
      </c>
      <c r="T28" s="43">
        <v>12.287822999999999</v>
      </c>
      <c r="U28" s="43">
        <v>12.483280000000001</v>
      </c>
      <c r="V28" s="43">
        <v>12.667294999999999</v>
      </c>
      <c r="W28" s="43">
        <v>12.824119</v>
      </c>
    </row>
    <row r="29" spans="2:23" x14ac:dyDescent="0.25">
      <c r="B29" s="40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</row>
    <row r="30" spans="2:23" x14ac:dyDescent="0.25">
      <c r="B30" s="39" t="s">
        <v>12</v>
      </c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</row>
    <row r="31" spans="2:23" x14ac:dyDescent="0.25">
      <c r="B31" s="44" t="s">
        <v>5</v>
      </c>
      <c r="C31" s="48">
        <v>9898</v>
      </c>
      <c r="D31" s="48">
        <v>9829</v>
      </c>
      <c r="E31" s="48">
        <v>9797</v>
      </c>
      <c r="F31" s="48">
        <v>9717</v>
      </c>
      <c r="G31" s="48">
        <v>9531</v>
      </c>
      <c r="H31" s="48">
        <v>9345</v>
      </c>
      <c r="I31" s="48">
        <v>9181</v>
      </c>
      <c r="J31" s="48">
        <v>9015</v>
      </c>
      <c r="K31" s="48">
        <v>9048</v>
      </c>
      <c r="L31" s="48">
        <v>9064</v>
      </c>
      <c r="M31" s="48">
        <v>9086</v>
      </c>
      <c r="N31" s="48">
        <v>9080</v>
      </c>
      <c r="O31" s="48">
        <v>9090</v>
      </c>
      <c r="P31" s="48">
        <v>9101</v>
      </c>
      <c r="Q31" s="48">
        <v>9111</v>
      </c>
      <c r="R31" s="48">
        <v>9121</v>
      </c>
      <c r="S31" s="48">
        <v>9132</v>
      </c>
      <c r="T31" s="48">
        <v>9142</v>
      </c>
      <c r="U31" s="48">
        <v>9152</v>
      </c>
      <c r="V31" s="48">
        <v>9162</v>
      </c>
      <c r="W31" s="48">
        <v>9172</v>
      </c>
    </row>
    <row r="32" spans="2:23" x14ac:dyDescent="0.25">
      <c r="B32" s="44" t="s">
        <v>6</v>
      </c>
      <c r="C32" s="48">
        <v>33466</v>
      </c>
      <c r="D32" s="48">
        <v>33624</v>
      </c>
      <c r="E32" s="48">
        <v>33768</v>
      </c>
      <c r="F32" s="48">
        <v>33919</v>
      </c>
      <c r="G32" s="48">
        <v>33389</v>
      </c>
      <c r="H32" s="48">
        <v>32873</v>
      </c>
      <c r="I32" s="48">
        <v>32372</v>
      </c>
      <c r="J32" s="48">
        <v>31873</v>
      </c>
      <c r="K32" s="48">
        <v>31872</v>
      </c>
      <c r="L32" s="48">
        <v>31884</v>
      </c>
      <c r="M32" s="48">
        <v>31886</v>
      </c>
      <c r="N32" s="48">
        <v>33236</v>
      </c>
      <c r="O32" s="48">
        <v>33225</v>
      </c>
      <c r="P32" s="48">
        <v>33225</v>
      </c>
      <c r="Q32" s="48">
        <v>33220</v>
      </c>
      <c r="R32" s="48">
        <v>33215</v>
      </c>
      <c r="S32" s="48">
        <v>33213</v>
      </c>
      <c r="T32" s="48">
        <v>33208</v>
      </c>
      <c r="U32" s="48">
        <v>33205</v>
      </c>
      <c r="V32" s="48">
        <v>33202</v>
      </c>
      <c r="W32" s="48">
        <v>33199</v>
      </c>
    </row>
    <row r="33" spans="1:15" x14ac:dyDescent="0.25">
      <c r="A33" s="31"/>
      <c r="B33" s="40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</row>
    <row r="34" spans="1:15" x14ac:dyDescent="0.25">
      <c r="A34" s="31" t="s">
        <v>13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</row>
    <row r="35" spans="1:15" x14ac:dyDescent="0.25">
      <c r="A35" s="31" t="s">
        <v>14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</row>
    <row r="36" spans="1:15" x14ac:dyDescent="0.2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</row>
    <row r="37" spans="1:15" x14ac:dyDescent="0.25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</row>
    <row r="38" spans="1:15" x14ac:dyDescent="0.25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</row>
    <row r="39" spans="1:15" x14ac:dyDescent="0.25">
      <c r="A39" s="31"/>
      <c r="B39" s="40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</row>
    <row r="40" spans="1:15" x14ac:dyDescent="0.25">
      <c r="A40" s="31"/>
      <c r="B40" s="40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</row>
    <row r="41" spans="1:15" x14ac:dyDescent="0.25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</row>
    <row r="42" spans="1:15" x14ac:dyDescent="0.25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</row>
    <row r="43" spans="1:15" x14ac:dyDescent="0.25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</row>
    <row r="44" spans="1:15" x14ac:dyDescent="0.25">
      <c r="A44" s="31"/>
      <c r="B44" s="40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</row>
    <row r="45" spans="1:15" x14ac:dyDescent="0.2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</row>
    <row r="46" spans="1:15" x14ac:dyDescent="0.25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</row>
    <row r="47" spans="1:15" x14ac:dyDescent="0.25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</row>
    <row r="48" spans="1:15" x14ac:dyDescent="0.25">
      <c r="A48" s="31"/>
      <c r="B48" s="40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Demand and Existing Capacity</vt:lpstr>
      <vt:lpstr>Model efficiencies</vt:lpstr>
      <vt:lpstr>efficiency</vt:lpstr>
      <vt:lpstr>secondary energy</vt:lpstr>
      <vt:lpstr>stock</vt:lpstr>
    </vt:vector>
  </TitlesOfParts>
  <Company>NRCan - RNCan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Blais, Michel</dc:creator>
  <cp:lastModifiedBy>David Elder</cp:lastModifiedBy>
  <dcterms:created xsi:type="dcterms:W3CDTF">2023-04-24T20:20:05Z</dcterms:created>
  <dcterms:modified xsi:type="dcterms:W3CDTF">2023-08-23T16:04:32Z</dcterms:modified>
</cp:coreProperties>
</file>