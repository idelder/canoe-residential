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TEMOA model and data/Data sources/Buildings/Residential/Ontario/"/>
    </mc:Choice>
  </mc:AlternateContent>
  <xr:revisionPtr revIDLastSave="46" documentId="8_{DE26A0FF-AB41-4FFF-845C-C2A75B4C8A3E}" xr6:coauthVersionLast="47" xr6:coauthVersionMax="47" xr10:uidLastSave="{B5672414-F187-4E9E-8A5D-5796D3589910}"/>
  <bookViews>
    <workbookView xWindow="-120" yWindow="-120" windowWidth="29040" windowHeight="15840" xr2:uid="{CD49E7A1-BF9E-479B-BF14-B830C06D395F}"/>
  </bookViews>
  <sheets>
    <sheet name="Demand and existing capacity" sheetId="3" r:id="rId1"/>
    <sheet name="secondary energy" sheetId="2" r:id="rId2"/>
    <sheet name="tech share, eff, unit cap" sheetId="1" r:id="rId3"/>
    <sheet name="stoc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3" l="1"/>
  <c r="C4" i="3"/>
  <c r="C3" i="3"/>
  <c r="B21" i="3"/>
  <c r="D8" i="3" s="1"/>
  <c r="B22" i="3"/>
  <c r="D9" i="3" s="1"/>
  <c r="B23" i="3"/>
  <c r="B24" i="3"/>
  <c r="B25" i="3"/>
  <c r="B26" i="3"/>
  <c r="D11" i="3" l="1"/>
  <c r="C8" i="3" a="1"/>
  <c r="C8" i="3" s="1"/>
  <c r="E8" i="3" s="1"/>
  <c r="G8" i="3" s="1"/>
  <c r="J8" i="3" s="1"/>
  <c r="D15" i="3"/>
  <c r="E15" i="3" s="1"/>
  <c r="G15" i="3" s="1"/>
  <c r="J15" i="3" s="1"/>
  <c r="D14" i="3"/>
  <c r="E14" i="3" s="1"/>
  <c r="G14" i="3" s="1"/>
  <c r="J14" i="3" s="1"/>
  <c r="E9" i="3" l="1"/>
  <c r="G9" i="3" s="1"/>
  <c r="J9" i="3" s="1"/>
  <c r="D13" i="3"/>
  <c r="E13" i="3" s="1"/>
  <c r="G13" i="3" s="1"/>
  <c r="J13" i="3" s="1"/>
  <c r="D10" i="3"/>
  <c r="E10" i="3" s="1"/>
  <c r="G10" i="3" s="1"/>
  <c r="J10" i="3" s="1"/>
  <c r="E11" i="3"/>
  <c r="G11" i="3" s="1"/>
  <c r="J11" i="3" s="1"/>
  <c r="D12" i="3"/>
  <c r="E12" i="3" s="1"/>
  <c r="G12" i="3" s="1"/>
  <c r="J12" i="3" s="1"/>
  <c r="B3" i="3"/>
  <c r="I4" i="1" a="1"/>
  <c r="I4" i="1" s="1"/>
  <c r="J17" i="3" l="1"/>
  <c r="B4" i="3"/>
  <c r="G4" i="3" s="1"/>
  <c r="E4" i="3"/>
  <c r="D3" i="3"/>
  <c r="H3" i="3"/>
  <c r="F3" i="3"/>
  <c r="E3" i="3"/>
  <c r="I3" i="3"/>
  <c r="G3" i="3"/>
  <c r="D4" i="3"/>
  <c r="I4" i="3"/>
  <c r="H4" i="3"/>
  <c r="F4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<sst xmlns="http://schemas.openxmlformats.org/spreadsheetml/2006/main" count="124" uniqueCount="71">
  <si>
    <t>Tech</t>
  </si>
  <si>
    <t>Electric tank</t>
  </si>
  <si>
    <t>Gas tank</t>
  </si>
  <si>
    <t>Gas tank HEF</t>
  </si>
  <si>
    <t>Gas instant</t>
  </si>
  <si>
    <t>Electric instant</t>
  </si>
  <si>
    <t>Heat pump</t>
  </si>
  <si>
    <t>Other</t>
  </si>
  <si>
    <t>Share (2018)</t>
  </si>
  <si>
    <t>Average</t>
  </si>
  <si>
    <t>https://ieso.ca/-/media/Files/IESO/Document-Library/research/Ontario-Residential-End-Use-Survey.ashx</t>
  </si>
  <si>
    <t>Residential Sector</t>
  </si>
  <si>
    <r>
      <t>Ontario</t>
    </r>
    <r>
      <rPr>
        <b/>
        <vertAlign val="superscript"/>
        <sz val="12"/>
        <rFont val="Arial"/>
        <family val="2"/>
      </rPr>
      <t>1</t>
    </r>
  </si>
  <si>
    <t>Table 10: Water Heating Secondary Energy Use and GHG Emissions by Energy Source</t>
  </si>
  <si>
    <t>Total Water Heating Energy Use (PJ)</t>
  </si>
  <si>
    <t>Energy Use by Energy Source (PJ)</t>
  </si>
  <si>
    <t>Electricity</t>
  </si>
  <si>
    <t>Natural Gas</t>
  </si>
  <si>
    <t>Heating Oil</t>
  </si>
  <si>
    <r>
      <t>Other</t>
    </r>
    <r>
      <rPr>
        <vertAlign val="superscript"/>
        <sz val="10"/>
        <rFont val="Arial"/>
        <family val="2"/>
      </rPr>
      <t>2</t>
    </r>
  </si>
  <si>
    <t>Wood</t>
  </si>
  <si>
    <t>Shares (%)</t>
  </si>
  <si>
    <t xml:space="preserve">Activity </t>
  </si>
  <si>
    <t>Total Households (thousands)</t>
  </si>
  <si>
    <t>Energy Intensity (GJ/household)</t>
  </si>
  <si>
    <r>
      <t xml:space="preserve">Total Water Heating GHG Emissions </t>
    </r>
    <r>
      <rPr>
        <b/>
        <u/>
        <sz val="10"/>
        <rFont val="Arial"/>
        <family val="2"/>
      </rPr>
      <t>Excluding</t>
    </r>
    <r>
      <rPr>
        <b/>
        <sz val="10"/>
        <rFont val="Arial"/>
        <family val="2"/>
      </rPr>
      <t xml:space="preserve"> Electricity (Mt of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e)</t>
    </r>
  </si>
  <si>
    <r>
      <t>GHG Emissions by Energy Source (Mt of CO</t>
    </r>
    <r>
      <rPr>
        <b/>
        <i/>
        <vertAlign val="subscript"/>
        <sz val="10"/>
        <rFont val="Arial"/>
        <family val="2"/>
      </rPr>
      <t>2</t>
    </r>
    <r>
      <rPr>
        <b/>
        <i/>
        <sz val="10"/>
        <rFont val="Arial"/>
        <family val="2"/>
      </rPr>
      <t>e)</t>
    </r>
  </si>
  <si>
    <t>–</t>
  </si>
  <si>
    <t>GHG Intensity (tonne/TJ)</t>
  </si>
  <si>
    <t>Heat Loss (PJ)</t>
  </si>
  <si>
    <r>
      <t xml:space="preserve">1) Data on GHG emissions are presented </t>
    </r>
    <r>
      <rPr>
        <u/>
        <sz val="10"/>
        <rFont val="Arial"/>
        <family val="2"/>
      </rPr>
      <t>excluding</t>
    </r>
    <r>
      <rPr>
        <sz val="10"/>
        <rFont val="Arial"/>
        <family val="2"/>
      </rPr>
      <t xml:space="preserve"> GHG emissions related to electricity production only.</t>
    </r>
  </si>
  <si>
    <t>2) “Other” includes coal and propane.</t>
  </si>
  <si>
    <t>Secondary energy (PJ p.a.)</t>
  </si>
  <si>
    <t>Population index</t>
  </si>
  <si>
    <t>Year</t>
  </si>
  <si>
    <t>Demand (PJ p.a.)</t>
  </si>
  <si>
    <t xml:space="preserve"> NRCan aggregates stock by fuel, not technology</t>
  </si>
  <si>
    <t>Efficiency (2022) (PJ/PJ)</t>
  </si>
  <si>
    <t>Unit capacity (kW)</t>
  </si>
  <si>
    <t>Technology</t>
  </si>
  <si>
    <t>R_WAH_ELC_INST</t>
  </si>
  <si>
    <t>R_WAH_NGS_HEF</t>
  </si>
  <si>
    <t>R_WAH_NGS_MEF</t>
  </si>
  <si>
    <t>Ontario</t>
  </si>
  <si>
    <t>Table 28: Water Heater Stock by Building Type and Energy Source</t>
  </si>
  <si>
    <t>Total Water Heater Stock (thousands)</t>
  </si>
  <si>
    <t>Water Heater Stock by Building Type (thousands)</t>
  </si>
  <si>
    <t>Single Detached</t>
  </si>
  <si>
    <t>Single Attached</t>
  </si>
  <si>
    <t>Apartments</t>
  </si>
  <si>
    <t>Mobile Homes</t>
  </si>
  <si>
    <t>Water Heater Stock by Energy Source (thousands)</t>
  </si>
  <si>
    <t>Steam</t>
  </si>
  <si>
    <r>
      <t>Other</t>
    </r>
    <r>
      <rPr>
        <vertAlign val="superscript"/>
        <sz val="10"/>
        <rFont val="Arial"/>
        <family val="2"/>
      </rPr>
      <t>1</t>
    </r>
  </si>
  <si>
    <t>1) “Other” includes coal and propane.</t>
  </si>
  <si>
    <t>R_WAH_WOD</t>
  </si>
  <si>
    <t>R_WAH_ELC_MEF</t>
  </si>
  <si>
    <t>R_WAH_NGS_INST_MEF</t>
  </si>
  <si>
    <t>R_WAH_HP_MEF</t>
  </si>
  <si>
    <t>Lifetime (Y)</t>
  </si>
  <si>
    <t>Existing capacity (GW)</t>
  </si>
  <si>
    <t>Fuel</t>
  </si>
  <si>
    <t>Stock (x1000)</t>
  </si>
  <si>
    <t>Other (LPG)</t>
  </si>
  <si>
    <t>Share</t>
  </si>
  <si>
    <t>R_WAH_LPG_INST_MEF</t>
  </si>
  <si>
    <t>Unit cap. (kW)</t>
  </si>
  <si>
    <t>Total</t>
  </si>
  <si>
    <t>Annual PJ</t>
  </si>
  <si>
    <t>2020 Stock (x1000)</t>
  </si>
  <si>
    <t>Annual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</si>
</sst>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#,##0.0"/>
    <numFmt numFmtId="167" formatCode="0.0000"/>
    <numFmt numFmtId="168" formatCode="0.000"/>
    <numFmt numFmtId="174" formatCode="0.00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0"/>
      <name val="Arial"/>
      <family val="2"/>
    </font>
    <font>
      <b/>
      <vertAlign val="subscript"/>
      <sz val="10"/>
      <name val="Arial"/>
      <family val="2"/>
    </font>
    <font>
      <b/>
      <i/>
      <vertAlign val="subscript"/>
      <sz val="10"/>
      <name val="Arial"/>
      <family val="2"/>
    </font>
    <font>
      <sz val="12"/>
      <name val="Times New Roman"/>
      <family val="1"/>
    </font>
    <font>
      <u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71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9" fontId="0" fillId="0" borderId="0" xfId="1" applyFont="1" applyAlignment="1">
      <alignment horizontal="right"/>
    </xf>
    <xf numFmtId="9" fontId="4" fillId="0" borderId="0" xfId="1" applyFont="1" applyAlignment="1">
      <alignment horizontal="right"/>
    </xf>
    <xf numFmtId="164" fontId="0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right"/>
    </xf>
    <xf numFmtId="9" fontId="3" fillId="0" borderId="0" xfId="1" applyFont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/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1" xfId="0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165" fontId="10" fillId="0" borderId="0" xfId="0" applyNumberFormat="1" applyFont="1"/>
    <xf numFmtId="0" fontId="11" fillId="0" borderId="0" xfId="0" applyFont="1" applyAlignment="1">
      <alignment horizontal="left" indent="1"/>
    </xf>
    <xf numFmtId="165" fontId="0" fillId="0" borderId="0" xfId="0" applyNumberFormat="1"/>
    <xf numFmtId="0" fontId="0" fillId="0" borderId="0" xfId="0" applyAlignment="1">
      <alignment horizontal="left" indent="2"/>
    </xf>
    <xf numFmtId="2" fontId="13" fillId="0" borderId="0" xfId="0" applyNumberFormat="1" applyFont="1" applyAlignment="1">
      <alignment horizontal="left"/>
    </xf>
    <xf numFmtId="1" fontId="14" fillId="0" borderId="0" xfId="0" applyNumberFormat="1" applyFont="1" applyAlignment="1">
      <alignment horizontal="left" indent="2"/>
    </xf>
    <xf numFmtId="166" fontId="0" fillId="0" borderId="0" xfId="0" applyNumberFormat="1"/>
    <xf numFmtId="0" fontId="10" fillId="0" borderId="0" xfId="0" applyFont="1" applyAlignment="1">
      <alignment horizontal="left" wrapText="1"/>
    </xf>
    <xf numFmtId="0" fontId="5" fillId="0" borderId="0" xfId="0" applyFont="1" applyAlignment="1">
      <alignment horizontal="left" indent="2"/>
    </xf>
    <xf numFmtId="0" fontId="18" fillId="0" borderId="0" xfId="0" applyFont="1" applyAlignment="1">
      <alignment horizontal="right"/>
    </xf>
    <xf numFmtId="0" fontId="20" fillId="0" borderId="0" xfId="0" applyFont="1"/>
    <xf numFmtId="0" fontId="21" fillId="0" borderId="0" xfId="0" applyFont="1"/>
    <xf numFmtId="167" fontId="0" fillId="0" borderId="0" xfId="0" applyNumberFormat="1"/>
    <xf numFmtId="168" fontId="0" fillId="0" borderId="0" xfId="0" applyNumberFormat="1"/>
    <xf numFmtId="0" fontId="2" fillId="0" borderId="0" xfId="0" applyFont="1"/>
    <xf numFmtId="168" fontId="2" fillId="0" borderId="0" xfId="0" applyNumberFormat="1" applyFont="1"/>
    <xf numFmtId="167" fontId="2" fillId="0" borderId="0" xfId="0" applyNumberFormat="1" applyFont="1"/>
    <xf numFmtId="0" fontId="22" fillId="0" borderId="0" xfId="0" applyFont="1"/>
    <xf numFmtId="165" fontId="22" fillId="0" borderId="0" xfId="0" applyNumberFormat="1" applyFont="1"/>
    <xf numFmtId="166" fontId="22" fillId="0" borderId="0" xfId="0" applyNumberFormat="1" applyFont="1"/>
    <xf numFmtId="0" fontId="23" fillId="0" borderId="0" xfId="0" applyFont="1" applyAlignment="1">
      <alignment horizontal="right"/>
    </xf>
    <xf numFmtId="0" fontId="24" fillId="0" borderId="0" xfId="2" applyAlignment="1">
      <alignment horizontal="left"/>
    </xf>
    <xf numFmtId="2" fontId="0" fillId="0" borderId="0" xfId="0" applyNumberFormat="1"/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horizontal="right"/>
    </xf>
    <xf numFmtId="0" fontId="7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0" fillId="0" borderId="1" xfId="0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166" fontId="10" fillId="0" borderId="0" xfId="0" applyNumberFormat="1" applyFont="1"/>
    <xf numFmtId="0" fontId="11" fillId="0" borderId="0" xfId="0" applyFont="1" applyAlignment="1">
      <alignment horizontal="left" wrapText="1" indent="1"/>
    </xf>
    <xf numFmtId="166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165" fontId="0" fillId="0" borderId="0" xfId="0" applyNumberFormat="1"/>
    <xf numFmtId="9" fontId="0" fillId="0" borderId="0" xfId="1" applyFont="1" applyAlignment="1">
      <alignment horizontal="left"/>
    </xf>
    <xf numFmtId="165" fontId="0" fillId="0" borderId="0" xfId="0" applyNumberFormat="1"/>
    <xf numFmtId="0" fontId="0" fillId="0" borderId="0" xfId="0"/>
    <xf numFmtId="165" fontId="0" fillId="0" borderId="0" xfId="0" applyNumberFormat="1"/>
    <xf numFmtId="9" fontId="0" fillId="0" borderId="0" xfId="1" applyFont="1"/>
    <xf numFmtId="165" fontId="0" fillId="0" borderId="0" xfId="0" applyNumberFormat="1" applyAlignment="1">
      <alignment horizontal="right"/>
    </xf>
    <xf numFmtId="1" fontId="0" fillId="0" borderId="0" xfId="0" applyNumberFormat="1"/>
    <xf numFmtId="10" fontId="0" fillId="0" borderId="0" xfId="1" applyNumberFormat="1" applyFont="1"/>
    <xf numFmtId="0" fontId="3" fillId="0" borderId="0" xfId="0" applyFont="1"/>
    <xf numFmtId="167" fontId="3" fillId="0" borderId="0" xfId="0" applyNumberFormat="1" applyFont="1"/>
    <xf numFmtId="167" fontId="0" fillId="0" borderId="0" xfId="0" applyNumberFormat="1" applyFont="1"/>
    <xf numFmtId="174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171450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2BA58A9-34A6-41CE-A49A-E6F70DED3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482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438150</xdr:colOff>
      <xdr:row>0</xdr:row>
      <xdr:rowOff>152400</xdr:rowOff>
    </xdr:from>
    <xdr:to>
      <xdr:col>23</xdr:col>
      <xdr:colOff>276225</xdr:colOff>
      <xdr:row>2</xdr:row>
      <xdr:rowOff>38100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369205C4-8A22-427B-8A91-61EBAD756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0" y="152400"/>
          <a:ext cx="10572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eso.ca/-/media/Files/IESO/Document-Library/research/Ontario-Residential-End-Use-Survey.as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065C-B1A1-403E-B903-9C3A2504FBDE}">
  <dimension ref="A1:O26"/>
  <sheetViews>
    <sheetView tabSelected="1" workbookViewId="0">
      <selection activeCell="P12" sqref="P12"/>
    </sheetView>
  </sheetViews>
  <sheetFormatPr defaultRowHeight="15" x14ac:dyDescent="0.25"/>
  <cols>
    <col min="1" max="1" width="25.140625" customWidth="1"/>
    <col min="2" max="5" width="9.5703125" bestFit="1" customWidth="1"/>
    <col min="6" max="6" width="9.5703125" customWidth="1"/>
    <col min="7" max="8" width="9.5703125" bestFit="1" customWidth="1"/>
    <col min="11" max="11" width="9.5703125" bestFit="1" customWidth="1"/>
  </cols>
  <sheetData>
    <row r="1" spans="1:15" x14ac:dyDescent="0.25">
      <c r="A1" t="s">
        <v>34</v>
      </c>
      <c r="B1" s="32">
        <v>2018</v>
      </c>
      <c r="C1">
        <v>2023</v>
      </c>
      <c r="D1" s="67">
        <v>2025</v>
      </c>
      <c r="E1" s="67">
        <v>2030</v>
      </c>
      <c r="F1" s="67">
        <v>2035</v>
      </c>
      <c r="G1" s="67">
        <v>2040</v>
      </c>
      <c r="H1" s="67">
        <v>2045</v>
      </c>
      <c r="I1" s="67">
        <v>2050</v>
      </c>
    </row>
    <row r="2" spans="1:15" x14ac:dyDescent="0.25">
      <c r="A2" t="s">
        <v>33</v>
      </c>
      <c r="B2" s="33">
        <v>1</v>
      </c>
      <c r="C2">
        <v>1.0743186469040473</v>
      </c>
      <c r="D2" s="31">
        <v>1.1068652861962205</v>
      </c>
      <c r="E2" s="31">
        <v>1.1799676797964203</v>
      </c>
      <c r="F2" s="31">
        <v>1.2445018578560998</v>
      </c>
      <c r="G2" s="31">
        <v>1.3009849883605753</v>
      </c>
      <c r="H2" s="31">
        <v>1.3513459681199482</v>
      </c>
      <c r="I2" s="31">
        <v>1.3975416489705528</v>
      </c>
    </row>
    <row r="3" spans="1:15" x14ac:dyDescent="0.25">
      <c r="A3" t="s">
        <v>32</v>
      </c>
      <c r="B3" s="34">
        <f>'secondary energy'!U13</f>
        <v>106.76318999999999</v>
      </c>
      <c r="C3" s="30">
        <f>$B$3*C2/$B$2</f>
        <v>114.69768581995972</v>
      </c>
      <c r="D3" s="30">
        <f>$B$3*D2/$B$2</f>
        <v>118.17246885457146</v>
      </c>
      <c r="E3" s="30">
        <f t="shared" ref="E3:I3" si="0">$B$3*E2/$B$2</f>
        <v>125.97711359196437</v>
      </c>
      <c r="F3" s="30">
        <f t="shared" si="0"/>
        <v>132.86698830564376</v>
      </c>
      <c r="G3" s="30">
        <f t="shared" si="0"/>
        <v>138.89730749948788</v>
      </c>
      <c r="H3" s="30">
        <f t="shared" si="0"/>
        <v>144.27400635012395</v>
      </c>
      <c r="I3" s="30">
        <f t="shared" si="0"/>
        <v>149.20600460195641</v>
      </c>
    </row>
    <row r="4" spans="1:15" x14ac:dyDescent="0.25">
      <c r="A4" t="s">
        <v>35</v>
      </c>
      <c r="B4" s="34">
        <f>B3*'tech share, eff, unit cap'!$I$4</f>
        <v>81.151851138066448</v>
      </c>
      <c r="C4" s="69">
        <f>$B$4*C2/$B$2</f>
        <v>87.182946908406223</v>
      </c>
      <c r="D4" s="68">
        <f>$B$4*D2/$B$2</f>
        <v>89.824166935289</v>
      </c>
      <c r="E4" s="68">
        <f t="shared" ref="E4:I4" si="1">$B$4*E2/$B$2</f>
        <v>95.756561498568757</v>
      </c>
      <c r="F4" s="68">
        <f t="shared" si="1"/>
        <v>100.99362950978534</v>
      </c>
      <c r="G4" s="68">
        <f t="shared" si="1"/>
        <v>105.57734010829651</v>
      </c>
      <c r="H4" s="68">
        <f t="shared" si="1"/>
        <v>109.66422684089633</v>
      </c>
      <c r="I4" s="68">
        <f t="shared" si="1"/>
        <v>113.41309185650621</v>
      </c>
    </row>
    <row r="5" spans="1:15" x14ac:dyDescent="0.25">
      <c r="B5" s="32"/>
    </row>
    <row r="6" spans="1:15" x14ac:dyDescent="0.25">
      <c r="D6" t="s">
        <v>62</v>
      </c>
    </row>
    <row r="7" spans="1:15" x14ac:dyDescent="0.25">
      <c r="A7" t="s">
        <v>39</v>
      </c>
      <c r="B7" t="s">
        <v>59</v>
      </c>
      <c r="C7" t="s">
        <v>64</v>
      </c>
      <c r="D7">
        <v>2020</v>
      </c>
      <c r="E7">
        <v>2023</v>
      </c>
      <c r="F7" t="s">
        <v>66</v>
      </c>
      <c r="G7" t="s">
        <v>60</v>
      </c>
      <c r="J7" t="s">
        <v>68</v>
      </c>
    </row>
    <row r="8" spans="1:15" x14ac:dyDescent="0.25">
      <c r="A8" s="3" t="s">
        <v>56</v>
      </c>
      <c r="B8">
        <v>15</v>
      </c>
      <c r="C8" s="63" cm="1">
        <f t="array" ref="C8:C13">TRANSPOSE('tech share, eff, unit cap'!B3:G3)</f>
        <v>0.21199999999999999</v>
      </c>
      <c r="D8">
        <f>C8/SUM($C$8,$C$11,$C$13)*$B$21</f>
        <v>1313.6277142857143</v>
      </c>
      <c r="E8">
        <f>$E$17/$D$17*D8</f>
        <v>1371.2607917312246</v>
      </c>
      <c r="F8" s="40">
        <v>4</v>
      </c>
      <c r="G8" s="40">
        <f>F8*E8*1000/1000000</f>
        <v>5.4850431669248989</v>
      </c>
      <c r="H8" s="40"/>
      <c r="I8" s="40"/>
      <c r="J8" s="40">
        <f>G8*8760*3600/1000000</f>
        <v>172.97632131214363</v>
      </c>
      <c r="K8" s="65"/>
    </row>
    <row r="9" spans="1:15" x14ac:dyDescent="0.25">
      <c r="A9" s="3" t="s">
        <v>42</v>
      </c>
      <c r="B9">
        <v>14</v>
      </c>
      <c r="C9" s="63">
        <v>0.64100000000000001</v>
      </c>
      <c r="D9" s="61">
        <f>C9/SUM($C$9,$C$10,$C$12)*$B$22</f>
        <v>3570.0728476821191</v>
      </c>
      <c r="E9" s="61">
        <f t="shared" ref="E9:E15" si="2">$E$17/$D$17*D9</f>
        <v>3726.7034384339713</v>
      </c>
      <c r="F9" s="40">
        <v>11.722840000000001</v>
      </c>
      <c r="G9" s="40">
        <f t="shared" ref="G9:G15" si="3">F9*E9*1000/1000000</f>
        <v>43.687548136211298</v>
      </c>
      <c r="J9" s="40">
        <f t="shared" ref="J9:J15" si="4">G9*8760*3600/1000000</f>
        <v>1377.7305180235596</v>
      </c>
      <c r="K9" s="65"/>
    </row>
    <row r="10" spans="1:15" x14ac:dyDescent="0.25">
      <c r="A10" s="3" t="s">
        <v>41</v>
      </c>
      <c r="B10">
        <v>14</v>
      </c>
      <c r="C10" s="63">
        <v>4.7E-2</v>
      </c>
      <c r="D10" s="61">
        <f>C10/SUM($C$9,$C$10,$C$12)*$B$22</f>
        <v>261.76821192052978</v>
      </c>
      <c r="E10" s="61">
        <f t="shared" si="2"/>
        <v>273.2528262190275</v>
      </c>
      <c r="F10" s="40">
        <v>11.722840000000001</v>
      </c>
      <c r="G10" s="40">
        <f t="shared" si="3"/>
        <v>3.2032991613134643</v>
      </c>
      <c r="J10" s="40">
        <f t="shared" si="4"/>
        <v>101.0192423511814</v>
      </c>
      <c r="K10" s="65"/>
    </row>
    <row r="11" spans="1:15" x14ac:dyDescent="0.25">
      <c r="A11" s="3" t="s">
        <v>40</v>
      </c>
      <c r="B11">
        <v>20</v>
      </c>
      <c r="C11" s="63">
        <v>8.0000000000000002E-3</v>
      </c>
      <c r="D11" s="61">
        <f>C11/SUM($C$8,$C$11,$C$13)*$B$21</f>
        <v>49.57085714285715</v>
      </c>
      <c r="E11" s="61">
        <f t="shared" si="2"/>
        <v>51.74569025400848</v>
      </c>
      <c r="F11" s="40">
        <v>3.5</v>
      </c>
      <c r="G11" s="40">
        <f t="shared" si="3"/>
        <v>0.18110991588902969</v>
      </c>
      <c r="J11" s="40">
        <f t="shared" si="4"/>
        <v>5.71148230747644</v>
      </c>
      <c r="K11" s="65"/>
    </row>
    <row r="12" spans="1:15" x14ac:dyDescent="0.25">
      <c r="A12" s="3" t="s">
        <v>57</v>
      </c>
      <c r="B12">
        <v>20</v>
      </c>
      <c r="C12" s="63">
        <v>6.7000000000000004E-2</v>
      </c>
      <c r="D12" s="61">
        <f>C12/SUM($C$9,$C$10,$C$12)*$B$22</f>
        <v>373.15894039735093</v>
      </c>
      <c r="E12" s="61">
        <f t="shared" si="2"/>
        <v>389.53062461010302</v>
      </c>
      <c r="F12" s="40">
        <v>58.321129000000006</v>
      </c>
      <c r="G12" s="40">
        <f t="shared" si="3"/>
        <v>22.717865807336395</v>
      </c>
      <c r="J12" s="40">
        <f t="shared" si="4"/>
        <v>716.43061610016059</v>
      </c>
      <c r="K12" s="65"/>
    </row>
    <row r="13" spans="1:15" x14ac:dyDescent="0.25">
      <c r="A13" s="3" t="s">
        <v>58</v>
      </c>
      <c r="B13">
        <v>15</v>
      </c>
      <c r="C13" s="63">
        <v>1.7999999999999999E-2</v>
      </c>
      <c r="D13" s="61">
        <f>C13/SUM($C$8,$C$11,$C$13)*$B$21</f>
        <v>111.53442857142856</v>
      </c>
      <c r="E13" s="61">
        <f t="shared" si="2"/>
        <v>116.42780307151905</v>
      </c>
      <c r="F13" s="40">
        <v>1.2308982000000002</v>
      </c>
      <c r="G13" s="40">
        <f t="shared" si="3"/>
        <v>0.14331077323068728</v>
      </c>
      <c r="J13" s="40">
        <f t="shared" si="4"/>
        <v>4.5194485446029544</v>
      </c>
      <c r="K13" s="65"/>
    </row>
    <row r="14" spans="1:15" x14ac:dyDescent="0.25">
      <c r="A14" s="3" t="s">
        <v>55</v>
      </c>
      <c r="B14">
        <v>18</v>
      </c>
      <c r="C14" s="60"/>
      <c r="D14" s="60">
        <f>B26</f>
        <v>6.2169999999999996</v>
      </c>
      <c r="E14" s="61">
        <f t="shared" si="2"/>
        <v>6.4897598075026641</v>
      </c>
      <c r="F14" s="60">
        <v>14.653550000000001</v>
      </c>
      <c r="G14" s="40">
        <f t="shared" si="3"/>
        <v>9.5098019827230679E-2</v>
      </c>
      <c r="I14" s="60"/>
      <c r="J14" s="40">
        <f t="shared" si="4"/>
        <v>2.9990111532715464</v>
      </c>
      <c r="K14" s="65"/>
      <c r="L14" s="60"/>
      <c r="M14" s="60"/>
      <c r="N14" s="60"/>
      <c r="O14" s="60"/>
    </row>
    <row r="15" spans="1:15" s="61" customFormat="1" x14ac:dyDescent="0.25">
      <c r="A15" s="3" t="s">
        <v>65</v>
      </c>
      <c r="B15" s="61">
        <v>20</v>
      </c>
      <c r="C15" s="62"/>
      <c r="D15" s="62">
        <f>B25</f>
        <v>100.71899999999999</v>
      </c>
      <c r="E15" s="61">
        <f t="shared" si="2"/>
        <v>105.13786682513444</v>
      </c>
      <c r="F15" s="40">
        <v>58.321129000000006</v>
      </c>
      <c r="G15" s="40">
        <f t="shared" si="3"/>
        <v>6.1317590938934865</v>
      </c>
      <c r="I15" s="62"/>
      <c r="J15" s="40">
        <f t="shared" si="4"/>
        <v>193.37115478502497</v>
      </c>
      <c r="K15" s="65"/>
      <c r="L15" s="62"/>
      <c r="M15" s="62"/>
      <c r="N15" s="62"/>
      <c r="O15" s="62"/>
    </row>
    <row r="16" spans="1:15" x14ac:dyDescent="0.25">
      <c r="C16" s="60"/>
      <c r="D16" s="60"/>
      <c r="E16" s="60"/>
      <c r="F16" s="60"/>
      <c r="G16" s="60"/>
      <c r="J16" s="60"/>
      <c r="K16" s="64" t="s">
        <v>70</v>
      </c>
      <c r="L16" s="60"/>
      <c r="M16" s="60"/>
      <c r="N16" s="60"/>
      <c r="O16" s="60"/>
    </row>
    <row r="17" spans="1:15" s="61" customFormat="1" x14ac:dyDescent="0.25">
      <c r="A17" s="3" t="s">
        <v>33</v>
      </c>
      <c r="C17" s="62"/>
      <c r="D17" s="61">
        <v>1</v>
      </c>
      <c r="E17" s="30">
        <v>1.0438732198009755</v>
      </c>
      <c r="F17" s="62"/>
      <c r="G17" s="62"/>
      <c r="I17" s="64" t="s">
        <v>67</v>
      </c>
      <c r="J17" s="62">
        <f>SUM(J8:J15)</f>
        <v>2574.7577945774215</v>
      </c>
      <c r="K17" s="66">
        <f>C4/J17</f>
        <v>3.386064005399584E-2</v>
      </c>
      <c r="L17" s="62"/>
      <c r="M17" s="62"/>
      <c r="N17" s="62"/>
      <c r="O17" s="62"/>
    </row>
    <row r="18" spans="1:15" s="61" customFormat="1" x14ac:dyDescent="0.25">
      <c r="C18" s="62"/>
      <c r="D18" s="62"/>
      <c r="E18" s="62"/>
      <c r="F18" s="62"/>
      <c r="G18" s="62"/>
      <c r="I18" s="62"/>
      <c r="J18" s="62"/>
      <c r="K18" s="62"/>
      <c r="L18" s="62"/>
      <c r="M18" s="62"/>
      <c r="N18" s="62"/>
      <c r="O18" s="62"/>
    </row>
    <row r="19" spans="1:15" s="61" customFormat="1" x14ac:dyDescent="0.25">
      <c r="C19" s="62"/>
      <c r="D19" s="62"/>
      <c r="E19" s="62"/>
      <c r="F19" s="62"/>
      <c r="G19" s="62"/>
      <c r="H19" s="62"/>
      <c r="I19" s="62"/>
      <c r="J19" s="62"/>
      <c r="K19" s="70"/>
      <c r="L19" s="62"/>
      <c r="M19" s="62"/>
      <c r="N19" s="62"/>
      <c r="O19" s="62"/>
    </row>
    <row r="20" spans="1:15" x14ac:dyDescent="0.25">
      <c r="A20" s="59" t="s">
        <v>61</v>
      </c>
      <c r="B20" t="s">
        <v>69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</row>
    <row r="21" spans="1:15" x14ac:dyDescent="0.25">
      <c r="A21" t="s">
        <v>16</v>
      </c>
      <c r="B21">
        <f>stock!W27</f>
        <v>1474.7329999999999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</row>
    <row r="22" spans="1:15" x14ac:dyDescent="0.25">
      <c r="A22" t="s">
        <v>17</v>
      </c>
      <c r="B22" s="61">
        <f>stock!W28</f>
        <v>4205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</row>
    <row r="23" spans="1:15" x14ac:dyDescent="0.25">
      <c r="A23" t="s">
        <v>18</v>
      </c>
      <c r="B23" s="61">
        <f>stock!W29</f>
        <v>49.125999999999998</v>
      </c>
    </row>
    <row r="24" spans="1:15" x14ac:dyDescent="0.25">
      <c r="A24" t="s">
        <v>52</v>
      </c>
      <c r="B24" s="61">
        <f>stock!W30</f>
        <v>0</v>
      </c>
    </row>
    <row r="25" spans="1:15" x14ac:dyDescent="0.25">
      <c r="A25" t="s">
        <v>63</v>
      </c>
      <c r="B25" s="61">
        <f>stock!W31</f>
        <v>100.71899999999999</v>
      </c>
    </row>
    <row r="26" spans="1:15" x14ac:dyDescent="0.25">
      <c r="A26" t="s">
        <v>20</v>
      </c>
      <c r="B26" s="61">
        <f>stock!W32</f>
        <v>6.2169999999999996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EBEC-A782-4228-999E-2D19568FBC5F}">
  <dimension ref="A1:W94"/>
  <sheetViews>
    <sheetView topLeftCell="A7" zoomScale="85" zoomScaleNormal="85" workbookViewId="0">
      <selection activeCell="X31" sqref="X31"/>
    </sheetView>
  </sheetViews>
  <sheetFormatPr defaultRowHeight="15" x14ac:dyDescent="0.25"/>
  <cols>
    <col min="1" max="1" width="3" customWidth="1"/>
    <col min="2" max="2" width="48.140625" style="8" customWidth="1"/>
    <col min="3" max="3" width="10.42578125" customWidth="1"/>
    <col min="4" max="5" width="10.42578125" style="9" customWidth="1"/>
    <col min="6" max="15" width="10.42578125" customWidth="1"/>
    <col min="16" max="16" width="9.7109375" customWidth="1"/>
    <col min="17" max="17" width="10.28515625" customWidth="1"/>
    <col min="18" max="19" width="9.5703125" customWidth="1"/>
    <col min="20" max="20" width="11" customWidth="1"/>
    <col min="21" max="21" width="10.85546875" style="28" customWidth="1"/>
    <col min="22" max="23" width="10.85546875" customWidth="1"/>
    <col min="257" max="257" width="3" customWidth="1"/>
    <col min="258" max="258" width="48.140625" customWidth="1"/>
    <col min="259" max="271" width="10.42578125" customWidth="1"/>
    <col min="272" max="272" width="9.7109375" customWidth="1"/>
    <col min="273" max="273" width="10.28515625" customWidth="1"/>
    <col min="274" max="275" width="9.5703125" customWidth="1"/>
    <col min="276" max="276" width="11" customWidth="1"/>
    <col min="277" max="279" width="10.85546875" customWidth="1"/>
    <col min="513" max="513" width="3" customWidth="1"/>
    <col min="514" max="514" width="48.140625" customWidth="1"/>
    <col min="515" max="527" width="10.42578125" customWidth="1"/>
    <col min="528" max="528" width="9.7109375" customWidth="1"/>
    <col min="529" max="529" width="10.28515625" customWidth="1"/>
    <col min="530" max="531" width="9.5703125" customWidth="1"/>
    <col min="532" max="532" width="11" customWidth="1"/>
    <col min="533" max="535" width="10.85546875" customWidth="1"/>
    <col min="769" max="769" width="3" customWidth="1"/>
    <col min="770" max="770" width="48.140625" customWidth="1"/>
    <col min="771" max="783" width="10.42578125" customWidth="1"/>
    <col min="784" max="784" width="9.7109375" customWidth="1"/>
    <col min="785" max="785" width="10.28515625" customWidth="1"/>
    <col min="786" max="787" width="9.5703125" customWidth="1"/>
    <col min="788" max="788" width="11" customWidth="1"/>
    <col min="789" max="791" width="10.85546875" customWidth="1"/>
    <col min="1025" max="1025" width="3" customWidth="1"/>
    <col min="1026" max="1026" width="48.140625" customWidth="1"/>
    <col min="1027" max="1039" width="10.42578125" customWidth="1"/>
    <col min="1040" max="1040" width="9.7109375" customWidth="1"/>
    <col min="1041" max="1041" width="10.28515625" customWidth="1"/>
    <col min="1042" max="1043" width="9.5703125" customWidth="1"/>
    <col min="1044" max="1044" width="11" customWidth="1"/>
    <col min="1045" max="1047" width="10.85546875" customWidth="1"/>
    <col min="1281" max="1281" width="3" customWidth="1"/>
    <col min="1282" max="1282" width="48.140625" customWidth="1"/>
    <col min="1283" max="1295" width="10.42578125" customWidth="1"/>
    <col min="1296" max="1296" width="9.7109375" customWidth="1"/>
    <col min="1297" max="1297" width="10.28515625" customWidth="1"/>
    <col min="1298" max="1299" width="9.5703125" customWidth="1"/>
    <col min="1300" max="1300" width="11" customWidth="1"/>
    <col min="1301" max="1303" width="10.85546875" customWidth="1"/>
    <col min="1537" max="1537" width="3" customWidth="1"/>
    <col min="1538" max="1538" width="48.140625" customWidth="1"/>
    <col min="1539" max="1551" width="10.42578125" customWidth="1"/>
    <col min="1552" max="1552" width="9.7109375" customWidth="1"/>
    <col min="1553" max="1553" width="10.28515625" customWidth="1"/>
    <col min="1554" max="1555" width="9.5703125" customWidth="1"/>
    <col min="1556" max="1556" width="11" customWidth="1"/>
    <col min="1557" max="1559" width="10.85546875" customWidth="1"/>
    <col min="1793" max="1793" width="3" customWidth="1"/>
    <col min="1794" max="1794" width="48.140625" customWidth="1"/>
    <col min="1795" max="1807" width="10.42578125" customWidth="1"/>
    <col min="1808" max="1808" width="9.7109375" customWidth="1"/>
    <col min="1809" max="1809" width="10.28515625" customWidth="1"/>
    <col min="1810" max="1811" width="9.5703125" customWidth="1"/>
    <col min="1812" max="1812" width="11" customWidth="1"/>
    <col min="1813" max="1815" width="10.85546875" customWidth="1"/>
    <col min="2049" max="2049" width="3" customWidth="1"/>
    <col min="2050" max="2050" width="48.140625" customWidth="1"/>
    <col min="2051" max="2063" width="10.42578125" customWidth="1"/>
    <col min="2064" max="2064" width="9.7109375" customWidth="1"/>
    <col min="2065" max="2065" width="10.28515625" customWidth="1"/>
    <col min="2066" max="2067" width="9.5703125" customWidth="1"/>
    <col min="2068" max="2068" width="11" customWidth="1"/>
    <col min="2069" max="2071" width="10.85546875" customWidth="1"/>
    <col min="2305" max="2305" width="3" customWidth="1"/>
    <col min="2306" max="2306" width="48.140625" customWidth="1"/>
    <col min="2307" max="2319" width="10.42578125" customWidth="1"/>
    <col min="2320" max="2320" width="9.7109375" customWidth="1"/>
    <col min="2321" max="2321" width="10.28515625" customWidth="1"/>
    <col min="2322" max="2323" width="9.5703125" customWidth="1"/>
    <col min="2324" max="2324" width="11" customWidth="1"/>
    <col min="2325" max="2327" width="10.85546875" customWidth="1"/>
    <col min="2561" max="2561" width="3" customWidth="1"/>
    <col min="2562" max="2562" width="48.140625" customWidth="1"/>
    <col min="2563" max="2575" width="10.42578125" customWidth="1"/>
    <col min="2576" max="2576" width="9.7109375" customWidth="1"/>
    <col min="2577" max="2577" width="10.28515625" customWidth="1"/>
    <col min="2578" max="2579" width="9.5703125" customWidth="1"/>
    <col min="2580" max="2580" width="11" customWidth="1"/>
    <col min="2581" max="2583" width="10.85546875" customWidth="1"/>
    <col min="2817" max="2817" width="3" customWidth="1"/>
    <col min="2818" max="2818" width="48.140625" customWidth="1"/>
    <col min="2819" max="2831" width="10.42578125" customWidth="1"/>
    <col min="2832" max="2832" width="9.7109375" customWidth="1"/>
    <col min="2833" max="2833" width="10.28515625" customWidth="1"/>
    <col min="2834" max="2835" width="9.5703125" customWidth="1"/>
    <col min="2836" max="2836" width="11" customWidth="1"/>
    <col min="2837" max="2839" width="10.85546875" customWidth="1"/>
    <col min="3073" max="3073" width="3" customWidth="1"/>
    <col min="3074" max="3074" width="48.140625" customWidth="1"/>
    <col min="3075" max="3087" width="10.42578125" customWidth="1"/>
    <col min="3088" max="3088" width="9.7109375" customWidth="1"/>
    <col min="3089" max="3089" width="10.28515625" customWidth="1"/>
    <col min="3090" max="3091" width="9.5703125" customWidth="1"/>
    <col min="3092" max="3092" width="11" customWidth="1"/>
    <col min="3093" max="3095" width="10.85546875" customWidth="1"/>
    <col min="3329" max="3329" width="3" customWidth="1"/>
    <col min="3330" max="3330" width="48.140625" customWidth="1"/>
    <col min="3331" max="3343" width="10.42578125" customWidth="1"/>
    <col min="3344" max="3344" width="9.7109375" customWidth="1"/>
    <col min="3345" max="3345" width="10.28515625" customWidth="1"/>
    <col min="3346" max="3347" width="9.5703125" customWidth="1"/>
    <col min="3348" max="3348" width="11" customWidth="1"/>
    <col min="3349" max="3351" width="10.85546875" customWidth="1"/>
    <col min="3585" max="3585" width="3" customWidth="1"/>
    <col min="3586" max="3586" width="48.140625" customWidth="1"/>
    <col min="3587" max="3599" width="10.42578125" customWidth="1"/>
    <col min="3600" max="3600" width="9.7109375" customWidth="1"/>
    <col min="3601" max="3601" width="10.28515625" customWidth="1"/>
    <col min="3602" max="3603" width="9.5703125" customWidth="1"/>
    <col min="3604" max="3604" width="11" customWidth="1"/>
    <col min="3605" max="3607" width="10.85546875" customWidth="1"/>
    <col min="3841" max="3841" width="3" customWidth="1"/>
    <col min="3842" max="3842" width="48.140625" customWidth="1"/>
    <col min="3843" max="3855" width="10.42578125" customWidth="1"/>
    <col min="3856" max="3856" width="9.7109375" customWidth="1"/>
    <col min="3857" max="3857" width="10.28515625" customWidth="1"/>
    <col min="3858" max="3859" width="9.5703125" customWidth="1"/>
    <col min="3860" max="3860" width="11" customWidth="1"/>
    <col min="3861" max="3863" width="10.85546875" customWidth="1"/>
    <col min="4097" max="4097" width="3" customWidth="1"/>
    <col min="4098" max="4098" width="48.140625" customWidth="1"/>
    <col min="4099" max="4111" width="10.42578125" customWidth="1"/>
    <col min="4112" max="4112" width="9.7109375" customWidth="1"/>
    <col min="4113" max="4113" width="10.28515625" customWidth="1"/>
    <col min="4114" max="4115" width="9.5703125" customWidth="1"/>
    <col min="4116" max="4116" width="11" customWidth="1"/>
    <col min="4117" max="4119" width="10.85546875" customWidth="1"/>
    <col min="4353" max="4353" width="3" customWidth="1"/>
    <col min="4354" max="4354" width="48.140625" customWidth="1"/>
    <col min="4355" max="4367" width="10.42578125" customWidth="1"/>
    <col min="4368" max="4368" width="9.7109375" customWidth="1"/>
    <col min="4369" max="4369" width="10.28515625" customWidth="1"/>
    <col min="4370" max="4371" width="9.5703125" customWidth="1"/>
    <col min="4372" max="4372" width="11" customWidth="1"/>
    <col min="4373" max="4375" width="10.85546875" customWidth="1"/>
    <col min="4609" max="4609" width="3" customWidth="1"/>
    <col min="4610" max="4610" width="48.140625" customWidth="1"/>
    <col min="4611" max="4623" width="10.42578125" customWidth="1"/>
    <col min="4624" max="4624" width="9.7109375" customWidth="1"/>
    <col min="4625" max="4625" width="10.28515625" customWidth="1"/>
    <col min="4626" max="4627" width="9.5703125" customWidth="1"/>
    <col min="4628" max="4628" width="11" customWidth="1"/>
    <col min="4629" max="4631" width="10.85546875" customWidth="1"/>
    <col min="4865" max="4865" width="3" customWidth="1"/>
    <col min="4866" max="4866" width="48.140625" customWidth="1"/>
    <col min="4867" max="4879" width="10.42578125" customWidth="1"/>
    <col min="4880" max="4880" width="9.7109375" customWidth="1"/>
    <col min="4881" max="4881" width="10.28515625" customWidth="1"/>
    <col min="4882" max="4883" width="9.5703125" customWidth="1"/>
    <col min="4884" max="4884" width="11" customWidth="1"/>
    <col min="4885" max="4887" width="10.85546875" customWidth="1"/>
    <col min="5121" max="5121" width="3" customWidth="1"/>
    <col min="5122" max="5122" width="48.140625" customWidth="1"/>
    <col min="5123" max="5135" width="10.42578125" customWidth="1"/>
    <col min="5136" max="5136" width="9.7109375" customWidth="1"/>
    <col min="5137" max="5137" width="10.28515625" customWidth="1"/>
    <col min="5138" max="5139" width="9.5703125" customWidth="1"/>
    <col min="5140" max="5140" width="11" customWidth="1"/>
    <col min="5141" max="5143" width="10.85546875" customWidth="1"/>
    <col min="5377" max="5377" width="3" customWidth="1"/>
    <col min="5378" max="5378" width="48.140625" customWidth="1"/>
    <col min="5379" max="5391" width="10.42578125" customWidth="1"/>
    <col min="5392" max="5392" width="9.7109375" customWidth="1"/>
    <col min="5393" max="5393" width="10.28515625" customWidth="1"/>
    <col min="5394" max="5395" width="9.5703125" customWidth="1"/>
    <col min="5396" max="5396" width="11" customWidth="1"/>
    <col min="5397" max="5399" width="10.85546875" customWidth="1"/>
    <col min="5633" max="5633" width="3" customWidth="1"/>
    <col min="5634" max="5634" width="48.140625" customWidth="1"/>
    <col min="5635" max="5647" width="10.42578125" customWidth="1"/>
    <col min="5648" max="5648" width="9.7109375" customWidth="1"/>
    <col min="5649" max="5649" width="10.28515625" customWidth="1"/>
    <col min="5650" max="5651" width="9.5703125" customWidth="1"/>
    <col min="5652" max="5652" width="11" customWidth="1"/>
    <col min="5653" max="5655" width="10.85546875" customWidth="1"/>
    <col min="5889" max="5889" width="3" customWidth="1"/>
    <col min="5890" max="5890" width="48.140625" customWidth="1"/>
    <col min="5891" max="5903" width="10.42578125" customWidth="1"/>
    <col min="5904" max="5904" width="9.7109375" customWidth="1"/>
    <col min="5905" max="5905" width="10.28515625" customWidth="1"/>
    <col min="5906" max="5907" width="9.5703125" customWidth="1"/>
    <col min="5908" max="5908" width="11" customWidth="1"/>
    <col min="5909" max="5911" width="10.85546875" customWidth="1"/>
    <col min="6145" max="6145" width="3" customWidth="1"/>
    <col min="6146" max="6146" width="48.140625" customWidth="1"/>
    <col min="6147" max="6159" width="10.42578125" customWidth="1"/>
    <col min="6160" max="6160" width="9.7109375" customWidth="1"/>
    <col min="6161" max="6161" width="10.28515625" customWidth="1"/>
    <col min="6162" max="6163" width="9.5703125" customWidth="1"/>
    <col min="6164" max="6164" width="11" customWidth="1"/>
    <col min="6165" max="6167" width="10.85546875" customWidth="1"/>
    <col min="6401" max="6401" width="3" customWidth="1"/>
    <col min="6402" max="6402" width="48.140625" customWidth="1"/>
    <col min="6403" max="6415" width="10.42578125" customWidth="1"/>
    <col min="6416" max="6416" width="9.7109375" customWidth="1"/>
    <col min="6417" max="6417" width="10.28515625" customWidth="1"/>
    <col min="6418" max="6419" width="9.5703125" customWidth="1"/>
    <col min="6420" max="6420" width="11" customWidth="1"/>
    <col min="6421" max="6423" width="10.85546875" customWidth="1"/>
    <col min="6657" max="6657" width="3" customWidth="1"/>
    <col min="6658" max="6658" width="48.140625" customWidth="1"/>
    <col min="6659" max="6671" width="10.42578125" customWidth="1"/>
    <col min="6672" max="6672" width="9.7109375" customWidth="1"/>
    <col min="6673" max="6673" width="10.28515625" customWidth="1"/>
    <col min="6674" max="6675" width="9.5703125" customWidth="1"/>
    <col min="6676" max="6676" width="11" customWidth="1"/>
    <col min="6677" max="6679" width="10.85546875" customWidth="1"/>
    <col min="6913" max="6913" width="3" customWidth="1"/>
    <col min="6914" max="6914" width="48.140625" customWidth="1"/>
    <col min="6915" max="6927" width="10.42578125" customWidth="1"/>
    <col min="6928" max="6928" width="9.7109375" customWidth="1"/>
    <col min="6929" max="6929" width="10.28515625" customWidth="1"/>
    <col min="6930" max="6931" width="9.5703125" customWidth="1"/>
    <col min="6932" max="6932" width="11" customWidth="1"/>
    <col min="6933" max="6935" width="10.85546875" customWidth="1"/>
    <col min="7169" max="7169" width="3" customWidth="1"/>
    <col min="7170" max="7170" width="48.140625" customWidth="1"/>
    <col min="7171" max="7183" width="10.42578125" customWidth="1"/>
    <col min="7184" max="7184" width="9.7109375" customWidth="1"/>
    <col min="7185" max="7185" width="10.28515625" customWidth="1"/>
    <col min="7186" max="7187" width="9.5703125" customWidth="1"/>
    <col min="7188" max="7188" width="11" customWidth="1"/>
    <col min="7189" max="7191" width="10.85546875" customWidth="1"/>
    <col min="7425" max="7425" width="3" customWidth="1"/>
    <col min="7426" max="7426" width="48.140625" customWidth="1"/>
    <col min="7427" max="7439" width="10.42578125" customWidth="1"/>
    <col min="7440" max="7440" width="9.7109375" customWidth="1"/>
    <col min="7441" max="7441" width="10.28515625" customWidth="1"/>
    <col min="7442" max="7443" width="9.5703125" customWidth="1"/>
    <col min="7444" max="7444" width="11" customWidth="1"/>
    <col min="7445" max="7447" width="10.85546875" customWidth="1"/>
    <col min="7681" max="7681" width="3" customWidth="1"/>
    <col min="7682" max="7682" width="48.140625" customWidth="1"/>
    <col min="7683" max="7695" width="10.42578125" customWidth="1"/>
    <col min="7696" max="7696" width="9.7109375" customWidth="1"/>
    <col min="7697" max="7697" width="10.28515625" customWidth="1"/>
    <col min="7698" max="7699" width="9.5703125" customWidth="1"/>
    <col min="7700" max="7700" width="11" customWidth="1"/>
    <col min="7701" max="7703" width="10.85546875" customWidth="1"/>
    <col min="7937" max="7937" width="3" customWidth="1"/>
    <col min="7938" max="7938" width="48.140625" customWidth="1"/>
    <col min="7939" max="7951" width="10.42578125" customWidth="1"/>
    <col min="7952" max="7952" width="9.7109375" customWidth="1"/>
    <col min="7953" max="7953" width="10.28515625" customWidth="1"/>
    <col min="7954" max="7955" width="9.5703125" customWidth="1"/>
    <col min="7956" max="7956" width="11" customWidth="1"/>
    <col min="7957" max="7959" width="10.85546875" customWidth="1"/>
    <col min="8193" max="8193" width="3" customWidth="1"/>
    <col min="8194" max="8194" width="48.140625" customWidth="1"/>
    <col min="8195" max="8207" width="10.42578125" customWidth="1"/>
    <col min="8208" max="8208" width="9.7109375" customWidth="1"/>
    <col min="8209" max="8209" width="10.28515625" customWidth="1"/>
    <col min="8210" max="8211" width="9.5703125" customWidth="1"/>
    <col min="8212" max="8212" width="11" customWidth="1"/>
    <col min="8213" max="8215" width="10.85546875" customWidth="1"/>
    <col min="8449" max="8449" width="3" customWidth="1"/>
    <col min="8450" max="8450" width="48.140625" customWidth="1"/>
    <col min="8451" max="8463" width="10.42578125" customWidth="1"/>
    <col min="8464" max="8464" width="9.7109375" customWidth="1"/>
    <col min="8465" max="8465" width="10.28515625" customWidth="1"/>
    <col min="8466" max="8467" width="9.5703125" customWidth="1"/>
    <col min="8468" max="8468" width="11" customWidth="1"/>
    <col min="8469" max="8471" width="10.85546875" customWidth="1"/>
    <col min="8705" max="8705" width="3" customWidth="1"/>
    <col min="8706" max="8706" width="48.140625" customWidth="1"/>
    <col min="8707" max="8719" width="10.42578125" customWidth="1"/>
    <col min="8720" max="8720" width="9.7109375" customWidth="1"/>
    <col min="8721" max="8721" width="10.28515625" customWidth="1"/>
    <col min="8722" max="8723" width="9.5703125" customWidth="1"/>
    <col min="8724" max="8724" width="11" customWidth="1"/>
    <col min="8725" max="8727" width="10.85546875" customWidth="1"/>
    <col min="8961" max="8961" width="3" customWidth="1"/>
    <col min="8962" max="8962" width="48.140625" customWidth="1"/>
    <col min="8963" max="8975" width="10.42578125" customWidth="1"/>
    <col min="8976" max="8976" width="9.7109375" customWidth="1"/>
    <col min="8977" max="8977" width="10.28515625" customWidth="1"/>
    <col min="8978" max="8979" width="9.5703125" customWidth="1"/>
    <col min="8980" max="8980" width="11" customWidth="1"/>
    <col min="8981" max="8983" width="10.85546875" customWidth="1"/>
    <col min="9217" max="9217" width="3" customWidth="1"/>
    <col min="9218" max="9218" width="48.140625" customWidth="1"/>
    <col min="9219" max="9231" width="10.42578125" customWidth="1"/>
    <col min="9232" max="9232" width="9.7109375" customWidth="1"/>
    <col min="9233" max="9233" width="10.28515625" customWidth="1"/>
    <col min="9234" max="9235" width="9.5703125" customWidth="1"/>
    <col min="9236" max="9236" width="11" customWidth="1"/>
    <col min="9237" max="9239" width="10.85546875" customWidth="1"/>
    <col min="9473" max="9473" width="3" customWidth="1"/>
    <col min="9474" max="9474" width="48.140625" customWidth="1"/>
    <col min="9475" max="9487" width="10.42578125" customWidth="1"/>
    <col min="9488" max="9488" width="9.7109375" customWidth="1"/>
    <col min="9489" max="9489" width="10.28515625" customWidth="1"/>
    <col min="9490" max="9491" width="9.5703125" customWidth="1"/>
    <col min="9492" max="9492" width="11" customWidth="1"/>
    <col min="9493" max="9495" width="10.85546875" customWidth="1"/>
    <col min="9729" max="9729" width="3" customWidth="1"/>
    <col min="9730" max="9730" width="48.140625" customWidth="1"/>
    <col min="9731" max="9743" width="10.42578125" customWidth="1"/>
    <col min="9744" max="9744" width="9.7109375" customWidth="1"/>
    <col min="9745" max="9745" width="10.28515625" customWidth="1"/>
    <col min="9746" max="9747" width="9.5703125" customWidth="1"/>
    <col min="9748" max="9748" width="11" customWidth="1"/>
    <col min="9749" max="9751" width="10.85546875" customWidth="1"/>
    <col min="9985" max="9985" width="3" customWidth="1"/>
    <col min="9986" max="9986" width="48.140625" customWidth="1"/>
    <col min="9987" max="9999" width="10.42578125" customWidth="1"/>
    <col min="10000" max="10000" width="9.7109375" customWidth="1"/>
    <col min="10001" max="10001" width="10.28515625" customWidth="1"/>
    <col min="10002" max="10003" width="9.5703125" customWidth="1"/>
    <col min="10004" max="10004" width="11" customWidth="1"/>
    <col min="10005" max="10007" width="10.85546875" customWidth="1"/>
    <col min="10241" max="10241" width="3" customWidth="1"/>
    <col min="10242" max="10242" width="48.140625" customWidth="1"/>
    <col min="10243" max="10255" width="10.42578125" customWidth="1"/>
    <col min="10256" max="10256" width="9.7109375" customWidth="1"/>
    <col min="10257" max="10257" width="10.28515625" customWidth="1"/>
    <col min="10258" max="10259" width="9.5703125" customWidth="1"/>
    <col min="10260" max="10260" width="11" customWidth="1"/>
    <col min="10261" max="10263" width="10.85546875" customWidth="1"/>
    <col min="10497" max="10497" width="3" customWidth="1"/>
    <col min="10498" max="10498" width="48.140625" customWidth="1"/>
    <col min="10499" max="10511" width="10.42578125" customWidth="1"/>
    <col min="10512" max="10512" width="9.7109375" customWidth="1"/>
    <col min="10513" max="10513" width="10.28515625" customWidth="1"/>
    <col min="10514" max="10515" width="9.5703125" customWidth="1"/>
    <col min="10516" max="10516" width="11" customWidth="1"/>
    <col min="10517" max="10519" width="10.85546875" customWidth="1"/>
    <col min="10753" max="10753" width="3" customWidth="1"/>
    <col min="10754" max="10754" width="48.140625" customWidth="1"/>
    <col min="10755" max="10767" width="10.42578125" customWidth="1"/>
    <col min="10768" max="10768" width="9.7109375" customWidth="1"/>
    <col min="10769" max="10769" width="10.28515625" customWidth="1"/>
    <col min="10770" max="10771" width="9.5703125" customWidth="1"/>
    <col min="10772" max="10772" width="11" customWidth="1"/>
    <col min="10773" max="10775" width="10.85546875" customWidth="1"/>
    <col min="11009" max="11009" width="3" customWidth="1"/>
    <col min="11010" max="11010" width="48.140625" customWidth="1"/>
    <col min="11011" max="11023" width="10.42578125" customWidth="1"/>
    <col min="11024" max="11024" width="9.7109375" customWidth="1"/>
    <col min="11025" max="11025" width="10.28515625" customWidth="1"/>
    <col min="11026" max="11027" width="9.5703125" customWidth="1"/>
    <col min="11028" max="11028" width="11" customWidth="1"/>
    <col min="11029" max="11031" width="10.85546875" customWidth="1"/>
    <col min="11265" max="11265" width="3" customWidth="1"/>
    <col min="11266" max="11266" width="48.140625" customWidth="1"/>
    <col min="11267" max="11279" width="10.42578125" customWidth="1"/>
    <col min="11280" max="11280" width="9.7109375" customWidth="1"/>
    <col min="11281" max="11281" width="10.28515625" customWidth="1"/>
    <col min="11282" max="11283" width="9.5703125" customWidth="1"/>
    <col min="11284" max="11284" width="11" customWidth="1"/>
    <col min="11285" max="11287" width="10.85546875" customWidth="1"/>
    <col min="11521" max="11521" width="3" customWidth="1"/>
    <col min="11522" max="11522" width="48.140625" customWidth="1"/>
    <col min="11523" max="11535" width="10.42578125" customWidth="1"/>
    <col min="11536" max="11536" width="9.7109375" customWidth="1"/>
    <col min="11537" max="11537" width="10.28515625" customWidth="1"/>
    <col min="11538" max="11539" width="9.5703125" customWidth="1"/>
    <col min="11540" max="11540" width="11" customWidth="1"/>
    <col min="11541" max="11543" width="10.85546875" customWidth="1"/>
    <col min="11777" max="11777" width="3" customWidth="1"/>
    <col min="11778" max="11778" width="48.140625" customWidth="1"/>
    <col min="11779" max="11791" width="10.42578125" customWidth="1"/>
    <col min="11792" max="11792" width="9.7109375" customWidth="1"/>
    <col min="11793" max="11793" width="10.28515625" customWidth="1"/>
    <col min="11794" max="11795" width="9.5703125" customWidth="1"/>
    <col min="11796" max="11796" width="11" customWidth="1"/>
    <col min="11797" max="11799" width="10.85546875" customWidth="1"/>
    <col min="12033" max="12033" width="3" customWidth="1"/>
    <col min="12034" max="12034" width="48.140625" customWidth="1"/>
    <col min="12035" max="12047" width="10.42578125" customWidth="1"/>
    <col min="12048" max="12048" width="9.7109375" customWidth="1"/>
    <col min="12049" max="12049" width="10.28515625" customWidth="1"/>
    <col min="12050" max="12051" width="9.5703125" customWidth="1"/>
    <col min="12052" max="12052" width="11" customWidth="1"/>
    <col min="12053" max="12055" width="10.85546875" customWidth="1"/>
    <col min="12289" max="12289" width="3" customWidth="1"/>
    <col min="12290" max="12290" width="48.140625" customWidth="1"/>
    <col min="12291" max="12303" width="10.42578125" customWidth="1"/>
    <col min="12304" max="12304" width="9.7109375" customWidth="1"/>
    <col min="12305" max="12305" width="10.28515625" customWidth="1"/>
    <col min="12306" max="12307" width="9.5703125" customWidth="1"/>
    <col min="12308" max="12308" width="11" customWidth="1"/>
    <col min="12309" max="12311" width="10.85546875" customWidth="1"/>
    <col min="12545" max="12545" width="3" customWidth="1"/>
    <col min="12546" max="12546" width="48.140625" customWidth="1"/>
    <col min="12547" max="12559" width="10.42578125" customWidth="1"/>
    <col min="12560" max="12560" width="9.7109375" customWidth="1"/>
    <col min="12561" max="12561" width="10.28515625" customWidth="1"/>
    <col min="12562" max="12563" width="9.5703125" customWidth="1"/>
    <col min="12564" max="12564" width="11" customWidth="1"/>
    <col min="12565" max="12567" width="10.85546875" customWidth="1"/>
    <col min="12801" max="12801" width="3" customWidth="1"/>
    <col min="12802" max="12802" width="48.140625" customWidth="1"/>
    <col min="12803" max="12815" width="10.42578125" customWidth="1"/>
    <col min="12816" max="12816" width="9.7109375" customWidth="1"/>
    <col min="12817" max="12817" width="10.28515625" customWidth="1"/>
    <col min="12818" max="12819" width="9.5703125" customWidth="1"/>
    <col min="12820" max="12820" width="11" customWidth="1"/>
    <col min="12821" max="12823" width="10.85546875" customWidth="1"/>
    <col min="13057" max="13057" width="3" customWidth="1"/>
    <col min="13058" max="13058" width="48.140625" customWidth="1"/>
    <col min="13059" max="13071" width="10.42578125" customWidth="1"/>
    <col min="13072" max="13072" width="9.7109375" customWidth="1"/>
    <col min="13073" max="13073" width="10.28515625" customWidth="1"/>
    <col min="13074" max="13075" width="9.5703125" customWidth="1"/>
    <col min="13076" max="13076" width="11" customWidth="1"/>
    <col min="13077" max="13079" width="10.85546875" customWidth="1"/>
    <col min="13313" max="13313" width="3" customWidth="1"/>
    <col min="13314" max="13314" width="48.140625" customWidth="1"/>
    <col min="13315" max="13327" width="10.42578125" customWidth="1"/>
    <col min="13328" max="13328" width="9.7109375" customWidth="1"/>
    <col min="13329" max="13329" width="10.28515625" customWidth="1"/>
    <col min="13330" max="13331" width="9.5703125" customWidth="1"/>
    <col min="13332" max="13332" width="11" customWidth="1"/>
    <col min="13333" max="13335" width="10.85546875" customWidth="1"/>
    <col min="13569" max="13569" width="3" customWidth="1"/>
    <col min="13570" max="13570" width="48.140625" customWidth="1"/>
    <col min="13571" max="13583" width="10.42578125" customWidth="1"/>
    <col min="13584" max="13584" width="9.7109375" customWidth="1"/>
    <col min="13585" max="13585" width="10.28515625" customWidth="1"/>
    <col min="13586" max="13587" width="9.5703125" customWidth="1"/>
    <col min="13588" max="13588" width="11" customWidth="1"/>
    <col min="13589" max="13591" width="10.85546875" customWidth="1"/>
    <col min="13825" max="13825" width="3" customWidth="1"/>
    <col min="13826" max="13826" width="48.140625" customWidth="1"/>
    <col min="13827" max="13839" width="10.42578125" customWidth="1"/>
    <col min="13840" max="13840" width="9.7109375" customWidth="1"/>
    <col min="13841" max="13841" width="10.28515625" customWidth="1"/>
    <col min="13842" max="13843" width="9.5703125" customWidth="1"/>
    <col min="13844" max="13844" width="11" customWidth="1"/>
    <col min="13845" max="13847" width="10.85546875" customWidth="1"/>
    <col min="14081" max="14081" width="3" customWidth="1"/>
    <col min="14082" max="14082" width="48.140625" customWidth="1"/>
    <col min="14083" max="14095" width="10.42578125" customWidth="1"/>
    <col min="14096" max="14096" width="9.7109375" customWidth="1"/>
    <col min="14097" max="14097" width="10.28515625" customWidth="1"/>
    <col min="14098" max="14099" width="9.5703125" customWidth="1"/>
    <col min="14100" max="14100" width="11" customWidth="1"/>
    <col min="14101" max="14103" width="10.85546875" customWidth="1"/>
    <col min="14337" max="14337" width="3" customWidth="1"/>
    <col min="14338" max="14338" width="48.140625" customWidth="1"/>
    <col min="14339" max="14351" width="10.42578125" customWidth="1"/>
    <col min="14352" max="14352" width="9.7109375" customWidth="1"/>
    <col min="14353" max="14353" width="10.28515625" customWidth="1"/>
    <col min="14354" max="14355" width="9.5703125" customWidth="1"/>
    <col min="14356" max="14356" width="11" customWidth="1"/>
    <col min="14357" max="14359" width="10.85546875" customWidth="1"/>
    <col min="14593" max="14593" width="3" customWidth="1"/>
    <col min="14594" max="14594" width="48.140625" customWidth="1"/>
    <col min="14595" max="14607" width="10.42578125" customWidth="1"/>
    <col min="14608" max="14608" width="9.7109375" customWidth="1"/>
    <col min="14609" max="14609" width="10.28515625" customWidth="1"/>
    <col min="14610" max="14611" width="9.5703125" customWidth="1"/>
    <col min="14612" max="14612" width="11" customWidth="1"/>
    <col min="14613" max="14615" width="10.85546875" customWidth="1"/>
    <col min="14849" max="14849" width="3" customWidth="1"/>
    <col min="14850" max="14850" width="48.140625" customWidth="1"/>
    <col min="14851" max="14863" width="10.42578125" customWidth="1"/>
    <col min="14864" max="14864" width="9.7109375" customWidth="1"/>
    <col min="14865" max="14865" width="10.28515625" customWidth="1"/>
    <col min="14866" max="14867" width="9.5703125" customWidth="1"/>
    <col min="14868" max="14868" width="11" customWidth="1"/>
    <col min="14869" max="14871" width="10.85546875" customWidth="1"/>
    <col min="15105" max="15105" width="3" customWidth="1"/>
    <col min="15106" max="15106" width="48.140625" customWidth="1"/>
    <col min="15107" max="15119" width="10.42578125" customWidth="1"/>
    <col min="15120" max="15120" width="9.7109375" customWidth="1"/>
    <col min="15121" max="15121" width="10.28515625" customWidth="1"/>
    <col min="15122" max="15123" width="9.5703125" customWidth="1"/>
    <col min="15124" max="15124" width="11" customWidth="1"/>
    <col min="15125" max="15127" width="10.85546875" customWidth="1"/>
    <col min="15361" max="15361" width="3" customWidth="1"/>
    <col min="15362" max="15362" width="48.140625" customWidth="1"/>
    <col min="15363" max="15375" width="10.42578125" customWidth="1"/>
    <col min="15376" max="15376" width="9.7109375" customWidth="1"/>
    <col min="15377" max="15377" width="10.28515625" customWidth="1"/>
    <col min="15378" max="15379" width="9.5703125" customWidth="1"/>
    <col min="15380" max="15380" width="11" customWidth="1"/>
    <col min="15381" max="15383" width="10.85546875" customWidth="1"/>
    <col min="15617" max="15617" width="3" customWidth="1"/>
    <col min="15618" max="15618" width="48.140625" customWidth="1"/>
    <col min="15619" max="15631" width="10.42578125" customWidth="1"/>
    <col min="15632" max="15632" width="9.7109375" customWidth="1"/>
    <col min="15633" max="15633" width="10.28515625" customWidth="1"/>
    <col min="15634" max="15635" width="9.5703125" customWidth="1"/>
    <col min="15636" max="15636" width="11" customWidth="1"/>
    <col min="15637" max="15639" width="10.85546875" customWidth="1"/>
    <col min="15873" max="15873" width="3" customWidth="1"/>
    <col min="15874" max="15874" width="48.140625" customWidth="1"/>
    <col min="15875" max="15887" width="10.42578125" customWidth="1"/>
    <col min="15888" max="15888" width="9.7109375" customWidth="1"/>
    <col min="15889" max="15889" width="10.28515625" customWidth="1"/>
    <col min="15890" max="15891" width="9.5703125" customWidth="1"/>
    <col min="15892" max="15892" width="11" customWidth="1"/>
    <col min="15893" max="15895" width="10.85546875" customWidth="1"/>
    <col min="16129" max="16129" width="3" customWidth="1"/>
    <col min="16130" max="16130" width="48.140625" customWidth="1"/>
    <col min="16131" max="16143" width="10.42578125" customWidth="1"/>
    <col min="16144" max="16144" width="9.7109375" customWidth="1"/>
    <col min="16145" max="16145" width="10.28515625" customWidth="1"/>
    <col min="16146" max="16147" width="9.5703125" customWidth="1"/>
    <col min="16148" max="16148" width="11" customWidth="1"/>
    <col min="16149" max="16151" width="10.85546875" customWidth="1"/>
  </cols>
  <sheetData>
    <row r="1" spans="1:23" ht="45.2" customHeight="1" x14ac:dyDescent="0.25"/>
    <row r="2" spans="1:23" ht="34.5" customHeight="1" x14ac:dyDescent="0.25">
      <c r="B2"/>
    </row>
    <row r="5" spans="1:23" ht="13.5" customHeight="1" x14ac:dyDescent="0.25">
      <c r="A5" s="10" t="s">
        <v>11</v>
      </c>
      <c r="F5" s="9"/>
      <c r="G5" s="9"/>
      <c r="H5" s="9"/>
      <c r="I5" s="9"/>
      <c r="J5" s="9"/>
      <c r="K5" s="9"/>
      <c r="L5" s="9"/>
      <c r="M5" s="9"/>
      <c r="N5" s="9"/>
      <c r="O5" s="9"/>
    </row>
    <row r="6" spans="1:23" ht="13.5" customHeight="1" x14ac:dyDescent="0.25">
      <c r="A6" s="10"/>
      <c r="F6" s="9"/>
      <c r="G6" s="9"/>
      <c r="H6" s="9"/>
      <c r="I6" s="9"/>
      <c r="J6" s="9"/>
      <c r="K6" s="9"/>
      <c r="L6" s="9"/>
      <c r="M6" s="9"/>
      <c r="N6" s="9"/>
      <c r="O6" s="9"/>
    </row>
    <row r="7" spans="1:23" ht="16.5" customHeight="1" x14ac:dyDescent="0.25">
      <c r="A7" s="11" t="s">
        <v>12</v>
      </c>
      <c r="C7" s="9"/>
    </row>
    <row r="8" spans="1:23" s="12" customFormat="1" ht="13.5" customHeight="1" x14ac:dyDescent="0.25">
      <c r="A8" s="11" t="s">
        <v>13</v>
      </c>
      <c r="B8" s="8"/>
      <c r="D8" s="13"/>
      <c r="E8" s="13"/>
      <c r="U8" s="29"/>
    </row>
    <row r="9" spans="1:23" ht="13.5" customHeight="1" x14ac:dyDescent="0.25">
      <c r="C9" s="14"/>
      <c r="D9" s="14"/>
    </row>
    <row r="10" spans="1:23" ht="13.5" customHeight="1" x14ac:dyDescent="0.25">
      <c r="D10"/>
      <c r="E10"/>
    </row>
    <row r="11" spans="1:23" ht="13.5" customHeight="1" thickBot="1" x14ac:dyDescent="0.3">
      <c r="C11" s="15">
        <v>2000</v>
      </c>
      <c r="D11" s="15">
        <v>2001</v>
      </c>
      <c r="E11" s="15">
        <v>2002</v>
      </c>
      <c r="F11" s="15">
        <v>2003</v>
      </c>
      <c r="G11" s="15">
        <v>2004</v>
      </c>
      <c r="H11" s="15">
        <v>2005</v>
      </c>
      <c r="I11" s="15">
        <v>2006</v>
      </c>
      <c r="J11" s="15">
        <v>2007</v>
      </c>
      <c r="K11" s="15">
        <v>2008</v>
      </c>
      <c r="L11" s="15">
        <v>2009</v>
      </c>
      <c r="M11" s="15">
        <v>2010</v>
      </c>
      <c r="N11" s="15">
        <v>2011</v>
      </c>
      <c r="O11" s="15">
        <v>2012</v>
      </c>
      <c r="P11" s="15">
        <v>2013</v>
      </c>
      <c r="Q11" s="15">
        <v>2014</v>
      </c>
      <c r="R11" s="15">
        <v>2015</v>
      </c>
      <c r="S11" s="15">
        <v>2016</v>
      </c>
      <c r="T11" s="15">
        <v>2017</v>
      </c>
      <c r="U11" s="15">
        <v>2018</v>
      </c>
      <c r="V11" s="15">
        <v>2019</v>
      </c>
      <c r="W11" s="15">
        <v>2020</v>
      </c>
    </row>
    <row r="12" spans="1:23" ht="13.5" customHeight="1" x14ac:dyDescent="0.25">
      <c r="D12"/>
      <c r="E12"/>
      <c r="U12" s="35"/>
    </row>
    <row r="13" spans="1:23" s="16" customFormat="1" ht="13.5" customHeight="1" x14ac:dyDescent="0.2">
      <c r="B13" s="17" t="s">
        <v>14</v>
      </c>
      <c r="C13" s="18">
        <v>93.548576999999995</v>
      </c>
      <c r="D13" s="18">
        <v>97.500247000000002</v>
      </c>
      <c r="E13" s="18">
        <v>97.089496999999994</v>
      </c>
      <c r="F13" s="18">
        <v>100.443764</v>
      </c>
      <c r="G13" s="18">
        <v>100.10953499999999</v>
      </c>
      <c r="H13" s="18">
        <v>102.558862</v>
      </c>
      <c r="I13" s="18">
        <v>101.490869</v>
      </c>
      <c r="J13" s="18">
        <v>103.53909899999999</v>
      </c>
      <c r="K13" s="18">
        <v>101.281295</v>
      </c>
      <c r="L13" s="18">
        <v>94.680198000000004</v>
      </c>
      <c r="M13" s="18">
        <v>95.548124000000001</v>
      </c>
      <c r="N13" s="18">
        <v>102.087878</v>
      </c>
      <c r="O13" s="18">
        <v>97.875465000000005</v>
      </c>
      <c r="P13" s="18">
        <v>98.817547000000005</v>
      </c>
      <c r="Q13" s="18">
        <v>93.106027999999995</v>
      </c>
      <c r="R13" s="18">
        <v>98.436768999999998</v>
      </c>
      <c r="S13" s="18">
        <v>92.204338000000007</v>
      </c>
      <c r="T13" s="18">
        <v>92.385084000000006</v>
      </c>
      <c r="U13" s="18">
        <v>106.76318999999999</v>
      </c>
      <c r="V13" s="18">
        <v>89.627962999999994</v>
      </c>
      <c r="W13" s="18">
        <v>90.640843000000004</v>
      </c>
    </row>
    <row r="14" spans="1:23" ht="13.5" customHeight="1" x14ac:dyDescent="0.25">
      <c r="B14" s="19" t="s">
        <v>15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6"/>
      <c r="V14" s="20"/>
      <c r="W14" s="20"/>
    </row>
    <row r="15" spans="1:23" ht="13.5" customHeight="1" x14ac:dyDescent="0.25">
      <c r="B15" s="21" t="s">
        <v>16</v>
      </c>
      <c r="C15" s="20">
        <v>15.129849999999999</v>
      </c>
      <c r="D15" s="20">
        <v>15.221712</v>
      </c>
      <c r="E15" s="20">
        <v>14.140706</v>
      </c>
      <c r="F15" s="20">
        <v>14.316025</v>
      </c>
      <c r="G15" s="20">
        <v>14.688599999999999</v>
      </c>
      <c r="H15" s="20">
        <v>13.205161</v>
      </c>
      <c r="I15" s="20">
        <v>12.939526000000001</v>
      </c>
      <c r="J15" s="20">
        <v>12.294663</v>
      </c>
      <c r="K15" s="20">
        <v>12.331109</v>
      </c>
      <c r="L15" s="20">
        <v>12.605254</v>
      </c>
      <c r="M15" s="20">
        <v>12.599548</v>
      </c>
      <c r="N15" s="20">
        <v>12.024031000000001</v>
      </c>
      <c r="O15" s="20">
        <v>12.374077</v>
      </c>
      <c r="P15" s="20">
        <v>12.174633</v>
      </c>
      <c r="Q15" s="20">
        <v>11.813209000000001</v>
      </c>
      <c r="R15" s="20">
        <v>11.851432000000001</v>
      </c>
      <c r="S15" s="20">
        <v>10.79388</v>
      </c>
      <c r="T15" s="20">
        <v>10.725239</v>
      </c>
      <c r="U15" s="36">
        <v>10.306099</v>
      </c>
      <c r="V15" s="20">
        <v>10.562113</v>
      </c>
      <c r="W15" s="20">
        <v>10.846247</v>
      </c>
    </row>
    <row r="16" spans="1:23" ht="13.5" customHeight="1" x14ac:dyDescent="0.25">
      <c r="B16" s="21" t="s">
        <v>17</v>
      </c>
      <c r="C16" s="20">
        <v>74.338848999999996</v>
      </c>
      <c r="D16" s="20">
        <v>77.891159999999999</v>
      </c>
      <c r="E16" s="20">
        <v>78.541113999999993</v>
      </c>
      <c r="F16" s="20">
        <v>82.005919000000006</v>
      </c>
      <c r="G16" s="20">
        <v>81.282154000000006</v>
      </c>
      <c r="H16" s="20">
        <v>84.635024999999999</v>
      </c>
      <c r="I16" s="20">
        <v>83.447563000000002</v>
      </c>
      <c r="J16" s="20">
        <v>86.286635000000004</v>
      </c>
      <c r="K16" s="20">
        <v>84.546763999999996</v>
      </c>
      <c r="L16" s="20">
        <v>77.406031999999996</v>
      </c>
      <c r="M16" s="20">
        <v>78.188028000000003</v>
      </c>
      <c r="N16" s="20">
        <v>85.970065000000005</v>
      </c>
      <c r="O16" s="20">
        <v>81.433211</v>
      </c>
      <c r="P16" s="20">
        <v>83.521906000000001</v>
      </c>
      <c r="Q16" s="20">
        <v>78.889149000000003</v>
      </c>
      <c r="R16" s="20">
        <v>84.389688000000007</v>
      </c>
      <c r="S16" s="20">
        <v>79.318444999999997</v>
      </c>
      <c r="T16" s="20">
        <v>79.853407000000004</v>
      </c>
      <c r="U16" s="36">
        <v>94.951749000000007</v>
      </c>
      <c r="V16" s="20">
        <v>77.754942999999997</v>
      </c>
      <c r="W16" s="20">
        <v>78.427786999999995</v>
      </c>
    </row>
    <row r="17" spans="2:23" ht="13.5" customHeight="1" x14ac:dyDescent="0.25">
      <c r="B17" s="21" t="s">
        <v>18</v>
      </c>
      <c r="C17" s="20">
        <v>3.0363730000000002</v>
      </c>
      <c r="D17" s="20">
        <v>3.259531</v>
      </c>
      <c r="E17" s="20">
        <v>3.4082880000000002</v>
      </c>
      <c r="F17" s="20">
        <v>3.0947019999999998</v>
      </c>
      <c r="G17" s="20">
        <v>3.0544020000000001</v>
      </c>
      <c r="H17" s="20">
        <v>3.5151490000000001</v>
      </c>
      <c r="I17" s="20">
        <v>3.6393599999999999</v>
      </c>
      <c r="J17" s="20">
        <v>3.3568310000000001</v>
      </c>
      <c r="K17" s="20">
        <v>2.8460529999999999</v>
      </c>
      <c r="L17" s="20">
        <v>3.122258</v>
      </c>
      <c r="M17" s="20">
        <v>3.2143079999999999</v>
      </c>
      <c r="N17" s="20">
        <v>2.4102480000000002</v>
      </c>
      <c r="O17" s="20">
        <v>2.1414230000000001</v>
      </c>
      <c r="P17" s="20">
        <v>1.7709429999999999</v>
      </c>
      <c r="Q17" s="20">
        <v>1.3043750000000001</v>
      </c>
      <c r="R17" s="20">
        <v>1.1527799999999999</v>
      </c>
      <c r="S17" s="20">
        <v>0.80700499999999997</v>
      </c>
      <c r="T17" s="20">
        <v>0.60372800000000004</v>
      </c>
      <c r="U17" s="36">
        <v>0.59334200000000004</v>
      </c>
      <c r="V17" s="20">
        <v>0.47353000000000001</v>
      </c>
      <c r="W17" s="20">
        <v>0.44284800000000002</v>
      </c>
    </row>
    <row r="18" spans="2:23" ht="13.5" customHeight="1" x14ac:dyDescent="0.25">
      <c r="B18" s="21" t="s">
        <v>19</v>
      </c>
      <c r="C18" s="20">
        <v>0.25905699999999998</v>
      </c>
      <c r="D18" s="20">
        <v>0.30852600000000002</v>
      </c>
      <c r="E18" s="20">
        <v>0.27946399999999999</v>
      </c>
      <c r="F18" s="20">
        <v>0.32641100000000001</v>
      </c>
      <c r="G18" s="20">
        <v>0.33801700000000001</v>
      </c>
      <c r="H18" s="20">
        <v>0.43729200000000001</v>
      </c>
      <c r="I18" s="20">
        <v>0.57900399999999996</v>
      </c>
      <c r="J18" s="20">
        <v>0.61941599999999997</v>
      </c>
      <c r="K18" s="20">
        <v>0.61669099999999999</v>
      </c>
      <c r="L18" s="20">
        <v>0.58295699999999995</v>
      </c>
      <c r="M18" s="20">
        <v>0.66729300000000003</v>
      </c>
      <c r="N18" s="20">
        <v>0.81516100000000002</v>
      </c>
      <c r="O18" s="20">
        <v>1.098182</v>
      </c>
      <c r="P18" s="20">
        <v>0.67947100000000005</v>
      </c>
      <c r="Q18" s="20">
        <v>0.58423800000000004</v>
      </c>
      <c r="R18" s="20">
        <v>0.63297899999999996</v>
      </c>
      <c r="S18" s="20">
        <v>0.94685600000000003</v>
      </c>
      <c r="T18" s="20">
        <v>0.92994299999999996</v>
      </c>
      <c r="U18" s="36">
        <v>0.69261600000000001</v>
      </c>
      <c r="V18" s="20">
        <v>0.68375300000000006</v>
      </c>
      <c r="W18" s="20">
        <v>0.78593800000000003</v>
      </c>
    </row>
    <row r="19" spans="2:23" ht="13.5" customHeight="1" x14ac:dyDescent="0.25">
      <c r="B19" s="21" t="s">
        <v>20</v>
      </c>
      <c r="C19" s="20">
        <v>0.78444899999999995</v>
      </c>
      <c r="D19" s="20">
        <v>0.81931900000000002</v>
      </c>
      <c r="E19" s="20">
        <v>0.71992500000000004</v>
      </c>
      <c r="F19" s="20">
        <v>0.700708</v>
      </c>
      <c r="G19" s="20">
        <v>0.74636199999999997</v>
      </c>
      <c r="H19" s="20">
        <v>0.766235</v>
      </c>
      <c r="I19" s="20">
        <v>0.88541599999999998</v>
      </c>
      <c r="J19" s="20">
        <v>0.98155400000000004</v>
      </c>
      <c r="K19" s="20">
        <v>0.94067800000000001</v>
      </c>
      <c r="L19" s="20">
        <v>0.96369700000000003</v>
      </c>
      <c r="M19" s="20">
        <v>0.87894600000000001</v>
      </c>
      <c r="N19" s="20">
        <v>0.86837399999999998</v>
      </c>
      <c r="O19" s="20">
        <v>0.82857199999999998</v>
      </c>
      <c r="P19" s="20">
        <v>0.67059299999999999</v>
      </c>
      <c r="Q19" s="20">
        <v>0.51505800000000002</v>
      </c>
      <c r="R19" s="20">
        <v>0.40988999999999998</v>
      </c>
      <c r="S19" s="20">
        <v>0.33815299999999998</v>
      </c>
      <c r="T19" s="20">
        <v>0.27276699999999998</v>
      </c>
      <c r="U19" s="36">
        <v>0.21938299999999999</v>
      </c>
      <c r="V19" s="20">
        <v>0.15362300000000001</v>
      </c>
      <c r="W19" s="20">
        <v>0.13802200000000001</v>
      </c>
    </row>
    <row r="20" spans="2:23" ht="13.5" customHeight="1" x14ac:dyDescent="0.25">
      <c r="B20" s="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36"/>
      <c r="V20" s="20"/>
      <c r="W20" s="20"/>
    </row>
    <row r="21" spans="2:23" ht="13.5" customHeight="1" x14ac:dyDescent="0.25">
      <c r="B21" s="19" t="s">
        <v>21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36"/>
      <c r="V21" s="20"/>
      <c r="W21" s="20"/>
    </row>
    <row r="22" spans="2:23" ht="13.5" customHeight="1" x14ac:dyDescent="0.25">
      <c r="B22" s="21" t="s">
        <v>16</v>
      </c>
      <c r="C22" s="20">
        <v>16.173255000000001</v>
      </c>
      <c r="D22" s="20">
        <v>15.611972</v>
      </c>
      <c r="E22" s="20">
        <v>14.56461</v>
      </c>
      <c r="F22" s="20">
        <v>14.252776000000001</v>
      </c>
      <c r="G22" s="20">
        <v>14.672528</v>
      </c>
      <c r="H22" s="20">
        <v>12.875690000000001</v>
      </c>
      <c r="I22" s="20">
        <v>12.749447999999999</v>
      </c>
      <c r="J22" s="20">
        <v>11.874416</v>
      </c>
      <c r="K22" s="20">
        <v>12.17511</v>
      </c>
      <c r="L22" s="20">
        <v>13.313506</v>
      </c>
      <c r="M22" s="20">
        <v>13.186598999999999</v>
      </c>
      <c r="N22" s="20">
        <v>11.778117999999999</v>
      </c>
      <c r="O22" s="20">
        <v>12.642675000000001</v>
      </c>
      <c r="P22" s="20">
        <v>12.320315000000001</v>
      </c>
      <c r="Q22" s="20">
        <v>12.68791</v>
      </c>
      <c r="R22" s="20">
        <v>12.03964</v>
      </c>
      <c r="S22" s="20">
        <v>11.706477</v>
      </c>
      <c r="T22" s="20">
        <v>11.609275</v>
      </c>
      <c r="U22" s="36">
        <v>9.6532330000000002</v>
      </c>
      <c r="V22" s="20">
        <v>11.784395</v>
      </c>
      <c r="W22" s="20">
        <v>11.966181000000001</v>
      </c>
    </row>
    <row r="23" spans="2:23" ht="13.5" customHeight="1" x14ac:dyDescent="0.25">
      <c r="B23" s="21" t="s">
        <v>17</v>
      </c>
      <c r="C23" s="20">
        <v>79.465504999999993</v>
      </c>
      <c r="D23" s="20">
        <v>79.888165999999998</v>
      </c>
      <c r="E23" s="20">
        <v>80.895582000000005</v>
      </c>
      <c r="F23" s="20">
        <v>81.643613999999999</v>
      </c>
      <c r="G23" s="20">
        <v>81.193218999999999</v>
      </c>
      <c r="H23" s="20">
        <v>82.523365999999996</v>
      </c>
      <c r="I23" s="20">
        <v>82.221744000000001</v>
      </c>
      <c r="J23" s="20">
        <v>83.337247000000005</v>
      </c>
      <c r="K23" s="20">
        <v>83.477175000000003</v>
      </c>
      <c r="L23" s="20">
        <v>81.755249000000006</v>
      </c>
      <c r="M23" s="20">
        <v>81.831045000000003</v>
      </c>
      <c r="N23" s="20">
        <v>84.211823999999993</v>
      </c>
      <c r="O23" s="20">
        <v>83.200840999999997</v>
      </c>
      <c r="P23" s="20">
        <v>84.521331000000004</v>
      </c>
      <c r="Q23" s="20">
        <v>84.730441999999996</v>
      </c>
      <c r="R23" s="20">
        <v>85.729843000000002</v>
      </c>
      <c r="S23" s="20">
        <v>86.024635000000004</v>
      </c>
      <c r="T23" s="20">
        <v>86.435389000000001</v>
      </c>
      <c r="U23" s="36">
        <v>88.936785</v>
      </c>
      <c r="V23" s="20">
        <v>86.752995999999996</v>
      </c>
      <c r="W23" s="20">
        <v>86.525880000000001</v>
      </c>
    </row>
    <row r="24" spans="2:23" ht="13.5" customHeight="1" x14ac:dyDescent="0.25">
      <c r="B24" s="21" t="s">
        <v>18</v>
      </c>
      <c r="C24" s="20">
        <v>3.245771</v>
      </c>
      <c r="D24" s="20">
        <v>3.3431000000000002</v>
      </c>
      <c r="E24" s="20">
        <v>3.5104600000000001</v>
      </c>
      <c r="F24" s="20">
        <v>3.081029</v>
      </c>
      <c r="G24" s="20">
        <v>3.0510600000000001</v>
      </c>
      <c r="H24" s="20">
        <v>3.4274450000000001</v>
      </c>
      <c r="I24" s="20">
        <v>3.5858989999999999</v>
      </c>
      <c r="J24" s="20">
        <v>3.2420900000000001</v>
      </c>
      <c r="K24" s="20">
        <v>2.8100480000000001</v>
      </c>
      <c r="L24" s="20">
        <v>3.297688</v>
      </c>
      <c r="M24" s="20">
        <v>3.3640729999999999</v>
      </c>
      <c r="N24" s="20">
        <v>2.360954</v>
      </c>
      <c r="O24" s="20">
        <v>2.1879059999999999</v>
      </c>
      <c r="P24" s="20">
        <v>1.7921339999999999</v>
      </c>
      <c r="Q24" s="20">
        <v>1.400957</v>
      </c>
      <c r="R24" s="20">
        <v>1.1710860000000001</v>
      </c>
      <c r="S24" s="20">
        <v>0.87523499999999999</v>
      </c>
      <c r="T24" s="20">
        <v>0.65349100000000004</v>
      </c>
      <c r="U24" s="36">
        <v>0.55575600000000003</v>
      </c>
      <c r="V24" s="20">
        <v>0.52832900000000005</v>
      </c>
      <c r="W24" s="20">
        <v>0.48857400000000001</v>
      </c>
    </row>
    <row r="25" spans="2:23" ht="13.5" customHeight="1" x14ac:dyDescent="0.25">
      <c r="B25" s="21" t="s">
        <v>19</v>
      </c>
      <c r="C25" s="20">
        <v>0.276922</v>
      </c>
      <c r="D25" s="20">
        <v>0.316436</v>
      </c>
      <c r="E25" s="20">
        <v>0.28784100000000001</v>
      </c>
      <c r="F25" s="20">
        <v>0.32496900000000001</v>
      </c>
      <c r="G25" s="20">
        <v>0.33764699999999997</v>
      </c>
      <c r="H25" s="20">
        <v>0.42638100000000001</v>
      </c>
      <c r="I25" s="20">
        <v>0.57049899999999998</v>
      </c>
      <c r="J25" s="20">
        <v>0.598244</v>
      </c>
      <c r="K25" s="20">
        <v>0.60888900000000001</v>
      </c>
      <c r="L25" s="20">
        <v>0.61571200000000004</v>
      </c>
      <c r="M25" s="20">
        <v>0.698384</v>
      </c>
      <c r="N25" s="20">
        <v>0.798489</v>
      </c>
      <c r="O25" s="20">
        <v>1.12202</v>
      </c>
      <c r="P25" s="20">
        <v>0.68760200000000005</v>
      </c>
      <c r="Q25" s="20">
        <v>0.62749699999999997</v>
      </c>
      <c r="R25" s="20">
        <v>0.64303100000000002</v>
      </c>
      <c r="S25" s="20">
        <v>1.0269109999999999</v>
      </c>
      <c r="T25" s="20">
        <v>1.0065949999999999</v>
      </c>
      <c r="U25" s="36">
        <v>0.64874100000000001</v>
      </c>
      <c r="V25" s="20">
        <v>0.76288</v>
      </c>
      <c r="W25" s="20">
        <v>0.86709099999999995</v>
      </c>
    </row>
    <row r="26" spans="2:23" ht="13.5" customHeight="1" x14ac:dyDescent="0.25">
      <c r="B26" s="21" t="s">
        <v>20</v>
      </c>
      <c r="C26" s="20">
        <v>0.83854700000000004</v>
      </c>
      <c r="D26" s="20">
        <v>0.84032499999999999</v>
      </c>
      <c r="E26" s="20">
        <v>0.741506</v>
      </c>
      <c r="F26" s="20">
        <v>0.69761200000000001</v>
      </c>
      <c r="G26" s="20">
        <v>0.74554600000000004</v>
      </c>
      <c r="H26" s="20">
        <v>0.74711700000000003</v>
      </c>
      <c r="I26" s="20">
        <v>0.87241000000000002</v>
      </c>
      <c r="J26" s="20">
        <v>0.94800300000000004</v>
      </c>
      <c r="K26" s="20">
        <v>0.92877799999999999</v>
      </c>
      <c r="L26" s="20">
        <v>1.017844</v>
      </c>
      <c r="M26" s="20">
        <v>0.91989900000000002</v>
      </c>
      <c r="N26" s="20">
        <v>0.85061399999999998</v>
      </c>
      <c r="O26" s="20">
        <v>0.84655800000000003</v>
      </c>
      <c r="P26" s="20">
        <v>0.67861700000000003</v>
      </c>
      <c r="Q26" s="20">
        <v>0.55319499999999999</v>
      </c>
      <c r="R26" s="20">
        <v>0.41639999999999999</v>
      </c>
      <c r="S26" s="20">
        <v>0.36674299999999999</v>
      </c>
      <c r="T26" s="20">
        <v>0.29525000000000001</v>
      </c>
      <c r="U26" s="36">
        <v>0.205486</v>
      </c>
      <c r="V26" s="20">
        <v>0.171401</v>
      </c>
      <c r="W26" s="20">
        <v>0.15227399999999999</v>
      </c>
    </row>
    <row r="27" spans="2:23" ht="13.5" customHeight="1" x14ac:dyDescent="0.25">
      <c r="B27" s="2"/>
      <c r="D27"/>
      <c r="E27"/>
      <c r="U27" s="35"/>
    </row>
    <row r="28" spans="2:23" ht="13.5" customHeight="1" x14ac:dyDescent="0.25">
      <c r="B28" s="22" t="s">
        <v>22</v>
      </c>
      <c r="D28"/>
      <c r="E28"/>
      <c r="U28" s="35"/>
    </row>
    <row r="29" spans="2:23" ht="13.5" customHeight="1" x14ac:dyDescent="0.25">
      <c r="B29" s="23" t="s">
        <v>23</v>
      </c>
      <c r="C29" s="24">
        <v>4290.8999999999996</v>
      </c>
      <c r="D29" s="24">
        <v>4374.75</v>
      </c>
      <c r="E29" s="24">
        <v>4450.24</v>
      </c>
      <c r="F29" s="24">
        <v>4519.01</v>
      </c>
      <c r="G29" s="24">
        <v>4590.99</v>
      </c>
      <c r="H29" s="24">
        <v>4673.54</v>
      </c>
      <c r="I29" s="24">
        <v>4736.82</v>
      </c>
      <c r="J29" s="24">
        <v>4802.2700000000004</v>
      </c>
      <c r="K29" s="24">
        <v>4878.3</v>
      </c>
      <c r="L29" s="24">
        <v>4950.67</v>
      </c>
      <c r="M29" s="24">
        <v>4962.134</v>
      </c>
      <c r="N29" s="24">
        <v>5023.8069999999998</v>
      </c>
      <c r="O29" s="24">
        <v>5097</v>
      </c>
      <c r="P29" s="24">
        <v>5136.7830000000004</v>
      </c>
      <c r="Q29" s="24">
        <v>5196</v>
      </c>
      <c r="R29" s="24">
        <v>5250</v>
      </c>
      <c r="S29" s="24">
        <v>5322</v>
      </c>
      <c r="T29" s="24">
        <v>5360</v>
      </c>
      <c r="U29" s="37">
        <v>5445.5</v>
      </c>
      <c r="V29" s="24">
        <v>5531</v>
      </c>
      <c r="W29" s="24">
        <v>5596.2179999999998</v>
      </c>
    </row>
    <row r="30" spans="2:23" ht="13.5" customHeight="1" x14ac:dyDescent="0.25">
      <c r="B30" s="2"/>
      <c r="D30"/>
      <c r="E30"/>
      <c r="U30" s="35"/>
    </row>
    <row r="31" spans="2:23" s="16" customFormat="1" ht="13.5" customHeight="1" x14ac:dyDescent="0.2">
      <c r="B31" s="22" t="s">
        <v>24</v>
      </c>
      <c r="C31" s="18">
        <v>21.801621000000001</v>
      </c>
      <c r="D31" s="18">
        <v>22.287044000000002</v>
      </c>
      <c r="E31" s="18">
        <v>21.816687999999999</v>
      </c>
      <c r="F31" s="18">
        <v>22.226939999999999</v>
      </c>
      <c r="G31" s="18">
        <v>21.805653</v>
      </c>
      <c r="H31" s="18">
        <v>21.944578</v>
      </c>
      <c r="I31" s="18">
        <v>21.42595</v>
      </c>
      <c r="J31" s="18">
        <v>21.560448999999998</v>
      </c>
      <c r="K31" s="18">
        <v>20.761596000000001</v>
      </c>
      <c r="L31" s="18">
        <v>19.124724000000001</v>
      </c>
      <c r="M31" s="18">
        <v>19.25545</v>
      </c>
      <c r="N31" s="18">
        <v>20.320820000000001</v>
      </c>
      <c r="O31" s="18">
        <v>19.202563999999999</v>
      </c>
      <c r="P31" s="18">
        <v>19.237241999999998</v>
      </c>
      <c r="Q31" s="18">
        <v>17.918789</v>
      </c>
      <c r="R31" s="18">
        <v>18.749860999999999</v>
      </c>
      <c r="S31" s="18">
        <v>17.325129</v>
      </c>
      <c r="T31" s="18">
        <v>17.236022999999999</v>
      </c>
      <c r="U31" s="18">
        <v>19.605764000000001</v>
      </c>
      <c r="V31" s="18">
        <v>16.204657999999998</v>
      </c>
      <c r="W31" s="18">
        <v>16.196802000000002</v>
      </c>
    </row>
    <row r="32" spans="2:23" ht="13.5" customHeight="1" x14ac:dyDescent="0.25">
      <c r="B32" s="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36"/>
      <c r="V32" s="20"/>
      <c r="W32" s="20"/>
    </row>
    <row r="33" spans="1:23" ht="13.5" customHeight="1" x14ac:dyDescent="0.25">
      <c r="B33" s="2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36"/>
      <c r="V33" s="20"/>
      <c r="W33" s="20"/>
    </row>
    <row r="34" spans="1:23" s="16" customFormat="1" ht="27.75" customHeight="1" x14ac:dyDescent="0.25">
      <c r="B34" s="25" t="s">
        <v>25</v>
      </c>
      <c r="C34" s="18">
        <v>3.9462890000000002</v>
      </c>
      <c r="D34" s="18">
        <v>4.1360650000000003</v>
      </c>
      <c r="E34" s="18">
        <v>4.1649190000000003</v>
      </c>
      <c r="F34" s="18">
        <v>4.2980320000000001</v>
      </c>
      <c r="G34" s="18">
        <v>4.2533240000000001</v>
      </c>
      <c r="H34" s="18">
        <v>4.4437509999999998</v>
      </c>
      <c r="I34" s="18">
        <v>4.3854949999999997</v>
      </c>
      <c r="J34" s="18">
        <v>4.5106210000000004</v>
      </c>
      <c r="K34" s="18">
        <v>4.3926480000000003</v>
      </c>
      <c r="L34" s="18">
        <v>4.0561150000000001</v>
      </c>
      <c r="M34" s="18">
        <v>4.1069399999999998</v>
      </c>
      <c r="N34" s="18">
        <v>4.438898</v>
      </c>
      <c r="O34" s="18">
        <v>4.2312370000000001</v>
      </c>
      <c r="P34" s="18">
        <v>4.2836220000000003</v>
      </c>
      <c r="Q34" s="18">
        <v>3.999441</v>
      </c>
      <c r="R34" s="18">
        <v>4.2637260000000001</v>
      </c>
      <c r="S34" s="18">
        <v>4.0382290000000003</v>
      </c>
      <c r="T34" s="18">
        <v>4.0500730000000003</v>
      </c>
      <c r="U34" s="18">
        <v>4.7601630000000004</v>
      </c>
      <c r="V34" s="18">
        <v>3.903661</v>
      </c>
      <c r="W34" s="18">
        <v>3.9404690000000002</v>
      </c>
    </row>
    <row r="35" spans="1:23" ht="13.5" customHeight="1" x14ac:dyDescent="0.25">
      <c r="B35" s="19" t="s">
        <v>26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36"/>
      <c r="V35" s="20"/>
      <c r="W35" s="20"/>
    </row>
    <row r="36" spans="1:23" ht="13.5" customHeight="1" x14ac:dyDescent="0.25">
      <c r="B36" s="26" t="s">
        <v>16</v>
      </c>
      <c r="C36" s="27" t="s">
        <v>27</v>
      </c>
      <c r="D36" s="27" t="s">
        <v>27</v>
      </c>
      <c r="E36" s="27" t="s">
        <v>27</v>
      </c>
      <c r="F36" s="27" t="s">
        <v>27</v>
      </c>
      <c r="G36" s="27" t="s">
        <v>27</v>
      </c>
      <c r="H36" s="27" t="s">
        <v>27</v>
      </c>
      <c r="I36" s="27" t="s">
        <v>27</v>
      </c>
      <c r="J36" s="27" t="s">
        <v>27</v>
      </c>
      <c r="K36" s="27" t="s">
        <v>27</v>
      </c>
      <c r="L36" s="27" t="s">
        <v>27</v>
      </c>
      <c r="M36" s="27" t="s">
        <v>27</v>
      </c>
      <c r="N36" s="27" t="s">
        <v>27</v>
      </c>
      <c r="O36" s="27" t="s">
        <v>27</v>
      </c>
      <c r="P36" s="27" t="s">
        <v>27</v>
      </c>
      <c r="Q36" s="27" t="s">
        <v>27</v>
      </c>
      <c r="R36" s="27" t="s">
        <v>27</v>
      </c>
      <c r="S36" s="27" t="s">
        <v>27</v>
      </c>
      <c r="T36" s="27" t="s">
        <v>27</v>
      </c>
      <c r="U36" s="38" t="s">
        <v>27</v>
      </c>
      <c r="V36" s="27" t="s">
        <v>27</v>
      </c>
      <c r="W36" s="27" t="s">
        <v>27</v>
      </c>
    </row>
    <row r="37" spans="1:23" ht="13.5" customHeight="1" x14ac:dyDescent="0.25">
      <c r="B37" s="21" t="s">
        <v>17</v>
      </c>
      <c r="C37" s="20">
        <v>3.697038</v>
      </c>
      <c r="D37" s="20">
        <v>3.8670040000000001</v>
      </c>
      <c r="E37" s="20">
        <v>3.8894510000000002</v>
      </c>
      <c r="F37" s="20">
        <v>4.0423119999999999</v>
      </c>
      <c r="G37" s="20">
        <v>3.9986250000000001</v>
      </c>
      <c r="H37" s="20">
        <v>4.1497089999999996</v>
      </c>
      <c r="I37" s="20">
        <v>4.0711589999999998</v>
      </c>
      <c r="J37" s="20">
        <v>4.2115450000000001</v>
      </c>
      <c r="K37" s="20">
        <v>4.1309979999999999</v>
      </c>
      <c r="L37" s="20">
        <v>3.776329</v>
      </c>
      <c r="M37" s="20">
        <v>3.8174800000000002</v>
      </c>
      <c r="N37" s="20">
        <v>4.1976560000000003</v>
      </c>
      <c r="O37" s="20">
        <v>3.9925839999999999</v>
      </c>
      <c r="P37" s="20">
        <v>4.1006830000000001</v>
      </c>
      <c r="Q37" s="20">
        <v>3.8590789999999999</v>
      </c>
      <c r="R37" s="20">
        <v>4.1336170000000001</v>
      </c>
      <c r="S37" s="20">
        <v>3.9151590000000001</v>
      </c>
      <c r="T37" s="20">
        <v>3.9439989999999998</v>
      </c>
      <c r="U37" s="36">
        <v>4.67056</v>
      </c>
      <c r="V37" s="20">
        <v>3.8246699999999998</v>
      </c>
      <c r="W37" s="20">
        <v>3.8577669999999999</v>
      </c>
    </row>
    <row r="38" spans="1:23" ht="13.5" customHeight="1" x14ac:dyDescent="0.25">
      <c r="B38" s="21" t="s">
        <v>18</v>
      </c>
      <c r="C38" s="20">
        <v>0.21498800000000001</v>
      </c>
      <c r="D38" s="20">
        <v>0.23095299999999999</v>
      </c>
      <c r="E38" s="20">
        <v>0.24147199999999999</v>
      </c>
      <c r="F38" s="20">
        <v>0.219304</v>
      </c>
      <c r="G38" s="20">
        <v>0.216501</v>
      </c>
      <c r="H38" s="20">
        <v>0.249306</v>
      </c>
      <c r="I38" s="20">
        <v>0.25813399999999997</v>
      </c>
      <c r="J38" s="20">
        <v>0.238146</v>
      </c>
      <c r="K38" s="20">
        <v>0.201847</v>
      </c>
      <c r="L38" s="20">
        <v>0.22150500000000001</v>
      </c>
      <c r="M38" s="20">
        <v>0.22801199999999999</v>
      </c>
      <c r="N38" s="20">
        <v>0.17099900000000001</v>
      </c>
      <c r="O38" s="20">
        <v>0.152036</v>
      </c>
      <c r="P38" s="20">
        <v>0.125638</v>
      </c>
      <c r="Q38" s="20">
        <v>9.2536999999999994E-2</v>
      </c>
      <c r="R38" s="20">
        <v>8.1772999999999998E-2</v>
      </c>
      <c r="S38" s="20">
        <v>5.7223000000000003E-2</v>
      </c>
      <c r="T38" s="20">
        <v>4.2797000000000002E-2</v>
      </c>
      <c r="U38" s="36">
        <v>4.2093999999999999E-2</v>
      </c>
      <c r="V38" s="20">
        <v>3.3567E-2</v>
      </c>
      <c r="W38" s="20">
        <v>3.1396E-2</v>
      </c>
    </row>
    <row r="39" spans="1:23" ht="13.5" customHeight="1" x14ac:dyDescent="0.25">
      <c r="B39" s="21" t="s">
        <v>19</v>
      </c>
      <c r="C39" s="20">
        <v>1.5842999999999999E-2</v>
      </c>
      <c r="D39" s="20">
        <v>1.8867999999999999E-2</v>
      </c>
      <c r="E39" s="20">
        <v>1.7090999999999999E-2</v>
      </c>
      <c r="F39" s="20">
        <v>1.9962000000000001E-2</v>
      </c>
      <c r="G39" s="20">
        <v>2.0671999999999999E-2</v>
      </c>
      <c r="H39" s="20">
        <v>2.6742999999999999E-2</v>
      </c>
      <c r="I39" s="20">
        <v>3.5409999999999997E-2</v>
      </c>
      <c r="J39" s="20">
        <v>3.7880999999999998E-2</v>
      </c>
      <c r="K39" s="20">
        <v>3.7713999999999998E-2</v>
      </c>
      <c r="L39" s="20">
        <v>3.5651000000000002E-2</v>
      </c>
      <c r="M39" s="20">
        <v>4.0808999999999998E-2</v>
      </c>
      <c r="N39" s="20">
        <v>4.9852E-2</v>
      </c>
      <c r="O39" s="20">
        <v>6.7159999999999997E-2</v>
      </c>
      <c r="P39" s="20">
        <v>4.1554000000000001E-2</v>
      </c>
      <c r="Q39" s="20">
        <v>3.5729999999999998E-2</v>
      </c>
      <c r="R39" s="20">
        <v>3.8710000000000001E-2</v>
      </c>
      <c r="S39" s="20">
        <v>5.7905999999999999E-2</v>
      </c>
      <c r="T39" s="20">
        <v>5.6871999999999999E-2</v>
      </c>
      <c r="U39" s="36">
        <v>4.2358E-2</v>
      </c>
      <c r="V39" s="20">
        <v>4.1815999999999999E-2</v>
      </c>
      <c r="W39" s="20">
        <v>4.8064999999999997E-2</v>
      </c>
    </row>
    <row r="40" spans="1:23" ht="13.5" customHeight="1" x14ac:dyDescent="0.25">
      <c r="B40" s="21" t="s">
        <v>20</v>
      </c>
      <c r="C40" s="20">
        <v>1.8421E-2</v>
      </c>
      <c r="D40" s="20">
        <v>1.9238999999999999E-2</v>
      </c>
      <c r="E40" s="20">
        <v>1.6905E-2</v>
      </c>
      <c r="F40" s="20">
        <v>1.6454E-2</v>
      </c>
      <c r="G40" s="20">
        <v>1.7526E-2</v>
      </c>
      <c r="H40" s="20">
        <v>1.7992999999999999E-2</v>
      </c>
      <c r="I40" s="20">
        <v>2.0792000000000001E-2</v>
      </c>
      <c r="J40" s="20">
        <v>2.3049E-2</v>
      </c>
      <c r="K40" s="20">
        <v>2.2089000000000001E-2</v>
      </c>
      <c r="L40" s="20">
        <v>2.2630000000000001E-2</v>
      </c>
      <c r="M40" s="20">
        <v>2.0639999999999999E-2</v>
      </c>
      <c r="N40" s="20">
        <v>2.0390999999999999E-2</v>
      </c>
      <c r="O40" s="20">
        <v>1.9456999999999999E-2</v>
      </c>
      <c r="P40" s="20">
        <v>1.5747000000000001E-2</v>
      </c>
      <c r="Q40" s="20">
        <v>1.2095E-2</v>
      </c>
      <c r="R40" s="20">
        <v>9.6249999999999999E-3</v>
      </c>
      <c r="S40" s="20">
        <v>7.9410000000000001E-3</v>
      </c>
      <c r="T40" s="20">
        <v>6.4050000000000001E-3</v>
      </c>
      <c r="U40" s="36">
        <v>5.1520000000000003E-3</v>
      </c>
      <c r="V40" s="20">
        <v>3.607E-3</v>
      </c>
      <c r="W40" s="20">
        <v>3.241E-3</v>
      </c>
    </row>
    <row r="41" spans="1:23" ht="13.5" customHeight="1" x14ac:dyDescent="0.25">
      <c r="B41" s="2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36"/>
      <c r="V41" s="20"/>
      <c r="W41" s="20"/>
    </row>
    <row r="42" spans="1:23" s="16" customFormat="1" ht="13.5" customHeight="1" x14ac:dyDescent="0.2">
      <c r="B42" s="17" t="s">
        <v>28</v>
      </c>
      <c r="C42" s="18">
        <v>42.184387000000001</v>
      </c>
      <c r="D42" s="18">
        <v>42.421067999999998</v>
      </c>
      <c r="E42" s="18">
        <v>42.897731999999998</v>
      </c>
      <c r="F42" s="18">
        <v>42.790432000000003</v>
      </c>
      <c r="G42" s="18">
        <v>42.486697999999997</v>
      </c>
      <c r="H42" s="18">
        <v>43.328786000000001</v>
      </c>
      <c r="I42" s="18">
        <v>43.210731000000003</v>
      </c>
      <c r="J42" s="18">
        <v>43.564419999999998</v>
      </c>
      <c r="K42" s="18">
        <v>43.370775999999999</v>
      </c>
      <c r="L42" s="18">
        <v>42.840166000000004</v>
      </c>
      <c r="M42" s="18">
        <v>42.982951</v>
      </c>
      <c r="N42" s="18">
        <v>43.481144999999998</v>
      </c>
      <c r="O42" s="18">
        <v>43.230828000000002</v>
      </c>
      <c r="P42" s="18">
        <v>43.348799</v>
      </c>
      <c r="Q42" s="18">
        <v>42.955770000000001</v>
      </c>
      <c r="R42" s="18">
        <v>43.314363</v>
      </c>
      <c r="S42" s="18">
        <v>43.796514999999999</v>
      </c>
      <c r="T42" s="18">
        <v>43.839036999999998</v>
      </c>
      <c r="U42" s="18">
        <v>44.586182999999998</v>
      </c>
      <c r="V42" s="18">
        <v>43.554048000000002</v>
      </c>
      <c r="W42" s="18">
        <v>43.473433</v>
      </c>
    </row>
    <row r="43" spans="1:23" s="16" customFormat="1" ht="13.5" customHeight="1" x14ac:dyDescent="0.2"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spans="1:23" s="16" customFormat="1" ht="13.5" customHeight="1" x14ac:dyDescent="0.2"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spans="1:23" s="16" customFormat="1" ht="13.5" customHeight="1" x14ac:dyDescent="0.2">
      <c r="B45" s="17" t="s">
        <v>29</v>
      </c>
      <c r="C45" s="18">
        <v>3.2689219999999999</v>
      </c>
      <c r="D45" s="18">
        <v>3.089105</v>
      </c>
      <c r="E45" s="18">
        <v>3.2967970000000002</v>
      </c>
      <c r="F45" s="18">
        <v>3.7085720000000002</v>
      </c>
      <c r="G45" s="18">
        <v>3.5986229999999999</v>
      </c>
      <c r="H45" s="18">
        <v>3.7238030000000002</v>
      </c>
      <c r="I45" s="18">
        <v>3.3192460000000001</v>
      </c>
      <c r="J45" s="18">
        <v>3.7640720000000001</v>
      </c>
      <c r="K45" s="18">
        <v>3.8325100000000001</v>
      </c>
      <c r="L45" s="18">
        <v>3.6386400000000001</v>
      </c>
      <c r="M45" s="18">
        <v>3.4148480000000001</v>
      </c>
      <c r="N45" s="18">
        <v>3.845567</v>
      </c>
      <c r="O45" s="18">
        <v>3.360509</v>
      </c>
      <c r="P45" s="18">
        <v>3.9632589999999999</v>
      </c>
      <c r="Q45" s="18">
        <v>4.0874579999999998</v>
      </c>
      <c r="R45" s="18">
        <v>4.0434089999999996</v>
      </c>
      <c r="S45" s="18">
        <v>3.6559629999999999</v>
      </c>
      <c r="T45" s="18">
        <v>3.8417789999999998</v>
      </c>
      <c r="U45" s="18">
        <v>4.526027</v>
      </c>
      <c r="V45" s="18">
        <v>3.9121670000000002</v>
      </c>
      <c r="W45" s="18">
        <v>3.479752</v>
      </c>
    </row>
    <row r="46" spans="1:23" ht="13.5" customHeight="1" x14ac:dyDescent="0.25">
      <c r="D46"/>
      <c r="E46"/>
    </row>
    <row r="47" spans="1:23" ht="13.5" customHeight="1" x14ac:dyDescent="0.25">
      <c r="A47" s="8" t="s">
        <v>30</v>
      </c>
      <c r="B47"/>
      <c r="D47"/>
      <c r="E47"/>
    </row>
    <row r="48" spans="1:23" ht="13.5" customHeight="1" x14ac:dyDescent="0.25">
      <c r="A48" s="8" t="s">
        <v>31</v>
      </c>
      <c r="B48"/>
      <c r="D48"/>
      <c r="E48"/>
    </row>
    <row r="49" spans="4:5" ht="13.5" customHeight="1" x14ac:dyDescent="0.25">
      <c r="D49"/>
      <c r="E49"/>
    </row>
    <row r="50" spans="4:5" ht="13.5" customHeight="1" x14ac:dyDescent="0.25">
      <c r="D50"/>
      <c r="E50"/>
    </row>
    <row r="51" spans="4:5" ht="13.5" customHeight="1" x14ac:dyDescent="0.25">
      <c r="D51"/>
      <c r="E51"/>
    </row>
    <row r="52" spans="4:5" ht="13.5" customHeight="1" x14ac:dyDescent="0.25">
      <c r="D52"/>
      <c r="E52"/>
    </row>
    <row r="53" spans="4:5" ht="13.5" customHeight="1" x14ac:dyDescent="0.25">
      <c r="D53"/>
      <c r="E53"/>
    </row>
    <row r="54" spans="4:5" ht="13.5" customHeight="1" x14ac:dyDescent="0.25">
      <c r="D54"/>
      <c r="E54"/>
    </row>
    <row r="55" spans="4:5" ht="13.5" customHeight="1" x14ac:dyDescent="0.25">
      <c r="D55"/>
      <c r="E55"/>
    </row>
    <row r="56" spans="4:5" ht="13.5" customHeight="1" x14ac:dyDescent="0.25">
      <c r="D56"/>
      <c r="E56"/>
    </row>
    <row r="57" spans="4:5" ht="13.5" customHeight="1" x14ac:dyDescent="0.25">
      <c r="D57"/>
      <c r="E57"/>
    </row>
    <row r="58" spans="4:5" x14ac:dyDescent="0.25">
      <c r="D58"/>
      <c r="E58"/>
    </row>
    <row r="59" spans="4:5" x14ac:dyDescent="0.25">
      <c r="D59"/>
      <c r="E59"/>
    </row>
    <row r="60" spans="4:5" x14ac:dyDescent="0.25">
      <c r="D60"/>
      <c r="E60"/>
    </row>
    <row r="61" spans="4:5" x14ac:dyDescent="0.25">
      <c r="D61"/>
      <c r="E61"/>
    </row>
    <row r="62" spans="4:5" x14ac:dyDescent="0.25">
      <c r="D62"/>
      <c r="E62"/>
    </row>
    <row r="63" spans="4:5" x14ac:dyDescent="0.25">
      <c r="D63"/>
      <c r="E63"/>
    </row>
    <row r="64" spans="4:5" x14ac:dyDescent="0.25">
      <c r="D64"/>
      <c r="E64"/>
    </row>
    <row r="65" spans="4:15" x14ac:dyDescent="0.25">
      <c r="D65"/>
      <c r="E65"/>
    </row>
    <row r="66" spans="4:15" x14ac:dyDescent="0.25">
      <c r="D66"/>
      <c r="E66"/>
    </row>
    <row r="67" spans="4:15" x14ac:dyDescent="0.25">
      <c r="D67"/>
      <c r="E67"/>
    </row>
    <row r="68" spans="4:15" x14ac:dyDescent="0.25">
      <c r="D68"/>
      <c r="E68"/>
    </row>
    <row r="69" spans="4:15" x14ac:dyDescent="0.25"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4:15" x14ac:dyDescent="0.25"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4:15" x14ac:dyDescent="0.25"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4:15" x14ac:dyDescent="0.25"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4:15" x14ac:dyDescent="0.25"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4:15" x14ac:dyDescent="0.25"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4:15" x14ac:dyDescent="0.25"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4:15" x14ac:dyDescent="0.25"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4:15" x14ac:dyDescent="0.25"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4:15" x14ac:dyDescent="0.25"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4:15" x14ac:dyDescent="0.25"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4:15" x14ac:dyDescent="0.25"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6:15" x14ac:dyDescent="0.25"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6:15" x14ac:dyDescent="0.25"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6:15" x14ac:dyDescent="0.25"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6:15" x14ac:dyDescent="0.25"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6:15" x14ac:dyDescent="0.25"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6:15" x14ac:dyDescent="0.25">
      <c r="F86" s="9"/>
      <c r="G86" s="9"/>
      <c r="H86" s="9"/>
      <c r="I86" s="9"/>
      <c r="J86" s="9"/>
      <c r="K86" s="9"/>
      <c r="L86" s="9"/>
      <c r="M86" s="9"/>
      <c r="N86" s="9"/>
      <c r="O86" s="9"/>
    </row>
    <row r="87" spans="6:15" x14ac:dyDescent="0.25"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6:15" x14ac:dyDescent="0.25"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6:15" x14ac:dyDescent="0.25"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6:15" x14ac:dyDescent="0.25"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6:15" x14ac:dyDescent="0.25"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6:15" x14ac:dyDescent="0.25"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6:15" x14ac:dyDescent="0.25"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6:15" x14ac:dyDescent="0.25">
      <c r="F94" s="9"/>
      <c r="G94" s="9"/>
      <c r="H94" s="9"/>
      <c r="I94" s="9"/>
      <c r="J94" s="9"/>
      <c r="K94" s="9"/>
      <c r="L94" s="9"/>
      <c r="M94" s="9"/>
      <c r="N94" s="9"/>
      <c r="O94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1714-A56C-453D-82CC-055C960EABC0}">
  <dimension ref="A1:I5"/>
  <sheetViews>
    <sheetView workbookViewId="0">
      <selection activeCell="I4" sqref="I4"/>
    </sheetView>
  </sheetViews>
  <sheetFormatPr defaultRowHeight="15" x14ac:dyDescent="0.25"/>
  <cols>
    <col min="1" max="1" width="23.42578125" customWidth="1"/>
    <col min="2" max="7" width="15.28515625" customWidth="1"/>
    <col min="9" max="9" width="9.85546875" customWidth="1"/>
  </cols>
  <sheetData>
    <row r="1" spans="1:9" x14ac:dyDescent="0.25">
      <c r="A1" s="39" t="s">
        <v>10</v>
      </c>
      <c r="H1" t="s">
        <v>36</v>
      </c>
    </row>
    <row r="2" spans="1:9" x14ac:dyDescent="0.25">
      <c r="A2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6</v>
      </c>
      <c r="H2" s="4" t="s">
        <v>7</v>
      </c>
      <c r="I2" s="7" t="s">
        <v>9</v>
      </c>
    </row>
    <row r="3" spans="1:9" x14ac:dyDescent="0.25">
      <c r="A3" t="s">
        <v>8</v>
      </c>
      <c r="B3" s="5">
        <v>0.21199999999999999</v>
      </c>
      <c r="C3" s="5">
        <v>0.64100000000000001</v>
      </c>
      <c r="D3" s="5">
        <v>4.7E-2</v>
      </c>
      <c r="E3" s="5">
        <v>8.0000000000000002E-3</v>
      </c>
      <c r="F3" s="5">
        <v>6.7000000000000004E-2</v>
      </c>
      <c r="G3" s="5">
        <v>1.7999999999999999E-2</v>
      </c>
      <c r="H3" s="6">
        <v>8.0000000000000002E-3</v>
      </c>
    </row>
    <row r="4" spans="1:9" x14ac:dyDescent="0.25">
      <c r="A4" t="s">
        <v>37</v>
      </c>
      <c r="B4" s="5">
        <v>0.92</v>
      </c>
      <c r="C4" s="5">
        <v>0.61</v>
      </c>
      <c r="D4" s="5">
        <v>0.84</v>
      </c>
      <c r="E4" s="5">
        <v>0.96</v>
      </c>
      <c r="F4" s="5">
        <v>0.92</v>
      </c>
      <c r="G4" s="5">
        <v>3.33</v>
      </c>
      <c r="H4" s="6"/>
      <c r="I4" s="1" cm="1">
        <f t="array" ref="I4">SUM(B4:G4*B3:G3)/SUM(B3:G3)</f>
        <v>0.76011077542799588</v>
      </c>
    </row>
    <row r="5" spans="1:9" x14ac:dyDescent="0.25">
      <c r="A5" t="s">
        <v>38</v>
      </c>
    </row>
  </sheetData>
  <hyperlinks>
    <hyperlink ref="A1" r:id="rId1" xr:uid="{6069CF28-3757-4506-B031-1B51F2AA4AF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F6D2-AF29-4159-8E84-6156765206F4}">
  <dimension ref="A1:W71"/>
  <sheetViews>
    <sheetView topLeftCell="A10" zoomScale="85" zoomScaleNormal="85" workbookViewId="0">
      <selection activeCell="W27" sqref="W27"/>
    </sheetView>
  </sheetViews>
  <sheetFormatPr defaultRowHeight="15" x14ac:dyDescent="0.25"/>
  <sheetData>
    <row r="1" spans="1:23" x14ac:dyDescent="0.25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5" spans="1:23" ht="18" x14ac:dyDescent="0.25">
      <c r="A5" s="43" t="s">
        <v>11</v>
      </c>
      <c r="B5" s="41"/>
      <c r="C5" s="41"/>
      <c r="D5" s="41"/>
      <c r="E5" s="41"/>
      <c r="F5" s="44"/>
      <c r="G5" s="44"/>
      <c r="H5" s="44"/>
      <c r="I5" s="44"/>
      <c r="J5" s="44"/>
      <c r="K5" s="44"/>
      <c r="L5" s="44"/>
      <c r="M5" s="44"/>
      <c r="N5" s="44"/>
      <c r="O5" s="44"/>
      <c r="P5" s="41"/>
      <c r="Q5" s="41"/>
      <c r="R5" s="41"/>
      <c r="S5" s="41"/>
      <c r="T5" s="41"/>
      <c r="U5" s="41"/>
      <c r="V5" s="41"/>
      <c r="W5" s="41"/>
    </row>
    <row r="6" spans="1:23" ht="18" x14ac:dyDescent="0.25">
      <c r="A6" s="43"/>
      <c r="B6" s="41"/>
      <c r="C6" s="41"/>
      <c r="D6" s="41"/>
      <c r="E6" s="41"/>
      <c r="F6" s="44"/>
      <c r="G6" s="44"/>
      <c r="H6" s="44"/>
      <c r="I6" s="44"/>
      <c r="J6" s="44"/>
      <c r="K6" s="44"/>
      <c r="L6" s="44"/>
      <c r="M6" s="44"/>
      <c r="N6" s="44"/>
      <c r="O6" s="44"/>
      <c r="P6" s="41"/>
      <c r="Q6" s="41"/>
      <c r="R6" s="41"/>
      <c r="S6" s="41"/>
      <c r="T6" s="41"/>
      <c r="U6" s="41"/>
      <c r="V6" s="41"/>
      <c r="W6" s="41"/>
    </row>
    <row r="7" spans="1:23" ht="15.75" x14ac:dyDescent="0.25">
      <c r="A7" s="45" t="s">
        <v>43</v>
      </c>
      <c r="B7" s="41"/>
      <c r="C7" s="44"/>
      <c r="D7" s="44"/>
      <c r="E7" s="44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ht="15.75" x14ac:dyDescent="0.25">
      <c r="A8" s="45" t="s">
        <v>44</v>
      </c>
      <c r="B8" s="42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</row>
    <row r="9" spans="1:23" ht="15.75" x14ac:dyDescent="0.25">
      <c r="A9" s="41"/>
      <c r="B9" s="41"/>
      <c r="C9" s="47"/>
      <c r="D9" s="47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.75" thickBot="1" x14ac:dyDescent="0.3">
      <c r="A11" s="41"/>
      <c r="B11" s="41"/>
      <c r="C11" s="48">
        <v>2000</v>
      </c>
      <c r="D11" s="48">
        <v>2001</v>
      </c>
      <c r="E11" s="48">
        <v>2002</v>
      </c>
      <c r="F11" s="48">
        <v>2003</v>
      </c>
      <c r="G11" s="48">
        <v>2004</v>
      </c>
      <c r="H11" s="48">
        <v>2005</v>
      </c>
      <c r="I11" s="48">
        <v>2006</v>
      </c>
      <c r="J11" s="48">
        <v>2007</v>
      </c>
      <c r="K11" s="48">
        <v>2008</v>
      </c>
      <c r="L11" s="48">
        <v>2009</v>
      </c>
      <c r="M11" s="48">
        <v>2010</v>
      </c>
      <c r="N11" s="48">
        <v>2011</v>
      </c>
      <c r="O11" s="48">
        <v>2012</v>
      </c>
      <c r="P11" s="48">
        <v>2013</v>
      </c>
      <c r="Q11" s="48">
        <v>2014</v>
      </c>
      <c r="R11" s="48">
        <v>2015</v>
      </c>
      <c r="S11" s="48">
        <v>2016</v>
      </c>
      <c r="T11" s="48">
        <v>2017</v>
      </c>
      <c r="U11" s="48">
        <v>2018</v>
      </c>
      <c r="V11" s="48">
        <v>2019</v>
      </c>
      <c r="W11" s="48">
        <v>2020</v>
      </c>
    </row>
    <row r="12" spans="1:23" x14ac:dyDescent="0.25">
      <c r="A12" s="41"/>
      <c r="B12" s="41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1"/>
      <c r="U12" s="41"/>
      <c r="V12" s="41"/>
      <c r="W12" s="41"/>
    </row>
    <row r="13" spans="1:23" x14ac:dyDescent="0.25">
      <c r="A13" s="41"/>
      <c r="B13" s="50" t="s">
        <v>45</v>
      </c>
      <c r="C13" s="51">
        <v>4467.5529999999999</v>
      </c>
      <c r="D13" s="51">
        <v>4534.1440000000002</v>
      </c>
      <c r="E13" s="51">
        <v>4613.0280000000002</v>
      </c>
      <c r="F13" s="51">
        <v>4686.6750000000002</v>
      </c>
      <c r="G13" s="51">
        <v>4767.2889999999998</v>
      </c>
      <c r="H13" s="51">
        <v>4845.3670000000002</v>
      </c>
      <c r="I13" s="51">
        <v>4916.95</v>
      </c>
      <c r="J13" s="51">
        <v>4978.1419999999998</v>
      </c>
      <c r="K13" s="51">
        <v>5042.7460000000001</v>
      </c>
      <c r="L13" s="51">
        <v>5095.0069999999996</v>
      </c>
      <c r="M13" s="51">
        <v>5153.6509999999998</v>
      </c>
      <c r="N13" s="51">
        <v>5211.1120000000001</v>
      </c>
      <c r="O13" s="51">
        <v>5266.2539999999999</v>
      </c>
      <c r="P13" s="51">
        <v>5321.6679999999997</v>
      </c>
      <c r="Q13" s="51">
        <v>5374.7939999999999</v>
      </c>
      <c r="R13" s="51">
        <v>5443.9870000000001</v>
      </c>
      <c r="S13" s="51">
        <v>5511.7579999999998</v>
      </c>
      <c r="T13" s="51">
        <v>5577.3149999999996</v>
      </c>
      <c r="U13" s="51">
        <v>5668.3029999999999</v>
      </c>
      <c r="V13" s="51">
        <v>5752.2169999999996</v>
      </c>
      <c r="W13" s="51">
        <v>5835.7960000000003</v>
      </c>
    </row>
    <row r="14" spans="1:23" ht="102.75" x14ac:dyDescent="0.25">
      <c r="A14" s="41"/>
      <c r="B14" s="52" t="s">
        <v>46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</row>
    <row r="15" spans="1:23" x14ac:dyDescent="0.25">
      <c r="A15" s="41"/>
      <c r="B15" s="54" t="s">
        <v>47</v>
      </c>
      <c r="C15" s="53">
        <v>2526.9490000000001</v>
      </c>
      <c r="D15" s="53">
        <v>2566.5140000000001</v>
      </c>
      <c r="E15" s="53">
        <v>2611.3380000000002</v>
      </c>
      <c r="F15" s="53">
        <v>2655.4409999999998</v>
      </c>
      <c r="G15" s="53">
        <v>2701.0320000000002</v>
      </c>
      <c r="H15" s="53">
        <v>2741.4810000000002</v>
      </c>
      <c r="I15" s="53">
        <v>2778.509</v>
      </c>
      <c r="J15" s="53">
        <v>2812.05</v>
      </c>
      <c r="K15" s="53">
        <v>2843.692</v>
      </c>
      <c r="L15" s="53">
        <v>2865.7339999999999</v>
      </c>
      <c r="M15" s="53">
        <v>2890.3780000000002</v>
      </c>
      <c r="N15" s="53">
        <v>2912.26</v>
      </c>
      <c r="O15" s="53">
        <v>2935.66</v>
      </c>
      <c r="P15" s="53">
        <v>2955.864</v>
      </c>
      <c r="Q15" s="53">
        <v>2975.8</v>
      </c>
      <c r="R15" s="53">
        <v>2993.0509999999999</v>
      </c>
      <c r="S15" s="53">
        <v>3021.2649999999999</v>
      </c>
      <c r="T15" s="53">
        <v>3046.7190000000001</v>
      </c>
      <c r="U15" s="53">
        <v>3090.8389999999999</v>
      </c>
      <c r="V15" s="53">
        <v>3139.107</v>
      </c>
      <c r="W15" s="53">
        <v>3175.8620000000001</v>
      </c>
    </row>
    <row r="16" spans="1:23" x14ac:dyDescent="0.25">
      <c r="A16" s="41"/>
      <c r="B16" s="54" t="s">
        <v>48</v>
      </c>
      <c r="C16" s="53">
        <v>625.41099999999994</v>
      </c>
      <c r="D16" s="53">
        <v>645.08699999999999</v>
      </c>
      <c r="E16" s="53">
        <v>663.29</v>
      </c>
      <c r="F16" s="53">
        <v>679.78099999999995</v>
      </c>
      <c r="G16" s="53">
        <v>698.25900000000001</v>
      </c>
      <c r="H16" s="53">
        <v>714.88099999999997</v>
      </c>
      <c r="I16" s="53">
        <v>731.06100000000004</v>
      </c>
      <c r="J16" s="53">
        <v>745.74900000000002</v>
      </c>
      <c r="K16" s="53">
        <v>759.56700000000001</v>
      </c>
      <c r="L16" s="53">
        <v>771.99199999999996</v>
      </c>
      <c r="M16" s="53">
        <v>784.05899999999997</v>
      </c>
      <c r="N16" s="53">
        <v>796.10299999999995</v>
      </c>
      <c r="O16" s="53">
        <v>808.17</v>
      </c>
      <c r="P16" s="53">
        <v>821.43600000000004</v>
      </c>
      <c r="Q16" s="53">
        <v>833.81500000000005</v>
      </c>
      <c r="R16" s="53">
        <v>844.34799999999996</v>
      </c>
      <c r="S16" s="53">
        <v>856.24599999999998</v>
      </c>
      <c r="T16" s="53">
        <v>870.625</v>
      </c>
      <c r="U16" s="53">
        <v>887.78200000000004</v>
      </c>
      <c r="V16" s="53">
        <v>901.03599999999994</v>
      </c>
      <c r="W16" s="53">
        <v>916.23400000000004</v>
      </c>
    </row>
    <row r="17" spans="2:23" x14ac:dyDescent="0.25">
      <c r="B17" s="54" t="s">
        <v>49</v>
      </c>
      <c r="C17" s="53">
        <v>1290.3240000000001</v>
      </c>
      <c r="D17" s="53">
        <v>1297.748</v>
      </c>
      <c r="E17" s="53">
        <v>1313.5160000000001</v>
      </c>
      <c r="F17" s="53">
        <v>1326.431</v>
      </c>
      <c r="G17" s="53">
        <v>1342.798</v>
      </c>
      <c r="H17" s="53">
        <v>1363.65</v>
      </c>
      <c r="I17" s="53">
        <v>1381.886</v>
      </c>
      <c r="J17" s="53">
        <v>1394.7280000000001</v>
      </c>
      <c r="K17" s="53">
        <v>1413.7619999999999</v>
      </c>
      <c r="L17" s="53">
        <v>1431.509</v>
      </c>
      <c r="M17" s="53">
        <v>1453.373</v>
      </c>
      <c r="N17" s="53">
        <v>1476.855</v>
      </c>
      <c r="O17" s="53">
        <v>1496.4359999999999</v>
      </c>
      <c r="P17" s="53">
        <v>1518.268</v>
      </c>
      <c r="Q17" s="53">
        <v>1538.972</v>
      </c>
      <c r="R17" s="53">
        <v>1580.2919999999999</v>
      </c>
      <c r="S17" s="53">
        <v>1607.85</v>
      </c>
      <c r="T17" s="53">
        <v>1633.453</v>
      </c>
      <c r="U17" s="53">
        <v>1663.0619999999999</v>
      </c>
      <c r="V17" s="53">
        <v>1685.3779999999999</v>
      </c>
      <c r="W17" s="53">
        <v>1716.934</v>
      </c>
    </row>
    <row r="18" spans="2:23" x14ac:dyDescent="0.25">
      <c r="B18" s="54" t="s">
        <v>50</v>
      </c>
      <c r="C18" s="53">
        <v>24.869</v>
      </c>
      <c r="D18" s="53">
        <v>24.795000000000002</v>
      </c>
      <c r="E18" s="53">
        <v>24.884</v>
      </c>
      <c r="F18" s="53">
        <v>25.021999999999998</v>
      </c>
      <c r="G18" s="53">
        <v>25.2</v>
      </c>
      <c r="H18" s="53">
        <v>25.356000000000002</v>
      </c>
      <c r="I18" s="53">
        <v>25.495000000000001</v>
      </c>
      <c r="J18" s="53">
        <v>25.614999999999998</v>
      </c>
      <c r="K18" s="53">
        <v>25.725000000000001</v>
      </c>
      <c r="L18" s="53">
        <v>25.773</v>
      </c>
      <c r="M18" s="53">
        <v>25.841000000000001</v>
      </c>
      <c r="N18" s="53">
        <v>25.893999999999998</v>
      </c>
      <c r="O18" s="53">
        <v>25.988</v>
      </c>
      <c r="P18" s="53">
        <v>26.100999999999999</v>
      </c>
      <c r="Q18" s="53">
        <v>26.207000000000001</v>
      </c>
      <c r="R18" s="53">
        <v>26.295999999999999</v>
      </c>
      <c r="S18" s="53">
        <v>26.398</v>
      </c>
      <c r="T18" s="53">
        <v>26.518000000000001</v>
      </c>
      <c r="U18" s="53">
        <v>26.62</v>
      </c>
      <c r="V18" s="53">
        <v>26.696000000000002</v>
      </c>
      <c r="W18" s="53">
        <v>26.765999999999998</v>
      </c>
    </row>
    <row r="19" spans="2:23" x14ac:dyDescent="0.25">
      <c r="B19" s="55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</row>
    <row r="20" spans="2:23" x14ac:dyDescent="0.25">
      <c r="B20" s="56" t="s">
        <v>21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</row>
    <row r="21" spans="2:23" x14ac:dyDescent="0.25">
      <c r="B21" s="54" t="s">
        <v>47</v>
      </c>
      <c r="C21" s="53">
        <v>56.562255</v>
      </c>
      <c r="D21" s="53">
        <v>56.604152999999997</v>
      </c>
      <c r="E21" s="53">
        <v>56.607895999999997</v>
      </c>
      <c r="F21" s="53">
        <v>56.659390000000002</v>
      </c>
      <c r="G21" s="53">
        <v>56.657609000000001</v>
      </c>
      <c r="H21" s="53">
        <v>56.579430000000002</v>
      </c>
      <c r="I21" s="53">
        <v>56.508786999999998</v>
      </c>
      <c r="J21" s="53">
        <v>56.487954999999999</v>
      </c>
      <c r="K21" s="53">
        <v>56.391736999999999</v>
      </c>
      <c r="L21" s="53">
        <v>56.245925999999997</v>
      </c>
      <c r="M21" s="53">
        <v>56.084088000000001</v>
      </c>
      <c r="N21" s="53">
        <v>55.885584000000001</v>
      </c>
      <c r="O21" s="53">
        <v>55.744754999999998</v>
      </c>
      <c r="P21" s="53">
        <v>55.543931999999998</v>
      </c>
      <c r="Q21" s="53">
        <v>55.365839000000001</v>
      </c>
      <c r="R21" s="53">
        <v>54.979027000000002</v>
      </c>
      <c r="S21" s="53">
        <v>54.814897999999999</v>
      </c>
      <c r="T21" s="53">
        <v>54.626989000000002</v>
      </c>
      <c r="U21" s="53">
        <v>54.528478999999997</v>
      </c>
      <c r="V21" s="53">
        <v>54.572119999999998</v>
      </c>
      <c r="W21" s="53">
        <v>54.420381999999996</v>
      </c>
    </row>
    <row r="22" spans="2:23" x14ac:dyDescent="0.25">
      <c r="B22" s="54" t="s">
        <v>48</v>
      </c>
      <c r="C22" s="53">
        <v>13.998961</v>
      </c>
      <c r="D22" s="53">
        <v>14.227314</v>
      </c>
      <c r="E22" s="53">
        <v>14.378624</v>
      </c>
      <c r="F22" s="53">
        <v>14.504547000000001</v>
      </c>
      <c r="G22" s="53">
        <v>14.646877</v>
      </c>
      <c r="H22" s="53">
        <v>14.753906000000001</v>
      </c>
      <c r="I22" s="53">
        <v>14.868180000000001</v>
      </c>
      <c r="J22" s="53">
        <v>14.980468</v>
      </c>
      <c r="K22" s="53">
        <v>15.062566</v>
      </c>
      <c r="L22" s="53">
        <v>15.151929000000001</v>
      </c>
      <c r="M22" s="53">
        <v>15.213659</v>
      </c>
      <c r="N22" s="53">
        <v>15.277027</v>
      </c>
      <c r="O22" s="53">
        <v>15.346202</v>
      </c>
      <c r="P22" s="53">
        <v>15.435686</v>
      </c>
      <c r="Q22" s="53">
        <v>15.513431000000001</v>
      </c>
      <c r="R22" s="53">
        <v>15.509734999999999</v>
      </c>
      <c r="S22" s="53">
        <v>15.534897000000001</v>
      </c>
      <c r="T22" s="53">
        <v>15.610109</v>
      </c>
      <c r="U22" s="53">
        <v>15.662217999999999</v>
      </c>
      <c r="V22" s="53">
        <v>15.664151</v>
      </c>
      <c r="W22" s="53">
        <v>15.700240000000001</v>
      </c>
    </row>
    <row r="23" spans="2:23" x14ac:dyDescent="0.25">
      <c r="B23" s="54" t="s">
        <v>49</v>
      </c>
      <c r="C23" s="53">
        <v>28.882118999999999</v>
      </c>
      <c r="D23" s="53">
        <v>28.621673000000001</v>
      </c>
      <c r="E23" s="53">
        <v>28.474052</v>
      </c>
      <c r="F23" s="53">
        <v>28.302175999999999</v>
      </c>
      <c r="G23" s="53">
        <v>28.166906000000001</v>
      </c>
      <c r="H23" s="53">
        <v>28.143369</v>
      </c>
      <c r="I23" s="53">
        <v>28.104528999999999</v>
      </c>
      <c r="J23" s="53">
        <v>28.017035</v>
      </c>
      <c r="K23" s="53">
        <v>28.035554000000001</v>
      </c>
      <c r="L23" s="53">
        <v>28.096302999999999</v>
      </c>
      <c r="M23" s="53">
        <v>28.200835999999999</v>
      </c>
      <c r="N23" s="53">
        <v>28.340494</v>
      </c>
      <c r="O23" s="53">
        <v>28.415564</v>
      </c>
      <c r="P23" s="53">
        <v>28.529923</v>
      </c>
      <c r="Q23" s="53">
        <v>28.633130999999999</v>
      </c>
      <c r="R23" s="53">
        <v>29.028206999999998</v>
      </c>
      <c r="S23" s="53">
        <v>29.171268999999999</v>
      </c>
      <c r="T23" s="53">
        <v>29.28744</v>
      </c>
      <c r="U23" s="53">
        <v>29.339676999999998</v>
      </c>
      <c r="V23" s="53">
        <v>29.299621999999999</v>
      </c>
      <c r="W23" s="53">
        <v>29.420732000000001</v>
      </c>
    </row>
    <row r="24" spans="2:23" x14ac:dyDescent="0.25">
      <c r="B24" s="54" t="s">
        <v>50</v>
      </c>
      <c r="C24" s="53">
        <v>0.55666599999999999</v>
      </c>
      <c r="D24" s="53">
        <v>0.54686000000000001</v>
      </c>
      <c r="E24" s="53">
        <v>0.53942800000000002</v>
      </c>
      <c r="F24" s="53">
        <v>0.533887</v>
      </c>
      <c r="G24" s="53">
        <v>0.52860799999999997</v>
      </c>
      <c r="H24" s="53">
        <v>0.52329499999999995</v>
      </c>
      <c r="I24" s="53">
        <v>0.51850300000000005</v>
      </c>
      <c r="J24" s="53">
        <v>0.51454100000000003</v>
      </c>
      <c r="K24" s="53">
        <v>0.51014199999999998</v>
      </c>
      <c r="L24" s="53">
        <v>0.50584099999999999</v>
      </c>
      <c r="M24" s="53">
        <v>0.50141599999999997</v>
      </c>
      <c r="N24" s="53">
        <v>0.49689499999999998</v>
      </c>
      <c r="O24" s="53">
        <v>0.49347999999999997</v>
      </c>
      <c r="P24" s="53">
        <v>0.49045899999999998</v>
      </c>
      <c r="Q24" s="53">
        <v>0.487599</v>
      </c>
      <c r="R24" s="53">
        <v>0.48303099999999999</v>
      </c>
      <c r="S24" s="53">
        <v>0.478935</v>
      </c>
      <c r="T24" s="53">
        <v>0.475462</v>
      </c>
      <c r="U24" s="53">
        <v>0.46962700000000002</v>
      </c>
      <c r="V24" s="53">
        <v>0.46410699999999999</v>
      </c>
      <c r="W24" s="53">
        <v>0.458646</v>
      </c>
    </row>
    <row r="25" spans="2:23" x14ac:dyDescent="0.25">
      <c r="B25" s="55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</row>
    <row r="26" spans="2:23" ht="102.75" x14ac:dyDescent="0.25">
      <c r="B26" s="52" t="s">
        <v>51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</row>
    <row r="27" spans="2:23" x14ac:dyDescent="0.25">
      <c r="B27" s="54" t="s">
        <v>16</v>
      </c>
      <c r="C27" s="53">
        <v>1322.7370000000001</v>
      </c>
      <c r="D27" s="53">
        <v>1295.1400000000001</v>
      </c>
      <c r="E27" s="53">
        <v>1288.271</v>
      </c>
      <c r="F27" s="53">
        <v>1286.46</v>
      </c>
      <c r="G27" s="53">
        <v>1271.231</v>
      </c>
      <c r="H27" s="53">
        <v>1252.944</v>
      </c>
      <c r="I27" s="53">
        <v>1246.019</v>
      </c>
      <c r="J27" s="53">
        <v>1239.674</v>
      </c>
      <c r="K27" s="53">
        <v>1265.9849999999999</v>
      </c>
      <c r="L27" s="53">
        <v>1281.32</v>
      </c>
      <c r="M27" s="53">
        <v>1289.9860000000001</v>
      </c>
      <c r="N27" s="53">
        <v>1308.5840000000001</v>
      </c>
      <c r="O27" s="53">
        <v>1339.5419999999999</v>
      </c>
      <c r="P27" s="53">
        <v>1354.9639999999999</v>
      </c>
      <c r="Q27" s="53">
        <v>1368.443</v>
      </c>
      <c r="R27" s="53">
        <v>1384.8689999999999</v>
      </c>
      <c r="S27" s="53">
        <v>1399.9159999999999</v>
      </c>
      <c r="T27" s="53">
        <v>1414.002</v>
      </c>
      <c r="U27" s="53">
        <v>1435.749</v>
      </c>
      <c r="V27" s="53">
        <v>1455.412</v>
      </c>
      <c r="W27" s="53">
        <v>1474.7329999999999</v>
      </c>
    </row>
    <row r="28" spans="2:23" x14ac:dyDescent="0.25">
      <c r="B28" s="54" t="s">
        <v>17</v>
      </c>
      <c r="C28" s="53">
        <v>2968.98</v>
      </c>
      <c r="D28" s="53">
        <v>3051.569</v>
      </c>
      <c r="E28" s="53">
        <v>3146.422</v>
      </c>
      <c r="F28" s="53">
        <v>3216.6669999999999</v>
      </c>
      <c r="G28" s="53">
        <v>3307.152</v>
      </c>
      <c r="H28" s="53">
        <v>3406.7689999999998</v>
      </c>
      <c r="I28" s="53">
        <v>3471.877</v>
      </c>
      <c r="J28" s="53">
        <v>3529.9940000000001</v>
      </c>
      <c r="K28" s="53">
        <v>3572.1190000000001</v>
      </c>
      <c r="L28" s="53">
        <v>3599.797</v>
      </c>
      <c r="M28" s="53">
        <v>3656.8319999999999</v>
      </c>
      <c r="N28" s="53">
        <v>3701.6120000000001</v>
      </c>
      <c r="O28" s="53">
        <v>3726.4839999999999</v>
      </c>
      <c r="P28" s="53">
        <v>3783.806</v>
      </c>
      <c r="Q28" s="53">
        <v>3836.0650000000001</v>
      </c>
      <c r="R28" s="53">
        <v>3896.96</v>
      </c>
      <c r="S28" s="53">
        <v>3954.3690000000001</v>
      </c>
      <c r="T28" s="53">
        <v>4009.4360000000001</v>
      </c>
      <c r="U28" s="53">
        <v>4078.6289999999999</v>
      </c>
      <c r="V28" s="53">
        <v>4142.1710000000003</v>
      </c>
      <c r="W28" s="53">
        <v>4205</v>
      </c>
    </row>
    <row r="29" spans="2:23" x14ac:dyDescent="0.25">
      <c r="B29" s="54" t="s">
        <v>18</v>
      </c>
      <c r="C29" s="53">
        <v>132.524</v>
      </c>
      <c r="D29" s="53">
        <v>137.43</v>
      </c>
      <c r="E29" s="53">
        <v>128.62100000000001</v>
      </c>
      <c r="F29" s="53">
        <v>127.511</v>
      </c>
      <c r="G29" s="53">
        <v>131.06800000000001</v>
      </c>
      <c r="H29" s="53">
        <v>126.702</v>
      </c>
      <c r="I29" s="53">
        <v>133.28299999999999</v>
      </c>
      <c r="J29" s="53">
        <v>137.166</v>
      </c>
      <c r="K29" s="53">
        <v>136.113</v>
      </c>
      <c r="L29" s="53">
        <v>141.63200000000001</v>
      </c>
      <c r="M29" s="53">
        <v>136.286</v>
      </c>
      <c r="N29" s="53">
        <v>127.246</v>
      </c>
      <c r="O29" s="53">
        <v>122.30500000000001</v>
      </c>
      <c r="P29" s="53">
        <v>106.358</v>
      </c>
      <c r="Q29" s="53">
        <v>92.346000000000004</v>
      </c>
      <c r="R29" s="53">
        <v>80.343999999999994</v>
      </c>
      <c r="S29" s="53">
        <v>69.822999999999993</v>
      </c>
      <c r="T29" s="53">
        <v>60.631999999999998</v>
      </c>
      <c r="U29" s="53">
        <v>56.509</v>
      </c>
      <c r="V29" s="53">
        <v>52.658999999999999</v>
      </c>
      <c r="W29" s="53">
        <v>49.125999999999998</v>
      </c>
    </row>
    <row r="30" spans="2:23" x14ac:dyDescent="0.25">
      <c r="B30" s="54" t="s">
        <v>52</v>
      </c>
      <c r="C30" s="53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</row>
    <row r="31" spans="2:23" x14ac:dyDescent="0.25">
      <c r="B31" s="57" t="s">
        <v>53</v>
      </c>
      <c r="C31" s="53">
        <v>17.61</v>
      </c>
      <c r="D31" s="53">
        <v>20.332000000000001</v>
      </c>
      <c r="E31" s="53">
        <v>20.213000000000001</v>
      </c>
      <c r="F31" s="53">
        <v>22.783999999999999</v>
      </c>
      <c r="G31" s="53">
        <v>23.515999999999998</v>
      </c>
      <c r="H31" s="53">
        <v>23.97</v>
      </c>
      <c r="I31" s="53">
        <v>26.742000000000001</v>
      </c>
      <c r="J31" s="53">
        <v>29.609000000000002</v>
      </c>
      <c r="K31" s="53">
        <v>29.861999999999998</v>
      </c>
      <c r="L31" s="53">
        <v>33.564</v>
      </c>
      <c r="M31" s="53">
        <v>35.875999999999998</v>
      </c>
      <c r="N31" s="53">
        <v>40.988</v>
      </c>
      <c r="O31" s="53">
        <v>47.418999999999997</v>
      </c>
      <c r="P31" s="53">
        <v>52.466000000000001</v>
      </c>
      <c r="Q31" s="53">
        <v>58.969000000000001</v>
      </c>
      <c r="R31" s="53">
        <v>66.834000000000003</v>
      </c>
      <c r="S31" s="53">
        <v>75.835999999999999</v>
      </c>
      <c r="T31" s="53">
        <v>83.935000000000002</v>
      </c>
      <c r="U31" s="53">
        <v>89.302999999999997</v>
      </c>
      <c r="V31" s="53">
        <v>94.885999999999996</v>
      </c>
      <c r="W31" s="53">
        <v>100.71899999999999</v>
      </c>
    </row>
    <row r="32" spans="2:23" x14ac:dyDescent="0.25">
      <c r="B32" s="54" t="s">
        <v>20</v>
      </c>
      <c r="C32" s="53">
        <v>25.701000000000001</v>
      </c>
      <c r="D32" s="53">
        <v>29.673999999999999</v>
      </c>
      <c r="E32" s="53">
        <v>29.501000000000001</v>
      </c>
      <c r="F32" s="53">
        <v>33.253</v>
      </c>
      <c r="G32" s="53">
        <v>34.320999999999998</v>
      </c>
      <c r="H32" s="53">
        <v>34.982999999999997</v>
      </c>
      <c r="I32" s="53">
        <v>39.029000000000003</v>
      </c>
      <c r="J32" s="53">
        <v>41.698999999999998</v>
      </c>
      <c r="K32" s="53">
        <v>38.667000000000002</v>
      </c>
      <c r="L32" s="53">
        <v>38.695</v>
      </c>
      <c r="M32" s="53">
        <v>34.67</v>
      </c>
      <c r="N32" s="53">
        <v>32.680999999999997</v>
      </c>
      <c r="O32" s="53">
        <v>30.503</v>
      </c>
      <c r="P32" s="53">
        <v>24.074000000000002</v>
      </c>
      <c r="Q32" s="53">
        <v>18.97</v>
      </c>
      <c r="R32" s="53">
        <v>14.978999999999999</v>
      </c>
      <c r="S32" s="53">
        <v>11.814</v>
      </c>
      <c r="T32" s="53">
        <v>9.31</v>
      </c>
      <c r="U32" s="53">
        <v>8.1140000000000008</v>
      </c>
      <c r="V32" s="53">
        <v>7.0890000000000004</v>
      </c>
      <c r="W32" s="53">
        <v>6.2169999999999996</v>
      </c>
    </row>
    <row r="33" spans="1:23" x14ac:dyDescent="0.25">
      <c r="A33" s="41"/>
      <c r="B33" s="55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</row>
    <row r="34" spans="1:23" x14ac:dyDescent="0.25">
      <c r="A34" s="41"/>
      <c r="B34" s="56" t="s">
        <v>21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</row>
    <row r="35" spans="1:23" x14ac:dyDescent="0.25">
      <c r="A35" s="41"/>
      <c r="B35" s="54" t="s">
        <v>16</v>
      </c>
      <c r="C35" s="58">
        <v>29.607645999999999</v>
      </c>
      <c r="D35" s="58">
        <v>28.564153999999998</v>
      </c>
      <c r="E35" s="58">
        <v>27.926798000000002</v>
      </c>
      <c r="F35" s="58">
        <v>27.449318999999999</v>
      </c>
      <c r="G35" s="58">
        <v>26.665706</v>
      </c>
      <c r="H35" s="58">
        <v>25.858594</v>
      </c>
      <c r="I35" s="58">
        <v>25.341296</v>
      </c>
      <c r="J35" s="58">
        <v>24.902339000000001</v>
      </c>
      <c r="K35" s="58">
        <v>25.105080999999998</v>
      </c>
      <c r="L35" s="58">
        <v>25.148541999999999</v>
      </c>
      <c r="M35" s="58">
        <v>25.030529000000001</v>
      </c>
      <c r="N35" s="58">
        <v>25.111418</v>
      </c>
      <c r="O35" s="58">
        <v>25.436336000000001</v>
      </c>
      <c r="P35" s="58">
        <v>25.461269999999999</v>
      </c>
      <c r="Q35" s="58">
        <v>25.460387999999998</v>
      </c>
      <c r="R35" s="58">
        <v>25.438513</v>
      </c>
      <c r="S35" s="58">
        <v>25.398717999999999</v>
      </c>
      <c r="T35" s="58">
        <v>25.352732</v>
      </c>
      <c r="U35" s="58">
        <v>25.329436000000001</v>
      </c>
      <c r="V35" s="58">
        <v>25.301766000000001</v>
      </c>
      <c r="W35" s="58">
        <v>25.270479000000002</v>
      </c>
    </row>
    <row r="36" spans="1:23" x14ac:dyDescent="0.25">
      <c r="A36" s="41"/>
      <c r="B36" s="54" t="s">
        <v>17</v>
      </c>
      <c r="C36" s="58">
        <v>66.456524999999999</v>
      </c>
      <c r="D36" s="58">
        <v>67.301974999999999</v>
      </c>
      <c r="E36" s="58">
        <v>68.207307999999998</v>
      </c>
      <c r="F36" s="58">
        <v>68.634304999999998</v>
      </c>
      <c r="G36" s="58">
        <v>69.371751000000003</v>
      </c>
      <c r="H36" s="58">
        <v>70.309831000000003</v>
      </c>
      <c r="I36" s="58">
        <v>70.610393000000002</v>
      </c>
      <c r="J36" s="58">
        <v>70.909880999999999</v>
      </c>
      <c r="K36" s="58">
        <v>70.836787000000001</v>
      </c>
      <c r="L36" s="58">
        <v>70.653409999999994</v>
      </c>
      <c r="M36" s="58">
        <v>70.956147000000001</v>
      </c>
      <c r="N36" s="58">
        <v>71.033068</v>
      </c>
      <c r="O36" s="58">
        <v>70.761572999999999</v>
      </c>
      <c r="P36" s="58">
        <v>71.101877999999999</v>
      </c>
      <c r="Q36" s="58">
        <v>71.371386000000001</v>
      </c>
      <c r="R36" s="58">
        <v>71.582841000000002</v>
      </c>
      <c r="S36" s="58">
        <v>71.744246000000004</v>
      </c>
      <c r="T36" s="58">
        <v>71.888289</v>
      </c>
      <c r="U36" s="58">
        <v>71.955022</v>
      </c>
      <c r="V36" s="58">
        <v>72.009992999999994</v>
      </c>
      <c r="W36" s="58">
        <v>72.055295999999998</v>
      </c>
    </row>
    <row r="37" spans="1:23" x14ac:dyDescent="0.25">
      <c r="A37" s="41"/>
      <c r="B37" s="54" t="s">
        <v>18</v>
      </c>
      <c r="C37" s="58">
        <v>2.9663680000000001</v>
      </c>
      <c r="D37" s="58">
        <v>3.0310069999999998</v>
      </c>
      <c r="E37" s="58">
        <v>2.788208</v>
      </c>
      <c r="F37" s="58">
        <v>2.7207129999999999</v>
      </c>
      <c r="G37" s="58">
        <v>2.7493289999999999</v>
      </c>
      <c r="H37" s="58">
        <v>2.6149049999999998</v>
      </c>
      <c r="I37" s="58">
        <v>2.7106810000000001</v>
      </c>
      <c r="J37" s="58">
        <v>2.7553570000000001</v>
      </c>
      <c r="K37" s="58">
        <v>2.6991770000000002</v>
      </c>
      <c r="L37" s="58">
        <v>2.7798229999999999</v>
      </c>
      <c r="M37" s="58">
        <v>2.6444610000000002</v>
      </c>
      <c r="N37" s="58">
        <v>2.4418169999999999</v>
      </c>
      <c r="O37" s="58">
        <v>2.3224360000000002</v>
      </c>
      <c r="P37" s="58">
        <v>1.9985790000000001</v>
      </c>
      <c r="Q37" s="58">
        <v>1.7181390000000001</v>
      </c>
      <c r="R37" s="58">
        <v>1.4758340000000001</v>
      </c>
      <c r="S37" s="58">
        <v>1.2668029999999999</v>
      </c>
      <c r="T37" s="58">
        <v>1.087113</v>
      </c>
      <c r="U37" s="58">
        <v>0.99692499999999995</v>
      </c>
      <c r="V37" s="58">
        <v>0.91545399999999999</v>
      </c>
      <c r="W37" s="58">
        <v>0.84181300000000003</v>
      </c>
    </row>
    <row r="38" spans="1:23" x14ac:dyDescent="0.25">
      <c r="A38" s="41"/>
      <c r="B38" s="54" t="s">
        <v>52</v>
      </c>
      <c r="C38" s="58">
        <v>0</v>
      </c>
      <c r="D38" s="58">
        <v>0</v>
      </c>
      <c r="E38" s="58">
        <v>0</v>
      </c>
      <c r="F38" s="58">
        <v>0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</row>
    <row r="39" spans="1:23" x14ac:dyDescent="0.25">
      <c r="A39" s="41"/>
      <c r="B39" s="57" t="s">
        <v>53</v>
      </c>
      <c r="C39" s="58">
        <v>0.39417799999999997</v>
      </c>
      <c r="D39" s="58">
        <v>0.44841700000000001</v>
      </c>
      <c r="E39" s="58">
        <v>0.43818000000000001</v>
      </c>
      <c r="F39" s="58">
        <v>0.486149</v>
      </c>
      <c r="G39" s="58">
        <v>0.49328300000000003</v>
      </c>
      <c r="H39" s="58">
        <v>0.49469000000000002</v>
      </c>
      <c r="I39" s="58">
        <v>0.54387099999999999</v>
      </c>
      <c r="J39" s="58">
        <v>0.59477599999999997</v>
      </c>
      <c r="K39" s="58">
        <v>0.592171</v>
      </c>
      <c r="L39" s="58">
        <v>0.65876100000000004</v>
      </c>
      <c r="M39" s="58">
        <v>0.69613599999999998</v>
      </c>
      <c r="N39" s="58">
        <v>0.78655600000000003</v>
      </c>
      <c r="O39" s="58">
        <v>0.90042999999999995</v>
      </c>
      <c r="P39" s="58">
        <v>0.98589899999999997</v>
      </c>
      <c r="Q39" s="58">
        <v>1.0971420000000001</v>
      </c>
      <c r="R39" s="58">
        <v>1.2276689999999999</v>
      </c>
      <c r="S39" s="58">
        <v>1.3758950000000001</v>
      </c>
      <c r="T39" s="58">
        <v>1.5049360000000001</v>
      </c>
      <c r="U39" s="58">
        <v>1.5754779999999999</v>
      </c>
      <c r="V39" s="58">
        <v>1.649556</v>
      </c>
      <c r="W39" s="58">
        <v>1.725881</v>
      </c>
    </row>
    <row r="40" spans="1:23" x14ac:dyDescent="0.25">
      <c r="A40" s="41"/>
      <c r="B40" s="54" t="s">
        <v>20</v>
      </c>
      <c r="C40" s="58">
        <v>0.57528400000000002</v>
      </c>
      <c r="D40" s="58">
        <v>0.65444800000000003</v>
      </c>
      <c r="E40" s="58">
        <v>0.63950600000000002</v>
      </c>
      <c r="F40" s="58">
        <v>0.70951500000000001</v>
      </c>
      <c r="G40" s="58">
        <v>0.71993099999999999</v>
      </c>
      <c r="H40" s="58">
        <v>0.72198099999999998</v>
      </c>
      <c r="I40" s="58">
        <v>0.79375899999999999</v>
      </c>
      <c r="J40" s="58">
        <v>0.83764700000000003</v>
      </c>
      <c r="K40" s="58">
        <v>0.76678400000000002</v>
      </c>
      <c r="L40" s="58">
        <v>0.759463</v>
      </c>
      <c r="M40" s="58">
        <v>0.67272600000000005</v>
      </c>
      <c r="N40" s="58">
        <v>0.62714099999999995</v>
      </c>
      <c r="O40" s="58">
        <v>0.57922499999999999</v>
      </c>
      <c r="P40" s="58">
        <v>0.452374</v>
      </c>
      <c r="Q40" s="58">
        <v>0.35294500000000001</v>
      </c>
      <c r="R40" s="58">
        <v>0.275142</v>
      </c>
      <c r="S40" s="58">
        <v>0.214339</v>
      </c>
      <c r="T40" s="58">
        <v>0.16692899999999999</v>
      </c>
      <c r="U40" s="58">
        <v>0.14313999999999999</v>
      </c>
      <c r="V40" s="58">
        <v>0.12323099999999999</v>
      </c>
      <c r="W40" s="58">
        <v>0.106531</v>
      </c>
    </row>
    <row r="41" spans="1:23" x14ac:dyDescent="0.25">
      <c r="A41" s="41"/>
      <c r="B41" s="4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41"/>
      <c r="Q41" s="41"/>
      <c r="R41" s="41"/>
      <c r="S41" s="41"/>
      <c r="T41" s="41"/>
      <c r="U41" s="41"/>
      <c r="V41" s="41"/>
      <c r="W41" s="41"/>
    </row>
    <row r="42" spans="1:23" x14ac:dyDescent="0.25">
      <c r="A42" s="42" t="s">
        <v>54</v>
      </c>
      <c r="B42" s="41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41"/>
      <c r="Q42" s="41"/>
      <c r="R42" s="41"/>
      <c r="S42" s="41"/>
      <c r="T42" s="41"/>
      <c r="U42" s="41"/>
      <c r="V42" s="41"/>
      <c r="W42" s="41"/>
    </row>
    <row r="43" spans="1:23" x14ac:dyDescent="0.25">
      <c r="A43" s="41"/>
      <c r="B43" s="4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41"/>
      <c r="Q43" s="41"/>
      <c r="R43" s="41"/>
      <c r="S43" s="41"/>
      <c r="T43" s="41"/>
      <c r="U43" s="41"/>
      <c r="V43" s="41"/>
      <c r="W43" s="41"/>
    </row>
    <row r="44" spans="1:23" x14ac:dyDescent="0.25">
      <c r="A44" s="41"/>
      <c r="B44" s="4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41"/>
      <c r="Q44" s="41"/>
      <c r="R44" s="41"/>
      <c r="S44" s="41"/>
      <c r="T44" s="41"/>
      <c r="U44" s="41"/>
      <c r="V44" s="41"/>
      <c r="W44" s="41"/>
    </row>
    <row r="45" spans="1:23" x14ac:dyDescent="0.25">
      <c r="A45" s="41"/>
      <c r="B45" s="41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41"/>
      <c r="Q45" s="41"/>
      <c r="R45" s="41"/>
      <c r="S45" s="41"/>
      <c r="T45" s="41"/>
      <c r="U45" s="41"/>
      <c r="V45" s="41"/>
      <c r="W45" s="41"/>
    </row>
    <row r="46" spans="1:23" x14ac:dyDescent="0.25">
      <c r="A46" s="41"/>
      <c r="B46" s="4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41"/>
      <c r="Q46" s="41"/>
      <c r="R46" s="41"/>
      <c r="S46" s="41"/>
      <c r="T46" s="41"/>
      <c r="U46" s="41"/>
      <c r="V46" s="41"/>
      <c r="W46" s="41"/>
    </row>
    <row r="47" spans="1:23" x14ac:dyDescent="0.25">
      <c r="A47" s="41"/>
      <c r="B47" s="41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41"/>
      <c r="Q47" s="41"/>
      <c r="R47" s="41"/>
      <c r="S47" s="41"/>
      <c r="T47" s="41"/>
      <c r="U47" s="41"/>
      <c r="V47" s="41"/>
      <c r="W47" s="41"/>
    </row>
    <row r="48" spans="1:23" x14ac:dyDescent="0.25">
      <c r="A48" s="41"/>
      <c r="B48" s="41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41"/>
      <c r="Q48" s="41"/>
      <c r="R48" s="41"/>
      <c r="S48" s="41"/>
      <c r="T48" s="41"/>
      <c r="U48" s="41"/>
      <c r="V48" s="41"/>
      <c r="W48" s="41"/>
    </row>
    <row r="49" spans="3:15" x14ac:dyDescent="0.25"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</row>
    <row r="50" spans="3:15" x14ac:dyDescent="0.25"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</row>
    <row r="51" spans="3:15" x14ac:dyDescent="0.25"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</row>
    <row r="52" spans="3:15" x14ac:dyDescent="0.25"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</row>
    <row r="53" spans="3:15" x14ac:dyDescent="0.25"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</row>
    <row r="54" spans="3:15" x14ac:dyDescent="0.25"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</row>
    <row r="55" spans="3:15" x14ac:dyDescent="0.25"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</row>
    <row r="56" spans="3:15" x14ac:dyDescent="0.25"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</row>
    <row r="57" spans="3:15" x14ac:dyDescent="0.25"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</row>
    <row r="58" spans="3:15" x14ac:dyDescent="0.25"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</row>
    <row r="59" spans="3:15" x14ac:dyDescent="0.25"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</row>
    <row r="60" spans="3:15" x14ac:dyDescent="0.25"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</row>
    <row r="61" spans="3:15" x14ac:dyDescent="0.25"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</row>
    <row r="62" spans="3:15" x14ac:dyDescent="0.25"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</row>
    <row r="63" spans="3:15" x14ac:dyDescent="0.25"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</row>
    <row r="64" spans="3:15" x14ac:dyDescent="0.25"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</row>
    <row r="65" spans="3:15" x14ac:dyDescent="0.25"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</row>
    <row r="66" spans="3:15" x14ac:dyDescent="0.25"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</row>
    <row r="67" spans="3:15" x14ac:dyDescent="0.25"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</row>
    <row r="68" spans="3:15" x14ac:dyDescent="0.25"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</row>
    <row r="69" spans="3:15" x14ac:dyDescent="0.25"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</row>
    <row r="70" spans="3:15" x14ac:dyDescent="0.25"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</row>
    <row r="71" spans="3:15" x14ac:dyDescent="0.25"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and existing capacity</vt:lpstr>
      <vt:lpstr>secondary energy</vt:lpstr>
      <vt:lpstr>tech share, eff, unit cap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2023-07-24T21:33:03Z</dcterms:created>
  <dcterms:modified xsi:type="dcterms:W3CDTF">2023-08-23T16:10:28Z</dcterms:modified>
</cp:coreProperties>
</file>