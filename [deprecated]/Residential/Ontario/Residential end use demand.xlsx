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Residential/Ontario/"/>
    </mc:Choice>
  </mc:AlternateContent>
  <xr:revisionPtr revIDLastSave="45" documentId="8_{05CE979A-9CF2-4F1D-A757-6C80B90579C1}" xr6:coauthVersionLast="47" xr6:coauthVersionMax="47" xr10:uidLastSave="{B440B524-1F0E-4412-A5D8-6F850DE0CE65}"/>
  <bookViews>
    <workbookView xWindow="16185" yWindow="3990" windowWidth="21600" windowHeight="11385" xr2:uid="{4B9D986A-4CB9-41CD-92E8-90E23122A366}"/>
  </bookViews>
  <sheets>
    <sheet name="Demands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C2" i="1" a="1"/>
  <c r="C2" i="1" s="1"/>
  <c r="E2" i="1" a="1"/>
  <c r="E2" i="1" s="1"/>
  <c r="F2" i="1" l="1" a="1"/>
  <c r="F2" i="1" s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<sst xmlns="http://schemas.openxmlformats.org/spreadsheetml/2006/main" count="24" uniqueCount="16">
  <si>
    <t>Units</t>
  </si>
  <si>
    <t>Munit.yr</t>
  </si>
  <si>
    <t>Space heating</t>
  </si>
  <si>
    <t>Space cooling</t>
  </si>
  <si>
    <t>Water heating</t>
  </si>
  <si>
    <t>Lighting</t>
  </si>
  <si>
    <t>PJ</t>
  </si>
  <si>
    <t>Glm.yr</t>
  </si>
  <si>
    <t>Year</t>
  </si>
  <si>
    <t>Refrigerators</t>
  </si>
  <si>
    <t>Freezers</t>
  </si>
  <si>
    <t>Dishwashers</t>
  </si>
  <si>
    <t>Clothes Washers</t>
  </si>
  <si>
    <t>Clothes Dryers</t>
  </si>
  <si>
    <t>Cooking ranges</t>
  </si>
  <si>
    <t>Other 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</si>
</sst>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0" fontId="0" fillId="0" borderId="1" xfId="0" applyBorder="1"/>
    <xf numFmtId="0" fontId="0" fillId="0" borderId="1" xfId="0" applyFill="1" applyBorder="1"/>
    <xf numFmtId="2" fontId="0" fillId="0" borderId="1" xfId="0" applyNumberFormat="1" applyBorder="1" applyAlignment="1">
      <alignment horizontal="right"/>
    </xf>
    <xf numFmtId="165" fontId="0" fillId="0" borderId="0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Residential%20space%20heating%20demand.xlsx?0B5A3140" TargetMode="External"/><Relationship Id="rId1" Type="http://schemas.openxmlformats.org/officeDocument/2006/relationships/externalLinkPath" Target="file:///\\0B5A3140\Residential%20space%20heating%20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Residential%20space%20cooling.xlsx?0B5A3140" TargetMode="External"/><Relationship Id="rId1" Type="http://schemas.openxmlformats.org/officeDocument/2006/relationships/externalLinkPath" Target="file:///\\0B5A3140\Residential%20space%20cool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Residential%20lighting.xlsx?0B5A3140" TargetMode="External"/><Relationship Id="rId1" Type="http://schemas.openxmlformats.org/officeDocument/2006/relationships/externalLinkPath" Target="file:///\\0B5A3140\Residential%20light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Residential%20appliances.xlsx?0B5A3140" TargetMode="External"/><Relationship Id="rId1" Type="http://schemas.openxmlformats.org/officeDocument/2006/relationships/externalLinkPath" Target="file:///\\0B5A3140\Residential%20appliance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Residential%20water%20heating.xlsx?0B5A3140" TargetMode="External"/><Relationship Id="rId1" Type="http://schemas.openxmlformats.org/officeDocument/2006/relationships/externalLinkPath" Target="file:///\\0B5A3140\Residential%20water%20hea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ce heating demand"/>
      <sheetName val="gross thermal"/>
      <sheetName val="stock single"/>
      <sheetName val="stock apt. mob."/>
    </sheetNames>
    <sheetDataSet>
      <sheetData sheetId="0">
        <row r="3">
          <cell r="D3">
            <v>431.7214962492572</v>
          </cell>
          <cell r="E3">
            <v>460.23433799979841</v>
          </cell>
          <cell r="F3">
            <v>485.40523481858418</v>
          </cell>
          <cell r="G3">
            <v>507.43590279448034</v>
          </cell>
          <cell r="H3">
            <v>527.0786884210961</v>
          </cell>
          <cell r="I3">
            <v>545.09684176441147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and and Existing Capacity"/>
      <sheetName val="Model efficiencies"/>
      <sheetName val="efficiency"/>
      <sheetName val="secondary energy"/>
      <sheetName val="stock"/>
    </sheetNames>
    <sheetDataSet>
      <sheetData sheetId="0">
        <row r="9">
          <cell r="D9">
            <v>100.38183043315055</v>
          </cell>
          <cell r="E9">
            <v>107.01150088189188</v>
          </cell>
          <cell r="F9">
            <v>112.86411817861058</v>
          </cell>
          <cell r="G9">
            <v>117.98658438957877</v>
          </cell>
          <cell r="H9">
            <v>122.55383154575755</v>
          </cell>
          <cell r="I9">
            <v>126.7433269249335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units"/>
      <sheetName val="model units"/>
      <sheetName val="secondary energy"/>
      <sheetName val="housing stock"/>
      <sheetName val="stock"/>
      <sheetName val="Demand and Existing capacity"/>
    </sheetNames>
    <sheetDataSet>
      <sheetData sheetId="0"/>
      <sheetData sheetId="1"/>
      <sheetData sheetId="2"/>
      <sheetData sheetId="3"/>
      <sheetData sheetId="4"/>
      <sheetData sheetId="5">
        <row r="4">
          <cell r="C4">
            <v>33.66018933100159</v>
          </cell>
          <cell r="D4">
            <v>35.88326059343877</v>
          </cell>
          <cell r="E4">
            <v>37.845769201215539</v>
          </cell>
          <cell r="F4">
            <v>39.563442427125409</v>
          </cell>
          <cell r="G4">
            <v>41.094938748074014</v>
          </cell>
          <cell r="H4">
            <v>42.499766763820652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and"/>
      <sheetName val="Existing capacities"/>
      <sheetName val="Munit.yr per PJ"/>
      <sheetName val="Rel. eff."/>
      <sheetName val="stock"/>
      <sheetName val="secondary energy"/>
    </sheetNames>
    <sheetDataSet>
      <sheetData sheetId="0">
        <row r="3">
          <cell r="C3">
            <v>0.38640173416554724</v>
          </cell>
          <cell r="D3">
            <v>0.15167171376356764</v>
          </cell>
          <cell r="E3">
            <v>0.17273721462659772</v>
          </cell>
          <cell r="F3">
            <v>0.22841034325563278</v>
          </cell>
          <cell r="G3">
            <v>0.23669188918568779</v>
          </cell>
          <cell r="H3">
            <v>0.30093592634996735</v>
          </cell>
          <cell r="I3">
            <v>5.815587268753232</v>
          </cell>
        </row>
        <row r="4">
          <cell r="C4">
            <v>0.41192145369333277</v>
          </cell>
          <cell r="D4">
            <v>0.16168880026527191</v>
          </cell>
          <cell r="E4">
            <v>0.18414556215588973</v>
          </cell>
          <cell r="F4">
            <v>0.24349559619766969</v>
          </cell>
          <cell r="G4">
            <v>0.25232409290642105</v>
          </cell>
          <cell r="H4">
            <v>0.32081109707835553</v>
          </cell>
          <cell r="I4">
            <v>6.1996749755758893</v>
          </cell>
        </row>
        <row r="5">
          <cell r="C5">
            <v>0.4344500473950127</v>
          </cell>
          <cell r="D5">
            <v>0.17053179995520854</v>
          </cell>
          <cell r="E5">
            <v>0.19421675537629915</v>
          </cell>
          <cell r="F5">
            <v>0.25681273058263804</v>
          </cell>
          <cell r="G5">
            <v>0.26612407083732459</v>
          </cell>
          <cell r="H5">
            <v>0.33835673058752724</v>
          </cell>
          <cell r="I5">
            <v>6.5387443718283187</v>
          </cell>
        </row>
        <row r="6">
          <cell r="C6">
            <v>0.45416805630739926</v>
          </cell>
          <cell r="D6">
            <v>0.17827157941092306</v>
          </cell>
          <cell r="E6">
            <v>0.20303150343860682</v>
          </cell>
          <cell r="F6">
            <v>0.26846846808527108</v>
          </cell>
          <cell r="G6">
            <v>0.27820241409458712</v>
          </cell>
          <cell r="H6">
            <v>0.35371343515988224</v>
          </cell>
          <cell r="I6">
            <v>6.8355127127977946</v>
          </cell>
        </row>
        <row r="7">
          <cell r="C7">
            <v>0.47174884970292724</v>
          </cell>
          <cell r="D7">
            <v>0.18517245181353117</v>
          </cell>
          <cell r="E7">
            <v>0.21089082966194125</v>
          </cell>
          <cell r="F7">
            <v>0.27886085170862845</v>
          </cell>
          <cell r="G7">
            <v>0.2889715976521019</v>
          </cell>
          <cell r="H7">
            <v>0.36740564168653278</v>
          </cell>
          <cell r="I7">
            <v>7.1001146263125241</v>
          </cell>
        </row>
        <row r="8">
          <cell r="C8">
            <v>0.48787555582899444</v>
          </cell>
          <cell r="D8">
            <v>0.1915025609699619</v>
          </cell>
          <cell r="E8">
            <v>0.21810012002223003</v>
          </cell>
          <cell r="F8">
            <v>0.28839369319494434</v>
          </cell>
          <cell r="G8">
            <v>0.29885007438193428</v>
          </cell>
          <cell r="H8">
            <v>0.37996538150628867</v>
          </cell>
          <cell r="I8">
            <v>7.3428316188648921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and and existing capacity"/>
      <sheetName val="secondary energy"/>
      <sheetName val="tech share, eff, unit cap"/>
      <sheetName val="stock"/>
    </sheetNames>
    <sheetDataSet>
      <sheetData sheetId="0">
        <row r="4">
          <cell r="D4">
            <v>89.824166935289</v>
          </cell>
          <cell r="E4">
            <v>95.756561498568757</v>
          </cell>
          <cell r="F4">
            <v>100.99362950978534</v>
          </cell>
          <cell r="G4">
            <v>105.57734010829651</v>
          </cell>
          <cell r="H4">
            <v>109.66422684089633</v>
          </cell>
          <cell r="I4">
            <v>113.41309185650621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DA94-B650-41F5-B88F-411316738173}">
  <dimension ref="A1:O10"/>
  <sheetViews>
    <sheetView tabSelected="1" topLeftCell="H1" workbookViewId="0">
      <selection activeCell="J12" sqref="J12"/>
    </sheetView>
  </sheetViews>
  <sheetFormatPr defaultRowHeight="15" x14ac:dyDescent="0.25"/>
  <cols>
    <col min="1" max="1" width="17.28515625" style="1" customWidth="1"/>
    <col min="2" max="2" width="6.5703125" style="1" customWidth="1"/>
    <col min="3" max="13" width="17.28515625" style="1" customWidth="1"/>
    <col min="14" max="16384" width="9.140625" style="1"/>
  </cols>
  <sheetData>
    <row r="1" spans="1:15" x14ac:dyDescent="0.25">
      <c r="A1" s="8" t="s">
        <v>8</v>
      </c>
      <c r="B1" s="8"/>
      <c r="C1" s="8" t="s">
        <v>2</v>
      </c>
      <c r="D1" s="8" t="s">
        <v>3</v>
      </c>
      <c r="E1" s="8" t="s">
        <v>4</v>
      </c>
      <c r="F1" s="8" t="s">
        <v>5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</row>
    <row r="2" spans="1:15" x14ac:dyDescent="0.25">
      <c r="A2" s="1">
        <v>2025</v>
      </c>
      <c r="B2" s="2"/>
      <c r="C2" s="7" cm="1">
        <f t="array" ref="C2:C7">TRANSPOSE('[1]Space heating demand'!$D$3:$I$3)</f>
        <v>431.7214962492572</v>
      </c>
      <c r="D2" s="7" cm="1">
        <f t="array" ref="D2:D7">TRANSPOSE('[2]Demand and Existing Capacity'!$D$9:$I$9)</f>
        <v>100.38183043315055</v>
      </c>
      <c r="E2" s="7" cm="1">
        <f t="array" ref="E2:E7">TRANSPOSE('[5]Demand and existing capacity'!$D$4:$I$4)</f>
        <v>89.824166935289</v>
      </c>
      <c r="F2" s="7" cm="1">
        <f t="array" ref="F2:F7">TRANSPOSE('[3]Demand and Existing capacity'!$C$4:$H$4)</f>
        <v>33.66018933100159</v>
      </c>
      <c r="G2" s="7" cm="1">
        <f t="array" ref="G2:M7">[4]Demand!$C$3:$I$8</f>
        <v>0.38640173416554724</v>
      </c>
      <c r="H2" s="7">
        <v>0.15167171376356764</v>
      </c>
      <c r="I2" s="7">
        <v>0.17273721462659772</v>
      </c>
      <c r="J2" s="7">
        <v>0.22841034325563278</v>
      </c>
      <c r="K2" s="7">
        <v>0.23669188918568779</v>
      </c>
      <c r="L2" s="7">
        <v>0.30093592634996735</v>
      </c>
      <c r="M2" s="7">
        <v>5.815587268753232</v>
      </c>
      <c r="N2" s="2"/>
      <c r="O2" s="2"/>
    </row>
    <row r="3" spans="1:15" x14ac:dyDescent="0.25">
      <c r="A3" s="1">
        <v>2030</v>
      </c>
      <c r="B3" s="2"/>
      <c r="C3" s="7">
        <v>460.23433799979841</v>
      </c>
      <c r="D3" s="7">
        <v>107.01150088189188</v>
      </c>
      <c r="E3" s="7">
        <v>95.756561498568757</v>
      </c>
      <c r="F3" s="7">
        <v>35.88326059343877</v>
      </c>
      <c r="G3" s="7">
        <v>0.41192145369333277</v>
      </c>
      <c r="H3" s="7">
        <v>0.16168880026527191</v>
      </c>
      <c r="I3" s="7">
        <v>0.18414556215588973</v>
      </c>
      <c r="J3" s="7">
        <v>0.24349559619766969</v>
      </c>
      <c r="K3" s="7">
        <v>0.25232409290642105</v>
      </c>
      <c r="L3" s="7">
        <v>0.32081109707835553</v>
      </c>
      <c r="M3" s="7">
        <v>6.1996749755758893</v>
      </c>
      <c r="N3" s="2"/>
      <c r="O3" s="2"/>
    </row>
    <row r="4" spans="1:15" x14ac:dyDescent="0.25">
      <c r="A4" s="1">
        <v>2035</v>
      </c>
      <c r="B4" s="2"/>
      <c r="C4" s="7">
        <v>485.40523481858418</v>
      </c>
      <c r="D4" s="7">
        <v>112.86411817861058</v>
      </c>
      <c r="E4" s="7">
        <v>100.99362950978534</v>
      </c>
      <c r="F4" s="7">
        <v>37.845769201215539</v>
      </c>
      <c r="G4" s="7">
        <v>0.4344500473950127</v>
      </c>
      <c r="H4" s="7">
        <v>0.17053179995520854</v>
      </c>
      <c r="I4" s="7">
        <v>0.19421675537629915</v>
      </c>
      <c r="J4" s="7">
        <v>0.25681273058263804</v>
      </c>
      <c r="K4" s="7">
        <v>0.26612407083732459</v>
      </c>
      <c r="L4" s="7">
        <v>0.33835673058752724</v>
      </c>
      <c r="M4" s="7">
        <v>6.5387443718283187</v>
      </c>
      <c r="N4" s="2"/>
      <c r="O4" s="2"/>
    </row>
    <row r="5" spans="1:15" x14ac:dyDescent="0.25">
      <c r="A5" s="1">
        <v>2040</v>
      </c>
      <c r="B5" s="2"/>
      <c r="C5" s="7">
        <v>507.43590279448034</v>
      </c>
      <c r="D5" s="7">
        <v>117.98658438957877</v>
      </c>
      <c r="E5" s="7">
        <v>105.57734010829651</v>
      </c>
      <c r="F5" s="7">
        <v>39.563442427125409</v>
      </c>
      <c r="G5" s="7">
        <v>0.45416805630739926</v>
      </c>
      <c r="H5" s="7">
        <v>0.17827157941092306</v>
      </c>
      <c r="I5" s="7">
        <v>0.20303150343860682</v>
      </c>
      <c r="J5" s="7">
        <v>0.26846846808527108</v>
      </c>
      <c r="K5" s="7">
        <v>0.27820241409458712</v>
      </c>
      <c r="L5" s="7">
        <v>0.35371343515988224</v>
      </c>
      <c r="M5" s="7">
        <v>6.8355127127977946</v>
      </c>
      <c r="N5" s="2"/>
      <c r="O5" s="2"/>
    </row>
    <row r="6" spans="1:15" x14ac:dyDescent="0.25">
      <c r="A6" s="1">
        <v>2045</v>
      </c>
      <c r="B6" s="2"/>
      <c r="C6" s="7">
        <v>527.0786884210961</v>
      </c>
      <c r="D6" s="7">
        <v>122.55383154575755</v>
      </c>
      <c r="E6" s="7">
        <v>109.66422684089633</v>
      </c>
      <c r="F6" s="7">
        <v>41.094938748074014</v>
      </c>
      <c r="G6" s="7">
        <v>0.47174884970292724</v>
      </c>
      <c r="H6" s="7">
        <v>0.18517245181353117</v>
      </c>
      <c r="I6" s="7">
        <v>0.21089082966194125</v>
      </c>
      <c r="J6" s="7">
        <v>0.27886085170862845</v>
      </c>
      <c r="K6" s="7">
        <v>0.2889715976521019</v>
      </c>
      <c r="L6" s="7">
        <v>0.36740564168653278</v>
      </c>
      <c r="M6" s="7">
        <v>7.1001146263125241</v>
      </c>
      <c r="N6" s="2"/>
      <c r="O6" s="2"/>
    </row>
    <row r="7" spans="1:15" x14ac:dyDescent="0.25">
      <c r="A7" s="1">
        <v>2050</v>
      </c>
      <c r="B7" s="2"/>
      <c r="C7" s="7">
        <v>545.09684176441147</v>
      </c>
      <c r="D7" s="7">
        <v>126.7433269249335</v>
      </c>
      <c r="E7" s="7">
        <v>113.41309185650621</v>
      </c>
      <c r="F7" s="7">
        <v>42.499766763820652</v>
      </c>
      <c r="G7" s="7">
        <v>0.48787555582899444</v>
      </c>
      <c r="H7" s="7">
        <v>0.1915025609699619</v>
      </c>
      <c r="I7" s="7">
        <v>0.21810012002223003</v>
      </c>
      <c r="J7" s="7">
        <v>0.28839369319494434</v>
      </c>
      <c r="K7" s="7">
        <v>0.29885007438193428</v>
      </c>
      <c r="L7" s="7">
        <v>0.37996538150628867</v>
      </c>
      <c r="M7" s="7">
        <v>7.3428316188648921</v>
      </c>
      <c r="N7" s="2"/>
      <c r="O7" s="2"/>
    </row>
    <row r="8" spans="1:15" x14ac:dyDescent="0.25">
      <c r="A8" s="4" t="s">
        <v>0</v>
      </c>
      <c r="B8" s="4"/>
      <c r="C8" s="4" t="s">
        <v>6</v>
      </c>
      <c r="D8" s="4" t="s">
        <v>6</v>
      </c>
      <c r="E8" s="5" t="s">
        <v>6</v>
      </c>
      <c r="F8" s="5" t="s">
        <v>7</v>
      </c>
      <c r="G8" s="6" t="s">
        <v>1</v>
      </c>
      <c r="H8" s="6" t="s">
        <v>1</v>
      </c>
      <c r="I8" s="6" t="s">
        <v>1</v>
      </c>
      <c r="J8" s="6" t="s">
        <v>1</v>
      </c>
      <c r="K8" s="6" t="s">
        <v>1</v>
      </c>
      <c r="L8" s="6" t="s">
        <v>1</v>
      </c>
      <c r="M8" s="6" t="s">
        <v>1</v>
      </c>
    </row>
    <row r="10" spans="1:15" x14ac:dyDescent="0.25">
      <c r="H10" s="3"/>
      <c r="I10" s="3"/>
      <c r="J10" s="3"/>
      <c r="K10" s="3"/>
      <c r="L10" s="3"/>
      <c r="M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2023-07-24T18:43:44Z</dcterms:created>
  <dcterms:modified xsi:type="dcterms:W3CDTF">2023-08-23T16:16:25Z</dcterms:modified>
</cp:coreProperties>
</file>