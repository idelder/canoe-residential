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buildings_sector/[deprecated]/Residential/Ontario/"/>
    </mc:Choice>
  </mc:AlternateContent>
  <xr:revisionPtr revIDLastSave="19" documentId="8_{D855E55B-3092-4C5E-BE27-FE3C12869A2C}" xr6:coauthVersionLast="47" xr6:coauthVersionMax="47" xr10:uidLastSave="{EC596ECE-8E42-4674-990D-7E3119C61B9B}"/>
  <bookViews>
    <workbookView xWindow="-10335" yWindow="4305" windowWidth="21600" windowHeight="11385" activeTab="1" xr2:uid="{ECC515EC-E274-46DD-9FC7-1BF4FB9063CD}"/>
  </bookViews>
  <sheets>
    <sheet name="data units" sheetId="1" r:id="rId1"/>
    <sheet name="model units" sheetId="2" r:id="rId2"/>
    <sheet name="secondary energy" sheetId="3" r:id="rId3"/>
    <sheet name="housing stock" sheetId="7" r:id="rId4"/>
    <sheet name="stock" sheetId="6" r:id="rId5"/>
    <sheet name="Demand and Existing capacity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6" l="1"/>
  <c r="D4" i="6"/>
  <c r="D5" i="6"/>
  <c r="D6" i="6"/>
  <c r="D3" i="6"/>
  <c r="C8" i="6" l="1"/>
  <c r="D3" i="4" l="1"/>
  <c r="E3" i="4"/>
  <c r="F3" i="4"/>
  <c r="G3" i="4"/>
  <c r="H3" i="4"/>
  <c r="C3" i="4"/>
  <c r="B3" i="4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C19" i="2"/>
  <c r="C20" i="2"/>
  <c r="C21" i="2"/>
  <c r="C22" i="2"/>
  <c r="C23" i="2"/>
  <c r="C24" i="2"/>
  <c r="C25" i="2"/>
  <c r="C18" i="2"/>
  <c r="D3" i="2"/>
  <c r="E4" i="6" s="1"/>
  <c r="E3" i="2"/>
  <c r="E5" i="6" s="1"/>
  <c r="E10" i="6" s="1" a="1"/>
  <c r="E10" i="6" s="1"/>
  <c r="B4" i="4" s="1"/>
  <c r="F3" i="2"/>
  <c r="E6" i="6" s="1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C4" i="2"/>
  <c r="C5" i="2"/>
  <c r="C6" i="2"/>
  <c r="C7" i="2"/>
  <c r="C8" i="2"/>
  <c r="C9" i="2"/>
  <c r="C10" i="2"/>
  <c r="C3" i="2"/>
  <c r="E3" i="6" s="1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D17" i="2"/>
  <c r="E17" i="2"/>
  <c r="F17" i="2"/>
  <c r="C12" i="2"/>
  <c r="C13" i="2"/>
  <c r="C14" i="2"/>
  <c r="C15" i="2"/>
  <c r="C16" i="2"/>
  <c r="C17" i="2"/>
  <c r="C11" i="2"/>
  <c r="C2" i="1"/>
  <c r="C2" i="2" s="1"/>
  <c r="F2" i="1"/>
  <c r="F2" i="2" s="1"/>
  <c r="E2" i="1"/>
  <c r="E2" i="2" s="1"/>
  <c r="D2" i="1"/>
  <c r="D2" i="2" s="1"/>
  <c r="F24" i="1"/>
  <c r="E24" i="1"/>
  <c r="F22" i="1"/>
  <c r="E22" i="1"/>
  <c r="F20" i="1"/>
  <c r="E20" i="1"/>
  <c r="F16" i="1"/>
  <c r="E16" i="1"/>
  <c r="F14" i="1"/>
  <c r="E14" i="1"/>
  <c r="F12" i="1"/>
  <c r="E12" i="1"/>
  <c r="F9" i="1"/>
  <c r="E9" i="1"/>
  <c r="F7" i="1"/>
  <c r="E7" i="1"/>
  <c r="F5" i="1"/>
  <c r="E5" i="1"/>
  <c r="B10" i="4" l="1"/>
  <c r="B9" i="4"/>
  <c r="C9" i="4" s="1"/>
  <c r="B11" i="4"/>
  <c r="C11" i="4" s="1"/>
  <c r="B8" i="4"/>
  <c r="C8" i="4" s="1"/>
  <c r="C10" i="4"/>
  <c r="E4" i="4"/>
  <c r="F4" i="4"/>
  <c r="G4" i="4"/>
  <c r="C4" i="4"/>
  <c r="D4" i="4"/>
  <c r="H4" i="4"/>
  <c r="B1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<sst xmlns="http://schemas.openxmlformats.org/spreadsheetml/2006/main" count="117" uniqueCount="67">
  <si>
    <t>R_LGT_INC</t>
  </si>
  <si>
    <t>R_LGT_HAL</t>
  </si>
  <si>
    <t>R_LGT_CFL</t>
  </si>
  <si>
    <t>R_LGT_LED</t>
  </si>
  <si>
    <t>efficacy</t>
  </si>
  <si>
    <t>(lm/W)</t>
  </si>
  <si>
    <t>Install cost</t>
  </si>
  <si>
    <t>(2022$/klm)</t>
  </si>
  <si>
    <t>(2022$/klm.yr)</t>
  </si>
  <si>
    <t>Maintenance cost</t>
  </si>
  <si>
    <t>vintage</t>
  </si>
  <si>
    <t>Average lamp life</t>
  </si>
  <si>
    <t>(hours)</t>
  </si>
  <si>
    <t>(years)</t>
  </si>
  <si>
    <t>60W eq.</t>
  </si>
  <si>
    <t>(Glm.yr/PJ)</t>
  </si>
  <si>
    <t>(M$/Glm.yr)</t>
  </si>
  <si>
    <t>(M$/Glm)</t>
  </si>
  <si>
    <t>Residential Sector</t>
  </si>
  <si>
    <r>
      <t>Ontario</t>
    </r>
    <r>
      <rPr>
        <b/>
        <vertAlign val="superscript"/>
        <sz val="12"/>
        <rFont val="Arial"/>
        <family val="2"/>
      </rPr>
      <t>1</t>
    </r>
  </si>
  <si>
    <t>Table 3: Lighting Secondary Energy Use and GHG Emissions</t>
  </si>
  <si>
    <r>
      <t>Total Lighting Energy Use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(PJ)</t>
    </r>
  </si>
  <si>
    <t>Activity</t>
  </si>
  <si>
    <t>Total Households (thousands)</t>
  </si>
  <si>
    <t>Energy Intensity (GJ/household)</t>
  </si>
  <si>
    <r>
      <t xml:space="preserve">Total Lighting GHG Emissions </t>
    </r>
    <r>
      <rPr>
        <b/>
        <u/>
        <sz val="10"/>
        <rFont val="Arial"/>
        <family val="2"/>
      </rPr>
      <t>Excluding</t>
    </r>
    <r>
      <rPr>
        <b/>
        <sz val="10"/>
        <rFont val="Arial"/>
        <family val="2"/>
      </rPr>
      <t xml:space="preserve"> Electricity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(Mt of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e)</t>
    </r>
  </si>
  <si>
    <t>–</t>
  </si>
  <si>
    <t>Heat Loss (PJ)</t>
  </si>
  <si>
    <r>
      <t xml:space="preserve">1) Data on GHG emissions are presented </t>
    </r>
    <r>
      <rPr>
        <u/>
        <sz val="10"/>
        <rFont val="Arial"/>
        <family val="2"/>
      </rPr>
      <t>excluding</t>
    </r>
    <r>
      <rPr>
        <sz val="10"/>
        <rFont val="Arial"/>
        <family val="2"/>
      </rPr>
      <t xml:space="preserve"> GHG emissions related to electricity production only.</t>
    </r>
  </si>
  <si>
    <t>2) Lighting consumes only electricity.</t>
  </si>
  <si>
    <t>Year</t>
  </si>
  <si>
    <t>Demand (Glm.yr)</t>
  </si>
  <si>
    <t>Pop. Index</t>
  </si>
  <si>
    <t>Efficacy (Glm.yr/PJ)</t>
  </si>
  <si>
    <t>Secondary energy (PJ)</t>
  </si>
  <si>
    <t>Share by housing type</t>
  </si>
  <si>
    <t>Single family</t>
  </si>
  <si>
    <t>Multi-family</t>
  </si>
  <si>
    <r>
      <t>(</t>
    </r>
    <r>
      <rPr>
        <i/>
        <sz val="11"/>
        <color theme="1"/>
        <rFont val="Calibri"/>
        <family val="2"/>
        <scheme val="minor"/>
      </rPr>
      <t>2018 - Ontario Residential End-Use Survey</t>
    </r>
    <r>
      <rPr>
        <sz val="11"/>
        <color theme="1"/>
        <rFont val="Calibri"/>
        <family val="2"/>
        <scheme val="minor"/>
      </rPr>
      <t>, 2018)</t>
    </r>
  </si>
  <si>
    <t>https://oee.nrcan.gc.ca/corporate/statistics/neud/dpa/showTable.cfm?type=CP&amp;sector=res&amp;juris=on&amp;year=2020&amp;rn=14&amp;page=0</t>
  </si>
  <si>
    <t>Housing stock (1000)</t>
  </si>
  <si>
    <t>Average</t>
  </si>
  <si>
    <t>Tech</t>
  </si>
  <si>
    <t>Assumed INC/HAL is 50-50 mix</t>
  </si>
  <si>
    <t>Technology</t>
  </si>
  <si>
    <t>Population index</t>
  </si>
  <si>
    <t>Existing capacity (Glm)</t>
  </si>
  <si>
    <t>Lifetime (Y)</t>
  </si>
  <si>
    <t>DOE. (2012). Residential Lighting End-Use Consumption Study: Estimation Framework and Initial Estimates. https://www1.eere.energy.gov/buildings/publications/pdfs/ssl/2012_residential-lighting-study.pdf</t>
  </si>
  <si>
    <t>Ontario</t>
  </si>
  <si>
    <t>Table 14: Total Households by Building Type and Energy Source</t>
  </si>
  <si>
    <t>Households by Building Type (thousands)</t>
  </si>
  <si>
    <t>Single Detached</t>
  </si>
  <si>
    <t>Single Attached</t>
  </si>
  <si>
    <t>Apartments</t>
  </si>
  <si>
    <t>Mobile Homes</t>
  </si>
  <si>
    <t>Shares (%)</t>
  </si>
  <si>
    <t>Households by Energy Source (thousands)</t>
  </si>
  <si>
    <t>Electricity</t>
  </si>
  <si>
    <t>Natural Gas</t>
  </si>
  <si>
    <t>Heating Oil</t>
  </si>
  <si>
    <r>
      <t>Other</t>
    </r>
    <r>
      <rPr>
        <vertAlign val="superscript"/>
        <sz val="10"/>
        <rFont val="Arial"/>
        <family val="2"/>
      </rPr>
      <t>1</t>
    </r>
  </si>
  <si>
    <t>Wood</t>
  </si>
  <si>
    <t>1) “Other” includes coal and propane.</t>
  </si>
  <si>
    <t>Annual capacity factor</t>
  </si>
  <si>
    <t>Total</t>
  </si>
  <si>
    <t>Average daily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</si>
</sst>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.000_-;\-&quot;$&quot;* #,##0.000_-;_-&quot;$&quot;* &quot;-&quot;??_-;_-@_-"/>
    <numFmt numFmtId="166" formatCode="_-* #,##0.000_-;\-* #,##0.000_-;_-* &quot;-&quot;??_-;_-@_-"/>
    <numFmt numFmtId="167" formatCode="0.0"/>
    <numFmt numFmtId="168" formatCode="#,##0.0"/>
    <numFmt numFmtId="169" formatCode="0.000"/>
    <numFmt numFmtId="170" formatCode="0.0000"/>
    <numFmt numFmtId="171" formatCode="0.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vertAlign val="subscript"/>
      <sz val="10"/>
      <name val="Arial"/>
      <family val="2"/>
    </font>
    <font>
      <u/>
      <sz val="10"/>
      <name val="Arial"/>
      <family val="2"/>
    </font>
    <font>
      <b/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Protection="0">
      <alignment horizontal="left"/>
    </xf>
    <xf numFmtId="0" fontId="18" fillId="0" borderId="4" applyNumberFormat="0" applyProtection="0">
      <alignment wrapText="1"/>
    </xf>
    <xf numFmtId="0" fontId="19" fillId="0" borderId="6" applyNumberFormat="0" applyFon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Protection="0">
      <alignment vertical="top" wrapText="1"/>
    </xf>
    <xf numFmtId="0" fontId="20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0" fillId="0" borderId="0" xfId="0" applyBorder="1"/>
    <xf numFmtId="0" fontId="0" fillId="0" borderId="1" xfId="0" applyBorder="1" applyAlignment="1">
      <alignment horizontal="right"/>
    </xf>
    <xf numFmtId="164" fontId="0" fillId="0" borderId="3" xfId="1" applyNumberFormat="1" applyFont="1" applyBorder="1"/>
    <xf numFmtId="164" fontId="0" fillId="0" borderId="1" xfId="1" applyNumberFormat="1" applyFont="1" applyBorder="1"/>
    <xf numFmtId="2" fontId="0" fillId="0" borderId="0" xfId="0" applyNumberFormat="1" applyBorder="1"/>
    <xf numFmtId="2" fontId="0" fillId="0" borderId="0" xfId="0" applyNumberFormat="1"/>
    <xf numFmtId="44" fontId="0" fillId="0" borderId="3" xfId="0" applyNumberFormat="1" applyBorder="1"/>
    <xf numFmtId="44" fontId="0" fillId="0" borderId="1" xfId="0" applyNumberFormat="1" applyBorder="1"/>
    <xf numFmtId="44" fontId="0" fillId="0" borderId="2" xfId="0" applyNumberFormat="1" applyBorder="1"/>
    <xf numFmtId="44" fontId="0" fillId="0" borderId="0" xfId="0" applyNumberFormat="1" applyFill="1" applyBorder="1"/>
    <xf numFmtId="44" fontId="0" fillId="0" borderId="0" xfId="0" applyNumberFormat="1"/>
    <xf numFmtId="44" fontId="2" fillId="0" borderId="0" xfId="2" applyFont="1"/>
    <xf numFmtId="0" fontId="2" fillId="0" borderId="0" xfId="0" applyFont="1" applyBorder="1"/>
    <xf numFmtId="44" fontId="0" fillId="0" borderId="0" xfId="0" applyNumberFormat="1" applyBorder="1"/>
    <xf numFmtId="44" fontId="0" fillId="0" borderId="1" xfId="0" applyNumberFormat="1" applyFill="1" applyBorder="1"/>
    <xf numFmtId="0" fontId="0" fillId="0" borderId="3" xfId="1" applyNumberFormat="1" applyFont="1" applyBorder="1"/>
    <xf numFmtId="0" fontId="0" fillId="0" borderId="1" xfId="1" applyNumberFormat="1" applyFont="1" applyBorder="1"/>
    <xf numFmtId="2" fontId="0" fillId="0" borderId="3" xfId="1" applyNumberFormat="1" applyFont="1" applyBorder="1"/>
    <xf numFmtId="2" fontId="0" fillId="0" borderId="1" xfId="1" applyNumberFormat="1" applyFont="1" applyBorder="1"/>
    <xf numFmtId="2" fontId="0" fillId="0" borderId="2" xfId="0" applyNumberFormat="1" applyBorder="1"/>
    <xf numFmtId="2" fontId="2" fillId="0" borderId="0" xfId="0" applyNumberFormat="1" applyFont="1"/>
    <xf numFmtId="165" fontId="0" fillId="0" borderId="3" xfId="2" applyNumberFormat="1" applyFont="1" applyBorder="1"/>
    <xf numFmtId="165" fontId="0" fillId="0" borderId="1" xfId="2" applyNumberFormat="1" applyFont="1" applyBorder="1"/>
    <xf numFmtId="165" fontId="0" fillId="0" borderId="2" xfId="2" applyNumberFormat="1" applyFont="1" applyBorder="1"/>
    <xf numFmtId="165" fontId="0" fillId="0" borderId="0" xfId="2" applyNumberFormat="1" applyFont="1" applyFill="1" applyBorder="1"/>
    <xf numFmtId="165" fontId="2" fillId="0" borderId="0" xfId="2" applyNumberFormat="1" applyFont="1"/>
    <xf numFmtId="165" fontId="0" fillId="0" borderId="0" xfId="2" applyNumberFormat="1" applyFont="1"/>
    <xf numFmtId="165" fontId="0" fillId="0" borderId="1" xfId="2" applyNumberFormat="1" applyFont="1" applyFill="1" applyBorder="1"/>
    <xf numFmtId="165" fontId="0" fillId="0" borderId="0" xfId="2" applyNumberFormat="1" applyFont="1" applyBorder="1"/>
    <xf numFmtId="166" fontId="0" fillId="0" borderId="3" xfId="1" applyNumberFormat="1" applyFont="1" applyBorder="1"/>
    <xf numFmtId="166" fontId="0" fillId="0" borderId="1" xfId="1" applyNumberFormat="1" applyFont="1" applyBorder="1"/>
    <xf numFmtId="166" fontId="0" fillId="0" borderId="2" xfId="0" applyNumberFormat="1" applyBorder="1"/>
    <xf numFmtId="166" fontId="0" fillId="0" borderId="0" xfId="0" applyNumberFormat="1" applyBorder="1"/>
    <xf numFmtId="166" fontId="0" fillId="0" borderId="0" xfId="0" applyNumberFormat="1"/>
    <xf numFmtId="166" fontId="2" fillId="0" borderId="0" xfId="0" applyNumberFormat="1" applyFont="1"/>
    <xf numFmtId="2" fontId="0" fillId="0" borderId="0" xfId="0" applyNumberFormat="1" applyFill="1" applyBorder="1"/>
    <xf numFmtId="2" fontId="2" fillId="0" borderId="0" xfId="2" applyNumberFormat="1" applyFont="1" applyBorder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9" fillId="0" borderId="5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167" fontId="9" fillId="0" borderId="0" xfId="0" applyNumberFormat="1" applyFont="1"/>
    <xf numFmtId="2" fontId="11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 indent="2"/>
    </xf>
    <xf numFmtId="168" fontId="0" fillId="0" borderId="0" xfId="0" applyNumberFormat="1"/>
    <xf numFmtId="167" fontId="0" fillId="0" borderId="0" xfId="0" applyNumberFormat="1"/>
    <xf numFmtId="0" fontId="9" fillId="0" borderId="0" xfId="0" applyFont="1" applyAlignment="1">
      <alignment horizontal="left" wrapText="1"/>
    </xf>
    <xf numFmtId="167" fontId="9" fillId="0" borderId="0" xfId="0" applyNumberFormat="1" applyFont="1" applyAlignment="1">
      <alignment horizontal="right"/>
    </xf>
    <xf numFmtId="9" fontId="0" fillId="0" borderId="0" xfId="3" applyFont="1"/>
    <xf numFmtId="0" fontId="3" fillId="0" borderId="0" xfId="0" applyFont="1"/>
    <xf numFmtId="9" fontId="0" fillId="0" borderId="0" xfId="0" applyNumberFormat="1"/>
    <xf numFmtId="169" fontId="0" fillId="0" borderId="0" xfId="0" applyNumberFormat="1"/>
    <xf numFmtId="0" fontId="17" fillId="0" borderId="0" xfId="9" applyFont="1"/>
    <xf numFmtId="0" fontId="0" fillId="0" borderId="0" xfId="3" applyNumberFormat="1" applyFont="1"/>
    <xf numFmtId="169" fontId="3" fillId="0" borderId="0" xfId="0" applyNumberFormat="1" applyFont="1"/>
    <xf numFmtId="169" fontId="0" fillId="0" borderId="0" xfId="0" applyNumberFormat="1" applyAlignment="1">
      <alignment horizontal="right"/>
    </xf>
    <xf numFmtId="170" fontId="0" fillId="0" borderId="0" xfId="0" applyNumberFormat="1"/>
    <xf numFmtId="1" fontId="0" fillId="0" borderId="0" xfId="0" applyNumberFormat="1"/>
    <xf numFmtId="0" fontId="20" fillId="0" borderId="0" xfId="9" applyAlignment="1">
      <alignment horizontal="left" vertical="center" indent="2"/>
    </xf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5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168" fontId="9" fillId="0" borderId="0" xfId="0" applyNumberFormat="1" applyFont="1"/>
    <xf numFmtId="0" fontId="21" fillId="0" borderId="0" xfId="0" applyFont="1" applyAlignment="1">
      <alignment horizontal="left" wrapText="1" indent="1"/>
    </xf>
    <xf numFmtId="168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167" fontId="0" fillId="0" borderId="0" xfId="0" applyNumberFormat="1"/>
    <xf numFmtId="171" fontId="0" fillId="0" borderId="0" xfId="3" applyNumberFormat="1" applyFont="1"/>
    <xf numFmtId="0" fontId="20" fillId="0" borderId="0" xfId="9"/>
    <xf numFmtId="0" fontId="0" fillId="0" borderId="9" xfId="0" applyBorder="1"/>
    <xf numFmtId="0" fontId="0" fillId="0" borderId="10" xfId="0" applyBorder="1"/>
  </cellXfs>
  <cellStyles count="10">
    <cellStyle name="Body: normal cell" xfId="6" xr:uid="{EAC00829-540E-46F9-9F6A-AB6790F704C8}"/>
    <cellStyle name="Comma" xfId="1" builtinId="3"/>
    <cellStyle name="Currency" xfId="2" builtinId="4"/>
    <cellStyle name="Footnotes: top row" xfId="8" xr:uid="{7AE47B03-4028-4005-999B-0016C523CB9B}"/>
    <cellStyle name="Header: bottom row" xfId="5" xr:uid="{9A5FACEE-DA1B-4230-AB3A-36E99A14BE0E}"/>
    <cellStyle name="Hyperlink" xfId="9" builtinId="8"/>
    <cellStyle name="Normal" xfId="0" builtinId="0"/>
    <cellStyle name="Parent row" xfId="7" xr:uid="{81107CBE-4F17-47C3-8889-666B858B201B}"/>
    <cellStyle name="Percent" xfId="3" builtinId="5"/>
    <cellStyle name="Table title" xfId="4" xr:uid="{FD3C7088-5E3B-46D0-9840-2E83EA2BF9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219075</xdr:colOff>
      <xdr:row>2</xdr:row>
      <xdr:rowOff>57150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91A9E5A-84C8-4BD1-ACAA-163EC74E3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387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447675</xdr:colOff>
      <xdr:row>0</xdr:row>
      <xdr:rowOff>152400</xdr:rowOff>
    </xdr:from>
    <xdr:to>
      <xdr:col>23</xdr:col>
      <xdr:colOff>57150</xdr:colOff>
      <xdr:row>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BDF070-539D-46D3-93F8-00550814E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3075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ee.nrcan.gc.ca/corporate/statistics/neud/dpa/showTable.cfm?type=CP&amp;sector=res&amp;juris=on&amp;year=2020&amp;rn=14&amp;page=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.eere.energy.gov/buildings/publications/pdfs/ssl/2012_residential-lighting-stud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7EB6-1D3A-4241-9814-9B3F45CC2F41}">
  <dimension ref="A1:F25"/>
  <sheetViews>
    <sheetView workbookViewId="0">
      <selection activeCell="A25" sqref="A24:A25"/>
    </sheetView>
  </sheetViews>
  <sheetFormatPr defaultRowHeight="15" x14ac:dyDescent="0.25"/>
  <cols>
    <col min="1" max="1" width="16.7109375" bestFit="1" customWidth="1"/>
    <col min="2" max="2" width="7.5703125" bestFit="1" customWidth="1"/>
    <col min="3" max="3" width="15.28515625" bestFit="1" customWidth="1"/>
    <col min="4" max="4" width="15.5703125" bestFit="1" customWidth="1"/>
    <col min="5" max="5" width="15.140625" bestFit="1" customWidth="1"/>
    <col min="6" max="6" width="15.28515625" bestFit="1" customWidth="1"/>
  </cols>
  <sheetData>
    <row r="1" spans="1:6" x14ac:dyDescent="0.25">
      <c r="A1" t="s">
        <v>14</v>
      </c>
      <c r="B1" t="s">
        <v>10</v>
      </c>
      <c r="C1" s="2" t="s">
        <v>0</v>
      </c>
      <c r="D1" t="s">
        <v>1</v>
      </c>
      <c r="E1" t="s">
        <v>2</v>
      </c>
      <c r="F1" t="s">
        <v>3</v>
      </c>
    </row>
    <row r="2" spans="1:6" x14ac:dyDescent="0.25">
      <c r="A2" s="92" t="s">
        <v>11</v>
      </c>
      <c r="B2" s="5" t="s">
        <v>12</v>
      </c>
      <c r="C2" s="19">
        <f>(750+2000)/2</f>
        <v>1375</v>
      </c>
      <c r="D2" s="20">
        <f>(3000+4000)/2</f>
        <v>3500</v>
      </c>
      <c r="E2" s="20">
        <f>(8000+1000)/2</f>
        <v>4500</v>
      </c>
      <c r="F2" s="20">
        <f>(35000+50000)/2</f>
        <v>42500</v>
      </c>
    </row>
    <row r="3" spans="1:6" x14ac:dyDescent="0.25">
      <c r="A3" s="4" t="s">
        <v>4</v>
      </c>
      <c r="B3" s="5">
        <v>2020</v>
      </c>
      <c r="C3" s="21">
        <v>14.2</v>
      </c>
      <c r="D3" s="22">
        <v>17.399999999999999</v>
      </c>
      <c r="E3" s="22">
        <v>68.5</v>
      </c>
      <c r="F3" s="22">
        <v>87.1</v>
      </c>
    </row>
    <row r="4" spans="1:6" x14ac:dyDescent="0.25">
      <c r="A4" t="s">
        <v>5</v>
      </c>
      <c r="B4" s="16">
        <v>2022</v>
      </c>
      <c r="C4" s="23">
        <v>14.2</v>
      </c>
      <c r="D4" s="8">
        <v>17.399999999999999</v>
      </c>
      <c r="E4" s="8">
        <v>69.2</v>
      </c>
      <c r="F4" s="8">
        <v>90</v>
      </c>
    </row>
    <row r="5" spans="1:6" x14ac:dyDescent="0.25">
      <c r="B5">
        <v>2025</v>
      </c>
      <c r="C5" s="23">
        <v>14.2</v>
      </c>
      <c r="D5" s="9">
        <v>17.399999999999999</v>
      </c>
      <c r="E5" s="24">
        <f>(B5-B4)/(B6-B4)*(E6-E4)+E4</f>
        <v>70.25</v>
      </c>
      <c r="F5" s="24">
        <f>(B5-B4)/(B6-B4)*(F6-F4)+F4</f>
        <v>97.087500000000006</v>
      </c>
    </row>
    <row r="6" spans="1:6" x14ac:dyDescent="0.25">
      <c r="B6">
        <v>2030</v>
      </c>
      <c r="C6" s="23">
        <v>14.2</v>
      </c>
      <c r="D6" s="9">
        <v>17.399999999999999</v>
      </c>
      <c r="E6" s="9">
        <v>72</v>
      </c>
      <c r="F6" s="9">
        <v>108.9</v>
      </c>
    </row>
    <row r="7" spans="1:6" x14ac:dyDescent="0.25">
      <c r="B7">
        <v>2035</v>
      </c>
      <c r="C7" s="23">
        <v>14.2</v>
      </c>
      <c r="D7" s="9">
        <v>17.399999999999999</v>
      </c>
      <c r="E7" s="24">
        <f>(B7-B6)/(B8-B6)*(E8-E6)+E6</f>
        <v>73.849999999999994</v>
      </c>
      <c r="F7" s="24">
        <f>(B7-B6)/(B8-B6)*(F8-F6)+F6</f>
        <v>123.75</v>
      </c>
    </row>
    <row r="8" spans="1:6" x14ac:dyDescent="0.25">
      <c r="B8">
        <v>2040</v>
      </c>
      <c r="C8" s="23">
        <v>14.2</v>
      </c>
      <c r="D8" s="9">
        <v>17.399999999999999</v>
      </c>
      <c r="E8" s="9">
        <v>75.7</v>
      </c>
      <c r="F8" s="9">
        <v>138.6</v>
      </c>
    </row>
    <row r="9" spans="1:6" x14ac:dyDescent="0.25">
      <c r="B9">
        <v>2045</v>
      </c>
      <c r="C9" s="23">
        <v>14.2</v>
      </c>
      <c r="D9" s="9">
        <v>17.399999999999999</v>
      </c>
      <c r="E9" s="24">
        <f>(B9-B8)/(B10-B8)*(E10-E8)+E8</f>
        <v>77.650000000000006</v>
      </c>
      <c r="F9" s="24">
        <f>(B9-B8)/(B10-B8)*(F10-F8)+F8</f>
        <v>149.64999999999998</v>
      </c>
    </row>
    <row r="10" spans="1:6" x14ac:dyDescent="0.25">
      <c r="B10">
        <v>2050</v>
      </c>
      <c r="C10" s="23">
        <v>14.2</v>
      </c>
      <c r="D10" s="9">
        <v>17.399999999999999</v>
      </c>
      <c r="E10" s="9">
        <v>79.599999999999994</v>
      </c>
      <c r="F10" s="9">
        <v>160.69999999999999</v>
      </c>
    </row>
    <row r="11" spans="1:6" x14ac:dyDescent="0.25">
      <c r="A11" s="1" t="s">
        <v>6</v>
      </c>
      <c r="B11" s="3">
        <v>2022</v>
      </c>
      <c r="C11" s="25">
        <v>0.35</v>
      </c>
      <c r="D11" s="26">
        <v>7.89</v>
      </c>
      <c r="E11" s="26">
        <v>5.94</v>
      </c>
      <c r="F11" s="26">
        <v>4.9000000000000004</v>
      </c>
    </row>
    <row r="12" spans="1:6" x14ac:dyDescent="0.25">
      <c r="A12" t="s">
        <v>7</v>
      </c>
      <c r="B12">
        <v>2025</v>
      </c>
      <c r="C12" s="27">
        <v>0.35</v>
      </c>
      <c r="D12" s="28">
        <v>7.89</v>
      </c>
      <c r="E12" s="29">
        <f>(B12-B11)/(B13-B11)*(E13-E11)+E11</f>
        <v>5.8537499999999998</v>
      </c>
      <c r="F12" s="29">
        <f>(B12-B11)/(B13-B11)*(F13-F11)+F11</f>
        <v>4.5775000000000006</v>
      </c>
    </row>
    <row r="13" spans="1:6" x14ac:dyDescent="0.25">
      <c r="B13">
        <v>2030</v>
      </c>
      <c r="C13" s="27">
        <v>0.35</v>
      </c>
      <c r="D13" s="28">
        <v>7.89</v>
      </c>
      <c r="E13" s="28">
        <v>5.71</v>
      </c>
      <c r="F13" s="30">
        <v>4.04</v>
      </c>
    </row>
    <row r="14" spans="1:6" x14ac:dyDescent="0.25">
      <c r="B14">
        <v>2035</v>
      </c>
      <c r="C14" s="27">
        <v>0.35</v>
      </c>
      <c r="D14" s="28">
        <v>7.89</v>
      </c>
      <c r="E14" s="29">
        <f>(B14-B13)/(B15-B13)*(E15-E13)+E13</f>
        <v>5.57</v>
      </c>
      <c r="F14" s="29">
        <f>(B14-B13)/(B15-B13)*(F15-F13)+F13</f>
        <v>3.8</v>
      </c>
    </row>
    <row r="15" spans="1:6" x14ac:dyDescent="0.25">
      <c r="B15">
        <v>2040</v>
      </c>
      <c r="C15" s="27">
        <v>0.35</v>
      </c>
      <c r="D15" s="28">
        <v>7.89</v>
      </c>
      <c r="E15" s="28">
        <v>5.43</v>
      </c>
      <c r="F15" s="30">
        <v>3.56</v>
      </c>
    </row>
    <row r="16" spans="1:6" x14ac:dyDescent="0.25">
      <c r="B16">
        <v>2045</v>
      </c>
      <c r="C16" s="27">
        <v>0.35</v>
      </c>
      <c r="D16" s="28">
        <v>7.89</v>
      </c>
      <c r="E16" s="29">
        <f>(B16-B15)/(B17-B15)*(E17-E15)+E15</f>
        <v>5.3</v>
      </c>
      <c r="F16" s="29">
        <f>(B16-B15)/(B17-B15)*(F17-F15)+F15</f>
        <v>3.3149999999999999</v>
      </c>
    </row>
    <row r="17" spans="1:6" x14ac:dyDescent="0.25">
      <c r="A17" s="91"/>
      <c r="B17">
        <v>2050</v>
      </c>
      <c r="C17" s="27">
        <v>0.35</v>
      </c>
      <c r="D17" s="28">
        <v>7.89</v>
      </c>
      <c r="E17" s="28">
        <v>5.17</v>
      </c>
      <c r="F17" s="30">
        <v>3.07</v>
      </c>
    </row>
    <row r="18" spans="1:6" x14ac:dyDescent="0.25">
      <c r="A18" s="4" t="s">
        <v>9</v>
      </c>
      <c r="B18" s="1">
        <v>2020</v>
      </c>
      <c r="C18" s="25">
        <v>0.18</v>
      </c>
      <c r="D18" s="31">
        <v>4.0599999999999996</v>
      </c>
      <c r="E18" s="31">
        <v>0.46</v>
      </c>
      <c r="F18" s="26">
        <v>0.18</v>
      </c>
    </row>
    <row r="19" spans="1:6" x14ac:dyDescent="0.25">
      <c r="A19" t="s">
        <v>8</v>
      </c>
      <c r="B19" s="16">
        <v>2022</v>
      </c>
      <c r="C19" s="27">
        <v>0.18</v>
      </c>
      <c r="D19" s="32">
        <v>4.9000000000000004</v>
      </c>
      <c r="E19" s="32">
        <v>0.46</v>
      </c>
      <c r="F19" s="32">
        <v>0.22</v>
      </c>
    </row>
    <row r="20" spans="1:6" x14ac:dyDescent="0.25">
      <c r="B20">
        <v>2025</v>
      </c>
      <c r="C20" s="27">
        <v>0.18</v>
      </c>
      <c r="D20" s="30">
        <v>4.9000000000000004</v>
      </c>
      <c r="E20" s="29">
        <f>(B20-B19)/(B21-B19)*(E21-E19)+E19</f>
        <v>0.45250000000000001</v>
      </c>
      <c r="F20" s="29">
        <f>(B20-B19)/(B21-B19)*(F21-F19)+F19</f>
        <v>0.20499999999999999</v>
      </c>
    </row>
    <row r="21" spans="1:6" x14ac:dyDescent="0.25">
      <c r="B21">
        <v>2030</v>
      </c>
      <c r="C21" s="27">
        <v>0.18</v>
      </c>
      <c r="D21" s="30">
        <v>4.9000000000000004</v>
      </c>
      <c r="E21" s="30">
        <v>0.44</v>
      </c>
      <c r="F21" s="30">
        <v>0.18</v>
      </c>
    </row>
    <row r="22" spans="1:6" x14ac:dyDescent="0.25">
      <c r="B22">
        <v>2035</v>
      </c>
      <c r="C22" s="27">
        <v>0.18</v>
      </c>
      <c r="D22" s="30">
        <v>4.9000000000000004</v>
      </c>
      <c r="E22" s="29">
        <f>(B22-B21)/(B23-B21)*(E23-E21)+E21</f>
        <v>0.43</v>
      </c>
      <c r="F22" s="29">
        <f>(B22-B21)/(B23-B21)*(F23-F21)+F21</f>
        <v>0.16999999999999998</v>
      </c>
    </row>
    <row r="23" spans="1:6" x14ac:dyDescent="0.25">
      <c r="B23">
        <v>2040</v>
      </c>
      <c r="C23" s="27">
        <v>0.18</v>
      </c>
      <c r="D23" s="30">
        <v>4.9000000000000004</v>
      </c>
      <c r="E23" s="30">
        <v>0.42</v>
      </c>
      <c r="F23" s="30">
        <v>0.16</v>
      </c>
    </row>
    <row r="24" spans="1:6" x14ac:dyDescent="0.25">
      <c r="B24">
        <v>2045</v>
      </c>
      <c r="C24" s="27">
        <v>0.18</v>
      </c>
      <c r="D24" s="30">
        <v>4.9000000000000004</v>
      </c>
      <c r="E24" s="29">
        <f>(B24-B23)/(B25-B23)*(E25-E23)+E23</f>
        <v>0.41000000000000003</v>
      </c>
      <c r="F24" s="29">
        <f>(B24-B23)/(B25-B23)*(F25-F23)+F23</f>
        <v>0.15000000000000002</v>
      </c>
    </row>
    <row r="25" spans="1:6" x14ac:dyDescent="0.25">
      <c r="B25">
        <v>2050</v>
      </c>
      <c r="C25" s="27">
        <v>0.18</v>
      </c>
      <c r="D25" s="30">
        <v>4.9000000000000004</v>
      </c>
      <c r="E25" s="30">
        <v>0.4</v>
      </c>
      <c r="F25" s="30">
        <v>0.14000000000000001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20E6-8774-4FCC-A1A6-90E9AFCC9073}">
  <dimension ref="A1:F35"/>
  <sheetViews>
    <sheetView tabSelected="1" zoomScaleNormal="100" workbookViewId="0">
      <selection activeCell="C12" sqref="C12"/>
    </sheetView>
  </sheetViews>
  <sheetFormatPr defaultRowHeight="15" x14ac:dyDescent="0.25"/>
  <cols>
    <col min="1" max="1" width="16.7109375" bestFit="1" customWidth="1"/>
    <col min="2" max="2" width="7.5703125" bestFit="1" customWidth="1"/>
    <col min="3" max="3" width="15.28515625" bestFit="1" customWidth="1"/>
    <col min="4" max="4" width="15.5703125" bestFit="1" customWidth="1"/>
    <col min="5" max="5" width="15.140625" bestFit="1" customWidth="1"/>
    <col min="6" max="6" width="15.28515625" bestFit="1" customWidth="1"/>
  </cols>
  <sheetData>
    <row r="1" spans="1:6" x14ac:dyDescent="0.25">
      <c r="A1" t="s">
        <v>14</v>
      </c>
      <c r="B1" t="s">
        <v>10</v>
      </c>
      <c r="C1" s="2" t="s">
        <v>0</v>
      </c>
      <c r="D1" t="s">
        <v>1</v>
      </c>
      <c r="E1" t="s">
        <v>2</v>
      </c>
      <c r="F1" t="s">
        <v>3</v>
      </c>
    </row>
    <row r="2" spans="1:6" x14ac:dyDescent="0.25">
      <c r="A2" s="92" t="s">
        <v>11</v>
      </c>
      <c r="B2" s="5" t="s">
        <v>13</v>
      </c>
      <c r="C2" s="6">
        <f>ROUND('data units'!C2/(1.5*365),0)</f>
        <v>3</v>
      </c>
      <c r="D2" s="7">
        <f>ROUND('data units'!D2/(1.5*365),0)</f>
        <v>6</v>
      </c>
      <c r="E2" s="7">
        <f>ROUND('data units'!E2/(1.5*365),0)</f>
        <v>8</v>
      </c>
      <c r="F2" s="7">
        <f>ROUND('data units'!F2/(1.5*365),0)</f>
        <v>78</v>
      </c>
    </row>
    <row r="3" spans="1:6" x14ac:dyDescent="0.25">
      <c r="A3" s="4" t="s">
        <v>4</v>
      </c>
      <c r="B3" s="5">
        <v>2020</v>
      </c>
      <c r="C3" s="33">
        <f>'data units'!C3*1000000000000000/3600/8760/1000000000</f>
        <v>0.45027904616945713</v>
      </c>
      <c r="D3" s="34">
        <f>'data units'!D3*1000000000000000/3600/8760/1000000000</f>
        <v>0.55175038051750369</v>
      </c>
      <c r="E3" s="34">
        <f>'data units'!E3*1000000000000000/3600/8760/1000000000</f>
        <v>2.1721207508878742</v>
      </c>
      <c r="F3" s="34">
        <f>'data units'!F3*1000000000000000/3600/8760/1000000000</f>
        <v>2.7619228817858952</v>
      </c>
    </row>
    <row r="4" spans="1:6" x14ac:dyDescent="0.25">
      <c r="A4" t="s">
        <v>15</v>
      </c>
      <c r="B4" s="16">
        <v>2022</v>
      </c>
      <c r="C4" s="35">
        <f>'data units'!C4*1000000000000000/3600/8760/1000000000</f>
        <v>0.45027904616945713</v>
      </c>
      <c r="D4" s="36">
        <f>'data units'!D4*1000000000000000/3600/8760/1000000000</f>
        <v>0.55175038051750369</v>
      </c>
      <c r="E4" s="36">
        <f>'data units'!E4*1000000000000000/3600/8760/1000000000</f>
        <v>2.1943176052765092</v>
      </c>
      <c r="F4" s="36">
        <f>'data units'!F4*1000000000000000/3600/8760/1000000000</f>
        <v>2.8538812785388128</v>
      </c>
    </row>
    <row r="5" spans="1:6" x14ac:dyDescent="0.25">
      <c r="B5">
        <v>2025</v>
      </c>
      <c r="C5" s="35">
        <f>'data units'!C5*1000000000000000/3600/8760/1000000000</f>
        <v>0.45027904616945713</v>
      </c>
      <c r="D5" s="37">
        <f>'data units'!D5*1000000000000000/3600/8760/1000000000</f>
        <v>0.55175038051750369</v>
      </c>
      <c r="E5" s="38">
        <f>'data units'!E5*1000000000000000/3600/8760/1000000000</f>
        <v>2.2276128868594625</v>
      </c>
      <c r="F5" s="38">
        <f>'data units'!F5*1000000000000000/3600/8760/1000000000</f>
        <v>3.0786244292237446</v>
      </c>
    </row>
    <row r="6" spans="1:6" x14ac:dyDescent="0.25">
      <c r="B6">
        <v>2030</v>
      </c>
      <c r="C6" s="35">
        <f>'data units'!C6*1000000000000000/3600/8760/1000000000</f>
        <v>0.45027904616945713</v>
      </c>
      <c r="D6" s="37">
        <f>'data units'!D6*1000000000000000/3600/8760/1000000000</f>
        <v>0.55175038051750369</v>
      </c>
      <c r="E6" s="37">
        <f>'data units'!E6*1000000000000000/3600/8760/1000000000</f>
        <v>2.2831050228310503</v>
      </c>
      <c r="F6" s="37">
        <f>'data units'!F6*1000000000000000/3600/8760/1000000000</f>
        <v>3.4531963470319633</v>
      </c>
    </row>
    <row r="7" spans="1:6" x14ac:dyDescent="0.25">
      <c r="B7">
        <v>2035</v>
      </c>
      <c r="C7" s="35">
        <f>'data units'!C7*1000000000000000/3600/8760/1000000000</f>
        <v>0.45027904616945713</v>
      </c>
      <c r="D7" s="37">
        <f>'data units'!D7*1000000000000000/3600/8760/1000000000</f>
        <v>0.55175038051750369</v>
      </c>
      <c r="E7" s="38">
        <f>'data units'!E7*1000000000000000/3600/8760/1000000000</f>
        <v>2.3417681380010147</v>
      </c>
      <c r="F7" s="38">
        <f>'data units'!F7*1000000000000000/3600/8760/1000000000</f>
        <v>3.9240867579908678</v>
      </c>
    </row>
    <row r="8" spans="1:6" x14ac:dyDescent="0.25">
      <c r="B8">
        <v>2040</v>
      </c>
      <c r="C8" s="35">
        <f>'data units'!C8*1000000000000000/3600/8760/1000000000</f>
        <v>0.45027904616945713</v>
      </c>
      <c r="D8" s="37">
        <f>'data units'!D8*1000000000000000/3600/8760/1000000000</f>
        <v>0.55175038051750369</v>
      </c>
      <c r="E8" s="37">
        <f>'data units'!E8*1000000000000000/3600/8760/1000000000</f>
        <v>2.4004312531709791</v>
      </c>
      <c r="F8" s="37">
        <f>'data units'!F8*1000000000000000/3600/8760/1000000000</f>
        <v>4.3949771689497723</v>
      </c>
    </row>
    <row r="9" spans="1:6" x14ac:dyDescent="0.25">
      <c r="B9">
        <v>2045</v>
      </c>
      <c r="C9" s="35">
        <f>'data units'!C9*1000000000000000/3600/8760/1000000000</f>
        <v>0.45027904616945713</v>
      </c>
      <c r="D9" s="37">
        <f>'data units'!D9*1000000000000000/3600/8760/1000000000</f>
        <v>0.55175038051750369</v>
      </c>
      <c r="E9" s="38">
        <f>'data units'!E9*1000000000000000/3600/8760/1000000000</f>
        <v>2.4622653475393204</v>
      </c>
      <c r="F9" s="38">
        <f>'data units'!F9*1000000000000000/3600/8760/1000000000</f>
        <v>4.7453703703703702</v>
      </c>
    </row>
    <row r="10" spans="1:6" x14ac:dyDescent="0.25">
      <c r="B10">
        <v>2050</v>
      </c>
      <c r="C10" s="35">
        <f>'data units'!C10*1000000000000000/3600/8760/1000000000</f>
        <v>0.45027904616945713</v>
      </c>
      <c r="D10" s="37">
        <f>'data units'!D10*1000000000000000/3600/8760/1000000000</f>
        <v>0.55175038051750369</v>
      </c>
      <c r="E10" s="37">
        <f>'data units'!E10*1000000000000000/3600/8760/1000000000</f>
        <v>2.5240994419076608</v>
      </c>
      <c r="F10" s="37">
        <f>'data units'!F10*1000000000000000/3600/8760/1000000000</f>
        <v>5.0957635717909691</v>
      </c>
    </row>
    <row r="11" spans="1:6" x14ac:dyDescent="0.25">
      <c r="A11" s="1" t="s">
        <v>6</v>
      </c>
      <c r="B11" s="3">
        <v>2022</v>
      </c>
      <c r="C11" s="10">
        <f>'data units'!C11</f>
        <v>0.35</v>
      </c>
      <c r="D11" s="11">
        <f>'data units'!D11</f>
        <v>7.89</v>
      </c>
      <c r="E11" s="11">
        <f>'data units'!E11</f>
        <v>5.94</v>
      </c>
      <c r="F11" s="11">
        <f>'data units'!F11</f>
        <v>4.9000000000000004</v>
      </c>
    </row>
    <row r="12" spans="1:6" x14ac:dyDescent="0.25">
      <c r="A12" t="s">
        <v>17</v>
      </c>
      <c r="B12">
        <v>2025</v>
      </c>
      <c r="C12" s="12">
        <f>'data units'!C12</f>
        <v>0.35</v>
      </c>
      <c r="D12" s="13">
        <f>'data units'!D12</f>
        <v>7.89</v>
      </c>
      <c r="E12" s="15">
        <f>'data units'!E12</f>
        <v>5.8537499999999998</v>
      </c>
      <c r="F12" s="15">
        <f>'data units'!F12</f>
        <v>4.5775000000000006</v>
      </c>
    </row>
    <row r="13" spans="1:6" x14ac:dyDescent="0.25">
      <c r="B13">
        <v>2030</v>
      </c>
      <c r="C13" s="12">
        <f>'data units'!C13</f>
        <v>0.35</v>
      </c>
      <c r="D13" s="13">
        <f>'data units'!D13</f>
        <v>7.89</v>
      </c>
      <c r="E13" s="13">
        <f>'data units'!E13</f>
        <v>5.71</v>
      </c>
      <c r="F13" s="14">
        <f>'data units'!F13</f>
        <v>4.04</v>
      </c>
    </row>
    <row r="14" spans="1:6" x14ac:dyDescent="0.25">
      <c r="B14">
        <v>2035</v>
      </c>
      <c r="C14" s="12">
        <f>'data units'!C14</f>
        <v>0.35</v>
      </c>
      <c r="D14" s="13">
        <f>'data units'!D14</f>
        <v>7.89</v>
      </c>
      <c r="E14" s="15">
        <f>'data units'!E14</f>
        <v>5.57</v>
      </c>
      <c r="F14" s="15">
        <f>'data units'!F14</f>
        <v>3.8</v>
      </c>
    </row>
    <row r="15" spans="1:6" x14ac:dyDescent="0.25">
      <c r="B15">
        <v>2040</v>
      </c>
      <c r="C15" s="12">
        <f>'data units'!C15</f>
        <v>0.35</v>
      </c>
      <c r="D15" s="13">
        <f>'data units'!D15</f>
        <v>7.89</v>
      </c>
      <c r="E15" s="13">
        <f>'data units'!E15</f>
        <v>5.43</v>
      </c>
      <c r="F15" s="14">
        <f>'data units'!F15</f>
        <v>3.56</v>
      </c>
    </row>
    <row r="16" spans="1:6" x14ac:dyDescent="0.25">
      <c r="B16">
        <v>2045</v>
      </c>
      <c r="C16" s="12">
        <f>'data units'!C16</f>
        <v>0.35</v>
      </c>
      <c r="D16" s="13">
        <f>'data units'!D16</f>
        <v>7.89</v>
      </c>
      <c r="E16" s="15">
        <f>'data units'!E16</f>
        <v>5.3</v>
      </c>
      <c r="F16" s="15">
        <f>'data units'!F16</f>
        <v>3.3149999999999999</v>
      </c>
    </row>
    <row r="17" spans="1:6" x14ac:dyDescent="0.25">
      <c r="A17" s="91"/>
      <c r="B17">
        <v>2050</v>
      </c>
      <c r="C17" s="12">
        <f>'data units'!C17</f>
        <v>0.35</v>
      </c>
      <c r="D17" s="13">
        <f>'data units'!D17</f>
        <v>7.89</v>
      </c>
      <c r="E17" s="13">
        <f>'data units'!E17</f>
        <v>5.17</v>
      </c>
      <c r="F17" s="14">
        <f>'data units'!F17</f>
        <v>3.07</v>
      </c>
    </row>
    <row r="18" spans="1:6" x14ac:dyDescent="0.25">
      <c r="A18" s="4" t="s">
        <v>9</v>
      </c>
      <c r="B18" s="1">
        <v>2020</v>
      </c>
      <c r="C18" s="10">
        <f>'data units'!C18</f>
        <v>0.18</v>
      </c>
      <c r="D18" s="18">
        <f>'data units'!D18</f>
        <v>4.0599999999999996</v>
      </c>
      <c r="E18" s="18">
        <f>'data units'!E18</f>
        <v>0.46</v>
      </c>
      <c r="F18" s="11">
        <f>'data units'!F18</f>
        <v>0.18</v>
      </c>
    </row>
    <row r="19" spans="1:6" x14ac:dyDescent="0.25">
      <c r="A19" t="s">
        <v>16</v>
      </c>
      <c r="B19" s="16">
        <v>2022</v>
      </c>
      <c r="C19" s="12">
        <f>'data units'!C19</f>
        <v>0.18</v>
      </c>
      <c r="D19" s="17">
        <f>'data units'!D19</f>
        <v>4.9000000000000004</v>
      </c>
      <c r="E19" s="17">
        <f>'data units'!E19</f>
        <v>0.46</v>
      </c>
      <c r="F19" s="17">
        <f>'data units'!F19</f>
        <v>0.22</v>
      </c>
    </row>
    <row r="20" spans="1:6" x14ac:dyDescent="0.25">
      <c r="B20">
        <v>2025</v>
      </c>
      <c r="C20" s="12">
        <f>'data units'!C20</f>
        <v>0.18</v>
      </c>
      <c r="D20" s="14">
        <f>'data units'!D20</f>
        <v>4.9000000000000004</v>
      </c>
      <c r="E20" s="15">
        <f>'data units'!E20</f>
        <v>0.45250000000000001</v>
      </c>
      <c r="F20" s="15">
        <f>'data units'!F20</f>
        <v>0.20499999999999999</v>
      </c>
    </row>
    <row r="21" spans="1:6" x14ac:dyDescent="0.25">
      <c r="B21">
        <v>2030</v>
      </c>
      <c r="C21" s="12">
        <f>'data units'!C21</f>
        <v>0.18</v>
      </c>
      <c r="D21" s="14">
        <f>'data units'!D21</f>
        <v>4.9000000000000004</v>
      </c>
      <c r="E21" s="14">
        <f>'data units'!E21</f>
        <v>0.44</v>
      </c>
      <c r="F21" s="14">
        <f>'data units'!F21</f>
        <v>0.18</v>
      </c>
    </row>
    <row r="22" spans="1:6" x14ac:dyDescent="0.25">
      <c r="B22">
        <v>2035</v>
      </c>
      <c r="C22" s="12">
        <f>'data units'!C22</f>
        <v>0.18</v>
      </c>
      <c r="D22" s="14">
        <f>'data units'!D22</f>
        <v>4.9000000000000004</v>
      </c>
      <c r="E22" s="15">
        <f>'data units'!E22</f>
        <v>0.43</v>
      </c>
      <c r="F22" s="15">
        <f>'data units'!F22</f>
        <v>0.16999999999999998</v>
      </c>
    </row>
    <row r="23" spans="1:6" x14ac:dyDescent="0.25">
      <c r="B23">
        <v>2040</v>
      </c>
      <c r="C23" s="12">
        <f>'data units'!C23</f>
        <v>0.18</v>
      </c>
      <c r="D23" s="14">
        <f>'data units'!D23</f>
        <v>4.9000000000000004</v>
      </c>
      <c r="E23" s="14">
        <f>'data units'!E23</f>
        <v>0.42</v>
      </c>
      <c r="F23" s="14">
        <f>'data units'!F23</f>
        <v>0.16</v>
      </c>
    </row>
    <row r="24" spans="1:6" x14ac:dyDescent="0.25">
      <c r="B24">
        <v>2045</v>
      </c>
      <c r="C24" s="12">
        <f>'data units'!C24</f>
        <v>0.18</v>
      </c>
      <c r="D24" s="14">
        <f>'data units'!D24</f>
        <v>4.9000000000000004</v>
      </c>
      <c r="E24" s="15">
        <f>'data units'!E24</f>
        <v>0.41000000000000003</v>
      </c>
      <c r="F24" s="15">
        <f>'data units'!F24</f>
        <v>0.15000000000000002</v>
      </c>
    </row>
    <row r="25" spans="1:6" x14ac:dyDescent="0.25">
      <c r="B25">
        <v>2050</v>
      </c>
      <c r="C25" s="12">
        <f>'data units'!C25</f>
        <v>0.18</v>
      </c>
      <c r="D25" s="14">
        <f>'data units'!D25</f>
        <v>4.9000000000000004</v>
      </c>
      <c r="E25" s="14">
        <f>'data units'!E25</f>
        <v>0.4</v>
      </c>
      <c r="F25" s="14">
        <f>'data units'!F25</f>
        <v>0.14000000000000001</v>
      </c>
    </row>
    <row r="27" spans="1:6" x14ac:dyDescent="0.25">
      <c r="E27" s="4"/>
    </row>
    <row r="28" spans="1:6" x14ac:dyDescent="0.25">
      <c r="E28" s="4"/>
    </row>
    <row r="29" spans="1:6" x14ac:dyDescent="0.25">
      <c r="E29" s="39"/>
    </row>
    <row r="30" spans="1:6" x14ac:dyDescent="0.25">
      <c r="E30" s="40"/>
    </row>
    <row r="31" spans="1:6" x14ac:dyDescent="0.25">
      <c r="E31" s="8"/>
    </row>
    <row r="32" spans="1:6" x14ac:dyDescent="0.25">
      <c r="E32" s="40"/>
    </row>
    <row r="33" spans="5:5" x14ac:dyDescent="0.25">
      <c r="E33" s="8"/>
    </row>
    <row r="34" spans="5:5" x14ac:dyDescent="0.25">
      <c r="E34" s="40"/>
    </row>
    <row r="35" spans="5:5" x14ac:dyDescent="0.25">
      <c r="E3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8E95-0E77-48C1-92DD-FCB5361B76EB}">
  <dimension ref="A1:W57"/>
  <sheetViews>
    <sheetView zoomScale="85" zoomScaleNormal="85" workbookViewId="0">
      <selection activeCell="C13" sqref="C13"/>
    </sheetView>
  </sheetViews>
  <sheetFormatPr defaultRowHeight="15" x14ac:dyDescent="0.25"/>
  <cols>
    <col min="1" max="1" width="3" customWidth="1"/>
    <col min="2" max="2" width="48.42578125" style="41" customWidth="1"/>
    <col min="3" max="15" width="10.42578125" customWidth="1"/>
    <col min="16" max="16" width="9.7109375" customWidth="1"/>
    <col min="17" max="17" width="10.28515625" customWidth="1"/>
    <col min="18" max="19" width="9.5703125" customWidth="1"/>
    <col min="20" max="20" width="11" customWidth="1"/>
    <col min="21" max="23" width="10.85546875" customWidth="1"/>
    <col min="257" max="257" width="3" customWidth="1"/>
    <col min="258" max="258" width="48.42578125" customWidth="1"/>
    <col min="259" max="271" width="10.42578125" customWidth="1"/>
    <col min="272" max="272" width="9.7109375" customWidth="1"/>
    <col min="273" max="273" width="10.28515625" customWidth="1"/>
    <col min="274" max="275" width="9.5703125" customWidth="1"/>
    <col min="276" max="276" width="11" customWidth="1"/>
    <col min="277" max="279" width="10.85546875" customWidth="1"/>
    <col min="513" max="513" width="3" customWidth="1"/>
    <col min="514" max="514" width="48.42578125" customWidth="1"/>
    <col min="515" max="527" width="10.42578125" customWidth="1"/>
    <col min="528" max="528" width="9.7109375" customWidth="1"/>
    <col min="529" max="529" width="10.28515625" customWidth="1"/>
    <col min="530" max="531" width="9.5703125" customWidth="1"/>
    <col min="532" max="532" width="11" customWidth="1"/>
    <col min="533" max="535" width="10.85546875" customWidth="1"/>
    <col min="769" max="769" width="3" customWidth="1"/>
    <col min="770" max="770" width="48.42578125" customWidth="1"/>
    <col min="771" max="783" width="10.42578125" customWidth="1"/>
    <col min="784" max="784" width="9.7109375" customWidth="1"/>
    <col min="785" max="785" width="10.28515625" customWidth="1"/>
    <col min="786" max="787" width="9.5703125" customWidth="1"/>
    <col min="788" max="788" width="11" customWidth="1"/>
    <col min="789" max="791" width="10.85546875" customWidth="1"/>
    <col min="1025" max="1025" width="3" customWidth="1"/>
    <col min="1026" max="1026" width="48.42578125" customWidth="1"/>
    <col min="1027" max="1039" width="10.42578125" customWidth="1"/>
    <col min="1040" max="1040" width="9.7109375" customWidth="1"/>
    <col min="1041" max="1041" width="10.28515625" customWidth="1"/>
    <col min="1042" max="1043" width="9.5703125" customWidth="1"/>
    <col min="1044" max="1044" width="11" customWidth="1"/>
    <col min="1045" max="1047" width="10.85546875" customWidth="1"/>
    <col min="1281" max="1281" width="3" customWidth="1"/>
    <col min="1282" max="1282" width="48.42578125" customWidth="1"/>
    <col min="1283" max="1295" width="10.42578125" customWidth="1"/>
    <col min="1296" max="1296" width="9.7109375" customWidth="1"/>
    <col min="1297" max="1297" width="10.28515625" customWidth="1"/>
    <col min="1298" max="1299" width="9.5703125" customWidth="1"/>
    <col min="1300" max="1300" width="11" customWidth="1"/>
    <col min="1301" max="1303" width="10.85546875" customWidth="1"/>
    <col min="1537" max="1537" width="3" customWidth="1"/>
    <col min="1538" max="1538" width="48.42578125" customWidth="1"/>
    <col min="1539" max="1551" width="10.42578125" customWidth="1"/>
    <col min="1552" max="1552" width="9.7109375" customWidth="1"/>
    <col min="1553" max="1553" width="10.28515625" customWidth="1"/>
    <col min="1554" max="1555" width="9.5703125" customWidth="1"/>
    <col min="1556" max="1556" width="11" customWidth="1"/>
    <col min="1557" max="1559" width="10.85546875" customWidth="1"/>
    <col min="1793" max="1793" width="3" customWidth="1"/>
    <col min="1794" max="1794" width="48.42578125" customWidth="1"/>
    <col min="1795" max="1807" width="10.42578125" customWidth="1"/>
    <col min="1808" max="1808" width="9.7109375" customWidth="1"/>
    <col min="1809" max="1809" width="10.28515625" customWidth="1"/>
    <col min="1810" max="1811" width="9.5703125" customWidth="1"/>
    <col min="1812" max="1812" width="11" customWidth="1"/>
    <col min="1813" max="1815" width="10.85546875" customWidth="1"/>
    <col min="2049" max="2049" width="3" customWidth="1"/>
    <col min="2050" max="2050" width="48.42578125" customWidth="1"/>
    <col min="2051" max="2063" width="10.42578125" customWidth="1"/>
    <col min="2064" max="2064" width="9.7109375" customWidth="1"/>
    <col min="2065" max="2065" width="10.28515625" customWidth="1"/>
    <col min="2066" max="2067" width="9.5703125" customWidth="1"/>
    <col min="2068" max="2068" width="11" customWidth="1"/>
    <col min="2069" max="2071" width="10.85546875" customWidth="1"/>
    <col min="2305" max="2305" width="3" customWidth="1"/>
    <col min="2306" max="2306" width="48.42578125" customWidth="1"/>
    <col min="2307" max="2319" width="10.42578125" customWidth="1"/>
    <col min="2320" max="2320" width="9.7109375" customWidth="1"/>
    <col min="2321" max="2321" width="10.28515625" customWidth="1"/>
    <col min="2322" max="2323" width="9.5703125" customWidth="1"/>
    <col min="2324" max="2324" width="11" customWidth="1"/>
    <col min="2325" max="2327" width="10.85546875" customWidth="1"/>
    <col min="2561" max="2561" width="3" customWidth="1"/>
    <col min="2562" max="2562" width="48.42578125" customWidth="1"/>
    <col min="2563" max="2575" width="10.42578125" customWidth="1"/>
    <col min="2576" max="2576" width="9.7109375" customWidth="1"/>
    <col min="2577" max="2577" width="10.28515625" customWidth="1"/>
    <col min="2578" max="2579" width="9.5703125" customWidth="1"/>
    <col min="2580" max="2580" width="11" customWidth="1"/>
    <col min="2581" max="2583" width="10.85546875" customWidth="1"/>
    <col min="2817" max="2817" width="3" customWidth="1"/>
    <col min="2818" max="2818" width="48.42578125" customWidth="1"/>
    <col min="2819" max="2831" width="10.42578125" customWidth="1"/>
    <col min="2832" max="2832" width="9.7109375" customWidth="1"/>
    <col min="2833" max="2833" width="10.28515625" customWidth="1"/>
    <col min="2834" max="2835" width="9.5703125" customWidth="1"/>
    <col min="2836" max="2836" width="11" customWidth="1"/>
    <col min="2837" max="2839" width="10.85546875" customWidth="1"/>
    <col min="3073" max="3073" width="3" customWidth="1"/>
    <col min="3074" max="3074" width="48.42578125" customWidth="1"/>
    <col min="3075" max="3087" width="10.42578125" customWidth="1"/>
    <col min="3088" max="3088" width="9.7109375" customWidth="1"/>
    <col min="3089" max="3089" width="10.28515625" customWidth="1"/>
    <col min="3090" max="3091" width="9.5703125" customWidth="1"/>
    <col min="3092" max="3092" width="11" customWidth="1"/>
    <col min="3093" max="3095" width="10.85546875" customWidth="1"/>
    <col min="3329" max="3329" width="3" customWidth="1"/>
    <col min="3330" max="3330" width="48.42578125" customWidth="1"/>
    <col min="3331" max="3343" width="10.42578125" customWidth="1"/>
    <col min="3344" max="3344" width="9.7109375" customWidth="1"/>
    <col min="3345" max="3345" width="10.28515625" customWidth="1"/>
    <col min="3346" max="3347" width="9.5703125" customWidth="1"/>
    <col min="3348" max="3348" width="11" customWidth="1"/>
    <col min="3349" max="3351" width="10.85546875" customWidth="1"/>
    <col min="3585" max="3585" width="3" customWidth="1"/>
    <col min="3586" max="3586" width="48.42578125" customWidth="1"/>
    <col min="3587" max="3599" width="10.42578125" customWidth="1"/>
    <col min="3600" max="3600" width="9.7109375" customWidth="1"/>
    <col min="3601" max="3601" width="10.28515625" customWidth="1"/>
    <col min="3602" max="3603" width="9.5703125" customWidth="1"/>
    <col min="3604" max="3604" width="11" customWidth="1"/>
    <col min="3605" max="3607" width="10.85546875" customWidth="1"/>
    <col min="3841" max="3841" width="3" customWidth="1"/>
    <col min="3842" max="3842" width="48.42578125" customWidth="1"/>
    <col min="3843" max="3855" width="10.42578125" customWidth="1"/>
    <col min="3856" max="3856" width="9.7109375" customWidth="1"/>
    <col min="3857" max="3857" width="10.28515625" customWidth="1"/>
    <col min="3858" max="3859" width="9.5703125" customWidth="1"/>
    <col min="3860" max="3860" width="11" customWidth="1"/>
    <col min="3861" max="3863" width="10.85546875" customWidth="1"/>
    <col min="4097" max="4097" width="3" customWidth="1"/>
    <col min="4098" max="4098" width="48.42578125" customWidth="1"/>
    <col min="4099" max="4111" width="10.42578125" customWidth="1"/>
    <col min="4112" max="4112" width="9.7109375" customWidth="1"/>
    <col min="4113" max="4113" width="10.28515625" customWidth="1"/>
    <col min="4114" max="4115" width="9.5703125" customWidth="1"/>
    <col min="4116" max="4116" width="11" customWidth="1"/>
    <col min="4117" max="4119" width="10.85546875" customWidth="1"/>
    <col min="4353" max="4353" width="3" customWidth="1"/>
    <col min="4354" max="4354" width="48.42578125" customWidth="1"/>
    <col min="4355" max="4367" width="10.42578125" customWidth="1"/>
    <col min="4368" max="4368" width="9.7109375" customWidth="1"/>
    <col min="4369" max="4369" width="10.28515625" customWidth="1"/>
    <col min="4370" max="4371" width="9.5703125" customWidth="1"/>
    <col min="4372" max="4372" width="11" customWidth="1"/>
    <col min="4373" max="4375" width="10.85546875" customWidth="1"/>
    <col min="4609" max="4609" width="3" customWidth="1"/>
    <col min="4610" max="4610" width="48.42578125" customWidth="1"/>
    <col min="4611" max="4623" width="10.42578125" customWidth="1"/>
    <col min="4624" max="4624" width="9.7109375" customWidth="1"/>
    <col min="4625" max="4625" width="10.28515625" customWidth="1"/>
    <col min="4626" max="4627" width="9.5703125" customWidth="1"/>
    <col min="4628" max="4628" width="11" customWidth="1"/>
    <col min="4629" max="4631" width="10.85546875" customWidth="1"/>
    <col min="4865" max="4865" width="3" customWidth="1"/>
    <col min="4866" max="4866" width="48.42578125" customWidth="1"/>
    <col min="4867" max="4879" width="10.42578125" customWidth="1"/>
    <col min="4880" max="4880" width="9.7109375" customWidth="1"/>
    <col min="4881" max="4881" width="10.28515625" customWidth="1"/>
    <col min="4882" max="4883" width="9.5703125" customWidth="1"/>
    <col min="4884" max="4884" width="11" customWidth="1"/>
    <col min="4885" max="4887" width="10.85546875" customWidth="1"/>
    <col min="5121" max="5121" width="3" customWidth="1"/>
    <col min="5122" max="5122" width="48.42578125" customWidth="1"/>
    <col min="5123" max="5135" width="10.42578125" customWidth="1"/>
    <col min="5136" max="5136" width="9.7109375" customWidth="1"/>
    <col min="5137" max="5137" width="10.28515625" customWidth="1"/>
    <col min="5138" max="5139" width="9.5703125" customWidth="1"/>
    <col min="5140" max="5140" width="11" customWidth="1"/>
    <col min="5141" max="5143" width="10.85546875" customWidth="1"/>
    <col min="5377" max="5377" width="3" customWidth="1"/>
    <col min="5378" max="5378" width="48.42578125" customWidth="1"/>
    <col min="5379" max="5391" width="10.42578125" customWidth="1"/>
    <col min="5392" max="5392" width="9.7109375" customWidth="1"/>
    <col min="5393" max="5393" width="10.28515625" customWidth="1"/>
    <col min="5394" max="5395" width="9.5703125" customWidth="1"/>
    <col min="5396" max="5396" width="11" customWidth="1"/>
    <col min="5397" max="5399" width="10.85546875" customWidth="1"/>
    <col min="5633" max="5633" width="3" customWidth="1"/>
    <col min="5634" max="5634" width="48.42578125" customWidth="1"/>
    <col min="5635" max="5647" width="10.42578125" customWidth="1"/>
    <col min="5648" max="5648" width="9.7109375" customWidth="1"/>
    <col min="5649" max="5649" width="10.28515625" customWidth="1"/>
    <col min="5650" max="5651" width="9.5703125" customWidth="1"/>
    <col min="5652" max="5652" width="11" customWidth="1"/>
    <col min="5653" max="5655" width="10.85546875" customWidth="1"/>
    <col min="5889" max="5889" width="3" customWidth="1"/>
    <col min="5890" max="5890" width="48.42578125" customWidth="1"/>
    <col min="5891" max="5903" width="10.42578125" customWidth="1"/>
    <col min="5904" max="5904" width="9.7109375" customWidth="1"/>
    <col min="5905" max="5905" width="10.28515625" customWidth="1"/>
    <col min="5906" max="5907" width="9.5703125" customWidth="1"/>
    <col min="5908" max="5908" width="11" customWidth="1"/>
    <col min="5909" max="5911" width="10.85546875" customWidth="1"/>
    <col min="6145" max="6145" width="3" customWidth="1"/>
    <col min="6146" max="6146" width="48.42578125" customWidth="1"/>
    <col min="6147" max="6159" width="10.42578125" customWidth="1"/>
    <col min="6160" max="6160" width="9.7109375" customWidth="1"/>
    <col min="6161" max="6161" width="10.28515625" customWidth="1"/>
    <col min="6162" max="6163" width="9.5703125" customWidth="1"/>
    <col min="6164" max="6164" width="11" customWidth="1"/>
    <col min="6165" max="6167" width="10.85546875" customWidth="1"/>
    <col min="6401" max="6401" width="3" customWidth="1"/>
    <col min="6402" max="6402" width="48.42578125" customWidth="1"/>
    <col min="6403" max="6415" width="10.42578125" customWidth="1"/>
    <col min="6416" max="6416" width="9.7109375" customWidth="1"/>
    <col min="6417" max="6417" width="10.28515625" customWidth="1"/>
    <col min="6418" max="6419" width="9.5703125" customWidth="1"/>
    <col min="6420" max="6420" width="11" customWidth="1"/>
    <col min="6421" max="6423" width="10.85546875" customWidth="1"/>
    <col min="6657" max="6657" width="3" customWidth="1"/>
    <col min="6658" max="6658" width="48.42578125" customWidth="1"/>
    <col min="6659" max="6671" width="10.42578125" customWidth="1"/>
    <col min="6672" max="6672" width="9.7109375" customWidth="1"/>
    <col min="6673" max="6673" width="10.28515625" customWidth="1"/>
    <col min="6674" max="6675" width="9.5703125" customWidth="1"/>
    <col min="6676" max="6676" width="11" customWidth="1"/>
    <col min="6677" max="6679" width="10.85546875" customWidth="1"/>
    <col min="6913" max="6913" width="3" customWidth="1"/>
    <col min="6914" max="6914" width="48.42578125" customWidth="1"/>
    <col min="6915" max="6927" width="10.42578125" customWidth="1"/>
    <col min="6928" max="6928" width="9.7109375" customWidth="1"/>
    <col min="6929" max="6929" width="10.28515625" customWidth="1"/>
    <col min="6930" max="6931" width="9.5703125" customWidth="1"/>
    <col min="6932" max="6932" width="11" customWidth="1"/>
    <col min="6933" max="6935" width="10.85546875" customWidth="1"/>
    <col min="7169" max="7169" width="3" customWidth="1"/>
    <col min="7170" max="7170" width="48.42578125" customWidth="1"/>
    <col min="7171" max="7183" width="10.42578125" customWidth="1"/>
    <col min="7184" max="7184" width="9.7109375" customWidth="1"/>
    <col min="7185" max="7185" width="10.28515625" customWidth="1"/>
    <col min="7186" max="7187" width="9.5703125" customWidth="1"/>
    <col min="7188" max="7188" width="11" customWidth="1"/>
    <col min="7189" max="7191" width="10.85546875" customWidth="1"/>
    <col min="7425" max="7425" width="3" customWidth="1"/>
    <col min="7426" max="7426" width="48.42578125" customWidth="1"/>
    <col min="7427" max="7439" width="10.42578125" customWidth="1"/>
    <col min="7440" max="7440" width="9.7109375" customWidth="1"/>
    <col min="7441" max="7441" width="10.28515625" customWidth="1"/>
    <col min="7442" max="7443" width="9.5703125" customWidth="1"/>
    <col min="7444" max="7444" width="11" customWidth="1"/>
    <col min="7445" max="7447" width="10.85546875" customWidth="1"/>
    <col min="7681" max="7681" width="3" customWidth="1"/>
    <col min="7682" max="7682" width="48.42578125" customWidth="1"/>
    <col min="7683" max="7695" width="10.42578125" customWidth="1"/>
    <col min="7696" max="7696" width="9.7109375" customWidth="1"/>
    <col min="7697" max="7697" width="10.28515625" customWidth="1"/>
    <col min="7698" max="7699" width="9.5703125" customWidth="1"/>
    <col min="7700" max="7700" width="11" customWidth="1"/>
    <col min="7701" max="7703" width="10.85546875" customWidth="1"/>
    <col min="7937" max="7937" width="3" customWidth="1"/>
    <col min="7938" max="7938" width="48.42578125" customWidth="1"/>
    <col min="7939" max="7951" width="10.42578125" customWidth="1"/>
    <col min="7952" max="7952" width="9.7109375" customWidth="1"/>
    <col min="7953" max="7953" width="10.28515625" customWidth="1"/>
    <col min="7954" max="7955" width="9.5703125" customWidth="1"/>
    <col min="7956" max="7956" width="11" customWidth="1"/>
    <col min="7957" max="7959" width="10.85546875" customWidth="1"/>
    <col min="8193" max="8193" width="3" customWidth="1"/>
    <col min="8194" max="8194" width="48.42578125" customWidth="1"/>
    <col min="8195" max="8207" width="10.42578125" customWidth="1"/>
    <col min="8208" max="8208" width="9.7109375" customWidth="1"/>
    <col min="8209" max="8209" width="10.28515625" customWidth="1"/>
    <col min="8210" max="8211" width="9.5703125" customWidth="1"/>
    <col min="8212" max="8212" width="11" customWidth="1"/>
    <col min="8213" max="8215" width="10.85546875" customWidth="1"/>
    <col min="8449" max="8449" width="3" customWidth="1"/>
    <col min="8450" max="8450" width="48.42578125" customWidth="1"/>
    <col min="8451" max="8463" width="10.42578125" customWidth="1"/>
    <col min="8464" max="8464" width="9.7109375" customWidth="1"/>
    <col min="8465" max="8465" width="10.28515625" customWidth="1"/>
    <col min="8466" max="8467" width="9.5703125" customWidth="1"/>
    <col min="8468" max="8468" width="11" customWidth="1"/>
    <col min="8469" max="8471" width="10.85546875" customWidth="1"/>
    <col min="8705" max="8705" width="3" customWidth="1"/>
    <col min="8706" max="8706" width="48.42578125" customWidth="1"/>
    <col min="8707" max="8719" width="10.42578125" customWidth="1"/>
    <col min="8720" max="8720" width="9.7109375" customWidth="1"/>
    <col min="8721" max="8721" width="10.28515625" customWidth="1"/>
    <col min="8722" max="8723" width="9.5703125" customWidth="1"/>
    <col min="8724" max="8724" width="11" customWidth="1"/>
    <col min="8725" max="8727" width="10.85546875" customWidth="1"/>
    <col min="8961" max="8961" width="3" customWidth="1"/>
    <col min="8962" max="8962" width="48.42578125" customWidth="1"/>
    <col min="8963" max="8975" width="10.42578125" customWidth="1"/>
    <col min="8976" max="8976" width="9.7109375" customWidth="1"/>
    <col min="8977" max="8977" width="10.28515625" customWidth="1"/>
    <col min="8978" max="8979" width="9.5703125" customWidth="1"/>
    <col min="8980" max="8980" width="11" customWidth="1"/>
    <col min="8981" max="8983" width="10.85546875" customWidth="1"/>
    <col min="9217" max="9217" width="3" customWidth="1"/>
    <col min="9218" max="9218" width="48.42578125" customWidth="1"/>
    <col min="9219" max="9231" width="10.42578125" customWidth="1"/>
    <col min="9232" max="9232" width="9.7109375" customWidth="1"/>
    <col min="9233" max="9233" width="10.28515625" customWidth="1"/>
    <col min="9234" max="9235" width="9.5703125" customWidth="1"/>
    <col min="9236" max="9236" width="11" customWidth="1"/>
    <col min="9237" max="9239" width="10.85546875" customWidth="1"/>
    <col min="9473" max="9473" width="3" customWidth="1"/>
    <col min="9474" max="9474" width="48.42578125" customWidth="1"/>
    <col min="9475" max="9487" width="10.42578125" customWidth="1"/>
    <col min="9488" max="9488" width="9.7109375" customWidth="1"/>
    <col min="9489" max="9489" width="10.28515625" customWidth="1"/>
    <col min="9490" max="9491" width="9.5703125" customWidth="1"/>
    <col min="9492" max="9492" width="11" customWidth="1"/>
    <col min="9493" max="9495" width="10.85546875" customWidth="1"/>
    <col min="9729" max="9729" width="3" customWidth="1"/>
    <col min="9730" max="9730" width="48.42578125" customWidth="1"/>
    <col min="9731" max="9743" width="10.42578125" customWidth="1"/>
    <col min="9744" max="9744" width="9.7109375" customWidth="1"/>
    <col min="9745" max="9745" width="10.28515625" customWidth="1"/>
    <col min="9746" max="9747" width="9.5703125" customWidth="1"/>
    <col min="9748" max="9748" width="11" customWidth="1"/>
    <col min="9749" max="9751" width="10.85546875" customWidth="1"/>
    <col min="9985" max="9985" width="3" customWidth="1"/>
    <col min="9986" max="9986" width="48.42578125" customWidth="1"/>
    <col min="9987" max="9999" width="10.42578125" customWidth="1"/>
    <col min="10000" max="10000" width="9.7109375" customWidth="1"/>
    <col min="10001" max="10001" width="10.28515625" customWidth="1"/>
    <col min="10002" max="10003" width="9.5703125" customWidth="1"/>
    <col min="10004" max="10004" width="11" customWidth="1"/>
    <col min="10005" max="10007" width="10.85546875" customWidth="1"/>
    <col min="10241" max="10241" width="3" customWidth="1"/>
    <col min="10242" max="10242" width="48.42578125" customWidth="1"/>
    <col min="10243" max="10255" width="10.42578125" customWidth="1"/>
    <col min="10256" max="10256" width="9.7109375" customWidth="1"/>
    <col min="10257" max="10257" width="10.28515625" customWidth="1"/>
    <col min="10258" max="10259" width="9.5703125" customWidth="1"/>
    <col min="10260" max="10260" width="11" customWidth="1"/>
    <col min="10261" max="10263" width="10.85546875" customWidth="1"/>
    <col min="10497" max="10497" width="3" customWidth="1"/>
    <col min="10498" max="10498" width="48.42578125" customWidth="1"/>
    <col min="10499" max="10511" width="10.42578125" customWidth="1"/>
    <col min="10512" max="10512" width="9.7109375" customWidth="1"/>
    <col min="10513" max="10513" width="10.28515625" customWidth="1"/>
    <col min="10514" max="10515" width="9.5703125" customWidth="1"/>
    <col min="10516" max="10516" width="11" customWidth="1"/>
    <col min="10517" max="10519" width="10.85546875" customWidth="1"/>
    <col min="10753" max="10753" width="3" customWidth="1"/>
    <col min="10754" max="10754" width="48.42578125" customWidth="1"/>
    <col min="10755" max="10767" width="10.42578125" customWidth="1"/>
    <col min="10768" max="10768" width="9.7109375" customWidth="1"/>
    <col min="10769" max="10769" width="10.28515625" customWidth="1"/>
    <col min="10770" max="10771" width="9.5703125" customWidth="1"/>
    <col min="10772" max="10772" width="11" customWidth="1"/>
    <col min="10773" max="10775" width="10.85546875" customWidth="1"/>
    <col min="11009" max="11009" width="3" customWidth="1"/>
    <col min="11010" max="11010" width="48.42578125" customWidth="1"/>
    <col min="11011" max="11023" width="10.42578125" customWidth="1"/>
    <col min="11024" max="11024" width="9.7109375" customWidth="1"/>
    <col min="11025" max="11025" width="10.28515625" customWidth="1"/>
    <col min="11026" max="11027" width="9.5703125" customWidth="1"/>
    <col min="11028" max="11028" width="11" customWidth="1"/>
    <col min="11029" max="11031" width="10.85546875" customWidth="1"/>
    <col min="11265" max="11265" width="3" customWidth="1"/>
    <col min="11266" max="11266" width="48.42578125" customWidth="1"/>
    <col min="11267" max="11279" width="10.42578125" customWidth="1"/>
    <col min="11280" max="11280" width="9.7109375" customWidth="1"/>
    <col min="11281" max="11281" width="10.28515625" customWidth="1"/>
    <col min="11282" max="11283" width="9.5703125" customWidth="1"/>
    <col min="11284" max="11284" width="11" customWidth="1"/>
    <col min="11285" max="11287" width="10.85546875" customWidth="1"/>
    <col min="11521" max="11521" width="3" customWidth="1"/>
    <col min="11522" max="11522" width="48.42578125" customWidth="1"/>
    <col min="11523" max="11535" width="10.42578125" customWidth="1"/>
    <col min="11536" max="11536" width="9.7109375" customWidth="1"/>
    <col min="11537" max="11537" width="10.28515625" customWidth="1"/>
    <col min="11538" max="11539" width="9.5703125" customWidth="1"/>
    <col min="11540" max="11540" width="11" customWidth="1"/>
    <col min="11541" max="11543" width="10.85546875" customWidth="1"/>
    <col min="11777" max="11777" width="3" customWidth="1"/>
    <col min="11778" max="11778" width="48.42578125" customWidth="1"/>
    <col min="11779" max="11791" width="10.42578125" customWidth="1"/>
    <col min="11792" max="11792" width="9.7109375" customWidth="1"/>
    <col min="11793" max="11793" width="10.28515625" customWidth="1"/>
    <col min="11794" max="11795" width="9.5703125" customWidth="1"/>
    <col min="11796" max="11796" width="11" customWidth="1"/>
    <col min="11797" max="11799" width="10.85546875" customWidth="1"/>
    <col min="12033" max="12033" width="3" customWidth="1"/>
    <col min="12034" max="12034" width="48.42578125" customWidth="1"/>
    <col min="12035" max="12047" width="10.42578125" customWidth="1"/>
    <col min="12048" max="12048" width="9.7109375" customWidth="1"/>
    <col min="12049" max="12049" width="10.28515625" customWidth="1"/>
    <col min="12050" max="12051" width="9.5703125" customWidth="1"/>
    <col min="12052" max="12052" width="11" customWidth="1"/>
    <col min="12053" max="12055" width="10.85546875" customWidth="1"/>
    <col min="12289" max="12289" width="3" customWidth="1"/>
    <col min="12290" max="12290" width="48.42578125" customWidth="1"/>
    <col min="12291" max="12303" width="10.42578125" customWidth="1"/>
    <col min="12304" max="12304" width="9.7109375" customWidth="1"/>
    <col min="12305" max="12305" width="10.28515625" customWidth="1"/>
    <col min="12306" max="12307" width="9.5703125" customWidth="1"/>
    <col min="12308" max="12308" width="11" customWidth="1"/>
    <col min="12309" max="12311" width="10.85546875" customWidth="1"/>
    <col min="12545" max="12545" width="3" customWidth="1"/>
    <col min="12546" max="12546" width="48.42578125" customWidth="1"/>
    <col min="12547" max="12559" width="10.42578125" customWidth="1"/>
    <col min="12560" max="12560" width="9.7109375" customWidth="1"/>
    <col min="12561" max="12561" width="10.28515625" customWidth="1"/>
    <col min="12562" max="12563" width="9.5703125" customWidth="1"/>
    <col min="12564" max="12564" width="11" customWidth="1"/>
    <col min="12565" max="12567" width="10.85546875" customWidth="1"/>
    <col min="12801" max="12801" width="3" customWidth="1"/>
    <col min="12802" max="12802" width="48.42578125" customWidth="1"/>
    <col min="12803" max="12815" width="10.42578125" customWidth="1"/>
    <col min="12816" max="12816" width="9.7109375" customWidth="1"/>
    <col min="12817" max="12817" width="10.28515625" customWidth="1"/>
    <col min="12818" max="12819" width="9.5703125" customWidth="1"/>
    <col min="12820" max="12820" width="11" customWidth="1"/>
    <col min="12821" max="12823" width="10.85546875" customWidth="1"/>
    <col min="13057" max="13057" width="3" customWidth="1"/>
    <col min="13058" max="13058" width="48.42578125" customWidth="1"/>
    <col min="13059" max="13071" width="10.42578125" customWidth="1"/>
    <col min="13072" max="13072" width="9.7109375" customWidth="1"/>
    <col min="13073" max="13073" width="10.28515625" customWidth="1"/>
    <col min="13074" max="13075" width="9.5703125" customWidth="1"/>
    <col min="13076" max="13076" width="11" customWidth="1"/>
    <col min="13077" max="13079" width="10.85546875" customWidth="1"/>
    <col min="13313" max="13313" width="3" customWidth="1"/>
    <col min="13314" max="13314" width="48.42578125" customWidth="1"/>
    <col min="13315" max="13327" width="10.42578125" customWidth="1"/>
    <col min="13328" max="13328" width="9.7109375" customWidth="1"/>
    <col min="13329" max="13329" width="10.28515625" customWidth="1"/>
    <col min="13330" max="13331" width="9.5703125" customWidth="1"/>
    <col min="13332" max="13332" width="11" customWidth="1"/>
    <col min="13333" max="13335" width="10.85546875" customWidth="1"/>
    <col min="13569" max="13569" width="3" customWidth="1"/>
    <col min="13570" max="13570" width="48.42578125" customWidth="1"/>
    <col min="13571" max="13583" width="10.42578125" customWidth="1"/>
    <col min="13584" max="13584" width="9.7109375" customWidth="1"/>
    <col min="13585" max="13585" width="10.28515625" customWidth="1"/>
    <col min="13586" max="13587" width="9.5703125" customWidth="1"/>
    <col min="13588" max="13588" width="11" customWidth="1"/>
    <col min="13589" max="13591" width="10.85546875" customWidth="1"/>
    <col min="13825" max="13825" width="3" customWidth="1"/>
    <col min="13826" max="13826" width="48.42578125" customWidth="1"/>
    <col min="13827" max="13839" width="10.42578125" customWidth="1"/>
    <col min="13840" max="13840" width="9.7109375" customWidth="1"/>
    <col min="13841" max="13841" width="10.28515625" customWidth="1"/>
    <col min="13842" max="13843" width="9.5703125" customWidth="1"/>
    <col min="13844" max="13844" width="11" customWidth="1"/>
    <col min="13845" max="13847" width="10.85546875" customWidth="1"/>
    <col min="14081" max="14081" width="3" customWidth="1"/>
    <col min="14082" max="14082" width="48.42578125" customWidth="1"/>
    <col min="14083" max="14095" width="10.42578125" customWidth="1"/>
    <col min="14096" max="14096" width="9.7109375" customWidth="1"/>
    <col min="14097" max="14097" width="10.28515625" customWidth="1"/>
    <col min="14098" max="14099" width="9.5703125" customWidth="1"/>
    <col min="14100" max="14100" width="11" customWidth="1"/>
    <col min="14101" max="14103" width="10.85546875" customWidth="1"/>
    <col min="14337" max="14337" width="3" customWidth="1"/>
    <col min="14338" max="14338" width="48.42578125" customWidth="1"/>
    <col min="14339" max="14351" width="10.42578125" customWidth="1"/>
    <col min="14352" max="14352" width="9.7109375" customWidth="1"/>
    <col min="14353" max="14353" width="10.28515625" customWidth="1"/>
    <col min="14354" max="14355" width="9.5703125" customWidth="1"/>
    <col min="14356" max="14356" width="11" customWidth="1"/>
    <col min="14357" max="14359" width="10.85546875" customWidth="1"/>
    <col min="14593" max="14593" width="3" customWidth="1"/>
    <col min="14594" max="14594" width="48.42578125" customWidth="1"/>
    <col min="14595" max="14607" width="10.42578125" customWidth="1"/>
    <col min="14608" max="14608" width="9.7109375" customWidth="1"/>
    <col min="14609" max="14609" width="10.28515625" customWidth="1"/>
    <col min="14610" max="14611" width="9.5703125" customWidth="1"/>
    <col min="14612" max="14612" width="11" customWidth="1"/>
    <col min="14613" max="14615" width="10.85546875" customWidth="1"/>
    <col min="14849" max="14849" width="3" customWidth="1"/>
    <col min="14850" max="14850" width="48.42578125" customWidth="1"/>
    <col min="14851" max="14863" width="10.42578125" customWidth="1"/>
    <col min="14864" max="14864" width="9.7109375" customWidth="1"/>
    <col min="14865" max="14865" width="10.28515625" customWidth="1"/>
    <col min="14866" max="14867" width="9.5703125" customWidth="1"/>
    <col min="14868" max="14868" width="11" customWidth="1"/>
    <col min="14869" max="14871" width="10.85546875" customWidth="1"/>
    <col min="15105" max="15105" width="3" customWidth="1"/>
    <col min="15106" max="15106" width="48.42578125" customWidth="1"/>
    <col min="15107" max="15119" width="10.42578125" customWidth="1"/>
    <col min="15120" max="15120" width="9.7109375" customWidth="1"/>
    <col min="15121" max="15121" width="10.28515625" customWidth="1"/>
    <col min="15122" max="15123" width="9.5703125" customWidth="1"/>
    <col min="15124" max="15124" width="11" customWidth="1"/>
    <col min="15125" max="15127" width="10.85546875" customWidth="1"/>
    <col min="15361" max="15361" width="3" customWidth="1"/>
    <col min="15362" max="15362" width="48.42578125" customWidth="1"/>
    <col min="15363" max="15375" width="10.42578125" customWidth="1"/>
    <col min="15376" max="15376" width="9.7109375" customWidth="1"/>
    <col min="15377" max="15377" width="10.28515625" customWidth="1"/>
    <col min="15378" max="15379" width="9.5703125" customWidth="1"/>
    <col min="15380" max="15380" width="11" customWidth="1"/>
    <col min="15381" max="15383" width="10.85546875" customWidth="1"/>
    <col min="15617" max="15617" width="3" customWidth="1"/>
    <col min="15618" max="15618" width="48.42578125" customWidth="1"/>
    <col min="15619" max="15631" width="10.42578125" customWidth="1"/>
    <col min="15632" max="15632" width="9.7109375" customWidth="1"/>
    <col min="15633" max="15633" width="10.28515625" customWidth="1"/>
    <col min="15634" max="15635" width="9.5703125" customWidth="1"/>
    <col min="15636" max="15636" width="11" customWidth="1"/>
    <col min="15637" max="15639" width="10.85546875" customWidth="1"/>
    <col min="15873" max="15873" width="3" customWidth="1"/>
    <col min="15874" max="15874" width="48.42578125" customWidth="1"/>
    <col min="15875" max="15887" width="10.42578125" customWidth="1"/>
    <col min="15888" max="15888" width="9.7109375" customWidth="1"/>
    <col min="15889" max="15889" width="10.28515625" customWidth="1"/>
    <col min="15890" max="15891" width="9.5703125" customWidth="1"/>
    <col min="15892" max="15892" width="11" customWidth="1"/>
    <col min="15893" max="15895" width="10.85546875" customWidth="1"/>
    <col min="16129" max="16129" width="3" customWidth="1"/>
    <col min="16130" max="16130" width="48.42578125" customWidth="1"/>
    <col min="16131" max="16143" width="10.42578125" customWidth="1"/>
    <col min="16144" max="16144" width="9.7109375" customWidth="1"/>
    <col min="16145" max="16145" width="10.28515625" customWidth="1"/>
    <col min="16146" max="16147" width="9.5703125" customWidth="1"/>
    <col min="16148" max="16148" width="11" customWidth="1"/>
    <col min="16149" max="16151" width="10.8554687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42" t="s">
        <v>18</v>
      </c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23" ht="13.5" customHeight="1" x14ac:dyDescent="0.25">
      <c r="A6" s="42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23" ht="16.5" customHeight="1" x14ac:dyDescent="0.25">
      <c r="A7" s="44" t="s">
        <v>19</v>
      </c>
      <c r="C7" s="43"/>
      <c r="D7" s="43"/>
      <c r="E7" s="43"/>
    </row>
    <row r="8" spans="1:23" s="45" customFormat="1" ht="13.5" customHeight="1" x14ac:dyDescent="0.25">
      <c r="A8" s="44" t="s">
        <v>20</v>
      </c>
      <c r="B8" s="41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23" ht="13.5" customHeight="1" x14ac:dyDescent="0.25">
      <c r="C9" s="47"/>
      <c r="D9" s="47"/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23" ht="13.5" customHeight="1" x14ac:dyDescent="0.25"/>
    <row r="11" spans="1:23" ht="13.5" customHeight="1" thickBot="1" x14ac:dyDescent="0.3">
      <c r="C11" s="50">
        <v>2000</v>
      </c>
      <c r="D11" s="50">
        <v>2001</v>
      </c>
      <c r="E11" s="50">
        <v>2002</v>
      </c>
      <c r="F11" s="50">
        <v>2003</v>
      </c>
      <c r="G11" s="50">
        <v>2004</v>
      </c>
      <c r="H11" s="50">
        <v>2005</v>
      </c>
      <c r="I11" s="50">
        <v>2006</v>
      </c>
      <c r="J11" s="50">
        <v>2007</v>
      </c>
      <c r="K11" s="50">
        <v>2008</v>
      </c>
      <c r="L11" s="50">
        <v>2009</v>
      </c>
      <c r="M11" s="50">
        <v>2010</v>
      </c>
      <c r="N11" s="50">
        <v>2011</v>
      </c>
      <c r="O11" s="50">
        <v>2012</v>
      </c>
      <c r="P11" s="50">
        <v>2013</v>
      </c>
      <c r="Q11" s="50">
        <v>2014</v>
      </c>
      <c r="R11" s="50">
        <v>2015</v>
      </c>
      <c r="S11" s="50">
        <v>2016</v>
      </c>
      <c r="T11" s="50">
        <v>2017</v>
      </c>
      <c r="U11" s="50">
        <v>2018</v>
      </c>
      <c r="V11" s="50">
        <v>2019</v>
      </c>
      <c r="W11" s="50">
        <v>2020</v>
      </c>
    </row>
    <row r="12" spans="1:23" ht="13.5" customHeight="1" x14ac:dyDescent="0.25"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 spans="1:23" s="51" customFormat="1" ht="13.5" customHeight="1" x14ac:dyDescent="0.2">
      <c r="B13" s="52" t="s">
        <v>21</v>
      </c>
      <c r="C13" s="53">
        <v>20.451991</v>
      </c>
      <c r="D13" s="53">
        <v>21.382764999999999</v>
      </c>
      <c r="E13" s="53">
        <v>20.348068000000001</v>
      </c>
      <c r="F13" s="53">
        <v>21.200074000000001</v>
      </c>
      <c r="G13" s="53">
        <v>21.947859000000001</v>
      </c>
      <c r="H13" s="53">
        <v>19.873763</v>
      </c>
      <c r="I13" s="53">
        <v>19.639804000000002</v>
      </c>
      <c r="J13" s="53">
        <v>18.815994</v>
      </c>
      <c r="K13" s="53">
        <v>19.18149</v>
      </c>
      <c r="L13" s="53">
        <v>19.965008999999998</v>
      </c>
      <c r="M13" s="53">
        <v>20.447106000000002</v>
      </c>
      <c r="N13" s="53">
        <v>19.801048000000002</v>
      </c>
      <c r="O13" s="53">
        <v>20.203538999999999</v>
      </c>
      <c r="P13" s="53">
        <v>19.920597000000001</v>
      </c>
      <c r="Q13" s="53">
        <v>19.216448</v>
      </c>
      <c r="R13" s="53">
        <v>19.158054</v>
      </c>
      <c r="S13" s="53">
        <v>17.298859</v>
      </c>
      <c r="T13" s="53">
        <v>17.363281000000001</v>
      </c>
      <c r="U13" s="53">
        <v>16.581827000000001</v>
      </c>
      <c r="V13" s="53">
        <v>16.785962999999999</v>
      </c>
      <c r="W13" s="53">
        <v>17.356068</v>
      </c>
    </row>
    <row r="14" spans="1:23" ht="13.5" customHeight="1" x14ac:dyDescent="0.25">
      <c r="B14" s="48"/>
    </row>
    <row r="15" spans="1:23" ht="13.5" customHeight="1" x14ac:dyDescent="0.25">
      <c r="B15" s="54" t="s">
        <v>22</v>
      </c>
    </row>
    <row r="16" spans="1:23" ht="13.5" customHeight="1" x14ac:dyDescent="0.25">
      <c r="B16" s="55" t="s">
        <v>23</v>
      </c>
      <c r="C16" s="56">
        <v>4290.8999999999996</v>
      </c>
      <c r="D16" s="56">
        <v>4374.75</v>
      </c>
      <c r="E16" s="56">
        <v>4450.24</v>
      </c>
      <c r="F16" s="56">
        <v>4519.01</v>
      </c>
      <c r="G16" s="56">
        <v>4590.99</v>
      </c>
      <c r="H16" s="56">
        <v>4673.54</v>
      </c>
      <c r="I16" s="56">
        <v>4736.82</v>
      </c>
      <c r="J16" s="56">
        <v>4802.2700000000004</v>
      </c>
      <c r="K16" s="56">
        <v>4878.3</v>
      </c>
      <c r="L16" s="56">
        <v>4950.67</v>
      </c>
      <c r="M16" s="56">
        <v>4962.134</v>
      </c>
      <c r="N16" s="56">
        <v>5023.8069999999998</v>
      </c>
      <c r="O16" s="56">
        <v>5097</v>
      </c>
      <c r="P16" s="56">
        <v>5136.7830000000004</v>
      </c>
      <c r="Q16" s="56">
        <v>5196</v>
      </c>
      <c r="R16" s="56">
        <v>5250</v>
      </c>
      <c r="S16" s="56">
        <v>5322</v>
      </c>
      <c r="T16" s="56">
        <v>5360</v>
      </c>
      <c r="U16" s="56">
        <v>5445.5</v>
      </c>
      <c r="V16" s="56">
        <v>5531</v>
      </c>
      <c r="W16" s="56">
        <v>5596.2179999999998</v>
      </c>
    </row>
    <row r="17" spans="1:23" ht="13.5" customHeight="1" x14ac:dyDescent="0.25">
      <c r="B17" s="48"/>
    </row>
    <row r="18" spans="1:23" s="51" customFormat="1" ht="13.5" customHeight="1" x14ac:dyDescent="0.2">
      <c r="B18" s="54" t="s">
        <v>24</v>
      </c>
      <c r="C18" s="53">
        <v>4.7663640000000003</v>
      </c>
      <c r="D18" s="53">
        <v>4.8877680000000003</v>
      </c>
      <c r="E18" s="53">
        <v>4.5723529999999997</v>
      </c>
      <c r="F18" s="53">
        <v>4.6913090000000004</v>
      </c>
      <c r="G18" s="53">
        <v>4.7806369999999996</v>
      </c>
      <c r="H18" s="53">
        <v>4.2523999999999997</v>
      </c>
      <c r="I18" s="53">
        <v>4.1462000000000003</v>
      </c>
      <c r="J18" s="53">
        <v>3.9181460000000001</v>
      </c>
      <c r="K18" s="53">
        <v>3.9320029999999999</v>
      </c>
      <c r="L18" s="53">
        <v>4.0327890000000002</v>
      </c>
      <c r="M18" s="53">
        <v>4.120628</v>
      </c>
      <c r="N18" s="53">
        <v>3.941443</v>
      </c>
      <c r="O18" s="53">
        <v>3.9638100000000001</v>
      </c>
      <c r="P18" s="53">
        <v>3.8780290000000002</v>
      </c>
      <c r="Q18" s="53">
        <v>3.6983160000000002</v>
      </c>
      <c r="R18" s="53">
        <v>3.6491530000000001</v>
      </c>
      <c r="S18" s="53">
        <v>3.2504430000000002</v>
      </c>
      <c r="T18" s="53">
        <v>3.2394180000000001</v>
      </c>
      <c r="U18" s="53">
        <v>3.045051</v>
      </c>
      <c r="V18" s="53">
        <v>3.0348869999999999</v>
      </c>
      <c r="W18" s="53">
        <v>3.1013920000000001</v>
      </c>
    </row>
    <row r="19" spans="1:23" ht="13.5" customHeight="1" x14ac:dyDescent="0.25">
      <c r="B19" s="48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13.5" customHeight="1" x14ac:dyDescent="0.25">
      <c r="B20" s="48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s="51" customFormat="1" ht="13.5" customHeight="1" x14ac:dyDescent="0.25">
      <c r="B21" s="58" t="s">
        <v>25</v>
      </c>
      <c r="C21" s="59" t="s">
        <v>26</v>
      </c>
      <c r="D21" s="59" t="s">
        <v>26</v>
      </c>
      <c r="E21" s="59" t="s">
        <v>26</v>
      </c>
      <c r="F21" s="59" t="s">
        <v>26</v>
      </c>
      <c r="G21" s="59" t="s">
        <v>26</v>
      </c>
      <c r="H21" s="59" t="s">
        <v>26</v>
      </c>
      <c r="I21" s="59" t="s">
        <v>26</v>
      </c>
      <c r="J21" s="59" t="s">
        <v>26</v>
      </c>
      <c r="K21" s="59" t="s">
        <v>26</v>
      </c>
      <c r="L21" s="59" t="s">
        <v>26</v>
      </c>
      <c r="M21" s="59" t="s">
        <v>26</v>
      </c>
      <c r="N21" s="59" t="s">
        <v>26</v>
      </c>
      <c r="O21" s="59" t="s">
        <v>26</v>
      </c>
      <c r="P21" s="59" t="s">
        <v>26</v>
      </c>
      <c r="Q21" s="59" t="s">
        <v>26</v>
      </c>
      <c r="R21" s="59" t="s">
        <v>26</v>
      </c>
      <c r="S21" s="59" t="s">
        <v>26</v>
      </c>
      <c r="T21" s="59" t="s">
        <v>26</v>
      </c>
      <c r="U21" s="59" t="s">
        <v>26</v>
      </c>
      <c r="V21" s="59" t="s">
        <v>26</v>
      </c>
      <c r="W21" s="59" t="s">
        <v>26</v>
      </c>
    </row>
    <row r="22" spans="1:23" s="51" customFormat="1" ht="13.5" customHeight="1" x14ac:dyDescent="0.2">
      <c r="B22" s="58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spans="1:23" ht="13.5" customHeight="1" x14ac:dyDescent="0.25">
      <c r="B23" s="48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s="51" customFormat="1" ht="13.5" customHeight="1" x14ac:dyDescent="0.2">
      <c r="B24" s="52" t="s">
        <v>27</v>
      </c>
      <c r="C24" s="53">
        <v>8.3869159999999994</v>
      </c>
      <c r="D24" s="53">
        <v>7.8824149999999999</v>
      </c>
      <c r="E24" s="53">
        <v>7.9604179999999998</v>
      </c>
      <c r="F24" s="53">
        <v>8.9469209999999997</v>
      </c>
      <c r="G24" s="53">
        <v>8.9387650000000001</v>
      </c>
      <c r="H24" s="53">
        <v>8.0356039999999993</v>
      </c>
      <c r="I24" s="53">
        <v>7.1033080000000002</v>
      </c>
      <c r="J24" s="53">
        <v>7.4895839999999998</v>
      </c>
      <c r="K24" s="53">
        <v>7.8529150000000003</v>
      </c>
      <c r="L24" s="53">
        <v>8.1803530000000002</v>
      </c>
      <c r="M24" s="53">
        <v>7.5935249999999996</v>
      </c>
      <c r="N24" s="53">
        <v>7.5387219999999999</v>
      </c>
      <c r="O24" s="53">
        <v>6.975498</v>
      </c>
      <c r="P24" s="53">
        <v>7.9740539999999998</v>
      </c>
      <c r="Q24" s="53">
        <v>8.3628830000000001</v>
      </c>
      <c r="R24" s="53">
        <v>7.704116</v>
      </c>
      <c r="S24" s="53">
        <v>6.6702170000000001</v>
      </c>
      <c r="T24" s="53">
        <v>6.9825900000000001</v>
      </c>
      <c r="U24" s="53">
        <v>6.6783669999999997</v>
      </c>
      <c r="V24" s="53">
        <v>7.0131920000000001</v>
      </c>
      <c r="W24" s="53">
        <v>6.3718599999999999</v>
      </c>
    </row>
    <row r="25" spans="1:23" ht="13.5" customHeight="1" x14ac:dyDescent="0.25"/>
    <row r="26" spans="1:23" ht="13.5" customHeight="1" x14ac:dyDescent="0.25">
      <c r="A26" s="41" t="s">
        <v>28</v>
      </c>
      <c r="B26"/>
    </row>
    <row r="27" spans="1:23" ht="13.5" customHeight="1" x14ac:dyDescent="0.25">
      <c r="A27" s="41" t="s">
        <v>29</v>
      </c>
    </row>
    <row r="28" spans="1:23" ht="13.5" customHeight="1" x14ac:dyDescent="0.25"/>
    <row r="29" spans="1:23" ht="13.5" customHeight="1" x14ac:dyDescent="0.25"/>
    <row r="30" spans="1:23" ht="13.5" customHeight="1" x14ac:dyDescent="0.25"/>
    <row r="31" spans="1:23" ht="13.5" customHeight="1" x14ac:dyDescent="0.25"/>
    <row r="32" spans="1:23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E701-A66C-453C-A42D-5AE6BBB2CF5D}">
  <dimension ref="A1:W74"/>
  <sheetViews>
    <sheetView topLeftCell="A7" zoomScale="85" zoomScaleNormal="85" workbookViewId="0">
      <selection activeCell="B18" sqref="B18"/>
    </sheetView>
  </sheetViews>
  <sheetFormatPr defaultRowHeight="15" x14ac:dyDescent="0.25"/>
  <sheetData>
    <row r="1" spans="1:23" x14ac:dyDescent="0.2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5" spans="1:23" ht="18" x14ac:dyDescent="0.25">
      <c r="A5" s="73" t="s">
        <v>18</v>
      </c>
      <c r="B5" s="71"/>
      <c r="C5" s="71"/>
      <c r="D5" s="71"/>
      <c r="E5" s="71"/>
      <c r="F5" s="74"/>
      <c r="G5" s="74"/>
      <c r="H5" s="74"/>
      <c r="I5" s="74"/>
      <c r="J5" s="74"/>
      <c r="K5" s="74"/>
      <c r="L5" s="74"/>
      <c r="M5" s="74"/>
      <c r="N5" s="74"/>
      <c r="O5" s="74"/>
      <c r="P5" s="71"/>
      <c r="Q5" s="71"/>
      <c r="R5" s="71"/>
      <c r="S5" s="71"/>
      <c r="T5" s="71"/>
      <c r="U5" s="71"/>
      <c r="V5" s="71"/>
      <c r="W5" s="71"/>
    </row>
    <row r="6" spans="1:23" ht="18" x14ac:dyDescent="0.25">
      <c r="A6" s="73"/>
      <c r="B6" s="71"/>
      <c r="C6" s="71"/>
      <c r="D6" s="71"/>
      <c r="E6" s="71"/>
      <c r="F6" s="74"/>
      <c r="G6" s="74"/>
      <c r="H6" s="74"/>
      <c r="I6" s="74"/>
      <c r="J6" s="74"/>
      <c r="K6" s="74"/>
      <c r="L6" s="74"/>
      <c r="M6" s="74"/>
      <c r="N6" s="74"/>
      <c r="O6" s="74"/>
      <c r="P6" s="71"/>
      <c r="Q6" s="71"/>
      <c r="R6" s="71"/>
      <c r="S6" s="71"/>
      <c r="T6" s="71"/>
      <c r="U6" s="71"/>
      <c r="V6" s="71"/>
      <c r="W6" s="71"/>
    </row>
    <row r="7" spans="1:23" ht="15.75" x14ac:dyDescent="0.25">
      <c r="A7" s="75" t="s">
        <v>49</v>
      </c>
      <c r="B7" s="71"/>
      <c r="C7" s="74"/>
      <c r="D7" s="74"/>
      <c r="E7" s="74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</row>
    <row r="8" spans="1:23" ht="15.75" x14ac:dyDescent="0.25">
      <c r="A8" s="75" t="s">
        <v>50</v>
      </c>
      <c r="B8" s="72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</row>
    <row r="9" spans="1:23" ht="15.75" x14ac:dyDescent="0.25">
      <c r="A9" s="71"/>
      <c r="B9" s="71"/>
      <c r="C9" s="77"/>
      <c r="D9" s="77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</row>
    <row r="10" spans="1:23" x14ac:dyDescent="0.2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spans="1:23" ht="15.75" thickBot="1" x14ac:dyDescent="0.3">
      <c r="A11" s="71"/>
      <c r="B11" s="71"/>
      <c r="C11" s="78">
        <v>2000</v>
      </c>
      <c r="D11" s="78">
        <v>2001</v>
      </c>
      <c r="E11" s="78">
        <v>2002</v>
      </c>
      <c r="F11" s="78">
        <v>2003</v>
      </c>
      <c r="G11" s="78">
        <v>2004</v>
      </c>
      <c r="H11" s="78">
        <v>2005</v>
      </c>
      <c r="I11" s="78">
        <v>2006</v>
      </c>
      <c r="J11" s="78">
        <v>2007</v>
      </c>
      <c r="K11" s="78">
        <v>2008</v>
      </c>
      <c r="L11" s="78">
        <v>2009</v>
      </c>
      <c r="M11" s="78">
        <v>2010</v>
      </c>
      <c r="N11" s="78">
        <v>2011</v>
      </c>
      <c r="O11" s="78">
        <v>2012</v>
      </c>
      <c r="P11" s="78">
        <v>2013</v>
      </c>
      <c r="Q11" s="78">
        <v>2014</v>
      </c>
      <c r="R11" s="78">
        <v>2015</v>
      </c>
      <c r="S11" s="78">
        <v>2016</v>
      </c>
      <c r="T11" s="78">
        <v>2017</v>
      </c>
      <c r="U11" s="78">
        <v>2018</v>
      </c>
      <c r="V11" s="78">
        <v>2019</v>
      </c>
      <c r="W11" s="78">
        <v>2020</v>
      </c>
    </row>
    <row r="12" spans="1:23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</row>
    <row r="13" spans="1:23" x14ac:dyDescent="0.25">
      <c r="A13" s="79"/>
      <c r="B13" s="80" t="s">
        <v>23</v>
      </c>
      <c r="C13" s="81">
        <v>4290.8999999999996</v>
      </c>
      <c r="D13" s="81">
        <v>4374.75</v>
      </c>
      <c r="E13" s="81">
        <v>4450.24</v>
      </c>
      <c r="F13" s="81">
        <v>4519.01</v>
      </c>
      <c r="G13" s="81">
        <v>4590.99</v>
      </c>
      <c r="H13" s="81">
        <v>4673.54</v>
      </c>
      <c r="I13" s="81">
        <v>4736.82</v>
      </c>
      <c r="J13" s="81">
        <v>4802.2700000000004</v>
      </c>
      <c r="K13" s="81">
        <v>4878.3</v>
      </c>
      <c r="L13" s="81">
        <v>4950.67</v>
      </c>
      <c r="M13" s="81">
        <v>4962.134</v>
      </c>
      <c r="N13" s="81">
        <v>5023.8069999999998</v>
      </c>
      <c r="O13" s="81">
        <v>5097</v>
      </c>
      <c r="P13" s="81">
        <v>5136.7830000000004</v>
      </c>
      <c r="Q13" s="81">
        <v>5196</v>
      </c>
      <c r="R13" s="81">
        <v>5250</v>
      </c>
      <c r="S13" s="81">
        <v>5322</v>
      </c>
      <c r="T13" s="81">
        <v>5360</v>
      </c>
      <c r="U13" s="81">
        <v>5445.5</v>
      </c>
      <c r="V13" s="81">
        <v>5531</v>
      </c>
      <c r="W13" s="81">
        <v>5596.2179999999998</v>
      </c>
    </row>
    <row r="14" spans="1:23" ht="77.25" x14ac:dyDescent="0.25">
      <c r="A14" s="71"/>
      <c r="B14" s="82" t="s">
        <v>51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</row>
    <row r="15" spans="1:23" x14ac:dyDescent="0.25">
      <c r="A15" s="71"/>
      <c r="B15" s="84" t="s">
        <v>52</v>
      </c>
      <c r="C15" s="83">
        <v>2415.8319999999999</v>
      </c>
      <c r="D15" s="83">
        <v>2462.7049999999999</v>
      </c>
      <c r="E15" s="83">
        <v>2504.8710000000001</v>
      </c>
      <c r="F15" s="83">
        <v>2543.2530000000002</v>
      </c>
      <c r="G15" s="83">
        <v>2583.442</v>
      </c>
      <c r="H15" s="83">
        <v>2629.5770000000002</v>
      </c>
      <c r="I15" s="83">
        <v>2664.8690000000001</v>
      </c>
      <c r="J15" s="83">
        <v>2701.3820000000001</v>
      </c>
      <c r="K15" s="83">
        <v>2743.8470000000002</v>
      </c>
      <c r="L15" s="83">
        <v>2784.252</v>
      </c>
      <c r="M15" s="83">
        <v>2790.4059999999999</v>
      </c>
      <c r="N15" s="83">
        <v>2824.7979999999998</v>
      </c>
      <c r="O15" s="83">
        <v>2865.6680000000001</v>
      </c>
      <c r="P15" s="83">
        <v>2887.7550000000001</v>
      </c>
      <c r="Q15" s="83">
        <v>2920.7689999999998</v>
      </c>
      <c r="R15" s="83">
        <v>2950.8519999999999</v>
      </c>
      <c r="S15" s="83">
        <v>2991.0520000000001</v>
      </c>
      <c r="T15" s="83">
        <v>3012.1439999999998</v>
      </c>
      <c r="U15" s="83">
        <v>3059.931</v>
      </c>
      <c r="V15" s="83">
        <v>3107.7159999999999</v>
      </c>
      <c r="W15" s="83">
        <v>3144.1039999999998</v>
      </c>
    </row>
    <row r="16" spans="1:23" x14ac:dyDescent="0.25">
      <c r="A16" s="71"/>
      <c r="B16" s="84" t="s">
        <v>53</v>
      </c>
      <c r="C16" s="83">
        <v>597.75099999999998</v>
      </c>
      <c r="D16" s="83">
        <v>613.99300000000005</v>
      </c>
      <c r="E16" s="83">
        <v>629.08799999999997</v>
      </c>
      <c r="F16" s="83">
        <v>643.24400000000003</v>
      </c>
      <c r="G16" s="83">
        <v>657.86300000000006</v>
      </c>
      <c r="H16" s="83">
        <v>674.01499999999999</v>
      </c>
      <c r="I16" s="83">
        <v>687.399</v>
      </c>
      <c r="J16" s="83">
        <v>701.09199999999998</v>
      </c>
      <c r="K16" s="83">
        <v>716.33600000000001</v>
      </c>
      <c r="L16" s="83">
        <v>731.05399999999997</v>
      </c>
      <c r="M16" s="83">
        <v>736.73699999999997</v>
      </c>
      <c r="N16" s="83">
        <v>749.827</v>
      </c>
      <c r="O16" s="83">
        <v>764.63599999999997</v>
      </c>
      <c r="P16" s="83">
        <v>774.41899999999998</v>
      </c>
      <c r="Q16" s="83">
        <v>787.10699999999997</v>
      </c>
      <c r="R16" s="83">
        <v>798.99099999999999</v>
      </c>
      <c r="S16" s="83">
        <v>813.61</v>
      </c>
      <c r="T16" s="83">
        <v>823.01499999999999</v>
      </c>
      <c r="U16" s="83">
        <v>839.70899999999995</v>
      </c>
      <c r="V16" s="83">
        <v>856.428</v>
      </c>
      <c r="W16" s="83">
        <v>870.01800000000003</v>
      </c>
    </row>
    <row r="17" spans="2:23" x14ac:dyDescent="0.25">
      <c r="B17" s="84" t="s">
        <v>54</v>
      </c>
      <c r="C17" s="83">
        <v>1255.377</v>
      </c>
      <c r="D17" s="83">
        <v>1276.4690000000001</v>
      </c>
      <c r="E17" s="83">
        <v>1295.1030000000001</v>
      </c>
      <c r="F17" s="83">
        <v>1311.7729999999999</v>
      </c>
      <c r="G17" s="83">
        <v>1329.37</v>
      </c>
      <c r="H17" s="83">
        <v>1350.0129999999999</v>
      </c>
      <c r="I17" s="83">
        <v>1365.0820000000001</v>
      </c>
      <c r="J17" s="83">
        <v>1380.78</v>
      </c>
      <c r="K17" s="83">
        <v>1399.5160000000001</v>
      </c>
      <c r="L17" s="83">
        <v>1417.194</v>
      </c>
      <c r="M17" s="83">
        <v>1417.4670000000001</v>
      </c>
      <c r="N17" s="83">
        <v>1432.1189999999999</v>
      </c>
      <c r="O17" s="83">
        <v>1450.0540000000001</v>
      </c>
      <c r="P17" s="83">
        <v>1458.4949999999999</v>
      </c>
      <c r="Q17" s="83">
        <v>1472.4739999999999</v>
      </c>
      <c r="R17" s="83">
        <v>1484.9839999999999</v>
      </c>
      <c r="S17" s="83">
        <v>1502.5889999999999</v>
      </c>
      <c r="T17" s="83">
        <v>1510.606</v>
      </c>
      <c r="U17" s="83">
        <v>1532.0139999999999</v>
      </c>
      <c r="V17" s="83">
        <v>1553.403</v>
      </c>
      <c r="W17" s="83">
        <v>1569.087</v>
      </c>
    </row>
    <row r="18" spans="2:23" x14ac:dyDescent="0.25">
      <c r="B18" s="84" t="s">
        <v>55</v>
      </c>
      <c r="C18" s="83">
        <v>21.94</v>
      </c>
      <c r="D18" s="83">
        <v>21.582000000000001</v>
      </c>
      <c r="E18" s="83">
        <v>21.178000000000001</v>
      </c>
      <c r="F18" s="83">
        <v>20.74</v>
      </c>
      <c r="G18" s="83">
        <v>20.315999999999999</v>
      </c>
      <c r="H18" s="83">
        <v>19.934999999999999</v>
      </c>
      <c r="I18" s="83">
        <v>19.47</v>
      </c>
      <c r="J18" s="83">
        <v>19.015000000000001</v>
      </c>
      <c r="K18" s="83">
        <v>18.600999999999999</v>
      </c>
      <c r="L18" s="83">
        <v>18.170999999999999</v>
      </c>
      <c r="M18" s="83">
        <v>17.524000000000001</v>
      </c>
      <c r="N18" s="83">
        <v>17.062999999999999</v>
      </c>
      <c r="O18" s="83">
        <v>16.640999999999998</v>
      </c>
      <c r="P18" s="83">
        <v>16.113</v>
      </c>
      <c r="Q18" s="83">
        <v>15.65</v>
      </c>
      <c r="R18" s="83">
        <v>15.173</v>
      </c>
      <c r="S18" s="83">
        <v>14.75</v>
      </c>
      <c r="T18" s="83">
        <v>14.234</v>
      </c>
      <c r="U18" s="83">
        <v>13.846</v>
      </c>
      <c r="V18" s="83">
        <v>13.452999999999999</v>
      </c>
      <c r="W18" s="83">
        <v>13.01</v>
      </c>
    </row>
    <row r="19" spans="2:23" x14ac:dyDescent="0.25">
      <c r="B19" s="85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</row>
    <row r="20" spans="2:23" x14ac:dyDescent="0.25">
      <c r="B20" s="86" t="s">
        <v>56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2:23" x14ac:dyDescent="0.25">
      <c r="B21" s="87" t="s">
        <v>52</v>
      </c>
      <c r="C21" s="83">
        <v>56.301279000000001</v>
      </c>
      <c r="D21" s="83">
        <v>56.293624000000001</v>
      </c>
      <c r="E21" s="83">
        <v>56.286200000000001</v>
      </c>
      <c r="F21" s="83">
        <v>56.278995999999999</v>
      </c>
      <c r="G21" s="83">
        <v>56.272002999999998</v>
      </c>
      <c r="H21" s="83">
        <v>56.265211000000001</v>
      </c>
      <c r="I21" s="83">
        <v>56.258611999999999</v>
      </c>
      <c r="J21" s="83">
        <v>56.252198</v>
      </c>
      <c r="K21" s="83">
        <v>56.245961000000001</v>
      </c>
      <c r="L21" s="83">
        <v>56.239894</v>
      </c>
      <c r="M21" s="83">
        <v>56.233991000000003</v>
      </c>
      <c r="N21" s="83">
        <v>56.228242999999999</v>
      </c>
      <c r="O21" s="83">
        <v>56.222647000000002</v>
      </c>
      <c r="P21" s="83">
        <v>56.217193999999999</v>
      </c>
      <c r="Q21" s="83">
        <v>56.211880999999998</v>
      </c>
      <c r="R21" s="83">
        <v>56.206702</v>
      </c>
      <c r="S21" s="83">
        <v>56.201652000000003</v>
      </c>
      <c r="T21" s="83">
        <v>56.196725000000001</v>
      </c>
      <c r="U21" s="83">
        <v>56.191918000000001</v>
      </c>
      <c r="V21" s="83">
        <v>56.187227</v>
      </c>
      <c r="W21" s="83">
        <v>56.182645999999998</v>
      </c>
    </row>
    <row r="22" spans="2:23" x14ac:dyDescent="0.25">
      <c r="B22" s="84" t="s">
        <v>53</v>
      </c>
      <c r="C22" s="83">
        <v>13.930671</v>
      </c>
      <c r="D22" s="83">
        <v>14.034933000000001</v>
      </c>
      <c r="E22" s="83">
        <v>14.136055000000001</v>
      </c>
      <c r="F22" s="83">
        <v>14.234177000000001</v>
      </c>
      <c r="G22" s="83">
        <v>14.32943</v>
      </c>
      <c r="H22" s="83">
        <v>14.421939</v>
      </c>
      <c r="I22" s="83">
        <v>14.511818999999999</v>
      </c>
      <c r="J22" s="83">
        <v>14.599183</v>
      </c>
      <c r="K22" s="83">
        <v>14.684132999999999</v>
      </c>
      <c r="L22" s="83">
        <v>14.766768000000001</v>
      </c>
      <c r="M22" s="83">
        <v>14.847182999999999</v>
      </c>
      <c r="N22" s="83">
        <v>14.925464</v>
      </c>
      <c r="O22" s="83">
        <v>15.001697</v>
      </c>
      <c r="P22" s="83">
        <v>15.07596</v>
      </c>
      <c r="Q22" s="83">
        <v>15.148327999999999</v>
      </c>
      <c r="R22" s="83">
        <v>15.218874</v>
      </c>
      <c r="S22" s="83">
        <v>15.287666</v>
      </c>
      <c r="T22" s="83">
        <v>15.354767000000001</v>
      </c>
      <c r="U22" s="83">
        <v>15.420239</v>
      </c>
      <c r="V22" s="83">
        <v>15.484142</v>
      </c>
      <c r="W22" s="83">
        <v>15.546530000000001</v>
      </c>
    </row>
    <row r="23" spans="2:23" x14ac:dyDescent="0.25">
      <c r="B23" s="84" t="s">
        <v>54</v>
      </c>
      <c r="C23" s="83">
        <v>29.256727000000001</v>
      </c>
      <c r="D23" s="83">
        <v>29.178111999999999</v>
      </c>
      <c r="E23" s="83">
        <v>29.101865</v>
      </c>
      <c r="F23" s="83">
        <v>29.02788</v>
      </c>
      <c r="G23" s="83">
        <v>28.956057999999999</v>
      </c>
      <c r="H23" s="83">
        <v>28.886306000000001</v>
      </c>
      <c r="I23" s="83">
        <v>28.818535000000001</v>
      </c>
      <c r="J23" s="83">
        <v>28.752662000000001</v>
      </c>
      <c r="K23" s="83">
        <v>28.688609</v>
      </c>
      <c r="L23" s="83">
        <v>28.626301000000002</v>
      </c>
      <c r="M23" s="83">
        <v>28.565667000000001</v>
      </c>
      <c r="N23" s="83">
        <v>28.506641999999999</v>
      </c>
      <c r="O23" s="83">
        <v>28.449162000000001</v>
      </c>
      <c r="P23" s="83">
        <v>28.393166999999998</v>
      </c>
      <c r="Q23" s="83">
        <v>28.3386</v>
      </c>
      <c r="R23" s="83">
        <v>28.285408</v>
      </c>
      <c r="S23" s="83">
        <v>28.233539</v>
      </c>
      <c r="T23" s="83">
        <v>28.182943999999999</v>
      </c>
      <c r="U23" s="83">
        <v>28.133576999999999</v>
      </c>
      <c r="V23" s="83">
        <v>28.085393</v>
      </c>
      <c r="W23" s="83">
        <v>28.038352</v>
      </c>
    </row>
    <row r="24" spans="2:23" x14ac:dyDescent="0.25">
      <c r="B24" s="84" t="s">
        <v>55</v>
      </c>
      <c r="C24" s="83">
        <v>0.511324</v>
      </c>
      <c r="D24" s="83">
        <v>0.49333100000000002</v>
      </c>
      <c r="E24" s="83">
        <v>0.47588000000000003</v>
      </c>
      <c r="F24" s="83">
        <v>0.45894699999999999</v>
      </c>
      <c r="G24" s="83">
        <v>0.44250899999999999</v>
      </c>
      <c r="H24" s="83">
        <v>0.42654500000000001</v>
      </c>
      <c r="I24" s="83">
        <v>0.41103400000000001</v>
      </c>
      <c r="J24" s="83">
        <v>0.395957</v>
      </c>
      <c r="K24" s="83">
        <v>0.381297</v>
      </c>
      <c r="L24" s="83">
        <v>0.367037</v>
      </c>
      <c r="M24" s="83">
        <v>0.353159</v>
      </c>
      <c r="N24" s="83">
        <v>0.33965000000000001</v>
      </c>
      <c r="O24" s="83">
        <v>0.32649499999999998</v>
      </c>
      <c r="P24" s="83">
        <v>0.31367899999999999</v>
      </c>
      <c r="Q24" s="83">
        <v>0.30119000000000001</v>
      </c>
      <c r="R24" s="83">
        <v>0.289016</v>
      </c>
      <c r="S24" s="83">
        <v>0.277144</v>
      </c>
      <c r="T24" s="83">
        <v>0.265565</v>
      </c>
      <c r="U24" s="83">
        <v>0.25426599999999999</v>
      </c>
      <c r="V24" s="83">
        <v>0.24323800000000001</v>
      </c>
      <c r="W24" s="83">
        <v>0.23247200000000001</v>
      </c>
    </row>
    <row r="25" spans="2:23" x14ac:dyDescent="0.25">
      <c r="B25" s="85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</row>
    <row r="26" spans="2:23" ht="77.25" x14ac:dyDescent="0.25">
      <c r="B26" s="82" t="s">
        <v>57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</row>
    <row r="27" spans="2:23" x14ac:dyDescent="0.25">
      <c r="B27" s="84" t="s">
        <v>58</v>
      </c>
      <c r="C27" s="83">
        <v>771.678</v>
      </c>
      <c r="D27" s="83">
        <v>780.75300000000004</v>
      </c>
      <c r="E27" s="83">
        <v>791.29300000000001</v>
      </c>
      <c r="F27" s="83">
        <v>801.11699999999996</v>
      </c>
      <c r="G27" s="83">
        <v>813.17600000000004</v>
      </c>
      <c r="H27" s="83">
        <v>831.125</v>
      </c>
      <c r="I27" s="83">
        <v>850.68600000000004</v>
      </c>
      <c r="J27" s="83">
        <v>872.6</v>
      </c>
      <c r="K27" s="83">
        <v>900.49800000000005</v>
      </c>
      <c r="L27" s="83">
        <v>930.65599999999995</v>
      </c>
      <c r="M27" s="83">
        <v>952.49199999999996</v>
      </c>
      <c r="N27" s="83">
        <v>983.90099999999995</v>
      </c>
      <c r="O27" s="83">
        <v>1017.732</v>
      </c>
      <c r="P27" s="83">
        <v>1044.9570000000001</v>
      </c>
      <c r="Q27" s="83">
        <v>1076.1310000000001</v>
      </c>
      <c r="R27" s="83">
        <v>1106.2570000000001</v>
      </c>
      <c r="S27" s="83">
        <v>1140.23</v>
      </c>
      <c r="T27" s="83">
        <v>1166.895</v>
      </c>
      <c r="U27" s="83">
        <v>1194.8030000000001</v>
      </c>
      <c r="V27" s="83">
        <v>1222.884</v>
      </c>
      <c r="W27" s="83">
        <v>1246.615</v>
      </c>
    </row>
    <row r="28" spans="2:23" x14ac:dyDescent="0.25">
      <c r="B28" s="84" t="s">
        <v>59</v>
      </c>
      <c r="C28" s="83">
        <v>2924.41</v>
      </c>
      <c r="D28" s="83">
        <v>3008.944</v>
      </c>
      <c r="E28" s="83">
        <v>3096.94</v>
      </c>
      <c r="F28" s="83">
        <v>3163.1289999999999</v>
      </c>
      <c r="G28" s="83">
        <v>3232.55</v>
      </c>
      <c r="H28" s="83">
        <v>3301.1239999999998</v>
      </c>
      <c r="I28" s="83">
        <v>3371.0189999999998</v>
      </c>
      <c r="J28" s="83">
        <v>3430.9349999999999</v>
      </c>
      <c r="K28" s="83">
        <v>3490.087</v>
      </c>
      <c r="L28" s="83">
        <v>3540.145</v>
      </c>
      <c r="M28" s="83">
        <v>3555.5329999999999</v>
      </c>
      <c r="N28" s="83">
        <v>3604.1849999999999</v>
      </c>
      <c r="O28" s="83">
        <v>3658.48</v>
      </c>
      <c r="P28" s="83">
        <v>3686.1889999999999</v>
      </c>
      <c r="Q28" s="83">
        <v>3725.2579999999998</v>
      </c>
      <c r="R28" s="83">
        <v>3758.018</v>
      </c>
      <c r="S28" s="83">
        <v>3801.0830000000001</v>
      </c>
      <c r="T28" s="83">
        <v>3817.32</v>
      </c>
      <c r="U28" s="83">
        <v>3873.1689999999999</v>
      </c>
      <c r="V28" s="83">
        <v>3928.0590000000002</v>
      </c>
      <c r="W28" s="83">
        <v>3967.587</v>
      </c>
    </row>
    <row r="29" spans="2:23" x14ac:dyDescent="0.25">
      <c r="B29" s="84" t="s">
        <v>60</v>
      </c>
      <c r="C29" s="83">
        <v>442.13499999999999</v>
      </c>
      <c r="D29" s="83">
        <v>434.24700000000001</v>
      </c>
      <c r="E29" s="83">
        <v>407.03899999999999</v>
      </c>
      <c r="F29" s="83">
        <v>391.11500000000001</v>
      </c>
      <c r="G29" s="83">
        <v>380.12700000000001</v>
      </c>
      <c r="H29" s="83">
        <v>366.37299999999999</v>
      </c>
      <c r="I29" s="83">
        <v>340.822</v>
      </c>
      <c r="J29" s="83">
        <v>314.27100000000002</v>
      </c>
      <c r="K29" s="83">
        <v>299.95800000000003</v>
      </c>
      <c r="L29" s="83">
        <v>290.20800000000003</v>
      </c>
      <c r="M29" s="83">
        <v>265.02499999999998</v>
      </c>
      <c r="N29" s="83">
        <v>244.27699999999999</v>
      </c>
      <c r="O29" s="83">
        <v>225.46</v>
      </c>
      <c r="P29" s="83">
        <v>206.55799999999999</v>
      </c>
      <c r="Q29" s="83">
        <v>189.80799999999999</v>
      </c>
      <c r="R29" s="83">
        <v>174.10499999999999</v>
      </c>
      <c r="S29" s="83">
        <v>160.12299999999999</v>
      </c>
      <c r="T29" s="83">
        <v>146.21700000000001</v>
      </c>
      <c r="U29" s="83">
        <v>140.86699999999999</v>
      </c>
      <c r="V29" s="83">
        <v>135.739</v>
      </c>
      <c r="W29" s="83">
        <v>130.352</v>
      </c>
    </row>
    <row r="30" spans="2:23" x14ac:dyDescent="0.25">
      <c r="B30" s="87" t="s">
        <v>61</v>
      </c>
      <c r="C30" s="83">
        <v>54.706000000000003</v>
      </c>
      <c r="D30" s="83">
        <v>54.790999999999997</v>
      </c>
      <c r="E30" s="83">
        <v>54.97</v>
      </c>
      <c r="F30" s="83">
        <v>55.091999999999999</v>
      </c>
      <c r="G30" s="83">
        <v>55.923000000000002</v>
      </c>
      <c r="H30" s="83">
        <v>57.792999999999999</v>
      </c>
      <c r="I30" s="83">
        <v>60.5</v>
      </c>
      <c r="J30" s="83">
        <v>64.194000000000003</v>
      </c>
      <c r="K30" s="83">
        <v>69.266000000000005</v>
      </c>
      <c r="L30" s="83">
        <v>75.581000000000003</v>
      </c>
      <c r="M30" s="83">
        <v>82.366</v>
      </c>
      <c r="N30" s="83">
        <v>90.683999999999997</v>
      </c>
      <c r="O30" s="83">
        <v>100.06399999999999</v>
      </c>
      <c r="P30" s="83">
        <v>109.67700000000001</v>
      </c>
      <c r="Q30" s="83">
        <v>120.649</v>
      </c>
      <c r="R30" s="83">
        <v>132.54900000000001</v>
      </c>
      <c r="S30" s="83">
        <v>146.07</v>
      </c>
      <c r="T30" s="83">
        <v>159.887</v>
      </c>
      <c r="U30" s="83">
        <v>168.58199999999999</v>
      </c>
      <c r="V30" s="83">
        <v>177.81100000000001</v>
      </c>
      <c r="W30" s="83">
        <v>186.93299999999999</v>
      </c>
    </row>
    <row r="31" spans="2:23" x14ac:dyDescent="0.25">
      <c r="B31" s="84" t="s">
        <v>62</v>
      </c>
      <c r="C31" s="83">
        <v>97.971999999999994</v>
      </c>
      <c r="D31" s="83">
        <v>96.015000000000001</v>
      </c>
      <c r="E31" s="83">
        <v>99.997</v>
      </c>
      <c r="F31" s="83">
        <v>108.557</v>
      </c>
      <c r="G31" s="83">
        <v>109.214</v>
      </c>
      <c r="H31" s="83">
        <v>117.124</v>
      </c>
      <c r="I31" s="83">
        <v>113.794</v>
      </c>
      <c r="J31" s="83">
        <v>120.271</v>
      </c>
      <c r="K31" s="83">
        <v>118.492</v>
      </c>
      <c r="L31" s="83">
        <v>114.08</v>
      </c>
      <c r="M31" s="83">
        <v>106.718</v>
      </c>
      <c r="N31" s="83">
        <v>100.76</v>
      </c>
      <c r="O31" s="83">
        <v>95.263999999999996</v>
      </c>
      <c r="P31" s="83">
        <v>89.403000000000006</v>
      </c>
      <c r="Q31" s="83">
        <v>84.153999999999996</v>
      </c>
      <c r="R31" s="83">
        <v>79.072000000000003</v>
      </c>
      <c r="S31" s="83">
        <v>74.494</v>
      </c>
      <c r="T31" s="83">
        <v>69.680999999999997</v>
      </c>
      <c r="U31" s="83">
        <v>68.08</v>
      </c>
      <c r="V31" s="83">
        <v>66.507999999999996</v>
      </c>
      <c r="W31" s="83">
        <v>64.730999999999995</v>
      </c>
    </row>
    <row r="32" spans="2:23" x14ac:dyDescent="0.25">
      <c r="B32" s="84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</row>
    <row r="33" spans="1:23" x14ac:dyDescent="0.25">
      <c r="A33" s="71"/>
      <c r="B33" s="86" t="s">
        <v>56</v>
      </c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</row>
    <row r="34" spans="1:23" x14ac:dyDescent="0.25">
      <c r="A34" s="71"/>
      <c r="B34" s="84" t="s">
        <v>58</v>
      </c>
      <c r="C34" s="88">
        <v>17.984051000000001</v>
      </c>
      <c r="D34" s="88">
        <v>17.846792000000001</v>
      </c>
      <c r="E34" s="88">
        <v>17.780905000000001</v>
      </c>
      <c r="F34" s="88">
        <v>17.727709999999998</v>
      </c>
      <c r="G34" s="88">
        <v>17.712440000000001</v>
      </c>
      <c r="H34" s="88">
        <v>17.783632000000001</v>
      </c>
      <c r="I34" s="88">
        <v>17.959011</v>
      </c>
      <c r="J34" s="88">
        <v>18.170565</v>
      </c>
      <c r="K34" s="88">
        <v>18.459249</v>
      </c>
      <c r="L34" s="88">
        <v>18.798590000000001</v>
      </c>
      <c r="M34" s="88">
        <v>19.195198999999999</v>
      </c>
      <c r="N34" s="88">
        <v>19.584773999999999</v>
      </c>
      <c r="O34" s="88">
        <v>19.967272000000001</v>
      </c>
      <c r="P34" s="88">
        <v>20.342631999999998</v>
      </c>
      <c r="Q34" s="88">
        <v>20.710767000000001</v>
      </c>
      <c r="R34" s="88">
        <v>21.071556999999999</v>
      </c>
      <c r="S34" s="88">
        <v>21.424847</v>
      </c>
      <c r="T34" s="88">
        <v>21.770436</v>
      </c>
      <c r="U34" s="88">
        <v>21.941099999999999</v>
      </c>
      <c r="V34" s="88">
        <v>22.109635000000001</v>
      </c>
      <c r="W34" s="88">
        <v>22.276028</v>
      </c>
    </row>
    <row r="35" spans="1:23" x14ac:dyDescent="0.25">
      <c r="A35" s="71"/>
      <c r="B35" s="84" t="s">
        <v>59</v>
      </c>
      <c r="C35" s="88">
        <v>68.153756000000001</v>
      </c>
      <c r="D35" s="88">
        <v>68.779796000000005</v>
      </c>
      <c r="E35" s="88">
        <v>69.590412999999998</v>
      </c>
      <c r="F35" s="88">
        <v>69.996069000000006</v>
      </c>
      <c r="G35" s="88">
        <v>70.410747000000001</v>
      </c>
      <c r="H35" s="88">
        <v>70.634345999999994</v>
      </c>
      <c r="I35" s="88">
        <v>71.166285999999999</v>
      </c>
      <c r="J35" s="88">
        <v>71.444035</v>
      </c>
      <c r="K35" s="88">
        <v>71.543099999999995</v>
      </c>
      <c r="L35" s="88">
        <v>71.508398</v>
      </c>
      <c r="M35" s="88">
        <v>71.653312</v>
      </c>
      <c r="N35" s="88">
        <v>71.742097999999999</v>
      </c>
      <c r="O35" s="88">
        <v>71.777130999999997</v>
      </c>
      <c r="P35" s="88">
        <v>71.760647000000006</v>
      </c>
      <c r="Q35" s="88">
        <v>71.694727</v>
      </c>
      <c r="R35" s="88">
        <v>71.581288999999998</v>
      </c>
      <c r="S35" s="88">
        <v>71.422077000000002</v>
      </c>
      <c r="T35" s="88">
        <v>71.218650999999994</v>
      </c>
      <c r="U35" s="88">
        <v>71.126045000000005</v>
      </c>
      <c r="V35" s="88">
        <v>71.018957999999998</v>
      </c>
      <c r="W35" s="88">
        <v>70.897639999999996</v>
      </c>
    </row>
    <row r="36" spans="1:23" x14ac:dyDescent="0.25">
      <c r="A36" s="71"/>
      <c r="B36" s="84" t="s">
        <v>60</v>
      </c>
      <c r="C36" s="88">
        <v>10.304024</v>
      </c>
      <c r="D36" s="88">
        <v>9.9262189999999997</v>
      </c>
      <c r="E36" s="88">
        <v>9.1464580000000009</v>
      </c>
      <c r="F36" s="88">
        <v>8.65489</v>
      </c>
      <c r="G36" s="88">
        <v>8.2798390000000008</v>
      </c>
      <c r="H36" s="88">
        <v>7.8393030000000001</v>
      </c>
      <c r="I36" s="88">
        <v>7.1951590000000003</v>
      </c>
      <c r="J36" s="88">
        <v>6.5442099999999996</v>
      </c>
      <c r="K36" s="88">
        <v>6.1488120000000004</v>
      </c>
      <c r="L36" s="88">
        <v>5.8619899999999996</v>
      </c>
      <c r="M36" s="88">
        <v>5.3409469999999999</v>
      </c>
      <c r="N36" s="88">
        <v>4.8623919999999998</v>
      </c>
      <c r="O36" s="88">
        <v>4.4233960000000003</v>
      </c>
      <c r="P36" s="88">
        <v>4.0211480000000002</v>
      </c>
      <c r="Q36" s="88">
        <v>3.6529590000000001</v>
      </c>
      <c r="R36" s="88">
        <v>3.3162790000000002</v>
      </c>
      <c r="S36" s="88">
        <v>3.0086919999999999</v>
      </c>
      <c r="T36" s="88">
        <v>2.7279279999999999</v>
      </c>
      <c r="U36" s="88">
        <v>2.586843</v>
      </c>
      <c r="V36" s="88">
        <v>2.4541409999999999</v>
      </c>
      <c r="W36" s="88">
        <v>2.3292890000000002</v>
      </c>
    </row>
    <row r="37" spans="1:23" x14ac:dyDescent="0.25">
      <c r="A37" s="71"/>
      <c r="B37" s="87" t="s">
        <v>61</v>
      </c>
      <c r="C37" s="88">
        <v>1.2749280000000001</v>
      </c>
      <c r="D37" s="88">
        <v>1.2524360000000001</v>
      </c>
      <c r="E37" s="88">
        <v>1.235225</v>
      </c>
      <c r="F37" s="88">
        <v>1.2191069999999999</v>
      </c>
      <c r="G37" s="88">
        <v>1.2181</v>
      </c>
      <c r="H37" s="88">
        <v>1.2366060000000001</v>
      </c>
      <c r="I37" s="88">
        <v>1.27722</v>
      </c>
      <c r="J37" s="88">
        <v>1.3367359999999999</v>
      </c>
      <c r="K37" s="88">
        <v>1.4198729999999999</v>
      </c>
      <c r="L37" s="88">
        <v>1.526691</v>
      </c>
      <c r="M37" s="88">
        <v>1.6598889999999999</v>
      </c>
      <c r="N37" s="88">
        <v>1.8050889999999999</v>
      </c>
      <c r="O37" s="88">
        <v>1.963185</v>
      </c>
      <c r="P37" s="88">
        <v>2.1351309999999999</v>
      </c>
      <c r="Q37" s="88">
        <v>2.3219509999999999</v>
      </c>
      <c r="R37" s="88">
        <v>2.524734</v>
      </c>
      <c r="S37" s="88">
        <v>2.744653</v>
      </c>
      <c r="T37" s="88">
        <v>2.9829590000000001</v>
      </c>
      <c r="U37" s="88">
        <v>3.0958100000000002</v>
      </c>
      <c r="V37" s="88">
        <v>3.2148110000000001</v>
      </c>
      <c r="W37" s="88">
        <v>3.3403459999999998</v>
      </c>
    </row>
    <row r="38" spans="1:23" x14ac:dyDescent="0.25">
      <c r="A38" s="71"/>
      <c r="B38" s="84" t="s">
        <v>62</v>
      </c>
      <c r="C38" s="88">
        <v>2.2832409999999999</v>
      </c>
      <c r="D38" s="88">
        <v>2.1947580000000002</v>
      </c>
      <c r="E38" s="88">
        <v>2.2469990000000002</v>
      </c>
      <c r="F38" s="88">
        <v>2.4022250000000001</v>
      </c>
      <c r="G38" s="88">
        <v>2.378876</v>
      </c>
      <c r="H38" s="88">
        <v>2.5061140000000002</v>
      </c>
      <c r="I38" s="88">
        <v>2.4023249999999998</v>
      </c>
      <c r="J38" s="88">
        <v>2.5044550000000001</v>
      </c>
      <c r="K38" s="88">
        <v>2.4289649999999998</v>
      </c>
      <c r="L38" s="88">
        <v>2.3043309999999999</v>
      </c>
      <c r="M38" s="88">
        <v>2.1506539999999998</v>
      </c>
      <c r="N38" s="88">
        <v>2.0056470000000002</v>
      </c>
      <c r="O38" s="88">
        <v>1.869016</v>
      </c>
      <c r="P38" s="88">
        <v>1.7404409999999999</v>
      </c>
      <c r="Q38" s="88">
        <v>1.619596</v>
      </c>
      <c r="R38" s="88">
        <v>1.506141</v>
      </c>
      <c r="S38" s="88">
        <v>1.3997310000000001</v>
      </c>
      <c r="T38" s="88">
        <v>1.3000259999999999</v>
      </c>
      <c r="U38" s="88">
        <v>1.2502009999999999</v>
      </c>
      <c r="V38" s="88">
        <v>1.2024550000000001</v>
      </c>
      <c r="W38" s="88">
        <v>1.1566970000000001</v>
      </c>
    </row>
    <row r="39" spans="1:23" x14ac:dyDescent="0.25">
      <c r="A39" s="71"/>
      <c r="B39" s="71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71"/>
      <c r="Q39" s="71"/>
      <c r="R39" s="71"/>
      <c r="S39" s="71"/>
      <c r="T39" s="71"/>
      <c r="U39" s="71"/>
      <c r="V39" s="71"/>
      <c r="W39" s="71"/>
    </row>
    <row r="40" spans="1:23" x14ac:dyDescent="0.25">
      <c r="A40" s="72" t="s">
        <v>63</v>
      </c>
      <c r="B40" s="71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71"/>
      <c r="Q40" s="71"/>
      <c r="R40" s="71"/>
      <c r="S40" s="71"/>
      <c r="T40" s="71"/>
      <c r="U40" s="71"/>
      <c r="V40" s="71"/>
      <c r="W40" s="71"/>
    </row>
    <row r="41" spans="1:23" x14ac:dyDescent="0.25">
      <c r="A41" s="71"/>
      <c r="B41" s="71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71"/>
      <c r="Q41" s="71"/>
      <c r="R41" s="71"/>
      <c r="S41" s="71"/>
      <c r="T41" s="71"/>
      <c r="U41" s="71"/>
      <c r="V41" s="71"/>
      <c r="W41" s="71"/>
    </row>
    <row r="42" spans="1:23" x14ac:dyDescent="0.25">
      <c r="A42" s="71"/>
      <c r="B42" s="71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71"/>
      <c r="Q42" s="71"/>
      <c r="R42" s="71"/>
      <c r="S42" s="71"/>
      <c r="T42" s="71"/>
      <c r="U42" s="71"/>
      <c r="V42" s="71"/>
      <c r="W42" s="71"/>
    </row>
    <row r="43" spans="1:23" x14ac:dyDescent="0.25">
      <c r="A43" s="71"/>
      <c r="B43" s="71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71"/>
      <c r="Q43" s="71"/>
      <c r="R43" s="71"/>
      <c r="S43" s="71"/>
      <c r="T43" s="71"/>
      <c r="U43" s="71"/>
      <c r="V43" s="71"/>
      <c r="W43" s="71"/>
    </row>
    <row r="44" spans="1:23" x14ac:dyDescent="0.25">
      <c r="A44" s="71"/>
      <c r="B44" s="71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71"/>
      <c r="Q44" s="71"/>
      <c r="R44" s="71"/>
      <c r="S44" s="71"/>
      <c r="T44" s="71"/>
      <c r="U44" s="71"/>
      <c r="V44" s="71"/>
      <c r="W44" s="71"/>
    </row>
    <row r="45" spans="1:23" x14ac:dyDescent="0.25">
      <c r="A45" s="71"/>
      <c r="B45" s="71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71"/>
      <c r="Q45" s="71"/>
      <c r="R45" s="71"/>
      <c r="S45" s="71"/>
      <c r="T45" s="71"/>
      <c r="U45" s="71"/>
      <c r="V45" s="71"/>
      <c r="W45" s="71"/>
    </row>
    <row r="46" spans="1:23" x14ac:dyDescent="0.25">
      <c r="A46" s="71"/>
      <c r="B46" s="71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71"/>
      <c r="Q46" s="71"/>
      <c r="R46" s="71"/>
      <c r="S46" s="71"/>
      <c r="T46" s="71"/>
      <c r="U46" s="71"/>
      <c r="V46" s="71"/>
      <c r="W46" s="71"/>
    </row>
    <row r="47" spans="1:23" x14ac:dyDescent="0.25">
      <c r="A47" s="71"/>
      <c r="B47" s="71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71"/>
      <c r="Q47" s="71"/>
      <c r="R47" s="71"/>
      <c r="S47" s="71"/>
      <c r="T47" s="71"/>
      <c r="U47" s="71"/>
      <c r="V47" s="71"/>
      <c r="W47" s="71"/>
    </row>
    <row r="48" spans="1:23" x14ac:dyDescent="0.25">
      <c r="A48" s="71"/>
      <c r="B48" s="71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71"/>
      <c r="Q48" s="71"/>
      <c r="R48" s="71"/>
      <c r="S48" s="71"/>
      <c r="T48" s="71"/>
      <c r="U48" s="71"/>
      <c r="V48" s="71"/>
      <c r="W48" s="71"/>
    </row>
    <row r="49" spans="3:15" x14ac:dyDescent="0.25"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</row>
    <row r="50" spans="3:15" x14ac:dyDescent="0.25"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</row>
    <row r="51" spans="3:15" x14ac:dyDescent="0.25"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</row>
    <row r="52" spans="3:15" x14ac:dyDescent="0.25"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</row>
    <row r="53" spans="3:15" x14ac:dyDescent="0.25"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</row>
    <row r="54" spans="3:15" x14ac:dyDescent="0.25"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</row>
    <row r="55" spans="3:15" x14ac:dyDescent="0.25"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</row>
    <row r="56" spans="3:15" x14ac:dyDescent="0.25"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</row>
    <row r="57" spans="3:15" x14ac:dyDescent="0.25"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</row>
    <row r="58" spans="3:15" x14ac:dyDescent="0.25"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</row>
    <row r="59" spans="3:15" x14ac:dyDescent="0.25"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</row>
    <row r="60" spans="3:15" x14ac:dyDescent="0.25"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</row>
    <row r="61" spans="3:15" x14ac:dyDescent="0.25"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</row>
    <row r="62" spans="3:15" x14ac:dyDescent="0.25"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</row>
    <row r="63" spans="3:15" x14ac:dyDescent="0.25"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</row>
    <row r="64" spans="3:15" x14ac:dyDescent="0.25"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</row>
    <row r="65" spans="3:15" x14ac:dyDescent="0.25"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</row>
    <row r="66" spans="3:15" x14ac:dyDescent="0.25"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</row>
    <row r="67" spans="3:15" x14ac:dyDescent="0.25"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</row>
    <row r="68" spans="3:15" x14ac:dyDescent="0.25"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</row>
    <row r="69" spans="3:15" x14ac:dyDescent="0.25"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</row>
    <row r="70" spans="3:15" x14ac:dyDescent="0.25"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</row>
    <row r="71" spans="3:15" x14ac:dyDescent="0.25"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</row>
    <row r="72" spans="3:15" x14ac:dyDescent="0.25"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</row>
    <row r="73" spans="3:15" x14ac:dyDescent="0.25"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</row>
    <row r="74" spans="3:15" x14ac:dyDescent="0.25"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307B-C43E-45B6-ADB8-011E457C0127}">
  <dimension ref="A1:H10"/>
  <sheetViews>
    <sheetView workbookViewId="0">
      <selection activeCell="E6" sqref="E6"/>
    </sheetView>
  </sheetViews>
  <sheetFormatPr defaultRowHeight="15" x14ac:dyDescent="0.25"/>
  <cols>
    <col min="1" max="1" width="18.7109375" customWidth="1"/>
    <col min="2" max="3" width="15" customWidth="1"/>
    <col min="4" max="4" width="15" style="71" customWidth="1"/>
    <col min="5" max="5" width="20.42578125" customWidth="1"/>
    <col min="6" max="7" width="10.140625" customWidth="1"/>
  </cols>
  <sheetData>
    <row r="1" spans="1:8" x14ac:dyDescent="0.25">
      <c r="A1">
        <v>2018</v>
      </c>
      <c r="B1" t="s">
        <v>35</v>
      </c>
      <c r="H1" t="s">
        <v>38</v>
      </c>
    </row>
    <row r="2" spans="1:8" x14ac:dyDescent="0.25">
      <c r="A2" s="64" t="s">
        <v>42</v>
      </c>
      <c r="B2" t="s">
        <v>36</v>
      </c>
      <c r="C2" t="s">
        <v>37</v>
      </c>
      <c r="D2" s="71" t="s">
        <v>65</v>
      </c>
      <c r="E2" t="s">
        <v>33</v>
      </c>
      <c r="H2" s="90" t="s">
        <v>39</v>
      </c>
    </row>
    <row r="3" spans="1:8" x14ac:dyDescent="0.25">
      <c r="A3" t="s">
        <v>0</v>
      </c>
      <c r="B3" s="60">
        <v>0.14799999999999999</v>
      </c>
      <c r="C3" s="60">
        <v>0.1845</v>
      </c>
      <c r="D3" s="60">
        <f>(B3*$B$8+C3*$C$8)/($B$8+$C$8)</f>
        <v>0.15826875603709484</v>
      </c>
      <c r="E3" s="63">
        <f>'model units'!C3</f>
        <v>0.45027904616945713</v>
      </c>
      <c r="G3" s="63"/>
      <c r="H3" t="s">
        <v>43</v>
      </c>
    </row>
    <row r="4" spans="1:8" x14ac:dyDescent="0.25">
      <c r="A4" t="s">
        <v>1</v>
      </c>
      <c r="B4" s="60">
        <v>0.14799999999999999</v>
      </c>
      <c r="C4" s="60">
        <v>0.1845</v>
      </c>
      <c r="D4" s="60">
        <f t="shared" ref="D4:D6" si="0">(B4*$B$8+C4*$C$8)/($B$8+$C$8)</f>
        <v>0.15826875603709484</v>
      </c>
      <c r="E4" s="63">
        <f>'model units'!D3</f>
        <v>0.55175038051750369</v>
      </c>
      <c r="G4" s="63"/>
    </row>
    <row r="5" spans="1:8" x14ac:dyDescent="0.25">
      <c r="A5" t="s">
        <v>2</v>
      </c>
      <c r="B5" s="60">
        <v>0.17799999999999999</v>
      </c>
      <c r="C5" s="60">
        <v>0.17199999999999999</v>
      </c>
      <c r="D5" s="60">
        <f t="shared" si="0"/>
        <v>0.17631198530897071</v>
      </c>
      <c r="E5" s="63">
        <f>'model units'!E3</f>
        <v>2.1721207508878742</v>
      </c>
      <c r="G5" s="63"/>
    </row>
    <row r="6" spans="1:8" x14ac:dyDescent="0.25">
      <c r="A6" t="s">
        <v>3</v>
      </c>
      <c r="B6" s="60">
        <v>0.41799999999999998</v>
      </c>
      <c r="C6" s="60">
        <v>0.32</v>
      </c>
      <c r="D6" s="60">
        <f t="shared" si="0"/>
        <v>0.39042909337985493</v>
      </c>
      <c r="E6" s="63">
        <f>'model units'!F3</f>
        <v>2.7619228817858952</v>
      </c>
      <c r="G6" s="63"/>
    </row>
    <row r="7" spans="1:8" x14ac:dyDescent="0.25">
      <c r="B7" s="60"/>
      <c r="C7" s="60"/>
      <c r="D7" s="60"/>
      <c r="E7" s="63"/>
    </row>
    <row r="8" spans="1:8" x14ac:dyDescent="0.25">
      <c r="A8" t="s">
        <v>40</v>
      </c>
      <c r="B8" s="65">
        <f>'housing stock'!U15+'housing stock'!U16+'housing stock'!U18</f>
        <v>3913.4859999999999</v>
      </c>
      <c r="C8" s="65">
        <f>'housing stock'!U17</f>
        <v>1532.0139999999999</v>
      </c>
      <c r="D8" s="65"/>
      <c r="E8" s="67"/>
      <c r="F8" s="68"/>
      <c r="G8" s="68"/>
    </row>
    <row r="9" spans="1:8" x14ac:dyDescent="0.25">
      <c r="B9" s="60"/>
      <c r="C9" s="60"/>
      <c r="D9" s="60"/>
      <c r="E9" s="63"/>
    </row>
    <row r="10" spans="1:8" x14ac:dyDescent="0.25">
      <c r="B10" s="62"/>
      <c r="D10" s="61" t="s">
        <v>41</v>
      </c>
      <c r="E10" s="66" cm="1">
        <f t="array" ref="E10">SUM(D3:D6*E3:E6)/SUM(D3:D6)</f>
        <v>1.8339580925600913</v>
      </c>
    </row>
  </sheetData>
  <hyperlinks>
    <hyperlink ref="H2" r:id="rId1" xr:uid="{554B827C-8E45-46C6-BE7E-1FB44C5171E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C638-F12B-4036-AC45-FA0A2F2DAF3F}">
  <dimension ref="A1:H18"/>
  <sheetViews>
    <sheetView workbookViewId="0">
      <selection activeCell="B12" sqref="B12"/>
    </sheetView>
  </sheetViews>
  <sheetFormatPr defaultRowHeight="15" x14ac:dyDescent="0.25"/>
  <cols>
    <col min="1" max="1" width="21.85546875" customWidth="1"/>
  </cols>
  <sheetData>
    <row r="1" spans="1:8" x14ac:dyDescent="0.25">
      <c r="A1" t="s">
        <v>30</v>
      </c>
      <c r="B1">
        <v>2018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</row>
    <row r="2" spans="1:8" x14ac:dyDescent="0.25">
      <c r="A2" t="s">
        <v>32</v>
      </c>
      <c r="B2">
        <v>1</v>
      </c>
      <c r="C2">
        <v>1.1068652861962205</v>
      </c>
      <c r="D2">
        <v>1.1799676797964203</v>
      </c>
      <c r="E2">
        <v>1.2445018578560998</v>
      </c>
      <c r="F2">
        <v>1.3009849883605753</v>
      </c>
      <c r="G2">
        <v>1.3513459681199482</v>
      </c>
      <c r="H2">
        <v>1.3975416489705528</v>
      </c>
    </row>
    <row r="3" spans="1:8" x14ac:dyDescent="0.25">
      <c r="A3" t="s">
        <v>34</v>
      </c>
      <c r="B3">
        <f>'secondary energy'!U13</f>
        <v>16.581827000000001</v>
      </c>
      <c r="C3">
        <f>$B$3*C2/$B$2</f>
        <v>18.353848688011215</v>
      </c>
      <c r="D3">
        <f t="shared" ref="D3:H3" si="0">$B$3*D2/$B$2</f>
        <v>19.566019931975635</v>
      </c>
      <c r="E3">
        <f t="shared" si="0"/>
        <v>20.636114508148438</v>
      </c>
      <c r="F3">
        <f t="shared" si="0"/>
        <v>21.572708006592073</v>
      </c>
      <c r="G3">
        <f t="shared" si="0"/>
        <v>22.407785060512499</v>
      </c>
      <c r="H3">
        <f t="shared" si="0"/>
        <v>23.173793848524436</v>
      </c>
    </row>
    <row r="4" spans="1:8" x14ac:dyDescent="0.25">
      <c r="A4" s="61" t="s">
        <v>31</v>
      </c>
      <c r="B4" s="61">
        <f>B3*stock!E10</f>
        <v>30.410375816081423</v>
      </c>
      <c r="C4" s="61">
        <f>$B$4*C2/$B$2</f>
        <v>33.66018933100159</v>
      </c>
      <c r="D4" s="61">
        <f t="shared" ref="D4:H4" si="1">$B$4*D2/$B$2</f>
        <v>35.88326059343877</v>
      </c>
      <c r="E4" s="61">
        <f t="shared" si="1"/>
        <v>37.845769201215539</v>
      </c>
      <c r="F4" s="61">
        <f t="shared" si="1"/>
        <v>39.563442427125409</v>
      </c>
      <c r="G4" s="61">
        <f t="shared" si="1"/>
        <v>41.094938748074014</v>
      </c>
      <c r="H4" s="61">
        <f t="shared" si="1"/>
        <v>42.499766763820652</v>
      </c>
    </row>
    <row r="6" spans="1:8" x14ac:dyDescent="0.25">
      <c r="B6" t="s">
        <v>46</v>
      </c>
    </row>
    <row r="7" spans="1:8" x14ac:dyDescent="0.25">
      <c r="A7" t="s">
        <v>44</v>
      </c>
      <c r="B7">
        <v>2020</v>
      </c>
      <c r="C7">
        <v>2023</v>
      </c>
      <c r="D7" t="s">
        <v>47</v>
      </c>
    </row>
    <row r="8" spans="1:8" x14ac:dyDescent="0.25">
      <c r="A8" t="s">
        <v>0</v>
      </c>
      <c r="B8">
        <f>stock!$D3/SUM(stock!$D$3:$D$6)*B$4*(24/$B$17)</f>
        <v>87.184494701705646</v>
      </c>
      <c r="C8">
        <f>B8*$C$13/$B$13</f>
        <v>91.009559200990566</v>
      </c>
      <c r="D8" s="69">
        <v>3</v>
      </c>
    </row>
    <row r="9" spans="1:8" x14ac:dyDescent="0.25">
      <c r="A9" t="s">
        <v>1</v>
      </c>
      <c r="B9" s="71">
        <f>stock!$D4/SUM(stock!$D$3:$D$6)*B$4*(24/$B$17)</f>
        <v>87.184494701705646</v>
      </c>
      <c r="C9" s="71">
        <f t="shared" ref="C9:C11" si="2">B9*$C$13/$B$13</f>
        <v>91.009559200990566</v>
      </c>
      <c r="D9" s="69">
        <v>6</v>
      </c>
    </row>
    <row r="10" spans="1:8" x14ac:dyDescent="0.25">
      <c r="A10" t="s">
        <v>2</v>
      </c>
      <c r="B10" s="71">
        <f>stock!$D5/SUM(stock!$D$3:$D$6)*B$4*(24/$B$17)</f>
        <v>97.123852704158296</v>
      </c>
      <c r="C10" s="71">
        <f t="shared" si="2"/>
        <v>101.38498884176539</v>
      </c>
      <c r="D10" s="69">
        <v>8</v>
      </c>
    </row>
    <row r="11" spans="1:8" x14ac:dyDescent="0.25">
      <c r="A11" t="s">
        <v>3</v>
      </c>
      <c r="B11" s="71">
        <f>stock!$D6/SUM(stock!$D$3:$D$6)*B$4*(24/$B$17)</f>
        <v>215.07317094973311</v>
      </c>
      <c r="C11" s="71">
        <f t="shared" si="2"/>
        <v>224.50912345210352</v>
      </c>
      <c r="D11" s="69">
        <v>78</v>
      </c>
    </row>
    <row r="13" spans="1:8" x14ac:dyDescent="0.25">
      <c r="A13" t="s">
        <v>45</v>
      </c>
      <c r="B13" s="71">
        <v>1</v>
      </c>
      <c r="C13" s="71">
        <v>1.0438732198009755</v>
      </c>
    </row>
    <row r="15" spans="1:8" x14ac:dyDescent="0.25">
      <c r="A15" t="s">
        <v>64</v>
      </c>
      <c r="B15" s="89">
        <f>B4/SUM(B8:B11)</f>
        <v>6.2500000000000014E-2</v>
      </c>
    </row>
    <row r="17" spans="1:2" x14ac:dyDescent="0.25">
      <c r="A17" t="s">
        <v>66</v>
      </c>
      <c r="B17">
        <v>1.5</v>
      </c>
    </row>
    <row r="18" spans="1:2" x14ac:dyDescent="0.25">
      <c r="A18" s="70" t="s">
        <v>48</v>
      </c>
    </row>
  </sheetData>
  <hyperlinks>
    <hyperlink ref="A18" r:id="rId1" display="https://www1.eere.energy.gov/buildings/publications/pdfs/ssl/2012_residential-lighting-study.pdf" xr:uid="{7890467A-72D6-4B18-A924-3D8462198E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units</vt:lpstr>
      <vt:lpstr>model units</vt:lpstr>
      <vt:lpstr>secondary energy</vt:lpstr>
      <vt:lpstr>housing stock</vt:lpstr>
      <vt:lpstr>stock</vt:lpstr>
      <vt:lpstr>Demand and Existing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2023-07-21T16:30:40Z</dcterms:created>
  <dcterms:modified xsi:type="dcterms:W3CDTF">2024-01-17T17:41:51Z</dcterms:modified>
</cp:coreProperties>
</file>