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daniel_posen_utoronto_ca/Documents/Academia/File Sharing/Alliance Mission - TEMOA/Full team - TEMOA/TEMOA model and data/Data sources/Buildings/Residential/Ontario/"/>
    </mc:Choice>
  </mc:AlternateContent>
  <xr:revisionPtr revIDLastSave="9" documentId="8_{0D4C7F5A-794E-418A-A22F-C465E4AA1356}" xr6:coauthVersionLast="47" xr6:coauthVersionMax="47" xr10:uidLastSave="{A5FA9C86-F1D3-4268-B377-909890407B32}"/>
  <bookViews>
    <workbookView xWindow="-120" yWindow="-120" windowWidth="29040" windowHeight="15840" xr2:uid="{00000000-000D-0000-FFFF-FFFF00000000}"/>
  </bookViews>
  <sheets>
    <sheet name="Space heating demand" sheetId="4" r:id="rId1"/>
    <sheet name="gross thermal" sheetId="1" r:id="rId2"/>
    <sheet name="stock single" sheetId="2" r:id="rId3"/>
    <sheet name="stock apt. mob." sheetId="3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E3" i="4"/>
  <c r="F3" i="4"/>
  <c r="G3" i="4"/>
  <c r="H3" i="4"/>
  <c r="I3" i="4"/>
  <c r="C3" i="4"/>
  <c r="B3" i="4" a="1"/>
  <c r="B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<sst xmlns="http://schemas.openxmlformats.org/spreadsheetml/2006/main" count="148" uniqueCount="28">
  <si>
    <t>Year</t>
  </si>
  <si>
    <t>Pop. Index</t>
  </si>
  <si>
    <t>Gross thermal (PJ)</t>
  </si>
  <si>
    <t>Residential Sector</t>
  </si>
  <si>
    <t>Ontario</t>
  </si>
  <si>
    <t>Table 32: Gross Output Thermal Requirements per Household by Building Type and Vintage</t>
  </si>
  <si>
    <r>
      <t xml:space="preserve">Gross Output Thermal Requirements for </t>
    </r>
    <r>
      <rPr>
        <b/>
        <u/>
        <sz val="10"/>
        <rFont val="Arial"/>
        <family val="2"/>
      </rPr>
      <t>Single Detached</t>
    </r>
    <r>
      <rPr>
        <b/>
        <sz val="10"/>
        <rFont val="Arial"/>
        <family val="2"/>
      </rPr>
      <t xml:space="preserve"> (GJ/household)</t>
    </r>
  </si>
  <si>
    <t>Before 1946</t>
  </si>
  <si>
    <t>1946–1960</t>
  </si>
  <si>
    <t>1961–1977</t>
  </si>
  <si>
    <t>1978–1983</t>
  </si>
  <si>
    <t>1984–1995</t>
  </si>
  <si>
    <t>1996–2000</t>
  </si>
  <si>
    <t>2001–2005</t>
  </si>
  <si>
    <t>2006–2010</t>
  </si>
  <si>
    <t>2011–2015</t>
  </si>
  <si>
    <t>2016–2020</t>
  </si>
  <si>
    <r>
      <t xml:space="preserve">Gross Output Thermal Requirements for </t>
    </r>
    <r>
      <rPr>
        <b/>
        <u/>
        <sz val="10"/>
        <rFont val="Arial"/>
        <family val="2"/>
      </rPr>
      <t>Single Attached</t>
    </r>
    <r>
      <rPr>
        <b/>
        <sz val="10"/>
        <rFont val="Arial"/>
        <family val="2"/>
      </rPr>
      <t xml:space="preserve"> (GJ/household)</t>
    </r>
  </si>
  <si>
    <r>
      <t xml:space="preserve">Gross Output Thermal Requirements for </t>
    </r>
    <r>
      <rPr>
        <b/>
        <u/>
        <sz val="10"/>
        <rFont val="Arial"/>
        <family val="2"/>
      </rPr>
      <t>Apartments</t>
    </r>
    <r>
      <rPr>
        <b/>
        <sz val="10"/>
        <rFont val="Arial"/>
        <family val="2"/>
      </rPr>
      <t xml:space="preserve"> (GJ/household)</t>
    </r>
  </si>
  <si>
    <r>
      <t xml:space="preserve">Gross Output Thermal Requirements for </t>
    </r>
    <r>
      <rPr>
        <b/>
        <u/>
        <sz val="10"/>
        <rFont val="Arial"/>
        <family val="2"/>
      </rPr>
      <t>Mobile Homes</t>
    </r>
    <r>
      <rPr>
        <b/>
        <sz val="10"/>
        <rFont val="Arial"/>
        <family val="2"/>
      </rPr>
      <t xml:space="preserve"> (GJ/household)</t>
    </r>
  </si>
  <si>
    <t>Table 16: Single Detached and Single Attached Housing Stock by Vintage</t>
  </si>
  <si>
    <r>
      <t xml:space="preserve">Total </t>
    </r>
    <r>
      <rPr>
        <b/>
        <u/>
        <sz val="10"/>
        <rFont val="Arial"/>
        <family val="2"/>
      </rPr>
      <t>Single Detached</t>
    </r>
    <r>
      <rPr>
        <b/>
        <sz val="10"/>
        <rFont val="Arial"/>
        <family val="2"/>
      </rPr>
      <t xml:space="preserve"> Housing Stock (thousands)</t>
    </r>
  </si>
  <si>
    <t>Stock by Vintage (thousands)</t>
  </si>
  <si>
    <t>Shares (%)</t>
  </si>
  <si>
    <r>
      <t xml:space="preserve">Total </t>
    </r>
    <r>
      <rPr>
        <b/>
        <u/>
        <sz val="10"/>
        <rFont val="Arial"/>
        <family val="2"/>
      </rPr>
      <t>Single Attached</t>
    </r>
    <r>
      <rPr>
        <b/>
        <sz val="10"/>
        <rFont val="Arial"/>
        <family val="2"/>
      </rPr>
      <t xml:space="preserve"> Housing Stock (thousands)</t>
    </r>
  </si>
  <si>
    <t>Table 17: Apartments and Mobile Homes Housing Stock by Vintage</t>
  </si>
  <si>
    <r>
      <t xml:space="preserve">Total </t>
    </r>
    <r>
      <rPr>
        <b/>
        <u/>
        <sz val="10"/>
        <rFont val="Arial"/>
        <family val="2"/>
      </rPr>
      <t>Apartments</t>
    </r>
    <r>
      <rPr>
        <b/>
        <sz val="10"/>
        <rFont val="Arial"/>
        <family val="2"/>
      </rPr>
      <t xml:space="preserve"> Housing Stock (thousands)</t>
    </r>
  </si>
  <si>
    <r>
      <t xml:space="preserve">Total </t>
    </r>
    <r>
      <rPr>
        <b/>
        <u/>
        <sz val="10"/>
        <rFont val="Arial"/>
        <family val="2"/>
      </rPr>
      <t>Mobile Homes</t>
    </r>
    <r>
      <rPr>
        <b/>
        <sz val="10"/>
        <rFont val="Arial"/>
        <family val="2"/>
      </rPr>
      <t xml:space="preserve"> Housing Stock (thousands)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</si>
</sst>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5" fillId="0" borderId="1" xfId="0" applyFont="1" applyBorder="1"/>
    <xf numFmtId="0" fontId="5" fillId="0" borderId="0" xfId="0" applyFont="1"/>
    <xf numFmtId="0" fontId="0" fillId="0" borderId="0" xfId="0" applyAlignment="1">
      <alignment wrapText="1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left" indent="2"/>
    </xf>
    <xf numFmtId="16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wrapText="1"/>
    </xf>
    <xf numFmtId="165" fontId="5" fillId="0" borderId="0" xfId="0" applyNumberFormat="1" applyFont="1"/>
    <xf numFmtId="0" fontId="7" fillId="0" borderId="0" xfId="0" applyFont="1" applyAlignment="1">
      <alignment horizontal="left" indent="1"/>
    </xf>
    <xf numFmtId="165" fontId="0" fillId="0" borderId="0" xfId="0" applyNumberForma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VFP%20PROJECTS\NEUD\IMAGES\CANADA_BLK.JPG" TargetMode="External"/><Relationship Id="rId1" Type="http://schemas.openxmlformats.org/officeDocument/2006/relationships/image" Target="file:///C:\VFP%20PROJECTS\NEUD\IMAGES\NRCANLOGOEN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123825</xdr:colOff>
      <xdr:row>1</xdr:row>
      <xdr:rowOff>0</xdr:rowOff>
    </xdr:to>
    <xdr:pic>
      <xdr:nvPicPr>
        <xdr:cNvPr id="1025" name="Picture 2">
          <a:extLst>
            <a:ext uri="{FF2B5EF4-FFF2-40B4-BE49-F238E27FC236}">
              <a16:creationId xmlns:a16="http://schemas.microsoft.com/office/drawing/2014/main" id="{475A4117-824D-468A-88E7-6806383A0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3872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219075</xdr:colOff>
      <xdr:row>0</xdr:row>
      <xdr:rowOff>152400</xdr:rowOff>
    </xdr:from>
    <xdr:to>
      <xdr:col>23</xdr:col>
      <xdr:colOff>57150</xdr:colOff>
      <xdr:row>0</xdr:row>
      <xdr:rowOff>419100</xdr:rowOff>
    </xdr:to>
    <xdr:pic>
      <xdr:nvPicPr>
        <xdr:cNvPr id="1026" name="Picture 4">
          <a:extLst>
            <a:ext uri="{FF2B5EF4-FFF2-40B4-BE49-F238E27FC236}">
              <a16:creationId xmlns:a16="http://schemas.microsoft.com/office/drawing/2014/main" id="{6F5C4ACF-C382-4A46-BEB4-42763DB2F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2400"/>
          <a:ext cx="105727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8" sqref="H8"/>
    </sheetView>
  </sheetViews>
  <sheetFormatPr defaultRowHeight="15" x14ac:dyDescent="0.25"/>
  <cols>
    <col min="1" max="1" width="18.28515625" customWidth="1"/>
  </cols>
  <sheetData>
    <row r="1" spans="1:9" x14ac:dyDescent="0.25">
      <c r="A1" t="s">
        <v>0</v>
      </c>
      <c r="B1">
        <v>2018</v>
      </c>
      <c r="C1">
        <v>2023</v>
      </c>
      <c r="D1">
        <v>2025</v>
      </c>
      <c r="E1">
        <v>2030</v>
      </c>
      <c r="F1">
        <v>2035</v>
      </c>
      <c r="G1">
        <v>2040</v>
      </c>
      <c r="H1">
        <v>2045</v>
      </c>
      <c r="I1">
        <v>2050</v>
      </c>
    </row>
    <row r="2" spans="1:9" x14ac:dyDescent="0.25">
      <c r="A2" t="s">
        <v>1</v>
      </c>
      <c r="B2">
        <v>1</v>
      </c>
      <c r="C2">
        <v>1.0743186469040473</v>
      </c>
      <c r="D2">
        <v>1.1068652861962205</v>
      </c>
      <c r="E2">
        <v>1.1799676797964203</v>
      </c>
      <c r="F2">
        <v>1.2445018578560998</v>
      </c>
      <c r="G2">
        <v>1.3009849883605753</v>
      </c>
      <c r="H2">
        <v>1.3513459681199482</v>
      </c>
      <c r="I2">
        <v>1.3975416489705528</v>
      </c>
    </row>
    <row r="3" spans="1:9" x14ac:dyDescent="0.25">
      <c r="A3" t="s">
        <v>2</v>
      </c>
      <c r="B3" cm="1">
        <f t="array" ref="B3">SUM('gross thermal'!U14:U23*'stock single'!U15:U24+'gross thermal'!U27:U36*'stock single'!U41:U50+'gross thermal'!U40:U49*'stock apt. mob.'!U15:U24+'gross thermal'!U53:U62*'stock apt. mob.'!U41:U50)/1000</f>
        <v>390.03978319067403</v>
      </c>
      <c r="C3">
        <f>$B$3*C2/$B$2</f>
        <v>419.02701211615289</v>
      </c>
      <c r="D3">
        <f t="shared" ref="D3:I3" si="0">$B$3*D2/$B$2</f>
        <v>431.7214962492572</v>
      </c>
      <c r="E3">
        <f t="shared" si="0"/>
        <v>460.23433799979841</v>
      </c>
      <c r="F3">
        <f t="shared" si="0"/>
        <v>485.40523481858418</v>
      </c>
      <c r="G3">
        <f t="shared" si="0"/>
        <v>507.43590279448034</v>
      </c>
      <c r="H3">
        <f t="shared" si="0"/>
        <v>527.0786884210961</v>
      </c>
      <c r="I3">
        <f t="shared" si="0"/>
        <v>545.09684176441147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6"/>
  <sheetViews>
    <sheetView topLeftCell="A7" zoomScale="80" zoomScaleNormal="80" workbookViewId="0">
      <selection activeCell="G45" sqref="G45"/>
    </sheetView>
  </sheetViews>
  <sheetFormatPr defaultRowHeight="15" x14ac:dyDescent="0.25"/>
  <cols>
    <col min="1" max="1" width="3" customWidth="1"/>
    <col min="2" max="2" width="39.42578125" style="1" customWidth="1"/>
    <col min="3" max="15" width="10.42578125" customWidth="1"/>
    <col min="16" max="17" width="10.28515625" customWidth="1"/>
    <col min="18" max="19" width="9.5703125" customWidth="1"/>
    <col min="20" max="20" width="10.42578125" customWidth="1"/>
  </cols>
  <sheetData>
    <row r="1" spans="1:23" ht="45.2" customHeight="1" x14ac:dyDescent="0.25"/>
    <row r="2" spans="1:23" ht="34.5" customHeight="1" x14ac:dyDescent="0.25">
      <c r="B2"/>
    </row>
    <row r="5" spans="1:23" ht="13.5" customHeight="1" x14ac:dyDescent="0.25">
      <c r="A5" s="2" t="s">
        <v>3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23" ht="13.5" customHeight="1" x14ac:dyDescent="0.25">
      <c r="A6" s="2"/>
      <c r="F6" s="3"/>
      <c r="G6" s="3"/>
      <c r="H6" s="3"/>
      <c r="I6" s="3"/>
      <c r="J6" s="3"/>
      <c r="K6" s="3"/>
      <c r="L6" s="3"/>
      <c r="M6" s="3"/>
      <c r="N6" s="3"/>
      <c r="O6" s="3"/>
    </row>
    <row r="7" spans="1:23" ht="16.5" customHeight="1" x14ac:dyDescent="0.25">
      <c r="A7" s="4" t="s">
        <v>4</v>
      </c>
      <c r="C7" s="3"/>
      <c r="D7" s="3"/>
      <c r="E7" s="3"/>
    </row>
    <row r="8" spans="1:23" s="5" customFormat="1" ht="13.5" customHeight="1" x14ac:dyDescent="0.25">
      <c r="A8" s="4" t="s">
        <v>5</v>
      </c>
      <c r="B8" s="1"/>
    </row>
    <row r="9" spans="1:23" ht="13.5" customHeight="1" x14ac:dyDescent="0.25">
      <c r="C9" s="6"/>
      <c r="D9" s="6"/>
    </row>
    <row r="10" spans="1:23" ht="13.5" customHeight="1" x14ac:dyDescent="0.25"/>
    <row r="11" spans="1:23" ht="13.5" customHeight="1" thickBot="1" x14ac:dyDescent="0.3">
      <c r="C11" s="7">
        <v>2000</v>
      </c>
      <c r="D11" s="7">
        <v>2001</v>
      </c>
      <c r="E11" s="7">
        <v>2002</v>
      </c>
      <c r="F11" s="7">
        <v>2003</v>
      </c>
      <c r="G11" s="7">
        <v>2004</v>
      </c>
      <c r="H11" s="7">
        <v>2005</v>
      </c>
      <c r="I11" s="7">
        <v>2006</v>
      </c>
      <c r="J11" s="7">
        <v>2007</v>
      </c>
      <c r="K11" s="7">
        <v>2008</v>
      </c>
      <c r="L11" s="7">
        <v>2009</v>
      </c>
      <c r="M11" s="7">
        <v>2010</v>
      </c>
      <c r="N11" s="7">
        <v>2011</v>
      </c>
      <c r="O11" s="7">
        <v>2012</v>
      </c>
      <c r="P11" s="7">
        <v>2013</v>
      </c>
      <c r="Q11" s="7">
        <v>2014</v>
      </c>
      <c r="R11" s="7">
        <v>2015</v>
      </c>
      <c r="S11" s="7">
        <v>2016</v>
      </c>
      <c r="T11" s="7">
        <v>2017</v>
      </c>
      <c r="U11" s="7">
        <v>2018</v>
      </c>
      <c r="V11" s="7">
        <v>2019</v>
      </c>
      <c r="W11" s="7">
        <v>2020</v>
      </c>
    </row>
    <row r="12" spans="1:23" ht="13.5" customHeight="1" x14ac:dyDescent="0.25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23" s="9" customFormat="1" ht="13.5" customHeight="1" x14ac:dyDescent="0.25">
      <c r="B13" s="10" t="s">
        <v>6</v>
      </c>
    </row>
    <row r="14" spans="1:23" ht="13.5" customHeight="1" x14ac:dyDescent="0.25">
      <c r="B14" s="11" t="s">
        <v>7</v>
      </c>
      <c r="C14" s="12">
        <v>145.423992</v>
      </c>
      <c r="D14" s="12">
        <v>146.676849</v>
      </c>
      <c r="E14" s="12">
        <v>147.92970600000001</v>
      </c>
      <c r="F14" s="12">
        <v>149.18256400000001</v>
      </c>
      <c r="G14" s="12">
        <v>150.07778099999999</v>
      </c>
      <c r="H14" s="12">
        <v>150.97299899999999</v>
      </c>
      <c r="I14" s="12">
        <v>151.86821599999999</v>
      </c>
      <c r="J14" s="12">
        <v>152.76343399999999</v>
      </c>
      <c r="K14" s="12">
        <v>153.65858900000001</v>
      </c>
      <c r="L14" s="12">
        <v>154.55374499999999</v>
      </c>
      <c r="M14" s="12">
        <v>155.44890000000001</v>
      </c>
      <c r="N14" s="12">
        <v>156.344055</v>
      </c>
      <c r="O14" s="12">
        <v>154.00241500000001</v>
      </c>
      <c r="P14" s="12">
        <v>151.660776</v>
      </c>
      <c r="Q14" s="12">
        <v>149.31913599999999</v>
      </c>
      <c r="R14" s="12">
        <v>146.977497</v>
      </c>
      <c r="S14" s="12">
        <v>146.977497</v>
      </c>
      <c r="T14" s="12">
        <v>146.977497</v>
      </c>
      <c r="U14" s="12">
        <v>146.977497</v>
      </c>
      <c r="V14" s="12">
        <v>146.977497</v>
      </c>
      <c r="W14" s="12">
        <v>146.977497</v>
      </c>
    </row>
    <row r="15" spans="1:23" ht="13.5" customHeight="1" x14ac:dyDescent="0.25">
      <c r="B15" s="11" t="s">
        <v>8</v>
      </c>
      <c r="C15" s="12">
        <v>91.312558999999993</v>
      </c>
      <c r="D15" s="12">
        <v>91.933548000000002</v>
      </c>
      <c r="E15" s="12">
        <v>92.554536999999996</v>
      </c>
      <c r="F15" s="12">
        <v>93.175526000000005</v>
      </c>
      <c r="G15" s="12">
        <v>93.734498000000002</v>
      </c>
      <c r="H15" s="12">
        <v>94.293469000000002</v>
      </c>
      <c r="I15" s="12">
        <v>94.852440000000001</v>
      </c>
      <c r="J15" s="12">
        <v>95.411411000000001</v>
      </c>
      <c r="K15" s="12">
        <v>95.970796000000007</v>
      </c>
      <c r="L15" s="12">
        <v>96.530180999999999</v>
      </c>
      <c r="M15" s="12">
        <v>97.089567000000002</v>
      </c>
      <c r="N15" s="12">
        <v>97.648951999999994</v>
      </c>
      <c r="O15" s="12">
        <v>99.315956999999997</v>
      </c>
      <c r="P15" s="12">
        <v>100.982962</v>
      </c>
      <c r="Q15" s="12">
        <v>102.649967</v>
      </c>
      <c r="R15" s="12">
        <v>104.31697200000001</v>
      </c>
      <c r="S15" s="12">
        <v>104.31697200000001</v>
      </c>
      <c r="T15" s="12">
        <v>104.31697200000001</v>
      </c>
      <c r="U15" s="12">
        <v>104.31697200000001</v>
      </c>
      <c r="V15" s="12">
        <v>104.31697200000001</v>
      </c>
      <c r="W15" s="12">
        <v>104.31697200000001</v>
      </c>
    </row>
    <row r="16" spans="1:23" ht="13.5" customHeight="1" x14ac:dyDescent="0.25">
      <c r="B16" s="11" t="s">
        <v>9</v>
      </c>
      <c r="C16" s="12">
        <v>90.111649</v>
      </c>
      <c r="D16" s="12">
        <v>90.312731999999997</v>
      </c>
      <c r="E16" s="12">
        <v>90.513814999999994</v>
      </c>
      <c r="F16" s="12">
        <v>90.714898000000005</v>
      </c>
      <c r="G16" s="12">
        <v>90.761314999999996</v>
      </c>
      <c r="H16" s="12">
        <v>90.807732000000001</v>
      </c>
      <c r="I16" s="12">
        <v>90.854147999999995</v>
      </c>
      <c r="J16" s="12">
        <v>90.900565</v>
      </c>
      <c r="K16" s="12">
        <v>91.076846000000003</v>
      </c>
      <c r="L16" s="12">
        <v>91.253127000000006</v>
      </c>
      <c r="M16" s="12">
        <v>91.429406999999998</v>
      </c>
      <c r="N16" s="12">
        <v>91.605688000000001</v>
      </c>
      <c r="O16" s="12">
        <v>91.007538999999994</v>
      </c>
      <c r="P16" s="12">
        <v>90.409390000000002</v>
      </c>
      <c r="Q16" s="12">
        <v>89.811240999999995</v>
      </c>
      <c r="R16" s="12">
        <v>89.213092000000003</v>
      </c>
      <c r="S16" s="12">
        <v>89.213092000000003</v>
      </c>
      <c r="T16" s="12">
        <v>89.213092000000003</v>
      </c>
      <c r="U16" s="12">
        <v>89.213092000000003</v>
      </c>
      <c r="V16" s="12">
        <v>89.213092000000003</v>
      </c>
      <c r="W16" s="12">
        <v>89.213092000000003</v>
      </c>
    </row>
    <row r="17" spans="2:23" ht="13.5" customHeight="1" x14ac:dyDescent="0.25">
      <c r="B17" s="11" t="s">
        <v>10</v>
      </c>
      <c r="C17" s="12">
        <v>90.266069000000002</v>
      </c>
      <c r="D17" s="12">
        <v>90.265805999999998</v>
      </c>
      <c r="E17" s="12">
        <v>90.265542999999994</v>
      </c>
      <c r="F17" s="12">
        <v>90.265280000000004</v>
      </c>
      <c r="G17" s="12">
        <v>90.265289999999993</v>
      </c>
      <c r="H17" s="12">
        <v>90.265300999999994</v>
      </c>
      <c r="I17" s="12">
        <v>90.265310999999997</v>
      </c>
      <c r="J17" s="12">
        <v>90.265321999999998</v>
      </c>
      <c r="K17" s="12">
        <v>90.265705999999994</v>
      </c>
      <c r="L17" s="12">
        <v>90.266090000000005</v>
      </c>
      <c r="M17" s="12">
        <v>90.266475</v>
      </c>
      <c r="N17" s="12">
        <v>90.266858999999997</v>
      </c>
      <c r="O17" s="12">
        <v>91.244011</v>
      </c>
      <c r="P17" s="12">
        <v>92.221164000000002</v>
      </c>
      <c r="Q17" s="12">
        <v>93.198316000000005</v>
      </c>
      <c r="R17" s="12">
        <v>94.175469000000007</v>
      </c>
      <c r="S17" s="12">
        <v>94.175469000000007</v>
      </c>
      <c r="T17" s="12">
        <v>94.175469000000007</v>
      </c>
      <c r="U17" s="12">
        <v>94.175469000000007</v>
      </c>
      <c r="V17" s="12">
        <v>94.175469000000007</v>
      </c>
      <c r="W17" s="12">
        <v>94.175469000000007</v>
      </c>
    </row>
    <row r="18" spans="2:23" ht="13.5" customHeight="1" x14ac:dyDescent="0.25">
      <c r="B18" s="11" t="s">
        <v>11</v>
      </c>
      <c r="C18" s="12">
        <v>82.105089000000007</v>
      </c>
      <c r="D18" s="12">
        <v>82.105328</v>
      </c>
      <c r="E18" s="12">
        <v>82.105568000000005</v>
      </c>
      <c r="F18" s="12">
        <v>82.105806999999999</v>
      </c>
      <c r="G18" s="12">
        <v>82.105773999999997</v>
      </c>
      <c r="H18" s="12">
        <v>82.105742000000006</v>
      </c>
      <c r="I18" s="12">
        <v>82.105709000000004</v>
      </c>
      <c r="J18" s="12">
        <v>82.105677</v>
      </c>
      <c r="K18" s="12">
        <v>82.105350000000001</v>
      </c>
      <c r="L18" s="12">
        <v>82.105023000000003</v>
      </c>
      <c r="M18" s="12">
        <v>82.104697000000002</v>
      </c>
      <c r="N18" s="12">
        <v>82.104370000000003</v>
      </c>
      <c r="O18" s="12">
        <v>80.866664999999998</v>
      </c>
      <c r="P18" s="12">
        <v>79.628960000000006</v>
      </c>
      <c r="Q18" s="12">
        <v>78.391255000000001</v>
      </c>
      <c r="R18" s="12">
        <v>77.153549999999996</v>
      </c>
      <c r="S18" s="12">
        <v>77.153549999999996</v>
      </c>
      <c r="T18" s="12">
        <v>77.153549999999996</v>
      </c>
      <c r="U18" s="12">
        <v>77.153549999999996</v>
      </c>
      <c r="V18" s="12">
        <v>77.153549999999996</v>
      </c>
      <c r="W18" s="12">
        <v>77.153549999999996</v>
      </c>
    </row>
    <row r="19" spans="2:23" ht="13.5" customHeight="1" x14ac:dyDescent="0.25">
      <c r="B19" s="11" t="s">
        <v>12</v>
      </c>
      <c r="C19" s="12">
        <v>65.403693000000004</v>
      </c>
      <c r="D19" s="12">
        <v>65.403969000000004</v>
      </c>
      <c r="E19" s="12">
        <v>65.404246000000001</v>
      </c>
      <c r="F19" s="12">
        <v>65.404522999999998</v>
      </c>
      <c r="G19" s="12">
        <v>65.404477999999997</v>
      </c>
      <c r="H19" s="12">
        <v>65.404432999999997</v>
      </c>
      <c r="I19" s="12">
        <v>65.404387999999997</v>
      </c>
      <c r="J19" s="12">
        <v>65.404342999999997</v>
      </c>
      <c r="K19" s="12">
        <v>65.403972999999993</v>
      </c>
      <c r="L19" s="12">
        <v>65.403603000000004</v>
      </c>
      <c r="M19" s="12">
        <v>65.403233</v>
      </c>
      <c r="N19" s="12">
        <v>65.402862999999996</v>
      </c>
      <c r="O19" s="12">
        <v>66.413274000000001</v>
      </c>
      <c r="P19" s="12">
        <v>67.423686000000004</v>
      </c>
      <c r="Q19" s="12">
        <v>68.434096999999994</v>
      </c>
      <c r="R19" s="12">
        <v>69.444508999999996</v>
      </c>
      <c r="S19" s="12">
        <v>69.444508999999996</v>
      </c>
      <c r="T19" s="12">
        <v>69.444508999999996</v>
      </c>
      <c r="U19" s="12">
        <v>69.444508999999996</v>
      </c>
      <c r="V19" s="12">
        <v>69.444508999999996</v>
      </c>
      <c r="W19" s="12">
        <v>69.444508999999996</v>
      </c>
    </row>
    <row r="20" spans="2:23" ht="13.5" customHeight="1" x14ac:dyDescent="0.25">
      <c r="B20" s="11" t="s">
        <v>13</v>
      </c>
      <c r="C20" s="12">
        <v>0</v>
      </c>
      <c r="D20" s="12">
        <v>67.881738999999996</v>
      </c>
      <c r="E20" s="12">
        <v>67.881738999999996</v>
      </c>
      <c r="F20" s="12">
        <v>67.881738999999996</v>
      </c>
      <c r="G20" s="12">
        <v>67.882097999999999</v>
      </c>
      <c r="H20" s="12">
        <v>67.882457000000002</v>
      </c>
      <c r="I20" s="12">
        <v>67.882816000000005</v>
      </c>
      <c r="J20" s="12">
        <v>67.883174999999994</v>
      </c>
      <c r="K20" s="12">
        <v>67.882816000000005</v>
      </c>
      <c r="L20" s="12">
        <v>67.882457000000002</v>
      </c>
      <c r="M20" s="12">
        <v>67.882097999999999</v>
      </c>
      <c r="N20" s="12">
        <v>67.881738999999996</v>
      </c>
      <c r="O20" s="12">
        <v>68.859144999999998</v>
      </c>
      <c r="P20" s="12">
        <v>69.836551999999998</v>
      </c>
      <c r="Q20" s="12">
        <v>70.813958999999997</v>
      </c>
      <c r="R20" s="12">
        <v>71.791364999999999</v>
      </c>
      <c r="S20" s="12">
        <v>71.791364999999999</v>
      </c>
      <c r="T20" s="12">
        <v>71.791364999999999</v>
      </c>
      <c r="U20" s="12">
        <v>71.791364999999999</v>
      </c>
      <c r="V20" s="12">
        <v>71.791364999999999</v>
      </c>
      <c r="W20" s="12">
        <v>71.791364999999999</v>
      </c>
    </row>
    <row r="21" spans="2:23" ht="13.5" customHeight="1" x14ac:dyDescent="0.25">
      <c r="B21" s="11" t="s">
        <v>14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65.371536000000006</v>
      </c>
      <c r="J21" s="12">
        <v>65.371536000000006</v>
      </c>
      <c r="K21" s="12">
        <v>65.371536000000006</v>
      </c>
      <c r="L21" s="12">
        <v>65.371536000000006</v>
      </c>
      <c r="M21" s="12">
        <v>65.371536000000006</v>
      </c>
      <c r="N21" s="12">
        <v>65.371536000000006</v>
      </c>
      <c r="O21" s="12">
        <v>66.542000999999999</v>
      </c>
      <c r="P21" s="12">
        <v>67.712464999999995</v>
      </c>
      <c r="Q21" s="12">
        <v>68.882930000000002</v>
      </c>
      <c r="R21" s="12">
        <v>70.053393999999997</v>
      </c>
      <c r="S21" s="12">
        <v>70.053393999999997</v>
      </c>
      <c r="T21" s="12">
        <v>70.053393999999997</v>
      </c>
      <c r="U21" s="12">
        <v>70.053393999999997</v>
      </c>
      <c r="V21" s="12">
        <v>70.053393999999997</v>
      </c>
      <c r="W21" s="12">
        <v>70.053393999999997</v>
      </c>
    </row>
    <row r="22" spans="2:23" ht="13.5" customHeight="1" x14ac:dyDescent="0.25">
      <c r="B22" s="11" t="s">
        <v>15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66.449430000000007</v>
      </c>
      <c r="O22" s="12">
        <v>66.858446000000001</v>
      </c>
      <c r="P22" s="12">
        <v>67.267463000000006</v>
      </c>
      <c r="Q22" s="12">
        <v>67.676479</v>
      </c>
      <c r="R22" s="12">
        <v>68.085494999999995</v>
      </c>
      <c r="S22" s="12">
        <v>68.085494999999995</v>
      </c>
      <c r="T22" s="12">
        <v>68.085494999999995</v>
      </c>
      <c r="U22" s="12">
        <v>68.085494999999995</v>
      </c>
      <c r="V22" s="12">
        <v>68.085494999999995</v>
      </c>
      <c r="W22" s="12">
        <v>68.085494999999995</v>
      </c>
    </row>
    <row r="23" spans="2:23" ht="13.5" customHeight="1" x14ac:dyDescent="0.25">
      <c r="B23" s="11" t="s">
        <v>16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67.547712000000004</v>
      </c>
      <c r="T23" s="12">
        <v>67.547712000000004</v>
      </c>
      <c r="U23" s="12">
        <v>67.547712000000004</v>
      </c>
      <c r="V23" s="12">
        <v>67.547712000000004</v>
      </c>
      <c r="W23" s="12">
        <v>67.547712000000004</v>
      </c>
    </row>
    <row r="24" spans="2:23" ht="13.5" customHeight="1" x14ac:dyDescent="0.25"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2:23" ht="13.5" customHeight="1" x14ac:dyDescent="0.25">
      <c r="B25" s="1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2:23" s="9" customFormat="1" ht="13.5" customHeight="1" x14ac:dyDescent="0.25">
      <c r="B26" s="10" t="s">
        <v>17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 spans="2:23" ht="13.5" customHeight="1" x14ac:dyDescent="0.25">
      <c r="B27" s="11" t="s">
        <v>7</v>
      </c>
      <c r="C27" s="12">
        <v>115.34832900000001</v>
      </c>
      <c r="D27" s="12">
        <v>116.133363</v>
      </c>
      <c r="E27" s="12">
        <v>116.918397</v>
      </c>
      <c r="F27" s="12">
        <v>117.70343099999999</v>
      </c>
      <c r="G27" s="12">
        <v>118.409704</v>
      </c>
      <c r="H27" s="12">
        <v>119.115977</v>
      </c>
      <c r="I27" s="12">
        <v>119.82225</v>
      </c>
      <c r="J27" s="12">
        <v>120.52852300000001</v>
      </c>
      <c r="K27" s="12">
        <v>121.234335</v>
      </c>
      <c r="L27" s="12">
        <v>121.940146</v>
      </c>
      <c r="M27" s="12">
        <v>122.64595799999999</v>
      </c>
      <c r="N27" s="12">
        <v>123.351769</v>
      </c>
      <c r="O27" s="12">
        <v>122.170135</v>
      </c>
      <c r="P27" s="12">
        <v>120.988501</v>
      </c>
      <c r="Q27" s="12">
        <v>119.806866</v>
      </c>
      <c r="R27" s="12">
        <v>118.625232</v>
      </c>
      <c r="S27" s="12">
        <v>118.625232</v>
      </c>
      <c r="T27" s="12">
        <v>118.625232</v>
      </c>
      <c r="U27" s="12">
        <v>118.625232</v>
      </c>
      <c r="V27" s="12">
        <v>118.625232</v>
      </c>
      <c r="W27" s="12">
        <v>118.625232</v>
      </c>
    </row>
    <row r="28" spans="2:23" ht="13.5" customHeight="1" x14ac:dyDescent="0.25">
      <c r="B28" s="11" t="s">
        <v>8</v>
      </c>
      <c r="C28" s="12">
        <v>70.692850000000007</v>
      </c>
      <c r="D28" s="12">
        <v>71.173299</v>
      </c>
      <c r="E28" s="12">
        <v>71.653747999999993</v>
      </c>
      <c r="F28" s="12">
        <v>72.134197</v>
      </c>
      <c r="G28" s="12">
        <v>72.566935000000001</v>
      </c>
      <c r="H28" s="12">
        <v>72.999672000000004</v>
      </c>
      <c r="I28" s="12">
        <v>73.432410000000004</v>
      </c>
      <c r="J28" s="12">
        <v>73.865146999999993</v>
      </c>
      <c r="K28" s="12">
        <v>74.297342</v>
      </c>
      <c r="L28" s="12">
        <v>74.729535999999996</v>
      </c>
      <c r="M28" s="12">
        <v>75.161731000000003</v>
      </c>
      <c r="N28" s="12">
        <v>75.593925999999996</v>
      </c>
      <c r="O28" s="12">
        <v>79.837260999999998</v>
      </c>
      <c r="P28" s="12">
        <v>84.080596999999997</v>
      </c>
      <c r="Q28" s="12">
        <v>88.323931999999999</v>
      </c>
      <c r="R28" s="12">
        <v>92.567267999999999</v>
      </c>
      <c r="S28" s="12">
        <v>92.567267999999999</v>
      </c>
      <c r="T28" s="12">
        <v>92.567267999999999</v>
      </c>
      <c r="U28" s="12">
        <v>92.567267999999999</v>
      </c>
      <c r="V28" s="12">
        <v>92.567267999999999</v>
      </c>
      <c r="W28" s="12">
        <v>92.567267999999999</v>
      </c>
    </row>
    <row r="29" spans="2:23" ht="13.5" customHeight="1" x14ac:dyDescent="0.25">
      <c r="B29" s="11" t="s">
        <v>9</v>
      </c>
      <c r="C29" s="12">
        <v>64.514225999999994</v>
      </c>
      <c r="D29" s="12">
        <v>64.514536000000007</v>
      </c>
      <c r="E29" s="12">
        <v>64.514847000000003</v>
      </c>
      <c r="F29" s="12">
        <v>64.515158</v>
      </c>
      <c r="G29" s="12">
        <v>64.515097999999995</v>
      </c>
      <c r="H29" s="12">
        <v>64.515039000000002</v>
      </c>
      <c r="I29" s="12">
        <v>64.514979999999994</v>
      </c>
      <c r="J29" s="12">
        <v>64.514921000000001</v>
      </c>
      <c r="K29" s="12">
        <v>64.514514000000005</v>
      </c>
      <c r="L29" s="12">
        <v>64.514106999999996</v>
      </c>
      <c r="M29" s="12">
        <v>64.513700999999998</v>
      </c>
      <c r="N29" s="12">
        <v>64.513294000000002</v>
      </c>
      <c r="O29" s="12">
        <v>63.112541</v>
      </c>
      <c r="P29" s="12">
        <v>61.711787999999999</v>
      </c>
      <c r="Q29" s="12">
        <v>60.311033999999999</v>
      </c>
      <c r="R29" s="12">
        <v>58.910280999999998</v>
      </c>
      <c r="S29" s="12">
        <v>58.910280999999998</v>
      </c>
      <c r="T29" s="12">
        <v>58.910280999999998</v>
      </c>
      <c r="U29" s="12">
        <v>58.910280999999998</v>
      </c>
      <c r="V29" s="12">
        <v>58.910280999999998</v>
      </c>
      <c r="W29" s="12">
        <v>58.910280999999998</v>
      </c>
    </row>
    <row r="30" spans="2:23" ht="13.5" customHeight="1" x14ac:dyDescent="0.25">
      <c r="B30" s="11" t="s">
        <v>10</v>
      </c>
      <c r="C30" s="12">
        <v>61.876637000000002</v>
      </c>
      <c r="D30" s="12">
        <v>61.876714</v>
      </c>
      <c r="E30" s="12">
        <v>61.876790999999997</v>
      </c>
      <c r="F30" s="12">
        <v>61.876868000000002</v>
      </c>
      <c r="G30" s="12">
        <v>61.876868000000002</v>
      </c>
      <c r="H30" s="12">
        <v>61.876868000000002</v>
      </c>
      <c r="I30" s="12">
        <v>61.876868000000002</v>
      </c>
      <c r="J30" s="12">
        <v>61.876868000000002</v>
      </c>
      <c r="K30" s="12">
        <v>61.876752000000003</v>
      </c>
      <c r="L30" s="12">
        <v>61.876637000000002</v>
      </c>
      <c r="M30" s="12">
        <v>61.876522000000001</v>
      </c>
      <c r="N30" s="12">
        <v>61.876407</v>
      </c>
      <c r="O30" s="12">
        <v>63.151187</v>
      </c>
      <c r="P30" s="12">
        <v>64.425967</v>
      </c>
      <c r="Q30" s="12">
        <v>65.700747000000007</v>
      </c>
      <c r="R30" s="12">
        <v>66.975527999999997</v>
      </c>
      <c r="S30" s="12">
        <v>66.975527999999997</v>
      </c>
      <c r="T30" s="12">
        <v>66.975527999999997</v>
      </c>
      <c r="U30" s="12">
        <v>66.975527999999997</v>
      </c>
      <c r="V30" s="12">
        <v>66.975527999999997</v>
      </c>
      <c r="W30" s="12">
        <v>66.975527999999997</v>
      </c>
    </row>
    <row r="31" spans="2:23" ht="13.5" customHeight="1" x14ac:dyDescent="0.25">
      <c r="B31" s="11" t="s">
        <v>11</v>
      </c>
      <c r="C31" s="12">
        <v>48.978372</v>
      </c>
      <c r="D31" s="12">
        <v>48.978548000000004</v>
      </c>
      <c r="E31" s="12">
        <v>48.978724999999997</v>
      </c>
      <c r="F31" s="12">
        <v>48.978901</v>
      </c>
      <c r="G31" s="12">
        <v>48.978929999999998</v>
      </c>
      <c r="H31" s="12">
        <v>48.978960000000001</v>
      </c>
      <c r="I31" s="12">
        <v>48.978988999999999</v>
      </c>
      <c r="J31" s="12">
        <v>48.979019000000001</v>
      </c>
      <c r="K31" s="12">
        <v>48.978724999999997</v>
      </c>
      <c r="L31" s="12">
        <v>48.978431</v>
      </c>
      <c r="M31" s="12">
        <v>48.978136999999997</v>
      </c>
      <c r="N31" s="12">
        <v>48.977843</v>
      </c>
      <c r="O31" s="12">
        <v>50.435656999999999</v>
      </c>
      <c r="P31" s="12">
        <v>51.893470999999998</v>
      </c>
      <c r="Q31" s="12">
        <v>53.351284</v>
      </c>
      <c r="R31" s="12">
        <v>54.809097999999999</v>
      </c>
      <c r="S31" s="12">
        <v>54.809097999999999</v>
      </c>
      <c r="T31" s="12">
        <v>54.809097999999999</v>
      </c>
      <c r="U31" s="12">
        <v>54.809097999999999</v>
      </c>
      <c r="V31" s="12">
        <v>54.809097999999999</v>
      </c>
      <c r="W31" s="12">
        <v>54.809097999999999</v>
      </c>
    </row>
    <row r="32" spans="2:23" ht="13.5" customHeight="1" x14ac:dyDescent="0.25">
      <c r="B32" s="11" t="s">
        <v>12</v>
      </c>
      <c r="C32" s="12">
        <v>41.967077000000003</v>
      </c>
      <c r="D32" s="12">
        <v>41.966901999999997</v>
      </c>
      <c r="E32" s="12">
        <v>41.966728000000003</v>
      </c>
      <c r="F32" s="12">
        <v>41.966554000000002</v>
      </c>
      <c r="G32" s="12">
        <v>41.966565000000003</v>
      </c>
      <c r="H32" s="12">
        <v>41.966577000000001</v>
      </c>
      <c r="I32" s="12">
        <v>41.966588999999999</v>
      </c>
      <c r="J32" s="12">
        <v>41.966600999999997</v>
      </c>
      <c r="K32" s="12">
        <v>41.966850999999998</v>
      </c>
      <c r="L32" s="12">
        <v>41.967100000000002</v>
      </c>
      <c r="M32" s="12">
        <v>41.967350000000003</v>
      </c>
      <c r="N32" s="12">
        <v>41.967599999999997</v>
      </c>
      <c r="O32" s="12">
        <v>44.667397000000001</v>
      </c>
      <c r="P32" s="12">
        <v>47.367193999999998</v>
      </c>
      <c r="Q32" s="12">
        <v>50.066991000000002</v>
      </c>
      <c r="R32" s="12">
        <v>52.766787000000001</v>
      </c>
      <c r="S32" s="12">
        <v>52.766787000000001</v>
      </c>
      <c r="T32" s="12">
        <v>52.766787000000001</v>
      </c>
      <c r="U32" s="12">
        <v>52.766787000000001</v>
      </c>
      <c r="V32" s="12">
        <v>52.766787000000001</v>
      </c>
      <c r="W32" s="12">
        <v>52.766787000000001</v>
      </c>
    </row>
    <row r="33" spans="2:23" ht="13.5" customHeight="1" x14ac:dyDescent="0.25">
      <c r="B33" s="11" t="s">
        <v>13</v>
      </c>
      <c r="C33" s="12">
        <v>0</v>
      </c>
      <c r="D33" s="12">
        <v>43.558397999999997</v>
      </c>
      <c r="E33" s="12">
        <v>43.558397999999997</v>
      </c>
      <c r="F33" s="12">
        <v>43.558397999999997</v>
      </c>
      <c r="G33" s="12">
        <v>43.558075000000002</v>
      </c>
      <c r="H33" s="12">
        <v>43.557752000000001</v>
      </c>
      <c r="I33" s="12">
        <v>43.557428999999999</v>
      </c>
      <c r="J33" s="12">
        <v>43.557105999999997</v>
      </c>
      <c r="K33" s="12">
        <v>43.557428999999999</v>
      </c>
      <c r="L33" s="12">
        <v>43.557752000000001</v>
      </c>
      <c r="M33" s="12">
        <v>43.558075000000002</v>
      </c>
      <c r="N33" s="12">
        <v>43.558397999999997</v>
      </c>
      <c r="O33" s="12">
        <v>44.824179999999998</v>
      </c>
      <c r="P33" s="12">
        <v>46.089962</v>
      </c>
      <c r="Q33" s="12">
        <v>47.355742999999997</v>
      </c>
      <c r="R33" s="12">
        <v>48.621524999999998</v>
      </c>
      <c r="S33" s="12">
        <v>48.621524999999998</v>
      </c>
      <c r="T33" s="12">
        <v>48.621524999999998</v>
      </c>
      <c r="U33" s="12">
        <v>48.621524999999998</v>
      </c>
      <c r="V33" s="12">
        <v>48.621524999999998</v>
      </c>
      <c r="W33" s="12">
        <v>48.621524999999998</v>
      </c>
    </row>
    <row r="34" spans="2:23" ht="13.5" customHeight="1" x14ac:dyDescent="0.25">
      <c r="B34" s="11" t="s">
        <v>14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41.945225000000001</v>
      </c>
      <c r="J34" s="12">
        <v>41.945371000000002</v>
      </c>
      <c r="K34" s="12">
        <v>41.945225000000001</v>
      </c>
      <c r="L34" s="12">
        <v>41.945079999999997</v>
      </c>
      <c r="M34" s="12">
        <v>41.944935000000001</v>
      </c>
      <c r="N34" s="12">
        <v>41.944789</v>
      </c>
      <c r="O34" s="12">
        <v>42.240676999999998</v>
      </c>
      <c r="P34" s="12">
        <v>42.536563999999998</v>
      </c>
      <c r="Q34" s="12">
        <v>42.832452000000004</v>
      </c>
      <c r="R34" s="12">
        <v>43.128338999999997</v>
      </c>
      <c r="S34" s="12">
        <v>43.128338999999997</v>
      </c>
      <c r="T34" s="12">
        <v>43.128338999999997</v>
      </c>
      <c r="U34" s="12">
        <v>43.128338999999997</v>
      </c>
      <c r="V34" s="12">
        <v>43.128338999999997</v>
      </c>
      <c r="W34" s="12">
        <v>43.128338999999997</v>
      </c>
    </row>
    <row r="35" spans="2:23" ht="13.5" customHeight="1" x14ac:dyDescent="0.25">
      <c r="B35" s="11" t="s">
        <v>15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42.637762000000002</v>
      </c>
      <c r="O35" s="12">
        <v>41.525821000000001</v>
      </c>
      <c r="P35" s="12">
        <v>40.413879999999999</v>
      </c>
      <c r="Q35" s="12">
        <v>39.301938999999997</v>
      </c>
      <c r="R35" s="12">
        <v>38.189998000000003</v>
      </c>
      <c r="S35" s="12">
        <v>38.189998000000003</v>
      </c>
      <c r="T35" s="12">
        <v>38.189998000000003</v>
      </c>
      <c r="U35" s="12">
        <v>38.189998000000003</v>
      </c>
      <c r="V35" s="12">
        <v>38.189998000000003</v>
      </c>
      <c r="W35" s="12">
        <v>38.189998000000003</v>
      </c>
    </row>
    <row r="36" spans="2:23" ht="13.5" customHeight="1" x14ac:dyDescent="0.25">
      <c r="B36" s="11" t="s">
        <v>16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43.340288000000001</v>
      </c>
      <c r="T36" s="12">
        <v>43.340288000000001</v>
      </c>
      <c r="U36" s="12">
        <v>43.340288000000001</v>
      </c>
      <c r="V36" s="12">
        <v>43.340288000000001</v>
      </c>
      <c r="W36" s="12">
        <v>43.340288000000001</v>
      </c>
    </row>
    <row r="37" spans="2:23" ht="13.5" customHeight="1" x14ac:dyDescent="0.25"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2:23" ht="13.5" customHeight="1" x14ac:dyDescent="0.25">
      <c r="B38" s="1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spans="2:23" s="9" customFormat="1" ht="13.5" customHeight="1" x14ac:dyDescent="0.25">
      <c r="B39" s="10" t="s">
        <v>18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 spans="2:23" ht="13.5" customHeight="1" x14ac:dyDescent="0.25">
      <c r="B40" s="11" t="s">
        <v>7</v>
      </c>
      <c r="C40" s="12">
        <v>60.547361000000002</v>
      </c>
      <c r="D40" s="12">
        <v>60.959114</v>
      </c>
      <c r="E40" s="12">
        <v>61.370866999999997</v>
      </c>
      <c r="F40" s="12">
        <v>61.782618999999997</v>
      </c>
      <c r="G40" s="12">
        <v>62.153232000000003</v>
      </c>
      <c r="H40" s="12">
        <v>62.523845000000001</v>
      </c>
      <c r="I40" s="12">
        <v>62.894457000000003</v>
      </c>
      <c r="J40" s="12">
        <v>63.265070000000001</v>
      </c>
      <c r="K40" s="12">
        <v>63.812097999999999</v>
      </c>
      <c r="L40" s="12">
        <v>64.359125000000006</v>
      </c>
      <c r="M40" s="12">
        <v>64.906153000000003</v>
      </c>
      <c r="N40" s="12">
        <v>65.453181000000001</v>
      </c>
      <c r="O40" s="12">
        <v>65.849322999999998</v>
      </c>
      <c r="P40" s="12">
        <v>66.245463999999998</v>
      </c>
      <c r="Q40" s="12">
        <v>66.641605999999996</v>
      </c>
      <c r="R40" s="12">
        <v>67.037747999999993</v>
      </c>
      <c r="S40" s="12">
        <v>67.037747999999993</v>
      </c>
      <c r="T40" s="12">
        <v>67.037747999999993</v>
      </c>
      <c r="U40" s="12">
        <v>67.037747999999993</v>
      </c>
      <c r="V40" s="12">
        <v>67.037747999999993</v>
      </c>
      <c r="W40" s="12">
        <v>67.037747999999993</v>
      </c>
    </row>
    <row r="41" spans="2:23" ht="13.5" customHeight="1" x14ac:dyDescent="0.25">
      <c r="B41" s="11" t="s">
        <v>8</v>
      </c>
      <c r="C41" s="12">
        <v>42.649321999999998</v>
      </c>
      <c r="D41" s="12">
        <v>42.939247999999999</v>
      </c>
      <c r="E41" s="12">
        <v>43.229174</v>
      </c>
      <c r="F41" s="12">
        <v>43.519100999999999</v>
      </c>
      <c r="G41" s="12">
        <v>43.780189999999997</v>
      </c>
      <c r="H41" s="12">
        <v>44.04128</v>
      </c>
      <c r="I41" s="12">
        <v>44.302368999999999</v>
      </c>
      <c r="J41" s="12">
        <v>44.563459000000002</v>
      </c>
      <c r="K41" s="12">
        <v>44.824939000000001</v>
      </c>
      <c r="L41" s="12">
        <v>45.086418999999999</v>
      </c>
      <c r="M41" s="12">
        <v>45.347898999999998</v>
      </c>
      <c r="N41" s="12">
        <v>45.609378999999997</v>
      </c>
      <c r="O41" s="12">
        <v>45.885168</v>
      </c>
      <c r="P41" s="12">
        <v>46.160958000000001</v>
      </c>
      <c r="Q41" s="12">
        <v>46.436748000000001</v>
      </c>
      <c r="R41" s="12">
        <v>46.712538000000002</v>
      </c>
      <c r="S41" s="12">
        <v>46.712538000000002</v>
      </c>
      <c r="T41" s="12">
        <v>46.712538000000002</v>
      </c>
      <c r="U41" s="12">
        <v>46.712538000000002</v>
      </c>
      <c r="V41" s="12">
        <v>46.712538000000002</v>
      </c>
      <c r="W41" s="12">
        <v>46.712538000000002</v>
      </c>
    </row>
    <row r="42" spans="2:23" ht="13.5" customHeight="1" x14ac:dyDescent="0.25">
      <c r="B42" s="11" t="s">
        <v>9</v>
      </c>
      <c r="C42" s="12">
        <v>33.990538000000001</v>
      </c>
      <c r="D42" s="12">
        <v>34.061059999999998</v>
      </c>
      <c r="E42" s="12">
        <v>34.131582000000002</v>
      </c>
      <c r="F42" s="12">
        <v>34.202103999999999</v>
      </c>
      <c r="G42" s="12">
        <v>34.307571000000003</v>
      </c>
      <c r="H42" s="12">
        <v>34.413038</v>
      </c>
      <c r="I42" s="12">
        <v>34.518504999999998</v>
      </c>
      <c r="J42" s="12">
        <v>34.623972000000002</v>
      </c>
      <c r="K42" s="12">
        <v>34.729123000000001</v>
      </c>
      <c r="L42" s="12">
        <v>34.834274000000001</v>
      </c>
      <c r="M42" s="12">
        <v>34.939424000000002</v>
      </c>
      <c r="N42" s="12">
        <v>35.044575000000002</v>
      </c>
      <c r="O42" s="12">
        <v>35.044575000000002</v>
      </c>
      <c r="P42" s="12">
        <v>35.044575000000002</v>
      </c>
      <c r="Q42" s="12">
        <v>35.044575000000002</v>
      </c>
      <c r="R42" s="12">
        <v>35.044575000000002</v>
      </c>
      <c r="S42" s="12">
        <v>35.044575000000002</v>
      </c>
      <c r="T42" s="12">
        <v>35.044575000000002</v>
      </c>
      <c r="U42" s="12">
        <v>35.044575000000002</v>
      </c>
      <c r="V42" s="12">
        <v>35.044575000000002</v>
      </c>
      <c r="W42" s="12">
        <v>35.044575000000002</v>
      </c>
    </row>
    <row r="43" spans="2:23" ht="13.5" customHeight="1" x14ac:dyDescent="0.25">
      <c r="B43" s="11" t="s">
        <v>10</v>
      </c>
      <c r="C43" s="12">
        <v>29.300388000000002</v>
      </c>
      <c r="D43" s="12">
        <v>29.300447999999999</v>
      </c>
      <c r="E43" s="12">
        <v>29.300508000000001</v>
      </c>
      <c r="F43" s="12">
        <v>29.300567999999998</v>
      </c>
      <c r="G43" s="12">
        <v>29.300567999999998</v>
      </c>
      <c r="H43" s="12">
        <v>29.300567999999998</v>
      </c>
      <c r="I43" s="12">
        <v>29.300567999999998</v>
      </c>
      <c r="J43" s="12">
        <v>29.300567999999998</v>
      </c>
      <c r="K43" s="12">
        <v>29.300477999999998</v>
      </c>
      <c r="L43" s="12">
        <v>29.300388000000002</v>
      </c>
      <c r="M43" s="12">
        <v>29.300298999999999</v>
      </c>
      <c r="N43" s="12">
        <v>29.300208999999999</v>
      </c>
      <c r="O43" s="12">
        <v>29.300208999999999</v>
      </c>
      <c r="P43" s="12">
        <v>29.300208999999999</v>
      </c>
      <c r="Q43" s="12">
        <v>29.300208999999999</v>
      </c>
      <c r="R43" s="12">
        <v>29.300208999999999</v>
      </c>
      <c r="S43" s="12">
        <v>29.300208999999999</v>
      </c>
      <c r="T43" s="12">
        <v>29.300208999999999</v>
      </c>
      <c r="U43" s="12">
        <v>29.300208999999999</v>
      </c>
      <c r="V43" s="12">
        <v>29.300208999999999</v>
      </c>
      <c r="W43" s="12">
        <v>29.300208999999999</v>
      </c>
    </row>
    <row r="44" spans="2:23" ht="13.5" customHeight="1" x14ac:dyDescent="0.25">
      <c r="B44" s="11" t="s">
        <v>11</v>
      </c>
      <c r="C44" s="12">
        <v>27.477229000000001</v>
      </c>
      <c r="D44" s="12">
        <v>27.477077000000001</v>
      </c>
      <c r="E44" s="12">
        <v>27.476925000000001</v>
      </c>
      <c r="F44" s="12">
        <v>27.476772</v>
      </c>
      <c r="G44" s="12">
        <v>27.476772</v>
      </c>
      <c r="H44" s="12">
        <v>27.476772</v>
      </c>
      <c r="I44" s="12">
        <v>27.476772</v>
      </c>
      <c r="J44" s="12">
        <v>27.476772</v>
      </c>
      <c r="K44" s="12">
        <v>27.477001000000001</v>
      </c>
      <c r="L44" s="12">
        <v>27.477229000000001</v>
      </c>
      <c r="M44" s="12">
        <v>27.477457999999999</v>
      </c>
      <c r="N44" s="12">
        <v>27.477687</v>
      </c>
      <c r="O44" s="12">
        <v>27.477687</v>
      </c>
      <c r="P44" s="12">
        <v>27.477687</v>
      </c>
      <c r="Q44" s="12">
        <v>27.477687</v>
      </c>
      <c r="R44" s="12">
        <v>27.477687</v>
      </c>
      <c r="S44" s="12">
        <v>27.477687</v>
      </c>
      <c r="T44" s="12">
        <v>27.477687</v>
      </c>
      <c r="U44" s="12">
        <v>27.477687</v>
      </c>
      <c r="V44" s="12">
        <v>27.477687</v>
      </c>
      <c r="W44" s="12">
        <v>27.477687</v>
      </c>
    </row>
    <row r="45" spans="2:23" ht="13.5" customHeight="1" x14ac:dyDescent="0.25">
      <c r="B45" s="11" t="s">
        <v>12</v>
      </c>
      <c r="C45" s="12">
        <v>23.030111000000002</v>
      </c>
      <c r="D45" s="12">
        <v>23.030284000000002</v>
      </c>
      <c r="E45" s="12">
        <v>23.030456999999998</v>
      </c>
      <c r="F45" s="12">
        <v>23.030629999999999</v>
      </c>
      <c r="G45" s="12">
        <v>23.030629999999999</v>
      </c>
      <c r="H45" s="12">
        <v>23.030629999999999</v>
      </c>
      <c r="I45" s="12">
        <v>23.030629999999999</v>
      </c>
      <c r="J45" s="12">
        <v>23.030629999999999</v>
      </c>
      <c r="K45" s="12">
        <v>23.030370999999999</v>
      </c>
      <c r="L45" s="12">
        <v>23.030111000000002</v>
      </c>
      <c r="M45" s="12">
        <v>23.029852000000002</v>
      </c>
      <c r="N45" s="12">
        <v>23.029592999999998</v>
      </c>
      <c r="O45" s="12">
        <v>23.029592999999998</v>
      </c>
      <c r="P45" s="12">
        <v>23.029592999999998</v>
      </c>
      <c r="Q45" s="12">
        <v>23.029592999999998</v>
      </c>
      <c r="R45" s="12">
        <v>23.029592999999998</v>
      </c>
      <c r="S45" s="12">
        <v>23.029592999999998</v>
      </c>
      <c r="T45" s="12">
        <v>23.029592999999998</v>
      </c>
      <c r="U45" s="12">
        <v>23.029592999999998</v>
      </c>
      <c r="V45" s="12">
        <v>23.029592999999998</v>
      </c>
      <c r="W45" s="12">
        <v>23.029592999999998</v>
      </c>
    </row>
    <row r="46" spans="2:23" ht="13.5" customHeight="1" x14ac:dyDescent="0.25">
      <c r="B46" s="11" t="s">
        <v>13</v>
      </c>
      <c r="C46" s="12">
        <v>0</v>
      </c>
      <c r="D46" s="12">
        <v>23.904350000000001</v>
      </c>
      <c r="E46" s="12">
        <v>23.904350000000001</v>
      </c>
      <c r="F46" s="12">
        <v>23.904350000000001</v>
      </c>
      <c r="G46" s="12">
        <v>23.904160999999998</v>
      </c>
      <c r="H46" s="12">
        <v>23.903973000000001</v>
      </c>
      <c r="I46" s="12">
        <v>23.903784000000002</v>
      </c>
      <c r="J46" s="12">
        <v>23.903596</v>
      </c>
      <c r="K46" s="12">
        <v>23.903784000000002</v>
      </c>
      <c r="L46" s="12">
        <v>23.903973000000001</v>
      </c>
      <c r="M46" s="12">
        <v>23.904160999999998</v>
      </c>
      <c r="N46" s="12">
        <v>23.904350000000001</v>
      </c>
      <c r="O46" s="12">
        <v>23.904350000000001</v>
      </c>
      <c r="P46" s="12">
        <v>23.904350000000001</v>
      </c>
      <c r="Q46" s="12">
        <v>23.904350000000001</v>
      </c>
      <c r="R46" s="12">
        <v>23.904350000000001</v>
      </c>
      <c r="S46" s="12">
        <v>23.904350000000001</v>
      </c>
      <c r="T46" s="12">
        <v>23.904350000000001</v>
      </c>
      <c r="U46" s="12">
        <v>23.904350000000001</v>
      </c>
      <c r="V46" s="12">
        <v>23.904350000000001</v>
      </c>
      <c r="W46" s="12">
        <v>23.904350000000001</v>
      </c>
    </row>
    <row r="47" spans="2:23" ht="13.5" customHeight="1" x14ac:dyDescent="0.25">
      <c r="B47" s="11" t="s">
        <v>14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23.018837000000001</v>
      </c>
      <c r="J47" s="12">
        <v>23.019120000000001</v>
      </c>
      <c r="K47" s="12">
        <v>23.018837000000001</v>
      </c>
      <c r="L47" s="12">
        <v>23.018554000000002</v>
      </c>
      <c r="M47" s="12">
        <v>23.018272</v>
      </c>
      <c r="N47" s="12">
        <v>23.017989</v>
      </c>
      <c r="O47" s="12">
        <v>23.017989</v>
      </c>
      <c r="P47" s="12">
        <v>23.017989</v>
      </c>
      <c r="Q47" s="12">
        <v>23.017989</v>
      </c>
      <c r="R47" s="12">
        <v>23.017989</v>
      </c>
      <c r="S47" s="12">
        <v>23.017989</v>
      </c>
      <c r="T47" s="12">
        <v>23.017989</v>
      </c>
      <c r="U47" s="12">
        <v>23.017989</v>
      </c>
      <c r="V47" s="12">
        <v>23.017989</v>
      </c>
      <c r="W47" s="12">
        <v>23.017989</v>
      </c>
    </row>
    <row r="48" spans="2:23" ht="13.5" customHeight="1" x14ac:dyDescent="0.25">
      <c r="B48" s="11" t="s">
        <v>15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23.399097000000001</v>
      </c>
      <c r="O48" s="12">
        <v>23.399097000000001</v>
      </c>
      <c r="P48" s="12">
        <v>23.399097000000001</v>
      </c>
      <c r="Q48" s="12">
        <v>23.399097000000001</v>
      </c>
      <c r="R48" s="12">
        <v>23.399097000000001</v>
      </c>
      <c r="S48" s="12">
        <v>23.399097000000001</v>
      </c>
      <c r="T48" s="12">
        <v>23.399097000000001</v>
      </c>
      <c r="U48" s="12">
        <v>23.399097000000001</v>
      </c>
      <c r="V48" s="12">
        <v>23.399097000000001</v>
      </c>
      <c r="W48" s="12">
        <v>23.399097000000001</v>
      </c>
    </row>
    <row r="49" spans="2:23" ht="13.5" customHeight="1" x14ac:dyDescent="0.25">
      <c r="B49" s="11" t="s">
        <v>16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23.784569000000001</v>
      </c>
      <c r="T49" s="12">
        <v>23.784569000000001</v>
      </c>
      <c r="U49" s="12">
        <v>23.784569000000001</v>
      </c>
      <c r="V49" s="12">
        <v>23.784569000000001</v>
      </c>
      <c r="W49" s="12">
        <v>23.784569000000001</v>
      </c>
    </row>
    <row r="50" spans="2:23" ht="13.5" customHeight="1" x14ac:dyDescent="0.25">
      <c r="B50" s="1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 spans="2:23" ht="13.5" customHeight="1" x14ac:dyDescent="0.25">
      <c r="B51" s="13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 spans="2:23" s="9" customFormat="1" ht="13.5" customHeight="1" x14ac:dyDescent="0.25">
      <c r="B52" s="10" t="s">
        <v>19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 spans="2:23" ht="13.5" customHeight="1" x14ac:dyDescent="0.25">
      <c r="B53" s="11" t="s">
        <v>7</v>
      </c>
      <c r="C53" s="12">
        <v>123.939285</v>
      </c>
      <c r="D53" s="12">
        <v>124.781336</v>
      </c>
      <c r="E53" s="12">
        <v>125.62338699999999</v>
      </c>
      <c r="F53" s="12">
        <v>126.46543800000001</v>
      </c>
      <c r="G53" s="12">
        <v>127.224271</v>
      </c>
      <c r="H53" s="12">
        <v>127.983103</v>
      </c>
      <c r="I53" s="12">
        <v>128.74193500000001</v>
      </c>
      <c r="J53" s="12">
        <v>129.500767</v>
      </c>
      <c r="K53" s="12">
        <v>130.26065500000001</v>
      </c>
      <c r="L53" s="12">
        <v>131.020544</v>
      </c>
      <c r="M53" s="12">
        <v>131.78043199999999</v>
      </c>
      <c r="N53" s="12">
        <v>132.54032100000001</v>
      </c>
      <c r="O53" s="12">
        <v>133.34316799999999</v>
      </c>
      <c r="P53" s="12">
        <v>134.146016</v>
      </c>
      <c r="Q53" s="12">
        <v>134.94886399999999</v>
      </c>
      <c r="R53" s="12">
        <v>135.751712</v>
      </c>
      <c r="S53" s="12">
        <v>135.751712</v>
      </c>
      <c r="T53" s="12">
        <v>135.751712</v>
      </c>
      <c r="U53" s="12">
        <v>135.751712</v>
      </c>
      <c r="V53" s="12">
        <v>135.751712</v>
      </c>
      <c r="W53" s="12">
        <v>135.751712</v>
      </c>
    </row>
    <row r="54" spans="2:23" ht="13.5" customHeight="1" x14ac:dyDescent="0.25">
      <c r="B54" s="11" t="s">
        <v>8</v>
      </c>
      <c r="C54" s="12">
        <v>62.147976999999997</v>
      </c>
      <c r="D54" s="12">
        <v>62.569986999999998</v>
      </c>
      <c r="E54" s="12">
        <v>62.991998000000002</v>
      </c>
      <c r="F54" s="12">
        <v>63.414009</v>
      </c>
      <c r="G54" s="12">
        <v>63.794651000000002</v>
      </c>
      <c r="H54" s="12">
        <v>64.175292999999996</v>
      </c>
      <c r="I54" s="12">
        <v>64.555936000000003</v>
      </c>
      <c r="J54" s="12">
        <v>64.936577999999997</v>
      </c>
      <c r="K54" s="12">
        <v>65.317480000000003</v>
      </c>
      <c r="L54" s="12">
        <v>65.698383000000007</v>
      </c>
      <c r="M54" s="12">
        <v>66.079284999999999</v>
      </c>
      <c r="N54" s="12">
        <v>66.460188000000002</v>
      </c>
      <c r="O54" s="12">
        <v>66.860864000000007</v>
      </c>
      <c r="P54" s="12">
        <v>67.261539999999997</v>
      </c>
      <c r="Q54" s="12">
        <v>67.662216000000001</v>
      </c>
      <c r="R54" s="12">
        <v>68.062892000000005</v>
      </c>
      <c r="S54" s="12">
        <v>68.062892000000005</v>
      </c>
      <c r="T54" s="12">
        <v>68.062892000000005</v>
      </c>
      <c r="U54" s="12">
        <v>68.062892000000005</v>
      </c>
      <c r="V54" s="12">
        <v>68.062892000000005</v>
      </c>
      <c r="W54" s="12">
        <v>68.062892000000005</v>
      </c>
    </row>
    <row r="55" spans="2:23" ht="13.5" customHeight="1" x14ac:dyDescent="0.25">
      <c r="B55" s="11" t="s">
        <v>9</v>
      </c>
      <c r="C55" s="12">
        <v>73.073865999999995</v>
      </c>
      <c r="D55" s="12">
        <v>73.073162999999994</v>
      </c>
      <c r="E55" s="12">
        <v>73.072458999999995</v>
      </c>
      <c r="F55" s="12">
        <v>73.071755999999993</v>
      </c>
      <c r="G55" s="12">
        <v>73.071755999999993</v>
      </c>
      <c r="H55" s="12">
        <v>73.071755999999993</v>
      </c>
      <c r="I55" s="12">
        <v>73.071755999999993</v>
      </c>
      <c r="J55" s="12">
        <v>73.071755999999993</v>
      </c>
      <c r="K55" s="12">
        <v>73.072811000000002</v>
      </c>
      <c r="L55" s="12">
        <v>73.073865999999995</v>
      </c>
      <c r="M55" s="12">
        <v>73.074920000000006</v>
      </c>
      <c r="N55" s="12">
        <v>73.075975</v>
      </c>
      <c r="O55" s="12">
        <v>73.708776999999998</v>
      </c>
      <c r="P55" s="12">
        <v>74.341578999999996</v>
      </c>
      <c r="Q55" s="12">
        <v>74.974380999999994</v>
      </c>
      <c r="R55" s="12">
        <v>75.607183000000006</v>
      </c>
      <c r="S55" s="12">
        <v>75.607183000000006</v>
      </c>
      <c r="T55" s="12">
        <v>75.607183000000006</v>
      </c>
      <c r="U55" s="12">
        <v>75.607183000000006</v>
      </c>
      <c r="V55" s="12">
        <v>75.607183000000006</v>
      </c>
      <c r="W55" s="12">
        <v>75.607183000000006</v>
      </c>
    </row>
    <row r="56" spans="2:23" ht="13.5" customHeight="1" x14ac:dyDescent="0.25">
      <c r="B56" s="11" t="s">
        <v>10</v>
      </c>
      <c r="C56" s="12">
        <v>71.981838999999994</v>
      </c>
      <c r="D56" s="12">
        <v>71.981481000000002</v>
      </c>
      <c r="E56" s="12">
        <v>71.981121999999999</v>
      </c>
      <c r="F56" s="12">
        <v>71.980762999999996</v>
      </c>
      <c r="G56" s="12">
        <v>71.980762999999996</v>
      </c>
      <c r="H56" s="12">
        <v>71.980762999999996</v>
      </c>
      <c r="I56" s="12">
        <v>71.980762999999996</v>
      </c>
      <c r="J56" s="12">
        <v>71.980762999999996</v>
      </c>
      <c r="K56" s="12">
        <v>71.981301000000002</v>
      </c>
      <c r="L56" s="12">
        <v>71.981838999999994</v>
      </c>
      <c r="M56" s="12">
        <v>71.982377</v>
      </c>
      <c r="N56" s="12">
        <v>71.982915000000006</v>
      </c>
      <c r="O56" s="12">
        <v>72.418599</v>
      </c>
      <c r="P56" s="12">
        <v>72.854282999999995</v>
      </c>
      <c r="Q56" s="12">
        <v>73.289968000000002</v>
      </c>
      <c r="R56" s="12">
        <v>73.725651999999997</v>
      </c>
      <c r="S56" s="12">
        <v>73.725651999999997</v>
      </c>
      <c r="T56" s="12">
        <v>73.725651999999997</v>
      </c>
      <c r="U56" s="12">
        <v>73.725651999999997</v>
      </c>
      <c r="V56" s="12">
        <v>73.725651999999997</v>
      </c>
      <c r="W56" s="12">
        <v>73.725651999999997</v>
      </c>
    </row>
    <row r="57" spans="2:23" ht="13.5" customHeight="1" x14ac:dyDescent="0.25">
      <c r="B57" s="11" t="s">
        <v>11</v>
      </c>
      <c r="C57" s="12">
        <v>65.317645999999996</v>
      </c>
      <c r="D57" s="12">
        <v>65.317341999999996</v>
      </c>
      <c r="E57" s="12">
        <v>65.317036999999999</v>
      </c>
      <c r="F57" s="12">
        <v>65.316732000000002</v>
      </c>
      <c r="G57" s="12">
        <v>65.316732000000002</v>
      </c>
      <c r="H57" s="12">
        <v>65.316732000000002</v>
      </c>
      <c r="I57" s="12">
        <v>65.316732000000002</v>
      </c>
      <c r="J57" s="12">
        <v>65.316732000000002</v>
      </c>
      <c r="K57" s="12">
        <v>65.317188999999999</v>
      </c>
      <c r="L57" s="12">
        <v>65.317645999999996</v>
      </c>
      <c r="M57" s="12">
        <v>65.318104000000005</v>
      </c>
      <c r="N57" s="12">
        <v>65.318561000000003</v>
      </c>
      <c r="O57" s="12">
        <v>65.318561000000003</v>
      </c>
      <c r="P57" s="12">
        <v>65.318561000000003</v>
      </c>
      <c r="Q57" s="12">
        <v>65.318561000000003</v>
      </c>
      <c r="R57" s="12">
        <v>65.318561000000003</v>
      </c>
      <c r="S57" s="12">
        <v>65.318561000000003</v>
      </c>
      <c r="T57" s="12">
        <v>65.318561000000003</v>
      </c>
      <c r="U57" s="12">
        <v>65.318561000000003</v>
      </c>
      <c r="V57" s="12">
        <v>65.318561000000003</v>
      </c>
      <c r="W57" s="12">
        <v>65.318561000000003</v>
      </c>
    </row>
    <row r="58" spans="2:23" ht="13.5" customHeight="1" x14ac:dyDescent="0.25">
      <c r="B58" s="11" t="s">
        <v>12</v>
      </c>
      <c r="C58" s="12">
        <v>44.868197000000002</v>
      </c>
      <c r="D58" s="12">
        <v>44.868456000000002</v>
      </c>
      <c r="E58" s="12">
        <v>44.868715000000002</v>
      </c>
      <c r="F58" s="12">
        <v>44.868974000000001</v>
      </c>
      <c r="G58" s="12">
        <v>44.868974000000001</v>
      </c>
      <c r="H58" s="12">
        <v>44.868974000000001</v>
      </c>
      <c r="I58" s="12">
        <v>44.868974000000001</v>
      </c>
      <c r="J58" s="12">
        <v>44.868974000000001</v>
      </c>
      <c r="K58" s="12">
        <v>44.868586000000001</v>
      </c>
      <c r="L58" s="12">
        <v>44.868197000000002</v>
      </c>
      <c r="M58" s="12">
        <v>44.867809000000001</v>
      </c>
      <c r="N58" s="12">
        <v>44.867420000000003</v>
      </c>
      <c r="O58" s="12">
        <v>44.867420000000003</v>
      </c>
      <c r="P58" s="12">
        <v>44.867420000000003</v>
      </c>
      <c r="Q58" s="12">
        <v>44.867420000000003</v>
      </c>
      <c r="R58" s="12">
        <v>44.867420000000003</v>
      </c>
      <c r="S58" s="12">
        <v>44.867420000000003</v>
      </c>
      <c r="T58" s="12">
        <v>44.867420000000003</v>
      </c>
      <c r="U58" s="12">
        <v>44.867420000000003</v>
      </c>
      <c r="V58" s="12">
        <v>44.867420000000003</v>
      </c>
      <c r="W58" s="12">
        <v>44.867420000000003</v>
      </c>
    </row>
    <row r="59" spans="2:23" ht="13.5" customHeight="1" x14ac:dyDescent="0.25">
      <c r="B59" s="11" t="s">
        <v>13</v>
      </c>
      <c r="C59" s="12">
        <v>0</v>
      </c>
      <c r="D59" s="12">
        <v>46.567242</v>
      </c>
      <c r="E59" s="12">
        <v>46.567242</v>
      </c>
      <c r="F59" s="12">
        <v>46.567242</v>
      </c>
      <c r="G59" s="12">
        <v>46.567743999999998</v>
      </c>
      <c r="H59" s="12">
        <v>46.568247</v>
      </c>
      <c r="I59" s="12">
        <v>46.568750000000001</v>
      </c>
      <c r="J59" s="12">
        <v>46.569251999999999</v>
      </c>
      <c r="K59" s="12">
        <v>46.568750000000001</v>
      </c>
      <c r="L59" s="12">
        <v>46.568247</v>
      </c>
      <c r="M59" s="12">
        <v>46.567743999999998</v>
      </c>
      <c r="N59" s="12">
        <v>46.567242</v>
      </c>
      <c r="O59" s="12">
        <v>46.567242</v>
      </c>
      <c r="P59" s="12">
        <v>46.567242</v>
      </c>
      <c r="Q59" s="12">
        <v>46.567242</v>
      </c>
      <c r="R59" s="12">
        <v>46.567242</v>
      </c>
      <c r="S59" s="12">
        <v>46.567242</v>
      </c>
      <c r="T59" s="12">
        <v>46.567242</v>
      </c>
      <c r="U59" s="12">
        <v>46.567242</v>
      </c>
      <c r="V59" s="12">
        <v>46.567242</v>
      </c>
      <c r="W59" s="12">
        <v>46.567242</v>
      </c>
    </row>
    <row r="60" spans="2:23" ht="13.5" customHeight="1" x14ac:dyDescent="0.25">
      <c r="B60" s="11" t="s">
        <v>14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44.846288999999999</v>
      </c>
      <c r="J60" s="12">
        <v>44.846288999999999</v>
      </c>
      <c r="K60" s="12">
        <v>44.846288999999999</v>
      </c>
      <c r="L60" s="12">
        <v>44.846288999999999</v>
      </c>
      <c r="M60" s="12">
        <v>44.846288999999999</v>
      </c>
      <c r="N60" s="12">
        <v>44.846288999999999</v>
      </c>
      <c r="O60" s="12">
        <v>44.846288999999999</v>
      </c>
      <c r="P60" s="12">
        <v>44.846288999999999</v>
      </c>
      <c r="Q60" s="12">
        <v>44.846288999999999</v>
      </c>
      <c r="R60" s="12">
        <v>44.846288999999999</v>
      </c>
      <c r="S60" s="12">
        <v>44.846288999999999</v>
      </c>
      <c r="T60" s="12">
        <v>44.846288999999999</v>
      </c>
      <c r="U60" s="12">
        <v>44.846288999999999</v>
      </c>
      <c r="V60" s="12">
        <v>44.846288999999999</v>
      </c>
      <c r="W60" s="12">
        <v>44.846288999999999</v>
      </c>
    </row>
    <row r="61" spans="2:23" ht="13.5" customHeight="1" x14ac:dyDescent="0.25">
      <c r="B61" s="11" t="s">
        <v>15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45.586339000000002</v>
      </c>
      <c r="O61" s="12">
        <v>45.586339000000002</v>
      </c>
      <c r="P61" s="12">
        <v>45.586339000000002</v>
      </c>
      <c r="Q61" s="12">
        <v>45.586339000000002</v>
      </c>
      <c r="R61" s="12">
        <v>45.586339000000002</v>
      </c>
      <c r="S61" s="12">
        <v>45.586339000000002</v>
      </c>
      <c r="T61" s="12">
        <v>45.586339000000002</v>
      </c>
      <c r="U61" s="12">
        <v>45.586339000000002</v>
      </c>
      <c r="V61" s="12">
        <v>45.586339000000002</v>
      </c>
      <c r="W61" s="12">
        <v>45.586339000000002</v>
      </c>
    </row>
    <row r="62" spans="2:23" ht="13.5" customHeight="1" x14ac:dyDescent="0.25">
      <c r="B62" s="11" t="s">
        <v>16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46.340310000000002</v>
      </c>
      <c r="T62" s="12">
        <v>46.340310000000002</v>
      </c>
      <c r="U62" s="12">
        <v>46.340310000000002</v>
      </c>
      <c r="V62" s="12">
        <v>46.340310000000002</v>
      </c>
      <c r="W62" s="12">
        <v>46.340310000000002</v>
      </c>
    </row>
    <row r="63" spans="2:23" ht="13.5" customHeight="1" x14ac:dyDescent="0.25"/>
    <row r="64" spans="2:23" ht="13.5" customHeight="1" x14ac:dyDescent="0.25"/>
    <row r="65" ht="13.5" customHeight="1" x14ac:dyDescent="0.25"/>
    <row r="66" ht="13.5" customHeight="1" x14ac:dyDescent="0.25"/>
  </sheetData>
  <sheetProtection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W81"/>
  <sheetViews>
    <sheetView topLeftCell="A22" zoomScale="70" zoomScaleNormal="70" workbookViewId="0">
      <selection activeCell="H39" sqref="H39"/>
    </sheetView>
  </sheetViews>
  <sheetFormatPr defaultRowHeight="15" x14ac:dyDescent="0.25"/>
  <sheetData>
    <row r="5" spans="1:23" ht="18" x14ac:dyDescent="0.25">
      <c r="A5" s="2" t="s">
        <v>3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23" ht="18" x14ac:dyDescent="0.25">
      <c r="A6" s="2"/>
      <c r="F6" s="3"/>
      <c r="G6" s="3"/>
      <c r="H6" s="3"/>
      <c r="I6" s="3"/>
      <c r="J6" s="3"/>
      <c r="K6" s="3"/>
      <c r="L6" s="3"/>
      <c r="M6" s="3"/>
      <c r="N6" s="3"/>
      <c r="O6" s="3"/>
    </row>
    <row r="7" spans="1:23" ht="15.75" x14ac:dyDescent="0.25">
      <c r="A7" s="4" t="s">
        <v>4</v>
      </c>
      <c r="C7" s="3"/>
      <c r="D7" s="3"/>
      <c r="E7" s="3"/>
    </row>
    <row r="8" spans="1:23" ht="15.75" x14ac:dyDescent="0.25">
      <c r="A8" s="4" t="s">
        <v>20</v>
      </c>
      <c r="B8" s="1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15.75" x14ac:dyDescent="0.25">
      <c r="C9" s="6"/>
      <c r="D9" s="6"/>
    </row>
    <row r="11" spans="1:23" ht="15.75" thickBot="1" x14ac:dyDescent="0.3">
      <c r="C11" s="7">
        <v>2000</v>
      </c>
      <c r="D11" s="7">
        <v>2001</v>
      </c>
      <c r="E11" s="7">
        <v>2002</v>
      </c>
      <c r="F11" s="7">
        <v>2003</v>
      </c>
      <c r="G11" s="7">
        <v>2004</v>
      </c>
      <c r="H11" s="7">
        <v>2005</v>
      </c>
      <c r="I11" s="7">
        <v>2006</v>
      </c>
      <c r="J11" s="7">
        <v>2007</v>
      </c>
      <c r="K11" s="7">
        <v>2008</v>
      </c>
      <c r="L11" s="7">
        <v>2009</v>
      </c>
      <c r="M11" s="7">
        <v>2010</v>
      </c>
      <c r="N11" s="7">
        <v>2011</v>
      </c>
      <c r="O11" s="7">
        <v>2012</v>
      </c>
      <c r="P11" s="7">
        <v>2013</v>
      </c>
      <c r="Q11" s="7">
        <v>2014</v>
      </c>
      <c r="R11" s="7">
        <v>2015</v>
      </c>
      <c r="S11" s="7">
        <v>2016</v>
      </c>
      <c r="T11" s="7">
        <v>2017</v>
      </c>
      <c r="U11" s="7">
        <v>2018</v>
      </c>
      <c r="V11" s="7">
        <v>2019</v>
      </c>
      <c r="W11" s="7">
        <v>2020</v>
      </c>
    </row>
    <row r="13" spans="1:23" ht="102.75" x14ac:dyDescent="0.25">
      <c r="A13" s="8"/>
      <c r="B13" s="10" t="s">
        <v>21</v>
      </c>
      <c r="C13" s="15">
        <v>2526.9490000000001</v>
      </c>
      <c r="D13" s="15">
        <v>2566.5140000000001</v>
      </c>
      <c r="E13" s="15">
        <v>2611.3380000000002</v>
      </c>
      <c r="F13" s="15">
        <v>2655.4409999999998</v>
      </c>
      <c r="G13" s="15">
        <v>2701.0320000000002</v>
      </c>
      <c r="H13" s="15">
        <v>2741.4810000000002</v>
      </c>
      <c r="I13" s="15">
        <v>2778.509</v>
      </c>
      <c r="J13" s="15">
        <v>2812.05</v>
      </c>
      <c r="K13" s="15">
        <v>2843.692</v>
      </c>
      <c r="L13" s="15">
        <v>2865.7339999999999</v>
      </c>
      <c r="M13" s="15">
        <v>2890.3780000000002</v>
      </c>
      <c r="N13" s="15">
        <v>2912.26</v>
      </c>
      <c r="O13" s="15">
        <v>2935.66</v>
      </c>
      <c r="P13" s="15">
        <v>2955.864</v>
      </c>
      <c r="Q13" s="15">
        <v>2975.8</v>
      </c>
      <c r="R13" s="15">
        <v>2993.0509999999999</v>
      </c>
      <c r="S13" s="15">
        <v>3021.2649999999999</v>
      </c>
      <c r="T13" s="15">
        <v>3046.7190000000001</v>
      </c>
      <c r="U13" s="15">
        <v>3090.8389999999999</v>
      </c>
      <c r="V13" s="15">
        <v>3139.107</v>
      </c>
      <c r="W13" s="15">
        <v>3175.8620000000001</v>
      </c>
    </row>
    <row r="14" spans="1:23" x14ac:dyDescent="0.25">
      <c r="B14" s="16" t="s">
        <v>22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 spans="1:23" x14ac:dyDescent="0.25">
      <c r="B15" s="11" t="s">
        <v>7</v>
      </c>
      <c r="C15" s="17">
        <v>442.18299999999999</v>
      </c>
      <c r="D15" s="17">
        <v>438.322</v>
      </c>
      <c r="E15" s="17">
        <v>434.48700000000002</v>
      </c>
      <c r="F15" s="17">
        <v>430.67599999999999</v>
      </c>
      <c r="G15" s="17">
        <v>426.89100000000002</v>
      </c>
      <c r="H15" s="17">
        <v>423.13400000000001</v>
      </c>
      <c r="I15" s="17">
        <v>419.40699999999998</v>
      </c>
      <c r="J15" s="17">
        <v>415.70800000000003</v>
      </c>
      <c r="K15" s="17">
        <v>412.04</v>
      </c>
      <c r="L15" s="17">
        <v>408.41</v>
      </c>
      <c r="M15" s="17">
        <v>404.80099999999999</v>
      </c>
      <c r="N15" s="17">
        <v>401.22300000000001</v>
      </c>
      <c r="O15" s="17">
        <v>397.67399999999998</v>
      </c>
      <c r="P15" s="17">
        <v>394.137</v>
      </c>
      <c r="Q15" s="17">
        <v>390.63200000000001</v>
      </c>
      <c r="R15" s="17">
        <v>387.13900000000001</v>
      </c>
      <c r="S15" s="17">
        <v>383.82299999999998</v>
      </c>
      <c r="T15" s="17">
        <v>380.37099999999998</v>
      </c>
      <c r="U15" s="17">
        <v>377.40100000000001</v>
      </c>
      <c r="V15" s="17">
        <v>374.60700000000003</v>
      </c>
      <c r="W15" s="17">
        <v>371.654</v>
      </c>
    </row>
    <row r="16" spans="1:23" x14ac:dyDescent="0.25">
      <c r="B16" s="11" t="s">
        <v>8</v>
      </c>
      <c r="C16" s="17">
        <v>286.43400000000003</v>
      </c>
      <c r="D16" s="17">
        <v>284.36399999999998</v>
      </c>
      <c r="E16" s="17">
        <v>282.30599999999998</v>
      </c>
      <c r="F16" s="17">
        <v>280.25700000000001</v>
      </c>
      <c r="G16" s="17">
        <v>278.21899999999999</v>
      </c>
      <c r="H16" s="17">
        <v>276.19200000000001</v>
      </c>
      <c r="I16" s="17">
        <v>274.17899999999997</v>
      </c>
      <c r="J16" s="17">
        <v>272.17899999999997</v>
      </c>
      <c r="K16" s="17">
        <v>270.19099999999997</v>
      </c>
      <c r="L16" s="17">
        <v>268.22199999999998</v>
      </c>
      <c r="M16" s="17">
        <v>266.26100000000002</v>
      </c>
      <c r="N16" s="17">
        <v>264.31299999999999</v>
      </c>
      <c r="O16" s="17">
        <v>262.37900000000002</v>
      </c>
      <c r="P16" s="17">
        <v>260.44799999999998</v>
      </c>
      <c r="Q16" s="17">
        <v>258.53100000000001</v>
      </c>
      <c r="R16" s="17">
        <v>256.61799999999999</v>
      </c>
      <c r="S16" s="17">
        <v>254.79900000000001</v>
      </c>
      <c r="T16" s="17">
        <v>252.90299999999999</v>
      </c>
      <c r="U16" s="17">
        <v>251.26900000000001</v>
      </c>
      <c r="V16" s="17">
        <v>249.73</v>
      </c>
      <c r="W16" s="17">
        <v>248.101</v>
      </c>
    </row>
    <row r="17" spans="2:23" x14ac:dyDescent="0.25">
      <c r="B17" s="11" t="s">
        <v>9</v>
      </c>
      <c r="C17" s="17">
        <v>594.88300000000004</v>
      </c>
      <c r="D17" s="17">
        <v>592.822</v>
      </c>
      <c r="E17" s="17">
        <v>590.76300000000003</v>
      </c>
      <c r="F17" s="17">
        <v>588.70699999999999</v>
      </c>
      <c r="G17" s="17">
        <v>586.654</v>
      </c>
      <c r="H17" s="17">
        <v>584.60500000000002</v>
      </c>
      <c r="I17" s="17">
        <v>582.56100000000004</v>
      </c>
      <c r="J17" s="17">
        <v>580.52200000000005</v>
      </c>
      <c r="K17" s="17">
        <v>578.48900000000003</v>
      </c>
      <c r="L17" s="17">
        <v>576.46699999999998</v>
      </c>
      <c r="M17" s="17">
        <v>574.44500000000005</v>
      </c>
      <c r="N17" s="17">
        <v>572.42999999999995</v>
      </c>
      <c r="O17" s="17">
        <v>570.42100000000005</v>
      </c>
      <c r="P17" s="17">
        <v>568.40800000000002</v>
      </c>
      <c r="Q17" s="17">
        <v>566.40200000000004</v>
      </c>
      <c r="R17" s="17">
        <v>564.39099999999996</v>
      </c>
      <c r="S17" s="17">
        <v>562.47299999999996</v>
      </c>
      <c r="T17" s="17">
        <v>560.46600000000001</v>
      </c>
      <c r="U17" s="17">
        <v>558.72900000000004</v>
      </c>
      <c r="V17" s="17">
        <v>557.08799999999997</v>
      </c>
      <c r="W17" s="17">
        <v>555.346</v>
      </c>
    </row>
    <row r="18" spans="2:23" x14ac:dyDescent="0.25">
      <c r="B18" s="11" t="s">
        <v>10</v>
      </c>
      <c r="C18" s="17">
        <v>319.57400000000001</v>
      </c>
      <c r="D18" s="17">
        <v>318.68799999999999</v>
      </c>
      <c r="E18" s="17">
        <v>317.80200000000002</v>
      </c>
      <c r="F18" s="17">
        <v>316.91699999999997</v>
      </c>
      <c r="G18" s="17">
        <v>316.03300000000002</v>
      </c>
      <c r="H18" s="17">
        <v>315.14999999999998</v>
      </c>
      <c r="I18" s="17">
        <v>314.26799999999997</v>
      </c>
      <c r="J18" s="17">
        <v>313.38799999999998</v>
      </c>
      <c r="K18" s="17">
        <v>312.51</v>
      </c>
      <c r="L18" s="17">
        <v>311.63600000000002</v>
      </c>
      <c r="M18" s="17">
        <v>310.762</v>
      </c>
      <c r="N18" s="17">
        <v>309.88900000000001</v>
      </c>
      <c r="O18" s="17">
        <v>309.01900000000001</v>
      </c>
      <c r="P18" s="17">
        <v>308.14600000000002</v>
      </c>
      <c r="Q18" s="17">
        <v>307.27600000000001</v>
      </c>
      <c r="R18" s="17">
        <v>306.40300000000002</v>
      </c>
      <c r="S18" s="17">
        <v>305.57</v>
      </c>
      <c r="T18" s="17">
        <v>304.697</v>
      </c>
      <c r="U18" s="17">
        <v>303.94200000000001</v>
      </c>
      <c r="V18" s="17">
        <v>303.22800000000001</v>
      </c>
      <c r="W18" s="17">
        <v>302.46899999999999</v>
      </c>
    </row>
    <row r="19" spans="2:23" x14ac:dyDescent="0.25">
      <c r="B19" s="11" t="s">
        <v>11</v>
      </c>
      <c r="C19" s="17">
        <v>694.30600000000004</v>
      </c>
      <c r="D19" s="17">
        <v>693.10199999999998</v>
      </c>
      <c r="E19" s="17">
        <v>691.89800000000002</v>
      </c>
      <c r="F19" s="17">
        <v>690.69399999999996</v>
      </c>
      <c r="G19" s="17">
        <v>689.48900000000003</v>
      </c>
      <c r="H19" s="17">
        <v>688.28399999999999</v>
      </c>
      <c r="I19" s="17">
        <v>687.08</v>
      </c>
      <c r="J19" s="17">
        <v>685.87800000000004</v>
      </c>
      <c r="K19" s="17">
        <v>684.67600000000004</v>
      </c>
      <c r="L19" s="17">
        <v>683.47900000000004</v>
      </c>
      <c r="M19" s="17">
        <v>682.28</v>
      </c>
      <c r="N19" s="17">
        <v>681.08299999999997</v>
      </c>
      <c r="O19" s="17">
        <v>679.88699999999994</v>
      </c>
      <c r="P19" s="17">
        <v>678.68700000000001</v>
      </c>
      <c r="Q19" s="17">
        <v>677.48800000000006</v>
      </c>
      <c r="R19" s="17">
        <v>676.28599999999994</v>
      </c>
      <c r="S19" s="17">
        <v>675.13599999999997</v>
      </c>
      <c r="T19" s="17">
        <v>673.93</v>
      </c>
      <c r="U19" s="17">
        <v>672.88599999999997</v>
      </c>
      <c r="V19" s="17">
        <v>671.89700000000005</v>
      </c>
      <c r="W19" s="17">
        <v>670.846</v>
      </c>
    </row>
    <row r="20" spans="2:23" x14ac:dyDescent="0.25">
      <c r="B20" s="11" t="s">
        <v>12</v>
      </c>
      <c r="C20" s="17">
        <v>189.56899999999999</v>
      </c>
      <c r="D20" s="17">
        <v>189.43799999999999</v>
      </c>
      <c r="E20" s="17">
        <v>189.30600000000001</v>
      </c>
      <c r="F20" s="17">
        <v>189.17400000000001</v>
      </c>
      <c r="G20" s="17">
        <v>189.042</v>
      </c>
      <c r="H20" s="17">
        <v>188.91</v>
      </c>
      <c r="I20" s="17">
        <v>188.77799999999999</v>
      </c>
      <c r="J20" s="17">
        <v>188.64599999999999</v>
      </c>
      <c r="K20" s="17">
        <v>188.51300000000001</v>
      </c>
      <c r="L20" s="17">
        <v>188.38200000000001</v>
      </c>
      <c r="M20" s="17">
        <v>188.249</v>
      </c>
      <c r="N20" s="17">
        <v>188.11699999999999</v>
      </c>
      <c r="O20" s="17">
        <v>187.98500000000001</v>
      </c>
      <c r="P20" s="17">
        <v>187.852</v>
      </c>
      <c r="Q20" s="17">
        <v>187.72</v>
      </c>
      <c r="R20" s="17">
        <v>187.58600000000001</v>
      </c>
      <c r="S20" s="17">
        <v>187.459</v>
      </c>
      <c r="T20" s="17">
        <v>187.32499999999999</v>
      </c>
      <c r="U20" s="17">
        <v>187.209</v>
      </c>
      <c r="V20" s="17">
        <v>187.09899999999999</v>
      </c>
      <c r="W20" s="17">
        <v>186.98099999999999</v>
      </c>
    </row>
    <row r="21" spans="2:23" x14ac:dyDescent="0.25">
      <c r="B21" s="11" t="s">
        <v>13</v>
      </c>
      <c r="C21" s="17">
        <v>0</v>
      </c>
      <c r="D21" s="17">
        <v>49.777999999999999</v>
      </c>
      <c r="E21" s="17">
        <v>104.77500000000001</v>
      </c>
      <c r="F21" s="17">
        <v>159.01599999999999</v>
      </c>
      <c r="G21" s="17">
        <v>214.70400000000001</v>
      </c>
      <c r="H21" s="17">
        <v>265.20600000000002</v>
      </c>
      <c r="I21" s="17">
        <v>265.16000000000003</v>
      </c>
      <c r="J21" s="17">
        <v>265.113</v>
      </c>
      <c r="K21" s="17">
        <v>265.06700000000001</v>
      </c>
      <c r="L21" s="17">
        <v>265.02</v>
      </c>
      <c r="M21" s="17">
        <v>264.97399999999999</v>
      </c>
      <c r="N21" s="17">
        <v>264.92700000000002</v>
      </c>
      <c r="O21" s="17">
        <v>264.88099999999997</v>
      </c>
      <c r="P21" s="17">
        <v>264.834</v>
      </c>
      <c r="Q21" s="17">
        <v>264.78699999999998</v>
      </c>
      <c r="R21" s="17">
        <v>264.74</v>
      </c>
      <c r="S21" s="17">
        <v>264.69499999999999</v>
      </c>
      <c r="T21" s="17">
        <v>264.64800000000002</v>
      </c>
      <c r="U21" s="17">
        <v>264.60700000000003</v>
      </c>
      <c r="V21" s="17">
        <v>264.56799999999998</v>
      </c>
      <c r="W21" s="17">
        <v>264.52699999999999</v>
      </c>
    </row>
    <row r="22" spans="2:23" x14ac:dyDescent="0.25">
      <c r="B22" s="11" t="s">
        <v>14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47.076000000000001</v>
      </c>
      <c r="J22" s="17">
        <v>90.616</v>
      </c>
      <c r="K22" s="17">
        <v>132.20500000000001</v>
      </c>
      <c r="L22" s="17">
        <v>164.119</v>
      </c>
      <c r="M22" s="17">
        <v>198.60599999999999</v>
      </c>
      <c r="N22" s="17">
        <v>198.59899999999999</v>
      </c>
      <c r="O22" s="17">
        <v>198.59200000000001</v>
      </c>
      <c r="P22" s="17">
        <v>198.58500000000001</v>
      </c>
      <c r="Q22" s="17">
        <v>198.578</v>
      </c>
      <c r="R22" s="17">
        <v>198.571</v>
      </c>
      <c r="S22" s="17">
        <v>198.565</v>
      </c>
      <c r="T22" s="17">
        <v>198.55699999999999</v>
      </c>
      <c r="U22" s="17">
        <v>198.55099999999999</v>
      </c>
      <c r="V22" s="17">
        <v>198.54499999999999</v>
      </c>
      <c r="W22" s="17">
        <v>198.53899999999999</v>
      </c>
    </row>
    <row r="23" spans="2:23" x14ac:dyDescent="0.25">
      <c r="B23" s="11" t="s">
        <v>15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31.678000000000001</v>
      </c>
      <c r="O23" s="17">
        <v>64.822000000000003</v>
      </c>
      <c r="P23" s="17">
        <v>94.766999999999996</v>
      </c>
      <c r="Q23" s="17">
        <v>124.38500000000001</v>
      </c>
      <c r="R23" s="17">
        <v>151.316</v>
      </c>
      <c r="S23" s="17">
        <v>151.316</v>
      </c>
      <c r="T23" s="17">
        <v>151.316</v>
      </c>
      <c r="U23" s="17">
        <v>151.316</v>
      </c>
      <c r="V23" s="17">
        <v>151.316</v>
      </c>
      <c r="W23" s="17">
        <v>151.316</v>
      </c>
    </row>
    <row r="24" spans="2:23" x14ac:dyDescent="0.25">
      <c r="B24" s="11" t="s">
        <v>16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37.429000000000002</v>
      </c>
      <c r="T24" s="17">
        <v>72.506</v>
      </c>
      <c r="U24" s="17">
        <v>124.93</v>
      </c>
      <c r="V24" s="17">
        <v>181.02799999999999</v>
      </c>
      <c r="W24" s="17">
        <v>226.08199999999999</v>
      </c>
    </row>
    <row r="25" spans="2:23" x14ac:dyDescent="0.25">
      <c r="B25" s="1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2:23" x14ac:dyDescent="0.25">
      <c r="B26" s="16" t="s">
        <v>23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2:23" x14ac:dyDescent="0.25">
      <c r="B27" s="11" t="s">
        <v>7</v>
      </c>
      <c r="C27" s="12">
        <v>17.498699999999999</v>
      </c>
      <c r="D27" s="12">
        <v>17.078502</v>
      </c>
      <c r="E27" s="12">
        <v>16.638486</v>
      </c>
      <c r="F27" s="12">
        <v>16.218630999999998</v>
      </c>
      <c r="G27" s="12">
        <v>15.804748</v>
      </c>
      <c r="H27" s="12">
        <v>15.434505</v>
      </c>
      <c r="I27" s="12">
        <v>15.094664</v>
      </c>
      <c r="J27" s="12">
        <v>14.783108</v>
      </c>
      <c r="K27" s="12">
        <v>14.489611</v>
      </c>
      <c r="L27" s="12">
        <v>14.251492000000001</v>
      </c>
      <c r="M27" s="12">
        <v>14.005127999999999</v>
      </c>
      <c r="N27" s="12">
        <v>13.777025999999999</v>
      </c>
      <c r="O27" s="12">
        <v>13.546338</v>
      </c>
      <c r="P27" s="12">
        <v>13.334082</v>
      </c>
      <c r="Q27" s="12">
        <v>13.12697</v>
      </c>
      <c r="R27" s="12">
        <v>12.934589000000001</v>
      </c>
      <c r="S27" s="12">
        <v>12.704048999999999</v>
      </c>
      <c r="T27" s="12">
        <v>12.484610999999999</v>
      </c>
      <c r="U27" s="12">
        <v>12.210293999999999</v>
      </c>
      <c r="V27" s="12">
        <v>11.933558</v>
      </c>
      <c r="W27" s="12">
        <v>11.702472999999999</v>
      </c>
    </row>
    <row r="28" spans="2:23" x14ac:dyDescent="0.25">
      <c r="B28" s="11" t="s">
        <v>8</v>
      </c>
      <c r="C28" s="12">
        <v>11.335165</v>
      </c>
      <c r="D28" s="12">
        <v>11.079787</v>
      </c>
      <c r="E28" s="12">
        <v>10.810763</v>
      </c>
      <c r="F28" s="12">
        <v>10.554054000000001</v>
      </c>
      <c r="G28" s="12">
        <v>10.300459</v>
      </c>
      <c r="H28" s="12">
        <v>10.074572</v>
      </c>
      <c r="I28" s="12">
        <v>9.8678559999999997</v>
      </c>
      <c r="J28" s="12">
        <v>9.6790160000000007</v>
      </c>
      <c r="K28" s="12">
        <v>9.5014269999999996</v>
      </c>
      <c r="L28" s="12">
        <v>9.3596149999999998</v>
      </c>
      <c r="M28" s="12">
        <v>9.211964</v>
      </c>
      <c r="N28" s="12">
        <v>9.0758729999999996</v>
      </c>
      <c r="O28" s="12">
        <v>8.9376420000000003</v>
      </c>
      <c r="P28" s="12">
        <v>8.8112220000000008</v>
      </c>
      <c r="Q28" s="12">
        <v>8.6877899999999997</v>
      </c>
      <c r="R28" s="12">
        <v>8.5737950000000005</v>
      </c>
      <c r="S28" s="12">
        <v>8.4335330000000006</v>
      </c>
      <c r="T28" s="12">
        <v>8.3008369999999996</v>
      </c>
      <c r="U28" s="12">
        <v>8.1294749999999993</v>
      </c>
      <c r="V28" s="12">
        <v>7.9554530000000003</v>
      </c>
      <c r="W28" s="12">
        <v>7.8120979999999998</v>
      </c>
    </row>
    <row r="29" spans="2:23" x14ac:dyDescent="0.25">
      <c r="B29" s="11" t="s">
        <v>9</v>
      </c>
      <c r="C29" s="12">
        <v>23.541550000000001</v>
      </c>
      <c r="D29" s="12">
        <v>23.098317000000002</v>
      </c>
      <c r="E29" s="12">
        <v>22.623007000000001</v>
      </c>
      <c r="F29" s="12">
        <v>22.169833000000001</v>
      </c>
      <c r="G29" s="12">
        <v>21.719614</v>
      </c>
      <c r="H29" s="12">
        <v>21.324407999999998</v>
      </c>
      <c r="I29" s="12">
        <v>20.966674999999999</v>
      </c>
      <c r="J29" s="12">
        <v>20.644095</v>
      </c>
      <c r="K29" s="12">
        <v>20.342897000000001</v>
      </c>
      <c r="L29" s="12">
        <v>20.115850999999999</v>
      </c>
      <c r="M29" s="12">
        <v>19.874402</v>
      </c>
      <c r="N29" s="12">
        <v>19.655875000000002</v>
      </c>
      <c r="O29" s="12">
        <v>19.430762000000001</v>
      </c>
      <c r="P29" s="12">
        <v>19.229832999999999</v>
      </c>
      <c r="Q29" s="12">
        <v>19.033594999999998</v>
      </c>
      <c r="R29" s="12">
        <v>18.856725999999998</v>
      </c>
      <c r="S29" s="12">
        <v>18.617141</v>
      </c>
      <c r="T29" s="12">
        <v>18.395707000000002</v>
      </c>
      <c r="U29" s="12">
        <v>18.076929</v>
      </c>
      <c r="V29" s="12">
        <v>17.746704999999999</v>
      </c>
      <c r="W29" s="12">
        <v>17.486453000000001</v>
      </c>
    </row>
    <row r="30" spans="2:23" x14ac:dyDescent="0.25">
      <c r="B30" s="11" t="s">
        <v>10</v>
      </c>
      <c r="C30" s="12">
        <v>12.646630999999999</v>
      </c>
      <c r="D30" s="12">
        <v>12.417147999999999</v>
      </c>
      <c r="E30" s="12">
        <v>12.170101000000001</v>
      </c>
      <c r="F30" s="12">
        <v>11.93464</v>
      </c>
      <c r="G30" s="12">
        <v>11.700453</v>
      </c>
      <c r="H30" s="12">
        <v>11.495601000000001</v>
      </c>
      <c r="I30" s="12">
        <v>11.310679</v>
      </c>
      <c r="J30" s="12">
        <v>11.144475999999999</v>
      </c>
      <c r="K30" s="12">
        <v>10.989591000000001</v>
      </c>
      <c r="L30" s="12">
        <v>10.874556999999999</v>
      </c>
      <c r="M30" s="12">
        <v>10.751586</v>
      </c>
      <c r="N30" s="12">
        <v>10.64085</v>
      </c>
      <c r="O30" s="12">
        <v>10.526388000000001</v>
      </c>
      <c r="P30" s="12">
        <v>10.424912000000001</v>
      </c>
      <c r="Q30" s="12">
        <v>10.325831000000001</v>
      </c>
      <c r="R30" s="12">
        <v>10.237161</v>
      </c>
      <c r="S30" s="12">
        <v>10.113981000000001</v>
      </c>
      <c r="T30" s="12">
        <v>10.000838999999999</v>
      </c>
      <c r="U30" s="12">
        <v>9.8336410000000001</v>
      </c>
      <c r="V30" s="12">
        <v>9.6596860000000007</v>
      </c>
      <c r="W30" s="12">
        <v>9.5239969999999996</v>
      </c>
    </row>
    <row r="31" spans="2:23" x14ac:dyDescent="0.25">
      <c r="B31" s="11" t="s">
        <v>11</v>
      </c>
      <c r="C31" s="12">
        <v>27.476047999999999</v>
      </c>
      <c r="D31" s="12">
        <v>27.005587999999999</v>
      </c>
      <c r="E31" s="12">
        <v>26.495933999999998</v>
      </c>
      <c r="F31" s="12">
        <v>26.010505999999999</v>
      </c>
      <c r="G31" s="12">
        <v>25.526865000000001</v>
      </c>
      <c r="H31" s="12">
        <v>25.106286000000001</v>
      </c>
      <c r="I31" s="12">
        <v>24.728390000000001</v>
      </c>
      <c r="J31" s="12">
        <v>24.390664999999998</v>
      </c>
      <c r="K31" s="12">
        <v>24.077019</v>
      </c>
      <c r="L31" s="12">
        <v>23.850045000000001</v>
      </c>
      <c r="M31" s="12">
        <v>23.605215000000001</v>
      </c>
      <c r="N31" s="12">
        <v>23.386741000000001</v>
      </c>
      <c r="O31" s="12">
        <v>23.159594999999999</v>
      </c>
      <c r="P31" s="12">
        <v>22.960685000000002</v>
      </c>
      <c r="Q31" s="12">
        <v>22.7666</v>
      </c>
      <c r="R31" s="12">
        <v>22.595192999999998</v>
      </c>
      <c r="S31" s="12">
        <v>22.346133999999999</v>
      </c>
      <c r="T31" s="12">
        <v>22.119873999999999</v>
      </c>
      <c r="U31" s="12">
        <v>21.770330000000001</v>
      </c>
      <c r="V31" s="12">
        <v>21.404098999999999</v>
      </c>
      <c r="W31" s="12">
        <v>21.123283000000001</v>
      </c>
    </row>
    <row r="32" spans="2:23" x14ac:dyDescent="0.25">
      <c r="B32" s="11" t="s">
        <v>12</v>
      </c>
      <c r="C32" s="12">
        <v>7.5019049999999998</v>
      </c>
      <c r="D32" s="12">
        <v>7.3811330000000002</v>
      </c>
      <c r="E32" s="12">
        <v>7.2493939999999997</v>
      </c>
      <c r="F32" s="12">
        <v>7.1240249999999996</v>
      </c>
      <c r="G32" s="12">
        <v>6.9988900000000003</v>
      </c>
      <c r="H32" s="12">
        <v>6.8908040000000002</v>
      </c>
      <c r="I32" s="12">
        <v>6.7942179999999999</v>
      </c>
      <c r="J32" s="12">
        <v>6.708475</v>
      </c>
      <c r="K32" s="12">
        <v>6.629181</v>
      </c>
      <c r="L32" s="12">
        <v>6.5735890000000001</v>
      </c>
      <c r="M32" s="12">
        <v>6.5129669999999997</v>
      </c>
      <c r="N32" s="12">
        <v>6.459492</v>
      </c>
      <c r="O32" s="12">
        <v>6.4035019999999996</v>
      </c>
      <c r="P32" s="12">
        <v>6.3552410000000004</v>
      </c>
      <c r="Q32" s="12">
        <v>6.3082060000000002</v>
      </c>
      <c r="R32" s="12">
        <v>6.2673920000000001</v>
      </c>
      <c r="S32" s="12">
        <v>6.2046409999999996</v>
      </c>
      <c r="T32" s="12">
        <v>6.1484079999999999</v>
      </c>
      <c r="U32" s="12">
        <v>6.0568840000000002</v>
      </c>
      <c r="V32" s="12">
        <v>5.960248</v>
      </c>
      <c r="W32" s="12">
        <v>5.8875799999999998</v>
      </c>
    </row>
    <row r="33" spans="2:23" x14ac:dyDescent="0.25">
      <c r="B33" s="11" t="s">
        <v>13</v>
      </c>
      <c r="C33" s="12">
        <v>0</v>
      </c>
      <c r="D33" s="12">
        <v>1.939524</v>
      </c>
      <c r="E33" s="12">
        <v>4.0123150000000001</v>
      </c>
      <c r="F33" s="12">
        <v>5.9883110000000004</v>
      </c>
      <c r="G33" s="12">
        <v>7.9489710000000002</v>
      </c>
      <c r="H33" s="12">
        <v>9.6738239999999998</v>
      </c>
      <c r="I33" s="12">
        <v>9.5432369999999995</v>
      </c>
      <c r="J33" s="12">
        <v>9.4277549999999994</v>
      </c>
      <c r="K33" s="12">
        <v>9.3212189999999993</v>
      </c>
      <c r="L33" s="12">
        <v>9.2479060000000004</v>
      </c>
      <c r="M33" s="12">
        <v>9.167446</v>
      </c>
      <c r="N33" s="12">
        <v>9.0969680000000004</v>
      </c>
      <c r="O33" s="12">
        <v>9.0228710000000003</v>
      </c>
      <c r="P33" s="12">
        <v>8.9596169999999997</v>
      </c>
      <c r="Q33" s="12">
        <v>8.898021</v>
      </c>
      <c r="R33" s="12">
        <v>8.8451629999999994</v>
      </c>
      <c r="S33" s="12">
        <v>8.7610740000000007</v>
      </c>
      <c r="T33" s="12">
        <v>8.6863250000000001</v>
      </c>
      <c r="U33" s="12">
        <v>8.5610049999999998</v>
      </c>
      <c r="V33" s="12">
        <v>8.4281319999999997</v>
      </c>
      <c r="W33" s="12">
        <v>8.3292859999999997</v>
      </c>
    </row>
    <row r="34" spans="2:23" x14ac:dyDescent="0.25">
      <c r="B34" s="11" t="s">
        <v>14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1.6942809999999999</v>
      </c>
      <c r="J34" s="12">
        <v>3.2224110000000001</v>
      </c>
      <c r="K34" s="12">
        <v>4.6490549999999997</v>
      </c>
      <c r="L34" s="12">
        <v>5.7269449999999997</v>
      </c>
      <c r="M34" s="12">
        <v>6.8712920000000004</v>
      </c>
      <c r="N34" s="12">
        <v>6.8194239999999997</v>
      </c>
      <c r="O34" s="12">
        <v>6.7648289999999998</v>
      </c>
      <c r="P34" s="12">
        <v>6.7183539999999997</v>
      </c>
      <c r="Q34" s="12">
        <v>6.6731090000000002</v>
      </c>
      <c r="R34" s="12">
        <v>6.6344110000000001</v>
      </c>
      <c r="S34" s="12">
        <v>6.5722329999999998</v>
      </c>
      <c r="T34" s="12">
        <v>6.5170909999999997</v>
      </c>
      <c r="U34" s="12">
        <v>6.423864</v>
      </c>
      <c r="V34" s="12">
        <v>6.3249040000000001</v>
      </c>
      <c r="W34" s="12">
        <v>6.2515070000000001</v>
      </c>
    </row>
    <row r="35" spans="2:23" x14ac:dyDescent="0.25">
      <c r="B35" s="11" t="s">
        <v>15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1.0877509999999999</v>
      </c>
      <c r="O35" s="12">
        <v>2.2080739999999999</v>
      </c>
      <c r="P35" s="12">
        <v>3.2060529999999998</v>
      </c>
      <c r="Q35" s="12">
        <v>4.1798780000000004</v>
      </c>
      <c r="R35" s="12">
        <v>5.0555700000000003</v>
      </c>
      <c r="S35" s="12">
        <v>5.0083589999999996</v>
      </c>
      <c r="T35" s="12">
        <v>4.9665160000000004</v>
      </c>
      <c r="U35" s="12">
        <v>4.8956210000000002</v>
      </c>
      <c r="V35" s="12">
        <v>4.8203459999999998</v>
      </c>
      <c r="W35" s="12">
        <v>4.7645580000000001</v>
      </c>
    </row>
    <row r="36" spans="2:23" x14ac:dyDescent="0.25">
      <c r="B36" s="11" t="s">
        <v>16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1.2388539999999999</v>
      </c>
      <c r="T36" s="12">
        <v>2.3797920000000001</v>
      </c>
      <c r="U36" s="12">
        <v>4.041957</v>
      </c>
      <c r="V36" s="12">
        <v>5.7668710000000001</v>
      </c>
      <c r="W36" s="12">
        <v>7.1187649999999998</v>
      </c>
    </row>
    <row r="37" spans="2:23" x14ac:dyDescent="0.25"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2:23" x14ac:dyDescent="0.25">
      <c r="B38" s="1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spans="2:23" ht="90" x14ac:dyDescent="0.25">
      <c r="B39" s="10" t="s">
        <v>24</v>
      </c>
      <c r="C39" s="18">
        <v>625.41099999999994</v>
      </c>
      <c r="D39" s="18">
        <v>645.08699999999999</v>
      </c>
      <c r="E39" s="18">
        <v>663.29</v>
      </c>
      <c r="F39" s="18">
        <v>679.78099999999995</v>
      </c>
      <c r="G39" s="18">
        <v>698.25900000000001</v>
      </c>
      <c r="H39" s="18">
        <v>714.88099999999997</v>
      </c>
      <c r="I39" s="18">
        <v>731.06100000000004</v>
      </c>
      <c r="J39" s="18">
        <v>745.74900000000002</v>
      </c>
      <c r="K39" s="18">
        <v>759.56700000000001</v>
      </c>
      <c r="L39" s="18">
        <v>771.99199999999996</v>
      </c>
      <c r="M39" s="18">
        <v>784.05899999999997</v>
      </c>
      <c r="N39" s="18">
        <v>796.10299999999995</v>
      </c>
      <c r="O39" s="18">
        <v>808.17</v>
      </c>
      <c r="P39" s="18">
        <v>821.43600000000004</v>
      </c>
      <c r="Q39" s="18">
        <v>833.81500000000005</v>
      </c>
      <c r="R39" s="18">
        <v>844.34799999999996</v>
      </c>
      <c r="S39" s="18">
        <v>856.24599999999998</v>
      </c>
      <c r="T39" s="18">
        <v>870.625</v>
      </c>
      <c r="U39" s="18">
        <v>887.78200000000004</v>
      </c>
      <c r="V39" s="18">
        <v>901.03599999999994</v>
      </c>
      <c r="W39" s="18">
        <v>916.23400000000004</v>
      </c>
    </row>
    <row r="40" spans="2:23" x14ac:dyDescent="0.25">
      <c r="B40" s="16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spans="2:23" x14ac:dyDescent="0.25">
      <c r="B41" s="11" t="s">
        <v>7</v>
      </c>
      <c r="C41" s="12">
        <v>83.319000000000003</v>
      </c>
      <c r="D41" s="12">
        <v>82.590999999999994</v>
      </c>
      <c r="E41" s="12">
        <v>81.873000000000005</v>
      </c>
      <c r="F41" s="12">
        <v>81.16</v>
      </c>
      <c r="G41" s="12">
        <v>80.450999999999993</v>
      </c>
      <c r="H41" s="12">
        <v>79.748999999999995</v>
      </c>
      <c r="I41" s="12">
        <v>79.052999999999997</v>
      </c>
      <c r="J41" s="12">
        <v>78.361999999999995</v>
      </c>
      <c r="K41" s="12">
        <v>77.677999999999997</v>
      </c>
      <c r="L41" s="12">
        <v>76.998000000000005</v>
      </c>
      <c r="M41" s="12">
        <v>76.325000000000003</v>
      </c>
      <c r="N41" s="12">
        <v>75.656000000000006</v>
      </c>
      <c r="O41" s="12">
        <v>74.992999999999995</v>
      </c>
      <c r="P41" s="12">
        <v>74.332999999999998</v>
      </c>
      <c r="Q41" s="12">
        <v>73.679000000000002</v>
      </c>
      <c r="R41" s="12">
        <v>73.031999999999996</v>
      </c>
      <c r="S41" s="12">
        <v>72.387</v>
      </c>
      <c r="T41" s="12">
        <v>71.745999999999995</v>
      </c>
      <c r="U41" s="12">
        <v>71.111000000000004</v>
      </c>
      <c r="V41" s="12">
        <v>70.480999999999995</v>
      </c>
      <c r="W41" s="12">
        <v>69.858999999999995</v>
      </c>
    </row>
    <row r="42" spans="2:23" x14ac:dyDescent="0.25">
      <c r="B42" s="11" t="s">
        <v>8</v>
      </c>
      <c r="C42" s="12">
        <v>54.104999999999997</v>
      </c>
      <c r="D42" s="12">
        <v>53.713999999999999</v>
      </c>
      <c r="E42" s="12">
        <v>53.326999999999998</v>
      </c>
      <c r="F42" s="12">
        <v>52.942999999999998</v>
      </c>
      <c r="G42" s="12">
        <v>52.56</v>
      </c>
      <c r="H42" s="12">
        <v>52.180999999999997</v>
      </c>
      <c r="I42" s="12">
        <v>51.804000000000002</v>
      </c>
      <c r="J42" s="12">
        <v>51.429000000000002</v>
      </c>
      <c r="K42" s="12">
        <v>51.058</v>
      </c>
      <c r="L42" s="12">
        <v>50.688000000000002</v>
      </c>
      <c r="M42" s="12">
        <v>50.320999999999998</v>
      </c>
      <c r="N42" s="12">
        <v>49.956000000000003</v>
      </c>
      <c r="O42" s="12">
        <v>49.594000000000001</v>
      </c>
      <c r="P42" s="12">
        <v>49.232999999999997</v>
      </c>
      <c r="Q42" s="12">
        <v>48.875</v>
      </c>
      <c r="R42" s="12">
        <v>48.518999999999998</v>
      </c>
      <c r="S42" s="12">
        <v>48.164999999999999</v>
      </c>
      <c r="T42" s="12">
        <v>47.811999999999998</v>
      </c>
      <c r="U42" s="12">
        <v>47.462000000000003</v>
      </c>
      <c r="V42" s="12">
        <v>47.113999999999997</v>
      </c>
      <c r="W42" s="12">
        <v>46.77</v>
      </c>
    </row>
    <row r="43" spans="2:23" x14ac:dyDescent="0.25">
      <c r="B43" s="11" t="s">
        <v>9</v>
      </c>
      <c r="C43" s="12">
        <v>113.05200000000001</v>
      </c>
      <c r="D43" s="12">
        <v>112.661</v>
      </c>
      <c r="E43" s="12">
        <v>112.27200000000001</v>
      </c>
      <c r="F43" s="12">
        <v>111.884</v>
      </c>
      <c r="G43" s="12">
        <v>111.496</v>
      </c>
      <c r="H43" s="12">
        <v>111.11</v>
      </c>
      <c r="I43" s="12">
        <v>110.72499999999999</v>
      </c>
      <c r="J43" s="12">
        <v>110.34099999999999</v>
      </c>
      <c r="K43" s="12">
        <v>109.959</v>
      </c>
      <c r="L43" s="12">
        <v>109.577</v>
      </c>
      <c r="M43" s="12">
        <v>109.196</v>
      </c>
      <c r="N43" s="12">
        <v>108.81699999999999</v>
      </c>
      <c r="O43" s="12">
        <v>108.43899999999999</v>
      </c>
      <c r="P43" s="12">
        <v>108.06</v>
      </c>
      <c r="Q43" s="12">
        <v>107.682</v>
      </c>
      <c r="R43" s="12">
        <v>107.307</v>
      </c>
      <c r="S43" s="12">
        <v>106.931</v>
      </c>
      <c r="T43" s="12">
        <v>106.55500000000001</v>
      </c>
      <c r="U43" s="12">
        <v>106.181</v>
      </c>
      <c r="V43" s="12">
        <v>105.80800000000001</v>
      </c>
      <c r="W43" s="12">
        <v>105.437</v>
      </c>
    </row>
    <row r="44" spans="2:23" x14ac:dyDescent="0.25">
      <c r="B44" s="11" t="s">
        <v>10</v>
      </c>
      <c r="C44" s="12">
        <v>88.191999999999993</v>
      </c>
      <c r="D44" s="12">
        <v>87.947999999999993</v>
      </c>
      <c r="E44" s="12">
        <v>87.703999999999994</v>
      </c>
      <c r="F44" s="12">
        <v>87.462000000000003</v>
      </c>
      <c r="G44" s="12">
        <v>87.218999999999994</v>
      </c>
      <c r="H44" s="12">
        <v>86.977999999999994</v>
      </c>
      <c r="I44" s="12">
        <v>86.736999999999995</v>
      </c>
      <c r="J44" s="12">
        <v>86.495999999999995</v>
      </c>
      <c r="K44" s="12">
        <v>86.256</v>
      </c>
      <c r="L44" s="12">
        <v>86.016999999999996</v>
      </c>
      <c r="M44" s="12">
        <v>85.778000000000006</v>
      </c>
      <c r="N44" s="12">
        <v>85.539000000000001</v>
      </c>
      <c r="O44" s="12">
        <v>85.301000000000002</v>
      </c>
      <c r="P44" s="12">
        <v>85.063000000000002</v>
      </c>
      <c r="Q44" s="12">
        <v>84.825000000000003</v>
      </c>
      <c r="R44" s="12">
        <v>84.587999999999994</v>
      </c>
      <c r="S44" s="12">
        <v>84.350999999999999</v>
      </c>
      <c r="T44" s="12">
        <v>84.114000000000004</v>
      </c>
      <c r="U44" s="12">
        <v>83.878</v>
      </c>
      <c r="V44" s="12">
        <v>83.641999999999996</v>
      </c>
      <c r="W44" s="12">
        <v>83.406999999999996</v>
      </c>
    </row>
    <row r="45" spans="2:23" x14ac:dyDescent="0.25">
      <c r="B45" s="11" t="s">
        <v>11</v>
      </c>
      <c r="C45" s="12">
        <v>216.398</v>
      </c>
      <c r="D45" s="12">
        <v>216.023</v>
      </c>
      <c r="E45" s="12">
        <v>215.649</v>
      </c>
      <c r="F45" s="12">
        <v>215.27699999999999</v>
      </c>
      <c r="G45" s="12">
        <v>214.904</v>
      </c>
      <c r="H45" s="12">
        <v>214.53100000000001</v>
      </c>
      <c r="I45" s="12">
        <v>214.16</v>
      </c>
      <c r="J45" s="12">
        <v>213.78800000000001</v>
      </c>
      <c r="K45" s="12">
        <v>213.41800000000001</v>
      </c>
      <c r="L45" s="12">
        <v>213.047</v>
      </c>
      <c r="M45" s="12">
        <v>212.67699999999999</v>
      </c>
      <c r="N45" s="12">
        <v>212.30699999999999</v>
      </c>
      <c r="O45" s="12">
        <v>211.93799999999999</v>
      </c>
      <c r="P45" s="12">
        <v>211.56800000000001</v>
      </c>
      <c r="Q45" s="12">
        <v>211.19800000000001</v>
      </c>
      <c r="R45" s="12">
        <v>210.83</v>
      </c>
      <c r="S45" s="12">
        <v>210.46</v>
      </c>
      <c r="T45" s="12">
        <v>210.09</v>
      </c>
      <c r="U45" s="12">
        <v>209.721</v>
      </c>
      <c r="V45" s="12">
        <v>209.352</v>
      </c>
      <c r="W45" s="12">
        <v>208.98599999999999</v>
      </c>
    </row>
    <row r="46" spans="2:23" x14ac:dyDescent="0.25">
      <c r="B46" s="11" t="s">
        <v>12</v>
      </c>
      <c r="C46" s="12">
        <v>70.344999999999999</v>
      </c>
      <c r="D46" s="12">
        <v>70.296000000000006</v>
      </c>
      <c r="E46" s="12">
        <v>70.247</v>
      </c>
      <c r="F46" s="12">
        <v>70.198999999999998</v>
      </c>
      <c r="G46" s="12">
        <v>70.150000000000006</v>
      </c>
      <c r="H46" s="12">
        <v>70.102000000000004</v>
      </c>
      <c r="I46" s="12">
        <v>70.052999999999997</v>
      </c>
      <c r="J46" s="12">
        <v>70.004000000000005</v>
      </c>
      <c r="K46" s="12">
        <v>69.956000000000003</v>
      </c>
      <c r="L46" s="12">
        <v>69.906999999999996</v>
      </c>
      <c r="M46" s="12">
        <v>69.858999999999995</v>
      </c>
      <c r="N46" s="12">
        <v>69.81</v>
      </c>
      <c r="O46" s="12">
        <v>69.760999999999996</v>
      </c>
      <c r="P46" s="12">
        <v>69.712999999999994</v>
      </c>
      <c r="Q46" s="12">
        <v>69.664000000000001</v>
      </c>
      <c r="R46" s="12">
        <v>69.614999999999995</v>
      </c>
      <c r="S46" s="12">
        <v>69.566999999999993</v>
      </c>
      <c r="T46" s="12">
        <v>69.518000000000001</v>
      </c>
      <c r="U46" s="12">
        <v>69.468999999999994</v>
      </c>
      <c r="V46" s="12">
        <v>69.42</v>
      </c>
      <c r="W46" s="12">
        <v>69.370999999999995</v>
      </c>
    </row>
    <row r="47" spans="2:23" x14ac:dyDescent="0.25">
      <c r="B47" s="11" t="s">
        <v>13</v>
      </c>
      <c r="C47" s="12">
        <v>0</v>
      </c>
      <c r="D47" s="12">
        <v>21.855</v>
      </c>
      <c r="E47" s="12">
        <v>42.218000000000004</v>
      </c>
      <c r="F47" s="12">
        <v>60.856999999999999</v>
      </c>
      <c r="G47" s="12">
        <v>81.477999999999994</v>
      </c>
      <c r="H47" s="12">
        <v>100.23</v>
      </c>
      <c r="I47" s="12">
        <v>100.21299999999999</v>
      </c>
      <c r="J47" s="12">
        <v>100.19499999999999</v>
      </c>
      <c r="K47" s="12">
        <v>100.178</v>
      </c>
      <c r="L47" s="12">
        <v>100.16</v>
      </c>
      <c r="M47" s="12">
        <v>100.143</v>
      </c>
      <c r="N47" s="12">
        <v>100.126</v>
      </c>
      <c r="O47" s="12">
        <v>100.108</v>
      </c>
      <c r="P47" s="12">
        <v>100.09099999999999</v>
      </c>
      <c r="Q47" s="12">
        <v>100.07299999999999</v>
      </c>
      <c r="R47" s="12">
        <v>100.056</v>
      </c>
      <c r="S47" s="12">
        <v>100.038</v>
      </c>
      <c r="T47" s="12">
        <v>100.021</v>
      </c>
      <c r="U47" s="12">
        <v>100.003</v>
      </c>
      <c r="V47" s="12">
        <v>99.984999999999999</v>
      </c>
      <c r="W47" s="12">
        <v>99.968000000000004</v>
      </c>
    </row>
    <row r="48" spans="2:23" x14ac:dyDescent="0.25">
      <c r="B48" s="11" t="s">
        <v>14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18.315999999999999</v>
      </c>
      <c r="J48" s="12">
        <v>35.131999999999998</v>
      </c>
      <c r="K48" s="12">
        <v>51.066000000000003</v>
      </c>
      <c r="L48" s="12">
        <v>65.596999999999994</v>
      </c>
      <c r="M48" s="12">
        <v>79.760999999999996</v>
      </c>
      <c r="N48" s="12">
        <v>79.757999999999996</v>
      </c>
      <c r="O48" s="12">
        <v>79.754999999999995</v>
      </c>
      <c r="P48" s="12">
        <v>79.751999999999995</v>
      </c>
      <c r="Q48" s="12">
        <v>79.75</v>
      </c>
      <c r="R48" s="12">
        <v>79.747</v>
      </c>
      <c r="S48" s="12">
        <v>79.744</v>
      </c>
      <c r="T48" s="12">
        <v>79.741</v>
      </c>
      <c r="U48" s="12">
        <v>79.738</v>
      </c>
      <c r="V48" s="12">
        <v>79.736000000000004</v>
      </c>
      <c r="W48" s="12">
        <v>79.733000000000004</v>
      </c>
    </row>
    <row r="49" spans="2:23" x14ac:dyDescent="0.25">
      <c r="B49" s="11" t="s">
        <v>15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14.135</v>
      </c>
      <c r="O49" s="12">
        <v>28.28</v>
      </c>
      <c r="P49" s="12">
        <v>43.622999999999998</v>
      </c>
      <c r="Q49" s="12">
        <v>58.069000000000003</v>
      </c>
      <c r="R49" s="12">
        <v>70.653999999999996</v>
      </c>
      <c r="S49" s="12">
        <v>70.653999999999996</v>
      </c>
      <c r="T49" s="12">
        <v>70.653999999999996</v>
      </c>
      <c r="U49" s="12">
        <v>70.653999999999996</v>
      </c>
      <c r="V49" s="12">
        <v>70.653999999999996</v>
      </c>
      <c r="W49" s="12">
        <v>70.653999999999996</v>
      </c>
    </row>
    <row r="50" spans="2:23" x14ac:dyDescent="0.25">
      <c r="B50" s="11" t="s">
        <v>16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13.948</v>
      </c>
      <c r="T50" s="12">
        <v>30.373999999999999</v>
      </c>
      <c r="U50" s="12">
        <v>49.564</v>
      </c>
      <c r="V50" s="12">
        <v>64.844999999999999</v>
      </c>
      <c r="W50" s="12">
        <v>82.048000000000002</v>
      </c>
    </row>
    <row r="51" spans="2:23" x14ac:dyDescent="0.25">
      <c r="B51" s="13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 spans="2:23" x14ac:dyDescent="0.25">
      <c r="B52" s="16" t="s">
        <v>23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 spans="2:23" x14ac:dyDescent="0.25">
      <c r="B53" s="11" t="s">
        <v>7</v>
      </c>
      <c r="C53" s="12">
        <v>13.322284</v>
      </c>
      <c r="D53" s="12">
        <v>12.803146999999999</v>
      </c>
      <c r="E53" s="12">
        <v>12.343399</v>
      </c>
      <c r="F53" s="12">
        <v>11.939107999999999</v>
      </c>
      <c r="G53" s="12">
        <v>11.521661</v>
      </c>
      <c r="H53" s="12">
        <v>11.155597999999999</v>
      </c>
      <c r="I53" s="12">
        <v>10.813492</v>
      </c>
      <c r="J53" s="12">
        <v>10.507876</v>
      </c>
      <c r="K53" s="12">
        <v>10.226588</v>
      </c>
      <c r="L53" s="12">
        <v>9.9739930000000001</v>
      </c>
      <c r="M53" s="12">
        <v>9.7345480000000002</v>
      </c>
      <c r="N53" s="12">
        <v>9.5032770000000006</v>
      </c>
      <c r="O53" s="12">
        <v>9.2794059999999998</v>
      </c>
      <c r="P53" s="12">
        <v>9.0492139999999992</v>
      </c>
      <c r="Q53" s="12">
        <v>8.8363969999999998</v>
      </c>
      <c r="R53" s="12">
        <v>8.6494750000000007</v>
      </c>
      <c r="S53" s="12">
        <v>8.4540190000000006</v>
      </c>
      <c r="T53" s="12">
        <v>8.2407249999999994</v>
      </c>
      <c r="U53" s="12">
        <v>8.0099830000000001</v>
      </c>
      <c r="V53" s="12">
        <v>7.8222100000000001</v>
      </c>
      <c r="W53" s="12">
        <v>7.6246109999999998</v>
      </c>
    </row>
    <row r="54" spans="2:23" x14ac:dyDescent="0.25">
      <c r="B54" s="11" t="s">
        <v>8</v>
      </c>
      <c r="C54" s="12">
        <v>8.6510660000000001</v>
      </c>
      <c r="D54" s="12">
        <v>8.3265930000000008</v>
      </c>
      <c r="E54" s="12">
        <v>8.0397560000000006</v>
      </c>
      <c r="F54" s="12">
        <v>7.788208</v>
      </c>
      <c r="G54" s="12">
        <v>7.5273209999999997</v>
      </c>
      <c r="H54" s="12">
        <v>7.2992319999999999</v>
      </c>
      <c r="I54" s="12">
        <v>7.0861359999999998</v>
      </c>
      <c r="J54" s="12">
        <v>6.8963390000000002</v>
      </c>
      <c r="K54" s="12">
        <v>6.7219360000000004</v>
      </c>
      <c r="L54" s="12">
        <v>6.5658859999999999</v>
      </c>
      <c r="M54" s="12">
        <v>6.4180210000000004</v>
      </c>
      <c r="N54" s="12">
        <v>6.275099</v>
      </c>
      <c r="O54" s="12">
        <v>6.1366139999999998</v>
      </c>
      <c r="P54" s="12">
        <v>5.9935510000000001</v>
      </c>
      <c r="Q54" s="12">
        <v>5.8615640000000004</v>
      </c>
      <c r="R54" s="12">
        <v>5.7463480000000002</v>
      </c>
      <c r="S54" s="12">
        <v>5.6251230000000003</v>
      </c>
      <c r="T54" s="12">
        <v>5.4916600000000004</v>
      </c>
      <c r="U54" s="12">
        <v>5.3461119999999998</v>
      </c>
      <c r="V54" s="12">
        <v>5.2288410000000001</v>
      </c>
      <c r="W54" s="12">
        <v>5.1045800000000003</v>
      </c>
    </row>
    <row r="55" spans="2:23" x14ac:dyDescent="0.25">
      <c r="B55" s="11" t="s">
        <v>9</v>
      </c>
      <c r="C55" s="12">
        <v>18.076505000000001</v>
      </c>
      <c r="D55" s="12">
        <v>17.464416</v>
      </c>
      <c r="E55" s="12">
        <v>16.926459999999999</v>
      </c>
      <c r="F55" s="12">
        <v>16.458779</v>
      </c>
      <c r="G55" s="12">
        <v>15.967701</v>
      </c>
      <c r="H55" s="12">
        <v>15.542439</v>
      </c>
      <c r="I55" s="12">
        <v>15.145810000000001</v>
      </c>
      <c r="J55" s="12">
        <v>14.796011999999999</v>
      </c>
      <c r="K55" s="12">
        <v>14.476481</v>
      </c>
      <c r="L55" s="12">
        <v>14.194050000000001</v>
      </c>
      <c r="M55" s="12">
        <v>13.927063</v>
      </c>
      <c r="N55" s="12">
        <v>13.668672000000001</v>
      </c>
      <c r="O55" s="12">
        <v>13.417790999999999</v>
      </c>
      <c r="P55" s="12">
        <v>13.154999999999999</v>
      </c>
      <c r="Q55" s="12">
        <v>12.914427999999999</v>
      </c>
      <c r="R55" s="12">
        <v>12.708845</v>
      </c>
      <c r="S55" s="12">
        <v>12.48836</v>
      </c>
      <c r="T55" s="12">
        <v>12.238918</v>
      </c>
      <c r="U55" s="12">
        <v>11.960260999999999</v>
      </c>
      <c r="V55" s="12">
        <v>11.742879</v>
      </c>
      <c r="W55" s="12">
        <v>11.507674</v>
      </c>
    </row>
    <row r="56" spans="2:23" x14ac:dyDescent="0.25">
      <c r="B56" s="11" t="s">
        <v>10</v>
      </c>
      <c r="C56" s="12">
        <v>14.101456000000001</v>
      </c>
      <c r="D56" s="12">
        <v>13.633435</v>
      </c>
      <c r="E56" s="12">
        <v>13.222638999999999</v>
      </c>
      <c r="F56" s="12">
        <v>12.866203000000001</v>
      </c>
      <c r="G56" s="12">
        <v>12.490993</v>
      </c>
      <c r="H56" s="12">
        <v>12.166766000000001</v>
      </c>
      <c r="I56" s="12">
        <v>11.864516</v>
      </c>
      <c r="J56" s="12">
        <v>11.598563</v>
      </c>
      <c r="K56" s="12">
        <v>11.355973000000001</v>
      </c>
      <c r="L56" s="12">
        <v>11.142173</v>
      </c>
      <c r="M56" s="12">
        <v>10.940205000000001</v>
      </c>
      <c r="N56" s="12">
        <v>10.744718000000001</v>
      </c>
      <c r="O56" s="12">
        <v>10.554855999999999</v>
      </c>
      <c r="P56" s="12">
        <v>10.355383</v>
      </c>
      <c r="Q56" s="12">
        <v>10.173131</v>
      </c>
      <c r="R56" s="12">
        <v>10.018189</v>
      </c>
      <c r="S56" s="12">
        <v>9.8512989999999991</v>
      </c>
      <c r="T56" s="12">
        <v>9.6613380000000006</v>
      </c>
      <c r="U56" s="12">
        <v>9.4480140000000006</v>
      </c>
      <c r="V56" s="12">
        <v>9.2828379999999999</v>
      </c>
      <c r="W56" s="12">
        <v>9.1032919999999997</v>
      </c>
    </row>
    <row r="57" spans="2:23" x14ac:dyDescent="0.25">
      <c r="B57" s="11" t="s">
        <v>11</v>
      </c>
      <c r="C57" s="12">
        <v>34.600906000000002</v>
      </c>
      <c r="D57" s="12">
        <v>33.487383999999999</v>
      </c>
      <c r="E57" s="12">
        <v>32.512098000000002</v>
      </c>
      <c r="F57" s="12">
        <v>31.668557</v>
      </c>
      <c r="G57" s="12">
        <v>30.777066999999999</v>
      </c>
      <c r="H57" s="12">
        <v>30.009402000000001</v>
      </c>
      <c r="I57" s="12">
        <v>29.294385999999999</v>
      </c>
      <c r="J57" s="12">
        <v>28.667597000000001</v>
      </c>
      <c r="K57" s="12">
        <v>28.097266999999999</v>
      </c>
      <c r="L57" s="12">
        <v>27.597052999999999</v>
      </c>
      <c r="M57" s="12">
        <v>27.125119999999999</v>
      </c>
      <c r="N57" s="12">
        <v>26.668288</v>
      </c>
      <c r="O57" s="12">
        <v>26.224430999999999</v>
      </c>
      <c r="P57" s="12">
        <v>25.755845999999998</v>
      </c>
      <c r="Q57" s="12">
        <v>25.329132999999999</v>
      </c>
      <c r="R57" s="12">
        <v>24.969521</v>
      </c>
      <c r="S57" s="12">
        <v>24.579422999999998</v>
      </c>
      <c r="T57" s="12">
        <v>24.130956999999999</v>
      </c>
      <c r="U57" s="12">
        <v>23.623055999999998</v>
      </c>
      <c r="V57" s="12">
        <v>23.234615000000002</v>
      </c>
      <c r="W57" s="12">
        <v>22.809206</v>
      </c>
    </row>
    <row r="58" spans="2:23" x14ac:dyDescent="0.25">
      <c r="B58" s="11" t="s">
        <v>12</v>
      </c>
      <c r="C58" s="12">
        <v>11.247783</v>
      </c>
      <c r="D58" s="12">
        <v>10.897148</v>
      </c>
      <c r="E58" s="12">
        <v>10.590766</v>
      </c>
      <c r="F58" s="12">
        <v>10.326696</v>
      </c>
      <c r="G58" s="12">
        <v>10.046448</v>
      </c>
      <c r="H58" s="12">
        <v>9.8060550000000006</v>
      </c>
      <c r="I58" s="12">
        <v>9.5823789999999995</v>
      </c>
      <c r="J58" s="12">
        <v>9.3871280000000006</v>
      </c>
      <c r="K58" s="12">
        <v>9.2099630000000001</v>
      </c>
      <c r="L58" s="12">
        <v>9.0554360000000003</v>
      </c>
      <c r="M58" s="12">
        <v>8.909872</v>
      </c>
      <c r="N58" s="12">
        <v>8.7689710000000005</v>
      </c>
      <c r="O58" s="12">
        <v>8.6320309999999996</v>
      </c>
      <c r="P58" s="12">
        <v>8.4866910000000004</v>
      </c>
      <c r="Q58" s="12">
        <v>8.3548500000000008</v>
      </c>
      <c r="R58" s="12">
        <v>8.2448669999999993</v>
      </c>
      <c r="S58" s="12">
        <v>8.1246010000000002</v>
      </c>
      <c r="T58" s="12">
        <v>7.9847939999999999</v>
      </c>
      <c r="U58" s="12">
        <v>7.8249810000000002</v>
      </c>
      <c r="V58" s="12">
        <v>7.7044509999999997</v>
      </c>
      <c r="W58" s="12">
        <v>7.5713460000000001</v>
      </c>
    </row>
    <row r="59" spans="2:23" x14ac:dyDescent="0.25">
      <c r="B59" s="11" t="s">
        <v>13</v>
      </c>
      <c r="C59" s="12">
        <v>0</v>
      </c>
      <c r="D59" s="12">
        <v>3.3878759999999999</v>
      </c>
      <c r="E59" s="12">
        <v>6.3648829999999998</v>
      </c>
      <c r="F59" s="12">
        <v>8.9524500000000007</v>
      </c>
      <c r="G59" s="12">
        <v>11.668808</v>
      </c>
      <c r="H59" s="12">
        <v>14.020507</v>
      </c>
      <c r="I59" s="12">
        <v>13.707826000000001</v>
      </c>
      <c r="J59" s="12">
        <v>13.435510000000001</v>
      </c>
      <c r="K59" s="12">
        <v>13.188803</v>
      </c>
      <c r="L59" s="12">
        <v>12.974278999999999</v>
      </c>
      <c r="M59" s="12">
        <v>12.772379000000001</v>
      </c>
      <c r="N59" s="12">
        <v>12.576961000000001</v>
      </c>
      <c r="O59" s="12">
        <v>12.387017</v>
      </c>
      <c r="P59" s="12">
        <v>12.184839999999999</v>
      </c>
      <c r="Q59" s="12">
        <v>12.001842999999999</v>
      </c>
      <c r="R59" s="12">
        <v>11.850054</v>
      </c>
      <c r="S59" s="12">
        <v>11.683344</v>
      </c>
      <c r="T59" s="12">
        <v>11.488363</v>
      </c>
      <c r="U59" s="12">
        <v>11.264362999999999</v>
      </c>
      <c r="V59" s="12">
        <v>11.096714</v>
      </c>
      <c r="W59" s="12">
        <v>10.910736</v>
      </c>
    </row>
    <row r="60" spans="2:23" x14ac:dyDescent="0.25">
      <c r="B60" s="11" t="s">
        <v>14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2.505455</v>
      </c>
      <c r="J60" s="12">
        <v>4.7109759999999996</v>
      </c>
      <c r="K60" s="12">
        <v>6.722988</v>
      </c>
      <c r="L60" s="12">
        <v>8.4971289999999993</v>
      </c>
      <c r="M60" s="12">
        <v>10.172791</v>
      </c>
      <c r="N60" s="12">
        <v>10.018542</v>
      </c>
      <c r="O60" s="12">
        <v>9.8686089999999993</v>
      </c>
      <c r="P60" s="12">
        <v>9.7088940000000008</v>
      </c>
      <c r="Q60" s="12">
        <v>9.5644189999999991</v>
      </c>
      <c r="R60" s="12">
        <v>9.4447759999999992</v>
      </c>
      <c r="S60" s="12">
        <v>9.3132090000000005</v>
      </c>
      <c r="T60" s="12">
        <v>9.1590729999999994</v>
      </c>
      <c r="U60" s="12">
        <v>8.9817520000000002</v>
      </c>
      <c r="V60" s="12">
        <v>8.8493209999999998</v>
      </c>
      <c r="W60" s="12">
        <v>8.7022279999999999</v>
      </c>
    </row>
    <row r="61" spans="2:23" x14ac:dyDescent="0.25">
      <c r="B61" s="11" t="s">
        <v>15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1.7754730000000001</v>
      </c>
      <c r="O61" s="12">
        <v>3.499244</v>
      </c>
      <c r="P61" s="12">
        <v>5.3105820000000001</v>
      </c>
      <c r="Q61" s="12">
        <v>6.9642340000000003</v>
      </c>
      <c r="R61" s="12">
        <v>8.3679240000000004</v>
      </c>
      <c r="S61" s="12">
        <v>8.2516470000000002</v>
      </c>
      <c r="T61" s="12">
        <v>8.1153650000000006</v>
      </c>
      <c r="U61" s="12">
        <v>7.9585299999999997</v>
      </c>
      <c r="V61" s="12">
        <v>7.8414619999999999</v>
      </c>
      <c r="W61" s="12">
        <v>7.711392</v>
      </c>
    </row>
    <row r="62" spans="2:23" x14ac:dyDescent="0.25">
      <c r="B62" s="11" t="s">
        <v>16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1.6289739999999999</v>
      </c>
      <c r="T62" s="12">
        <v>3.488807</v>
      </c>
      <c r="U62" s="12">
        <v>5.582948</v>
      </c>
      <c r="V62" s="12">
        <v>7.196669</v>
      </c>
      <c r="W62" s="12">
        <v>8.954936</v>
      </c>
    </row>
    <row r="63" spans="2:23" x14ac:dyDescent="0.25"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</row>
    <row r="64" spans="2:23" x14ac:dyDescent="0.25"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</row>
    <row r="65" spans="3:15" x14ac:dyDescent="0.25"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</row>
    <row r="66" spans="3:15" x14ac:dyDescent="0.25"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spans="3:15" x14ac:dyDescent="0.25"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</row>
    <row r="68" spans="3:15" x14ac:dyDescent="0.25"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3:15" x14ac:dyDescent="0.25"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3:15" x14ac:dyDescent="0.25"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3:15" x14ac:dyDescent="0.25"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3:15" x14ac:dyDescent="0.25"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3:15" x14ac:dyDescent="0.25"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3:15" x14ac:dyDescent="0.25"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3:15" x14ac:dyDescent="0.25"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3:15" x14ac:dyDescent="0.25"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3:15" x14ac:dyDescent="0.25"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3:15" x14ac:dyDescent="0.25"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3:15" x14ac:dyDescent="0.25"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3:15" x14ac:dyDescent="0.25"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3:15" x14ac:dyDescent="0.25"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5:W84"/>
  <sheetViews>
    <sheetView topLeftCell="A10" zoomScale="70" zoomScaleNormal="70" workbookViewId="0">
      <selection activeCell="AA28" sqref="AA28"/>
    </sheetView>
  </sheetViews>
  <sheetFormatPr defaultRowHeight="15" x14ac:dyDescent="0.25"/>
  <sheetData>
    <row r="5" spans="1:23" ht="18" x14ac:dyDescent="0.25">
      <c r="A5" s="2" t="s">
        <v>3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23" ht="18" x14ac:dyDescent="0.25">
      <c r="A6" s="2"/>
      <c r="F6" s="3"/>
      <c r="G6" s="3"/>
      <c r="H6" s="3"/>
      <c r="I6" s="3"/>
      <c r="J6" s="3"/>
      <c r="K6" s="3"/>
      <c r="L6" s="3"/>
      <c r="M6" s="3"/>
      <c r="N6" s="3"/>
      <c r="O6" s="3"/>
    </row>
    <row r="7" spans="1:23" ht="15.75" x14ac:dyDescent="0.25">
      <c r="A7" s="4" t="s">
        <v>4</v>
      </c>
      <c r="C7" s="3"/>
      <c r="D7" s="3"/>
      <c r="E7" s="3"/>
    </row>
    <row r="8" spans="1:23" ht="15.75" x14ac:dyDescent="0.25">
      <c r="A8" s="4" t="s">
        <v>25</v>
      </c>
      <c r="B8" s="1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15.75" x14ac:dyDescent="0.25">
      <c r="C9" s="6"/>
      <c r="D9" s="6"/>
    </row>
    <row r="11" spans="1:23" ht="15.75" thickBot="1" x14ac:dyDescent="0.3">
      <c r="C11" s="7">
        <v>2000</v>
      </c>
      <c r="D11" s="7">
        <v>2001</v>
      </c>
      <c r="E11" s="7">
        <v>2002</v>
      </c>
      <c r="F11" s="7">
        <v>2003</v>
      </c>
      <c r="G11" s="7">
        <v>2004</v>
      </c>
      <c r="H11" s="7">
        <v>2005</v>
      </c>
      <c r="I11" s="7">
        <v>2006</v>
      </c>
      <c r="J11" s="7">
        <v>2007</v>
      </c>
      <c r="K11" s="7">
        <v>2008</v>
      </c>
      <c r="L11" s="7">
        <v>2009</v>
      </c>
      <c r="M11" s="7">
        <v>2010</v>
      </c>
      <c r="N11" s="7">
        <v>2011</v>
      </c>
      <c r="O11" s="7">
        <v>2012</v>
      </c>
      <c r="P11" s="7">
        <v>2013</v>
      </c>
      <c r="Q11" s="7">
        <v>2014</v>
      </c>
      <c r="R11" s="7">
        <v>2015</v>
      </c>
      <c r="S11" s="7">
        <v>2016</v>
      </c>
      <c r="T11" s="7">
        <v>2017</v>
      </c>
      <c r="U11" s="7">
        <v>2018</v>
      </c>
      <c r="V11" s="7">
        <v>2019</v>
      </c>
      <c r="W11" s="7">
        <v>2020</v>
      </c>
    </row>
    <row r="12" spans="1:23" x14ac:dyDescent="0.25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23" ht="90" x14ac:dyDescent="0.25">
      <c r="A13" s="8"/>
      <c r="B13" s="10" t="s">
        <v>26</v>
      </c>
      <c r="C13" s="18">
        <v>1290.3240000000001</v>
      </c>
      <c r="D13" s="18">
        <v>1297.748</v>
      </c>
      <c r="E13" s="18">
        <v>1313.5160000000001</v>
      </c>
      <c r="F13" s="18">
        <v>1326.431</v>
      </c>
      <c r="G13" s="18">
        <v>1342.798</v>
      </c>
      <c r="H13" s="18">
        <v>1363.65</v>
      </c>
      <c r="I13" s="18">
        <v>1381.886</v>
      </c>
      <c r="J13" s="18">
        <v>1394.7280000000001</v>
      </c>
      <c r="K13" s="18">
        <v>1413.7619999999999</v>
      </c>
      <c r="L13" s="18">
        <v>1431.509</v>
      </c>
      <c r="M13" s="18">
        <v>1453.373</v>
      </c>
      <c r="N13" s="18">
        <v>1476.855</v>
      </c>
      <c r="O13" s="18">
        <v>1496.4359999999999</v>
      </c>
      <c r="P13" s="18">
        <v>1518.268</v>
      </c>
      <c r="Q13" s="18">
        <v>1538.972</v>
      </c>
      <c r="R13" s="18">
        <v>1580.2919999999999</v>
      </c>
      <c r="S13" s="18">
        <v>1607.85</v>
      </c>
      <c r="T13" s="18">
        <v>1633.453</v>
      </c>
      <c r="U13" s="18">
        <v>1663.0619999999999</v>
      </c>
      <c r="V13" s="18">
        <v>1685.3779999999999</v>
      </c>
      <c r="W13" s="18">
        <v>1716.934</v>
      </c>
    </row>
    <row r="14" spans="1:23" x14ac:dyDescent="0.25">
      <c r="B14" s="16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x14ac:dyDescent="0.25">
      <c r="B15" s="11" t="s">
        <v>7</v>
      </c>
      <c r="C15" s="12">
        <v>268.12400000000002</v>
      </c>
      <c r="D15" s="12">
        <v>265.81700000000001</v>
      </c>
      <c r="E15" s="12">
        <v>263.52699999999999</v>
      </c>
      <c r="F15" s="12">
        <v>261.255</v>
      </c>
      <c r="G15" s="12">
        <v>259.06599999999997</v>
      </c>
      <c r="H15" s="12">
        <v>256.94900000000001</v>
      </c>
      <c r="I15" s="12">
        <v>254.72800000000001</v>
      </c>
      <c r="J15" s="12">
        <v>252.52500000000001</v>
      </c>
      <c r="K15" s="12">
        <v>250.33500000000001</v>
      </c>
      <c r="L15" s="12">
        <v>248.16800000000001</v>
      </c>
      <c r="M15" s="12">
        <v>246.01300000000001</v>
      </c>
      <c r="N15" s="12">
        <v>243.87700000000001</v>
      </c>
      <c r="O15" s="12">
        <v>241.75700000000001</v>
      </c>
      <c r="P15" s="12">
        <v>239.65299999999999</v>
      </c>
      <c r="Q15" s="12">
        <v>237.571</v>
      </c>
      <c r="R15" s="12">
        <v>235.494</v>
      </c>
      <c r="S15" s="12">
        <v>233.44200000000001</v>
      </c>
      <c r="T15" s="12">
        <v>231.405</v>
      </c>
      <c r="U15" s="12">
        <v>229.381</v>
      </c>
      <c r="V15" s="12">
        <v>227.36199999999999</v>
      </c>
      <c r="W15" s="12">
        <v>225.36600000000001</v>
      </c>
    </row>
    <row r="16" spans="1:23" x14ac:dyDescent="0.25">
      <c r="B16" s="11" t="s">
        <v>8</v>
      </c>
      <c r="C16" s="12">
        <v>174.86799999999999</v>
      </c>
      <c r="D16" s="12">
        <v>173.62299999999999</v>
      </c>
      <c r="E16" s="12">
        <v>172.38499999999999</v>
      </c>
      <c r="F16" s="12">
        <v>171.155</v>
      </c>
      <c r="G16" s="12">
        <v>169.96899999999999</v>
      </c>
      <c r="H16" s="12">
        <v>168.82</v>
      </c>
      <c r="I16" s="12">
        <v>167.61199999999999</v>
      </c>
      <c r="J16" s="12">
        <v>166.41300000000001</v>
      </c>
      <c r="K16" s="12">
        <v>165.21799999999999</v>
      </c>
      <c r="L16" s="12">
        <v>164.035</v>
      </c>
      <c r="M16" s="12">
        <v>162.85599999999999</v>
      </c>
      <c r="N16" s="12">
        <v>161.68600000000001</v>
      </c>
      <c r="O16" s="12">
        <v>160.523</v>
      </c>
      <c r="P16" s="12">
        <v>159.36699999999999</v>
      </c>
      <c r="Q16" s="12">
        <v>158.22200000000001</v>
      </c>
      <c r="R16" s="12">
        <v>157.077</v>
      </c>
      <c r="S16" s="12">
        <v>155.94399999999999</v>
      </c>
      <c r="T16" s="12">
        <v>154.81800000000001</v>
      </c>
      <c r="U16" s="12">
        <v>153.69800000000001</v>
      </c>
      <c r="V16" s="12">
        <v>152.57900000000001</v>
      </c>
      <c r="W16" s="12">
        <v>151.47</v>
      </c>
    </row>
    <row r="17" spans="2:23" x14ac:dyDescent="0.25">
      <c r="B17" s="11" t="s">
        <v>9</v>
      </c>
      <c r="C17" s="12">
        <v>369.35899999999998</v>
      </c>
      <c r="D17" s="12">
        <v>368.09800000000001</v>
      </c>
      <c r="E17" s="12">
        <v>366.84</v>
      </c>
      <c r="F17" s="12">
        <v>365.58499999999998</v>
      </c>
      <c r="G17" s="12">
        <v>364.36900000000003</v>
      </c>
      <c r="H17" s="12">
        <v>363.18799999999999</v>
      </c>
      <c r="I17" s="12">
        <v>361.94200000000001</v>
      </c>
      <c r="J17" s="12">
        <v>360.7</v>
      </c>
      <c r="K17" s="12">
        <v>359.45800000000003</v>
      </c>
      <c r="L17" s="12">
        <v>358.22399999999999</v>
      </c>
      <c r="M17" s="12">
        <v>356.98899999999998</v>
      </c>
      <c r="N17" s="12">
        <v>355.75900000000001</v>
      </c>
      <c r="O17" s="12">
        <v>354.53199999999998</v>
      </c>
      <c r="P17" s="12">
        <v>353.30700000000002</v>
      </c>
      <c r="Q17" s="12">
        <v>352.089</v>
      </c>
      <c r="R17" s="12">
        <v>350.86700000000002</v>
      </c>
      <c r="S17" s="12">
        <v>349.654</v>
      </c>
      <c r="T17" s="12">
        <v>348.44299999999998</v>
      </c>
      <c r="U17" s="12">
        <v>347.23399999999998</v>
      </c>
      <c r="V17" s="12">
        <v>346.02100000000002</v>
      </c>
      <c r="W17" s="12">
        <v>344.81599999999997</v>
      </c>
    </row>
    <row r="18" spans="2:23" x14ac:dyDescent="0.25">
      <c r="B18" s="11" t="s">
        <v>10</v>
      </c>
      <c r="C18" s="12">
        <v>116.95</v>
      </c>
      <c r="D18" s="12">
        <v>116.63</v>
      </c>
      <c r="E18" s="12">
        <v>116.31100000000001</v>
      </c>
      <c r="F18" s="12">
        <v>115.99299999999999</v>
      </c>
      <c r="G18" s="12">
        <v>115.684</v>
      </c>
      <c r="H18" s="12">
        <v>115.384</v>
      </c>
      <c r="I18" s="12">
        <v>115.06699999999999</v>
      </c>
      <c r="J18" s="12">
        <v>114.751</v>
      </c>
      <c r="K18" s="12">
        <v>114.435</v>
      </c>
      <c r="L18" s="12">
        <v>114.121</v>
      </c>
      <c r="M18" s="12">
        <v>113.806</v>
      </c>
      <c r="N18" s="12">
        <v>113.492</v>
      </c>
      <c r="O18" s="12">
        <v>113.179</v>
      </c>
      <c r="P18" s="12">
        <v>112.866</v>
      </c>
      <c r="Q18" s="12">
        <v>112.55500000000001</v>
      </c>
      <c r="R18" s="12">
        <v>112.242</v>
      </c>
      <c r="S18" s="12">
        <v>111.932</v>
      </c>
      <c r="T18" s="12">
        <v>111.622</v>
      </c>
      <c r="U18" s="12">
        <v>111.312</v>
      </c>
      <c r="V18" s="12">
        <v>111.001</v>
      </c>
      <c r="W18" s="12">
        <v>110.691</v>
      </c>
    </row>
    <row r="19" spans="2:23" x14ac:dyDescent="0.25">
      <c r="B19" s="11" t="s">
        <v>11</v>
      </c>
      <c r="C19" s="12">
        <v>295.89</v>
      </c>
      <c r="D19" s="12">
        <v>295.38499999999999</v>
      </c>
      <c r="E19" s="12">
        <v>294.88</v>
      </c>
      <c r="F19" s="12">
        <v>294.375</v>
      </c>
      <c r="G19" s="12">
        <v>293.88600000000002</v>
      </c>
      <c r="H19" s="12">
        <v>293.40899999999999</v>
      </c>
      <c r="I19" s="12">
        <v>292.90499999999997</v>
      </c>
      <c r="J19" s="12">
        <v>292.40300000000002</v>
      </c>
      <c r="K19" s="12">
        <v>291.899</v>
      </c>
      <c r="L19" s="12">
        <v>291.39800000000002</v>
      </c>
      <c r="M19" s="12">
        <v>290.89499999999998</v>
      </c>
      <c r="N19" s="12">
        <v>290.39400000000001</v>
      </c>
      <c r="O19" s="12">
        <v>289.89299999999997</v>
      </c>
      <c r="P19" s="12">
        <v>289.392</v>
      </c>
      <c r="Q19" s="12">
        <v>288.89299999999997</v>
      </c>
      <c r="R19" s="12">
        <v>288.392</v>
      </c>
      <c r="S19" s="12">
        <v>287.89299999999997</v>
      </c>
      <c r="T19" s="12">
        <v>287.39400000000001</v>
      </c>
      <c r="U19" s="12">
        <v>286.89499999999998</v>
      </c>
      <c r="V19" s="12">
        <v>286.39400000000001</v>
      </c>
      <c r="W19" s="12">
        <v>285.89499999999998</v>
      </c>
    </row>
    <row r="20" spans="2:23" x14ac:dyDescent="0.25">
      <c r="B20" s="11" t="s">
        <v>12</v>
      </c>
      <c r="C20" s="12">
        <v>65.134</v>
      </c>
      <c r="D20" s="12">
        <v>65.088999999999999</v>
      </c>
      <c r="E20" s="12">
        <v>65.045000000000002</v>
      </c>
      <c r="F20" s="12">
        <v>65</v>
      </c>
      <c r="G20" s="12">
        <v>64.956999999999994</v>
      </c>
      <c r="H20" s="12">
        <v>64.915000000000006</v>
      </c>
      <c r="I20" s="12">
        <v>64.87</v>
      </c>
      <c r="J20" s="12">
        <v>64.825000000000003</v>
      </c>
      <c r="K20" s="12">
        <v>64.781000000000006</v>
      </c>
      <c r="L20" s="12">
        <v>64.736000000000004</v>
      </c>
      <c r="M20" s="12">
        <v>64.691999999999993</v>
      </c>
      <c r="N20" s="12">
        <v>64.647000000000006</v>
      </c>
      <c r="O20" s="12">
        <v>64.602000000000004</v>
      </c>
      <c r="P20" s="12">
        <v>64.558000000000007</v>
      </c>
      <c r="Q20" s="12">
        <v>64.513000000000005</v>
      </c>
      <c r="R20" s="12">
        <v>64.468000000000004</v>
      </c>
      <c r="S20" s="12">
        <v>64.424000000000007</v>
      </c>
      <c r="T20" s="12">
        <v>64.379000000000005</v>
      </c>
      <c r="U20" s="12">
        <v>64.334000000000003</v>
      </c>
      <c r="V20" s="12">
        <v>64.289000000000001</v>
      </c>
      <c r="W20" s="12">
        <v>64.245000000000005</v>
      </c>
    </row>
    <row r="21" spans="2:23" x14ac:dyDescent="0.25">
      <c r="B21" s="11" t="s">
        <v>13</v>
      </c>
      <c r="C21" s="12">
        <v>0</v>
      </c>
      <c r="D21" s="12">
        <v>13.106</v>
      </c>
      <c r="E21" s="12">
        <v>34.527999999999999</v>
      </c>
      <c r="F21" s="12">
        <v>53.067999999999998</v>
      </c>
      <c r="G21" s="12">
        <v>74.867000000000004</v>
      </c>
      <c r="H21" s="12">
        <v>100.985</v>
      </c>
      <c r="I21" s="12">
        <v>100.968</v>
      </c>
      <c r="J21" s="12">
        <v>100.95099999999999</v>
      </c>
      <c r="K21" s="12">
        <v>100.93300000000001</v>
      </c>
      <c r="L21" s="12">
        <v>100.916</v>
      </c>
      <c r="M21" s="12">
        <v>100.898</v>
      </c>
      <c r="N21" s="12">
        <v>100.881</v>
      </c>
      <c r="O21" s="12">
        <v>100.864</v>
      </c>
      <c r="P21" s="12">
        <v>100.846</v>
      </c>
      <c r="Q21" s="12">
        <v>100.82899999999999</v>
      </c>
      <c r="R21" s="12">
        <v>100.81100000000001</v>
      </c>
      <c r="S21" s="12">
        <v>100.794</v>
      </c>
      <c r="T21" s="12">
        <v>100.776</v>
      </c>
      <c r="U21" s="12">
        <v>100.759</v>
      </c>
      <c r="V21" s="12">
        <v>100.741</v>
      </c>
      <c r="W21" s="12">
        <v>100.724</v>
      </c>
    </row>
    <row r="22" spans="2:23" x14ac:dyDescent="0.25">
      <c r="B22" s="11" t="s">
        <v>14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23.794</v>
      </c>
      <c r="J22" s="12">
        <v>42.161000000000001</v>
      </c>
      <c r="K22" s="12">
        <v>66.701999999999998</v>
      </c>
      <c r="L22" s="12">
        <v>89.911000000000001</v>
      </c>
      <c r="M22" s="12">
        <v>117.223</v>
      </c>
      <c r="N22" s="12">
        <v>117.21899999999999</v>
      </c>
      <c r="O22" s="12">
        <v>117.215</v>
      </c>
      <c r="P22" s="12">
        <v>117.211</v>
      </c>
      <c r="Q22" s="12">
        <v>117.20699999999999</v>
      </c>
      <c r="R22" s="12">
        <v>117.202</v>
      </c>
      <c r="S22" s="12">
        <v>117.19799999999999</v>
      </c>
      <c r="T22" s="12">
        <v>117.194</v>
      </c>
      <c r="U22" s="12">
        <v>117.19</v>
      </c>
      <c r="V22" s="12">
        <v>117.18600000000001</v>
      </c>
      <c r="W22" s="12">
        <v>117.182</v>
      </c>
    </row>
    <row r="23" spans="2:23" x14ac:dyDescent="0.25">
      <c r="B23" s="11" t="s">
        <v>15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28.899000000000001</v>
      </c>
      <c r="O23" s="12">
        <v>53.871000000000002</v>
      </c>
      <c r="P23" s="12">
        <v>81.066999999999993</v>
      </c>
      <c r="Q23" s="12">
        <v>107.09399999999999</v>
      </c>
      <c r="R23" s="12">
        <v>153.738</v>
      </c>
      <c r="S23" s="12">
        <v>153.738</v>
      </c>
      <c r="T23" s="12">
        <v>153.738</v>
      </c>
      <c r="U23" s="12">
        <v>153.738</v>
      </c>
      <c r="V23" s="12">
        <v>153.738</v>
      </c>
      <c r="W23" s="12">
        <v>153.738</v>
      </c>
    </row>
    <row r="24" spans="2:23" x14ac:dyDescent="0.25">
      <c r="B24" s="11" t="s">
        <v>16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32.831000000000003</v>
      </c>
      <c r="T24" s="12">
        <v>63.683</v>
      </c>
      <c r="U24" s="12">
        <v>98.52</v>
      </c>
      <c r="V24" s="12">
        <v>126.066</v>
      </c>
      <c r="W24" s="12">
        <v>162.80699999999999</v>
      </c>
    </row>
    <row r="25" spans="2:23" x14ac:dyDescent="0.25">
      <c r="B25" s="13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2:23" x14ac:dyDescent="0.25">
      <c r="B26" s="16" t="s">
        <v>23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2:23" x14ac:dyDescent="0.25">
      <c r="B27" s="11" t="s">
        <v>7</v>
      </c>
      <c r="C27" s="12">
        <v>20.779572000000002</v>
      </c>
      <c r="D27" s="12">
        <v>20.482938000000001</v>
      </c>
      <c r="E27" s="12">
        <v>20.062732</v>
      </c>
      <c r="F27" s="12">
        <v>19.696104999999999</v>
      </c>
      <c r="G27" s="12">
        <v>19.293019000000001</v>
      </c>
      <c r="H27" s="12">
        <v>18.842770999999999</v>
      </c>
      <c r="I27" s="12">
        <v>18.433346</v>
      </c>
      <c r="J27" s="12">
        <v>18.105689999999999</v>
      </c>
      <c r="K27" s="12">
        <v>17.707007000000001</v>
      </c>
      <c r="L27" s="12">
        <v>17.336131000000002</v>
      </c>
      <c r="M27" s="12">
        <v>16.927050000000001</v>
      </c>
      <c r="N27" s="12">
        <v>16.513280000000002</v>
      </c>
      <c r="O27" s="12">
        <v>16.155531</v>
      </c>
      <c r="P27" s="12">
        <v>15.784637</v>
      </c>
      <c r="Q27" s="12">
        <v>15.436987999999999</v>
      </c>
      <c r="R27" s="12">
        <v>14.901913</v>
      </c>
      <c r="S27" s="12">
        <v>14.518875</v>
      </c>
      <c r="T27" s="12">
        <v>14.166596999999999</v>
      </c>
      <c r="U27" s="12">
        <v>13.792705</v>
      </c>
      <c r="V27" s="12">
        <v>13.490288</v>
      </c>
      <c r="W27" s="12">
        <v>13.126089</v>
      </c>
    </row>
    <row r="28" spans="2:23" x14ac:dyDescent="0.25">
      <c r="B28" s="11" t="s">
        <v>8</v>
      </c>
      <c r="C28" s="12">
        <v>13.552224000000001</v>
      </c>
      <c r="D28" s="12">
        <v>13.378766000000001</v>
      </c>
      <c r="E28" s="12">
        <v>13.123949</v>
      </c>
      <c r="F28" s="12">
        <v>12.903454</v>
      </c>
      <c r="G28" s="12">
        <v>12.65781</v>
      </c>
      <c r="H28" s="12">
        <v>12.379986000000001</v>
      </c>
      <c r="I28" s="12">
        <v>12.129213</v>
      </c>
      <c r="J28" s="12">
        <v>11.931545</v>
      </c>
      <c r="K28" s="12">
        <v>11.686431000000001</v>
      </c>
      <c r="L28" s="12">
        <v>11.458893</v>
      </c>
      <c r="M28" s="12">
        <v>11.205409</v>
      </c>
      <c r="N28" s="12">
        <v>10.948021000000001</v>
      </c>
      <c r="O28" s="12">
        <v>10.727046</v>
      </c>
      <c r="P28" s="12">
        <v>10.496655000000001</v>
      </c>
      <c r="Q28" s="12">
        <v>10.280995000000001</v>
      </c>
      <c r="R28" s="12">
        <v>9.9397409999999997</v>
      </c>
      <c r="S28" s="12">
        <v>9.6989389999999993</v>
      </c>
      <c r="T28" s="12">
        <v>9.4779839999999993</v>
      </c>
      <c r="U28" s="12">
        <v>9.2418820000000004</v>
      </c>
      <c r="V28" s="12">
        <v>9.0530950000000008</v>
      </c>
      <c r="W28" s="12">
        <v>8.8221489999999996</v>
      </c>
    </row>
    <row r="29" spans="2:23" x14ac:dyDescent="0.25">
      <c r="B29" s="11" t="s">
        <v>9</v>
      </c>
      <c r="C29" s="12">
        <v>28.625304</v>
      </c>
      <c r="D29" s="12">
        <v>28.364371999999999</v>
      </c>
      <c r="E29" s="12">
        <v>27.928080000000001</v>
      </c>
      <c r="F29" s="12">
        <v>27.561534999999999</v>
      </c>
      <c r="G29" s="12">
        <v>27.135076000000002</v>
      </c>
      <c r="H29" s="12">
        <v>26.633512</v>
      </c>
      <c r="I29" s="12">
        <v>26.191866999999998</v>
      </c>
      <c r="J29" s="12">
        <v>25.861650999999998</v>
      </c>
      <c r="K29" s="12">
        <v>25.425651999999999</v>
      </c>
      <c r="L29" s="12">
        <v>25.024194000000001</v>
      </c>
      <c r="M29" s="12">
        <v>24.562798999999998</v>
      </c>
      <c r="N29" s="12">
        <v>24.088964000000001</v>
      </c>
      <c r="O29" s="12">
        <v>23.691745000000001</v>
      </c>
      <c r="P29" s="12">
        <v>23.270416999999998</v>
      </c>
      <c r="Q29" s="12">
        <v>22.878202999999999</v>
      </c>
      <c r="R29" s="12">
        <v>22.202698999999999</v>
      </c>
      <c r="S29" s="12">
        <v>21.746691999999999</v>
      </c>
      <c r="T29" s="12">
        <v>21.331704999999999</v>
      </c>
      <c r="U29" s="12">
        <v>20.879211999999999</v>
      </c>
      <c r="V29" s="12">
        <v>20.530788999999999</v>
      </c>
      <c r="W29" s="12">
        <v>20.083234000000001</v>
      </c>
    </row>
    <row r="30" spans="2:23" x14ac:dyDescent="0.25">
      <c r="B30" s="11" t="s">
        <v>10</v>
      </c>
      <c r="C30" s="12">
        <v>9.0635840000000005</v>
      </c>
      <c r="D30" s="12">
        <v>8.9871149999999993</v>
      </c>
      <c r="E30" s="12">
        <v>8.8549439999999997</v>
      </c>
      <c r="F30" s="12">
        <v>8.7447219999999994</v>
      </c>
      <c r="G30" s="12">
        <v>8.6151560000000007</v>
      </c>
      <c r="H30" s="12">
        <v>8.461411</v>
      </c>
      <c r="I30" s="12">
        <v>8.3268269999999998</v>
      </c>
      <c r="J30" s="12">
        <v>8.2275039999999997</v>
      </c>
      <c r="K30" s="12">
        <v>8.0943810000000003</v>
      </c>
      <c r="L30" s="12">
        <v>7.9720630000000003</v>
      </c>
      <c r="M30" s="12">
        <v>7.8304819999999999</v>
      </c>
      <c r="N30" s="12">
        <v>7.6847329999999996</v>
      </c>
      <c r="O30" s="12">
        <v>7.5632429999999999</v>
      </c>
      <c r="P30" s="12">
        <v>7.4338860000000002</v>
      </c>
      <c r="Q30" s="12">
        <v>7.3136450000000002</v>
      </c>
      <c r="R30" s="12">
        <v>7.1026400000000001</v>
      </c>
      <c r="S30" s="12">
        <v>6.961589</v>
      </c>
      <c r="T30" s="12">
        <v>6.8334849999999996</v>
      </c>
      <c r="U30" s="12">
        <v>6.6931859999999999</v>
      </c>
      <c r="V30" s="12">
        <v>6.5861039999999997</v>
      </c>
      <c r="W30" s="12">
        <v>6.4470340000000004</v>
      </c>
    </row>
    <row r="31" spans="2:23" x14ac:dyDescent="0.25">
      <c r="B31" s="11" t="s">
        <v>11</v>
      </c>
      <c r="C31" s="12">
        <v>22.931470000000001</v>
      </c>
      <c r="D31" s="12">
        <v>22.761347000000001</v>
      </c>
      <c r="E31" s="12">
        <v>22.449657999999999</v>
      </c>
      <c r="F31" s="12">
        <v>22.193028000000002</v>
      </c>
      <c r="G31" s="12">
        <v>21.886066</v>
      </c>
      <c r="H31" s="12">
        <v>21.516449000000001</v>
      </c>
      <c r="I31" s="12">
        <v>21.196065999999998</v>
      </c>
      <c r="J31" s="12">
        <v>20.964852</v>
      </c>
      <c r="K31" s="12">
        <v>20.646985999999998</v>
      </c>
      <c r="L31" s="12">
        <v>20.355982999999998</v>
      </c>
      <c r="M31" s="12">
        <v>20.015193</v>
      </c>
      <c r="N31" s="12">
        <v>19.663004000000001</v>
      </c>
      <c r="O31" s="12">
        <v>19.372225</v>
      </c>
      <c r="P31" s="12">
        <v>19.060673000000001</v>
      </c>
      <c r="Q31" s="12">
        <v>18.771816000000001</v>
      </c>
      <c r="R31" s="12">
        <v>18.249258999999999</v>
      </c>
      <c r="S31" s="12">
        <v>17.905448</v>
      </c>
      <c r="T31" s="12">
        <v>17.594266000000001</v>
      </c>
      <c r="U31" s="12">
        <v>17.251021999999999</v>
      </c>
      <c r="V31" s="12">
        <v>16.992861000000001</v>
      </c>
      <c r="W31" s="12">
        <v>16.651474</v>
      </c>
    </row>
    <row r="32" spans="2:23" x14ac:dyDescent="0.25">
      <c r="B32" s="11" t="s">
        <v>12</v>
      </c>
      <c r="C32" s="12">
        <v>5.0478449999999997</v>
      </c>
      <c r="D32" s="12">
        <v>5.0155390000000004</v>
      </c>
      <c r="E32" s="12">
        <v>4.9519399999999996</v>
      </c>
      <c r="F32" s="12">
        <v>4.9003670000000001</v>
      </c>
      <c r="G32" s="12">
        <v>4.8374170000000003</v>
      </c>
      <c r="H32" s="12">
        <v>4.7603559999999998</v>
      </c>
      <c r="I32" s="12">
        <v>4.6943109999999999</v>
      </c>
      <c r="J32" s="12">
        <v>4.6478929999999998</v>
      </c>
      <c r="K32" s="12">
        <v>4.5821579999999997</v>
      </c>
      <c r="L32" s="12">
        <v>4.52224</v>
      </c>
      <c r="M32" s="12">
        <v>4.4511370000000001</v>
      </c>
      <c r="N32" s="12">
        <v>4.3773439999999999</v>
      </c>
      <c r="O32" s="12">
        <v>4.3170830000000002</v>
      </c>
      <c r="P32" s="12">
        <v>4.2520639999999998</v>
      </c>
      <c r="Q32" s="12">
        <v>4.1919659999999999</v>
      </c>
      <c r="R32" s="12">
        <v>4.079523</v>
      </c>
      <c r="S32" s="12">
        <v>4.0068270000000004</v>
      </c>
      <c r="T32" s="12">
        <v>3.9412889999999998</v>
      </c>
      <c r="U32" s="12">
        <v>3.8684310000000002</v>
      </c>
      <c r="V32" s="12">
        <v>3.81454</v>
      </c>
      <c r="W32" s="12">
        <v>3.7418209999999998</v>
      </c>
    </row>
    <row r="33" spans="2:23" x14ac:dyDescent="0.25">
      <c r="B33" s="11" t="s">
        <v>13</v>
      </c>
      <c r="C33" s="12">
        <v>0</v>
      </c>
      <c r="D33" s="12">
        <v>1.0099229999999999</v>
      </c>
      <c r="E33" s="12">
        <v>2.628698</v>
      </c>
      <c r="F33" s="12">
        <v>4.0007890000000002</v>
      </c>
      <c r="G33" s="12">
        <v>5.575456</v>
      </c>
      <c r="H33" s="12">
        <v>7.4055160000000004</v>
      </c>
      <c r="I33" s="12">
        <v>7.3065340000000001</v>
      </c>
      <c r="J33" s="12">
        <v>7.2380149999999999</v>
      </c>
      <c r="K33" s="12">
        <v>7.1393370000000003</v>
      </c>
      <c r="L33" s="12">
        <v>7.0496160000000003</v>
      </c>
      <c r="M33" s="12">
        <v>6.942367</v>
      </c>
      <c r="N33" s="12">
        <v>6.8308049999999998</v>
      </c>
      <c r="O33" s="12">
        <v>6.7402600000000001</v>
      </c>
      <c r="P33" s="12">
        <v>6.6421900000000003</v>
      </c>
      <c r="Q33" s="12">
        <v>6.5517010000000004</v>
      </c>
      <c r="R33" s="12">
        <v>6.3792850000000003</v>
      </c>
      <c r="S33" s="12">
        <v>6.2688610000000002</v>
      </c>
      <c r="T33" s="12">
        <v>6.1695330000000004</v>
      </c>
      <c r="U33" s="12">
        <v>6.0586390000000003</v>
      </c>
      <c r="V33" s="12">
        <v>5.9773719999999999</v>
      </c>
      <c r="W33" s="12">
        <v>5.8664889999999996</v>
      </c>
    </row>
    <row r="34" spans="2:23" x14ac:dyDescent="0.25">
      <c r="B34" s="11" t="s">
        <v>14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1.721835</v>
      </c>
      <c r="J34" s="12">
        <v>3.0228489999999999</v>
      </c>
      <c r="K34" s="12">
        <v>4.7180489999999997</v>
      </c>
      <c r="L34" s="12">
        <v>6.2808789999999997</v>
      </c>
      <c r="M34" s="12">
        <v>8.0655619999999999</v>
      </c>
      <c r="N34" s="12">
        <v>7.9370459999999996</v>
      </c>
      <c r="O34" s="12">
        <v>7.8329190000000004</v>
      </c>
      <c r="P34" s="12">
        <v>7.7200179999999996</v>
      </c>
      <c r="Q34" s="12">
        <v>7.6158970000000004</v>
      </c>
      <c r="R34" s="12">
        <v>7.416506</v>
      </c>
      <c r="S34" s="12">
        <v>7.2891370000000002</v>
      </c>
      <c r="T34" s="12">
        <v>7.1746369999999997</v>
      </c>
      <c r="U34" s="12">
        <v>7.0466559999999996</v>
      </c>
      <c r="V34" s="12">
        <v>6.9531090000000004</v>
      </c>
      <c r="W34" s="12">
        <v>6.8250770000000003</v>
      </c>
    </row>
    <row r="35" spans="2:23" x14ac:dyDescent="0.25">
      <c r="B35" s="11" t="s">
        <v>15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1.9568030000000001</v>
      </c>
      <c r="O35" s="12">
        <v>3.5999500000000002</v>
      </c>
      <c r="P35" s="12">
        <v>5.3394599999999999</v>
      </c>
      <c r="Q35" s="12">
        <v>6.9587890000000003</v>
      </c>
      <c r="R35" s="12">
        <v>9.7284330000000008</v>
      </c>
      <c r="S35" s="12">
        <v>9.5616909999999997</v>
      </c>
      <c r="T35" s="12">
        <v>9.4118200000000005</v>
      </c>
      <c r="U35" s="12">
        <v>9.2442530000000005</v>
      </c>
      <c r="V35" s="12">
        <v>9.1218500000000002</v>
      </c>
      <c r="W35" s="12">
        <v>8.9541970000000006</v>
      </c>
    </row>
    <row r="36" spans="2:23" x14ac:dyDescent="0.25">
      <c r="B36" s="11" t="s">
        <v>16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2.0419399999999999</v>
      </c>
      <c r="T36" s="12">
        <v>3.8986839999999998</v>
      </c>
      <c r="U36" s="12">
        <v>5.9240139999999997</v>
      </c>
      <c r="V36" s="12">
        <v>7.4799930000000003</v>
      </c>
      <c r="W36" s="12">
        <v>9.4824350000000006</v>
      </c>
    </row>
    <row r="37" spans="2:23" x14ac:dyDescent="0.25">
      <c r="B37" s="1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2:23" x14ac:dyDescent="0.25">
      <c r="B38" s="1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spans="2:23" ht="90" x14ac:dyDescent="0.25">
      <c r="B39" s="10" t="s">
        <v>27</v>
      </c>
      <c r="C39" s="18">
        <v>24.869</v>
      </c>
      <c r="D39" s="18">
        <v>24.795000000000002</v>
      </c>
      <c r="E39" s="18">
        <v>24.884</v>
      </c>
      <c r="F39" s="18">
        <v>25.021999999999998</v>
      </c>
      <c r="G39" s="18">
        <v>25.2</v>
      </c>
      <c r="H39" s="18">
        <v>25.356000000000002</v>
      </c>
      <c r="I39" s="18">
        <v>25.495000000000001</v>
      </c>
      <c r="J39" s="18">
        <v>25.614999999999998</v>
      </c>
      <c r="K39" s="18">
        <v>25.725000000000001</v>
      </c>
      <c r="L39" s="18">
        <v>25.773</v>
      </c>
      <c r="M39" s="18">
        <v>25.841000000000001</v>
      </c>
      <c r="N39" s="18">
        <v>25.893999999999998</v>
      </c>
      <c r="O39" s="18">
        <v>25.988</v>
      </c>
      <c r="P39" s="18">
        <v>26.100999999999999</v>
      </c>
      <c r="Q39" s="18">
        <v>26.207000000000001</v>
      </c>
      <c r="R39" s="18">
        <v>26.295999999999999</v>
      </c>
      <c r="S39" s="18">
        <v>26.398</v>
      </c>
      <c r="T39" s="18">
        <v>26.518000000000001</v>
      </c>
      <c r="U39" s="18">
        <v>26.62</v>
      </c>
      <c r="V39" s="18">
        <v>26.696000000000002</v>
      </c>
      <c r="W39" s="18">
        <v>26.765999999999998</v>
      </c>
    </row>
    <row r="40" spans="2:23" x14ac:dyDescent="0.25">
      <c r="B40" s="16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spans="2:23" x14ac:dyDescent="0.25">
      <c r="B41" s="11" t="s">
        <v>7</v>
      </c>
      <c r="C41" s="12">
        <v>3.4980000000000002</v>
      </c>
      <c r="D41" s="12">
        <v>3.363</v>
      </c>
      <c r="E41" s="12">
        <v>3.2690000000000001</v>
      </c>
      <c r="F41" s="12">
        <v>3.1960000000000002</v>
      </c>
      <c r="G41" s="12">
        <v>3.137</v>
      </c>
      <c r="H41" s="12">
        <v>3.0859999999999999</v>
      </c>
      <c r="I41" s="12">
        <v>3.0409999999999999</v>
      </c>
      <c r="J41" s="12">
        <v>3.0019999999999998</v>
      </c>
      <c r="K41" s="12">
        <v>2.9660000000000002</v>
      </c>
      <c r="L41" s="12">
        <v>2.9340000000000002</v>
      </c>
      <c r="M41" s="12">
        <v>2.903</v>
      </c>
      <c r="N41" s="12">
        <v>2.8759999999999999</v>
      </c>
      <c r="O41" s="12">
        <v>2.85</v>
      </c>
      <c r="P41" s="12">
        <v>2.8239999999999998</v>
      </c>
      <c r="Q41" s="12">
        <v>2.8</v>
      </c>
      <c r="R41" s="12">
        <v>2.7749999999999999</v>
      </c>
      <c r="S41" s="12">
        <v>2.75</v>
      </c>
      <c r="T41" s="12">
        <v>2.726</v>
      </c>
      <c r="U41" s="12">
        <v>2.702</v>
      </c>
      <c r="V41" s="12">
        <v>2.6779999999999999</v>
      </c>
      <c r="W41" s="12">
        <v>2.6549999999999998</v>
      </c>
    </row>
    <row r="42" spans="2:23" x14ac:dyDescent="0.25">
      <c r="B42" s="11" t="s">
        <v>8</v>
      </c>
      <c r="C42" s="12">
        <v>2.65</v>
      </c>
      <c r="D42" s="12">
        <v>2.5649999999999999</v>
      </c>
      <c r="E42" s="12">
        <v>2.5049999999999999</v>
      </c>
      <c r="F42" s="12">
        <v>2.4590000000000001</v>
      </c>
      <c r="G42" s="12">
        <v>2.4209999999999998</v>
      </c>
      <c r="H42" s="12">
        <v>2.3889999999999998</v>
      </c>
      <c r="I42" s="12">
        <v>2.36</v>
      </c>
      <c r="J42" s="12">
        <v>2.335</v>
      </c>
      <c r="K42" s="12">
        <v>2.3119999999999998</v>
      </c>
      <c r="L42" s="12">
        <v>2.2909999999999999</v>
      </c>
      <c r="M42" s="12">
        <v>2.2709999999999999</v>
      </c>
      <c r="N42" s="12">
        <v>2.2530000000000001</v>
      </c>
      <c r="O42" s="12">
        <v>2.2360000000000002</v>
      </c>
      <c r="P42" s="12">
        <v>2.2200000000000002</v>
      </c>
      <c r="Q42" s="12">
        <v>2.2040000000000002</v>
      </c>
      <c r="R42" s="12">
        <v>2.1880000000000002</v>
      </c>
      <c r="S42" s="12">
        <v>2.1720000000000002</v>
      </c>
      <c r="T42" s="12">
        <v>2.1560000000000001</v>
      </c>
      <c r="U42" s="12">
        <v>2.14</v>
      </c>
      <c r="V42" s="12">
        <v>2.125</v>
      </c>
      <c r="W42" s="12">
        <v>2.109</v>
      </c>
    </row>
    <row r="43" spans="2:23" x14ac:dyDescent="0.25">
      <c r="B43" s="11" t="s">
        <v>9</v>
      </c>
      <c r="C43" s="12">
        <v>8.093</v>
      </c>
      <c r="D43" s="12">
        <v>7.968</v>
      </c>
      <c r="E43" s="12">
        <v>7.88</v>
      </c>
      <c r="F43" s="12">
        <v>7.81</v>
      </c>
      <c r="G43" s="12">
        <v>7.7519999999999998</v>
      </c>
      <c r="H43" s="12">
        <v>7.7030000000000003</v>
      </c>
      <c r="I43" s="12">
        <v>7.6589999999999998</v>
      </c>
      <c r="J43" s="12">
        <v>7.6189999999999998</v>
      </c>
      <c r="K43" s="12">
        <v>7.5830000000000002</v>
      </c>
      <c r="L43" s="12">
        <v>7.55</v>
      </c>
      <c r="M43" s="12">
        <v>7.5190000000000001</v>
      </c>
      <c r="N43" s="12">
        <v>7.49</v>
      </c>
      <c r="O43" s="12">
        <v>7.4640000000000004</v>
      </c>
      <c r="P43" s="12">
        <v>7.4370000000000003</v>
      </c>
      <c r="Q43" s="12">
        <v>7.4109999999999996</v>
      </c>
      <c r="R43" s="12">
        <v>7.3849999999999998</v>
      </c>
      <c r="S43" s="12">
        <v>7.36</v>
      </c>
      <c r="T43" s="12">
        <v>7.3339999999999996</v>
      </c>
      <c r="U43" s="12">
        <v>7.3079999999999998</v>
      </c>
      <c r="V43" s="12">
        <v>7.282</v>
      </c>
      <c r="W43" s="12">
        <v>7.2569999999999997</v>
      </c>
    </row>
    <row r="44" spans="2:23" x14ac:dyDescent="0.25">
      <c r="B44" s="11" t="s">
        <v>10</v>
      </c>
      <c r="C44" s="12">
        <v>3.2170000000000001</v>
      </c>
      <c r="D44" s="12">
        <v>3.177</v>
      </c>
      <c r="E44" s="12">
        <v>3.149</v>
      </c>
      <c r="F44" s="12">
        <v>3.1259999999999999</v>
      </c>
      <c r="G44" s="12">
        <v>3.1080000000000001</v>
      </c>
      <c r="H44" s="12">
        <v>3.0920000000000001</v>
      </c>
      <c r="I44" s="12">
        <v>3.0779999999999998</v>
      </c>
      <c r="J44" s="12">
        <v>3.0649999999999999</v>
      </c>
      <c r="K44" s="12">
        <v>3.0529999999999999</v>
      </c>
      <c r="L44" s="12">
        <v>3.0430000000000001</v>
      </c>
      <c r="M44" s="12">
        <v>3.0329999999999999</v>
      </c>
      <c r="N44" s="12">
        <v>3.0230000000000001</v>
      </c>
      <c r="O44" s="12">
        <v>3.0150000000000001</v>
      </c>
      <c r="P44" s="12">
        <v>3.0059999999999998</v>
      </c>
      <c r="Q44" s="12">
        <v>2.9980000000000002</v>
      </c>
      <c r="R44" s="12">
        <v>2.99</v>
      </c>
      <c r="S44" s="12">
        <v>2.9809999999999999</v>
      </c>
      <c r="T44" s="12">
        <v>2.9729999999999999</v>
      </c>
      <c r="U44" s="12">
        <v>2.964</v>
      </c>
      <c r="V44" s="12">
        <v>2.956</v>
      </c>
      <c r="W44" s="12">
        <v>2.948</v>
      </c>
    </row>
    <row r="45" spans="2:23" x14ac:dyDescent="0.25">
      <c r="B45" s="11" t="s">
        <v>11</v>
      </c>
      <c r="C45" s="12">
        <v>5.8289999999999997</v>
      </c>
      <c r="D45" s="12">
        <v>5.7839999999999998</v>
      </c>
      <c r="E45" s="12">
        <v>5.7519999999999998</v>
      </c>
      <c r="F45" s="12">
        <v>5.7270000000000003</v>
      </c>
      <c r="G45" s="12">
        <v>5.7050000000000001</v>
      </c>
      <c r="H45" s="12">
        <v>5.6870000000000003</v>
      </c>
      <c r="I45" s="12">
        <v>5.6710000000000003</v>
      </c>
      <c r="J45" s="12">
        <v>5.6559999999999997</v>
      </c>
      <c r="K45" s="12">
        <v>5.6429999999999998</v>
      </c>
      <c r="L45" s="12">
        <v>5.63</v>
      </c>
      <c r="M45" s="12">
        <v>5.6189999999999998</v>
      </c>
      <c r="N45" s="12">
        <v>5.6079999999999997</v>
      </c>
      <c r="O45" s="12">
        <v>5.5979999999999999</v>
      </c>
      <c r="P45" s="12">
        <v>5.5880000000000001</v>
      </c>
      <c r="Q45" s="12">
        <v>5.5789999999999997</v>
      </c>
      <c r="R45" s="12">
        <v>5.569</v>
      </c>
      <c r="S45" s="12">
        <v>5.5590000000000002</v>
      </c>
      <c r="T45" s="12">
        <v>5.5490000000000004</v>
      </c>
      <c r="U45" s="12">
        <v>5.54</v>
      </c>
      <c r="V45" s="12">
        <v>5.53</v>
      </c>
      <c r="W45" s="12">
        <v>5.52</v>
      </c>
    </row>
    <row r="46" spans="2:23" x14ac:dyDescent="0.25">
      <c r="B46" s="11" t="s">
        <v>12</v>
      </c>
      <c r="C46" s="12">
        <v>1.5820000000000001</v>
      </c>
      <c r="D46" s="12">
        <v>1.5780000000000001</v>
      </c>
      <c r="E46" s="12">
        <v>1.5740000000000001</v>
      </c>
      <c r="F46" s="12">
        <v>1.571</v>
      </c>
      <c r="G46" s="12">
        <v>1.569</v>
      </c>
      <c r="H46" s="12">
        <v>1.5669999999999999</v>
      </c>
      <c r="I46" s="12">
        <v>1.5649999999999999</v>
      </c>
      <c r="J46" s="12">
        <v>1.5629999999999999</v>
      </c>
      <c r="K46" s="12">
        <v>1.5620000000000001</v>
      </c>
      <c r="L46" s="12">
        <v>1.5609999999999999</v>
      </c>
      <c r="M46" s="12">
        <v>1.5589999999999999</v>
      </c>
      <c r="N46" s="12">
        <v>1.5580000000000001</v>
      </c>
      <c r="O46" s="12">
        <v>1.5569999999999999</v>
      </c>
      <c r="P46" s="12">
        <v>1.556</v>
      </c>
      <c r="Q46" s="12">
        <v>1.5549999999999999</v>
      </c>
      <c r="R46" s="12">
        <v>1.554</v>
      </c>
      <c r="S46" s="12">
        <v>1.5529999999999999</v>
      </c>
      <c r="T46" s="12">
        <v>1.552</v>
      </c>
      <c r="U46" s="12">
        <v>1.5509999999999999</v>
      </c>
      <c r="V46" s="12">
        <v>1.5489999999999999</v>
      </c>
      <c r="W46" s="12">
        <v>1.548</v>
      </c>
    </row>
    <row r="47" spans="2:23" x14ac:dyDescent="0.25">
      <c r="B47" s="11" t="s">
        <v>13</v>
      </c>
      <c r="C47" s="12">
        <v>0</v>
      </c>
      <c r="D47" s="12">
        <v>0.36099999999999999</v>
      </c>
      <c r="E47" s="12">
        <v>0.755</v>
      </c>
      <c r="F47" s="12">
        <v>1.1319999999999999</v>
      </c>
      <c r="G47" s="12">
        <v>1.508</v>
      </c>
      <c r="H47" s="12">
        <v>1.833</v>
      </c>
      <c r="I47" s="12">
        <v>1.8320000000000001</v>
      </c>
      <c r="J47" s="12">
        <v>1.8320000000000001</v>
      </c>
      <c r="K47" s="12">
        <v>1.831</v>
      </c>
      <c r="L47" s="12">
        <v>1.831</v>
      </c>
      <c r="M47" s="12">
        <v>1.83</v>
      </c>
      <c r="N47" s="12">
        <v>1.83</v>
      </c>
      <c r="O47" s="12">
        <v>1.83</v>
      </c>
      <c r="P47" s="12">
        <v>1.829</v>
      </c>
      <c r="Q47" s="12">
        <v>1.829</v>
      </c>
      <c r="R47" s="12">
        <v>1.829</v>
      </c>
      <c r="S47" s="12">
        <v>1.8280000000000001</v>
      </c>
      <c r="T47" s="12">
        <v>1.8280000000000001</v>
      </c>
      <c r="U47" s="12">
        <v>1.8280000000000001</v>
      </c>
      <c r="V47" s="12">
        <v>1.827</v>
      </c>
      <c r="W47" s="12">
        <v>1.827</v>
      </c>
    </row>
    <row r="48" spans="2:23" x14ac:dyDescent="0.25">
      <c r="B48" s="11" t="s">
        <v>14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0.28899999999999998</v>
      </c>
      <c r="J48" s="12">
        <v>0.54300000000000004</v>
      </c>
      <c r="K48" s="12">
        <v>0.77500000000000002</v>
      </c>
      <c r="L48" s="12">
        <v>0.93400000000000005</v>
      </c>
      <c r="M48" s="12">
        <v>1.1060000000000001</v>
      </c>
      <c r="N48" s="12">
        <v>1.1060000000000001</v>
      </c>
      <c r="O48" s="12">
        <v>1.1060000000000001</v>
      </c>
      <c r="P48" s="12">
        <v>1.1060000000000001</v>
      </c>
      <c r="Q48" s="12">
        <v>1.1060000000000001</v>
      </c>
      <c r="R48" s="12">
        <v>1.1060000000000001</v>
      </c>
      <c r="S48" s="12">
        <v>1.1060000000000001</v>
      </c>
      <c r="T48" s="12">
        <v>1.105</v>
      </c>
      <c r="U48" s="12">
        <v>1.105</v>
      </c>
      <c r="V48" s="12">
        <v>1.105</v>
      </c>
      <c r="W48" s="12">
        <v>1.105</v>
      </c>
    </row>
    <row r="49" spans="2:23" x14ac:dyDescent="0.25">
      <c r="B49" s="11" t="s">
        <v>15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0.14899999999999999</v>
      </c>
      <c r="O49" s="12">
        <v>0.33300000000000002</v>
      </c>
      <c r="P49" s="12">
        <v>0.53300000000000003</v>
      </c>
      <c r="Q49" s="12">
        <v>0.72599999999999998</v>
      </c>
      <c r="R49" s="12">
        <v>0.90200000000000002</v>
      </c>
      <c r="S49" s="12">
        <v>0.90200000000000002</v>
      </c>
      <c r="T49" s="12">
        <v>0.90200000000000002</v>
      </c>
      <c r="U49" s="12">
        <v>0.90200000000000002</v>
      </c>
      <c r="V49" s="12">
        <v>0.90200000000000002</v>
      </c>
      <c r="W49" s="12">
        <v>0.90200000000000002</v>
      </c>
    </row>
    <row r="50" spans="2:23" x14ac:dyDescent="0.25">
      <c r="B50" s="11" t="s">
        <v>16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0.188</v>
      </c>
      <c r="T50" s="12">
        <v>0.39400000000000002</v>
      </c>
      <c r="U50" s="12">
        <v>0.57999999999999996</v>
      </c>
      <c r="V50" s="12">
        <v>0.74099999999999999</v>
      </c>
      <c r="W50" s="12">
        <v>0.89400000000000002</v>
      </c>
    </row>
    <row r="51" spans="2:23" x14ac:dyDescent="0.25">
      <c r="B51" s="13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 spans="2:23" x14ac:dyDescent="0.25">
      <c r="B52" s="16" t="s">
        <v>23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 spans="2:23" x14ac:dyDescent="0.25">
      <c r="B53" s="11" t="s">
        <v>7</v>
      </c>
      <c r="C53" s="12">
        <v>14.066024000000001</v>
      </c>
      <c r="D53" s="12">
        <v>13.562033</v>
      </c>
      <c r="E53" s="12">
        <v>13.136523</v>
      </c>
      <c r="F53" s="12">
        <v>12.774009</v>
      </c>
      <c r="G53" s="12">
        <v>12.446965000000001</v>
      </c>
      <c r="H53" s="12">
        <v>12.170431000000001</v>
      </c>
      <c r="I53" s="12">
        <v>11.929855</v>
      </c>
      <c r="J53" s="12">
        <v>11.719465</v>
      </c>
      <c r="K53" s="12">
        <v>11.53012</v>
      </c>
      <c r="L53" s="12">
        <v>11.382332</v>
      </c>
      <c r="M53" s="12">
        <v>11.23579</v>
      </c>
      <c r="N53" s="12">
        <v>11.105262</v>
      </c>
      <c r="O53" s="12">
        <v>10.964807</v>
      </c>
      <c r="P53" s="12">
        <v>10.821243000000001</v>
      </c>
      <c r="Q53" s="12">
        <v>10.682225000000001</v>
      </c>
      <c r="R53" s="12">
        <v>10.552163999999999</v>
      </c>
      <c r="S53" s="12">
        <v>10.418493</v>
      </c>
      <c r="T53" s="12">
        <v>10.279453999999999</v>
      </c>
      <c r="U53" s="12">
        <v>10.149877</v>
      </c>
      <c r="V53" s="12">
        <v>10.031613</v>
      </c>
      <c r="W53" s="12">
        <v>9.9177379999999999</v>
      </c>
    </row>
    <row r="54" spans="2:23" x14ac:dyDescent="0.25">
      <c r="B54" s="11" t="s">
        <v>8</v>
      </c>
      <c r="C54" s="12">
        <v>10.653727</v>
      </c>
      <c r="D54" s="12">
        <v>10.342893</v>
      </c>
      <c r="E54" s="12">
        <v>10.067824</v>
      </c>
      <c r="F54" s="12">
        <v>9.8282710000000009</v>
      </c>
      <c r="G54" s="12">
        <v>9.6079690000000006</v>
      </c>
      <c r="H54" s="12">
        <v>9.4211469999999995</v>
      </c>
      <c r="I54" s="12">
        <v>9.2581589999999991</v>
      </c>
      <c r="J54" s="12">
        <v>9.1155530000000002</v>
      </c>
      <c r="K54" s="12">
        <v>8.986917</v>
      </c>
      <c r="L54" s="12">
        <v>8.8887370000000008</v>
      </c>
      <c r="M54" s="12">
        <v>8.789968</v>
      </c>
      <c r="N54" s="12">
        <v>8.7023960000000002</v>
      </c>
      <c r="O54" s="12">
        <v>8.6058830000000004</v>
      </c>
      <c r="P54" s="12">
        <v>8.5062329999999999</v>
      </c>
      <c r="Q54" s="12">
        <v>8.4098279999999992</v>
      </c>
      <c r="R54" s="12">
        <v>8.3202069999999999</v>
      </c>
      <c r="S54" s="12">
        <v>8.2274689999999993</v>
      </c>
      <c r="T54" s="12">
        <v>8.1301760000000005</v>
      </c>
      <c r="U54" s="12">
        <v>8.0400089999999995</v>
      </c>
      <c r="V54" s="12">
        <v>7.9585129999999999</v>
      </c>
      <c r="W54" s="12">
        <v>7.8802099999999999</v>
      </c>
    </row>
    <row r="55" spans="2:23" x14ac:dyDescent="0.25">
      <c r="B55" s="11" t="s">
        <v>9</v>
      </c>
      <c r="C55" s="12">
        <v>32.543370000000003</v>
      </c>
      <c r="D55" s="12">
        <v>32.136839999999999</v>
      </c>
      <c r="E55" s="12">
        <v>31.666671999999998</v>
      </c>
      <c r="F55" s="12">
        <v>31.214285</v>
      </c>
      <c r="G55" s="12">
        <v>30.763266999999999</v>
      </c>
      <c r="H55" s="12">
        <v>30.37819</v>
      </c>
      <c r="I55" s="12">
        <v>30.039840999999999</v>
      </c>
      <c r="J55" s="12">
        <v>29.744586999999999</v>
      </c>
      <c r="K55" s="12">
        <v>29.476690999999999</v>
      </c>
      <c r="L55" s="12">
        <v>29.293959999999998</v>
      </c>
      <c r="M55" s="12">
        <v>29.097360999999999</v>
      </c>
      <c r="N55" s="12">
        <v>28.927623000000001</v>
      </c>
      <c r="O55" s="12">
        <v>28.719225000000002</v>
      </c>
      <c r="P55" s="12">
        <v>28.495186</v>
      </c>
      <c r="Q55" s="12">
        <v>28.279858000000001</v>
      </c>
      <c r="R55" s="12">
        <v>28.085674999999998</v>
      </c>
      <c r="S55" s="12">
        <v>27.879282</v>
      </c>
      <c r="T55" s="12">
        <v>27.655353000000002</v>
      </c>
      <c r="U55" s="12">
        <v>27.453206000000002</v>
      </c>
      <c r="V55" s="12">
        <v>27.278765</v>
      </c>
      <c r="W55" s="12">
        <v>27.113346</v>
      </c>
    </row>
    <row r="56" spans="2:23" x14ac:dyDescent="0.25">
      <c r="B56" s="11" t="s">
        <v>10</v>
      </c>
      <c r="C56" s="12">
        <v>12.933769</v>
      </c>
      <c r="D56" s="12">
        <v>12.812101999999999</v>
      </c>
      <c r="E56" s="12">
        <v>12.652964000000001</v>
      </c>
      <c r="F56" s="12">
        <v>12.494403</v>
      </c>
      <c r="G56" s="12">
        <v>12.332226</v>
      </c>
      <c r="H56" s="12">
        <v>12.193607999999999</v>
      </c>
      <c r="I56" s="12">
        <v>12.071647</v>
      </c>
      <c r="J56" s="12">
        <v>11.965399</v>
      </c>
      <c r="K56" s="12">
        <v>11.868888999999999</v>
      </c>
      <c r="L56" s="12">
        <v>11.805645</v>
      </c>
      <c r="M56" s="12">
        <v>11.735984999999999</v>
      </c>
      <c r="N56" s="12">
        <v>11.676450000000001</v>
      </c>
      <c r="O56" s="12">
        <v>11.600690999999999</v>
      </c>
      <c r="P56" s="12">
        <v>11.518266000000001</v>
      </c>
      <c r="Q56" s="12">
        <v>11.43924</v>
      </c>
      <c r="R56" s="12">
        <v>11.368679</v>
      </c>
      <c r="S56" s="12">
        <v>11.293085</v>
      </c>
      <c r="T56" s="12">
        <v>11.210269</v>
      </c>
      <c r="U56" s="12">
        <v>11.136134</v>
      </c>
      <c r="V56" s="12">
        <v>11.073131</v>
      </c>
      <c r="W56" s="12">
        <v>11.013683</v>
      </c>
    </row>
    <row r="57" spans="2:23" x14ac:dyDescent="0.25">
      <c r="B57" s="11" t="s">
        <v>11</v>
      </c>
      <c r="C57" s="12">
        <v>23.440003000000001</v>
      </c>
      <c r="D57" s="12">
        <v>23.328187</v>
      </c>
      <c r="E57" s="12">
        <v>23.115845</v>
      </c>
      <c r="F57" s="12">
        <v>22.887063000000001</v>
      </c>
      <c r="G57" s="12">
        <v>22.640474000000001</v>
      </c>
      <c r="H57" s="12">
        <v>22.429395</v>
      </c>
      <c r="I57" s="12">
        <v>22.243297999999999</v>
      </c>
      <c r="J57" s="12">
        <v>22.081824000000001</v>
      </c>
      <c r="K57" s="12">
        <v>21.934892999999999</v>
      </c>
      <c r="L57" s="12">
        <v>21.846675000000001</v>
      </c>
      <c r="M57" s="12">
        <v>21.744344999999999</v>
      </c>
      <c r="N57" s="12">
        <v>21.658863</v>
      </c>
      <c r="O57" s="12">
        <v>21.541602000000001</v>
      </c>
      <c r="P57" s="12">
        <v>21.411042999999999</v>
      </c>
      <c r="Q57" s="12">
        <v>21.286493</v>
      </c>
      <c r="R57" s="12">
        <v>21.177492000000001</v>
      </c>
      <c r="S57" s="12">
        <v>21.058906</v>
      </c>
      <c r="T57" s="12">
        <v>20.926552999999998</v>
      </c>
      <c r="U57" s="12">
        <v>20.810033000000001</v>
      </c>
      <c r="V57" s="12">
        <v>20.714055999999999</v>
      </c>
      <c r="W57" s="12">
        <v>20.624461</v>
      </c>
    </row>
    <row r="58" spans="2:23" x14ac:dyDescent="0.25">
      <c r="B58" s="11" t="s">
        <v>12</v>
      </c>
      <c r="C58" s="12">
        <v>6.3631070000000003</v>
      </c>
      <c r="D58" s="12">
        <v>6.3623260000000004</v>
      </c>
      <c r="E58" s="12">
        <v>6.3255619999999997</v>
      </c>
      <c r="F58" s="12">
        <v>6.2796430000000001</v>
      </c>
      <c r="G58" s="12">
        <v>6.2258519999999997</v>
      </c>
      <c r="H58" s="12">
        <v>6.1797560000000002</v>
      </c>
      <c r="I58" s="12">
        <v>6.1390279999999997</v>
      </c>
      <c r="J58" s="12">
        <v>6.103936</v>
      </c>
      <c r="K58" s="12">
        <v>6.0719450000000004</v>
      </c>
      <c r="L58" s="12">
        <v>6.0554639999999997</v>
      </c>
      <c r="M58" s="12">
        <v>6.0344720000000001</v>
      </c>
      <c r="N58" s="12">
        <v>6.0176410000000002</v>
      </c>
      <c r="O58" s="12">
        <v>5.99153</v>
      </c>
      <c r="P58" s="12">
        <v>5.9614770000000004</v>
      </c>
      <c r="Q58" s="12">
        <v>5.9330249999999998</v>
      </c>
      <c r="R58" s="12">
        <v>5.9088630000000002</v>
      </c>
      <c r="S58" s="12">
        <v>5.8819809999999997</v>
      </c>
      <c r="T58" s="12">
        <v>5.8511839999999999</v>
      </c>
      <c r="U58" s="12">
        <v>5.8247229999999997</v>
      </c>
      <c r="V58" s="12">
        <v>5.8039509999999996</v>
      </c>
      <c r="W58" s="12">
        <v>5.7849060000000003</v>
      </c>
    </row>
    <row r="59" spans="2:23" x14ac:dyDescent="0.25">
      <c r="B59" s="11" t="s">
        <v>13</v>
      </c>
      <c r="C59" s="12">
        <v>0</v>
      </c>
      <c r="D59" s="12">
        <v>1.4556199999999999</v>
      </c>
      <c r="E59" s="12">
        <v>3.0346109999999999</v>
      </c>
      <c r="F59" s="12">
        <v>4.5223259999999996</v>
      </c>
      <c r="G59" s="12">
        <v>5.9832470000000004</v>
      </c>
      <c r="H59" s="12">
        <v>7.2274729999999998</v>
      </c>
      <c r="I59" s="12">
        <v>7.1860109999999997</v>
      </c>
      <c r="J59" s="12">
        <v>7.1504810000000001</v>
      </c>
      <c r="K59" s="12">
        <v>7.1180599999999998</v>
      </c>
      <c r="L59" s="12">
        <v>7.1033949999999999</v>
      </c>
      <c r="M59" s="12">
        <v>7.0830960000000003</v>
      </c>
      <c r="N59" s="12">
        <v>7.0673880000000002</v>
      </c>
      <c r="O59" s="12">
        <v>7.040521</v>
      </c>
      <c r="P59" s="12">
        <v>7.0088860000000004</v>
      </c>
      <c r="Q59" s="12">
        <v>6.9790970000000003</v>
      </c>
      <c r="R59" s="12">
        <v>6.9543340000000002</v>
      </c>
      <c r="S59" s="12">
        <v>6.9263490000000001</v>
      </c>
      <c r="T59" s="12">
        <v>6.8937179999999998</v>
      </c>
      <c r="U59" s="12">
        <v>6.8661479999999999</v>
      </c>
      <c r="V59" s="12">
        <v>6.8452549999999999</v>
      </c>
      <c r="W59" s="12">
        <v>6.8263670000000003</v>
      </c>
    </row>
    <row r="60" spans="2:23" x14ac:dyDescent="0.25">
      <c r="B60" s="11" t="s">
        <v>14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1.132161</v>
      </c>
      <c r="J60" s="12">
        <v>2.118754</v>
      </c>
      <c r="K60" s="12">
        <v>3.012486</v>
      </c>
      <c r="L60" s="12">
        <v>3.6237919999999999</v>
      </c>
      <c r="M60" s="12">
        <v>4.2789830000000002</v>
      </c>
      <c r="N60" s="12">
        <v>4.2701450000000003</v>
      </c>
      <c r="O60" s="12">
        <v>4.2545250000000001</v>
      </c>
      <c r="P60" s="12">
        <v>4.2360009999999999</v>
      </c>
      <c r="Q60" s="12">
        <v>4.2185879999999996</v>
      </c>
      <c r="R60" s="12">
        <v>4.2042089999999996</v>
      </c>
      <c r="S60" s="12">
        <v>4.1878799999999998</v>
      </c>
      <c r="T60" s="12">
        <v>4.1687370000000001</v>
      </c>
      <c r="U60" s="12">
        <v>4.1526459999999998</v>
      </c>
      <c r="V60" s="12">
        <v>4.1405890000000003</v>
      </c>
      <c r="W60" s="12">
        <v>4.1297410000000001</v>
      </c>
    </row>
    <row r="61" spans="2:23" x14ac:dyDescent="0.25">
      <c r="B61" s="11" t="s">
        <v>15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0.57423199999999996</v>
      </c>
      <c r="O61" s="12">
        <v>1.2812170000000001</v>
      </c>
      <c r="P61" s="12">
        <v>2.0416660000000002</v>
      </c>
      <c r="Q61" s="12">
        <v>2.7716460000000001</v>
      </c>
      <c r="R61" s="12">
        <v>3.4283760000000001</v>
      </c>
      <c r="S61" s="12">
        <v>3.4151799999999999</v>
      </c>
      <c r="T61" s="12">
        <v>3.3996879999999998</v>
      </c>
      <c r="U61" s="12">
        <v>3.3866839999999998</v>
      </c>
      <c r="V61" s="12">
        <v>3.3769689999999999</v>
      </c>
      <c r="W61" s="12">
        <v>3.3682400000000001</v>
      </c>
    </row>
    <row r="62" spans="2:23" x14ac:dyDescent="0.25">
      <c r="B62" s="11" t="s">
        <v>16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0.71137600000000001</v>
      </c>
      <c r="T62" s="12">
        <v>1.4848669999999999</v>
      </c>
      <c r="U62" s="12">
        <v>2.180542</v>
      </c>
      <c r="V62" s="12">
        <v>2.777158</v>
      </c>
      <c r="W62" s="12">
        <v>3.3413080000000002</v>
      </c>
    </row>
    <row r="63" spans="2:23" x14ac:dyDescent="0.25">
      <c r="B63" s="13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</row>
    <row r="64" spans="2:23" x14ac:dyDescent="0.25">
      <c r="B64" s="13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</row>
    <row r="65" spans="2:15" x14ac:dyDescent="0.25">
      <c r="B65" s="13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</row>
    <row r="66" spans="2:15" x14ac:dyDescent="0.25">
      <c r="B66" s="13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spans="2:15" x14ac:dyDescent="0.25">
      <c r="B67" s="13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</row>
    <row r="68" spans="2:15" x14ac:dyDescent="0.25">
      <c r="B68" s="13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2:15" x14ac:dyDescent="0.25">
      <c r="B69" s="13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2:15" x14ac:dyDescent="0.25">
      <c r="B70" s="13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2:15" x14ac:dyDescent="0.25">
      <c r="B71" s="13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2:15" x14ac:dyDescent="0.25">
      <c r="B72" s="13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2:15" x14ac:dyDescent="0.25">
      <c r="B73" s="13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2:15" x14ac:dyDescent="0.25">
      <c r="B74" s="13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2:15" x14ac:dyDescent="0.25">
      <c r="B75" s="13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2:15" x14ac:dyDescent="0.25">
      <c r="B76" s="13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2:15" x14ac:dyDescent="0.25">
      <c r="B77" s="13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2:15" x14ac:dyDescent="0.25">
      <c r="B78" s="13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2:15" x14ac:dyDescent="0.25">
      <c r="B79" s="13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2:15" x14ac:dyDescent="0.25">
      <c r="B80" s="13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2:2" x14ac:dyDescent="0.25">
      <c r="B81" s="13"/>
    </row>
    <row r="82" spans="2:2" x14ac:dyDescent="0.25">
      <c r="B82" s="13"/>
    </row>
    <row r="83" spans="2:2" x14ac:dyDescent="0.25">
      <c r="B83" s="13"/>
    </row>
    <row r="84" spans="2:2" x14ac:dyDescent="0.25">
      <c r="B84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Space heating demand</vt:lpstr>
      <vt:lpstr>gross thermal</vt:lpstr>
      <vt:lpstr>stock single</vt:lpstr>
      <vt:lpstr>stock apt. mob.</vt:lpstr>
    </vt:vector>
  </TitlesOfParts>
  <Manager/>
  <Company>NRCan - RNCan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Blais, Michel</dc:creator>
  <cp:keywords/>
  <dc:description/>
  <cp:lastModifiedBy>David Elder</cp:lastModifiedBy>
  <cp:revision/>
  <dcterms:created xsi:type="dcterms:W3CDTF">2023-04-24T20:20:11Z</dcterms:created>
  <dcterms:modified xsi:type="dcterms:W3CDTF">2023-08-23T16:06:50Z</dcterms:modified>
  <cp:category/>
  <cp:contentStatus/>
</cp:coreProperties>
</file>